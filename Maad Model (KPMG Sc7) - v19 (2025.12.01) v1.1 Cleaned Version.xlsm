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G:\My Drive\SFA\0 SFA Clients\8 - DIH\1 Real Estate &amp; Hospitality\1 Maad\Maad Sep 2025\"/>
    </mc:Choice>
  </mc:AlternateContent>
  <xr:revisionPtr revIDLastSave="0" documentId="13_ncr:1_{44D52BB7-E9EC-4ED5-9F1D-BAAC03E8DC89}" xr6:coauthVersionLast="47" xr6:coauthVersionMax="47" xr10:uidLastSave="{00000000-0000-0000-0000-000000000000}"/>
  <bookViews>
    <workbookView xWindow="-108" yWindow="-108" windowWidth="23256" windowHeight="12456" tabRatio="761" activeTab="3" xr2:uid="{DB8FF33B-2368-4AAB-8721-0FC7E9EEAE87}"/>
  </bookViews>
  <sheets>
    <sheet name="Cover" sheetId="35" r:id="rId1"/>
    <sheet name="Assumptions" sheetId="3" r:id="rId2"/>
    <sheet name="FS" sheetId="2" r:id="rId3"/>
    <sheet name="HBU" sheetId="20" r:id="rId4"/>
    <sheet name="Consolidated Fund" sheetId="33" r:id="rId5"/>
    <sheet name="Sheet1" sheetId="37" r:id="rId6"/>
    <sheet name="PPT" sheetId="36" r:id="rId7"/>
  </sheets>
  <definedNames>
    <definedName name="\" localSheetId="0" hidden="1">{"kricash",#N/A,FALSE,"INC";"kriinc",#N/A,FALSE,"INC";"krimiami",#N/A,FALSE,"INC";"kriother",#N/A,FALSE,"INC";"kripapers",#N/A,FALSE,"INC"}</definedName>
    <definedName name="\" localSheetId="6" hidden="1">{"kricash",#N/A,FALSE,"INC";"kriinc",#N/A,FALSE,"INC";"krimiami",#N/A,FALSE,"INC";"kriother",#N/A,FALSE,"INC";"kripapers",#N/A,FALSE,"INC"}</definedName>
    <definedName name="\" hidden="1">{"kricash",#N/A,FALSE,"INC";"kriinc",#N/A,FALSE,"INC";"krimiami",#N/A,FALSE,"INC";"kriother",#N/A,FALSE,"INC";"kripapers",#N/A,FALSE,"INC"}</definedName>
    <definedName name="\argbeargaeb" hidden="1">#REF!</definedName>
    <definedName name="\C">#REF!</definedName>
    <definedName name="\DFVWQEF" hidden="1">#REF!</definedName>
    <definedName name="\DFWERQ" hidden="1">#REF!</definedName>
    <definedName name="\dvgqwef" hidden="1">#REF!</definedName>
    <definedName name="\DVGWEF" hidden="1">#REF!</definedName>
    <definedName name="\efwegf" hidden="1">#REF!</definedName>
    <definedName name="\egweg" hidden="1">#REF!</definedName>
    <definedName name="\F">#REF!</definedName>
    <definedName name="\G">#REF!</definedName>
    <definedName name="\gwg" hidden="1">#REF!</definedName>
    <definedName name="\gwqefw" hidden="1">#REF!</definedName>
    <definedName name="\J">#REF!</definedName>
    <definedName name="\K">#REF!</definedName>
    <definedName name="\N">#REF!</definedName>
    <definedName name="\P">#REF!</definedName>
    <definedName name="\Q">#REF!</definedName>
    <definedName name="\rgweg" hidden="1">#REF!</definedName>
    <definedName name="\S">#REF!</definedName>
    <definedName name="\SDVwefg" hidden="1">#REF!</definedName>
    <definedName name="\segwegwe" hidden="1">#REF!</definedName>
    <definedName name="\SGef" hidden="1">#REF!</definedName>
    <definedName name="\srgwegf" hidden="1">#REF!</definedName>
    <definedName name="\SVFWEF" localSheetId="4" hidden="1">Main.SAPF4Help()</definedName>
    <definedName name="\SVFWEF" localSheetId="0" hidden="1">Main.SAPF4Help()</definedName>
    <definedName name="\SVFWEF" localSheetId="2" hidden="1">Main.SAPF4Help()</definedName>
    <definedName name="\SVFWEF" localSheetId="6" hidden="1">Main.SAPF4Help()</definedName>
    <definedName name="\SVFWEF" hidden="1">Main.SAPF4Help()</definedName>
    <definedName name="\W">#REF!</definedName>
    <definedName name="\W\efg" hidden="1">#REF!</definedName>
    <definedName name="\wegaerg" hidden="1">#REF!</definedName>
    <definedName name="\wegwegwe" hidden="1">#REF!</definedName>
    <definedName name="\wegwerg" hidden="1">#REF!</definedName>
    <definedName name="\wrgweg" hidden="1">#REF!</definedName>
    <definedName name="\wsgweg" hidden="1">#REF!</definedName>
    <definedName name="_???205">#REF!</definedName>
    <definedName name="_?78">#REF!</definedName>
    <definedName name="_?88">#REF!</definedName>
    <definedName name="__???205">#REF!</definedName>
    <definedName name="__?78">#REF!</definedName>
    <definedName name="__?88">#REF!</definedName>
    <definedName name="___???205">#REF!</definedName>
    <definedName name="___?78">#REF!</definedName>
    <definedName name="___?88">#REF!</definedName>
    <definedName name="____???205">#REF!</definedName>
    <definedName name="____?78">#REF!</definedName>
    <definedName name="____?88">#REF!</definedName>
    <definedName name="_________________key1" hidden="1">#REF!</definedName>
    <definedName name="________________br1" localSheetId="6" hidden="1">{"Quarter1",#N/A,FALSE,"Sheet1";"Quarter2",#N/A,FALSE,"Sheet1";"Quarter3",#N/A,FALSE,"Sheet1";"Quarter4",#N/A,FALSE,"Sheet1"}</definedName>
    <definedName name="________________br1" hidden="1">{"Quarter1",#N/A,FALSE,"Sheet1";"Quarter2",#N/A,FALSE,"Sheet1";"Quarter3",#N/A,FALSE,"Sheet1";"Quarter4",#N/A,FALSE,"Sheet1"}</definedName>
    <definedName name="________________key1" hidden="1">#REF!</definedName>
    <definedName name="_______________br1" localSheetId="6" hidden="1">{"Quarter1",#N/A,FALSE,"Sheet1";"Quarter2",#N/A,FALSE,"Sheet1";"Quarter3",#N/A,FALSE,"Sheet1";"Quarter4",#N/A,FALSE,"Sheet1"}</definedName>
    <definedName name="_______________br1" hidden="1">{"Quarter1",#N/A,FALSE,"Sheet1";"Quarter2",#N/A,FALSE,"Sheet1";"Quarter3",#N/A,FALSE,"Sheet1";"Quarter4",#N/A,FALSE,"Sheet1"}</definedName>
    <definedName name="_______________JB1">#REF!</definedName>
    <definedName name="_______________JB2">#REF!</definedName>
    <definedName name="_______________key1" hidden="1">#REF!</definedName>
    <definedName name="______________br1" localSheetId="6" hidden="1">{"Quarter1",#N/A,FALSE,"Sheet1";"Quarter2",#N/A,FALSE,"Sheet1";"Quarter3",#N/A,FALSE,"Sheet1";"Quarter4",#N/A,FALSE,"Sheet1"}</definedName>
    <definedName name="______________br1" hidden="1">{"Quarter1",#N/A,FALSE,"Sheet1";"Quarter2",#N/A,FALSE,"Sheet1";"Quarter3",#N/A,FALSE,"Sheet1";"Quarter4",#N/A,FALSE,"Sheet1"}</definedName>
    <definedName name="______________key1" hidden="1">#REF!</definedName>
    <definedName name="_____________br1" localSheetId="6" hidden="1">{"Quarter1",#N/A,FALSE,"Sheet1";"Quarter2",#N/A,FALSE,"Sheet1";"Quarter3",#N/A,FALSE,"Sheet1";"Quarter4",#N/A,FALSE,"Sheet1"}</definedName>
    <definedName name="_____________br1" hidden="1">{"Quarter1",#N/A,FALSE,"Sheet1";"Quarter2",#N/A,FALSE,"Sheet1";"Quarter3",#N/A,FALSE,"Sheet1";"Quarter4",#N/A,FALSE,"Sheet1"}</definedName>
    <definedName name="_____________key1" hidden="1">#REF!</definedName>
    <definedName name="____________br1" localSheetId="6" hidden="1">{"Quarter1",#N/A,FALSE,"Sheet1";"Quarter2",#N/A,FALSE,"Sheet1";"Quarter3",#N/A,FALSE,"Sheet1";"Quarter4",#N/A,FALSE,"Sheet1"}</definedName>
    <definedName name="____________br1" hidden="1">{"Quarter1",#N/A,FALSE,"Sheet1";"Quarter2",#N/A,FALSE,"Sheet1";"Quarter3",#N/A,FALSE,"Sheet1";"Quarter4",#N/A,FALSE,"Sheet1"}</definedName>
    <definedName name="____________cap382">#REF!</definedName>
    <definedName name="____________JB1">#REF!</definedName>
    <definedName name="____________JB2">#REF!</definedName>
    <definedName name="____________key1" hidden="1">#REF!</definedName>
    <definedName name="____________pr1">#REF!</definedName>
    <definedName name="____________pr2">#REF!</definedName>
    <definedName name="____________pr3">#REF!</definedName>
    <definedName name="____________z2" localSheetId="0" hidden="1">{"Sch00",#N/A,FALSE,"1";"Contents",#N/A,FALSE,"1"}</definedName>
    <definedName name="____________z2" localSheetId="6" hidden="1">{"Sch00",#N/A,FALSE,"1";"Contents",#N/A,FALSE,"1"}</definedName>
    <definedName name="____________z2" hidden="1">{"Sch00",#N/A,FALSE,"1";"Contents",#N/A,FALSE,"1"}</definedName>
    <definedName name="____________z3" localSheetId="0" hidden="1">{"Sch01",#N/A,FALSE,"2";"Sch02",#N/A,FALSE,"2";"Sch03",#N/A,FALSE,"2";"Sch04",#N/A,FALSE,"2";"Sch05",#N/A,FALSE,"2";"Sch06",#N/A,FALSE,"2";"Sch17",#N/A,FALSE,"2";"Sch19",#N/A,FALSE,"2";"Sch20",#N/A,FALSE,"2";"Sch21",#N/A,FALSE,"2";"Sch26",#N/A,FALSE,"2"}</definedName>
    <definedName name="____________z3" localSheetId="6" hidden="1">{"Sch01",#N/A,FALSE,"2";"Sch02",#N/A,FALSE,"2";"Sch03",#N/A,FALSE,"2";"Sch04",#N/A,FALSE,"2";"Sch05",#N/A,FALSE,"2";"Sch06",#N/A,FALSE,"2";"Sch17",#N/A,FALSE,"2";"Sch19",#N/A,FALSE,"2";"Sch20",#N/A,FALSE,"2";"Sch21",#N/A,FALSE,"2";"Sch26",#N/A,FALSE,"2"}</definedName>
    <definedName name="____________z3" hidden="1">{"Sch01",#N/A,FALSE,"2";"Sch02",#N/A,FALSE,"2";"Sch03",#N/A,FALSE,"2";"Sch04",#N/A,FALSE,"2";"Sch05",#N/A,FALSE,"2";"Sch06",#N/A,FALSE,"2";"Sch17",#N/A,FALSE,"2";"Sch19",#N/A,FALSE,"2";"Sch20",#N/A,FALSE,"2";"Sch21",#N/A,FALSE,"2";"Sch26",#N/A,FALSE,"2"}</definedName>
    <definedName name="______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br1" localSheetId="6" hidden="1">{"Quarter1",#N/A,FALSE,"Sheet1";"Quarter2",#N/A,FALSE,"Sheet1";"Quarter3",#N/A,FALSE,"Sheet1";"Quarter4",#N/A,FALSE,"Sheet1"}</definedName>
    <definedName name="___________br1" hidden="1">{"Quarter1",#N/A,FALSE,"Sheet1";"Quarter2",#N/A,FALSE,"Sheet1";"Quarter3",#N/A,FALSE,"Sheet1";"Quarter4",#N/A,FALSE,"Sheet1"}</definedName>
    <definedName name="___________cap382">#REF!</definedName>
    <definedName name="___________key1" hidden="1">#REF!</definedName>
    <definedName name="___________pr1">#REF!</definedName>
    <definedName name="___________pr2">#REF!</definedName>
    <definedName name="___________pr3">#REF!</definedName>
    <definedName name="___________z2" localSheetId="0" hidden="1">{"Sch00",#N/A,FALSE,"1";"Contents",#N/A,FALSE,"1"}</definedName>
    <definedName name="___________z2" localSheetId="6" hidden="1">{"Sch00",#N/A,FALSE,"1";"Contents",#N/A,FALSE,"1"}</definedName>
    <definedName name="___________z2" hidden="1">{"Sch00",#N/A,FALSE,"1";"Contents",#N/A,FALSE,"1"}</definedName>
    <definedName name="___________z3" localSheetId="0" hidden="1">{"Sch01",#N/A,FALSE,"2";"Sch02",#N/A,FALSE,"2";"Sch03",#N/A,FALSE,"2";"Sch04",#N/A,FALSE,"2";"Sch05",#N/A,FALSE,"2";"Sch06",#N/A,FALSE,"2";"Sch17",#N/A,FALSE,"2";"Sch19",#N/A,FALSE,"2";"Sch20",#N/A,FALSE,"2";"Sch21",#N/A,FALSE,"2";"Sch26",#N/A,FALSE,"2"}</definedName>
    <definedName name="___________z3" localSheetId="6" hidden="1">{"Sch01",#N/A,FALSE,"2";"Sch02",#N/A,FALSE,"2";"Sch03",#N/A,FALSE,"2";"Sch04",#N/A,FALSE,"2";"Sch05",#N/A,FALSE,"2";"Sch06",#N/A,FALSE,"2";"Sch17",#N/A,FALSE,"2";"Sch19",#N/A,FALSE,"2";"Sch20",#N/A,FALSE,"2";"Sch21",#N/A,FALSE,"2";"Sch26",#N/A,FALSE,"2"}</definedName>
    <definedName name="___________z3" hidden="1">{"Sch01",#N/A,FALSE,"2";"Sch02",#N/A,FALSE,"2";"Sch03",#N/A,FALSE,"2";"Sch04",#N/A,FALSE,"2";"Sch05",#N/A,FALSE,"2";"Sch06",#N/A,FALSE,"2";"Sch17",#N/A,FALSE,"2";"Sch19",#N/A,FALSE,"2";"Sch20",#N/A,FALSE,"2";"Sch21",#N/A,FALSE,"2";"Sch26",#N/A,FALSE,"2"}</definedName>
    <definedName name="_____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br1" localSheetId="6" hidden="1">{"Quarter1",#N/A,FALSE,"Sheet1";"Quarter2",#N/A,FALSE,"Sheet1";"Quarter3",#N/A,FALSE,"Sheet1";"Quarter4",#N/A,FALSE,"Sheet1"}</definedName>
    <definedName name="__________br1" hidden="1">{"Quarter1",#N/A,FALSE,"Sheet1";"Quarter2",#N/A,FALSE,"Sheet1";"Quarter3",#N/A,FALSE,"Sheet1";"Quarter4",#N/A,FALSE,"Sheet1"}</definedName>
    <definedName name="__________cap382">#REF!</definedName>
    <definedName name="__________key1" hidden="1">#REF!</definedName>
    <definedName name="__________pr1">#REF!</definedName>
    <definedName name="__________pr2">#REF!</definedName>
    <definedName name="__________pr3">#REF!</definedName>
    <definedName name="__________z2" localSheetId="0" hidden="1">{"Sch00",#N/A,FALSE,"1";"Contents",#N/A,FALSE,"1"}</definedName>
    <definedName name="__________z2" localSheetId="6" hidden="1">{"Sch00",#N/A,FALSE,"1";"Contents",#N/A,FALSE,"1"}</definedName>
    <definedName name="__________z2" hidden="1">{"Sch00",#N/A,FALSE,"1";"Contents",#N/A,FALSE,"1"}</definedName>
    <definedName name="__________z3" localSheetId="0" hidden="1">{"Sch01",#N/A,FALSE,"2";"Sch02",#N/A,FALSE,"2";"Sch03",#N/A,FALSE,"2";"Sch04",#N/A,FALSE,"2";"Sch05",#N/A,FALSE,"2";"Sch06",#N/A,FALSE,"2";"Sch17",#N/A,FALSE,"2";"Sch19",#N/A,FALSE,"2";"Sch20",#N/A,FALSE,"2";"Sch21",#N/A,FALSE,"2";"Sch26",#N/A,FALSE,"2"}</definedName>
    <definedName name="__________z3" localSheetId="6" hidden="1">{"Sch01",#N/A,FALSE,"2";"Sch02",#N/A,FALSE,"2";"Sch03",#N/A,FALSE,"2";"Sch04",#N/A,FALSE,"2";"Sch05",#N/A,FALSE,"2";"Sch06",#N/A,FALSE,"2";"Sch17",#N/A,FALSE,"2";"Sch19",#N/A,FALSE,"2";"Sch20",#N/A,FALSE,"2";"Sch21",#N/A,FALSE,"2";"Sch26",#N/A,FALSE,"2"}</definedName>
    <definedName name="__________z3" hidden="1">{"Sch01",#N/A,FALSE,"2";"Sch02",#N/A,FALSE,"2";"Sch03",#N/A,FALSE,"2";"Sch04",#N/A,FALSE,"2";"Sch05",#N/A,FALSE,"2";"Sch06",#N/A,FALSE,"2";"Sch17",#N/A,FALSE,"2";"Sch19",#N/A,FALSE,"2";"Sch20",#N/A,FALSE,"2";"Sch21",#N/A,FALSE,"2";"Sch26",#N/A,FALSE,"2"}</definedName>
    <definedName name="____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abc123" localSheetId="0" hidden="1">{#N/A,#N/A,FALSE,"PROFIT 11-95"}</definedName>
    <definedName name="_________abc123" localSheetId="6" hidden="1">{#N/A,#N/A,FALSE,"PROFIT 11-95"}</definedName>
    <definedName name="_________abc123" hidden="1">{#N/A,#N/A,FALSE,"PROFIT 11-95"}</definedName>
    <definedName name="_________br1" localSheetId="6" hidden="1">{"Quarter1",#N/A,FALSE,"Sheet1";"Quarter2",#N/A,FALSE,"Sheet1";"Quarter3",#N/A,FALSE,"Sheet1";"Quarter4",#N/A,FALSE,"Sheet1"}</definedName>
    <definedName name="_________br1" hidden="1">{"Quarter1",#N/A,FALSE,"Sheet1";"Quarter2",#N/A,FALSE,"Sheet1";"Quarter3",#N/A,FALSE,"Sheet1";"Quarter4",#N/A,FALSE,"Sheet1"}</definedName>
    <definedName name="_________cap382">#REF!</definedName>
    <definedName name="_________con1" localSheetId="0" hidden="1">{#N/A,#N/A,TRUE,"PROFIT 11-95"}</definedName>
    <definedName name="_________con1" localSheetId="6" hidden="1">{#N/A,#N/A,TRUE,"PROFIT 11-95"}</definedName>
    <definedName name="_________con1" hidden="1">{#N/A,#N/A,TRUE,"PROFIT 11-95"}</definedName>
    <definedName name="_________key1" hidden="1">#REF!</definedName>
    <definedName name="_________pr1">#REF!</definedName>
    <definedName name="_________pr2">#REF!</definedName>
    <definedName name="_________pr3">#REF!</definedName>
    <definedName name="_________z2" localSheetId="0" hidden="1">{"Sch00",#N/A,FALSE,"1";"Contents",#N/A,FALSE,"1"}</definedName>
    <definedName name="_________z2" localSheetId="6" hidden="1">{"Sch00",#N/A,FALSE,"1";"Contents",#N/A,FALSE,"1"}</definedName>
    <definedName name="_________z2" hidden="1">{"Sch00",#N/A,FALSE,"1";"Contents",#N/A,FALSE,"1"}</definedName>
    <definedName name="_________z3" localSheetId="0" hidden="1">{"Sch01",#N/A,FALSE,"2";"Sch02",#N/A,FALSE,"2";"Sch03",#N/A,FALSE,"2";"Sch04",#N/A,FALSE,"2";"Sch05",#N/A,FALSE,"2";"Sch06",#N/A,FALSE,"2";"Sch17",#N/A,FALSE,"2";"Sch19",#N/A,FALSE,"2";"Sch20",#N/A,FALSE,"2";"Sch21",#N/A,FALSE,"2";"Sch26",#N/A,FALSE,"2"}</definedName>
    <definedName name="_________z3" localSheetId="6" hidden="1">{"Sch01",#N/A,FALSE,"2";"Sch02",#N/A,FALSE,"2";"Sch03",#N/A,FALSE,"2";"Sch04",#N/A,FALSE,"2";"Sch05",#N/A,FALSE,"2";"Sch06",#N/A,FALSE,"2";"Sch17",#N/A,FALSE,"2";"Sch19",#N/A,FALSE,"2";"Sch20",#N/A,FALSE,"2";"Sch21",#N/A,FALSE,"2";"Sch26",#N/A,FALSE,"2"}</definedName>
    <definedName name="_________z3" hidden="1">{"Sch01",#N/A,FALSE,"2";"Sch02",#N/A,FALSE,"2";"Sch03",#N/A,FALSE,"2";"Sch04",#N/A,FALSE,"2";"Sch05",#N/A,FALSE,"2";"Sch06",#N/A,FALSE,"2";"Sch17",#N/A,FALSE,"2";"Sch19",#N/A,FALSE,"2";"Sch20",#N/A,FALSE,"2";"Sch21",#N/A,FALSE,"2";"Sch26",#N/A,FALSE,"2"}</definedName>
    <definedName name="___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br1" localSheetId="6" hidden="1">{"Quarter1",#N/A,FALSE,"Sheet1";"Quarter2",#N/A,FALSE,"Sheet1";"Quarter3",#N/A,FALSE,"Sheet1";"Quarter4",#N/A,FALSE,"Sheet1"}</definedName>
    <definedName name="________br1" hidden="1">{"Quarter1",#N/A,FALSE,"Sheet1";"Quarter2",#N/A,FALSE,"Sheet1";"Quarter3",#N/A,FALSE,"Sheet1";"Quarter4",#N/A,FALSE,"Sheet1"}</definedName>
    <definedName name="________C100033">#REF!</definedName>
    <definedName name="________C65600">#REF!</definedName>
    <definedName name="________C65800">#REF!</definedName>
    <definedName name="________C66000">#REF!</definedName>
    <definedName name="________C69000">#REF!</definedName>
    <definedName name="________C70000">#REF!</definedName>
    <definedName name="________C90000">#REF!</definedName>
    <definedName name="________cap382">#REF!</definedName>
    <definedName name="________key1" hidden="1">#REF!</definedName>
    <definedName name="________pr1">#REF!</definedName>
    <definedName name="________pr2">#REF!</definedName>
    <definedName name="________pr3">#REF!</definedName>
    <definedName name="________z2" localSheetId="0" hidden="1">{"Sch00",#N/A,FALSE,"1";"Contents",#N/A,FALSE,"1"}</definedName>
    <definedName name="________z2" localSheetId="6" hidden="1">{"Sch00",#N/A,FALSE,"1";"Contents",#N/A,FALSE,"1"}</definedName>
    <definedName name="________z2" hidden="1">{"Sch00",#N/A,FALSE,"1";"Contents",#N/A,FALSE,"1"}</definedName>
    <definedName name="________z3" localSheetId="0" hidden="1">{"Sch01",#N/A,FALSE,"2";"Sch02",#N/A,FALSE,"2";"Sch03",#N/A,FALSE,"2";"Sch04",#N/A,FALSE,"2";"Sch05",#N/A,FALSE,"2";"Sch06",#N/A,FALSE,"2";"Sch17",#N/A,FALSE,"2";"Sch19",#N/A,FALSE,"2";"Sch20",#N/A,FALSE,"2";"Sch21",#N/A,FALSE,"2";"Sch26",#N/A,FALSE,"2"}</definedName>
    <definedName name="________z3" localSheetId="6" hidden="1">{"Sch01",#N/A,FALSE,"2";"Sch02",#N/A,FALSE,"2";"Sch03",#N/A,FALSE,"2";"Sch04",#N/A,FALSE,"2";"Sch05",#N/A,FALSE,"2";"Sch06",#N/A,FALSE,"2";"Sch17",#N/A,FALSE,"2";"Sch19",#N/A,FALSE,"2";"Sch20",#N/A,FALSE,"2";"Sch21",#N/A,FALSE,"2";"Sch26",#N/A,FALSE,"2"}</definedName>
    <definedName name="________z3" hidden="1">{"Sch01",#N/A,FALSE,"2";"Sch02",#N/A,FALSE,"2";"Sch03",#N/A,FALSE,"2";"Sch04",#N/A,FALSE,"2";"Sch05",#N/A,FALSE,"2";"Sch06",#N/A,FALSE,"2";"Sch17",#N/A,FALSE,"2";"Sch19",#N/A,FALSE,"2";"Sch20",#N/A,FALSE,"2";"Sch21",#N/A,FALSE,"2";"Sch26",#N/A,FALSE,"2"}</definedName>
    <definedName name="__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A11" localSheetId="0" hidden="1">{#N/A,#N/A,FALSE,"Umsatz 99";#N/A,#N/A,FALSE,"ER 99 "}</definedName>
    <definedName name="_______A11" localSheetId="6" hidden="1">{#N/A,#N/A,FALSE,"Umsatz 99";#N/A,#N/A,FALSE,"ER 99 "}</definedName>
    <definedName name="_______A11" hidden="1">{#N/A,#N/A,FALSE,"Umsatz 99";#N/A,#N/A,FALSE,"ER 99 "}</definedName>
    <definedName name="_______abc123" localSheetId="0" hidden="1">{#N/A,#N/A,FALSE,"PROFIT 11-95"}</definedName>
    <definedName name="_______abc123" localSheetId="6" hidden="1">{#N/A,#N/A,FALSE,"PROFIT 11-95"}</definedName>
    <definedName name="_______abc123" hidden="1">{#N/A,#N/A,FALSE,"PROFIT 11-95"}</definedName>
    <definedName name="_______br1" localSheetId="6" hidden="1">{"Quarter1",#N/A,FALSE,"Sheet1";"Quarter2",#N/A,FALSE,"Sheet1";"Quarter3",#N/A,FALSE,"Sheet1";"Quarter4",#N/A,FALSE,"Sheet1"}</definedName>
    <definedName name="_______br1" hidden="1">{"Quarter1",#N/A,FALSE,"Sheet1";"Quarter2",#N/A,FALSE,"Sheet1";"Quarter3",#N/A,FALSE,"Sheet1";"Quarter4",#N/A,FALSE,"Sheet1"}</definedName>
    <definedName name="_______c" localSheetId="0" hidden="1">{"Fiesta Facer Page",#N/A,FALSE,"Q_C_S";"Fiesta Main Page",#N/A,FALSE,"V_L";"Fiesta 95BP Struct",#N/A,FALSE,"StructBP";"Fiesta Post 95BP Struct",#N/A,FALSE,"AdjStructBP"}</definedName>
    <definedName name="_______c" localSheetId="6" hidden="1">{"Fiesta Facer Page",#N/A,FALSE,"Q_C_S";"Fiesta Main Page",#N/A,FALSE,"V_L";"Fiesta 95BP Struct",#N/A,FALSE,"StructBP";"Fiesta Post 95BP Struct",#N/A,FALSE,"AdjStructBP"}</definedName>
    <definedName name="_______c" hidden="1">{"Fiesta Facer Page",#N/A,FALSE,"Q_C_S";"Fiesta Main Page",#N/A,FALSE,"V_L";"Fiesta 95BP Struct",#N/A,FALSE,"StructBP";"Fiesta Post 95BP Struct",#N/A,FALSE,"AdjStructBP"}</definedName>
    <definedName name="_______C100033">#REF!</definedName>
    <definedName name="_______C65600">#REF!</definedName>
    <definedName name="_______C65800">#REF!</definedName>
    <definedName name="_______C66000">#REF!</definedName>
    <definedName name="_______C69000">#REF!</definedName>
    <definedName name="_______C70000">#REF!</definedName>
    <definedName name="_______C90000">#REF!</definedName>
    <definedName name="_______cap382">#REF!</definedName>
    <definedName name="_______con1" localSheetId="0" hidden="1">{#N/A,#N/A,TRUE,"PROFIT 11-95"}</definedName>
    <definedName name="_______con1" localSheetId="6" hidden="1">{#N/A,#N/A,TRUE,"PROFIT 11-95"}</definedName>
    <definedName name="_______con1" hidden="1">{#N/A,#N/A,TRUE,"PROFIT 11-95"}</definedName>
    <definedName name="_______con2" localSheetId="0" hidden="1">{#N/A,#N/A,TRUE,"PROFIT 11-95"}</definedName>
    <definedName name="_______con2" localSheetId="6" hidden="1">{#N/A,#N/A,TRUE,"PROFIT 11-95"}</definedName>
    <definedName name="_______con2" hidden="1">{#N/A,#N/A,TRUE,"PROFIT 11-95"}</definedName>
    <definedName name="_______DCF1" localSheetId="0" hidden="1">{#N/A,#N/A,FALSE,"DCF Summary";#N/A,#N/A,FALSE,"Casema";#N/A,#N/A,FALSE,"Casema NoTel";#N/A,#N/A,FALSE,"UK";#N/A,#N/A,FALSE,"RCF";#N/A,#N/A,FALSE,"Intercable CZ";#N/A,#N/A,FALSE,"Interkabel P"}</definedName>
    <definedName name="_______DCF1" localSheetId="6" hidden="1">{#N/A,#N/A,FALSE,"DCF Summary";#N/A,#N/A,FALSE,"Casema";#N/A,#N/A,FALSE,"Casema NoTel";#N/A,#N/A,FALSE,"UK";#N/A,#N/A,FALSE,"RCF";#N/A,#N/A,FALSE,"Intercable CZ";#N/A,#N/A,FALSE,"Interkabel P"}</definedName>
    <definedName name="_______DCF1" hidden="1">{#N/A,#N/A,FALSE,"DCF Summary";#N/A,#N/A,FALSE,"Casema";#N/A,#N/A,FALSE,"Casema NoTel";#N/A,#N/A,FALSE,"UK";#N/A,#N/A,FALSE,"RCF";#N/A,#N/A,FALSE,"Intercable CZ";#N/A,#N/A,FALSE,"Interkabel P"}</definedName>
    <definedName name="_______key1" hidden="1">#REF!</definedName>
    <definedName name="______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_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_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__pr1">#REF!</definedName>
    <definedName name="_______pr2">#REF!</definedName>
    <definedName name="_______pr3">#REF!</definedName>
    <definedName name="_______re34"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___re34"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___re34"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___z2" localSheetId="0" hidden="1">{"Sch00",#N/A,FALSE,"1";"Contents",#N/A,FALSE,"1"}</definedName>
    <definedName name="_______z2" localSheetId="6" hidden="1">{"Sch00",#N/A,FALSE,"1";"Contents",#N/A,FALSE,"1"}</definedName>
    <definedName name="_______z2" hidden="1">{"Sch00",#N/A,FALSE,"1";"Contents",#N/A,FALSE,"1"}</definedName>
    <definedName name="_______z3" localSheetId="0" hidden="1">{"Sch01",#N/A,FALSE,"2";"Sch02",#N/A,FALSE,"2";"Sch03",#N/A,FALSE,"2";"Sch04",#N/A,FALSE,"2";"Sch05",#N/A,FALSE,"2";"Sch06",#N/A,FALSE,"2";"Sch17",#N/A,FALSE,"2";"Sch19",#N/A,FALSE,"2";"Sch20",#N/A,FALSE,"2";"Sch21",#N/A,FALSE,"2";"Sch26",#N/A,FALSE,"2"}</definedName>
    <definedName name="_______z3" localSheetId="6" hidden="1">{"Sch01",#N/A,FALSE,"2";"Sch02",#N/A,FALSE,"2";"Sch03",#N/A,FALSE,"2";"Sch04",#N/A,FALSE,"2";"Sch05",#N/A,FALSE,"2";"Sch06",#N/A,FALSE,"2";"Sch17",#N/A,FALSE,"2";"Sch19",#N/A,FALSE,"2";"Sch20",#N/A,FALSE,"2";"Sch21",#N/A,FALSE,"2";"Sch26",#N/A,FALSE,"2"}</definedName>
    <definedName name="_______z3" hidden="1">{"Sch01",#N/A,FALSE,"2";"Sch02",#N/A,FALSE,"2";"Sch03",#N/A,FALSE,"2";"Sch04",#N/A,FALSE,"2";"Sch05",#N/A,FALSE,"2";"Sch06",#N/A,FALSE,"2";"Sch17",#N/A,FALSE,"2";"Sch19",#N/A,FALSE,"2";"Sch20",#N/A,FALSE,"2";"Sch21",#N/A,FALSE,"2";"Sch26",#N/A,FALSE,"2"}</definedName>
    <definedName name="_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A1" localSheetId="6" hidden="1">{"year1",#N/A,FALSE,"IZT";"year2",#N/A,FALSE,"IZT"}</definedName>
    <definedName name="______A1" hidden="1">{"year1",#N/A,FALSE,"IZT";"year2",#N/A,FALSE,"IZT"}</definedName>
    <definedName name="______A11" localSheetId="0" hidden="1">{#N/A,#N/A,FALSE,"Umsatz 99";#N/A,#N/A,FALSE,"ER 99 "}</definedName>
    <definedName name="______A11" localSheetId="6" hidden="1">{#N/A,#N/A,FALSE,"Umsatz 99";#N/A,#N/A,FALSE,"ER 99 "}</definedName>
    <definedName name="______A11" hidden="1">{#N/A,#N/A,FALSE,"Umsatz 99";#N/A,#N/A,FALSE,"ER 99 "}</definedName>
    <definedName name="______abc123" localSheetId="0" hidden="1">{#N/A,#N/A,FALSE,"PROFIT 11-95"}</definedName>
    <definedName name="______abc123" localSheetId="6" hidden="1">{#N/A,#N/A,FALSE,"PROFIT 11-95"}</definedName>
    <definedName name="______abc123" hidden="1">{#N/A,#N/A,FALSE,"PROFIT 11-95"}</definedName>
    <definedName name="______br1" localSheetId="6" hidden="1">{"Quarter1",#N/A,FALSE,"Sheet1";"Quarter2",#N/A,FALSE,"Sheet1";"Quarter3",#N/A,FALSE,"Sheet1";"Quarter4",#N/A,FALSE,"Sheet1"}</definedName>
    <definedName name="______br1" hidden="1">{"Quarter1",#N/A,FALSE,"Sheet1";"Quarter2",#N/A,FALSE,"Sheet1";"Quarter3",#N/A,FALSE,"Sheet1";"Quarter4",#N/A,FALSE,"Sheet1"}</definedName>
    <definedName name="______c" localSheetId="0" hidden="1">{"Fiesta Facer Page",#N/A,FALSE,"Q_C_S";"Fiesta Main Page",#N/A,FALSE,"V_L";"Fiesta 95BP Struct",#N/A,FALSE,"StructBP";"Fiesta Post 95BP Struct",#N/A,FALSE,"AdjStructBP"}</definedName>
    <definedName name="______c" localSheetId="6" hidden="1">{"Fiesta Facer Page",#N/A,FALSE,"Q_C_S";"Fiesta Main Page",#N/A,FALSE,"V_L";"Fiesta 95BP Struct",#N/A,FALSE,"StructBP";"Fiesta Post 95BP Struct",#N/A,FALSE,"AdjStructBP"}</definedName>
    <definedName name="______c" hidden="1">{"Fiesta Facer Page",#N/A,FALSE,"Q_C_S";"Fiesta Main Page",#N/A,FALSE,"V_L";"Fiesta 95BP Struct",#N/A,FALSE,"StructBP";"Fiesta Post 95BP Struct",#N/A,FALSE,"AdjStructBP"}</definedName>
    <definedName name="______C100033">#REF!</definedName>
    <definedName name="______C65600">#REF!</definedName>
    <definedName name="______C65800">#REF!</definedName>
    <definedName name="______C66000">#REF!</definedName>
    <definedName name="______C69000">#REF!</definedName>
    <definedName name="______C70000">#REF!</definedName>
    <definedName name="______C90000">#REF!</definedName>
    <definedName name="______cap382">#REF!</definedName>
    <definedName name="______ccr1" localSheetId="6" hidden="1">{#N/A,#N/A,TRUE,"Cover";#N/A,#N/A,TRUE,"Conts";#N/A,#N/A,TRUE,"VOS";#N/A,#N/A,TRUE,"Warrington";#N/A,#N/A,TRUE,"Widnes"}</definedName>
    <definedName name="______ccr1" hidden="1">{#N/A,#N/A,TRUE,"Cover";#N/A,#N/A,TRUE,"Conts";#N/A,#N/A,TRUE,"VOS";#N/A,#N/A,TRUE,"Warrington";#N/A,#N/A,TRUE,"Widnes"}</definedName>
    <definedName name="______ccr1_1" localSheetId="6" hidden="1">{#N/A,#N/A,TRUE,"Cover";#N/A,#N/A,TRUE,"Conts";#N/A,#N/A,TRUE,"VOS";#N/A,#N/A,TRUE,"Warrington";#N/A,#N/A,TRUE,"Widnes"}</definedName>
    <definedName name="______ccr1_1" hidden="1">{#N/A,#N/A,TRUE,"Cover";#N/A,#N/A,TRUE,"Conts";#N/A,#N/A,TRUE,"VOS";#N/A,#N/A,TRUE,"Warrington";#N/A,#N/A,TRUE,"Widnes"}</definedName>
    <definedName name="______con1" localSheetId="0" hidden="1">{#N/A,#N/A,TRUE,"PROFIT 11-95"}</definedName>
    <definedName name="______con1" localSheetId="6" hidden="1">{#N/A,#N/A,TRUE,"PROFIT 11-95"}</definedName>
    <definedName name="______con1" hidden="1">{#N/A,#N/A,TRUE,"PROFIT 11-95"}</definedName>
    <definedName name="______con2" localSheetId="0" hidden="1">{#N/A,#N/A,TRUE,"PROFIT 11-95"}</definedName>
    <definedName name="______con2" localSheetId="6" hidden="1">{#N/A,#N/A,TRUE,"PROFIT 11-95"}</definedName>
    <definedName name="______con2" hidden="1">{#N/A,#N/A,TRUE,"PROFIT 11-95"}</definedName>
    <definedName name="______Cpe733" hidden="1">#REF!</definedName>
    <definedName name="______Cpe738" hidden="1">#REF!</definedName>
    <definedName name="______Cpt271" hidden="1">#REF!</definedName>
    <definedName name="______Cpt272" hidden="1">#REF!</definedName>
    <definedName name="______D33" localSheetId="0" hidden="1">{"Olk by Qtr Full",#N/A,FALSE,"Tot PalmPalm";"Olk by Qtr Full",#N/A,FALSE,"Tot Device";"Olk by Qtr Full",#N/A,FALSE,"Platform";"Olk by Qtr Full",#N/A,FALSE,"Palm.Net";"Olk by Qtr Full",#N/A,FALSE,"Elim"}</definedName>
    <definedName name="______D33" localSheetId="6" hidden="1">{"Olk by Qtr Full",#N/A,FALSE,"Tot PalmPalm";"Olk by Qtr Full",#N/A,FALSE,"Tot Device";"Olk by Qtr Full",#N/A,FALSE,"Platform";"Olk by Qtr Full",#N/A,FALSE,"Palm.Net";"Olk by Qtr Full",#N/A,FALSE,"Elim"}</definedName>
    <definedName name="______D33" hidden="1">{"Olk by Qtr Full",#N/A,FALSE,"Tot PalmPalm";"Olk by Qtr Full",#N/A,FALSE,"Tot Device";"Olk by Qtr Full",#N/A,FALSE,"Platform";"Olk by Qtr Full",#N/A,FALSE,"Palm.Net";"Olk by Qtr Full",#N/A,FALSE,"Elim"}</definedName>
    <definedName name="______JB1">#REF!</definedName>
    <definedName name="______JB2">#REF!</definedName>
    <definedName name="______key1" hidden="1">#REF!</definedName>
    <definedName name="______key2" hidden="1">#REF!</definedName>
    <definedName name="______Ns123456">#REF!</definedName>
    <definedName name="_____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_pr1">#REF!</definedName>
    <definedName name="______pr2">#REF!</definedName>
    <definedName name="______pr3">#REF!</definedName>
    <definedName name="______t1"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1"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1"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2"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2"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2"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3"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3"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3"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4"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4"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4"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5"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5"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t5"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_WWW1" localSheetId="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___WWW1" localSheetId="6"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___WW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___z2" localSheetId="0" hidden="1">{"Sch00",#N/A,FALSE,"1";"Contents",#N/A,FALSE,"1"}</definedName>
    <definedName name="______z2" localSheetId="6" hidden="1">{"Sch00",#N/A,FALSE,"1";"Contents",#N/A,FALSE,"1"}</definedName>
    <definedName name="______z2" hidden="1">{"Sch00",#N/A,FALSE,"1";"Contents",#N/A,FALSE,"1"}</definedName>
    <definedName name="______z3" localSheetId="0" hidden="1">{"Sch01",#N/A,FALSE,"2";"Sch02",#N/A,FALSE,"2";"Sch03",#N/A,FALSE,"2";"Sch04",#N/A,FALSE,"2";"Sch05",#N/A,FALSE,"2";"Sch06",#N/A,FALSE,"2";"Sch17",#N/A,FALSE,"2";"Sch19",#N/A,FALSE,"2";"Sch20",#N/A,FALSE,"2";"Sch21",#N/A,FALSE,"2";"Sch26",#N/A,FALSE,"2"}</definedName>
    <definedName name="______z3" localSheetId="6" hidden="1">{"Sch01",#N/A,FALSE,"2";"Sch02",#N/A,FALSE,"2";"Sch03",#N/A,FALSE,"2";"Sch04",#N/A,FALSE,"2";"Sch05",#N/A,FALSE,"2";"Sch06",#N/A,FALSE,"2";"Sch17",#N/A,FALSE,"2";"Sch19",#N/A,FALSE,"2";"Sch20",#N/A,FALSE,"2";"Sch21",#N/A,FALSE,"2";"Sch26",#N/A,FALSE,"2"}</definedName>
    <definedName name="______z3" hidden="1">{"Sch01",#N/A,FALSE,"2";"Sch02",#N/A,FALSE,"2";"Sch03",#N/A,FALSE,"2";"Sch04",#N/A,FALSE,"2";"Sch05",#N/A,FALSE,"2";"Sch06",#N/A,FALSE,"2";"Sch17",#N/A,FALSE,"2";"Sch19",#N/A,FALSE,"2";"Sch20",#N/A,FALSE,"2";"Sch21",#N/A,FALSE,"2";"Sch26",#N/A,FALSE,"2"}</definedName>
    <definedName name="_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A1" localSheetId="6" hidden="1">{"year1",#N/A,FALSE,"IZT";"year2",#N/A,FALSE,"IZT"}</definedName>
    <definedName name="_____A1" hidden="1">{"year1",#N/A,FALSE,"IZT";"year2",#N/A,FALSE,"IZT"}</definedName>
    <definedName name="_____A11" localSheetId="0" hidden="1">{#N/A,#N/A,FALSE,"Umsatz 99";#N/A,#N/A,FALSE,"ER 99 "}</definedName>
    <definedName name="_____A11" localSheetId="6" hidden="1">{#N/A,#N/A,FALSE,"Umsatz 99";#N/A,#N/A,FALSE,"ER 99 "}</definedName>
    <definedName name="_____A11" hidden="1">{#N/A,#N/A,FALSE,"Umsatz 99";#N/A,#N/A,FALSE,"ER 99 "}</definedName>
    <definedName name="_____amr1" localSheetId="0" hidden="1">{#N/A,#N/A,FALSE,"PROFIT 11-95"}</definedName>
    <definedName name="_____amr1" localSheetId="6" hidden="1">{#N/A,#N/A,FALSE,"PROFIT 11-95"}</definedName>
    <definedName name="_____amr1" hidden="1">{#N/A,#N/A,FALSE,"PROFIT 11-95"}</definedName>
    <definedName name="_____amr2" localSheetId="0" hidden="1">{#N/A,#N/A,FALSE,"PROFIT 11-95"}</definedName>
    <definedName name="_____amr2" localSheetId="6" hidden="1">{#N/A,#N/A,FALSE,"PROFIT 11-95"}</definedName>
    <definedName name="_____amr2" hidden="1">{#N/A,#N/A,FALSE,"PROFIT 11-95"}</definedName>
    <definedName name="_____amr4" localSheetId="0" hidden="1">{#N/A,#N/A,TRUE,"PROFIT 11-95"}</definedName>
    <definedName name="_____amr4" localSheetId="6" hidden="1">{#N/A,#N/A,TRUE,"PROFIT 11-95"}</definedName>
    <definedName name="_____amr4" hidden="1">{#N/A,#N/A,TRUE,"PROFIT 11-95"}</definedName>
    <definedName name="_____amr5" localSheetId="0" hidden="1">{#N/A,#N/A,FALSE,"PA";#N/A,#N/A,FALSE,"PA"}</definedName>
    <definedName name="_____amr5" localSheetId="6" hidden="1">{#N/A,#N/A,FALSE,"PA";#N/A,#N/A,FALSE,"PA"}</definedName>
    <definedName name="_____amr5" hidden="1">{#N/A,#N/A,FALSE,"PA";#N/A,#N/A,FALSE,"PA"}</definedName>
    <definedName name="_____amr6" localSheetId="0" hidden="1">{#N/A,#N/A,FALSE,"CE-Build";#N/A,#N/A,FALSE,"CE-Equ.";#N/A,#N/A,FALSE,"CE-Computer";#N/A,#N/A,FALSE,"CE-BFurn.";#N/A,#N/A,FALSE,"CE-Accom.";#N/A,#N/A,FALSE,"CE-Vehicle";#N/A,#N/A,FALSE,"CE-Total"}</definedName>
    <definedName name="_____amr6" localSheetId="6" hidden="1">{#N/A,#N/A,FALSE,"CE-Build";#N/A,#N/A,FALSE,"CE-Equ.";#N/A,#N/A,FALSE,"CE-Computer";#N/A,#N/A,FALSE,"CE-BFurn.";#N/A,#N/A,FALSE,"CE-Accom.";#N/A,#N/A,FALSE,"CE-Vehicle";#N/A,#N/A,FALSE,"CE-Total"}</definedName>
    <definedName name="_____amr6" hidden="1">{#N/A,#N/A,FALSE,"CE-Build";#N/A,#N/A,FALSE,"CE-Equ.";#N/A,#N/A,FALSE,"CE-Computer";#N/A,#N/A,FALSE,"CE-BFurn.";#N/A,#N/A,FALSE,"CE-Accom.";#N/A,#N/A,FALSE,"CE-Vehicle";#N/A,#N/A,FALSE,"CE-Total"}</definedName>
    <definedName name="_____amr7" localSheetId="0" hidden="1">{#N/A,#N/A,FALSE,"PROFIT 11-95"}</definedName>
    <definedName name="_____amr7" localSheetId="6" hidden="1">{#N/A,#N/A,FALSE,"PROFIT 11-95"}</definedName>
    <definedName name="_____amr7" hidden="1">{#N/A,#N/A,FALSE,"PROFIT 11-95"}</definedName>
    <definedName name="_____amr8" localSheetId="0" hidden="1">{#N/A,#N/A,FALSE,"Mech";#N/A,#N/A,FALSE,"Body";#N/A,#N/A,FALSE,"Machine";#N/A,#N/A,FALSE,"Forklift";#N/A,#N/A,FALSE,"OtherHC";#N/A,#N/A,FALSE,"Total"}</definedName>
    <definedName name="_____amr8" localSheetId="6" hidden="1">{#N/A,#N/A,FALSE,"Mech";#N/A,#N/A,FALSE,"Body";#N/A,#N/A,FALSE,"Machine";#N/A,#N/A,FALSE,"Forklift";#N/A,#N/A,FALSE,"OtherHC";#N/A,#N/A,FALSE,"Total"}</definedName>
    <definedName name="_____amr8" hidden="1">{#N/A,#N/A,FALSE,"Mech";#N/A,#N/A,FALSE,"Body";#N/A,#N/A,FALSE,"Machine";#N/A,#N/A,FALSE,"Forklift";#N/A,#N/A,FALSE,"OtherHC";#N/A,#N/A,FALSE,"Total"}</definedName>
    <definedName name="_____amr9" localSheetId="0" hidden="1">{#N/A,#N/A,TRUE,"PROFIT 11-95"}</definedName>
    <definedName name="_____amr9" localSheetId="6" hidden="1">{#N/A,#N/A,TRUE,"PROFIT 11-95"}</definedName>
    <definedName name="_____amr9" hidden="1">{#N/A,#N/A,TRUE,"PROFIT 11-95"}</definedName>
    <definedName name="_____br1" localSheetId="6" hidden="1">{"Quarter1",#N/A,FALSE,"Sheet1";"Quarter2",#N/A,FALSE,"Sheet1";"Quarter3",#N/A,FALSE,"Sheet1";"Quarter4",#N/A,FALSE,"Sheet1"}</definedName>
    <definedName name="_____br1" hidden="1">{"Quarter1",#N/A,FALSE,"Sheet1";"Quarter2",#N/A,FALSE,"Sheet1";"Quarter3",#N/A,FALSE,"Sheet1";"Quarter4",#N/A,FALSE,"Sheet1"}</definedName>
    <definedName name="_____c" localSheetId="0" hidden="1">{"Fiesta Facer Page",#N/A,FALSE,"Q_C_S";"Fiesta Main Page",#N/A,FALSE,"V_L";"Fiesta 95BP Struct",#N/A,FALSE,"StructBP";"Fiesta Post 95BP Struct",#N/A,FALSE,"AdjStructBP"}</definedName>
    <definedName name="_____c" localSheetId="6" hidden="1">{"Fiesta Facer Page",#N/A,FALSE,"Q_C_S";"Fiesta Main Page",#N/A,FALSE,"V_L";"Fiesta 95BP Struct",#N/A,FALSE,"StructBP";"Fiesta Post 95BP Struct",#N/A,FALSE,"AdjStructBP"}</definedName>
    <definedName name="_____c" hidden="1">{"Fiesta Facer Page",#N/A,FALSE,"Q_C_S";"Fiesta Main Page",#N/A,FALSE,"V_L";"Fiesta 95BP Struct",#N/A,FALSE,"StructBP";"Fiesta Post 95BP Struct",#N/A,FALSE,"AdjStructBP"}</definedName>
    <definedName name="_____C100033">#REF!</definedName>
    <definedName name="_____C65600">#REF!</definedName>
    <definedName name="_____C65800">#REF!</definedName>
    <definedName name="_____C66000">#REF!</definedName>
    <definedName name="_____C69000">#REF!</definedName>
    <definedName name="_____C70000">#REF!</definedName>
    <definedName name="_____C90000">#REF!</definedName>
    <definedName name="_____cap382">#REF!</definedName>
    <definedName name="_____D33" localSheetId="0" hidden="1">{"Olk by Qtr Full",#N/A,FALSE,"Tot PalmPalm";"Olk by Qtr Full",#N/A,FALSE,"Tot Device";"Olk by Qtr Full",#N/A,FALSE,"Platform";"Olk by Qtr Full",#N/A,FALSE,"Palm.Net";"Olk by Qtr Full",#N/A,FALSE,"Elim"}</definedName>
    <definedName name="_____D33" localSheetId="6" hidden="1">{"Olk by Qtr Full",#N/A,FALSE,"Tot PalmPalm";"Olk by Qtr Full",#N/A,FALSE,"Tot Device";"Olk by Qtr Full",#N/A,FALSE,"Platform";"Olk by Qtr Full",#N/A,FALSE,"Palm.Net";"Olk by Qtr Full",#N/A,FALSE,"Elim"}</definedName>
    <definedName name="_____D33" hidden="1">{"Olk by Qtr Full",#N/A,FALSE,"Tot PalmPalm";"Olk by Qtr Full",#N/A,FALSE,"Tot Device";"Olk by Qtr Full",#N/A,FALSE,"Platform";"Olk by Qtr Full",#N/A,FALSE,"Palm.Net";"Olk by Qtr Full",#N/A,FALSE,"Elim"}</definedName>
    <definedName name="_____DCF1" localSheetId="0" hidden="1">{#N/A,#N/A,FALSE,"DCF Summary";#N/A,#N/A,FALSE,"Casema";#N/A,#N/A,FALSE,"Casema NoTel";#N/A,#N/A,FALSE,"UK";#N/A,#N/A,FALSE,"RCF";#N/A,#N/A,FALSE,"Intercable CZ";#N/A,#N/A,FALSE,"Interkabel P"}</definedName>
    <definedName name="_____DCF1" localSheetId="6" hidden="1">{#N/A,#N/A,FALSE,"DCF Summary";#N/A,#N/A,FALSE,"Casema";#N/A,#N/A,FALSE,"Casema NoTel";#N/A,#N/A,FALSE,"UK";#N/A,#N/A,FALSE,"RCF";#N/A,#N/A,FALSE,"Intercable CZ";#N/A,#N/A,FALSE,"Interkabel P"}</definedName>
    <definedName name="_____DCF1" hidden="1">{#N/A,#N/A,FALSE,"DCF Summary";#N/A,#N/A,FALSE,"Casema";#N/A,#N/A,FALSE,"Casema NoTel";#N/A,#N/A,FALSE,"UK";#N/A,#N/A,FALSE,"RCF";#N/A,#N/A,FALSE,"Intercable CZ";#N/A,#N/A,FALSE,"Interkabel P"}</definedName>
    <definedName name="_____JAN04" localSheetId="0" hidden="1">{#N/A,#N/A,FALSE,"PROFIT 11-95"}</definedName>
    <definedName name="_____JAN04" localSheetId="6" hidden="1">{#N/A,#N/A,FALSE,"PROFIT 11-95"}</definedName>
    <definedName name="_____JAN04" hidden="1">{#N/A,#N/A,FALSE,"PROFIT 11-95"}</definedName>
    <definedName name="_____JB1">#REF!</definedName>
    <definedName name="_____JB2">#REF!</definedName>
    <definedName name="_____JB3">#REF!</definedName>
    <definedName name="_____key1" hidden="1">#REF!</definedName>
    <definedName name="____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_ORD1" hidden="1">255</definedName>
    <definedName name="_____pr1">#REF!</definedName>
    <definedName name="_____pr2">#REF!</definedName>
    <definedName name="_____pr3">#REF!</definedName>
    <definedName name="_____Q3" localSheetId="0" hidden="1">{"'INDICE'!$A$1:$K$13","'1'!$A$1:$CC$78","'2'!$A$1:$P$78","'3'!$A$1:$CI$78","'4'!$A$1:$Q$78"}</definedName>
    <definedName name="_____Q3" localSheetId="6" hidden="1">{"'INDICE'!$A$1:$K$13","'1'!$A$1:$CC$78","'2'!$A$1:$P$78","'3'!$A$1:$CI$78","'4'!$A$1:$Q$78"}</definedName>
    <definedName name="_____Q3" hidden="1">{"'INDICE'!$A$1:$K$13","'1'!$A$1:$CC$78","'2'!$A$1:$P$78","'3'!$A$1:$CI$78","'4'!$A$1:$Q$78"}</definedName>
    <definedName name="_____Q3_1" localSheetId="0" hidden="1">{"'INDICE'!$A$1:$K$13","'1'!$A$1:$CC$78","'2'!$A$1:$P$78","'3'!$A$1:$CI$78","'4'!$A$1:$Q$78"}</definedName>
    <definedName name="_____Q3_1" localSheetId="6" hidden="1">{"'INDICE'!$A$1:$K$13","'1'!$A$1:$CC$78","'2'!$A$1:$P$78","'3'!$A$1:$CI$78","'4'!$A$1:$Q$78"}</definedName>
    <definedName name="_____Q3_1" hidden="1">{"'INDICE'!$A$1:$K$13","'1'!$A$1:$CC$78","'2'!$A$1:$P$78","'3'!$A$1:$CI$78","'4'!$A$1:$Q$78"}</definedName>
    <definedName name="_____re34"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_re34"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_re34"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_rr1" localSheetId="0" hidden="1">{"sch25",#N/A,FALSE,"Provisions &lt;1yr";"sch25a",#N/A,FALSE,"Provisions &lt;1yr"}</definedName>
    <definedName name="_____rr1" localSheetId="6" hidden="1">{"sch25",#N/A,FALSE,"Provisions &lt;1yr";"sch25a",#N/A,FALSE,"Provisions &lt;1yr"}</definedName>
    <definedName name="_____rr1" hidden="1">{"sch25",#N/A,FALSE,"Provisions &lt;1yr";"sch25a",#N/A,FALSE,"Provisions &lt;1yr"}</definedName>
    <definedName name="_____rr1_1" localSheetId="0" hidden="1">{"sch25",#N/A,FALSE,"Provisions &lt;1yr";"sch25a",#N/A,FALSE,"Provisions &lt;1yr"}</definedName>
    <definedName name="_____rr1_1" localSheetId="6" hidden="1">{"sch25",#N/A,FALSE,"Provisions &lt;1yr";"sch25a",#N/A,FALSE,"Provisions &lt;1yr"}</definedName>
    <definedName name="_____rr1_1" hidden="1">{"sch25",#N/A,FALSE,"Provisions &lt;1yr";"sch25a",#N/A,FALSE,"Provisions &lt;1yr"}</definedName>
    <definedName name="_____rr2" localSheetId="0" hidden="1">{"sch34",#N/A,FALSE,"Flash rec";"sch34a",#N/A,FALSE,"Flash rec";"sch34b",#N/A,FALSE,"Flash rec"}</definedName>
    <definedName name="_____rr2" localSheetId="6" hidden="1">{"sch34",#N/A,FALSE,"Flash rec";"sch34a",#N/A,FALSE,"Flash rec";"sch34b",#N/A,FALSE,"Flash rec"}</definedName>
    <definedName name="_____rr2" hidden="1">{"sch34",#N/A,FALSE,"Flash rec";"sch34a",#N/A,FALSE,"Flash rec";"sch34b",#N/A,FALSE,"Flash rec"}</definedName>
    <definedName name="_____rr2_1" localSheetId="0" hidden="1">{"sch34",#N/A,FALSE,"Flash rec";"sch34a",#N/A,FALSE,"Flash rec";"sch34b",#N/A,FALSE,"Flash rec"}</definedName>
    <definedName name="_____rr2_1" localSheetId="6" hidden="1">{"sch34",#N/A,FALSE,"Flash rec";"sch34a",#N/A,FALSE,"Flash rec";"sch34b",#N/A,FALSE,"Flash rec"}</definedName>
    <definedName name="_____rr2_1" hidden="1">{"sch34",#N/A,FALSE,"Flash rec";"sch34a",#N/A,FALSE,"Flash rec";"sch34b",#N/A,FALSE,"Flash rec"}</definedName>
    <definedName name="_____rr6" localSheetId="0" hidden="1">{"sch4a",#N/A,FALSE,"Expenses";"sch4b",#N/A,FALSE,"Expenses";"sch4c",#N/A,FALSE,"Expenses";"schd",#N/A,FALSE,"Expenses"}</definedName>
    <definedName name="_____rr6" localSheetId="6" hidden="1">{"sch4a",#N/A,FALSE,"Expenses";"sch4b",#N/A,FALSE,"Expenses";"sch4c",#N/A,FALSE,"Expenses";"schd",#N/A,FALSE,"Expenses"}</definedName>
    <definedName name="_____rr6" hidden="1">{"sch4a",#N/A,FALSE,"Expenses";"sch4b",#N/A,FALSE,"Expenses";"sch4c",#N/A,FALSE,"Expenses";"schd",#N/A,FALSE,"Expenses"}</definedName>
    <definedName name="_____rr6_1" localSheetId="0" hidden="1">{"sch4a",#N/A,FALSE,"Expenses";"sch4b",#N/A,FALSE,"Expenses";"sch4c",#N/A,FALSE,"Expenses";"schd",#N/A,FALSE,"Expenses"}</definedName>
    <definedName name="_____rr6_1" localSheetId="6" hidden="1">{"sch4a",#N/A,FALSE,"Expenses";"sch4b",#N/A,FALSE,"Expenses";"sch4c",#N/A,FALSE,"Expenses";"schd",#N/A,FALSE,"Expenses"}</definedName>
    <definedName name="_____rr6_1" hidden="1">{"sch4a",#N/A,FALSE,"Expenses";"sch4b",#N/A,FALSE,"Expenses";"sch4c",#N/A,FALSE,"Expenses";"schd",#N/A,FALSE,"Expenses"}</definedName>
    <definedName name="_____rrr3" localSheetId="0" hidden="1">{"sch7a",#N/A,FALSE,"Interest pd";"sch7b",#N/A,FALSE,"Interest pd"}</definedName>
    <definedName name="_____rrr3" localSheetId="6" hidden="1">{"sch7a",#N/A,FALSE,"Interest pd";"sch7b",#N/A,FALSE,"Interest pd"}</definedName>
    <definedName name="_____rrr3" hidden="1">{"sch7a",#N/A,FALSE,"Interest pd";"sch7b",#N/A,FALSE,"Interest pd"}</definedName>
    <definedName name="_____rrr3_1" localSheetId="0" hidden="1">{"sch7a",#N/A,FALSE,"Interest pd";"sch7b",#N/A,FALSE,"Interest pd"}</definedName>
    <definedName name="_____rrr3_1" localSheetId="6" hidden="1">{"sch7a",#N/A,FALSE,"Interest pd";"sch7b",#N/A,FALSE,"Interest pd"}</definedName>
    <definedName name="_____rrr3_1" hidden="1">{"sch7a",#N/A,FALSE,"Interest pd";"sch7b",#N/A,FALSE,"Interest pd"}</definedName>
    <definedName name="_____rrr4" localSheetId="0" hidden="1">{"sch30",#N/A,FALSE,"Reserves";"sch30a",#N/A,FALSE,"Reserves";"sch30b",#N/A,FALSE,"Reserves"}</definedName>
    <definedName name="_____rrr4" localSheetId="6" hidden="1">{"sch30",#N/A,FALSE,"Reserves";"sch30a",#N/A,FALSE,"Reserves";"sch30b",#N/A,FALSE,"Reserves"}</definedName>
    <definedName name="_____rrr4" hidden="1">{"sch30",#N/A,FALSE,"Reserves";"sch30a",#N/A,FALSE,"Reserves";"sch30b",#N/A,FALSE,"Reserves"}</definedName>
    <definedName name="_____rrr4_1" localSheetId="0" hidden="1">{"sch30",#N/A,FALSE,"Reserves";"sch30a",#N/A,FALSE,"Reserves";"sch30b",#N/A,FALSE,"Reserves"}</definedName>
    <definedName name="_____rrr4_1" localSheetId="6" hidden="1">{"sch30",#N/A,FALSE,"Reserves";"sch30a",#N/A,FALSE,"Reserves";"sch30b",#N/A,FALSE,"Reserves"}</definedName>
    <definedName name="_____rrr4_1" hidden="1">{"sch30",#N/A,FALSE,"Reserves";"sch30a",#N/A,FALSE,"Reserves";"sch30b",#N/A,FALSE,"Reserves"}</definedName>
    <definedName name="_____t1"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1"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1"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2"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2"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2"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3"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3"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3"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4"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4"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4"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5"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5"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t5"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____z2" localSheetId="0" hidden="1">{"Sch00",#N/A,FALSE,"1";"Contents",#N/A,FALSE,"1"}</definedName>
    <definedName name="_____z2" localSheetId="6" hidden="1">{"Sch00",#N/A,FALSE,"1";"Contents",#N/A,FALSE,"1"}</definedName>
    <definedName name="_____z2" hidden="1">{"Sch00",#N/A,FALSE,"1";"Contents",#N/A,FALSE,"1"}</definedName>
    <definedName name="_____z3" localSheetId="0" hidden="1">{"Sch01",#N/A,FALSE,"2";"Sch02",#N/A,FALSE,"2";"Sch03",#N/A,FALSE,"2";"Sch04",#N/A,FALSE,"2";"Sch05",#N/A,FALSE,"2";"Sch06",#N/A,FALSE,"2";"Sch17",#N/A,FALSE,"2";"Sch19",#N/A,FALSE,"2";"Sch20",#N/A,FALSE,"2";"Sch21",#N/A,FALSE,"2";"Sch26",#N/A,FALSE,"2"}</definedName>
    <definedName name="_____z3" localSheetId="6" hidden="1">{"Sch01",#N/A,FALSE,"2";"Sch02",#N/A,FALSE,"2";"Sch03",#N/A,FALSE,"2";"Sch04",#N/A,FALSE,"2";"Sch05",#N/A,FALSE,"2";"Sch06",#N/A,FALSE,"2";"Sch17",#N/A,FALSE,"2";"Sch19",#N/A,FALSE,"2";"Sch20",#N/A,FALSE,"2";"Sch21",#N/A,FALSE,"2";"Sch26",#N/A,FALSE,"2"}</definedName>
    <definedName name="_____z3" hidden="1">{"Sch01",#N/A,FALSE,"2";"Sch02",#N/A,FALSE,"2";"Sch03",#N/A,FALSE,"2";"Sch04",#N/A,FALSE,"2";"Sch05",#N/A,FALSE,"2";"Sch06",#N/A,FALSE,"2";"Sch17",#N/A,FALSE,"2";"Sch19",#N/A,FALSE,"2";"Sch20",#N/A,FALSE,"2";"Sch21",#N/A,FALSE,"2";"Sch26",#N/A,FALSE,"2"}</definedName>
    <definedName name="_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2Dist_Val" hidden="1">#REF!</definedName>
    <definedName name="____3_0_Dist_Val" hidden="1">#REF!</definedName>
    <definedName name="____A1" localSheetId="6" hidden="1">{"year1",#N/A,FALSE,"IZT";"year2",#N/A,FALSE,"IZT"}</definedName>
    <definedName name="____A1" hidden="1">{"year1",#N/A,FALSE,"IZT";"year2",#N/A,FALSE,"IZT"}</definedName>
    <definedName name="____abc123" localSheetId="0" hidden="1">{#N/A,#N/A,FALSE,"PROFIT 11-95"}</definedName>
    <definedName name="____abc123" localSheetId="6" hidden="1">{#N/A,#N/A,FALSE,"PROFIT 11-95"}</definedName>
    <definedName name="____abc123" hidden="1">{#N/A,#N/A,FALSE,"PROFIT 11-95"}</definedName>
    <definedName name="____br1" localSheetId="6" hidden="1">{"Quarter1",#N/A,FALSE,"Sheet1";"Quarter2",#N/A,FALSE,"Sheet1";"Quarter3",#N/A,FALSE,"Sheet1";"Quarter4",#N/A,FALSE,"Sheet1"}</definedName>
    <definedName name="____br1" hidden="1">{"Quarter1",#N/A,FALSE,"Sheet1";"Quarter2",#N/A,FALSE,"Sheet1";"Quarter3",#N/A,FALSE,"Sheet1";"Quarter4",#N/A,FALSE,"Sheet1"}</definedName>
    <definedName name="____C100033">#REF!</definedName>
    <definedName name="____C65600">#REF!</definedName>
    <definedName name="____C65800">#REF!</definedName>
    <definedName name="____C66000">#REF!</definedName>
    <definedName name="____C69000">#REF!</definedName>
    <definedName name="____C70000">#REF!</definedName>
    <definedName name="____C90000">#REF!</definedName>
    <definedName name="____CAF1" localSheetId="6" hidden="1">{"Wellhead",#N/A,FALSE,"Sheet4";"Casing",#N/A,FALSE,"Sheet4"}</definedName>
    <definedName name="____CAF1" hidden="1">{"Wellhead",#N/A,FALSE,"Sheet4";"Casing",#N/A,FALSE,"Sheet4"}</definedName>
    <definedName name="____cap382">#REF!</definedName>
    <definedName name="____con1" localSheetId="0" hidden="1">{#N/A,#N/A,TRUE,"PROFIT 11-95"}</definedName>
    <definedName name="____con1" localSheetId="6" hidden="1">{#N/A,#N/A,TRUE,"PROFIT 11-95"}</definedName>
    <definedName name="____con1" hidden="1">{#N/A,#N/A,TRUE,"PROFIT 11-95"}</definedName>
    <definedName name="____con2" localSheetId="0" hidden="1">{#N/A,#N/A,TRUE,"PROFIT 11-95"}</definedName>
    <definedName name="____con2" localSheetId="6" hidden="1">{#N/A,#N/A,TRUE,"PROFIT 11-95"}</definedName>
    <definedName name="____con2" hidden="1">{#N/A,#N/A,TRUE,"PROFIT 11-95"}</definedName>
    <definedName name="____D33" localSheetId="0" hidden="1">{"Olk by Qtr Full",#N/A,FALSE,"Tot PalmPalm";"Olk by Qtr Full",#N/A,FALSE,"Tot Device";"Olk by Qtr Full",#N/A,FALSE,"Platform";"Olk by Qtr Full",#N/A,FALSE,"Palm.Net";"Olk by Qtr Full",#N/A,FALSE,"Elim"}</definedName>
    <definedName name="____D33" localSheetId="6" hidden="1">{"Olk by Qtr Full",#N/A,FALSE,"Tot PalmPalm";"Olk by Qtr Full",#N/A,FALSE,"Tot Device";"Olk by Qtr Full",#N/A,FALSE,"Platform";"Olk by Qtr Full",#N/A,FALSE,"Palm.Net";"Olk by Qtr Full",#N/A,FALSE,"Elim"}</definedName>
    <definedName name="____D33" hidden="1">{"Olk by Qtr Full",#N/A,FALSE,"Tot PalmPalm";"Olk by Qtr Full",#N/A,FALSE,"Tot Device";"Olk by Qtr Full",#N/A,FALSE,"Platform";"Olk by Qtr Full",#N/A,FALSE,"Palm.Net";"Olk by Qtr Full",#N/A,FALSE,"Elim"}</definedName>
    <definedName name="____DCF1" localSheetId="0" hidden="1">{#N/A,#N/A,FALSE,"DCF Summary";#N/A,#N/A,FALSE,"Casema";#N/A,#N/A,FALSE,"Casema NoTel";#N/A,#N/A,FALSE,"UK";#N/A,#N/A,FALSE,"RCF";#N/A,#N/A,FALSE,"Intercable CZ";#N/A,#N/A,FALSE,"Interkabel P"}</definedName>
    <definedName name="____DCF1" localSheetId="6" hidden="1">{#N/A,#N/A,FALSE,"DCF Summary";#N/A,#N/A,FALSE,"Casema";#N/A,#N/A,FALSE,"Casema NoTel";#N/A,#N/A,FALSE,"UK";#N/A,#N/A,FALSE,"RCF";#N/A,#N/A,FALSE,"Intercable CZ";#N/A,#N/A,FALSE,"Interkabel P"}</definedName>
    <definedName name="____DCF1" hidden="1">{#N/A,#N/A,FALSE,"DCF Summary";#N/A,#N/A,FALSE,"Casema";#N/A,#N/A,FALSE,"Casema NoTel";#N/A,#N/A,FALSE,"UK";#N/A,#N/A,FALSE,"RCF";#N/A,#N/A,FALSE,"Intercable CZ";#N/A,#N/A,FALSE,"Interkabel P"}</definedName>
    <definedName name="____exp2" localSheetId="6" hidden="1">{"VIEW1",#N/A,FALSE,"P&amp;L Account 2001-2002";"VIEW2",#N/A,FALSE,"P&amp;L Account 2001-2002";"VIEW3",#N/A,FALSE,"P&amp;L Account 2001-2002";"VIEW4",#N/A,FALSE,"P&amp;L Account 2001-2002"}</definedName>
    <definedName name="____exp2" hidden="1">{"VIEW1",#N/A,FALSE,"P&amp;L Account 2001-2002";"VIEW2",#N/A,FALSE,"P&amp;L Account 2001-2002";"VIEW3",#N/A,FALSE,"P&amp;L Account 2001-2002";"VIEW4",#N/A,FALSE,"P&amp;L Account 2001-2002"}</definedName>
    <definedName name="____fr1"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_fr1" hidden="1">{#N/A,#N/A,TRUE,"Sensonic";#N/A,#N/A,TRUE,"Combimeter";#N/A,#N/A,TRUE,"HKV";#N/A,#N/A,TRUE,"TV";#N/A,#N/A,TRUE,"WZ";#N/A,#N/A,TRUE,"PrepHeatCon";#N/A,#N/A,TRUE,"Sonstiges";#N/A,#N/A,TRUE,"Abrechnung";#N/A,#N/A,TRUE,"Investitionen";#N/A,#N/A,TRUE,"Personal";#N/A,#N/A,TRUE,"sonstige Kosten u. Erträge";#N/A,#N/A,TRUE,"BER";#N/A,#N/A,TRUE,"Monatsaufteilung Budget 1997"}</definedName>
    <definedName name="____fr1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_fr12" hidden="1">{#N/A,#N/A,TRUE,"Sensonic";#N/A,#N/A,TRUE,"Combimeter";#N/A,#N/A,TRUE,"HKV";#N/A,#N/A,TRUE,"TV";#N/A,#N/A,TRUE,"WZ";#N/A,#N/A,TRUE,"PrepHeatCon";#N/A,#N/A,TRUE,"Sonstiges";#N/A,#N/A,TRUE,"Abrechnung";#N/A,#N/A,TRUE,"Investitionen";#N/A,#N/A,TRUE,"Personal";#N/A,#N/A,TRUE,"sonstige Kosten u. Erträge";#N/A,#N/A,TRUE,"BER";#N/A,#N/A,TRUE,"Monatsaufteilung Budget 1997"}</definedName>
    <definedName name="____fr14"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_fr14" hidden="1">{#N/A,#N/A,TRUE,"Sensonic";#N/A,#N/A,TRUE,"Combimeter";#N/A,#N/A,TRUE,"HKV";#N/A,#N/A,TRUE,"TV";#N/A,#N/A,TRUE,"WZ";#N/A,#N/A,TRUE,"PrepHeatCon";#N/A,#N/A,TRUE,"Sonstiges";#N/A,#N/A,TRUE,"Abrechnung";#N/A,#N/A,TRUE,"Investitionen";#N/A,#N/A,TRUE,"Personal";#N/A,#N/A,TRUE,"sonstige Kosten u. Erträge";#N/A,#N/A,TRUE,"BER";#N/A,#N/A,TRUE,"Monatsaufteilung Budget 1997"}</definedName>
    <definedName name="____fr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_fr2" hidden="1">{#N/A,#N/A,TRUE,"Sensonic";#N/A,#N/A,TRUE,"Combimeter";#N/A,#N/A,TRUE,"HKV";#N/A,#N/A,TRUE,"TV";#N/A,#N/A,TRUE,"WZ";#N/A,#N/A,TRUE,"PrepHeatCon";#N/A,#N/A,TRUE,"Sonstiges";#N/A,#N/A,TRUE,"Abrechnung";#N/A,#N/A,TRUE,"Investitionen";#N/A,#N/A,TRUE,"Personal";#N/A,#N/A,TRUE,"sonstige Kosten u. Erträge";#N/A,#N/A,TRUE,"BER";#N/A,#N/A,TRUE,"Monatsaufteilung Budget 1997"}</definedName>
    <definedName name="____fr20"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_fr20" hidden="1">{#N/A,#N/A,TRUE,"Sensonic";#N/A,#N/A,TRUE,"Combimeter";#N/A,#N/A,TRUE,"HKV";#N/A,#N/A,TRUE,"TV";#N/A,#N/A,TRUE,"WZ";#N/A,#N/A,TRUE,"PrepHeatCon";#N/A,#N/A,TRUE,"Sonstiges";#N/A,#N/A,TRUE,"Abrechnung";#N/A,#N/A,TRUE,"Investitionen";#N/A,#N/A,TRUE,"Personal";#N/A,#N/A,TRUE,"sonstige Kosten u. Erträge";#N/A,#N/A,TRUE,"BER";#N/A,#N/A,TRUE,"Monatsaufteilung Budget 1997"}</definedName>
    <definedName name="____FSE8" localSheetId="6" hidden="1">{"VIEW1",#N/A,FALSE,"P&amp;L Account 2001-2002";"VIEW2",#N/A,FALSE,"P&amp;L Account 2001-2002";"VIEW3",#N/A,FALSE,"P&amp;L Account 2001-2002";"VIEW4",#N/A,FALSE,"P&amp;L Account 2001-2002"}</definedName>
    <definedName name="____FSE8" hidden="1">{"VIEW1",#N/A,FALSE,"P&amp;L Account 2001-2002";"VIEW2",#N/A,FALSE,"P&amp;L Account 2001-2002";"VIEW3",#N/A,FALSE,"P&amp;L Account 2001-2002";"VIEW4",#N/A,FALSE,"P&amp;L Account 2001-2002"}</definedName>
    <definedName name="____i3" localSheetId="0" hidden="1">{"vue1",#N/A,FALSE,"synthese";"vue2",#N/A,FALSE,"synthese"}</definedName>
    <definedName name="____i3" localSheetId="6" hidden="1">{"vue1",#N/A,FALSE,"synthese";"vue2",#N/A,FALSE,"synthese"}</definedName>
    <definedName name="____i3" hidden="1">{"vue1",#N/A,FALSE,"synthese";"vue2",#N/A,FALSE,"synthese"}</definedName>
    <definedName name="____JB1">#REF!</definedName>
    <definedName name="____JB2">#REF!</definedName>
    <definedName name="____key1" hidden="1">#REF!</definedName>
    <definedName name="____key2" hidden="1">#REF!</definedName>
    <definedName name="____l08" localSheetId="0" hidden="1">{"vue1",#N/A,FALSE,"synthese";"vue2",#N/A,FALSE,"synthese"}</definedName>
    <definedName name="____l08" localSheetId="6" hidden="1">{"vue1",#N/A,FALSE,"synthese";"vue2",#N/A,FALSE,"synthese"}</definedName>
    <definedName name="____l08" hidden="1">{"vue1",#N/A,FALSE,"synthese";"vue2",#N/A,FALSE,"synthese"}</definedName>
    <definedName name="____NEW1" localSheetId="6" hidden="1">{"VIEW1",#N/A,FALSE,"P&amp;L Account 2001-2002";"VIEW2",#N/A,FALSE,"P&amp;L Account 2001-2002";"VIEW3",#N/A,FALSE,"P&amp;L Account 2001-2002";"VIEW4",#N/A,FALSE,"P&amp;L Account 2001-2002"}</definedName>
    <definedName name="____NEW1" hidden="1">{"VIEW1",#N/A,FALSE,"P&amp;L Account 2001-2002";"VIEW2",#N/A,FALSE,"P&amp;L Account 2001-2002";"VIEW3",#N/A,FALSE,"P&amp;L Account 2001-2002";"VIEW4",#N/A,FALSE,"P&amp;L Account 2001-2002"}</definedName>
    <definedName name="____NEW2" localSheetId="6" hidden="1">{"VIEW1",#N/A,FALSE,"P&amp;L Account 2001-2002";"VIEW2",#N/A,FALSE,"P&amp;L Account 2001-2002";"VIEW3",#N/A,FALSE,"P&amp;L Account 2001-2002";"VIEW4",#N/A,FALSE,"P&amp;L Account 2001-2002"}</definedName>
    <definedName name="____NEW2" hidden="1">{"VIEW1",#N/A,FALSE,"P&amp;L Account 2001-2002";"VIEW2",#N/A,FALSE,"P&amp;L Account 2001-2002";"VIEW3",#N/A,FALSE,"P&amp;L Account 2001-2002";"VIEW4",#N/A,FALSE,"P&amp;L Account 2001-2002"}</definedName>
    <definedName name="____Ns123456">#REF!</definedName>
    <definedName name="___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_ORD1" hidden="1">255</definedName>
    <definedName name="____pr1">#REF!</definedName>
    <definedName name="____pr2">#REF!</definedName>
    <definedName name="____pr3">#REF!</definedName>
    <definedName name="____re34"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re34"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re34"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_s3" localSheetId="6" hidden="1">{"VIEW1",#N/A,FALSE,"P&amp;L Account 2001-2002";"VIEW2",#N/A,FALSE,"P&amp;L Account 2001-2002";"VIEW3",#N/A,FALSE,"P&amp;L Account 2001-2002";"VIEW4",#N/A,FALSE,"P&amp;L Account 2001-2002"}</definedName>
    <definedName name="____s3" hidden="1">{"VIEW1",#N/A,FALSE,"P&amp;L Account 2001-2002";"VIEW2",#N/A,FALSE,"P&amp;L Account 2001-2002";"VIEW3",#N/A,FALSE,"P&amp;L Account 2001-2002";"VIEW4",#N/A,FALSE,"P&amp;L Account 2001-2002"}</definedName>
    <definedName name="____S5" localSheetId="6" hidden="1">{"VIEW1",#N/A,FALSE,"P&amp;L Account 2001-2002";"VIEW2",#N/A,FALSE,"P&amp;L Account 2001-2002";"VIEW3",#N/A,FALSE,"P&amp;L Account 2001-2002";"VIEW4",#N/A,FALSE,"P&amp;L Account 2001-2002"}</definedName>
    <definedName name="____S5" hidden="1">{"VIEW1",#N/A,FALSE,"P&amp;L Account 2001-2002";"VIEW2",#N/A,FALSE,"P&amp;L Account 2001-2002";"VIEW3",#N/A,FALSE,"P&amp;L Account 2001-2002";"VIEW4",#N/A,FALSE,"P&amp;L Account 2001-2002"}</definedName>
    <definedName name="____vid5" localSheetId="6" hidden="1">{"VIEW1",#N/A,FALSE,"P&amp;L Account 2001-2002";"VIEW2",#N/A,FALSE,"P&amp;L Account 2001-2002";"VIEW3",#N/A,FALSE,"P&amp;L Account 2001-2002";"VIEW4",#N/A,FALSE,"P&amp;L Account 2001-2002"}</definedName>
    <definedName name="____vid5" hidden="1">{"VIEW1",#N/A,FALSE,"P&amp;L Account 2001-2002";"VIEW2",#N/A,FALSE,"P&amp;L Account 2001-2002";"VIEW3",#N/A,FALSE,"P&amp;L Account 2001-2002";"VIEW4",#N/A,FALSE,"P&amp;L Account 2001-2002"}</definedName>
    <definedName name="____vid6" localSheetId="6" hidden="1">{"VIEW1",#N/A,FALSE,"P&amp;L Account 2001-2002";"VIEW2",#N/A,FALSE,"P&amp;L Account 2001-2002";"VIEW3",#N/A,FALSE,"P&amp;L Account 2001-2002";"VIEW4",#N/A,FALSE,"P&amp;L Account 2001-2002"}</definedName>
    <definedName name="____vid6" hidden="1">{"VIEW1",#N/A,FALSE,"P&amp;L Account 2001-2002";"VIEW2",#N/A,FALSE,"P&amp;L Account 2001-2002";"VIEW3",#N/A,FALSE,"P&amp;L Account 2001-2002";"VIEW4",#N/A,FALSE,"P&amp;L Account 2001-2002"}</definedName>
    <definedName name="____VID7" localSheetId="6" hidden="1">{"VIEW1",#N/A,FALSE,"P&amp;L Account 2001-2002";"VIEW2",#N/A,FALSE,"P&amp;L Account 2001-2002";"VIEW3",#N/A,FALSE,"P&amp;L Account 2001-2002";"VIEW4",#N/A,FALSE,"P&amp;L Account 2001-2002"}</definedName>
    <definedName name="____VID7" hidden="1">{"VIEW1",#N/A,FALSE,"P&amp;L Account 2001-2002";"VIEW2",#N/A,FALSE,"P&amp;L Account 2001-2002";"VIEW3",#N/A,FALSE,"P&amp;L Account 2001-2002";"VIEW4",#N/A,FALSE,"P&amp;L Account 2001-2002"}</definedName>
    <definedName name="____VIR5" localSheetId="6" hidden="1">{"VIEW1",#N/A,FALSE,"P&amp;L Account 2001-2002";"VIEW2",#N/A,FALSE,"P&amp;L Account 2001-2002";"VIEW3",#N/A,FALSE,"P&amp;L Account 2001-2002";"VIEW4",#N/A,FALSE,"P&amp;L Account 2001-2002"}</definedName>
    <definedName name="____VIR5" hidden="1">{"VIEW1",#N/A,FALSE,"P&amp;L Account 2001-2002";"VIEW2",#N/A,FALSE,"P&amp;L Account 2001-2002";"VIEW3",#N/A,FALSE,"P&amp;L Account 2001-2002";"VIEW4",#N/A,FALSE,"P&amp;L Account 2001-2002"}</definedName>
    <definedName name="____VIR6" localSheetId="6" hidden="1">{"VIEW1",#N/A,FALSE,"P&amp;L Account 2001-2002";"VIEW2",#N/A,FALSE,"P&amp;L Account 2001-2002";"VIEW3",#N/A,FALSE,"P&amp;L Account 2001-2002";"VIEW4",#N/A,FALSE,"P&amp;L Account 2001-2002"}</definedName>
    <definedName name="____VIR6" hidden="1">{"VIEW1",#N/A,FALSE,"P&amp;L Account 2001-2002";"VIEW2",#N/A,FALSE,"P&amp;L Account 2001-2002";"VIEW3",#N/A,FALSE,"P&amp;L Account 2001-2002";"VIEW4",#N/A,FALSE,"P&amp;L Account 2001-2002"}</definedName>
    <definedName name="____wrm3" localSheetId="0" hidden="1">{"vue1",#N/A,FALSE,"synthese";"vue2",#N/A,FALSE,"synthese"}</definedName>
    <definedName name="____wrm3" localSheetId="6" hidden="1">{"vue1",#N/A,FALSE,"synthese";"vue2",#N/A,FALSE,"synthese"}</definedName>
    <definedName name="____wrm3" hidden="1">{"vue1",#N/A,FALSE,"synthese";"vue2",#N/A,FALSE,"synthese"}</definedName>
    <definedName name="____wrn2" localSheetId="0" hidden="1">{"vue1",#N/A,FALSE,"synthese";"vue2",#N/A,FALSE,"synthese"}</definedName>
    <definedName name="____wrn2" localSheetId="6" hidden="1">{"vue1",#N/A,FALSE,"synthese";"vue2",#N/A,FALSE,"synthese"}</definedName>
    <definedName name="____wrn2" hidden="1">{"vue1",#N/A,FALSE,"synthese";"vue2",#N/A,FALSE,"synthese"}</definedName>
    <definedName name="____wrn3" localSheetId="0" hidden="1">{"vue1",#N/A,FALSE,"synthese";"vue2",#N/A,FALSE,"synthese"}</definedName>
    <definedName name="____wrn3" localSheetId="6" hidden="1">{"vue1",#N/A,FALSE,"synthese";"vue2",#N/A,FALSE,"synthese"}</definedName>
    <definedName name="____wrn3" hidden="1">{"vue1",#N/A,FALSE,"synthese";"vue2",#N/A,FALSE,"synthese"}</definedName>
    <definedName name="____WWW1" localSheetId="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_WWW1" localSheetId="6"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_WW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_xlfn.BAHTTEXT" hidden="1">#NAME?</definedName>
    <definedName name="____z2" localSheetId="0" hidden="1">{"Sch00",#N/A,FALSE,"1";"Contents",#N/A,FALSE,"1"}</definedName>
    <definedName name="____z2" localSheetId="6" hidden="1">{"Sch00",#N/A,FALSE,"1";"Contents",#N/A,FALSE,"1"}</definedName>
    <definedName name="____z2" hidden="1">{"Sch00",#N/A,FALSE,"1";"Contents",#N/A,FALSE,"1"}</definedName>
    <definedName name="____z3" localSheetId="0" hidden="1">{"Sch01",#N/A,FALSE,"2";"Sch02",#N/A,FALSE,"2";"Sch03",#N/A,FALSE,"2";"Sch04",#N/A,FALSE,"2";"Sch05",#N/A,FALSE,"2";"Sch06",#N/A,FALSE,"2";"Sch17",#N/A,FALSE,"2";"Sch19",#N/A,FALSE,"2";"Sch20",#N/A,FALSE,"2";"Sch21",#N/A,FALSE,"2";"Sch26",#N/A,FALSE,"2"}</definedName>
    <definedName name="____z3" localSheetId="6" hidden="1">{"Sch01",#N/A,FALSE,"2";"Sch02",#N/A,FALSE,"2";"Sch03",#N/A,FALSE,"2";"Sch04",#N/A,FALSE,"2";"Sch05",#N/A,FALSE,"2";"Sch06",#N/A,FALSE,"2";"Sch17",#N/A,FALSE,"2";"Sch19",#N/A,FALSE,"2";"Sch20",#N/A,FALSE,"2";"Sch21",#N/A,FALSE,"2";"Sch26",#N/A,FALSE,"2"}</definedName>
    <definedName name="____z3" hidden="1">{"Sch01",#N/A,FALSE,"2";"Sch02",#N/A,FALSE,"2";"Sch03",#N/A,FALSE,"2";"Sch04",#N/A,FALSE,"2";"Sch05",#N/A,FALSE,"2";"Sch06",#N/A,FALSE,"2";"Sch17",#N/A,FALSE,"2";"Sch19",#N/A,FALSE,"2";"Sch20",#N/A,FALSE,"2";"Sch21",#N/A,FALSE,"2";"Sch26",#N/A,FALSE,"2"}</definedName>
    <definedName name="_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1__123Graph_ACHART_12" hidden="1">#REF!</definedName>
    <definedName name="___10__123Graph_BCHART_16" hidden="1">#REF!</definedName>
    <definedName name="___11__123Graph_BCHART_17" hidden="1">#REF!</definedName>
    <definedName name="___12__123Graph_BCHART_22" hidden="1">#REF!</definedName>
    <definedName name="___13__123Graph_CCHART_15" hidden="1">#REF!</definedName>
    <definedName name="___14__123Graph_CCHART_16" hidden="1">#REF!</definedName>
    <definedName name="___15__123Graph_CCHART_17" hidden="1">#REF!</definedName>
    <definedName name="___16__123Graph_CCHART_22" hidden="1">#REF!</definedName>
    <definedName name="___17__123Graph_CSEG_PIE" hidden="1">#REF!</definedName>
    <definedName name="___18__123Graph_DCHART_15" hidden="1">#REF!</definedName>
    <definedName name="___19__123Graph_DCHART_16" hidden="1">#REF!</definedName>
    <definedName name="___2__123Graph_ACHART_15" hidden="1">#REF!</definedName>
    <definedName name="___20__123Graph_DCHART_17" hidden="1">#REF!</definedName>
    <definedName name="___21__123Graph_DCHART_22" hidden="1">#REF!</definedName>
    <definedName name="___22__123Graph_ECHART_15" hidden="1">#REF!</definedName>
    <definedName name="___23__123Graph_ECHART_16" hidden="1">#REF!</definedName>
    <definedName name="___24__123Graph_ECHART_17" hidden="1">#REF!</definedName>
    <definedName name="___25__123Graph_ECHART_22" hidden="1">#REF!</definedName>
    <definedName name="___26__123Graph_FCHART_15" hidden="1">#REF!</definedName>
    <definedName name="___27__123Graph_FCHART_16" hidden="1">#REF!</definedName>
    <definedName name="___28__123Graph_FCHART_17" hidden="1">#REF!</definedName>
    <definedName name="___29__123Graph_FCHART_22" hidden="1">#REF!</definedName>
    <definedName name="___2Dist_Val" hidden="1">#REF!</definedName>
    <definedName name="___3__123Graph_ACHART_16" hidden="1">#REF!</definedName>
    <definedName name="___3_0_Dist_Val" hidden="1">#REF!</definedName>
    <definedName name="___30__123Graph_XCHART_15" hidden="1">#REF!</definedName>
    <definedName name="___31__123Graph_XCHART_16" hidden="1">#REF!</definedName>
    <definedName name="___32__123Graph_XCHART_17" hidden="1">#REF!</definedName>
    <definedName name="___33__123Graph_XCHART_18" hidden="1">#REF!</definedName>
    <definedName name="___34__123Graph_XCHART_19" hidden="1">#REF!</definedName>
    <definedName name="___35__123Graph_XCHART_22" hidden="1">#REF!</definedName>
    <definedName name="___36__123Graph_XSEG_PIE" hidden="1">#REF!</definedName>
    <definedName name="___4__123Graph_ACHART_17" hidden="1">#REF!</definedName>
    <definedName name="___5__123Graph_ACHART_18" hidden="1">#REF!</definedName>
    <definedName name="___6__123Graph_ACHART_19" hidden="1">#REF!</definedName>
    <definedName name="___7__123Graph_ACHART_21" hidden="1">#REF!</definedName>
    <definedName name="___8__123Graph_ASEG_PIE" hidden="1">#REF!</definedName>
    <definedName name="___9__123Graph_BCHART_15" hidden="1">#REF!</definedName>
    <definedName name="___A1" localSheetId="6" hidden="1">{"year1",#N/A,FALSE,"IZT";"year2",#N/A,FALSE,"IZT"}</definedName>
    <definedName name="___A1" hidden="1">{"year1",#N/A,FALSE,"IZT";"year2",#N/A,FALSE,"IZT"}</definedName>
    <definedName name="___A11" localSheetId="0" hidden="1">{#N/A,#N/A,FALSE,"Umsatz 99";#N/A,#N/A,FALSE,"ER 99 "}</definedName>
    <definedName name="___A11" localSheetId="6" hidden="1">{#N/A,#N/A,FALSE,"Umsatz 99";#N/A,#N/A,FALSE,"ER 99 "}</definedName>
    <definedName name="___A11" hidden="1">{#N/A,#N/A,FALSE,"Umsatz 99";#N/A,#N/A,FALSE,"ER 99 "}</definedName>
    <definedName name="___abc123" localSheetId="0" hidden="1">{#N/A,#N/A,FALSE,"PROFIT 11-95"}</definedName>
    <definedName name="___abc123" localSheetId="6" hidden="1">{#N/A,#N/A,FALSE,"PROFIT 11-95"}</definedName>
    <definedName name="___abc123" hidden="1">{#N/A,#N/A,FALSE,"PROFIT 11-95"}</definedName>
    <definedName name="___abc2" localSheetId="0" hidden="1">{#N/A,#N/A,TRUE,"Cover sheet";#N/A,#N/A,TRUE,"Summary";#N/A,#N/A,TRUE,"Key Assumptions";#N/A,#N/A,TRUE,"Profit &amp; Loss";#N/A,#N/A,TRUE,"Balance Sheet";#N/A,#N/A,TRUE,"Cashflow";#N/A,#N/A,TRUE,"IRR";#N/A,#N/A,TRUE,"Ratios";#N/A,#N/A,TRUE,"Debt analysis"}</definedName>
    <definedName name="___abc2" localSheetId="6" hidden="1">{#N/A,#N/A,TRUE,"Cover sheet";#N/A,#N/A,TRUE,"Summary";#N/A,#N/A,TRUE,"Key Assumptions";#N/A,#N/A,TRUE,"Profit &amp; Loss";#N/A,#N/A,TRUE,"Balance Sheet";#N/A,#N/A,TRUE,"Cashflow";#N/A,#N/A,TRUE,"IRR";#N/A,#N/A,TRUE,"Ratios";#N/A,#N/A,TRUE,"Debt analysis"}</definedName>
    <definedName name="___abc2" hidden="1">{#N/A,#N/A,TRUE,"Cover sheet";#N/A,#N/A,TRUE,"Summary";#N/A,#N/A,TRUE,"Key Assumptions";#N/A,#N/A,TRUE,"Profit &amp; Loss";#N/A,#N/A,TRUE,"Balance Sheet";#N/A,#N/A,TRUE,"Cashflow";#N/A,#N/A,TRUE,"IRR";#N/A,#N/A,TRUE,"Ratios";#N/A,#N/A,TRUE,"Debt analysis"}</definedName>
    <definedName name="___amr3">#REF!</definedName>
    <definedName name="___br1" localSheetId="6" hidden="1">{"Quarter1",#N/A,FALSE,"Sheet1";"Quarter2",#N/A,FALSE,"Sheet1";"Quarter3",#N/A,FALSE,"Sheet1";"Quarter4",#N/A,FALSE,"Sheet1"}</definedName>
    <definedName name="___br1" hidden="1">{"Quarter1",#N/A,FALSE,"Sheet1";"Quarter2",#N/A,FALSE,"Sheet1";"Quarter3",#N/A,FALSE,"Sheet1";"Quarter4",#N/A,FALSE,"Sheet1"}</definedName>
    <definedName name="___C100033">#REF!</definedName>
    <definedName name="___C65600">#REF!</definedName>
    <definedName name="___C65800">#REF!</definedName>
    <definedName name="___C66000">#REF!</definedName>
    <definedName name="___C69000">#REF!</definedName>
    <definedName name="___C70000">#REF!</definedName>
    <definedName name="___C90000">#REF!</definedName>
    <definedName name="___cap382">#REF!</definedName>
    <definedName name="___Co50" localSheetId="0" hidden="1">{#N/A,"DR",FALSE,"increm pf";#N/A,"MAMSI",FALSE,"increm pf";#N/A,"MAXI",FALSE,"increm pf";#N/A,"PCAM",FALSE,"increm pf";#N/A,"PHSV",FALSE,"increm pf";#N/A,"SIE",FALSE,"increm pf"}</definedName>
    <definedName name="___Co50" localSheetId="6" hidden="1">{#N/A,"DR",FALSE,"increm pf";#N/A,"MAMSI",FALSE,"increm pf";#N/A,"MAXI",FALSE,"increm pf";#N/A,"PCAM",FALSE,"increm pf";#N/A,"PHSV",FALSE,"increm pf";#N/A,"SIE",FALSE,"increm pf"}</definedName>
    <definedName name="___Co50" hidden="1">{#N/A,"DR",FALSE,"increm pf";#N/A,"MAMSI",FALSE,"increm pf";#N/A,"MAXI",FALSE,"increm pf";#N/A,"PCAM",FALSE,"increm pf";#N/A,"PHSV",FALSE,"increm pf";#N/A,"SIE",FALSE,"increm pf"}</definedName>
    <definedName name="___Com1">#REF!</definedName>
    <definedName name="___Com2">#REF!</definedName>
    <definedName name="___Com3">#REF!</definedName>
    <definedName name="___con1" localSheetId="0" hidden="1">{#N/A,#N/A,TRUE,"PROFIT 11-95"}</definedName>
    <definedName name="___con1" localSheetId="6" hidden="1">{#N/A,#N/A,TRUE,"PROFIT 11-95"}</definedName>
    <definedName name="___con1" hidden="1">{#N/A,#N/A,TRUE,"PROFIT 11-95"}</definedName>
    <definedName name="___con2" localSheetId="0" hidden="1">{#N/A,#N/A,TRUE,"PROFIT 11-95"}</definedName>
    <definedName name="___con2" localSheetId="6" hidden="1">{#N/A,#N/A,TRUE,"PROFIT 11-95"}</definedName>
    <definedName name="___con2" hidden="1">{#N/A,#N/A,TRUE,"PROFIT 11-95"}</definedName>
    <definedName name="___DCF1" localSheetId="0" hidden="1">{#N/A,#N/A,FALSE,"DCF Summary";#N/A,#N/A,FALSE,"Casema";#N/A,#N/A,FALSE,"Casema NoTel";#N/A,#N/A,FALSE,"UK";#N/A,#N/A,FALSE,"RCF";#N/A,#N/A,FALSE,"Intercable CZ";#N/A,#N/A,FALSE,"Interkabel P"}</definedName>
    <definedName name="___DCF1" localSheetId="6" hidden="1">{#N/A,#N/A,FALSE,"DCF Summary";#N/A,#N/A,FALSE,"Casema";#N/A,#N/A,FALSE,"Casema NoTel";#N/A,#N/A,FALSE,"UK";#N/A,#N/A,FALSE,"RCF";#N/A,#N/A,FALSE,"Intercable CZ";#N/A,#N/A,FALSE,"Interkabel P"}</definedName>
    <definedName name="___DCF1" hidden="1">{#N/A,#N/A,FALSE,"DCF Summary";#N/A,#N/A,FALSE,"Casema";#N/A,#N/A,FALSE,"Casema NoTel";#N/A,#N/A,FALSE,"UK";#N/A,#N/A,FALSE,"RCF";#N/A,#N/A,FALSE,"Intercable CZ";#N/A,#N/A,FALSE,"Interkabel P"}</definedName>
    <definedName name="___dup1" localSheetId="6" hidden="1">{"ROCE Summ",#N/A,FALSE,"Property Management Exps"}</definedName>
    <definedName name="___dup1" hidden="1">{"ROCE Summ",#N/A,FALSE,"Property Management Exps"}</definedName>
    <definedName name="___EMP1">#REF!</definedName>
    <definedName name="___exp2" localSheetId="6" hidden="1">{"VIEW1",#N/A,FALSE,"P&amp;L Account 2001-2002";"VIEW2",#N/A,FALSE,"P&amp;L Account 2001-2002";"VIEW3",#N/A,FALSE,"P&amp;L Account 2001-2002";"VIEW4",#N/A,FALSE,"P&amp;L Account 2001-2002"}</definedName>
    <definedName name="___exp2" hidden="1">{"VIEW1",#N/A,FALSE,"P&amp;L Account 2001-2002";"VIEW2",#N/A,FALSE,"P&amp;L Account 2001-2002";"VIEW3",#N/A,FALSE,"P&amp;L Account 2001-2002";"VIEW4",#N/A,FALSE,"P&amp;L Account 2001-2002"}</definedName>
    <definedName name="___fr1"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fr1" hidden="1">{#N/A,#N/A,TRUE,"Sensonic";#N/A,#N/A,TRUE,"Combimeter";#N/A,#N/A,TRUE,"HKV";#N/A,#N/A,TRUE,"TV";#N/A,#N/A,TRUE,"WZ";#N/A,#N/A,TRUE,"PrepHeatCon";#N/A,#N/A,TRUE,"Sonstiges";#N/A,#N/A,TRUE,"Abrechnung";#N/A,#N/A,TRUE,"Investitionen";#N/A,#N/A,TRUE,"Personal";#N/A,#N/A,TRUE,"sonstige Kosten u. Erträge";#N/A,#N/A,TRUE,"BER";#N/A,#N/A,TRUE,"Monatsaufteilung Budget 1997"}</definedName>
    <definedName name="___fr1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fr12" hidden="1">{#N/A,#N/A,TRUE,"Sensonic";#N/A,#N/A,TRUE,"Combimeter";#N/A,#N/A,TRUE,"HKV";#N/A,#N/A,TRUE,"TV";#N/A,#N/A,TRUE,"WZ";#N/A,#N/A,TRUE,"PrepHeatCon";#N/A,#N/A,TRUE,"Sonstiges";#N/A,#N/A,TRUE,"Abrechnung";#N/A,#N/A,TRUE,"Investitionen";#N/A,#N/A,TRUE,"Personal";#N/A,#N/A,TRUE,"sonstige Kosten u. Erträge";#N/A,#N/A,TRUE,"BER";#N/A,#N/A,TRUE,"Monatsaufteilung Budget 1997"}</definedName>
    <definedName name="___fr14"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fr14" hidden="1">{#N/A,#N/A,TRUE,"Sensonic";#N/A,#N/A,TRUE,"Combimeter";#N/A,#N/A,TRUE,"HKV";#N/A,#N/A,TRUE,"TV";#N/A,#N/A,TRUE,"WZ";#N/A,#N/A,TRUE,"PrepHeatCon";#N/A,#N/A,TRUE,"Sonstiges";#N/A,#N/A,TRUE,"Abrechnung";#N/A,#N/A,TRUE,"Investitionen";#N/A,#N/A,TRUE,"Personal";#N/A,#N/A,TRUE,"sonstige Kosten u. Erträge";#N/A,#N/A,TRUE,"BER";#N/A,#N/A,TRUE,"Monatsaufteilung Budget 1997"}</definedName>
    <definedName name="___fr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fr2" hidden="1">{#N/A,#N/A,TRUE,"Sensonic";#N/A,#N/A,TRUE,"Combimeter";#N/A,#N/A,TRUE,"HKV";#N/A,#N/A,TRUE,"TV";#N/A,#N/A,TRUE,"WZ";#N/A,#N/A,TRUE,"PrepHeatCon";#N/A,#N/A,TRUE,"Sonstiges";#N/A,#N/A,TRUE,"Abrechnung";#N/A,#N/A,TRUE,"Investitionen";#N/A,#N/A,TRUE,"Personal";#N/A,#N/A,TRUE,"sonstige Kosten u. Erträge";#N/A,#N/A,TRUE,"BER";#N/A,#N/A,TRUE,"Monatsaufteilung Budget 1997"}</definedName>
    <definedName name="___fr20"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_fr20" hidden="1">{#N/A,#N/A,TRUE,"Sensonic";#N/A,#N/A,TRUE,"Combimeter";#N/A,#N/A,TRUE,"HKV";#N/A,#N/A,TRUE,"TV";#N/A,#N/A,TRUE,"WZ";#N/A,#N/A,TRUE,"PrepHeatCon";#N/A,#N/A,TRUE,"Sonstiges";#N/A,#N/A,TRUE,"Abrechnung";#N/A,#N/A,TRUE,"Investitionen";#N/A,#N/A,TRUE,"Personal";#N/A,#N/A,TRUE,"sonstige Kosten u. Erträge";#N/A,#N/A,TRUE,"BER";#N/A,#N/A,TRUE,"Monatsaufteilung Budget 1997"}</definedName>
    <definedName name="___FSE8" localSheetId="6" hidden="1">{"VIEW1",#N/A,FALSE,"P&amp;L Account 2001-2002";"VIEW2",#N/A,FALSE,"P&amp;L Account 2001-2002";"VIEW3",#N/A,FALSE,"P&amp;L Account 2001-2002";"VIEW4",#N/A,FALSE,"P&amp;L Account 2001-2002"}</definedName>
    <definedName name="___FSE8" hidden="1">{"VIEW1",#N/A,FALSE,"P&amp;L Account 2001-2002";"VIEW2",#N/A,FALSE,"P&amp;L Account 2001-2002";"VIEW3",#N/A,FALSE,"P&amp;L Account 2001-2002";"VIEW4",#N/A,FALSE,"P&amp;L Account 2001-2002"}</definedName>
    <definedName name="___fy97" localSheetId="0" hidden="1">{#N/A,#N/A,FALSE,"FY97";#N/A,#N/A,FALSE,"FY98";#N/A,#N/A,FALSE,"FY99";#N/A,#N/A,FALSE,"FY00";#N/A,#N/A,FALSE,"FY01"}</definedName>
    <definedName name="___fy97" localSheetId="6" hidden="1">{#N/A,#N/A,FALSE,"FY97";#N/A,#N/A,FALSE,"FY98";#N/A,#N/A,FALSE,"FY99";#N/A,#N/A,FALSE,"FY00";#N/A,#N/A,FALSE,"FY01"}</definedName>
    <definedName name="___fy97" hidden="1">{#N/A,#N/A,FALSE,"FY97";#N/A,#N/A,FALSE,"FY98";#N/A,#N/A,FALSE,"FY99";#N/A,#N/A,FALSE,"FY00";#N/A,#N/A,FALSE,"FY01"}</definedName>
    <definedName name="___JB1">#REF!</definedName>
    <definedName name="___JB2">#REF!</definedName>
    <definedName name="___key1" hidden="1">#REF!</definedName>
    <definedName name="___key2" hidden="1">#REF!</definedName>
    <definedName name="___NEW1" localSheetId="6" hidden="1">{"VIEW1",#N/A,FALSE,"P&amp;L Account 2001-2002";"VIEW2",#N/A,FALSE,"P&amp;L Account 2001-2002";"VIEW3",#N/A,FALSE,"P&amp;L Account 2001-2002";"VIEW4",#N/A,FALSE,"P&amp;L Account 2001-2002"}</definedName>
    <definedName name="___NEW1" hidden="1">{"VIEW1",#N/A,FALSE,"P&amp;L Account 2001-2002";"VIEW2",#N/A,FALSE,"P&amp;L Account 2001-2002";"VIEW3",#N/A,FALSE,"P&amp;L Account 2001-2002";"VIEW4",#N/A,FALSE,"P&amp;L Account 2001-2002"}</definedName>
    <definedName name="___NEW2" localSheetId="6" hidden="1">{"VIEW1",#N/A,FALSE,"P&amp;L Account 2001-2002";"VIEW2",#N/A,FALSE,"P&amp;L Account 2001-2002";"VIEW3",#N/A,FALSE,"P&amp;L Account 2001-2002";"VIEW4",#N/A,FALSE,"P&amp;L Account 2001-2002"}</definedName>
    <definedName name="___NEW2" hidden="1">{"VIEW1",#N/A,FALSE,"P&amp;L Account 2001-2002";"VIEW2",#N/A,FALSE,"P&amp;L Account 2001-2002";"VIEW3",#N/A,FALSE,"P&amp;L Account 2001-2002";"VIEW4",#N/A,FALSE,"P&amp;L Account 2001-2002"}</definedName>
    <definedName name="___Ns123456">#REF!</definedName>
    <definedName name="___nsn01">#REF!</definedName>
    <definedName name="___nsn02">#REF!</definedName>
    <definedName name="___nsn03">#REF!</definedName>
    <definedName name="___nsn04">#REF!</definedName>
    <definedName name="___nsn05">#REF!</definedName>
    <definedName name="___nsn06">#REF!</definedName>
    <definedName name="___nsn07">#REF!</definedName>
    <definedName name="___nsn08">#REF!</definedName>
    <definedName name="___nsn09">#REF!</definedName>
    <definedName name="___nsn10">#REF!</definedName>
    <definedName name="__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_ORD1" hidden="1">255</definedName>
    <definedName name="___pr1">#REF!</definedName>
    <definedName name="___pr2">#REF!</definedName>
    <definedName name="___pr3">#REF!</definedName>
    <definedName name="___Q3" localSheetId="0" hidden="1">{"'INDICE'!$A$1:$K$13","'1'!$A$1:$CC$78","'2'!$A$1:$P$78","'3'!$A$1:$CI$78","'4'!$A$1:$Q$78"}</definedName>
    <definedName name="___Q3" localSheetId="6" hidden="1">{"'INDICE'!$A$1:$K$13","'1'!$A$1:$CC$78","'2'!$A$1:$P$78","'3'!$A$1:$CI$78","'4'!$A$1:$Q$78"}</definedName>
    <definedName name="___Q3" hidden="1">{"'INDICE'!$A$1:$K$13","'1'!$A$1:$CC$78","'2'!$A$1:$P$78","'3'!$A$1:$CI$78","'4'!$A$1:$Q$78"}</definedName>
    <definedName name="___Q3_1" localSheetId="0" hidden="1">{"'INDICE'!$A$1:$K$13","'1'!$A$1:$CC$78","'2'!$A$1:$P$78","'3'!$A$1:$CI$78","'4'!$A$1:$Q$78"}</definedName>
    <definedName name="___Q3_1" localSheetId="6" hidden="1">{"'INDICE'!$A$1:$K$13","'1'!$A$1:$CC$78","'2'!$A$1:$P$78","'3'!$A$1:$CI$78","'4'!$A$1:$Q$78"}</definedName>
    <definedName name="___Q3_1" hidden="1">{"'INDICE'!$A$1:$K$13","'1'!$A$1:$CC$78","'2'!$A$1:$P$78","'3'!$A$1:$CI$78","'4'!$A$1:$Q$78"}</definedName>
    <definedName name="___re34"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re34"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re34"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_roi01">#REF!</definedName>
    <definedName name="___roi02">#REF!</definedName>
    <definedName name="___roi03">#REF!</definedName>
    <definedName name="___roi04">#REF!</definedName>
    <definedName name="___roi05">#REF!</definedName>
    <definedName name="___roi06">#REF!</definedName>
    <definedName name="___roi07">#REF!</definedName>
    <definedName name="___roi08">#REF!</definedName>
    <definedName name="___roi09">#REF!</definedName>
    <definedName name="___roi10">#REF!</definedName>
    <definedName name="___rr1" localSheetId="0" hidden="1">{"sch25",#N/A,FALSE,"Provisions &lt;1yr";"sch25a",#N/A,FALSE,"Provisions &lt;1yr"}</definedName>
    <definedName name="___rr1" localSheetId="6" hidden="1">{"sch25",#N/A,FALSE,"Provisions &lt;1yr";"sch25a",#N/A,FALSE,"Provisions &lt;1yr"}</definedName>
    <definedName name="___rr1" hidden="1">{"sch25",#N/A,FALSE,"Provisions &lt;1yr";"sch25a",#N/A,FALSE,"Provisions &lt;1yr"}</definedName>
    <definedName name="___rr1_1" localSheetId="0" hidden="1">{"sch25",#N/A,FALSE,"Provisions &lt;1yr";"sch25a",#N/A,FALSE,"Provisions &lt;1yr"}</definedName>
    <definedName name="___rr1_1" localSheetId="6" hidden="1">{"sch25",#N/A,FALSE,"Provisions &lt;1yr";"sch25a",#N/A,FALSE,"Provisions &lt;1yr"}</definedName>
    <definedName name="___rr1_1" hidden="1">{"sch25",#N/A,FALSE,"Provisions &lt;1yr";"sch25a",#N/A,FALSE,"Provisions &lt;1yr"}</definedName>
    <definedName name="___rr2" localSheetId="0" hidden="1">{"sch34",#N/A,FALSE,"Flash rec";"sch34a",#N/A,FALSE,"Flash rec";"sch34b",#N/A,FALSE,"Flash rec"}</definedName>
    <definedName name="___rr2" localSheetId="6" hidden="1">{"sch34",#N/A,FALSE,"Flash rec";"sch34a",#N/A,FALSE,"Flash rec";"sch34b",#N/A,FALSE,"Flash rec"}</definedName>
    <definedName name="___rr2" hidden="1">{"sch34",#N/A,FALSE,"Flash rec";"sch34a",#N/A,FALSE,"Flash rec";"sch34b",#N/A,FALSE,"Flash rec"}</definedName>
    <definedName name="___rr2_1" localSheetId="0" hidden="1">{"sch34",#N/A,FALSE,"Flash rec";"sch34a",#N/A,FALSE,"Flash rec";"sch34b",#N/A,FALSE,"Flash rec"}</definedName>
    <definedName name="___rr2_1" localSheetId="6" hidden="1">{"sch34",#N/A,FALSE,"Flash rec";"sch34a",#N/A,FALSE,"Flash rec";"sch34b",#N/A,FALSE,"Flash rec"}</definedName>
    <definedName name="___rr2_1" hidden="1">{"sch34",#N/A,FALSE,"Flash rec";"sch34a",#N/A,FALSE,"Flash rec";"sch34b",#N/A,FALSE,"Flash rec"}</definedName>
    <definedName name="___rr6" localSheetId="0" hidden="1">{"sch4a",#N/A,FALSE,"Expenses";"sch4b",#N/A,FALSE,"Expenses";"sch4c",#N/A,FALSE,"Expenses";"schd",#N/A,FALSE,"Expenses"}</definedName>
    <definedName name="___rr6" localSheetId="6" hidden="1">{"sch4a",#N/A,FALSE,"Expenses";"sch4b",#N/A,FALSE,"Expenses";"sch4c",#N/A,FALSE,"Expenses";"schd",#N/A,FALSE,"Expenses"}</definedName>
    <definedName name="___rr6" hidden="1">{"sch4a",#N/A,FALSE,"Expenses";"sch4b",#N/A,FALSE,"Expenses";"sch4c",#N/A,FALSE,"Expenses";"schd",#N/A,FALSE,"Expenses"}</definedName>
    <definedName name="___rr6_1" localSheetId="0" hidden="1">{"sch4a",#N/A,FALSE,"Expenses";"sch4b",#N/A,FALSE,"Expenses";"sch4c",#N/A,FALSE,"Expenses";"schd",#N/A,FALSE,"Expenses"}</definedName>
    <definedName name="___rr6_1" localSheetId="6" hidden="1">{"sch4a",#N/A,FALSE,"Expenses";"sch4b",#N/A,FALSE,"Expenses";"sch4c",#N/A,FALSE,"Expenses";"schd",#N/A,FALSE,"Expenses"}</definedName>
    <definedName name="___rr6_1" hidden="1">{"sch4a",#N/A,FALSE,"Expenses";"sch4b",#N/A,FALSE,"Expenses";"sch4c",#N/A,FALSE,"Expenses";"schd",#N/A,FALSE,"Expenses"}</definedName>
    <definedName name="___rrr3" localSheetId="0" hidden="1">{"sch7a",#N/A,FALSE,"Interest pd";"sch7b",#N/A,FALSE,"Interest pd"}</definedName>
    <definedName name="___rrr3" localSheetId="6" hidden="1">{"sch7a",#N/A,FALSE,"Interest pd";"sch7b",#N/A,FALSE,"Interest pd"}</definedName>
    <definedName name="___rrr3" hidden="1">{"sch7a",#N/A,FALSE,"Interest pd";"sch7b",#N/A,FALSE,"Interest pd"}</definedName>
    <definedName name="___rrr3_1" localSheetId="0" hidden="1">{"sch7a",#N/A,FALSE,"Interest pd";"sch7b",#N/A,FALSE,"Interest pd"}</definedName>
    <definedName name="___rrr3_1" localSheetId="6" hidden="1">{"sch7a",#N/A,FALSE,"Interest pd";"sch7b",#N/A,FALSE,"Interest pd"}</definedName>
    <definedName name="___rrr3_1" hidden="1">{"sch7a",#N/A,FALSE,"Interest pd";"sch7b",#N/A,FALSE,"Interest pd"}</definedName>
    <definedName name="___rrr4" localSheetId="0" hidden="1">{"sch30",#N/A,FALSE,"Reserves";"sch30a",#N/A,FALSE,"Reserves";"sch30b",#N/A,FALSE,"Reserves"}</definedName>
    <definedName name="___rrr4" localSheetId="6" hidden="1">{"sch30",#N/A,FALSE,"Reserves";"sch30a",#N/A,FALSE,"Reserves";"sch30b",#N/A,FALSE,"Reserves"}</definedName>
    <definedName name="___rrr4" hidden="1">{"sch30",#N/A,FALSE,"Reserves";"sch30a",#N/A,FALSE,"Reserves";"sch30b",#N/A,FALSE,"Reserves"}</definedName>
    <definedName name="___rrr4_1" localSheetId="0" hidden="1">{"sch30",#N/A,FALSE,"Reserves";"sch30a",#N/A,FALSE,"Reserves";"sch30b",#N/A,FALSE,"Reserves"}</definedName>
    <definedName name="___rrr4_1" localSheetId="6" hidden="1">{"sch30",#N/A,FALSE,"Reserves";"sch30a",#N/A,FALSE,"Reserves";"sch30b",#N/A,FALSE,"Reserves"}</definedName>
    <definedName name="___rrr4_1" hidden="1">{"sch30",#N/A,FALSE,"Reserves";"sch30a",#N/A,FALSE,"Reserves";"sch30b",#N/A,FALSE,"Reserves"}</definedName>
    <definedName name="___s3" localSheetId="6" hidden="1">{"VIEW1",#N/A,FALSE,"P&amp;L Account 2001-2002";"VIEW2",#N/A,FALSE,"P&amp;L Account 2001-2002";"VIEW3",#N/A,FALSE,"P&amp;L Account 2001-2002";"VIEW4",#N/A,FALSE,"P&amp;L Account 2001-2002"}</definedName>
    <definedName name="___s3" hidden="1">{"VIEW1",#N/A,FALSE,"P&amp;L Account 2001-2002";"VIEW2",#N/A,FALSE,"P&amp;L Account 2001-2002";"VIEW3",#N/A,FALSE,"P&amp;L Account 2001-2002";"VIEW4",#N/A,FALSE,"P&amp;L Account 2001-2002"}</definedName>
    <definedName name="___S5" localSheetId="6" hidden="1">{"VIEW1",#N/A,FALSE,"P&amp;L Account 2001-2002";"VIEW2",#N/A,FALSE,"P&amp;L Account 2001-2002";"VIEW3",#N/A,FALSE,"P&amp;L Account 2001-2002";"VIEW4",#N/A,FALSE,"P&amp;L Account 2001-2002"}</definedName>
    <definedName name="___S5" hidden="1">{"VIEW1",#N/A,FALSE,"P&amp;L Account 2001-2002";"VIEW2",#N/A,FALSE,"P&amp;L Account 2001-2002";"VIEW3",#N/A,FALSE,"P&amp;L Account 2001-2002";"VIEW4",#N/A,FALSE,"P&amp;L Account 2001-2002"}</definedName>
    <definedName name="___vid5" localSheetId="6" hidden="1">{"VIEW1",#N/A,FALSE,"P&amp;L Account 2001-2002";"VIEW2",#N/A,FALSE,"P&amp;L Account 2001-2002";"VIEW3",#N/A,FALSE,"P&amp;L Account 2001-2002";"VIEW4",#N/A,FALSE,"P&amp;L Account 2001-2002"}</definedName>
    <definedName name="___vid5" hidden="1">{"VIEW1",#N/A,FALSE,"P&amp;L Account 2001-2002";"VIEW2",#N/A,FALSE,"P&amp;L Account 2001-2002";"VIEW3",#N/A,FALSE,"P&amp;L Account 2001-2002";"VIEW4",#N/A,FALSE,"P&amp;L Account 2001-2002"}</definedName>
    <definedName name="___vid6" localSheetId="6" hidden="1">{"VIEW1",#N/A,FALSE,"P&amp;L Account 2001-2002";"VIEW2",#N/A,FALSE,"P&amp;L Account 2001-2002";"VIEW3",#N/A,FALSE,"P&amp;L Account 2001-2002";"VIEW4",#N/A,FALSE,"P&amp;L Account 2001-2002"}</definedName>
    <definedName name="___vid6" hidden="1">{"VIEW1",#N/A,FALSE,"P&amp;L Account 2001-2002";"VIEW2",#N/A,FALSE,"P&amp;L Account 2001-2002";"VIEW3",#N/A,FALSE,"P&amp;L Account 2001-2002";"VIEW4",#N/A,FALSE,"P&amp;L Account 2001-2002"}</definedName>
    <definedName name="___VID7" localSheetId="6" hidden="1">{"VIEW1",#N/A,FALSE,"P&amp;L Account 2001-2002";"VIEW2",#N/A,FALSE,"P&amp;L Account 2001-2002";"VIEW3",#N/A,FALSE,"P&amp;L Account 2001-2002";"VIEW4",#N/A,FALSE,"P&amp;L Account 2001-2002"}</definedName>
    <definedName name="___VID7" hidden="1">{"VIEW1",#N/A,FALSE,"P&amp;L Account 2001-2002";"VIEW2",#N/A,FALSE,"P&amp;L Account 2001-2002";"VIEW3",#N/A,FALSE,"P&amp;L Account 2001-2002";"VIEW4",#N/A,FALSE,"P&amp;L Account 2001-2002"}</definedName>
    <definedName name="___VIR5" localSheetId="6" hidden="1">{"VIEW1",#N/A,FALSE,"P&amp;L Account 2001-2002";"VIEW2",#N/A,FALSE,"P&amp;L Account 2001-2002";"VIEW3",#N/A,FALSE,"P&amp;L Account 2001-2002";"VIEW4",#N/A,FALSE,"P&amp;L Account 2001-2002"}</definedName>
    <definedName name="___VIR5" hidden="1">{"VIEW1",#N/A,FALSE,"P&amp;L Account 2001-2002";"VIEW2",#N/A,FALSE,"P&amp;L Account 2001-2002";"VIEW3",#N/A,FALSE,"P&amp;L Account 2001-2002";"VIEW4",#N/A,FALSE,"P&amp;L Account 2001-2002"}</definedName>
    <definedName name="___VIR6" localSheetId="6" hidden="1">{"VIEW1",#N/A,FALSE,"P&amp;L Account 2001-2002";"VIEW2",#N/A,FALSE,"P&amp;L Account 2001-2002";"VIEW3",#N/A,FALSE,"P&amp;L Account 2001-2002";"VIEW4",#N/A,FALSE,"P&amp;L Account 2001-2002"}</definedName>
    <definedName name="___VIR6" hidden="1">{"VIEW1",#N/A,FALSE,"P&amp;L Account 2001-2002";"VIEW2",#N/A,FALSE,"P&amp;L Account 2001-2002";"VIEW3",#N/A,FALSE,"P&amp;L Account 2001-2002";"VIEW4",#N/A,FALSE,"P&amp;L Account 2001-2002"}</definedName>
    <definedName name="___wrn1" localSheetId="0" hidden="1">{#N/A,#N/A,FALSE,"DCF";#N/A,#N/A,FALSE,"WACC";#N/A,#N/A,FALSE,"Sales_EBIT";#N/A,#N/A,FALSE,"Capex_Depreciation";#N/A,#N/A,FALSE,"WC";#N/A,#N/A,FALSE,"Interest";#N/A,#N/A,FALSE,"Assumptions"}</definedName>
    <definedName name="___wrn1" localSheetId="6" hidden="1">{#N/A,#N/A,FALSE,"DCF";#N/A,#N/A,FALSE,"WACC";#N/A,#N/A,FALSE,"Sales_EBIT";#N/A,#N/A,FALSE,"Capex_Depreciation";#N/A,#N/A,FALSE,"WC";#N/A,#N/A,FALSE,"Interest";#N/A,#N/A,FALSE,"Assumptions"}</definedName>
    <definedName name="___wrn1" hidden="1">{#N/A,#N/A,FALSE,"DCF";#N/A,#N/A,FALSE,"WACC";#N/A,#N/A,FALSE,"Sales_EBIT";#N/A,#N/A,FALSE,"Capex_Depreciation";#N/A,#N/A,FALSE,"WC";#N/A,#N/A,FALSE,"Interest";#N/A,#N/A,FALSE,"Assumptions"}</definedName>
    <definedName name="___WWW1" localSheetId="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WWW1" localSheetId="6"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WW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_xlfn.BAHTTEXT" hidden="1">#NAME?</definedName>
    <definedName name="___yo1" localSheetId="0" hidden="1">{#N/A,#N/A,FALSE,"Eastern";#N/A,#N/A,FALSE,"Western"}</definedName>
    <definedName name="___yo1" localSheetId="6" hidden="1">{#N/A,#N/A,FALSE,"Eastern";#N/A,#N/A,FALSE,"Western"}</definedName>
    <definedName name="___yo1" hidden="1">{#N/A,#N/A,FALSE,"Eastern";#N/A,#N/A,FALSE,"Western"}</definedName>
    <definedName name="___yo2" localSheetId="0" hidden="1">{#N/A,#N/A,FALSE,"Eastern";#N/A,#N/A,FALSE,"Western"}</definedName>
    <definedName name="___yo2" localSheetId="6" hidden="1">{#N/A,#N/A,FALSE,"Eastern";#N/A,#N/A,FALSE,"Western"}</definedName>
    <definedName name="___yo2" hidden="1">{#N/A,#N/A,FALSE,"Eastern";#N/A,#N/A,FALSE,"Western"}</definedName>
    <definedName name="___yo3" localSheetId="0" hidden="1">{#N/A,#N/A,FALSE,"Eastern";#N/A,#N/A,FALSE,"Western"}</definedName>
    <definedName name="___yo3" localSheetId="6" hidden="1">{#N/A,#N/A,FALSE,"Eastern";#N/A,#N/A,FALSE,"Western"}</definedName>
    <definedName name="___yo3" hidden="1">{#N/A,#N/A,FALSE,"Eastern";#N/A,#N/A,FALSE,"Western"}</definedName>
    <definedName name="___z2" localSheetId="0" hidden="1">{"Sch00",#N/A,FALSE,"1";"Contents",#N/A,FALSE,"1"}</definedName>
    <definedName name="___z2" localSheetId="6" hidden="1">{"Sch00",#N/A,FALSE,"1";"Contents",#N/A,FALSE,"1"}</definedName>
    <definedName name="___z2" hidden="1">{"Sch00",#N/A,FALSE,"1";"Contents",#N/A,FALSE,"1"}</definedName>
    <definedName name="___z3" localSheetId="0" hidden="1">{"Sch01",#N/A,FALSE,"2";"Sch02",#N/A,FALSE,"2";"Sch03",#N/A,FALSE,"2";"Sch04",#N/A,FALSE,"2";"Sch05",#N/A,FALSE,"2";"Sch06",#N/A,FALSE,"2";"Sch17",#N/A,FALSE,"2";"Sch19",#N/A,FALSE,"2";"Sch20",#N/A,FALSE,"2";"Sch21",#N/A,FALSE,"2";"Sch26",#N/A,FALSE,"2"}</definedName>
    <definedName name="___z3" localSheetId="6" hidden="1">{"Sch01",#N/A,FALSE,"2";"Sch02",#N/A,FALSE,"2";"Sch03",#N/A,FALSE,"2";"Sch04",#N/A,FALSE,"2";"Sch05",#N/A,FALSE,"2";"Sch06",#N/A,FALSE,"2";"Sch17",#N/A,FALSE,"2";"Sch19",#N/A,FALSE,"2";"Sch20",#N/A,FALSE,"2";"Sch21",#N/A,FALSE,"2";"Sch26",#N/A,FALSE,"2"}</definedName>
    <definedName name="___z3" hidden="1">{"Sch01",#N/A,FALSE,"2";"Sch02",#N/A,FALSE,"2";"Sch03",#N/A,FALSE,"2";"Sch04",#N/A,FALSE,"2";"Sch05",#N/A,FALSE,"2";"Sch06",#N/A,FALSE,"2";"Sch17",#N/A,FALSE,"2";"Sch19",#N/A,FALSE,"2";"Sch20",#N/A,FALSE,"2";"Sch21",#N/A,FALSE,"2";"Sch26",#N/A,FALSE,"2"}</definedName>
    <definedName name="_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1_???205">#REF!</definedName>
    <definedName name="__1__123Graph_AChart_1" hidden="1">#REF!</definedName>
    <definedName name="__1__123Graph_ACHART_12" hidden="1">#REF!</definedName>
    <definedName name="__1__123Graph_BCHART_4" hidden="1">#REF!</definedName>
    <definedName name="__10__123Graph_BCHART_16" hidden="1">#REF!</definedName>
    <definedName name="__10__123Graph_CCHART_2" hidden="1">#REF!</definedName>
    <definedName name="__11__123Graph_BCHART_17" hidden="1">#REF!</definedName>
    <definedName name="__11__123Graph_CCHART_20" hidden="1">#REF!</definedName>
    <definedName name="__12__123Graph_BCHART_22" hidden="1">#REF!</definedName>
    <definedName name="__12__123Graph_CCHART_21" hidden="1">#REF!</definedName>
    <definedName name="__123" hidden="1">#REF!</definedName>
    <definedName name="__1234Graph_X" hidden="1">#REF!</definedName>
    <definedName name="__123Graph" hidden="1">#REF!</definedName>
    <definedName name="__123Graph_A" localSheetId="0" hidden="1">#REF!</definedName>
    <definedName name="__123Graph_A" hidden="1">#REF!</definedName>
    <definedName name="__123Graph_AA" hidden="1">#REF!</definedName>
    <definedName name="__123Graph_AB" hidden="1">#REF!</definedName>
    <definedName name="__123Graph_ABICBETA" hidden="1">#REF!</definedName>
    <definedName name="__123Graph_ABOOKBETA" hidden="1">#REF!</definedName>
    <definedName name="__123Graph_ABUD" hidden="1">#REF!</definedName>
    <definedName name="__123Graph_AC" hidden="1">#REF!</definedName>
    <definedName name="__123Graph_ACASHFLOW" hidden="1">#N/A</definedName>
    <definedName name="__123Graph_ACHART1" hidden="1">#REF!</definedName>
    <definedName name="__123Graph_ACHART10" hidden="1">#REF!</definedName>
    <definedName name="__123Graph_ACHART11" hidden="1">#REF!</definedName>
    <definedName name="__123Graph_ACHART12" hidden="1">#REF!</definedName>
    <definedName name="__123Graph_ACHART13" hidden="1">#REF!</definedName>
    <definedName name="__123Graph_ACHART14" hidden="1">#REF!</definedName>
    <definedName name="__123Graph_ACHART15" hidden="1">#REF!</definedName>
    <definedName name="__123Graph_ACHART16" hidden="1">#REF!</definedName>
    <definedName name="__123Graph_ACHART17" hidden="1">#REF!</definedName>
    <definedName name="__123Graph_ACHART18" hidden="1">#REF!</definedName>
    <definedName name="__123Graph_ACHART19" hidden="1">#REF!</definedName>
    <definedName name="__123Graph_ACHART2" hidden="1">#REF!</definedName>
    <definedName name="__123Graph_ACHART20" hidden="1">#REF!</definedName>
    <definedName name="__123Graph_ACHART21" hidden="1">#REF!</definedName>
    <definedName name="__123Graph_ACHART22" hidden="1">#REF!</definedName>
    <definedName name="__123Graph_ACHART3" hidden="1">#REF!</definedName>
    <definedName name="__123Graph_ACHART4" hidden="1">#REF!</definedName>
    <definedName name="__123Graph_ACHART5" hidden="1">#REF!</definedName>
    <definedName name="__123Graph_ACHART6" hidden="1">#REF!</definedName>
    <definedName name="__123Graph_ACHART7" hidden="1">#REF!</definedName>
    <definedName name="__123Graph_ACHART8" hidden="1">#REF!</definedName>
    <definedName name="__123Graph_ACHART9" hidden="1">#REF!</definedName>
    <definedName name="__123Graph_AClsCarr" hidden="1">#REF!</definedName>
    <definedName name="__123Graph_AClsCorr" hidden="1">#REF!</definedName>
    <definedName name="__123Graph_AClsCum" hidden="1">#REF!</definedName>
    <definedName name="__123Graph_AClsCust" hidden="1">#REF!</definedName>
    <definedName name="__123Graph_AClsLoft" hidden="1">#REF!</definedName>
    <definedName name="__123Graph_AClsMar" hidden="1">#REF!</definedName>
    <definedName name="__123Graph_ACOMP" hidden="1">#REF!</definedName>
    <definedName name="__123Graph_ACOSTS" hidden="1">#REF!</definedName>
    <definedName name="__123Graph_ACRPIE90" hidden="1">#REF!</definedName>
    <definedName name="__123Graph_ACRPIE91" hidden="1">#REF!</definedName>
    <definedName name="__123Graph_ACRPIE92" hidden="1">#REF!</definedName>
    <definedName name="__123Graph_ACRPIE93" hidden="1">#REF!</definedName>
    <definedName name="__123Graph_ACURRENT" hidden="1">#REF!</definedName>
    <definedName name="__123Graph_AD" hidden="1">#REF!</definedName>
    <definedName name="__123Graph_ADM" hidden="1">#REF!</definedName>
    <definedName name="__123Graph_ADRIVER2" hidden="1">#N/A</definedName>
    <definedName name="__123Graph_ADY" hidden="1">#REF!</definedName>
    <definedName name="__123Graph_AEBITDABETA" hidden="1">#REF!</definedName>
    <definedName name="__123Graph_AEMPBETA" hidden="1">#REF!</definedName>
    <definedName name="__123Graph_AFLOW" hidden="1">#REF!</definedName>
    <definedName name="__123Graph_AGRAPH1" hidden="1">#REF!</definedName>
    <definedName name="__123Graph_AGraph10" hidden="1">#REF!</definedName>
    <definedName name="__123Graph_AGraph11"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85" hidden="1">#REF!</definedName>
    <definedName name="__123Graph_AGRAPH87" hidden="1">#REF!</definedName>
    <definedName name="__123Graph_AGRPH_EXPIRE" hidden="1">#REF!</definedName>
    <definedName name="__123Graph_AHISTORY" hidden="1">#REF!</definedName>
    <definedName name="__123Graph_AINCOME1" hidden="1">#N/A</definedName>
    <definedName name="__123Graph_AINCOME2" hidden="1">#N/A</definedName>
    <definedName name="__123Graph_AINFLATE" hidden="1">#REF!</definedName>
    <definedName name="__123Graph_AINV" hidden="1">#REF!</definedName>
    <definedName name="__123Graph_AMARGIN" hidden="1">#REF!</definedName>
    <definedName name="__123Graph_AMONTH" hidden="1">#REF!</definedName>
    <definedName name="__123Graph_AMVICBETA" hidden="1">#REF!</definedName>
    <definedName name="__123Graph_ANIBETA" hidden="1">#REF!</definedName>
    <definedName name="__123Graph_ANPV" hidden="1">#REF!</definedName>
    <definedName name="__123Graph_APREZZI1" hidden="1">#REF!</definedName>
    <definedName name="__123Graph_APREZZI1A" hidden="1">#REF!</definedName>
    <definedName name="__123Graph_APREZZI2" hidden="1">#REF!</definedName>
    <definedName name="__123Graph_APREZZI2A" hidden="1">#REF!</definedName>
    <definedName name="__123Graph_APREZZI3" hidden="1">#REF!</definedName>
    <definedName name="__123Graph_APREZZI3A" hidden="1">#REF!</definedName>
    <definedName name="__123Graph_APREZZI4" hidden="1">#REF!</definedName>
    <definedName name="__123Graph_APREZZI4A" hidden="1">#REF!</definedName>
    <definedName name="__123Graph_APREZZI5" hidden="1">#REF!</definedName>
    <definedName name="__123Graph_APREZZI5A" hidden="1">#REF!</definedName>
    <definedName name="__123Graph_APREZZI6" hidden="1">#REF!</definedName>
    <definedName name="__123Graph_APREZZI6A" hidden="1">#REF!</definedName>
    <definedName name="__123Graph_APREZZI7" hidden="1">#REF!</definedName>
    <definedName name="__123Graph_APREZZI7A" hidden="1">#REF!</definedName>
    <definedName name="__123Graph_APROD" hidden="1">#REF!</definedName>
    <definedName name="__123Graph_AREG" hidden="1">#REF!</definedName>
    <definedName name="__123Graph_AREGDIF" hidden="1">#REF!</definedName>
    <definedName name="__123Graph_ARISK" hidden="1">#REF!</definedName>
    <definedName name="__123Graph_ARUFTIRBL" hidden="1">#REF!</definedName>
    <definedName name="__123Graph_ARUINC" hidden="1">#REF!</definedName>
    <definedName name="__123Graph_ASALEBETA" hidden="1">#REF!</definedName>
    <definedName name="__123Graph_ASLIDE17" hidden="1">#REF!</definedName>
    <definedName name="__123Graph_ASLIDEIII15" hidden="1">#REF!</definedName>
    <definedName name="__123Graph_ASLIDEIII25" hidden="1">#REF!</definedName>
    <definedName name="__123Graph_ASLIDEIII26" hidden="1">#REF!</definedName>
    <definedName name="__123Graph_ATREND" hidden="1">#REF!</definedName>
    <definedName name="__123Graph_AUKFTIRBL" hidden="1">#REF!</definedName>
    <definedName name="__123Graph_AUKIR" hidden="1">#REF!</definedName>
    <definedName name="__123Graph_AUKRTT" hidden="1">#REF!</definedName>
    <definedName name="__123Graph_AUTXSP1" hidden="1">#REF!</definedName>
    <definedName name="__123Graph_AUTXSP2" hidden="1">#REF!</definedName>
    <definedName name="__123Graph_AYEAR" hidden="1">#REF!</definedName>
    <definedName name="__123Graph_AYTD" hidden="1">#REF!</definedName>
    <definedName name="__123Graph_AYTDVar" hidden="1">#REF!</definedName>
    <definedName name="__123Graph_A優劣分岐" hidden="1">#REF!</definedName>
    <definedName name="__123Graph_A利益線図" hidden="1">#REF!</definedName>
    <definedName name="__123Graph_A回収推移" hidden="1">#REF!</definedName>
    <definedName name="__123Graph_A簡易比較図" hidden="1">#REF!</definedName>
    <definedName name="__123Graph_A追加利率" hidden="1">#REF!</definedName>
    <definedName name="__123Graph_B" hidden="1">#REF!</definedName>
    <definedName name="__123Graph_BA" hidden="1">#REF!</definedName>
    <definedName name="__123Graph_BB" hidden="1">#REF!</definedName>
    <definedName name="__123Graph_BBICBETA" hidden="1">#REF!</definedName>
    <definedName name="__123Graph_BBOOKBETA" hidden="1">#REF!</definedName>
    <definedName name="__123Graph_BC" hidden="1">#REF!</definedName>
    <definedName name="__123Graph_BCASHFLOW" hidden="1">#N/A</definedName>
    <definedName name="__123Graph_BCHART1" hidden="1">#REF!</definedName>
    <definedName name="__123Graph_BCHART10" hidden="1">#REF!</definedName>
    <definedName name="__123Graph_BCHART11" hidden="1">#REF!</definedName>
    <definedName name="__123Graph_BCHART12" hidden="1">#REF!</definedName>
    <definedName name="__123Graph_BCHART13" hidden="1">#REF!</definedName>
    <definedName name="__123Graph_BCHART14" hidden="1">#REF!</definedName>
    <definedName name="__123Graph_BCHART15" hidden="1">#REF!</definedName>
    <definedName name="__123Graph_BCHART16" hidden="1">#REF!</definedName>
    <definedName name="__123Graph_BCHART17" hidden="1">#REF!</definedName>
    <definedName name="__123Graph_BCHART18" hidden="1">#REF!</definedName>
    <definedName name="__123Graph_BCHART19" hidden="1">#REF!</definedName>
    <definedName name="__123Graph_BCHART2" hidden="1">#REF!</definedName>
    <definedName name="__123Graph_BCHART20" hidden="1">#REF!</definedName>
    <definedName name="__123Graph_BCHART22" hidden="1">#REF!</definedName>
    <definedName name="__123Graph_BCHART3" hidden="1">#REF!</definedName>
    <definedName name="__123Graph_BCHART4" hidden="1">#REF!</definedName>
    <definedName name="__123Graph_BCHART6" hidden="1">#REF!</definedName>
    <definedName name="__123Graph_BCHART7" hidden="1">#REF!</definedName>
    <definedName name="__123Graph_BCHART8" hidden="1">#REF!</definedName>
    <definedName name="__123Graph_BCHART9" hidden="1">#REF!</definedName>
    <definedName name="__123Graph_BClsCarr" hidden="1">#REF!</definedName>
    <definedName name="__123Graph_BClsCorr" hidden="1">#REF!</definedName>
    <definedName name="__123Graph_BClsCum" hidden="1">#REF!</definedName>
    <definedName name="__123Graph_BClsCust" hidden="1">#REF!</definedName>
    <definedName name="__123Graph_BClsLoft" hidden="1">#REF!</definedName>
    <definedName name="__123Graph_BClsMar" hidden="1">#REF!</definedName>
    <definedName name="__123Graph_BCOMP" hidden="1">#REF!</definedName>
    <definedName name="__123Graph_BCOSTS" hidden="1">#REF!</definedName>
    <definedName name="__123Graph_BCRACK" hidden="1">#REF!</definedName>
    <definedName name="__123Graph_BCURRENT" hidden="1">#REF!</definedName>
    <definedName name="__123Graph_BD" hidden="1">#REF!</definedName>
    <definedName name="__123Graph_BDM" hidden="1">#REF!</definedName>
    <definedName name="__123Graph_BDRIVER2" hidden="1">#N/A</definedName>
    <definedName name="__123Graph_BGRAPH1" hidden="1">#REF!</definedName>
    <definedName name="__123Graph_BGraph8" hidden="1">#REF!</definedName>
    <definedName name="__123Graph_BGRAPH85" hidden="1">#REF!</definedName>
    <definedName name="__123Graph_BGRAPH87" hidden="1">#REF!</definedName>
    <definedName name="__123Graph_BHOBKEN4H" hidden="1">#REF!</definedName>
    <definedName name="__123Graph_BHOBOKEN" hidden="1">#REF!</definedName>
    <definedName name="__123Graph_BINCOME1" hidden="1">#N/A</definedName>
    <definedName name="__123Graph_BINCOME2" hidden="1">#N/A</definedName>
    <definedName name="__123Graph_BMARGIN" hidden="1">#REF!</definedName>
    <definedName name="__123Graph_BMKTVBETA" hidden="1">#REF!</definedName>
    <definedName name="__123Graph_BMONTH" hidden="1">#REF!</definedName>
    <definedName name="__123Graph_BPOLYCOMP" hidden="1">#REF!</definedName>
    <definedName name="__123Graph_BPOLYETH" hidden="1">#REF!</definedName>
    <definedName name="__123Graph_BPOLYPROP" hidden="1">#REF!</definedName>
    <definedName name="__123Graph_BPROD" hidden="1">#REF!</definedName>
    <definedName name="__123Graph_BREG" hidden="1">#REF!</definedName>
    <definedName name="__123Graph_BRISK" hidden="1">#REF!</definedName>
    <definedName name="__123Graph_BRUFTIRBL" hidden="1">#REF!</definedName>
    <definedName name="__123Graph_BSALEBETA" hidden="1">#REF!</definedName>
    <definedName name="__123Graph_BSLIDE17" hidden="1">#REF!</definedName>
    <definedName name="__123Graph_BSLIDEIII15" hidden="1">#REF!</definedName>
    <definedName name="__123Graph_BSLIDEIII25" hidden="1">#REF!</definedName>
    <definedName name="__123Graph_BSLIDEIII26" hidden="1">#REF!</definedName>
    <definedName name="__123Graph_BTREND" hidden="1">#REF!</definedName>
    <definedName name="__123Graph_BUKFTIRBL" hidden="1">#REF!</definedName>
    <definedName name="__123Graph_BUKIR" hidden="1">#REF!</definedName>
    <definedName name="__123Graph_BUKRTT" hidden="1">#REF!</definedName>
    <definedName name="__123Graph_BUTXSP1" hidden="1">#REF!</definedName>
    <definedName name="__123Graph_BUTXSP2" hidden="1">#REF!</definedName>
    <definedName name="__123Graph_BYEAR" hidden="1">#REF!</definedName>
    <definedName name="__123Graph_BYTDVar" hidden="1">#REF!</definedName>
    <definedName name="__123Graph_B優劣分岐" hidden="1">#REF!</definedName>
    <definedName name="__123Graph_B利益線図" hidden="1">#REF!</definedName>
    <definedName name="__123Graph_B回収推移" hidden="1">#REF!</definedName>
    <definedName name="__123Graph_B簡易比較図" hidden="1">#REF!</definedName>
    <definedName name="__123Graph_C" hidden="1">#REF!</definedName>
    <definedName name="__123Graph_CA" hidden="1">#REF!</definedName>
    <definedName name="__123Graph_CB" hidden="1">#REF!</definedName>
    <definedName name="__123Graph_CC" hidden="1">#REF!</definedName>
    <definedName name="__123Graph_CCHART1" hidden="1">#REF!</definedName>
    <definedName name="__123Graph_CCHART10" hidden="1">#REF!</definedName>
    <definedName name="__123Graph_CCHART11" hidden="1">#REF!</definedName>
    <definedName name="__123Graph_CCHART14" hidden="1">#REF!</definedName>
    <definedName name="__123Graph_CCHART15" hidden="1">#REF!</definedName>
    <definedName name="__123Graph_CCHART2" hidden="1">#REF!</definedName>
    <definedName name="__123Graph_CCHART22" hidden="1">#REF!</definedName>
    <definedName name="__123Graph_CCHART3" hidden="1">#REF!</definedName>
    <definedName name="__123Graph_CCHART6" hidden="1">#REF!</definedName>
    <definedName name="__123Graph_CCHART7" hidden="1">#REF!</definedName>
    <definedName name="__123Graph_CCHART8" hidden="1">#REF!</definedName>
    <definedName name="__123Graph_CClsCarr" hidden="1">#REF!</definedName>
    <definedName name="__123Graph_CClsCorr" hidden="1">#REF!</definedName>
    <definedName name="__123Graph_CClsCum" hidden="1">#REF!</definedName>
    <definedName name="__123Graph_CClsCust" hidden="1">#REF!</definedName>
    <definedName name="__123Graph_CClsLoft" hidden="1">#REF!</definedName>
    <definedName name="__123Graph_CClsMar" hidden="1">#REF!</definedName>
    <definedName name="__123Graph_CCOMP" hidden="1">#REF!</definedName>
    <definedName name="__123Graph_CD" hidden="1">#REF!</definedName>
    <definedName name="__123Graph_CGRAPH1" hidden="1">#REF!</definedName>
    <definedName name="__123Graph_CGraph8" hidden="1">#REF!</definedName>
    <definedName name="__123Graph_CMARGIN" hidden="1">#REF!</definedName>
    <definedName name="__123Graph_CPROD" hidden="1">#REF!</definedName>
    <definedName name="__123Graph_CRUFTIRBL" hidden="1">#REF!</definedName>
    <definedName name="__123Graph_CSLIDEIII25" hidden="1">#REF!</definedName>
    <definedName name="__123Graph_CSLIDEIII26" hidden="1">#REF!</definedName>
    <definedName name="__123Graph_CTEMP" hidden="1">#REF!</definedName>
    <definedName name="__123Graph_CUKFTIRBL" hidden="1">#REF!</definedName>
    <definedName name="__123Graph_CYTDVar" hidden="1">#REF!</definedName>
    <definedName name="__123Graph_C優劣分岐" hidden="1">#REF!</definedName>
    <definedName name="__123Graph_C簡易比較図" hidden="1">#REF!</definedName>
    <definedName name="__123Graph_C追加利率" hidden="1">#REF!</definedName>
    <definedName name="__123Graph_D" hidden="1">#REF!</definedName>
    <definedName name="__123Graph_DA" hidden="1">#REF!</definedName>
    <definedName name="__123Graph_DB" hidden="1">#REF!</definedName>
    <definedName name="__123Graph_DC" hidden="1">#REF!</definedName>
    <definedName name="__123Graph_DCHART10" hidden="1">#REF!</definedName>
    <definedName name="__123Graph_DCHART14" hidden="1">#REF!</definedName>
    <definedName name="__123Graph_DCOMP" hidden="1">#REF!</definedName>
    <definedName name="__123Graph_DD" hidden="1">#REF!</definedName>
    <definedName name="__123Graph_DGRAPH1" hidden="1">#REF!</definedName>
    <definedName name="__123Graph_DGraph8" hidden="1">#REF!</definedName>
    <definedName name="__123Graph_DMARGIN" hidden="1">#REF!</definedName>
    <definedName name="__123Graph_DPROD" hidden="1">#REF!</definedName>
    <definedName name="__123Graph_DROCE" hidden="1">#REF!</definedName>
    <definedName name="__123Graph_DSLIDEIII25" hidden="1">#REF!</definedName>
    <definedName name="__123Graph_DYTDVar" hidden="1">#REF!</definedName>
    <definedName name="__123Graph_D優劣分岐" hidden="1">#REF!</definedName>
    <definedName name="__123Graph_D利益線図" hidden="1">#REF!</definedName>
    <definedName name="__123Graph_D回収推移" hidden="1">#REF!</definedName>
    <definedName name="__123Graph_D簡易比較図" hidden="1">#REF!</definedName>
    <definedName name="__123Graph_E" hidden="1">#REF!</definedName>
    <definedName name="__123Graph_ECOMP" hidden="1">#REF!</definedName>
    <definedName name="__123Graph_EGRAPH1" hidden="1">#REF!</definedName>
    <definedName name="__123Graph_EMARGIN" hidden="1">#REF!</definedName>
    <definedName name="__123Graph_EPROD" hidden="1">#REF!</definedName>
    <definedName name="__123Graph_EYTDVar" hidden="1">#REF!</definedName>
    <definedName name="__123Graph_E優劣分岐" hidden="1">#REF!</definedName>
    <definedName name="__123Graph_E利益線図" hidden="1">#REF!</definedName>
    <definedName name="__123Graph_E簡易比較図" hidden="1">#REF!</definedName>
    <definedName name="__123Graph_F" hidden="1">#REF!</definedName>
    <definedName name="__123Graph_FGRAPH1" hidden="1">#REF!</definedName>
    <definedName name="__123Graph_FMARGIN" hidden="1">#REF!</definedName>
    <definedName name="__123Graph_F優劣分岐" hidden="1">#REF!</definedName>
    <definedName name="__123Graph_LBL_A" hidden="1">#REF!</definedName>
    <definedName name="__123Graph_LBL_ACOMP" hidden="1">#REF!</definedName>
    <definedName name="__123Graph_LBL_ACRPIE90" hidden="1">#REF!</definedName>
    <definedName name="__123Graph_LBL_ACRPIE91" hidden="1">#REF!</definedName>
    <definedName name="__123Graph_LBL_ACRPIE92" hidden="1">#REF!</definedName>
    <definedName name="__123Graph_LBL_ACRPIE93" hidden="1">#REF!</definedName>
    <definedName name="__123Graph_LBL_AHISTORY" hidden="1">#REF!</definedName>
    <definedName name="__123Graph_LBL_AMONTH" hidden="1">#REF!</definedName>
    <definedName name="__123Graph_LBL_ATREND" hidden="1">#REF!</definedName>
    <definedName name="__123Graph_LBL_AYEAR" hidden="1">#REF!</definedName>
    <definedName name="__123Graph_LBL_A追加利率" hidden="1">#REF!</definedName>
    <definedName name="__123Graph_LBL_B" hidden="1">#REF!</definedName>
    <definedName name="__123Graph_LBL_BCOMP" hidden="1">#REF!</definedName>
    <definedName name="__123Graph_LBL_BCRACK" hidden="1">#REF!</definedName>
    <definedName name="__123Graph_LBL_BMONTH" hidden="1">#REF!</definedName>
    <definedName name="__123Graph_LBL_BPOLYCOMP" hidden="1">#REF!</definedName>
    <definedName name="__123Graph_LBL_BPOLYETH" hidden="1">#REF!</definedName>
    <definedName name="__123Graph_LBL_BPOLYPROP" hidden="1">#REF!</definedName>
    <definedName name="__123Graph_LBL_BTREND" hidden="1">#REF!</definedName>
    <definedName name="__123Graph_LBL_BYEAR" hidden="1">#REF!</definedName>
    <definedName name="__123Graph_LBL_B簡易比較図" hidden="1">#REF!</definedName>
    <definedName name="__123Graph_LBL_C" hidden="1">#REF!</definedName>
    <definedName name="__123Graph_LBL_CCHART22" hidden="1">#REF!</definedName>
    <definedName name="__123Graph_LBL_CCOMP" hidden="1">#REF!</definedName>
    <definedName name="__123Graph_LBL_C簡易比較図" hidden="1">#REF!</definedName>
    <definedName name="__123Graph_LBL_C追加利率" hidden="1">#REF!</definedName>
    <definedName name="__123Graph_LBL_D" hidden="1">#REF!</definedName>
    <definedName name="__123Graph_LBL_DCOMP" hidden="1">#REF!</definedName>
    <definedName name="__123Graph_LBL_D簡易比較図" hidden="1">#REF!</definedName>
    <definedName name="__123Graph_LBL_E" hidden="1">#REF!</definedName>
    <definedName name="__123Graph_LBL_ECOMP" hidden="1">#REF!</definedName>
    <definedName name="__123Graph_LBL_E簡易比較図" hidden="1">#REF!</definedName>
    <definedName name="__123Graph_LBL_F" hidden="1">#REF!</definedName>
    <definedName name="__123Graph_LBL_F簡易比較図" hidden="1">#REF!</definedName>
    <definedName name="__123Graph_NA" hidden="1">#REF!</definedName>
    <definedName name="__123Graph_X" hidden="1">#REF!</definedName>
    <definedName name="__123Graph_XA" hidden="1">#REF!</definedName>
    <definedName name="__123Graph_XB" hidden="1">#REF!</definedName>
    <definedName name="__123Graph_XBUD" hidden="1">#REF!</definedName>
    <definedName name="__123Graph_XC" hidden="1">#REF!</definedName>
    <definedName name="__123Graph_XCASHFLOW" hidden="1">#N/A</definedName>
    <definedName name="__123Graph_XCHART1" hidden="1">#REF!</definedName>
    <definedName name="__123Graph_XCHART10" hidden="1">#REF!</definedName>
    <definedName name="__123Graph_XCHART11" hidden="1">#REF!</definedName>
    <definedName name="__123Graph_XCHART12" hidden="1">#REF!</definedName>
    <definedName name="__123Graph_XCHART13" hidden="1">#REF!</definedName>
    <definedName name="__123Graph_XCHART14" hidden="1">#REF!</definedName>
    <definedName name="__123Graph_XCHART15" hidden="1">#REF!</definedName>
    <definedName name="__123Graph_XCHART16" hidden="1">#REF!</definedName>
    <definedName name="__123Graph_XCHART17" hidden="1">#REF!</definedName>
    <definedName name="__123Graph_XCHART18" hidden="1">#REF!</definedName>
    <definedName name="__123Graph_XCHART19" hidden="1">#REF!</definedName>
    <definedName name="__123Graph_XCHART2" hidden="1">#REF!</definedName>
    <definedName name="__123Graph_XCHART20" hidden="1">#REF!</definedName>
    <definedName name="__123Graph_XCHART21" hidden="1">#REF!</definedName>
    <definedName name="__123Graph_XCHART22" hidden="1">#REF!</definedName>
    <definedName name="__123Graph_XCHART3" hidden="1">#REF!</definedName>
    <definedName name="__123Graph_XCHART4" hidden="1">#REF!</definedName>
    <definedName name="__123Graph_XCHART5" hidden="1">#REF!</definedName>
    <definedName name="__123Graph_XCHART6" hidden="1">#REF!</definedName>
    <definedName name="__123Graph_XCHART7" hidden="1">#REF!</definedName>
    <definedName name="__123Graph_XCHART8" hidden="1">#REF!</definedName>
    <definedName name="__123Graph_XCHART9" hidden="1">#REF!</definedName>
    <definedName name="__123Graph_XClsCarr" hidden="1">#REF!</definedName>
    <definedName name="__123Graph_XClsCorr" hidden="1">#REF!</definedName>
    <definedName name="__123Graph_XClsCum" hidden="1">#REF!</definedName>
    <definedName name="__123Graph_XClsCust" hidden="1">#REF!</definedName>
    <definedName name="__123Graph_XClsLoft" hidden="1">#REF!</definedName>
    <definedName name="__123Graph_XClsMar" hidden="1">#REF!</definedName>
    <definedName name="__123Graph_XCOMP" hidden="1">#REF!</definedName>
    <definedName name="__123Graph_XCON" hidden="1">#REF!</definedName>
    <definedName name="__123Graph_XCURRENT" hidden="1">#REF!</definedName>
    <definedName name="__123Graph_XD" hidden="1">#REF!</definedName>
    <definedName name="__123Graph_XDM" hidden="1">#REF!</definedName>
    <definedName name="__123Graph_XDRIVER2" hidden="1">#N/A</definedName>
    <definedName name="__123Graph_XDY" hidden="1">#REF!</definedName>
    <definedName name="__123Graph_XGRAPH1" hidden="1">#REF!</definedName>
    <definedName name="__123Graph_XGraph11"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PH_EXPIRE" hidden="1">#REF!</definedName>
    <definedName name="__123Graph_XHISTORY" hidden="1">#REF!</definedName>
    <definedName name="__123Graph_XINCOME1" hidden="1">#N/A</definedName>
    <definedName name="__123Graph_XINCOME2" hidden="1">#N/A</definedName>
    <definedName name="__123Graph_XMARGIN" hidden="1">#REF!</definedName>
    <definedName name="__123Graph_XMONTH" hidden="1">#REF!</definedName>
    <definedName name="__123Graph_XPREZZI1" hidden="1">#REF!</definedName>
    <definedName name="__123Graph_XPREZZI1A" hidden="1">#REF!</definedName>
    <definedName name="__123Graph_XPREZZI2" hidden="1">#REF!</definedName>
    <definedName name="__123Graph_XPREZZI2A" hidden="1">#REF!</definedName>
    <definedName name="__123Graph_XPREZZI3" hidden="1">#REF!</definedName>
    <definedName name="__123Graph_XPREZZI3A" hidden="1">#REF!</definedName>
    <definedName name="__123Graph_XPREZZI4" hidden="1">#REF!</definedName>
    <definedName name="__123Graph_XPREZZI4A" hidden="1">#REF!</definedName>
    <definedName name="__123Graph_XPREZZI5" hidden="1">#REF!</definedName>
    <definedName name="__123Graph_XPREZZI5A" hidden="1">#REF!</definedName>
    <definedName name="__123Graph_XPREZZI6" hidden="1">#REF!</definedName>
    <definedName name="__123Graph_XPREZZI6A" hidden="1">#REF!</definedName>
    <definedName name="__123Graph_XPREZZI7" hidden="1">#REF!</definedName>
    <definedName name="__123Graph_XPREZZI7A" hidden="1">#REF!</definedName>
    <definedName name="__123Graph_XPROD" hidden="1">#REF!</definedName>
    <definedName name="__123Graph_XREG" hidden="1">#REF!</definedName>
    <definedName name="__123Graph_XREGDIF" hidden="1">#REF!</definedName>
    <definedName name="__123Graph_XRUFTIRBL" hidden="1">#REF!</definedName>
    <definedName name="__123Graph_XRUGAO" hidden="1">#REF!</definedName>
    <definedName name="__123Graph_XRUGIO" hidden="1">#REF!</definedName>
    <definedName name="__123Graph_XRUINC" hidden="1">#REF!</definedName>
    <definedName name="__123Graph_XSLIDE17" hidden="1">#REF!</definedName>
    <definedName name="__123Graph_XSLIDEIII15" hidden="1">#REF!</definedName>
    <definedName name="__123Graph_XSLIDEIII25" hidden="1">#REF!</definedName>
    <definedName name="__123Graph_XSLIDEIII26" hidden="1">#REF!</definedName>
    <definedName name="__123Graph_XTREND" hidden="1">#REF!</definedName>
    <definedName name="__123Graph_XUTXSP1" hidden="1">#REF!</definedName>
    <definedName name="__123Graph_XUTXSP2" hidden="1">#REF!</definedName>
    <definedName name="__123Graph_XYEAR" hidden="1">#REF!</definedName>
    <definedName name="__123Graph_XYTD" hidden="1">#REF!</definedName>
    <definedName name="__123Graph_XYTDVar" hidden="1">#REF!</definedName>
    <definedName name="__123Graph_X優劣分岐" hidden="1">#REF!</definedName>
    <definedName name="__123Graph_X利益線図" hidden="1">#REF!</definedName>
    <definedName name="__123Graph_X回収推移" hidden="1">#REF!</definedName>
    <definedName name="__123Graph_X簡易比較図" hidden="1">#REF!</definedName>
    <definedName name="__123Graph_X追加利率" hidden="1">#REF!</definedName>
    <definedName name="__123h" hidden="1">#REF!</definedName>
    <definedName name="__12Graph_X" hidden="1">#REF!</definedName>
    <definedName name="__13__123Graph_CCHART_15" hidden="1">#REF!</definedName>
    <definedName name="__13__123Graph_CCHART_22" hidden="1">#REF!</definedName>
    <definedName name="__14__123Graph_CCHART_16" hidden="1">#REF!</definedName>
    <definedName name="__14__123Graph_CCHART_23" hidden="1">#REF!</definedName>
    <definedName name="__15__123Graph_CCHART_17" hidden="1">#REF!</definedName>
    <definedName name="__15__123Graph_CCHART_24" hidden="1">#REF!</definedName>
    <definedName name="__16__123Graph_CCHART_22" hidden="1">#REF!</definedName>
    <definedName name="__16__123Graph_CCHART_25" hidden="1">#REF!</definedName>
    <definedName name="__17__123Graph_CCHART_26" hidden="1">#REF!</definedName>
    <definedName name="__17__123Graph_CSEG_PIE" hidden="1">#REF!</definedName>
    <definedName name="__18__123Graph_CCHART_27" hidden="1">#REF!</definedName>
    <definedName name="__18__123Graph_DCHART_15" hidden="1">#REF!</definedName>
    <definedName name="__19__123Graph_CCHART_28" hidden="1">#REF!</definedName>
    <definedName name="__19__123Graph_DCHART_16" hidden="1">#REF!</definedName>
    <definedName name="__2_???205">#REF!</definedName>
    <definedName name="__2_?78">#REF!</definedName>
    <definedName name="__2__123Graph_ACHART_15" hidden="1">#REF!</definedName>
    <definedName name="__2__123Graph_CCHART_11" hidden="1">#REF!</definedName>
    <definedName name="__2__123Graph_LBL_ACHART_5" hidden="1">#REF!</definedName>
    <definedName name="__20__123Graph_CCHART_29" hidden="1">#REF!</definedName>
    <definedName name="__20__123Graph_DCHART_17" hidden="1">#REF!</definedName>
    <definedName name="__21__123Graph_CCHART_30" hidden="1">#REF!</definedName>
    <definedName name="__21__123Graph_DCHART_22" hidden="1">#REF!</definedName>
    <definedName name="__22__123Graph_CCHART_31" hidden="1">#REF!</definedName>
    <definedName name="__22__123Graph_ECHART_15" hidden="1">#REF!</definedName>
    <definedName name="__23__123Graph_CCHART_32" hidden="1">#REF!</definedName>
    <definedName name="__23__123Graph_ECHART_16" hidden="1">#REF!</definedName>
    <definedName name="__24__123Graph_CCHART_33" hidden="1">#REF!</definedName>
    <definedName name="__24__123Graph_ECHART_17" hidden="1">#REF!</definedName>
    <definedName name="__25__123Graph_CCHART_34" hidden="1">#REF!</definedName>
    <definedName name="__25__123Graph_ECHART_22" hidden="1">#REF!</definedName>
    <definedName name="__26__123Graph_CCHART_35" hidden="1">#REF!</definedName>
    <definedName name="__26__123Graph_FCHART_15" hidden="1">#REF!</definedName>
    <definedName name="__27__123Graph_CCHART_36" hidden="1">#REF!</definedName>
    <definedName name="__27__123Graph_FCHART_16" hidden="1">#REF!</definedName>
    <definedName name="__28__123Graph_CCHART_37" hidden="1">#REF!</definedName>
    <definedName name="__28__123Graph_FCHART_17" hidden="1">#REF!</definedName>
    <definedName name="__29__123Graph_CCHART_38" hidden="1">#REF!</definedName>
    <definedName name="__29__123Graph_FCHART_22" hidden="1">#REF!</definedName>
    <definedName name="__2Dist_Val" hidden="1">#REF!</definedName>
    <definedName name="__3_?88">#REF!</definedName>
    <definedName name="__3__123Graph_ACHART_16" hidden="1">#REF!</definedName>
    <definedName name="__3__123Graph_CCHART_12" hidden="1">#REF!</definedName>
    <definedName name="__3__123Graph_LBL_BCHART_4" hidden="1">#REF!</definedName>
    <definedName name="__3_0_Dist_Val" hidden="1">#REF!</definedName>
    <definedName name="__30__123Graph_CCHART_39" hidden="1">#REF!</definedName>
    <definedName name="__30__123Graph_XCHART_15" hidden="1">#REF!</definedName>
    <definedName name="__31__123Graph_CCHART_4" hidden="1">#REF!</definedName>
    <definedName name="__31__123Graph_XCHART_16" hidden="1">#REF!</definedName>
    <definedName name="__32__123Graph_CCHART_40" hidden="1">#REF!</definedName>
    <definedName name="__32__123Graph_XCHART_17" hidden="1">#REF!</definedName>
    <definedName name="__33__123Graph_CCHART_41" hidden="1">#REF!</definedName>
    <definedName name="__33__123Graph_XCHART_18" hidden="1">#REF!</definedName>
    <definedName name="__34__123Graph_CCHART_42" hidden="1">#REF!</definedName>
    <definedName name="__34__123Graph_XCHART_19" hidden="1">#REF!</definedName>
    <definedName name="__35__123Graph_CCHART_5" hidden="1">#REF!</definedName>
    <definedName name="__35__123Graph_XCHART_22" hidden="1">#REF!</definedName>
    <definedName name="__36__123Graph_CCHART_6" hidden="1">#REF!</definedName>
    <definedName name="__36__123Graph_XSEG_PIE" hidden="1">#REF!</definedName>
    <definedName name="__37__123Graph_CCHART_7" hidden="1">#REF!</definedName>
    <definedName name="__38__123Graph_CCHART_8" hidden="1">#REF!</definedName>
    <definedName name="__39__123Graph_CCHART_9" hidden="1">#REF!</definedName>
    <definedName name="__4_?78">#REF!</definedName>
    <definedName name="__4__123Graph_ACHART_17" hidden="1">#REF!</definedName>
    <definedName name="__4__123Graph_CCHART_13" hidden="1">#REF!</definedName>
    <definedName name="__4_0">#REF!</definedName>
    <definedName name="__40__123Graph_DCHART_11" hidden="1">#REF!</definedName>
    <definedName name="__41__123Graph_DCHART_2" hidden="1">#REF!</definedName>
    <definedName name="__42__123Graph_DCHART_3" hidden="1">#REF!</definedName>
    <definedName name="__43__123Graph_DCHART_4" hidden="1">#REF!</definedName>
    <definedName name="__44__123Graph_DCHART_6" hidden="1">#REF!</definedName>
    <definedName name="__45__123Graph_DCHART_8" hidden="1">#REF!</definedName>
    <definedName name="__46__123Graph_DCHART_9" hidden="1">#REF!</definedName>
    <definedName name="__47__123Graph_ECHART_3" hidden="1">#REF!</definedName>
    <definedName name="__48__123Graph_XChart_1" hidden="1">#REF!</definedName>
    <definedName name="__5__123Graph_ACHART_18" hidden="1">#REF!</definedName>
    <definedName name="__5__123Graph_CCHART_14" hidden="1">#REF!</definedName>
    <definedName name="__5_0">#REF!</definedName>
    <definedName name="__6_?88">#REF!</definedName>
    <definedName name="__6__123Graph_ACHART_19" hidden="1">#REF!</definedName>
    <definedName name="__6__123Graph_CCHART_15" hidden="1">#REF!</definedName>
    <definedName name="__7__123Graph_ACHART_21" hidden="1">#REF!</definedName>
    <definedName name="__7__123Graph_CCHART_16" hidden="1">#REF!</definedName>
    <definedName name="__7_0">#REF!</definedName>
    <definedName name="__8__123Graph_ASEG_PIE" hidden="1">#REF!</definedName>
    <definedName name="__8__123Graph_CCHART_17" hidden="1">#REF!</definedName>
    <definedName name="__8_0">#REF!</definedName>
    <definedName name="__9__123Graph_BCHART_15" hidden="1">#REF!</definedName>
    <definedName name="__9__123Graph_CCHART_18" hidden="1">#REF!</definedName>
    <definedName name="__a1" localSheetId="0" hidden="1">{#N/A,#N/A,FALSE,"Pharm";#N/A,#N/A,FALSE,"WWCM"}</definedName>
    <definedName name="__a1" localSheetId="6" hidden="1">{#N/A,#N/A,FALSE,"Pharm";#N/A,#N/A,FALSE,"WWCM"}</definedName>
    <definedName name="__a1" hidden="1">{#N/A,#N/A,FALSE,"Pharm";#N/A,#N/A,FALSE,"WWCM"}</definedName>
    <definedName name="__a1_1" localSheetId="0" hidden="1">{#N/A,#N/A,FALSE,"Pharm";#N/A,#N/A,FALSE,"WWCM"}</definedName>
    <definedName name="__a1_1" localSheetId="6" hidden="1">{#N/A,#N/A,FALSE,"Pharm";#N/A,#N/A,FALSE,"WWCM"}</definedName>
    <definedName name="__a1_1" hidden="1">{#N/A,#N/A,FALSE,"Pharm";#N/A,#N/A,FALSE,"WWCM"}</definedName>
    <definedName name="__a1_1_1" localSheetId="0" hidden="1">{#N/A,#N/A,FALSE,"Pharm";#N/A,#N/A,FALSE,"WWCM"}</definedName>
    <definedName name="__a1_1_1" localSheetId="6" hidden="1">{#N/A,#N/A,FALSE,"Pharm";#N/A,#N/A,FALSE,"WWCM"}</definedName>
    <definedName name="__a1_1_1" hidden="1">{#N/A,#N/A,FALSE,"Pharm";#N/A,#N/A,FALSE,"WWCM"}</definedName>
    <definedName name="__a1_2" localSheetId="0" hidden="1">{#N/A,#N/A,FALSE,"Pharm";#N/A,#N/A,FALSE,"WWCM"}</definedName>
    <definedName name="__a1_2" localSheetId="6" hidden="1">{#N/A,#N/A,FALSE,"Pharm";#N/A,#N/A,FALSE,"WWCM"}</definedName>
    <definedName name="__a1_2" hidden="1">{#N/A,#N/A,FALSE,"Pharm";#N/A,#N/A,FALSE,"WWCM"}</definedName>
    <definedName name="__a1_3" localSheetId="0" hidden="1">{#N/A,#N/A,FALSE,"Pharm";#N/A,#N/A,FALSE,"WWCM"}</definedName>
    <definedName name="__a1_3" localSheetId="6" hidden="1">{#N/A,#N/A,FALSE,"Pharm";#N/A,#N/A,FALSE,"WWCM"}</definedName>
    <definedName name="__a1_3" hidden="1">{#N/A,#N/A,FALSE,"Pharm";#N/A,#N/A,FALSE,"WWCM"}</definedName>
    <definedName name="__a1_4" localSheetId="0" hidden="1">{#N/A,#N/A,FALSE,"Pharm";#N/A,#N/A,FALSE,"WWCM"}</definedName>
    <definedName name="__a1_4" localSheetId="6" hidden="1">{#N/A,#N/A,FALSE,"Pharm";#N/A,#N/A,FALSE,"WWCM"}</definedName>
    <definedName name="__a1_4" hidden="1">{#N/A,#N/A,FALSE,"Pharm";#N/A,#N/A,FALSE,"WWCM"}</definedName>
    <definedName name="__a1_5" localSheetId="0" hidden="1">{#N/A,#N/A,FALSE,"Pharm";#N/A,#N/A,FALSE,"WWCM"}</definedName>
    <definedName name="__a1_5" localSheetId="6" hidden="1">{#N/A,#N/A,FALSE,"Pharm";#N/A,#N/A,FALSE,"WWCM"}</definedName>
    <definedName name="__a1_5" hidden="1">{#N/A,#N/A,FALSE,"Pharm";#N/A,#N/A,FALSE,"WWCM"}</definedName>
    <definedName name="__A11" localSheetId="0" hidden="1">{#N/A,#N/A,FALSE,"Umsatz 99";#N/A,#N/A,FALSE,"ER 99 "}</definedName>
    <definedName name="__A11" localSheetId="6" hidden="1">{#N/A,#N/A,FALSE,"Umsatz 99";#N/A,#N/A,FALSE,"ER 99 "}</definedName>
    <definedName name="__A11" hidden="1">{#N/A,#N/A,FALSE,"Umsatz 99";#N/A,#N/A,FALSE,"ER 99 "}</definedName>
    <definedName name="__A11_1" localSheetId="0" hidden="1">{#N/A,#N/A,FALSE,"Umsatz 99";#N/A,#N/A,FALSE,"ER 99 "}</definedName>
    <definedName name="__A11_1" localSheetId="6" hidden="1">{#N/A,#N/A,FALSE,"Umsatz 99";#N/A,#N/A,FALSE,"ER 99 "}</definedName>
    <definedName name="__A11_1" hidden="1">{#N/A,#N/A,FALSE,"Umsatz 99";#N/A,#N/A,FALSE,"ER 99 "}</definedName>
    <definedName name="__A11_1_1" localSheetId="0" hidden="1">{#N/A,#N/A,FALSE,"Umsatz 99";#N/A,#N/A,FALSE,"ER 99 "}</definedName>
    <definedName name="__A11_1_1" localSheetId="6" hidden="1">{#N/A,#N/A,FALSE,"Umsatz 99";#N/A,#N/A,FALSE,"ER 99 "}</definedName>
    <definedName name="__A11_1_1" hidden="1">{#N/A,#N/A,FALSE,"Umsatz 99";#N/A,#N/A,FALSE,"ER 99 "}</definedName>
    <definedName name="__A11_2" localSheetId="0" hidden="1">{#N/A,#N/A,FALSE,"Umsatz 99";#N/A,#N/A,FALSE,"ER 99 "}</definedName>
    <definedName name="__A11_2" localSheetId="6" hidden="1">{#N/A,#N/A,FALSE,"Umsatz 99";#N/A,#N/A,FALSE,"ER 99 "}</definedName>
    <definedName name="__A11_2" hidden="1">{#N/A,#N/A,FALSE,"Umsatz 99";#N/A,#N/A,FALSE,"ER 99 "}</definedName>
    <definedName name="__A11_3" localSheetId="0" hidden="1">{#N/A,#N/A,FALSE,"Umsatz 99";#N/A,#N/A,FALSE,"ER 99 "}</definedName>
    <definedName name="__A11_3" localSheetId="6" hidden="1">{#N/A,#N/A,FALSE,"Umsatz 99";#N/A,#N/A,FALSE,"ER 99 "}</definedName>
    <definedName name="__A11_3" hidden="1">{#N/A,#N/A,FALSE,"Umsatz 99";#N/A,#N/A,FALSE,"ER 99 "}</definedName>
    <definedName name="__A11_4" localSheetId="0" hidden="1">{#N/A,#N/A,FALSE,"Umsatz 99";#N/A,#N/A,FALSE,"ER 99 "}</definedName>
    <definedName name="__A11_4" localSheetId="6" hidden="1">{#N/A,#N/A,FALSE,"Umsatz 99";#N/A,#N/A,FALSE,"ER 99 "}</definedName>
    <definedName name="__A11_4" hidden="1">{#N/A,#N/A,FALSE,"Umsatz 99";#N/A,#N/A,FALSE,"ER 99 "}</definedName>
    <definedName name="__A11_5" localSheetId="0" hidden="1">{#N/A,#N/A,FALSE,"Umsatz 99";#N/A,#N/A,FALSE,"ER 99 "}</definedName>
    <definedName name="__A11_5" localSheetId="6" hidden="1">{#N/A,#N/A,FALSE,"Umsatz 99";#N/A,#N/A,FALSE,"ER 99 "}</definedName>
    <definedName name="__A11_5" hidden="1">{#N/A,#N/A,FALSE,"Umsatz 99";#N/A,#N/A,FALSE,"ER 99 "}</definedName>
    <definedName name="__a2" localSheetId="0" hidden="1">{"mgmt forecast",#N/A,FALSE,"Mgmt Forecast";"dcf table",#N/A,FALSE,"Mgmt Forecast";"sensitivity",#N/A,FALSE,"Mgmt Forecast";"table inputs",#N/A,FALSE,"Mgmt Forecast";"calculations",#N/A,FALSE,"Mgmt Forecast"}</definedName>
    <definedName name="__a2" localSheetId="6" hidden="1">{"mgmt forecast",#N/A,FALSE,"Mgmt Forecast";"dcf table",#N/A,FALSE,"Mgmt Forecast";"sensitivity",#N/A,FALSE,"Mgmt Forecast";"table inputs",#N/A,FALSE,"Mgmt Forecast";"calculations",#N/A,FALSE,"Mgmt Forecast"}</definedName>
    <definedName name="__a2" hidden="1">{"mgmt forecast",#N/A,FALSE,"Mgmt Forecast";"dcf table",#N/A,FALSE,"Mgmt Forecast";"sensitivity",#N/A,FALSE,"Mgmt Forecast";"table inputs",#N/A,FALSE,"Mgmt Forecast";"calculations",#N/A,FALSE,"Mgmt Forecast"}</definedName>
    <definedName name="__aaa1" localSheetId="0" hidden="1">{#N/A,#N/A,FALSE,"REPORT"}</definedName>
    <definedName name="__aaa1" localSheetId="6" hidden="1">{#N/A,#N/A,FALSE,"REPORT"}</definedName>
    <definedName name="__aaa1" hidden="1">{#N/A,#N/A,FALSE,"REPORT"}</definedName>
    <definedName name="__aaa1_1" localSheetId="0" hidden="1">{#N/A,#N/A,FALSE,"REPORT"}</definedName>
    <definedName name="__aaa1_1" localSheetId="6" hidden="1">{#N/A,#N/A,FALSE,"REPORT"}</definedName>
    <definedName name="__aaa1_1" hidden="1">{#N/A,#N/A,FALSE,"REPORT"}</definedName>
    <definedName name="__aaa1_1_1" localSheetId="0" hidden="1">{#N/A,#N/A,FALSE,"REPORT"}</definedName>
    <definedName name="__aaa1_1_1" localSheetId="6" hidden="1">{#N/A,#N/A,FALSE,"REPORT"}</definedName>
    <definedName name="__aaa1_1_1" hidden="1">{#N/A,#N/A,FALSE,"REPORT"}</definedName>
    <definedName name="__aaa1_2" localSheetId="0" hidden="1">{#N/A,#N/A,FALSE,"REPORT"}</definedName>
    <definedName name="__aaa1_2" localSheetId="6" hidden="1">{#N/A,#N/A,FALSE,"REPORT"}</definedName>
    <definedName name="__aaa1_2" hidden="1">{#N/A,#N/A,FALSE,"REPORT"}</definedName>
    <definedName name="__aaa1_3" localSheetId="0" hidden="1">{#N/A,#N/A,FALSE,"REPORT"}</definedName>
    <definedName name="__aaa1_3" localSheetId="6" hidden="1">{#N/A,#N/A,FALSE,"REPORT"}</definedName>
    <definedName name="__aaa1_3" hidden="1">{#N/A,#N/A,FALSE,"REPORT"}</definedName>
    <definedName name="__aaa1_4" localSheetId="0" hidden="1">{#N/A,#N/A,FALSE,"REPORT"}</definedName>
    <definedName name="__aaa1_4" localSheetId="6" hidden="1">{#N/A,#N/A,FALSE,"REPORT"}</definedName>
    <definedName name="__aaa1_4" hidden="1">{#N/A,#N/A,FALSE,"REPORT"}</definedName>
    <definedName name="__aaa1_5" localSheetId="0" hidden="1">{#N/A,#N/A,FALSE,"REPORT"}</definedName>
    <definedName name="__aaa1_5" localSheetId="6" hidden="1">{#N/A,#N/A,FALSE,"REPORT"}</definedName>
    <definedName name="__aaa1_5" hidden="1">{#N/A,#N/A,FALSE,"REPORT"}</definedName>
    <definedName name="__aas1" localSheetId="0" hidden="1">{#N/A,#N/A,FALSE,"REPORT"}</definedName>
    <definedName name="__aas1" localSheetId="6" hidden="1">{#N/A,#N/A,FALSE,"REPORT"}</definedName>
    <definedName name="__aas1" hidden="1">{#N/A,#N/A,FALSE,"REPORT"}</definedName>
    <definedName name="__aas1_1" localSheetId="0" hidden="1">{#N/A,#N/A,FALSE,"REPORT"}</definedName>
    <definedName name="__aas1_1" localSheetId="6" hidden="1">{#N/A,#N/A,FALSE,"REPORT"}</definedName>
    <definedName name="__aas1_1" hidden="1">{#N/A,#N/A,FALSE,"REPORT"}</definedName>
    <definedName name="__aas1_1_1" localSheetId="0" hidden="1">{#N/A,#N/A,FALSE,"REPORT"}</definedName>
    <definedName name="__aas1_1_1" localSheetId="6" hidden="1">{#N/A,#N/A,FALSE,"REPORT"}</definedName>
    <definedName name="__aas1_1_1" hidden="1">{#N/A,#N/A,FALSE,"REPORT"}</definedName>
    <definedName name="__aas1_2" localSheetId="0" hidden="1">{#N/A,#N/A,FALSE,"REPORT"}</definedName>
    <definedName name="__aas1_2" localSheetId="6" hidden="1">{#N/A,#N/A,FALSE,"REPORT"}</definedName>
    <definedName name="__aas1_2" hidden="1">{#N/A,#N/A,FALSE,"REPORT"}</definedName>
    <definedName name="__aas1_3" localSheetId="0" hidden="1">{#N/A,#N/A,FALSE,"REPORT"}</definedName>
    <definedName name="__aas1_3" localSheetId="6" hidden="1">{#N/A,#N/A,FALSE,"REPORT"}</definedName>
    <definedName name="__aas1_3" hidden="1">{#N/A,#N/A,FALSE,"REPORT"}</definedName>
    <definedName name="__aas1_4" localSheetId="0" hidden="1">{#N/A,#N/A,FALSE,"REPORT"}</definedName>
    <definedName name="__aas1_4" localSheetId="6" hidden="1">{#N/A,#N/A,FALSE,"REPORT"}</definedName>
    <definedName name="__aas1_4" hidden="1">{#N/A,#N/A,FALSE,"REPORT"}</definedName>
    <definedName name="__aas1_5" localSheetId="0" hidden="1">{#N/A,#N/A,FALSE,"REPORT"}</definedName>
    <definedName name="__aas1_5" localSheetId="6" hidden="1">{#N/A,#N/A,FALSE,"REPORT"}</definedName>
    <definedName name="__aas1_5" hidden="1">{#N/A,#N/A,FALSE,"REPORT"}</definedName>
    <definedName name="__abc123" localSheetId="0" hidden="1">{#N/A,#N/A,FALSE,"PROFIT 11-95"}</definedName>
    <definedName name="__abc123" localSheetId="6" hidden="1">{#N/A,#N/A,FALSE,"PROFIT 11-95"}</definedName>
    <definedName name="__abc123" hidden="1">{#N/A,#N/A,FALSE,"PROFIT 11-95"}</definedName>
    <definedName name="__ACS2000" localSheetId="0" hidden="1">{#N/A,#N/A,FALSE,"REPORT"}</definedName>
    <definedName name="__ACS2000" localSheetId="6" hidden="1">{#N/A,#N/A,FALSE,"REPORT"}</definedName>
    <definedName name="__ACS2000" hidden="1">{#N/A,#N/A,FALSE,"REPORT"}</definedName>
    <definedName name="__ACS2000_1" localSheetId="0" hidden="1">{#N/A,#N/A,FALSE,"REPORT"}</definedName>
    <definedName name="__ACS2000_1" localSheetId="6" hidden="1">{#N/A,#N/A,FALSE,"REPORT"}</definedName>
    <definedName name="__ACS2000_1" hidden="1">{#N/A,#N/A,FALSE,"REPORT"}</definedName>
    <definedName name="__ACS2000_1_1" localSheetId="0" hidden="1">{#N/A,#N/A,FALSE,"REPORT"}</definedName>
    <definedName name="__ACS2000_1_1" localSheetId="6" hidden="1">{#N/A,#N/A,FALSE,"REPORT"}</definedName>
    <definedName name="__ACS2000_1_1" hidden="1">{#N/A,#N/A,FALSE,"REPORT"}</definedName>
    <definedName name="__ACS2000_2" localSheetId="0" hidden="1">{#N/A,#N/A,FALSE,"REPORT"}</definedName>
    <definedName name="__ACS2000_2" localSheetId="6" hidden="1">{#N/A,#N/A,FALSE,"REPORT"}</definedName>
    <definedName name="__ACS2000_2" hidden="1">{#N/A,#N/A,FALSE,"REPORT"}</definedName>
    <definedName name="__ACS2000_3" localSheetId="0" hidden="1">{#N/A,#N/A,FALSE,"REPORT"}</definedName>
    <definedName name="__ACS2000_3" localSheetId="6" hidden="1">{#N/A,#N/A,FALSE,"REPORT"}</definedName>
    <definedName name="__ACS2000_3" hidden="1">{#N/A,#N/A,FALSE,"REPORT"}</definedName>
    <definedName name="__ACS2000_4" localSheetId="0" hidden="1">{#N/A,#N/A,FALSE,"REPORT"}</definedName>
    <definedName name="__ACS2000_4" localSheetId="6" hidden="1">{#N/A,#N/A,FALSE,"REPORT"}</definedName>
    <definedName name="__ACS2000_4" hidden="1">{#N/A,#N/A,FALSE,"REPORT"}</definedName>
    <definedName name="__ACS2000_5" localSheetId="0" hidden="1">{#N/A,#N/A,FALSE,"REPORT"}</definedName>
    <definedName name="__ACS2000_5" localSheetId="6" hidden="1">{#N/A,#N/A,FALSE,"REPORT"}</definedName>
    <definedName name="__ACS2000_5" hidden="1">{#N/A,#N/A,FALSE,"REPORT"}</definedName>
    <definedName name="__amr1" localSheetId="0" hidden="1">{#N/A,#N/A,FALSE,"PROFIT 11-95"}</definedName>
    <definedName name="__amr1" localSheetId="6" hidden="1">{#N/A,#N/A,FALSE,"PROFIT 11-95"}</definedName>
    <definedName name="__amr1" hidden="1">{#N/A,#N/A,FALSE,"PROFIT 11-95"}</definedName>
    <definedName name="__amr2" localSheetId="0" hidden="1">{#N/A,#N/A,FALSE,"PROFIT 11-95"}</definedName>
    <definedName name="__amr2" localSheetId="6" hidden="1">{#N/A,#N/A,FALSE,"PROFIT 11-95"}</definedName>
    <definedName name="__amr2" hidden="1">{#N/A,#N/A,FALSE,"PROFIT 11-95"}</definedName>
    <definedName name="__amr3">#REF!</definedName>
    <definedName name="__amr4" localSheetId="0" hidden="1">{#N/A,#N/A,TRUE,"PROFIT 11-95"}</definedName>
    <definedName name="__amr4" localSheetId="6" hidden="1">{#N/A,#N/A,TRUE,"PROFIT 11-95"}</definedName>
    <definedName name="__amr4" hidden="1">{#N/A,#N/A,TRUE,"PROFIT 11-95"}</definedName>
    <definedName name="__amr5" localSheetId="0" hidden="1">{#N/A,#N/A,FALSE,"PA";#N/A,#N/A,FALSE,"PA"}</definedName>
    <definedName name="__amr5" localSheetId="6" hidden="1">{#N/A,#N/A,FALSE,"PA";#N/A,#N/A,FALSE,"PA"}</definedName>
    <definedName name="__amr5" hidden="1">{#N/A,#N/A,FALSE,"PA";#N/A,#N/A,FALSE,"PA"}</definedName>
    <definedName name="__amr6" localSheetId="0" hidden="1">{#N/A,#N/A,FALSE,"CE-Build";#N/A,#N/A,FALSE,"CE-Equ.";#N/A,#N/A,FALSE,"CE-Computer";#N/A,#N/A,FALSE,"CE-BFurn.";#N/A,#N/A,FALSE,"CE-Accom.";#N/A,#N/A,FALSE,"CE-Vehicle";#N/A,#N/A,FALSE,"CE-Total"}</definedName>
    <definedName name="__amr6" localSheetId="6" hidden="1">{#N/A,#N/A,FALSE,"CE-Build";#N/A,#N/A,FALSE,"CE-Equ.";#N/A,#N/A,FALSE,"CE-Computer";#N/A,#N/A,FALSE,"CE-BFurn.";#N/A,#N/A,FALSE,"CE-Accom.";#N/A,#N/A,FALSE,"CE-Vehicle";#N/A,#N/A,FALSE,"CE-Total"}</definedName>
    <definedName name="__amr6" hidden="1">{#N/A,#N/A,FALSE,"CE-Build";#N/A,#N/A,FALSE,"CE-Equ.";#N/A,#N/A,FALSE,"CE-Computer";#N/A,#N/A,FALSE,"CE-BFurn.";#N/A,#N/A,FALSE,"CE-Accom.";#N/A,#N/A,FALSE,"CE-Vehicle";#N/A,#N/A,FALSE,"CE-Total"}</definedName>
    <definedName name="__amr7" localSheetId="0" hidden="1">{#N/A,#N/A,FALSE,"PROFIT 11-95"}</definedName>
    <definedName name="__amr7" localSheetId="6" hidden="1">{#N/A,#N/A,FALSE,"PROFIT 11-95"}</definedName>
    <definedName name="__amr7" hidden="1">{#N/A,#N/A,FALSE,"PROFIT 11-95"}</definedName>
    <definedName name="__amr8" localSheetId="0" hidden="1">{#N/A,#N/A,FALSE,"Mech";#N/A,#N/A,FALSE,"Body";#N/A,#N/A,FALSE,"Machine";#N/A,#N/A,FALSE,"Forklift";#N/A,#N/A,FALSE,"OtherHC";#N/A,#N/A,FALSE,"Total"}</definedName>
    <definedName name="__amr8" localSheetId="6" hidden="1">{#N/A,#N/A,FALSE,"Mech";#N/A,#N/A,FALSE,"Body";#N/A,#N/A,FALSE,"Machine";#N/A,#N/A,FALSE,"Forklift";#N/A,#N/A,FALSE,"OtherHC";#N/A,#N/A,FALSE,"Total"}</definedName>
    <definedName name="__amr8" hidden="1">{#N/A,#N/A,FALSE,"Mech";#N/A,#N/A,FALSE,"Body";#N/A,#N/A,FALSE,"Machine";#N/A,#N/A,FALSE,"Forklift";#N/A,#N/A,FALSE,"OtherHC";#N/A,#N/A,FALSE,"Total"}</definedName>
    <definedName name="__amr9" localSheetId="0" hidden="1">{#N/A,#N/A,TRUE,"PROFIT 11-95"}</definedName>
    <definedName name="__amr9" localSheetId="6" hidden="1">{#N/A,#N/A,TRUE,"PROFIT 11-95"}</definedName>
    <definedName name="__amr9" hidden="1">{#N/A,#N/A,TRUE,"PROFIT 11-95"}</definedName>
    <definedName name="__APW_RESTORE_DATA1000__" hidden="1">#REF!,#REF!,#REF!,#REF!,#REF!,#REF!,#REF!,#REF!,#REF!,#REF!,#REF!,#REF!,#REF!,#REF!,#REF!</definedName>
    <definedName name="__APW_RESTORE_DATA1001__" hidden="1">#REF!,#REF!,#REF!,#REF!,#REF!,#REF!,#REF!,#REF!,#REF!,#REF!,#REF!,#REF!,#REF!,#REF!,#REF!</definedName>
    <definedName name="__APW_RESTORE_DATA1002__" hidden="1">#REF!,#REF!,#REF!,#REF!,#REF!,#REF!,#REF!,#REF!,#REF!,#REF!,#REF!,#REF!,#REF!,#REF!,#REF!</definedName>
    <definedName name="__APW_RESTORE_DATA1003__" hidden="1">#REF!,#REF!,#REF!,#REF!,#REF!,#REF!,#REF!,#REF!,#REF!,#REF!,#REF!,#REF!,#REF!,#REF!,#REF!</definedName>
    <definedName name="__APW_RESTORE_DATA1004__" hidden="1">#REF!,#REF!,#REF!,#REF!,#REF!,#REF!,#REF!,#REF!,#REF!,#REF!,#REF!,#REF!,#REF!,#REF!,#REF!</definedName>
    <definedName name="__APW_RESTORE_DATA1005__" hidden="1">#REF!,#REF!,#REF!,#REF!,#REF!,#REF!,#REF!,#REF!,#REF!,#REF!,#REF!,#REF!,#REF!,#REF!,#REF!</definedName>
    <definedName name="__APW_RESTORE_DATA1006__" hidden="1">#REF!,#REF!,#REF!,#REF!,#REF!,#REF!,#REF!,#REF!,#REF!,#REF!,#REF!,#REF!,#REF!,#REF!,#REF!</definedName>
    <definedName name="__APW_RESTORE_DATA1007__" hidden="1">#REF!,#REF!,#REF!,#REF!,#REF!,#REF!,#REF!,#REF!,#REF!,#REF!,#REF!,#REF!,#REF!,#REF!,#REF!</definedName>
    <definedName name="__APW_RESTORE_DATA1008__" hidden="1">#REF!,#REF!,#REF!,#REF!,#REF!,#REF!,#REF!,#REF!,#REF!,#REF!,#REF!,#REF!,#REF!,#REF!,#REF!</definedName>
    <definedName name="__APW_RESTORE_DATA1009__" hidden="1">#REF!,#REF!,#REF!,#REF!,#REF!,#REF!,#REF!,#REF!,#REF!,#REF!,#REF!,#REF!,#REF!,#REF!,#REF!</definedName>
    <definedName name="__APW_RESTORE_DATA1010__" hidden="1">#REF!,#REF!,#REF!,#REF!,#REF!,#REF!,#REF!,#REF!,#REF!,#REF!,#REF!,#REF!,#REF!,#REF!,#REF!</definedName>
    <definedName name="__APW_RESTORE_DATA1011__" hidden="1">#REF!,#REF!,#REF!,#REF!,#REF!,#REF!,#REF!,#REF!,#REF!,#REF!,#REF!,#REF!,#REF!,#REF!,#REF!</definedName>
    <definedName name="__APW_RESTORE_DATA1012__" hidden="1">#REF!,#REF!,#REF!,#REF!,#REF!,#REF!,#REF!,#REF!,#REF!,#REF!,#REF!,#REF!,#REF!,#REF!,#REF!</definedName>
    <definedName name="__APW_RESTORE_DATA1013__" hidden="1">#REF!,#REF!,#REF!,#REF!,#REF!,#REF!,#REF!,#REF!,#REF!,#REF!,#REF!,#REF!,#REF!,#REF!,#REF!</definedName>
    <definedName name="__APW_RESTORE_DATA1014__" hidden="1">#REF!,#REF!,#REF!,#REF!,#REF!,#REF!,#REF!,#REF!,#REF!,#REF!,#REF!,#REF!,#REF!,#REF!,#REF!</definedName>
    <definedName name="__APW_RESTORE_DATA1015__" hidden="1">#REF!,#REF!,#REF!,#REF!,#REF!,#REF!,#REF!,#REF!,#REF!,#REF!,#REF!,#REF!,#REF!,#REF!,#REF!</definedName>
    <definedName name="__APW_RESTORE_DATA1016__" hidden="1">#REF!,#REF!,#REF!,#REF!,#REF!,#REF!,#REF!,#REF!,#REF!,#REF!,#REF!,#REF!,#REF!,#REF!,#REF!</definedName>
    <definedName name="__APW_RESTORE_DATA1017__" hidden="1">#REF!,#REF!,#REF!,#REF!,#REF!,#REF!,#REF!,#REF!,#REF!,#REF!,#REF!,#REF!,#REF!,#REF!,#REF!</definedName>
    <definedName name="__APW_RESTORE_DATA1018__" hidden="1">#REF!,#REF!,#REF!,#REF!,#REF!,#REF!,#REF!,#REF!,#REF!,#REF!,#REF!,#REF!,#REF!,#REF!,#REF!</definedName>
    <definedName name="__APW_RESTORE_DATA1019__" hidden="1">#REF!,#REF!,#REF!,#REF!,#REF!,#REF!,#REF!,#REF!,#REF!,#REF!,#REF!,#REF!,#REF!,#REF!,#REF!</definedName>
    <definedName name="__APW_RESTORE_DATA1020__" hidden="1">#REF!,#REF!,#REF!,#REF!,#REF!,#REF!,#REF!,#REF!,#REF!,#REF!,#REF!,#REF!,#REF!,#REF!,#REF!</definedName>
    <definedName name="__APW_RESTORE_DATA1021__" hidden="1">#REF!,#REF!,#REF!,#REF!,#REF!,#REF!,#REF!,#REF!,#REF!,#REF!,#REF!,#REF!,#REF!,#REF!,#REF!</definedName>
    <definedName name="__APW_RESTORE_DATA1022__" hidden="1">#REF!,#REF!,#REF!,#REF!,#REF!,#REF!,#REF!,#REF!,#REF!,#REF!,#REF!,#REF!,#REF!,#REF!,#REF!</definedName>
    <definedName name="__APW_RESTORE_DATA1023__" hidden="1">#REF!,#REF!,#REF!,#REF!,#REF!,#REF!,#REF!,#REF!,#REF!,#REF!,#REF!,#REF!,#REF!,#REF!,#REF!</definedName>
    <definedName name="__APW_RESTORE_DATA1024__" hidden="1">#REF!,#REF!,#REF!,#REF!,#REF!,#REF!,#REF!,#REF!,#REF!,#REF!,#REF!,#REF!,#REF!,#REF!,#REF!</definedName>
    <definedName name="__APW_RESTORE_DATA1025__" hidden="1">#REF!,#REF!,#REF!,#REF!,#REF!,#REF!,#REF!,#REF!,#REF!,#REF!,#REF!,#REF!,#REF!,#REF!,#REF!</definedName>
    <definedName name="__APW_RESTORE_DATA1026__" hidden="1">#REF!,#REF!,#REF!,#REF!,#REF!,#REF!,#REF!,#REF!,#REF!,#REF!,#REF!,#REF!,#REF!,#REF!,#REF!</definedName>
    <definedName name="__APW_RESTORE_DATA1027__" hidden="1">#REF!,#REF!,#REF!,#REF!,#REF!,#REF!,#REF!,#REF!,#REF!,#REF!,#REF!,#REF!,#REF!,#REF!,#REF!</definedName>
    <definedName name="__APW_RESTORE_DATA1028__" hidden="1">#REF!,#REF!,#REF!,#REF!,#REF!,#REF!,#REF!,#REF!,#REF!,#REF!,#REF!,#REF!,#REF!,#REF!,#REF!</definedName>
    <definedName name="__APW_RESTORE_DATA1029__" hidden="1">#REF!,#REF!,#REF!,#REF!,#REF!,#REF!,#REF!,#REF!,#REF!,#REF!,#REF!,#REF!,#REF!,#REF!,#REF!</definedName>
    <definedName name="__APW_RESTORE_DATA1030__" hidden="1">#REF!,#REF!,#REF!,#REF!,#REF!,#REF!,#REF!,#REF!,#REF!,#REF!,#REF!,#REF!,#REF!,#REF!,#REF!</definedName>
    <definedName name="__APW_RESTORE_DATA1031__" hidden="1">#REF!,#REF!,#REF!,#REF!,#REF!,#REF!,#REF!,#REF!,#REF!,#REF!,#REF!,#REF!,#REF!,#REF!,#REF!</definedName>
    <definedName name="__APW_RESTORE_DATA1032__" hidden="1">#REF!,#REF!,#REF!,#REF!,#REF!,#REF!,#REF!,#REF!,#REF!,#REF!,#REF!,#REF!,#REF!,#REF!,#REF!</definedName>
    <definedName name="__APW_RESTORE_DATA1033__" hidden="1">#REF!,#REF!,#REF!,#REF!,#REF!,#REF!,#REF!,#REF!,#REF!,#REF!,#REF!,#REF!,#REF!,#REF!,#REF!</definedName>
    <definedName name="__APW_RESTORE_DATA1034__" hidden="1">#REF!,#REF!,#REF!,#REF!,#REF!,#REF!,#REF!,#REF!,#REF!,#REF!,#REF!,#REF!,#REF!,#REF!,#REF!</definedName>
    <definedName name="__APW_RESTORE_DATA1035__" hidden="1">#REF!,#REF!,#REF!,#REF!,#REF!,#REF!,#REF!,#REF!,#REF!,#REF!,#REF!,#REF!,#REF!,#REF!,#REF!</definedName>
    <definedName name="__APW_RESTORE_DATA1036__" hidden="1">#REF!,#REF!,#REF!,#REF!,#REF!,#REF!,#REF!,#REF!,#REF!,#REF!,#REF!,#REF!,#REF!,#REF!,#REF!</definedName>
    <definedName name="__APW_RESTORE_DATA1037__" hidden="1">#REF!,#REF!,#REF!,#REF!,#REF!,#REF!,#REF!,#REF!,#REF!,#REF!,#REF!,#REF!,#REF!,#REF!,#REF!</definedName>
    <definedName name="__APW_RESTORE_DATA1038__" hidden="1">#REF!,#REF!,#REF!,#REF!,#REF!,#REF!,#REF!,#REF!,#REF!,#REF!,#REF!,#REF!,#REF!,#REF!,#REF!</definedName>
    <definedName name="__APW_RESTORE_DATA1039__" hidden="1">#REF!,#REF!,#REF!,#REF!,#REF!,#REF!,#REF!,#REF!,#REF!,#REF!,#REF!,#REF!,#REF!,#REF!,#REF!</definedName>
    <definedName name="__APW_RESTORE_DATA104__" hidden="1">#REF!,#REF!,#REF!,#REF!,#REF!,#REF!,#REF!,#REF!,#REF!,#REF!</definedName>
    <definedName name="__APW_RESTORE_DATA1040__" hidden="1">#REF!,#REF!,#REF!,#REF!,#REF!,#REF!,#REF!,#REF!,#REF!,#REF!,#REF!,#REF!,#REF!,#REF!,#REF!</definedName>
    <definedName name="__APW_RESTORE_DATA1041__" hidden="1">#REF!,#REF!,#REF!,#REF!,#REF!,#REF!,#REF!,#REF!,#REF!,#REF!,#REF!,#REF!,#REF!,#REF!,#REF!</definedName>
    <definedName name="__APW_RESTORE_DATA1042__" hidden="1">#REF!,#REF!,#REF!,#REF!,#REF!,#REF!,#REF!,#REF!,#REF!,#REF!,#REF!,#REF!,#REF!,#REF!,#REF!</definedName>
    <definedName name="__APW_RESTORE_DATA1043__" hidden="1">#REF!,#REF!,#REF!,#REF!,#REF!,#REF!,#REF!,#REF!,#REF!,#REF!,#REF!,#REF!,#REF!,#REF!,#REF!</definedName>
    <definedName name="__APW_RESTORE_DATA1044__" hidden="1">#REF!,#REF!,#REF!,#REF!,#REF!,#REF!,#REF!,#REF!,#REF!,#REF!,#REF!,#REF!,#REF!,#REF!,#REF!</definedName>
    <definedName name="__APW_RESTORE_DATA1045__" hidden="1">#REF!,#REF!,#REF!,#REF!,#REF!,#REF!,#REF!,#REF!,#REF!,#REF!,#REF!,#REF!,#REF!,#REF!,#REF!</definedName>
    <definedName name="__APW_RESTORE_DATA1046__" hidden="1">#REF!,#REF!,#REF!,#REF!,#REF!</definedName>
    <definedName name="__APW_RESTORE_DATA1047__" hidden="1">#REF!</definedName>
    <definedName name="__APW_RESTORE_DATA1048__" hidden="1">#REF!,#REF!,#REF!,#REF!,#REF!</definedName>
    <definedName name="__APW_RESTORE_DATA1049__" hidden="1">#REF!,#REF!,#REF!,#REF!,#REF!,#REF!,#REF!,#REF!,#REF!,#REF!,#REF!,#REF!,#REF!,#REF!,#REF!,#REF!</definedName>
    <definedName name="__APW_RESTORE_DATA105__" hidden="1">#REF!,#REF!,#REF!,#REF!,#REF!,#REF!,#REF!,#REF!,#REF!,#REF!</definedName>
    <definedName name="__APW_RESTORE_DATA1050__" hidden="1">#REF!,#REF!,#REF!,#REF!,#REF!,#REF!,#REF!,#REF!,#REF!,#REF!,#REF!,#REF!,#REF!,#REF!,#REF!,#REF!</definedName>
    <definedName name="__APW_RESTORE_DATA1051__" hidden="1">#REF!,#REF!,#REF!,#REF!,#REF!,#REF!,#REF!,#REF!,#REF!,#REF!,#REF!,#REF!,#REF!,#REF!,#REF!,#REF!</definedName>
    <definedName name="__APW_RESTORE_DATA1052__" hidden="1">#REF!,#REF!,#REF!,#REF!,#REF!,#REF!,#REF!,#REF!,#REF!,#REF!,#REF!,#REF!,#REF!,#REF!,#REF!,#REF!</definedName>
    <definedName name="__APW_RESTORE_DATA1053__" hidden="1">#REF!,#REF!,#REF!,#REF!,#REF!,#REF!,#REF!,#REF!,#REF!,#REF!,#REF!,#REF!,#REF!,#REF!,#REF!,#REF!</definedName>
    <definedName name="__APW_RESTORE_DATA1054__" hidden="1">#REF!,#REF!,#REF!,#REF!,#REF!,#REF!,#REF!,#REF!,#REF!,#REF!,#REF!,#REF!,#REF!,#REF!,#REF!</definedName>
    <definedName name="__APW_RESTORE_DATA1055__" hidden="1">#REF!,#REF!,#REF!,#REF!,#REF!,#REF!,#REF!,#REF!,#REF!,#REF!,#REF!,#REF!,#REF!,#REF!,#REF!</definedName>
    <definedName name="__APW_RESTORE_DATA1056__" hidden="1">#REF!,#REF!,#REF!,#REF!,#REF!,#REF!,#REF!,#REF!,#REF!,#REF!,#REF!,#REF!,#REF!,#REF!,#REF!</definedName>
    <definedName name="__APW_RESTORE_DATA1057__" hidden="1">#REF!,#REF!,#REF!,#REF!,#REF!,#REF!,#REF!,#REF!,#REF!,#REF!,#REF!,#REF!,#REF!,#REF!,#REF!</definedName>
    <definedName name="__APW_RESTORE_DATA1058__" hidden="1">#REF!,#REF!,#REF!,#REF!,#REF!,#REF!,#REF!,#REF!,#REF!,#REF!,#REF!,#REF!,#REF!,#REF!,#REF!</definedName>
    <definedName name="__APW_RESTORE_DATA1059__" hidden="1">#REF!,#REF!,#REF!,#REF!,#REF!,#REF!,#REF!,#REF!,#REF!,#REF!,#REF!,#REF!,#REF!,#REF!,#REF!</definedName>
    <definedName name="__APW_RESTORE_DATA106__" hidden="1">#REF!,#REF!,#REF!,#REF!,#REF!,#REF!,#REF!,#REF!,#REF!,#REF!</definedName>
    <definedName name="__APW_RESTORE_DATA1060__" hidden="1">#REF!,#REF!,#REF!,#REF!,#REF!,#REF!,#REF!,#REF!,#REF!,#REF!,#REF!,#REF!,#REF!,#REF!,#REF!</definedName>
    <definedName name="__APW_RESTORE_DATA1061__" hidden="1">#REF!,#REF!,#REF!,#REF!,#REF!,#REF!,#REF!,#REF!,#REF!,#REF!,#REF!,#REF!,#REF!,#REF!,#REF!</definedName>
    <definedName name="__APW_RESTORE_DATA1062__" hidden="1">#REF!,#REF!,#REF!,#REF!,#REF!,#REF!,#REF!,#REF!,#REF!,#REF!,#REF!,#REF!,#REF!,#REF!,#REF!</definedName>
    <definedName name="__APW_RESTORE_DATA1063__" hidden="1">#REF!,#REF!,#REF!,#REF!,#REF!,#REF!,#REF!,#REF!,#REF!,#REF!,#REF!,#REF!,#REF!,#REF!,#REF!</definedName>
    <definedName name="__APW_RESTORE_DATA1064__" hidden="1">#REF!,#REF!,#REF!,#REF!,#REF!,#REF!,#REF!,#REF!,#REF!,#REF!,#REF!,#REF!,#REF!,#REF!,#REF!</definedName>
    <definedName name="__APW_RESTORE_DATA1065__" hidden="1">#REF!,#REF!,#REF!,#REF!,#REF!,#REF!,#REF!,#REF!,#REF!,#REF!</definedName>
    <definedName name="__APW_RESTORE_DATA1066__" hidden="1">#REF!,#REF!,#REF!,#REF!,#REF!,#REF!,#REF!,#REF!,#REF!,#REF!,#REF!,#REF!,#REF!,#REF!,#REF!,#REF!</definedName>
    <definedName name="__APW_RESTORE_DATA1067__" hidden="1">#REF!,#REF!,#REF!,#REF!,#REF!,#REF!,#REF!,#REF!,#REF!,#REF!,#REF!,#REF!,#REF!,#REF!,#REF!,#REF!</definedName>
    <definedName name="__APW_RESTORE_DATA1068__" hidden="1">#REF!,#REF!,#REF!,#REF!,#REF!,#REF!,#REF!,#REF!,#REF!,#REF!,#REF!,#REF!,#REF!,#REF!,#REF!,#REF!</definedName>
    <definedName name="__APW_RESTORE_DATA1069__" hidden="1">#REF!,#REF!,#REF!,#REF!,#REF!,#REF!,#REF!,#REF!,#REF!,#REF!,#REF!,#REF!,#REF!,#REF!,#REF!,#REF!</definedName>
    <definedName name="__APW_RESTORE_DATA107__" hidden="1">#REF!,#REF!,#REF!,#REF!,#REF!,#REF!,#REF!,#REF!,#REF!,#REF!</definedName>
    <definedName name="__APW_RESTORE_DATA1070__" hidden="1">#REF!,#REF!,#REF!,#REF!,#REF!,#REF!,#REF!,#REF!,#REF!,#REF!,#REF!,#REF!,#REF!,#REF!,#REF!,#REF!</definedName>
    <definedName name="__APW_RESTORE_DATA1071__" hidden="1">#REF!,#REF!,#REF!,#REF!,#REF!,#REF!,#REF!,#REF!,#REF!,#REF!,#REF!,#REF!,#REF!,#REF!,#REF!,#REF!</definedName>
    <definedName name="__APW_RESTORE_DATA1072__" hidden="1">#REF!,#REF!,#REF!,#REF!,#REF!,#REF!,#REF!,#REF!,#REF!,#REF!,#REF!,#REF!,#REF!,#REF!,#REF!,#REF!</definedName>
    <definedName name="__APW_RESTORE_DATA1073__" hidden="1">#REF!,#REF!,#REF!,#REF!,#REF!,#REF!,#REF!,#REF!,#REF!,#REF!,#REF!,#REF!,#REF!,#REF!,#REF!,#REF!</definedName>
    <definedName name="__APW_RESTORE_DATA1074__" hidden="1">#REF!,#REF!,#REF!,#REF!,#REF!,#REF!,#REF!,#REF!,#REF!,#REF!,#REF!,#REF!,#REF!,#REF!,#REF!,#REF!</definedName>
    <definedName name="__APW_RESTORE_DATA1075__" hidden="1">#REF!,#REF!,#REF!,#REF!,#REF!,#REF!,#REF!,#REF!,#REF!,#REF!,#REF!,#REF!,#REF!,#REF!,#REF!,#REF!</definedName>
    <definedName name="__APW_RESTORE_DATA1076__" hidden="1">#REF!,#REF!,#REF!,#REF!,#REF!,#REF!,#REF!,#REF!,#REF!,#REF!,#REF!,#REF!,#REF!,#REF!,#REF!,#REF!</definedName>
    <definedName name="__APW_RESTORE_DATA1077__" hidden="1">#REF!,#REF!,#REF!,#REF!,#REF!,#REF!,#REF!,#REF!,#REF!,#REF!,#REF!,#REF!,#REF!,#REF!,#REF!,#REF!</definedName>
    <definedName name="__APW_RESTORE_DATA1078__" hidden="1">#REF!,#REF!,#REF!,#REF!,#REF!,#REF!,#REF!,#REF!,#REF!,#REF!,#REF!,#REF!,#REF!,#REF!,#REF!,#REF!</definedName>
    <definedName name="__APW_RESTORE_DATA1079__" hidden="1">#REF!,#REF!,#REF!,#REF!,#REF!,#REF!,#REF!,#REF!,#REF!,#REF!,#REF!,#REF!,#REF!,#REF!,#REF!,#REF!</definedName>
    <definedName name="__APW_RESTORE_DATA1080__" hidden="1">#REF!,#REF!,#REF!,#REF!,#REF!,#REF!,#REF!,#REF!,#REF!,#REF!,#REF!,#REF!,#REF!,#REF!,#REF!,#REF!</definedName>
    <definedName name="__APW_RESTORE_DATA1081__" hidden="1">#REF!,#REF!,#REF!,#REF!,#REF!,#REF!,#REF!,#REF!,#REF!,#REF!,#REF!,#REF!,#REF!,#REF!,#REF!,#REF!</definedName>
    <definedName name="__APW_RESTORE_DATA1082__" hidden="1">#REF!,#REF!,#REF!,#REF!,#REF!,#REF!,#REF!,#REF!,#REF!,#REF!,#REF!,#REF!,#REF!,#REF!,#REF!,#REF!</definedName>
    <definedName name="__APW_RESTORE_DATA1083__" hidden="1">#REF!,#REF!,#REF!,#REF!,#REF!,#REF!,#REF!,#REF!,#REF!,#REF!,#REF!,#REF!,#REF!,#REF!,#REF!,#REF!</definedName>
    <definedName name="__APW_RESTORE_DATA1084__" hidden="1">#REF!,#REF!,#REF!,#REF!,#REF!,#REF!,#REF!,#REF!,#REF!,#REF!,#REF!,#REF!,#REF!,#REF!,#REF!,#REF!</definedName>
    <definedName name="__APW_RESTORE_DATA1085__" hidden="1">#REF!,#REF!,#REF!,#REF!,#REF!,#REF!,#REF!,#REF!,#REF!,#REF!,#REF!,#REF!,#REF!,#REF!,#REF!,#REF!</definedName>
    <definedName name="__APW_RESTORE_DATA1086__" hidden="1">#REF!,#REF!,#REF!,#REF!,#REF!,#REF!,#REF!,#REF!,#REF!,#REF!,#REF!,#REF!,#REF!,#REF!,#REF!,#REF!</definedName>
    <definedName name="__APW_RESTORE_DATA1087__" hidden="1">#REF!,#REF!,#REF!,#REF!,#REF!,#REF!,#REF!,#REF!,#REF!,#REF!,#REF!,#REF!,#REF!,#REF!,#REF!,#REF!</definedName>
    <definedName name="__APW_RESTORE_DATA1088__" hidden="1">#REF!,#REF!,#REF!,#REF!,#REF!,#REF!,#REF!,#REF!,#REF!,#REF!,#REF!,#REF!,#REF!,#REF!,#REF!,#REF!</definedName>
    <definedName name="__APW_RESTORE_DATA1089__" hidden="1">#REF!,#REF!,#REF!,#REF!,#REF!,#REF!,#REF!,#REF!,#REF!,#REF!,#REF!,#REF!,#REF!,#REF!,#REF!,#REF!</definedName>
    <definedName name="__APW_RESTORE_DATA1090__" hidden="1">#REF!,#REF!,#REF!,#REF!,#REF!,#REF!,#REF!,#REF!,#REF!,#REF!,#REF!,#REF!,#REF!,#REF!,#REF!,#REF!</definedName>
    <definedName name="__APW_RESTORE_DATA1091__" hidden="1">#REF!,#REF!,#REF!,#REF!,#REF!,#REF!,#REF!,#REF!,#REF!,#REF!,#REF!,#REF!,#REF!,#REF!,#REF!</definedName>
    <definedName name="__APW_RESTORE_DATA1092__" hidden="1">#REF!,#REF!,#REF!,#REF!,#REF!,#REF!,#REF!,#REF!,#REF!,#REF!,#REF!,#REF!,#REF!,#REF!,#REF!</definedName>
    <definedName name="__APW_RESTORE_DATA1093__" hidden="1">#REF!,#REF!,#REF!,#REF!,#REF!,#REF!,#REF!,#REF!,#REF!,#REF!,#REF!,#REF!,#REF!,#REF!,#REF!</definedName>
    <definedName name="__APW_RESTORE_DATA1094__" hidden="1">#REF!,#REF!,#REF!,#REF!,#REF!,#REF!,#REF!,#REF!,#REF!,#REF!,#REF!,#REF!,#REF!,#REF!,#REF!</definedName>
    <definedName name="__APW_RESTORE_DATA1095__" hidden="1">#REF!,#REF!,#REF!,#REF!,#REF!,#REF!,#REF!,#REF!,#REF!,#REF!,#REF!,#REF!,#REF!,#REF!,#REF!</definedName>
    <definedName name="__APW_RESTORE_DATA1096__" hidden="1">#REF!,#REF!,#REF!,#REF!,#REF!,#REF!,#REF!,#REF!,#REF!,#REF!,#REF!,#REF!,#REF!,#REF!,#REF!</definedName>
    <definedName name="__APW_RESTORE_DATA1097__" hidden="1">#REF!,#REF!,#REF!,#REF!,#REF!,#REF!,#REF!,#REF!,#REF!,#REF!,#REF!,#REF!,#REF!,#REF!,#REF!</definedName>
    <definedName name="__APW_RESTORE_DATA1098__" hidden="1">#REF!,#REF!,#REF!,#REF!,#REF!,#REF!,#REF!,#REF!,#REF!,#REF!,#REF!,#REF!,#REF!,#REF!,#REF!</definedName>
    <definedName name="__APW_RESTORE_DATA1099__" hidden="1">#REF!,#REF!,#REF!,#REF!,#REF!,#REF!,#REF!,#REF!,#REF!,#REF!,#REF!,#REF!,#REF!,#REF!,#REF!</definedName>
    <definedName name="__APW_RESTORE_DATA1100__" hidden="1">#REF!,#REF!,#REF!,#REF!,#REF!,#REF!,#REF!,#REF!,#REF!,#REF!,#REF!,#REF!,#REF!,#REF!,#REF!</definedName>
    <definedName name="__APW_RESTORE_DATA1101__" hidden="1">#REF!,#REF!,#REF!,#REF!,#REF!,#REF!,#REF!,#REF!,#REF!,#REF!,#REF!,#REF!,#REF!,#REF!,#REF!</definedName>
    <definedName name="__APW_RESTORE_DATA1102__" hidden="1">#REF!,#REF!,#REF!,#REF!,#REF!,#REF!,#REF!,#REF!,#REF!,#REF!,#REF!,#REF!,#REF!,#REF!,#REF!</definedName>
    <definedName name="__APW_RESTORE_DATA1103__" hidden="1">#REF!,#REF!,#REF!,#REF!,#REF!,#REF!,#REF!,#REF!,#REF!,#REF!,#REF!,#REF!,#REF!,#REF!,#REF!</definedName>
    <definedName name="__APW_RESTORE_DATA1104__" hidden="1">#REF!,#REF!,#REF!,#REF!,#REF!,#REF!,#REF!,#REF!,#REF!,#REF!,#REF!,#REF!,#REF!,#REF!,#REF!</definedName>
    <definedName name="__APW_RESTORE_DATA1105__" hidden="1">#REF!,#REF!,#REF!,#REF!,#REF!,#REF!,#REF!,#REF!,#REF!,#REF!,#REF!,#REF!,#REF!,#REF!,#REF!</definedName>
    <definedName name="__APW_RESTORE_DATA1106__" hidden="1">#REF!,#REF!,#REF!,#REF!,#REF!,#REF!,#REF!,#REF!,#REF!,#REF!,#REF!,#REF!,#REF!,#REF!,#REF!</definedName>
    <definedName name="__APW_RESTORE_DATA1107__" hidden="1">#REF!,#REF!,#REF!,#REF!,#REF!,#REF!,#REF!,#REF!,#REF!,#REF!,#REF!,#REF!,#REF!,#REF!,#REF!</definedName>
    <definedName name="__APW_RESTORE_DATA1108__" hidden="1">#REF!,#REF!,#REF!,#REF!,#REF!,#REF!,#REF!,#REF!,#REF!,#REF!,#REF!,#REF!,#REF!,#REF!,#REF!</definedName>
    <definedName name="__APW_RESTORE_DATA1109__" hidden="1">#REF!,#REF!,#REF!,#REF!,#REF!,#REF!,#REF!,#REF!,#REF!,#REF!,#REF!,#REF!,#REF!,#REF!,#REF!</definedName>
    <definedName name="__APW_RESTORE_DATA1110__" hidden="1">#REF!,#REF!,#REF!,#REF!,#REF!,#REF!,#REF!,#REF!,#REF!,#REF!,#REF!,#REF!,#REF!,#REF!,#REF!</definedName>
    <definedName name="__APW_RESTORE_DATA1111__" hidden="1">#REF!,#REF!,#REF!,#REF!,#REF!,#REF!,#REF!,#REF!,#REF!,#REF!,#REF!,#REF!,#REF!,#REF!,#REF!</definedName>
    <definedName name="__APW_RESTORE_DATA1112__" hidden="1">#REF!,#REF!,#REF!,#REF!,#REF!,#REF!,#REF!,#REF!,#REF!,#REF!,#REF!,#REF!,#REF!,#REF!,#REF!</definedName>
    <definedName name="__APW_RESTORE_DATA1113__" hidden="1">#REF!,#REF!,#REF!,#REF!,#REF!,#REF!,#REF!,#REF!,#REF!,#REF!,#REF!,#REF!,#REF!,#REF!,#REF!</definedName>
    <definedName name="__APW_RESTORE_DATA1114__" hidden="1">#REF!,#REF!,#REF!,#REF!,#REF!,#REF!,#REF!,#REF!,#REF!,#REF!,#REF!,#REF!,#REF!,#REF!,#REF!</definedName>
    <definedName name="__APW_RESTORE_DATA1115__" hidden="1">#REF!,#REF!,#REF!,#REF!,#REF!,#REF!,#REF!,#REF!,#REF!,#REF!,#REF!,#REF!,#REF!,#REF!,#REF!</definedName>
    <definedName name="__APW_RESTORE_DATA1116__" hidden="1">#REF!,#REF!,#REF!,#REF!,#REF!,#REF!,#REF!,#REF!,#REF!,#REF!,#REF!,#REF!,#REF!,#REF!,#REF!</definedName>
    <definedName name="__APW_RESTORE_DATA1117__" hidden="1">#REF!,#REF!,#REF!,#REF!,#REF!,#REF!,#REF!,#REF!,#REF!,#REF!,#REF!,#REF!,#REF!,#REF!,#REF!</definedName>
    <definedName name="__APW_RESTORE_DATA1118__" hidden="1">#REF!,#REF!,#REF!,#REF!,#REF!,#REF!,#REF!,#REF!,#REF!,#REF!,#REF!,#REF!,#REF!,#REF!,#REF!</definedName>
    <definedName name="__APW_RESTORE_DATA1119__" hidden="1">#REF!,#REF!,#REF!,#REF!,#REF!,#REF!,#REF!,#REF!,#REF!,#REF!,#REF!,#REF!,#REF!,#REF!,#REF!</definedName>
    <definedName name="__APW_RESTORE_DATA1120__" hidden="1">#REF!,#REF!,#REF!,#REF!,#REF!,#REF!,#REF!,#REF!,#REF!,#REF!,#REF!,#REF!,#REF!,#REF!,#REF!</definedName>
    <definedName name="__APW_RESTORE_DATA1121__" hidden="1">#REF!,#REF!,#REF!,#REF!,#REF!,#REF!,#REF!,#REF!,#REF!,#REF!,#REF!,#REF!,#REF!,#REF!,#REF!</definedName>
    <definedName name="__APW_RESTORE_DATA1122__" hidden="1">#REF!,#REF!,#REF!,#REF!,#REF!,#REF!,#REF!,#REF!,#REF!,#REF!,#REF!,#REF!,#REF!,#REF!,#REF!</definedName>
    <definedName name="__APW_RESTORE_DATA1123__" hidden="1">#REF!,#REF!,#REF!,#REF!,#REF!,#REF!,#REF!,#REF!,#REF!,#REF!,#REF!,#REF!,#REF!,#REF!,#REF!</definedName>
    <definedName name="__APW_RESTORE_DATA1124__" hidden="1">#REF!,#REF!,#REF!,#REF!,#REF!,#REF!,#REF!,#REF!,#REF!,#REF!,#REF!,#REF!,#REF!,#REF!,#REF!</definedName>
    <definedName name="__APW_RESTORE_DATA1125__" hidden="1">#REF!,#REF!,#REF!,#REF!,#REF!,#REF!,#REF!,#REF!,#REF!,#REF!,#REF!,#REF!,#REF!,#REF!,#REF!</definedName>
    <definedName name="__APW_RESTORE_DATA1126__" hidden="1">#REF!,#REF!,#REF!,#REF!,#REF!,#REF!,#REF!,#REF!,#REF!,#REF!,#REF!,#REF!,#REF!,#REF!,#REF!</definedName>
    <definedName name="__APW_RESTORE_DATA1127__" hidden="1">#REF!,#REF!,#REF!,#REF!,#REF!,#REF!,#REF!,#REF!,#REF!,#REF!,#REF!,#REF!,#REF!,#REF!,#REF!</definedName>
    <definedName name="__APW_RESTORE_DATA1128__" hidden="1">#REF!,#REF!,#REF!,#REF!,#REF!,#REF!,#REF!,#REF!,#REF!,#REF!,#REF!,#REF!,#REF!,#REF!,#REF!</definedName>
    <definedName name="__APW_RESTORE_DATA1129__" hidden="1">#REF!,#REF!,#REF!,#REF!,#REF!,#REF!,#REF!,#REF!,#REF!,#REF!,#REF!,#REF!,#REF!,#REF!,#REF!</definedName>
    <definedName name="__APW_RESTORE_DATA1130__" hidden="1">#REF!,#REF!,#REF!,#REF!,#REF!,#REF!,#REF!,#REF!,#REF!,#REF!,#REF!,#REF!,#REF!,#REF!,#REF!</definedName>
    <definedName name="__APW_RESTORE_DATA1131__" hidden="1">#REF!,#REF!,#REF!,#REF!,#REF!,#REF!,#REF!,#REF!,#REF!,#REF!,#REF!,#REF!,#REF!,#REF!,#REF!</definedName>
    <definedName name="__APW_RESTORE_DATA1132__" hidden="1">#REF!,#REF!,#REF!,#REF!,#REF!,#REF!,#REF!,#REF!,#REF!,#REF!,#REF!,#REF!,#REF!,#REF!,#REF!</definedName>
    <definedName name="__APW_RESTORE_DATA1133__" hidden="1">#REF!,#REF!,#REF!,#REF!,#REF!,#REF!,#REF!,#REF!,#REF!,#REF!,#REF!,#REF!,#REF!,#REF!,#REF!</definedName>
    <definedName name="__APW_RESTORE_DATA1134__" hidden="1">#REF!,#REF!,#REF!,#REF!,#REF!,#REF!,#REF!,#REF!,#REF!,#REF!,#REF!,#REF!,#REF!,#REF!,#REF!</definedName>
    <definedName name="__APW_RESTORE_DATA1135__" hidden="1">#REF!,#REF!,#REF!,#REF!,#REF!,#REF!,#REF!,#REF!,#REF!,#REF!,#REF!,#REF!,#REF!,#REF!,#REF!</definedName>
    <definedName name="__APW_RESTORE_DATA1136__" hidden="1">#REF!,#REF!,#REF!,#REF!,#REF!,#REF!,#REF!,#REF!,#REF!,#REF!,#REF!,#REF!,#REF!,#REF!,#REF!</definedName>
    <definedName name="__APW_RESTORE_DATA1137__" hidden="1">#REF!,#REF!,#REF!,#REF!,#REF!,#REF!,#REF!,#REF!,#REF!,#REF!,#REF!,#REF!,#REF!,#REF!,#REF!</definedName>
    <definedName name="__APW_RESTORE_DATA1138__" hidden="1">#REF!,#REF!,#REF!,#REF!,#REF!,#REF!,#REF!,#REF!,#REF!,#REF!,#REF!,#REF!,#REF!,#REF!,#REF!</definedName>
    <definedName name="__APW_RESTORE_DATA1139__" hidden="1">#REF!,#REF!,#REF!,#REF!,#REF!,#REF!,#REF!,#REF!,#REF!,#REF!,#REF!,#REF!,#REF!,#REF!,#REF!</definedName>
    <definedName name="__APW_RESTORE_DATA1140__" hidden="1">#REF!,#REF!,#REF!,#REF!,#REF!,#REF!,#REF!,#REF!,#REF!,#REF!,#REF!,#REF!,#REF!,#REF!,#REF!</definedName>
    <definedName name="__APW_RESTORE_DATA1141__" hidden="1">#REF!,#REF!,#REF!,#REF!,#REF!,#REF!,#REF!,#REF!,#REF!,#REF!,#REF!,#REF!,#REF!,#REF!,#REF!</definedName>
    <definedName name="__APW_RESTORE_DATA1142__" hidden="1">#REF!,#REF!,#REF!,#REF!,#REF!,#REF!,#REF!,#REF!,#REF!,#REF!,#REF!,#REF!,#REF!,#REF!,#REF!</definedName>
    <definedName name="__APW_RESTORE_DATA1143__" hidden="1">#REF!,#REF!,#REF!,#REF!,#REF!,#REF!,#REF!,#REF!,#REF!,#REF!,#REF!,#REF!,#REF!,#REF!,#REF!</definedName>
    <definedName name="__APW_RESTORE_DATA1144__" hidden="1">#REF!,#REF!,#REF!,#REF!,#REF!,#REF!,#REF!,#REF!,#REF!,#REF!,#REF!,#REF!,#REF!,#REF!,#REF!</definedName>
    <definedName name="__APW_RESTORE_DATA1145__" hidden="1">#REF!,#REF!,#REF!,#REF!,#REF!,#REF!,#REF!,#REF!,#REF!,#REF!,#REF!,#REF!,#REF!,#REF!,#REF!</definedName>
    <definedName name="__APW_RESTORE_DATA1146__" hidden="1">#REF!,#REF!,#REF!,#REF!,#REF!,#REF!,#REF!,#REF!,#REF!,#REF!,#REF!,#REF!,#REF!,#REF!,#REF!</definedName>
    <definedName name="__APW_RESTORE_DATA1147__" hidden="1">#REF!,#REF!,#REF!,#REF!,#REF!,#REF!,#REF!,#REF!,#REF!,#REF!,#REF!,#REF!,#REF!,#REF!,#REF!</definedName>
    <definedName name="__APW_RESTORE_DATA1148__" hidden="1">#REF!,#REF!,#REF!,#REF!,#REF!,#REF!,#REF!,#REF!,#REF!,#REF!,#REF!,#REF!,#REF!,#REF!,#REF!</definedName>
    <definedName name="__APW_RESTORE_DATA1149__" hidden="1">#REF!,#REF!,#REF!,#REF!,#REF!</definedName>
    <definedName name="__APW_RESTORE_DATA1181__" hidden="1">#REF!</definedName>
    <definedName name="__APW_RESTORE_DATA1182__" hidden="1">#REF!,#REF!,#REF!,#REF!,#REF!</definedName>
    <definedName name="__APW_RESTORE_DATA944__" hidden="1">#REF!</definedName>
    <definedName name="__APW_RESTORE_DATA945__" hidden="1">#REF!,#REF!,#REF!,#REF!,#REF!</definedName>
    <definedName name="__APW_RESTORE_DATA946__" hidden="1">#REF!,#REF!,#REF!,#REF!,#REF!,#REF!,#REF!,#REF!,#REF!,#REF!,#REF!,#REF!,#REF!,#REF!,#REF!,#REF!</definedName>
    <definedName name="__APW_RESTORE_DATA947__" hidden="1">#REF!,#REF!,#REF!,#REF!,#REF!,#REF!,#REF!,#REF!,#REF!,#REF!,#REF!,#REF!,#REF!,#REF!,#REF!,#REF!</definedName>
    <definedName name="__APW_RESTORE_DATA948__" hidden="1">#REF!,#REF!,#REF!,#REF!,#REF!,#REF!,#REF!,#REF!,#REF!,#REF!,#REF!,#REF!,#REF!,#REF!,#REF!,#REF!</definedName>
    <definedName name="__APW_RESTORE_DATA949__" hidden="1">#REF!,#REF!,#REF!,#REF!,#REF!,#REF!,#REF!,#REF!,#REF!,#REF!,#REF!,#REF!,#REF!,#REF!,#REF!,#REF!</definedName>
    <definedName name="__APW_RESTORE_DATA950__" hidden="1">#REF!,#REF!,#REF!,#REF!,#REF!,#REF!,#REF!,#REF!,#REF!,#REF!,#REF!,#REF!,#REF!,#REF!,#REF!,#REF!</definedName>
    <definedName name="__APW_RESTORE_DATA951__" hidden="1">#REF!,#REF!,#REF!,#REF!,#REF!,#REF!,#REF!,#REF!,#REF!,#REF!,#REF!,#REF!,#REF!,#REF!,#REF!</definedName>
    <definedName name="__APW_RESTORE_DATA952__" hidden="1">#REF!,#REF!,#REF!,#REF!,#REF!,#REF!,#REF!,#REF!,#REF!,#REF!,#REF!,#REF!,#REF!,#REF!,#REF!</definedName>
    <definedName name="__APW_RESTORE_DATA953__" hidden="1">#REF!,#REF!,#REF!,#REF!,#REF!,#REF!,#REF!,#REF!,#REF!,#REF!,#REF!,#REF!,#REF!,#REF!,#REF!</definedName>
    <definedName name="__APW_RESTORE_DATA954__" hidden="1">#REF!,#REF!,#REF!,#REF!,#REF!,#REF!,#REF!,#REF!,#REF!,#REF!,#REF!,#REF!,#REF!,#REF!,#REF!</definedName>
    <definedName name="__APW_RESTORE_DATA955__" hidden="1">#REF!,#REF!,#REF!,#REF!,#REF!,#REF!,#REF!,#REF!,#REF!,#REF!,#REF!,#REF!,#REF!,#REF!,#REF!</definedName>
    <definedName name="__APW_RESTORE_DATA956__" hidden="1">#REF!,#REF!,#REF!,#REF!,#REF!,#REF!,#REF!,#REF!,#REF!,#REF!,#REF!,#REF!,#REF!,#REF!,#REF!</definedName>
    <definedName name="__APW_RESTORE_DATA957__" hidden="1">#REF!,#REF!,#REF!,#REF!,#REF!,#REF!,#REF!,#REF!,#REF!,#REF!,#REF!,#REF!,#REF!,#REF!,#REF!</definedName>
    <definedName name="__APW_RESTORE_DATA958__" hidden="1">#REF!,#REF!,#REF!,#REF!,#REF!,#REF!,#REF!,#REF!,#REF!,#REF!,#REF!,#REF!,#REF!,#REF!,#REF!</definedName>
    <definedName name="__APW_RESTORE_DATA959__" hidden="1">#REF!,#REF!,#REF!,#REF!,#REF!,#REF!,#REF!,#REF!,#REF!,#REF!,#REF!,#REF!,#REF!,#REF!,#REF!</definedName>
    <definedName name="__APW_RESTORE_DATA960__" hidden="1">#REF!,#REF!,#REF!,#REF!,#REF!,#REF!,#REF!,#REF!,#REF!,#REF!,#REF!,#REF!,#REF!,#REF!,#REF!</definedName>
    <definedName name="__APW_RESTORE_DATA961__" hidden="1">#REF!,#REF!,#REF!,#REF!,#REF!,#REF!,#REF!,#REF!,#REF!,#REF!,#REF!,#REF!,#REF!,#REF!,#REF!</definedName>
    <definedName name="__APW_RESTORE_DATA962__" hidden="1">#REF!,#REF!,#REF!,#REF!,#REF!,#REF!,#REF!,#REF!,#REF!,#REF!</definedName>
    <definedName name="__APW_RESTORE_DATA963__" hidden="1">#REF!,#REF!,#REF!,#REF!,#REF!,#REF!,#REF!,#REF!,#REF!,#REF!,#REF!,#REF!,#REF!,#REF!,#REF!,#REF!</definedName>
    <definedName name="__APW_RESTORE_DATA964__" hidden="1">#REF!,#REF!,#REF!,#REF!,#REF!,#REF!,#REF!,#REF!,#REF!,#REF!,#REF!,#REF!,#REF!,#REF!,#REF!,#REF!</definedName>
    <definedName name="__APW_RESTORE_DATA965__" hidden="1">#REF!,#REF!,#REF!,#REF!,#REF!,#REF!,#REF!,#REF!,#REF!,#REF!,#REF!,#REF!,#REF!,#REF!,#REF!,#REF!</definedName>
    <definedName name="__APW_RESTORE_DATA966__" hidden="1">#REF!,#REF!,#REF!,#REF!,#REF!,#REF!,#REF!,#REF!,#REF!,#REF!,#REF!,#REF!,#REF!,#REF!,#REF!,#REF!</definedName>
    <definedName name="__APW_RESTORE_DATA967__" hidden="1">#REF!,#REF!,#REF!,#REF!,#REF!,#REF!,#REF!,#REF!,#REF!,#REF!,#REF!,#REF!,#REF!,#REF!,#REF!,#REF!</definedName>
    <definedName name="__APW_RESTORE_DATA968__" hidden="1">#REF!,#REF!,#REF!,#REF!,#REF!,#REF!,#REF!,#REF!,#REF!,#REF!,#REF!,#REF!,#REF!,#REF!,#REF!,#REF!</definedName>
    <definedName name="__APW_RESTORE_DATA969__" hidden="1">#REF!,#REF!,#REF!,#REF!,#REF!,#REF!,#REF!,#REF!,#REF!,#REF!,#REF!,#REF!,#REF!,#REF!,#REF!,#REF!</definedName>
    <definedName name="__APW_RESTORE_DATA970__" hidden="1">#REF!,#REF!,#REF!,#REF!,#REF!,#REF!,#REF!,#REF!,#REF!,#REF!,#REF!,#REF!,#REF!,#REF!,#REF!,#REF!</definedName>
    <definedName name="__APW_RESTORE_DATA971__" hidden="1">#REF!,#REF!,#REF!,#REF!,#REF!,#REF!,#REF!,#REF!,#REF!,#REF!,#REF!,#REF!,#REF!,#REF!,#REF!,#REF!</definedName>
    <definedName name="__APW_RESTORE_DATA972__" hidden="1">#REF!,#REF!,#REF!,#REF!,#REF!,#REF!,#REF!,#REF!,#REF!,#REF!,#REF!,#REF!,#REF!,#REF!,#REF!,#REF!</definedName>
    <definedName name="__APW_RESTORE_DATA973__" hidden="1">#REF!,#REF!,#REF!,#REF!,#REF!,#REF!,#REF!,#REF!,#REF!,#REF!,#REF!,#REF!,#REF!,#REF!,#REF!,#REF!</definedName>
    <definedName name="__APW_RESTORE_DATA974__" hidden="1">#REF!,#REF!,#REF!,#REF!,#REF!,#REF!,#REF!,#REF!,#REF!,#REF!,#REF!,#REF!,#REF!,#REF!,#REF!,#REF!</definedName>
    <definedName name="__APW_RESTORE_DATA975__" hidden="1">#REF!,#REF!,#REF!,#REF!,#REF!,#REF!,#REF!,#REF!,#REF!,#REF!,#REF!,#REF!,#REF!,#REF!,#REF!,#REF!</definedName>
    <definedName name="__APW_RESTORE_DATA976__" hidden="1">#REF!,#REF!,#REF!,#REF!,#REF!,#REF!,#REF!,#REF!,#REF!,#REF!,#REF!,#REF!,#REF!,#REF!,#REF!,#REF!</definedName>
    <definedName name="__APW_RESTORE_DATA977__" hidden="1">#REF!,#REF!,#REF!,#REF!,#REF!,#REF!,#REF!,#REF!,#REF!,#REF!,#REF!,#REF!,#REF!,#REF!,#REF!,#REF!</definedName>
    <definedName name="__APW_RESTORE_DATA978__" hidden="1">#REF!,#REF!,#REF!,#REF!,#REF!,#REF!,#REF!,#REF!,#REF!,#REF!,#REF!,#REF!,#REF!,#REF!,#REF!,#REF!</definedName>
    <definedName name="__APW_RESTORE_DATA979__" hidden="1">#REF!,#REF!,#REF!,#REF!,#REF!,#REF!,#REF!,#REF!,#REF!,#REF!,#REF!,#REF!,#REF!,#REF!,#REF!,#REF!</definedName>
    <definedName name="__APW_RESTORE_DATA980__" hidden="1">#REF!,#REF!,#REF!,#REF!,#REF!,#REF!,#REF!,#REF!,#REF!,#REF!,#REF!,#REF!,#REF!,#REF!,#REF!,#REF!</definedName>
    <definedName name="__APW_RESTORE_DATA981__" hidden="1">#REF!,#REF!,#REF!,#REF!,#REF!,#REF!,#REF!,#REF!,#REF!,#REF!,#REF!,#REF!,#REF!,#REF!,#REF!,#REF!</definedName>
    <definedName name="__APW_RESTORE_DATA982__" hidden="1">#REF!,#REF!,#REF!,#REF!,#REF!,#REF!,#REF!,#REF!,#REF!,#REF!,#REF!,#REF!,#REF!,#REF!,#REF!,#REF!</definedName>
    <definedName name="__APW_RESTORE_DATA983__" hidden="1">#REF!,#REF!,#REF!,#REF!,#REF!,#REF!,#REF!,#REF!,#REF!,#REF!,#REF!,#REF!,#REF!,#REF!,#REF!,#REF!</definedName>
    <definedName name="__APW_RESTORE_DATA984__" hidden="1">#REF!,#REF!,#REF!,#REF!,#REF!,#REF!,#REF!,#REF!,#REF!,#REF!,#REF!,#REF!,#REF!,#REF!,#REF!,#REF!</definedName>
    <definedName name="__APW_RESTORE_DATA985__" hidden="1">#REF!,#REF!,#REF!,#REF!,#REF!,#REF!,#REF!,#REF!,#REF!,#REF!,#REF!,#REF!,#REF!,#REF!,#REF!,#REF!</definedName>
    <definedName name="__APW_RESTORE_DATA986__" hidden="1">#REF!,#REF!,#REF!,#REF!,#REF!,#REF!,#REF!,#REF!,#REF!,#REF!,#REF!,#REF!,#REF!,#REF!,#REF!,#REF!</definedName>
    <definedName name="__APW_RESTORE_DATA987__" hidden="1">#REF!,#REF!,#REF!,#REF!,#REF!,#REF!,#REF!,#REF!,#REF!,#REF!,#REF!,#REF!,#REF!,#REF!,#REF!,#REF!</definedName>
    <definedName name="__APW_RESTORE_DATA988__" hidden="1">#REF!,#REF!,#REF!,#REF!,#REF!,#REF!,#REF!,#REF!,#REF!,#REF!,#REF!,#REF!,#REF!,#REF!,#REF!</definedName>
    <definedName name="__APW_RESTORE_DATA989__" hidden="1">#REF!,#REF!,#REF!,#REF!,#REF!,#REF!,#REF!,#REF!,#REF!,#REF!,#REF!,#REF!,#REF!,#REF!,#REF!</definedName>
    <definedName name="__APW_RESTORE_DATA990__" hidden="1">#REF!,#REF!,#REF!,#REF!,#REF!,#REF!,#REF!,#REF!,#REF!,#REF!,#REF!,#REF!,#REF!,#REF!,#REF!</definedName>
    <definedName name="__APW_RESTORE_DATA991__" hidden="1">#REF!,#REF!,#REF!,#REF!,#REF!,#REF!,#REF!,#REF!,#REF!,#REF!,#REF!,#REF!,#REF!,#REF!,#REF!</definedName>
    <definedName name="__APW_RESTORE_DATA992__" hidden="1">#REF!,#REF!,#REF!,#REF!,#REF!,#REF!,#REF!,#REF!,#REF!,#REF!,#REF!,#REF!,#REF!,#REF!,#REF!</definedName>
    <definedName name="__APW_RESTORE_DATA993__" hidden="1">#REF!,#REF!,#REF!,#REF!,#REF!,#REF!,#REF!,#REF!,#REF!,#REF!,#REF!,#REF!,#REF!,#REF!,#REF!</definedName>
    <definedName name="__APW_RESTORE_DATA994__" hidden="1">#REF!,#REF!,#REF!,#REF!,#REF!,#REF!,#REF!,#REF!,#REF!,#REF!,#REF!,#REF!,#REF!,#REF!,#REF!</definedName>
    <definedName name="__APW_RESTORE_DATA995__" hidden="1">#REF!,#REF!,#REF!,#REF!,#REF!,#REF!,#REF!,#REF!,#REF!,#REF!,#REF!,#REF!,#REF!,#REF!,#REF!</definedName>
    <definedName name="__APW_RESTORE_DATA996__" hidden="1">#REF!,#REF!,#REF!,#REF!,#REF!,#REF!,#REF!,#REF!,#REF!,#REF!,#REF!,#REF!,#REF!,#REF!,#REF!</definedName>
    <definedName name="__APW_RESTORE_DATA997__" hidden="1">#REF!,#REF!,#REF!,#REF!,#REF!,#REF!,#REF!,#REF!,#REF!,#REF!,#REF!,#REF!,#REF!,#REF!,#REF!</definedName>
    <definedName name="__APW_RESTORE_DATA998__" hidden="1">#REF!,#REF!,#REF!,#REF!,#REF!,#REF!,#REF!,#REF!,#REF!,#REF!,#REF!,#REF!,#REF!,#REF!,#REF!</definedName>
    <definedName name="__APW_RESTORE_DATA999__" hidden="1">#REF!,#REF!,#REF!,#REF!,#REF!,#REF!,#REF!,#REF!,#REF!,#REF!,#REF!,#REF!,#REF!,#REF!,#REF!</definedName>
    <definedName name="__b111" localSheetId="0" hidden="1">{#N/A,#N/A,FALSE,"Pharm";#N/A,#N/A,FALSE,"WWCM"}</definedName>
    <definedName name="__b111" localSheetId="6" hidden="1">{#N/A,#N/A,FALSE,"Pharm";#N/A,#N/A,FALSE,"WWCM"}</definedName>
    <definedName name="__b111" hidden="1">{#N/A,#N/A,FALSE,"Pharm";#N/A,#N/A,FALSE,"WWCM"}</definedName>
    <definedName name="__b111_1" localSheetId="0" hidden="1">{#N/A,#N/A,FALSE,"Pharm";#N/A,#N/A,FALSE,"WWCM"}</definedName>
    <definedName name="__b111_1" localSheetId="6" hidden="1">{#N/A,#N/A,FALSE,"Pharm";#N/A,#N/A,FALSE,"WWCM"}</definedName>
    <definedName name="__b111_1" hidden="1">{#N/A,#N/A,FALSE,"Pharm";#N/A,#N/A,FALSE,"WWCM"}</definedName>
    <definedName name="__b111_1_1" localSheetId="0" hidden="1">{#N/A,#N/A,FALSE,"Pharm";#N/A,#N/A,FALSE,"WWCM"}</definedName>
    <definedName name="__b111_1_1" localSheetId="6" hidden="1">{#N/A,#N/A,FALSE,"Pharm";#N/A,#N/A,FALSE,"WWCM"}</definedName>
    <definedName name="__b111_1_1" hidden="1">{#N/A,#N/A,FALSE,"Pharm";#N/A,#N/A,FALSE,"WWCM"}</definedName>
    <definedName name="__b111_2" localSheetId="0" hidden="1">{#N/A,#N/A,FALSE,"Pharm";#N/A,#N/A,FALSE,"WWCM"}</definedName>
    <definedName name="__b111_2" localSheetId="6" hidden="1">{#N/A,#N/A,FALSE,"Pharm";#N/A,#N/A,FALSE,"WWCM"}</definedName>
    <definedName name="__b111_2" hidden="1">{#N/A,#N/A,FALSE,"Pharm";#N/A,#N/A,FALSE,"WWCM"}</definedName>
    <definedName name="__b111_3" localSheetId="0" hidden="1">{#N/A,#N/A,FALSE,"Pharm";#N/A,#N/A,FALSE,"WWCM"}</definedName>
    <definedName name="__b111_3" localSheetId="6" hidden="1">{#N/A,#N/A,FALSE,"Pharm";#N/A,#N/A,FALSE,"WWCM"}</definedName>
    <definedName name="__b111_3" hidden="1">{#N/A,#N/A,FALSE,"Pharm";#N/A,#N/A,FALSE,"WWCM"}</definedName>
    <definedName name="__b111_4" localSheetId="0" hidden="1">{#N/A,#N/A,FALSE,"Pharm";#N/A,#N/A,FALSE,"WWCM"}</definedName>
    <definedName name="__b111_4" localSheetId="6" hidden="1">{#N/A,#N/A,FALSE,"Pharm";#N/A,#N/A,FALSE,"WWCM"}</definedName>
    <definedName name="__b111_4" hidden="1">{#N/A,#N/A,FALSE,"Pharm";#N/A,#N/A,FALSE,"WWCM"}</definedName>
    <definedName name="__b111_5" localSheetId="0" hidden="1">{#N/A,#N/A,FALSE,"Pharm";#N/A,#N/A,FALSE,"WWCM"}</definedName>
    <definedName name="__b111_5" localSheetId="6" hidden="1">{#N/A,#N/A,FALSE,"Pharm";#N/A,#N/A,FALSE,"WWCM"}</definedName>
    <definedName name="__b111_5" hidden="1">{#N/A,#N/A,FALSE,"Pharm";#N/A,#N/A,FALSE,"WWCM"}</definedName>
    <definedName name="__br1" localSheetId="6" hidden="1">{"Quarter1",#N/A,FALSE,"Sheet1";"Quarter2",#N/A,FALSE,"Sheet1";"Quarter3",#N/A,FALSE,"Sheet1";"Quarter4",#N/A,FALSE,"Sheet1"}</definedName>
    <definedName name="__br1" hidden="1">{"Quarter1",#N/A,FALSE,"Sheet1";"Quarter2",#N/A,FALSE,"Sheet1";"Quarter3",#N/A,FALSE,"Sheet1";"Quarter4",#N/A,FALSE,"Sheet1"}</definedName>
    <definedName name="__c_1" localSheetId="0" hidden="1">{"Fiesta Facer Page",#N/A,FALSE,"Q_C_S";"Fiesta Main Page",#N/A,FALSE,"V_L";"Fiesta 95BP Struct",#N/A,FALSE,"StructBP";"Fiesta Post 95BP Struct",#N/A,FALSE,"AdjStructBP"}</definedName>
    <definedName name="__c_1" localSheetId="6" hidden="1">{"Fiesta Facer Page",#N/A,FALSE,"Q_C_S";"Fiesta Main Page",#N/A,FALSE,"V_L";"Fiesta 95BP Struct",#N/A,FALSE,"StructBP";"Fiesta Post 95BP Struct",#N/A,FALSE,"AdjStructBP"}</definedName>
    <definedName name="__c_1" hidden="1">{"Fiesta Facer Page",#N/A,FALSE,"Q_C_S";"Fiesta Main Page",#N/A,FALSE,"V_L";"Fiesta 95BP Struct",#N/A,FALSE,"StructBP";"Fiesta Post 95BP Struct",#N/A,FALSE,"AdjStructBP"}</definedName>
    <definedName name="__c_1_1" localSheetId="0" hidden="1">{"Fiesta Facer Page",#N/A,FALSE,"Q_C_S";"Fiesta Main Page",#N/A,FALSE,"V_L";"Fiesta 95BP Struct",#N/A,FALSE,"StructBP";"Fiesta Post 95BP Struct",#N/A,FALSE,"AdjStructBP"}</definedName>
    <definedName name="__c_1_1" localSheetId="6" hidden="1">{"Fiesta Facer Page",#N/A,FALSE,"Q_C_S";"Fiesta Main Page",#N/A,FALSE,"V_L";"Fiesta 95BP Struct",#N/A,FALSE,"StructBP";"Fiesta Post 95BP Struct",#N/A,FALSE,"AdjStructBP"}</definedName>
    <definedName name="__c_1_1" hidden="1">{"Fiesta Facer Page",#N/A,FALSE,"Q_C_S";"Fiesta Main Page",#N/A,FALSE,"V_L";"Fiesta 95BP Struct",#N/A,FALSE,"StructBP";"Fiesta Post 95BP Struct",#N/A,FALSE,"AdjStructBP"}</definedName>
    <definedName name="__c_2" localSheetId="0" hidden="1">{"Fiesta Facer Page",#N/A,FALSE,"Q_C_S";"Fiesta Main Page",#N/A,FALSE,"V_L";"Fiesta 95BP Struct",#N/A,FALSE,"StructBP";"Fiesta Post 95BP Struct",#N/A,FALSE,"AdjStructBP"}</definedName>
    <definedName name="__c_2" localSheetId="6" hidden="1">{"Fiesta Facer Page",#N/A,FALSE,"Q_C_S";"Fiesta Main Page",#N/A,FALSE,"V_L";"Fiesta 95BP Struct",#N/A,FALSE,"StructBP";"Fiesta Post 95BP Struct",#N/A,FALSE,"AdjStructBP"}</definedName>
    <definedName name="__c_2" hidden="1">{"Fiesta Facer Page",#N/A,FALSE,"Q_C_S";"Fiesta Main Page",#N/A,FALSE,"V_L";"Fiesta 95BP Struct",#N/A,FALSE,"StructBP";"Fiesta Post 95BP Struct",#N/A,FALSE,"AdjStructBP"}</definedName>
    <definedName name="__c_3" localSheetId="0" hidden="1">{"Fiesta Facer Page",#N/A,FALSE,"Q_C_S";"Fiesta Main Page",#N/A,FALSE,"V_L";"Fiesta 95BP Struct",#N/A,FALSE,"StructBP";"Fiesta Post 95BP Struct",#N/A,FALSE,"AdjStructBP"}</definedName>
    <definedName name="__c_3" localSheetId="6" hidden="1">{"Fiesta Facer Page",#N/A,FALSE,"Q_C_S";"Fiesta Main Page",#N/A,FALSE,"V_L";"Fiesta 95BP Struct",#N/A,FALSE,"StructBP";"Fiesta Post 95BP Struct",#N/A,FALSE,"AdjStructBP"}</definedName>
    <definedName name="__c_3" hidden="1">{"Fiesta Facer Page",#N/A,FALSE,"Q_C_S";"Fiesta Main Page",#N/A,FALSE,"V_L";"Fiesta 95BP Struct",#N/A,FALSE,"StructBP";"Fiesta Post 95BP Struct",#N/A,FALSE,"AdjStructBP"}</definedName>
    <definedName name="__c_4" localSheetId="0" hidden="1">{"Fiesta Facer Page",#N/A,FALSE,"Q_C_S";"Fiesta Main Page",#N/A,FALSE,"V_L";"Fiesta 95BP Struct",#N/A,FALSE,"StructBP";"Fiesta Post 95BP Struct",#N/A,FALSE,"AdjStructBP"}</definedName>
    <definedName name="__c_4" localSheetId="6" hidden="1">{"Fiesta Facer Page",#N/A,FALSE,"Q_C_S";"Fiesta Main Page",#N/A,FALSE,"V_L";"Fiesta 95BP Struct",#N/A,FALSE,"StructBP";"Fiesta Post 95BP Struct",#N/A,FALSE,"AdjStructBP"}</definedName>
    <definedName name="__c_4" hidden="1">{"Fiesta Facer Page",#N/A,FALSE,"Q_C_S";"Fiesta Main Page",#N/A,FALSE,"V_L";"Fiesta 95BP Struct",#N/A,FALSE,"StructBP";"Fiesta Post 95BP Struct",#N/A,FALSE,"AdjStructBP"}</definedName>
    <definedName name="__c_5" localSheetId="0" hidden="1">{"Fiesta Facer Page",#N/A,FALSE,"Q_C_S";"Fiesta Main Page",#N/A,FALSE,"V_L";"Fiesta 95BP Struct",#N/A,FALSE,"StructBP";"Fiesta Post 95BP Struct",#N/A,FALSE,"AdjStructBP"}</definedName>
    <definedName name="__c_5" localSheetId="6" hidden="1">{"Fiesta Facer Page",#N/A,FALSE,"Q_C_S";"Fiesta Main Page",#N/A,FALSE,"V_L";"Fiesta 95BP Struct",#N/A,FALSE,"StructBP";"Fiesta Post 95BP Struct",#N/A,FALSE,"AdjStructBP"}</definedName>
    <definedName name="__c_5" hidden="1">{"Fiesta Facer Page",#N/A,FALSE,"Q_C_S";"Fiesta Main Page",#N/A,FALSE,"V_L";"Fiesta 95BP Struct",#N/A,FALSE,"StructBP";"Fiesta Post 95BP Struct",#N/A,FALSE,"AdjStructBP"}</definedName>
    <definedName name="__C100033">#REF!</definedName>
    <definedName name="__C65600">#REF!</definedName>
    <definedName name="__C65800">#REF!</definedName>
    <definedName name="__C66000">#REF!</definedName>
    <definedName name="__C69000">#REF!</definedName>
    <definedName name="__C70000">#REF!</definedName>
    <definedName name="__C90000">#REF!</definedName>
    <definedName name="__CAF1" localSheetId="6" hidden="1">{"Wellhead",#N/A,FALSE,"Sheet4";"Casing",#N/A,FALSE,"Sheet4"}</definedName>
    <definedName name="__CAF1" hidden="1">{"Wellhead",#N/A,FALSE,"Sheet4";"Casing",#N/A,FALSE,"Sheet4"}</definedName>
    <definedName name="__cap382">#REF!</definedName>
    <definedName name="__Co50" localSheetId="0" hidden="1">{#N/A,"DR",FALSE,"increm pf";#N/A,"MAMSI",FALSE,"increm pf";#N/A,"MAXI",FALSE,"increm pf";#N/A,"PCAM",FALSE,"increm pf";#N/A,"PHSV",FALSE,"increm pf";#N/A,"SIE",FALSE,"increm pf"}</definedName>
    <definedName name="__Co50" localSheetId="6" hidden="1">{#N/A,"DR",FALSE,"increm pf";#N/A,"MAMSI",FALSE,"increm pf";#N/A,"MAXI",FALSE,"increm pf";#N/A,"PCAM",FALSE,"increm pf";#N/A,"PHSV",FALSE,"increm pf";#N/A,"SIE",FALSE,"increm pf"}</definedName>
    <definedName name="__Co50" hidden="1">{#N/A,"DR",FALSE,"increm pf";#N/A,"MAMSI",FALSE,"increm pf";#N/A,"MAXI",FALSE,"increm pf";#N/A,"PCAM",FALSE,"increm pf";#N/A,"PHSV",FALSE,"increm pf";#N/A,"SIE",FALSE,"increm pf"}</definedName>
    <definedName name="__Com1">#REF!</definedName>
    <definedName name="__Com2">#REF!</definedName>
    <definedName name="__Com3">#REF!</definedName>
    <definedName name="__con1" localSheetId="0" hidden="1">{#N/A,#N/A,TRUE,"PROFIT 11-95"}</definedName>
    <definedName name="__con1" localSheetId="6" hidden="1">{#N/A,#N/A,TRUE,"PROFIT 11-95"}</definedName>
    <definedName name="__con1" hidden="1">{#N/A,#N/A,TRUE,"PROFIT 11-95"}</definedName>
    <definedName name="__con2" localSheetId="0" hidden="1">{#N/A,#N/A,TRUE,"PROFIT 11-95"}</definedName>
    <definedName name="__con2" localSheetId="6" hidden="1">{#N/A,#N/A,TRUE,"PROFIT 11-95"}</definedName>
    <definedName name="__con2" hidden="1">{#N/A,#N/A,TRUE,"PROFIT 11-95"}</definedName>
    <definedName name="__CST2" localSheetId="0" hidden="1">{#N/A,#N/A,FALSE,"Umsatz 99";#N/A,#N/A,FALSE,"ER 99 "}</definedName>
    <definedName name="__CST2" localSheetId="6" hidden="1">{#N/A,#N/A,FALSE,"Umsatz 99";#N/A,#N/A,FALSE,"ER 99 "}</definedName>
    <definedName name="__CST2" hidden="1">{#N/A,#N/A,FALSE,"Umsatz 99";#N/A,#N/A,FALSE,"ER 99 "}</definedName>
    <definedName name="__D33" localSheetId="0" hidden="1">{"Olk by Qtr Full",#N/A,FALSE,"Tot PalmPalm";"Olk by Qtr Full",#N/A,FALSE,"Tot Device";"Olk by Qtr Full",#N/A,FALSE,"Platform";"Olk by Qtr Full",#N/A,FALSE,"Palm.Net";"Olk by Qtr Full",#N/A,FALSE,"Elim"}</definedName>
    <definedName name="__D33" localSheetId="6" hidden="1">{"Olk by Qtr Full",#N/A,FALSE,"Tot PalmPalm";"Olk by Qtr Full",#N/A,FALSE,"Tot Device";"Olk by Qtr Full",#N/A,FALSE,"Platform";"Olk by Qtr Full",#N/A,FALSE,"Palm.Net";"Olk by Qtr Full",#N/A,FALSE,"Elim"}</definedName>
    <definedName name="__D33" hidden="1">{"Olk by Qtr Full",#N/A,FALSE,"Tot PalmPalm";"Olk by Qtr Full",#N/A,FALSE,"Tot Device";"Olk by Qtr Full",#N/A,FALSE,"Platform";"Olk by Qtr Full",#N/A,FALSE,"Palm.Net";"Olk by Qtr Full",#N/A,FALSE,"Elim"}</definedName>
    <definedName name="__DCF1" localSheetId="0" hidden="1">{#N/A,#N/A,FALSE,"DCF Summary";#N/A,#N/A,FALSE,"Casema";#N/A,#N/A,FALSE,"Casema NoTel";#N/A,#N/A,FALSE,"UK";#N/A,#N/A,FALSE,"RCF";#N/A,#N/A,FALSE,"Intercable CZ";#N/A,#N/A,FALSE,"Interkabel P"}</definedName>
    <definedName name="__DCF1" localSheetId="6" hidden="1">{#N/A,#N/A,FALSE,"DCF Summary";#N/A,#N/A,FALSE,"Casema";#N/A,#N/A,FALSE,"Casema NoTel";#N/A,#N/A,FALSE,"UK";#N/A,#N/A,FALSE,"RCF";#N/A,#N/A,FALSE,"Intercable CZ";#N/A,#N/A,FALSE,"Interkabel P"}</definedName>
    <definedName name="__DCF1" hidden="1">{#N/A,#N/A,FALSE,"DCF Summary";#N/A,#N/A,FALSE,"Casema";#N/A,#N/A,FALSE,"Casema NoTel";#N/A,#N/A,FALSE,"UK";#N/A,#N/A,FALSE,"RCF";#N/A,#N/A,FALSE,"Intercable CZ";#N/A,#N/A,FALSE,"Interkabel P"}</definedName>
    <definedName name="__dup1" localSheetId="6" hidden="1">{"ROCE Summ",#N/A,FALSE,"Property Management Exps"}</definedName>
    <definedName name="__dup1" hidden="1">{"ROCE Summ",#N/A,FALSE,"Property Management Exps"}</definedName>
    <definedName name="__EMP1">#REF!</definedName>
    <definedName name="__exp2" localSheetId="6" hidden="1">{"VIEW1",#N/A,FALSE,"P&amp;L Account 2001-2002";"VIEW2",#N/A,FALSE,"P&amp;L Account 2001-2002";"VIEW3",#N/A,FALSE,"P&amp;L Account 2001-2002";"VIEW4",#N/A,FALSE,"P&amp;L Account 2001-2002"}</definedName>
    <definedName name="__exp2" hidden="1">{"VIEW1",#N/A,FALSE,"P&amp;L Account 2001-2002";"VIEW2",#N/A,FALSE,"P&amp;L Account 2001-2002";"VIEW3",#N/A,FALSE,"P&amp;L Account 2001-2002";"VIEW4",#N/A,FALSE,"P&amp;L Account 2001-2002"}</definedName>
    <definedName name="__FAX4" hidden="1">#REF!</definedName>
    <definedName name="__FDS_HYPERLINK_TOGGLE_STATE__" hidden="1">"ON"</definedName>
    <definedName name="__FDS_UNIQUE_RANGE_ID_GENERATOR_COUNTER" hidden="1">1</definedName>
    <definedName name="__FDS_USED_FOR_REUSING_RANGE_IDS_RECYCLE" localSheetId="0" hidden="1">{152,168,338,189,173,195,158,390,7,11,232,378,159,175,261,183,177,129,8,155,265,394,57}</definedName>
    <definedName name="__FDS_USED_FOR_REUSING_RANGE_IDS_RECYCLE" localSheetId="6" hidden="1">{152,168,338,189,173,195,158,390,7,11,232,378,159,175,261,183,177,129,8,155,265,394,57}</definedName>
    <definedName name="__FDS_USED_FOR_REUSING_RANGE_IDS_RECYCLE" hidden="1">{152,168,338,189,173,195,158,390,7,11,232,378,159,175,261,183,177,129,8,155,265,394,57}</definedName>
    <definedName name="__FDS_USED_FOR_REUSING_RANGE_IDS_RECYCLE_1" localSheetId="0" hidden="1">{152,168,338,189,173,195,158,390,7,11,232,378,159,175,261,183,177,129,8,155,265,394,57}</definedName>
    <definedName name="__FDS_USED_FOR_REUSING_RANGE_IDS_RECYCLE_1" localSheetId="6" hidden="1">{152,168,338,189,173,195,158,390,7,11,232,378,159,175,261,183,177,129,8,155,265,394,57}</definedName>
    <definedName name="__FDS_USED_FOR_REUSING_RANGE_IDS_RECYCLE_1" hidden="1">{152,168,338,189,173,195,158,390,7,11,232,378,159,175,261,183,177,129,8,155,265,394,57}</definedName>
    <definedName name="__FDS_USED_FOR_REUSING_RANGE_IDS_RECYCLE_1_1" localSheetId="0" hidden="1">{152,168,338,189,173,195,158,390,7,11,232,378,159,175,261,183,177,129,8,155,265,394,57}</definedName>
    <definedName name="__FDS_USED_FOR_REUSING_RANGE_IDS_RECYCLE_1_1" localSheetId="6" hidden="1">{152,168,338,189,173,195,158,390,7,11,232,378,159,175,261,183,177,129,8,155,265,394,57}</definedName>
    <definedName name="__FDS_USED_FOR_REUSING_RANGE_IDS_RECYCLE_1_1" hidden="1">{152,168,338,189,173,195,158,390,7,11,232,378,159,175,261,183,177,129,8,155,265,394,57}</definedName>
    <definedName name="__FDS_USED_FOR_REUSING_RANGE_IDS_RECYCLE_2" localSheetId="0" hidden="1">{152,168,338,189,173,195,158,390,7,11,232,378,159,175,261,183,177,129,8,155,265,394,57}</definedName>
    <definedName name="__FDS_USED_FOR_REUSING_RANGE_IDS_RECYCLE_2" localSheetId="6" hidden="1">{152,168,338,189,173,195,158,390,7,11,232,378,159,175,261,183,177,129,8,155,265,394,57}</definedName>
    <definedName name="__FDS_USED_FOR_REUSING_RANGE_IDS_RECYCLE_2" hidden="1">{152,168,338,189,173,195,158,390,7,11,232,378,159,175,261,183,177,129,8,155,265,394,57}</definedName>
    <definedName name="__FDS_USED_FOR_REUSING_RANGE_IDS_RECYCLE_3" localSheetId="0" hidden="1">{152,168,338,189,173,195,158,390,7,11,232,378,159,175,261,183,177,129,8,155,265,394,57}</definedName>
    <definedName name="__FDS_USED_FOR_REUSING_RANGE_IDS_RECYCLE_3" localSheetId="6" hidden="1">{152,168,338,189,173,195,158,390,7,11,232,378,159,175,261,183,177,129,8,155,265,394,57}</definedName>
    <definedName name="__FDS_USED_FOR_REUSING_RANGE_IDS_RECYCLE_3" hidden="1">{152,168,338,189,173,195,158,390,7,11,232,378,159,175,261,183,177,129,8,155,265,394,57}</definedName>
    <definedName name="__FDS_USED_FOR_REUSING_RANGE_IDS_RECYCLE_4" localSheetId="0" hidden="1">{152,168,338,189,173,195,158,390,7,11,232,378,159,175,261,183,177,129,8,155,265,394,57}</definedName>
    <definedName name="__FDS_USED_FOR_REUSING_RANGE_IDS_RECYCLE_4" localSheetId="6" hidden="1">{152,168,338,189,173,195,158,390,7,11,232,378,159,175,261,183,177,129,8,155,265,394,57}</definedName>
    <definedName name="__FDS_USED_FOR_REUSING_RANGE_IDS_RECYCLE_4" hidden="1">{152,168,338,189,173,195,158,390,7,11,232,378,159,175,261,183,177,129,8,155,265,394,57}</definedName>
    <definedName name="__FDS_USED_FOR_REUSING_RANGE_IDS_RECYCLE_5" localSheetId="0" hidden="1">{152,168,338,189,173,195,158,390,7,11,232,378,159,175,261,183,177,129,8,155,265,394,57}</definedName>
    <definedName name="__FDS_USED_FOR_REUSING_RANGE_IDS_RECYCLE_5" localSheetId="6" hidden="1">{152,168,338,189,173,195,158,390,7,11,232,378,159,175,261,183,177,129,8,155,265,394,57}</definedName>
    <definedName name="__FDS_USED_FOR_REUSING_RANGE_IDS_RECYCLE_5" hidden="1">{152,168,338,189,173,195,158,390,7,11,232,378,159,175,261,183,177,129,8,155,265,394,57}</definedName>
    <definedName name="__fr1"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fr1" hidden="1">{#N/A,#N/A,TRUE,"Sensonic";#N/A,#N/A,TRUE,"Combimeter";#N/A,#N/A,TRUE,"HKV";#N/A,#N/A,TRUE,"TV";#N/A,#N/A,TRUE,"WZ";#N/A,#N/A,TRUE,"PrepHeatCon";#N/A,#N/A,TRUE,"Sonstiges";#N/A,#N/A,TRUE,"Abrechnung";#N/A,#N/A,TRUE,"Investitionen";#N/A,#N/A,TRUE,"Personal";#N/A,#N/A,TRUE,"sonstige Kosten u. Erträge";#N/A,#N/A,TRUE,"BER";#N/A,#N/A,TRUE,"Monatsaufteilung Budget 1997"}</definedName>
    <definedName name="__fr1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fr12" hidden="1">{#N/A,#N/A,TRUE,"Sensonic";#N/A,#N/A,TRUE,"Combimeter";#N/A,#N/A,TRUE,"HKV";#N/A,#N/A,TRUE,"TV";#N/A,#N/A,TRUE,"WZ";#N/A,#N/A,TRUE,"PrepHeatCon";#N/A,#N/A,TRUE,"Sonstiges";#N/A,#N/A,TRUE,"Abrechnung";#N/A,#N/A,TRUE,"Investitionen";#N/A,#N/A,TRUE,"Personal";#N/A,#N/A,TRUE,"sonstige Kosten u. Erträge";#N/A,#N/A,TRUE,"BER";#N/A,#N/A,TRUE,"Monatsaufteilung Budget 1997"}</definedName>
    <definedName name="__fr14"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fr14" hidden="1">{#N/A,#N/A,TRUE,"Sensonic";#N/A,#N/A,TRUE,"Combimeter";#N/A,#N/A,TRUE,"HKV";#N/A,#N/A,TRUE,"TV";#N/A,#N/A,TRUE,"WZ";#N/A,#N/A,TRUE,"PrepHeatCon";#N/A,#N/A,TRUE,"Sonstiges";#N/A,#N/A,TRUE,"Abrechnung";#N/A,#N/A,TRUE,"Investitionen";#N/A,#N/A,TRUE,"Personal";#N/A,#N/A,TRUE,"sonstige Kosten u. Erträge";#N/A,#N/A,TRUE,"BER";#N/A,#N/A,TRUE,"Monatsaufteilung Budget 1997"}</definedName>
    <definedName name="__fr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fr2" hidden="1">{#N/A,#N/A,TRUE,"Sensonic";#N/A,#N/A,TRUE,"Combimeter";#N/A,#N/A,TRUE,"HKV";#N/A,#N/A,TRUE,"TV";#N/A,#N/A,TRUE,"WZ";#N/A,#N/A,TRUE,"PrepHeatCon";#N/A,#N/A,TRUE,"Sonstiges";#N/A,#N/A,TRUE,"Abrechnung";#N/A,#N/A,TRUE,"Investitionen";#N/A,#N/A,TRUE,"Personal";#N/A,#N/A,TRUE,"sonstige Kosten u. Erträge";#N/A,#N/A,TRUE,"BER";#N/A,#N/A,TRUE,"Monatsaufteilung Budget 1997"}</definedName>
    <definedName name="__fr20"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_fr20" hidden="1">{#N/A,#N/A,TRUE,"Sensonic";#N/A,#N/A,TRUE,"Combimeter";#N/A,#N/A,TRUE,"HKV";#N/A,#N/A,TRUE,"TV";#N/A,#N/A,TRUE,"WZ";#N/A,#N/A,TRUE,"PrepHeatCon";#N/A,#N/A,TRUE,"Sonstiges";#N/A,#N/A,TRUE,"Abrechnung";#N/A,#N/A,TRUE,"Investitionen";#N/A,#N/A,TRUE,"Personal";#N/A,#N/A,TRUE,"sonstige Kosten u. Erträge";#N/A,#N/A,TRUE,"BER";#N/A,#N/A,TRUE,"Monatsaufteilung Budget 1997"}</definedName>
    <definedName name="__FSE8" localSheetId="6" hidden="1">{"VIEW1",#N/A,FALSE,"P&amp;L Account 2001-2002";"VIEW2",#N/A,FALSE,"P&amp;L Account 2001-2002";"VIEW3",#N/A,FALSE,"P&amp;L Account 2001-2002";"VIEW4",#N/A,FALSE,"P&amp;L Account 2001-2002"}</definedName>
    <definedName name="__FSE8" hidden="1">{"VIEW1",#N/A,FALSE,"P&amp;L Account 2001-2002";"VIEW2",#N/A,FALSE,"P&amp;L Account 2001-2002";"VIEW3",#N/A,FALSE,"P&amp;L Account 2001-2002";"VIEW4",#N/A,FALSE,"P&amp;L Account 2001-2002"}</definedName>
    <definedName name="__FT08" hidden="1">"3OYHDJRF05V1IN1D1R6C32J5E"</definedName>
    <definedName name="__fy97" localSheetId="0" hidden="1">{#N/A,#N/A,FALSE,"FY97";#N/A,#N/A,FALSE,"FY98";#N/A,#N/A,FALSE,"FY99";#N/A,#N/A,FALSE,"FY00";#N/A,#N/A,FALSE,"FY01"}</definedName>
    <definedName name="__fy97" localSheetId="6" hidden="1">{#N/A,#N/A,FALSE,"FY97";#N/A,#N/A,FALSE,"FY98";#N/A,#N/A,FALSE,"FY99";#N/A,#N/A,FALSE,"FY00";#N/A,#N/A,FALSE,"FY01"}</definedName>
    <definedName name="__fy97" hidden="1">{#N/A,#N/A,FALSE,"FY97";#N/A,#N/A,FALSE,"FY98";#N/A,#N/A,FALSE,"FY99";#N/A,#N/A,FALSE,"FY00";#N/A,#N/A,FALSE,"FY01"}</definedName>
    <definedName name="__i3" localSheetId="0" hidden="1">{"vue1",#N/A,FALSE,"synthese";"vue2",#N/A,FALSE,"synthese"}</definedName>
    <definedName name="__i3" localSheetId="6" hidden="1">{"vue1",#N/A,FALSE,"synthese";"vue2",#N/A,FALSE,"synthese"}</definedName>
    <definedName name="__i3" hidden="1">{"vue1",#N/A,FALSE,"synthese";"vue2",#N/A,FALSE,"synthese"}</definedName>
    <definedName name="__IntlFixup" hidden="1">TRUE</definedName>
    <definedName name="__IntlFixupTable" hidden="1">#REF!</definedName>
    <definedName name="__JAN04" localSheetId="0" hidden="1">{#N/A,#N/A,FALSE,"PROFIT 11-95"}</definedName>
    <definedName name="__JAN04" localSheetId="6" hidden="1">{#N/A,#N/A,FALSE,"PROFIT 11-95"}</definedName>
    <definedName name="__JAN04" hidden="1">{#N/A,#N/A,FALSE,"PROFIT 11-95"}</definedName>
    <definedName name="__Jan05" localSheetId="4" hidden="1">Main.SAPF4Help()</definedName>
    <definedName name="__Jan05" localSheetId="2" hidden="1">Main.SAPF4Help()</definedName>
    <definedName name="__Jan05" localSheetId="6" hidden="1">Main.SAPF4Help()</definedName>
    <definedName name="__Jan05" hidden="1">Main.SAPF4Help()</definedName>
    <definedName name="__Jan06" localSheetId="4" hidden="1">Main.SAPF4Help()</definedName>
    <definedName name="__Jan06" localSheetId="2" hidden="1">Main.SAPF4Help()</definedName>
    <definedName name="__Jan06" localSheetId="6" hidden="1">Main.SAPF4Help()</definedName>
    <definedName name="__Jan06" hidden="1">Main.SAPF4Help()</definedName>
    <definedName name="__JB1">#REF!</definedName>
    <definedName name="__JB2">#REF!</definedName>
    <definedName name="__JB3">#REF!</definedName>
    <definedName name="__key1" hidden="1">#REF!</definedName>
    <definedName name="__key2" hidden="1">#REF!</definedName>
    <definedName name="__Key4" hidden="1">#REF!</definedName>
    <definedName name="__l08" localSheetId="0" hidden="1">{"vue1",#N/A,FALSE,"synthese";"vue2",#N/A,FALSE,"synthese"}</definedName>
    <definedName name="__l08" localSheetId="6" hidden="1">{"vue1",#N/A,FALSE,"synthese";"vue2",#N/A,FALSE,"synthese"}</definedName>
    <definedName name="__l08" hidden="1">{"vue1",#N/A,FALSE,"synthese";"vue2",#N/A,FALSE,"synthese"}</definedName>
    <definedName name="__May1" hidden="1">#REF!</definedName>
    <definedName name="__new1" localSheetId="0" hidden="1">{#N/A,#N/A,FALSE,"Pharm";#N/A,#N/A,FALSE,"WWCM"}</definedName>
    <definedName name="__new1" localSheetId="6" hidden="1">{#N/A,#N/A,FALSE,"Pharm";#N/A,#N/A,FALSE,"WWCM"}</definedName>
    <definedName name="__new1" hidden="1">{#N/A,#N/A,FALSE,"Pharm";#N/A,#N/A,FALSE,"WWCM"}</definedName>
    <definedName name="__new1_1" localSheetId="0" hidden="1">{#N/A,#N/A,FALSE,"Pharm";#N/A,#N/A,FALSE,"WWCM"}</definedName>
    <definedName name="__new1_1" localSheetId="6" hidden="1">{#N/A,#N/A,FALSE,"Pharm";#N/A,#N/A,FALSE,"WWCM"}</definedName>
    <definedName name="__new1_1" hidden="1">{#N/A,#N/A,FALSE,"Pharm";#N/A,#N/A,FALSE,"WWCM"}</definedName>
    <definedName name="__new1_1_1" localSheetId="0" hidden="1">{#N/A,#N/A,FALSE,"Pharm";#N/A,#N/A,FALSE,"WWCM"}</definedName>
    <definedName name="__new1_1_1" localSheetId="6" hidden="1">{#N/A,#N/A,FALSE,"Pharm";#N/A,#N/A,FALSE,"WWCM"}</definedName>
    <definedName name="__new1_1_1" hidden="1">{#N/A,#N/A,FALSE,"Pharm";#N/A,#N/A,FALSE,"WWCM"}</definedName>
    <definedName name="__new1_2" localSheetId="0" hidden="1">{#N/A,#N/A,FALSE,"Pharm";#N/A,#N/A,FALSE,"WWCM"}</definedName>
    <definedName name="__new1_2" localSheetId="6" hidden="1">{#N/A,#N/A,FALSE,"Pharm";#N/A,#N/A,FALSE,"WWCM"}</definedName>
    <definedName name="__new1_2" hidden="1">{#N/A,#N/A,FALSE,"Pharm";#N/A,#N/A,FALSE,"WWCM"}</definedName>
    <definedName name="__new1_3" localSheetId="0" hidden="1">{#N/A,#N/A,FALSE,"Pharm";#N/A,#N/A,FALSE,"WWCM"}</definedName>
    <definedName name="__new1_3" localSheetId="6" hidden="1">{#N/A,#N/A,FALSE,"Pharm";#N/A,#N/A,FALSE,"WWCM"}</definedName>
    <definedName name="__new1_3" hidden="1">{#N/A,#N/A,FALSE,"Pharm";#N/A,#N/A,FALSE,"WWCM"}</definedName>
    <definedName name="__new1_4" localSheetId="0" hidden="1">{#N/A,#N/A,FALSE,"Pharm";#N/A,#N/A,FALSE,"WWCM"}</definedName>
    <definedName name="__new1_4" localSheetId="6" hidden="1">{#N/A,#N/A,FALSE,"Pharm";#N/A,#N/A,FALSE,"WWCM"}</definedName>
    <definedName name="__new1_4" hidden="1">{#N/A,#N/A,FALSE,"Pharm";#N/A,#N/A,FALSE,"WWCM"}</definedName>
    <definedName name="__new1_5" localSheetId="0" hidden="1">{#N/A,#N/A,FALSE,"Pharm";#N/A,#N/A,FALSE,"WWCM"}</definedName>
    <definedName name="__new1_5" localSheetId="6" hidden="1">{#N/A,#N/A,FALSE,"Pharm";#N/A,#N/A,FALSE,"WWCM"}</definedName>
    <definedName name="__new1_5" hidden="1">{#N/A,#N/A,FALSE,"Pharm";#N/A,#N/A,FALSE,"WWCM"}</definedName>
    <definedName name="__NEW2" localSheetId="6" hidden="1">{"VIEW1",#N/A,FALSE,"P&amp;L Account 2001-2002";"VIEW2",#N/A,FALSE,"P&amp;L Account 2001-2002";"VIEW3",#N/A,FALSE,"P&amp;L Account 2001-2002";"VIEW4",#N/A,FALSE,"P&amp;L Account 2001-2002"}</definedName>
    <definedName name="__NEW2" hidden="1">{"VIEW1",#N/A,FALSE,"P&amp;L Account 2001-2002";"VIEW2",#N/A,FALSE,"P&amp;L Account 2001-2002";"VIEW3",#N/A,FALSE,"P&amp;L Account 2001-2002";"VIEW4",#N/A,FALSE,"P&amp;L Account 2001-2002"}</definedName>
    <definedName name="__Ns123456">#REF!</definedName>
    <definedName name="__nsn01">#REF!</definedName>
    <definedName name="__nsn02">#REF!</definedName>
    <definedName name="__nsn03">#REF!</definedName>
    <definedName name="__nsn04">#REF!</definedName>
    <definedName name="__nsn05">#REF!</definedName>
    <definedName name="__nsn06">#REF!</definedName>
    <definedName name="__nsn07">#REF!</definedName>
    <definedName name="__nsn08">#REF!</definedName>
    <definedName name="__nsn09">#REF!</definedName>
    <definedName name="__nsn10">#REF!</definedName>
    <definedName name="_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_ORD1" hidden="1">255</definedName>
    <definedName name="__pr1">#REF!</definedName>
    <definedName name="__pr2">#REF!</definedName>
    <definedName name="__pr3">#REF!</definedName>
    <definedName name="__q12" hidden="1">#REF!</definedName>
    <definedName name="__Q3" localSheetId="0" hidden="1">{"'INDICE'!$A$1:$K$13","'1'!$A$1:$CC$78","'2'!$A$1:$P$78","'3'!$A$1:$CI$78","'4'!$A$1:$Q$78"}</definedName>
    <definedName name="__Q3" localSheetId="6" hidden="1">{"'INDICE'!$A$1:$K$13","'1'!$A$1:$CC$78","'2'!$A$1:$P$78","'3'!$A$1:$CI$78","'4'!$A$1:$Q$78"}</definedName>
    <definedName name="__Q3" hidden="1">{"'INDICE'!$A$1:$K$13","'1'!$A$1:$CC$78","'2'!$A$1:$P$78","'3'!$A$1:$CI$78","'4'!$A$1:$Q$78"}</definedName>
    <definedName name="__Q3_1" localSheetId="0" hidden="1">{"'INDICE'!$A$1:$K$13","'1'!$A$1:$CC$78","'2'!$A$1:$P$78","'3'!$A$1:$CI$78","'4'!$A$1:$Q$78"}</definedName>
    <definedName name="__Q3_1" localSheetId="6" hidden="1">{"'INDICE'!$A$1:$K$13","'1'!$A$1:$CC$78","'2'!$A$1:$P$78","'3'!$A$1:$CI$78","'4'!$A$1:$Q$78"}</definedName>
    <definedName name="__Q3_1" hidden="1">{"'INDICE'!$A$1:$K$13","'1'!$A$1:$CC$78","'2'!$A$1:$P$78","'3'!$A$1:$CI$78","'4'!$A$1:$Q$78"}</definedName>
    <definedName name="__r_1" localSheetId="0" hidden="1">{#N/A,#N/A,FALSE,"Pharm";#N/A,#N/A,FALSE,"WWCM"}</definedName>
    <definedName name="__r_1" localSheetId="6" hidden="1">{#N/A,#N/A,FALSE,"Pharm";#N/A,#N/A,FALSE,"WWCM"}</definedName>
    <definedName name="__r_1" hidden="1">{#N/A,#N/A,FALSE,"Pharm";#N/A,#N/A,FALSE,"WWCM"}</definedName>
    <definedName name="__r_1_1" localSheetId="0" hidden="1">{#N/A,#N/A,FALSE,"Pharm";#N/A,#N/A,FALSE,"WWCM"}</definedName>
    <definedName name="__r_1_1" localSheetId="6" hidden="1">{#N/A,#N/A,FALSE,"Pharm";#N/A,#N/A,FALSE,"WWCM"}</definedName>
    <definedName name="__r_1_1" hidden="1">{#N/A,#N/A,FALSE,"Pharm";#N/A,#N/A,FALSE,"WWCM"}</definedName>
    <definedName name="__r_2" localSheetId="0" hidden="1">{#N/A,#N/A,FALSE,"Pharm";#N/A,#N/A,FALSE,"WWCM"}</definedName>
    <definedName name="__r_2" localSheetId="6" hidden="1">{#N/A,#N/A,FALSE,"Pharm";#N/A,#N/A,FALSE,"WWCM"}</definedName>
    <definedName name="__r_2" hidden="1">{#N/A,#N/A,FALSE,"Pharm";#N/A,#N/A,FALSE,"WWCM"}</definedName>
    <definedName name="__r_3" localSheetId="0" hidden="1">{#N/A,#N/A,FALSE,"Pharm";#N/A,#N/A,FALSE,"WWCM"}</definedName>
    <definedName name="__r_3" localSheetId="6" hidden="1">{#N/A,#N/A,FALSE,"Pharm";#N/A,#N/A,FALSE,"WWCM"}</definedName>
    <definedName name="__r_3" hidden="1">{#N/A,#N/A,FALSE,"Pharm";#N/A,#N/A,FALSE,"WWCM"}</definedName>
    <definedName name="__r_4" localSheetId="0" hidden="1">{#N/A,#N/A,FALSE,"Pharm";#N/A,#N/A,FALSE,"WWCM"}</definedName>
    <definedName name="__r_4" localSheetId="6" hidden="1">{#N/A,#N/A,FALSE,"Pharm";#N/A,#N/A,FALSE,"WWCM"}</definedName>
    <definedName name="__r_4" hidden="1">{#N/A,#N/A,FALSE,"Pharm";#N/A,#N/A,FALSE,"WWCM"}</definedName>
    <definedName name="__r_5" localSheetId="0" hidden="1">{#N/A,#N/A,FALSE,"Pharm";#N/A,#N/A,FALSE,"WWCM"}</definedName>
    <definedName name="__r_5" localSheetId="6" hidden="1">{#N/A,#N/A,FALSE,"Pharm";#N/A,#N/A,FALSE,"WWCM"}</definedName>
    <definedName name="__r_5" hidden="1">{#N/A,#N/A,FALSE,"Pharm";#N/A,#N/A,FALSE,"WWCM"}</definedName>
    <definedName name="__re34"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re34"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re34"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_roi01">#REF!</definedName>
    <definedName name="__roi02">#REF!</definedName>
    <definedName name="__roi03">#REF!</definedName>
    <definedName name="__roi04">#REF!</definedName>
    <definedName name="__roi05">#REF!</definedName>
    <definedName name="__roi06">#REF!</definedName>
    <definedName name="__roi07">#REF!</definedName>
    <definedName name="__roi08">#REF!</definedName>
    <definedName name="__roi09">#REF!</definedName>
    <definedName name="__roi10">#REF!</definedName>
    <definedName name="__rr1" localSheetId="0" hidden="1">{"sch25",#N/A,FALSE,"Provisions &lt;1yr";"sch25a",#N/A,FALSE,"Provisions &lt;1yr"}</definedName>
    <definedName name="__rr1" localSheetId="6" hidden="1">{"sch25",#N/A,FALSE,"Provisions &lt;1yr";"sch25a",#N/A,FALSE,"Provisions &lt;1yr"}</definedName>
    <definedName name="__rr1" hidden="1">{"sch25",#N/A,FALSE,"Provisions &lt;1yr";"sch25a",#N/A,FALSE,"Provisions &lt;1yr"}</definedName>
    <definedName name="__rr1_1" localSheetId="0" hidden="1">{"sch25",#N/A,FALSE,"Provisions &lt;1yr";"sch25a",#N/A,FALSE,"Provisions &lt;1yr"}</definedName>
    <definedName name="__rr1_1" localSheetId="6" hidden="1">{"sch25",#N/A,FALSE,"Provisions &lt;1yr";"sch25a",#N/A,FALSE,"Provisions &lt;1yr"}</definedName>
    <definedName name="__rr1_1" hidden="1">{"sch25",#N/A,FALSE,"Provisions &lt;1yr";"sch25a",#N/A,FALSE,"Provisions &lt;1yr"}</definedName>
    <definedName name="__rr2" localSheetId="0" hidden="1">{"sch34",#N/A,FALSE,"Flash rec";"sch34a",#N/A,FALSE,"Flash rec";"sch34b",#N/A,FALSE,"Flash rec"}</definedName>
    <definedName name="__rr2" localSheetId="6" hidden="1">{"sch34",#N/A,FALSE,"Flash rec";"sch34a",#N/A,FALSE,"Flash rec";"sch34b",#N/A,FALSE,"Flash rec"}</definedName>
    <definedName name="__rr2" hidden="1">{"sch34",#N/A,FALSE,"Flash rec";"sch34a",#N/A,FALSE,"Flash rec";"sch34b",#N/A,FALSE,"Flash rec"}</definedName>
    <definedName name="__rr2_1" localSheetId="0" hidden="1">{"sch34",#N/A,FALSE,"Flash rec";"sch34a",#N/A,FALSE,"Flash rec";"sch34b",#N/A,FALSE,"Flash rec"}</definedName>
    <definedName name="__rr2_1" localSheetId="6" hidden="1">{"sch34",#N/A,FALSE,"Flash rec";"sch34a",#N/A,FALSE,"Flash rec";"sch34b",#N/A,FALSE,"Flash rec"}</definedName>
    <definedName name="__rr2_1" hidden="1">{"sch34",#N/A,FALSE,"Flash rec";"sch34a",#N/A,FALSE,"Flash rec";"sch34b",#N/A,FALSE,"Flash rec"}</definedName>
    <definedName name="__rr6" localSheetId="0" hidden="1">{"sch4a",#N/A,FALSE,"Expenses";"sch4b",#N/A,FALSE,"Expenses";"sch4c",#N/A,FALSE,"Expenses";"schd",#N/A,FALSE,"Expenses"}</definedName>
    <definedName name="__rr6" localSheetId="6" hidden="1">{"sch4a",#N/A,FALSE,"Expenses";"sch4b",#N/A,FALSE,"Expenses";"sch4c",#N/A,FALSE,"Expenses";"schd",#N/A,FALSE,"Expenses"}</definedName>
    <definedName name="__rr6" hidden="1">{"sch4a",#N/A,FALSE,"Expenses";"sch4b",#N/A,FALSE,"Expenses";"sch4c",#N/A,FALSE,"Expenses";"schd",#N/A,FALSE,"Expenses"}</definedName>
    <definedName name="__rr6_1" localSheetId="0" hidden="1">{"sch4a",#N/A,FALSE,"Expenses";"sch4b",#N/A,FALSE,"Expenses";"sch4c",#N/A,FALSE,"Expenses";"schd",#N/A,FALSE,"Expenses"}</definedName>
    <definedName name="__rr6_1" localSheetId="6" hidden="1">{"sch4a",#N/A,FALSE,"Expenses";"sch4b",#N/A,FALSE,"Expenses";"sch4c",#N/A,FALSE,"Expenses";"schd",#N/A,FALSE,"Expenses"}</definedName>
    <definedName name="__rr6_1" hidden="1">{"sch4a",#N/A,FALSE,"Expenses";"sch4b",#N/A,FALSE,"Expenses";"sch4c",#N/A,FALSE,"Expenses";"schd",#N/A,FALSE,"Expenses"}</definedName>
    <definedName name="__rrr3" localSheetId="0" hidden="1">{"sch7a",#N/A,FALSE,"Interest pd";"sch7b",#N/A,FALSE,"Interest pd"}</definedName>
    <definedName name="__rrr3" localSheetId="6" hidden="1">{"sch7a",#N/A,FALSE,"Interest pd";"sch7b",#N/A,FALSE,"Interest pd"}</definedName>
    <definedName name="__rrr3" hidden="1">{"sch7a",#N/A,FALSE,"Interest pd";"sch7b",#N/A,FALSE,"Interest pd"}</definedName>
    <definedName name="__rrr3_1" localSheetId="0" hidden="1">{"sch7a",#N/A,FALSE,"Interest pd";"sch7b",#N/A,FALSE,"Interest pd"}</definedName>
    <definedName name="__rrr3_1" localSheetId="6" hidden="1">{"sch7a",#N/A,FALSE,"Interest pd";"sch7b",#N/A,FALSE,"Interest pd"}</definedName>
    <definedName name="__rrr3_1" hidden="1">{"sch7a",#N/A,FALSE,"Interest pd";"sch7b",#N/A,FALSE,"Interest pd"}</definedName>
    <definedName name="__rrr4" localSheetId="0" hidden="1">{"sch30",#N/A,FALSE,"Reserves";"sch30a",#N/A,FALSE,"Reserves";"sch30b",#N/A,FALSE,"Reserves"}</definedName>
    <definedName name="__rrr4" localSheetId="6" hidden="1">{"sch30",#N/A,FALSE,"Reserves";"sch30a",#N/A,FALSE,"Reserves";"sch30b",#N/A,FALSE,"Reserves"}</definedName>
    <definedName name="__rrr4" hidden="1">{"sch30",#N/A,FALSE,"Reserves";"sch30a",#N/A,FALSE,"Reserves";"sch30b",#N/A,FALSE,"Reserves"}</definedName>
    <definedName name="__rrr4_1" localSheetId="0" hidden="1">{"sch30",#N/A,FALSE,"Reserves";"sch30a",#N/A,FALSE,"Reserves";"sch30b",#N/A,FALSE,"Reserves"}</definedName>
    <definedName name="__rrr4_1" localSheetId="6" hidden="1">{"sch30",#N/A,FALSE,"Reserves";"sch30a",#N/A,FALSE,"Reserves";"sch30b",#N/A,FALSE,"Reserves"}</definedName>
    <definedName name="__rrr4_1" hidden="1">{"sch30",#N/A,FALSE,"Reserves";"sch30a",#N/A,FALSE,"Reserves";"sch30b",#N/A,FALSE,"Reserves"}</definedName>
    <definedName name="__s3" localSheetId="6" hidden="1">{"VIEW1",#N/A,FALSE,"P&amp;L Account 2001-2002";"VIEW2",#N/A,FALSE,"P&amp;L Account 2001-2002";"VIEW3",#N/A,FALSE,"P&amp;L Account 2001-2002";"VIEW4",#N/A,FALSE,"P&amp;L Account 2001-2002"}</definedName>
    <definedName name="__s3" hidden="1">{"VIEW1",#N/A,FALSE,"P&amp;L Account 2001-2002";"VIEW2",#N/A,FALSE,"P&amp;L Account 2001-2002";"VIEW3",#N/A,FALSE,"P&amp;L Account 2001-2002";"VIEW4",#N/A,FALSE,"P&amp;L Account 2001-2002"}</definedName>
    <definedName name="__S5" localSheetId="6" hidden="1">{"VIEW1",#N/A,FALSE,"P&amp;L Account 2001-2002";"VIEW2",#N/A,FALSE,"P&amp;L Account 2001-2002";"VIEW3",#N/A,FALSE,"P&amp;L Account 2001-2002";"VIEW4",#N/A,FALSE,"P&amp;L Account 2001-2002"}</definedName>
    <definedName name="__S5" hidden="1">{"VIEW1",#N/A,FALSE,"P&amp;L Account 2001-2002";"VIEW2",#N/A,FALSE,"P&amp;L Account 2001-2002";"VIEW3",#N/A,FALSE,"P&amp;L Account 2001-2002";"VIEW4",#N/A,FALSE,"P&amp;L Account 2001-2002"}</definedName>
    <definedName name="__tm1" localSheetId="0" hidden="1">{#N/A,#N/A,FALSE,"Pharm";#N/A,#N/A,FALSE,"WWCM"}</definedName>
    <definedName name="__tm1" localSheetId="6" hidden="1">{#N/A,#N/A,FALSE,"Pharm";#N/A,#N/A,FALSE,"WWCM"}</definedName>
    <definedName name="__tm1" hidden="1">{#N/A,#N/A,FALSE,"Pharm";#N/A,#N/A,FALSE,"WWCM"}</definedName>
    <definedName name="__tm1_1" localSheetId="0" hidden="1">{#N/A,#N/A,FALSE,"Pharm";#N/A,#N/A,FALSE,"WWCM"}</definedName>
    <definedName name="__tm1_1" localSheetId="6" hidden="1">{#N/A,#N/A,FALSE,"Pharm";#N/A,#N/A,FALSE,"WWCM"}</definedName>
    <definedName name="__tm1_1" hidden="1">{#N/A,#N/A,FALSE,"Pharm";#N/A,#N/A,FALSE,"WWCM"}</definedName>
    <definedName name="__tm1_1_1" localSheetId="0" hidden="1">{#N/A,#N/A,FALSE,"Pharm";#N/A,#N/A,FALSE,"WWCM"}</definedName>
    <definedName name="__tm1_1_1" localSheetId="6" hidden="1">{#N/A,#N/A,FALSE,"Pharm";#N/A,#N/A,FALSE,"WWCM"}</definedName>
    <definedName name="__tm1_1_1" hidden="1">{#N/A,#N/A,FALSE,"Pharm";#N/A,#N/A,FALSE,"WWCM"}</definedName>
    <definedName name="__tm1_2" localSheetId="0" hidden="1">{#N/A,#N/A,FALSE,"Pharm";#N/A,#N/A,FALSE,"WWCM"}</definedName>
    <definedName name="__tm1_2" localSheetId="6" hidden="1">{#N/A,#N/A,FALSE,"Pharm";#N/A,#N/A,FALSE,"WWCM"}</definedName>
    <definedName name="__tm1_2" hidden="1">{#N/A,#N/A,FALSE,"Pharm";#N/A,#N/A,FALSE,"WWCM"}</definedName>
    <definedName name="__tm1_3" localSheetId="0" hidden="1">{#N/A,#N/A,FALSE,"Pharm";#N/A,#N/A,FALSE,"WWCM"}</definedName>
    <definedName name="__tm1_3" localSheetId="6" hidden="1">{#N/A,#N/A,FALSE,"Pharm";#N/A,#N/A,FALSE,"WWCM"}</definedName>
    <definedName name="__tm1_3" hidden="1">{#N/A,#N/A,FALSE,"Pharm";#N/A,#N/A,FALSE,"WWCM"}</definedName>
    <definedName name="__tm1_4" localSheetId="0" hidden="1">{#N/A,#N/A,FALSE,"Pharm";#N/A,#N/A,FALSE,"WWCM"}</definedName>
    <definedName name="__tm1_4" localSheetId="6" hidden="1">{#N/A,#N/A,FALSE,"Pharm";#N/A,#N/A,FALSE,"WWCM"}</definedName>
    <definedName name="__tm1_4" hidden="1">{#N/A,#N/A,FALSE,"Pharm";#N/A,#N/A,FALSE,"WWCM"}</definedName>
    <definedName name="__tm1_5" localSheetId="0" hidden="1">{#N/A,#N/A,FALSE,"Pharm";#N/A,#N/A,FALSE,"WWCM"}</definedName>
    <definedName name="__tm1_5" localSheetId="6" hidden="1">{#N/A,#N/A,FALSE,"Pharm";#N/A,#N/A,FALSE,"WWCM"}</definedName>
    <definedName name="__tm1_5" hidden="1">{#N/A,#N/A,FALSE,"Pharm";#N/A,#N/A,FALSE,"WWCM"}</definedName>
    <definedName name="__vid5" localSheetId="6" hidden="1">{"VIEW1",#N/A,FALSE,"P&amp;L Account 2001-2002";"VIEW2",#N/A,FALSE,"P&amp;L Account 2001-2002";"VIEW3",#N/A,FALSE,"P&amp;L Account 2001-2002";"VIEW4",#N/A,FALSE,"P&amp;L Account 2001-2002"}</definedName>
    <definedName name="__vid5" hidden="1">{"VIEW1",#N/A,FALSE,"P&amp;L Account 2001-2002";"VIEW2",#N/A,FALSE,"P&amp;L Account 2001-2002";"VIEW3",#N/A,FALSE,"P&amp;L Account 2001-2002";"VIEW4",#N/A,FALSE,"P&amp;L Account 2001-2002"}</definedName>
    <definedName name="__vid6" localSheetId="6" hidden="1">{"VIEW1",#N/A,FALSE,"P&amp;L Account 2001-2002";"VIEW2",#N/A,FALSE,"P&amp;L Account 2001-2002";"VIEW3",#N/A,FALSE,"P&amp;L Account 2001-2002";"VIEW4",#N/A,FALSE,"P&amp;L Account 2001-2002"}</definedName>
    <definedName name="__vid6" hidden="1">{"VIEW1",#N/A,FALSE,"P&amp;L Account 2001-2002";"VIEW2",#N/A,FALSE,"P&amp;L Account 2001-2002";"VIEW3",#N/A,FALSE,"P&amp;L Account 2001-2002";"VIEW4",#N/A,FALSE,"P&amp;L Account 2001-2002"}</definedName>
    <definedName name="__VID7" localSheetId="6" hidden="1">{"VIEW1",#N/A,FALSE,"P&amp;L Account 2001-2002";"VIEW2",#N/A,FALSE,"P&amp;L Account 2001-2002";"VIEW3",#N/A,FALSE,"P&amp;L Account 2001-2002";"VIEW4",#N/A,FALSE,"P&amp;L Account 2001-2002"}</definedName>
    <definedName name="__VID7" hidden="1">{"VIEW1",#N/A,FALSE,"P&amp;L Account 2001-2002";"VIEW2",#N/A,FALSE,"P&amp;L Account 2001-2002";"VIEW3",#N/A,FALSE,"P&amp;L Account 2001-2002";"VIEW4",#N/A,FALSE,"P&amp;L Account 2001-2002"}</definedName>
    <definedName name="__VIR5" localSheetId="6" hidden="1">{"VIEW1",#N/A,FALSE,"P&amp;L Account 2001-2002";"VIEW2",#N/A,FALSE,"P&amp;L Account 2001-2002";"VIEW3",#N/A,FALSE,"P&amp;L Account 2001-2002";"VIEW4",#N/A,FALSE,"P&amp;L Account 2001-2002"}</definedName>
    <definedName name="__VIR5" hidden="1">{"VIEW1",#N/A,FALSE,"P&amp;L Account 2001-2002";"VIEW2",#N/A,FALSE,"P&amp;L Account 2001-2002";"VIEW3",#N/A,FALSE,"P&amp;L Account 2001-2002";"VIEW4",#N/A,FALSE,"P&amp;L Account 2001-2002"}</definedName>
    <definedName name="__VIR6" localSheetId="6" hidden="1">{"VIEW1",#N/A,FALSE,"P&amp;L Account 2001-2002";"VIEW2",#N/A,FALSE,"P&amp;L Account 2001-2002";"VIEW3",#N/A,FALSE,"P&amp;L Account 2001-2002";"VIEW4",#N/A,FALSE,"P&amp;L Account 2001-2002"}</definedName>
    <definedName name="__VIR6" hidden="1">{"VIEW1",#N/A,FALSE,"P&amp;L Account 2001-2002";"VIEW2",#N/A,FALSE,"P&amp;L Account 2001-2002";"VIEW3",#N/A,FALSE,"P&amp;L Account 2001-2002";"VIEW4",#N/A,FALSE,"P&amp;L Account 2001-2002"}</definedName>
    <definedName name="__wrm3" localSheetId="0" hidden="1">{"vue1",#N/A,FALSE,"synthese";"vue2",#N/A,FALSE,"synthese"}</definedName>
    <definedName name="__wrm3" localSheetId="6" hidden="1">{"vue1",#N/A,FALSE,"synthese";"vue2",#N/A,FALSE,"synthese"}</definedName>
    <definedName name="__wrm3" hidden="1">{"vue1",#N/A,FALSE,"synthese";"vue2",#N/A,FALSE,"synthese"}</definedName>
    <definedName name="__wrn1" localSheetId="0" hidden="1">{#N/A,#N/A,FALSE,"DCF";#N/A,#N/A,FALSE,"WACC";#N/A,#N/A,FALSE,"Sales_EBIT";#N/A,#N/A,FALSE,"Capex_Depreciation";#N/A,#N/A,FALSE,"WC";#N/A,#N/A,FALSE,"Interest";#N/A,#N/A,FALSE,"Assumptions"}</definedName>
    <definedName name="__wrn1" localSheetId="6" hidden="1">{#N/A,#N/A,FALSE,"DCF";#N/A,#N/A,FALSE,"WACC";#N/A,#N/A,FALSE,"Sales_EBIT";#N/A,#N/A,FALSE,"Capex_Depreciation";#N/A,#N/A,FALSE,"WC";#N/A,#N/A,FALSE,"Interest";#N/A,#N/A,FALSE,"Assumptions"}</definedName>
    <definedName name="__wrn1" hidden="1">{#N/A,#N/A,FALSE,"DCF";#N/A,#N/A,FALSE,"WACC";#N/A,#N/A,FALSE,"Sales_EBIT";#N/A,#N/A,FALSE,"Capex_Depreciation";#N/A,#N/A,FALSE,"WC";#N/A,#N/A,FALSE,"Interest";#N/A,#N/A,FALSE,"Assumptions"}</definedName>
    <definedName name="__wrn2" localSheetId="0" hidden="1">{"vue1",#N/A,FALSE,"synthese";"vue2",#N/A,FALSE,"synthese"}</definedName>
    <definedName name="__wrn2" localSheetId="6" hidden="1">{"vue1",#N/A,FALSE,"synthese";"vue2",#N/A,FALSE,"synthese"}</definedName>
    <definedName name="__wrn2" hidden="1">{"vue1",#N/A,FALSE,"synthese";"vue2",#N/A,FALSE,"synthese"}</definedName>
    <definedName name="__wrn3" localSheetId="0" hidden="1">{"vue1",#N/A,FALSE,"synthese";"vue2",#N/A,FALSE,"synthese"}</definedName>
    <definedName name="__wrn3" localSheetId="6" hidden="1">{"vue1",#N/A,FALSE,"synthese";"vue2",#N/A,FALSE,"synthese"}</definedName>
    <definedName name="__wrn3" hidden="1">{"vue1",#N/A,FALSE,"synthese";"vue2",#N/A,FALSE,"synthese"}</definedName>
    <definedName name="__WWW1" localSheetId="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WW1" localSheetId="6"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W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X2" localSheetId="0" hidden="1">{#N/A,#N/A,FALSE,"Other";#N/A,#N/A,FALSE,"Ace";#N/A,#N/A,FALSE,"Derm"}</definedName>
    <definedName name="__X2" localSheetId="6" hidden="1">{#N/A,#N/A,FALSE,"Other";#N/A,#N/A,FALSE,"Ace";#N/A,#N/A,FALSE,"Derm"}</definedName>
    <definedName name="__X2" hidden="1">{#N/A,#N/A,FALSE,"Other";#N/A,#N/A,FALSE,"Ace";#N/A,#N/A,FALSE,"Derm"}</definedName>
    <definedName name="__X2_1" localSheetId="0" hidden="1">{#N/A,#N/A,FALSE,"Other";#N/A,#N/A,FALSE,"Ace";#N/A,#N/A,FALSE,"Derm"}</definedName>
    <definedName name="__X2_1" localSheetId="6" hidden="1">{#N/A,#N/A,FALSE,"Other";#N/A,#N/A,FALSE,"Ace";#N/A,#N/A,FALSE,"Derm"}</definedName>
    <definedName name="__X2_1" hidden="1">{#N/A,#N/A,FALSE,"Other";#N/A,#N/A,FALSE,"Ace";#N/A,#N/A,FALSE,"Derm"}</definedName>
    <definedName name="__X2_1_1" localSheetId="0" hidden="1">{#N/A,#N/A,FALSE,"Other";#N/A,#N/A,FALSE,"Ace";#N/A,#N/A,FALSE,"Derm"}</definedName>
    <definedName name="__X2_1_1" localSheetId="6" hidden="1">{#N/A,#N/A,FALSE,"Other";#N/A,#N/A,FALSE,"Ace";#N/A,#N/A,FALSE,"Derm"}</definedName>
    <definedName name="__X2_1_1" hidden="1">{#N/A,#N/A,FALSE,"Other";#N/A,#N/A,FALSE,"Ace";#N/A,#N/A,FALSE,"Derm"}</definedName>
    <definedName name="__X2_2" localSheetId="0" hidden="1">{#N/A,#N/A,FALSE,"Other";#N/A,#N/A,FALSE,"Ace";#N/A,#N/A,FALSE,"Derm"}</definedName>
    <definedName name="__X2_2" localSheetId="6" hidden="1">{#N/A,#N/A,FALSE,"Other";#N/A,#N/A,FALSE,"Ace";#N/A,#N/A,FALSE,"Derm"}</definedName>
    <definedName name="__X2_2" hidden="1">{#N/A,#N/A,FALSE,"Other";#N/A,#N/A,FALSE,"Ace";#N/A,#N/A,FALSE,"Derm"}</definedName>
    <definedName name="__X2_3" localSheetId="0" hidden="1">{#N/A,#N/A,FALSE,"Other";#N/A,#N/A,FALSE,"Ace";#N/A,#N/A,FALSE,"Derm"}</definedName>
    <definedName name="__X2_3" localSheetId="6" hidden="1">{#N/A,#N/A,FALSE,"Other";#N/A,#N/A,FALSE,"Ace";#N/A,#N/A,FALSE,"Derm"}</definedName>
    <definedName name="__X2_3" hidden="1">{#N/A,#N/A,FALSE,"Other";#N/A,#N/A,FALSE,"Ace";#N/A,#N/A,FALSE,"Derm"}</definedName>
    <definedName name="__X2_4" localSheetId="0" hidden="1">{#N/A,#N/A,FALSE,"Other";#N/A,#N/A,FALSE,"Ace";#N/A,#N/A,FALSE,"Derm"}</definedName>
    <definedName name="__X2_4" localSheetId="6" hidden="1">{#N/A,#N/A,FALSE,"Other";#N/A,#N/A,FALSE,"Ace";#N/A,#N/A,FALSE,"Derm"}</definedName>
    <definedName name="__X2_4" hidden="1">{#N/A,#N/A,FALSE,"Other";#N/A,#N/A,FALSE,"Ace";#N/A,#N/A,FALSE,"Derm"}</definedName>
    <definedName name="__X2_5" localSheetId="0" hidden="1">{#N/A,#N/A,FALSE,"Other";#N/A,#N/A,FALSE,"Ace";#N/A,#N/A,FALSE,"Derm"}</definedName>
    <definedName name="__X2_5" localSheetId="6" hidden="1">{#N/A,#N/A,FALSE,"Other";#N/A,#N/A,FALSE,"Ace";#N/A,#N/A,FALSE,"Derm"}</definedName>
    <definedName name="__X2_5" hidden="1">{#N/A,#N/A,FALSE,"Other";#N/A,#N/A,FALSE,"Ace";#N/A,#N/A,FALSE,"Derm"}</definedName>
    <definedName name="__xlfn.BAHTTEXT" hidden="1">#NAME?</definedName>
    <definedName name="__xlfn.RTD" hidden="1">#NAME?</definedName>
    <definedName name="__yo1" localSheetId="0" hidden="1">{#N/A,#N/A,FALSE,"Eastern";#N/A,#N/A,FALSE,"Western"}</definedName>
    <definedName name="__yo1" localSheetId="6" hidden="1">{#N/A,#N/A,FALSE,"Eastern";#N/A,#N/A,FALSE,"Western"}</definedName>
    <definedName name="__yo1" hidden="1">{#N/A,#N/A,FALSE,"Eastern";#N/A,#N/A,FALSE,"Western"}</definedName>
    <definedName name="__yo2" localSheetId="0" hidden="1">{#N/A,#N/A,FALSE,"Eastern";#N/A,#N/A,FALSE,"Western"}</definedName>
    <definedName name="__yo2" localSheetId="6" hidden="1">{#N/A,#N/A,FALSE,"Eastern";#N/A,#N/A,FALSE,"Western"}</definedName>
    <definedName name="__yo2" hidden="1">{#N/A,#N/A,FALSE,"Eastern";#N/A,#N/A,FALSE,"Western"}</definedName>
    <definedName name="__yo3" localSheetId="0" hidden="1">{#N/A,#N/A,FALSE,"Eastern";#N/A,#N/A,FALSE,"Western"}</definedName>
    <definedName name="__yo3" localSheetId="6" hidden="1">{#N/A,#N/A,FALSE,"Eastern";#N/A,#N/A,FALSE,"Western"}</definedName>
    <definedName name="__yo3" hidden="1">{#N/A,#N/A,FALSE,"Eastern";#N/A,#N/A,FALSE,"Western"}</definedName>
    <definedName name="__z2" localSheetId="0" hidden="1">{"Sch00",#N/A,FALSE,"1";"Contents",#N/A,FALSE,"1"}</definedName>
    <definedName name="__z2" localSheetId="6" hidden="1">{"Sch00",#N/A,FALSE,"1";"Contents",#N/A,FALSE,"1"}</definedName>
    <definedName name="__z2" hidden="1">{"Sch00",#N/A,FALSE,"1";"Contents",#N/A,FALSE,"1"}</definedName>
    <definedName name="__z3" localSheetId="0" hidden="1">{"Sch01",#N/A,FALSE,"2";"Sch02",#N/A,FALSE,"2";"Sch03",#N/A,FALSE,"2";"Sch04",#N/A,FALSE,"2";"Sch05",#N/A,FALSE,"2";"Sch06",#N/A,FALSE,"2";"Sch17",#N/A,FALSE,"2";"Sch19",#N/A,FALSE,"2";"Sch20",#N/A,FALSE,"2";"Sch21",#N/A,FALSE,"2";"Sch26",#N/A,FALSE,"2"}</definedName>
    <definedName name="__z3" localSheetId="6" hidden="1">{"Sch01",#N/A,FALSE,"2";"Sch02",#N/A,FALSE,"2";"Sch03",#N/A,FALSE,"2";"Sch04",#N/A,FALSE,"2";"Sch05",#N/A,FALSE,"2";"Sch06",#N/A,FALSE,"2";"Sch17",#N/A,FALSE,"2";"Sch19",#N/A,FALSE,"2";"Sch20",#N/A,FALSE,"2";"Sch21",#N/A,FALSE,"2";"Sch26",#N/A,FALSE,"2"}</definedName>
    <definedName name="__z3" hidden="1">{"Sch01",#N/A,FALSE,"2";"Sch02",#N/A,FALSE,"2";"Sch03",#N/A,FALSE,"2";"Sch04",#N/A,FALSE,"2";"Sch05",#N/A,FALSE,"2";"Sch06",#N/A,FALSE,"2";"Sch17",#N/A,FALSE,"2";"Sch19",#N/A,FALSE,"2";"Sch20",#N/A,FALSE,"2";"Sch21",#N/A,FALSE,"2";"Sch26",#N/A,FALSE,"2"}</definedName>
    <definedName name="_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1_???205">#REF!</definedName>
    <definedName name="_1____123Graph_ACHART_1" hidden="1">#REF!</definedName>
    <definedName name="_1__123Graph_A_BP9196" hidden="1">#REF!</definedName>
    <definedName name="_1__123Graph_A_Chart_1A" hidden="1">#REF!</definedName>
    <definedName name="_1__123Graph_ACHART_1" hidden="1">#REF!</definedName>
    <definedName name="_1__123Graph_ACHART_12" hidden="1">#REF!</definedName>
    <definedName name="_1__123Graph_ACHART_1A" hidden="1">#REF!</definedName>
    <definedName name="_1__123Graph_AMKT_MONTH" hidden="1">#REF!</definedName>
    <definedName name="_1__123Graph_BCHART_4" hidden="1">#REF!</definedName>
    <definedName name="_1__123Graph_BCHART_5" hidden="1">#REF!</definedName>
    <definedName name="_1__123Graph_BCRACK_Y" hidden="1">#REF!</definedName>
    <definedName name="_1__FDSAUDITLINK__" localSheetId="0" hidden="1">{"fdsup://Directions/FAT Viewer?action=UPDATE&amp;creator=factset&amp;DOC_NAME=fat:reuters_annual_source_window.fat&amp;display_string=Audit&amp;DYN_ARGS=TRUE&amp;VAR:ID1=569878&amp;VAR:RCODE=QTSC&amp;VAR:SDATE=20071299&amp;VAR:FREQ=Y&amp;VAR:RELITEM=RP&amp;VAR:CURRENCY=&amp;VAR:CURRSOURCE=EXSHARE&amp;VA","R:NATFREQ=ANNUAL&amp;VAR:RFIELD=FINALIZED&amp;VAR:DB_TYPE=&amp;VAR:UNITS=M&amp;window=popup&amp;width=450&amp;height=300&amp;START_MAXIMIZED=FALSE"}</definedName>
    <definedName name="_1__FDSAUDITLINK__" localSheetId="6" hidden="1">{"fdsup://Directions/FAT Viewer?action=UPDATE&amp;creator=factset&amp;DOC_NAME=fat:reuters_annual_source_window.fat&amp;display_string=Audit&amp;DYN_ARGS=TRUE&amp;VAR:ID1=569878&amp;VAR:RCODE=QTSC&amp;VAR:SDATE=20071299&amp;VAR:FREQ=Y&amp;VAR:RELITEM=RP&amp;VAR:CURRENCY=&amp;VAR:CURRSOURCE=EXSHARE&amp;VA","R:NATFREQ=ANNUAL&amp;VAR:RFIELD=FINALIZED&amp;VAR:DB_TYPE=&amp;VAR:UNITS=M&amp;window=popup&amp;width=450&amp;height=300&amp;START_MAXIMIZED=FALSE"}</definedName>
    <definedName name="_1__FDSAUDITLINK__" hidden="1">{"fdsup://Directions/FAT Viewer?action=UPDATE&amp;creator=factset&amp;DOC_NAME=fat:reuters_annual_source_window.fat&amp;display_string=Audit&amp;DYN_ARGS=TRUE&amp;VAR:ID1=569878&amp;VAR:RCODE=QTSC&amp;VAR:SDATE=20071299&amp;VAR:FREQ=Y&amp;VAR:RELITEM=RP&amp;VAR:CURRENCY=&amp;VAR:CURRSOURCE=EXSHARE&amp;VA","R:NATFREQ=ANNUAL&amp;VAR:RFIELD=FINALIZED&amp;VAR:DB_TYPE=&amp;VAR:UNITS=M&amp;window=popup&amp;width=450&amp;height=300&amp;START_MAXIMIZED=FALSE"}</definedName>
    <definedName name="_1_0_0Interessi_Capitalizz" hidden="1">#REF!</definedName>
    <definedName name="_1_0ACwvu.Pag" hidden="1">#REF!</definedName>
    <definedName name="_1_123Graph_X" hidden="1">#REF!</definedName>
    <definedName name="_10_?78">#REF!</definedName>
    <definedName name="_10___123Graph_ACHART_1" hidden="1">#REF!</definedName>
    <definedName name="_10__123Graph_A_KD9196" hidden="1">#REF!</definedName>
    <definedName name="_10__123Graph_ACHART_1" hidden="1">#REF!</definedName>
    <definedName name="_10__123Graph_ACHART_15" hidden="1">#REF!</definedName>
    <definedName name="_10__123Graph_ACHART_16" hidden="1">#REF!</definedName>
    <definedName name="_10__123Graph_ACHART_18" hidden="1">#REF!</definedName>
    <definedName name="_10__123Graph_ACHART_4" hidden="1">#REF!</definedName>
    <definedName name="_10__123Graph_BCHART_16" hidden="1">#REF!</definedName>
    <definedName name="_10__123Graph_BCHART_5" hidden="1">#REF!</definedName>
    <definedName name="_10__123Graph_CCHART_2" hidden="1">#REF!</definedName>
    <definedName name="_10__123Graph_D_Chart_1A" hidden="1">#REF!</definedName>
    <definedName name="_10__123Graph_DCHART_1" hidden="1">#REF!</definedName>
    <definedName name="_10__123Graph_LBL_BCRACK_Y" hidden="1">#REF!</definedName>
    <definedName name="_10__123Graph_XCHART_1" hidden="1">#REF!</definedName>
    <definedName name="_10__123Graph_XCHART_12" hidden="1">#REF!</definedName>
    <definedName name="_10__123Graph_XMKT_YTD" hidden="1">#REF!</definedName>
    <definedName name="_10__FDSAUDITLINK__" localSheetId="0" hidden="1">{"fdsup://directions/FAT Viewer?action=UPDATE&amp;creator=factSet&amp;DYN_ARGS=true&amp;DOC_NAME=FAT:RGA_ENTRPR_VAL_EV_SOURCE_WINDOW.FAT&amp;VAR:ID1=EV&amp;window=popup&amp;width=535&amp;height=425&amp;START_MAXIMIZED=FALSE&amp;Y=120"}</definedName>
    <definedName name="_10__FDSAUDITLINK__" localSheetId="6" hidden="1">{"fdsup://directions/FAT Viewer?action=UPDATE&amp;creator=factSet&amp;DYN_ARGS=true&amp;DOC_NAME=FAT:RGA_ENTRPR_VAL_EV_SOURCE_WINDOW.FAT&amp;VAR:ID1=EV&amp;window=popup&amp;width=535&amp;height=425&amp;START_MAXIMIZED=FALSE&amp;Y=120"}</definedName>
    <definedName name="_10__FDSAUDITLINK__" hidden="1">{"fdsup://directions/FAT Viewer?action=UPDATE&amp;creator=factSet&amp;DYN_ARGS=true&amp;DOC_NAME=FAT:RGA_ENTRPR_VAL_EV_SOURCE_WINDOW.FAT&amp;VAR:ID1=EV&amp;window=popup&amp;width=535&amp;height=425&amp;START_MAXIMIZED=FALSE&amp;Y=120"}</definedName>
    <definedName name="_100__123Graph_DCHART_17" hidden="1">#REF!</definedName>
    <definedName name="_100__123Graph_XCHART_10" hidden="1">#REF!</definedName>
    <definedName name="_100__FDSAUDITLINK__" localSheetId="0" hidden="1">{"fdsup://directions/FAT Viewer?action=UPDATE&amp;creator=factSet&amp;DYN_ARGS=true&amp;DOC_NAME=FAT:RGA_ENTRPR_VAL_EV_SOURCE_WINDOW.FAT&amp;VAR:ID1=GLT-FR&amp;window=popup&amp;width=535&amp;height=425&amp;START_MAXIMIZED=FALSE&amp;Y=120"}</definedName>
    <definedName name="_100__FDSAUDITLINK__" localSheetId="6" hidden="1">{"fdsup://directions/FAT Viewer?action=UPDATE&amp;creator=factSet&amp;DYN_ARGS=true&amp;DOC_NAME=FAT:RGA_ENTRPR_VAL_EV_SOURCE_WINDOW.FAT&amp;VAR:ID1=GLT-FR&amp;window=popup&amp;width=535&amp;height=425&amp;START_MAXIMIZED=FALSE&amp;Y=120"}</definedName>
    <definedName name="_100__FDSAUDITLINK__" hidden="1">{"fdsup://directions/FAT Viewer?action=UPDATE&amp;creator=factSet&amp;DYN_ARGS=true&amp;DOC_NAME=FAT:RGA_ENTRPR_VAL_EV_SOURCE_WINDOW.FAT&amp;VAR:ID1=GLT-FR&amp;window=popup&amp;width=535&amp;height=425&amp;START_MAXIMIZED=FALSE&amp;Y=120"}</definedName>
    <definedName name="_1000__FDSAUDITLINK__" localSheetId="0" hidden="1">{"fdsup://Directions/FAT Viewer?action=UPDATE&amp;creator=factset&amp;DOC_NAME=fat:reuters_semi_source_window.fat&amp;display_string=Audit&amp;DYN_ARGS=TRUE&amp;VAR:ID1=596787&amp;VAR:RCODE=FDSENTRPRVAL&amp;VAR:SDATE=39172&amp;VAR:FREQ=Daily&amp;VAR:RELITEM=&amp;VAR:CURRENCY=EUR&amp;VAR:CURRSOURCE=EX","SHARE&amp;VAR:NATFREQ=FSA&amp;VAR:RFIELD=FINALIZED&amp;VAR:DB_TYPE=&amp;VAR:UNITS=M&amp;window=popup&amp;width=450&amp;height=300&amp;START_MAXIMIZED=FALSE"}</definedName>
    <definedName name="_1000__FDSAUDITLINK__" localSheetId="6" hidden="1">{"fdsup://Directions/FAT Viewer?action=UPDATE&amp;creator=factset&amp;DOC_NAME=fat:reuters_semi_source_window.fat&amp;display_string=Audit&amp;DYN_ARGS=TRUE&amp;VAR:ID1=596787&amp;VAR:RCODE=FDSENTRPRVAL&amp;VAR:SDATE=39172&amp;VAR:FREQ=Daily&amp;VAR:RELITEM=&amp;VAR:CURRENCY=EUR&amp;VAR:CURRSOURCE=EX","SHARE&amp;VAR:NATFREQ=FSA&amp;VAR:RFIELD=FINALIZED&amp;VAR:DB_TYPE=&amp;VAR:UNITS=M&amp;window=popup&amp;width=450&amp;height=300&amp;START_MAXIMIZED=FALSE"}</definedName>
    <definedName name="_1000__FDSAUDITLINK__" hidden="1">{"fdsup://Directions/FAT Viewer?action=UPDATE&amp;creator=factset&amp;DOC_NAME=fat:reuters_semi_source_window.fat&amp;display_string=Audit&amp;DYN_ARGS=TRUE&amp;VAR:ID1=596787&amp;VAR:RCODE=FDSENTRPRVAL&amp;VAR:SDATE=39172&amp;VAR:FREQ=Daily&amp;VAR:RELITEM=&amp;VAR:CURRENCY=EUR&amp;VAR:CURRSOURCE=EX","SHARE&amp;VAR:NATFREQ=FSA&amp;VAR:RFIELD=FINALIZED&amp;VAR:DB_TYPE=&amp;VAR:UNITS=M&amp;window=popup&amp;width=450&amp;height=300&amp;START_MAXIMIZED=FALSE"}</definedName>
    <definedName name="_1001__FDSAUDITLINK__" localSheetId="0" hidden="1">{"fdsup://Directions/FAT Viewer?action=UPDATE&amp;creator=factset&amp;DOC_NAME=fat:reuters_semi_source_window.fat&amp;display_string=Audit&amp;DYN_ARGS=TRUE&amp;VAR:ID1=596787&amp;VAR:RCODE=FDSENTRPRVAL&amp;VAR:SDATE=39263&amp;VAR:FREQ=Daily&amp;VAR:RELITEM=&amp;VAR:CURRENCY=EUR&amp;VAR:CURRSOURCE=EX","SHARE&amp;VAR:NATFREQ=FSA&amp;VAR:RFIELD=FINALIZED&amp;VAR:DB_TYPE=&amp;VAR:UNITS=M&amp;window=popup&amp;width=450&amp;height=300&amp;START_MAXIMIZED=FALSE"}</definedName>
    <definedName name="_1001__FDSAUDITLINK__" localSheetId="6" hidden="1">{"fdsup://Directions/FAT Viewer?action=UPDATE&amp;creator=factset&amp;DOC_NAME=fat:reuters_semi_source_window.fat&amp;display_string=Audit&amp;DYN_ARGS=TRUE&amp;VAR:ID1=596787&amp;VAR:RCODE=FDSENTRPRVAL&amp;VAR:SDATE=39263&amp;VAR:FREQ=Daily&amp;VAR:RELITEM=&amp;VAR:CURRENCY=EUR&amp;VAR:CURRSOURCE=EX","SHARE&amp;VAR:NATFREQ=FSA&amp;VAR:RFIELD=FINALIZED&amp;VAR:DB_TYPE=&amp;VAR:UNITS=M&amp;window=popup&amp;width=450&amp;height=300&amp;START_MAXIMIZED=FALSE"}</definedName>
    <definedName name="_1001__FDSAUDITLINK__" hidden="1">{"fdsup://Directions/FAT Viewer?action=UPDATE&amp;creator=factset&amp;DOC_NAME=fat:reuters_semi_source_window.fat&amp;display_string=Audit&amp;DYN_ARGS=TRUE&amp;VAR:ID1=596787&amp;VAR:RCODE=FDSENTRPRVAL&amp;VAR:SDATE=39263&amp;VAR:FREQ=Daily&amp;VAR:RELITEM=&amp;VAR:CURRENCY=EUR&amp;VAR:CURRSOURCE=EX","SHARE&amp;VAR:NATFREQ=FSA&amp;VAR:RFIELD=FINALIZED&amp;VAR:DB_TYPE=&amp;VAR:UNITS=M&amp;window=popup&amp;width=450&amp;height=300&amp;START_MAXIMIZED=FALSE"}</definedName>
    <definedName name="_1002__FDSAUDITLINK__" localSheetId="0" hidden="1">{"fdsup://Directions/FAT Viewer?action=UPDATE&amp;creator=factset&amp;DOC_NAME=fat:reuters_semi_source_window.fat&amp;display_string=Audit&amp;DYN_ARGS=TRUE&amp;VAR:ID1=596787&amp;VAR:RCODE=FDSENTRPRVAL&amp;VAR:SDATE=39355&amp;VAR:FREQ=Daily&amp;VAR:RELITEM=&amp;VAR:CURRENCY=EUR&amp;VAR:CURRSOURCE=EX","SHARE&amp;VAR:NATFREQ=FSA&amp;VAR:RFIELD=FINALIZED&amp;VAR:DB_TYPE=&amp;VAR:UNITS=M&amp;window=popup&amp;width=450&amp;height=300&amp;START_MAXIMIZED=FALSE"}</definedName>
    <definedName name="_1002__FDSAUDITLINK__" localSheetId="6" hidden="1">{"fdsup://Directions/FAT Viewer?action=UPDATE&amp;creator=factset&amp;DOC_NAME=fat:reuters_semi_source_window.fat&amp;display_string=Audit&amp;DYN_ARGS=TRUE&amp;VAR:ID1=596787&amp;VAR:RCODE=FDSENTRPRVAL&amp;VAR:SDATE=39355&amp;VAR:FREQ=Daily&amp;VAR:RELITEM=&amp;VAR:CURRENCY=EUR&amp;VAR:CURRSOURCE=EX","SHARE&amp;VAR:NATFREQ=FSA&amp;VAR:RFIELD=FINALIZED&amp;VAR:DB_TYPE=&amp;VAR:UNITS=M&amp;window=popup&amp;width=450&amp;height=300&amp;START_MAXIMIZED=FALSE"}</definedName>
    <definedName name="_1002__FDSAUDITLINK__" hidden="1">{"fdsup://Directions/FAT Viewer?action=UPDATE&amp;creator=factset&amp;DOC_NAME=fat:reuters_semi_source_window.fat&amp;display_string=Audit&amp;DYN_ARGS=TRUE&amp;VAR:ID1=596787&amp;VAR:RCODE=FDSENTRPRVAL&amp;VAR:SDATE=39355&amp;VAR:FREQ=Daily&amp;VAR:RELITEM=&amp;VAR:CURRENCY=EUR&amp;VAR:CURRSOURCE=EX","SHARE&amp;VAR:NATFREQ=FSA&amp;VAR:RFIELD=FINALIZED&amp;VAR:DB_TYPE=&amp;VAR:UNITS=M&amp;window=popup&amp;width=450&amp;height=300&amp;START_MAXIMIZED=FALSE"}</definedName>
    <definedName name="_1003__123Graph_LBL_DCHART_37" hidden="1">#REF!</definedName>
    <definedName name="_1003__FDSAUDITLINK__" localSheetId="0" hidden="1">{"fdsup://Directions/FAT Viewer?action=UPDATE&amp;creator=factset&amp;DOC_NAME=fat:reuters_semi_source_window.fat&amp;display_string=Audit&amp;DYN_ARGS=TRUE&amp;VAR:ID1=596787&amp;VAR:RCODE=FDSENTRPRVAL&amp;VAR:SDATE=39447&amp;VAR:FREQ=Daily&amp;VAR:RELITEM=&amp;VAR:CURRENCY=EUR&amp;VAR:CURRSOURCE=EX","SHARE&amp;VAR:NATFREQ=FSA&amp;VAR:RFIELD=FINALIZED&amp;VAR:DB_TYPE=&amp;VAR:UNITS=M&amp;window=popup&amp;width=450&amp;height=300&amp;START_MAXIMIZED=FALSE"}</definedName>
    <definedName name="_1003__FDSAUDITLINK__" localSheetId="6" hidden="1">{"fdsup://Directions/FAT Viewer?action=UPDATE&amp;creator=factset&amp;DOC_NAME=fat:reuters_semi_source_window.fat&amp;display_string=Audit&amp;DYN_ARGS=TRUE&amp;VAR:ID1=596787&amp;VAR:RCODE=FDSENTRPRVAL&amp;VAR:SDATE=39447&amp;VAR:FREQ=Daily&amp;VAR:RELITEM=&amp;VAR:CURRENCY=EUR&amp;VAR:CURRSOURCE=EX","SHARE&amp;VAR:NATFREQ=FSA&amp;VAR:RFIELD=FINALIZED&amp;VAR:DB_TYPE=&amp;VAR:UNITS=M&amp;window=popup&amp;width=450&amp;height=300&amp;START_MAXIMIZED=FALSE"}</definedName>
    <definedName name="_1003__FDSAUDITLINK__" hidden="1">{"fdsup://Directions/FAT Viewer?action=UPDATE&amp;creator=factset&amp;DOC_NAME=fat:reuters_semi_source_window.fat&amp;display_string=Audit&amp;DYN_ARGS=TRUE&amp;VAR:ID1=596787&amp;VAR:RCODE=FDSENTRPRVAL&amp;VAR:SDATE=39447&amp;VAR:FREQ=Daily&amp;VAR:RELITEM=&amp;VAR:CURRENCY=EUR&amp;VAR:CURRSOURCE=EX","SHARE&amp;VAR:NATFREQ=FSA&amp;VAR:RFIELD=FINALIZED&amp;VAR:DB_TYPE=&amp;VAR:UNITS=M&amp;window=popup&amp;width=450&amp;height=300&amp;START_MAXIMIZED=FALSE"}</definedName>
    <definedName name="_1004__FDSAUDITLINK__" localSheetId="0" hidden="1">{"fdsup://Directions/FAT Viewer?action=UPDATE&amp;creator=factset&amp;DOC_NAME=fat:reuters_semi_source_window.fat&amp;display_string=Audit&amp;DYN_ARGS=TRUE&amp;VAR:ID1=596787&amp;VAR:RCODE=FDSENTRPRVAL&amp;VAR:SDATE=39538&amp;VAR:FREQ=Daily&amp;VAR:RELITEM=&amp;VAR:CURRENCY=EUR&amp;VAR:CURRSOURCE=EX","SHARE&amp;VAR:NATFREQ=FSA&amp;VAR:RFIELD=FINALIZED&amp;VAR:DB_TYPE=&amp;VAR:UNITS=M&amp;window=popup&amp;width=450&amp;height=300&amp;START_MAXIMIZED=FALSE"}</definedName>
    <definedName name="_1004__FDSAUDITLINK__" localSheetId="6" hidden="1">{"fdsup://Directions/FAT Viewer?action=UPDATE&amp;creator=factset&amp;DOC_NAME=fat:reuters_semi_source_window.fat&amp;display_string=Audit&amp;DYN_ARGS=TRUE&amp;VAR:ID1=596787&amp;VAR:RCODE=FDSENTRPRVAL&amp;VAR:SDATE=39538&amp;VAR:FREQ=Daily&amp;VAR:RELITEM=&amp;VAR:CURRENCY=EUR&amp;VAR:CURRSOURCE=EX","SHARE&amp;VAR:NATFREQ=FSA&amp;VAR:RFIELD=FINALIZED&amp;VAR:DB_TYPE=&amp;VAR:UNITS=M&amp;window=popup&amp;width=450&amp;height=300&amp;START_MAXIMIZED=FALSE"}</definedName>
    <definedName name="_1004__FDSAUDITLINK__" hidden="1">{"fdsup://Directions/FAT Viewer?action=UPDATE&amp;creator=factset&amp;DOC_NAME=fat:reuters_semi_source_window.fat&amp;display_string=Audit&amp;DYN_ARGS=TRUE&amp;VAR:ID1=596787&amp;VAR:RCODE=FDSENTRPRVAL&amp;VAR:SDATE=39538&amp;VAR:FREQ=Daily&amp;VAR:RELITEM=&amp;VAR:CURRENCY=EUR&amp;VAR:CURRSOURCE=EX","SHARE&amp;VAR:NATFREQ=FSA&amp;VAR:RFIELD=FINALIZED&amp;VAR:DB_TYPE=&amp;VAR:UNITS=M&amp;window=popup&amp;width=450&amp;height=300&amp;START_MAXIMIZED=FALSE"}</definedName>
    <definedName name="_1005__FDSAUDITLINK__" localSheetId="0" hidden="1">{"fdsup://directions/FAT Viewer?action=UPDATE&amp;creator=factSet&amp;DYN_ARGS=true&amp;DOC_NAME=FAT:RGQ_ENTRPR_VAL_EV_SOURCE_WINDOW.FAT&amp;VAR:ID1=ORC-SE&amp;window=popup&amp;width=535&amp;height=425&amp;START_MAXIMIZED=FALSE&amp;Y=120"}</definedName>
    <definedName name="_1005__FDSAUDITLINK__" localSheetId="6" hidden="1">{"fdsup://directions/FAT Viewer?action=UPDATE&amp;creator=factSet&amp;DYN_ARGS=true&amp;DOC_NAME=FAT:RGQ_ENTRPR_VAL_EV_SOURCE_WINDOW.FAT&amp;VAR:ID1=ORC-SE&amp;window=popup&amp;width=535&amp;height=425&amp;START_MAXIMIZED=FALSE&amp;Y=120"}</definedName>
    <definedName name="_1005__FDSAUDITLINK__" hidden="1">{"fdsup://directions/FAT Viewer?action=UPDATE&amp;creator=factSet&amp;DYN_ARGS=true&amp;DOC_NAME=FAT:RGQ_ENTRPR_VAL_EV_SOURCE_WINDOW.FAT&amp;VAR:ID1=ORC-SE&amp;window=popup&amp;width=535&amp;height=425&amp;START_MAXIMIZED=FALSE&amp;Y=120"}</definedName>
    <definedName name="_1006__FDSAUDITLINK__" localSheetId="0" hidden="1">{"fdsup://directions/FAT Viewer?action=UPDATE&amp;creator=factSet&amp;DYN_ARGS=true&amp;DOC_NAME=FAT:RGQ_ENTRPR_VAL_EV_SOURCE_WINDOW.FAT&amp;VAR:ID1=ORC-SE&amp;window=popup&amp;width=535&amp;height=425&amp;START_MAXIMIZED=FALSE&amp;Y=120"}</definedName>
    <definedName name="_1006__FDSAUDITLINK__" localSheetId="6" hidden="1">{"fdsup://directions/FAT Viewer?action=UPDATE&amp;creator=factSet&amp;DYN_ARGS=true&amp;DOC_NAME=FAT:RGQ_ENTRPR_VAL_EV_SOURCE_WINDOW.FAT&amp;VAR:ID1=ORC-SE&amp;window=popup&amp;width=535&amp;height=425&amp;START_MAXIMIZED=FALSE&amp;Y=120"}</definedName>
    <definedName name="_1006__FDSAUDITLINK__" hidden="1">{"fdsup://directions/FAT Viewer?action=UPDATE&amp;creator=factSet&amp;DYN_ARGS=true&amp;DOC_NAME=FAT:RGQ_ENTRPR_VAL_EV_SOURCE_WINDOW.FAT&amp;VAR:ID1=ORC-SE&amp;window=popup&amp;width=535&amp;height=425&amp;START_MAXIMIZED=FALSE&amp;Y=120"}</definedName>
    <definedName name="_1007__FDSAUDITLINK__" localSheetId="0" hidden="1">{"fdsup://directions/FAT Viewer?action=UPDATE&amp;creator=factSet&amp;DYN_ARGS=true&amp;DOC_NAME=FAT:RGQ_ENTRPR_VAL_EV_SOURCE_WINDOW.FAT&amp;VAR:ID1=ORC-SE&amp;window=popup&amp;width=535&amp;height=425&amp;START_MAXIMIZED=FALSE&amp;Y=120"}</definedName>
    <definedName name="_1007__FDSAUDITLINK__" localSheetId="6" hidden="1">{"fdsup://directions/FAT Viewer?action=UPDATE&amp;creator=factSet&amp;DYN_ARGS=true&amp;DOC_NAME=FAT:RGQ_ENTRPR_VAL_EV_SOURCE_WINDOW.FAT&amp;VAR:ID1=ORC-SE&amp;window=popup&amp;width=535&amp;height=425&amp;START_MAXIMIZED=FALSE&amp;Y=120"}</definedName>
    <definedName name="_1007__FDSAUDITLINK__" hidden="1">{"fdsup://directions/FAT Viewer?action=UPDATE&amp;creator=factSet&amp;DYN_ARGS=true&amp;DOC_NAME=FAT:RGQ_ENTRPR_VAL_EV_SOURCE_WINDOW.FAT&amp;VAR:ID1=ORC-SE&amp;window=popup&amp;width=535&amp;height=425&amp;START_MAXIMIZED=FALSE&amp;Y=120"}</definedName>
    <definedName name="_1008__FDSAUDITLINK__" localSheetId="0" hidden="1">{"fdsup://directions/FAT Viewer?action=UPDATE&amp;creator=factSet&amp;DYN_ARGS=true&amp;DOC_NAME=FAT:RGQ_ENTRPR_VAL_EV_SOURCE_WINDOW.FAT&amp;VAR:ID1=ORC-SE&amp;window=popup&amp;width=535&amp;height=425&amp;START_MAXIMIZED=FALSE&amp;Y=120"}</definedName>
    <definedName name="_1008__FDSAUDITLINK__" localSheetId="6" hidden="1">{"fdsup://directions/FAT Viewer?action=UPDATE&amp;creator=factSet&amp;DYN_ARGS=true&amp;DOC_NAME=FAT:RGQ_ENTRPR_VAL_EV_SOURCE_WINDOW.FAT&amp;VAR:ID1=ORC-SE&amp;window=popup&amp;width=535&amp;height=425&amp;START_MAXIMIZED=FALSE&amp;Y=120"}</definedName>
    <definedName name="_1008__FDSAUDITLINK__" hidden="1">{"fdsup://directions/FAT Viewer?action=UPDATE&amp;creator=factSet&amp;DYN_ARGS=true&amp;DOC_NAME=FAT:RGQ_ENTRPR_VAL_EV_SOURCE_WINDOW.FAT&amp;VAR:ID1=ORC-SE&amp;window=popup&amp;width=535&amp;height=425&amp;START_MAXIMIZED=FALSE&amp;Y=120"}</definedName>
    <definedName name="_1009__FDSAUDITLINK__" localSheetId="0" hidden="1">{"fdsup://directions/FAT Viewer?action=UPDATE&amp;creator=factSet&amp;DYN_ARGS=true&amp;DOC_NAME=FAT:RGQ_ENTRPR_VAL_EV_SOURCE_WINDOW.FAT&amp;VAR:ID1=ORC-SE&amp;window=popup&amp;width=535&amp;height=425&amp;START_MAXIMIZED=FALSE&amp;Y=120"}</definedName>
    <definedName name="_1009__FDSAUDITLINK__" localSheetId="6" hidden="1">{"fdsup://directions/FAT Viewer?action=UPDATE&amp;creator=factSet&amp;DYN_ARGS=true&amp;DOC_NAME=FAT:RGQ_ENTRPR_VAL_EV_SOURCE_WINDOW.FAT&amp;VAR:ID1=ORC-SE&amp;window=popup&amp;width=535&amp;height=425&amp;START_MAXIMIZED=FALSE&amp;Y=120"}</definedName>
    <definedName name="_1009__FDSAUDITLINK__" hidden="1">{"fdsup://directions/FAT Viewer?action=UPDATE&amp;creator=factSet&amp;DYN_ARGS=true&amp;DOC_NAME=FAT:RGQ_ENTRPR_VAL_EV_SOURCE_WINDOW.FAT&amp;VAR:ID1=ORC-SE&amp;window=popup&amp;width=535&amp;height=425&amp;START_MAXIMIZED=FALSE&amp;Y=120"}</definedName>
    <definedName name="_101__FDSAUDITLINK__" localSheetId="0" hidden="1">{"fdsup://directions/FAT Viewer?action=UPDATE&amp;creator=factSet&amp;DYN_ARGS=true&amp;DOC_NAME=FAT:RGA_ENTRPR_VAL_EV_SOURCE_WINDOW.FAT&amp;VAR:ID1=GLT-FR&amp;window=popup&amp;width=535&amp;height=425&amp;START_MAXIMIZED=FALSE&amp;Y=120"}</definedName>
    <definedName name="_101__FDSAUDITLINK__" localSheetId="6" hidden="1">{"fdsup://directions/FAT Viewer?action=UPDATE&amp;creator=factSet&amp;DYN_ARGS=true&amp;DOC_NAME=FAT:RGA_ENTRPR_VAL_EV_SOURCE_WINDOW.FAT&amp;VAR:ID1=GLT-FR&amp;window=popup&amp;width=535&amp;height=425&amp;START_MAXIMIZED=FALSE&amp;Y=120"}</definedName>
    <definedName name="_101__FDSAUDITLINK__" hidden="1">{"fdsup://directions/FAT Viewer?action=UPDATE&amp;creator=factSet&amp;DYN_ARGS=true&amp;DOC_NAME=FAT:RGA_ENTRPR_VAL_EV_SOURCE_WINDOW.FAT&amp;VAR:ID1=GLT-FR&amp;window=popup&amp;width=535&amp;height=425&amp;START_MAXIMIZED=FALSE&amp;Y=120"}</definedName>
    <definedName name="_1010__FDSAUDITLINK__" localSheetId="0" hidden="1">{"fdsup://directions/FAT Viewer?action=UPDATE&amp;creator=factSet&amp;DYN_ARGS=true&amp;DOC_NAME=FAT:RGQ_ENTRPR_VAL_EV_SOURCE_WINDOW.FAT&amp;VAR:ID1=ORC-SE&amp;window=popup&amp;width=535&amp;height=425&amp;START_MAXIMIZED=FALSE&amp;Y=120"}</definedName>
    <definedName name="_1010__FDSAUDITLINK__" localSheetId="6" hidden="1">{"fdsup://directions/FAT Viewer?action=UPDATE&amp;creator=factSet&amp;DYN_ARGS=true&amp;DOC_NAME=FAT:RGQ_ENTRPR_VAL_EV_SOURCE_WINDOW.FAT&amp;VAR:ID1=ORC-SE&amp;window=popup&amp;width=535&amp;height=425&amp;START_MAXIMIZED=FALSE&amp;Y=120"}</definedName>
    <definedName name="_1010__FDSAUDITLINK__" hidden="1">{"fdsup://directions/FAT Viewer?action=UPDATE&amp;creator=factSet&amp;DYN_ARGS=true&amp;DOC_NAME=FAT:RGQ_ENTRPR_VAL_EV_SOURCE_WINDOW.FAT&amp;VAR:ID1=ORC-SE&amp;window=popup&amp;width=535&amp;height=425&amp;START_MAXIMIZED=FALSE&amp;Y=120"}</definedName>
    <definedName name="_1011__FDSAUDITLINK__" localSheetId="0" hidden="1">{"fdsup://directions/FAT Viewer?action=UPDATE&amp;creator=factSet&amp;DYN_ARGS=true&amp;DOC_NAME=FAT:RGQ_ENTRPR_VAL_EV_SOURCE_WINDOW.FAT&amp;VAR:ID1=ORC-SE&amp;window=popup&amp;width=535&amp;height=425&amp;START_MAXIMIZED=FALSE&amp;Y=120"}</definedName>
    <definedName name="_1011__FDSAUDITLINK__" localSheetId="6" hidden="1">{"fdsup://directions/FAT Viewer?action=UPDATE&amp;creator=factSet&amp;DYN_ARGS=true&amp;DOC_NAME=FAT:RGQ_ENTRPR_VAL_EV_SOURCE_WINDOW.FAT&amp;VAR:ID1=ORC-SE&amp;window=popup&amp;width=535&amp;height=425&amp;START_MAXIMIZED=FALSE&amp;Y=120"}</definedName>
    <definedName name="_1011__FDSAUDITLINK__" hidden="1">{"fdsup://directions/FAT Viewer?action=UPDATE&amp;creator=factSet&amp;DYN_ARGS=true&amp;DOC_NAME=FAT:RGQ_ENTRPR_VAL_EV_SOURCE_WINDOW.FAT&amp;VAR:ID1=ORC-SE&amp;window=popup&amp;width=535&amp;height=425&amp;START_MAXIMIZED=FALSE&amp;Y=120"}</definedName>
    <definedName name="_1012__FDSAUDITLINK__" localSheetId="0" hidden="1">{"fdsup://directions/FAT Viewer?action=UPDATE&amp;creator=factSet&amp;DYN_ARGS=true&amp;DOC_NAME=FAT:RGQ_ENTRPR_VAL_EV_SOURCE_WINDOW.FAT&amp;VAR:ID1=ORC-SE&amp;window=popup&amp;width=535&amp;height=425&amp;START_MAXIMIZED=FALSE&amp;Y=120"}</definedName>
    <definedName name="_1012__FDSAUDITLINK__" localSheetId="6" hidden="1">{"fdsup://directions/FAT Viewer?action=UPDATE&amp;creator=factSet&amp;DYN_ARGS=true&amp;DOC_NAME=FAT:RGQ_ENTRPR_VAL_EV_SOURCE_WINDOW.FAT&amp;VAR:ID1=ORC-SE&amp;window=popup&amp;width=535&amp;height=425&amp;START_MAXIMIZED=FALSE&amp;Y=120"}</definedName>
    <definedName name="_1012__FDSAUDITLINK__" hidden="1">{"fdsup://directions/FAT Viewer?action=UPDATE&amp;creator=factSet&amp;DYN_ARGS=true&amp;DOC_NAME=FAT:RGQ_ENTRPR_VAL_EV_SOURCE_WINDOW.FAT&amp;VAR:ID1=ORC-SE&amp;window=popup&amp;width=535&amp;height=425&amp;START_MAXIMIZED=FALSE&amp;Y=120"}</definedName>
    <definedName name="_1013__FDSAUDITLINK__" localSheetId="0" hidden="1">{"fdsup://directions/FAT Viewer?action=UPDATE&amp;creator=factSet&amp;DYN_ARGS=true&amp;DOC_NAME=FAT:RGQ_ENTRPR_VAL_EV_SOURCE_WINDOW.FAT&amp;VAR:ID1=ORC-SE&amp;window=popup&amp;width=535&amp;height=425&amp;START_MAXIMIZED=FALSE&amp;Y=120"}</definedName>
    <definedName name="_1013__FDSAUDITLINK__" localSheetId="6" hidden="1">{"fdsup://directions/FAT Viewer?action=UPDATE&amp;creator=factSet&amp;DYN_ARGS=true&amp;DOC_NAME=FAT:RGQ_ENTRPR_VAL_EV_SOURCE_WINDOW.FAT&amp;VAR:ID1=ORC-SE&amp;window=popup&amp;width=535&amp;height=425&amp;START_MAXIMIZED=FALSE&amp;Y=120"}</definedName>
    <definedName name="_1013__FDSAUDITLINK__" hidden="1">{"fdsup://directions/FAT Viewer?action=UPDATE&amp;creator=factSet&amp;DYN_ARGS=true&amp;DOC_NAME=FAT:RGQ_ENTRPR_VAL_EV_SOURCE_WINDOW.FAT&amp;VAR:ID1=ORC-SE&amp;window=popup&amp;width=535&amp;height=425&amp;START_MAXIMIZED=FALSE&amp;Y=120"}</definedName>
    <definedName name="_1014__FDSAUDITLINK__" localSheetId="0" hidden="1">{"fdsup://directions/FAT Viewer?action=UPDATE&amp;creator=factSet&amp;DYN_ARGS=true&amp;DOC_NAME=FAT:RGQ_ENTRPR_VAL_EV_SOURCE_WINDOW.FAT&amp;VAR:ID1=ORC-SE&amp;window=popup&amp;width=535&amp;height=425&amp;START_MAXIMIZED=FALSE&amp;Y=120"}</definedName>
    <definedName name="_1014__FDSAUDITLINK__" localSheetId="6" hidden="1">{"fdsup://directions/FAT Viewer?action=UPDATE&amp;creator=factSet&amp;DYN_ARGS=true&amp;DOC_NAME=FAT:RGQ_ENTRPR_VAL_EV_SOURCE_WINDOW.FAT&amp;VAR:ID1=ORC-SE&amp;window=popup&amp;width=535&amp;height=425&amp;START_MAXIMIZED=FALSE&amp;Y=120"}</definedName>
    <definedName name="_1014__FDSAUDITLINK__" hidden="1">{"fdsup://directions/FAT Viewer?action=UPDATE&amp;creator=factSet&amp;DYN_ARGS=true&amp;DOC_NAME=FAT:RGQ_ENTRPR_VAL_EV_SOURCE_WINDOW.FAT&amp;VAR:ID1=ORC-SE&amp;window=popup&amp;width=535&amp;height=425&amp;START_MAXIMIZED=FALSE&amp;Y=120"}</definedName>
    <definedName name="_1015__FDSAUDITLINK__" localSheetId="0" hidden="1">{"fdsup://directions/FAT Viewer?action=UPDATE&amp;creator=factSet&amp;DYN_ARGS=true&amp;DOC_NAME=FAT:RGQ_ENTRPR_VAL_EV_SOURCE_WINDOW.FAT&amp;VAR:ID1=ORC-SE&amp;window=popup&amp;width=535&amp;height=425&amp;START_MAXIMIZED=FALSE&amp;Y=120"}</definedName>
    <definedName name="_1015__FDSAUDITLINK__" localSheetId="6" hidden="1">{"fdsup://directions/FAT Viewer?action=UPDATE&amp;creator=factSet&amp;DYN_ARGS=true&amp;DOC_NAME=FAT:RGQ_ENTRPR_VAL_EV_SOURCE_WINDOW.FAT&amp;VAR:ID1=ORC-SE&amp;window=popup&amp;width=535&amp;height=425&amp;START_MAXIMIZED=FALSE&amp;Y=120"}</definedName>
    <definedName name="_1015__FDSAUDITLINK__" hidden="1">{"fdsup://directions/FAT Viewer?action=UPDATE&amp;creator=factSet&amp;DYN_ARGS=true&amp;DOC_NAME=FAT:RGQ_ENTRPR_VAL_EV_SOURCE_WINDOW.FAT&amp;VAR:ID1=ORC-SE&amp;window=popup&amp;width=535&amp;height=425&amp;START_MAXIMIZED=FALSE&amp;Y=120"}</definedName>
    <definedName name="_1016__123Graph_LBL_DCHART_39" hidden="1">#REF!</definedName>
    <definedName name="_1016__FDSAUDITLINK__" localSheetId="0" hidden="1">{"fdsup://directions/FAT Viewer?action=UPDATE&amp;creator=factSet&amp;DYN_ARGS=true&amp;DOC_NAME=FAT:RGQ_ENTRPR_VAL_EV_SOURCE_WINDOW.FAT&amp;VAR:ID1=ORC-SE&amp;window=popup&amp;width=535&amp;height=425&amp;START_MAXIMIZED=FALSE&amp;Y=120"}</definedName>
    <definedName name="_1016__FDSAUDITLINK__" localSheetId="6" hidden="1">{"fdsup://directions/FAT Viewer?action=UPDATE&amp;creator=factSet&amp;DYN_ARGS=true&amp;DOC_NAME=FAT:RGQ_ENTRPR_VAL_EV_SOURCE_WINDOW.FAT&amp;VAR:ID1=ORC-SE&amp;window=popup&amp;width=535&amp;height=425&amp;START_MAXIMIZED=FALSE&amp;Y=120"}</definedName>
    <definedName name="_1016__FDSAUDITLINK__" hidden="1">{"fdsup://directions/FAT Viewer?action=UPDATE&amp;creator=factSet&amp;DYN_ARGS=true&amp;DOC_NAME=FAT:RGQ_ENTRPR_VAL_EV_SOURCE_WINDOW.FAT&amp;VAR:ID1=ORC-SE&amp;window=popup&amp;width=535&amp;height=425&amp;START_MAXIMIZED=FALSE&amp;Y=120"}</definedName>
    <definedName name="_1017__FDSAUDITLINK__" localSheetId="0" hidden="1">{"fdsup://directions/FAT Viewer?action=UPDATE&amp;creator=factSet&amp;DYN_ARGS=true&amp;DOC_NAME=FAT:RGQ_ENTRPR_VAL_EV_SOURCE_WINDOW.FAT&amp;VAR:ID1=ORC-SE&amp;window=popup&amp;width=535&amp;height=425&amp;START_MAXIMIZED=FALSE&amp;Y=120"}</definedName>
    <definedName name="_1017__FDSAUDITLINK__" localSheetId="6" hidden="1">{"fdsup://directions/FAT Viewer?action=UPDATE&amp;creator=factSet&amp;DYN_ARGS=true&amp;DOC_NAME=FAT:RGQ_ENTRPR_VAL_EV_SOURCE_WINDOW.FAT&amp;VAR:ID1=ORC-SE&amp;window=popup&amp;width=535&amp;height=425&amp;START_MAXIMIZED=FALSE&amp;Y=120"}</definedName>
    <definedName name="_1017__FDSAUDITLINK__" hidden="1">{"fdsup://directions/FAT Viewer?action=UPDATE&amp;creator=factSet&amp;DYN_ARGS=true&amp;DOC_NAME=FAT:RGQ_ENTRPR_VAL_EV_SOURCE_WINDOW.FAT&amp;VAR:ID1=ORC-SE&amp;window=popup&amp;width=535&amp;height=425&amp;START_MAXIMIZED=FALSE&amp;Y=120"}</definedName>
    <definedName name="_1018__FDSAUDITLINK__" localSheetId="0" hidden="1">{"fdsup://directions/FAT Viewer?action=UPDATE&amp;creator=factSet&amp;DYN_ARGS=true&amp;DOC_NAME=FAT:RGQ_ENTRPR_VAL_EV_SOURCE_WINDOW.FAT&amp;VAR:ID1=ORC-SE&amp;window=popup&amp;width=535&amp;height=425&amp;START_MAXIMIZED=FALSE&amp;Y=120"}</definedName>
    <definedName name="_1018__FDSAUDITLINK__" localSheetId="6" hidden="1">{"fdsup://directions/FAT Viewer?action=UPDATE&amp;creator=factSet&amp;DYN_ARGS=true&amp;DOC_NAME=FAT:RGQ_ENTRPR_VAL_EV_SOURCE_WINDOW.FAT&amp;VAR:ID1=ORC-SE&amp;window=popup&amp;width=535&amp;height=425&amp;START_MAXIMIZED=FALSE&amp;Y=120"}</definedName>
    <definedName name="_1018__FDSAUDITLINK__" hidden="1">{"fdsup://directions/FAT Viewer?action=UPDATE&amp;creator=factSet&amp;DYN_ARGS=true&amp;DOC_NAME=FAT:RGQ_ENTRPR_VAL_EV_SOURCE_WINDOW.FAT&amp;VAR:ID1=ORC-SE&amp;window=popup&amp;width=535&amp;height=425&amp;START_MAXIMIZED=FALSE&amp;Y=120"}</definedName>
    <definedName name="_1019__FDSAUDITLINK__" localSheetId="0" hidden="1">{"fdsup://directions/FAT Viewer?action=UPDATE&amp;creator=factSet&amp;DYN_ARGS=true&amp;DOC_NAME=FAT:RGQ_ENTRPR_VAL_EV_SOURCE_WINDOW.FAT&amp;VAR:ID1=ORC-SE&amp;window=popup&amp;width=535&amp;height=425&amp;START_MAXIMIZED=FALSE&amp;Y=120"}</definedName>
    <definedName name="_1019__FDSAUDITLINK__" localSheetId="6" hidden="1">{"fdsup://directions/FAT Viewer?action=UPDATE&amp;creator=factSet&amp;DYN_ARGS=true&amp;DOC_NAME=FAT:RGQ_ENTRPR_VAL_EV_SOURCE_WINDOW.FAT&amp;VAR:ID1=ORC-SE&amp;window=popup&amp;width=535&amp;height=425&amp;START_MAXIMIZED=FALSE&amp;Y=120"}</definedName>
    <definedName name="_1019__FDSAUDITLINK__" hidden="1">{"fdsup://directions/FAT Viewer?action=UPDATE&amp;creator=factSet&amp;DYN_ARGS=true&amp;DOC_NAME=FAT:RGQ_ENTRPR_VAL_EV_SOURCE_WINDOW.FAT&amp;VAR:ID1=ORC-SE&amp;window=popup&amp;width=535&amp;height=425&amp;START_MAXIMIZED=FALSE&amp;Y=120"}</definedName>
    <definedName name="_102__FDSAUDITLINK__" localSheetId="0" hidden="1">{"fdsup://directions/FAT Viewer?action=UPDATE&amp;creator=factSet&amp;DYN_ARGS=true&amp;DOC_NAME=FAT:RGA_ENTRPR_VAL_EV_SOURCE_WINDOW.FAT&amp;VAR:ID1=GLT-FR&amp;window=popup&amp;width=535&amp;height=425&amp;START_MAXIMIZED=FALSE&amp;Y=120"}</definedName>
    <definedName name="_102__FDSAUDITLINK__" localSheetId="6" hidden="1">{"fdsup://directions/FAT Viewer?action=UPDATE&amp;creator=factSet&amp;DYN_ARGS=true&amp;DOC_NAME=FAT:RGA_ENTRPR_VAL_EV_SOURCE_WINDOW.FAT&amp;VAR:ID1=GLT-FR&amp;window=popup&amp;width=535&amp;height=425&amp;START_MAXIMIZED=FALSE&amp;Y=120"}</definedName>
    <definedName name="_102__FDSAUDITLINK__" hidden="1">{"fdsup://directions/FAT Viewer?action=UPDATE&amp;creator=factSet&amp;DYN_ARGS=true&amp;DOC_NAME=FAT:RGA_ENTRPR_VAL_EV_SOURCE_WINDOW.FAT&amp;VAR:ID1=GLT-FR&amp;window=popup&amp;width=535&amp;height=425&amp;START_MAXIMIZED=FALSE&amp;Y=120"}</definedName>
    <definedName name="_1020__FDSAUDITLINK__" localSheetId="0" hidden="1">{"fdsup://directions/FAT Viewer?action=UPDATE&amp;creator=factSet&amp;DYN_ARGS=true&amp;DOC_NAME=FAT:RGQ_ENTRPR_VAL_EV_SOURCE_WINDOW.FAT&amp;VAR:ID1=ORC-SE&amp;window=popup&amp;width=535&amp;height=425&amp;START_MAXIMIZED=FALSE&amp;Y=120"}</definedName>
    <definedName name="_1020__FDSAUDITLINK__" localSheetId="6" hidden="1">{"fdsup://directions/FAT Viewer?action=UPDATE&amp;creator=factSet&amp;DYN_ARGS=true&amp;DOC_NAME=FAT:RGQ_ENTRPR_VAL_EV_SOURCE_WINDOW.FAT&amp;VAR:ID1=ORC-SE&amp;window=popup&amp;width=535&amp;height=425&amp;START_MAXIMIZED=FALSE&amp;Y=120"}</definedName>
    <definedName name="_1020__FDSAUDITLINK__" hidden="1">{"fdsup://directions/FAT Viewer?action=UPDATE&amp;creator=factSet&amp;DYN_ARGS=true&amp;DOC_NAME=FAT:RGQ_ENTRPR_VAL_EV_SOURCE_WINDOW.FAT&amp;VAR:ID1=ORC-SE&amp;window=popup&amp;width=535&amp;height=425&amp;START_MAXIMIZED=FALSE&amp;Y=120"}</definedName>
    <definedName name="_1021__FDSAUDITLINK__" localSheetId="0" hidden="1">{"fdsup://directions/FAT Viewer?action=UPDATE&amp;creator=factSet&amp;DYN_ARGS=true&amp;DOC_NAME=FAT:RGQ_ENTRPR_VAL_EV_SOURCE_WINDOW.FAT&amp;VAR:ID1=ORC-SE&amp;window=popup&amp;width=535&amp;height=425&amp;START_MAXIMIZED=FALSE&amp;Y=120"}</definedName>
    <definedName name="_1021__FDSAUDITLINK__" localSheetId="6" hidden="1">{"fdsup://directions/FAT Viewer?action=UPDATE&amp;creator=factSet&amp;DYN_ARGS=true&amp;DOC_NAME=FAT:RGQ_ENTRPR_VAL_EV_SOURCE_WINDOW.FAT&amp;VAR:ID1=ORC-SE&amp;window=popup&amp;width=535&amp;height=425&amp;START_MAXIMIZED=FALSE&amp;Y=120"}</definedName>
    <definedName name="_1021__FDSAUDITLINK__" hidden="1">{"fdsup://directions/FAT Viewer?action=UPDATE&amp;creator=factSet&amp;DYN_ARGS=true&amp;DOC_NAME=FAT:RGQ_ENTRPR_VAL_EV_SOURCE_WINDOW.FAT&amp;VAR:ID1=ORC-SE&amp;window=popup&amp;width=535&amp;height=425&amp;START_MAXIMIZED=FALSE&amp;Y=120"}</definedName>
    <definedName name="_1022__FDSAUDITLINK__" localSheetId="0" hidden="1">{"fdsup://directions/FAT Viewer?action=UPDATE&amp;creator=factSet&amp;DYN_ARGS=true&amp;DOC_NAME=FAT:RGQ_ENTRPR_VAL_EV_SOURCE_WINDOW.FAT&amp;VAR:ID1=ORC-SE&amp;window=popup&amp;width=535&amp;height=425&amp;START_MAXIMIZED=FALSE&amp;Y=120"}</definedName>
    <definedName name="_1022__FDSAUDITLINK__" localSheetId="6" hidden="1">{"fdsup://directions/FAT Viewer?action=UPDATE&amp;creator=factSet&amp;DYN_ARGS=true&amp;DOC_NAME=FAT:RGQ_ENTRPR_VAL_EV_SOURCE_WINDOW.FAT&amp;VAR:ID1=ORC-SE&amp;window=popup&amp;width=535&amp;height=425&amp;START_MAXIMIZED=FALSE&amp;Y=120"}</definedName>
    <definedName name="_1022__FDSAUDITLINK__" hidden="1">{"fdsup://directions/FAT Viewer?action=UPDATE&amp;creator=factSet&amp;DYN_ARGS=true&amp;DOC_NAME=FAT:RGQ_ENTRPR_VAL_EV_SOURCE_WINDOW.FAT&amp;VAR:ID1=ORC-SE&amp;window=popup&amp;width=535&amp;height=425&amp;START_MAXIMIZED=FALSE&amp;Y=120"}</definedName>
    <definedName name="_1023__FDSAUDITLINK__" localSheetId="0" hidden="1">{"fdsup://directions/FAT Viewer?action=UPDATE&amp;creator=factSet&amp;DYN_ARGS=true&amp;DOC_NAME=FAT:RGQ_ENTRPR_VAL_EV_SOURCE_WINDOW.FAT&amp;VAR:ID1=ORC-SE&amp;window=popup&amp;width=535&amp;height=425&amp;START_MAXIMIZED=FALSE&amp;Y=120"}</definedName>
    <definedName name="_1023__FDSAUDITLINK__" localSheetId="6" hidden="1">{"fdsup://directions/FAT Viewer?action=UPDATE&amp;creator=factSet&amp;DYN_ARGS=true&amp;DOC_NAME=FAT:RGQ_ENTRPR_VAL_EV_SOURCE_WINDOW.FAT&amp;VAR:ID1=ORC-SE&amp;window=popup&amp;width=535&amp;height=425&amp;START_MAXIMIZED=FALSE&amp;Y=120"}</definedName>
    <definedName name="_1023__FDSAUDITLINK__" hidden="1">{"fdsup://directions/FAT Viewer?action=UPDATE&amp;creator=factSet&amp;DYN_ARGS=true&amp;DOC_NAME=FAT:RGQ_ENTRPR_VAL_EV_SOURCE_WINDOW.FAT&amp;VAR:ID1=ORC-SE&amp;window=popup&amp;width=535&amp;height=425&amp;START_MAXIMIZED=FALSE&amp;Y=120"}</definedName>
    <definedName name="_1024__FDSAUDITLINK__" localSheetId="0" hidden="1">{"fdsup://directions/FAT Viewer?action=UPDATE&amp;creator=factSet&amp;DYN_ARGS=true&amp;DOC_NAME=FAT:RGQ_ENTRPR_VAL_EV_SOURCE_WINDOW.FAT&amp;VAR:ID1=ORC-SE&amp;window=popup&amp;width=535&amp;height=425&amp;START_MAXIMIZED=FALSE&amp;Y=120"}</definedName>
    <definedName name="_1024__FDSAUDITLINK__" localSheetId="6" hidden="1">{"fdsup://directions/FAT Viewer?action=UPDATE&amp;creator=factSet&amp;DYN_ARGS=true&amp;DOC_NAME=FAT:RGQ_ENTRPR_VAL_EV_SOURCE_WINDOW.FAT&amp;VAR:ID1=ORC-SE&amp;window=popup&amp;width=535&amp;height=425&amp;START_MAXIMIZED=FALSE&amp;Y=120"}</definedName>
    <definedName name="_1024__FDSAUDITLINK__" hidden="1">{"fdsup://directions/FAT Viewer?action=UPDATE&amp;creator=factSet&amp;DYN_ARGS=true&amp;DOC_NAME=FAT:RGQ_ENTRPR_VAL_EV_SOURCE_WINDOW.FAT&amp;VAR:ID1=ORC-SE&amp;window=popup&amp;width=535&amp;height=425&amp;START_MAXIMIZED=FALSE&amp;Y=120"}</definedName>
    <definedName name="_1025__FDSAUDITLINK__" localSheetId="0" hidden="1">{"fdsup://directions/FAT Viewer?action=UPDATE&amp;creator=factSet&amp;DYN_ARGS=true&amp;DOC_NAME=FAT:RGQ_ENTRPR_VAL_EV_SOURCE_WINDOW.FAT&amp;VAR:ID1=ORC-SE&amp;window=popup&amp;width=535&amp;height=425&amp;START_MAXIMIZED=FALSE&amp;Y=120"}</definedName>
    <definedName name="_1025__FDSAUDITLINK__" localSheetId="6" hidden="1">{"fdsup://directions/FAT Viewer?action=UPDATE&amp;creator=factSet&amp;DYN_ARGS=true&amp;DOC_NAME=FAT:RGQ_ENTRPR_VAL_EV_SOURCE_WINDOW.FAT&amp;VAR:ID1=ORC-SE&amp;window=popup&amp;width=535&amp;height=425&amp;START_MAXIMIZED=FALSE&amp;Y=120"}</definedName>
    <definedName name="_1025__FDSAUDITLINK__" hidden="1">{"fdsup://directions/FAT Viewer?action=UPDATE&amp;creator=factSet&amp;DYN_ARGS=true&amp;DOC_NAME=FAT:RGQ_ENTRPR_VAL_EV_SOURCE_WINDOW.FAT&amp;VAR:ID1=ORC-SE&amp;window=popup&amp;width=535&amp;height=425&amp;START_MAXIMIZED=FALSE&amp;Y=120"}</definedName>
    <definedName name="_1026__FDSAUDITLINK__" localSheetId="0" hidden="1">{"fdsup://Directions/FAT Viewer?action=UPDATE&amp;creator=factset&amp;DOC_NAME=fat:reuters_semi_source_window.fat&amp;display_string=Audit&amp;DYN_ARGS=TRUE&amp;VAR:ID1=075902&amp;VAR:RCODE=FDSENTRPRVAL&amp;VAR:SDATE=37711&amp;VAR:FREQ=Daily&amp;VAR:RELITEM=&amp;VAR:CURRENCY=GBP&amp;VAR:CURRSOURCE=EX","SHARE&amp;VAR:NATFREQ=FSA&amp;VAR:RFIELD=FINALIZED&amp;VAR:DB_TYPE=&amp;VAR:UNITS=M&amp;window=popup&amp;width=450&amp;height=300&amp;START_MAXIMIZED=FALSE"}</definedName>
    <definedName name="_1026__FDSAUDITLINK__" localSheetId="6" hidden="1">{"fdsup://Directions/FAT Viewer?action=UPDATE&amp;creator=factset&amp;DOC_NAME=fat:reuters_semi_source_window.fat&amp;display_string=Audit&amp;DYN_ARGS=TRUE&amp;VAR:ID1=075902&amp;VAR:RCODE=FDSENTRPRVAL&amp;VAR:SDATE=37711&amp;VAR:FREQ=Daily&amp;VAR:RELITEM=&amp;VAR:CURRENCY=GBP&amp;VAR:CURRSOURCE=EX","SHARE&amp;VAR:NATFREQ=FSA&amp;VAR:RFIELD=FINALIZED&amp;VAR:DB_TYPE=&amp;VAR:UNITS=M&amp;window=popup&amp;width=450&amp;height=300&amp;START_MAXIMIZED=FALSE"}</definedName>
    <definedName name="_1026__FDSAUDITLINK__" hidden="1">{"fdsup://Directions/FAT Viewer?action=UPDATE&amp;creator=factset&amp;DOC_NAME=fat:reuters_semi_source_window.fat&amp;display_string=Audit&amp;DYN_ARGS=TRUE&amp;VAR:ID1=075902&amp;VAR:RCODE=FDSENTRPRVAL&amp;VAR:SDATE=37711&amp;VAR:FREQ=Daily&amp;VAR:RELITEM=&amp;VAR:CURRENCY=GBP&amp;VAR:CURRSOURCE=EX","SHARE&amp;VAR:NATFREQ=FSA&amp;VAR:RFIELD=FINALIZED&amp;VAR:DB_TYPE=&amp;VAR:UNITS=M&amp;window=popup&amp;width=450&amp;height=300&amp;START_MAXIMIZED=FALSE"}</definedName>
    <definedName name="_1027__FDSAUDITLINK__" localSheetId="0" hidden="1">{"fdsup://Directions/FAT Viewer?action=UPDATE&amp;creator=factset&amp;DOC_NAME=fat:reuters_semi_source_window.fat&amp;display_string=Audit&amp;DYN_ARGS=TRUE&amp;VAR:ID1=075902&amp;VAR:RCODE=FDSENTRPRVAL&amp;VAR:SDATE=37802&amp;VAR:FREQ=Daily&amp;VAR:RELITEM=&amp;VAR:CURRENCY=GBP&amp;VAR:CURRSOURCE=EX","SHARE&amp;VAR:NATFREQ=FSA&amp;VAR:RFIELD=FINALIZED&amp;VAR:DB_TYPE=&amp;VAR:UNITS=M&amp;window=popup&amp;width=450&amp;height=300&amp;START_MAXIMIZED=FALSE"}</definedName>
    <definedName name="_1027__FDSAUDITLINK__" localSheetId="6" hidden="1">{"fdsup://Directions/FAT Viewer?action=UPDATE&amp;creator=factset&amp;DOC_NAME=fat:reuters_semi_source_window.fat&amp;display_string=Audit&amp;DYN_ARGS=TRUE&amp;VAR:ID1=075902&amp;VAR:RCODE=FDSENTRPRVAL&amp;VAR:SDATE=37802&amp;VAR:FREQ=Daily&amp;VAR:RELITEM=&amp;VAR:CURRENCY=GBP&amp;VAR:CURRSOURCE=EX","SHARE&amp;VAR:NATFREQ=FSA&amp;VAR:RFIELD=FINALIZED&amp;VAR:DB_TYPE=&amp;VAR:UNITS=M&amp;window=popup&amp;width=450&amp;height=300&amp;START_MAXIMIZED=FALSE"}</definedName>
    <definedName name="_1027__FDSAUDITLINK__" hidden="1">{"fdsup://Directions/FAT Viewer?action=UPDATE&amp;creator=factset&amp;DOC_NAME=fat:reuters_semi_source_window.fat&amp;display_string=Audit&amp;DYN_ARGS=TRUE&amp;VAR:ID1=075902&amp;VAR:RCODE=FDSENTRPRVAL&amp;VAR:SDATE=37802&amp;VAR:FREQ=Daily&amp;VAR:RELITEM=&amp;VAR:CURRENCY=GBP&amp;VAR:CURRSOURCE=EX","SHARE&amp;VAR:NATFREQ=FSA&amp;VAR:RFIELD=FINALIZED&amp;VAR:DB_TYPE=&amp;VAR:UNITS=M&amp;window=popup&amp;width=450&amp;height=300&amp;START_MAXIMIZED=FALSE"}</definedName>
    <definedName name="_1028__FDSAUDITLINK__" localSheetId="0" hidden="1">{"fdsup://Directions/FAT Viewer?action=UPDATE&amp;creator=factset&amp;DOC_NAME=fat:reuters_semi_source_window.fat&amp;display_string=Audit&amp;DYN_ARGS=TRUE&amp;VAR:ID1=075902&amp;VAR:RCODE=FDSENTRPRVAL&amp;VAR:SDATE=37894&amp;VAR:FREQ=Daily&amp;VAR:RELITEM=&amp;VAR:CURRENCY=GBP&amp;VAR:CURRSOURCE=EX","SHARE&amp;VAR:NATFREQ=FSA&amp;VAR:RFIELD=FINALIZED&amp;VAR:DB_TYPE=&amp;VAR:UNITS=M&amp;window=popup&amp;width=450&amp;height=300&amp;START_MAXIMIZED=FALSE"}</definedName>
    <definedName name="_1028__FDSAUDITLINK__" localSheetId="6" hidden="1">{"fdsup://Directions/FAT Viewer?action=UPDATE&amp;creator=factset&amp;DOC_NAME=fat:reuters_semi_source_window.fat&amp;display_string=Audit&amp;DYN_ARGS=TRUE&amp;VAR:ID1=075902&amp;VAR:RCODE=FDSENTRPRVAL&amp;VAR:SDATE=37894&amp;VAR:FREQ=Daily&amp;VAR:RELITEM=&amp;VAR:CURRENCY=GBP&amp;VAR:CURRSOURCE=EX","SHARE&amp;VAR:NATFREQ=FSA&amp;VAR:RFIELD=FINALIZED&amp;VAR:DB_TYPE=&amp;VAR:UNITS=M&amp;window=popup&amp;width=450&amp;height=300&amp;START_MAXIMIZED=FALSE"}</definedName>
    <definedName name="_1028__FDSAUDITLINK__" hidden="1">{"fdsup://Directions/FAT Viewer?action=UPDATE&amp;creator=factset&amp;DOC_NAME=fat:reuters_semi_source_window.fat&amp;display_string=Audit&amp;DYN_ARGS=TRUE&amp;VAR:ID1=075902&amp;VAR:RCODE=FDSENTRPRVAL&amp;VAR:SDATE=37894&amp;VAR:FREQ=Daily&amp;VAR:RELITEM=&amp;VAR:CURRENCY=GBP&amp;VAR:CURRSOURCE=EX","SHARE&amp;VAR:NATFREQ=FSA&amp;VAR:RFIELD=FINALIZED&amp;VAR:DB_TYPE=&amp;VAR:UNITS=M&amp;window=popup&amp;width=450&amp;height=300&amp;START_MAXIMIZED=FALSE"}</definedName>
    <definedName name="_1029__123Graph_LBL_DCHART_41" hidden="1">#REF!</definedName>
    <definedName name="_1029__FDSAUDITLINK__" localSheetId="0" hidden="1">{"fdsup://Directions/FAT Viewer?action=UPDATE&amp;creator=factset&amp;DOC_NAME=fat:reuters_semi_source_window.fat&amp;display_string=Audit&amp;DYN_ARGS=TRUE&amp;VAR:ID1=075902&amp;VAR:RCODE=FDSENTRPRVAL&amp;VAR:SDATE=37986&amp;VAR:FREQ=Daily&amp;VAR:RELITEM=&amp;VAR:CURRENCY=GBP&amp;VAR:CURRSOURCE=EX","SHARE&amp;VAR:NATFREQ=FSA&amp;VAR:RFIELD=FINALIZED&amp;VAR:DB_TYPE=&amp;VAR:UNITS=M&amp;window=popup&amp;width=450&amp;height=300&amp;START_MAXIMIZED=FALSE"}</definedName>
    <definedName name="_1029__FDSAUDITLINK__" localSheetId="6" hidden="1">{"fdsup://Directions/FAT Viewer?action=UPDATE&amp;creator=factset&amp;DOC_NAME=fat:reuters_semi_source_window.fat&amp;display_string=Audit&amp;DYN_ARGS=TRUE&amp;VAR:ID1=075902&amp;VAR:RCODE=FDSENTRPRVAL&amp;VAR:SDATE=37986&amp;VAR:FREQ=Daily&amp;VAR:RELITEM=&amp;VAR:CURRENCY=GBP&amp;VAR:CURRSOURCE=EX","SHARE&amp;VAR:NATFREQ=FSA&amp;VAR:RFIELD=FINALIZED&amp;VAR:DB_TYPE=&amp;VAR:UNITS=M&amp;window=popup&amp;width=450&amp;height=300&amp;START_MAXIMIZED=FALSE"}</definedName>
    <definedName name="_1029__FDSAUDITLINK__" hidden="1">{"fdsup://Directions/FAT Viewer?action=UPDATE&amp;creator=factset&amp;DOC_NAME=fat:reuters_semi_source_window.fat&amp;display_string=Audit&amp;DYN_ARGS=TRUE&amp;VAR:ID1=075902&amp;VAR:RCODE=FDSENTRPRVAL&amp;VAR:SDATE=37986&amp;VAR:FREQ=Daily&amp;VAR:RELITEM=&amp;VAR:CURRENCY=GBP&amp;VAR:CURRSOURCE=EX","SHARE&amp;VAR:NATFREQ=FSA&amp;VAR:RFIELD=FINALIZED&amp;VAR:DB_TYPE=&amp;VAR:UNITS=M&amp;window=popup&amp;width=450&amp;height=300&amp;START_MAXIMIZED=FALSE"}</definedName>
    <definedName name="_103__FDSAUDITLINK__" localSheetId="0" hidden="1">{"fdsup://directions/FAT Viewer?action=UPDATE&amp;creator=factSet&amp;DYN_ARGS=true&amp;DOC_NAME=FAT:RGA_ENTRPR_VAL_EV_SOURCE_WINDOW.FAT&amp;VAR:ID1=GLT-FR&amp;window=popup&amp;width=535&amp;height=425&amp;START_MAXIMIZED=FALSE&amp;Y=120"}</definedName>
    <definedName name="_103__FDSAUDITLINK__" localSheetId="6" hidden="1">{"fdsup://directions/FAT Viewer?action=UPDATE&amp;creator=factSet&amp;DYN_ARGS=true&amp;DOC_NAME=FAT:RGA_ENTRPR_VAL_EV_SOURCE_WINDOW.FAT&amp;VAR:ID1=GLT-FR&amp;window=popup&amp;width=535&amp;height=425&amp;START_MAXIMIZED=FALSE&amp;Y=120"}</definedName>
    <definedName name="_103__FDSAUDITLINK__" hidden="1">{"fdsup://directions/FAT Viewer?action=UPDATE&amp;creator=factSet&amp;DYN_ARGS=true&amp;DOC_NAME=FAT:RGA_ENTRPR_VAL_EV_SOURCE_WINDOW.FAT&amp;VAR:ID1=GLT-FR&amp;window=popup&amp;width=535&amp;height=425&amp;START_MAXIMIZED=FALSE&amp;Y=120"}</definedName>
    <definedName name="_1030__FDSAUDITLINK__" localSheetId="0" hidden="1">{"fdsup://Directions/FAT Viewer?action=UPDATE&amp;creator=factset&amp;DOC_NAME=fat:reuters_semi_source_window.fat&amp;display_string=Audit&amp;DYN_ARGS=TRUE&amp;VAR:ID1=075902&amp;VAR:RCODE=FDSENTRPRVAL&amp;VAR:SDATE=38077&amp;VAR:FREQ=Daily&amp;VAR:RELITEM=&amp;VAR:CURRENCY=GBP&amp;VAR:CURRSOURCE=EX","SHARE&amp;VAR:NATFREQ=FSA&amp;VAR:RFIELD=FINALIZED&amp;VAR:DB_TYPE=&amp;VAR:UNITS=M&amp;window=popup&amp;width=450&amp;height=300&amp;START_MAXIMIZED=FALSE"}</definedName>
    <definedName name="_1030__FDSAUDITLINK__" localSheetId="6" hidden="1">{"fdsup://Directions/FAT Viewer?action=UPDATE&amp;creator=factset&amp;DOC_NAME=fat:reuters_semi_source_window.fat&amp;display_string=Audit&amp;DYN_ARGS=TRUE&amp;VAR:ID1=075902&amp;VAR:RCODE=FDSENTRPRVAL&amp;VAR:SDATE=38077&amp;VAR:FREQ=Daily&amp;VAR:RELITEM=&amp;VAR:CURRENCY=GBP&amp;VAR:CURRSOURCE=EX","SHARE&amp;VAR:NATFREQ=FSA&amp;VAR:RFIELD=FINALIZED&amp;VAR:DB_TYPE=&amp;VAR:UNITS=M&amp;window=popup&amp;width=450&amp;height=300&amp;START_MAXIMIZED=FALSE"}</definedName>
    <definedName name="_1030__FDSAUDITLINK__" hidden="1">{"fdsup://Directions/FAT Viewer?action=UPDATE&amp;creator=factset&amp;DOC_NAME=fat:reuters_semi_source_window.fat&amp;display_string=Audit&amp;DYN_ARGS=TRUE&amp;VAR:ID1=075902&amp;VAR:RCODE=FDSENTRPRVAL&amp;VAR:SDATE=38077&amp;VAR:FREQ=Daily&amp;VAR:RELITEM=&amp;VAR:CURRENCY=GBP&amp;VAR:CURRSOURCE=EX","SHARE&amp;VAR:NATFREQ=FSA&amp;VAR:RFIELD=FINALIZED&amp;VAR:DB_TYPE=&amp;VAR:UNITS=M&amp;window=popup&amp;width=450&amp;height=300&amp;START_MAXIMIZED=FALSE"}</definedName>
    <definedName name="_1031__FDSAUDITLINK__" localSheetId="0" hidden="1">{"fdsup://Directions/FAT Viewer?action=UPDATE&amp;creator=factset&amp;DOC_NAME=fat:reuters_semi_source_window.fat&amp;display_string=Audit&amp;DYN_ARGS=TRUE&amp;VAR:ID1=075902&amp;VAR:RCODE=FDSENTRPRVAL&amp;VAR:SDATE=38168&amp;VAR:FREQ=Daily&amp;VAR:RELITEM=&amp;VAR:CURRENCY=GBP&amp;VAR:CURRSOURCE=EX","SHARE&amp;VAR:NATFREQ=FSA&amp;VAR:RFIELD=FINALIZED&amp;VAR:DB_TYPE=&amp;VAR:UNITS=M&amp;window=popup&amp;width=450&amp;height=300&amp;START_MAXIMIZED=FALSE"}</definedName>
    <definedName name="_1031__FDSAUDITLINK__" localSheetId="6" hidden="1">{"fdsup://Directions/FAT Viewer?action=UPDATE&amp;creator=factset&amp;DOC_NAME=fat:reuters_semi_source_window.fat&amp;display_string=Audit&amp;DYN_ARGS=TRUE&amp;VAR:ID1=075902&amp;VAR:RCODE=FDSENTRPRVAL&amp;VAR:SDATE=38168&amp;VAR:FREQ=Daily&amp;VAR:RELITEM=&amp;VAR:CURRENCY=GBP&amp;VAR:CURRSOURCE=EX","SHARE&amp;VAR:NATFREQ=FSA&amp;VAR:RFIELD=FINALIZED&amp;VAR:DB_TYPE=&amp;VAR:UNITS=M&amp;window=popup&amp;width=450&amp;height=300&amp;START_MAXIMIZED=FALSE"}</definedName>
    <definedName name="_1031__FDSAUDITLINK__" hidden="1">{"fdsup://Directions/FAT Viewer?action=UPDATE&amp;creator=factset&amp;DOC_NAME=fat:reuters_semi_source_window.fat&amp;display_string=Audit&amp;DYN_ARGS=TRUE&amp;VAR:ID1=075902&amp;VAR:RCODE=FDSENTRPRVAL&amp;VAR:SDATE=38168&amp;VAR:FREQ=Daily&amp;VAR:RELITEM=&amp;VAR:CURRENCY=GBP&amp;VAR:CURRSOURCE=EX","SHARE&amp;VAR:NATFREQ=FSA&amp;VAR:RFIELD=FINALIZED&amp;VAR:DB_TYPE=&amp;VAR:UNITS=M&amp;window=popup&amp;width=450&amp;height=300&amp;START_MAXIMIZED=FALSE"}</definedName>
    <definedName name="_1032__FDSAUDITLINK__" localSheetId="0" hidden="1">{"fdsup://Directions/FAT Viewer?action=UPDATE&amp;creator=factset&amp;DOC_NAME=fat:reuters_semi_source_window.fat&amp;display_string=Audit&amp;DYN_ARGS=TRUE&amp;VAR:ID1=075902&amp;VAR:RCODE=FDSENTRPRVAL&amp;VAR:SDATE=38260&amp;VAR:FREQ=Daily&amp;VAR:RELITEM=&amp;VAR:CURRENCY=GBP&amp;VAR:CURRSOURCE=EX","SHARE&amp;VAR:NATFREQ=FSA&amp;VAR:RFIELD=FINALIZED&amp;VAR:DB_TYPE=&amp;VAR:UNITS=M&amp;window=popup&amp;width=450&amp;height=300&amp;START_MAXIMIZED=FALSE"}</definedName>
    <definedName name="_1032__FDSAUDITLINK__" localSheetId="6" hidden="1">{"fdsup://Directions/FAT Viewer?action=UPDATE&amp;creator=factset&amp;DOC_NAME=fat:reuters_semi_source_window.fat&amp;display_string=Audit&amp;DYN_ARGS=TRUE&amp;VAR:ID1=075902&amp;VAR:RCODE=FDSENTRPRVAL&amp;VAR:SDATE=38260&amp;VAR:FREQ=Daily&amp;VAR:RELITEM=&amp;VAR:CURRENCY=GBP&amp;VAR:CURRSOURCE=EX","SHARE&amp;VAR:NATFREQ=FSA&amp;VAR:RFIELD=FINALIZED&amp;VAR:DB_TYPE=&amp;VAR:UNITS=M&amp;window=popup&amp;width=450&amp;height=300&amp;START_MAXIMIZED=FALSE"}</definedName>
    <definedName name="_1032__FDSAUDITLINK__" hidden="1">{"fdsup://Directions/FAT Viewer?action=UPDATE&amp;creator=factset&amp;DOC_NAME=fat:reuters_semi_source_window.fat&amp;display_string=Audit&amp;DYN_ARGS=TRUE&amp;VAR:ID1=075902&amp;VAR:RCODE=FDSENTRPRVAL&amp;VAR:SDATE=38260&amp;VAR:FREQ=Daily&amp;VAR:RELITEM=&amp;VAR:CURRENCY=GBP&amp;VAR:CURRSOURCE=EX","SHARE&amp;VAR:NATFREQ=FSA&amp;VAR:RFIELD=FINALIZED&amp;VAR:DB_TYPE=&amp;VAR:UNITS=M&amp;window=popup&amp;width=450&amp;height=300&amp;START_MAXIMIZED=FALSE"}</definedName>
    <definedName name="_1033__123Graph_LBL_ECHART_15" hidden="1">#REF!</definedName>
    <definedName name="_1033__FDSAUDITLINK__" localSheetId="0" hidden="1">{"fdsup://Directions/FAT Viewer?action=UPDATE&amp;creator=factset&amp;DOC_NAME=fat:reuters_semi_source_window.fat&amp;display_string=Audit&amp;DYN_ARGS=TRUE&amp;VAR:ID1=075902&amp;VAR:RCODE=FDSENTRPRVAL&amp;VAR:SDATE=38352&amp;VAR:FREQ=Daily&amp;VAR:RELITEM=&amp;VAR:CURRENCY=GBP&amp;VAR:CURRSOURCE=EX","SHARE&amp;VAR:NATFREQ=FSA&amp;VAR:RFIELD=FINALIZED&amp;VAR:DB_TYPE=&amp;VAR:UNITS=M&amp;window=popup&amp;width=450&amp;height=300&amp;START_MAXIMIZED=FALSE"}</definedName>
    <definedName name="_1033__FDSAUDITLINK__" localSheetId="6" hidden="1">{"fdsup://Directions/FAT Viewer?action=UPDATE&amp;creator=factset&amp;DOC_NAME=fat:reuters_semi_source_window.fat&amp;display_string=Audit&amp;DYN_ARGS=TRUE&amp;VAR:ID1=075902&amp;VAR:RCODE=FDSENTRPRVAL&amp;VAR:SDATE=38352&amp;VAR:FREQ=Daily&amp;VAR:RELITEM=&amp;VAR:CURRENCY=GBP&amp;VAR:CURRSOURCE=EX","SHARE&amp;VAR:NATFREQ=FSA&amp;VAR:RFIELD=FINALIZED&amp;VAR:DB_TYPE=&amp;VAR:UNITS=M&amp;window=popup&amp;width=450&amp;height=300&amp;START_MAXIMIZED=FALSE"}</definedName>
    <definedName name="_1033__FDSAUDITLINK__" hidden="1">{"fdsup://Directions/FAT Viewer?action=UPDATE&amp;creator=factset&amp;DOC_NAME=fat:reuters_semi_source_window.fat&amp;display_string=Audit&amp;DYN_ARGS=TRUE&amp;VAR:ID1=075902&amp;VAR:RCODE=FDSENTRPRVAL&amp;VAR:SDATE=38352&amp;VAR:FREQ=Daily&amp;VAR:RELITEM=&amp;VAR:CURRENCY=GBP&amp;VAR:CURRSOURCE=EX","SHARE&amp;VAR:NATFREQ=FSA&amp;VAR:RFIELD=FINALIZED&amp;VAR:DB_TYPE=&amp;VAR:UNITS=M&amp;window=popup&amp;width=450&amp;height=300&amp;START_MAXIMIZED=FALSE"}</definedName>
    <definedName name="_1034__FDSAUDITLINK__" localSheetId="0" hidden="1">{"fdsup://Directions/FAT Viewer?action=UPDATE&amp;creator=factset&amp;DOC_NAME=fat:reuters_semi_source_window.fat&amp;display_string=Audit&amp;DYN_ARGS=TRUE&amp;VAR:ID1=075902&amp;VAR:RCODE=FDSENTRPRVAL&amp;VAR:SDATE=38442&amp;VAR:FREQ=Daily&amp;VAR:RELITEM=&amp;VAR:CURRENCY=GBP&amp;VAR:CURRSOURCE=EX","SHARE&amp;VAR:NATFREQ=FSA&amp;VAR:RFIELD=FINALIZED&amp;VAR:DB_TYPE=&amp;VAR:UNITS=M&amp;window=popup&amp;width=450&amp;height=300&amp;START_MAXIMIZED=FALSE"}</definedName>
    <definedName name="_1034__FDSAUDITLINK__" localSheetId="6" hidden="1">{"fdsup://Directions/FAT Viewer?action=UPDATE&amp;creator=factset&amp;DOC_NAME=fat:reuters_semi_source_window.fat&amp;display_string=Audit&amp;DYN_ARGS=TRUE&amp;VAR:ID1=075902&amp;VAR:RCODE=FDSENTRPRVAL&amp;VAR:SDATE=38442&amp;VAR:FREQ=Daily&amp;VAR:RELITEM=&amp;VAR:CURRENCY=GBP&amp;VAR:CURRSOURCE=EX","SHARE&amp;VAR:NATFREQ=FSA&amp;VAR:RFIELD=FINALIZED&amp;VAR:DB_TYPE=&amp;VAR:UNITS=M&amp;window=popup&amp;width=450&amp;height=300&amp;START_MAXIMIZED=FALSE"}</definedName>
    <definedName name="_1034__FDSAUDITLINK__" hidden="1">{"fdsup://Directions/FAT Viewer?action=UPDATE&amp;creator=factset&amp;DOC_NAME=fat:reuters_semi_source_window.fat&amp;display_string=Audit&amp;DYN_ARGS=TRUE&amp;VAR:ID1=075902&amp;VAR:RCODE=FDSENTRPRVAL&amp;VAR:SDATE=38442&amp;VAR:FREQ=Daily&amp;VAR:RELITEM=&amp;VAR:CURRENCY=GBP&amp;VAR:CURRSOURCE=EX","SHARE&amp;VAR:NATFREQ=FSA&amp;VAR:RFIELD=FINALIZED&amp;VAR:DB_TYPE=&amp;VAR:UNITS=M&amp;window=popup&amp;width=450&amp;height=300&amp;START_MAXIMIZED=FALSE"}</definedName>
    <definedName name="_1035__FDSAUDITLINK__" localSheetId="0" hidden="1">{"fdsup://Directions/FAT Viewer?action=UPDATE&amp;creator=factset&amp;DOC_NAME=fat:reuters_semi_source_window.fat&amp;display_string=Audit&amp;DYN_ARGS=TRUE&amp;VAR:ID1=075902&amp;VAR:RCODE=FDSENTRPRVAL&amp;VAR:SDATE=38533&amp;VAR:FREQ=Daily&amp;VAR:RELITEM=&amp;VAR:CURRENCY=GBP&amp;VAR:CURRSOURCE=EX","SHARE&amp;VAR:NATFREQ=FSA&amp;VAR:RFIELD=FINALIZED&amp;VAR:DB_TYPE=&amp;VAR:UNITS=M&amp;window=popup&amp;width=450&amp;height=300&amp;START_MAXIMIZED=FALSE"}</definedName>
    <definedName name="_1035__FDSAUDITLINK__" localSheetId="6" hidden="1">{"fdsup://Directions/FAT Viewer?action=UPDATE&amp;creator=factset&amp;DOC_NAME=fat:reuters_semi_source_window.fat&amp;display_string=Audit&amp;DYN_ARGS=TRUE&amp;VAR:ID1=075902&amp;VAR:RCODE=FDSENTRPRVAL&amp;VAR:SDATE=38533&amp;VAR:FREQ=Daily&amp;VAR:RELITEM=&amp;VAR:CURRENCY=GBP&amp;VAR:CURRSOURCE=EX","SHARE&amp;VAR:NATFREQ=FSA&amp;VAR:RFIELD=FINALIZED&amp;VAR:DB_TYPE=&amp;VAR:UNITS=M&amp;window=popup&amp;width=450&amp;height=300&amp;START_MAXIMIZED=FALSE"}</definedName>
    <definedName name="_1035__FDSAUDITLINK__" hidden="1">{"fdsup://Directions/FAT Viewer?action=UPDATE&amp;creator=factset&amp;DOC_NAME=fat:reuters_semi_source_window.fat&amp;display_string=Audit&amp;DYN_ARGS=TRUE&amp;VAR:ID1=075902&amp;VAR:RCODE=FDSENTRPRVAL&amp;VAR:SDATE=38533&amp;VAR:FREQ=Daily&amp;VAR:RELITEM=&amp;VAR:CURRENCY=GBP&amp;VAR:CURRSOURCE=EX","SHARE&amp;VAR:NATFREQ=FSA&amp;VAR:RFIELD=FINALIZED&amp;VAR:DB_TYPE=&amp;VAR:UNITS=M&amp;window=popup&amp;width=450&amp;height=300&amp;START_MAXIMIZED=FALSE"}</definedName>
    <definedName name="_1036__FDSAUDITLINK__" localSheetId="0" hidden="1">{"fdsup://Directions/FAT Viewer?action=UPDATE&amp;creator=factset&amp;DOC_NAME=fat:reuters_semi_source_window.fat&amp;display_string=Audit&amp;DYN_ARGS=TRUE&amp;VAR:ID1=075902&amp;VAR:RCODE=FDSENTRPRVAL&amp;VAR:SDATE=38625&amp;VAR:FREQ=Daily&amp;VAR:RELITEM=&amp;VAR:CURRENCY=GBP&amp;VAR:CURRSOURCE=EX","SHARE&amp;VAR:NATFREQ=FSA&amp;VAR:RFIELD=FINALIZED&amp;VAR:DB_TYPE=&amp;VAR:UNITS=M&amp;window=popup&amp;width=450&amp;height=300&amp;START_MAXIMIZED=FALSE"}</definedName>
    <definedName name="_1036__FDSAUDITLINK__" localSheetId="6" hidden="1">{"fdsup://Directions/FAT Viewer?action=UPDATE&amp;creator=factset&amp;DOC_NAME=fat:reuters_semi_source_window.fat&amp;display_string=Audit&amp;DYN_ARGS=TRUE&amp;VAR:ID1=075902&amp;VAR:RCODE=FDSENTRPRVAL&amp;VAR:SDATE=38625&amp;VAR:FREQ=Daily&amp;VAR:RELITEM=&amp;VAR:CURRENCY=GBP&amp;VAR:CURRSOURCE=EX","SHARE&amp;VAR:NATFREQ=FSA&amp;VAR:RFIELD=FINALIZED&amp;VAR:DB_TYPE=&amp;VAR:UNITS=M&amp;window=popup&amp;width=450&amp;height=300&amp;START_MAXIMIZED=FALSE"}</definedName>
    <definedName name="_1036__FDSAUDITLINK__" hidden="1">{"fdsup://Directions/FAT Viewer?action=UPDATE&amp;creator=factset&amp;DOC_NAME=fat:reuters_semi_source_window.fat&amp;display_string=Audit&amp;DYN_ARGS=TRUE&amp;VAR:ID1=075902&amp;VAR:RCODE=FDSENTRPRVAL&amp;VAR:SDATE=38625&amp;VAR:FREQ=Daily&amp;VAR:RELITEM=&amp;VAR:CURRENCY=GBP&amp;VAR:CURRSOURCE=EX","SHARE&amp;VAR:NATFREQ=FSA&amp;VAR:RFIELD=FINALIZED&amp;VAR:DB_TYPE=&amp;VAR:UNITS=M&amp;window=popup&amp;width=450&amp;height=300&amp;START_MAXIMIZED=FALSE"}</definedName>
    <definedName name="_1037__FDSAUDITLINK__" localSheetId="0" hidden="1">{"fdsup://Directions/FAT Viewer?action=UPDATE&amp;creator=factset&amp;DOC_NAME=fat:reuters_semi_source_window.fat&amp;display_string=Audit&amp;DYN_ARGS=TRUE&amp;VAR:ID1=075902&amp;VAR:RCODE=FDSENTRPRVAL&amp;VAR:SDATE=38717&amp;VAR:FREQ=Daily&amp;VAR:RELITEM=&amp;VAR:CURRENCY=GBP&amp;VAR:CURRSOURCE=EX","SHARE&amp;VAR:NATFREQ=FSA&amp;VAR:RFIELD=FINALIZED&amp;VAR:DB_TYPE=&amp;VAR:UNITS=M&amp;window=popup&amp;width=450&amp;height=300&amp;START_MAXIMIZED=FALSE"}</definedName>
    <definedName name="_1037__FDSAUDITLINK__" localSheetId="6" hidden="1">{"fdsup://Directions/FAT Viewer?action=UPDATE&amp;creator=factset&amp;DOC_NAME=fat:reuters_semi_source_window.fat&amp;display_string=Audit&amp;DYN_ARGS=TRUE&amp;VAR:ID1=075902&amp;VAR:RCODE=FDSENTRPRVAL&amp;VAR:SDATE=38717&amp;VAR:FREQ=Daily&amp;VAR:RELITEM=&amp;VAR:CURRENCY=GBP&amp;VAR:CURRSOURCE=EX","SHARE&amp;VAR:NATFREQ=FSA&amp;VAR:RFIELD=FINALIZED&amp;VAR:DB_TYPE=&amp;VAR:UNITS=M&amp;window=popup&amp;width=450&amp;height=300&amp;START_MAXIMIZED=FALSE"}</definedName>
    <definedName name="_1037__FDSAUDITLINK__" hidden="1">{"fdsup://Directions/FAT Viewer?action=UPDATE&amp;creator=factset&amp;DOC_NAME=fat:reuters_semi_source_window.fat&amp;display_string=Audit&amp;DYN_ARGS=TRUE&amp;VAR:ID1=075902&amp;VAR:RCODE=FDSENTRPRVAL&amp;VAR:SDATE=38717&amp;VAR:FREQ=Daily&amp;VAR:RELITEM=&amp;VAR:CURRENCY=GBP&amp;VAR:CURRSOURCE=EX","SHARE&amp;VAR:NATFREQ=FSA&amp;VAR:RFIELD=FINALIZED&amp;VAR:DB_TYPE=&amp;VAR:UNITS=M&amp;window=popup&amp;width=450&amp;height=300&amp;START_MAXIMIZED=FALSE"}</definedName>
    <definedName name="_1038__FDSAUDITLINK__" localSheetId="0" hidden="1">{"fdsup://Directions/FAT Viewer?action=UPDATE&amp;creator=factset&amp;DOC_NAME=fat:reuters_semi_source_window.fat&amp;display_string=Audit&amp;DYN_ARGS=TRUE&amp;VAR:ID1=075902&amp;VAR:RCODE=FDSENTRPRVAL&amp;VAR:SDATE=38807&amp;VAR:FREQ=Daily&amp;VAR:RELITEM=&amp;VAR:CURRENCY=GBP&amp;VAR:CURRSOURCE=EX","SHARE&amp;VAR:NATFREQ=FSA&amp;VAR:RFIELD=FINALIZED&amp;VAR:DB_TYPE=&amp;VAR:UNITS=M&amp;window=popup&amp;width=450&amp;height=300&amp;START_MAXIMIZED=FALSE"}</definedName>
    <definedName name="_1038__FDSAUDITLINK__" localSheetId="6" hidden="1">{"fdsup://Directions/FAT Viewer?action=UPDATE&amp;creator=factset&amp;DOC_NAME=fat:reuters_semi_source_window.fat&amp;display_string=Audit&amp;DYN_ARGS=TRUE&amp;VAR:ID1=075902&amp;VAR:RCODE=FDSENTRPRVAL&amp;VAR:SDATE=38807&amp;VAR:FREQ=Daily&amp;VAR:RELITEM=&amp;VAR:CURRENCY=GBP&amp;VAR:CURRSOURCE=EX","SHARE&amp;VAR:NATFREQ=FSA&amp;VAR:RFIELD=FINALIZED&amp;VAR:DB_TYPE=&amp;VAR:UNITS=M&amp;window=popup&amp;width=450&amp;height=300&amp;START_MAXIMIZED=FALSE"}</definedName>
    <definedName name="_1038__FDSAUDITLINK__" hidden="1">{"fdsup://Directions/FAT Viewer?action=UPDATE&amp;creator=factset&amp;DOC_NAME=fat:reuters_semi_source_window.fat&amp;display_string=Audit&amp;DYN_ARGS=TRUE&amp;VAR:ID1=075902&amp;VAR:RCODE=FDSENTRPRVAL&amp;VAR:SDATE=38807&amp;VAR:FREQ=Daily&amp;VAR:RELITEM=&amp;VAR:CURRENCY=GBP&amp;VAR:CURRSOURCE=EX","SHARE&amp;VAR:NATFREQ=FSA&amp;VAR:RFIELD=FINALIZED&amp;VAR:DB_TYPE=&amp;VAR:UNITS=M&amp;window=popup&amp;width=450&amp;height=300&amp;START_MAXIMIZED=FALSE"}</definedName>
    <definedName name="_1039__FDSAUDITLINK__" localSheetId="0" hidden="1">{"fdsup://Directions/FAT Viewer?action=UPDATE&amp;creator=factset&amp;DOC_NAME=fat:reuters_semi_source_window.fat&amp;display_string=Audit&amp;DYN_ARGS=TRUE&amp;VAR:ID1=075902&amp;VAR:RCODE=FDSENTRPRVAL&amp;VAR:SDATE=38898&amp;VAR:FREQ=Daily&amp;VAR:RELITEM=&amp;VAR:CURRENCY=GBP&amp;VAR:CURRSOURCE=EX","SHARE&amp;VAR:NATFREQ=FSA&amp;VAR:RFIELD=FINALIZED&amp;VAR:DB_TYPE=&amp;VAR:UNITS=M&amp;window=popup&amp;width=450&amp;height=300&amp;START_MAXIMIZED=FALSE"}</definedName>
    <definedName name="_1039__FDSAUDITLINK__" localSheetId="6" hidden="1">{"fdsup://Directions/FAT Viewer?action=UPDATE&amp;creator=factset&amp;DOC_NAME=fat:reuters_semi_source_window.fat&amp;display_string=Audit&amp;DYN_ARGS=TRUE&amp;VAR:ID1=075902&amp;VAR:RCODE=FDSENTRPRVAL&amp;VAR:SDATE=38898&amp;VAR:FREQ=Daily&amp;VAR:RELITEM=&amp;VAR:CURRENCY=GBP&amp;VAR:CURRSOURCE=EX","SHARE&amp;VAR:NATFREQ=FSA&amp;VAR:RFIELD=FINALIZED&amp;VAR:DB_TYPE=&amp;VAR:UNITS=M&amp;window=popup&amp;width=450&amp;height=300&amp;START_MAXIMIZED=FALSE"}</definedName>
    <definedName name="_1039__FDSAUDITLINK__" hidden="1">{"fdsup://Directions/FAT Viewer?action=UPDATE&amp;creator=factset&amp;DOC_NAME=fat:reuters_semi_source_window.fat&amp;display_string=Audit&amp;DYN_ARGS=TRUE&amp;VAR:ID1=075902&amp;VAR:RCODE=FDSENTRPRVAL&amp;VAR:SDATE=38898&amp;VAR:FREQ=Daily&amp;VAR:RELITEM=&amp;VAR:CURRENCY=GBP&amp;VAR:CURRSOURCE=EX","SHARE&amp;VAR:NATFREQ=FSA&amp;VAR:RFIELD=FINALIZED&amp;VAR:DB_TYPE=&amp;VAR:UNITS=M&amp;window=popup&amp;width=450&amp;height=300&amp;START_MAXIMIZED=FALSE"}</definedName>
    <definedName name="_104__123Graph_CCHART_19" hidden="1">#REF!</definedName>
    <definedName name="_104__FDSAUDITLINK__" localSheetId="0" hidden="1">{"fdsup://directions/FAT Viewer?action=UPDATE&amp;creator=factSet&amp;DYN_ARGS=true&amp;DOC_NAME=FAT:RGA_ENTRPR_VAL_EV_SOURCE_WINDOW.FAT&amp;VAR:ID1=GLT-FR&amp;window=popup&amp;width=535&amp;height=425&amp;START_MAXIMIZED=FALSE&amp;Y=120"}</definedName>
    <definedName name="_104__FDSAUDITLINK__" localSheetId="6" hidden="1">{"fdsup://directions/FAT Viewer?action=UPDATE&amp;creator=factSet&amp;DYN_ARGS=true&amp;DOC_NAME=FAT:RGA_ENTRPR_VAL_EV_SOURCE_WINDOW.FAT&amp;VAR:ID1=GLT-FR&amp;window=popup&amp;width=535&amp;height=425&amp;START_MAXIMIZED=FALSE&amp;Y=120"}</definedName>
    <definedName name="_104__FDSAUDITLINK__" hidden="1">{"fdsup://directions/FAT Viewer?action=UPDATE&amp;creator=factSet&amp;DYN_ARGS=true&amp;DOC_NAME=FAT:RGA_ENTRPR_VAL_EV_SOURCE_WINDOW.FAT&amp;VAR:ID1=GLT-FR&amp;window=popup&amp;width=535&amp;height=425&amp;START_MAXIMIZED=FALSE&amp;Y=120"}</definedName>
    <definedName name="_1040__FDSAUDITLINK__" localSheetId="0" hidden="1">{"fdsup://Directions/FAT Viewer?action=UPDATE&amp;creator=factset&amp;DOC_NAME=fat:reuters_semi_source_window.fat&amp;display_string=Audit&amp;DYN_ARGS=TRUE&amp;VAR:ID1=075902&amp;VAR:RCODE=FDSENTRPRVAL&amp;VAR:SDATE=38990&amp;VAR:FREQ=Daily&amp;VAR:RELITEM=&amp;VAR:CURRENCY=GBP&amp;VAR:CURRSOURCE=EX","SHARE&amp;VAR:NATFREQ=FSA&amp;VAR:RFIELD=FINALIZED&amp;VAR:DB_TYPE=&amp;VAR:UNITS=M&amp;window=popup&amp;width=450&amp;height=300&amp;START_MAXIMIZED=FALSE"}</definedName>
    <definedName name="_1040__FDSAUDITLINK__" localSheetId="6" hidden="1">{"fdsup://Directions/FAT Viewer?action=UPDATE&amp;creator=factset&amp;DOC_NAME=fat:reuters_semi_source_window.fat&amp;display_string=Audit&amp;DYN_ARGS=TRUE&amp;VAR:ID1=075902&amp;VAR:RCODE=FDSENTRPRVAL&amp;VAR:SDATE=38990&amp;VAR:FREQ=Daily&amp;VAR:RELITEM=&amp;VAR:CURRENCY=GBP&amp;VAR:CURRSOURCE=EX","SHARE&amp;VAR:NATFREQ=FSA&amp;VAR:RFIELD=FINALIZED&amp;VAR:DB_TYPE=&amp;VAR:UNITS=M&amp;window=popup&amp;width=450&amp;height=300&amp;START_MAXIMIZED=FALSE"}</definedName>
    <definedName name="_1040__FDSAUDITLINK__" hidden="1">{"fdsup://Directions/FAT Viewer?action=UPDATE&amp;creator=factset&amp;DOC_NAME=fat:reuters_semi_source_window.fat&amp;display_string=Audit&amp;DYN_ARGS=TRUE&amp;VAR:ID1=075902&amp;VAR:RCODE=FDSENTRPRVAL&amp;VAR:SDATE=38990&amp;VAR:FREQ=Daily&amp;VAR:RELITEM=&amp;VAR:CURRENCY=GBP&amp;VAR:CURRSOURCE=EX","SHARE&amp;VAR:NATFREQ=FSA&amp;VAR:RFIELD=FINALIZED&amp;VAR:DB_TYPE=&amp;VAR:UNITS=M&amp;window=popup&amp;width=450&amp;height=300&amp;START_MAXIMIZED=FALSE"}</definedName>
    <definedName name="_1041__FDSAUDITLINK__" localSheetId="0" hidden="1">{"fdsup://Directions/FAT Viewer?action=UPDATE&amp;creator=factset&amp;DOC_NAME=fat:reuters_semi_source_window.fat&amp;display_string=Audit&amp;DYN_ARGS=TRUE&amp;VAR:ID1=075902&amp;VAR:RCODE=FDSENTRPRVAL&amp;VAR:SDATE=39082&amp;VAR:FREQ=Daily&amp;VAR:RELITEM=&amp;VAR:CURRENCY=GBP&amp;VAR:CURRSOURCE=EX","SHARE&amp;VAR:NATFREQ=FSA&amp;VAR:RFIELD=FINALIZED&amp;VAR:DB_TYPE=&amp;VAR:UNITS=M&amp;window=popup&amp;width=450&amp;height=300&amp;START_MAXIMIZED=FALSE"}</definedName>
    <definedName name="_1041__FDSAUDITLINK__" localSheetId="6" hidden="1">{"fdsup://Directions/FAT Viewer?action=UPDATE&amp;creator=factset&amp;DOC_NAME=fat:reuters_semi_source_window.fat&amp;display_string=Audit&amp;DYN_ARGS=TRUE&amp;VAR:ID1=075902&amp;VAR:RCODE=FDSENTRPRVAL&amp;VAR:SDATE=39082&amp;VAR:FREQ=Daily&amp;VAR:RELITEM=&amp;VAR:CURRENCY=GBP&amp;VAR:CURRSOURCE=EX","SHARE&amp;VAR:NATFREQ=FSA&amp;VAR:RFIELD=FINALIZED&amp;VAR:DB_TYPE=&amp;VAR:UNITS=M&amp;window=popup&amp;width=450&amp;height=300&amp;START_MAXIMIZED=FALSE"}</definedName>
    <definedName name="_1041__FDSAUDITLINK__" hidden="1">{"fdsup://Directions/FAT Viewer?action=UPDATE&amp;creator=factset&amp;DOC_NAME=fat:reuters_semi_source_window.fat&amp;display_string=Audit&amp;DYN_ARGS=TRUE&amp;VAR:ID1=075902&amp;VAR:RCODE=FDSENTRPRVAL&amp;VAR:SDATE=39082&amp;VAR:FREQ=Daily&amp;VAR:RELITEM=&amp;VAR:CURRENCY=GBP&amp;VAR:CURRSOURCE=EX","SHARE&amp;VAR:NATFREQ=FSA&amp;VAR:RFIELD=FINALIZED&amp;VAR:DB_TYPE=&amp;VAR:UNITS=M&amp;window=popup&amp;width=450&amp;height=300&amp;START_MAXIMIZED=FALSE"}</definedName>
    <definedName name="_1042__FDSAUDITLINK__" localSheetId="0" hidden="1">{"fdsup://Directions/FAT Viewer?action=UPDATE&amp;creator=factset&amp;DOC_NAME=fat:reuters_semi_source_window.fat&amp;display_string=Audit&amp;DYN_ARGS=TRUE&amp;VAR:ID1=075902&amp;VAR:RCODE=FDSENTRPRVAL&amp;VAR:SDATE=39172&amp;VAR:FREQ=Daily&amp;VAR:RELITEM=&amp;VAR:CURRENCY=GBP&amp;VAR:CURRSOURCE=EX","SHARE&amp;VAR:NATFREQ=FSA&amp;VAR:RFIELD=FINALIZED&amp;VAR:DB_TYPE=&amp;VAR:UNITS=M&amp;window=popup&amp;width=450&amp;height=300&amp;START_MAXIMIZED=FALSE"}</definedName>
    <definedName name="_1042__FDSAUDITLINK__" localSheetId="6" hidden="1">{"fdsup://Directions/FAT Viewer?action=UPDATE&amp;creator=factset&amp;DOC_NAME=fat:reuters_semi_source_window.fat&amp;display_string=Audit&amp;DYN_ARGS=TRUE&amp;VAR:ID1=075902&amp;VAR:RCODE=FDSENTRPRVAL&amp;VAR:SDATE=39172&amp;VAR:FREQ=Daily&amp;VAR:RELITEM=&amp;VAR:CURRENCY=GBP&amp;VAR:CURRSOURCE=EX","SHARE&amp;VAR:NATFREQ=FSA&amp;VAR:RFIELD=FINALIZED&amp;VAR:DB_TYPE=&amp;VAR:UNITS=M&amp;window=popup&amp;width=450&amp;height=300&amp;START_MAXIMIZED=FALSE"}</definedName>
    <definedName name="_1042__FDSAUDITLINK__" hidden="1">{"fdsup://Directions/FAT Viewer?action=UPDATE&amp;creator=factset&amp;DOC_NAME=fat:reuters_semi_source_window.fat&amp;display_string=Audit&amp;DYN_ARGS=TRUE&amp;VAR:ID1=075902&amp;VAR:RCODE=FDSENTRPRVAL&amp;VAR:SDATE=39172&amp;VAR:FREQ=Daily&amp;VAR:RELITEM=&amp;VAR:CURRENCY=GBP&amp;VAR:CURRSOURCE=EX","SHARE&amp;VAR:NATFREQ=FSA&amp;VAR:RFIELD=FINALIZED&amp;VAR:DB_TYPE=&amp;VAR:UNITS=M&amp;window=popup&amp;width=450&amp;height=300&amp;START_MAXIMIZED=FALSE"}</definedName>
    <definedName name="_1043__FDSAUDITLINK__" localSheetId="0" hidden="1">{"fdsup://Directions/FAT Viewer?action=UPDATE&amp;creator=factset&amp;DOC_NAME=fat:reuters_semi_source_window.fat&amp;display_string=Audit&amp;DYN_ARGS=TRUE&amp;VAR:ID1=075902&amp;VAR:RCODE=FDSENTRPRVAL&amp;VAR:SDATE=39263&amp;VAR:FREQ=Daily&amp;VAR:RELITEM=&amp;VAR:CURRENCY=GBP&amp;VAR:CURRSOURCE=EX","SHARE&amp;VAR:NATFREQ=FSA&amp;VAR:RFIELD=FINALIZED&amp;VAR:DB_TYPE=&amp;VAR:UNITS=M&amp;window=popup&amp;width=450&amp;height=300&amp;START_MAXIMIZED=FALSE"}</definedName>
    <definedName name="_1043__FDSAUDITLINK__" localSheetId="6" hidden="1">{"fdsup://Directions/FAT Viewer?action=UPDATE&amp;creator=factset&amp;DOC_NAME=fat:reuters_semi_source_window.fat&amp;display_string=Audit&amp;DYN_ARGS=TRUE&amp;VAR:ID1=075902&amp;VAR:RCODE=FDSENTRPRVAL&amp;VAR:SDATE=39263&amp;VAR:FREQ=Daily&amp;VAR:RELITEM=&amp;VAR:CURRENCY=GBP&amp;VAR:CURRSOURCE=EX","SHARE&amp;VAR:NATFREQ=FSA&amp;VAR:RFIELD=FINALIZED&amp;VAR:DB_TYPE=&amp;VAR:UNITS=M&amp;window=popup&amp;width=450&amp;height=300&amp;START_MAXIMIZED=FALSE"}</definedName>
    <definedName name="_1043__FDSAUDITLINK__" hidden="1">{"fdsup://Directions/FAT Viewer?action=UPDATE&amp;creator=factset&amp;DOC_NAME=fat:reuters_semi_source_window.fat&amp;display_string=Audit&amp;DYN_ARGS=TRUE&amp;VAR:ID1=075902&amp;VAR:RCODE=FDSENTRPRVAL&amp;VAR:SDATE=39263&amp;VAR:FREQ=Daily&amp;VAR:RELITEM=&amp;VAR:CURRENCY=GBP&amp;VAR:CURRSOURCE=EX","SHARE&amp;VAR:NATFREQ=FSA&amp;VAR:RFIELD=FINALIZED&amp;VAR:DB_TYPE=&amp;VAR:UNITS=M&amp;window=popup&amp;width=450&amp;height=300&amp;START_MAXIMIZED=FALSE"}</definedName>
    <definedName name="_1044__FDSAUDITLINK__" localSheetId="0" hidden="1">{"fdsup://Directions/FAT Viewer?action=UPDATE&amp;creator=factset&amp;DOC_NAME=fat:reuters_semi_source_window.fat&amp;display_string=Audit&amp;DYN_ARGS=TRUE&amp;VAR:ID1=075902&amp;VAR:RCODE=FDSENTRPRVAL&amp;VAR:SDATE=39355&amp;VAR:FREQ=Daily&amp;VAR:RELITEM=&amp;VAR:CURRENCY=GBP&amp;VAR:CURRSOURCE=EX","SHARE&amp;VAR:NATFREQ=FSA&amp;VAR:RFIELD=FINALIZED&amp;VAR:DB_TYPE=&amp;VAR:UNITS=M&amp;window=popup&amp;width=450&amp;height=300&amp;START_MAXIMIZED=FALSE"}</definedName>
    <definedName name="_1044__FDSAUDITLINK__" localSheetId="6" hidden="1">{"fdsup://Directions/FAT Viewer?action=UPDATE&amp;creator=factset&amp;DOC_NAME=fat:reuters_semi_source_window.fat&amp;display_string=Audit&amp;DYN_ARGS=TRUE&amp;VAR:ID1=075902&amp;VAR:RCODE=FDSENTRPRVAL&amp;VAR:SDATE=39355&amp;VAR:FREQ=Daily&amp;VAR:RELITEM=&amp;VAR:CURRENCY=GBP&amp;VAR:CURRSOURCE=EX","SHARE&amp;VAR:NATFREQ=FSA&amp;VAR:RFIELD=FINALIZED&amp;VAR:DB_TYPE=&amp;VAR:UNITS=M&amp;window=popup&amp;width=450&amp;height=300&amp;START_MAXIMIZED=FALSE"}</definedName>
    <definedName name="_1044__FDSAUDITLINK__" hidden="1">{"fdsup://Directions/FAT Viewer?action=UPDATE&amp;creator=factset&amp;DOC_NAME=fat:reuters_semi_source_window.fat&amp;display_string=Audit&amp;DYN_ARGS=TRUE&amp;VAR:ID1=075902&amp;VAR:RCODE=FDSENTRPRVAL&amp;VAR:SDATE=39355&amp;VAR:FREQ=Daily&amp;VAR:RELITEM=&amp;VAR:CURRENCY=GBP&amp;VAR:CURRSOURCE=EX","SHARE&amp;VAR:NATFREQ=FSA&amp;VAR:RFIELD=FINALIZED&amp;VAR:DB_TYPE=&amp;VAR:UNITS=M&amp;window=popup&amp;width=450&amp;height=300&amp;START_MAXIMIZED=FALSE"}</definedName>
    <definedName name="_1045__FDSAUDITLINK__" localSheetId="0" hidden="1">{"fdsup://Directions/FAT Viewer?action=UPDATE&amp;creator=factset&amp;DOC_NAME=fat:reuters_semi_source_window.fat&amp;display_string=Audit&amp;DYN_ARGS=TRUE&amp;VAR:ID1=075902&amp;VAR:RCODE=FDSENTRPRVAL&amp;VAR:SDATE=39447&amp;VAR:FREQ=Daily&amp;VAR:RELITEM=&amp;VAR:CURRENCY=GBP&amp;VAR:CURRSOURCE=EX","SHARE&amp;VAR:NATFREQ=FSA&amp;VAR:RFIELD=FINALIZED&amp;VAR:DB_TYPE=&amp;VAR:UNITS=M&amp;window=popup&amp;width=450&amp;height=300&amp;START_MAXIMIZED=FALSE"}</definedName>
    <definedName name="_1045__FDSAUDITLINK__" localSheetId="6" hidden="1">{"fdsup://Directions/FAT Viewer?action=UPDATE&amp;creator=factset&amp;DOC_NAME=fat:reuters_semi_source_window.fat&amp;display_string=Audit&amp;DYN_ARGS=TRUE&amp;VAR:ID1=075902&amp;VAR:RCODE=FDSENTRPRVAL&amp;VAR:SDATE=39447&amp;VAR:FREQ=Daily&amp;VAR:RELITEM=&amp;VAR:CURRENCY=GBP&amp;VAR:CURRSOURCE=EX","SHARE&amp;VAR:NATFREQ=FSA&amp;VAR:RFIELD=FINALIZED&amp;VAR:DB_TYPE=&amp;VAR:UNITS=M&amp;window=popup&amp;width=450&amp;height=300&amp;START_MAXIMIZED=FALSE"}</definedName>
    <definedName name="_1045__FDSAUDITLINK__" hidden="1">{"fdsup://Directions/FAT Viewer?action=UPDATE&amp;creator=factset&amp;DOC_NAME=fat:reuters_semi_source_window.fat&amp;display_string=Audit&amp;DYN_ARGS=TRUE&amp;VAR:ID1=075902&amp;VAR:RCODE=FDSENTRPRVAL&amp;VAR:SDATE=39447&amp;VAR:FREQ=Daily&amp;VAR:RELITEM=&amp;VAR:CURRENCY=GBP&amp;VAR:CURRSOURCE=EX","SHARE&amp;VAR:NATFREQ=FSA&amp;VAR:RFIELD=FINALIZED&amp;VAR:DB_TYPE=&amp;VAR:UNITS=M&amp;window=popup&amp;width=450&amp;height=300&amp;START_MAXIMIZED=FALSE"}</definedName>
    <definedName name="_1046__123Graph_LBL_ECHART_16" hidden="1">#REF!</definedName>
    <definedName name="_1046__FDSAUDITLINK__" localSheetId="0" hidden="1">{"fdsup://Directions/FAT Viewer?action=UPDATE&amp;creator=factset&amp;DOC_NAME=fat:reuters_semi_source_window.fat&amp;display_string=Audit&amp;DYN_ARGS=TRUE&amp;VAR:ID1=075902&amp;VAR:RCODE=FDSENTRPRVAL&amp;VAR:SDATE=39538&amp;VAR:FREQ=Daily&amp;VAR:RELITEM=&amp;VAR:CURRENCY=GBP&amp;VAR:CURRSOURCE=EX","SHARE&amp;VAR:NATFREQ=FSA&amp;VAR:RFIELD=FINALIZED&amp;VAR:DB_TYPE=&amp;VAR:UNITS=M&amp;window=popup&amp;width=450&amp;height=300&amp;START_MAXIMIZED=FALSE"}</definedName>
    <definedName name="_1046__FDSAUDITLINK__" localSheetId="6" hidden="1">{"fdsup://Directions/FAT Viewer?action=UPDATE&amp;creator=factset&amp;DOC_NAME=fat:reuters_semi_source_window.fat&amp;display_string=Audit&amp;DYN_ARGS=TRUE&amp;VAR:ID1=075902&amp;VAR:RCODE=FDSENTRPRVAL&amp;VAR:SDATE=39538&amp;VAR:FREQ=Daily&amp;VAR:RELITEM=&amp;VAR:CURRENCY=GBP&amp;VAR:CURRSOURCE=EX","SHARE&amp;VAR:NATFREQ=FSA&amp;VAR:RFIELD=FINALIZED&amp;VAR:DB_TYPE=&amp;VAR:UNITS=M&amp;window=popup&amp;width=450&amp;height=300&amp;START_MAXIMIZED=FALSE"}</definedName>
    <definedName name="_1046__FDSAUDITLINK__" hidden="1">{"fdsup://Directions/FAT Viewer?action=UPDATE&amp;creator=factset&amp;DOC_NAME=fat:reuters_semi_source_window.fat&amp;display_string=Audit&amp;DYN_ARGS=TRUE&amp;VAR:ID1=075902&amp;VAR:RCODE=FDSENTRPRVAL&amp;VAR:SDATE=39538&amp;VAR:FREQ=Daily&amp;VAR:RELITEM=&amp;VAR:CURRENCY=GBP&amp;VAR:CURRSOURCE=EX","SHARE&amp;VAR:NATFREQ=FSA&amp;VAR:RFIELD=FINALIZED&amp;VAR:DB_TYPE=&amp;VAR:UNITS=M&amp;window=popup&amp;width=450&amp;height=300&amp;START_MAXIMIZED=FALSE"}</definedName>
    <definedName name="_1047__FDSAUDITLINK__" localSheetId="0" hidden="1">{"fdsup://directions/FAT Viewer?action=UPDATE&amp;creator=factSet&amp;DYN_ARGS=true&amp;DOC_NAME=FAT:RGQ_ENTRPR_VAL_EV_SOURCE_WINDOW.FAT&amp;VAR:ID1=SIM-DK&amp;window=popup&amp;width=535&amp;height=425&amp;START_MAXIMIZED=FALSE&amp;Y=120"}</definedName>
    <definedName name="_1047__FDSAUDITLINK__" localSheetId="6" hidden="1">{"fdsup://directions/FAT Viewer?action=UPDATE&amp;creator=factSet&amp;DYN_ARGS=true&amp;DOC_NAME=FAT:RGQ_ENTRPR_VAL_EV_SOURCE_WINDOW.FAT&amp;VAR:ID1=SIM-DK&amp;window=popup&amp;width=535&amp;height=425&amp;START_MAXIMIZED=FALSE&amp;Y=120"}</definedName>
    <definedName name="_1047__FDSAUDITLINK__" hidden="1">{"fdsup://directions/FAT Viewer?action=UPDATE&amp;creator=factSet&amp;DYN_ARGS=true&amp;DOC_NAME=FAT:RGQ_ENTRPR_VAL_EV_SOURCE_WINDOW.FAT&amp;VAR:ID1=SIM-DK&amp;window=popup&amp;width=535&amp;height=425&amp;START_MAXIMIZED=FALSE&amp;Y=120"}</definedName>
    <definedName name="_1048__FDSAUDITLINK__" localSheetId="0" hidden="1">{"fdsup://directions/FAT Viewer?action=UPDATE&amp;creator=factSet&amp;DYN_ARGS=true&amp;DOC_NAME=FAT:RGQ_ENTRPR_VAL_EV_SOURCE_WINDOW.FAT&amp;VAR:ID1=SIM-DK&amp;window=popup&amp;width=535&amp;height=425&amp;START_MAXIMIZED=FALSE&amp;Y=120"}</definedName>
    <definedName name="_1048__FDSAUDITLINK__" localSheetId="6" hidden="1">{"fdsup://directions/FAT Viewer?action=UPDATE&amp;creator=factSet&amp;DYN_ARGS=true&amp;DOC_NAME=FAT:RGQ_ENTRPR_VAL_EV_SOURCE_WINDOW.FAT&amp;VAR:ID1=SIM-DK&amp;window=popup&amp;width=535&amp;height=425&amp;START_MAXIMIZED=FALSE&amp;Y=120"}</definedName>
    <definedName name="_1048__FDSAUDITLINK__" hidden="1">{"fdsup://directions/FAT Viewer?action=UPDATE&amp;creator=factSet&amp;DYN_ARGS=true&amp;DOC_NAME=FAT:RGQ_ENTRPR_VAL_EV_SOURCE_WINDOW.FAT&amp;VAR:ID1=SIM-DK&amp;window=popup&amp;width=535&amp;height=425&amp;START_MAXIMIZED=FALSE&amp;Y=120"}</definedName>
    <definedName name="_1049__FDSAUDITLINK__" localSheetId="0" hidden="1">{"fdsup://directions/FAT Viewer?action=UPDATE&amp;creator=factSet&amp;DYN_ARGS=true&amp;DOC_NAME=FAT:RGQ_ENTRPR_VAL_EV_SOURCE_WINDOW.FAT&amp;VAR:ID1=SIM-DK&amp;window=popup&amp;width=535&amp;height=425&amp;START_MAXIMIZED=FALSE&amp;Y=120"}</definedName>
    <definedName name="_1049__FDSAUDITLINK__" localSheetId="6" hidden="1">{"fdsup://directions/FAT Viewer?action=UPDATE&amp;creator=factSet&amp;DYN_ARGS=true&amp;DOC_NAME=FAT:RGQ_ENTRPR_VAL_EV_SOURCE_WINDOW.FAT&amp;VAR:ID1=SIM-DK&amp;window=popup&amp;width=535&amp;height=425&amp;START_MAXIMIZED=FALSE&amp;Y=120"}</definedName>
    <definedName name="_1049__FDSAUDITLINK__" hidden="1">{"fdsup://directions/FAT Viewer?action=UPDATE&amp;creator=factSet&amp;DYN_ARGS=true&amp;DOC_NAME=FAT:RGQ_ENTRPR_VAL_EV_SOURCE_WINDOW.FAT&amp;VAR:ID1=SIM-DK&amp;window=popup&amp;width=535&amp;height=425&amp;START_MAXIMIZED=FALSE&amp;Y=120"}</definedName>
    <definedName name="_105__123Graph_CCHART_2" hidden="1">#REF!</definedName>
    <definedName name="_105__123Graph_DCHART_22" hidden="1">#REF!</definedName>
    <definedName name="_105__FDSAUDITLINK__" localSheetId="0" hidden="1">{"fdsup://directions/FAT Viewer?action=UPDATE&amp;creator=factSet&amp;DYN_ARGS=true&amp;DOC_NAME=FAT:RGA_ENTRPR_VAL_EV_SOURCE_WINDOW.FAT&amp;VAR:ID1=GLT-FR&amp;window=popup&amp;width=535&amp;height=425&amp;START_MAXIMIZED=FALSE&amp;Y=120"}</definedName>
    <definedName name="_105__FDSAUDITLINK__" localSheetId="6" hidden="1">{"fdsup://directions/FAT Viewer?action=UPDATE&amp;creator=factSet&amp;DYN_ARGS=true&amp;DOC_NAME=FAT:RGA_ENTRPR_VAL_EV_SOURCE_WINDOW.FAT&amp;VAR:ID1=GLT-FR&amp;window=popup&amp;width=535&amp;height=425&amp;START_MAXIMIZED=FALSE&amp;Y=120"}</definedName>
    <definedName name="_105__FDSAUDITLINK__" hidden="1">{"fdsup://directions/FAT Viewer?action=UPDATE&amp;creator=factSet&amp;DYN_ARGS=true&amp;DOC_NAME=FAT:RGA_ENTRPR_VAL_EV_SOURCE_WINDOW.FAT&amp;VAR:ID1=GLT-FR&amp;window=popup&amp;width=535&amp;height=425&amp;START_MAXIMIZED=FALSE&amp;Y=120"}</definedName>
    <definedName name="_1050__FDSAUDITLINK__" localSheetId="0" hidden="1">{"fdsup://directions/FAT Viewer?action=UPDATE&amp;creator=factSet&amp;DYN_ARGS=true&amp;DOC_NAME=FAT:RGQ_ENTRPR_VAL_EV_SOURCE_WINDOW.FAT&amp;VAR:ID1=SIM-DK&amp;window=popup&amp;width=535&amp;height=425&amp;START_MAXIMIZED=FALSE&amp;Y=120"}</definedName>
    <definedName name="_1050__FDSAUDITLINK__" localSheetId="6" hidden="1">{"fdsup://directions/FAT Viewer?action=UPDATE&amp;creator=factSet&amp;DYN_ARGS=true&amp;DOC_NAME=FAT:RGQ_ENTRPR_VAL_EV_SOURCE_WINDOW.FAT&amp;VAR:ID1=SIM-DK&amp;window=popup&amp;width=535&amp;height=425&amp;START_MAXIMIZED=FALSE&amp;Y=120"}</definedName>
    <definedName name="_1050__FDSAUDITLINK__" hidden="1">{"fdsup://directions/FAT Viewer?action=UPDATE&amp;creator=factSet&amp;DYN_ARGS=true&amp;DOC_NAME=FAT:RGQ_ENTRPR_VAL_EV_SOURCE_WINDOW.FAT&amp;VAR:ID1=SIM-DK&amp;window=popup&amp;width=535&amp;height=425&amp;START_MAXIMIZED=FALSE&amp;Y=120"}</definedName>
    <definedName name="_1051__FDSAUDITLINK__" localSheetId="0" hidden="1">{"fdsup://directions/FAT Viewer?action=UPDATE&amp;creator=factSet&amp;DYN_ARGS=true&amp;DOC_NAME=FAT:RGQ_ENTRPR_VAL_EV_SOURCE_WINDOW.FAT&amp;VAR:ID1=SIM-DK&amp;window=popup&amp;width=535&amp;height=425&amp;START_MAXIMIZED=FALSE&amp;Y=120"}</definedName>
    <definedName name="_1051__FDSAUDITLINK__" localSheetId="6" hidden="1">{"fdsup://directions/FAT Viewer?action=UPDATE&amp;creator=factSet&amp;DYN_ARGS=true&amp;DOC_NAME=FAT:RGQ_ENTRPR_VAL_EV_SOURCE_WINDOW.FAT&amp;VAR:ID1=SIM-DK&amp;window=popup&amp;width=535&amp;height=425&amp;START_MAXIMIZED=FALSE&amp;Y=120"}</definedName>
    <definedName name="_1051__FDSAUDITLINK__" hidden="1">{"fdsup://directions/FAT Viewer?action=UPDATE&amp;creator=factSet&amp;DYN_ARGS=true&amp;DOC_NAME=FAT:RGQ_ENTRPR_VAL_EV_SOURCE_WINDOW.FAT&amp;VAR:ID1=SIM-DK&amp;window=popup&amp;width=535&amp;height=425&amp;START_MAXIMIZED=FALSE&amp;Y=120"}</definedName>
    <definedName name="_1052__FDSAUDITLINK__" localSheetId="0" hidden="1">{"fdsup://directions/FAT Viewer?action=UPDATE&amp;creator=factSet&amp;DYN_ARGS=true&amp;DOC_NAME=FAT:RGQ_ENTRPR_VAL_EV_SOURCE_WINDOW.FAT&amp;VAR:ID1=SIM-DK&amp;window=popup&amp;width=535&amp;height=425&amp;START_MAXIMIZED=FALSE&amp;Y=120"}</definedName>
    <definedName name="_1052__FDSAUDITLINK__" localSheetId="6" hidden="1">{"fdsup://directions/FAT Viewer?action=UPDATE&amp;creator=factSet&amp;DYN_ARGS=true&amp;DOC_NAME=FAT:RGQ_ENTRPR_VAL_EV_SOURCE_WINDOW.FAT&amp;VAR:ID1=SIM-DK&amp;window=popup&amp;width=535&amp;height=425&amp;START_MAXIMIZED=FALSE&amp;Y=120"}</definedName>
    <definedName name="_1052__FDSAUDITLINK__" hidden="1">{"fdsup://directions/FAT Viewer?action=UPDATE&amp;creator=factSet&amp;DYN_ARGS=true&amp;DOC_NAME=FAT:RGQ_ENTRPR_VAL_EV_SOURCE_WINDOW.FAT&amp;VAR:ID1=SIM-DK&amp;window=popup&amp;width=535&amp;height=425&amp;START_MAXIMIZED=FALSE&amp;Y=120"}</definedName>
    <definedName name="_1053__FDSAUDITLINK__" localSheetId="0" hidden="1">{"fdsup://directions/FAT Viewer?action=UPDATE&amp;creator=factSet&amp;DYN_ARGS=true&amp;DOC_NAME=FAT:RGQ_ENTRPR_VAL_EV_SOURCE_WINDOW.FAT&amp;VAR:ID1=SIM-DK&amp;window=popup&amp;width=535&amp;height=425&amp;START_MAXIMIZED=FALSE&amp;Y=120"}</definedName>
    <definedName name="_1053__FDSAUDITLINK__" localSheetId="6" hidden="1">{"fdsup://directions/FAT Viewer?action=UPDATE&amp;creator=factSet&amp;DYN_ARGS=true&amp;DOC_NAME=FAT:RGQ_ENTRPR_VAL_EV_SOURCE_WINDOW.FAT&amp;VAR:ID1=SIM-DK&amp;window=popup&amp;width=535&amp;height=425&amp;START_MAXIMIZED=FALSE&amp;Y=120"}</definedName>
    <definedName name="_1053__FDSAUDITLINK__" hidden="1">{"fdsup://directions/FAT Viewer?action=UPDATE&amp;creator=factSet&amp;DYN_ARGS=true&amp;DOC_NAME=FAT:RGQ_ENTRPR_VAL_EV_SOURCE_WINDOW.FAT&amp;VAR:ID1=SIM-DK&amp;window=popup&amp;width=535&amp;height=425&amp;START_MAXIMIZED=FALSE&amp;Y=120"}</definedName>
    <definedName name="_1054__FDSAUDITLINK__" localSheetId="0" hidden="1">{"fdsup://directions/FAT Viewer?action=UPDATE&amp;creator=factSet&amp;DYN_ARGS=true&amp;DOC_NAME=FAT:RGQ_ENTRPR_VAL_EV_SOURCE_WINDOW.FAT&amp;VAR:ID1=SIM-DK&amp;window=popup&amp;width=535&amp;height=425&amp;START_MAXIMIZED=FALSE&amp;Y=120"}</definedName>
    <definedName name="_1054__FDSAUDITLINK__" localSheetId="6" hidden="1">{"fdsup://directions/FAT Viewer?action=UPDATE&amp;creator=factSet&amp;DYN_ARGS=true&amp;DOC_NAME=FAT:RGQ_ENTRPR_VAL_EV_SOURCE_WINDOW.FAT&amp;VAR:ID1=SIM-DK&amp;window=popup&amp;width=535&amp;height=425&amp;START_MAXIMIZED=FALSE&amp;Y=120"}</definedName>
    <definedName name="_1054__FDSAUDITLINK__" hidden="1">{"fdsup://directions/FAT Viewer?action=UPDATE&amp;creator=factSet&amp;DYN_ARGS=true&amp;DOC_NAME=FAT:RGQ_ENTRPR_VAL_EV_SOURCE_WINDOW.FAT&amp;VAR:ID1=SIM-DK&amp;window=popup&amp;width=535&amp;height=425&amp;START_MAXIMIZED=FALSE&amp;Y=120"}</definedName>
    <definedName name="_1055__FDSAUDITLINK__" localSheetId="0" hidden="1">{"fdsup://directions/FAT Viewer?action=UPDATE&amp;creator=factSet&amp;DYN_ARGS=true&amp;DOC_NAME=FAT:RGQ_ENTRPR_VAL_EV_SOURCE_WINDOW.FAT&amp;VAR:ID1=SIM-DK&amp;window=popup&amp;width=535&amp;height=425&amp;START_MAXIMIZED=FALSE&amp;Y=120"}</definedName>
    <definedName name="_1055__FDSAUDITLINK__" localSheetId="6" hidden="1">{"fdsup://directions/FAT Viewer?action=UPDATE&amp;creator=factSet&amp;DYN_ARGS=true&amp;DOC_NAME=FAT:RGQ_ENTRPR_VAL_EV_SOURCE_WINDOW.FAT&amp;VAR:ID1=SIM-DK&amp;window=popup&amp;width=535&amp;height=425&amp;START_MAXIMIZED=FALSE&amp;Y=120"}</definedName>
    <definedName name="_1055__FDSAUDITLINK__" hidden="1">{"fdsup://directions/FAT Viewer?action=UPDATE&amp;creator=factSet&amp;DYN_ARGS=true&amp;DOC_NAME=FAT:RGQ_ENTRPR_VAL_EV_SOURCE_WINDOW.FAT&amp;VAR:ID1=SIM-DK&amp;window=popup&amp;width=535&amp;height=425&amp;START_MAXIMIZED=FALSE&amp;Y=120"}</definedName>
    <definedName name="_1056__FDSAUDITLINK__" localSheetId="0" hidden="1">{"fdsup://directions/FAT Viewer?action=UPDATE&amp;creator=factSet&amp;DYN_ARGS=true&amp;DOC_NAME=FAT:RGQ_ENTRPR_VAL_EV_SOURCE_WINDOW.FAT&amp;VAR:ID1=SIM-DK&amp;window=popup&amp;width=535&amp;height=425&amp;START_MAXIMIZED=FALSE&amp;Y=120"}</definedName>
    <definedName name="_1056__FDSAUDITLINK__" localSheetId="6" hidden="1">{"fdsup://directions/FAT Viewer?action=UPDATE&amp;creator=factSet&amp;DYN_ARGS=true&amp;DOC_NAME=FAT:RGQ_ENTRPR_VAL_EV_SOURCE_WINDOW.FAT&amp;VAR:ID1=SIM-DK&amp;window=popup&amp;width=535&amp;height=425&amp;START_MAXIMIZED=FALSE&amp;Y=120"}</definedName>
    <definedName name="_1056__FDSAUDITLINK__" hidden="1">{"fdsup://directions/FAT Viewer?action=UPDATE&amp;creator=factSet&amp;DYN_ARGS=true&amp;DOC_NAME=FAT:RGQ_ENTRPR_VAL_EV_SOURCE_WINDOW.FAT&amp;VAR:ID1=SIM-DK&amp;window=popup&amp;width=535&amp;height=425&amp;START_MAXIMIZED=FALSE&amp;Y=120"}</definedName>
    <definedName name="_1057__FDSAUDITLINK__" localSheetId="0" hidden="1">{"fdsup://directions/FAT Viewer?action=UPDATE&amp;creator=factSet&amp;DYN_ARGS=true&amp;DOC_NAME=FAT:RGQ_ENTRPR_VAL_EV_SOURCE_WINDOW.FAT&amp;VAR:ID1=SIM-DK&amp;window=popup&amp;width=535&amp;height=425&amp;START_MAXIMIZED=FALSE&amp;Y=120"}</definedName>
    <definedName name="_1057__FDSAUDITLINK__" localSheetId="6" hidden="1">{"fdsup://directions/FAT Viewer?action=UPDATE&amp;creator=factSet&amp;DYN_ARGS=true&amp;DOC_NAME=FAT:RGQ_ENTRPR_VAL_EV_SOURCE_WINDOW.FAT&amp;VAR:ID1=SIM-DK&amp;window=popup&amp;width=535&amp;height=425&amp;START_MAXIMIZED=FALSE&amp;Y=120"}</definedName>
    <definedName name="_1057__FDSAUDITLINK__" hidden="1">{"fdsup://directions/FAT Viewer?action=UPDATE&amp;creator=factSet&amp;DYN_ARGS=true&amp;DOC_NAME=FAT:RGQ_ENTRPR_VAL_EV_SOURCE_WINDOW.FAT&amp;VAR:ID1=SIM-DK&amp;window=popup&amp;width=535&amp;height=425&amp;START_MAXIMIZED=FALSE&amp;Y=120"}</definedName>
    <definedName name="_1058__FDSAUDITLINK__" localSheetId="0" hidden="1">{"fdsup://directions/FAT Viewer?action=UPDATE&amp;creator=factSet&amp;DYN_ARGS=true&amp;DOC_NAME=FAT:RGQ_ENTRPR_VAL_EV_SOURCE_WINDOW.FAT&amp;VAR:ID1=SIM-DK&amp;window=popup&amp;width=535&amp;height=425&amp;START_MAXIMIZED=FALSE&amp;Y=120"}</definedName>
    <definedName name="_1058__FDSAUDITLINK__" localSheetId="6" hidden="1">{"fdsup://directions/FAT Viewer?action=UPDATE&amp;creator=factSet&amp;DYN_ARGS=true&amp;DOC_NAME=FAT:RGQ_ENTRPR_VAL_EV_SOURCE_WINDOW.FAT&amp;VAR:ID1=SIM-DK&amp;window=popup&amp;width=535&amp;height=425&amp;START_MAXIMIZED=FALSE&amp;Y=120"}</definedName>
    <definedName name="_1058__FDSAUDITLINK__" hidden="1">{"fdsup://directions/FAT Viewer?action=UPDATE&amp;creator=factSet&amp;DYN_ARGS=true&amp;DOC_NAME=FAT:RGQ_ENTRPR_VAL_EV_SOURCE_WINDOW.FAT&amp;VAR:ID1=SIM-DK&amp;window=popup&amp;width=535&amp;height=425&amp;START_MAXIMIZED=FALSE&amp;Y=120"}</definedName>
    <definedName name="_1059__123Graph_LBL_ECHART_17" hidden="1">#REF!</definedName>
    <definedName name="_1059__FDSAUDITLINK__" localSheetId="0" hidden="1">{"fdsup://directions/FAT Viewer?action=UPDATE&amp;creator=factSet&amp;DYN_ARGS=true&amp;DOC_NAME=FAT:RGQ_ENTRPR_VAL_EV_SOURCE_WINDOW.FAT&amp;VAR:ID1=SIM-DK&amp;window=popup&amp;width=535&amp;height=425&amp;START_MAXIMIZED=FALSE&amp;Y=120"}</definedName>
    <definedName name="_1059__FDSAUDITLINK__" localSheetId="6" hidden="1">{"fdsup://directions/FAT Viewer?action=UPDATE&amp;creator=factSet&amp;DYN_ARGS=true&amp;DOC_NAME=FAT:RGQ_ENTRPR_VAL_EV_SOURCE_WINDOW.FAT&amp;VAR:ID1=SIM-DK&amp;window=popup&amp;width=535&amp;height=425&amp;START_MAXIMIZED=FALSE&amp;Y=120"}</definedName>
    <definedName name="_1059__FDSAUDITLINK__" hidden="1">{"fdsup://directions/FAT Viewer?action=UPDATE&amp;creator=factSet&amp;DYN_ARGS=true&amp;DOC_NAME=FAT:RGQ_ENTRPR_VAL_EV_SOURCE_WINDOW.FAT&amp;VAR:ID1=SIM-DK&amp;window=popup&amp;width=535&amp;height=425&amp;START_MAXIMIZED=FALSE&amp;Y=120"}</definedName>
    <definedName name="_106__FDSAUDITLINK__" localSheetId="0" hidden="1">{"fdsup://directions/FAT Viewer?action=UPDATE&amp;creator=factSet&amp;DYN_ARGS=true&amp;DOC_NAME=FAT:RGA_ENTRPR_VAL_EV_SOURCE_WINDOW.FAT&amp;VAR:ID1=GLT-FR&amp;window=popup&amp;width=535&amp;height=425&amp;START_MAXIMIZED=FALSE&amp;Y=120"}</definedName>
    <definedName name="_106__FDSAUDITLINK__" localSheetId="6" hidden="1">{"fdsup://directions/FAT Viewer?action=UPDATE&amp;creator=factSet&amp;DYN_ARGS=true&amp;DOC_NAME=FAT:RGA_ENTRPR_VAL_EV_SOURCE_WINDOW.FAT&amp;VAR:ID1=GLT-FR&amp;window=popup&amp;width=535&amp;height=425&amp;START_MAXIMIZED=FALSE&amp;Y=120"}</definedName>
    <definedName name="_106__FDSAUDITLINK__" hidden="1">{"fdsup://directions/FAT Viewer?action=UPDATE&amp;creator=factSet&amp;DYN_ARGS=true&amp;DOC_NAME=FAT:RGA_ENTRPR_VAL_EV_SOURCE_WINDOW.FAT&amp;VAR:ID1=GLT-FR&amp;window=popup&amp;width=535&amp;height=425&amp;START_MAXIMIZED=FALSE&amp;Y=120"}</definedName>
    <definedName name="_1060__FDSAUDITLINK__" localSheetId="0" hidden="1">{"fdsup://directions/FAT Viewer?action=UPDATE&amp;creator=factSet&amp;DYN_ARGS=true&amp;DOC_NAME=FAT:RGQ_ENTRPR_VAL_EV_SOURCE_WINDOW.FAT&amp;VAR:ID1=SIM-DK&amp;window=popup&amp;width=535&amp;height=425&amp;START_MAXIMIZED=FALSE&amp;Y=120"}</definedName>
    <definedName name="_1060__FDSAUDITLINK__" localSheetId="6" hidden="1">{"fdsup://directions/FAT Viewer?action=UPDATE&amp;creator=factSet&amp;DYN_ARGS=true&amp;DOC_NAME=FAT:RGQ_ENTRPR_VAL_EV_SOURCE_WINDOW.FAT&amp;VAR:ID1=SIM-DK&amp;window=popup&amp;width=535&amp;height=425&amp;START_MAXIMIZED=FALSE&amp;Y=120"}</definedName>
    <definedName name="_1060__FDSAUDITLINK__" hidden="1">{"fdsup://directions/FAT Viewer?action=UPDATE&amp;creator=factSet&amp;DYN_ARGS=true&amp;DOC_NAME=FAT:RGQ_ENTRPR_VAL_EV_SOURCE_WINDOW.FAT&amp;VAR:ID1=SIM-DK&amp;window=popup&amp;width=535&amp;height=425&amp;START_MAXIMIZED=FALSE&amp;Y=120"}</definedName>
    <definedName name="_1061__FDSAUDITLINK__" localSheetId="0" hidden="1">{"fdsup://directions/FAT Viewer?action=UPDATE&amp;creator=factSet&amp;DYN_ARGS=true&amp;DOC_NAME=FAT:RGQ_ENTRPR_VAL_EV_SOURCE_WINDOW.FAT&amp;VAR:ID1=SIM-DK&amp;window=popup&amp;width=535&amp;height=425&amp;START_MAXIMIZED=FALSE&amp;Y=120"}</definedName>
    <definedName name="_1061__FDSAUDITLINK__" localSheetId="6" hidden="1">{"fdsup://directions/FAT Viewer?action=UPDATE&amp;creator=factSet&amp;DYN_ARGS=true&amp;DOC_NAME=FAT:RGQ_ENTRPR_VAL_EV_SOURCE_WINDOW.FAT&amp;VAR:ID1=SIM-DK&amp;window=popup&amp;width=535&amp;height=425&amp;START_MAXIMIZED=FALSE&amp;Y=120"}</definedName>
    <definedName name="_1061__FDSAUDITLINK__" hidden="1">{"fdsup://directions/FAT Viewer?action=UPDATE&amp;creator=factSet&amp;DYN_ARGS=true&amp;DOC_NAME=FAT:RGQ_ENTRPR_VAL_EV_SOURCE_WINDOW.FAT&amp;VAR:ID1=SIM-DK&amp;window=popup&amp;width=535&amp;height=425&amp;START_MAXIMIZED=FALSE&amp;Y=120"}</definedName>
    <definedName name="_1062__FDSAUDITLINK__" localSheetId="0" hidden="1">{"fdsup://directions/FAT Viewer?action=UPDATE&amp;creator=factSet&amp;DYN_ARGS=true&amp;DOC_NAME=FAT:RGQ_ENTRPR_VAL_EV_SOURCE_WINDOW.FAT&amp;VAR:ID1=SIM-DK&amp;window=popup&amp;width=535&amp;height=425&amp;START_MAXIMIZED=FALSE&amp;Y=120"}</definedName>
    <definedName name="_1062__FDSAUDITLINK__" localSheetId="6" hidden="1">{"fdsup://directions/FAT Viewer?action=UPDATE&amp;creator=factSet&amp;DYN_ARGS=true&amp;DOC_NAME=FAT:RGQ_ENTRPR_VAL_EV_SOURCE_WINDOW.FAT&amp;VAR:ID1=SIM-DK&amp;window=popup&amp;width=535&amp;height=425&amp;START_MAXIMIZED=FALSE&amp;Y=120"}</definedName>
    <definedName name="_1062__FDSAUDITLINK__" hidden="1">{"fdsup://directions/FAT Viewer?action=UPDATE&amp;creator=factSet&amp;DYN_ARGS=true&amp;DOC_NAME=FAT:RGQ_ENTRPR_VAL_EV_SOURCE_WINDOW.FAT&amp;VAR:ID1=SIM-DK&amp;window=popup&amp;width=535&amp;height=425&amp;START_MAXIMIZED=FALSE&amp;Y=120"}</definedName>
    <definedName name="_1063__FDSAUDITLINK__" localSheetId="0" hidden="1">{"fdsup://directions/FAT Viewer?action=UPDATE&amp;creator=factSet&amp;DYN_ARGS=true&amp;DOC_NAME=FAT:RGQ_ENTRPR_VAL_EV_SOURCE_WINDOW.FAT&amp;VAR:ID1=SIM-DK&amp;window=popup&amp;width=535&amp;height=425&amp;START_MAXIMIZED=FALSE&amp;Y=120"}</definedName>
    <definedName name="_1063__FDSAUDITLINK__" localSheetId="6" hidden="1">{"fdsup://directions/FAT Viewer?action=UPDATE&amp;creator=factSet&amp;DYN_ARGS=true&amp;DOC_NAME=FAT:RGQ_ENTRPR_VAL_EV_SOURCE_WINDOW.FAT&amp;VAR:ID1=SIM-DK&amp;window=popup&amp;width=535&amp;height=425&amp;START_MAXIMIZED=FALSE&amp;Y=120"}</definedName>
    <definedName name="_1063__FDSAUDITLINK__" hidden="1">{"fdsup://directions/FAT Viewer?action=UPDATE&amp;creator=factSet&amp;DYN_ARGS=true&amp;DOC_NAME=FAT:RGQ_ENTRPR_VAL_EV_SOURCE_WINDOW.FAT&amp;VAR:ID1=SIM-DK&amp;window=popup&amp;width=535&amp;height=425&amp;START_MAXIMIZED=FALSE&amp;Y=120"}</definedName>
    <definedName name="_1064__FDSAUDITLINK__" localSheetId="0" hidden="1">{"fdsup://directions/FAT Viewer?action=UPDATE&amp;creator=factSet&amp;DYN_ARGS=true&amp;DOC_NAME=FAT:RGQ_ENTRPR_VAL_EV_SOURCE_WINDOW.FAT&amp;VAR:ID1=SIM-DK&amp;window=popup&amp;width=535&amp;height=425&amp;START_MAXIMIZED=FALSE&amp;Y=120"}</definedName>
    <definedName name="_1064__FDSAUDITLINK__" localSheetId="6" hidden="1">{"fdsup://directions/FAT Viewer?action=UPDATE&amp;creator=factSet&amp;DYN_ARGS=true&amp;DOC_NAME=FAT:RGQ_ENTRPR_VAL_EV_SOURCE_WINDOW.FAT&amp;VAR:ID1=SIM-DK&amp;window=popup&amp;width=535&amp;height=425&amp;START_MAXIMIZED=FALSE&amp;Y=120"}</definedName>
    <definedName name="_1064__FDSAUDITLINK__" hidden="1">{"fdsup://directions/FAT Viewer?action=UPDATE&amp;creator=factSet&amp;DYN_ARGS=true&amp;DOC_NAME=FAT:RGQ_ENTRPR_VAL_EV_SOURCE_WINDOW.FAT&amp;VAR:ID1=SIM-DK&amp;window=popup&amp;width=535&amp;height=425&amp;START_MAXIMIZED=FALSE&amp;Y=120"}</definedName>
    <definedName name="_1065__FDSAUDITLINK__" localSheetId="0" hidden="1">{"fdsup://directions/FAT Viewer?action=UPDATE&amp;creator=factSet&amp;DYN_ARGS=true&amp;DOC_NAME=FAT:RGQ_ENTRPR_VAL_EV_SOURCE_WINDOW.FAT&amp;VAR:ID1=SIM-DK&amp;window=popup&amp;width=535&amp;height=425&amp;START_MAXIMIZED=FALSE&amp;Y=120"}</definedName>
    <definedName name="_1065__FDSAUDITLINK__" localSheetId="6" hidden="1">{"fdsup://directions/FAT Viewer?action=UPDATE&amp;creator=factSet&amp;DYN_ARGS=true&amp;DOC_NAME=FAT:RGQ_ENTRPR_VAL_EV_SOURCE_WINDOW.FAT&amp;VAR:ID1=SIM-DK&amp;window=popup&amp;width=535&amp;height=425&amp;START_MAXIMIZED=FALSE&amp;Y=120"}</definedName>
    <definedName name="_1065__FDSAUDITLINK__" hidden="1">{"fdsup://directions/FAT Viewer?action=UPDATE&amp;creator=factSet&amp;DYN_ARGS=true&amp;DOC_NAME=FAT:RGQ_ENTRPR_VAL_EV_SOURCE_WINDOW.FAT&amp;VAR:ID1=SIM-DK&amp;window=popup&amp;width=535&amp;height=425&amp;START_MAXIMIZED=FALSE&amp;Y=120"}</definedName>
    <definedName name="_1066__FDSAUDITLINK__" localSheetId="0" hidden="1">{"fdsup://directions/FAT Viewer?action=UPDATE&amp;creator=factSet&amp;DYN_ARGS=true&amp;DOC_NAME=FAT:RGQ_ENTRPR_VAL_EV_SOURCE_WINDOW.FAT&amp;VAR:ID1=SIM-DK&amp;window=popup&amp;width=535&amp;height=425&amp;START_MAXIMIZED=FALSE&amp;Y=120"}</definedName>
    <definedName name="_1066__FDSAUDITLINK__" localSheetId="6" hidden="1">{"fdsup://directions/FAT Viewer?action=UPDATE&amp;creator=factSet&amp;DYN_ARGS=true&amp;DOC_NAME=FAT:RGQ_ENTRPR_VAL_EV_SOURCE_WINDOW.FAT&amp;VAR:ID1=SIM-DK&amp;window=popup&amp;width=535&amp;height=425&amp;START_MAXIMIZED=FALSE&amp;Y=120"}</definedName>
    <definedName name="_1066__FDSAUDITLINK__" hidden="1">{"fdsup://directions/FAT Viewer?action=UPDATE&amp;creator=factSet&amp;DYN_ARGS=true&amp;DOC_NAME=FAT:RGQ_ENTRPR_VAL_EV_SOURCE_WINDOW.FAT&amp;VAR:ID1=SIM-DK&amp;window=popup&amp;width=535&amp;height=425&amp;START_MAXIMIZED=FALSE&amp;Y=120"}</definedName>
    <definedName name="_1067__FDSAUDITLINK__" localSheetId="0" hidden="1">{"fdsup://directions/FAT Viewer?action=UPDATE&amp;creator=factSet&amp;DYN_ARGS=true&amp;DOC_NAME=FAT:RGQ_ENTRPR_VAL_EV_SOURCE_WINDOW.FAT&amp;VAR:ID1=SIM-DK&amp;window=popup&amp;width=535&amp;height=425&amp;START_MAXIMIZED=FALSE&amp;Y=120"}</definedName>
    <definedName name="_1067__FDSAUDITLINK__" localSheetId="6" hidden="1">{"fdsup://directions/FAT Viewer?action=UPDATE&amp;creator=factSet&amp;DYN_ARGS=true&amp;DOC_NAME=FAT:RGQ_ENTRPR_VAL_EV_SOURCE_WINDOW.FAT&amp;VAR:ID1=SIM-DK&amp;window=popup&amp;width=535&amp;height=425&amp;START_MAXIMIZED=FALSE&amp;Y=120"}</definedName>
    <definedName name="_1067__FDSAUDITLINK__" hidden="1">{"fdsup://directions/FAT Viewer?action=UPDATE&amp;creator=factSet&amp;DYN_ARGS=true&amp;DOC_NAME=FAT:RGQ_ENTRPR_VAL_EV_SOURCE_WINDOW.FAT&amp;VAR:ID1=SIM-DK&amp;window=popup&amp;width=535&amp;height=425&amp;START_MAXIMIZED=FALSE&amp;Y=120"}</definedName>
    <definedName name="_1068__FDSAUDITLINK__" localSheetId="0" hidden="1">{"fdsup://Directions/FAT Viewer?action=UPDATE&amp;creator=factset&amp;DOC_NAME=fat:reuters_semi_source_window.fat&amp;display_string=Audit&amp;DYN_ARGS=TRUE&amp;VAR:ID1=561947&amp;VAR:RCODE=FDSENTRPRVAL&amp;VAR:SDATE=37711&amp;VAR:FREQ=Daily&amp;VAR:RELITEM=RF&amp;VAR:CURRENCY=EUR&amp;VAR:CURRSOURCE=","EXSHARE&amp;VAR:NATFREQ=FSA&amp;VAR:RFIELD=FINALIZED&amp;VAR:DB_TYPE=&amp;VAR:UNITS=M&amp;window=popup&amp;width=450&amp;height=300&amp;START_MAXIMIZED=FALSE"}</definedName>
    <definedName name="_1068__FDSAUDITLINK__" localSheetId="6" hidden="1">{"fdsup://Directions/FAT Viewer?action=UPDATE&amp;creator=factset&amp;DOC_NAME=fat:reuters_semi_source_window.fat&amp;display_string=Audit&amp;DYN_ARGS=TRUE&amp;VAR:ID1=561947&amp;VAR:RCODE=FDSENTRPRVAL&amp;VAR:SDATE=37711&amp;VAR:FREQ=Daily&amp;VAR:RELITEM=RF&amp;VAR:CURRENCY=EUR&amp;VAR:CURRSOURCE=","EXSHARE&amp;VAR:NATFREQ=FSA&amp;VAR:RFIELD=FINALIZED&amp;VAR:DB_TYPE=&amp;VAR:UNITS=M&amp;window=popup&amp;width=450&amp;height=300&amp;START_MAXIMIZED=FALSE"}</definedName>
    <definedName name="_1068__FDSAUDITLINK__" hidden="1">{"fdsup://Directions/FAT Viewer?action=UPDATE&amp;creator=factset&amp;DOC_NAME=fat:reuters_semi_source_window.fat&amp;display_string=Audit&amp;DYN_ARGS=TRUE&amp;VAR:ID1=561947&amp;VAR:RCODE=FDSENTRPRVAL&amp;VAR:SDATE=37711&amp;VAR:FREQ=Daily&amp;VAR:RELITEM=RF&amp;VAR:CURRENCY=EUR&amp;VAR:CURRSOURCE=","EXSHARE&amp;VAR:NATFREQ=FSA&amp;VAR:RFIELD=FINALIZED&amp;VAR:DB_TYPE=&amp;VAR:UNITS=M&amp;window=popup&amp;width=450&amp;height=300&amp;START_MAXIMIZED=FALSE"}</definedName>
    <definedName name="_1069__FDSAUDITLINK__" localSheetId="0" hidden="1">{"fdsup://Directions/FAT Viewer?action=UPDATE&amp;creator=factset&amp;DOC_NAME=fat:reuters_semi_source_window.fat&amp;display_string=Audit&amp;DYN_ARGS=TRUE&amp;VAR:ID1=561947&amp;VAR:RCODE=FDSENTRPRVAL&amp;VAR:SDATE=37802&amp;VAR:FREQ=Daily&amp;VAR:RELITEM=RF&amp;VAR:CURRENCY=EUR&amp;VAR:CURRSOURCE=","EXSHARE&amp;VAR:NATFREQ=FSA&amp;VAR:RFIELD=FINALIZED&amp;VAR:DB_TYPE=&amp;VAR:UNITS=M&amp;window=popup&amp;width=450&amp;height=300&amp;START_MAXIMIZED=FALSE"}</definedName>
    <definedName name="_1069__FDSAUDITLINK__" localSheetId="6" hidden="1">{"fdsup://Directions/FAT Viewer?action=UPDATE&amp;creator=factset&amp;DOC_NAME=fat:reuters_semi_source_window.fat&amp;display_string=Audit&amp;DYN_ARGS=TRUE&amp;VAR:ID1=561947&amp;VAR:RCODE=FDSENTRPRVAL&amp;VAR:SDATE=37802&amp;VAR:FREQ=Daily&amp;VAR:RELITEM=RF&amp;VAR:CURRENCY=EUR&amp;VAR:CURRSOURCE=","EXSHARE&amp;VAR:NATFREQ=FSA&amp;VAR:RFIELD=FINALIZED&amp;VAR:DB_TYPE=&amp;VAR:UNITS=M&amp;window=popup&amp;width=450&amp;height=300&amp;START_MAXIMIZED=FALSE"}</definedName>
    <definedName name="_1069__FDSAUDITLINK__" hidden="1">{"fdsup://Directions/FAT Viewer?action=UPDATE&amp;creator=factset&amp;DOC_NAME=fat:reuters_semi_source_window.fat&amp;display_string=Audit&amp;DYN_ARGS=TRUE&amp;VAR:ID1=561947&amp;VAR:RCODE=FDSENTRPRVAL&amp;VAR:SDATE=37802&amp;VAR:FREQ=Daily&amp;VAR:RELITEM=RF&amp;VAR:CURRENCY=EUR&amp;VAR:CURRSOURCE=","EXSHARE&amp;VAR:NATFREQ=FSA&amp;VAR:RFIELD=FINALIZED&amp;VAR:DB_TYPE=&amp;VAR:UNITS=M&amp;window=popup&amp;width=450&amp;height=300&amp;START_MAXIMIZED=FALSE"}</definedName>
    <definedName name="_107__FDSAUDITLINK__" localSheetId="0" hidden="1">{"fdsup://directions/FAT Viewer?action=UPDATE&amp;creator=factSet&amp;DYN_ARGS=true&amp;DOC_NAME=FAT:RGA_ENTRPR_VAL_EV_SOURCE_WINDOW.FAT&amp;VAR:ID1=GLT-FR&amp;window=popup&amp;width=535&amp;height=425&amp;START_MAXIMIZED=FALSE&amp;Y=120"}</definedName>
    <definedName name="_107__FDSAUDITLINK__" localSheetId="6" hidden="1">{"fdsup://directions/FAT Viewer?action=UPDATE&amp;creator=factSet&amp;DYN_ARGS=true&amp;DOC_NAME=FAT:RGA_ENTRPR_VAL_EV_SOURCE_WINDOW.FAT&amp;VAR:ID1=GLT-FR&amp;window=popup&amp;width=535&amp;height=425&amp;START_MAXIMIZED=FALSE&amp;Y=120"}</definedName>
    <definedName name="_107__FDSAUDITLINK__" hidden="1">{"fdsup://directions/FAT Viewer?action=UPDATE&amp;creator=factSet&amp;DYN_ARGS=true&amp;DOC_NAME=FAT:RGA_ENTRPR_VAL_EV_SOURCE_WINDOW.FAT&amp;VAR:ID1=GLT-FR&amp;window=popup&amp;width=535&amp;height=425&amp;START_MAXIMIZED=FALSE&amp;Y=120"}</definedName>
    <definedName name="_1070__FDSAUDITLINK__" localSheetId="0" hidden="1">{"fdsup://Directions/FAT Viewer?action=UPDATE&amp;creator=factset&amp;DOC_NAME=fat:reuters_semi_source_window.fat&amp;display_string=Audit&amp;DYN_ARGS=TRUE&amp;VAR:ID1=561947&amp;VAR:RCODE=FDSENTRPRVAL&amp;VAR:SDATE=37894&amp;VAR:FREQ=Daily&amp;VAR:RELITEM=RF&amp;VAR:CURRENCY=EUR&amp;VAR:CURRSOURCE=","EXSHARE&amp;VAR:NATFREQ=FSA&amp;VAR:RFIELD=FINALIZED&amp;VAR:DB_TYPE=&amp;VAR:UNITS=M&amp;window=popup&amp;width=450&amp;height=300&amp;START_MAXIMIZED=FALSE"}</definedName>
    <definedName name="_1070__FDSAUDITLINK__" localSheetId="6" hidden="1">{"fdsup://Directions/FAT Viewer?action=UPDATE&amp;creator=factset&amp;DOC_NAME=fat:reuters_semi_source_window.fat&amp;display_string=Audit&amp;DYN_ARGS=TRUE&amp;VAR:ID1=561947&amp;VAR:RCODE=FDSENTRPRVAL&amp;VAR:SDATE=37894&amp;VAR:FREQ=Daily&amp;VAR:RELITEM=RF&amp;VAR:CURRENCY=EUR&amp;VAR:CURRSOURCE=","EXSHARE&amp;VAR:NATFREQ=FSA&amp;VAR:RFIELD=FINALIZED&amp;VAR:DB_TYPE=&amp;VAR:UNITS=M&amp;window=popup&amp;width=450&amp;height=300&amp;START_MAXIMIZED=FALSE"}</definedName>
    <definedName name="_1070__FDSAUDITLINK__" hidden="1">{"fdsup://Directions/FAT Viewer?action=UPDATE&amp;creator=factset&amp;DOC_NAME=fat:reuters_semi_source_window.fat&amp;display_string=Audit&amp;DYN_ARGS=TRUE&amp;VAR:ID1=561947&amp;VAR:RCODE=FDSENTRPRVAL&amp;VAR:SDATE=37894&amp;VAR:FREQ=Daily&amp;VAR:RELITEM=RF&amp;VAR:CURRENCY=EUR&amp;VAR:CURRSOURCE=","EXSHARE&amp;VAR:NATFREQ=FSA&amp;VAR:RFIELD=FINALIZED&amp;VAR:DB_TYPE=&amp;VAR:UNITS=M&amp;window=popup&amp;width=450&amp;height=300&amp;START_MAXIMIZED=FALSE"}</definedName>
    <definedName name="_1071__FDSAUDITLINK__" localSheetId="0" hidden="1">{"fdsup://Directions/FAT Viewer?action=UPDATE&amp;creator=factset&amp;DOC_NAME=fat:reuters_semi_source_window.fat&amp;display_string=Audit&amp;DYN_ARGS=TRUE&amp;VAR:ID1=561947&amp;VAR:RCODE=FDSENTRPRVAL&amp;VAR:SDATE=37986&amp;VAR:FREQ=Daily&amp;VAR:RELITEM=RF&amp;VAR:CURRENCY=EUR&amp;VAR:CURRSOURCE=","EXSHARE&amp;VAR:NATFREQ=FSA&amp;VAR:RFIELD=FINALIZED&amp;VAR:DB_TYPE=&amp;VAR:UNITS=M&amp;window=popup&amp;width=450&amp;height=300&amp;START_MAXIMIZED=FALSE"}</definedName>
    <definedName name="_1071__FDSAUDITLINK__" localSheetId="6" hidden="1">{"fdsup://Directions/FAT Viewer?action=UPDATE&amp;creator=factset&amp;DOC_NAME=fat:reuters_semi_source_window.fat&amp;display_string=Audit&amp;DYN_ARGS=TRUE&amp;VAR:ID1=561947&amp;VAR:RCODE=FDSENTRPRVAL&amp;VAR:SDATE=37986&amp;VAR:FREQ=Daily&amp;VAR:RELITEM=RF&amp;VAR:CURRENCY=EUR&amp;VAR:CURRSOURCE=","EXSHARE&amp;VAR:NATFREQ=FSA&amp;VAR:RFIELD=FINALIZED&amp;VAR:DB_TYPE=&amp;VAR:UNITS=M&amp;window=popup&amp;width=450&amp;height=300&amp;START_MAXIMIZED=FALSE"}</definedName>
    <definedName name="_1071__FDSAUDITLINK__" hidden="1">{"fdsup://Directions/FAT Viewer?action=UPDATE&amp;creator=factset&amp;DOC_NAME=fat:reuters_semi_source_window.fat&amp;display_string=Audit&amp;DYN_ARGS=TRUE&amp;VAR:ID1=561947&amp;VAR:RCODE=FDSENTRPRVAL&amp;VAR:SDATE=37986&amp;VAR:FREQ=Daily&amp;VAR:RELITEM=RF&amp;VAR:CURRENCY=EUR&amp;VAR:CURRSOURCE=","EXSHARE&amp;VAR:NATFREQ=FSA&amp;VAR:RFIELD=FINALIZED&amp;VAR:DB_TYPE=&amp;VAR:UNITS=M&amp;window=popup&amp;width=450&amp;height=300&amp;START_MAXIMIZED=FALSE"}</definedName>
    <definedName name="_1072__123Graph_LBL_ECHART_19" hidden="1">#REF!</definedName>
    <definedName name="_1072__FDSAUDITLINK__" localSheetId="0" hidden="1">{"fdsup://Directions/FAT Viewer?action=UPDATE&amp;creator=factset&amp;DOC_NAME=fat:reuters_semi_source_window.fat&amp;display_string=Audit&amp;DYN_ARGS=TRUE&amp;VAR:ID1=561947&amp;VAR:RCODE=FDSENTRPRVAL&amp;VAR:SDATE=38077&amp;VAR:FREQ=Daily&amp;VAR:RELITEM=RF&amp;VAR:CURRENCY=EUR&amp;VAR:CURRSOURCE=","EXSHARE&amp;VAR:NATFREQ=FSA&amp;VAR:RFIELD=FINALIZED&amp;VAR:DB_TYPE=&amp;VAR:UNITS=M&amp;window=popup&amp;width=450&amp;height=300&amp;START_MAXIMIZED=FALSE"}</definedName>
    <definedName name="_1072__FDSAUDITLINK__" localSheetId="6" hidden="1">{"fdsup://Directions/FAT Viewer?action=UPDATE&amp;creator=factset&amp;DOC_NAME=fat:reuters_semi_source_window.fat&amp;display_string=Audit&amp;DYN_ARGS=TRUE&amp;VAR:ID1=561947&amp;VAR:RCODE=FDSENTRPRVAL&amp;VAR:SDATE=38077&amp;VAR:FREQ=Daily&amp;VAR:RELITEM=RF&amp;VAR:CURRENCY=EUR&amp;VAR:CURRSOURCE=","EXSHARE&amp;VAR:NATFREQ=FSA&amp;VAR:RFIELD=FINALIZED&amp;VAR:DB_TYPE=&amp;VAR:UNITS=M&amp;window=popup&amp;width=450&amp;height=300&amp;START_MAXIMIZED=FALSE"}</definedName>
    <definedName name="_1072__FDSAUDITLINK__" hidden="1">{"fdsup://Directions/FAT Viewer?action=UPDATE&amp;creator=factset&amp;DOC_NAME=fat:reuters_semi_source_window.fat&amp;display_string=Audit&amp;DYN_ARGS=TRUE&amp;VAR:ID1=561947&amp;VAR:RCODE=FDSENTRPRVAL&amp;VAR:SDATE=38077&amp;VAR:FREQ=Daily&amp;VAR:RELITEM=RF&amp;VAR:CURRENCY=EUR&amp;VAR:CURRSOURCE=","EXSHARE&amp;VAR:NATFREQ=FSA&amp;VAR:RFIELD=FINALIZED&amp;VAR:DB_TYPE=&amp;VAR:UNITS=M&amp;window=popup&amp;width=450&amp;height=300&amp;START_MAXIMIZED=FALSE"}</definedName>
    <definedName name="_1073__FDSAUDITLINK__" localSheetId="0" hidden="1">{"fdsup://Directions/FAT Viewer?action=UPDATE&amp;creator=factset&amp;DOC_NAME=fat:reuters_semi_source_window.fat&amp;display_string=Audit&amp;DYN_ARGS=TRUE&amp;VAR:ID1=561947&amp;VAR:RCODE=FDSENTRPRVAL&amp;VAR:SDATE=38168&amp;VAR:FREQ=Daily&amp;VAR:RELITEM=RF&amp;VAR:CURRENCY=EUR&amp;VAR:CURRSOURCE=","EXSHARE&amp;VAR:NATFREQ=FSA&amp;VAR:RFIELD=FINALIZED&amp;VAR:DB_TYPE=&amp;VAR:UNITS=M&amp;window=popup&amp;width=450&amp;height=300&amp;START_MAXIMIZED=FALSE"}</definedName>
    <definedName name="_1073__FDSAUDITLINK__" localSheetId="6" hidden="1">{"fdsup://Directions/FAT Viewer?action=UPDATE&amp;creator=factset&amp;DOC_NAME=fat:reuters_semi_source_window.fat&amp;display_string=Audit&amp;DYN_ARGS=TRUE&amp;VAR:ID1=561947&amp;VAR:RCODE=FDSENTRPRVAL&amp;VAR:SDATE=38168&amp;VAR:FREQ=Daily&amp;VAR:RELITEM=RF&amp;VAR:CURRENCY=EUR&amp;VAR:CURRSOURCE=","EXSHARE&amp;VAR:NATFREQ=FSA&amp;VAR:RFIELD=FINALIZED&amp;VAR:DB_TYPE=&amp;VAR:UNITS=M&amp;window=popup&amp;width=450&amp;height=300&amp;START_MAXIMIZED=FALSE"}</definedName>
    <definedName name="_1073__FDSAUDITLINK__" hidden="1">{"fdsup://Directions/FAT Viewer?action=UPDATE&amp;creator=factset&amp;DOC_NAME=fat:reuters_semi_source_window.fat&amp;display_string=Audit&amp;DYN_ARGS=TRUE&amp;VAR:ID1=561947&amp;VAR:RCODE=FDSENTRPRVAL&amp;VAR:SDATE=38168&amp;VAR:FREQ=Daily&amp;VAR:RELITEM=RF&amp;VAR:CURRENCY=EUR&amp;VAR:CURRSOURCE=","EXSHARE&amp;VAR:NATFREQ=FSA&amp;VAR:RFIELD=FINALIZED&amp;VAR:DB_TYPE=&amp;VAR:UNITS=M&amp;window=popup&amp;width=450&amp;height=300&amp;START_MAXIMIZED=FALSE"}</definedName>
    <definedName name="_1074__FDSAUDITLINK__" localSheetId="0" hidden="1">{"fdsup://Directions/FAT Viewer?action=UPDATE&amp;creator=factset&amp;DOC_NAME=fat:reuters_semi_source_window.fat&amp;display_string=Audit&amp;DYN_ARGS=TRUE&amp;VAR:ID1=561947&amp;VAR:RCODE=FDSENTRPRVAL&amp;VAR:SDATE=38260&amp;VAR:FREQ=Daily&amp;VAR:RELITEM=RF&amp;VAR:CURRENCY=EUR&amp;VAR:CURRSOURCE=","EXSHARE&amp;VAR:NATFREQ=FSA&amp;VAR:RFIELD=FINALIZED&amp;VAR:DB_TYPE=&amp;VAR:UNITS=M&amp;window=popup&amp;width=450&amp;height=300&amp;START_MAXIMIZED=FALSE"}</definedName>
    <definedName name="_1074__FDSAUDITLINK__" localSheetId="6" hidden="1">{"fdsup://Directions/FAT Viewer?action=UPDATE&amp;creator=factset&amp;DOC_NAME=fat:reuters_semi_source_window.fat&amp;display_string=Audit&amp;DYN_ARGS=TRUE&amp;VAR:ID1=561947&amp;VAR:RCODE=FDSENTRPRVAL&amp;VAR:SDATE=38260&amp;VAR:FREQ=Daily&amp;VAR:RELITEM=RF&amp;VAR:CURRENCY=EUR&amp;VAR:CURRSOURCE=","EXSHARE&amp;VAR:NATFREQ=FSA&amp;VAR:RFIELD=FINALIZED&amp;VAR:DB_TYPE=&amp;VAR:UNITS=M&amp;window=popup&amp;width=450&amp;height=300&amp;START_MAXIMIZED=FALSE"}</definedName>
    <definedName name="_1074__FDSAUDITLINK__" hidden="1">{"fdsup://Directions/FAT Viewer?action=UPDATE&amp;creator=factset&amp;DOC_NAME=fat:reuters_semi_source_window.fat&amp;display_string=Audit&amp;DYN_ARGS=TRUE&amp;VAR:ID1=561947&amp;VAR:RCODE=FDSENTRPRVAL&amp;VAR:SDATE=38260&amp;VAR:FREQ=Daily&amp;VAR:RELITEM=RF&amp;VAR:CURRENCY=EUR&amp;VAR:CURRSOURCE=","EXSHARE&amp;VAR:NATFREQ=FSA&amp;VAR:RFIELD=FINALIZED&amp;VAR:DB_TYPE=&amp;VAR:UNITS=M&amp;window=popup&amp;width=450&amp;height=300&amp;START_MAXIMIZED=FALSE"}</definedName>
    <definedName name="_1075__FDSAUDITLINK__" localSheetId="0" hidden="1">{"fdsup://Directions/FAT Viewer?action=UPDATE&amp;creator=factset&amp;DOC_NAME=fat:reuters_semi_source_window.fat&amp;display_string=Audit&amp;DYN_ARGS=TRUE&amp;VAR:ID1=561947&amp;VAR:RCODE=FDSENTRPRVAL&amp;VAR:SDATE=38352&amp;VAR:FREQ=Daily&amp;VAR:RELITEM=RF&amp;VAR:CURRENCY=EUR&amp;VAR:CURRSOURCE=","EXSHARE&amp;VAR:NATFREQ=FSA&amp;VAR:RFIELD=FINALIZED&amp;VAR:DB_TYPE=&amp;VAR:UNITS=M&amp;window=popup&amp;width=450&amp;height=300&amp;START_MAXIMIZED=FALSE"}</definedName>
    <definedName name="_1075__FDSAUDITLINK__" localSheetId="6" hidden="1">{"fdsup://Directions/FAT Viewer?action=UPDATE&amp;creator=factset&amp;DOC_NAME=fat:reuters_semi_source_window.fat&amp;display_string=Audit&amp;DYN_ARGS=TRUE&amp;VAR:ID1=561947&amp;VAR:RCODE=FDSENTRPRVAL&amp;VAR:SDATE=38352&amp;VAR:FREQ=Daily&amp;VAR:RELITEM=RF&amp;VAR:CURRENCY=EUR&amp;VAR:CURRSOURCE=","EXSHARE&amp;VAR:NATFREQ=FSA&amp;VAR:RFIELD=FINALIZED&amp;VAR:DB_TYPE=&amp;VAR:UNITS=M&amp;window=popup&amp;width=450&amp;height=300&amp;START_MAXIMIZED=FALSE"}</definedName>
    <definedName name="_1075__FDSAUDITLINK__" hidden="1">{"fdsup://Directions/FAT Viewer?action=UPDATE&amp;creator=factset&amp;DOC_NAME=fat:reuters_semi_source_window.fat&amp;display_string=Audit&amp;DYN_ARGS=TRUE&amp;VAR:ID1=561947&amp;VAR:RCODE=FDSENTRPRVAL&amp;VAR:SDATE=38352&amp;VAR:FREQ=Daily&amp;VAR:RELITEM=RF&amp;VAR:CURRENCY=EUR&amp;VAR:CURRSOURCE=","EXSHARE&amp;VAR:NATFREQ=FSA&amp;VAR:RFIELD=FINALIZED&amp;VAR:DB_TYPE=&amp;VAR:UNITS=M&amp;window=popup&amp;width=450&amp;height=300&amp;START_MAXIMIZED=FALSE"}</definedName>
    <definedName name="_1076__FDSAUDITLINK__" localSheetId="0" hidden="1">{"fdsup://Directions/FAT Viewer?action=UPDATE&amp;creator=factset&amp;DOC_NAME=fat:reuters_semi_source_window.fat&amp;display_string=Audit&amp;DYN_ARGS=TRUE&amp;VAR:ID1=561947&amp;VAR:RCODE=FDSENTRPRVAL&amp;VAR:SDATE=38442&amp;VAR:FREQ=Daily&amp;VAR:RELITEM=RF&amp;VAR:CURRENCY=EUR&amp;VAR:CURRSOURCE=","EXSHARE&amp;VAR:NATFREQ=FSA&amp;VAR:RFIELD=FINALIZED&amp;VAR:DB_TYPE=&amp;VAR:UNITS=M&amp;window=popup&amp;width=450&amp;height=300&amp;START_MAXIMIZED=FALSE"}</definedName>
    <definedName name="_1076__FDSAUDITLINK__" localSheetId="6" hidden="1">{"fdsup://Directions/FAT Viewer?action=UPDATE&amp;creator=factset&amp;DOC_NAME=fat:reuters_semi_source_window.fat&amp;display_string=Audit&amp;DYN_ARGS=TRUE&amp;VAR:ID1=561947&amp;VAR:RCODE=FDSENTRPRVAL&amp;VAR:SDATE=38442&amp;VAR:FREQ=Daily&amp;VAR:RELITEM=RF&amp;VAR:CURRENCY=EUR&amp;VAR:CURRSOURCE=","EXSHARE&amp;VAR:NATFREQ=FSA&amp;VAR:RFIELD=FINALIZED&amp;VAR:DB_TYPE=&amp;VAR:UNITS=M&amp;window=popup&amp;width=450&amp;height=300&amp;START_MAXIMIZED=FALSE"}</definedName>
    <definedName name="_1076__FDSAUDITLINK__" hidden="1">{"fdsup://Directions/FAT Viewer?action=UPDATE&amp;creator=factset&amp;DOC_NAME=fat:reuters_semi_source_window.fat&amp;display_string=Audit&amp;DYN_ARGS=TRUE&amp;VAR:ID1=561947&amp;VAR:RCODE=FDSENTRPRVAL&amp;VAR:SDATE=38442&amp;VAR:FREQ=Daily&amp;VAR:RELITEM=RF&amp;VAR:CURRENCY=EUR&amp;VAR:CURRSOURCE=","EXSHARE&amp;VAR:NATFREQ=FSA&amp;VAR:RFIELD=FINALIZED&amp;VAR:DB_TYPE=&amp;VAR:UNITS=M&amp;window=popup&amp;width=450&amp;height=300&amp;START_MAXIMIZED=FALSE"}</definedName>
    <definedName name="_1077__FDSAUDITLINK__" localSheetId="0" hidden="1">{"fdsup://Directions/FAT Viewer?action=UPDATE&amp;creator=factset&amp;DOC_NAME=fat:reuters_semi_source_window.fat&amp;display_string=Audit&amp;DYN_ARGS=TRUE&amp;VAR:ID1=561947&amp;VAR:RCODE=FDSENTRPRVAL&amp;VAR:SDATE=38533&amp;VAR:FREQ=Daily&amp;VAR:RELITEM=RF&amp;VAR:CURRENCY=EUR&amp;VAR:CURRSOURCE=","EXSHARE&amp;VAR:NATFREQ=FSA&amp;VAR:RFIELD=FINALIZED&amp;VAR:DB_TYPE=&amp;VAR:UNITS=M&amp;window=popup&amp;width=450&amp;height=300&amp;START_MAXIMIZED=FALSE"}</definedName>
    <definedName name="_1077__FDSAUDITLINK__" localSheetId="6" hidden="1">{"fdsup://Directions/FAT Viewer?action=UPDATE&amp;creator=factset&amp;DOC_NAME=fat:reuters_semi_source_window.fat&amp;display_string=Audit&amp;DYN_ARGS=TRUE&amp;VAR:ID1=561947&amp;VAR:RCODE=FDSENTRPRVAL&amp;VAR:SDATE=38533&amp;VAR:FREQ=Daily&amp;VAR:RELITEM=RF&amp;VAR:CURRENCY=EUR&amp;VAR:CURRSOURCE=","EXSHARE&amp;VAR:NATFREQ=FSA&amp;VAR:RFIELD=FINALIZED&amp;VAR:DB_TYPE=&amp;VAR:UNITS=M&amp;window=popup&amp;width=450&amp;height=300&amp;START_MAXIMIZED=FALSE"}</definedName>
    <definedName name="_1077__FDSAUDITLINK__" hidden="1">{"fdsup://Directions/FAT Viewer?action=UPDATE&amp;creator=factset&amp;DOC_NAME=fat:reuters_semi_source_window.fat&amp;display_string=Audit&amp;DYN_ARGS=TRUE&amp;VAR:ID1=561947&amp;VAR:RCODE=FDSENTRPRVAL&amp;VAR:SDATE=38533&amp;VAR:FREQ=Daily&amp;VAR:RELITEM=RF&amp;VAR:CURRENCY=EUR&amp;VAR:CURRSOURCE=","EXSHARE&amp;VAR:NATFREQ=FSA&amp;VAR:RFIELD=FINALIZED&amp;VAR:DB_TYPE=&amp;VAR:UNITS=M&amp;window=popup&amp;width=450&amp;height=300&amp;START_MAXIMIZED=FALSE"}</definedName>
    <definedName name="_1078__FDSAUDITLINK__" localSheetId="0" hidden="1">{"fdsup://Directions/FAT Viewer?action=UPDATE&amp;creator=factset&amp;DOC_NAME=fat:reuters_semi_source_window.fat&amp;display_string=Audit&amp;DYN_ARGS=TRUE&amp;VAR:ID1=561947&amp;VAR:RCODE=FDSENTRPRVAL&amp;VAR:SDATE=38625&amp;VAR:FREQ=Daily&amp;VAR:RELITEM=RF&amp;VAR:CURRENCY=EUR&amp;VAR:CURRSOURCE=","EXSHARE&amp;VAR:NATFREQ=FSA&amp;VAR:RFIELD=FINALIZED&amp;VAR:DB_TYPE=&amp;VAR:UNITS=M&amp;window=popup&amp;width=450&amp;height=300&amp;START_MAXIMIZED=FALSE"}</definedName>
    <definedName name="_1078__FDSAUDITLINK__" localSheetId="6" hidden="1">{"fdsup://Directions/FAT Viewer?action=UPDATE&amp;creator=factset&amp;DOC_NAME=fat:reuters_semi_source_window.fat&amp;display_string=Audit&amp;DYN_ARGS=TRUE&amp;VAR:ID1=561947&amp;VAR:RCODE=FDSENTRPRVAL&amp;VAR:SDATE=38625&amp;VAR:FREQ=Daily&amp;VAR:RELITEM=RF&amp;VAR:CURRENCY=EUR&amp;VAR:CURRSOURCE=","EXSHARE&amp;VAR:NATFREQ=FSA&amp;VAR:RFIELD=FINALIZED&amp;VAR:DB_TYPE=&amp;VAR:UNITS=M&amp;window=popup&amp;width=450&amp;height=300&amp;START_MAXIMIZED=FALSE"}</definedName>
    <definedName name="_1078__FDSAUDITLINK__" hidden="1">{"fdsup://Directions/FAT Viewer?action=UPDATE&amp;creator=factset&amp;DOC_NAME=fat:reuters_semi_source_window.fat&amp;display_string=Audit&amp;DYN_ARGS=TRUE&amp;VAR:ID1=561947&amp;VAR:RCODE=FDSENTRPRVAL&amp;VAR:SDATE=38625&amp;VAR:FREQ=Daily&amp;VAR:RELITEM=RF&amp;VAR:CURRENCY=EUR&amp;VAR:CURRSOURCE=","EXSHARE&amp;VAR:NATFREQ=FSA&amp;VAR:RFIELD=FINALIZED&amp;VAR:DB_TYPE=&amp;VAR:UNITS=M&amp;window=popup&amp;width=450&amp;height=300&amp;START_MAXIMIZED=FALSE"}</definedName>
    <definedName name="_1079__FDSAUDITLINK__" localSheetId="0" hidden="1">{"fdsup://Directions/FAT Viewer?action=UPDATE&amp;creator=factset&amp;DOC_NAME=fat:reuters_semi_source_window.fat&amp;display_string=Audit&amp;DYN_ARGS=TRUE&amp;VAR:ID1=561947&amp;VAR:RCODE=FDSENTRPRVAL&amp;VAR:SDATE=38717&amp;VAR:FREQ=Daily&amp;VAR:RELITEM=RF&amp;VAR:CURRENCY=EUR&amp;VAR:CURRSOURCE=","EXSHARE&amp;VAR:NATFREQ=FSA&amp;VAR:RFIELD=FINALIZED&amp;VAR:DB_TYPE=&amp;VAR:UNITS=M&amp;window=popup&amp;width=450&amp;height=300&amp;START_MAXIMIZED=FALSE"}</definedName>
    <definedName name="_1079__FDSAUDITLINK__" localSheetId="6" hidden="1">{"fdsup://Directions/FAT Viewer?action=UPDATE&amp;creator=factset&amp;DOC_NAME=fat:reuters_semi_source_window.fat&amp;display_string=Audit&amp;DYN_ARGS=TRUE&amp;VAR:ID1=561947&amp;VAR:RCODE=FDSENTRPRVAL&amp;VAR:SDATE=38717&amp;VAR:FREQ=Daily&amp;VAR:RELITEM=RF&amp;VAR:CURRENCY=EUR&amp;VAR:CURRSOURCE=","EXSHARE&amp;VAR:NATFREQ=FSA&amp;VAR:RFIELD=FINALIZED&amp;VAR:DB_TYPE=&amp;VAR:UNITS=M&amp;window=popup&amp;width=450&amp;height=300&amp;START_MAXIMIZED=FALSE"}</definedName>
    <definedName name="_1079__FDSAUDITLINK__" hidden="1">{"fdsup://Directions/FAT Viewer?action=UPDATE&amp;creator=factset&amp;DOC_NAME=fat:reuters_semi_source_window.fat&amp;display_string=Audit&amp;DYN_ARGS=TRUE&amp;VAR:ID1=561947&amp;VAR:RCODE=FDSENTRPRVAL&amp;VAR:SDATE=38717&amp;VAR:FREQ=Daily&amp;VAR:RELITEM=RF&amp;VAR:CURRENCY=EUR&amp;VAR:CURRSOURCE=","EXSHARE&amp;VAR:NATFREQ=FSA&amp;VAR:RFIELD=FINALIZED&amp;VAR:DB_TYPE=&amp;VAR:UNITS=M&amp;window=popup&amp;width=450&amp;height=300&amp;START_MAXIMIZED=FALSE"}</definedName>
    <definedName name="_108__123Graph_Cｸﾞﾗﾌ_2" hidden="1">#REF!</definedName>
    <definedName name="_108__123Graph_XCHART_18" hidden="1">#REF!</definedName>
    <definedName name="_108__FDSAUDITLINK__" localSheetId="0" hidden="1">{"fdsup://directions/FAT Viewer?action=UPDATE&amp;creator=factSet&amp;DYN_ARGS=true&amp;DOC_NAME=FAT:RGA_ENTRPR_VAL_EV_SOURCE_WINDOW.FAT&amp;VAR:ID1=GLT-FR&amp;window=popup&amp;width=535&amp;height=425&amp;START_MAXIMIZED=FALSE&amp;Y=120"}</definedName>
    <definedName name="_108__FDSAUDITLINK__" localSheetId="6" hidden="1">{"fdsup://directions/FAT Viewer?action=UPDATE&amp;creator=factSet&amp;DYN_ARGS=true&amp;DOC_NAME=FAT:RGA_ENTRPR_VAL_EV_SOURCE_WINDOW.FAT&amp;VAR:ID1=GLT-FR&amp;window=popup&amp;width=535&amp;height=425&amp;START_MAXIMIZED=FALSE&amp;Y=120"}</definedName>
    <definedName name="_108__FDSAUDITLINK__" hidden="1">{"fdsup://directions/FAT Viewer?action=UPDATE&amp;creator=factSet&amp;DYN_ARGS=true&amp;DOC_NAME=FAT:RGA_ENTRPR_VAL_EV_SOURCE_WINDOW.FAT&amp;VAR:ID1=GLT-FR&amp;window=popup&amp;width=535&amp;height=425&amp;START_MAXIMIZED=FALSE&amp;Y=120"}</definedName>
    <definedName name="_1080__FDSAUDITLINK__" localSheetId="0" hidden="1">{"fdsup://Directions/FAT Viewer?action=UPDATE&amp;creator=factset&amp;DOC_NAME=fat:reuters_semi_source_window.fat&amp;display_string=Audit&amp;DYN_ARGS=TRUE&amp;VAR:ID1=561947&amp;VAR:RCODE=FDSENTRPRVAL&amp;VAR:SDATE=38807&amp;VAR:FREQ=Daily&amp;VAR:RELITEM=RF&amp;VAR:CURRENCY=EUR&amp;VAR:CURRSOURCE=","EXSHARE&amp;VAR:NATFREQ=FSA&amp;VAR:RFIELD=FINALIZED&amp;VAR:DB_TYPE=&amp;VAR:UNITS=M&amp;window=popup&amp;width=450&amp;height=300&amp;START_MAXIMIZED=FALSE"}</definedName>
    <definedName name="_1080__FDSAUDITLINK__" localSheetId="6" hidden="1">{"fdsup://Directions/FAT Viewer?action=UPDATE&amp;creator=factset&amp;DOC_NAME=fat:reuters_semi_source_window.fat&amp;display_string=Audit&amp;DYN_ARGS=TRUE&amp;VAR:ID1=561947&amp;VAR:RCODE=FDSENTRPRVAL&amp;VAR:SDATE=38807&amp;VAR:FREQ=Daily&amp;VAR:RELITEM=RF&amp;VAR:CURRENCY=EUR&amp;VAR:CURRSOURCE=","EXSHARE&amp;VAR:NATFREQ=FSA&amp;VAR:RFIELD=FINALIZED&amp;VAR:DB_TYPE=&amp;VAR:UNITS=M&amp;window=popup&amp;width=450&amp;height=300&amp;START_MAXIMIZED=FALSE"}</definedName>
    <definedName name="_1080__FDSAUDITLINK__" hidden="1">{"fdsup://Directions/FAT Viewer?action=UPDATE&amp;creator=factset&amp;DOC_NAME=fat:reuters_semi_source_window.fat&amp;display_string=Audit&amp;DYN_ARGS=TRUE&amp;VAR:ID1=561947&amp;VAR:RCODE=FDSENTRPRVAL&amp;VAR:SDATE=38807&amp;VAR:FREQ=Daily&amp;VAR:RELITEM=RF&amp;VAR:CURRENCY=EUR&amp;VAR:CURRSOURCE=","EXSHARE&amp;VAR:NATFREQ=FSA&amp;VAR:RFIELD=FINALIZED&amp;VAR:DB_TYPE=&amp;VAR:UNITS=M&amp;window=popup&amp;width=450&amp;height=300&amp;START_MAXIMIZED=FALSE"}</definedName>
    <definedName name="_1081__FDSAUDITLINK__" localSheetId="0" hidden="1">{"fdsup://Directions/FAT Viewer?action=UPDATE&amp;creator=factset&amp;DOC_NAME=fat:reuters_semi_source_window.fat&amp;display_string=Audit&amp;DYN_ARGS=TRUE&amp;VAR:ID1=561947&amp;VAR:RCODE=FDSENTRPRVAL&amp;VAR:SDATE=38898&amp;VAR:FREQ=Daily&amp;VAR:RELITEM=RF&amp;VAR:CURRENCY=EUR&amp;VAR:CURRSOURCE=","EXSHARE&amp;VAR:NATFREQ=FSA&amp;VAR:RFIELD=FINALIZED&amp;VAR:DB_TYPE=&amp;VAR:UNITS=M&amp;window=popup&amp;width=450&amp;height=300&amp;START_MAXIMIZED=FALSE"}</definedName>
    <definedName name="_1081__FDSAUDITLINK__" localSheetId="6" hidden="1">{"fdsup://Directions/FAT Viewer?action=UPDATE&amp;creator=factset&amp;DOC_NAME=fat:reuters_semi_source_window.fat&amp;display_string=Audit&amp;DYN_ARGS=TRUE&amp;VAR:ID1=561947&amp;VAR:RCODE=FDSENTRPRVAL&amp;VAR:SDATE=38898&amp;VAR:FREQ=Daily&amp;VAR:RELITEM=RF&amp;VAR:CURRENCY=EUR&amp;VAR:CURRSOURCE=","EXSHARE&amp;VAR:NATFREQ=FSA&amp;VAR:RFIELD=FINALIZED&amp;VAR:DB_TYPE=&amp;VAR:UNITS=M&amp;window=popup&amp;width=450&amp;height=300&amp;START_MAXIMIZED=FALSE"}</definedName>
    <definedName name="_1081__FDSAUDITLINK__" hidden="1">{"fdsup://Directions/FAT Viewer?action=UPDATE&amp;creator=factset&amp;DOC_NAME=fat:reuters_semi_source_window.fat&amp;display_string=Audit&amp;DYN_ARGS=TRUE&amp;VAR:ID1=561947&amp;VAR:RCODE=FDSENTRPRVAL&amp;VAR:SDATE=38898&amp;VAR:FREQ=Daily&amp;VAR:RELITEM=RF&amp;VAR:CURRENCY=EUR&amp;VAR:CURRSOURCE=","EXSHARE&amp;VAR:NATFREQ=FSA&amp;VAR:RFIELD=FINALIZED&amp;VAR:DB_TYPE=&amp;VAR:UNITS=M&amp;window=popup&amp;width=450&amp;height=300&amp;START_MAXIMIZED=FALSE"}</definedName>
    <definedName name="_1082__FDSAUDITLINK__" localSheetId="0" hidden="1">{"fdsup://Directions/FAT Viewer?action=UPDATE&amp;creator=factset&amp;DOC_NAME=fat:reuters_semi_source_window.fat&amp;display_string=Audit&amp;DYN_ARGS=TRUE&amp;VAR:ID1=561947&amp;VAR:RCODE=FDSENTRPRVAL&amp;VAR:SDATE=38990&amp;VAR:FREQ=Daily&amp;VAR:RELITEM=RF&amp;VAR:CURRENCY=EUR&amp;VAR:CURRSOURCE=","EXSHARE&amp;VAR:NATFREQ=FSA&amp;VAR:RFIELD=FINALIZED&amp;VAR:DB_TYPE=&amp;VAR:UNITS=M&amp;window=popup&amp;width=450&amp;height=300&amp;START_MAXIMIZED=FALSE"}</definedName>
    <definedName name="_1082__FDSAUDITLINK__" localSheetId="6" hidden="1">{"fdsup://Directions/FAT Viewer?action=UPDATE&amp;creator=factset&amp;DOC_NAME=fat:reuters_semi_source_window.fat&amp;display_string=Audit&amp;DYN_ARGS=TRUE&amp;VAR:ID1=561947&amp;VAR:RCODE=FDSENTRPRVAL&amp;VAR:SDATE=38990&amp;VAR:FREQ=Daily&amp;VAR:RELITEM=RF&amp;VAR:CURRENCY=EUR&amp;VAR:CURRSOURCE=","EXSHARE&amp;VAR:NATFREQ=FSA&amp;VAR:RFIELD=FINALIZED&amp;VAR:DB_TYPE=&amp;VAR:UNITS=M&amp;window=popup&amp;width=450&amp;height=300&amp;START_MAXIMIZED=FALSE"}</definedName>
    <definedName name="_1082__FDSAUDITLINK__" hidden="1">{"fdsup://Directions/FAT Viewer?action=UPDATE&amp;creator=factset&amp;DOC_NAME=fat:reuters_semi_source_window.fat&amp;display_string=Audit&amp;DYN_ARGS=TRUE&amp;VAR:ID1=561947&amp;VAR:RCODE=FDSENTRPRVAL&amp;VAR:SDATE=38990&amp;VAR:FREQ=Daily&amp;VAR:RELITEM=RF&amp;VAR:CURRENCY=EUR&amp;VAR:CURRSOURCE=","EXSHARE&amp;VAR:NATFREQ=FSA&amp;VAR:RFIELD=FINALIZED&amp;VAR:DB_TYPE=&amp;VAR:UNITS=M&amp;window=popup&amp;width=450&amp;height=300&amp;START_MAXIMIZED=FALSE"}</definedName>
    <definedName name="_1083__FDSAUDITLINK__" localSheetId="0" hidden="1">{"fdsup://Directions/FAT Viewer?action=UPDATE&amp;creator=factset&amp;DOC_NAME=fat:reuters_semi_source_window.fat&amp;display_string=Audit&amp;DYN_ARGS=TRUE&amp;VAR:ID1=561947&amp;VAR:RCODE=FDSENTRPRVAL&amp;VAR:SDATE=39082&amp;VAR:FREQ=Daily&amp;VAR:RELITEM=RF&amp;VAR:CURRENCY=EUR&amp;VAR:CURRSOURCE=","EXSHARE&amp;VAR:NATFREQ=FSA&amp;VAR:RFIELD=FINALIZED&amp;VAR:DB_TYPE=&amp;VAR:UNITS=M&amp;window=popup&amp;width=450&amp;height=300&amp;START_MAXIMIZED=FALSE"}</definedName>
    <definedName name="_1083__FDSAUDITLINK__" localSheetId="6" hidden="1">{"fdsup://Directions/FAT Viewer?action=UPDATE&amp;creator=factset&amp;DOC_NAME=fat:reuters_semi_source_window.fat&amp;display_string=Audit&amp;DYN_ARGS=TRUE&amp;VAR:ID1=561947&amp;VAR:RCODE=FDSENTRPRVAL&amp;VAR:SDATE=39082&amp;VAR:FREQ=Daily&amp;VAR:RELITEM=RF&amp;VAR:CURRENCY=EUR&amp;VAR:CURRSOURCE=","EXSHARE&amp;VAR:NATFREQ=FSA&amp;VAR:RFIELD=FINALIZED&amp;VAR:DB_TYPE=&amp;VAR:UNITS=M&amp;window=popup&amp;width=450&amp;height=300&amp;START_MAXIMIZED=FALSE"}</definedName>
    <definedName name="_1083__FDSAUDITLINK__" hidden="1">{"fdsup://Directions/FAT Viewer?action=UPDATE&amp;creator=factset&amp;DOC_NAME=fat:reuters_semi_source_window.fat&amp;display_string=Audit&amp;DYN_ARGS=TRUE&amp;VAR:ID1=561947&amp;VAR:RCODE=FDSENTRPRVAL&amp;VAR:SDATE=39082&amp;VAR:FREQ=Daily&amp;VAR:RELITEM=RF&amp;VAR:CURRENCY=EUR&amp;VAR:CURRSOURCE=","EXSHARE&amp;VAR:NATFREQ=FSA&amp;VAR:RFIELD=FINALIZED&amp;VAR:DB_TYPE=&amp;VAR:UNITS=M&amp;window=popup&amp;width=450&amp;height=300&amp;START_MAXIMIZED=FALSE"}</definedName>
    <definedName name="_1084__FDSAUDITLINK__" localSheetId="0" hidden="1">{"fdsup://Directions/FAT Viewer?action=UPDATE&amp;creator=factset&amp;DOC_NAME=fat:reuters_semi_source_window.fat&amp;display_string=Audit&amp;DYN_ARGS=TRUE&amp;VAR:ID1=561947&amp;VAR:RCODE=FDSENTRPRVAL&amp;VAR:SDATE=39172&amp;VAR:FREQ=Daily&amp;VAR:RELITEM=RF&amp;VAR:CURRENCY=EUR&amp;VAR:CURRSOURCE=","EXSHARE&amp;VAR:NATFREQ=FSA&amp;VAR:RFIELD=FINALIZED&amp;VAR:DB_TYPE=&amp;VAR:UNITS=M&amp;window=popup&amp;width=450&amp;height=300&amp;START_MAXIMIZED=FALSE"}</definedName>
    <definedName name="_1084__FDSAUDITLINK__" localSheetId="6" hidden="1">{"fdsup://Directions/FAT Viewer?action=UPDATE&amp;creator=factset&amp;DOC_NAME=fat:reuters_semi_source_window.fat&amp;display_string=Audit&amp;DYN_ARGS=TRUE&amp;VAR:ID1=561947&amp;VAR:RCODE=FDSENTRPRVAL&amp;VAR:SDATE=39172&amp;VAR:FREQ=Daily&amp;VAR:RELITEM=RF&amp;VAR:CURRENCY=EUR&amp;VAR:CURRSOURCE=","EXSHARE&amp;VAR:NATFREQ=FSA&amp;VAR:RFIELD=FINALIZED&amp;VAR:DB_TYPE=&amp;VAR:UNITS=M&amp;window=popup&amp;width=450&amp;height=300&amp;START_MAXIMIZED=FALSE"}</definedName>
    <definedName name="_1084__FDSAUDITLINK__" hidden="1">{"fdsup://Directions/FAT Viewer?action=UPDATE&amp;creator=factset&amp;DOC_NAME=fat:reuters_semi_source_window.fat&amp;display_string=Audit&amp;DYN_ARGS=TRUE&amp;VAR:ID1=561947&amp;VAR:RCODE=FDSENTRPRVAL&amp;VAR:SDATE=39172&amp;VAR:FREQ=Daily&amp;VAR:RELITEM=RF&amp;VAR:CURRENCY=EUR&amp;VAR:CURRSOURCE=","EXSHARE&amp;VAR:NATFREQ=FSA&amp;VAR:RFIELD=FINALIZED&amp;VAR:DB_TYPE=&amp;VAR:UNITS=M&amp;window=popup&amp;width=450&amp;height=300&amp;START_MAXIMIZED=FALSE"}</definedName>
    <definedName name="_1085__123Graph_LBL_ECHART_22" hidden="1">#REF!</definedName>
    <definedName name="_1085__FDSAUDITLINK__" localSheetId="0" hidden="1">{"fdsup://Directions/FAT Viewer?action=UPDATE&amp;creator=factset&amp;DOC_NAME=fat:reuters_semi_source_window.fat&amp;display_string=Audit&amp;DYN_ARGS=TRUE&amp;VAR:ID1=561947&amp;VAR:RCODE=FDSENTRPRVAL&amp;VAR:SDATE=39263&amp;VAR:FREQ=Daily&amp;VAR:RELITEM=RF&amp;VAR:CURRENCY=EUR&amp;VAR:CURRSOURCE=","EXSHARE&amp;VAR:NATFREQ=FSA&amp;VAR:RFIELD=FINALIZED&amp;VAR:DB_TYPE=&amp;VAR:UNITS=M&amp;window=popup&amp;width=450&amp;height=300&amp;START_MAXIMIZED=FALSE"}</definedName>
    <definedName name="_1085__FDSAUDITLINK__" localSheetId="6" hidden="1">{"fdsup://Directions/FAT Viewer?action=UPDATE&amp;creator=factset&amp;DOC_NAME=fat:reuters_semi_source_window.fat&amp;display_string=Audit&amp;DYN_ARGS=TRUE&amp;VAR:ID1=561947&amp;VAR:RCODE=FDSENTRPRVAL&amp;VAR:SDATE=39263&amp;VAR:FREQ=Daily&amp;VAR:RELITEM=RF&amp;VAR:CURRENCY=EUR&amp;VAR:CURRSOURCE=","EXSHARE&amp;VAR:NATFREQ=FSA&amp;VAR:RFIELD=FINALIZED&amp;VAR:DB_TYPE=&amp;VAR:UNITS=M&amp;window=popup&amp;width=450&amp;height=300&amp;START_MAXIMIZED=FALSE"}</definedName>
    <definedName name="_1085__FDSAUDITLINK__" hidden="1">{"fdsup://Directions/FAT Viewer?action=UPDATE&amp;creator=factset&amp;DOC_NAME=fat:reuters_semi_source_window.fat&amp;display_string=Audit&amp;DYN_ARGS=TRUE&amp;VAR:ID1=561947&amp;VAR:RCODE=FDSENTRPRVAL&amp;VAR:SDATE=39263&amp;VAR:FREQ=Daily&amp;VAR:RELITEM=RF&amp;VAR:CURRENCY=EUR&amp;VAR:CURRSOURCE=","EXSHARE&amp;VAR:NATFREQ=FSA&amp;VAR:RFIELD=FINALIZED&amp;VAR:DB_TYPE=&amp;VAR:UNITS=M&amp;window=popup&amp;width=450&amp;height=300&amp;START_MAXIMIZED=FALSE"}</definedName>
    <definedName name="_1086__FDSAUDITLINK__" localSheetId="0" hidden="1">{"fdsup://Directions/FAT Viewer?action=UPDATE&amp;creator=factset&amp;DOC_NAME=fat:reuters_semi_source_window.fat&amp;display_string=Audit&amp;DYN_ARGS=TRUE&amp;VAR:ID1=561947&amp;VAR:RCODE=FDSENTRPRVAL&amp;VAR:SDATE=39355&amp;VAR:FREQ=Daily&amp;VAR:RELITEM=RF&amp;VAR:CURRENCY=EUR&amp;VAR:CURRSOURCE=","EXSHARE&amp;VAR:NATFREQ=FSA&amp;VAR:RFIELD=FINALIZED&amp;VAR:DB_TYPE=&amp;VAR:UNITS=M&amp;window=popup&amp;width=450&amp;height=300&amp;START_MAXIMIZED=FALSE"}</definedName>
    <definedName name="_1086__FDSAUDITLINK__" localSheetId="6" hidden="1">{"fdsup://Directions/FAT Viewer?action=UPDATE&amp;creator=factset&amp;DOC_NAME=fat:reuters_semi_source_window.fat&amp;display_string=Audit&amp;DYN_ARGS=TRUE&amp;VAR:ID1=561947&amp;VAR:RCODE=FDSENTRPRVAL&amp;VAR:SDATE=39355&amp;VAR:FREQ=Daily&amp;VAR:RELITEM=RF&amp;VAR:CURRENCY=EUR&amp;VAR:CURRSOURCE=","EXSHARE&amp;VAR:NATFREQ=FSA&amp;VAR:RFIELD=FINALIZED&amp;VAR:DB_TYPE=&amp;VAR:UNITS=M&amp;window=popup&amp;width=450&amp;height=300&amp;START_MAXIMIZED=FALSE"}</definedName>
    <definedName name="_1086__FDSAUDITLINK__" hidden="1">{"fdsup://Directions/FAT Viewer?action=UPDATE&amp;creator=factset&amp;DOC_NAME=fat:reuters_semi_source_window.fat&amp;display_string=Audit&amp;DYN_ARGS=TRUE&amp;VAR:ID1=561947&amp;VAR:RCODE=FDSENTRPRVAL&amp;VAR:SDATE=39355&amp;VAR:FREQ=Daily&amp;VAR:RELITEM=RF&amp;VAR:CURRENCY=EUR&amp;VAR:CURRSOURCE=","EXSHARE&amp;VAR:NATFREQ=FSA&amp;VAR:RFIELD=FINALIZED&amp;VAR:DB_TYPE=&amp;VAR:UNITS=M&amp;window=popup&amp;width=450&amp;height=300&amp;START_MAXIMIZED=FALSE"}</definedName>
    <definedName name="_1087__FDSAUDITLINK__" localSheetId="0" hidden="1">{"fdsup://Directions/FAT Viewer?action=UPDATE&amp;creator=factset&amp;DOC_NAME=fat:reuters_semi_source_window.fat&amp;display_string=Audit&amp;DYN_ARGS=TRUE&amp;VAR:ID1=561947&amp;VAR:RCODE=FDSENTRPRVAL&amp;VAR:SDATE=39447&amp;VAR:FREQ=Daily&amp;VAR:RELITEM=RF&amp;VAR:CURRENCY=EUR&amp;VAR:CURRSOURCE=","EXSHARE&amp;VAR:NATFREQ=FSA&amp;VAR:RFIELD=FINALIZED&amp;VAR:DB_TYPE=&amp;VAR:UNITS=M&amp;window=popup&amp;width=450&amp;height=300&amp;START_MAXIMIZED=FALSE"}</definedName>
    <definedName name="_1087__FDSAUDITLINK__" localSheetId="6" hidden="1">{"fdsup://Directions/FAT Viewer?action=UPDATE&amp;creator=factset&amp;DOC_NAME=fat:reuters_semi_source_window.fat&amp;display_string=Audit&amp;DYN_ARGS=TRUE&amp;VAR:ID1=561947&amp;VAR:RCODE=FDSENTRPRVAL&amp;VAR:SDATE=39447&amp;VAR:FREQ=Daily&amp;VAR:RELITEM=RF&amp;VAR:CURRENCY=EUR&amp;VAR:CURRSOURCE=","EXSHARE&amp;VAR:NATFREQ=FSA&amp;VAR:RFIELD=FINALIZED&amp;VAR:DB_TYPE=&amp;VAR:UNITS=M&amp;window=popup&amp;width=450&amp;height=300&amp;START_MAXIMIZED=FALSE"}</definedName>
    <definedName name="_1087__FDSAUDITLINK__" hidden="1">{"fdsup://Directions/FAT Viewer?action=UPDATE&amp;creator=factset&amp;DOC_NAME=fat:reuters_semi_source_window.fat&amp;display_string=Audit&amp;DYN_ARGS=TRUE&amp;VAR:ID1=561947&amp;VAR:RCODE=FDSENTRPRVAL&amp;VAR:SDATE=39447&amp;VAR:FREQ=Daily&amp;VAR:RELITEM=RF&amp;VAR:CURRENCY=EUR&amp;VAR:CURRSOURCE=","EXSHARE&amp;VAR:NATFREQ=FSA&amp;VAR:RFIELD=FINALIZED&amp;VAR:DB_TYPE=&amp;VAR:UNITS=M&amp;window=popup&amp;width=450&amp;height=300&amp;START_MAXIMIZED=FALSE"}</definedName>
    <definedName name="_1088__FDSAUDITLINK__" localSheetId="0"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1088__FDSAUDITLINK__" localSheetId="6"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1088__FDSAUDITLINK__"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109__123Graph_XCHART_19" hidden="1">#REF!</definedName>
    <definedName name="_109__FDSAUDITLINK__" localSheetId="0" hidden="1">{"fdsup://directions/FAT Viewer?action=UPDATE&amp;creator=factSet&amp;DYN_ARGS=true&amp;DOC_NAME=FAT:RGA_ENTRPR_VAL_EV_SOURCE_WINDOW.FAT&amp;VAR:ID1=GLT-FR&amp;window=popup&amp;width=535&amp;height=425&amp;START_MAXIMIZED=FALSE&amp;Y=120"}</definedName>
    <definedName name="_109__FDSAUDITLINK__" localSheetId="6" hidden="1">{"fdsup://directions/FAT Viewer?action=UPDATE&amp;creator=factSet&amp;DYN_ARGS=true&amp;DOC_NAME=FAT:RGA_ENTRPR_VAL_EV_SOURCE_WINDOW.FAT&amp;VAR:ID1=GLT-FR&amp;window=popup&amp;width=535&amp;height=425&amp;START_MAXIMIZED=FALSE&amp;Y=120"}</definedName>
    <definedName name="_109__FDSAUDITLINK__" hidden="1">{"fdsup://directions/FAT Viewer?action=UPDATE&amp;creator=factSet&amp;DYN_ARGS=true&amp;DOC_NAME=FAT:RGA_ENTRPR_VAL_EV_SOURCE_WINDOW.FAT&amp;VAR:ID1=GLT-FR&amp;window=popup&amp;width=535&amp;height=425&amp;START_MAXIMIZED=FALSE&amp;Y=120"}</definedName>
    <definedName name="_1098__123Graph_LBL_ECHART_24" hidden="1">#REF!</definedName>
    <definedName name="_10FY0102_" localSheetId="4" hidden="1">1/EUReXToFRF</definedName>
    <definedName name="_10FY0102_" localSheetId="2" hidden="1">1/EUReXToFRF</definedName>
    <definedName name="_10FY0102_" localSheetId="6" hidden="1">1/EUReXToFRF</definedName>
    <definedName name="_10FY0102_" hidden="1">1/EUReXToFRF</definedName>
    <definedName name="_10FY0102__" localSheetId="4" hidden="1">1/EUReXToFRF</definedName>
    <definedName name="_10FY0102__" localSheetId="2" hidden="1">1/EUReXToFRF</definedName>
    <definedName name="_10FY0102__" localSheetId="6" hidden="1">1/EUReXToFRF</definedName>
    <definedName name="_10FY0102__" hidden="1">1/EUReXToFRF</definedName>
    <definedName name="_10PGE_1">#REF!</definedName>
    <definedName name="_11__123Graph_A_KD95" hidden="1">#REF!</definedName>
    <definedName name="_11__123Graph_ACHART_1" hidden="1">#REF!</definedName>
    <definedName name="_11__123Graph_AChart_1A" hidden="1">#REF!</definedName>
    <definedName name="_11__123Graph_AChart_1G" hidden="1">#REF!</definedName>
    <definedName name="_11__123Graph_ACHART_2" hidden="1">#REF!</definedName>
    <definedName name="_11__123Graph_ACHART_20" hidden="1">#REF!</definedName>
    <definedName name="_11__123Graph_ACHART_3" hidden="1">#REF!</definedName>
    <definedName name="_11__123Graph_ACHART_5" hidden="1">#REF!</definedName>
    <definedName name="_11__123Graph_BCHART_17" hidden="1">#REF!</definedName>
    <definedName name="_11__123Graph_CCHART_20" hidden="1">#REF!</definedName>
    <definedName name="_11__123Graph_CCHART_28" hidden="1">#REF!</definedName>
    <definedName name="_11__123Graph_E_Chart_1A" hidden="1">#REF!</definedName>
    <definedName name="_11__123Graph_XCHART_13" hidden="1">#REF!</definedName>
    <definedName name="_11__FDSAUDITLINK__" localSheetId="0" hidden="1">{"fdsup://directions/FAT Viewer?action=UPDATE&amp;creator=factSet&amp;DYN_ARGS=true&amp;DOC_NAME=FAT:RGA_ENTRPR_VAL_EV_SOURCE_WINDOW.FAT&amp;VAR:ID1=&amp;window=popup&amp;width=535&amp;height=425&amp;START_MAXIMIZED=FALSE&amp;Y=120"}</definedName>
    <definedName name="_11__FDSAUDITLINK__" localSheetId="6" hidden="1">{"fdsup://directions/FAT Viewer?action=UPDATE&amp;creator=factSet&amp;DYN_ARGS=true&amp;DOC_NAME=FAT:RGA_ENTRPR_VAL_EV_SOURCE_WINDOW.FAT&amp;VAR:ID1=&amp;window=popup&amp;width=535&amp;height=425&amp;START_MAXIMIZED=FALSE&amp;Y=120"}</definedName>
    <definedName name="_11__FDSAUDITLINK__" hidden="1">{"fdsup://directions/FAT Viewer?action=UPDATE&amp;creator=factSet&amp;DYN_ARGS=true&amp;DOC_NAME=FAT:RGA_ENTRPR_VAL_EV_SOURCE_WINDOW.FAT&amp;VAR:ID1=&amp;window=popup&amp;width=535&amp;height=425&amp;START_MAXIMIZED=FALSE&amp;Y=120"}</definedName>
    <definedName name="_110__123Graph_ECHART_15" hidden="1">#REF!</definedName>
    <definedName name="_110__FDSAUDITLINK__" localSheetId="0" hidden="1">{"fdsup://directions/FAT Viewer?action=UPDATE&amp;creator=factSet&amp;DYN_ARGS=true&amp;DOC_NAME=FAT:RGA_ENTRPR_VAL_EV_SOURCE_WINDOW.FAT&amp;VAR:ID1=GLT-FR&amp;window=popup&amp;width=535&amp;height=425&amp;START_MAXIMIZED=FALSE&amp;Y=120"}</definedName>
    <definedName name="_110__FDSAUDITLINK__" localSheetId="6" hidden="1">{"fdsup://directions/FAT Viewer?action=UPDATE&amp;creator=factSet&amp;DYN_ARGS=true&amp;DOC_NAME=FAT:RGA_ENTRPR_VAL_EV_SOURCE_WINDOW.FAT&amp;VAR:ID1=GLT-FR&amp;window=popup&amp;width=535&amp;height=425&amp;START_MAXIMIZED=FALSE&amp;Y=120"}</definedName>
    <definedName name="_110__FDSAUDITLINK__" hidden="1">{"fdsup://directions/FAT Viewer?action=UPDATE&amp;creator=factSet&amp;DYN_ARGS=true&amp;DOC_NAME=FAT:RGA_ENTRPR_VAL_EV_SOURCE_WINDOW.FAT&amp;VAR:ID1=GLT-FR&amp;window=popup&amp;width=535&amp;height=425&amp;START_MAXIMIZED=FALSE&amp;Y=120"}</definedName>
    <definedName name="_1102__123Graph_LBL_ECHART_26" hidden="1">#REF!</definedName>
    <definedName name="_1106__123Graph_LBL_ECHART_28" hidden="1">#REF!</definedName>
    <definedName name="_111" hidden="1">#REF!</definedName>
    <definedName name="_111__123Graph_XCHART_20" hidden="1">#REF!</definedName>
    <definedName name="_111__FDSAUDITLINK__" localSheetId="0" hidden="1">{"fdsup://directions/FAT Viewer?action=UPDATE&amp;creator=factSet&amp;DYN_ARGS=true&amp;DOC_NAME=FAT:RGA_ENTRPR_VAL_EV_SOURCE_WINDOW.FAT&amp;VAR:ID1=GLT-FR&amp;window=popup&amp;width=535&amp;height=425&amp;START_MAXIMIZED=FALSE&amp;Y=120"}</definedName>
    <definedName name="_111__FDSAUDITLINK__" localSheetId="6" hidden="1">{"fdsup://directions/FAT Viewer?action=UPDATE&amp;creator=factSet&amp;DYN_ARGS=true&amp;DOC_NAME=FAT:RGA_ENTRPR_VAL_EV_SOURCE_WINDOW.FAT&amp;VAR:ID1=GLT-FR&amp;window=popup&amp;width=535&amp;height=425&amp;START_MAXIMIZED=FALSE&amp;Y=120"}</definedName>
    <definedName name="_111__FDSAUDITLINK__" hidden="1">{"fdsup://directions/FAT Viewer?action=UPDATE&amp;creator=factSet&amp;DYN_ARGS=true&amp;DOC_NAME=FAT:RGA_ENTRPR_VAL_EV_SOURCE_WINDOW.FAT&amp;VAR:ID1=GLT-FR&amp;window=popup&amp;width=535&amp;height=425&amp;START_MAXIMIZED=FALSE&amp;Y=120"}</definedName>
    <definedName name="_1119__123Graph_LBL_ECHART_30" hidden="1">#REF!</definedName>
    <definedName name="_112" hidden="1">#REF!</definedName>
    <definedName name="_112__123Graph_XCHART_21" hidden="1">#REF!</definedName>
    <definedName name="_112__FDSAUDITLINK__" localSheetId="0" hidden="1">{"fdsup://directions/FAT Viewer?action=UPDATE&amp;creator=factSet&amp;DYN_ARGS=true&amp;DOC_NAME=FAT:RGA_ENTRPR_VAL_EV_SOURCE_WINDOW.FAT&amp;VAR:ID1=GLT-FR&amp;window=popup&amp;width=535&amp;height=425&amp;START_MAXIMIZED=FALSE&amp;Y=120"}</definedName>
    <definedName name="_112__FDSAUDITLINK__" localSheetId="6" hidden="1">{"fdsup://directions/FAT Viewer?action=UPDATE&amp;creator=factSet&amp;DYN_ARGS=true&amp;DOC_NAME=FAT:RGA_ENTRPR_VAL_EV_SOURCE_WINDOW.FAT&amp;VAR:ID1=GLT-FR&amp;window=popup&amp;width=535&amp;height=425&amp;START_MAXIMIZED=FALSE&amp;Y=120"}</definedName>
    <definedName name="_112__FDSAUDITLINK__" hidden="1">{"fdsup://directions/FAT Viewer?action=UPDATE&amp;creator=factSet&amp;DYN_ARGS=true&amp;DOC_NAME=FAT:RGA_ENTRPR_VAL_EV_SOURCE_WINDOW.FAT&amp;VAR:ID1=GLT-FR&amp;window=popup&amp;width=535&amp;height=425&amp;START_MAXIMIZED=FALSE&amp;Y=120"}</definedName>
    <definedName name="_112__FDSAUDITLINK___1" localSheetId="0"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localSheetId="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_1" localSheetId="0"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_1" localSheetId="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1_1"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2" localSheetId="0"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2" localSheetId="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2"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3" localSheetId="0"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3" localSheetId="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3"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4" localSheetId="0"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4" localSheetId="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4"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5" localSheetId="0"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5" localSheetId="6"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2__FDSAUDITLINK___5" hidden="1">{"fdsup://directions/FAT Viewer?action=UPDATE&amp;creator=factset&amp;DYN_ARGS=TRUE&amp;DOC_NAME=FAT:FQL_AUDITING_CLIENT_TEMPLATE.FAT&amp;display_string=Audit&amp;VAR:KEY=YDWFWZQRYZ&amp;VAR:QUERY=RkZfRUJJVF9PUEVSKExUTVMsMCwwLCwsVVNEKQ==&amp;WINDOW=FIRST_POPUP&amp;HEIGHT=450&amp;WIDTH=450&amp;STAR","T_MAXIMIZED=FALSE&amp;VAR:CALENDAR=US&amp;VAR:SYMBOL=688050&amp;VAR:INDEX=0"}</definedName>
    <definedName name="_113__123Graph_XCHART_22" hidden="1">#REF!</definedName>
    <definedName name="_113__FDSAUDITLINK__" localSheetId="0" hidden="1">{"fdsup://directions/FAT Viewer?action=UPDATE&amp;creator=factSet&amp;DYN_ARGS=true&amp;DOC_NAME=FAT:RGA_ENTRPR_VAL_EV_SOURCE_WINDOW.FAT&amp;VAR:ID1=GLT-FR&amp;window=popup&amp;width=535&amp;height=425&amp;START_MAXIMIZED=FALSE&amp;Y=120"}</definedName>
    <definedName name="_113__FDSAUDITLINK__" localSheetId="6" hidden="1">{"fdsup://directions/FAT Viewer?action=UPDATE&amp;creator=factSet&amp;DYN_ARGS=true&amp;DOC_NAME=FAT:RGA_ENTRPR_VAL_EV_SOURCE_WINDOW.FAT&amp;VAR:ID1=GLT-FR&amp;window=popup&amp;width=535&amp;height=425&amp;START_MAXIMIZED=FALSE&amp;Y=120"}</definedName>
    <definedName name="_113__FDSAUDITLINK__" hidden="1">{"fdsup://directions/FAT Viewer?action=UPDATE&amp;creator=factSet&amp;DYN_ARGS=true&amp;DOC_NAME=FAT:RGA_ENTRPR_VAL_EV_SOURCE_WINDOW.FAT&amp;VAR:ID1=GLT-FR&amp;window=popup&amp;width=535&amp;height=425&amp;START_MAXIMIZED=FALSE&amp;Y=120"}</definedName>
    <definedName name="_1132__123Graph_LBL_ECHART_31" hidden="1">#REF!</definedName>
    <definedName name="_114__123Graph_Cｸﾞﾗﾌ_3" hidden="1">#REF!</definedName>
    <definedName name="_114__123Graph_XCHART_23" hidden="1">#REF!</definedName>
    <definedName name="_114__FDSAUDITLINK__" localSheetId="0" hidden="1">{"fdsup://directions/FAT Viewer?action=UPDATE&amp;creator=factSet&amp;DYN_ARGS=true&amp;DOC_NAME=FAT:RGA_ENTRPR_VAL_EV_SOURCE_WINDOW.FAT&amp;VAR:ID1=GLT-FR&amp;window=popup&amp;width=535&amp;height=425&amp;START_MAXIMIZED=FALSE&amp;Y=120"}</definedName>
    <definedName name="_114__FDSAUDITLINK__" localSheetId="6" hidden="1">{"fdsup://directions/FAT Viewer?action=UPDATE&amp;creator=factSet&amp;DYN_ARGS=true&amp;DOC_NAME=FAT:RGA_ENTRPR_VAL_EV_SOURCE_WINDOW.FAT&amp;VAR:ID1=GLT-FR&amp;window=popup&amp;width=535&amp;height=425&amp;START_MAXIMIZED=FALSE&amp;Y=120"}</definedName>
    <definedName name="_114__FDSAUDITLINK__" hidden="1">{"fdsup://directions/FAT Viewer?action=UPDATE&amp;creator=factSet&amp;DYN_ARGS=true&amp;DOC_NAME=FAT:RGA_ENTRPR_VAL_EV_SOURCE_WINDOW.FAT&amp;VAR:ID1=GLT-FR&amp;window=popup&amp;width=535&amp;height=425&amp;START_MAXIMIZED=FALSE&amp;Y=120"}</definedName>
    <definedName name="_1145__123Graph_LBL_ECHART_32" hidden="1">#REF!</definedName>
    <definedName name="_115__123Graph_ECHART_16" hidden="1">#REF!</definedName>
    <definedName name="_115__123Graph_XCHART_24" hidden="1">#REF!</definedName>
    <definedName name="_115__FDSAUDITLINK__" localSheetId="0" hidden="1">{"fdsup://directions/FAT Viewer?action=UPDATE&amp;creator=factSet&amp;DYN_ARGS=true&amp;DOC_NAME=FAT:RGA_ENTRPR_VAL_EV_SOURCE_WINDOW.FAT&amp;VAR:ID1=GLT-FR&amp;window=popup&amp;width=535&amp;height=425&amp;START_MAXIMIZED=FALSE&amp;Y=120"}</definedName>
    <definedName name="_115__FDSAUDITLINK__" localSheetId="6" hidden="1">{"fdsup://directions/FAT Viewer?action=UPDATE&amp;creator=factSet&amp;DYN_ARGS=true&amp;DOC_NAME=FAT:RGA_ENTRPR_VAL_EV_SOURCE_WINDOW.FAT&amp;VAR:ID1=GLT-FR&amp;window=popup&amp;width=535&amp;height=425&amp;START_MAXIMIZED=FALSE&amp;Y=120"}</definedName>
    <definedName name="_115__FDSAUDITLINK__" hidden="1">{"fdsup://directions/FAT Viewer?action=UPDATE&amp;creator=factSet&amp;DYN_ARGS=true&amp;DOC_NAME=FAT:RGA_ENTRPR_VAL_EV_SOURCE_WINDOW.FAT&amp;VAR:ID1=GLT-FR&amp;window=popup&amp;width=535&amp;height=425&amp;START_MAXIMIZED=FALSE&amp;Y=120"}</definedName>
    <definedName name="_1158__123Graph_LBL_ECHART_34" hidden="1">#REF!</definedName>
    <definedName name="_116__123Graph_XCHART_25" hidden="1">#REF!</definedName>
    <definedName name="_116__FDSAUDITLINK__" localSheetId="0" hidden="1">{"fdsup://directions/FAT Viewer?action=UPDATE&amp;creator=factSet&amp;DYN_ARGS=true&amp;DOC_NAME=FAT:RGA_ENTRPR_VAL_EV_SOURCE_WINDOW.FAT&amp;VAR:ID1=GLT-FR&amp;window=popup&amp;width=535&amp;height=425&amp;START_MAXIMIZED=FALSE&amp;Y=120"}</definedName>
    <definedName name="_116__FDSAUDITLINK__" localSheetId="6" hidden="1">{"fdsup://directions/FAT Viewer?action=UPDATE&amp;creator=factSet&amp;DYN_ARGS=true&amp;DOC_NAME=FAT:RGA_ENTRPR_VAL_EV_SOURCE_WINDOW.FAT&amp;VAR:ID1=GLT-FR&amp;window=popup&amp;width=535&amp;height=425&amp;START_MAXIMIZED=FALSE&amp;Y=120"}</definedName>
    <definedName name="_116__FDSAUDITLINK__" hidden="1">{"fdsup://directions/FAT Viewer?action=UPDATE&amp;creator=factSet&amp;DYN_ARGS=true&amp;DOC_NAME=FAT:RGA_ENTRPR_VAL_EV_SOURCE_WINDOW.FAT&amp;VAR:ID1=GLT-FR&amp;window=popup&amp;width=535&amp;height=425&amp;START_MAXIMIZED=FALSE&amp;Y=120"}</definedName>
    <definedName name="_117__123Graph_XCHART_26" hidden="1">#REF!</definedName>
    <definedName name="_117__FDSAUDITLINK__" localSheetId="0" hidden="1">{"fdsup://directions/FAT Viewer?action=UPDATE&amp;creator=factSet&amp;DYN_ARGS=true&amp;DOC_NAME=FAT:RGA_ENTRPR_VAL_EV_SOURCE_WINDOW.FAT&amp;VAR:ID1=GLT-FR&amp;window=popup&amp;width=535&amp;height=425&amp;START_MAXIMIZED=FALSE&amp;Y=120"}</definedName>
    <definedName name="_117__FDSAUDITLINK__" localSheetId="6" hidden="1">{"fdsup://directions/FAT Viewer?action=UPDATE&amp;creator=factSet&amp;DYN_ARGS=true&amp;DOC_NAME=FAT:RGA_ENTRPR_VAL_EV_SOURCE_WINDOW.FAT&amp;VAR:ID1=GLT-FR&amp;window=popup&amp;width=535&amp;height=425&amp;START_MAXIMIZED=FALSE&amp;Y=120"}</definedName>
    <definedName name="_117__FDSAUDITLINK__" hidden="1">{"fdsup://directions/FAT Viewer?action=UPDATE&amp;creator=factSet&amp;DYN_ARGS=true&amp;DOC_NAME=FAT:RGA_ENTRPR_VAL_EV_SOURCE_WINDOW.FAT&amp;VAR:ID1=GLT-FR&amp;window=popup&amp;width=535&amp;height=425&amp;START_MAXIMIZED=FALSE&amp;Y=120"}</definedName>
    <definedName name="_1171__123Graph_LBL_ECHART_37" hidden="1">#REF!</definedName>
    <definedName name="_118__123Graph_CCHART_22" hidden="1">#REF!</definedName>
    <definedName name="_118__123Graph_XCHART_27" hidden="1">#REF!</definedName>
    <definedName name="_118__FDSAUDITLINK__" localSheetId="0" hidden="1">{"fdsup://directions/FAT Viewer?action=UPDATE&amp;creator=factSet&amp;DYN_ARGS=true&amp;DOC_NAME=FAT:RGA_ENTRPR_VAL_EV_SOURCE_WINDOW.FAT&amp;VAR:ID1=GLT-FR&amp;window=popup&amp;width=535&amp;height=425&amp;START_MAXIMIZED=FALSE&amp;Y=120"}</definedName>
    <definedName name="_118__FDSAUDITLINK__" localSheetId="6" hidden="1">{"fdsup://directions/FAT Viewer?action=UPDATE&amp;creator=factSet&amp;DYN_ARGS=true&amp;DOC_NAME=FAT:RGA_ENTRPR_VAL_EV_SOURCE_WINDOW.FAT&amp;VAR:ID1=GLT-FR&amp;window=popup&amp;width=535&amp;height=425&amp;START_MAXIMIZED=FALSE&amp;Y=120"}</definedName>
    <definedName name="_118__FDSAUDITLINK__" hidden="1">{"fdsup://directions/FAT Viewer?action=UPDATE&amp;creator=factSet&amp;DYN_ARGS=true&amp;DOC_NAME=FAT:RGA_ENTRPR_VAL_EV_SOURCE_WINDOW.FAT&amp;VAR:ID1=GLT-FR&amp;window=popup&amp;width=535&amp;height=425&amp;START_MAXIMIZED=FALSE&amp;Y=120"}</definedName>
    <definedName name="_1184__123Graph_LBL_ECHART_39" hidden="1">#REF!</definedName>
    <definedName name="_119__123Graph_XCHART_28" hidden="1">#REF!</definedName>
    <definedName name="_119__FDSAUDITLINK__" localSheetId="0" hidden="1">{"fdsup://directions/FAT Viewer?action=UPDATE&amp;creator=factSet&amp;DYN_ARGS=true&amp;DOC_NAME=FAT:RGA_ENTRPR_VAL_EV_SOURCE_WINDOW.FAT&amp;VAR:ID1=GLT-FR&amp;window=popup&amp;width=535&amp;height=425&amp;START_MAXIMIZED=FALSE&amp;Y=120"}</definedName>
    <definedName name="_119__FDSAUDITLINK__" localSheetId="6" hidden="1">{"fdsup://directions/FAT Viewer?action=UPDATE&amp;creator=factSet&amp;DYN_ARGS=true&amp;DOC_NAME=FAT:RGA_ENTRPR_VAL_EV_SOURCE_WINDOW.FAT&amp;VAR:ID1=GLT-FR&amp;window=popup&amp;width=535&amp;height=425&amp;START_MAXIMIZED=FALSE&amp;Y=120"}</definedName>
    <definedName name="_119__FDSAUDITLINK__" hidden="1">{"fdsup://directions/FAT Viewer?action=UPDATE&amp;creator=factSet&amp;DYN_ARGS=true&amp;DOC_NAME=FAT:RGA_ENTRPR_VAL_EV_SOURCE_WINDOW.FAT&amp;VAR:ID1=GLT-FR&amp;window=popup&amp;width=535&amp;height=425&amp;START_MAXIMIZED=FALSE&amp;Y=120"}</definedName>
    <definedName name="_1197__123Graph_LBL_ECHART_41" hidden="1">#REF!</definedName>
    <definedName name="_12_?88">#REF!</definedName>
    <definedName name="_12__123Graph_A_KD956" hidden="1">#REF!</definedName>
    <definedName name="_12__123Graph_ACHART_1" hidden="1">#REF!</definedName>
    <definedName name="_12__123Graph_ACHART_19" hidden="1">#REF!</definedName>
    <definedName name="_12__123Graph_ACHART_2" hidden="1">#REF!</definedName>
    <definedName name="_12__123Graph_ACHART_22" hidden="1">#REF!</definedName>
    <definedName name="_12__123Graph_AChart_58B" hidden="1">#REF!</definedName>
    <definedName name="_12__123Graph_BCHART_2" hidden="1">#REF!</definedName>
    <definedName name="_12__123Graph_BCHART_22" hidden="1">#REF!</definedName>
    <definedName name="_12__123Graph_BCHART_28" hidden="1">#REF!</definedName>
    <definedName name="_12__123Graph_BMKT_YTD" hidden="1">#REF!</definedName>
    <definedName name="_12__123Graph_CCHART_1" hidden="1">#REF!</definedName>
    <definedName name="_12__123Graph_CCHART_21" hidden="1">#REF!</definedName>
    <definedName name="_12__123Graph_CCHART_3" hidden="1">#REF!</definedName>
    <definedName name="_12__123Graph_F_Chart_1A" hidden="1">#REF!</definedName>
    <definedName name="_12__123Graph_LBL_ACHART_1" hidden="1">#REF!</definedName>
    <definedName name="_12__123Graph_LBL_BPC_Y" hidden="1">#REF!</definedName>
    <definedName name="_12__123Graph_XCHART_14" hidden="1">#REF!</definedName>
    <definedName name="_12__123Graph_XCHART_2" hidden="1">#REF!</definedName>
    <definedName name="_12__FDSAUDITLINK__" localSheetId="0" hidden="1">{"fdsup://directions/FAT Viewer?action=UPDATE&amp;creator=factSet&amp;DYN_ARGS=true&amp;DOC_NAME=FAT:RGA_ENTRPR_VAL_EV_SOURCE_WINDOW.FAT&amp;VAR:ID1=&amp;window=popup&amp;width=535&amp;height=425&amp;START_MAXIMIZED=FALSE&amp;Y=120"}</definedName>
    <definedName name="_12__FDSAUDITLINK__" localSheetId="6" hidden="1">{"fdsup://directions/FAT Viewer?action=UPDATE&amp;creator=factSet&amp;DYN_ARGS=true&amp;DOC_NAME=FAT:RGA_ENTRPR_VAL_EV_SOURCE_WINDOW.FAT&amp;VAR:ID1=&amp;window=popup&amp;width=535&amp;height=425&amp;START_MAXIMIZED=FALSE&amp;Y=120"}</definedName>
    <definedName name="_12__FDSAUDITLINK__" hidden="1">{"fdsup://directions/FAT Viewer?action=UPDATE&amp;creator=factSet&amp;DYN_ARGS=true&amp;DOC_NAME=FAT:RGA_ENTRPR_VAL_EV_SOURCE_WINDOW.FAT&amp;VAR:ID1=&amp;window=popup&amp;width=535&amp;height=425&amp;START_MAXIMIZED=FALSE&amp;Y=120"}</definedName>
    <definedName name="_12_0_0inv_in_immobil._immat" hidden="1">#REF!</definedName>
    <definedName name="_120__123Graph_ECHART_17" hidden="1">#REF!</definedName>
    <definedName name="_120__123Graph_XCHART_3" hidden="1">#REF!</definedName>
    <definedName name="_120__FDSAUDITLINK__" localSheetId="0" hidden="1">{"fdsup://directions/FAT Viewer?action=UPDATE&amp;creator=factSet&amp;DYN_ARGS=true&amp;DOC_NAME=FAT:RGA_ENTRPR_VAL_EV_SOURCE_WINDOW.FAT&amp;VAR:ID1=GLT-FR&amp;window=popup&amp;width=535&amp;height=425&amp;START_MAXIMIZED=FALSE&amp;Y=120"}</definedName>
    <definedName name="_120__FDSAUDITLINK__" localSheetId="6" hidden="1">{"fdsup://directions/FAT Viewer?action=UPDATE&amp;creator=factSet&amp;DYN_ARGS=true&amp;DOC_NAME=FAT:RGA_ENTRPR_VAL_EV_SOURCE_WINDOW.FAT&amp;VAR:ID1=GLT-FR&amp;window=popup&amp;width=535&amp;height=425&amp;START_MAXIMIZED=FALSE&amp;Y=120"}</definedName>
    <definedName name="_120__FDSAUDITLINK__" hidden="1">{"fdsup://directions/FAT Viewer?action=UPDATE&amp;creator=factSet&amp;DYN_ARGS=true&amp;DOC_NAME=FAT:RGA_ENTRPR_VAL_EV_SOURCE_WINDOW.FAT&amp;VAR:ID1=GLT-FR&amp;window=popup&amp;width=535&amp;height=425&amp;START_MAXIMIZED=FALSE&amp;Y=120"}</definedName>
    <definedName name="_120__FDSAUDITLINK___1"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_1"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_1"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1_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2"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2"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2"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3"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3"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3"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4"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4"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4"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5"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5"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__FDSAUDITLINK___5"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201__123Graph_LBL_FCHART_15" hidden="1">#REF!</definedName>
    <definedName name="_121__123Graph_Cｸﾞﾗﾌ_4" hidden="1">#REF!</definedName>
    <definedName name="_121__123Graph_XCHART_32" hidden="1">#REF!</definedName>
    <definedName name="_121__FDSAUDITLINK__" localSheetId="0" hidden="1">{"fdsup://directions/FAT Viewer?action=UPDATE&amp;creator=factSet&amp;DYN_ARGS=true&amp;DOC_NAME=FAT:RGA_ENTRPR_VAL_EV_SOURCE_WINDOW.FAT&amp;VAR:ID1=GLT-FR&amp;window=popup&amp;width=535&amp;height=425&amp;START_MAXIMIZED=FALSE&amp;Y=120"}</definedName>
    <definedName name="_121__FDSAUDITLINK__" localSheetId="6" hidden="1">{"fdsup://directions/FAT Viewer?action=UPDATE&amp;creator=factSet&amp;DYN_ARGS=true&amp;DOC_NAME=FAT:RGA_ENTRPR_VAL_EV_SOURCE_WINDOW.FAT&amp;VAR:ID1=GLT-FR&amp;window=popup&amp;width=535&amp;height=425&amp;START_MAXIMIZED=FALSE&amp;Y=120"}</definedName>
    <definedName name="_121__FDSAUDITLINK__" hidden="1">{"fdsup://directions/FAT Viewer?action=UPDATE&amp;creator=factSet&amp;DYN_ARGS=true&amp;DOC_NAME=FAT:RGA_ENTRPR_VAL_EV_SOURCE_WINDOW.FAT&amp;VAR:ID1=GLT-FR&amp;window=popup&amp;width=535&amp;height=425&amp;START_MAXIMIZED=FALSE&amp;Y=120"}</definedName>
    <definedName name="_1214__123Graph_LBL_FCHART_16" hidden="1">#REF!</definedName>
    <definedName name="_122__123Graph_XCHART_33" hidden="1">#REF!</definedName>
    <definedName name="_122__FDSAUDITLINK__" localSheetId="0" hidden="1">{"fdsup://directions/FAT Viewer?action=UPDATE&amp;creator=factSet&amp;DYN_ARGS=true&amp;DOC_NAME=FAT:RGA_ENTRPR_VAL_EV_SOURCE_WINDOW.FAT&amp;VAR:ID1=GLT-FR&amp;window=popup&amp;width=535&amp;height=425&amp;START_MAXIMIZED=FALSE&amp;Y=120"}</definedName>
    <definedName name="_122__FDSAUDITLINK__" localSheetId="6" hidden="1">{"fdsup://directions/FAT Viewer?action=UPDATE&amp;creator=factSet&amp;DYN_ARGS=true&amp;DOC_NAME=FAT:RGA_ENTRPR_VAL_EV_SOURCE_WINDOW.FAT&amp;VAR:ID1=GLT-FR&amp;window=popup&amp;width=535&amp;height=425&amp;START_MAXIMIZED=FALSE&amp;Y=120"}</definedName>
    <definedName name="_122__FDSAUDITLINK__" hidden="1">{"fdsup://directions/FAT Viewer?action=UPDATE&amp;creator=factSet&amp;DYN_ARGS=true&amp;DOC_NAME=FAT:RGA_ENTRPR_VAL_EV_SOURCE_WINDOW.FAT&amp;VAR:ID1=GLT-FR&amp;window=popup&amp;width=535&amp;height=425&amp;START_MAXIMIZED=FALSE&amp;Y=120"}</definedName>
    <definedName name="_1227__123Graph_LBL_FCHART_17" hidden="1">#REF!</definedName>
    <definedName name="_123__123Graph_XCHART_34" hidden="1">#REF!</definedName>
    <definedName name="_123__FDSAUDITLINK__" localSheetId="0" hidden="1">{"fdsup://directions/FAT Viewer?action=UPDATE&amp;creator=factSet&amp;DYN_ARGS=true&amp;DOC_NAME=FAT:RGA_ENTRPR_VAL_EV_SOURCE_WINDOW.FAT&amp;VAR:ID1=GLT-FR&amp;window=popup&amp;width=535&amp;height=425&amp;START_MAXIMIZED=FALSE&amp;Y=120"}</definedName>
    <definedName name="_123__FDSAUDITLINK__" localSheetId="6" hidden="1">{"fdsup://directions/FAT Viewer?action=UPDATE&amp;creator=factSet&amp;DYN_ARGS=true&amp;DOC_NAME=FAT:RGA_ENTRPR_VAL_EV_SOURCE_WINDOW.FAT&amp;VAR:ID1=GLT-FR&amp;window=popup&amp;width=535&amp;height=425&amp;START_MAXIMIZED=FALSE&amp;Y=120"}</definedName>
    <definedName name="_123__FDSAUDITLINK__" hidden="1">{"fdsup://directions/FAT Viewer?action=UPDATE&amp;creator=factSet&amp;DYN_ARGS=true&amp;DOC_NAME=FAT:RGA_ENTRPR_VAL_EV_SOURCE_WINDOW.FAT&amp;VAR:ID1=GLT-FR&amp;window=popup&amp;width=535&amp;height=425&amp;START_MAXIMIZED=FALSE&amp;Y=120"}</definedName>
    <definedName name="_123G" hidden="1">#REF!</definedName>
    <definedName name="_123graph" hidden="1">#REF!</definedName>
    <definedName name="_123Graph_B" hidden="1">#REF!</definedName>
    <definedName name="_123Graph_BINCOME2" hidden="1">#N/A</definedName>
    <definedName name="_123graph_p" hidden="1">#REF!</definedName>
    <definedName name="_124" hidden="1">#REF!</definedName>
    <definedName name="_124__123Graph_XCHART_4" hidden="1">#REF!</definedName>
    <definedName name="_124__FDSAUDITLINK__" localSheetId="0" hidden="1">{"fdsup://directions/FAT Viewer?action=UPDATE&amp;creator=factSet&amp;DYN_ARGS=true&amp;DOC_NAME=FAT:RGA_ENTRPR_VAL_EV_SOURCE_WINDOW.FAT&amp;VAR:ID1=GLT-FR&amp;window=popup&amp;width=535&amp;height=425&amp;START_MAXIMIZED=FALSE&amp;Y=120"}</definedName>
    <definedName name="_124__FDSAUDITLINK__" localSheetId="6" hidden="1">{"fdsup://directions/FAT Viewer?action=UPDATE&amp;creator=factSet&amp;DYN_ARGS=true&amp;DOC_NAME=FAT:RGA_ENTRPR_VAL_EV_SOURCE_WINDOW.FAT&amp;VAR:ID1=GLT-FR&amp;window=popup&amp;width=535&amp;height=425&amp;START_MAXIMIZED=FALSE&amp;Y=120"}</definedName>
    <definedName name="_124__FDSAUDITLINK__" hidden="1">{"fdsup://directions/FAT Viewer?action=UPDATE&amp;creator=factSet&amp;DYN_ARGS=true&amp;DOC_NAME=FAT:RGA_ENTRPR_VAL_EV_SOURCE_WINDOW.FAT&amp;VAR:ID1=GLT-FR&amp;window=popup&amp;width=535&amp;height=425&amp;START_MAXIMIZED=FALSE&amp;Y=120"}</definedName>
    <definedName name="_1240__123Graph_LBL_FCHART_19" hidden="1">#REF!</definedName>
    <definedName name="_125" hidden="1">#REF!</definedName>
    <definedName name="_125__123Graph_ECHART_22" hidden="1">#REF!</definedName>
    <definedName name="_125__123Graph_XCHART_5" hidden="1">#REF!</definedName>
    <definedName name="_125__FDSAUDITLINK__" localSheetId="0" hidden="1">{"fdsup://directions/FAT Viewer?action=UPDATE&amp;creator=factSet&amp;DYN_ARGS=true&amp;DOC_NAME=FAT:RGA_ENTRPR_VAL_EV_SOURCE_WINDOW.FAT&amp;VAR:ID1=GLT-FR&amp;window=popup&amp;width=535&amp;height=425&amp;START_MAXIMIZED=FALSE&amp;Y=120"}</definedName>
    <definedName name="_125__FDSAUDITLINK__" localSheetId="6" hidden="1">{"fdsup://directions/FAT Viewer?action=UPDATE&amp;creator=factSet&amp;DYN_ARGS=true&amp;DOC_NAME=FAT:RGA_ENTRPR_VAL_EV_SOURCE_WINDOW.FAT&amp;VAR:ID1=GLT-FR&amp;window=popup&amp;width=535&amp;height=425&amp;START_MAXIMIZED=FALSE&amp;Y=120"}</definedName>
    <definedName name="_125__FDSAUDITLINK__" hidden="1">{"fdsup://directions/FAT Viewer?action=UPDATE&amp;creator=factSet&amp;DYN_ARGS=true&amp;DOC_NAME=FAT:RGA_ENTRPR_VAL_EV_SOURCE_WINDOW.FAT&amp;VAR:ID1=GLT-FR&amp;window=popup&amp;width=535&amp;height=425&amp;START_MAXIMIZED=FALSE&amp;Y=120"}</definedName>
    <definedName name="_1253__123Graph_LBL_FCHART_22" hidden="1">#REF!</definedName>
    <definedName name="_126__123Graph_Dｸﾞﾗﾌ_1" hidden="1">#REF!</definedName>
    <definedName name="_126__FDSAUDITLINK__" localSheetId="0" hidden="1">{"fdsup://directions/FAT Viewer?action=UPDATE&amp;creator=factSet&amp;DYN_ARGS=true&amp;DOC_NAME=FAT:RGA_ENTRPR_VAL_EV_SOURCE_WINDOW.FAT&amp;VAR:ID1=GLT-FR&amp;window=popup&amp;width=535&amp;height=425&amp;START_MAXIMIZED=FALSE&amp;Y=120"}</definedName>
    <definedName name="_126__FDSAUDITLINK__" localSheetId="6" hidden="1">{"fdsup://directions/FAT Viewer?action=UPDATE&amp;creator=factSet&amp;DYN_ARGS=true&amp;DOC_NAME=FAT:RGA_ENTRPR_VAL_EV_SOURCE_WINDOW.FAT&amp;VAR:ID1=GLT-FR&amp;window=popup&amp;width=535&amp;height=425&amp;START_MAXIMIZED=FALSE&amp;Y=120"}</definedName>
    <definedName name="_126__FDSAUDITLINK__" hidden="1">{"fdsup://directions/FAT Viewer?action=UPDATE&amp;creator=factSet&amp;DYN_ARGS=true&amp;DOC_NAME=FAT:RGA_ENTRPR_VAL_EV_SOURCE_WINDOW.FAT&amp;VAR:ID1=GLT-FR&amp;window=popup&amp;width=535&amp;height=425&amp;START_MAXIMIZED=FALSE&amp;Y=120"}</definedName>
    <definedName name="_1266__123Graph_LBL_FCHART_24" hidden="1">#REF!</definedName>
    <definedName name="_127__123Graph_XCHART_7" hidden="1">#REF!</definedName>
    <definedName name="_127__FDSAUDITLINK__" localSheetId="0" hidden="1">{"fdsup://directions/FAT Viewer?action=UPDATE&amp;creator=factSet&amp;DYN_ARGS=true&amp;DOC_NAME=FAT:RGA_ENTRPR_VAL_EV_SOURCE_WINDOW.FAT&amp;VAR:ID1=GLT-FR&amp;window=popup&amp;width=535&amp;height=425&amp;START_MAXIMIZED=FALSE&amp;Y=120"}</definedName>
    <definedName name="_127__FDSAUDITLINK__" localSheetId="6" hidden="1">{"fdsup://directions/FAT Viewer?action=UPDATE&amp;creator=factSet&amp;DYN_ARGS=true&amp;DOC_NAME=FAT:RGA_ENTRPR_VAL_EV_SOURCE_WINDOW.FAT&amp;VAR:ID1=GLT-FR&amp;window=popup&amp;width=535&amp;height=425&amp;START_MAXIMIZED=FALSE&amp;Y=120"}</definedName>
    <definedName name="_127__FDSAUDITLINK__" hidden="1">{"fdsup://directions/FAT Viewer?action=UPDATE&amp;creator=factSet&amp;DYN_ARGS=true&amp;DOC_NAME=FAT:RGA_ENTRPR_VAL_EV_SOURCE_WINDOW.FAT&amp;VAR:ID1=GLT-FR&amp;window=popup&amp;width=535&amp;height=425&amp;START_MAXIMIZED=FALSE&amp;Y=120"}</definedName>
    <definedName name="_1270__123Graph_LBL_FCHART_26" hidden="1">#REF!</definedName>
    <definedName name="_1274__123Graph_LBL_FCHART_28" hidden="1">#REF!</definedName>
    <definedName name="_128__123Graph_XCHART_8" hidden="1">#REF!</definedName>
    <definedName name="_128__FDSAUDITLINK__" localSheetId="0" hidden="1">{"fdsup://directions/FAT Viewer?action=UPDATE&amp;creator=factSet&amp;DYN_ARGS=true&amp;DOC_NAME=FAT:RGA_ENTRPR_VAL_EV_SOURCE_WINDOW.FAT&amp;VAR:ID1=GLT-FR&amp;window=popup&amp;width=535&amp;height=425&amp;START_MAXIMIZED=FALSE&amp;Y=120"}</definedName>
    <definedName name="_128__FDSAUDITLINK__" localSheetId="6" hidden="1">{"fdsup://directions/FAT Viewer?action=UPDATE&amp;creator=factSet&amp;DYN_ARGS=true&amp;DOC_NAME=FAT:RGA_ENTRPR_VAL_EV_SOURCE_WINDOW.FAT&amp;VAR:ID1=GLT-FR&amp;window=popup&amp;width=535&amp;height=425&amp;START_MAXIMIZED=FALSE&amp;Y=120"}</definedName>
    <definedName name="_128__FDSAUDITLINK__" hidden="1">{"fdsup://directions/FAT Viewer?action=UPDATE&amp;creator=factSet&amp;DYN_ARGS=true&amp;DOC_NAME=FAT:RGA_ENTRPR_VAL_EV_SOURCE_WINDOW.FAT&amp;VAR:ID1=GLT-FR&amp;window=popup&amp;width=535&amp;height=425&amp;START_MAXIMIZED=FALSE&amp;Y=120"}</definedName>
    <definedName name="_1287__123Graph_LBL_FCHART_30" hidden="1">#REF!</definedName>
    <definedName name="_129__FDSAUDITLINK__" localSheetId="0" hidden="1">{"fdsup://directions/FAT Viewer?action=UPDATE&amp;creator=factSet&amp;DYN_ARGS=true&amp;DOC_NAME=FAT:RGA_ENTRPR_VAL_EV_SOURCE_WINDOW.FAT&amp;VAR:ID1=GLT-FR&amp;window=popup&amp;width=535&amp;height=425&amp;START_MAXIMIZED=FALSE&amp;Y=120"}</definedName>
    <definedName name="_129__FDSAUDITLINK__" localSheetId="6" hidden="1">{"fdsup://directions/FAT Viewer?action=UPDATE&amp;creator=factSet&amp;DYN_ARGS=true&amp;DOC_NAME=FAT:RGA_ENTRPR_VAL_EV_SOURCE_WINDOW.FAT&amp;VAR:ID1=GLT-FR&amp;window=popup&amp;width=535&amp;height=425&amp;START_MAXIMIZED=FALSE&amp;Y=120"}</definedName>
    <definedName name="_129__FDSAUDITLINK__" hidden="1">{"fdsup://directions/FAT Viewer?action=UPDATE&amp;creator=factSet&amp;DYN_ARGS=true&amp;DOC_NAME=FAT:RGA_ENTRPR_VAL_EV_SOURCE_WINDOW.FAT&amp;VAR:ID1=GLT-FR&amp;window=popup&amp;width=535&amp;height=425&amp;START_MAXIMIZED=FALSE&amp;Y=120"}</definedName>
    <definedName name="_12Graph" hidden="1">#REF!</definedName>
    <definedName name="_12PGE_1">#REF!</definedName>
    <definedName name="_13__123Graph_A_KD96" hidden="1">#REF!</definedName>
    <definedName name="_13__123Graph_ACHART_1" hidden="1">#REF!</definedName>
    <definedName name="_13__123Graph_ACHART_2" hidden="1">#REF!</definedName>
    <definedName name="_13__123Graph_ACHART_23" hidden="1">#REF!</definedName>
    <definedName name="_13__123Graph_AChart_2G" hidden="1">#REF!</definedName>
    <definedName name="_13__123Graph_ACHART_3" hidden="1">#REF!</definedName>
    <definedName name="_13__123Graph_BCHART_1" hidden="1">#REF!</definedName>
    <definedName name="_13__123Graph_BChart_1A" hidden="1">#REF!</definedName>
    <definedName name="_13__123Graph_BCHART_3" hidden="1">#REF!</definedName>
    <definedName name="_13__123Graph_CCHART_15" hidden="1">#REF!</definedName>
    <definedName name="_13__123Graph_CCHART_22" hidden="1">#REF!</definedName>
    <definedName name="_13__123Graph_DCHART_28" hidden="1">#REF!</definedName>
    <definedName name="_13__123Graph_LBL_ACHART_3" hidden="1">#REF!</definedName>
    <definedName name="_13__123Graph_X_Chart_1A" hidden="1">#REF!</definedName>
    <definedName name="_13__FDSAUDITLINK__" localSheetId="0" hidden="1">{"fdsup://directions/FAT Viewer?action=UPDATE&amp;creator=factSet&amp;DYN_ARGS=true&amp;DOC_NAME=FAT:RGA_ENTRPR_VAL_EV_SOURCE_WINDOW.FAT&amp;VAR:ID1=ADVS-US&amp;window=popup&amp;width=535&amp;height=425&amp;START_MAXIMIZED=FALSE&amp;Y=120"}</definedName>
    <definedName name="_13__FDSAUDITLINK__" localSheetId="6" hidden="1">{"fdsup://directions/FAT Viewer?action=UPDATE&amp;creator=factSet&amp;DYN_ARGS=true&amp;DOC_NAME=FAT:RGA_ENTRPR_VAL_EV_SOURCE_WINDOW.FAT&amp;VAR:ID1=ADVS-US&amp;window=popup&amp;width=535&amp;height=425&amp;START_MAXIMIZED=FALSE&amp;Y=120"}</definedName>
    <definedName name="_13__FDSAUDITLINK__" hidden="1">{"fdsup://directions/FAT Viewer?action=UPDATE&amp;creator=factSet&amp;DYN_ARGS=true&amp;DOC_NAME=FAT:RGA_ENTRPR_VAL_EV_SOURCE_WINDOW.FAT&amp;VAR:ID1=ADVS-US&amp;window=popup&amp;width=535&amp;height=425&amp;START_MAXIMIZED=FALSE&amp;Y=120"}</definedName>
    <definedName name="_130__123Graph_FCHART_15" hidden="1">#REF!</definedName>
    <definedName name="_130__FDSAUDITLINK__" localSheetId="0" hidden="1">{"fdsup://directions/FAT Viewer?action=UPDATE&amp;creator=factSet&amp;DYN_ARGS=true&amp;DOC_NAME=FAT:RGA_ENTRPR_VAL_EV_SOURCE_WINDOW.FAT&amp;VAR:ID1=GLT-FR&amp;window=popup&amp;width=535&amp;height=425&amp;START_MAXIMIZED=FALSE&amp;Y=120"}</definedName>
    <definedName name="_130__FDSAUDITLINK__" localSheetId="6" hidden="1">{"fdsup://directions/FAT Viewer?action=UPDATE&amp;creator=factSet&amp;DYN_ARGS=true&amp;DOC_NAME=FAT:RGA_ENTRPR_VAL_EV_SOURCE_WINDOW.FAT&amp;VAR:ID1=GLT-FR&amp;window=popup&amp;width=535&amp;height=425&amp;START_MAXIMIZED=FALSE&amp;Y=120"}</definedName>
    <definedName name="_130__FDSAUDITLINK__" hidden="1">{"fdsup://directions/FAT Viewer?action=UPDATE&amp;creator=factSet&amp;DYN_ARGS=true&amp;DOC_NAME=FAT:RGA_ENTRPR_VAL_EV_SOURCE_WINDOW.FAT&amp;VAR:ID1=GLT-FR&amp;window=popup&amp;width=535&amp;height=425&amp;START_MAXIMIZED=FALSE&amp;Y=120"}</definedName>
    <definedName name="_1300__123Graph_LBL_FCHART_31" hidden="1">#REF!</definedName>
    <definedName name="_1304__123Graph_LBL_FCHART_32" hidden="1">#REF!</definedName>
    <definedName name="_131__123Graph_CCHART_24" hidden="1">#REF!</definedName>
    <definedName name="_131__FDSAUDITLINK__" localSheetId="0" hidden="1">{"fdsup://directions/FAT Viewer?action=UPDATE&amp;creator=factSet&amp;DYN_ARGS=true&amp;DOC_NAME=FAT:RGA_ENTRPR_VAL_EV_SOURCE_WINDOW.FAT&amp;VAR:ID1=GLT-FR&amp;window=popup&amp;width=535&amp;height=425&amp;START_MAXIMIZED=FALSE&amp;Y=120"}</definedName>
    <definedName name="_131__FDSAUDITLINK__" localSheetId="6" hidden="1">{"fdsup://directions/FAT Viewer?action=UPDATE&amp;creator=factSet&amp;DYN_ARGS=true&amp;DOC_NAME=FAT:RGA_ENTRPR_VAL_EV_SOURCE_WINDOW.FAT&amp;VAR:ID1=GLT-FR&amp;window=popup&amp;width=535&amp;height=425&amp;START_MAXIMIZED=FALSE&amp;Y=120"}</definedName>
    <definedName name="_131__FDSAUDITLINK__" hidden="1">{"fdsup://directions/FAT Viewer?action=UPDATE&amp;creator=factSet&amp;DYN_ARGS=true&amp;DOC_NAME=FAT:RGA_ENTRPR_VAL_EV_SOURCE_WINDOW.FAT&amp;VAR:ID1=GLT-FR&amp;window=popup&amp;width=535&amp;height=425&amp;START_MAXIMIZED=FALSE&amp;Y=120"}</definedName>
    <definedName name="_1317__123Graph_LBL_FCHART_34" hidden="1">#REF!</definedName>
    <definedName name="_132__123Graph_Dｸﾞﾗﾌ_2" hidden="1">#REF!</definedName>
    <definedName name="_132__FDSAUDITLINK__" localSheetId="0" hidden="1">{"fdsup://directions/FAT Viewer?action=UPDATE&amp;creator=factSet&amp;DYN_ARGS=true&amp;DOC_NAME=FAT:RGA_ENTRPR_VAL_EV_SOURCE_WINDOW.FAT&amp;VAR:ID1=GLT-FR&amp;window=popup&amp;width=535&amp;height=425&amp;START_MAXIMIZED=FALSE&amp;Y=120"}</definedName>
    <definedName name="_132__FDSAUDITLINK__" localSheetId="6" hidden="1">{"fdsup://directions/FAT Viewer?action=UPDATE&amp;creator=factSet&amp;DYN_ARGS=true&amp;DOC_NAME=FAT:RGA_ENTRPR_VAL_EV_SOURCE_WINDOW.FAT&amp;VAR:ID1=GLT-FR&amp;window=popup&amp;width=535&amp;height=425&amp;START_MAXIMIZED=FALSE&amp;Y=120"}</definedName>
    <definedName name="_132__FDSAUDITLINK__" hidden="1">{"fdsup://directions/FAT Viewer?action=UPDATE&amp;creator=factSet&amp;DYN_ARGS=true&amp;DOC_NAME=FAT:RGA_ENTRPR_VAL_EV_SOURCE_WINDOW.FAT&amp;VAR:ID1=GLT-FR&amp;window=popup&amp;width=535&amp;height=425&amp;START_MAXIMIZED=FALSE&amp;Y=120"}</definedName>
    <definedName name="_133__FDSAUDITLINK__" localSheetId="0" hidden="1">{"fdsup://directions/FAT Viewer?action=UPDATE&amp;creator=factSet&amp;DYN_ARGS=true&amp;DOC_NAME=FAT:RGA_ENTRPR_VAL_EV_SOURCE_WINDOW.FAT&amp;VAR:ID1=GLT-FR&amp;window=popup&amp;width=535&amp;height=425&amp;START_MAXIMIZED=FALSE&amp;Y=120"}</definedName>
    <definedName name="_133__FDSAUDITLINK__" localSheetId="6" hidden="1">{"fdsup://directions/FAT Viewer?action=UPDATE&amp;creator=factSet&amp;DYN_ARGS=true&amp;DOC_NAME=FAT:RGA_ENTRPR_VAL_EV_SOURCE_WINDOW.FAT&amp;VAR:ID1=GLT-FR&amp;window=popup&amp;width=535&amp;height=425&amp;START_MAXIMIZED=FALSE&amp;Y=120"}</definedName>
    <definedName name="_133__FDSAUDITLINK__" hidden="1">{"fdsup://directions/FAT Viewer?action=UPDATE&amp;creator=factSet&amp;DYN_ARGS=true&amp;DOC_NAME=FAT:RGA_ENTRPR_VAL_EV_SOURCE_WINDOW.FAT&amp;VAR:ID1=GLT-FR&amp;window=popup&amp;width=535&amp;height=425&amp;START_MAXIMIZED=FALSE&amp;Y=120"}</definedName>
    <definedName name="_1330__123Graph_LBL_FCHART_37" hidden="1">#REF!</definedName>
    <definedName name="_134__123Graph_Dｸﾞﾗﾌ_3" hidden="1">#REF!</definedName>
    <definedName name="_134__FDSAUDITLINK__" localSheetId="0" hidden="1">{"fdsup://directions/FAT Viewer?action=UPDATE&amp;creator=factSet&amp;DYN_ARGS=true&amp;DOC_NAME=FAT:RGA_ENTRPR_VAL_EV_SOURCE_WINDOW.FAT&amp;VAR:ID1=GLT-FR&amp;window=popup&amp;width=535&amp;height=425&amp;START_MAXIMIZED=FALSE&amp;Y=120"}</definedName>
    <definedName name="_134__FDSAUDITLINK__" localSheetId="6" hidden="1">{"fdsup://directions/FAT Viewer?action=UPDATE&amp;creator=factSet&amp;DYN_ARGS=true&amp;DOC_NAME=FAT:RGA_ENTRPR_VAL_EV_SOURCE_WINDOW.FAT&amp;VAR:ID1=GLT-FR&amp;window=popup&amp;width=535&amp;height=425&amp;START_MAXIMIZED=FALSE&amp;Y=120"}</definedName>
    <definedName name="_134__FDSAUDITLINK__" hidden="1">{"fdsup://directions/FAT Viewer?action=UPDATE&amp;creator=factSet&amp;DYN_ARGS=true&amp;DOC_NAME=FAT:RGA_ENTRPR_VAL_EV_SOURCE_WINDOW.FAT&amp;VAR:ID1=GLT-FR&amp;window=popup&amp;width=535&amp;height=425&amp;START_MAXIMIZED=FALSE&amp;Y=120"}</definedName>
    <definedName name="_1343__123Graph_LBL_FCHART_39" hidden="1">#REF!</definedName>
    <definedName name="_135__123Graph_CCHART_26" hidden="1">#REF!</definedName>
    <definedName name="_135__123Graph_FCHART_16" hidden="1">#REF!</definedName>
    <definedName name="_135__FDSAUDITLINK__" localSheetId="0" hidden="1">{"fdsup://directions/FAT Viewer?action=UPDATE&amp;creator=factSet&amp;DYN_ARGS=true&amp;DOC_NAME=FAT:RGA_ENTRPR_VAL_EV_SOURCE_WINDOW.FAT&amp;VAR:ID1=GLT-FR&amp;window=popup&amp;width=535&amp;height=425&amp;START_MAXIMIZED=FALSE&amp;Y=120"}</definedName>
    <definedName name="_135__FDSAUDITLINK__" localSheetId="6" hidden="1">{"fdsup://directions/FAT Viewer?action=UPDATE&amp;creator=factSet&amp;DYN_ARGS=true&amp;DOC_NAME=FAT:RGA_ENTRPR_VAL_EV_SOURCE_WINDOW.FAT&amp;VAR:ID1=GLT-FR&amp;window=popup&amp;width=535&amp;height=425&amp;START_MAXIMIZED=FALSE&amp;Y=120"}</definedName>
    <definedName name="_135__FDSAUDITLINK__" hidden="1">{"fdsup://directions/FAT Viewer?action=UPDATE&amp;creator=factSet&amp;DYN_ARGS=true&amp;DOC_NAME=FAT:RGA_ENTRPR_VAL_EV_SOURCE_WINDOW.FAT&amp;VAR:ID1=GLT-FR&amp;window=popup&amp;width=535&amp;height=425&amp;START_MAXIMIZED=FALSE&amp;Y=120"}</definedName>
    <definedName name="_1356__123Graph_LBL_FCHART_41" hidden="1">#REF!</definedName>
    <definedName name="_136__FDSAUDITLINK__" localSheetId="0" hidden="1">{"fdsup://directions/FAT Viewer?action=UPDATE&amp;creator=factSet&amp;DYN_ARGS=true&amp;DOC_NAME=FAT:RGA_ENTRPR_VAL_EV_SOURCE_WINDOW.FAT&amp;VAR:ID1=GLT-FR&amp;window=popup&amp;width=535&amp;height=425&amp;START_MAXIMIZED=FALSE&amp;Y=120"}</definedName>
    <definedName name="_136__FDSAUDITLINK__" localSheetId="6" hidden="1">{"fdsup://directions/FAT Viewer?action=UPDATE&amp;creator=factSet&amp;DYN_ARGS=true&amp;DOC_NAME=FAT:RGA_ENTRPR_VAL_EV_SOURCE_WINDOW.FAT&amp;VAR:ID1=GLT-FR&amp;window=popup&amp;width=535&amp;height=425&amp;START_MAXIMIZED=FALSE&amp;Y=120"}</definedName>
    <definedName name="_136__FDSAUDITLINK__" hidden="1">{"fdsup://directions/FAT Viewer?action=UPDATE&amp;creator=factSet&amp;DYN_ARGS=true&amp;DOC_NAME=FAT:RGA_ENTRPR_VAL_EV_SOURCE_WINDOW.FAT&amp;VAR:ID1=GLT-FR&amp;window=popup&amp;width=535&amp;height=425&amp;START_MAXIMIZED=FALSE&amp;Y=120"}</definedName>
    <definedName name="_1366__123Graph_XCHART_1" hidden="1">#REF!</definedName>
    <definedName name="_137__FDSAUDITLINK__" localSheetId="0" hidden="1">{"fdsup://directions/FAT Viewer?action=UPDATE&amp;creator=factSet&amp;DYN_ARGS=true&amp;DOC_NAME=FAT:RGA_ENTRPR_VAL_EV_SOURCE_WINDOW.FAT&amp;VAR:ID1=GLT-FR&amp;window=popup&amp;width=535&amp;height=425&amp;START_MAXIMIZED=FALSE&amp;Y=120"}</definedName>
    <definedName name="_137__FDSAUDITLINK__" localSheetId="6" hidden="1">{"fdsup://directions/FAT Viewer?action=UPDATE&amp;creator=factSet&amp;DYN_ARGS=true&amp;DOC_NAME=FAT:RGA_ENTRPR_VAL_EV_SOURCE_WINDOW.FAT&amp;VAR:ID1=GLT-FR&amp;window=popup&amp;width=535&amp;height=425&amp;START_MAXIMIZED=FALSE&amp;Y=120"}</definedName>
    <definedName name="_137__FDSAUDITLINK__" hidden="1">{"fdsup://directions/FAT Viewer?action=UPDATE&amp;creator=factSet&amp;DYN_ARGS=true&amp;DOC_NAME=FAT:RGA_ENTRPR_VAL_EV_SOURCE_WINDOW.FAT&amp;VAR:ID1=GLT-FR&amp;window=popup&amp;width=535&amp;height=425&amp;START_MAXIMIZED=FALSE&amp;Y=120"}</definedName>
    <definedName name="_1370__123Graph_XCHART_15" hidden="1">#REF!</definedName>
    <definedName name="_1374__123Graph_XCHART_16" hidden="1">#REF!</definedName>
    <definedName name="_1378__123Graph_XCHART_17" hidden="1">#REF!</definedName>
    <definedName name="_138__FDSAUDITLINK__" localSheetId="0" hidden="1">{"fdsup://directions/FAT Viewer?action=UPDATE&amp;creator=factSet&amp;DYN_ARGS=true&amp;DOC_NAME=FAT:RGA_ENTRPR_VAL_EV_SOURCE_WINDOW.FAT&amp;VAR:ID1=GLT-FR&amp;window=popup&amp;width=535&amp;height=425&amp;START_MAXIMIZED=FALSE&amp;Y=120"}</definedName>
    <definedName name="_138__FDSAUDITLINK__" localSheetId="6" hidden="1">{"fdsup://directions/FAT Viewer?action=UPDATE&amp;creator=factSet&amp;DYN_ARGS=true&amp;DOC_NAME=FAT:RGA_ENTRPR_VAL_EV_SOURCE_WINDOW.FAT&amp;VAR:ID1=GLT-FR&amp;window=popup&amp;width=535&amp;height=425&amp;START_MAXIMIZED=FALSE&amp;Y=120"}</definedName>
    <definedName name="_138__FDSAUDITLINK__" hidden="1">{"fdsup://directions/FAT Viewer?action=UPDATE&amp;creator=factSet&amp;DYN_ARGS=true&amp;DOC_NAME=FAT:RGA_ENTRPR_VAL_EV_SOURCE_WINDOW.FAT&amp;VAR:ID1=GLT-FR&amp;window=popup&amp;width=535&amp;height=425&amp;START_MAXIMIZED=FALSE&amp;Y=120"}</definedName>
    <definedName name="_1382__123Graph_XCHART_19" hidden="1">#REF!</definedName>
    <definedName name="_1383__123Graph_XCHART_2" hidden="1">#REF!</definedName>
    <definedName name="_1387__123Graph_XCHART_22" hidden="1">#REF!</definedName>
    <definedName name="_139__123Graph_CCHART_28" hidden="1">#REF!</definedName>
    <definedName name="_139__FDSAUDITLINK__" localSheetId="0" hidden="1">{"fdsup://directions/FAT Viewer?action=UPDATE&amp;creator=factSet&amp;DYN_ARGS=true&amp;DOC_NAME=FAT:RGA_ENTRPR_VAL_EV_SOURCE_WINDOW.FAT&amp;VAR:ID1=GLT-FR&amp;window=popup&amp;width=535&amp;height=425&amp;START_MAXIMIZED=FALSE&amp;Y=120"}</definedName>
    <definedName name="_139__FDSAUDITLINK__" localSheetId="6" hidden="1">{"fdsup://directions/FAT Viewer?action=UPDATE&amp;creator=factSet&amp;DYN_ARGS=true&amp;DOC_NAME=FAT:RGA_ENTRPR_VAL_EV_SOURCE_WINDOW.FAT&amp;VAR:ID1=GLT-FR&amp;window=popup&amp;width=535&amp;height=425&amp;START_MAXIMIZED=FALSE&amp;Y=120"}</definedName>
    <definedName name="_139__FDSAUDITLINK__" hidden="1">{"fdsup://directions/FAT Viewer?action=UPDATE&amp;creator=factSet&amp;DYN_ARGS=true&amp;DOC_NAME=FAT:RGA_ENTRPR_VAL_EV_SOURCE_WINDOW.FAT&amp;VAR:ID1=GLT-FR&amp;window=popup&amp;width=535&amp;height=425&amp;START_MAXIMIZED=FALSE&amp;Y=120"}</definedName>
    <definedName name="_1391__123Graph_XCHART_24" hidden="1">#REF!</definedName>
    <definedName name="_1395__123Graph_XCHART_26" hidden="1">#REF!</definedName>
    <definedName name="_1399__123Graph_XCHART_28" hidden="1">#REF!</definedName>
    <definedName name="_14__123Graph_ACHART_2" hidden="1">#REF!</definedName>
    <definedName name="_14__123Graph_ACHART_21" hidden="1">#REF!</definedName>
    <definedName name="_14__123Graph_ACHART_24" hidden="1">#REF!</definedName>
    <definedName name="_14__123Graph_ACHART_3" hidden="1">#REF!</definedName>
    <definedName name="_14__123Graph_AIND9596" hidden="1">#REF!</definedName>
    <definedName name="_14__123Graph_BCHART_1" hidden="1">#REF!</definedName>
    <definedName name="_14__123Graph_BCHART_3" hidden="1">#REF!</definedName>
    <definedName name="_14__123Graph_BCHART_4" hidden="1">#REF!</definedName>
    <definedName name="_14__123Graph_BChart_58B" hidden="1">#REF!</definedName>
    <definedName name="_14__123Graph_CCHART_16" hidden="1">#REF!</definedName>
    <definedName name="_14__123Graph_CCHART_23" hidden="1">#REF!</definedName>
    <definedName name="_14__123Graph_DCHART_3" hidden="1">#REF!</definedName>
    <definedName name="_14__123Graph_LBL_BPE_Y" hidden="1">#REF!</definedName>
    <definedName name="_14__123Graph_XChart_1" hidden="1">#REF!</definedName>
    <definedName name="_14__FDSAUDITLINK__" localSheetId="0" hidden="1">{"fdsup://directions/FAT Viewer?action=UPDATE&amp;creator=factSet&amp;DYN_ARGS=true&amp;DOC_NAME=FAT:RGA_ENTRPR_VAL_EV_SOURCE_WINDOW.FAT&amp;VAR:ID1=EV&amp;window=popup&amp;width=535&amp;height=425&amp;START_MAXIMIZED=FALSE&amp;Y=120"}</definedName>
    <definedName name="_14__FDSAUDITLINK__" localSheetId="6" hidden="1">{"fdsup://directions/FAT Viewer?action=UPDATE&amp;creator=factSet&amp;DYN_ARGS=true&amp;DOC_NAME=FAT:RGA_ENTRPR_VAL_EV_SOURCE_WINDOW.FAT&amp;VAR:ID1=EV&amp;window=popup&amp;width=535&amp;height=425&amp;START_MAXIMIZED=FALSE&amp;Y=120"}</definedName>
    <definedName name="_14__FDSAUDITLINK__" hidden="1">{"fdsup://directions/FAT Viewer?action=UPDATE&amp;creator=factSet&amp;DYN_ARGS=true&amp;DOC_NAME=FAT:RGA_ENTRPR_VAL_EV_SOURCE_WINDOW.FAT&amp;VAR:ID1=EV&amp;window=popup&amp;width=535&amp;height=425&amp;START_MAXIMIZED=FALSE&amp;Y=120"}</definedName>
    <definedName name="_140__123Graph_CCHART_3" hidden="1">#REF!</definedName>
    <definedName name="_140__123Graph_FCHART_17" hidden="1">#REF!</definedName>
    <definedName name="_140__FDSAUDITLINK__" localSheetId="0" hidden="1">{"fdsup://directions/FAT Viewer?action=UPDATE&amp;creator=factSet&amp;DYN_ARGS=true&amp;DOC_NAME=FAT:RGA_ENTRPR_VAL_EV_SOURCE_WINDOW.FAT&amp;VAR:ID1=GLT-FR&amp;window=popup&amp;width=535&amp;height=425&amp;START_MAXIMIZED=FALSE&amp;Y=120"}</definedName>
    <definedName name="_140__FDSAUDITLINK__" localSheetId="6" hidden="1">{"fdsup://directions/FAT Viewer?action=UPDATE&amp;creator=factSet&amp;DYN_ARGS=true&amp;DOC_NAME=FAT:RGA_ENTRPR_VAL_EV_SOURCE_WINDOW.FAT&amp;VAR:ID1=GLT-FR&amp;window=popup&amp;width=535&amp;height=425&amp;START_MAXIMIZED=FALSE&amp;Y=120"}</definedName>
    <definedName name="_140__FDSAUDITLINK__" hidden="1">{"fdsup://directions/FAT Viewer?action=UPDATE&amp;creator=factSet&amp;DYN_ARGS=true&amp;DOC_NAME=FAT:RGA_ENTRPR_VAL_EV_SOURCE_WINDOW.FAT&amp;VAR:ID1=GLT-FR&amp;window=popup&amp;width=535&amp;height=425&amp;START_MAXIMIZED=FALSE&amp;Y=120"}</definedName>
    <definedName name="_1400__123Graph_XCHART_3" hidden="1">#REF!</definedName>
    <definedName name="_1404__123Graph_XCHART_30" hidden="1">#REF!</definedName>
    <definedName name="_1408__123Graph_XCHART_31" hidden="1">#REF!</definedName>
    <definedName name="_141__123Graph_Dｸﾞﾗﾌ_4" hidden="1">#REF!</definedName>
    <definedName name="_141__FDSAUDITLINK__" localSheetId="0" hidden="1">{"fdsup://directions/FAT Viewer?action=UPDATE&amp;creator=factSet&amp;DYN_ARGS=true&amp;DOC_NAME=FAT:RGA_ENTRPR_VAL_EV_SOURCE_WINDOW.FAT&amp;VAR:ID1=GLT-FR&amp;window=popup&amp;width=535&amp;height=425&amp;START_MAXIMIZED=FALSE&amp;Y=120"}</definedName>
    <definedName name="_141__FDSAUDITLINK__" localSheetId="6" hidden="1">{"fdsup://directions/FAT Viewer?action=UPDATE&amp;creator=factSet&amp;DYN_ARGS=true&amp;DOC_NAME=FAT:RGA_ENTRPR_VAL_EV_SOURCE_WINDOW.FAT&amp;VAR:ID1=GLT-FR&amp;window=popup&amp;width=535&amp;height=425&amp;START_MAXIMIZED=FALSE&amp;Y=120"}</definedName>
    <definedName name="_141__FDSAUDITLINK__" hidden="1">{"fdsup://directions/FAT Viewer?action=UPDATE&amp;creator=factSet&amp;DYN_ARGS=true&amp;DOC_NAME=FAT:RGA_ENTRPR_VAL_EV_SOURCE_WINDOW.FAT&amp;VAR:ID1=GLT-FR&amp;window=popup&amp;width=535&amp;height=425&amp;START_MAXIMIZED=FALSE&amp;Y=120"}</definedName>
    <definedName name="_1412__123Graph_XCHART_32" hidden="1">#REF!</definedName>
    <definedName name="_1416__123Graph_XCHART_34" hidden="1">#REF!</definedName>
    <definedName name="_142__FDSAUDITLINK__" localSheetId="0" hidden="1">{"fdsup://directions/FAT Viewer?action=UPDATE&amp;creator=factSet&amp;DYN_ARGS=true&amp;DOC_NAME=FAT:RGA_ENTRPR_VAL_EV_SOURCE_WINDOW.FAT&amp;VAR:ID1=GLT-FR&amp;window=popup&amp;width=535&amp;height=425&amp;START_MAXIMIZED=FALSE&amp;Y=120"}</definedName>
    <definedName name="_142__FDSAUDITLINK__" localSheetId="6" hidden="1">{"fdsup://directions/FAT Viewer?action=UPDATE&amp;creator=factSet&amp;DYN_ARGS=true&amp;DOC_NAME=FAT:RGA_ENTRPR_VAL_EV_SOURCE_WINDOW.FAT&amp;VAR:ID1=GLT-FR&amp;window=popup&amp;width=535&amp;height=425&amp;START_MAXIMIZED=FALSE&amp;Y=120"}</definedName>
    <definedName name="_142__FDSAUDITLINK__" hidden="1">{"fdsup://directions/FAT Viewer?action=UPDATE&amp;creator=factSet&amp;DYN_ARGS=true&amp;DOC_NAME=FAT:RGA_ENTRPR_VAL_EV_SOURCE_WINDOW.FAT&amp;VAR:ID1=GLT-FR&amp;window=popup&amp;width=535&amp;height=425&amp;START_MAXIMIZED=FALSE&amp;Y=120"}</definedName>
    <definedName name="_1420__123Graph_XCHART_37" hidden="1">#REF!</definedName>
    <definedName name="_1424__123Graph_XCHART_39" hidden="1">#REF!</definedName>
    <definedName name="_1428__123Graph_XCHART_41" hidden="1">#REF!</definedName>
    <definedName name="_143__FDSAUDITLINK__" localSheetId="0" hidden="1">{"fdsup://directions/FAT Viewer?action=UPDATE&amp;creator=factSet&amp;DYN_ARGS=true&amp;DOC_NAME=FAT:RGA_ENTRPR_VAL_EV_SOURCE_WINDOW.FAT&amp;VAR:ID1=GLT-FR&amp;window=popup&amp;width=535&amp;height=425&amp;START_MAXIMIZED=FALSE&amp;Y=120"}</definedName>
    <definedName name="_143__FDSAUDITLINK__" localSheetId="6" hidden="1">{"fdsup://directions/FAT Viewer?action=UPDATE&amp;creator=factSet&amp;DYN_ARGS=true&amp;DOC_NAME=FAT:RGA_ENTRPR_VAL_EV_SOURCE_WINDOW.FAT&amp;VAR:ID1=GLT-FR&amp;window=popup&amp;width=535&amp;height=425&amp;START_MAXIMIZED=FALSE&amp;Y=120"}</definedName>
    <definedName name="_143__FDSAUDITLINK__" hidden="1">{"fdsup://directions/FAT Viewer?action=UPDATE&amp;creator=factSet&amp;DYN_ARGS=true&amp;DOC_NAME=FAT:RGA_ENTRPR_VAL_EV_SOURCE_WINDOW.FAT&amp;VAR:ID1=GLT-FR&amp;window=popup&amp;width=535&amp;height=425&amp;START_MAXIMIZED=FALSE&amp;Y=120"}</definedName>
    <definedName name="_144__FDSAUDITLINK__" localSheetId="0" hidden="1">{"fdsup://directions/FAT Viewer?action=UPDATE&amp;creator=factSet&amp;DYN_ARGS=true&amp;DOC_NAME=FAT:RGA_ENTRPR_VAL_EV_SOURCE_WINDOW.FAT&amp;VAR:ID1=GLT-FR&amp;window=popup&amp;width=535&amp;height=425&amp;START_MAXIMIZED=FALSE&amp;Y=120"}</definedName>
    <definedName name="_144__FDSAUDITLINK__" localSheetId="6" hidden="1">{"fdsup://directions/FAT Viewer?action=UPDATE&amp;creator=factSet&amp;DYN_ARGS=true&amp;DOC_NAME=FAT:RGA_ENTRPR_VAL_EV_SOURCE_WINDOW.FAT&amp;VAR:ID1=GLT-FR&amp;window=popup&amp;width=535&amp;height=425&amp;START_MAXIMIZED=FALSE&amp;Y=120"}</definedName>
    <definedName name="_144__FDSAUDITLINK__" hidden="1">{"fdsup://directions/FAT Viewer?action=UPDATE&amp;creator=factSet&amp;DYN_ARGS=true&amp;DOC_NAME=FAT:RGA_ENTRPR_VAL_EV_SOURCE_WINDOW.FAT&amp;VAR:ID1=GLT-FR&amp;window=popup&amp;width=535&amp;height=425&amp;START_MAXIMIZED=FALSE&amp;Y=120"}</definedName>
    <definedName name="_144__FDSAUDITLINK___1"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_1"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_1"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1_1"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2"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2"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2"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3"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3"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3"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4"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4"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4"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5" localSheetId="0"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5" localSheetId="6"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4__FDSAUDITLINK___5" hidden="1">{"fdsup://directions/FAT Viewer?action=UPDATE&amp;creator=factset&amp;DYN_ARGS=TRUE&amp;DOC_NAME=FAT:FQL_AUDITING_CLIENT_TEMPLATE.FAT&amp;display_string=Audit&amp;VAR:KEY=CNWJAHWJWP&amp;VAR:QUERY=RkZfUEJLX0NVUlIoKQ==&amp;WINDOW=FIRST_POPUP&amp;HEIGHT=450&amp;WIDTH=450&amp;START_MAXIMIZED=FALSE&amp;VA","R:CALENDAR=US&amp;VAR:SYMBOL=689714&amp;VAR:INDEX=0"}</definedName>
    <definedName name="_145__123Graph_FCHART_22" hidden="1">#REF!</definedName>
    <definedName name="_145__FDSAUDITLINK__" localSheetId="0" hidden="1">{"fdsup://directions/FAT Viewer?action=UPDATE&amp;creator=factSet&amp;DYN_ARGS=true&amp;DOC_NAME=FAT:RGA_ENTRPR_VAL_EV_SOURCE_WINDOW.FAT&amp;VAR:ID1=GLT-FR&amp;window=popup&amp;width=535&amp;height=425&amp;START_MAXIMIZED=FALSE&amp;Y=120"}</definedName>
    <definedName name="_145__FDSAUDITLINK__" localSheetId="6" hidden="1">{"fdsup://directions/FAT Viewer?action=UPDATE&amp;creator=factSet&amp;DYN_ARGS=true&amp;DOC_NAME=FAT:RGA_ENTRPR_VAL_EV_SOURCE_WINDOW.FAT&amp;VAR:ID1=GLT-FR&amp;window=popup&amp;width=535&amp;height=425&amp;START_MAXIMIZED=FALSE&amp;Y=120"}</definedName>
    <definedName name="_145__FDSAUDITLINK__" hidden="1">{"fdsup://directions/FAT Viewer?action=UPDATE&amp;creator=factSet&amp;DYN_ARGS=true&amp;DOC_NAME=FAT:RGA_ENTRPR_VAL_EV_SOURCE_WINDOW.FAT&amp;VAR:ID1=GLT-FR&amp;window=popup&amp;width=535&amp;height=425&amp;START_MAXIMIZED=FALSE&amp;Y=120"}</definedName>
    <definedName name="_146__123Graph_Eｸﾞﾗﾌ_1" hidden="1">#REF!</definedName>
    <definedName name="_146__FDSAUDITLINK__" localSheetId="0" hidden="1">{"fdsup://directions/FAT Viewer?action=UPDATE&amp;creator=factSet&amp;DYN_ARGS=true&amp;DOC_NAME=FAT:RGA_ENTRPR_VAL_EV_SOURCE_WINDOW.FAT&amp;VAR:ID1=GLT-FR&amp;window=popup&amp;width=535&amp;height=425&amp;START_MAXIMIZED=FALSE&amp;Y=120"}</definedName>
    <definedName name="_146__FDSAUDITLINK__" localSheetId="6" hidden="1">{"fdsup://directions/FAT Viewer?action=UPDATE&amp;creator=factSet&amp;DYN_ARGS=true&amp;DOC_NAME=FAT:RGA_ENTRPR_VAL_EV_SOURCE_WINDOW.FAT&amp;VAR:ID1=GLT-FR&amp;window=popup&amp;width=535&amp;height=425&amp;START_MAXIMIZED=FALSE&amp;Y=120"}</definedName>
    <definedName name="_146__FDSAUDITLINK__" hidden="1">{"fdsup://directions/FAT Viewer?action=UPDATE&amp;creator=factSet&amp;DYN_ARGS=true&amp;DOC_NAME=FAT:RGA_ENTRPR_VAL_EV_SOURCE_WINDOW.FAT&amp;VAR:ID1=GLT-FR&amp;window=popup&amp;width=535&amp;height=425&amp;START_MAXIMIZED=FALSE&amp;Y=120"}</definedName>
    <definedName name="_147__123Graph_Eｸﾞﾗﾌ_2" hidden="1">#REF!</definedName>
    <definedName name="_147__FDSAUDITLINK__" localSheetId="0" hidden="1">{"fdsup://directions/FAT Viewer?action=UPDATE&amp;creator=factSet&amp;DYN_ARGS=true&amp;DOC_NAME=FAT:RGA_ENTRPR_VAL_EV_SOURCE_WINDOW.FAT&amp;VAR:ID1=GLT-FR&amp;window=popup&amp;width=535&amp;height=425&amp;START_MAXIMIZED=FALSE&amp;Y=120"}</definedName>
    <definedName name="_147__FDSAUDITLINK__" localSheetId="6" hidden="1">{"fdsup://directions/FAT Viewer?action=UPDATE&amp;creator=factSet&amp;DYN_ARGS=true&amp;DOC_NAME=FAT:RGA_ENTRPR_VAL_EV_SOURCE_WINDOW.FAT&amp;VAR:ID1=GLT-FR&amp;window=popup&amp;width=535&amp;height=425&amp;START_MAXIMIZED=FALSE&amp;Y=120"}</definedName>
    <definedName name="_147__FDSAUDITLINK__" hidden="1">{"fdsup://directions/FAT Viewer?action=UPDATE&amp;creator=factSet&amp;DYN_ARGS=true&amp;DOC_NAME=FAT:RGA_ENTRPR_VAL_EV_SOURCE_WINDOW.FAT&amp;VAR:ID1=GLT-FR&amp;window=popup&amp;width=535&amp;height=425&amp;START_MAXIMIZED=FALSE&amp;Y=120"}</definedName>
    <definedName name="_148__FDSAUDITLINK__" localSheetId="0" hidden="1">{"fdsup://directions/FAT Viewer?action=UPDATE&amp;creator=factSet&amp;DYN_ARGS=true&amp;DOC_NAME=FAT:RGA_ENTRPR_VAL_EV_SOURCE_WINDOW.FAT&amp;VAR:ID1=GLT-FR&amp;window=popup&amp;width=535&amp;height=425&amp;START_MAXIMIZED=FALSE&amp;Y=120"}</definedName>
    <definedName name="_148__FDSAUDITLINK__" localSheetId="6" hidden="1">{"fdsup://directions/FAT Viewer?action=UPDATE&amp;creator=factSet&amp;DYN_ARGS=true&amp;DOC_NAME=FAT:RGA_ENTRPR_VAL_EV_SOURCE_WINDOW.FAT&amp;VAR:ID1=GLT-FR&amp;window=popup&amp;width=535&amp;height=425&amp;START_MAXIMIZED=FALSE&amp;Y=120"}</definedName>
    <definedName name="_148__FDSAUDITLINK__" hidden="1">{"fdsup://directions/FAT Viewer?action=UPDATE&amp;creator=factSet&amp;DYN_ARGS=true&amp;DOC_NAME=FAT:RGA_ENTRPR_VAL_EV_SOURCE_WINDOW.FAT&amp;VAR:ID1=GLT-FR&amp;window=popup&amp;width=535&amp;height=425&amp;START_MAXIMIZED=FALSE&amp;Y=120"}</definedName>
    <definedName name="_149__123Graph_Eｸﾞﾗﾌ_3" hidden="1">#REF!</definedName>
    <definedName name="_149__FDSAUDITLINK__" localSheetId="0" hidden="1">{"fdsup://directions/FAT Viewer?action=UPDATE&amp;creator=factSet&amp;DYN_ARGS=true&amp;DOC_NAME=FAT:RGA_ENTRPR_VAL_EV_SOURCE_WINDOW.FAT&amp;VAR:ID1=GLT-FR&amp;window=popup&amp;width=535&amp;height=425&amp;START_MAXIMIZED=FALSE&amp;Y=120"}</definedName>
    <definedName name="_149__FDSAUDITLINK__" localSheetId="6" hidden="1">{"fdsup://directions/FAT Viewer?action=UPDATE&amp;creator=factSet&amp;DYN_ARGS=true&amp;DOC_NAME=FAT:RGA_ENTRPR_VAL_EV_SOURCE_WINDOW.FAT&amp;VAR:ID1=GLT-FR&amp;window=popup&amp;width=535&amp;height=425&amp;START_MAXIMIZED=FALSE&amp;Y=120"}</definedName>
    <definedName name="_149__FDSAUDITLINK__" hidden="1">{"fdsup://directions/FAT Viewer?action=UPDATE&amp;creator=factSet&amp;DYN_ARGS=true&amp;DOC_NAME=FAT:RGA_ENTRPR_VAL_EV_SOURCE_WINDOW.FAT&amp;VAR:ID1=GLT-FR&amp;window=popup&amp;width=535&amp;height=425&amp;START_MAXIMIZED=FALSE&amp;Y=120"}</definedName>
    <definedName name="_15_?88">#REF!</definedName>
    <definedName name="_15__123Graph_A_Chart_1A" hidden="1">#REF!</definedName>
    <definedName name="_15__123Graph_ACHART_16" hidden="1">#REF!</definedName>
    <definedName name="_15__123Graph_ACHART_25" hidden="1">#REF!</definedName>
    <definedName name="_15__123Graph_ACHART_3" hidden="1">#REF!</definedName>
    <definedName name="_15__123Graph_ACHART_4" hidden="1">#REF!</definedName>
    <definedName name="_15__123Graph_AINDX9196" hidden="1">#REF!</definedName>
    <definedName name="_15__123Graph_BCHART_2" hidden="1">#REF!</definedName>
    <definedName name="_15__123Graph_BCHART_5" hidden="1">#REF!</definedName>
    <definedName name="_15__123Graph_CCHART_17" hidden="1">#REF!</definedName>
    <definedName name="_15__123Graph_CCHART_24" hidden="1">#REF!</definedName>
    <definedName name="_15__123Graph_ECHART_28" hidden="1">#REF!</definedName>
    <definedName name="_15__123Graph_LBL_AMKT_MONTH" hidden="1">#REF!</definedName>
    <definedName name="_15__123Graph_LBL_DCHART_1" hidden="1">#REF!</definedName>
    <definedName name="_15__123Graph_XChart_1A" hidden="1">#REF!</definedName>
    <definedName name="_15__123Graph_XChart_2" hidden="1">#REF!</definedName>
    <definedName name="_15__FDSAUDITLINK__" localSheetId="0" hidden="1">{"fdsup://directions/FAT Viewer?action=UPDATE&amp;creator=factSet&amp;DYN_ARGS=true&amp;DOC_NAME=FAT:RGA_ENTRPR_VAL_EV_SOURCE_WINDOW.FAT&amp;VAR:ID1=&amp;window=popup&amp;width=535&amp;height=425&amp;START_MAXIMIZED=FALSE&amp;Y=120"}</definedName>
    <definedName name="_15__FDSAUDITLINK__" localSheetId="6" hidden="1">{"fdsup://directions/FAT Viewer?action=UPDATE&amp;creator=factSet&amp;DYN_ARGS=true&amp;DOC_NAME=FAT:RGA_ENTRPR_VAL_EV_SOURCE_WINDOW.FAT&amp;VAR:ID1=&amp;window=popup&amp;width=535&amp;height=425&amp;START_MAXIMIZED=FALSE&amp;Y=120"}</definedName>
    <definedName name="_15__FDSAUDITLINK__" hidden="1">{"fdsup://directions/FAT Viewer?action=UPDATE&amp;creator=factSet&amp;DYN_ARGS=true&amp;DOC_NAME=FAT:RGA_ENTRPR_VAL_EV_SOURCE_WINDOW.FAT&amp;VAR:ID1=&amp;window=popup&amp;width=535&amp;height=425&amp;START_MAXIMIZED=FALSE&amp;Y=120"}</definedName>
    <definedName name="_150__123Graph_XCHART_15" hidden="1">#REF!</definedName>
    <definedName name="_150__FDSAUDITLINK__" localSheetId="0" hidden="1">{"fdsup://directions/FAT Viewer?action=UPDATE&amp;creator=factSet&amp;DYN_ARGS=true&amp;DOC_NAME=FAT:RGA_ENTRPR_VAL_EV_SOURCE_WINDOW.FAT&amp;VAR:ID1=GLT-FR&amp;window=popup&amp;width=535&amp;height=425&amp;START_MAXIMIZED=FALSE&amp;Y=120"}</definedName>
    <definedName name="_150__FDSAUDITLINK__" localSheetId="6" hidden="1">{"fdsup://directions/FAT Viewer?action=UPDATE&amp;creator=factSet&amp;DYN_ARGS=true&amp;DOC_NAME=FAT:RGA_ENTRPR_VAL_EV_SOURCE_WINDOW.FAT&amp;VAR:ID1=GLT-FR&amp;window=popup&amp;width=535&amp;height=425&amp;START_MAXIMIZED=FALSE&amp;Y=120"}</definedName>
    <definedName name="_150__FDSAUDITLINK__" hidden="1">{"fdsup://directions/FAT Viewer?action=UPDATE&amp;creator=factSet&amp;DYN_ARGS=true&amp;DOC_NAME=FAT:RGA_ENTRPR_VAL_EV_SOURCE_WINDOW.FAT&amp;VAR:ID1=GLT-FR&amp;window=popup&amp;width=535&amp;height=425&amp;START_MAXIMIZED=FALSE&amp;Y=120"}</definedName>
    <definedName name="_151__FDSAUDITLINK__" localSheetId="0" hidden="1">{"fdsup://directions/FAT Viewer?action=UPDATE&amp;creator=factSet&amp;DYN_ARGS=true&amp;DOC_NAME=FAT:RGA_ENTRPR_VAL_EV_SOURCE_WINDOW.FAT&amp;VAR:ID1=GLT-FR&amp;window=popup&amp;width=535&amp;height=425&amp;START_MAXIMIZED=FALSE&amp;Y=120"}</definedName>
    <definedName name="_151__FDSAUDITLINK__" localSheetId="6" hidden="1">{"fdsup://directions/FAT Viewer?action=UPDATE&amp;creator=factSet&amp;DYN_ARGS=true&amp;DOC_NAME=FAT:RGA_ENTRPR_VAL_EV_SOURCE_WINDOW.FAT&amp;VAR:ID1=GLT-FR&amp;window=popup&amp;width=535&amp;height=425&amp;START_MAXIMIZED=FALSE&amp;Y=120"}</definedName>
    <definedName name="_151__FDSAUDITLINK__" hidden="1">{"fdsup://directions/FAT Viewer?action=UPDATE&amp;creator=factSet&amp;DYN_ARGS=true&amp;DOC_NAME=FAT:RGA_ENTRPR_VAL_EV_SOURCE_WINDOW.FAT&amp;VAR:ID1=GLT-FR&amp;window=popup&amp;width=535&amp;height=425&amp;START_MAXIMIZED=FALSE&amp;Y=120"}</definedName>
    <definedName name="_152__FDSAUDITLINK__" localSheetId="0" hidden="1">{"fdsup://directions/FAT Viewer?action=UPDATE&amp;creator=factSet&amp;DYN_ARGS=true&amp;DOC_NAME=FAT:RGA_ENTRPR_VAL_EV_SOURCE_WINDOW.FAT&amp;VAR:ID1=GLT-FR&amp;window=popup&amp;width=535&amp;height=425&amp;START_MAXIMIZED=FALSE&amp;Y=120"}</definedName>
    <definedName name="_152__FDSAUDITLINK__" localSheetId="6" hidden="1">{"fdsup://directions/FAT Viewer?action=UPDATE&amp;creator=factSet&amp;DYN_ARGS=true&amp;DOC_NAME=FAT:RGA_ENTRPR_VAL_EV_SOURCE_WINDOW.FAT&amp;VAR:ID1=GLT-FR&amp;window=popup&amp;width=535&amp;height=425&amp;START_MAXIMIZED=FALSE&amp;Y=120"}</definedName>
    <definedName name="_152__FDSAUDITLINK__" hidden="1">{"fdsup://directions/FAT Viewer?action=UPDATE&amp;creator=factSet&amp;DYN_ARGS=true&amp;DOC_NAME=FAT:RGA_ENTRPR_VAL_EV_SOURCE_WINDOW.FAT&amp;VAR:ID1=GLT-FR&amp;window=popup&amp;width=535&amp;height=425&amp;START_MAXIMIZED=FALSE&amp;Y=120"}</definedName>
    <definedName name="_153__123Graph_CCHART_30" hidden="1">#REF!</definedName>
    <definedName name="_153__FDSAUDITLINK__" localSheetId="0" hidden="1">{"fdsup://directions/FAT Viewer?action=UPDATE&amp;creator=factSet&amp;DYN_ARGS=true&amp;DOC_NAME=FAT:RGA_ENTRPR_VAL_EV_SOURCE_WINDOW.FAT&amp;VAR:ID1=GLT-FR&amp;window=popup&amp;width=535&amp;height=425&amp;START_MAXIMIZED=FALSE&amp;Y=120"}</definedName>
    <definedName name="_153__FDSAUDITLINK__" localSheetId="6" hidden="1">{"fdsup://directions/FAT Viewer?action=UPDATE&amp;creator=factSet&amp;DYN_ARGS=true&amp;DOC_NAME=FAT:RGA_ENTRPR_VAL_EV_SOURCE_WINDOW.FAT&amp;VAR:ID1=GLT-FR&amp;window=popup&amp;width=535&amp;height=425&amp;START_MAXIMIZED=FALSE&amp;Y=120"}</definedName>
    <definedName name="_153__FDSAUDITLINK__" hidden="1">{"fdsup://directions/FAT Viewer?action=UPDATE&amp;creator=factSet&amp;DYN_ARGS=true&amp;DOC_NAME=FAT:RGA_ENTRPR_VAL_EV_SOURCE_WINDOW.FAT&amp;VAR:ID1=GLT-FR&amp;window=popup&amp;width=535&amp;height=425&amp;START_MAXIMIZED=FALSE&amp;Y=120"}</definedName>
    <definedName name="_154__FDSAUDITLINK__" localSheetId="0" hidden="1">{"fdsup://directions/FAT Viewer?action=UPDATE&amp;creator=factSet&amp;DYN_ARGS=true&amp;DOC_NAME=FAT:RGA_ENTRPR_VAL_EV_SOURCE_WINDOW.FAT&amp;VAR:ID1=GLT-FR&amp;window=popup&amp;width=535&amp;height=425&amp;START_MAXIMIZED=FALSE&amp;Y=120"}</definedName>
    <definedName name="_154__FDSAUDITLINK__" localSheetId="6" hidden="1">{"fdsup://directions/FAT Viewer?action=UPDATE&amp;creator=factSet&amp;DYN_ARGS=true&amp;DOC_NAME=FAT:RGA_ENTRPR_VAL_EV_SOURCE_WINDOW.FAT&amp;VAR:ID1=GLT-FR&amp;window=popup&amp;width=535&amp;height=425&amp;START_MAXIMIZED=FALSE&amp;Y=120"}</definedName>
    <definedName name="_154__FDSAUDITLINK__" hidden="1">{"fdsup://directions/FAT Viewer?action=UPDATE&amp;creator=factSet&amp;DYN_ARGS=true&amp;DOC_NAME=FAT:RGA_ENTRPR_VAL_EV_SOURCE_WINDOW.FAT&amp;VAR:ID1=GLT-FR&amp;window=popup&amp;width=535&amp;height=425&amp;START_MAXIMIZED=FALSE&amp;Y=120"}</definedName>
    <definedName name="_155__123Graph_XCHART_16" hidden="1">#REF!</definedName>
    <definedName name="_155__FDSAUDITLINK__" localSheetId="0" hidden="1">{"fdsup://directions/FAT Viewer?action=UPDATE&amp;creator=factSet&amp;DYN_ARGS=true&amp;DOC_NAME=FAT:RGA_ENTRPR_VAL_EV_SOURCE_WINDOW.FAT&amp;VAR:ID1=GLT-FR&amp;window=popup&amp;width=535&amp;height=425&amp;START_MAXIMIZED=FALSE&amp;Y=120"}</definedName>
    <definedName name="_155__FDSAUDITLINK__" localSheetId="6" hidden="1">{"fdsup://directions/FAT Viewer?action=UPDATE&amp;creator=factSet&amp;DYN_ARGS=true&amp;DOC_NAME=FAT:RGA_ENTRPR_VAL_EV_SOURCE_WINDOW.FAT&amp;VAR:ID1=GLT-FR&amp;window=popup&amp;width=535&amp;height=425&amp;START_MAXIMIZED=FALSE&amp;Y=120"}</definedName>
    <definedName name="_155__FDSAUDITLINK__" hidden="1">{"fdsup://directions/FAT Viewer?action=UPDATE&amp;creator=factSet&amp;DYN_ARGS=true&amp;DOC_NAME=FAT:RGA_ENTRPR_VAL_EV_SOURCE_WINDOW.FAT&amp;VAR:ID1=GLT-FR&amp;window=popup&amp;width=535&amp;height=425&amp;START_MAXIMIZED=FALSE&amp;Y=120"}</definedName>
    <definedName name="_156__123Graph_Eｸﾞﾗﾌ_4" hidden="1">#REF!</definedName>
    <definedName name="_156__FDSAUDITLINK__" localSheetId="0" hidden="1">{"fdsup://directions/FAT Viewer?action=UPDATE&amp;creator=factSet&amp;DYN_ARGS=true&amp;DOC_NAME=FAT:RGA_ENTRPR_VAL_EV_SOURCE_WINDOW.FAT&amp;VAR:ID1=GLT-FR&amp;window=popup&amp;width=535&amp;height=425&amp;START_MAXIMIZED=FALSE&amp;Y=120"}</definedName>
    <definedName name="_156__FDSAUDITLINK__" localSheetId="6" hidden="1">{"fdsup://directions/FAT Viewer?action=UPDATE&amp;creator=factSet&amp;DYN_ARGS=true&amp;DOC_NAME=FAT:RGA_ENTRPR_VAL_EV_SOURCE_WINDOW.FAT&amp;VAR:ID1=GLT-FR&amp;window=popup&amp;width=535&amp;height=425&amp;START_MAXIMIZED=FALSE&amp;Y=120"}</definedName>
    <definedName name="_156__FDSAUDITLINK__" hidden="1">{"fdsup://directions/FAT Viewer?action=UPDATE&amp;creator=factSet&amp;DYN_ARGS=true&amp;DOC_NAME=FAT:RGA_ENTRPR_VAL_EV_SOURCE_WINDOW.FAT&amp;VAR:ID1=GLT-FR&amp;window=popup&amp;width=535&amp;height=425&amp;START_MAXIMIZED=FALSE&amp;Y=120"}</definedName>
    <definedName name="_157__FDSAUDITLINK__" localSheetId="0" hidden="1">{"fdsup://directions/FAT Viewer?action=UPDATE&amp;creator=factSet&amp;DYN_ARGS=true&amp;DOC_NAME=FAT:RGA_ENTRPR_VAL_EV_SOURCE_WINDOW.FAT&amp;VAR:ID1=GLT-FR&amp;window=popup&amp;width=535&amp;height=425&amp;START_MAXIMIZED=FALSE&amp;Y=120"}</definedName>
    <definedName name="_157__FDSAUDITLINK__" localSheetId="6" hidden="1">{"fdsup://directions/FAT Viewer?action=UPDATE&amp;creator=factSet&amp;DYN_ARGS=true&amp;DOC_NAME=FAT:RGA_ENTRPR_VAL_EV_SOURCE_WINDOW.FAT&amp;VAR:ID1=GLT-FR&amp;window=popup&amp;width=535&amp;height=425&amp;START_MAXIMIZED=FALSE&amp;Y=120"}</definedName>
    <definedName name="_157__FDSAUDITLINK__" hidden="1">{"fdsup://directions/FAT Viewer?action=UPDATE&amp;creator=factSet&amp;DYN_ARGS=true&amp;DOC_NAME=FAT:RGA_ENTRPR_VAL_EV_SOURCE_WINDOW.FAT&amp;VAR:ID1=GLT-FR&amp;window=popup&amp;width=535&amp;height=425&amp;START_MAXIMIZED=FALSE&amp;Y=120"}</definedName>
    <definedName name="_158__FDSAUDITLINK__" localSheetId="0" hidden="1">{"fdsup://directions/FAT Viewer?action=UPDATE&amp;creator=factSet&amp;DYN_ARGS=true&amp;DOC_NAME=FAT:RGA_ENTRPR_VAL_EV_SOURCE_WINDOW.FAT&amp;VAR:ID1=GLT-FR&amp;window=popup&amp;width=535&amp;height=425&amp;START_MAXIMIZED=FALSE&amp;Y=120"}</definedName>
    <definedName name="_158__FDSAUDITLINK__" localSheetId="6" hidden="1">{"fdsup://directions/FAT Viewer?action=UPDATE&amp;creator=factSet&amp;DYN_ARGS=true&amp;DOC_NAME=FAT:RGA_ENTRPR_VAL_EV_SOURCE_WINDOW.FAT&amp;VAR:ID1=GLT-FR&amp;window=popup&amp;width=535&amp;height=425&amp;START_MAXIMIZED=FALSE&amp;Y=120"}</definedName>
    <definedName name="_158__FDSAUDITLINK__" hidden="1">{"fdsup://directions/FAT Viewer?action=UPDATE&amp;creator=factSet&amp;DYN_ARGS=true&amp;DOC_NAME=FAT:RGA_ENTRPR_VAL_EV_SOURCE_WINDOW.FAT&amp;VAR:ID1=GLT-FR&amp;window=popup&amp;width=535&amp;height=425&amp;START_MAXIMIZED=FALSE&amp;Y=120"}</definedName>
    <definedName name="_159__123Graph_Fｸﾞﾗﾌ_3" hidden="1">#REF!</definedName>
    <definedName name="_159__FDSAUDITLINK__" localSheetId="0" hidden="1">{"fdsup://directions/FAT Viewer?action=UPDATE&amp;creator=factSet&amp;DYN_ARGS=true&amp;DOC_NAME=FAT:RGA_ENTRPR_VAL_EV_SOURCE_WINDOW.FAT&amp;VAR:ID1=GLT-FR&amp;window=popup&amp;width=535&amp;height=425&amp;START_MAXIMIZED=FALSE&amp;Y=120"}</definedName>
    <definedName name="_159__FDSAUDITLINK__" localSheetId="6" hidden="1">{"fdsup://directions/FAT Viewer?action=UPDATE&amp;creator=factSet&amp;DYN_ARGS=true&amp;DOC_NAME=FAT:RGA_ENTRPR_VAL_EV_SOURCE_WINDOW.FAT&amp;VAR:ID1=GLT-FR&amp;window=popup&amp;width=535&amp;height=425&amp;START_MAXIMIZED=FALSE&amp;Y=120"}</definedName>
    <definedName name="_159__FDSAUDITLINK__" hidden="1">{"fdsup://directions/FAT Viewer?action=UPDATE&amp;creator=factSet&amp;DYN_ARGS=true&amp;DOC_NAME=FAT:RGA_ENTRPR_VAL_EV_SOURCE_WINDOW.FAT&amp;VAR:ID1=GLT-FR&amp;window=popup&amp;width=535&amp;height=425&amp;START_MAXIMIZED=FALSE&amp;Y=120"}</definedName>
    <definedName name="_16__123Graph_AChart_1" hidden="1">#REF!</definedName>
    <definedName name="_16__123Graph_ACHART_26" hidden="1">#REF!</definedName>
    <definedName name="_16__123Graph_ACHART_5" hidden="1">#REF!</definedName>
    <definedName name="_16__123Graph_AINDX95" hidden="1">#REF!</definedName>
    <definedName name="_16__123Graph_ASEG_PIE" hidden="1">#REF!</definedName>
    <definedName name="_16__123Graph_BCHART_1" hidden="1">#REF!</definedName>
    <definedName name="_16__123Graph_BCHART_3" hidden="1">#REF!</definedName>
    <definedName name="_16__123Graph_BCHART_4" hidden="1">#REF!</definedName>
    <definedName name="_16__123Graph_BPC_Y" hidden="1">#REF!</definedName>
    <definedName name="_16__123Graph_CCHART_2" hidden="1">#REF!</definedName>
    <definedName name="_16__123Graph_CCHART_22" hidden="1">#REF!</definedName>
    <definedName name="_16__123Graph_CCHART_25" hidden="1">#REF!</definedName>
    <definedName name="_16__123Graph_DCHART_1" hidden="1">#REF!</definedName>
    <definedName name="_16__123Graph_FCHART_28" hidden="1">#REF!</definedName>
    <definedName name="_16__123Graph_LBL_BPP_Y" hidden="1">#REF!</definedName>
    <definedName name="_16__123Graph_XChart_3" hidden="1">#REF!</definedName>
    <definedName name="_16__123Graph_XChart_58B" hidden="1">#REF!</definedName>
    <definedName name="_16__FDSAUDITLINK__" localSheetId="0" hidden="1">{"fdsup://directions/FAT Viewer?action=UPDATE&amp;creator=factSet&amp;DYN_ARGS=true&amp;DOC_NAME=FAT:RGA_ENTRPR_VAL_EV_SOURCE_WINDOW.FAT&amp;VAR:ID1=&amp;window=popup&amp;width=535&amp;height=425&amp;START_MAXIMIZED=FALSE&amp;Y=120"}</definedName>
    <definedName name="_16__FDSAUDITLINK__" localSheetId="6" hidden="1">{"fdsup://directions/FAT Viewer?action=UPDATE&amp;creator=factSet&amp;DYN_ARGS=true&amp;DOC_NAME=FAT:RGA_ENTRPR_VAL_EV_SOURCE_WINDOW.FAT&amp;VAR:ID1=&amp;window=popup&amp;width=535&amp;height=425&amp;START_MAXIMIZED=FALSE&amp;Y=120"}</definedName>
    <definedName name="_16__FDSAUDITLINK__" hidden="1">{"fdsup://directions/FAT Viewer?action=UPDATE&amp;creator=factSet&amp;DYN_ARGS=true&amp;DOC_NAME=FAT:RGA_ENTRPR_VAL_EV_SOURCE_WINDOW.FAT&amp;VAR:ID1=&amp;window=popup&amp;width=535&amp;height=425&amp;START_MAXIMIZED=FALSE&amp;Y=120"}</definedName>
    <definedName name="_16_0">#REF!</definedName>
    <definedName name="_160__123Graph_XCHART_17" hidden="1">#REF!</definedName>
    <definedName name="_160__FDSAUDITLINK__" localSheetId="0" hidden="1">{"fdsup://directions/FAT Viewer?action=UPDATE&amp;creator=factSet&amp;DYN_ARGS=true&amp;DOC_NAME=FAT:RGA_ENTRPR_VAL_EV_SOURCE_WINDOW.FAT&amp;VAR:ID1=GLT-FR&amp;window=popup&amp;width=535&amp;height=425&amp;START_MAXIMIZED=FALSE&amp;Y=120"}</definedName>
    <definedName name="_160__FDSAUDITLINK__" localSheetId="6" hidden="1">{"fdsup://directions/FAT Viewer?action=UPDATE&amp;creator=factSet&amp;DYN_ARGS=true&amp;DOC_NAME=FAT:RGA_ENTRPR_VAL_EV_SOURCE_WINDOW.FAT&amp;VAR:ID1=GLT-FR&amp;window=popup&amp;width=535&amp;height=425&amp;START_MAXIMIZED=FALSE&amp;Y=120"}</definedName>
    <definedName name="_160__FDSAUDITLINK__" hidden="1">{"fdsup://directions/FAT Viewer?action=UPDATE&amp;creator=factSet&amp;DYN_ARGS=true&amp;DOC_NAME=FAT:RGA_ENTRPR_VAL_EV_SOURCE_WINDOW.FAT&amp;VAR:ID1=GLT-FR&amp;window=popup&amp;width=535&amp;height=425&amp;START_MAXIMIZED=FALSE&amp;Y=120"}</definedName>
    <definedName name="_160__FDSAUDITLINK___1" localSheetId="0"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localSheetId="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_1" localSheetId="0"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_1" localSheetId="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1_1"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2" localSheetId="0"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2" localSheetId="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2"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3" localSheetId="0"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3" localSheetId="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3"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4" localSheetId="0"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4" localSheetId="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4"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5" localSheetId="0"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5" localSheetId="6"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0__FDSAUDITLINK___5" hidden="1">{"fdsup://directions/FAT Viewer?action=UPDATE&amp;creator=factset&amp;DYN_ARGS=TRUE&amp;DOC_NAME=FAT:FQL_AUDITING_CLIENT_TEMPLATE.FAT&amp;display_string=Audit&amp;VAR:KEY=WZEJMZMTMZ&amp;VAR:QUERY=RkZfRUJJVF9PUEVSKExUTVMsMCwwLCwsVVNEKQ==&amp;WINDOW=FIRST_POPUP&amp;HEIGHT=450&amp;WIDTH=450&amp;STAR","T_MAXIMIZED=FALSE&amp;VAR:CALENDAR=US&amp;VAR:SYMBOL=689714&amp;VAR:INDEX=0"}</definedName>
    <definedName name="_161__FDSAUDITLINK__" localSheetId="0" hidden="1">{"fdsup://directions/FAT Viewer?action=UPDATE&amp;creator=factSet&amp;DYN_ARGS=true&amp;DOC_NAME=FAT:RGA_ENTRPR_VAL_EV_SOURCE_WINDOW.FAT&amp;VAR:ID1=GLT-FR&amp;window=popup&amp;width=535&amp;height=425&amp;START_MAXIMIZED=FALSE&amp;Y=120"}</definedName>
    <definedName name="_161__FDSAUDITLINK__" localSheetId="6" hidden="1">{"fdsup://directions/FAT Viewer?action=UPDATE&amp;creator=factSet&amp;DYN_ARGS=true&amp;DOC_NAME=FAT:RGA_ENTRPR_VAL_EV_SOURCE_WINDOW.FAT&amp;VAR:ID1=GLT-FR&amp;window=popup&amp;width=535&amp;height=425&amp;START_MAXIMIZED=FALSE&amp;Y=120"}</definedName>
    <definedName name="_161__FDSAUDITLINK__" hidden="1">{"fdsup://directions/FAT Viewer?action=UPDATE&amp;creator=factSet&amp;DYN_ARGS=true&amp;DOC_NAME=FAT:RGA_ENTRPR_VAL_EV_SOURCE_WINDOW.FAT&amp;VAR:ID1=GLT-FR&amp;window=popup&amp;width=535&amp;height=425&amp;START_MAXIMIZED=FALSE&amp;Y=120"}</definedName>
    <definedName name="_162__FDSAUDITLINK__" localSheetId="0" hidden="1">{"fdsup://directions/FAT Viewer?action=UPDATE&amp;creator=factSet&amp;DYN_ARGS=true&amp;DOC_NAME=FAT:RGA_ENTRPR_VAL_EV_SOURCE_WINDOW.FAT&amp;VAR:ID1=GLT-FR&amp;window=popup&amp;width=535&amp;height=425&amp;START_MAXIMIZED=FALSE&amp;Y=120"}</definedName>
    <definedName name="_162__FDSAUDITLINK__" localSheetId="6" hidden="1">{"fdsup://directions/FAT Viewer?action=UPDATE&amp;creator=factSet&amp;DYN_ARGS=true&amp;DOC_NAME=FAT:RGA_ENTRPR_VAL_EV_SOURCE_WINDOW.FAT&amp;VAR:ID1=GLT-FR&amp;window=popup&amp;width=535&amp;height=425&amp;START_MAXIMIZED=FALSE&amp;Y=120"}</definedName>
    <definedName name="_162__FDSAUDITLINK__" hidden="1">{"fdsup://directions/FAT Viewer?action=UPDATE&amp;creator=factSet&amp;DYN_ARGS=true&amp;DOC_NAME=FAT:RGA_ENTRPR_VAL_EV_SOURCE_WINDOW.FAT&amp;VAR:ID1=GLT-FR&amp;window=popup&amp;width=535&amp;height=425&amp;START_MAXIMIZED=FALSE&amp;Y=120"}</definedName>
    <definedName name="_163__FDSAUDITLINK__" localSheetId="0" hidden="1">{"fdsup://directions/FAT Viewer?action=UPDATE&amp;creator=factSet&amp;DYN_ARGS=true&amp;DOC_NAME=FAT:RGA_ENTRPR_VAL_EV_SOURCE_WINDOW.FAT&amp;VAR:ID1=GLT-FR&amp;window=popup&amp;width=535&amp;height=425&amp;START_MAXIMIZED=FALSE&amp;Y=120"}</definedName>
    <definedName name="_163__FDSAUDITLINK__" localSheetId="6" hidden="1">{"fdsup://directions/FAT Viewer?action=UPDATE&amp;creator=factSet&amp;DYN_ARGS=true&amp;DOC_NAME=FAT:RGA_ENTRPR_VAL_EV_SOURCE_WINDOW.FAT&amp;VAR:ID1=GLT-FR&amp;window=popup&amp;width=535&amp;height=425&amp;START_MAXIMIZED=FALSE&amp;Y=120"}</definedName>
    <definedName name="_163__FDSAUDITLINK__" hidden="1">{"fdsup://directions/FAT Viewer?action=UPDATE&amp;creator=factSet&amp;DYN_ARGS=true&amp;DOC_NAME=FAT:RGA_ENTRPR_VAL_EV_SOURCE_WINDOW.FAT&amp;VAR:ID1=GLT-FR&amp;window=popup&amp;width=535&amp;height=425&amp;START_MAXIMIZED=FALSE&amp;Y=120"}</definedName>
    <definedName name="_164__FDSAUDITLINK__" localSheetId="0" hidden="1">{"fdsup://directions/FAT Viewer?action=UPDATE&amp;creator=factSet&amp;DYN_ARGS=true&amp;DOC_NAME=FAT:RGA_ENTRPR_VAL_EV_SOURCE_WINDOW.FAT&amp;VAR:ID1=GLT-FR&amp;window=popup&amp;width=535&amp;height=425&amp;START_MAXIMIZED=FALSE&amp;Y=120"}</definedName>
    <definedName name="_164__FDSAUDITLINK__" localSheetId="6" hidden="1">{"fdsup://directions/FAT Viewer?action=UPDATE&amp;creator=factSet&amp;DYN_ARGS=true&amp;DOC_NAME=FAT:RGA_ENTRPR_VAL_EV_SOURCE_WINDOW.FAT&amp;VAR:ID1=GLT-FR&amp;window=popup&amp;width=535&amp;height=425&amp;START_MAXIMIZED=FALSE&amp;Y=120"}</definedName>
    <definedName name="_164__FDSAUDITLINK__" hidden="1">{"fdsup://directions/FAT Viewer?action=UPDATE&amp;creator=factSet&amp;DYN_ARGS=true&amp;DOC_NAME=FAT:RGA_ENTRPR_VAL_EV_SOURCE_WINDOW.FAT&amp;VAR:ID1=GLT-FR&amp;window=popup&amp;width=535&amp;height=425&amp;START_MAXIMIZED=FALSE&amp;Y=120"}</definedName>
    <definedName name="_165__123Graph_XCHART_18" hidden="1">#REF!</definedName>
    <definedName name="_165__FDSAUDITLINK__" localSheetId="0" hidden="1">{"fdsup://directions/FAT Viewer?action=UPDATE&amp;creator=factSet&amp;DYN_ARGS=true&amp;DOC_NAME=FAT:RGA_ENTRPR_VAL_EV_SOURCE_WINDOW.FAT&amp;VAR:ID1=GLT-FR&amp;window=popup&amp;width=535&amp;height=425&amp;START_MAXIMIZED=FALSE&amp;Y=120"}</definedName>
    <definedName name="_165__FDSAUDITLINK__" localSheetId="6" hidden="1">{"fdsup://directions/FAT Viewer?action=UPDATE&amp;creator=factSet&amp;DYN_ARGS=true&amp;DOC_NAME=FAT:RGA_ENTRPR_VAL_EV_SOURCE_WINDOW.FAT&amp;VAR:ID1=GLT-FR&amp;window=popup&amp;width=535&amp;height=425&amp;START_MAXIMIZED=FALSE&amp;Y=120"}</definedName>
    <definedName name="_165__FDSAUDITLINK__" hidden="1">{"fdsup://directions/FAT Viewer?action=UPDATE&amp;creator=factSet&amp;DYN_ARGS=true&amp;DOC_NAME=FAT:RGA_ENTRPR_VAL_EV_SOURCE_WINDOW.FAT&amp;VAR:ID1=GLT-FR&amp;window=popup&amp;width=535&amp;height=425&amp;START_MAXIMIZED=FALSE&amp;Y=120"}</definedName>
    <definedName name="_166__123Graph_CCHART_31" hidden="1">#REF!</definedName>
    <definedName name="_166__FDSAUDITLINK__" localSheetId="0" hidden="1">{"fdsup://directions/FAT Viewer?action=UPDATE&amp;creator=factSet&amp;DYN_ARGS=true&amp;DOC_NAME=FAT:RGA_ENTRPR_VAL_EV_SOURCE_WINDOW.FAT&amp;VAR:ID1=GLT-FR&amp;window=popup&amp;width=535&amp;height=425&amp;START_MAXIMIZED=FALSE&amp;Y=120"}</definedName>
    <definedName name="_166__FDSAUDITLINK__" localSheetId="6" hidden="1">{"fdsup://directions/FAT Viewer?action=UPDATE&amp;creator=factSet&amp;DYN_ARGS=true&amp;DOC_NAME=FAT:RGA_ENTRPR_VAL_EV_SOURCE_WINDOW.FAT&amp;VAR:ID1=GLT-FR&amp;window=popup&amp;width=535&amp;height=425&amp;START_MAXIMIZED=FALSE&amp;Y=120"}</definedName>
    <definedName name="_166__FDSAUDITLINK__" hidden="1">{"fdsup://directions/FAT Viewer?action=UPDATE&amp;creator=factSet&amp;DYN_ARGS=true&amp;DOC_NAME=FAT:RGA_ENTRPR_VAL_EV_SOURCE_WINDOW.FAT&amp;VAR:ID1=GLT-FR&amp;window=popup&amp;width=535&amp;height=425&amp;START_MAXIMIZED=FALSE&amp;Y=120"}</definedName>
    <definedName name="_167__FDSAUDITLINK__" localSheetId="0" hidden="1">{"fdsup://directions/FAT Viewer?action=UPDATE&amp;creator=factSet&amp;DYN_ARGS=true&amp;DOC_NAME=FAT:RGA_ENTRPR_VAL_EV_SOURCE_WINDOW.FAT&amp;VAR:ID1=GLT-FR&amp;window=popup&amp;width=535&amp;height=425&amp;START_MAXIMIZED=FALSE&amp;Y=120"}</definedName>
    <definedName name="_167__FDSAUDITLINK__" localSheetId="6" hidden="1">{"fdsup://directions/FAT Viewer?action=UPDATE&amp;creator=factSet&amp;DYN_ARGS=true&amp;DOC_NAME=FAT:RGA_ENTRPR_VAL_EV_SOURCE_WINDOW.FAT&amp;VAR:ID1=GLT-FR&amp;window=popup&amp;width=535&amp;height=425&amp;START_MAXIMIZED=FALSE&amp;Y=120"}</definedName>
    <definedName name="_167__FDSAUDITLINK__" hidden="1">{"fdsup://directions/FAT Viewer?action=UPDATE&amp;creator=factSet&amp;DYN_ARGS=true&amp;DOC_NAME=FAT:RGA_ENTRPR_VAL_EV_SOURCE_WINDOW.FAT&amp;VAR:ID1=GLT-FR&amp;window=popup&amp;width=535&amp;height=425&amp;START_MAXIMIZED=FALSE&amp;Y=120"}</definedName>
    <definedName name="_168__FDSAUDITLINK__" localSheetId="0" hidden="1">{"fdsup://directions/FAT Viewer?action=UPDATE&amp;creator=factSet&amp;DYN_ARGS=true&amp;DOC_NAME=FAT:RGA_ENTRPR_VAL_EV_SOURCE_WINDOW.FAT&amp;VAR:ID1=GLT-FR&amp;window=popup&amp;width=535&amp;height=425&amp;START_MAXIMIZED=FALSE&amp;Y=120"}</definedName>
    <definedName name="_168__FDSAUDITLINK__" localSheetId="6" hidden="1">{"fdsup://directions/FAT Viewer?action=UPDATE&amp;creator=factSet&amp;DYN_ARGS=true&amp;DOC_NAME=FAT:RGA_ENTRPR_VAL_EV_SOURCE_WINDOW.FAT&amp;VAR:ID1=GLT-FR&amp;window=popup&amp;width=535&amp;height=425&amp;START_MAXIMIZED=FALSE&amp;Y=120"}</definedName>
    <definedName name="_168__FDSAUDITLINK__" hidden="1">{"fdsup://directions/FAT Viewer?action=UPDATE&amp;creator=factSet&amp;DYN_ARGS=true&amp;DOC_NAME=FAT:RGA_ENTRPR_VAL_EV_SOURCE_WINDOW.FAT&amp;VAR:ID1=GLT-FR&amp;window=popup&amp;width=535&amp;height=425&amp;START_MAXIMIZED=FALSE&amp;Y=120"}</definedName>
    <definedName name="_169__FDSAUDITLINK__" localSheetId="0" hidden="1">{"fdsup://directions/FAT Viewer?action=UPDATE&amp;creator=factSet&amp;DYN_ARGS=true&amp;DOC_NAME=FAT:RGA_ENTRPR_VAL_EV_SOURCE_WINDOW.FAT&amp;VAR:ID1=GLT-FR&amp;window=popup&amp;width=535&amp;height=425&amp;START_MAXIMIZED=FALSE&amp;Y=120"}</definedName>
    <definedName name="_169__FDSAUDITLINK__" localSheetId="6" hidden="1">{"fdsup://directions/FAT Viewer?action=UPDATE&amp;creator=factSet&amp;DYN_ARGS=true&amp;DOC_NAME=FAT:RGA_ENTRPR_VAL_EV_SOURCE_WINDOW.FAT&amp;VAR:ID1=GLT-FR&amp;window=popup&amp;width=535&amp;height=425&amp;START_MAXIMIZED=FALSE&amp;Y=120"}</definedName>
    <definedName name="_169__FDSAUDITLINK__" hidden="1">{"fdsup://directions/FAT Viewer?action=UPDATE&amp;creator=factSet&amp;DYN_ARGS=true&amp;DOC_NAME=FAT:RGA_ENTRPR_VAL_EV_SOURCE_WINDOW.FAT&amp;VAR:ID1=GLT-FR&amp;window=popup&amp;width=535&amp;height=425&amp;START_MAXIMIZED=FALSE&amp;Y=120"}</definedName>
    <definedName name="_16PGE_1">#REF!</definedName>
    <definedName name="_17___123Graph_XCHART_1" hidden="1">#REF!</definedName>
    <definedName name="_17__123Graph_AChart_2" hidden="1">#REF!</definedName>
    <definedName name="_17__123Graph_ACHART_27" hidden="1">#REF!</definedName>
    <definedName name="_17__123Graph_ACHART_6" hidden="1">#REF!</definedName>
    <definedName name="_17__123Graph_AINDX96" hidden="1">#REF!</definedName>
    <definedName name="_17__123Graph_BCHART_2" hidden="1">#REF!</definedName>
    <definedName name="_17__123Graph_CCHART_26" hidden="1">#REF!</definedName>
    <definedName name="_17__123Graph_CCHART_3" hidden="1">#REF!</definedName>
    <definedName name="_17__123Graph_CSEG_PIE" hidden="1">#REF!</definedName>
    <definedName name="_17__123Graph_DCHART_1" hidden="1">#REF!</definedName>
    <definedName name="_17__123Graph_XChart_4" hidden="1">#REF!</definedName>
    <definedName name="_17__FDSAUDITLINK__" localSheetId="0" hidden="1">{"fdsup://directions/FAT Viewer?action=UPDATE&amp;creator=factSet&amp;DYN_ARGS=true&amp;DOC_NAME=FAT:RGA_ENTRPR_VAL_EV_SOURCE_WINDOW.FAT&amp;VAR:ID1=ITG-US&amp;window=popup&amp;width=535&amp;height=425&amp;START_MAXIMIZED=FALSE&amp;Y=120"}</definedName>
    <definedName name="_17__FDSAUDITLINK__" localSheetId="6" hidden="1">{"fdsup://directions/FAT Viewer?action=UPDATE&amp;creator=factSet&amp;DYN_ARGS=true&amp;DOC_NAME=FAT:RGA_ENTRPR_VAL_EV_SOURCE_WINDOW.FAT&amp;VAR:ID1=ITG-US&amp;window=popup&amp;width=535&amp;height=425&amp;START_MAXIMIZED=FALSE&amp;Y=120"}</definedName>
    <definedName name="_17__FDSAUDITLINK__" hidden="1">{"fdsup://directions/FAT Viewer?action=UPDATE&amp;creator=factSet&amp;DYN_ARGS=true&amp;DOC_NAME=FAT:RGA_ENTRPR_VAL_EV_SOURCE_WINDOW.FAT&amp;VAR:ID1=ITG-US&amp;window=popup&amp;width=535&amp;height=425&amp;START_MAXIMIZED=FALSE&amp;Y=120"}</definedName>
    <definedName name="_17_0__123Graph_ACHAR" hidden="1">#REF!</definedName>
    <definedName name="_170__123Graph_CCHART_32" hidden="1">#REF!</definedName>
    <definedName name="_170__123Graph_XCHART_19" hidden="1">#REF!</definedName>
    <definedName name="_170__FDSAUDITLINK__" localSheetId="0" hidden="1">{"fdsup://directions/FAT Viewer?action=UPDATE&amp;creator=factSet&amp;DYN_ARGS=true&amp;DOC_NAME=FAT:RGA_ENTRPR_VAL_EV_SOURCE_WINDOW.FAT&amp;VAR:ID1=GLT-FR&amp;window=popup&amp;width=535&amp;height=425&amp;START_MAXIMIZED=FALSE&amp;Y=120"}</definedName>
    <definedName name="_170__FDSAUDITLINK__" localSheetId="6" hidden="1">{"fdsup://directions/FAT Viewer?action=UPDATE&amp;creator=factSet&amp;DYN_ARGS=true&amp;DOC_NAME=FAT:RGA_ENTRPR_VAL_EV_SOURCE_WINDOW.FAT&amp;VAR:ID1=GLT-FR&amp;window=popup&amp;width=535&amp;height=425&amp;START_MAXIMIZED=FALSE&amp;Y=120"}</definedName>
    <definedName name="_170__FDSAUDITLINK__" hidden="1">{"fdsup://directions/FAT Viewer?action=UPDATE&amp;creator=factSet&amp;DYN_ARGS=true&amp;DOC_NAME=FAT:RGA_ENTRPR_VAL_EV_SOURCE_WINDOW.FAT&amp;VAR:ID1=GLT-FR&amp;window=popup&amp;width=535&amp;height=425&amp;START_MAXIMIZED=FALSE&amp;Y=120"}</definedName>
    <definedName name="_171__FDSAUDITLINK__" localSheetId="0" hidden="1">{"fdsup://directions/FAT Viewer?action=UPDATE&amp;creator=factSet&amp;DYN_ARGS=true&amp;DOC_NAME=FAT:RGA_ENTRPR_VAL_EV_SOURCE_WINDOW.FAT&amp;VAR:ID1=GLT-FR&amp;window=popup&amp;width=535&amp;height=425&amp;START_MAXIMIZED=FALSE&amp;Y=120"}</definedName>
    <definedName name="_171__FDSAUDITLINK__" localSheetId="6" hidden="1">{"fdsup://directions/FAT Viewer?action=UPDATE&amp;creator=factSet&amp;DYN_ARGS=true&amp;DOC_NAME=FAT:RGA_ENTRPR_VAL_EV_SOURCE_WINDOW.FAT&amp;VAR:ID1=GLT-FR&amp;window=popup&amp;width=535&amp;height=425&amp;START_MAXIMIZED=FALSE&amp;Y=120"}</definedName>
    <definedName name="_171__FDSAUDITLINK__" hidden="1">{"fdsup://directions/FAT Viewer?action=UPDATE&amp;creator=factSet&amp;DYN_ARGS=true&amp;DOC_NAME=FAT:RGA_ENTRPR_VAL_EV_SOURCE_WINDOW.FAT&amp;VAR:ID1=GLT-FR&amp;window=popup&amp;width=535&amp;height=425&amp;START_MAXIMIZED=FALSE&amp;Y=120"}</definedName>
    <definedName name="_172__123Graph_LBL_Aｸﾞﾗﾌ_1" hidden="1">#REF!</definedName>
    <definedName name="_172__FDSAUDITLINK__" localSheetId="0" hidden="1">{"fdsup://directions/FAT Viewer?action=UPDATE&amp;creator=factSet&amp;DYN_ARGS=true&amp;DOC_NAME=FAT:RGA_ENTRPR_VAL_EV_SOURCE_WINDOW.FAT&amp;VAR:ID1=GLT-FR&amp;window=popup&amp;width=535&amp;height=425&amp;START_MAXIMIZED=FALSE&amp;Y=120"}</definedName>
    <definedName name="_172__FDSAUDITLINK__" localSheetId="6" hidden="1">{"fdsup://directions/FAT Viewer?action=UPDATE&amp;creator=factSet&amp;DYN_ARGS=true&amp;DOC_NAME=FAT:RGA_ENTRPR_VAL_EV_SOURCE_WINDOW.FAT&amp;VAR:ID1=GLT-FR&amp;window=popup&amp;width=535&amp;height=425&amp;START_MAXIMIZED=FALSE&amp;Y=120"}</definedName>
    <definedName name="_172__FDSAUDITLINK__" hidden="1">{"fdsup://directions/FAT Viewer?action=UPDATE&amp;creator=factSet&amp;DYN_ARGS=true&amp;DOC_NAME=FAT:RGA_ENTRPR_VAL_EV_SOURCE_WINDOW.FAT&amp;VAR:ID1=GLT-FR&amp;window=popup&amp;width=535&amp;height=425&amp;START_MAXIMIZED=FALSE&amp;Y=120"}</definedName>
    <definedName name="_173__FDSAUDITLINK__" localSheetId="0" hidden="1">{"fdsup://directions/FAT Viewer?action=UPDATE&amp;creator=factSet&amp;DYN_ARGS=true&amp;DOC_NAME=FAT:RGA_ENTRPR_VAL_EV_SOURCE_WINDOW.FAT&amp;VAR:ID1=GLT-FR&amp;window=popup&amp;width=535&amp;height=425&amp;START_MAXIMIZED=FALSE&amp;Y=120"}</definedName>
    <definedName name="_173__FDSAUDITLINK__" localSheetId="6" hidden="1">{"fdsup://directions/FAT Viewer?action=UPDATE&amp;creator=factSet&amp;DYN_ARGS=true&amp;DOC_NAME=FAT:RGA_ENTRPR_VAL_EV_SOURCE_WINDOW.FAT&amp;VAR:ID1=GLT-FR&amp;window=popup&amp;width=535&amp;height=425&amp;START_MAXIMIZED=FALSE&amp;Y=120"}</definedName>
    <definedName name="_173__FDSAUDITLINK__" hidden="1">{"fdsup://directions/FAT Viewer?action=UPDATE&amp;creator=factSet&amp;DYN_ARGS=true&amp;DOC_NAME=FAT:RGA_ENTRPR_VAL_EV_SOURCE_WINDOW.FAT&amp;VAR:ID1=GLT-FR&amp;window=popup&amp;width=535&amp;height=425&amp;START_MAXIMIZED=FALSE&amp;Y=120"}</definedName>
    <definedName name="_174__FDSAUDITLINK__" localSheetId="0" hidden="1">{"fdsup://directions/FAT Viewer?action=UPDATE&amp;creator=factSet&amp;DYN_ARGS=true&amp;DOC_NAME=FAT:RGA_ENTRPR_VAL_EV_SOURCE_WINDOW.FAT&amp;VAR:ID1=GLT-FR&amp;window=popup&amp;width=535&amp;height=425&amp;START_MAXIMIZED=FALSE&amp;Y=120"}</definedName>
    <definedName name="_174__FDSAUDITLINK__" localSheetId="6" hidden="1">{"fdsup://directions/FAT Viewer?action=UPDATE&amp;creator=factSet&amp;DYN_ARGS=true&amp;DOC_NAME=FAT:RGA_ENTRPR_VAL_EV_SOURCE_WINDOW.FAT&amp;VAR:ID1=GLT-FR&amp;window=popup&amp;width=535&amp;height=425&amp;START_MAXIMIZED=FALSE&amp;Y=120"}</definedName>
    <definedName name="_174__FDSAUDITLINK__" hidden="1">{"fdsup://directions/FAT Viewer?action=UPDATE&amp;creator=factSet&amp;DYN_ARGS=true&amp;DOC_NAME=FAT:RGA_ENTRPR_VAL_EV_SOURCE_WINDOW.FAT&amp;VAR:ID1=GLT-FR&amp;window=popup&amp;width=535&amp;height=425&amp;START_MAXIMIZED=FALSE&amp;Y=120"}</definedName>
    <definedName name="_175__123Graph_XCHART_22" hidden="1">#REF!</definedName>
    <definedName name="_175__FDSAUDITLINK__" localSheetId="0" hidden="1">{"fdsup://directions/FAT Viewer?action=UPDATE&amp;creator=factSet&amp;DYN_ARGS=true&amp;DOC_NAME=FAT:RGA_ENTRPR_VAL_EV_SOURCE_WINDOW.FAT&amp;VAR:ID1=GLT-FR&amp;window=popup&amp;width=535&amp;height=425&amp;START_MAXIMIZED=FALSE&amp;Y=120"}</definedName>
    <definedName name="_175__FDSAUDITLINK__" localSheetId="6" hidden="1">{"fdsup://directions/FAT Viewer?action=UPDATE&amp;creator=factSet&amp;DYN_ARGS=true&amp;DOC_NAME=FAT:RGA_ENTRPR_VAL_EV_SOURCE_WINDOW.FAT&amp;VAR:ID1=GLT-FR&amp;window=popup&amp;width=535&amp;height=425&amp;START_MAXIMIZED=FALSE&amp;Y=120"}</definedName>
    <definedName name="_175__FDSAUDITLINK__" hidden="1">{"fdsup://directions/FAT Viewer?action=UPDATE&amp;creator=factSet&amp;DYN_ARGS=true&amp;DOC_NAME=FAT:RGA_ENTRPR_VAL_EV_SOURCE_WINDOW.FAT&amp;VAR:ID1=GLT-FR&amp;window=popup&amp;width=535&amp;height=425&amp;START_MAXIMIZED=FALSE&amp;Y=120"}</definedName>
    <definedName name="_176__FDSAUDITLINK__" localSheetId="0" hidden="1">{"fdsup://directions/FAT Viewer?action=UPDATE&amp;creator=factSet&amp;DYN_ARGS=true&amp;DOC_NAME=FAT:RGA_ENTRPR_VAL_EV_SOURCE_WINDOW.FAT&amp;VAR:ID1=GLT-FR&amp;window=popup&amp;width=535&amp;height=425&amp;START_MAXIMIZED=FALSE&amp;Y=120"}</definedName>
    <definedName name="_176__FDSAUDITLINK__" localSheetId="6" hidden="1">{"fdsup://directions/FAT Viewer?action=UPDATE&amp;creator=factSet&amp;DYN_ARGS=true&amp;DOC_NAME=FAT:RGA_ENTRPR_VAL_EV_SOURCE_WINDOW.FAT&amp;VAR:ID1=GLT-FR&amp;window=popup&amp;width=535&amp;height=425&amp;START_MAXIMIZED=FALSE&amp;Y=120"}</definedName>
    <definedName name="_176__FDSAUDITLINK__" hidden="1">{"fdsup://directions/FAT Viewer?action=UPDATE&amp;creator=factSet&amp;DYN_ARGS=true&amp;DOC_NAME=FAT:RGA_ENTRPR_VAL_EV_SOURCE_WINDOW.FAT&amp;VAR:ID1=GLT-FR&amp;window=popup&amp;width=535&amp;height=425&amp;START_MAXIMIZED=FALSE&amp;Y=120"}</definedName>
    <definedName name="_177__FDSAUDITLINK__" localSheetId="0" hidden="1">{"fdsup://directions/FAT Viewer?action=UPDATE&amp;creator=factSet&amp;DYN_ARGS=true&amp;DOC_NAME=FAT:RGA_ENTRPR_VAL_EV_SOURCE_WINDOW.FAT&amp;VAR:ID1=GLT-FR&amp;window=popup&amp;width=535&amp;height=425&amp;START_MAXIMIZED=FALSE&amp;Y=120"}</definedName>
    <definedName name="_177__FDSAUDITLINK__" localSheetId="6" hidden="1">{"fdsup://directions/FAT Viewer?action=UPDATE&amp;creator=factSet&amp;DYN_ARGS=true&amp;DOC_NAME=FAT:RGA_ENTRPR_VAL_EV_SOURCE_WINDOW.FAT&amp;VAR:ID1=GLT-FR&amp;window=popup&amp;width=535&amp;height=425&amp;START_MAXIMIZED=FALSE&amp;Y=120"}</definedName>
    <definedName name="_177__FDSAUDITLINK__" hidden="1">{"fdsup://directions/FAT Viewer?action=UPDATE&amp;creator=factSet&amp;DYN_ARGS=true&amp;DOC_NAME=FAT:RGA_ENTRPR_VAL_EV_SOURCE_WINDOW.FAT&amp;VAR:ID1=GLT-FR&amp;window=popup&amp;width=535&amp;height=425&amp;START_MAXIMIZED=FALSE&amp;Y=120"}</definedName>
    <definedName name="_178__FDSAUDITLINK__" localSheetId="0" hidden="1">{"fdsup://directions/FAT Viewer?action=UPDATE&amp;creator=factSet&amp;DYN_ARGS=true&amp;DOC_NAME=FAT:RGA_ENTRPR_VAL_EV_SOURCE_WINDOW.FAT&amp;VAR:ID1=GLT-FR&amp;window=popup&amp;width=535&amp;height=425&amp;START_MAXIMIZED=FALSE&amp;Y=120"}</definedName>
    <definedName name="_178__FDSAUDITLINK__" localSheetId="6" hidden="1">{"fdsup://directions/FAT Viewer?action=UPDATE&amp;creator=factSet&amp;DYN_ARGS=true&amp;DOC_NAME=FAT:RGA_ENTRPR_VAL_EV_SOURCE_WINDOW.FAT&amp;VAR:ID1=GLT-FR&amp;window=popup&amp;width=535&amp;height=425&amp;START_MAXIMIZED=FALSE&amp;Y=120"}</definedName>
    <definedName name="_178__FDSAUDITLINK__" hidden="1">{"fdsup://directions/FAT Viewer?action=UPDATE&amp;creator=factSet&amp;DYN_ARGS=true&amp;DOC_NAME=FAT:RGA_ENTRPR_VAL_EV_SOURCE_WINDOW.FAT&amp;VAR:ID1=GLT-FR&amp;window=popup&amp;width=535&amp;height=425&amp;START_MAXIMIZED=FALSE&amp;Y=120"}</definedName>
    <definedName name="_179__FDSAUDITLINK__" localSheetId="0" hidden="1">{"fdsup://directions/FAT Viewer?action=UPDATE&amp;creator=factSet&amp;DYN_ARGS=true&amp;DOC_NAME=FAT:RGA_ENTRPR_VAL_EV_SOURCE_WINDOW.FAT&amp;VAR:ID1=GLT-FR&amp;window=popup&amp;width=535&amp;height=425&amp;START_MAXIMIZED=FALSE&amp;Y=120"}</definedName>
    <definedName name="_179__FDSAUDITLINK__" localSheetId="6" hidden="1">{"fdsup://directions/FAT Viewer?action=UPDATE&amp;creator=factSet&amp;DYN_ARGS=true&amp;DOC_NAME=FAT:RGA_ENTRPR_VAL_EV_SOURCE_WINDOW.FAT&amp;VAR:ID1=GLT-FR&amp;window=popup&amp;width=535&amp;height=425&amp;START_MAXIMIZED=FALSE&amp;Y=120"}</definedName>
    <definedName name="_179__FDSAUDITLINK__" hidden="1">{"fdsup://directions/FAT Viewer?action=UPDATE&amp;creator=factSet&amp;DYN_ARGS=true&amp;DOC_NAME=FAT:RGA_ENTRPR_VAL_EV_SOURCE_WINDOW.FAT&amp;VAR:ID1=GLT-FR&amp;window=popup&amp;width=535&amp;height=425&amp;START_MAXIMIZED=FALSE&amp;Y=120"}</definedName>
    <definedName name="_18__123Graph_ACHART_28" hidden="1">#REF!</definedName>
    <definedName name="_18__123Graph_AChart_3" hidden="1">#REF!</definedName>
    <definedName name="_18__123Graph_ACHART_7" hidden="1">#REF!</definedName>
    <definedName name="_18__123Graph_AMKT_MONTH" hidden="1">#REF!</definedName>
    <definedName name="_18__123Graph_BCHART_15" hidden="1">#REF!</definedName>
    <definedName name="_18__123Graph_BCHART_3" hidden="1">#REF!</definedName>
    <definedName name="_18__123Graph_BCHART_5" hidden="1">#REF!</definedName>
    <definedName name="_18__123Graph_CCHART_27" hidden="1">#REF!</definedName>
    <definedName name="_18__123Graph_CCHART_4" hidden="1">#REF!</definedName>
    <definedName name="_18__123Graph_DCHART_1" hidden="1">#REF!</definedName>
    <definedName name="_18__123Graph_DCHART_15" hidden="1">#REF!</definedName>
    <definedName name="_18__123Graph_DCHART_2" hidden="1">#REF!</definedName>
    <definedName name="_18__123Graph_LBL_AMKT_YTD" hidden="1">#REF!</definedName>
    <definedName name="_18__123Graph_XChart_5" hidden="1">#REF!</definedName>
    <definedName name="_18__FDSAUDITLINK__" localSheetId="0" hidden="1">{"fdsup://directions/FAT Viewer?action=UPDATE&amp;creator=factSet&amp;DYN_ARGS=true&amp;DOC_NAME=FAT:RGA_ENTRPR_VAL_EV_SOURCE_WINDOW.FAT&amp;VAR:ID1=EV&amp;window=popup&amp;width=535&amp;height=425&amp;START_MAXIMIZED=FALSE&amp;Y=120"}</definedName>
    <definedName name="_18__FDSAUDITLINK__" localSheetId="6" hidden="1">{"fdsup://directions/FAT Viewer?action=UPDATE&amp;creator=factSet&amp;DYN_ARGS=true&amp;DOC_NAME=FAT:RGA_ENTRPR_VAL_EV_SOURCE_WINDOW.FAT&amp;VAR:ID1=EV&amp;window=popup&amp;width=535&amp;height=425&amp;START_MAXIMIZED=FALSE&amp;Y=120"}</definedName>
    <definedName name="_18__FDSAUDITLINK__" hidden="1">{"fdsup://directions/FAT Viewer?action=UPDATE&amp;creator=factSet&amp;DYN_ARGS=true&amp;DOC_NAME=FAT:RGA_ENTRPR_VAL_EV_SOURCE_WINDOW.FAT&amp;VAR:ID1=EV&amp;window=popup&amp;width=535&amp;height=425&amp;START_MAXIMIZED=FALSE&amp;Y=120"}</definedName>
    <definedName name="_18_0__123Graph_ACHAR" hidden="1">#REF!</definedName>
    <definedName name="_18_0_0Cwvu.GREY_A" hidden="1">#REF!</definedName>
    <definedName name="_180__123Graph_XSEG_PIE" hidden="1">#REF!</definedName>
    <definedName name="_180__FDSAUDITLINK__" localSheetId="0" hidden="1">{"fdsup://directions/FAT Viewer?action=UPDATE&amp;creator=factSet&amp;DYN_ARGS=true&amp;DOC_NAME=FAT:RGA_ENTRPR_VAL_EV_SOURCE_WINDOW.FAT&amp;VAR:ID1=GLT-FR&amp;window=popup&amp;width=535&amp;height=425&amp;START_MAXIMIZED=FALSE&amp;Y=120"}</definedName>
    <definedName name="_180__FDSAUDITLINK__" localSheetId="6" hidden="1">{"fdsup://directions/FAT Viewer?action=UPDATE&amp;creator=factSet&amp;DYN_ARGS=true&amp;DOC_NAME=FAT:RGA_ENTRPR_VAL_EV_SOURCE_WINDOW.FAT&amp;VAR:ID1=GLT-FR&amp;window=popup&amp;width=535&amp;height=425&amp;START_MAXIMIZED=FALSE&amp;Y=120"}</definedName>
    <definedName name="_180__FDSAUDITLINK__" hidden="1">{"fdsup://directions/FAT Viewer?action=UPDATE&amp;creator=factSet&amp;DYN_ARGS=true&amp;DOC_NAME=FAT:RGA_ENTRPR_VAL_EV_SOURCE_WINDOW.FAT&amp;VAR:ID1=GLT-FR&amp;window=popup&amp;width=535&amp;height=425&amp;START_MAXIMIZED=FALSE&amp;Y=120"}</definedName>
    <definedName name="_181__FDSAUDITLINK__" localSheetId="0" hidden="1">{"fdsup://directions/FAT Viewer?action=UPDATE&amp;creator=factSet&amp;DYN_ARGS=true&amp;DOC_NAME=FAT:RGA_ENTRPR_VAL_EV_SOURCE_WINDOW.FAT&amp;VAR:ID1=GLT-FR&amp;window=popup&amp;width=535&amp;height=425&amp;START_MAXIMIZED=FALSE&amp;Y=120"}</definedName>
    <definedName name="_181__FDSAUDITLINK__" localSheetId="6" hidden="1">{"fdsup://directions/FAT Viewer?action=UPDATE&amp;creator=factSet&amp;DYN_ARGS=true&amp;DOC_NAME=FAT:RGA_ENTRPR_VAL_EV_SOURCE_WINDOW.FAT&amp;VAR:ID1=GLT-FR&amp;window=popup&amp;width=535&amp;height=425&amp;START_MAXIMIZED=FALSE&amp;Y=120"}</definedName>
    <definedName name="_181__FDSAUDITLINK__" hidden="1">{"fdsup://directions/FAT Viewer?action=UPDATE&amp;creator=factSet&amp;DYN_ARGS=true&amp;DOC_NAME=FAT:RGA_ENTRPR_VAL_EV_SOURCE_WINDOW.FAT&amp;VAR:ID1=GLT-FR&amp;window=popup&amp;width=535&amp;height=425&amp;START_MAXIMIZED=FALSE&amp;Y=120"}</definedName>
    <definedName name="_182__FDSAUDITLINK__" localSheetId="0" hidden="1">{"fdsup://directions/FAT Viewer?action=UPDATE&amp;creator=factSet&amp;DYN_ARGS=true&amp;DOC_NAME=FAT:RGA_ENTRPR_VAL_EV_SOURCE_WINDOW.FAT&amp;VAR:ID1=GLT-FR&amp;window=popup&amp;width=535&amp;height=425&amp;START_MAXIMIZED=FALSE&amp;Y=120"}</definedName>
    <definedName name="_182__FDSAUDITLINK__" localSheetId="6" hidden="1">{"fdsup://directions/FAT Viewer?action=UPDATE&amp;creator=factSet&amp;DYN_ARGS=true&amp;DOC_NAME=FAT:RGA_ENTRPR_VAL_EV_SOURCE_WINDOW.FAT&amp;VAR:ID1=GLT-FR&amp;window=popup&amp;width=535&amp;height=425&amp;START_MAXIMIZED=FALSE&amp;Y=120"}</definedName>
    <definedName name="_182__FDSAUDITLINK__" hidden="1">{"fdsup://directions/FAT Viewer?action=UPDATE&amp;creator=factSet&amp;DYN_ARGS=true&amp;DOC_NAME=FAT:RGA_ENTRPR_VAL_EV_SOURCE_WINDOW.FAT&amp;VAR:ID1=GLT-FR&amp;window=popup&amp;width=535&amp;height=425&amp;START_MAXIMIZED=FALSE&amp;Y=120"}</definedName>
    <definedName name="_183__123Graph_CCHART_34" hidden="1">#REF!</definedName>
    <definedName name="_183__FDSAUDITLINK__" localSheetId="0" hidden="1">{"fdsup://directions/FAT Viewer?action=UPDATE&amp;creator=factSet&amp;DYN_ARGS=true&amp;DOC_NAME=FAT:RGA_ENTRPR_VAL_EV_SOURCE_WINDOW.FAT&amp;VAR:ID1=GLT-FR&amp;window=popup&amp;width=535&amp;height=425&amp;START_MAXIMIZED=FALSE&amp;Y=120"}</definedName>
    <definedName name="_183__FDSAUDITLINK__" localSheetId="6" hidden="1">{"fdsup://directions/FAT Viewer?action=UPDATE&amp;creator=factSet&amp;DYN_ARGS=true&amp;DOC_NAME=FAT:RGA_ENTRPR_VAL_EV_SOURCE_WINDOW.FAT&amp;VAR:ID1=GLT-FR&amp;window=popup&amp;width=535&amp;height=425&amp;START_MAXIMIZED=FALSE&amp;Y=120"}</definedName>
    <definedName name="_183__FDSAUDITLINK__" hidden="1">{"fdsup://directions/FAT Viewer?action=UPDATE&amp;creator=factSet&amp;DYN_ARGS=true&amp;DOC_NAME=FAT:RGA_ENTRPR_VAL_EV_SOURCE_WINDOW.FAT&amp;VAR:ID1=GLT-FR&amp;window=popup&amp;width=535&amp;height=425&amp;START_MAXIMIZED=FALSE&amp;Y=120"}</definedName>
    <definedName name="_184__FDSAUDITLINK__" localSheetId="0" hidden="1">{"fdsup://directions/FAT Viewer?action=UPDATE&amp;creator=factSet&amp;DYN_ARGS=true&amp;DOC_NAME=FAT:RGA_ENTRPR_VAL_EV_SOURCE_WINDOW.FAT&amp;VAR:ID1=GLT-FR&amp;window=popup&amp;width=535&amp;height=425&amp;START_MAXIMIZED=FALSE&amp;Y=120"}</definedName>
    <definedName name="_184__FDSAUDITLINK__" localSheetId="6" hidden="1">{"fdsup://directions/FAT Viewer?action=UPDATE&amp;creator=factSet&amp;DYN_ARGS=true&amp;DOC_NAME=FAT:RGA_ENTRPR_VAL_EV_SOURCE_WINDOW.FAT&amp;VAR:ID1=GLT-FR&amp;window=popup&amp;width=535&amp;height=425&amp;START_MAXIMIZED=FALSE&amp;Y=120"}</definedName>
    <definedName name="_184__FDSAUDITLINK__" hidden="1">{"fdsup://directions/FAT Viewer?action=UPDATE&amp;creator=factSet&amp;DYN_ARGS=true&amp;DOC_NAME=FAT:RGA_ENTRPR_VAL_EV_SOURCE_WINDOW.FAT&amp;VAR:ID1=GLT-FR&amp;window=popup&amp;width=535&amp;height=425&amp;START_MAXIMIZED=FALSE&amp;Y=120"}</definedName>
    <definedName name="_185__FDSAUDITLINK__" localSheetId="0" hidden="1">{"fdsup://directions/FAT Viewer?action=UPDATE&amp;creator=factSet&amp;DYN_ARGS=true&amp;DOC_NAME=FAT:RGA_ENTRPR_VAL_EV_SOURCE_WINDOW.FAT&amp;VAR:ID1=GLT-FR&amp;window=popup&amp;width=535&amp;height=425&amp;START_MAXIMIZED=FALSE&amp;Y=120"}</definedName>
    <definedName name="_185__FDSAUDITLINK__" localSheetId="6" hidden="1">{"fdsup://directions/FAT Viewer?action=UPDATE&amp;creator=factSet&amp;DYN_ARGS=true&amp;DOC_NAME=FAT:RGA_ENTRPR_VAL_EV_SOURCE_WINDOW.FAT&amp;VAR:ID1=GLT-FR&amp;window=popup&amp;width=535&amp;height=425&amp;START_MAXIMIZED=FALSE&amp;Y=120"}</definedName>
    <definedName name="_185__FDSAUDITLINK__" hidden="1">{"fdsup://directions/FAT Viewer?action=UPDATE&amp;creator=factSet&amp;DYN_ARGS=true&amp;DOC_NAME=FAT:RGA_ENTRPR_VAL_EV_SOURCE_WINDOW.FAT&amp;VAR:ID1=GLT-FR&amp;window=popup&amp;width=535&amp;height=425&amp;START_MAXIMIZED=FALSE&amp;Y=120"}</definedName>
    <definedName name="_186__FDSAUDITLINK__" localSheetId="0" hidden="1">{"fdsup://directions/FAT Viewer?action=UPDATE&amp;creator=factSet&amp;DYN_ARGS=true&amp;DOC_NAME=FAT:RGA_ENTRPR_VAL_EV_SOURCE_WINDOW.FAT&amp;VAR:ID1=GLT-FR&amp;window=popup&amp;width=535&amp;height=425&amp;START_MAXIMIZED=FALSE&amp;Y=120"}</definedName>
    <definedName name="_186__FDSAUDITLINK__" localSheetId="6" hidden="1">{"fdsup://directions/FAT Viewer?action=UPDATE&amp;creator=factSet&amp;DYN_ARGS=true&amp;DOC_NAME=FAT:RGA_ENTRPR_VAL_EV_SOURCE_WINDOW.FAT&amp;VAR:ID1=GLT-FR&amp;window=popup&amp;width=535&amp;height=425&amp;START_MAXIMIZED=FALSE&amp;Y=120"}</definedName>
    <definedName name="_186__FDSAUDITLINK__" hidden="1">{"fdsup://directions/FAT Viewer?action=UPDATE&amp;creator=factSet&amp;DYN_ARGS=true&amp;DOC_NAME=FAT:RGA_ENTRPR_VAL_EV_SOURCE_WINDOW.FAT&amp;VAR:ID1=GLT-FR&amp;window=popup&amp;width=535&amp;height=425&amp;START_MAXIMIZED=FALSE&amp;Y=120"}</definedName>
    <definedName name="_187__FDSAUDITLINK__" localSheetId="0" hidden="1">{"fdsup://directions/FAT Viewer?action=UPDATE&amp;creator=factSet&amp;DYN_ARGS=true&amp;DOC_NAME=FAT:RGA_ENTRPR_VAL_EV_SOURCE_WINDOW.FAT&amp;VAR:ID1=GLT-FR&amp;window=popup&amp;width=535&amp;height=425&amp;START_MAXIMIZED=FALSE&amp;Y=120"}</definedName>
    <definedName name="_187__FDSAUDITLINK__" localSheetId="6" hidden="1">{"fdsup://directions/FAT Viewer?action=UPDATE&amp;creator=factSet&amp;DYN_ARGS=true&amp;DOC_NAME=FAT:RGA_ENTRPR_VAL_EV_SOURCE_WINDOW.FAT&amp;VAR:ID1=GLT-FR&amp;window=popup&amp;width=535&amp;height=425&amp;START_MAXIMIZED=FALSE&amp;Y=120"}</definedName>
    <definedName name="_187__FDSAUDITLINK__" hidden="1">{"fdsup://directions/FAT Viewer?action=UPDATE&amp;creator=factSet&amp;DYN_ARGS=true&amp;DOC_NAME=FAT:RGA_ENTRPR_VAL_EV_SOURCE_WINDOW.FAT&amp;VAR:ID1=GLT-FR&amp;window=popup&amp;width=535&amp;height=425&amp;START_MAXIMIZED=FALSE&amp;Y=120"}</definedName>
    <definedName name="_188__FDSAUDITLINK__" localSheetId="0" hidden="1">{"fdsup://directions/FAT Viewer?action=UPDATE&amp;creator=factSet&amp;DYN_ARGS=true&amp;DOC_NAME=FAT:RGA_ENTRPR_VAL_EV_SOURCE_WINDOW.FAT&amp;VAR:ID1=GLT-FR&amp;window=popup&amp;width=535&amp;height=425&amp;START_MAXIMIZED=FALSE&amp;Y=120"}</definedName>
    <definedName name="_188__FDSAUDITLINK__" localSheetId="6" hidden="1">{"fdsup://directions/FAT Viewer?action=UPDATE&amp;creator=factSet&amp;DYN_ARGS=true&amp;DOC_NAME=FAT:RGA_ENTRPR_VAL_EV_SOURCE_WINDOW.FAT&amp;VAR:ID1=GLT-FR&amp;window=popup&amp;width=535&amp;height=425&amp;START_MAXIMIZED=FALSE&amp;Y=120"}</definedName>
    <definedName name="_188__FDSAUDITLINK__" hidden="1">{"fdsup://directions/FAT Viewer?action=UPDATE&amp;creator=factSet&amp;DYN_ARGS=true&amp;DOC_NAME=FAT:RGA_ENTRPR_VAL_EV_SOURCE_WINDOW.FAT&amp;VAR:ID1=GLT-FR&amp;window=popup&amp;width=535&amp;height=425&amp;START_MAXIMIZED=FALSE&amp;Y=120"}</definedName>
    <definedName name="_189__FDSAUDITLINK__" localSheetId="0" hidden="1">{"fdsup://directions/FAT Viewer?action=UPDATE&amp;creator=factSet&amp;DYN_ARGS=true&amp;DOC_NAME=FAT:RGA_ENTRPR_VAL_EV_SOURCE_WINDOW.FAT&amp;VAR:ID1=GLT-FR&amp;window=popup&amp;width=535&amp;height=425&amp;START_MAXIMIZED=FALSE&amp;Y=120"}</definedName>
    <definedName name="_189__FDSAUDITLINK__" localSheetId="6" hidden="1">{"fdsup://directions/FAT Viewer?action=UPDATE&amp;creator=factSet&amp;DYN_ARGS=true&amp;DOC_NAME=FAT:RGA_ENTRPR_VAL_EV_SOURCE_WINDOW.FAT&amp;VAR:ID1=GLT-FR&amp;window=popup&amp;width=535&amp;height=425&amp;START_MAXIMIZED=FALSE&amp;Y=120"}</definedName>
    <definedName name="_189__FDSAUDITLINK__" hidden="1">{"fdsup://directions/FAT Viewer?action=UPDATE&amp;creator=factSet&amp;DYN_ARGS=true&amp;DOC_NAME=FAT:RGA_ENTRPR_VAL_EV_SOURCE_WINDOW.FAT&amp;VAR:ID1=GLT-FR&amp;window=popup&amp;width=535&amp;height=425&amp;START_MAXIMIZED=FALSE&amp;Y=120"}</definedName>
    <definedName name="_18PGE_1">#REF!</definedName>
    <definedName name="_19____0__123Grap" hidden="1">#REF!</definedName>
    <definedName name="_19__123Graph_ACHART_3" hidden="1">#REF!</definedName>
    <definedName name="_19__123Graph_AChart_4" hidden="1">#REF!</definedName>
    <definedName name="_19__123Graph_ACHART_8" hidden="1">#REF!</definedName>
    <definedName name="_19__123Graph_AMKT_MONTH" hidden="1">#REF!</definedName>
    <definedName name="_19__123Graph_AMKT_YTD" hidden="1">#REF!</definedName>
    <definedName name="_19__123Graph_CCHART_1" hidden="1">#REF!</definedName>
    <definedName name="_19__123Graph_CCHART_28" hidden="1">#REF!</definedName>
    <definedName name="_19__123Graph_CCHART_5" hidden="1">#REF!</definedName>
    <definedName name="_19__123Graph_DCHART_16" hidden="1">#REF!</definedName>
    <definedName name="_19__123Graph_LBL_ACHART_1" hidden="1">#REF!</definedName>
    <definedName name="_19__123Graph_XChart_6" hidden="1">#REF!</definedName>
    <definedName name="_19__FDSAUDITLINK__" localSheetId="0" hidden="1">{"fdsup://directions/FAT Viewer?action=UPDATE&amp;creator=factSet&amp;DYN_ARGS=true&amp;DOC_NAME=FAT:RGA_ENTRPR_VAL_EV_SOURCE_WINDOW.FAT&amp;VAR:ID1=&amp;window=popup&amp;width=535&amp;height=425&amp;START_MAXIMIZED=FALSE&amp;Y=120"}</definedName>
    <definedName name="_19__FDSAUDITLINK__" localSheetId="6" hidden="1">{"fdsup://directions/FAT Viewer?action=UPDATE&amp;creator=factSet&amp;DYN_ARGS=true&amp;DOC_NAME=FAT:RGA_ENTRPR_VAL_EV_SOURCE_WINDOW.FAT&amp;VAR:ID1=&amp;window=popup&amp;width=535&amp;height=425&amp;START_MAXIMIZED=FALSE&amp;Y=120"}</definedName>
    <definedName name="_19__FDSAUDITLINK__" hidden="1">{"fdsup://directions/FAT Viewer?action=UPDATE&amp;creator=factSet&amp;DYN_ARGS=true&amp;DOC_NAME=FAT:RGA_ENTRPR_VAL_EV_SOURCE_WINDOW.FAT&amp;VAR:ID1=&amp;window=popup&amp;width=535&amp;height=425&amp;START_MAXIMIZED=FALSE&amp;Y=120"}</definedName>
    <definedName name="_19_0__123Graph_BCHAR" hidden="1">#REF!</definedName>
    <definedName name="_190__FDSAUDITLINK__" localSheetId="0" hidden="1">{"fdsup://directions/FAT Viewer?action=UPDATE&amp;creator=factSet&amp;DYN_ARGS=true&amp;DOC_NAME=FAT:RGA_ENTRPR_VAL_EV_SOURCE_WINDOW.FAT&amp;VAR:ID1=GLT-FR&amp;window=popup&amp;width=535&amp;height=425&amp;START_MAXIMIZED=FALSE&amp;Y=120"}</definedName>
    <definedName name="_190__FDSAUDITLINK__" localSheetId="6" hidden="1">{"fdsup://directions/FAT Viewer?action=UPDATE&amp;creator=factSet&amp;DYN_ARGS=true&amp;DOC_NAME=FAT:RGA_ENTRPR_VAL_EV_SOURCE_WINDOW.FAT&amp;VAR:ID1=GLT-FR&amp;window=popup&amp;width=535&amp;height=425&amp;START_MAXIMIZED=FALSE&amp;Y=120"}</definedName>
    <definedName name="_190__FDSAUDITLINK__" hidden="1">{"fdsup://directions/FAT Viewer?action=UPDATE&amp;creator=factSet&amp;DYN_ARGS=true&amp;DOC_NAME=FAT:RGA_ENTRPR_VAL_EV_SOURCE_WINDOW.FAT&amp;VAR:ID1=GLT-FR&amp;window=popup&amp;width=535&amp;height=425&amp;START_MAXIMIZED=FALSE&amp;Y=120"}</definedName>
    <definedName name="_191__FDSAUDITLINK__" localSheetId="0" hidden="1">{"fdsup://directions/FAT Viewer?action=UPDATE&amp;creator=factSet&amp;DYN_ARGS=true&amp;DOC_NAME=FAT:RGA_ENTRPR_VAL_EV_SOURCE_WINDOW.FAT&amp;VAR:ID1=GLT-FR&amp;window=popup&amp;width=535&amp;height=425&amp;START_MAXIMIZED=FALSE&amp;Y=120"}</definedName>
    <definedName name="_191__FDSAUDITLINK__" localSheetId="6" hidden="1">{"fdsup://directions/FAT Viewer?action=UPDATE&amp;creator=factSet&amp;DYN_ARGS=true&amp;DOC_NAME=FAT:RGA_ENTRPR_VAL_EV_SOURCE_WINDOW.FAT&amp;VAR:ID1=GLT-FR&amp;window=popup&amp;width=535&amp;height=425&amp;START_MAXIMIZED=FALSE&amp;Y=120"}</definedName>
    <definedName name="_191__FDSAUDITLINK__" hidden="1">{"fdsup://directions/FAT Viewer?action=UPDATE&amp;creator=factSet&amp;DYN_ARGS=true&amp;DOC_NAME=FAT:RGA_ENTRPR_VAL_EV_SOURCE_WINDOW.FAT&amp;VAR:ID1=GLT-FR&amp;window=popup&amp;width=535&amp;height=425&amp;START_MAXIMIZED=FALSE&amp;Y=120"}</definedName>
    <definedName name="_192__FDSAUDITLINK__" localSheetId="0" hidden="1">{"fdsup://directions/FAT Viewer?action=UPDATE&amp;creator=factSet&amp;DYN_ARGS=true&amp;DOC_NAME=FAT:RGA_ENTRPR_VAL_EV_SOURCE_WINDOW.FAT&amp;VAR:ID1=GLT-FR&amp;window=popup&amp;width=535&amp;height=425&amp;START_MAXIMIZED=FALSE&amp;Y=120"}</definedName>
    <definedName name="_192__FDSAUDITLINK__" localSheetId="6" hidden="1">{"fdsup://directions/FAT Viewer?action=UPDATE&amp;creator=factSet&amp;DYN_ARGS=true&amp;DOC_NAME=FAT:RGA_ENTRPR_VAL_EV_SOURCE_WINDOW.FAT&amp;VAR:ID1=GLT-FR&amp;window=popup&amp;width=535&amp;height=425&amp;START_MAXIMIZED=FALSE&amp;Y=120"}</definedName>
    <definedName name="_192__FDSAUDITLINK__" hidden="1">{"fdsup://directions/FAT Viewer?action=UPDATE&amp;creator=factSet&amp;DYN_ARGS=true&amp;DOC_NAME=FAT:RGA_ENTRPR_VAL_EV_SOURCE_WINDOW.FAT&amp;VAR:ID1=GLT-FR&amp;window=popup&amp;width=535&amp;height=425&amp;START_MAXIMIZED=FALSE&amp;Y=120"}</definedName>
    <definedName name="_193__FDSAUDITLINK__" localSheetId="0" hidden="1">{"fdsup://directions/FAT Viewer?action=UPDATE&amp;creator=factSet&amp;DYN_ARGS=true&amp;DOC_NAME=FAT:RGA_ENTRPR_VAL_EV_SOURCE_WINDOW.FAT&amp;VAR:ID1=GLT-FR&amp;window=popup&amp;width=535&amp;height=425&amp;START_MAXIMIZED=FALSE&amp;Y=120"}</definedName>
    <definedName name="_193__FDSAUDITLINK__" localSheetId="6" hidden="1">{"fdsup://directions/FAT Viewer?action=UPDATE&amp;creator=factSet&amp;DYN_ARGS=true&amp;DOC_NAME=FAT:RGA_ENTRPR_VAL_EV_SOURCE_WINDOW.FAT&amp;VAR:ID1=GLT-FR&amp;window=popup&amp;width=535&amp;height=425&amp;START_MAXIMIZED=FALSE&amp;Y=120"}</definedName>
    <definedName name="_193__FDSAUDITLINK__" hidden="1">{"fdsup://directions/FAT Viewer?action=UPDATE&amp;creator=factSet&amp;DYN_ARGS=true&amp;DOC_NAME=FAT:RGA_ENTRPR_VAL_EV_SOURCE_WINDOW.FAT&amp;VAR:ID1=GLT-FR&amp;window=popup&amp;width=535&amp;height=425&amp;START_MAXIMIZED=FALSE&amp;Y=120"}</definedName>
    <definedName name="_194__123Graph_Xｸﾞﾗﾌ_1" hidden="1">#REF!</definedName>
    <definedName name="_194__FDSAUDITLINK__" localSheetId="0" hidden="1">{"fdsup://directions/FAT Viewer?action=UPDATE&amp;creator=factSet&amp;DYN_ARGS=true&amp;DOC_NAME=FAT:RGA_ENTRPR_VAL_EV_SOURCE_WINDOW.FAT&amp;VAR:ID1=GLT-FR&amp;window=popup&amp;width=535&amp;height=425&amp;START_MAXIMIZED=FALSE&amp;Y=120"}</definedName>
    <definedName name="_194__FDSAUDITLINK__" localSheetId="6" hidden="1">{"fdsup://directions/FAT Viewer?action=UPDATE&amp;creator=factSet&amp;DYN_ARGS=true&amp;DOC_NAME=FAT:RGA_ENTRPR_VAL_EV_SOURCE_WINDOW.FAT&amp;VAR:ID1=GLT-FR&amp;window=popup&amp;width=535&amp;height=425&amp;START_MAXIMIZED=FALSE&amp;Y=120"}</definedName>
    <definedName name="_194__FDSAUDITLINK__" hidden="1">{"fdsup://directions/FAT Viewer?action=UPDATE&amp;creator=factSet&amp;DYN_ARGS=true&amp;DOC_NAME=FAT:RGA_ENTRPR_VAL_EV_SOURCE_WINDOW.FAT&amp;VAR:ID1=GLT-FR&amp;window=popup&amp;width=535&amp;height=425&amp;START_MAXIMIZED=FALSE&amp;Y=120"}</definedName>
    <definedName name="_195__FDSAUDITLINK__" localSheetId="0" hidden="1">{"fdsup://directions/FAT Viewer?action=UPDATE&amp;creator=factSet&amp;DYN_ARGS=true&amp;DOC_NAME=FAT:RGA_ENTRPR_VAL_EV_SOURCE_WINDOW.FAT&amp;VAR:ID1=GLT-FR&amp;window=popup&amp;width=535&amp;height=425&amp;START_MAXIMIZED=FALSE&amp;Y=120"}</definedName>
    <definedName name="_195__FDSAUDITLINK__" localSheetId="6" hidden="1">{"fdsup://directions/FAT Viewer?action=UPDATE&amp;creator=factSet&amp;DYN_ARGS=true&amp;DOC_NAME=FAT:RGA_ENTRPR_VAL_EV_SOURCE_WINDOW.FAT&amp;VAR:ID1=GLT-FR&amp;window=popup&amp;width=535&amp;height=425&amp;START_MAXIMIZED=FALSE&amp;Y=120"}</definedName>
    <definedName name="_195__FDSAUDITLINK__" hidden="1">{"fdsup://directions/FAT Viewer?action=UPDATE&amp;creator=factSet&amp;DYN_ARGS=true&amp;DOC_NAME=FAT:RGA_ENTRPR_VAL_EV_SOURCE_WINDOW.FAT&amp;VAR:ID1=GLT-FR&amp;window=popup&amp;width=535&amp;height=425&amp;START_MAXIMIZED=FALSE&amp;Y=120"}</definedName>
    <definedName name="_196__123Graph_CCHART_37" hidden="1">#REF!</definedName>
    <definedName name="_196__FDSAUDITLINK__" localSheetId="0" hidden="1">{"fdsup://directions/FAT Viewer?action=UPDATE&amp;creator=factSet&amp;DYN_ARGS=true&amp;DOC_NAME=FAT:RGA_ENTRPR_VAL_EV_SOURCE_WINDOW.FAT&amp;VAR:ID1=GLT-FR&amp;window=popup&amp;width=535&amp;height=425&amp;START_MAXIMIZED=FALSE&amp;Y=120"}</definedName>
    <definedName name="_196__FDSAUDITLINK__" localSheetId="6" hidden="1">{"fdsup://directions/FAT Viewer?action=UPDATE&amp;creator=factSet&amp;DYN_ARGS=true&amp;DOC_NAME=FAT:RGA_ENTRPR_VAL_EV_SOURCE_WINDOW.FAT&amp;VAR:ID1=GLT-FR&amp;window=popup&amp;width=535&amp;height=425&amp;START_MAXIMIZED=FALSE&amp;Y=120"}</definedName>
    <definedName name="_196__FDSAUDITLINK__" hidden="1">{"fdsup://directions/FAT Viewer?action=UPDATE&amp;creator=factSet&amp;DYN_ARGS=true&amp;DOC_NAME=FAT:RGA_ENTRPR_VAL_EV_SOURCE_WINDOW.FAT&amp;VAR:ID1=GLT-FR&amp;window=popup&amp;width=535&amp;height=425&amp;START_MAXIMIZED=FALSE&amp;Y=120"}</definedName>
    <definedName name="_197__FDSAUDITLINK__" localSheetId="0" hidden="1">{"fdsup://directions/FAT Viewer?action=UPDATE&amp;creator=factSet&amp;DYN_ARGS=true&amp;DOC_NAME=FAT:RGA_ENTRPR_VAL_EV_SOURCE_WINDOW.FAT&amp;VAR:ID1=GLT-FR&amp;window=popup&amp;width=535&amp;height=425&amp;START_MAXIMIZED=FALSE&amp;Y=120"}</definedName>
    <definedName name="_197__FDSAUDITLINK__" localSheetId="6" hidden="1">{"fdsup://directions/FAT Viewer?action=UPDATE&amp;creator=factSet&amp;DYN_ARGS=true&amp;DOC_NAME=FAT:RGA_ENTRPR_VAL_EV_SOURCE_WINDOW.FAT&amp;VAR:ID1=GLT-FR&amp;window=popup&amp;width=535&amp;height=425&amp;START_MAXIMIZED=FALSE&amp;Y=120"}</definedName>
    <definedName name="_197__FDSAUDITLINK__" hidden="1">{"fdsup://directions/FAT Viewer?action=UPDATE&amp;creator=factSet&amp;DYN_ARGS=true&amp;DOC_NAME=FAT:RGA_ENTRPR_VAL_EV_SOURCE_WINDOW.FAT&amp;VAR:ID1=GLT-FR&amp;window=popup&amp;width=535&amp;height=425&amp;START_MAXIMIZED=FALSE&amp;Y=120"}</definedName>
    <definedName name="_198__FDSAUDITLINK__" localSheetId="0" hidden="1">{"fdsup://directions/FAT Viewer?action=UPDATE&amp;creator=factSet&amp;DYN_ARGS=true&amp;DOC_NAME=FAT:RGA_ENTRPR_VAL_EV_SOURCE_WINDOW.FAT&amp;VAR:ID1=GLT-FR&amp;window=popup&amp;width=535&amp;height=425&amp;START_MAXIMIZED=FALSE&amp;Y=120"}</definedName>
    <definedName name="_198__FDSAUDITLINK__" localSheetId="6" hidden="1">{"fdsup://directions/FAT Viewer?action=UPDATE&amp;creator=factSet&amp;DYN_ARGS=true&amp;DOC_NAME=FAT:RGA_ENTRPR_VAL_EV_SOURCE_WINDOW.FAT&amp;VAR:ID1=GLT-FR&amp;window=popup&amp;width=535&amp;height=425&amp;START_MAXIMIZED=FALSE&amp;Y=120"}</definedName>
    <definedName name="_198__FDSAUDITLINK__" hidden="1">{"fdsup://directions/FAT Viewer?action=UPDATE&amp;creator=factSet&amp;DYN_ARGS=true&amp;DOC_NAME=FAT:RGA_ENTRPR_VAL_EV_SOURCE_WINDOW.FAT&amp;VAR:ID1=GLT-FR&amp;window=popup&amp;width=535&amp;height=425&amp;START_MAXIMIZED=FALSE&amp;Y=120"}</definedName>
    <definedName name="_199__FDSAUDITLINK__" localSheetId="0" hidden="1">{"fdsup://directions/FAT Viewer?action=UPDATE&amp;creator=factSet&amp;DYN_ARGS=true&amp;DOC_NAME=FAT:RGA_ENTRPR_VAL_EV_SOURCE_WINDOW.FAT&amp;VAR:ID1=GLT-FR&amp;window=popup&amp;width=535&amp;height=425&amp;START_MAXIMIZED=FALSE&amp;Y=120"}</definedName>
    <definedName name="_199__FDSAUDITLINK__" localSheetId="6" hidden="1">{"fdsup://directions/FAT Viewer?action=UPDATE&amp;creator=factSet&amp;DYN_ARGS=true&amp;DOC_NAME=FAT:RGA_ENTRPR_VAL_EV_SOURCE_WINDOW.FAT&amp;VAR:ID1=GLT-FR&amp;window=popup&amp;width=535&amp;height=425&amp;START_MAXIMIZED=FALSE&amp;Y=120"}</definedName>
    <definedName name="_199__FDSAUDITLINK__" hidden="1">{"fdsup://directions/FAT Viewer?action=UPDATE&amp;creator=factSet&amp;DYN_ARGS=true&amp;DOC_NAME=FAT:RGA_ENTRPR_VAL_EV_SOURCE_WINDOW.FAT&amp;VAR:ID1=GLT-FR&amp;window=popup&amp;width=535&amp;height=425&amp;START_MAXIMIZED=FALSE&amp;Y=120"}</definedName>
    <definedName name="_1FLOW">#REF!</definedName>
    <definedName name="_2" hidden="1">#REF!</definedName>
    <definedName name="_2_???205">#REF!</definedName>
    <definedName name="_2_?78">#REF!</definedName>
    <definedName name="_2__123Graph_A_BP95" hidden="1">#REF!</definedName>
    <definedName name="_2__123Graph_ACHART_1" hidden="1">#REF!</definedName>
    <definedName name="_2__123Graph_ACHART_12" hidden="1">#REF!</definedName>
    <definedName name="_2__123Graph_ACHART_13" hidden="1">#REF!</definedName>
    <definedName name="_2__123Graph_ACHART_15" hidden="1">#REF!</definedName>
    <definedName name="_2__123Graph_ACHART_2" hidden="1">#REF!</definedName>
    <definedName name="_2__123Graph_ACHART_3" hidden="1">#REF!</definedName>
    <definedName name="_2__123Graph_AMKT_YTD" hidden="1">#REF!</definedName>
    <definedName name="_2__123Graph_AR_M_MARG" hidden="1">#REF!</definedName>
    <definedName name="_2__123Graph_BCHART_1" hidden="1">#REF!</definedName>
    <definedName name="_2__123Graph_BCRACK_Y" hidden="1">#REF!</definedName>
    <definedName name="_2__123Graph_BPC_Y" hidden="1">#REF!</definedName>
    <definedName name="_2__123Graph_CCHART_11" hidden="1">#REF!</definedName>
    <definedName name="_2__123Graph_LBL_ACHART_5" hidden="1">#REF!</definedName>
    <definedName name="_2__FDSAUDITLINK__" localSheetId="0" hidden="1">{"fdsup://Directions/FAT Viewer?action=UPDATE&amp;creator=factset&amp;DOC_NAME=fat:reuters_annual_source_window.fat&amp;display_string=Audit&amp;DYN_ARGS=TRUE&amp;VAR:ID1=50212A10&amp;VAR:RCODE=QTSC&amp;VAR:SDATE=20071299&amp;VAR:FREQ=Y&amp;VAR:RELITEM=RP&amp;VAR:CURRENCY=&amp;VAR:CURRSOURCE=EXSHARE&amp;","VAR:NATFREQ=ANNUAL&amp;VAR:RFIELD=FINALIZED&amp;VAR:DB_TYPE=&amp;VAR:UNITS=M&amp;window=popup&amp;width=450&amp;height=300&amp;START_MAXIMIZED=FALSE"}</definedName>
    <definedName name="_2__FDSAUDITLINK__" localSheetId="6" hidden="1">{"fdsup://Directions/FAT Viewer?action=UPDATE&amp;creator=factset&amp;DOC_NAME=fat:reuters_annual_source_window.fat&amp;display_string=Audit&amp;DYN_ARGS=TRUE&amp;VAR:ID1=50212A10&amp;VAR:RCODE=QTSC&amp;VAR:SDATE=20071299&amp;VAR:FREQ=Y&amp;VAR:RELITEM=RP&amp;VAR:CURRENCY=&amp;VAR:CURRSOURCE=EXSHARE&amp;","VAR:NATFREQ=ANNUAL&amp;VAR:RFIELD=FINALIZED&amp;VAR:DB_TYPE=&amp;VAR:UNITS=M&amp;window=popup&amp;width=450&amp;height=300&amp;START_MAXIMIZED=FALSE"}</definedName>
    <definedName name="_2__FDSAUDITLINK__" hidden="1">{"fdsup://Directions/FAT Viewer?action=UPDATE&amp;creator=factset&amp;DOC_NAME=fat:reuters_annual_source_window.fat&amp;display_string=Audit&amp;DYN_ARGS=TRUE&amp;VAR:ID1=50212A10&amp;VAR:RCODE=QTSC&amp;VAR:SDATE=20071299&amp;VAR:FREQ=Y&amp;VAR:RELITEM=RP&amp;VAR:CURRENCY=&amp;VAR:CURRSOURCE=EXSHARE&amp;","VAR:NATFREQ=ANNUAL&amp;VAR:RFIELD=FINALIZED&amp;VAR:DB_TYPE=&amp;VAR:UNITS=M&amp;window=popup&amp;width=450&amp;height=300&amp;START_MAXIMIZED=FALSE"}</definedName>
    <definedName name="_2_0__123Grap" hidden="1">#REF!</definedName>
    <definedName name="_2_0_0Inv._Imm._Immater._Fattur" hidden="1">#REF!</definedName>
    <definedName name="_2_0_Dist_Val" hidden="1">#REF!</definedName>
    <definedName name="_2_0ACwvu.Pag" hidden="1">#REF!</definedName>
    <definedName name="_2_123Graph_X" hidden="1">#REF!</definedName>
    <definedName name="_20____0__123Graph_A" hidden="1">#REF!</definedName>
    <definedName name="_20__123Graph_ACHART_17" hidden="1">#REF!</definedName>
    <definedName name="_20__123Graph_ACHART_31" hidden="1">#REF!</definedName>
    <definedName name="_20__123Graph_AChart_5" hidden="1">#REF!</definedName>
    <definedName name="_20__123Graph_ACHART_9" hidden="1">#REF!</definedName>
    <definedName name="_20__123Graph_B_KD956" hidden="1">#REF!</definedName>
    <definedName name="_20__123Graph_BCHART_16" hidden="1">#REF!</definedName>
    <definedName name="_20__123Graph_CCHART_29" hidden="1">#REF!</definedName>
    <definedName name="_20__123Graph_CCHART_3" hidden="1">#REF!</definedName>
    <definedName name="_20__123Graph_DCHART_17" hidden="1">#REF!</definedName>
    <definedName name="_20__123Graph_DCHART_2" hidden="1">#REF!</definedName>
    <definedName name="_20__123Graph_ECHART_1" hidden="1">#REF!</definedName>
    <definedName name="_20__123Graph_LBL_ACHART_2" hidden="1">#REF!</definedName>
    <definedName name="_20__FDSAUDITLINK__" localSheetId="0" hidden="1">{"fdsup://directions/FAT Viewer?action=UPDATE&amp;creator=factSet&amp;DYN_ARGS=true&amp;DOC_NAME=FAT:RGA_ENTRPR_VAL_EV_SOURCE_WINDOW.FAT&amp;VAR:ID1=&amp;window=popup&amp;width=535&amp;height=425&amp;START_MAXIMIZED=FALSE&amp;Y=120"}</definedName>
    <definedName name="_20__FDSAUDITLINK__" localSheetId="6" hidden="1">{"fdsup://directions/FAT Viewer?action=UPDATE&amp;creator=factSet&amp;DYN_ARGS=true&amp;DOC_NAME=FAT:RGA_ENTRPR_VAL_EV_SOURCE_WINDOW.FAT&amp;VAR:ID1=&amp;window=popup&amp;width=535&amp;height=425&amp;START_MAXIMIZED=FALSE&amp;Y=120"}</definedName>
    <definedName name="_20__FDSAUDITLINK__" hidden="1">{"fdsup://directions/FAT Viewer?action=UPDATE&amp;creator=factSet&amp;DYN_ARGS=true&amp;DOC_NAME=FAT:RGA_ENTRPR_VAL_EV_SOURCE_WINDOW.FAT&amp;VAR:ID1=&amp;window=popup&amp;width=535&amp;height=425&amp;START_MAXIMIZED=FALSE&amp;Y=120"}</definedName>
    <definedName name="_20_0">#REF!</definedName>
    <definedName name="_20_0__123Graph_BCHAR" hidden="1">#REF!</definedName>
    <definedName name="_200__FDSAUDITLINK__" localSheetId="0" hidden="1">{"fdsup://directions/FAT Viewer?action=UPDATE&amp;creator=factSet&amp;DYN_ARGS=true&amp;DOC_NAME=FAT:RGA_ENTRPR_VAL_EV_SOURCE_WINDOW.FAT&amp;VAR:ID1=GLT-FR&amp;window=popup&amp;width=535&amp;height=425&amp;START_MAXIMIZED=FALSE&amp;Y=120"}</definedName>
    <definedName name="_200__FDSAUDITLINK__" localSheetId="6" hidden="1">{"fdsup://directions/FAT Viewer?action=UPDATE&amp;creator=factSet&amp;DYN_ARGS=true&amp;DOC_NAME=FAT:RGA_ENTRPR_VAL_EV_SOURCE_WINDOW.FAT&amp;VAR:ID1=GLT-FR&amp;window=popup&amp;width=535&amp;height=425&amp;START_MAXIMIZED=FALSE&amp;Y=120"}</definedName>
    <definedName name="_200__FDSAUDITLINK__" hidden="1">{"fdsup://directions/FAT Viewer?action=UPDATE&amp;creator=factSet&amp;DYN_ARGS=true&amp;DOC_NAME=FAT:RGA_ENTRPR_VAL_EV_SOURCE_WINDOW.FAT&amp;VAR:ID1=GLT-FR&amp;window=popup&amp;width=535&amp;height=425&amp;START_MAXIMIZED=FALSE&amp;Y=120"}</definedName>
    <definedName name="_201__FDSAUDITLINK__" localSheetId="0" hidden="1">{"fdsup://directions/FAT Viewer?action=UPDATE&amp;creator=factSet&amp;DYN_ARGS=true&amp;DOC_NAME=FAT:RGA_ENTRPR_VAL_EV_SOURCE_WINDOW.FAT&amp;VAR:ID1=GLT-FR&amp;window=popup&amp;width=535&amp;height=425&amp;START_MAXIMIZED=FALSE&amp;Y=120"}</definedName>
    <definedName name="_201__FDSAUDITLINK__" localSheetId="6" hidden="1">{"fdsup://directions/FAT Viewer?action=UPDATE&amp;creator=factSet&amp;DYN_ARGS=true&amp;DOC_NAME=FAT:RGA_ENTRPR_VAL_EV_SOURCE_WINDOW.FAT&amp;VAR:ID1=GLT-FR&amp;window=popup&amp;width=535&amp;height=425&amp;START_MAXIMIZED=FALSE&amp;Y=120"}</definedName>
    <definedName name="_201__FDSAUDITLINK__" hidden="1">{"fdsup://directions/FAT Viewer?action=UPDATE&amp;creator=factSet&amp;DYN_ARGS=true&amp;DOC_NAME=FAT:RGA_ENTRPR_VAL_EV_SOURCE_WINDOW.FAT&amp;VAR:ID1=GLT-FR&amp;window=popup&amp;width=535&amp;height=425&amp;START_MAXIMIZED=FALSE&amp;Y=120"}</definedName>
    <definedName name="_202__FDSAUDITLINK__" localSheetId="0" hidden="1">{"fdsup://directions/FAT Viewer?action=UPDATE&amp;creator=factSet&amp;DYN_ARGS=true&amp;DOC_NAME=FAT:RGA_ENTRPR_VAL_EV_SOURCE_WINDOW.FAT&amp;VAR:ID1=GLT-FR&amp;window=popup&amp;width=535&amp;height=425&amp;START_MAXIMIZED=FALSE&amp;Y=120"}</definedName>
    <definedName name="_202__FDSAUDITLINK__" localSheetId="6" hidden="1">{"fdsup://directions/FAT Viewer?action=UPDATE&amp;creator=factSet&amp;DYN_ARGS=true&amp;DOC_NAME=FAT:RGA_ENTRPR_VAL_EV_SOURCE_WINDOW.FAT&amp;VAR:ID1=GLT-FR&amp;window=popup&amp;width=535&amp;height=425&amp;START_MAXIMIZED=FALSE&amp;Y=120"}</definedName>
    <definedName name="_202__FDSAUDITLINK__" hidden="1">{"fdsup://directions/FAT Viewer?action=UPDATE&amp;creator=factSet&amp;DYN_ARGS=true&amp;DOC_NAME=FAT:RGA_ENTRPR_VAL_EV_SOURCE_WINDOW.FAT&amp;VAR:ID1=GLT-FR&amp;window=popup&amp;width=535&amp;height=425&amp;START_MAXIMIZED=FALSE&amp;Y=120"}</definedName>
    <definedName name="_203__FDSAUDITLINK__" localSheetId="0" hidden="1">{"fdsup://directions/FAT Viewer?action=UPDATE&amp;creator=factSet&amp;DYN_ARGS=true&amp;DOC_NAME=FAT:RGA_ENTRPR_VAL_EV_SOURCE_WINDOW.FAT&amp;VAR:ID1=GLT-FR&amp;window=popup&amp;width=535&amp;height=425&amp;START_MAXIMIZED=FALSE&amp;Y=120"}</definedName>
    <definedName name="_203__FDSAUDITLINK__" localSheetId="6" hidden="1">{"fdsup://directions/FAT Viewer?action=UPDATE&amp;creator=factSet&amp;DYN_ARGS=true&amp;DOC_NAME=FAT:RGA_ENTRPR_VAL_EV_SOURCE_WINDOW.FAT&amp;VAR:ID1=GLT-FR&amp;window=popup&amp;width=535&amp;height=425&amp;START_MAXIMIZED=FALSE&amp;Y=120"}</definedName>
    <definedName name="_203__FDSAUDITLINK__" hidden="1">{"fdsup://directions/FAT Viewer?action=UPDATE&amp;creator=factSet&amp;DYN_ARGS=true&amp;DOC_NAME=FAT:RGA_ENTRPR_VAL_EV_SOURCE_WINDOW.FAT&amp;VAR:ID1=GLT-FR&amp;window=popup&amp;width=535&amp;height=425&amp;START_MAXIMIZED=FALSE&amp;Y=120"}</definedName>
    <definedName name="_204__FDSAUDITLINK__" localSheetId="0" hidden="1">{"fdsup://directions/FAT Viewer?action=UPDATE&amp;creator=factSet&amp;DYN_ARGS=true&amp;DOC_NAME=FAT:RGA_ENTRPR_VAL_EV_SOURCE_WINDOW.FAT&amp;VAR:ID1=GLT-FR&amp;window=popup&amp;width=535&amp;height=425&amp;START_MAXIMIZED=FALSE&amp;Y=120"}</definedName>
    <definedName name="_204__FDSAUDITLINK__" localSheetId="6" hidden="1">{"fdsup://directions/FAT Viewer?action=UPDATE&amp;creator=factSet&amp;DYN_ARGS=true&amp;DOC_NAME=FAT:RGA_ENTRPR_VAL_EV_SOURCE_WINDOW.FAT&amp;VAR:ID1=GLT-FR&amp;window=popup&amp;width=535&amp;height=425&amp;START_MAXIMIZED=FALSE&amp;Y=120"}</definedName>
    <definedName name="_204__FDSAUDITLINK__" hidden="1">{"fdsup://directions/FAT Viewer?action=UPDATE&amp;creator=factSet&amp;DYN_ARGS=true&amp;DOC_NAME=FAT:RGA_ENTRPR_VAL_EV_SOURCE_WINDOW.FAT&amp;VAR:ID1=GLT-FR&amp;window=popup&amp;width=535&amp;height=425&amp;START_MAXIMIZED=FALSE&amp;Y=120"}</definedName>
    <definedName name="_205__123Graph_Xｸﾞﾗﾌ_2" hidden="1">#REF!</definedName>
    <definedName name="_205__FDSAUDITLINK__" localSheetId="0" hidden="1">{"fdsup://directions/FAT Viewer?action=UPDATE&amp;creator=factSet&amp;DYN_ARGS=true&amp;DOC_NAME=FAT:RGA_ENTRPR_VAL_EV_SOURCE_WINDOW.FAT&amp;VAR:ID1=GLT-FR&amp;window=popup&amp;width=535&amp;height=425&amp;START_MAXIMIZED=FALSE&amp;Y=120"}</definedName>
    <definedName name="_205__FDSAUDITLINK__" localSheetId="6" hidden="1">{"fdsup://directions/FAT Viewer?action=UPDATE&amp;creator=factSet&amp;DYN_ARGS=true&amp;DOC_NAME=FAT:RGA_ENTRPR_VAL_EV_SOURCE_WINDOW.FAT&amp;VAR:ID1=GLT-FR&amp;window=popup&amp;width=535&amp;height=425&amp;START_MAXIMIZED=FALSE&amp;Y=120"}</definedName>
    <definedName name="_205__FDSAUDITLINK__" hidden="1">{"fdsup://directions/FAT Viewer?action=UPDATE&amp;creator=factSet&amp;DYN_ARGS=true&amp;DOC_NAME=FAT:RGA_ENTRPR_VAL_EV_SOURCE_WINDOW.FAT&amp;VAR:ID1=GLT-FR&amp;window=popup&amp;width=535&amp;height=425&amp;START_MAXIMIZED=FALSE&amp;Y=120"}</definedName>
    <definedName name="_206__FDSAUDITLINK__" localSheetId="0" hidden="1">{"fdsup://directions/FAT Viewer?action=UPDATE&amp;creator=factSet&amp;DYN_ARGS=true&amp;DOC_NAME=FAT:RGA_ENTRPR_VAL_EV_SOURCE_WINDOW.FAT&amp;VAR:ID1=GLT-FR&amp;window=popup&amp;width=535&amp;height=425&amp;START_MAXIMIZED=FALSE&amp;Y=120"}</definedName>
    <definedName name="_206__FDSAUDITLINK__" localSheetId="6" hidden="1">{"fdsup://directions/FAT Viewer?action=UPDATE&amp;creator=factSet&amp;DYN_ARGS=true&amp;DOC_NAME=FAT:RGA_ENTRPR_VAL_EV_SOURCE_WINDOW.FAT&amp;VAR:ID1=GLT-FR&amp;window=popup&amp;width=535&amp;height=425&amp;START_MAXIMIZED=FALSE&amp;Y=120"}</definedName>
    <definedName name="_206__FDSAUDITLINK__" hidden="1">{"fdsup://directions/FAT Viewer?action=UPDATE&amp;creator=factSet&amp;DYN_ARGS=true&amp;DOC_NAME=FAT:RGA_ENTRPR_VAL_EV_SOURCE_WINDOW.FAT&amp;VAR:ID1=GLT-FR&amp;window=popup&amp;width=535&amp;height=425&amp;START_MAXIMIZED=FALSE&amp;Y=120"}</definedName>
    <definedName name="_206__FDSAUDITLINK___1"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_1"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_1"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1_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2"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2"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2"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3"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3"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3"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4"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4"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4"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5"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5"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6__FDSAUDITLINK___5"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207__FDSAUDITLINK__" localSheetId="0" hidden="1">{"fdsup://directions/FAT Viewer?action=UPDATE&amp;creator=factSet&amp;DYN_ARGS=true&amp;DOC_NAME=FAT:RGA_ENTRPR_VAL_EV_SOURCE_WINDOW.FAT&amp;VAR:ID1=GLT-FR&amp;window=popup&amp;width=535&amp;height=425&amp;START_MAXIMIZED=FALSE&amp;Y=120"}</definedName>
    <definedName name="_207__FDSAUDITLINK__" localSheetId="6" hidden="1">{"fdsup://directions/FAT Viewer?action=UPDATE&amp;creator=factSet&amp;DYN_ARGS=true&amp;DOC_NAME=FAT:RGA_ENTRPR_VAL_EV_SOURCE_WINDOW.FAT&amp;VAR:ID1=GLT-FR&amp;window=popup&amp;width=535&amp;height=425&amp;START_MAXIMIZED=FALSE&amp;Y=120"}</definedName>
    <definedName name="_207__FDSAUDITLINK__" hidden="1">{"fdsup://directions/FAT Viewer?action=UPDATE&amp;creator=factSet&amp;DYN_ARGS=true&amp;DOC_NAME=FAT:RGA_ENTRPR_VAL_EV_SOURCE_WINDOW.FAT&amp;VAR:ID1=GLT-FR&amp;window=popup&amp;width=535&amp;height=425&amp;START_MAXIMIZED=FALSE&amp;Y=120"}</definedName>
    <definedName name="_208__FDSAUDITLINK__" localSheetId="0" hidden="1">{"fdsup://directions/FAT Viewer?action=UPDATE&amp;creator=factSet&amp;DYN_ARGS=true&amp;DOC_NAME=FAT:RGA_ENTRPR_VAL_EV_SOURCE_WINDOW.FAT&amp;VAR:ID1=GLT-FR&amp;window=popup&amp;width=535&amp;height=425&amp;START_MAXIMIZED=FALSE&amp;Y=120"}</definedName>
    <definedName name="_208__FDSAUDITLINK__" localSheetId="6" hidden="1">{"fdsup://directions/FAT Viewer?action=UPDATE&amp;creator=factSet&amp;DYN_ARGS=true&amp;DOC_NAME=FAT:RGA_ENTRPR_VAL_EV_SOURCE_WINDOW.FAT&amp;VAR:ID1=GLT-FR&amp;window=popup&amp;width=535&amp;height=425&amp;START_MAXIMIZED=FALSE&amp;Y=120"}</definedName>
    <definedName name="_208__FDSAUDITLINK__" hidden="1">{"fdsup://directions/FAT Viewer?action=UPDATE&amp;creator=factSet&amp;DYN_ARGS=true&amp;DOC_NAME=FAT:RGA_ENTRPR_VAL_EV_SOURCE_WINDOW.FAT&amp;VAR:ID1=GLT-FR&amp;window=popup&amp;width=535&amp;height=425&amp;START_MAXIMIZED=FALSE&amp;Y=120"}</definedName>
    <definedName name="_209__123Graph_CCHART_39" hidden="1">#REF!</definedName>
    <definedName name="_209__FDSAUDITLINK__" localSheetId="0" hidden="1">{"fdsup://directions/FAT Viewer?action=UPDATE&amp;creator=factSet&amp;DYN_ARGS=true&amp;DOC_NAME=FAT:RGA_ENTRPR_VAL_EV_SOURCE_WINDOW.FAT&amp;VAR:ID1=GLT-FR&amp;window=popup&amp;width=535&amp;height=425&amp;START_MAXIMIZED=FALSE&amp;Y=120"}</definedName>
    <definedName name="_209__FDSAUDITLINK__" localSheetId="6" hidden="1">{"fdsup://directions/FAT Viewer?action=UPDATE&amp;creator=factSet&amp;DYN_ARGS=true&amp;DOC_NAME=FAT:RGA_ENTRPR_VAL_EV_SOURCE_WINDOW.FAT&amp;VAR:ID1=GLT-FR&amp;window=popup&amp;width=535&amp;height=425&amp;START_MAXIMIZED=FALSE&amp;Y=120"}</definedName>
    <definedName name="_209__FDSAUDITLINK__" hidden="1">{"fdsup://directions/FAT Viewer?action=UPDATE&amp;creator=factSet&amp;DYN_ARGS=true&amp;DOC_NAME=FAT:RGA_ENTRPR_VAL_EV_SOURCE_WINDOW.FAT&amp;VAR:ID1=GLT-FR&amp;window=popup&amp;width=535&amp;height=425&amp;START_MAXIMIZED=FALSE&amp;Y=120"}</definedName>
    <definedName name="_20PGE_1">#REF!</definedName>
    <definedName name="_21__123Graph_ACHART_1" hidden="1">#REF!</definedName>
    <definedName name="_21__123Graph_ACHART_32" hidden="1">#REF!</definedName>
    <definedName name="_21__123Graph_AChart_6" hidden="1">#REF!</definedName>
    <definedName name="_21__123Graph_AMKT_YTD" hidden="1">#REF!</definedName>
    <definedName name="_21__123Graph_Aｸﾞﾗﾌ_1" hidden="1">#REF!</definedName>
    <definedName name="_21__123Graph_BCHART_1" hidden="1">#REF!</definedName>
    <definedName name="_21__123Graph_BIND9596" hidden="1">#REF!</definedName>
    <definedName name="_21__123Graph_CCHART_3" hidden="1">#REF!</definedName>
    <definedName name="_21__123Graph_CCHART_30" hidden="1">#REF!</definedName>
    <definedName name="_21__123Graph_DCHART_22" hidden="1">#REF!</definedName>
    <definedName name="_21__123Graph_DCHART_3" hidden="1">#REF!</definedName>
    <definedName name="_21__123Graph_LBL_ACHART_3" hidden="1">#REF!</definedName>
    <definedName name="_21__123Graph_LBL_ACHART_5" hidden="1">#REF!</definedName>
    <definedName name="_21__123Graph_LBL_BMKT_MONTH" hidden="1">#REF!</definedName>
    <definedName name="_21__123Graph_XCHART_2" hidden="1">#REF!</definedName>
    <definedName name="_21__FDSAUDITLINK__" localSheetId="0" hidden="1">{"fdsup://directions/FAT Viewer?action=UPDATE&amp;creator=factSet&amp;DYN_ARGS=true&amp;DOC_NAME=FAT:RGA_ENTRPR_VAL_EV_SOURCE_WINDOW.FAT&amp;VAR:ID1=DST-US&amp;window=popup&amp;width=535&amp;height=425&amp;START_MAXIMIZED=FALSE&amp;Y=120"}</definedName>
    <definedName name="_21__FDSAUDITLINK__" localSheetId="6" hidden="1">{"fdsup://directions/FAT Viewer?action=UPDATE&amp;creator=factSet&amp;DYN_ARGS=true&amp;DOC_NAME=FAT:RGA_ENTRPR_VAL_EV_SOURCE_WINDOW.FAT&amp;VAR:ID1=DST-US&amp;window=popup&amp;width=535&amp;height=425&amp;START_MAXIMIZED=FALSE&amp;Y=120"}</definedName>
    <definedName name="_21__FDSAUDITLINK__" hidden="1">{"fdsup://directions/FAT Viewer?action=UPDATE&amp;creator=factSet&amp;DYN_ARGS=true&amp;DOC_NAME=FAT:RGA_ENTRPR_VAL_EV_SOURCE_WINDOW.FAT&amp;VAR:ID1=DST-US&amp;window=popup&amp;width=535&amp;height=425&amp;START_MAXIMIZED=FALSE&amp;Y=120"}</definedName>
    <definedName name="_21_0__123Graph_BCHAR" hidden="1">#REF!</definedName>
    <definedName name="_210__FDSAUDITLINK__" localSheetId="0" hidden="1">{"fdsup://directions/FAT Viewer?action=UPDATE&amp;creator=factSet&amp;DYN_ARGS=true&amp;DOC_NAME=FAT:RGA_ENTRPR_VAL_EV_SOURCE_WINDOW.FAT&amp;VAR:ID1=GLT-FR&amp;window=popup&amp;width=535&amp;height=425&amp;START_MAXIMIZED=FALSE&amp;Y=120"}</definedName>
    <definedName name="_210__FDSAUDITLINK__" localSheetId="6" hidden="1">{"fdsup://directions/FAT Viewer?action=UPDATE&amp;creator=factSet&amp;DYN_ARGS=true&amp;DOC_NAME=FAT:RGA_ENTRPR_VAL_EV_SOURCE_WINDOW.FAT&amp;VAR:ID1=GLT-FR&amp;window=popup&amp;width=535&amp;height=425&amp;START_MAXIMIZED=FALSE&amp;Y=120"}</definedName>
    <definedName name="_210__FDSAUDITLINK__" hidden="1">{"fdsup://directions/FAT Viewer?action=UPDATE&amp;creator=factSet&amp;DYN_ARGS=true&amp;DOC_NAME=FAT:RGA_ENTRPR_VAL_EV_SOURCE_WINDOW.FAT&amp;VAR:ID1=GLT-FR&amp;window=popup&amp;width=535&amp;height=425&amp;START_MAXIMIZED=FALSE&amp;Y=120"}</definedName>
    <definedName name="_211__FDSAUDITLINK__" localSheetId="0" hidden="1">{"fdsup://directions/FAT Viewer?action=UPDATE&amp;creator=factSet&amp;DYN_ARGS=true&amp;DOC_NAME=FAT:RGA_ENTRPR_VAL_EV_SOURCE_WINDOW.FAT&amp;VAR:ID1=GLT-FR&amp;window=popup&amp;width=535&amp;height=425&amp;START_MAXIMIZED=FALSE&amp;Y=120"}</definedName>
    <definedName name="_211__FDSAUDITLINK__" localSheetId="6" hidden="1">{"fdsup://directions/FAT Viewer?action=UPDATE&amp;creator=factSet&amp;DYN_ARGS=true&amp;DOC_NAME=FAT:RGA_ENTRPR_VAL_EV_SOURCE_WINDOW.FAT&amp;VAR:ID1=GLT-FR&amp;window=popup&amp;width=535&amp;height=425&amp;START_MAXIMIZED=FALSE&amp;Y=120"}</definedName>
    <definedName name="_211__FDSAUDITLINK__" hidden="1">{"fdsup://directions/FAT Viewer?action=UPDATE&amp;creator=factSet&amp;DYN_ARGS=true&amp;DOC_NAME=FAT:RGA_ENTRPR_VAL_EV_SOURCE_WINDOW.FAT&amp;VAR:ID1=GLT-FR&amp;window=popup&amp;width=535&amp;height=425&amp;START_MAXIMIZED=FALSE&amp;Y=120"}</definedName>
    <definedName name="_212__FDSAUDITLINK__" localSheetId="0" hidden="1">{"fdsup://directions/FAT Viewer?action=UPDATE&amp;creator=factSet&amp;DYN_ARGS=true&amp;DOC_NAME=FAT:RGA_ENTRPR_VAL_EV_SOURCE_WINDOW.FAT&amp;VAR:ID1=GLT-FR&amp;window=popup&amp;width=535&amp;height=425&amp;START_MAXIMIZED=FALSE&amp;Y=120"}</definedName>
    <definedName name="_212__FDSAUDITLINK__" localSheetId="6" hidden="1">{"fdsup://directions/FAT Viewer?action=UPDATE&amp;creator=factSet&amp;DYN_ARGS=true&amp;DOC_NAME=FAT:RGA_ENTRPR_VAL_EV_SOURCE_WINDOW.FAT&amp;VAR:ID1=GLT-FR&amp;window=popup&amp;width=535&amp;height=425&amp;START_MAXIMIZED=FALSE&amp;Y=120"}</definedName>
    <definedName name="_212__FDSAUDITLINK__" hidden="1">{"fdsup://directions/FAT Viewer?action=UPDATE&amp;creator=factSet&amp;DYN_ARGS=true&amp;DOC_NAME=FAT:RGA_ENTRPR_VAL_EV_SOURCE_WINDOW.FAT&amp;VAR:ID1=GLT-FR&amp;window=popup&amp;width=535&amp;height=425&amp;START_MAXIMIZED=FALSE&amp;Y=120"}</definedName>
    <definedName name="_213__FDSAUDITLINK__" localSheetId="0" hidden="1">{"fdsup://directions/FAT Viewer?action=UPDATE&amp;creator=factSet&amp;DYN_ARGS=true&amp;DOC_NAME=FAT:RGA_ENTRPR_VAL_EV_SOURCE_WINDOW.FAT&amp;VAR:ID1=GLT-FR&amp;window=popup&amp;width=535&amp;height=425&amp;START_MAXIMIZED=FALSE&amp;Y=120"}</definedName>
    <definedName name="_213__FDSAUDITLINK__" localSheetId="6" hidden="1">{"fdsup://directions/FAT Viewer?action=UPDATE&amp;creator=factSet&amp;DYN_ARGS=true&amp;DOC_NAME=FAT:RGA_ENTRPR_VAL_EV_SOURCE_WINDOW.FAT&amp;VAR:ID1=GLT-FR&amp;window=popup&amp;width=535&amp;height=425&amp;START_MAXIMIZED=FALSE&amp;Y=120"}</definedName>
    <definedName name="_213__FDSAUDITLINK__" hidden="1">{"fdsup://directions/FAT Viewer?action=UPDATE&amp;creator=factSet&amp;DYN_ARGS=true&amp;DOC_NAME=FAT:RGA_ENTRPR_VAL_EV_SOURCE_WINDOW.FAT&amp;VAR:ID1=GLT-FR&amp;window=popup&amp;width=535&amp;height=425&amp;START_MAXIMIZED=FALSE&amp;Y=120"}</definedName>
    <definedName name="_214__FDSAUDITLINK__" localSheetId="0" hidden="1">{"fdsup://directions/FAT Viewer?action=UPDATE&amp;creator=factSet&amp;DYN_ARGS=true&amp;DOC_NAME=FAT:RGA_ENTRPR_VAL_EV_SOURCE_WINDOW.FAT&amp;VAR:ID1=GLT-FR&amp;window=popup&amp;width=535&amp;height=425&amp;START_MAXIMIZED=FALSE&amp;Y=120"}</definedName>
    <definedName name="_214__FDSAUDITLINK__" localSheetId="6" hidden="1">{"fdsup://directions/FAT Viewer?action=UPDATE&amp;creator=factSet&amp;DYN_ARGS=true&amp;DOC_NAME=FAT:RGA_ENTRPR_VAL_EV_SOURCE_WINDOW.FAT&amp;VAR:ID1=GLT-FR&amp;window=popup&amp;width=535&amp;height=425&amp;START_MAXIMIZED=FALSE&amp;Y=120"}</definedName>
    <definedName name="_214__FDSAUDITLINK__" hidden="1">{"fdsup://directions/FAT Viewer?action=UPDATE&amp;creator=factSet&amp;DYN_ARGS=true&amp;DOC_NAME=FAT:RGA_ENTRPR_VAL_EV_SOURCE_WINDOW.FAT&amp;VAR:ID1=GLT-FR&amp;window=popup&amp;width=535&amp;height=425&amp;START_MAXIMIZED=FALSE&amp;Y=120"}</definedName>
    <definedName name="_215__FDSAUDITLINK__" localSheetId="0" hidden="1">{"fdsup://directions/FAT Viewer?action=UPDATE&amp;creator=factSet&amp;DYN_ARGS=true&amp;DOC_NAME=FAT:RGA_ENTRPR_VAL_EV_SOURCE_WINDOW.FAT&amp;VAR:ID1=GLT-FR&amp;window=popup&amp;width=535&amp;height=425&amp;START_MAXIMIZED=FALSE&amp;Y=120"}</definedName>
    <definedName name="_215__FDSAUDITLINK__" localSheetId="6" hidden="1">{"fdsup://directions/FAT Viewer?action=UPDATE&amp;creator=factSet&amp;DYN_ARGS=true&amp;DOC_NAME=FAT:RGA_ENTRPR_VAL_EV_SOURCE_WINDOW.FAT&amp;VAR:ID1=GLT-FR&amp;window=popup&amp;width=535&amp;height=425&amp;START_MAXIMIZED=FALSE&amp;Y=120"}</definedName>
    <definedName name="_215__FDSAUDITLINK__" hidden="1">{"fdsup://directions/FAT Viewer?action=UPDATE&amp;creator=factSet&amp;DYN_ARGS=true&amp;DOC_NAME=FAT:RGA_ENTRPR_VAL_EV_SOURCE_WINDOW.FAT&amp;VAR:ID1=GLT-FR&amp;window=popup&amp;width=535&amp;height=425&amp;START_MAXIMIZED=FALSE&amp;Y=120"}</definedName>
    <definedName name="_216__123Graph_Xｸﾞﾗﾌ_3" hidden="1">#REF!</definedName>
    <definedName name="_216__FDSAUDITLINK__" localSheetId="0" hidden="1">{"fdsup://directions/FAT Viewer?action=UPDATE&amp;creator=factSet&amp;DYN_ARGS=true&amp;DOC_NAME=FAT:RGA_ENTRPR_VAL_EV_SOURCE_WINDOW.FAT&amp;VAR:ID1=GLT-FR&amp;window=popup&amp;width=535&amp;height=425&amp;START_MAXIMIZED=FALSE&amp;Y=120"}</definedName>
    <definedName name="_216__FDSAUDITLINK__" localSheetId="6" hidden="1">{"fdsup://directions/FAT Viewer?action=UPDATE&amp;creator=factSet&amp;DYN_ARGS=true&amp;DOC_NAME=FAT:RGA_ENTRPR_VAL_EV_SOURCE_WINDOW.FAT&amp;VAR:ID1=GLT-FR&amp;window=popup&amp;width=535&amp;height=425&amp;START_MAXIMIZED=FALSE&amp;Y=120"}</definedName>
    <definedName name="_216__FDSAUDITLINK__" hidden="1">{"fdsup://directions/FAT Viewer?action=UPDATE&amp;creator=factSet&amp;DYN_ARGS=true&amp;DOC_NAME=FAT:RGA_ENTRPR_VAL_EV_SOURCE_WINDOW.FAT&amp;VAR:ID1=GLT-FR&amp;window=popup&amp;width=535&amp;height=425&amp;START_MAXIMIZED=FALSE&amp;Y=120"}</definedName>
    <definedName name="_217__FDSAUDITLINK__" localSheetId="0" hidden="1">{"fdsup://directions/FAT Viewer?action=UPDATE&amp;creator=factSet&amp;DYN_ARGS=true&amp;DOC_NAME=FAT:RGA_ENTRPR_VAL_EV_SOURCE_WINDOW.FAT&amp;VAR:ID1=GLT-FR&amp;window=popup&amp;width=535&amp;height=425&amp;START_MAXIMIZED=FALSE&amp;Y=120"}</definedName>
    <definedName name="_217__FDSAUDITLINK__" localSheetId="6" hidden="1">{"fdsup://directions/FAT Viewer?action=UPDATE&amp;creator=factSet&amp;DYN_ARGS=true&amp;DOC_NAME=FAT:RGA_ENTRPR_VAL_EV_SOURCE_WINDOW.FAT&amp;VAR:ID1=GLT-FR&amp;window=popup&amp;width=535&amp;height=425&amp;START_MAXIMIZED=FALSE&amp;Y=120"}</definedName>
    <definedName name="_217__FDSAUDITLINK__" hidden="1">{"fdsup://directions/FAT Viewer?action=UPDATE&amp;creator=factSet&amp;DYN_ARGS=true&amp;DOC_NAME=FAT:RGA_ENTRPR_VAL_EV_SOURCE_WINDOW.FAT&amp;VAR:ID1=GLT-FR&amp;window=popup&amp;width=535&amp;height=425&amp;START_MAXIMIZED=FALSE&amp;Y=120"}</definedName>
    <definedName name="_218__FDSAUDITLINK__" localSheetId="0" hidden="1">{"fdsup://directions/FAT Viewer?action=UPDATE&amp;creator=factSet&amp;DYN_ARGS=true&amp;DOC_NAME=FAT:RGA_ENTRPR_VAL_EV_SOURCE_WINDOW.FAT&amp;VAR:ID1=GLT-FR&amp;window=popup&amp;width=535&amp;height=425&amp;START_MAXIMIZED=FALSE&amp;Y=120"}</definedName>
    <definedName name="_218__FDSAUDITLINK__" localSheetId="6" hidden="1">{"fdsup://directions/FAT Viewer?action=UPDATE&amp;creator=factSet&amp;DYN_ARGS=true&amp;DOC_NAME=FAT:RGA_ENTRPR_VAL_EV_SOURCE_WINDOW.FAT&amp;VAR:ID1=GLT-FR&amp;window=popup&amp;width=535&amp;height=425&amp;START_MAXIMIZED=FALSE&amp;Y=120"}</definedName>
    <definedName name="_218__FDSAUDITLINK__" hidden="1">{"fdsup://directions/FAT Viewer?action=UPDATE&amp;creator=factSet&amp;DYN_ARGS=true&amp;DOC_NAME=FAT:RGA_ENTRPR_VAL_EV_SOURCE_WINDOW.FAT&amp;VAR:ID1=GLT-FR&amp;window=popup&amp;width=535&amp;height=425&amp;START_MAXIMIZED=FALSE&amp;Y=120"}</definedName>
    <definedName name="_219__FDSAUDITLINK__" localSheetId="0" hidden="1">{"fdsup://directions/FAT Viewer?action=UPDATE&amp;creator=factSet&amp;DYN_ARGS=true&amp;DOC_NAME=FAT:RGA_ENTRPR_VAL_EV_SOURCE_WINDOW.FAT&amp;VAR:ID1=GLT-FR&amp;window=popup&amp;width=535&amp;height=425&amp;START_MAXIMIZED=FALSE&amp;Y=120"}</definedName>
    <definedName name="_219__FDSAUDITLINK__" localSheetId="6" hidden="1">{"fdsup://directions/FAT Viewer?action=UPDATE&amp;creator=factSet&amp;DYN_ARGS=true&amp;DOC_NAME=FAT:RGA_ENTRPR_VAL_EV_SOURCE_WINDOW.FAT&amp;VAR:ID1=GLT-FR&amp;window=popup&amp;width=535&amp;height=425&amp;START_MAXIMIZED=FALSE&amp;Y=120"}</definedName>
    <definedName name="_219__FDSAUDITLINK__" hidden="1">{"fdsup://directions/FAT Viewer?action=UPDATE&amp;creator=factSet&amp;DYN_ARGS=true&amp;DOC_NAME=FAT:RGA_ENTRPR_VAL_EV_SOURCE_WINDOW.FAT&amp;VAR:ID1=GLT-FR&amp;window=popup&amp;width=535&amp;height=425&amp;START_MAXIMIZED=FALSE&amp;Y=120"}</definedName>
    <definedName name="_21PGE_1">#REF!</definedName>
    <definedName name="_22__123Graph_ACHART_33" hidden="1">#REF!</definedName>
    <definedName name="_22__123Graph_B_Chart_1A" hidden="1">#REF!</definedName>
    <definedName name="_22__123Graph_B_KD956" hidden="1">#REF!</definedName>
    <definedName name="_22__123Graph_BCHART_17" hidden="1">#REF!</definedName>
    <definedName name="_22__123Graph_BINDX9196" hidden="1">#REF!</definedName>
    <definedName name="_22__123Graph_CCHART_31" hidden="1">#REF!</definedName>
    <definedName name="_22__123Graph_DCHART_28" hidden="1">#REF!</definedName>
    <definedName name="_22__123Graph_DCHART_4" hidden="1">#REF!</definedName>
    <definedName name="_22__123Graph_ECHART_15" hidden="1">#REF!</definedName>
    <definedName name="_22__123Graph_LBL_ACHART_1" hidden="1">#REF!</definedName>
    <definedName name="_22__123Graph_LBL_ACHART_6" hidden="1">#REF!</definedName>
    <definedName name="_22__123Graph_LBL_DCHART_1" hidden="1">#REF!</definedName>
    <definedName name="_22__123Graph_XCHART_3" hidden="1">#REF!</definedName>
    <definedName name="_22__FDSAUDITLINK__" localSheetId="0" hidden="1">{"fdsup://directions/FAT Viewer?action=UPDATE&amp;creator=factSet&amp;DYN_ARGS=true&amp;DOC_NAME=FAT:RGA_ENTRPR_VAL_EV_SOURCE_WINDOW.FAT&amp;VAR:ID1=EV&amp;window=popup&amp;width=535&amp;height=425&amp;START_MAXIMIZED=FALSE&amp;Y=120"}</definedName>
    <definedName name="_22__FDSAUDITLINK__" localSheetId="6" hidden="1">{"fdsup://directions/FAT Viewer?action=UPDATE&amp;creator=factSet&amp;DYN_ARGS=true&amp;DOC_NAME=FAT:RGA_ENTRPR_VAL_EV_SOURCE_WINDOW.FAT&amp;VAR:ID1=EV&amp;window=popup&amp;width=535&amp;height=425&amp;START_MAXIMIZED=FALSE&amp;Y=120"}</definedName>
    <definedName name="_22__FDSAUDITLINK__" hidden="1">{"fdsup://directions/FAT Viewer?action=UPDATE&amp;creator=factSet&amp;DYN_ARGS=true&amp;DOC_NAME=FAT:RGA_ENTRPR_VAL_EV_SOURCE_WINDOW.FAT&amp;VAR:ID1=EV&amp;window=popup&amp;width=535&amp;height=425&amp;START_MAXIMIZED=FALSE&amp;Y=120"}</definedName>
    <definedName name="_22_0__123Graph_BCHAR" hidden="1">#REF!</definedName>
    <definedName name="_220__FDSAUDITLINK__" localSheetId="0" hidden="1">{"fdsup://directions/FAT Viewer?action=UPDATE&amp;creator=factSet&amp;DYN_ARGS=true&amp;DOC_NAME=FAT:RGA_ENTRPR_VAL_EV_SOURCE_WINDOW.FAT&amp;VAR:ID1=GLT-FR&amp;window=popup&amp;width=535&amp;height=425&amp;START_MAXIMIZED=FALSE&amp;Y=120"}</definedName>
    <definedName name="_220__FDSAUDITLINK__" localSheetId="6" hidden="1">{"fdsup://directions/FAT Viewer?action=UPDATE&amp;creator=factSet&amp;DYN_ARGS=true&amp;DOC_NAME=FAT:RGA_ENTRPR_VAL_EV_SOURCE_WINDOW.FAT&amp;VAR:ID1=GLT-FR&amp;window=popup&amp;width=535&amp;height=425&amp;START_MAXIMIZED=FALSE&amp;Y=120"}</definedName>
    <definedName name="_220__FDSAUDITLINK__" hidden="1">{"fdsup://directions/FAT Viewer?action=UPDATE&amp;creator=factSet&amp;DYN_ARGS=true&amp;DOC_NAME=FAT:RGA_ENTRPR_VAL_EV_SOURCE_WINDOW.FAT&amp;VAR:ID1=GLT-FR&amp;window=popup&amp;width=535&amp;height=425&amp;START_MAXIMIZED=FALSE&amp;Y=120"}</definedName>
    <definedName name="_221__FDSAUDITLINK__" localSheetId="0" hidden="1">{"fdsup://directions/FAT Viewer?action=UPDATE&amp;creator=factSet&amp;DYN_ARGS=true&amp;DOC_NAME=FAT:RGA_ENTRPR_VAL_EV_SOURCE_WINDOW.FAT&amp;VAR:ID1=GLT-FR&amp;window=popup&amp;width=535&amp;height=425&amp;START_MAXIMIZED=FALSE&amp;Y=120"}</definedName>
    <definedName name="_221__FDSAUDITLINK__" localSheetId="6" hidden="1">{"fdsup://directions/FAT Viewer?action=UPDATE&amp;creator=factSet&amp;DYN_ARGS=true&amp;DOC_NAME=FAT:RGA_ENTRPR_VAL_EV_SOURCE_WINDOW.FAT&amp;VAR:ID1=GLT-FR&amp;window=popup&amp;width=535&amp;height=425&amp;START_MAXIMIZED=FALSE&amp;Y=120"}</definedName>
    <definedName name="_221__FDSAUDITLINK__" hidden="1">{"fdsup://directions/FAT Viewer?action=UPDATE&amp;creator=factSet&amp;DYN_ARGS=true&amp;DOC_NAME=FAT:RGA_ENTRPR_VAL_EV_SOURCE_WINDOW.FAT&amp;VAR:ID1=GLT-FR&amp;window=popup&amp;width=535&amp;height=425&amp;START_MAXIMIZED=FALSE&amp;Y=120"}</definedName>
    <definedName name="_222__123Graph_CCHART_41" hidden="1">#REF!</definedName>
    <definedName name="_222__123Graph_Xｸﾞﾗﾌ_4" hidden="1">#REF!</definedName>
    <definedName name="_222__FDSAUDITLINK__" localSheetId="0" hidden="1">{"fdsup://directions/FAT Viewer?action=UPDATE&amp;creator=factSet&amp;DYN_ARGS=true&amp;DOC_NAME=FAT:RGA_ENTRPR_VAL_EV_SOURCE_WINDOW.FAT&amp;VAR:ID1=GLT-FR&amp;window=popup&amp;width=535&amp;height=425&amp;START_MAXIMIZED=FALSE&amp;Y=120"}</definedName>
    <definedName name="_222__FDSAUDITLINK__" localSheetId="6" hidden="1">{"fdsup://directions/FAT Viewer?action=UPDATE&amp;creator=factSet&amp;DYN_ARGS=true&amp;DOC_NAME=FAT:RGA_ENTRPR_VAL_EV_SOURCE_WINDOW.FAT&amp;VAR:ID1=GLT-FR&amp;window=popup&amp;width=535&amp;height=425&amp;START_MAXIMIZED=FALSE&amp;Y=120"}</definedName>
    <definedName name="_222__FDSAUDITLINK__" hidden="1">{"fdsup://directions/FAT Viewer?action=UPDATE&amp;creator=factSet&amp;DYN_ARGS=true&amp;DOC_NAME=FAT:RGA_ENTRPR_VAL_EV_SOURCE_WINDOW.FAT&amp;VAR:ID1=GLT-FR&amp;window=popup&amp;width=535&amp;height=425&amp;START_MAXIMIZED=FALSE&amp;Y=120"}</definedName>
    <definedName name="_223__123Graph_Xｸﾞﾗﾌ_5" hidden="1">#REF!</definedName>
    <definedName name="_223__FDSAUDITLINK__" localSheetId="0" hidden="1">{"fdsup://directions/FAT Viewer?action=UPDATE&amp;creator=factSet&amp;DYN_ARGS=true&amp;DOC_NAME=FAT:RGA_ENTRPR_VAL_EV_SOURCE_WINDOW.FAT&amp;VAR:ID1=GLT-FR&amp;window=popup&amp;width=535&amp;height=425&amp;START_MAXIMIZED=FALSE&amp;Y=120"}</definedName>
    <definedName name="_223__FDSAUDITLINK__" localSheetId="6" hidden="1">{"fdsup://directions/FAT Viewer?action=UPDATE&amp;creator=factSet&amp;DYN_ARGS=true&amp;DOC_NAME=FAT:RGA_ENTRPR_VAL_EV_SOURCE_WINDOW.FAT&amp;VAR:ID1=GLT-FR&amp;window=popup&amp;width=535&amp;height=425&amp;START_MAXIMIZED=FALSE&amp;Y=120"}</definedName>
    <definedName name="_223__FDSAUDITLINK__" hidden="1">{"fdsup://directions/FAT Viewer?action=UPDATE&amp;creator=factSet&amp;DYN_ARGS=true&amp;DOC_NAME=FAT:RGA_ENTRPR_VAL_EV_SOURCE_WINDOW.FAT&amp;VAR:ID1=GLT-FR&amp;window=popup&amp;width=535&amp;height=425&amp;START_MAXIMIZED=FALSE&amp;Y=120"}</definedName>
    <definedName name="_224__FDSAUDITLINK__" localSheetId="0" hidden="1">{"fdsup://directions/FAT Viewer?action=UPDATE&amp;creator=factSet&amp;DYN_ARGS=true&amp;DOC_NAME=FAT:RGA_ENTRPR_VAL_EV_SOURCE_WINDOW.FAT&amp;VAR:ID1=GLT-FR&amp;window=popup&amp;width=535&amp;height=425&amp;START_MAXIMIZED=FALSE&amp;Y=120"}</definedName>
    <definedName name="_224__FDSAUDITLINK__" localSheetId="6" hidden="1">{"fdsup://directions/FAT Viewer?action=UPDATE&amp;creator=factSet&amp;DYN_ARGS=true&amp;DOC_NAME=FAT:RGA_ENTRPR_VAL_EV_SOURCE_WINDOW.FAT&amp;VAR:ID1=GLT-FR&amp;window=popup&amp;width=535&amp;height=425&amp;START_MAXIMIZED=FALSE&amp;Y=120"}</definedName>
    <definedName name="_224__FDSAUDITLINK__" hidden="1">{"fdsup://directions/FAT Viewer?action=UPDATE&amp;creator=factSet&amp;DYN_ARGS=true&amp;DOC_NAME=FAT:RGA_ENTRPR_VAL_EV_SOURCE_WINDOW.FAT&amp;VAR:ID1=GLT-FR&amp;window=popup&amp;width=535&amp;height=425&amp;START_MAXIMIZED=FALSE&amp;Y=120"}</definedName>
    <definedName name="_225__FDSAUDITLINK__" localSheetId="0" hidden="1">{"fdsup://directions/FAT Viewer?action=UPDATE&amp;creator=factSet&amp;DYN_ARGS=true&amp;DOC_NAME=FAT:RGA_ENTRPR_VAL_EV_SOURCE_WINDOW.FAT&amp;VAR:ID1=GLT-FR&amp;window=popup&amp;width=535&amp;height=425&amp;START_MAXIMIZED=FALSE&amp;Y=120"}</definedName>
    <definedName name="_225__FDSAUDITLINK__" localSheetId="6" hidden="1">{"fdsup://directions/FAT Viewer?action=UPDATE&amp;creator=factSet&amp;DYN_ARGS=true&amp;DOC_NAME=FAT:RGA_ENTRPR_VAL_EV_SOURCE_WINDOW.FAT&amp;VAR:ID1=GLT-FR&amp;window=popup&amp;width=535&amp;height=425&amp;START_MAXIMIZED=FALSE&amp;Y=120"}</definedName>
    <definedName name="_225__FDSAUDITLINK__" hidden="1">{"fdsup://directions/FAT Viewer?action=UPDATE&amp;creator=factSet&amp;DYN_ARGS=true&amp;DOC_NAME=FAT:RGA_ENTRPR_VAL_EV_SOURCE_WINDOW.FAT&amp;VAR:ID1=GLT-FR&amp;window=popup&amp;width=535&amp;height=425&amp;START_MAXIMIZED=FALSE&amp;Y=120"}</definedName>
    <definedName name="_226__123Graph_DCHART_15" hidden="1">#REF!</definedName>
    <definedName name="_226__FDSAUDITLINK__" localSheetId="0" hidden="1">{"fdsup://directions/FAT Viewer?action=UPDATE&amp;creator=factSet&amp;DYN_ARGS=true&amp;DOC_NAME=FAT:RGA_ENTRPR_VAL_EV_SOURCE_WINDOW.FAT&amp;VAR:ID1=GLT-FR&amp;window=popup&amp;width=535&amp;height=425&amp;START_MAXIMIZED=FALSE&amp;Y=120"}</definedName>
    <definedName name="_226__FDSAUDITLINK__" localSheetId="6" hidden="1">{"fdsup://directions/FAT Viewer?action=UPDATE&amp;creator=factSet&amp;DYN_ARGS=true&amp;DOC_NAME=FAT:RGA_ENTRPR_VAL_EV_SOURCE_WINDOW.FAT&amp;VAR:ID1=GLT-FR&amp;window=popup&amp;width=535&amp;height=425&amp;START_MAXIMIZED=FALSE&amp;Y=120"}</definedName>
    <definedName name="_226__FDSAUDITLINK__" hidden="1">{"fdsup://directions/FAT Viewer?action=UPDATE&amp;creator=factSet&amp;DYN_ARGS=true&amp;DOC_NAME=FAT:RGA_ENTRPR_VAL_EV_SOURCE_WINDOW.FAT&amp;VAR:ID1=GLT-FR&amp;window=popup&amp;width=535&amp;height=425&amp;START_MAXIMIZED=FALSE&amp;Y=120"}</definedName>
    <definedName name="_227__FDSAUDITLINK__" localSheetId="0" hidden="1">{"fdsup://directions/FAT Viewer?action=UPDATE&amp;creator=factSet&amp;DYN_ARGS=true&amp;DOC_NAME=FAT:RGA_ENTRPR_VAL_EV_SOURCE_WINDOW.FAT&amp;VAR:ID1=GLT-FR&amp;window=popup&amp;width=535&amp;height=425&amp;START_MAXIMIZED=FALSE&amp;Y=120"}</definedName>
    <definedName name="_227__FDSAUDITLINK__" localSheetId="6" hidden="1">{"fdsup://directions/FAT Viewer?action=UPDATE&amp;creator=factSet&amp;DYN_ARGS=true&amp;DOC_NAME=FAT:RGA_ENTRPR_VAL_EV_SOURCE_WINDOW.FAT&amp;VAR:ID1=GLT-FR&amp;window=popup&amp;width=535&amp;height=425&amp;START_MAXIMIZED=FALSE&amp;Y=120"}</definedName>
    <definedName name="_227__FDSAUDITLINK__" hidden="1">{"fdsup://directions/FAT Viewer?action=UPDATE&amp;creator=factSet&amp;DYN_ARGS=true&amp;DOC_NAME=FAT:RGA_ENTRPR_VAL_EV_SOURCE_WINDOW.FAT&amp;VAR:ID1=GLT-FR&amp;window=popup&amp;width=535&amp;height=425&amp;START_MAXIMIZED=FALSE&amp;Y=120"}</definedName>
    <definedName name="_228__FDSAUDITLINK__" localSheetId="0" hidden="1">{"fdsup://directions/FAT Viewer?action=UPDATE&amp;creator=factSet&amp;DYN_ARGS=true&amp;DOC_NAME=FAT:RGA_ENTRPR_VAL_EV_SOURCE_WINDOW.FAT&amp;VAR:ID1=GLT-FR&amp;window=popup&amp;width=535&amp;height=425&amp;START_MAXIMIZED=FALSE&amp;Y=120"}</definedName>
    <definedName name="_228__FDSAUDITLINK__" localSheetId="6" hidden="1">{"fdsup://directions/FAT Viewer?action=UPDATE&amp;creator=factSet&amp;DYN_ARGS=true&amp;DOC_NAME=FAT:RGA_ENTRPR_VAL_EV_SOURCE_WINDOW.FAT&amp;VAR:ID1=GLT-FR&amp;window=popup&amp;width=535&amp;height=425&amp;START_MAXIMIZED=FALSE&amp;Y=120"}</definedName>
    <definedName name="_228__FDSAUDITLINK__" hidden="1">{"fdsup://directions/FAT Viewer?action=UPDATE&amp;creator=factSet&amp;DYN_ARGS=true&amp;DOC_NAME=FAT:RGA_ENTRPR_VAL_EV_SOURCE_WINDOW.FAT&amp;VAR:ID1=GLT-FR&amp;window=popup&amp;width=535&amp;height=425&amp;START_MAXIMIZED=FALSE&amp;Y=120"}</definedName>
    <definedName name="_229__FDSAUDITLINK__" localSheetId="0" hidden="1">{"fdsup://directions/FAT Viewer?action=UPDATE&amp;creator=factSet&amp;DYN_ARGS=true&amp;DOC_NAME=FAT:RGA_ENTRPR_VAL_EV_SOURCE_WINDOW.FAT&amp;VAR:ID1=GLT-FR&amp;window=popup&amp;width=535&amp;height=425&amp;START_MAXIMIZED=FALSE&amp;Y=120"}</definedName>
    <definedName name="_229__FDSAUDITLINK__" localSheetId="6" hidden="1">{"fdsup://directions/FAT Viewer?action=UPDATE&amp;creator=factSet&amp;DYN_ARGS=true&amp;DOC_NAME=FAT:RGA_ENTRPR_VAL_EV_SOURCE_WINDOW.FAT&amp;VAR:ID1=GLT-FR&amp;window=popup&amp;width=535&amp;height=425&amp;START_MAXIMIZED=FALSE&amp;Y=120"}</definedName>
    <definedName name="_229__FDSAUDITLINK__" hidden="1">{"fdsup://directions/FAT Viewer?action=UPDATE&amp;creator=factSet&amp;DYN_ARGS=true&amp;DOC_NAME=FAT:RGA_ENTRPR_VAL_EV_SOURCE_WINDOW.FAT&amp;VAR:ID1=GLT-FR&amp;window=popup&amp;width=535&amp;height=425&amp;START_MAXIMIZED=FALSE&amp;Y=120"}</definedName>
    <definedName name="_23__123Graph_ACHART_34" hidden="1">#REF!</definedName>
    <definedName name="_23__123Graph_BIND9596" hidden="1">#REF!</definedName>
    <definedName name="_23__123Graph_BINDX95" hidden="1">#REF!</definedName>
    <definedName name="_23__123Graph_C_Chart_1A" hidden="1">#REF!</definedName>
    <definedName name="_23__123Graph_CCHART_32" hidden="1">#REF!</definedName>
    <definedName name="_23__123Graph_DCHART_5" hidden="1">#REF!</definedName>
    <definedName name="_23__123Graph_ECHART_16" hidden="1">#REF!</definedName>
    <definedName name="_23__123Graph_LBL_ACHART_3" hidden="1">#REF!</definedName>
    <definedName name="_23__123Graph_LBL_ACHART_7" hidden="1">#REF!</definedName>
    <definedName name="_23__123Graph_LBL_DCHART_2" hidden="1">#REF!</definedName>
    <definedName name="_23__FDSAUDITLINK__" localSheetId="0" hidden="1">{"fdsup://directions/FAT Viewer?action=UPDATE&amp;creator=factSet&amp;DYN_ARGS=true&amp;DOC_NAME=FAT:RGA_ENTRPR_VAL_EV_SOURCE_WINDOW.FAT&amp;VAR:ID1=&amp;window=popup&amp;width=535&amp;height=425&amp;START_MAXIMIZED=FALSE&amp;Y=120"}</definedName>
    <definedName name="_23__FDSAUDITLINK__" localSheetId="6" hidden="1">{"fdsup://directions/FAT Viewer?action=UPDATE&amp;creator=factSet&amp;DYN_ARGS=true&amp;DOC_NAME=FAT:RGA_ENTRPR_VAL_EV_SOURCE_WINDOW.FAT&amp;VAR:ID1=&amp;window=popup&amp;width=535&amp;height=425&amp;START_MAXIMIZED=FALSE&amp;Y=120"}</definedName>
    <definedName name="_23__FDSAUDITLINK__" hidden="1">{"fdsup://directions/FAT Viewer?action=UPDATE&amp;creator=factSet&amp;DYN_ARGS=true&amp;DOC_NAME=FAT:RGA_ENTRPR_VAL_EV_SOURCE_WINDOW.FAT&amp;VAR:ID1=&amp;window=popup&amp;width=535&amp;height=425&amp;START_MAXIMIZED=FALSE&amp;Y=120"}</definedName>
    <definedName name="_23_0__123Graph_BCHAR" hidden="1">#REF!</definedName>
    <definedName name="_230__FDSAUDITLINK__" localSheetId="0" hidden="1">{"fdsup://directions/FAT Viewer?action=UPDATE&amp;creator=factSet&amp;DYN_ARGS=true&amp;DOC_NAME=FAT:RGA_ENTRPR_VAL_EV_SOURCE_WINDOW.FAT&amp;VAR:ID1=GLT-FR&amp;window=popup&amp;width=535&amp;height=425&amp;START_MAXIMIZED=FALSE&amp;Y=120"}</definedName>
    <definedName name="_230__FDSAUDITLINK__" localSheetId="6" hidden="1">{"fdsup://directions/FAT Viewer?action=UPDATE&amp;creator=factSet&amp;DYN_ARGS=true&amp;DOC_NAME=FAT:RGA_ENTRPR_VAL_EV_SOURCE_WINDOW.FAT&amp;VAR:ID1=GLT-FR&amp;window=popup&amp;width=535&amp;height=425&amp;START_MAXIMIZED=FALSE&amp;Y=120"}</definedName>
    <definedName name="_230__FDSAUDITLINK__" hidden="1">{"fdsup://directions/FAT Viewer?action=UPDATE&amp;creator=factSet&amp;DYN_ARGS=true&amp;DOC_NAME=FAT:RGA_ENTRPR_VAL_EV_SOURCE_WINDOW.FAT&amp;VAR:ID1=GLT-FR&amp;window=popup&amp;width=535&amp;height=425&amp;START_MAXIMIZED=FALSE&amp;Y=120"}</definedName>
    <definedName name="_231__FDSAUDITLINK__" localSheetId="0" hidden="1">{"fdsup://directions/FAT Viewer?action=UPDATE&amp;creator=factSet&amp;DYN_ARGS=true&amp;DOC_NAME=FAT:RGA_ENTRPR_VAL_EV_SOURCE_WINDOW.FAT&amp;VAR:ID1=GLT-FR&amp;window=popup&amp;width=535&amp;height=425&amp;START_MAXIMIZED=FALSE&amp;Y=120"}</definedName>
    <definedName name="_231__FDSAUDITLINK__" localSheetId="6" hidden="1">{"fdsup://directions/FAT Viewer?action=UPDATE&amp;creator=factSet&amp;DYN_ARGS=true&amp;DOC_NAME=FAT:RGA_ENTRPR_VAL_EV_SOURCE_WINDOW.FAT&amp;VAR:ID1=GLT-FR&amp;window=popup&amp;width=535&amp;height=425&amp;START_MAXIMIZED=FALSE&amp;Y=120"}</definedName>
    <definedName name="_231__FDSAUDITLINK__" hidden="1">{"fdsup://directions/FAT Viewer?action=UPDATE&amp;creator=factSet&amp;DYN_ARGS=true&amp;DOC_NAME=FAT:RGA_ENTRPR_VAL_EV_SOURCE_WINDOW.FAT&amp;VAR:ID1=GLT-FR&amp;window=popup&amp;width=535&amp;height=425&amp;START_MAXIMIZED=FALSE&amp;Y=120"}</definedName>
    <definedName name="_232__FDSAUDITLINK__" localSheetId="0" hidden="1">{"fdsup://directions/FAT Viewer?action=UPDATE&amp;creator=factSet&amp;DYN_ARGS=true&amp;DOC_NAME=FAT:RGA_ENTRPR_VAL_EV_SOURCE_WINDOW.FAT&amp;VAR:ID1=GLT-FR&amp;window=popup&amp;width=535&amp;height=425&amp;START_MAXIMIZED=FALSE&amp;Y=120"}</definedName>
    <definedName name="_232__FDSAUDITLINK__" localSheetId="6" hidden="1">{"fdsup://directions/FAT Viewer?action=UPDATE&amp;creator=factSet&amp;DYN_ARGS=true&amp;DOC_NAME=FAT:RGA_ENTRPR_VAL_EV_SOURCE_WINDOW.FAT&amp;VAR:ID1=GLT-FR&amp;window=popup&amp;width=535&amp;height=425&amp;START_MAXIMIZED=FALSE&amp;Y=120"}</definedName>
    <definedName name="_232__FDSAUDITLINK__" hidden="1">{"fdsup://directions/FAT Viewer?action=UPDATE&amp;creator=factSet&amp;DYN_ARGS=true&amp;DOC_NAME=FAT:RGA_ENTRPR_VAL_EV_SOURCE_WINDOW.FAT&amp;VAR:ID1=GLT-FR&amp;window=popup&amp;width=535&amp;height=425&amp;START_MAXIMIZED=FALSE&amp;Y=120"}</definedName>
    <definedName name="_233__FDSAUDITLINK__" localSheetId="0" hidden="1">{"fdsup://directions/FAT Viewer?action=UPDATE&amp;creator=factSet&amp;DYN_ARGS=true&amp;DOC_NAME=FAT:RGA_ENTRPR_VAL_EV_SOURCE_WINDOW.FAT&amp;VAR:ID1=GLT-FR&amp;window=popup&amp;width=535&amp;height=425&amp;START_MAXIMIZED=FALSE&amp;Y=120"}</definedName>
    <definedName name="_233__FDSAUDITLINK__" localSheetId="6" hidden="1">{"fdsup://directions/FAT Viewer?action=UPDATE&amp;creator=factSet&amp;DYN_ARGS=true&amp;DOC_NAME=FAT:RGA_ENTRPR_VAL_EV_SOURCE_WINDOW.FAT&amp;VAR:ID1=GLT-FR&amp;window=popup&amp;width=535&amp;height=425&amp;START_MAXIMIZED=FALSE&amp;Y=120"}</definedName>
    <definedName name="_233__FDSAUDITLINK__" hidden="1">{"fdsup://directions/FAT Viewer?action=UPDATE&amp;creator=factSet&amp;DYN_ARGS=true&amp;DOC_NAME=FAT:RGA_ENTRPR_VAL_EV_SOURCE_WINDOW.FAT&amp;VAR:ID1=GLT-FR&amp;window=popup&amp;width=535&amp;height=425&amp;START_MAXIMIZED=FALSE&amp;Y=120"}</definedName>
    <definedName name="_234__FDSAUDITLINK__" localSheetId="0" hidden="1">{"fdsup://directions/FAT Viewer?action=UPDATE&amp;creator=factSet&amp;DYN_ARGS=true&amp;DOC_NAME=FAT:RGA_ENTRPR_VAL_EV_SOURCE_WINDOW.FAT&amp;VAR:ID1=GLT-FR&amp;window=popup&amp;width=535&amp;height=425&amp;START_MAXIMIZED=FALSE&amp;Y=120"}</definedName>
    <definedName name="_234__FDSAUDITLINK__" localSheetId="6" hidden="1">{"fdsup://directions/FAT Viewer?action=UPDATE&amp;creator=factSet&amp;DYN_ARGS=true&amp;DOC_NAME=FAT:RGA_ENTRPR_VAL_EV_SOURCE_WINDOW.FAT&amp;VAR:ID1=GLT-FR&amp;window=popup&amp;width=535&amp;height=425&amp;START_MAXIMIZED=FALSE&amp;Y=120"}</definedName>
    <definedName name="_234__FDSAUDITLINK__" hidden="1">{"fdsup://directions/FAT Viewer?action=UPDATE&amp;creator=factSet&amp;DYN_ARGS=true&amp;DOC_NAME=FAT:RGA_ENTRPR_VAL_EV_SOURCE_WINDOW.FAT&amp;VAR:ID1=GLT-FR&amp;window=popup&amp;width=535&amp;height=425&amp;START_MAXIMIZED=FALSE&amp;Y=120"}</definedName>
    <definedName name="_235__FDSAUDITLINK__" localSheetId="0" hidden="1">{"fdsup://directions/FAT Viewer?action=UPDATE&amp;creator=factSet&amp;DYN_ARGS=true&amp;DOC_NAME=FAT:RGA_ENTRPR_VAL_EV_SOURCE_WINDOW.FAT&amp;VAR:ID1=GLT-FR&amp;window=popup&amp;width=535&amp;height=425&amp;START_MAXIMIZED=FALSE&amp;Y=120"}</definedName>
    <definedName name="_235__FDSAUDITLINK__" localSheetId="6" hidden="1">{"fdsup://directions/FAT Viewer?action=UPDATE&amp;creator=factSet&amp;DYN_ARGS=true&amp;DOC_NAME=FAT:RGA_ENTRPR_VAL_EV_SOURCE_WINDOW.FAT&amp;VAR:ID1=GLT-FR&amp;window=popup&amp;width=535&amp;height=425&amp;START_MAXIMIZED=FALSE&amp;Y=120"}</definedName>
    <definedName name="_235__FDSAUDITLINK__" hidden="1">{"fdsup://directions/FAT Viewer?action=UPDATE&amp;creator=factSet&amp;DYN_ARGS=true&amp;DOC_NAME=FAT:RGA_ENTRPR_VAL_EV_SOURCE_WINDOW.FAT&amp;VAR:ID1=GLT-FR&amp;window=popup&amp;width=535&amp;height=425&amp;START_MAXIMIZED=FALSE&amp;Y=120"}</definedName>
    <definedName name="_236__FDSAUDITLINK__" localSheetId="0" hidden="1">{"fdsup://directions/FAT Viewer?action=UPDATE&amp;creator=factSet&amp;DYN_ARGS=true&amp;DOC_NAME=FAT:RGA_ENTRPR_VAL_EV_SOURCE_WINDOW.FAT&amp;VAR:ID1=GLT-FR&amp;window=popup&amp;width=535&amp;height=425&amp;START_MAXIMIZED=FALSE&amp;Y=120"}</definedName>
    <definedName name="_236__FDSAUDITLINK__" localSheetId="6" hidden="1">{"fdsup://directions/FAT Viewer?action=UPDATE&amp;creator=factSet&amp;DYN_ARGS=true&amp;DOC_NAME=FAT:RGA_ENTRPR_VAL_EV_SOURCE_WINDOW.FAT&amp;VAR:ID1=GLT-FR&amp;window=popup&amp;width=535&amp;height=425&amp;START_MAXIMIZED=FALSE&amp;Y=120"}</definedName>
    <definedName name="_236__FDSAUDITLINK__" hidden="1">{"fdsup://directions/FAT Viewer?action=UPDATE&amp;creator=factSet&amp;DYN_ARGS=true&amp;DOC_NAME=FAT:RGA_ENTRPR_VAL_EV_SOURCE_WINDOW.FAT&amp;VAR:ID1=GLT-FR&amp;window=popup&amp;width=535&amp;height=425&amp;START_MAXIMIZED=FALSE&amp;Y=120"}</definedName>
    <definedName name="_237__FDSAUDITLINK__" localSheetId="0" hidden="1">{"fdsup://directions/FAT Viewer?action=UPDATE&amp;creator=factSet&amp;DYN_ARGS=true&amp;DOC_NAME=FAT:RGA_ENTRPR_VAL_EV_SOURCE_WINDOW.FAT&amp;VAR:ID1=GLT-FR&amp;window=popup&amp;width=535&amp;height=425&amp;START_MAXIMIZED=FALSE&amp;Y=120"}</definedName>
    <definedName name="_237__FDSAUDITLINK__" localSheetId="6" hidden="1">{"fdsup://directions/FAT Viewer?action=UPDATE&amp;creator=factSet&amp;DYN_ARGS=true&amp;DOC_NAME=FAT:RGA_ENTRPR_VAL_EV_SOURCE_WINDOW.FAT&amp;VAR:ID1=GLT-FR&amp;window=popup&amp;width=535&amp;height=425&amp;START_MAXIMIZED=FALSE&amp;Y=120"}</definedName>
    <definedName name="_237__FDSAUDITLINK__" hidden="1">{"fdsup://directions/FAT Viewer?action=UPDATE&amp;creator=factSet&amp;DYN_ARGS=true&amp;DOC_NAME=FAT:RGA_ENTRPR_VAL_EV_SOURCE_WINDOW.FAT&amp;VAR:ID1=GLT-FR&amp;window=popup&amp;width=535&amp;height=425&amp;START_MAXIMIZED=FALSE&amp;Y=120"}</definedName>
    <definedName name="_238__FDSAUDITLINK__" localSheetId="0" hidden="1">{"fdsup://directions/FAT Viewer?action=UPDATE&amp;creator=factSet&amp;DYN_ARGS=true&amp;DOC_NAME=FAT:RGA_ENTRPR_VAL_EV_SOURCE_WINDOW.FAT&amp;VAR:ID1=GLT-FR&amp;window=popup&amp;width=535&amp;height=425&amp;START_MAXIMIZED=FALSE&amp;Y=120"}</definedName>
    <definedName name="_238__FDSAUDITLINK__" localSheetId="6" hidden="1">{"fdsup://directions/FAT Viewer?action=UPDATE&amp;creator=factSet&amp;DYN_ARGS=true&amp;DOC_NAME=FAT:RGA_ENTRPR_VAL_EV_SOURCE_WINDOW.FAT&amp;VAR:ID1=GLT-FR&amp;window=popup&amp;width=535&amp;height=425&amp;START_MAXIMIZED=FALSE&amp;Y=120"}</definedName>
    <definedName name="_238__FDSAUDITLINK__" hidden="1">{"fdsup://directions/FAT Viewer?action=UPDATE&amp;creator=factSet&amp;DYN_ARGS=true&amp;DOC_NAME=FAT:RGA_ENTRPR_VAL_EV_SOURCE_WINDOW.FAT&amp;VAR:ID1=GLT-FR&amp;window=popup&amp;width=535&amp;height=425&amp;START_MAXIMIZED=FALSE&amp;Y=120"}</definedName>
    <definedName name="_239__123Graph_DCHART_16" hidden="1">#REF!</definedName>
    <definedName name="_239__FDSAUDITLINK__" localSheetId="0" hidden="1">{"fdsup://directions/FAT Viewer?action=UPDATE&amp;creator=factSet&amp;DYN_ARGS=true&amp;DOC_NAME=FAT:RGA_ENTRPR_VAL_EV_SOURCE_WINDOW.FAT&amp;VAR:ID1=GLT-FR&amp;window=popup&amp;width=535&amp;height=425&amp;START_MAXIMIZED=FALSE&amp;Y=120"}</definedName>
    <definedName name="_239__FDSAUDITLINK__" localSheetId="6" hidden="1">{"fdsup://directions/FAT Viewer?action=UPDATE&amp;creator=factSet&amp;DYN_ARGS=true&amp;DOC_NAME=FAT:RGA_ENTRPR_VAL_EV_SOURCE_WINDOW.FAT&amp;VAR:ID1=GLT-FR&amp;window=popup&amp;width=535&amp;height=425&amp;START_MAXIMIZED=FALSE&amp;Y=120"}</definedName>
    <definedName name="_239__FDSAUDITLINK__" hidden="1">{"fdsup://directions/FAT Viewer?action=UPDATE&amp;creator=factSet&amp;DYN_ARGS=true&amp;DOC_NAME=FAT:RGA_ENTRPR_VAL_EV_SOURCE_WINDOW.FAT&amp;VAR:ID1=GLT-FR&amp;window=popup&amp;width=535&amp;height=425&amp;START_MAXIMIZED=FALSE&amp;Y=120"}</definedName>
    <definedName name="_24___0__123Grap" hidden="1">#REF!</definedName>
    <definedName name="_24__123Graph_ACHART_4" hidden="1">#REF!</definedName>
    <definedName name="_24__123Graph_BCHART_22" hidden="1">#REF!</definedName>
    <definedName name="_24__123Graph_BINDX9196" hidden="1">#REF!</definedName>
    <definedName name="_24__123Graph_BINDX96" hidden="1">#REF!</definedName>
    <definedName name="_24__123Graph_BPE_Y" hidden="1">#REF!</definedName>
    <definedName name="_24__123Graph_CCHART_33" hidden="1">#REF!</definedName>
    <definedName name="_24__123Graph_D_Chart_1A" hidden="1">#REF!</definedName>
    <definedName name="_24__123Graph_DCHART_3" hidden="1">#REF!</definedName>
    <definedName name="_24__123Graph_ECHART_17" hidden="1">#REF!</definedName>
    <definedName name="_24__123Graph_ECHART_2" hidden="1">#REF!</definedName>
    <definedName name="_24__123Graph_LBL_BMKT_YTD" hidden="1">#REF!</definedName>
    <definedName name="_24__123Graph_XCHART_1" hidden="1">#REF!</definedName>
    <definedName name="_24__123Graph_XCHART_10" hidden="1">#REF!</definedName>
    <definedName name="_24__123Graph_XCHART_2" hidden="1">#REF!</definedName>
    <definedName name="_24__FDSAUDITLINK__" localSheetId="0" hidden="1">{"fdsup://directions/FAT Viewer?action=UPDATE&amp;creator=factSet&amp;DYN_ARGS=true&amp;DOC_NAME=FAT:RGA_ENTRPR_VAL_EV_SOURCE_WINDOW.FAT&amp;VAR:ID1=&amp;window=popup&amp;width=535&amp;height=425&amp;START_MAXIMIZED=FALSE&amp;Y=120"}</definedName>
    <definedName name="_24__FDSAUDITLINK__" localSheetId="6" hidden="1">{"fdsup://directions/FAT Viewer?action=UPDATE&amp;creator=factSet&amp;DYN_ARGS=true&amp;DOC_NAME=FAT:RGA_ENTRPR_VAL_EV_SOURCE_WINDOW.FAT&amp;VAR:ID1=&amp;window=popup&amp;width=535&amp;height=425&amp;START_MAXIMIZED=FALSE&amp;Y=120"}</definedName>
    <definedName name="_24__FDSAUDITLINK__" hidden="1">{"fdsup://directions/FAT Viewer?action=UPDATE&amp;creator=factSet&amp;DYN_ARGS=true&amp;DOC_NAME=FAT:RGA_ENTRPR_VAL_EV_SOURCE_WINDOW.FAT&amp;VAR:ID1=&amp;window=popup&amp;width=535&amp;height=425&amp;START_MAXIMIZED=FALSE&amp;Y=120"}</definedName>
    <definedName name="_24_0__123Graph_BCHAR" hidden="1">#REF!</definedName>
    <definedName name="_240__FDSAUDITLINK__" localSheetId="0" hidden="1">{"fdsup://directions/FAT Viewer?action=UPDATE&amp;creator=factSet&amp;DYN_ARGS=true&amp;DOC_NAME=FAT:RGA_ENTRPR_VAL_EV_SOURCE_WINDOW.FAT&amp;VAR:ID1=GLT-FR&amp;window=popup&amp;width=535&amp;height=425&amp;START_MAXIMIZED=FALSE&amp;Y=120"}</definedName>
    <definedName name="_240__FDSAUDITLINK__" localSheetId="6" hidden="1">{"fdsup://directions/FAT Viewer?action=UPDATE&amp;creator=factSet&amp;DYN_ARGS=true&amp;DOC_NAME=FAT:RGA_ENTRPR_VAL_EV_SOURCE_WINDOW.FAT&amp;VAR:ID1=GLT-FR&amp;window=popup&amp;width=535&amp;height=425&amp;START_MAXIMIZED=FALSE&amp;Y=120"}</definedName>
    <definedName name="_240__FDSAUDITLINK__" hidden="1">{"fdsup://directions/FAT Viewer?action=UPDATE&amp;creator=factSet&amp;DYN_ARGS=true&amp;DOC_NAME=FAT:RGA_ENTRPR_VAL_EV_SOURCE_WINDOW.FAT&amp;VAR:ID1=GLT-FR&amp;window=popup&amp;width=535&amp;height=425&amp;START_MAXIMIZED=FALSE&amp;Y=120"}</definedName>
    <definedName name="_241__FDSAUDITLINK__" localSheetId="0" hidden="1">{"fdsup://directions/FAT Viewer?action=UPDATE&amp;creator=factSet&amp;DYN_ARGS=true&amp;DOC_NAME=FAT:RGA_ENTRPR_VAL_EV_SOURCE_WINDOW.FAT&amp;VAR:ID1=GLT-FR&amp;window=popup&amp;width=535&amp;height=425&amp;START_MAXIMIZED=FALSE&amp;Y=120"}</definedName>
    <definedName name="_241__FDSAUDITLINK__" localSheetId="6" hidden="1">{"fdsup://directions/FAT Viewer?action=UPDATE&amp;creator=factSet&amp;DYN_ARGS=true&amp;DOC_NAME=FAT:RGA_ENTRPR_VAL_EV_SOURCE_WINDOW.FAT&amp;VAR:ID1=GLT-FR&amp;window=popup&amp;width=535&amp;height=425&amp;START_MAXIMIZED=FALSE&amp;Y=120"}</definedName>
    <definedName name="_241__FDSAUDITLINK__" hidden="1">{"fdsup://directions/FAT Viewer?action=UPDATE&amp;creator=factSet&amp;DYN_ARGS=true&amp;DOC_NAME=FAT:RGA_ENTRPR_VAL_EV_SOURCE_WINDOW.FAT&amp;VAR:ID1=GLT-FR&amp;window=popup&amp;width=535&amp;height=425&amp;START_MAXIMIZED=FALSE&amp;Y=120"}</definedName>
    <definedName name="_242__FDSAUDITLINK__" localSheetId="0" hidden="1">{"fdsup://directions/FAT Viewer?action=UPDATE&amp;creator=factSet&amp;DYN_ARGS=true&amp;DOC_NAME=FAT:RGA_ENTRPR_VAL_EV_SOURCE_WINDOW.FAT&amp;VAR:ID1=GLT-FR&amp;window=popup&amp;width=535&amp;height=425&amp;START_MAXIMIZED=FALSE&amp;Y=120"}</definedName>
    <definedName name="_242__FDSAUDITLINK__" localSheetId="6" hidden="1">{"fdsup://directions/FAT Viewer?action=UPDATE&amp;creator=factSet&amp;DYN_ARGS=true&amp;DOC_NAME=FAT:RGA_ENTRPR_VAL_EV_SOURCE_WINDOW.FAT&amp;VAR:ID1=GLT-FR&amp;window=popup&amp;width=535&amp;height=425&amp;START_MAXIMIZED=FALSE&amp;Y=120"}</definedName>
    <definedName name="_242__FDSAUDITLINK__" hidden="1">{"fdsup://directions/FAT Viewer?action=UPDATE&amp;creator=factSet&amp;DYN_ARGS=true&amp;DOC_NAME=FAT:RGA_ENTRPR_VAL_EV_SOURCE_WINDOW.FAT&amp;VAR:ID1=GLT-FR&amp;window=popup&amp;width=535&amp;height=425&amp;START_MAXIMIZED=FALSE&amp;Y=120"}</definedName>
    <definedName name="_243__FDSAUDITLINK__" localSheetId="0" hidden="1">{"fdsup://directions/FAT Viewer?action=UPDATE&amp;creator=factSet&amp;DYN_ARGS=true&amp;DOC_NAME=FAT:RGA_ENTRPR_VAL_EV_SOURCE_WINDOW.FAT&amp;VAR:ID1=GLT-FR&amp;window=popup&amp;width=535&amp;height=425&amp;START_MAXIMIZED=FALSE&amp;Y=120"}</definedName>
    <definedName name="_243__FDSAUDITLINK__" localSheetId="6" hidden="1">{"fdsup://directions/FAT Viewer?action=UPDATE&amp;creator=factSet&amp;DYN_ARGS=true&amp;DOC_NAME=FAT:RGA_ENTRPR_VAL_EV_SOURCE_WINDOW.FAT&amp;VAR:ID1=GLT-FR&amp;window=popup&amp;width=535&amp;height=425&amp;START_MAXIMIZED=FALSE&amp;Y=120"}</definedName>
    <definedName name="_243__FDSAUDITLINK__" hidden="1">{"fdsup://directions/FAT Viewer?action=UPDATE&amp;creator=factSet&amp;DYN_ARGS=true&amp;DOC_NAME=FAT:RGA_ENTRPR_VAL_EV_SOURCE_WINDOW.FAT&amp;VAR:ID1=GLT-FR&amp;window=popup&amp;width=535&amp;height=425&amp;START_MAXIMIZED=FALSE&amp;Y=120"}</definedName>
    <definedName name="_244__FDSAUDITLINK__" localSheetId="0" hidden="1">{"fdsup://directions/FAT Viewer?action=UPDATE&amp;creator=factSet&amp;DYN_ARGS=true&amp;DOC_NAME=FAT:RGA_ENTRPR_VAL_EV_SOURCE_WINDOW.FAT&amp;VAR:ID1=GLT-FR&amp;window=popup&amp;width=535&amp;height=425&amp;START_MAXIMIZED=FALSE&amp;Y=120"}</definedName>
    <definedName name="_244__FDSAUDITLINK__" localSheetId="6" hidden="1">{"fdsup://directions/FAT Viewer?action=UPDATE&amp;creator=factSet&amp;DYN_ARGS=true&amp;DOC_NAME=FAT:RGA_ENTRPR_VAL_EV_SOURCE_WINDOW.FAT&amp;VAR:ID1=GLT-FR&amp;window=popup&amp;width=535&amp;height=425&amp;START_MAXIMIZED=FALSE&amp;Y=120"}</definedName>
    <definedName name="_244__FDSAUDITLINK__" hidden="1">{"fdsup://directions/FAT Viewer?action=UPDATE&amp;creator=factSet&amp;DYN_ARGS=true&amp;DOC_NAME=FAT:RGA_ENTRPR_VAL_EV_SOURCE_WINDOW.FAT&amp;VAR:ID1=GLT-FR&amp;window=popup&amp;width=535&amp;height=425&amp;START_MAXIMIZED=FALSE&amp;Y=120"}</definedName>
    <definedName name="_245__FDSAUDITLINK__" localSheetId="0" hidden="1">{"fdsup://directions/FAT Viewer?action=UPDATE&amp;creator=factSet&amp;DYN_ARGS=true&amp;DOC_NAME=FAT:RGA_ENTRPR_VAL_EV_SOURCE_WINDOW.FAT&amp;VAR:ID1=GLT-FR&amp;window=popup&amp;width=535&amp;height=425&amp;START_MAXIMIZED=FALSE&amp;Y=120"}</definedName>
    <definedName name="_245__FDSAUDITLINK__" localSheetId="6" hidden="1">{"fdsup://directions/FAT Viewer?action=UPDATE&amp;creator=factSet&amp;DYN_ARGS=true&amp;DOC_NAME=FAT:RGA_ENTRPR_VAL_EV_SOURCE_WINDOW.FAT&amp;VAR:ID1=GLT-FR&amp;window=popup&amp;width=535&amp;height=425&amp;START_MAXIMIZED=FALSE&amp;Y=120"}</definedName>
    <definedName name="_245__FDSAUDITLINK__" hidden="1">{"fdsup://directions/FAT Viewer?action=UPDATE&amp;creator=factSet&amp;DYN_ARGS=true&amp;DOC_NAME=FAT:RGA_ENTRPR_VAL_EV_SOURCE_WINDOW.FAT&amp;VAR:ID1=GLT-FR&amp;window=popup&amp;width=535&amp;height=425&amp;START_MAXIMIZED=FALSE&amp;Y=120"}</definedName>
    <definedName name="_246__FDSAUDITLINK__" localSheetId="0" hidden="1">{"fdsup://directions/FAT Viewer?action=UPDATE&amp;creator=factSet&amp;DYN_ARGS=true&amp;DOC_NAME=FAT:RGA_ENTRPR_VAL_EV_SOURCE_WINDOW.FAT&amp;VAR:ID1=GLT-FR&amp;window=popup&amp;width=535&amp;height=425&amp;START_MAXIMIZED=FALSE&amp;Y=120"}</definedName>
    <definedName name="_246__FDSAUDITLINK__" localSheetId="6" hidden="1">{"fdsup://directions/FAT Viewer?action=UPDATE&amp;creator=factSet&amp;DYN_ARGS=true&amp;DOC_NAME=FAT:RGA_ENTRPR_VAL_EV_SOURCE_WINDOW.FAT&amp;VAR:ID1=GLT-FR&amp;window=popup&amp;width=535&amp;height=425&amp;START_MAXIMIZED=FALSE&amp;Y=120"}</definedName>
    <definedName name="_246__FDSAUDITLINK__" hidden="1">{"fdsup://directions/FAT Viewer?action=UPDATE&amp;creator=factSet&amp;DYN_ARGS=true&amp;DOC_NAME=FAT:RGA_ENTRPR_VAL_EV_SOURCE_WINDOW.FAT&amp;VAR:ID1=GLT-FR&amp;window=popup&amp;width=535&amp;height=425&amp;START_MAXIMIZED=FALSE&amp;Y=120"}</definedName>
    <definedName name="_247__FDSAUDITLINK__" localSheetId="0" hidden="1">{"fdsup://directions/FAT Viewer?action=UPDATE&amp;creator=factSet&amp;DYN_ARGS=true&amp;DOC_NAME=FAT:RGA_ENTRPR_VAL_EV_SOURCE_WINDOW.FAT&amp;VAR:ID1=GLT-FR&amp;window=popup&amp;width=535&amp;height=425&amp;START_MAXIMIZED=FALSE&amp;Y=120"}</definedName>
    <definedName name="_247__FDSAUDITLINK__" localSheetId="6" hidden="1">{"fdsup://directions/FAT Viewer?action=UPDATE&amp;creator=factSet&amp;DYN_ARGS=true&amp;DOC_NAME=FAT:RGA_ENTRPR_VAL_EV_SOURCE_WINDOW.FAT&amp;VAR:ID1=GLT-FR&amp;window=popup&amp;width=535&amp;height=425&amp;START_MAXIMIZED=FALSE&amp;Y=120"}</definedName>
    <definedName name="_247__FDSAUDITLINK__" hidden="1">{"fdsup://directions/FAT Viewer?action=UPDATE&amp;creator=factSet&amp;DYN_ARGS=true&amp;DOC_NAME=FAT:RGA_ENTRPR_VAL_EV_SOURCE_WINDOW.FAT&amp;VAR:ID1=GLT-FR&amp;window=popup&amp;width=535&amp;height=425&amp;START_MAXIMIZED=FALSE&amp;Y=120"}</definedName>
    <definedName name="_248__FDSAUDITLINK__" localSheetId="0" hidden="1">{"fdsup://directions/FAT Viewer?action=UPDATE&amp;creator=factSet&amp;DYN_ARGS=true&amp;DOC_NAME=FAT:RGA_ENTRPR_VAL_EV_SOURCE_WINDOW.FAT&amp;VAR:ID1=GLT-FR&amp;window=popup&amp;width=535&amp;height=425&amp;START_MAXIMIZED=FALSE&amp;Y=120"}</definedName>
    <definedName name="_248__FDSAUDITLINK__" localSheetId="6" hidden="1">{"fdsup://directions/FAT Viewer?action=UPDATE&amp;creator=factSet&amp;DYN_ARGS=true&amp;DOC_NAME=FAT:RGA_ENTRPR_VAL_EV_SOURCE_WINDOW.FAT&amp;VAR:ID1=GLT-FR&amp;window=popup&amp;width=535&amp;height=425&amp;START_MAXIMIZED=FALSE&amp;Y=120"}</definedName>
    <definedName name="_248__FDSAUDITLINK__" hidden="1">{"fdsup://directions/FAT Viewer?action=UPDATE&amp;creator=factSet&amp;DYN_ARGS=true&amp;DOC_NAME=FAT:RGA_ENTRPR_VAL_EV_SOURCE_WINDOW.FAT&amp;VAR:ID1=GLT-FR&amp;window=popup&amp;width=535&amp;height=425&amp;START_MAXIMIZED=FALSE&amp;Y=120"}</definedName>
    <definedName name="_249__FDSAUDITLINK__" localSheetId="0" hidden="1">{"fdsup://directions/FAT Viewer?action=UPDATE&amp;creator=factSet&amp;DYN_ARGS=true&amp;DOC_NAME=FAT:RGA_ENTRPR_VAL_EV_SOURCE_WINDOW.FAT&amp;VAR:ID1=GLT-FR&amp;window=popup&amp;width=535&amp;height=425&amp;START_MAXIMIZED=FALSE&amp;Y=120"}</definedName>
    <definedName name="_249__FDSAUDITLINK__" localSheetId="6" hidden="1">{"fdsup://directions/FAT Viewer?action=UPDATE&amp;creator=factSet&amp;DYN_ARGS=true&amp;DOC_NAME=FAT:RGA_ENTRPR_VAL_EV_SOURCE_WINDOW.FAT&amp;VAR:ID1=GLT-FR&amp;window=popup&amp;width=535&amp;height=425&amp;START_MAXIMIZED=FALSE&amp;Y=120"}</definedName>
    <definedName name="_249__FDSAUDITLINK__" hidden="1">{"fdsup://directions/FAT Viewer?action=UPDATE&amp;creator=factSet&amp;DYN_ARGS=true&amp;DOC_NAME=FAT:RGA_ENTRPR_VAL_EV_SOURCE_WINDOW.FAT&amp;VAR:ID1=GLT-FR&amp;window=popup&amp;width=535&amp;height=425&amp;START_MAXIMIZED=FALSE&amp;Y=120"}</definedName>
    <definedName name="_25___0__123Graph_A" hidden="1">#REF!</definedName>
    <definedName name="_25__123Graph_ACHART_12" hidden="1">#REF!</definedName>
    <definedName name="_25__123Graph_ACHART_18" hidden="1">#REF!</definedName>
    <definedName name="_25__123Graph_ACHART_5" hidden="1">#REF!</definedName>
    <definedName name="_25__123Graph_BCHART_15" hidden="1">#REF!</definedName>
    <definedName name="_25__123Graph_BINDX95" hidden="1">#REF!</definedName>
    <definedName name="_25__123Graph_BMKT_MONTH" hidden="1">#REF!</definedName>
    <definedName name="_25__123Graph_CCHART_34" hidden="1">#REF!</definedName>
    <definedName name="_25__123Graph_E_Chart_1A" hidden="1">#REF!</definedName>
    <definedName name="_25__123Graph_ECHART_22" hidden="1">#REF!</definedName>
    <definedName name="_25__123Graph_ECHART_28" hidden="1">#REF!</definedName>
    <definedName name="_25__123Graph_ECHART_3" hidden="1">#REF!</definedName>
    <definedName name="_25__123Graph_XCHART_11" hidden="1">#REF!</definedName>
    <definedName name="_25__FDSAUDITLINK__" localSheetId="0" hidden="1">{"fdsup://directions/FAT Viewer?action=UPDATE&amp;creator=factSet&amp;DYN_ARGS=true&amp;DOC_NAME=FAT:RGA_ENTRPR_VAL_EV_SOURCE_WINDOW.FAT&amp;VAR:ID1=LIN-FR&amp;window=popup&amp;width=535&amp;height=425&amp;START_MAXIMIZED=FALSE&amp;Y=120"}</definedName>
    <definedName name="_25__FDSAUDITLINK__" localSheetId="6" hidden="1">{"fdsup://directions/FAT Viewer?action=UPDATE&amp;creator=factSet&amp;DYN_ARGS=true&amp;DOC_NAME=FAT:RGA_ENTRPR_VAL_EV_SOURCE_WINDOW.FAT&amp;VAR:ID1=LIN-FR&amp;window=popup&amp;width=535&amp;height=425&amp;START_MAXIMIZED=FALSE&amp;Y=120"}</definedName>
    <definedName name="_25__FDSAUDITLINK__" hidden="1">{"fdsup://directions/FAT Viewer?action=UPDATE&amp;creator=factSet&amp;DYN_ARGS=true&amp;DOC_NAME=FAT:RGA_ENTRPR_VAL_EV_SOURCE_WINDOW.FAT&amp;VAR:ID1=LIN-FR&amp;window=popup&amp;width=535&amp;height=425&amp;START_MAXIMIZED=FALSE&amp;Y=120"}</definedName>
    <definedName name="_25_0__123Graph_CCHAR" hidden="1">#REF!</definedName>
    <definedName name="_250__FDSAUDITLINK__" localSheetId="0" hidden="1">{"fdsup://directions/FAT Viewer?action=UPDATE&amp;creator=factSet&amp;DYN_ARGS=true&amp;DOC_NAME=FAT:RGA_ENTRPR_VAL_EV_SOURCE_WINDOW.FAT&amp;VAR:ID1=GLT-FR&amp;window=popup&amp;width=535&amp;height=425&amp;START_MAXIMIZED=FALSE&amp;Y=120"}</definedName>
    <definedName name="_250__FDSAUDITLINK__" localSheetId="6" hidden="1">{"fdsup://directions/FAT Viewer?action=UPDATE&amp;creator=factSet&amp;DYN_ARGS=true&amp;DOC_NAME=FAT:RGA_ENTRPR_VAL_EV_SOURCE_WINDOW.FAT&amp;VAR:ID1=GLT-FR&amp;window=popup&amp;width=535&amp;height=425&amp;START_MAXIMIZED=FALSE&amp;Y=120"}</definedName>
    <definedName name="_250__FDSAUDITLINK__" hidden="1">{"fdsup://directions/FAT Viewer?action=UPDATE&amp;creator=factSet&amp;DYN_ARGS=true&amp;DOC_NAME=FAT:RGA_ENTRPR_VAL_EV_SOURCE_WINDOW.FAT&amp;VAR:ID1=GLT-FR&amp;window=popup&amp;width=535&amp;height=425&amp;START_MAXIMIZED=FALSE&amp;Y=120"}</definedName>
    <definedName name="_251__FDSAUDITLINK__" localSheetId="0" hidden="1">{"fdsup://directions/FAT Viewer?action=UPDATE&amp;creator=factSet&amp;DYN_ARGS=true&amp;DOC_NAME=FAT:RGA_ENTRPR_VAL_EV_SOURCE_WINDOW.FAT&amp;VAR:ID1=GLT-FR&amp;window=popup&amp;width=535&amp;height=425&amp;START_MAXIMIZED=FALSE&amp;Y=120"}</definedName>
    <definedName name="_251__FDSAUDITLINK__" localSheetId="6" hidden="1">{"fdsup://directions/FAT Viewer?action=UPDATE&amp;creator=factSet&amp;DYN_ARGS=true&amp;DOC_NAME=FAT:RGA_ENTRPR_VAL_EV_SOURCE_WINDOW.FAT&amp;VAR:ID1=GLT-FR&amp;window=popup&amp;width=535&amp;height=425&amp;START_MAXIMIZED=FALSE&amp;Y=120"}</definedName>
    <definedName name="_251__FDSAUDITLINK__" hidden="1">{"fdsup://directions/FAT Viewer?action=UPDATE&amp;creator=factSet&amp;DYN_ARGS=true&amp;DOC_NAME=FAT:RGA_ENTRPR_VAL_EV_SOURCE_WINDOW.FAT&amp;VAR:ID1=GLT-FR&amp;window=popup&amp;width=535&amp;height=425&amp;START_MAXIMIZED=FALSE&amp;Y=120"}</definedName>
    <definedName name="_252__123Graph_DCHART_17" hidden="1">#REF!</definedName>
    <definedName name="_252__FDSAUDITLINK__" localSheetId="0" hidden="1">{"fdsup://directions/FAT Viewer?action=UPDATE&amp;creator=factSet&amp;DYN_ARGS=true&amp;DOC_NAME=FAT:RGA_ENTRPR_VAL_EV_SOURCE_WINDOW.FAT&amp;VAR:ID1=GLT-FR&amp;window=popup&amp;width=535&amp;height=425&amp;START_MAXIMIZED=FALSE&amp;Y=120"}</definedName>
    <definedName name="_252__FDSAUDITLINK__" localSheetId="6" hidden="1">{"fdsup://directions/FAT Viewer?action=UPDATE&amp;creator=factSet&amp;DYN_ARGS=true&amp;DOC_NAME=FAT:RGA_ENTRPR_VAL_EV_SOURCE_WINDOW.FAT&amp;VAR:ID1=GLT-FR&amp;window=popup&amp;width=535&amp;height=425&amp;START_MAXIMIZED=FALSE&amp;Y=120"}</definedName>
    <definedName name="_252__FDSAUDITLINK__" hidden="1">{"fdsup://directions/FAT Viewer?action=UPDATE&amp;creator=factSet&amp;DYN_ARGS=true&amp;DOC_NAME=FAT:RGA_ENTRPR_VAL_EV_SOURCE_WINDOW.FAT&amp;VAR:ID1=GLT-FR&amp;window=popup&amp;width=535&amp;height=425&amp;START_MAXIMIZED=FALSE&amp;Y=120"}</definedName>
    <definedName name="_253__FDSAUDITLINK__" localSheetId="0" hidden="1">{"fdsup://directions/FAT Viewer?action=UPDATE&amp;creator=factSet&amp;DYN_ARGS=true&amp;DOC_NAME=FAT:RGA_ENTRPR_VAL_EV_SOURCE_WINDOW.FAT&amp;VAR:ID1=GLT-FR&amp;window=popup&amp;width=535&amp;height=425&amp;START_MAXIMIZED=FALSE&amp;Y=120"}</definedName>
    <definedName name="_253__FDSAUDITLINK__" localSheetId="6" hidden="1">{"fdsup://directions/FAT Viewer?action=UPDATE&amp;creator=factSet&amp;DYN_ARGS=true&amp;DOC_NAME=FAT:RGA_ENTRPR_VAL_EV_SOURCE_WINDOW.FAT&amp;VAR:ID1=GLT-FR&amp;window=popup&amp;width=535&amp;height=425&amp;START_MAXIMIZED=FALSE&amp;Y=120"}</definedName>
    <definedName name="_253__FDSAUDITLINK__" hidden="1">{"fdsup://directions/FAT Viewer?action=UPDATE&amp;creator=factSet&amp;DYN_ARGS=true&amp;DOC_NAME=FAT:RGA_ENTRPR_VAL_EV_SOURCE_WINDOW.FAT&amp;VAR:ID1=GLT-FR&amp;window=popup&amp;width=535&amp;height=425&amp;START_MAXIMIZED=FALSE&amp;Y=120"}</definedName>
    <definedName name="_254__FDSAUDITLINK__" localSheetId="0" hidden="1">{"fdsup://directions/FAT Viewer?action=UPDATE&amp;creator=factSet&amp;DYN_ARGS=true&amp;DOC_NAME=FAT:RGA_ENTRPR_VAL_EV_SOURCE_WINDOW.FAT&amp;VAR:ID1=GLT-FR&amp;window=popup&amp;width=535&amp;height=425&amp;START_MAXIMIZED=FALSE&amp;Y=120"}</definedName>
    <definedName name="_254__FDSAUDITLINK__" localSheetId="6" hidden="1">{"fdsup://directions/FAT Viewer?action=UPDATE&amp;creator=factSet&amp;DYN_ARGS=true&amp;DOC_NAME=FAT:RGA_ENTRPR_VAL_EV_SOURCE_WINDOW.FAT&amp;VAR:ID1=GLT-FR&amp;window=popup&amp;width=535&amp;height=425&amp;START_MAXIMIZED=FALSE&amp;Y=120"}</definedName>
    <definedName name="_254__FDSAUDITLINK__" hidden="1">{"fdsup://directions/FAT Viewer?action=UPDATE&amp;creator=factSet&amp;DYN_ARGS=true&amp;DOC_NAME=FAT:RGA_ENTRPR_VAL_EV_SOURCE_WINDOW.FAT&amp;VAR:ID1=GLT-FR&amp;window=popup&amp;width=535&amp;height=425&amp;START_MAXIMIZED=FALSE&amp;Y=120"}</definedName>
    <definedName name="_255__FDSAUDITLINK__" localSheetId="0" hidden="1">{"fdsup://directions/FAT Viewer?action=UPDATE&amp;creator=factSet&amp;DYN_ARGS=true&amp;DOC_NAME=FAT:RGA_ENTRPR_VAL_EV_SOURCE_WINDOW.FAT&amp;VAR:ID1=GLT-FR&amp;window=popup&amp;width=535&amp;height=425&amp;START_MAXIMIZED=FALSE&amp;Y=120"}</definedName>
    <definedName name="_255__FDSAUDITLINK__" localSheetId="6" hidden="1">{"fdsup://directions/FAT Viewer?action=UPDATE&amp;creator=factSet&amp;DYN_ARGS=true&amp;DOC_NAME=FAT:RGA_ENTRPR_VAL_EV_SOURCE_WINDOW.FAT&amp;VAR:ID1=GLT-FR&amp;window=popup&amp;width=535&amp;height=425&amp;START_MAXIMIZED=FALSE&amp;Y=120"}</definedName>
    <definedName name="_255__FDSAUDITLINK__" hidden="1">{"fdsup://directions/FAT Viewer?action=UPDATE&amp;creator=factSet&amp;DYN_ARGS=true&amp;DOC_NAME=FAT:RGA_ENTRPR_VAL_EV_SOURCE_WINDOW.FAT&amp;VAR:ID1=GLT-FR&amp;window=popup&amp;width=535&amp;height=425&amp;START_MAXIMIZED=FALSE&amp;Y=120"}</definedName>
    <definedName name="_256__FDSAUDITLINK__" localSheetId="0" hidden="1">{"fdsup://directions/FAT Viewer?action=UPDATE&amp;creator=factSet&amp;DYN_ARGS=true&amp;DOC_NAME=FAT:RGA_ENTRPR_VAL_EV_SOURCE_WINDOW.FAT&amp;VAR:ID1=GLT-FR&amp;window=popup&amp;width=535&amp;height=425&amp;START_MAXIMIZED=FALSE&amp;Y=120"}</definedName>
    <definedName name="_256__FDSAUDITLINK__" localSheetId="6" hidden="1">{"fdsup://directions/FAT Viewer?action=UPDATE&amp;creator=factSet&amp;DYN_ARGS=true&amp;DOC_NAME=FAT:RGA_ENTRPR_VAL_EV_SOURCE_WINDOW.FAT&amp;VAR:ID1=GLT-FR&amp;window=popup&amp;width=535&amp;height=425&amp;START_MAXIMIZED=FALSE&amp;Y=120"}</definedName>
    <definedName name="_256__FDSAUDITLINK__" hidden="1">{"fdsup://directions/FAT Viewer?action=UPDATE&amp;creator=factSet&amp;DYN_ARGS=true&amp;DOC_NAME=FAT:RGA_ENTRPR_VAL_EV_SOURCE_WINDOW.FAT&amp;VAR:ID1=GLT-FR&amp;window=popup&amp;width=535&amp;height=425&amp;START_MAXIMIZED=FALSE&amp;Y=120"}</definedName>
    <definedName name="_257__FDSAUDITLINK__" localSheetId="0" hidden="1">{"fdsup://directions/FAT Viewer?action=UPDATE&amp;creator=factSet&amp;DYN_ARGS=true&amp;DOC_NAME=FAT:RGA_ENTRPR_VAL_EV_SOURCE_WINDOW.FAT&amp;VAR:ID1=GLT-FR&amp;window=popup&amp;width=535&amp;height=425&amp;START_MAXIMIZED=FALSE&amp;Y=120"}</definedName>
    <definedName name="_257__FDSAUDITLINK__" localSheetId="6" hidden="1">{"fdsup://directions/FAT Viewer?action=UPDATE&amp;creator=factSet&amp;DYN_ARGS=true&amp;DOC_NAME=FAT:RGA_ENTRPR_VAL_EV_SOURCE_WINDOW.FAT&amp;VAR:ID1=GLT-FR&amp;window=popup&amp;width=535&amp;height=425&amp;START_MAXIMIZED=FALSE&amp;Y=120"}</definedName>
    <definedName name="_257__FDSAUDITLINK__" hidden="1">{"fdsup://directions/FAT Viewer?action=UPDATE&amp;creator=factSet&amp;DYN_ARGS=true&amp;DOC_NAME=FAT:RGA_ENTRPR_VAL_EV_SOURCE_WINDOW.FAT&amp;VAR:ID1=GLT-FR&amp;window=popup&amp;width=535&amp;height=425&amp;START_MAXIMIZED=FALSE&amp;Y=120"}</definedName>
    <definedName name="_258__FDSAUDITLINK__" localSheetId="0" hidden="1">{"fdsup://directions/FAT Viewer?action=UPDATE&amp;creator=factSet&amp;DYN_ARGS=true&amp;DOC_NAME=FAT:RGA_ENTRPR_VAL_EV_SOURCE_WINDOW.FAT&amp;VAR:ID1=GLT-FR&amp;window=popup&amp;width=535&amp;height=425&amp;START_MAXIMIZED=FALSE&amp;Y=120"}</definedName>
    <definedName name="_258__FDSAUDITLINK__" localSheetId="6" hidden="1">{"fdsup://directions/FAT Viewer?action=UPDATE&amp;creator=factSet&amp;DYN_ARGS=true&amp;DOC_NAME=FAT:RGA_ENTRPR_VAL_EV_SOURCE_WINDOW.FAT&amp;VAR:ID1=GLT-FR&amp;window=popup&amp;width=535&amp;height=425&amp;START_MAXIMIZED=FALSE&amp;Y=120"}</definedName>
    <definedName name="_258__FDSAUDITLINK__" hidden="1">{"fdsup://directions/FAT Viewer?action=UPDATE&amp;creator=factSet&amp;DYN_ARGS=true&amp;DOC_NAME=FAT:RGA_ENTRPR_VAL_EV_SOURCE_WINDOW.FAT&amp;VAR:ID1=GLT-FR&amp;window=popup&amp;width=535&amp;height=425&amp;START_MAXIMIZED=FALSE&amp;Y=120"}</definedName>
    <definedName name="_259__FDSAUDITLINK__" localSheetId="0" hidden="1">{"fdsup://directions/FAT Viewer?action=UPDATE&amp;creator=factSet&amp;DYN_ARGS=true&amp;DOC_NAME=FAT:RGA_ENTRPR_VAL_EV_SOURCE_WINDOW.FAT&amp;VAR:ID1=GLT-FR&amp;window=popup&amp;width=535&amp;height=425&amp;START_MAXIMIZED=FALSE&amp;Y=120"}</definedName>
    <definedName name="_259__FDSAUDITLINK__" localSheetId="6" hidden="1">{"fdsup://directions/FAT Viewer?action=UPDATE&amp;creator=factSet&amp;DYN_ARGS=true&amp;DOC_NAME=FAT:RGA_ENTRPR_VAL_EV_SOURCE_WINDOW.FAT&amp;VAR:ID1=GLT-FR&amp;window=popup&amp;width=535&amp;height=425&amp;START_MAXIMIZED=FALSE&amp;Y=120"}</definedName>
    <definedName name="_259__FDSAUDITLINK__" hidden="1">{"fdsup://directions/FAT Viewer?action=UPDATE&amp;creator=factSet&amp;DYN_ARGS=true&amp;DOC_NAME=FAT:RGA_ENTRPR_VAL_EV_SOURCE_WINDOW.FAT&amp;VAR:ID1=GLT-FR&amp;window=popup&amp;width=535&amp;height=425&amp;START_MAXIMIZED=FALSE&amp;Y=120"}</definedName>
    <definedName name="_26___0__123Graph_BEPS" hidden="1">#REF!</definedName>
    <definedName name="_26__123Graph_BCHART_1" hidden="1">#REF!</definedName>
    <definedName name="_26__123Graph_BCHART_2" hidden="1">#REF!</definedName>
    <definedName name="_26__123Graph_BINDX96" hidden="1">#REF!</definedName>
    <definedName name="_26__123Graph_BMKT_YTD" hidden="1">#REF!</definedName>
    <definedName name="_26__123Graph_CCHART_15" hidden="1">#REF!</definedName>
    <definedName name="_26__123Graph_CCHART_35" hidden="1">#REF!</definedName>
    <definedName name="_26__123Graph_ECHART_4" hidden="1">#REF!</definedName>
    <definedName name="_26__123Graph_F_Chart_1A" hidden="1">#REF!</definedName>
    <definedName name="_26__123Graph_FCHART_15" hidden="1">#REF!</definedName>
    <definedName name="_26__123Graph_FCHART_28" hidden="1">#REF!</definedName>
    <definedName name="_26__123Graph_XCHART_12" hidden="1">#REF!</definedName>
    <definedName name="_26__FDSAUDITLINK__" localSheetId="0" hidden="1">{"fdsup://directions/FAT Viewer?action=UPDATE&amp;creator=factSet&amp;DYN_ARGS=true&amp;DOC_NAME=FAT:RGA_ENTRPR_VAL_EV_SOURCE_WINDOW.FAT&amp;VAR:ID1=EV&amp;window=popup&amp;width=535&amp;height=425&amp;START_MAXIMIZED=FALSE&amp;Y=120"}</definedName>
    <definedName name="_26__FDSAUDITLINK__" localSheetId="6" hidden="1">{"fdsup://directions/FAT Viewer?action=UPDATE&amp;creator=factSet&amp;DYN_ARGS=true&amp;DOC_NAME=FAT:RGA_ENTRPR_VAL_EV_SOURCE_WINDOW.FAT&amp;VAR:ID1=EV&amp;window=popup&amp;width=535&amp;height=425&amp;START_MAXIMIZED=FALSE&amp;Y=120"}</definedName>
    <definedName name="_26__FDSAUDITLINK__" hidden="1">{"fdsup://directions/FAT Viewer?action=UPDATE&amp;creator=factSet&amp;DYN_ARGS=true&amp;DOC_NAME=FAT:RGA_ENTRPR_VAL_EV_SOURCE_WINDOW.FAT&amp;VAR:ID1=EV&amp;window=popup&amp;width=535&amp;height=425&amp;START_MAXIMIZED=FALSE&amp;Y=120"}</definedName>
    <definedName name="_26_0__123Graph_CCHAR" hidden="1">#REF!</definedName>
    <definedName name="_260__FDSAUDITLINK__" localSheetId="0" hidden="1">{"fdsup://directions/FAT Viewer?action=UPDATE&amp;creator=factSet&amp;DYN_ARGS=true&amp;DOC_NAME=FAT:RGA_ENTRPR_VAL_EV_SOURCE_WINDOW.FAT&amp;VAR:ID1=GLT-FR&amp;window=popup&amp;width=535&amp;height=425&amp;START_MAXIMIZED=FALSE&amp;Y=120"}</definedName>
    <definedName name="_260__FDSAUDITLINK__" localSheetId="6" hidden="1">{"fdsup://directions/FAT Viewer?action=UPDATE&amp;creator=factSet&amp;DYN_ARGS=true&amp;DOC_NAME=FAT:RGA_ENTRPR_VAL_EV_SOURCE_WINDOW.FAT&amp;VAR:ID1=GLT-FR&amp;window=popup&amp;width=535&amp;height=425&amp;START_MAXIMIZED=FALSE&amp;Y=120"}</definedName>
    <definedName name="_260__FDSAUDITLINK__" hidden="1">{"fdsup://directions/FAT Viewer?action=UPDATE&amp;creator=factSet&amp;DYN_ARGS=true&amp;DOC_NAME=FAT:RGA_ENTRPR_VAL_EV_SOURCE_WINDOW.FAT&amp;VAR:ID1=GLT-FR&amp;window=popup&amp;width=535&amp;height=425&amp;START_MAXIMIZED=FALSE&amp;Y=120"}</definedName>
    <definedName name="_261__FDSAUDITLINK__" localSheetId="0" hidden="1">{"fdsup://directions/FAT Viewer?action=UPDATE&amp;creator=factSet&amp;DYN_ARGS=true&amp;DOC_NAME=FAT:RGA_ENTRPR_VAL_EV_SOURCE_WINDOW.FAT&amp;VAR:ID1=GLT-FR&amp;window=popup&amp;width=535&amp;height=425&amp;START_MAXIMIZED=FALSE&amp;Y=120"}</definedName>
    <definedName name="_261__FDSAUDITLINK__" localSheetId="6" hidden="1">{"fdsup://directions/FAT Viewer?action=UPDATE&amp;creator=factSet&amp;DYN_ARGS=true&amp;DOC_NAME=FAT:RGA_ENTRPR_VAL_EV_SOURCE_WINDOW.FAT&amp;VAR:ID1=GLT-FR&amp;window=popup&amp;width=535&amp;height=425&amp;START_MAXIMIZED=FALSE&amp;Y=120"}</definedName>
    <definedName name="_261__FDSAUDITLINK__" hidden="1">{"fdsup://directions/FAT Viewer?action=UPDATE&amp;creator=factSet&amp;DYN_ARGS=true&amp;DOC_NAME=FAT:RGA_ENTRPR_VAL_EV_SOURCE_WINDOW.FAT&amp;VAR:ID1=GLT-FR&amp;window=popup&amp;width=535&amp;height=425&amp;START_MAXIMIZED=FALSE&amp;Y=120"}</definedName>
    <definedName name="_262__FDSAUDITLINK__" localSheetId="0" hidden="1">{"fdsup://directions/FAT Viewer?action=UPDATE&amp;creator=factSet&amp;DYN_ARGS=true&amp;DOC_NAME=FAT:RGA_ENTRPR_VAL_EV_SOURCE_WINDOW.FAT&amp;VAR:ID1=GLT-FR&amp;window=popup&amp;width=535&amp;height=425&amp;START_MAXIMIZED=FALSE&amp;Y=120"}</definedName>
    <definedName name="_262__FDSAUDITLINK__" localSheetId="6" hidden="1">{"fdsup://directions/FAT Viewer?action=UPDATE&amp;creator=factSet&amp;DYN_ARGS=true&amp;DOC_NAME=FAT:RGA_ENTRPR_VAL_EV_SOURCE_WINDOW.FAT&amp;VAR:ID1=GLT-FR&amp;window=popup&amp;width=535&amp;height=425&amp;START_MAXIMIZED=FALSE&amp;Y=120"}</definedName>
    <definedName name="_262__FDSAUDITLINK__" hidden="1">{"fdsup://directions/FAT Viewer?action=UPDATE&amp;creator=factSet&amp;DYN_ARGS=true&amp;DOC_NAME=FAT:RGA_ENTRPR_VAL_EV_SOURCE_WINDOW.FAT&amp;VAR:ID1=GLT-FR&amp;window=popup&amp;width=535&amp;height=425&amp;START_MAXIMIZED=FALSE&amp;Y=120"}</definedName>
    <definedName name="_263__FDSAUDITLINK__" localSheetId="0" hidden="1">{"fdsup://directions/FAT Viewer?action=UPDATE&amp;creator=factSet&amp;DYN_ARGS=true&amp;DOC_NAME=FAT:RGA_ENTRPR_VAL_EV_SOURCE_WINDOW.FAT&amp;VAR:ID1=GLT-FR&amp;window=popup&amp;width=535&amp;height=425&amp;START_MAXIMIZED=FALSE&amp;Y=120"}</definedName>
    <definedName name="_263__FDSAUDITLINK__" localSheetId="6" hidden="1">{"fdsup://directions/FAT Viewer?action=UPDATE&amp;creator=factSet&amp;DYN_ARGS=true&amp;DOC_NAME=FAT:RGA_ENTRPR_VAL_EV_SOURCE_WINDOW.FAT&amp;VAR:ID1=GLT-FR&amp;window=popup&amp;width=535&amp;height=425&amp;START_MAXIMIZED=FALSE&amp;Y=120"}</definedName>
    <definedName name="_263__FDSAUDITLINK__" hidden="1">{"fdsup://directions/FAT Viewer?action=UPDATE&amp;creator=factSet&amp;DYN_ARGS=true&amp;DOC_NAME=FAT:RGA_ENTRPR_VAL_EV_SOURCE_WINDOW.FAT&amp;VAR:ID1=GLT-FR&amp;window=popup&amp;width=535&amp;height=425&amp;START_MAXIMIZED=FALSE&amp;Y=120"}</definedName>
    <definedName name="_264__FDSAUDITLINK__" localSheetId="0" hidden="1">{"fdsup://directions/FAT Viewer?action=UPDATE&amp;creator=factSet&amp;DYN_ARGS=true&amp;DOC_NAME=FAT:RGA_ENTRPR_VAL_EV_SOURCE_WINDOW.FAT&amp;VAR:ID1=GLT-FR&amp;window=popup&amp;width=535&amp;height=425&amp;START_MAXIMIZED=FALSE&amp;Y=120"}</definedName>
    <definedName name="_264__FDSAUDITLINK__" localSheetId="6" hidden="1">{"fdsup://directions/FAT Viewer?action=UPDATE&amp;creator=factSet&amp;DYN_ARGS=true&amp;DOC_NAME=FAT:RGA_ENTRPR_VAL_EV_SOURCE_WINDOW.FAT&amp;VAR:ID1=GLT-FR&amp;window=popup&amp;width=535&amp;height=425&amp;START_MAXIMIZED=FALSE&amp;Y=120"}</definedName>
    <definedName name="_264__FDSAUDITLINK__" hidden="1">{"fdsup://directions/FAT Viewer?action=UPDATE&amp;creator=factSet&amp;DYN_ARGS=true&amp;DOC_NAME=FAT:RGA_ENTRPR_VAL_EV_SOURCE_WINDOW.FAT&amp;VAR:ID1=GLT-FR&amp;window=popup&amp;width=535&amp;height=425&amp;START_MAXIMIZED=FALSE&amp;Y=120"}</definedName>
    <definedName name="_265__123Graph_DCHART_19" hidden="1">#REF!</definedName>
    <definedName name="_265__FDSAUDITLINK__" localSheetId="0" hidden="1">{"fdsup://directions/FAT Viewer?action=UPDATE&amp;creator=factSet&amp;DYN_ARGS=true&amp;DOC_NAME=FAT:RGA_ENTRPR_VAL_EV_SOURCE_WINDOW.FAT&amp;VAR:ID1=GLT-FR&amp;window=popup&amp;width=535&amp;height=425&amp;START_MAXIMIZED=FALSE&amp;Y=120"}</definedName>
    <definedName name="_265__FDSAUDITLINK__" localSheetId="6" hidden="1">{"fdsup://directions/FAT Viewer?action=UPDATE&amp;creator=factSet&amp;DYN_ARGS=true&amp;DOC_NAME=FAT:RGA_ENTRPR_VAL_EV_SOURCE_WINDOW.FAT&amp;VAR:ID1=GLT-FR&amp;window=popup&amp;width=535&amp;height=425&amp;START_MAXIMIZED=FALSE&amp;Y=120"}</definedName>
    <definedName name="_265__FDSAUDITLINK__" hidden="1">{"fdsup://directions/FAT Viewer?action=UPDATE&amp;creator=factSet&amp;DYN_ARGS=true&amp;DOC_NAME=FAT:RGA_ENTRPR_VAL_EV_SOURCE_WINDOW.FAT&amp;VAR:ID1=GLT-FR&amp;window=popup&amp;width=535&amp;height=425&amp;START_MAXIMIZED=FALSE&amp;Y=120"}</definedName>
    <definedName name="_266__123Graph_DCHART_2" hidden="1">#REF!</definedName>
    <definedName name="_266__FDSAUDITLINK__" localSheetId="0" hidden="1">{"fdsup://directions/FAT Viewer?action=UPDATE&amp;creator=factSet&amp;DYN_ARGS=true&amp;DOC_NAME=FAT:RGA_ENTRPR_VAL_EV_SOURCE_WINDOW.FAT&amp;VAR:ID1=GLT-FR&amp;window=popup&amp;width=535&amp;height=425&amp;START_MAXIMIZED=FALSE&amp;Y=120"}</definedName>
    <definedName name="_266__FDSAUDITLINK__" localSheetId="6" hidden="1">{"fdsup://directions/FAT Viewer?action=UPDATE&amp;creator=factSet&amp;DYN_ARGS=true&amp;DOC_NAME=FAT:RGA_ENTRPR_VAL_EV_SOURCE_WINDOW.FAT&amp;VAR:ID1=GLT-FR&amp;window=popup&amp;width=535&amp;height=425&amp;START_MAXIMIZED=FALSE&amp;Y=120"}</definedName>
    <definedName name="_266__FDSAUDITLINK__" hidden="1">{"fdsup://directions/FAT Viewer?action=UPDATE&amp;creator=factSet&amp;DYN_ARGS=true&amp;DOC_NAME=FAT:RGA_ENTRPR_VAL_EV_SOURCE_WINDOW.FAT&amp;VAR:ID1=GLT-FR&amp;window=popup&amp;width=535&amp;height=425&amp;START_MAXIMIZED=FALSE&amp;Y=120"}</definedName>
    <definedName name="_267__FDSAUDITLINK__" localSheetId="0" hidden="1">{"fdsup://directions/FAT Viewer?action=UPDATE&amp;creator=factSet&amp;DYN_ARGS=true&amp;DOC_NAME=FAT:RGA_ENTRPR_VAL_EV_SOURCE_WINDOW.FAT&amp;VAR:ID1=GLT-FR&amp;window=popup&amp;width=535&amp;height=425&amp;START_MAXIMIZED=FALSE&amp;Y=120"}</definedName>
    <definedName name="_267__FDSAUDITLINK__" localSheetId="6" hidden="1">{"fdsup://directions/FAT Viewer?action=UPDATE&amp;creator=factSet&amp;DYN_ARGS=true&amp;DOC_NAME=FAT:RGA_ENTRPR_VAL_EV_SOURCE_WINDOW.FAT&amp;VAR:ID1=GLT-FR&amp;window=popup&amp;width=535&amp;height=425&amp;START_MAXIMIZED=FALSE&amp;Y=120"}</definedName>
    <definedName name="_267__FDSAUDITLINK__" hidden="1">{"fdsup://directions/FAT Viewer?action=UPDATE&amp;creator=factSet&amp;DYN_ARGS=true&amp;DOC_NAME=FAT:RGA_ENTRPR_VAL_EV_SOURCE_WINDOW.FAT&amp;VAR:ID1=GLT-FR&amp;window=popup&amp;width=535&amp;height=425&amp;START_MAXIMIZED=FALSE&amp;Y=120"}</definedName>
    <definedName name="_268__FDSAUDITLINK__" localSheetId="0" hidden="1">{"fdsup://directions/FAT Viewer?action=UPDATE&amp;creator=factSet&amp;DYN_ARGS=true&amp;DOC_NAME=FAT:RGA_ENTRPR_VAL_EV_SOURCE_WINDOW.FAT&amp;VAR:ID1=GLT-FR&amp;window=popup&amp;width=535&amp;height=425&amp;START_MAXIMIZED=FALSE&amp;Y=120"}</definedName>
    <definedName name="_268__FDSAUDITLINK__" localSheetId="6" hidden="1">{"fdsup://directions/FAT Viewer?action=UPDATE&amp;creator=factSet&amp;DYN_ARGS=true&amp;DOC_NAME=FAT:RGA_ENTRPR_VAL_EV_SOURCE_WINDOW.FAT&amp;VAR:ID1=GLT-FR&amp;window=popup&amp;width=535&amp;height=425&amp;START_MAXIMIZED=FALSE&amp;Y=120"}</definedName>
    <definedName name="_268__FDSAUDITLINK__" hidden="1">{"fdsup://directions/FAT Viewer?action=UPDATE&amp;creator=factSet&amp;DYN_ARGS=true&amp;DOC_NAME=FAT:RGA_ENTRPR_VAL_EV_SOURCE_WINDOW.FAT&amp;VAR:ID1=GLT-FR&amp;window=popup&amp;width=535&amp;height=425&amp;START_MAXIMIZED=FALSE&amp;Y=120"}</definedName>
    <definedName name="_269__FDSAUDITLINK__" localSheetId="0" hidden="1">{"fdsup://directions/FAT Viewer?action=UPDATE&amp;creator=factSet&amp;DYN_ARGS=true&amp;DOC_NAME=FAT:RGA_ENTRPR_VAL_EV_SOURCE_WINDOW.FAT&amp;VAR:ID1=GLT-FR&amp;window=popup&amp;width=535&amp;height=425&amp;START_MAXIMIZED=FALSE&amp;Y=120"}</definedName>
    <definedName name="_269__FDSAUDITLINK__" localSheetId="6" hidden="1">{"fdsup://directions/FAT Viewer?action=UPDATE&amp;creator=factSet&amp;DYN_ARGS=true&amp;DOC_NAME=FAT:RGA_ENTRPR_VAL_EV_SOURCE_WINDOW.FAT&amp;VAR:ID1=GLT-FR&amp;window=popup&amp;width=535&amp;height=425&amp;START_MAXIMIZED=FALSE&amp;Y=120"}</definedName>
    <definedName name="_269__FDSAUDITLINK__" hidden="1">{"fdsup://directions/FAT Viewer?action=UPDATE&amp;creator=factSet&amp;DYN_ARGS=true&amp;DOC_NAME=FAT:RGA_ENTRPR_VAL_EV_SOURCE_WINDOW.FAT&amp;VAR:ID1=GLT-FR&amp;window=popup&amp;width=535&amp;height=425&amp;START_MAXIMIZED=FALSE&amp;Y=120"}</definedName>
    <definedName name="_27__123Graph_ACHART_7" hidden="1">#REF!</definedName>
    <definedName name="_27__123Graph_BCHART_2" hidden="1">#REF!</definedName>
    <definedName name="_27__123Graph_C_KD956" hidden="1">#REF!</definedName>
    <definedName name="_27__123Graph_CCHART_36" hidden="1">#REF!</definedName>
    <definedName name="_27__123Graph_ECHART_5" hidden="1">#REF!</definedName>
    <definedName name="_27__123Graph_FCHART_16" hidden="1">#REF!</definedName>
    <definedName name="_27__123Graph_LBL_DCHART_1" hidden="1">#REF!</definedName>
    <definedName name="_27__123Graph_X_Chart_1A" hidden="1">#REF!</definedName>
    <definedName name="_27__123Graph_XCHART_13" hidden="1">#REF!</definedName>
    <definedName name="_27__123Graph_XMKT_MONTH" hidden="1">#REF!</definedName>
    <definedName name="_27__FDSAUDITLINK__" localSheetId="0" hidden="1">{"fdsup://directions/FAT Viewer?action=UPDATE&amp;creator=factSet&amp;DYN_ARGS=true&amp;DOC_NAME=FAT:RGA_ENTRPR_VAL_EV_SOURCE_WINDOW.FAT&amp;VAR:ID1=&amp;window=popup&amp;width=535&amp;height=425&amp;START_MAXIMIZED=FALSE&amp;Y=120"}</definedName>
    <definedName name="_27__FDSAUDITLINK__" localSheetId="6" hidden="1">{"fdsup://directions/FAT Viewer?action=UPDATE&amp;creator=factSet&amp;DYN_ARGS=true&amp;DOC_NAME=FAT:RGA_ENTRPR_VAL_EV_SOURCE_WINDOW.FAT&amp;VAR:ID1=&amp;window=popup&amp;width=535&amp;height=425&amp;START_MAXIMIZED=FALSE&amp;Y=120"}</definedName>
    <definedName name="_27__FDSAUDITLINK__" hidden="1">{"fdsup://directions/FAT Viewer?action=UPDATE&amp;creator=factSet&amp;DYN_ARGS=true&amp;DOC_NAME=FAT:RGA_ENTRPR_VAL_EV_SOURCE_WINDOW.FAT&amp;VAR:ID1=&amp;window=popup&amp;width=535&amp;height=425&amp;START_MAXIMIZED=FALSE&amp;Y=120"}</definedName>
    <definedName name="_27_0__123Graph_DCHAR" hidden="1">#REF!</definedName>
    <definedName name="_27_0_0__123Graph_A" hidden="1">#REF!</definedName>
    <definedName name="_270__FDSAUDITLINK__" localSheetId="0" hidden="1">{"fdsup://directions/FAT Viewer?action=UPDATE&amp;creator=factSet&amp;DYN_ARGS=true&amp;DOC_NAME=FAT:RGA_ENTRPR_VAL_EV_SOURCE_WINDOW.FAT&amp;VAR:ID1=GLT-FR&amp;window=popup&amp;width=535&amp;height=425&amp;START_MAXIMIZED=FALSE&amp;Y=120"}</definedName>
    <definedName name="_270__FDSAUDITLINK__" localSheetId="6" hidden="1">{"fdsup://directions/FAT Viewer?action=UPDATE&amp;creator=factSet&amp;DYN_ARGS=true&amp;DOC_NAME=FAT:RGA_ENTRPR_VAL_EV_SOURCE_WINDOW.FAT&amp;VAR:ID1=GLT-FR&amp;window=popup&amp;width=535&amp;height=425&amp;START_MAXIMIZED=FALSE&amp;Y=120"}</definedName>
    <definedName name="_270__FDSAUDITLINK__" hidden="1">{"fdsup://directions/FAT Viewer?action=UPDATE&amp;creator=factSet&amp;DYN_ARGS=true&amp;DOC_NAME=FAT:RGA_ENTRPR_VAL_EV_SOURCE_WINDOW.FAT&amp;VAR:ID1=GLT-FR&amp;window=popup&amp;width=535&amp;height=425&amp;START_MAXIMIZED=FALSE&amp;Y=120"}</definedName>
    <definedName name="_271__FDSAUDITLINK__" localSheetId="0" hidden="1">{"fdsup://directions/FAT Viewer?action=UPDATE&amp;creator=factSet&amp;DYN_ARGS=true&amp;DOC_NAME=FAT:RGA_ENTRPR_VAL_EV_SOURCE_WINDOW.FAT&amp;VAR:ID1=GLT-FR&amp;window=popup&amp;width=535&amp;height=425&amp;START_MAXIMIZED=FALSE&amp;Y=120"}</definedName>
    <definedName name="_271__FDSAUDITLINK__" localSheetId="6" hidden="1">{"fdsup://directions/FAT Viewer?action=UPDATE&amp;creator=factSet&amp;DYN_ARGS=true&amp;DOC_NAME=FAT:RGA_ENTRPR_VAL_EV_SOURCE_WINDOW.FAT&amp;VAR:ID1=GLT-FR&amp;window=popup&amp;width=535&amp;height=425&amp;START_MAXIMIZED=FALSE&amp;Y=120"}</definedName>
    <definedName name="_271__FDSAUDITLINK__" hidden="1">{"fdsup://directions/FAT Viewer?action=UPDATE&amp;creator=factSet&amp;DYN_ARGS=true&amp;DOC_NAME=FAT:RGA_ENTRPR_VAL_EV_SOURCE_WINDOW.FAT&amp;VAR:ID1=GLT-FR&amp;window=popup&amp;width=535&amp;height=425&amp;START_MAXIMIZED=FALSE&amp;Y=120"}</definedName>
    <definedName name="_272__FDSAUDITLINK__" localSheetId="0" hidden="1">{"fdsup://directions/FAT Viewer?action=UPDATE&amp;creator=factSet&amp;DYN_ARGS=true&amp;DOC_NAME=FAT:RGA_ENTRPR_VAL_EV_SOURCE_WINDOW.FAT&amp;VAR:ID1=GLT-FR&amp;window=popup&amp;width=535&amp;height=425&amp;START_MAXIMIZED=FALSE&amp;Y=120"}</definedName>
    <definedName name="_272__FDSAUDITLINK__" localSheetId="6" hidden="1">{"fdsup://directions/FAT Viewer?action=UPDATE&amp;creator=factSet&amp;DYN_ARGS=true&amp;DOC_NAME=FAT:RGA_ENTRPR_VAL_EV_SOURCE_WINDOW.FAT&amp;VAR:ID1=GLT-FR&amp;window=popup&amp;width=535&amp;height=425&amp;START_MAXIMIZED=FALSE&amp;Y=120"}</definedName>
    <definedName name="_272__FDSAUDITLINK__" hidden="1">{"fdsup://directions/FAT Viewer?action=UPDATE&amp;creator=factSet&amp;DYN_ARGS=true&amp;DOC_NAME=FAT:RGA_ENTRPR_VAL_EV_SOURCE_WINDOW.FAT&amp;VAR:ID1=GLT-FR&amp;window=popup&amp;width=535&amp;height=425&amp;START_MAXIMIZED=FALSE&amp;Y=120"}</definedName>
    <definedName name="_273__FDSAUDITLINK__" localSheetId="0" hidden="1">{"fdsup://directions/FAT Viewer?action=UPDATE&amp;creator=factSet&amp;DYN_ARGS=true&amp;DOC_NAME=FAT:RGA_ENTRPR_VAL_EV_SOURCE_WINDOW.FAT&amp;VAR:ID1=GLT-FR&amp;window=popup&amp;width=535&amp;height=425&amp;START_MAXIMIZED=FALSE&amp;Y=120"}</definedName>
    <definedName name="_273__FDSAUDITLINK__" localSheetId="6" hidden="1">{"fdsup://directions/FAT Viewer?action=UPDATE&amp;creator=factSet&amp;DYN_ARGS=true&amp;DOC_NAME=FAT:RGA_ENTRPR_VAL_EV_SOURCE_WINDOW.FAT&amp;VAR:ID1=GLT-FR&amp;window=popup&amp;width=535&amp;height=425&amp;START_MAXIMIZED=FALSE&amp;Y=120"}</definedName>
    <definedName name="_273__FDSAUDITLINK__" hidden="1">{"fdsup://directions/FAT Viewer?action=UPDATE&amp;creator=factSet&amp;DYN_ARGS=true&amp;DOC_NAME=FAT:RGA_ENTRPR_VAL_EV_SOURCE_WINDOW.FAT&amp;VAR:ID1=GLT-FR&amp;window=popup&amp;width=535&amp;height=425&amp;START_MAXIMIZED=FALSE&amp;Y=120"}</definedName>
    <definedName name="_274__FDSAUDITLINK__" localSheetId="0" hidden="1">{"fdsup://directions/FAT Viewer?action=UPDATE&amp;creator=factSet&amp;DYN_ARGS=true&amp;DOC_NAME=FAT:RGA_ENTRPR_VAL_EV_SOURCE_WINDOW.FAT&amp;VAR:ID1=GLT-FR&amp;window=popup&amp;width=535&amp;height=425&amp;START_MAXIMIZED=FALSE&amp;Y=120"}</definedName>
    <definedName name="_274__FDSAUDITLINK__" localSheetId="6" hidden="1">{"fdsup://directions/FAT Viewer?action=UPDATE&amp;creator=factSet&amp;DYN_ARGS=true&amp;DOC_NAME=FAT:RGA_ENTRPR_VAL_EV_SOURCE_WINDOW.FAT&amp;VAR:ID1=GLT-FR&amp;window=popup&amp;width=535&amp;height=425&amp;START_MAXIMIZED=FALSE&amp;Y=120"}</definedName>
    <definedName name="_274__FDSAUDITLINK__" hidden="1">{"fdsup://directions/FAT Viewer?action=UPDATE&amp;creator=factSet&amp;DYN_ARGS=true&amp;DOC_NAME=FAT:RGA_ENTRPR_VAL_EV_SOURCE_WINDOW.FAT&amp;VAR:ID1=GLT-FR&amp;window=popup&amp;width=535&amp;height=425&amp;START_MAXIMIZED=FALSE&amp;Y=120"}</definedName>
    <definedName name="_275__FDSAUDITLINK__" localSheetId="0" hidden="1">{"fdsup://directions/FAT Viewer?action=UPDATE&amp;creator=factSet&amp;DYN_ARGS=true&amp;DOC_NAME=FAT:RGA_ENTRPR_VAL_EV_SOURCE_WINDOW.FAT&amp;VAR:ID1=GLT-FR&amp;window=popup&amp;width=535&amp;height=425&amp;START_MAXIMIZED=FALSE&amp;Y=120"}</definedName>
    <definedName name="_275__FDSAUDITLINK__" localSheetId="6" hidden="1">{"fdsup://directions/FAT Viewer?action=UPDATE&amp;creator=factSet&amp;DYN_ARGS=true&amp;DOC_NAME=FAT:RGA_ENTRPR_VAL_EV_SOURCE_WINDOW.FAT&amp;VAR:ID1=GLT-FR&amp;window=popup&amp;width=535&amp;height=425&amp;START_MAXIMIZED=FALSE&amp;Y=120"}</definedName>
    <definedName name="_275__FDSAUDITLINK__" hidden="1">{"fdsup://directions/FAT Viewer?action=UPDATE&amp;creator=factSet&amp;DYN_ARGS=true&amp;DOC_NAME=FAT:RGA_ENTRPR_VAL_EV_SOURCE_WINDOW.FAT&amp;VAR:ID1=GLT-FR&amp;window=popup&amp;width=535&amp;height=425&amp;START_MAXIMIZED=FALSE&amp;Y=120"}</definedName>
    <definedName name="_276__FDSAUDITLINK__" localSheetId="0" hidden="1">{"fdsup://directions/FAT Viewer?action=UPDATE&amp;creator=factSet&amp;DYN_ARGS=true&amp;DOC_NAME=FAT:RGA_ENTRPR_VAL_EV_SOURCE_WINDOW.FAT&amp;VAR:ID1=GLT-FR&amp;window=popup&amp;width=535&amp;height=425&amp;START_MAXIMIZED=FALSE&amp;Y=120"}</definedName>
    <definedName name="_276__FDSAUDITLINK__" localSheetId="6" hidden="1">{"fdsup://directions/FAT Viewer?action=UPDATE&amp;creator=factSet&amp;DYN_ARGS=true&amp;DOC_NAME=FAT:RGA_ENTRPR_VAL_EV_SOURCE_WINDOW.FAT&amp;VAR:ID1=GLT-FR&amp;window=popup&amp;width=535&amp;height=425&amp;START_MAXIMIZED=FALSE&amp;Y=120"}</definedName>
    <definedName name="_276__FDSAUDITLINK__" hidden="1">{"fdsup://directions/FAT Viewer?action=UPDATE&amp;creator=factSet&amp;DYN_ARGS=true&amp;DOC_NAME=FAT:RGA_ENTRPR_VAL_EV_SOURCE_WINDOW.FAT&amp;VAR:ID1=GLT-FR&amp;window=popup&amp;width=535&amp;height=425&amp;START_MAXIMIZED=FALSE&amp;Y=120"}</definedName>
    <definedName name="_277__FDSAUDITLINK__" localSheetId="0" hidden="1">{"fdsup://directions/FAT Viewer?action=UPDATE&amp;creator=factSet&amp;DYN_ARGS=true&amp;DOC_NAME=FAT:RGA_ENTRPR_VAL_EV_SOURCE_WINDOW.FAT&amp;VAR:ID1=GLT-FR&amp;window=popup&amp;width=535&amp;height=425&amp;START_MAXIMIZED=FALSE&amp;Y=120"}</definedName>
    <definedName name="_277__FDSAUDITLINK__" localSheetId="6" hidden="1">{"fdsup://directions/FAT Viewer?action=UPDATE&amp;creator=factSet&amp;DYN_ARGS=true&amp;DOC_NAME=FAT:RGA_ENTRPR_VAL_EV_SOURCE_WINDOW.FAT&amp;VAR:ID1=GLT-FR&amp;window=popup&amp;width=535&amp;height=425&amp;START_MAXIMIZED=FALSE&amp;Y=120"}</definedName>
    <definedName name="_277__FDSAUDITLINK__" hidden="1">{"fdsup://directions/FAT Viewer?action=UPDATE&amp;creator=factSet&amp;DYN_ARGS=true&amp;DOC_NAME=FAT:RGA_ENTRPR_VAL_EV_SOURCE_WINDOW.FAT&amp;VAR:ID1=GLT-FR&amp;window=popup&amp;width=535&amp;height=425&amp;START_MAXIMIZED=FALSE&amp;Y=120"}</definedName>
    <definedName name="_278__FDSAUDITLINK__" localSheetId="0" hidden="1">{"fdsup://directions/FAT Viewer?action=UPDATE&amp;creator=factSet&amp;DYN_ARGS=true&amp;DOC_NAME=FAT:RGA_ENTRPR_VAL_EV_SOURCE_WINDOW.FAT&amp;VAR:ID1=GLT-FR&amp;window=popup&amp;width=535&amp;height=425&amp;START_MAXIMIZED=FALSE&amp;Y=120"}</definedName>
    <definedName name="_278__FDSAUDITLINK__" localSheetId="6" hidden="1">{"fdsup://directions/FAT Viewer?action=UPDATE&amp;creator=factSet&amp;DYN_ARGS=true&amp;DOC_NAME=FAT:RGA_ENTRPR_VAL_EV_SOURCE_WINDOW.FAT&amp;VAR:ID1=GLT-FR&amp;window=popup&amp;width=535&amp;height=425&amp;START_MAXIMIZED=FALSE&amp;Y=120"}</definedName>
    <definedName name="_278__FDSAUDITLINK__" hidden="1">{"fdsup://directions/FAT Viewer?action=UPDATE&amp;creator=factSet&amp;DYN_ARGS=true&amp;DOC_NAME=FAT:RGA_ENTRPR_VAL_EV_SOURCE_WINDOW.FAT&amp;VAR:ID1=GLT-FR&amp;window=popup&amp;width=535&amp;height=425&amp;START_MAXIMIZED=FALSE&amp;Y=120"}</definedName>
    <definedName name="_279__123Graph_DCHART_22" hidden="1">#REF!</definedName>
    <definedName name="_279__FDSAUDITLINK__" localSheetId="0" hidden="1">{"fdsup://directions/FAT Viewer?action=UPDATE&amp;creator=factSet&amp;DYN_ARGS=true&amp;DOC_NAME=FAT:RGA_ENTRPR_VAL_EV_SOURCE_WINDOW.FAT&amp;VAR:ID1=GLT-FR&amp;window=popup&amp;width=535&amp;height=425&amp;START_MAXIMIZED=FALSE&amp;Y=120"}</definedName>
    <definedName name="_279__FDSAUDITLINK__" localSheetId="6" hidden="1">{"fdsup://directions/FAT Viewer?action=UPDATE&amp;creator=factSet&amp;DYN_ARGS=true&amp;DOC_NAME=FAT:RGA_ENTRPR_VAL_EV_SOURCE_WINDOW.FAT&amp;VAR:ID1=GLT-FR&amp;window=popup&amp;width=535&amp;height=425&amp;START_MAXIMIZED=FALSE&amp;Y=120"}</definedName>
    <definedName name="_279__FDSAUDITLINK__" hidden="1">{"fdsup://directions/FAT Viewer?action=UPDATE&amp;creator=factSet&amp;DYN_ARGS=true&amp;DOC_NAME=FAT:RGA_ENTRPR_VAL_EV_SOURCE_WINDOW.FAT&amp;VAR:ID1=GLT-FR&amp;window=popup&amp;width=535&amp;height=425&amp;START_MAXIMIZED=FALSE&amp;Y=120"}</definedName>
    <definedName name="_27PGE_1">#REF!</definedName>
    <definedName name="_28__123Graph_ACHART_8" hidden="1">#REF!</definedName>
    <definedName name="_28__123Graph_BCHART_3" hidden="1">#REF!</definedName>
    <definedName name="_28__123Graph_BMKT_MONTH" hidden="1">#REF!</definedName>
    <definedName name="_28__123Graph_CCHART_16" hidden="1">#REF!</definedName>
    <definedName name="_28__123Graph_CCHART_37" hidden="1">#REF!</definedName>
    <definedName name="_28__123Graph_CIND9596" hidden="1">#REF!</definedName>
    <definedName name="_28__123Graph_FCHART_17" hidden="1">#REF!</definedName>
    <definedName name="_28__123Graph_FCHART_2" hidden="1">#REF!</definedName>
    <definedName name="_28__123Graph_XChart_1" hidden="1">#REF!</definedName>
    <definedName name="_28__123Graph_XCHART_14" hidden="1">#REF!</definedName>
    <definedName name="_28__FDSAUDITLINK__" localSheetId="0" hidden="1">{"fdsup://directions/FAT Viewer?action=UPDATE&amp;creator=factSet&amp;DYN_ARGS=true&amp;DOC_NAME=FAT:RGA_ENTRPR_VAL_EV_SOURCE_WINDOW.FAT&amp;VAR:ID1=&amp;window=popup&amp;width=535&amp;height=425&amp;START_MAXIMIZED=FALSE&amp;Y=120"}</definedName>
    <definedName name="_28__FDSAUDITLINK__" localSheetId="6" hidden="1">{"fdsup://directions/FAT Viewer?action=UPDATE&amp;creator=factSet&amp;DYN_ARGS=true&amp;DOC_NAME=FAT:RGA_ENTRPR_VAL_EV_SOURCE_WINDOW.FAT&amp;VAR:ID1=&amp;window=popup&amp;width=535&amp;height=425&amp;START_MAXIMIZED=FALSE&amp;Y=120"}</definedName>
    <definedName name="_28__FDSAUDITLINK__" hidden="1">{"fdsup://directions/FAT Viewer?action=UPDATE&amp;creator=factSet&amp;DYN_ARGS=true&amp;DOC_NAME=FAT:RGA_ENTRPR_VAL_EV_SOURCE_WINDOW.FAT&amp;VAR:ID1=&amp;window=popup&amp;width=535&amp;height=425&amp;START_MAXIMIZED=FALSE&amp;Y=120"}</definedName>
    <definedName name="_28_0__123Graph_DCHAR" hidden="1">#REF!</definedName>
    <definedName name="_28_0_0__123Graph_BEPS" hidden="1">#REF!</definedName>
    <definedName name="_280__FDSAUDITLINK__" localSheetId="0" hidden="1">{"fdsup://directions/FAT Viewer?action=UPDATE&amp;creator=factSet&amp;DYN_ARGS=true&amp;DOC_NAME=FAT:RGA_ENTRPR_VAL_EV_SOURCE_WINDOW.FAT&amp;VAR:ID1=GLT-FR&amp;window=popup&amp;width=535&amp;height=425&amp;START_MAXIMIZED=FALSE&amp;Y=120"}</definedName>
    <definedName name="_280__FDSAUDITLINK__" localSheetId="6" hidden="1">{"fdsup://directions/FAT Viewer?action=UPDATE&amp;creator=factSet&amp;DYN_ARGS=true&amp;DOC_NAME=FAT:RGA_ENTRPR_VAL_EV_SOURCE_WINDOW.FAT&amp;VAR:ID1=GLT-FR&amp;window=popup&amp;width=535&amp;height=425&amp;START_MAXIMIZED=FALSE&amp;Y=120"}</definedName>
    <definedName name="_280__FDSAUDITLINK__" hidden="1">{"fdsup://directions/FAT Viewer?action=UPDATE&amp;creator=factSet&amp;DYN_ARGS=true&amp;DOC_NAME=FAT:RGA_ENTRPR_VAL_EV_SOURCE_WINDOW.FAT&amp;VAR:ID1=GLT-FR&amp;window=popup&amp;width=535&amp;height=425&amp;START_MAXIMIZED=FALSE&amp;Y=120"}</definedName>
    <definedName name="_281__FDSAUDITLINK__" localSheetId="0" hidden="1">{"fdsup://directions/FAT Viewer?action=UPDATE&amp;creator=factSet&amp;DYN_ARGS=true&amp;DOC_NAME=FAT:RGA_ENTRPR_VAL_EV_SOURCE_WINDOW.FAT&amp;VAR:ID1=GLT-FR&amp;window=popup&amp;width=535&amp;height=425&amp;START_MAXIMIZED=FALSE&amp;Y=120"}</definedName>
    <definedName name="_281__FDSAUDITLINK__" localSheetId="6" hidden="1">{"fdsup://directions/FAT Viewer?action=UPDATE&amp;creator=factSet&amp;DYN_ARGS=true&amp;DOC_NAME=FAT:RGA_ENTRPR_VAL_EV_SOURCE_WINDOW.FAT&amp;VAR:ID1=GLT-FR&amp;window=popup&amp;width=535&amp;height=425&amp;START_MAXIMIZED=FALSE&amp;Y=120"}</definedName>
    <definedName name="_281__FDSAUDITLINK__" hidden="1">{"fdsup://directions/FAT Viewer?action=UPDATE&amp;creator=factSet&amp;DYN_ARGS=true&amp;DOC_NAME=FAT:RGA_ENTRPR_VAL_EV_SOURCE_WINDOW.FAT&amp;VAR:ID1=GLT-FR&amp;window=popup&amp;width=535&amp;height=425&amp;START_MAXIMIZED=FALSE&amp;Y=120"}</definedName>
    <definedName name="_282__FDSAUDITLINK__" localSheetId="0" hidden="1">{"fdsup://directions/FAT Viewer?action=UPDATE&amp;creator=factSet&amp;DYN_ARGS=true&amp;DOC_NAME=FAT:RGA_ENTRPR_VAL_EV_SOURCE_WINDOW.FAT&amp;VAR:ID1=GLT-FR&amp;window=popup&amp;width=535&amp;height=425&amp;START_MAXIMIZED=FALSE&amp;Y=120"}</definedName>
    <definedName name="_282__FDSAUDITLINK__" localSheetId="6" hidden="1">{"fdsup://directions/FAT Viewer?action=UPDATE&amp;creator=factSet&amp;DYN_ARGS=true&amp;DOC_NAME=FAT:RGA_ENTRPR_VAL_EV_SOURCE_WINDOW.FAT&amp;VAR:ID1=GLT-FR&amp;window=popup&amp;width=535&amp;height=425&amp;START_MAXIMIZED=FALSE&amp;Y=120"}</definedName>
    <definedName name="_282__FDSAUDITLINK__" hidden="1">{"fdsup://directions/FAT Viewer?action=UPDATE&amp;creator=factSet&amp;DYN_ARGS=true&amp;DOC_NAME=FAT:RGA_ENTRPR_VAL_EV_SOURCE_WINDOW.FAT&amp;VAR:ID1=GLT-FR&amp;window=popup&amp;width=535&amp;height=425&amp;START_MAXIMIZED=FALSE&amp;Y=120"}</definedName>
    <definedName name="_283__FDSAUDITLINK__" localSheetId="0" hidden="1">{"fdsup://directions/FAT Viewer?action=UPDATE&amp;creator=factSet&amp;DYN_ARGS=true&amp;DOC_NAME=FAT:RGA_ENTRPR_VAL_EV_SOURCE_WINDOW.FAT&amp;VAR:ID1=GLT-FR&amp;window=popup&amp;width=535&amp;height=425&amp;START_MAXIMIZED=FALSE&amp;Y=120"}</definedName>
    <definedName name="_283__FDSAUDITLINK__" localSheetId="6" hidden="1">{"fdsup://directions/FAT Viewer?action=UPDATE&amp;creator=factSet&amp;DYN_ARGS=true&amp;DOC_NAME=FAT:RGA_ENTRPR_VAL_EV_SOURCE_WINDOW.FAT&amp;VAR:ID1=GLT-FR&amp;window=popup&amp;width=535&amp;height=425&amp;START_MAXIMIZED=FALSE&amp;Y=120"}</definedName>
    <definedName name="_283__FDSAUDITLINK__" hidden="1">{"fdsup://directions/FAT Viewer?action=UPDATE&amp;creator=factSet&amp;DYN_ARGS=true&amp;DOC_NAME=FAT:RGA_ENTRPR_VAL_EV_SOURCE_WINDOW.FAT&amp;VAR:ID1=GLT-FR&amp;window=popup&amp;width=535&amp;height=425&amp;START_MAXIMIZED=FALSE&amp;Y=120"}</definedName>
    <definedName name="_284__FDSAUDITLINK__" localSheetId="0" hidden="1">{"fdsup://directions/FAT Viewer?action=UPDATE&amp;creator=factSet&amp;DYN_ARGS=true&amp;DOC_NAME=FAT:RGA_ENTRPR_VAL_EV_SOURCE_WINDOW.FAT&amp;VAR:ID1=GLT-FR&amp;window=popup&amp;width=535&amp;height=425&amp;START_MAXIMIZED=FALSE&amp;Y=120"}</definedName>
    <definedName name="_284__FDSAUDITLINK__" localSheetId="6" hidden="1">{"fdsup://directions/FAT Viewer?action=UPDATE&amp;creator=factSet&amp;DYN_ARGS=true&amp;DOC_NAME=FAT:RGA_ENTRPR_VAL_EV_SOURCE_WINDOW.FAT&amp;VAR:ID1=GLT-FR&amp;window=popup&amp;width=535&amp;height=425&amp;START_MAXIMIZED=FALSE&amp;Y=120"}</definedName>
    <definedName name="_284__FDSAUDITLINK__" hidden="1">{"fdsup://directions/FAT Viewer?action=UPDATE&amp;creator=factSet&amp;DYN_ARGS=true&amp;DOC_NAME=FAT:RGA_ENTRPR_VAL_EV_SOURCE_WINDOW.FAT&amp;VAR:ID1=GLT-FR&amp;window=popup&amp;width=535&amp;height=425&amp;START_MAXIMIZED=FALSE&amp;Y=120"}</definedName>
    <definedName name="_285__FDSAUDITLINK__" localSheetId="0" hidden="1">{"fdsup://directions/FAT Viewer?action=UPDATE&amp;creator=factSet&amp;DYN_ARGS=true&amp;DOC_NAME=FAT:RGA_ENTRPR_VAL_EV_SOURCE_WINDOW.FAT&amp;VAR:ID1=GLT-FR&amp;window=popup&amp;width=535&amp;height=425&amp;START_MAXIMIZED=FALSE&amp;Y=120"}</definedName>
    <definedName name="_285__FDSAUDITLINK__" localSheetId="6" hidden="1">{"fdsup://directions/FAT Viewer?action=UPDATE&amp;creator=factSet&amp;DYN_ARGS=true&amp;DOC_NAME=FAT:RGA_ENTRPR_VAL_EV_SOURCE_WINDOW.FAT&amp;VAR:ID1=GLT-FR&amp;window=popup&amp;width=535&amp;height=425&amp;START_MAXIMIZED=FALSE&amp;Y=120"}</definedName>
    <definedName name="_285__FDSAUDITLINK__" hidden="1">{"fdsup://directions/FAT Viewer?action=UPDATE&amp;creator=factSet&amp;DYN_ARGS=true&amp;DOC_NAME=FAT:RGA_ENTRPR_VAL_EV_SOURCE_WINDOW.FAT&amp;VAR:ID1=GLT-FR&amp;window=popup&amp;width=535&amp;height=425&amp;START_MAXIMIZED=FALSE&amp;Y=120"}</definedName>
    <definedName name="_286__FDSAUDITLINK__" localSheetId="0" hidden="1">{"fdsup://directions/FAT Viewer?action=UPDATE&amp;creator=factSet&amp;DYN_ARGS=true&amp;DOC_NAME=FAT:RGA_ENTRPR_VAL_EV_SOURCE_WINDOW.FAT&amp;VAR:ID1=GLT-FR&amp;window=popup&amp;width=535&amp;height=425&amp;START_MAXIMIZED=FALSE&amp;Y=120"}</definedName>
    <definedName name="_286__FDSAUDITLINK__" localSheetId="6" hidden="1">{"fdsup://directions/FAT Viewer?action=UPDATE&amp;creator=factSet&amp;DYN_ARGS=true&amp;DOC_NAME=FAT:RGA_ENTRPR_VAL_EV_SOURCE_WINDOW.FAT&amp;VAR:ID1=GLT-FR&amp;window=popup&amp;width=535&amp;height=425&amp;START_MAXIMIZED=FALSE&amp;Y=120"}</definedName>
    <definedName name="_286__FDSAUDITLINK__" hidden="1">{"fdsup://directions/FAT Viewer?action=UPDATE&amp;creator=factSet&amp;DYN_ARGS=true&amp;DOC_NAME=FAT:RGA_ENTRPR_VAL_EV_SOURCE_WINDOW.FAT&amp;VAR:ID1=GLT-FR&amp;window=popup&amp;width=535&amp;height=425&amp;START_MAXIMIZED=FALSE&amp;Y=120"}</definedName>
    <definedName name="_287__FDSAUDITLINK__" localSheetId="0" hidden="1">{"fdsup://directions/FAT Viewer?action=UPDATE&amp;creator=factSet&amp;DYN_ARGS=true&amp;DOC_NAME=FAT:RGA_ENTRPR_VAL_EV_SOURCE_WINDOW.FAT&amp;VAR:ID1=GLT-FR&amp;window=popup&amp;width=535&amp;height=425&amp;START_MAXIMIZED=FALSE&amp;Y=120"}</definedName>
    <definedName name="_287__FDSAUDITLINK__" localSheetId="6" hidden="1">{"fdsup://directions/FAT Viewer?action=UPDATE&amp;creator=factSet&amp;DYN_ARGS=true&amp;DOC_NAME=FAT:RGA_ENTRPR_VAL_EV_SOURCE_WINDOW.FAT&amp;VAR:ID1=GLT-FR&amp;window=popup&amp;width=535&amp;height=425&amp;START_MAXIMIZED=FALSE&amp;Y=120"}</definedName>
    <definedName name="_287__FDSAUDITLINK__" hidden="1">{"fdsup://directions/FAT Viewer?action=UPDATE&amp;creator=factSet&amp;DYN_ARGS=true&amp;DOC_NAME=FAT:RGA_ENTRPR_VAL_EV_SOURCE_WINDOW.FAT&amp;VAR:ID1=GLT-FR&amp;window=popup&amp;width=535&amp;height=425&amp;START_MAXIMIZED=FALSE&amp;Y=120"}</definedName>
    <definedName name="_288__FDSAUDITLINK__" localSheetId="0" hidden="1">{"fdsup://directions/FAT Viewer?action=UPDATE&amp;creator=factSet&amp;DYN_ARGS=true&amp;DOC_NAME=FAT:RGA_ENTRPR_VAL_EV_SOURCE_WINDOW.FAT&amp;VAR:ID1=GLT-FR&amp;window=popup&amp;width=535&amp;height=425&amp;START_MAXIMIZED=FALSE&amp;Y=120"}</definedName>
    <definedName name="_288__FDSAUDITLINK__" localSheetId="6" hidden="1">{"fdsup://directions/FAT Viewer?action=UPDATE&amp;creator=factSet&amp;DYN_ARGS=true&amp;DOC_NAME=FAT:RGA_ENTRPR_VAL_EV_SOURCE_WINDOW.FAT&amp;VAR:ID1=GLT-FR&amp;window=popup&amp;width=535&amp;height=425&amp;START_MAXIMIZED=FALSE&amp;Y=120"}</definedName>
    <definedName name="_288__FDSAUDITLINK__" hidden="1">{"fdsup://directions/FAT Viewer?action=UPDATE&amp;creator=factSet&amp;DYN_ARGS=true&amp;DOC_NAME=FAT:RGA_ENTRPR_VAL_EV_SOURCE_WINDOW.FAT&amp;VAR:ID1=GLT-FR&amp;window=popup&amp;width=535&amp;height=425&amp;START_MAXIMIZED=FALSE&amp;Y=120"}</definedName>
    <definedName name="_289__FDSAUDITLINK__" localSheetId="0" hidden="1">{"fdsup://directions/FAT Viewer?action=UPDATE&amp;creator=factSet&amp;DYN_ARGS=true&amp;DOC_NAME=FAT:RGA_ENTRPR_VAL_EV_SOURCE_WINDOW.FAT&amp;VAR:ID1=GLT-FR&amp;window=popup&amp;width=535&amp;height=425&amp;START_MAXIMIZED=FALSE&amp;Y=120"}</definedName>
    <definedName name="_289__FDSAUDITLINK__" localSheetId="6" hidden="1">{"fdsup://directions/FAT Viewer?action=UPDATE&amp;creator=factSet&amp;DYN_ARGS=true&amp;DOC_NAME=FAT:RGA_ENTRPR_VAL_EV_SOURCE_WINDOW.FAT&amp;VAR:ID1=GLT-FR&amp;window=popup&amp;width=535&amp;height=425&amp;START_MAXIMIZED=FALSE&amp;Y=120"}</definedName>
    <definedName name="_289__FDSAUDITLINK__" hidden="1">{"fdsup://directions/FAT Viewer?action=UPDATE&amp;creator=factSet&amp;DYN_ARGS=true&amp;DOC_NAME=FAT:RGA_ENTRPR_VAL_EV_SOURCE_WINDOW.FAT&amp;VAR:ID1=GLT-FR&amp;window=popup&amp;width=535&amp;height=425&amp;START_MAXIMIZED=FALSE&amp;Y=120"}</definedName>
    <definedName name="_29__123Graph_ACHART_13" hidden="1">#REF!</definedName>
    <definedName name="_29__123Graph_CCHART_38" hidden="1">#REF!</definedName>
    <definedName name="_29__123Graph_CINDX9196" hidden="1">#REF!</definedName>
    <definedName name="_29__123Graph_FCHART_22" hidden="1">#REF!</definedName>
    <definedName name="_29__123Graph_FCHART_3" hidden="1">#REF!</definedName>
    <definedName name="_29__123Graph_XCHART_15" hidden="1">#REF!</definedName>
    <definedName name="_29__123Graph_XChart_2" hidden="1">#REF!</definedName>
    <definedName name="_29__FDSAUDITLINK__" localSheetId="0" hidden="1">{"fdsup://directions/FAT Viewer?action=UPDATE&amp;creator=factSet&amp;DYN_ARGS=true&amp;DOC_NAME=FAT:RGA_ENTRPR_VAL_EV_SOURCE_WINDOW.FAT&amp;VAR:ID1=ORC-SE&amp;window=popup&amp;width=535&amp;height=425&amp;START_MAXIMIZED=FALSE&amp;Y=120"}</definedName>
    <definedName name="_29__FDSAUDITLINK__" localSheetId="6" hidden="1">{"fdsup://directions/FAT Viewer?action=UPDATE&amp;creator=factSet&amp;DYN_ARGS=true&amp;DOC_NAME=FAT:RGA_ENTRPR_VAL_EV_SOURCE_WINDOW.FAT&amp;VAR:ID1=ORC-SE&amp;window=popup&amp;width=535&amp;height=425&amp;START_MAXIMIZED=FALSE&amp;Y=120"}</definedName>
    <definedName name="_29__FDSAUDITLINK__" hidden="1">{"fdsup://directions/FAT Viewer?action=UPDATE&amp;creator=factSet&amp;DYN_ARGS=true&amp;DOC_NAME=FAT:RGA_ENTRPR_VAL_EV_SOURCE_WINDOW.FAT&amp;VAR:ID1=ORC-SE&amp;window=popup&amp;width=535&amp;height=425&amp;START_MAXIMIZED=FALSE&amp;Y=120"}</definedName>
    <definedName name="_29_0__123Graph_ACHAR" hidden="1">#REF!</definedName>
    <definedName name="_29_0__FDS_HYPERLINK_TOGGLE_STATE_" hidden="1">#N/A</definedName>
    <definedName name="_290__FDSAUDITLINK__" localSheetId="0" hidden="1">{"fdsup://directions/FAT Viewer?action=UPDATE&amp;creator=factSet&amp;DYN_ARGS=true&amp;DOC_NAME=FAT:RGA_ENTRPR_VAL_EV_SOURCE_WINDOW.FAT&amp;VAR:ID1=GLT-FR&amp;window=popup&amp;width=535&amp;height=425&amp;START_MAXIMIZED=FALSE&amp;Y=120"}</definedName>
    <definedName name="_290__FDSAUDITLINK__" localSheetId="6" hidden="1">{"fdsup://directions/FAT Viewer?action=UPDATE&amp;creator=factSet&amp;DYN_ARGS=true&amp;DOC_NAME=FAT:RGA_ENTRPR_VAL_EV_SOURCE_WINDOW.FAT&amp;VAR:ID1=GLT-FR&amp;window=popup&amp;width=535&amp;height=425&amp;START_MAXIMIZED=FALSE&amp;Y=120"}</definedName>
    <definedName name="_290__FDSAUDITLINK__" hidden="1">{"fdsup://directions/FAT Viewer?action=UPDATE&amp;creator=factSet&amp;DYN_ARGS=true&amp;DOC_NAME=FAT:RGA_ENTRPR_VAL_EV_SOURCE_WINDOW.FAT&amp;VAR:ID1=GLT-FR&amp;window=popup&amp;width=535&amp;height=425&amp;START_MAXIMIZED=FALSE&amp;Y=120"}</definedName>
    <definedName name="_291__FDSAUDITLINK__" localSheetId="0" hidden="1">{"fdsup://directions/FAT Viewer?action=UPDATE&amp;creator=factSet&amp;DYN_ARGS=true&amp;DOC_NAME=FAT:RGA_ENTRPR_VAL_EV_SOURCE_WINDOW.FAT&amp;VAR:ID1=GLT-FR&amp;window=popup&amp;width=535&amp;height=425&amp;START_MAXIMIZED=FALSE&amp;Y=120"}</definedName>
    <definedName name="_291__FDSAUDITLINK__" localSheetId="6" hidden="1">{"fdsup://directions/FAT Viewer?action=UPDATE&amp;creator=factSet&amp;DYN_ARGS=true&amp;DOC_NAME=FAT:RGA_ENTRPR_VAL_EV_SOURCE_WINDOW.FAT&amp;VAR:ID1=GLT-FR&amp;window=popup&amp;width=535&amp;height=425&amp;START_MAXIMIZED=FALSE&amp;Y=120"}</definedName>
    <definedName name="_291__FDSAUDITLINK__" hidden="1">{"fdsup://directions/FAT Viewer?action=UPDATE&amp;creator=factSet&amp;DYN_ARGS=true&amp;DOC_NAME=FAT:RGA_ENTRPR_VAL_EV_SOURCE_WINDOW.FAT&amp;VAR:ID1=GLT-FR&amp;window=popup&amp;width=535&amp;height=425&amp;START_MAXIMIZED=FALSE&amp;Y=120"}</definedName>
    <definedName name="_292__123Graph_DCHART_24" hidden="1">#REF!</definedName>
    <definedName name="_292__FDSAUDITLINK__" localSheetId="0" hidden="1">{"fdsup://directions/FAT Viewer?action=UPDATE&amp;creator=factSet&amp;DYN_ARGS=true&amp;DOC_NAME=FAT:RGA_ENTRPR_VAL_EV_SOURCE_WINDOW.FAT&amp;VAR:ID1=GLT-FR&amp;window=popup&amp;width=535&amp;height=425&amp;START_MAXIMIZED=FALSE&amp;Y=120"}</definedName>
    <definedName name="_292__FDSAUDITLINK__" localSheetId="6" hidden="1">{"fdsup://directions/FAT Viewer?action=UPDATE&amp;creator=factSet&amp;DYN_ARGS=true&amp;DOC_NAME=FAT:RGA_ENTRPR_VAL_EV_SOURCE_WINDOW.FAT&amp;VAR:ID1=GLT-FR&amp;window=popup&amp;width=535&amp;height=425&amp;START_MAXIMIZED=FALSE&amp;Y=120"}</definedName>
    <definedName name="_292__FDSAUDITLINK__" hidden="1">{"fdsup://directions/FAT Viewer?action=UPDATE&amp;creator=factSet&amp;DYN_ARGS=true&amp;DOC_NAME=FAT:RGA_ENTRPR_VAL_EV_SOURCE_WINDOW.FAT&amp;VAR:ID1=GLT-FR&amp;window=popup&amp;width=535&amp;height=425&amp;START_MAXIMIZED=FALSE&amp;Y=120"}</definedName>
    <definedName name="_293__FDSAUDITLINK__" localSheetId="0" hidden="1">{"fdsup://directions/FAT Viewer?action=UPDATE&amp;creator=factSet&amp;DYN_ARGS=true&amp;DOC_NAME=FAT:RGA_ENTRPR_VAL_EV_SOURCE_WINDOW.FAT&amp;VAR:ID1=GLT-FR&amp;window=popup&amp;width=535&amp;height=425&amp;START_MAXIMIZED=FALSE&amp;Y=120"}</definedName>
    <definedName name="_293__FDSAUDITLINK__" localSheetId="6" hidden="1">{"fdsup://directions/FAT Viewer?action=UPDATE&amp;creator=factSet&amp;DYN_ARGS=true&amp;DOC_NAME=FAT:RGA_ENTRPR_VAL_EV_SOURCE_WINDOW.FAT&amp;VAR:ID1=GLT-FR&amp;window=popup&amp;width=535&amp;height=425&amp;START_MAXIMIZED=FALSE&amp;Y=120"}</definedName>
    <definedName name="_293__FDSAUDITLINK__" hidden="1">{"fdsup://directions/FAT Viewer?action=UPDATE&amp;creator=factSet&amp;DYN_ARGS=true&amp;DOC_NAME=FAT:RGA_ENTRPR_VAL_EV_SOURCE_WINDOW.FAT&amp;VAR:ID1=GLT-FR&amp;window=popup&amp;width=535&amp;height=425&amp;START_MAXIMIZED=FALSE&amp;Y=120"}</definedName>
    <definedName name="_294__FDSAUDITLINK__" localSheetId="0" hidden="1">{"fdsup://directions/FAT Viewer?action=UPDATE&amp;creator=factSet&amp;DYN_ARGS=true&amp;DOC_NAME=FAT:RGA_ENTRPR_VAL_EV_SOURCE_WINDOW.FAT&amp;VAR:ID1=GLT-FR&amp;window=popup&amp;width=535&amp;height=425&amp;START_MAXIMIZED=FALSE&amp;Y=120"}</definedName>
    <definedName name="_294__FDSAUDITLINK__" localSheetId="6" hidden="1">{"fdsup://directions/FAT Viewer?action=UPDATE&amp;creator=factSet&amp;DYN_ARGS=true&amp;DOC_NAME=FAT:RGA_ENTRPR_VAL_EV_SOURCE_WINDOW.FAT&amp;VAR:ID1=GLT-FR&amp;window=popup&amp;width=535&amp;height=425&amp;START_MAXIMIZED=FALSE&amp;Y=120"}</definedName>
    <definedName name="_294__FDSAUDITLINK__" hidden="1">{"fdsup://directions/FAT Viewer?action=UPDATE&amp;creator=factSet&amp;DYN_ARGS=true&amp;DOC_NAME=FAT:RGA_ENTRPR_VAL_EV_SOURCE_WINDOW.FAT&amp;VAR:ID1=GLT-FR&amp;window=popup&amp;width=535&amp;height=425&amp;START_MAXIMIZED=FALSE&amp;Y=120"}</definedName>
    <definedName name="_295__FDSAUDITLINK__" localSheetId="0" hidden="1">{"fdsup://directions/FAT Viewer?action=UPDATE&amp;creator=factSet&amp;DYN_ARGS=true&amp;DOC_NAME=FAT:RGA_ENTRPR_VAL_EV_SOURCE_WINDOW.FAT&amp;VAR:ID1=GLT-FR&amp;window=popup&amp;width=535&amp;height=425&amp;START_MAXIMIZED=FALSE&amp;Y=120"}</definedName>
    <definedName name="_295__FDSAUDITLINK__" localSheetId="6" hidden="1">{"fdsup://directions/FAT Viewer?action=UPDATE&amp;creator=factSet&amp;DYN_ARGS=true&amp;DOC_NAME=FAT:RGA_ENTRPR_VAL_EV_SOURCE_WINDOW.FAT&amp;VAR:ID1=GLT-FR&amp;window=popup&amp;width=535&amp;height=425&amp;START_MAXIMIZED=FALSE&amp;Y=120"}</definedName>
    <definedName name="_295__FDSAUDITLINK__" hidden="1">{"fdsup://directions/FAT Viewer?action=UPDATE&amp;creator=factSet&amp;DYN_ARGS=true&amp;DOC_NAME=FAT:RGA_ENTRPR_VAL_EV_SOURCE_WINDOW.FAT&amp;VAR:ID1=GLT-FR&amp;window=popup&amp;width=535&amp;height=425&amp;START_MAXIMIZED=FALSE&amp;Y=120"}</definedName>
    <definedName name="_296__123Graph_DCHART_26" hidden="1">#REF!</definedName>
    <definedName name="_296__FDSAUDITLINK__" localSheetId="0" hidden="1">{"fdsup://directions/FAT Viewer?action=UPDATE&amp;creator=factSet&amp;DYN_ARGS=true&amp;DOC_NAME=FAT:RGA_ENTRPR_VAL_EV_SOURCE_WINDOW.FAT&amp;VAR:ID1=GLT-FR&amp;window=popup&amp;width=535&amp;height=425&amp;START_MAXIMIZED=FALSE&amp;Y=120"}</definedName>
    <definedName name="_296__FDSAUDITLINK__" localSheetId="6" hidden="1">{"fdsup://directions/FAT Viewer?action=UPDATE&amp;creator=factSet&amp;DYN_ARGS=true&amp;DOC_NAME=FAT:RGA_ENTRPR_VAL_EV_SOURCE_WINDOW.FAT&amp;VAR:ID1=GLT-FR&amp;window=popup&amp;width=535&amp;height=425&amp;START_MAXIMIZED=FALSE&amp;Y=120"}</definedName>
    <definedName name="_296__FDSAUDITLINK__" hidden="1">{"fdsup://directions/FAT Viewer?action=UPDATE&amp;creator=factSet&amp;DYN_ARGS=true&amp;DOC_NAME=FAT:RGA_ENTRPR_VAL_EV_SOURCE_WINDOW.FAT&amp;VAR:ID1=GLT-FR&amp;window=popup&amp;width=535&amp;height=425&amp;START_MAXIMIZED=FALSE&amp;Y=120"}</definedName>
    <definedName name="_297__FDSAUDITLINK__" localSheetId="0" hidden="1">{"fdsup://directions/FAT Viewer?action=UPDATE&amp;creator=factSet&amp;DYN_ARGS=true&amp;DOC_NAME=FAT:RGA_ENTRPR_VAL_EV_SOURCE_WINDOW.FAT&amp;VAR:ID1=GLT-FR&amp;window=popup&amp;width=535&amp;height=425&amp;START_MAXIMIZED=FALSE&amp;Y=120"}</definedName>
    <definedName name="_297__FDSAUDITLINK__" localSheetId="6" hidden="1">{"fdsup://directions/FAT Viewer?action=UPDATE&amp;creator=factSet&amp;DYN_ARGS=true&amp;DOC_NAME=FAT:RGA_ENTRPR_VAL_EV_SOURCE_WINDOW.FAT&amp;VAR:ID1=GLT-FR&amp;window=popup&amp;width=535&amp;height=425&amp;START_MAXIMIZED=FALSE&amp;Y=120"}</definedName>
    <definedName name="_297__FDSAUDITLINK__" hidden="1">{"fdsup://directions/FAT Viewer?action=UPDATE&amp;creator=factSet&amp;DYN_ARGS=true&amp;DOC_NAME=FAT:RGA_ENTRPR_VAL_EV_SOURCE_WINDOW.FAT&amp;VAR:ID1=GLT-FR&amp;window=popup&amp;width=535&amp;height=425&amp;START_MAXIMIZED=FALSE&amp;Y=120"}</definedName>
    <definedName name="_298__FDSAUDITLINK__" localSheetId="0" hidden="1">{"fdsup://directions/FAT Viewer?action=UPDATE&amp;creator=factSet&amp;DYN_ARGS=true&amp;DOC_NAME=FAT:RGA_ENTRPR_VAL_EV_SOURCE_WINDOW.FAT&amp;VAR:ID1=GLT-FR&amp;window=popup&amp;width=535&amp;height=425&amp;START_MAXIMIZED=FALSE&amp;Y=120"}</definedName>
    <definedName name="_298__FDSAUDITLINK__" localSheetId="6" hidden="1">{"fdsup://directions/FAT Viewer?action=UPDATE&amp;creator=factSet&amp;DYN_ARGS=true&amp;DOC_NAME=FAT:RGA_ENTRPR_VAL_EV_SOURCE_WINDOW.FAT&amp;VAR:ID1=GLT-FR&amp;window=popup&amp;width=535&amp;height=425&amp;START_MAXIMIZED=FALSE&amp;Y=120"}</definedName>
    <definedName name="_298__FDSAUDITLINK__" hidden="1">{"fdsup://directions/FAT Viewer?action=UPDATE&amp;creator=factSet&amp;DYN_ARGS=true&amp;DOC_NAME=FAT:RGA_ENTRPR_VAL_EV_SOURCE_WINDOW.FAT&amp;VAR:ID1=GLT-FR&amp;window=popup&amp;width=535&amp;height=425&amp;START_MAXIMIZED=FALSE&amp;Y=120"}</definedName>
    <definedName name="_299__FDSAUDITLINK__" localSheetId="0" hidden="1">{"fdsup://directions/FAT Viewer?action=UPDATE&amp;creator=factSet&amp;DYN_ARGS=true&amp;DOC_NAME=FAT:RGA_ENTRPR_VAL_EV_SOURCE_WINDOW.FAT&amp;VAR:ID1=GLT-FR&amp;window=popup&amp;width=535&amp;height=425&amp;START_MAXIMIZED=FALSE&amp;Y=120"}</definedName>
    <definedName name="_299__FDSAUDITLINK__" localSheetId="6" hidden="1">{"fdsup://directions/FAT Viewer?action=UPDATE&amp;creator=factSet&amp;DYN_ARGS=true&amp;DOC_NAME=FAT:RGA_ENTRPR_VAL_EV_SOURCE_WINDOW.FAT&amp;VAR:ID1=GLT-FR&amp;window=popup&amp;width=535&amp;height=425&amp;START_MAXIMIZED=FALSE&amp;Y=120"}</definedName>
    <definedName name="_299__FDSAUDITLINK__" hidden="1">{"fdsup://directions/FAT Viewer?action=UPDATE&amp;creator=factSet&amp;DYN_ARGS=true&amp;DOC_NAME=FAT:RGA_ENTRPR_VAL_EV_SOURCE_WINDOW.FAT&amp;VAR:ID1=GLT-FR&amp;window=popup&amp;width=535&amp;height=425&amp;START_MAXIMIZED=FALSE&amp;Y=120"}</definedName>
    <definedName name="_2Dist_Val" hidden="1">#REF!</definedName>
    <definedName name="_3_?88">#REF!</definedName>
    <definedName name="_3____123Graph_BCHART_1" hidden="1">#REF!</definedName>
    <definedName name="_3__123Graph_A_BP96" hidden="1">#REF!</definedName>
    <definedName name="_3__123Graph_ACHART_1" hidden="1">#REF!</definedName>
    <definedName name="_3__123Graph_ACHART_14" hidden="1">#REF!</definedName>
    <definedName name="_3__123Graph_ACHART_16" hidden="1">#REF!</definedName>
    <definedName name="_3__123Graph_AChart_2" hidden="1">#REF!</definedName>
    <definedName name="_3__123Graph_ACHART_3" hidden="1">#REF!</definedName>
    <definedName name="_3__123Graph_AMKT_MONTH" hidden="1">#REF!</definedName>
    <definedName name="_3__123Graph_AR_M_MARG" hidden="1">#REF!</definedName>
    <definedName name="_3__123Graph_BCHART_1" hidden="1">#REF!</definedName>
    <definedName name="_3__123Graph_BCHART_1A" hidden="1">#REF!</definedName>
    <definedName name="_3__123Graph_BMKT_MONTH" hidden="1">#REF!</definedName>
    <definedName name="_3__123Graph_BPE_Y" hidden="1">#REF!</definedName>
    <definedName name="_3__123Graph_CCHART_1" hidden="1">#REF!</definedName>
    <definedName name="_3__123Graph_CCHART_12" hidden="1">#REF!</definedName>
    <definedName name="_3__123Graph_LBL_ACHART_1" hidden="1">#REF!</definedName>
    <definedName name="_3__123Graph_LBL_BCHART_4" hidden="1">#REF!</definedName>
    <definedName name="_3__FDSAUDITLINK__" localSheetId="0" hidden="1">{"fdsup://Directions/FAT Viewer?action=UPDATE&amp;creator=factset&amp;DOC_NAME=fat:reuters_annual_source_window.fat&amp;display_string=Audit&amp;DYN_ARGS=TRUE&amp;VAR:ID1=B011JK&amp;VAR:RCODE=QTSC&amp;VAR:SDATE=20071299&amp;VAR:FREQ=Y&amp;VAR:RELITEM=RP&amp;VAR:CURRENCY=&amp;VAR:CURRSOURCE=EXSHARE&amp;VA","R:NATFREQ=ANNUAL&amp;VAR:RFIELD=FINALIZED&amp;VAR:DB_TYPE=&amp;VAR:UNITS=M&amp;window=popup&amp;width=450&amp;height=300&amp;START_MAXIMIZED=FALSE"}</definedName>
    <definedName name="_3__FDSAUDITLINK__" localSheetId="6" hidden="1">{"fdsup://Directions/FAT Viewer?action=UPDATE&amp;creator=factset&amp;DOC_NAME=fat:reuters_annual_source_window.fat&amp;display_string=Audit&amp;DYN_ARGS=TRUE&amp;VAR:ID1=B011JK&amp;VAR:RCODE=QTSC&amp;VAR:SDATE=20071299&amp;VAR:FREQ=Y&amp;VAR:RELITEM=RP&amp;VAR:CURRENCY=&amp;VAR:CURRSOURCE=EXSHARE&amp;VA","R:NATFREQ=ANNUAL&amp;VAR:RFIELD=FINALIZED&amp;VAR:DB_TYPE=&amp;VAR:UNITS=M&amp;window=popup&amp;width=450&amp;height=300&amp;START_MAXIMIZED=FALSE"}</definedName>
    <definedName name="_3__FDSAUDITLINK__" hidden="1">{"fdsup://Directions/FAT Viewer?action=UPDATE&amp;creator=factset&amp;DOC_NAME=fat:reuters_annual_source_window.fat&amp;display_string=Audit&amp;DYN_ARGS=TRUE&amp;VAR:ID1=B011JK&amp;VAR:RCODE=QTSC&amp;VAR:SDATE=20071299&amp;VAR:FREQ=Y&amp;VAR:RELITEM=RP&amp;VAR:CURRENCY=&amp;VAR:CURRSOURCE=EXSHARE&amp;VA","R:NATFREQ=ANNUAL&amp;VAR:RFIELD=FINALIZED&amp;VAR:DB_TYPE=&amp;VAR:UNITS=M&amp;window=popup&amp;width=450&amp;height=300&amp;START_MAXIMIZED=FALSE"}</definedName>
    <definedName name="_3_0_0inv_in_immobil._immat" hidden="1">#REF!</definedName>
    <definedName name="_3_0_Dist_Val" hidden="1">#REF!</definedName>
    <definedName name="_3_0ACwvu.Pag" hidden="1">#REF!</definedName>
    <definedName name="_3_0Swvu.Pag" hidden="1">#REF!</definedName>
    <definedName name="_30__123Graph_ACHART_19" hidden="1">#REF!</definedName>
    <definedName name="_30__123Graph_BCHART_10" hidden="1">#REF!</definedName>
    <definedName name="_30__123Graph_BMKT_YTD" hidden="1">#REF!</definedName>
    <definedName name="_30__123Graph_CCHART_17" hidden="1">#REF!</definedName>
    <definedName name="_30__123Graph_CCHART_39" hidden="1">#REF!</definedName>
    <definedName name="_30__123Graph_CINDX95" hidden="1">#REF!</definedName>
    <definedName name="_30__123Graph_FCHART_4" hidden="1">#REF!</definedName>
    <definedName name="_30__123Graph_XCHART_15" hidden="1">#REF!</definedName>
    <definedName name="_30__123Graph_XCHART_16" hidden="1">#REF!</definedName>
    <definedName name="_30__123Graph_XChart_3" hidden="1">#REF!</definedName>
    <definedName name="_30__123Graph_XMKT_YTD" hidden="1">#REF!</definedName>
    <definedName name="_30__FDSAUDITLINK__" localSheetId="0" hidden="1">{"fdsup://directions/FAT Viewer?action=UPDATE&amp;creator=factSet&amp;DYN_ARGS=true&amp;DOC_NAME=FAT:RGA_ENTRPR_VAL_EV_SOURCE_WINDOW.FAT&amp;VAR:ID1=EV&amp;window=popup&amp;width=535&amp;height=425&amp;START_MAXIMIZED=FALSE&amp;Y=120"}</definedName>
    <definedName name="_30__FDSAUDITLINK__" localSheetId="6" hidden="1">{"fdsup://directions/FAT Viewer?action=UPDATE&amp;creator=factSet&amp;DYN_ARGS=true&amp;DOC_NAME=FAT:RGA_ENTRPR_VAL_EV_SOURCE_WINDOW.FAT&amp;VAR:ID1=EV&amp;window=popup&amp;width=535&amp;height=425&amp;START_MAXIMIZED=FALSE&amp;Y=120"}</definedName>
    <definedName name="_30__FDSAUDITLINK__" hidden="1">{"fdsup://directions/FAT Viewer?action=UPDATE&amp;creator=factSet&amp;DYN_ARGS=true&amp;DOC_NAME=FAT:RGA_ENTRPR_VAL_EV_SOURCE_WINDOW.FAT&amp;VAR:ID1=EV&amp;window=popup&amp;width=535&amp;height=425&amp;START_MAXIMIZED=FALSE&amp;Y=120"}</definedName>
    <definedName name="_30_0__123Graph_ACHAR" hidden="1">#REF!</definedName>
    <definedName name="_30_0__FDS_HYPERLINK_TOGGLE_STATE_" hidden="1">#N/A</definedName>
    <definedName name="_30_0ACwvu.Pag" hidden="1">#REF!</definedName>
    <definedName name="_300__123Graph_DCHART_28" hidden="1">#REF!</definedName>
    <definedName name="_300__FDSAUDITLINK__" localSheetId="0" hidden="1">{"fdsup://directions/FAT Viewer?action=UPDATE&amp;creator=factSet&amp;DYN_ARGS=true&amp;DOC_NAME=FAT:RGA_ENTRPR_VAL_EV_SOURCE_WINDOW.FAT&amp;VAR:ID1=GLT-FR&amp;window=popup&amp;width=535&amp;height=425&amp;START_MAXIMIZED=FALSE&amp;Y=120"}</definedName>
    <definedName name="_300__FDSAUDITLINK__" localSheetId="6" hidden="1">{"fdsup://directions/FAT Viewer?action=UPDATE&amp;creator=factSet&amp;DYN_ARGS=true&amp;DOC_NAME=FAT:RGA_ENTRPR_VAL_EV_SOURCE_WINDOW.FAT&amp;VAR:ID1=GLT-FR&amp;window=popup&amp;width=535&amp;height=425&amp;START_MAXIMIZED=FALSE&amp;Y=120"}</definedName>
    <definedName name="_300__FDSAUDITLINK__" hidden="1">{"fdsup://directions/FAT Viewer?action=UPDATE&amp;creator=factSet&amp;DYN_ARGS=true&amp;DOC_NAME=FAT:RGA_ENTRPR_VAL_EV_SOURCE_WINDOW.FAT&amp;VAR:ID1=GLT-FR&amp;window=popup&amp;width=535&amp;height=425&amp;START_MAXIMIZED=FALSE&amp;Y=120"}</definedName>
    <definedName name="_301__FDSAUDITLINK__" localSheetId="0" hidden="1">{"fdsup://directions/FAT Viewer?action=UPDATE&amp;creator=factSet&amp;DYN_ARGS=true&amp;DOC_NAME=FAT:RGA_ENTRPR_VAL_EV_SOURCE_WINDOW.FAT&amp;VAR:ID1=GLT-FR&amp;window=popup&amp;width=535&amp;height=425&amp;START_MAXIMIZED=FALSE&amp;Y=120"}</definedName>
    <definedName name="_301__FDSAUDITLINK__" localSheetId="6" hidden="1">{"fdsup://directions/FAT Viewer?action=UPDATE&amp;creator=factSet&amp;DYN_ARGS=true&amp;DOC_NAME=FAT:RGA_ENTRPR_VAL_EV_SOURCE_WINDOW.FAT&amp;VAR:ID1=GLT-FR&amp;window=popup&amp;width=535&amp;height=425&amp;START_MAXIMIZED=FALSE&amp;Y=120"}</definedName>
    <definedName name="_301__FDSAUDITLINK__" hidden="1">{"fdsup://directions/FAT Viewer?action=UPDATE&amp;creator=factSet&amp;DYN_ARGS=true&amp;DOC_NAME=FAT:RGA_ENTRPR_VAL_EV_SOURCE_WINDOW.FAT&amp;VAR:ID1=GLT-FR&amp;window=popup&amp;width=535&amp;height=425&amp;START_MAXIMIZED=FALSE&amp;Y=120"}</definedName>
    <definedName name="_302__FDSAUDITLINK__" localSheetId="0" hidden="1">{"fdsup://directions/FAT Viewer?action=UPDATE&amp;creator=factSet&amp;DYN_ARGS=true&amp;DOC_NAME=FAT:RGA_ENTRPR_VAL_EV_SOURCE_WINDOW.FAT&amp;VAR:ID1=GLT-FR&amp;window=popup&amp;width=535&amp;height=425&amp;START_MAXIMIZED=FALSE&amp;Y=120"}</definedName>
    <definedName name="_302__FDSAUDITLINK__" localSheetId="6" hidden="1">{"fdsup://directions/FAT Viewer?action=UPDATE&amp;creator=factSet&amp;DYN_ARGS=true&amp;DOC_NAME=FAT:RGA_ENTRPR_VAL_EV_SOURCE_WINDOW.FAT&amp;VAR:ID1=GLT-FR&amp;window=popup&amp;width=535&amp;height=425&amp;START_MAXIMIZED=FALSE&amp;Y=120"}</definedName>
    <definedName name="_302__FDSAUDITLINK__" hidden="1">{"fdsup://directions/FAT Viewer?action=UPDATE&amp;creator=factSet&amp;DYN_ARGS=true&amp;DOC_NAME=FAT:RGA_ENTRPR_VAL_EV_SOURCE_WINDOW.FAT&amp;VAR:ID1=GLT-FR&amp;window=popup&amp;width=535&amp;height=425&amp;START_MAXIMIZED=FALSE&amp;Y=120"}</definedName>
    <definedName name="_303__FDSAUDITLINK__" localSheetId="0" hidden="1">{"fdsup://directions/FAT Viewer?action=UPDATE&amp;creator=factSet&amp;DYN_ARGS=true&amp;DOC_NAME=FAT:RGA_ENTRPR_VAL_EV_SOURCE_WINDOW.FAT&amp;VAR:ID1=GLT-FR&amp;window=popup&amp;width=535&amp;height=425&amp;START_MAXIMIZED=FALSE&amp;Y=120"}</definedName>
    <definedName name="_303__FDSAUDITLINK__" localSheetId="6" hidden="1">{"fdsup://directions/FAT Viewer?action=UPDATE&amp;creator=factSet&amp;DYN_ARGS=true&amp;DOC_NAME=FAT:RGA_ENTRPR_VAL_EV_SOURCE_WINDOW.FAT&amp;VAR:ID1=GLT-FR&amp;window=popup&amp;width=535&amp;height=425&amp;START_MAXIMIZED=FALSE&amp;Y=120"}</definedName>
    <definedName name="_303__FDSAUDITLINK__" hidden="1">{"fdsup://directions/FAT Viewer?action=UPDATE&amp;creator=factSet&amp;DYN_ARGS=true&amp;DOC_NAME=FAT:RGA_ENTRPR_VAL_EV_SOURCE_WINDOW.FAT&amp;VAR:ID1=GLT-FR&amp;window=popup&amp;width=535&amp;height=425&amp;START_MAXIMIZED=FALSE&amp;Y=120"}</definedName>
    <definedName name="_304__FDSAUDITLINK__" localSheetId="0" hidden="1">{"fdsup://directions/FAT Viewer?action=UPDATE&amp;creator=factSet&amp;DYN_ARGS=true&amp;DOC_NAME=FAT:RGA_ENTRPR_VAL_EV_SOURCE_WINDOW.FAT&amp;VAR:ID1=GLT-FR&amp;window=popup&amp;width=535&amp;height=425&amp;START_MAXIMIZED=FALSE&amp;Y=120"}</definedName>
    <definedName name="_304__FDSAUDITLINK__" localSheetId="6" hidden="1">{"fdsup://directions/FAT Viewer?action=UPDATE&amp;creator=factSet&amp;DYN_ARGS=true&amp;DOC_NAME=FAT:RGA_ENTRPR_VAL_EV_SOURCE_WINDOW.FAT&amp;VAR:ID1=GLT-FR&amp;window=popup&amp;width=535&amp;height=425&amp;START_MAXIMIZED=FALSE&amp;Y=120"}</definedName>
    <definedName name="_304__FDSAUDITLINK__" hidden="1">{"fdsup://directions/FAT Viewer?action=UPDATE&amp;creator=factSet&amp;DYN_ARGS=true&amp;DOC_NAME=FAT:RGA_ENTRPR_VAL_EV_SOURCE_WINDOW.FAT&amp;VAR:ID1=GLT-FR&amp;window=popup&amp;width=535&amp;height=425&amp;START_MAXIMIZED=FALSE&amp;Y=120"}</definedName>
    <definedName name="_305__FDSAUDITLINK__" localSheetId="0" hidden="1">{"fdsup://directions/FAT Viewer?action=UPDATE&amp;creator=factSet&amp;DYN_ARGS=true&amp;DOC_NAME=FAT:RGA_ENTRPR_VAL_EV_SOURCE_WINDOW.FAT&amp;VAR:ID1=GLT-FR&amp;window=popup&amp;width=535&amp;height=425&amp;START_MAXIMIZED=FALSE&amp;Y=120"}</definedName>
    <definedName name="_305__FDSAUDITLINK__" localSheetId="6" hidden="1">{"fdsup://directions/FAT Viewer?action=UPDATE&amp;creator=factSet&amp;DYN_ARGS=true&amp;DOC_NAME=FAT:RGA_ENTRPR_VAL_EV_SOURCE_WINDOW.FAT&amp;VAR:ID1=GLT-FR&amp;window=popup&amp;width=535&amp;height=425&amp;START_MAXIMIZED=FALSE&amp;Y=120"}</definedName>
    <definedName name="_305__FDSAUDITLINK__" hidden="1">{"fdsup://directions/FAT Viewer?action=UPDATE&amp;creator=factSet&amp;DYN_ARGS=true&amp;DOC_NAME=FAT:RGA_ENTRPR_VAL_EV_SOURCE_WINDOW.FAT&amp;VAR:ID1=GLT-FR&amp;window=popup&amp;width=535&amp;height=425&amp;START_MAXIMIZED=FALSE&amp;Y=120"}</definedName>
    <definedName name="_306__FDSAUDITLINK__" localSheetId="0" hidden="1">{"fdsup://directions/FAT Viewer?action=UPDATE&amp;creator=factSet&amp;DYN_ARGS=true&amp;DOC_NAME=FAT:RGA_ENTRPR_VAL_EV_SOURCE_WINDOW.FAT&amp;VAR:ID1=GLT-FR&amp;window=popup&amp;width=535&amp;height=425&amp;START_MAXIMIZED=FALSE&amp;Y=120"}</definedName>
    <definedName name="_306__FDSAUDITLINK__" localSheetId="6" hidden="1">{"fdsup://directions/FAT Viewer?action=UPDATE&amp;creator=factSet&amp;DYN_ARGS=true&amp;DOC_NAME=FAT:RGA_ENTRPR_VAL_EV_SOURCE_WINDOW.FAT&amp;VAR:ID1=GLT-FR&amp;window=popup&amp;width=535&amp;height=425&amp;START_MAXIMIZED=FALSE&amp;Y=120"}</definedName>
    <definedName name="_306__FDSAUDITLINK__" hidden="1">{"fdsup://directions/FAT Viewer?action=UPDATE&amp;creator=factSet&amp;DYN_ARGS=true&amp;DOC_NAME=FAT:RGA_ENTRPR_VAL_EV_SOURCE_WINDOW.FAT&amp;VAR:ID1=GLT-FR&amp;window=popup&amp;width=535&amp;height=425&amp;START_MAXIMIZED=FALSE&amp;Y=120"}</definedName>
    <definedName name="_307__FDSAUDITLINK__" localSheetId="0" hidden="1">{"fdsup://directions/FAT Viewer?action=UPDATE&amp;creator=factSet&amp;DYN_ARGS=true&amp;DOC_NAME=FAT:RGA_ENTRPR_VAL_EV_SOURCE_WINDOW.FAT&amp;VAR:ID1=GLT-FR&amp;window=popup&amp;width=535&amp;height=425&amp;START_MAXIMIZED=FALSE&amp;Y=120"}</definedName>
    <definedName name="_307__FDSAUDITLINK__" localSheetId="6" hidden="1">{"fdsup://directions/FAT Viewer?action=UPDATE&amp;creator=factSet&amp;DYN_ARGS=true&amp;DOC_NAME=FAT:RGA_ENTRPR_VAL_EV_SOURCE_WINDOW.FAT&amp;VAR:ID1=GLT-FR&amp;window=popup&amp;width=535&amp;height=425&amp;START_MAXIMIZED=FALSE&amp;Y=120"}</definedName>
    <definedName name="_307__FDSAUDITLINK__" hidden="1">{"fdsup://directions/FAT Viewer?action=UPDATE&amp;creator=factSet&amp;DYN_ARGS=true&amp;DOC_NAME=FAT:RGA_ENTRPR_VAL_EV_SOURCE_WINDOW.FAT&amp;VAR:ID1=GLT-FR&amp;window=popup&amp;width=535&amp;height=425&amp;START_MAXIMIZED=FALSE&amp;Y=120"}</definedName>
    <definedName name="_308__FDSAUDITLINK__" localSheetId="0" hidden="1">{"fdsup://directions/FAT Viewer?action=UPDATE&amp;creator=factSet&amp;DYN_ARGS=true&amp;DOC_NAME=FAT:RGA_ENTRPR_VAL_EV_SOURCE_WINDOW.FAT&amp;VAR:ID1=GLT-FR&amp;window=popup&amp;width=535&amp;height=425&amp;START_MAXIMIZED=FALSE&amp;Y=120"}</definedName>
    <definedName name="_308__FDSAUDITLINK__" localSheetId="6" hidden="1">{"fdsup://directions/FAT Viewer?action=UPDATE&amp;creator=factSet&amp;DYN_ARGS=true&amp;DOC_NAME=FAT:RGA_ENTRPR_VAL_EV_SOURCE_WINDOW.FAT&amp;VAR:ID1=GLT-FR&amp;window=popup&amp;width=535&amp;height=425&amp;START_MAXIMIZED=FALSE&amp;Y=120"}</definedName>
    <definedName name="_308__FDSAUDITLINK__" hidden="1">{"fdsup://directions/FAT Viewer?action=UPDATE&amp;creator=factSet&amp;DYN_ARGS=true&amp;DOC_NAME=FAT:RGA_ENTRPR_VAL_EV_SOURCE_WINDOW.FAT&amp;VAR:ID1=GLT-FR&amp;window=popup&amp;width=535&amp;height=425&amp;START_MAXIMIZED=FALSE&amp;Y=120"}</definedName>
    <definedName name="_309__FDSAUDITLINK__" localSheetId="0" hidden="1">{"fdsup://directions/FAT Viewer?action=UPDATE&amp;creator=factSet&amp;DYN_ARGS=true&amp;DOC_NAME=FAT:RGA_ENTRPR_VAL_EV_SOURCE_WINDOW.FAT&amp;VAR:ID1=GLT-FR&amp;window=popup&amp;width=535&amp;height=425&amp;START_MAXIMIZED=FALSE&amp;Y=120"}</definedName>
    <definedName name="_309__FDSAUDITLINK__" localSheetId="6" hidden="1">{"fdsup://directions/FAT Viewer?action=UPDATE&amp;creator=factSet&amp;DYN_ARGS=true&amp;DOC_NAME=FAT:RGA_ENTRPR_VAL_EV_SOURCE_WINDOW.FAT&amp;VAR:ID1=GLT-FR&amp;window=popup&amp;width=535&amp;height=425&amp;START_MAXIMIZED=FALSE&amp;Y=120"}</definedName>
    <definedName name="_309__FDSAUDITLINK__" hidden="1">{"fdsup://directions/FAT Viewer?action=UPDATE&amp;creator=factSet&amp;DYN_ARGS=true&amp;DOC_NAME=FAT:RGA_ENTRPR_VAL_EV_SOURCE_WINDOW.FAT&amp;VAR:ID1=GLT-FR&amp;window=popup&amp;width=535&amp;height=425&amp;START_MAXIMIZED=FALSE&amp;Y=120"}</definedName>
    <definedName name="_31__123Graph_C_KD956" hidden="1">#REF!</definedName>
    <definedName name="_31__123Graph_CCHART_4" hidden="1">#REF!</definedName>
    <definedName name="_31__123Graph_CINDX96" hidden="1">#REF!</definedName>
    <definedName name="_31__123Graph_FCHART_5" hidden="1">#REF!</definedName>
    <definedName name="_31__123Graph_XCHART_16" hidden="1">#REF!</definedName>
    <definedName name="_31__123Graph_XCHART_2" hidden="1">#REF!</definedName>
    <definedName name="_31__123Graph_XChart_4" hidden="1">#REF!</definedName>
    <definedName name="_31__FDSAUDITLINK__" localSheetId="0" hidden="1">{"fdsup://directions/FAT Viewer?action=UPDATE&amp;creator=factSet&amp;DYN_ARGS=true&amp;DOC_NAME=FAT:RGA_ENTRPR_VAL_EV_SOURCE_WINDOW.FAT&amp;VAR:ID1=&amp;window=popup&amp;width=535&amp;height=425&amp;START_MAXIMIZED=FALSE&amp;Y=120"}</definedName>
    <definedName name="_31__FDSAUDITLINK__" localSheetId="6" hidden="1">{"fdsup://directions/FAT Viewer?action=UPDATE&amp;creator=factSet&amp;DYN_ARGS=true&amp;DOC_NAME=FAT:RGA_ENTRPR_VAL_EV_SOURCE_WINDOW.FAT&amp;VAR:ID1=&amp;window=popup&amp;width=535&amp;height=425&amp;START_MAXIMIZED=FALSE&amp;Y=120"}</definedName>
    <definedName name="_31__FDSAUDITLINK__" hidden="1">{"fdsup://directions/FAT Viewer?action=UPDATE&amp;creator=factSet&amp;DYN_ARGS=true&amp;DOC_NAME=FAT:RGA_ENTRPR_VAL_EV_SOURCE_WINDOW.FAT&amp;VAR:ID1=&amp;window=popup&amp;width=535&amp;height=425&amp;START_MAXIMIZED=FALSE&amp;Y=120"}</definedName>
    <definedName name="_31_0Rwvu.Pag" hidden="1">#REF!</definedName>
    <definedName name="_310__FDSAUDITLINK__" localSheetId="0" hidden="1">{"fdsup://directions/FAT Viewer?action=UPDATE&amp;creator=factSet&amp;DYN_ARGS=true&amp;DOC_NAME=FAT:RGA_ENTRPR_VAL_EV_SOURCE_WINDOW.FAT&amp;VAR:ID1=GLT-FR&amp;window=popup&amp;width=535&amp;height=425&amp;START_MAXIMIZED=FALSE&amp;Y=120"}</definedName>
    <definedName name="_310__FDSAUDITLINK__" localSheetId="6" hidden="1">{"fdsup://directions/FAT Viewer?action=UPDATE&amp;creator=factSet&amp;DYN_ARGS=true&amp;DOC_NAME=FAT:RGA_ENTRPR_VAL_EV_SOURCE_WINDOW.FAT&amp;VAR:ID1=GLT-FR&amp;window=popup&amp;width=535&amp;height=425&amp;START_MAXIMIZED=FALSE&amp;Y=120"}</definedName>
    <definedName name="_310__FDSAUDITLINK__" hidden="1">{"fdsup://directions/FAT Viewer?action=UPDATE&amp;creator=factSet&amp;DYN_ARGS=true&amp;DOC_NAME=FAT:RGA_ENTRPR_VAL_EV_SOURCE_WINDOW.FAT&amp;VAR:ID1=GLT-FR&amp;window=popup&amp;width=535&amp;height=425&amp;START_MAXIMIZED=FALSE&amp;Y=120"}</definedName>
    <definedName name="_311__FDSAUDITLINK__" localSheetId="0" hidden="1">{"fdsup://directions/FAT Viewer?action=UPDATE&amp;creator=factSet&amp;DYN_ARGS=true&amp;DOC_NAME=FAT:RGA_ENTRPR_VAL_EV_SOURCE_WINDOW.FAT&amp;VAR:ID1=GLT-FR&amp;window=popup&amp;width=535&amp;height=425&amp;START_MAXIMIZED=FALSE&amp;Y=120"}</definedName>
    <definedName name="_311__FDSAUDITLINK__" localSheetId="6" hidden="1">{"fdsup://directions/FAT Viewer?action=UPDATE&amp;creator=factSet&amp;DYN_ARGS=true&amp;DOC_NAME=FAT:RGA_ENTRPR_VAL_EV_SOURCE_WINDOW.FAT&amp;VAR:ID1=GLT-FR&amp;window=popup&amp;width=535&amp;height=425&amp;START_MAXIMIZED=FALSE&amp;Y=120"}</definedName>
    <definedName name="_311__FDSAUDITLINK__" hidden="1">{"fdsup://directions/FAT Viewer?action=UPDATE&amp;creator=factSet&amp;DYN_ARGS=true&amp;DOC_NAME=FAT:RGA_ENTRPR_VAL_EV_SOURCE_WINDOW.FAT&amp;VAR:ID1=GLT-FR&amp;window=popup&amp;width=535&amp;height=425&amp;START_MAXIMIZED=FALSE&amp;Y=120"}</definedName>
    <definedName name="_312__FDSAUDITLINK__" localSheetId="0" hidden="1">{"fdsup://directions/FAT Viewer?action=UPDATE&amp;creator=factSet&amp;DYN_ARGS=true&amp;DOC_NAME=FAT:RGA_ENTRPR_VAL_EV_SOURCE_WINDOW.FAT&amp;VAR:ID1=GLT-FR&amp;window=popup&amp;width=535&amp;height=425&amp;START_MAXIMIZED=FALSE&amp;Y=120"}</definedName>
    <definedName name="_312__FDSAUDITLINK__" localSheetId="6" hidden="1">{"fdsup://directions/FAT Viewer?action=UPDATE&amp;creator=factSet&amp;DYN_ARGS=true&amp;DOC_NAME=FAT:RGA_ENTRPR_VAL_EV_SOURCE_WINDOW.FAT&amp;VAR:ID1=GLT-FR&amp;window=popup&amp;width=535&amp;height=425&amp;START_MAXIMIZED=FALSE&amp;Y=120"}</definedName>
    <definedName name="_312__FDSAUDITLINK__" hidden="1">{"fdsup://directions/FAT Viewer?action=UPDATE&amp;creator=factSet&amp;DYN_ARGS=true&amp;DOC_NAME=FAT:RGA_ENTRPR_VAL_EV_SOURCE_WINDOW.FAT&amp;VAR:ID1=GLT-FR&amp;window=popup&amp;width=535&amp;height=425&amp;START_MAXIMIZED=FALSE&amp;Y=120"}</definedName>
    <definedName name="_313__123Graph_DCHART_30" hidden="1">#REF!</definedName>
    <definedName name="_313__FDSAUDITLINK__" localSheetId="0" hidden="1">{"fdsup://directions/FAT Viewer?action=UPDATE&amp;creator=factSet&amp;DYN_ARGS=true&amp;DOC_NAME=FAT:RGA_ENTRPR_VAL_EV_SOURCE_WINDOW.FAT&amp;VAR:ID1=GLT-FR&amp;window=popup&amp;width=535&amp;height=425&amp;START_MAXIMIZED=FALSE&amp;Y=120"}</definedName>
    <definedName name="_313__FDSAUDITLINK__" localSheetId="6" hidden="1">{"fdsup://directions/FAT Viewer?action=UPDATE&amp;creator=factSet&amp;DYN_ARGS=true&amp;DOC_NAME=FAT:RGA_ENTRPR_VAL_EV_SOURCE_WINDOW.FAT&amp;VAR:ID1=GLT-FR&amp;window=popup&amp;width=535&amp;height=425&amp;START_MAXIMIZED=FALSE&amp;Y=120"}</definedName>
    <definedName name="_313__FDSAUDITLINK__" hidden="1">{"fdsup://directions/FAT Viewer?action=UPDATE&amp;creator=factSet&amp;DYN_ARGS=true&amp;DOC_NAME=FAT:RGA_ENTRPR_VAL_EV_SOURCE_WINDOW.FAT&amp;VAR:ID1=GLT-FR&amp;window=popup&amp;width=535&amp;height=425&amp;START_MAXIMIZED=FALSE&amp;Y=120"}</definedName>
    <definedName name="_314__FDSAUDITLINK__" localSheetId="0" hidden="1">{"fdsup://directions/FAT Viewer?action=UPDATE&amp;creator=factSet&amp;DYN_ARGS=true&amp;DOC_NAME=FAT:RGA_ENTRPR_VAL_EV_SOURCE_WINDOW.FAT&amp;VAR:ID1=GLT-FR&amp;window=popup&amp;width=535&amp;height=425&amp;START_MAXIMIZED=FALSE&amp;Y=120"}</definedName>
    <definedName name="_314__FDSAUDITLINK__" localSheetId="6" hidden="1">{"fdsup://directions/FAT Viewer?action=UPDATE&amp;creator=factSet&amp;DYN_ARGS=true&amp;DOC_NAME=FAT:RGA_ENTRPR_VAL_EV_SOURCE_WINDOW.FAT&amp;VAR:ID1=GLT-FR&amp;window=popup&amp;width=535&amp;height=425&amp;START_MAXIMIZED=FALSE&amp;Y=120"}</definedName>
    <definedName name="_314__FDSAUDITLINK__" hidden="1">{"fdsup://directions/FAT Viewer?action=UPDATE&amp;creator=factSet&amp;DYN_ARGS=true&amp;DOC_NAME=FAT:RGA_ENTRPR_VAL_EV_SOURCE_WINDOW.FAT&amp;VAR:ID1=GLT-FR&amp;window=popup&amp;width=535&amp;height=425&amp;START_MAXIMIZED=FALSE&amp;Y=120"}</definedName>
    <definedName name="_315__FDSAUDITLINK__" localSheetId="0" hidden="1">{"fdsup://directions/FAT Viewer?action=UPDATE&amp;creator=factSet&amp;DYN_ARGS=true&amp;DOC_NAME=FAT:RGA_ENTRPR_VAL_EV_SOURCE_WINDOW.FAT&amp;VAR:ID1=GLT-FR&amp;window=popup&amp;width=535&amp;height=425&amp;START_MAXIMIZED=FALSE&amp;Y=120"}</definedName>
    <definedName name="_315__FDSAUDITLINK__" localSheetId="6" hidden="1">{"fdsup://directions/FAT Viewer?action=UPDATE&amp;creator=factSet&amp;DYN_ARGS=true&amp;DOC_NAME=FAT:RGA_ENTRPR_VAL_EV_SOURCE_WINDOW.FAT&amp;VAR:ID1=GLT-FR&amp;window=popup&amp;width=535&amp;height=425&amp;START_MAXIMIZED=FALSE&amp;Y=120"}</definedName>
    <definedName name="_315__FDSAUDITLINK__" hidden="1">{"fdsup://directions/FAT Viewer?action=UPDATE&amp;creator=factSet&amp;DYN_ARGS=true&amp;DOC_NAME=FAT:RGA_ENTRPR_VAL_EV_SOURCE_WINDOW.FAT&amp;VAR:ID1=GLT-FR&amp;window=popup&amp;width=535&amp;height=425&amp;START_MAXIMIZED=FALSE&amp;Y=120"}</definedName>
    <definedName name="_316__FDSAUDITLINK__" localSheetId="0" hidden="1">{"fdsup://directions/FAT Viewer?action=UPDATE&amp;creator=factSet&amp;DYN_ARGS=true&amp;DOC_NAME=FAT:RGA_ENTRPR_VAL_EV_SOURCE_WINDOW.FAT&amp;VAR:ID1=GLT-FR&amp;window=popup&amp;width=535&amp;height=425&amp;START_MAXIMIZED=FALSE&amp;Y=120"}</definedName>
    <definedName name="_316__FDSAUDITLINK__" localSheetId="6" hidden="1">{"fdsup://directions/FAT Viewer?action=UPDATE&amp;creator=factSet&amp;DYN_ARGS=true&amp;DOC_NAME=FAT:RGA_ENTRPR_VAL_EV_SOURCE_WINDOW.FAT&amp;VAR:ID1=GLT-FR&amp;window=popup&amp;width=535&amp;height=425&amp;START_MAXIMIZED=FALSE&amp;Y=120"}</definedName>
    <definedName name="_316__FDSAUDITLINK__" hidden="1">{"fdsup://directions/FAT Viewer?action=UPDATE&amp;creator=factSet&amp;DYN_ARGS=true&amp;DOC_NAME=FAT:RGA_ENTRPR_VAL_EV_SOURCE_WINDOW.FAT&amp;VAR:ID1=GLT-FR&amp;window=popup&amp;width=535&amp;height=425&amp;START_MAXIMIZED=FALSE&amp;Y=120"}</definedName>
    <definedName name="_317__FDSAUDITLINK__" localSheetId="0" hidden="1">{"fdsup://directions/FAT Viewer?action=UPDATE&amp;creator=factSet&amp;DYN_ARGS=true&amp;DOC_NAME=FAT:RGA_ENTRPR_VAL_EV_SOURCE_WINDOW.FAT&amp;VAR:ID1=GLT-FR&amp;window=popup&amp;width=535&amp;height=425&amp;START_MAXIMIZED=FALSE&amp;Y=120"}</definedName>
    <definedName name="_317__FDSAUDITLINK__" localSheetId="6" hidden="1">{"fdsup://directions/FAT Viewer?action=UPDATE&amp;creator=factSet&amp;DYN_ARGS=true&amp;DOC_NAME=FAT:RGA_ENTRPR_VAL_EV_SOURCE_WINDOW.FAT&amp;VAR:ID1=GLT-FR&amp;window=popup&amp;width=535&amp;height=425&amp;START_MAXIMIZED=FALSE&amp;Y=120"}</definedName>
    <definedName name="_317__FDSAUDITLINK__" hidden="1">{"fdsup://directions/FAT Viewer?action=UPDATE&amp;creator=factSet&amp;DYN_ARGS=true&amp;DOC_NAME=FAT:RGA_ENTRPR_VAL_EV_SOURCE_WINDOW.FAT&amp;VAR:ID1=GLT-FR&amp;window=popup&amp;width=535&amp;height=425&amp;START_MAXIMIZED=FALSE&amp;Y=120"}</definedName>
    <definedName name="_318__FDSAUDITLINK__" localSheetId="0" hidden="1">{"fdsup://directions/FAT Viewer?action=UPDATE&amp;creator=factSet&amp;DYN_ARGS=true&amp;DOC_NAME=FAT:RGA_ENTRPR_VAL_EV_SOURCE_WINDOW.FAT&amp;VAR:ID1=GLT-FR&amp;window=popup&amp;width=535&amp;height=425&amp;START_MAXIMIZED=FALSE&amp;Y=120"}</definedName>
    <definedName name="_318__FDSAUDITLINK__" localSheetId="6" hidden="1">{"fdsup://directions/FAT Viewer?action=UPDATE&amp;creator=factSet&amp;DYN_ARGS=true&amp;DOC_NAME=FAT:RGA_ENTRPR_VAL_EV_SOURCE_WINDOW.FAT&amp;VAR:ID1=GLT-FR&amp;window=popup&amp;width=535&amp;height=425&amp;START_MAXIMIZED=FALSE&amp;Y=120"}</definedName>
    <definedName name="_318__FDSAUDITLINK__" hidden="1">{"fdsup://directions/FAT Viewer?action=UPDATE&amp;creator=factSet&amp;DYN_ARGS=true&amp;DOC_NAME=FAT:RGA_ENTRPR_VAL_EV_SOURCE_WINDOW.FAT&amp;VAR:ID1=GLT-FR&amp;window=popup&amp;width=535&amp;height=425&amp;START_MAXIMIZED=FALSE&amp;Y=120"}</definedName>
    <definedName name="_319__FDSAUDITLINK__" localSheetId="0" hidden="1">{"fdsup://directions/FAT Viewer?action=UPDATE&amp;creator=factSet&amp;DYN_ARGS=true&amp;DOC_NAME=FAT:RGA_ENTRPR_VAL_EV_SOURCE_WINDOW.FAT&amp;VAR:ID1=GLT-FR&amp;window=popup&amp;width=535&amp;height=425&amp;START_MAXIMIZED=FALSE&amp;Y=120"}</definedName>
    <definedName name="_319__FDSAUDITLINK__" localSheetId="6" hidden="1">{"fdsup://directions/FAT Viewer?action=UPDATE&amp;creator=factSet&amp;DYN_ARGS=true&amp;DOC_NAME=FAT:RGA_ENTRPR_VAL_EV_SOURCE_WINDOW.FAT&amp;VAR:ID1=GLT-FR&amp;window=popup&amp;width=535&amp;height=425&amp;START_MAXIMIZED=FALSE&amp;Y=120"}</definedName>
    <definedName name="_319__FDSAUDITLINK__" hidden="1">{"fdsup://directions/FAT Viewer?action=UPDATE&amp;creator=factSet&amp;DYN_ARGS=true&amp;DOC_NAME=FAT:RGA_ENTRPR_VAL_EV_SOURCE_WINDOW.FAT&amp;VAR:ID1=GLT-FR&amp;window=popup&amp;width=535&amp;height=425&amp;START_MAXIMIZED=FALSE&amp;Y=120"}</definedName>
    <definedName name="_32__123Graph_BPP_Y" hidden="1">#REF!</definedName>
    <definedName name="_32__123Graph_CCHART_22" hidden="1">#REF!</definedName>
    <definedName name="_32__123Graph_CCHART_40" hidden="1">#REF!</definedName>
    <definedName name="_32__123Graph_CIND9596" hidden="1">#REF!</definedName>
    <definedName name="_32__123Graph_DIND9596" hidden="1">#REF!</definedName>
    <definedName name="_32__123Graph_XCHART_17" hidden="1">#REF!</definedName>
    <definedName name="_32__123Graph_XChart_2G" hidden="1">#REF!</definedName>
    <definedName name="_32__123Graph_XChart_5" hidden="1">#REF!</definedName>
    <definedName name="_32__FDSAUDITLINK__" localSheetId="0" hidden="1">{"fdsup://directions/FAT Viewer?action=UPDATE&amp;creator=factSet&amp;DYN_ARGS=true&amp;DOC_NAME=FAT:RGA_ENTRPR_VAL_EV_SOURCE_WINDOW.FAT&amp;VAR:ID1=&amp;window=popup&amp;width=535&amp;height=425&amp;START_MAXIMIZED=FALSE&amp;Y=120"}</definedName>
    <definedName name="_32__FDSAUDITLINK__" localSheetId="6" hidden="1">{"fdsup://directions/FAT Viewer?action=UPDATE&amp;creator=factSet&amp;DYN_ARGS=true&amp;DOC_NAME=FAT:RGA_ENTRPR_VAL_EV_SOURCE_WINDOW.FAT&amp;VAR:ID1=&amp;window=popup&amp;width=535&amp;height=425&amp;START_MAXIMIZED=FALSE&amp;Y=120"}</definedName>
    <definedName name="_32__FDSAUDITLINK__" hidden="1">{"fdsup://directions/FAT Viewer?action=UPDATE&amp;creator=factSet&amp;DYN_ARGS=true&amp;DOC_NAME=FAT:RGA_ENTRPR_VAL_EV_SOURCE_WINDOW.FAT&amp;VAR:ID1=&amp;window=popup&amp;width=535&amp;height=425&amp;START_MAXIMIZED=FALSE&amp;Y=120"}</definedName>
    <definedName name="_32_0Rwvu.Pag" hidden="1">#REF!</definedName>
    <definedName name="_32_0Swvu.Pag" hidden="1">#REF!</definedName>
    <definedName name="_320__FDSAUDITLINK__" localSheetId="0" hidden="1">{"fdsup://directions/FAT Viewer?action=UPDATE&amp;creator=factSet&amp;DYN_ARGS=true&amp;DOC_NAME=FAT:RGA_ENTRPR_VAL_EV_SOURCE_WINDOW.FAT&amp;VAR:ID1=GLT-FR&amp;window=popup&amp;width=535&amp;height=425&amp;START_MAXIMIZED=FALSE&amp;Y=120"}</definedName>
    <definedName name="_320__FDSAUDITLINK__" localSheetId="6" hidden="1">{"fdsup://directions/FAT Viewer?action=UPDATE&amp;creator=factSet&amp;DYN_ARGS=true&amp;DOC_NAME=FAT:RGA_ENTRPR_VAL_EV_SOURCE_WINDOW.FAT&amp;VAR:ID1=GLT-FR&amp;window=popup&amp;width=535&amp;height=425&amp;START_MAXIMIZED=FALSE&amp;Y=120"}</definedName>
    <definedName name="_320__FDSAUDITLINK__" hidden="1">{"fdsup://directions/FAT Viewer?action=UPDATE&amp;creator=factSet&amp;DYN_ARGS=true&amp;DOC_NAME=FAT:RGA_ENTRPR_VAL_EV_SOURCE_WINDOW.FAT&amp;VAR:ID1=GLT-FR&amp;window=popup&amp;width=535&amp;height=425&amp;START_MAXIMIZED=FALSE&amp;Y=120"}</definedName>
    <definedName name="_321" hidden="1">#REF!</definedName>
    <definedName name="_321__FDSAUDITLINK__" localSheetId="0" hidden="1">{"fdsup://directions/FAT Viewer?action=UPDATE&amp;creator=factSet&amp;DYN_ARGS=true&amp;DOC_NAME=FAT:RGA_ENTRPR_VAL_EV_SOURCE_WINDOW.FAT&amp;VAR:ID1=GLT-FR&amp;window=popup&amp;width=535&amp;height=425&amp;START_MAXIMIZED=FALSE&amp;Y=120"}</definedName>
    <definedName name="_321__FDSAUDITLINK__" localSheetId="6" hidden="1">{"fdsup://directions/FAT Viewer?action=UPDATE&amp;creator=factSet&amp;DYN_ARGS=true&amp;DOC_NAME=FAT:RGA_ENTRPR_VAL_EV_SOURCE_WINDOW.FAT&amp;VAR:ID1=GLT-FR&amp;window=popup&amp;width=535&amp;height=425&amp;START_MAXIMIZED=FALSE&amp;Y=120"}</definedName>
    <definedName name="_321__FDSAUDITLINK__" hidden="1">{"fdsup://directions/FAT Viewer?action=UPDATE&amp;creator=factSet&amp;DYN_ARGS=true&amp;DOC_NAME=FAT:RGA_ENTRPR_VAL_EV_SOURCE_WINDOW.FAT&amp;VAR:ID1=GLT-FR&amp;window=popup&amp;width=535&amp;height=425&amp;START_MAXIMIZED=FALSE&amp;Y=120"}</definedName>
    <definedName name="_322__FDSAUDITLINK__" localSheetId="0" hidden="1">{"fdsup://directions/FAT Viewer?action=UPDATE&amp;creator=factSet&amp;DYN_ARGS=true&amp;DOC_NAME=FAT:RGA_ENTRPR_VAL_EV_SOURCE_WINDOW.FAT&amp;VAR:ID1=GLT-FR&amp;window=popup&amp;width=535&amp;height=425&amp;START_MAXIMIZED=FALSE&amp;Y=120"}</definedName>
    <definedName name="_322__FDSAUDITLINK__" localSheetId="6" hidden="1">{"fdsup://directions/FAT Viewer?action=UPDATE&amp;creator=factSet&amp;DYN_ARGS=true&amp;DOC_NAME=FAT:RGA_ENTRPR_VAL_EV_SOURCE_WINDOW.FAT&amp;VAR:ID1=GLT-FR&amp;window=popup&amp;width=535&amp;height=425&amp;START_MAXIMIZED=FALSE&amp;Y=120"}</definedName>
    <definedName name="_322__FDSAUDITLINK__" hidden="1">{"fdsup://directions/FAT Viewer?action=UPDATE&amp;creator=factSet&amp;DYN_ARGS=true&amp;DOC_NAME=FAT:RGA_ENTRPR_VAL_EV_SOURCE_WINDOW.FAT&amp;VAR:ID1=GLT-FR&amp;window=popup&amp;width=535&amp;height=425&amp;START_MAXIMIZED=FALSE&amp;Y=120"}</definedName>
    <definedName name="_323__FDSAUDITLINK__" localSheetId="0" hidden="1">{"fdsup://directions/FAT Viewer?action=UPDATE&amp;creator=factSet&amp;DYN_ARGS=true&amp;DOC_NAME=FAT:RGA_ENTRPR_VAL_EV_SOURCE_WINDOW.FAT&amp;VAR:ID1=GLT-FR&amp;window=popup&amp;width=535&amp;height=425&amp;START_MAXIMIZED=FALSE&amp;Y=120"}</definedName>
    <definedName name="_323__FDSAUDITLINK__" localSheetId="6" hidden="1">{"fdsup://directions/FAT Viewer?action=UPDATE&amp;creator=factSet&amp;DYN_ARGS=true&amp;DOC_NAME=FAT:RGA_ENTRPR_VAL_EV_SOURCE_WINDOW.FAT&amp;VAR:ID1=GLT-FR&amp;window=popup&amp;width=535&amp;height=425&amp;START_MAXIMIZED=FALSE&amp;Y=120"}</definedName>
    <definedName name="_323__FDSAUDITLINK__" hidden="1">{"fdsup://directions/FAT Viewer?action=UPDATE&amp;creator=factSet&amp;DYN_ARGS=true&amp;DOC_NAME=FAT:RGA_ENTRPR_VAL_EV_SOURCE_WINDOW.FAT&amp;VAR:ID1=GLT-FR&amp;window=popup&amp;width=535&amp;height=425&amp;START_MAXIMIZED=FALSE&amp;Y=120"}</definedName>
    <definedName name="_324__FDSAUDITLINK__" localSheetId="0" hidden="1">{"fdsup://directions/FAT Viewer?action=UPDATE&amp;creator=factSet&amp;DYN_ARGS=true&amp;DOC_NAME=FAT:RGA_ENTRPR_VAL_EV_SOURCE_WINDOW.FAT&amp;VAR:ID1=GLT-FR&amp;window=popup&amp;width=535&amp;height=425&amp;START_MAXIMIZED=FALSE&amp;Y=120"}</definedName>
    <definedName name="_324__FDSAUDITLINK__" localSheetId="6" hidden="1">{"fdsup://directions/FAT Viewer?action=UPDATE&amp;creator=factSet&amp;DYN_ARGS=true&amp;DOC_NAME=FAT:RGA_ENTRPR_VAL_EV_SOURCE_WINDOW.FAT&amp;VAR:ID1=GLT-FR&amp;window=popup&amp;width=535&amp;height=425&amp;START_MAXIMIZED=FALSE&amp;Y=120"}</definedName>
    <definedName name="_324__FDSAUDITLINK__" hidden="1">{"fdsup://directions/FAT Viewer?action=UPDATE&amp;creator=factSet&amp;DYN_ARGS=true&amp;DOC_NAME=FAT:RGA_ENTRPR_VAL_EV_SOURCE_WINDOW.FAT&amp;VAR:ID1=GLT-FR&amp;window=popup&amp;width=535&amp;height=425&amp;START_MAXIMIZED=FALSE&amp;Y=120"}</definedName>
    <definedName name="_325__FDSAUDITLINK__" localSheetId="0" hidden="1">{"fdsup://directions/FAT Viewer?action=UPDATE&amp;creator=factSet&amp;DYN_ARGS=true&amp;DOC_NAME=FAT:RGA_ENTRPR_VAL_EV_SOURCE_WINDOW.FAT&amp;VAR:ID1=GLT-FR&amp;window=popup&amp;width=535&amp;height=425&amp;START_MAXIMIZED=FALSE&amp;Y=120"}</definedName>
    <definedName name="_325__FDSAUDITLINK__" localSheetId="6" hidden="1">{"fdsup://directions/FAT Viewer?action=UPDATE&amp;creator=factSet&amp;DYN_ARGS=true&amp;DOC_NAME=FAT:RGA_ENTRPR_VAL_EV_SOURCE_WINDOW.FAT&amp;VAR:ID1=GLT-FR&amp;window=popup&amp;width=535&amp;height=425&amp;START_MAXIMIZED=FALSE&amp;Y=120"}</definedName>
    <definedName name="_325__FDSAUDITLINK__" hidden="1">{"fdsup://directions/FAT Viewer?action=UPDATE&amp;creator=factSet&amp;DYN_ARGS=true&amp;DOC_NAME=FAT:RGA_ENTRPR_VAL_EV_SOURCE_WINDOW.FAT&amp;VAR:ID1=GLT-FR&amp;window=popup&amp;width=535&amp;height=425&amp;START_MAXIMIZED=FALSE&amp;Y=120"}</definedName>
    <definedName name="_326__123Graph_DCHART_31" hidden="1">#REF!</definedName>
    <definedName name="_326__FDSAUDITLINK__" localSheetId="0" hidden="1">{"fdsup://directions/FAT Viewer?action=UPDATE&amp;creator=factSet&amp;DYN_ARGS=true&amp;DOC_NAME=FAT:RGA_ENTRPR_VAL_EV_SOURCE_WINDOW.FAT&amp;VAR:ID1=GLT-FR&amp;window=popup&amp;width=535&amp;height=425&amp;START_MAXIMIZED=FALSE&amp;Y=120"}</definedName>
    <definedName name="_326__FDSAUDITLINK__" localSheetId="6" hidden="1">{"fdsup://directions/FAT Viewer?action=UPDATE&amp;creator=factSet&amp;DYN_ARGS=true&amp;DOC_NAME=FAT:RGA_ENTRPR_VAL_EV_SOURCE_WINDOW.FAT&amp;VAR:ID1=GLT-FR&amp;window=popup&amp;width=535&amp;height=425&amp;START_MAXIMIZED=FALSE&amp;Y=120"}</definedName>
    <definedName name="_326__FDSAUDITLINK__" hidden="1">{"fdsup://directions/FAT Viewer?action=UPDATE&amp;creator=factSet&amp;DYN_ARGS=true&amp;DOC_NAME=FAT:RGA_ENTRPR_VAL_EV_SOURCE_WINDOW.FAT&amp;VAR:ID1=GLT-FR&amp;window=popup&amp;width=535&amp;height=425&amp;START_MAXIMIZED=FALSE&amp;Y=120"}</definedName>
    <definedName name="_327__FDSAUDITLINK__" localSheetId="0" hidden="1">{"fdsup://directions/FAT Viewer?action=UPDATE&amp;creator=factSet&amp;DYN_ARGS=true&amp;DOC_NAME=FAT:RGA_ENTRPR_VAL_EV_SOURCE_WINDOW.FAT&amp;VAR:ID1=GLT-FR&amp;window=popup&amp;width=535&amp;height=425&amp;START_MAXIMIZED=FALSE&amp;Y=120"}</definedName>
    <definedName name="_327__FDSAUDITLINK__" localSheetId="6" hidden="1">{"fdsup://directions/FAT Viewer?action=UPDATE&amp;creator=factSet&amp;DYN_ARGS=true&amp;DOC_NAME=FAT:RGA_ENTRPR_VAL_EV_SOURCE_WINDOW.FAT&amp;VAR:ID1=GLT-FR&amp;window=popup&amp;width=535&amp;height=425&amp;START_MAXIMIZED=FALSE&amp;Y=120"}</definedName>
    <definedName name="_327__FDSAUDITLINK__" hidden="1">{"fdsup://directions/FAT Viewer?action=UPDATE&amp;creator=factSet&amp;DYN_ARGS=true&amp;DOC_NAME=FAT:RGA_ENTRPR_VAL_EV_SOURCE_WINDOW.FAT&amp;VAR:ID1=GLT-FR&amp;window=popup&amp;width=535&amp;height=425&amp;START_MAXIMIZED=FALSE&amp;Y=120"}</definedName>
    <definedName name="_328__FDSAUDITLINK__" localSheetId="0" hidden="1">{"fdsup://directions/FAT Viewer?action=UPDATE&amp;creator=factSet&amp;DYN_ARGS=true&amp;DOC_NAME=FAT:RGA_ENTRPR_VAL_EV_SOURCE_WINDOW.FAT&amp;VAR:ID1=GLT-FR&amp;window=popup&amp;width=535&amp;height=425&amp;START_MAXIMIZED=FALSE&amp;Y=120"}</definedName>
    <definedName name="_328__FDSAUDITLINK__" localSheetId="6" hidden="1">{"fdsup://directions/FAT Viewer?action=UPDATE&amp;creator=factSet&amp;DYN_ARGS=true&amp;DOC_NAME=FAT:RGA_ENTRPR_VAL_EV_SOURCE_WINDOW.FAT&amp;VAR:ID1=GLT-FR&amp;window=popup&amp;width=535&amp;height=425&amp;START_MAXIMIZED=FALSE&amp;Y=120"}</definedName>
    <definedName name="_328__FDSAUDITLINK__" hidden="1">{"fdsup://directions/FAT Viewer?action=UPDATE&amp;creator=factSet&amp;DYN_ARGS=true&amp;DOC_NAME=FAT:RGA_ENTRPR_VAL_EV_SOURCE_WINDOW.FAT&amp;VAR:ID1=GLT-FR&amp;window=popup&amp;width=535&amp;height=425&amp;START_MAXIMIZED=FALSE&amp;Y=120"}</definedName>
    <definedName name="_329__FDSAUDITLINK__" localSheetId="0" hidden="1">{"fdsup://directions/FAT Viewer?action=UPDATE&amp;creator=factSet&amp;DYN_ARGS=true&amp;DOC_NAME=FAT:RGA_ENTRPR_VAL_EV_SOURCE_WINDOW.FAT&amp;VAR:ID1=GLT-FR&amp;window=popup&amp;width=535&amp;height=425&amp;START_MAXIMIZED=FALSE&amp;Y=120"}</definedName>
    <definedName name="_329__FDSAUDITLINK__" localSheetId="6" hidden="1">{"fdsup://directions/FAT Viewer?action=UPDATE&amp;creator=factSet&amp;DYN_ARGS=true&amp;DOC_NAME=FAT:RGA_ENTRPR_VAL_EV_SOURCE_WINDOW.FAT&amp;VAR:ID1=GLT-FR&amp;window=popup&amp;width=535&amp;height=425&amp;START_MAXIMIZED=FALSE&amp;Y=120"}</definedName>
    <definedName name="_329__FDSAUDITLINK__" hidden="1">{"fdsup://directions/FAT Viewer?action=UPDATE&amp;creator=factSet&amp;DYN_ARGS=true&amp;DOC_NAME=FAT:RGA_ENTRPR_VAL_EV_SOURCE_WINDOW.FAT&amp;VAR:ID1=GLT-FR&amp;window=popup&amp;width=535&amp;height=425&amp;START_MAXIMIZED=FALSE&amp;Y=120"}</definedName>
    <definedName name="_33__123Graph_ACHART_14" hidden="1">#REF!</definedName>
    <definedName name="_33__123Graph_CCHART_41" hidden="1">#REF!</definedName>
    <definedName name="_33__123Graph_CINDX9196" hidden="1">#REF!</definedName>
    <definedName name="_33__123Graph_DINDX9196" hidden="1">#REF!</definedName>
    <definedName name="_33__123Graph_XCHART_18" hidden="1">#REF!</definedName>
    <definedName name="_33__123Graph_XCHART_3" hidden="1">#REF!</definedName>
    <definedName name="_33__123Graph_XChart_6" hidden="1">#REF!</definedName>
    <definedName name="_33__FDSAUDITLINK__" localSheetId="0" hidden="1">{"fdsup://directions/FAT Viewer?action=UPDATE&amp;creator=factSet&amp;DYN_ARGS=true&amp;DOC_NAME=FAT:RGA_ENTRPR_VAL_EV_SOURCE_WINDOW.FAT&amp;VAR:ID1=FDSA-GB&amp;window=popup&amp;width=535&amp;height=425&amp;START_MAXIMIZED=FALSE&amp;Y=120"}</definedName>
    <definedName name="_33__FDSAUDITLINK__" localSheetId="6" hidden="1">{"fdsup://directions/FAT Viewer?action=UPDATE&amp;creator=factSet&amp;DYN_ARGS=true&amp;DOC_NAME=FAT:RGA_ENTRPR_VAL_EV_SOURCE_WINDOW.FAT&amp;VAR:ID1=FDSA-GB&amp;window=popup&amp;width=535&amp;height=425&amp;START_MAXIMIZED=FALSE&amp;Y=120"}</definedName>
    <definedName name="_33__FDSAUDITLINK__" hidden="1">{"fdsup://directions/FAT Viewer?action=UPDATE&amp;creator=factSet&amp;DYN_ARGS=true&amp;DOC_NAME=FAT:RGA_ENTRPR_VAL_EV_SOURCE_WINDOW.FAT&amp;VAR:ID1=FDSA-GB&amp;window=popup&amp;width=535&amp;height=425&amp;START_MAXIMIZED=FALSE&amp;Y=120"}</definedName>
    <definedName name="_33_0__123Graph_BCHAR" hidden="1">#REF!</definedName>
    <definedName name="_330__123Graph_DCHART_32" hidden="1">#REF!</definedName>
    <definedName name="_330__FDSAUDITLINK__" localSheetId="0" hidden="1">{"fdsup://directions/FAT Viewer?action=UPDATE&amp;creator=factSet&amp;DYN_ARGS=true&amp;DOC_NAME=FAT:RGA_ENTRPR_VAL_EV_SOURCE_WINDOW.FAT&amp;VAR:ID1=GLT-FR&amp;window=popup&amp;width=535&amp;height=425&amp;START_MAXIMIZED=FALSE&amp;Y=120"}</definedName>
    <definedName name="_330__FDSAUDITLINK__" localSheetId="6" hidden="1">{"fdsup://directions/FAT Viewer?action=UPDATE&amp;creator=factSet&amp;DYN_ARGS=true&amp;DOC_NAME=FAT:RGA_ENTRPR_VAL_EV_SOURCE_WINDOW.FAT&amp;VAR:ID1=GLT-FR&amp;window=popup&amp;width=535&amp;height=425&amp;START_MAXIMIZED=FALSE&amp;Y=120"}</definedName>
    <definedName name="_330__FDSAUDITLINK__" hidden="1">{"fdsup://directions/FAT Viewer?action=UPDATE&amp;creator=factSet&amp;DYN_ARGS=true&amp;DOC_NAME=FAT:RGA_ENTRPR_VAL_EV_SOURCE_WINDOW.FAT&amp;VAR:ID1=GLT-FR&amp;window=popup&amp;width=535&amp;height=425&amp;START_MAXIMIZED=FALSE&amp;Y=120"}</definedName>
    <definedName name="_331__FDSAUDITLINK__" localSheetId="0" hidden="1">{"fdsup://directions/FAT Viewer?action=UPDATE&amp;creator=factSet&amp;DYN_ARGS=true&amp;DOC_NAME=FAT:RGA_ENTRPR_VAL_EV_SOURCE_WINDOW.FAT&amp;VAR:ID1=GLT-FR&amp;window=popup&amp;width=535&amp;height=425&amp;START_MAXIMIZED=FALSE&amp;Y=120"}</definedName>
    <definedName name="_331__FDSAUDITLINK__" localSheetId="6" hidden="1">{"fdsup://directions/FAT Viewer?action=UPDATE&amp;creator=factSet&amp;DYN_ARGS=true&amp;DOC_NAME=FAT:RGA_ENTRPR_VAL_EV_SOURCE_WINDOW.FAT&amp;VAR:ID1=GLT-FR&amp;window=popup&amp;width=535&amp;height=425&amp;START_MAXIMIZED=FALSE&amp;Y=120"}</definedName>
    <definedName name="_331__FDSAUDITLINK__" hidden="1">{"fdsup://directions/FAT Viewer?action=UPDATE&amp;creator=factSet&amp;DYN_ARGS=true&amp;DOC_NAME=FAT:RGA_ENTRPR_VAL_EV_SOURCE_WINDOW.FAT&amp;VAR:ID1=GLT-FR&amp;window=popup&amp;width=535&amp;height=425&amp;START_MAXIMIZED=FALSE&amp;Y=120"}</definedName>
    <definedName name="_332__FDSAUDITLINK__" localSheetId="0" hidden="1">{"fdsup://directions/FAT Viewer?action=UPDATE&amp;creator=factSet&amp;DYN_ARGS=true&amp;DOC_NAME=FAT:RGA_ENTRPR_VAL_EV_SOURCE_WINDOW.FAT&amp;VAR:ID1=SIM-DK&amp;window=popup&amp;width=535&amp;height=425&amp;START_MAXIMIZED=FALSE&amp;Y=120"}</definedName>
    <definedName name="_332__FDSAUDITLINK__" localSheetId="6" hidden="1">{"fdsup://directions/FAT Viewer?action=UPDATE&amp;creator=factSet&amp;DYN_ARGS=true&amp;DOC_NAME=FAT:RGA_ENTRPR_VAL_EV_SOURCE_WINDOW.FAT&amp;VAR:ID1=SIM-DK&amp;window=popup&amp;width=535&amp;height=425&amp;START_MAXIMIZED=FALSE&amp;Y=120"}</definedName>
    <definedName name="_332__FDSAUDITLINK__" hidden="1">{"fdsup://directions/FAT Viewer?action=UPDATE&amp;creator=factSet&amp;DYN_ARGS=true&amp;DOC_NAME=FAT:RGA_ENTRPR_VAL_EV_SOURCE_WINDOW.FAT&amp;VAR:ID1=SIM-DK&amp;window=popup&amp;width=535&amp;height=425&amp;START_MAXIMIZED=FALSE&amp;Y=120"}</definedName>
    <definedName name="_333__FDSAUDITLINK__" localSheetId="0" hidden="1">{"fdsup://directions/FAT Viewer?action=UPDATE&amp;creator=factSet&amp;DYN_ARGS=true&amp;DOC_NAME=FAT:RGA_ENTRPR_VAL_EV_SOURCE_WINDOW.FAT&amp;VAR:ID1=SIM-DK&amp;window=popup&amp;width=535&amp;height=425&amp;START_MAXIMIZED=FALSE&amp;Y=120"}</definedName>
    <definedName name="_333__FDSAUDITLINK__" localSheetId="6" hidden="1">{"fdsup://directions/FAT Viewer?action=UPDATE&amp;creator=factSet&amp;DYN_ARGS=true&amp;DOC_NAME=FAT:RGA_ENTRPR_VAL_EV_SOURCE_WINDOW.FAT&amp;VAR:ID1=SIM-DK&amp;window=popup&amp;width=535&amp;height=425&amp;START_MAXIMIZED=FALSE&amp;Y=120"}</definedName>
    <definedName name="_333__FDSAUDITLINK__" hidden="1">{"fdsup://directions/FAT Viewer?action=UPDATE&amp;creator=factSet&amp;DYN_ARGS=true&amp;DOC_NAME=FAT:RGA_ENTRPR_VAL_EV_SOURCE_WINDOW.FAT&amp;VAR:ID1=SIM-DK&amp;window=popup&amp;width=535&amp;height=425&amp;START_MAXIMIZED=FALSE&amp;Y=120"}</definedName>
    <definedName name="_334__FDSAUDITLINK__" localSheetId="0" hidden="1">{"fdsup://directions/FAT Viewer?action=UPDATE&amp;creator=factSet&amp;DYN_ARGS=true&amp;DOC_NAME=FAT:RGA_ENTRPR_VAL_EV_SOURCE_WINDOW.FAT&amp;VAR:ID1=SIM-DK&amp;window=popup&amp;width=535&amp;height=425&amp;START_MAXIMIZED=FALSE&amp;Y=120"}</definedName>
    <definedName name="_334__FDSAUDITLINK__" localSheetId="6" hidden="1">{"fdsup://directions/FAT Viewer?action=UPDATE&amp;creator=factSet&amp;DYN_ARGS=true&amp;DOC_NAME=FAT:RGA_ENTRPR_VAL_EV_SOURCE_WINDOW.FAT&amp;VAR:ID1=SIM-DK&amp;window=popup&amp;width=535&amp;height=425&amp;START_MAXIMIZED=FALSE&amp;Y=120"}</definedName>
    <definedName name="_334__FDSAUDITLINK__" hidden="1">{"fdsup://directions/FAT Viewer?action=UPDATE&amp;creator=factSet&amp;DYN_ARGS=true&amp;DOC_NAME=FAT:RGA_ENTRPR_VAL_EV_SOURCE_WINDOW.FAT&amp;VAR:ID1=SIM-DK&amp;window=popup&amp;width=535&amp;height=425&amp;START_MAXIMIZED=FALSE&amp;Y=120"}</definedName>
    <definedName name="_335__FDSAUDITLINK__" localSheetId="0" hidden="1">{"fdsup://directions/FAT Viewer?action=UPDATE&amp;creator=factSet&amp;DYN_ARGS=true&amp;DOC_NAME=FAT:RGA_ENTRPR_VAL_EV_SOURCE_WINDOW.FAT&amp;VAR:ID1=SIM-DK&amp;window=popup&amp;width=535&amp;height=425&amp;START_MAXIMIZED=FALSE&amp;Y=120"}</definedName>
    <definedName name="_335__FDSAUDITLINK__" localSheetId="6" hidden="1">{"fdsup://directions/FAT Viewer?action=UPDATE&amp;creator=factSet&amp;DYN_ARGS=true&amp;DOC_NAME=FAT:RGA_ENTRPR_VAL_EV_SOURCE_WINDOW.FAT&amp;VAR:ID1=SIM-DK&amp;window=popup&amp;width=535&amp;height=425&amp;START_MAXIMIZED=FALSE&amp;Y=120"}</definedName>
    <definedName name="_335__FDSAUDITLINK__" hidden="1">{"fdsup://directions/FAT Viewer?action=UPDATE&amp;creator=factSet&amp;DYN_ARGS=true&amp;DOC_NAME=FAT:RGA_ENTRPR_VAL_EV_SOURCE_WINDOW.FAT&amp;VAR:ID1=SIM-DK&amp;window=popup&amp;width=535&amp;height=425&amp;START_MAXIMIZED=FALSE&amp;Y=120"}</definedName>
    <definedName name="_336__FDSAUDITLINK__" localSheetId="0" hidden="1">{"fdsup://directions/FAT Viewer?action=UPDATE&amp;creator=factSet&amp;DYN_ARGS=true&amp;DOC_NAME=FAT:RGA_ENTRPR_VAL_EV_SOURCE_WINDOW.FAT&amp;VAR:ID1=SIM-DK&amp;window=popup&amp;width=535&amp;height=425&amp;START_MAXIMIZED=FALSE&amp;Y=120"}</definedName>
    <definedName name="_336__FDSAUDITLINK__" localSheetId="6" hidden="1">{"fdsup://directions/FAT Viewer?action=UPDATE&amp;creator=factSet&amp;DYN_ARGS=true&amp;DOC_NAME=FAT:RGA_ENTRPR_VAL_EV_SOURCE_WINDOW.FAT&amp;VAR:ID1=SIM-DK&amp;window=popup&amp;width=535&amp;height=425&amp;START_MAXIMIZED=FALSE&amp;Y=120"}</definedName>
    <definedName name="_336__FDSAUDITLINK__" hidden="1">{"fdsup://directions/FAT Viewer?action=UPDATE&amp;creator=factSet&amp;DYN_ARGS=true&amp;DOC_NAME=FAT:RGA_ENTRPR_VAL_EV_SOURCE_WINDOW.FAT&amp;VAR:ID1=SIM-DK&amp;window=popup&amp;width=535&amp;height=425&amp;START_MAXIMIZED=FALSE&amp;Y=120"}</definedName>
    <definedName name="_337__FDSAUDITLINK__" localSheetId="0" hidden="1">{"fdsup://directions/FAT Viewer?action=UPDATE&amp;creator=factSet&amp;DYN_ARGS=true&amp;DOC_NAME=FAT:RGA_ENTRPR_VAL_EV_SOURCE_WINDOW.FAT&amp;VAR:ID1=SIM-DK&amp;window=popup&amp;width=535&amp;height=425&amp;START_MAXIMIZED=FALSE&amp;Y=120"}</definedName>
    <definedName name="_337__FDSAUDITLINK__" localSheetId="6" hidden="1">{"fdsup://directions/FAT Viewer?action=UPDATE&amp;creator=factSet&amp;DYN_ARGS=true&amp;DOC_NAME=FAT:RGA_ENTRPR_VAL_EV_SOURCE_WINDOW.FAT&amp;VAR:ID1=SIM-DK&amp;window=popup&amp;width=535&amp;height=425&amp;START_MAXIMIZED=FALSE&amp;Y=120"}</definedName>
    <definedName name="_337__FDSAUDITLINK__" hidden="1">{"fdsup://directions/FAT Viewer?action=UPDATE&amp;creator=factSet&amp;DYN_ARGS=true&amp;DOC_NAME=FAT:RGA_ENTRPR_VAL_EV_SOURCE_WINDOW.FAT&amp;VAR:ID1=SIM-DK&amp;window=popup&amp;width=535&amp;height=425&amp;START_MAXIMIZED=FALSE&amp;Y=120"}</definedName>
    <definedName name="_338__FDSAUDITLINK__" localSheetId="0" hidden="1">{"fdsup://directions/FAT Viewer?action=UPDATE&amp;creator=factSet&amp;DYN_ARGS=true&amp;DOC_NAME=FAT:RGA_ENTRPR_VAL_EV_SOURCE_WINDOW.FAT&amp;VAR:ID1=SIM-DK&amp;window=popup&amp;width=535&amp;height=425&amp;START_MAXIMIZED=FALSE&amp;Y=120"}</definedName>
    <definedName name="_338__FDSAUDITLINK__" localSheetId="6" hidden="1">{"fdsup://directions/FAT Viewer?action=UPDATE&amp;creator=factSet&amp;DYN_ARGS=true&amp;DOC_NAME=FAT:RGA_ENTRPR_VAL_EV_SOURCE_WINDOW.FAT&amp;VAR:ID1=SIM-DK&amp;window=popup&amp;width=535&amp;height=425&amp;START_MAXIMIZED=FALSE&amp;Y=120"}</definedName>
    <definedName name="_338__FDSAUDITLINK__" hidden="1">{"fdsup://directions/FAT Viewer?action=UPDATE&amp;creator=factSet&amp;DYN_ARGS=true&amp;DOC_NAME=FAT:RGA_ENTRPR_VAL_EV_SOURCE_WINDOW.FAT&amp;VAR:ID1=SIM-DK&amp;window=popup&amp;width=535&amp;height=425&amp;START_MAXIMIZED=FALSE&amp;Y=120"}</definedName>
    <definedName name="_339__FDSAUDITLINK__" localSheetId="0" hidden="1">{"fdsup://directions/FAT Viewer?action=UPDATE&amp;creator=factSet&amp;DYN_ARGS=true&amp;DOC_NAME=FAT:RGA_ENTRPR_VAL_EV_SOURCE_WINDOW.FAT&amp;VAR:ID1=SIM-DK&amp;window=popup&amp;width=535&amp;height=425&amp;START_MAXIMIZED=FALSE&amp;Y=120"}</definedName>
    <definedName name="_339__FDSAUDITLINK__" localSheetId="6" hidden="1">{"fdsup://directions/FAT Viewer?action=UPDATE&amp;creator=factSet&amp;DYN_ARGS=true&amp;DOC_NAME=FAT:RGA_ENTRPR_VAL_EV_SOURCE_WINDOW.FAT&amp;VAR:ID1=SIM-DK&amp;window=popup&amp;width=535&amp;height=425&amp;START_MAXIMIZED=FALSE&amp;Y=120"}</definedName>
    <definedName name="_339__FDSAUDITLINK__" hidden="1">{"fdsup://directions/FAT Viewer?action=UPDATE&amp;creator=factSet&amp;DYN_ARGS=true&amp;DOC_NAME=FAT:RGA_ENTRPR_VAL_EV_SOURCE_WINDOW.FAT&amp;VAR:ID1=SIM-DK&amp;window=popup&amp;width=535&amp;height=425&amp;START_MAXIMIZED=FALSE&amp;Y=120"}</definedName>
    <definedName name="_34__123Graph_ACHART_2" hidden="1">#REF!</definedName>
    <definedName name="_34__123Graph_Aｸﾞﾗﾌ_2" hidden="1">#REF!</definedName>
    <definedName name="_34__123Graph_CCHART_42" hidden="1">#REF!</definedName>
    <definedName name="_34__123Graph_CINDX95" hidden="1">#REF!</definedName>
    <definedName name="_34__123Graph_CSEG_PIE" hidden="1">#REF!</definedName>
    <definedName name="_34__123Graph_DINDX95" hidden="1">#REF!</definedName>
    <definedName name="_34__123Graph_XCHART_19" hidden="1">#REF!</definedName>
    <definedName name="_34__123Graph_XCHART_4" hidden="1">#REF!</definedName>
    <definedName name="_34__FDSAUDITLINK__" localSheetId="0" hidden="1">{"fdsup://directions/FAT Viewer?action=UPDATE&amp;creator=factSet&amp;DYN_ARGS=true&amp;DOC_NAME=FAT:RGA_ENTRPR_VAL_EV_SOURCE_WINDOW.FAT&amp;VAR:ID1=EV&amp;window=popup&amp;width=535&amp;height=425&amp;START_MAXIMIZED=FALSE&amp;Y=120"}</definedName>
    <definedName name="_34__FDSAUDITLINK__" localSheetId="6" hidden="1">{"fdsup://directions/FAT Viewer?action=UPDATE&amp;creator=factSet&amp;DYN_ARGS=true&amp;DOC_NAME=FAT:RGA_ENTRPR_VAL_EV_SOURCE_WINDOW.FAT&amp;VAR:ID1=EV&amp;window=popup&amp;width=535&amp;height=425&amp;START_MAXIMIZED=FALSE&amp;Y=120"}</definedName>
    <definedName name="_34__FDSAUDITLINK__" hidden="1">{"fdsup://directions/FAT Viewer?action=UPDATE&amp;creator=factSet&amp;DYN_ARGS=true&amp;DOC_NAME=FAT:RGA_ENTRPR_VAL_EV_SOURCE_WINDOW.FAT&amp;VAR:ID1=EV&amp;window=popup&amp;width=535&amp;height=425&amp;START_MAXIMIZED=FALSE&amp;Y=120"}</definedName>
    <definedName name="_34_0__123Graph_BCHAR" hidden="1">#REF!</definedName>
    <definedName name="_340__FDSAUDITLINK__" localSheetId="0" hidden="1">{"fdsup://directions/FAT Viewer?action=UPDATE&amp;creator=factSet&amp;DYN_ARGS=true&amp;DOC_NAME=FAT:RGA_ENTRPR_VAL_EV_SOURCE_WINDOW.FAT&amp;VAR:ID1=SIM-DK&amp;window=popup&amp;width=535&amp;height=425&amp;START_MAXIMIZED=FALSE&amp;Y=120"}</definedName>
    <definedName name="_340__FDSAUDITLINK__" localSheetId="6" hidden="1">{"fdsup://directions/FAT Viewer?action=UPDATE&amp;creator=factSet&amp;DYN_ARGS=true&amp;DOC_NAME=FAT:RGA_ENTRPR_VAL_EV_SOURCE_WINDOW.FAT&amp;VAR:ID1=SIM-DK&amp;window=popup&amp;width=535&amp;height=425&amp;START_MAXIMIZED=FALSE&amp;Y=120"}</definedName>
    <definedName name="_340__FDSAUDITLINK__" hidden="1">{"fdsup://directions/FAT Viewer?action=UPDATE&amp;creator=factSet&amp;DYN_ARGS=true&amp;DOC_NAME=FAT:RGA_ENTRPR_VAL_EV_SOURCE_WINDOW.FAT&amp;VAR:ID1=SIM-DK&amp;window=popup&amp;width=535&amp;height=425&amp;START_MAXIMIZED=FALSE&amp;Y=120"}</definedName>
    <definedName name="_341__FDSAUDITLINK__" localSheetId="0" hidden="1">{"fdsup://directions/FAT Viewer?action=UPDATE&amp;creator=factSet&amp;DYN_ARGS=true&amp;DOC_NAME=FAT:RGA_ENTRPR_VAL_EV_SOURCE_WINDOW.FAT&amp;VAR:ID1=SIM-DK&amp;window=popup&amp;width=535&amp;height=425&amp;START_MAXIMIZED=FALSE&amp;Y=120"}</definedName>
    <definedName name="_341__FDSAUDITLINK__" localSheetId="6" hidden="1">{"fdsup://directions/FAT Viewer?action=UPDATE&amp;creator=factSet&amp;DYN_ARGS=true&amp;DOC_NAME=FAT:RGA_ENTRPR_VAL_EV_SOURCE_WINDOW.FAT&amp;VAR:ID1=SIM-DK&amp;window=popup&amp;width=535&amp;height=425&amp;START_MAXIMIZED=FALSE&amp;Y=120"}</definedName>
    <definedName name="_341__FDSAUDITLINK__" hidden="1">{"fdsup://directions/FAT Viewer?action=UPDATE&amp;creator=factSet&amp;DYN_ARGS=true&amp;DOC_NAME=FAT:RGA_ENTRPR_VAL_EV_SOURCE_WINDOW.FAT&amp;VAR:ID1=SIM-DK&amp;window=popup&amp;width=535&amp;height=425&amp;START_MAXIMIZED=FALSE&amp;Y=120"}</definedName>
    <definedName name="_342__FDSAUDITLINK__" localSheetId="0" hidden="1">{"fdsup://directions/FAT Viewer?action=UPDATE&amp;creator=factSet&amp;DYN_ARGS=true&amp;DOC_NAME=FAT:RGA_ENTRPR_VAL_EV_SOURCE_WINDOW.FAT&amp;VAR:ID1=SIM-DK&amp;window=popup&amp;width=535&amp;height=425&amp;START_MAXIMIZED=FALSE&amp;Y=120"}</definedName>
    <definedName name="_342__FDSAUDITLINK__" localSheetId="6" hidden="1">{"fdsup://directions/FAT Viewer?action=UPDATE&amp;creator=factSet&amp;DYN_ARGS=true&amp;DOC_NAME=FAT:RGA_ENTRPR_VAL_EV_SOURCE_WINDOW.FAT&amp;VAR:ID1=SIM-DK&amp;window=popup&amp;width=535&amp;height=425&amp;START_MAXIMIZED=FALSE&amp;Y=120"}</definedName>
    <definedName name="_342__FDSAUDITLINK__" hidden="1">{"fdsup://directions/FAT Viewer?action=UPDATE&amp;creator=factSet&amp;DYN_ARGS=true&amp;DOC_NAME=FAT:RGA_ENTRPR_VAL_EV_SOURCE_WINDOW.FAT&amp;VAR:ID1=SIM-DK&amp;window=popup&amp;width=535&amp;height=425&amp;START_MAXIMIZED=FALSE&amp;Y=120"}</definedName>
    <definedName name="_343__123Graph_DCHART_34" hidden="1">#REF!</definedName>
    <definedName name="_343__FDSAUDITLINK__" localSheetId="0" hidden="1">{"fdsup://directions/FAT Viewer?action=UPDATE&amp;creator=factSet&amp;DYN_ARGS=true&amp;DOC_NAME=FAT:RGA_ENTRPR_VAL_EV_SOURCE_WINDOW.FAT&amp;VAR:ID1=SIM-DK&amp;window=popup&amp;width=535&amp;height=425&amp;START_MAXIMIZED=FALSE&amp;Y=120"}</definedName>
    <definedName name="_343__FDSAUDITLINK__" localSheetId="6" hidden="1">{"fdsup://directions/FAT Viewer?action=UPDATE&amp;creator=factSet&amp;DYN_ARGS=true&amp;DOC_NAME=FAT:RGA_ENTRPR_VAL_EV_SOURCE_WINDOW.FAT&amp;VAR:ID1=SIM-DK&amp;window=popup&amp;width=535&amp;height=425&amp;START_MAXIMIZED=FALSE&amp;Y=120"}</definedName>
    <definedName name="_343__FDSAUDITLINK__" hidden="1">{"fdsup://directions/FAT Viewer?action=UPDATE&amp;creator=factSet&amp;DYN_ARGS=true&amp;DOC_NAME=FAT:RGA_ENTRPR_VAL_EV_SOURCE_WINDOW.FAT&amp;VAR:ID1=SIM-DK&amp;window=popup&amp;width=535&amp;height=425&amp;START_MAXIMIZED=FALSE&amp;Y=120"}</definedName>
    <definedName name="_344__FDSAUDITLINK__" localSheetId="0" hidden="1">{"fdsup://directions/FAT Viewer?action=UPDATE&amp;creator=factSet&amp;DYN_ARGS=true&amp;DOC_NAME=FAT:RGA_ENTRPR_VAL_EV_SOURCE_WINDOW.FAT&amp;VAR:ID1=SIM-DK&amp;window=popup&amp;width=535&amp;height=425&amp;START_MAXIMIZED=FALSE&amp;Y=120"}</definedName>
    <definedName name="_344__FDSAUDITLINK__" localSheetId="6" hidden="1">{"fdsup://directions/FAT Viewer?action=UPDATE&amp;creator=factSet&amp;DYN_ARGS=true&amp;DOC_NAME=FAT:RGA_ENTRPR_VAL_EV_SOURCE_WINDOW.FAT&amp;VAR:ID1=SIM-DK&amp;window=popup&amp;width=535&amp;height=425&amp;START_MAXIMIZED=FALSE&amp;Y=120"}</definedName>
    <definedName name="_344__FDSAUDITLINK__" hidden="1">{"fdsup://directions/FAT Viewer?action=UPDATE&amp;creator=factSet&amp;DYN_ARGS=true&amp;DOC_NAME=FAT:RGA_ENTRPR_VAL_EV_SOURCE_WINDOW.FAT&amp;VAR:ID1=SIM-DK&amp;window=popup&amp;width=535&amp;height=425&amp;START_MAXIMIZED=FALSE&amp;Y=120"}</definedName>
    <definedName name="_345__FDSAUDITLINK__" localSheetId="0" hidden="1">{"fdsup://directions/FAT Viewer?action=UPDATE&amp;creator=factSet&amp;DYN_ARGS=true&amp;DOC_NAME=FAT:RGA_ENTRPR_VAL_EV_SOURCE_WINDOW.FAT&amp;VAR:ID1=SIM-DK&amp;window=popup&amp;width=535&amp;height=425&amp;START_MAXIMIZED=FALSE&amp;Y=120"}</definedName>
    <definedName name="_345__FDSAUDITLINK__" localSheetId="6" hidden="1">{"fdsup://directions/FAT Viewer?action=UPDATE&amp;creator=factSet&amp;DYN_ARGS=true&amp;DOC_NAME=FAT:RGA_ENTRPR_VAL_EV_SOURCE_WINDOW.FAT&amp;VAR:ID1=SIM-DK&amp;window=popup&amp;width=535&amp;height=425&amp;START_MAXIMIZED=FALSE&amp;Y=120"}</definedName>
    <definedName name="_345__FDSAUDITLINK__" hidden="1">{"fdsup://directions/FAT Viewer?action=UPDATE&amp;creator=factSet&amp;DYN_ARGS=true&amp;DOC_NAME=FAT:RGA_ENTRPR_VAL_EV_SOURCE_WINDOW.FAT&amp;VAR:ID1=SIM-DK&amp;window=popup&amp;width=535&amp;height=425&amp;START_MAXIMIZED=FALSE&amp;Y=120"}</definedName>
    <definedName name="_346__FDSAUDITLINK__" localSheetId="0" hidden="1">{"fdsup://directions/FAT Viewer?action=UPDATE&amp;creator=factSet&amp;DYN_ARGS=true&amp;DOC_NAME=FAT:RGA_ENTRPR_VAL_EV_SOURCE_WINDOW.FAT&amp;VAR:ID1=SIM-DK&amp;window=popup&amp;width=535&amp;height=425&amp;START_MAXIMIZED=FALSE&amp;Y=120"}</definedName>
    <definedName name="_346__FDSAUDITLINK__" localSheetId="6" hidden="1">{"fdsup://directions/FAT Viewer?action=UPDATE&amp;creator=factSet&amp;DYN_ARGS=true&amp;DOC_NAME=FAT:RGA_ENTRPR_VAL_EV_SOURCE_WINDOW.FAT&amp;VAR:ID1=SIM-DK&amp;window=popup&amp;width=535&amp;height=425&amp;START_MAXIMIZED=FALSE&amp;Y=120"}</definedName>
    <definedName name="_346__FDSAUDITLINK__" hidden="1">{"fdsup://directions/FAT Viewer?action=UPDATE&amp;creator=factSet&amp;DYN_ARGS=true&amp;DOC_NAME=FAT:RGA_ENTRPR_VAL_EV_SOURCE_WINDOW.FAT&amp;VAR:ID1=SIM-DK&amp;window=popup&amp;width=535&amp;height=425&amp;START_MAXIMIZED=FALSE&amp;Y=120"}</definedName>
    <definedName name="_347__FDSAUDITLINK__" localSheetId="0" hidden="1">{"fdsup://directions/FAT Viewer?action=UPDATE&amp;creator=factSet&amp;DYN_ARGS=true&amp;DOC_NAME=FAT:RGA_ENTRPR_VAL_EV_SOURCE_WINDOW.FAT&amp;VAR:ID1=SIM-DK&amp;window=popup&amp;width=535&amp;height=425&amp;START_MAXIMIZED=FALSE&amp;Y=120"}</definedName>
    <definedName name="_347__FDSAUDITLINK__" localSheetId="6" hidden="1">{"fdsup://directions/FAT Viewer?action=UPDATE&amp;creator=factSet&amp;DYN_ARGS=true&amp;DOC_NAME=FAT:RGA_ENTRPR_VAL_EV_SOURCE_WINDOW.FAT&amp;VAR:ID1=SIM-DK&amp;window=popup&amp;width=535&amp;height=425&amp;START_MAXIMIZED=FALSE&amp;Y=120"}</definedName>
    <definedName name="_347__FDSAUDITLINK__" hidden="1">{"fdsup://directions/FAT Viewer?action=UPDATE&amp;creator=factSet&amp;DYN_ARGS=true&amp;DOC_NAME=FAT:RGA_ENTRPR_VAL_EV_SOURCE_WINDOW.FAT&amp;VAR:ID1=SIM-DK&amp;window=popup&amp;width=535&amp;height=425&amp;START_MAXIMIZED=FALSE&amp;Y=120"}</definedName>
    <definedName name="_348__FDSAUDITLINK__" localSheetId="0" hidden="1">{"fdsup://directions/FAT Viewer?action=UPDATE&amp;creator=factSet&amp;DYN_ARGS=true&amp;DOC_NAME=FAT:RGA_ENTRPR_VAL_EV_SOURCE_WINDOW.FAT&amp;VAR:ID1=SIM-DK&amp;window=popup&amp;width=535&amp;height=425&amp;START_MAXIMIZED=FALSE&amp;Y=120"}</definedName>
    <definedName name="_348__FDSAUDITLINK__" localSheetId="6" hidden="1">{"fdsup://directions/FAT Viewer?action=UPDATE&amp;creator=factSet&amp;DYN_ARGS=true&amp;DOC_NAME=FAT:RGA_ENTRPR_VAL_EV_SOURCE_WINDOW.FAT&amp;VAR:ID1=SIM-DK&amp;window=popup&amp;width=535&amp;height=425&amp;START_MAXIMIZED=FALSE&amp;Y=120"}</definedName>
    <definedName name="_348__FDSAUDITLINK__" hidden="1">{"fdsup://directions/FAT Viewer?action=UPDATE&amp;creator=factSet&amp;DYN_ARGS=true&amp;DOC_NAME=FAT:RGA_ENTRPR_VAL_EV_SOURCE_WINDOW.FAT&amp;VAR:ID1=SIM-DK&amp;window=popup&amp;width=535&amp;height=425&amp;START_MAXIMIZED=FALSE&amp;Y=120"}</definedName>
    <definedName name="_349__FDSAUDITLINK__" localSheetId="0" hidden="1">{"fdsup://directions/FAT Viewer?action=UPDATE&amp;creator=factSet&amp;DYN_ARGS=true&amp;DOC_NAME=FAT:RGA_ENTRPR_VAL_EV_SOURCE_WINDOW.FAT&amp;VAR:ID1=SIM-DK&amp;window=popup&amp;width=535&amp;height=425&amp;START_MAXIMIZED=FALSE&amp;Y=120"}</definedName>
    <definedName name="_349__FDSAUDITLINK__" localSheetId="6" hidden="1">{"fdsup://directions/FAT Viewer?action=UPDATE&amp;creator=factSet&amp;DYN_ARGS=true&amp;DOC_NAME=FAT:RGA_ENTRPR_VAL_EV_SOURCE_WINDOW.FAT&amp;VAR:ID1=SIM-DK&amp;window=popup&amp;width=535&amp;height=425&amp;START_MAXIMIZED=FALSE&amp;Y=120"}</definedName>
    <definedName name="_349__FDSAUDITLINK__" hidden="1">{"fdsup://directions/FAT Viewer?action=UPDATE&amp;creator=factSet&amp;DYN_ARGS=true&amp;DOC_NAME=FAT:RGA_ENTRPR_VAL_EV_SOURCE_WINDOW.FAT&amp;VAR:ID1=SIM-DK&amp;window=popup&amp;width=535&amp;height=425&amp;START_MAXIMIZED=FALSE&amp;Y=120"}</definedName>
    <definedName name="_35__123Graph_ACHART_21" hidden="1">#REF!</definedName>
    <definedName name="_35__123Graph_BCHART_1" hidden="1">#REF!</definedName>
    <definedName name="_35__123Graph_BCHART_15" hidden="1">#REF!</definedName>
    <definedName name="_35__123Graph_CCHART_5" hidden="1">#REF!</definedName>
    <definedName name="_35__123Graph_CINDX96" hidden="1">#REF!</definedName>
    <definedName name="_35__123Graph_DINDX96" hidden="1">#REF!</definedName>
    <definedName name="_35__123Graph_XCHART_22" hidden="1">#REF!</definedName>
    <definedName name="_35__123Graph_XCHART_5" hidden="1">#REF!</definedName>
    <definedName name="_35__FDSAUDITLINK__" localSheetId="0" hidden="1">{"fdsup://directions/FAT Viewer?action=UPDATE&amp;creator=factSet&amp;DYN_ARGS=true&amp;DOC_NAME=FAT:RGA_ENTRPR_VAL_EV_SOURCE_WINDOW.FAT&amp;VAR:ID1=&amp;window=popup&amp;width=535&amp;height=425&amp;START_MAXIMIZED=FALSE&amp;Y=120"}</definedName>
    <definedName name="_35__FDSAUDITLINK__" localSheetId="6" hidden="1">{"fdsup://directions/FAT Viewer?action=UPDATE&amp;creator=factSet&amp;DYN_ARGS=true&amp;DOC_NAME=FAT:RGA_ENTRPR_VAL_EV_SOURCE_WINDOW.FAT&amp;VAR:ID1=&amp;window=popup&amp;width=535&amp;height=425&amp;START_MAXIMIZED=FALSE&amp;Y=120"}</definedName>
    <definedName name="_35__FDSAUDITLINK__" hidden="1">{"fdsup://directions/FAT Viewer?action=UPDATE&amp;creator=factSet&amp;DYN_ARGS=true&amp;DOC_NAME=FAT:RGA_ENTRPR_VAL_EV_SOURCE_WINDOW.FAT&amp;VAR:ID1=&amp;window=popup&amp;width=535&amp;height=425&amp;START_MAXIMIZED=FALSE&amp;Y=120"}</definedName>
    <definedName name="_350__FDSAUDITLINK__" localSheetId="0" hidden="1">{"fdsup://directions/FAT Viewer?action=UPDATE&amp;creator=factSet&amp;DYN_ARGS=true&amp;DOC_NAME=FAT:RGA_ENTRPR_VAL_EV_SOURCE_WINDOW.FAT&amp;VAR:ID1=SIM-DK&amp;window=popup&amp;width=535&amp;height=425&amp;START_MAXIMIZED=FALSE&amp;Y=120"}</definedName>
    <definedName name="_350__FDSAUDITLINK__" localSheetId="6" hidden="1">{"fdsup://directions/FAT Viewer?action=UPDATE&amp;creator=factSet&amp;DYN_ARGS=true&amp;DOC_NAME=FAT:RGA_ENTRPR_VAL_EV_SOURCE_WINDOW.FAT&amp;VAR:ID1=SIM-DK&amp;window=popup&amp;width=535&amp;height=425&amp;START_MAXIMIZED=FALSE&amp;Y=120"}</definedName>
    <definedName name="_350__FDSAUDITLINK__" hidden="1">{"fdsup://directions/FAT Viewer?action=UPDATE&amp;creator=factSet&amp;DYN_ARGS=true&amp;DOC_NAME=FAT:RGA_ENTRPR_VAL_EV_SOURCE_WINDOW.FAT&amp;VAR:ID1=SIM-DK&amp;window=popup&amp;width=535&amp;height=425&amp;START_MAXIMIZED=FALSE&amp;Y=120"}</definedName>
    <definedName name="_351__FDSAUDITLINK__" localSheetId="0" hidden="1">{"fdsup://directions/FAT Viewer?action=UPDATE&amp;creator=factSet&amp;DYN_ARGS=true&amp;DOC_NAME=FAT:RGA_ENTRPR_VAL_EV_SOURCE_WINDOW.FAT&amp;VAR:ID1=SIM-DK&amp;window=popup&amp;width=535&amp;height=425&amp;START_MAXIMIZED=FALSE&amp;Y=120"}</definedName>
    <definedName name="_351__FDSAUDITLINK__" localSheetId="6" hidden="1">{"fdsup://directions/FAT Viewer?action=UPDATE&amp;creator=factSet&amp;DYN_ARGS=true&amp;DOC_NAME=FAT:RGA_ENTRPR_VAL_EV_SOURCE_WINDOW.FAT&amp;VAR:ID1=SIM-DK&amp;window=popup&amp;width=535&amp;height=425&amp;START_MAXIMIZED=FALSE&amp;Y=120"}</definedName>
    <definedName name="_351__FDSAUDITLINK__" hidden="1">{"fdsup://directions/FAT Viewer?action=UPDATE&amp;creator=factSet&amp;DYN_ARGS=true&amp;DOC_NAME=FAT:RGA_ENTRPR_VAL_EV_SOURCE_WINDOW.FAT&amp;VAR:ID1=SIM-DK&amp;window=popup&amp;width=535&amp;height=425&amp;START_MAXIMIZED=FALSE&amp;Y=120"}</definedName>
    <definedName name="_352__FDSAUDITLINK__" localSheetId="0" hidden="1">{"fdsup://directions/FAT Viewer?action=UPDATE&amp;creator=factSet&amp;DYN_ARGS=true&amp;DOC_NAME=FAT:RGA_ENTRPR_VAL_EV_SOURCE_WINDOW.FAT&amp;VAR:ID1=SIM-DK&amp;window=popup&amp;width=535&amp;height=425&amp;START_MAXIMIZED=FALSE&amp;Y=120"}</definedName>
    <definedName name="_352__FDSAUDITLINK__" localSheetId="6" hidden="1">{"fdsup://directions/FAT Viewer?action=UPDATE&amp;creator=factSet&amp;DYN_ARGS=true&amp;DOC_NAME=FAT:RGA_ENTRPR_VAL_EV_SOURCE_WINDOW.FAT&amp;VAR:ID1=SIM-DK&amp;window=popup&amp;width=535&amp;height=425&amp;START_MAXIMIZED=FALSE&amp;Y=120"}</definedName>
    <definedName name="_352__FDSAUDITLINK__" hidden="1">{"fdsup://directions/FAT Viewer?action=UPDATE&amp;creator=factSet&amp;DYN_ARGS=true&amp;DOC_NAME=FAT:RGA_ENTRPR_VAL_EV_SOURCE_WINDOW.FAT&amp;VAR:ID1=SIM-DK&amp;window=popup&amp;width=535&amp;height=425&amp;START_MAXIMIZED=FALSE&amp;Y=120"}</definedName>
    <definedName name="_353__FDSAUDITLINK__" localSheetId="0" hidden="1">{"fdsup://directions/FAT Viewer?action=UPDATE&amp;creator=factSet&amp;DYN_ARGS=true&amp;DOC_NAME=FAT:RGA_ENTRPR_VAL_EV_SOURCE_WINDOW.FAT&amp;VAR:ID1=SIM-DK&amp;window=popup&amp;width=535&amp;height=425&amp;START_MAXIMIZED=FALSE&amp;Y=120"}</definedName>
    <definedName name="_353__FDSAUDITLINK__" localSheetId="6" hidden="1">{"fdsup://directions/FAT Viewer?action=UPDATE&amp;creator=factSet&amp;DYN_ARGS=true&amp;DOC_NAME=FAT:RGA_ENTRPR_VAL_EV_SOURCE_WINDOW.FAT&amp;VAR:ID1=SIM-DK&amp;window=popup&amp;width=535&amp;height=425&amp;START_MAXIMIZED=FALSE&amp;Y=120"}</definedName>
    <definedName name="_353__FDSAUDITLINK__" hidden="1">{"fdsup://directions/FAT Viewer?action=UPDATE&amp;creator=factSet&amp;DYN_ARGS=true&amp;DOC_NAME=FAT:RGA_ENTRPR_VAL_EV_SOURCE_WINDOW.FAT&amp;VAR:ID1=SIM-DK&amp;window=popup&amp;width=535&amp;height=425&amp;START_MAXIMIZED=FALSE&amp;Y=120"}</definedName>
    <definedName name="_353__FDSAUDITLINK___1" localSheetId="0"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localSheetId="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_1" localSheetId="0"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_1" localSheetId="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1_1"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2" localSheetId="0"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2" localSheetId="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2"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3" localSheetId="0"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3" localSheetId="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3"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4" localSheetId="0"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4" localSheetId="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4"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5" localSheetId="0"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5" localSheetId="6"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3__FDSAUDITLINK___5" hidden="1">{"fdsup://directions/FAT Viewer?action=UPDATE&amp;creator=factset&amp;DYN_ARGS=TRUE&amp;DOC_NAME=FAT:FQL_AUDITING_CLIENT_TEMPLATE.FAT&amp;display_string=Audit&amp;VAR:KEY=UPIXOFMBWJ&amp;VAR:QUERY=RkZfRUJJVERBX09QRVIoTFRNUywwLDAsLCxVU0Qp&amp;WINDOW=FIRST_POPUP&amp;HEIGHT=450&amp;WIDTH=450&amp;STAR","T_MAXIMIZED=FALSE&amp;VAR:CALENDAR=US&amp;VAR:SYMBOL=688050&amp;VAR:INDEX=0"}</definedName>
    <definedName name="_354__FDSAUDITLINK__" localSheetId="0" hidden="1">{"fdsup://directions/FAT Viewer?action=UPDATE&amp;creator=factSet&amp;DYN_ARGS=true&amp;DOC_NAME=FAT:RGA_ENTRPR_VAL_EV_SOURCE_WINDOW.FAT&amp;VAR:ID1=FDSA-GB&amp;window=popup&amp;width=535&amp;height=425&amp;START_MAXIMIZED=FALSE&amp;Y=120"}</definedName>
    <definedName name="_354__FDSAUDITLINK__" localSheetId="6" hidden="1">{"fdsup://directions/FAT Viewer?action=UPDATE&amp;creator=factSet&amp;DYN_ARGS=true&amp;DOC_NAME=FAT:RGA_ENTRPR_VAL_EV_SOURCE_WINDOW.FAT&amp;VAR:ID1=FDSA-GB&amp;window=popup&amp;width=535&amp;height=425&amp;START_MAXIMIZED=FALSE&amp;Y=120"}</definedName>
    <definedName name="_354__FDSAUDITLINK__" hidden="1">{"fdsup://directions/FAT Viewer?action=UPDATE&amp;creator=factSet&amp;DYN_ARGS=true&amp;DOC_NAME=FAT:RGA_ENTRPR_VAL_EV_SOURCE_WINDOW.FAT&amp;VAR:ID1=FDSA-GB&amp;window=popup&amp;width=535&amp;height=425&amp;START_MAXIMIZED=FALSE&amp;Y=120"}</definedName>
    <definedName name="_355__FDSAUDITLINK__" localSheetId="0" hidden="1">{"fdsup://directions/FAT Viewer?action=UPDATE&amp;creator=factSet&amp;DYN_ARGS=true&amp;DOC_NAME=FAT:RGA_ENTRPR_VAL_EV_SOURCE_WINDOW.FAT&amp;VAR:ID1=FDSA-GB&amp;window=popup&amp;width=535&amp;height=425&amp;START_MAXIMIZED=FALSE&amp;Y=120"}</definedName>
    <definedName name="_355__FDSAUDITLINK__" localSheetId="6" hidden="1">{"fdsup://directions/FAT Viewer?action=UPDATE&amp;creator=factSet&amp;DYN_ARGS=true&amp;DOC_NAME=FAT:RGA_ENTRPR_VAL_EV_SOURCE_WINDOW.FAT&amp;VAR:ID1=FDSA-GB&amp;window=popup&amp;width=535&amp;height=425&amp;START_MAXIMIZED=FALSE&amp;Y=120"}</definedName>
    <definedName name="_355__FDSAUDITLINK__" hidden="1">{"fdsup://directions/FAT Viewer?action=UPDATE&amp;creator=factSet&amp;DYN_ARGS=true&amp;DOC_NAME=FAT:RGA_ENTRPR_VAL_EV_SOURCE_WINDOW.FAT&amp;VAR:ID1=FDSA-GB&amp;window=popup&amp;width=535&amp;height=425&amp;START_MAXIMIZED=FALSE&amp;Y=120"}</definedName>
    <definedName name="_356__123Graph_DCHART_37" hidden="1">#REF!</definedName>
    <definedName name="_356__FDSAUDITLINK__" localSheetId="0" hidden="1">{"fdsup://directions/FAT Viewer?action=UPDATE&amp;creator=factSet&amp;DYN_ARGS=true&amp;DOC_NAME=FAT:RGA_ENTRPR_VAL_EV_SOURCE_WINDOW.FAT&amp;VAR:ID1=FDSA-GB&amp;window=popup&amp;width=535&amp;height=425&amp;START_MAXIMIZED=FALSE&amp;Y=120"}</definedName>
    <definedName name="_356__FDSAUDITLINK__" localSheetId="6" hidden="1">{"fdsup://directions/FAT Viewer?action=UPDATE&amp;creator=factSet&amp;DYN_ARGS=true&amp;DOC_NAME=FAT:RGA_ENTRPR_VAL_EV_SOURCE_WINDOW.FAT&amp;VAR:ID1=FDSA-GB&amp;window=popup&amp;width=535&amp;height=425&amp;START_MAXIMIZED=FALSE&amp;Y=120"}</definedName>
    <definedName name="_356__FDSAUDITLINK__" hidden="1">{"fdsup://directions/FAT Viewer?action=UPDATE&amp;creator=factSet&amp;DYN_ARGS=true&amp;DOC_NAME=FAT:RGA_ENTRPR_VAL_EV_SOURCE_WINDOW.FAT&amp;VAR:ID1=FDSA-GB&amp;window=popup&amp;width=535&amp;height=425&amp;START_MAXIMIZED=FALSE&amp;Y=120"}</definedName>
    <definedName name="_357__FDSAUDITLINK__" localSheetId="0" hidden="1">{"fdsup://directions/FAT Viewer?action=UPDATE&amp;creator=factSet&amp;DYN_ARGS=true&amp;DOC_NAME=FAT:RGA_ENTRPR_VAL_EV_SOURCE_WINDOW.FAT&amp;VAR:ID1=FDSA-GB&amp;window=popup&amp;width=535&amp;height=425&amp;START_MAXIMIZED=FALSE&amp;Y=120"}</definedName>
    <definedName name="_357__FDSAUDITLINK__" localSheetId="6" hidden="1">{"fdsup://directions/FAT Viewer?action=UPDATE&amp;creator=factSet&amp;DYN_ARGS=true&amp;DOC_NAME=FAT:RGA_ENTRPR_VAL_EV_SOURCE_WINDOW.FAT&amp;VAR:ID1=FDSA-GB&amp;window=popup&amp;width=535&amp;height=425&amp;START_MAXIMIZED=FALSE&amp;Y=120"}</definedName>
    <definedName name="_357__FDSAUDITLINK__" hidden="1">{"fdsup://directions/FAT Viewer?action=UPDATE&amp;creator=factSet&amp;DYN_ARGS=true&amp;DOC_NAME=FAT:RGA_ENTRPR_VAL_EV_SOURCE_WINDOW.FAT&amp;VAR:ID1=FDSA-GB&amp;window=popup&amp;width=535&amp;height=425&amp;START_MAXIMIZED=FALSE&amp;Y=120"}</definedName>
    <definedName name="_358__FDSAUDITLINK__" localSheetId="0" hidden="1">{"fdsup://directions/FAT Viewer?action=UPDATE&amp;creator=factSet&amp;DYN_ARGS=true&amp;DOC_NAME=FAT:RGA_ENTRPR_VAL_EV_SOURCE_WINDOW.FAT&amp;VAR:ID1=FDSA-GB&amp;window=popup&amp;width=535&amp;height=425&amp;START_MAXIMIZED=FALSE&amp;Y=120"}</definedName>
    <definedName name="_358__FDSAUDITLINK__" localSheetId="6" hidden="1">{"fdsup://directions/FAT Viewer?action=UPDATE&amp;creator=factSet&amp;DYN_ARGS=true&amp;DOC_NAME=FAT:RGA_ENTRPR_VAL_EV_SOURCE_WINDOW.FAT&amp;VAR:ID1=FDSA-GB&amp;window=popup&amp;width=535&amp;height=425&amp;START_MAXIMIZED=FALSE&amp;Y=120"}</definedName>
    <definedName name="_358__FDSAUDITLINK__" hidden="1">{"fdsup://directions/FAT Viewer?action=UPDATE&amp;creator=factSet&amp;DYN_ARGS=true&amp;DOC_NAME=FAT:RGA_ENTRPR_VAL_EV_SOURCE_WINDOW.FAT&amp;VAR:ID1=FDSA-GB&amp;window=popup&amp;width=535&amp;height=425&amp;START_MAXIMIZED=FALSE&amp;Y=120"}</definedName>
    <definedName name="_359__FDSAUDITLINK__" localSheetId="0" hidden="1">{"fdsup://directions/FAT Viewer?action=UPDATE&amp;creator=factSet&amp;DYN_ARGS=true&amp;DOC_NAME=FAT:RGA_ENTRPR_VAL_EV_SOURCE_WINDOW.FAT&amp;VAR:ID1=FDSA-GB&amp;window=popup&amp;width=535&amp;height=425&amp;START_MAXIMIZED=FALSE&amp;Y=120"}</definedName>
    <definedName name="_359__FDSAUDITLINK__" localSheetId="6" hidden="1">{"fdsup://directions/FAT Viewer?action=UPDATE&amp;creator=factSet&amp;DYN_ARGS=true&amp;DOC_NAME=FAT:RGA_ENTRPR_VAL_EV_SOURCE_WINDOW.FAT&amp;VAR:ID1=FDSA-GB&amp;window=popup&amp;width=535&amp;height=425&amp;START_MAXIMIZED=FALSE&amp;Y=120"}</definedName>
    <definedName name="_359__FDSAUDITLINK__" hidden="1">{"fdsup://directions/FAT Viewer?action=UPDATE&amp;creator=factSet&amp;DYN_ARGS=true&amp;DOC_NAME=FAT:RGA_ENTRPR_VAL_EV_SOURCE_WINDOW.FAT&amp;VAR:ID1=FDSA-GB&amp;window=popup&amp;width=535&amp;height=425&amp;START_MAXIMIZED=FALSE&amp;Y=120"}</definedName>
    <definedName name="_36__123Graph_BCHART_16" hidden="1">#REF!</definedName>
    <definedName name="_36__123Graph_CCHART_6" hidden="1">#REF!</definedName>
    <definedName name="_36__123Graph_DCHART_15" hidden="1">#REF!</definedName>
    <definedName name="_36__123Graph_DIND9596" hidden="1">#REF!</definedName>
    <definedName name="_36__123Graph_LBL_AMKT_MONTH" hidden="1">#REF!</definedName>
    <definedName name="_36__123Graph_XCHART_6" hidden="1">#REF!</definedName>
    <definedName name="_36__123Graph_XSEG_PIE" hidden="1">#REF!</definedName>
    <definedName name="_36__FDSAUDITLINK__" localSheetId="0" hidden="1">{"fdsup://directions/FAT Viewer?action=UPDATE&amp;creator=factSet&amp;DYN_ARGS=true&amp;DOC_NAME=FAT:RGA_ENTRPR_VAL_EV_SOURCE_WINDOW.FAT&amp;VAR:ID1=&amp;window=popup&amp;width=535&amp;height=425&amp;START_MAXIMIZED=FALSE&amp;Y=120"}</definedName>
    <definedName name="_36__FDSAUDITLINK__" localSheetId="6" hidden="1">{"fdsup://directions/FAT Viewer?action=UPDATE&amp;creator=factSet&amp;DYN_ARGS=true&amp;DOC_NAME=FAT:RGA_ENTRPR_VAL_EV_SOURCE_WINDOW.FAT&amp;VAR:ID1=&amp;window=popup&amp;width=535&amp;height=425&amp;START_MAXIMIZED=FALSE&amp;Y=120"}</definedName>
    <definedName name="_36__FDSAUDITLINK__" hidden="1">{"fdsup://directions/FAT Viewer?action=UPDATE&amp;creator=factSet&amp;DYN_ARGS=true&amp;DOC_NAME=FAT:RGA_ENTRPR_VAL_EV_SOURCE_WINDOW.FAT&amp;VAR:ID1=&amp;window=popup&amp;width=535&amp;height=425&amp;START_MAXIMIZED=FALSE&amp;Y=120"}</definedName>
    <definedName name="_360__FDSAUDITLINK__" localSheetId="0" hidden="1">{"fdsup://directions/FAT Viewer?action=UPDATE&amp;creator=factSet&amp;DYN_ARGS=true&amp;DOC_NAME=FAT:RGA_ENTRPR_VAL_EV_SOURCE_WINDOW.FAT&amp;VAR:ID1=FDSA-GB&amp;window=popup&amp;width=535&amp;height=425&amp;START_MAXIMIZED=FALSE&amp;Y=120"}</definedName>
    <definedName name="_360__FDSAUDITLINK__" localSheetId="6" hidden="1">{"fdsup://directions/FAT Viewer?action=UPDATE&amp;creator=factSet&amp;DYN_ARGS=true&amp;DOC_NAME=FAT:RGA_ENTRPR_VAL_EV_SOURCE_WINDOW.FAT&amp;VAR:ID1=FDSA-GB&amp;window=popup&amp;width=535&amp;height=425&amp;START_MAXIMIZED=FALSE&amp;Y=120"}</definedName>
    <definedName name="_360__FDSAUDITLINK__" hidden="1">{"fdsup://directions/FAT Viewer?action=UPDATE&amp;creator=factSet&amp;DYN_ARGS=true&amp;DOC_NAME=FAT:RGA_ENTRPR_VAL_EV_SOURCE_WINDOW.FAT&amp;VAR:ID1=FDSA-GB&amp;window=popup&amp;width=535&amp;height=425&amp;START_MAXIMIZED=FALSE&amp;Y=120"}</definedName>
    <definedName name="_361__FDSAUDITLINK__" localSheetId="0" hidden="1">{"fdsup://directions/FAT Viewer?action=UPDATE&amp;creator=factSet&amp;DYN_ARGS=true&amp;DOC_NAME=FAT:RGA_ENTRPR_VAL_EV_SOURCE_WINDOW.FAT&amp;VAR:ID1=FDSA-GB&amp;window=popup&amp;width=535&amp;height=425&amp;START_MAXIMIZED=FALSE&amp;Y=120"}</definedName>
    <definedName name="_361__FDSAUDITLINK__" localSheetId="6" hidden="1">{"fdsup://directions/FAT Viewer?action=UPDATE&amp;creator=factSet&amp;DYN_ARGS=true&amp;DOC_NAME=FAT:RGA_ENTRPR_VAL_EV_SOURCE_WINDOW.FAT&amp;VAR:ID1=FDSA-GB&amp;window=popup&amp;width=535&amp;height=425&amp;START_MAXIMIZED=FALSE&amp;Y=120"}</definedName>
    <definedName name="_361__FDSAUDITLINK__" hidden="1">{"fdsup://directions/FAT Viewer?action=UPDATE&amp;creator=factSet&amp;DYN_ARGS=true&amp;DOC_NAME=FAT:RGA_ENTRPR_VAL_EV_SOURCE_WINDOW.FAT&amp;VAR:ID1=FDSA-GB&amp;window=popup&amp;width=535&amp;height=425&amp;START_MAXIMIZED=FALSE&amp;Y=120"}</definedName>
    <definedName name="_362__FDSAUDITLINK__" localSheetId="0" hidden="1">{"fdsup://directions/FAT Viewer?action=UPDATE&amp;creator=factSet&amp;DYN_ARGS=true&amp;DOC_NAME=FAT:RGA_ENTRPR_VAL_EV_SOURCE_WINDOW.FAT&amp;VAR:ID1=FDSA-GB&amp;window=popup&amp;width=535&amp;height=425&amp;START_MAXIMIZED=FALSE&amp;Y=120"}</definedName>
    <definedName name="_362__FDSAUDITLINK__" localSheetId="6" hidden="1">{"fdsup://directions/FAT Viewer?action=UPDATE&amp;creator=factSet&amp;DYN_ARGS=true&amp;DOC_NAME=FAT:RGA_ENTRPR_VAL_EV_SOURCE_WINDOW.FAT&amp;VAR:ID1=FDSA-GB&amp;window=popup&amp;width=535&amp;height=425&amp;START_MAXIMIZED=FALSE&amp;Y=120"}</definedName>
    <definedName name="_362__FDSAUDITLINK__" hidden="1">{"fdsup://directions/FAT Viewer?action=UPDATE&amp;creator=factSet&amp;DYN_ARGS=true&amp;DOC_NAME=FAT:RGA_ENTRPR_VAL_EV_SOURCE_WINDOW.FAT&amp;VAR:ID1=FDSA-GB&amp;window=popup&amp;width=535&amp;height=425&amp;START_MAXIMIZED=FALSE&amp;Y=120"}</definedName>
    <definedName name="_363__FDSAUDITLINK__" localSheetId="0" hidden="1">{"fdsup://directions/FAT Viewer?action=UPDATE&amp;creator=factSet&amp;DYN_ARGS=true&amp;DOC_NAME=FAT:RGA_ENTRPR_VAL_EV_SOURCE_WINDOW.FAT&amp;VAR:ID1=FDSA-GB&amp;window=popup&amp;width=535&amp;height=425&amp;START_MAXIMIZED=FALSE&amp;Y=120"}</definedName>
    <definedName name="_363__FDSAUDITLINK__" localSheetId="6" hidden="1">{"fdsup://directions/FAT Viewer?action=UPDATE&amp;creator=factSet&amp;DYN_ARGS=true&amp;DOC_NAME=FAT:RGA_ENTRPR_VAL_EV_SOURCE_WINDOW.FAT&amp;VAR:ID1=FDSA-GB&amp;window=popup&amp;width=535&amp;height=425&amp;START_MAXIMIZED=FALSE&amp;Y=120"}</definedName>
    <definedName name="_363__FDSAUDITLINK__" hidden="1">{"fdsup://directions/FAT Viewer?action=UPDATE&amp;creator=factSet&amp;DYN_ARGS=true&amp;DOC_NAME=FAT:RGA_ENTRPR_VAL_EV_SOURCE_WINDOW.FAT&amp;VAR:ID1=FDSA-GB&amp;window=popup&amp;width=535&amp;height=425&amp;START_MAXIMIZED=FALSE&amp;Y=120"}</definedName>
    <definedName name="_364__FDSAUDITLINK__" localSheetId="0" hidden="1">{"fdsup://directions/FAT Viewer?action=UPDATE&amp;creator=factSet&amp;DYN_ARGS=true&amp;DOC_NAME=FAT:RGA_ENTRPR_VAL_EV_SOURCE_WINDOW.FAT&amp;VAR:ID1=FDSA-GB&amp;window=popup&amp;width=535&amp;height=425&amp;START_MAXIMIZED=FALSE&amp;Y=120"}</definedName>
    <definedName name="_364__FDSAUDITLINK__" localSheetId="6" hidden="1">{"fdsup://directions/FAT Viewer?action=UPDATE&amp;creator=factSet&amp;DYN_ARGS=true&amp;DOC_NAME=FAT:RGA_ENTRPR_VAL_EV_SOURCE_WINDOW.FAT&amp;VAR:ID1=FDSA-GB&amp;window=popup&amp;width=535&amp;height=425&amp;START_MAXIMIZED=FALSE&amp;Y=120"}</definedName>
    <definedName name="_364__FDSAUDITLINK__" hidden="1">{"fdsup://directions/FAT Viewer?action=UPDATE&amp;creator=factSet&amp;DYN_ARGS=true&amp;DOC_NAME=FAT:RGA_ENTRPR_VAL_EV_SOURCE_WINDOW.FAT&amp;VAR:ID1=FDSA-GB&amp;window=popup&amp;width=535&amp;height=425&amp;START_MAXIMIZED=FALSE&amp;Y=120"}</definedName>
    <definedName name="_365__FDSAUDITLINK__" localSheetId="0" hidden="1">{"fdsup://directions/FAT Viewer?action=UPDATE&amp;creator=factSet&amp;DYN_ARGS=true&amp;DOC_NAME=FAT:RGA_ENTRPR_VAL_EV_SOURCE_WINDOW.FAT&amp;VAR:ID1=FDSA-GB&amp;window=popup&amp;width=535&amp;height=425&amp;START_MAXIMIZED=FALSE&amp;Y=120"}</definedName>
    <definedName name="_365__FDSAUDITLINK__" localSheetId="6" hidden="1">{"fdsup://directions/FAT Viewer?action=UPDATE&amp;creator=factSet&amp;DYN_ARGS=true&amp;DOC_NAME=FAT:RGA_ENTRPR_VAL_EV_SOURCE_WINDOW.FAT&amp;VAR:ID1=FDSA-GB&amp;window=popup&amp;width=535&amp;height=425&amp;START_MAXIMIZED=FALSE&amp;Y=120"}</definedName>
    <definedName name="_365__FDSAUDITLINK__" hidden="1">{"fdsup://directions/FAT Viewer?action=UPDATE&amp;creator=factSet&amp;DYN_ARGS=true&amp;DOC_NAME=FAT:RGA_ENTRPR_VAL_EV_SOURCE_WINDOW.FAT&amp;VAR:ID1=FDSA-GB&amp;window=popup&amp;width=535&amp;height=425&amp;START_MAXIMIZED=FALSE&amp;Y=120"}</definedName>
    <definedName name="_366__FDSAUDITLINK__" localSheetId="0" hidden="1">{"fdsup://directions/FAT Viewer?action=UPDATE&amp;creator=factSet&amp;DYN_ARGS=true&amp;DOC_NAME=FAT:RGA_ENTRPR_VAL_EV_SOURCE_WINDOW.FAT&amp;VAR:ID1=FDSA-GB&amp;window=popup&amp;width=535&amp;height=425&amp;START_MAXIMIZED=FALSE&amp;Y=120"}</definedName>
    <definedName name="_366__FDSAUDITLINK__" localSheetId="6" hidden="1">{"fdsup://directions/FAT Viewer?action=UPDATE&amp;creator=factSet&amp;DYN_ARGS=true&amp;DOC_NAME=FAT:RGA_ENTRPR_VAL_EV_SOURCE_WINDOW.FAT&amp;VAR:ID1=FDSA-GB&amp;window=popup&amp;width=535&amp;height=425&amp;START_MAXIMIZED=FALSE&amp;Y=120"}</definedName>
    <definedName name="_366__FDSAUDITLINK__" hidden="1">{"fdsup://directions/FAT Viewer?action=UPDATE&amp;creator=factSet&amp;DYN_ARGS=true&amp;DOC_NAME=FAT:RGA_ENTRPR_VAL_EV_SOURCE_WINDOW.FAT&amp;VAR:ID1=FDSA-GB&amp;window=popup&amp;width=535&amp;height=425&amp;START_MAXIMIZED=FALSE&amp;Y=120"}</definedName>
    <definedName name="_367__FDSAUDITLINK__" localSheetId="0" hidden="1">{"fdsup://directions/FAT Viewer?action=UPDATE&amp;creator=factSet&amp;DYN_ARGS=true&amp;DOC_NAME=FAT:RGA_ENTRPR_VAL_EV_SOURCE_WINDOW.FAT&amp;VAR:ID1=FDSA-GB&amp;window=popup&amp;width=535&amp;height=425&amp;START_MAXIMIZED=FALSE&amp;Y=120"}</definedName>
    <definedName name="_367__FDSAUDITLINK__" localSheetId="6" hidden="1">{"fdsup://directions/FAT Viewer?action=UPDATE&amp;creator=factSet&amp;DYN_ARGS=true&amp;DOC_NAME=FAT:RGA_ENTRPR_VAL_EV_SOURCE_WINDOW.FAT&amp;VAR:ID1=FDSA-GB&amp;window=popup&amp;width=535&amp;height=425&amp;START_MAXIMIZED=FALSE&amp;Y=120"}</definedName>
    <definedName name="_367__FDSAUDITLINK__" hidden="1">{"fdsup://directions/FAT Viewer?action=UPDATE&amp;creator=factSet&amp;DYN_ARGS=true&amp;DOC_NAME=FAT:RGA_ENTRPR_VAL_EV_SOURCE_WINDOW.FAT&amp;VAR:ID1=FDSA-GB&amp;window=popup&amp;width=535&amp;height=425&amp;START_MAXIMIZED=FALSE&amp;Y=120"}</definedName>
    <definedName name="_368__FDSAUDITLINK__" localSheetId="0" hidden="1">{"fdsup://directions/FAT Viewer?action=UPDATE&amp;creator=factSet&amp;DYN_ARGS=true&amp;DOC_NAME=FAT:RGA_ENTRPR_VAL_EV_SOURCE_WINDOW.FAT&amp;VAR:ID1=FDSA-GB&amp;window=popup&amp;width=535&amp;height=425&amp;START_MAXIMIZED=FALSE&amp;Y=120"}</definedName>
    <definedName name="_368__FDSAUDITLINK__" localSheetId="6" hidden="1">{"fdsup://directions/FAT Viewer?action=UPDATE&amp;creator=factSet&amp;DYN_ARGS=true&amp;DOC_NAME=FAT:RGA_ENTRPR_VAL_EV_SOURCE_WINDOW.FAT&amp;VAR:ID1=FDSA-GB&amp;window=popup&amp;width=535&amp;height=425&amp;START_MAXIMIZED=FALSE&amp;Y=120"}</definedName>
    <definedName name="_368__FDSAUDITLINK__" hidden="1">{"fdsup://directions/FAT Viewer?action=UPDATE&amp;creator=factSet&amp;DYN_ARGS=true&amp;DOC_NAME=FAT:RGA_ENTRPR_VAL_EV_SOURCE_WINDOW.FAT&amp;VAR:ID1=FDSA-GB&amp;window=popup&amp;width=535&amp;height=425&amp;START_MAXIMIZED=FALSE&amp;Y=120"}</definedName>
    <definedName name="_369__123Graph_DCHART_39" hidden="1">#REF!</definedName>
    <definedName name="_369__FDSAUDITLINK__" localSheetId="0" hidden="1">{"fdsup://directions/FAT Viewer?action=UPDATE&amp;creator=factSet&amp;DYN_ARGS=true&amp;DOC_NAME=FAT:RGA_ENTRPR_VAL_EV_SOURCE_WINDOW.FAT&amp;VAR:ID1=FDSA-GB&amp;window=popup&amp;width=535&amp;height=425&amp;START_MAXIMIZED=FALSE&amp;Y=120"}</definedName>
    <definedName name="_369__FDSAUDITLINK__" localSheetId="6" hidden="1">{"fdsup://directions/FAT Viewer?action=UPDATE&amp;creator=factSet&amp;DYN_ARGS=true&amp;DOC_NAME=FAT:RGA_ENTRPR_VAL_EV_SOURCE_WINDOW.FAT&amp;VAR:ID1=FDSA-GB&amp;window=popup&amp;width=535&amp;height=425&amp;START_MAXIMIZED=FALSE&amp;Y=120"}</definedName>
    <definedName name="_369__FDSAUDITLINK__" hidden="1">{"fdsup://directions/FAT Viewer?action=UPDATE&amp;creator=factSet&amp;DYN_ARGS=true&amp;DOC_NAME=FAT:RGA_ENTRPR_VAL_EV_SOURCE_WINDOW.FAT&amp;VAR:ID1=FDSA-GB&amp;window=popup&amp;width=535&amp;height=425&amp;START_MAXIMIZED=FALSE&amp;Y=120"}</definedName>
    <definedName name="_37__123Graph_BCHART_17" hidden="1">#REF!</definedName>
    <definedName name="_37__123Graph_CCHART_7" hidden="1">#REF!</definedName>
    <definedName name="_37__123Graph_DINDX9196" hidden="1">#REF!</definedName>
    <definedName name="_37__123Graph_LBL_AMKT_YTD" hidden="1">#REF!</definedName>
    <definedName name="_37__123Graph_XCHART_7" hidden="1">#REF!</definedName>
    <definedName name="_37__FDSAUDITLINK__" localSheetId="0" hidden="1">{"fdsup://directions/FAT Viewer?action=UPDATE&amp;creator=factSet&amp;DYN_ARGS=true&amp;DOC_NAME=FAT:RGA_ENTRPR_VAL_EV_SOURCE_WINDOW.FAT&amp;VAR:ID1=SIM-DK&amp;window=popup&amp;width=535&amp;height=425&amp;START_MAXIMIZED=FALSE&amp;Y=120"}</definedName>
    <definedName name="_37__FDSAUDITLINK__" localSheetId="6" hidden="1">{"fdsup://directions/FAT Viewer?action=UPDATE&amp;creator=factSet&amp;DYN_ARGS=true&amp;DOC_NAME=FAT:RGA_ENTRPR_VAL_EV_SOURCE_WINDOW.FAT&amp;VAR:ID1=SIM-DK&amp;window=popup&amp;width=535&amp;height=425&amp;START_MAXIMIZED=FALSE&amp;Y=120"}</definedName>
    <definedName name="_37__FDSAUDITLINK__" hidden="1">{"fdsup://directions/FAT Viewer?action=UPDATE&amp;creator=factSet&amp;DYN_ARGS=true&amp;DOC_NAME=FAT:RGA_ENTRPR_VAL_EV_SOURCE_WINDOW.FAT&amp;VAR:ID1=SIM-DK&amp;window=popup&amp;width=535&amp;height=425&amp;START_MAXIMIZED=FALSE&amp;Y=120"}</definedName>
    <definedName name="_37_0__123Graph_BCHAR" hidden="1">#REF!</definedName>
    <definedName name="_370__FDSAUDITLINK__" localSheetId="0" hidden="1">{"fdsup://directions/FAT Viewer?action=UPDATE&amp;creator=factSet&amp;DYN_ARGS=true&amp;DOC_NAME=FAT:RGA_ENTRPR_VAL_EV_SOURCE_WINDOW.FAT&amp;VAR:ID1=FDSA-GB&amp;window=popup&amp;width=535&amp;height=425&amp;START_MAXIMIZED=FALSE&amp;Y=120"}</definedName>
    <definedName name="_370__FDSAUDITLINK__" localSheetId="6" hidden="1">{"fdsup://directions/FAT Viewer?action=UPDATE&amp;creator=factSet&amp;DYN_ARGS=true&amp;DOC_NAME=FAT:RGA_ENTRPR_VAL_EV_SOURCE_WINDOW.FAT&amp;VAR:ID1=FDSA-GB&amp;window=popup&amp;width=535&amp;height=425&amp;START_MAXIMIZED=FALSE&amp;Y=120"}</definedName>
    <definedName name="_370__FDSAUDITLINK__" hidden="1">{"fdsup://directions/FAT Viewer?action=UPDATE&amp;creator=factSet&amp;DYN_ARGS=true&amp;DOC_NAME=FAT:RGA_ENTRPR_VAL_EV_SOURCE_WINDOW.FAT&amp;VAR:ID1=FDSA-GB&amp;window=popup&amp;width=535&amp;height=425&amp;START_MAXIMIZED=FALSE&amp;Y=120"}</definedName>
    <definedName name="_371__FDSAUDITLINK__" localSheetId="0" hidden="1">{"fdsup://directions/FAT Viewer?action=UPDATE&amp;creator=factSet&amp;DYN_ARGS=true&amp;DOC_NAME=FAT:RGA_ENTRPR_VAL_EV_SOURCE_WINDOW.FAT&amp;VAR:ID1=FDSA-GB&amp;window=popup&amp;width=535&amp;height=425&amp;START_MAXIMIZED=FALSE&amp;Y=120"}</definedName>
    <definedName name="_371__FDSAUDITLINK__" localSheetId="6" hidden="1">{"fdsup://directions/FAT Viewer?action=UPDATE&amp;creator=factSet&amp;DYN_ARGS=true&amp;DOC_NAME=FAT:RGA_ENTRPR_VAL_EV_SOURCE_WINDOW.FAT&amp;VAR:ID1=FDSA-GB&amp;window=popup&amp;width=535&amp;height=425&amp;START_MAXIMIZED=FALSE&amp;Y=120"}</definedName>
    <definedName name="_371__FDSAUDITLINK__" hidden="1">{"fdsup://directions/FAT Viewer?action=UPDATE&amp;creator=factSet&amp;DYN_ARGS=true&amp;DOC_NAME=FAT:RGA_ENTRPR_VAL_EV_SOURCE_WINDOW.FAT&amp;VAR:ID1=FDSA-GB&amp;window=popup&amp;width=535&amp;height=425&amp;START_MAXIMIZED=FALSE&amp;Y=120"}</definedName>
    <definedName name="_371__FDSAUDITLINK___1" localSheetId="0"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localSheetId="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_1" localSheetId="0"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_1" localSheetId="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1_1"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2" localSheetId="0"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2" localSheetId="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2"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3" localSheetId="0"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3" localSheetId="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3"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4" localSheetId="0"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4" localSheetId="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4"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5" localSheetId="0"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5" localSheetId="6"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1__FDSAUDITLINK___5" hidden="1">{"fdsup://directions/FAT Viewer?action=UPDATE&amp;creator=factset&amp;DYN_ARGS=TRUE&amp;DOC_NAME=FAT:FQL_AUDITING_CLIENT_TEMPLATE.FAT&amp;display_string=Audit&amp;VAR:KEY=PIHMNIPKZC&amp;VAR:QUERY=RkZfRUJJVF9PUEVSKExUTVMsMCwwLCwsVVNEKQ==&amp;WINDOW=FIRST_POPUP&amp;HEIGHT=450&amp;WIDTH=450&amp;STAR","T_MAXIMIZED=FALSE&amp;VAR:CALENDAR=US&amp;VAR:SYMBOL=0&amp;VAR:INDEX=0"}</definedName>
    <definedName name="_372__FDSAUDITLINK__" localSheetId="0" hidden="1">{"fdsup://directions/FAT Viewer?action=UPDATE&amp;creator=factSet&amp;DYN_ARGS=true&amp;DOC_NAME=FAT:RGA_ENTRPR_VAL_EV_SOURCE_WINDOW.FAT&amp;VAR:ID1=FDSA-GB&amp;window=popup&amp;width=535&amp;height=425&amp;START_MAXIMIZED=FALSE&amp;Y=120"}</definedName>
    <definedName name="_372__FDSAUDITLINK__" localSheetId="6" hidden="1">{"fdsup://directions/FAT Viewer?action=UPDATE&amp;creator=factSet&amp;DYN_ARGS=true&amp;DOC_NAME=FAT:RGA_ENTRPR_VAL_EV_SOURCE_WINDOW.FAT&amp;VAR:ID1=FDSA-GB&amp;window=popup&amp;width=535&amp;height=425&amp;START_MAXIMIZED=FALSE&amp;Y=120"}</definedName>
    <definedName name="_372__FDSAUDITLINK__" hidden="1">{"fdsup://directions/FAT Viewer?action=UPDATE&amp;creator=factSet&amp;DYN_ARGS=true&amp;DOC_NAME=FAT:RGA_ENTRPR_VAL_EV_SOURCE_WINDOW.FAT&amp;VAR:ID1=FDSA-GB&amp;window=popup&amp;width=535&amp;height=425&amp;START_MAXIMIZED=FALSE&amp;Y=120"}</definedName>
    <definedName name="_373__FDSAUDITLINK__" localSheetId="0" hidden="1">{"fdsup://directions/FAT Viewer?action=UPDATE&amp;creator=factSet&amp;DYN_ARGS=true&amp;DOC_NAME=FAT:RGA_ENTRPR_VAL_EV_SOURCE_WINDOW.FAT&amp;VAR:ID1=FDSA-GB&amp;window=popup&amp;width=535&amp;height=425&amp;START_MAXIMIZED=FALSE&amp;Y=120"}</definedName>
    <definedName name="_373__FDSAUDITLINK__" localSheetId="6" hidden="1">{"fdsup://directions/FAT Viewer?action=UPDATE&amp;creator=factSet&amp;DYN_ARGS=true&amp;DOC_NAME=FAT:RGA_ENTRPR_VAL_EV_SOURCE_WINDOW.FAT&amp;VAR:ID1=FDSA-GB&amp;window=popup&amp;width=535&amp;height=425&amp;START_MAXIMIZED=FALSE&amp;Y=120"}</definedName>
    <definedName name="_373__FDSAUDITLINK__" hidden="1">{"fdsup://directions/FAT Viewer?action=UPDATE&amp;creator=factSet&amp;DYN_ARGS=true&amp;DOC_NAME=FAT:RGA_ENTRPR_VAL_EV_SOURCE_WINDOW.FAT&amp;VAR:ID1=FDSA-GB&amp;window=popup&amp;width=535&amp;height=425&amp;START_MAXIMIZED=FALSE&amp;Y=120"}</definedName>
    <definedName name="_374__FDSAUDITLINK__" localSheetId="0" hidden="1">{"fdsup://directions/FAT Viewer?action=UPDATE&amp;creator=factSet&amp;DYN_ARGS=true&amp;DOC_NAME=FAT:RGA_ENTRPR_VAL_EV_SOURCE_WINDOW.FAT&amp;VAR:ID1=FDSA-GB&amp;window=popup&amp;width=535&amp;height=425&amp;START_MAXIMIZED=FALSE&amp;Y=120"}</definedName>
    <definedName name="_374__FDSAUDITLINK__" localSheetId="6" hidden="1">{"fdsup://directions/FAT Viewer?action=UPDATE&amp;creator=factSet&amp;DYN_ARGS=true&amp;DOC_NAME=FAT:RGA_ENTRPR_VAL_EV_SOURCE_WINDOW.FAT&amp;VAR:ID1=FDSA-GB&amp;window=popup&amp;width=535&amp;height=425&amp;START_MAXIMIZED=FALSE&amp;Y=120"}</definedName>
    <definedName name="_374__FDSAUDITLINK__" hidden="1">{"fdsup://directions/FAT Viewer?action=UPDATE&amp;creator=factSet&amp;DYN_ARGS=true&amp;DOC_NAME=FAT:RGA_ENTRPR_VAL_EV_SOURCE_WINDOW.FAT&amp;VAR:ID1=FDSA-GB&amp;window=popup&amp;width=535&amp;height=425&amp;START_MAXIMIZED=FALSE&amp;Y=120"}</definedName>
    <definedName name="_375__FDSAUDITLINK__" localSheetId="0" hidden="1">{"fdsup://directions/FAT Viewer?action=UPDATE&amp;creator=factSet&amp;DYN_ARGS=true&amp;DOC_NAME=FAT:RGA_ENTRPR_VAL_EV_SOURCE_WINDOW.FAT&amp;VAR:ID1=FDSA-GB&amp;window=popup&amp;width=535&amp;height=425&amp;START_MAXIMIZED=FALSE&amp;Y=120"}</definedName>
    <definedName name="_375__FDSAUDITLINK__" localSheetId="6" hidden="1">{"fdsup://directions/FAT Viewer?action=UPDATE&amp;creator=factSet&amp;DYN_ARGS=true&amp;DOC_NAME=FAT:RGA_ENTRPR_VAL_EV_SOURCE_WINDOW.FAT&amp;VAR:ID1=FDSA-GB&amp;window=popup&amp;width=535&amp;height=425&amp;START_MAXIMIZED=FALSE&amp;Y=120"}</definedName>
    <definedName name="_375__FDSAUDITLINK__" hidden="1">{"fdsup://directions/FAT Viewer?action=UPDATE&amp;creator=factSet&amp;DYN_ARGS=true&amp;DOC_NAME=FAT:RGA_ENTRPR_VAL_EV_SOURCE_WINDOW.FAT&amp;VAR:ID1=FDSA-GB&amp;window=popup&amp;width=535&amp;height=425&amp;START_MAXIMIZED=FALSE&amp;Y=120"}</definedName>
    <definedName name="_376__FDSAUDITLINK__" localSheetId="0" hidden="1">{"fdsup://directions/FAT Viewer?action=UPDATE&amp;creator=factSet&amp;DYN_ARGS=true&amp;DOC_NAME=FAT:RGA_ENTRPR_VAL_EV_SOURCE_WINDOW.FAT&amp;VAR:ID1=GLT-FR&amp;window=popup&amp;width=535&amp;height=425&amp;START_MAXIMIZED=FALSE&amp;Y=120"}</definedName>
    <definedName name="_376__FDSAUDITLINK__" localSheetId="6" hidden="1">{"fdsup://directions/FAT Viewer?action=UPDATE&amp;creator=factSet&amp;DYN_ARGS=true&amp;DOC_NAME=FAT:RGA_ENTRPR_VAL_EV_SOURCE_WINDOW.FAT&amp;VAR:ID1=GLT-FR&amp;window=popup&amp;width=535&amp;height=425&amp;START_MAXIMIZED=FALSE&amp;Y=120"}</definedName>
    <definedName name="_376__FDSAUDITLINK__" hidden="1">{"fdsup://directions/FAT Viewer?action=UPDATE&amp;creator=factSet&amp;DYN_ARGS=true&amp;DOC_NAME=FAT:RGA_ENTRPR_VAL_EV_SOURCE_WINDOW.FAT&amp;VAR:ID1=GLT-FR&amp;window=popup&amp;width=535&amp;height=425&amp;START_MAXIMIZED=FALSE&amp;Y=120"}</definedName>
    <definedName name="_377__FDSAUDITLINK__" localSheetId="0" hidden="1">{"fdsup://directions/FAT Viewer?action=UPDATE&amp;creator=factSet&amp;DYN_ARGS=true&amp;DOC_NAME=FAT:RGA_ENTRPR_VAL_EV_SOURCE_WINDOW.FAT&amp;VAR:ID1=GLT-FR&amp;window=popup&amp;width=535&amp;height=425&amp;START_MAXIMIZED=FALSE&amp;Y=120"}</definedName>
    <definedName name="_377__FDSAUDITLINK__" localSheetId="6" hidden="1">{"fdsup://directions/FAT Viewer?action=UPDATE&amp;creator=factSet&amp;DYN_ARGS=true&amp;DOC_NAME=FAT:RGA_ENTRPR_VAL_EV_SOURCE_WINDOW.FAT&amp;VAR:ID1=GLT-FR&amp;window=popup&amp;width=535&amp;height=425&amp;START_MAXIMIZED=FALSE&amp;Y=120"}</definedName>
    <definedName name="_377__FDSAUDITLINK__" hidden="1">{"fdsup://directions/FAT Viewer?action=UPDATE&amp;creator=factSet&amp;DYN_ARGS=true&amp;DOC_NAME=FAT:RGA_ENTRPR_VAL_EV_SOURCE_WINDOW.FAT&amp;VAR:ID1=GLT-FR&amp;window=popup&amp;width=535&amp;height=425&amp;START_MAXIMIZED=FALSE&amp;Y=120"}</definedName>
    <definedName name="_378__FDSAUDITLINK__" localSheetId="0" hidden="1">{"fdsup://directions/FAT Viewer?action=UPDATE&amp;creator=factSet&amp;DYN_ARGS=true&amp;DOC_NAME=FAT:RGA_ENTRPR_VAL_EV_SOURCE_WINDOW.FAT&amp;VAR:ID1=GLT-FR&amp;window=popup&amp;width=535&amp;height=425&amp;START_MAXIMIZED=FALSE&amp;Y=120"}</definedName>
    <definedName name="_378__FDSAUDITLINK__" localSheetId="6" hidden="1">{"fdsup://directions/FAT Viewer?action=UPDATE&amp;creator=factSet&amp;DYN_ARGS=true&amp;DOC_NAME=FAT:RGA_ENTRPR_VAL_EV_SOURCE_WINDOW.FAT&amp;VAR:ID1=GLT-FR&amp;window=popup&amp;width=535&amp;height=425&amp;START_MAXIMIZED=FALSE&amp;Y=120"}</definedName>
    <definedName name="_378__FDSAUDITLINK__" hidden="1">{"fdsup://directions/FAT Viewer?action=UPDATE&amp;creator=factSet&amp;DYN_ARGS=true&amp;DOC_NAME=FAT:RGA_ENTRPR_VAL_EV_SOURCE_WINDOW.FAT&amp;VAR:ID1=GLT-FR&amp;window=popup&amp;width=535&amp;height=425&amp;START_MAXIMIZED=FALSE&amp;Y=120"}</definedName>
    <definedName name="_379__FDSAUDITLINK__" localSheetId="0" hidden="1">{"fdsup://directions/FAT Viewer?action=UPDATE&amp;creator=factSet&amp;DYN_ARGS=true&amp;DOC_NAME=FAT:RGA_ENTRPR_VAL_EV_SOURCE_WINDOW.FAT&amp;VAR:ID1=GLT-FR&amp;window=popup&amp;width=535&amp;height=425&amp;START_MAXIMIZED=FALSE&amp;Y=120"}</definedName>
    <definedName name="_379__FDSAUDITLINK__" localSheetId="6" hidden="1">{"fdsup://directions/FAT Viewer?action=UPDATE&amp;creator=factSet&amp;DYN_ARGS=true&amp;DOC_NAME=FAT:RGA_ENTRPR_VAL_EV_SOURCE_WINDOW.FAT&amp;VAR:ID1=GLT-FR&amp;window=popup&amp;width=535&amp;height=425&amp;START_MAXIMIZED=FALSE&amp;Y=120"}</definedName>
    <definedName name="_379__FDSAUDITLINK__" hidden="1">{"fdsup://directions/FAT Viewer?action=UPDATE&amp;creator=factSet&amp;DYN_ARGS=true&amp;DOC_NAME=FAT:RGA_ENTRPR_VAL_EV_SOURCE_WINDOW.FAT&amp;VAR:ID1=GLT-FR&amp;window=popup&amp;width=535&amp;height=425&amp;START_MAXIMIZED=FALSE&amp;Y=120"}</definedName>
    <definedName name="_38__123Graph_BCHART_18" hidden="1">#REF!</definedName>
    <definedName name="_38__123Graph_CCHART_8" hidden="1">#REF!</definedName>
    <definedName name="_38__123Graph_DCHART_16" hidden="1">#REF!</definedName>
    <definedName name="_38__123Graph_DINDX95" hidden="1">#REF!</definedName>
    <definedName name="_38__123Graph_LBL_B_KD956" hidden="1">#REF!</definedName>
    <definedName name="_38__123Graph_XCHART_8" hidden="1">#REF!</definedName>
    <definedName name="_38__FDSAUDITLINK__" localSheetId="0" hidden="1">{"fdsup://directions/FAT Viewer?action=UPDATE&amp;creator=factSet&amp;DYN_ARGS=true&amp;DOC_NAME=FAT:RGA_ENTRPR_VAL_EV_SOURCE_WINDOW.FAT&amp;VAR:ID1=EV&amp;window=popup&amp;width=535&amp;height=425&amp;START_MAXIMIZED=FALSE&amp;Y=120"}</definedName>
    <definedName name="_38__FDSAUDITLINK__" localSheetId="6" hidden="1">{"fdsup://directions/FAT Viewer?action=UPDATE&amp;creator=factSet&amp;DYN_ARGS=true&amp;DOC_NAME=FAT:RGA_ENTRPR_VAL_EV_SOURCE_WINDOW.FAT&amp;VAR:ID1=EV&amp;window=popup&amp;width=535&amp;height=425&amp;START_MAXIMIZED=FALSE&amp;Y=120"}</definedName>
    <definedName name="_38__FDSAUDITLINK__" hidden="1">{"fdsup://directions/FAT Viewer?action=UPDATE&amp;creator=factSet&amp;DYN_ARGS=true&amp;DOC_NAME=FAT:RGA_ENTRPR_VAL_EV_SOURCE_WINDOW.FAT&amp;VAR:ID1=EV&amp;window=popup&amp;width=535&amp;height=425&amp;START_MAXIMIZED=FALSE&amp;Y=120"}</definedName>
    <definedName name="_38_0__123Graph_BCHAR" hidden="1">#REF!</definedName>
    <definedName name="_380__FDSAUDITLINK__" localSheetId="0" hidden="1">{"fdsup://directions/FAT Viewer?action=UPDATE&amp;creator=factSet&amp;DYN_ARGS=true&amp;DOC_NAME=FAT:RGA_ENTRPR_VAL_EV_SOURCE_WINDOW.FAT&amp;VAR:ID1=GLT-FR&amp;window=popup&amp;width=535&amp;height=425&amp;START_MAXIMIZED=FALSE&amp;Y=120"}</definedName>
    <definedName name="_380__FDSAUDITLINK__" localSheetId="6" hidden="1">{"fdsup://directions/FAT Viewer?action=UPDATE&amp;creator=factSet&amp;DYN_ARGS=true&amp;DOC_NAME=FAT:RGA_ENTRPR_VAL_EV_SOURCE_WINDOW.FAT&amp;VAR:ID1=GLT-FR&amp;window=popup&amp;width=535&amp;height=425&amp;START_MAXIMIZED=FALSE&amp;Y=120"}</definedName>
    <definedName name="_380__FDSAUDITLINK__" hidden="1">{"fdsup://directions/FAT Viewer?action=UPDATE&amp;creator=factSet&amp;DYN_ARGS=true&amp;DOC_NAME=FAT:RGA_ENTRPR_VAL_EV_SOURCE_WINDOW.FAT&amp;VAR:ID1=GLT-FR&amp;window=popup&amp;width=535&amp;height=425&amp;START_MAXIMIZED=FALSE&amp;Y=120"}</definedName>
    <definedName name="_381__FDSAUDITLINK__" localSheetId="0" hidden="1">{"fdsup://directions/FAT Viewer?action=UPDATE&amp;creator=factSet&amp;DYN_ARGS=true&amp;DOC_NAME=FAT:RGA_ENTRPR_VAL_EV_SOURCE_WINDOW.FAT&amp;VAR:ID1=GLT-FR&amp;window=popup&amp;width=535&amp;height=425&amp;START_MAXIMIZED=FALSE&amp;Y=120"}</definedName>
    <definedName name="_381__FDSAUDITLINK__" localSheetId="6" hidden="1">{"fdsup://directions/FAT Viewer?action=UPDATE&amp;creator=factSet&amp;DYN_ARGS=true&amp;DOC_NAME=FAT:RGA_ENTRPR_VAL_EV_SOURCE_WINDOW.FAT&amp;VAR:ID1=GLT-FR&amp;window=popup&amp;width=535&amp;height=425&amp;START_MAXIMIZED=FALSE&amp;Y=120"}</definedName>
    <definedName name="_381__FDSAUDITLINK__" hidden="1">{"fdsup://directions/FAT Viewer?action=UPDATE&amp;creator=factSet&amp;DYN_ARGS=true&amp;DOC_NAME=FAT:RGA_ENTRPR_VAL_EV_SOURCE_WINDOW.FAT&amp;VAR:ID1=GLT-FR&amp;window=popup&amp;width=535&amp;height=425&amp;START_MAXIMIZED=FALSE&amp;Y=120"}</definedName>
    <definedName name="_382__123Graph_DCHART_41" hidden="1">#REF!</definedName>
    <definedName name="_382__FDSAUDITLINK__" localSheetId="0" hidden="1">{"fdsup://directions/FAT Viewer?action=UPDATE&amp;creator=factSet&amp;DYN_ARGS=true&amp;DOC_NAME=FAT:RGA_ENTRPR_VAL_EV_SOURCE_WINDOW.FAT&amp;VAR:ID1=GLT-FR&amp;window=popup&amp;width=535&amp;height=425&amp;START_MAXIMIZED=FALSE&amp;Y=120"}</definedName>
    <definedName name="_382__FDSAUDITLINK__" localSheetId="6" hidden="1">{"fdsup://directions/FAT Viewer?action=UPDATE&amp;creator=factSet&amp;DYN_ARGS=true&amp;DOC_NAME=FAT:RGA_ENTRPR_VAL_EV_SOURCE_WINDOW.FAT&amp;VAR:ID1=GLT-FR&amp;window=popup&amp;width=535&amp;height=425&amp;START_MAXIMIZED=FALSE&amp;Y=120"}</definedName>
    <definedName name="_382__FDSAUDITLINK__" hidden="1">{"fdsup://directions/FAT Viewer?action=UPDATE&amp;creator=factSet&amp;DYN_ARGS=true&amp;DOC_NAME=FAT:RGA_ENTRPR_VAL_EV_SOURCE_WINDOW.FAT&amp;VAR:ID1=GLT-FR&amp;window=popup&amp;width=535&amp;height=425&amp;START_MAXIMIZED=FALSE&amp;Y=120"}</definedName>
    <definedName name="_383__FDSAUDITLINK__" localSheetId="0" hidden="1">{"fdsup://directions/FAT Viewer?action=UPDATE&amp;creator=factSet&amp;DYN_ARGS=true&amp;DOC_NAME=FAT:RGA_ENTRPR_VAL_EV_SOURCE_WINDOW.FAT&amp;VAR:ID1=GLT-FR&amp;window=popup&amp;width=535&amp;height=425&amp;START_MAXIMIZED=FALSE&amp;Y=120"}</definedName>
    <definedName name="_383__FDSAUDITLINK__" localSheetId="6" hidden="1">{"fdsup://directions/FAT Viewer?action=UPDATE&amp;creator=factSet&amp;DYN_ARGS=true&amp;DOC_NAME=FAT:RGA_ENTRPR_VAL_EV_SOURCE_WINDOW.FAT&amp;VAR:ID1=GLT-FR&amp;window=popup&amp;width=535&amp;height=425&amp;START_MAXIMIZED=FALSE&amp;Y=120"}</definedName>
    <definedName name="_383__FDSAUDITLINK__" hidden="1">{"fdsup://directions/FAT Viewer?action=UPDATE&amp;creator=factSet&amp;DYN_ARGS=true&amp;DOC_NAME=FAT:RGA_ENTRPR_VAL_EV_SOURCE_WINDOW.FAT&amp;VAR:ID1=GLT-FR&amp;window=popup&amp;width=535&amp;height=425&amp;START_MAXIMIZED=FALSE&amp;Y=120"}</definedName>
    <definedName name="_384__FDSAUDITLINK__" localSheetId="0" hidden="1">{"fdsup://directions/FAT Viewer?action=UPDATE&amp;creator=factSet&amp;DYN_ARGS=true&amp;DOC_NAME=FAT:RGA_ENTRPR_VAL_EV_SOURCE_WINDOW.FAT&amp;VAR:ID1=GLT-FR&amp;window=popup&amp;width=535&amp;height=425&amp;START_MAXIMIZED=FALSE&amp;Y=120"}</definedName>
    <definedName name="_384__FDSAUDITLINK__" localSheetId="6" hidden="1">{"fdsup://directions/FAT Viewer?action=UPDATE&amp;creator=factSet&amp;DYN_ARGS=true&amp;DOC_NAME=FAT:RGA_ENTRPR_VAL_EV_SOURCE_WINDOW.FAT&amp;VAR:ID1=GLT-FR&amp;window=popup&amp;width=535&amp;height=425&amp;START_MAXIMIZED=FALSE&amp;Y=120"}</definedName>
    <definedName name="_384__FDSAUDITLINK__" hidden="1">{"fdsup://directions/FAT Viewer?action=UPDATE&amp;creator=factSet&amp;DYN_ARGS=true&amp;DOC_NAME=FAT:RGA_ENTRPR_VAL_EV_SOURCE_WINDOW.FAT&amp;VAR:ID1=GLT-FR&amp;window=popup&amp;width=535&amp;height=425&amp;START_MAXIMIZED=FALSE&amp;Y=120"}</definedName>
    <definedName name="_385__FDSAUDITLINK__" localSheetId="0" hidden="1">{"fdsup://directions/FAT Viewer?action=UPDATE&amp;creator=factSet&amp;DYN_ARGS=true&amp;DOC_NAME=FAT:RGA_ENTRPR_VAL_EV_SOURCE_WINDOW.FAT&amp;VAR:ID1=GLT-FR&amp;window=popup&amp;width=535&amp;height=425&amp;START_MAXIMIZED=FALSE&amp;Y=120"}</definedName>
    <definedName name="_385__FDSAUDITLINK__" localSheetId="6" hidden="1">{"fdsup://directions/FAT Viewer?action=UPDATE&amp;creator=factSet&amp;DYN_ARGS=true&amp;DOC_NAME=FAT:RGA_ENTRPR_VAL_EV_SOURCE_WINDOW.FAT&amp;VAR:ID1=GLT-FR&amp;window=popup&amp;width=535&amp;height=425&amp;START_MAXIMIZED=FALSE&amp;Y=120"}</definedName>
    <definedName name="_385__FDSAUDITLINK__" hidden="1">{"fdsup://directions/FAT Viewer?action=UPDATE&amp;creator=factSet&amp;DYN_ARGS=true&amp;DOC_NAME=FAT:RGA_ENTRPR_VAL_EV_SOURCE_WINDOW.FAT&amp;VAR:ID1=GLT-FR&amp;window=popup&amp;width=535&amp;height=425&amp;START_MAXIMIZED=FALSE&amp;Y=120"}</definedName>
    <definedName name="_386__123Graph_ECHART_15" hidden="1">#REF!</definedName>
    <definedName name="_386__FDSAUDITLINK__" localSheetId="0" hidden="1">{"fdsup://directions/FAT Viewer?action=UPDATE&amp;creator=factSet&amp;DYN_ARGS=true&amp;DOC_NAME=FAT:RGA_ENTRPR_VAL_EV_SOURCE_WINDOW.FAT&amp;VAR:ID1=GLT-FR&amp;window=popup&amp;width=535&amp;height=425&amp;START_MAXIMIZED=FALSE&amp;Y=120"}</definedName>
    <definedName name="_386__FDSAUDITLINK__" localSheetId="6" hidden="1">{"fdsup://directions/FAT Viewer?action=UPDATE&amp;creator=factSet&amp;DYN_ARGS=true&amp;DOC_NAME=FAT:RGA_ENTRPR_VAL_EV_SOURCE_WINDOW.FAT&amp;VAR:ID1=GLT-FR&amp;window=popup&amp;width=535&amp;height=425&amp;START_MAXIMIZED=FALSE&amp;Y=120"}</definedName>
    <definedName name="_386__FDSAUDITLINK__" hidden="1">{"fdsup://directions/FAT Viewer?action=UPDATE&amp;creator=factSet&amp;DYN_ARGS=true&amp;DOC_NAME=FAT:RGA_ENTRPR_VAL_EV_SOURCE_WINDOW.FAT&amp;VAR:ID1=GLT-FR&amp;window=popup&amp;width=535&amp;height=425&amp;START_MAXIMIZED=FALSE&amp;Y=120"}</definedName>
    <definedName name="_387__FDSAUDITLINK__" localSheetId="0" hidden="1">{"fdsup://directions/FAT Viewer?action=UPDATE&amp;creator=factSet&amp;DYN_ARGS=true&amp;DOC_NAME=FAT:RGA_ENTRPR_VAL_EV_SOURCE_WINDOW.FAT&amp;VAR:ID1=GLT-FR&amp;window=popup&amp;width=535&amp;height=425&amp;START_MAXIMIZED=FALSE&amp;Y=120"}</definedName>
    <definedName name="_387__FDSAUDITLINK__" localSheetId="6" hidden="1">{"fdsup://directions/FAT Viewer?action=UPDATE&amp;creator=factSet&amp;DYN_ARGS=true&amp;DOC_NAME=FAT:RGA_ENTRPR_VAL_EV_SOURCE_WINDOW.FAT&amp;VAR:ID1=GLT-FR&amp;window=popup&amp;width=535&amp;height=425&amp;START_MAXIMIZED=FALSE&amp;Y=120"}</definedName>
    <definedName name="_387__FDSAUDITLINK__" hidden="1">{"fdsup://directions/FAT Viewer?action=UPDATE&amp;creator=factSet&amp;DYN_ARGS=true&amp;DOC_NAME=FAT:RGA_ENTRPR_VAL_EV_SOURCE_WINDOW.FAT&amp;VAR:ID1=GLT-FR&amp;window=popup&amp;width=535&amp;height=425&amp;START_MAXIMIZED=FALSE&amp;Y=120"}</definedName>
    <definedName name="_388__FDSAUDITLINK__" localSheetId="0" hidden="1">{"fdsup://directions/FAT Viewer?action=UPDATE&amp;creator=factSet&amp;DYN_ARGS=true&amp;DOC_NAME=FAT:RGA_ENTRPR_VAL_EV_SOURCE_WINDOW.FAT&amp;VAR:ID1=GLT-FR&amp;window=popup&amp;width=535&amp;height=425&amp;START_MAXIMIZED=FALSE&amp;Y=120"}</definedName>
    <definedName name="_388__FDSAUDITLINK__" localSheetId="6" hidden="1">{"fdsup://directions/FAT Viewer?action=UPDATE&amp;creator=factSet&amp;DYN_ARGS=true&amp;DOC_NAME=FAT:RGA_ENTRPR_VAL_EV_SOURCE_WINDOW.FAT&amp;VAR:ID1=GLT-FR&amp;window=popup&amp;width=535&amp;height=425&amp;START_MAXIMIZED=FALSE&amp;Y=120"}</definedName>
    <definedName name="_388__FDSAUDITLINK__" hidden="1">{"fdsup://directions/FAT Viewer?action=UPDATE&amp;creator=factSet&amp;DYN_ARGS=true&amp;DOC_NAME=FAT:RGA_ENTRPR_VAL_EV_SOURCE_WINDOW.FAT&amp;VAR:ID1=GLT-FR&amp;window=popup&amp;width=535&amp;height=425&amp;START_MAXIMIZED=FALSE&amp;Y=120"}</definedName>
    <definedName name="_389__FDSAUDITLINK__" localSheetId="0" hidden="1">{"fdsup://directions/FAT Viewer?action=UPDATE&amp;creator=factSet&amp;DYN_ARGS=true&amp;DOC_NAME=FAT:RGA_ENTRPR_VAL_EV_SOURCE_WINDOW.FAT&amp;VAR:ID1=GLT-FR&amp;window=popup&amp;width=535&amp;height=425&amp;START_MAXIMIZED=FALSE&amp;Y=120"}</definedName>
    <definedName name="_389__FDSAUDITLINK__" localSheetId="6" hidden="1">{"fdsup://directions/FAT Viewer?action=UPDATE&amp;creator=factSet&amp;DYN_ARGS=true&amp;DOC_NAME=FAT:RGA_ENTRPR_VAL_EV_SOURCE_WINDOW.FAT&amp;VAR:ID1=GLT-FR&amp;window=popup&amp;width=535&amp;height=425&amp;START_MAXIMIZED=FALSE&amp;Y=120"}</definedName>
    <definedName name="_389__FDSAUDITLINK__" hidden="1">{"fdsup://directions/FAT Viewer?action=UPDATE&amp;creator=factSet&amp;DYN_ARGS=true&amp;DOC_NAME=FAT:RGA_ENTRPR_VAL_EV_SOURCE_WINDOW.FAT&amp;VAR:ID1=GLT-FR&amp;window=popup&amp;width=535&amp;height=425&amp;START_MAXIMIZED=FALSE&amp;Y=120"}</definedName>
    <definedName name="_39__123Graph_BCHART_12" hidden="1">#REF!</definedName>
    <definedName name="_39__123Graph_BCHART_21" hidden="1">#REF!</definedName>
    <definedName name="_39__123Graph_BCHART_22" hidden="1">#REF!</definedName>
    <definedName name="_39__123Graph_CCHART_9" hidden="1">#REF!</definedName>
    <definedName name="_39__123Graph_DINDX96" hidden="1">#REF!</definedName>
    <definedName name="_39__123Graph_LBL_BMKT_MONTH" hidden="1">#REF!</definedName>
    <definedName name="_39__123Graph_XCHART_9" hidden="1">#REF!</definedName>
    <definedName name="_39__FDSAUDITLINK__" localSheetId="0" hidden="1">{"fdsup://directions/FAT Viewer?action=UPDATE&amp;creator=factSet&amp;DYN_ARGS=true&amp;DOC_NAME=FAT:RGA_ENTRPR_VAL_EV_SOURCE_WINDOW.FAT&amp;VAR:ID1=&amp;window=popup&amp;width=535&amp;height=425&amp;START_MAXIMIZED=FALSE&amp;Y=120"}</definedName>
    <definedName name="_39__FDSAUDITLINK__" localSheetId="6" hidden="1">{"fdsup://directions/FAT Viewer?action=UPDATE&amp;creator=factSet&amp;DYN_ARGS=true&amp;DOC_NAME=FAT:RGA_ENTRPR_VAL_EV_SOURCE_WINDOW.FAT&amp;VAR:ID1=&amp;window=popup&amp;width=535&amp;height=425&amp;START_MAXIMIZED=FALSE&amp;Y=120"}</definedName>
    <definedName name="_39__FDSAUDITLINK__" hidden="1">{"fdsup://directions/FAT Viewer?action=UPDATE&amp;creator=factSet&amp;DYN_ARGS=true&amp;DOC_NAME=FAT:RGA_ENTRPR_VAL_EV_SOURCE_WINDOW.FAT&amp;VAR:ID1=&amp;window=popup&amp;width=535&amp;height=425&amp;START_MAXIMIZED=FALSE&amp;Y=120"}</definedName>
    <definedName name="_390__FDSAUDITLINK__" localSheetId="0" hidden="1">{"fdsup://directions/FAT Viewer?action=UPDATE&amp;creator=factSet&amp;DYN_ARGS=true&amp;DOC_NAME=FAT:RGA_ENTRPR_VAL_EV_SOURCE_WINDOW.FAT&amp;VAR:ID1=GLT-FR&amp;window=popup&amp;width=535&amp;height=425&amp;START_MAXIMIZED=FALSE&amp;Y=120"}</definedName>
    <definedName name="_390__FDSAUDITLINK__" localSheetId="6" hidden="1">{"fdsup://directions/FAT Viewer?action=UPDATE&amp;creator=factSet&amp;DYN_ARGS=true&amp;DOC_NAME=FAT:RGA_ENTRPR_VAL_EV_SOURCE_WINDOW.FAT&amp;VAR:ID1=GLT-FR&amp;window=popup&amp;width=535&amp;height=425&amp;START_MAXIMIZED=FALSE&amp;Y=120"}</definedName>
    <definedName name="_390__FDSAUDITLINK__" hidden="1">{"fdsup://directions/FAT Viewer?action=UPDATE&amp;creator=factSet&amp;DYN_ARGS=true&amp;DOC_NAME=FAT:RGA_ENTRPR_VAL_EV_SOURCE_WINDOW.FAT&amp;VAR:ID1=GLT-FR&amp;window=popup&amp;width=535&amp;height=425&amp;START_MAXIMIZED=FALSE&amp;Y=120"}</definedName>
    <definedName name="_391__FDSAUDITLINK__" localSheetId="0" hidden="1">{"fdsup://directions/FAT Viewer?action=UPDATE&amp;creator=factSet&amp;DYN_ARGS=true&amp;DOC_NAME=FAT:RGA_ENTRPR_VAL_EV_SOURCE_WINDOW.FAT&amp;VAR:ID1=GLT-FR&amp;window=popup&amp;width=535&amp;height=425&amp;START_MAXIMIZED=FALSE&amp;Y=120"}</definedName>
    <definedName name="_391__FDSAUDITLINK__" localSheetId="6" hidden="1">{"fdsup://directions/FAT Viewer?action=UPDATE&amp;creator=factSet&amp;DYN_ARGS=true&amp;DOC_NAME=FAT:RGA_ENTRPR_VAL_EV_SOURCE_WINDOW.FAT&amp;VAR:ID1=GLT-FR&amp;window=popup&amp;width=535&amp;height=425&amp;START_MAXIMIZED=FALSE&amp;Y=120"}</definedName>
    <definedName name="_391__FDSAUDITLINK__" hidden="1">{"fdsup://directions/FAT Viewer?action=UPDATE&amp;creator=factSet&amp;DYN_ARGS=true&amp;DOC_NAME=FAT:RGA_ENTRPR_VAL_EV_SOURCE_WINDOW.FAT&amp;VAR:ID1=GLT-FR&amp;window=popup&amp;width=535&amp;height=425&amp;START_MAXIMIZED=FALSE&amp;Y=120"}</definedName>
    <definedName name="_392__FDSAUDITLINK__" localSheetId="0" hidden="1">{"fdsup://directions/FAT Viewer?action=UPDATE&amp;creator=factSet&amp;DYN_ARGS=true&amp;DOC_NAME=FAT:RGA_ENTRPR_VAL_EV_SOURCE_WINDOW.FAT&amp;VAR:ID1=GLT-FR&amp;window=popup&amp;width=535&amp;height=425&amp;START_MAXIMIZED=FALSE&amp;Y=120"}</definedName>
    <definedName name="_392__FDSAUDITLINK__" localSheetId="6" hidden="1">{"fdsup://directions/FAT Viewer?action=UPDATE&amp;creator=factSet&amp;DYN_ARGS=true&amp;DOC_NAME=FAT:RGA_ENTRPR_VAL_EV_SOURCE_WINDOW.FAT&amp;VAR:ID1=GLT-FR&amp;window=popup&amp;width=535&amp;height=425&amp;START_MAXIMIZED=FALSE&amp;Y=120"}</definedName>
    <definedName name="_392__FDSAUDITLINK__" hidden="1">{"fdsup://directions/FAT Viewer?action=UPDATE&amp;creator=factSet&amp;DYN_ARGS=true&amp;DOC_NAME=FAT:RGA_ENTRPR_VAL_EV_SOURCE_WINDOW.FAT&amp;VAR:ID1=GLT-FR&amp;window=popup&amp;width=535&amp;height=425&amp;START_MAXIMIZED=FALSE&amp;Y=120"}</definedName>
    <definedName name="_393__FDSAUDITLINK__" localSheetId="0" hidden="1">{"fdsup://directions/FAT Viewer?action=UPDATE&amp;creator=factSet&amp;DYN_ARGS=true&amp;DOC_NAME=FAT:RGA_ENTRPR_VAL_EV_SOURCE_WINDOW.FAT&amp;VAR:ID1=GLT-FR&amp;window=popup&amp;width=535&amp;height=425&amp;START_MAXIMIZED=FALSE&amp;Y=120"}</definedName>
    <definedName name="_393__FDSAUDITLINK__" localSheetId="6" hidden="1">{"fdsup://directions/FAT Viewer?action=UPDATE&amp;creator=factSet&amp;DYN_ARGS=true&amp;DOC_NAME=FAT:RGA_ENTRPR_VAL_EV_SOURCE_WINDOW.FAT&amp;VAR:ID1=GLT-FR&amp;window=popup&amp;width=535&amp;height=425&amp;START_MAXIMIZED=FALSE&amp;Y=120"}</definedName>
    <definedName name="_393__FDSAUDITLINK__" hidden="1">{"fdsup://directions/FAT Viewer?action=UPDATE&amp;creator=factSet&amp;DYN_ARGS=true&amp;DOC_NAME=FAT:RGA_ENTRPR_VAL_EV_SOURCE_WINDOW.FAT&amp;VAR:ID1=GLT-FR&amp;window=popup&amp;width=535&amp;height=425&amp;START_MAXIMIZED=FALSE&amp;Y=120"}</definedName>
    <definedName name="_394__FDSAUDITLINK__" localSheetId="0" hidden="1">{"fdsup://directions/FAT Viewer?action=UPDATE&amp;creator=factSet&amp;DYN_ARGS=true&amp;DOC_NAME=FAT:RGA_ENTRPR_VAL_EV_SOURCE_WINDOW.FAT&amp;VAR:ID1=GLT-FR&amp;window=popup&amp;width=535&amp;height=425&amp;START_MAXIMIZED=FALSE&amp;Y=120"}</definedName>
    <definedName name="_394__FDSAUDITLINK__" localSheetId="6" hidden="1">{"fdsup://directions/FAT Viewer?action=UPDATE&amp;creator=factSet&amp;DYN_ARGS=true&amp;DOC_NAME=FAT:RGA_ENTRPR_VAL_EV_SOURCE_WINDOW.FAT&amp;VAR:ID1=GLT-FR&amp;window=popup&amp;width=535&amp;height=425&amp;START_MAXIMIZED=FALSE&amp;Y=120"}</definedName>
    <definedName name="_394__FDSAUDITLINK__" hidden="1">{"fdsup://directions/FAT Viewer?action=UPDATE&amp;creator=factSet&amp;DYN_ARGS=true&amp;DOC_NAME=FAT:RGA_ENTRPR_VAL_EV_SOURCE_WINDOW.FAT&amp;VAR:ID1=GLT-FR&amp;window=popup&amp;width=535&amp;height=425&amp;START_MAXIMIZED=FALSE&amp;Y=120"}</definedName>
    <definedName name="_395__FDSAUDITLINK__" localSheetId="0" hidden="1">{"fdsup://directions/FAT Viewer?action=UPDATE&amp;creator=factSet&amp;DYN_ARGS=true&amp;DOC_NAME=FAT:RGA_ENTRPR_VAL_EV_SOURCE_WINDOW.FAT&amp;VAR:ID1=GLT-FR&amp;window=popup&amp;width=535&amp;height=425&amp;START_MAXIMIZED=FALSE&amp;Y=120"}</definedName>
    <definedName name="_395__FDSAUDITLINK__" localSheetId="6" hidden="1">{"fdsup://directions/FAT Viewer?action=UPDATE&amp;creator=factSet&amp;DYN_ARGS=true&amp;DOC_NAME=FAT:RGA_ENTRPR_VAL_EV_SOURCE_WINDOW.FAT&amp;VAR:ID1=GLT-FR&amp;window=popup&amp;width=535&amp;height=425&amp;START_MAXIMIZED=FALSE&amp;Y=120"}</definedName>
    <definedName name="_395__FDSAUDITLINK__" hidden="1">{"fdsup://directions/FAT Viewer?action=UPDATE&amp;creator=factSet&amp;DYN_ARGS=true&amp;DOC_NAME=FAT:RGA_ENTRPR_VAL_EV_SOURCE_WINDOW.FAT&amp;VAR:ID1=GLT-FR&amp;window=popup&amp;width=535&amp;height=425&amp;START_MAXIMIZED=FALSE&amp;Y=120"}</definedName>
    <definedName name="_396__FDSAUDITLINK__" localSheetId="0" hidden="1">{"fdsup://directions/FAT Viewer?action=UPDATE&amp;creator=factSet&amp;DYN_ARGS=true&amp;DOC_NAME=FAT:RGA_ENTRPR_VAL_EV_SOURCE_WINDOW.FAT&amp;VAR:ID1=GLT-FR&amp;window=popup&amp;width=535&amp;height=425&amp;START_MAXIMIZED=FALSE&amp;Y=120"}</definedName>
    <definedName name="_396__FDSAUDITLINK__" localSheetId="6" hidden="1">{"fdsup://directions/FAT Viewer?action=UPDATE&amp;creator=factSet&amp;DYN_ARGS=true&amp;DOC_NAME=FAT:RGA_ENTRPR_VAL_EV_SOURCE_WINDOW.FAT&amp;VAR:ID1=GLT-FR&amp;window=popup&amp;width=535&amp;height=425&amp;START_MAXIMIZED=FALSE&amp;Y=120"}</definedName>
    <definedName name="_396__FDSAUDITLINK__" hidden="1">{"fdsup://directions/FAT Viewer?action=UPDATE&amp;creator=factSet&amp;DYN_ARGS=true&amp;DOC_NAME=FAT:RGA_ENTRPR_VAL_EV_SOURCE_WINDOW.FAT&amp;VAR:ID1=GLT-FR&amp;window=popup&amp;width=535&amp;height=425&amp;START_MAXIMIZED=FALSE&amp;Y=120"}</definedName>
    <definedName name="_397__FDSAUDITLINK__" localSheetId="0" hidden="1">{"fdsup://directions/FAT Viewer?action=UPDATE&amp;creator=factSet&amp;DYN_ARGS=true&amp;DOC_NAME=FAT:RGA_ENTRPR_VAL_EV_SOURCE_WINDOW.FAT&amp;VAR:ID1=GLT-FR&amp;window=popup&amp;width=535&amp;height=425&amp;START_MAXIMIZED=FALSE&amp;Y=120"}</definedName>
    <definedName name="_397__FDSAUDITLINK__" localSheetId="6" hidden="1">{"fdsup://directions/FAT Viewer?action=UPDATE&amp;creator=factSet&amp;DYN_ARGS=true&amp;DOC_NAME=FAT:RGA_ENTRPR_VAL_EV_SOURCE_WINDOW.FAT&amp;VAR:ID1=GLT-FR&amp;window=popup&amp;width=535&amp;height=425&amp;START_MAXIMIZED=FALSE&amp;Y=120"}</definedName>
    <definedName name="_397__FDSAUDITLINK__" hidden="1">{"fdsup://directions/FAT Viewer?action=UPDATE&amp;creator=factSet&amp;DYN_ARGS=true&amp;DOC_NAME=FAT:RGA_ENTRPR_VAL_EV_SOURCE_WINDOW.FAT&amp;VAR:ID1=GLT-FR&amp;window=popup&amp;width=535&amp;height=425&amp;START_MAXIMIZED=FALSE&amp;Y=120"}</definedName>
    <definedName name="_398__FDSAUDITLINK__" localSheetId="0" hidden="1">{"fdsup://directions/FAT Viewer?action=UPDATE&amp;creator=factSet&amp;DYN_ARGS=true&amp;DOC_NAME=FAT:RGA_ENTRPR_VAL_EV_SOURCE_WINDOW.FAT&amp;VAR:ID1=ORC-SE&amp;window=popup&amp;width=535&amp;height=425&amp;START_MAXIMIZED=FALSE&amp;Y=120"}</definedName>
    <definedName name="_398__FDSAUDITLINK__" localSheetId="6" hidden="1">{"fdsup://directions/FAT Viewer?action=UPDATE&amp;creator=factSet&amp;DYN_ARGS=true&amp;DOC_NAME=FAT:RGA_ENTRPR_VAL_EV_SOURCE_WINDOW.FAT&amp;VAR:ID1=ORC-SE&amp;window=popup&amp;width=535&amp;height=425&amp;START_MAXIMIZED=FALSE&amp;Y=120"}</definedName>
    <definedName name="_398__FDSAUDITLINK__" hidden="1">{"fdsup://directions/FAT Viewer?action=UPDATE&amp;creator=factSet&amp;DYN_ARGS=true&amp;DOC_NAME=FAT:RGA_ENTRPR_VAL_EV_SOURCE_WINDOW.FAT&amp;VAR:ID1=ORC-SE&amp;window=popup&amp;width=535&amp;height=425&amp;START_MAXIMIZED=FALSE&amp;Y=120"}</definedName>
    <definedName name="_399__123Graph_ECHART_16" hidden="1">#REF!</definedName>
    <definedName name="_399__FDSAUDITLINK__" localSheetId="0" hidden="1">{"fdsup://directions/FAT Viewer?action=UPDATE&amp;creator=factSet&amp;DYN_ARGS=true&amp;DOC_NAME=FAT:RGA_ENTRPR_VAL_EV_SOURCE_WINDOW.FAT&amp;VAR:ID1=ORC-SE&amp;window=popup&amp;width=535&amp;height=425&amp;START_MAXIMIZED=FALSE&amp;Y=120"}</definedName>
    <definedName name="_399__FDSAUDITLINK__" localSheetId="6" hidden="1">{"fdsup://directions/FAT Viewer?action=UPDATE&amp;creator=factSet&amp;DYN_ARGS=true&amp;DOC_NAME=FAT:RGA_ENTRPR_VAL_EV_SOURCE_WINDOW.FAT&amp;VAR:ID1=ORC-SE&amp;window=popup&amp;width=535&amp;height=425&amp;START_MAXIMIZED=FALSE&amp;Y=120"}</definedName>
    <definedName name="_399__FDSAUDITLINK__" hidden="1">{"fdsup://directions/FAT Viewer?action=UPDATE&amp;creator=factSet&amp;DYN_ARGS=true&amp;DOC_NAME=FAT:RGA_ENTRPR_VAL_EV_SOURCE_WINDOW.FAT&amp;VAR:ID1=ORC-SE&amp;window=popup&amp;width=535&amp;height=425&amp;START_MAXIMIZED=FALSE&amp;Y=120"}</definedName>
    <definedName name="_4_???205">#REF!</definedName>
    <definedName name="_4_?78">#REF!</definedName>
    <definedName name="_4____123Graph_BEPS_CF" hidden="1">#REF!</definedName>
    <definedName name="_4__123Graph_A_DM9196" hidden="1">#REF!</definedName>
    <definedName name="_4__123Graph_ACHART_1" hidden="1">#REF!</definedName>
    <definedName name="_4__123Graph_ACHART_10" hidden="1">#REF!</definedName>
    <definedName name="_4__123Graph_ACHART_15" hidden="1">#REF!</definedName>
    <definedName name="_4__123Graph_ACHART_17" hidden="1">#REF!</definedName>
    <definedName name="_4__123Graph_ACHART_2" hidden="1">#REF!</definedName>
    <definedName name="_4__123Graph_AChart_3" hidden="1">#REF!</definedName>
    <definedName name="_4__123Graph_BCHART_1" hidden="1">#REF!</definedName>
    <definedName name="_4__123Graph_BCHART_12" hidden="1">#REF!</definedName>
    <definedName name="_4__123Graph_BCHART_1A" hidden="1">#REF!</definedName>
    <definedName name="_4__123Graph_BCHART_3" hidden="1">#REF!</definedName>
    <definedName name="_4__123Graph_BMKT_YTD" hidden="1">#REF!</definedName>
    <definedName name="_4__123Graph_BPC_Y" hidden="1">#REF!</definedName>
    <definedName name="_4__123Graph_BPP_Y" hidden="1">#REF!</definedName>
    <definedName name="_4__123Graph_CCHART_1" hidden="1">#REF!</definedName>
    <definedName name="_4__123Graph_CCHART_13" hidden="1">#REF!</definedName>
    <definedName name="_4__123Graph_LBL_ACHART_2" hidden="1">#REF!</definedName>
    <definedName name="_4__123Graph_XCHART_1" hidden="1">#REF!</definedName>
    <definedName name="_4__FDSAUDITLINK__" localSheetId="0" hidden="1">{"fdsup://Directions/FAT Viewer?action=UPDATE&amp;creator=factset&amp;DOC_NAME=fat:reuters_annual_source_window.fat&amp;display_string=Audit&amp;DYN_ARGS=TRUE&amp;VAR:ID1=19239Y10&amp;VAR:RCODE=QTSC&amp;VAR:SDATE=20071299&amp;VAR:FREQ=Y&amp;VAR:RELITEM=RP&amp;VAR:CURRENCY=&amp;VAR:CURRSOURCE=EXSHARE&amp;","VAR:NATFREQ=ANNUAL&amp;VAR:RFIELD=FINALIZED&amp;VAR:DB_TYPE=&amp;VAR:UNITS=M&amp;window=popup&amp;width=450&amp;height=300&amp;START_MAXIMIZED=FALSE"}</definedName>
    <definedName name="_4__FDSAUDITLINK__" localSheetId="6" hidden="1">{"fdsup://Directions/FAT Viewer?action=UPDATE&amp;creator=factset&amp;DOC_NAME=fat:reuters_annual_source_window.fat&amp;display_string=Audit&amp;DYN_ARGS=TRUE&amp;VAR:ID1=19239Y10&amp;VAR:RCODE=QTSC&amp;VAR:SDATE=20071299&amp;VAR:FREQ=Y&amp;VAR:RELITEM=RP&amp;VAR:CURRENCY=&amp;VAR:CURRSOURCE=EXSHARE&amp;","VAR:NATFREQ=ANNUAL&amp;VAR:RFIELD=FINALIZED&amp;VAR:DB_TYPE=&amp;VAR:UNITS=M&amp;window=popup&amp;width=450&amp;height=300&amp;START_MAXIMIZED=FALSE"}</definedName>
    <definedName name="_4__FDSAUDITLINK__" hidden="1">{"fdsup://Directions/FAT Viewer?action=UPDATE&amp;creator=factset&amp;DOC_NAME=fat:reuters_annual_source_window.fat&amp;display_string=Audit&amp;DYN_ARGS=TRUE&amp;VAR:ID1=19239Y10&amp;VAR:RCODE=QTSC&amp;VAR:SDATE=20071299&amp;VAR:FREQ=Y&amp;VAR:RELITEM=RP&amp;VAR:CURRENCY=&amp;VAR:CURRSOURCE=EXSHARE&amp;","VAR:NATFREQ=ANNUAL&amp;VAR:RFIELD=FINALIZED&amp;VAR:DB_TYPE=&amp;VAR:UNITS=M&amp;window=popup&amp;width=450&amp;height=300&amp;START_MAXIMIZED=FALSE"}</definedName>
    <definedName name="_4_0">#REF!</definedName>
    <definedName name="_4_0_0Interessi_Capitalizz" hidden="1">#REF!</definedName>
    <definedName name="_4_0ACwvu.Pag" hidden="1">#REF!</definedName>
    <definedName name="_4_0Swvu.Pag" hidden="1">#REF!</definedName>
    <definedName name="_40__123Graph_ASEG_PIE" hidden="1">#REF!</definedName>
    <definedName name="_40__123Graph_BCHART_3" hidden="1">#REF!</definedName>
    <definedName name="_40__123Graph_DCHART_1" hidden="1">#REF!</definedName>
    <definedName name="_40__123Graph_DCHART_11" hidden="1">#REF!</definedName>
    <definedName name="_40__123Graph_DCHART_17" hidden="1">#REF!</definedName>
    <definedName name="_40__123Graph_LBL_BCRACK_Y" hidden="1">#REF!</definedName>
    <definedName name="_40__123Graph_LBL_BMKT_YTD" hidden="1">#REF!</definedName>
    <definedName name="_40__FDSAUDITLINK__" localSheetId="0" hidden="1">{"fdsup://directions/FAT Viewer?action=UPDATE&amp;creator=factSet&amp;DYN_ARGS=true&amp;DOC_NAME=FAT:RGA_ENTRPR_VAL_EV_SOURCE_WINDOW.FAT&amp;VAR:ID1=&amp;window=popup&amp;width=535&amp;height=425&amp;START_MAXIMIZED=FALSE&amp;Y=120"}</definedName>
    <definedName name="_40__FDSAUDITLINK__" localSheetId="6" hidden="1">{"fdsup://directions/FAT Viewer?action=UPDATE&amp;creator=factSet&amp;DYN_ARGS=true&amp;DOC_NAME=FAT:RGA_ENTRPR_VAL_EV_SOURCE_WINDOW.FAT&amp;VAR:ID1=&amp;window=popup&amp;width=535&amp;height=425&amp;START_MAXIMIZED=FALSE&amp;Y=120"}</definedName>
    <definedName name="_40__FDSAUDITLINK__" hidden="1">{"fdsup://directions/FAT Viewer?action=UPDATE&amp;creator=factSet&amp;DYN_ARGS=true&amp;DOC_NAME=FAT:RGA_ENTRPR_VAL_EV_SOURCE_WINDOW.FAT&amp;VAR:ID1=&amp;window=popup&amp;width=535&amp;height=425&amp;START_MAXIMIZED=FALSE&amp;Y=120"}</definedName>
    <definedName name="_400__FDSAUDITLINK__" localSheetId="0" hidden="1">{"fdsup://directions/FAT Viewer?action=UPDATE&amp;creator=factSet&amp;DYN_ARGS=true&amp;DOC_NAME=FAT:RGA_ENTRPR_VAL_EV_SOURCE_WINDOW.FAT&amp;VAR:ID1=ORC-SE&amp;window=popup&amp;width=535&amp;height=425&amp;START_MAXIMIZED=FALSE&amp;Y=120"}</definedName>
    <definedName name="_400__FDSAUDITLINK__" localSheetId="6" hidden="1">{"fdsup://directions/FAT Viewer?action=UPDATE&amp;creator=factSet&amp;DYN_ARGS=true&amp;DOC_NAME=FAT:RGA_ENTRPR_VAL_EV_SOURCE_WINDOW.FAT&amp;VAR:ID1=ORC-SE&amp;window=popup&amp;width=535&amp;height=425&amp;START_MAXIMIZED=FALSE&amp;Y=120"}</definedName>
    <definedName name="_400__FDSAUDITLINK__" hidden="1">{"fdsup://directions/FAT Viewer?action=UPDATE&amp;creator=factSet&amp;DYN_ARGS=true&amp;DOC_NAME=FAT:RGA_ENTRPR_VAL_EV_SOURCE_WINDOW.FAT&amp;VAR:ID1=ORC-SE&amp;window=popup&amp;width=535&amp;height=425&amp;START_MAXIMIZED=FALSE&amp;Y=120"}</definedName>
    <definedName name="_401__FDSAUDITLINK__" localSheetId="0" hidden="1">{"fdsup://directions/FAT Viewer?action=UPDATE&amp;creator=factSet&amp;DYN_ARGS=true&amp;DOC_NAME=FAT:RGA_ENTRPR_VAL_EV_SOURCE_WINDOW.FAT&amp;VAR:ID1=ORC-SE&amp;window=popup&amp;width=535&amp;height=425&amp;START_MAXIMIZED=FALSE&amp;Y=120"}</definedName>
    <definedName name="_401__FDSAUDITLINK__" localSheetId="6" hidden="1">{"fdsup://directions/FAT Viewer?action=UPDATE&amp;creator=factSet&amp;DYN_ARGS=true&amp;DOC_NAME=FAT:RGA_ENTRPR_VAL_EV_SOURCE_WINDOW.FAT&amp;VAR:ID1=ORC-SE&amp;window=popup&amp;width=535&amp;height=425&amp;START_MAXIMIZED=FALSE&amp;Y=120"}</definedName>
    <definedName name="_401__FDSAUDITLINK__" hidden="1">{"fdsup://directions/FAT Viewer?action=UPDATE&amp;creator=factSet&amp;DYN_ARGS=true&amp;DOC_NAME=FAT:RGA_ENTRPR_VAL_EV_SOURCE_WINDOW.FAT&amp;VAR:ID1=ORC-SE&amp;window=popup&amp;width=535&amp;height=425&amp;START_MAXIMIZED=FALSE&amp;Y=120"}</definedName>
    <definedName name="_402__FDSAUDITLINK__" localSheetId="0" hidden="1">{"fdsup://directions/FAT Viewer?action=UPDATE&amp;creator=factSet&amp;DYN_ARGS=true&amp;DOC_NAME=FAT:RGA_ENTRPR_VAL_EV_SOURCE_WINDOW.FAT&amp;VAR:ID1=ORC-SE&amp;window=popup&amp;width=535&amp;height=425&amp;START_MAXIMIZED=FALSE&amp;Y=120"}</definedName>
    <definedName name="_402__FDSAUDITLINK__" localSheetId="6" hidden="1">{"fdsup://directions/FAT Viewer?action=UPDATE&amp;creator=factSet&amp;DYN_ARGS=true&amp;DOC_NAME=FAT:RGA_ENTRPR_VAL_EV_SOURCE_WINDOW.FAT&amp;VAR:ID1=ORC-SE&amp;window=popup&amp;width=535&amp;height=425&amp;START_MAXIMIZED=FALSE&amp;Y=120"}</definedName>
    <definedName name="_402__FDSAUDITLINK__" hidden="1">{"fdsup://directions/FAT Viewer?action=UPDATE&amp;creator=factSet&amp;DYN_ARGS=true&amp;DOC_NAME=FAT:RGA_ENTRPR_VAL_EV_SOURCE_WINDOW.FAT&amp;VAR:ID1=ORC-SE&amp;window=popup&amp;width=535&amp;height=425&amp;START_MAXIMIZED=FALSE&amp;Y=120"}</definedName>
    <definedName name="_403__FDSAUDITLINK__" localSheetId="0" hidden="1">{"fdsup://directions/FAT Viewer?action=UPDATE&amp;creator=factSet&amp;DYN_ARGS=true&amp;DOC_NAME=FAT:RGA_ENTRPR_VAL_EV_SOURCE_WINDOW.FAT&amp;VAR:ID1=ORC-SE&amp;window=popup&amp;width=535&amp;height=425&amp;START_MAXIMIZED=FALSE&amp;Y=120"}</definedName>
    <definedName name="_403__FDSAUDITLINK__" localSheetId="6" hidden="1">{"fdsup://directions/FAT Viewer?action=UPDATE&amp;creator=factSet&amp;DYN_ARGS=true&amp;DOC_NAME=FAT:RGA_ENTRPR_VAL_EV_SOURCE_WINDOW.FAT&amp;VAR:ID1=ORC-SE&amp;window=popup&amp;width=535&amp;height=425&amp;START_MAXIMIZED=FALSE&amp;Y=120"}</definedName>
    <definedName name="_403__FDSAUDITLINK__" hidden="1">{"fdsup://directions/FAT Viewer?action=UPDATE&amp;creator=factSet&amp;DYN_ARGS=true&amp;DOC_NAME=FAT:RGA_ENTRPR_VAL_EV_SOURCE_WINDOW.FAT&amp;VAR:ID1=ORC-SE&amp;window=popup&amp;width=535&amp;height=425&amp;START_MAXIMIZED=FALSE&amp;Y=120"}</definedName>
    <definedName name="_404__FDSAUDITLINK__" localSheetId="0" hidden="1">{"fdsup://directions/FAT Viewer?action=UPDATE&amp;creator=factSet&amp;DYN_ARGS=true&amp;DOC_NAME=FAT:RGA_ENTRPR_VAL_EV_SOURCE_WINDOW.FAT&amp;VAR:ID1=ORC-SE&amp;window=popup&amp;width=535&amp;height=425&amp;START_MAXIMIZED=FALSE&amp;Y=120"}</definedName>
    <definedName name="_404__FDSAUDITLINK__" localSheetId="6" hidden="1">{"fdsup://directions/FAT Viewer?action=UPDATE&amp;creator=factSet&amp;DYN_ARGS=true&amp;DOC_NAME=FAT:RGA_ENTRPR_VAL_EV_SOURCE_WINDOW.FAT&amp;VAR:ID1=ORC-SE&amp;window=popup&amp;width=535&amp;height=425&amp;START_MAXIMIZED=FALSE&amp;Y=120"}</definedName>
    <definedName name="_404__FDSAUDITLINK__" hidden="1">{"fdsup://directions/FAT Viewer?action=UPDATE&amp;creator=factSet&amp;DYN_ARGS=true&amp;DOC_NAME=FAT:RGA_ENTRPR_VAL_EV_SOURCE_WINDOW.FAT&amp;VAR:ID1=ORC-SE&amp;window=popup&amp;width=535&amp;height=425&amp;START_MAXIMIZED=FALSE&amp;Y=120"}</definedName>
    <definedName name="_405__FDSAUDITLINK__" localSheetId="0" hidden="1">{"fdsup://directions/FAT Viewer?action=UPDATE&amp;creator=factSet&amp;DYN_ARGS=true&amp;DOC_NAME=FAT:RGA_ENTRPR_VAL_EV_SOURCE_WINDOW.FAT&amp;VAR:ID1=ORC-SE&amp;window=popup&amp;width=535&amp;height=425&amp;START_MAXIMIZED=FALSE&amp;Y=120"}</definedName>
    <definedName name="_405__FDSAUDITLINK__" localSheetId="6" hidden="1">{"fdsup://directions/FAT Viewer?action=UPDATE&amp;creator=factSet&amp;DYN_ARGS=true&amp;DOC_NAME=FAT:RGA_ENTRPR_VAL_EV_SOURCE_WINDOW.FAT&amp;VAR:ID1=ORC-SE&amp;window=popup&amp;width=535&amp;height=425&amp;START_MAXIMIZED=FALSE&amp;Y=120"}</definedName>
    <definedName name="_405__FDSAUDITLINK__" hidden="1">{"fdsup://directions/FAT Viewer?action=UPDATE&amp;creator=factSet&amp;DYN_ARGS=true&amp;DOC_NAME=FAT:RGA_ENTRPR_VAL_EV_SOURCE_WINDOW.FAT&amp;VAR:ID1=ORC-SE&amp;window=popup&amp;width=535&amp;height=425&amp;START_MAXIMIZED=FALSE&amp;Y=120"}</definedName>
    <definedName name="_406__FDSAUDITLINK__" localSheetId="0" hidden="1">{"fdsup://directions/FAT Viewer?action=UPDATE&amp;creator=factSet&amp;DYN_ARGS=true&amp;DOC_NAME=FAT:RGA_ENTRPR_VAL_EV_SOURCE_WINDOW.FAT&amp;VAR:ID1=ORC-SE&amp;window=popup&amp;width=535&amp;height=425&amp;START_MAXIMIZED=FALSE&amp;Y=120"}</definedName>
    <definedName name="_406__FDSAUDITLINK__" localSheetId="6" hidden="1">{"fdsup://directions/FAT Viewer?action=UPDATE&amp;creator=factSet&amp;DYN_ARGS=true&amp;DOC_NAME=FAT:RGA_ENTRPR_VAL_EV_SOURCE_WINDOW.FAT&amp;VAR:ID1=ORC-SE&amp;window=popup&amp;width=535&amp;height=425&amp;START_MAXIMIZED=FALSE&amp;Y=120"}</definedName>
    <definedName name="_406__FDSAUDITLINK__" hidden="1">{"fdsup://directions/FAT Viewer?action=UPDATE&amp;creator=factSet&amp;DYN_ARGS=true&amp;DOC_NAME=FAT:RGA_ENTRPR_VAL_EV_SOURCE_WINDOW.FAT&amp;VAR:ID1=ORC-SE&amp;window=popup&amp;width=535&amp;height=425&amp;START_MAXIMIZED=FALSE&amp;Y=120"}</definedName>
    <definedName name="_407__FDSAUDITLINK__" localSheetId="0" hidden="1">{"fdsup://directions/FAT Viewer?action=UPDATE&amp;creator=factSet&amp;DYN_ARGS=true&amp;DOC_NAME=FAT:RGA_ENTRPR_VAL_EV_SOURCE_WINDOW.FAT&amp;VAR:ID1=ORC-SE&amp;window=popup&amp;width=535&amp;height=425&amp;START_MAXIMIZED=FALSE&amp;Y=120"}</definedName>
    <definedName name="_407__FDSAUDITLINK__" localSheetId="6" hidden="1">{"fdsup://directions/FAT Viewer?action=UPDATE&amp;creator=factSet&amp;DYN_ARGS=true&amp;DOC_NAME=FAT:RGA_ENTRPR_VAL_EV_SOURCE_WINDOW.FAT&amp;VAR:ID1=ORC-SE&amp;window=popup&amp;width=535&amp;height=425&amp;START_MAXIMIZED=FALSE&amp;Y=120"}</definedName>
    <definedName name="_407__FDSAUDITLINK__" hidden="1">{"fdsup://directions/FAT Viewer?action=UPDATE&amp;creator=factSet&amp;DYN_ARGS=true&amp;DOC_NAME=FAT:RGA_ENTRPR_VAL_EV_SOURCE_WINDOW.FAT&amp;VAR:ID1=ORC-SE&amp;window=popup&amp;width=535&amp;height=425&amp;START_MAXIMIZED=FALSE&amp;Y=120"}</definedName>
    <definedName name="_408__FDSAUDITLINK__" localSheetId="0" hidden="1">{"fdsup://directions/FAT Viewer?action=UPDATE&amp;creator=factSet&amp;DYN_ARGS=true&amp;DOC_NAME=FAT:RGA_ENTRPR_VAL_EV_SOURCE_WINDOW.FAT&amp;VAR:ID1=ORC-SE&amp;window=popup&amp;width=535&amp;height=425&amp;START_MAXIMIZED=FALSE&amp;Y=120"}</definedName>
    <definedName name="_408__FDSAUDITLINK__" localSheetId="6" hidden="1">{"fdsup://directions/FAT Viewer?action=UPDATE&amp;creator=factSet&amp;DYN_ARGS=true&amp;DOC_NAME=FAT:RGA_ENTRPR_VAL_EV_SOURCE_WINDOW.FAT&amp;VAR:ID1=ORC-SE&amp;window=popup&amp;width=535&amp;height=425&amp;START_MAXIMIZED=FALSE&amp;Y=120"}</definedName>
    <definedName name="_408__FDSAUDITLINK__" hidden="1">{"fdsup://directions/FAT Viewer?action=UPDATE&amp;creator=factSet&amp;DYN_ARGS=true&amp;DOC_NAME=FAT:RGA_ENTRPR_VAL_EV_SOURCE_WINDOW.FAT&amp;VAR:ID1=ORC-SE&amp;window=popup&amp;width=535&amp;height=425&amp;START_MAXIMIZED=FALSE&amp;Y=120"}</definedName>
    <definedName name="_409__FDSAUDITLINK__" localSheetId="0" hidden="1">{"fdsup://directions/FAT Viewer?action=UPDATE&amp;creator=factSet&amp;DYN_ARGS=true&amp;DOC_NAME=FAT:RGA_ENTRPR_VAL_EV_SOURCE_WINDOW.FAT&amp;VAR:ID1=ORC-SE&amp;window=popup&amp;width=535&amp;height=425&amp;START_MAXIMIZED=FALSE&amp;Y=120"}</definedName>
    <definedName name="_409__FDSAUDITLINK__" localSheetId="6" hidden="1">{"fdsup://directions/FAT Viewer?action=UPDATE&amp;creator=factSet&amp;DYN_ARGS=true&amp;DOC_NAME=FAT:RGA_ENTRPR_VAL_EV_SOURCE_WINDOW.FAT&amp;VAR:ID1=ORC-SE&amp;window=popup&amp;width=535&amp;height=425&amp;START_MAXIMIZED=FALSE&amp;Y=120"}</definedName>
    <definedName name="_409__FDSAUDITLINK__" hidden="1">{"fdsup://directions/FAT Viewer?action=UPDATE&amp;creator=factSet&amp;DYN_ARGS=true&amp;DOC_NAME=FAT:RGA_ENTRPR_VAL_EV_SOURCE_WINDOW.FAT&amp;VAR:ID1=ORC-SE&amp;window=popup&amp;width=535&amp;height=425&amp;START_MAXIMIZED=FALSE&amp;Y=120"}</definedName>
    <definedName name="_41__123Graph_BCHART_31" hidden="1">#REF!</definedName>
    <definedName name="_41__123Graph_DCHART_2" hidden="1">#REF!</definedName>
    <definedName name="_41__123Graph_LBL_AMKT_MONTH" hidden="1">#REF!</definedName>
    <definedName name="_41__123Graph_X_BP9196" hidden="1">#REF!</definedName>
    <definedName name="_41__FDSAUDITLINK__" localSheetId="0" hidden="1">{"fdsup://directions/FAT Viewer?action=UPDATE&amp;creator=factSet&amp;DYN_ARGS=true&amp;DOC_NAME=FAT:RGA_ENTRPR_VAL_EV_SOURCE_WINDOW.FAT&amp;VAR:ID1=GLT-FR&amp;window=popup&amp;width=535&amp;height=425&amp;START_MAXIMIZED=FALSE&amp;Y=120"}</definedName>
    <definedName name="_41__FDSAUDITLINK__" localSheetId="6" hidden="1">{"fdsup://directions/FAT Viewer?action=UPDATE&amp;creator=factSet&amp;DYN_ARGS=true&amp;DOC_NAME=FAT:RGA_ENTRPR_VAL_EV_SOURCE_WINDOW.FAT&amp;VAR:ID1=GLT-FR&amp;window=popup&amp;width=535&amp;height=425&amp;START_MAXIMIZED=FALSE&amp;Y=120"}</definedName>
    <definedName name="_41__FDSAUDITLINK__" hidden="1">{"fdsup://directions/FAT Viewer?action=UPDATE&amp;creator=factSet&amp;DYN_ARGS=true&amp;DOC_NAME=FAT:RGA_ENTRPR_VAL_EV_SOURCE_WINDOW.FAT&amp;VAR:ID1=GLT-FR&amp;window=popup&amp;width=535&amp;height=425&amp;START_MAXIMIZED=FALSE&amp;Y=120"}</definedName>
    <definedName name="_41_0__123Graph_BCHAR" hidden="1">#REF!</definedName>
    <definedName name="_410__FDSAUDITLINK__" localSheetId="0" hidden="1">{"fdsup://directions/FAT Viewer?action=UPDATE&amp;creator=factSet&amp;DYN_ARGS=true&amp;DOC_NAME=FAT:RGA_ENTRPR_VAL_EV_SOURCE_WINDOW.FAT&amp;VAR:ID1=ORC-SE&amp;window=popup&amp;width=535&amp;height=425&amp;START_MAXIMIZED=FALSE&amp;Y=120"}</definedName>
    <definedName name="_410__FDSAUDITLINK__" localSheetId="6" hidden="1">{"fdsup://directions/FAT Viewer?action=UPDATE&amp;creator=factSet&amp;DYN_ARGS=true&amp;DOC_NAME=FAT:RGA_ENTRPR_VAL_EV_SOURCE_WINDOW.FAT&amp;VAR:ID1=ORC-SE&amp;window=popup&amp;width=535&amp;height=425&amp;START_MAXIMIZED=FALSE&amp;Y=120"}</definedName>
    <definedName name="_410__FDSAUDITLINK__" hidden="1">{"fdsup://directions/FAT Viewer?action=UPDATE&amp;creator=factSet&amp;DYN_ARGS=true&amp;DOC_NAME=FAT:RGA_ENTRPR_VAL_EV_SOURCE_WINDOW.FAT&amp;VAR:ID1=ORC-SE&amp;window=popup&amp;width=535&amp;height=425&amp;START_MAXIMIZED=FALSE&amp;Y=120"}</definedName>
    <definedName name="_410_1041">#REF!</definedName>
    <definedName name="_411__FDSAUDITLINK__" localSheetId="0" hidden="1">{"fdsup://directions/FAT Viewer?action=UPDATE&amp;creator=factSet&amp;DYN_ARGS=true&amp;DOC_NAME=FAT:RGA_ENTRPR_VAL_EV_SOURCE_WINDOW.FAT&amp;VAR:ID1=ORC-SE&amp;window=popup&amp;width=535&amp;height=425&amp;START_MAXIMIZED=FALSE&amp;Y=120"}</definedName>
    <definedName name="_411__FDSAUDITLINK__" localSheetId="6" hidden="1">{"fdsup://directions/FAT Viewer?action=UPDATE&amp;creator=factSet&amp;DYN_ARGS=true&amp;DOC_NAME=FAT:RGA_ENTRPR_VAL_EV_SOURCE_WINDOW.FAT&amp;VAR:ID1=ORC-SE&amp;window=popup&amp;width=535&amp;height=425&amp;START_MAXIMIZED=FALSE&amp;Y=120"}</definedName>
    <definedName name="_411__FDSAUDITLINK__" hidden="1">{"fdsup://directions/FAT Viewer?action=UPDATE&amp;creator=factSet&amp;DYN_ARGS=true&amp;DOC_NAME=FAT:RGA_ENTRPR_VAL_EV_SOURCE_WINDOW.FAT&amp;VAR:ID1=ORC-SE&amp;window=popup&amp;width=535&amp;height=425&amp;START_MAXIMIZED=FALSE&amp;Y=120"}</definedName>
    <definedName name="_412__123Graph_ECHART_17" hidden="1">#REF!</definedName>
    <definedName name="_412__FDSAUDITLINK__" localSheetId="0" hidden="1">{"fdsup://directions/FAT Viewer?action=UPDATE&amp;creator=factSet&amp;DYN_ARGS=true&amp;DOC_NAME=FAT:RGA_ENTRPR_VAL_EV_SOURCE_WINDOW.FAT&amp;VAR:ID1=ORC-SE&amp;window=popup&amp;width=535&amp;height=425&amp;START_MAXIMIZED=FALSE&amp;Y=120"}</definedName>
    <definedName name="_412__FDSAUDITLINK__" localSheetId="6" hidden="1">{"fdsup://directions/FAT Viewer?action=UPDATE&amp;creator=factSet&amp;DYN_ARGS=true&amp;DOC_NAME=FAT:RGA_ENTRPR_VAL_EV_SOURCE_WINDOW.FAT&amp;VAR:ID1=ORC-SE&amp;window=popup&amp;width=535&amp;height=425&amp;START_MAXIMIZED=FALSE&amp;Y=120"}</definedName>
    <definedName name="_412__FDSAUDITLINK__" hidden="1">{"fdsup://directions/FAT Viewer?action=UPDATE&amp;creator=factSet&amp;DYN_ARGS=true&amp;DOC_NAME=FAT:RGA_ENTRPR_VAL_EV_SOURCE_WINDOW.FAT&amp;VAR:ID1=ORC-SE&amp;window=popup&amp;width=535&amp;height=425&amp;START_MAXIMIZED=FALSE&amp;Y=120"}</definedName>
    <definedName name="_413__FDSAUDITLINK__" localSheetId="0" hidden="1">{"fdsup://directions/FAT Viewer?action=UPDATE&amp;creator=factSet&amp;DYN_ARGS=true&amp;DOC_NAME=FAT:RGA_ENTRPR_VAL_EV_SOURCE_WINDOW.FAT&amp;VAR:ID1=ORC-SE&amp;window=popup&amp;width=535&amp;height=425&amp;START_MAXIMIZED=FALSE&amp;Y=120"}</definedName>
    <definedName name="_413__FDSAUDITLINK__" localSheetId="6" hidden="1">{"fdsup://directions/FAT Viewer?action=UPDATE&amp;creator=factSet&amp;DYN_ARGS=true&amp;DOC_NAME=FAT:RGA_ENTRPR_VAL_EV_SOURCE_WINDOW.FAT&amp;VAR:ID1=ORC-SE&amp;window=popup&amp;width=535&amp;height=425&amp;START_MAXIMIZED=FALSE&amp;Y=120"}</definedName>
    <definedName name="_413__FDSAUDITLINK__" hidden="1">{"fdsup://directions/FAT Viewer?action=UPDATE&amp;creator=factSet&amp;DYN_ARGS=true&amp;DOC_NAME=FAT:RGA_ENTRPR_VAL_EV_SOURCE_WINDOW.FAT&amp;VAR:ID1=ORC-SE&amp;window=popup&amp;width=535&amp;height=425&amp;START_MAXIMIZED=FALSE&amp;Y=120"}</definedName>
    <definedName name="_414__FDSAUDITLINK__" localSheetId="0" hidden="1">{"fdsup://directions/FAT Viewer?action=UPDATE&amp;creator=factSet&amp;DYN_ARGS=true&amp;DOC_NAME=FAT:RGA_ENTRPR_VAL_EV_SOURCE_WINDOW.FAT&amp;VAR:ID1=ORC-SE&amp;window=popup&amp;width=535&amp;height=425&amp;START_MAXIMIZED=FALSE&amp;Y=120"}</definedName>
    <definedName name="_414__FDSAUDITLINK__" localSheetId="6" hidden="1">{"fdsup://directions/FAT Viewer?action=UPDATE&amp;creator=factSet&amp;DYN_ARGS=true&amp;DOC_NAME=FAT:RGA_ENTRPR_VAL_EV_SOURCE_WINDOW.FAT&amp;VAR:ID1=ORC-SE&amp;window=popup&amp;width=535&amp;height=425&amp;START_MAXIMIZED=FALSE&amp;Y=120"}</definedName>
    <definedName name="_414__FDSAUDITLINK__" hidden="1">{"fdsup://directions/FAT Viewer?action=UPDATE&amp;creator=factSet&amp;DYN_ARGS=true&amp;DOC_NAME=FAT:RGA_ENTRPR_VAL_EV_SOURCE_WINDOW.FAT&amp;VAR:ID1=ORC-SE&amp;window=popup&amp;width=535&amp;height=425&amp;START_MAXIMIZED=FALSE&amp;Y=120"}</definedName>
    <definedName name="_415__FDSAUDITLINK__" localSheetId="0" hidden="1">{"fdsup://directions/FAT Viewer?action=UPDATE&amp;creator=factSet&amp;DYN_ARGS=true&amp;DOC_NAME=FAT:RGA_ENTRPR_VAL_EV_SOURCE_WINDOW.FAT&amp;VAR:ID1=ORC-SE&amp;window=popup&amp;width=535&amp;height=425&amp;START_MAXIMIZED=FALSE&amp;Y=120"}</definedName>
    <definedName name="_415__FDSAUDITLINK__" localSheetId="6" hidden="1">{"fdsup://directions/FAT Viewer?action=UPDATE&amp;creator=factSet&amp;DYN_ARGS=true&amp;DOC_NAME=FAT:RGA_ENTRPR_VAL_EV_SOURCE_WINDOW.FAT&amp;VAR:ID1=ORC-SE&amp;window=popup&amp;width=535&amp;height=425&amp;START_MAXIMIZED=FALSE&amp;Y=120"}</definedName>
    <definedName name="_415__FDSAUDITLINK__" hidden="1">{"fdsup://directions/FAT Viewer?action=UPDATE&amp;creator=factSet&amp;DYN_ARGS=true&amp;DOC_NAME=FAT:RGA_ENTRPR_VAL_EV_SOURCE_WINDOW.FAT&amp;VAR:ID1=ORC-SE&amp;window=popup&amp;width=535&amp;height=425&amp;START_MAXIMIZED=FALSE&amp;Y=120"}</definedName>
    <definedName name="_416__FDSAUDITLINK__" localSheetId="0" hidden="1">{"fdsup://directions/FAT Viewer?action=UPDATE&amp;creator=factSet&amp;DYN_ARGS=true&amp;DOC_NAME=FAT:RGA_ENTRPR_VAL_EV_SOURCE_WINDOW.FAT&amp;VAR:ID1=ORC-SE&amp;window=popup&amp;width=535&amp;height=425&amp;START_MAXIMIZED=FALSE&amp;Y=120"}</definedName>
    <definedName name="_416__FDSAUDITLINK__" localSheetId="6" hidden="1">{"fdsup://directions/FAT Viewer?action=UPDATE&amp;creator=factSet&amp;DYN_ARGS=true&amp;DOC_NAME=FAT:RGA_ENTRPR_VAL_EV_SOURCE_WINDOW.FAT&amp;VAR:ID1=ORC-SE&amp;window=popup&amp;width=535&amp;height=425&amp;START_MAXIMIZED=FALSE&amp;Y=120"}</definedName>
    <definedName name="_416__FDSAUDITLINK__" hidden="1">{"fdsup://directions/FAT Viewer?action=UPDATE&amp;creator=factSet&amp;DYN_ARGS=true&amp;DOC_NAME=FAT:RGA_ENTRPR_VAL_EV_SOURCE_WINDOW.FAT&amp;VAR:ID1=ORC-SE&amp;window=popup&amp;width=535&amp;height=425&amp;START_MAXIMIZED=FALSE&amp;Y=120"}</definedName>
    <definedName name="_417__FDSAUDITLINK__" localSheetId="0" hidden="1">{"fdsup://directions/FAT Viewer?action=UPDATE&amp;creator=factSet&amp;DYN_ARGS=true&amp;DOC_NAME=FAT:RGA_ENTRPR_VAL_EV_SOURCE_WINDOW.FAT&amp;VAR:ID1=ORC-SE&amp;window=popup&amp;width=535&amp;height=425&amp;START_MAXIMIZED=FALSE&amp;Y=120"}</definedName>
    <definedName name="_417__FDSAUDITLINK__" localSheetId="6" hidden="1">{"fdsup://directions/FAT Viewer?action=UPDATE&amp;creator=factSet&amp;DYN_ARGS=true&amp;DOC_NAME=FAT:RGA_ENTRPR_VAL_EV_SOURCE_WINDOW.FAT&amp;VAR:ID1=ORC-SE&amp;window=popup&amp;width=535&amp;height=425&amp;START_MAXIMIZED=FALSE&amp;Y=120"}</definedName>
    <definedName name="_417__FDSAUDITLINK__" hidden="1">{"fdsup://directions/FAT Viewer?action=UPDATE&amp;creator=factSet&amp;DYN_ARGS=true&amp;DOC_NAME=FAT:RGA_ENTRPR_VAL_EV_SOURCE_WINDOW.FAT&amp;VAR:ID1=ORC-SE&amp;window=popup&amp;width=535&amp;height=425&amp;START_MAXIMIZED=FALSE&amp;Y=120"}</definedName>
    <definedName name="_418__FDSAUDITLINK__" localSheetId="0" hidden="1">{"fdsup://directions/FAT Viewer?action=UPDATE&amp;creator=factSet&amp;DYN_ARGS=true&amp;DOC_NAME=FAT:RGA_ENTRPR_VAL_EV_SOURCE_WINDOW.FAT&amp;VAR:ID1=ORC-SE&amp;window=popup&amp;width=535&amp;height=425&amp;START_MAXIMIZED=FALSE&amp;Y=120"}</definedName>
    <definedName name="_418__FDSAUDITLINK__" localSheetId="6" hidden="1">{"fdsup://directions/FAT Viewer?action=UPDATE&amp;creator=factSet&amp;DYN_ARGS=true&amp;DOC_NAME=FAT:RGA_ENTRPR_VAL_EV_SOURCE_WINDOW.FAT&amp;VAR:ID1=ORC-SE&amp;window=popup&amp;width=535&amp;height=425&amp;START_MAXIMIZED=FALSE&amp;Y=120"}</definedName>
    <definedName name="_418__FDSAUDITLINK__" hidden="1">{"fdsup://directions/FAT Viewer?action=UPDATE&amp;creator=factSet&amp;DYN_ARGS=true&amp;DOC_NAME=FAT:RGA_ENTRPR_VAL_EV_SOURCE_WINDOW.FAT&amp;VAR:ID1=ORC-SE&amp;window=popup&amp;width=535&amp;height=425&amp;START_MAXIMIZED=FALSE&amp;Y=120"}</definedName>
    <definedName name="_419__FDSAUDITLINK__" localSheetId="0" hidden="1">{"fdsup://directions/FAT Viewer?action=UPDATE&amp;creator=factSet&amp;DYN_ARGS=true&amp;DOC_NAME=FAT:RGA_ENTRPR_VAL_EV_SOURCE_WINDOW.FAT&amp;VAR:ID1=LIN-FR&amp;window=popup&amp;width=535&amp;height=425&amp;START_MAXIMIZED=FALSE&amp;Y=120"}</definedName>
    <definedName name="_419__FDSAUDITLINK__" localSheetId="6" hidden="1">{"fdsup://directions/FAT Viewer?action=UPDATE&amp;creator=factSet&amp;DYN_ARGS=true&amp;DOC_NAME=FAT:RGA_ENTRPR_VAL_EV_SOURCE_WINDOW.FAT&amp;VAR:ID1=LIN-FR&amp;window=popup&amp;width=535&amp;height=425&amp;START_MAXIMIZED=FALSE&amp;Y=120"}</definedName>
    <definedName name="_419__FDSAUDITLINK__" hidden="1">{"fdsup://directions/FAT Viewer?action=UPDATE&amp;creator=factSet&amp;DYN_ARGS=true&amp;DOC_NAME=FAT:RGA_ENTRPR_VAL_EV_SOURCE_WINDOW.FAT&amp;VAR:ID1=LIN-FR&amp;window=popup&amp;width=535&amp;height=425&amp;START_MAXIMIZED=FALSE&amp;Y=120"}</definedName>
    <definedName name="_42__123Graph_BCHART_4" hidden="1">#REF!</definedName>
    <definedName name="_42__123Graph_DCHART_22" hidden="1">#REF!</definedName>
    <definedName name="_42__123Graph_DCHART_3" hidden="1">#REF!</definedName>
    <definedName name="_42__123Graph_X_BP95" hidden="1">#REF!</definedName>
    <definedName name="_42__FDSAUDITLINK__" localSheetId="0" hidden="1">{"fdsup://directions/FAT Viewer?action=UPDATE&amp;creator=factSet&amp;DYN_ARGS=true&amp;DOC_NAME=FAT:RGA_ENTRPR_VAL_EV_SOURCE_WINDOW.FAT&amp;VAR:ID1=5835.00772&amp;window=popup&amp;width=535&amp;height=425&amp;START_MAXIMIZED=FALSE&amp;Y=120"}</definedName>
    <definedName name="_42__FDSAUDITLINK__" localSheetId="6" hidden="1">{"fdsup://directions/FAT Viewer?action=UPDATE&amp;creator=factSet&amp;DYN_ARGS=true&amp;DOC_NAME=FAT:RGA_ENTRPR_VAL_EV_SOURCE_WINDOW.FAT&amp;VAR:ID1=5835.00772&amp;window=popup&amp;width=535&amp;height=425&amp;START_MAXIMIZED=FALSE&amp;Y=120"}</definedName>
    <definedName name="_42__FDSAUDITLINK__" hidden="1">{"fdsup://directions/FAT Viewer?action=UPDATE&amp;creator=factSet&amp;DYN_ARGS=true&amp;DOC_NAME=FAT:RGA_ENTRPR_VAL_EV_SOURCE_WINDOW.FAT&amp;VAR:ID1=5835.00772&amp;window=popup&amp;width=535&amp;height=425&amp;START_MAXIMIZED=FALSE&amp;Y=120"}</definedName>
    <definedName name="_42_0__123Graph_BCHAR" hidden="1">#REF!</definedName>
    <definedName name="_420__FDSAUDITLINK__" localSheetId="0" hidden="1">{"fdsup://directions/FAT Viewer?action=UPDATE&amp;creator=factSet&amp;DYN_ARGS=true&amp;DOC_NAME=FAT:RGA_ENTRPR_VAL_EV_SOURCE_WINDOW.FAT&amp;VAR:ID1=LIN-FR&amp;window=popup&amp;width=535&amp;height=425&amp;START_MAXIMIZED=FALSE&amp;Y=120"}</definedName>
    <definedName name="_420__FDSAUDITLINK__" localSheetId="6" hidden="1">{"fdsup://directions/FAT Viewer?action=UPDATE&amp;creator=factSet&amp;DYN_ARGS=true&amp;DOC_NAME=FAT:RGA_ENTRPR_VAL_EV_SOURCE_WINDOW.FAT&amp;VAR:ID1=LIN-FR&amp;window=popup&amp;width=535&amp;height=425&amp;START_MAXIMIZED=FALSE&amp;Y=120"}</definedName>
    <definedName name="_420__FDSAUDITLINK__" hidden="1">{"fdsup://directions/FAT Viewer?action=UPDATE&amp;creator=factSet&amp;DYN_ARGS=true&amp;DOC_NAME=FAT:RGA_ENTRPR_VAL_EV_SOURCE_WINDOW.FAT&amp;VAR:ID1=LIN-FR&amp;window=popup&amp;width=535&amp;height=425&amp;START_MAXIMIZED=FALSE&amp;Y=120"}</definedName>
    <definedName name="_421__FDSAUDITLINK__" localSheetId="0" hidden="1">{"fdsup://directions/FAT Viewer?action=UPDATE&amp;creator=factSet&amp;DYN_ARGS=true&amp;DOC_NAME=FAT:RGA_ENTRPR_VAL_EV_SOURCE_WINDOW.FAT&amp;VAR:ID1=LIN-FR&amp;window=popup&amp;width=535&amp;height=425&amp;START_MAXIMIZED=FALSE&amp;Y=120"}</definedName>
    <definedName name="_421__FDSAUDITLINK__" localSheetId="6" hidden="1">{"fdsup://directions/FAT Viewer?action=UPDATE&amp;creator=factSet&amp;DYN_ARGS=true&amp;DOC_NAME=FAT:RGA_ENTRPR_VAL_EV_SOURCE_WINDOW.FAT&amp;VAR:ID1=LIN-FR&amp;window=popup&amp;width=535&amp;height=425&amp;START_MAXIMIZED=FALSE&amp;Y=120"}</definedName>
    <definedName name="_421__FDSAUDITLINK__" hidden="1">{"fdsup://directions/FAT Viewer?action=UPDATE&amp;creator=factSet&amp;DYN_ARGS=true&amp;DOC_NAME=FAT:RGA_ENTRPR_VAL_EV_SOURCE_WINDOW.FAT&amp;VAR:ID1=LIN-FR&amp;window=popup&amp;width=535&amp;height=425&amp;START_MAXIMIZED=FALSE&amp;Y=120"}</definedName>
    <definedName name="_422__FDSAUDITLINK__" localSheetId="0" hidden="1">{"fdsup://directions/FAT Viewer?action=UPDATE&amp;creator=factSet&amp;DYN_ARGS=true&amp;DOC_NAME=FAT:RGA_ENTRPR_VAL_EV_SOURCE_WINDOW.FAT&amp;VAR:ID1=LIN-FR&amp;window=popup&amp;width=535&amp;height=425&amp;START_MAXIMIZED=FALSE&amp;Y=120"}</definedName>
    <definedName name="_422__FDSAUDITLINK__" localSheetId="6" hidden="1">{"fdsup://directions/FAT Viewer?action=UPDATE&amp;creator=factSet&amp;DYN_ARGS=true&amp;DOC_NAME=FAT:RGA_ENTRPR_VAL_EV_SOURCE_WINDOW.FAT&amp;VAR:ID1=LIN-FR&amp;window=popup&amp;width=535&amp;height=425&amp;START_MAXIMIZED=FALSE&amp;Y=120"}</definedName>
    <definedName name="_422__FDSAUDITLINK__" hidden="1">{"fdsup://directions/FAT Viewer?action=UPDATE&amp;creator=factSet&amp;DYN_ARGS=true&amp;DOC_NAME=FAT:RGA_ENTRPR_VAL_EV_SOURCE_WINDOW.FAT&amp;VAR:ID1=LIN-FR&amp;window=popup&amp;width=535&amp;height=425&amp;START_MAXIMIZED=FALSE&amp;Y=120"}</definedName>
    <definedName name="_423__FDSAUDITLINK__" localSheetId="0" hidden="1">{"fdsup://directions/FAT Viewer?action=UPDATE&amp;creator=factSet&amp;DYN_ARGS=true&amp;DOC_NAME=FAT:RGA_ENTRPR_VAL_EV_SOURCE_WINDOW.FAT&amp;VAR:ID1=LIN-FR&amp;window=popup&amp;width=535&amp;height=425&amp;START_MAXIMIZED=FALSE&amp;Y=120"}</definedName>
    <definedName name="_423__FDSAUDITLINK__" localSheetId="6" hidden="1">{"fdsup://directions/FAT Viewer?action=UPDATE&amp;creator=factSet&amp;DYN_ARGS=true&amp;DOC_NAME=FAT:RGA_ENTRPR_VAL_EV_SOURCE_WINDOW.FAT&amp;VAR:ID1=LIN-FR&amp;window=popup&amp;width=535&amp;height=425&amp;START_MAXIMIZED=FALSE&amp;Y=120"}</definedName>
    <definedName name="_423__FDSAUDITLINK__" hidden="1">{"fdsup://directions/FAT Viewer?action=UPDATE&amp;creator=factSet&amp;DYN_ARGS=true&amp;DOC_NAME=FAT:RGA_ENTRPR_VAL_EV_SOURCE_WINDOW.FAT&amp;VAR:ID1=LIN-FR&amp;window=popup&amp;width=535&amp;height=425&amp;START_MAXIMIZED=FALSE&amp;Y=120"}</definedName>
    <definedName name="_424__FDSAUDITLINK__" localSheetId="0" hidden="1">{"fdsup://directions/FAT Viewer?action=UPDATE&amp;creator=factSet&amp;DYN_ARGS=true&amp;DOC_NAME=FAT:RGA_ENTRPR_VAL_EV_SOURCE_WINDOW.FAT&amp;VAR:ID1=LIN-FR&amp;window=popup&amp;width=535&amp;height=425&amp;START_MAXIMIZED=FALSE&amp;Y=120"}</definedName>
    <definedName name="_424__FDSAUDITLINK__" localSheetId="6" hidden="1">{"fdsup://directions/FAT Viewer?action=UPDATE&amp;creator=factSet&amp;DYN_ARGS=true&amp;DOC_NAME=FAT:RGA_ENTRPR_VAL_EV_SOURCE_WINDOW.FAT&amp;VAR:ID1=LIN-FR&amp;window=popup&amp;width=535&amp;height=425&amp;START_MAXIMIZED=FALSE&amp;Y=120"}</definedName>
    <definedName name="_424__FDSAUDITLINK__" hidden="1">{"fdsup://directions/FAT Viewer?action=UPDATE&amp;creator=factSet&amp;DYN_ARGS=true&amp;DOC_NAME=FAT:RGA_ENTRPR_VAL_EV_SOURCE_WINDOW.FAT&amp;VAR:ID1=LIN-FR&amp;window=popup&amp;width=535&amp;height=425&amp;START_MAXIMIZED=FALSE&amp;Y=120"}</definedName>
    <definedName name="_425__123Graph_ECHART_19" hidden="1">#REF!</definedName>
    <definedName name="_425__FDSAUDITLINK__" localSheetId="0" hidden="1">{"fdsup://directions/FAT Viewer?action=UPDATE&amp;creator=factSet&amp;DYN_ARGS=true&amp;DOC_NAME=FAT:RGA_ENTRPR_VAL_EV_SOURCE_WINDOW.FAT&amp;VAR:ID1=LIN-FR&amp;window=popup&amp;width=535&amp;height=425&amp;START_MAXIMIZED=FALSE&amp;Y=120"}</definedName>
    <definedName name="_425__FDSAUDITLINK__" localSheetId="6" hidden="1">{"fdsup://directions/FAT Viewer?action=UPDATE&amp;creator=factSet&amp;DYN_ARGS=true&amp;DOC_NAME=FAT:RGA_ENTRPR_VAL_EV_SOURCE_WINDOW.FAT&amp;VAR:ID1=LIN-FR&amp;window=popup&amp;width=535&amp;height=425&amp;START_MAXIMIZED=FALSE&amp;Y=120"}</definedName>
    <definedName name="_425__FDSAUDITLINK__" hidden="1">{"fdsup://directions/FAT Viewer?action=UPDATE&amp;creator=factSet&amp;DYN_ARGS=true&amp;DOC_NAME=FAT:RGA_ENTRPR_VAL_EV_SOURCE_WINDOW.FAT&amp;VAR:ID1=LIN-FR&amp;window=popup&amp;width=535&amp;height=425&amp;START_MAXIMIZED=FALSE&amp;Y=120"}</definedName>
    <definedName name="_426__123Graph_ECHART_2" hidden="1">#REF!</definedName>
    <definedName name="_426__FDSAUDITLINK__" localSheetId="0" hidden="1">{"fdsup://directions/FAT Viewer?action=UPDATE&amp;creator=factSet&amp;DYN_ARGS=true&amp;DOC_NAME=FAT:RGA_ENTRPR_VAL_EV_SOURCE_WINDOW.FAT&amp;VAR:ID1=LIN-FR&amp;window=popup&amp;width=535&amp;height=425&amp;START_MAXIMIZED=FALSE&amp;Y=120"}</definedName>
    <definedName name="_426__FDSAUDITLINK__" localSheetId="6" hidden="1">{"fdsup://directions/FAT Viewer?action=UPDATE&amp;creator=factSet&amp;DYN_ARGS=true&amp;DOC_NAME=FAT:RGA_ENTRPR_VAL_EV_SOURCE_WINDOW.FAT&amp;VAR:ID1=LIN-FR&amp;window=popup&amp;width=535&amp;height=425&amp;START_MAXIMIZED=FALSE&amp;Y=120"}</definedName>
    <definedName name="_426__FDSAUDITLINK__" hidden="1">{"fdsup://directions/FAT Viewer?action=UPDATE&amp;creator=factSet&amp;DYN_ARGS=true&amp;DOC_NAME=FAT:RGA_ENTRPR_VAL_EV_SOURCE_WINDOW.FAT&amp;VAR:ID1=LIN-FR&amp;window=popup&amp;width=535&amp;height=425&amp;START_MAXIMIZED=FALSE&amp;Y=120"}</definedName>
    <definedName name="_427__FDSAUDITLINK__" localSheetId="0" hidden="1">{"fdsup://directions/FAT Viewer?action=UPDATE&amp;creator=factSet&amp;DYN_ARGS=true&amp;DOC_NAME=FAT:RGA_ENTRPR_VAL_EV_SOURCE_WINDOW.FAT&amp;VAR:ID1=LIN-FR&amp;window=popup&amp;width=535&amp;height=425&amp;START_MAXIMIZED=FALSE&amp;Y=120"}</definedName>
    <definedName name="_427__FDSAUDITLINK__" localSheetId="6" hidden="1">{"fdsup://directions/FAT Viewer?action=UPDATE&amp;creator=factSet&amp;DYN_ARGS=true&amp;DOC_NAME=FAT:RGA_ENTRPR_VAL_EV_SOURCE_WINDOW.FAT&amp;VAR:ID1=LIN-FR&amp;window=popup&amp;width=535&amp;height=425&amp;START_MAXIMIZED=FALSE&amp;Y=120"}</definedName>
    <definedName name="_427__FDSAUDITLINK__" hidden="1">{"fdsup://directions/FAT Viewer?action=UPDATE&amp;creator=factSet&amp;DYN_ARGS=true&amp;DOC_NAME=FAT:RGA_ENTRPR_VAL_EV_SOURCE_WINDOW.FAT&amp;VAR:ID1=LIN-FR&amp;window=popup&amp;width=535&amp;height=425&amp;START_MAXIMIZED=FALSE&amp;Y=120"}</definedName>
    <definedName name="_428__FDSAUDITLINK__" localSheetId="0" hidden="1">{"fdsup://directions/FAT Viewer?action=UPDATE&amp;creator=factSet&amp;DYN_ARGS=true&amp;DOC_NAME=FAT:RGA_ENTRPR_VAL_EV_SOURCE_WINDOW.FAT&amp;VAR:ID1=LIN-FR&amp;window=popup&amp;width=535&amp;height=425&amp;START_MAXIMIZED=FALSE&amp;Y=120"}</definedName>
    <definedName name="_428__FDSAUDITLINK__" localSheetId="6" hidden="1">{"fdsup://directions/FAT Viewer?action=UPDATE&amp;creator=factSet&amp;DYN_ARGS=true&amp;DOC_NAME=FAT:RGA_ENTRPR_VAL_EV_SOURCE_WINDOW.FAT&amp;VAR:ID1=LIN-FR&amp;window=popup&amp;width=535&amp;height=425&amp;START_MAXIMIZED=FALSE&amp;Y=120"}</definedName>
    <definedName name="_428__FDSAUDITLINK__" hidden="1">{"fdsup://directions/FAT Viewer?action=UPDATE&amp;creator=factSet&amp;DYN_ARGS=true&amp;DOC_NAME=FAT:RGA_ENTRPR_VAL_EV_SOURCE_WINDOW.FAT&amp;VAR:ID1=LIN-FR&amp;window=popup&amp;width=535&amp;height=425&amp;START_MAXIMIZED=FALSE&amp;Y=120"}</definedName>
    <definedName name="_429__FDSAUDITLINK__" localSheetId="0" hidden="1">{"fdsup://directions/FAT Viewer?action=UPDATE&amp;creator=factSet&amp;DYN_ARGS=true&amp;DOC_NAME=FAT:RGA_ENTRPR_VAL_EV_SOURCE_WINDOW.FAT&amp;VAR:ID1=LIN-FR&amp;window=popup&amp;width=535&amp;height=425&amp;START_MAXIMIZED=FALSE&amp;Y=120"}</definedName>
    <definedName name="_429__FDSAUDITLINK__" localSheetId="6" hidden="1">{"fdsup://directions/FAT Viewer?action=UPDATE&amp;creator=factSet&amp;DYN_ARGS=true&amp;DOC_NAME=FAT:RGA_ENTRPR_VAL_EV_SOURCE_WINDOW.FAT&amp;VAR:ID1=LIN-FR&amp;window=popup&amp;width=535&amp;height=425&amp;START_MAXIMIZED=FALSE&amp;Y=120"}</definedName>
    <definedName name="_429__FDSAUDITLINK__" hidden="1">{"fdsup://directions/FAT Viewer?action=UPDATE&amp;creator=factSet&amp;DYN_ARGS=true&amp;DOC_NAME=FAT:RGA_ENTRPR_VAL_EV_SOURCE_WINDOW.FAT&amp;VAR:ID1=LIN-FR&amp;window=popup&amp;width=535&amp;height=425&amp;START_MAXIMIZED=FALSE&amp;Y=120"}</definedName>
    <definedName name="_42wrn.²Ä1­Ó¤ë1_Ü20¤H." localSheetId="0" hidden="1">{#N/A,#N/A,FALSE,"²Ä1­Ó¤ë"}</definedName>
    <definedName name="_42wrn.²Ä1­Ó¤ë1_Ü20¤H." localSheetId="6" hidden="1">{#N/A,#N/A,FALSE,"²Ä1­Ó¤ë"}</definedName>
    <definedName name="_42wrn.²Ä1­Ó¤ë1_Ü20¤H." hidden="1">{#N/A,#N/A,FALSE,"²Ä1­Ó¤ë"}</definedName>
    <definedName name="_42wrn.²Ä1­Ó¤ë1_Ü20¤H._1" localSheetId="0" hidden="1">{#N/A,#N/A,FALSE,"²Ä1­Ó¤ë"}</definedName>
    <definedName name="_42wrn.²Ä1­Ó¤ë1_Ü20¤H._1" localSheetId="6" hidden="1">{#N/A,#N/A,FALSE,"²Ä1­Ó¤ë"}</definedName>
    <definedName name="_42wrn.²Ä1­Ó¤ë1_Ü20¤H._1" hidden="1">{#N/A,#N/A,FALSE,"²Ä1­Ó¤ë"}</definedName>
    <definedName name="_42wrn.²Ä1­Ó¤ë1_Ü20¤H._1_1" localSheetId="0" hidden="1">{#N/A,#N/A,FALSE,"²Ä1­Ó¤ë"}</definedName>
    <definedName name="_42wrn.²Ä1­Ó¤ë1_Ü20¤H._1_1" localSheetId="6" hidden="1">{#N/A,#N/A,FALSE,"²Ä1­Ó¤ë"}</definedName>
    <definedName name="_42wrn.²Ä1­Ó¤ë1_Ü20¤H._1_1" hidden="1">{#N/A,#N/A,FALSE,"²Ä1­Ó¤ë"}</definedName>
    <definedName name="_42wrn.²Ä1­Ó¤ë1_Ü20¤H._2" localSheetId="0" hidden="1">{#N/A,#N/A,FALSE,"²Ä1­Ó¤ë"}</definedName>
    <definedName name="_42wrn.²Ä1­Ó¤ë1_Ü20¤H._2" localSheetId="6" hidden="1">{#N/A,#N/A,FALSE,"²Ä1­Ó¤ë"}</definedName>
    <definedName name="_42wrn.²Ä1­Ó¤ë1_Ü20¤H._2" hidden="1">{#N/A,#N/A,FALSE,"²Ä1­Ó¤ë"}</definedName>
    <definedName name="_42wrn.²Ä1­Ó¤ë1_Ü20¤H._3" localSheetId="0" hidden="1">{#N/A,#N/A,FALSE,"²Ä1­Ó¤ë"}</definedName>
    <definedName name="_42wrn.²Ä1­Ó¤ë1_Ü20¤H._3" localSheetId="6" hidden="1">{#N/A,#N/A,FALSE,"²Ä1­Ó¤ë"}</definedName>
    <definedName name="_42wrn.²Ä1­Ó¤ë1_Ü20¤H._3" hidden="1">{#N/A,#N/A,FALSE,"²Ä1­Ó¤ë"}</definedName>
    <definedName name="_42wrn.²Ä1­Ó¤ë1_Ü20¤H._4" localSheetId="0" hidden="1">{#N/A,#N/A,FALSE,"²Ä1­Ó¤ë"}</definedName>
    <definedName name="_42wrn.²Ä1­Ó¤ë1_Ü20¤H._4" localSheetId="6" hidden="1">{#N/A,#N/A,FALSE,"²Ä1­Ó¤ë"}</definedName>
    <definedName name="_42wrn.²Ä1­Ó¤ë1_Ü20¤H._4" hidden="1">{#N/A,#N/A,FALSE,"²Ä1­Ó¤ë"}</definedName>
    <definedName name="_42wrn.²Ä1­Ó¤ë1_Ü20¤H._5" localSheetId="0" hidden="1">{#N/A,#N/A,FALSE,"²Ä1­Ó¤ë"}</definedName>
    <definedName name="_42wrn.²Ä1­Ó¤ë1_Ü20¤H._5" localSheetId="6" hidden="1">{#N/A,#N/A,FALSE,"²Ä1­Ó¤ë"}</definedName>
    <definedName name="_42wrn.²Ä1­Ó¤ë1_Ü20¤H._5" hidden="1">{#N/A,#N/A,FALSE,"²Ä1­Ó¤ë"}</definedName>
    <definedName name="_43__123Graph_BCHART_13" hidden="1">#REF!</definedName>
    <definedName name="_43__123Graph_BCHART_5" hidden="1">#REF!</definedName>
    <definedName name="_43__123Graph_DCHART_4" hidden="1">#REF!</definedName>
    <definedName name="_43__123Graph_LBL_AMKT_YTD" hidden="1">#REF!</definedName>
    <definedName name="_43__123Graph_X_BP96" hidden="1">#REF!</definedName>
    <definedName name="_43__FDSAUDITLINK__" localSheetId="0" hidden="1">{"fdsup://directions/FAT Viewer?action=UPDATE&amp;creator=factSet&amp;DYN_ARGS=true&amp;DOC_NAME=FAT:RGA_ENTRPR_VAL_EV_SOURCE_WINDOW.FAT&amp;VAR:ID1=211.6551673126&amp;window=popup&amp;width=535&amp;height=425&amp;START_MAXIMIZED=FALSE&amp;Y=120"}</definedName>
    <definedName name="_43__FDSAUDITLINK__" localSheetId="6" hidden="1">{"fdsup://directions/FAT Viewer?action=UPDATE&amp;creator=factSet&amp;DYN_ARGS=true&amp;DOC_NAME=FAT:RGA_ENTRPR_VAL_EV_SOURCE_WINDOW.FAT&amp;VAR:ID1=211.6551673126&amp;window=popup&amp;width=535&amp;height=425&amp;START_MAXIMIZED=FALSE&amp;Y=120"}</definedName>
    <definedName name="_43__FDSAUDITLINK__" hidden="1">{"fdsup://directions/FAT Viewer?action=UPDATE&amp;creator=factSet&amp;DYN_ARGS=true&amp;DOC_NAME=FAT:RGA_ENTRPR_VAL_EV_SOURCE_WINDOW.FAT&amp;VAR:ID1=211.6551673126&amp;window=popup&amp;width=535&amp;height=425&amp;START_MAXIMIZED=FALSE&amp;Y=120"}</definedName>
    <definedName name="_430__FDSAUDITLINK__" localSheetId="0" hidden="1">{"fdsup://directions/FAT Viewer?action=UPDATE&amp;creator=factSet&amp;DYN_ARGS=true&amp;DOC_NAME=FAT:RGA_ENTRPR_VAL_EV_SOURCE_WINDOW.FAT&amp;VAR:ID1=LIN-FR&amp;window=popup&amp;width=535&amp;height=425&amp;START_MAXIMIZED=FALSE&amp;Y=120"}</definedName>
    <definedName name="_430__FDSAUDITLINK__" localSheetId="6" hidden="1">{"fdsup://directions/FAT Viewer?action=UPDATE&amp;creator=factSet&amp;DYN_ARGS=true&amp;DOC_NAME=FAT:RGA_ENTRPR_VAL_EV_SOURCE_WINDOW.FAT&amp;VAR:ID1=LIN-FR&amp;window=popup&amp;width=535&amp;height=425&amp;START_MAXIMIZED=FALSE&amp;Y=120"}</definedName>
    <definedName name="_430__FDSAUDITLINK__" hidden="1">{"fdsup://directions/FAT Viewer?action=UPDATE&amp;creator=factSet&amp;DYN_ARGS=true&amp;DOC_NAME=FAT:RGA_ENTRPR_VAL_EV_SOURCE_WINDOW.FAT&amp;VAR:ID1=LIN-FR&amp;window=popup&amp;width=535&amp;height=425&amp;START_MAXIMIZED=FALSE&amp;Y=120"}</definedName>
    <definedName name="_431__FDSAUDITLINK__" localSheetId="0" hidden="1">{"fdsup://directions/FAT Viewer?action=UPDATE&amp;creator=factSet&amp;DYN_ARGS=true&amp;DOC_NAME=FAT:RGA_ENTRPR_VAL_EV_SOURCE_WINDOW.FAT&amp;VAR:ID1=LIN-FR&amp;window=popup&amp;width=535&amp;height=425&amp;START_MAXIMIZED=FALSE&amp;Y=120"}</definedName>
    <definedName name="_431__FDSAUDITLINK__" localSheetId="6" hidden="1">{"fdsup://directions/FAT Viewer?action=UPDATE&amp;creator=factSet&amp;DYN_ARGS=true&amp;DOC_NAME=FAT:RGA_ENTRPR_VAL_EV_SOURCE_WINDOW.FAT&amp;VAR:ID1=LIN-FR&amp;window=popup&amp;width=535&amp;height=425&amp;START_MAXIMIZED=FALSE&amp;Y=120"}</definedName>
    <definedName name="_431__FDSAUDITLINK__" hidden="1">{"fdsup://directions/FAT Viewer?action=UPDATE&amp;creator=factSet&amp;DYN_ARGS=true&amp;DOC_NAME=FAT:RGA_ENTRPR_VAL_EV_SOURCE_WINDOW.FAT&amp;VAR:ID1=LIN-FR&amp;window=popup&amp;width=535&amp;height=425&amp;START_MAXIMIZED=FALSE&amp;Y=120"}</definedName>
    <definedName name="_432__FDSAUDITLINK__" localSheetId="0" hidden="1">{"fdsup://directions/FAT Viewer?action=UPDATE&amp;creator=factSet&amp;DYN_ARGS=true&amp;DOC_NAME=FAT:RGA_ENTRPR_VAL_EV_SOURCE_WINDOW.FAT&amp;VAR:ID1=LIN-FR&amp;window=popup&amp;width=535&amp;height=425&amp;START_MAXIMIZED=FALSE&amp;Y=120"}</definedName>
    <definedName name="_432__FDSAUDITLINK__" localSheetId="6" hidden="1">{"fdsup://directions/FAT Viewer?action=UPDATE&amp;creator=factSet&amp;DYN_ARGS=true&amp;DOC_NAME=FAT:RGA_ENTRPR_VAL_EV_SOURCE_WINDOW.FAT&amp;VAR:ID1=LIN-FR&amp;window=popup&amp;width=535&amp;height=425&amp;START_MAXIMIZED=FALSE&amp;Y=120"}</definedName>
    <definedName name="_432__FDSAUDITLINK__" hidden="1">{"fdsup://directions/FAT Viewer?action=UPDATE&amp;creator=factSet&amp;DYN_ARGS=true&amp;DOC_NAME=FAT:RGA_ENTRPR_VAL_EV_SOURCE_WINDOW.FAT&amp;VAR:ID1=LIN-FR&amp;window=popup&amp;width=535&amp;height=425&amp;START_MAXIMIZED=FALSE&amp;Y=120"}</definedName>
    <definedName name="_433__FDSAUDITLINK__" localSheetId="0" hidden="1">{"fdsup://directions/FAT Viewer?action=UPDATE&amp;creator=factSet&amp;DYN_ARGS=true&amp;DOC_NAME=FAT:RGA_ENTRPR_VAL_EV_SOURCE_WINDOW.FAT&amp;VAR:ID1=LIN-FR&amp;window=popup&amp;width=535&amp;height=425&amp;START_MAXIMIZED=FALSE&amp;Y=120"}</definedName>
    <definedName name="_433__FDSAUDITLINK__" localSheetId="6" hidden="1">{"fdsup://directions/FAT Viewer?action=UPDATE&amp;creator=factSet&amp;DYN_ARGS=true&amp;DOC_NAME=FAT:RGA_ENTRPR_VAL_EV_SOURCE_WINDOW.FAT&amp;VAR:ID1=LIN-FR&amp;window=popup&amp;width=535&amp;height=425&amp;START_MAXIMIZED=FALSE&amp;Y=120"}</definedName>
    <definedName name="_433__FDSAUDITLINK__" hidden="1">{"fdsup://directions/FAT Viewer?action=UPDATE&amp;creator=factSet&amp;DYN_ARGS=true&amp;DOC_NAME=FAT:RGA_ENTRPR_VAL_EV_SOURCE_WINDOW.FAT&amp;VAR:ID1=LIN-FR&amp;window=popup&amp;width=535&amp;height=425&amp;START_MAXIMIZED=FALSE&amp;Y=120"}</definedName>
    <definedName name="_434__FDSAUDITLINK__" localSheetId="0" hidden="1">{"fdsup://directions/FAT Viewer?action=UPDATE&amp;creator=factSet&amp;DYN_ARGS=true&amp;DOC_NAME=FAT:RGA_ENTRPR_VAL_EV_SOURCE_WINDOW.FAT&amp;VAR:ID1=LIN-FR&amp;window=popup&amp;width=535&amp;height=425&amp;START_MAXIMIZED=FALSE&amp;Y=120"}</definedName>
    <definedName name="_434__FDSAUDITLINK__" localSheetId="6" hidden="1">{"fdsup://directions/FAT Viewer?action=UPDATE&amp;creator=factSet&amp;DYN_ARGS=true&amp;DOC_NAME=FAT:RGA_ENTRPR_VAL_EV_SOURCE_WINDOW.FAT&amp;VAR:ID1=LIN-FR&amp;window=popup&amp;width=535&amp;height=425&amp;START_MAXIMIZED=FALSE&amp;Y=120"}</definedName>
    <definedName name="_434__FDSAUDITLINK__" hidden="1">{"fdsup://directions/FAT Viewer?action=UPDATE&amp;creator=factSet&amp;DYN_ARGS=true&amp;DOC_NAME=FAT:RGA_ENTRPR_VAL_EV_SOURCE_WINDOW.FAT&amp;VAR:ID1=LIN-FR&amp;window=popup&amp;width=535&amp;height=425&amp;START_MAXIMIZED=FALSE&amp;Y=120"}</definedName>
    <definedName name="_435__FDSAUDITLINK__" localSheetId="0" hidden="1">{"fdsup://directions/FAT Viewer?action=UPDATE&amp;creator=factSet&amp;DYN_ARGS=true&amp;DOC_NAME=FAT:RGA_ENTRPR_VAL_EV_SOURCE_WINDOW.FAT&amp;VAR:ID1=LIN-FR&amp;window=popup&amp;width=535&amp;height=425&amp;START_MAXIMIZED=FALSE&amp;Y=120"}</definedName>
    <definedName name="_435__FDSAUDITLINK__" localSheetId="6" hidden="1">{"fdsup://directions/FAT Viewer?action=UPDATE&amp;creator=factSet&amp;DYN_ARGS=true&amp;DOC_NAME=FAT:RGA_ENTRPR_VAL_EV_SOURCE_WINDOW.FAT&amp;VAR:ID1=LIN-FR&amp;window=popup&amp;width=535&amp;height=425&amp;START_MAXIMIZED=FALSE&amp;Y=120"}</definedName>
    <definedName name="_435__FDSAUDITLINK__" hidden="1">{"fdsup://directions/FAT Viewer?action=UPDATE&amp;creator=factSet&amp;DYN_ARGS=true&amp;DOC_NAME=FAT:RGA_ENTRPR_VAL_EV_SOURCE_WINDOW.FAT&amp;VAR:ID1=LIN-FR&amp;window=popup&amp;width=535&amp;height=425&amp;START_MAXIMIZED=FALSE&amp;Y=120"}</definedName>
    <definedName name="_436__FDSAUDITLINK__" localSheetId="0" hidden="1">{"fdsup://directions/FAT Viewer?action=UPDATE&amp;creator=factSet&amp;DYN_ARGS=true&amp;DOC_NAME=FAT:RGA_ENTRPR_VAL_EV_SOURCE_WINDOW.FAT&amp;VAR:ID1=LIN-FR&amp;window=popup&amp;width=535&amp;height=425&amp;START_MAXIMIZED=FALSE&amp;Y=120"}</definedName>
    <definedName name="_436__FDSAUDITLINK__" localSheetId="6" hidden="1">{"fdsup://directions/FAT Viewer?action=UPDATE&amp;creator=factSet&amp;DYN_ARGS=true&amp;DOC_NAME=FAT:RGA_ENTRPR_VAL_EV_SOURCE_WINDOW.FAT&amp;VAR:ID1=LIN-FR&amp;window=popup&amp;width=535&amp;height=425&amp;START_MAXIMIZED=FALSE&amp;Y=120"}</definedName>
    <definedName name="_436__FDSAUDITLINK__" hidden="1">{"fdsup://directions/FAT Viewer?action=UPDATE&amp;creator=factSet&amp;DYN_ARGS=true&amp;DOC_NAME=FAT:RGA_ENTRPR_VAL_EV_SOURCE_WINDOW.FAT&amp;VAR:ID1=LIN-FR&amp;window=popup&amp;width=535&amp;height=425&amp;START_MAXIMIZED=FALSE&amp;Y=120"}</definedName>
    <definedName name="_437__FDSAUDITLINK__" localSheetId="0" hidden="1">{"fdsup://directions/FAT Viewer?action=UPDATE&amp;creator=factSet&amp;DYN_ARGS=true&amp;DOC_NAME=FAT:RGA_ENTRPR_VAL_EV_SOURCE_WINDOW.FAT&amp;VAR:ID1=LIN-FR&amp;window=popup&amp;width=535&amp;height=425&amp;START_MAXIMIZED=FALSE&amp;Y=120"}</definedName>
    <definedName name="_437__FDSAUDITLINK__" localSheetId="6" hidden="1">{"fdsup://directions/FAT Viewer?action=UPDATE&amp;creator=factSet&amp;DYN_ARGS=true&amp;DOC_NAME=FAT:RGA_ENTRPR_VAL_EV_SOURCE_WINDOW.FAT&amp;VAR:ID1=LIN-FR&amp;window=popup&amp;width=535&amp;height=425&amp;START_MAXIMIZED=FALSE&amp;Y=120"}</definedName>
    <definedName name="_437__FDSAUDITLINK__" hidden="1">{"fdsup://directions/FAT Viewer?action=UPDATE&amp;creator=factSet&amp;DYN_ARGS=true&amp;DOC_NAME=FAT:RGA_ENTRPR_VAL_EV_SOURCE_WINDOW.FAT&amp;VAR:ID1=LIN-FR&amp;window=popup&amp;width=535&amp;height=425&amp;START_MAXIMIZED=FALSE&amp;Y=120"}</definedName>
    <definedName name="_438__FDSAUDITLINK__" localSheetId="0" hidden="1">{"fdsup://directions/FAT Viewer?action=UPDATE&amp;creator=factSet&amp;DYN_ARGS=true&amp;DOC_NAME=FAT:RGA_ENTRPR_VAL_EV_SOURCE_WINDOW.FAT&amp;VAR:ID1=LIN-FR&amp;window=popup&amp;width=535&amp;height=425&amp;START_MAXIMIZED=FALSE&amp;Y=120"}</definedName>
    <definedName name="_438__FDSAUDITLINK__" localSheetId="6" hidden="1">{"fdsup://directions/FAT Viewer?action=UPDATE&amp;creator=factSet&amp;DYN_ARGS=true&amp;DOC_NAME=FAT:RGA_ENTRPR_VAL_EV_SOURCE_WINDOW.FAT&amp;VAR:ID1=LIN-FR&amp;window=popup&amp;width=535&amp;height=425&amp;START_MAXIMIZED=FALSE&amp;Y=120"}</definedName>
    <definedName name="_438__FDSAUDITLINK__" hidden="1">{"fdsup://directions/FAT Viewer?action=UPDATE&amp;creator=factSet&amp;DYN_ARGS=true&amp;DOC_NAME=FAT:RGA_ENTRPR_VAL_EV_SOURCE_WINDOW.FAT&amp;VAR:ID1=LIN-FR&amp;window=popup&amp;width=535&amp;height=425&amp;START_MAXIMIZED=FALSE&amp;Y=120"}</definedName>
    <definedName name="_439__123Graph_ECHART_22" hidden="1">#REF!</definedName>
    <definedName name="_439__FDSAUDITLINK__" localSheetId="0" hidden="1">{"fdsup://directions/FAT Viewer?action=UPDATE&amp;creator=factSet&amp;DYN_ARGS=true&amp;DOC_NAME=FAT:RGA_ENTRPR_VAL_EV_SOURCE_WINDOW.FAT&amp;VAR:ID1=LIN-FR&amp;window=popup&amp;width=535&amp;height=425&amp;START_MAXIMIZED=FALSE&amp;Y=120"}</definedName>
    <definedName name="_439__FDSAUDITLINK__" localSheetId="6" hidden="1">{"fdsup://directions/FAT Viewer?action=UPDATE&amp;creator=factSet&amp;DYN_ARGS=true&amp;DOC_NAME=FAT:RGA_ENTRPR_VAL_EV_SOURCE_WINDOW.FAT&amp;VAR:ID1=LIN-FR&amp;window=popup&amp;width=535&amp;height=425&amp;START_MAXIMIZED=FALSE&amp;Y=120"}</definedName>
    <definedName name="_439__FDSAUDITLINK__" hidden="1">{"fdsup://directions/FAT Viewer?action=UPDATE&amp;creator=factSet&amp;DYN_ARGS=true&amp;DOC_NAME=FAT:RGA_ENTRPR_VAL_EV_SOURCE_WINDOW.FAT&amp;VAR:ID1=LIN-FR&amp;window=popup&amp;width=535&amp;height=425&amp;START_MAXIMIZED=FALSE&amp;Y=120"}</definedName>
    <definedName name="_44__123Graph_DCHART_6" hidden="1">#REF!</definedName>
    <definedName name="_44__123Graph_ECHART_15" hidden="1">#REF!</definedName>
    <definedName name="_44__123Graph_LBL_B_KD956" hidden="1">#REF!</definedName>
    <definedName name="_44__123Graph_X_DM9196" hidden="1">#REF!</definedName>
    <definedName name="_44__FDSAUDITLINK__" localSheetId="0" hidden="1">{"fdsup://directions/FAT Viewer?action=UPDATE&amp;creator=factSet&amp;DYN_ARGS=true&amp;DOC_NAME=FAT:RGA_ENTRPR_VAL_EV_SOURCE_WINDOW.FAT&amp;VAR:ID1=EV&amp;window=popup&amp;width=535&amp;height=425&amp;START_MAXIMIZED=FALSE&amp;Y=120"}</definedName>
    <definedName name="_44__FDSAUDITLINK__" localSheetId="6" hidden="1">{"fdsup://directions/FAT Viewer?action=UPDATE&amp;creator=factSet&amp;DYN_ARGS=true&amp;DOC_NAME=FAT:RGA_ENTRPR_VAL_EV_SOURCE_WINDOW.FAT&amp;VAR:ID1=EV&amp;window=popup&amp;width=535&amp;height=425&amp;START_MAXIMIZED=FALSE&amp;Y=120"}</definedName>
    <definedName name="_44__FDSAUDITLINK__" hidden="1">{"fdsup://directions/FAT Viewer?action=UPDATE&amp;creator=factSet&amp;DYN_ARGS=true&amp;DOC_NAME=FAT:RGA_ENTRPR_VAL_EV_SOURCE_WINDOW.FAT&amp;VAR:ID1=EV&amp;window=popup&amp;width=535&amp;height=425&amp;START_MAXIMIZED=FALSE&amp;Y=120"}</definedName>
    <definedName name="_440__FDSAUDITLINK__" localSheetId="0" hidden="1">{"fdsup://directions/FAT Viewer?action=UPDATE&amp;creator=factSet&amp;DYN_ARGS=true&amp;DOC_NAME=FAT:RGA_ENTRPR_VAL_EV_SOURCE_WINDOW.FAT&amp;VAR:ID1=LIN-FR&amp;window=popup&amp;width=535&amp;height=425&amp;START_MAXIMIZED=FALSE&amp;Y=120"}</definedName>
    <definedName name="_440__FDSAUDITLINK__" localSheetId="6" hidden="1">{"fdsup://directions/FAT Viewer?action=UPDATE&amp;creator=factSet&amp;DYN_ARGS=true&amp;DOC_NAME=FAT:RGA_ENTRPR_VAL_EV_SOURCE_WINDOW.FAT&amp;VAR:ID1=LIN-FR&amp;window=popup&amp;width=535&amp;height=425&amp;START_MAXIMIZED=FALSE&amp;Y=120"}</definedName>
    <definedName name="_440__FDSAUDITLINK__" hidden="1">{"fdsup://directions/FAT Viewer?action=UPDATE&amp;creator=factSet&amp;DYN_ARGS=true&amp;DOC_NAME=FAT:RGA_ENTRPR_VAL_EV_SOURCE_WINDOW.FAT&amp;VAR:ID1=LIN-FR&amp;window=popup&amp;width=535&amp;height=425&amp;START_MAXIMIZED=FALSE&amp;Y=120"}</definedName>
    <definedName name="_441__FDSAUDITLINK__" localSheetId="0" hidden="1">{"fdsup://directions/FAT Viewer?action=UPDATE&amp;creator=factSet&amp;DYN_ARGS=true&amp;DOC_NAME=FAT:RGA_ENTRPR_VAL_EV_SOURCE_WINDOW.FAT&amp;VAR:ID1=DST-US&amp;window=popup&amp;width=535&amp;height=425&amp;START_MAXIMIZED=FALSE&amp;Y=120"}</definedName>
    <definedName name="_441__FDSAUDITLINK__" localSheetId="6" hidden="1">{"fdsup://directions/FAT Viewer?action=UPDATE&amp;creator=factSet&amp;DYN_ARGS=true&amp;DOC_NAME=FAT:RGA_ENTRPR_VAL_EV_SOURCE_WINDOW.FAT&amp;VAR:ID1=DST-US&amp;window=popup&amp;width=535&amp;height=425&amp;START_MAXIMIZED=FALSE&amp;Y=120"}</definedName>
    <definedName name="_441__FDSAUDITLINK__" hidden="1">{"fdsup://directions/FAT Viewer?action=UPDATE&amp;creator=factSet&amp;DYN_ARGS=true&amp;DOC_NAME=FAT:RGA_ENTRPR_VAL_EV_SOURCE_WINDOW.FAT&amp;VAR:ID1=DST-US&amp;window=popup&amp;width=535&amp;height=425&amp;START_MAXIMIZED=FALSE&amp;Y=120"}</definedName>
    <definedName name="_442__FDSAUDITLINK__" localSheetId="0" hidden="1">{"fdsup://directions/FAT Viewer?action=UPDATE&amp;creator=factSet&amp;DYN_ARGS=true&amp;DOC_NAME=FAT:RGA_ENTRPR_VAL_EV_SOURCE_WINDOW.FAT&amp;VAR:ID1=DST-US&amp;window=popup&amp;width=535&amp;height=425&amp;START_MAXIMIZED=FALSE&amp;Y=120"}</definedName>
    <definedName name="_442__FDSAUDITLINK__" localSheetId="6" hidden="1">{"fdsup://directions/FAT Viewer?action=UPDATE&amp;creator=factSet&amp;DYN_ARGS=true&amp;DOC_NAME=FAT:RGA_ENTRPR_VAL_EV_SOURCE_WINDOW.FAT&amp;VAR:ID1=DST-US&amp;window=popup&amp;width=535&amp;height=425&amp;START_MAXIMIZED=FALSE&amp;Y=120"}</definedName>
    <definedName name="_442__FDSAUDITLINK__" hidden="1">{"fdsup://directions/FAT Viewer?action=UPDATE&amp;creator=factSet&amp;DYN_ARGS=true&amp;DOC_NAME=FAT:RGA_ENTRPR_VAL_EV_SOURCE_WINDOW.FAT&amp;VAR:ID1=DST-US&amp;window=popup&amp;width=535&amp;height=425&amp;START_MAXIMIZED=FALSE&amp;Y=120"}</definedName>
    <definedName name="_443__FDSAUDITLINK__" localSheetId="0" hidden="1">{"fdsup://directions/FAT Viewer?action=UPDATE&amp;creator=factSet&amp;DYN_ARGS=true&amp;DOC_NAME=FAT:RGA_ENTRPR_VAL_EV_SOURCE_WINDOW.FAT&amp;VAR:ID1=DST-US&amp;window=popup&amp;width=535&amp;height=425&amp;START_MAXIMIZED=FALSE&amp;Y=120"}</definedName>
    <definedName name="_443__FDSAUDITLINK__" localSheetId="6" hidden="1">{"fdsup://directions/FAT Viewer?action=UPDATE&amp;creator=factSet&amp;DYN_ARGS=true&amp;DOC_NAME=FAT:RGA_ENTRPR_VAL_EV_SOURCE_WINDOW.FAT&amp;VAR:ID1=DST-US&amp;window=popup&amp;width=535&amp;height=425&amp;START_MAXIMIZED=FALSE&amp;Y=120"}</definedName>
    <definedName name="_443__FDSAUDITLINK__" hidden="1">{"fdsup://directions/FAT Viewer?action=UPDATE&amp;creator=factSet&amp;DYN_ARGS=true&amp;DOC_NAME=FAT:RGA_ENTRPR_VAL_EV_SOURCE_WINDOW.FAT&amp;VAR:ID1=DST-US&amp;window=popup&amp;width=535&amp;height=425&amp;START_MAXIMIZED=FALSE&amp;Y=120"}</definedName>
    <definedName name="_444__FDSAUDITLINK__" localSheetId="0" hidden="1">{"fdsup://directions/FAT Viewer?action=UPDATE&amp;creator=factSet&amp;DYN_ARGS=true&amp;DOC_NAME=FAT:RGA_ENTRPR_VAL_EV_SOURCE_WINDOW.FAT&amp;VAR:ID1=DST-US&amp;window=popup&amp;width=535&amp;height=425&amp;START_MAXIMIZED=FALSE&amp;Y=120"}</definedName>
    <definedName name="_444__FDSAUDITLINK__" localSheetId="6" hidden="1">{"fdsup://directions/FAT Viewer?action=UPDATE&amp;creator=factSet&amp;DYN_ARGS=true&amp;DOC_NAME=FAT:RGA_ENTRPR_VAL_EV_SOURCE_WINDOW.FAT&amp;VAR:ID1=DST-US&amp;window=popup&amp;width=535&amp;height=425&amp;START_MAXIMIZED=FALSE&amp;Y=120"}</definedName>
    <definedName name="_444__FDSAUDITLINK__" hidden="1">{"fdsup://directions/FAT Viewer?action=UPDATE&amp;creator=factSet&amp;DYN_ARGS=true&amp;DOC_NAME=FAT:RGA_ENTRPR_VAL_EV_SOURCE_WINDOW.FAT&amp;VAR:ID1=DST-US&amp;window=popup&amp;width=535&amp;height=425&amp;START_MAXIMIZED=FALSE&amp;Y=120"}</definedName>
    <definedName name="_445__FDSAUDITLINK__" localSheetId="0" hidden="1">{"fdsup://directions/FAT Viewer?action=UPDATE&amp;creator=factSet&amp;DYN_ARGS=true&amp;DOC_NAME=FAT:RGA_ENTRPR_VAL_EV_SOURCE_WINDOW.FAT&amp;VAR:ID1=DST-US&amp;window=popup&amp;width=535&amp;height=425&amp;START_MAXIMIZED=FALSE&amp;Y=120"}</definedName>
    <definedName name="_445__FDSAUDITLINK__" localSheetId="6" hidden="1">{"fdsup://directions/FAT Viewer?action=UPDATE&amp;creator=factSet&amp;DYN_ARGS=true&amp;DOC_NAME=FAT:RGA_ENTRPR_VAL_EV_SOURCE_WINDOW.FAT&amp;VAR:ID1=DST-US&amp;window=popup&amp;width=535&amp;height=425&amp;START_MAXIMIZED=FALSE&amp;Y=120"}</definedName>
    <definedName name="_445__FDSAUDITLINK__" hidden="1">{"fdsup://directions/FAT Viewer?action=UPDATE&amp;creator=factSet&amp;DYN_ARGS=true&amp;DOC_NAME=FAT:RGA_ENTRPR_VAL_EV_SOURCE_WINDOW.FAT&amp;VAR:ID1=DST-US&amp;window=popup&amp;width=535&amp;height=425&amp;START_MAXIMIZED=FALSE&amp;Y=120"}</definedName>
    <definedName name="_446__FDSAUDITLINK__" localSheetId="0" hidden="1">{"fdsup://directions/FAT Viewer?action=UPDATE&amp;creator=factSet&amp;DYN_ARGS=true&amp;DOC_NAME=FAT:RGA_ENTRPR_VAL_EV_SOURCE_WINDOW.FAT&amp;VAR:ID1=DST-US&amp;window=popup&amp;width=535&amp;height=425&amp;START_MAXIMIZED=FALSE&amp;Y=120"}</definedName>
    <definedName name="_446__FDSAUDITLINK__" localSheetId="6" hidden="1">{"fdsup://directions/FAT Viewer?action=UPDATE&amp;creator=factSet&amp;DYN_ARGS=true&amp;DOC_NAME=FAT:RGA_ENTRPR_VAL_EV_SOURCE_WINDOW.FAT&amp;VAR:ID1=DST-US&amp;window=popup&amp;width=535&amp;height=425&amp;START_MAXIMIZED=FALSE&amp;Y=120"}</definedName>
    <definedName name="_446__FDSAUDITLINK__" hidden="1">{"fdsup://directions/FAT Viewer?action=UPDATE&amp;creator=factSet&amp;DYN_ARGS=true&amp;DOC_NAME=FAT:RGA_ENTRPR_VAL_EV_SOURCE_WINDOW.FAT&amp;VAR:ID1=DST-US&amp;window=popup&amp;width=535&amp;height=425&amp;START_MAXIMIZED=FALSE&amp;Y=120"}</definedName>
    <definedName name="_447__FDSAUDITLINK__" localSheetId="0" hidden="1">{"fdsup://directions/FAT Viewer?action=UPDATE&amp;creator=factSet&amp;DYN_ARGS=true&amp;DOC_NAME=FAT:RGA_ENTRPR_VAL_EV_SOURCE_WINDOW.FAT&amp;VAR:ID1=DST-US&amp;window=popup&amp;width=535&amp;height=425&amp;START_MAXIMIZED=FALSE&amp;Y=120"}</definedName>
    <definedName name="_447__FDSAUDITLINK__" localSheetId="6" hidden="1">{"fdsup://directions/FAT Viewer?action=UPDATE&amp;creator=factSet&amp;DYN_ARGS=true&amp;DOC_NAME=FAT:RGA_ENTRPR_VAL_EV_SOURCE_WINDOW.FAT&amp;VAR:ID1=DST-US&amp;window=popup&amp;width=535&amp;height=425&amp;START_MAXIMIZED=FALSE&amp;Y=120"}</definedName>
    <definedName name="_447__FDSAUDITLINK__" hidden="1">{"fdsup://directions/FAT Viewer?action=UPDATE&amp;creator=factSet&amp;DYN_ARGS=true&amp;DOC_NAME=FAT:RGA_ENTRPR_VAL_EV_SOURCE_WINDOW.FAT&amp;VAR:ID1=DST-US&amp;window=popup&amp;width=535&amp;height=425&amp;START_MAXIMIZED=FALSE&amp;Y=120"}</definedName>
    <definedName name="_448__FDSAUDITLINK__" localSheetId="0" hidden="1">{"fdsup://directions/FAT Viewer?action=UPDATE&amp;creator=factSet&amp;DYN_ARGS=true&amp;DOC_NAME=FAT:RGA_ENTRPR_VAL_EV_SOURCE_WINDOW.FAT&amp;VAR:ID1=DST-US&amp;window=popup&amp;width=535&amp;height=425&amp;START_MAXIMIZED=FALSE&amp;Y=120"}</definedName>
    <definedName name="_448__FDSAUDITLINK__" localSheetId="6" hidden="1">{"fdsup://directions/FAT Viewer?action=UPDATE&amp;creator=factSet&amp;DYN_ARGS=true&amp;DOC_NAME=FAT:RGA_ENTRPR_VAL_EV_SOURCE_WINDOW.FAT&amp;VAR:ID1=DST-US&amp;window=popup&amp;width=535&amp;height=425&amp;START_MAXIMIZED=FALSE&amp;Y=120"}</definedName>
    <definedName name="_448__FDSAUDITLINK__" hidden="1">{"fdsup://directions/FAT Viewer?action=UPDATE&amp;creator=factSet&amp;DYN_ARGS=true&amp;DOC_NAME=FAT:RGA_ENTRPR_VAL_EV_SOURCE_WINDOW.FAT&amp;VAR:ID1=DST-US&amp;window=popup&amp;width=535&amp;height=425&amp;START_MAXIMIZED=FALSE&amp;Y=120"}</definedName>
    <definedName name="_449__FDSAUDITLINK__" localSheetId="0" hidden="1">{"fdsup://directions/FAT Viewer?action=UPDATE&amp;creator=factSet&amp;DYN_ARGS=true&amp;DOC_NAME=FAT:RGA_ENTRPR_VAL_EV_SOURCE_WINDOW.FAT&amp;VAR:ID1=DST-US&amp;window=popup&amp;width=535&amp;height=425&amp;START_MAXIMIZED=FALSE&amp;Y=120"}</definedName>
    <definedName name="_449__FDSAUDITLINK__" localSheetId="6" hidden="1">{"fdsup://directions/FAT Viewer?action=UPDATE&amp;creator=factSet&amp;DYN_ARGS=true&amp;DOC_NAME=FAT:RGA_ENTRPR_VAL_EV_SOURCE_WINDOW.FAT&amp;VAR:ID1=DST-US&amp;window=popup&amp;width=535&amp;height=425&amp;START_MAXIMIZED=FALSE&amp;Y=120"}</definedName>
    <definedName name="_449__FDSAUDITLINK__" hidden="1">{"fdsup://directions/FAT Viewer?action=UPDATE&amp;creator=factSet&amp;DYN_ARGS=true&amp;DOC_NAME=FAT:RGA_ENTRPR_VAL_EV_SOURCE_WINDOW.FAT&amp;VAR:ID1=DST-US&amp;window=popup&amp;width=535&amp;height=425&amp;START_MAXIMIZED=FALSE&amp;Y=120"}</definedName>
    <definedName name="_45__123Graph_BCHART_15" hidden="1">#REF!</definedName>
    <definedName name="_45__123Graph_BCHART_7" hidden="1">#REF!</definedName>
    <definedName name="_45__123Graph_DCHART_8" hidden="1">#REF!</definedName>
    <definedName name="_45__123Graph_X_DM95" hidden="1">#REF!</definedName>
    <definedName name="_45__FDSAUDITLINK__" localSheetId="0" hidden="1">{"fdsup://directions/FAT Viewer?action=UPDATE&amp;creator=factSet&amp;DYN_ARGS=true&amp;DOC_NAME=FAT:RGA_ENTRPR_VAL_EV_SOURCE_WINDOW.FAT&amp;VAR:ID1=&amp;window=popup&amp;width=535&amp;height=425&amp;START_MAXIMIZED=FALSE&amp;Y=120"}</definedName>
    <definedName name="_45__FDSAUDITLINK__" localSheetId="6" hidden="1">{"fdsup://directions/FAT Viewer?action=UPDATE&amp;creator=factSet&amp;DYN_ARGS=true&amp;DOC_NAME=FAT:RGA_ENTRPR_VAL_EV_SOURCE_WINDOW.FAT&amp;VAR:ID1=&amp;window=popup&amp;width=535&amp;height=425&amp;START_MAXIMIZED=FALSE&amp;Y=120"}</definedName>
    <definedName name="_45__FDSAUDITLINK__" hidden="1">{"fdsup://directions/FAT Viewer?action=UPDATE&amp;creator=factSet&amp;DYN_ARGS=true&amp;DOC_NAME=FAT:RGA_ENTRPR_VAL_EV_SOURCE_WINDOW.FAT&amp;VAR:ID1=&amp;window=popup&amp;width=535&amp;height=425&amp;START_MAXIMIZED=FALSE&amp;Y=120"}</definedName>
    <definedName name="_45_0__123Graph_CCHAR" hidden="1">#REF!</definedName>
    <definedName name="_450__FDSAUDITLINK__" localSheetId="0" hidden="1">{"fdsup://directions/FAT Viewer?action=UPDATE&amp;creator=factSet&amp;DYN_ARGS=true&amp;DOC_NAME=FAT:RGA_ENTRPR_VAL_EV_SOURCE_WINDOW.FAT&amp;VAR:ID1=DST-US&amp;window=popup&amp;width=535&amp;height=425&amp;START_MAXIMIZED=FALSE&amp;Y=120"}</definedName>
    <definedName name="_450__FDSAUDITLINK__" localSheetId="6" hidden="1">{"fdsup://directions/FAT Viewer?action=UPDATE&amp;creator=factSet&amp;DYN_ARGS=true&amp;DOC_NAME=FAT:RGA_ENTRPR_VAL_EV_SOURCE_WINDOW.FAT&amp;VAR:ID1=DST-US&amp;window=popup&amp;width=535&amp;height=425&amp;START_MAXIMIZED=FALSE&amp;Y=120"}</definedName>
    <definedName name="_450__FDSAUDITLINK__" hidden="1">{"fdsup://directions/FAT Viewer?action=UPDATE&amp;creator=factSet&amp;DYN_ARGS=true&amp;DOC_NAME=FAT:RGA_ENTRPR_VAL_EV_SOURCE_WINDOW.FAT&amp;VAR:ID1=DST-US&amp;window=popup&amp;width=535&amp;height=425&amp;START_MAXIMIZED=FALSE&amp;Y=120"}</definedName>
    <definedName name="_451__FDSAUDITLINK__" localSheetId="0" hidden="1">{"fdsup://directions/FAT Viewer?action=UPDATE&amp;creator=factSet&amp;DYN_ARGS=true&amp;DOC_NAME=FAT:RGA_ENTRPR_VAL_EV_SOURCE_WINDOW.FAT&amp;VAR:ID1=DST-US&amp;window=popup&amp;width=535&amp;height=425&amp;START_MAXIMIZED=FALSE&amp;Y=120"}</definedName>
    <definedName name="_451__FDSAUDITLINK__" localSheetId="6" hidden="1">{"fdsup://directions/FAT Viewer?action=UPDATE&amp;creator=factSet&amp;DYN_ARGS=true&amp;DOC_NAME=FAT:RGA_ENTRPR_VAL_EV_SOURCE_WINDOW.FAT&amp;VAR:ID1=DST-US&amp;window=popup&amp;width=535&amp;height=425&amp;START_MAXIMIZED=FALSE&amp;Y=120"}</definedName>
    <definedName name="_451__FDSAUDITLINK__" hidden="1">{"fdsup://directions/FAT Viewer?action=UPDATE&amp;creator=factSet&amp;DYN_ARGS=true&amp;DOC_NAME=FAT:RGA_ENTRPR_VAL_EV_SOURCE_WINDOW.FAT&amp;VAR:ID1=DST-US&amp;window=popup&amp;width=535&amp;height=425&amp;START_MAXIMIZED=FALSE&amp;Y=120"}</definedName>
    <definedName name="_452__123Graph_ECHART_24" hidden="1">#REF!</definedName>
    <definedName name="_452__FDSAUDITLINK__" localSheetId="0" hidden="1">{"fdsup://directions/FAT Viewer?action=UPDATE&amp;creator=factSet&amp;DYN_ARGS=true&amp;DOC_NAME=FAT:RGA_ENTRPR_VAL_EV_SOURCE_WINDOW.FAT&amp;VAR:ID1=DST-US&amp;window=popup&amp;width=535&amp;height=425&amp;START_MAXIMIZED=FALSE&amp;Y=120"}</definedName>
    <definedName name="_452__FDSAUDITLINK__" localSheetId="6" hidden="1">{"fdsup://directions/FAT Viewer?action=UPDATE&amp;creator=factSet&amp;DYN_ARGS=true&amp;DOC_NAME=FAT:RGA_ENTRPR_VAL_EV_SOURCE_WINDOW.FAT&amp;VAR:ID1=DST-US&amp;window=popup&amp;width=535&amp;height=425&amp;START_MAXIMIZED=FALSE&amp;Y=120"}</definedName>
    <definedName name="_452__FDSAUDITLINK__" hidden="1">{"fdsup://directions/FAT Viewer?action=UPDATE&amp;creator=factSet&amp;DYN_ARGS=true&amp;DOC_NAME=FAT:RGA_ENTRPR_VAL_EV_SOURCE_WINDOW.FAT&amp;VAR:ID1=DST-US&amp;window=popup&amp;width=535&amp;height=425&amp;START_MAXIMIZED=FALSE&amp;Y=120"}</definedName>
    <definedName name="_453__FDSAUDITLINK__" localSheetId="0" hidden="1">{"fdsup://directions/FAT Viewer?action=UPDATE&amp;creator=factSet&amp;DYN_ARGS=true&amp;DOC_NAME=FAT:RGA_ENTRPR_VAL_EV_SOURCE_WINDOW.FAT&amp;VAR:ID1=DST-US&amp;window=popup&amp;width=535&amp;height=425&amp;START_MAXIMIZED=FALSE&amp;Y=120"}</definedName>
    <definedName name="_453__FDSAUDITLINK__" localSheetId="6" hidden="1">{"fdsup://directions/FAT Viewer?action=UPDATE&amp;creator=factSet&amp;DYN_ARGS=true&amp;DOC_NAME=FAT:RGA_ENTRPR_VAL_EV_SOURCE_WINDOW.FAT&amp;VAR:ID1=DST-US&amp;window=popup&amp;width=535&amp;height=425&amp;START_MAXIMIZED=FALSE&amp;Y=120"}</definedName>
    <definedName name="_453__FDSAUDITLINK__" hidden="1">{"fdsup://directions/FAT Viewer?action=UPDATE&amp;creator=factSet&amp;DYN_ARGS=true&amp;DOC_NAME=FAT:RGA_ENTRPR_VAL_EV_SOURCE_WINDOW.FAT&amp;VAR:ID1=DST-US&amp;window=popup&amp;width=535&amp;height=425&amp;START_MAXIMIZED=FALSE&amp;Y=120"}</definedName>
    <definedName name="_454__FDSAUDITLINK__" localSheetId="0" hidden="1">{"fdsup://directions/FAT Viewer?action=UPDATE&amp;creator=factSet&amp;DYN_ARGS=true&amp;DOC_NAME=FAT:RGA_ENTRPR_VAL_EV_SOURCE_WINDOW.FAT&amp;VAR:ID1=DST-US&amp;window=popup&amp;width=535&amp;height=425&amp;START_MAXIMIZED=FALSE&amp;Y=120"}</definedName>
    <definedName name="_454__FDSAUDITLINK__" localSheetId="6" hidden="1">{"fdsup://directions/FAT Viewer?action=UPDATE&amp;creator=factSet&amp;DYN_ARGS=true&amp;DOC_NAME=FAT:RGA_ENTRPR_VAL_EV_SOURCE_WINDOW.FAT&amp;VAR:ID1=DST-US&amp;window=popup&amp;width=535&amp;height=425&amp;START_MAXIMIZED=FALSE&amp;Y=120"}</definedName>
    <definedName name="_454__FDSAUDITLINK__" hidden="1">{"fdsup://directions/FAT Viewer?action=UPDATE&amp;creator=factSet&amp;DYN_ARGS=true&amp;DOC_NAME=FAT:RGA_ENTRPR_VAL_EV_SOURCE_WINDOW.FAT&amp;VAR:ID1=DST-US&amp;window=popup&amp;width=535&amp;height=425&amp;START_MAXIMIZED=FALSE&amp;Y=120"}</definedName>
    <definedName name="_455__FDSAUDITLINK__" localSheetId="0" hidden="1">{"fdsup://directions/FAT Viewer?action=UPDATE&amp;creator=factSet&amp;DYN_ARGS=true&amp;DOC_NAME=FAT:RGA_ENTRPR_VAL_EV_SOURCE_WINDOW.FAT&amp;VAR:ID1=DST-US&amp;window=popup&amp;width=535&amp;height=425&amp;START_MAXIMIZED=FALSE&amp;Y=120"}</definedName>
    <definedName name="_455__FDSAUDITLINK__" localSheetId="6" hidden="1">{"fdsup://directions/FAT Viewer?action=UPDATE&amp;creator=factSet&amp;DYN_ARGS=true&amp;DOC_NAME=FAT:RGA_ENTRPR_VAL_EV_SOURCE_WINDOW.FAT&amp;VAR:ID1=DST-US&amp;window=popup&amp;width=535&amp;height=425&amp;START_MAXIMIZED=FALSE&amp;Y=120"}</definedName>
    <definedName name="_455__FDSAUDITLINK__" hidden="1">{"fdsup://directions/FAT Viewer?action=UPDATE&amp;creator=factSet&amp;DYN_ARGS=true&amp;DOC_NAME=FAT:RGA_ENTRPR_VAL_EV_SOURCE_WINDOW.FAT&amp;VAR:ID1=DST-US&amp;window=popup&amp;width=535&amp;height=425&amp;START_MAXIMIZED=FALSE&amp;Y=120"}</definedName>
    <definedName name="_456" hidden="1">#REF!</definedName>
    <definedName name="_456__123Graph_ECHART_26" hidden="1">#REF!</definedName>
    <definedName name="_456__FDSAUDITLINK__" localSheetId="0" hidden="1">{"fdsup://directions/FAT Viewer?action=UPDATE&amp;creator=factSet&amp;DYN_ARGS=true&amp;DOC_NAME=FAT:RGA_ENTRPR_VAL_EV_SOURCE_WINDOW.FAT&amp;VAR:ID1=DST-US&amp;window=popup&amp;width=535&amp;height=425&amp;START_MAXIMIZED=FALSE&amp;Y=120"}</definedName>
    <definedName name="_456__FDSAUDITLINK__" localSheetId="6" hidden="1">{"fdsup://directions/FAT Viewer?action=UPDATE&amp;creator=factSet&amp;DYN_ARGS=true&amp;DOC_NAME=FAT:RGA_ENTRPR_VAL_EV_SOURCE_WINDOW.FAT&amp;VAR:ID1=DST-US&amp;window=popup&amp;width=535&amp;height=425&amp;START_MAXIMIZED=FALSE&amp;Y=120"}</definedName>
    <definedName name="_456__FDSAUDITLINK__" hidden="1">{"fdsup://directions/FAT Viewer?action=UPDATE&amp;creator=factSet&amp;DYN_ARGS=true&amp;DOC_NAME=FAT:RGA_ENTRPR_VAL_EV_SOURCE_WINDOW.FAT&amp;VAR:ID1=DST-US&amp;window=popup&amp;width=535&amp;height=425&amp;START_MAXIMIZED=FALSE&amp;Y=120"}</definedName>
    <definedName name="_457__FDSAUDITLINK__" localSheetId="0" hidden="1">{"fdsup://directions/FAT Viewer?action=UPDATE&amp;creator=factSet&amp;DYN_ARGS=true&amp;DOC_NAME=FAT:RGA_ENTRPR_VAL_EV_SOURCE_WINDOW.FAT&amp;VAR:ID1=DST-US&amp;window=popup&amp;width=535&amp;height=425&amp;START_MAXIMIZED=FALSE&amp;Y=120"}</definedName>
    <definedName name="_457__FDSAUDITLINK__" localSheetId="6" hidden="1">{"fdsup://directions/FAT Viewer?action=UPDATE&amp;creator=factSet&amp;DYN_ARGS=true&amp;DOC_NAME=FAT:RGA_ENTRPR_VAL_EV_SOURCE_WINDOW.FAT&amp;VAR:ID1=DST-US&amp;window=popup&amp;width=535&amp;height=425&amp;START_MAXIMIZED=FALSE&amp;Y=120"}</definedName>
    <definedName name="_457__FDSAUDITLINK__" hidden="1">{"fdsup://directions/FAT Viewer?action=UPDATE&amp;creator=factSet&amp;DYN_ARGS=true&amp;DOC_NAME=FAT:RGA_ENTRPR_VAL_EV_SOURCE_WINDOW.FAT&amp;VAR:ID1=DST-US&amp;window=popup&amp;width=535&amp;height=425&amp;START_MAXIMIZED=FALSE&amp;Y=120"}</definedName>
    <definedName name="_458__FDSAUDITLINK__" localSheetId="0" hidden="1">{"fdsup://directions/FAT Viewer?action=UPDATE&amp;creator=factSet&amp;DYN_ARGS=true&amp;DOC_NAME=FAT:RGA_ENTRPR_VAL_EV_SOURCE_WINDOW.FAT&amp;VAR:ID1=DST-US&amp;window=popup&amp;width=535&amp;height=425&amp;START_MAXIMIZED=FALSE&amp;Y=120"}</definedName>
    <definedName name="_458__FDSAUDITLINK__" localSheetId="6" hidden="1">{"fdsup://directions/FAT Viewer?action=UPDATE&amp;creator=factSet&amp;DYN_ARGS=true&amp;DOC_NAME=FAT:RGA_ENTRPR_VAL_EV_SOURCE_WINDOW.FAT&amp;VAR:ID1=DST-US&amp;window=popup&amp;width=535&amp;height=425&amp;START_MAXIMIZED=FALSE&amp;Y=120"}</definedName>
    <definedName name="_458__FDSAUDITLINK__" hidden="1">{"fdsup://directions/FAT Viewer?action=UPDATE&amp;creator=factSet&amp;DYN_ARGS=true&amp;DOC_NAME=FAT:RGA_ENTRPR_VAL_EV_SOURCE_WINDOW.FAT&amp;VAR:ID1=DST-US&amp;window=popup&amp;width=535&amp;height=425&amp;START_MAXIMIZED=FALSE&amp;Y=120"}</definedName>
    <definedName name="_459__FDSAUDITLINK__" localSheetId="0" hidden="1">{"fdsup://directions/FAT Viewer?action=UPDATE&amp;creator=factSet&amp;DYN_ARGS=true&amp;DOC_NAME=FAT:RGA_ENTRPR_VAL_EV_SOURCE_WINDOW.FAT&amp;VAR:ID1=DST-US&amp;window=popup&amp;width=535&amp;height=425&amp;START_MAXIMIZED=FALSE&amp;Y=120"}</definedName>
    <definedName name="_459__FDSAUDITLINK__" localSheetId="6" hidden="1">{"fdsup://directions/FAT Viewer?action=UPDATE&amp;creator=factSet&amp;DYN_ARGS=true&amp;DOC_NAME=FAT:RGA_ENTRPR_VAL_EV_SOURCE_WINDOW.FAT&amp;VAR:ID1=DST-US&amp;window=popup&amp;width=535&amp;height=425&amp;START_MAXIMIZED=FALSE&amp;Y=120"}</definedName>
    <definedName name="_459__FDSAUDITLINK__" hidden="1">{"fdsup://directions/FAT Viewer?action=UPDATE&amp;creator=factSet&amp;DYN_ARGS=true&amp;DOC_NAME=FAT:RGA_ENTRPR_VAL_EV_SOURCE_WINDOW.FAT&amp;VAR:ID1=DST-US&amp;window=popup&amp;width=535&amp;height=425&amp;START_MAXIMIZED=FALSE&amp;Y=120"}</definedName>
    <definedName name="_46__123Graph_BCHART_8" hidden="1">#REF!</definedName>
    <definedName name="_46__123Graph_DCHART_9" hidden="1">#REF!</definedName>
    <definedName name="_46__123Graph_ECHART_16" hidden="1">#REF!</definedName>
    <definedName name="_46__123Graph_LBL_BMKT_MONTH" hidden="1">#REF!</definedName>
    <definedName name="_46__123Graph_X_DM96" hidden="1">#REF!</definedName>
    <definedName name="_46__FDSAUDITLINK__" localSheetId="0" hidden="1">{"fdsup://directions/FAT Viewer?action=UPDATE&amp;creator=factSet&amp;DYN_ARGS=true&amp;DOC_NAME=FAT:RGA_ENTRPR_VAL_EV_SOURCE_WINDOW.FAT&amp;VAR:ID1=&amp;window=popup&amp;width=535&amp;height=425&amp;START_MAXIMIZED=FALSE&amp;Y=120"}</definedName>
    <definedName name="_46__FDSAUDITLINK__" localSheetId="6" hidden="1">{"fdsup://directions/FAT Viewer?action=UPDATE&amp;creator=factSet&amp;DYN_ARGS=true&amp;DOC_NAME=FAT:RGA_ENTRPR_VAL_EV_SOURCE_WINDOW.FAT&amp;VAR:ID1=&amp;window=popup&amp;width=535&amp;height=425&amp;START_MAXIMIZED=FALSE&amp;Y=120"}</definedName>
    <definedName name="_46__FDSAUDITLINK__" hidden="1">{"fdsup://directions/FAT Viewer?action=UPDATE&amp;creator=factSet&amp;DYN_ARGS=true&amp;DOC_NAME=FAT:RGA_ENTRPR_VAL_EV_SOURCE_WINDOW.FAT&amp;VAR:ID1=&amp;window=popup&amp;width=535&amp;height=425&amp;START_MAXIMIZED=FALSE&amp;Y=120"}</definedName>
    <definedName name="_46_0__123Graph_CCHAR" hidden="1">#REF!</definedName>
    <definedName name="_46_0_K" hidden="1">#REF!</definedName>
    <definedName name="_460__123Graph_ECHART_28" hidden="1">#REF!</definedName>
    <definedName name="_460__FDSAUDITLINK__" localSheetId="0" hidden="1">{"fdsup://directions/FAT Viewer?action=UPDATE&amp;creator=factSet&amp;DYN_ARGS=true&amp;DOC_NAME=FAT:RGA_ENTRPR_VAL_EV_SOURCE_WINDOW.FAT&amp;VAR:ID1=DST-US&amp;window=popup&amp;width=535&amp;height=425&amp;START_MAXIMIZED=FALSE&amp;Y=120"}</definedName>
    <definedName name="_460__FDSAUDITLINK__" localSheetId="6" hidden="1">{"fdsup://directions/FAT Viewer?action=UPDATE&amp;creator=factSet&amp;DYN_ARGS=true&amp;DOC_NAME=FAT:RGA_ENTRPR_VAL_EV_SOURCE_WINDOW.FAT&amp;VAR:ID1=DST-US&amp;window=popup&amp;width=535&amp;height=425&amp;START_MAXIMIZED=FALSE&amp;Y=120"}</definedName>
    <definedName name="_460__FDSAUDITLINK__" hidden="1">{"fdsup://directions/FAT Viewer?action=UPDATE&amp;creator=factSet&amp;DYN_ARGS=true&amp;DOC_NAME=FAT:RGA_ENTRPR_VAL_EV_SOURCE_WINDOW.FAT&amp;VAR:ID1=DST-US&amp;window=popup&amp;width=535&amp;height=425&amp;START_MAXIMIZED=FALSE&amp;Y=120"}</definedName>
    <definedName name="_461__FDSAUDITLINK__" localSheetId="0" hidden="1">{"fdsup://directions/FAT Viewer?action=UPDATE&amp;creator=factSet&amp;DYN_ARGS=true&amp;DOC_NAME=FAT:RGA_ENTRPR_VAL_EV_SOURCE_WINDOW.FAT&amp;VAR:ID1=DST-US&amp;window=popup&amp;width=535&amp;height=425&amp;START_MAXIMIZED=FALSE&amp;Y=120"}</definedName>
    <definedName name="_461__FDSAUDITLINK__" localSheetId="6" hidden="1">{"fdsup://directions/FAT Viewer?action=UPDATE&amp;creator=factSet&amp;DYN_ARGS=true&amp;DOC_NAME=FAT:RGA_ENTRPR_VAL_EV_SOURCE_WINDOW.FAT&amp;VAR:ID1=DST-US&amp;window=popup&amp;width=535&amp;height=425&amp;START_MAXIMIZED=FALSE&amp;Y=120"}</definedName>
    <definedName name="_461__FDSAUDITLINK__" hidden="1">{"fdsup://directions/FAT Viewer?action=UPDATE&amp;creator=factSet&amp;DYN_ARGS=true&amp;DOC_NAME=FAT:RGA_ENTRPR_VAL_EV_SOURCE_WINDOW.FAT&amp;VAR:ID1=DST-US&amp;window=popup&amp;width=535&amp;height=425&amp;START_MAXIMIZED=FALSE&amp;Y=120"}</definedName>
    <definedName name="_462__FDSAUDITLINK__" localSheetId="0" hidden="1">{"fdsup://directions/FAT Viewer?action=UPDATE&amp;creator=factSet&amp;DYN_ARGS=true&amp;DOC_NAME=FAT:RGA_ENTRPR_VAL_EV_SOURCE_WINDOW.FAT&amp;VAR:ID1=DST-US&amp;window=popup&amp;width=535&amp;height=425&amp;START_MAXIMIZED=FALSE&amp;Y=120"}</definedName>
    <definedName name="_462__FDSAUDITLINK__" localSheetId="6" hidden="1">{"fdsup://directions/FAT Viewer?action=UPDATE&amp;creator=factSet&amp;DYN_ARGS=true&amp;DOC_NAME=FAT:RGA_ENTRPR_VAL_EV_SOURCE_WINDOW.FAT&amp;VAR:ID1=DST-US&amp;window=popup&amp;width=535&amp;height=425&amp;START_MAXIMIZED=FALSE&amp;Y=120"}</definedName>
    <definedName name="_462__FDSAUDITLINK__" hidden="1">{"fdsup://directions/FAT Viewer?action=UPDATE&amp;creator=factSet&amp;DYN_ARGS=true&amp;DOC_NAME=FAT:RGA_ENTRPR_VAL_EV_SOURCE_WINDOW.FAT&amp;VAR:ID1=DST-US&amp;window=popup&amp;width=535&amp;height=425&amp;START_MAXIMIZED=FALSE&amp;Y=120"}</definedName>
    <definedName name="_463__FDSAUDITLINK__" localSheetId="0" hidden="1">{"fdsup://directions/FAT Viewer?action=UPDATE&amp;creator=factSet&amp;DYN_ARGS=true&amp;DOC_NAME=FAT:RGA_ENTRPR_VAL_EV_SOURCE_WINDOW.FAT&amp;VAR:ID1=ITG-US&amp;window=popup&amp;width=535&amp;height=425&amp;START_MAXIMIZED=FALSE&amp;Y=120"}</definedName>
    <definedName name="_463__FDSAUDITLINK__" localSheetId="6" hidden="1">{"fdsup://directions/FAT Viewer?action=UPDATE&amp;creator=factSet&amp;DYN_ARGS=true&amp;DOC_NAME=FAT:RGA_ENTRPR_VAL_EV_SOURCE_WINDOW.FAT&amp;VAR:ID1=ITG-US&amp;window=popup&amp;width=535&amp;height=425&amp;START_MAXIMIZED=FALSE&amp;Y=120"}</definedName>
    <definedName name="_463__FDSAUDITLINK__" hidden="1">{"fdsup://directions/FAT Viewer?action=UPDATE&amp;creator=factSet&amp;DYN_ARGS=true&amp;DOC_NAME=FAT:RGA_ENTRPR_VAL_EV_SOURCE_WINDOW.FAT&amp;VAR:ID1=ITG-US&amp;window=popup&amp;width=535&amp;height=425&amp;START_MAXIMIZED=FALSE&amp;Y=120"}</definedName>
    <definedName name="_464__FDSAUDITLINK__" localSheetId="0" hidden="1">{"fdsup://directions/FAT Viewer?action=UPDATE&amp;creator=factSet&amp;DYN_ARGS=true&amp;DOC_NAME=FAT:RGA_ENTRPR_VAL_EV_SOURCE_WINDOW.FAT&amp;VAR:ID1=ITG-US&amp;window=popup&amp;width=535&amp;height=425&amp;START_MAXIMIZED=FALSE&amp;Y=120"}</definedName>
    <definedName name="_464__FDSAUDITLINK__" localSheetId="6" hidden="1">{"fdsup://directions/FAT Viewer?action=UPDATE&amp;creator=factSet&amp;DYN_ARGS=true&amp;DOC_NAME=FAT:RGA_ENTRPR_VAL_EV_SOURCE_WINDOW.FAT&amp;VAR:ID1=ITG-US&amp;window=popup&amp;width=535&amp;height=425&amp;START_MAXIMIZED=FALSE&amp;Y=120"}</definedName>
    <definedName name="_464__FDSAUDITLINK__" hidden="1">{"fdsup://directions/FAT Viewer?action=UPDATE&amp;creator=factSet&amp;DYN_ARGS=true&amp;DOC_NAME=FAT:RGA_ENTRPR_VAL_EV_SOURCE_WINDOW.FAT&amp;VAR:ID1=ITG-US&amp;window=popup&amp;width=535&amp;height=425&amp;START_MAXIMIZED=FALSE&amp;Y=120"}</definedName>
    <definedName name="_465__FDSAUDITLINK__" localSheetId="0" hidden="1">{"fdsup://directions/FAT Viewer?action=UPDATE&amp;creator=factSet&amp;DYN_ARGS=true&amp;DOC_NAME=FAT:RGA_ENTRPR_VAL_EV_SOURCE_WINDOW.FAT&amp;VAR:ID1=ITG-US&amp;window=popup&amp;width=535&amp;height=425&amp;START_MAXIMIZED=FALSE&amp;Y=120"}</definedName>
    <definedName name="_465__FDSAUDITLINK__" localSheetId="6" hidden="1">{"fdsup://directions/FAT Viewer?action=UPDATE&amp;creator=factSet&amp;DYN_ARGS=true&amp;DOC_NAME=FAT:RGA_ENTRPR_VAL_EV_SOURCE_WINDOW.FAT&amp;VAR:ID1=ITG-US&amp;window=popup&amp;width=535&amp;height=425&amp;START_MAXIMIZED=FALSE&amp;Y=120"}</definedName>
    <definedName name="_465__FDSAUDITLINK__" hidden="1">{"fdsup://directions/FAT Viewer?action=UPDATE&amp;creator=factSet&amp;DYN_ARGS=true&amp;DOC_NAME=FAT:RGA_ENTRPR_VAL_EV_SOURCE_WINDOW.FAT&amp;VAR:ID1=ITG-US&amp;window=popup&amp;width=535&amp;height=425&amp;START_MAXIMIZED=FALSE&amp;Y=120"}</definedName>
    <definedName name="_466__FDSAUDITLINK__" localSheetId="0" hidden="1">{"fdsup://directions/FAT Viewer?action=UPDATE&amp;creator=factSet&amp;DYN_ARGS=true&amp;DOC_NAME=FAT:RGA_ENTRPR_VAL_EV_SOURCE_WINDOW.FAT&amp;VAR:ID1=ITG-US&amp;window=popup&amp;width=535&amp;height=425&amp;START_MAXIMIZED=FALSE&amp;Y=120"}</definedName>
    <definedName name="_466__FDSAUDITLINK__" localSheetId="6" hidden="1">{"fdsup://directions/FAT Viewer?action=UPDATE&amp;creator=factSet&amp;DYN_ARGS=true&amp;DOC_NAME=FAT:RGA_ENTRPR_VAL_EV_SOURCE_WINDOW.FAT&amp;VAR:ID1=ITG-US&amp;window=popup&amp;width=535&amp;height=425&amp;START_MAXIMIZED=FALSE&amp;Y=120"}</definedName>
    <definedName name="_466__FDSAUDITLINK__" hidden="1">{"fdsup://directions/FAT Viewer?action=UPDATE&amp;creator=factSet&amp;DYN_ARGS=true&amp;DOC_NAME=FAT:RGA_ENTRPR_VAL_EV_SOURCE_WINDOW.FAT&amp;VAR:ID1=ITG-US&amp;window=popup&amp;width=535&amp;height=425&amp;START_MAXIMIZED=FALSE&amp;Y=120"}</definedName>
    <definedName name="_467__FDSAUDITLINK__" localSheetId="0" hidden="1">{"fdsup://directions/FAT Viewer?action=UPDATE&amp;creator=factSet&amp;DYN_ARGS=true&amp;DOC_NAME=FAT:RGA_ENTRPR_VAL_EV_SOURCE_WINDOW.FAT&amp;VAR:ID1=ITG-US&amp;window=popup&amp;width=535&amp;height=425&amp;START_MAXIMIZED=FALSE&amp;Y=120"}</definedName>
    <definedName name="_467__FDSAUDITLINK__" localSheetId="6" hidden="1">{"fdsup://directions/FAT Viewer?action=UPDATE&amp;creator=factSet&amp;DYN_ARGS=true&amp;DOC_NAME=FAT:RGA_ENTRPR_VAL_EV_SOURCE_WINDOW.FAT&amp;VAR:ID1=ITG-US&amp;window=popup&amp;width=535&amp;height=425&amp;START_MAXIMIZED=FALSE&amp;Y=120"}</definedName>
    <definedName name="_467__FDSAUDITLINK__" hidden="1">{"fdsup://directions/FAT Viewer?action=UPDATE&amp;creator=factSet&amp;DYN_ARGS=true&amp;DOC_NAME=FAT:RGA_ENTRPR_VAL_EV_SOURCE_WINDOW.FAT&amp;VAR:ID1=ITG-US&amp;window=popup&amp;width=535&amp;height=425&amp;START_MAXIMIZED=FALSE&amp;Y=120"}</definedName>
    <definedName name="_468__FDSAUDITLINK__" localSheetId="0" hidden="1">{"fdsup://directions/FAT Viewer?action=UPDATE&amp;creator=factSet&amp;DYN_ARGS=true&amp;DOC_NAME=FAT:RGA_ENTRPR_VAL_EV_SOURCE_WINDOW.FAT&amp;VAR:ID1=ITG-US&amp;window=popup&amp;width=535&amp;height=425&amp;START_MAXIMIZED=FALSE&amp;Y=120"}</definedName>
    <definedName name="_468__FDSAUDITLINK__" localSheetId="6" hidden="1">{"fdsup://directions/FAT Viewer?action=UPDATE&amp;creator=factSet&amp;DYN_ARGS=true&amp;DOC_NAME=FAT:RGA_ENTRPR_VAL_EV_SOURCE_WINDOW.FAT&amp;VAR:ID1=ITG-US&amp;window=popup&amp;width=535&amp;height=425&amp;START_MAXIMIZED=FALSE&amp;Y=120"}</definedName>
    <definedName name="_468__FDSAUDITLINK__" hidden="1">{"fdsup://directions/FAT Viewer?action=UPDATE&amp;creator=factSet&amp;DYN_ARGS=true&amp;DOC_NAME=FAT:RGA_ENTRPR_VAL_EV_SOURCE_WINDOW.FAT&amp;VAR:ID1=ITG-US&amp;window=popup&amp;width=535&amp;height=425&amp;START_MAXIMIZED=FALSE&amp;Y=120"}</definedName>
    <definedName name="_469__FDSAUDITLINK__" localSheetId="0" hidden="1">{"fdsup://directions/FAT Viewer?action=UPDATE&amp;creator=factSet&amp;DYN_ARGS=true&amp;DOC_NAME=FAT:RGA_ENTRPR_VAL_EV_SOURCE_WINDOW.FAT&amp;VAR:ID1=ITG-US&amp;window=popup&amp;width=535&amp;height=425&amp;START_MAXIMIZED=FALSE&amp;Y=120"}</definedName>
    <definedName name="_469__FDSAUDITLINK__" localSheetId="6" hidden="1">{"fdsup://directions/FAT Viewer?action=UPDATE&amp;creator=factSet&amp;DYN_ARGS=true&amp;DOC_NAME=FAT:RGA_ENTRPR_VAL_EV_SOURCE_WINDOW.FAT&amp;VAR:ID1=ITG-US&amp;window=popup&amp;width=535&amp;height=425&amp;START_MAXIMIZED=FALSE&amp;Y=120"}</definedName>
    <definedName name="_469__FDSAUDITLINK__" hidden="1">{"fdsup://directions/FAT Viewer?action=UPDATE&amp;creator=factSet&amp;DYN_ARGS=true&amp;DOC_NAME=FAT:RGA_ENTRPR_VAL_EV_SOURCE_WINDOW.FAT&amp;VAR:ID1=ITG-US&amp;window=popup&amp;width=535&amp;height=425&amp;START_MAXIMIZED=FALSE&amp;Y=120"}</definedName>
    <definedName name="_47__123Graph_BCHART_14" hidden="1">#REF!</definedName>
    <definedName name="_47__123Graph_CCHART_10" hidden="1">#REF!</definedName>
    <definedName name="_47__123Graph_ECHART_3" hidden="1">#REF!</definedName>
    <definedName name="_47__123Graph_X_JY9196" hidden="1">#REF!</definedName>
    <definedName name="_47__FDSAUDITLINK__" localSheetId="0" hidden="1">{"fdsup://directions/FAT Viewer?action=UPDATE&amp;creator=factSet&amp;DYN_ARGS=true&amp;DOC_NAME=FAT:RGA_ENTRPR_VAL_EV_SOURCE_WINDOW.FAT&amp;VAR:ID1=BVA-AU&amp;window=popup&amp;width=535&amp;height=425&amp;START_MAXIMIZED=FALSE&amp;Y=120"}</definedName>
    <definedName name="_47__FDSAUDITLINK__" localSheetId="6" hidden="1">{"fdsup://directions/FAT Viewer?action=UPDATE&amp;creator=factSet&amp;DYN_ARGS=true&amp;DOC_NAME=FAT:RGA_ENTRPR_VAL_EV_SOURCE_WINDOW.FAT&amp;VAR:ID1=BVA-AU&amp;window=popup&amp;width=535&amp;height=425&amp;START_MAXIMIZED=FALSE&amp;Y=120"}</definedName>
    <definedName name="_47__FDSAUDITLINK__" hidden="1">{"fdsup://directions/FAT Viewer?action=UPDATE&amp;creator=factSet&amp;DYN_ARGS=true&amp;DOC_NAME=FAT:RGA_ENTRPR_VAL_EV_SOURCE_WINDOW.FAT&amp;VAR:ID1=BVA-AU&amp;window=popup&amp;width=535&amp;height=425&amp;START_MAXIMIZED=FALSE&amp;Y=120"}</definedName>
    <definedName name="_47_0_K" hidden="1">#REF!</definedName>
    <definedName name="_470__FDSAUDITLINK__" localSheetId="0" hidden="1">{"fdsup://directions/FAT Viewer?action=UPDATE&amp;creator=factSet&amp;DYN_ARGS=true&amp;DOC_NAME=FAT:RGA_ENTRPR_VAL_EV_SOURCE_WINDOW.FAT&amp;VAR:ID1=ITG-US&amp;window=popup&amp;width=535&amp;height=425&amp;START_MAXIMIZED=FALSE&amp;Y=120"}</definedName>
    <definedName name="_470__FDSAUDITLINK__" localSheetId="6" hidden="1">{"fdsup://directions/FAT Viewer?action=UPDATE&amp;creator=factSet&amp;DYN_ARGS=true&amp;DOC_NAME=FAT:RGA_ENTRPR_VAL_EV_SOURCE_WINDOW.FAT&amp;VAR:ID1=ITG-US&amp;window=popup&amp;width=535&amp;height=425&amp;START_MAXIMIZED=FALSE&amp;Y=120"}</definedName>
    <definedName name="_470__FDSAUDITLINK__" hidden="1">{"fdsup://directions/FAT Viewer?action=UPDATE&amp;creator=factSet&amp;DYN_ARGS=true&amp;DOC_NAME=FAT:RGA_ENTRPR_VAL_EV_SOURCE_WINDOW.FAT&amp;VAR:ID1=ITG-US&amp;window=popup&amp;width=535&amp;height=425&amp;START_MAXIMIZED=FALSE&amp;Y=120"}</definedName>
    <definedName name="_471__FDSAUDITLINK__" localSheetId="0" hidden="1">{"fdsup://directions/FAT Viewer?action=UPDATE&amp;creator=factSet&amp;DYN_ARGS=true&amp;DOC_NAME=FAT:RGA_ENTRPR_VAL_EV_SOURCE_WINDOW.FAT&amp;VAR:ID1=ITG-US&amp;window=popup&amp;width=535&amp;height=425&amp;START_MAXIMIZED=FALSE&amp;Y=120"}</definedName>
    <definedName name="_471__FDSAUDITLINK__" localSheetId="6" hidden="1">{"fdsup://directions/FAT Viewer?action=UPDATE&amp;creator=factSet&amp;DYN_ARGS=true&amp;DOC_NAME=FAT:RGA_ENTRPR_VAL_EV_SOURCE_WINDOW.FAT&amp;VAR:ID1=ITG-US&amp;window=popup&amp;width=535&amp;height=425&amp;START_MAXIMIZED=FALSE&amp;Y=120"}</definedName>
    <definedName name="_471__FDSAUDITLINK__" hidden="1">{"fdsup://directions/FAT Viewer?action=UPDATE&amp;creator=factSet&amp;DYN_ARGS=true&amp;DOC_NAME=FAT:RGA_ENTRPR_VAL_EV_SOURCE_WINDOW.FAT&amp;VAR:ID1=ITG-US&amp;window=popup&amp;width=535&amp;height=425&amp;START_MAXIMIZED=FALSE&amp;Y=120"}</definedName>
    <definedName name="_472__FDSAUDITLINK__" localSheetId="0" hidden="1">{"fdsup://directions/FAT Viewer?action=UPDATE&amp;creator=factSet&amp;DYN_ARGS=true&amp;DOC_NAME=FAT:RGA_ENTRPR_VAL_EV_SOURCE_WINDOW.FAT&amp;VAR:ID1=ITG-US&amp;window=popup&amp;width=535&amp;height=425&amp;START_MAXIMIZED=FALSE&amp;Y=120"}</definedName>
    <definedName name="_472__FDSAUDITLINK__" localSheetId="6" hidden="1">{"fdsup://directions/FAT Viewer?action=UPDATE&amp;creator=factSet&amp;DYN_ARGS=true&amp;DOC_NAME=FAT:RGA_ENTRPR_VAL_EV_SOURCE_WINDOW.FAT&amp;VAR:ID1=ITG-US&amp;window=popup&amp;width=535&amp;height=425&amp;START_MAXIMIZED=FALSE&amp;Y=120"}</definedName>
    <definedName name="_472__FDSAUDITLINK__" hidden="1">{"fdsup://directions/FAT Viewer?action=UPDATE&amp;creator=factSet&amp;DYN_ARGS=true&amp;DOC_NAME=FAT:RGA_ENTRPR_VAL_EV_SOURCE_WINDOW.FAT&amp;VAR:ID1=ITG-US&amp;window=popup&amp;width=535&amp;height=425&amp;START_MAXIMIZED=FALSE&amp;Y=120"}</definedName>
    <definedName name="_473__123Graph_ECHART_30" hidden="1">#REF!</definedName>
    <definedName name="_473__FDSAUDITLINK__" localSheetId="0" hidden="1">{"fdsup://directions/FAT Viewer?action=UPDATE&amp;creator=factSet&amp;DYN_ARGS=true&amp;DOC_NAME=FAT:RGA_ENTRPR_VAL_EV_SOURCE_WINDOW.FAT&amp;VAR:ID1=ITG-US&amp;window=popup&amp;width=535&amp;height=425&amp;START_MAXIMIZED=FALSE&amp;Y=120"}</definedName>
    <definedName name="_473__FDSAUDITLINK__" localSheetId="6" hidden="1">{"fdsup://directions/FAT Viewer?action=UPDATE&amp;creator=factSet&amp;DYN_ARGS=true&amp;DOC_NAME=FAT:RGA_ENTRPR_VAL_EV_SOURCE_WINDOW.FAT&amp;VAR:ID1=ITG-US&amp;window=popup&amp;width=535&amp;height=425&amp;START_MAXIMIZED=FALSE&amp;Y=120"}</definedName>
    <definedName name="_473__FDSAUDITLINK__" hidden="1">{"fdsup://directions/FAT Viewer?action=UPDATE&amp;creator=factSet&amp;DYN_ARGS=true&amp;DOC_NAME=FAT:RGA_ENTRPR_VAL_EV_SOURCE_WINDOW.FAT&amp;VAR:ID1=ITG-US&amp;window=popup&amp;width=535&amp;height=425&amp;START_MAXIMIZED=FALSE&amp;Y=120"}</definedName>
    <definedName name="_474__FDSAUDITLINK__" localSheetId="0" hidden="1">{"fdsup://directions/FAT Viewer?action=UPDATE&amp;creator=factSet&amp;DYN_ARGS=true&amp;DOC_NAME=FAT:RGA_ENTRPR_VAL_EV_SOURCE_WINDOW.FAT&amp;VAR:ID1=ITG-US&amp;window=popup&amp;width=535&amp;height=425&amp;START_MAXIMIZED=FALSE&amp;Y=120"}</definedName>
    <definedName name="_474__FDSAUDITLINK__" localSheetId="6" hidden="1">{"fdsup://directions/FAT Viewer?action=UPDATE&amp;creator=factSet&amp;DYN_ARGS=true&amp;DOC_NAME=FAT:RGA_ENTRPR_VAL_EV_SOURCE_WINDOW.FAT&amp;VAR:ID1=ITG-US&amp;window=popup&amp;width=535&amp;height=425&amp;START_MAXIMIZED=FALSE&amp;Y=120"}</definedName>
    <definedName name="_474__FDSAUDITLINK__" hidden="1">{"fdsup://directions/FAT Viewer?action=UPDATE&amp;creator=factSet&amp;DYN_ARGS=true&amp;DOC_NAME=FAT:RGA_ENTRPR_VAL_EV_SOURCE_WINDOW.FAT&amp;VAR:ID1=ITG-US&amp;window=popup&amp;width=535&amp;height=425&amp;START_MAXIMIZED=FALSE&amp;Y=120"}</definedName>
    <definedName name="_475__FDSAUDITLINK__" localSheetId="0" hidden="1">{"fdsup://directions/FAT Viewer?action=UPDATE&amp;creator=factSet&amp;DYN_ARGS=true&amp;DOC_NAME=FAT:RGA_ENTRPR_VAL_EV_SOURCE_WINDOW.FAT&amp;VAR:ID1=ITG-US&amp;window=popup&amp;width=535&amp;height=425&amp;START_MAXIMIZED=FALSE&amp;Y=120"}</definedName>
    <definedName name="_475__FDSAUDITLINK__" localSheetId="6" hidden="1">{"fdsup://directions/FAT Viewer?action=UPDATE&amp;creator=factSet&amp;DYN_ARGS=true&amp;DOC_NAME=FAT:RGA_ENTRPR_VAL_EV_SOURCE_WINDOW.FAT&amp;VAR:ID1=ITG-US&amp;window=popup&amp;width=535&amp;height=425&amp;START_MAXIMIZED=FALSE&amp;Y=120"}</definedName>
    <definedName name="_475__FDSAUDITLINK__" hidden="1">{"fdsup://directions/FAT Viewer?action=UPDATE&amp;creator=factSet&amp;DYN_ARGS=true&amp;DOC_NAME=FAT:RGA_ENTRPR_VAL_EV_SOURCE_WINDOW.FAT&amp;VAR:ID1=ITG-US&amp;window=popup&amp;width=535&amp;height=425&amp;START_MAXIMIZED=FALSE&amp;Y=120"}</definedName>
    <definedName name="_476__FDSAUDITLINK__" localSheetId="0" hidden="1">{"fdsup://directions/FAT Viewer?action=UPDATE&amp;creator=factSet&amp;DYN_ARGS=true&amp;DOC_NAME=FAT:RGA_ENTRPR_VAL_EV_SOURCE_WINDOW.FAT&amp;VAR:ID1=ITG-US&amp;window=popup&amp;width=535&amp;height=425&amp;START_MAXIMIZED=FALSE&amp;Y=120"}</definedName>
    <definedName name="_476__FDSAUDITLINK__" localSheetId="6" hidden="1">{"fdsup://directions/FAT Viewer?action=UPDATE&amp;creator=factSet&amp;DYN_ARGS=true&amp;DOC_NAME=FAT:RGA_ENTRPR_VAL_EV_SOURCE_WINDOW.FAT&amp;VAR:ID1=ITG-US&amp;window=popup&amp;width=535&amp;height=425&amp;START_MAXIMIZED=FALSE&amp;Y=120"}</definedName>
    <definedName name="_476__FDSAUDITLINK__" hidden="1">{"fdsup://directions/FAT Viewer?action=UPDATE&amp;creator=factSet&amp;DYN_ARGS=true&amp;DOC_NAME=FAT:RGA_ENTRPR_VAL_EV_SOURCE_WINDOW.FAT&amp;VAR:ID1=ITG-US&amp;window=popup&amp;width=535&amp;height=425&amp;START_MAXIMIZED=FALSE&amp;Y=120"}</definedName>
    <definedName name="_477__FDSAUDITLINK__" localSheetId="0" hidden="1">{"fdsup://directions/FAT Viewer?action=UPDATE&amp;creator=factSet&amp;DYN_ARGS=true&amp;DOC_NAME=FAT:RGA_ENTRPR_VAL_EV_SOURCE_WINDOW.FAT&amp;VAR:ID1=ITG-US&amp;window=popup&amp;width=535&amp;height=425&amp;START_MAXIMIZED=FALSE&amp;Y=120"}</definedName>
    <definedName name="_477__FDSAUDITLINK__" localSheetId="6" hidden="1">{"fdsup://directions/FAT Viewer?action=UPDATE&amp;creator=factSet&amp;DYN_ARGS=true&amp;DOC_NAME=FAT:RGA_ENTRPR_VAL_EV_SOURCE_WINDOW.FAT&amp;VAR:ID1=ITG-US&amp;window=popup&amp;width=535&amp;height=425&amp;START_MAXIMIZED=FALSE&amp;Y=120"}</definedName>
    <definedName name="_477__FDSAUDITLINK__" hidden="1">{"fdsup://directions/FAT Viewer?action=UPDATE&amp;creator=factSet&amp;DYN_ARGS=true&amp;DOC_NAME=FAT:RGA_ENTRPR_VAL_EV_SOURCE_WINDOW.FAT&amp;VAR:ID1=ITG-US&amp;window=popup&amp;width=535&amp;height=425&amp;START_MAXIMIZED=FALSE&amp;Y=120"}</definedName>
    <definedName name="_478__FDSAUDITLINK__" localSheetId="0" hidden="1">{"fdsup://directions/FAT Viewer?action=UPDATE&amp;creator=factSet&amp;DYN_ARGS=true&amp;DOC_NAME=FAT:RGA_ENTRPR_VAL_EV_SOURCE_WINDOW.FAT&amp;VAR:ID1=ITG-US&amp;window=popup&amp;width=535&amp;height=425&amp;START_MAXIMIZED=FALSE&amp;Y=120"}</definedName>
    <definedName name="_478__FDSAUDITLINK__" localSheetId="6" hidden="1">{"fdsup://directions/FAT Viewer?action=UPDATE&amp;creator=factSet&amp;DYN_ARGS=true&amp;DOC_NAME=FAT:RGA_ENTRPR_VAL_EV_SOURCE_WINDOW.FAT&amp;VAR:ID1=ITG-US&amp;window=popup&amp;width=535&amp;height=425&amp;START_MAXIMIZED=FALSE&amp;Y=120"}</definedName>
    <definedName name="_478__FDSAUDITLINK__" hidden="1">{"fdsup://directions/FAT Viewer?action=UPDATE&amp;creator=factSet&amp;DYN_ARGS=true&amp;DOC_NAME=FAT:RGA_ENTRPR_VAL_EV_SOURCE_WINDOW.FAT&amp;VAR:ID1=ITG-US&amp;window=popup&amp;width=535&amp;height=425&amp;START_MAXIMIZED=FALSE&amp;Y=120"}</definedName>
    <definedName name="_479__FDSAUDITLINK__" localSheetId="0" hidden="1">{"fdsup://directions/FAT Viewer?action=UPDATE&amp;creator=factSet&amp;DYN_ARGS=true&amp;DOC_NAME=FAT:RGA_ENTRPR_VAL_EV_SOURCE_WINDOW.FAT&amp;VAR:ID1=ITG-US&amp;window=popup&amp;width=535&amp;height=425&amp;START_MAXIMIZED=FALSE&amp;Y=120"}</definedName>
    <definedName name="_479__FDSAUDITLINK__" localSheetId="6" hidden="1">{"fdsup://directions/FAT Viewer?action=UPDATE&amp;creator=factSet&amp;DYN_ARGS=true&amp;DOC_NAME=FAT:RGA_ENTRPR_VAL_EV_SOURCE_WINDOW.FAT&amp;VAR:ID1=ITG-US&amp;window=popup&amp;width=535&amp;height=425&amp;START_MAXIMIZED=FALSE&amp;Y=120"}</definedName>
    <definedName name="_479__FDSAUDITLINK__" hidden="1">{"fdsup://directions/FAT Viewer?action=UPDATE&amp;creator=factSet&amp;DYN_ARGS=true&amp;DOC_NAME=FAT:RGA_ENTRPR_VAL_EV_SOURCE_WINDOW.FAT&amp;VAR:ID1=ITG-US&amp;window=popup&amp;width=535&amp;height=425&amp;START_MAXIMIZED=FALSE&amp;Y=120"}</definedName>
    <definedName name="_48__123Graph_BCHART_2" hidden="1">#REF!</definedName>
    <definedName name="_48__123Graph_ECHART_17" hidden="1">#REF!</definedName>
    <definedName name="_48__123Graph_LBL_BMKT_YTD" hidden="1">#REF!</definedName>
    <definedName name="_48__123Graph_LBL_BPC_Y" hidden="1">#REF!</definedName>
    <definedName name="_48__123Graph_X_JY95" hidden="1">#REF!</definedName>
    <definedName name="_48__123Graph_XChart_1" hidden="1">#REF!</definedName>
    <definedName name="_48__FDSAUDITLINK__" localSheetId="0" hidden="1">{"fdsup://directions/FAT Viewer?action=UPDATE&amp;creator=factSet&amp;DYN_ARGS=true&amp;DOC_NAME=FAT:RGA_ENTRPR_VAL_EV_SOURCE_WINDOW.FAT&amp;VAR:ID1=5835.00772&amp;window=popup&amp;width=535&amp;height=425&amp;START_MAXIMIZED=FALSE&amp;Y=120"}</definedName>
    <definedName name="_48__FDSAUDITLINK__" localSheetId="6" hidden="1">{"fdsup://directions/FAT Viewer?action=UPDATE&amp;creator=factSet&amp;DYN_ARGS=true&amp;DOC_NAME=FAT:RGA_ENTRPR_VAL_EV_SOURCE_WINDOW.FAT&amp;VAR:ID1=5835.00772&amp;window=popup&amp;width=535&amp;height=425&amp;START_MAXIMIZED=FALSE&amp;Y=120"}</definedName>
    <definedName name="_48__FDSAUDITLINK__" hidden="1">{"fdsup://directions/FAT Viewer?action=UPDATE&amp;creator=factSet&amp;DYN_ARGS=true&amp;DOC_NAME=FAT:RGA_ENTRPR_VAL_EV_SOURCE_WINDOW.FAT&amp;VAR:ID1=5835.00772&amp;window=popup&amp;width=535&amp;height=425&amp;START_MAXIMIZED=FALSE&amp;Y=120"}</definedName>
    <definedName name="_48_0_K" hidden="1">#REF!</definedName>
    <definedName name="_480__FDSAUDITLINK__" localSheetId="0" hidden="1">{"fdsup://directions/FAT Viewer?action=UPDATE&amp;creator=factSet&amp;DYN_ARGS=true&amp;DOC_NAME=FAT:RGA_ENTRPR_VAL_EV_SOURCE_WINDOW.FAT&amp;VAR:ID1=ITG-US&amp;window=popup&amp;width=535&amp;height=425&amp;START_MAXIMIZED=FALSE&amp;Y=120"}</definedName>
    <definedName name="_480__FDSAUDITLINK__" localSheetId="6" hidden="1">{"fdsup://directions/FAT Viewer?action=UPDATE&amp;creator=factSet&amp;DYN_ARGS=true&amp;DOC_NAME=FAT:RGA_ENTRPR_VAL_EV_SOURCE_WINDOW.FAT&amp;VAR:ID1=ITG-US&amp;window=popup&amp;width=535&amp;height=425&amp;START_MAXIMIZED=FALSE&amp;Y=120"}</definedName>
    <definedName name="_480__FDSAUDITLINK__" hidden="1">{"fdsup://directions/FAT Viewer?action=UPDATE&amp;creator=factSet&amp;DYN_ARGS=true&amp;DOC_NAME=FAT:RGA_ENTRPR_VAL_EV_SOURCE_WINDOW.FAT&amp;VAR:ID1=ITG-US&amp;window=popup&amp;width=535&amp;height=425&amp;START_MAXIMIZED=FALSE&amp;Y=120"}</definedName>
    <definedName name="_481__FDSAUDITLINK__" localSheetId="0" hidden="1">{"fdsup://directions/FAT Viewer?action=UPDATE&amp;creator=factSet&amp;DYN_ARGS=true&amp;DOC_NAME=FAT:RGA_ENTRPR_VAL_EV_SOURCE_WINDOW.FAT&amp;VAR:ID1=ITG-US&amp;window=popup&amp;width=535&amp;height=425&amp;START_MAXIMIZED=FALSE&amp;Y=120"}</definedName>
    <definedName name="_481__FDSAUDITLINK__" localSheetId="6" hidden="1">{"fdsup://directions/FAT Viewer?action=UPDATE&amp;creator=factSet&amp;DYN_ARGS=true&amp;DOC_NAME=FAT:RGA_ENTRPR_VAL_EV_SOURCE_WINDOW.FAT&amp;VAR:ID1=ITG-US&amp;window=popup&amp;width=535&amp;height=425&amp;START_MAXIMIZED=FALSE&amp;Y=120"}</definedName>
    <definedName name="_481__FDSAUDITLINK__" hidden="1">{"fdsup://directions/FAT Viewer?action=UPDATE&amp;creator=factSet&amp;DYN_ARGS=true&amp;DOC_NAME=FAT:RGA_ENTRPR_VAL_EV_SOURCE_WINDOW.FAT&amp;VAR:ID1=ITG-US&amp;window=popup&amp;width=535&amp;height=425&amp;START_MAXIMIZED=FALSE&amp;Y=120"}</definedName>
    <definedName name="_482__FDSAUDITLINK__" localSheetId="0" hidden="1">{"fdsup://directions/FAT Viewer?action=UPDATE&amp;creator=factSet&amp;DYN_ARGS=true&amp;DOC_NAME=FAT:RGA_ENTRPR_VAL_EV_SOURCE_WINDOW.FAT&amp;VAR:ID1=ITG-US&amp;window=popup&amp;width=535&amp;height=425&amp;START_MAXIMIZED=FALSE&amp;Y=120"}</definedName>
    <definedName name="_482__FDSAUDITLINK__" localSheetId="6" hidden="1">{"fdsup://directions/FAT Viewer?action=UPDATE&amp;creator=factSet&amp;DYN_ARGS=true&amp;DOC_NAME=FAT:RGA_ENTRPR_VAL_EV_SOURCE_WINDOW.FAT&amp;VAR:ID1=ITG-US&amp;window=popup&amp;width=535&amp;height=425&amp;START_MAXIMIZED=FALSE&amp;Y=120"}</definedName>
    <definedName name="_482__FDSAUDITLINK__" hidden="1">{"fdsup://directions/FAT Viewer?action=UPDATE&amp;creator=factSet&amp;DYN_ARGS=true&amp;DOC_NAME=FAT:RGA_ENTRPR_VAL_EV_SOURCE_WINDOW.FAT&amp;VAR:ID1=ITG-US&amp;window=popup&amp;width=535&amp;height=425&amp;START_MAXIMIZED=FALSE&amp;Y=120"}</definedName>
    <definedName name="_483__FDSAUDITLINK__" localSheetId="0" hidden="1">{"fdsup://directions/FAT Viewer?action=UPDATE&amp;creator=factSet&amp;DYN_ARGS=true&amp;DOC_NAME=FAT:RGA_ENTRPR_VAL_EV_SOURCE_WINDOW.FAT&amp;VAR:ID1=ITG-US&amp;window=popup&amp;width=535&amp;height=425&amp;START_MAXIMIZED=FALSE&amp;Y=120"}</definedName>
    <definedName name="_483__FDSAUDITLINK__" localSheetId="6" hidden="1">{"fdsup://directions/FAT Viewer?action=UPDATE&amp;creator=factSet&amp;DYN_ARGS=true&amp;DOC_NAME=FAT:RGA_ENTRPR_VAL_EV_SOURCE_WINDOW.FAT&amp;VAR:ID1=ITG-US&amp;window=popup&amp;width=535&amp;height=425&amp;START_MAXIMIZED=FALSE&amp;Y=120"}</definedName>
    <definedName name="_483__FDSAUDITLINK__" hidden="1">{"fdsup://directions/FAT Viewer?action=UPDATE&amp;creator=factSet&amp;DYN_ARGS=true&amp;DOC_NAME=FAT:RGA_ENTRPR_VAL_EV_SOURCE_WINDOW.FAT&amp;VAR:ID1=ITG-US&amp;window=popup&amp;width=535&amp;height=425&amp;START_MAXIMIZED=FALSE&amp;Y=120"}</definedName>
    <definedName name="_484__FDSAUDITLINK__" localSheetId="0" hidden="1">{"fdsup://directions/FAT Viewer?action=UPDATE&amp;creator=factSet&amp;DYN_ARGS=true&amp;DOC_NAME=FAT:RGA_ENTRPR_VAL_EV_SOURCE_WINDOW.FAT&amp;VAR:ID1=ITG-US&amp;window=popup&amp;width=535&amp;height=425&amp;START_MAXIMIZED=FALSE&amp;Y=120"}</definedName>
    <definedName name="_484__FDSAUDITLINK__" localSheetId="6" hidden="1">{"fdsup://directions/FAT Viewer?action=UPDATE&amp;creator=factSet&amp;DYN_ARGS=true&amp;DOC_NAME=FAT:RGA_ENTRPR_VAL_EV_SOURCE_WINDOW.FAT&amp;VAR:ID1=ITG-US&amp;window=popup&amp;width=535&amp;height=425&amp;START_MAXIMIZED=FALSE&amp;Y=120"}</definedName>
    <definedName name="_484__FDSAUDITLINK__" hidden="1">{"fdsup://directions/FAT Viewer?action=UPDATE&amp;creator=factSet&amp;DYN_ARGS=true&amp;DOC_NAME=FAT:RGA_ENTRPR_VAL_EV_SOURCE_WINDOW.FAT&amp;VAR:ID1=ITG-US&amp;window=popup&amp;width=535&amp;height=425&amp;START_MAXIMIZED=FALSE&amp;Y=120"}</definedName>
    <definedName name="_485__FDSAUDITLINK__" localSheetId="0" hidden="1">{"fdsup://directions/FAT Viewer?action=UPDATE&amp;creator=factSet&amp;DYN_ARGS=true&amp;DOC_NAME=FAT:RGA_ENTRPR_VAL_EV_SOURCE_WINDOW.FAT&amp;VAR:ID1=ADVS-US&amp;window=popup&amp;width=535&amp;height=425&amp;START_MAXIMIZED=FALSE&amp;Y=120"}</definedName>
    <definedName name="_485__FDSAUDITLINK__" localSheetId="6" hidden="1">{"fdsup://directions/FAT Viewer?action=UPDATE&amp;creator=factSet&amp;DYN_ARGS=true&amp;DOC_NAME=FAT:RGA_ENTRPR_VAL_EV_SOURCE_WINDOW.FAT&amp;VAR:ID1=ADVS-US&amp;window=popup&amp;width=535&amp;height=425&amp;START_MAXIMIZED=FALSE&amp;Y=120"}</definedName>
    <definedName name="_485__FDSAUDITLINK__" hidden="1">{"fdsup://directions/FAT Viewer?action=UPDATE&amp;creator=factSet&amp;DYN_ARGS=true&amp;DOC_NAME=FAT:RGA_ENTRPR_VAL_EV_SOURCE_WINDOW.FAT&amp;VAR:ID1=ADVS-US&amp;window=popup&amp;width=535&amp;height=425&amp;START_MAXIMIZED=FALSE&amp;Y=120"}</definedName>
    <definedName name="_486__123Graph_ECHART_31" hidden="1">#REF!</definedName>
    <definedName name="_486__FDSAUDITLINK__" localSheetId="0" hidden="1">{"fdsup://directions/FAT Viewer?action=UPDATE&amp;creator=factSet&amp;DYN_ARGS=true&amp;DOC_NAME=FAT:RGA_ENTRPR_VAL_EV_SOURCE_WINDOW.FAT&amp;VAR:ID1=ADVS-US&amp;window=popup&amp;width=535&amp;height=425&amp;START_MAXIMIZED=FALSE&amp;Y=120"}</definedName>
    <definedName name="_486__FDSAUDITLINK__" localSheetId="6" hidden="1">{"fdsup://directions/FAT Viewer?action=UPDATE&amp;creator=factSet&amp;DYN_ARGS=true&amp;DOC_NAME=FAT:RGA_ENTRPR_VAL_EV_SOURCE_WINDOW.FAT&amp;VAR:ID1=ADVS-US&amp;window=popup&amp;width=535&amp;height=425&amp;START_MAXIMIZED=FALSE&amp;Y=120"}</definedName>
    <definedName name="_486__FDSAUDITLINK__" hidden="1">{"fdsup://directions/FAT Viewer?action=UPDATE&amp;creator=factSet&amp;DYN_ARGS=true&amp;DOC_NAME=FAT:RGA_ENTRPR_VAL_EV_SOURCE_WINDOW.FAT&amp;VAR:ID1=ADVS-US&amp;window=popup&amp;width=535&amp;height=425&amp;START_MAXIMIZED=FALSE&amp;Y=120"}</definedName>
    <definedName name="_487__FDSAUDITLINK__" localSheetId="0" hidden="1">{"fdsup://directions/FAT Viewer?action=UPDATE&amp;creator=factSet&amp;DYN_ARGS=true&amp;DOC_NAME=FAT:RGA_ENTRPR_VAL_EV_SOURCE_WINDOW.FAT&amp;VAR:ID1=ADVS-US&amp;window=popup&amp;width=535&amp;height=425&amp;START_MAXIMIZED=FALSE&amp;Y=120"}</definedName>
    <definedName name="_487__FDSAUDITLINK__" localSheetId="6" hidden="1">{"fdsup://directions/FAT Viewer?action=UPDATE&amp;creator=factSet&amp;DYN_ARGS=true&amp;DOC_NAME=FAT:RGA_ENTRPR_VAL_EV_SOURCE_WINDOW.FAT&amp;VAR:ID1=ADVS-US&amp;window=popup&amp;width=535&amp;height=425&amp;START_MAXIMIZED=FALSE&amp;Y=120"}</definedName>
    <definedName name="_487__FDSAUDITLINK__" hidden="1">{"fdsup://directions/FAT Viewer?action=UPDATE&amp;creator=factSet&amp;DYN_ARGS=true&amp;DOC_NAME=FAT:RGA_ENTRPR_VAL_EV_SOURCE_WINDOW.FAT&amp;VAR:ID1=ADVS-US&amp;window=popup&amp;width=535&amp;height=425&amp;START_MAXIMIZED=FALSE&amp;Y=120"}</definedName>
    <definedName name="_488__FDSAUDITLINK__" localSheetId="0" hidden="1">{"fdsup://directions/FAT Viewer?action=UPDATE&amp;creator=factSet&amp;DYN_ARGS=true&amp;DOC_NAME=FAT:RGA_ENTRPR_VAL_EV_SOURCE_WINDOW.FAT&amp;VAR:ID1=ADVS-US&amp;window=popup&amp;width=535&amp;height=425&amp;START_MAXIMIZED=FALSE&amp;Y=120"}</definedName>
    <definedName name="_488__FDSAUDITLINK__" localSheetId="6" hidden="1">{"fdsup://directions/FAT Viewer?action=UPDATE&amp;creator=factSet&amp;DYN_ARGS=true&amp;DOC_NAME=FAT:RGA_ENTRPR_VAL_EV_SOURCE_WINDOW.FAT&amp;VAR:ID1=ADVS-US&amp;window=popup&amp;width=535&amp;height=425&amp;START_MAXIMIZED=FALSE&amp;Y=120"}</definedName>
    <definedName name="_488__FDSAUDITLINK__" hidden="1">{"fdsup://directions/FAT Viewer?action=UPDATE&amp;creator=factSet&amp;DYN_ARGS=true&amp;DOC_NAME=FAT:RGA_ENTRPR_VAL_EV_SOURCE_WINDOW.FAT&amp;VAR:ID1=ADVS-US&amp;window=popup&amp;width=535&amp;height=425&amp;START_MAXIMIZED=FALSE&amp;Y=120"}</definedName>
    <definedName name="_489__FDSAUDITLINK__" localSheetId="0" hidden="1">{"fdsup://directions/FAT Viewer?action=UPDATE&amp;creator=factSet&amp;DYN_ARGS=true&amp;DOC_NAME=FAT:RGA_ENTRPR_VAL_EV_SOURCE_WINDOW.FAT&amp;VAR:ID1=ADVS-US&amp;window=popup&amp;width=535&amp;height=425&amp;START_MAXIMIZED=FALSE&amp;Y=120"}</definedName>
    <definedName name="_489__FDSAUDITLINK__" localSheetId="6" hidden="1">{"fdsup://directions/FAT Viewer?action=UPDATE&amp;creator=factSet&amp;DYN_ARGS=true&amp;DOC_NAME=FAT:RGA_ENTRPR_VAL_EV_SOURCE_WINDOW.FAT&amp;VAR:ID1=ADVS-US&amp;window=popup&amp;width=535&amp;height=425&amp;START_MAXIMIZED=FALSE&amp;Y=120"}</definedName>
    <definedName name="_489__FDSAUDITLINK__" hidden="1">{"fdsup://directions/FAT Viewer?action=UPDATE&amp;creator=factSet&amp;DYN_ARGS=true&amp;DOC_NAME=FAT:RGA_ENTRPR_VAL_EV_SOURCE_WINDOW.FAT&amp;VAR:ID1=ADVS-US&amp;window=popup&amp;width=535&amp;height=425&amp;START_MAXIMIZED=FALSE&amp;Y=120"}</definedName>
    <definedName name="_49__123Graph_Aｸﾞﾗﾌ_3" hidden="1">#REF!</definedName>
    <definedName name="_49__123Graph_X_BP9196" hidden="1">#REF!</definedName>
    <definedName name="_49__123Graph_X_JY96" hidden="1">#REF!</definedName>
    <definedName name="_49__FDSAUDITLINK__" localSheetId="0" hidden="1">{"fdsup://directions/FAT Viewer?action=UPDATE&amp;creator=factSet&amp;DYN_ARGS=true&amp;DOC_NAME=FAT:RGA_ENTRPR_VAL_EV_SOURCE_WINDOW.FAT&amp;VAR:ID1=810.1449&amp;window=popup&amp;width=535&amp;height=425&amp;START_MAXIMIZED=FALSE&amp;Y=120"}</definedName>
    <definedName name="_49__FDSAUDITLINK__" localSheetId="6" hidden="1">{"fdsup://directions/FAT Viewer?action=UPDATE&amp;creator=factSet&amp;DYN_ARGS=true&amp;DOC_NAME=FAT:RGA_ENTRPR_VAL_EV_SOURCE_WINDOW.FAT&amp;VAR:ID1=810.1449&amp;window=popup&amp;width=535&amp;height=425&amp;START_MAXIMIZED=FALSE&amp;Y=120"}</definedName>
    <definedName name="_49__FDSAUDITLINK__" hidden="1">{"fdsup://directions/FAT Viewer?action=UPDATE&amp;creator=factSet&amp;DYN_ARGS=true&amp;DOC_NAME=FAT:RGA_ENTRPR_VAL_EV_SOURCE_WINDOW.FAT&amp;VAR:ID1=810.1449&amp;window=popup&amp;width=535&amp;height=425&amp;START_MAXIMIZED=FALSE&amp;Y=120"}</definedName>
    <definedName name="_49_0__123Graph_DCHAR" hidden="1">#REF!</definedName>
    <definedName name="_490__FDSAUDITLINK__" localSheetId="0" hidden="1">{"fdsup://directions/FAT Viewer?action=UPDATE&amp;creator=factSet&amp;DYN_ARGS=true&amp;DOC_NAME=FAT:RGA_ENTRPR_VAL_EV_SOURCE_WINDOW.FAT&amp;VAR:ID1=ADVS-US&amp;window=popup&amp;width=535&amp;height=425&amp;START_MAXIMIZED=FALSE&amp;Y=120"}</definedName>
    <definedName name="_490__FDSAUDITLINK__" localSheetId="6" hidden="1">{"fdsup://directions/FAT Viewer?action=UPDATE&amp;creator=factSet&amp;DYN_ARGS=true&amp;DOC_NAME=FAT:RGA_ENTRPR_VAL_EV_SOURCE_WINDOW.FAT&amp;VAR:ID1=ADVS-US&amp;window=popup&amp;width=535&amp;height=425&amp;START_MAXIMIZED=FALSE&amp;Y=120"}</definedName>
    <definedName name="_490__FDSAUDITLINK__" hidden="1">{"fdsup://directions/FAT Viewer?action=UPDATE&amp;creator=factSet&amp;DYN_ARGS=true&amp;DOC_NAME=FAT:RGA_ENTRPR_VAL_EV_SOURCE_WINDOW.FAT&amp;VAR:ID1=ADVS-US&amp;window=popup&amp;width=535&amp;height=425&amp;START_MAXIMIZED=FALSE&amp;Y=120"}</definedName>
    <definedName name="_491__FDSAUDITLINK__" localSheetId="0" hidden="1">{"fdsup://directions/FAT Viewer?action=UPDATE&amp;creator=factSet&amp;DYN_ARGS=true&amp;DOC_NAME=FAT:RGA_ENTRPR_VAL_EV_SOURCE_WINDOW.FAT&amp;VAR:ID1=ADVS-US&amp;window=popup&amp;width=535&amp;height=425&amp;START_MAXIMIZED=FALSE&amp;Y=120"}</definedName>
    <definedName name="_491__FDSAUDITLINK__" localSheetId="6" hidden="1">{"fdsup://directions/FAT Viewer?action=UPDATE&amp;creator=factSet&amp;DYN_ARGS=true&amp;DOC_NAME=FAT:RGA_ENTRPR_VAL_EV_SOURCE_WINDOW.FAT&amp;VAR:ID1=ADVS-US&amp;window=popup&amp;width=535&amp;height=425&amp;START_MAXIMIZED=FALSE&amp;Y=120"}</definedName>
    <definedName name="_491__FDSAUDITLINK__" hidden="1">{"fdsup://directions/FAT Viewer?action=UPDATE&amp;creator=factSet&amp;DYN_ARGS=true&amp;DOC_NAME=FAT:RGA_ENTRPR_VAL_EV_SOURCE_WINDOW.FAT&amp;VAR:ID1=ADVS-US&amp;window=popup&amp;width=535&amp;height=425&amp;START_MAXIMIZED=FALSE&amp;Y=120"}</definedName>
    <definedName name="_492__FDSAUDITLINK__" localSheetId="0" hidden="1">{"fdsup://directions/FAT Viewer?action=UPDATE&amp;creator=factSet&amp;DYN_ARGS=true&amp;DOC_NAME=FAT:RGA_ENTRPR_VAL_EV_SOURCE_WINDOW.FAT&amp;VAR:ID1=ADVS-US&amp;window=popup&amp;width=535&amp;height=425&amp;START_MAXIMIZED=FALSE&amp;Y=120"}</definedName>
    <definedName name="_492__FDSAUDITLINK__" localSheetId="6" hidden="1">{"fdsup://directions/FAT Viewer?action=UPDATE&amp;creator=factSet&amp;DYN_ARGS=true&amp;DOC_NAME=FAT:RGA_ENTRPR_VAL_EV_SOURCE_WINDOW.FAT&amp;VAR:ID1=ADVS-US&amp;window=popup&amp;width=535&amp;height=425&amp;START_MAXIMIZED=FALSE&amp;Y=120"}</definedName>
    <definedName name="_492__FDSAUDITLINK__" hidden="1">{"fdsup://directions/FAT Viewer?action=UPDATE&amp;creator=factSet&amp;DYN_ARGS=true&amp;DOC_NAME=FAT:RGA_ENTRPR_VAL_EV_SOURCE_WINDOW.FAT&amp;VAR:ID1=ADVS-US&amp;window=popup&amp;width=535&amp;height=425&amp;START_MAXIMIZED=FALSE&amp;Y=120"}</definedName>
    <definedName name="_493__FDSAUDITLINK__" localSheetId="0" hidden="1">{"fdsup://directions/FAT Viewer?action=UPDATE&amp;creator=factSet&amp;DYN_ARGS=true&amp;DOC_NAME=FAT:RGA_ENTRPR_VAL_EV_SOURCE_WINDOW.FAT&amp;VAR:ID1=ADVS-US&amp;window=popup&amp;width=535&amp;height=425&amp;START_MAXIMIZED=FALSE&amp;Y=120"}</definedName>
    <definedName name="_493__FDSAUDITLINK__" localSheetId="6" hidden="1">{"fdsup://directions/FAT Viewer?action=UPDATE&amp;creator=factSet&amp;DYN_ARGS=true&amp;DOC_NAME=FAT:RGA_ENTRPR_VAL_EV_SOURCE_WINDOW.FAT&amp;VAR:ID1=ADVS-US&amp;window=popup&amp;width=535&amp;height=425&amp;START_MAXIMIZED=FALSE&amp;Y=120"}</definedName>
    <definedName name="_493__FDSAUDITLINK__" hidden="1">{"fdsup://directions/FAT Viewer?action=UPDATE&amp;creator=factSet&amp;DYN_ARGS=true&amp;DOC_NAME=FAT:RGA_ENTRPR_VAL_EV_SOURCE_WINDOW.FAT&amp;VAR:ID1=ADVS-US&amp;window=popup&amp;width=535&amp;height=425&amp;START_MAXIMIZED=FALSE&amp;Y=120"}</definedName>
    <definedName name="_494__FDSAUDITLINK__" localSheetId="0" hidden="1">{"fdsup://directions/FAT Viewer?action=UPDATE&amp;creator=factSet&amp;DYN_ARGS=true&amp;DOC_NAME=FAT:RGA_ENTRPR_VAL_EV_SOURCE_WINDOW.FAT&amp;VAR:ID1=ADVS-US&amp;window=popup&amp;width=535&amp;height=425&amp;START_MAXIMIZED=FALSE&amp;Y=120"}</definedName>
    <definedName name="_494__FDSAUDITLINK__" localSheetId="6" hidden="1">{"fdsup://directions/FAT Viewer?action=UPDATE&amp;creator=factSet&amp;DYN_ARGS=true&amp;DOC_NAME=FAT:RGA_ENTRPR_VAL_EV_SOURCE_WINDOW.FAT&amp;VAR:ID1=ADVS-US&amp;window=popup&amp;width=535&amp;height=425&amp;START_MAXIMIZED=FALSE&amp;Y=120"}</definedName>
    <definedName name="_494__FDSAUDITLINK__" hidden="1">{"fdsup://directions/FAT Viewer?action=UPDATE&amp;creator=factSet&amp;DYN_ARGS=true&amp;DOC_NAME=FAT:RGA_ENTRPR_VAL_EV_SOURCE_WINDOW.FAT&amp;VAR:ID1=ADVS-US&amp;window=popup&amp;width=535&amp;height=425&amp;START_MAXIMIZED=FALSE&amp;Y=120"}</definedName>
    <definedName name="_495__FDSAUDITLINK__" localSheetId="0" hidden="1">{"fdsup://directions/FAT Viewer?action=UPDATE&amp;creator=factSet&amp;DYN_ARGS=true&amp;DOC_NAME=FAT:RGA_ENTRPR_VAL_EV_SOURCE_WINDOW.FAT&amp;VAR:ID1=ADVS-US&amp;window=popup&amp;width=535&amp;height=425&amp;START_MAXIMIZED=FALSE&amp;Y=120"}</definedName>
    <definedName name="_495__FDSAUDITLINK__" localSheetId="6" hidden="1">{"fdsup://directions/FAT Viewer?action=UPDATE&amp;creator=factSet&amp;DYN_ARGS=true&amp;DOC_NAME=FAT:RGA_ENTRPR_VAL_EV_SOURCE_WINDOW.FAT&amp;VAR:ID1=ADVS-US&amp;window=popup&amp;width=535&amp;height=425&amp;START_MAXIMIZED=FALSE&amp;Y=120"}</definedName>
    <definedName name="_495__FDSAUDITLINK__" hidden="1">{"fdsup://directions/FAT Viewer?action=UPDATE&amp;creator=factSet&amp;DYN_ARGS=true&amp;DOC_NAME=FAT:RGA_ENTRPR_VAL_EV_SOURCE_WINDOW.FAT&amp;VAR:ID1=ADVS-US&amp;window=popup&amp;width=535&amp;height=425&amp;START_MAXIMIZED=FALSE&amp;Y=120"}</definedName>
    <definedName name="_496__FDSAUDITLINK__" localSheetId="0" hidden="1">{"fdsup://directions/FAT Viewer?action=UPDATE&amp;creator=factSet&amp;DYN_ARGS=true&amp;DOC_NAME=FAT:RGA_ENTRPR_VAL_EV_SOURCE_WINDOW.FAT&amp;VAR:ID1=ADVS-US&amp;window=popup&amp;width=535&amp;height=425&amp;START_MAXIMIZED=FALSE&amp;Y=120"}</definedName>
    <definedName name="_496__FDSAUDITLINK__" localSheetId="6" hidden="1">{"fdsup://directions/FAT Viewer?action=UPDATE&amp;creator=factSet&amp;DYN_ARGS=true&amp;DOC_NAME=FAT:RGA_ENTRPR_VAL_EV_SOURCE_WINDOW.FAT&amp;VAR:ID1=ADVS-US&amp;window=popup&amp;width=535&amp;height=425&amp;START_MAXIMIZED=FALSE&amp;Y=120"}</definedName>
    <definedName name="_496__FDSAUDITLINK__" hidden="1">{"fdsup://directions/FAT Viewer?action=UPDATE&amp;creator=factSet&amp;DYN_ARGS=true&amp;DOC_NAME=FAT:RGA_ENTRPR_VAL_EV_SOURCE_WINDOW.FAT&amp;VAR:ID1=ADVS-US&amp;window=popup&amp;width=535&amp;height=425&amp;START_MAXIMIZED=FALSE&amp;Y=120"}</definedName>
    <definedName name="_497__FDSAUDITLINK__" localSheetId="0" hidden="1">{"fdsup://directions/FAT Viewer?action=UPDATE&amp;creator=factSet&amp;DYN_ARGS=true&amp;DOC_NAME=FAT:RGA_ENTRPR_VAL_EV_SOURCE_WINDOW.FAT&amp;VAR:ID1=ADVS-US&amp;window=popup&amp;width=535&amp;height=425&amp;START_MAXIMIZED=FALSE&amp;Y=120"}</definedName>
    <definedName name="_497__FDSAUDITLINK__" localSheetId="6" hidden="1">{"fdsup://directions/FAT Viewer?action=UPDATE&amp;creator=factSet&amp;DYN_ARGS=true&amp;DOC_NAME=FAT:RGA_ENTRPR_VAL_EV_SOURCE_WINDOW.FAT&amp;VAR:ID1=ADVS-US&amp;window=popup&amp;width=535&amp;height=425&amp;START_MAXIMIZED=FALSE&amp;Y=120"}</definedName>
    <definedName name="_497__FDSAUDITLINK__" hidden="1">{"fdsup://directions/FAT Viewer?action=UPDATE&amp;creator=factSet&amp;DYN_ARGS=true&amp;DOC_NAME=FAT:RGA_ENTRPR_VAL_EV_SOURCE_WINDOW.FAT&amp;VAR:ID1=ADVS-US&amp;window=popup&amp;width=535&amp;height=425&amp;START_MAXIMIZED=FALSE&amp;Y=120"}</definedName>
    <definedName name="_498__FDSAUDITLINK__" localSheetId="0" hidden="1">{"fdsup://directions/FAT Viewer?action=UPDATE&amp;creator=factSet&amp;DYN_ARGS=true&amp;DOC_NAME=FAT:RGA_ENTRPR_VAL_EV_SOURCE_WINDOW.FAT&amp;VAR:ID1=ADVS-US&amp;window=popup&amp;width=535&amp;height=425&amp;START_MAXIMIZED=FALSE&amp;Y=120"}</definedName>
    <definedName name="_498__FDSAUDITLINK__" localSheetId="6" hidden="1">{"fdsup://directions/FAT Viewer?action=UPDATE&amp;creator=factSet&amp;DYN_ARGS=true&amp;DOC_NAME=FAT:RGA_ENTRPR_VAL_EV_SOURCE_WINDOW.FAT&amp;VAR:ID1=ADVS-US&amp;window=popup&amp;width=535&amp;height=425&amp;START_MAXIMIZED=FALSE&amp;Y=120"}</definedName>
    <definedName name="_498__FDSAUDITLINK__" hidden="1">{"fdsup://directions/FAT Viewer?action=UPDATE&amp;creator=factSet&amp;DYN_ARGS=true&amp;DOC_NAME=FAT:RGA_ENTRPR_VAL_EV_SOURCE_WINDOW.FAT&amp;VAR:ID1=ADVS-US&amp;window=popup&amp;width=535&amp;height=425&amp;START_MAXIMIZED=FALSE&amp;Y=120"}</definedName>
    <definedName name="_499__123Graph_ECHART_32" hidden="1">#REF!</definedName>
    <definedName name="_499__FDSAUDITLINK__" localSheetId="0" hidden="1">{"fdsup://directions/FAT Viewer?action=UPDATE&amp;creator=factSet&amp;DYN_ARGS=true&amp;DOC_NAME=FAT:RGA_ENTRPR_VAL_EV_SOURCE_WINDOW.FAT&amp;VAR:ID1=ADVS-US&amp;window=popup&amp;width=535&amp;height=425&amp;START_MAXIMIZED=FALSE&amp;Y=120"}</definedName>
    <definedName name="_499__FDSAUDITLINK__" localSheetId="6" hidden="1">{"fdsup://directions/FAT Viewer?action=UPDATE&amp;creator=factSet&amp;DYN_ARGS=true&amp;DOC_NAME=FAT:RGA_ENTRPR_VAL_EV_SOURCE_WINDOW.FAT&amp;VAR:ID1=ADVS-US&amp;window=popup&amp;width=535&amp;height=425&amp;START_MAXIMIZED=FALSE&amp;Y=120"}</definedName>
    <definedName name="_499__FDSAUDITLINK__" hidden="1">{"fdsup://directions/FAT Viewer?action=UPDATE&amp;creator=factSet&amp;DYN_ARGS=true&amp;DOC_NAME=FAT:RGA_ENTRPR_VAL_EV_SOURCE_WINDOW.FAT&amp;VAR:ID1=ADVS-US&amp;window=popup&amp;width=535&amp;height=425&amp;START_MAXIMIZED=FALSE&amp;Y=120"}</definedName>
    <definedName name="_4PGE_1">#REF!</definedName>
    <definedName name="_5_???205">#REF!</definedName>
    <definedName name="_5__123Graph_A_DM95" hidden="1">#REF!</definedName>
    <definedName name="_5__123Graph_ACHART_11" hidden="1">#REF!</definedName>
    <definedName name="_5__123Graph_ACHART_12" hidden="1">#REF!</definedName>
    <definedName name="_5__123Graph_ACHART_18" hidden="1">#REF!</definedName>
    <definedName name="_5__123Graph_ACHART_28" hidden="1">#REF!</definedName>
    <definedName name="_5__123Graph_ACHART_3" hidden="1">#REF!</definedName>
    <definedName name="_5__123Graph_AChart_4" hidden="1">#REF!</definedName>
    <definedName name="_5__123Graph_AR_M_MARG" hidden="1">#REF!</definedName>
    <definedName name="_5__123Graph_BCHART_13" hidden="1">#REF!</definedName>
    <definedName name="_5__123Graph_CCHART_14" hidden="1">#REF!</definedName>
    <definedName name="_5__123Graph_DCHART_1" hidden="1">#REF!</definedName>
    <definedName name="_5__123Graph_LBL_AMKT_MONTH" hidden="1">#REF!</definedName>
    <definedName name="_5__123Graph_LBL_BCRACK_Y" hidden="1">#REF!</definedName>
    <definedName name="_5__123Graph_XCHART_1" hidden="1">#REF!</definedName>
    <definedName name="_5__FDSAUDITLINK__" localSheetId="0" hidden="1">{"fdsup://Directions/FAT Viewer?action=UPDATE&amp;creator=factset&amp;DOC_NAME=fat:reuters_annual_source_window.fat&amp;display_string=Audit&amp;DYN_ARGS=TRUE&amp;VAR:ID1=569878&amp;VAR:RCODE=NIBX&amp;VAR:SDATE=20071299&amp;VAR:FREQ=Y&amp;VAR:RELITEM=RF&amp;VAR:CURRENCY=&amp;VAR:CURRSOURCE=EXSHARE&amp;VA","R:NATFREQ=ANNUAL&amp;VAR:RFIELD=FINALIZED&amp;VAR:DB_TYPE=&amp;VAR:UNITS=M&amp;window=popup&amp;width=450&amp;height=300&amp;START_MAXIMIZED=FALSE"}</definedName>
    <definedName name="_5__FDSAUDITLINK__" localSheetId="6" hidden="1">{"fdsup://Directions/FAT Viewer?action=UPDATE&amp;creator=factset&amp;DOC_NAME=fat:reuters_annual_source_window.fat&amp;display_string=Audit&amp;DYN_ARGS=TRUE&amp;VAR:ID1=569878&amp;VAR:RCODE=NIBX&amp;VAR:SDATE=20071299&amp;VAR:FREQ=Y&amp;VAR:RELITEM=RF&amp;VAR:CURRENCY=&amp;VAR:CURRSOURCE=EXSHARE&amp;VA","R:NATFREQ=ANNUAL&amp;VAR:RFIELD=FINALIZED&amp;VAR:DB_TYPE=&amp;VAR:UNITS=M&amp;window=popup&amp;width=450&amp;height=300&amp;START_MAXIMIZED=FALSE"}</definedName>
    <definedName name="_5__FDSAUDITLINK__" hidden="1">{"fdsup://Directions/FAT Viewer?action=UPDATE&amp;creator=factset&amp;DOC_NAME=fat:reuters_annual_source_window.fat&amp;display_string=Audit&amp;DYN_ARGS=TRUE&amp;VAR:ID1=569878&amp;VAR:RCODE=NIBX&amp;VAR:SDATE=20071299&amp;VAR:FREQ=Y&amp;VAR:RELITEM=RF&amp;VAR:CURRENCY=&amp;VAR:CURRSOURCE=EXSHARE&amp;VA","R:NATFREQ=ANNUAL&amp;VAR:RFIELD=FINALIZED&amp;VAR:DB_TYPE=&amp;VAR:UNITS=M&amp;window=popup&amp;width=450&amp;height=300&amp;START_MAXIMIZED=FALSE"}</definedName>
    <definedName name="_5_0">#REF!</definedName>
    <definedName name="_50__123Graph_BCHART_16" hidden="1">#REF!</definedName>
    <definedName name="_50__123Graph_ECHART_22" hidden="1">#REF!</definedName>
    <definedName name="_50__123Graph_X_BP95" hidden="1">#REF!</definedName>
    <definedName name="_50__123Graph_X_KD9196" hidden="1">#REF!</definedName>
    <definedName name="_50__FDSAUDITLINK__" localSheetId="0" hidden="1">{"fdsup://directions/FAT Viewer?action=UPDATE&amp;creator=factSet&amp;DYN_ARGS=true&amp;DOC_NAME=FAT:RGA_ENTRPR_VAL_EV_SOURCE_WINDOW.FAT&amp;VAR:ID1=EV&amp;window=popup&amp;width=535&amp;height=425&amp;START_MAXIMIZED=FALSE&amp;Y=120"}</definedName>
    <definedName name="_50__FDSAUDITLINK__" localSheetId="6" hidden="1">{"fdsup://directions/FAT Viewer?action=UPDATE&amp;creator=factSet&amp;DYN_ARGS=true&amp;DOC_NAME=FAT:RGA_ENTRPR_VAL_EV_SOURCE_WINDOW.FAT&amp;VAR:ID1=EV&amp;window=popup&amp;width=535&amp;height=425&amp;START_MAXIMIZED=FALSE&amp;Y=120"}</definedName>
    <definedName name="_50__FDSAUDITLINK__" hidden="1">{"fdsup://directions/FAT Viewer?action=UPDATE&amp;creator=factSet&amp;DYN_ARGS=true&amp;DOC_NAME=FAT:RGA_ENTRPR_VAL_EV_SOURCE_WINDOW.FAT&amp;VAR:ID1=EV&amp;window=popup&amp;width=535&amp;height=425&amp;START_MAXIMIZED=FALSE&amp;Y=120"}</definedName>
    <definedName name="_50_0__123Graph_DCHAR" hidden="1">#REF!</definedName>
    <definedName name="_50_0Rwvu.Pag" hidden="1">#REF!</definedName>
    <definedName name="_500__FDSAUDITLINK__" localSheetId="0" hidden="1">{"fdsup://directions/FAT Viewer?action=UPDATE&amp;creator=factSet&amp;DYN_ARGS=true&amp;DOC_NAME=FAT:RGA_ENTRPR_VAL_EV_SOURCE_WINDOW.FAT&amp;VAR:ID1=ADVS-US&amp;window=popup&amp;width=535&amp;height=425&amp;START_MAXIMIZED=FALSE&amp;Y=120"}</definedName>
    <definedName name="_500__FDSAUDITLINK__" localSheetId="6" hidden="1">{"fdsup://directions/FAT Viewer?action=UPDATE&amp;creator=factSet&amp;DYN_ARGS=true&amp;DOC_NAME=FAT:RGA_ENTRPR_VAL_EV_SOURCE_WINDOW.FAT&amp;VAR:ID1=ADVS-US&amp;window=popup&amp;width=535&amp;height=425&amp;START_MAXIMIZED=FALSE&amp;Y=120"}</definedName>
    <definedName name="_500__FDSAUDITLINK__" hidden="1">{"fdsup://directions/FAT Viewer?action=UPDATE&amp;creator=factSet&amp;DYN_ARGS=true&amp;DOC_NAME=FAT:RGA_ENTRPR_VAL_EV_SOURCE_WINDOW.FAT&amp;VAR:ID1=ADVS-US&amp;window=popup&amp;width=535&amp;height=425&amp;START_MAXIMIZED=FALSE&amp;Y=120"}</definedName>
    <definedName name="_501__FDSAUDITLINK__" localSheetId="0" hidden="1">{"fdsup://directions/FAT Viewer?action=UPDATE&amp;creator=factSet&amp;DYN_ARGS=true&amp;DOC_NAME=FAT:RGA_ENTRPR_VAL_EV_SOURCE_WINDOW.FAT&amp;VAR:ID1=ADVS-US&amp;window=popup&amp;width=535&amp;height=425&amp;START_MAXIMIZED=FALSE&amp;Y=120"}</definedName>
    <definedName name="_501__FDSAUDITLINK__" localSheetId="6" hidden="1">{"fdsup://directions/FAT Viewer?action=UPDATE&amp;creator=factSet&amp;DYN_ARGS=true&amp;DOC_NAME=FAT:RGA_ENTRPR_VAL_EV_SOURCE_WINDOW.FAT&amp;VAR:ID1=ADVS-US&amp;window=popup&amp;width=535&amp;height=425&amp;START_MAXIMIZED=FALSE&amp;Y=120"}</definedName>
    <definedName name="_501__FDSAUDITLINK__" hidden="1">{"fdsup://directions/FAT Viewer?action=UPDATE&amp;creator=factSet&amp;DYN_ARGS=true&amp;DOC_NAME=FAT:RGA_ENTRPR_VAL_EV_SOURCE_WINDOW.FAT&amp;VAR:ID1=ADVS-US&amp;window=popup&amp;width=535&amp;height=425&amp;START_MAXIMIZED=FALSE&amp;Y=120"}</definedName>
    <definedName name="_502__FDSAUDITLINK__" localSheetId="0" hidden="1">{"fdsup://directions/FAT Viewer?action=UPDATE&amp;creator=factSet&amp;DYN_ARGS=true&amp;DOC_NAME=FAT:RGA_ENTRPR_VAL_EV_SOURCE_WINDOW.FAT&amp;VAR:ID1=ADVS-US&amp;window=popup&amp;width=535&amp;height=425&amp;START_MAXIMIZED=FALSE&amp;Y=120"}</definedName>
    <definedName name="_502__FDSAUDITLINK__" localSheetId="6" hidden="1">{"fdsup://directions/FAT Viewer?action=UPDATE&amp;creator=factSet&amp;DYN_ARGS=true&amp;DOC_NAME=FAT:RGA_ENTRPR_VAL_EV_SOURCE_WINDOW.FAT&amp;VAR:ID1=ADVS-US&amp;window=popup&amp;width=535&amp;height=425&amp;START_MAXIMIZED=FALSE&amp;Y=120"}</definedName>
    <definedName name="_502__FDSAUDITLINK__" hidden="1">{"fdsup://directions/FAT Viewer?action=UPDATE&amp;creator=factSet&amp;DYN_ARGS=true&amp;DOC_NAME=FAT:RGA_ENTRPR_VAL_EV_SOURCE_WINDOW.FAT&amp;VAR:ID1=ADVS-US&amp;window=popup&amp;width=535&amp;height=425&amp;START_MAXIMIZED=FALSE&amp;Y=120"}</definedName>
    <definedName name="_503__FDSAUDITLINK__" localSheetId="0" hidden="1">{"fdsup://directions/FAT Viewer?action=UPDATE&amp;creator=factSet&amp;DYN_ARGS=true&amp;DOC_NAME=FAT:RGA_ENTRPR_VAL_EV_SOURCE_WINDOW.FAT&amp;VAR:ID1=ADVS-US&amp;window=popup&amp;width=535&amp;height=425&amp;START_MAXIMIZED=FALSE&amp;Y=120"}</definedName>
    <definedName name="_503__FDSAUDITLINK__" localSheetId="6" hidden="1">{"fdsup://directions/FAT Viewer?action=UPDATE&amp;creator=factSet&amp;DYN_ARGS=true&amp;DOC_NAME=FAT:RGA_ENTRPR_VAL_EV_SOURCE_WINDOW.FAT&amp;VAR:ID1=ADVS-US&amp;window=popup&amp;width=535&amp;height=425&amp;START_MAXIMIZED=FALSE&amp;Y=120"}</definedName>
    <definedName name="_503__FDSAUDITLINK__" hidden="1">{"fdsup://directions/FAT Viewer?action=UPDATE&amp;creator=factSet&amp;DYN_ARGS=true&amp;DOC_NAME=FAT:RGA_ENTRPR_VAL_EV_SOURCE_WINDOW.FAT&amp;VAR:ID1=ADVS-US&amp;window=popup&amp;width=535&amp;height=425&amp;START_MAXIMIZED=FALSE&amp;Y=120"}</definedName>
    <definedName name="_504__FDSAUDITLINK__" localSheetId="0" hidden="1">{"fdsup://directions/FAT Viewer?action=UPDATE&amp;creator=factSet&amp;DYN_ARGS=true&amp;DOC_NAME=FAT:RGA_ENTRPR_VAL_EV_SOURCE_WINDOW.FAT&amp;VAR:ID1=ADVS-US&amp;window=popup&amp;width=535&amp;height=425&amp;START_MAXIMIZED=FALSE&amp;Y=120"}</definedName>
    <definedName name="_504__FDSAUDITLINK__" localSheetId="6" hidden="1">{"fdsup://directions/FAT Viewer?action=UPDATE&amp;creator=factSet&amp;DYN_ARGS=true&amp;DOC_NAME=FAT:RGA_ENTRPR_VAL_EV_SOURCE_WINDOW.FAT&amp;VAR:ID1=ADVS-US&amp;window=popup&amp;width=535&amp;height=425&amp;START_MAXIMIZED=FALSE&amp;Y=120"}</definedName>
    <definedName name="_504__FDSAUDITLINK__" hidden="1">{"fdsup://directions/FAT Viewer?action=UPDATE&amp;creator=factSet&amp;DYN_ARGS=true&amp;DOC_NAME=FAT:RGA_ENTRPR_VAL_EV_SOURCE_WINDOW.FAT&amp;VAR:ID1=ADVS-US&amp;window=popup&amp;width=535&amp;height=425&amp;START_MAXIMIZED=FALSE&amp;Y=120"}</definedName>
    <definedName name="_505__FDSAUDITLINK__" localSheetId="0" hidden="1">{"fdsup://directions/FAT Viewer?action=UPDATE&amp;creator=factSet&amp;DYN_ARGS=true&amp;DOC_NAME=FAT:RGA_ENTRPR_VAL_EV_SOURCE_WINDOW.FAT&amp;VAR:ID1=ADVS-US&amp;window=popup&amp;width=535&amp;height=425&amp;START_MAXIMIZED=FALSE&amp;Y=120"}</definedName>
    <definedName name="_505__FDSAUDITLINK__" localSheetId="6" hidden="1">{"fdsup://directions/FAT Viewer?action=UPDATE&amp;creator=factSet&amp;DYN_ARGS=true&amp;DOC_NAME=FAT:RGA_ENTRPR_VAL_EV_SOURCE_WINDOW.FAT&amp;VAR:ID1=ADVS-US&amp;window=popup&amp;width=535&amp;height=425&amp;START_MAXIMIZED=FALSE&amp;Y=120"}</definedName>
    <definedName name="_505__FDSAUDITLINK__" hidden="1">{"fdsup://directions/FAT Viewer?action=UPDATE&amp;creator=factSet&amp;DYN_ARGS=true&amp;DOC_NAME=FAT:RGA_ENTRPR_VAL_EV_SOURCE_WINDOW.FAT&amp;VAR:ID1=ADVS-US&amp;window=popup&amp;width=535&amp;height=425&amp;START_MAXIMIZED=FALSE&amp;Y=120"}</definedName>
    <definedName name="_506__FDSAUDITLINK__" localSheetId="0" hidden="1">{"fdsup://directions/FAT Viewer?action=UPDATE&amp;creator=factSet&amp;DYN_ARGS=true&amp;DOC_NAME=FAT:RGA_ENTRPR_VAL_EV_SOURCE_WINDOW.FAT&amp;VAR:ID1=ADVS-US&amp;window=popup&amp;width=535&amp;height=425&amp;START_MAXIMIZED=FALSE&amp;Y=120"}</definedName>
    <definedName name="_506__FDSAUDITLINK__" localSheetId="6" hidden="1">{"fdsup://directions/FAT Viewer?action=UPDATE&amp;creator=factSet&amp;DYN_ARGS=true&amp;DOC_NAME=FAT:RGA_ENTRPR_VAL_EV_SOURCE_WINDOW.FAT&amp;VAR:ID1=ADVS-US&amp;window=popup&amp;width=535&amp;height=425&amp;START_MAXIMIZED=FALSE&amp;Y=120"}</definedName>
    <definedName name="_506__FDSAUDITLINK__" hidden="1">{"fdsup://directions/FAT Viewer?action=UPDATE&amp;creator=factSet&amp;DYN_ARGS=true&amp;DOC_NAME=FAT:RGA_ENTRPR_VAL_EV_SOURCE_WINDOW.FAT&amp;VAR:ID1=ADVS-US&amp;window=popup&amp;width=535&amp;height=425&amp;START_MAXIMIZED=FALSE&amp;Y=120"}</definedName>
    <definedName name="_507__FDSAUDITLINK__" localSheetId="0" hidden="1">{"fdsup://directions/FAT Viewer?action=UPDATE&amp;creator=factSet&amp;DYN_ARGS=true&amp;DOC_NAME=FAT:RGA_ENTRPR_VAL_EV_SOURCE_WINDOW.FAT&amp;VAR:ID1=IRE-AU&amp;window=popup&amp;width=535&amp;height=425&amp;START_MAXIMIZED=FALSE&amp;Y=120"}</definedName>
    <definedName name="_507__FDSAUDITLINK__" localSheetId="6" hidden="1">{"fdsup://directions/FAT Viewer?action=UPDATE&amp;creator=factSet&amp;DYN_ARGS=true&amp;DOC_NAME=FAT:RGA_ENTRPR_VAL_EV_SOURCE_WINDOW.FAT&amp;VAR:ID1=IRE-AU&amp;window=popup&amp;width=535&amp;height=425&amp;START_MAXIMIZED=FALSE&amp;Y=120"}</definedName>
    <definedName name="_507__FDSAUDITLINK__" hidden="1">{"fdsup://directions/FAT Viewer?action=UPDATE&amp;creator=factSet&amp;DYN_ARGS=true&amp;DOC_NAME=FAT:RGA_ENTRPR_VAL_EV_SOURCE_WINDOW.FAT&amp;VAR:ID1=IRE-AU&amp;window=popup&amp;width=535&amp;height=425&amp;START_MAXIMIZED=FALSE&amp;Y=120"}</definedName>
    <definedName name="_508__FDSAUDITLINK__" localSheetId="0" hidden="1">{"fdsup://directions/FAT Viewer?action=UPDATE&amp;creator=factSet&amp;DYN_ARGS=true&amp;DOC_NAME=FAT:RGA_ENTRPR_VAL_EV_SOURCE_WINDOW.FAT&amp;VAR:ID1=IRE-AU&amp;window=popup&amp;width=535&amp;height=425&amp;START_MAXIMIZED=FALSE&amp;Y=120"}</definedName>
    <definedName name="_508__FDSAUDITLINK__" localSheetId="6" hidden="1">{"fdsup://directions/FAT Viewer?action=UPDATE&amp;creator=factSet&amp;DYN_ARGS=true&amp;DOC_NAME=FAT:RGA_ENTRPR_VAL_EV_SOURCE_WINDOW.FAT&amp;VAR:ID1=IRE-AU&amp;window=popup&amp;width=535&amp;height=425&amp;START_MAXIMIZED=FALSE&amp;Y=120"}</definedName>
    <definedName name="_508__FDSAUDITLINK__" hidden="1">{"fdsup://directions/FAT Viewer?action=UPDATE&amp;creator=factSet&amp;DYN_ARGS=true&amp;DOC_NAME=FAT:RGA_ENTRPR_VAL_EV_SOURCE_WINDOW.FAT&amp;VAR:ID1=IRE-AU&amp;window=popup&amp;width=535&amp;height=425&amp;START_MAXIMIZED=FALSE&amp;Y=120"}</definedName>
    <definedName name="_509__FDSAUDITLINK__" localSheetId="0" hidden="1">{"fdsup://directions/FAT Viewer?action=UPDATE&amp;creator=factSet&amp;DYN_ARGS=true&amp;DOC_NAME=FAT:RGA_ENTRPR_VAL_EV_SOURCE_WINDOW.FAT&amp;VAR:ID1=IRE-AU&amp;window=popup&amp;width=535&amp;height=425&amp;START_MAXIMIZED=FALSE&amp;Y=120"}</definedName>
    <definedName name="_509__FDSAUDITLINK__" localSheetId="6" hidden="1">{"fdsup://directions/FAT Viewer?action=UPDATE&amp;creator=factSet&amp;DYN_ARGS=true&amp;DOC_NAME=FAT:RGA_ENTRPR_VAL_EV_SOURCE_WINDOW.FAT&amp;VAR:ID1=IRE-AU&amp;window=popup&amp;width=535&amp;height=425&amp;START_MAXIMIZED=FALSE&amp;Y=120"}</definedName>
    <definedName name="_509__FDSAUDITLINK__" hidden="1">{"fdsup://directions/FAT Viewer?action=UPDATE&amp;creator=factSet&amp;DYN_ARGS=true&amp;DOC_NAME=FAT:RGA_ENTRPR_VAL_EV_SOURCE_WINDOW.FAT&amp;VAR:ID1=IRE-AU&amp;window=popup&amp;width=535&amp;height=425&amp;START_MAXIMIZED=FALSE&amp;Y=120"}</definedName>
    <definedName name="_51__123Graph_X_BP96" hidden="1">#REF!</definedName>
    <definedName name="_51__123Graph_X_KD95" hidden="1">#REF!</definedName>
    <definedName name="_51__FDSAUDITLINK__" localSheetId="0" hidden="1">{"fdsup://directions/FAT Viewer?action=UPDATE&amp;creator=factSet&amp;DYN_ARGS=true&amp;DOC_NAME=FAT:RGA_ENTRPR_VAL_EV_SOURCE_WINDOW.FAT&amp;VAR:ID1=&amp;window=popup&amp;width=535&amp;height=425&amp;START_MAXIMIZED=FALSE&amp;Y=120"}</definedName>
    <definedName name="_51__FDSAUDITLINK__" localSheetId="6" hidden="1">{"fdsup://directions/FAT Viewer?action=UPDATE&amp;creator=factSet&amp;DYN_ARGS=true&amp;DOC_NAME=FAT:RGA_ENTRPR_VAL_EV_SOURCE_WINDOW.FAT&amp;VAR:ID1=&amp;window=popup&amp;width=535&amp;height=425&amp;START_MAXIMIZED=FALSE&amp;Y=120"}</definedName>
    <definedName name="_51__FDSAUDITLINK__" hidden="1">{"fdsup://directions/FAT Viewer?action=UPDATE&amp;creator=factSet&amp;DYN_ARGS=true&amp;DOC_NAME=FAT:RGA_ENTRPR_VAL_EV_SOURCE_WINDOW.FAT&amp;VAR:ID1=&amp;window=popup&amp;width=535&amp;height=425&amp;START_MAXIMIZED=FALSE&amp;Y=120"}</definedName>
    <definedName name="_51_0__FDS_HYPERLINK_TOGGLE_STATE_" hidden="1">#N/A</definedName>
    <definedName name="_510__FDSAUDITLINK__" localSheetId="0" hidden="1">{"fdsup://directions/FAT Viewer?action=UPDATE&amp;creator=factSet&amp;DYN_ARGS=true&amp;DOC_NAME=FAT:RGA_ENTRPR_VAL_EV_SOURCE_WINDOW.FAT&amp;VAR:ID1=IRE-AU&amp;window=popup&amp;width=535&amp;height=425&amp;START_MAXIMIZED=FALSE&amp;Y=120"}</definedName>
    <definedName name="_510__FDSAUDITLINK__" localSheetId="6" hidden="1">{"fdsup://directions/FAT Viewer?action=UPDATE&amp;creator=factSet&amp;DYN_ARGS=true&amp;DOC_NAME=FAT:RGA_ENTRPR_VAL_EV_SOURCE_WINDOW.FAT&amp;VAR:ID1=IRE-AU&amp;window=popup&amp;width=535&amp;height=425&amp;START_MAXIMIZED=FALSE&amp;Y=120"}</definedName>
    <definedName name="_510__FDSAUDITLINK__" hidden="1">{"fdsup://directions/FAT Viewer?action=UPDATE&amp;creator=factSet&amp;DYN_ARGS=true&amp;DOC_NAME=FAT:RGA_ENTRPR_VAL_EV_SOURCE_WINDOW.FAT&amp;VAR:ID1=IRE-AU&amp;window=popup&amp;width=535&amp;height=425&amp;START_MAXIMIZED=FALSE&amp;Y=120"}</definedName>
    <definedName name="_511__FDSAUDITLINK__" localSheetId="0" hidden="1">{"fdsup://directions/FAT Viewer?action=UPDATE&amp;creator=factSet&amp;DYN_ARGS=true&amp;DOC_NAME=FAT:RGA_ENTRPR_VAL_EV_SOURCE_WINDOW.FAT&amp;VAR:ID1=IRE-AU&amp;window=popup&amp;width=535&amp;height=425&amp;START_MAXIMIZED=FALSE&amp;Y=120"}</definedName>
    <definedName name="_511__FDSAUDITLINK__" localSheetId="6" hidden="1">{"fdsup://directions/FAT Viewer?action=UPDATE&amp;creator=factSet&amp;DYN_ARGS=true&amp;DOC_NAME=FAT:RGA_ENTRPR_VAL_EV_SOURCE_WINDOW.FAT&amp;VAR:ID1=IRE-AU&amp;window=popup&amp;width=535&amp;height=425&amp;START_MAXIMIZED=FALSE&amp;Y=120"}</definedName>
    <definedName name="_511__FDSAUDITLINK__" hidden="1">{"fdsup://directions/FAT Viewer?action=UPDATE&amp;creator=factSet&amp;DYN_ARGS=true&amp;DOC_NAME=FAT:RGA_ENTRPR_VAL_EV_SOURCE_WINDOW.FAT&amp;VAR:ID1=IRE-AU&amp;window=popup&amp;width=535&amp;height=425&amp;START_MAXIMIZED=FALSE&amp;Y=120"}</definedName>
    <definedName name="_512__123Graph_ECHART_34" hidden="1">#REF!</definedName>
    <definedName name="_512__FDSAUDITLINK__" localSheetId="0" hidden="1">{"fdsup://directions/FAT Viewer?action=UPDATE&amp;creator=factSet&amp;DYN_ARGS=true&amp;DOC_NAME=FAT:RGA_ENTRPR_VAL_EV_SOURCE_WINDOW.FAT&amp;VAR:ID1=IRE-AU&amp;window=popup&amp;width=535&amp;height=425&amp;START_MAXIMIZED=FALSE&amp;Y=120"}</definedName>
    <definedName name="_512__FDSAUDITLINK__" localSheetId="6" hidden="1">{"fdsup://directions/FAT Viewer?action=UPDATE&amp;creator=factSet&amp;DYN_ARGS=true&amp;DOC_NAME=FAT:RGA_ENTRPR_VAL_EV_SOURCE_WINDOW.FAT&amp;VAR:ID1=IRE-AU&amp;window=popup&amp;width=535&amp;height=425&amp;START_MAXIMIZED=FALSE&amp;Y=120"}</definedName>
    <definedName name="_512__FDSAUDITLINK__" hidden="1">{"fdsup://directions/FAT Viewer?action=UPDATE&amp;creator=factSet&amp;DYN_ARGS=true&amp;DOC_NAME=FAT:RGA_ENTRPR_VAL_EV_SOURCE_WINDOW.FAT&amp;VAR:ID1=IRE-AU&amp;window=popup&amp;width=535&amp;height=425&amp;START_MAXIMIZED=FALSE&amp;Y=120"}</definedName>
    <definedName name="_513__FDSAUDITLINK__" localSheetId="0" hidden="1">{"fdsup://directions/FAT Viewer?action=UPDATE&amp;creator=factSet&amp;DYN_ARGS=true&amp;DOC_NAME=FAT:RGA_ENTRPR_VAL_EV_SOURCE_WINDOW.FAT&amp;VAR:ID1=IRE-AU&amp;window=popup&amp;width=535&amp;height=425&amp;START_MAXIMIZED=FALSE&amp;Y=120"}</definedName>
    <definedName name="_513__FDSAUDITLINK__" localSheetId="6" hidden="1">{"fdsup://directions/FAT Viewer?action=UPDATE&amp;creator=factSet&amp;DYN_ARGS=true&amp;DOC_NAME=FAT:RGA_ENTRPR_VAL_EV_SOURCE_WINDOW.FAT&amp;VAR:ID1=IRE-AU&amp;window=popup&amp;width=535&amp;height=425&amp;START_MAXIMIZED=FALSE&amp;Y=120"}</definedName>
    <definedName name="_513__FDSAUDITLINK__" hidden="1">{"fdsup://directions/FAT Viewer?action=UPDATE&amp;creator=factSet&amp;DYN_ARGS=true&amp;DOC_NAME=FAT:RGA_ENTRPR_VAL_EV_SOURCE_WINDOW.FAT&amp;VAR:ID1=IRE-AU&amp;window=popup&amp;width=535&amp;height=425&amp;START_MAXIMIZED=FALSE&amp;Y=120"}</definedName>
    <definedName name="_514__FDSAUDITLINK__" localSheetId="0" hidden="1">{"fdsup://directions/FAT Viewer?action=UPDATE&amp;creator=factSet&amp;DYN_ARGS=true&amp;DOC_NAME=FAT:RGA_ENTRPR_VAL_EV_SOURCE_WINDOW.FAT&amp;VAR:ID1=IRE-AU&amp;window=popup&amp;width=535&amp;height=425&amp;START_MAXIMIZED=FALSE&amp;Y=120"}</definedName>
    <definedName name="_514__FDSAUDITLINK__" localSheetId="6" hidden="1">{"fdsup://directions/FAT Viewer?action=UPDATE&amp;creator=factSet&amp;DYN_ARGS=true&amp;DOC_NAME=FAT:RGA_ENTRPR_VAL_EV_SOURCE_WINDOW.FAT&amp;VAR:ID1=IRE-AU&amp;window=popup&amp;width=535&amp;height=425&amp;START_MAXIMIZED=FALSE&amp;Y=120"}</definedName>
    <definedName name="_514__FDSAUDITLINK__" hidden="1">{"fdsup://directions/FAT Viewer?action=UPDATE&amp;creator=factSet&amp;DYN_ARGS=true&amp;DOC_NAME=FAT:RGA_ENTRPR_VAL_EV_SOURCE_WINDOW.FAT&amp;VAR:ID1=IRE-AU&amp;window=popup&amp;width=535&amp;height=425&amp;START_MAXIMIZED=FALSE&amp;Y=120"}</definedName>
    <definedName name="_515__FDSAUDITLINK__" localSheetId="0" hidden="1">{"fdsup://directions/FAT Viewer?action=UPDATE&amp;creator=factSet&amp;DYN_ARGS=true&amp;DOC_NAME=FAT:RGA_ENTRPR_VAL_EV_SOURCE_WINDOW.FAT&amp;VAR:ID1=IRE-AU&amp;window=popup&amp;width=535&amp;height=425&amp;START_MAXIMIZED=FALSE&amp;Y=120"}</definedName>
    <definedName name="_515__FDSAUDITLINK__" localSheetId="6" hidden="1">{"fdsup://directions/FAT Viewer?action=UPDATE&amp;creator=factSet&amp;DYN_ARGS=true&amp;DOC_NAME=FAT:RGA_ENTRPR_VAL_EV_SOURCE_WINDOW.FAT&amp;VAR:ID1=IRE-AU&amp;window=popup&amp;width=535&amp;height=425&amp;START_MAXIMIZED=FALSE&amp;Y=120"}</definedName>
    <definedName name="_515__FDSAUDITLINK__" hidden="1">{"fdsup://directions/FAT Viewer?action=UPDATE&amp;creator=factSet&amp;DYN_ARGS=true&amp;DOC_NAME=FAT:RGA_ENTRPR_VAL_EV_SOURCE_WINDOW.FAT&amp;VAR:ID1=IRE-AU&amp;window=popup&amp;width=535&amp;height=425&amp;START_MAXIMIZED=FALSE&amp;Y=120"}</definedName>
    <definedName name="_516__FDSAUDITLINK__" localSheetId="0" hidden="1">{"fdsup://directions/FAT Viewer?action=UPDATE&amp;creator=factSet&amp;DYN_ARGS=true&amp;DOC_NAME=FAT:RGA_ENTRPR_VAL_EV_SOURCE_WINDOW.FAT&amp;VAR:ID1=IRE-AU&amp;window=popup&amp;width=535&amp;height=425&amp;START_MAXIMIZED=FALSE&amp;Y=120"}</definedName>
    <definedName name="_516__FDSAUDITLINK__" localSheetId="6" hidden="1">{"fdsup://directions/FAT Viewer?action=UPDATE&amp;creator=factSet&amp;DYN_ARGS=true&amp;DOC_NAME=FAT:RGA_ENTRPR_VAL_EV_SOURCE_WINDOW.FAT&amp;VAR:ID1=IRE-AU&amp;window=popup&amp;width=535&amp;height=425&amp;START_MAXIMIZED=FALSE&amp;Y=120"}</definedName>
    <definedName name="_516__FDSAUDITLINK__" hidden="1">{"fdsup://directions/FAT Viewer?action=UPDATE&amp;creator=factSet&amp;DYN_ARGS=true&amp;DOC_NAME=FAT:RGA_ENTRPR_VAL_EV_SOURCE_WINDOW.FAT&amp;VAR:ID1=IRE-AU&amp;window=popup&amp;width=535&amp;height=425&amp;START_MAXIMIZED=FALSE&amp;Y=120"}</definedName>
    <definedName name="_517__FDSAUDITLINK__" localSheetId="0" hidden="1">{"fdsup://directions/FAT Viewer?action=UPDATE&amp;creator=factSet&amp;DYN_ARGS=true&amp;DOC_NAME=FAT:RGA_ENTRPR_VAL_EV_SOURCE_WINDOW.FAT&amp;VAR:ID1=IRE-AU&amp;window=popup&amp;width=535&amp;height=425&amp;START_MAXIMIZED=FALSE&amp;Y=120"}</definedName>
    <definedName name="_517__FDSAUDITLINK__" localSheetId="6" hidden="1">{"fdsup://directions/FAT Viewer?action=UPDATE&amp;creator=factSet&amp;DYN_ARGS=true&amp;DOC_NAME=FAT:RGA_ENTRPR_VAL_EV_SOURCE_WINDOW.FAT&amp;VAR:ID1=IRE-AU&amp;window=popup&amp;width=535&amp;height=425&amp;START_MAXIMIZED=FALSE&amp;Y=120"}</definedName>
    <definedName name="_517__FDSAUDITLINK__" hidden="1">{"fdsup://directions/FAT Viewer?action=UPDATE&amp;creator=factSet&amp;DYN_ARGS=true&amp;DOC_NAME=FAT:RGA_ENTRPR_VAL_EV_SOURCE_WINDOW.FAT&amp;VAR:ID1=IRE-AU&amp;window=popup&amp;width=535&amp;height=425&amp;START_MAXIMIZED=FALSE&amp;Y=120"}</definedName>
    <definedName name="_518__FDSAUDITLINK__" localSheetId="0" hidden="1">{"fdsup://directions/FAT Viewer?action=UPDATE&amp;creator=factSet&amp;DYN_ARGS=true&amp;DOC_NAME=FAT:RGA_ENTRPR_VAL_EV_SOURCE_WINDOW.FAT&amp;VAR:ID1=IRE-AU&amp;window=popup&amp;width=535&amp;height=425&amp;START_MAXIMIZED=FALSE&amp;Y=120"}</definedName>
    <definedName name="_518__FDSAUDITLINK__" localSheetId="6" hidden="1">{"fdsup://directions/FAT Viewer?action=UPDATE&amp;creator=factSet&amp;DYN_ARGS=true&amp;DOC_NAME=FAT:RGA_ENTRPR_VAL_EV_SOURCE_WINDOW.FAT&amp;VAR:ID1=IRE-AU&amp;window=popup&amp;width=535&amp;height=425&amp;START_MAXIMIZED=FALSE&amp;Y=120"}</definedName>
    <definedName name="_518__FDSAUDITLINK__" hidden="1">{"fdsup://directions/FAT Viewer?action=UPDATE&amp;creator=factSet&amp;DYN_ARGS=true&amp;DOC_NAME=FAT:RGA_ENTRPR_VAL_EV_SOURCE_WINDOW.FAT&amp;VAR:ID1=IRE-AU&amp;window=popup&amp;width=535&amp;height=425&amp;START_MAXIMIZED=FALSE&amp;Y=120"}</definedName>
    <definedName name="_519__FDSAUDITLINK__" localSheetId="0" hidden="1">{"fdsup://directions/FAT Viewer?action=UPDATE&amp;creator=factSet&amp;DYN_ARGS=true&amp;DOC_NAME=FAT:RGA_ENTRPR_VAL_EV_SOURCE_WINDOW.FAT&amp;VAR:ID1=IRE-AU&amp;window=popup&amp;width=535&amp;height=425&amp;START_MAXIMIZED=FALSE&amp;Y=120"}</definedName>
    <definedName name="_519__FDSAUDITLINK__" localSheetId="6" hidden="1">{"fdsup://directions/FAT Viewer?action=UPDATE&amp;creator=factSet&amp;DYN_ARGS=true&amp;DOC_NAME=FAT:RGA_ENTRPR_VAL_EV_SOURCE_WINDOW.FAT&amp;VAR:ID1=IRE-AU&amp;window=popup&amp;width=535&amp;height=425&amp;START_MAXIMIZED=FALSE&amp;Y=120"}</definedName>
    <definedName name="_519__FDSAUDITLINK__" hidden="1">{"fdsup://directions/FAT Viewer?action=UPDATE&amp;creator=factSet&amp;DYN_ARGS=true&amp;DOC_NAME=FAT:RGA_ENTRPR_VAL_EV_SOURCE_WINDOW.FAT&amp;VAR:ID1=IRE-AU&amp;window=popup&amp;width=535&amp;height=425&amp;START_MAXIMIZED=FALSE&amp;Y=120"}</definedName>
    <definedName name="_52__123Graph_BCHART_24" hidden="1">#REF!</definedName>
    <definedName name="_52__123Graph_CCHART_12" hidden="1">#REF!</definedName>
    <definedName name="_52__123Graph_CCHART_15" hidden="1">#REF!</definedName>
    <definedName name="_52__123Graph_FCHART_15" hidden="1">#REF!</definedName>
    <definedName name="_52__123Graph_X_DM9196" hidden="1">#REF!</definedName>
    <definedName name="_52__123Graph_X_KD956" hidden="1">#REF!</definedName>
    <definedName name="_52__FDSAUDITLINK__" localSheetId="0" hidden="1">{"fdsup://directions/FAT Viewer?action=UPDATE&amp;creator=factSet&amp;DYN_ARGS=true&amp;DOC_NAME=FAT:RGA_ENTRPR_VAL_EV_SOURCE_WINDOW.FAT&amp;VAR:ID1=&amp;window=popup&amp;width=535&amp;height=425&amp;START_MAXIMIZED=FALSE&amp;Y=120"}</definedName>
    <definedName name="_52__FDSAUDITLINK__" localSheetId="6" hidden="1">{"fdsup://directions/FAT Viewer?action=UPDATE&amp;creator=factSet&amp;DYN_ARGS=true&amp;DOC_NAME=FAT:RGA_ENTRPR_VAL_EV_SOURCE_WINDOW.FAT&amp;VAR:ID1=&amp;window=popup&amp;width=535&amp;height=425&amp;START_MAXIMIZED=FALSE&amp;Y=120"}</definedName>
    <definedName name="_52__FDSAUDITLINK__" hidden="1">{"fdsup://directions/FAT Viewer?action=UPDATE&amp;creator=factSet&amp;DYN_ARGS=true&amp;DOC_NAME=FAT:RGA_ENTRPR_VAL_EV_SOURCE_WINDOW.FAT&amp;VAR:ID1=&amp;window=popup&amp;width=535&amp;height=425&amp;START_MAXIMIZED=FALSE&amp;Y=120"}</definedName>
    <definedName name="_52_0__FDS_HYPERLINK_TOGGLE_STATE_" hidden="1">#N/A</definedName>
    <definedName name="_520__FDSAUDITLINK__" localSheetId="0" hidden="1">{"fdsup://directions/FAT Viewer?action=UPDATE&amp;creator=factSet&amp;DYN_ARGS=true&amp;DOC_NAME=FAT:RGA_ENTRPR_VAL_EV_SOURCE_WINDOW.FAT&amp;VAR:ID1=IRE-AU&amp;window=popup&amp;width=535&amp;height=425&amp;START_MAXIMIZED=FALSE&amp;Y=120"}</definedName>
    <definedName name="_520__FDSAUDITLINK__" localSheetId="6" hidden="1">{"fdsup://directions/FAT Viewer?action=UPDATE&amp;creator=factSet&amp;DYN_ARGS=true&amp;DOC_NAME=FAT:RGA_ENTRPR_VAL_EV_SOURCE_WINDOW.FAT&amp;VAR:ID1=IRE-AU&amp;window=popup&amp;width=535&amp;height=425&amp;START_MAXIMIZED=FALSE&amp;Y=120"}</definedName>
    <definedName name="_520__FDSAUDITLINK__" hidden="1">{"fdsup://directions/FAT Viewer?action=UPDATE&amp;creator=factSet&amp;DYN_ARGS=true&amp;DOC_NAME=FAT:RGA_ENTRPR_VAL_EV_SOURCE_WINDOW.FAT&amp;VAR:ID1=IRE-AU&amp;window=popup&amp;width=535&amp;height=425&amp;START_MAXIMIZED=FALSE&amp;Y=120"}</definedName>
    <definedName name="_521__FDSAUDITLINK__" localSheetId="0" hidden="1">{"fdsup://directions/FAT Viewer?action=UPDATE&amp;creator=factSet&amp;DYN_ARGS=true&amp;DOC_NAME=FAT:RGA_ENTRPR_VAL_EV_SOURCE_WINDOW.FAT&amp;VAR:ID1=IRE-AU&amp;window=popup&amp;width=535&amp;height=425&amp;START_MAXIMIZED=FALSE&amp;Y=120"}</definedName>
    <definedName name="_521__FDSAUDITLINK__" localSheetId="6" hidden="1">{"fdsup://directions/FAT Viewer?action=UPDATE&amp;creator=factSet&amp;DYN_ARGS=true&amp;DOC_NAME=FAT:RGA_ENTRPR_VAL_EV_SOURCE_WINDOW.FAT&amp;VAR:ID1=IRE-AU&amp;window=popup&amp;width=535&amp;height=425&amp;START_MAXIMIZED=FALSE&amp;Y=120"}</definedName>
    <definedName name="_521__FDSAUDITLINK__" hidden="1">{"fdsup://directions/FAT Viewer?action=UPDATE&amp;creator=factSet&amp;DYN_ARGS=true&amp;DOC_NAME=FAT:RGA_ENTRPR_VAL_EV_SOURCE_WINDOW.FAT&amp;VAR:ID1=IRE-AU&amp;window=popup&amp;width=535&amp;height=425&amp;START_MAXIMIZED=FALSE&amp;Y=120"}</definedName>
    <definedName name="_522__FDSAUDITLINK__" localSheetId="0" hidden="1">{"fdsup://directions/FAT Viewer?action=UPDATE&amp;creator=factSet&amp;DYN_ARGS=true&amp;DOC_NAME=FAT:RGA_ENTRPR_VAL_EV_SOURCE_WINDOW.FAT&amp;VAR:ID1=IRE-AU&amp;window=popup&amp;width=535&amp;height=425&amp;START_MAXIMIZED=FALSE&amp;Y=120"}</definedName>
    <definedName name="_522__FDSAUDITLINK__" localSheetId="6" hidden="1">{"fdsup://directions/FAT Viewer?action=UPDATE&amp;creator=factSet&amp;DYN_ARGS=true&amp;DOC_NAME=FAT:RGA_ENTRPR_VAL_EV_SOURCE_WINDOW.FAT&amp;VAR:ID1=IRE-AU&amp;window=popup&amp;width=535&amp;height=425&amp;START_MAXIMIZED=FALSE&amp;Y=120"}</definedName>
    <definedName name="_522__FDSAUDITLINK__" hidden="1">{"fdsup://directions/FAT Viewer?action=UPDATE&amp;creator=factSet&amp;DYN_ARGS=true&amp;DOC_NAME=FAT:RGA_ENTRPR_VAL_EV_SOURCE_WINDOW.FAT&amp;VAR:ID1=IRE-AU&amp;window=popup&amp;width=535&amp;height=425&amp;START_MAXIMIZED=FALSE&amp;Y=120"}</definedName>
    <definedName name="_523__FDSAUDITLINK__" localSheetId="0" hidden="1">{"fdsup://directions/FAT Viewer?action=UPDATE&amp;creator=factSet&amp;DYN_ARGS=true&amp;DOC_NAME=FAT:RGA_ENTRPR_VAL_EV_SOURCE_WINDOW.FAT&amp;VAR:ID1=IRE-AU&amp;window=popup&amp;width=535&amp;height=425&amp;START_MAXIMIZED=FALSE&amp;Y=120"}</definedName>
    <definedName name="_523__FDSAUDITLINK__" localSheetId="6" hidden="1">{"fdsup://directions/FAT Viewer?action=UPDATE&amp;creator=factSet&amp;DYN_ARGS=true&amp;DOC_NAME=FAT:RGA_ENTRPR_VAL_EV_SOURCE_WINDOW.FAT&amp;VAR:ID1=IRE-AU&amp;window=popup&amp;width=535&amp;height=425&amp;START_MAXIMIZED=FALSE&amp;Y=120"}</definedName>
    <definedName name="_523__FDSAUDITLINK__" hidden="1">{"fdsup://directions/FAT Viewer?action=UPDATE&amp;creator=factSet&amp;DYN_ARGS=true&amp;DOC_NAME=FAT:RGA_ENTRPR_VAL_EV_SOURCE_WINDOW.FAT&amp;VAR:ID1=IRE-AU&amp;window=popup&amp;width=535&amp;height=425&amp;START_MAXIMIZED=FALSE&amp;Y=120"}</definedName>
    <definedName name="_524__FDSAUDITLINK__" localSheetId="0" hidden="1">{"fdsup://directions/FAT Viewer?action=UPDATE&amp;creator=factSet&amp;DYN_ARGS=true&amp;DOC_NAME=FAT:RGA_ENTRPR_VAL_EV_SOURCE_WINDOW.FAT&amp;VAR:ID1=IRE-AU&amp;window=popup&amp;width=535&amp;height=425&amp;START_MAXIMIZED=FALSE&amp;Y=120"}</definedName>
    <definedName name="_524__FDSAUDITLINK__" localSheetId="6" hidden="1">{"fdsup://directions/FAT Viewer?action=UPDATE&amp;creator=factSet&amp;DYN_ARGS=true&amp;DOC_NAME=FAT:RGA_ENTRPR_VAL_EV_SOURCE_WINDOW.FAT&amp;VAR:ID1=IRE-AU&amp;window=popup&amp;width=535&amp;height=425&amp;START_MAXIMIZED=FALSE&amp;Y=120"}</definedName>
    <definedName name="_524__FDSAUDITLINK__" hidden="1">{"fdsup://directions/FAT Viewer?action=UPDATE&amp;creator=factSet&amp;DYN_ARGS=true&amp;DOC_NAME=FAT:RGA_ENTRPR_VAL_EV_SOURCE_WINDOW.FAT&amp;VAR:ID1=IRE-AU&amp;window=popup&amp;width=535&amp;height=425&amp;START_MAXIMIZED=FALSE&amp;Y=120"}</definedName>
    <definedName name="_525__123Graph_ECHART_37" hidden="1">#REF!</definedName>
    <definedName name="_525__FDSAUDITLINK__" localSheetId="0" hidden="1">{"fdsup://directions/FAT Viewer?action=UPDATE&amp;creator=factSet&amp;DYN_ARGS=true&amp;DOC_NAME=FAT:RGA_ENTRPR_VAL_EV_SOURCE_WINDOW.FAT&amp;VAR:ID1=IRE-AU&amp;window=popup&amp;width=535&amp;height=425&amp;START_MAXIMIZED=FALSE&amp;Y=120"}</definedName>
    <definedName name="_525__FDSAUDITLINK__" localSheetId="6" hidden="1">{"fdsup://directions/FAT Viewer?action=UPDATE&amp;creator=factSet&amp;DYN_ARGS=true&amp;DOC_NAME=FAT:RGA_ENTRPR_VAL_EV_SOURCE_WINDOW.FAT&amp;VAR:ID1=IRE-AU&amp;window=popup&amp;width=535&amp;height=425&amp;START_MAXIMIZED=FALSE&amp;Y=120"}</definedName>
    <definedName name="_525__FDSAUDITLINK__" hidden="1">{"fdsup://directions/FAT Viewer?action=UPDATE&amp;creator=factSet&amp;DYN_ARGS=true&amp;DOC_NAME=FAT:RGA_ENTRPR_VAL_EV_SOURCE_WINDOW.FAT&amp;VAR:ID1=IRE-AU&amp;window=popup&amp;width=535&amp;height=425&amp;START_MAXIMIZED=FALSE&amp;Y=120"}</definedName>
    <definedName name="_526__FDSAUDITLINK__" localSheetId="0" hidden="1">{"fdsup://directions/FAT Viewer?action=UPDATE&amp;creator=factSet&amp;DYN_ARGS=true&amp;DOC_NAME=FAT:RGA_ENTRPR_VAL_EV_SOURCE_WINDOW.FAT&amp;VAR:ID1=IRE-AU&amp;window=popup&amp;width=535&amp;height=425&amp;START_MAXIMIZED=FALSE&amp;Y=120"}</definedName>
    <definedName name="_526__FDSAUDITLINK__" localSheetId="6" hidden="1">{"fdsup://directions/FAT Viewer?action=UPDATE&amp;creator=factSet&amp;DYN_ARGS=true&amp;DOC_NAME=FAT:RGA_ENTRPR_VAL_EV_SOURCE_WINDOW.FAT&amp;VAR:ID1=IRE-AU&amp;window=popup&amp;width=535&amp;height=425&amp;START_MAXIMIZED=FALSE&amp;Y=120"}</definedName>
    <definedName name="_526__FDSAUDITLINK__" hidden="1">{"fdsup://directions/FAT Viewer?action=UPDATE&amp;creator=factSet&amp;DYN_ARGS=true&amp;DOC_NAME=FAT:RGA_ENTRPR_VAL_EV_SOURCE_WINDOW.FAT&amp;VAR:ID1=IRE-AU&amp;window=popup&amp;width=535&amp;height=425&amp;START_MAXIMIZED=FALSE&amp;Y=120"}</definedName>
    <definedName name="_527__FDSAUDITLINK__" localSheetId="0" hidden="1">{"fdsup://directions/FAT Viewer?action=UPDATE&amp;creator=factSet&amp;DYN_ARGS=true&amp;DOC_NAME=FAT:RGA_ENTRPR_VAL_EV_SOURCE_WINDOW.FAT&amp;VAR:ID1=IRE-AU&amp;window=popup&amp;width=535&amp;height=425&amp;START_MAXIMIZED=FALSE&amp;Y=120"}</definedName>
    <definedName name="_527__FDSAUDITLINK__" localSheetId="6" hidden="1">{"fdsup://directions/FAT Viewer?action=UPDATE&amp;creator=factSet&amp;DYN_ARGS=true&amp;DOC_NAME=FAT:RGA_ENTRPR_VAL_EV_SOURCE_WINDOW.FAT&amp;VAR:ID1=IRE-AU&amp;window=popup&amp;width=535&amp;height=425&amp;START_MAXIMIZED=FALSE&amp;Y=120"}</definedName>
    <definedName name="_527__FDSAUDITLINK__" hidden="1">{"fdsup://directions/FAT Viewer?action=UPDATE&amp;creator=factSet&amp;DYN_ARGS=true&amp;DOC_NAME=FAT:RGA_ENTRPR_VAL_EV_SOURCE_WINDOW.FAT&amp;VAR:ID1=IRE-AU&amp;window=popup&amp;width=535&amp;height=425&amp;START_MAXIMIZED=FALSE&amp;Y=120"}</definedName>
    <definedName name="_528__FDSAUDITLINK__" localSheetId="0" hidden="1">{"fdsup://directions/FAT Viewer?action=UPDATE&amp;creator=factSet&amp;DYN_ARGS=true&amp;DOC_NAME=FAT:RGA_ENTRPR_VAL_EV_SOURCE_WINDOW.FAT&amp;VAR:ID1=IRE-AU&amp;window=popup&amp;width=535&amp;height=425&amp;START_MAXIMIZED=FALSE&amp;Y=120"}</definedName>
    <definedName name="_528__FDSAUDITLINK__" localSheetId="6" hidden="1">{"fdsup://directions/FAT Viewer?action=UPDATE&amp;creator=factSet&amp;DYN_ARGS=true&amp;DOC_NAME=FAT:RGA_ENTRPR_VAL_EV_SOURCE_WINDOW.FAT&amp;VAR:ID1=IRE-AU&amp;window=popup&amp;width=535&amp;height=425&amp;START_MAXIMIZED=FALSE&amp;Y=120"}</definedName>
    <definedName name="_528__FDSAUDITLINK__" hidden="1">{"fdsup://directions/FAT Viewer?action=UPDATE&amp;creator=factSet&amp;DYN_ARGS=true&amp;DOC_NAME=FAT:RGA_ENTRPR_VAL_EV_SOURCE_WINDOW.FAT&amp;VAR:ID1=IRE-AU&amp;window=popup&amp;width=535&amp;height=425&amp;START_MAXIMIZED=FALSE&amp;Y=120"}</definedName>
    <definedName name="_529__FDSAUDITLINK__" localSheetId="0" hidden="1">{"fdsup://directions/FAT Viewer?action=UPDATE&amp;creator=factSet&amp;DYN_ARGS=true&amp;DOC_NAME=FAT:RGA_ENTRPR_VAL_EV_SOURCE_WINDOW.FAT&amp;VAR:ID1=BVA-AU&amp;window=popup&amp;width=535&amp;height=425&amp;START_MAXIMIZED=FALSE&amp;Y=120"}</definedName>
    <definedName name="_529__FDSAUDITLINK__" localSheetId="6" hidden="1">{"fdsup://directions/FAT Viewer?action=UPDATE&amp;creator=factSet&amp;DYN_ARGS=true&amp;DOC_NAME=FAT:RGA_ENTRPR_VAL_EV_SOURCE_WINDOW.FAT&amp;VAR:ID1=BVA-AU&amp;window=popup&amp;width=535&amp;height=425&amp;START_MAXIMIZED=FALSE&amp;Y=120"}</definedName>
    <definedName name="_529__FDSAUDITLINK__" hidden="1">{"fdsup://directions/FAT Viewer?action=UPDATE&amp;creator=factSet&amp;DYN_ARGS=true&amp;DOC_NAME=FAT:RGA_ENTRPR_VAL_EV_SOURCE_WINDOW.FAT&amp;VAR:ID1=BVA-AU&amp;window=popup&amp;width=535&amp;height=425&amp;START_MAXIMIZED=FALSE&amp;Y=120"}</definedName>
    <definedName name="_53__123Graph_CCHART_16" hidden="1">#REF!</definedName>
    <definedName name="_53__123Graph_LBL_ACHART_1" hidden="1">#REF!</definedName>
    <definedName name="_53__123Graph_X_DM95" hidden="1">#REF!</definedName>
    <definedName name="_53__123Graph_X_KD96" hidden="1">#REF!</definedName>
    <definedName name="_53__FDSAUDITLINK__" localSheetId="0" hidden="1">{"fdsup://directions/FAT Viewer?action=UPDATE&amp;creator=factSet&amp;DYN_ARGS=true&amp;DOC_NAME=FAT:RGA_ENTRPR_VAL_EV_SOURCE_WINDOW.FAT&amp;VAR:ID1=IRE-AU&amp;window=popup&amp;width=535&amp;height=425&amp;START_MAXIMIZED=FALSE&amp;Y=120"}</definedName>
    <definedName name="_53__FDSAUDITLINK__" localSheetId="6" hidden="1">{"fdsup://directions/FAT Viewer?action=UPDATE&amp;creator=factSet&amp;DYN_ARGS=true&amp;DOC_NAME=FAT:RGA_ENTRPR_VAL_EV_SOURCE_WINDOW.FAT&amp;VAR:ID1=IRE-AU&amp;window=popup&amp;width=535&amp;height=425&amp;START_MAXIMIZED=FALSE&amp;Y=120"}</definedName>
    <definedName name="_53__FDSAUDITLINK__" hidden="1">{"fdsup://directions/FAT Viewer?action=UPDATE&amp;creator=factSet&amp;DYN_ARGS=true&amp;DOC_NAME=FAT:RGA_ENTRPR_VAL_EV_SOURCE_WINDOW.FAT&amp;VAR:ID1=IRE-AU&amp;window=popup&amp;width=535&amp;height=425&amp;START_MAXIMIZED=FALSE&amp;Y=120"}</definedName>
    <definedName name="_530__FDSAUDITLINK__" localSheetId="0" hidden="1">{"fdsup://directions/FAT Viewer?action=UPDATE&amp;creator=factSet&amp;DYN_ARGS=true&amp;DOC_NAME=FAT:RGA_ENTRPR_VAL_EV_SOURCE_WINDOW.FAT&amp;VAR:ID1=BVA-AU&amp;window=popup&amp;width=535&amp;height=425&amp;START_MAXIMIZED=FALSE&amp;Y=120"}</definedName>
    <definedName name="_530__FDSAUDITLINK__" localSheetId="6" hidden="1">{"fdsup://directions/FAT Viewer?action=UPDATE&amp;creator=factSet&amp;DYN_ARGS=true&amp;DOC_NAME=FAT:RGA_ENTRPR_VAL_EV_SOURCE_WINDOW.FAT&amp;VAR:ID1=BVA-AU&amp;window=popup&amp;width=535&amp;height=425&amp;START_MAXIMIZED=FALSE&amp;Y=120"}</definedName>
    <definedName name="_530__FDSAUDITLINK__" hidden="1">{"fdsup://directions/FAT Viewer?action=UPDATE&amp;creator=factSet&amp;DYN_ARGS=true&amp;DOC_NAME=FAT:RGA_ENTRPR_VAL_EV_SOURCE_WINDOW.FAT&amp;VAR:ID1=BVA-AU&amp;window=popup&amp;width=535&amp;height=425&amp;START_MAXIMIZED=FALSE&amp;Y=120"}</definedName>
    <definedName name="_531__FDSAUDITLINK__" localSheetId="0" hidden="1">{"fdsup://directions/FAT Viewer?action=UPDATE&amp;creator=factSet&amp;DYN_ARGS=true&amp;DOC_NAME=FAT:RGA_ENTRPR_VAL_EV_SOURCE_WINDOW.FAT&amp;VAR:ID1=BVA-AU&amp;window=popup&amp;width=535&amp;height=425&amp;START_MAXIMIZED=FALSE&amp;Y=120"}</definedName>
    <definedName name="_531__FDSAUDITLINK__" localSheetId="6" hidden="1">{"fdsup://directions/FAT Viewer?action=UPDATE&amp;creator=factSet&amp;DYN_ARGS=true&amp;DOC_NAME=FAT:RGA_ENTRPR_VAL_EV_SOURCE_WINDOW.FAT&amp;VAR:ID1=BVA-AU&amp;window=popup&amp;width=535&amp;height=425&amp;START_MAXIMIZED=FALSE&amp;Y=120"}</definedName>
    <definedName name="_531__FDSAUDITLINK__" hidden="1">{"fdsup://directions/FAT Viewer?action=UPDATE&amp;creator=factSet&amp;DYN_ARGS=true&amp;DOC_NAME=FAT:RGA_ENTRPR_VAL_EV_SOURCE_WINDOW.FAT&amp;VAR:ID1=BVA-AU&amp;window=popup&amp;width=535&amp;height=425&amp;START_MAXIMIZED=FALSE&amp;Y=120"}</definedName>
    <definedName name="_532__FDSAUDITLINK__" localSheetId="0" hidden="1">{"fdsup://directions/FAT Viewer?action=UPDATE&amp;creator=factSet&amp;DYN_ARGS=true&amp;DOC_NAME=FAT:RGA_ENTRPR_VAL_EV_SOURCE_WINDOW.FAT&amp;VAR:ID1=BVA-AU&amp;window=popup&amp;width=535&amp;height=425&amp;START_MAXIMIZED=FALSE&amp;Y=120"}</definedName>
    <definedName name="_532__FDSAUDITLINK__" localSheetId="6" hidden="1">{"fdsup://directions/FAT Viewer?action=UPDATE&amp;creator=factSet&amp;DYN_ARGS=true&amp;DOC_NAME=FAT:RGA_ENTRPR_VAL_EV_SOURCE_WINDOW.FAT&amp;VAR:ID1=BVA-AU&amp;window=popup&amp;width=535&amp;height=425&amp;START_MAXIMIZED=FALSE&amp;Y=120"}</definedName>
    <definedName name="_532__FDSAUDITLINK__" hidden="1">{"fdsup://directions/FAT Viewer?action=UPDATE&amp;creator=factSet&amp;DYN_ARGS=true&amp;DOC_NAME=FAT:RGA_ENTRPR_VAL_EV_SOURCE_WINDOW.FAT&amp;VAR:ID1=BVA-AU&amp;window=popup&amp;width=535&amp;height=425&amp;START_MAXIMIZED=FALSE&amp;Y=120"}</definedName>
    <definedName name="_533__FDSAUDITLINK__" localSheetId="0" hidden="1">{"fdsup://directions/FAT Viewer?action=UPDATE&amp;creator=factSet&amp;DYN_ARGS=true&amp;DOC_NAME=FAT:RGA_ENTRPR_VAL_EV_SOURCE_WINDOW.FAT&amp;VAR:ID1=BVA-AU&amp;window=popup&amp;width=535&amp;height=425&amp;START_MAXIMIZED=FALSE&amp;Y=120"}</definedName>
    <definedName name="_533__FDSAUDITLINK__" localSheetId="6" hidden="1">{"fdsup://directions/FAT Viewer?action=UPDATE&amp;creator=factSet&amp;DYN_ARGS=true&amp;DOC_NAME=FAT:RGA_ENTRPR_VAL_EV_SOURCE_WINDOW.FAT&amp;VAR:ID1=BVA-AU&amp;window=popup&amp;width=535&amp;height=425&amp;START_MAXIMIZED=FALSE&amp;Y=120"}</definedName>
    <definedName name="_533__FDSAUDITLINK__" hidden="1">{"fdsup://directions/FAT Viewer?action=UPDATE&amp;creator=factSet&amp;DYN_ARGS=true&amp;DOC_NAME=FAT:RGA_ENTRPR_VAL_EV_SOURCE_WINDOW.FAT&amp;VAR:ID1=BVA-AU&amp;window=popup&amp;width=535&amp;height=425&amp;START_MAXIMIZED=FALSE&amp;Y=120"}</definedName>
    <definedName name="_534__FDSAUDITLINK__" localSheetId="0" hidden="1">{"fdsup://directions/FAT Viewer?action=UPDATE&amp;creator=factSet&amp;DYN_ARGS=true&amp;DOC_NAME=FAT:RGA_ENTRPR_VAL_EV_SOURCE_WINDOW.FAT&amp;VAR:ID1=BVA-AU&amp;window=popup&amp;width=535&amp;height=425&amp;START_MAXIMIZED=FALSE&amp;Y=120"}</definedName>
    <definedName name="_534__FDSAUDITLINK__" localSheetId="6" hidden="1">{"fdsup://directions/FAT Viewer?action=UPDATE&amp;creator=factSet&amp;DYN_ARGS=true&amp;DOC_NAME=FAT:RGA_ENTRPR_VAL_EV_SOURCE_WINDOW.FAT&amp;VAR:ID1=BVA-AU&amp;window=popup&amp;width=535&amp;height=425&amp;START_MAXIMIZED=FALSE&amp;Y=120"}</definedName>
    <definedName name="_534__FDSAUDITLINK__" hidden="1">{"fdsup://directions/FAT Viewer?action=UPDATE&amp;creator=factSet&amp;DYN_ARGS=true&amp;DOC_NAME=FAT:RGA_ENTRPR_VAL_EV_SOURCE_WINDOW.FAT&amp;VAR:ID1=BVA-AU&amp;window=popup&amp;width=535&amp;height=425&amp;START_MAXIMIZED=FALSE&amp;Y=120"}</definedName>
    <definedName name="_535__FDSAUDITLINK__" localSheetId="0" hidden="1">{"fdsup://directions/FAT Viewer?action=UPDATE&amp;creator=factSet&amp;DYN_ARGS=true&amp;DOC_NAME=FAT:RGA_ENTRPR_VAL_EV_SOURCE_WINDOW.FAT&amp;VAR:ID1=BVA-AU&amp;window=popup&amp;width=535&amp;height=425&amp;START_MAXIMIZED=FALSE&amp;Y=120"}</definedName>
    <definedName name="_535__FDSAUDITLINK__" localSheetId="6" hidden="1">{"fdsup://directions/FAT Viewer?action=UPDATE&amp;creator=factSet&amp;DYN_ARGS=true&amp;DOC_NAME=FAT:RGA_ENTRPR_VAL_EV_SOURCE_WINDOW.FAT&amp;VAR:ID1=BVA-AU&amp;window=popup&amp;width=535&amp;height=425&amp;START_MAXIMIZED=FALSE&amp;Y=120"}</definedName>
    <definedName name="_535__FDSAUDITLINK__" hidden="1">{"fdsup://directions/FAT Viewer?action=UPDATE&amp;creator=factSet&amp;DYN_ARGS=true&amp;DOC_NAME=FAT:RGA_ENTRPR_VAL_EV_SOURCE_WINDOW.FAT&amp;VAR:ID1=BVA-AU&amp;window=popup&amp;width=535&amp;height=425&amp;START_MAXIMIZED=FALSE&amp;Y=120"}</definedName>
    <definedName name="_536__FDSAUDITLINK__" localSheetId="0" hidden="1">{"fdsup://directions/FAT Viewer?action=UPDATE&amp;creator=factSet&amp;DYN_ARGS=true&amp;DOC_NAME=FAT:RGA_ENTRPR_VAL_EV_SOURCE_WINDOW.FAT&amp;VAR:ID1=BVA-AU&amp;window=popup&amp;width=535&amp;height=425&amp;START_MAXIMIZED=FALSE&amp;Y=120"}</definedName>
    <definedName name="_536__FDSAUDITLINK__" localSheetId="6" hidden="1">{"fdsup://directions/FAT Viewer?action=UPDATE&amp;creator=factSet&amp;DYN_ARGS=true&amp;DOC_NAME=FAT:RGA_ENTRPR_VAL_EV_SOURCE_WINDOW.FAT&amp;VAR:ID1=BVA-AU&amp;window=popup&amp;width=535&amp;height=425&amp;START_MAXIMIZED=FALSE&amp;Y=120"}</definedName>
    <definedName name="_536__FDSAUDITLINK__" hidden="1">{"fdsup://directions/FAT Viewer?action=UPDATE&amp;creator=factSet&amp;DYN_ARGS=true&amp;DOC_NAME=FAT:RGA_ENTRPR_VAL_EV_SOURCE_WINDOW.FAT&amp;VAR:ID1=BVA-AU&amp;window=popup&amp;width=535&amp;height=425&amp;START_MAXIMIZED=FALSE&amp;Y=120"}</definedName>
    <definedName name="_537__FDSAUDITLINK__" localSheetId="0" hidden="1">{"fdsup://directions/FAT Viewer?action=UPDATE&amp;creator=factSet&amp;DYN_ARGS=true&amp;DOC_NAME=FAT:RGA_ENTRPR_VAL_EV_SOURCE_WINDOW.FAT&amp;VAR:ID1=BVA-AU&amp;window=popup&amp;width=535&amp;height=425&amp;START_MAXIMIZED=FALSE&amp;Y=120"}</definedName>
    <definedName name="_537__FDSAUDITLINK__" localSheetId="6" hidden="1">{"fdsup://directions/FAT Viewer?action=UPDATE&amp;creator=factSet&amp;DYN_ARGS=true&amp;DOC_NAME=FAT:RGA_ENTRPR_VAL_EV_SOURCE_WINDOW.FAT&amp;VAR:ID1=BVA-AU&amp;window=popup&amp;width=535&amp;height=425&amp;START_MAXIMIZED=FALSE&amp;Y=120"}</definedName>
    <definedName name="_537__FDSAUDITLINK__" hidden="1">{"fdsup://directions/FAT Viewer?action=UPDATE&amp;creator=factSet&amp;DYN_ARGS=true&amp;DOC_NAME=FAT:RGA_ENTRPR_VAL_EV_SOURCE_WINDOW.FAT&amp;VAR:ID1=BVA-AU&amp;window=popup&amp;width=535&amp;height=425&amp;START_MAXIMIZED=FALSE&amp;Y=120"}</definedName>
    <definedName name="_538__123Graph_ECHART_39" hidden="1">#REF!</definedName>
    <definedName name="_538__FDSAUDITLINK__" localSheetId="0" hidden="1">{"fdsup://directions/FAT Viewer?action=UPDATE&amp;creator=factSet&amp;DYN_ARGS=true&amp;DOC_NAME=FAT:RGA_ENTRPR_VAL_EV_SOURCE_WINDOW.FAT&amp;VAR:ID1=BVA-AU&amp;window=popup&amp;width=535&amp;height=425&amp;START_MAXIMIZED=FALSE&amp;Y=120"}</definedName>
    <definedName name="_538__FDSAUDITLINK__" localSheetId="6" hidden="1">{"fdsup://directions/FAT Viewer?action=UPDATE&amp;creator=factSet&amp;DYN_ARGS=true&amp;DOC_NAME=FAT:RGA_ENTRPR_VAL_EV_SOURCE_WINDOW.FAT&amp;VAR:ID1=BVA-AU&amp;window=popup&amp;width=535&amp;height=425&amp;START_MAXIMIZED=FALSE&amp;Y=120"}</definedName>
    <definedName name="_538__FDSAUDITLINK__" hidden="1">{"fdsup://directions/FAT Viewer?action=UPDATE&amp;creator=factSet&amp;DYN_ARGS=true&amp;DOC_NAME=FAT:RGA_ENTRPR_VAL_EV_SOURCE_WINDOW.FAT&amp;VAR:ID1=BVA-AU&amp;window=popup&amp;width=535&amp;height=425&amp;START_MAXIMIZED=FALSE&amp;Y=120"}</definedName>
    <definedName name="_539__FDSAUDITLINK__" localSheetId="0" hidden="1">{"fdsup://directions/FAT Viewer?action=UPDATE&amp;creator=factSet&amp;DYN_ARGS=true&amp;DOC_NAME=FAT:RGA_ENTRPR_VAL_EV_SOURCE_WINDOW.FAT&amp;VAR:ID1=BVA-AU&amp;window=popup&amp;width=535&amp;height=425&amp;START_MAXIMIZED=FALSE&amp;Y=120"}</definedName>
    <definedName name="_539__FDSAUDITLINK__" localSheetId="6" hidden="1">{"fdsup://directions/FAT Viewer?action=UPDATE&amp;creator=factSet&amp;DYN_ARGS=true&amp;DOC_NAME=FAT:RGA_ENTRPR_VAL_EV_SOURCE_WINDOW.FAT&amp;VAR:ID1=BVA-AU&amp;window=popup&amp;width=535&amp;height=425&amp;START_MAXIMIZED=FALSE&amp;Y=120"}</definedName>
    <definedName name="_539__FDSAUDITLINK__" hidden="1">{"fdsup://directions/FAT Viewer?action=UPDATE&amp;creator=factSet&amp;DYN_ARGS=true&amp;DOC_NAME=FAT:RGA_ENTRPR_VAL_EV_SOURCE_WINDOW.FAT&amp;VAR:ID1=BVA-AU&amp;window=popup&amp;width=535&amp;height=425&amp;START_MAXIMIZED=FALSE&amp;Y=120"}</definedName>
    <definedName name="_54__123Graph_CCHART_17" hidden="1">#REF!</definedName>
    <definedName name="_54__123Graph_FCHART_16" hidden="1">#REF!</definedName>
    <definedName name="_54__123Graph_LBL_ACHART_2" hidden="1">#REF!</definedName>
    <definedName name="_54__123Graph_X_DM96" hidden="1">#REF!</definedName>
    <definedName name="_54__123Graph_XIND9596" hidden="1">#REF!</definedName>
    <definedName name="_54__FDSAUDITLINK__" localSheetId="0" hidden="1">{"fdsup://directions/FAT Viewer?action=UPDATE&amp;creator=factSet&amp;DYN_ARGS=true&amp;DOC_NAME=FAT:RGA_ENTRPR_VAL_EV_SOURCE_WINDOW.FAT&amp;VAR:ID1=5835.00772&amp;window=popup&amp;width=535&amp;height=425&amp;START_MAXIMIZED=FALSE&amp;Y=120"}</definedName>
    <definedName name="_54__FDSAUDITLINK__" localSheetId="6" hidden="1">{"fdsup://directions/FAT Viewer?action=UPDATE&amp;creator=factSet&amp;DYN_ARGS=true&amp;DOC_NAME=FAT:RGA_ENTRPR_VAL_EV_SOURCE_WINDOW.FAT&amp;VAR:ID1=5835.00772&amp;window=popup&amp;width=535&amp;height=425&amp;START_MAXIMIZED=FALSE&amp;Y=120"}</definedName>
    <definedName name="_54__FDSAUDITLINK__" hidden="1">{"fdsup://directions/FAT Viewer?action=UPDATE&amp;creator=factSet&amp;DYN_ARGS=true&amp;DOC_NAME=FAT:RGA_ENTRPR_VAL_EV_SOURCE_WINDOW.FAT&amp;VAR:ID1=5835.00772&amp;window=popup&amp;width=535&amp;height=425&amp;START_MAXIMIZED=FALSE&amp;Y=120"}</definedName>
    <definedName name="_540__FDSAUDITLINK__" localSheetId="0" hidden="1">{"fdsup://directions/FAT Viewer?action=UPDATE&amp;creator=factSet&amp;DYN_ARGS=true&amp;DOC_NAME=FAT:RGA_ENTRPR_VAL_EV_SOURCE_WINDOW.FAT&amp;VAR:ID1=BVA-AU&amp;window=popup&amp;width=535&amp;height=425&amp;START_MAXIMIZED=FALSE&amp;Y=120"}</definedName>
    <definedName name="_540__FDSAUDITLINK__" localSheetId="6" hidden="1">{"fdsup://directions/FAT Viewer?action=UPDATE&amp;creator=factSet&amp;DYN_ARGS=true&amp;DOC_NAME=FAT:RGA_ENTRPR_VAL_EV_SOURCE_WINDOW.FAT&amp;VAR:ID1=BVA-AU&amp;window=popup&amp;width=535&amp;height=425&amp;START_MAXIMIZED=FALSE&amp;Y=120"}</definedName>
    <definedName name="_540__FDSAUDITLINK__" hidden="1">{"fdsup://directions/FAT Viewer?action=UPDATE&amp;creator=factSet&amp;DYN_ARGS=true&amp;DOC_NAME=FAT:RGA_ENTRPR_VAL_EV_SOURCE_WINDOW.FAT&amp;VAR:ID1=BVA-AU&amp;window=popup&amp;width=535&amp;height=425&amp;START_MAXIMIZED=FALSE&amp;Y=120"}</definedName>
    <definedName name="_541__FDSAUDITLINK__" localSheetId="0" hidden="1">{"fdsup://directions/FAT Viewer?action=UPDATE&amp;creator=factSet&amp;DYN_ARGS=true&amp;DOC_NAME=FAT:RGA_ENTRPR_VAL_EV_SOURCE_WINDOW.FAT&amp;VAR:ID1=BVA-AU&amp;window=popup&amp;width=535&amp;height=425&amp;START_MAXIMIZED=FALSE&amp;Y=120"}</definedName>
    <definedName name="_541__FDSAUDITLINK__" localSheetId="6" hidden="1">{"fdsup://directions/FAT Viewer?action=UPDATE&amp;creator=factSet&amp;DYN_ARGS=true&amp;DOC_NAME=FAT:RGA_ENTRPR_VAL_EV_SOURCE_WINDOW.FAT&amp;VAR:ID1=BVA-AU&amp;window=popup&amp;width=535&amp;height=425&amp;START_MAXIMIZED=FALSE&amp;Y=120"}</definedName>
    <definedName name="_541__FDSAUDITLINK__" hidden="1">{"fdsup://directions/FAT Viewer?action=UPDATE&amp;creator=factSet&amp;DYN_ARGS=true&amp;DOC_NAME=FAT:RGA_ENTRPR_VAL_EV_SOURCE_WINDOW.FAT&amp;VAR:ID1=BVA-AU&amp;window=popup&amp;width=535&amp;height=425&amp;START_MAXIMIZED=FALSE&amp;Y=120"}</definedName>
    <definedName name="_542__FDSAUDITLINK__" localSheetId="0" hidden="1">{"fdsup://directions/FAT Viewer?action=UPDATE&amp;creator=factSet&amp;DYN_ARGS=true&amp;DOC_NAME=FAT:RGA_ENTRPR_VAL_EV_SOURCE_WINDOW.FAT&amp;VAR:ID1=BVA-AU&amp;window=popup&amp;width=535&amp;height=425&amp;START_MAXIMIZED=FALSE&amp;Y=120"}</definedName>
    <definedName name="_542__FDSAUDITLINK__" localSheetId="6" hidden="1">{"fdsup://directions/FAT Viewer?action=UPDATE&amp;creator=factSet&amp;DYN_ARGS=true&amp;DOC_NAME=FAT:RGA_ENTRPR_VAL_EV_SOURCE_WINDOW.FAT&amp;VAR:ID1=BVA-AU&amp;window=popup&amp;width=535&amp;height=425&amp;START_MAXIMIZED=FALSE&amp;Y=120"}</definedName>
    <definedName name="_542__FDSAUDITLINK__" hidden="1">{"fdsup://directions/FAT Viewer?action=UPDATE&amp;creator=factSet&amp;DYN_ARGS=true&amp;DOC_NAME=FAT:RGA_ENTRPR_VAL_EV_SOURCE_WINDOW.FAT&amp;VAR:ID1=BVA-AU&amp;window=popup&amp;width=535&amp;height=425&amp;START_MAXIMIZED=FALSE&amp;Y=120"}</definedName>
    <definedName name="_543__FDSAUDITLINK__" localSheetId="0" hidden="1">{"fdsup://directions/FAT Viewer?action=UPDATE&amp;creator=factSet&amp;DYN_ARGS=true&amp;DOC_NAME=FAT:RGA_ENTRPR_VAL_EV_SOURCE_WINDOW.FAT&amp;VAR:ID1=BVA-AU&amp;window=popup&amp;width=535&amp;height=425&amp;START_MAXIMIZED=FALSE&amp;Y=120"}</definedName>
    <definedName name="_543__FDSAUDITLINK__" localSheetId="6" hidden="1">{"fdsup://directions/FAT Viewer?action=UPDATE&amp;creator=factSet&amp;DYN_ARGS=true&amp;DOC_NAME=FAT:RGA_ENTRPR_VAL_EV_SOURCE_WINDOW.FAT&amp;VAR:ID1=BVA-AU&amp;window=popup&amp;width=535&amp;height=425&amp;START_MAXIMIZED=FALSE&amp;Y=120"}</definedName>
    <definedName name="_543__FDSAUDITLINK__" hidden="1">{"fdsup://directions/FAT Viewer?action=UPDATE&amp;creator=factSet&amp;DYN_ARGS=true&amp;DOC_NAME=FAT:RGA_ENTRPR_VAL_EV_SOURCE_WINDOW.FAT&amp;VAR:ID1=BVA-AU&amp;window=popup&amp;width=535&amp;height=425&amp;START_MAXIMIZED=FALSE&amp;Y=120"}</definedName>
    <definedName name="_544__FDSAUDITLINK__" localSheetId="0" hidden="1">{"fdsup://directions/FAT Viewer?action=UPDATE&amp;creator=factSet&amp;DYN_ARGS=true&amp;DOC_NAME=FAT:RGA_ENTRPR_VAL_EV_SOURCE_WINDOW.FAT&amp;VAR:ID1=BVA-AU&amp;window=popup&amp;width=535&amp;height=425&amp;START_MAXIMIZED=FALSE&amp;Y=120"}</definedName>
    <definedName name="_544__FDSAUDITLINK__" localSheetId="6" hidden="1">{"fdsup://directions/FAT Viewer?action=UPDATE&amp;creator=factSet&amp;DYN_ARGS=true&amp;DOC_NAME=FAT:RGA_ENTRPR_VAL_EV_SOURCE_WINDOW.FAT&amp;VAR:ID1=BVA-AU&amp;window=popup&amp;width=535&amp;height=425&amp;START_MAXIMIZED=FALSE&amp;Y=120"}</definedName>
    <definedName name="_544__FDSAUDITLINK__" hidden="1">{"fdsup://directions/FAT Viewer?action=UPDATE&amp;creator=factSet&amp;DYN_ARGS=true&amp;DOC_NAME=FAT:RGA_ENTRPR_VAL_EV_SOURCE_WINDOW.FAT&amp;VAR:ID1=BVA-AU&amp;window=popup&amp;width=535&amp;height=425&amp;START_MAXIMIZED=FALSE&amp;Y=120"}</definedName>
    <definedName name="_545__FDSAUDITLINK__" localSheetId="0" hidden="1">{"fdsup://directions/FAT Viewer?action=UPDATE&amp;creator=factSet&amp;DYN_ARGS=true&amp;DOC_NAME=FAT:RGA_ENTRPR_VAL_EV_SOURCE_WINDOW.FAT&amp;VAR:ID1=BVA-AU&amp;window=popup&amp;width=535&amp;height=425&amp;START_MAXIMIZED=FALSE&amp;Y=120"}</definedName>
    <definedName name="_545__FDSAUDITLINK__" localSheetId="6" hidden="1">{"fdsup://directions/FAT Viewer?action=UPDATE&amp;creator=factSet&amp;DYN_ARGS=true&amp;DOC_NAME=FAT:RGA_ENTRPR_VAL_EV_SOURCE_WINDOW.FAT&amp;VAR:ID1=BVA-AU&amp;window=popup&amp;width=535&amp;height=425&amp;START_MAXIMIZED=FALSE&amp;Y=120"}</definedName>
    <definedName name="_545__FDSAUDITLINK__" hidden="1">{"fdsup://directions/FAT Viewer?action=UPDATE&amp;creator=factSet&amp;DYN_ARGS=true&amp;DOC_NAME=FAT:RGA_ENTRPR_VAL_EV_SOURCE_WINDOW.FAT&amp;VAR:ID1=BVA-AU&amp;window=popup&amp;width=535&amp;height=425&amp;START_MAXIMIZED=FALSE&amp;Y=120"}</definedName>
    <definedName name="_546__FDSAUDITLINK__" localSheetId="0" hidden="1">{"fdsup://directions/FAT Viewer?action=UPDATE&amp;creator=factSet&amp;DYN_ARGS=true&amp;DOC_NAME=FAT:RGA_ENTRPR_VAL_EV_SOURCE_WINDOW.FAT&amp;VAR:ID1=BVA-AU&amp;window=popup&amp;width=535&amp;height=425&amp;START_MAXIMIZED=FALSE&amp;Y=120"}</definedName>
    <definedName name="_546__FDSAUDITLINK__" localSheetId="6" hidden="1">{"fdsup://directions/FAT Viewer?action=UPDATE&amp;creator=factSet&amp;DYN_ARGS=true&amp;DOC_NAME=FAT:RGA_ENTRPR_VAL_EV_SOURCE_WINDOW.FAT&amp;VAR:ID1=BVA-AU&amp;window=popup&amp;width=535&amp;height=425&amp;START_MAXIMIZED=FALSE&amp;Y=120"}</definedName>
    <definedName name="_546__FDSAUDITLINK__" hidden="1">{"fdsup://directions/FAT Viewer?action=UPDATE&amp;creator=factSet&amp;DYN_ARGS=true&amp;DOC_NAME=FAT:RGA_ENTRPR_VAL_EV_SOURCE_WINDOW.FAT&amp;VAR:ID1=BVA-AU&amp;window=popup&amp;width=535&amp;height=425&amp;START_MAXIMIZED=FALSE&amp;Y=120"}</definedName>
    <definedName name="_547__FDSAUDITLINK__" localSheetId="0" hidden="1">{"fdsup://directions/FAT Viewer?action=UPDATE&amp;creator=factSet&amp;DYN_ARGS=true&amp;DOC_NAME=FAT:RGA_ENTRPR_VAL_EV_SOURCE_WINDOW.FAT&amp;VAR:ID1=BVA-AU&amp;window=popup&amp;width=535&amp;height=425&amp;START_MAXIMIZED=FALSE&amp;Y=120"}</definedName>
    <definedName name="_547__FDSAUDITLINK__" localSheetId="6" hidden="1">{"fdsup://directions/FAT Viewer?action=UPDATE&amp;creator=factSet&amp;DYN_ARGS=true&amp;DOC_NAME=FAT:RGA_ENTRPR_VAL_EV_SOURCE_WINDOW.FAT&amp;VAR:ID1=BVA-AU&amp;window=popup&amp;width=535&amp;height=425&amp;START_MAXIMIZED=FALSE&amp;Y=120"}</definedName>
    <definedName name="_547__FDSAUDITLINK__" hidden="1">{"fdsup://directions/FAT Viewer?action=UPDATE&amp;creator=factSet&amp;DYN_ARGS=true&amp;DOC_NAME=FAT:RGA_ENTRPR_VAL_EV_SOURCE_WINDOW.FAT&amp;VAR:ID1=BVA-AU&amp;window=popup&amp;width=535&amp;height=425&amp;START_MAXIMIZED=FALSE&amp;Y=120"}</definedName>
    <definedName name="_548__FDSAUDITLINK__" localSheetId="0" hidden="1">{"fdsup://directions/FAT Viewer?action=UPDATE&amp;creator=factSet&amp;DYN_ARGS=true&amp;DOC_NAME=FAT:RGA_ENTRPR_VAL_EV_SOURCE_WINDOW.FAT&amp;VAR:ID1=BVA-AU&amp;window=popup&amp;width=535&amp;height=425&amp;START_MAXIMIZED=FALSE&amp;Y=120"}</definedName>
    <definedName name="_548__FDSAUDITLINK__" localSheetId="6" hidden="1">{"fdsup://directions/FAT Viewer?action=UPDATE&amp;creator=factSet&amp;DYN_ARGS=true&amp;DOC_NAME=FAT:RGA_ENTRPR_VAL_EV_SOURCE_WINDOW.FAT&amp;VAR:ID1=BVA-AU&amp;window=popup&amp;width=535&amp;height=425&amp;START_MAXIMIZED=FALSE&amp;Y=120"}</definedName>
    <definedName name="_548__FDSAUDITLINK__" hidden="1">{"fdsup://directions/FAT Viewer?action=UPDATE&amp;creator=factSet&amp;DYN_ARGS=true&amp;DOC_NAME=FAT:RGA_ENTRPR_VAL_EV_SOURCE_WINDOW.FAT&amp;VAR:ID1=BVA-AU&amp;window=popup&amp;width=535&amp;height=425&amp;START_MAXIMIZED=FALSE&amp;Y=120"}</definedName>
    <definedName name="_549__FDSAUDITLINK__" localSheetId="0" hidden="1">{"fdsup://directions/FAT Viewer?action=UPDATE&amp;creator=factSet&amp;DYN_ARGS=true&amp;DOC_NAME=FAT:RGA_ENTRPR_VAL_EV_SOURCE_WINDOW.FAT&amp;VAR:ID1=BVA-AU&amp;window=popup&amp;width=535&amp;height=425&amp;START_MAXIMIZED=FALSE&amp;Y=120"}</definedName>
    <definedName name="_549__FDSAUDITLINK__" localSheetId="6" hidden="1">{"fdsup://directions/FAT Viewer?action=UPDATE&amp;creator=factSet&amp;DYN_ARGS=true&amp;DOC_NAME=FAT:RGA_ENTRPR_VAL_EV_SOURCE_WINDOW.FAT&amp;VAR:ID1=BVA-AU&amp;window=popup&amp;width=535&amp;height=425&amp;START_MAXIMIZED=FALSE&amp;Y=120"}</definedName>
    <definedName name="_549__FDSAUDITLINK__" hidden="1">{"fdsup://directions/FAT Viewer?action=UPDATE&amp;creator=factSet&amp;DYN_ARGS=true&amp;DOC_NAME=FAT:RGA_ENTRPR_VAL_EV_SOURCE_WINDOW.FAT&amp;VAR:ID1=BVA-AU&amp;window=popup&amp;width=535&amp;height=425&amp;START_MAXIMIZED=FALSE&amp;Y=120"}</definedName>
    <definedName name="_55__123Graph_Aｸﾞﾗﾌ_4" hidden="1">#REF!</definedName>
    <definedName name="_55__123Graph_BCHART_17" hidden="1">#REF!</definedName>
    <definedName name="_55__123Graph_CCHART_18" hidden="1">#REF!</definedName>
    <definedName name="_55__123Graph_LBL_ACHART_3" hidden="1">#REF!</definedName>
    <definedName name="_55__123Graph_X_JY9196" hidden="1">#REF!</definedName>
    <definedName name="_55__123Graph_XINDX9196" hidden="1">#REF!</definedName>
    <definedName name="_55__FDSAUDITLINK__" localSheetId="0" hidden="1">{"fdsup://directions/FAT Viewer?action=UPDATE&amp;creator=factSet&amp;DYN_ARGS=true&amp;DOC_NAME=FAT:RGA_ENTRPR_VAL_EV_SOURCE_WINDOW.FAT&amp;VAR:ID1=1146.62654&amp;window=popup&amp;width=535&amp;height=425&amp;START_MAXIMIZED=FALSE&amp;Y=120"}</definedName>
    <definedName name="_55__FDSAUDITLINK__" localSheetId="6" hidden="1">{"fdsup://directions/FAT Viewer?action=UPDATE&amp;creator=factSet&amp;DYN_ARGS=true&amp;DOC_NAME=FAT:RGA_ENTRPR_VAL_EV_SOURCE_WINDOW.FAT&amp;VAR:ID1=1146.62654&amp;window=popup&amp;width=535&amp;height=425&amp;START_MAXIMIZED=FALSE&amp;Y=120"}</definedName>
    <definedName name="_55__FDSAUDITLINK__" hidden="1">{"fdsup://directions/FAT Viewer?action=UPDATE&amp;creator=factSet&amp;DYN_ARGS=true&amp;DOC_NAME=FAT:RGA_ENTRPR_VAL_EV_SOURCE_WINDOW.FAT&amp;VAR:ID1=1146.62654&amp;window=popup&amp;width=535&amp;height=425&amp;START_MAXIMIZED=FALSE&amp;Y=120"}</definedName>
    <definedName name="_55_0Rwvu.Pag" hidden="1">#REF!</definedName>
    <definedName name="_550__FDSAUDITLINK__" localSheetId="0" hidden="1">{"fdsup://directions/FAT Viewer?action=UPDATE&amp;creator=factSet&amp;DYN_ARGS=true&amp;DOC_NAME=FAT:RGA_ENTRPR_VAL_EV_SOURCE_WINDOW.FAT&amp;VAR:ID1=BVA-AU&amp;window=popup&amp;width=535&amp;height=425&amp;START_MAXIMIZED=FALSE&amp;Y=120"}</definedName>
    <definedName name="_550__FDSAUDITLINK__" localSheetId="6" hidden="1">{"fdsup://directions/FAT Viewer?action=UPDATE&amp;creator=factSet&amp;DYN_ARGS=true&amp;DOC_NAME=FAT:RGA_ENTRPR_VAL_EV_SOURCE_WINDOW.FAT&amp;VAR:ID1=BVA-AU&amp;window=popup&amp;width=535&amp;height=425&amp;START_MAXIMIZED=FALSE&amp;Y=120"}</definedName>
    <definedName name="_550__FDSAUDITLINK__" hidden="1">{"fdsup://directions/FAT Viewer?action=UPDATE&amp;creator=factSet&amp;DYN_ARGS=true&amp;DOC_NAME=FAT:RGA_ENTRPR_VAL_EV_SOURCE_WINDOW.FAT&amp;VAR:ID1=BVA-AU&amp;window=popup&amp;width=535&amp;height=425&amp;START_MAXIMIZED=FALSE&amp;Y=120"}</definedName>
    <definedName name="_551__123Graph_ECHART_41" hidden="1">#REF!</definedName>
    <definedName name="_551__FDSAUDITLINK__" localSheetId="0" hidden="1">{"fdsup://directions/FAT Viewer?action=UPDATE&amp;creator=factSet&amp;DYN_ARGS=true&amp;DOC_NAME=FAT:RGA_ENTRPR_VAL_EV_SOURCE_WINDOW.FAT&amp;VAR:ID1=BVA-AU&amp;window=popup&amp;width=535&amp;height=425&amp;START_MAXIMIZED=FALSE&amp;Y=120"}</definedName>
    <definedName name="_551__FDSAUDITLINK__" localSheetId="6" hidden="1">{"fdsup://directions/FAT Viewer?action=UPDATE&amp;creator=factSet&amp;DYN_ARGS=true&amp;DOC_NAME=FAT:RGA_ENTRPR_VAL_EV_SOURCE_WINDOW.FAT&amp;VAR:ID1=BVA-AU&amp;window=popup&amp;width=535&amp;height=425&amp;START_MAXIMIZED=FALSE&amp;Y=120"}</definedName>
    <definedName name="_551__FDSAUDITLINK__" hidden="1">{"fdsup://directions/FAT Viewer?action=UPDATE&amp;creator=factSet&amp;DYN_ARGS=true&amp;DOC_NAME=FAT:RGA_ENTRPR_VAL_EV_SOURCE_WINDOW.FAT&amp;VAR:ID1=BVA-AU&amp;window=popup&amp;width=535&amp;height=425&amp;START_MAXIMIZED=FALSE&amp;Y=120"}</definedName>
    <definedName name="_552__FDSAUDITLINK__" localSheetId="0" hidden="1">{"fdsup://directions/FAT Viewer?action=UPDATE&amp;creator=factSet&amp;DYN_ARGS=true&amp;DOC_NAME=FAT:RGA_ENTRPR_VAL_EV_SOURCE_WINDOW.FAT&amp;VAR:ID1=BVA-AU&amp;window=popup&amp;width=535&amp;height=425&amp;START_MAXIMIZED=FALSE&amp;Y=120"}</definedName>
    <definedName name="_552__FDSAUDITLINK__" localSheetId="6" hidden="1">{"fdsup://directions/FAT Viewer?action=UPDATE&amp;creator=factSet&amp;DYN_ARGS=true&amp;DOC_NAME=FAT:RGA_ENTRPR_VAL_EV_SOURCE_WINDOW.FAT&amp;VAR:ID1=BVA-AU&amp;window=popup&amp;width=535&amp;height=425&amp;START_MAXIMIZED=FALSE&amp;Y=120"}</definedName>
    <definedName name="_552__FDSAUDITLINK__" hidden="1">{"fdsup://directions/FAT Viewer?action=UPDATE&amp;creator=factSet&amp;DYN_ARGS=true&amp;DOC_NAME=FAT:RGA_ENTRPR_VAL_EV_SOURCE_WINDOW.FAT&amp;VAR:ID1=BVA-AU&amp;window=popup&amp;width=535&amp;height=425&amp;START_MAXIMIZED=FALSE&amp;Y=120"}</definedName>
    <definedName name="_553__FDSAUDITLINK__" localSheetId="0" hidden="1">{"fdsup://directions/FAT Viewer?action=UPDATE&amp;creator=factSet&amp;DYN_ARGS=true&amp;DOC_NAME=FAT:RGA_ENTRPR_VAL_EV_SOURCE_WINDOW.FAT&amp;VAR:ID1=BVA-AU&amp;window=popup&amp;width=535&amp;height=425&amp;START_MAXIMIZED=FALSE&amp;Y=120"}</definedName>
    <definedName name="_553__FDSAUDITLINK__" localSheetId="6" hidden="1">{"fdsup://directions/FAT Viewer?action=UPDATE&amp;creator=factSet&amp;DYN_ARGS=true&amp;DOC_NAME=FAT:RGA_ENTRPR_VAL_EV_SOURCE_WINDOW.FAT&amp;VAR:ID1=BVA-AU&amp;window=popup&amp;width=535&amp;height=425&amp;START_MAXIMIZED=FALSE&amp;Y=120"}</definedName>
    <definedName name="_553__FDSAUDITLINK__" hidden="1">{"fdsup://directions/FAT Viewer?action=UPDATE&amp;creator=factSet&amp;DYN_ARGS=true&amp;DOC_NAME=FAT:RGA_ENTRPR_VAL_EV_SOURCE_WINDOW.FAT&amp;VAR:ID1=BVA-AU&amp;window=popup&amp;width=535&amp;height=425&amp;START_MAXIMIZED=FALSE&amp;Y=120"}</definedName>
    <definedName name="_554__FDSAUDITLINK__" localSheetId="0" hidden="1">{"fdsup://directions/FAT Viewer?action=UPDATE&amp;creator=factSet&amp;DYN_ARGS=true&amp;DOC_NAME=FAT:RGA_ENTRPR_VAL_EV_SOURCE_WINDOW.FAT&amp;VAR:ID1=BVA-AU&amp;window=popup&amp;width=535&amp;height=425&amp;START_MAXIMIZED=FALSE&amp;Y=120"}</definedName>
    <definedName name="_554__FDSAUDITLINK__" localSheetId="6" hidden="1">{"fdsup://directions/FAT Viewer?action=UPDATE&amp;creator=factSet&amp;DYN_ARGS=true&amp;DOC_NAME=FAT:RGA_ENTRPR_VAL_EV_SOURCE_WINDOW.FAT&amp;VAR:ID1=BVA-AU&amp;window=popup&amp;width=535&amp;height=425&amp;START_MAXIMIZED=FALSE&amp;Y=120"}</definedName>
    <definedName name="_554__FDSAUDITLINK__" hidden="1">{"fdsup://directions/FAT Viewer?action=UPDATE&amp;creator=factSet&amp;DYN_ARGS=true&amp;DOC_NAME=FAT:RGA_ENTRPR_VAL_EV_SOURCE_WINDOW.FAT&amp;VAR:ID1=BVA-AU&amp;window=popup&amp;width=535&amp;height=425&amp;START_MAXIMIZED=FALSE&amp;Y=120"}</definedName>
    <definedName name="_555__123Graph_FCHART_15" hidden="1">#REF!</definedName>
    <definedName name="_555__FDSAUDITLINK__" localSheetId="0" hidden="1">{"fdsup://directions/FAT Viewer?action=UPDATE&amp;creator=factSet&amp;DYN_ARGS=true&amp;DOC_NAME=FAT:RGA_ENTRPR_VAL_EV_SOURCE_WINDOW.FAT&amp;VAR:ID1=BVA-AU&amp;window=popup&amp;width=535&amp;height=425&amp;START_MAXIMIZED=FALSE&amp;Y=120"}</definedName>
    <definedName name="_555__FDSAUDITLINK__" localSheetId="6" hidden="1">{"fdsup://directions/FAT Viewer?action=UPDATE&amp;creator=factSet&amp;DYN_ARGS=true&amp;DOC_NAME=FAT:RGA_ENTRPR_VAL_EV_SOURCE_WINDOW.FAT&amp;VAR:ID1=BVA-AU&amp;window=popup&amp;width=535&amp;height=425&amp;START_MAXIMIZED=FALSE&amp;Y=120"}</definedName>
    <definedName name="_555__FDSAUDITLINK__" hidden="1">{"fdsup://directions/FAT Viewer?action=UPDATE&amp;creator=factSet&amp;DYN_ARGS=true&amp;DOC_NAME=FAT:RGA_ENTRPR_VAL_EV_SOURCE_WINDOW.FAT&amp;VAR:ID1=BVA-AU&amp;window=popup&amp;width=535&amp;height=425&amp;START_MAXIMIZED=FALSE&amp;Y=120"}</definedName>
    <definedName name="_556__FDSAUDITLINK__" localSheetId="0" hidden="1">{"fdsup://directions/FAT Viewer?action=UPDATE&amp;creator=factSet&amp;DYN_ARGS=true&amp;DOC_NAME=FAT:RGA_ENTRPR_VAL_EV_SOURCE_WINDOW.FAT&amp;VAR:ID1=BVA-AU&amp;window=popup&amp;width=535&amp;height=425&amp;START_MAXIMIZED=FALSE&amp;Y=120"}</definedName>
    <definedName name="_556__FDSAUDITLINK__" localSheetId="6" hidden="1">{"fdsup://directions/FAT Viewer?action=UPDATE&amp;creator=factSet&amp;DYN_ARGS=true&amp;DOC_NAME=FAT:RGA_ENTRPR_VAL_EV_SOURCE_WINDOW.FAT&amp;VAR:ID1=BVA-AU&amp;window=popup&amp;width=535&amp;height=425&amp;START_MAXIMIZED=FALSE&amp;Y=120"}</definedName>
    <definedName name="_556__FDSAUDITLINK__" hidden="1">{"fdsup://directions/FAT Viewer?action=UPDATE&amp;creator=factSet&amp;DYN_ARGS=true&amp;DOC_NAME=FAT:RGA_ENTRPR_VAL_EV_SOURCE_WINDOW.FAT&amp;VAR:ID1=BVA-AU&amp;window=popup&amp;width=535&amp;height=425&amp;START_MAXIMIZED=FALSE&amp;Y=120"}</definedName>
    <definedName name="_557__FDSAUDITLINK__" localSheetId="0" hidden="1">{"fdsup://directions/FAT Viewer?action=UPDATE&amp;creator=factSet&amp;DYN_ARGS=true&amp;DOC_NAME=FAT:RGA_ENTRPR_VAL_EV_SOURCE_WINDOW.FAT&amp;VAR:ID1=BVA-AU&amp;window=popup&amp;width=535&amp;height=425&amp;START_MAXIMIZED=FALSE&amp;Y=120"}</definedName>
    <definedName name="_557__FDSAUDITLINK__" localSheetId="6" hidden="1">{"fdsup://directions/FAT Viewer?action=UPDATE&amp;creator=factSet&amp;DYN_ARGS=true&amp;DOC_NAME=FAT:RGA_ENTRPR_VAL_EV_SOURCE_WINDOW.FAT&amp;VAR:ID1=BVA-AU&amp;window=popup&amp;width=535&amp;height=425&amp;START_MAXIMIZED=FALSE&amp;Y=120"}</definedName>
    <definedName name="_557__FDSAUDITLINK__" hidden="1">{"fdsup://directions/FAT Viewer?action=UPDATE&amp;creator=factSet&amp;DYN_ARGS=true&amp;DOC_NAME=FAT:RGA_ENTRPR_VAL_EV_SOURCE_WINDOW.FAT&amp;VAR:ID1=BVA-AU&amp;window=popup&amp;width=535&amp;height=425&amp;START_MAXIMIZED=FALSE&amp;Y=120"}</definedName>
    <definedName name="_558__FDSAUDITLINK__" localSheetId="0" hidden="1">{"fdsup://directions/FAT Viewer?action=UPDATE&amp;creator=factSet&amp;DYN_ARGS=true&amp;DOC_NAME=FAT:RGA_ENTRPR_VAL_EV_SOURCE_WINDOW.FAT&amp;VAR:ID1=BVA-AU&amp;window=popup&amp;width=535&amp;height=425&amp;START_MAXIMIZED=FALSE&amp;Y=120"}</definedName>
    <definedName name="_558__FDSAUDITLINK__" localSheetId="6" hidden="1">{"fdsup://directions/FAT Viewer?action=UPDATE&amp;creator=factSet&amp;DYN_ARGS=true&amp;DOC_NAME=FAT:RGA_ENTRPR_VAL_EV_SOURCE_WINDOW.FAT&amp;VAR:ID1=BVA-AU&amp;window=popup&amp;width=535&amp;height=425&amp;START_MAXIMIZED=FALSE&amp;Y=120"}</definedName>
    <definedName name="_558__FDSAUDITLINK__" hidden="1">{"fdsup://directions/FAT Viewer?action=UPDATE&amp;creator=factSet&amp;DYN_ARGS=true&amp;DOC_NAME=FAT:RGA_ENTRPR_VAL_EV_SOURCE_WINDOW.FAT&amp;VAR:ID1=BVA-AU&amp;window=popup&amp;width=535&amp;height=425&amp;START_MAXIMIZED=FALSE&amp;Y=120"}</definedName>
    <definedName name="_559__FDSAUDITLINK__" localSheetId="0" hidden="1">{"fdsup://directions/FAT Viewer?action=UPDATE&amp;creator=factSet&amp;DYN_ARGS=true&amp;DOC_NAME=FAT:RGA_ENTRPR_VAL_EV_SOURCE_WINDOW.FAT&amp;VAR:ID1=BVA-AU&amp;window=popup&amp;width=535&amp;height=425&amp;START_MAXIMIZED=FALSE&amp;Y=120"}</definedName>
    <definedName name="_559__FDSAUDITLINK__" localSheetId="6" hidden="1">{"fdsup://directions/FAT Viewer?action=UPDATE&amp;creator=factSet&amp;DYN_ARGS=true&amp;DOC_NAME=FAT:RGA_ENTRPR_VAL_EV_SOURCE_WINDOW.FAT&amp;VAR:ID1=BVA-AU&amp;window=popup&amp;width=535&amp;height=425&amp;START_MAXIMIZED=FALSE&amp;Y=120"}</definedName>
    <definedName name="_559__FDSAUDITLINK__" hidden="1">{"fdsup://directions/FAT Viewer?action=UPDATE&amp;creator=factSet&amp;DYN_ARGS=true&amp;DOC_NAME=FAT:RGA_ENTRPR_VAL_EV_SOURCE_WINDOW.FAT&amp;VAR:ID1=BVA-AU&amp;window=popup&amp;width=535&amp;height=425&amp;START_MAXIMIZED=FALSE&amp;Y=120"}</definedName>
    <definedName name="_56__123Graph_Aｸﾞﾗﾌ_5" hidden="1">#REF!</definedName>
    <definedName name="_56__123Graph_BCHART_26" hidden="1">#REF!</definedName>
    <definedName name="_56__123Graph_CCHART_13" hidden="1">#REF!</definedName>
    <definedName name="_56__123Graph_CCHART_3" hidden="1">#REF!</definedName>
    <definedName name="_56__123Graph_FCHART_17" hidden="1">#REF!</definedName>
    <definedName name="_56__123Graph_LBL_BCHART_3" hidden="1">#REF!</definedName>
    <definedName name="_56__123Graph_LBL_BPE_Y" hidden="1">#REF!</definedName>
    <definedName name="_56__123Graph_X_JY95" hidden="1">#REF!</definedName>
    <definedName name="_56__123Graph_XINDX95" hidden="1">#REF!</definedName>
    <definedName name="_56__FDSAUDITLINK__" localSheetId="0" hidden="1">{"fdsup://directions/FAT Viewer?action=UPDATE&amp;creator=factSet&amp;DYN_ARGS=true&amp;DOC_NAME=FAT:RGA_ENTRPR_VAL_EV_SOURCE_WINDOW.FAT&amp;VAR:ID1=EV&amp;window=popup&amp;width=535&amp;height=425&amp;START_MAXIMIZED=FALSE&amp;Y=120"}</definedName>
    <definedName name="_56__FDSAUDITLINK__" localSheetId="6" hidden="1">{"fdsup://directions/FAT Viewer?action=UPDATE&amp;creator=factSet&amp;DYN_ARGS=true&amp;DOC_NAME=FAT:RGA_ENTRPR_VAL_EV_SOURCE_WINDOW.FAT&amp;VAR:ID1=EV&amp;window=popup&amp;width=535&amp;height=425&amp;START_MAXIMIZED=FALSE&amp;Y=120"}</definedName>
    <definedName name="_56__FDSAUDITLINK__" hidden="1">{"fdsup://directions/FAT Viewer?action=UPDATE&amp;creator=factSet&amp;DYN_ARGS=true&amp;DOC_NAME=FAT:RGA_ENTRPR_VAL_EV_SOURCE_WINDOW.FAT&amp;VAR:ID1=EV&amp;window=popup&amp;width=535&amp;height=425&amp;START_MAXIMIZED=FALSE&amp;Y=120"}</definedName>
    <definedName name="_56_0Rwvu.Pag" hidden="1">#REF!</definedName>
    <definedName name="_560__FDSAUDITLINK__" localSheetId="0" hidden="1">{"fdsup://directions/FAT Viewer?action=UPDATE&amp;creator=factSet&amp;DYN_ARGS=true&amp;DOC_NAME=FAT:RGA_ENTRPR_VAL_EV_SOURCE_WINDOW.FAT&amp;VAR:ID1=BVA-AU&amp;window=popup&amp;width=535&amp;height=425&amp;START_MAXIMIZED=FALSE&amp;Y=120"}</definedName>
    <definedName name="_560__FDSAUDITLINK__" localSheetId="6" hidden="1">{"fdsup://directions/FAT Viewer?action=UPDATE&amp;creator=factSet&amp;DYN_ARGS=true&amp;DOC_NAME=FAT:RGA_ENTRPR_VAL_EV_SOURCE_WINDOW.FAT&amp;VAR:ID1=BVA-AU&amp;window=popup&amp;width=535&amp;height=425&amp;START_MAXIMIZED=FALSE&amp;Y=120"}</definedName>
    <definedName name="_560__FDSAUDITLINK__" hidden="1">{"fdsup://directions/FAT Viewer?action=UPDATE&amp;creator=factSet&amp;DYN_ARGS=true&amp;DOC_NAME=FAT:RGA_ENTRPR_VAL_EV_SOURCE_WINDOW.FAT&amp;VAR:ID1=BVA-AU&amp;window=popup&amp;width=535&amp;height=425&amp;START_MAXIMIZED=FALSE&amp;Y=120"}</definedName>
    <definedName name="_561__FDSAUDITLINK__" localSheetId="0" hidden="1">{"fdsup://directions/FAT Viewer?action=UPDATE&amp;creator=factSet&amp;DYN_ARGS=true&amp;DOC_NAME=FAT:RGA_ENTRPR_VAL_EV_SOURCE_WINDOW.FAT&amp;VAR:ID1=BVA-AU&amp;window=popup&amp;width=535&amp;height=425&amp;START_MAXIMIZED=FALSE&amp;Y=120"}</definedName>
    <definedName name="_561__FDSAUDITLINK__" localSheetId="6" hidden="1">{"fdsup://directions/FAT Viewer?action=UPDATE&amp;creator=factSet&amp;DYN_ARGS=true&amp;DOC_NAME=FAT:RGA_ENTRPR_VAL_EV_SOURCE_WINDOW.FAT&amp;VAR:ID1=BVA-AU&amp;window=popup&amp;width=535&amp;height=425&amp;START_MAXIMIZED=FALSE&amp;Y=120"}</definedName>
    <definedName name="_561__FDSAUDITLINK__" hidden="1">{"fdsup://directions/FAT Viewer?action=UPDATE&amp;creator=factSet&amp;DYN_ARGS=true&amp;DOC_NAME=FAT:RGA_ENTRPR_VAL_EV_SOURCE_WINDOW.FAT&amp;VAR:ID1=BVA-AU&amp;window=popup&amp;width=535&amp;height=425&amp;START_MAXIMIZED=FALSE&amp;Y=120"}</definedName>
    <definedName name="_562__FDSAUDITLINK__" localSheetId="0" hidden="1">{"fdsup://directions/FAT Viewer?action=UPDATE&amp;creator=factSet&amp;DYN_ARGS=true&amp;DOC_NAME=FAT:RGA_ENTRPR_VAL_EV_SOURCE_WINDOW.FAT&amp;VAR:ID1=BVA-AU&amp;window=popup&amp;width=535&amp;height=425&amp;START_MAXIMIZED=FALSE&amp;Y=120"}</definedName>
    <definedName name="_562__FDSAUDITLINK__" localSheetId="6" hidden="1">{"fdsup://directions/FAT Viewer?action=UPDATE&amp;creator=factSet&amp;DYN_ARGS=true&amp;DOC_NAME=FAT:RGA_ENTRPR_VAL_EV_SOURCE_WINDOW.FAT&amp;VAR:ID1=BVA-AU&amp;window=popup&amp;width=535&amp;height=425&amp;START_MAXIMIZED=FALSE&amp;Y=120"}</definedName>
    <definedName name="_562__FDSAUDITLINK__" hidden="1">{"fdsup://directions/FAT Viewer?action=UPDATE&amp;creator=factSet&amp;DYN_ARGS=true&amp;DOC_NAME=FAT:RGA_ENTRPR_VAL_EV_SOURCE_WINDOW.FAT&amp;VAR:ID1=BVA-AU&amp;window=popup&amp;width=535&amp;height=425&amp;START_MAXIMIZED=FALSE&amp;Y=120"}</definedName>
    <definedName name="_563__FDSAUDITLINK__" localSheetId="0" hidden="1">{"fdsup://directions/FAT Viewer?action=UPDATE&amp;creator=factSet&amp;DYN_ARGS=true&amp;DOC_NAME=FAT:RGA_ENTRPR_VAL_EV_SOURCE_WINDOW.FAT&amp;VAR:ID1=BVA-AU&amp;window=popup&amp;width=535&amp;height=425&amp;START_MAXIMIZED=FALSE&amp;Y=120"}</definedName>
    <definedName name="_563__FDSAUDITLINK__" localSheetId="6" hidden="1">{"fdsup://directions/FAT Viewer?action=UPDATE&amp;creator=factSet&amp;DYN_ARGS=true&amp;DOC_NAME=FAT:RGA_ENTRPR_VAL_EV_SOURCE_WINDOW.FAT&amp;VAR:ID1=BVA-AU&amp;window=popup&amp;width=535&amp;height=425&amp;START_MAXIMIZED=FALSE&amp;Y=120"}</definedName>
    <definedName name="_563__FDSAUDITLINK__" hidden="1">{"fdsup://directions/FAT Viewer?action=UPDATE&amp;creator=factSet&amp;DYN_ARGS=true&amp;DOC_NAME=FAT:RGA_ENTRPR_VAL_EV_SOURCE_WINDOW.FAT&amp;VAR:ID1=BVA-AU&amp;window=popup&amp;width=535&amp;height=425&amp;START_MAXIMIZED=FALSE&amp;Y=120"}</definedName>
    <definedName name="_564__FDSAUDITLINK__" localSheetId="0" hidden="1">{"fdsup://directions/FAT Viewer?action=UPDATE&amp;creator=factSet&amp;DYN_ARGS=true&amp;DOC_NAME=FAT:RGA_ENTRPR_VAL_EV_SOURCE_WINDOW.FAT&amp;VAR:ID1=BVA-AU&amp;window=popup&amp;width=535&amp;height=425&amp;START_MAXIMIZED=FALSE&amp;Y=120"}</definedName>
    <definedName name="_564__FDSAUDITLINK__" localSheetId="6" hidden="1">{"fdsup://directions/FAT Viewer?action=UPDATE&amp;creator=factSet&amp;DYN_ARGS=true&amp;DOC_NAME=FAT:RGA_ENTRPR_VAL_EV_SOURCE_WINDOW.FAT&amp;VAR:ID1=BVA-AU&amp;window=popup&amp;width=535&amp;height=425&amp;START_MAXIMIZED=FALSE&amp;Y=120"}</definedName>
    <definedName name="_564__FDSAUDITLINK__" hidden="1">{"fdsup://directions/FAT Viewer?action=UPDATE&amp;creator=factSet&amp;DYN_ARGS=true&amp;DOC_NAME=FAT:RGA_ENTRPR_VAL_EV_SOURCE_WINDOW.FAT&amp;VAR:ID1=BVA-AU&amp;window=popup&amp;width=535&amp;height=425&amp;START_MAXIMIZED=FALSE&amp;Y=120"}</definedName>
    <definedName name="_565__FDSAUDITLINK__" localSheetId="0" hidden="1">{"fdsup://directions/FAT Viewer?action=UPDATE&amp;creator=factSet&amp;DYN_ARGS=true&amp;DOC_NAME=FAT:RGA_ENTRPR_VAL_EV_SOURCE_WINDOW.FAT&amp;VAR:ID1=BVA-AU&amp;window=popup&amp;width=535&amp;height=425&amp;START_MAXIMIZED=FALSE&amp;Y=120"}</definedName>
    <definedName name="_565__FDSAUDITLINK__" localSheetId="6" hidden="1">{"fdsup://directions/FAT Viewer?action=UPDATE&amp;creator=factSet&amp;DYN_ARGS=true&amp;DOC_NAME=FAT:RGA_ENTRPR_VAL_EV_SOURCE_WINDOW.FAT&amp;VAR:ID1=BVA-AU&amp;window=popup&amp;width=535&amp;height=425&amp;START_MAXIMIZED=FALSE&amp;Y=120"}</definedName>
    <definedName name="_565__FDSAUDITLINK__" hidden="1">{"fdsup://directions/FAT Viewer?action=UPDATE&amp;creator=factSet&amp;DYN_ARGS=true&amp;DOC_NAME=FAT:RGA_ENTRPR_VAL_EV_SOURCE_WINDOW.FAT&amp;VAR:ID1=BVA-AU&amp;window=popup&amp;width=535&amp;height=425&amp;START_MAXIMIZED=FALSE&amp;Y=120"}</definedName>
    <definedName name="_566__FDSAUDITLINK__" localSheetId="0" hidden="1">{"fdsup://directions/FAT Viewer?action=UPDATE&amp;creator=factSet&amp;DYN_ARGS=true&amp;DOC_NAME=FAT:RGA_ENTRPR_VAL_EV_SOURCE_WINDOW.FAT&amp;VAR:ID1=BVA-AU&amp;window=popup&amp;width=535&amp;height=425&amp;START_MAXIMIZED=FALSE&amp;Y=120"}</definedName>
    <definedName name="_566__FDSAUDITLINK__" localSheetId="6" hidden="1">{"fdsup://directions/FAT Viewer?action=UPDATE&amp;creator=factSet&amp;DYN_ARGS=true&amp;DOC_NAME=FAT:RGA_ENTRPR_VAL_EV_SOURCE_WINDOW.FAT&amp;VAR:ID1=BVA-AU&amp;window=popup&amp;width=535&amp;height=425&amp;START_MAXIMIZED=FALSE&amp;Y=120"}</definedName>
    <definedName name="_566__FDSAUDITLINK__" hidden="1">{"fdsup://directions/FAT Viewer?action=UPDATE&amp;creator=factSet&amp;DYN_ARGS=true&amp;DOC_NAME=FAT:RGA_ENTRPR_VAL_EV_SOURCE_WINDOW.FAT&amp;VAR:ID1=BVA-AU&amp;window=popup&amp;width=535&amp;height=425&amp;START_MAXIMIZED=FALSE&amp;Y=120"}</definedName>
    <definedName name="_567__FDSAUDITLINK__" localSheetId="0" hidden="1">{"fdsup://directions/FAT Viewer?action=UPDATE&amp;creator=factSet&amp;DYN_ARGS=true&amp;DOC_NAME=FAT:RGA_ENTRPR_VAL_EV_SOURCE_WINDOW.FAT&amp;VAR:ID1=BVA-AU&amp;window=popup&amp;width=535&amp;height=425&amp;START_MAXIMIZED=FALSE&amp;Y=120"}</definedName>
    <definedName name="_567__FDSAUDITLINK__" localSheetId="6" hidden="1">{"fdsup://directions/FAT Viewer?action=UPDATE&amp;creator=factSet&amp;DYN_ARGS=true&amp;DOC_NAME=FAT:RGA_ENTRPR_VAL_EV_SOURCE_WINDOW.FAT&amp;VAR:ID1=BVA-AU&amp;window=popup&amp;width=535&amp;height=425&amp;START_MAXIMIZED=FALSE&amp;Y=120"}</definedName>
    <definedName name="_567__FDSAUDITLINK__" hidden="1">{"fdsup://directions/FAT Viewer?action=UPDATE&amp;creator=factSet&amp;DYN_ARGS=true&amp;DOC_NAME=FAT:RGA_ENTRPR_VAL_EV_SOURCE_WINDOW.FAT&amp;VAR:ID1=BVA-AU&amp;window=popup&amp;width=535&amp;height=425&amp;START_MAXIMIZED=FALSE&amp;Y=120"}</definedName>
    <definedName name="_568__123Graph_FCHART_16" hidden="1">#REF!</definedName>
    <definedName name="_568__FDSAUDITLINK__" localSheetId="0" hidden="1">{"fdsup://directions/FAT Viewer?action=UPDATE&amp;creator=factSet&amp;DYN_ARGS=true&amp;DOC_NAME=FAT:RGA_ENTRPR_VAL_EV_SOURCE_WINDOW.FAT&amp;VAR:ID1=BVA-AU&amp;window=popup&amp;width=535&amp;height=425&amp;START_MAXIMIZED=FALSE&amp;Y=120"}</definedName>
    <definedName name="_568__FDSAUDITLINK__" localSheetId="6" hidden="1">{"fdsup://directions/FAT Viewer?action=UPDATE&amp;creator=factSet&amp;DYN_ARGS=true&amp;DOC_NAME=FAT:RGA_ENTRPR_VAL_EV_SOURCE_WINDOW.FAT&amp;VAR:ID1=BVA-AU&amp;window=popup&amp;width=535&amp;height=425&amp;START_MAXIMIZED=FALSE&amp;Y=120"}</definedName>
    <definedName name="_568__FDSAUDITLINK__" hidden="1">{"fdsup://directions/FAT Viewer?action=UPDATE&amp;creator=factSet&amp;DYN_ARGS=true&amp;DOC_NAME=FAT:RGA_ENTRPR_VAL_EV_SOURCE_WINDOW.FAT&amp;VAR:ID1=BVA-AU&amp;window=popup&amp;width=535&amp;height=425&amp;START_MAXIMIZED=FALSE&amp;Y=120"}</definedName>
    <definedName name="_569__FDSAUDITLINK__" localSheetId="0" hidden="1">{"fdsup://directions/FAT Viewer?action=UPDATE&amp;creator=factSet&amp;DYN_ARGS=true&amp;DOC_NAME=FAT:RGA_ENTRPR_VAL_EV_SOURCE_WINDOW.FAT&amp;VAR:ID1=BVA-AU&amp;window=popup&amp;width=535&amp;height=425&amp;START_MAXIMIZED=FALSE&amp;Y=120"}</definedName>
    <definedName name="_569__FDSAUDITLINK__" localSheetId="6" hidden="1">{"fdsup://directions/FAT Viewer?action=UPDATE&amp;creator=factSet&amp;DYN_ARGS=true&amp;DOC_NAME=FAT:RGA_ENTRPR_VAL_EV_SOURCE_WINDOW.FAT&amp;VAR:ID1=BVA-AU&amp;window=popup&amp;width=535&amp;height=425&amp;START_MAXIMIZED=FALSE&amp;Y=120"}</definedName>
    <definedName name="_569__FDSAUDITLINK__" hidden="1">{"fdsup://directions/FAT Viewer?action=UPDATE&amp;creator=factSet&amp;DYN_ARGS=true&amp;DOC_NAME=FAT:RGA_ENTRPR_VAL_EV_SOURCE_WINDOW.FAT&amp;VAR:ID1=BVA-AU&amp;window=popup&amp;width=535&amp;height=425&amp;START_MAXIMIZED=FALSE&amp;Y=120"}</definedName>
    <definedName name="_57__123Graph_Aｸﾞﾗﾌ_6" hidden="1">#REF!</definedName>
    <definedName name="_57__123Graph_CCHART_31" hidden="1">#REF!</definedName>
    <definedName name="_57__123Graph_X_JY96" hidden="1">#REF!</definedName>
    <definedName name="_57__123Graph_XINDX96" hidden="1">#REF!</definedName>
    <definedName name="_57__FDSAUDITLINK__" localSheetId="0" hidden="1">{"fdsup://directions/FAT Viewer?action=UPDATE&amp;creator=factSet&amp;DYN_ARGS=true&amp;DOC_NAME=FAT:RGA_ENTRPR_VAL_EV_SOURCE_WINDOW.FAT&amp;VAR:ID1=&amp;window=popup&amp;width=535&amp;height=425&amp;START_MAXIMIZED=FALSE&amp;Y=120"}</definedName>
    <definedName name="_57__FDSAUDITLINK__" localSheetId="6" hidden="1">{"fdsup://directions/FAT Viewer?action=UPDATE&amp;creator=factSet&amp;DYN_ARGS=true&amp;DOC_NAME=FAT:RGA_ENTRPR_VAL_EV_SOURCE_WINDOW.FAT&amp;VAR:ID1=&amp;window=popup&amp;width=535&amp;height=425&amp;START_MAXIMIZED=FALSE&amp;Y=120"}</definedName>
    <definedName name="_57__FDSAUDITLINK__" hidden="1">{"fdsup://directions/FAT Viewer?action=UPDATE&amp;creator=factSet&amp;DYN_ARGS=true&amp;DOC_NAME=FAT:RGA_ENTRPR_VAL_EV_SOURCE_WINDOW.FAT&amp;VAR:ID1=&amp;window=popup&amp;width=535&amp;height=425&amp;START_MAXIMIZED=FALSE&amp;Y=120"}</definedName>
    <definedName name="_570__FDSAUDITLINK__" localSheetId="0" hidden="1">{"fdsup://directions/FAT Viewer?action=UPDATE&amp;creator=factSet&amp;DYN_ARGS=true&amp;DOC_NAME=FAT:RGA_ENTRPR_VAL_EV_SOURCE_WINDOW.FAT&amp;VAR:ID1=BVA-AU&amp;window=popup&amp;width=535&amp;height=425&amp;START_MAXIMIZED=FALSE&amp;Y=120"}</definedName>
    <definedName name="_570__FDSAUDITLINK__" localSheetId="6" hidden="1">{"fdsup://directions/FAT Viewer?action=UPDATE&amp;creator=factSet&amp;DYN_ARGS=true&amp;DOC_NAME=FAT:RGA_ENTRPR_VAL_EV_SOURCE_WINDOW.FAT&amp;VAR:ID1=BVA-AU&amp;window=popup&amp;width=535&amp;height=425&amp;START_MAXIMIZED=FALSE&amp;Y=120"}</definedName>
    <definedName name="_570__FDSAUDITLINK__" hidden="1">{"fdsup://directions/FAT Viewer?action=UPDATE&amp;creator=factSet&amp;DYN_ARGS=true&amp;DOC_NAME=FAT:RGA_ENTRPR_VAL_EV_SOURCE_WINDOW.FAT&amp;VAR:ID1=BVA-AU&amp;window=popup&amp;width=535&amp;height=425&amp;START_MAXIMIZED=FALSE&amp;Y=120"}</definedName>
    <definedName name="_571__FDSAUDITLINK__" localSheetId="0" hidden="1">{"fdsup://directions/FAT Viewer?action=UPDATE&amp;creator=factSet&amp;DYN_ARGS=true&amp;DOC_NAME=FAT:RGA_ENTRPR_VAL_EV_SOURCE_WINDOW.FAT&amp;VAR:ID1=BVA-AU&amp;window=popup&amp;width=535&amp;height=425&amp;START_MAXIMIZED=FALSE&amp;Y=120"}</definedName>
    <definedName name="_571__FDSAUDITLINK__" localSheetId="6" hidden="1">{"fdsup://directions/FAT Viewer?action=UPDATE&amp;creator=factSet&amp;DYN_ARGS=true&amp;DOC_NAME=FAT:RGA_ENTRPR_VAL_EV_SOURCE_WINDOW.FAT&amp;VAR:ID1=BVA-AU&amp;window=popup&amp;width=535&amp;height=425&amp;START_MAXIMIZED=FALSE&amp;Y=120"}</definedName>
    <definedName name="_571__FDSAUDITLINK__" hidden="1">{"fdsup://directions/FAT Viewer?action=UPDATE&amp;creator=factSet&amp;DYN_ARGS=true&amp;DOC_NAME=FAT:RGA_ENTRPR_VAL_EV_SOURCE_WINDOW.FAT&amp;VAR:ID1=BVA-AU&amp;window=popup&amp;width=535&amp;height=425&amp;START_MAXIMIZED=FALSE&amp;Y=120"}</definedName>
    <definedName name="_572__FDSAUDITLINK__" localSheetId="0" hidden="1">{"fdsup://directions/FAT Viewer?action=UPDATE&amp;creator=factSet&amp;DYN_ARGS=true&amp;DOC_NAME=FAT:RGQ_ENTRPR_VAL_EV_SOURCE_WINDOW.FAT&amp;VAR:ID1=GLT-FR&amp;window=popup&amp;width=535&amp;height=425&amp;START_MAXIMIZED=FALSE&amp;Y=120"}</definedName>
    <definedName name="_572__FDSAUDITLINK__" localSheetId="6" hidden="1">{"fdsup://directions/FAT Viewer?action=UPDATE&amp;creator=factSet&amp;DYN_ARGS=true&amp;DOC_NAME=FAT:RGQ_ENTRPR_VAL_EV_SOURCE_WINDOW.FAT&amp;VAR:ID1=GLT-FR&amp;window=popup&amp;width=535&amp;height=425&amp;START_MAXIMIZED=FALSE&amp;Y=120"}</definedName>
    <definedName name="_572__FDSAUDITLINK__" hidden="1">{"fdsup://directions/FAT Viewer?action=UPDATE&amp;creator=factSet&amp;DYN_ARGS=true&amp;DOC_NAME=FAT:RGQ_ENTRPR_VAL_EV_SOURCE_WINDOW.FAT&amp;VAR:ID1=GLT-FR&amp;window=popup&amp;width=535&amp;height=425&amp;START_MAXIMIZED=FALSE&amp;Y=120"}</definedName>
    <definedName name="_573__FDSAUDITLINK__" localSheetId="0" hidden="1">{"fdsup://directions/FAT Viewer?action=UPDATE&amp;creator=factSet&amp;DYN_ARGS=true&amp;DOC_NAME=FAT:RGQ_ENTRPR_VAL_EV_SOURCE_WINDOW.FAT&amp;VAR:ID1=GLT-FR&amp;window=popup&amp;width=535&amp;height=425&amp;START_MAXIMIZED=FALSE&amp;Y=120"}</definedName>
    <definedName name="_573__FDSAUDITLINK__" localSheetId="6" hidden="1">{"fdsup://directions/FAT Viewer?action=UPDATE&amp;creator=factSet&amp;DYN_ARGS=true&amp;DOC_NAME=FAT:RGQ_ENTRPR_VAL_EV_SOURCE_WINDOW.FAT&amp;VAR:ID1=GLT-FR&amp;window=popup&amp;width=535&amp;height=425&amp;START_MAXIMIZED=FALSE&amp;Y=120"}</definedName>
    <definedName name="_573__FDSAUDITLINK__" hidden="1">{"fdsup://directions/FAT Viewer?action=UPDATE&amp;creator=factSet&amp;DYN_ARGS=true&amp;DOC_NAME=FAT:RGQ_ENTRPR_VAL_EV_SOURCE_WINDOW.FAT&amp;VAR:ID1=GLT-FR&amp;window=popup&amp;width=535&amp;height=425&amp;START_MAXIMIZED=FALSE&amp;Y=120"}</definedName>
    <definedName name="_574__FDSAUDITLINK__" localSheetId="0" hidden="1">{"fdsup://directions/FAT Viewer?action=UPDATE&amp;creator=factSet&amp;DYN_ARGS=true&amp;DOC_NAME=FAT:RGQ_ENTRPR_VAL_EV_SOURCE_WINDOW.FAT&amp;VAR:ID1=GLT-FR&amp;window=popup&amp;width=535&amp;height=425&amp;START_MAXIMIZED=FALSE&amp;Y=120"}</definedName>
    <definedName name="_574__FDSAUDITLINK__" localSheetId="6" hidden="1">{"fdsup://directions/FAT Viewer?action=UPDATE&amp;creator=factSet&amp;DYN_ARGS=true&amp;DOC_NAME=FAT:RGQ_ENTRPR_VAL_EV_SOURCE_WINDOW.FAT&amp;VAR:ID1=GLT-FR&amp;window=popup&amp;width=535&amp;height=425&amp;START_MAXIMIZED=FALSE&amp;Y=120"}</definedName>
    <definedName name="_574__FDSAUDITLINK__" hidden="1">{"fdsup://directions/FAT Viewer?action=UPDATE&amp;creator=factSet&amp;DYN_ARGS=true&amp;DOC_NAME=FAT:RGQ_ENTRPR_VAL_EV_SOURCE_WINDOW.FAT&amp;VAR:ID1=GLT-FR&amp;window=popup&amp;width=535&amp;height=425&amp;START_MAXIMIZED=FALSE&amp;Y=120"}</definedName>
    <definedName name="_575__FDSAUDITLINK__" localSheetId="0" hidden="1">{"fdsup://directions/FAT Viewer?action=UPDATE&amp;creator=factSet&amp;DYN_ARGS=true&amp;DOC_NAME=FAT:RGA_ENTRPR_VAL_EV_SOURCE_WINDOW.FAT&amp;VAR:ID1=GLT-FR&amp;window=popup&amp;width=535&amp;height=425&amp;START_MAXIMIZED=FALSE&amp;Y=120"}</definedName>
    <definedName name="_575__FDSAUDITLINK__" localSheetId="6" hidden="1">{"fdsup://directions/FAT Viewer?action=UPDATE&amp;creator=factSet&amp;DYN_ARGS=true&amp;DOC_NAME=FAT:RGA_ENTRPR_VAL_EV_SOURCE_WINDOW.FAT&amp;VAR:ID1=GLT-FR&amp;window=popup&amp;width=535&amp;height=425&amp;START_MAXIMIZED=FALSE&amp;Y=120"}</definedName>
    <definedName name="_575__FDSAUDITLINK__" hidden="1">{"fdsup://directions/FAT Viewer?action=UPDATE&amp;creator=factSet&amp;DYN_ARGS=true&amp;DOC_NAME=FAT:RGA_ENTRPR_VAL_EV_SOURCE_WINDOW.FAT&amp;VAR:ID1=GLT-FR&amp;window=popup&amp;width=535&amp;height=425&amp;START_MAXIMIZED=FALSE&amp;Y=120"}</definedName>
    <definedName name="_576__FDSAUDITLINK__" localSheetId="0" hidden="1">{"fdsup://directions/FAT Viewer?action=UPDATE&amp;creator=factSet&amp;DYN_ARGS=true&amp;DOC_NAME=FAT:RGA_ENTRPR_VAL_EV_SOURCE_WINDOW.FAT&amp;VAR:ID1=GLT-FR&amp;window=popup&amp;width=535&amp;height=425&amp;START_MAXIMIZED=FALSE&amp;Y=120"}</definedName>
    <definedName name="_576__FDSAUDITLINK__" localSheetId="6" hidden="1">{"fdsup://directions/FAT Viewer?action=UPDATE&amp;creator=factSet&amp;DYN_ARGS=true&amp;DOC_NAME=FAT:RGA_ENTRPR_VAL_EV_SOURCE_WINDOW.FAT&amp;VAR:ID1=GLT-FR&amp;window=popup&amp;width=535&amp;height=425&amp;START_MAXIMIZED=FALSE&amp;Y=120"}</definedName>
    <definedName name="_576__FDSAUDITLINK__" hidden="1">{"fdsup://directions/FAT Viewer?action=UPDATE&amp;creator=factSet&amp;DYN_ARGS=true&amp;DOC_NAME=FAT:RGA_ENTRPR_VAL_EV_SOURCE_WINDOW.FAT&amp;VAR:ID1=GLT-FR&amp;window=popup&amp;width=535&amp;height=425&amp;START_MAXIMIZED=FALSE&amp;Y=120"}</definedName>
    <definedName name="_577__FDSAUDITLINK__" localSheetId="0" hidden="1">{"fdsup://directions/FAT Viewer?action=UPDATE&amp;creator=factSet&amp;DYN_ARGS=true&amp;DOC_NAME=FAT:RGA_ENTRPR_VAL_EV_SOURCE_WINDOW.FAT&amp;VAR:ID1=GLT-FR&amp;window=popup&amp;width=535&amp;height=425&amp;START_MAXIMIZED=FALSE&amp;Y=120"}</definedName>
    <definedName name="_577__FDSAUDITLINK__" localSheetId="6" hidden="1">{"fdsup://directions/FAT Viewer?action=UPDATE&amp;creator=factSet&amp;DYN_ARGS=true&amp;DOC_NAME=FAT:RGA_ENTRPR_VAL_EV_SOURCE_WINDOW.FAT&amp;VAR:ID1=GLT-FR&amp;window=popup&amp;width=535&amp;height=425&amp;START_MAXIMIZED=FALSE&amp;Y=120"}</definedName>
    <definedName name="_577__FDSAUDITLINK__" hidden="1">{"fdsup://directions/FAT Viewer?action=UPDATE&amp;creator=factSet&amp;DYN_ARGS=true&amp;DOC_NAME=FAT:RGA_ENTRPR_VAL_EV_SOURCE_WINDOW.FAT&amp;VAR:ID1=GLT-FR&amp;window=popup&amp;width=535&amp;height=425&amp;START_MAXIMIZED=FALSE&amp;Y=120"}</definedName>
    <definedName name="_578__FDSAUDITLINK__" localSheetId="0"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578__FDSAUDITLINK__" localSheetId="6"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578__FDSAUDITLINK__"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579__FDSAUDITLINK__" localSheetId="0" hidden="1">{"fdsup://Directions/FAT Viewer?action=UPDATE&amp;creator=factset&amp;DOC_NAME=fat:reuters_semi_source_window.fat&amp;display_string=Audit&amp;DYN_ARGS=TRUE&amp;VAR:ID1=561947&amp;VAR:RCODE=FDSENTRPRVAL&amp;VAR:SDATE=37711&amp;VAR:FREQ=Daily&amp;VAR:RELITEM=RF&amp;VAR:CURRENCY=EUR&amp;VAR:CURRSOURCE=","EXSHARE&amp;VAR:NATFREQ=FSA&amp;VAR:RFIELD=FINALIZED&amp;VAR:DB_TYPE=&amp;VAR:UNITS=M&amp;window=popup&amp;width=450&amp;height=300&amp;START_MAXIMIZED=FALSE"}</definedName>
    <definedName name="_579__FDSAUDITLINK__" localSheetId="6" hidden="1">{"fdsup://Directions/FAT Viewer?action=UPDATE&amp;creator=factset&amp;DOC_NAME=fat:reuters_semi_source_window.fat&amp;display_string=Audit&amp;DYN_ARGS=TRUE&amp;VAR:ID1=561947&amp;VAR:RCODE=FDSENTRPRVAL&amp;VAR:SDATE=37711&amp;VAR:FREQ=Daily&amp;VAR:RELITEM=RF&amp;VAR:CURRENCY=EUR&amp;VAR:CURRSOURCE=","EXSHARE&amp;VAR:NATFREQ=FSA&amp;VAR:RFIELD=FINALIZED&amp;VAR:DB_TYPE=&amp;VAR:UNITS=M&amp;window=popup&amp;width=450&amp;height=300&amp;START_MAXIMIZED=FALSE"}</definedName>
    <definedName name="_579__FDSAUDITLINK__" hidden="1">{"fdsup://Directions/FAT Viewer?action=UPDATE&amp;creator=factset&amp;DOC_NAME=fat:reuters_semi_source_window.fat&amp;display_string=Audit&amp;DYN_ARGS=TRUE&amp;VAR:ID1=561947&amp;VAR:RCODE=FDSENTRPRVAL&amp;VAR:SDATE=37711&amp;VAR:FREQ=Daily&amp;VAR:RELITEM=RF&amp;VAR:CURRENCY=EUR&amp;VAR:CURRSOURCE=","EXSHARE&amp;VAR:NATFREQ=FSA&amp;VAR:RFIELD=FINALIZED&amp;VAR:DB_TYPE=&amp;VAR:UNITS=M&amp;window=popup&amp;width=450&amp;height=300&amp;START_MAXIMIZED=FALSE"}</definedName>
    <definedName name="_58__123Graph_ACHART_1" hidden="1">#REF!</definedName>
    <definedName name="_58__123Graph_CCHART_32" hidden="1">#REF!</definedName>
    <definedName name="_58__123Graph_FCHART_22" hidden="1">#REF!</definedName>
    <definedName name="_58__123Graph_X_KD9196" hidden="1">#REF!</definedName>
    <definedName name="_58__123Graph_XMKT_MONTH" hidden="1">#REF!</definedName>
    <definedName name="_58__FDSAUDITLINK__" localSheetId="0" hidden="1">{"fdsup://directions/FAT Viewer?action=UPDATE&amp;creator=factSet&amp;DYN_ARGS=true&amp;DOC_NAME=FAT:RGA_ENTRPR_VAL_EV_SOURCE_WINDOW.FAT&amp;VAR:ID1=&amp;window=popup&amp;width=535&amp;height=425&amp;START_MAXIMIZED=FALSE&amp;Y=120"}</definedName>
    <definedName name="_58__FDSAUDITLINK__" localSheetId="6" hidden="1">{"fdsup://directions/FAT Viewer?action=UPDATE&amp;creator=factSet&amp;DYN_ARGS=true&amp;DOC_NAME=FAT:RGA_ENTRPR_VAL_EV_SOURCE_WINDOW.FAT&amp;VAR:ID1=&amp;window=popup&amp;width=535&amp;height=425&amp;START_MAXIMIZED=FALSE&amp;Y=120"}</definedName>
    <definedName name="_58__FDSAUDITLINK__" hidden="1">{"fdsup://directions/FAT Viewer?action=UPDATE&amp;creator=factSet&amp;DYN_ARGS=true&amp;DOC_NAME=FAT:RGA_ENTRPR_VAL_EV_SOURCE_WINDOW.FAT&amp;VAR:ID1=&amp;window=popup&amp;width=535&amp;height=425&amp;START_MAXIMIZED=FALSE&amp;Y=120"}</definedName>
    <definedName name="_58_0_K" hidden="1">#REF!</definedName>
    <definedName name="_580__FDSAUDITLINK__" localSheetId="0" hidden="1">{"fdsup://Directions/FAT Viewer?action=UPDATE&amp;creator=factset&amp;DOC_NAME=fat:reuters_semi_source_window.fat&amp;display_string=Audit&amp;DYN_ARGS=TRUE&amp;VAR:ID1=561947&amp;VAR:RCODE=FDSENTRPRVAL&amp;VAR:SDATE=37802&amp;VAR:FREQ=Daily&amp;VAR:RELITEM=RF&amp;VAR:CURRENCY=EUR&amp;VAR:CURRSOURCE=","EXSHARE&amp;VAR:NATFREQ=FSA&amp;VAR:RFIELD=FINALIZED&amp;VAR:DB_TYPE=&amp;VAR:UNITS=M&amp;window=popup&amp;width=450&amp;height=300&amp;START_MAXIMIZED=FALSE"}</definedName>
    <definedName name="_580__FDSAUDITLINK__" localSheetId="6" hidden="1">{"fdsup://Directions/FAT Viewer?action=UPDATE&amp;creator=factset&amp;DOC_NAME=fat:reuters_semi_source_window.fat&amp;display_string=Audit&amp;DYN_ARGS=TRUE&amp;VAR:ID1=561947&amp;VAR:RCODE=FDSENTRPRVAL&amp;VAR:SDATE=37802&amp;VAR:FREQ=Daily&amp;VAR:RELITEM=RF&amp;VAR:CURRENCY=EUR&amp;VAR:CURRSOURCE=","EXSHARE&amp;VAR:NATFREQ=FSA&amp;VAR:RFIELD=FINALIZED&amp;VAR:DB_TYPE=&amp;VAR:UNITS=M&amp;window=popup&amp;width=450&amp;height=300&amp;START_MAXIMIZED=FALSE"}</definedName>
    <definedName name="_580__FDSAUDITLINK__" hidden="1">{"fdsup://Directions/FAT Viewer?action=UPDATE&amp;creator=factset&amp;DOC_NAME=fat:reuters_semi_source_window.fat&amp;display_string=Audit&amp;DYN_ARGS=TRUE&amp;VAR:ID1=561947&amp;VAR:RCODE=FDSENTRPRVAL&amp;VAR:SDATE=37802&amp;VAR:FREQ=Daily&amp;VAR:RELITEM=RF&amp;VAR:CURRENCY=EUR&amp;VAR:CURRSOURCE=","EXSHARE&amp;VAR:NATFREQ=FSA&amp;VAR:RFIELD=FINALIZED&amp;VAR:DB_TYPE=&amp;VAR:UNITS=M&amp;window=popup&amp;width=450&amp;height=300&amp;START_MAXIMIZED=FALSE"}</definedName>
    <definedName name="_581__123Graph_FCHART_17" hidden="1">#REF!</definedName>
    <definedName name="_581__FDSAUDITLINK__" localSheetId="0" hidden="1">{"fdsup://Directions/FAT Viewer?action=UPDATE&amp;creator=factset&amp;DOC_NAME=fat:reuters_semi_source_window.fat&amp;display_string=Audit&amp;DYN_ARGS=TRUE&amp;VAR:ID1=561947&amp;VAR:RCODE=FDSENTRPRVAL&amp;VAR:SDATE=37894&amp;VAR:FREQ=Daily&amp;VAR:RELITEM=RF&amp;VAR:CURRENCY=EUR&amp;VAR:CURRSOURCE=","EXSHARE&amp;VAR:NATFREQ=FSA&amp;VAR:RFIELD=FINALIZED&amp;VAR:DB_TYPE=&amp;VAR:UNITS=M&amp;window=popup&amp;width=450&amp;height=300&amp;START_MAXIMIZED=FALSE"}</definedName>
    <definedName name="_581__FDSAUDITLINK__" localSheetId="6" hidden="1">{"fdsup://Directions/FAT Viewer?action=UPDATE&amp;creator=factset&amp;DOC_NAME=fat:reuters_semi_source_window.fat&amp;display_string=Audit&amp;DYN_ARGS=TRUE&amp;VAR:ID1=561947&amp;VAR:RCODE=FDSENTRPRVAL&amp;VAR:SDATE=37894&amp;VAR:FREQ=Daily&amp;VAR:RELITEM=RF&amp;VAR:CURRENCY=EUR&amp;VAR:CURRSOURCE=","EXSHARE&amp;VAR:NATFREQ=FSA&amp;VAR:RFIELD=FINALIZED&amp;VAR:DB_TYPE=&amp;VAR:UNITS=M&amp;window=popup&amp;width=450&amp;height=300&amp;START_MAXIMIZED=FALSE"}</definedName>
    <definedName name="_581__FDSAUDITLINK__" hidden="1">{"fdsup://Directions/FAT Viewer?action=UPDATE&amp;creator=factset&amp;DOC_NAME=fat:reuters_semi_source_window.fat&amp;display_string=Audit&amp;DYN_ARGS=TRUE&amp;VAR:ID1=561947&amp;VAR:RCODE=FDSENTRPRVAL&amp;VAR:SDATE=37894&amp;VAR:FREQ=Daily&amp;VAR:RELITEM=RF&amp;VAR:CURRENCY=EUR&amp;VAR:CURRSOURCE=","EXSHARE&amp;VAR:NATFREQ=FSA&amp;VAR:RFIELD=FINALIZED&amp;VAR:DB_TYPE=&amp;VAR:UNITS=M&amp;window=popup&amp;width=450&amp;height=300&amp;START_MAXIMIZED=FALSE"}</definedName>
    <definedName name="_582__FDSAUDITLINK__" localSheetId="0" hidden="1">{"fdsup://Directions/FAT Viewer?action=UPDATE&amp;creator=factset&amp;DOC_NAME=fat:reuters_semi_source_window.fat&amp;display_string=Audit&amp;DYN_ARGS=TRUE&amp;VAR:ID1=561947&amp;VAR:RCODE=FDSENTRPRVAL&amp;VAR:SDATE=37986&amp;VAR:FREQ=Daily&amp;VAR:RELITEM=RF&amp;VAR:CURRENCY=EUR&amp;VAR:CURRSOURCE=","EXSHARE&amp;VAR:NATFREQ=FSA&amp;VAR:RFIELD=FINALIZED&amp;VAR:DB_TYPE=&amp;VAR:UNITS=M&amp;window=popup&amp;width=450&amp;height=300&amp;START_MAXIMIZED=FALSE"}</definedName>
    <definedName name="_582__FDSAUDITLINK__" localSheetId="6" hidden="1">{"fdsup://Directions/FAT Viewer?action=UPDATE&amp;creator=factset&amp;DOC_NAME=fat:reuters_semi_source_window.fat&amp;display_string=Audit&amp;DYN_ARGS=TRUE&amp;VAR:ID1=561947&amp;VAR:RCODE=FDSENTRPRVAL&amp;VAR:SDATE=37986&amp;VAR:FREQ=Daily&amp;VAR:RELITEM=RF&amp;VAR:CURRENCY=EUR&amp;VAR:CURRSOURCE=","EXSHARE&amp;VAR:NATFREQ=FSA&amp;VAR:RFIELD=FINALIZED&amp;VAR:DB_TYPE=&amp;VAR:UNITS=M&amp;window=popup&amp;width=450&amp;height=300&amp;START_MAXIMIZED=FALSE"}</definedName>
    <definedName name="_582__FDSAUDITLINK__" hidden="1">{"fdsup://Directions/FAT Viewer?action=UPDATE&amp;creator=factset&amp;DOC_NAME=fat:reuters_semi_source_window.fat&amp;display_string=Audit&amp;DYN_ARGS=TRUE&amp;VAR:ID1=561947&amp;VAR:RCODE=FDSENTRPRVAL&amp;VAR:SDATE=37986&amp;VAR:FREQ=Daily&amp;VAR:RELITEM=RF&amp;VAR:CURRENCY=EUR&amp;VAR:CURRSOURCE=","EXSHARE&amp;VAR:NATFREQ=FSA&amp;VAR:RFIELD=FINALIZED&amp;VAR:DB_TYPE=&amp;VAR:UNITS=M&amp;window=popup&amp;width=450&amp;height=300&amp;START_MAXIMIZED=FALSE"}</definedName>
    <definedName name="_583__FDSAUDITLINK__" localSheetId="0" hidden="1">{"fdsup://Directions/FAT Viewer?action=UPDATE&amp;creator=factset&amp;DOC_NAME=fat:reuters_semi_source_window.fat&amp;display_string=Audit&amp;DYN_ARGS=TRUE&amp;VAR:ID1=561947&amp;VAR:RCODE=FDSENTRPRVAL&amp;VAR:SDATE=38077&amp;VAR:FREQ=Daily&amp;VAR:RELITEM=RF&amp;VAR:CURRENCY=EUR&amp;VAR:CURRSOURCE=","EXSHARE&amp;VAR:NATFREQ=FSA&amp;VAR:RFIELD=FINALIZED&amp;VAR:DB_TYPE=&amp;VAR:UNITS=M&amp;window=popup&amp;width=450&amp;height=300&amp;START_MAXIMIZED=FALSE"}</definedName>
    <definedName name="_583__FDSAUDITLINK__" localSheetId="6" hidden="1">{"fdsup://Directions/FAT Viewer?action=UPDATE&amp;creator=factset&amp;DOC_NAME=fat:reuters_semi_source_window.fat&amp;display_string=Audit&amp;DYN_ARGS=TRUE&amp;VAR:ID1=561947&amp;VAR:RCODE=FDSENTRPRVAL&amp;VAR:SDATE=38077&amp;VAR:FREQ=Daily&amp;VAR:RELITEM=RF&amp;VAR:CURRENCY=EUR&amp;VAR:CURRSOURCE=","EXSHARE&amp;VAR:NATFREQ=FSA&amp;VAR:RFIELD=FINALIZED&amp;VAR:DB_TYPE=&amp;VAR:UNITS=M&amp;window=popup&amp;width=450&amp;height=300&amp;START_MAXIMIZED=FALSE"}</definedName>
    <definedName name="_583__FDSAUDITLINK__" hidden="1">{"fdsup://Directions/FAT Viewer?action=UPDATE&amp;creator=factset&amp;DOC_NAME=fat:reuters_semi_source_window.fat&amp;display_string=Audit&amp;DYN_ARGS=TRUE&amp;VAR:ID1=561947&amp;VAR:RCODE=FDSENTRPRVAL&amp;VAR:SDATE=38077&amp;VAR:FREQ=Daily&amp;VAR:RELITEM=RF&amp;VAR:CURRENCY=EUR&amp;VAR:CURRSOURCE=","EXSHARE&amp;VAR:NATFREQ=FSA&amp;VAR:RFIELD=FINALIZED&amp;VAR:DB_TYPE=&amp;VAR:UNITS=M&amp;window=popup&amp;width=450&amp;height=300&amp;START_MAXIMIZED=FALSE"}</definedName>
    <definedName name="_584__FDSAUDITLINK__" localSheetId="0" hidden="1">{"fdsup://Directions/FAT Viewer?action=UPDATE&amp;creator=factset&amp;DOC_NAME=fat:reuters_semi_source_window.fat&amp;display_string=Audit&amp;DYN_ARGS=TRUE&amp;VAR:ID1=561947&amp;VAR:RCODE=FDSENTRPRVAL&amp;VAR:SDATE=38168&amp;VAR:FREQ=Daily&amp;VAR:RELITEM=RF&amp;VAR:CURRENCY=EUR&amp;VAR:CURRSOURCE=","EXSHARE&amp;VAR:NATFREQ=FSA&amp;VAR:RFIELD=FINALIZED&amp;VAR:DB_TYPE=&amp;VAR:UNITS=M&amp;window=popup&amp;width=450&amp;height=300&amp;START_MAXIMIZED=FALSE"}</definedName>
    <definedName name="_584__FDSAUDITLINK__" localSheetId="6" hidden="1">{"fdsup://Directions/FAT Viewer?action=UPDATE&amp;creator=factset&amp;DOC_NAME=fat:reuters_semi_source_window.fat&amp;display_string=Audit&amp;DYN_ARGS=TRUE&amp;VAR:ID1=561947&amp;VAR:RCODE=FDSENTRPRVAL&amp;VAR:SDATE=38168&amp;VAR:FREQ=Daily&amp;VAR:RELITEM=RF&amp;VAR:CURRENCY=EUR&amp;VAR:CURRSOURCE=","EXSHARE&amp;VAR:NATFREQ=FSA&amp;VAR:RFIELD=FINALIZED&amp;VAR:DB_TYPE=&amp;VAR:UNITS=M&amp;window=popup&amp;width=450&amp;height=300&amp;START_MAXIMIZED=FALSE"}</definedName>
    <definedName name="_584__FDSAUDITLINK__" hidden="1">{"fdsup://Directions/FAT Viewer?action=UPDATE&amp;creator=factset&amp;DOC_NAME=fat:reuters_semi_source_window.fat&amp;display_string=Audit&amp;DYN_ARGS=TRUE&amp;VAR:ID1=561947&amp;VAR:RCODE=FDSENTRPRVAL&amp;VAR:SDATE=38168&amp;VAR:FREQ=Daily&amp;VAR:RELITEM=RF&amp;VAR:CURRENCY=EUR&amp;VAR:CURRSOURCE=","EXSHARE&amp;VAR:NATFREQ=FSA&amp;VAR:RFIELD=FINALIZED&amp;VAR:DB_TYPE=&amp;VAR:UNITS=M&amp;window=popup&amp;width=450&amp;height=300&amp;START_MAXIMIZED=FALSE"}</definedName>
    <definedName name="_585__FDSAUDITLINK__" localSheetId="0" hidden="1">{"fdsup://Directions/FAT Viewer?action=UPDATE&amp;creator=factset&amp;DOC_NAME=fat:reuters_semi_source_window.fat&amp;display_string=Audit&amp;DYN_ARGS=TRUE&amp;VAR:ID1=561947&amp;VAR:RCODE=FDSENTRPRVAL&amp;VAR:SDATE=38260&amp;VAR:FREQ=Daily&amp;VAR:RELITEM=RF&amp;VAR:CURRENCY=EUR&amp;VAR:CURRSOURCE=","EXSHARE&amp;VAR:NATFREQ=FSA&amp;VAR:RFIELD=FINALIZED&amp;VAR:DB_TYPE=&amp;VAR:UNITS=M&amp;window=popup&amp;width=450&amp;height=300&amp;START_MAXIMIZED=FALSE"}</definedName>
    <definedName name="_585__FDSAUDITLINK__" localSheetId="6" hidden="1">{"fdsup://Directions/FAT Viewer?action=UPDATE&amp;creator=factset&amp;DOC_NAME=fat:reuters_semi_source_window.fat&amp;display_string=Audit&amp;DYN_ARGS=TRUE&amp;VAR:ID1=561947&amp;VAR:RCODE=FDSENTRPRVAL&amp;VAR:SDATE=38260&amp;VAR:FREQ=Daily&amp;VAR:RELITEM=RF&amp;VAR:CURRENCY=EUR&amp;VAR:CURRSOURCE=","EXSHARE&amp;VAR:NATFREQ=FSA&amp;VAR:RFIELD=FINALIZED&amp;VAR:DB_TYPE=&amp;VAR:UNITS=M&amp;window=popup&amp;width=450&amp;height=300&amp;START_MAXIMIZED=FALSE"}</definedName>
    <definedName name="_585__FDSAUDITLINK__" hidden="1">{"fdsup://Directions/FAT Viewer?action=UPDATE&amp;creator=factset&amp;DOC_NAME=fat:reuters_semi_source_window.fat&amp;display_string=Audit&amp;DYN_ARGS=TRUE&amp;VAR:ID1=561947&amp;VAR:RCODE=FDSENTRPRVAL&amp;VAR:SDATE=38260&amp;VAR:FREQ=Daily&amp;VAR:RELITEM=RF&amp;VAR:CURRENCY=EUR&amp;VAR:CURRSOURCE=","EXSHARE&amp;VAR:NATFREQ=FSA&amp;VAR:RFIELD=FINALIZED&amp;VAR:DB_TYPE=&amp;VAR:UNITS=M&amp;window=popup&amp;width=450&amp;height=300&amp;START_MAXIMIZED=FALSE"}</definedName>
    <definedName name="_586__FDSAUDITLINK__" localSheetId="0" hidden="1">{"fdsup://Directions/FAT Viewer?action=UPDATE&amp;creator=factset&amp;DOC_NAME=fat:reuters_semi_source_window.fat&amp;display_string=Audit&amp;DYN_ARGS=TRUE&amp;VAR:ID1=561947&amp;VAR:RCODE=FDSENTRPRVAL&amp;VAR:SDATE=38352&amp;VAR:FREQ=Daily&amp;VAR:RELITEM=RF&amp;VAR:CURRENCY=EUR&amp;VAR:CURRSOURCE=","EXSHARE&amp;VAR:NATFREQ=FSA&amp;VAR:RFIELD=FINALIZED&amp;VAR:DB_TYPE=&amp;VAR:UNITS=M&amp;window=popup&amp;width=450&amp;height=300&amp;START_MAXIMIZED=FALSE"}</definedName>
    <definedName name="_586__FDSAUDITLINK__" localSheetId="6" hidden="1">{"fdsup://Directions/FAT Viewer?action=UPDATE&amp;creator=factset&amp;DOC_NAME=fat:reuters_semi_source_window.fat&amp;display_string=Audit&amp;DYN_ARGS=TRUE&amp;VAR:ID1=561947&amp;VAR:RCODE=FDSENTRPRVAL&amp;VAR:SDATE=38352&amp;VAR:FREQ=Daily&amp;VAR:RELITEM=RF&amp;VAR:CURRENCY=EUR&amp;VAR:CURRSOURCE=","EXSHARE&amp;VAR:NATFREQ=FSA&amp;VAR:RFIELD=FINALIZED&amp;VAR:DB_TYPE=&amp;VAR:UNITS=M&amp;window=popup&amp;width=450&amp;height=300&amp;START_MAXIMIZED=FALSE"}</definedName>
    <definedName name="_586__FDSAUDITLINK__" hidden="1">{"fdsup://Directions/FAT Viewer?action=UPDATE&amp;creator=factset&amp;DOC_NAME=fat:reuters_semi_source_window.fat&amp;display_string=Audit&amp;DYN_ARGS=TRUE&amp;VAR:ID1=561947&amp;VAR:RCODE=FDSENTRPRVAL&amp;VAR:SDATE=38352&amp;VAR:FREQ=Daily&amp;VAR:RELITEM=RF&amp;VAR:CURRENCY=EUR&amp;VAR:CURRSOURCE=","EXSHARE&amp;VAR:NATFREQ=FSA&amp;VAR:RFIELD=FINALIZED&amp;VAR:DB_TYPE=&amp;VAR:UNITS=M&amp;window=popup&amp;width=450&amp;height=300&amp;START_MAXIMIZED=FALSE"}</definedName>
    <definedName name="_587__FDSAUDITLINK__" localSheetId="0" hidden="1">{"fdsup://Directions/FAT Viewer?action=UPDATE&amp;creator=factset&amp;DOC_NAME=fat:reuters_semi_source_window.fat&amp;display_string=Audit&amp;DYN_ARGS=TRUE&amp;VAR:ID1=561947&amp;VAR:RCODE=FDSENTRPRVAL&amp;VAR:SDATE=38442&amp;VAR:FREQ=Daily&amp;VAR:RELITEM=RF&amp;VAR:CURRENCY=EUR&amp;VAR:CURRSOURCE=","EXSHARE&amp;VAR:NATFREQ=FSA&amp;VAR:RFIELD=FINALIZED&amp;VAR:DB_TYPE=&amp;VAR:UNITS=M&amp;window=popup&amp;width=450&amp;height=300&amp;START_MAXIMIZED=FALSE"}</definedName>
    <definedName name="_587__FDSAUDITLINK__" localSheetId="6" hidden="1">{"fdsup://Directions/FAT Viewer?action=UPDATE&amp;creator=factset&amp;DOC_NAME=fat:reuters_semi_source_window.fat&amp;display_string=Audit&amp;DYN_ARGS=TRUE&amp;VAR:ID1=561947&amp;VAR:RCODE=FDSENTRPRVAL&amp;VAR:SDATE=38442&amp;VAR:FREQ=Daily&amp;VAR:RELITEM=RF&amp;VAR:CURRENCY=EUR&amp;VAR:CURRSOURCE=","EXSHARE&amp;VAR:NATFREQ=FSA&amp;VAR:RFIELD=FINALIZED&amp;VAR:DB_TYPE=&amp;VAR:UNITS=M&amp;window=popup&amp;width=450&amp;height=300&amp;START_MAXIMIZED=FALSE"}</definedName>
    <definedName name="_587__FDSAUDITLINK__" hidden="1">{"fdsup://Directions/FAT Viewer?action=UPDATE&amp;creator=factset&amp;DOC_NAME=fat:reuters_semi_source_window.fat&amp;display_string=Audit&amp;DYN_ARGS=TRUE&amp;VAR:ID1=561947&amp;VAR:RCODE=FDSENTRPRVAL&amp;VAR:SDATE=38442&amp;VAR:FREQ=Daily&amp;VAR:RELITEM=RF&amp;VAR:CURRENCY=EUR&amp;VAR:CURRSOURCE=","EXSHARE&amp;VAR:NATFREQ=FSA&amp;VAR:RFIELD=FINALIZED&amp;VAR:DB_TYPE=&amp;VAR:UNITS=M&amp;window=popup&amp;width=450&amp;height=300&amp;START_MAXIMIZED=FALSE"}</definedName>
    <definedName name="_588__FDSAUDITLINK__" localSheetId="0" hidden="1">{"fdsup://Directions/FAT Viewer?action=UPDATE&amp;creator=factset&amp;DOC_NAME=fat:reuters_semi_source_window.fat&amp;display_string=Audit&amp;DYN_ARGS=TRUE&amp;VAR:ID1=561947&amp;VAR:RCODE=FDSENTRPRVAL&amp;VAR:SDATE=38533&amp;VAR:FREQ=Daily&amp;VAR:RELITEM=RF&amp;VAR:CURRENCY=EUR&amp;VAR:CURRSOURCE=","EXSHARE&amp;VAR:NATFREQ=FSA&amp;VAR:RFIELD=FINALIZED&amp;VAR:DB_TYPE=&amp;VAR:UNITS=M&amp;window=popup&amp;width=450&amp;height=300&amp;START_MAXIMIZED=FALSE"}</definedName>
    <definedName name="_588__FDSAUDITLINK__" localSheetId="6" hidden="1">{"fdsup://Directions/FAT Viewer?action=UPDATE&amp;creator=factset&amp;DOC_NAME=fat:reuters_semi_source_window.fat&amp;display_string=Audit&amp;DYN_ARGS=TRUE&amp;VAR:ID1=561947&amp;VAR:RCODE=FDSENTRPRVAL&amp;VAR:SDATE=38533&amp;VAR:FREQ=Daily&amp;VAR:RELITEM=RF&amp;VAR:CURRENCY=EUR&amp;VAR:CURRSOURCE=","EXSHARE&amp;VAR:NATFREQ=FSA&amp;VAR:RFIELD=FINALIZED&amp;VAR:DB_TYPE=&amp;VAR:UNITS=M&amp;window=popup&amp;width=450&amp;height=300&amp;START_MAXIMIZED=FALSE"}</definedName>
    <definedName name="_588__FDSAUDITLINK__" hidden="1">{"fdsup://Directions/FAT Viewer?action=UPDATE&amp;creator=factset&amp;DOC_NAME=fat:reuters_semi_source_window.fat&amp;display_string=Audit&amp;DYN_ARGS=TRUE&amp;VAR:ID1=561947&amp;VAR:RCODE=FDSENTRPRVAL&amp;VAR:SDATE=38533&amp;VAR:FREQ=Daily&amp;VAR:RELITEM=RF&amp;VAR:CURRENCY=EUR&amp;VAR:CURRSOURCE=","EXSHARE&amp;VAR:NATFREQ=FSA&amp;VAR:RFIELD=FINALIZED&amp;VAR:DB_TYPE=&amp;VAR:UNITS=M&amp;window=popup&amp;width=450&amp;height=300&amp;START_MAXIMIZED=FALSE"}</definedName>
    <definedName name="_589__FDSAUDITLINK__" localSheetId="0" hidden="1">{"fdsup://Directions/FAT Viewer?action=UPDATE&amp;creator=factset&amp;DOC_NAME=fat:reuters_semi_source_window.fat&amp;display_string=Audit&amp;DYN_ARGS=TRUE&amp;VAR:ID1=561947&amp;VAR:RCODE=FDSENTRPRVAL&amp;VAR:SDATE=38625&amp;VAR:FREQ=Daily&amp;VAR:RELITEM=RF&amp;VAR:CURRENCY=EUR&amp;VAR:CURRSOURCE=","EXSHARE&amp;VAR:NATFREQ=FSA&amp;VAR:RFIELD=FINALIZED&amp;VAR:DB_TYPE=&amp;VAR:UNITS=M&amp;window=popup&amp;width=450&amp;height=300&amp;START_MAXIMIZED=FALSE"}</definedName>
    <definedName name="_589__FDSAUDITLINK__" localSheetId="6" hidden="1">{"fdsup://Directions/FAT Viewer?action=UPDATE&amp;creator=factset&amp;DOC_NAME=fat:reuters_semi_source_window.fat&amp;display_string=Audit&amp;DYN_ARGS=TRUE&amp;VAR:ID1=561947&amp;VAR:RCODE=FDSENTRPRVAL&amp;VAR:SDATE=38625&amp;VAR:FREQ=Daily&amp;VAR:RELITEM=RF&amp;VAR:CURRENCY=EUR&amp;VAR:CURRSOURCE=","EXSHARE&amp;VAR:NATFREQ=FSA&amp;VAR:RFIELD=FINALIZED&amp;VAR:DB_TYPE=&amp;VAR:UNITS=M&amp;window=popup&amp;width=450&amp;height=300&amp;START_MAXIMIZED=FALSE"}</definedName>
    <definedName name="_589__FDSAUDITLINK__" hidden="1">{"fdsup://Directions/FAT Viewer?action=UPDATE&amp;creator=factset&amp;DOC_NAME=fat:reuters_semi_source_window.fat&amp;display_string=Audit&amp;DYN_ARGS=TRUE&amp;VAR:ID1=561947&amp;VAR:RCODE=FDSENTRPRVAL&amp;VAR:SDATE=38625&amp;VAR:FREQ=Daily&amp;VAR:RELITEM=RF&amp;VAR:CURRENCY=EUR&amp;VAR:CURRSOURCE=","EXSHARE&amp;VAR:NATFREQ=FSA&amp;VAR:RFIELD=FINALIZED&amp;VAR:DB_TYPE=&amp;VAR:UNITS=M&amp;window=popup&amp;width=450&amp;height=300&amp;START_MAXIMIZED=FALSE"}</definedName>
    <definedName name="_59__123Graph_CCHART_33" hidden="1">#REF!</definedName>
    <definedName name="_59__123Graph_X_KD95" hidden="1">#REF!</definedName>
    <definedName name="_59__123Graph_XMKT_YTD" hidden="1">#REF!</definedName>
    <definedName name="_59__FDSAUDITLINK__" localSheetId="0" hidden="1">{"fdsup://directions/FAT Viewer?action=UPDATE&amp;creator=factSet&amp;DYN_ARGS=true&amp;DOC_NAME=FAT:RGA_ENTRPR_VAL_EV_SOURCE_WINDOW.FAT&amp;VAR:ID1=ADVS-US&amp;window=popup&amp;width=535&amp;height=425&amp;START_MAXIMIZED=FALSE&amp;Y=120"}</definedName>
    <definedName name="_59__FDSAUDITLINK__" localSheetId="6" hidden="1">{"fdsup://directions/FAT Viewer?action=UPDATE&amp;creator=factSet&amp;DYN_ARGS=true&amp;DOC_NAME=FAT:RGA_ENTRPR_VAL_EV_SOURCE_WINDOW.FAT&amp;VAR:ID1=ADVS-US&amp;window=popup&amp;width=535&amp;height=425&amp;START_MAXIMIZED=FALSE&amp;Y=120"}</definedName>
    <definedName name="_59__FDSAUDITLINK__" hidden="1">{"fdsup://directions/FAT Viewer?action=UPDATE&amp;creator=factSet&amp;DYN_ARGS=true&amp;DOC_NAME=FAT:RGA_ENTRPR_VAL_EV_SOURCE_WINDOW.FAT&amp;VAR:ID1=ADVS-US&amp;window=popup&amp;width=535&amp;height=425&amp;START_MAXIMIZED=FALSE&amp;Y=120"}</definedName>
    <definedName name="_59_0_K" hidden="1">#REF!</definedName>
    <definedName name="_590__FDSAUDITLINK__" localSheetId="0" hidden="1">{"fdsup://Directions/FAT Viewer?action=UPDATE&amp;creator=factset&amp;DOC_NAME=fat:reuters_semi_source_window.fat&amp;display_string=Audit&amp;DYN_ARGS=TRUE&amp;VAR:ID1=561947&amp;VAR:RCODE=FDSENTRPRVAL&amp;VAR:SDATE=38717&amp;VAR:FREQ=Daily&amp;VAR:RELITEM=RF&amp;VAR:CURRENCY=EUR&amp;VAR:CURRSOURCE=","EXSHARE&amp;VAR:NATFREQ=FSA&amp;VAR:RFIELD=FINALIZED&amp;VAR:DB_TYPE=&amp;VAR:UNITS=M&amp;window=popup&amp;width=450&amp;height=300&amp;START_MAXIMIZED=FALSE"}</definedName>
    <definedName name="_590__FDSAUDITLINK__" localSheetId="6" hidden="1">{"fdsup://Directions/FAT Viewer?action=UPDATE&amp;creator=factset&amp;DOC_NAME=fat:reuters_semi_source_window.fat&amp;display_string=Audit&amp;DYN_ARGS=TRUE&amp;VAR:ID1=561947&amp;VAR:RCODE=FDSENTRPRVAL&amp;VAR:SDATE=38717&amp;VAR:FREQ=Daily&amp;VAR:RELITEM=RF&amp;VAR:CURRENCY=EUR&amp;VAR:CURRSOURCE=","EXSHARE&amp;VAR:NATFREQ=FSA&amp;VAR:RFIELD=FINALIZED&amp;VAR:DB_TYPE=&amp;VAR:UNITS=M&amp;window=popup&amp;width=450&amp;height=300&amp;START_MAXIMIZED=FALSE"}</definedName>
    <definedName name="_590__FDSAUDITLINK__" hidden="1">{"fdsup://Directions/FAT Viewer?action=UPDATE&amp;creator=factset&amp;DOC_NAME=fat:reuters_semi_source_window.fat&amp;display_string=Audit&amp;DYN_ARGS=TRUE&amp;VAR:ID1=561947&amp;VAR:RCODE=FDSENTRPRVAL&amp;VAR:SDATE=38717&amp;VAR:FREQ=Daily&amp;VAR:RELITEM=RF&amp;VAR:CURRENCY=EUR&amp;VAR:CURRSOURCE=","EXSHARE&amp;VAR:NATFREQ=FSA&amp;VAR:RFIELD=FINALIZED&amp;VAR:DB_TYPE=&amp;VAR:UNITS=M&amp;window=popup&amp;width=450&amp;height=300&amp;START_MAXIMIZED=FALSE"}</definedName>
    <definedName name="_591__FDSAUDITLINK__" localSheetId="0" hidden="1">{"fdsup://Directions/FAT Viewer?action=UPDATE&amp;creator=factset&amp;DOC_NAME=fat:reuters_semi_source_window.fat&amp;display_string=Audit&amp;DYN_ARGS=TRUE&amp;VAR:ID1=561947&amp;VAR:RCODE=FDSENTRPRVAL&amp;VAR:SDATE=38807&amp;VAR:FREQ=Daily&amp;VAR:RELITEM=RF&amp;VAR:CURRENCY=EUR&amp;VAR:CURRSOURCE=","EXSHARE&amp;VAR:NATFREQ=FSA&amp;VAR:RFIELD=FINALIZED&amp;VAR:DB_TYPE=&amp;VAR:UNITS=M&amp;window=popup&amp;width=450&amp;height=300&amp;START_MAXIMIZED=FALSE"}</definedName>
    <definedName name="_591__FDSAUDITLINK__" localSheetId="6" hidden="1">{"fdsup://Directions/FAT Viewer?action=UPDATE&amp;creator=factset&amp;DOC_NAME=fat:reuters_semi_source_window.fat&amp;display_string=Audit&amp;DYN_ARGS=TRUE&amp;VAR:ID1=561947&amp;VAR:RCODE=FDSENTRPRVAL&amp;VAR:SDATE=38807&amp;VAR:FREQ=Daily&amp;VAR:RELITEM=RF&amp;VAR:CURRENCY=EUR&amp;VAR:CURRSOURCE=","EXSHARE&amp;VAR:NATFREQ=FSA&amp;VAR:RFIELD=FINALIZED&amp;VAR:DB_TYPE=&amp;VAR:UNITS=M&amp;window=popup&amp;width=450&amp;height=300&amp;START_MAXIMIZED=FALSE"}</definedName>
    <definedName name="_591__FDSAUDITLINK__" hidden="1">{"fdsup://Directions/FAT Viewer?action=UPDATE&amp;creator=factset&amp;DOC_NAME=fat:reuters_semi_source_window.fat&amp;display_string=Audit&amp;DYN_ARGS=TRUE&amp;VAR:ID1=561947&amp;VAR:RCODE=FDSENTRPRVAL&amp;VAR:SDATE=38807&amp;VAR:FREQ=Daily&amp;VAR:RELITEM=RF&amp;VAR:CURRENCY=EUR&amp;VAR:CURRSOURCE=","EXSHARE&amp;VAR:NATFREQ=FSA&amp;VAR:RFIELD=FINALIZED&amp;VAR:DB_TYPE=&amp;VAR:UNITS=M&amp;window=popup&amp;width=450&amp;height=300&amp;START_MAXIMIZED=FALSE"}</definedName>
    <definedName name="_592__FDSAUDITLINK__" localSheetId="0" hidden="1">{"fdsup://Directions/FAT Viewer?action=UPDATE&amp;creator=factset&amp;DOC_NAME=fat:reuters_semi_source_window.fat&amp;display_string=Audit&amp;DYN_ARGS=TRUE&amp;VAR:ID1=561947&amp;VAR:RCODE=FDSENTRPRVAL&amp;VAR:SDATE=38898&amp;VAR:FREQ=Daily&amp;VAR:RELITEM=RF&amp;VAR:CURRENCY=EUR&amp;VAR:CURRSOURCE=","EXSHARE&amp;VAR:NATFREQ=FSA&amp;VAR:RFIELD=FINALIZED&amp;VAR:DB_TYPE=&amp;VAR:UNITS=M&amp;window=popup&amp;width=450&amp;height=300&amp;START_MAXIMIZED=FALSE"}</definedName>
    <definedName name="_592__FDSAUDITLINK__" localSheetId="6" hidden="1">{"fdsup://Directions/FAT Viewer?action=UPDATE&amp;creator=factset&amp;DOC_NAME=fat:reuters_semi_source_window.fat&amp;display_string=Audit&amp;DYN_ARGS=TRUE&amp;VAR:ID1=561947&amp;VAR:RCODE=FDSENTRPRVAL&amp;VAR:SDATE=38898&amp;VAR:FREQ=Daily&amp;VAR:RELITEM=RF&amp;VAR:CURRENCY=EUR&amp;VAR:CURRSOURCE=","EXSHARE&amp;VAR:NATFREQ=FSA&amp;VAR:RFIELD=FINALIZED&amp;VAR:DB_TYPE=&amp;VAR:UNITS=M&amp;window=popup&amp;width=450&amp;height=300&amp;START_MAXIMIZED=FALSE"}</definedName>
    <definedName name="_592__FDSAUDITLINK__" hidden="1">{"fdsup://Directions/FAT Viewer?action=UPDATE&amp;creator=factset&amp;DOC_NAME=fat:reuters_semi_source_window.fat&amp;display_string=Audit&amp;DYN_ARGS=TRUE&amp;VAR:ID1=561947&amp;VAR:RCODE=FDSENTRPRVAL&amp;VAR:SDATE=38898&amp;VAR:FREQ=Daily&amp;VAR:RELITEM=RF&amp;VAR:CURRENCY=EUR&amp;VAR:CURRSOURCE=","EXSHARE&amp;VAR:NATFREQ=FSA&amp;VAR:RFIELD=FINALIZED&amp;VAR:DB_TYPE=&amp;VAR:UNITS=M&amp;window=popup&amp;width=450&amp;height=300&amp;START_MAXIMIZED=FALSE"}</definedName>
    <definedName name="_593__FDSAUDITLINK__" localSheetId="0" hidden="1">{"fdsup://Directions/FAT Viewer?action=UPDATE&amp;creator=factset&amp;DOC_NAME=fat:reuters_semi_source_window.fat&amp;display_string=Audit&amp;DYN_ARGS=TRUE&amp;VAR:ID1=561947&amp;VAR:RCODE=FDSENTRPRVAL&amp;VAR:SDATE=38990&amp;VAR:FREQ=Daily&amp;VAR:RELITEM=RF&amp;VAR:CURRENCY=EUR&amp;VAR:CURRSOURCE=","EXSHARE&amp;VAR:NATFREQ=FSA&amp;VAR:RFIELD=FINALIZED&amp;VAR:DB_TYPE=&amp;VAR:UNITS=M&amp;window=popup&amp;width=450&amp;height=300&amp;START_MAXIMIZED=FALSE"}</definedName>
    <definedName name="_593__FDSAUDITLINK__" localSheetId="6" hidden="1">{"fdsup://Directions/FAT Viewer?action=UPDATE&amp;creator=factset&amp;DOC_NAME=fat:reuters_semi_source_window.fat&amp;display_string=Audit&amp;DYN_ARGS=TRUE&amp;VAR:ID1=561947&amp;VAR:RCODE=FDSENTRPRVAL&amp;VAR:SDATE=38990&amp;VAR:FREQ=Daily&amp;VAR:RELITEM=RF&amp;VAR:CURRENCY=EUR&amp;VAR:CURRSOURCE=","EXSHARE&amp;VAR:NATFREQ=FSA&amp;VAR:RFIELD=FINALIZED&amp;VAR:DB_TYPE=&amp;VAR:UNITS=M&amp;window=popup&amp;width=450&amp;height=300&amp;START_MAXIMIZED=FALSE"}</definedName>
    <definedName name="_593__FDSAUDITLINK__" hidden="1">{"fdsup://Directions/FAT Viewer?action=UPDATE&amp;creator=factset&amp;DOC_NAME=fat:reuters_semi_source_window.fat&amp;display_string=Audit&amp;DYN_ARGS=TRUE&amp;VAR:ID1=561947&amp;VAR:RCODE=FDSENTRPRVAL&amp;VAR:SDATE=38990&amp;VAR:FREQ=Daily&amp;VAR:RELITEM=RF&amp;VAR:CURRENCY=EUR&amp;VAR:CURRSOURCE=","EXSHARE&amp;VAR:NATFREQ=FSA&amp;VAR:RFIELD=FINALIZED&amp;VAR:DB_TYPE=&amp;VAR:UNITS=M&amp;window=popup&amp;width=450&amp;height=300&amp;START_MAXIMIZED=FALSE"}</definedName>
    <definedName name="_594__123Graph_FCHART_19" hidden="1">#REF!</definedName>
    <definedName name="_594__FDSAUDITLINK__" localSheetId="0" hidden="1">{"fdsup://Directions/FAT Viewer?action=UPDATE&amp;creator=factset&amp;DOC_NAME=fat:reuters_semi_source_window.fat&amp;display_string=Audit&amp;DYN_ARGS=TRUE&amp;VAR:ID1=561947&amp;VAR:RCODE=FDSENTRPRVAL&amp;VAR:SDATE=39082&amp;VAR:FREQ=Daily&amp;VAR:RELITEM=RF&amp;VAR:CURRENCY=EUR&amp;VAR:CURRSOURCE=","EXSHARE&amp;VAR:NATFREQ=FSA&amp;VAR:RFIELD=FINALIZED&amp;VAR:DB_TYPE=&amp;VAR:UNITS=M&amp;window=popup&amp;width=450&amp;height=300&amp;START_MAXIMIZED=FALSE"}</definedName>
    <definedName name="_594__FDSAUDITLINK__" localSheetId="6" hidden="1">{"fdsup://Directions/FAT Viewer?action=UPDATE&amp;creator=factset&amp;DOC_NAME=fat:reuters_semi_source_window.fat&amp;display_string=Audit&amp;DYN_ARGS=TRUE&amp;VAR:ID1=561947&amp;VAR:RCODE=FDSENTRPRVAL&amp;VAR:SDATE=39082&amp;VAR:FREQ=Daily&amp;VAR:RELITEM=RF&amp;VAR:CURRENCY=EUR&amp;VAR:CURRSOURCE=","EXSHARE&amp;VAR:NATFREQ=FSA&amp;VAR:RFIELD=FINALIZED&amp;VAR:DB_TYPE=&amp;VAR:UNITS=M&amp;window=popup&amp;width=450&amp;height=300&amp;START_MAXIMIZED=FALSE"}</definedName>
    <definedName name="_594__FDSAUDITLINK__" hidden="1">{"fdsup://Directions/FAT Viewer?action=UPDATE&amp;creator=factset&amp;DOC_NAME=fat:reuters_semi_source_window.fat&amp;display_string=Audit&amp;DYN_ARGS=TRUE&amp;VAR:ID1=561947&amp;VAR:RCODE=FDSENTRPRVAL&amp;VAR:SDATE=39082&amp;VAR:FREQ=Daily&amp;VAR:RELITEM=RF&amp;VAR:CURRENCY=EUR&amp;VAR:CURRSOURCE=","EXSHARE&amp;VAR:NATFREQ=FSA&amp;VAR:RFIELD=FINALIZED&amp;VAR:DB_TYPE=&amp;VAR:UNITS=M&amp;window=popup&amp;width=450&amp;height=300&amp;START_MAXIMIZED=FALSE"}</definedName>
    <definedName name="_595__123Graph_FCHART_2" hidden="1">#REF!</definedName>
    <definedName name="_595__FDSAUDITLINK__" localSheetId="0" hidden="1">{"fdsup://Directions/FAT Viewer?action=UPDATE&amp;creator=factset&amp;DOC_NAME=fat:reuters_semi_source_window.fat&amp;display_string=Audit&amp;DYN_ARGS=TRUE&amp;VAR:ID1=561947&amp;VAR:RCODE=FDSENTRPRVAL&amp;VAR:SDATE=39172&amp;VAR:FREQ=Daily&amp;VAR:RELITEM=RF&amp;VAR:CURRENCY=EUR&amp;VAR:CURRSOURCE=","EXSHARE&amp;VAR:NATFREQ=FSA&amp;VAR:RFIELD=FINALIZED&amp;VAR:DB_TYPE=&amp;VAR:UNITS=M&amp;window=popup&amp;width=450&amp;height=300&amp;START_MAXIMIZED=FALSE"}</definedName>
    <definedName name="_595__FDSAUDITLINK__" localSheetId="6" hidden="1">{"fdsup://Directions/FAT Viewer?action=UPDATE&amp;creator=factset&amp;DOC_NAME=fat:reuters_semi_source_window.fat&amp;display_string=Audit&amp;DYN_ARGS=TRUE&amp;VAR:ID1=561947&amp;VAR:RCODE=FDSENTRPRVAL&amp;VAR:SDATE=39172&amp;VAR:FREQ=Daily&amp;VAR:RELITEM=RF&amp;VAR:CURRENCY=EUR&amp;VAR:CURRSOURCE=","EXSHARE&amp;VAR:NATFREQ=FSA&amp;VAR:RFIELD=FINALIZED&amp;VAR:DB_TYPE=&amp;VAR:UNITS=M&amp;window=popup&amp;width=450&amp;height=300&amp;START_MAXIMIZED=FALSE"}</definedName>
    <definedName name="_595__FDSAUDITLINK__" hidden="1">{"fdsup://Directions/FAT Viewer?action=UPDATE&amp;creator=factset&amp;DOC_NAME=fat:reuters_semi_source_window.fat&amp;display_string=Audit&amp;DYN_ARGS=TRUE&amp;VAR:ID1=561947&amp;VAR:RCODE=FDSENTRPRVAL&amp;VAR:SDATE=39172&amp;VAR:FREQ=Daily&amp;VAR:RELITEM=RF&amp;VAR:CURRENCY=EUR&amp;VAR:CURRSOURCE=","EXSHARE&amp;VAR:NATFREQ=FSA&amp;VAR:RFIELD=FINALIZED&amp;VAR:DB_TYPE=&amp;VAR:UNITS=M&amp;window=popup&amp;width=450&amp;height=300&amp;START_MAXIMIZED=FALSE"}</definedName>
    <definedName name="_596__FDSAUDITLINK__" localSheetId="0" hidden="1">{"fdsup://Directions/FAT Viewer?action=UPDATE&amp;creator=factset&amp;DOC_NAME=fat:reuters_semi_source_window.fat&amp;display_string=Audit&amp;DYN_ARGS=TRUE&amp;VAR:ID1=561947&amp;VAR:RCODE=FDSENTRPRVAL&amp;VAR:SDATE=39263&amp;VAR:FREQ=Daily&amp;VAR:RELITEM=RF&amp;VAR:CURRENCY=EUR&amp;VAR:CURRSOURCE=","EXSHARE&amp;VAR:NATFREQ=FSA&amp;VAR:RFIELD=FINALIZED&amp;VAR:DB_TYPE=&amp;VAR:UNITS=M&amp;window=popup&amp;width=450&amp;height=300&amp;START_MAXIMIZED=FALSE"}</definedName>
    <definedName name="_596__FDSAUDITLINK__" localSheetId="6" hidden="1">{"fdsup://Directions/FAT Viewer?action=UPDATE&amp;creator=factset&amp;DOC_NAME=fat:reuters_semi_source_window.fat&amp;display_string=Audit&amp;DYN_ARGS=TRUE&amp;VAR:ID1=561947&amp;VAR:RCODE=FDSENTRPRVAL&amp;VAR:SDATE=39263&amp;VAR:FREQ=Daily&amp;VAR:RELITEM=RF&amp;VAR:CURRENCY=EUR&amp;VAR:CURRSOURCE=","EXSHARE&amp;VAR:NATFREQ=FSA&amp;VAR:RFIELD=FINALIZED&amp;VAR:DB_TYPE=&amp;VAR:UNITS=M&amp;window=popup&amp;width=450&amp;height=300&amp;START_MAXIMIZED=FALSE"}</definedName>
    <definedName name="_596__FDSAUDITLINK__" hidden="1">{"fdsup://Directions/FAT Viewer?action=UPDATE&amp;creator=factset&amp;DOC_NAME=fat:reuters_semi_source_window.fat&amp;display_string=Audit&amp;DYN_ARGS=TRUE&amp;VAR:ID1=561947&amp;VAR:RCODE=FDSENTRPRVAL&amp;VAR:SDATE=39263&amp;VAR:FREQ=Daily&amp;VAR:RELITEM=RF&amp;VAR:CURRENCY=EUR&amp;VAR:CURRSOURCE=","EXSHARE&amp;VAR:NATFREQ=FSA&amp;VAR:RFIELD=FINALIZED&amp;VAR:DB_TYPE=&amp;VAR:UNITS=M&amp;window=popup&amp;width=450&amp;height=300&amp;START_MAXIMIZED=FALSE"}</definedName>
    <definedName name="_597__FDSAUDITLINK__" localSheetId="0" hidden="1">{"fdsup://Directions/FAT Viewer?action=UPDATE&amp;creator=factset&amp;DOC_NAME=fat:reuters_semi_source_window.fat&amp;display_string=Audit&amp;DYN_ARGS=TRUE&amp;VAR:ID1=561947&amp;VAR:RCODE=FDSENTRPRVAL&amp;VAR:SDATE=39355&amp;VAR:FREQ=Daily&amp;VAR:RELITEM=RF&amp;VAR:CURRENCY=EUR&amp;VAR:CURRSOURCE=","EXSHARE&amp;VAR:NATFREQ=FSA&amp;VAR:RFIELD=FINALIZED&amp;VAR:DB_TYPE=&amp;VAR:UNITS=M&amp;window=popup&amp;width=450&amp;height=300&amp;START_MAXIMIZED=FALSE"}</definedName>
    <definedName name="_597__FDSAUDITLINK__" localSheetId="6" hidden="1">{"fdsup://Directions/FAT Viewer?action=UPDATE&amp;creator=factset&amp;DOC_NAME=fat:reuters_semi_source_window.fat&amp;display_string=Audit&amp;DYN_ARGS=TRUE&amp;VAR:ID1=561947&amp;VAR:RCODE=FDSENTRPRVAL&amp;VAR:SDATE=39355&amp;VAR:FREQ=Daily&amp;VAR:RELITEM=RF&amp;VAR:CURRENCY=EUR&amp;VAR:CURRSOURCE=","EXSHARE&amp;VAR:NATFREQ=FSA&amp;VAR:RFIELD=FINALIZED&amp;VAR:DB_TYPE=&amp;VAR:UNITS=M&amp;window=popup&amp;width=450&amp;height=300&amp;START_MAXIMIZED=FALSE"}</definedName>
    <definedName name="_597__FDSAUDITLINK__" hidden="1">{"fdsup://Directions/FAT Viewer?action=UPDATE&amp;creator=factset&amp;DOC_NAME=fat:reuters_semi_source_window.fat&amp;display_string=Audit&amp;DYN_ARGS=TRUE&amp;VAR:ID1=561947&amp;VAR:RCODE=FDSENTRPRVAL&amp;VAR:SDATE=39355&amp;VAR:FREQ=Daily&amp;VAR:RELITEM=RF&amp;VAR:CURRENCY=EUR&amp;VAR:CURRSOURCE=","EXSHARE&amp;VAR:NATFREQ=FSA&amp;VAR:RFIELD=FINALIZED&amp;VAR:DB_TYPE=&amp;VAR:UNITS=M&amp;window=popup&amp;width=450&amp;height=300&amp;START_MAXIMIZED=FALSE"}</definedName>
    <definedName name="_598__FDSAUDITLINK__" localSheetId="0" hidden="1">{"fdsup://Directions/FAT Viewer?action=UPDATE&amp;creator=factset&amp;DOC_NAME=fat:reuters_semi_source_window.fat&amp;display_string=Audit&amp;DYN_ARGS=TRUE&amp;VAR:ID1=561947&amp;VAR:RCODE=FDSENTRPRVAL&amp;VAR:SDATE=39447&amp;VAR:FREQ=Daily&amp;VAR:RELITEM=RF&amp;VAR:CURRENCY=EUR&amp;VAR:CURRSOURCE=","EXSHARE&amp;VAR:NATFREQ=FSA&amp;VAR:RFIELD=FINALIZED&amp;VAR:DB_TYPE=&amp;VAR:UNITS=M&amp;window=popup&amp;width=450&amp;height=300&amp;START_MAXIMIZED=FALSE"}</definedName>
    <definedName name="_598__FDSAUDITLINK__" localSheetId="6" hidden="1">{"fdsup://Directions/FAT Viewer?action=UPDATE&amp;creator=factset&amp;DOC_NAME=fat:reuters_semi_source_window.fat&amp;display_string=Audit&amp;DYN_ARGS=TRUE&amp;VAR:ID1=561947&amp;VAR:RCODE=FDSENTRPRVAL&amp;VAR:SDATE=39447&amp;VAR:FREQ=Daily&amp;VAR:RELITEM=RF&amp;VAR:CURRENCY=EUR&amp;VAR:CURRSOURCE=","EXSHARE&amp;VAR:NATFREQ=FSA&amp;VAR:RFIELD=FINALIZED&amp;VAR:DB_TYPE=&amp;VAR:UNITS=M&amp;window=popup&amp;width=450&amp;height=300&amp;START_MAXIMIZED=FALSE"}</definedName>
    <definedName name="_598__FDSAUDITLINK__" hidden="1">{"fdsup://Directions/FAT Viewer?action=UPDATE&amp;creator=factset&amp;DOC_NAME=fat:reuters_semi_source_window.fat&amp;display_string=Audit&amp;DYN_ARGS=TRUE&amp;VAR:ID1=561947&amp;VAR:RCODE=FDSENTRPRVAL&amp;VAR:SDATE=39447&amp;VAR:FREQ=Daily&amp;VAR:RELITEM=RF&amp;VAR:CURRENCY=EUR&amp;VAR:CURRSOURCE=","EXSHARE&amp;VAR:NATFREQ=FSA&amp;VAR:RFIELD=FINALIZED&amp;VAR:DB_TYPE=&amp;VAR:UNITS=M&amp;window=popup&amp;width=450&amp;height=300&amp;START_MAXIMIZED=FALSE"}</definedName>
    <definedName name="_599__FDSAUDITLINK__" localSheetId="0"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599__FDSAUDITLINK__" localSheetId="6"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599__FDSAUDITLINK__" hidden="1">{"fdsup://Directions/FAT Viewer?action=UPDATE&amp;creator=factset&amp;DOC_NAME=fat:reuters_semi_source_window.fat&amp;display_string=Audit&amp;DYN_ARGS=TRUE&amp;VAR:ID1=561947&amp;VAR:RCODE=FDSENTRPRVAL&amp;VAR:SDATE=39538&amp;VAR:FREQ=Daily&amp;VAR:RELITEM=RF&amp;VAR:CURRENCY=EUR&amp;VAR:CURRSOURCE=","EXSHARE&amp;VAR:NATFREQ=FSA&amp;VAR:RFIELD=FINALIZED&amp;VAR:DB_TYPE=&amp;VAR:UNITS=M&amp;window=popup&amp;width=450&amp;height=300&amp;START_MAXIMIZED=FALSE"}</definedName>
    <definedName name="_5PGE_1">#REF!</definedName>
    <definedName name="_6_?88">#REF!</definedName>
    <definedName name="_6__123Graph_A_DM96" hidden="1">#REF!</definedName>
    <definedName name="_6__123Graph_ACHART_12" hidden="1">#REF!</definedName>
    <definedName name="_6__123Graph_ACHART_16" hidden="1">#REF!</definedName>
    <definedName name="_6__123Graph_ACHART_19" hidden="1">#REF!</definedName>
    <definedName name="_6__123Graph_ACHART_3" hidden="1">#REF!</definedName>
    <definedName name="_6__123Graph_AChart_5" hidden="1">#REF!</definedName>
    <definedName name="_6__123Graph_AMKT_YTD" hidden="1">#REF!</definedName>
    <definedName name="_6__123Graph_BCHART_1" hidden="1">#REF!</definedName>
    <definedName name="_6__123Graph_BCHART_14" hidden="1">#REF!</definedName>
    <definedName name="_6__123Graph_BPE_Y" hidden="1">#REF!</definedName>
    <definedName name="_6__123Graph_CCHART_1" hidden="1">#REF!</definedName>
    <definedName name="_6__123Graph_CCHART_15" hidden="1">#REF!</definedName>
    <definedName name="_6__123Graph_ECHART_1" hidden="1">#REF!</definedName>
    <definedName name="_6__123Graph_LBL_ACHART_1" hidden="1">#REF!</definedName>
    <definedName name="_6__123Graph_LBL_AMKT_YTD" hidden="1">#REF!</definedName>
    <definedName name="_6__123Graph_LBL_BPC_Y" hidden="1">#REF!</definedName>
    <definedName name="_6__123Graph_XCHART_2" hidden="1">#REF!</definedName>
    <definedName name="_6__FDSAUDITLINK__" localSheetId="0" hidden="1">{"fdsup://directions/FAT Viewer?action=UPDATE&amp;creator=factSet&amp;DYN_ARGS=true&amp;DOC_NAME=FAT:RGA_ENTRPR_VAL_EV_SOURCE_WINDOW.FAT&amp;VAR:ID1=EV&amp;window=popup&amp;width=535&amp;height=425&amp;START_MAXIMIZED=FALSE&amp;Y=120"}</definedName>
    <definedName name="_6__FDSAUDITLINK__" localSheetId="6" hidden="1">{"fdsup://directions/FAT Viewer?action=UPDATE&amp;creator=factSet&amp;DYN_ARGS=true&amp;DOC_NAME=FAT:RGA_ENTRPR_VAL_EV_SOURCE_WINDOW.FAT&amp;VAR:ID1=EV&amp;window=popup&amp;width=535&amp;height=425&amp;START_MAXIMIZED=FALSE&amp;Y=120"}</definedName>
    <definedName name="_6__FDSAUDITLINK__" hidden="1">{"fdsup://directions/FAT Viewer?action=UPDATE&amp;creator=factSet&amp;DYN_ARGS=true&amp;DOC_NAME=FAT:RGA_ENTRPR_VAL_EV_SOURCE_WINDOW.FAT&amp;VAR:ID1=EV&amp;window=popup&amp;width=535&amp;height=425&amp;START_MAXIMIZED=FALSE&amp;Y=120"}</definedName>
    <definedName name="_60__123Graph_BCHART_22" hidden="1">#REF!</definedName>
    <definedName name="_60__123Graph_BCHART_28" hidden="1">#REF!</definedName>
    <definedName name="_60__123Graph_CCHART_14" hidden="1">#REF!</definedName>
    <definedName name="_60__123Graph_CCHART_34" hidden="1">#REF!</definedName>
    <definedName name="_60__123Graph_X_KD956" hidden="1">#REF!</definedName>
    <definedName name="_60__123Graph_XCHART_15" hidden="1">#REF!</definedName>
    <definedName name="_60__FDSAUDITLINK__" localSheetId="0" hidden="1">{"fdsup://directions/FAT Viewer?action=UPDATE&amp;creator=factSet&amp;DYN_ARGS=true&amp;DOC_NAME=FAT:RGA_ENTRPR_VAL_EV_SOURCE_WINDOW.FAT&amp;VAR:ID1=5835.00772&amp;window=popup&amp;width=535&amp;height=425&amp;START_MAXIMIZED=FALSE&amp;Y=120"}</definedName>
    <definedName name="_60__FDSAUDITLINK__" localSheetId="6" hidden="1">{"fdsup://directions/FAT Viewer?action=UPDATE&amp;creator=factSet&amp;DYN_ARGS=true&amp;DOC_NAME=FAT:RGA_ENTRPR_VAL_EV_SOURCE_WINDOW.FAT&amp;VAR:ID1=5835.00772&amp;window=popup&amp;width=535&amp;height=425&amp;START_MAXIMIZED=FALSE&amp;Y=120"}</definedName>
    <definedName name="_60__FDSAUDITLINK__" hidden="1">{"fdsup://directions/FAT Viewer?action=UPDATE&amp;creator=factSet&amp;DYN_ARGS=true&amp;DOC_NAME=FAT:RGA_ENTRPR_VAL_EV_SOURCE_WINDOW.FAT&amp;VAR:ID1=5835.00772&amp;window=popup&amp;width=535&amp;height=425&amp;START_MAXIMIZED=FALSE&amp;Y=120"}</definedName>
    <definedName name="_60_0_K" hidden="1">#REF!</definedName>
    <definedName name="_600__FDSAUDITLINK__" localSheetId="0" hidden="1">{"fdsup://directions/FAT Viewer?action=UPDATE&amp;creator=factSet&amp;DYN_ARGS=true&amp;DOC_NAME=FAT:RGQ_ENTRPR_VAL_EV_SOURCE_WINDOW.FAT&amp;VAR:ID1=SIM-DK&amp;window=popup&amp;width=535&amp;height=425&amp;START_MAXIMIZED=FALSE&amp;Y=120"}</definedName>
    <definedName name="_600__FDSAUDITLINK__" localSheetId="6" hidden="1">{"fdsup://directions/FAT Viewer?action=UPDATE&amp;creator=factSet&amp;DYN_ARGS=true&amp;DOC_NAME=FAT:RGQ_ENTRPR_VAL_EV_SOURCE_WINDOW.FAT&amp;VAR:ID1=SIM-DK&amp;window=popup&amp;width=535&amp;height=425&amp;START_MAXIMIZED=FALSE&amp;Y=120"}</definedName>
    <definedName name="_600__FDSAUDITLINK__" hidden="1">{"fdsup://directions/FAT Viewer?action=UPDATE&amp;creator=factSet&amp;DYN_ARGS=true&amp;DOC_NAME=FAT:RGQ_ENTRPR_VAL_EV_SOURCE_WINDOW.FAT&amp;VAR:ID1=SIM-DK&amp;window=popup&amp;width=535&amp;height=425&amp;START_MAXIMIZED=FALSE&amp;Y=120"}</definedName>
    <definedName name="_601__FDSAUDITLINK__" localSheetId="0" hidden="1">{"fdsup://directions/FAT Viewer?action=UPDATE&amp;creator=factSet&amp;DYN_ARGS=true&amp;DOC_NAME=FAT:RGQ_ENTRPR_VAL_EV_SOURCE_WINDOW.FAT&amp;VAR:ID1=SIM-DK&amp;window=popup&amp;width=535&amp;height=425&amp;START_MAXIMIZED=FALSE&amp;Y=120"}</definedName>
    <definedName name="_601__FDSAUDITLINK__" localSheetId="6" hidden="1">{"fdsup://directions/FAT Viewer?action=UPDATE&amp;creator=factSet&amp;DYN_ARGS=true&amp;DOC_NAME=FAT:RGQ_ENTRPR_VAL_EV_SOURCE_WINDOW.FAT&amp;VAR:ID1=SIM-DK&amp;window=popup&amp;width=535&amp;height=425&amp;START_MAXIMIZED=FALSE&amp;Y=120"}</definedName>
    <definedName name="_601__FDSAUDITLINK__" hidden="1">{"fdsup://directions/FAT Viewer?action=UPDATE&amp;creator=factSet&amp;DYN_ARGS=true&amp;DOC_NAME=FAT:RGQ_ENTRPR_VAL_EV_SOURCE_WINDOW.FAT&amp;VAR:ID1=SIM-DK&amp;window=popup&amp;width=535&amp;height=425&amp;START_MAXIMIZED=FALSE&amp;Y=120"}</definedName>
    <definedName name="_602__FDSAUDITLINK__" localSheetId="0" hidden="1">{"fdsup://directions/FAT Viewer?action=UPDATE&amp;creator=factSet&amp;DYN_ARGS=true&amp;DOC_NAME=FAT:RGQ_ENTRPR_VAL_EV_SOURCE_WINDOW.FAT&amp;VAR:ID1=SIM-DK&amp;window=popup&amp;width=535&amp;height=425&amp;START_MAXIMIZED=FALSE&amp;Y=120"}</definedName>
    <definedName name="_602__FDSAUDITLINK__" localSheetId="6" hidden="1">{"fdsup://directions/FAT Viewer?action=UPDATE&amp;creator=factSet&amp;DYN_ARGS=true&amp;DOC_NAME=FAT:RGQ_ENTRPR_VAL_EV_SOURCE_WINDOW.FAT&amp;VAR:ID1=SIM-DK&amp;window=popup&amp;width=535&amp;height=425&amp;START_MAXIMIZED=FALSE&amp;Y=120"}</definedName>
    <definedName name="_602__FDSAUDITLINK__" hidden="1">{"fdsup://directions/FAT Viewer?action=UPDATE&amp;creator=factSet&amp;DYN_ARGS=true&amp;DOC_NAME=FAT:RGQ_ENTRPR_VAL_EV_SOURCE_WINDOW.FAT&amp;VAR:ID1=SIM-DK&amp;window=popup&amp;width=535&amp;height=425&amp;START_MAXIMIZED=FALSE&amp;Y=120"}</definedName>
    <definedName name="_603__FDSAUDITLINK__" localSheetId="0" hidden="1">{"fdsup://directions/FAT Viewer?action=UPDATE&amp;creator=factSet&amp;DYN_ARGS=true&amp;DOC_NAME=FAT:RGQ_ENTRPR_VAL_EV_SOURCE_WINDOW.FAT&amp;VAR:ID1=SIM-DK&amp;window=popup&amp;width=535&amp;height=425&amp;START_MAXIMIZED=FALSE&amp;Y=120"}</definedName>
    <definedName name="_603__FDSAUDITLINK__" localSheetId="6" hidden="1">{"fdsup://directions/FAT Viewer?action=UPDATE&amp;creator=factSet&amp;DYN_ARGS=true&amp;DOC_NAME=FAT:RGQ_ENTRPR_VAL_EV_SOURCE_WINDOW.FAT&amp;VAR:ID1=SIM-DK&amp;window=popup&amp;width=535&amp;height=425&amp;START_MAXIMIZED=FALSE&amp;Y=120"}</definedName>
    <definedName name="_603__FDSAUDITLINK__" hidden="1">{"fdsup://directions/FAT Viewer?action=UPDATE&amp;creator=factSet&amp;DYN_ARGS=true&amp;DOC_NAME=FAT:RGQ_ENTRPR_VAL_EV_SOURCE_WINDOW.FAT&amp;VAR:ID1=SIM-DK&amp;window=popup&amp;width=535&amp;height=425&amp;START_MAXIMIZED=FALSE&amp;Y=120"}</definedName>
    <definedName name="_604__FDSAUDITLINK__" localSheetId="0" hidden="1">{"fdsup://directions/FAT Viewer?action=UPDATE&amp;creator=factSet&amp;DYN_ARGS=true&amp;DOC_NAME=FAT:RGQ_ENTRPR_VAL_EV_SOURCE_WINDOW.FAT&amp;VAR:ID1=SIM-DK&amp;window=popup&amp;width=535&amp;height=425&amp;START_MAXIMIZED=FALSE&amp;Y=120"}</definedName>
    <definedName name="_604__FDSAUDITLINK__" localSheetId="6" hidden="1">{"fdsup://directions/FAT Viewer?action=UPDATE&amp;creator=factSet&amp;DYN_ARGS=true&amp;DOC_NAME=FAT:RGQ_ENTRPR_VAL_EV_SOURCE_WINDOW.FAT&amp;VAR:ID1=SIM-DK&amp;window=popup&amp;width=535&amp;height=425&amp;START_MAXIMIZED=FALSE&amp;Y=120"}</definedName>
    <definedName name="_604__FDSAUDITLINK__" hidden="1">{"fdsup://directions/FAT Viewer?action=UPDATE&amp;creator=factSet&amp;DYN_ARGS=true&amp;DOC_NAME=FAT:RGQ_ENTRPR_VAL_EV_SOURCE_WINDOW.FAT&amp;VAR:ID1=SIM-DK&amp;window=popup&amp;width=535&amp;height=425&amp;START_MAXIMIZED=FALSE&amp;Y=120"}</definedName>
    <definedName name="_605__FDSAUDITLINK__" localSheetId="0" hidden="1">{"fdsup://directions/FAT Viewer?action=UPDATE&amp;creator=factSet&amp;DYN_ARGS=true&amp;DOC_NAME=FAT:RGQ_ENTRPR_VAL_EV_SOURCE_WINDOW.FAT&amp;VAR:ID1=SIM-DK&amp;window=popup&amp;width=535&amp;height=425&amp;START_MAXIMIZED=FALSE&amp;Y=120"}</definedName>
    <definedName name="_605__FDSAUDITLINK__" localSheetId="6" hidden="1">{"fdsup://directions/FAT Viewer?action=UPDATE&amp;creator=factSet&amp;DYN_ARGS=true&amp;DOC_NAME=FAT:RGQ_ENTRPR_VAL_EV_SOURCE_WINDOW.FAT&amp;VAR:ID1=SIM-DK&amp;window=popup&amp;width=535&amp;height=425&amp;START_MAXIMIZED=FALSE&amp;Y=120"}</definedName>
    <definedName name="_605__FDSAUDITLINK__" hidden="1">{"fdsup://directions/FAT Viewer?action=UPDATE&amp;creator=factSet&amp;DYN_ARGS=true&amp;DOC_NAME=FAT:RGQ_ENTRPR_VAL_EV_SOURCE_WINDOW.FAT&amp;VAR:ID1=SIM-DK&amp;window=popup&amp;width=535&amp;height=425&amp;START_MAXIMIZED=FALSE&amp;Y=120"}</definedName>
    <definedName name="_606__FDSAUDITLINK__" localSheetId="0" hidden="1">{"fdsup://directions/FAT Viewer?action=UPDATE&amp;creator=factSet&amp;DYN_ARGS=true&amp;DOC_NAME=FAT:RGQ_ENTRPR_VAL_EV_SOURCE_WINDOW.FAT&amp;VAR:ID1=SIM-DK&amp;window=popup&amp;width=535&amp;height=425&amp;START_MAXIMIZED=FALSE&amp;Y=120"}</definedName>
    <definedName name="_606__FDSAUDITLINK__" localSheetId="6" hidden="1">{"fdsup://directions/FAT Viewer?action=UPDATE&amp;creator=factSet&amp;DYN_ARGS=true&amp;DOC_NAME=FAT:RGQ_ENTRPR_VAL_EV_SOURCE_WINDOW.FAT&amp;VAR:ID1=SIM-DK&amp;window=popup&amp;width=535&amp;height=425&amp;START_MAXIMIZED=FALSE&amp;Y=120"}</definedName>
    <definedName name="_606__FDSAUDITLINK__" hidden="1">{"fdsup://directions/FAT Viewer?action=UPDATE&amp;creator=factSet&amp;DYN_ARGS=true&amp;DOC_NAME=FAT:RGQ_ENTRPR_VAL_EV_SOURCE_WINDOW.FAT&amp;VAR:ID1=SIM-DK&amp;window=popup&amp;width=535&amp;height=425&amp;START_MAXIMIZED=FALSE&amp;Y=120"}</definedName>
    <definedName name="_607__FDSAUDITLINK__" localSheetId="0" hidden="1">{"fdsup://directions/FAT Viewer?action=UPDATE&amp;creator=factSet&amp;DYN_ARGS=true&amp;DOC_NAME=FAT:RGQ_ENTRPR_VAL_EV_SOURCE_WINDOW.FAT&amp;VAR:ID1=SIM-DK&amp;window=popup&amp;width=535&amp;height=425&amp;START_MAXIMIZED=FALSE&amp;Y=120"}</definedName>
    <definedName name="_607__FDSAUDITLINK__" localSheetId="6" hidden="1">{"fdsup://directions/FAT Viewer?action=UPDATE&amp;creator=factSet&amp;DYN_ARGS=true&amp;DOC_NAME=FAT:RGQ_ENTRPR_VAL_EV_SOURCE_WINDOW.FAT&amp;VAR:ID1=SIM-DK&amp;window=popup&amp;width=535&amp;height=425&amp;START_MAXIMIZED=FALSE&amp;Y=120"}</definedName>
    <definedName name="_607__FDSAUDITLINK__" hidden="1">{"fdsup://directions/FAT Viewer?action=UPDATE&amp;creator=factSet&amp;DYN_ARGS=true&amp;DOC_NAME=FAT:RGQ_ENTRPR_VAL_EV_SOURCE_WINDOW.FAT&amp;VAR:ID1=SIM-DK&amp;window=popup&amp;width=535&amp;height=425&amp;START_MAXIMIZED=FALSE&amp;Y=120"}</definedName>
    <definedName name="_608__123Graph_FCHART_22" hidden="1">#REF!</definedName>
    <definedName name="_608__FDSAUDITLINK__" localSheetId="0" hidden="1">{"fdsup://directions/FAT Viewer?action=UPDATE&amp;creator=factSet&amp;DYN_ARGS=true&amp;DOC_NAME=FAT:RGQ_ENTRPR_VAL_EV_SOURCE_WINDOW.FAT&amp;VAR:ID1=SIM-DK&amp;window=popup&amp;width=535&amp;height=425&amp;START_MAXIMIZED=FALSE&amp;Y=120"}</definedName>
    <definedName name="_608__FDSAUDITLINK__" localSheetId="6" hidden="1">{"fdsup://directions/FAT Viewer?action=UPDATE&amp;creator=factSet&amp;DYN_ARGS=true&amp;DOC_NAME=FAT:RGQ_ENTRPR_VAL_EV_SOURCE_WINDOW.FAT&amp;VAR:ID1=SIM-DK&amp;window=popup&amp;width=535&amp;height=425&amp;START_MAXIMIZED=FALSE&amp;Y=120"}</definedName>
    <definedName name="_608__FDSAUDITLINK__" hidden="1">{"fdsup://directions/FAT Viewer?action=UPDATE&amp;creator=factSet&amp;DYN_ARGS=true&amp;DOC_NAME=FAT:RGQ_ENTRPR_VAL_EV_SOURCE_WINDOW.FAT&amp;VAR:ID1=SIM-DK&amp;window=popup&amp;width=535&amp;height=425&amp;START_MAXIMIZED=FALSE&amp;Y=120"}</definedName>
    <definedName name="_609__FDSAUDITLINK__" localSheetId="0" hidden="1">{"fdsup://directions/FAT Viewer?action=UPDATE&amp;creator=factSet&amp;DYN_ARGS=true&amp;DOC_NAME=FAT:RGQ_ENTRPR_VAL_EV_SOURCE_WINDOW.FAT&amp;VAR:ID1=SIM-DK&amp;window=popup&amp;width=535&amp;height=425&amp;START_MAXIMIZED=FALSE&amp;Y=120"}</definedName>
    <definedName name="_609__FDSAUDITLINK__" localSheetId="6" hidden="1">{"fdsup://directions/FAT Viewer?action=UPDATE&amp;creator=factSet&amp;DYN_ARGS=true&amp;DOC_NAME=FAT:RGQ_ENTRPR_VAL_EV_SOURCE_WINDOW.FAT&amp;VAR:ID1=SIM-DK&amp;window=popup&amp;width=535&amp;height=425&amp;START_MAXIMIZED=FALSE&amp;Y=120"}</definedName>
    <definedName name="_609__FDSAUDITLINK__" hidden="1">{"fdsup://directions/FAT Viewer?action=UPDATE&amp;creator=factSet&amp;DYN_ARGS=true&amp;DOC_NAME=FAT:RGQ_ENTRPR_VAL_EV_SOURCE_WINDOW.FAT&amp;VAR:ID1=SIM-DK&amp;window=popup&amp;width=535&amp;height=425&amp;START_MAXIMIZED=FALSE&amp;Y=120"}</definedName>
    <definedName name="_61__123Graph_ACHART_2" hidden="1">#REF!</definedName>
    <definedName name="_61__123Graph_BCHART_3" hidden="1">#REF!</definedName>
    <definedName name="_61__123Graph_Bｸﾞﾗﾌ_1" hidden="1">#REF!</definedName>
    <definedName name="_61__123Graph_CCHART_2" hidden="1">#REF!</definedName>
    <definedName name="_61__123Graph_CCHART_4" hidden="1">#REF!</definedName>
    <definedName name="_61__123Graph_X_KD96" hidden="1">#REF!</definedName>
    <definedName name="_61__FDSAUDITLINK__" localSheetId="0" hidden="1">{"fdsup://directions/FAT Viewer?action=UPDATE&amp;creator=factSet&amp;DYN_ARGS=true&amp;DOC_NAME=FAT:RGA_ENTRPR_VAL_EV_SOURCE_WINDOW.FAT&amp;VAR:ID1=2074.98412&amp;window=popup&amp;width=535&amp;height=425&amp;START_MAXIMIZED=FALSE&amp;Y=120"}</definedName>
    <definedName name="_61__FDSAUDITLINK__" localSheetId="6" hidden="1">{"fdsup://directions/FAT Viewer?action=UPDATE&amp;creator=factSet&amp;DYN_ARGS=true&amp;DOC_NAME=FAT:RGA_ENTRPR_VAL_EV_SOURCE_WINDOW.FAT&amp;VAR:ID1=2074.98412&amp;window=popup&amp;width=535&amp;height=425&amp;START_MAXIMIZED=FALSE&amp;Y=120"}</definedName>
    <definedName name="_61__FDSAUDITLINK__" hidden="1">{"fdsup://directions/FAT Viewer?action=UPDATE&amp;creator=factSet&amp;DYN_ARGS=true&amp;DOC_NAME=FAT:RGA_ENTRPR_VAL_EV_SOURCE_WINDOW.FAT&amp;VAR:ID1=2074.98412&amp;window=popup&amp;width=535&amp;height=425&amp;START_MAXIMIZED=FALSE&amp;Y=120"}</definedName>
    <definedName name="_610__FDSAUDITLINK__" localSheetId="0" hidden="1">{"fdsup://directions/FAT Viewer?action=UPDATE&amp;creator=factSet&amp;DYN_ARGS=true&amp;DOC_NAME=FAT:RGQ_ENTRPR_VAL_EV_SOURCE_WINDOW.FAT&amp;VAR:ID1=SIM-DK&amp;window=popup&amp;width=535&amp;height=425&amp;START_MAXIMIZED=FALSE&amp;Y=120"}</definedName>
    <definedName name="_610__FDSAUDITLINK__" localSheetId="6" hidden="1">{"fdsup://directions/FAT Viewer?action=UPDATE&amp;creator=factSet&amp;DYN_ARGS=true&amp;DOC_NAME=FAT:RGQ_ENTRPR_VAL_EV_SOURCE_WINDOW.FAT&amp;VAR:ID1=SIM-DK&amp;window=popup&amp;width=535&amp;height=425&amp;START_MAXIMIZED=FALSE&amp;Y=120"}</definedName>
    <definedName name="_610__FDSAUDITLINK__" hidden="1">{"fdsup://directions/FAT Viewer?action=UPDATE&amp;creator=factSet&amp;DYN_ARGS=true&amp;DOC_NAME=FAT:RGQ_ENTRPR_VAL_EV_SOURCE_WINDOW.FAT&amp;VAR:ID1=SIM-DK&amp;window=popup&amp;width=535&amp;height=425&amp;START_MAXIMIZED=FALSE&amp;Y=120"}</definedName>
    <definedName name="_611__FDSAUDITLINK__" localSheetId="0" hidden="1">{"fdsup://directions/FAT Viewer?action=UPDATE&amp;creator=factSet&amp;DYN_ARGS=true&amp;DOC_NAME=FAT:RGQ_ENTRPR_VAL_EV_SOURCE_WINDOW.FAT&amp;VAR:ID1=SIM-DK&amp;window=popup&amp;width=535&amp;height=425&amp;START_MAXIMIZED=FALSE&amp;Y=120"}</definedName>
    <definedName name="_611__FDSAUDITLINK__" localSheetId="6" hidden="1">{"fdsup://directions/FAT Viewer?action=UPDATE&amp;creator=factSet&amp;DYN_ARGS=true&amp;DOC_NAME=FAT:RGQ_ENTRPR_VAL_EV_SOURCE_WINDOW.FAT&amp;VAR:ID1=SIM-DK&amp;window=popup&amp;width=535&amp;height=425&amp;START_MAXIMIZED=FALSE&amp;Y=120"}</definedName>
    <definedName name="_611__FDSAUDITLINK__" hidden="1">{"fdsup://directions/FAT Viewer?action=UPDATE&amp;creator=factSet&amp;DYN_ARGS=true&amp;DOC_NAME=FAT:RGQ_ENTRPR_VAL_EV_SOURCE_WINDOW.FAT&amp;VAR:ID1=SIM-DK&amp;window=popup&amp;width=535&amp;height=425&amp;START_MAXIMIZED=FALSE&amp;Y=120"}</definedName>
    <definedName name="_612__FDSAUDITLINK__" localSheetId="0" hidden="1">{"fdsup://directions/FAT Viewer?action=UPDATE&amp;creator=factSet&amp;DYN_ARGS=true&amp;DOC_NAME=FAT:RGQ_ENTRPR_VAL_EV_SOURCE_WINDOW.FAT&amp;VAR:ID1=SIM-DK&amp;window=popup&amp;width=535&amp;height=425&amp;START_MAXIMIZED=FALSE&amp;Y=120"}</definedName>
    <definedName name="_612__FDSAUDITLINK__" localSheetId="6" hidden="1">{"fdsup://directions/FAT Viewer?action=UPDATE&amp;creator=factSet&amp;DYN_ARGS=true&amp;DOC_NAME=FAT:RGQ_ENTRPR_VAL_EV_SOURCE_WINDOW.FAT&amp;VAR:ID1=SIM-DK&amp;window=popup&amp;width=535&amp;height=425&amp;START_MAXIMIZED=FALSE&amp;Y=120"}</definedName>
    <definedName name="_612__FDSAUDITLINK__" hidden="1">{"fdsup://directions/FAT Viewer?action=UPDATE&amp;creator=factSet&amp;DYN_ARGS=true&amp;DOC_NAME=FAT:RGQ_ENTRPR_VAL_EV_SOURCE_WINDOW.FAT&amp;VAR:ID1=SIM-DK&amp;window=popup&amp;width=535&amp;height=425&amp;START_MAXIMIZED=FALSE&amp;Y=120"}</definedName>
    <definedName name="_613__FDSAUDITLINK__" localSheetId="0" hidden="1">{"fdsup://directions/FAT Viewer?action=UPDATE&amp;creator=factSet&amp;DYN_ARGS=true&amp;DOC_NAME=FAT:RGQ_ENTRPR_VAL_EV_SOURCE_WINDOW.FAT&amp;VAR:ID1=SIM-DK&amp;window=popup&amp;width=535&amp;height=425&amp;START_MAXIMIZED=FALSE&amp;Y=120"}</definedName>
    <definedName name="_613__FDSAUDITLINK__" localSheetId="6" hidden="1">{"fdsup://directions/FAT Viewer?action=UPDATE&amp;creator=factSet&amp;DYN_ARGS=true&amp;DOC_NAME=FAT:RGQ_ENTRPR_VAL_EV_SOURCE_WINDOW.FAT&amp;VAR:ID1=SIM-DK&amp;window=popup&amp;width=535&amp;height=425&amp;START_MAXIMIZED=FALSE&amp;Y=120"}</definedName>
    <definedName name="_613__FDSAUDITLINK__" hidden="1">{"fdsup://directions/FAT Viewer?action=UPDATE&amp;creator=factSet&amp;DYN_ARGS=true&amp;DOC_NAME=FAT:RGQ_ENTRPR_VAL_EV_SOURCE_WINDOW.FAT&amp;VAR:ID1=SIM-DK&amp;window=popup&amp;width=535&amp;height=425&amp;START_MAXIMIZED=FALSE&amp;Y=120"}</definedName>
    <definedName name="_614__FDSAUDITLINK__" localSheetId="0" hidden="1">{"fdsup://directions/FAT Viewer?action=UPDATE&amp;creator=factSet&amp;DYN_ARGS=true&amp;DOC_NAME=FAT:RGQ_ENTRPR_VAL_EV_SOURCE_WINDOW.FAT&amp;VAR:ID1=SIM-DK&amp;window=popup&amp;width=535&amp;height=425&amp;START_MAXIMIZED=FALSE&amp;Y=120"}</definedName>
    <definedName name="_614__FDSAUDITLINK__" localSheetId="6" hidden="1">{"fdsup://directions/FAT Viewer?action=UPDATE&amp;creator=factSet&amp;DYN_ARGS=true&amp;DOC_NAME=FAT:RGQ_ENTRPR_VAL_EV_SOURCE_WINDOW.FAT&amp;VAR:ID1=SIM-DK&amp;window=popup&amp;width=535&amp;height=425&amp;START_MAXIMIZED=FALSE&amp;Y=120"}</definedName>
    <definedName name="_614__FDSAUDITLINK__" hidden="1">{"fdsup://directions/FAT Viewer?action=UPDATE&amp;creator=factSet&amp;DYN_ARGS=true&amp;DOC_NAME=FAT:RGQ_ENTRPR_VAL_EV_SOURCE_WINDOW.FAT&amp;VAR:ID1=SIM-DK&amp;window=popup&amp;width=535&amp;height=425&amp;START_MAXIMIZED=FALSE&amp;Y=120"}</definedName>
    <definedName name="_615__FDSAUDITLINK__" localSheetId="0" hidden="1">{"fdsup://directions/FAT Viewer?action=UPDATE&amp;creator=factSet&amp;DYN_ARGS=true&amp;DOC_NAME=FAT:RGQ_ENTRPR_VAL_EV_SOURCE_WINDOW.FAT&amp;VAR:ID1=SIM-DK&amp;window=popup&amp;width=535&amp;height=425&amp;START_MAXIMIZED=FALSE&amp;Y=120"}</definedName>
    <definedName name="_615__FDSAUDITLINK__" localSheetId="6" hidden="1">{"fdsup://directions/FAT Viewer?action=UPDATE&amp;creator=factSet&amp;DYN_ARGS=true&amp;DOC_NAME=FAT:RGQ_ENTRPR_VAL_EV_SOURCE_WINDOW.FAT&amp;VAR:ID1=SIM-DK&amp;window=popup&amp;width=535&amp;height=425&amp;START_MAXIMIZED=FALSE&amp;Y=120"}</definedName>
    <definedName name="_615__FDSAUDITLINK__" hidden="1">{"fdsup://directions/FAT Viewer?action=UPDATE&amp;creator=factSet&amp;DYN_ARGS=true&amp;DOC_NAME=FAT:RGQ_ENTRPR_VAL_EV_SOURCE_WINDOW.FAT&amp;VAR:ID1=SIM-DK&amp;window=popup&amp;width=535&amp;height=425&amp;START_MAXIMIZED=FALSE&amp;Y=120"}</definedName>
    <definedName name="_616__FDSAUDITLINK__" localSheetId="0" hidden="1">{"fdsup://directions/FAT Viewer?action=UPDATE&amp;creator=factSet&amp;DYN_ARGS=true&amp;DOC_NAME=FAT:RGQ_ENTRPR_VAL_EV_SOURCE_WINDOW.FAT&amp;VAR:ID1=SIM-DK&amp;window=popup&amp;width=535&amp;height=425&amp;START_MAXIMIZED=FALSE&amp;Y=120"}</definedName>
    <definedName name="_616__FDSAUDITLINK__" localSheetId="6" hidden="1">{"fdsup://directions/FAT Viewer?action=UPDATE&amp;creator=factSet&amp;DYN_ARGS=true&amp;DOC_NAME=FAT:RGQ_ENTRPR_VAL_EV_SOURCE_WINDOW.FAT&amp;VAR:ID1=SIM-DK&amp;window=popup&amp;width=535&amp;height=425&amp;START_MAXIMIZED=FALSE&amp;Y=120"}</definedName>
    <definedName name="_616__FDSAUDITLINK__" hidden="1">{"fdsup://directions/FAT Viewer?action=UPDATE&amp;creator=factSet&amp;DYN_ARGS=true&amp;DOC_NAME=FAT:RGQ_ENTRPR_VAL_EV_SOURCE_WINDOW.FAT&amp;VAR:ID1=SIM-DK&amp;window=popup&amp;width=535&amp;height=425&amp;START_MAXIMIZED=FALSE&amp;Y=120"}</definedName>
    <definedName name="_617__FDSAUDITLINK__" localSheetId="0" hidden="1">{"fdsup://directions/FAT Viewer?action=UPDATE&amp;creator=factSet&amp;DYN_ARGS=true&amp;DOC_NAME=FAT:RGQ_ENTRPR_VAL_EV_SOURCE_WINDOW.FAT&amp;VAR:ID1=SIM-DK&amp;window=popup&amp;width=535&amp;height=425&amp;START_MAXIMIZED=FALSE&amp;Y=120"}</definedName>
    <definedName name="_617__FDSAUDITLINK__" localSheetId="6" hidden="1">{"fdsup://directions/FAT Viewer?action=UPDATE&amp;creator=factSet&amp;DYN_ARGS=true&amp;DOC_NAME=FAT:RGQ_ENTRPR_VAL_EV_SOURCE_WINDOW.FAT&amp;VAR:ID1=SIM-DK&amp;window=popup&amp;width=535&amp;height=425&amp;START_MAXIMIZED=FALSE&amp;Y=120"}</definedName>
    <definedName name="_617__FDSAUDITLINK__" hidden="1">{"fdsup://directions/FAT Viewer?action=UPDATE&amp;creator=factSet&amp;DYN_ARGS=true&amp;DOC_NAME=FAT:RGQ_ENTRPR_VAL_EV_SOURCE_WINDOW.FAT&amp;VAR:ID1=SIM-DK&amp;window=popup&amp;width=535&amp;height=425&amp;START_MAXIMIZED=FALSE&amp;Y=120"}</definedName>
    <definedName name="_618__FDSAUDITLINK__" localSheetId="0" hidden="1">{"fdsup://directions/FAT Viewer?action=UPDATE&amp;creator=factSet&amp;DYN_ARGS=true&amp;DOC_NAME=FAT:RGQ_ENTRPR_VAL_EV_SOURCE_WINDOW.FAT&amp;VAR:ID1=SIM-DK&amp;window=popup&amp;width=535&amp;height=425&amp;START_MAXIMIZED=FALSE&amp;Y=120"}</definedName>
    <definedName name="_618__FDSAUDITLINK__" localSheetId="6" hidden="1">{"fdsup://directions/FAT Viewer?action=UPDATE&amp;creator=factSet&amp;DYN_ARGS=true&amp;DOC_NAME=FAT:RGQ_ENTRPR_VAL_EV_SOURCE_WINDOW.FAT&amp;VAR:ID1=SIM-DK&amp;window=popup&amp;width=535&amp;height=425&amp;START_MAXIMIZED=FALSE&amp;Y=120"}</definedName>
    <definedName name="_618__FDSAUDITLINK__" hidden="1">{"fdsup://directions/FAT Viewer?action=UPDATE&amp;creator=factSet&amp;DYN_ARGS=true&amp;DOC_NAME=FAT:RGQ_ENTRPR_VAL_EV_SOURCE_WINDOW.FAT&amp;VAR:ID1=SIM-DK&amp;window=popup&amp;width=535&amp;height=425&amp;START_MAXIMIZED=FALSE&amp;Y=120"}</definedName>
    <definedName name="_619__FDSAUDITLINK__" localSheetId="0" hidden="1">{"fdsup://directions/FAT Viewer?action=UPDATE&amp;creator=factSet&amp;DYN_ARGS=true&amp;DOC_NAME=FAT:RGQ_ENTRPR_VAL_EV_SOURCE_WINDOW.FAT&amp;VAR:ID1=SIM-DK&amp;window=popup&amp;width=535&amp;height=425&amp;START_MAXIMIZED=FALSE&amp;Y=120"}</definedName>
    <definedName name="_619__FDSAUDITLINK__" localSheetId="6" hidden="1">{"fdsup://directions/FAT Viewer?action=UPDATE&amp;creator=factSet&amp;DYN_ARGS=true&amp;DOC_NAME=FAT:RGQ_ENTRPR_VAL_EV_SOURCE_WINDOW.FAT&amp;VAR:ID1=SIM-DK&amp;window=popup&amp;width=535&amp;height=425&amp;START_MAXIMIZED=FALSE&amp;Y=120"}</definedName>
    <definedName name="_619__FDSAUDITLINK__" hidden="1">{"fdsup://directions/FAT Viewer?action=UPDATE&amp;creator=factSet&amp;DYN_ARGS=true&amp;DOC_NAME=FAT:RGQ_ENTRPR_VAL_EV_SOURCE_WINDOW.FAT&amp;VAR:ID1=SIM-DK&amp;window=popup&amp;width=535&amp;height=425&amp;START_MAXIMIZED=FALSE&amp;Y=120"}</definedName>
    <definedName name="_62__123Graph_CCHART_5" hidden="1">#REF!</definedName>
    <definedName name="_62__123Graph_DCHART_1" hidden="1">#REF!</definedName>
    <definedName name="_62__123Graph_XCHART_16" hidden="1">#REF!</definedName>
    <definedName name="_62__123Graph_XIND9596" hidden="1">#REF!</definedName>
    <definedName name="_62__FDSAUDITLINK__" localSheetId="0" hidden="1">{"fdsup://directions/FAT Viewer?action=UPDATE&amp;creator=factSet&amp;DYN_ARGS=true&amp;DOC_NAME=FAT:RGA_ENTRPR_VAL_EV_SOURCE_WINDOW.FAT&amp;VAR:ID1=EV&amp;window=popup&amp;width=535&amp;height=425&amp;START_MAXIMIZED=FALSE&amp;Y=120"}</definedName>
    <definedName name="_62__FDSAUDITLINK__" localSheetId="6" hidden="1">{"fdsup://directions/FAT Viewer?action=UPDATE&amp;creator=factSet&amp;DYN_ARGS=true&amp;DOC_NAME=FAT:RGA_ENTRPR_VAL_EV_SOURCE_WINDOW.FAT&amp;VAR:ID1=EV&amp;window=popup&amp;width=535&amp;height=425&amp;START_MAXIMIZED=FALSE&amp;Y=120"}</definedName>
    <definedName name="_62__FDSAUDITLINK__" hidden="1">{"fdsup://directions/FAT Viewer?action=UPDATE&amp;creator=factSet&amp;DYN_ARGS=true&amp;DOC_NAME=FAT:RGA_ENTRPR_VAL_EV_SOURCE_WINDOW.FAT&amp;VAR:ID1=EV&amp;window=popup&amp;width=535&amp;height=425&amp;START_MAXIMIZED=FALSE&amp;Y=120"}</definedName>
    <definedName name="_620__FDSAUDITLINK__" localSheetId="0" hidden="1">{"fdsup://directions/FAT Viewer?action=UPDATE&amp;creator=factSet&amp;DYN_ARGS=true&amp;DOC_NAME=FAT:RGQ_ENTRPR_VAL_EV_SOURCE_WINDOW.FAT&amp;VAR:ID1=SIM-DK&amp;window=popup&amp;width=535&amp;height=425&amp;START_MAXIMIZED=FALSE&amp;Y=120"}</definedName>
    <definedName name="_620__FDSAUDITLINK__" localSheetId="6" hidden="1">{"fdsup://directions/FAT Viewer?action=UPDATE&amp;creator=factSet&amp;DYN_ARGS=true&amp;DOC_NAME=FAT:RGQ_ENTRPR_VAL_EV_SOURCE_WINDOW.FAT&amp;VAR:ID1=SIM-DK&amp;window=popup&amp;width=535&amp;height=425&amp;START_MAXIMIZED=FALSE&amp;Y=120"}</definedName>
    <definedName name="_620__FDSAUDITLINK__" hidden="1">{"fdsup://directions/FAT Viewer?action=UPDATE&amp;creator=factSet&amp;DYN_ARGS=true&amp;DOC_NAME=FAT:RGQ_ENTRPR_VAL_EV_SOURCE_WINDOW.FAT&amp;VAR:ID1=SIM-DK&amp;window=popup&amp;width=535&amp;height=425&amp;START_MAXIMIZED=FALSE&amp;Y=120"}</definedName>
    <definedName name="_621__123Graph_FCHART_24" hidden="1">#REF!</definedName>
    <definedName name="_621__FDSAUDITLINK__" localSheetId="0" hidden="1">{"fdsup://directions/FAT Viewer?action=UPDATE&amp;creator=factSet&amp;DYN_ARGS=true&amp;DOC_NAME=FAT:RGQ_ENTRPR_VAL_EV_SOURCE_WINDOW.FAT&amp;VAR:ID1=SIM-DK&amp;window=popup&amp;width=535&amp;height=425&amp;START_MAXIMIZED=FALSE&amp;Y=120"}</definedName>
    <definedName name="_621__FDSAUDITLINK__" localSheetId="6" hidden="1">{"fdsup://directions/FAT Viewer?action=UPDATE&amp;creator=factSet&amp;DYN_ARGS=true&amp;DOC_NAME=FAT:RGQ_ENTRPR_VAL_EV_SOURCE_WINDOW.FAT&amp;VAR:ID1=SIM-DK&amp;window=popup&amp;width=535&amp;height=425&amp;START_MAXIMIZED=FALSE&amp;Y=120"}</definedName>
    <definedName name="_621__FDSAUDITLINK__" hidden="1">{"fdsup://directions/FAT Viewer?action=UPDATE&amp;creator=factSet&amp;DYN_ARGS=true&amp;DOC_NAME=FAT:RGQ_ENTRPR_VAL_EV_SOURCE_WINDOW.FAT&amp;VAR:ID1=SIM-DK&amp;window=popup&amp;width=535&amp;height=425&amp;START_MAXIMIZED=FALSE&amp;Y=120"}</definedName>
    <definedName name="_622__FDSAUDITLINK__" localSheetId="0" hidden="1">{"fdsup://directions/FAT Viewer?action=UPDATE&amp;creator=factSet&amp;DYN_ARGS=true&amp;DOC_NAME=FAT:RGQ_ENTRPR_VAL_EV_SOURCE_WINDOW.FAT&amp;VAR:ID1=FDSA-GB&amp;window=popup&amp;width=535&amp;height=425&amp;START_MAXIMIZED=FALSE&amp;Y=120"}</definedName>
    <definedName name="_622__FDSAUDITLINK__" localSheetId="6" hidden="1">{"fdsup://directions/FAT Viewer?action=UPDATE&amp;creator=factSet&amp;DYN_ARGS=true&amp;DOC_NAME=FAT:RGQ_ENTRPR_VAL_EV_SOURCE_WINDOW.FAT&amp;VAR:ID1=FDSA-GB&amp;window=popup&amp;width=535&amp;height=425&amp;START_MAXIMIZED=FALSE&amp;Y=120"}</definedName>
    <definedName name="_622__FDSAUDITLINK__" hidden="1">{"fdsup://directions/FAT Viewer?action=UPDATE&amp;creator=factSet&amp;DYN_ARGS=true&amp;DOC_NAME=FAT:RGQ_ENTRPR_VAL_EV_SOURCE_WINDOW.FAT&amp;VAR:ID1=FDSA-GB&amp;window=popup&amp;width=535&amp;height=425&amp;START_MAXIMIZED=FALSE&amp;Y=120"}</definedName>
    <definedName name="_623__FDSAUDITLINK__" localSheetId="0" hidden="1">{"fdsup://directions/FAT Viewer?action=UPDATE&amp;creator=factSet&amp;DYN_ARGS=true&amp;DOC_NAME=FAT:RGQ_ENTRPR_VAL_EV_SOURCE_WINDOW.FAT&amp;VAR:ID1=FDSA-GB&amp;window=popup&amp;width=535&amp;height=425&amp;START_MAXIMIZED=FALSE&amp;Y=120"}</definedName>
    <definedName name="_623__FDSAUDITLINK__" localSheetId="6" hidden="1">{"fdsup://directions/FAT Viewer?action=UPDATE&amp;creator=factSet&amp;DYN_ARGS=true&amp;DOC_NAME=FAT:RGQ_ENTRPR_VAL_EV_SOURCE_WINDOW.FAT&amp;VAR:ID1=FDSA-GB&amp;window=popup&amp;width=535&amp;height=425&amp;START_MAXIMIZED=FALSE&amp;Y=120"}</definedName>
    <definedName name="_623__FDSAUDITLINK__" hidden="1">{"fdsup://directions/FAT Viewer?action=UPDATE&amp;creator=factSet&amp;DYN_ARGS=true&amp;DOC_NAME=FAT:RGQ_ENTRPR_VAL_EV_SOURCE_WINDOW.FAT&amp;VAR:ID1=FDSA-GB&amp;window=popup&amp;width=535&amp;height=425&amp;START_MAXIMIZED=FALSE&amp;Y=120"}</definedName>
    <definedName name="_624__FDSAUDITLINK__" localSheetId="0" hidden="1">{"fdsup://directions/FAT Viewer?action=UPDATE&amp;creator=factSet&amp;DYN_ARGS=true&amp;DOC_NAME=FAT:RGQ_ENTRPR_VAL_EV_SOURCE_WINDOW.FAT&amp;VAR:ID1=FDSA-GB&amp;window=popup&amp;width=535&amp;height=425&amp;START_MAXIMIZED=FALSE&amp;Y=120"}</definedName>
    <definedName name="_624__FDSAUDITLINK__" localSheetId="6" hidden="1">{"fdsup://directions/FAT Viewer?action=UPDATE&amp;creator=factSet&amp;DYN_ARGS=true&amp;DOC_NAME=FAT:RGQ_ENTRPR_VAL_EV_SOURCE_WINDOW.FAT&amp;VAR:ID1=FDSA-GB&amp;window=popup&amp;width=535&amp;height=425&amp;START_MAXIMIZED=FALSE&amp;Y=120"}</definedName>
    <definedName name="_624__FDSAUDITLINK__" hidden="1">{"fdsup://directions/FAT Viewer?action=UPDATE&amp;creator=factSet&amp;DYN_ARGS=true&amp;DOC_NAME=FAT:RGQ_ENTRPR_VAL_EV_SOURCE_WINDOW.FAT&amp;VAR:ID1=FDSA-GB&amp;window=popup&amp;width=535&amp;height=425&amp;START_MAXIMIZED=FALSE&amp;Y=120"}</definedName>
    <definedName name="_625__123Graph_FCHART_26" hidden="1">#REF!</definedName>
    <definedName name="_625__FDSAUDITLINK__" localSheetId="0" hidden="1">{"fdsup://directions/FAT Viewer?action=UPDATE&amp;creator=factSet&amp;DYN_ARGS=true&amp;DOC_NAME=FAT:RGQ_ENTRPR_VAL_EV_SOURCE_WINDOW.FAT&amp;VAR:ID1=FDSA-GB&amp;window=popup&amp;width=535&amp;height=425&amp;START_MAXIMIZED=FALSE&amp;Y=120"}</definedName>
    <definedName name="_625__FDSAUDITLINK__" localSheetId="6" hidden="1">{"fdsup://directions/FAT Viewer?action=UPDATE&amp;creator=factSet&amp;DYN_ARGS=true&amp;DOC_NAME=FAT:RGQ_ENTRPR_VAL_EV_SOURCE_WINDOW.FAT&amp;VAR:ID1=FDSA-GB&amp;window=popup&amp;width=535&amp;height=425&amp;START_MAXIMIZED=FALSE&amp;Y=120"}</definedName>
    <definedName name="_625__FDSAUDITLINK__" hidden="1">{"fdsup://directions/FAT Viewer?action=UPDATE&amp;creator=factSet&amp;DYN_ARGS=true&amp;DOC_NAME=FAT:RGQ_ENTRPR_VAL_EV_SOURCE_WINDOW.FAT&amp;VAR:ID1=FDSA-GB&amp;window=popup&amp;width=535&amp;height=425&amp;START_MAXIMIZED=FALSE&amp;Y=120"}</definedName>
    <definedName name="_626__FDSAUDITLINK__" localSheetId="0" hidden="1">{"fdsup://directions/FAT Viewer?action=UPDATE&amp;creator=factSet&amp;DYN_ARGS=true&amp;DOC_NAME=FAT:RGQ_ENTRPR_VAL_EV_SOURCE_WINDOW.FAT&amp;VAR:ID1=FDSA-GB&amp;window=popup&amp;width=535&amp;height=425&amp;START_MAXIMIZED=FALSE&amp;Y=120"}</definedName>
    <definedName name="_626__FDSAUDITLINK__" localSheetId="6" hidden="1">{"fdsup://directions/FAT Viewer?action=UPDATE&amp;creator=factSet&amp;DYN_ARGS=true&amp;DOC_NAME=FAT:RGQ_ENTRPR_VAL_EV_SOURCE_WINDOW.FAT&amp;VAR:ID1=FDSA-GB&amp;window=popup&amp;width=535&amp;height=425&amp;START_MAXIMIZED=FALSE&amp;Y=120"}</definedName>
    <definedName name="_626__FDSAUDITLINK__" hidden="1">{"fdsup://directions/FAT Viewer?action=UPDATE&amp;creator=factSet&amp;DYN_ARGS=true&amp;DOC_NAME=FAT:RGQ_ENTRPR_VAL_EV_SOURCE_WINDOW.FAT&amp;VAR:ID1=FDSA-GB&amp;window=popup&amp;width=535&amp;height=425&amp;START_MAXIMIZED=FALSE&amp;Y=120"}</definedName>
    <definedName name="_627__FDSAUDITLINK__" localSheetId="0" hidden="1">{"fdsup://directions/FAT Viewer?action=UPDATE&amp;creator=factSet&amp;DYN_ARGS=true&amp;DOC_NAME=FAT:RGQ_ENTRPR_VAL_EV_SOURCE_WINDOW.FAT&amp;VAR:ID1=FDSA-GB&amp;window=popup&amp;width=535&amp;height=425&amp;START_MAXIMIZED=FALSE&amp;Y=120"}</definedName>
    <definedName name="_627__FDSAUDITLINK__" localSheetId="6" hidden="1">{"fdsup://directions/FAT Viewer?action=UPDATE&amp;creator=factSet&amp;DYN_ARGS=true&amp;DOC_NAME=FAT:RGQ_ENTRPR_VAL_EV_SOURCE_WINDOW.FAT&amp;VAR:ID1=FDSA-GB&amp;window=popup&amp;width=535&amp;height=425&amp;START_MAXIMIZED=FALSE&amp;Y=120"}</definedName>
    <definedName name="_627__FDSAUDITLINK__" hidden="1">{"fdsup://directions/FAT Viewer?action=UPDATE&amp;creator=factSet&amp;DYN_ARGS=true&amp;DOC_NAME=FAT:RGQ_ENTRPR_VAL_EV_SOURCE_WINDOW.FAT&amp;VAR:ID1=FDSA-GB&amp;window=popup&amp;width=535&amp;height=425&amp;START_MAXIMIZED=FALSE&amp;Y=120"}</definedName>
    <definedName name="_628__FDSAUDITLINK__" localSheetId="0" hidden="1">{"fdsup://directions/FAT Viewer?action=UPDATE&amp;creator=factSet&amp;DYN_ARGS=true&amp;DOC_NAME=FAT:RGQ_ENTRPR_VAL_EV_SOURCE_WINDOW.FAT&amp;VAR:ID1=FDSA-GB&amp;window=popup&amp;width=535&amp;height=425&amp;START_MAXIMIZED=FALSE&amp;Y=120"}</definedName>
    <definedName name="_628__FDSAUDITLINK__" localSheetId="6" hidden="1">{"fdsup://directions/FAT Viewer?action=UPDATE&amp;creator=factSet&amp;DYN_ARGS=true&amp;DOC_NAME=FAT:RGQ_ENTRPR_VAL_EV_SOURCE_WINDOW.FAT&amp;VAR:ID1=FDSA-GB&amp;window=popup&amp;width=535&amp;height=425&amp;START_MAXIMIZED=FALSE&amp;Y=120"}</definedName>
    <definedName name="_628__FDSAUDITLINK__" hidden="1">{"fdsup://directions/FAT Viewer?action=UPDATE&amp;creator=factSet&amp;DYN_ARGS=true&amp;DOC_NAME=FAT:RGQ_ENTRPR_VAL_EV_SOURCE_WINDOW.FAT&amp;VAR:ID1=FDSA-GB&amp;window=popup&amp;width=535&amp;height=425&amp;START_MAXIMIZED=FALSE&amp;Y=120"}</definedName>
    <definedName name="_629__123Graph_FCHART_28" hidden="1">#REF!</definedName>
    <definedName name="_629__FDSAUDITLINK__" localSheetId="0" hidden="1">{"fdsup://directions/FAT Viewer?action=UPDATE&amp;creator=factSet&amp;DYN_ARGS=true&amp;DOC_NAME=FAT:RGQ_ENTRPR_VAL_EV_SOURCE_WINDOW.FAT&amp;VAR:ID1=FDSA-GB&amp;window=popup&amp;width=535&amp;height=425&amp;START_MAXIMIZED=FALSE&amp;Y=120"}</definedName>
    <definedName name="_629__FDSAUDITLINK__" localSheetId="6" hidden="1">{"fdsup://directions/FAT Viewer?action=UPDATE&amp;creator=factSet&amp;DYN_ARGS=true&amp;DOC_NAME=FAT:RGQ_ENTRPR_VAL_EV_SOURCE_WINDOW.FAT&amp;VAR:ID1=FDSA-GB&amp;window=popup&amp;width=535&amp;height=425&amp;START_MAXIMIZED=FALSE&amp;Y=120"}</definedName>
    <definedName name="_629__FDSAUDITLINK__" hidden="1">{"fdsup://directions/FAT Viewer?action=UPDATE&amp;creator=factSet&amp;DYN_ARGS=true&amp;DOC_NAME=FAT:RGQ_ENTRPR_VAL_EV_SOURCE_WINDOW.FAT&amp;VAR:ID1=FDSA-GB&amp;window=popup&amp;width=535&amp;height=425&amp;START_MAXIMIZED=FALSE&amp;Y=120"}</definedName>
    <definedName name="_63__123Graph_XCHART_1" hidden="1">#REF!</definedName>
    <definedName name="_63__123Graph_XINDX9196" hidden="1">#REF!</definedName>
    <definedName name="_63__FDSAUDITLINK__" localSheetId="0" hidden="1">{"fdsup://directions/FAT Viewer?action=UPDATE&amp;creator=factSet&amp;DYN_ARGS=true&amp;DOC_NAME=FAT:RGA_ENTRPR_VAL_EV_SOURCE_WINDOW.FAT&amp;VAR:ID1=&amp;window=popup&amp;width=535&amp;height=425&amp;START_MAXIMIZED=FALSE&amp;Y=120"}</definedName>
    <definedName name="_63__FDSAUDITLINK__" localSheetId="6" hidden="1">{"fdsup://directions/FAT Viewer?action=UPDATE&amp;creator=factSet&amp;DYN_ARGS=true&amp;DOC_NAME=FAT:RGA_ENTRPR_VAL_EV_SOURCE_WINDOW.FAT&amp;VAR:ID1=&amp;window=popup&amp;width=535&amp;height=425&amp;START_MAXIMIZED=FALSE&amp;Y=120"}</definedName>
    <definedName name="_63__FDSAUDITLINK__" hidden="1">{"fdsup://directions/FAT Viewer?action=UPDATE&amp;creator=factSet&amp;DYN_ARGS=true&amp;DOC_NAME=FAT:RGA_ENTRPR_VAL_EV_SOURCE_WINDOW.FAT&amp;VAR:ID1=&amp;window=popup&amp;width=535&amp;height=425&amp;START_MAXIMIZED=FALSE&amp;Y=120"}</definedName>
    <definedName name="_630__FDSAUDITLINK__" localSheetId="0" hidden="1">{"fdsup://directions/FAT Viewer?action=UPDATE&amp;creator=factSet&amp;DYN_ARGS=true&amp;DOC_NAME=FAT:RGQ_ENTRPR_VAL_EV_SOURCE_WINDOW.FAT&amp;VAR:ID1=FDSA-GB&amp;window=popup&amp;width=535&amp;height=425&amp;START_MAXIMIZED=FALSE&amp;Y=120"}</definedName>
    <definedName name="_630__FDSAUDITLINK__" localSheetId="6" hidden="1">{"fdsup://directions/FAT Viewer?action=UPDATE&amp;creator=factSet&amp;DYN_ARGS=true&amp;DOC_NAME=FAT:RGQ_ENTRPR_VAL_EV_SOURCE_WINDOW.FAT&amp;VAR:ID1=FDSA-GB&amp;window=popup&amp;width=535&amp;height=425&amp;START_MAXIMIZED=FALSE&amp;Y=120"}</definedName>
    <definedName name="_630__FDSAUDITLINK__" hidden="1">{"fdsup://directions/FAT Viewer?action=UPDATE&amp;creator=factSet&amp;DYN_ARGS=true&amp;DOC_NAME=FAT:RGQ_ENTRPR_VAL_EV_SOURCE_WINDOW.FAT&amp;VAR:ID1=FDSA-GB&amp;window=popup&amp;width=535&amp;height=425&amp;START_MAXIMIZED=FALSE&amp;Y=120"}</definedName>
    <definedName name="_631__FDSAUDITLINK__" localSheetId="0" hidden="1">{"fdsup://directions/FAT Viewer?action=UPDATE&amp;creator=factSet&amp;DYN_ARGS=true&amp;DOC_NAME=FAT:RGQ_ENTRPR_VAL_EV_SOURCE_WINDOW.FAT&amp;VAR:ID1=FDSA-GB&amp;window=popup&amp;width=535&amp;height=425&amp;START_MAXIMIZED=FALSE&amp;Y=120"}</definedName>
    <definedName name="_631__FDSAUDITLINK__" localSheetId="6" hidden="1">{"fdsup://directions/FAT Viewer?action=UPDATE&amp;creator=factSet&amp;DYN_ARGS=true&amp;DOC_NAME=FAT:RGQ_ENTRPR_VAL_EV_SOURCE_WINDOW.FAT&amp;VAR:ID1=FDSA-GB&amp;window=popup&amp;width=535&amp;height=425&amp;START_MAXIMIZED=FALSE&amp;Y=120"}</definedName>
    <definedName name="_631__FDSAUDITLINK__" hidden="1">{"fdsup://directions/FAT Viewer?action=UPDATE&amp;creator=factSet&amp;DYN_ARGS=true&amp;DOC_NAME=FAT:RGQ_ENTRPR_VAL_EV_SOURCE_WINDOW.FAT&amp;VAR:ID1=FDSA-GB&amp;window=popup&amp;width=535&amp;height=425&amp;START_MAXIMIZED=FALSE&amp;Y=120"}</definedName>
    <definedName name="_632__FDSAUDITLINK__" localSheetId="0" hidden="1">{"fdsup://directions/FAT Viewer?action=UPDATE&amp;creator=factSet&amp;DYN_ARGS=true&amp;DOC_NAME=FAT:RGQ_ENTRPR_VAL_EV_SOURCE_WINDOW.FAT&amp;VAR:ID1=FDSA-GB&amp;window=popup&amp;width=535&amp;height=425&amp;START_MAXIMIZED=FALSE&amp;Y=120"}</definedName>
    <definedName name="_632__FDSAUDITLINK__" localSheetId="6" hidden="1">{"fdsup://directions/FAT Viewer?action=UPDATE&amp;creator=factSet&amp;DYN_ARGS=true&amp;DOC_NAME=FAT:RGQ_ENTRPR_VAL_EV_SOURCE_WINDOW.FAT&amp;VAR:ID1=FDSA-GB&amp;window=popup&amp;width=535&amp;height=425&amp;START_MAXIMIZED=FALSE&amp;Y=120"}</definedName>
    <definedName name="_632__FDSAUDITLINK__" hidden="1">{"fdsup://directions/FAT Viewer?action=UPDATE&amp;creator=factSet&amp;DYN_ARGS=true&amp;DOC_NAME=FAT:RGQ_ENTRPR_VAL_EV_SOURCE_WINDOW.FAT&amp;VAR:ID1=FDSA-GB&amp;window=popup&amp;width=535&amp;height=425&amp;START_MAXIMIZED=FALSE&amp;Y=120"}</definedName>
    <definedName name="_633__FDSAUDITLINK__" localSheetId="0" hidden="1">{"fdsup://directions/FAT Viewer?action=UPDATE&amp;creator=factSet&amp;DYN_ARGS=true&amp;DOC_NAME=FAT:RGQ_ENTRPR_VAL_EV_SOURCE_WINDOW.FAT&amp;VAR:ID1=FDSA-GB&amp;window=popup&amp;width=535&amp;height=425&amp;START_MAXIMIZED=FALSE&amp;Y=120"}</definedName>
    <definedName name="_633__FDSAUDITLINK__" localSheetId="6" hidden="1">{"fdsup://directions/FAT Viewer?action=UPDATE&amp;creator=factSet&amp;DYN_ARGS=true&amp;DOC_NAME=FAT:RGQ_ENTRPR_VAL_EV_SOURCE_WINDOW.FAT&amp;VAR:ID1=FDSA-GB&amp;window=popup&amp;width=535&amp;height=425&amp;START_MAXIMIZED=FALSE&amp;Y=120"}</definedName>
    <definedName name="_633__FDSAUDITLINK__" hidden="1">{"fdsup://directions/FAT Viewer?action=UPDATE&amp;creator=factSet&amp;DYN_ARGS=true&amp;DOC_NAME=FAT:RGQ_ENTRPR_VAL_EV_SOURCE_WINDOW.FAT&amp;VAR:ID1=FDSA-GB&amp;window=popup&amp;width=535&amp;height=425&amp;START_MAXIMIZED=FALSE&amp;Y=120"}</definedName>
    <definedName name="_634__FDSAUDITLINK__" localSheetId="0" hidden="1">{"fdsup://directions/FAT Viewer?action=UPDATE&amp;creator=factSet&amp;DYN_ARGS=true&amp;DOC_NAME=FAT:RGQ_ENTRPR_VAL_EV_SOURCE_WINDOW.FAT&amp;VAR:ID1=FDSA-GB&amp;window=popup&amp;width=535&amp;height=425&amp;START_MAXIMIZED=FALSE&amp;Y=120"}</definedName>
    <definedName name="_634__FDSAUDITLINK__" localSheetId="6" hidden="1">{"fdsup://directions/FAT Viewer?action=UPDATE&amp;creator=factSet&amp;DYN_ARGS=true&amp;DOC_NAME=FAT:RGQ_ENTRPR_VAL_EV_SOURCE_WINDOW.FAT&amp;VAR:ID1=FDSA-GB&amp;window=popup&amp;width=535&amp;height=425&amp;START_MAXIMIZED=FALSE&amp;Y=120"}</definedName>
    <definedName name="_634__FDSAUDITLINK__" hidden="1">{"fdsup://directions/FAT Viewer?action=UPDATE&amp;creator=factSet&amp;DYN_ARGS=true&amp;DOC_NAME=FAT:RGQ_ENTRPR_VAL_EV_SOURCE_WINDOW.FAT&amp;VAR:ID1=FDSA-GB&amp;window=popup&amp;width=535&amp;height=425&amp;START_MAXIMIZED=FALSE&amp;Y=120"}</definedName>
    <definedName name="_635__FDSAUDITLINK__" localSheetId="0" hidden="1">{"fdsup://directions/FAT Viewer?action=UPDATE&amp;creator=factSet&amp;DYN_ARGS=true&amp;DOC_NAME=FAT:RGQ_ENTRPR_VAL_EV_SOURCE_WINDOW.FAT&amp;VAR:ID1=FDSA-GB&amp;window=popup&amp;width=535&amp;height=425&amp;START_MAXIMIZED=FALSE&amp;Y=120"}</definedName>
    <definedName name="_635__FDSAUDITLINK__" localSheetId="6" hidden="1">{"fdsup://directions/FAT Viewer?action=UPDATE&amp;creator=factSet&amp;DYN_ARGS=true&amp;DOC_NAME=FAT:RGQ_ENTRPR_VAL_EV_SOURCE_WINDOW.FAT&amp;VAR:ID1=FDSA-GB&amp;window=popup&amp;width=535&amp;height=425&amp;START_MAXIMIZED=FALSE&amp;Y=120"}</definedName>
    <definedName name="_635__FDSAUDITLINK__" hidden="1">{"fdsup://directions/FAT Viewer?action=UPDATE&amp;creator=factSet&amp;DYN_ARGS=true&amp;DOC_NAME=FAT:RGQ_ENTRPR_VAL_EV_SOURCE_WINDOW.FAT&amp;VAR:ID1=FDSA-GB&amp;window=popup&amp;width=535&amp;height=425&amp;START_MAXIMIZED=FALSE&amp;Y=120"}</definedName>
    <definedName name="_636__FDSAUDITLINK__" localSheetId="0" hidden="1">{"fdsup://directions/FAT Viewer?action=UPDATE&amp;creator=factSet&amp;DYN_ARGS=true&amp;DOC_NAME=FAT:RGQ_ENTRPR_VAL_EV_SOURCE_WINDOW.FAT&amp;VAR:ID1=FDSA-GB&amp;window=popup&amp;width=535&amp;height=425&amp;START_MAXIMIZED=FALSE&amp;Y=120"}</definedName>
    <definedName name="_636__FDSAUDITLINK__" localSheetId="6" hidden="1">{"fdsup://directions/FAT Viewer?action=UPDATE&amp;creator=factSet&amp;DYN_ARGS=true&amp;DOC_NAME=FAT:RGQ_ENTRPR_VAL_EV_SOURCE_WINDOW.FAT&amp;VAR:ID1=FDSA-GB&amp;window=popup&amp;width=535&amp;height=425&amp;START_MAXIMIZED=FALSE&amp;Y=120"}</definedName>
    <definedName name="_636__FDSAUDITLINK__" hidden="1">{"fdsup://directions/FAT Viewer?action=UPDATE&amp;creator=factSet&amp;DYN_ARGS=true&amp;DOC_NAME=FAT:RGQ_ENTRPR_VAL_EV_SOURCE_WINDOW.FAT&amp;VAR:ID1=FDSA-GB&amp;window=popup&amp;width=535&amp;height=425&amp;START_MAXIMIZED=FALSE&amp;Y=120"}</definedName>
    <definedName name="_637__FDSAUDITLINK__" localSheetId="0" hidden="1">{"fdsup://directions/FAT Viewer?action=UPDATE&amp;creator=factSet&amp;DYN_ARGS=true&amp;DOC_NAME=FAT:RGQ_ENTRPR_VAL_EV_SOURCE_WINDOW.FAT&amp;VAR:ID1=FDSA-GB&amp;window=popup&amp;width=535&amp;height=425&amp;START_MAXIMIZED=FALSE&amp;Y=120"}</definedName>
    <definedName name="_637__FDSAUDITLINK__" localSheetId="6" hidden="1">{"fdsup://directions/FAT Viewer?action=UPDATE&amp;creator=factSet&amp;DYN_ARGS=true&amp;DOC_NAME=FAT:RGQ_ENTRPR_VAL_EV_SOURCE_WINDOW.FAT&amp;VAR:ID1=FDSA-GB&amp;window=popup&amp;width=535&amp;height=425&amp;START_MAXIMIZED=FALSE&amp;Y=120"}</definedName>
    <definedName name="_637__FDSAUDITLINK__" hidden="1">{"fdsup://directions/FAT Viewer?action=UPDATE&amp;creator=factSet&amp;DYN_ARGS=true&amp;DOC_NAME=FAT:RGQ_ENTRPR_VAL_EV_SOURCE_WINDOW.FAT&amp;VAR:ID1=FDSA-GB&amp;window=popup&amp;width=535&amp;height=425&amp;START_MAXIMIZED=FALSE&amp;Y=120"}</definedName>
    <definedName name="_638__FDSAUDITLINK__" localSheetId="0" hidden="1">{"fdsup://directions/FAT Viewer?action=UPDATE&amp;creator=factSet&amp;DYN_ARGS=true&amp;DOC_NAME=FAT:RGQ_ENTRPR_VAL_EV_SOURCE_WINDOW.FAT&amp;VAR:ID1=FDSA-GB&amp;window=popup&amp;width=535&amp;height=425&amp;START_MAXIMIZED=FALSE&amp;Y=120"}</definedName>
    <definedName name="_638__FDSAUDITLINK__" localSheetId="6" hidden="1">{"fdsup://directions/FAT Viewer?action=UPDATE&amp;creator=factSet&amp;DYN_ARGS=true&amp;DOC_NAME=FAT:RGQ_ENTRPR_VAL_EV_SOURCE_WINDOW.FAT&amp;VAR:ID1=FDSA-GB&amp;window=popup&amp;width=535&amp;height=425&amp;START_MAXIMIZED=FALSE&amp;Y=120"}</definedName>
    <definedName name="_638__FDSAUDITLINK__" hidden="1">{"fdsup://directions/FAT Viewer?action=UPDATE&amp;creator=factSet&amp;DYN_ARGS=true&amp;DOC_NAME=FAT:RGQ_ENTRPR_VAL_EV_SOURCE_WINDOW.FAT&amp;VAR:ID1=FDSA-GB&amp;window=popup&amp;width=535&amp;height=425&amp;START_MAXIMIZED=FALSE&amp;Y=120"}</definedName>
    <definedName name="_639__FDSAUDITLINK__" localSheetId="0" hidden="1">{"fdsup://directions/FAT Viewer?action=UPDATE&amp;creator=factSet&amp;DYN_ARGS=true&amp;DOC_NAME=FAT:RGQ_ENTRPR_VAL_EV_SOURCE_WINDOW.FAT&amp;VAR:ID1=FDSA-GB&amp;window=popup&amp;width=535&amp;height=425&amp;START_MAXIMIZED=FALSE&amp;Y=120"}</definedName>
    <definedName name="_639__FDSAUDITLINK__" localSheetId="6" hidden="1">{"fdsup://directions/FAT Viewer?action=UPDATE&amp;creator=factSet&amp;DYN_ARGS=true&amp;DOC_NAME=FAT:RGQ_ENTRPR_VAL_EV_SOURCE_WINDOW.FAT&amp;VAR:ID1=FDSA-GB&amp;window=popup&amp;width=535&amp;height=425&amp;START_MAXIMIZED=FALSE&amp;Y=120"}</definedName>
    <definedName name="_639__FDSAUDITLINK__" hidden="1">{"fdsup://directions/FAT Viewer?action=UPDATE&amp;creator=factSet&amp;DYN_ARGS=true&amp;DOC_NAME=FAT:RGQ_ENTRPR_VAL_EV_SOURCE_WINDOW.FAT&amp;VAR:ID1=FDSA-GB&amp;window=popup&amp;width=535&amp;height=425&amp;START_MAXIMIZED=FALSE&amp;Y=120"}</definedName>
    <definedName name="_64__123Graph_ACHART_3" hidden="1">#REF!</definedName>
    <definedName name="_64__123Graph_CCHART_7" hidden="1">#REF!</definedName>
    <definedName name="_64__123Graph_LBL_BPP_Y" hidden="1">#REF!</definedName>
    <definedName name="_64__123Graph_XCHART_17" hidden="1">#REF!</definedName>
    <definedName name="_64__123Graph_XINDX95" hidden="1">#REF!</definedName>
    <definedName name="_64__FDSAUDITLINK__" localSheetId="0" hidden="1">{"fdsup://directions/FAT Viewer?action=UPDATE&amp;creator=factSet&amp;DYN_ARGS=true&amp;DOC_NAME=FAT:RGA_ENTRPR_VAL_EV_SOURCE_WINDOW.FAT&amp;VAR:ID1=&amp;window=popup&amp;width=535&amp;height=425&amp;START_MAXIMIZED=FALSE&amp;Y=120"}</definedName>
    <definedName name="_64__FDSAUDITLINK__" localSheetId="6" hidden="1">{"fdsup://directions/FAT Viewer?action=UPDATE&amp;creator=factSet&amp;DYN_ARGS=true&amp;DOC_NAME=FAT:RGA_ENTRPR_VAL_EV_SOURCE_WINDOW.FAT&amp;VAR:ID1=&amp;window=popup&amp;width=535&amp;height=425&amp;START_MAXIMIZED=FALSE&amp;Y=120"}</definedName>
    <definedName name="_64__FDSAUDITLINK__" hidden="1">{"fdsup://directions/FAT Viewer?action=UPDATE&amp;creator=factSet&amp;DYN_ARGS=true&amp;DOC_NAME=FAT:RGA_ENTRPR_VAL_EV_SOURCE_WINDOW.FAT&amp;VAR:ID1=&amp;window=popup&amp;width=535&amp;height=425&amp;START_MAXIMIZED=FALSE&amp;Y=120"}</definedName>
    <definedName name="_640__FDSAUDITLINK__" localSheetId="0" hidden="1">{"fdsup://directions/FAT Viewer?action=UPDATE&amp;creator=factSet&amp;DYN_ARGS=true&amp;DOC_NAME=FAT:RGQ_ENTRPR_VAL_EV_SOURCE_WINDOW.FAT&amp;VAR:ID1=FDSA-GB&amp;window=popup&amp;width=535&amp;height=425&amp;START_MAXIMIZED=FALSE&amp;Y=120"}</definedName>
    <definedName name="_640__FDSAUDITLINK__" localSheetId="6" hidden="1">{"fdsup://directions/FAT Viewer?action=UPDATE&amp;creator=factSet&amp;DYN_ARGS=true&amp;DOC_NAME=FAT:RGQ_ENTRPR_VAL_EV_SOURCE_WINDOW.FAT&amp;VAR:ID1=FDSA-GB&amp;window=popup&amp;width=535&amp;height=425&amp;START_MAXIMIZED=FALSE&amp;Y=120"}</definedName>
    <definedName name="_640__FDSAUDITLINK__" hidden="1">{"fdsup://directions/FAT Viewer?action=UPDATE&amp;creator=factSet&amp;DYN_ARGS=true&amp;DOC_NAME=FAT:RGQ_ENTRPR_VAL_EV_SOURCE_WINDOW.FAT&amp;VAR:ID1=FDSA-GB&amp;window=popup&amp;width=535&amp;height=425&amp;START_MAXIMIZED=FALSE&amp;Y=120"}</definedName>
    <definedName name="_641__FDSAUDITLINK__" localSheetId="0" hidden="1">{"fdsup://directions/FAT Viewer?action=UPDATE&amp;creator=factSet&amp;DYN_ARGS=true&amp;DOC_NAME=FAT:RGQ_ENTRPR_VAL_EV_SOURCE_WINDOW.FAT&amp;VAR:ID1=FDSA-GB&amp;window=popup&amp;width=535&amp;height=425&amp;START_MAXIMIZED=FALSE&amp;Y=120"}</definedName>
    <definedName name="_641__FDSAUDITLINK__" localSheetId="6" hidden="1">{"fdsup://directions/FAT Viewer?action=UPDATE&amp;creator=factSet&amp;DYN_ARGS=true&amp;DOC_NAME=FAT:RGQ_ENTRPR_VAL_EV_SOURCE_WINDOW.FAT&amp;VAR:ID1=FDSA-GB&amp;window=popup&amp;width=535&amp;height=425&amp;START_MAXIMIZED=FALSE&amp;Y=120"}</definedName>
    <definedName name="_641__FDSAUDITLINK__" hidden="1">{"fdsup://directions/FAT Viewer?action=UPDATE&amp;creator=factSet&amp;DYN_ARGS=true&amp;DOC_NAME=FAT:RGQ_ENTRPR_VAL_EV_SOURCE_WINDOW.FAT&amp;VAR:ID1=FDSA-GB&amp;window=popup&amp;width=535&amp;height=425&amp;START_MAXIMIZED=FALSE&amp;Y=120"}</definedName>
    <definedName name="_642__123Graph_FCHART_30" hidden="1">#REF!</definedName>
    <definedName name="_642__FDSAUDITLINK__" localSheetId="0" hidden="1">{"fdsup://directions/FAT Viewer?action=UPDATE&amp;creator=factSet&amp;DYN_ARGS=true&amp;DOC_NAME=FAT:RGQ_ENTRPR_VAL_EV_SOURCE_WINDOW.FAT&amp;VAR:ID1=FDSA-GB&amp;window=popup&amp;width=535&amp;height=425&amp;START_MAXIMIZED=FALSE&amp;Y=120"}</definedName>
    <definedName name="_642__FDSAUDITLINK__" localSheetId="6" hidden="1">{"fdsup://directions/FAT Viewer?action=UPDATE&amp;creator=factSet&amp;DYN_ARGS=true&amp;DOC_NAME=FAT:RGQ_ENTRPR_VAL_EV_SOURCE_WINDOW.FAT&amp;VAR:ID1=FDSA-GB&amp;window=popup&amp;width=535&amp;height=425&amp;START_MAXIMIZED=FALSE&amp;Y=120"}</definedName>
    <definedName name="_642__FDSAUDITLINK__" hidden="1">{"fdsup://directions/FAT Viewer?action=UPDATE&amp;creator=factSet&amp;DYN_ARGS=true&amp;DOC_NAME=FAT:RGQ_ENTRPR_VAL_EV_SOURCE_WINDOW.FAT&amp;VAR:ID1=FDSA-GB&amp;window=popup&amp;width=535&amp;height=425&amp;START_MAXIMIZED=FALSE&amp;Y=120"}</definedName>
    <definedName name="_643__FDSAUDITLINK__" localSheetId="0" hidden="1">{"fdsup://Directions/FAT Viewer?action=UPDATE&amp;creator=factset&amp;DOC_NAME=fat:reuters_semi_source_window.fat&amp;display_string=Audit&amp;DYN_ARGS=TRUE&amp;VAR:ID1=075902&amp;VAR:RCODE=FDSENTRPRVAL&amp;VAR:SDATE=37711&amp;VAR:FREQ=Daily&amp;VAR:RELITEM=&amp;VAR:CURRENCY=GBP&amp;VAR:CURRSOURCE=EX","SHARE&amp;VAR:NATFREQ=FSA&amp;VAR:RFIELD=FINALIZED&amp;VAR:DB_TYPE=&amp;VAR:UNITS=M&amp;window=popup&amp;width=450&amp;height=300&amp;START_MAXIMIZED=FALSE"}</definedName>
    <definedName name="_643__FDSAUDITLINK__" localSheetId="6" hidden="1">{"fdsup://Directions/FAT Viewer?action=UPDATE&amp;creator=factset&amp;DOC_NAME=fat:reuters_semi_source_window.fat&amp;display_string=Audit&amp;DYN_ARGS=TRUE&amp;VAR:ID1=075902&amp;VAR:RCODE=FDSENTRPRVAL&amp;VAR:SDATE=37711&amp;VAR:FREQ=Daily&amp;VAR:RELITEM=&amp;VAR:CURRENCY=GBP&amp;VAR:CURRSOURCE=EX","SHARE&amp;VAR:NATFREQ=FSA&amp;VAR:RFIELD=FINALIZED&amp;VAR:DB_TYPE=&amp;VAR:UNITS=M&amp;window=popup&amp;width=450&amp;height=300&amp;START_MAXIMIZED=FALSE"}</definedName>
    <definedName name="_643__FDSAUDITLINK__" hidden="1">{"fdsup://Directions/FAT Viewer?action=UPDATE&amp;creator=factset&amp;DOC_NAME=fat:reuters_semi_source_window.fat&amp;display_string=Audit&amp;DYN_ARGS=TRUE&amp;VAR:ID1=075902&amp;VAR:RCODE=FDSENTRPRVAL&amp;VAR:SDATE=37711&amp;VAR:FREQ=Daily&amp;VAR:RELITEM=&amp;VAR:CURRENCY=GBP&amp;VAR:CURRSOURCE=EX","SHARE&amp;VAR:NATFREQ=FSA&amp;VAR:RFIELD=FINALIZED&amp;VAR:DB_TYPE=&amp;VAR:UNITS=M&amp;window=popup&amp;width=450&amp;height=300&amp;START_MAXIMIZED=FALSE"}</definedName>
    <definedName name="_644__FDSAUDITLINK__" localSheetId="0" hidden="1">{"fdsup://Directions/FAT Viewer?action=UPDATE&amp;creator=factset&amp;DOC_NAME=fat:reuters_semi_source_window.fat&amp;display_string=Audit&amp;DYN_ARGS=TRUE&amp;VAR:ID1=075902&amp;VAR:RCODE=FDSENTRPRVAL&amp;VAR:SDATE=37802&amp;VAR:FREQ=Daily&amp;VAR:RELITEM=&amp;VAR:CURRENCY=GBP&amp;VAR:CURRSOURCE=EX","SHARE&amp;VAR:NATFREQ=FSA&amp;VAR:RFIELD=FINALIZED&amp;VAR:DB_TYPE=&amp;VAR:UNITS=M&amp;window=popup&amp;width=450&amp;height=300&amp;START_MAXIMIZED=FALSE"}</definedName>
    <definedName name="_644__FDSAUDITLINK__" localSheetId="6" hidden="1">{"fdsup://Directions/FAT Viewer?action=UPDATE&amp;creator=factset&amp;DOC_NAME=fat:reuters_semi_source_window.fat&amp;display_string=Audit&amp;DYN_ARGS=TRUE&amp;VAR:ID1=075902&amp;VAR:RCODE=FDSENTRPRVAL&amp;VAR:SDATE=37802&amp;VAR:FREQ=Daily&amp;VAR:RELITEM=&amp;VAR:CURRENCY=GBP&amp;VAR:CURRSOURCE=EX","SHARE&amp;VAR:NATFREQ=FSA&amp;VAR:RFIELD=FINALIZED&amp;VAR:DB_TYPE=&amp;VAR:UNITS=M&amp;window=popup&amp;width=450&amp;height=300&amp;START_MAXIMIZED=FALSE"}</definedName>
    <definedName name="_644__FDSAUDITLINK__" hidden="1">{"fdsup://Directions/FAT Viewer?action=UPDATE&amp;creator=factset&amp;DOC_NAME=fat:reuters_semi_source_window.fat&amp;display_string=Audit&amp;DYN_ARGS=TRUE&amp;VAR:ID1=075902&amp;VAR:RCODE=FDSENTRPRVAL&amp;VAR:SDATE=37802&amp;VAR:FREQ=Daily&amp;VAR:RELITEM=&amp;VAR:CURRENCY=GBP&amp;VAR:CURRSOURCE=EX","SHARE&amp;VAR:NATFREQ=FSA&amp;VAR:RFIELD=FINALIZED&amp;VAR:DB_TYPE=&amp;VAR:UNITS=M&amp;window=popup&amp;width=450&amp;height=300&amp;START_MAXIMIZED=FALSE"}</definedName>
    <definedName name="_645__FDSAUDITLINK__" localSheetId="0" hidden="1">{"fdsup://Directions/FAT Viewer?action=UPDATE&amp;creator=factset&amp;DOC_NAME=fat:reuters_semi_source_window.fat&amp;display_string=Audit&amp;DYN_ARGS=TRUE&amp;VAR:ID1=075902&amp;VAR:RCODE=FDSENTRPRVAL&amp;VAR:SDATE=37894&amp;VAR:FREQ=Daily&amp;VAR:RELITEM=&amp;VAR:CURRENCY=GBP&amp;VAR:CURRSOURCE=EX","SHARE&amp;VAR:NATFREQ=FSA&amp;VAR:RFIELD=FINALIZED&amp;VAR:DB_TYPE=&amp;VAR:UNITS=M&amp;window=popup&amp;width=450&amp;height=300&amp;START_MAXIMIZED=FALSE"}</definedName>
    <definedName name="_645__FDSAUDITLINK__" localSheetId="6" hidden="1">{"fdsup://Directions/FAT Viewer?action=UPDATE&amp;creator=factset&amp;DOC_NAME=fat:reuters_semi_source_window.fat&amp;display_string=Audit&amp;DYN_ARGS=TRUE&amp;VAR:ID1=075902&amp;VAR:RCODE=FDSENTRPRVAL&amp;VAR:SDATE=37894&amp;VAR:FREQ=Daily&amp;VAR:RELITEM=&amp;VAR:CURRENCY=GBP&amp;VAR:CURRSOURCE=EX","SHARE&amp;VAR:NATFREQ=FSA&amp;VAR:RFIELD=FINALIZED&amp;VAR:DB_TYPE=&amp;VAR:UNITS=M&amp;window=popup&amp;width=450&amp;height=300&amp;START_MAXIMIZED=FALSE"}</definedName>
    <definedName name="_645__FDSAUDITLINK__" hidden="1">{"fdsup://Directions/FAT Viewer?action=UPDATE&amp;creator=factset&amp;DOC_NAME=fat:reuters_semi_source_window.fat&amp;display_string=Audit&amp;DYN_ARGS=TRUE&amp;VAR:ID1=075902&amp;VAR:RCODE=FDSENTRPRVAL&amp;VAR:SDATE=37894&amp;VAR:FREQ=Daily&amp;VAR:RELITEM=&amp;VAR:CURRENCY=GBP&amp;VAR:CURRSOURCE=EX","SHARE&amp;VAR:NATFREQ=FSA&amp;VAR:RFIELD=FINALIZED&amp;VAR:DB_TYPE=&amp;VAR:UNITS=M&amp;window=popup&amp;width=450&amp;height=300&amp;START_MAXIMIZED=FALSE"}</definedName>
    <definedName name="_646__FDSAUDITLINK__" localSheetId="0" hidden="1">{"fdsup://Directions/FAT Viewer?action=UPDATE&amp;creator=factset&amp;DOC_NAME=fat:reuters_semi_source_window.fat&amp;display_string=Audit&amp;DYN_ARGS=TRUE&amp;VAR:ID1=075902&amp;VAR:RCODE=FDSENTRPRVAL&amp;VAR:SDATE=37986&amp;VAR:FREQ=Daily&amp;VAR:RELITEM=&amp;VAR:CURRENCY=GBP&amp;VAR:CURRSOURCE=EX","SHARE&amp;VAR:NATFREQ=FSA&amp;VAR:RFIELD=FINALIZED&amp;VAR:DB_TYPE=&amp;VAR:UNITS=M&amp;window=popup&amp;width=450&amp;height=300&amp;START_MAXIMIZED=FALSE"}</definedName>
    <definedName name="_646__FDSAUDITLINK__" localSheetId="6" hidden="1">{"fdsup://Directions/FAT Viewer?action=UPDATE&amp;creator=factset&amp;DOC_NAME=fat:reuters_semi_source_window.fat&amp;display_string=Audit&amp;DYN_ARGS=TRUE&amp;VAR:ID1=075902&amp;VAR:RCODE=FDSENTRPRVAL&amp;VAR:SDATE=37986&amp;VAR:FREQ=Daily&amp;VAR:RELITEM=&amp;VAR:CURRENCY=GBP&amp;VAR:CURRSOURCE=EX","SHARE&amp;VAR:NATFREQ=FSA&amp;VAR:RFIELD=FINALIZED&amp;VAR:DB_TYPE=&amp;VAR:UNITS=M&amp;window=popup&amp;width=450&amp;height=300&amp;START_MAXIMIZED=FALSE"}</definedName>
    <definedName name="_646__FDSAUDITLINK__" hidden="1">{"fdsup://Directions/FAT Viewer?action=UPDATE&amp;creator=factset&amp;DOC_NAME=fat:reuters_semi_source_window.fat&amp;display_string=Audit&amp;DYN_ARGS=TRUE&amp;VAR:ID1=075902&amp;VAR:RCODE=FDSENTRPRVAL&amp;VAR:SDATE=37986&amp;VAR:FREQ=Daily&amp;VAR:RELITEM=&amp;VAR:CURRENCY=GBP&amp;VAR:CURRSOURCE=EX","SHARE&amp;VAR:NATFREQ=FSA&amp;VAR:RFIELD=FINALIZED&amp;VAR:DB_TYPE=&amp;VAR:UNITS=M&amp;window=popup&amp;width=450&amp;height=300&amp;START_MAXIMIZED=FALSE"}</definedName>
    <definedName name="_647__FDSAUDITLINK__" localSheetId="0" hidden="1">{"fdsup://Directions/FAT Viewer?action=UPDATE&amp;creator=factset&amp;DOC_NAME=fat:reuters_semi_source_window.fat&amp;display_string=Audit&amp;DYN_ARGS=TRUE&amp;VAR:ID1=075902&amp;VAR:RCODE=FDSENTRPRVAL&amp;VAR:SDATE=38077&amp;VAR:FREQ=Daily&amp;VAR:RELITEM=&amp;VAR:CURRENCY=GBP&amp;VAR:CURRSOURCE=EX","SHARE&amp;VAR:NATFREQ=FSA&amp;VAR:RFIELD=FINALIZED&amp;VAR:DB_TYPE=&amp;VAR:UNITS=M&amp;window=popup&amp;width=450&amp;height=300&amp;START_MAXIMIZED=FALSE"}</definedName>
    <definedName name="_647__FDSAUDITLINK__" localSheetId="6" hidden="1">{"fdsup://Directions/FAT Viewer?action=UPDATE&amp;creator=factset&amp;DOC_NAME=fat:reuters_semi_source_window.fat&amp;display_string=Audit&amp;DYN_ARGS=TRUE&amp;VAR:ID1=075902&amp;VAR:RCODE=FDSENTRPRVAL&amp;VAR:SDATE=38077&amp;VAR:FREQ=Daily&amp;VAR:RELITEM=&amp;VAR:CURRENCY=GBP&amp;VAR:CURRSOURCE=EX","SHARE&amp;VAR:NATFREQ=FSA&amp;VAR:RFIELD=FINALIZED&amp;VAR:DB_TYPE=&amp;VAR:UNITS=M&amp;window=popup&amp;width=450&amp;height=300&amp;START_MAXIMIZED=FALSE"}</definedName>
    <definedName name="_647__FDSAUDITLINK__" hidden="1">{"fdsup://Directions/FAT Viewer?action=UPDATE&amp;creator=factset&amp;DOC_NAME=fat:reuters_semi_source_window.fat&amp;display_string=Audit&amp;DYN_ARGS=TRUE&amp;VAR:ID1=075902&amp;VAR:RCODE=FDSENTRPRVAL&amp;VAR:SDATE=38077&amp;VAR:FREQ=Daily&amp;VAR:RELITEM=&amp;VAR:CURRENCY=GBP&amp;VAR:CURRSOURCE=EX","SHARE&amp;VAR:NATFREQ=FSA&amp;VAR:RFIELD=FINALIZED&amp;VAR:DB_TYPE=&amp;VAR:UNITS=M&amp;window=popup&amp;width=450&amp;height=300&amp;START_MAXIMIZED=FALSE"}</definedName>
    <definedName name="_648__FDSAUDITLINK__" localSheetId="0" hidden="1">{"fdsup://Directions/FAT Viewer?action=UPDATE&amp;creator=factset&amp;DOC_NAME=fat:reuters_semi_source_window.fat&amp;display_string=Audit&amp;DYN_ARGS=TRUE&amp;VAR:ID1=075902&amp;VAR:RCODE=FDSENTRPRVAL&amp;VAR:SDATE=38168&amp;VAR:FREQ=Daily&amp;VAR:RELITEM=&amp;VAR:CURRENCY=GBP&amp;VAR:CURRSOURCE=EX","SHARE&amp;VAR:NATFREQ=FSA&amp;VAR:RFIELD=FINALIZED&amp;VAR:DB_TYPE=&amp;VAR:UNITS=M&amp;window=popup&amp;width=450&amp;height=300&amp;START_MAXIMIZED=FALSE"}</definedName>
    <definedName name="_648__FDSAUDITLINK__" localSheetId="6" hidden="1">{"fdsup://Directions/FAT Viewer?action=UPDATE&amp;creator=factset&amp;DOC_NAME=fat:reuters_semi_source_window.fat&amp;display_string=Audit&amp;DYN_ARGS=TRUE&amp;VAR:ID1=075902&amp;VAR:RCODE=FDSENTRPRVAL&amp;VAR:SDATE=38168&amp;VAR:FREQ=Daily&amp;VAR:RELITEM=&amp;VAR:CURRENCY=GBP&amp;VAR:CURRSOURCE=EX","SHARE&amp;VAR:NATFREQ=FSA&amp;VAR:RFIELD=FINALIZED&amp;VAR:DB_TYPE=&amp;VAR:UNITS=M&amp;window=popup&amp;width=450&amp;height=300&amp;START_MAXIMIZED=FALSE"}</definedName>
    <definedName name="_648__FDSAUDITLINK__" hidden="1">{"fdsup://Directions/FAT Viewer?action=UPDATE&amp;creator=factset&amp;DOC_NAME=fat:reuters_semi_source_window.fat&amp;display_string=Audit&amp;DYN_ARGS=TRUE&amp;VAR:ID1=075902&amp;VAR:RCODE=FDSENTRPRVAL&amp;VAR:SDATE=38168&amp;VAR:FREQ=Daily&amp;VAR:RELITEM=&amp;VAR:CURRENCY=GBP&amp;VAR:CURRSOURCE=EX","SHARE&amp;VAR:NATFREQ=FSA&amp;VAR:RFIELD=FINALIZED&amp;VAR:DB_TYPE=&amp;VAR:UNITS=M&amp;window=popup&amp;width=450&amp;height=300&amp;START_MAXIMIZED=FALSE"}</definedName>
    <definedName name="_649__FDSAUDITLINK__" localSheetId="0" hidden="1">{"fdsup://Directions/FAT Viewer?action=UPDATE&amp;creator=factset&amp;DOC_NAME=fat:reuters_semi_source_window.fat&amp;display_string=Audit&amp;DYN_ARGS=TRUE&amp;VAR:ID1=075902&amp;VAR:RCODE=FDSENTRPRVAL&amp;VAR:SDATE=38260&amp;VAR:FREQ=Daily&amp;VAR:RELITEM=&amp;VAR:CURRENCY=GBP&amp;VAR:CURRSOURCE=EX","SHARE&amp;VAR:NATFREQ=FSA&amp;VAR:RFIELD=FINALIZED&amp;VAR:DB_TYPE=&amp;VAR:UNITS=M&amp;window=popup&amp;width=450&amp;height=300&amp;START_MAXIMIZED=FALSE"}</definedName>
    <definedName name="_649__FDSAUDITLINK__" localSheetId="6" hidden="1">{"fdsup://Directions/FAT Viewer?action=UPDATE&amp;creator=factset&amp;DOC_NAME=fat:reuters_semi_source_window.fat&amp;display_string=Audit&amp;DYN_ARGS=TRUE&amp;VAR:ID1=075902&amp;VAR:RCODE=FDSENTRPRVAL&amp;VAR:SDATE=38260&amp;VAR:FREQ=Daily&amp;VAR:RELITEM=&amp;VAR:CURRENCY=GBP&amp;VAR:CURRSOURCE=EX","SHARE&amp;VAR:NATFREQ=FSA&amp;VAR:RFIELD=FINALIZED&amp;VAR:DB_TYPE=&amp;VAR:UNITS=M&amp;window=popup&amp;width=450&amp;height=300&amp;START_MAXIMIZED=FALSE"}</definedName>
    <definedName name="_649__FDSAUDITLINK__" hidden="1">{"fdsup://Directions/FAT Viewer?action=UPDATE&amp;creator=factset&amp;DOC_NAME=fat:reuters_semi_source_window.fat&amp;display_string=Audit&amp;DYN_ARGS=TRUE&amp;VAR:ID1=075902&amp;VAR:RCODE=FDSENTRPRVAL&amp;VAR:SDATE=38260&amp;VAR:FREQ=Daily&amp;VAR:RELITEM=&amp;VAR:CURRENCY=GBP&amp;VAR:CURRSOURCE=EX","SHARE&amp;VAR:NATFREQ=FSA&amp;VAR:RFIELD=FINALIZED&amp;VAR:DB_TYPE=&amp;VAR:UNITS=M&amp;window=popup&amp;width=450&amp;height=300&amp;START_MAXIMIZED=FALSE"}</definedName>
    <definedName name="_65__123Graph_CCHART_15" hidden="1">#REF!</definedName>
    <definedName name="_65__123Graph_CCHART_8" hidden="1">#REF!</definedName>
    <definedName name="_65__123Graph_XINDX96" hidden="1">#REF!</definedName>
    <definedName name="_65__FDSAUDITLINK__" localSheetId="0" hidden="1">{"fdsup://directions/FAT Viewer?action=UPDATE&amp;creator=factSet&amp;DYN_ARGS=true&amp;DOC_NAME=FAT:RGA_ENTRPR_VAL_EV_SOURCE_WINDOW.FAT&amp;VAR:ID1=ITG-US&amp;window=popup&amp;width=535&amp;height=425&amp;START_MAXIMIZED=FALSE&amp;Y=120"}</definedName>
    <definedName name="_65__FDSAUDITLINK__" localSheetId="6" hidden="1">{"fdsup://directions/FAT Viewer?action=UPDATE&amp;creator=factSet&amp;DYN_ARGS=true&amp;DOC_NAME=FAT:RGA_ENTRPR_VAL_EV_SOURCE_WINDOW.FAT&amp;VAR:ID1=ITG-US&amp;window=popup&amp;width=535&amp;height=425&amp;START_MAXIMIZED=FALSE&amp;Y=120"}</definedName>
    <definedName name="_65__FDSAUDITLINK__" hidden="1">{"fdsup://directions/FAT Viewer?action=UPDATE&amp;creator=factSet&amp;DYN_ARGS=true&amp;DOC_NAME=FAT:RGA_ENTRPR_VAL_EV_SOURCE_WINDOW.FAT&amp;VAR:ID1=ITG-US&amp;window=popup&amp;width=535&amp;height=425&amp;START_MAXIMIZED=FALSE&amp;Y=120"}</definedName>
    <definedName name="_650__FDSAUDITLINK__" localSheetId="0" hidden="1">{"fdsup://Directions/FAT Viewer?action=UPDATE&amp;creator=factset&amp;DOC_NAME=fat:reuters_semi_source_window.fat&amp;display_string=Audit&amp;DYN_ARGS=TRUE&amp;VAR:ID1=075902&amp;VAR:RCODE=FDSENTRPRVAL&amp;VAR:SDATE=38352&amp;VAR:FREQ=Daily&amp;VAR:RELITEM=&amp;VAR:CURRENCY=GBP&amp;VAR:CURRSOURCE=EX","SHARE&amp;VAR:NATFREQ=FSA&amp;VAR:RFIELD=FINALIZED&amp;VAR:DB_TYPE=&amp;VAR:UNITS=M&amp;window=popup&amp;width=450&amp;height=300&amp;START_MAXIMIZED=FALSE"}</definedName>
    <definedName name="_650__FDSAUDITLINK__" localSheetId="6" hidden="1">{"fdsup://Directions/FAT Viewer?action=UPDATE&amp;creator=factset&amp;DOC_NAME=fat:reuters_semi_source_window.fat&amp;display_string=Audit&amp;DYN_ARGS=TRUE&amp;VAR:ID1=075902&amp;VAR:RCODE=FDSENTRPRVAL&amp;VAR:SDATE=38352&amp;VAR:FREQ=Daily&amp;VAR:RELITEM=&amp;VAR:CURRENCY=GBP&amp;VAR:CURRSOURCE=EX","SHARE&amp;VAR:NATFREQ=FSA&amp;VAR:RFIELD=FINALIZED&amp;VAR:DB_TYPE=&amp;VAR:UNITS=M&amp;window=popup&amp;width=450&amp;height=300&amp;START_MAXIMIZED=FALSE"}</definedName>
    <definedName name="_650__FDSAUDITLINK__" hidden="1">{"fdsup://Directions/FAT Viewer?action=UPDATE&amp;creator=factset&amp;DOC_NAME=fat:reuters_semi_source_window.fat&amp;display_string=Audit&amp;DYN_ARGS=TRUE&amp;VAR:ID1=075902&amp;VAR:RCODE=FDSENTRPRVAL&amp;VAR:SDATE=38352&amp;VAR:FREQ=Daily&amp;VAR:RELITEM=&amp;VAR:CURRENCY=GBP&amp;VAR:CURRSOURCE=EX","SHARE&amp;VAR:NATFREQ=FSA&amp;VAR:RFIELD=FINALIZED&amp;VAR:DB_TYPE=&amp;VAR:UNITS=M&amp;window=popup&amp;width=450&amp;height=300&amp;START_MAXIMIZED=FALSE"}</definedName>
    <definedName name="_651__FDSAUDITLINK__" localSheetId="0" hidden="1">{"fdsup://Directions/FAT Viewer?action=UPDATE&amp;creator=factset&amp;DOC_NAME=fat:reuters_semi_source_window.fat&amp;display_string=Audit&amp;DYN_ARGS=TRUE&amp;VAR:ID1=075902&amp;VAR:RCODE=FDSENTRPRVAL&amp;VAR:SDATE=38442&amp;VAR:FREQ=Daily&amp;VAR:RELITEM=&amp;VAR:CURRENCY=GBP&amp;VAR:CURRSOURCE=EX","SHARE&amp;VAR:NATFREQ=FSA&amp;VAR:RFIELD=FINALIZED&amp;VAR:DB_TYPE=&amp;VAR:UNITS=M&amp;window=popup&amp;width=450&amp;height=300&amp;START_MAXIMIZED=FALSE"}</definedName>
    <definedName name="_651__FDSAUDITLINK__" localSheetId="6" hidden="1">{"fdsup://Directions/FAT Viewer?action=UPDATE&amp;creator=factset&amp;DOC_NAME=fat:reuters_semi_source_window.fat&amp;display_string=Audit&amp;DYN_ARGS=TRUE&amp;VAR:ID1=075902&amp;VAR:RCODE=FDSENTRPRVAL&amp;VAR:SDATE=38442&amp;VAR:FREQ=Daily&amp;VAR:RELITEM=&amp;VAR:CURRENCY=GBP&amp;VAR:CURRSOURCE=EX","SHARE&amp;VAR:NATFREQ=FSA&amp;VAR:RFIELD=FINALIZED&amp;VAR:DB_TYPE=&amp;VAR:UNITS=M&amp;window=popup&amp;width=450&amp;height=300&amp;START_MAXIMIZED=FALSE"}</definedName>
    <definedName name="_651__FDSAUDITLINK__" hidden="1">{"fdsup://Directions/FAT Viewer?action=UPDATE&amp;creator=factset&amp;DOC_NAME=fat:reuters_semi_source_window.fat&amp;display_string=Audit&amp;DYN_ARGS=TRUE&amp;VAR:ID1=075902&amp;VAR:RCODE=FDSENTRPRVAL&amp;VAR:SDATE=38442&amp;VAR:FREQ=Daily&amp;VAR:RELITEM=&amp;VAR:CURRENCY=GBP&amp;VAR:CURRSOURCE=EX","SHARE&amp;VAR:NATFREQ=FSA&amp;VAR:RFIELD=FINALIZED&amp;VAR:DB_TYPE=&amp;VAR:UNITS=M&amp;window=popup&amp;width=450&amp;height=300&amp;START_MAXIMIZED=FALSE"}</definedName>
    <definedName name="_652__FDSAUDITLINK__" localSheetId="0" hidden="1">{"fdsup://Directions/FAT Viewer?action=UPDATE&amp;creator=factset&amp;DOC_NAME=fat:reuters_semi_source_window.fat&amp;display_string=Audit&amp;DYN_ARGS=TRUE&amp;VAR:ID1=075902&amp;VAR:RCODE=FDSENTRPRVAL&amp;VAR:SDATE=38533&amp;VAR:FREQ=Daily&amp;VAR:RELITEM=&amp;VAR:CURRENCY=GBP&amp;VAR:CURRSOURCE=EX","SHARE&amp;VAR:NATFREQ=FSA&amp;VAR:RFIELD=FINALIZED&amp;VAR:DB_TYPE=&amp;VAR:UNITS=M&amp;window=popup&amp;width=450&amp;height=300&amp;START_MAXIMIZED=FALSE"}</definedName>
    <definedName name="_652__FDSAUDITLINK__" localSheetId="6" hidden="1">{"fdsup://Directions/FAT Viewer?action=UPDATE&amp;creator=factset&amp;DOC_NAME=fat:reuters_semi_source_window.fat&amp;display_string=Audit&amp;DYN_ARGS=TRUE&amp;VAR:ID1=075902&amp;VAR:RCODE=FDSENTRPRVAL&amp;VAR:SDATE=38533&amp;VAR:FREQ=Daily&amp;VAR:RELITEM=&amp;VAR:CURRENCY=GBP&amp;VAR:CURRSOURCE=EX","SHARE&amp;VAR:NATFREQ=FSA&amp;VAR:RFIELD=FINALIZED&amp;VAR:DB_TYPE=&amp;VAR:UNITS=M&amp;window=popup&amp;width=450&amp;height=300&amp;START_MAXIMIZED=FALSE"}</definedName>
    <definedName name="_652__FDSAUDITLINK__" hidden="1">{"fdsup://Directions/FAT Viewer?action=UPDATE&amp;creator=factset&amp;DOC_NAME=fat:reuters_semi_source_window.fat&amp;display_string=Audit&amp;DYN_ARGS=TRUE&amp;VAR:ID1=075902&amp;VAR:RCODE=FDSENTRPRVAL&amp;VAR:SDATE=38533&amp;VAR:FREQ=Daily&amp;VAR:RELITEM=&amp;VAR:CURRENCY=GBP&amp;VAR:CURRSOURCE=EX","SHARE&amp;VAR:NATFREQ=FSA&amp;VAR:RFIELD=FINALIZED&amp;VAR:DB_TYPE=&amp;VAR:UNITS=M&amp;window=popup&amp;width=450&amp;height=300&amp;START_MAXIMIZED=FALSE"}</definedName>
    <definedName name="_653__FDSAUDITLINK__" localSheetId="0" hidden="1">{"fdsup://Directions/FAT Viewer?action=UPDATE&amp;creator=factset&amp;DOC_NAME=fat:reuters_semi_source_window.fat&amp;display_string=Audit&amp;DYN_ARGS=TRUE&amp;VAR:ID1=075902&amp;VAR:RCODE=FDSENTRPRVAL&amp;VAR:SDATE=38625&amp;VAR:FREQ=Daily&amp;VAR:RELITEM=&amp;VAR:CURRENCY=GBP&amp;VAR:CURRSOURCE=EX","SHARE&amp;VAR:NATFREQ=FSA&amp;VAR:RFIELD=FINALIZED&amp;VAR:DB_TYPE=&amp;VAR:UNITS=M&amp;window=popup&amp;width=450&amp;height=300&amp;START_MAXIMIZED=FALSE"}</definedName>
    <definedName name="_653__FDSAUDITLINK__" localSheetId="6" hidden="1">{"fdsup://Directions/FAT Viewer?action=UPDATE&amp;creator=factset&amp;DOC_NAME=fat:reuters_semi_source_window.fat&amp;display_string=Audit&amp;DYN_ARGS=TRUE&amp;VAR:ID1=075902&amp;VAR:RCODE=FDSENTRPRVAL&amp;VAR:SDATE=38625&amp;VAR:FREQ=Daily&amp;VAR:RELITEM=&amp;VAR:CURRENCY=GBP&amp;VAR:CURRSOURCE=EX","SHARE&amp;VAR:NATFREQ=FSA&amp;VAR:RFIELD=FINALIZED&amp;VAR:DB_TYPE=&amp;VAR:UNITS=M&amp;window=popup&amp;width=450&amp;height=300&amp;START_MAXIMIZED=FALSE"}</definedName>
    <definedName name="_653__FDSAUDITLINK__" hidden="1">{"fdsup://Directions/FAT Viewer?action=UPDATE&amp;creator=factset&amp;DOC_NAME=fat:reuters_semi_source_window.fat&amp;display_string=Audit&amp;DYN_ARGS=TRUE&amp;VAR:ID1=075902&amp;VAR:RCODE=FDSENTRPRVAL&amp;VAR:SDATE=38625&amp;VAR:FREQ=Daily&amp;VAR:RELITEM=&amp;VAR:CURRENCY=GBP&amp;VAR:CURRSOURCE=EX","SHARE&amp;VAR:NATFREQ=FSA&amp;VAR:RFIELD=FINALIZED&amp;VAR:DB_TYPE=&amp;VAR:UNITS=M&amp;window=popup&amp;width=450&amp;height=300&amp;START_MAXIMIZED=FALSE"}</definedName>
    <definedName name="_654__FDSAUDITLINK__" localSheetId="0" hidden="1">{"fdsup://Directions/FAT Viewer?action=UPDATE&amp;creator=factset&amp;DOC_NAME=fat:reuters_semi_source_window.fat&amp;display_string=Audit&amp;DYN_ARGS=TRUE&amp;VAR:ID1=075902&amp;VAR:RCODE=FDSENTRPRVAL&amp;VAR:SDATE=38717&amp;VAR:FREQ=Daily&amp;VAR:RELITEM=&amp;VAR:CURRENCY=GBP&amp;VAR:CURRSOURCE=EX","SHARE&amp;VAR:NATFREQ=FSA&amp;VAR:RFIELD=FINALIZED&amp;VAR:DB_TYPE=&amp;VAR:UNITS=M&amp;window=popup&amp;width=450&amp;height=300&amp;START_MAXIMIZED=FALSE"}</definedName>
    <definedName name="_654__FDSAUDITLINK__" localSheetId="6" hidden="1">{"fdsup://Directions/FAT Viewer?action=UPDATE&amp;creator=factset&amp;DOC_NAME=fat:reuters_semi_source_window.fat&amp;display_string=Audit&amp;DYN_ARGS=TRUE&amp;VAR:ID1=075902&amp;VAR:RCODE=FDSENTRPRVAL&amp;VAR:SDATE=38717&amp;VAR:FREQ=Daily&amp;VAR:RELITEM=&amp;VAR:CURRENCY=GBP&amp;VAR:CURRSOURCE=EX","SHARE&amp;VAR:NATFREQ=FSA&amp;VAR:RFIELD=FINALIZED&amp;VAR:DB_TYPE=&amp;VAR:UNITS=M&amp;window=popup&amp;width=450&amp;height=300&amp;START_MAXIMIZED=FALSE"}</definedName>
    <definedName name="_654__FDSAUDITLINK__" hidden="1">{"fdsup://Directions/FAT Viewer?action=UPDATE&amp;creator=factset&amp;DOC_NAME=fat:reuters_semi_source_window.fat&amp;display_string=Audit&amp;DYN_ARGS=TRUE&amp;VAR:ID1=075902&amp;VAR:RCODE=FDSENTRPRVAL&amp;VAR:SDATE=38717&amp;VAR:FREQ=Daily&amp;VAR:RELITEM=&amp;VAR:CURRENCY=GBP&amp;VAR:CURRSOURCE=EX","SHARE&amp;VAR:NATFREQ=FSA&amp;VAR:RFIELD=FINALIZED&amp;VAR:DB_TYPE=&amp;VAR:UNITS=M&amp;window=popup&amp;width=450&amp;height=300&amp;START_MAXIMIZED=FALSE"}</definedName>
    <definedName name="_655__123Graph_FCHART_31" hidden="1">#REF!</definedName>
    <definedName name="_655__FDSAUDITLINK__" localSheetId="0" hidden="1">{"fdsup://Directions/FAT Viewer?action=UPDATE&amp;creator=factset&amp;DOC_NAME=fat:reuters_semi_source_window.fat&amp;display_string=Audit&amp;DYN_ARGS=TRUE&amp;VAR:ID1=075902&amp;VAR:RCODE=FDSENTRPRVAL&amp;VAR:SDATE=38807&amp;VAR:FREQ=Daily&amp;VAR:RELITEM=&amp;VAR:CURRENCY=GBP&amp;VAR:CURRSOURCE=EX","SHARE&amp;VAR:NATFREQ=FSA&amp;VAR:RFIELD=FINALIZED&amp;VAR:DB_TYPE=&amp;VAR:UNITS=M&amp;window=popup&amp;width=450&amp;height=300&amp;START_MAXIMIZED=FALSE"}</definedName>
    <definedName name="_655__FDSAUDITLINK__" localSheetId="6" hidden="1">{"fdsup://Directions/FAT Viewer?action=UPDATE&amp;creator=factset&amp;DOC_NAME=fat:reuters_semi_source_window.fat&amp;display_string=Audit&amp;DYN_ARGS=TRUE&amp;VAR:ID1=075902&amp;VAR:RCODE=FDSENTRPRVAL&amp;VAR:SDATE=38807&amp;VAR:FREQ=Daily&amp;VAR:RELITEM=&amp;VAR:CURRENCY=GBP&amp;VAR:CURRSOURCE=EX","SHARE&amp;VAR:NATFREQ=FSA&amp;VAR:RFIELD=FINALIZED&amp;VAR:DB_TYPE=&amp;VAR:UNITS=M&amp;window=popup&amp;width=450&amp;height=300&amp;START_MAXIMIZED=FALSE"}</definedName>
    <definedName name="_655__FDSAUDITLINK__" hidden="1">{"fdsup://Directions/FAT Viewer?action=UPDATE&amp;creator=factset&amp;DOC_NAME=fat:reuters_semi_source_window.fat&amp;display_string=Audit&amp;DYN_ARGS=TRUE&amp;VAR:ID1=075902&amp;VAR:RCODE=FDSENTRPRVAL&amp;VAR:SDATE=38807&amp;VAR:FREQ=Daily&amp;VAR:RELITEM=&amp;VAR:CURRENCY=GBP&amp;VAR:CURRSOURCE=EX","SHARE&amp;VAR:NATFREQ=FSA&amp;VAR:RFIELD=FINALIZED&amp;VAR:DB_TYPE=&amp;VAR:UNITS=M&amp;window=popup&amp;width=450&amp;height=300&amp;START_MAXIMIZED=FALSE"}</definedName>
    <definedName name="_656__FDSAUDITLINK__" localSheetId="0" hidden="1">{"fdsup://Directions/FAT Viewer?action=UPDATE&amp;creator=factset&amp;DOC_NAME=fat:reuters_semi_source_window.fat&amp;display_string=Audit&amp;DYN_ARGS=TRUE&amp;VAR:ID1=075902&amp;VAR:RCODE=FDSENTRPRVAL&amp;VAR:SDATE=38898&amp;VAR:FREQ=Daily&amp;VAR:RELITEM=&amp;VAR:CURRENCY=GBP&amp;VAR:CURRSOURCE=EX","SHARE&amp;VAR:NATFREQ=FSA&amp;VAR:RFIELD=FINALIZED&amp;VAR:DB_TYPE=&amp;VAR:UNITS=M&amp;window=popup&amp;width=450&amp;height=300&amp;START_MAXIMIZED=FALSE"}</definedName>
    <definedName name="_656__FDSAUDITLINK__" localSheetId="6" hidden="1">{"fdsup://Directions/FAT Viewer?action=UPDATE&amp;creator=factset&amp;DOC_NAME=fat:reuters_semi_source_window.fat&amp;display_string=Audit&amp;DYN_ARGS=TRUE&amp;VAR:ID1=075902&amp;VAR:RCODE=FDSENTRPRVAL&amp;VAR:SDATE=38898&amp;VAR:FREQ=Daily&amp;VAR:RELITEM=&amp;VAR:CURRENCY=GBP&amp;VAR:CURRSOURCE=EX","SHARE&amp;VAR:NATFREQ=FSA&amp;VAR:RFIELD=FINALIZED&amp;VAR:DB_TYPE=&amp;VAR:UNITS=M&amp;window=popup&amp;width=450&amp;height=300&amp;START_MAXIMIZED=FALSE"}</definedName>
    <definedName name="_656__FDSAUDITLINK__" hidden="1">{"fdsup://Directions/FAT Viewer?action=UPDATE&amp;creator=factset&amp;DOC_NAME=fat:reuters_semi_source_window.fat&amp;display_string=Audit&amp;DYN_ARGS=TRUE&amp;VAR:ID1=075902&amp;VAR:RCODE=FDSENTRPRVAL&amp;VAR:SDATE=38898&amp;VAR:FREQ=Daily&amp;VAR:RELITEM=&amp;VAR:CURRENCY=GBP&amp;VAR:CURRSOURCE=EX","SHARE&amp;VAR:NATFREQ=FSA&amp;VAR:RFIELD=FINALIZED&amp;VAR:DB_TYPE=&amp;VAR:UNITS=M&amp;window=popup&amp;width=450&amp;height=300&amp;START_MAXIMIZED=FALSE"}</definedName>
    <definedName name="_657__FDSAUDITLINK__" localSheetId="0" hidden="1">{"fdsup://Directions/FAT Viewer?action=UPDATE&amp;creator=factset&amp;DOC_NAME=fat:reuters_semi_source_window.fat&amp;display_string=Audit&amp;DYN_ARGS=TRUE&amp;VAR:ID1=075902&amp;VAR:RCODE=FDSENTRPRVAL&amp;VAR:SDATE=38990&amp;VAR:FREQ=Daily&amp;VAR:RELITEM=&amp;VAR:CURRENCY=GBP&amp;VAR:CURRSOURCE=EX","SHARE&amp;VAR:NATFREQ=FSA&amp;VAR:RFIELD=FINALIZED&amp;VAR:DB_TYPE=&amp;VAR:UNITS=M&amp;window=popup&amp;width=450&amp;height=300&amp;START_MAXIMIZED=FALSE"}</definedName>
    <definedName name="_657__FDSAUDITLINK__" localSheetId="6" hidden="1">{"fdsup://Directions/FAT Viewer?action=UPDATE&amp;creator=factset&amp;DOC_NAME=fat:reuters_semi_source_window.fat&amp;display_string=Audit&amp;DYN_ARGS=TRUE&amp;VAR:ID1=075902&amp;VAR:RCODE=FDSENTRPRVAL&amp;VAR:SDATE=38990&amp;VAR:FREQ=Daily&amp;VAR:RELITEM=&amp;VAR:CURRENCY=GBP&amp;VAR:CURRSOURCE=EX","SHARE&amp;VAR:NATFREQ=FSA&amp;VAR:RFIELD=FINALIZED&amp;VAR:DB_TYPE=&amp;VAR:UNITS=M&amp;window=popup&amp;width=450&amp;height=300&amp;START_MAXIMIZED=FALSE"}</definedName>
    <definedName name="_657__FDSAUDITLINK__" hidden="1">{"fdsup://Directions/FAT Viewer?action=UPDATE&amp;creator=factset&amp;DOC_NAME=fat:reuters_semi_source_window.fat&amp;display_string=Audit&amp;DYN_ARGS=TRUE&amp;VAR:ID1=075902&amp;VAR:RCODE=FDSENTRPRVAL&amp;VAR:SDATE=38990&amp;VAR:FREQ=Daily&amp;VAR:RELITEM=&amp;VAR:CURRENCY=GBP&amp;VAR:CURRSOURCE=EX","SHARE&amp;VAR:NATFREQ=FSA&amp;VAR:RFIELD=FINALIZED&amp;VAR:DB_TYPE=&amp;VAR:UNITS=M&amp;window=popup&amp;width=450&amp;height=300&amp;START_MAXIMIZED=FALSE"}</definedName>
    <definedName name="_658__FDSAUDITLINK__" localSheetId="0" hidden="1">{"fdsup://Directions/FAT Viewer?action=UPDATE&amp;creator=factset&amp;DOC_NAME=fat:reuters_semi_source_window.fat&amp;display_string=Audit&amp;DYN_ARGS=TRUE&amp;VAR:ID1=075902&amp;VAR:RCODE=FDSENTRPRVAL&amp;VAR:SDATE=39082&amp;VAR:FREQ=Daily&amp;VAR:RELITEM=&amp;VAR:CURRENCY=GBP&amp;VAR:CURRSOURCE=EX","SHARE&amp;VAR:NATFREQ=FSA&amp;VAR:RFIELD=FINALIZED&amp;VAR:DB_TYPE=&amp;VAR:UNITS=M&amp;window=popup&amp;width=450&amp;height=300&amp;START_MAXIMIZED=FALSE"}</definedName>
    <definedName name="_658__FDSAUDITLINK__" localSheetId="6" hidden="1">{"fdsup://Directions/FAT Viewer?action=UPDATE&amp;creator=factset&amp;DOC_NAME=fat:reuters_semi_source_window.fat&amp;display_string=Audit&amp;DYN_ARGS=TRUE&amp;VAR:ID1=075902&amp;VAR:RCODE=FDSENTRPRVAL&amp;VAR:SDATE=39082&amp;VAR:FREQ=Daily&amp;VAR:RELITEM=&amp;VAR:CURRENCY=GBP&amp;VAR:CURRSOURCE=EX","SHARE&amp;VAR:NATFREQ=FSA&amp;VAR:RFIELD=FINALIZED&amp;VAR:DB_TYPE=&amp;VAR:UNITS=M&amp;window=popup&amp;width=450&amp;height=300&amp;START_MAXIMIZED=FALSE"}</definedName>
    <definedName name="_658__FDSAUDITLINK__" hidden="1">{"fdsup://Directions/FAT Viewer?action=UPDATE&amp;creator=factset&amp;DOC_NAME=fat:reuters_semi_source_window.fat&amp;display_string=Audit&amp;DYN_ARGS=TRUE&amp;VAR:ID1=075902&amp;VAR:RCODE=FDSENTRPRVAL&amp;VAR:SDATE=39082&amp;VAR:FREQ=Daily&amp;VAR:RELITEM=&amp;VAR:CURRENCY=GBP&amp;VAR:CURRSOURCE=EX","SHARE&amp;VAR:NATFREQ=FSA&amp;VAR:RFIELD=FINALIZED&amp;VAR:DB_TYPE=&amp;VAR:UNITS=M&amp;window=popup&amp;width=450&amp;height=300&amp;START_MAXIMIZED=FALSE"}</definedName>
    <definedName name="_659__123Graph_FCHART_32" hidden="1">#REF!</definedName>
    <definedName name="_659__FDSAUDITLINK__" localSheetId="0" hidden="1">{"fdsup://Directions/FAT Viewer?action=UPDATE&amp;creator=factset&amp;DOC_NAME=fat:reuters_semi_source_window.fat&amp;display_string=Audit&amp;DYN_ARGS=TRUE&amp;VAR:ID1=075902&amp;VAR:RCODE=FDSENTRPRVAL&amp;VAR:SDATE=39172&amp;VAR:FREQ=Daily&amp;VAR:RELITEM=&amp;VAR:CURRENCY=GBP&amp;VAR:CURRSOURCE=EX","SHARE&amp;VAR:NATFREQ=FSA&amp;VAR:RFIELD=FINALIZED&amp;VAR:DB_TYPE=&amp;VAR:UNITS=M&amp;window=popup&amp;width=450&amp;height=300&amp;START_MAXIMIZED=FALSE"}</definedName>
    <definedName name="_659__FDSAUDITLINK__" localSheetId="6" hidden="1">{"fdsup://Directions/FAT Viewer?action=UPDATE&amp;creator=factset&amp;DOC_NAME=fat:reuters_semi_source_window.fat&amp;display_string=Audit&amp;DYN_ARGS=TRUE&amp;VAR:ID1=075902&amp;VAR:RCODE=FDSENTRPRVAL&amp;VAR:SDATE=39172&amp;VAR:FREQ=Daily&amp;VAR:RELITEM=&amp;VAR:CURRENCY=GBP&amp;VAR:CURRSOURCE=EX","SHARE&amp;VAR:NATFREQ=FSA&amp;VAR:RFIELD=FINALIZED&amp;VAR:DB_TYPE=&amp;VAR:UNITS=M&amp;window=popup&amp;width=450&amp;height=300&amp;START_MAXIMIZED=FALSE"}</definedName>
    <definedName name="_659__FDSAUDITLINK__" hidden="1">{"fdsup://Directions/FAT Viewer?action=UPDATE&amp;creator=factset&amp;DOC_NAME=fat:reuters_semi_source_window.fat&amp;display_string=Audit&amp;DYN_ARGS=TRUE&amp;VAR:ID1=075902&amp;VAR:RCODE=FDSENTRPRVAL&amp;VAR:SDATE=39172&amp;VAR:FREQ=Daily&amp;VAR:RELITEM=&amp;VAR:CURRENCY=GBP&amp;VAR:CURRSOURCE=EX","SHARE&amp;VAR:NATFREQ=FSA&amp;VAR:RFIELD=FINALIZED&amp;VAR:DB_TYPE=&amp;VAR:UNITS=M&amp;window=popup&amp;width=450&amp;height=300&amp;START_MAXIMIZED=FALSE"}</definedName>
    <definedName name="_66__123Graph_DCHART_10" hidden="1">#REF!</definedName>
    <definedName name="_66__123Graph_XCHART_18" hidden="1">#REF!</definedName>
    <definedName name="_66__FDSAUDITLINK__" localSheetId="0" hidden="1">{"fdsup://directions/FAT Viewer?action=UPDATE&amp;creator=factSet&amp;DYN_ARGS=true&amp;DOC_NAME=FAT:RGA_ENTRPR_VAL_EV_SOURCE_WINDOW.FAT&amp;VAR:ID1=5835.00772&amp;window=popup&amp;width=535&amp;height=425&amp;START_MAXIMIZED=FALSE&amp;Y=120"}</definedName>
    <definedName name="_66__FDSAUDITLINK__" localSheetId="6" hidden="1">{"fdsup://directions/FAT Viewer?action=UPDATE&amp;creator=factSet&amp;DYN_ARGS=true&amp;DOC_NAME=FAT:RGA_ENTRPR_VAL_EV_SOURCE_WINDOW.FAT&amp;VAR:ID1=5835.00772&amp;window=popup&amp;width=535&amp;height=425&amp;START_MAXIMIZED=FALSE&amp;Y=120"}</definedName>
    <definedName name="_66__FDSAUDITLINK__" hidden="1">{"fdsup://directions/FAT Viewer?action=UPDATE&amp;creator=factSet&amp;DYN_ARGS=true&amp;DOC_NAME=FAT:RGA_ENTRPR_VAL_EV_SOURCE_WINDOW.FAT&amp;VAR:ID1=5835.00772&amp;window=popup&amp;width=535&amp;height=425&amp;START_MAXIMIZED=FALSE&amp;Y=120"}</definedName>
    <definedName name="_660__FDSAUDITLINK__" localSheetId="0" hidden="1">{"fdsup://Directions/FAT Viewer?action=UPDATE&amp;creator=factset&amp;DOC_NAME=fat:reuters_semi_source_window.fat&amp;display_string=Audit&amp;DYN_ARGS=TRUE&amp;VAR:ID1=075902&amp;VAR:RCODE=FDSENTRPRVAL&amp;VAR:SDATE=39263&amp;VAR:FREQ=Daily&amp;VAR:RELITEM=&amp;VAR:CURRENCY=GBP&amp;VAR:CURRSOURCE=EX","SHARE&amp;VAR:NATFREQ=FSA&amp;VAR:RFIELD=FINALIZED&amp;VAR:DB_TYPE=&amp;VAR:UNITS=M&amp;window=popup&amp;width=450&amp;height=300&amp;START_MAXIMIZED=FALSE"}</definedName>
    <definedName name="_660__FDSAUDITLINK__" localSheetId="6" hidden="1">{"fdsup://Directions/FAT Viewer?action=UPDATE&amp;creator=factset&amp;DOC_NAME=fat:reuters_semi_source_window.fat&amp;display_string=Audit&amp;DYN_ARGS=TRUE&amp;VAR:ID1=075902&amp;VAR:RCODE=FDSENTRPRVAL&amp;VAR:SDATE=39263&amp;VAR:FREQ=Daily&amp;VAR:RELITEM=&amp;VAR:CURRENCY=GBP&amp;VAR:CURRSOURCE=EX","SHARE&amp;VAR:NATFREQ=FSA&amp;VAR:RFIELD=FINALIZED&amp;VAR:DB_TYPE=&amp;VAR:UNITS=M&amp;window=popup&amp;width=450&amp;height=300&amp;START_MAXIMIZED=FALSE"}</definedName>
    <definedName name="_660__FDSAUDITLINK__" hidden="1">{"fdsup://Directions/FAT Viewer?action=UPDATE&amp;creator=factset&amp;DOC_NAME=fat:reuters_semi_source_window.fat&amp;display_string=Audit&amp;DYN_ARGS=TRUE&amp;VAR:ID1=075902&amp;VAR:RCODE=FDSENTRPRVAL&amp;VAR:SDATE=39263&amp;VAR:FREQ=Daily&amp;VAR:RELITEM=&amp;VAR:CURRENCY=GBP&amp;VAR:CURRSOURCE=EX","SHARE&amp;VAR:NATFREQ=FSA&amp;VAR:RFIELD=FINALIZED&amp;VAR:DB_TYPE=&amp;VAR:UNITS=M&amp;window=popup&amp;width=450&amp;height=300&amp;START_MAXIMIZED=FALSE"}</definedName>
    <definedName name="_661__FDSAUDITLINK__" localSheetId="0" hidden="1">{"fdsup://Directions/FAT Viewer?action=UPDATE&amp;creator=factset&amp;DOC_NAME=fat:reuters_semi_source_window.fat&amp;display_string=Audit&amp;DYN_ARGS=TRUE&amp;VAR:ID1=075902&amp;VAR:RCODE=FDSENTRPRVAL&amp;VAR:SDATE=39355&amp;VAR:FREQ=Daily&amp;VAR:RELITEM=&amp;VAR:CURRENCY=GBP&amp;VAR:CURRSOURCE=EX","SHARE&amp;VAR:NATFREQ=FSA&amp;VAR:RFIELD=FINALIZED&amp;VAR:DB_TYPE=&amp;VAR:UNITS=M&amp;window=popup&amp;width=450&amp;height=300&amp;START_MAXIMIZED=FALSE"}</definedName>
    <definedName name="_661__FDSAUDITLINK__" localSheetId="6" hidden="1">{"fdsup://Directions/FAT Viewer?action=UPDATE&amp;creator=factset&amp;DOC_NAME=fat:reuters_semi_source_window.fat&amp;display_string=Audit&amp;DYN_ARGS=TRUE&amp;VAR:ID1=075902&amp;VAR:RCODE=FDSENTRPRVAL&amp;VAR:SDATE=39355&amp;VAR:FREQ=Daily&amp;VAR:RELITEM=&amp;VAR:CURRENCY=GBP&amp;VAR:CURRSOURCE=EX","SHARE&amp;VAR:NATFREQ=FSA&amp;VAR:RFIELD=FINALIZED&amp;VAR:DB_TYPE=&amp;VAR:UNITS=M&amp;window=popup&amp;width=450&amp;height=300&amp;START_MAXIMIZED=FALSE"}</definedName>
    <definedName name="_661__FDSAUDITLINK__" hidden="1">{"fdsup://Directions/FAT Viewer?action=UPDATE&amp;creator=factset&amp;DOC_NAME=fat:reuters_semi_source_window.fat&amp;display_string=Audit&amp;DYN_ARGS=TRUE&amp;VAR:ID1=075902&amp;VAR:RCODE=FDSENTRPRVAL&amp;VAR:SDATE=39355&amp;VAR:FREQ=Daily&amp;VAR:RELITEM=&amp;VAR:CURRENCY=GBP&amp;VAR:CURRSOURCE=EX","SHARE&amp;VAR:NATFREQ=FSA&amp;VAR:RFIELD=FINALIZED&amp;VAR:DB_TYPE=&amp;VAR:UNITS=M&amp;window=popup&amp;width=450&amp;height=300&amp;START_MAXIMIZED=FALSE"}</definedName>
    <definedName name="_662__FDSAUDITLINK__" localSheetId="0" hidden="1">{"fdsup://Directions/FAT Viewer?action=UPDATE&amp;creator=factset&amp;DOC_NAME=fat:reuters_semi_source_window.fat&amp;display_string=Audit&amp;DYN_ARGS=TRUE&amp;VAR:ID1=075902&amp;VAR:RCODE=FDSENTRPRVAL&amp;VAR:SDATE=39447&amp;VAR:FREQ=Daily&amp;VAR:RELITEM=&amp;VAR:CURRENCY=GBP&amp;VAR:CURRSOURCE=EX","SHARE&amp;VAR:NATFREQ=FSA&amp;VAR:RFIELD=FINALIZED&amp;VAR:DB_TYPE=&amp;VAR:UNITS=M&amp;window=popup&amp;width=450&amp;height=300&amp;START_MAXIMIZED=FALSE"}</definedName>
    <definedName name="_662__FDSAUDITLINK__" localSheetId="6" hidden="1">{"fdsup://Directions/FAT Viewer?action=UPDATE&amp;creator=factset&amp;DOC_NAME=fat:reuters_semi_source_window.fat&amp;display_string=Audit&amp;DYN_ARGS=TRUE&amp;VAR:ID1=075902&amp;VAR:RCODE=FDSENTRPRVAL&amp;VAR:SDATE=39447&amp;VAR:FREQ=Daily&amp;VAR:RELITEM=&amp;VAR:CURRENCY=GBP&amp;VAR:CURRSOURCE=EX","SHARE&amp;VAR:NATFREQ=FSA&amp;VAR:RFIELD=FINALIZED&amp;VAR:DB_TYPE=&amp;VAR:UNITS=M&amp;window=popup&amp;width=450&amp;height=300&amp;START_MAXIMIZED=FALSE"}</definedName>
    <definedName name="_662__FDSAUDITLINK__" hidden="1">{"fdsup://Directions/FAT Viewer?action=UPDATE&amp;creator=factset&amp;DOC_NAME=fat:reuters_semi_source_window.fat&amp;display_string=Audit&amp;DYN_ARGS=TRUE&amp;VAR:ID1=075902&amp;VAR:RCODE=FDSENTRPRVAL&amp;VAR:SDATE=39447&amp;VAR:FREQ=Daily&amp;VAR:RELITEM=&amp;VAR:CURRENCY=GBP&amp;VAR:CURRSOURCE=EX","SHARE&amp;VAR:NATFREQ=FSA&amp;VAR:RFIELD=FINALIZED&amp;VAR:DB_TYPE=&amp;VAR:UNITS=M&amp;window=popup&amp;width=450&amp;height=300&amp;START_MAXIMIZED=FALSE"}</definedName>
    <definedName name="_663__FDSAUDITLINK__" localSheetId="0" hidden="1">{"fdsup://Directions/FAT Viewer?action=UPDATE&amp;creator=factset&amp;DOC_NAME=fat:reuters_semi_source_window.fat&amp;display_string=Audit&amp;DYN_ARGS=TRUE&amp;VAR:ID1=075902&amp;VAR:RCODE=FDSENTRPRVAL&amp;VAR:SDATE=39538&amp;VAR:FREQ=Daily&amp;VAR:RELITEM=&amp;VAR:CURRENCY=GBP&amp;VAR:CURRSOURCE=EX","SHARE&amp;VAR:NATFREQ=FSA&amp;VAR:RFIELD=FINALIZED&amp;VAR:DB_TYPE=&amp;VAR:UNITS=M&amp;window=popup&amp;width=450&amp;height=300&amp;START_MAXIMIZED=FALSE"}</definedName>
    <definedName name="_663__FDSAUDITLINK__" localSheetId="6" hidden="1">{"fdsup://Directions/FAT Viewer?action=UPDATE&amp;creator=factset&amp;DOC_NAME=fat:reuters_semi_source_window.fat&amp;display_string=Audit&amp;DYN_ARGS=TRUE&amp;VAR:ID1=075902&amp;VAR:RCODE=FDSENTRPRVAL&amp;VAR:SDATE=39538&amp;VAR:FREQ=Daily&amp;VAR:RELITEM=&amp;VAR:CURRENCY=GBP&amp;VAR:CURRSOURCE=EX","SHARE&amp;VAR:NATFREQ=FSA&amp;VAR:RFIELD=FINALIZED&amp;VAR:DB_TYPE=&amp;VAR:UNITS=M&amp;window=popup&amp;width=450&amp;height=300&amp;START_MAXIMIZED=FALSE"}</definedName>
    <definedName name="_663__FDSAUDITLINK__" hidden="1">{"fdsup://Directions/FAT Viewer?action=UPDATE&amp;creator=factset&amp;DOC_NAME=fat:reuters_semi_source_window.fat&amp;display_string=Audit&amp;DYN_ARGS=TRUE&amp;VAR:ID1=075902&amp;VAR:RCODE=FDSENTRPRVAL&amp;VAR:SDATE=39538&amp;VAR:FREQ=Daily&amp;VAR:RELITEM=&amp;VAR:CURRENCY=GBP&amp;VAR:CURRSOURCE=EX","SHARE&amp;VAR:NATFREQ=FSA&amp;VAR:RFIELD=FINALIZED&amp;VAR:DB_TYPE=&amp;VAR:UNITS=M&amp;window=popup&amp;width=450&amp;height=300&amp;START_MAXIMIZED=FALSE"}</definedName>
    <definedName name="_664__FDSAUDITLINK__" localSheetId="0" hidden="1">{"fdsup://directions/FAT Viewer?action=UPDATE&amp;creator=factSet&amp;DYN_ARGS=true&amp;DOC_NAME=FAT:RGQ_ENTRPR_VAL_EV_SOURCE_WINDOW.FAT&amp;VAR:ID1=ORC-SE&amp;window=popup&amp;width=535&amp;height=425&amp;START_MAXIMIZED=FALSE&amp;Y=120"}</definedName>
    <definedName name="_664__FDSAUDITLINK__" localSheetId="6" hidden="1">{"fdsup://directions/FAT Viewer?action=UPDATE&amp;creator=factSet&amp;DYN_ARGS=true&amp;DOC_NAME=FAT:RGQ_ENTRPR_VAL_EV_SOURCE_WINDOW.FAT&amp;VAR:ID1=ORC-SE&amp;window=popup&amp;width=535&amp;height=425&amp;START_MAXIMIZED=FALSE&amp;Y=120"}</definedName>
    <definedName name="_664__FDSAUDITLINK__" hidden="1">{"fdsup://directions/FAT Viewer?action=UPDATE&amp;creator=factSet&amp;DYN_ARGS=true&amp;DOC_NAME=FAT:RGQ_ENTRPR_VAL_EV_SOURCE_WINDOW.FAT&amp;VAR:ID1=ORC-SE&amp;window=popup&amp;width=535&amp;height=425&amp;START_MAXIMIZED=FALSE&amp;Y=120"}</definedName>
    <definedName name="_665__FDSAUDITLINK__" localSheetId="0" hidden="1">{"fdsup://directions/FAT Viewer?action=UPDATE&amp;creator=factSet&amp;DYN_ARGS=true&amp;DOC_NAME=FAT:RGQ_ENTRPR_VAL_EV_SOURCE_WINDOW.FAT&amp;VAR:ID1=ORC-SE&amp;window=popup&amp;width=535&amp;height=425&amp;START_MAXIMIZED=FALSE&amp;Y=120"}</definedName>
    <definedName name="_665__FDSAUDITLINK__" localSheetId="6" hidden="1">{"fdsup://directions/FAT Viewer?action=UPDATE&amp;creator=factSet&amp;DYN_ARGS=true&amp;DOC_NAME=FAT:RGQ_ENTRPR_VAL_EV_SOURCE_WINDOW.FAT&amp;VAR:ID1=ORC-SE&amp;window=popup&amp;width=535&amp;height=425&amp;START_MAXIMIZED=FALSE&amp;Y=120"}</definedName>
    <definedName name="_665__FDSAUDITLINK__" hidden="1">{"fdsup://directions/FAT Viewer?action=UPDATE&amp;creator=factSet&amp;DYN_ARGS=true&amp;DOC_NAME=FAT:RGQ_ENTRPR_VAL_EV_SOURCE_WINDOW.FAT&amp;VAR:ID1=ORC-SE&amp;window=popup&amp;width=535&amp;height=425&amp;START_MAXIMIZED=FALSE&amp;Y=120"}</definedName>
    <definedName name="_666__FDSAUDITLINK__" localSheetId="0" hidden="1">{"fdsup://directions/FAT Viewer?action=UPDATE&amp;creator=factSet&amp;DYN_ARGS=true&amp;DOC_NAME=FAT:RGQ_ENTRPR_VAL_EV_SOURCE_WINDOW.FAT&amp;VAR:ID1=ORC-SE&amp;window=popup&amp;width=535&amp;height=425&amp;START_MAXIMIZED=FALSE&amp;Y=120"}</definedName>
    <definedName name="_666__FDSAUDITLINK__" localSheetId="6" hidden="1">{"fdsup://directions/FAT Viewer?action=UPDATE&amp;creator=factSet&amp;DYN_ARGS=true&amp;DOC_NAME=FAT:RGQ_ENTRPR_VAL_EV_SOURCE_WINDOW.FAT&amp;VAR:ID1=ORC-SE&amp;window=popup&amp;width=535&amp;height=425&amp;START_MAXIMIZED=FALSE&amp;Y=120"}</definedName>
    <definedName name="_666__FDSAUDITLINK__" hidden="1">{"fdsup://directions/FAT Viewer?action=UPDATE&amp;creator=factSet&amp;DYN_ARGS=true&amp;DOC_NAME=FAT:RGQ_ENTRPR_VAL_EV_SOURCE_WINDOW.FAT&amp;VAR:ID1=ORC-SE&amp;window=popup&amp;width=535&amp;height=425&amp;START_MAXIMIZED=FALSE&amp;Y=120"}</definedName>
    <definedName name="_667__FDSAUDITLINK__" localSheetId="0" hidden="1">{"fdsup://directions/FAT Viewer?action=UPDATE&amp;creator=factSet&amp;DYN_ARGS=true&amp;DOC_NAME=FAT:RGQ_ENTRPR_VAL_EV_SOURCE_WINDOW.FAT&amp;VAR:ID1=ORC-SE&amp;window=popup&amp;width=535&amp;height=425&amp;START_MAXIMIZED=FALSE&amp;Y=120"}</definedName>
    <definedName name="_667__FDSAUDITLINK__" localSheetId="6" hidden="1">{"fdsup://directions/FAT Viewer?action=UPDATE&amp;creator=factSet&amp;DYN_ARGS=true&amp;DOC_NAME=FAT:RGQ_ENTRPR_VAL_EV_SOURCE_WINDOW.FAT&amp;VAR:ID1=ORC-SE&amp;window=popup&amp;width=535&amp;height=425&amp;START_MAXIMIZED=FALSE&amp;Y=120"}</definedName>
    <definedName name="_667__FDSAUDITLINK__" hidden="1">{"fdsup://directions/FAT Viewer?action=UPDATE&amp;creator=factSet&amp;DYN_ARGS=true&amp;DOC_NAME=FAT:RGQ_ENTRPR_VAL_EV_SOURCE_WINDOW.FAT&amp;VAR:ID1=ORC-SE&amp;window=popup&amp;width=535&amp;height=425&amp;START_MAXIMIZED=FALSE&amp;Y=120"}</definedName>
    <definedName name="_668__FDSAUDITLINK__" localSheetId="0" hidden="1">{"fdsup://directions/FAT Viewer?action=UPDATE&amp;creator=factSet&amp;DYN_ARGS=true&amp;DOC_NAME=FAT:RGQ_ENTRPR_VAL_EV_SOURCE_WINDOW.FAT&amp;VAR:ID1=ORC-SE&amp;window=popup&amp;width=535&amp;height=425&amp;START_MAXIMIZED=FALSE&amp;Y=120"}</definedName>
    <definedName name="_668__FDSAUDITLINK__" localSheetId="6" hidden="1">{"fdsup://directions/FAT Viewer?action=UPDATE&amp;creator=factSet&amp;DYN_ARGS=true&amp;DOC_NAME=FAT:RGQ_ENTRPR_VAL_EV_SOURCE_WINDOW.FAT&amp;VAR:ID1=ORC-SE&amp;window=popup&amp;width=535&amp;height=425&amp;START_MAXIMIZED=FALSE&amp;Y=120"}</definedName>
    <definedName name="_668__FDSAUDITLINK__" hidden="1">{"fdsup://directions/FAT Viewer?action=UPDATE&amp;creator=factSet&amp;DYN_ARGS=true&amp;DOC_NAME=FAT:RGQ_ENTRPR_VAL_EV_SOURCE_WINDOW.FAT&amp;VAR:ID1=ORC-SE&amp;window=popup&amp;width=535&amp;height=425&amp;START_MAXIMIZED=FALSE&amp;Y=120"}</definedName>
    <definedName name="_669__FDSAUDITLINK__" localSheetId="0" hidden="1">{"fdsup://directions/FAT Viewer?action=UPDATE&amp;creator=factSet&amp;DYN_ARGS=true&amp;DOC_NAME=FAT:RGQ_ENTRPR_VAL_EV_SOURCE_WINDOW.FAT&amp;VAR:ID1=ORC-SE&amp;window=popup&amp;width=535&amp;height=425&amp;START_MAXIMIZED=FALSE&amp;Y=120"}</definedName>
    <definedName name="_669__FDSAUDITLINK__" localSheetId="6" hidden="1">{"fdsup://directions/FAT Viewer?action=UPDATE&amp;creator=factSet&amp;DYN_ARGS=true&amp;DOC_NAME=FAT:RGQ_ENTRPR_VAL_EV_SOURCE_WINDOW.FAT&amp;VAR:ID1=ORC-SE&amp;window=popup&amp;width=535&amp;height=425&amp;START_MAXIMIZED=FALSE&amp;Y=120"}</definedName>
    <definedName name="_669__FDSAUDITLINK__" hidden="1">{"fdsup://directions/FAT Viewer?action=UPDATE&amp;creator=factSet&amp;DYN_ARGS=true&amp;DOC_NAME=FAT:RGQ_ENTRPR_VAL_EV_SOURCE_WINDOW.FAT&amp;VAR:ID1=ORC-SE&amp;window=popup&amp;width=535&amp;height=425&amp;START_MAXIMIZED=FALSE&amp;Y=120"}</definedName>
    <definedName name="_67__123Graph_BCHART_1" hidden="1">#REF!</definedName>
    <definedName name="_67__123Graph_DCHART_11" hidden="1">#REF!</definedName>
    <definedName name="_67__123Graph_XCHART_12" hidden="1">#REF!</definedName>
    <definedName name="_67__123Graph_XMKT_MONTH" hidden="1">#REF!</definedName>
    <definedName name="_67__FDSAUDITLINK__" localSheetId="0" hidden="1">{"fdsup://directions/FAT Viewer?action=UPDATE&amp;creator=factSet&amp;DYN_ARGS=true&amp;DOC_NAME=FAT:RGA_ENTRPR_VAL_EV_SOURCE_WINDOW.FAT&amp;VAR:ID1=5422.118&amp;window=popup&amp;width=535&amp;height=425&amp;START_MAXIMIZED=FALSE&amp;Y=120"}</definedName>
    <definedName name="_67__FDSAUDITLINK__" localSheetId="6" hidden="1">{"fdsup://directions/FAT Viewer?action=UPDATE&amp;creator=factSet&amp;DYN_ARGS=true&amp;DOC_NAME=FAT:RGA_ENTRPR_VAL_EV_SOURCE_WINDOW.FAT&amp;VAR:ID1=5422.118&amp;window=popup&amp;width=535&amp;height=425&amp;START_MAXIMIZED=FALSE&amp;Y=120"}</definedName>
    <definedName name="_67__FDSAUDITLINK__" hidden="1">{"fdsup://directions/FAT Viewer?action=UPDATE&amp;creator=factSet&amp;DYN_ARGS=true&amp;DOC_NAME=FAT:RGA_ENTRPR_VAL_EV_SOURCE_WINDOW.FAT&amp;VAR:ID1=5422.118&amp;window=popup&amp;width=535&amp;height=425&amp;START_MAXIMIZED=FALSE&amp;Y=120"}</definedName>
    <definedName name="_670__FDSAUDITLINK__" localSheetId="0" hidden="1">{"fdsup://directions/FAT Viewer?action=UPDATE&amp;creator=factSet&amp;DYN_ARGS=true&amp;DOC_NAME=FAT:RGQ_ENTRPR_VAL_EV_SOURCE_WINDOW.FAT&amp;VAR:ID1=ORC-SE&amp;window=popup&amp;width=535&amp;height=425&amp;START_MAXIMIZED=FALSE&amp;Y=120"}</definedName>
    <definedName name="_670__FDSAUDITLINK__" localSheetId="6" hidden="1">{"fdsup://directions/FAT Viewer?action=UPDATE&amp;creator=factSet&amp;DYN_ARGS=true&amp;DOC_NAME=FAT:RGQ_ENTRPR_VAL_EV_SOURCE_WINDOW.FAT&amp;VAR:ID1=ORC-SE&amp;window=popup&amp;width=535&amp;height=425&amp;START_MAXIMIZED=FALSE&amp;Y=120"}</definedName>
    <definedName name="_670__FDSAUDITLINK__" hidden="1">{"fdsup://directions/FAT Viewer?action=UPDATE&amp;creator=factSet&amp;DYN_ARGS=true&amp;DOC_NAME=FAT:RGQ_ENTRPR_VAL_EV_SOURCE_WINDOW.FAT&amp;VAR:ID1=ORC-SE&amp;window=popup&amp;width=535&amp;height=425&amp;START_MAXIMIZED=FALSE&amp;Y=120"}</definedName>
    <definedName name="_671__FDSAUDITLINK__" localSheetId="0" hidden="1">{"fdsup://directions/FAT Viewer?action=UPDATE&amp;creator=factSet&amp;DYN_ARGS=true&amp;DOC_NAME=FAT:RGQ_ENTRPR_VAL_EV_SOURCE_WINDOW.FAT&amp;VAR:ID1=ORC-SE&amp;window=popup&amp;width=535&amp;height=425&amp;START_MAXIMIZED=FALSE&amp;Y=120"}</definedName>
    <definedName name="_671__FDSAUDITLINK__" localSheetId="6" hidden="1">{"fdsup://directions/FAT Viewer?action=UPDATE&amp;creator=factSet&amp;DYN_ARGS=true&amp;DOC_NAME=FAT:RGQ_ENTRPR_VAL_EV_SOURCE_WINDOW.FAT&amp;VAR:ID1=ORC-SE&amp;window=popup&amp;width=535&amp;height=425&amp;START_MAXIMIZED=FALSE&amp;Y=120"}</definedName>
    <definedName name="_671__FDSAUDITLINK__" hidden="1">{"fdsup://directions/FAT Viewer?action=UPDATE&amp;creator=factSet&amp;DYN_ARGS=true&amp;DOC_NAME=FAT:RGQ_ENTRPR_VAL_EV_SOURCE_WINDOW.FAT&amp;VAR:ID1=ORC-SE&amp;window=popup&amp;width=535&amp;height=425&amp;START_MAXIMIZED=FALSE&amp;Y=120"}</definedName>
    <definedName name="_672__123Graph_FCHART_34" hidden="1">#REF!</definedName>
    <definedName name="_672__FDSAUDITLINK__" localSheetId="0" hidden="1">{"fdsup://directions/FAT Viewer?action=UPDATE&amp;creator=factSet&amp;DYN_ARGS=true&amp;DOC_NAME=FAT:RGQ_ENTRPR_VAL_EV_SOURCE_WINDOW.FAT&amp;VAR:ID1=ORC-SE&amp;window=popup&amp;width=535&amp;height=425&amp;START_MAXIMIZED=FALSE&amp;Y=120"}</definedName>
    <definedName name="_672__FDSAUDITLINK__" localSheetId="6" hidden="1">{"fdsup://directions/FAT Viewer?action=UPDATE&amp;creator=factSet&amp;DYN_ARGS=true&amp;DOC_NAME=FAT:RGQ_ENTRPR_VAL_EV_SOURCE_WINDOW.FAT&amp;VAR:ID1=ORC-SE&amp;window=popup&amp;width=535&amp;height=425&amp;START_MAXIMIZED=FALSE&amp;Y=120"}</definedName>
    <definedName name="_672__FDSAUDITLINK__" hidden="1">{"fdsup://directions/FAT Viewer?action=UPDATE&amp;creator=factSet&amp;DYN_ARGS=true&amp;DOC_NAME=FAT:RGQ_ENTRPR_VAL_EV_SOURCE_WINDOW.FAT&amp;VAR:ID1=ORC-SE&amp;window=popup&amp;width=535&amp;height=425&amp;START_MAXIMIZED=FALSE&amp;Y=120"}</definedName>
    <definedName name="_673__FDSAUDITLINK__" localSheetId="0" hidden="1">{"fdsup://directions/FAT Viewer?action=UPDATE&amp;creator=factSet&amp;DYN_ARGS=true&amp;DOC_NAME=FAT:RGQ_ENTRPR_VAL_EV_SOURCE_WINDOW.FAT&amp;VAR:ID1=ORC-SE&amp;window=popup&amp;width=535&amp;height=425&amp;START_MAXIMIZED=FALSE&amp;Y=120"}</definedName>
    <definedName name="_673__FDSAUDITLINK__" localSheetId="6" hidden="1">{"fdsup://directions/FAT Viewer?action=UPDATE&amp;creator=factSet&amp;DYN_ARGS=true&amp;DOC_NAME=FAT:RGQ_ENTRPR_VAL_EV_SOURCE_WINDOW.FAT&amp;VAR:ID1=ORC-SE&amp;window=popup&amp;width=535&amp;height=425&amp;START_MAXIMIZED=FALSE&amp;Y=120"}</definedName>
    <definedName name="_673__FDSAUDITLINK__" hidden="1">{"fdsup://directions/FAT Viewer?action=UPDATE&amp;creator=factSet&amp;DYN_ARGS=true&amp;DOC_NAME=FAT:RGQ_ENTRPR_VAL_EV_SOURCE_WINDOW.FAT&amp;VAR:ID1=ORC-SE&amp;window=popup&amp;width=535&amp;height=425&amp;START_MAXIMIZED=FALSE&amp;Y=120"}</definedName>
    <definedName name="_674__FDSAUDITLINK__" localSheetId="0" hidden="1">{"fdsup://directions/FAT Viewer?action=UPDATE&amp;creator=factSet&amp;DYN_ARGS=true&amp;DOC_NAME=FAT:RGQ_ENTRPR_VAL_EV_SOURCE_WINDOW.FAT&amp;VAR:ID1=ORC-SE&amp;window=popup&amp;width=535&amp;height=425&amp;START_MAXIMIZED=FALSE&amp;Y=120"}</definedName>
    <definedName name="_674__FDSAUDITLINK__" localSheetId="6" hidden="1">{"fdsup://directions/FAT Viewer?action=UPDATE&amp;creator=factSet&amp;DYN_ARGS=true&amp;DOC_NAME=FAT:RGQ_ENTRPR_VAL_EV_SOURCE_WINDOW.FAT&amp;VAR:ID1=ORC-SE&amp;window=popup&amp;width=535&amp;height=425&amp;START_MAXIMIZED=FALSE&amp;Y=120"}</definedName>
    <definedName name="_674__FDSAUDITLINK__" hidden="1">{"fdsup://directions/FAT Viewer?action=UPDATE&amp;creator=factSet&amp;DYN_ARGS=true&amp;DOC_NAME=FAT:RGQ_ENTRPR_VAL_EV_SOURCE_WINDOW.FAT&amp;VAR:ID1=ORC-SE&amp;window=popup&amp;width=535&amp;height=425&amp;START_MAXIMIZED=FALSE&amp;Y=120"}</definedName>
    <definedName name="_675__FDSAUDITLINK__" localSheetId="0" hidden="1">{"fdsup://directions/FAT Viewer?action=UPDATE&amp;creator=factSet&amp;DYN_ARGS=true&amp;DOC_NAME=FAT:RGQ_ENTRPR_VAL_EV_SOURCE_WINDOW.FAT&amp;VAR:ID1=ORC-SE&amp;window=popup&amp;width=535&amp;height=425&amp;START_MAXIMIZED=FALSE&amp;Y=120"}</definedName>
    <definedName name="_675__FDSAUDITLINK__" localSheetId="6" hidden="1">{"fdsup://directions/FAT Viewer?action=UPDATE&amp;creator=factSet&amp;DYN_ARGS=true&amp;DOC_NAME=FAT:RGQ_ENTRPR_VAL_EV_SOURCE_WINDOW.FAT&amp;VAR:ID1=ORC-SE&amp;window=popup&amp;width=535&amp;height=425&amp;START_MAXIMIZED=FALSE&amp;Y=120"}</definedName>
    <definedName name="_675__FDSAUDITLINK__" hidden="1">{"fdsup://directions/FAT Viewer?action=UPDATE&amp;creator=factSet&amp;DYN_ARGS=true&amp;DOC_NAME=FAT:RGQ_ENTRPR_VAL_EV_SOURCE_WINDOW.FAT&amp;VAR:ID1=ORC-SE&amp;window=popup&amp;width=535&amp;height=425&amp;START_MAXIMIZED=FALSE&amp;Y=120"}</definedName>
    <definedName name="_676__FDSAUDITLINK__" localSheetId="0" hidden="1">{"fdsup://directions/FAT Viewer?action=UPDATE&amp;creator=factSet&amp;DYN_ARGS=true&amp;DOC_NAME=FAT:RGQ_ENTRPR_VAL_EV_SOURCE_WINDOW.FAT&amp;VAR:ID1=ORC-SE&amp;window=popup&amp;width=535&amp;height=425&amp;START_MAXIMIZED=FALSE&amp;Y=120"}</definedName>
    <definedName name="_676__FDSAUDITLINK__" localSheetId="6" hidden="1">{"fdsup://directions/FAT Viewer?action=UPDATE&amp;creator=factSet&amp;DYN_ARGS=true&amp;DOC_NAME=FAT:RGQ_ENTRPR_VAL_EV_SOURCE_WINDOW.FAT&amp;VAR:ID1=ORC-SE&amp;window=popup&amp;width=535&amp;height=425&amp;START_MAXIMIZED=FALSE&amp;Y=120"}</definedName>
    <definedName name="_676__FDSAUDITLINK__" hidden="1">{"fdsup://directions/FAT Viewer?action=UPDATE&amp;creator=factSet&amp;DYN_ARGS=true&amp;DOC_NAME=FAT:RGQ_ENTRPR_VAL_EV_SOURCE_WINDOW.FAT&amp;VAR:ID1=ORC-SE&amp;window=popup&amp;width=535&amp;height=425&amp;START_MAXIMIZED=FALSE&amp;Y=120"}</definedName>
    <definedName name="_677__FDSAUDITLINK__" localSheetId="0" hidden="1">{"fdsup://directions/FAT Viewer?action=UPDATE&amp;creator=factSet&amp;DYN_ARGS=true&amp;DOC_NAME=FAT:RGQ_ENTRPR_VAL_EV_SOURCE_WINDOW.FAT&amp;VAR:ID1=ORC-SE&amp;window=popup&amp;width=535&amp;height=425&amp;START_MAXIMIZED=FALSE&amp;Y=120"}</definedName>
    <definedName name="_677__FDSAUDITLINK__" localSheetId="6" hidden="1">{"fdsup://directions/FAT Viewer?action=UPDATE&amp;creator=factSet&amp;DYN_ARGS=true&amp;DOC_NAME=FAT:RGQ_ENTRPR_VAL_EV_SOURCE_WINDOW.FAT&amp;VAR:ID1=ORC-SE&amp;window=popup&amp;width=535&amp;height=425&amp;START_MAXIMIZED=FALSE&amp;Y=120"}</definedName>
    <definedName name="_677__FDSAUDITLINK__" hidden="1">{"fdsup://directions/FAT Viewer?action=UPDATE&amp;creator=factSet&amp;DYN_ARGS=true&amp;DOC_NAME=FAT:RGQ_ENTRPR_VAL_EV_SOURCE_WINDOW.FAT&amp;VAR:ID1=ORC-SE&amp;window=popup&amp;width=535&amp;height=425&amp;START_MAXIMIZED=FALSE&amp;Y=120"}</definedName>
    <definedName name="_678__FDSAUDITLINK__" localSheetId="0" hidden="1">{"fdsup://directions/FAT Viewer?action=UPDATE&amp;creator=factSet&amp;DYN_ARGS=true&amp;DOC_NAME=FAT:RGQ_ENTRPR_VAL_EV_SOURCE_WINDOW.FAT&amp;VAR:ID1=ORC-SE&amp;window=popup&amp;width=535&amp;height=425&amp;START_MAXIMIZED=FALSE&amp;Y=120"}</definedName>
    <definedName name="_678__FDSAUDITLINK__" localSheetId="6" hidden="1">{"fdsup://directions/FAT Viewer?action=UPDATE&amp;creator=factSet&amp;DYN_ARGS=true&amp;DOC_NAME=FAT:RGQ_ENTRPR_VAL_EV_SOURCE_WINDOW.FAT&amp;VAR:ID1=ORC-SE&amp;window=popup&amp;width=535&amp;height=425&amp;START_MAXIMIZED=FALSE&amp;Y=120"}</definedName>
    <definedName name="_678__FDSAUDITLINK__" hidden="1">{"fdsup://directions/FAT Viewer?action=UPDATE&amp;creator=factSet&amp;DYN_ARGS=true&amp;DOC_NAME=FAT:RGQ_ENTRPR_VAL_EV_SOURCE_WINDOW.FAT&amp;VAR:ID1=ORC-SE&amp;window=popup&amp;width=535&amp;height=425&amp;START_MAXIMIZED=FALSE&amp;Y=120"}</definedName>
    <definedName name="_679__FDSAUDITLINK__" localSheetId="0" hidden="1">{"fdsup://directions/FAT Viewer?action=UPDATE&amp;creator=factSet&amp;DYN_ARGS=true&amp;DOC_NAME=FAT:RGQ_ENTRPR_VAL_EV_SOURCE_WINDOW.FAT&amp;VAR:ID1=ORC-SE&amp;window=popup&amp;width=535&amp;height=425&amp;START_MAXIMIZED=FALSE&amp;Y=120"}</definedName>
    <definedName name="_679__FDSAUDITLINK__" localSheetId="6" hidden="1">{"fdsup://directions/FAT Viewer?action=UPDATE&amp;creator=factSet&amp;DYN_ARGS=true&amp;DOC_NAME=FAT:RGQ_ENTRPR_VAL_EV_SOURCE_WINDOW.FAT&amp;VAR:ID1=ORC-SE&amp;window=popup&amp;width=535&amp;height=425&amp;START_MAXIMIZED=FALSE&amp;Y=120"}</definedName>
    <definedName name="_679__FDSAUDITLINK__" hidden="1">{"fdsup://directions/FAT Viewer?action=UPDATE&amp;creator=factSet&amp;DYN_ARGS=true&amp;DOC_NAME=FAT:RGQ_ENTRPR_VAL_EV_SOURCE_WINDOW.FAT&amp;VAR:ID1=ORC-SE&amp;window=popup&amp;width=535&amp;height=425&amp;START_MAXIMIZED=FALSE&amp;Y=120"}</definedName>
    <definedName name="_68__123Graph_DCHART_13" hidden="1">#REF!</definedName>
    <definedName name="_68__123Graph_LBL_DCHART_1" hidden="1">#REF!</definedName>
    <definedName name="_68__123Graph_XCHART_19" hidden="1">#REF!</definedName>
    <definedName name="_68__FDSAUDITLINK__" localSheetId="0" hidden="1">{"fdsup://directions/FAT Viewer?action=UPDATE&amp;creator=factSet&amp;DYN_ARGS=true&amp;DOC_NAME=FAT:RGA_ENTRPR_VAL_EV_SOURCE_WINDOW.FAT&amp;VAR:ID1=EV&amp;window=popup&amp;width=535&amp;height=425&amp;START_MAXIMIZED=FALSE&amp;Y=120"}</definedName>
    <definedName name="_68__FDSAUDITLINK__" localSheetId="6" hidden="1">{"fdsup://directions/FAT Viewer?action=UPDATE&amp;creator=factSet&amp;DYN_ARGS=true&amp;DOC_NAME=FAT:RGA_ENTRPR_VAL_EV_SOURCE_WINDOW.FAT&amp;VAR:ID1=EV&amp;window=popup&amp;width=535&amp;height=425&amp;START_MAXIMIZED=FALSE&amp;Y=120"}</definedName>
    <definedName name="_68__FDSAUDITLINK__" hidden="1">{"fdsup://directions/FAT Viewer?action=UPDATE&amp;creator=factSet&amp;DYN_ARGS=true&amp;DOC_NAME=FAT:RGA_ENTRPR_VAL_EV_SOURCE_WINDOW.FAT&amp;VAR:ID1=EV&amp;window=popup&amp;width=535&amp;height=425&amp;START_MAXIMIZED=FALSE&amp;Y=120"}</definedName>
    <definedName name="_68__FDSAUDITLINK___1"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_1"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_1"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1_1"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2"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2"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2"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3"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3"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3"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4"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4"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4"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5" localSheetId="0"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5" localSheetId="6"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__FDSAUDITLINK___5" hidden="1">{"fdsup://directions/FAT Viewer?action=UPDATE&amp;creator=factset&amp;DYN_ARGS=TRUE&amp;DOC_NAME=FAT:FQL_AUDITING_CLIENT_TEMPLATE.FAT&amp;display_string=Audit&amp;VAR:KEY=GTQXUBWPIZ&amp;VAR:QUERY=RkZfRUJJVERBX09QRVIoTFRNUywwLDAsLCxVU0Qp&amp;WINDOW=FIRST_POPUP&amp;HEIGHT=450&amp;WIDTH=450&amp;STAR","T_MAXIMIZED=FALSE&amp;VAR:CALENDAR=US&amp;VAR:SYMBOL=689714&amp;VAR:INDEX=0"}</definedName>
    <definedName name="_680__FDSAUDITLINK__" localSheetId="0" hidden="1">{"fdsup://directions/FAT Viewer?action=UPDATE&amp;creator=factSet&amp;DYN_ARGS=true&amp;DOC_NAME=FAT:RGQ_ENTRPR_VAL_EV_SOURCE_WINDOW.FAT&amp;VAR:ID1=ORC-SE&amp;window=popup&amp;width=535&amp;height=425&amp;START_MAXIMIZED=FALSE&amp;Y=120"}</definedName>
    <definedName name="_680__FDSAUDITLINK__" localSheetId="6" hidden="1">{"fdsup://directions/FAT Viewer?action=UPDATE&amp;creator=factSet&amp;DYN_ARGS=true&amp;DOC_NAME=FAT:RGQ_ENTRPR_VAL_EV_SOURCE_WINDOW.FAT&amp;VAR:ID1=ORC-SE&amp;window=popup&amp;width=535&amp;height=425&amp;START_MAXIMIZED=FALSE&amp;Y=120"}</definedName>
    <definedName name="_680__FDSAUDITLINK__" hidden="1">{"fdsup://directions/FAT Viewer?action=UPDATE&amp;creator=factSet&amp;DYN_ARGS=true&amp;DOC_NAME=FAT:RGQ_ENTRPR_VAL_EV_SOURCE_WINDOW.FAT&amp;VAR:ID1=ORC-SE&amp;window=popup&amp;width=535&amp;height=425&amp;START_MAXIMIZED=FALSE&amp;Y=120"}</definedName>
    <definedName name="_681__FDSAUDITLINK__" localSheetId="0" hidden="1">{"fdsup://directions/FAT Viewer?action=UPDATE&amp;creator=factSet&amp;DYN_ARGS=true&amp;DOC_NAME=FAT:RGQ_ENTRPR_VAL_EV_SOURCE_WINDOW.FAT&amp;VAR:ID1=ORC-SE&amp;window=popup&amp;width=535&amp;height=425&amp;START_MAXIMIZED=FALSE&amp;Y=120"}</definedName>
    <definedName name="_681__FDSAUDITLINK__" localSheetId="6" hidden="1">{"fdsup://directions/FAT Viewer?action=UPDATE&amp;creator=factSet&amp;DYN_ARGS=true&amp;DOC_NAME=FAT:RGQ_ENTRPR_VAL_EV_SOURCE_WINDOW.FAT&amp;VAR:ID1=ORC-SE&amp;window=popup&amp;width=535&amp;height=425&amp;START_MAXIMIZED=FALSE&amp;Y=120"}</definedName>
    <definedName name="_681__FDSAUDITLINK__" hidden="1">{"fdsup://directions/FAT Viewer?action=UPDATE&amp;creator=factSet&amp;DYN_ARGS=true&amp;DOC_NAME=FAT:RGQ_ENTRPR_VAL_EV_SOURCE_WINDOW.FAT&amp;VAR:ID1=ORC-SE&amp;window=popup&amp;width=535&amp;height=425&amp;START_MAXIMIZED=FALSE&amp;Y=120"}</definedName>
    <definedName name="_682__FDSAUDITLINK__" localSheetId="0" hidden="1">{"fdsup://directions/FAT Viewer?action=UPDATE&amp;creator=factSet&amp;DYN_ARGS=true&amp;DOC_NAME=FAT:RGQ_ENTRPR_VAL_EV_SOURCE_WINDOW.FAT&amp;VAR:ID1=ORC-SE&amp;window=popup&amp;width=535&amp;height=425&amp;START_MAXIMIZED=FALSE&amp;Y=120"}</definedName>
    <definedName name="_682__FDSAUDITLINK__" localSheetId="6" hidden="1">{"fdsup://directions/FAT Viewer?action=UPDATE&amp;creator=factSet&amp;DYN_ARGS=true&amp;DOC_NAME=FAT:RGQ_ENTRPR_VAL_EV_SOURCE_WINDOW.FAT&amp;VAR:ID1=ORC-SE&amp;window=popup&amp;width=535&amp;height=425&amp;START_MAXIMIZED=FALSE&amp;Y=120"}</definedName>
    <definedName name="_682__FDSAUDITLINK__" hidden="1">{"fdsup://directions/FAT Viewer?action=UPDATE&amp;creator=factSet&amp;DYN_ARGS=true&amp;DOC_NAME=FAT:RGQ_ENTRPR_VAL_EV_SOURCE_WINDOW.FAT&amp;VAR:ID1=ORC-SE&amp;window=popup&amp;width=535&amp;height=425&amp;START_MAXIMIZED=FALSE&amp;Y=120"}</definedName>
    <definedName name="_683__FDSAUDITLINK__" localSheetId="0" hidden="1">{"fdsup://directions/FAT Viewer?action=UPDATE&amp;creator=factSet&amp;DYN_ARGS=true&amp;DOC_NAME=FAT:RGQ_ENTRPR_VAL_EV_SOURCE_WINDOW.FAT&amp;VAR:ID1=ORC-SE&amp;window=popup&amp;width=535&amp;height=425&amp;START_MAXIMIZED=FALSE&amp;Y=120"}</definedName>
    <definedName name="_683__FDSAUDITLINK__" localSheetId="6" hidden="1">{"fdsup://directions/FAT Viewer?action=UPDATE&amp;creator=factSet&amp;DYN_ARGS=true&amp;DOC_NAME=FAT:RGQ_ENTRPR_VAL_EV_SOURCE_WINDOW.FAT&amp;VAR:ID1=ORC-SE&amp;window=popup&amp;width=535&amp;height=425&amp;START_MAXIMIZED=FALSE&amp;Y=120"}</definedName>
    <definedName name="_683__FDSAUDITLINK__" hidden="1">{"fdsup://directions/FAT Viewer?action=UPDATE&amp;creator=factSet&amp;DYN_ARGS=true&amp;DOC_NAME=FAT:RGQ_ENTRPR_VAL_EV_SOURCE_WINDOW.FAT&amp;VAR:ID1=ORC-SE&amp;window=popup&amp;width=535&amp;height=425&amp;START_MAXIMIZED=FALSE&amp;Y=120"}</definedName>
    <definedName name="_684__FDSAUDITLINK__" localSheetId="0" hidden="1">{"fdsup://directions/FAT Viewer?action=UPDATE&amp;creator=factSet&amp;DYN_ARGS=true&amp;DOC_NAME=FAT:RGQ_ENTRPR_VAL_EV_SOURCE_WINDOW.FAT&amp;VAR:ID1=ORC-SE&amp;window=popup&amp;width=535&amp;height=425&amp;START_MAXIMIZED=FALSE&amp;Y=120"}</definedName>
    <definedName name="_684__FDSAUDITLINK__" localSheetId="6" hidden="1">{"fdsup://directions/FAT Viewer?action=UPDATE&amp;creator=factSet&amp;DYN_ARGS=true&amp;DOC_NAME=FAT:RGQ_ENTRPR_VAL_EV_SOURCE_WINDOW.FAT&amp;VAR:ID1=ORC-SE&amp;window=popup&amp;width=535&amp;height=425&amp;START_MAXIMIZED=FALSE&amp;Y=120"}</definedName>
    <definedName name="_684__FDSAUDITLINK__" hidden="1">{"fdsup://directions/FAT Viewer?action=UPDATE&amp;creator=factSet&amp;DYN_ARGS=true&amp;DOC_NAME=FAT:RGQ_ENTRPR_VAL_EV_SOURCE_WINDOW.FAT&amp;VAR:ID1=ORC-SE&amp;window=popup&amp;width=535&amp;height=425&amp;START_MAXIMIZED=FALSE&amp;Y=120"}</definedName>
    <definedName name="_685__123Graph_FCHART_37" hidden="1">#REF!</definedName>
    <definedName name="_685__FDSAUDITLINK__" localSheetId="0" hidden="1">{"fdsup://directions/FAT Viewer?action=UPDATE&amp;creator=factSet&amp;DYN_ARGS=true&amp;DOC_NAME=FAT:RGQ_ENTRPR_VAL_EV_SOURCE_WINDOW.FAT&amp;VAR:ID1=LIN-FR&amp;window=popup&amp;width=535&amp;height=425&amp;START_MAXIMIZED=FALSE&amp;Y=120"}</definedName>
    <definedName name="_685__FDSAUDITLINK__" localSheetId="6" hidden="1">{"fdsup://directions/FAT Viewer?action=UPDATE&amp;creator=factSet&amp;DYN_ARGS=true&amp;DOC_NAME=FAT:RGQ_ENTRPR_VAL_EV_SOURCE_WINDOW.FAT&amp;VAR:ID1=LIN-FR&amp;window=popup&amp;width=535&amp;height=425&amp;START_MAXIMIZED=FALSE&amp;Y=120"}</definedName>
    <definedName name="_685__FDSAUDITLINK__" hidden="1">{"fdsup://directions/FAT Viewer?action=UPDATE&amp;creator=factSet&amp;DYN_ARGS=true&amp;DOC_NAME=FAT:RGQ_ENTRPR_VAL_EV_SOURCE_WINDOW.FAT&amp;VAR:ID1=LIN-FR&amp;window=popup&amp;width=535&amp;height=425&amp;START_MAXIMIZED=FALSE&amp;Y=120"}</definedName>
    <definedName name="_686__FDSAUDITLINK__" localSheetId="0" hidden="1">{"fdsup://directions/FAT Viewer?action=UPDATE&amp;creator=factSet&amp;DYN_ARGS=true&amp;DOC_NAME=FAT:RGQ_ENTRPR_VAL_EV_SOURCE_WINDOW.FAT&amp;VAR:ID1=LIN-FR&amp;window=popup&amp;width=535&amp;height=425&amp;START_MAXIMIZED=FALSE&amp;Y=120"}</definedName>
    <definedName name="_686__FDSAUDITLINK__" localSheetId="6" hidden="1">{"fdsup://directions/FAT Viewer?action=UPDATE&amp;creator=factSet&amp;DYN_ARGS=true&amp;DOC_NAME=FAT:RGQ_ENTRPR_VAL_EV_SOURCE_WINDOW.FAT&amp;VAR:ID1=LIN-FR&amp;window=popup&amp;width=535&amp;height=425&amp;START_MAXIMIZED=FALSE&amp;Y=120"}</definedName>
    <definedName name="_686__FDSAUDITLINK__" hidden="1">{"fdsup://directions/FAT Viewer?action=UPDATE&amp;creator=factSet&amp;DYN_ARGS=true&amp;DOC_NAME=FAT:RGQ_ENTRPR_VAL_EV_SOURCE_WINDOW.FAT&amp;VAR:ID1=LIN-FR&amp;window=popup&amp;width=535&amp;height=425&amp;START_MAXIMIZED=FALSE&amp;Y=120"}</definedName>
    <definedName name="_687__FDSAUDITLINK__" localSheetId="0" hidden="1">{"fdsup://directions/FAT Viewer?action=UPDATE&amp;creator=factSet&amp;DYN_ARGS=true&amp;DOC_NAME=FAT:RGQ_ENTRPR_VAL_EV_SOURCE_WINDOW.FAT&amp;VAR:ID1=LIN-FR&amp;window=popup&amp;width=535&amp;height=425&amp;START_MAXIMIZED=FALSE&amp;Y=120"}</definedName>
    <definedName name="_687__FDSAUDITLINK__" localSheetId="6" hidden="1">{"fdsup://directions/FAT Viewer?action=UPDATE&amp;creator=factSet&amp;DYN_ARGS=true&amp;DOC_NAME=FAT:RGQ_ENTRPR_VAL_EV_SOURCE_WINDOW.FAT&amp;VAR:ID1=LIN-FR&amp;window=popup&amp;width=535&amp;height=425&amp;START_MAXIMIZED=FALSE&amp;Y=120"}</definedName>
    <definedName name="_687__FDSAUDITLINK__" hidden="1">{"fdsup://directions/FAT Viewer?action=UPDATE&amp;creator=factSet&amp;DYN_ARGS=true&amp;DOC_NAME=FAT:RGQ_ENTRPR_VAL_EV_SOURCE_WINDOW.FAT&amp;VAR:ID1=LIN-FR&amp;window=popup&amp;width=535&amp;height=425&amp;START_MAXIMIZED=FALSE&amp;Y=120"}</definedName>
    <definedName name="_688__FDSAUDITLINK__" localSheetId="0" hidden="1">{"fdsup://directions/FAT Viewer?action=UPDATE&amp;creator=factSet&amp;DYN_ARGS=true&amp;DOC_NAME=FAT:RGQ_ENTRPR_VAL_EV_SOURCE_WINDOW.FAT&amp;VAR:ID1=LIN-FR&amp;window=popup&amp;width=535&amp;height=425&amp;START_MAXIMIZED=FALSE&amp;Y=120"}</definedName>
    <definedName name="_688__FDSAUDITLINK__" localSheetId="6" hidden="1">{"fdsup://directions/FAT Viewer?action=UPDATE&amp;creator=factSet&amp;DYN_ARGS=true&amp;DOC_NAME=FAT:RGQ_ENTRPR_VAL_EV_SOURCE_WINDOW.FAT&amp;VAR:ID1=LIN-FR&amp;window=popup&amp;width=535&amp;height=425&amp;START_MAXIMIZED=FALSE&amp;Y=120"}</definedName>
    <definedName name="_688__FDSAUDITLINK__" hidden="1">{"fdsup://directions/FAT Viewer?action=UPDATE&amp;creator=factSet&amp;DYN_ARGS=true&amp;DOC_NAME=FAT:RGQ_ENTRPR_VAL_EV_SOURCE_WINDOW.FAT&amp;VAR:ID1=LIN-FR&amp;window=popup&amp;width=535&amp;height=425&amp;START_MAXIMIZED=FALSE&amp;Y=120"}</definedName>
    <definedName name="_689__FDSAUDITLINK__" localSheetId="0" hidden="1">{"fdsup://directions/FAT Viewer?action=UPDATE&amp;creator=factSet&amp;DYN_ARGS=true&amp;DOC_NAME=FAT:RGQ_ENTRPR_VAL_EV_SOURCE_WINDOW.FAT&amp;VAR:ID1=LIN-FR&amp;window=popup&amp;width=535&amp;height=425&amp;START_MAXIMIZED=FALSE&amp;Y=120"}</definedName>
    <definedName name="_689__FDSAUDITLINK__" localSheetId="6" hidden="1">{"fdsup://directions/FAT Viewer?action=UPDATE&amp;creator=factSet&amp;DYN_ARGS=true&amp;DOC_NAME=FAT:RGQ_ENTRPR_VAL_EV_SOURCE_WINDOW.FAT&amp;VAR:ID1=LIN-FR&amp;window=popup&amp;width=535&amp;height=425&amp;START_MAXIMIZED=FALSE&amp;Y=120"}</definedName>
    <definedName name="_689__FDSAUDITLINK__" hidden="1">{"fdsup://directions/FAT Viewer?action=UPDATE&amp;creator=factSet&amp;DYN_ARGS=true&amp;DOC_NAME=FAT:RGQ_ENTRPR_VAL_EV_SOURCE_WINDOW.FAT&amp;VAR:ID1=LIN-FR&amp;window=popup&amp;width=535&amp;height=425&amp;START_MAXIMIZED=FALSE&amp;Y=120"}</definedName>
    <definedName name="_69__123Graph_DCHART_3" hidden="1">#REF!</definedName>
    <definedName name="_69__123Graph_LBL_DCHART_2" hidden="1">#REF!</definedName>
    <definedName name="_69__123Graph_XMKT_YTD" hidden="1">#REF!</definedName>
    <definedName name="_69__FDSAUDITLINK__" localSheetId="0" hidden="1">{"fdsup://directions/FAT Viewer?action=UPDATE&amp;creator=factSet&amp;DYN_ARGS=true&amp;DOC_NAME=FAT:RGA_ENTRPR_VAL_EV_SOURCE_WINDOW.FAT&amp;VAR:ID1=&amp;window=popup&amp;width=535&amp;height=425&amp;START_MAXIMIZED=FALSE&amp;Y=120"}</definedName>
    <definedName name="_69__FDSAUDITLINK__" localSheetId="6" hidden="1">{"fdsup://directions/FAT Viewer?action=UPDATE&amp;creator=factSet&amp;DYN_ARGS=true&amp;DOC_NAME=FAT:RGA_ENTRPR_VAL_EV_SOURCE_WINDOW.FAT&amp;VAR:ID1=&amp;window=popup&amp;width=535&amp;height=425&amp;START_MAXIMIZED=FALSE&amp;Y=120"}</definedName>
    <definedName name="_69__FDSAUDITLINK__" hidden="1">{"fdsup://directions/FAT Viewer?action=UPDATE&amp;creator=factSet&amp;DYN_ARGS=true&amp;DOC_NAME=FAT:RGA_ENTRPR_VAL_EV_SOURCE_WINDOW.FAT&amp;VAR:ID1=&amp;window=popup&amp;width=535&amp;height=425&amp;START_MAXIMIZED=FALSE&amp;Y=120"}</definedName>
    <definedName name="_690__FDSAUDITLINK__" localSheetId="0" hidden="1">{"fdsup://directions/FAT Viewer?action=UPDATE&amp;creator=factSet&amp;DYN_ARGS=true&amp;DOC_NAME=FAT:RGQ_ENTRPR_VAL_EV_SOURCE_WINDOW.FAT&amp;VAR:ID1=LIN-FR&amp;window=popup&amp;width=535&amp;height=425&amp;START_MAXIMIZED=FALSE&amp;Y=120"}</definedName>
    <definedName name="_690__FDSAUDITLINK__" localSheetId="6" hidden="1">{"fdsup://directions/FAT Viewer?action=UPDATE&amp;creator=factSet&amp;DYN_ARGS=true&amp;DOC_NAME=FAT:RGQ_ENTRPR_VAL_EV_SOURCE_WINDOW.FAT&amp;VAR:ID1=LIN-FR&amp;window=popup&amp;width=535&amp;height=425&amp;START_MAXIMIZED=FALSE&amp;Y=120"}</definedName>
    <definedName name="_690__FDSAUDITLINK__" hidden="1">{"fdsup://directions/FAT Viewer?action=UPDATE&amp;creator=factSet&amp;DYN_ARGS=true&amp;DOC_NAME=FAT:RGQ_ENTRPR_VAL_EV_SOURCE_WINDOW.FAT&amp;VAR:ID1=LIN-FR&amp;window=popup&amp;width=535&amp;height=425&amp;START_MAXIMIZED=FALSE&amp;Y=120"}</definedName>
    <definedName name="_691__FDSAUDITLINK__" localSheetId="0" hidden="1">{"fdsup://directions/FAT Viewer?action=UPDATE&amp;creator=factSet&amp;DYN_ARGS=true&amp;DOC_NAME=FAT:RGQ_ENTRPR_VAL_EV_SOURCE_WINDOW.FAT&amp;VAR:ID1=LIN-FR&amp;window=popup&amp;width=535&amp;height=425&amp;START_MAXIMIZED=FALSE&amp;Y=120"}</definedName>
    <definedName name="_691__FDSAUDITLINK__" localSheetId="6" hidden="1">{"fdsup://directions/FAT Viewer?action=UPDATE&amp;creator=factSet&amp;DYN_ARGS=true&amp;DOC_NAME=FAT:RGQ_ENTRPR_VAL_EV_SOURCE_WINDOW.FAT&amp;VAR:ID1=LIN-FR&amp;window=popup&amp;width=535&amp;height=425&amp;START_MAXIMIZED=FALSE&amp;Y=120"}</definedName>
    <definedName name="_691__FDSAUDITLINK__" hidden="1">{"fdsup://directions/FAT Viewer?action=UPDATE&amp;creator=factSet&amp;DYN_ARGS=true&amp;DOC_NAME=FAT:RGQ_ENTRPR_VAL_EV_SOURCE_WINDOW.FAT&amp;VAR:ID1=LIN-FR&amp;window=popup&amp;width=535&amp;height=425&amp;START_MAXIMIZED=FALSE&amp;Y=120"}</definedName>
    <definedName name="_692__FDSAUDITLINK__" localSheetId="0" hidden="1">{"fdsup://directions/FAT Viewer?action=UPDATE&amp;creator=factSet&amp;DYN_ARGS=true&amp;DOC_NAME=FAT:RGQ_ENTRPR_VAL_EV_SOURCE_WINDOW.FAT&amp;VAR:ID1=LIN-FR&amp;window=popup&amp;width=535&amp;height=425&amp;START_MAXIMIZED=FALSE&amp;Y=120"}</definedName>
    <definedName name="_692__FDSAUDITLINK__" localSheetId="6" hidden="1">{"fdsup://directions/FAT Viewer?action=UPDATE&amp;creator=factSet&amp;DYN_ARGS=true&amp;DOC_NAME=FAT:RGQ_ENTRPR_VAL_EV_SOURCE_WINDOW.FAT&amp;VAR:ID1=LIN-FR&amp;window=popup&amp;width=535&amp;height=425&amp;START_MAXIMIZED=FALSE&amp;Y=120"}</definedName>
    <definedName name="_692__FDSAUDITLINK__" hidden="1">{"fdsup://directions/FAT Viewer?action=UPDATE&amp;creator=factSet&amp;DYN_ARGS=true&amp;DOC_NAME=FAT:RGQ_ENTRPR_VAL_EV_SOURCE_WINDOW.FAT&amp;VAR:ID1=LIN-FR&amp;window=popup&amp;width=535&amp;height=425&amp;START_MAXIMIZED=FALSE&amp;Y=120"}</definedName>
    <definedName name="_693__FDSAUDITLINK__" localSheetId="0" hidden="1">{"fdsup://directions/FAT Viewer?action=UPDATE&amp;creator=factSet&amp;DYN_ARGS=true&amp;DOC_NAME=FAT:RGQ_ENTRPR_VAL_EV_SOURCE_WINDOW.FAT&amp;VAR:ID1=LIN-FR&amp;window=popup&amp;width=535&amp;height=425&amp;START_MAXIMIZED=FALSE&amp;Y=120"}</definedName>
    <definedName name="_693__FDSAUDITLINK__" localSheetId="6" hidden="1">{"fdsup://directions/FAT Viewer?action=UPDATE&amp;creator=factSet&amp;DYN_ARGS=true&amp;DOC_NAME=FAT:RGQ_ENTRPR_VAL_EV_SOURCE_WINDOW.FAT&amp;VAR:ID1=LIN-FR&amp;window=popup&amp;width=535&amp;height=425&amp;START_MAXIMIZED=FALSE&amp;Y=120"}</definedName>
    <definedName name="_693__FDSAUDITLINK__" hidden="1">{"fdsup://directions/FAT Viewer?action=UPDATE&amp;creator=factSet&amp;DYN_ARGS=true&amp;DOC_NAME=FAT:RGQ_ENTRPR_VAL_EV_SOURCE_WINDOW.FAT&amp;VAR:ID1=LIN-FR&amp;window=popup&amp;width=535&amp;height=425&amp;START_MAXIMIZED=FALSE&amp;Y=120"}</definedName>
    <definedName name="_694__FDSAUDITLINK__" localSheetId="0" hidden="1">{"fdsup://directions/FAT Viewer?action=UPDATE&amp;creator=factSet&amp;DYN_ARGS=true&amp;DOC_NAME=FAT:RGQ_ENTRPR_VAL_EV_SOURCE_WINDOW.FAT&amp;VAR:ID1=LIN-FR&amp;window=popup&amp;width=535&amp;height=425&amp;START_MAXIMIZED=FALSE&amp;Y=120"}</definedName>
    <definedName name="_694__FDSAUDITLINK__" localSheetId="6" hidden="1">{"fdsup://directions/FAT Viewer?action=UPDATE&amp;creator=factSet&amp;DYN_ARGS=true&amp;DOC_NAME=FAT:RGQ_ENTRPR_VAL_EV_SOURCE_WINDOW.FAT&amp;VAR:ID1=LIN-FR&amp;window=popup&amp;width=535&amp;height=425&amp;START_MAXIMIZED=FALSE&amp;Y=120"}</definedName>
    <definedName name="_694__FDSAUDITLINK__" hidden="1">{"fdsup://directions/FAT Viewer?action=UPDATE&amp;creator=factSet&amp;DYN_ARGS=true&amp;DOC_NAME=FAT:RGQ_ENTRPR_VAL_EV_SOURCE_WINDOW.FAT&amp;VAR:ID1=LIN-FR&amp;window=popup&amp;width=535&amp;height=425&amp;START_MAXIMIZED=FALSE&amp;Y=120"}</definedName>
    <definedName name="_695__FDSAUDITLINK__" localSheetId="0" hidden="1">{"fdsup://directions/FAT Viewer?action=UPDATE&amp;creator=factSet&amp;DYN_ARGS=true&amp;DOC_NAME=FAT:RGQ_ENTRPR_VAL_EV_SOURCE_WINDOW.FAT&amp;VAR:ID1=LIN-FR&amp;window=popup&amp;width=535&amp;height=425&amp;START_MAXIMIZED=FALSE&amp;Y=120"}</definedName>
    <definedName name="_695__FDSAUDITLINK__" localSheetId="6" hidden="1">{"fdsup://directions/FAT Viewer?action=UPDATE&amp;creator=factSet&amp;DYN_ARGS=true&amp;DOC_NAME=FAT:RGQ_ENTRPR_VAL_EV_SOURCE_WINDOW.FAT&amp;VAR:ID1=LIN-FR&amp;window=popup&amp;width=535&amp;height=425&amp;START_MAXIMIZED=FALSE&amp;Y=120"}</definedName>
    <definedName name="_695__FDSAUDITLINK__" hidden="1">{"fdsup://directions/FAT Viewer?action=UPDATE&amp;creator=factSet&amp;DYN_ARGS=true&amp;DOC_NAME=FAT:RGQ_ENTRPR_VAL_EV_SOURCE_WINDOW.FAT&amp;VAR:ID1=LIN-FR&amp;window=popup&amp;width=535&amp;height=425&amp;START_MAXIMIZED=FALSE&amp;Y=120"}</definedName>
    <definedName name="_696__FDSAUDITLINK__" localSheetId="0" hidden="1">{"fdsup://directions/FAT Viewer?action=UPDATE&amp;creator=factSet&amp;DYN_ARGS=true&amp;DOC_NAME=FAT:RGQ_ENTRPR_VAL_EV_SOURCE_WINDOW.FAT&amp;VAR:ID1=LIN-FR&amp;window=popup&amp;width=535&amp;height=425&amp;START_MAXIMIZED=FALSE&amp;Y=120"}</definedName>
    <definedName name="_696__FDSAUDITLINK__" localSheetId="6" hidden="1">{"fdsup://directions/FAT Viewer?action=UPDATE&amp;creator=factSet&amp;DYN_ARGS=true&amp;DOC_NAME=FAT:RGQ_ENTRPR_VAL_EV_SOURCE_WINDOW.FAT&amp;VAR:ID1=LIN-FR&amp;window=popup&amp;width=535&amp;height=425&amp;START_MAXIMIZED=FALSE&amp;Y=120"}</definedName>
    <definedName name="_696__FDSAUDITLINK__" hidden="1">{"fdsup://directions/FAT Viewer?action=UPDATE&amp;creator=factSet&amp;DYN_ARGS=true&amp;DOC_NAME=FAT:RGQ_ENTRPR_VAL_EV_SOURCE_WINDOW.FAT&amp;VAR:ID1=LIN-FR&amp;window=popup&amp;width=535&amp;height=425&amp;START_MAXIMIZED=FALSE&amp;Y=120"}</definedName>
    <definedName name="_697__FDSAUDITLINK__" localSheetId="0" hidden="1">{"fdsup://directions/FAT Viewer?action=UPDATE&amp;creator=factSet&amp;DYN_ARGS=true&amp;DOC_NAME=FAT:RGQ_ENTRPR_VAL_EV_SOURCE_WINDOW.FAT&amp;VAR:ID1=LIN-FR&amp;window=popup&amp;width=535&amp;height=425&amp;START_MAXIMIZED=FALSE&amp;Y=120"}</definedName>
    <definedName name="_697__FDSAUDITLINK__" localSheetId="6" hidden="1">{"fdsup://directions/FAT Viewer?action=UPDATE&amp;creator=factSet&amp;DYN_ARGS=true&amp;DOC_NAME=FAT:RGQ_ENTRPR_VAL_EV_SOURCE_WINDOW.FAT&amp;VAR:ID1=LIN-FR&amp;window=popup&amp;width=535&amp;height=425&amp;START_MAXIMIZED=FALSE&amp;Y=120"}</definedName>
    <definedName name="_697__FDSAUDITLINK__" hidden="1">{"fdsup://directions/FAT Viewer?action=UPDATE&amp;creator=factSet&amp;DYN_ARGS=true&amp;DOC_NAME=FAT:RGQ_ENTRPR_VAL_EV_SOURCE_WINDOW.FAT&amp;VAR:ID1=LIN-FR&amp;window=popup&amp;width=535&amp;height=425&amp;START_MAXIMIZED=FALSE&amp;Y=120"}</definedName>
    <definedName name="_698__123Graph_FCHART_39" hidden="1">#REF!</definedName>
    <definedName name="_698__FDSAUDITLINK__" localSheetId="0" hidden="1">{"fdsup://directions/FAT Viewer?action=UPDATE&amp;creator=factSet&amp;DYN_ARGS=true&amp;DOC_NAME=FAT:RGQ_ENTRPR_VAL_EV_SOURCE_WINDOW.FAT&amp;VAR:ID1=LIN-FR&amp;window=popup&amp;width=535&amp;height=425&amp;START_MAXIMIZED=FALSE&amp;Y=120"}</definedName>
    <definedName name="_698__FDSAUDITLINK__" localSheetId="6" hidden="1">{"fdsup://directions/FAT Viewer?action=UPDATE&amp;creator=factSet&amp;DYN_ARGS=true&amp;DOC_NAME=FAT:RGQ_ENTRPR_VAL_EV_SOURCE_WINDOW.FAT&amp;VAR:ID1=LIN-FR&amp;window=popup&amp;width=535&amp;height=425&amp;START_MAXIMIZED=FALSE&amp;Y=120"}</definedName>
    <definedName name="_698__FDSAUDITLINK__" hidden="1">{"fdsup://directions/FAT Viewer?action=UPDATE&amp;creator=factSet&amp;DYN_ARGS=true&amp;DOC_NAME=FAT:RGQ_ENTRPR_VAL_EV_SOURCE_WINDOW.FAT&amp;VAR:ID1=LIN-FR&amp;window=popup&amp;width=535&amp;height=425&amp;START_MAXIMIZED=FALSE&amp;Y=120"}</definedName>
    <definedName name="_699__FDSAUDITLINK__" localSheetId="0" hidden="1">{"fdsup://directions/FAT Viewer?action=UPDATE&amp;creator=factSet&amp;DYN_ARGS=true&amp;DOC_NAME=FAT:RGQ_ENTRPR_VAL_EV_SOURCE_WINDOW.FAT&amp;VAR:ID1=LIN-FR&amp;window=popup&amp;width=535&amp;height=425&amp;START_MAXIMIZED=FALSE&amp;Y=120"}</definedName>
    <definedName name="_699__FDSAUDITLINK__" localSheetId="6" hidden="1">{"fdsup://directions/FAT Viewer?action=UPDATE&amp;creator=factSet&amp;DYN_ARGS=true&amp;DOC_NAME=FAT:RGQ_ENTRPR_VAL_EV_SOURCE_WINDOW.FAT&amp;VAR:ID1=LIN-FR&amp;window=popup&amp;width=535&amp;height=425&amp;START_MAXIMIZED=FALSE&amp;Y=120"}</definedName>
    <definedName name="_699__FDSAUDITLINK__" hidden="1">{"fdsup://directions/FAT Viewer?action=UPDATE&amp;creator=factSet&amp;DYN_ARGS=true&amp;DOC_NAME=FAT:RGQ_ENTRPR_VAL_EV_SOURCE_WINDOW.FAT&amp;VAR:ID1=LIN-FR&amp;window=popup&amp;width=535&amp;height=425&amp;START_MAXIMIZED=FALSE&amp;Y=120"}</definedName>
    <definedName name="_6PGE_1">#REF!</definedName>
    <definedName name="_7____123Graph_LBL_BCHART_1" hidden="1">#REF!</definedName>
    <definedName name="_7__123Graph_A_JY9196" hidden="1">#REF!</definedName>
    <definedName name="_7__123Graph_ACHART_13" hidden="1">#REF!</definedName>
    <definedName name="_7__123Graph_ACHART_21" hidden="1">#REF!</definedName>
    <definedName name="_7__123Graph_AChart_6" hidden="1">#REF!</definedName>
    <definedName name="_7__123Graph_BCHART_1" hidden="1">#REF!</definedName>
    <definedName name="_7__123Graph_BCHART_28" hidden="1">#REF!</definedName>
    <definedName name="_7__123Graph_CCHART_12" hidden="1">#REF!</definedName>
    <definedName name="_7__123Graph_CCHART_16" hidden="1">#REF!</definedName>
    <definedName name="_7__123Graph_LBL_ACHART_3" hidden="1">#REF!</definedName>
    <definedName name="_7__123Graph_LBL_BMKT_MONTH" hidden="1">#REF!</definedName>
    <definedName name="_7__123Graph_LBL_BPE_Y" hidden="1">#REF!</definedName>
    <definedName name="_7__123Graph_XCHART_2" hidden="1">#REF!</definedName>
    <definedName name="_7__FDSAUDITLINK__" localSheetId="0" hidden="1">{"fdsup://directions/FAT Viewer?action=UPDATE&amp;creator=factSet&amp;DYN_ARGS=true&amp;DOC_NAME=FAT:RGA_ENTRPR_VAL_EV_SOURCE_WINDOW.FAT&amp;VAR:ID1=&amp;window=popup&amp;width=535&amp;height=425&amp;START_MAXIMIZED=FALSE&amp;Y=120"}</definedName>
    <definedName name="_7__FDSAUDITLINK__" localSheetId="6" hidden="1">{"fdsup://directions/FAT Viewer?action=UPDATE&amp;creator=factSet&amp;DYN_ARGS=true&amp;DOC_NAME=FAT:RGA_ENTRPR_VAL_EV_SOURCE_WINDOW.FAT&amp;VAR:ID1=&amp;window=popup&amp;width=535&amp;height=425&amp;START_MAXIMIZED=FALSE&amp;Y=120"}</definedName>
    <definedName name="_7__FDSAUDITLINK__" hidden="1">{"fdsup://directions/FAT Viewer?action=UPDATE&amp;creator=factSet&amp;DYN_ARGS=true&amp;DOC_NAME=FAT:RGA_ENTRPR_VAL_EV_SOURCE_WINDOW.FAT&amp;VAR:ID1=&amp;window=popup&amp;width=535&amp;height=425&amp;START_MAXIMIZED=FALSE&amp;Y=120"}</definedName>
    <definedName name="_7_0">#REF!</definedName>
    <definedName name="_7_0Swvu.Pag" hidden="1">#REF!</definedName>
    <definedName name="_70__123Graph_BCHART_2" hidden="1">#REF!</definedName>
    <definedName name="_70__123Graph_CCHART_16" hidden="1">#REF!</definedName>
    <definedName name="_70__123Graph_DCHART_31" hidden="1">#REF!</definedName>
    <definedName name="_70__123Graph_XCHART_2" hidden="1">#REF!</definedName>
    <definedName name="_70__123Graph_XCHART_22" hidden="1">#REF!</definedName>
    <definedName name="_70__FDSAUDITLINK__" localSheetId="0" hidden="1">{"fdsup://directions/FAT Viewer?action=UPDATE&amp;creator=factSet&amp;DYN_ARGS=true&amp;DOC_NAME=FAT:RGA_ENTRPR_VAL_EV_SOURCE_WINDOW.FAT&amp;VAR:ID1=&amp;window=popup&amp;width=535&amp;height=425&amp;START_MAXIMIZED=FALSE&amp;Y=120"}</definedName>
    <definedName name="_70__FDSAUDITLINK__" localSheetId="6" hidden="1">{"fdsup://directions/FAT Viewer?action=UPDATE&amp;creator=factSet&amp;DYN_ARGS=true&amp;DOC_NAME=FAT:RGA_ENTRPR_VAL_EV_SOURCE_WINDOW.FAT&amp;VAR:ID1=&amp;window=popup&amp;width=535&amp;height=425&amp;START_MAXIMIZED=FALSE&amp;Y=120"}</definedName>
    <definedName name="_70__FDSAUDITLINK__" hidden="1">{"fdsup://directions/FAT Viewer?action=UPDATE&amp;creator=factSet&amp;DYN_ARGS=true&amp;DOC_NAME=FAT:RGA_ENTRPR_VAL_EV_SOURCE_WINDOW.FAT&amp;VAR:ID1=&amp;window=popup&amp;width=535&amp;height=425&amp;START_MAXIMIZED=FALSE&amp;Y=120"}</definedName>
    <definedName name="_700__FDSAUDITLINK__" localSheetId="0" hidden="1">{"fdsup://directions/FAT Viewer?action=UPDATE&amp;creator=factSet&amp;DYN_ARGS=true&amp;DOC_NAME=FAT:RGQ_ENTRPR_VAL_EV_SOURCE_WINDOW.FAT&amp;VAR:ID1=LIN-FR&amp;window=popup&amp;width=535&amp;height=425&amp;START_MAXIMIZED=FALSE&amp;Y=120"}</definedName>
    <definedName name="_700__FDSAUDITLINK__" localSheetId="6" hidden="1">{"fdsup://directions/FAT Viewer?action=UPDATE&amp;creator=factSet&amp;DYN_ARGS=true&amp;DOC_NAME=FAT:RGQ_ENTRPR_VAL_EV_SOURCE_WINDOW.FAT&amp;VAR:ID1=LIN-FR&amp;window=popup&amp;width=535&amp;height=425&amp;START_MAXIMIZED=FALSE&amp;Y=120"}</definedName>
    <definedName name="_700__FDSAUDITLINK__" hidden="1">{"fdsup://directions/FAT Viewer?action=UPDATE&amp;creator=factSet&amp;DYN_ARGS=true&amp;DOC_NAME=FAT:RGQ_ENTRPR_VAL_EV_SOURCE_WINDOW.FAT&amp;VAR:ID1=LIN-FR&amp;window=popup&amp;width=535&amp;height=425&amp;START_MAXIMIZED=FALSE&amp;Y=120"}</definedName>
    <definedName name="_701__FDSAUDITLINK__" localSheetId="0" hidden="1">{"fdsup://directions/FAT Viewer?action=UPDATE&amp;creator=factSet&amp;DYN_ARGS=true&amp;DOC_NAME=FAT:RGQ_ENTRPR_VAL_EV_SOURCE_WINDOW.FAT&amp;VAR:ID1=LIN-FR&amp;window=popup&amp;width=535&amp;height=425&amp;START_MAXIMIZED=FALSE&amp;Y=120"}</definedName>
    <definedName name="_701__FDSAUDITLINK__" localSheetId="6" hidden="1">{"fdsup://directions/FAT Viewer?action=UPDATE&amp;creator=factSet&amp;DYN_ARGS=true&amp;DOC_NAME=FAT:RGQ_ENTRPR_VAL_EV_SOURCE_WINDOW.FAT&amp;VAR:ID1=LIN-FR&amp;window=popup&amp;width=535&amp;height=425&amp;START_MAXIMIZED=FALSE&amp;Y=120"}</definedName>
    <definedName name="_701__FDSAUDITLINK__" hidden="1">{"fdsup://directions/FAT Viewer?action=UPDATE&amp;creator=factSet&amp;DYN_ARGS=true&amp;DOC_NAME=FAT:RGQ_ENTRPR_VAL_EV_SOURCE_WINDOW.FAT&amp;VAR:ID1=LIN-FR&amp;window=popup&amp;width=535&amp;height=425&amp;START_MAXIMIZED=FALSE&amp;Y=120"}</definedName>
    <definedName name="_702__FDSAUDITLINK__" localSheetId="0" hidden="1">{"fdsup://directions/FAT Viewer?action=UPDATE&amp;creator=factSet&amp;DYN_ARGS=true&amp;DOC_NAME=FAT:RGQ_ENTRPR_VAL_EV_SOURCE_WINDOW.FAT&amp;VAR:ID1=LIN-FR&amp;window=popup&amp;width=535&amp;height=425&amp;START_MAXIMIZED=FALSE&amp;Y=120"}</definedName>
    <definedName name="_702__FDSAUDITLINK__" localSheetId="6" hidden="1">{"fdsup://directions/FAT Viewer?action=UPDATE&amp;creator=factSet&amp;DYN_ARGS=true&amp;DOC_NAME=FAT:RGQ_ENTRPR_VAL_EV_SOURCE_WINDOW.FAT&amp;VAR:ID1=LIN-FR&amp;window=popup&amp;width=535&amp;height=425&amp;START_MAXIMIZED=FALSE&amp;Y=120"}</definedName>
    <definedName name="_702__FDSAUDITLINK__" hidden="1">{"fdsup://directions/FAT Viewer?action=UPDATE&amp;creator=factSet&amp;DYN_ARGS=true&amp;DOC_NAME=FAT:RGQ_ENTRPR_VAL_EV_SOURCE_WINDOW.FAT&amp;VAR:ID1=LIN-FR&amp;window=popup&amp;width=535&amp;height=425&amp;START_MAXIMIZED=FALSE&amp;Y=120"}</definedName>
    <definedName name="_703__FDSAUDITLINK__" localSheetId="0" hidden="1">{"fdsup://directions/FAT Viewer?action=UPDATE&amp;creator=factSet&amp;DYN_ARGS=true&amp;DOC_NAME=FAT:RGQ_ENTRPR_VAL_EV_SOURCE_WINDOW.FAT&amp;VAR:ID1=LIN-FR&amp;window=popup&amp;width=535&amp;height=425&amp;START_MAXIMIZED=FALSE&amp;Y=120"}</definedName>
    <definedName name="_703__FDSAUDITLINK__" localSheetId="6" hidden="1">{"fdsup://directions/FAT Viewer?action=UPDATE&amp;creator=factSet&amp;DYN_ARGS=true&amp;DOC_NAME=FAT:RGQ_ENTRPR_VAL_EV_SOURCE_WINDOW.FAT&amp;VAR:ID1=LIN-FR&amp;window=popup&amp;width=535&amp;height=425&amp;START_MAXIMIZED=FALSE&amp;Y=120"}</definedName>
    <definedName name="_703__FDSAUDITLINK__" hidden="1">{"fdsup://directions/FAT Viewer?action=UPDATE&amp;creator=factSet&amp;DYN_ARGS=true&amp;DOC_NAME=FAT:RGQ_ENTRPR_VAL_EV_SOURCE_WINDOW.FAT&amp;VAR:ID1=LIN-FR&amp;window=popup&amp;width=535&amp;height=425&amp;START_MAXIMIZED=FALSE&amp;Y=120"}</definedName>
    <definedName name="_704__FDSAUDITLINK__" localSheetId="0" hidden="1">{"fdsup://directions/FAT Viewer?action=UPDATE&amp;creator=factSet&amp;DYN_ARGS=true&amp;DOC_NAME=FAT:RGQ_ENTRPR_VAL_EV_SOURCE_WINDOW.FAT&amp;VAR:ID1=LIN-FR&amp;window=popup&amp;width=535&amp;height=425&amp;START_MAXIMIZED=FALSE&amp;Y=120"}</definedName>
    <definedName name="_704__FDSAUDITLINK__" localSheetId="6" hidden="1">{"fdsup://directions/FAT Viewer?action=UPDATE&amp;creator=factSet&amp;DYN_ARGS=true&amp;DOC_NAME=FAT:RGQ_ENTRPR_VAL_EV_SOURCE_WINDOW.FAT&amp;VAR:ID1=LIN-FR&amp;window=popup&amp;width=535&amp;height=425&amp;START_MAXIMIZED=FALSE&amp;Y=120"}</definedName>
    <definedName name="_704__FDSAUDITLINK__" hidden="1">{"fdsup://directions/FAT Viewer?action=UPDATE&amp;creator=factSet&amp;DYN_ARGS=true&amp;DOC_NAME=FAT:RGQ_ENTRPR_VAL_EV_SOURCE_WINDOW.FAT&amp;VAR:ID1=LIN-FR&amp;window=popup&amp;width=535&amp;height=425&amp;START_MAXIMIZED=FALSE&amp;Y=120"}</definedName>
    <definedName name="_705__FDSAUDITLINK__" localSheetId="0" hidden="1">{"fdsup://directions/FAT Viewer?action=UPDATE&amp;creator=factSet&amp;DYN_ARGS=true&amp;DOC_NAME=FAT:RGQ_ENTRPR_VAL_EV_SOURCE_WINDOW.FAT&amp;VAR:ID1=LIN-FR&amp;window=popup&amp;width=535&amp;height=425&amp;START_MAXIMIZED=FALSE&amp;Y=120"}</definedName>
    <definedName name="_705__FDSAUDITLINK__" localSheetId="6" hidden="1">{"fdsup://directions/FAT Viewer?action=UPDATE&amp;creator=factSet&amp;DYN_ARGS=true&amp;DOC_NAME=FAT:RGQ_ENTRPR_VAL_EV_SOURCE_WINDOW.FAT&amp;VAR:ID1=LIN-FR&amp;window=popup&amp;width=535&amp;height=425&amp;START_MAXIMIZED=FALSE&amp;Y=120"}</definedName>
    <definedName name="_705__FDSAUDITLINK__" hidden="1">{"fdsup://directions/FAT Viewer?action=UPDATE&amp;creator=factSet&amp;DYN_ARGS=true&amp;DOC_NAME=FAT:RGQ_ENTRPR_VAL_EV_SOURCE_WINDOW.FAT&amp;VAR:ID1=LIN-FR&amp;window=popup&amp;width=535&amp;height=425&amp;START_MAXIMIZED=FALSE&amp;Y=120"}</definedName>
    <definedName name="_706__FDSAUDITLINK__" localSheetId="0" hidden="1">{"fdsup://Directions/FAT Viewer?action=UPDATE&amp;creator=factset&amp;DOC_NAME=fat:reuters_semi_source_window.fat&amp;display_string=Audit&amp;DYN_ARGS=TRUE&amp;VAR:ID1=596787&amp;VAR:RCODE=FDSENTRPRVAL&amp;VAR:SDATE=37711&amp;VAR:FREQ=Daily&amp;VAR:RELITEM=&amp;VAR:CURRENCY=EUR&amp;VAR:CURRSOURCE=EX","SHARE&amp;VAR:NATFREQ=FSA&amp;VAR:RFIELD=FINALIZED&amp;VAR:DB_TYPE=&amp;VAR:UNITS=M&amp;window=popup&amp;width=450&amp;height=300&amp;START_MAXIMIZED=FALSE"}</definedName>
    <definedName name="_706__FDSAUDITLINK__" localSheetId="6" hidden="1">{"fdsup://Directions/FAT Viewer?action=UPDATE&amp;creator=factset&amp;DOC_NAME=fat:reuters_semi_source_window.fat&amp;display_string=Audit&amp;DYN_ARGS=TRUE&amp;VAR:ID1=596787&amp;VAR:RCODE=FDSENTRPRVAL&amp;VAR:SDATE=37711&amp;VAR:FREQ=Daily&amp;VAR:RELITEM=&amp;VAR:CURRENCY=EUR&amp;VAR:CURRSOURCE=EX","SHARE&amp;VAR:NATFREQ=FSA&amp;VAR:RFIELD=FINALIZED&amp;VAR:DB_TYPE=&amp;VAR:UNITS=M&amp;window=popup&amp;width=450&amp;height=300&amp;START_MAXIMIZED=FALSE"}</definedName>
    <definedName name="_706__FDSAUDITLINK__" hidden="1">{"fdsup://Directions/FAT Viewer?action=UPDATE&amp;creator=factset&amp;DOC_NAME=fat:reuters_semi_source_window.fat&amp;display_string=Audit&amp;DYN_ARGS=TRUE&amp;VAR:ID1=596787&amp;VAR:RCODE=FDSENTRPRVAL&amp;VAR:SDATE=37711&amp;VAR:FREQ=Daily&amp;VAR:RELITEM=&amp;VAR:CURRENCY=EUR&amp;VAR:CURRSOURCE=EX","SHARE&amp;VAR:NATFREQ=FSA&amp;VAR:RFIELD=FINALIZED&amp;VAR:DB_TYPE=&amp;VAR:UNITS=M&amp;window=popup&amp;width=450&amp;height=300&amp;START_MAXIMIZED=FALSE"}</definedName>
    <definedName name="_707__FDSAUDITLINK__" localSheetId="0" hidden="1">{"fdsup://Directions/FAT Viewer?action=UPDATE&amp;creator=factset&amp;DOC_NAME=fat:reuters_semi_source_window.fat&amp;display_string=Audit&amp;DYN_ARGS=TRUE&amp;VAR:ID1=596787&amp;VAR:RCODE=FDSENTRPRVAL&amp;VAR:SDATE=37802&amp;VAR:FREQ=Daily&amp;VAR:RELITEM=&amp;VAR:CURRENCY=EUR&amp;VAR:CURRSOURCE=EX","SHARE&amp;VAR:NATFREQ=FSA&amp;VAR:RFIELD=FINALIZED&amp;VAR:DB_TYPE=&amp;VAR:UNITS=M&amp;window=popup&amp;width=450&amp;height=300&amp;START_MAXIMIZED=FALSE"}</definedName>
    <definedName name="_707__FDSAUDITLINK__" localSheetId="6" hidden="1">{"fdsup://Directions/FAT Viewer?action=UPDATE&amp;creator=factset&amp;DOC_NAME=fat:reuters_semi_source_window.fat&amp;display_string=Audit&amp;DYN_ARGS=TRUE&amp;VAR:ID1=596787&amp;VAR:RCODE=FDSENTRPRVAL&amp;VAR:SDATE=37802&amp;VAR:FREQ=Daily&amp;VAR:RELITEM=&amp;VAR:CURRENCY=EUR&amp;VAR:CURRSOURCE=EX","SHARE&amp;VAR:NATFREQ=FSA&amp;VAR:RFIELD=FINALIZED&amp;VAR:DB_TYPE=&amp;VAR:UNITS=M&amp;window=popup&amp;width=450&amp;height=300&amp;START_MAXIMIZED=FALSE"}</definedName>
    <definedName name="_707__FDSAUDITLINK__" hidden="1">{"fdsup://Directions/FAT Viewer?action=UPDATE&amp;creator=factset&amp;DOC_NAME=fat:reuters_semi_source_window.fat&amp;display_string=Audit&amp;DYN_ARGS=TRUE&amp;VAR:ID1=596787&amp;VAR:RCODE=FDSENTRPRVAL&amp;VAR:SDATE=37802&amp;VAR:FREQ=Daily&amp;VAR:RELITEM=&amp;VAR:CURRENCY=EUR&amp;VAR:CURRSOURCE=EX","SHARE&amp;VAR:NATFREQ=FSA&amp;VAR:RFIELD=FINALIZED&amp;VAR:DB_TYPE=&amp;VAR:UNITS=M&amp;window=popup&amp;width=450&amp;height=300&amp;START_MAXIMIZED=FALSE"}</definedName>
    <definedName name="_708__FDSAUDITLINK__" localSheetId="0" hidden="1">{"fdsup://Directions/FAT Viewer?action=UPDATE&amp;creator=factset&amp;DOC_NAME=fat:reuters_semi_source_window.fat&amp;display_string=Audit&amp;DYN_ARGS=TRUE&amp;VAR:ID1=596787&amp;VAR:RCODE=FDSENTRPRVAL&amp;VAR:SDATE=37894&amp;VAR:FREQ=Daily&amp;VAR:RELITEM=&amp;VAR:CURRENCY=EUR&amp;VAR:CURRSOURCE=EX","SHARE&amp;VAR:NATFREQ=FSA&amp;VAR:RFIELD=FINALIZED&amp;VAR:DB_TYPE=&amp;VAR:UNITS=M&amp;window=popup&amp;width=450&amp;height=300&amp;START_MAXIMIZED=FALSE"}</definedName>
    <definedName name="_708__FDSAUDITLINK__" localSheetId="6" hidden="1">{"fdsup://Directions/FAT Viewer?action=UPDATE&amp;creator=factset&amp;DOC_NAME=fat:reuters_semi_source_window.fat&amp;display_string=Audit&amp;DYN_ARGS=TRUE&amp;VAR:ID1=596787&amp;VAR:RCODE=FDSENTRPRVAL&amp;VAR:SDATE=37894&amp;VAR:FREQ=Daily&amp;VAR:RELITEM=&amp;VAR:CURRENCY=EUR&amp;VAR:CURRSOURCE=EX","SHARE&amp;VAR:NATFREQ=FSA&amp;VAR:RFIELD=FINALIZED&amp;VAR:DB_TYPE=&amp;VAR:UNITS=M&amp;window=popup&amp;width=450&amp;height=300&amp;START_MAXIMIZED=FALSE"}</definedName>
    <definedName name="_708__FDSAUDITLINK__" hidden="1">{"fdsup://Directions/FAT Viewer?action=UPDATE&amp;creator=factset&amp;DOC_NAME=fat:reuters_semi_source_window.fat&amp;display_string=Audit&amp;DYN_ARGS=TRUE&amp;VAR:ID1=596787&amp;VAR:RCODE=FDSENTRPRVAL&amp;VAR:SDATE=37894&amp;VAR:FREQ=Daily&amp;VAR:RELITEM=&amp;VAR:CURRENCY=EUR&amp;VAR:CURRSOURCE=EX","SHARE&amp;VAR:NATFREQ=FSA&amp;VAR:RFIELD=FINALIZED&amp;VAR:DB_TYPE=&amp;VAR:UNITS=M&amp;window=popup&amp;width=450&amp;height=300&amp;START_MAXIMIZED=FALSE"}</definedName>
    <definedName name="_709__FDSAUDITLINK__" localSheetId="0" hidden="1">{"fdsup://Directions/FAT Viewer?action=UPDATE&amp;creator=factset&amp;DOC_NAME=fat:reuters_semi_source_window.fat&amp;display_string=Audit&amp;DYN_ARGS=TRUE&amp;VAR:ID1=596787&amp;VAR:RCODE=FDSENTRPRVAL&amp;VAR:SDATE=37986&amp;VAR:FREQ=Daily&amp;VAR:RELITEM=&amp;VAR:CURRENCY=EUR&amp;VAR:CURRSOURCE=EX","SHARE&amp;VAR:NATFREQ=FSA&amp;VAR:RFIELD=FINALIZED&amp;VAR:DB_TYPE=&amp;VAR:UNITS=M&amp;window=popup&amp;width=450&amp;height=300&amp;START_MAXIMIZED=FALSE"}</definedName>
    <definedName name="_709__FDSAUDITLINK__" localSheetId="6" hidden="1">{"fdsup://Directions/FAT Viewer?action=UPDATE&amp;creator=factset&amp;DOC_NAME=fat:reuters_semi_source_window.fat&amp;display_string=Audit&amp;DYN_ARGS=TRUE&amp;VAR:ID1=596787&amp;VAR:RCODE=FDSENTRPRVAL&amp;VAR:SDATE=37986&amp;VAR:FREQ=Daily&amp;VAR:RELITEM=&amp;VAR:CURRENCY=EUR&amp;VAR:CURRSOURCE=EX","SHARE&amp;VAR:NATFREQ=FSA&amp;VAR:RFIELD=FINALIZED&amp;VAR:DB_TYPE=&amp;VAR:UNITS=M&amp;window=popup&amp;width=450&amp;height=300&amp;START_MAXIMIZED=FALSE"}</definedName>
    <definedName name="_709__FDSAUDITLINK__" hidden="1">{"fdsup://Directions/FAT Viewer?action=UPDATE&amp;creator=factset&amp;DOC_NAME=fat:reuters_semi_source_window.fat&amp;display_string=Audit&amp;DYN_ARGS=TRUE&amp;VAR:ID1=596787&amp;VAR:RCODE=FDSENTRPRVAL&amp;VAR:SDATE=37986&amp;VAR:FREQ=Daily&amp;VAR:RELITEM=&amp;VAR:CURRENCY=EUR&amp;VAR:CURRSOURCE=EX","SHARE&amp;VAR:NATFREQ=FSA&amp;VAR:RFIELD=FINALIZED&amp;VAR:DB_TYPE=&amp;VAR:UNITS=M&amp;window=popup&amp;width=450&amp;height=300&amp;START_MAXIMIZED=FALSE"}</definedName>
    <definedName name="_71__123Graph_DCHART_4" hidden="1">#REF!</definedName>
    <definedName name="_71__123Graph_XCHART_13" hidden="1">#REF!</definedName>
    <definedName name="_71__123Graph_XCHART_3" hidden="1">#REF!</definedName>
    <definedName name="_71__FDSAUDITLINK__" localSheetId="0" hidden="1">{"fdsup://directions/FAT Viewer?action=UPDATE&amp;creator=factSet&amp;DYN_ARGS=true&amp;DOC_NAME=FAT:RGA_ENTRPR_VAL_EV_SOURCE_WINDOW.FAT&amp;VAR:ID1=DST-US&amp;window=popup&amp;width=535&amp;height=425&amp;START_MAXIMIZED=FALSE&amp;Y=120"}</definedName>
    <definedName name="_71__FDSAUDITLINK__" localSheetId="6" hidden="1">{"fdsup://directions/FAT Viewer?action=UPDATE&amp;creator=factSet&amp;DYN_ARGS=true&amp;DOC_NAME=FAT:RGA_ENTRPR_VAL_EV_SOURCE_WINDOW.FAT&amp;VAR:ID1=DST-US&amp;window=popup&amp;width=535&amp;height=425&amp;START_MAXIMIZED=FALSE&amp;Y=120"}</definedName>
    <definedName name="_71__FDSAUDITLINK__" hidden="1">{"fdsup://directions/FAT Viewer?action=UPDATE&amp;creator=factSet&amp;DYN_ARGS=true&amp;DOC_NAME=FAT:RGA_ENTRPR_VAL_EV_SOURCE_WINDOW.FAT&amp;VAR:ID1=DST-US&amp;window=popup&amp;width=535&amp;height=425&amp;START_MAXIMIZED=FALSE&amp;Y=120"}</definedName>
    <definedName name="_710__FDSAUDITLINK__" localSheetId="0" hidden="1">{"fdsup://Directions/FAT Viewer?action=UPDATE&amp;creator=factset&amp;DOC_NAME=fat:reuters_semi_source_window.fat&amp;display_string=Audit&amp;DYN_ARGS=TRUE&amp;VAR:ID1=596787&amp;VAR:RCODE=FDSENTRPRVAL&amp;VAR:SDATE=38077&amp;VAR:FREQ=Daily&amp;VAR:RELITEM=&amp;VAR:CURRENCY=EUR&amp;VAR:CURRSOURCE=EX","SHARE&amp;VAR:NATFREQ=FSA&amp;VAR:RFIELD=FINALIZED&amp;VAR:DB_TYPE=&amp;VAR:UNITS=M&amp;window=popup&amp;width=450&amp;height=300&amp;START_MAXIMIZED=FALSE"}</definedName>
    <definedName name="_710__FDSAUDITLINK__" localSheetId="6" hidden="1">{"fdsup://Directions/FAT Viewer?action=UPDATE&amp;creator=factset&amp;DOC_NAME=fat:reuters_semi_source_window.fat&amp;display_string=Audit&amp;DYN_ARGS=TRUE&amp;VAR:ID1=596787&amp;VAR:RCODE=FDSENTRPRVAL&amp;VAR:SDATE=38077&amp;VAR:FREQ=Daily&amp;VAR:RELITEM=&amp;VAR:CURRENCY=EUR&amp;VAR:CURRSOURCE=EX","SHARE&amp;VAR:NATFREQ=FSA&amp;VAR:RFIELD=FINALIZED&amp;VAR:DB_TYPE=&amp;VAR:UNITS=M&amp;window=popup&amp;width=450&amp;height=300&amp;START_MAXIMIZED=FALSE"}</definedName>
    <definedName name="_710__FDSAUDITLINK__" hidden="1">{"fdsup://Directions/FAT Viewer?action=UPDATE&amp;creator=factset&amp;DOC_NAME=fat:reuters_semi_source_window.fat&amp;display_string=Audit&amp;DYN_ARGS=TRUE&amp;VAR:ID1=596787&amp;VAR:RCODE=FDSENTRPRVAL&amp;VAR:SDATE=38077&amp;VAR:FREQ=Daily&amp;VAR:RELITEM=&amp;VAR:CURRENCY=EUR&amp;VAR:CURRSOURCE=EX","SHARE&amp;VAR:NATFREQ=FSA&amp;VAR:RFIELD=FINALIZED&amp;VAR:DB_TYPE=&amp;VAR:UNITS=M&amp;window=popup&amp;width=450&amp;height=300&amp;START_MAXIMIZED=FALSE"}</definedName>
    <definedName name="_711__123Graph_FCHART_41" hidden="1">#REF!</definedName>
    <definedName name="_711__FDSAUDITLINK__" localSheetId="0" hidden="1">{"fdsup://Directions/FAT Viewer?action=UPDATE&amp;creator=factset&amp;DOC_NAME=fat:reuters_semi_source_window.fat&amp;display_string=Audit&amp;DYN_ARGS=TRUE&amp;VAR:ID1=596787&amp;VAR:RCODE=FDSENTRPRVAL&amp;VAR:SDATE=38168&amp;VAR:FREQ=Daily&amp;VAR:RELITEM=&amp;VAR:CURRENCY=EUR&amp;VAR:CURRSOURCE=EX","SHARE&amp;VAR:NATFREQ=FSA&amp;VAR:RFIELD=FINALIZED&amp;VAR:DB_TYPE=&amp;VAR:UNITS=M&amp;window=popup&amp;width=450&amp;height=300&amp;START_MAXIMIZED=FALSE"}</definedName>
    <definedName name="_711__FDSAUDITLINK__" localSheetId="6" hidden="1">{"fdsup://Directions/FAT Viewer?action=UPDATE&amp;creator=factset&amp;DOC_NAME=fat:reuters_semi_source_window.fat&amp;display_string=Audit&amp;DYN_ARGS=TRUE&amp;VAR:ID1=596787&amp;VAR:RCODE=FDSENTRPRVAL&amp;VAR:SDATE=38168&amp;VAR:FREQ=Daily&amp;VAR:RELITEM=&amp;VAR:CURRENCY=EUR&amp;VAR:CURRSOURCE=EX","SHARE&amp;VAR:NATFREQ=FSA&amp;VAR:RFIELD=FINALIZED&amp;VAR:DB_TYPE=&amp;VAR:UNITS=M&amp;window=popup&amp;width=450&amp;height=300&amp;START_MAXIMIZED=FALSE"}</definedName>
    <definedName name="_711__FDSAUDITLINK__" hidden="1">{"fdsup://Directions/FAT Viewer?action=UPDATE&amp;creator=factset&amp;DOC_NAME=fat:reuters_semi_source_window.fat&amp;display_string=Audit&amp;DYN_ARGS=TRUE&amp;VAR:ID1=596787&amp;VAR:RCODE=FDSENTRPRVAL&amp;VAR:SDATE=38168&amp;VAR:FREQ=Daily&amp;VAR:RELITEM=&amp;VAR:CURRENCY=EUR&amp;VAR:CURRSOURCE=EX","SHARE&amp;VAR:NATFREQ=FSA&amp;VAR:RFIELD=FINALIZED&amp;VAR:DB_TYPE=&amp;VAR:UNITS=M&amp;window=popup&amp;width=450&amp;height=300&amp;START_MAXIMIZED=FALSE"}</definedName>
    <definedName name="_712__FDSAUDITLINK__" localSheetId="0" hidden="1">{"fdsup://Directions/FAT Viewer?action=UPDATE&amp;creator=factset&amp;DOC_NAME=fat:reuters_semi_source_window.fat&amp;display_string=Audit&amp;DYN_ARGS=TRUE&amp;VAR:ID1=596787&amp;VAR:RCODE=FDSENTRPRVAL&amp;VAR:SDATE=38260&amp;VAR:FREQ=Daily&amp;VAR:RELITEM=&amp;VAR:CURRENCY=EUR&amp;VAR:CURRSOURCE=EX","SHARE&amp;VAR:NATFREQ=FSA&amp;VAR:RFIELD=FINALIZED&amp;VAR:DB_TYPE=&amp;VAR:UNITS=M&amp;window=popup&amp;width=450&amp;height=300&amp;START_MAXIMIZED=FALSE"}</definedName>
    <definedName name="_712__FDSAUDITLINK__" localSheetId="6" hidden="1">{"fdsup://Directions/FAT Viewer?action=UPDATE&amp;creator=factset&amp;DOC_NAME=fat:reuters_semi_source_window.fat&amp;display_string=Audit&amp;DYN_ARGS=TRUE&amp;VAR:ID1=596787&amp;VAR:RCODE=FDSENTRPRVAL&amp;VAR:SDATE=38260&amp;VAR:FREQ=Daily&amp;VAR:RELITEM=&amp;VAR:CURRENCY=EUR&amp;VAR:CURRSOURCE=EX","SHARE&amp;VAR:NATFREQ=FSA&amp;VAR:RFIELD=FINALIZED&amp;VAR:DB_TYPE=&amp;VAR:UNITS=M&amp;window=popup&amp;width=450&amp;height=300&amp;START_MAXIMIZED=FALSE"}</definedName>
    <definedName name="_712__FDSAUDITLINK__" hidden="1">{"fdsup://Directions/FAT Viewer?action=UPDATE&amp;creator=factset&amp;DOC_NAME=fat:reuters_semi_source_window.fat&amp;display_string=Audit&amp;DYN_ARGS=TRUE&amp;VAR:ID1=596787&amp;VAR:RCODE=FDSENTRPRVAL&amp;VAR:SDATE=38260&amp;VAR:FREQ=Daily&amp;VAR:RELITEM=&amp;VAR:CURRENCY=EUR&amp;VAR:CURRSOURCE=EX","SHARE&amp;VAR:NATFREQ=FSA&amp;VAR:RFIELD=FINALIZED&amp;VAR:DB_TYPE=&amp;VAR:UNITS=M&amp;window=popup&amp;width=450&amp;height=300&amp;START_MAXIMIZED=FALSE"}</definedName>
    <definedName name="_713__FDSAUDITLINK__" localSheetId="0" hidden="1">{"fdsup://Directions/FAT Viewer?action=UPDATE&amp;creator=factset&amp;DOC_NAME=fat:reuters_semi_source_window.fat&amp;display_string=Audit&amp;DYN_ARGS=TRUE&amp;VAR:ID1=596787&amp;VAR:RCODE=FDSENTRPRVAL&amp;VAR:SDATE=38352&amp;VAR:FREQ=Daily&amp;VAR:RELITEM=&amp;VAR:CURRENCY=EUR&amp;VAR:CURRSOURCE=EX","SHARE&amp;VAR:NATFREQ=FSA&amp;VAR:RFIELD=FINALIZED&amp;VAR:DB_TYPE=&amp;VAR:UNITS=M&amp;window=popup&amp;width=450&amp;height=300&amp;START_MAXIMIZED=FALSE"}</definedName>
    <definedName name="_713__FDSAUDITLINK__" localSheetId="6" hidden="1">{"fdsup://Directions/FAT Viewer?action=UPDATE&amp;creator=factset&amp;DOC_NAME=fat:reuters_semi_source_window.fat&amp;display_string=Audit&amp;DYN_ARGS=TRUE&amp;VAR:ID1=596787&amp;VAR:RCODE=FDSENTRPRVAL&amp;VAR:SDATE=38352&amp;VAR:FREQ=Daily&amp;VAR:RELITEM=&amp;VAR:CURRENCY=EUR&amp;VAR:CURRSOURCE=EX","SHARE&amp;VAR:NATFREQ=FSA&amp;VAR:RFIELD=FINALIZED&amp;VAR:DB_TYPE=&amp;VAR:UNITS=M&amp;window=popup&amp;width=450&amp;height=300&amp;START_MAXIMIZED=FALSE"}</definedName>
    <definedName name="_713__FDSAUDITLINK__" hidden="1">{"fdsup://Directions/FAT Viewer?action=UPDATE&amp;creator=factset&amp;DOC_NAME=fat:reuters_semi_source_window.fat&amp;display_string=Audit&amp;DYN_ARGS=TRUE&amp;VAR:ID1=596787&amp;VAR:RCODE=FDSENTRPRVAL&amp;VAR:SDATE=38352&amp;VAR:FREQ=Daily&amp;VAR:RELITEM=&amp;VAR:CURRENCY=EUR&amp;VAR:CURRSOURCE=EX","SHARE&amp;VAR:NATFREQ=FSA&amp;VAR:RFIELD=FINALIZED&amp;VAR:DB_TYPE=&amp;VAR:UNITS=M&amp;window=popup&amp;width=450&amp;height=300&amp;START_MAXIMIZED=FALSE"}</definedName>
    <definedName name="_714__FDSAUDITLINK__" localSheetId="0" hidden="1">{"fdsup://Directions/FAT Viewer?action=UPDATE&amp;creator=factset&amp;DOC_NAME=fat:reuters_semi_source_window.fat&amp;display_string=Audit&amp;DYN_ARGS=TRUE&amp;VAR:ID1=596787&amp;VAR:RCODE=FDSENTRPRVAL&amp;VAR:SDATE=38442&amp;VAR:FREQ=Daily&amp;VAR:RELITEM=&amp;VAR:CURRENCY=EUR&amp;VAR:CURRSOURCE=EX","SHARE&amp;VAR:NATFREQ=FSA&amp;VAR:RFIELD=FINALIZED&amp;VAR:DB_TYPE=&amp;VAR:UNITS=M&amp;window=popup&amp;width=450&amp;height=300&amp;START_MAXIMIZED=FALSE"}</definedName>
    <definedName name="_714__FDSAUDITLINK__" localSheetId="6" hidden="1">{"fdsup://Directions/FAT Viewer?action=UPDATE&amp;creator=factset&amp;DOC_NAME=fat:reuters_semi_source_window.fat&amp;display_string=Audit&amp;DYN_ARGS=TRUE&amp;VAR:ID1=596787&amp;VAR:RCODE=FDSENTRPRVAL&amp;VAR:SDATE=38442&amp;VAR:FREQ=Daily&amp;VAR:RELITEM=&amp;VAR:CURRENCY=EUR&amp;VAR:CURRSOURCE=EX","SHARE&amp;VAR:NATFREQ=FSA&amp;VAR:RFIELD=FINALIZED&amp;VAR:DB_TYPE=&amp;VAR:UNITS=M&amp;window=popup&amp;width=450&amp;height=300&amp;START_MAXIMIZED=FALSE"}</definedName>
    <definedName name="_714__FDSAUDITLINK__" hidden="1">{"fdsup://Directions/FAT Viewer?action=UPDATE&amp;creator=factset&amp;DOC_NAME=fat:reuters_semi_source_window.fat&amp;display_string=Audit&amp;DYN_ARGS=TRUE&amp;VAR:ID1=596787&amp;VAR:RCODE=FDSENTRPRVAL&amp;VAR:SDATE=38442&amp;VAR:FREQ=Daily&amp;VAR:RELITEM=&amp;VAR:CURRENCY=EUR&amp;VAR:CURRSOURCE=EX","SHARE&amp;VAR:NATFREQ=FSA&amp;VAR:RFIELD=FINALIZED&amp;VAR:DB_TYPE=&amp;VAR:UNITS=M&amp;window=popup&amp;width=450&amp;height=300&amp;START_MAXIMIZED=FALSE"}</definedName>
    <definedName name="_715__123Graph_LBL_CCHART_15" hidden="1">#REF!</definedName>
    <definedName name="_715__FDSAUDITLINK__" localSheetId="0" hidden="1">{"fdsup://Directions/FAT Viewer?action=UPDATE&amp;creator=factset&amp;DOC_NAME=fat:reuters_semi_source_window.fat&amp;display_string=Audit&amp;DYN_ARGS=TRUE&amp;VAR:ID1=596787&amp;VAR:RCODE=FDSENTRPRVAL&amp;VAR:SDATE=38533&amp;VAR:FREQ=Daily&amp;VAR:RELITEM=&amp;VAR:CURRENCY=EUR&amp;VAR:CURRSOURCE=EX","SHARE&amp;VAR:NATFREQ=FSA&amp;VAR:RFIELD=FINALIZED&amp;VAR:DB_TYPE=&amp;VAR:UNITS=M&amp;window=popup&amp;width=450&amp;height=300&amp;START_MAXIMIZED=FALSE"}</definedName>
    <definedName name="_715__FDSAUDITLINK__" localSheetId="6" hidden="1">{"fdsup://Directions/FAT Viewer?action=UPDATE&amp;creator=factset&amp;DOC_NAME=fat:reuters_semi_source_window.fat&amp;display_string=Audit&amp;DYN_ARGS=TRUE&amp;VAR:ID1=596787&amp;VAR:RCODE=FDSENTRPRVAL&amp;VAR:SDATE=38533&amp;VAR:FREQ=Daily&amp;VAR:RELITEM=&amp;VAR:CURRENCY=EUR&amp;VAR:CURRSOURCE=EX","SHARE&amp;VAR:NATFREQ=FSA&amp;VAR:RFIELD=FINALIZED&amp;VAR:DB_TYPE=&amp;VAR:UNITS=M&amp;window=popup&amp;width=450&amp;height=300&amp;START_MAXIMIZED=FALSE"}</definedName>
    <definedName name="_715__FDSAUDITLINK__" hidden="1">{"fdsup://Directions/FAT Viewer?action=UPDATE&amp;creator=factset&amp;DOC_NAME=fat:reuters_semi_source_window.fat&amp;display_string=Audit&amp;DYN_ARGS=TRUE&amp;VAR:ID1=596787&amp;VAR:RCODE=FDSENTRPRVAL&amp;VAR:SDATE=38533&amp;VAR:FREQ=Daily&amp;VAR:RELITEM=&amp;VAR:CURRENCY=EUR&amp;VAR:CURRSOURCE=EX","SHARE&amp;VAR:NATFREQ=FSA&amp;VAR:RFIELD=FINALIZED&amp;VAR:DB_TYPE=&amp;VAR:UNITS=M&amp;window=popup&amp;width=450&amp;height=300&amp;START_MAXIMIZED=FALSE"}</definedName>
    <definedName name="_716__FDSAUDITLINK__" localSheetId="0" hidden="1">{"fdsup://Directions/FAT Viewer?action=UPDATE&amp;creator=factset&amp;DOC_NAME=fat:reuters_semi_source_window.fat&amp;display_string=Audit&amp;DYN_ARGS=TRUE&amp;VAR:ID1=596787&amp;VAR:RCODE=FDSENTRPRVAL&amp;VAR:SDATE=38625&amp;VAR:FREQ=Daily&amp;VAR:RELITEM=&amp;VAR:CURRENCY=EUR&amp;VAR:CURRSOURCE=EX","SHARE&amp;VAR:NATFREQ=FSA&amp;VAR:RFIELD=FINALIZED&amp;VAR:DB_TYPE=&amp;VAR:UNITS=M&amp;window=popup&amp;width=450&amp;height=300&amp;START_MAXIMIZED=FALSE"}</definedName>
    <definedName name="_716__FDSAUDITLINK__" localSheetId="6" hidden="1">{"fdsup://Directions/FAT Viewer?action=UPDATE&amp;creator=factset&amp;DOC_NAME=fat:reuters_semi_source_window.fat&amp;display_string=Audit&amp;DYN_ARGS=TRUE&amp;VAR:ID1=596787&amp;VAR:RCODE=FDSENTRPRVAL&amp;VAR:SDATE=38625&amp;VAR:FREQ=Daily&amp;VAR:RELITEM=&amp;VAR:CURRENCY=EUR&amp;VAR:CURRSOURCE=EX","SHARE&amp;VAR:NATFREQ=FSA&amp;VAR:RFIELD=FINALIZED&amp;VAR:DB_TYPE=&amp;VAR:UNITS=M&amp;window=popup&amp;width=450&amp;height=300&amp;START_MAXIMIZED=FALSE"}</definedName>
    <definedName name="_716__FDSAUDITLINK__" hidden="1">{"fdsup://Directions/FAT Viewer?action=UPDATE&amp;creator=factset&amp;DOC_NAME=fat:reuters_semi_source_window.fat&amp;display_string=Audit&amp;DYN_ARGS=TRUE&amp;VAR:ID1=596787&amp;VAR:RCODE=FDSENTRPRVAL&amp;VAR:SDATE=38625&amp;VAR:FREQ=Daily&amp;VAR:RELITEM=&amp;VAR:CURRENCY=EUR&amp;VAR:CURRSOURCE=EX","SHARE&amp;VAR:NATFREQ=FSA&amp;VAR:RFIELD=FINALIZED&amp;VAR:DB_TYPE=&amp;VAR:UNITS=M&amp;window=popup&amp;width=450&amp;height=300&amp;START_MAXIMIZED=FALSE"}</definedName>
    <definedName name="_717__FDSAUDITLINK__" localSheetId="0" hidden="1">{"fdsup://Directions/FAT Viewer?action=UPDATE&amp;creator=factset&amp;DOC_NAME=fat:reuters_semi_source_window.fat&amp;display_string=Audit&amp;DYN_ARGS=TRUE&amp;VAR:ID1=596787&amp;VAR:RCODE=FDSENTRPRVAL&amp;VAR:SDATE=38717&amp;VAR:FREQ=Daily&amp;VAR:RELITEM=&amp;VAR:CURRENCY=EUR&amp;VAR:CURRSOURCE=EX","SHARE&amp;VAR:NATFREQ=FSA&amp;VAR:RFIELD=FINALIZED&amp;VAR:DB_TYPE=&amp;VAR:UNITS=M&amp;window=popup&amp;width=450&amp;height=300&amp;START_MAXIMIZED=FALSE"}</definedName>
    <definedName name="_717__FDSAUDITLINK__" localSheetId="6" hidden="1">{"fdsup://Directions/FAT Viewer?action=UPDATE&amp;creator=factset&amp;DOC_NAME=fat:reuters_semi_source_window.fat&amp;display_string=Audit&amp;DYN_ARGS=TRUE&amp;VAR:ID1=596787&amp;VAR:RCODE=FDSENTRPRVAL&amp;VAR:SDATE=38717&amp;VAR:FREQ=Daily&amp;VAR:RELITEM=&amp;VAR:CURRENCY=EUR&amp;VAR:CURRSOURCE=EX","SHARE&amp;VAR:NATFREQ=FSA&amp;VAR:RFIELD=FINALIZED&amp;VAR:DB_TYPE=&amp;VAR:UNITS=M&amp;window=popup&amp;width=450&amp;height=300&amp;START_MAXIMIZED=FALSE"}</definedName>
    <definedName name="_717__FDSAUDITLINK__" hidden="1">{"fdsup://Directions/FAT Viewer?action=UPDATE&amp;creator=factset&amp;DOC_NAME=fat:reuters_semi_source_window.fat&amp;display_string=Audit&amp;DYN_ARGS=TRUE&amp;VAR:ID1=596787&amp;VAR:RCODE=FDSENTRPRVAL&amp;VAR:SDATE=38717&amp;VAR:FREQ=Daily&amp;VAR:RELITEM=&amp;VAR:CURRENCY=EUR&amp;VAR:CURRSOURCE=EX","SHARE&amp;VAR:NATFREQ=FSA&amp;VAR:RFIELD=FINALIZED&amp;VAR:DB_TYPE=&amp;VAR:UNITS=M&amp;window=popup&amp;width=450&amp;height=300&amp;START_MAXIMIZED=FALSE"}</definedName>
    <definedName name="_718__FDSAUDITLINK__" localSheetId="0" hidden="1">{"fdsup://Directions/FAT Viewer?action=UPDATE&amp;creator=factset&amp;DOC_NAME=fat:reuters_semi_source_window.fat&amp;display_string=Audit&amp;DYN_ARGS=TRUE&amp;VAR:ID1=596787&amp;VAR:RCODE=FDSENTRPRVAL&amp;VAR:SDATE=38807&amp;VAR:FREQ=Daily&amp;VAR:RELITEM=&amp;VAR:CURRENCY=EUR&amp;VAR:CURRSOURCE=EX","SHARE&amp;VAR:NATFREQ=FSA&amp;VAR:RFIELD=FINALIZED&amp;VAR:DB_TYPE=&amp;VAR:UNITS=M&amp;window=popup&amp;width=450&amp;height=300&amp;START_MAXIMIZED=FALSE"}</definedName>
    <definedName name="_718__FDSAUDITLINK__" localSheetId="6" hidden="1">{"fdsup://Directions/FAT Viewer?action=UPDATE&amp;creator=factset&amp;DOC_NAME=fat:reuters_semi_source_window.fat&amp;display_string=Audit&amp;DYN_ARGS=TRUE&amp;VAR:ID1=596787&amp;VAR:RCODE=FDSENTRPRVAL&amp;VAR:SDATE=38807&amp;VAR:FREQ=Daily&amp;VAR:RELITEM=&amp;VAR:CURRENCY=EUR&amp;VAR:CURRSOURCE=EX","SHARE&amp;VAR:NATFREQ=FSA&amp;VAR:RFIELD=FINALIZED&amp;VAR:DB_TYPE=&amp;VAR:UNITS=M&amp;window=popup&amp;width=450&amp;height=300&amp;START_MAXIMIZED=FALSE"}</definedName>
    <definedName name="_718__FDSAUDITLINK__" hidden="1">{"fdsup://Directions/FAT Viewer?action=UPDATE&amp;creator=factset&amp;DOC_NAME=fat:reuters_semi_source_window.fat&amp;display_string=Audit&amp;DYN_ARGS=TRUE&amp;VAR:ID1=596787&amp;VAR:RCODE=FDSENTRPRVAL&amp;VAR:SDATE=38807&amp;VAR:FREQ=Daily&amp;VAR:RELITEM=&amp;VAR:CURRENCY=EUR&amp;VAR:CURRSOURCE=EX","SHARE&amp;VAR:NATFREQ=FSA&amp;VAR:RFIELD=FINALIZED&amp;VAR:DB_TYPE=&amp;VAR:UNITS=M&amp;window=popup&amp;width=450&amp;height=300&amp;START_MAXIMIZED=FALSE"}</definedName>
    <definedName name="_719__FDSAUDITLINK__" localSheetId="0" hidden="1">{"fdsup://Directions/FAT Viewer?action=UPDATE&amp;creator=factset&amp;DOC_NAME=fat:reuters_semi_source_window.fat&amp;display_string=Audit&amp;DYN_ARGS=TRUE&amp;VAR:ID1=596787&amp;VAR:RCODE=FDSENTRPRVAL&amp;VAR:SDATE=38898&amp;VAR:FREQ=Daily&amp;VAR:RELITEM=&amp;VAR:CURRENCY=EUR&amp;VAR:CURRSOURCE=EX","SHARE&amp;VAR:NATFREQ=FSA&amp;VAR:RFIELD=FINALIZED&amp;VAR:DB_TYPE=&amp;VAR:UNITS=M&amp;window=popup&amp;width=450&amp;height=300&amp;START_MAXIMIZED=FALSE"}</definedName>
    <definedName name="_719__FDSAUDITLINK__" localSheetId="6" hidden="1">{"fdsup://Directions/FAT Viewer?action=UPDATE&amp;creator=factset&amp;DOC_NAME=fat:reuters_semi_source_window.fat&amp;display_string=Audit&amp;DYN_ARGS=TRUE&amp;VAR:ID1=596787&amp;VAR:RCODE=FDSENTRPRVAL&amp;VAR:SDATE=38898&amp;VAR:FREQ=Daily&amp;VAR:RELITEM=&amp;VAR:CURRENCY=EUR&amp;VAR:CURRSOURCE=EX","SHARE&amp;VAR:NATFREQ=FSA&amp;VAR:RFIELD=FINALIZED&amp;VAR:DB_TYPE=&amp;VAR:UNITS=M&amp;window=popup&amp;width=450&amp;height=300&amp;START_MAXIMIZED=FALSE"}</definedName>
    <definedName name="_719__FDSAUDITLINK__" hidden="1">{"fdsup://Directions/FAT Viewer?action=UPDATE&amp;creator=factset&amp;DOC_NAME=fat:reuters_semi_source_window.fat&amp;display_string=Audit&amp;DYN_ARGS=TRUE&amp;VAR:ID1=596787&amp;VAR:RCODE=FDSENTRPRVAL&amp;VAR:SDATE=38898&amp;VAR:FREQ=Daily&amp;VAR:RELITEM=&amp;VAR:CURRENCY=EUR&amp;VAR:CURRSOURCE=EX","SHARE&amp;VAR:NATFREQ=FSA&amp;VAR:RFIELD=FINALIZED&amp;VAR:DB_TYPE=&amp;VAR:UNITS=M&amp;window=popup&amp;width=450&amp;height=300&amp;START_MAXIMIZED=FALSE"}</definedName>
    <definedName name="_72__123Graph_DCHART_5" hidden="1">#REF!</definedName>
    <definedName name="_72__123Graph_XSEG_PIE" hidden="1">#REF!</definedName>
    <definedName name="_72__FDSAUDITLINK__" localSheetId="0" hidden="1">{"fdsup://directions/FAT Viewer?action=UPDATE&amp;creator=factSet&amp;DYN_ARGS=true&amp;DOC_NAME=FAT:RGA_ENTRPR_VAL_EV_SOURCE_WINDOW.FAT&amp;VAR:ID1=5835.00772&amp;window=popup&amp;width=535&amp;height=425&amp;START_MAXIMIZED=FALSE&amp;Y=120"}</definedName>
    <definedName name="_72__FDSAUDITLINK__" localSheetId="6" hidden="1">{"fdsup://directions/FAT Viewer?action=UPDATE&amp;creator=factSet&amp;DYN_ARGS=true&amp;DOC_NAME=FAT:RGA_ENTRPR_VAL_EV_SOURCE_WINDOW.FAT&amp;VAR:ID1=5835.00772&amp;window=popup&amp;width=535&amp;height=425&amp;START_MAXIMIZED=FALSE&amp;Y=120"}</definedName>
    <definedName name="_72__FDSAUDITLINK__" hidden="1">{"fdsup://directions/FAT Viewer?action=UPDATE&amp;creator=factSet&amp;DYN_ARGS=true&amp;DOC_NAME=FAT:RGA_ENTRPR_VAL_EV_SOURCE_WINDOW.FAT&amp;VAR:ID1=5835.00772&amp;window=popup&amp;width=535&amp;height=425&amp;START_MAXIMIZED=FALSE&amp;Y=120"}</definedName>
    <definedName name="_720__FDSAUDITLINK__" localSheetId="0" hidden="1">{"fdsup://Directions/FAT Viewer?action=UPDATE&amp;creator=factset&amp;DOC_NAME=fat:reuters_semi_source_window.fat&amp;display_string=Audit&amp;DYN_ARGS=TRUE&amp;VAR:ID1=596787&amp;VAR:RCODE=FDSENTRPRVAL&amp;VAR:SDATE=38990&amp;VAR:FREQ=Daily&amp;VAR:RELITEM=&amp;VAR:CURRENCY=EUR&amp;VAR:CURRSOURCE=EX","SHARE&amp;VAR:NATFREQ=FSA&amp;VAR:RFIELD=FINALIZED&amp;VAR:DB_TYPE=&amp;VAR:UNITS=M&amp;window=popup&amp;width=450&amp;height=300&amp;START_MAXIMIZED=FALSE"}</definedName>
    <definedName name="_720__FDSAUDITLINK__" localSheetId="6" hidden="1">{"fdsup://Directions/FAT Viewer?action=UPDATE&amp;creator=factset&amp;DOC_NAME=fat:reuters_semi_source_window.fat&amp;display_string=Audit&amp;DYN_ARGS=TRUE&amp;VAR:ID1=596787&amp;VAR:RCODE=FDSENTRPRVAL&amp;VAR:SDATE=38990&amp;VAR:FREQ=Daily&amp;VAR:RELITEM=&amp;VAR:CURRENCY=EUR&amp;VAR:CURRSOURCE=EX","SHARE&amp;VAR:NATFREQ=FSA&amp;VAR:RFIELD=FINALIZED&amp;VAR:DB_TYPE=&amp;VAR:UNITS=M&amp;window=popup&amp;width=450&amp;height=300&amp;START_MAXIMIZED=FALSE"}</definedName>
    <definedName name="_720__FDSAUDITLINK__" hidden="1">{"fdsup://Directions/FAT Viewer?action=UPDATE&amp;creator=factset&amp;DOC_NAME=fat:reuters_semi_source_window.fat&amp;display_string=Audit&amp;DYN_ARGS=TRUE&amp;VAR:ID1=596787&amp;VAR:RCODE=FDSENTRPRVAL&amp;VAR:SDATE=38990&amp;VAR:FREQ=Daily&amp;VAR:RELITEM=&amp;VAR:CURRENCY=EUR&amp;VAR:CURRSOURCE=EX","SHARE&amp;VAR:NATFREQ=FSA&amp;VAR:RFIELD=FINALIZED&amp;VAR:DB_TYPE=&amp;VAR:UNITS=M&amp;window=popup&amp;width=450&amp;height=300&amp;START_MAXIMIZED=FALSE"}</definedName>
    <definedName name="_721__FDSAUDITLINK__" localSheetId="0" hidden="1">{"fdsup://Directions/FAT Viewer?action=UPDATE&amp;creator=factset&amp;DOC_NAME=fat:reuters_semi_source_window.fat&amp;display_string=Audit&amp;DYN_ARGS=TRUE&amp;VAR:ID1=596787&amp;VAR:RCODE=FDSENTRPRVAL&amp;VAR:SDATE=39082&amp;VAR:FREQ=Daily&amp;VAR:RELITEM=&amp;VAR:CURRENCY=EUR&amp;VAR:CURRSOURCE=EX","SHARE&amp;VAR:NATFREQ=FSA&amp;VAR:RFIELD=FINALIZED&amp;VAR:DB_TYPE=&amp;VAR:UNITS=M&amp;window=popup&amp;width=450&amp;height=300&amp;START_MAXIMIZED=FALSE"}</definedName>
    <definedName name="_721__FDSAUDITLINK__" localSheetId="6" hidden="1">{"fdsup://Directions/FAT Viewer?action=UPDATE&amp;creator=factset&amp;DOC_NAME=fat:reuters_semi_source_window.fat&amp;display_string=Audit&amp;DYN_ARGS=TRUE&amp;VAR:ID1=596787&amp;VAR:RCODE=FDSENTRPRVAL&amp;VAR:SDATE=39082&amp;VAR:FREQ=Daily&amp;VAR:RELITEM=&amp;VAR:CURRENCY=EUR&amp;VAR:CURRSOURCE=EX","SHARE&amp;VAR:NATFREQ=FSA&amp;VAR:RFIELD=FINALIZED&amp;VAR:DB_TYPE=&amp;VAR:UNITS=M&amp;window=popup&amp;width=450&amp;height=300&amp;START_MAXIMIZED=FALSE"}</definedName>
    <definedName name="_721__FDSAUDITLINK__" hidden="1">{"fdsup://Directions/FAT Viewer?action=UPDATE&amp;creator=factset&amp;DOC_NAME=fat:reuters_semi_source_window.fat&amp;display_string=Audit&amp;DYN_ARGS=TRUE&amp;VAR:ID1=596787&amp;VAR:RCODE=FDSENTRPRVAL&amp;VAR:SDATE=39082&amp;VAR:FREQ=Daily&amp;VAR:RELITEM=&amp;VAR:CURRENCY=EUR&amp;VAR:CURRSOURCE=EX","SHARE&amp;VAR:NATFREQ=FSA&amp;VAR:RFIELD=FINALIZED&amp;VAR:DB_TYPE=&amp;VAR:UNITS=M&amp;window=popup&amp;width=450&amp;height=300&amp;START_MAXIMIZED=FALSE"}</definedName>
    <definedName name="_722__FDSAUDITLINK__" localSheetId="0" hidden="1">{"fdsup://Directions/FAT Viewer?action=UPDATE&amp;creator=factset&amp;DOC_NAME=fat:reuters_semi_source_window.fat&amp;display_string=Audit&amp;DYN_ARGS=TRUE&amp;VAR:ID1=596787&amp;VAR:RCODE=FDSENTRPRVAL&amp;VAR:SDATE=39172&amp;VAR:FREQ=Daily&amp;VAR:RELITEM=&amp;VAR:CURRENCY=EUR&amp;VAR:CURRSOURCE=EX","SHARE&amp;VAR:NATFREQ=FSA&amp;VAR:RFIELD=FINALIZED&amp;VAR:DB_TYPE=&amp;VAR:UNITS=M&amp;window=popup&amp;width=450&amp;height=300&amp;START_MAXIMIZED=FALSE"}</definedName>
    <definedName name="_722__FDSAUDITLINK__" localSheetId="6" hidden="1">{"fdsup://Directions/FAT Viewer?action=UPDATE&amp;creator=factset&amp;DOC_NAME=fat:reuters_semi_source_window.fat&amp;display_string=Audit&amp;DYN_ARGS=TRUE&amp;VAR:ID1=596787&amp;VAR:RCODE=FDSENTRPRVAL&amp;VAR:SDATE=39172&amp;VAR:FREQ=Daily&amp;VAR:RELITEM=&amp;VAR:CURRENCY=EUR&amp;VAR:CURRSOURCE=EX","SHARE&amp;VAR:NATFREQ=FSA&amp;VAR:RFIELD=FINALIZED&amp;VAR:DB_TYPE=&amp;VAR:UNITS=M&amp;window=popup&amp;width=450&amp;height=300&amp;START_MAXIMIZED=FALSE"}</definedName>
    <definedName name="_722__FDSAUDITLINK__" hidden="1">{"fdsup://Directions/FAT Viewer?action=UPDATE&amp;creator=factset&amp;DOC_NAME=fat:reuters_semi_source_window.fat&amp;display_string=Audit&amp;DYN_ARGS=TRUE&amp;VAR:ID1=596787&amp;VAR:RCODE=FDSENTRPRVAL&amp;VAR:SDATE=39172&amp;VAR:FREQ=Daily&amp;VAR:RELITEM=&amp;VAR:CURRENCY=EUR&amp;VAR:CURRSOURCE=EX","SHARE&amp;VAR:NATFREQ=FSA&amp;VAR:RFIELD=FINALIZED&amp;VAR:DB_TYPE=&amp;VAR:UNITS=M&amp;window=popup&amp;width=450&amp;height=300&amp;START_MAXIMIZED=FALSE"}</definedName>
    <definedName name="_723__FDSAUDITLINK__" localSheetId="0" hidden="1">{"fdsup://Directions/FAT Viewer?action=UPDATE&amp;creator=factset&amp;DOC_NAME=fat:reuters_semi_source_window.fat&amp;display_string=Audit&amp;DYN_ARGS=TRUE&amp;VAR:ID1=596787&amp;VAR:RCODE=FDSENTRPRVAL&amp;VAR:SDATE=39263&amp;VAR:FREQ=Daily&amp;VAR:RELITEM=&amp;VAR:CURRENCY=EUR&amp;VAR:CURRSOURCE=EX","SHARE&amp;VAR:NATFREQ=FSA&amp;VAR:RFIELD=FINALIZED&amp;VAR:DB_TYPE=&amp;VAR:UNITS=M&amp;window=popup&amp;width=450&amp;height=300&amp;START_MAXIMIZED=FALSE"}</definedName>
    <definedName name="_723__FDSAUDITLINK__" localSheetId="6" hidden="1">{"fdsup://Directions/FAT Viewer?action=UPDATE&amp;creator=factset&amp;DOC_NAME=fat:reuters_semi_source_window.fat&amp;display_string=Audit&amp;DYN_ARGS=TRUE&amp;VAR:ID1=596787&amp;VAR:RCODE=FDSENTRPRVAL&amp;VAR:SDATE=39263&amp;VAR:FREQ=Daily&amp;VAR:RELITEM=&amp;VAR:CURRENCY=EUR&amp;VAR:CURRSOURCE=EX","SHARE&amp;VAR:NATFREQ=FSA&amp;VAR:RFIELD=FINALIZED&amp;VAR:DB_TYPE=&amp;VAR:UNITS=M&amp;window=popup&amp;width=450&amp;height=300&amp;START_MAXIMIZED=FALSE"}</definedName>
    <definedName name="_723__FDSAUDITLINK__" hidden="1">{"fdsup://Directions/FAT Viewer?action=UPDATE&amp;creator=factset&amp;DOC_NAME=fat:reuters_semi_source_window.fat&amp;display_string=Audit&amp;DYN_ARGS=TRUE&amp;VAR:ID1=596787&amp;VAR:RCODE=FDSENTRPRVAL&amp;VAR:SDATE=39263&amp;VAR:FREQ=Daily&amp;VAR:RELITEM=&amp;VAR:CURRENCY=EUR&amp;VAR:CURRSOURCE=EX","SHARE&amp;VAR:NATFREQ=FSA&amp;VAR:RFIELD=FINALIZED&amp;VAR:DB_TYPE=&amp;VAR:UNITS=M&amp;window=popup&amp;width=450&amp;height=300&amp;START_MAXIMIZED=FALSE"}</definedName>
    <definedName name="_724__FDSAUDITLINK__" localSheetId="0" hidden="1">{"fdsup://Directions/FAT Viewer?action=UPDATE&amp;creator=factset&amp;DOC_NAME=fat:reuters_semi_source_window.fat&amp;display_string=Audit&amp;DYN_ARGS=TRUE&amp;VAR:ID1=596787&amp;VAR:RCODE=FDSENTRPRVAL&amp;VAR:SDATE=39355&amp;VAR:FREQ=Daily&amp;VAR:RELITEM=&amp;VAR:CURRENCY=EUR&amp;VAR:CURRSOURCE=EX","SHARE&amp;VAR:NATFREQ=FSA&amp;VAR:RFIELD=FINALIZED&amp;VAR:DB_TYPE=&amp;VAR:UNITS=M&amp;window=popup&amp;width=450&amp;height=300&amp;START_MAXIMIZED=FALSE"}</definedName>
    <definedName name="_724__FDSAUDITLINK__" localSheetId="6" hidden="1">{"fdsup://Directions/FAT Viewer?action=UPDATE&amp;creator=factset&amp;DOC_NAME=fat:reuters_semi_source_window.fat&amp;display_string=Audit&amp;DYN_ARGS=TRUE&amp;VAR:ID1=596787&amp;VAR:RCODE=FDSENTRPRVAL&amp;VAR:SDATE=39355&amp;VAR:FREQ=Daily&amp;VAR:RELITEM=&amp;VAR:CURRENCY=EUR&amp;VAR:CURRSOURCE=EX","SHARE&amp;VAR:NATFREQ=FSA&amp;VAR:RFIELD=FINALIZED&amp;VAR:DB_TYPE=&amp;VAR:UNITS=M&amp;window=popup&amp;width=450&amp;height=300&amp;START_MAXIMIZED=FALSE"}</definedName>
    <definedName name="_724__FDSAUDITLINK__" hidden="1">{"fdsup://Directions/FAT Viewer?action=UPDATE&amp;creator=factset&amp;DOC_NAME=fat:reuters_semi_source_window.fat&amp;display_string=Audit&amp;DYN_ARGS=TRUE&amp;VAR:ID1=596787&amp;VAR:RCODE=FDSENTRPRVAL&amp;VAR:SDATE=39355&amp;VAR:FREQ=Daily&amp;VAR:RELITEM=&amp;VAR:CURRENCY=EUR&amp;VAR:CURRSOURCE=EX","SHARE&amp;VAR:NATFREQ=FSA&amp;VAR:RFIELD=FINALIZED&amp;VAR:DB_TYPE=&amp;VAR:UNITS=M&amp;window=popup&amp;width=450&amp;height=300&amp;START_MAXIMIZED=FALSE"}</definedName>
    <definedName name="_725__FDSAUDITLINK__" localSheetId="0" hidden="1">{"fdsup://Directions/FAT Viewer?action=UPDATE&amp;creator=factset&amp;DOC_NAME=fat:reuters_semi_source_window.fat&amp;display_string=Audit&amp;DYN_ARGS=TRUE&amp;VAR:ID1=596787&amp;VAR:RCODE=FDSENTRPRVAL&amp;VAR:SDATE=39447&amp;VAR:FREQ=Daily&amp;VAR:RELITEM=&amp;VAR:CURRENCY=EUR&amp;VAR:CURRSOURCE=EX","SHARE&amp;VAR:NATFREQ=FSA&amp;VAR:RFIELD=FINALIZED&amp;VAR:DB_TYPE=&amp;VAR:UNITS=M&amp;window=popup&amp;width=450&amp;height=300&amp;START_MAXIMIZED=FALSE"}</definedName>
    <definedName name="_725__FDSAUDITLINK__" localSheetId="6" hidden="1">{"fdsup://Directions/FAT Viewer?action=UPDATE&amp;creator=factset&amp;DOC_NAME=fat:reuters_semi_source_window.fat&amp;display_string=Audit&amp;DYN_ARGS=TRUE&amp;VAR:ID1=596787&amp;VAR:RCODE=FDSENTRPRVAL&amp;VAR:SDATE=39447&amp;VAR:FREQ=Daily&amp;VAR:RELITEM=&amp;VAR:CURRENCY=EUR&amp;VAR:CURRSOURCE=EX","SHARE&amp;VAR:NATFREQ=FSA&amp;VAR:RFIELD=FINALIZED&amp;VAR:DB_TYPE=&amp;VAR:UNITS=M&amp;window=popup&amp;width=450&amp;height=300&amp;START_MAXIMIZED=FALSE"}</definedName>
    <definedName name="_725__FDSAUDITLINK__" hidden="1">{"fdsup://Directions/FAT Viewer?action=UPDATE&amp;creator=factset&amp;DOC_NAME=fat:reuters_semi_source_window.fat&amp;display_string=Audit&amp;DYN_ARGS=TRUE&amp;VAR:ID1=596787&amp;VAR:RCODE=FDSENTRPRVAL&amp;VAR:SDATE=39447&amp;VAR:FREQ=Daily&amp;VAR:RELITEM=&amp;VAR:CURRENCY=EUR&amp;VAR:CURRSOURCE=EX","SHARE&amp;VAR:NATFREQ=FSA&amp;VAR:RFIELD=FINALIZED&amp;VAR:DB_TYPE=&amp;VAR:UNITS=M&amp;window=popup&amp;width=450&amp;height=300&amp;START_MAXIMIZED=FALSE"}</definedName>
    <definedName name="_726__FDSAUDITLINK__" localSheetId="0" hidden="1">{"fdsup://Directions/FAT Viewer?action=UPDATE&amp;creator=factset&amp;DOC_NAME=fat:reuters_semi_source_window.fat&amp;display_string=Audit&amp;DYN_ARGS=TRUE&amp;VAR:ID1=596787&amp;VAR:RCODE=FDSENTRPRVAL&amp;VAR:SDATE=39538&amp;VAR:FREQ=Daily&amp;VAR:RELITEM=&amp;VAR:CURRENCY=EUR&amp;VAR:CURRSOURCE=EX","SHARE&amp;VAR:NATFREQ=FSA&amp;VAR:RFIELD=FINALIZED&amp;VAR:DB_TYPE=&amp;VAR:UNITS=M&amp;window=popup&amp;width=450&amp;height=300&amp;START_MAXIMIZED=FALSE"}</definedName>
    <definedName name="_726__FDSAUDITLINK__" localSheetId="6" hidden="1">{"fdsup://Directions/FAT Viewer?action=UPDATE&amp;creator=factset&amp;DOC_NAME=fat:reuters_semi_source_window.fat&amp;display_string=Audit&amp;DYN_ARGS=TRUE&amp;VAR:ID1=596787&amp;VAR:RCODE=FDSENTRPRVAL&amp;VAR:SDATE=39538&amp;VAR:FREQ=Daily&amp;VAR:RELITEM=&amp;VAR:CURRENCY=EUR&amp;VAR:CURRSOURCE=EX","SHARE&amp;VAR:NATFREQ=FSA&amp;VAR:RFIELD=FINALIZED&amp;VAR:DB_TYPE=&amp;VAR:UNITS=M&amp;window=popup&amp;width=450&amp;height=300&amp;START_MAXIMIZED=FALSE"}</definedName>
    <definedName name="_726__FDSAUDITLINK__" hidden="1">{"fdsup://Directions/FAT Viewer?action=UPDATE&amp;creator=factset&amp;DOC_NAME=fat:reuters_semi_source_window.fat&amp;display_string=Audit&amp;DYN_ARGS=TRUE&amp;VAR:ID1=596787&amp;VAR:RCODE=FDSENTRPRVAL&amp;VAR:SDATE=39538&amp;VAR:FREQ=Daily&amp;VAR:RELITEM=&amp;VAR:CURRENCY=EUR&amp;VAR:CURRSOURCE=EX","SHARE&amp;VAR:NATFREQ=FSA&amp;VAR:RFIELD=FINALIZED&amp;VAR:DB_TYPE=&amp;VAR:UNITS=M&amp;window=popup&amp;width=450&amp;height=300&amp;START_MAXIMIZED=FALSE"}</definedName>
    <definedName name="_727__FDSAUDITLINK__" localSheetId="0" hidden="1">{"fdsup://directions/FAT Viewer?action=UPDATE&amp;creator=factSet&amp;DYN_ARGS=true&amp;DOC_NAME=FAT:RGQ_ENTRPR_VAL_EV_SOURCE_WINDOW.FAT&amp;VAR:ID1=DST-US&amp;window=popup&amp;width=535&amp;height=425&amp;START_MAXIMIZED=FALSE&amp;Y=120"}</definedName>
    <definedName name="_727__FDSAUDITLINK__" localSheetId="6" hidden="1">{"fdsup://directions/FAT Viewer?action=UPDATE&amp;creator=factSet&amp;DYN_ARGS=true&amp;DOC_NAME=FAT:RGQ_ENTRPR_VAL_EV_SOURCE_WINDOW.FAT&amp;VAR:ID1=DST-US&amp;window=popup&amp;width=535&amp;height=425&amp;START_MAXIMIZED=FALSE&amp;Y=120"}</definedName>
    <definedName name="_727__FDSAUDITLINK__" hidden="1">{"fdsup://directions/FAT Viewer?action=UPDATE&amp;creator=factSet&amp;DYN_ARGS=true&amp;DOC_NAME=FAT:RGQ_ENTRPR_VAL_EV_SOURCE_WINDOW.FAT&amp;VAR:ID1=DST-US&amp;window=popup&amp;width=535&amp;height=425&amp;START_MAXIMIZED=FALSE&amp;Y=120"}</definedName>
    <definedName name="_728__123Graph_LBL_CCHART_16" hidden="1">#REF!</definedName>
    <definedName name="_728__FDSAUDITLINK__" localSheetId="0" hidden="1">{"fdsup://Directions/FAT Viewer?action=UPDATE&amp;creator=factset&amp;DOC_NAME=fat:reuters_semi_source_window.fat&amp;display_string=Audit&amp;DYN_ARGS=TRUE&amp;VAR:ID1=23332610&amp;VAR:RCODE=FDSENTRPRVAL&amp;VAR:SDATE=39538&amp;VAR:FREQ=Daily&amp;VAR:RELITEM=&amp;VAR:CURRENCY=USD&amp;VAR:CURRSOURCE=","EXSHARE&amp;VAR:NATFREQ=FSA&amp;VAR:RFIELD=FINALIZED&amp;VAR:DB_TYPE=&amp;VAR:UNITS=M&amp;window=popup&amp;width=450&amp;height=300&amp;START_MAXIMIZED=FALSE"}</definedName>
    <definedName name="_728__FDSAUDITLINK__" localSheetId="6" hidden="1">{"fdsup://Directions/FAT Viewer?action=UPDATE&amp;creator=factset&amp;DOC_NAME=fat:reuters_semi_source_window.fat&amp;display_string=Audit&amp;DYN_ARGS=TRUE&amp;VAR:ID1=23332610&amp;VAR:RCODE=FDSENTRPRVAL&amp;VAR:SDATE=39538&amp;VAR:FREQ=Daily&amp;VAR:RELITEM=&amp;VAR:CURRENCY=USD&amp;VAR:CURRSOURCE=","EXSHARE&amp;VAR:NATFREQ=FSA&amp;VAR:RFIELD=FINALIZED&amp;VAR:DB_TYPE=&amp;VAR:UNITS=M&amp;window=popup&amp;width=450&amp;height=300&amp;START_MAXIMIZED=FALSE"}</definedName>
    <definedName name="_728__FDSAUDITLINK__" hidden="1">{"fdsup://Directions/FAT Viewer?action=UPDATE&amp;creator=factset&amp;DOC_NAME=fat:reuters_semi_source_window.fat&amp;display_string=Audit&amp;DYN_ARGS=TRUE&amp;VAR:ID1=23332610&amp;VAR:RCODE=FDSENTRPRVAL&amp;VAR:SDATE=39538&amp;VAR:FREQ=Daily&amp;VAR:RELITEM=&amp;VAR:CURRENCY=USD&amp;VAR:CURRSOURCE=","EXSHARE&amp;VAR:NATFREQ=FSA&amp;VAR:RFIELD=FINALIZED&amp;VAR:DB_TYPE=&amp;VAR:UNITS=M&amp;window=popup&amp;width=450&amp;height=300&amp;START_MAXIMIZED=FALSE"}</definedName>
    <definedName name="_729__FDSAUDITLINK__" localSheetId="0" hidden="1">{"fdsup://directions/FAT Viewer?action=UPDATE&amp;creator=factSet&amp;DYN_ARGS=true&amp;DOC_NAME=FAT:RGA_ENTRPR_VAL_EV_SOURCE_WINDOW.FAT&amp;VAR:ID1=DST-US&amp;window=popup&amp;width=535&amp;height=425&amp;START_MAXIMIZED=FALSE&amp;Y=120"}</definedName>
    <definedName name="_729__FDSAUDITLINK__" localSheetId="6" hidden="1">{"fdsup://directions/FAT Viewer?action=UPDATE&amp;creator=factSet&amp;DYN_ARGS=true&amp;DOC_NAME=FAT:RGA_ENTRPR_VAL_EV_SOURCE_WINDOW.FAT&amp;VAR:ID1=DST-US&amp;window=popup&amp;width=535&amp;height=425&amp;START_MAXIMIZED=FALSE&amp;Y=120"}</definedName>
    <definedName name="_729__FDSAUDITLINK__" hidden="1">{"fdsup://directions/FAT Viewer?action=UPDATE&amp;creator=factSet&amp;DYN_ARGS=true&amp;DOC_NAME=FAT:RGA_ENTRPR_VAL_EV_SOURCE_WINDOW.FAT&amp;VAR:ID1=DST-US&amp;window=popup&amp;width=535&amp;height=425&amp;START_MAXIMIZED=FALSE&amp;Y=120"}</definedName>
    <definedName name="_73__123Graph_BCHART_3" hidden="1">#REF!</definedName>
    <definedName name="_73__123Graph_Bｸﾞﾗﾌ_2" hidden="1">#REF!</definedName>
    <definedName name="_73__FDSAUDITLINK__" localSheetId="0" hidden="1">{"fdsup://directions/FAT Viewer?action=UPDATE&amp;creator=factSet&amp;DYN_ARGS=true&amp;DOC_NAME=FAT:RGA_ENTRPR_VAL_EV_SOURCE_WINDOW.FAT&amp;VAR:ID1=166.792765&amp;window=popup&amp;width=535&amp;height=425&amp;START_MAXIMIZED=FALSE&amp;Y=120"}</definedName>
    <definedName name="_73__FDSAUDITLINK__" localSheetId="6" hidden="1">{"fdsup://directions/FAT Viewer?action=UPDATE&amp;creator=factSet&amp;DYN_ARGS=true&amp;DOC_NAME=FAT:RGA_ENTRPR_VAL_EV_SOURCE_WINDOW.FAT&amp;VAR:ID1=166.792765&amp;window=popup&amp;width=535&amp;height=425&amp;START_MAXIMIZED=FALSE&amp;Y=120"}</definedName>
    <definedName name="_73__FDSAUDITLINK__" hidden="1">{"fdsup://directions/FAT Viewer?action=UPDATE&amp;creator=factSet&amp;DYN_ARGS=true&amp;DOC_NAME=FAT:RGA_ENTRPR_VAL_EV_SOURCE_WINDOW.FAT&amp;VAR:ID1=166.792765&amp;window=popup&amp;width=535&amp;height=425&amp;START_MAXIMIZED=FALSE&amp;Y=120"}</definedName>
    <definedName name="_730__FDSAUDITLINK__" localSheetId="0" hidden="1">{"fdsup://directions/FAT Viewer?action=UPDATE&amp;creator=factSet&amp;DYN_ARGS=true&amp;DOC_NAME=FAT:RGQ_ENTRPR_VAL_EV_SOURCE_WINDOW.FAT&amp;VAR:ID1=DST-US&amp;window=popup&amp;width=535&amp;height=425&amp;START_MAXIMIZED=FALSE&amp;Y=120"}</definedName>
    <definedName name="_730__FDSAUDITLINK__" localSheetId="6" hidden="1">{"fdsup://directions/FAT Viewer?action=UPDATE&amp;creator=factSet&amp;DYN_ARGS=true&amp;DOC_NAME=FAT:RGQ_ENTRPR_VAL_EV_SOURCE_WINDOW.FAT&amp;VAR:ID1=DST-US&amp;window=popup&amp;width=535&amp;height=425&amp;START_MAXIMIZED=FALSE&amp;Y=120"}</definedName>
    <definedName name="_730__FDSAUDITLINK__" hidden="1">{"fdsup://directions/FAT Viewer?action=UPDATE&amp;creator=factSet&amp;DYN_ARGS=true&amp;DOC_NAME=FAT:RGQ_ENTRPR_VAL_EV_SOURCE_WINDOW.FAT&amp;VAR:ID1=DST-US&amp;window=popup&amp;width=535&amp;height=425&amp;START_MAXIMIZED=FALSE&amp;Y=120"}</definedName>
    <definedName name="_731__FDSAUDITLINK__" localSheetId="0" hidden="1">{"fdsup://directions/FAT Viewer?action=UPDATE&amp;creator=factSet&amp;DYN_ARGS=true&amp;DOC_NAME=FAT:RGQ_ENTRPR_VAL_EV_SOURCE_WINDOW.FAT&amp;VAR:ID1=DST-US&amp;window=popup&amp;width=535&amp;height=425&amp;START_MAXIMIZED=FALSE&amp;Y=120"}</definedName>
    <definedName name="_731__FDSAUDITLINK__" localSheetId="6" hidden="1">{"fdsup://directions/FAT Viewer?action=UPDATE&amp;creator=factSet&amp;DYN_ARGS=true&amp;DOC_NAME=FAT:RGQ_ENTRPR_VAL_EV_SOURCE_WINDOW.FAT&amp;VAR:ID1=DST-US&amp;window=popup&amp;width=535&amp;height=425&amp;START_MAXIMIZED=FALSE&amp;Y=120"}</definedName>
    <definedName name="_731__FDSAUDITLINK__" hidden="1">{"fdsup://directions/FAT Viewer?action=UPDATE&amp;creator=factSet&amp;DYN_ARGS=true&amp;DOC_NAME=FAT:RGQ_ENTRPR_VAL_EV_SOURCE_WINDOW.FAT&amp;VAR:ID1=DST-US&amp;window=popup&amp;width=535&amp;height=425&amp;START_MAXIMIZED=FALSE&amp;Y=120"}</definedName>
    <definedName name="_732__FDSAUDITLINK__" localSheetId="0" hidden="1">{"fdsup://directions/FAT Viewer?action=UPDATE&amp;creator=factSet&amp;DYN_ARGS=true&amp;DOC_NAME=FAT:RGQ_ENTRPR_VAL_EV_SOURCE_WINDOW.FAT&amp;VAR:ID1=DST-US&amp;window=popup&amp;width=535&amp;height=425&amp;START_MAXIMIZED=FALSE&amp;Y=120"}</definedName>
    <definedName name="_732__FDSAUDITLINK__" localSheetId="6" hidden="1">{"fdsup://directions/FAT Viewer?action=UPDATE&amp;creator=factSet&amp;DYN_ARGS=true&amp;DOC_NAME=FAT:RGQ_ENTRPR_VAL_EV_SOURCE_WINDOW.FAT&amp;VAR:ID1=DST-US&amp;window=popup&amp;width=535&amp;height=425&amp;START_MAXIMIZED=FALSE&amp;Y=120"}</definedName>
    <definedName name="_732__FDSAUDITLINK__" hidden="1">{"fdsup://directions/FAT Viewer?action=UPDATE&amp;creator=factSet&amp;DYN_ARGS=true&amp;DOC_NAME=FAT:RGQ_ENTRPR_VAL_EV_SOURCE_WINDOW.FAT&amp;VAR:ID1=DST-US&amp;window=popup&amp;width=535&amp;height=425&amp;START_MAXIMIZED=FALSE&amp;Y=120"}</definedName>
    <definedName name="_733__FDSAUDITLINK__" localSheetId="0" hidden="1">{"fdsup://directions/FAT Viewer?action=UPDATE&amp;creator=factSet&amp;DYN_ARGS=true&amp;DOC_NAME=FAT:RGQ_ENTRPR_VAL_EV_SOURCE_WINDOW.FAT&amp;VAR:ID1=DST-US&amp;window=popup&amp;width=535&amp;height=425&amp;START_MAXIMIZED=FALSE&amp;Y=120"}</definedName>
    <definedName name="_733__FDSAUDITLINK__" localSheetId="6" hidden="1">{"fdsup://directions/FAT Viewer?action=UPDATE&amp;creator=factSet&amp;DYN_ARGS=true&amp;DOC_NAME=FAT:RGQ_ENTRPR_VAL_EV_SOURCE_WINDOW.FAT&amp;VAR:ID1=DST-US&amp;window=popup&amp;width=535&amp;height=425&amp;START_MAXIMIZED=FALSE&amp;Y=120"}</definedName>
    <definedName name="_733__FDSAUDITLINK__" hidden="1">{"fdsup://directions/FAT Viewer?action=UPDATE&amp;creator=factSet&amp;DYN_ARGS=true&amp;DOC_NAME=FAT:RGQ_ENTRPR_VAL_EV_SOURCE_WINDOW.FAT&amp;VAR:ID1=DST-US&amp;window=popup&amp;width=535&amp;height=425&amp;START_MAXIMIZED=FALSE&amp;Y=120"}</definedName>
    <definedName name="_734__FDSAUDITLINK__" localSheetId="0" hidden="1">{"fdsup://directions/FAT Viewer?action=UPDATE&amp;creator=factSet&amp;DYN_ARGS=true&amp;DOC_NAME=FAT:RGQ_ENTRPR_VAL_EV_SOURCE_WINDOW.FAT&amp;VAR:ID1=DST-US&amp;window=popup&amp;width=535&amp;height=425&amp;START_MAXIMIZED=FALSE&amp;Y=120"}</definedName>
    <definedName name="_734__FDSAUDITLINK__" localSheetId="6" hidden="1">{"fdsup://directions/FAT Viewer?action=UPDATE&amp;creator=factSet&amp;DYN_ARGS=true&amp;DOC_NAME=FAT:RGQ_ENTRPR_VAL_EV_SOURCE_WINDOW.FAT&amp;VAR:ID1=DST-US&amp;window=popup&amp;width=535&amp;height=425&amp;START_MAXIMIZED=FALSE&amp;Y=120"}</definedName>
    <definedName name="_734__FDSAUDITLINK__" hidden="1">{"fdsup://directions/FAT Viewer?action=UPDATE&amp;creator=factSet&amp;DYN_ARGS=true&amp;DOC_NAME=FAT:RGQ_ENTRPR_VAL_EV_SOURCE_WINDOW.FAT&amp;VAR:ID1=DST-US&amp;window=popup&amp;width=535&amp;height=425&amp;START_MAXIMIZED=FALSE&amp;Y=120"}</definedName>
    <definedName name="_735__FDSAUDITLINK__" localSheetId="0" hidden="1">{"fdsup://directions/FAT Viewer?action=UPDATE&amp;creator=factSet&amp;DYN_ARGS=true&amp;DOC_NAME=FAT:RGQ_ENTRPR_VAL_EV_SOURCE_WINDOW.FAT&amp;VAR:ID1=DST-US&amp;window=popup&amp;width=535&amp;height=425&amp;START_MAXIMIZED=FALSE&amp;Y=120"}</definedName>
    <definedName name="_735__FDSAUDITLINK__" localSheetId="6" hidden="1">{"fdsup://directions/FAT Viewer?action=UPDATE&amp;creator=factSet&amp;DYN_ARGS=true&amp;DOC_NAME=FAT:RGQ_ENTRPR_VAL_EV_SOURCE_WINDOW.FAT&amp;VAR:ID1=DST-US&amp;window=popup&amp;width=535&amp;height=425&amp;START_MAXIMIZED=FALSE&amp;Y=120"}</definedName>
    <definedName name="_735__FDSAUDITLINK__" hidden="1">{"fdsup://directions/FAT Viewer?action=UPDATE&amp;creator=factSet&amp;DYN_ARGS=true&amp;DOC_NAME=FAT:RGQ_ENTRPR_VAL_EV_SOURCE_WINDOW.FAT&amp;VAR:ID1=DST-US&amp;window=popup&amp;width=535&amp;height=425&amp;START_MAXIMIZED=FALSE&amp;Y=120"}</definedName>
    <definedName name="_736__FDSAUDITLINK__" localSheetId="0" hidden="1">{"fdsup://directions/FAT Viewer?action=UPDATE&amp;creator=factSet&amp;DYN_ARGS=true&amp;DOC_NAME=FAT:RGQ_ENTRPR_VAL_EV_SOURCE_WINDOW.FAT&amp;VAR:ID1=DST-US&amp;window=popup&amp;width=535&amp;height=425&amp;START_MAXIMIZED=FALSE&amp;Y=120"}</definedName>
    <definedName name="_736__FDSAUDITLINK__" localSheetId="6" hidden="1">{"fdsup://directions/FAT Viewer?action=UPDATE&amp;creator=factSet&amp;DYN_ARGS=true&amp;DOC_NAME=FAT:RGQ_ENTRPR_VAL_EV_SOURCE_WINDOW.FAT&amp;VAR:ID1=DST-US&amp;window=popup&amp;width=535&amp;height=425&amp;START_MAXIMIZED=FALSE&amp;Y=120"}</definedName>
    <definedName name="_736__FDSAUDITLINK__" hidden="1">{"fdsup://directions/FAT Viewer?action=UPDATE&amp;creator=factSet&amp;DYN_ARGS=true&amp;DOC_NAME=FAT:RGQ_ENTRPR_VAL_EV_SOURCE_WINDOW.FAT&amp;VAR:ID1=DST-US&amp;window=popup&amp;width=535&amp;height=425&amp;START_MAXIMIZED=FALSE&amp;Y=120"}</definedName>
    <definedName name="_737__FDSAUDITLINK__" localSheetId="0" hidden="1">{"fdsup://directions/FAT Viewer?action=UPDATE&amp;creator=factSet&amp;DYN_ARGS=true&amp;DOC_NAME=FAT:RGQ_ENTRPR_VAL_EV_SOURCE_WINDOW.FAT&amp;VAR:ID1=DST-US&amp;window=popup&amp;width=535&amp;height=425&amp;START_MAXIMIZED=FALSE&amp;Y=120"}</definedName>
    <definedName name="_737__FDSAUDITLINK__" localSheetId="6" hidden="1">{"fdsup://directions/FAT Viewer?action=UPDATE&amp;creator=factSet&amp;DYN_ARGS=true&amp;DOC_NAME=FAT:RGQ_ENTRPR_VAL_EV_SOURCE_WINDOW.FAT&amp;VAR:ID1=DST-US&amp;window=popup&amp;width=535&amp;height=425&amp;START_MAXIMIZED=FALSE&amp;Y=120"}</definedName>
    <definedName name="_737__FDSAUDITLINK__" hidden="1">{"fdsup://directions/FAT Viewer?action=UPDATE&amp;creator=factSet&amp;DYN_ARGS=true&amp;DOC_NAME=FAT:RGQ_ENTRPR_VAL_EV_SOURCE_WINDOW.FAT&amp;VAR:ID1=DST-US&amp;window=popup&amp;width=535&amp;height=425&amp;START_MAXIMIZED=FALSE&amp;Y=120"}</definedName>
    <definedName name="_738__FDSAUDITLINK__" localSheetId="0" hidden="1">{"fdsup://directions/FAT Viewer?action=UPDATE&amp;creator=factSet&amp;DYN_ARGS=true&amp;DOC_NAME=FAT:RGQ_ENTRPR_VAL_EV_SOURCE_WINDOW.FAT&amp;VAR:ID1=DST-US&amp;window=popup&amp;width=535&amp;height=425&amp;START_MAXIMIZED=FALSE&amp;Y=120"}</definedName>
    <definedName name="_738__FDSAUDITLINK__" localSheetId="6" hidden="1">{"fdsup://directions/FAT Viewer?action=UPDATE&amp;creator=factSet&amp;DYN_ARGS=true&amp;DOC_NAME=FAT:RGQ_ENTRPR_VAL_EV_SOURCE_WINDOW.FAT&amp;VAR:ID1=DST-US&amp;window=popup&amp;width=535&amp;height=425&amp;START_MAXIMIZED=FALSE&amp;Y=120"}</definedName>
    <definedName name="_738__FDSAUDITLINK__" hidden="1">{"fdsup://directions/FAT Viewer?action=UPDATE&amp;creator=factSet&amp;DYN_ARGS=true&amp;DOC_NAME=FAT:RGQ_ENTRPR_VAL_EV_SOURCE_WINDOW.FAT&amp;VAR:ID1=DST-US&amp;window=popup&amp;width=535&amp;height=425&amp;START_MAXIMIZED=FALSE&amp;Y=120"}</definedName>
    <definedName name="_739__FDSAUDITLINK__" localSheetId="0" hidden="1">{"fdsup://directions/FAT Viewer?action=UPDATE&amp;creator=factSet&amp;DYN_ARGS=true&amp;DOC_NAME=FAT:RGQ_ENTRPR_VAL_EV_SOURCE_WINDOW.FAT&amp;VAR:ID1=DST-US&amp;window=popup&amp;width=535&amp;height=425&amp;START_MAXIMIZED=FALSE&amp;Y=120"}</definedName>
    <definedName name="_739__FDSAUDITLINK__" localSheetId="6" hidden="1">{"fdsup://directions/FAT Viewer?action=UPDATE&amp;creator=factSet&amp;DYN_ARGS=true&amp;DOC_NAME=FAT:RGQ_ENTRPR_VAL_EV_SOURCE_WINDOW.FAT&amp;VAR:ID1=DST-US&amp;window=popup&amp;width=535&amp;height=425&amp;START_MAXIMIZED=FALSE&amp;Y=120"}</definedName>
    <definedName name="_739__FDSAUDITLINK__" hidden="1">{"fdsup://directions/FAT Viewer?action=UPDATE&amp;creator=factSet&amp;DYN_ARGS=true&amp;DOC_NAME=FAT:RGQ_ENTRPR_VAL_EV_SOURCE_WINDOW.FAT&amp;VAR:ID1=DST-US&amp;window=popup&amp;width=535&amp;height=425&amp;START_MAXIMIZED=FALSE&amp;Y=120"}</definedName>
    <definedName name="_74__123Graph_DCHART_7" hidden="1">#REF!</definedName>
    <definedName name="_74__FDSAUDITLINK__" localSheetId="0" hidden="1">{"fdsup://directions/FAT Viewer?action=UPDATE&amp;creator=factSet&amp;DYN_ARGS=true&amp;DOC_NAME=FAT:RGA_ENTRPR_VAL_EV_SOURCE_WINDOW.FAT&amp;VAR:ID1=EV&amp;window=popup&amp;width=535&amp;height=425&amp;START_MAXIMIZED=FALSE&amp;Y=120"}</definedName>
    <definedName name="_74__FDSAUDITLINK__" localSheetId="6" hidden="1">{"fdsup://directions/FAT Viewer?action=UPDATE&amp;creator=factSet&amp;DYN_ARGS=true&amp;DOC_NAME=FAT:RGA_ENTRPR_VAL_EV_SOURCE_WINDOW.FAT&amp;VAR:ID1=EV&amp;window=popup&amp;width=535&amp;height=425&amp;START_MAXIMIZED=FALSE&amp;Y=120"}</definedName>
    <definedName name="_74__FDSAUDITLINK__" hidden="1">{"fdsup://directions/FAT Viewer?action=UPDATE&amp;creator=factSet&amp;DYN_ARGS=true&amp;DOC_NAME=FAT:RGA_ENTRPR_VAL_EV_SOURCE_WINDOW.FAT&amp;VAR:ID1=EV&amp;window=popup&amp;width=535&amp;height=425&amp;START_MAXIMIZED=FALSE&amp;Y=120"}</definedName>
    <definedName name="_740__FDSAUDITLINK__" localSheetId="0" hidden="1">{"fdsup://directions/FAT Viewer?action=UPDATE&amp;creator=factSet&amp;DYN_ARGS=true&amp;DOC_NAME=FAT:RGQ_ENTRPR_VAL_EV_SOURCE_WINDOW.FAT&amp;VAR:ID1=DST-US&amp;window=popup&amp;width=535&amp;height=425&amp;START_MAXIMIZED=FALSE&amp;Y=120"}</definedName>
    <definedName name="_740__FDSAUDITLINK__" localSheetId="6" hidden="1">{"fdsup://directions/FAT Viewer?action=UPDATE&amp;creator=factSet&amp;DYN_ARGS=true&amp;DOC_NAME=FAT:RGQ_ENTRPR_VAL_EV_SOURCE_WINDOW.FAT&amp;VAR:ID1=DST-US&amp;window=popup&amp;width=535&amp;height=425&amp;START_MAXIMIZED=FALSE&amp;Y=120"}</definedName>
    <definedName name="_740__FDSAUDITLINK__" hidden="1">{"fdsup://directions/FAT Viewer?action=UPDATE&amp;creator=factSet&amp;DYN_ARGS=true&amp;DOC_NAME=FAT:RGQ_ENTRPR_VAL_EV_SOURCE_WINDOW.FAT&amp;VAR:ID1=DST-US&amp;window=popup&amp;width=535&amp;height=425&amp;START_MAXIMIZED=FALSE&amp;Y=120"}</definedName>
    <definedName name="_741__123Graph_LBL_CCHART_17" hidden="1">#REF!</definedName>
    <definedName name="_741__FDSAUDITLINK__" localSheetId="0" hidden="1">{"fdsup://directions/FAT Viewer?action=UPDATE&amp;creator=factSet&amp;DYN_ARGS=true&amp;DOC_NAME=FAT:RGQ_ENTRPR_VAL_EV_SOURCE_WINDOW.FAT&amp;VAR:ID1=DST-US&amp;window=popup&amp;width=535&amp;height=425&amp;START_MAXIMIZED=FALSE&amp;Y=120"}</definedName>
    <definedName name="_741__FDSAUDITLINK__" localSheetId="6" hidden="1">{"fdsup://directions/FAT Viewer?action=UPDATE&amp;creator=factSet&amp;DYN_ARGS=true&amp;DOC_NAME=FAT:RGQ_ENTRPR_VAL_EV_SOURCE_WINDOW.FAT&amp;VAR:ID1=DST-US&amp;window=popup&amp;width=535&amp;height=425&amp;START_MAXIMIZED=FALSE&amp;Y=120"}</definedName>
    <definedName name="_741__FDSAUDITLINK__" hidden="1">{"fdsup://directions/FAT Viewer?action=UPDATE&amp;creator=factSet&amp;DYN_ARGS=true&amp;DOC_NAME=FAT:RGQ_ENTRPR_VAL_EV_SOURCE_WINDOW.FAT&amp;VAR:ID1=DST-US&amp;window=popup&amp;width=535&amp;height=425&amp;START_MAXIMIZED=FALSE&amp;Y=120"}</definedName>
    <definedName name="_742__FDSAUDITLINK__" localSheetId="0" hidden="1">{"fdsup://directions/FAT Viewer?action=UPDATE&amp;creator=factSet&amp;DYN_ARGS=true&amp;DOC_NAME=FAT:RGQ_ENTRPR_VAL_EV_SOURCE_WINDOW.FAT&amp;VAR:ID1=DST-US&amp;window=popup&amp;width=535&amp;height=425&amp;START_MAXIMIZED=FALSE&amp;Y=120"}</definedName>
    <definedName name="_742__FDSAUDITLINK__" localSheetId="6" hidden="1">{"fdsup://directions/FAT Viewer?action=UPDATE&amp;creator=factSet&amp;DYN_ARGS=true&amp;DOC_NAME=FAT:RGQ_ENTRPR_VAL_EV_SOURCE_WINDOW.FAT&amp;VAR:ID1=DST-US&amp;window=popup&amp;width=535&amp;height=425&amp;START_MAXIMIZED=FALSE&amp;Y=120"}</definedName>
    <definedName name="_742__FDSAUDITLINK__" hidden="1">{"fdsup://directions/FAT Viewer?action=UPDATE&amp;creator=factSet&amp;DYN_ARGS=true&amp;DOC_NAME=FAT:RGQ_ENTRPR_VAL_EV_SOURCE_WINDOW.FAT&amp;VAR:ID1=DST-US&amp;window=popup&amp;width=535&amp;height=425&amp;START_MAXIMIZED=FALSE&amp;Y=120"}</definedName>
    <definedName name="_743__FDSAUDITLINK__" localSheetId="0" hidden="1">{"fdsup://directions/FAT Viewer?action=UPDATE&amp;creator=factSet&amp;DYN_ARGS=true&amp;DOC_NAME=FAT:RGQ_ENTRPR_VAL_EV_SOURCE_WINDOW.FAT&amp;VAR:ID1=DST-US&amp;window=popup&amp;width=535&amp;height=425&amp;START_MAXIMIZED=FALSE&amp;Y=120"}</definedName>
    <definedName name="_743__FDSAUDITLINK__" localSheetId="6" hidden="1">{"fdsup://directions/FAT Viewer?action=UPDATE&amp;creator=factSet&amp;DYN_ARGS=true&amp;DOC_NAME=FAT:RGQ_ENTRPR_VAL_EV_SOURCE_WINDOW.FAT&amp;VAR:ID1=DST-US&amp;window=popup&amp;width=535&amp;height=425&amp;START_MAXIMIZED=FALSE&amp;Y=120"}</definedName>
    <definedName name="_743__FDSAUDITLINK__" hidden="1">{"fdsup://directions/FAT Viewer?action=UPDATE&amp;creator=factSet&amp;DYN_ARGS=true&amp;DOC_NAME=FAT:RGQ_ENTRPR_VAL_EV_SOURCE_WINDOW.FAT&amp;VAR:ID1=DST-US&amp;window=popup&amp;width=535&amp;height=425&amp;START_MAXIMIZED=FALSE&amp;Y=120"}</definedName>
    <definedName name="_744__FDSAUDITLINK__" localSheetId="0" hidden="1">{"fdsup://directions/FAT Viewer?action=UPDATE&amp;creator=factSet&amp;DYN_ARGS=true&amp;DOC_NAME=FAT:RGQ_ENTRPR_VAL_EV_SOURCE_WINDOW.FAT&amp;VAR:ID1=DST-US&amp;window=popup&amp;width=535&amp;height=425&amp;START_MAXIMIZED=FALSE&amp;Y=120"}</definedName>
    <definedName name="_744__FDSAUDITLINK__" localSheetId="6" hidden="1">{"fdsup://directions/FAT Viewer?action=UPDATE&amp;creator=factSet&amp;DYN_ARGS=true&amp;DOC_NAME=FAT:RGQ_ENTRPR_VAL_EV_SOURCE_WINDOW.FAT&amp;VAR:ID1=DST-US&amp;window=popup&amp;width=535&amp;height=425&amp;START_MAXIMIZED=FALSE&amp;Y=120"}</definedName>
    <definedName name="_744__FDSAUDITLINK__" hidden="1">{"fdsup://directions/FAT Viewer?action=UPDATE&amp;creator=factSet&amp;DYN_ARGS=true&amp;DOC_NAME=FAT:RGQ_ENTRPR_VAL_EV_SOURCE_WINDOW.FAT&amp;VAR:ID1=DST-US&amp;window=popup&amp;width=535&amp;height=425&amp;START_MAXIMIZED=FALSE&amp;Y=120"}</definedName>
    <definedName name="_745__FDSAUDITLINK__" localSheetId="0" hidden="1">{"fdsup://directions/FAT Viewer?action=UPDATE&amp;creator=factSet&amp;DYN_ARGS=true&amp;DOC_NAME=FAT:RGQ_ENTRPR_VAL_EV_SOURCE_WINDOW.FAT&amp;VAR:ID1=DST-US&amp;window=popup&amp;width=535&amp;height=425&amp;START_MAXIMIZED=FALSE&amp;Y=120"}</definedName>
    <definedName name="_745__FDSAUDITLINK__" localSheetId="6" hidden="1">{"fdsup://directions/FAT Viewer?action=UPDATE&amp;creator=factSet&amp;DYN_ARGS=true&amp;DOC_NAME=FAT:RGQ_ENTRPR_VAL_EV_SOURCE_WINDOW.FAT&amp;VAR:ID1=DST-US&amp;window=popup&amp;width=535&amp;height=425&amp;START_MAXIMIZED=FALSE&amp;Y=120"}</definedName>
    <definedName name="_745__FDSAUDITLINK__" hidden="1">{"fdsup://directions/FAT Viewer?action=UPDATE&amp;creator=factSet&amp;DYN_ARGS=true&amp;DOC_NAME=FAT:RGQ_ENTRPR_VAL_EV_SOURCE_WINDOW.FAT&amp;VAR:ID1=DST-US&amp;window=popup&amp;width=535&amp;height=425&amp;START_MAXIMIZED=FALSE&amp;Y=120"}</definedName>
    <definedName name="_746__FDSAUDITLINK__" localSheetId="0" hidden="1">{"fdsup://directions/FAT Viewer?action=UPDATE&amp;creator=factSet&amp;DYN_ARGS=true&amp;DOC_NAME=FAT:RGQ_ENTRPR_VAL_EV_SOURCE_WINDOW.FAT&amp;VAR:ID1=DST-US&amp;window=popup&amp;width=535&amp;height=425&amp;START_MAXIMIZED=FALSE&amp;Y=120"}</definedName>
    <definedName name="_746__FDSAUDITLINK__" localSheetId="6" hidden="1">{"fdsup://directions/FAT Viewer?action=UPDATE&amp;creator=factSet&amp;DYN_ARGS=true&amp;DOC_NAME=FAT:RGQ_ENTRPR_VAL_EV_SOURCE_WINDOW.FAT&amp;VAR:ID1=DST-US&amp;window=popup&amp;width=535&amp;height=425&amp;START_MAXIMIZED=FALSE&amp;Y=120"}</definedName>
    <definedName name="_746__FDSAUDITLINK__" hidden="1">{"fdsup://directions/FAT Viewer?action=UPDATE&amp;creator=factSet&amp;DYN_ARGS=true&amp;DOC_NAME=FAT:RGQ_ENTRPR_VAL_EV_SOURCE_WINDOW.FAT&amp;VAR:ID1=DST-US&amp;window=popup&amp;width=535&amp;height=425&amp;START_MAXIMIZED=FALSE&amp;Y=120"}</definedName>
    <definedName name="_747__FDSAUDITLINK__" localSheetId="0" hidden="1">{"fdsup://directions/FAT Viewer?action=UPDATE&amp;creator=factSet&amp;DYN_ARGS=true&amp;DOC_NAME=FAT:RGQ_ENTRPR_VAL_EV_SOURCE_WINDOW.FAT&amp;VAR:ID1=DST-US&amp;window=popup&amp;width=535&amp;height=425&amp;START_MAXIMIZED=FALSE&amp;Y=120"}</definedName>
    <definedName name="_747__FDSAUDITLINK__" localSheetId="6" hidden="1">{"fdsup://directions/FAT Viewer?action=UPDATE&amp;creator=factSet&amp;DYN_ARGS=true&amp;DOC_NAME=FAT:RGQ_ENTRPR_VAL_EV_SOURCE_WINDOW.FAT&amp;VAR:ID1=DST-US&amp;window=popup&amp;width=535&amp;height=425&amp;START_MAXIMIZED=FALSE&amp;Y=120"}</definedName>
    <definedName name="_747__FDSAUDITLINK__" hidden="1">{"fdsup://directions/FAT Viewer?action=UPDATE&amp;creator=factSet&amp;DYN_ARGS=true&amp;DOC_NAME=FAT:RGQ_ENTRPR_VAL_EV_SOURCE_WINDOW.FAT&amp;VAR:ID1=DST-US&amp;window=popup&amp;width=535&amp;height=425&amp;START_MAXIMIZED=FALSE&amp;Y=120"}</definedName>
    <definedName name="_748__FDSAUDITLINK__" localSheetId="0" hidden="1">{"fdsup://directions/FAT Viewer?action=UPDATE&amp;creator=factSet&amp;DYN_ARGS=true&amp;DOC_NAME=FAT:RGQ_ENTRPR_VAL_EV_SOURCE_WINDOW.FAT&amp;VAR:ID1=DST-US&amp;window=popup&amp;width=535&amp;height=425&amp;START_MAXIMIZED=FALSE&amp;Y=120"}</definedName>
    <definedName name="_748__FDSAUDITLINK__" localSheetId="6" hidden="1">{"fdsup://directions/FAT Viewer?action=UPDATE&amp;creator=factSet&amp;DYN_ARGS=true&amp;DOC_NAME=FAT:RGQ_ENTRPR_VAL_EV_SOURCE_WINDOW.FAT&amp;VAR:ID1=DST-US&amp;window=popup&amp;width=535&amp;height=425&amp;START_MAXIMIZED=FALSE&amp;Y=120"}</definedName>
    <definedName name="_748__FDSAUDITLINK__" hidden="1">{"fdsup://directions/FAT Viewer?action=UPDATE&amp;creator=factSet&amp;DYN_ARGS=true&amp;DOC_NAME=FAT:RGQ_ENTRPR_VAL_EV_SOURCE_WINDOW.FAT&amp;VAR:ID1=DST-US&amp;window=popup&amp;width=535&amp;height=425&amp;START_MAXIMIZED=FALSE&amp;Y=120"}</definedName>
    <definedName name="_749__FDSAUDITLINK__" localSheetId="0" hidden="1">{"fdsup://directions/FAT Viewer?action=UPDATE&amp;creator=factSet&amp;DYN_ARGS=true&amp;DOC_NAME=FAT:RGQ_ENTRPR_VAL_EV_SOURCE_WINDOW.FAT&amp;VAR:ID1=DST-US&amp;window=popup&amp;width=535&amp;height=425&amp;START_MAXIMIZED=FALSE&amp;Y=120"}</definedName>
    <definedName name="_749__FDSAUDITLINK__" localSheetId="6" hidden="1">{"fdsup://directions/FAT Viewer?action=UPDATE&amp;creator=factSet&amp;DYN_ARGS=true&amp;DOC_NAME=FAT:RGQ_ENTRPR_VAL_EV_SOURCE_WINDOW.FAT&amp;VAR:ID1=DST-US&amp;window=popup&amp;width=535&amp;height=425&amp;START_MAXIMIZED=FALSE&amp;Y=120"}</definedName>
    <definedName name="_749__FDSAUDITLINK__" hidden="1">{"fdsup://directions/FAT Viewer?action=UPDATE&amp;creator=factSet&amp;DYN_ARGS=true&amp;DOC_NAME=FAT:RGQ_ENTRPR_VAL_EV_SOURCE_WINDOW.FAT&amp;VAR:ID1=DST-US&amp;window=popup&amp;width=535&amp;height=425&amp;START_MAXIMIZED=FALSE&amp;Y=120"}</definedName>
    <definedName name="_75__123Graph_CCHART_17" hidden="1">#REF!</definedName>
    <definedName name="_75__123Graph_DCHART_8" hidden="1">#REF!</definedName>
    <definedName name="_75__123Graph_XCHART_14" hidden="1">#REF!</definedName>
    <definedName name="_75__FDSAUDITLINK__" localSheetId="0" hidden="1">{"fdsup://directions/FAT Viewer?action=UPDATE&amp;creator=factSet&amp;DYN_ARGS=true&amp;DOC_NAME=FAT:RGA_ENTRPR_VAL_EV_SOURCE_WINDOW.FAT&amp;VAR:ID1=&amp;window=popup&amp;width=535&amp;height=425&amp;START_MAXIMIZED=FALSE&amp;Y=120"}</definedName>
    <definedName name="_75__FDSAUDITLINK__" localSheetId="6" hidden="1">{"fdsup://directions/FAT Viewer?action=UPDATE&amp;creator=factSet&amp;DYN_ARGS=true&amp;DOC_NAME=FAT:RGA_ENTRPR_VAL_EV_SOURCE_WINDOW.FAT&amp;VAR:ID1=&amp;window=popup&amp;width=535&amp;height=425&amp;START_MAXIMIZED=FALSE&amp;Y=120"}</definedName>
    <definedName name="_75__FDSAUDITLINK__" hidden="1">{"fdsup://directions/FAT Viewer?action=UPDATE&amp;creator=factSet&amp;DYN_ARGS=true&amp;DOC_NAME=FAT:RGA_ENTRPR_VAL_EV_SOURCE_WINDOW.FAT&amp;VAR:ID1=&amp;window=popup&amp;width=535&amp;height=425&amp;START_MAXIMIZED=FALSE&amp;Y=120"}</definedName>
    <definedName name="_750__FDSAUDITLINK__" localSheetId="0" hidden="1">{"fdsup://directions/FAT Viewer?action=UPDATE&amp;creator=factSet&amp;DYN_ARGS=true&amp;DOC_NAME=FAT:RGQ_ENTRPR_VAL_EV_SOURCE_WINDOW.FAT&amp;VAR:ID1=DST-US&amp;window=popup&amp;width=535&amp;height=425&amp;START_MAXIMIZED=FALSE&amp;Y=120"}</definedName>
    <definedName name="_750__FDSAUDITLINK__" localSheetId="6" hidden="1">{"fdsup://directions/FAT Viewer?action=UPDATE&amp;creator=factSet&amp;DYN_ARGS=true&amp;DOC_NAME=FAT:RGQ_ENTRPR_VAL_EV_SOURCE_WINDOW.FAT&amp;VAR:ID1=DST-US&amp;window=popup&amp;width=535&amp;height=425&amp;START_MAXIMIZED=FALSE&amp;Y=120"}</definedName>
    <definedName name="_750__FDSAUDITLINK__" hidden="1">{"fdsup://directions/FAT Viewer?action=UPDATE&amp;creator=factSet&amp;DYN_ARGS=true&amp;DOC_NAME=FAT:RGQ_ENTRPR_VAL_EV_SOURCE_WINDOW.FAT&amp;VAR:ID1=DST-US&amp;window=popup&amp;width=535&amp;height=425&amp;START_MAXIMIZED=FALSE&amp;Y=120"}</definedName>
    <definedName name="_751__FDSAUDITLINK__" localSheetId="0" hidden="1">{"fdsup://directions/FAT Viewer?action=UPDATE&amp;creator=factSet&amp;DYN_ARGS=true&amp;DOC_NAME=FAT:RGQ_ENTRPR_VAL_EV_SOURCE_WINDOW.FAT&amp;VAR:ID1=ITG-US&amp;window=popup&amp;width=535&amp;height=425&amp;START_MAXIMIZED=FALSE&amp;Y=120"}</definedName>
    <definedName name="_751__FDSAUDITLINK__" localSheetId="6" hidden="1">{"fdsup://directions/FAT Viewer?action=UPDATE&amp;creator=factSet&amp;DYN_ARGS=true&amp;DOC_NAME=FAT:RGQ_ENTRPR_VAL_EV_SOURCE_WINDOW.FAT&amp;VAR:ID1=ITG-US&amp;window=popup&amp;width=535&amp;height=425&amp;START_MAXIMIZED=FALSE&amp;Y=120"}</definedName>
    <definedName name="_751__FDSAUDITLINK__" hidden="1">{"fdsup://directions/FAT Viewer?action=UPDATE&amp;creator=factSet&amp;DYN_ARGS=true&amp;DOC_NAME=FAT:RGQ_ENTRPR_VAL_EV_SOURCE_WINDOW.FAT&amp;VAR:ID1=ITG-US&amp;window=popup&amp;width=535&amp;height=425&amp;START_MAXIMIZED=FALSE&amp;Y=120"}</definedName>
    <definedName name="_752__FDSAUDITLINK__" localSheetId="0" hidden="1">{"fdsup://directions/FAT Viewer?action=UPDATE&amp;creator=factSet&amp;DYN_ARGS=true&amp;DOC_NAME=FAT:RGQ_ENTRPR_VAL_EV_SOURCE_WINDOW.FAT&amp;VAR:ID1=ITG-US&amp;window=popup&amp;width=535&amp;height=425&amp;START_MAXIMIZED=FALSE&amp;Y=120"}</definedName>
    <definedName name="_752__FDSAUDITLINK__" localSheetId="6" hidden="1">{"fdsup://directions/FAT Viewer?action=UPDATE&amp;creator=factSet&amp;DYN_ARGS=true&amp;DOC_NAME=FAT:RGQ_ENTRPR_VAL_EV_SOURCE_WINDOW.FAT&amp;VAR:ID1=ITG-US&amp;window=popup&amp;width=535&amp;height=425&amp;START_MAXIMIZED=FALSE&amp;Y=120"}</definedName>
    <definedName name="_752__FDSAUDITLINK__" hidden="1">{"fdsup://directions/FAT Viewer?action=UPDATE&amp;creator=factSet&amp;DYN_ARGS=true&amp;DOC_NAME=FAT:RGQ_ENTRPR_VAL_EV_SOURCE_WINDOW.FAT&amp;VAR:ID1=ITG-US&amp;window=popup&amp;width=535&amp;height=425&amp;START_MAXIMIZED=FALSE&amp;Y=120"}</definedName>
    <definedName name="_753__FDSAUDITLINK__" localSheetId="0" hidden="1">{"fdsup://directions/FAT Viewer?action=UPDATE&amp;creator=factSet&amp;DYN_ARGS=true&amp;DOC_NAME=FAT:RGQ_ENTRPR_VAL_EV_SOURCE_WINDOW.FAT&amp;VAR:ID1=ITG-US&amp;window=popup&amp;width=535&amp;height=425&amp;START_MAXIMIZED=FALSE&amp;Y=120"}</definedName>
    <definedName name="_753__FDSAUDITLINK__" localSheetId="6" hidden="1">{"fdsup://directions/FAT Viewer?action=UPDATE&amp;creator=factSet&amp;DYN_ARGS=true&amp;DOC_NAME=FAT:RGQ_ENTRPR_VAL_EV_SOURCE_WINDOW.FAT&amp;VAR:ID1=ITG-US&amp;window=popup&amp;width=535&amp;height=425&amp;START_MAXIMIZED=FALSE&amp;Y=120"}</definedName>
    <definedName name="_753__FDSAUDITLINK__" hidden="1">{"fdsup://directions/FAT Viewer?action=UPDATE&amp;creator=factSet&amp;DYN_ARGS=true&amp;DOC_NAME=FAT:RGQ_ENTRPR_VAL_EV_SOURCE_WINDOW.FAT&amp;VAR:ID1=ITG-US&amp;window=popup&amp;width=535&amp;height=425&amp;START_MAXIMIZED=FALSE&amp;Y=120"}</definedName>
    <definedName name="_754__123Graph_LBL_CCHART_19" hidden="1">#REF!</definedName>
    <definedName name="_754__FDSAUDITLINK__" localSheetId="0" hidden="1">{"fdsup://directions/FAT Viewer?action=UPDATE&amp;creator=factSet&amp;DYN_ARGS=true&amp;DOC_NAME=FAT:RGQ_ENTRPR_VAL_EV_SOURCE_WINDOW.FAT&amp;VAR:ID1=ITG-US&amp;window=popup&amp;width=535&amp;height=425&amp;START_MAXIMIZED=FALSE&amp;Y=120"}</definedName>
    <definedName name="_754__FDSAUDITLINK__" localSheetId="6" hidden="1">{"fdsup://directions/FAT Viewer?action=UPDATE&amp;creator=factSet&amp;DYN_ARGS=true&amp;DOC_NAME=FAT:RGQ_ENTRPR_VAL_EV_SOURCE_WINDOW.FAT&amp;VAR:ID1=ITG-US&amp;window=popup&amp;width=535&amp;height=425&amp;START_MAXIMIZED=FALSE&amp;Y=120"}</definedName>
    <definedName name="_754__FDSAUDITLINK__" hidden="1">{"fdsup://directions/FAT Viewer?action=UPDATE&amp;creator=factSet&amp;DYN_ARGS=true&amp;DOC_NAME=FAT:RGQ_ENTRPR_VAL_EV_SOURCE_WINDOW.FAT&amp;VAR:ID1=ITG-US&amp;window=popup&amp;width=535&amp;height=425&amp;START_MAXIMIZED=FALSE&amp;Y=120"}</definedName>
    <definedName name="_755__FDSAUDITLINK__" localSheetId="0" hidden="1">{"fdsup://directions/FAT Viewer?action=UPDATE&amp;creator=factSet&amp;DYN_ARGS=true&amp;DOC_NAME=FAT:RGQ_ENTRPR_VAL_EV_SOURCE_WINDOW.FAT&amp;VAR:ID1=ITG-US&amp;window=popup&amp;width=535&amp;height=425&amp;START_MAXIMIZED=FALSE&amp;Y=120"}</definedName>
    <definedName name="_755__FDSAUDITLINK__" localSheetId="6" hidden="1">{"fdsup://directions/FAT Viewer?action=UPDATE&amp;creator=factSet&amp;DYN_ARGS=true&amp;DOC_NAME=FAT:RGQ_ENTRPR_VAL_EV_SOURCE_WINDOW.FAT&amp;VAR:ID1=ITG-US&amp;window=popup&amp;width=535&amp;height=425&amp;START_MAXIMIZED=FALSE&amp;Y=120"}</definedName>
    <definedName name="_755__FDSAUDITLINK__" hidden="1">{"fdsup://directions/FAT Viewer?action=UPDATE&amp;creator=factSet&amp;DYN_ARGS=true&amp;DOC_NAME=FAT:RGQ_ENTRPR_VAL_EV_SOURCE_WINDOW.FAT&amp;VAR:ID1=ITG-US&amp;window=popup&amp;width=535&amp;height=425&amp;START_MAXIMIZED=FALSE&amp;Y=120"}</definedName>
    <definedName name="_756__FDSAUDITLINK__" localSheetId="0" hidden="1">{"fdsup://directions/FAT Viewer?action=UPDATE&amp;creator=factSet&amp;DYN_ARGS=true&amp;DOC_NAME=FAT:RGQ_ENTRPR_VAL_EV_SOURCE_WINDOW.FAT&amp;VAR:ID1=ITG-US&amp;window=popup&amp;width=535&amp;height=425&amp;START_MAXIMIZED=FALSE&amp;Y=120"}</definedName>
    <definedName name="_756__FDSAUDITLINK__" localSheetId="6" hidden="1">{"fdsup://directions/FAT Viewer?action=UPDATE&amp;creator=factSet&amp;DYN_ARGS=true&amp;DOC_NAME=FAT:RGQ_ENTRPR_VAL_EV_SOURCE_WINDOW.FAT&amp;VAR:ID1=ITG-US&amp;window=popup&amp;width=535&amp;height=425&amp;START_MAXIMIZED=FALSE&amp;Y=120"}</definedName>
    <definedName name="_756__FDSAUDITLINK__" hidden="1">{"fdsup://directions/FAT Viewer?action=UPDATE&amp;creator=factSet&amp;DYN_ARGS=true&amp;DOC_NAME=FAT:RGQ_ENTRPR_VAL_EV_SOURCE_WINDOW.FAT&amp;VAR:ID1=ITG-US&amp;window=popup&amp;width=535&amp;height=425&amp;START_MAXIMIZED=FALSE&amp;Y=120"}</definedName>
    <definedName name="_757__FDSAUDITLINK__" localSheetId="0" hidden="1">{"fdsup://directions/FAT Viewer?action=UPDATE&amp;creator=factSet&amp;DYN_ARGS=true&amp;DOC_NAME=FAT:RGQ_ENTRPR_VAL_EV_SOURCE_WINDOW.FAT&amp;VAR:ID1=ITG-US&amp;window=popup&amp;width=535&amp;height=425&amp;START_MAXIMIZED=FALSE&amp;Y=120"}</definedName>
    <definedName name="_757__FDSAUDITLINK__" localSheetId="6" hidden="1">{"fdsup://directions/FAT Viewer?action=UPDATE&amp;creator=factSet&amp;DYN_ARGS=true&amp;DOC_NAME=FAT:RGQ_ENTRPR_VAL_EV_SOURCE_WINDOW.FAT&amp;VAR:ID1=ITG-US&amp;window=popup&amp;width=535&amp;height=425&amp;START_MAXIMIZED=FALSE&amp;Y=120"}</definedName>
    <definedName name="_757__FDSAUDITLINK__" hidden="1">{"fdsup://directions/FAT Viewer?action=UPDATE&amp;creator=factSet&amp;DYN_ARGS=true&amp;DOC_NAME=FAT:RGQ_ENTRPR_VAL_EV_SOURCE_WINDOW.FAT&amp;VAR:ID1=ITG-US&amp;window=popup&amp;width=535&amp;height=425&amp;START_MAXIMIZED=FALSE&amp;Y=120"}</definedName>
    <definedName name="_758__FDSAUDITLINK__" localSheetId="0" hidden="1">{"fdsup://directions/FAT Viewer?action=UPDATE&amp;creator=factSet&amp;DYN_ARGS=true&amp;DOC_NAME=FAT:RGQ_ENTRPR_VAL_EV_SOURCE_WINDOW.FAT&amp;VAR:ID1=ITG-US&amp;window=popup&amp;width=535&amp;height=425&amp;START_MAXIMIZED=FALSE&amp;Y=120"}</definedName>
    <definedName name="_758__FDSAUDITLINK__" localSheetId="6" hidden="1">{"fdsup://directions/FAT Viewer?action=UPDATE&amp;creator=factSet&amp;DYN_ARGS=true&amp;DOC_NAME=FAT:RGQ_ENTRPR_VAL_EV_SOURCE_WINDOW.FAT&amp;VAR:ID1=ITG-US&amp;window=popup&amp;width=535&amp;height=425&amp;START_MAXIMIZED=FALSE&amp;Y=120"}</definedName>
    <definedName name="_758__FDSAUDITLINK__" hidden="1">{"fdsup://directions/FAT Viewer?action=UPDATE&amp;creator=factSet&amp;DYN_ARGS=true&amp;DOC_NAME=FAT:RGQ_ENTRPR_VAL_EV_SOURCE_WINDOW.FAT&amp;VAR:ID1=ITG-US&amp;window=popup&amp;width=535&amp;height=425&amp;START_MAXIMIZED=FALSE&amp;Y=120"}</definedName>
    <definedName name="_759__FDSAUDITLINK__" localSheetId="0" hidden="1">{"fdsup://directions/FAT Viewer?action=UPDATE&amp;creator=factSet&amp;DYN_ARGS=true&amp;DOC_NAME=FAT:RGQ_ENTRPR_VAL_EV_SOURCE_WINDOW.FAT&amp;VAR:ID1=ITG-US&amp;window=popup&amp;width=535&amp;height=425&amp;START_MAXIMIZED=FALSE&amp;Y=120"}</definedName>
    <definedName name="_759__FDSAUDITLINK__" localSheetId="6" hidden="1">{"fdsup://directions/FAT Viewer?action=UPDATE&amp;creator=factSet&amp;DYN_ARGS=true&amp;DOC_NAME=FAT:RGQ_ENTRPR_VAL_EV_SOURCE_WINDOW.FAT&amp;VAR:ID1=ITG-US&amp;window=popup&amp;width=535&amp;height=425&amp;START_MAXIMIZED=FALSE&amp;Y=120"}</definedName>
    <definedName name="_759__FDSAUDITLINK__" hidden="1">{"fdsup://directions/FAT Viewer?action=UPDATE&amp;creator=factSet&amp;DYN_ARGS=true&amp;DOC_NAME=FAT:RGQ_ENTRPR_VAL_EV_SOURCE_WINDOW.FAT&amp;VAR:ID1=ITG-US&amp;window=popup&amp;width=535&amp;height=425&amp;START_MAXIMIZED=FALSE&amp;Y=120"}</definedName>
    <definedName name="_76__123Graph_DCHART_1" hidden="1">#REF!</definedName>
    <definedName name="_76__123Graph_ECHART_10" hidden="1">#REF!</definedName>
    <definedName name="_76__123Graph_XCHART_2" hidden="1">#REF!</definedName>
    <definedName name="_76__FDSAUDITLINK__" localSheetId="0" hidden="1">{"fdsup://directions/FAT Viewer?action=UPDATE&amp;creator=factSet&amp;DYN_ARGS=true&amp;DOC_NAME=FAT:RGA_ENTRPR_VAL_EV_SOURCE_WINDOW.FAT&amp;VAR:ID1=&amp;window=popup&amp;width=535&amp;height=425&amp;START_MAXIMIZED=FALSE&amp;Y=120"}</definedName>
    <definedName name="_76__FDSAUDITLINK__" localSheetId="6" hidden="1">{"fdsup://directions/FAT Viewer?action=UPDATE&amp;creator=factSet&amp;DYN_ARGS=true&amp;DOC_NAME=FAT:RGA_ENTRPR_VAL_EV_SOURCE_WINDOW.FAT&amp;VAR:ID1=&amp;window=popup&amp;width=535&amp;height=425&amp;START_MAXIMIZED=FALSE&amp;Y=120"}</definedName>
    <definedName name="_76__FDSAUDITLINK__" hidden="1">{"fdsup://directions/FAT Viewer?action=UPDATE&amp;creator=factSet&amp;DYN_ARGS=true&amp;DOC_NAME=FAT:RGA_ENTRPR_VAL_EV_SOURCE_WINDOW.FAT&amp;VAR:ID1=&amp;window=popup&amp;width=535&amp;height=425&amp;START_MAXIMIZED=FALSE&amp;Y=120"}</definedName>
    <definedName name="_760__FDSAUDITLINK__" localSheetId="0" hidden="1">{"fdsup://directions/FAT Viewer?action=UPDATE&amp;creator=factSet&amp;DYN_ARGS=true&amp;DOC_NAME=FAT:RGQ_ENTRPR_VAL_EV_SOURCE_WINDOW.FAT&amp;VAR:ID1=ITG-US&amp;window=popup&amp;width=535&amp;height=425&amp;START_MAXIMIZED=FALSE&amp;Y=120"}</definedName>
    <definedName name="_760__FDSAUDITLINK__" localSheetId="6" hidden="1">{"fdsup://directions/FAT Viewer?action=UPDATE&amp;creator=factSet&amp;DYN_ARGS=true&amp;DOC_NAME=FAT:RGQ_ENTRPR_VAL_EV_SOURCE_WINDOW.FAT&amp;VAR:ID1=ITG-US&amp;window=popup&amp;width=535&amp;height=425&amp;START_MAXIMIZED=FALSE&amp;Y=120"}</definedName>
    <definedName name="_760__FDSAUDITLINK__" hidden="1">{"fdsup://directions/FAT Viewer?action=UPDATE&amp;creator=factSet&amp;DYN_ARGS=true&amp;DOC_NAME=FAT:RGQ_ENTRPR_VAL_EV_SOURCE_WINDOW.FAT&amp;VAR:ID1=ITG-US&amp;window=popup&amp;width=535&amp;height=425&amp;START_MAXIMIZED=FALSE&amp;Y=120"}</definedName>
    <definedName name="_761__FDSAUDITLINK__" localSheetId="0" hidden="1">{"fdsup://directions/FAT Viewer?action=UPDATE&amp;creator=factSet&amp;DYN_ARGS=true&amp;DOC_NAME=FAT:RGQ_ENTRPR_VAL_EV_SOURCE_WINDOW.FAT&amp;VAR:ID1=ITG-US&amp;window=popup&amp;width=535&amp;height=425&amp;START_MAXIMIZED=FALSE&amp;Y=120"}</definedName>
    <definedName name="_761__FDSAUDITLINK__" localSheetId="6" hidden="1">{"fdsup://directions/FAT Viewer?action=UPDATE&amp;creator=factSet&amp;DYN_ARGS=true&amp;DOC_NAME=FAT:RGQ_ENTRPR_VAL_EV_SOURCE_WINDOW.FAT&amp;VAR:ID1=ITG-US&amp;window=popup&amp;width=535&amp;height=425&amp;START_MAXIMIZED=FALSE&amp;Y=120"}</definedName>
    <definedName name="_761__FDSAUDITLINK__" hidden="1">{"fdsup://directions/FAT Viewer?action=UPDATE&amp;creator=factSet&amp;DYN_ARGS=true&amp;DOC_NAME=FAT:RGQ_ENTRPR_VAL_EV_SOURCE_WINDOW.FAT&amp;VAR:ID1=ITG-US&amp;window=popup&amp;width=535&amp;height=425&amp;START_MAXIMIZED=FALSE&amp;Y=120"}</definedName>
    <definedName name="_762__FDSAUDITLINK__" localSheetId="0" hidden="1">{"fdsup://directions/FAT Viewer?action=UPDATE&amp;creator=factSet&amp;DYN_ARGS=true&amp;DOC_NAME=FAT:RGQ_ENTRPR_VAL_EV_SOURCE_WINDOW.FAT&amp;VAR:ID1=ITG-US&amp;window=popup&amp;width=535&amp;height=425&amp;START_MAXIMIZED=FALSE&amp;Y=120"}</definedName>
    <definedName name="_762__FDSAUDITLINK__" localSheetId="6" hidden="1">{"fdsup://directions/FAT Viewer?action=UPDATE&amp;creator=factSet&amp;DYN_ARGS=true&amp;DOC_NAME=FAT:RGQ_ENTRPR_VAL_EV_SOURCE_WINDOW.FAT&amp;VAR:ID1=ITG-US&amp;window=popup&amp;width=535&amp;height=425&amp;START_MAXIMIZED=FALSE&amp;Y=120"}</definedName>
    <definedName name="_762__FDSAUDITLINK__" hidden="1">{"fdsup://directions/FAT Viewer?action=UPDATE&amp;creator=factSet&amp;DYN_ARGS=true&amp;DOC_NAME=FAT:RGQ_ENTRPR_VAL_EV_SOURCE_WINDOW.FAT&amp;VAR:ID1=ITG-US&amp;window=popup&amp;width=535&amp;height=425&amp;START_MAXIMIZED=FALSE&amp;Y=120"}</definedName>
    <definedName name="_763__FDSAUDITLINK__" localSheetId="0" hidden="1">{"fdsup://directions/FAT Viewer?action=UPDATE&amp;creator=factSet&amp;DYN_ARGS=true&amp;DOC_NAME=FAT:RGQ_ENTRPR_VAL_EV_SOURCE_WINDOW.FAT&amp;VAR:ID1=ITG-US&amp;window=popup&amp;width=535&amp;height=425&amp;START_MAXIMIZED=FALSE&amp;Y=120"}</definedName>
    <definedName name="_763__FDSAUDITLINK__" localSheetId="6" hidden="1">{"fdsup://directions/FAT Viewer?action=UPDATE&amp;creator=factSet&amp;DYN_ARGS=true&amp;DOC_NAME=FAT:RGQ_ENTRPR_VAL_EV_SOURCE_WINDOW.FAT&amp;VAR:ID1=ITG-US&amp;window=popup&amp;width=535&amp;height=425&amp;START_MAXIMIZED=FALSE&amp;Y=120"}</definedName>
    <definedName name="_763__FDSAUDITLINK__" hidden="1">{"fdsup://directions/FAT Viewer?action=UPDATE&amp;creator=factSet&amp;DYN_ARGS=true&amp;DOC_NAME=FAT:RGQ_ENTRPR_VAL_EV_SOURCE_WINDOW.FAT&amp;VAR:ID1=ITG-US&amp;window=popup&amp;width=535&amp;height=425&amp;START_MAXIMIZED=FALSE&amp;Y=120"}</definedName>
    <definedName name="_764__FDSAUDITLINK__" localSheetId="0" hidden="1">{"fdsup://directions/FAT Viewer?action=UPDATE&amp;creator=factSet&amp;DYN_ARGS=true&amp;DOC_NAME=FAT:RGQ_ENTRPR_VAL_EV_SOURCE_WINDOW.FAT&amp;VAR:ID1=ITG-US&amp;window=popup&amp;width=535&amp;height=425&amp;START_MAXIMIZED=FALSE&amp;Y=120"}</definedName>
    <definedName name="_764__FDSAUDITLINK__" localSheetId="6" hidden="1">{"fdsup://directions/FAT Viewer?action=UPDATE&amp;creator=factSet&amp;DYN_ARGS=true&amp;DOC_NAME=FAT:RGQ_ENTRPR_VAL_EV_SOURCE_WINDOW.FAT&amp;VAR:ID1=ITG-US&amp;window=popup&amp;width=535&amp;height=425&amp;START_MAXIMIZED=FALSE&amp;Y=120"}</definedName>
    <definedName name="_764__FDSAUDITLINK__" hidden="1">{"fdsup://directions/FAT Viewer?action=UPDATE&amp;creator=factSet&amp;DYN_ARGS=true&amp;DOC_NAME=FAT:RGQ_ENTRPR_VAL_EV_SOURCE_WINDOW.FAT&amp;VAR:ID1=ITG-US&amp;window=popup&amp;width=535&amp;height=425&amp;START_MAXIMIZED=FALSE&amp;Y=120"}</definedName>
    <definedName name="_765__FDSAUDITLINK__" localSheetId="0" hidden="1">{"fdsup://directions/FAT Viewer?action=UPDATE&amp;creator=factSet&amp;DYN_ARGS=true&amp;DOC_NAME=FAT:RGQ_ENTRPR_VAL_EV_SOURCE_WINDOW.FAT&amp;VAR:ID1=ITG-US&amp;window=popup&amp;width=535&amp;height=425&amp;START_MAXIMIZED=FALSE&amp;Y=120"}</definedName>
    <definedName name="_765__FDSAUDITLINK__" localSheetId="6" hidden="1">{"fdsup://directions/FAT Viewer?action=UPDATE&amp;creator=factSet&amp;DYN_ARGS=true&amp;DOC_NAME=FAT:RGQ_ENTRPR_VAL_EV_SOURCE_WINDOW.FAT&amp;VAR:ID1=ITG-US&amp;window=popup&amp;width=535&amp;height=425&amp;START_MAXIMIZED=FALSE&amp;Y=120"}</definedName>
    <definedName name="_765__FDSAUDITLINK__" hidden="1">{"fdsup://directions/FAT Viewer?action=UPDATE&amp;creator=factSet&amp;DYN_ARGS=true&amp;DOC_NAME=FAT:RGQ_ENTRPR_VAL_EV_SOURCE_WINDOW.FAT&amp;VAR:ID1=ITG-US&amp;window=popup&amp;width=535&amp;height=425&amp;START_MAXIMIZED=FALSE&amp;Y=120"}</definedName>
    <definedName name="_766__FDSAUDITLINK__" localSheetId="0" hidden="1">{"fdsup://directions/FAT Viewer?action=UPDATE&amp;creator=factSet&amp;DYN_ARGS=true&amp;DOC_NAME=FAT:RGQ_ENTRPR_VAL_EV_SOURCE_WINDOW.FAT&amp;VAR:ID1=ITG-US&amp;window=popup&amp;width=535&amp;height=425&amp;START_MAXIMIZED=FALSE&amp;Y=120"}</definedName>
    <definedName name="_766__FDSAUDITLINK__" localSheetId="6" hidden="1">{"fdsup://directions/FAT Viewer?action=UPDATE&amp;creator=factSet&amp;DYN_ARGS=true&amp;DOC_NAME=FAT:RGQ_ENTRPR_VAL_EV_SOURCE_WINDOW.FAT&amp;VAR:ID1=ITG-US&amp;window=popup&amp;width=535&amp;height=425&amp;START_MAXIMIZED=FALSE&amp;Y=120"}</definedName>
    <definedName name="_766__FDSAUDITLINK__" hidden="1">{"fdsup://directions/FAT Viewer?action=UPDATE&amp;creator=factSet&amp;DYN_ARGS=true&amp;DOC_NAME=FAT:RGQ_ENTRPR_VAL_EV_SOURCE_WINDOW.FAT&amp;VAR:ID1=ITG-US&amp;window=popup&amp;width=535&amp;height=425&amp;START_MAXIMIZED=FALSE&amp;Y=120"}</definedName>
    <definedName name="_767__123Graph_LBL_CCHART_22" hidden="1">#REF!</definedName>
    <definedName name="_767__FDSAUDITLINK__" localSheetId="0" hidden="1">{"fdsup://directions/FAT Viewer?action=UPDATE&amp;creator=factSet&amp;DYN_ARGS=true&amp;DOC_NAME=FAT:RGQ_ENTRPR_VAL_EV_SOURCE_WINDOW.FAT&amp;VAR:ID1=ITG-US&amp;window=popup&amp;width=535&amp;height=425&amp;START_MAXIMIZED=FALSE&amp;Y=120"}</definedName>
    <definedName name="_767__FDSAUDITLINK__" localSheetId="6" hidden="1">{"fdsup://directions/FAT Viewer?action=UPDATE&amp;creator=factSet&amp;DYN_ARGS=true&amp;DOC_NAME=FAT:RGQ_ENTRPR_VAL_EV_SOURCE_WINDOW.FAT&amp;VAR:ID1=ITG-US&amp;window=popup&amp;width=535&amp;height=425&amp;START_MAXIMIZED=FALSE&amp;Y=120"}</definedName>
    <definedName name="_767__FDSAUDITLINK__" hidden="1">{"fdsup://directions/FAT Viewer?action=UPDATE&amp;creator=factSet&amp;DYN_ARGS=true&amp;DOC_NAME=FAT:RGQ_ENTRPR_VAL_EV_SOURCE_WINDOW.FAT&amp;VAR:ID1=ITG-US&amp;window=popup&amp;width=535&amp;height=425&amp;START_MAXIMIZED=FALSE&amp;Y=120"}</definedName>
    <definedName name="_768__FDSAUDITLINK__" localSheetId="0" hidden="1">{"fdsup://directions/FAT Viewer?action=UPDATE&amp;creator=factSet&amp;DYN_ARGS=true&amp;DOC_NAME=FAT:RGQ_ENTRPR_VAL_EV_SOURCE_WINDOW.FAT&amp;VAR:ID1=ITG-US&amp;window=popup&amp;width=535&amp;height=425&amp;START_MAXIMIZED=FALSE&amp;Y=120"}</definedName>
    <definedName name="_768__FDSAUDITLINK__" localSheetId="6" hidden="1">{"fdsup://directions/FAT Viewer?action=UPDATE&amp;creator=factSet&amp;DYN_ARGS=true&amp;DOC_NAME=FAT:RGQ_ENTRPR_VAL_EV_SOURCE_WINDOW.FAT&amp;VAR:ID1=ITG-US&amp;window=popup&amp;width=535&amp;height=425&amp;START_MAXIMIZED=FALSE&amp;Y=120"}</definedName>
    <definedName name="_768__FDSAUDITLINK__" hidden="1">{"fdsup://directions/FAT Viewer?action=UPDATE&amp;creator=factSet&amp;DYN_ARGS=true&amp;DOC_NAME=FAT:RGQ_ENTRPR_VAL_EV_SOURCE_WINDOW.FAT&amp;VAR:ID1=ITG-US&amp;window=popup&amp;width=535&amp;height=425&amp;START_MAXIMIZED=FALSE&amp;Y=120"}</definedName>
    <definedName name="_769__FDSAUDITLINK__" localSheetId="0" hidden="1">{"fdsup://directions/FAT Viewer?action=UPDATE&amp;creator=factSet&amp;DYN_ARGS=true&amp;DOC_NAME=FAT:RGQ_ENTRPR_VAL_EV_SOURCE_WINDOW.FAT&amp;VAR:ID1=ITG-US&amp;window=popup&amp;width=535&amp;height=425&amp;START_MAXIMIZED=FALSE&amp;Y=120"}</definedName>
    <definedName name="_769__FDSAUDITLINK__" localSheetId="6" hidden="1">{"fdsup://directions/FAT Viewer?action=UPDATE&amp;creator=factSet&amp;DYN_ARGS=true&amp;DOC_NAME=FAT:RGQ_ENTRPR_VAL_EV_SOURCE_WINDOW.FAT&amp;VAR:ID1=ITG-US&amp;window=popup&amp;width=535&amp;height=425&amp;START_MAXIMIZED=FALSE&amp;Y=120"}</definedName>
    <definedName name="_769__FDSAUDITLINK__" hidden="1">{"fdsup://directions/FAT Viewer?action=UPDATE&amp;creator=factSet&amp;DYN_ARGS=true&amp;DOC_NAME=FAT:RGQ_ENTRPR_VAL_EV_SOURCE_WINDOW.FAT&amp;VAR:ID1=ITG-US&amp;window=popup&amp;width=535&amp;height=425&amp;START_MAXIMIZED=FALSE&amp;Y=120"}</definedName>
    <definedName name="_77__123Graph_ECHART_11" hidden="1">#REF!</definedName>
    <definedName name="_77__FDSAUDITLINK__" localSheetId="0" hidden="1">{"fdsup://directions/FAT Viewer?action=UPDATE&amp;creator=factSet&amp;DYN_ARGS=true&amp;DOC_NAME=FAT:RGA_ENTRPR_VAL_EV_SOURCE_WINDOW.FAT&amp;VAR:ID1=LIN-FR&amp;window=popup&amp;width=535&amp;height=425&amp;START_MAXIMIZED=FALSE&amp;Y=120"}</definedName>
    <definedName name="_77__FDSAUDITLINK__" localSheetId="6" hidden="1">{"fdsup://directions/FAT Viewer?action=UPDATE&amp;creator=factSet&amp;DYN_ARGS=true&amp;DOC_NAME=FAT:RGA_ENTRPR_VAL_EV_SOURCE_WINDOW.FAT&amp;VAR:ID1=LIN-FR&amp;window=popup&amp;width=535&amp;height=425&amp;START_MAXIMIZED=FALSE&amp;Y=120"}</definedName>
    <definedName name="_77__FDSAUDITLINK__" hidden="1">{"fdsup://directions/FAT Viewer?action=UPDATE&amp;creator=factSet&amp;DYN_ARGS=true&amp;DOC_NAME=FAT:RGA_ENTRPR_VAL_EV_SOURCE_WINDOW.FAT&amp;VAR:ID1=LIN-FR&amp;window=popup&amp;width=535&amp;height=425&amp;START_MAXIMIZED=FALSE&amp;Y=120"}</definedName>
    <definedName name="_770__FDSAUDITLINK__" localSheetId="0" hidden="1">{"fdsup://directions/FAT Viewer?action=UPDATE&amp;creator=factSet&amp;DYN_ARGS=true&amp;DOC_NAME=FAT:RGQ_ENTRPR_VAL_EV_SOURCE_WINDOW.FAT&amp;VAR:ID1=ITG-US&amp;window=popup&amp;width=535&amp;height=425&amp;START_MAXIMIZED=FALSE&amp;Y=120"}</definedName>
    <definedName name="_770__FDSAUDITLINK__" localSheetId="6" hidden="1">{"fdsup://directions/FAT Viewer?action=UPDATE&amp;creator=factSet&amp;DYN_ARGS=true&amp;DOC_NAME=FAT:RGQ_ENTRPR_VAL_EV_SOURCE_WINDOW.FAT&amp;VAR:ID1=ITG-US&amp;window=popup&amp;width=535&amp;height=425&amp;START_MAXIMIZED=FALSE&amp;Y=120"}</definedName>
    <definedName name="_770__FDSAUDITLINK__" hidden="1">{"fdsup://directions/FAT Viewer?action=UPDATE&amp;creator=factSet&amp;DYN_ARGS=true&amp;DOC_NAME=FAT:RGQ_ENTRPR_VAL_EV_SOURCE_WINDOW.FAT&amp;VAR:ID1=ITG-US&amp;window=popup&amp;width=535&amp;height=425&amp;START_MAXIMIZED=FALSE&amp;Y=120"}</definedName>
    <definedName name="_771__FDSAUDITLINK__" localSheetId="0" hidden="1">{"fdsup://directions/FAT Viewer?action=UPDATE&amp;creator=factSet&amp;DYN_ARGS=true&amp;DOC_NAME=FAT:RGQ_ENTRPR_VAL_EV_SOURCE_WINDOW.FAT&amp;VAR:ID1=ITG-US&amp;window=popup&amp;width=535&amp;height=425&amp;START_MAXIMIZED=FALSE&amp;Y=120"}</definedName>
    <definedName name="_771__FDSAUDITLINK__" localSheetId="6" hidden="1">{"fdsup://directions/FAT Viewer?action=UPDATE&amp;creator=factSet&amp;DYN_ARGS=true&amp;DOC_NAME=FAT:RGQ_ENTRPR_VAL_EV_SOURCE_WINDOW.FAT&amp;VAR:ID1=ITG-US&amp;window=popup&amp;width=535&amp;height=425&amp;START_MAXIMIZED=FALSE&amp;Y=120"}</definedName>
    <definedName name="_771__FDSAUDITLINK__" hidden="1">{"fdsup://directions/FAT Viewer?action=UPDATE&amp;creator=factSet&amp;DYN_ARGS=true&amp;DOC_NAME=FAT:RGQ_ENTRPR_VAL_EV_SOURCE_WINDOW.FAT&amp;VAR:ID1=ITG-US&amp;window=popup&amp;width=535&amp;height=425&amp;START_MAXIMIZED=FALSE&amp;Y=120"}</definedName>
    <definedName name="_772__FDSAUDITLINK__" localSheetId="0" hidden="1">{"fdsup://directions/FAT Viewer?action=UPDATE&amp;creator=factSet&amp;DYN_ARGS=true&amp;DOC_NAME=FAT:RGQ_ENTRPR_VAL_EV_SOURCE_WINDOW.FAT&amp;VAR:ID1=ITG-US&amp;window=popup&amp;width=535&amp;height=425&amp;START_MAXIMIZED=FALSE&amp;Y=120"}</definedName>
    <definedName name="_772__FDSAUDITLINK__" localSheetId="6" hidden="1">{"fdsup://directions/FAT Viewer?action=UPDATE&amp;creator=factSet&amp;DYN_ARGS=true&amp;DOC_NAME=FAT:RGQ_ENTRPR_VAL_EV_SOURCE_WINDOW.FAT&amp;VAR:ID1=ITG-US&amp;window=popup&amp;width=535&amp;height=425&amp;START_MAXIMIZED=FALSE&amp;Y=120"}</definedName>
    <definedName name="_772__FDSAUDITLINK__" hidden="1">{"fdsup://directions/FAT Viewer?action=UPDATE&amp;creator=factSet&amp;DYN_ARGS=true&amp;DOC_NAME=FAT:RGQ_ENTRPR_VAL_EV_SOURCE_WINDOW.FAT&amp;VAR:ID1=ITG-US&amp;window=popup&amp;width=535&amp;height=425&amp;START_MAXIMIZED=FALSE&amp;Y=120"}</definedName>
    <definedName name="_773__FDSAUDITLINK__" localSheetId="0" hidden="1">{"fdsup://directions/FAT Viewer?action=UPDATE&amp;creator=factSet&amp;DYN_ARGS=true&amp;DOC_NAME=FAT:RGQ_ENTRPR_VAL_EV_SOURCE_WINDOW.FAT&amp;VAR:ID1=ADVS-US&amp;window=popup&amp;width=535&amp;height=425&amp;START_MAXIMIZED=FALSE&amp;Y=120"}</definedName>
    <definedName name="_773__FDSAUDITLINK__" localSheetId="6" hidden="1">{"fdsup://directions/FAT Viewer?action=UPDATE&amp;creator=factSet&amp;DYN_ARGS=true&amp;DOC_NAME=FAT:RGQ_ENTRPR_VAL_EV_SOURCE_WINDOW.FAT&amp;VAR:ID1=ADVS-US&amp;window=popup&amp;width=535&amp;height=425&amp;START_MAXIMIZED=FALSE&amp;Y=120"}</definedName>
    <definedName name="_773__FDSAUDITLINK__" hidden="1">{"fdsup://directions/FAT Viewer?action=UPDATE&amp;creator=factSet&amp;DYN_ARGS=true&amp;DOC_NAME=FAT:RGQ_ENTRPR_VAL_EV_SOURCE_WINDOW.FAT&amp;VAR:ID1=ADVS-US&amp;window=popup&amp;width=535&amp;height=425&amp;START_MAXIMIZED=FALSE&amp;Y=120"}</definedName>
    <definedName name="_774__FDSAUDITLINK__" localSheetId="0" hidden="1">{"fdsup://directions/FAT Viewer?action=UPDATE&amp;creator=factSet&amp;DYN_ARGS=true&amp;DOC_NAME=FAT:RGQ_ENTRPR_VAL_EV_SOURCE_WINDOW.FAT&amp;VAR:ID1=ADVS-US&amp;window=popup&amp;width=535&amp;height=425&amp;START_MAXIMIZED=FALSE&amp;Y=120"}</definedName>
    <definedName name="_774__FDSAUDITLINK__" localSheetId="6" hidden="1">{"fdsup://directions/FAT Viewer?action=UPDATE&amp;creator=factSet&amp;DYN_ARGS=true&amp;DOC_NAME=FAT:RGQ_ENTRPR_VAL_EV_SOURCE_WINDOW.FAT&amp;VAR:ID1=ADVS-US&amp;window=popup&amp;width=535&amp;height=425&amp;START_MAXIMIZED=FALSE&amp;Y=120"}</definedName>
    <definedName name="_774__FDSAUDITLINK__" hidden="1">{"fdsup://directions/FAT Viewer?action=UPDATE&amp;creator=factSet&amp;DYN_ARGS=true&amp;DOC_NAME=FAT:RGQ_ENTRPR_VAL_EV_SOURCE_WINDOW.FAT&amp;VAR:ID1=ADVS-US&amp;window=popup&amp;width=535&amp;height=425&amp;START_MAXIMIZED=FALSE&amp;Y=120"}</definedName>
    <definedName name="_775__FDSAUDITLINK__" localSheetId="0" hidden="1">{"fdsup://directions/FAT Viewer?action=UPDATE&amp;creator=factSet&amp;DYN_ARGS=true&amp;DOC_NAME=FAT:RGQ_ENTRPR_VAL_EV_SOURCE_WINDOW.FAT&amp;VAR:ID1=ADVS-US&amp;window=popup&amp;width=535&amp;height=425&amp;START_MAXIMIZED=FALSE&amp;Y=120"}</definedName>
    <definedName name="_775__FDSAUDITLINK__" localSheetId="6" hidden="1">{"fdsup://directions/FAT Viewer?action=UPDATE&amp;creator=factSet&amp;DYN_ARGS=true&amp;DOC_NAME=FAT:RGQ_ENTRPR_VAL_EV_SOURCE_WINDOW.FAT&amp;VAR:ID1=ADVS-US&amp;window=popup&amp;width=535&amp;height=425&amp;START_MAXIMIZED=FALSE&amp;Y=120"}</definedName>
    <definedName name="_775__FDSAUDITLINK__" hidden="1">{"fdsup://directions/FAT Viewer?action=UPDATE&amp;creator=factSet&amp;DYN_ARGS=true&amp;DOC_NAME=FAT:RGQ_ENTRPR_VAL_EV_SOURCE_WINDOW.FAT&amp;VAR:ID1=ADVS-US&amp;window=popup&amp;width=535&amp;height=425&amp;START_MAXIMIZED=FALSE&amp;Y=120"}</definedName>
    <definedName name="_776__FDSAUDITLINK__" localSheetId="0" hidden="1">{"fdsup://directions/FAT Viewer?action=UPDATE&amp;creator=factSet&amp;DYN_ARGS=true&amp;DOC_NAME=FAT:RGQ_ENTRPR_VAL_EV_SOURCE_WINDOW.FAT&amp;VAR:ID1=ADVS-US&amp;window=popup&amp;width=535&amp;height=425&amp;START_MAXIMIZED=FALSE&amp;Y=120"}</definedName>
    <definedName name="_776__FDSAUDITLINK__" localSheetId="6" hidden="1">{"fdsup://directions/FAT Viewer?action=UPDATE&amp;creator=factSet&amp;DYN_ARGS=true&amp;DOC_NAME=FAT:RGQ_ENTRPR_VAL_EV_SOURCE_WINDOW.FAT&amp;VAR:ID1=ADVS-US&amp;window=popup&amp;width=535&amp;height=425&amp;START_MAXIMIZED=FALSE&amp;Y=120"}</definedName>
    <definedName name="_776__FDSAUDITLINK__" hidden="1">{"fdsup://directions/FAT Viewer?action=UPDATE&amp;creator=factSet&amp;DYN_ARGS=true&amp;DOC_NAME=FAT:RGQ_ENTRPR_VAL_EV_SOURCE_WINDOW.FAT&amp;VAR:ID1=ADVS-US&amp;window=popup&amp;width=535&amp;height=425&amp;START_MAXIMIZED=FALSE&amp;Y=120"}</definedName>
    <definedName name="_777__FDSAUDITLINK__" localSheetId="0" hidden="1">{"fdsup://directions/FAT Viewer?action=UPDATE&amp;creator=factSet&amp;DYN_ARGS=true&amp;DOC_NAME=FAT:RGQ_ENTRPR_VAL_EV_SOURCE_WINDOW.FAT&amp;VAR:ID1=ADVS-US&amp;window=popup&amp;width=535&amp;height=425&amp;START_MAXIMIZED=FALSE&amp;Y=120"}</definedName>
    <definedName name="_777__FDSAUDITLINK__" localSheetId="6" hidden="1">{"fdsup://directions/FAT Viewer?action=UPDATE&amp;creator=factSet&amp;DYN_ARGS=true&amp;DOC_NAME=FAT:RGQ_ENTRPR_VAL_EV_SOURCE_WINDOW.FAT&amp;VAR:ID1=ADVS-US&amp;window=popup&amp;width=535&amp;height=425&amp;START_MAXIMIZED=FALSE&amp;Y=120"}</definedName>
    <definedName name="_777__FDSAUDITLINK__" hidden="1">{"fdsup://directions/FAT Viewer?action=UPDATE&amp;creator=factSet&amp;DYN_ARGS=true&amp;DOC_NAME=FAT:RGQ_ENTRPR_VAL_EV_SOURCE_WINDOW.FAT&amp;VAR:ID1=ADVS-US&amp;window=popup&amp;width=535&amp;height=425&amp;START_MAXIMIZED=FALSE&amp;Y=120"}</definedName>
    <definedName name="_778__FDSAUDITLINK__" localSheetId="0" hidden="1">{"fdsup://directions/FAT Viewer?action=UPDATE&amp;creator=factSet&amp;DYN_ARGS=true&amp;DOC_NAME=FAT:RGQ_ENTRPR_VAL_EV_SOURCE_WINDOW.FAT&amp;VAR:ID1=ADVS-US&amp;window=popup&amp;width=535&amp;height=425&amp;START_MAXIMIZED=FALSE&amp;Y=120"}</definedName>
    <definedName name="_778__FDSAUDITLINK__" localSheetId="6" hidden="1">{"fdsup://directions/FAT Viewer?action=UPDATE&amp;creator=factSet&amp;DYN_ARGS=true&amp;DOC_NAME=FAT:RGQ_ENTRPR_VAL_EV_SOURCE_WINDOW.FAT&amp;VAR:ID1=ADVS-US&amp;window=popup&amp;width=535&amp;height=425&amp;START_MAXIMIZED=FALSE&amp;Y=120"}</definedName>
    <definedName name="_778__FDSAUDITLINK__" hidden="1">{"fdsup://directions/FAT Viewer?action=UPDATE&amp;creator=factSet&amp;DYN_ARGS=true&amp;DOC_NAME=FAT:RGQ_ENTRPR_VAL_EV_SOURCE_WINDOW.FAT&amp;VAR:ID1=ADVS-US&amp;window=popup&amp;width=535&amp;height=425&amp;START_MAXIMIZED=FALSE&amp;Y=120"}</definedName>
    <definedName name="_779__FDSAUDITLINK__" localSheetId="0" hidden="1">{"fdsup://directions/FAT Viewer?action=UPDATE&amp;creator=factSet&amp;DYN_ARGS=true&amp;DOC_NAME=FAT:RGQ_ENTRPR_VAL_EV_SOURCE_WINDOW.FAT&amp;VAR:ID1=ADVS-US&amp;window=popup&amp;width=535&amp;height=425&amp;START_MAXIMIZED=FALSE&amp;Y=120"}</definedName>
    <definedName name="_779__FDSAUDITLINK__" localSheetId="6" hidden="1">{"fdsup://directions/FAT Viewer?action=UPDATE&amp;creator=factSet&amp;DYN_ARGS=true&amp;DOC_NAME=FAT:RGQ_ENTRPR_VAL_EV_SOURCE_WINDOW.FAT&amp;VAR:ID1=ADVS-US&amp;window=popup&amp;width=535&amp;height=425&amp;START_MAXIMIZED=FALSE&amp;Y=120"}</definedName>
    <definedName name="_779__FDSAUDITLINK__" hidden="1">{"fdsup://directions/FAT Viewer?action=UPDATE&amp;creator=factSet&amp;DYN_ARGS=true&amp;DOC_NAME=FAT:RGQ_ENTRPR_VAL_EV_SOURCE_WINDOW.FAT&amp;VAR:ID1=ADVS-US&amp;window=popup&amp;width=535&amp;height=425&amp;START_MAXIMIZED=FALSE&amp;Y=120"}</definedName>
    <definedName name="_78__123Graph_CCHART_16" hidden="1">#REF!</definedName>
    <definedName name="_78__123Graph_ECHART_13" hidden="1">#REF!</definedName>
    <definedName name="_78__FDSAUDITLINK__" localSheetId="0" hidden="1">{"fdsup://directions/FAT Viewer?action=UPDATE&amp;creator=factSet&amp;DYN_ARGS=true&amp;DOC_NAME=FAT:RGA_ENTRPR_VAL_EV_SOURCE_WINDOW.FAT&amp;VAR:ID1=5835.00772&amp;window=popup&amp;width=535&amp;height=425&amp;START_MAXIMIZED=FALSE&amp;Y=120"}</definedName>
    <definedName name="_78__FDSAUDITLINK__" localSheetId="6" hidden="1">{"fdsup://directions/FAT Viewer?action=UPDATE&amp;creator=factSet&amp;DYN_ARGS=true&amp;DOC_NAME=FAT:RGA_ENTRPR_VAL_EV_SOURCE_WINDOW.FAT&amp;VAR:ID1=5835.00772&amp;window=popup&amp;width=535&amp;height=425&amp;START_MAXIMIZED=FALSE&amp;Y=120"}</definedName>
    <definedName name="_78__FDSAUDITLINK__" hidden="1">{"fdsup://directions/FAT Viewer?action=UPDATE&amp;creator=factSet&amp;DYN_ARGS=true&amp;DOC_NAME=FAT:RGA_ENTRPR_VAL_EV_SOURCE_WINDOW.FAT&amp;VAR:ID1=5835.00772&amp;window=popup&amp;width=535&amp;height=425&amp;START_MAXIMIZED=FALSE&amp;Y=120"}</definedName>
    <definedName name="_780__123Graph_LBL_CCHART_24" hidden="1">#REF!</definedName>
    <definedName name="_780__FDSAUDITLINK__" localSheetId="0" hidden="1">{"fdsup://directions/FAT Viewer?action=UPDATE&amp;creator=factSet&amp;DYN_ARGS=true&amp;DOC_NAME=FAT:RGQ_ENTRPR_VAL_EV_SOURCE_WINDOW.FAT&amp;VAR:ID1=ADVS-US&amp;window=popup&amp;width=535&amp;height=425&amp;START_MAXIMIZED=FALSE&amp;Y=120"}</definedName>
    <definedName name="_780__FDSAUDITLINK__" localSheetId="6" hidden="1">{"fdsup://directions/FAT Viewer?action=UPDATE&amp;creator=factSet&amp;DYN_ARGS=true&amp;DOC_NAME=FAT:RGQ_ENTRPR_VAL_EV_SOURCE_WINDOW.FAT&amp;VAR:ID1=ADVS-US&amp;window=popup&amp;width=535&amp;height=425&amp;START_MAXIMIZED=FALSE&amp;Y=120"}</definedName>
    <definedName name="_780__FDSAUDITLINK__" hidden="1">{"fdsup://directions/FAT Viewer?action=UPDATE&amp;creator=factSet&amp;DYN_ARGS=true&amp;DOC_NAME=FAT:RGQ_ENTRPR_VAL_EV_SOURCE_WINDOW.FAT&amp;VAR:ID1=ADVS-US&amp;window=popup&amp;width=535&amp;height=425&amp;START_MAXIMIZED=FALSE&amp;Y=120"}</definedName>
    <definedName name="_781__FDSAUDITLINK__" localSheetId="0" hidden="1">{"fdsup://directions/FAT Viewer?action=UPDATE&amp;creator=factSet&amp;DYN_ARGS=true&amp;DOC_NAME=FAT:RGQ_ENTRPR_VAL_EV_SOURCE_WINDOW.FAT&amp;VAR:ID1=ADVS-US&amp;window=popup&amp;width=535&amp;height=425&amp;START_MAXIMIZED=FALSE&amp;Y=120"}</definedName>
    <definedName name="_781__FDSAUDITLINK__" localSheetId="6" hidden="1">{"fdsup://directions/FAT Viewer?action=UPDATE&amp;creator=factSet&amp;DYN_ARGS=true&amp;DOC_NAME=FAT:RGQ_ENTRPR_VAL_EV_SOURCE_WINDOW.FAT&amp;VAR:ID1=ADVS-US&amp;window=popup&amp;width=535&amp;height=425&amp;START_MAXIMIZED=FALSE&amp;Y=120"}</definedName>
    <definedName name="_781__FDSAUDITLINK__" hidden="1">{"fdsup://directions/FAT Viewer?action=UPDATE&amp;creator=factSet&amp;DYN_ARGS=true&amp;DOC_NAME=FAT:RGQ_ENTRPR_VAL_EV_SOURCE_WINDOW.FAT&amp;VAR:ID1=ADVS-US&amp;window=popup&amp;width=535&amp;height=425&amp;START_MAXIMIZED=FALSE&amp;Y=120"}</definedName>
    <definedName name="_782__FDSAUDITLINK__" localSheetId="0" hidden="1">{"fdsup://directions/FAT Viewer?action=UPDATE&amp;creator=factSet&amp;DYN_ARGS=true&amp;DOC_NAME=FAT:RGQ_ENTRPR_VAL_EV_SOURCE_WINDOW.FAT&amp;VAR:ID1=ADVS-US&amp;window=popup&amp;width=535&amp;height=425&amp;START_MAXIMIZED=FALSE&amp;Y=120"}</definedName>
    <definedName name="_782__FDSAUDITLINK__" localSheetId="6" hidden="1">{"fdsup://directions/FAT Viewer?action=UPDATE&amp;creator=factSet&amp;DYN_ARGS=true&amp;DOC_NAME=FAT:RGQ_ENTRPR_VAL_EV_SOURCE_WINDOW.FAT&amp;VAR:ID1=ADVS-US&amp;window=popup&amp;width=535&amp;height=425&amp;START_MAXIMIZED=FALSE&amp;Y=120"}</definedName>
    <definedName name="_782__FDSAUDITLINK__" hidden="1">{"fdsup://directions/FAT Viewer?action=UPDATE&amp;creator=factSet&amp;DYN_ARGS=true&amp;DOC_NAME=FAT:RGQ_ENTRPR_VAL_EV_SOURCE_WINDOW.FAT&amp;VAR:ID1=ADVS-US&amp;window=popup&amp;width=535&amp;height=425&amp;START_MAXIMIZED=FALSE&amp;Y=120"}</definedName>
    <definedName name="_783__FDSAUDITLINK__" localSheetId="0" hidden="1">{"fdsup://directions/FAT Viewer?action=UPDATE&amp;creator=factSet&amp;DYN_ARGS=true&amp;DOC_NAME=FAT:RGQ_ENTRPR_VAL_EV_SOURCE_WINDOW.FAT&amp;VAR:ID1=ADVS-US&amp;window=popup&amp;width=535&amp;height=425&amp;START_MAXIMIZED=FALSE&amp;Y=120"}</definedName>
    <definedName name="_783__FDSAUDITLINK__" localSheetId="6" hidden="1">{"fdsup://directions/FAT Viewer?action=UPDATE&amp;creator=factSet&amp;DYN_ARGS=true&amp;DOC_NAME=FAT:RGQ_ENTRPR_VAL_EV_SOURCE_WINDOW.FAT&amp;VAR:ID1=ADVS-US&amp;window=popup&amp;width=535&amp;height=425&amp;START_MAXIMIZED=FALSE&amp;Y=120"}</definedName>
    <definedName name="_783__FDSAUDITLINK__" hidden="1">{"fdsup://directions/FAT Viewer?action=UPDATE&amp;creator=factSet&amp;DYN_ARGS=true&amp;DOC_NAME=FAT:RGQ_ENTRPR_VAL_EV_SOURCE_WINDOW.FAT&amp;VAR:ID1=ADVS-US&amp;window=popup&amp;width=535&amp;height=425&amp;START_MAXIMIZED=FALSE&amp;Y=120"}</definedName>
    <definedName name="_784__123Graph_LBL_CCHART_26" hidden="1">#REF!</definedName>
    <definedName name="_784__FDSAUDITLINK__" localSheetId="0" hidden="1">{"fdsup://directions/FAT Viewer?action=UPDATE&amp;creator=factSet&amp;DYN_ARGS=true&amp;DOC_NAME=FAT:RGQ_ENTRPR_VAL_EV_SOURCE_WINDOW.FAT&amp;VAR:ID1=ADVS-US&amp;window=popup&amp;width=535&amp;height=425&amp;START_MAXIMIZED=FALSE&amp;Y=120"}</definedName>
    <definedName name="_784__FDSAUDITLINK__" localSheetId="6" hidden="1">{"fdsup://directions/FAT Viewer?action=UPDATE&amp;creator=factSet&amp;DYN_ARGS=true&amp;DOC_NAME=FAT:RGQ_ENTRPR_VAL_EV_SOURCE_WINDOW.FAT&amp;VAR:ID1=ADVS-US&amp;window=popup&amp;width=535&amp;height=425&amp;START_MAXIMIZED=FALSE&amp;Y=120"}</definedName>
    <definedName name="_784__FDSAUDITLINK__" hidden="1">{"fdsup://directions/FAT Viewer?action=UPDATE&amp;creator=factSet&amp;DYN_ARGS=true&amp;DOC_NAME=FAT:RGQ_ENTRPR_VAL_EV_SOURCE_WINDOW.FAT&amp;VAR:ID1=ADVS-US&amp;window=popup&amp;width=535&amp;height=425&amp;START_MAXIMIZED=FALSE&amp;Y=120"}</definedName>
    <definedName name="_785__FDSAUDITLINK__" localSheetId="0" hidden="1">{"fdsup://directions/FAT Viewer?action=UPDATE&amp;creator=factSet&amp;DYN_ARGS=true&amp;DOC_NAME=FAT:RGQ_ENTRPR_VAL_EV_SOURCE_WINDOW.FAT&amp;VAR:ID1=ADVS-US&amp;window=popup&amp;width=535&amp;height=425&amp;START_MAXIMIZED=FALSE&amp;Y=120"}</definedName>
    <definedName name="_785__FDSAUDITLINK__" localSheetId="6" hidden="1">{"fdsup://directions/FAT Viewer?action=UPDATE&amp;creator=factSet&amp;DYN_ARGS=true&amp;DOC_NAME=FAT:RGQ_ENTRPR_VAL_EV_SOURCE_WINDOW.FAT&amp;VAR:ID1=ADVS-US&amp;window=popup&amp;width=535&amp;height=425&amp;START_MAXIMIZED=FALSE&amp;Y=120"}</definedName>
    <definedName name="_785__FDSAUDITLINK__" hidden="1">{"fdsup://directions/FAT Viewer?action=UPDATE&amp;creator=factSet&amp;DYN_ARGS=true&amp;DOC_NAME=FAT:RGQ_ENTRPR_VAL_EV_SOURCE_WINDOW.FAT&amp;VAR:ID1=ADVS-US&amp;window=popup&amp;width=535&amp;height=425&amp;START_MAXIMIZED=FALSE&amp;Y=120"}</definedName>
    <definedName name="_786__FDSAUDITLINK__" localSheetId="0" hidden="1">{"fdsup://directions/FAT Viewer?action=UPDATE&amp;creator=factSet&amp;DYN_ARGS=true&amp;DOC_NAME=FAT:RGQ_ENTRPR_VAL_EV_SOURCE_WINDOW.FAT&amp;VAR:ID1=ADVS-US&amp;window=popup&amp;width=535&amp;height=425&amp;START_MAXIMIZED=FALSE&amp;Y=120"}</definedName>
    <definedName name="_786__FDSAUDITLINK__" localSheetId="6" hidden="1">{"fdsup://directions/FAT Viewer?action=UPDATE&amp;creator=factSet&amp;DYN_ARGS=true&amp;DOC_NAME=FAT:RGQ_ENTRPR_VAL_EV_SOURCE_WINDOW.FAT&amp;VAR:ID1=ADVS-US&amp;window=popup&amp;width=535&amp;height=425&amp;START_MAXIMIZED=FALSE&amp;Y=120"}</definedName>
    <definedName name="_786__FDSAUDITLINK__" hidden="1">{"fdsup://directions/FAT Viewer?action=UPDATE&amp;creator=factSet&amp;DYN_ARGS=true&amp;DOC_NAME=FAT:RGQ_ENTRPR_VAL_EV_SOURCE_WINDOW.FAT&amp;VAR:ID1=ADVS-US&amp;window=popup&amp;width=535&amp;height=425&amp;START_MAXIMIZED=FALSE&amp;Y=120"}</definedName>
    <definedName name="_787__FDSAUDITLINK__" localSheetId="0" hidden="1">{"fdsup://directions/FAT Viewer?action=UPDATE&amp;creator=factSet&amp;DYN_ARGS=true&amp;DOC_NAME=FAT:RGQ_ENTRPR_VAL_EV_SOURCE_WINDOW.FAT&amp;VAR:ID1=ADVS-US&amp;window=popup&amp;width=535&amp;height=425&amp;START_MAXIMIZED=FALSE&amp;Y=120"}</definedName>
    <definedName name="_787__FDSAUDITLINK__" localSheetId="6" hidden="1">{"fdsup://directions/FAT Viewer?action=UPDATE&amp;creator=factSet&amp;DYN_ARGS=true&amp;DOC_NAME=FAT:RGQ_ENTRPR_VAL_EV_SOURCE_WINDOW.FAT&amp;VAR:ID1=ADVS-US&amp;window=popup&amp;width=535&amp;height=425&amp;START_MAXIMIZED=FALSE&amp;Y=120"}</definedName>
    <definedName name="_787__FDSAUDITLINK__" hidden="1">{"fdsup://directions/FAT Viewer?action=UPDATE&amp;creator=factSet&amp;DYN_ARGS=true&amp;DOC_NAME=FAT:RGQ_ENTRPR_VAL_EV_SOURCE_WINDOW.FAT&amp;VAR:ID1=ADVS-US&amp;window=popup&amp;width=535&amp;height=425&amp;START_MAXIMIZED=FALSE&amp;Y=120"}</definedName>
    <definedName name="_788__123Graph_LBL_CCHART_28" hidden="1">#REF!</definedName>
    <definedName name="_788__FDSAUDITLINK__" localSheetId="0" hidden="1">{"fdsup://directions/FAT Viewer?action=UPDATE&amp;creator=factSet&amp;DYN_ARGS=true&amp;DOC_NAME=FAT:RGQ_ENTRPR_VAL_EV_SOURCE_WINDOW.FAT&amp;VAR:ID1=ADVS-US&amp;window=popup&amp;width=535&amp;height=425&amp;START_MAXIMIZED=FALSE&amp;Y=120"}</definedName>
    <definedName name="_788__FDSAUDITLINK__" localSheetId="6" hidden="1">{"fdsup://directions/FAT Viewer?action=UPDATE&amp;creator=factSet&amp;DYN_ARGS=true&amp;DOC_NAME=FAT:RGQ_ENTRPR_VAL_EV_SOURCE_WINDOW.FAT&amp;VAR:ID1=ADVS-US&amp;window=popup&amp;width=535&amp;height=425&amp;START_MAXIMIZED=FALSE&amp;Y=120"}</definedName>
    <definedName name="_788__FDSAUDITLINK__" hidden="1">{"fdsup://directions/FAT Viewer?action=UPDATE&amp;creator=factSet&amp;DYN_ARGS=true&amp;DOC_NAME=FAT:RGQ_ENTRPR_VAL_EV_SOURCE_WINDOW.FAT&amp;VAR:ID1=ADVS-US&amp;window=popup&amp;width=535&amp;height=425&amp;START_MAXIMIZED=FALSE&amp;Y=120"}</definedName>
    <definedName name="_789__FDSAUDITLINK__" localSheetId="0" hidden="1">{"fdsup://directions/FAT Viewer?action=UPDATE&amp;creator=factSet&amp;DYN_ARGS=true&amp;DOC_NAME=FAT:RGQ_ENTRPR_VAL_EV_SOURCE_WINDOW.FAT&amp;VAR:ID1=ADVS-US&amp;window=popup&amp;width=535&amp;height=425&amp;START_MAXIMIZED=FALSE&amp;Y=120"}</definedName>
    <definedName name="_789__FDSAUDITLINK__" localSheetId="6" hidden="1">{"fdsup://directions/FAT Viewer?action=UPDATE&amp;creator=factSet&amp;DYN_ARGS=true&amp;DOC_NAME=FAT:RGQ_ENTRPR_VAL_EV_SOURCE_WINDOW.FAT&amp;VAR:ID1=ADVS-US&amp;window=popup&amp;width=535&amp;height=425&amp;START_MAXIMIZED=FALSE&amp;Y=120"}</definedName>
    <definedName name="_789__FDSAUDITLINK__" hidden="1">{"fdsup://directions/FAT Viewer?action=UPDATE&amp;creator=factSet&amp;DYN_ARGS=true&amp;DOC_NAME=FAT:RGQ_ENTRPR_VAL_EV_SOURCE_WINDOW.FAT&amp;VAR:ID1=ADVS-US&amp;window=popup&amp;width=535&amp;height=425&amp;START_MAXIMIZED=FALSE&amp;Y=120"}</definedName>
    <definedName name="_79__123Graph_DCHART_2" hidden="1">#REF!</definedName>
    <definedName name="_79__123Graph_ECHART_3" hidden="1">#REF!</definedName>
    <definedName name="_79__FDSAUDITLINK__" localSheetId="0" hidden="1">{"fdsup://directions/FAT Viewer?action=UPDATE&amp;creator=factSet&amp;DYN_ARGS=true&amp;DOC_NAME=FAT:RGA_ENTRPR_VAL_EV_SOURCE_WINDOW.FAT&amp;VAR:ID1=1690.95186&amp;window=popup&amp;width=535&amp;height=425&amp;START_MAXIMIZED=FALSE&amp;Y=120"}</definedName>
    <definedName name="_79__FDSAUDITLINK__" localSheetId="6" hidden="1">{"fdsup://directions/FAT Viewer?action=UPDATE&amp;creator=factSet&amp;DYN_ARGS=true&amp;DOC_NAME=FAT:RGA_ENTRPR_VAL_EV_SOURCE_WINDOW.FAT&amp;VAR:ID1=1690.95186&amp;window=popup&amp;width=535&amp;height=425&amp;START_MAXIMIZED=FALSE&amp;Y=120"}</definedName>
    <definedName name="_79__FDSAUDITLINK__" hidden="1">{"fdsup://directions/FAT Viewer?action=UPDATE&amp;creator=factSet&amp;DYN_ARGS=true&amp;DOC_NAME=FAT:RGA_ENTRPR_VAL_EV_SOURCE_WINDOW.FAT&amp;VAR:ID1=1690.95186&amp;window=popup&amp;width=535&amp;height=425&amp;START_MAXIMIZED=FALSE&amp;Y=120"}</definedName>
    <definedName name="_790__FDSAUDITLINK__" localSheetId="0" hidden="1">{"fdsup://directions/FAT Viewer?action=UPDATE&amp;creator=factSet&amp;DYN_ARGS=true&amp;DOC_NAME=FAT:RGQ_ENTRPR_VAL_EV_SOURCE_WINDOW.FAT&amp;VAR:ID1=ADVS-US&amp;window=popup&amp;width=535&amp;height=425&amp;START_MAXIMIZED=FALSE&amp;Y=120"}</definedName>
    <definedName name="_790__FDSAUDITLINK__" localSheetId="6" hidden="1">{"fdsup://directions/FAT Viewer?action=UPDATE&amp;creator=factSet&amp;DYN_ARGS=true&amp;DOC_NAME=FAT:RGQ_ENTRPR_VAL_EV_SOURCE_WINDOW.FAT&amp;VAR:ID1=ADVS-US&amp;window=popup&amp;width=535&amp;height=425&amp;START_MAXIMIZED=FALSE&amp;Y=120"}</definedName>
    <definedName name="_790__FDSAUDITLINK__" hidden="1">{"fdsup://directions/FAT Viewer?action=UPDATE&amp;creator=factSet&amp;DYN_ARGS=true&amp;DOC_NAME=FAT:RGQ_ENTRPR_VAL_EV_SOURCE_WINDOW.FAT&amp;VAR:ID1=ADVS-US&amp;window=popup&amp;width=535&amp;height=425&amp;START_MAXIMIZED=FALSE&amp;Y=120"}</definedName>
    <definedName name="_791__FDSAUDITLINK__" localSheetId="0" hidden="1">{"fdsup://directions/FAT Viewer?action=UPDATE&amp;creator=factSet&amp;DYN_ARGS=true&amp;DOC_NAME=FAT:RGQ_ENTRPR_VAL_EV_SOURCE_WINDOW.FAT&amp;VAR:ID1=ADVS-US&amp;window=popup&amp;width=535&amp;height=425&amp;START_MAXIMIZED=FALSE&amp;Y=120"}</definedName>
    <definedName name="_791__FDSAUDITLINK__" localSheetId="6" hidden="1">{"fdsup://directions/FAT Viewer?action=UPDATE&amp;creator=factSet&amp;DYN_ARGS=true&amp;DOC_NAME=FAT:RGQ_ENTRPR_VAL_EV_SOURCE_WINDOW.FAT&amp;VAR:ID1=ADVS-US&amp;window=popup&amp;width=535&amp;height=425&amp;START_MAXIMIZED=FALSE&amp;Y=120"}</definedName>
    <definedName name="_791__FDSAUDITLINK__" hidden="1">{"fdsup://directions/FAT Viewer?action=UPDATE&amp;creator=factSet&amp;DYN_ARGS=true&amp;DOC_NAME=FAT:RGQ_ENTRPR_VAL_EV_SOURCE_WINDOW.FAT&amp;VAR:ID1=ADVS-US&amp;window=popup&amp;width=535&amp;height=425&amp;START_MAXIMIZED=FALSE&amp;Y=120"}</definedName>
    <definedName name="_792__FDSAUDITLINK__" localSheetId="0" hidden="1">{"fdsup://directions/FAT Viewer?action=UPDATE&amp;creator=factSet&amp;DYN_ARGS=true&amp;DOC_NAME=FAT:RGQ_ENTRPR_VAL_EV_SOURCE_WINDOW.FAT&amp;VAR:ID1=ADVS-US&amp;window=popup&amp;width=535&amp;height=425&amp;START_MAXIMIZED=FALSE&amp;Y=120"}</definedName>
    <definedName name="_792__FDSAUDITLINK__" localSheetId="6" hidden="1">{"fdsup://directions/FAT Viewer?action=UPDATE&amp;creator=factSet&amp;DYN_ARGS=true&amp;DOC_NAME=FAT:RGQ_ENTRPR_VAL_EV_SOURCE_WINDOW.FAT&amp;VAR:ID1=ADVS-US&amp;window=popup&amp;width=535&amp;height=425&amp;START_MAXIMIZED=FALSE&amp;Y=120"}</definedName>
    <definedName name="_792__FDSAUDITLINK__" hidden="1">{"fdsup://directions/FAT Viewer?action=UPDATE&amp;creator=factSet&amp;DYN_ARGS=true&amp;DOC_NAME=FAT:RGQ_ENTRPR_VAL_EV_SOURCE_WINDOW.FAT&amp;VAR:ID1=ADVS-US&amp;window=popup&amp;width=535&amp;height=425&amp;START_MAXIMIZED=FALSE&amp;Y=120"}</definedName>
    <definedName name="_793__FDSAUDITLINK__" localSheetId="0" hidden="1">{"fdsup://directions/FAT Viewer?action=UPDATE&amp;creator=factSet&amp;DYN_ARGS=true&amp;DOC_NAME=FAT:RGQ_ENTRPR_VAL_EV_SOURCE_WINDOW.FAT&amp;VAR:ID1=ADVS-US&amp;window=popup&amp;width=535&amp;height=425&amp;START_MAXIMIZED=FALSE&amp;Y=120"}</definedName>
    <definedName name="_793__FDSAUDITLINK__" localSheetId="6" hidden="1">{"fdsup://directions/FAT Viewer?action=UPDATE&amp;creator=factSet&amp;DYN_ARGS=true&amp;DOC_NAME=FAT:RGQ_ENTRPR_VAL_EV_SOURCE_WINDOW.FAT&amp;VAR:ID1=ADVS-US&amp;window=popup&amp;width=535&amp;height=425&amp;START_MAXIMIZED=FALSE&amp;Y=120"}</definedName>
    <definedName name="_793__FDSAUDITLINK__" hidden="1">{"fdsup://directions/FAT Viewer?action=UPDATE&amp;creator=factSet&amp;DYN_ARGS=true&amp;DOC_NAME=FAT:RGQ_ENTRPR_VAL_EV_SOURCE_WINDOW.FAT&amp;VAR:ID1=ADVS-US&amp;window=popup&amp;width=535&amp;height=425&amp;START_MAXIMIZED=FALSE&amp;Y=120"}</definedName>
    <definedName name="_794__FDSAUDITLINK__" localSheetId="0" hidden="1">{"fdsup://directions/FAT Viewer?action=UPDATE&amp;creator=factSet&amp;DYN_ARGS=true&amp;DOC_NAME=FAT:RGQ_ENTRPR_VAL_EV_SOURCE_WINDOW.FAT&amp;VAR:ID1=ADVS-US&amp;window=popup&amp;width=535&amp;height=425&amp;START_MAXIMIZED=FALSE&amp;Y=120"}</definedName>
    <definedName name="_794__FDSAUDITLINK__" localSheetId="6" hidden="1">{"fdsup://directions/FAT Viewer?action=UPDATE&amp;creator=factSet&amp;DYN_ARGS=true&amp;DOC_NAME=FAT:RGQ_ENTRPR_VAL_EV_SOURCE_WINDOW.FAT&amp;VAR:ID1=ADVS-US&amp;window=popup&amp;width=535&amp;height=425&amp;START_MAXIMIZED=FALSE&amp;Y=120"}</definedName>
    <definedName name="_794__FDSAUDITLINK__" hidden="1">{"fdsup://directions/FAT Viewer?action=UPDATE&amp;creator=factSet&amp;DYN_ARGS=true&amp;DOC_NAME=FAT:RGQ_ENTRPR_VAL_EV_SOURCE_WINDOW.FAT&amp;VAR:ID1=ADVS-US&amp;window=popup&amp;width=535&amp;height=425&amp;START_MAXIMIZED=FALSE&amp;Y=120"}</definedName>
    <definedName name="_795__FDSAUDITLINK__" localSheetId="0" hidden="1">{"fdsup://directions/FAT Viewer?action=UPDATE&amp;creator=factSet&amp;DYN_ARGS=true&amp;DOC_NAME=FAT:RGQ_ENTRPR_VAL_EV_SOURCE_WINDOW.FAT&amp;VAR:ID1=IRE-AU&amp;window=popup&amp;width=535&amp;height=425&amp;START_MAXIMIZED=FALSE&amp;Y=120"}</definedName>
    <definedName name="_795__FDSAUDITLINK__" localSheetId="6" hidden="1">{"fdsup://directions/FAT Viewer?action=UPDATE&amp;creator=factSet&amp;DYN_ARGS=true&amp;DOC_NAME=FAT:RGQ_ENTRPR_VAL_EV_SOURCE_WINDOW.FAT&amp;VAR:ID1=IRE-AU&amp;window=popup&amp;width=535&amp;height=425&amp;START_MAXIMIZED=FALSE&amp;Y=120"}</definedName>
    <definedName name="_795__FDSAUDITLINK__" hidden="1">{"fdsup://directions/FAT Viewer?action=UPDATE&amp;creator=factSet&amp;DYN_ARGS=true&amp;DOC_NAME=FAT:RGQ_ENTRPR_VAL_EV_SOURCE_WINDOW.FAT&amp;VAR:ID1=IRE-AU&amp;window=popup&amp;width=535&amp;height=425&amp;START_MAXIMIZED=FALSE&amp;Y=120"}</definedName>
    <definedName name="_796__FDSAUDITLINK__" localSheetId="0" hidden="1">{"fdsup://directions/FAT Viewer?action=UPDATE&amp;creator=factSet&amp;DYN_ARGS=true&amp;DOC_NAME=FAT:RGQ_ENTRPR_VAL_EV_SOURCE_WINDOW.FAT&amp;VAR:ID1=IRE-AU&amp;window=popup&amp;width=535&amp;height=425&amp;START_MAXIMIZED=FALSE&amp;Y=120"}</definedName>
    <definedName name="_796__FDSAUDITLINK__" localSheetId="6" hidden="1">{"fdsup://directions/FAT Viewer?action=UPDATE&amp;creator=factSet&amp;DYN_ARGS=true&amp;DOC_NAME=FAT:RGQ_ENTRPR_VAL_EV_SOURCE_WINDOW.FAT&amp;VAR:ID1=IRE-AU&amp;window=popup&amp;width=535&amp;height=425&amp;START_MAXIMIZED=FALSE&amp;Y=120"}</definedName>
    <definedName name="_796__FDSAUDITLINK__" hidden="1">{"fdsup://directions/FAT Viewer?action=UPDATE&amp;creator=factSet&amp;DYN_ARGS=true&amp;DOC_NAME=FAT:RGQ_ENTRPR_VAL_EV_SOURCE_WINDOW.FAT&amp;VAR:ID1=IRE-AU&amp;window=popup&amp;width=535&amp;height=425&amp;START_MAXIMIZED=FALSE&amp;Y=120"}</definedName>
    <definedName name="_797__FDSAUDITLINK__" localSheetId="0" hidden="1">{"fdsup://directions/FAT Viewer?action=UPDATE&amp;creator=factSet&amp;DYN_ARGS=true&amp;DOC_NAME=FAT:RGQ_ENTRPR_VAL_EV_SOURCE_WINDOW.FAT&amp;VAR:ID1=IRE-AU&amp;window=popup&amp;width=535&amp;height=425&amp;START_MAXIMIZED=FALSE&amp;Y=120"}</definedName>
    <definedName name="_797__FDSAUDITLINK__" localSheetId="6" hidden="1">{"fdsup://directions/FAT Viewer?action=UPDATE&amp;creator=factSet&amp;DYN_ARGS=true&amp;DOC_NAME=FAT:RGQ_ENTRPR_VAL_EV_SOURCE_WINDOW.FAT&amp;VAR:ID1=IRE-AU&amp;window=popup&amp;width=535&amp;height=425&amp;START_MAXIMIZED=FALSE&amp;Y=120"}</definedName>
    <definedName name="_797__FDSAUDITLINK__" hidden="1">{"fdsup://directions/FAT Viewer?action=UPDATE&amp;creator=factSet&amp;DYN_ARGS=true&amp;DOC_NAME=FAT:RGQ_ENTRPR_VAL_EV_SOURCE_WINDOW.FAT&amp;VAR:ID1=IRE-AU&amp;window=popup&amp;width=535&amp;height=425&amp;START_MAXIMIZED=FALSE&amp;Y=120"}</definedName>
    <definedName name="_798__FDSAUDITLINK__" localSheetId="0" hidden="1">{"fdsup://directions/FAT Viewer?action=UPDATE&amp;creator=factSet&amp;DYN_ARGS=true&amp;DOC_NAME=FAT:RGQ_ENTRPR_VAL_EV_SOURCE_WINDOW.FAT&amp;VAR:ID1=IRE-AU&amp;window=popup&amp;width=535&amp;height=425&amp;START_MAXIMIZED=FALSE&amp;Y=120"}</definedName>
    <definedName name="_798__FDSAUDITLINK__" localSheetId="6" hidden="1">{"fdsup://directions/FAT Viewer?action=UPDATE&amp;creator=factSet&amp;DYN_ARGS=true&amp;DOC_NAME=FAT:RGQ_ENTRPR_VAL_EV_SOURCE_WINDOW.FAT&amp;VAR:ID1=IRE-AU&amp;window=popup&amp;width=535&amp;height=425&amp;START_MAXIMIZED=FALSE&amp;Y=120"}</definedName>
    <definedName name="_798__FDSAUDITLINK__" hidden="1">{"fdsup://directions/FAT Viewer?action=UPDATE&amp;creator=factSet&amp;DYN_ARGS=true&amp;DOC_NAME=FAT:RGQ_ENTRPR_VAL_EV_SOURCE_WINDOW.FAT&amp;VAR:ID1=IRE-AU&amp;window=popup&amp;width=535&amp;height=425&amp;START_MAXIMIZED=FALSE&amp;Y=120"}</definedName>
    <definedName name="_799__FDSAUDITLINK__" localSheetId="0" hidden="1">{"fdsup://directions/FAT Viewer?action=UPDATE&amp;creator=factSet&amp;DYN_ARGS=true&amp;DOC_NAME=FAT:RGQ_ENTRPR_VAL_EV_SOURCE_WINDOW.FAT&amp;VAR:ID1=IRE-AU&amp;window=popup&amp;width=535&amp;height=425&amp;START_MAXIMIZED=FALSE&amp;Y=120"}</definedName>
    <definedName name="_799__FDSAUDITLINK__" localSheetId="6" hidden="1">{"fdsup://directions/FAT Viewer?action=UPDATE&amp;creator=factSet&amp;DYN_ARGS=true&amp;DOC_NAME=FAT:RGQ_ENTRPR_VAL_EV_SOURCE_WINDOW.FAT&amp;VAR:ID1=IRE-AU&amp;window=popup&amp;width=535&amp;height=425&amp;START_MAXIMIZED=FALSE&amp;Y=120"}</definedName>
    <definedName name="_799__FDSAUDITLINK__" hidden="1">{"fdsup://directions/FAT Viewer?action=UPDATE&amp;creator=factSet&amp;DYN_ARGS=true&amp;DOC_NAME=FAT:RGQ_ENTRPR_VAL_EV_SOURCE_WINDOW.FAT&amp;VAR:ID1=IRE-AU&amp;window=popup&amp;width=535&amp;height=425&amp;START_MAXIMIZED=FALSE&amp;Y=120"}</definedName>
    <definedName name="_8_?78">#REF!</definedName>
    <definedName name="_8__123Graph_A_JY95" hidden="1">#REF!</definedName>
    <definedName name="_8__123Graph_ACHART_14" hidden="1">#REF!</definedName>
    <definedName name="_8__123Graph_ACHART_17" hidden="1">#REF!</definedName>
    <definedName name="_8__123Graph_ACHART_18" hidden="1">#REF!</definedName>
    <definedName name="_8__123Graph_ACHART_2" hidden="1">#REF!</definedName>
    <definedName name="_8__123Graph_ASEG_PIE" hidden="1">#REF!</definedName>
    <definedName name="_8__123Graph_B_Chart_1A" hidden="1">#REF!</definedName>
    <definedName name="_8__123Graph_BCHART_1" hidden="1">#REF!</definedName>
    <definedName name="_8__123Graph_BCHART_3" hidden="1">#REF!</definedName>
    <definedName name="_8__123Graph_BCRACK_Y" hidden="1">#REF!</definedName>
    <definedName name="_8__123Graph_BPP_Y" hidden="1">#REF!</definedName>
    <definedName name="_8__123Graph_CCHART_13" hidden="1">#REF!</definedName>
    <definedName name="_8__123Graph_CCHART_17" hidden="1">#REF!</definedName>
    <definedName name="_8__123Graph_LBL_ACHART_2" hidden="1">#REF!</definedName>
    <definedName name="_8__123Graph_LBL_BMKT_YTD" hidden="1">#REF!</definedName>
    <definedName name="_8__123Graph_LBL_BPP_Y" hidden="1">#REF!</definedName>
    <definedName name="_8__123Graph_LBL_DCHART_1" hidden="1">#REF!</definedName>
    <definedName name="_8__FDSAUDITLINK__" localSheetId="0" hidden="1">{"fdsup://directions/FAT Viewer?action=UPDATE&amp;creator=factSet&amp;DYN_ARGS=true&amp;DOC_NAME=FAT:RGA_ENTRPR_VAL_EV_SOURCE_WINDOW.FAT&amp;VAR:ID1=&amp;window=popup&amp;width=535&amp;height=425&amp;START_MAXIMIZED=FALSE&amp;Y=120"}</definedName>
    <definedName name="_8__FDSAUDITLINK__" localSheetId="6" hidden="1">{"fdsup://directions/FAT Viewer?action=UPDATE&amp;creator=factSet&amp;DYN_ARGS=true&amp;DOC_NAME=FAT:RGA_ENTRPR_VAL_EV_SOURCE_WINDOW.FAT&amp;VAR:ID1=&amp;window=popup&amp;width=535&amp;height=425&amp;START_MAXIMIZED=FALSE&amp;Y=120"}</definedName>
    <definedName name="_8__FDSAUDITLINK__" hidden="1">{"fdsup://directions/FAT Viewer?action=UPDATE&amp;creator=factSet&amp;DYN_ARGS=true&amp;DOC_NAME=FAT:RGA_ENTRPR_VAL_EV_SOURCE_WINDOW.FAT&amp;VAR:ID1=&amp;window=popup&amp;width=535&amp;height=425&amp;START_MAXIMIZED=FALSE&amp;Y=120"}</definedName>
    <definedName name="_8_0">#REF!</definedName>
    <definedName name="_8_0_0Inv._Imm._Immater._Fattur" hidden="1">#REF!</definedName>
    <definedName name="_8_0Swvu.Pag" hidden="1">#REF!</definedName>
    <definedName name="_80__123Graph_CCHART_22" hidden="1">#REF!</definedName>
    <definedName name="_80__123Graph_ECHART_31" hidden="1">#REF!</definedName>
    <definedName name="_80__FDSAUDITLINK__" localSheetId="0" hidden="1">{"fdsup://directions/FAT Viewer?action=UPDATE&amp;creator=factSet&amp;DYN_ARGS=true&amp;DOC_NAME=FAT:RGA_ENTRPR_VAL_EV_SOURCE_WINDOW.FAT&amp;VAR:ID1=EV&amp;window=popup&amp;width=535&amp;height=425&amp;START_MAXIMIZED=FALSE&amp;Y=120"}</definedName>
    <definedName name="_80__FDSAUDITLINK__" localSheetId="6" hidden="1">{"fdsup://directions/FAT Viewer?action=UPDATE&amp;creator=factSet&amp;DYN_ARGS=true&amp;DOC_NAME=FAT:RGA_ENTRPR_VAL_EV_SOURCE_WINDOW.FAT&amp;VAR:ID1=EV&amp;window=popup&amp;width=535&amp;height=425&amp;START_MAXIMIZED=FALSE&amp;Y=120"}</definedName>
    <definedName name="_80__FDSAUDITLINK__" hidden="1">{"fdsup://directions/FAT Viewer?action=UPDATE&amp;creator=factSet&amp;DYN_ARGS=true&amp;DOC_NAME=FAT:RGA_ENTRPR_VAL_EV_SOURCE_WINDOW.FAT&amp;VAR:ID1=EV&amp;window=popup&amp;width=535&amp;height=425&amp;START_MAXIMIZED=FALSE&amp;Y=120"}</definedName>
    <definedName name="_800__FDSAUDITLINK__" localSheetId="0" hidden="1">{"fdsup://directions/FAT Viewer?action=UPDATE&amp;creator=factSet&amp;DYN_ARGS=true&amp;DOC_NAME=FAT:RGQ_ENTRPR_VAL_EV_SOURCE_WINDOW.FAT&amp;VAR:ID1=IRE-AU&amp;window=popup&amp;width=535&amp;height=425&amp;START_MAXIMIZED=FALSE&amp;Y=120"}</definedName>
    <definedName name="_800__FDSAUDITLINK__" localSheetId="6" hidden="1">{"fdsup://directions/FAT Viewer?action=UPDATE&amp;creator=factSet&amp;DYN_ARGS=true&amp;DOC_NAME=FAT:RGQ_ENTRPR_VAL_EV_SOURCE_WINDOW.FAT&amp;VAR:ID1=IRE-AU&amp;window=popup&amp;width=535&amp;height=425&amp;START_MAXIMIZED=FALSE&amp;Y=120"}</definedName>
    <definedName name="_800__FDSAUDITLINK__" hidden="1">{"fdsup://directions/FAT Viewer?action=UPDATE&amp;creator=factSet&amp;DYN_ARGS=true&amp;DOC_NAME=FAT:RGQ_ENTRPR_VAL_EV_SOURCE_WINDOW.FAT&amp;VAR:ID1=IRE-AU&amp;window=popup&amp;width=535&amp;height=425&amp;START_MAXIMIZED=FALSE&amp;Y=120"}</definedName>
    <definedName name="_801__123Graph_LBL_CCHART_30" hidden="1">#REF!</definedName>
    <definedName name="_801__FDSAUDITLINK__" localSheetId="0" hidden="1">{"fdsup://directions/FAT Viewer?action=UPDATE&amp;creator=factSet&amp;DYN_ARGS=true&amp;DOC_NAME=FAT:RGQ_ENTRPR_VAL_EV_SOURCE_WINDOW.FAT&amp;VAR:ID1=IRE-AU&amp;window=popup&amp;width=535&amp;height=425&amp;START_MAXIMIZED=FALSE&amp;Y=120"}</definedName>
    <definedName name="_801__FDSAUDITLINK__" localSheetId="6" hidden="1">{"fdsup://directions/FAT Viewer?action=UPDATE&amp;creator=factSet&amp;DYN_ARGS=true&amp;DOC_NAME=FAT:RGQ_ENTRPR_VAL_EV_SOURCE_WINDOW.FAT&amp;VAR:ID1=IRE-AU&amp;window=popup&amp;width=535&amp;height=425&amp;START_MAXIMIZED=FALSE&amp;Y=120"}</definedName>
    <definedName name="_801__FDSAUDITLINK__" hidden="1">{"fdsup://directions/FAT Viewer?action=UPDATE&amp;creator=factSet&amp;DYN_ARGS=true&amp;DOC_NAME=FAT:RGQ_ENTRPR_VAL_EV_SOURCE_WINDOW.FAT&amp;VAR:ID1=IRE-AU&amp;window=popup&amp;width=535&amp;height=425&amp;START_MAXIMIZED=FALSE&amp;Y=120"}</definedName>
    <definedName name="_802__FDSAUDITLINK__" localSheetId="0" hidden="1">{"fdsup://directions/FAT Viewer?action=UPDATE&amp;creator=factSet&amp;DYN_ARGS=true&amp;DOC_NAME=FAT:RGQ_ENTRPR_VAL_EV_SOURCE_WINDOW.FAT&amp;VAR:ID1=IRE-AU&amp;window=popup&amp;width=535&amp;height=425&amp;START_MAXIMIZED=FALSE&amp;Y=120"}</definedName>
    <definedName name="_802__FDSAUDITLINK__" localSheetId="6" hidden="1">{"fdsup://directions/FAT Viewer?action=UPDATE&amp;creator=factSet&amp;DYN_ARGS=true&amp;DOC_NAME=FAT:RGQ_ENTRPR_VAL_EV_SOURCE_WINDOW.FAT&amp;VAR:ID1=IRE-AU&amp;window=popup&amp;width=535&amp;height=425&amp;START_MAXIMIZED=FALSE&amp;Y=120"}</definedName>
    <definedName name="_802__FDSAUDITLINK__" hidden="1">{"fdsup://directions/FAT Viewer?action=UPDATE&amp;creator=factSet&amp;DYN_ARGS=true&amp;DOC_NAME=FAT:RGQ_ENTRPR_VAL_EV_SOURCE_WINDOW.FAT&amp;VAR:ID1=IRE-AU&amp;window=popup&amp;width=535&amp;height=425&amp;START_MAXIMIZED=FALSE&amp;Y=120"}</definedName>
    <definedName name="_803__FDSAUDITLINK__" localSheetId="0" hidden="1">{"fdsup://directions/FAT Viewer?action=UPDATE&amp;creator=factSet&amp;DYN_ARGS=true&amp;DOC_NAME=FAT:RGQ_ENTRPR_VAL_EV_SOURCE_WINDOW.FAT&amp;VAR:ID1=IRE-AU&amp;window=popup&amp;width=535&amp;height=425&amp;START_MAXIMIZED=FALSE&amp;Y=120"}</definedName>
    <definedName name="_803__FDSAUDITLINK__" localSheetId="6" hidden="1">{"fdsup://directions/FAT Viewer?action=UPDATE&amp;creator=factSet&amp;DYN_ARGS=true&amp;DOC_NAME=FAT:RGQ_ENTRPR_VAL_EV_SOURCE_WINDOW.FAT&amp;VAR:ID1=IRE-AU&amp;window=popup&amp;width=535&amp;height=425&amp;START_MAXIMIZED=FALSE&amp;Y=120"}</definedName>
    <definedName name="_803__FDSAUDITLINK__" hidden="1">{"fdsup://directions/FAT Viewer?action=UPDATE&amp;creator=factSet&amp;DYN_ARGS=true&amp;DOC_NAME=FAT:RGQ_ENTRPR_VAL_EV_SOURCE_WINDOW.FAT&amp;VAR:ID1=IRE-AU&amp;window=popup&amp;width=535&amp;height=425&amp;START_MAXIMIZED=FALSE&amp;Y=120"}</definedName>
    <definedName name="_804__FDSAUDITLINK__" localSheetId="0" hidden="1">{"fdsup://directions/FAT Viewer?action=UPDATE&amp;creator=factSet&amp;DYN_ARGS=true&amp;DOC_NAME=FAT:RGQ_ENTRPR_VAL_EV_SOURCE_WINDOW.FAT&amp;VAR:ID1=IRE-AU&amp;window=popup&amp;width=535&amp;height=425&amp;START_MAXIMIZED=FALSE&amp;Y=120"}</definedName>
    <definedName name="_804__FDSAUDITLINK__" localSheetId="6" hidden="1">{"fdsup://directions/FAT Viewer?action=UPDATE&amp;creator=factSet&amp;DYN_ARGS=true&amp;DOC_NAME=FAT:RGQ_ENTRPR_VAL_EV_SOURCE_WINDOW.FAT&amp;VAR:ID1=IRE-AU&amp;window=popup&amp;width=535&amp;height=425&amp;START_MAXIMIZED=FALSE&amp;Y=120"}</definedName>
    <definedName name="_804__FDSAUDITLINK__" hidden="1">{"fdsup://directions/FAT Viewer?action=UPDATE&amp;creator=factSet&amp;DYN_ARGS=true&amp;DOC_NAME=FAT:RGQ_ENTRPR_VAL_EV_SOURCE_WINDOW.FAT&amp;VAR:ID1=IRE-AU&amp;window=popup&amp;width=535&amp;height=425&amp;START_MAXIMIZED=FALSE&amp;Y=120"}</definedName>
    <definedName name="_805__FDSAUDITLINK__" localSheetId="0" hidden="1">{"fdsup://directions/FAT Viewer?action=UPDATE&amp;creator=factSet&amp;DYN_ARGS=true&amp;DOC_NAME=FAT:RGQ_ENTRPR_VAL_EV_SOURCE_WINDOW.FAT&amp;VAR:ID1=IRE-AU&amp;window=popup&amp;width=535&amp;height=425&amp;START_MAXIMIZED=FALSE&amp;Y=120"}</definedName>
    <definedName name="_805__FDSAUDITLINK__" localSheetId="6" hidden="1">{"fdsup://directions/FAT Viewer?action=UPDATE&amp;creator=factSet&amp;DYN_ARGS=true&amp;DOC_NAME=FAT:RGQ_ENTRPR_VAL_EV_SOURCE_WINDOW.FAT&amp;VAR:ID1=IRE-AU&amp;window=popup&amp;width=535&amp;height=425&amp;START_MAXIMIZED=FALSE&amp;Y=120"}</definedName>
    <definedName name="_805__FDSAUDITLINK__" hidden="1">{"fdsup://directions/FAT Viewer?action=UPDATE&amp;creator=factSet&amp;DYN_ARGS=true&amp;DOC_NAME=FAT:RGQ_ENTRPR_VAL_EV_SOURCE_WINDOW.FAT&amp;VAR:ID1=IRE-AU&amp;window=popup&amp;width=535&amp;height=425&amp;START_MAXIMIZED=FALSE&amp;Y=120"}</definedName>
    <definedName name="_806__FDSAUDITLINK__" localSheetId="0" hidden="1">{"fdsup://directions/FAT Viewer?action=UPDATE&amp;creator=factSet&amp;DYN_ARGS=true&amp;DOC_NAME=FAT:RGQ_ENTRPR_VAL_EV_SOURCE_WINDOW.FAT&amp;VAR:ID1=IRE-AU&amp;window=popup&amp;width=535&amp;height=425&amp;START_MAXIMIZED=FALSE&amp;Y=120"}</definedName>
    <definedName name="_806__FDSAUDITLINK__" localSheetId="6" hidden="1">{"fdsup://directions/FAT Viewer?action=UPDATE&amp;creator=factSet&amp;DYN_ARGS=true&amp;DOC_NAME=FAT:RGQ_ENTRPR_VAL_EV_SOURCE_WINDOW.FAT&amp;VAR:ID1=IRE-AU&amp;window=popup&amp;width=535&amp;height=425&amp;START_MAXIMIZED=FALSE&amp;Y=120"}</definedName>
    <definedName name="_806__FDSAUDITLINK__" hidden="1">{"fdsup://directions/FAT Viewer?action=UPDATE&amp;creator=factSet&amp;DYN_ARGS=true&amp;DOC_NAME=FAT:RGQ_ENTRPR_VAL_EV_SOURCE_WINDOW.FAT&amp;VAR:ID1=IRE-AU&amp;window=popup&amp;width=535&amp;height=425&amp;START_MAXIMIZED=FALSE&amp;Y=120"}</definedName>
    <definedName name="_807__FDSAUDITLINK__" localSheetId="0" hidden="1">{"fdsup://directions/FAT Viewer?action=UPDATE&amp;creator=factSet&amp;DYN_ARGS=true&amp;DOC_NAME=FAT:RGQ_ENTRPR_VAL_EV_SOURCE_WINDOW.FAT&amp;VAR:ID1=IRE-AU&amp;window=popup&amp;width=535&amp;height=425&amp;START_MAXIMIZED=FALSE&amp;Y=120"}</definedName>
    <definedName name="_807__FDSAUDITLINK__" localSheetId="6" hidden="1">{"fdsup://directions/FAT Viewer?action=UPDATE&amp;creator=factSet&amp;DYN_ARGS=true&amp;DOC_NAME=FAT:RGQ_ENTRPR_VAL_EV_SOURCE_WINDOW.FAT&amp;VAR:ID1=IRE-AU&amp;window=popup&amp;width=535&amp;height=425&amp;START_MAXIMIZED=FALSE&amp;Y=120"}</definedName>
    <definedName name="_807__FDSAUDITLINK__" hidden="1">{"fdsup://directions/FAT Viewer?action=UPDATE&amp;creator=factSet&amp;DYN_ARGS=true&amp;DOC_NAME=FAT:RGQ_ENTRPR_VAL_EV_SOURCE_WINDOW.FAT&amp;VAR:ID1=IRE-AU&amp;window=popup&amp;width=535&amp;height=425&amp;START_MAXIMIZED=FALSE&amp;Y=120"}</definedName>
    <definedName name="_808__FDSAUDITLINK__" localSheetId="0" hidden="1">{"fdsup://directions/FAT Viewer?action=UPDATE&amp;creator=factSet&amp;DYN_ARGS=true&amp;DOC_NAME=FAT:RGQ_ENTRPR_VAL_EV_SOURCE_WINDOW.FAT&amp;VAR:ID1=IRE-AU&amp;window=popup&amp;width=535&amp;height=425&amp;START_MAXIMIZED=FALSE&amp;Y=120"}</definedName>
    <definedName name="_808__FDSAUDITLINK__" localSheetId="6" hidden="1">{"fdsup://directions/FAT Viewer?action=UPDATE&amp;creator=factSet&amp;DYN_ARGS=true&amp;DOC_NAME=FAT:RGQ_ENTRPR_VAL_EV_SOURCE_WINDOW.FAT&amp;VAR:ID1=IRE-AU&amp;window=popup&amp;width=535&amp;height=425&amp;START_MAXIMIZED=FALSE&amp;Y=120"}</definedName>
    <definedName name="_808__FDSAUDITLINK__" hidden="1">{"fdsup://directions/FAT Viewer?action=UPDATE&amp;creator=factSet&amp;DYN_ARGS=true&amp;DOC_NAME=FAT:RGQ_ENTRPR_VAL_EV_SOURCE_WINDOW.FAT&amp;VAR:ID1=IRE-AU&amp;window=popup&amp;width=535&amp;height=425&amp;START_MAXIMIZED=FALSE&amp;Y=120"}</definedName>
    <definedName name="_809__FDSAUDITLINK__" localSheetId="0" hidden="1">{"fdsup://directions/FAT Viewer?action=UPDATE&amp;creator=factSet&amp;DYN_ARGS=true&amp;DOC_NAME=FAT:RGQ_ENTRPR_VAL_EV_SOURCE_WINDOW.FAT&amp;VAR:ID1=IRE-AU&amp;window=popup&amp;width=535&amp;height=425&amp;START_MAXIMIZED=FALSE&amp;Y=120"}</definedName>
    <definedName name="_809__FDSAUDITLINK__" localSheetId="6" hidden="1">{"fdsup://directions/FAT Viewer?action=UPDATE&amp;creator=factSet&amp;DYN_ARGS=true&amp;DOC_NAME=FAT:RGQ_ENTRPR_VAL_EV_SOURCE_WINDOW.FAT&amp;VAR:ID1=IRE-AU&amp;window=popup&amp;width=535&amp;height=425&amp;START_MAXIMIZED=FALSE&amp;Y=120"}</definedName>
    <definedName name="_809__FDSAUDITLINK__" hidden="1">{"fdsup://directions/FAT Viewer?action=UPDATE&amp;creator=factSet&amp;DYN_ARGS=true&amp;DOC_NAME=FAT:RGQ_ENTRPR_VAL_EV_SOURCE_WINDOW.FAT&amp;VAR:ID1=IRE-AU&amp;window=popup&amp;width=535&amp;height=425&amp;START_MAXIMIZED=FALSE&amp;Y=120"}</definedName>
    <definedName name="_81__123Graph_ECHART_32" hidden="1">#REF!</definedName>
    <definedName name="_81__FDSAUDITLINK__" localSheetId="0" hidden="1">{"fdsup://directions/FAT Viewer?action=UPDATE&amp;creator=factSet&amp;DYN_ARGS=true&amp;DOC_NAME=FAT:RGA_ENTRPR_VAL_EV_SOURCE_WINDOW.FAT&amp;VAR:ID1=&amp;window=popup&amp;width=535&amp;height=425&amp;START_MAXIMIZED=FALSE&amp;Y=120"}</definedName>
    <definedName name="_81__FDSAUDITLINK__" localSheetId="6" hidden="1">{"fdsup://directions/FAT Viewer?action=UPDATE&amp;creator=factSet&amp;DYN_ARGS=true&amp;DOC_NAME=FAT:RGA_ENTRPR_VAL_EV_SOURCE_WINDOW.FAT&amp;VAR:ID1=&amp;window=popup&amp;width=535&amp;height=425&amp;START_MAXIMIZED=FALSE&amp;Y=120"}</definedName>
    <definedName name="_81__FDSAUDITLINK__" hidden="1">{"fdsup://directions/FAT Viewer?action=UPDATE&amp;creator=factSet&amp;DYN_ARGS=true&amp;DOC_NAME=FAT:RGA_ENTRPR_VAL_EV_SOURCE_WINDOW.FAT&amp;VAR:ID1=&amp;window=popup&amp;width=535&amp;height=425&amp;START_MAXIMIZED=FALSE&amp;Y=120"}</definedName>
    <definedName name="_810__FDSAUDITLINK__" localSheetId="0" hidden="1">{"fdsup://directions/FAT Viewer?action=UPDATE&amp;creator=factSet&amp;DYN_ARGS=true&amp;DOC_NAME=FAT:RGQ_ENTRPR_VAL_EV_SOURCE_WINDOW.FAT&amp;VAR:ID1=IRE-AU&amp;window=popup&amp;width=535&amp;height=425&amp;START_MAXIMIZED=FALSE&amp;Y=120"}</definedName>
    <definedName name="_810__FDSAUDITLINK__" localSheetId="6" hidden="1">{"fdsup://directions/FAT Viewer?action=UPDATE&amp;creator=factSet&amp;DYN_ARGS=true&amp;DOC_NAME=FAT:RGQ_ENTRPR_VAL_EV_SOURCE_WINDOW.FAT&amp;VAR:ID1=IRE-AU&amp;window=popup&amp;width=535&amp;height=425&amp;START_MAXIMIZED=FALSE&amp;Y=120"}</definedName>
    <definedName name="_810__FDSAUDITLINK__" hidden="1">{"fdsup://directions/FAT Viewer?action=UPDATE&amp;creator=factSet&amp;DYN_ARGS=true&amp;DOC_NAME=FAT:RGQ_ENTRPR_VAL_EV_SOURCE_WINDOW.FAT&amp;VAR:ID1=IRE-AU&amp;window=popup&amp;width=535&amp;height=425&amp;START_MAXIMIZED=FALSE&amp;Y=120"}</definedName>
    <definedName name="_811__FDSAUDITLINK__" localSheetId="0" hidden="1">{"fdsup://directions/FAT Viewer?action=UPDATE&amp;creator=factSet&amp;DYN_ARGS=true&amp;DOC_NAME=FAT:RGQ_ENTRPR_VAL_EV_SOURCE_WINDOW.FAT&amp;VAR:ID1=IRE-AU&amp;window=popup&amp;width=535&amp;height=425&amp;START_MAXIMIZED=FALSE&amp;Y=120"}</definedName>
    <definedName name="_811__FDSAUDITLINK__" localSheetId="6" hidden="1">{"fdsup://directions/FAT Viewer?action=UPDATE&amp;creator=factSet&amp;DYN_ARGS=true&amp;DOC_NAME=FAT:RGQ_ENTRPR_VAL_EV_SOURCE_WINDOW.FAT&amp;VAR:ID1=IRE-AU&amp;window=popup&amp;width=535&amp;height=425&amp;START_MAXIMIZED=FALSE&amp;Y=120"}</definedName>
    <definedName name="_811__FDSAUDITLINK__" hidden="1">{"fdsup://directions/FAT Viewer?action=UPDATE&amp;creator=factSet&amp;DYN_ARGS=true&amp;DOC_NAME=FAT:RGQ_ENTRPR_VAL_EV_SOURCE_WINDOW.FAT&amp;VAR:ID1=IRE-AU&amp;window=popup&amp;width=535&amp;height=425&amp;START_MAXIMIZED=FALSE&amp;Y=120"}</definedName>
    <definedName name="_812__FDSAUDITLINK__" localSheetId="0" hidden="1">{"fdsup://directions/FAT Viewer?action=UPDATE&amp;creator=factSet&amp;DYN_ARGS=true&amp;DOC_NAME=FAT:RGQ_ENTRPR_VAL_EV_SOURCE_WINDOW.FAT&amp;VAR:ID1=IRE-AU&amp;window=popup&amp;width=535&amp;height=425&amp;START_MAXIMIZED=FALSE&amp;Y=120"}</definedName>
    <definedName name="_812__FDSAUDITLINK__" localSheetId="6" hidden="1">{"fdsup://directions/FAT Viewer?action=UPDATE&amp;creator=factSet&amp;DYN_ARGS=true&amp;DOC_NAME=FAT:RGQ_ENTRPR_VAL_EV_SOURCE_WINDOW.FAT&amp;VAR:ID1=IRE-AU&amp;window=popup&amp;width=535&amp;height=425&amp;START_MAXIMIZED=FALSE&amp;Y=120"}</definedName>
    <definedName name="_812__FDSAUDITLINK__" hidden="1">{"fdsup://directions/FAT Viewer?action=UPDATE&amp;creator=factSet&amp;DYN_ARGS=true&amp;DOC_NAME=FAT:RGQ_ENTRPR_VAL_EV_SOURCE_WINDOW.FAT&amp;VAR:ID1=IRE-AU&amp;window=popup&amp;width=535&amp;height=425&amp;START_MAXIMIZED=FALSE&amp;Y=120"}</definedName>
    <definedName name="_813__FDSAUDITLINK__" localSheetId="0" hidden="1">{"fdsup://directions/FAT Viewer?action=UPDATE&amp;creator=factSet&amp;DYN_ARGS=true&amp;DOC_NAME=FAT:RGQ_ENTRPR_VAL_EV_SOURCE_WINDOW.FAT&amp;VAR:ID1=IRE-AU&amp;window=popup&amp;width=535&amp;height=425&amp;START_MAXIMIZED=FALSE&amp;Y=120"}</definedName>
    <definedName name="_813__FDSAUDITLINK__" localSheetId="6" hidden="1">{"fdsup://directions/FAT Viewer?action=UPDATE&amp;creator=factSet&amp;DYN_ARGS=true&amp;DOC_NAME=FAT:RGQ_ENTRPR_VAL_EV_SOURCE_WINDOW.FAT&amp;VAR:ID1=IRE-AU&amp;window=popup&amp;width=535&amp;height=425&amp;START_MAXIMIZED=FALSE&amp;Y=120"}</definedName>
    <definedName name="_813__FDSAUDITLINK__" hidden="1">{"fdsup://directions/FAT Viewer?action=UPDATE&amp;creator=factSet&amp;DYN_ARGS=true&amp;DOC_NAME=FAT:RGQ_ENTRPR_VAL_EV_SOURCE_WINDOW.FAT&amp;VAR:ID1=IRE-AU&amp;window=popup&amp;width=535&amp;height=425&amp;START_MAXIMIZED=FALSE&amp;Y=120"}</definedName>
    <definedName name="_814__123Graph_LBL_CCHART_31" hidden="1">#REF!</definedName>
    <definedName name="_814__FDSAUDITLINK__" localSheetId="0" hidden="1">{"fdsup://directions/FAT Viewer?action=UPDATE&amp;creator=factSet&amp;DYN_ARGS=true&amp;DOC_NAME=FAT:RGQ_ENTRPR_VAL_EV_SOURCE_WINDOW.FAT&amp;VAR:ID1=IRE-AU&amp;window=popup&amp;width=535&amp;height=425&amp;START_MAXIMIZED=FALSE&amp;Y=120"}</definedName>
    <definedName name="_814__FDSAUDITLINK__" localSheetId="6" hidden="1">{"fdsup://directions/FAT Viewer?action=UPDATE&amp;creator=factSet&amp;DYN_ARGS=true&amp;DOC_NAME=FAT:RGQ_ENTRPR_VAL_EV_SOURCE_WINDOW.FAT&amp;VAR:ID1=IRE-AU&amp;window=popup&amp;width=535&amp;height=425&amp;START_MAXIMIZED=FALSE&amp;Y=120"}</definedName>
    <definedName name="_814__FDSAUDITLINK__" hidden="1">{"fdsup://directions/FAT Viewer?action=UPDATE&amp;creator=factSet&amp;DYN_ARGS=true&amp;DOC_NAME=FAT:RGQ_ENTRPR_VAL_EV_SOURCE_WINDOW.FAT&amp;VAR:ID1=IRE-AU&amp;window=popup&amp;width=535&amp;height=425&amp;START_MAXIMIZED=FALSE&amp;Y=120"}</definedName>
    <definedName name="_815__FDSAUDITLINK__" localSheetId="0" hidden="1">{"fdsup://directions/FAT Viewer?action=UPDATE&amp;creator=factSet&amp;DYN_ARGS=true&amp;DOC_NAME=FAT:RGQ_ENTRPR_VAL_EV_SOURCE_WINDOW.FAT&amp;VAR:ID1=IRE-AU&amp;window=popup&amp;width=535&amp;height=425&amp;START_MAXIMIZED=FALSE&amp;Y=120"}</definedName>
    <definedName name="_815__FDSAUDITLINK__" localSheetId="6" hidden="1">{"fdsup://directions/FAT Viewer?action=UPDATE&amp;creator=factSet&amp;DYN_ARGS=true&amp;DOC_NAME=FAT:RGQ_ENTRPR_VAL_EV_SOURCE_WINDOW.FAT&amp;VAR:ID1=IRE-AU&amp;window=popup&amp;width=535&amp;height=425&amp;START_MAXIMIZED=FALSE&amp;Y=120"}</definedName>
    <definedName name="_815__FDSAUDITLINK__" hidden="1">{"fdsup://directions/FAT Viewer?action=UPDATE&amp;creator=factSet&amp;DYN_ARGS=true&amp;DOC_NAME=FAT:RGQ_ENTRPR_VAL_EV_SOURCE_WINDOW.FAT&amp;VAR:ID1=IRE-AU&amp;window=popup&amp;width=535&amp;height=425&amp;START_MAXIMIZED=FALSE&amp;Y=120"}</definedName>
    <definedName name="_816__FDSAUDITLINK__" localSheetId="0" hidden="1">{"fdsup://Directions/FAT Viewer?action=UPDATE&amp;creator=factset&amp;DOC_NAME=fat:reuters_semi_source_window.fat&amp;display_string=Audit&amp;DYN_ARGS=TRUE&amp;VAR:ID1=629749&amp;VAR:RCODE=FDSENTRPRVAL&amp;VAR:SDATE=37711&amp;VAR:FREQ=Daily&amp;VAR:RELITEM=&amp;VAR:CURRENCY=AUD&amp;VAR:CURRSOURCE=EX","SHARE&amp;VAR:NATFREQ=FSA&amp;VAR:RFIELD=FINALIZED&amp;VAR:DB_TYPE=&amp;VAR:UNITS=M&amp;window=popup&amp;width=450&amp;height=300&amp;START_MAXIMIZED=FALSE"}</definedName>
    <definedName name="_816__FDSAUDITLINK__" localSheetId="6" hidden="1">{"fdsup://Directions/FAT Viewer?action=UPDATE&amp;creator=factset&amp;DOC_NAME=fat:reuters_semi_source_window.fat&amp;display_string=Audit&amp;DYN_ARGS=TRUE&amp;VAR:ID1=629749&amp;VAR:RCODE=FDSENTRPRVAL&amp;VAR:SDATE=37711&amp;VAR:FREQ=Daily&amp;VAR:RELITEM=&amp;VAR:CURRENCY=AUD&amp;VAR:CURRSOURCE=EX","SHARE&amp;VAR:NATFREQ=FSA&amp;VAR:RFIELD=FINALIZED&amp;VAR:DB_TYPE=&amp;VAR:UNITS=M&amp;window=popup&amp;width=450&amp;height=300&amp;START_MAXIMIZED=FALSE"}</definedName>
    <definedName name="_816__FDSAUDITLINK__" hidden="1">{"fdsup://Directions/FAT Viewer?action=UPDATE&amp;creator=factset&amp;DOC_NAME=fat:reuters_semi_source_window.fat&amp;display_string=Audit&amp;DYN_ARGS=TRUE&amp;VAR:ID1=629749&amp;VAR:RCODE=FDSENTRPRVAL&amp;VAR:SDATE=37711&amp;VAR:FREQ=Daily&amp;VAR:RELITEM=&amp;VAR:CURRENCY=AUD&amp;VAR:CURRSOURCE=EX","SHARE&amp;VAR:NATFREQ=FSA&amp;VAR:RFIELD=FINALIZED&amp;VAR:DB_TYPE=&amp;VAR:UNITS=M&amp;window=popup&amp;width=450&amp;height=300&amp;START_MAXIMIZED=FALSE"}</definedName>
    <definedName name="_817__FDSAUDITLINK__" localSheetId="0" hidden="1">{"fdsup://Directions/FAT Viewer?action=UPDATE&amp;creator=factset&amp;DOC_NAME=fat:reuters_semi_source_window.fat&amp;display_string=Audit&amp;DYN_ARGS=TRUE&amp;VAR:ID1=629749&amp;VAR:RCODE=FDSENTRPRVAL&amp;VAR:SDATE=37802&amp;VAR:FREQ=Daily&amp;VAR:RELITEM=&amp;VAR:CURRENCY=AUD&amp;VAR:CURRSOURCE=EX","SHARE&amp;VAR:NATFREQ=FSA&amp;VAR:RFIELD=FINALIZED&amp;VAR:DB_TYPE=&amp;VAR:UNITS=M&amp;window=popup&amp;width=450&amp;height=300&amp;START_MAXIMIZED=FALSE"}</definedName>
    <definedName name="_817__FDSAUDITLINK__" localSheetId="6" hidden="1">{"fdsup://Directions/FAT Viewer?action=UPDATE&amp;creator=factset&amp;DOC_NAME=fat:reuters_semi_source_window.fat&amp;display_string=Audit&amp;DYN_ARGS=TRUE&amp;VAR:ID1=629749&amp;VAR:RCODE=FDSENTRPRVAL&amp;VAR:SDATE=37802&amp;VAR:FREQ=Daily&amp;VAR:RELITEM=&amp;VAR:CURRENCY=AUD&amp;VAR:CURRSOURCE=EX","SHARE&amp;VAR:NATFREQ=FSA&amp;VAR:RFIELD=FINALIZED&amp;VAR:DB_TYPE=&amp;VAR:UNITS=M&amp;window=popup&amp;width=450&amp;height=300&amp;START_MAXIMIZED=FALSE"}</definedName>
    <definedName name="_817__FDSAUDITLINK__" hidden="1">{"fdsup://Directions/FAT Viewer?action=UPDATE&amp;creator=factset&amp;DOC_NAME=fat:reuters_semi_source_window.fat&amp;display_string=Audit&amp;DYN_ARGS=TRUE&amp;VAR:ID1=629749&amp;VAR:RCODE=FDSENTRPRVAL&amp;VAR:SDATE=37802&amp;VAR:FREQ=Daily&amp;VAR:RELITEM=&amp;VAR:CURRENCY=AUD&amp;VAR:CURRSOURCE=EX","SHARE&amp;VAR:NATFREQ=FSA&amp;VAR:RFIELD=FINALIZED&amp;VAR:DB_TYPE=&amp;VAR:UNITS=M&amp;window=popup&amp;width=450&amp;height=300&amp;START_MAXIMIZED=FALSE"}</definedName>
    <definedName name="_818__123Graph_LBL_CCHART_32" hidden="1">#REF!</definedName>
    <definedName name="_818__FDSAUDITLINK__" localSheetId="0" hidden="1">{"fdsup://Directions/FAT Viewer?action=UPDATE&amp;creator=factset&amp;DOC_NAME=fat:reuters_semi_source_window.fat&amp;display_string=Audit&amp;DYN_ARGS=TRUE&amp;VAR:ID1=629749&amp;VAR:RCODE=FDSENTRPRVAL&amp;VAR:SDATE=37894&amp;VAR:FREQ=Daily&amp;VAR:RELITEM=&amp;VAR:CURRENCY=AUD&amp;VAR:CURRSOURCE=EX","SHARE&amp;VAR:NATFREQ=FSA&amp;VAR:RFIELD=FINALIZED&amp;VAR:DB_TYPE=&amp;VAR:UNITS=M&amp;window=popup&amp;width=450&amp;height=300&amp;START_MAXIMIZED=FALSE"}</definedName>
    <definedName name="_818__FDSAUDITLINK__" localSheetId="6" hidden="1">{"fdsup://Directions/FAT Viewer?action=UPDATE&amp;creator=factset&amp;DOC_NAME=fat:reuters_semi_source_window.fat&amp;display_string=Audit&amp;DYN_ARGS=TRUE&amp;VAR:ID1=629749&amp;VAR:RCODE=FDSENTRPRVAL&amp;VAR:SDATE=37894&amp;VAR:FREQ=Daily&amp;VAR:RELITEM=&amp;VAR:CURRENCY=AUD&amp;VAR:CURRSOURCE=EX","SHARE&amp;VAR:NATFREQ=FSA&amp;VAR:RFIELD=FINALIZED&amp;VAR:DB_TYPE=&amp;VAR:UNITS=M&amp;window=popup&amp;width=450&amp;height=300&amp;START_MAXIMIZED=FALSE"}</definedName>
    <definedName name="_818__FDSAUDITLINK__" hidden="1">{"fdsup://Directions/FAT Viewer?action=UPDATE&amp;creator=factset&amp;DOC_NAME=fat:reuters_semi_source_window.fat&amp;display_string=Audit&amp;DYN_ARGS=TRUE&amp;VAR:ID1=629749&amp;VAR:RCODE=FDSENTRPRVAL&amp;VAR:SDATE=37894&amp;VAR:FREQ=Daily&amp;VAR:RELITEM=&amp;VAR:CURRENCY=AUD&amp;VAR:CURRSOURCE=EX","SHARE&amp;VAR:NATFREQ=FSA&amp;VAR:RFIELD=FINALIZED&amp;VAR:DB_TYPE=&amp;VAR:UNITS=M&amp;window=popup&amp;width=450&amp;height=300&amp;START_MAXIMIZED=FALSE"}</definedName>
    <definedName name="_819__FDSAUDITLINK__" localSheetId="0" hidden="1">{"fdsup://Directions/FAT Viewer?action=UPDATE&amp;creator=factset&amp;DOC_NAME=fat:reuters_semi_source_window.fat&amp;display_string=Audit&amp;DYN_ARGS=TRUE&amp;VAR:ID1=629749&amp;VAR:RCODE=FDSENTRPRVAL&amp;VAR:SDATE=37986&amp;VAR:FREQ=Daily&amp;VAR:RELITEM=&amp;VAR:CURRENCY=AUD&amp;VAR:CURRSOURCE=EX","SHARE&amp;VAR:NATFREQ=FSA&amp;VAR:RFIELD=FINALIZED&amp;VAR:DB_TYPE=&amp;VAR:UNITS=M&amp;window=popup&amp;width=450&amp;height=300&amp;START_MAXIMIZED=FALSE"}</definedName>
    <definedName name="_819__FDSAUDITLINK__" localSheetId="6" hidden="1">{"fdsup://Directions/FAT Viewer?action=UPDATE&amp;creator=factset&amp;DOC_NAME=fat:reuters_semi_source_window.fat&amp;display_string=Audit&amp;DYN_ARGS=TRUE&amp;VAR:ID1=629749&amp;VAR:RCODE=FDSENTRPRVAL&amp;VAR:SDATE=37986&amp;VAR:FREQ=Daily&amp;VAR:RELITEM=&amp;VAR:CURRENCY=AUD&amp;VAR:CURRSOURCE=EX","SHARE&amp;VAR:NATFREQ=FSA&amp;VAR:RFIELD=FINALIZED&amp;VAR:DB_TYPE=&amp;VAR:UNITS=M&amp;window=popup&amp;width=450&amp;height=300&amp;START_MAXIMIZED=FALSE"}</definedName>
    <definedName name="_819__FDSAUDITLINK__" hidden="1">{"fdsup://Directions/FAT Viewer?action=UPDATE&amp;creator=factset&amp;DOC_NAME=fat:reuters_semi_source_window.fat&amp;display_string=Audit&amp;DYN_ARGS=TRUE&amp;VAR:ID1=629749&amp;VAR:RCODE=FDSENTRPRVAL&amp;VAR:SDATE=37986&amp;VAR:FREQ=Daily&amp;VAR:RELITEM=&amp;VAR:CURRENCY=AUD&amp;VAR:CURRSOURCE=EX","SHARE&amp;VAR:NATFREQ=FSA&amp;VAR:RFIELD=FINALIZED&amp;VAR:DB_TYPE=&amp;VAR:UNITS=M&amp;window=popup&amp;width=450&amp;height=300&amp;START_MAXIMIZED=FALSE"}</definedName>
    <definedName name="_82__123Graph_ECHART_33" hidden="1">#REF!</definedName>
    <definedName name="_82__123Graph_LBL_ACHART_1" hidden="1">#REF!</definedName>
    <definedName name="_82__FDSAUDITLINK__" localSheetId="0" hidden="1">{"fdsup://directions/FAT Viewer?action=UPDATE&amp;creator=factSet&amp;DYN_ARGS=true&amp;DOC_NAME=FAT:RGA_ENTRPR_VAL_EV_SOURCE_WINDOW.FAT&amp;VAR:ID1=&amp;window=popup&amp;width=535&amp;height=425&amp;START_MAXIMIZED=FALSE&amp;Y=120"}</definedName>
    <definedName name="_82__FDSAUDITLINK__" localSheetId="6" hidden="1">{"fdsup://directions/FAT Viewer?action=UPDATE&amp;creator=factSet&amp;DYN_ARGS=true&amp;DOC_NAME=FAT:RGA_ENTRPR_VAL_EV_SOURCE_WINDOW.FAT&amp;VAR:ID1=&amp;window=popup&amp;width=535&amp;height=425&amp;START_MAXIMIZED=FALSE&amp;Y=120"}</definedName>
    <definedName name="_82__FDSAUDITLINK__" hidden="1">{"fdsup://directions/FAT Viewer?action=UPDATE&amp;creator=factSet&amp;DYN_ARGS=true&amp;DOC_NAME=FAT:RGA_ENTRPR_VAL_EV_SOURCE_WINDOW.FAT&amp;VAR:ID1=&amp;window=popup&amp;width=535&amp;height=425&amp;START_MAXIMIZED=FALSE&amp;Y=120"}</definedName>
    <definedName name="_820__FDSAUDITLINK__" localSheetId="0" hidden="1">{"fdsup://Directions/FAT Viewer?action=UPDATE&amp;creator=factset&amp;DOC_NAME=fat:reuters_semi_source_window.fat&amp;display_string=Audit&amp;DYN_ARGS=TRUE&amp;VAR:ID1=629749&amp;VAR:RCODE=FDSENTRPRVAL&amp;VAR:SDATE=38077&amp;VAR:FREQ=Daily&amp;VAR:RELITEM=&amp;VAR:CURRENCY=AUD&amp;VAR:CURRSOURCE=EX","SHARE&amp;VAR:NATFREQ=FSA&amp;VAR:RFIELD=FINALIZED&amp;VAR:DB_TYPE=&amp;VAR:UNITS=M&amp;window=popup&amp;width=450&amp;height=300&amp;START_MAXIMIZED=FALSE"}</definedName>
    <definedName name="_820__FDSAUDITLINK__" localSheetId="6" hidden="1">{"fdsup://Directions/FAT Viewer?action=UPDATE&amp;creator=factset&amp;DOC_NAME=fat:reuters_semi_source_window.fat&amp;display_string=Audit&amp;DYN_ARGS=TRUE&amp;VAR:ID1=629749&amp;VAR:RCODE=FDSENTRPRVAL&amp;VAR:SDATE=38077&amp;VAR:FREQ=Daily&amp;VAR:RELITEM=&amp;VAR:CURRENCY=AUD&amp;VAR:CURRSOURCE=EX","SHARE&amp;VAR:NATFREQ=FSA&amp;VAR:RFIELD=FINALIZED&amp;VAR:DB_TYPE=&amp;VAR:UNITS=M&amp;window=popup&amp;width=450&amp;height=300&amp;START_MAXIMIZED=FALSE"}</definedName>
    <definedName name="_820__FDSAUDITLINK__" hidden="1">{"fdsup://Directions/FAT Viewer?action=UPDATE&amp;creator=factset&amp;DOC_NAME=fat:reuters_semi_source_window.fat&amp;display_string=Audit&amp;DYN_ARGS=TRUE&amp;VAR:ID1=629749&amp;VAR:RCODE=FDSENTRPRVAL&amp;VAR:SDATE=38077&amp;VAR:FREQ=Daily&amp;VAR:RELITEM=&amp;VAR:CURRENCY=AUD&amp;VAR:CURRSOURCE=EX","SHARE&amp;VAR:NATFREQ=FSA&amp;VAR:RFIELD=FINALIZED&amp;VAR:DB_TYPE=&amp;VAR:UNITS=M&amp;window=popup&amp;width=450&amp;height=300&amp;START_MAXIMIZED=FALSE"}</definedName>
    <definedName name="_821__FDSAUDITLINK__" localSheetId="0" hidden="1">{"fdsup://Directions/FAT Viewer?action=UPDATE&amp;creator=factset&amp;DOC_NAME=fat:reuters_semi_source_window.fat&amp;display_string=Audit&amp;DYN_ARGS=TRUE&amp;VAR:ID1=629749&amp;VAR:RCODE=FDSENTRPRVAL&amp;VAR:SDATE=38168&amp;VAR:FREQ=Daily&amp;VAR:RELITEM=&amp;VAR:CURRENCY=AUD&amp;VAR:CURRSOURCE=EX","SHARE&amp;VAR:NATFREQ=FSA&amp;VAR:RFIELD=FINALIZED&amp;VAR:DB_TYPE=&amp;VAR:UNITS=M&amp;window=popup&amp;width=450&amp;height=300&amp;START_MAXIMIZED=FALSE"}</definedName>
    <definedName name="_821__FDSAUDITLINK__" localSheetId="6" hidden="1">{"fdsup://Directions/FAT Viewer?action=UPDATE&amp;creator=factset&amp;DOC_NAME=fat:reuters_semi_source_window.fat&amp;display_string=Audit&amp;DYN_ARGS=TRUE&amp;VAR:ID1=629749&amp;VAR:RCODE=FDSENTRPRVAL&amp;VAR:SDATE=38168&amp;VAR:FREQ=Daily&amp;VAR:RELITEM=&amp;VAR:CURRENCY=AUD&amp;VAR:CURRSOURCE=EX","SHARE&amp;VAR:NATFREQ=FSA&amp;VAR:RFIELD=FINALIZED&amp;VAR:DB_TYPE=&amp;VAR:UNITS=M&amp;window=popup&amp;width=450&amp;height=300&amp;START_MAXIMIZED=FALSE"}</definedName>
    <definedName name="_821__FDSAUDITLINK__" hidden="1">{"fdsup://Directions/FAT Viewer?action=UPDATE&amp;creator=factset&amp;DOC_NAME=fat:reuters_semi_source_window.fat&amp;display_string=Audit&amp;DYN_ARGS=TRUE&amp;VAR:ID1=629749&amp;VAR:RCODE=FDSENTRPRVAL&amp;VAR:SDATE=38168&amp;VAR:FREQ=Daily&amp;VAR:RELITEM=&amp;VAR:CURRENCY=AUD&amp;VAR:CURRSOURCE=EX","SHARE&amp;VAR:NATFREQ=FSA&amp;VAR:RFIELD=FINALIZED&amp;VAR:DB_TYPE=&amp;VAR:UNITS=M&amp;window=popup&amp;width=450&amp;height=300&amp;START_MAXIMIZED=FALSE"}</definedName>
    <definedName name="_822__FDSAUDITLINK__" localSheetId="0" hidden="1">{"fdsup://Directions/FAT Viewer?action=UPDATE&amp;creator=factset&amp;DOC_NAME=fat:reuters_semi_source_window.fat&amp;display_string=Audit&amp;DYN_ARGS=TRUE&amp;VAR:ID1=629749&amp;VAR:RCODE=FDSENTRPRVAL&amp;VAR:SDATE=38260&amp;VAR:FREQ=Daily&amp;VAR:RELITEM=&amp;VAR:CURRENCY=AUD&amp;VAR:CURRSOURCE=EX","SHARE&amp;VAR:NATFREQ=FSA&amp;VAR:RFIELD=FINALIZED&amp;VAR:DB_TYPE=&amp;VAR:UNITS=M&amp;window=popup&amp;width=450&amp;height=300&amp;START_MAXIMIZED=FALSE"}</definedName>
    <definedName name="_822__FDSAUDITLINK__" localSheetId="6" hidden="1">{"fdsup://Directions/FAT Viewer?action=UPDATE&amp;creator=factset&amp;DOC_NAME=fat:reuters_semi_source_window.fat&amp;display_string=Audit&amp;DYN_ARGS=TRUE&amp;VAR:ID1=629749&amp;VAR:RCODE=FDSENTRPRVAL&amp;VAR:SDATE=38260&amp;VAR:FREQ=Daily&amp;VAR:RELITEM=&amp;VAR:CURRENCY=AUD&amp;VAR:CURRSOURCE=EX","SHARE&amp;VAR:NATFREQ=FSA&amp;VAR:RFIELD=FINALIZED&amp;VAR:DB_TYPE=&amp;VAR:UNITS=M&amp;window=popup&amp;width=450&amp;height=300&amp;START_MAXIMIZED=FALSE"}</definedName>
    <definedName name="_822__FDSAUDITLINK__" hidden="1">{"fdsup://Directions/FAT Viewer?action=UPDATE&amp;creator=factset&amp;DOC_NAME=fat:reuters_semi_source_window.fat&amp;display_string=Audit&amp;DYN_ARGS=TRUE&amp;VAR:ID1=629749&amp;VAR:RCODE=FDSENTRPRVAL&amp;VAR:SDATE=38260&amp;VAR:FREQ=Daily&amp;VAR:RELITEM=&amp;VAR:CURRENCY=AUD&amp;VAR:CURRSOURCE=EX","SHARE&amp;VAR:NATFREQ=FSA&amp;VAR:RFIELD=FINALIZED&amp;VAR:DB_TYPE=&amp;VAR:UNITS=M&amp;window=popup&amp;width=450&amp;height=300&amp;START_MAXIMIZED=FALSE"}</definedName>
    <definedName name="_823__FDSAUDITLINK__" localSheetId="0" hidden="1">{"fdsup://Directions/FAT Viewer?action=UPDATE&amp;creator=factset&amp;DOC_NAME=fat:reuters_semi_source_window.fat&amp;display_string=Audit&amp;DYN_ARGS=TRUE&amp;VAR:ID1=629749&amp;VAR:RCODE=FDSENTRPRVAL&amp;VAR:SDATE=38352&amp;VAR:FREQ=Daily&amp;VAR:RELITEM=&amp;VAR:CURRENCY=AUD&amp;VAR:CURRSOURCE=EX","SHARE&amp;VAR:NATFREQ=FSA&amp;VAR:RFIELD=FINALIZED&amp;VAR:DB_TYPE=&amp;VAR:UNITS=M&amp;window=popup&amp;width=450&amp;height=300&amp;START_MAXIMIZED=FALSE"}</definedName>
    <definedName name="_823__FDSAUDITLINK__" localSheetId="6" hidden="1">{"fdsup://Directions/FAT Viewer?action=UPDATE&amp;creator=factset&amp;DOC_NAME=fat:reuters_semi_source_window.fat&amp;display_string=Audit&amp;DYN_ARGS=TRUE&amp;VAR:ID1=629749&amp;VAR:RCODE=FDSENTRPRVAL&amp;VAR:SDATE=38352&amp;VAR:FREQ=Daily&amp;VAR:RELITEM=&amp;VAR:CURRENCY=AUD&amp;VAR:CURRSOURCE=EX","SHARE&amp;VAR:NATFREQ=FSA&amp;VAR:RFIELD=FINALIZED&amp;VAR:DB_TYPE=&amp;VAR:UNITS=M&amp;window=popup&amp;width=450&amp;height=300&amp;START_MAXIMIZED=FALSE"}</definedName>
    <definedName name="_823__FDSAUDITLINK__" hidden="1">{"fdsup://Directions/FAT Viewer?action=UPDATE&amp;creator=factset&amp;DOC_NAME=fat:reuters_semi_source_window.fat&amp;display_string=Audit&amp;DYN_ARGS=TRUE&amp;VAR:ID1=629749&amp;VAR:RCODE=FDSENTRPRVAL&amp;VAR:SDATE=38352&amp;VAR:FREQ=Daily&amp;VAR:RELITEM=&amp;VAR:CURRENCY=AUD&amp;VAR:CURRSOURCE=EX","SHARE&amp;VAR:NATFREQ=FSA&amp;VAR:RFIELD=FINALIZED&amp;VAR:DB_TYPE=&amp;VAR:UNITS=M&amp;window=popup&amp;width=450&amp;height=300&amp;START_MAXIMIZED=FALSE"}</definedName>
    <definedName name="_824__FDSAUDITLINK__" localSheetId="0" hidden="1">{"fdsup://Directions/FAT Viewer?action=UPDATE&amp;creator=factset&amp;DOC_NAME=fat:reuters_semi_source_window.fat&amp;display_string=Audit&amp;DYN_ARGS=TRUE&amp;VAR:ID1=629749&amp;VAR:RCODE=FDSENTRPRVAL&amp;VAR:SDATE=38442&amp;VAR:FREQ=Daily&amp;VAR:RELITEM=&amp;VAR:CURRENCY=AUD&amp;VAR:CURRSOURCE=EX","SHARE&amp;VAR:NATFREQ=FSA&amp;VAR:RFIELD=FINALIZED&amp;VAR:DB_TYPE=&amp;VAR:UNITS=M&amp;window=popup&amp;width=450&amp;height=300&amp;START_MAXIMIZED=FALSE"}</definedName>
    <definedName name="_824__FDSAUDITLINK__" localSheetId="6" hidden="1">{"fdsup://Directions/FAT Viewer?action=UPDATE&amp;creator=factset&amp;DOC_NAME=fat:reuters_semi_source_window.fat&amp;display_string=Audit&amp;DYN_ARGS=TRUE&amp;VAR:ID1=629749&amp;VAR:RCODE=FDSENTRPRVAL&amp;VAR:SDATE=38442&amp;VAR:FREQ=Daily&amp;VAR:RELITEM=&amp;VAR:CURRENCY=AUD&amp;VAR:CURRSOURCE=EX","SHARE&amp;VAR:NATFREQ=FSA&amp;VAR:RFIELD=FINALIZED&amp;VAR:DB_TYPE=&amp;VAR:UNITS=M&amp;window=popup&amp;width=450&amp;height=300&amp;START_MAXIMIZED=FALSE"}</definedName>
    <definedName name="_824__FDSAUDITLINK__" hidden="1">{"fdsup://Directions/FAT Viewer?action=UPDATE&amp;creator=factset&amp;DOC_NAME=fat:reuters_semi_source_window.fat&amp;display_string=Audit&amp;DYN_ARGS=TRUE&amp;VAR:ID1=629749&amp;VAR:RCODE=FDSENTRPRVAL&amp;VAR:SDATE=38442&amp;VAR:FREQ=Daily&amp;VAR:RELITEM=&amp;VAR:CURRENCY=AUD&amp;VAR:CURRSOURCE=EX","SHARE&amp;VAR:NATFREQ=FSA&amp;VAR:RFIELD=FINALIZED&amp;VAR:DB_TYPE=&amp;VAR:UNITS=M&amp;window=popup&amp;width=450&amp;height=300&amp;START_MAXIMIZED=FALSE"}</definedName>
    <definedName name="_825__FDSAUDITLINK__" localSheetId="0" hidden="1">{"fdsup://Directions/FAT Viewer?action=UPDATE&amp;creator=factset&amp;DOC_NAME=fat:reuters_semi_source_window.fat&amp;display_string=Audit&amp;DYN_ARGS=TRUE&amp;VAR:ID1=629749&amp;VAR:RCODE=FDSENTRPRVAL&amp;VAR:SDATE=38533&amp;VAR:FREQ=Daily&amp;VAR:RELITEM=&amp;VAR:CURRENCY=AUD&amp;VAR:CURRSOURCE=EX","SHARE&amp;VAR:NATFREQ=FSA&amp;VAR:RFIELD=FINALIZED&amp;VAR:DB_TYPE=&amp;VAR:UNITS=M&amp;window=popup&amp;width=450&amp;height=300&amp;START_MAXIMIZED=FALSE"}</definedName>
    <definedName name="_825__FDSAUDITLINK__" localSheetId="6" hidden="1">{"fdsup://Directions/FAT Viewer?action=UPDATE&amp;creator=factset&amp;DOC_NAME=fat:reuters_semi_source_window.fat&amp;display_string=Audit&amp;DYN_ARGS=TRUE&amp;VAR:ID1=629749&amp;VAR:RCODE=FDSENTRPRVAL&amp;VAR:SDATE=38533&amp;VAR:FREQ=Daily&amp;VAR:RELITEM=&amp;VAR:CURRENCY=AUD&amp;VAR:CURRSOURCE=EX","SHARE&amp;VAR:NATFREQ=FSA&amp;VAR:RFIELD=FINALIZED&amp;VAR:DB_TYPE=&amp;VAR:UNITS=M&amp;window=popup&amp;width=450&amp;height=300&amp;START_MAXIMIZED=FALSE"}</definedName>
    <definedName name="_825__FDSAUDITLINK__" hidden="1">{"fdsup://Directions/FAT Viewer?action=UPDATE&amp;creator=factset&amp;DOC_NAME=fat:reuters_semi_source_window.fat&amp;display_string=Audit&amp;DYN_ARGS=TRUE&amp;VAR:ID1=629749&amp;VAR:RCODE=FDSENTRPRVAL&amp;VAR:SDATE=38533&amp;VAR:FREQ=Daily&amp;VAR:RELITEM=&amp;VAR:CURRENCY=AUD&amp;VAR:CURRSOURCE=EX","SHARE&amp;VAR:NATFREQ=FSA&amp;VAR:RFIELD=FINALIZED&amp;VAR:DB_TYPE=&amp;VAR:UNITS=M&amp;window=popup&amp;width=450&amp;height=300&amp;START_MAXIMIZED=FALSE"}</definedName>
    <definedName name="_826__FDSAUDITLINK__" localSheetId="0" hidden="1">{"fdsup://Directions/FAT Viewer?action=UPDATE&amp;creator=factset&amp;DOC_NAME=fat:reuters_semi_source_window.fat&amp;display_string=Audit&amp;DYN_ARGS=TRUE&amp;VAR:ID1=629749&amp;VAR:RCODE=FDSENTRPRVAL&amp;VAR:SDATE=38625&amp;VAR:FREQ=Daily&amp;VAR:RELITEM=&amp;VAR:CURRENCY=AUD&amp;VAR:CURRSOURCE=EX","SHARE&amp;VAR:NATFREQ=FSA&amp;VAR:RFIELD=FINALIZED&amp;VAR:DB_TYPE=&amp;VAR:UNITS=M&amp;window=popup&amp;width=450&amp;height=300&amp;START_MAXIMIZED=FALSE"}</definedName>
    <definedName name="_826__FDSAUDITLINK__" localSheetId="6" hidden="1">{"fdsup://Directions/FAT Viewer?action=UPDATE&amp;creator=factset&amp;DOC_NAME=fat:reuters_semi_source_window.fat&amp;display_string=Audit&amp;DYN_ARGS=TRUE&amp;VAR:ID1=629749&amp;VAR:RCODE=FDSENTRPRVAL&amp;VAR:SDATE=38625&amp;VAR:FREQ=Daily&amp;VAR:RELITEM=&amp;VAR:CURRENCY=AUD&amp;VAR:CURRSOURCE=EX","SHARE&amp;VAR:NATFREQ=FSA&amp;VAR:RFIELD=FINALIZED&amp;VAR:DB_TYPE=&amp;VAR:UNITS=M&amp;window=popup&amp;width=450&amp;height=300&amp;START_MAXIMIZED=FALSE"}</definedName>
    <definedName name="_826__FDSAUDITLINK__" hidden="1">{"fdsup://Directions/FAT Viewer?action=UPDATE&amp;creator=factset&amp;DOC_NAME=fat:reuters_semi_source_window.fat&amp;display_string=Audit&amp;DYN_ARGS=TRUE&amp;VAR:ID1=629749&amp;VAR:RCODE=FDSENTRPRVAL&amp;VAR:SDATE=38625&amp;VAR:FREQ=Daily&amp;VAR:RELITEM=&amp;VAR:CURRENCY=AUD&amp;VAR:CURRSOURCE=EX","SHARE&amp;VAR:NATFREQ=FSA&amp;VAR:RFIELD=FINALIZED&amp;VAR:DB_TYPE=&amp;VAR:UNITS=M&amp;window=popup&amp;width=450&amp;height=300&amp;START_MAXIMIZED=FALSE"}</definedName>
    <definedName name="_827__FDSAUDITLINK__" localSheetId="0" hidden="1">{"fdsup://Directions/FAT Viewer?action=UPDATE&amp;creator=factset&amp;DOC_NAME=fat:reuters_semi_source_window.fat&amp;display_string=Audit&amp;DYN_ARGS=TRUE&amp;VAR:ID1=629749&amp;VAR:RCODE=FDSENTRPRVAL&amp;VAR:SDATE=38717&amp;VAR:FREQ=Daily&amp;VAR:RELITEM=&amp;VAR:CURRENCY=AUD&amp;VAR:CURRSOURCE=EX","SHARE&amp;VAR:NATFREQ=FSA&amp;VAR:RFIELD=FINALIZED&amp;VAR:DB_TYPE=&amp;VAR:UNITS=M&amp;window=popup&amp;width=450&amp;height=300&amp;START_MAXIMIZED=FALSE"}</definedName>
    <definedName name="_827__FDSAUDITLINK__" localSheetId="6" hidden="1">{"fdsup://Directions/FAT Viewer?action=UPDATE&amp;creator=factset&amp;DOC_NAME=fat:reuters_semi_source_window.fat&amp;display_string=Audit&amp;DYN_ARGS=TRUE&amp;VAR:ID1=629749&amp;VAR:RCODE=FDSENTRPRVAL&amp;VAR:SDATE=38717&amp;VAR:FREQ=Daily&amp;VAR:RELITEM=&amp;VAR:CURRENCY=AUD&amp;VAR:CURRSOURCE=EX","SHARE&amp;VAR:NATFREQ=FSA&amp;VAR:RFIELD=FINALIZED&amp;VAR:DB_TYPE=&amp;VAR:UNITS=M&amp;window=popup&amp;width=450&amp;height=300&amp;START_MAXIMIZED=FALSE"}</definedName>
    <definedName name="_827__FDSAUDITLINK__" hidden="1">{"fdsup://Directions/FAT Viewer?action=UPDATE&amp;creator=factset&amp;DOC_NAME=fat:reuters_semi_source_window.fat&amp;display_string=Audit&amp;DYN_ARGS=TRUE&amp;VAR:ID1=629749&amp;VAR:RCODE=FDSENTRPRVAL&amp;VAR:SDATE=38717&amp;VAR:FREQ=Daily&amp;VAR:RELITEM=&amp;VAR:CURRENCY=AUD&amp;VAR:CURRSOURCE=EX","SHARE&amp;VAR:NATFREQ=FSA&amp;VAR:RFIELD=FINALIZED&amp;VAR:DB_TYPE=&amp;VAR:UNITS=M&amp;window=popup&amp;width=450&amp;height=300&amp;START_MAXIMIZED=FALSE"}</definedName>
    <definedName name="_828__FDSAUDITLINK__" localSheetId="0" hidden="1">{"fdsup://Directions/FAT Viewer?action=UPDATE&amp;creator=factset&amp;DOC_NAME=fat:reuters_semi_source_window.fat&amp;display_string=Audit&amp;DYN_ARGS=TRUE&amp;VAR:ID1=629749&amp;VAR:RCODE=FDSENTRPRVAL&amp;VAR:SDATE=38807&amp;VAR:FREQ=Daily&amp;VAR:RELITEM=&amp;VAR:CURRENCY=AUD&amp;VAR:CURRSOURCE=EX","SHARE&amp;VAR:NATFREQ=FSA&amp;VAR:RFIELD=FINALIZED&amp;VAR:DB_TYPE=&amp;VAR:UNITS=M&amp;window=popup&amp;width=450&amp;height=300&amp;START_MAXIMIZED=FALSE"}</definedName>
    <definedName name="_828__FDSAUDITLINK__" localSheetId="6" hidden="1">{"fdsup://Directions/FAT Viewer?action=UPDATE&amp;creator=factset&amp;DOC_NAME=fat:reuters_semi_source_window.fat&amp;display_string=Audit&amp;DYN_ARGS=TRUE&amp;VAR:ID1=629749&amp;VAR:RCODE=FDSENTRPRVAL&amp;VAR:SDATE=38807&amp;VAR:FREQ=Daily&amp;VAR:RELITEM=&amp;VAR:CURRENCY=AUD&amp;VAR:CURRSOURCE=EX","SHARE&amp;VAR:NATFREQ=FSA&amp;VAR:RFIELD=FINALIZED&amp;VAR:DB_TYPE=&amp;VAR:UNITS=M&amp;window=popup&amp;width=450&amp;height=300&amp;START_MAXIMIZED=FALSE"}</definedName>
    <definedName name="_828__FDSAUDITLINK__" hidden="1">{"fdsup://Directions/FAT Viewer?action=UPDATE&amp;creator=factset&amp;DOC_NAME=fat:reuters_semi_source_window.fat&amp;display_string=Audit&amp;DYN_ARGS=TRUE&amp;VAR:ID1=629749&amp;VAR:RCODE=FDSENTRPRVAL&amp;VAR:SDATE=38807&amp;VAR:FREQ=Daily&amp;VAR:RELITEM=&amp;VAR:CURRENCY=AUD&amp;VAR:CURRSOURCE=EX","SHARE&amp;VAR:NATFREQ=FSA&amp;VAR:RFIELD=FINALIZED&amp;VAR:DB_TYPE=&amp;VAR:UNITS=M&amp;window=popup&amp;width=450&amp;height=300&amp;START_MAXIMIZED=FALSE"}</definedName>
    <definedName name="_829__FDSAUDITLINK__" localSheetId="0" hidden="1">{"fdsup://Directions/FAT Viewer?action=UPDATE&amp;creator=factset&amp;DOC_NAME=fat:reuters_semi_source_window.fat&amp;display_string=Audit&amp;DYN_ARGS=TRUE&amp;VAR:ID1=629749&amp;VAR:RCODE=FDSENTRPRVAL&amp;VAR:SDATE=38898&amp;VAR:FREQ=Daily&amp;VAR:RELITEM=&amp;VAR:CURRENCY=AUD&amp;VAR:CURRSOURCE=EX","SHARE&amp;VAR:NATFREQ=FSA&amp;VAR:RFIELD=FINALIZED&amp;VAR:DB_TYPE=&amp;VAR:UNITS=M&amp;window=popup&amp;width=450&amp;height=300&amp;START_MAXIMIZED=FALSE"}</definedName>
    <definedName name="_829__FDSAUDITLINK__" localSheetId="6" hidden="1">{"fdsup://Directions/FAT Viewer?action=UPDATE&amp;creator=factset&amp;DOC_NAME=fat:reuters_semi_source_window.fat&amp;display_string=Audit&amp;DYN_ARGS=TRUE&amp;VAR:ID1=629749&amp;VAR:RCODE=FDSENTRPRVAL&amp;VAR:SDATE=38898&amp;VAR:FREQ=Daily&amp;VAR:RELITEM=&amp;VAR:CURRENCY=AUD&amp;VAR:CURRSOURCE=EX","SHARE&amp;VAR:NATFREQ=FSA&amp;VAR:RFIELD=FINALIZED&amp;VAR:DB_TYPE=&amp;VAR:UNITS=M&amp;window=popup&amp;width=450&amp;height=300&amp;START_MAXIMIZED=FALSE"}</definedName>
    <definedName name="_829__FDSAUDITLINK__" hidden="1">{"fdsup://Directions/FAT Viewer?action=UPDATE&amp;creator=factset&amp;DOC_NAME=fat:reuters_semi_source_window.fat&amp;display_string=Audit&amp;DYN_ARGS=TRUE&amp;VAR:ID1=629749&amp;VAR:RCODE=FDSENTRPRVAL&amp;VAR:SDATE=38898&amp;VAR:FREQ=Daily&amp;VAR:RELITEM=&amp;VAR:CURRENCY=AUD&amp;VAR:CURRSOURCE=EX","SHARE&amp;VAR:NATFREQ=FSA&amp;VAR:RFIELD=FINALIZED&amp;VAR:DB_TYPE=&amp;VAR:UNITS=M&amp;window=popup&amp;width=450&amp;height=300&amp;START_MAXIMIZED=FALSE"}</definedName>
    <definedName name="_83__123Graph_ECHART_34" hidden="1">#REF!</definedName>
    <definedName name="_83__FDSAUDITLINK__" localSheetId="0" hidden="1">{"fdsup://directions/FAT Viewer?action=UPDATE&amp;creator=factSet&amp;DYN_ARGS=true&amp;DOC_NAME=FAT:RGA_ENTRPR_VAL_EV_SOURCE_WINDOW.FAT&amp;VAR:ID1=ORC-SE&amp;window=popup&amp;width=535&amp;height=425&amp;START_MAXIMIZED=FALSE&amp;Y=120"}</definedName>
    <definedName name="_83__FDSAUDITLINK__" localSheetId="6" hidden="1">{"fdsup://directions/FAT Viewer?action=UPDATE&amp;creator=factSet&amp;DYN_ARGS=true&amp;DOC_NAME=FAT:RGA_ENTRPR_VAL_EV_SOURCE_WINDOW.FAT&amp;VAR:ID1=ORC-SE&amp;window=popup&amp;width=535&amp;height=425&amp;START_MAXIMIZED=FALSE&amp;Y=120"}</definedName>
    <definedName name="_83__FDSAUDITLINK__" hidden="1">{"fdsup://directions/FAT Viewer?action=UPDATE&amp;creator=factSet&amp;DYN_ARGS=true&amp;DOC_NAME=FAT:RGA_ENTRPR_VAL_EV_SOURCE_WINDOW.FAT&amp;VAR:ID1=ORC-SE&amp;window=popup&amp;width=535&amp;height=425&amp;START_MAXIMIZED=FALSE&amp;Y=120"}</definedName>
    <definedName name="_830__FDSAUDITLINK__" localSheetId="0" hidden="1">{"fdsup://Directions/FAT Viewer?action=UPDATE&amp;creator=factset&amp;DOC_NAME=fat:reuters_semi_source_window.fat&amp;display_string=Audit&amp;DYN_ARGS=TRUE&amp;VAR:ID1=629749&amp;VAR:RCODE=FDSENTRPRVAL&amp;VAR:SDATE=38990&amp;VAR:FREQ=Daily&amp;VAR:RELITEM=&amp;VAR:CURRENCY=AUD&amp;VAR:CURRSOURCE=EX","SHARE&amp;VAR:NATFREQ=FSA&amp;VAR:RFIELD=FINALIZED&amp;VAR:DB_TYPE=&amp;VAR:UNITS=M&amp;window=popup&amp;width=450&amp;height=300&amp;START_MAXIMIZED=FALSE"}</definedName>
    <definedName name="_830__FDSAUDITLINK__" localSheetId="6" hidden="1">{"fdsup://Directions/FAT Viewer?action=UPDATE&amp;creator=factset&amp;DOC_NAME=fat:reuters_semi_source_window.fat&amp;display_string=Audit&amp;DYN_ARGS=TRUE&amp;VAR:ID1=629749&amp;VAR:RCODE=FDSENTRPRVAL&amp;VAR:SDATE=38990&amp;VAR:FREQ=Daily&amp;VAR:RELITEM=&amp;VAR:CURRENCY=AUD&amp;VAR:CURRSOURCE=EX","SHARE&amp;VAR:NATFREQ=FSA&amp;VAR:RFIELD=FINALIZED&amp;VAR:DB_TYPE=&amp;VAR:UNITS=M&amp;window=popup&amp;width=450&amp;height=300&amp;START_MAXIMIZED=FALSE"}</definedName>
    <definedName name="_830__FDSAUDITLINK__" hidden="1">{"fdsup://Directions/FAT Viewer?action=UPDATE&amp;creator=factset&amp;DOC_NAME=fat:reuters_semi_source_window.fat&amp;display_string=Audit&amp;DYN_ARGS=TRUE&amp;VAR:ID1=629749&amp;VAR:RCODE=FDSENTRPRVAL&amp;VAR:SDATE=38990&amp;VAR:FREQ=Daily&amp;VAR:RELITEM=&amp;VAR:CURRENCY=AUD&amp;VAR:CURRSOURCE=EX","SHARE&amp;VAR:NATFREQ=FSA&amp;VAR:RFIELD=FINALIZED&amp;VAR:DB_TYPE=&amp;VAR:UNITS=M&amp;window=popup&amp;width=450&amp;height=300&amp;START_MAXIMIZED=FALSE"}</definedName>
    <definedName name="_831__123Graph_LBL_CCHART_34" hidden="1">#REF!</definedName>
    <definedName name="_831__FDSAUDITLINK__" localSheetId="0" hidden="1">{"fdsup://Directions/FAT Viewer?action=UPDATE&amp;creator=factset&amp;DOC_NAME=fat:reuters_semi_source_window.fat&amp;display_string=Audit&amp;DYN_ARGS=TRUE&amp;VAR:ID1=629749&amp;VAR:RCODE=FDSENTRPRVAL&amp;VAR:SDATE=39082&amp;VAR:FREQ=Daily&amp;VAR:RELITEM=&amp;VAR:CURRENCY=AUD&amp;VAR:CURRSOURCE=EX","SHARE&amp;VAR:NATFREQ=FSA&amp;VAR:RFIELD=FINALIZED&amp;VAR:DB_TYPE=&amp;VAR:UNITS=M&amp;window=popup&amp;width=450&amp;height=300&amp;START_MAXIMIZED=FALSE"}</definedName>
    <definedName name="_831__FDSAUDITLINK__" localSheetId="6" hidden="1">{"fdsup://Directions/FAT Viewer?action=UPDATE&amp;creator=factset&amp;DOC_NAME=fat:reuters_semi_source_window.fat&amp;display_string=Audit&amp;DYN_ARGS=TRUE&amp;VAR:ID1=629749&amp;VAR:RCODE=FDSENTRPRVAL&amp;VAR:SDATE=39082&amp;VAR:FREQ=Daily&amp;VAR:RELITEM=&amp;VAR:CURRENCY=AUD&amp;VAR:CURRSOURCE=EX","SHARE&amp;VAR:NATFREQ=FSA&amp;VAR:RFIELD=FINALIZED&amp;VAR:DB_TYPE=&amp;VAR:UNITS=M&amp;window=popup&amp;width=450&amp;height=300&amp;START_MAXIMIZED=FALSE"}</definedName>
    <definedName name="_831__FDSAUDITLINK__" hidden="1">{"fdsup://Directions/FAT Viewer?action=UPDATE&amp;creator=factset&amp;DOC_NAME=fat:reuters_semi_source_window.fat&amp;display_string=Audit&amp;DYN_ARGS=TRUE&amp;VAR:ID1=629749&amp;VAR:RCODE=FDSENTRPRVAL&amp;VAR:SDATE=39082&amp;VAR:FREQ=Daily&amp;VAR:RELITEM=&amp;VAR:CURRENCY=AUD&amp;VAR:CURRSOURCE=EX","SHARE&amp;VAR:NATFREQ=FSA&amp;VAR:RFIELD=FINALIZED&amp;VAR:DB_TYPE=&amp;VAR:UNITS=M&amp;window=popup&amp;width=450&amp;height=300&amp;START_MAXIMIZED=FALSE"}</definedName>
    <definedName name="_832__FDSAUDITLINK__" localSheetId="0" hidden="1">{"fdsup://Directions/FAT Viewer?action=UPDATE&amp;creator=factset&amp;DOC_NAME=fat:reuters_semi_source_window.fat&amp;display_string=Audit&amp;DYN_ARGS=TRUE&amp;VAR:ID1=629749&amp;VAR:RCODE=FDSENTRPRVAL&amp;VAR:SDATE=39172&amp;VAR:FREQ=Daily&amp;VAR:RELITEM=&amp;VAR:CURRENCY=AUD&amp;VAR:CURRSOURCE=EX","SHARE&amp;VAR:NATFREQ=FSA&amp;VAR:RFIELD=FINALIZED&amp;VAR:DB_TYPE=&amp;VAR:UNITS=M&amp;window=popup&amp;width=450&amp;height=300&amp;START_MAXIMIZED=FALSE"}</definedName>
    <definedName name="_832__FDSAUDITLINK__" localSheetId="6" hidden="1">{"fdsup://Directions/FAT Viewer?action=UPDATE&amp;creator=factset&amp;DOC_NAME=fat:reuters_semi_source_window.fat&amp;display_string=Audit&amp;DYN_ARGS=TRUE&amp;VAR:ID1=629749&amp;VAR:RCODE=FDSENTRPRVAL&amp;VAR:SDATE=39172&amp;VAR:FREQ=Daily&amp;VAR:RELITEM=&amp;VAR:CURRENCY=AUD&amp;VAR:CURRSOURCE=EX","SHARE&amp;VAR:NATFREQ=FSA&amp;VAR:RFIELD=FINALIZED&amp;VAR:DB_TYPE=&amp;VAR:UNITS=M&amp;window=popup&amp;width=450&amp;height=300&amp;START_MAXIMIZED=FALSE"}</definedName>
    <definedName name="_832__FDSAUDITLINK__" hidden="1">{"fdsup://Directions/FAT Viewer?action=UPDATE&amp;creator=factset&amp;DOC_NAME=fat:reuters_semi_source_window.fat&amp;display_string=Audit&amp;DYN_ARGS=TRUE&amp;VAR:ID1=629749&amp;VAR:RCODE=FDSENTRPRVAL&amp;VAR:SDATE=39172&amp;VAR:FREQ=Daily&amp;VAR:RELITEM=&amp;VAR:CURRENCY=AUD&amp;VAR:CURRSOURCE=EX","SHARE&amp;VAR:NATFREQ=FSA&amp;VAR:RFIELD=FINALIZED&amp;VAR:DB_TYPE=&amp;VAR:UNITS=M&amp;window=popup&amp;width=450&amp;height=300&amp;START_MAXIMIZED=FALSE"}</definedName>
    <definedName name="_833__FDSAUDITLINK__" localSheetId="0" hidden="1">{"fdsup://Directions/FAT Viewer?action=UPDATE&amp;creator=factset&amp;DOC_NAME=fat:reuters_semi_source_window.fat&amp;display_string=Audit&amp;DYN_ARGS=TRUE&amp;VAR:ID1=629749&amp;VAR:RCODE=FDSENTRPRVAL&amp;VAR:SDATE=39263&amp;VAR:FREQ=Daily&amp;VAR:RELITEM=&amp;VAR:CURRENCY=AUD&amp;VAR:CURRSOURCE=EX","SHARE&amp;VAR:NATFREQ=FSA&amp;VAR:RFIELD=FINALIZED&amp;VAR:DB_TYPE=&amp;VAR:UNITS=M&amp;window=popup&amp;width=450&amp;height=300&amp;START_MAXIMIZED=FALSE"}</definedName>
    <definedName name="_833__FDSAUDITLINK__" localSheetId="6" hidden="1">{"fdsup://Directions/FAT Viewer?action=UPDATE&amp;creator=factset&amp;DOC_NAME=fat:reuters_semi_source_window.fat&amp;display_string=Audit&amp;DYN_ARGS=TRUE&amp;VAR:ID1=629749&amp;VAR:RCODE=FDSENTRPRVAL&amp;VAR:SDATE=39263&amp;VAR:FREQ=Daily&amp;VAR:RELITEM=&amp;VAR:CURRENCY=AUD&amp;VAR:CURRSOURCE=EX","SHARE&amp;VAR:NATFREQ=FSA&amp;VAR:RFIELD=FINALIZED&amp;VAR:DB_TYPE=&amp;VAR:UNITS=M&amp;window=popup&amp;width=450&amp;height=300&amp;START_MAXIMIZED=FALSE"}</definedName>
    <definedName name="_833__FDSAUDITLINK__" hidden="1">{"fdsup://Directions/FAT Viewer?action=UPDATE&amp;creator=factset&amp;DOC_NAME=fat:reuters_semi_source_window.fat&amp;display_string=Audit&amp;DYN_ARGS=TRUE&amp;VAR:ID1=629749&amp;VAR:RCODE=FDSENTRPRVAL&amp;VAR:SDATE=39263&amp;VAR:FREQ=Daily&amp;VAR:RELITEM=&amp;VAR:CURRENCY=AUD&amp;VAR:CURRSOURCE=EX","SHARE&amp;VAR:NATFREQ=FSA&amp;VAR:RFIELD=FINALIZED&amp;VAR:DB_TYPE=&amp;VAR:UNITS=M&amp;window=popup&amp;width=450&amp;height=300&amp;START_MAXIMIZED=FALSE"}</definedName>
    <definedName name="_834__FDSAUDITLINK__" localSheetId="0" hidden="1">{"fdsup://Directions/FAT Viewer?action=UPDATE&amp;creator=factset&amp;DOC_NAME=fat:reuters_semi_source_window.fat&amp;display_string=Audit&amp;DYN_ARGS=TRUE&amp;VAR:ID1=629749&amp;VAR:RCODE=FDSENTRPRVAL&amp;VAR:SDATE=39355&amp;VAR:FREQ=Daily&amp;VAR:RELITEM=&amp;VAR:CURRENCY=AUD&amp;VAR:CURRSOURCE=EX","SHARE&amp;VAR:NATFREQ=FSA&amp;VAR:RFIELD=FINALIZED&amp;VAR:DB_TYPE=&amp;VAR:UNITS=M&amp;window=popup&amp;width=450&amp;height=300&amp;START_MAXIMIZED=FALSE"}</definedName>
    <definedName name="_834__FDSAUDITLINK__" localSheetId="6" hidden="1">{"fdsup://Directions/FAT Viewer?action=UPDATE&amp;creator=factset&amp;DOC_NAME=fat:reuters_semi_source_window.fat&amp;display_string=Audit&amp;DYN_ARGS=TRUE&amp;VAR:ID1=629749&amp;VAR:RCODE=FDSENTRPRVAL&amp;VAR:SDATE=39355&amp;VAR:FREQ=Daily&amp;VAR:RELITEM=&amp;VAR:CURRENCY=AUD&amp;VAR:CURRSOURCE=EX","SHARE&amp;VAR:NATFREQ=FSA&amp;VAR:RFIELD=FINALIZED&amp;VAR:DB_TYPE=&amp;VAR:UNITS=M&amp;window=popup&amp;width=450&amp;height=300&amp;START_MAXIMIZED=FALSE"}</definedName>
    <definedName name="_834__FDSAUDITLINK__" hidden="1">{"fdsup://Directions/FAT Viewer?action=UPDATE&amp;creator=factset&amp;DOC_NAME=fat:reuters_semi_source_window.fat&amp;display_string=Audit&amp;DYN_ARGS=TRUE&amp;VAR:ID1=629749&amp;VAR:RCODE=FDSENTRPRVAL&amp;VAR:SDATE=39355&amp;VAR:FREQ=Daily&amp;VAR:RELITEM=&amp;VAR:CURRENCY=AUD&amp;VAR:CURRSOURCE=EX","SHARE&amp;VAR:NATFREQ=FSA&amp;VAR:RFIELD=FINALIZED&amp;VAR:DB_TYPE=&amp;VAR:UNITS=M&amp;window=popup&amp;width=450&amp;height=300&amp;START_MAXIMIZED=FALSE"}</definedName>
    <definedName name="_835__FDSAUDITLINK__" localSheetId="0" hidden="1">{"fdsup://Directions/FAT Viewer?action=UPDATE&amp;creator=factset&amp;DOC_NAME=fat:reuters_semi_source_window.fat&amp;display_string=Audit&amp;DYN_ARGS=TRUE&amp;VAR:ID1=629749&amp;VAR:RCODE=FDSENTRPRVAL&amp;VAR:SDATE=39447&amp;VAR:FREQ=Daily&amp;VAR:RELITEM=&amp;VAR:CURRENCY=AUD&amp;VAR:CURRSOURCE=EX","SHARE&amp;VAR:NATFREQ=FSA&amp;VAR:RFIELD=FINALIZED&amp;VAR:DB_TYPE=&amp;VAR:UNITS=M&amp;window=popup&amp;width=450&amp;height=300&amp;START_MAXIMIZED=FALSE"}</definedName>
    <definedName name="_835__FDSAUDITLINK__" localSheetId="6" hidden="1">{"fdsup://Directions/FAT Viewer?action=UPDATE&amp;creator=factset&amp;DOC_NAME=fat:reuters_semi_source_window.fat&amp;display_string=Audit&amp;DYN_ARGS=TRUE&amp;VAR:ID1=629749&amp;VAR:RCODE=FDSENTRPRVAL&amp;VAR:SDATE=39447&amp;VAR:FREQ=Daily&amp;VAR:RELITEM=&amp;VAR:CURRENCY=AUD&amp;VAR:CURRSOURCE=EX","SHARE&amp;VAR:NATFREQ=FSA&amp;VAR:RFIELD=FINALIZED&amp;VAR:DB_TYPE=&amp;VAR:UNITS=M&amp;window=popup&amp;width=450&amp;height=300&amp;START_MAXIMIZED=FALSE"}</definedName>
    <definedName name="_835__FDSAUDITLINK__" hidden="1">{"fdsup://Directions/FAT Viewer?action=UPDATE&amp;creator=factset&amp;DOC_NAME=fat:reuters_semi_source_window.fat&amp;display_string=Audit&amp;DYN_ARGS=TRUE&amp;VAR:ID1=629749&amp;VAR:RCODE=FDSENTRPRVAL&amp;VAR:SDATE=39447&amp;VAR:FREQ=Daily&amp;VAR:RELITEM=&amp;VAR:CURRENCY=AUD&amp;VAR:CURRSOURCE=EX","SHARE&amp;VAR:NATFREQ=FSA&amp;VAR:RFIELD=FINALIZED&amp;VAR:DB_TYPE=&amp;VAR:UNITS=M&amp;window=popup&amp;width=450&amp;height=300&amp;START_MAXIMIZED=FALSE"}</definedName>
    <definedName name="_836__FDSAUDITLINK__" localSheetId="0" hidden="1">{"fdsup://Directions/FAT Viewer?action=UPDATE&amp;creator=factset&amp;DOC_NAME=fat:reuters_semi_source_window.fat&amp;display_string=Audit&amp;DYN_ARGS=TRUE&amp;VAR:ID1=629749&amp;VAR:RCODE=FDSENTRPRVAL&amp;VAR:SDATE=39538&amp;VAR:FREQ=Daily&amp;VAR:RELITEM=&amp;VAR:CURRENCY=AUD&amp;VAR:CURRSOURCE=EX","SHARE&amp;VAR:NATFREQ=FSA&amp;VAR:RFIELD=FINALIZED&amp;VAR:DB_TYPE=&amp;VAR:UNITS=M&amp;window=popup&amp;width=450&amp;height=300&amp;START_MAXIMIZED=FALSE"}</definedName>
    <definedName name="_836__FDSAUDITLINK__" localSheetId="6" hidden="1">{"fdsup://Directions/FAT Viewer?action=UPDATE&amp;creator=factset&amp;DOC_NAME=fat:reuters_semi_source_window.fat&amp;display_string=Audit&amp;DYN_ARGS=TRUE&amp;VAR:ID1=629749&amp;VAR:RCODE=FDSENTRPRVAL&amp;VAR:SDATE=39538&amp;VAR:FREQ=Daily&amp;VAR:RELITEM=&amp;VAR:CURRENCY=AUD&amp;VAR:CURRSOURCE=EX","SHARE&amp;VAR:NATFREQ=FSA&amp;VAR:RFIELD=FINALIZED&amp;VAR:DB_TYPE=&amp;VAR:UNITS=M&amp;window=popup&amp;width=450&amp;height=300&amp;START_MAXIMIZED=FALSE"}</definedName>
    <definedName name="_836__FDSAUDITLINK__" hidden="1">{"fdsup://Directions/FAT Viewer?action=UPDATE&amp;creator=factset&amp;DOC_NAME=fat:reuters_semi_source_window.fat&amp;display_string=Audit&amp;DYN_ARGS=TRUE&amp;VAR:ID1=629749&amp;VAR:RCODE=FDSENTRPRVAL&amp;VAR:SDATE=39538&amp;VAR:FREQ=Daily&amp;VAR:RELITEM=&amp;VAR:CURRENCY=AUD&amp;VAR:CURRSOURCE=EX","SHARE&amp;VAR:NATFREQ=FSA&amp;VAR:RFIELD=FINALIZED&amp;VAR:DB_TYPE=&amp;VAR:UNITS=M&amp;window=popup&amp;width=450&amp;height=300&amp;START_MAXIMIZED=FALSE"}</definedName>
    <definedName name="_837__FDSAUDITLINK__" localSheetId="0" hidden="1">{"fdsup://directions/FAT Viewer?action=UPDATE&amp;creator=factSet&amp;DYN_ARGS=true&amp;DOC_NAME=FAT:RGQ_ENTRPR_VAL_EV_SOURCE_WINDOW.FAT&amp;VAR:ID1=BVA-AU&amp;window=popup&amp;width=535&amp;height=425&amp;START_MAXIMIZED=FALSE&amp;Y=120"}</definedName>
    <definedName name="_837__FDSAUDITLINK__" localSheetId="6" hidden="1">{"fdsup://directions/FAT Viewer?action=UPDATE&amp;creator=factSet&amp;DYN_ARGS=true&amp;DOC_NAME=FAT:RGQ_ENTRPR_VAL_EV_SOURCE_WINDOW.FAT&amp;VAR:ID1=BVA-AU&amp;window=popup&amp;width=535&amp;height=425&amp;START_MAXIMIZED=FALSE&amp;Y=120"}</definedName>
    <definedName name="_837__FDSAUDITLINK__" hidden="1">{"fdsup://directions/FAT Viewer?action=UPDATE&amp;creator=factSet&amp;DYN_ARGS=true&amp;DOC_NAME=FAT:RGQ_ENTRPR_VAL_EV_SOURCE_WINDOW.FAT&amp;VAR:ID1=BVA-AU&amp;window=popup&amp;width=535&amp;height=425&amp;START_MAXIMIZED=FALSE&amp;Y=120"}</definedName>
    <definedName name="_838__FDSAUDITLINK__" localSheetId="0" hidden="1">{"fdsup://directions/FAT Viewer?action=UPDATE&amp;creator=factSet&amp;DYN_ARGS=true&amp;DOC_NAME=FAT:RGQ_ENTRPR_VAL_EV_SOURCE_WINDOW.FAT&amp;VAR:ID1=BVA-AU&amp;window=popup&amp;width=535&amp;height=425&amp;START_MAXIMIZED=FALSE&amp;Y=120"}</definedName>
    <definedName name="_838__FDSAUDITLINK__" localSheetId="6" hidden="1">{"fdsup://directions/FAT Viewer?action=UPDATE&amp;creator=factSet&amp;DYN_ARGS=true&amp;DOC_NAME=FAT:RGQ_ENTRPR_VAL_EV_SOURCE_WINDOW.FAT&amp;VAR:ID1=BVA-AU&amp;window=popup&amp;width=535&amp;height=425&amp;START_MAXIMIZED=FALSE&amp;Y=120"}</definedName>
    <definedName name="_838__FDSAUDITLINK__" hidden="1">{"fdsup://directions/FAT Viewer?action=UPDATE&amp;creator=factSet&amp;DYN_ARGS=true&amp;DOC_NAME=FAT:RGQ_ENTRPR_VAL_EV_SOURCE_WINDOW.FAT&amp;VAR:ID1=BVA-AU&amp;window=popup&amp;width=535&amp;height=425&amp;START_MAXIMIZED=FALSE&amp;Y=120"}</definedName>
    <definedName name="_839__FDSAUDITLINK__" localSheetId="0" hidden="1">{"fdsup://directions/FAT Viewer?action=UPDATE&amp;creator=factSet&amp;DYN_ARGS=true&amp;DOC_NAME=FAT:RGQ_ENTRPR_VAL_EV_SOURCE_WINDOW.FAT&amp;VAR:ID1=BVA-AU&amp;window=popup&amp;width=535&amp;height=425&amp;START_MAXIMIZED=FALSE&amp;Y=120"}</definedName>
    <definedName name="_839__FDSAUDITLINK__" localSheetId="6" hidden="1">{"fdsup://directions/FAT Viewer?action=UPDATE&amp;creator=factSet&amp;DYN_ARGS=true&amp;DOC_NAME=FAT:RGQ_ENTRPR_VAL_EV_SOURCE_WINDOW.FAT&amp;VAR:ID1=BVA-AU&amp;window=popup&amp;width=535&amp;height=425&amp;START_MAXIMIZED=FALSE&amp;Y=120"}</definedName>
    <definedName name="_839__FDSAUDITLINK__" hidden="1">{"fdsup://directions/FAT Viewer?action=UPDATE&amp;creator=factSet&amp;DYN_ARGS=true&amp;DOC_NAME=FAT:RGQ_ENTRPR_VAL_EV_SOURCE_WINDOW.FAT&amp;VAR:ID1=BVA-AU&amp;window=popup&amp;width=535&amp;height=425&amp;START_MAXIMIZED=FALSE&amp;Y=120"}</definedName>
    <definedName name="_84__123Graph_ECHART_4" hidden="1">#REF!</definedName>
    <definedName name="_84__FDSAUDITLINK__" localSheetId="0" hidden="1">{"fdsup://directions/FAT Viewer?action=UPDATE&amp;creator=factSet&amp;DYN_ARGS=true&amp;DOC_NAME=FAT:RGA_ENTRPR_VAL_EV_SOURCE_WINDOW.FAT&amp;VAR:ID1=5835.00772&amp;window=popup&amp;width=535&amp;height=425&amp;START_MAXIMIZED=FALSE&amp;Y=120"}</definedName>
    <definedName name="_84__FDSAUDITLINK__" localSheetId="6" hidden="1">{"fdsup://directions/FAT Viewer?action=UPDATE&amp;creator=factSet&amp;DYN_ARGS=true&amp;DOC_NAME=FAT:RGA_ENTRPR_VAL_EV_SOURCE_WINDOW.FAT&amp;VAR:ID1=5835.00772&amp;window=popup&amp;width=535&amp;height=425&amp;START_MAXIMIZED=FALSE&amp;Y=120"}</definedName>
    <definedName name="_84__FDSAUDITLINK__" hidden="1">{"fdsup://directions/FAT Viewer?action=UPDATE&amp;creator=factSet&amp;DYN_ARGS=true&amp;DOC_NAME=FAT:RGA_ENTRPR_VAL_EV_SOURCE_WINDOW.FAT&amp;VAR:ID1=5835.00772&amp;window=popup&amp;width=535&amp;height=425&amp;START_MAXIMIZED=FALSE&amp;Y=120"}</definedName>
    <definedName name="_840__FDSAUDITLINK__" localSheetId="0" hidden="1">{"fdsup://directions/FAT Viewer?action=UPDATE&amp;creator=factSet&amp;DYN_ARGS=true&amp;DOC_NAME=FAT:RGQ_ENTRPR_VAL_EV_SOURCE_WINDOW.FAT&amp;VAR:ID1=BVA-AU&amp;window=popup&amp;width=535&amp;height=425&amp;START_MAXIMIZED=FALSE&amp;Y=120"}</definedName>
    <definedName name="_840__FDSAUDITLINK__" localSheetId="6" hidden="1">{"fdsup://directions/FAT Viewer?action=UPDATE&amp;creator=factSet&amp;DYN_ARGS=true&amp;DOC_NAME=FAT:RGQ_ENTRPR_VAL_EV_SOURCE_WINDOW.FAT&amp;VAR:ID1=BVA-AU&amp;window=popup&amp;width=535&amp;height=425&amp;START_MAXIMIZED=FALSE&amp;Y=120"}</definedName>
    <definedName name="_840__FDSAUDITLINK__" hidden="1">{"fdsup://directions/FAT Viewer?action=UPDATE&amp;creator=factSet&amp;DYN_ARGS=true&amp;DOC_NAME=FAT:RGQ_ENTRPR_VAL_EV_SOURCE_WINDOW.FAT&amp;VAR:ID1=BVA-AU&amp;window=popup&amp;width=535&amp;height=425&amp;START_MAXIMIZED=FALSE&amp;Y=120"}</definedName>
    <definedName name="_841__FDSAUDITLINK__" localSheetId="0" hidden="1">{"fdsup://directions/FAT Viewer?action=UPDATE&amp;creator=factSet&amp;DYN_ARGS=true&amp;DOC_NAME=FAT:RGQ_ENTRPR_VAL_EV_SOURCE_WINDOW.FAT&amp;VAR:ID1=BVA-AU&amp;window=popup&amp;width=535&amp;height=425&amp;START_MAXIMIZED=FALSE&amp;Y=120"}</definedName>
    <definedName name="_841__FDSAUDITLINK__" localSheetId="6" hidden="1">{"fdsup://directions/FAT Viewer?action=UPDATE&amp;creator=factSet&amp;DYN_ARGS=true&amp;DOC_NAME=FAT:RGQ_ENTRPR_VAL_EV_SOURCE_WINDOW.FAT&amp;VAR:ID1=BVA-AU&amp;window=popup&amp;width=535&amp;height=425&amp;START_MAXIMIZED=FALSE&amp;Y=120"}</definedName>
    <definedName name="_841__FDSAUDITLINK__" hidden="1">{"fdsup://directions/FAT Viewer?action=UPDATE&amp;creator=factSet&amp;DYN_ARGS=true&amp;DOC_NAME=FAT:RGQ_ENTRPR_VAL_EV_SOURCE_WINDOW.FAT&amp;VAR:ID1=BVA-AU&amp;window=popup&amp;width=535&amp;height=425&amp;START_MAXIMIZED=FALSE&amp;Y=120"}</definedName>
    <definedName name="_842__FDSAUDITLINK__" localSheetId="0" hidden="1">{"fdsup://directions/FAT Viewer?action=UPDATE&amp;creator=factSet&amp;DYN_ARGS=true&amp;DOC_NAME=FAT:RGQ_ENTRPR_VAL_EV_SOURCE_WINDOW.FAT&amp;VAR:ID1=BVA-AU&amp;window=popup&amp;width=535&amp;height=425&amp;START_MAXIMIZED=FALSE&amp;Y=120"}</definedName>
    <definedName name="_842__FDSAUDITLINK__" localSheetId="6" hidden="1">{"fdsup://directions/FAT Viewer?action=UPDATE&amp;creator=factSet&amp;DYN_ARGS=true&amp;DOC_NAME=FAT:RGQ_ENTRPR_VAL_EV_SOURCE_WINDOW.FAT&amp;VAR:ID1=BVA-AU&amp;window=popup&amp;width=535&amp;height=425&amp;START_MAXIMIZED=FALSE&amp;Y=120"}</definedName>
    <definedName name="_842__FDSAUDITLINK__" hidden="1">{"fdsup://directions/FAT Viewer?action=UPDATE&amp;creator=factSet&amp;DYN_ARGS=true&amp;DOC_NAME=FAT:RGQ_ENTRPR_VAL_EV_SOURCE_WINDOW.FAT&amp;VAR:ID1=BVA-AU&amp;window=popup&amp;width=535&amp;height=425&amp;START_MAXIMIZED=FALSE&amp;Y=120"}</definedName>
    <definedName name="_843__FDSAUDITLINK__" localSheetId="0" hidden="1">{"fdsup://directions/FAT Viewer?action=UPDATE&amp;creator=factSet&amp;DYN_ARGS=true&amp;DOC_NAME=FAT:RGQ_ENTRPR_VAL_EV_SOURCE_WINDOW.FAT&amp;VAR:ID1=BVA-AU&amp;window=popup&amp;width=535&amp;height=425&amp;START_MAXIMIZED=FALSE&amp;Y=120"}</definedName>
    <definedName name="_843__FDSAUDITLINK__" localSheetId="6" hidden="1">{"fdsup://directions/FAT Viewer?action=UPDATE&amp;creator=factSet&amp;DYN_ARGS=true&amp;DOC_NAME=FAT:RGQ_ENTRPR_VAL_EV_SOURCE_WINDOW.FAT&amp;VAR:ID1=BVA-AU&amp;window=popup&amp;width=535&amp;height=425&amp;START_MAXIMIZED=FALSE&amp;Y=120"}</definedName>
    <definedName name="_843__FDSAUDITLINK__" hidden="1">{"fdsup://directions/FAT Viewer?action=UPDATE&amp;creator=factSet&amp;DYN_ARGS=true&amp;DOC_NAME=FAT:RGQ_ENTRPR_VAL_EV_SOURCE_WINDOW.FAT&amp;VAR:ID1=BVA-AU&amp;window=popup&amp;width=535&amp;height=425&amp;START_MAXIMIZED=FALSE&amp;Y=120"}</definedName>
    <definedName name="_844__123Graph_LBL_CCHART_37" hidden="1">#REF!</definedName>
    <definedName name="_844__FDSAUDITLINK__" localSheetId="0" hidden="1">{"fdsup://directions/FAT Viewer?action=UPDATE&amp;creator=factSet&amp;DYN_ARGS=true&amp;DOC_NAME=FAT:RGQ_ENTRPR_VAL_EV_SOURCE_WINDOW.FAT&amp;VAR:ID1=BVA-AU&amp;window=popup&amp;width=535&amp;height=425&amp;START_MAXIMIZED=FALSE&amp;Y=120"}</definedName>
    <definedName name="_844__FDSAUDITLINK__" localSheetId="6" hidden="1">{"fdsup://directions/FAT Viewer?action=UPDATE&amp;creator=factSet&amp;DYN_ARGS=true&amp;DOC_NAME=FAT:RGQ_ENTRPR_VAL_EV_SOURCE_WINDOW.FAT&amp;VAR:ID1=BVA-AU&amp;window=popup&amp;width=535&amp;height=425&amp;START_MAXIMIZED=FALSE&amp;Y=120"}</definedName>
    <definedName name="_844__FDSAUDITLINK__" hidden="1">{"fdsup://directions/FAT Viewer?action=UPDATE&amp;creator=factSet&amp;DYN_ARGS=true&amp;DOC_NAME=FAT:RGQ_ENTRPR_VAL_EV_SOURCE_WINDOW.FAT&amp;VAR:ID1=BVA-AU&amp;window=popup&amp;width=535&amp;height=425&amp;START_MAXIMIZED=FALSE&amp;Y=120"}</definedName>
    <definedName name="_845__FDSAUDITLINK__" localSheetId="0" hidden="1">{"fdsup://directions/FAT Viewer?action=UPDATE&amp;creator=factSet&amp;DYN_ARGS=true&amp;DOC_NAME=FAT:RGQ_ENTRPR_VAL_EV_SOURCE_WINDOW.FAT&amp;VAR:ID1=BVA-AU&amp;window=popup&amp;width=535&amp;height=425&amp;START_MAXIMIZED=FALSE&amp;Y=120"}</definedName>
    <definedName name="_845__FDSAUDITLINK__" localSheetId="6" hidden="1">{"fdsup://directions/FAT Viewer?action=UPDATE&amp;creator=factSet&amp;DYN_ARGS=true&amp;DOC_NAME=FAT:RGQ_ENTRPR_VAL_EV_SOURCE_WINDOW.FAT&amp;VAR:ID1=BVA-AU&amp;window=popup&amp;width=535&amp;height=425&amp;START_MAXIMIZED=FALSE&amp;Y=120"}</definedName>
    <definedName name="_845__FDSAUDITLINK__" hidden="1">{"fdsup://directions/FAT Viewer?action=UPDATE&amp;creator=factSet&amp;DYN_ARGS=true&amp;DOC_NAME=FAT:RGQ_ENTRPR_VAL_EV_SOURCE_WINDOW.FAT&amp;VAR:ID1=BVA-AU&amp;window=popup&amp;width=535&amp;height=425&amp;START_MAXIMIZED=FALSE&amp;Y=120"}</definedName>
    <definedName name="_846__FDSAUDITLINK__" localSheetId="0" hidden="1">{"fdsup://directions/FAT Viewer?action=UPDATE&amp;creator=factSet&amp;DYN_ARGS=true&amp;DOC_NAME=FAT:RGQ_ENTRPR_VAL_EV_SOURCE_WINDOW.FAT&amp;VAR:ID1=BVA-AU&amp;window=popup&amp;width=535&amp;height=425&amp;START_MAXIMIZED=FALSE&amp;Y=120"}</definedName>
    <definedName name="_846__FDSAUDITLINK__" localSheetId="6" hidden="1">{"fdsup://directions/FAT Viewer?action=UPDATE&amp;creator=factSet&amp;DYN_ARGS=true&amp;DOC_NAME=FAT:RGQ_ENTRPR_VAL_EV_SOURCE_WINDOW.FAT&amp;VAR:ID1=BVA-AU&amp;window=popup&amp;width=535&amp;height=425&amp;START_MAXIMIZED=FALSE&amp;Y=120"}</definedName>
    <definedName name="_846__FDSAUDITLINK__" hidden="1">{"fdsup://directions/FAT Viewer?action=UPDATE&amp;creator=factSet&amp;DYN_ARGS=true&amp;DOC_NAME=FAT:RGQ_ENTRPR_VAL_EV_SOURCE_WINDOW.FAT&amp;VAR:ID1=BVA-AU&amp;window=popup&amp;width=535&amp;height=425&amp;START_MAXIMIZED=FALSE&amp;Y=120"}</definedName>
    <definedName name="_847__FDSAUDITLINK__" localSheetId="0" hidden="1">{"fdsup://directions/FAT Viewer?action=UPDATE&amp;creator=factSet&amp;DYN_ARGS=true&amp;DOC_NAME=FAT:RGQ_ENTRPR_VAL_EV_SOURCE_WINDOW.FAT&amp;VAR:ID1=BVA-AU&amp;window=popup&amp;width=535&amp;height=425&amp;START_MAXIMIZED=FALSE&amp;Y=120"}</definedName>
    <definedName name="_847__FDSAUDITLINK__" localSheetId="6" hidden="1">{"fdsup://directions/FAT Viewer?action=UPDATE&amp;creator=factSet&amp;DYN_ARGS=true&amp;DOC_NAME=FAT:RGQ_ENTRPR_VAL_EV_SOURCE_WINDOW.FAT&amp;VAR:ID1=BVA-AU&amp;window=popup&amp;width=535&amp;height=425&amp;START_MAXIMIZED=FALSE&amp;Y=120"}</definedName>
    <definedName name="_847__FDSAUDITLINK__" hidden="1">{"fdsup://directions/FAT Viewer?action=UPDATE&amp;creator=factSet&amp;DYN_ARGS=true&amp;DOC_NAME=FAT:RGQ_ENTRPR_VAL_EV_SOURCE_WINDOW.FAT&amp;VAR:ID1=BVA-AU&amp;window=popup&amp;width=535&amp;height=425&amp;START_MAXIMIZED=FALSE&amp;Y=120"}</definedName>
    <definedName name="_848__FDSAUDITLINK__" localSheetId="0" hidden="1">{"fdsup://directions/FAT Viewer?action=UPDATE&amp;creator=factSet&amp;DYN_ARGS=true&amp;DOC_NAME=FAT:RGQ_ENTRPR_VAL_EV_SOURCE_WINDOW.FAT&amp;VAR:ID1=BVA-AU&amp;window=popup&amp;width=535&amp;height=425&amp;START_MAXIMIZED=FALSE&amp;Y=120"}</definedName>
    <definedName name="_848__FDSAUDITLINK__" localSheetId="6" hidden="1">{"fdsup://directions/FAT Viewer?action=UPDATE&amp;creator=factSet&amp;DYN_ARGS=true&amp;DOC_NAME=FAT:RGQ_ENTRPR_VAL_EV_SOURCE_WINDOW.FAT&amp;VAR:ID1=BVA-AU&amp;window=popup&amp;width=535&amp;height=425&amp;START_MAXIMIZED=FALSE&amp;Y=120"}</definedName>
    <definedName name="_848__FDSAUDITLINK__" hidden="1">{"fdsup://directions/FAT Viewer?action=UPDATE&amp;creator=factSet&amp;DYN_ARGS=true&amp;DOC_NAME=FAT:RGQ_ENTRPR_VAL_EV_SOURCE_WINDOW.FAT&amp;VAR:ID1=BVA-AU&amp;window=popup&amp;width=535&amp;height=425&amp;START_MAXIMIZED=FALSE&amp;Y=120"}</definedName>
    <definedName name="_849__FDSAUDITLINK__" localSheetId="0" hidden="1">{"fdsup://directions/FAT Viewer?action=UPDATE&amp;creator=factSet&amp;DYN_ARGS=true&amp;DOC_NAME=FAT:RGQ_ENTRPR_VAL_EV_SOURCE_WINDOW.FAT&amp;VAR:ID1=BVA-AU&amp;window=popup&amp;width=535&amp;height=425&amp;START_MAXIMIZED=FALSE&amp;Y=120"}</definedName>
    <definedName name="_849__FDSAUDITLINK__" localSheetId="6" hidden="1">{"fdsup://directions/FAT Viewer?action=UPDATE&amp;creator=factSet&amp;DYN_ARGS=true&amp;DOC_NAME=FAT:RGQ_ENTRPR_VAL_EV_SOURCE_WINDOW.FAT&amp;VAR:ID1=BVA-AU&amp;window=popup&amp;width=535&amp;height=425&amp;START_MAXIMIZED=FALSE&amp;Y=120"}</definedName>
    <definedName name="_849__FDSAUDITLINK__" hidden="1">{"fdsup://directions/FAT Viewer?action=UPDATE&amp;creator=factSet&amp;DYN_ARGS=true&amp;DOC_NAME=FAT:RGQ_ENTRPR_VAL_EV_SOURCE_WINDOW.FAT&amp;VAR:ID1=BVA-AU&amp;window=popup&amp;width=535&amp;height=425&amp;START_MAXIMIZED=FALSE&amp;Y=120"}</definedName>
    <definedName name="_85__123Graph_Bｸﾞﾗﾌ_3" hidden="1">#REF!</definedName>
    <definedName name="_85__123Graph_CSEG_PIE" hidden="1">#REF!</definedName>
    <definedName name="_85__123Graph_ECHART_5" hidden="1">#REF!</definedName>
    <definedName name="_85__123Graph_LBL_ACHART_2" hidden="1">#REF!</definedName>
    <definedName name="_85__FDSAUDITLINK__" localSheetId="0" hidden="1">{"fdsup://directions/FAT Viewer?action=UPDATE&amp;creator=factSet&amp;DYN_ARGS=true&amp;DOC_NAME=FAT:RGA_ENTRPR_VAL_EV_SOURCE_WINDOW.FAT&amp;VAR:ID1=230.98784&amp;window=popup&amp;width=535&amp;height=425&amp;START_MAXIMIZED=FALSE&amp;Y=120"}</definedName>
    <definedName name="_85__FDSAUDITLINK__" localSheetId="6" hidden="1">{"fdsup://directions/FAT Viewer?action=UPDATE&amp;creator=factSet&amp;DYN_ARGS=true&amp;DOC_NAME=FAT:RGA_ENTRPR_VAL_EV_SOURCE_WINDOW.FAT&amp;VAR:ID1=230.98784&amp;window=popup&amp;width=535&amp;height=425&amp;START_MAXIMIZED=FALSE&amp;Y=120"}</definedName>
    <definedName name="_85__FDSAUDITLINK__" hidden="1">{"fdsup://directions/FAT Viewer?action=UPDATE&amp;creator=factSet&amp;DYN_ARGS=true&amp;DOC_NAME=FAT:RGA_ENTRPR_VAL_EV_SOURCE_WINDOW.FAT&amp;VAR:ID1=230.98784&amp;window=popup&amp;width=535&amp;height=425&amp;START_MAXIMIZED=FALSE&amp;Y=120"}</definedName>
    <definedName name="_850__FDSAUDITLINK__" localSheetId="0" hidden="1">{"fdsup://directions/FAT Viewer?action=UPDATE&amp;creator=factSet&amp;DYN_ARGS=true&amp;DOC_NAME=FAT:RGQ_ENTRPR_VAL_EV_SOURCE_WINDOW.FAT&amp;VAR:ID1=BVA-AU&amp;window=popup&amp;width=535&amp;height=425&amp;START_MAXIMIZED=FALSE&amp;Y=120"}</definedName>
    <definedName name="_850__FDSAUDITLINK__" localSheetId="6" hidden="1">{"fdsup://directions/FAT Viewer?action=UPDATE&amp;creator=factSet&amp;DYN_ARGS=true&amp;DOC_NAME=FAT:RGQ_ENTRPR_VAL_EV_SOURCE_WINDOW.FAT&amp;VAR:ID1=BVA-AU&amp;window=popup&amp;width=535&amp;height=425&amp;START_MAXIMIZED=FALSE&amp;Y=120"}</definedName>
    <definedName name="_850__FDSAUDITLINK__" hidden="1">{"fdsup://directions/FAT Viewer?action=UPDATE&amp;creator=factSet&amp;DYN_ARGS=true&amp;DOC_NAME=FAT:RGQ_ENTRPR_VAL_EV_SOURCE_WINDOW.FAT&amp;VAR:ID1=BVA-AU&amp;window=popup&amp;width=535&amp;height=425&amp;START_MAXIMIZED=FALSE&amp;Y=120"}</definedName>
    <definedName name="_851__FDSAUDITLINK__" localSheetId="0" hidden="1">{"fdsup://directions/FAT Viewer?action=UPDATE&amp;creator=factSet&amp;DYN_ARGS=true&amp;DOC_NAME=FAT:RGQ_ENTRPR_VAL_EV_SOURCE_WINDOW.FAT&amp;VAR:ID1=BVA-AU&amp;window=popup&amp;width=535&amp;height=425&amp;START_MAXIMIZED=FALSE&amp;Y=120"}</definedName>
    <definedName name="_851__FDSAUDITLINK__" localSheetId="6" hidden="1">{"fdsup://directions/FAT Viewer?action=UPDATE&amp;creator=factSet&amp;DYN_ARGS=true&amp;DOC_NAME=FAT:RGQ_ENTRPR_VAL_EV_SOURCE_WINDOW.FAT&amp;VAR:ID1=BVA-AU&amp;window=popup&amp;width=535&amp;height=425&amp;START_MAXIMIZED=FALSE&amp;Y=120"}</definedName>
    <definedName name="_851__FDSAUDITLINK__" hidden="1">{"fdsup://directions/FAT Viewer?action=UPDATE&amp;creator=factSet&amp;DYN_ARGS=true&amp;DOC_NAME=FAT:RGQ_ENTRPR_VAL_EV_SOURCE_WINDOW.FAT&amp;VAR:ID1=BVA-AU&amp;window=popup&amp;width=535&amp;height=425&amp;START_MAXIMIZED=FALSE&amp;Y=120"}</definedName>
    <definedName name="_852__FDSAUDITLINK__" localSheetId="0" hidden="1">{"fdsup://directions/FAT Viewer?action=UPDATE&amp;creator=factSet&amp;DYN_ARGS=true&amp;DOC_NAME=FAT:RGQ_ENTRPR_VAL_EV_SOURCE_WINDOW.FAT&amp;VAR:ID1=BVA-AU&amp;window=popup&amp;width=535&amp;height=425&amp;START_MAXIMIZED=FALSE&amp;Y=120"}</definedName>
    <definedName name="_852__FDSAUDITLINK__" localSheetId="6" hidden="1">{"fdsup://directions/FAT Viewer?action=UPDATE&amp;creator=factSet&amp;DYN_ARGS=true&amp;DOC_NAME=FAT:RGQ_ENTRPR_VAL_EV_SOURCE_WINDOW.FAT&amp;VAR:ID1=BVA-AU&amp;window=popup&amp;width=535&amp;height=425&amp;START_MAXIMIZED=FALSE&amp;Y=120"}</definedName>
    <definedName name="_852__FDSAUDITLINK__" hidden="1">{"fdsup://directions/FAT Viewer?action=UPDATE&amp;creator=factSet&amp;DYN_ARGS=true&amp;DOC_NAME=FAT:RGQ_ENTRPR_VAL_EV_SOURCE_WINDOW.FAT&amp;VAR:ID1=BVA-AU&amp;window=popup&amp;width=535&amp;height=425&amp;START_MAXIMIZED=FALSE&amp;Y=120"}</definedName>
    <definedName name="_853__FDSAUDITLINK__" localSheetId="0" hidden="1">{"fdsup://directions/FAT Viewer?action=UPDATE&amp;creator=factSet&amp;DYN_ARGS=true&amp;DOC_NAME=FAT:RGQ_ENTRPR_VAL_EV_SOURCE_WINDOW.FAT&amp;VAR:ID1=BVA-AU&amp;window=popup&amp;width=535&amp;height=425&amp;START_MAXIMIZED=FALSE&amp;Y=120"}</definedName>
    <definedName name="_853__FDSAUDITLINK__" localSheetId="6" hidden="1">{"fdsup://directions/FAT Viewer?action=UPDATE&amp;creator=factSet&amp;DYN_ARGS=true&amp;DOC_NAME=FAT:RGQ_ENTRPR_VAL_EV_SOURCE_WINDOW.FAT&amp;VAR:ID1=BVA-AU&amp;window=popup&amp;width=535&amp;height=425&amp;START_MAXIMIZED=FALSE&amp;Y=120"}</definedName>
    <definedName name="_853__FDSAUDITLINK__" hidden="1">{"fdsup://directions/FAT Viewer?action=UPDATE&amp;creator=factSet&amp;DYN_ARGS=true&amp;DOC_NAME=FAT:RGQ_ENTRPR_VAL_EV_SOURCE_WINDOW.FAT&amp;VAR:ID1=BVA-AU&amp;window=popup&amp;width=535&amp;height=425&amp;START_MAXIMIZED=FALSE&amp;Y=120"}</definedName>
    <definedName name="_854__FDSAUDITLINK__" localSheetId="0" hidden="1">{"fdsup://directions/FAT Viewer?action=UPDATE&amp;creator=factSet&amp;DYN_ARGS=true&amp;DOC_NAME=FAT:RGQ_ENTRPR_VAL_EV_SOURCE_WINDOW.FAT&amp;VAR:ID1=BVA-AU&amp;window=popup&amp;width=535&amp;height=425&amp;START_MAXIMIZED=FALSE&amp;Y=120"}</definedName>
    <definedName name="_854__FDSAUDITLINK__" localSheetId="6" hidden="1">{"fdsup://directions/FAT Viewer?action=UPDATE&amp;creator=factSet&amp;DYN_ARGS=true&amp;DOC_NAME=FAT:RGQ_ENTRPR_VAL_EV_SOURCE_WINDOW.FAT&amp;VAR:ID1=BVA-AU&amp;window=popup&amp;width=535&amp;height=425&amp;START_MAXIMIZED=FALSE&amp;Y=120"}</definedName>
    <definedName name="_854__FDSAUDITLINK__" hidden="1">{"fdsup://directions/FAT Viewer?action=UPDATE&amp;creator=factSet&amp;DYN_ARGS=true&amp;DOC_NAME=FAT:RGQ_ENTRPR_VAL_EV_SOURCE_WINDOW.FAT&amp;VAR:ID1=BVA-AU&amp;window=popup&amp;width=535&amp;height=425&amp;START_MAXIMIZED=FALSE&amp;Y=120"}</definedName>
    <definedName name="_855__FDSAUDITLINK__" localSheetId="0" hidden="1">{"fdsup://directions/FAT Viewer?action=UPDATE&amp;creator=factSet&amp;DYN_ARGS=true&amp;DOC_NAME=FAT:RGQ_ENTRPR_VAL_EV_SOURCE_WINDOW.FAT&amp;VAR:ID1=BVA-AU&amp;window=popup&amp;width=535&amp;height=425&amp;START_MAXIMIZED=FALSE&amp;Y=120"}</definedName>
    <definedName name="_855__FDSAUDITLINK__" localSheetId="6" hidden="1">{"fdsup://directions/FAT Viewer?action=UPDATE&amp;creator=factSet&amp;DYN_ARGS=true&amp;DOC_NAME=FAT:RGQ_ENTRPR_VAL_EV_SOURCE_WINDOW.FAT&amp;VAR:ID1=BVA-AU&amp;window=popup&amp;width=535&amp;height=425&amp;START_MAXIMIZED=FALSE&amp;Y=120"}</definedName>
    <definedName name="_855__FDSAUDITLINK__" hidden="1">{"fdsup://directions/FAT Viewer?action=UPDATE&amp;creator=factSet&amp;DYN_ARGS=true&amp;DOC_NAME=FAT:RGQ_ENTRPR_VAL_EV_SOURCE_WINDOW.FAT&amp;VAR:ID1=BVA-AU&amp;window=popup&amp;width=535&amp;height=425&amp;START_MAXIMIZED=FALSE&amp;Y=120"}</definedName>
    <definedName name="_856__FDSAUDITLINK__" localSheetId="0" hidden="1">{"fdsup://directions/FAT Viewer?action=UPDATE&amp;creator=factSet&amp;DYN_ARGS=true&amp;DOC_NAME=FAT:RGQ_ENTRPR_VAL_EV_SOURCE_WINDOW.FAT&amp;VAR:ID1=BVA-AU&amp;window=popup&amp;width=535&amp;height=425&amp;START_MAXIMIZED=FALSE&amp;Y=120"}</definedName>
    <definedName name="_856__FDSAUDITLINK__" localSheetId="6" hidden="1">{"fdsup://directions/FAT Viewer?action=UPDATE&amp;creator=factSet&amp;DYN_ARGS=true&amp;DOC_NAME=FAT:RGQ_ENTRPR_VAL_EV_SOURCE_WINDOW.FAT&amp;VAR:ID1=BVA-AU&amp;window=popup&amp;width=535&amp;height=425&amp;START_MAXIMIZED=FALSE&amp;Y=120"}</definedName>
    <definedName name="_856__FDSAUDITLINK__" hidden="1">{"fdsup://directions/FAT Viewer?action=UPDATE&amp;creator=factSet&amp;DYN_ARGS=true&amp;DOC_NAME=FAT:RGQ_ENTRPR_VAL_EV_SOURCE_WINDOW.FAT&amp;VAR:ID1=BVA-AU&amp;window=popup&amp;width=535&amp;height=425&amp;START_MAXIMIZED=FALSE&amp;Y=120"}</definedName>
    <definedName name="_857__123Graph_LBL_CCHART_39" hidden="1">#REF!</definedName>
    <definedName name="_857__FDSAUDITLINK__" localSheetId="0" hidden="1">{"fdsup://directions/FAT Viewer?action=UPDATE&amp;creator=factSet&amp;DYN_ARGS=true&amp;DOC_NAME=FAT:RGQ_ENTRPR_VAL_EV_SOURCE_WINDOW.FAT&amp;VAR:ID1=BVA-AU&amp;window=popup&amp;width=535&amp;height=425&amp;START_MAXIMIZED=FALSE&amp;Y=120"}</definedName>
    <definedName name="_857__FDSAUDITLINK__" localSheetId="6" hidden="1">{"fdsup://directions/FAT Viewer?action=UPDATE&amp;creator=factSet&amp;DYN_ARGS=true&amp;DOC_NAME=FAT:RGQ_ENTRPR_VAL_EV_SOURCE_WINDOW.FAT&amp;VAR:ID1=BVA-AU&amp;window=popup&amp;width=535&amp;height=425&amp;START_MAXIMIZED=FALSE&amp;Y=120"}</definedName>
    <definedName name="_857__FDSAUDITLINK__" hidden="1">{"fdsup://directions/FAT Viewer?action=UPDATE&amp;creator=factSet&amp;DYN_ARGS=true&amp;DOC_NAME=FAT:RGQ_ENTRPR_VAL_EV_SOURCE_WINDOW.FAT&amp;VAR:ID1=BVA-AU&amp;window=popup&amp;width=535&amp;height=425&amp;START_MAXIMIZED=FALSE&amp;Y=120"}</definedName>
    <definedName name="_858__FDSAUDITLINK__" localSheetId="0" hidden="1">{"fdsup://Directions/FAT Viewer?action=UPDATE&amp;creator=factset&amp;DOC_NAME=fat:reuters_semi_source_window.fat&amp;display_string=Audit&amp;DYN_ARGS=TRUE&amp;VAR:ID1=B17KTF&amp;VAR:RCODE=FDSENTRPRVAL&amp;VAR:SDATE=37711&amp;VAR:FREQ=Daily&amp;VAR:RELITEM=RF&amp;VAR:CURRENCY=AUD&amp;VAR:CURRSOURCE=","EXSHARE&amp;VAR:NATFREQ=FSA&amp;VAR:RFIELD=FINALIZED&amp;VAR:DB_TYPE=&amp;VAR:UNITS=M&amp;window=popup&amp;width=450&amp;height=300&amp;START_MAXIMIZED=FALSE"}</definedName>
    <definedName name="_858__FDSAUDITLINK__" localSheetId="6" hidden="1">{"fdsup://Directions/FAT Viewer?action=UPDATE&amp;creator=factset&amp;DOC_NAME=fat:reuters_semi_source_window.fat&amp;display_string=Audit&amp;DYN_ARGS=TRUE&amp;VAR:ID1=B17KTF&amp;VAR:RCODE=FDSENTRPRVAL&amp;VAR:SDATE=37711&amp;VAR:FREQ=Daily&amp;VAR:RELITEM=RF&amp;VAR:CURRENCY=AUD&amp;VAR:CURRSOURCE=","EXSHARE&amp;VAR:NATFREQ=FSA&amp;VAR:RFIELD=FINALIZED&amp;VAR:DB_TYPE=&amp;VAR:UNITS=M&amp;window=popup&amp;width=450&amp;height=300&amp;START_MAXIMIZED=FALSE"}</definedName>
    <definedName name="_858__FDSAUDITLINK__" hidden="1">{"fdsup://Directions/FAT Viewer?action=UPDATE&amp;creator=factset&amp;DOC_NAME=fat:reuters_semi_source_window.fat&amp;display_string=Audit&amp;DYN_ARGS=TRUE&amp;VAR:ID1=B17KTF&amp;VAR:RCODE=FDSENTRPRVAL&amp;VAR:SDATE=37711&amp;VAR:FREQ=Daily&amp;VAR:RELITEM=RF&amp;VAR:CURRENCY=AUD&amp;VAR:CURRSOURCE=","EXSHARE&amp;VAR:NATFREQ=FSA&amp;VAR:RFIELD=FINALIZED&amp;VAR:DB_TYPE=&amp;VAR:UNITS=M&amp;window=popup&amp;width=450&amp;height=300&amp;START_MAXIMIZED=FALSE"}</definedName>
    <definedName name="_859__FDSAUDITLINK__" localSheetId="0" hidden="1">{"fdsup://Directions/FAT Viewer?action=UPDATE&amp;creator=factset&amp;DOC_NAME=fat:reuters_semi_source_window.fat&amp;display_string=Audit&amp;DYN_ARGS=TRUE&amp;VAR:ID1=B17KTF&amp;VAR:RCODE=FDSENTRPRVAL&amp;VAR:SDATE=37802&amp;VAR:FREQ=Daily&amp;VAR:RELITEM=RF&amp;VAR:CURRENCY=AUD&amp;VAR:CURRSOURCE=","EXSHARE&amp;VAR:NATFREQ=FSA&amp;VAR:RFIELD=FINALIZED&amp;VAR:DB_TYPE=&amp;VAR:UNITS=M&amp;window=popup&amp;width=450&amp;height=300&amp;START_MAXIMIZED=FALSE"}</definedName>
    <definedName name="_859__FDSAUDITLINK__" localSheetId="6" hidden="1">{"fdsup://Directions/FAT Viewer?action=UPDATE&amp;creator=factset&amp;DOC_NAME=fat:reuters_semi_source_window.fat&amp;display_string=Audit&amp;DYN_ARGS=TRUE&amp;VAR:ID1=B17KTF&amp;VAR:RCODE=FDSENTRPRVAL&amp;VAR:SDATE=37802&amp;VAR:FREQ=Daily&amp;VAR:RELITEM=RF&amp;VAR:CURRENCY=AUD&amp;VAR:CURRSOURCE=","EXSHARE&amp;VAR:NATFREQ=FSA&amp;VAR:RFIELD=FINALIZED&amp;VAR:DB_TYPE=&amp;VAR:UNITS=M&amp;window=popup&amp;width=450&amp;height=300&amp;START_MAXIMIZED=FALSE"}</definedName>
    <definedName name="_859__FDSAUDITLINK__" hidden="1">{"fdsup://Directions/FAT Viewer?action=UPDATE&amp;creator=factset&amp;DOC_NAME=fat:reuters_semi_source_window.fat&amp;display_string=Audit&amp;DYN_ARGS=TRUE&amp;VAR:ID1=B17KTF&amp;VAR:RCODE=FDSENTRPRVAL&amp;VAR:SDATE=37802&amp;VAR:FREQ=Daily&amp;VAR:RELITEM=RF&amp;VAR:CURRENCY=AUD&amp;VAR:CURRSOURCE=","EXSHARE&amp;VAR:NATFREQ=FSA&amp;VAR:RFIELD=FINALIZED&amp;VAR:DB_TYPE=&amp;VAR:UNITS=M&amp;window=popup&amp;width=450&amp;height=300&amp;START_MAXIMIZED=FALSE"}</definedName>
    <definedName name="_86__FDSAUDITLINK__" localSheetId="0" hidden="1">{"fdsup://directions/FAT Viewer?action=UPDATE&amp;creator=factSet&amp;DYN_ARGS=true&amp;DOC_NAME=FAT:RGA_ENTRPR_VAL_EV_SOURCE_WINDOW.FAT&amp;VAR:ID1=EV&amp;window=popup&amp;width=535&amp;height=425&amp;START_MAXIMIZED=FALSE&amp;Y=120"}</definedName>
    <definedName name="_86__FDSAUDITLINK__" localSheetId="6" hidden="1">{"fdsup://directions/FAT Viewer?action=UPDATE&amp;creator=factSet&amp;DYN_ARGS=true&amp;DOC_NAME=FAT:RGA_ENTRPR_VAL_EV_SOURCE_WINDOW.FAT&amp;VAR:ID1=EV&amp;window=popup&amp;width=535&amp;height=425&amp;START_MAXIMIZED=FALSE&amp;Y=120"}</definedName>
    <definedName name="_86__FDSAUDITLINK__" hidden="1">{"fdsup://directions/FAT Viewer?action=UPDATE&amp;creator=factSet&amp;DYN_ARGS=true&amp;DOC_NAME=FAT:RGA_ENTRPR_VAL_EV_SOURCE_WINDOW.FAT&amp;VAR:ID1=EV&amp;window=popup&amp;width=535&amp;height=425&amp;START_MAXIMIZED=FALSE&amp;Y=120"}</definedName>
    <definedName name="_860__FDSAUDITLINK__" localSheetId="0" hidden="1">{"fdsup://Directions/FAT Viewer?action=UPDATE&amp;creator=factset&amp;DOC_NAME=fat:reuters_semi_source_window.fat&amp;display_string=Audit&amp;DYN_ARGS=TRUE&amp;VAR:ID1=B17KTF&amp;VAR:RCODE=FDSENTRPRVAL&amp;VAR:SDATE=37894&amp;VAR:FREQ=Daily&amp;VAR:RELITEM=RF&amp;VAR:CURRENCY=AUD&amp;VAR:CURRSOURCE=","EXSHARE&amp;VAR:NATFREQ=FSA&amp;VAR:RFIELD=FINALIZED&amp;VAR:DB_TYPE=&amp;VAR:UNITS=M&amp;window=popup&amp;width=450&amp;height=300&amp;START_MAXIMIZED=FALSE"}</definedName>
    <definedName name="_860__FDSAUDITLINK__" localSheetId="6" hidden="1">{"fdsup://Directions/FAT Viewer?action=UPDATE&amp;creator=factset&amp;DOC_NAME=fat:reuters_semi_source_window.fat&amp;display_string=Audit&amp;DYN_ARGS=TRUE&amp;VAR:ID1=B17KTF&amp;VAR:RCODE=FDSENTRPRVAL&amp;VAR:SDATE=37894&amp;VAR:FREQ=Daily&amp;VAR:RELITEM=RF&amp;VAR:CURRENCY=AUD&amp;VAR:CURRSOURCE=","EXSHARE&amp;VAR:NATFREQ=FSA&amp;VAR:RFIELD=FINALIZED&amp;VAR:DB_TYPE=&amp;VAR:UNITS=M&amp;window=popup&amp;width=450&amp;height=300&amp;START_MAXIMIZED=FALSE"}</definedName>
    <definedName name="_860__FDSAUDITLINK__" hidden="1">{"fdsup://Directions/FAT Viewer?action=UPDATE&amp;creator=factset&amp;DOC_NAME=fat:reuters_semi_source_window.fat&amp;display_string=Audit&amp;DYN_ARGS=TRUE&amp;VAR:ID1=B17KTF&amp;VAR:RCODE=FDSENTRPRVAL&amp;VAR:SDATE=37894&amp;VAR:FREQ=Daily&amp;VAR:RELITEM=RF&amp;VAR:CURRENCY=AUD&amp;VAR:CURRSOURCE=","EXSHARE&amp;VAR:NATFREQ=FSA&amp;VAR:RFIELD=FINALIZED&amp;VAR:DB_TYPE=&amp;VAR:UNITS=M&amp;window=popup&amp;width=450&amp;height=300&amp;START_MAXIMIZED=FALSE"}</definedName>
    <definedName name="_861__FDSAUDITLINK__" localSheetId="0" hidden="1">{"fdsup://Directions/FAT Viewer?action=UPDATE&amp;creator=factset&amp;DOC_NAME=fat:reuters_semi_source_window.fat&amp;display_string=Audit&amp;DYN_ARGS=TRUE&amp;VAR:ID1=B17KTF&amp;VAR:RCODE=FDSENTRPRVAL&amp;VAR:SDATE=37986&amp;VAR:FREQ=Daily&amp;VAR:RELITEM=RF&amp;VAR:CURRENCY=AUD&amp;VAR:CURRSOURCE=","EXSHARE&amp;VAR:NATFREQ=FSA&amp;VAR:RFIELD=FINALIZED&amp;VAR:DB_TYPE=&amp;VAR:UNITS=M&amp;window=popup&amp;width=450&amp;height=300&amp;START_MAXIMIZED=FALSE"}</definedName>
    <definedName name="_861__FDSAUDITLINK__" localSheetId="6" hidden="1">{"fdsup://Directions/FAT Viewer?action=UPDATE&amp;creator=factset&amp;DOC_NAME=fat:reuters_semi_source_window.fat&amp;display_string=Audit&amp;DYN_ARGS=TRUE&amp;VAR:ID1=B17KTF&amp;VAR:RCODE=FDSENTRPRVAL&amp;VAR:SDATE=37986&amp;VAR:FREQ=Daily&amp;VAR:RELITEM=RF&amp;VAR:CURRENCY=AUD&amp;VAR:CURRSOURCE=","EXSHARE&amp;VAR:NATFREQ=FSA&amp;VAR:RFIELD=FINALIZED&amp;VAR:DB_TYPE=&amp;VAR:UNITS=M&amp;window=popup&amp;width=450&amp;height=300&amp;START_MAXIMIZED=FALSE"}</definedName>
    <definedName name="_861__FDSAUDITLINK__" hidden="1">{"fdsup://Directions/FAT Viewer?action=UPDATE&amp;creator=factset&amp;DOC_NAME=fat:reuters_semi_source_window.fat&amp;display_string=Audit&amp;DYN_ARGS=TRUE&amp;VAR:ID1=B17KTF&amp;VAR:RCODE=FDSENTRPRVAL&amp;VAR:SDATE=37986&amp;VAR:FREQ=Daily&amp;VAR:RELITEM=RF&amp;VAR:CURRENCY=AUD&amp;VAR:CURRSOURCE=","EXSHARE&amp;VAR:NATFREQ=FSA&amp;VAR:RFIELD=FINALIZED&amp;VAR:DB_TYPE=&amp;VAR:UNITS=M&amp;window=popup&amp;width=450&amp;height=300&amp;START_MAXIMIZED=FALSE"}</definedName>
    <definedName name="_862__FDSAUDITLINK__" localSheetId="0" hidden="1">{"fdsup://Directions/FAT Viewer?action=UPDATE&amp;creator=factset&amp;DOC_NAME=fat:reuters_semi_source_window.fat&amp;display_string=Audit&amp;DYN_ARGS=TRUE&amp;VAR:ID1=B17KTF&amp;VAR:RCODE=FDSENTRPRVAL&amp;VAR:SDATE=38077&amp;VAR:FREQ=Daily&amp;VAR:RELITEM=RF&amp;VAR:CURRENCY=AUD&amp;VAR:CURRSOURCE=","EXSHARE&amp;VAR:NATFREQ=FSA&amp;VAR:RFIELD=FINALIZED&amp;VAR:DB_TYPE=&amp;VAR:UNITS=M&amp;window=popup&amp;width=450&amp;height=300&amp;START_MAXIMIZED=FALSE"}</definedName>
    <definedName name="_862__FDSAUDITLINK__" localSheetId="6" hidden="1">{"fdsup://Directions/FAT Viewer?action=UPDATE&amp;creator=factset&amp;DOC_NAME=fat:reuters_semi_source_window.fat&amp;display_string=Audit&amp;DYN_ARGS=TRUE&amp;VAR:ID1=B17KTF&amp;VAR:RCODE=FDSENTRPRVAL&amp;VAR:SDATE=38077&amp;VAR:FREQ=Daily&amp;VAR:RELITEM=RF&amp;VAR:CURRENCY=AUD&amp;VAR:CURRSOURCE=","EXSHARE&amp;VAR:NATFREQ=FSA&amp;VAR:RFIELD=FINALIZED&amp;VAR:DB_TYPE=&amp;VAR:UNITS=M&amp;window=popup&amp;width=450&amp;height=300&amp;START_MAXIMIZED=FALSE"}</definedName>
    <definedName name="_862__FDSAUDITLINK__" hidden="1">{"fdsup://Directions/FAT Viewer?action=UPDATE&amp;creator=factset&amp;DOC_NAME=fat:reuters_semi_source_window.fat&amp;display_string=Audit&amp;DYN_ARGS=TRUE&amp;VAR:ID1=B17KTF&amp;VAR:RCODE=FDSENTRPRVAL&amp;VAR:SDATE=38077&amp;VAR:FREQ=Daily&amp;VAR:RELITEM=RF&amp;VAR:CURRENCY=AUD&amp;VAR:CURRSOURCE=","EXSHARE&amp;VAR:NATFREQ=FSA&amp;VAR:RFIELD=FINALIZED&amp;VAR:DB_TYPE=&amp;VAR:UNITS=M&amp;window=popup&amp;width=450&amp;height=300&amp;START_MAXIMIZED=FALSE"}</definedName>
    <definedName name="_863__FDSAUDITLINK__" localSheetId="0" hidden="1">{"fdsup://Directions/FAT Viewer?action=UPDATE&amp;creator=factset&amp;DOC_NAME=fat:reuters_semi_source_window.fat&amp;display_string=Audit&amp;DYN_ARGS=TRUE&amp;VAR:ID1=B17KTF&amp;VAR:RCODE=FDSENTRPRVAL&amp;VAR:SDATE=38168&amp;VAR:FREQ=Daily&amp;VAR:RELITEM=RF&amp;VAR:CURRENCY=AUD&amp;VAR:CURRSOURCE=","EXSHARE&amp;VAR:NATFREQ=FSA&amp;VAR:RFIELD=FINALIZED&amp;VAR:DB_TYPE=&amp;VAR:UNITS=M&amp;window=popup&amp;width=450&amp;height=300&amp;START_MAXIMIZED=FALSE"}</definedName>
    <definedName name="_863__FDSAUDITLINK__" localSheetId="6" hidden="1">{"fdsup://Directions/FAT Viewer?action=UPDATE&amp;creator=factset&amp;DOC_NAME=fat:reuters_semi_source_window.fat&amp;display_string=Audit&amp;DYN_ARGS=TRUE&amp;VAR:ID1=B17KTF&amp;VAR:RCODE=FDSENTRPRVAL&amp;VAR:SDATE=38168&amp;VAR:FREQ=Daily&amp;VAR:RELITEM=RF&amp;VAR:CURRENCY=AUD&amp;VAR:CURRSOURCE=","EXSHARE&amp;VAR:NATFREQ=FSA&amp;VAR:RFIELD=FINALIZED&amp;VAR:DB_TYPE=&amp;VAR:UNITS=M&amp;window=popup&amp;width=450&amp;height=300&amp;START_MAXIMIZED=FALSE"}</definedName>
    <definedName name="_863__FDSAUDITLINK__" hidden="1">{"fdsup://Directions/FAT Viewer?action=UPDATE&amp;creator=factset&amp;DOC_NAME=fat:reuters_semi_source_window.fat&amp;display_string=Audit&amp;DYN_ARGS=TRUE&amp;VAR:ID1=B17KTF&amp;VAR:RCODE=FDSENTRPRVAL&amp;VAR:SDATE=38168&amp;VAR:FREQ=Daily&amp;VAR:RELITEM=RF&amp;VAR:CURRENCY=AUD&amp;VAR:CURRSOURCE=","EXSHARE&amp;VAR:NATFREQ=FSA&amp;VAR:RFIELD=FINALIZED&amp;VAR:DB_TYPE=&amp;VAR:UNITS=M&amp;window=popup&amp;width=450&amp;height=300&amp;START_MAXIMIZED=FALSE"}</definedName>
    <definedName name="_864__FDSAUDITLINK__" localSheetId="0" hidden="1">{"fdsup://Directions/FAT Viewer?action=UPDATE&amp;creator=factset&amp;DOC_NAME=fat:reuters_semi_source_window.fat&amp;display_string=Audit&amp;DYN_ARGS=TRUE&amp;VAR:ID1=B17KTF&amp;VAR:RCODE=FDSENTRPRVAL&amp;VAR:SDATE=38260&amp;VAR:FREQ=Daily&amp;VAR:RELITEM=RF&amp;VAR:CURRENCY=AUD&amp;VAR:CURRSOURCE=","EXSHARE&amp;VAR:NATFREQ=FSA&amp;VAR:RFIELD=FINALIZED&amp;VAR:DB_TYPE=&amp;VAR:UNITS=M&amp;window=popup&amp;width=450&amp;height=300&amp;START_MAXIMIZED=FALSE"}</definedName>
    <definedName name="_864__FDSAUDITLINK__" localSheetId="6" hidden="1">{"fdsup://Directions/FAT Viewer?action=UPDATE&amp;creator=factset&amp;DOC_NAME=fat:reuters_semi_source_window.fat&amp;display_string=Audit&amp;DYN_ARGS=TRUE&amp;VAR:ID1=B17KTF&amp;VAR:RCODE=FDSENTRPRVAL&amp;VAR:SDATE=38260&amp;VAR:FREQ=Daily&amp;VAR:RELITEM=RF&amp;VAR:CURRENCY=AUD&amp;VAR:CURRSOURCE=","EXSHARE&amp;VAR:NATFREQ=FSA&amp;VAR:RFIELD=FINALIZED&amp;VAR:DB_TYPE=&amp;VAR:UNITS=M&amp;window=popup&amp;width=450&amp;height=300&amp;START_MAXIMIZED=FALSE"}</definedName>
    <definedName name="_864__FDSAUDITLINK__" hidden="1">{"fdsup://Directions/FAT Viewer?action=UPDATE&amp;creator=factset&amp;DOC_NAME=fat:reuters_semi_source_window.fat&amp;display_string=Audit&amp;DYN_ARGS=TRUE&amp;VAR:ID1=B17KTF&amp;VAR:RCODE=FDSENTRPRVAL&amp;VAR:SDATE=38260&amp;VAR:FREQ=Daily&amp;VAR:RELITEM=RF&amp;VAR:CURRENCY=AUD&amp;VAR:CURRSOURCE=","EXSHARE&amp;VAR:NATFREQ=FSA&amp;VAR:RFIELD=FINALIZED&amp;VAR:DB_TYPE=&amp;VAR:UNITS=M&amp;window=popup&amp;width=450&amp;height=300&amp;START_MAXIMIZED=FALSE"}</definedName>
    <definedName name="_865__FDSAUDITLINK__" localSheetId="0" hidden="1">{"fdsup://Directions/FAT Viewer?action=UPDATE&amp;creator=factset&amp;DOC_NAME=fat:reuters_semi_source_window.fat&amp;display_string=Audit&amp;DYN_ARGS=TRUE&amp;VAR:ID1=B17KTF&amp;VAR:RCODE=FDSENTRPRVAL&amp;VAR:SDATE=38352&amp;VAR:FREQ=Daily&amp;VAR:RELITEM=RF&amp;VAR:CURRENCY=AUD&amp;VAR:CURRSOURCE=","EXSHARE&amp;VAR:NATFREQ=FSA&amp;VAR:RFIELD=FINALIZED&amp;VAR:DB_TYPE=&amp;VAR:UNITS=M&amp;window=popup&amp;width=450&amp;height=300&amp;START_MAXIMIZED=FALSE"}</definedName>
    <definedName name="_865__FDSAUDITLINK__" localSheetId="6" hidden="1">{"fdsup://Directions/FAT Viewer?action=UPDATE&amp;creator=factset&amp;DOC_NAME=fat:reuters_semi_source_window.fat&amp;display_string=Audit&amp;DYN_ARGS=TRUE&amp;VAR:ID1=B17KTF&amp;VAR:RCODE=FDSENTRPRVAL&amp;VAR:SDATE=38352&amp;VAR:FREQ=Daily&amp;VAR:RELITEM=RF&amp;VAR:CURRENCY=AUD&amp;VAR:CURRSOURCE=","EXSHARE&amp;VAR:NATFREQ=FSA&amp;VAR:RFIELD=FINALIZED&amp;VAR:DB_TYPE=&amp;VAR:UNITS=M&amp;window=popup&amp;width=450&amp;height=300&amp;START_MAXIMIZED=FALSE"}</definedName>
    <definedName name="_865__FDSAUDITLINK__" hidden="1">{"fdsup://Directions/FAT Viewer?action=UPDATE&amp;creator=factset&amp;DOC_NAME=fat:reuters_semi_source_window.fat&amp;display_string=Audit&amp;DYN_ARGS=TRUE&amp;VAR:ID1=B17KTF&amp;VAR:RCODE=FDSENTRPRVAL&amp;VAR:SDATE=38352&amp;VAR:FREQ=Daily&amp;VAR:RELITEM=RF&amp;VAR:CURRENCY=AUD&amp;VAR:CURRSOURCE=","EXSHARE&amp;VAR:NATFREQ=FSA&amp;VAR:RFIELD=FINALIZED&amp;VAR:DB_TYPE=&amp;VAR:UNITS=M&amp;window=popup&amp;width=450&amp;height=300&amp;START_MAXIMIZED=FALSE"}</definedName>
    <definedName name="_866__FDSAUDITLINK__" localSheetId="0" hidden="1">{"fdsup://Directions/FAT Viewer?action=UPDATE&amp;creator=factset&amp;DOC_NAME=fat:reuters_semi_source_window.fat&amp;display_string=Audit&amp;DYN_ARGS=TRUE&amp;VAR:ID1=B17KTF&amp;VAR:RCODE=FDSENTRPRVAL&amp;VAR:SDATE=38442&amp;VAR:FREQ=Daily&amp;VAR:RELITEM=RF&amp;VAR:CURRENCY=AUD&amp;VAR:CURRSOURCE=","EXSHARE&amp;VAR:NATFREQ=FSA&amp;VAR:RFIELD=FINALIZED&amp;VAR:DB_TYPE=&amp;VAR:UNITS=M&amp;window=popup&amp;width=450&amp;height=300&amp;START_MAXIMIZED=FALSE"}</definedName>
    <definedName name="_866__FDSAUDITLINK__" localSheetId="6" hidden="1">{"fdsup://Directions/FAT Viewer?action=UPDATE&amp;creator=factset&amp;DOC_NAME=fat:reuters_semi_source_window.fat&amp;display_string=Audit&amp;DYN_ARGS=TRUE&amp;VAR:ID1=B17KTF&amp;VAR:RCODE=FDSENTRPRVAL&amp;VAR:SDATE=38442&amp;VAR:FREQ=Daily&amp;VAR:RELITEM=RF&amp;VAR:CURRENCY=AUD&amp;VAR:CURRSOURCE=","EXSHARE&amp;VAR:NATFREQ=FSA&amp;VAR:RFIELD=FINALIZED&amp;VAR:DB_TYPE=&amp;VAR:UNITS=M&amp;window=popup&amp;width=450&amp;height=300&amp;START_MAXIMIZED=FALSE"}</definedName>
    <definedName name="_866__FDSAUDITLINK__" hidden="1">{"fdsup://Directions/FAT Viewer?action=UPDATE&amp;creator=factset&amp;DOC_NAME=fat:reuters_semi_source_window.fat&amp;display_string=Audit&amp;DYN_ARGS=TRUE&amp;VAR:ID1=B17KTF&amp;VAR:RCODE=FDSENTRPRVAL&amp;VAR:SDATE=38442&amp;VAR:FREQ=Daily&amp;VAR:RELITEM=RF&amp;VAR:CURRENCY=AUD&amp;VAR:CURRSOURCE=","EXSHARE&amp;VAR:NATFREQ=FSA&amp;VAR:RFIELD=FINALIZED&amp;VAR:DB_TYPE=&amp;VAR:UNITS=M&amp;window=popup&amp;width=450&amp;height=300&amp;START_MAXIMIZED=FALSE"}</definedName>
    <definedName name="_867__FDSAUDITLINK__" localSheetId="0" hidden="1">{"fdsup://Directions/FAT Viewer?action=UPDATE&amp;creator=factset&amp;DOC_NAME=fat:reuters_semi_source_window.fat&amp;display_string=Audit&amp;DYN_ARGS=TRUE&amp;VAR:ID1=B17KTF&amp;VAR:RCODE=FDSENTRPRVAL&amp;VAR:SDATE=38533&amp;VAR:FREQ=Daily&amp;VAR:RELITEM=RF&amp;VAR:CURRENCY=AUD&amp;VAR:CURRSOURCE=","EXSHARE&amp;VAR:NATFREQ=FSA&amp;VAR:RFIELD=FINALIZED&amp;VAR:DB_TYPE=&amp;VAR:UNITS=M&amp;window=popup&amp;width=450&amp;height=300&amp;START_MAXIMIZED=FALSE"}</definedName>
    <definedName name="_867__FDSAUDITLINK__" localSheetId="6" hidden="1">{"fdsup://Directions/FAT Viewer?action=UPDATE&amp;creator=factset&amp;DOC_NAME=fat:reuters_semi_source_window.fat&amp;display_string=Audit&amp;DYN_ARGS=TRUE&amp;VAR:ID1=B17KTF&amp;VAR:RCODE=FDSENTRPRVAL&amp;VAR:SDATE=38533&amp;VAR:FREQ=Daily&amp;VAR:RELITEM=RF&amp;VAR:CURRENCY=AUD&amp;VAR:CURRSOURCE=","EXSHARE&amp;VAR:NATFREQ=FSA&amp;VAR:RFIELD=FINALIZED&amp;VAR:DB_TYPE=&amp;VAR:UNITS=M&amp;window=popup&amp;width=450&amp;height=300&amp;START_MAXIMIZED=FALSE"}</definedName>
    <definedName name="_867__FDSAUDITLINK__" hidden="1">{"fdsup://Directions/FAT Viewer?action=UPDATE&amp;creator=factset&amp;DOC_NAME=fat:reuters_semi_source_window.fat&amp;display_string=Audit&amp;DYN_ARGS=TRUE&amp;VAR:ID1=B17KTF&amp;VAR:RCODE=FDSENTRPRVAL&amp;VAR:SDATE=38533&amp;VAR:FREQ=Daily&amp;VAR:RELITEM=RF&amp;VAR:CURRENCY=AUD&amp;VAR:CURRSOURCE=","EXSHARE&amp;VAR:NATFREQ=FSA&amp;VAR:RFIELD=FINALIZED&amp;VAR:DB_TYPE=&amp;VAR:UNITS=M&amp;window=popup&amp;width=450&amp;height=300&amp;START_MAXIMIZED=FALSE"}</definedName>
    <definedName name="_868__FDSAUDITLINK__" localSheetId="0" hidden="1">{"fdsup://Directions/FAT Viewer?action=UPDATE&amp;creator=factset&amp;DOC_NAME=fat:reuters_semi_source_window.fat&amp;display_string=Audit&amp;DYN_ARGS=TRUE&amp;VAR:ID1=B17KTF&amp;VAR:RCODE=FDSENTRPRVAL&amp;VAR:SDATE=38625&amp;VAR:FREQ=Daily&amp;VAR:RELITEM=RF&amp;VAR:CURRENCY=AUD&amp;VAR:CURRSOURCE=","EXSHARE&amp;VAR:NATFREQ=FSA&amp;VAR:RFIELD=FINALIZED&amp;VAR:DB_TYPE=&amp;VAR:UNITS=M&amp;window=popup&amp;width=450&amp;height=300&amp;START_MAXIMIZED=FALSE"}</definedName>
    <definedName name="_868__FDSAUDITLINK__" localSheetId="6" hidden="1">{"fdsup://Directions/FAT Viewer?action=UPDATE&amp;creator=factset&amp;DOC_NAME=fat:reuters_semi_source_window.fat&amp;display_string=Audit&amp;DYN_ARGS=TRUE&amp;VAR:ID1=B17KTF&amp;VAR:RCODE=FDSENTRPRVAL&amp;VAR:SDATE=38625&amp;VAR:FREQ=Daily&amp;VAR:RELITEM=RF&amp;VAR:CURRENCY=AUD&amp;VAR:CURRSOURCE=","EXSHARE&amp;VAR:NATFREQ=FSA&amp;VAR:RFIELD=FINALIZED&amp;VAR:DB_TYPE=&amp;VAR:UNITS=M&amp;window=popup&amp;width=450&amp;height=300&amp;START_MAXIMIZED=FALSE"}</definedName>
    <definedName name="_868__FDSAUDITLINK__" hidden="1">{"fdsup://Directions/FAT Viewer?action=UPDATE&amp;creator=factset&amp;DOC_NAME=fat:reuters_semi_source_window.fat&amp;display_string=Audit&amp;DYN_ARGS=TRUE&amp;VAR:ID1=B17KTF&amp;VAR:RCODE=FDSENTRPRVAL&amp;VAR:SDATE=38625&amp;VAR:FREQ=Daily&amp;VAR:RELITEM=RF&amp;VAR:CURRENCY=AUD&amp;VAR:CURRSOURCE=","EXSHARE&amp;VAR:NATFREQ=FSA&amp;VAR:RFIELD=FINALIZED&amp;VAR:DB_TYPE=&amp;VAR:UNITS=M&amp;window=popup&amp;width=450&amp;height=300&amp;START_MAXIMIZED=FALSE"}</definedName>
    <definedName name="_869__FDSAUDITLINK__" localSheetId="0" hidden="1">{"fdsup://Directions/FAT Viewer?action=UPDATE&amp;creator=factset&amp;DOC_NAME=fat:reuters_semi_source_window.fat&amp;display_string=Audit&amp;DYN_ARGS=TRUE&amp;VAR:ID1=B17KTF&amp;VAR:RCODE=FDSENTRPRVAL&amp;VAR:SDATE=38717&amp;VAR:FREQ=Daily&amp;VAR:RELITEM=RF&amp;VAR:CURRENCY=AUD&amp;VAR:CURRSOURCE=","EXSHARE&amp;VAR:NATFREQ=FSA&amp;VAR:RFIELD=FINALIZED&amp;VAR:DB_TYPE=&amp;VAR:UNITS=M&amp;window=popup&amp;width=450&amp;height=300&amp;START_MAXIMIZED=FALSE"}</definedName>
    <definedName name="_869__FDSAUDITLINK__" localSheetId="6" hidden="1">{"fdsup://Directions/FAT Viewer?action=UPDATE&amp;creator=factset&amp;DOC_NAME=fat:reuters_semi_source_window.fat&amp;display_string=Audit&amp;DYN_ARGS=TRUE&amp;VAR:ID1=B17KTF&amp;VAR:RCODE=FDSENTRPRVAL&amp;VAR:SDATE=38717&amp;VAR:FREQ=Daily&amp;VAR:RELITEM=RF&amp;VAR:CURRENCY=AUD&amp;VAR:CURRSOURCE=","EXSHARE&amp;VAR:NATFREQ=FSA&amp;VAR:RFIELD=FINALIZED&amp;VAR:DB_TYPE=&amp;VAR:UNITS=M&amp;window=popup&amp;width=450&amp;height=300&amp;START_MAXIMIZED=FALSE"}</definedName>
    <definedName name="_869__FDSAUDITLINK__" hidden="1">{"fdsup://Directions/FAT Viewer?action=UPDATE&amp;creator=factset&amp;DOC_NAME=fat:reuters_semi_source_window.fat&amp;display_string=Audit&amp;DYN_ARGS=TRUE&amp;VAR:ID1=B17KTF&amp;VAR:RCODE=FDSENTRPRVAL&amp;VAR:SDATE=38717&amp;VAR:FREQ=Daily&amp;VAR:RELITEM=RF&amp;VAR:CURRENCY=AUD&amp;VAR:CURRSOURCE=","EXSHARE&amp;VAR:NATFREQ=FSA&amp;VAR:RFIELD=FINALIZED&amp;VAR:DB_TYPE=&amp;VAR:UNITS=M&amp;window=popup&amp;width=450&amp;height=300&amp;START_MAXIMIZED=FALSE"}</definedName>
    <definedName name="_87__123Graph_ECHART_7" hidden="1">#REF!</definedName>
    <definedName name="_87__FDSAUDITLINK__" localSheetId="0" hidden="1">{"fdsup://directions/FAT Viewer?action=UPDATE&amp;creator=factSet&amp;DYN_ARGS=true&amp;DOC_NAME=FAT:RGA_ENTRPR_VAL_EV_SOURCE_WINDOW.FAT&amp;VAR:ID1=&amp;window=popup&amp;width=535&amp;height=425&amp;START_MAXIMIZED=FALSE&amp;Y=120"}</definedName>
    <definedName name="_87__FDSAUDITLINK__" localSheetId="6" hidden="1">{"fdsup://directions/FAT Viewer?action=UPDATE&amp;creator=factSet&amp;DYN_ARGS=true&amp;DOC_NAME=FAT:RGA_ENTRPR_VAL_EV_SOURCE_WINDOW.FAT&amp;VAR:ID1=&amp;window=popup&amp;width=535&amp;height=425&amp;START_MAXIMIZED=FALSE&amp;Y=120"}</definedName>
    <definedName name="_87__FDSAUDITLINK__" hidden="1">{"fdsup://directions/FAT Viewer?action=UPDATE&amp;creator=factSet&amp;DYN_ARGS=true&amp;DOC_NAME=FAT:RGA_ENTRPR_VAL_EV_SOURCE_WINDOW.FAT&amp;VAR:ID1=&amp;window=popup&amp;width=535&amp;height=425&amp;START_MAXIMIZED=FALSE&amp;Y=120"}</definedName>
    <definedName name="_870__123Graph_LBL_CCHART_41" hidden="1">#REF!</definedName>
    <definedName name="_870__FDSAUDITLINK__" localSheetId="0" hidden="1">{"fdsup://Directions/FAT Viewer?action=UPDATE&amp;creator=factset&amp;DOC_NAME=fat:reuters_semi_source_window.fat&amp;display_string=Audit&amp;DYN_ARGS=TRUE&amp;VAR:ID1=B17KTF&amp;VAR:RCODE=FDSENTRPRVAL&amp;VAR:SDATE=38807&amp;VAR:FREQ=Daily&amp;VAR:RELITEM=RF&amp;VAR:CURRENCY=AUD&amp;VAR:CURRSOURCE=","EXSHARE&amp;VAR:NATFREQ=FSA&amp;VAR:RFIELD=FINALIZED&amp;VAR:DB_TYPE=&amp;VAR:UNITS=M&amp;window=popup&amp;width=450&amp;height=300&amp;START_MAXIMIZED=FALSE"}</definedName>
    <definedName name="_870__FDSAUDITLINK__" localSheetId="6" hidden="1">{"fdsup://Directions/FAT Viewer?action=UPDATE&amp;creator=factset&amp;DOC_NAME=fat:reuters_semi_source_window.fat&amp;display_string=Audit&amp;DYN_ARGS=TRUE&amp;VAR:ID1=B17KTF&amp;VAR:RCODE=FDSENTRPRVAL&amp;VAR:SDATE=38807&amp;VAR:FREQ=Daily&amp;VAR:RELITEM=RF&amp;VAR:CURRENCY=AUD&amp;VAR:CURRSOURCE=","EXSHARE&amp;VAR:NATFREQ=FSA&amp;VAR:RFIELD=FINALIZED&amp;VAR:DB_TYPE=&amp;VAR:UNITS=M&amp;window=popup&amp;width=450&amp;height=300&amp;START_MAXIMIZED=FALSE"}</definedName>
    <definedName name="_870__FDSAUDITLINK__" hidden="1">{"fdsup://Directions/FAT Viewer?action=UPDATE&amp;creator=factset&amp;DOC_NAME=fat:reuters_semi_source_window.fat&amp;display_string=Audit&amp;DYN_ARGS=TRUE&amp;VAR:ID1=B17KTF&amp;VAR:RCODE=FDSENTRPRVAL&amp;VAR:SDATE=38807&amp;VAR:FREQ=Daily&amp;VAR:RELITEM=RF&amp;VAR:CURRENCY=AUD&amp;VAR:CURRSOURCE=","EXSHARE&amp;VAR:NATFREQ=FSA&amp;VAR:RFIELD=FINALIZED&amp;VAR:DB_TYPE=&amp;VAR:UNITS=M&amp;window=popup&amp;width=450&amp;height=300&amp;START_MAXIMIZED=FALSE"}</definedName>
    <definedName name="_871__FDSAUDITLINK__" localSheetId="0" hidden="1">{"fdsup://Directions/FAT Viewer?action=UPDATE&amp;creator=factset&amp;DOC_NAME=fat:reuters_semi_source_window.fat&amp;display_string=Audit&amp;DYN_ARGS=TRUE&amp;VAR:ID1=B17KTF&amp;VAR:RCODE=FDSENTRPRVAL&amp;VAR:SDATE=38898&amp;VAR:FREQ=Daily&amp;VAR:RELITEM=RF&amp;VAR:CURRENCY=AUD&amp;VAR:CURRSOURCE=","EXSHARE&amp;VAR:NATFREQ=FSA&amp;VAR:RFIELD=FINALIZED&amp;VAR:DB_TYPE=&amp;VAR:UNITS=M&amp;window=popup&amp;width=450&amp;height=300&amp;START_MAXIMIZED=FALSE"}</definedName>
    <definedName name="_871__FDSAUDITLINK__" localSheetId="6" hidden="1">{"fdsup://Directions/FAT Viewer?action=UPDATE&amp;creator=factset&amp;DOC_NAME=fat:reuters_semi_source_window.fat&amp;display_string=Audit&amp;DYN_ARGS=TRUE&amp;VAR:ID1=B17KTF&amp;VAR:RCODE=FDSENTRPRVAL&amp;VAR:SDATE=38898&amp;VAR:FREQ=Daily&amp;VAR:RELITEM=RF&amp;VAR:CURRENCY=AUD&amp;VAR:CURRSOURCE=","EXSHARE&amp;VAR:NATFREQ=FSA&amp;VAR:RFIELD=FINALIZED&amp;VAR:DB_TYPE=&amp;VAR:UNITS=M&amp;window=popup&amp;width=450&amp;height=300&amp;START_MAXIMIZED=FALSE"}</definedName>
    <definedName name="_871__FDSAUDITLINK__" hidden="1">{"fdsup://Directions/FAT Viewer?action=UPDATE&amp;creator=factset&amp;DOC_NAME=fat:reuters_semi_source_window.fat&amp;display_string=Audit&amp;DYN_ARGS=TRUE&amp;VAR:ID1=B17KTF&amp;VAR:RCODE=FDSENTRPRVAL&amp;VAR:SDATE=38898&amp;VAR:FREQ=Daily&amp;VAR:RELITEM=RF&amp;VAR:CURRENCY=AUD&amp;VAR:CURRSOURCE=","EXSHARE&amp;VAR:NATFREQ=FSA&amp;VAR:RFIELD=FINALIZED&amp;VAR:DB_TYPE=&amp;VAR:UNITS=M&amp;window=popup&amp;width=450&amp;height=300&amp;START_MAXIMIZED=FALSE"}</definedName>
    <definedName name="_872__FDSAUDITLINK__" localSheetId="0" hidden="1">{"fdsup://Directions/FAT Viewer?action=UPDATE&amp;creator=factset&amp;DOC_NAME=fat:reuters_semi_source_window.fat&amp;display_string=Audit&amp;DYN_ARGS=TRUE&amp;VAR:ID1=B17KTF&amp;VAR:RCODE=FDSENTRPRVAL&amp;VAR:SDATE=38990&amp;VAR:FREQ=Daily&amp;VAR:RELITEM=RF&amp;VAR:CURRENCY=AUD&amp;VAR:CURRSOURCE=","EXSHARE&amp;VAR:NATFREQ=FSA&amp;VAR:RFIELD=FINALIZED&amp;VAR:DB_TYPE=&amp;VAR:UNITS=M&amp;window=popup&amp;width=450&amp;height=300&amp;START_MAXIMIZED=FALSE"}</definedName>
    <definedName name="_872__FDSAUDITLINK__" localSheetId="6" hidden="1">{"fdsup://Directions/FAT Viewer?action=UPDATE&amp;creator=factset&amp;DOC_NAME=fat:reuters_semi_source_window.fat&amp;display_string=Audit&amp;DYN_ARGS=TRUE&amp;VAR:ID1=B17KTF&amp;VAR:RCODE=FDSENTRPRVAL&amp;VAR:SDATE=38990&amp;VAR:FREQ=Daily&amp;VAR:RELITEM=RF&amp;VAR:CURRENCY=AUD&amp;VAR:CURRSOURCE=","EXSHARE&amp;VAR:NATFREQ=FSA&amp;VAR:RFIELD=FINALIZED&amp;VAR:DB_TYPE=&amp;VAR:UNITS=M&amp;window=popup&amp;width=450&amp;height=300&amp;START_MAXIMIZED=FALSE"}</definedName>
    <definedName name="_872__FDSAUDITLINK__" hidden="1">{"fdsup://Directions/FAT Viewer?action=UPDATE&amp;creator=factset&amp;DOC_NAME=fat:reuters_semi_source_window.fat&amp;display_string=Audit&amp;DYN_ARGS=TRUE&amp;VAR:ID1=B17KTF&amp;VAR:RCODE=FDSENTRPRVAL&amp;VAR:SDATE=38990&amp;VAR:FREQ=Daily&amp;VAR:RELITEM=RF&amp;VAR:CURRENCY=AUD&amp;VAR:CURRSOURCE=","EXSHARE&amp;VAR:NATFREQ=FSA&amp;VAR:RFIELD=FINALIZED&amp;VAR:DB_TYPE=&amp;VAR:UNITS=M&amp;window=popup&amp;width=450&amp;height=300&amp;START_MAXIMIZED=FALSE"}</definedName>
    <definedName name="_873__FDSAUDITLINK__" localSheetId="0" hidden="1">{"fdsup://Directions/FAT Viewer?action=UPDATE&amp;creator=factset&amp;DOC_NAME=fat:reuters_semi_source_window.fat&amp;display_string=Audit&amp;DYN_ARGS=TRUE&amp;VAR:ID1=B17KTF&amp;VAR:RCODE=FDSENTRPRVAL&amp;VAR:SDATE=39082&amp;VAR:FREQ=Daily&amp;VAR:RELITEM=RF&amp;VAR:CURRENCY=AUD&amp;VAR:CURRSOURCE=","EXSHARE&amp;VAR:NATFREQ=FSA&amp;VAR:RFIELD=FINALIZED&amp;VAR:DB_TYPE=&amp;VAR:UNITS=M&amp;window=popup&amp;width=450&amp;height=300&amp;START_MAXIMIZED=FALSE"}</definedName>
    <definedName name="_873__FDSAUDITLINK__" localSheetId="6" hidden="1">{"fdsup://Directions/FAT Viewer?action=UPDATE&amp;creator=factset&amp;DOC_NAME=fat:reuters_semi_source_window.fat&amp;display_string=Audit&amp;DYN_ARGS=TRUE&amp;VAR:ID1=B17KTF&amp;VAR:RCODE=FDSENTRPRVAL&amp;VAR:SDATE=39082&amp;VAR:FREQ=Daily&amp;VAR:RELITEM=RF&amp;VAR:CURRENCY=AUD&amp;VAR:CURRSOURCE=","EXSHARE&amp;VAR:NATFREQ=FSA&amp;VAR:RFIELD=FINALIZED&amp;VAR:DB_TYPE=&amp;VAR:UNITS=M&amp;window=popup&amp;width=450&amp;height=300&amp;START_MAXIMIZED=FALSE"}</definedName>
    <definedName name="_873__FDSAUDITLINK__" hidden="1">{"fdsup://Directions/FAT Viewer?action=UPDATE&amp;creator=factset&amp;DOC_NAME=fat:reuters_semi_source_window.fat&amp;display_string=Audit&amp;DYN_ARGS=TRUE&amp;VAR:ID1=B17KTF&amp;VAR:RCODE=FDSENTRPRVAL&amp;VAR:SDATE=39082&amp;VAR:FREQ=Daily&amp;VAR:RELITEM=RF&amp;VAR:CURRENCY=AUD&amp;VAR:CURRSOURCE=","EXSHARE&amp;VAR:NATFREQ=FSA&amp;VAR:RFIELD=FINALIZED&amp;VAR:DB_TYPE=&amp;VAR:UNITS=M&amp;window=popup&amp;width=450&amp;height=300&amp;START_MAXIMIZED=FALSE"}</definedName>
    <definedName name="_874__123Graph_LBL_DCHART_15" hidden="1">#REF!</definedName>
    <definedName name="_874__FDSAUDITLINK__" localSheetId="0" hidden="1">{"fdsup://Directions/FAT Viewer?action=UPDATE&amp;creator=factset&amp;DOC_NAME=fat:reuters_semi_source_window.fat&amp;display_string=Audit&amp;DYN_ARGS=TRUE&amp;VAR:ID1=B17KTF&amp;VAR:RCODE=FDSENTRPRVAL&amp;VAR:SDATE=39172&amp;VAR:FREQ=Daily&amp;VAR:RELITEM=RF&amp;VAR:CURRENCY=AUD&amp;VAR:CURRSOURCE=","EXSHARE&amp;VAR:NATFREQ=FSA&amp;VAR:RFIELD=FINALIZED&amp;VAR:DB_TYPE=&amp;VAR:UNITS=M&amp;window=popup&amp;width=450&amp;height=300&amp;START_MAXIMIZED=FALSE"}</definedName>
    <definedName name="_874__FDSAUDITLINK__" localSheetId="6" hidden="1">{"fdsup://Directions/FAT Viewer?action=UPDATE&amp;creator=factset&amp;DOC_NAME=fat:reuters_semi_source_window.fat&amp;display_string=Audit&amp;DYN_ARGS=TRUE&amp;VAR:ID1=B17KTF&amp;VAR:RCODE=FDSENTRPRVAL&amp;VAR:SDATE=39172&amp;VAR:FREQ=Daily&amp;VAR:RELITEM=RF&amp;VAR:CURRENCY=AUD&amp;VAR:CURRSOURCE=","EXSHARE&amp;VAR:NATFREQ=FSA&amp;VAR:RFIELD=FINALIZED&amp;VAR:DB_TYPE=&amp;VAR:UNITS=M&amp;window=popup&amp;width=450&amp;height=300&amp;START_MAXIMIZED=FALSE"}</definedName>
    <definedName name="_874__FDSAUDITLINK__" hidden="1">{"fdsup://Directions/FAT Viewer?action=UPDATE&amp;creator=factset&amp;DOC_NAME=fat:reuters_semi_source_window.fat&amp;display_string=Audit&amp;DYN_ARGS=TRUE&amp;VAR:ID1=B17KTF&amp;VAR:RCODE=FDSENTRPRVAL&amp;VAR:SDATE=39172&amp;VAR:FREQ=Daily&amp;VAR:RELITEM=RF&amp;VAR:CURRENCY=AUD&amp;VAR:CURRSOURCE=","EXSHARE&amp;VAR:NATFREQ=FSA&amp;VAR:RFIELD=FINALIZED&amp;VAR:DB_TYPE=&amp;VAR:UNITS=M&amp;window=popup&amp;width=450&amp;height=300&amp;START_MAXIMIZED=FALSE"}</definedName>
    <definedName name="_875__FDSAUDITLINK__" localSheetId="0" hidden="1">{"fdsup://Directions/FAT Viewer?action=UPDATE&amp;creator=factset&amp;DOC_NAME=fat:reuters_semi_source_window.fat&amp;display_string=Audit&amp;DYN_ARGS=TRUE&amp;VAR:ID1=B17KTF&amp;VAR:RCODE=FDSENTRPRVAL&amp;VAR:SDATE=39263&amp;VAR:FREQ=Daily&amp;VAR:RELITEM=RF&amp;VAR:CURRENCY=AUD&amp;VAR:CURRSOURCE=","EXSHARE&amp;VAR:NATFREQ=FSA&amp;VAR:RFIELD=FINALIZED&amp;VAR:DB_TYPE=&amp;VAR:UNITS=M&amp;window=popup&amp;width=450&amp;height=300&amp;START_MAXIMIZED=FALSE"}</definedName>
    <definedName name="_875__FDSAUDITLINK__" localSheetId="6" hidden="1">{"fdsup://Directions/FAT Viewer?action=UPDATE&amp;creator=factset&amp;DOC_NAME=fat:reuters_semi_source_window.fat&amp;display_string=Audit&amp;DYN_ARGS=TRUE&amp;VAR:ID1=B17KTF&amp;VAR:RCODE=FDSENTRPRVAL&amp;VAR:SDATE=39263&amp;VAR:FREQ=Daily&amp;VAR:RELITEM=RF&amp;VAR:CURRENCY=AUD&amp;VAR:CURRSOURCE=","EXSHARE&amp;VAR:NATFREQ=FSA&amp;VAR:RFIELD=FINALIZED&amp;VAR:DB_TYPE=&amp;VAR:UNITS=M&amp;window=popup&amp;width=450&amp;height=300&amp;START_MAXIMIZED=FALSE"}</definedName>
    <definedName name="_875__FDSAUDITLINK__" hidden="1">{"fdsup://Directions/FAT Viewer?action=UPDATE&amp;creator=factset&amp;DOC_NAME=fat:reuters_semi_source_window.fat&amp;display_string=Audit&amp;DYN_ARGS=TRUE&amp;VAR:ID1=B17KTF&amp;VAR:RCODE=FDSENTRPRVAL&amp;VAR:SDATE=39263&amp;VAR:FREQ=Daily&amp;VAR:RELITEM=RF&amp;VAR:CURRENCY=AUD&amp;VAR:CURRSOURCE=","EXSHARE&amp;VAR:NATFREQ=FSA&amp;VAR:RFIELD=FINALIZED&amp;VAR:DB_TYPE=&amp;VAR:UNITS=M&amp;window=popup&amp;width=450&amp;height=300&amp;START_MAXIMIZED=FALSE"}</definedName>
    <definedName name="_876__FDSAUDITLINK__" localSheetId="0" hidden="1">{"fdsup://Directions/FAT Viewer?action=UPDATE&amp;creator=factset&amp;DOC_NAME=fat:reuters_semi_source_window.fat&amp;display_string=Audit&amp;DYN_ARGS=TRUE&amp;VAR:ID1=B17KTF&amp;VAR:RCODE=FDSENTRPRVAL&amp;VAR:SDATE=39355&amp;VAR:FREQ=Daily&amp;VAR:RELITEM=RF&amp;VAR:CURRENCY=AUD&amp;VAR:CURRSOURCE=","EXSHARE&amp;VAR:NATFREQ=FSA&amp;VAR:RFIELD=FINALIZED&amp;VAR:DB_TYPE=&amp;VAR:UNITS=M&amp;window=popup&amp;width=450&amp;height=300&amp;START_MAXIMIZED=FALSE"}</definedName>
    <definedName name="_876__FDSAUDITLINK__" localSheetId="6" hidden="1">{"fdsup://Directions/FAT Viewer?action=UPDATE&amp;creator=factset&amp;DOC_NAME=fat:reuters_semi_source_window.fat&amp;display_string=Audit&amp;DYN_ARGS=TRUE&amp;VAR:ID1=B17KTF&amp;VAR:RCODE=FDSENTRPRVAL&amp;VAR:SDATE=39355&amp;VAR:FREQ=Daily&amp;VAR:RELITEM=RF&amp;VAR:CURRENCY=AUD&amp;VAR:CURRSOURCE=","EXSHARE&amp;VAR:NATFREQ=FSA&amp;VAR:RFIELD=FINALIZED&amp;VAR:DB_TYPE=&amp;VAR:UNITS=M&amp;window=popup&amp;width=450&amp;height=300&amp;START_MAXIMIZED=FALSE"}</definedName>
    <definedName name="_876__FDSAUDITLINK__" hidden="1">{"fdsup://Directions/FAT Viewer?action=UPDATE&amp;creator=factset&amp;DOC_NAME=fat:reuters_semi_source_window.fat&amp;display_string=Audit&amp;DYN_ARGS=TRUE&amp;VAR:ID1=B17KTF&amp;VAR:RCODE=FDSENTRPRVAL&amp;VAR:SDATE=39355&amp;VAR:FREQ=Daily&amp;VAR:RELITEM=RF&amp;VAR:CURRENCY=AUD&amp;VAR:CURRSOURCE=","EXSHARE&amp;VAR:NATFREQ=FSA&amp;VAR:RFIELD=FINALIZED&amp;VAR:DB_TYPE=&amp;VAR:UNITS=M&amp;window=popup&amp;width=450&amp;height=300&amp;START_MAXIMIZED=FALSE"}</definedName>
    <definedName name="_877__FDSAUDITLINK__" localSheetId="0" hidden="1">{"fdsup://Directions/FAT Viewer?action=UPDATE&amp;creator=factset&amp;DOC_NAME=fat:reuters_semi_source_window.fat&amp;display_string=Audit&amp;DYN_ARGS=TRUE&amp;VAR:ID1=B17KTF&amp;VAR:RCODE=FDSENTRPRVAL&amp;VAR:SDATE=39447&amp;VAR:FREQ=Daily&amp;VAR:RELITEM=RF&amp;VAR:CURRENCY=AUD&amp;VAR:CURRSOURCE=","EXSHARE&amp;VAR:NATFREQ=FSA&amp;VAR:RFIELD=FINALIZED&amp;VAR:DB_TYPE=&amp;VAR:UNITS=M&amp;window=popup&amp;width=450&amp;height=300&amp;START_MAXIMIZED=FALSE"}</definedName>
    <definedName name="_877__FDSAUDITLINK__" localSheetId="6" hidden="1">{"fdsup://Directions/FAT Viewer?action=UPDATE&amp;creator=factset&amp;DOC_NAME=fat:reuters_semi_source_window.fat&amp;display_string=Audit&amp;DYN_ARGS=TRUE&amp;VAR:ID1=B17KTF&amp;VAR:RCODE=FDSENTRPRVAL&amp;VAR:SDATE=39447&amp;VAR:FREQ=Daily&amp;VAR:RELITEM=RF&amp;VAR:CURRENCY=AUD&amp;VAR:CURRSOURCE=","EXSHARE&amp;VAR:NATFREQ=FSA&amp;VAR:RFIELD=FINALIZED&amp;VAR:DB_TYPE=&amp;VAR:UNITS=M&amp;window=popup&amp;width=450&amp;height=300&amp;START_MAXIMIZED=FALSE"}</definedName>
    <definedName name="_877__FDSAUDITLINK__" hidden="1">{"fdsup://Directions/FAT Viewer?action=UPDATE&amp;creator=factset&amp;DOC_NAME=fat:reuters_semi_source_window.fat&amp;display_string=Audit&amp;DYN_ARGS=TRUE&amp;VAR:ID1=B17KTF&amp;VAR:RCODE=FDSENTRPRVAL&amp;VAR:SDATE=39447&amp;VAR:FREQ=Daily&amp;VAR:RELITEM=RF&amp;VAR:CURRENCY=AUD&amp;VAR:CURRSOURCE=","EXSHARE&amp;VAR:NATFREQ=FSA&amp;VAR:RFIELD=FINALIZED&amp;VAR:DB_TYPE=&amp;VAR:UNITS=M&amp;window=popup&amp;width=450&amp;height=300&amp;START_MAXIMIZED=FALSE"}</definedName>
    <definedName name="_878__FDSAUDITLINK__" localSheetId="0" hidden="1">{"fdsup://Directions/FAT Viewer?action=UPDATE&amp;creator=factset&amp;DOC_NAME=fat:reuters_semi_source_window.fat&amp;display_string=Audit&amp;DYN_ARGS=TRUE&amp;VAR:ID1=B17KTF&amp;VAR:RCODE=FDSENTRPRVAL&amp;VAR:SDATE=39538&amp;VAR:FREQ=Daily&amp;VAR:RELITEM=RF&amp;VAR:CURRENCY=AUD&amp;VAR:CURRSOURCE=","EXSHARE&amp;VAR:NATFREQ=FSA&amp;VAR:RFIELD=FINALIZED&amp;VAR:DB_TYPE=&amp;VAR:UNITS=M&amp;window=popup&amp;width=450&amp;height=300&amp;START_MAXIMIZED=FALSE"}</definedName>
    <definedName name="_878__FDSAUDITLINK__" localSheetId="6" hidden="1">{"fdsup://Directions/FAT Viewer?action=UPDATE&amp;creator=factset&amp;DOC_NAME=fat:reuters_semi_source_window.fat&amp;display_string=Audit&amp;DYN_ARGS=TRUE&amp;VAR:ID1=B17KTF&amp;VAR:RCODE=FDSENTRPRVAL&amp;VAR:SDATE=39538&amp;VAR:FREQ=Daily&amp;VAR:RELITEM=RF&amp;VAR:CURRENCY=AUD&amp;VAR:CURRSOURCE=","EXSHARE&amp;VAR:NATFREQ=FSA&amp;VAR:RFIELD=FINALIZED&amp;VAR:DB_TYPE=&amp;VAR:UNITS=M&amp;window=popup&amp;width=450&amp;height=300&amp;START_MAXIMIZED=FALSE"}</definedName>
    <definedName name="_878__FDSAUDITLINK__" hidden="1">{"fdsup://Directions/FAT Viewer?action=UPDATE&amp;creator=factset&amp;DOC_NAME=fat:reuters_semi_source_window.fat&amp;display_string=Audit&amp;DYN_ARGS=TRUE&amp;VAR:ID1=B17KTF&amp;VAR:RCODE=FDSENTRPRVAL&amp;VAR:SDATE=39538&amp;VAR:FREQ=Daily&amp;VAR:RELITEM=RF&amp;VAR:CURRENCY=AUD&amp;VAR:CURRSOURCE=","EXSHARE&amp;VAR:NATFREQ=FSA&amp;VAR:RFIELD=FINALIZED&amp;VAR:DB_TYPE=&amp;VAR:UNITS=M&amp;window=popup&amp;width=450&amp;height=300&amp;START_MAXIMIZED=FALSE"}</definedName>
    <definedName name="_879__FDSAUDITLINK__" localSheetId="0" hidden="1">{"fdsup://Directions/FAT Viewer?action=UPDATE&amp;creator=factset&amp;DOC_NAME=fat:reuters_semi_source_window.fat&amp;display_string=Audit&amp;DYN_ARGS=TRUE&amp;VAR:ID1=B17KTF&amp;VAR:RCODE=FDSENTRPRVAL&amp;VAR:SDATE=37711&amp;VAR:FREQ=Daily&amp;VAR:RELITEM=RF&amp;VAR:CURRENCY=AUD&amp;VAR:CURRSOURCE=","EXSHARE&amp;VAR:NATFREQ=FSA&amp;VAR:RFIELD=FINALIZED&amp;VAR:DB_TYPE=&amp;VAR:UNITS=M&amp;window=popup&amp;width=450&amp;height=300&amp;START_MAXIMIZED=FALSE"}</definedName>
    <definedName name="_879__FDSAUDITLINK__" localSheetId="6" hidden="1">{"fdsup://Directions/FAT Viewer?action=UPDATE&amp;creator=factset&amp;DOC_NAME=fat:reuters_semi_source_window.fat&amp;display_string=Audit&amp;DYN_ARGS=TRUE&amp;VAR:ID1=B17KTF&amp;VAR:RCODE=FDSENTRPRVAL&amp;VAR:SDATE=37711&amp;VAR:FREQ=Daily&amp;VAR:RELITEM=RF&amp;VAR:CURRENCY=AUD&amp;VAR:CURRSOURCE=","EXSHARE&amp;VAR:NATFREQ=FSA&amp;VAR:RFIELD=FINALIZED&amp;VAR:DB_TYPE=&amp;VAR:UNITS=M&amp;window=popup&amp;width=450&amp;height=300&amp;START_MAXIMIZED=FALSE"}</definedName>
    <definedName name="_879__FDSAUDITLINK__" hidden="1">{"fdsup://Directions/FAT Viewer?action=UPDATE&amp;creator=factset&amp;DOC_NAME=fat:reuters_semi_source_window.fat&amp;display_string=Audit&amp;DYN_ARGS=TRUE&amp;VAR:ID1=B17KTF&amp;VAR:RCODE=FDSENTRPRVAL&amp;VAR:SDATE=37711&amp;VAR:FREQ=Daily&amp;VAR:RELITEM=RF&amp;VAR:CURRENCY=AUD&amp;VAR:CURRSOURCE=","EXSHARE&amp;VAR:NATFREQ=FSA&amp;VAR:RFIELD=FINALIZED&amp;VAR:DB_TYPE=&amp;VAR:UNITS=M&amp;window=popup&amp;width=450&amp;height=300&amp;START_MAXIMIZED=FALSE"}</definedName>
    <definedName name="_88__123Graph_ECHART_8" hidden="1">#REF!</definedName>
    <definedName name="_88__123Graph_LBL_ACHART_3" hidden="1">#REF!</definedName>
    <definedName name="_88__FDSAUDITLINK__" localSheetId="0" hidden="1">{"fdsup://directions/FAT Viewer?action=UPDATE&amp;creator=factSet&amp;DYN_ARGS=true&amp;DOC_NAME=FAT:RGA_ENTRPR_VAL_EV_SOURCE_WINDOW.FAT&amp;VAR:ID1=&amp;window=popup&amp;width=535&amp;height=425&amp;START_MAXIMIZED=FALSE&amp;Y=120"}</definedName>
    <definedName name="_88__FDSAUDITLINK__" localSheetId="6" hidden="1">{"fdsup://directions/FAT Viewer?action=UPDATE&amp;creator=factSet&amp;DYN_ARGS=true&amp;DOC_NAME=FAT:RGA_ENTRPR_VAL_EV_SOURCE_WINDOW.FAT&amp;VAR:ID1=&amp;window=popup&amp;width=535&amp;height=425&amp;START_MAXIMIZED=FALSE&amp;Y=120"}</definedName>
    <definedName name="_88__FDSAUDITLINK__" hidden="1">{"fdsup://directions/FAT Viewer?action=UPDATE&amp;creator=factSet&amp;DYN_ARGS=true&amp;DOC_NAME=FAT:RGA_ENTRPR_VAL_EV_SOURCE_WINDOW.FAT&amp;VAR:ID1=&amp;window=popup&amp;width=535&amp;height=425&amp;START_MAXIMIZED=FALSE&amp;Y=120"}</definedName>
    <definedName name="_880__FDSAUDITLINK__" localSheetId="0" hidden="1">{"fdsup://Directions/FAT Viewer?action=UPDATE&amp;creator=factset&amp;DOC_NAME=fat:reuters_semi_source_window.fat&amp;display_string=Audit&amp;DYN_ARGS=TRUE&amp;VAR:ID1=B17KTF&amp;VAR:RCODE=FDSENTRPRVAL&amp;VAR:SDATE=37802&amp;VAR:FREQ=Daily&amp;VAR:RELITEM=RF&amp;VAR:CURRENCY=AUD&amp;VAR:CURRSOURCE=","EXSHARE&amp;VAR:NATFREQ=FSA&amp;VAR:RFIELD=FINALIZED&amp;VAR:DB_TYPE=&amp;VAR:UNITS=M&amp;window=popup&amp;width=450&amp;height=300&amp;START_MAXIMIZED=FALSE"}</definedName>
    <definedName name="_880__FDSAUDITLINK__" localSheetId="6" hidden="1">{"fdsup://Directions/FAT Viewer?action=UPDATE&amp;creator=factset&amp;DOC_NAME=fat:reuters_semi_source_window.fat&amp;display_string=Audit&amp;DYN_ARGS=TRUE&amp;VAR:ID1=B17KTF&amp;VAR:RCODE=FDSENTRPRVAL&amp;VAR:SDATE=37802&amp;VAR:FREQ=Daily&amp;VAR:RELITEM=RF&amp;VAR:CURRENCY=AUD&amp;VAR:CURRSOURCE=","EXSHARE&amp;VAR:NATFREQ=FSA&amp;VAR:RFIELD=FINALIZED&amp;VAR:DB_TYPE=&amp;VAR:UNITS=M&amp;window=popup&amp;width=450&amp;height=300&amp;START_MAXIMIZED=FALSE"}</definedName>
    <definedName name="_880__FDSAUDITLINK__" hidden="1">{"fdsup://Directions/FAT Viewer?action=UPDATE&amp;creator=factset&amp;DOC_NAME=fat:reuters_semi_source_window.fat&amp;display_string=Audit&amp;DYN_ARGS=TRUE&amp;VAR:ID1=B17KTF&amp;VAR:RCODE=FDSENTRPRVAL&amp;VAR:SDATE=37802&amp;VAR:FREQ=Daily&amp;VAR:RELITEM=RF&amp;VAR:CURRENCY=AUD&amp;VAR:CURRSOURCE=","EXSHARE&amp;VAR:NATFREQ=FSA&amp;VAR:RFIELD=FINALIZED&amp;VAR:DB_TYPE=&amp;VAR:UNITS=M&amp;window=popup&amp;width=450&amp;height=300&amp;START_MAXIMIZED=FALSE"}</definedName>
    <definedName name="_881__FDSAUDITLINK__" localSheetId="0" hidden="1">{"fdsup://Directions/FAT Viewer?action=UPDATE&amp;creator=factset&amp;DOC_NAME=fat:reuters_semi_source_window.fat&amp;display_string=Audit&amp;DYN_ARGS=TRUE&amp;VAR:ID1=B17KTF&amp;VAR:RCODE=FDSENTRPRVAL&amp;VAR:SDATE=37894&amp;VAR:FREQ=Daily&amp;VAR:RELITEM=RF&amp;VAR:CURRENCY=AUD&amp;VAR:CURRSOURCE=","EXSHARE&amp;VAR:NATFREQ=FSA&amp;VAR:RFIELD=FINALIZED&amp;VAR:DB_TYPE=&amp;VAR:UNITS=M&amp;window=popup&amp;width=450&amp;height=300&amp;START_MAXIMIZED=FALSE"}</definedName>
    <definedName name="_881__FDSAUDITLINK__" localSheetId="6" hidden="1">{"fdsup://Directions/FAT Viewer?action=UPDATE&amp;creator=factset&amp;DOC_NAME=fat:reuters_semi_source_window.fat&amp;display_string=Audit&amp;DYN_ARGS=TRUE&amp;VAR:ID1=B17KTF&amp;VAR:RCODE=FDSENTRPRVAL&amp;VAR:SDATE=37894&amp;VAR:FREQ=Daily&amp;VAR:RELITEM=RF&amp;VAR:CURRENCY=AUD&amp;VAR:CURRSOURCE=","EXSHARE&amp;VAR:NATFREQ=FSA&amp;VAR:RFIELD=FINALIZED&amp;VAR:DB_TYPE=&amp;VAR:UNITS=M&amp;window=popup&amp;width=450&amp;height=300&amp;START_MAXIMIZED=FALSE"}</definedName>
    <definedName name="_881__FDSAUDITLINK__" hidden="1">{"fdsup://Directions/FAT Viewer?action=UPDATE&amp;creator=factset&amp;DOC_NAME=fat:reuters_semi_source_window.fat&amp;display_string=Audit&amp;DYN_ARGS=TRUE&amp;VAR:ID1=B17KTF&amp;VAR:RCODE=FDSENTRPRVAL&amp;VAR:SDATE=37894&amp;VAR:FREQ=Daily&amp;VAR:RELITEM=RF&amp;VAR:CURRENCY=AUD&amp;VAR:CURRSOURCE=","EXSHARE&amp;VAR:NATFREQ=FSA&amp;VAR:RFIELD=FINALIZED&amp;VAR:DB_TYPE=&amp;VAR:UNITS=M&amp;window=popup&amp;width=450&amp;height=300&amp;START_MAXIMIZED=FALSE"}</definedName>
    <definedName name="_882__FDSAUDITLINK__" localSheetId="0" hidden="1">{"fdsup://Directions/FAT Viewer?action=UPDATE&amp;creator=factset&amp;DOC_NAME=fat:reuters_semi_source_window.fat&amp;display_string=Audit&amp;DYN_ARGS=TRUE&amp;VAR:ID1=B17KTF&amp;VAR:RCODE=FDSENTRPRVAL&amp;VAR:SDATE=37986&amp;VAR:FREQ=Daily&amp;VAR:RELITEM=RF&amp;VAR:CURRENCY=AUD&amp;VAR:CURRSOURCE=","EXSHARE&amp;VAR:NATFREQ=FSA&amp;VAR:RFIELD=FINALIZED&amp;VAR:DB_TYPE=&amp;VAR:UNITS=M&amp;window=popup&amp;width=450&amp;height=300&amp;START_MAXIMIZED=FALSE"}</definedName>
    <definedName name="_882__FDSAUDITLINK__" localSheetId="6" hidden="1">{"fdsup://Directions/FAT Viewer?action=UPDATE&amp;creator=factset&amp;DOC_NAME=fat:reuters_semi_source_window.fat&amp;display_string=Audit&amp;DYN_ARGS=TRUE&amp;VAR:ID1=B17KTF&amp;VAR:RCODE=FDSENTRPRVAL&amp;VAR:SDATE=37986&amp;VAR:FREQ=Daily&amp;VAR:RELITEM=RF&amp;VAR:CURRENCY=AUD&amp;VAR:CURRSOURCE=","EXSHARE&amp;VAR:NATFREQ=FSA&amp;VAR:RFIELD=FINALIZED&amp;VAR:DB_TYPE=&amp;VAR:UNITS=M&amp;window=popup&amp;width=450&amp;height=300&amp;START_MAXIMIZED=FALSE"}</definedName>
    <definedName name="_882__FDSAUDITLINK__" hidden="1">{"fdsup://Directions/FAT Viewer?action=UPDATE&amp;creator=factset&amp;DOC_NAME=fat:reuters_semi_source_window.fat&amp;display_string=Audit&amp;DYN_ARGS=TRUE&amp;VAR:ID1=B17KTF&amp;VAR:RCODE=FDSENTRPRVAL&amp;VAR:SDATE=37986&amp;VAR:FREQ=Daily&amp;VAR:RELITEM=RF&amp;VAR:CURRENCY=AUD&amp;VAR:CURRSOURCE=","EXSHARE&amp;VAR:NATFREQ=FSA&amp;VAR:RFIELD=FINALIZED&amp;VAR:DB_TYPE=&amp;VAR:UNITS=M&amp;window=popup&amp;width=450&amp;height=300&amp;START_MAXIMIZED=FALSE"}</definedName>
    <definedName name="_883__FDSAUDITLINK__" localSheetId="0" hidden="1">{"fdsup://Directions/FAT Viewer?action=UPDATE&amp;creator=factset&amp;DOC_NAME=fat:reuters_semi_source_window.fat&amp;display_string=Audit&amp;DYN_ARGS=TRUE&amp;VAR:ID1=B17KTF&amp;VAR:RCODE=FDSENTRPRVAL&amp;VAR:SDATE=38077&amp;VAR:FREQ=Daily&amp;VAR:RELITEM=RF&amp;VAR:CURRENCY=AUD&amp;VAR:CURRSOURCE=","EXSHARE&amp;VAR:NATFREQ=FSA&amp;VAR:RFIELD=FINALIZED&amp;VAR:DB_TYPE=&amp;VAR:UNITS=M&amp;window=popup&amp;width=450&amp;height=300&amp;START_MAXIMIZED=FALSE"}</definedName>
    <definedName name="_883__FDSAUDITLINK__" localSheetId="6" hidden="1">{"fdsup://Directions/FAT Viewer?action=UPDATE&amp;creator=factset&amp;DOC_NAME=fat:reuters_semi_source_window.fat&amp;display_string=Audit&amp;DYN_ARGS=TRUE&amp;VAR:ID1=B17KTF&amp;VAR:RCODE=FDSENTRPRVAL&amp;VAR:SDATE=38077&amp;VAR:FREQ=Daily&amp;VAR:RELITEM=RF&amp;VAR:CURRENCY=AUD&amp;VAR:CURRSOURCE=","EXSHARE&amp;VAR:NATFREQ=FSA&amp;VAR:RFIELD=FINALIZED&amp;VAR:DB_TYPE=&amp;VAR:UNITS=M&amp;window=popup&amp;width=450&amp;height=300&amp;START_MAXIMIZED=FALSE"}</definedName>
    <definedName name="_883__FDSAUDITLINK__" hidden="1">{"fdsup://Directions/FAT Viewer?action=UPDATE&amp;creator=factset&amp;DOC_NAME=fat:reuters_semi_source_window.fat&amp;display_string=Audit&amp;DYN_ARGS=TRUE&amp;VAR:ID1=B17KTF&amp;VAR:RCODE=FDSENTRPRVAL&amp;VAR:SDATE=38077&amp;VAR:FREQ=Daily&amp;VAR:RELITEM=RF&amp;VAR:CURRENCY=AUD&amp;VAR:CURRSOURCE=","EXSHARE&amp;VAR:NATFREQ=FSA&amp;VAR:RFIELD=FINALIZED&amp;VAR:DB_TYPE=&amp;VAR:UNITS=M&amp;window=popup&amp;width=450&amp;height=300&amp;START_MAXIMIZED=FALSE"}</definedName>
    <definedName name="_884__FDSAUDITLINK__" localSheetId="0" hidden="1">{"fdsup://Directions/FAT Viewer?action=UPDATE&amp;creator=factset&amp;DOC_NAME=fat:reuters_semi_source_window.fat&amp;display_string=Audit&amp;DYN_ARGS=TRUE&amp;VAR:ID1=B17KTF&amp;VAR:RCODE=FDSENTRPRVAL&amp;VAR:SDATE=38168&amp;VAR:FREQ=Daily&amp;VAR:RELITEM=RF&amp;VAR:CURRENCY=AUD&amp;VAR:CURRSOURCE=","EXSHARE&amp;VAR:NATFREQ=FSA&amp;VAR:RFIELD=FINALIZED&amp;VAR:DB_TYPE=&amp;VAR:UNITS=M&amp;window=popup&amp;width=450&amp;height=300&amp;START_MAXIMIZED=FALSE"}</definedName>
    <definedName name="_884__FDSAUDITLINK__" localSheetId="6" hidden="1">{"fdsup://Directions/FAT Viewer?action=UPDATE&amp;creator=factset&amp;DOC_NAME=fat:reuters_semi_source_window.fat&amp;display_string=Audit&amp;DYN_ARGS=TRUE&amp;VAR:ID1=B17KTF&amp;VAR:RCODE=FDSENTRPRVAL&amp;VAR:SDATE=38168&amp;VAR:FREQ=Daily&amp;VAR:RELITEM=RF&amp;VAR:CURRENCY=AUD&amp;VAR:CURRSOURCE=","EXSHARE&amp;VAR:NATFREQ=FSA&amp;VAR:RFIELD=FINALIZED&amp;VAR:DB_TYPE=&amp;VAR:UNITS=M&amp;window=popup&amp;width=450&amp;height=300&amp;START_MAXIMIZED=FALSE"}</definedName>
    <definedName name="_884__FDSAUDITLINK__" hidden="1">{"fdsup://Directions/FAT Viewer?action=UPDATE&amp;creator=factset&amp;DOC_NAME=fat:reuters_semi_source_window.fat&amp;display_string=Audit&amp;DYN_ARGS=TRUE&amp;VAR:ID1=B17KTF&amp;VAR:RCODE=FDSENTRPRVAL&amp;VAR:SDATE=38168&amp;VAR:FREQ=Daily&amp;VAR:RELITEM=RF&amp;VAR:CURRENCY=AUD&amp;VAR:CURRSOURCE=","EXSHARE&amp;VAR:NATFREQ=FSA&amp;VAR:RFIELD=FINALIZED&amp;VAR:DB_TYPE=&amp;VAR:UNITS=M&amp;window=popup&amp;width=450&amp;height=300&amp;START_MAXIMIZED=FALSE"}</definedName>
    <definedName name="_885__FDSAUDITLINK__" localSheetId="0" hidden="1">{"fdsup://Directions/FAT Viewer?action=UPDATE&amp;creator=factset&amp;DOC_NAME=fat:reuters_semi_source_window.fat&amp;display_string=Audit&amp;DYN_ARGS=TRUE&amp;VAR:ID1=B17KTF&amp;VAR:RCODE=FDSENTRPRVAL&amp;VAR:SDATE=38260&amp;VAR:FREQ=Daily&amp;VAR:RELITEM=RF&amp;VAR:CURRENCY=AUD&amp;VAR:CURRSOURCE=","EXSHARE&amp;VAR:NATFREQ=FSA&amp;VAR:RFIELD=FINALIZED&amp;VAR:DB_TYPE=&amp;VAR:UNITS=M&amp;window=popup&amp;width=450&amp;height=300&amp;START_MAXIMIZED=FALSE"}</definedName>
    <definedName name="_885__FDSAUDITLINK__" localSheetId="6" hidden="1">{"fdsup://Directions/FAT Viewer?action=UPDATE&amp;creator=factset&amp;DOC_NAME=fat:reuters_semi_source_window.fat&amp;display_string=Audit&amp;DYN_ARGS=TRUE&amp;VAR:ID1=B17KTF&amp;VAR:RCODE=FDSENTRPRVAL&amp;VAR:SDATE=38260&amp;VAR:FREQ=Daily&amp;VAR:RELITEM=RF&amp;VAR:CURRENCY=AUD&amp;VAR:CURRSOURCE=","EXSHARE&amp;VAR:NATFREQ=FSA&amp;VAR:RFIELD=FINALIZED&amp;VAR:DB_TYPE=&amp;VAR:UNITS=M&amp;window=popup&amp;width=450&amp;height=300&amp;START_MAXIMIZED=FALSE"}</definedName>
    <definedName name="_885__FDSAUDITLINK__" hidden="1">{"fdsup://Directions/FAT Viewer?action=UPDATE&amp;creator=factset&amp;DOC_NAME=fat:reuters_semi_source_window.fat&amp;display_string=Audit&amp;DYN_ARGS=TRUE&amp;VAR:ID1=B17KTF&amp;VAR:RCODE=FDSENTRPRVAL&amp;VAR:SDATE=38260&amp;VAR:FREQ=Daily&amp;VAR:RELITEM=RF&amp;VAR:CURRENCY=AUD&amp;VAR:CURRSOURCE=","EXSHARE&amp;VAR:NATFREQ=FSA&amp;VAR:RFIELD=FINALIZED&amp;VAR:DB_TYPE=&amp;VAR:UNITS=M&amp;window=popup&amp;width=450&amp;height=300&amp;START_MAXIMIZED=FALSE"}</definedName>
    <definedName name="_886__FDSAUDITLINK__" localSheetId="0" hidden="1">{"fdsup://Directions/FAT Viewer?action=UPDATE&amp;creator=factset&amp;DOC_NAME=fat:reuters_semi_source_window.fat&amp;display_string=Audit&amp;DYN_ARGS=TRUE&amp;VAR:ID1=B17KTF&amp;VAR:RCODE=FDSENTRPRVAL&amp;VAR:SDATE=38352&amp;VAR:FREQ=Daily&amp;VAR:RELITEM=RF&amp;VAR:CURRENCY=AUD&amp;VAR:CURRSOURCE=","EXSHARE&amp;VAR:NATFREQ=FSA&amp;VAR:RFIELD=FINALIZED&amp;VAR:DB_TYPE=&amp;VAR:UNITS=M&amp;window=popup&amp;width=450&amp;height=300&amp;START_MAXIMIZED=FALSE"}</definedName>
    <definedName name="_886__FDSAUDITLINK__" localSheetId="6" hidden="1">{"fdsup://Directions/FAT Viewer?action=UPDATE&amp;creator=factset&amp;DOC_NAME=fat:reuters_semi_source_window.fat&amp;display_string=Audit&amp;DYN_ARGS=TRUE&amp;VAR:ID1=B17KTF&amp;VAR:RCODE=FDSENTRPRVAL&amp;VAR:SDATE=38352&amp;VAR:FREQ=Daily&amp;VAR:RELITEM=RF&amp;VAR:CURRENCY=AUD&amp;VAR:CURRSOURCE=","EXSHARE&amp;VAR:NATFREQ=FSA&amp;VAR:RFIELD=FINALIZED&amp;VAR:DB_TYPE=&amp;VAR:UNITS=M&amp;window=popup&amp;width=450&amp;height=300&amp;START_MAXIMIZED=FALSE"}</definedName>
    <definedName name="_886__FDSAUDITLINK__" hidden="1">{"fdsup://Directions/FAT Viewer?action=UPDATE&amp;creator=factset&amp;DOC_NAME=fat:reuters_semi_source_window.fat&amp;display_string=Audit&amp;DYN_ARGS=TRUE&amp;VAR:ID1=B17KTF&amp;VAR:RCODE=FDSENTRPRVAL&amp;VAR:SDATE=38352&amp;VAR:FREQ=Daily&amp;VAR:RELITEM=RF&amp;VAR:CURRENCY=AUD&amp;VAR:CURRSOURCE=","EXSHARE&amp;VAR:NATFREQ=FSA&amp;VAR:RFIELD=FINALIZED&amp;VAR:DB_TYPE=&amp;VAR:UNITS=M&amp;window=popup&amp;width=450&amp;height=300&amp;START_MAXIMIZED=FALSE"}</definedName>
    <definedName name="_887__123Graph_LBL_DCHART_16" hidden="1">#REF!</definedName>
    <definedName name="_887__FDSAUDITLINK__" localSheetId="0" hidden="1">{"fdsup://Directions/FAT Viewer?action=UPDATE&amp;creator=factset&amp;DOC_NAME=fat:reuters_semi_source_window.fat&amp;display_string=Audit&amp;DYN_ARGS=TRUE&amp;VAR:ID1=B17KTF&amp;VAR:RCODE=FDSENTRPRVAL&amp;VAR:SDATE=38442&amp;VAR:FREQ=Daily&amp;VAR:RELITEM=RF&amp;VAR:CURRENCY=AUD&amp;VAR:CURRSOURCE=","EXSHARE&amp;VAR:NATFREQ=FSA&amp;VAR:RFIELD=FINALIZED&amp;VAR:DB_TYPE=&amp;VAR:UNITS=M&amp;window=popup&amp;width=450&amp;height=300&amp;START_MAXIMIZED=FALSE"}</definedName>
    <definedName name="_887__FDSAUDITLINK__" localSheetId="6" hidden="1">{"fdsup://Directions/FAT Viewer?action=UPDATE&amp;creator=factset&amp;DOC_NAME=fat:reuters_semi_source_window.fat&amp;display_string=Audit&amp;DYN_ARGS=TRUE&amp;VAR:ID1=B17KTF&amp;VAR:RCODE=FDSENTRPRVAL&amp;VAR:SDATE=38442&amp;VAR:FREQ=Daily&amp;VAR:RELITEM=RF&amp;VAR:CURRENCY=AUD&amp;VAR:CURRSOURCE=","EXSHARE&amp;VAR:NATFREQ=FSA&amp;VAR:RFIELD=FINALIZED&amp;VAR:DB_TYPE=&amp;VAR:UNITS=M&amp;window=popup&amp;width=450&amp;height=300&amp;START_MAXIMIZED=FALSE"}</definedName>
    <definedName name="_887__FDSAUDITLINK__" hidden="1">{"fdsup://Directions/FAT Viewer?action=UPDATE&amp;creator=factset&amp;DOC_NAME=fat:reuters_semi_source_window.fat&amp;display_string=Audit&amp;DYN_ARGS=TRUE&amp;VAR:ID1=B17KTF&amp;VAR:RCODE=FDSENTRPRVAL&amp;VAR:SDATE=38442&amp;VAR:FREQ=Daily&amp;VAR:RELITEM=RF&amp;VAR:CURRENCY=AUD&amp;VAR:CURRSOURCE=","EXSHARE&amp;VAR:NATFREQ=FSA&amp;VAR:RFIELD=FINALIZED&amp;VAR:DB_TYPE=&amp;VAR:UNITS=M&amp;window=popup&amp;width=450&amp;height=300&amp;START_MAXIMIZED=FALSE"}</definedName>
    <definedName name="_888__FDSAUDITLINK__" localSheetId="0" hidden="1">{"fdsup://Directions/FAT Viewer?action=UPDATE&amp;creator=factset&amp;DOC_NAME=fat:reuters_semi_source_window.fat&amp;display_string=Audit&amp;DYN_ARGS=TRUE&amp;VAR:ID1=B17KTF&amp;VAR:RCODE=FDSENTRPRVAL&amp;VAR:SDATE=38533&amp;VAR:FREQ=Daily&amp;VAR:RELITEM=RF&amp;VAR:CURRENCY=AUD&amp;VAR:CURRSOURCE=","EXSHARE&amp;VAR:NATFREQ=FSA&amp;VAR:RFIELD=FINALIZED&amp;VAR:DB_TYPE=&amp;VAR:UNITS=M&amp;window=popup&amp;width=450&amp;height=300&amp;START_MAXIMIZED=FALSE"}</definedName>
    <definedName name="_888__FDSAUDITLINK__" localSheetId="6" hidden="1">{"fdsup://Directions/FAT Viewer?action=UPDATE&amp;creator=factset&amp;DOC_NAME=fat:reuters_semi_source_window.fat&amp;display_string=Audit&amp;DYN_ARGS=TRUE&amp;VAR:ID1=B17KTF&amp;VAR:RCODE=FDSENTRPRVAL&amp;VAR:SDATE=38533&amp;VAR:FREQ=Daily&amp;VAR:RELITEM=RF&amp;VAR:CURRENCY=AUD&amp;VAR:CURRSOURCE=","EXSHARE&amp;VAR:NATFREQ=FSA&amp;VAR:RFIELD=FINALIZED&amp;VAR:DB_TYPE=&amp;VAR:UNITS=M&amp;window=popup&amp;width=450&amp;height=300&amp;START_MAXIMIZED=FALSE"}</definedName>
    <definedName name="_888__FDSAUDITLINK__" hidden="1">{"fdsup://Directions/FAT Viewer?action=UPDATE&amp;creator=factset&amp;DOC_NAME=fat:reuters_semi_source_window.fat&amp;display_string=Audit&amp;DYN_ARGS=TRUE&amp;VAR:ID1=B17KTF&amp;VAR:RCODE=FDSENTRPRVAL&amp;VAR:SDATE=38533&amp;VAR:FREQ=Daily&amp;VAR:RELITEM=RF&amp;VAR:CURRENCY=AUD&amp;VAR:CURRSOURCE=","EXSHARE&amp;VAR:NATFREQ=FSA&amp;VAR:RFIELD=FINALIZED&amp;VAR:DB_TYPE=&amp;VAR:UNITS=M&amp;window=popup&amp;width=450&amp;height=300&amp;START_MAXIMIZED=FALSE"}</definedName>
    <definedName name="_889__FDSAUDITLINK__" localSheetId="0" hidden="1">{"fdsup://Directions/FAT Viewer?action=UPDATE&amp;creator=factset&amp;DOC_NAME=fat:reuters_semi_source_window.fat&amp;display_string=Audit&amp;DYN_ARGS=TRUE&amp;VAR:ID1=B17KTF&amp;VAR:RCODE=FDSENTRPRVAL&amp;VAR:SDATE=38625&amp;VAR:FREQ=Daily&amp;VAR:RELITEM=RF&amp;VAR:CURRENCY=AUD&amp;VAR:CURRSOURCE=","EXSHARE&amp;VAR:NATFREQ=FSA&amp;VAR:RFIELD=FINALIZED&amp;VAR:DB_TYPE=&amp;VAR:UNITS=M&amp;window=popup&amp;width=450&amp;height=300&amp;START_MAXIMIZED=FALSE"}</definedName>
    <definedName name="_889__FDSAUDITLINK__" localSheetId="6" hidden="1">{"fdsup://Directions/FAT Viewer?action=UPDATE&amp;creator=factset&amp;DOC_NAME=fat:reuters_semi_source_window.fat&amp;display_string=Audit&amp;DYN_ARGS=TRUE&amp;VAR:ID1=B17KTF&amp;VAR:RCODE=FDSENTRPRVAL&amp;VAR:SDATE=38625&amp;VAR:FREQ=Daily&amp;VAR:RELITEM=RF&amp;VAR:CURRENCY=AUD&amp;VAR:CURRSOURCE=","EXSHARE&amp;VAR:NATFREQ=FSA&amp;VAR:RFIELD=FINALIZED&amp;VAR:DB_TYPE=&amp;VAR:UNITS=M&amp;window=popup&amp;width=450&amp;height=300&amp;START_MAXIMIZED=FALSE"}</definedName>
    <definedName name="_889__FDSAUDITLINK__" hidden="1">{"fdsup://Directions/FAT Viewer?action=UPDATE&amp;creator=factset&amp;DOC_NAME=fat:reuters_semi_source_window.fat&amp;display_string=Audit&amp;DYN_ARGS=TRUE&amp;VAR:ID1=B17KTF&amp;VAR:RCODE=FDSENTRPRVAL&amp;VAR:SDATE=38625&amp;VAR:FREQ=Daily&amp;VAR:RELITEM=RF&amp;VAR:CURRENCY=AUD&amp;VAR:CURRSOURCE=","EXSHARE&amp;VAR:NATFREQ=FSA&amp;VAR:RFIELD=FINALIZED&amp;VAR:DB_TYPE=&amp;VAR:UNITS=M&amp;window=popup&amp;width=450&amp;height=300&amp;START_MAXIMIZED=FALSE"}</definedName>
    <definedName name="_89__123Graph_FCHART_10" hidden="1">#REF!</definedName>
    <definedName name="_89__FDSAUDITLINK__" localSheetId="0" hidden="1">{"fdsup://directions/FAT Viewer?action=UPDATE&amp;creator=factSet&amp;DYN_ARGS=true&amp;DOC_NAME=FAT:RGA_ENTRPR_VAL_EV_SOURCE_WINDOW.FAT&amp;VAR:ID1=FDSA-GB&amp;window=popup&amp;width=535&amp;height=425&amp;START_MAXIMIZED=FALSE&amp;Y=120"}</definedName>
    <definedName name="_89__FDSAUDITLINK__" localSheetId="6" hidden="1">{"fdsup://directions/FAT Viewer?action=UPDATE&amp;creator=factSet&amp;DYN_ARGS=true&amp;DOC_NAME=FAT:RGA_ENTRPR_VAL_EV_SOURCE_WINDOW.FAT&amp;VAR:ID1=FDSA-GB&amp;window=popup&amp;width=535&amp;height=425&amp;START_MAXIMIZED=FALSE&amp;Y=120"}</definedName>
    <definedName name="_89__FDSAUDITLINK__" hidden="1">{"fdsup://directions/FAT Viewer?action=UPDATE&amp;creator=factSet&amp;DYN_ARGS=true&amp;DOC_NAME=FAT:RGA_ENTRPR_VAL_EV_SOURCE_WINDOW.FAT&amp;VAR:ID1=FDSA-GB&amp;window=popup&amp;width=535&amp;height=425&amp;START_MAXIMIZED=FALSE&amp;Y=120"}</definedName>
    <definedName name="_890__FDSAUDITLINK__" localSheetId="0" hidden="1">{"fdsup://Directions/FAT Viewer?action=UPDATE&amp;creator=factset&amp;DOC_NAME=fat:reuters_semi_source_window.fat&amp;display_string=Audit&amp;DYN_ARGS=TRUE&amp;VAR:ID1=B17KTF&amp;VAR:RCODE=FDSENTRPRVAL&amp;VAR:SDATE=38717&amp;VAR:FREQ=Daily&amp;VAR:RELITEM=RF&amp;VAR:CURRENCY=AUD&amp;VAR:CURRSOURCE=","EXSHARE&amp;VAR:NATFREQ=FSA&amp;VAR:RFIELD=FINALIZED&amp;VAR:DB_TYPE=&amp;VAR:UNITS=M&amp;window=popup&amp;width=450&amp;height=300&amp;START_MAXIMIZED=FALSE"}</definedName>
    <definedName name="_890__FDSAUDITLINK__" localSheetId="6" hidden="1">{"fdsup://Directions/FAT Viewer?action=UPDATE&amp;creator=factset&amp;DOC_NAME=fat:reuters_semi_source_window.fat&amp;display_string=Audit&amp;DYN_ARGS=TRUE&amp;VAR:ID1=B17KTF&amp;VAR:RCODE=FDSENTRPRVAL&amp;VAR:SDATE=38717&amp;VAR:FREQ=Daily&amp;VAR:RELITEM=RF&amp;VAR:CURRENCY=AUD&amp;VAR:CURRSOURCE=","EXSHARE&amp;VAR:NATFREQ=FSA&amp;VAR:RFIELD=FINALIZED&amp;VAR:DB_TYPE=&amp;VAR:UNITS=M&amp;window=popup&amp;width=450&amp;height=300&amp;START_MAXIMIZED=FALSE"}</definedName>
    <definedName name="_890__FDSAUDITLINK__" hidden="1">{"fdsup://Directions/FAT Viewer?action=UPDATE&amp;creator=factset&amp;DOC_NAME=fat:reuters_semi_source_window.fat&amp;display_string=Audit&amp;DYN_ARGS=TRUE&amp;VAR:ID1=B17KTF&amp;VAR:RCODE=FDSENTRPRVAL&amp;VAR:SDATE=38717&amp;VAR:FREQ=Daily&amp;VAR:RELITEM=RF&amp;VAR:CURRENCY=AUD&amp;VAR:CURRSOURCE=","EXSHARE&amp;VAR:NATFREQ=FSA&amp;VAR:RFIELD=FINALIZED&amp;VAR:DB_TYPE=&amp;VAR:UNITS=M&amp;window=popup&amp;width=450&amp;height=300&amp;START_MAXIMIZED=FALSE"}</definedName>
    <definedName name="_891__FDSAUDITLINK__" localSheetId="0" hidden="1">{"fdsup://Directions/FAT Viewer?action=UPDATE&amp;creator=factset&amp;DOC_NAME=fat:reuters_semi_source_window.fat&amp;display_string=Audit&amp;DYN_ARGS=TRUE&amp;VAR:ID1=B17KTF&amp;VAR:RCODE=FDSENTRPRVAL&amp;VAR:SDATE=38807&amp;VAR:FREQ=Daily&amp;VAR:RELITEM=RF&amp;VAR:CURRENCY=AUD&amp;VAR:CURRSOURCE=","EXSHARE&amp;VAR:NATFREQ=FSA&amp;VAR:RFIELD=FINALIZED&amp;VAR:DB_TYPE=&amp;VAR:UNITS=M&amp;window=popup&amp;width=450&amp;height=300&amp;START_MAXIMIZED=FALSE"}</definedName>
    <definedName name="_891__FDSAUDITLINK__" localSheetId="6" hidden="1">{"fdsup://Directions/FAT Viewer?action=UPDATE&amp;creator=factset&amp;DOC_NAME=fat:reuters_semi_source_window.fat&amp;display_string=Audit&amp;DYN_ARGS=TRUE&amp;VAR:ID1=B17KTF&amp;VAR:RCODE=FDSENTRPRVAL&amp;VAR:SDATE=38807&amp;VAR:FREQ=Daily&amp;VAR:RELITEM=RF&amp;VAR:CURRENCY=AUD&amp;VAR:CURRSOURCE=","EXSHARE&amp;VAR:NATFREQ=FSA&amp;VAR:RFIELD=FINALIZED&amp;VAR:DB_TYPE=&amp;VAR:UNITS=M&amp;window=popup&amp;width=450&amp;height=300&amp;START_MAXIMIZED=FALSE"}</definedName>
    <definedName name="_891__FDSAUDITLINK__" hidden="1">{"fdsup://Directions/FAT Viewer?action=UPDATE&amp;creator=factset&amp;DOC_NAME=fat:reuters_semi_source_window.fat&amp;display_string=Audit&amp;DYN_ARGS=TRUE&amp;VAR:ID1=B17KTF&amp;VAR:RCODE=FDSENTRPRVAL&amp;VAR:SDATE=38807&amp;VAR:FREQ=Daily&amp;VAR:RELITEM=RF&amp;VAR:CURRENCY=AUD&amp;VAR:CURRSOURCE=","EXSHARE&amp;VAR:NATFREQ=FSA&amp;VAR:RFIELD=FINALIZED&amp;VAR:DB_TYPE=&amp;VAR:UNITS=M&amp;window=popup&amp;width=450&amp;height=300&amp;START_MAXIMIZED=FALSE"}</definedName>
    <definedName name="_892__FDSAUDITLINK__" localSheetId="0" hidden="1">{"fdsup://Directions/FAT Viewer?action=UPDATE&amp;creator=factset&amp;DOC_NAME=fat:reuters_semi_source_window.fat&amp;display_string=Audit&amp;DYN_ARGS=TRUE&amp;VAR:ID1=B17KTF&amp;VAR:RCODE=FDSENTRPRVAL&amp;VAR:SDATE=38898&amp;VAR:FREQ=Daily&amp;VAR:RELITEM=RF&amp;VAR:CURRENCY=AUD&amp;VAR:CURRSOURCE=","EXSHARE&amp;VAR:NATFREQ=FSA&amp;VAR:RFIELD=FINALIZED&amp;VAR:DB_TYPE=&amp;VAR:UNITS=M&amp;window=popup&amp;width=450&amp;height=300&amp;START_MAXIMIZED=FALSE"}</definedName>
    <definedName name="_892__FDSAUDITLINK__" localSheetId="6" hidden="1">{"fdsup://Directions/FAT Viewer?action=UPDATE&amp;creator=factset&amp;DOC_NAME=fat:reuters_semi_source_window.fat&amp;display_string=Audit&amp;DYN_ARGS=TRUE&amp;VAR:ID1=B17KTF&amp;VAR:RCODE=FDSENTRPRVAL&amp;VAR:SDATE=38898&amp;VAR:FREQ=Daily&amp;VAR:RELITEM=RF&amp;VAR:CURRENCY=AUD&amp;VAR:CURRSOURCE=","EXSHARE&amp;VAR:NATFREQ=FSA&amp;VAR:RFIELD=FINALIZED&amp;VAR:DB_TYPE=&amp;VAR:UNITS=M&amp;window=popup&amp;width=450&amp;height=300&amp;START_MAXIMIZED=FALSE"}</definedName>
    <definedName name="_892__FDSAUDITLINK__" hidden="1">{"fdsup://Directions/FAT Viewer?action=UPDATE&amp;creator=factset&amp;DOC_NAME=fat:reuters_semi_source_window.fat&amp;display_string=Audit&amp;DYN_ARGS=TRUE&amp;VAR:ID1=B17KTF&amp;VAR:RCODE=FDSENTRPRVAL&amp;VAR:SDATE=38898&amp;VAR:FREQ=Daily&amp;VAR:RELITEM=RF&amp;VAR:CURRENCY=AUD&amp;VAR:CURRSOURCE=","EXSHARE&amp;VAR:NATFREQ=FSA&amp;VAR:RFIELD=FINALIZED&amp;VAR:DB_TYPE=&amp;VAR:UNITS=M&amp;window=popup&amp;width=450&amp;height=300&amp;START_MAXIMIZED=FALSE"}</definedName>
    <definedName name="_893__FDSAUDITLINK__" localSheetId="0" hidden="1">{"fdsup://Directions/FAT Viewer?action=UPDATE&amp;creator=factset&amp;DOC_NAME=fat:reuters_semi_source_window.fat&amp;display_string=Audit&amp;DYN_ARGS=TRUE&amp;VAR:ID1=B17KTF&amp;VAR:RCODE=FDSENTRPRVAL&amp;VAR:SDATE=38990&amp;VAR:FREQ=Daily&amp;VAR:RELITEM=RF&amp;VAR:CURRENCY=AUD&amp;VAR:CURRSOURCE=","EXSHARE&amp;VAR:NATFREQ=FSA&amp;VAR:RFIELD=FINALIZED&amp;VAR:DB_TYPE=&amp;VAR:UNITS=M&amp;window=popup&amp;width=450&amp;height=300&amp;START_MAXIMIZED=FALSE"}</definedName>
    <definedName name="_893__FDSAUDITLINK__" localSheetId="6" hidden="1">{"fdsup://Directions/FAT Viewer?action=UPDATE&amp;creator=factset&amp;DOC_NAME=fat:reuters_semi_source_window.fat&amp;display_string=Audit&amp;DYN_ARGS=TRUE&amp;VAR:ID1=B17KTF&amp;VAR:RCODE=FDSENTRPRVAL&amp;VAR:SDATE=38990&amp;VAR:FREQ=Daily&amp;VAR:RELITEM=RF&amp;VAR:CURRENCY=AUD&amp;VAR:CURRSOURCE=","EXSHARE&amp;VAR:NATFREQ=FSA&amp;VAR:RFIELD=FINALIZED&amp;VAR:DB_TYPE=&amp;VAR:UNITS=M&amp;window=popup&amp;width=450&amp;height=300&amp;START_MAXIMIZED=FALSE"}</definedName>
    <definedName name="_893__FDSAUDITLINK__" hidden="1">{"fdsup://Directions/FAT Viewer?action=UPDATE&amp;creator=factset&amp;DOC_NAME=fat:reuters_semi_source_window.fat&amp;display_string=Audit&amp;DYN_ARGS=TRUE&amp;VAR:ID1=B17KTF&amp;VAR:RCODE=FDSENTRPRVAL&amp;VAR:SDATE=38990&amp;VAR:FREQ=Daily&amp;VAR:RELITEM=RF&amp;VAR:CURRENCY=AUD&amp;VAR:CURRSOURCE=","EXSHARE&amp;VAR:NATFREQ=FSA&amp;VAR:RFIELD=FINALIZED&amp;VAR:DB_TYPE=&amp;VAR:UNITS=M&amp;window=popup&amp;width=450&amp;height=300&amp;START_MAXIMIZED=FALSE"}</definedName>
    <definedName name="_894__FDSAUDITLINK__" localSheetId="0" hidden="1">{"fdsup://Directions/FAT Viewer?action=UPDATE&amp;creator=factset&amp;DOC_NAME=fat:reuters_semi_source_window.fat&amp;display_string=Audit&amp;DYN_ARGS=TRUE&amp;VAR:ID1=B17KTF&amp;VAR:RCODE=FDSENTRPRVAL&amp;VAR:SDATE=39082&amp;VAR:FREQ=Daily&amp;VAR:RELITEM=RF&amp;VAR:CURRENCY=AUD&amp;VAR:CURRSOURCE=","EXSHARE&amp;VAR:NATFREQ=FSA&amp;VAR:RFIELD=FINALIZED&amp;VAR:DB_TYPE=&amp;VAR:UNITS=M&amp;window=popup&amp;width=450&amp;height=300&amp;START_MAXIMIZED=FALSE"}</definedName>
    <definedName name="_894__FDSAUDITLINK__" localSheetId="6" hidden="1">{"fdsup://Directions/FAT Viewer?action=UPDATE&amp;creator=factset&amp;DOC_NAME=fat:reuters_semi_source_window.fat&amp;display_string=Audit&amp;DYN_ARGS=TRUE&amp;VAR:ID1=B17KTF&amp;VAR:RCODE=FDSENTRPRVAL&amp;VAR:SDATE=39082&amp;VAR:FREQ=Daily&amp;VAR:RELITEM=RF&amp;VAR:CURRENCY=AUD&amp;VAR:CURRSOURCE=","EXSHARE&amp;VAR:NATFREQ=FSA&amp;VAR:RFIELD=FINALIZED&amp;VAR:DB_TYPE=&amp;VAR:UNITS=M&amp;window=popup&amp;width=450&amp;height=300&amp;START_MAXIMIZED=FALSE"}</definedName>
    <definedName name="_894__FDSAUDITLINK__" hidden="1">{"fdsup://Directions/FAT Viewer?action=UPDATE&amp;creator=factset&amp;DOC_NAME=fat:reuters_semi_source_window.fat&amp;display_string=Audit&amp;DYN_ARGS=TRUE&amp;VAR:ID1=B17KTF&amp;VAR:RCODE=FDSENTRPRVAL&amp;VAR:SDATE=39082&amp;VAR:FREQ=Daily&amp;VAR:RELITEM=RF&amp;VAR:CURRENCY=AUD&amp;VAR:CURRSOURCE=","EXSHARE&amp;VAR:NATFREQ=FSA&amp;VAR:RFIELD=FINALIZED&amp;VAR:DB_TYPE=&amp;VAR:UNITS=M&amp;window=popup&amp;width=450&amp;height=300&amp;START_MAXIMIZED=FALSE"}</definedName>
    <definedName name="_895__FDSAUDITLINK__" localSheetId="0" hidden="1">{"fdsup://Directions/FAT Viewer?action=UPDATE&amp;creator=factset&amp;DOC_NAME=fat:reuters_semi_source_window.fat&amp;display_string=Audit&amp;DYN_ARGS=TRUE&amp;VAR:ID1=B17KTF&amp;VAR:RCODE=FDSENTRPRVAL&amp;VAR:SDATE=39172&amp;VAR:FREQ=Daily&amp;VAR:RELITEM=RF&amp;VAR:CURRENCY=AUD&amp;VAR:CURRSOURCE=","EXSHARE&amp;VAR:NATFREQ=FSA&amp;VAR:RFIELD=FINALIZED&amp;VAR:DB_TYPE=&amp;VAR:UNITS=M&amp;window=popup&amp;width=450&amp;height=300&amp;START_MAXIMIZED=FALSE"}</definedName>
    <definedName name="_895__FDSAUDITLINK__" localSheetId="6" hidden="1">{"fdsup://Directions/FAT Viewer?action=UPDATE&amp;creator=factset&amp;DOC_NAME=fat:reuters_semi_source_window.fat&amp;display_string=Audit&amp;DYN_ARGS=TRUE&amp;VAR:ID1=B17KTF&amp;VAR:RCODE=FDSENTRPRVAL&amp;VAR:SDATE=39172&amp;VAR:FREQ=Daily&amp;VAR:RELITEM=RF&amp;VAR:CURRENCY=AUD&amp;VAR:CURRSOURCE=","EXSHARE&amp;VAR:NATFREQ=FSA&amp;VAR:RFIELD=FINALIZED&amp;VAR:DB_TYPE=&amp;VAR:UNITS=M&amp;window=popup&amp;width=450&amp;height=300&amp;START_MAXIMIZED=FALSE"}</definedName>
    <definedName name="_895__FDSAUDITLINK__" hidden="1">{"fdsup://Directions/FAT Viewer?action=UPDATE&amp;creator=factset&amp;DOC_NAME=fat:reuters_semi_source_window.fat&amp;display_string=Audit&amp;DYN_ARGS=TRUE&amp;VAR:ID1=B17KTF&amp;VAR:RCODE=FDSENTRPRVAL&amp;VAR:SDATE=39172&amp;VAR:FREQ=Daily&amp;VAR:RELITEM=RF&amp;VAR:CURRENCY=AUD&amp;VAR:CURRSOURCE=","EXSHARE&amp;VAR:NATFREQ=FSA&amp;VAR:RFIELD=FINALIZED&amp;VAR:DB_TYPE=&amp;VAR:UNITS=M&amp;window=popup&amp;width=450&amp;height=300&amp;START_MAXIMIZED=FALSE"}</definedName>
    <definedName name="_896__FDSAUDITLINK__" localSheetId="0" hidden="1">{"fdsup://Directions/FAT Viewer?action=UPDATE&amp;creator=factset&amp;DOC_NAME=fat:reuters_semi_source_window.fat&amp;display_string=Audit&amp;DYN_ARGS=TRUE&amp;VAR:ID1=B17KTF&amp;VAR:RCODE=FDSENTRPRVAL&amp;VAR:SDATE=39263&amp;VAR:FREQ=Daily&amp;VAR:RELITEM=RF&amp;VAR:CURRENCY=AUD&amp;VAR:CURRSOURCE=","EXSHARE&amp;VAR:NATFREQ=FSA&amp;VAR:RFIELD=FINALIZED&amp;VAR:DB_TYPE=&amp;VAR:UNITS=M&amp;window=popup&amp;width=450&amp;height=300&amp;START_MAXIMIZED=FALSE"}</definedName>
    <definedName name="_896__FDSAUDITLINK__" localSheetId="6" hidden="1">{"fdsup://Directions/FAT Viewer?action=UPDATE&amp;creator=factset&amp;DOC_NAME=fat:reuters_semi_source_window.fat&amp;display_string=Audit&amp;DYN_ARGS=TRUE&amp;VAR:ID1=B17KTF&amp;VAR:RCODE=FDSENTRPRVAL&amp;VAR:SDATE=39263&amp;VAR:FREQ=Daily&amp;VAR:RELITEM=RF&amp;VAR:CURRENCY=AUD&amp;VAR:CURRSOURCE=","EXSHARE&amp;VAR:NATFREQ=FSA&amp;VAR:RFIELD=FINALIZED&amp;VAR:DB_TYPE=&amp;VAR:UNITS=M&amp;window=popup&amp;width=450&amp;height=300&amp;START_MAXIMIZED=FALSE"}</definedName>
    <definedName name="_896__FDSAUDITLINK__" hidden="1">{"fdsup://Directions/FAT Viewer?action=UPDATE&amp;creator=factset&amp;DOC_NAME=fat:reuters_semi_source_window.fat&amp;display_string=Audit&amp;DYN_ARGS=TRUE&amp;VAR:ID1=B17KTF&amp;VAR:RCODE=FDSENTRPRVAL&amp;VAR:SDATE=39263&amp;VAR:FREQ=Daily&amp;VAR:RELITEM=RF&amp;VAR:CURRENCY=AUD&amp;VAR:CURRSOURCE=","EXSHARE&amp;VAR:NATFREQ=FSA&amp;VAR:RFIELD=FINALIZED&amp;VAR:DB_TYPE=&amp;VAR:UNITS=M&amp;window=popup&amp;width=450&amp;height=300&amp;START_MAXIMIZED=FALSE"}</definedName>
    <definedName name="_897__FDSAUDITLINK__" localSheetId="0" hidden="1">{"fdsup://Directions/FAT Viewer?action=UPDATE&amp;creator=factset&amp;DOC_NAME=fat:reuters_semi_source_window.fat&amp;display_string=Audit&amp;DYN_ARGS=TRUE&amp;VAR:ID1=B17KTF&amp;VAR:RCODE=FDSENTRPRVAL&amp;VAR:SDATE=39355&amp;VAR:FREQ=Daily&amp;VAR:RELITEM=RF&amp;VAR:CURRENCY=AUD&amp;VAR:CURRSOURCE=","EXSHARE&amp;VAR:NATFREQ=FSA&amp;VAR:RFIELD=FINALIZED&amp;VAR:DB_TYPE=&amp;VAR:UNITS=M&amp;window=popup&amp;width=450&amp;height=300&amp;START_MAXIMIZED=FALSE"}</definedName>
    <definedName name="_897__FDSAUDITLINK__" localSheetId="6" hidden="1">{"fdsup://Directions/FAT Viewer?action=UPDATE&amp;creator=factset&amp;DOC_NAME=fat:reuters_semi_source_window.fat&amp;display_string=Audit&amp;DYN_ARGS=TRUE&amp;VAR:ID1=B17KTF&amp;VAR:RCODE=FDSENTRPRVAL&amp;VAR:SDATE=39355&amp;VAR:FREQ=Daily&amp;VAR:RELITEM=RF&amp;VAR:CURRENCY=AUD&amp;VAR:CURRSOURCE=","EXSHARE&amp;VAR:NATFREQ=FSA&amp;VAR:RFIELD=FINALIZED&amp;VAR:DB_TYPE=&amp;VAR:UNITS=M&amp;window=popup&amp;width=450&amp;height=300&amp;START_MAXIMIZED=FALSE"}</definedName>
    <definedName name="_897__FDSAUDITLINK__" hidden="1">{"fdsup://Directions/FAT Viewer?action=UPDATE&amp;creator=factset&amp;DOC_NAME=fat:reuters_semi_source_window.fat&amp;display_string=Audit&amp;DYN_ARGS=TRUE&amp;VAR:ID1=B17KTF&amp;VAR:RCODE=FDSENTRPRVAL&amp;VAR:SDATE=39355&amp;VAR:FREQ=Daily&amp;VAR:RELITEM=RF&amp;VAR:CURRENCY=AUD&amp;VAR:CURRSOURCE=","EXSHARE&amp;VAR:NATFREQ=FSA&amp;VAR:RFIELD=FINALIZED&amp;VAR:DB_TYPE=&amp;VAR:UNITS=M&amp;window=popup&amp;width=450&amp;height=300&amp;START_MAXIMIZED=FALSE"}</definedName>
    <definedName name="_898__FDSAUDITLINK__" localSheetId="0" hidden="1">{"fdsup://Directions/FAT Viewer?action=UPDATE&amp;creator=factset&amp;DOC_NAME=fat:reuters_semi_source_window.fat&amp;display_string=Audit&amp;DYN_ARGS=TRUE&amp;VAR:ID1=B17KTF&amp;VAR:RCODE=FDSENTRPRVAL&amp;VAR:SDATE=39447&amp;VAR:FREQ=Daily&amp;VAR:RELITEM=RF&amp;VAR:CURRENCY=AUD&amp;VAR:CURRSOURCE=","EXSHARE&amp;VAR:NATFREQ=FSA&amp;VAR:RFIELD=FINALIZED&amp;VAR:DB_TYPE=&amp;VAR:UNITS=M&amp;window=popup&amp;width=450&amp;height=300&amp;START_MAXIMIZED=FALSE"}</definedName>
    <definedName name="_898__FDSAUDITLINK__" localSheetId="6" hidden="1">{"fdsup://Directions/FAT Viewer?action=UPDATE&amp;creator=factset&amp;DOC_NAME=fat:reuters_semi_source_window.fat&amp;display_string=Audit&amp;DYN_ARGS=TRUE&amp;VAR:ID1=B17KTF&amp;VAR:RCODE=FDSENTRPRVAL&amp;VAR:SDATE=39447&amp;VAR:FREQ=Daily&amp;VAR:RELITEM=RF&amp;VAR:CURRENCY=AUD&amp;VAR:CURRSOURCE=","EXSHARE&amp;VAR:NATFREQ=FSA&amp;VAR:RFIELD=FINALIZED&amp;VAR:DB_TYPE=&amp;VAR:UNITS=M&amp;window=popup&amp;width=450&amp;height=300&amp;START_MAXIMIZED=FALSE"}</definedName>
    <definedName name="_898__FDSAUDITLINK__" hidden="1">{"fdsup://Directions/FAT Viewer?action=UPDATE&amp;creator=factset&amp;DOC_NAME=fat:reuters_semi_source_window.fat&amp;display_string=Audit&amp;DYN_ARGS=TRUE&amp;VAR:ID1=B17KTF&amp;VAR:RCODE=FDSENTRPRVAL&amp;VAR:SDATE=39447&amp;VAR:FREQ=Daily&amp;VAR:RELITEM=RF&amp;VAR:CURRENCY=AUD&amp;VAR:CURRSOURCE=","EXSHARE&amp;VAR:NATFREQ=FSA&amp;VAR:RFIELD=FINALIZED&amp;VAR:DB_TYPE=&amp;VAR:UNITS=M&amp;window=popup&amp;width=450&amp;height=300&amp;START_MAXIMIZED=FALSE"}</definedName>
    <definedName name="_899__FDSAUDITLINK__" localSheetId="0" hidden="1">{"fdsup://Directions/FAT Viewer?action=UPDATE&amp;creator=factset&amp;DOC_NAME=fat:reuters_semi_source_window.fat&amp;display_string=Audit&amp;DYN_ARGS=TRUE&amp;VAR:ID1=B17KTF&amp;VAR:RCODE=FDSENTRPRVAL&amp;VAR:SDATE=39538&amp;VAR:FREQ=Daily&amp;VAR:RELITEM=RF&amp;VAR:CURRENCY=AUD&amp;VAR:CURRSOURCE=","EXSHARE&amp;VAR:NATFREQ=FSA&amp;VAR:RFIELD=FINALIZED&amp;VAR:DB_TYPE=&amp;VAR:UNITS=M&amp;window=popup&amp;width=450&amp;height=300&amp;START_MAXIMIZED=FALSE"}</definedName>
    <definedName name="_899__FDSAUDITLINK__" localSheetId="6" hidden="1">{"fdsup://Directions/FAT Viewer?action=UPDATE&amp;creator=factset&amp;DOC_NAME=fat:reuters_semi_source_window.fat&amp;display_string=Audit&amp;DYN_ARGS=TRUE&amp;VAR:ID1=B17KTF&amp;VAR:RCODE=FDSENTRPRVAL&amp;VAR:SDATE=39538&amp;VAR:FREQ=Daily&amp;VAR:RELITEM=RF&amp;VAR:CURRENCY=AUD&amp;VAR:CURRSOURCE=","EXSHARE&amp;VAR:NATFREQ=FSA&amp;VAR:RFIELD=FINALIZED&amp;VAR:DB_TYPE=&amp;VAR:UNITS=M&amp;window=popup&amp;width=450&amp;height=300&amp;START_MAXIMIZED=FALSE"}</definedName>
    <definedName name="_899__FDSAUDITLINK__" hidden="1">{"fdsup://Directions/FAT Viewer?action=UPDATE&amp;creator=factset&amp;DOC_NAME=fat:reuters_semi_source_window.fat&amp;display_string=Audit&amp;DYN_ARGS=TRUE&amp;VAR:ID1=B17KTF&amp;VAR:RCODE=FDSENTRPRVAL&amp;VAR:SDATE=39538&amp;VAR:FREQ=Daily&amp;VAR:RELITEM=RF&amp;VAR:CURRENCY=AUD&amp;VAR:CURRSOURCE=","EXSHARE&amp;VAR:NATFREQ=FSA&amp;VAR:RFIELD=FINALIZED&amp;VAR:DB_TYPE=&amp;VAR:UNITS=M&amp;window=popup&amp;width=450&amp;height=300&amp;START_MAXIMIZED=FALSE"}</definedName>
    <definedName name="_8PGE_1">#REF!</definedName>
    <definedName name="_9__123Graph_A_JY96" hidden="1">#REF!</definedName>
    <definedName name="_9__123Graph_ACHART_15" hidden="1">#REF!</definedName>
    <definedName name="_9__123Graph_ACHART_19" hidden="1">#REF!</definedName>
    <definedName name="_9__123Graph_ACHART_28" hidden="1">#REF!</definedName>
    <definedName name="_9__123Graph_ACHART_3" hidden="1">#REF!</definedName>
    <definedName name="_9__123Graph_AR_M_MARG" hidden="1">#REF!</definedName>
    <definedName name="_9__123Graph_BCHART_15" hidden="1">#REF!</definedName>
    <definedName name="_9__123Graph_BCHART_4" hidden="1">#REF!</definedName>
    <definedName name="_9__123Graph_BMKT_MONTH" hidden="1">#REF!</definedName>
    <definedName name="_9__123Graph_C_Chart_1A" hidden="1">#REF!</definedName>
    <definedName name="_9__123Graph_CCHART_1" hidden="1">#REF!</definedName>
    <definedName name="_9__123Graph_CCHART_14" hidden="1">#REF!</definedName>
    <definedName name="_9__123Graph_CCHART_18" hidden="1">#REF!</definedName>
    <definedName name="_9__123Graph_XMKT_MONTH" hidden="1">#REF!</definedName>
    <definedName name="_9__FDSAUDITLINK__" localSheetId="0" hidden="1">{"fdsup://directions/FAT Viewer?action=UPDATE&amp;creator=factSet&amp;DYN_ARGS=true&amp;DOC_NAME=FAT:RGA_ENTRPR_VAL_EV_SOURCE_WINDOW.FAT&amp;VAR:ID1=IRE-AU&amp;window=popup&amp;width=535&amp;height=425&amp;START_MAXIMIZED=FALSE&amp;Y=120"}</definedName>
    <definedName name="_9__FDSAUDITLINK__" localSheetId="6" hidden="1">{"fdsup://directions/FAT Viewer?action=UPDATE&amp;creator=factSet&amp;DYN_ARGS=true&amp;DOC_NAME=FAT:RGA_ENTRPR_VAL_EV_SOURCE_WINDOW.FAT&amp;VAR:ID1=IRE-AU&amp;window=popup&amp;width=535&amp;height=425&amp;START_MAXIMIZED=FALSE&amp;Y=120"}</definedName>
    <definedName name="_9__FDSAUDITLINK__" hidden="1">{"fdsup://directions/FAT Viewer?action=UPDATE&amp;creator=factSet&amp;DYN_ARGS=true&amp;DOC_NAME=FAT:RGA_ENTRPR_VAL_EV_SOURCE_WINDOW.FAT&amp;VAR:ID1=IRE-AU&amp;window=popup&amp;width=535&amp;height=425&amp;START_MAXIMIZED=FALSE&amp;Y=120"}</definedName>
    <definedName name="_90__123Graph_DCHART_15" hidden="1">#REF!</definedName>
    <definedName name="_90__123Graph_FCHART_11" hidden="1">#REF!</definedName>
    <definedName name="_90__FDSAUDITLINK__" localSheetId="0" hidden="1">{"fdsup://directions/FAT Viewer?action=UPDATE&amp;creator=factSet&amp;DYN_ARGS=true&amp;DOC_NAME=FAT:RGA_ENTRPR_VAL_EV_SOURCE_WINDOW.FAT&amp;VAR:ID1=5835.00772&amp;window=popup&amp;width=535&amp;height=425&amp;START_MAXIMIZED=FALSE&amp;Y=120"}</definedName>
    <definedName name="_90__FDSAUDITLINK__" localSheetId="6" hidden="1">{"fdsup://directions/FAT Viewer?action=UPDATE&amp;creator=factSet&amp;DYN_ARGS=true&amp;DOC_NAME=FAT:RGA_ENTRPR_VAL_EV_SOURCE_WINDOW.FAT&amp;VAR:ID1=5835.00772&amp;window=popup&amp;width=535&amp;height=425&amp;START_MAXIMIZED=FALSE&amp;Y=120"}</definedName>
    <definedName name="_90__FDSAUDITLINK__" hidden="1">{"fdsup://directions/FAT Viewer?action=UPDATE&amp;creator=factSet&amp;DYN_ARGS=true&amp;DOC_NAME=FAT:RGA_ENTRPR_VAL_EV_SOURCE_WINDOW.FAT&amp;VAR:ID1=5835.00772&amp;window=popup&amp;width=535&amp;height=425&amp;START_MAXIMIZED=FALSE&amp;Y=120"}</definedName>
    <definedName name="_900__123Graph_LBL_DCHART_17" hidden="1">#REF!</definedName>
    <definedName name="_900__FDSAUDITLINK__" localSheetId="0" hidden="1">{"fdsup://Directions/FAT Viewer?action=UPDATE&amp;creator=factset&amp;DOC_NAME=fat:reuters_semi_source_window.fat&amp;display_string=Audit&amp;DYN_ARGS=TRUE&amp;VAR:ID1=629749&amp;VAR:RCODE=FDSENTRPRVAL&amp;VAR:SDATE=37711&amp;VAR:FREQ=Daily&amp;VAR:RELITEM=&amp;VAR:CURRENCY=AUD&amp;VAR:CURRSOURCE=EX","SHARE&amp;VAR:NATFREQ=FSA&amp;VAR:RFIELD=FINALIZED&amp;VAR:DB_TYPE=&amp;VAR:UNITS=M&amp;window=popup&amp;width=450&amp;height=300&amp;START_MAXIMIZED=FALSE"}</definedName>
    <definedName name="_900__FDSAUDITLINK__" localSheetId="6" hidden="1">{"fdsup://Directions/FAT Viewer?action=UPDATE&amp;creator=factset&amp;DOC_NAME=fat:reuters_semi_source_window.fat&amp;display_string=Audit&amp;DYN_ARGS=TRUE&amp;VAR:ID1=629749&amp;VAR:RCODE=FDSENTRPRVAL&amp;VAR:SDATE=37711&amp;VAR:FREQ=Daily&amp;VAR:RELITEM=&amp;VAR:CURRENCY=AUD&amp;VAR:CURRSOURCE=EX","SHARE&amp;VAR:NATFREQ=FSA&amp;VAR:RFIELD=FINALIZED&amp;VAR:DB_TYPE=&amp;VAR:UNITS=M&amp;window=popup&amp;width=450&amp;height=300&amp;START_MAXIMIZED=FALSE"}</definedName>
    <definedName name="_900__FDSAUDITLINK__" hidden="1">{"fdsup://Directions/FAT Viewer?action=UPDATE&amp;creator=factset&amp;DOC_NAME=fat:reuters_semi_source_window.fat&amp;display_string=Audit&amp;DYN_ARGS=TRUE&amp;VAR:ID1=629749&amp;VAR:RCODE=FDSENTRPRVAL&amp;VAR:SDATE=37711&amp;VAR:FREQ=Daily&amp;VAR:RELITEM=&amp;VAR:CURRENCY=AUD&amp;VAR:CURRSOURCE=EX","SHARE&amp;VAR:NATFREQ=FSA&amp;VAR:RFIELD=FINALIZED&amp;VAR:DB_TYPE=&amp;VAR:UNITS=M&amp;window=popup&amp;width=450&amp;height=300&amp;START_MAXIMIZED=FALSE"}</definedName>
    <definedName name="_901__FDSAUDITLINK__" localSheetId="0" hidden="1">{"fdsup://Directions/FAT Viewer?action=UPDATE&amp;creator=factset&amp;DOC_NAME=fat:reuters_semi_source_window.fat&amp;display_string=Audit&amp;DYN_ARGS=TRUE&amp;VAR:ID1=629749&amp;VAR:RCODE=FDSENTRPRVAL&amp;VAR:SDATE=37802&amp;VAR:FREQ=Daily&amp;VAR:RELITEM=&amp;VAR:CURRENCY=AUD&amp;VAR:CURRSOURCE=EX","SHARE&amp;VAR:NATFREQ=FSA&amp;VAR:RFIELD=FINALIZED&amp;VAR:DB_TYPE=&amp;VAR:UNITS=M&amp;window=popup&amp;width=450&amp;height=300&amp;START_MAXIMIZED=FALSE"}</definedName>
    <definedName name="_901__FDSAUDITLINK__" localSheetId="6" hidden="1">{"fdsup://Directions/FAT Viewer?action=UPDATE&amp;creator=factset&amp;DOC_NAME=fat:reuters_semi_source_window.fat&amp;display_string=Audit&amp;DYN_ARGS=TRUE&amp;VAR:ID1=629749&amp;VAR:RCODE=FDSENTRPRVAL&amp;VAR:SDATE=37802&amp;VAR:FREQ=Daily&amp;VAR:RELITEM=&amp;VAR:CURRENCY=AUD&amp;VAR:CURRSOURCE=EX","SHARE&amp;VAR:NATFREQ=FSA&amp;VAR:RFIELD=FINALIZED&amp;VAR:DB_TYPE=&amp;VAR:UNITS=M&amp;window=popup&amp;width=450&amp;height=300&amp;START_MAXIMIZED=FALSE"}</definedName>
    <definedName name="_901__FDSAUDITLINK__" hidden="1">{"fdsup://Directions/FAT Viewer?action=UPDATE&amp;creator=factset&amp;DOC_NAME=fat:reuters_semi_source_window.fat&amp;display_string=Audit&amp;DYN_ARGS=TRUE&amp;VAR:ID1=629749&amp;VAR:RCODE=FDSENTRPRVAL&amp;VAR:SDATE=37802&amp;VAR:FREQ=Daily&amp;VAR:RELITEM=&amp;VAR:CURRENCY=AUD&amp;VAR:CURRSOURCE=EX","SHARE&amp;VAR:NATFREQ=FSA&amp;VAR:RFIELD=FINALIZED&amp;VAR:DB_TYPE=&amp;VAR:UNITS=M&amp;window=popup&amp;width=450&amp;height=300&amp;START_MAXIMIZED=FALSE"}</definedName>
    <definedName name="_902__FDSAUDITLINK__" localSheetId="0" hidden="1">{"fdsup://Directions/FAT Viewer?action=UPDATE&amp;creator=factset&amp;DOC_NAME=fat:reuters_semi_source_window.fat&amp;display_string=Audit&amp;DYN_ARGS=TRUE&amp;VAR:ID1=629749&amp;VAR:RCODE=FDSENTRPRVAL&amp;VAR:SDATE=37894&amp;VAR:FREQ=Daily&amp;VAR:RELITEM=&amp;VAR:CURRENCY=AUD&amp;VAR:CURRSOURCE=EX","SHARE&amp;VAR:NATFREQ=FSA&amp;VAR:RFIELD=FINALIZED&amp;VAR:DB_TYPE=&amp;VAR:UNITS=M&amp;window=popup&amp;width=450&amp;height=300&amp;START_MAXIMIZED=FALSE"}</definedName>
    <definedName name="_902__FDSAUDITLINK__" localSheetId="6" hidden="1">{"fdsup://Directions/FAT Viewer?action=UPDATE&amp;creator=factset&amp;DOC_NAME=fat:reuters_semi_source_window.fat&amp;display_string=Audit&amp;DYN_ARGS=TRUE&amp;VAR:ID1=629749&amp;VAR:RCODE=FDSENTRPRVAL&amp;VAR:SDATE=37894&amp;VAR:FREQ=Daily&amp;VAR:RELITEM=&amp;VAR:CURRENCY=AUD&amp;VAR:CURRSOURCE=EX","SHARE&amp;VAR:NATFREQ=FSA&amp;VAR:RFIELD=FINALIZED&amp;VAR:DB_TYPE=&amp;VAR:UNITS=M&amp;window=popup&amp;width=450&amp;height=300&amp;START_MAXIMIZED=FALSE"}</definedName>
    <definedName name="_902__FDSAUDITLINK__" hidden="1">{"fdsup://Directions/FAT Viewer?action=UPDATE&amp;creator=factset&amp;DOC_NAME=fat:reuters_semi_source_window.fat&amp;display_string=Audit&amp;DYN_ARGS=TRUE&amp;VAR:ID1=629749&amp;VAR:RCODE=FDSENTRPRVAL&amp;VAR:SDATE=37894&amp;VAR:FREQ=Daily&amp;VAR:RELITEM=&amp;VAR:CURRENCY=AUD&amp;VAR:CURRSOURCE=EX","SHARE&amp;VAR:NATFREQ=FSA&amp;VAR:RFIELD=FINALIZED&amp;VAR:DB_TYPE=&amp;VAR:UNITS=M&amp;window=popup&amp;width=450&amp;height=300&amp;START_MAXIMIZED=FALSE"}</definedName>
    <definedName name="_903__FDSAUDITLINK__" localSheetId="0" hidden="1">{"fdsup://Directions/FAT Viewer?action=UPDATE&amp;creator=factset&amp;DOC_NAME=fat:reuters_semi_source_window.fat&amp;display_string=Audit&amp;DYN_ARGS=TRUE&amp;VAR:ID1=629749&amp;VAR:RCODE=FDSENTRPRVAL&amp;VAR:SDATE=37986&amp;VAR:FREQ=Daily&amp;VAR:RELITEM=&amp;VAR:CURRENCY=AUD&amp;VAR:CURRSOURCE=EX","SHARE&amp;VAR:NATFREQ=FSA&amp;VAR:RFIELD=FINALIZED&amp;VAR:DB_TYPE=&amp;VAR:UNITS=M&amp;window=popup&amp;width=450&amp;height=300&amp;START_MAXIMIZED=FALSE"}</definedName>
    <definedName name="_903__FDSAUDITLINK__" localSheetId="6" hidden="1">{"fdsup://Directions/FAT Viewer?action=UPDATE&amp;creator=factset&amp;DOC_NAME=fat:reuters_semi_source_window.fat&amp;display_string=Audit&amp;DYN_ARGS=TRUE&amp;VAR:ID1=629749&amp;VAR:RCODE=FDSENTRPRVAL&amp;VAR:SDATE=37986&amp;VAR:FREQ=Daily&amp;VAR:RELITEM=&amp;VAR:CURRENCY=AUD&amp;VAR:CURRSOURCE=EX","SHARE&amp;VAR:NATFREQ=FSA&amp;VAR:RFIELD=FINALIZED&amp;VAR:DB_TYPE=&amp;VAR:UNITS=M&amp;window=popup&amp;width=450&amp;height=300&amp;START_MAXIMIZED=FALSE"}</definedName>
    <definedName name="_903__FDSAUDITLINK__" hidden="1">{"fdsup://Directions/FAT Viewer?action=UPDATE&amp;creator=factset&amp;DOC_NAME=fat:reuters_semi_source_window.fat&amp;display_string=Audit&amp;DYN_ARGS=TRUE&amp;VAR:ID1=629749&amp;VAR:RCODE=FDSENTRPRVAL&amp;VAR:SDATE=37986&amp;VAR:FREQ=Daily&amp;VAR:RELITEM=&amp;VAR:CURRENCY=AUD&amp;VAR:CURRSOURCE=EX","SHARE&amp;VAR:NATFREQ=FSA&amp;VAR:RFIELD=FINALIZED&amp;VAR:DB_TYPE=&amp;VAR:UNITS=M&amp;window=popup&amp;width=450&amp;height=300&amp;START_MAXIMIZED=FALSE"}</definedName>
    <definedName name="_904__FDSAUDITLINK__" localSheetId="0" hidden="1">{"fdsup://Directions/FAT Viewer?action=UPDATE&amp;creator=factset&amp;DOC_NAME=fat:reuters_semi_source_window.fat&amp;display_string=Audit&amp;DYN_ARGS=TRUE&amp;VAR:ID1=629749&amp;VAR:RCODE=FDSENTRPRVAL&amp;VAR:SDATE=38077&amp;VAR:FREQ=Daily&amp;VAR:RELITEM=&amp;VAR:CURRENCY=AUD&amp;VAR:CURRSOURCE=EX","SHARE&amp;VAR:NATFREQ=FSA&amp;VAR:RFIELD=FINALIZED&amp;VAR:DB_TYPE=&amp;VAR:UNITS=M&amp;window=popup&amp;width=450&amp;height=300&amp;START_MAXIMIZED=FALSE"}</definedName>
    <definedName name="_904__FDSAUDITLINK__" localSheetId="6" hidden="1">{"fdsup://Directions/FAT Viewer?action=UPDATE&amp;creator=factset&amp;DOC_NAME=fat:reuters_semi_source_window.fat&amp;display_string=Audit&amp;DYN_ARGS=TRUE&amp;VAR:ID1=629749&amp;VAR:RCODE=FDSENTRPRVAL&amp;VAR:SDATE=38077&amp;VAR:FREQ=Daily&amp;VAR:RELITEM=&amp;VAR:CURRENCY=AUD&amp;VAR:CURRSOURCE=EX","SHARE&amp;VAR:NATFREQ=FSA&amp;VAR:RFIELD=FINALIZED&amp;VAR:DB_TYPE=&amp;VAR:UNITS=M&amp;window=popup&amp;width=450&amp;height=300&amp;START_MAXIMIZED=FALSE"}</definedName>
    <definedName name="_904__FDSAUDITLINK__" hidden="1">{"fdsup://Directions/FAT Viewer?action=UPDATE&amp;creator=factset&amp;DOC_NAME=fat:reuters_semi_source_window.fat&amp;display_string=Audit&amp;DYN_ARGS=TRUE&amp;VAR:ID1=629749&amp;VAR:RCODE=FDSENTRPRVAL&amp;VAR:SDATE=38077&amp;VAR:FREQ=Daily&amp;VAR:RELITEM=&amp;VAR:CURRENCY=AUD&amp;VAR:CURRSOURCE=EX","SHARE&amp;VAR:NATFREQ=FSA&amp;VAR:RFIELD=FINALIZED&amp;VAR:DB_TYPE=&amp;VAR:UNITS=M&amp;window=popup&amp;width=450&amp;height=300&amp;START_MAXIMIZED=FALSE"}</definedName>
    <definedName name="_905__FDSAUDITLINK__" localSheetId="0" hidden="1">{"fdsup://Directions/FAT Viewer?action=UPDATE&amp;creator=factset&amp;DOC_NAME=fat:reuters_semi_source_window.fat&amp;display_string=Audit&amp;DYN_ARGS=TRUE&amp;VAR:ID1=629749&amp;VAR:RCODE=FDSENTRPRVAL&amp;VAR:SDATE=38168&amp;VAR:FREQ=Daily&amp;VAR:RELITEM=&amp;VAR:CURRENCY=AUD&amp;VAR:CURRSOURCE=EX","SHARE&amp;VAR:NATFREQ=FSA&amp;VAR:RFIELD=FINALIZED&amp;VAR:DB_TYPE=&amp;VAR:UNITS=M&amp;window=popup&amp;width=450&amp;height=300&amp;START_MAXIMIZED=FALSE"}</definedName>
    <definedName name="_905__FDSAUDITLINK__" localSheetId="6" hidden="1">{"fdsup://Directions/FAT Viewer?action=UPDATE&amp;creator=factset&amp;DOC_NAME=fat:reuters_semi_source_window.fat&amp;display_string=Audit&amp;DYN_ARGS=TRUE&amp;VAR:ID1=629749&amp;VAR:RCODE=FDSENTRPRVAL&amp;VAR:SDATE=38168&amp;VAR:FREQ=Daily&amp;VAR:RELITEM=&amp;VAR:CURRENCY=AUD&amp;VAR:CURRSOURCE=EX","SHARE&amp;VAR:NATFREQ=FSA&amp;VAR:RFIELD=FINALIZED&amp;VAR:DB_TYPE=&amp;VAR:UNITS=M&amp;window=popup&amp;width=450&amp;height=300&amp;START_MAXIMIZED=FALSE"}</definedName>
    <definedName name="_905__FDSAUDITLINK__" hidden="1">{"fdsup://Directions/FAT Viewer?action=UPDATE&amp;creator=factset&amp;DOC_NAME=fat:reuters_semi_source_window.fat&amp;display_string=Audit&amp;DYN_ARGS=TRUE&amp;VAR:ID1=629749&amp;VAR:RCODE=FDSENTRPRVAL&amp;VAR:SDATE=38168&amp;VAR:FREQ=Daily&amp;VAR:RELITEM=&amp;VAR:CURRENCY=AUD&amp;VAR:CURRSOURCE=EX","SHARE&amp;VAR:NATFREQ=FSA&amp;VAR:RFIELD=FINALIZED&amp;VAR:DB_TYPE=&amp;VAR:UNITS=M&amp;window=popup&amp;width=450&amp;height=300&amp;START_MAXIMIZED=FALSE"}</definedName>
    <definedName name="_906__FDSAUDITLINK__" localSheetId="0" hidden="1">{"fdsup://Directions/FAT Viewer?action=UPDATE&amp;creator=factset&amp;DOC_NAME=fat:reuters_semi_source_window.fat&amp;display_string=Audit&amp;DYN_ARGS=TRUE&amp;VAR:ID1=629749&amp;VAR:RCODE=FDSENTRPRVAL&amp;VAR:SDATE=38260&amp;VAR:FREQ=Daily&amp;VAR:RELITEM=&amp;VAR:CURRENCY=AUD&amp;VAR:CURRSOURCE=EX","SHARE&amp;VAR:NATFREQ=FSA&amp;VAR:RFIELD=FINALIZED&amp;VAR:DB_TYPE=&amp;VAR:UNITS=M&amp;window=popup&amp;width=450&amp;height=300&amp;START_MAXIMIZED=FALSE"}</definedName>
    <definedName name="_906__FDSAUDITLINK__" localSheetId="6" hidden="1">{"fdsup://Directions/FAT Viewer?action=UPDATE&amp;creator=factset&amp;DOC_NAME=fat:reuters_semi_source_window.fat&amp;display_string=Audit&amp;DYN_ARGS=TRUE&amp;VAR:ID1=629749&amp;VAR:RCODE=FDSENTRPRVAL&amp;VAR:SDATE=38260&amp;VAR:FREQ=Daily&amp;VAR:RELITEM=&amp;VAR:CURRENCY=AUD&amp;VAR:CURRSOURCE=EX","SHARE&amp;VAR:NATFREQ=FSA&amp;VAR:RFIELD=FINALIZED&amp;VAR:DB_TYPE=&amp;VAR:UNITS=M&amp;window=popup&amp;width=450&amp;height=300&amp;START_MAXIMIZED=FALSE"}</definedName>
    <definedName name="_906__FDSAUDITLINK__" hidden="1">{"fdsup://Directions/FAT Viewer?action=UPDATE&amp;creator=factset&amp;DOC_NAME=fat:reuters_semi_source_window.fat&amp;display_string=Audit&amp;DYN_ARGS=TRUE&amp;VAR:ID1=629749&amp;VAR:RCODE=FDSENTRPRVAL&amp;VAR:SDATE=38260&amp;VAR:FREQ=Daily&amp;VAR:RELITEM=&amp;VAR:CURRENCY=AUD&amp;VAR:CURRSOURCE=EX","SHARE&amp;VAR:NATFREQ=FSA&amp;VAR:RFIELD=FINALIZED&amp;VAR:DB_TYPE=&amp;VAR:UNITS=M&amp;window=popup&amp;width=450&amp;height=300&amp;START_MAXIMIZED=FALSE"}</definedName>
    <definedName name="_907__FDSAUDITLINK__" localSheetId="0" hidden="1">{"fdsup://Directions/FAT Viewer?action=UPDATE&amp;creator=factset&amp;DOC_NAME=fat:reuters_semi_source_window.fat&amp;display_string=Audit&amp;DYN_ARGS=TRUE&amp;VAR:ID1=629749&amp;VAR:RCODE=FDSENTRPRVAL&amp;VAR:SDATE=38352&amp;VAR:FREQ=Daily&amp;VAR:RELITEM=&amp;VAR:CURRENCY=AUD&amp;VAR:CURRSOURCE=EX","SHARE&amp;VAR:NATFREQ=FSA&amp;VAR:RFIELD=FINALIZED&amp;VAR:DB_TYPE=&amp;VAR:UNITS=M&amp;window=popup&amp;width=450&amp;height=300&amp;START_MAXIMIZED=FALSE"}</definedName>
    <definedName name="_907__FDSAUDITLINK__" localSheetId="6" hidden="1">{"fdsup://Directions/FAT Viewer?action=UPDATE&amp;creator=factset&amp;DOC_NAME=fat:reuters_semi_source_window.fat&amp;display_string=Audit&amp;DYN_ARGS=TRUE&amp;VAR:ID1=629749&amp;VAR:RCODE=FDSENTRPRVAL&amp;VAR:SDATE=38352&amp;VAR:FREQ=Daily&amp;VAR:RELITEM=&amp;VAR:CURRENCY=AUD&amp;VAR:CURRSOURCE=EX","SHARE&amp;VAR:NATFREQ=FSA&amp;VAR:RFIELD=FINALIZED&amp;VAR:DB_TYPE=&amp;VAR:UNITS=M&amp;window=popup&amp;width=450&amp;height=300&amp;START_MAXIMIZED=FALSE"}</definedName>
    <definedName name="_907__FDSAUDITLINK__" hidden="1">{"fdsup://Directions/FAT Viewer?action=UPDATE&amp;creator=factset&amp;DOC_NAME=fat:reuters_semi_source_window.fat&amp;display_string=Audit&amp;DYN_ARGS=TRUE&amp;VAR:ID1=629749&amp;VAR:RCODE=FDSENTRPRVAL&amp;VAR:SDATE=38352&amp;VAR:FREQ=Daily&amp;VAR:RELITEM=&amp;VAR:CURRENCY=AUD&amp;VAR:CURRSOURCE=EX","SHARE&amp;VAR:NATFREQ=FSA&amp;VAR:RFIELD=FINALIZED&amp;VAR:DB_TYPE=&amp;VAR:UNITS=M&amp;window=popup&amp;width=450&amp;height=300&amp;START_MAXIMIZED=FALSE"}</definedName>
    <definedName name="_908__FDSAUDITLINK__" localSheetId="0" hidden="1">{"fdsup://Directions/FAT Viewer?action=UPDATE&amp;creator=factset&amp;DOC_NAME=fat:reuters_semi_source_window.fat&amp;display_string=Audit&amp;DYN_ARGS=TRUE&amp;VAR:ID1=629749&amp;VAR:RCODE=FDSENTRPRVAL&amp;VAR:SDATE=38442&amp;VAR:FREQ=Daily&amp;VAR:RELITEM=&amp;VAR:CURRENCY=AUD&amp;VAR:CURRSOURCE=EX","SHARE&amp;VAR:NATFREQ=FSA&amp;VAR:RFIELD=FINALIZED&amp;VAR:DB_TYPE=&amp;VAR:UNITS=M&amp;window=popup&amp;width=450&amp;height=300&amp;START_MAXIMIZED=FALSE"}</definedName>
    <definedName name="_908__FDSAUDITLINK__" localSheetId="6" hidden="1">{"fdsup://Directions/FAT Viewer?action=UPDATE&amp;creator=factset&amp;DOC_NAME=fat:reuters_semi_source_window.fat&amp;display_string=Audit&amp;DYN_ARGS=TRUE&amp;VAR:ID1=629749&amp;VAR:RCODE=FDSENTRPRVAL&amp;VAR:SDATE=38442&amp;VAR:FREQ=Daily&amp;VAR:RELITEM=&amp;VAR:CURRENCY=AUD&amp;VAR:CURRSOURCE=EX","SHARE&amp;VAR:NATFREQ=FSA&amp;VAR:RFIELD=FINALIZED&amp;VAR:DB_TYPE=&amp;VAR:UNITS=M&amp;window=popup&amp;width=450&amp;height=300&amp;START_MAXIMIZED=FALSE"}</definedName>
    <definedName name="_908__FDSAUDITLINK__" hidden="1">{"fdsup://Directions/FAT Viewer?action=UPDATE&amp;creator=factset&amp;DOC_NAME=fat:reuters_semi_source_window.fat&amp;display_string=Audit&amp;DYN_ARGS=TRUE&amp;VAR:ID1=629749&amp;VAR:RCODE=FDSENTRPRVAL&amp;VAR:SDATE=38442&amp;VAR:FREQ=Daily&amp;VAR:RELITEM=&amp;VAR:CURRENCY=AUD&amp;VAR:CURRSOURCE=EX","SHARE&amp;VAR:NATFREQ=FSA&amp;VAR:RFIELD=FINALIZED&amp;VAR:DB_TYPE=&amp;VAR:UNITS=M&amp;window=popup&amp;width=450&amp;height=300&amp;START_MAXIMIZED=FALSE"}</definedName>
    <definedName name="_909__FDSAUDITLINK__" localSheetId="0" hidden="1">{"fdsup://Directions/FAT Viewer?action=UPDATE&amp;creator=factset&amp;DOC_NAME=fat:reuters_semi_source_window.fat&amp;display_string=Audit&amp;DYN_ARGS=TRUE&amp;VAR:ID1=629749&amp;VAR:RCODE=FDSENTRPRVAL&amp;VAR:SDATE=38533&amp;VAR:FREQ=Daily&amp;VAR:RELITEM=&amp;VAR:CURRENCY=AUD&amp;VAR:CURRSOURCE=EX","SHARE&amp;VAR:NATFREQ=FSA&amp;VAR:RFIELD=FINALIZED&amp;VAR:DB_TYPE=&amp;VAR:UNITS=M&amp;window=popup&amp;width=450&amp;height=300&amp;START_MAXIMIZED=FALSE"}</definedName>
    <definedName name="_909__FDSAUDITLINK__" localSheetId="6" hidden="1">{"fdsup://Directions/FAT Viewer?action=UPDATE&amp;creator=factset&amp;DOC_NAME=fat:reuters_semi_source_window.fat&amp;display_string=Audit&amp;DYN_ARGS=TRUE&amp;VAR:ID1=629749&amp;VAR:RCODE=FDSENTRPRVAL&amp;VAR:SDATE=38533&amp;VAR:FREQ=Daily&amp;VAR:RELITEM=&amp;VAR:CURRENCY=AUD&amp;VAR:CURRSOURCE=EX","SHARE&amp;VAR:NATFREQ=FSA&amp;VAR:RFIELD=FINALIZED&amp;VAR:DB_TYPE=&amp;VAR:UNITS=M&amp;window=popup&amp;width=450&amp;height=300&amp;START_MAXIMIZED=FALSE"}</definedName>
    <definedName name="_909__FDSAUDITLINK__" hidden="1">{"fdsup://Directions/FAT Viewer?action=UPDATE&amp;creator=factset&amp;DOC_NAME=fat:reuters_semi_source_window.fat&amp;display_string=Audit&amp;DYN_ARGS=TRUE&amp;VAR:ID1=629749&amp;VAR:RCODE=FDSENTRPRVAL&amp;VAR:SDATE=38533&amp;VAR:FREQ=Daily&amp;VAR:RELITEM=&amp;VAR:CURRENCY=AUD&amp;VAR:CURRSOURCE=EX","SHARE&amp;VAR:NATFREQ=FSA&amp;VAR:RFIELD=FINALIZED&amp;VAR:DB_TYPE=&amp;VAR:UNITS=M&amp;window=popup&amp;width=450&amp;height=300&amp;START_MAXIMIZED=FALSE"}</definedName>
    <definedName name="_91__123Graph_Bｸﾞﾗﾌ_4" hidden="1">#REF!</definedName>
    <definedName name="_91__123Graph_CCHART_17" hidden="1">#REF!</definedName>
    <definedName name="_91__123Graph_FCHART_13" hidden="1">#REF!</definedName>
    <definedName name="_91__123Graph_LBL_DCHART_1" hidden="1">#REF!</definedName>
    <definedName name="_91__FDSAUDITLINK__" localSheetId="0" hidden="1">{"fdsup://directions/FAT Viewer?action=UPDATE&amp;creator=factSet&amp;DYN_ARGS=true&amp;DOC_NAME=FAT:RGA_ENTRPR_VAL_EV_SOURCE_WINDOW.FAT&amp;VAR:ID1=4438.463387794&amp;window=popup&amp;width=535&amp;height=425&amp;START_MAXIMIZED=FALSE&amp;Y=120"}</definedName>
    <definedName name="_91__FDSAUDITLINK__" localSheetId="6" hidden="1">{"fdsup://directions/FAT Viewer?action=UPDATE&amp;creator=factSet&amp;DYN_ARGS=true&amp;DOC_NAME=FAT:RGA_ENTRPR_VAL_EV_SOURCE_WINDOW.FAT&amp;VAR:ID1=4438.463387794&amp;window=popup&amp;width=535&amp;height=425&amp;START_MAXIMIZED=FALSE&amp;Y=120"}</definedName>
    <definedName name="_91__FDSAUDITLINK__" hidden="1">{"fdsup://directions/FAT Viewer?action=UPDATE&amp;creator=factSet&amp;DYN_ARGS=true&amp;DOC_NAME=FAT:RGA_ENTRPR_VAL_EV_SOURCE_WINDOW.FAT&amp;VAR:ID1=4438.463387794&amp;window=popup&amp;width=535&amp;height=425&amp;START_MAXIMIZED=FALSE&amp;Y=120"}</definedName>
    <definedName name="_910__FDSAUDITLINK__" localSheetId="0" hidden="1">{"fdsup://Directions/FAT Viewer?action=UPDATE&amp;creator=factset&amp;DOC_NAME=fat:reuters_semi_source_window.fat&amp;display_string=Audit&amp;DYN_ARGS=TRUE&amp;VAR:ID1=629749&amp;VAR:RCODE=FDSENTRPRVAL&amp;VAR:SDATE=38625&amp;VAR:FREQ=Daily&amp;VAR:RELITEM=&amp;VAR:CURRENCY=AUD&amp;VAR:CURRSOURCE=EX","SHARE&amp;VAR:NATFREQ=FSA&amp;VAR:RFIELD=FINALIZED&amp;VAR:DB_TYPE=&amp;VAR:UNITS=M&amp;window=popup&amp;width=450&amp;height=300&amp;START_MAXIMIZED=FALSE"}</definedName>
    <definedName name="_910__FDSAUDITLINK__" localSheetId="6" hidden="1">{"fdsup://Directions/FAT Viewer?action=UPDATE&amp;creator=factset&amp;DOC_NAME=fat:reuters_semi_source_window.fat&amp;display_string=Audit&amp;DYN_ARGS=TRUE&amp;VAR:ID1=629749&amp;VAR:RCODE=FDSENTRPRVAL&amp;VAR:SDATE=38625&amp;VAR:FREQ=Daily&amp;VAR:RELITEM=&amp;VAR:CURRENCY=AUD&amp;VAR:CURRSOURCE=EX","SHARE&amp;VAR:NATFREQ=FSA&amp;VAR:RFIELD=FINALIZED&amp;VAR:DB_TYPE=&amp;VAR:UNITS=M&amp;window=popup&amp;width=450&amp;height=300&amp;START_MAXIMIZED=FALSE"}</definedName>
    <definedName name="_910__FDSAUDITLINK__" hidden="1">{"fdsup://Directions/FAT Viewer?action=UPDATE&amp;creator=factset&amp;DOC_NAME=fat:reuters_semi_source_window.fat&amp;display_string=Audit&amp;DYN_ARGS=TRUE&amp;VAR:ID1=629749&amp;VAR:RCODE=FDSENTRPRVAL&amp;VAR:SDATE=38625&amp;VAR:FREQ=Daily&amp;VAR:RELITEM=&amp;VAR:CURRENCY=AUD&amp;VAR:CURRSOURCE=EX","SHARE&amp;VAR:NATFREQ=FSA&amp;VAR:RFIELD=FINALIZED&amp;VAR:DB_TYPE=&amp;VAR:UNITS=M&amp;window=popup&amp;width=450&amp;height=300&amp;START_MAXIMIZED=FALSE"}</definedName>
    <definedName name="_911__FDSAUDITLINK__" localSheetId="0" hidden="1">{"fdsup://Directions/FAT Viewer?action=UPDATE&amp;creator=factset&amp;DOC_NAME=fat:reuters_semi_source_window.fat&amp;display_string=Audit&amp;DYN_ARGS=TRUE&amp;VAR:ID1=629749&amp;VAR:RCODE=FDSENTRPRVAL&amp;VAR:SDATE=38717&amp;VAR:FREQ=Daily&amp;VAR:RELITEM=&amp;VAR:CURRENCY=AUD&amp;VAR:CURRSOURCE=EX","SHARE&amp;VAR:NATFREQ=FSA&amp;VAR:RFIELD=FINALIZED&amp;VAR:DB_TYPE=&amp;VAR:UNITS=M&amp;window=popup&amp;width=450&amp;height=300&amp;START_MAXIMIZED=FALSE"}</definedName>
    <definedName name="_911__FDSAUDITLINK__" localSheetId="6" hidden="1">{"fdsup://Directions/FAT Viewer?action=UPDATE&amp;creator=factset&amp;DOC_NAME=fat:reuters_semi_source_window.fat&amp;display_string=Audit&amp;DYN_ARGS=TRUE&amp;VAR:ID1=629749&amp;VAR:RCODE=FDSENTRPRVAL&amp;VAR:SDATE=38717&amp;VAR:FREQ=Daily&amp;VAR:RELITEM=&amp;VAR:CURRENCY=AUD&amp;VAR:CURRSOURCE=EX","SHARE&amp;VAR:NATFREQ=FSA&amp;VAR:RFIELD=FINALIZED&amp;VAR:DB_TYPE=&amp;VAR:UNITS=M&amp;window=popup&amp;width=450&amp;height=300&amp;START_MAXIMIZED=FALSE"}</definedName>
    <definedName name="_911__FDSAUDITLINK__" hidden="1">{"fdsup://Directions/FAT Viewer?action=UPDATE&amp;creator=factset&amp;DOC_NAME=fat:reuters_semi_source_window.fat&amp;display_string=Audit&amp;DYN_ARGS=TRUE&amp;VAR:ID1=629749&amp;VAR:RCODE=FDSENTRPRVAL&amp;VAR:SDATE=38717&amp;VAR:FREQ=Daily&amp;VAR:RELITEM=&amp;VAR:CURRENCY=AUD&amp;VAR:CURRSOURCE=EX","SHARE&amp;VAR:NATFREQ=FSA&amp;VAR:RFIELD=FINALIZED&amp;VAR:DB_TYPE=&amp;VAR:UNITS=M&amp;window=popup&amp;width=450&amp;height=300&amp;START_MAXIMIZED=FALSE"}</definedName>
    <definedName name="_912__FDSAUDITLINK__" localSheetId="0" hidden="1">{"fdsup://Directions/FAT Viewer?action=UPDATE&amp;creator=factset&amp;DOC_NAME=fat:reuters_semi_source_window.fat&amp;display_string=Audit&amp;DYN_ARGS=TRUE&amp;VAR:ID1=629749&amp;VAR:RCODE=FDSENTRPRVAL&amp;VAR:SDATE=38807&amp;VAR:FREQ=Daily&amp;VAR:RELITEM=&amp;VAR:CURRENCY=AUD&amp;VAR:CURRSOURCE=EX","SHARE&amp;VAR:NATFREQ=FSA&amp;VAR:RFIELD=FINALIZED&amp;VAR:DB_TYPE=&amp;VAR:UNITS=M&amp;window=popup&amp;width=450&amp;height=300&amp;START_MAXIMIZED=FALSE"}</definedName>
    <definedName name="_912__FDSAUDITLINK__" localSheetId="6" hidden="1">{"fdsup://Directions/FAT Viewer?action=UPDATE&amp;creator=factset&amp;DOC_NAME=fat:reuters_semi_source_window.fat&amp;display_string=Audit&amp;DYN_ARGS=TRUE&amp;VAR:ID1=629749&amp;VAR:RCODE=FDSENTRPRVAL&amp;VAR:SDATE=38807&amp;VAR:FREQ=Daily&amp;VAR:RELITEM=&amp;VAR:CURRENCY=AUD&amp;VAR:CURRSOURCE=EX","SHARE&amp;VAR:NATFREQ=FSA&amp;VAR:RFIELD=FINALIZED&amp;VAR:DB_TYPE=&amp;VAR:UNITS=M&amp;window=popup&amp;width=450&amp;height=300&amp;START_MAXIMIZED=FALSE"}</definedName>
    <definedName name="_912__FDSAUDITLINK__" hidden="1">{"fdsup://Directions/FAT Viewer?action=UPDATE&amp;creator=factset&amp;DOC_NAME=fat:reuters_semi_source_window.fat&amp;display_string=Audit&amp;DYN_ARGS=TRUE&amp;VAR:ID1=629749&amp;VAR:RCODE=FDSENTRPRVAL&amp;VAR:SDATE=38807&amp;VAR:FREQ=Daily&amp;VAR:RELITEM=&amp;VAR:CURRENCY=AUD&amp;VAR:CURRSOURCE=EX","SHARE&amp;VAR:NATFREQ=FSA&amp;VAR:RFIELD=FINALIZED&amp;VAR:DB_TYPE=&amp;VAR:UNITS=M&amp;window=popup&amp;width=450&amp;height=300&amp;START_MAXIMIZED=FALSE"}</definedName>
    <definedName name="_913__123Graph_LBL_DCHART_19" hidden="1">#REF!</definedName>
    <definedName name="_913__FDSAUDITLINK__" localSheetId="0" hidden="1">{"fdsup://Directions/FAT Viewer?action=UPDATE&amp;creator=factset&amp;DOC_NAME=fat:reuters_semi_source_window.fat&amp;display_string=Audit&amp;DYN_ARGS=TRUE&amp;VAR:ID1=629749&amp;VAR:RCODE=FDSENTRPRVAL&amp;VAR:SDATE=38898&amp;VAR:FREQ=Daily&amp;VAR:RELITEM=&amp;VAR:CURRENCY=AUD&amp;VAR:CURRSOURCE=EX","SHARE&amp;VAR:NATFREQ=FSA&amp;VAR:RFIELD=FINALIZED&amp;VAR:DB_TYPE=&amp;VAR:UNITS=M&amp;window=popup&amp;width=450&amp;height=300&amp;START_MAXIMIZED=FALSE"}</definedName>
    <definedName name="_913__FDSAUDITLINK__" localSheetId="6" hidden="1">{"fdsup://Directions/FAT Viewer?action=UPDATE&amp;creator=factset&amp;DOC_NAME=fat:reuters_semi_source_window.fat&amp;display_string=Audit&amp;DYN_ARGS=TRUE&amp;VAR:ID1=629749&amp;VAR:RCODE=FDSENTRPRVAL&amp;VAR:SDATE=38898&amp;VAR:FREQ=Daily&amp;VAR:RELITEM=&amp;VAR:CURRENCY=AUD&amp;VAR:CURRSOURCE=EX","SHARE&amp;VAR:NATFREQ=FSA&amp;VAR:RFIELD=FINALIZED&amp;VAR:DB_TYPE=&amp;VAR:UNITS=M&amp;window=popup&amp;width=450&amp;height=300&amp;START_MAXIMIZED=FALSE"}</definedName>
    <definedName name="_913__FDSAUDITLINK__" hidden="1">{"fdsup://Directions/FAT Viewer?action=UPDATE&amp;creator=factset&amp;DOC_NAME=fat:reuters_semi_source_window.fat&amp;display_string=Audit&amp;DYN_ARGS=TRUE&amp;VAR:ID1=629749&amp;VAR:RCODE=FDSENTRPRVAL&amp;VAR:SDATE=38898&amp;VAR:FREQ=Daily&amp;VAR:RELITEM=&amp;VAR:CURRENCY=AUD&amp;VAR:CURRSOURCE=EX","SHARE&amp;VAR:NATFREQ=FSA&amp;VAR:RFIELD=FINALIZED&amp;VAR:DB_TYPE=&amp;VAR:UNITS=M&amp;window=popup&amp;width=450&amp;height=300&amp;START_MAXIMIZED=FALSE"}</definedName>
    <definedName name="_914__FDSAUDITLINK__" localSheetId="0" hidden="1">{"fdsup://Directions/FAT Viewer?action=UPDATE&amp;creator=factset&amp;DOC_NAME=fat:reuters_semi_source_window.fat&amp;display_string=Audit&amp;DYN_ARGS=TRUE&amp;VAR:ID1=629749&amp;VAR:RCODE=FDSENTRPRVAL&amp;VAR:SDATE=38990&amp;VAR:FREQ=Daily&amp;VAR:RELITEM=&amp;VAR:CURRENCY=AUD&amp;VAR:CURRSOURCE=EX","SHARE&amp;VAR:NATFREQ=FSA&amp;VAR:RFIELD=FINALIZED&amp;VAR:DB_TYPE=&amp;VAR:UNITS=M&amp;window=popup&amp;width=450&amp;height=300&amp;START_MAXIMIZED=FALSE"}</definedName>
    <definedName name="_914__FDSAUDITLINK__" localSheetId="6" hidden="1">{"fdsup://Directions/FAT Viewer?action=UPDATE&amp;creator=factset&amp;DOC_NAME=fat:reuters_semi_source_window.fat&amp;display_string=Audit&amp;DYN_ARGS=TRUE&amp;VAR:ID1=629749&amp;VAR:RCODE=FDSENTRPRVAL&amp;VAR:SDATE=38990&amp;VAR:FREQ=Daily&amp;VAR:RELITEM=&amp;VAR:CURRENCY=AUD&amp;VAR:CURRSOURCE=EX","SHARE&amp;VAR:NATFREQ=FSA&amp;VAR:RFIELD=FINALIZED&amp;VAR:DB_TYPE=&amp;VAR:UNITS=M&amp;window=popup&amp;width=450&amp;height=300&amp;START_MAXIMIZED=FALSE"}</definedName>
    <definedName name="_914__FDSAUDITLINK__" hidden="1">{"fdsup://Directions/FAT Viewer?action=UPDATE&amp;creator=factset&amp;DOC_NAME=fat:reuters_semi_source_window.fat&amp;display_string=Audit&amp;DYN_ARGS=TRUE&amp;VAR:ID1=629749&amp;VAR:RCODE=FDSENTRPRVAL&amp;VAR:SDATE=38990&amp;VAR:FREQ=Daily&amp;VAR:RELITEM=&amp;VAR:CURRENCY=AUD&amp;VAR:CURRSOURCE=EX","SHARE&amp;VAR:NATFREQ=FSA&amp;VAR:RFIELD=FINALIZED&amp;VAR:DB_TYPE=&amp;VAR:UNITS=M&amp;window=popup&amp;width=450&amp;height=300&amp;START_MAXIMIZED=FALSE"}</definedName>
    <definedName name="_915__FDSAUDITLINK__" localSheetId="0" hidden="1">{"fdsup://Directions/FAT Viewer?action=UPDATE&amp;creator=factset&amp;DOC_NAME=fat:reuters_semi_source_window.fat&amp;display_string=Audit&amp;DYN_ARGS=TRUE&amp;VAR:ID1=629749&amp;VAR:RCODE=FDSENTRPRVAL&amp;VAR:SDATE=39082&amp;VAR:FREQ=Daily&amp;VAR:RELITEM=&amp;VAR:CURRENCY=AUD&amp;VAR:CURRSOURCE=EX","SHARE&amp;VAR:NATFREQ=FSA&amp;VAR:RFIELD=FINALIZED&amp;VAR:DB_TYPE=&amp;VAR:UNITS=M&amp;window=popup&amp;width=450&amp;height=300&amp;START_MAXIMIZED=FALSE"}</definedName>
    <definedName name="_915__FDSAUDITLINK__" localSheetId="6" hidden="1">{"fdsup://Directions/FAT Viewer?action=UPDATE&amp;creator=factset&amp;DOC_NAME=fat:reuters_semi_source_window.fat&amp;display_string=Audit&amp;DYN_ARGS=TRUE&amp;VAR:ID1=629749&amp;VAR:RCODE=FDSENTRPRVAL&amp;VAR:SDATE=39082&amp;VAR:FREQ=Daily&amp;VAR:RELITEM=&amp;VAR:CURRENCY=AUD&amp;VAR:CURRSOURCE=EX","SHARE&amp;VAR:NATFREQ=FSA&amp;VAR:RFIELD=FINALIZED&amp;VAR:DB_TYPE=&amp;VAR:UNITS=M&amp;window=popup&amp;width=450&amp;height=300&amp;START_MAXIMIZED=FALSE"}</definedName>
    <definedName name="_915__FDSAUDITLINK__" hidden="1">{"fdsup://Directions/FAT Viewer?action=UPDATE&amp;creator=factset&amp;DOC_NAME=fat:reuters_semi_source_window.fat&amp;display_string=Audit&amp;DYN_ARGS=TRUE&amp;VAR:ID1=629749&amp;VAR:RCODE=FDSENTRPRVAL&amp;VAR:SDATE=39082&amp;VAR:FREQ=Daily&amp;VAR:RELITEM=&amp;VAR:CURRENCY=AUD&amp;VAR:CURRSOURCE=EX","SHARE&amp;VAR:NATFREQ=FSA&amp;VAR:RFIELD=FINALIZED&amp;VAR:DB_TYPE=&amp;VAR:UNITS=M&amp;window=popup&amp;width=450&amp;height=300&amp;START_MAXIMIZED=FALSE"}</definedName>
    <definedName name="_916__FDSAUDITLINK__" localSheetId="0" hidden="1">{"fdsup://Directions/FAT Viewer?action=UPDATE&amp;creator=factset&amp;DOC_NAME=fat:reuters_semi_source_window.fat&amp;display_string=Audit&amp;DYN_ARGS=TRUE&amp;VAR:ID1=629749&amp;VAR:RCODE=FDSENTRPRVAL&amp;VAR:SDATE=39172&amp;VAR:FREQ=Daily&amp;VAR:RELITEM=&amp;VAR:CURRENCY=AUD&amp;VAR:CURRSOURCE=EX","SHARE&amp;VAR:NATFREQ=FSA&amp;VAR:RFIELD=FINALIZED&amp;VAR:DB_TYPE=&amp;VAR:UNITS=M&amp;window=popup&amp;width=450&amp;height=300&amp;START_MAXIMIZED=FALSE"}</definedName>
    <definedName name="_916__FDSAUDITLINK__" localSheetId="6" hidden="1">{"fdsup://Directions/FAT Viewer?action=UPDATE&amp;creator=factset&amp;DOC_NAME=fat:reuters_semi_source_window.fat&amp;display_string=Audit&amp;DYN_ARGS=TRUE&amp;VAR:ID1=629749&amp;VAR:RCODE=FDSENTRPRVAL&amp;VAR:SDATE=39172&amp;VAR:FREQ=Daily&amp;VAR:RELITEM=&amp;VAR:CURRENCY=AUD&amp;VAR:CURRSOURCE=EX","SHARE&amp;VAR:NATFREQ=FSA&amp;VAR:RFIELD=FINALIZED&amp;VAR:DB_TYPE=&amp;VAR:UNITS=M&amp;window=popup&amp;width=450&amp;height=300&amp;START_MAXIMIZED=FALSE"}</definedName>
    <definedName name="_916__FDSAUDITLINK__" hidden="1">{"fdsup://Directions/FAT Viewer?action=UPDATE&amp;creator=factset&amp;DOC_NAME=fat:reuters_semi_source_window.fat&amp;display_string=Audit&amp;DYN_ARGS=TRUE&amp;VAR:ID1=629749&amp;VAR:RCODE=FDSENTRPRVAL&amp;VAR:SDATE=39172&amp;VAR:FREQ=Daily&amp;VAR:RELITEM=&amp;VAR:CURRENCY=AUD&amp;VAR:CURRSOURCE=EX","SHARE&amp;VAR:NATFREQ=FSA&amp;VAR:RFIELD=FINALIZED&amp;VAR:DB_TYPE=&amp;VAR:UNITS=M&amp;window=popup&amp;width=450&amp;height=300&amp;START_MAXIMIZED=FALSE"}</definedName>
    <definedName name="_917__FDSAUDITLINK__" localSheetId="0" hidden="1">{"fdsup://Directions/FAT Viewer?action=UPDATE&amp;creator=factset&amp;DOC_NAME=fat:reuters_semi_source_window.fat&amp;display_string=Audit&amp;DYN_ARGS=TRUE&amp;VAR:ID1=629749&amp;VAR:RCODE=FDSENTRPRVAL&amp;VAR:SDATE=39263&amp;VAR:FREQ=Daily&amp;VAR:RELITEM=&amp;VAR:CURRENCY=AUD&amp;VAR:CURRSOURCE=EX","SHARE&amp;VAR:NATFREQ=FSA&amp;VAR:RFIELD=FINALIZED&amp;VAR:DB_TYPE=&amp;VAR:UNITS=M&amp;window=popup&amp;width=450&amp;height=300&amp;START_MAXIMIZED=FALSE"}</definedName>
    <definedName name="_917__FDSAUDITLINK__" localSheetId="6" hidden="1">{"fdsup://Directions/FAT Viewer?action=UPDATE&amp;creator=factset&amp;DOC_NAME=fat:reuters_semi_source_window.fat&amp;display_string=Audit&amp;DYN_ARGS=TRUE&amp;VAR:ID1=629749&amp;VAR:RCODE=FDSENTRPRVAL&amp;VAR:SDATE=39263&amp;VAR:FREQ=Daily&amp;VAR:RELITEM=&amp;VAR:CURRENCY=AUD&amp;VAR:CURRSOURCE=EX","SHARE&amp;VAR:NATFREQ=FSA&amp;VAR:RFIELD=FINALIZED&amp;VAR:DB_TYPE=&amp;VAR:UNITS=M&amp;window=popup&amp;width=450&amp;height=300&amp;START_MAXIMIZED=FALSE"}</definedName>
    <definedName name="_917__FDSAUDITLINK__" hidden="1">{"fdsup://Directions/FAT Viewer?action=UPDATE&amp;creator=factset&amp;DOC_NAME=fat:reuters_semi_source_window.fat&amp;display_string=Audit&amp;DYN_ARGS=TRUE&amp;VAR:ID1=629749&amp;VAR:RCODE=FDSENTRPRVAL&amp;VAR:SDATE=39263&amp;VAR:FREQ=Daily&amp;VAR:RELITEM=&amp;VAR:CURRENCY=AUD&amp;VAR:CURRSOURCE=EX","SHARE&amp;VAR:NATFREQ=FSA&amp;VAR:RFIELD=FINALIZED&amp;VAR:DB_TYPE=&amp;VAR:UNITS=M&amp;window=popup&amp;width=450&amp;height=300&amp;START_MAXIMIZED=FALSE"}</definedName>
    <definedName name="_918__FDSAUDITLINK__" localSheetId="0" hidden="1">{"fdsup://Directions/FAT Viewer?action=UPDATE&amp;creator=factset&amp;DOC_NAME=fat:reuters_semi_source_window.fat&amp;display_string=Audit&amp;DYN_ARGS=TRUE&amp;VAR:ID1=629749&amp;VAR:RCODE=FDSENTRPRVAL&amp;VAR:SDATE=39355&amp;VAR:FREQ=Daily&amp;VAR:RELITEM=&amp;VAR:CURRENCY=AUD&amp;VAR:CURRSOURCE=EX","SHARE&amp;VAR:NATFREQ=FSA&amp;VAR:RFIELD=FINALIZED&amp;VAR:DB_TYPE=&amp;VAR:UNITS=M&amp;window=popup&amp;width=450&amp;height=300&amp;START_MAXIMIZED=FALSE"}</definedName>
    <definedName name="_918__FDSAUDITLINK__" localSheetId="6" hidden="1">{"fdsup://Directions/FAT Viewer?action=UPDATE&amp;creator=factset&amp;DOC_NAME=fat:reuters_semi_source_window.fat&amp;display_string=Audit&amp;DYN_ARGS=TRUE&amp;VAR:ID1=629749&amp;VAR:RCODE=FDSENTRPRVAL&amp;VAR:SDATE=39355&amp;VAR:FREQ=Daily&amp;VAR:RELITEM=&amp;VAR:CURRENCY=AUD&amp;VAR:CURRSOURCE=EX","SHARE&amp;VAR:NATFREQ=FSA&amp;VAR:RFIELD=FINALIZED&amp;VAR:DB_TYPE=&amp;VAR:UNITS=M&amp;window=popup&amp;width=450&amp;height=300&amp;START_MAXIMIZED=FALSE"}</definedName>
    <definedName name="_918__FDSAUDITLINK__" hidden="1">{"fdsup://Directions/FAT Viewer?action=UPDATE&amp;creator=factset&amp;DOC_NAME=fat:reuters_semi_source_window.fat&amp;display_string=Audit&amp;DYN_ARGS=TRUE&amp;VAR:ID1=629749&amp;VAR:RCODE=FDSENTRPRVAL&amp;VAR:SDATE=39355&amp;VAR:FREQ=Daily&amp;VAR:RELITEM=&amp;VAR:CURRENCY=AUD&amp;VAR:CURRSOURCE=EX","SHARE&amp;VAR:NATFREQ=FSA&amp;VAR:RFIELD=FINALIZED&amp;VAR:DB_TYPE=&amp;VAR:UNITS=M&amp;window=popup&amp;width=450&amp;height=300&amp;START_MAXIMIZED=FALSE"}</definedName>
    <definedName name="_919__FDSAUDITLINK__" localSheetId="0" hidden="1">{"fdsup://Directions/FAT Viewer?action=UPDATE&amp;creator=factset&amp;DOC_NAME=fat:reuters_semi_source_window.fat&amp;display_string=Audit&amp;DYN_ARGS=TRUE&amp;VAR:ID1=629749&amp;VAR:RCODE=FDSENTRPRVAL&amp;VAR:SDATE=39447&amp;VAR:FREQ=Daily&amp;VAR:RELITEM=&amp;VAR:CURRENCY=AUD&amp;VAR:CURRSOURCE=EX","SHARE&amp;VAR:NATFREQ=FSA&amp;VAR:RFIELD=FINALIZED&amp;VAR:DB_TYPE=&amp;VAR:UNITS=M&amp;window=popup&amp;width=450&amp;height=300&amp;START_MAXIMIZED=FALSE"}</definedName>
    <definedName name="_919__FDSAUDITLINK__" localSheetId="6" hidden="1">{"fdsup://Directions/FAT Viewer?action=UPDATE&amp;creator=factset&amp;DOC_NAME=fat:reuters_semi_source_window.fat&amp;display_string=Audit&amp;DYN_ARGS=TRUE&amp;VAR:ID1=629749&amp;VAR:RCODE=FDSENTRPRVAL&amp;VAR:SDATE=39447&amp;VAR:FREQ=Daily&amp;VAR:RELITEM=&amp;VAR:CURRENCY=AUD&amp;VAR:CURRSOURCE=EX","SHARE&amp;VAR:NATFREQ=FSA&amp;VAR:RFIELD=FINALIZED&amp;VAR:DB_TYPE=&amp;VAR:UNITS=M&amp;window=popup&amp;width=450&amp;height=300&amp;START_MAXIMIZED=FALSE"}</definedName>
    <definedName name="_919__FDSAUDITLINK__" hidden="1">{"fdsup://Directions/FAT Viewer?action=UPDATE&amp;creator=factset&amp;DOC_NAME=fat:reuters_semi_source_window.fat&amp;display_string=Audit&amp;DYN_ARGS=TRUE&amp;VAR:ID1=629749&amp;VAR:RCODE=FDSENTRPRVAL&amp;VAR:SDATE=39447&amp;VAR:FREQ=Daily&amp;VAR:RELITEM=&amp;VAR:CURRENCY=AUD&amp;VAR:CURRSOURCE=EX","SHARE&amp;VAR:NATFREQ=FSA&amp;VAR:RFIELD=FINALIZED&amp;VAR:DB_TYPE=&amp;VAR:UNITS=M&amp;window=popup&amp;width=450&amp;height=300&amp;START_MAXIMIZED=FALSE"}</definedName>
    <definedName name="_92__123Graph_FCHART_3" hidden="1">#REF!</definedName>
    <definedName name="_92__FDSAUDITLINK__" localSheetId="0" hidden="1">{"fdsup://directions/FAT Viewer?action=UPDATE&amp;creator=factSet&amp;DYN_ARGS=true&amp;DOC_NAME=FAT:RGA_ENTRPR_VAL_EV_SOURCE_WINDOW.FAT&amp;VAR:ID1=EV&amp;window=popup&amp;width=535&amp;height=425&amp;START_MAXIMIZED=FALSE&amp;Y=120"}</definedName>
    <definedName name="_92__FDSAUDITLINK__" localSheetId="6" hidden="1">{"fdsup://directions/FAT Viewer?action=UPDATE&amp;creator=factSet&amp;DYN_ARGS=true&amp;DOC_NAME=FAT:RGA_ENTRPR_VAL_EV_SOURCE_WINDOW.FAT&amp;VAR:ID1=EV&amp;window=popup&amp;width=535&amp;height=425&amp;START_MAXIMIZED=FALSE&amp;Y=120"}</definedName>
    <definedName name="_92__FDSAUDITLINK__" hidden="1">{"fdsup://directions/FAT Viewer?action=UPDATE&amp;creator=factSet&amp;DYN_ARGS=true&amp;DOC_NAME=FAT:RGA_ENTRPR_VAL_EV_SOURCE_WINDOW.FAT&amp;VAR:ID1=EV&amp;window=popup&amp;width=535&amp;height=425&amp;START_MAXIMIZED=FALSE&amp;Y=120"}</definedName>
    <definedName name="_920__FDSAUDITLINK__" localSheetId="0" hidden="1">{"fdsup://Directions/FAT Viewer?action=UPDATE&amp;creator=factset&amp;DOC_NAME=fat:reuters_semi_source_window.fat&amp;display_string=Audit&amp;DYN_ARGS=TRUE&amp;VAR:ID1=629749&amp;VAR:RCODE=FDSENTRPRVAL&amp;VAR:SDATE=39538&amp;VAR:FREQ=Daily&amp;VAR:RELITEM=&amp;VAR:CURRENCY=AUD&amp;VAR:CURRSOURCE=EX","SHARE&amp;VAR:NATFREQ=FSA&amp;VAR:RFIELD=FINALIZED&amp;VAR:DB_TYPE=&amp;VAR:UNITS=M&amp;window=popup&amp;width=450&amp;height=300&amp;START_MAXIMIZED=FALSE"}</definedName>
    <definedName name="_920__FDSAUDITLINK__" localSheetId="6" hidden="1">{"fdsup://Directions/FAT Viewer?action=UPDATE&amp;creator=factset&amp;DOC_NAME=fat:reuters_semi_source_window.fat&amp;display_string=Audit&amp;DYN_ARGS=TRUE&amp;VAR:ID1=629749&amp;VAR:RCODE=FDSENTRPRVAL&amp;VAR:SDATE=39538&amp;VAR:FREQ=Daily&amp;VAR:RELITEM=&amp;VAR:CURRENCY=AUD&amp;VAR:CURRSOURCE=EX","SHARE&amp;VAR:NATFREQ=FSA&amp;VAR:RFIELD=FINALIZED&amp;VAR:DB_TYPE=&amp;VAR:UNITS=M&amp;window=popup&amp;width=450&amp;height=300&amp;START_MAXIMIZED=FALSE"}</definedName>
    <definedName name="_920__FDSAUDITLINK__" hidden="1">{"fdsup://Directions/FAT Viewer?action=UPDATE&amp;creator=factset&amp;DOC_NAME=fat:reuters_semi_source_window.fat&amp;display_string=Audit&amp;DYN_ARGS=TRUE&amp;VAR:ID1=629749&amp;VAR:RCODE=FDSENTRPRVAL&amp;VAR:SDATE=39538&amp;VAR:FREQ=Daily&amp;VAR:RELITEM=&amp;VAR:CURRENCY=AUD&amp;VAR:CURRSOURCE=EX","SHARE&amp;VAR:NATFREQ=FSA&amp;VAR:RFIELD=FINALIZED&amp;VAR:DB_TYPE=&amp;VAR:UNITS=M&amp;window=popup&amp;width=450&amp;height=300&amp;START_MAXIMIZED=FALSE"}</definedName>
    <definedName name="_921__FDSAUDITLINK__" localSheetId="0" hidden="1">{"fdsup://directions/FAT Viewer?action=UPDATE&amp;creator=factSet&amp;DYN_ARGS=true&amp;DOC_NAME=FAT:RGQ_ENTRPR_VAL_EV_SOURCE_WINDOW.FAT&amp;VAR:ID1=ADVS-US&amp;window=popup&amp;width=535&amp;height=425&amp;START_MAXIMIZED=FALSE&amp;Y=120"}</definedName>
    <definedName name="_921__FDSAUDITLINK__" localSheetId="6" hidden="1">{"fdsup://directions/FAT Viewer?action=UPDATE&amp;creator=factSet&amp;DYN_ARGS=true&amp;DOC_NAME=FAT:RGQ_ENTRPR_VAL_EV_SOURCE_WINDOW.FAT&amp;VAR:ID1=ADVS-US&amp;window=popup&amp;width=535&amp;height=425&amp;START_MAXIMIZED=FALSE&amp;Y=120"}</definedName>
    <definedName name="_921__FDSAUDITLINK__" hidden="1">{"fdsup://directions/FAT Viewer?action=UPDATE&amp;creator=factSet&amp;DYN_ARGS=true&amp;DOC_NAME=FAT:RGQ_ENTRPR_VAL_EV_SOURCE_WINDOW.FAT&amp;VAR:ID1=ADVS-US&amp;window=popup&amp;width=535&amp;height=425&amp;START_MAXIMIZED=FALSE&amp;Y=120"}</definedName>
    <definedName name="_922__FDSAUDITLINK__" localSheetId="0" hidden="1">{"fdsup://directions/FAT Viewer?action=UPDATE&amp;creator=factSet&amp;DYN_ARGS=true&amp;DOC_NAME=FAT:RGQ_ENTRPR_VAL_EV_SOURCE_WINDOW.FAT&amp;VAR:ID1=ADVS-US&amp;window=popup&amp;width=535&amp;height=425&amp;START_MAXIMIZED=FALSE&amp;Y=120"}</definedName>
    <definedName name="_922__FDSAUDITLINK__" localSheetId="6" hidden="1">{"fdsup://directions/FAT Viewer?action=UPDATE&amp;creator=factSet&amp;DYN_ARGS=true&amp;DOC_NAME=FAT:RGQ_ENTRPR_VAL_EV_SOURCE_WINDOW.FAT&amp;VAR:ID1=ADVS-US&amp;window=popup&amp;width=535&amp;height=425&amp;START_MAXIMIZED=FALSE&amp;Y=120"}</definedName>
    <definedName name="_922__FDSAUDITLINK__" hidden="1">{"fdsup://directions/FAT Viewer?action=UPDATE&amp;creator=factSet&amp;DYN_ARGS=true&amp;DOC_NAME=FAT:RGQ_ENTRPR_VAL_EV_SOURCE_WINDOW.FAT&amp;VAR:ID1=ADVS-US&amp;window=popup&amp;width=535&amp;height=425&amp;START_MAXIMIZED=FALSE&amp;Y=120"}</definedName>
    <definedName name="_923__FDSAUDITLINK__" localSheetId="0" hidden="1">{"fdsup://directions/FAT Viewer?action=UPDATE&amp;creator=factSet&amp;DYN_ARGS=true&amp;DOC_NAME=FAT:RGQ_ENTRPR_VAL_EV_SOURCE_WINDOW.FAT&amp;VAR:ID1=ADVS-US&amp;window=popup&amp;width=535&amp;height=425&amp;START_MAXIMIZED=FALSE&amp;Y=120"}</definedName>
    <definedName name="_923__FDSAUDITLINK__" localSheetId="6" hidden="1">{"fdsup://directions/FAT Viewer?action=UPDATE&amp;creator=factSet&amp;DYN_ARGS=true&amp;DOC_NAME=FAT:RGQ_ENTRPR_VAL_EV_SOURCE_WINDOW.FAT&amp;VAR:ID1=ADVS-US&amp;window=popup&amp;width=535&amp;height=425&amp;START_MAXIMIZED=FALSE&amp;Y=120"}</definedName>
    <definedName name="_923__FDSAUDITLINK__" hidden="1">{"fdsup://directions/FAT Viewer?action=UPDATE&amp;creator=factSet&amp;DYN_ARGS=true&amp;DOC_NAME=FAT:RGQ_ENTRPR_VAL_EV_SOURCE_WINDOW.FAT&amp;VAR:ID1=ADVS-US&amp;window=popup&amp;width=535&amp;height=425&amp;START_MAXIMIZED=FALSE&amp;Y=120"}</definedName>
    <definedName name="_924__FDSAUDITLINK__" localSheetId="0" hidden="1">{"fdsup://directions/FAT Viewer?action=UPDATE&amp;creator=factSet&amp;DYN_ARGS=true&amp;DOC_NAME=FAT:RGQ_ENTRPR_VAL_EV_SOURCE_WINDOW.FAT&amp;VAR:ID1=ADVS-US&amp;window=popup&amp;width=535&amp;height=425&amp;START_MAXIMIZED=FALSE&amp;Y=120"}</definedName>
    <definedName name="_924__FDSAUDITLINK__" localSheetId="6" hidden="1">{"fdsup://directions/FAT Viewer?action=UPDATE&amp;creator=factSet&amp;DYN_ARGS=true&amp;DOC_NAME=FAT:RGQ_ENTRPR_VAL_EV_SOURCE_WINDOW.FAT&amp;VAR:ID1=ADVS-US&amp;window=popup&amp;width=535&amp;height=425&amp;START_MAXIMIZED=FALSE&amp;Y=120"}</definedName>
    <definedName name="_924__FDSAUDITLINK__" hidden="1">{"fdsup://directions/FAT Viewer?action=UPDATE&amp;creator=factSet&amp;DYN_ARGS=true&amp;DOC_NAME=FAT:RGQ_ENTRPR_VAL_EV_SOURCE_WINDOW.FAT&amp;VAR:ID1=ADVS-US&amp;window=popup&amp;width=535&amp;height=425&amp;START_MAXIMIZED=FALSE&amp;Y=120"}</definedName>
    <definedName name="_925__FDSAUDITLINK__" localSheetId="0" hidden="1">{"fdsup://directions/FAT Viewer?action=UPDATE&amp;creator=factSet&amp;DYN_ARGS=true&amp;DOC_NAME=FAT:RGQ_ENTRPR_VAL_EV_SOURCE_WINDOW.FAT&amp;VAR:ID1=ADVS-US&amp;window=popup&amp;width=535&amp;height=425&amp;START_MAXIMIZED=FALSE&amp;Y=120"}</definedName>
    <definedName name="_925__FDSAUDITLINK__" localSheetId="6" hidden="1">{"fdsup://directions/FAT Viewer?action=UPDATE&amp;creator=factSet&amp;DYN_ARGS=true&amp;DOC_NAME=FAT:RGQ_ENTRPR_VAL_EV_SOURCE_WINDOW.FAT&amp;VAR:ID1=ADVS-US&amp;window=popup&amp;width=535&amp;height=425&amp;START_MAXIMIZED=FALSE&amp;Y=120"}</definedName>
    <definedName name="_925__FDSAUDITLINK__" hidden="1">{"fdsup://directions/FAT Viewer?action=UPDATE&amp;creator=factSet&amp;DYN_ARGS=true&amp;DOC_NAME=FAT:RGQ_ENTRPR_VAL_EV_SOURCE_WINDOW.FAT&amp;VAR:ID1=ADVS-US&amp;window=popup&amp;width=535&amp;height=425&amp;START_MAXIMIZED=FALSE&amp;Y=120"}</definedName>
    <definedName name="_926__123Graph_LBL_DCHART_22" hidden="1">#REF!</definedName>
    <definedName name="_926__FDSAUDITLINK__" localSheetId="0" hidden="1">{"fdsup://directions/FAT Viewer?action=UPDATE&amp;creator=factSet&amp;DYN_ARGS=true&amp;DOC_NAME=FAT:RGQ_ENTRPR_VAL_EV_SOURCE_WINDOW.FAT&amp;VAR:ID1=ADVS-US&amp;window=popup&amp;width=535&amp;height=425&amp;START_MAXIMIZED=FALSE&amp;Y=120"}</definedName>
    <definedName name="_926__FDSAUDITLINK__" localSheetId="6" hidden="1">{"fdsup://directions/FAT Viewer?action=UPDATE&amp;creator=factSet&amp;DYN_ARGS=true&amp;DOC_NAME=FAT:RGQ_ENTRPR_VAL_EV_SOURCE_WINDOW.FAT&amp;VAR:ID1=ADVS-US&amp;window=popup&amp;width=535&amp;height=425&amp;START_MAXIMIZED=FALSE&amp;Y=120"}</definedName>
    <definedName name="_926__FDSAUDITLINK__" hidden="1">{"fdsup://directions/FAT Viewer?action=UPDATE&amp;creator=factSet&amp;DYN_ARGS=true&amp;DOC_NAME=FAT:RGQ_ENTRPR_VAL_EV_SOURCE_WINDOW.FAT&amp;VAR:ID1=ADVS-US&amp;window=popup&amp;width=535&amp;height=425&amp;START_MAXIMIZED=FALSE&amp;Y=120"}</definedName>
    <definedName name="_927__FDSAUDITLINK__" localSheetId="0" hidden="1">{"fdsup://directions/FAT Viewer?action=UPDATE&amp;creator=factSet&amp;DYN_ARGS=true&amp;DOC_NAME=FAT:RGQ_ENTRPR_VAL_EV_SOURCE_WINDOW.FAT&amp;VAR:ID1=ADVS-US&amp;window=popup&amp;width=535&amp;height=425&amp;START_MAXIMIZED=FALSE&amp;Y=120"}</definedName>
    <definedName name="_927__FDSAUDITLINK__" localSheetId="6" hidden="1">{"fdsup://directions/FAT Viewer?action=UPDATE&amp;creator=factSet&amp;DYN_ARGS=true&amp;DOC_NAME=FAT:RGQ_ENTRPR_VAL_EV_SOURCE_WINDOW.FAT&amp;VAR:ID1=ADVS-US&amp;window=popup&amp;width=535&amp;height=425&amp;START_MAXIMIZED=FALSE&amp;Y=120"}</definedName>
    <definedName name="_927__FDSAUDITLINK__" hidden="1">{"fdsup://directions/FAT Viewer?action=UPDATE&amp;creator=factSet&amp;DYN_ARGS=true&amp;DOC_NAME=FAT:RGQ_ENTRPR_VAL_EV_SOURCE_WINDOW.FAT&amp;VAR:ID1=ADVS-US&amp;window=popup&amp;width=535&amp;height=425&amp;START_MAXIMIZED=FALSE&amp;Y=120"}</definedName>
    <definedName name="_928__FDSAUDITLINK__" localSheetId="0" hidden="1">{"fdsup://directions/FAT Viewer?action=UPDATE&amp;creator=factSet&amp;DYN_ARGS=true&amp;DOC_NAME=FAT:RGQ_ENTRPR_VAL_EV_SOURCE_WINDOW.FAT&amp;VAR:ID1=ADVS-US&amp;window=popup&amp;width=535&amp;height=425&amp;START_MAXIMIZED=FALSE&amp;Y=120"}</definedName>
    <definedName name="_928__FDSAUDITLINK__" localSheetId="6" hidden="1">{"fdsup://directions/FAT Viewer?action=UPDATE&amp;creator=factSet&amp;DYN_ARGS=true&amp;DOC_NAME=FAT:RGQ_ENTRPR_VAL_EV_SOURCE_WINDOW.FAT&amp;VAR:ID1=ADVS-US&amp;window=popup&amp;width=535&amp;height=425&amp;START_MAXIMIZED=FALSE&amp;Y=120"}</definedName>
    <definedName name="_928__FDSAUDITLINK__" hidden="1">{"fdsup://directions/FAT Viewer?action=UPDATE&amp;creator=factSet&amp;DYN_ARGS=true&amp;DOC_NAME=FAT:RGQ_ENTRPR_VAL_EV_SOURCE_WINDOW.FAT&amp;VAR:ID1=ADVS-US&amp;window=popup&amp;width=535&amp;height=425&amp;START_MAXIMIZED=FALSE&amp;Y=120"}</definedName>
    <definedName name="_929__FDSAUDITLINK__" localSheetId="0" hidden="1">{"fdsup://directions/FAT Viewer?action=UPDATE&amp;creator=factSet&amp;DYN_ARGS=true&amp;DOC_NAME=FAT:RGQ_ENTRPR_VAL_EV_SOURCE_WINDOW.FAT&amp;VAR:ID1=ADVS-US&amp;window=popup&amp;width=535&amp;height=425&amp;START_MAXIMIZED=FALSE&amp;Y=120"}</definedName>
    <definedName name="_929__FDSAUDITLINK__" localSheetId="6" hidden="1">{"fdsup://directions/FAT Viewer?action=UPDATE&amp;creator=factSet&amp;DYN_ARGS=true&amp;DOC_NAME=FAT:RGQ_ENTRPR_VAL_EV_SOURCE_WINDOW.FAT&amp;VAR:ID1=ADVS-US&amp;window=popup&amp;width=535&amp;height=425&amp;START_MAXIMIZED=FALSE&amp;Y=120"}</definedName>
    <definedName name="_929__FDSAUDITLINK__" hidden="1">{"fdsup://directions/FAT Viewer?action=UPDATE&amp;creator=factSet&amp;DYN_ARGS=true&amp;DOC_NAME=FAT:RGQ_ENTRPR_VAL_EV_SOURCE_WINDOW.FAT&amp;VAR:ID1=ADVS-US&amp;window=popup&amp;width=535&amp;height=425&amp;START_MAXIMIZED=FALSE&amp;Y=120"}</definedName>
    <definedName name="_93__123Graph_FCHART_31" hidden="1">#REF!</definedName>
    <definedName name="_93__FDSAUDITLINK__" localSheetId="0" hidden="1">{"fdsup://directions/FAT Viewer?action=UPDATE&amp;creator=factSet&amp;DYN_ARGS=true&amp;DOC_NAME=FAT:RGA_ENTRPR_VAL_EV_SOURCE_WINDOW.FAT&amp;VAR:ID1=&amp;window=popup&amp;width=535&amp;height=425&amp;START_MAXIMIZED=FALSE&amp;Y=120"}</definedName>
    <definedName name="_93__FDSAUDITLINK__" localSheetId="6" hidden="1">{"fdsup://directions/FAT Viewer?action=UPDATE&amp;creator=factSet&amp;DYN_ARGS=true&amp;DOC_NAME=FAT:RGA_ENTRPR_VAL_EV_SOURCE_WINDOW.FAT&amp;VAR:ID1=&amp;window=popup&amp;width=535&amp;height=425&amp;START_MAXIMIZED=FALSE&amp;Y=120"}</definedName>
    <definedName name="_93__FDSAUDITLINK__" hidden="1">{"fdsup://directions/FAT Viewer?action=UPDATE&amp;creator=factSet&amp;DYN_ARGS=true&amp;DOC_NAME=FAT:RGA_ENTRPR_VAL_EV_SOURCE_WINDOW.FAT&amp;VAR:ID1=&amp;window=popup&amp;width=535&amp;height=425&amp;START_MAXIMIZED=FALSE&amp;Y=120"}</definedName>
    <definedName name="_930__FDSAUDITLINK__" localSheetId="0" hidden="1">{"fdsup://directions/FAT Viewer?action=UPDATE&amp;creator=factSet&amp;DYN_ARGS=true&amp;DOC_NAME=FAT:RGQ_ENTRPR_VAL_EV_SOURCE_WINDOW.FAT&amp;VAR:ID1=ADVS-US&amp;window=popup&amp;width=535&amp;height=425&amp;START_MAXIMIZED=FALSE&amp;Y=120"}</definedName>
    <definedName name="_930__FDSAUDITLINK__" localSheetId="6" hidden="1">{"fdsup://directions/FAT Viewer?action=UPDATE&amp;creator=factSet&amp;DYN_ARGS=true&amp;DOC_NAME=FAT:RGQ_ENTRPR_VAL_EV_SOURCE_WINDOW.FAT&amp;VAR:ID1=ADVS-US&amp;window=popup&amp;width=535&amp;height=425&amp;START_MAXIMIZED=FALSE&amp;Y=120"}</definedName>
    <definedName name="_930__FDSAUDITLINK__" hidden="1">{"fdsup://directions/FAT Viewer?action=UPDATE&amp;creator=factSet&amp;DYN_ARGS=true&amp;DOC_NAME=FAT:RGQ_ENTRPR_VAL_EV_SOURCE_WINDOW.FAT&amp;VAR:ID1=ADVS-US&amp;window=popup&amp;width=535&amp;height=425&amp;START_MAXIMIZED=FALSE&amp;Y=120"}</definedName>
    <definedName name="_931__FDSAUDITLINK__" localSheetId="0" hidden="1">{"fdsup://directions/FAT Viewer?action=UPDATE&amp;creator=factSet&amp;DYN_ARGS=true&amp;DOC_NAME=FAT:RGQ_ENTRPR_VAL_EV_SOURCE_WINDOW.FAT&amp;VAR:ID1=ADVS-US&amp;window=popup&amp;width=535&amp;height=425&amp;START_MAXIMIZED=FALSE&amp;Y=120"}</definedName>
    <definedName name="_931__FDSAUDITLINK__" localSheetId="6" hidden="1">{"fdsup://directions/FAT Viewer?action=UPDATE&amp;creator=factSet&amp;DYN_ARGS=true&amp;DOC_NAME=FAT:RGQ_ENTRPR_VAL_EV_SOURCE_WINDOW.FAT&amp;VAR:ID1=ADVS-US&amp;window=popup&amp;width=535&amp;height=425&amp;START_MAXIMIZED=FALSE&amp;Y=120"}</definedName>
    <definedName name="_931__FDSAUDITLINK__" hidden="1">{"fdsup://directions/FAT Viewer?action=UPDATE&amp;creator=factSet&amp;DYN_ARGS=true&amp;DOC_NAME=FAT:RGQ_ENTRPR_VAL_EV_SOURCE_WINDOW.FAT&amp;VAR:ID1=ADVS-US&amp;window=popup&amp;width=535&amp;height=425&amp;START_MAXIMIZED=FALSE&amp;Y=120"}</definedName>
    <definedName name="_932__FDSAUDITLINK__" localSheetId="0" hidden="1">{"fdsup://directions/FAT Viewer?action=UPDATE&amp;creator=factSet&amp;DYN_ARGS=true&amp;DOC_NAME=FAT:RGQ_ENTRPR_VAL_EV_SOURCE_WINDOW.FAT&amp;VAR:ID1=ADVS-US&amp;window=popup&amp;width=535&amp;height=425&amp;START_MAXIMIZED=FALSE&amp;Y=120"}</definedName>
    <definedName name="_932__FDSAUDITLINK__" localSheetId="6" hidden="1">{"fdsup://directions/FAT Viewer?action=UPDATE&amp;creator=factSet&amp;DYN_ARGS=true&amp;DOC_NAME=FAT:RGQ_ENTRPR_VAL_EV_SOURCE_WINDOW.FAT&amp;VAR:ID1=ADVS-US&amp;window=popup&amp;width=535&amp;height=425&amp;START_MAXIMIZED=FALSE&amp;Y=120"}</definedName>
    <definedName name="_932__FDSAUDITLINK__" hidden="1">{"fdsup://directions/FAT Viewer?action=UPDATE&amp;creator=factSet&amp;DYN_ARGS=true&amp;DOC_NAME=FAT:RGQ_ENTRPR_VAL_EV_SOURCE_WINDOW.FAT&amp;VAR:ID1=ADVS-US&amp;window=popup&amp;width=535&amp;height=425&amp;START_MAXIMIZED=FALSE&amp;Y=120"}</definedName>
    <definedName name="_933__FDSAUDITLINK__" localSheetId="0" hidden="1">{"fdsup://directions/FAT Viewer?action=UPDATE&amp;creator=factSet&amp;DYN_ARGS=true&amp;DOC_NAME=FAT:RGQ_ENTRPR_VAL_EV_SOURCE_WINDOW.FAT&amp;VAR:ID1=ADVS-US&amp;window=popup&amp;width=535&amp;height=425&amp;START_MAXIMIZED=FALSE&amp;Y=120"}</definedName>
    <definedName name="_933__FDSAUDITLINK__" localSheetId="6" hidden="1">{"fdsup://directions/FAT Viewer?action=UPDATE&amp;creator=factSet&amp;DYN_ARGS=true&amp;DOC_NAME=FAT:RGQ_ENTRPR_VAL_EV_SOURCE_WINDOW.FAT&amp;VAR:ID1=ADVS-US&amp;window=popup&amp;width=535&amp;height=425&amp;START_MAXIMIZED=FALSE&amp;Y=120"}</definedName>
    <definedName name="_933__FDSAUDITLINK__" hidden="1">{"fdsup://directions/FAT Viewer?action=UPDATE&amp;creator=factSet&amp;DYN_ARGS=true&amp;DOC_NAME=FAT:RGQ_ENTRPR_VAL_EV_SOURCE_WINDOW.FAT&amp;VAR:ID1=ADVS-US&amp;window=popup&amp;width=535&amp;height=425&amp;START_MAXIMIZED=FALSE&amp;Y=120"}</definedName>
    <definedName name="_934__FDSAUDITLINK__" localSheetId="0" hidden="1">{"fdsup://directions/FAT Viewer?action=UPDATE&amp;creator=factSet&amp;DYN_ARGS=true&amp;DOC_NAME=FAT:RGQ_ENTRPR_VAL_EV_SOURCE_WINDOW.FAT&amp;VAR:ID1=ADVS-US&amp;window=popup&amp;width=535&amp;height=425&amp;START_MAXIMIZED=FALSE&amp;Y=120"}</definedName>
    <definedName name="_934__FDSAUDITLINK__" localSheetId="6" hidden="1">{"fdsup://directions/FAT Viewer?action=UPDATE&amp;creator=factSet&amp;DYN_ARGS=true&amp;DOC_NAME=FAT:RGQ_ENTRPR_VAL_EV_SOURCE_WINDOW.FAT&amp;VAR:ID1=ADVS-US&amp;window=popup&amp;width=535&amp;height=425&amp;START_MAXIMIZED=FALSE&amp;Y=120"}</definedName>
    <definedName name="_934__FDSAUDITLINK__" hidden="1">{"fdsup://directions/FAT Viewer?action=UPDATE&amp;creator=factSet&amp;DYN_ARGS=true&amp;DOC_NAME=FAT:RGQ_ENTRPR_VAL_EV_SOURCE_WINDOW.FAT&amp;VAR:ID1=ADVS-US&amp;window=popup&amp;width=535&amp;height=425&amp;START_MAXIMIZED=FALSE&amp;Y=120"}</definedName>
    <definedName name="_935__FDSAUDITLINK__" localSheetId="0" hidden="1">{"fdsup://directions/FAT Viewer?action=UPDATE&amp;creator=factSet&amp;DYN_ARGS=true&amp;DOC_NAME=FAT:RGQ_ENTRPR_VAL_EV_SOURCE_WINDOW.FAT&amp;VAR:ID1=ADVS-US&amp;window=popup&amp;width=535&amp;height=425&amp;START_MAXIMIZED=FALSE&amp;Y=120"}</definedName>
    <definedName name="_935__FDSAUDITLINK__" localSheetId="6" hidden="1">{"fdsup://directions/FAT Viewer?action=UPDATE&amp;creator=factSet&amp;DYN_ARGS=true&amp;DOC_NAME=FAT:RGQ_ENTRPR_VAL_EV_SOURCE_WINDOW.FAT&amp;VAR:ID1=ADVS-US&amp;window=popup&amp;width=535&amp;height=425&amp;START_MAXIMIZED=FALSE&amp;Y=120"}</definedName>
    <definedName name="_935__FDSAUDITLINK__" hidden="1">{"fdsup://directions/FAT Viewer?action=UPDATE&amp;creator=factSet&amp;DYN_ARGS=true&amp;DOC_NAME=FAT:RGQ_ENTRPR_VAL_EV_SOURCE_WINDOW.FAT&amp;VAR:ID1=ADVS-US&amp;window=popup&amp;width=535&amp;height=425&amp;START_MAXIMIZED=FALSE&amp;Y=120"}</definedName>
    <definedName name="_936__FDSAUDITLINK__" localSheetId="0" hidden="1">{"fdsup://directions/FAT Viewer?action=UPDATE&amp;creator=factSet&amp;DYN_ARGS=true&amp;DOC_NAME=FAT:RGQ_ENTRPR_VAL_EV_SOURCE_WINDOW.FAT&amp;VAR:ID1=ADVS-US&amp;window=popup&amp;width=535&amp;height=425&amp;START_MAXIMIZED=FALSE&amp;Y=120"}</definedName>
    <definedName name="_936__FDSAUDITLINK__" localSheetId="6" hidden="1">{"fdsup://directions/FAT Viewer?action=UPDATE&amp;creator=factSet&amp;DYN_ARGS=true&amp;DOC_NAME=FAT:RGQ_ENTRPR_VAL_EV_SOURCE_WINDOW.FAT&amp;VAR:ID1=ADVS-US&amp;window=popup&amp;width=535&amp;height=425&amp;START_MAXIMIZED=FALSE&amp;Y=120"}</definedName>
    <definedName name="_936__FDSAUDITLINK__" hidden="1">{"fdsup://directions/FAT Viewer?action=UPDATE&amp;creator=factSet&amp;DYN_ARGS=true&amp;DOC_NAME=FAT:RGQ_ENTRPR_VAL_EV_SOURCE_WINDOW.FAT&amp;VAR:ID1=ADVS-US&amp;window=popup&amp;width=535&amp;height=425&amp;START_MAXIMIZED=FALSE&amp;Y=120"}</definedName>
    <definedName name="_937__FDSAUDITLINK__" localSheetId="0" hidden="1">{"fdsup://directions/FAT Viewer?action=UPDATE&amp;creator=factSet&amp;DYN_ARGS=true&amp;DOC_NAME=FAT:RGQ_ENTRPR_VAL_EV_SOURCE_WINDOW.FAT&amp;VAR:ID1=ADVS-US&amp;window=popup&amp;width=535&amp;height=425&amp;START_MAXIMIZED=FALSE&amp;Y=120"}</definedName>
    <definedName name="_937__FDSAUDITLINK__" localSheetId="6" hidden="1">{"fdsup://directions/FAT Viewer?action=UPDATE&amp;creator=factSet&amp;DYN_ARGS=true&amp;DOC_NAME=FAT:RGQ_ENTRPR_VAL_EV_SOURCE_WINDOW.FAT&amp;VAR:ID1=ADVS-US&amp;window=popup&amp;width=535&amp;height=425&amp;START_MAXIMIZED=FALSE&amp;Y=120"}</definedName>
    <definedName name="_937__FDSAUDITLINK__" hidden="1">{"fdsup://directions/FAT Viewer?action=UPDATE&amp;creator=factSet&amp;DYN_ARGS=true&amp;DOC_NAME=FAT:RGQ_ENTRPR_VAL_EV_SOURCE_WINDOW.FAT&amp;VAR:ID1=ADVS-US&amp;window=popup&amp;width=535&amp;height=425&amp;START_MAXIMIZED=FALSE&amp;Y=120"}</definedName>
    <definedName name="_938__FDSAUDITLINK__" localSheetId="0" hidden="1">{"fdsup://directions/FAT Viewer?action=UPDATE&amp;creator=factSet&amp;DYN_ARGS=true&amp;DOC_NAME=FAT:RGQ_ENTRPR_VAL_EV_SOURCE_WINDOW.FAT&amp;VAR:ID1=ADVS-US&amp;window=popup&amp;width=535&amp;height=425&amp;START_MAXIMIZED=FALSE&amp;Y=120"}</definedName>
    <definedName name="_938__FDSAUDITLINK__" localSheetId="6" hidden="1">{"fdsup://directions/FAT Viewer?action=UPDATE&amp;creator=factSet&amp;DYN_ARGS=true&amp;DOC_NAME=FAT:RGQ_ENTRPR_VAL_EV_SOURCE_WINDOW.FAT&amp;VAR:ID1=ADVS-US&amp;window=popup&amp;width=535&amp;height=425&amp;START_MAXIMIZED=FALSE&amp;Y=120"}</definedName>
    <definedName name="_938__FDSAUDITLINK__" hidden="1">{"fdsup://directions/FAT Viewer?action=UPDATE&amp;creator=factSet&amp;DYN_ARGS=true&amp;DOC_NAME=FAT:RGQ_ENTRPR_VAL_EV_SOURCE_WINDOW.FAT&amp;VAR:ID1=ADVS-US&amp;window=popup&amp;width=535&amp;height=425&amp;START_MAXIMIZED=FALSE&amp;Y=120"}</definedName>
    <definedName name="_939__123Graph_LBL_DCHART_24" hidden="1">#REF!</definedName>
    <definedName name="_939__FDSAUDITLINK__" localSheetId="0" hidden="1">{"fdsup://directions/FAT Viewer?action=UPDATE&amp;creator=factSet&amp;DYN_ARGS=true&amp;DOC_NAME=FAT:RGQ_ENTRPR_VAL_EV_SOURCE_WINDOW.FAT&amp;VAR:ID1=ADVS-US&amp;window=popup&amp;width=535&amp;height=425&amp;START_MAXIMIZED=FALSE&amp;Y=120"}</definedName>
    <definedName name="_939__FDSAUDITLINK__" localSheetId="6" hidden="1">{"fdsup://directions/FAT Viewer?action=UPDATE&amp;creator=factSet&amp;DYN_ARGS=true&amp;DOC_NAME=FAT:RGQ_ENTRPR_VAL_EV_SOURCE_WINDOW.FAT&amp;VAR:ID1=ADVS-US&amp;window=popup&amp;width=535&amp;height=425&amp;START_MAXIMIZED=FALSE&amp;Y=120"}</definedName>
    <definedName name="_939__FDSAUDITLINK__" hidden="1">{"fdsup://directions/FAT Viewer?action=UPDATE&amp;creator=factSet&amp;DYN_ARGS=true&amp;DOC_NAME=FAT:RGQ_ENTRPR_VAL_EV_SOURCE_WINDOW.FAT&amp;VAR:ID1=ADVS-US&amp;window=popup&amp;width=535&amp;height=425&amp;START_MAXIMIZED=FALSE&amp;Y=120"}</definedName>
    <definedName name="_94__123Graph_FCHART_4" hidden="1">#REF!</definedName>
    <definedName name="_94__123Graph_LBL_DCHART_2" hidden="1">#REF!</definedName>
    <definedName name="_94__FDSAUDITLINK__" localSheetId="0" hidden="1">{"fdsup://directions/FAT Viewer?action=UPDATE&amp;creator=factSet&amp;DYN_ARGS=true&amp;DOC_NAME=FAT:RGA_ENTRPR_VAL_EV_SOURCE_WINDOW.FAT&amp;VAR:ID1=&amp;window=popup&amp;width=535&amp;height=425&amp;START_MAXIMIZED=FALSE&amp;Y=120"}</definedName>
    <definedName name="_94__FDSAUDITLINK__" localSheetId="6" hidden="1">{"fdsup://directions/FAT Viewer?action=UPDATE&amp;creator=factSet&amp;DYN_ARGS=true&amp;DOC_NAME=FAT:RGA_ENTRPR_VAL_EV_SOURCE_WINDOW.FAT&amp;VAR:ID1=&amp;window=popup&amp;width=535&amp;height=425&amp;START_MAXIMIZED=FALSE&amp;Y=120"}</definedName>
    <definedName name="_94__FDSAUDITLINK__" hidden="1">{"fdsup://directions/FAT Viewer?action=UPDATE&amp;creator=factSet&amp;DYN_ARGS=true&amp;DOC_NAME=FAT:RGA_ENTRPR_VAL_EV_SOURCE_WINDOW.FAT&amp;VAR:ID1=&amp;window=popup&amp;width=535&amp;height=425&amp;START_MAXIMIZED=FALSE&amp;Y=120"}</definedName>
    <definedName name="_940__FDSAUDITLINK__" localSheetId="0" hidden="1">{"fdsup://directions/FAT Viewer?action=UPDATE&amp;creator=factSet&amp;DYN_ARGS=true&amp;DOC_NAME=FAT:RGQ_ENTRPR_VAL_EV_SOURCE_WINDOW.FAT&amp;VAR:ID1=ADVS-US&amp;window=popup&amp;width=535&amp;height=425&amp;START_MAXIMIZED=FALSE&amp;Y=120"}</definedName>
    <definedName name="_940__FDSAUDITLINK__" localSheetId="6" hidden="1">{"fdsup://directions/FAT Viewer?action=UPDATE&amp;creator=factSet&amp;DYN_ARGS=true&amp;DOC_NAME=FAT:RGQ_ENTRPR_VAL_EV_SOURCE_WINDOW.FAT&amp;VAR:ID1=ADVS-US&amp;window=popup&amp;width=535&amp;height=425&amp;START_MAXIMIZED=FALSE&amp;Y=120"}</definedName>
    <definedName name="_940__FDSAUDITLINK__" hidden="1">{"fdsup://directions/FAT Viewer?action=UPDATE&amp;creator=factSet&amp;DYN_ARGS=true&amp;DOC_NAME=FAT:RGQ_ENTRPR_VAL_EV_SOURCE_WINDOW.FAT&amp;VAR:ID1=ADVS-US&amp;window=popup&amp;width=535&amp;height=425&amp;START_MAXIMIZED=FALSE&amp;Y=120"}</definedName>
    <definedName name="_941__FDSAUDITLINK__" localSheetId="0" hidden="1">{"fdsup://directions/FAT Viewer?action=UPDATE&amp;creator=factSet&amp;DYN_ARGS=true&amp;DOC_NAME=FAT:RGQ_ENTRPR_VAL_EV_SOURCE_WINDOW.FAT&amp;VAR:ID1=ADVS-US&amp;window=popup&amp;width=535&amp;height=425&amp;START_MAXIMIZED=FALSE&amp;Y=120"}</definedName>
    <definedName name="_941__FDSAUDITLINK__" localSheetId="6" hidden="1">{"fdsup://directions/FAT Viewer?action=UPDATE&amp;creator=factSet&amp;DYN_ARGS=true&amp;DOC_NAME=FAT:RGQ_ENTRPR_VAL_EV_SOURCE_WINDOW.FAT&amp;VAR:ID1=ADVS-US&amp;window=popup&amp;width=535&amp;height=425&amp;START_MAXIMIZED=FALSE&amp;Y=120"}</definedName>
    <definedName name="_941__FDSAUDITLINK__" hidden="1">{"fdsup://directions/FAT Viewer?action=UPDATE&amp;creator=factSet&amp;DYN_ARGS=true&amp;DOC_NAME=FAT:RGQ_ENTRPR_VAL_EV_SOURCE_WINDOW.FAT&amp;VAR:ID1=ADVS-US&amp;window=popup&amp;width=535&amp;height=425&amp;START_MAXIMIZED=FALSE&amp;Y=120"}</definedName>
    <definedName name="_942__FDSAUDITLINK__" localSheetId="0" hidden="1">{"fdsup://directions/FAT Viewer?action=UPDATE&amp;creator=factSet&amp;DYN_ARGS=true&amp;DOC_NAME=FAT:RGQ_ENTRPR_VAL_EV_SOURCE_WINDOW.FAT&amp;VAR:ID1=ITG-US&amp;window=popup&amp;width=535&amp;height=425&amp;START_MAXIMIZED=FALSE&amp;Y=120"}</definedName>
    <definedName name="_942__FDSAUDITLINK__" localSheetId="6" hidden="1">{"fdsup://directions/FAT Viewer?action=UPDATE&amp;creator=factSet&amp;DYN_ARGS=true&amp;DOC_NAME=FAT:RGQ_ENTRPR_VAL_EV_SOURCE_WINDOW.FAT&amp;VAR:ID1=ITG-US&amp;window=popup&amp;width=535&amp;height=425&amp;START_MAXIMIZED=FALSE&amp;Y=120"}</definedName>
    <definedName name="_942__FDSAUDITLINK__" hidden="1">{"fdsup://directions/FAT Viewer?action=UPDATE&amp;creator=factSet&amp;DYN_ARGS=true&amp;DOC_NAME=FAT:RGQ_ENTRPR_VAL_EV_SOURCE_WINDOW.FAT&amp;VAR:ID1=ITG-US&amp;window=popup&amp;width=535&amp;height=425&amp;START_MAXIMIZED=FALSE&amp;Y=120"}</definedName>
    <definedName name="_943__123Graph_LBL_DCHART_26" hidden="1">#REF!</definedName>
    <definedName name="_943__FDSAUDITLINK__" localSheetId="0" hidden="1">{"fdsup://directions/FAT Viewer?action=UPDATE&amp;creator=factSet&amp;DYN_ARGS=true&amp;DOC_NAME=FAT:RGQ_ENTRPR_VAL_EV_SOURCE_WINDOW.FAT&amp;VAR:ID1=ITG-US&amp;window=popup&amp;width=535&amp;height=425&amp;START_MAXIMIZED=FALSE&amp;Y=120"}</definedName>
    <definedName name="_943__FDSAUDITLINK__" localSheetId="6" hidden="1">{"fdsup://directions/FAT Viewer?action=UPDATE&amp;creator=factSet&amp;DYN_ARGS=true&amp;DOC_NAME=FAT:RGQ_ENTRPR_VAL_EV_SOURCE_WINDOW.FAT&amp;VAR:ID1=ITG-US&amp;window=popup&amp;width=535&amp;height=425&amp;START_MAXIMIZED=FALSE&amp;Y=120"}</definedName>
    <definedName name="_943__FDSAUDITLINK__" hidden="1">{"fdsup://directions/FAT Viewer?action=UPDATE&amp;creator=factSet&amp;DYN_ARGS=true&amp;DOC_NAME=FAT:RGQ_ENTRPR_VAL_EV_SOURCE_WINDOW.FAT&amp;VAR:ID1=ITG-US&amp;window=popup&amp;width=535&amp;height=425&amp;START_MAXIMIZED=FALSE&amp;Y=120"}</definedName>
    <definedName name="_944__FDSAUDITLINK__" localSheetId="0" hidden="1">{"fdsup://directions/FAT Viewer?action=UPDATE&amp;creator=factSet&amp;DYN_ARGS=true&amp;DOC_NAME=FAT:RGQ_ENTRPR_VAL_EV_SOURCE_WINDOW.FAT&amp;VAR:ID1=ITG-US&amp;window=popup&amp;width=535&amp;height=425&amp;START_MAXIMIZED=FALSE&amp;Y=120"}</definedName>
    <definedName name="_944__FDSAUDITLINK__" localSheetId="6" hidden="1">{"fdsup://directions/FAT Viewer?action=UPDATE&amp;creator=factSet&amp;DYN_ARGS=true&amp;DOC_NAME=FAT:RGQ_ENTRPR_VAL_EV_SOURCE_WINDOW.FAT&amp;VAR:ID1=ITG-US&amp;window=popup&amp;width=535&amp;height=425&amp;START_MAXIMIZED=FALSE&amp;Y=120"}</definedName>
    <definedName name="_944__FDSAUDITLINK__" hidden="1">{"fdsup://directions/FAT Viewer?action=UPDATE&amp;creator=factSet&amp;DYN_ARGS=true&amp;DOC_NAME=FAT:RGQ_ENTRPR_VAL_EV_SOURCE_WINDOW.FAT&amp;VAR:ID1=ITG-US&amp;window=popup&amp;width=535&amp;height=425&amp;START_MAXIMIZED=FALSE&amp;Y=120"}</definedName>
    <definedName name="_945__FDSAUDITLINK__" localSheetId="0" hidden="1">{"fdsup://directions/FAT Viewer?action=UPDATE&amp;creator=factSet&amp;DYN_ARGS=true&amp;DOC_NAME=FAT:RGQ_ENTRPR_VAL_EV_SOURCE_WINDOW.FAT&amp;VAR:ID1=ITG-US&amp;window=popup&amp;width=535&amp;height=425&amp;START_MAXIMIZED=FALSE&amp;Y=120"}</definedName>
    <definedName name="_945__FDSAUDITLINK__" localSheetId="6" hidden="1">{"fdsup://directions/FAT Viewer?action=UPDATE&amp;creator=factSet&amp;DYN_ARGS=true&amp;DOC_NAME=FAT:RGQ_ENTRPR_VAL_EV_SOURCE_WINDOW.FAT&amp;VAR:ID1=ITG-US&amp;window=popup&amp;width=535&amp;height=425&amp;START_MAXIMIZED=FALSE&amp;Y=120"}</definedName>
    <definedName name="_945__FDSAUDITLINK__" hidden="1">{"fdsup://directions/FAT Viewer?action=UPDATE&amp;creator=factSet&amp;DYN_ARGS=true&amp;DOC_NAME=FAT:RGQ_ENTRPR_VAL_EV_SOURCE_WINDOW.FAT&amp;VAR:ID1=ITG-US&amp;window=popup&amp;width=535&amp;height=425&amp;START_MAXIMIZED=FALSE&amp;Y=120"}</definedName>
    <definedName name="_946__FDSAUDITLINK__" localSheetId="0" hidden="1">{"fdsup://directions/FAT Viewer?action=UPDATE&amp;creator=factSet&amp;DYN_ARGS=true&amp;DOC_NAME=FAT:RGQ_ENTRPR_VAL_EV_SOURCE_WINDOW.FAT&amp;VAR:ID1=ITG-US&amp;window=popup&amp;width=535&amp;height=425&amp;START_MAXIMIZED=FALSE&amp;Y=120"}</definedName>
    <definedName name="_946__FDSAUDITLINK__" localSheetId="6" hidden="1">{"fdsup://directions/FAT Viewer?action=UPDATE&amp;creator=factSet&amp;DYN_ARGS=true&amp;DOC_NAME=FAT:RGQ_ENTRPR_VAL_EV_SOURCE_WINDOW.FAT&amp;VAR:ID1=ITG-US&amp;window=popup&amp;width=535&amp;height=425&amp;START_MAXIMIZED=FALSE&amp;Y=120"}</definedName>
    <definedName name="_946__FDSAUDITLINK__" hidden="1">{"fdsup://directions/FAT Viewer?action=UPDATE&amp;creator=factSet&amp;DYN_ARGS=true&amp;DOC_NAME=FAT:RGQ_ENTRPR_VAL_EV_SOURCE_WINDOW.FAT&amp;VAR:ID1=ITG-US&amp;window=popup&amp;width=535&amp;height=425&amp;START_MAXIMIZED=FALSE&amp;Y=120"}</definedName>
    <definedName name="_947__123Graph_LBL_DCHART_28" hidden="1">#REF!</definedName>
    <definedName name="_947__FDSAUDITLINK__" localSheetId="0" hidden="1">{"fdsup://directions/FAT Viewer?action=UPDATE&amp;creator=factSet&amp;DYN_ARGS=true&amp;DOC_NAME=FAT:RGQ_ENTRPR_VAL_EV_SOURCE_WINDOW.FAT&amp;VAR:ID1=ITG-US&amp;window=popup&amp;width=535&amp;height=425&amp;START_MAXIMIZED=FALSE&amp;Y=120"}</definedName>
    <definedName name="_947__FDSAUDITLINK__" localSheetId="6" hidden="1">{"fdsup://directions/FAT Viewer?action=UPDATE&amp;creator=factSet&amp;DYN_ARGS=true&amp;DOC_NAME=FAT:RGQ_ENTRPR_VAL_EV_SOURCE_WINDOW.FAT&amp;VAR:ID1=ITG-US&amp;window=popup&amp;width=535&amp;height=425&amp;START_MAXIMIZED=FALSE&amp;Y=120"}</definedName>
    <definedName name="_947__FDSAUDITLINK__" hidden="1">{"fdsup://directions/FAT Viewer?action=UPDATE&amp;creator=factSet&amp;DYN_ARGS=true&amp;DOC_NAME=FAT:RGQ_ENTRPR_VAL_EV_SOURCE_WINDOW.FAT&amp;VAR:ID1=ITG-US&amp;window=popup&amp;width=535&amp;height=425&amp;START_MAXIMIZED=FALSE&amp;Y=120"}</definedName>
    <definedName name="_948__FDSAUDITLINK__" localSheetId="0" hidden="1">{"fdsup://directions/FAT Viewer?action=UPDATE&amp;creator=factSet&amp;DYN_ARGS=true&amp;DOC_NAME=FAT:RGQ_ENTRPR_VAL_EV_SOURCE_WINDOW.FAT&amp;VAR:ID1=ITG-US&amp;window=popup&amp;width=535&amp;height=425&amp;START_MAXIMIZED=FALSE&amp;Y=120"}</definedName>
    <definedName name="_948__FDSAUDITLINK__" localSheetId="6" hidden="1">{"fdsup://directions/FAT Viewer?action=UPDATE&amp;creator=factSet&amp;DYN_ARGS=true&amp;DOC_NAME=FAT:RGQ_ENTRPR_VAL_EV_SOURCE_WINDOW.FAT&amp;VAR:ID1=ITG-US&amp;window=popup&amp;width=535&amp;height=425&amp;START_MAXIMIZED=FALSE&amp;Y=120"}</definedName>
    <definedName name="_948__FDSAUDITLINK__" hidden="1">{"fdsup://directions/FAT Viewer?action=UPDATE&amp;creator=factSet&amp;DYN_ARGS=true&amp;DOC_NAME=FAT:RGQ_ENTRPR_VAL_EV_SOURCE_WINDOW.FAT&amp;VAR:ID1=ITG-US&amp;window=popup&amp;width=535&amp;height=425&amp;START_MAXIMIZED=FALSE&amp;Y=120"}</definedName>
    <definedName name="_949__FDSAUDITLINK__" localSheetId="0" hidden="1">{"fdsup://directions/FAT Viewer?action=UPDATE&amp;creator=factSet&amp;DYN_ARGS=true&amp;DOC_NAME=FAT:RGQ_ENTRPR_VAL_EV_SOURCE_WINDOW.FAT&amp;VAR:ID1=ITG-US&amp;window=popup&amp;width=535&amp;height=425&amp;START_MAXIMIZED=FALSE&amp;Y=120"}</definedName>
    <definedName name="_949__FDSAUDITLINK__" localSheetId="6" hidden="1">{"fdsup://directions/FAT Viewer?action=UPDATE&amp;creator=factSet&amp;DYN_ARGS=true&amp;DOC_NAME=FAT:RGQ_ENTRPR_VAL_EV_SOURCE_WINDOW.FAT&amp;VAR:ID1=ITG-US&amp;window=popup&amp;width=535&amp;height=425&amp;START_MAXIMIZED=FALSE&amp;Y=120"}</definedName>
    <definedName name="_949__FDSAUDITLINK__" hidden="1">{"fdsup://directions/FAT Viewer?action=UPDATE&amp;creator=factSet&amp;DYN_ARGS=true&amp;DOC_NAME=FAT:RGQ_ENTRPR_VAL_EV_SOURCE_WINDOW.FAT&amp;VAR:ID1=ITG-US&amp;window=popup&amp;width=535&amp;height=425&amp;START_MAXIMIZED=FALSE&amp;Y=120"}</definedName>
    <definedName name="_95__123Graph_DCHART_16" hidden="1">#REF!</definedName>
    <definedName name="_95__123Graph_FCHART_5" hidden="1">#REF!</definedName>
    <definedName name="_95__FDSAUDITLINK__" localSheetId="0" hidden="1">{"fdsup://directions/FAT Viewer?action=UPDATE&amp;creator=factSet&amp;DYN_ARGS=true&amp;DOC_NAME=FAT:RGA_ENTRPR_VAL_EV_SOURCE_WINDOW.FAT&amp;VAR:ID1=SIM-DK&amp;window=popup&amp;width=535&amp;height=425&amp;START_MAXIMIZED=FALSE&amp;Y=120"}</definedName>
    <definedName name="_95__FDSAUDITLINK__" localSheetId="6" hidden="1">{"fdsup://directions/FAT Viewer?action=UPDATE&amp;creator=factSet&amp;DYN_ARGS=true&amp;DOC_NAME=FAT:RGA_ENTRPR_VAL_EV_SOURCE_WINDOW.FAT&amp;VAR:ID1=SIM-DK&amp;window=popup&amp;width=535&amp;height=425&amp;START_MAXIMIZED=FALSE&amp;Y=120"}</definedName>
    <definedName name="_95__FDSAUDITLINK__" hidden="1">{"fdsup://directions/FAT Viewer?action=UPDATE&amp;creator=factSet&amp;DYN_ARGS=true&amp;DOC_NAME=FAT:RGA_ENTRPR_VAL_EV_SOURCE_WINDOW.FAT&amp;VAR:ID1=SIM-DK&amp;window=popup&amp;width=535&amp;height=425&amp;START_MAXIMIZED=FALSE&amp;Y=120"}</definedName>
    <definedName name="_950__FDSAUDITLINK__" localSheetId="0" hidden="1">{"fdsup://directions/FAT Viewer?action=UPDATE&amp;creator=factSet&amp;DYN_ARGS=true&amp;DOC_NAME=FAT:RGQ_ENTRPR_VAL_EV_SOURCE_WINDOW.FAT&amp;VAR:ID1=ITG-US&amp;window=popup&amp;width=535&amp;height=425&amp;START_MAXIMIZED=FALSE&amp;Y=120"}</definedName>
    <definedName name="_950__FDSAUDITLINK__" localSheetId="6" hidden="1">{"fdsup://directions/FAT Viewer?action=UPDATE&amp;creator=factSet&amp;DYN_ARGS=true&amp;DOC_NAME=FAT:RGQ_ENTRPR_VAL_EV_SOURCE_WINDOW.FAT&amp;VAR:ID1=ITG-US&amp;window=popup&amp;width=535&amp;height=425&amp;START_MAXIMIZED=FALSE&amp;Y=120"}</definedName>
    <definedName name="_950__FDSAUDITLINK__" hidden="1">{"fdsup://directions/FAT Viewer?action=UPDATE&amp;creator=factSet&amp;DYN_ARGS=true&amp;DOC_NAME=FAT:RGQ_ENTRPR_VAL_EV_SOURCE_WINDOW.FAT&amp;VAR:ID1=ITG-US&amp;window=popup&amp;width=535&amp;height=425&amp;START_MAXIMIZED=FALSE&amp;Y=120"}</definedName>
    <definedName name="_951__FDSAUDITLINK__" localSheetId="0" hidden="1">{"fdsup://directions/FAT Viewer?action=UPDATE&amp;creator=factSet&amp;DYN_ARGS=true&amp;DOC_NAME=FAT:RGQ_ENTRPR_VAL_EV_SOURCE_WINDOW.FAT&amp;VAR:ID1=ITG-US&amp;window=popup&amp;width=535&amp;height=425&amp;START_MAXIMIZED=FALSE&amp;Y=120"}</definedName>
    <definedName name="_951__FDSAUDITLINK__" localSheetId="6" hidden="1">{"fdsup://directions/FAT Viewer?action=UPDATE&amp;creator=factSet&amp;DYN_ARGS=true&amp;DOC_NAME=FAT:RGQ_ENTRPR_VAL_EV_SOURCE_WINDOW.FAT&amp;VAR:ID1=ITG-US&amp;window=popup&amp;width=535&amp;height=425&amp;START_MAXIMIZED=FALSE&amp;Y=120"}</definedName>
    <definedName name="_951__FDSAUDITLINK__" hidden="1">{"fdsup://directions/FAT Viewer?action=UPDATE&amp;creator=factSet&amp;DYN_ARGS=true&amp;DOC_NAME=FAT:RGQ_ENTRPR_VAL_EV_SOURCE_WINDOW.FAT&amp;VAR:ID1=ITG-US&amp;window=popup&amp;width=535&amp;height=425&amp;START_MAXIMIZED=FALSE&amp;Y=120"}</definedName>
    <definedName name="_952__FDSAUDITLINK__" localSheetId="0" hidden="1">{"fdsup://directions/FAT Viewer?action=UPDATE&amp;creator=factSet&amp;DYN_ARGS=true&amp;DOC_NAME=FAT:RGQ_ENTRPR_VAL_EV_SOURCE_WINDOW.FAT&amp;VAR:ID1=ITG-US&amp;window=popup&amp;width=535&amp;height=425&amp;START_MAXIMIZED=FALSE&amp;Y=120"}</definedName>
    <definedName name="_952__FDSAUDITLINK__" localSheetId="6" hidden="1">{"fdsup://directions/FAT Viewer?action=UPDATE&amp;creator=factSet&amp;DYN_ARGS=true&amp;DOC_NAME=FAT:RGQ_ENTRPR_VAL_EV_SOURCE_WINDOW.FAT&amp;VAR:ID1=ITG-US&amp;window=popup&amp;width=535&amp;height=425&amp;START_MAXIMIZED=FALSE&amp;Y=120"}</definedName>
    <definedName name="_952__FDSAUDITLINK__" hidden="1">{"fdsup://directions/FAT Viewer?action=UPDATE&amp;creator=factSet&amp;DYN_ARGS=true&amp;DOC_NAME=FAT:RGQ_ENTRPR_VAL_EV_SOURCE_WINDOW.FAT&amp;VAR:ID1=ITG-US&amp;window=popup&amp;width=535&amp;height=425&amp;START_MAXIMIZED=FALSE&amp;Y=120"}</definedName>
    <definedName name="_953__FDSAUDITLINK__" localSheetId="0" hidden="1">{"fdsup://directions/FAT Viewer?action=UPDATE&amp;creator=factSet&amp;DYN_ARGS=true&amp;DOC_NAME=FAT:RGQ_ENTRPR_VAL_EV_SOURCE_WINDOW.FAT&amp;VAR:ID1=ITG-US&amp;window=popup&amp;width=535&amp;height=425&amp;START_MAXIMIZED=FALSE&amp;Y=120"}</definedName>
    <definedName name="_953__FDSAUDITLINK__" localSheetId="6" hidden="1">{"fdsup://directions/FAT Viewer?action=UPDATE&amp;creator=factSet&amp;DYN_ARGS=true&amp;DOC_NAME=FAT:RGQ_ENTRPR_VAL_EV_SOURCE_WINDOW.FAT&amp;VAR:ID1=ITG-US&amp;window=popup&amp;width=535&amp;height=425&amp;START_MAXIMIZED=FALSE&amp;Y=120"}</definedName>
    <definedName name="_953__FDSAUDITLINK__" hidden="1">{"fdsup://directions/FAT Viewer?action=UPDATE&amp;creator=factSet&amp;DYN_ARGS=true&amp;DOC_NAME=FAT:RGQ_ENTRPR_VAL_EV_SOURCE_WINDOW.FAT&amp;VAR:ID1=ITG-US&amp;window=popup&amp;width=535&amp;height=425&amp;START_MAXIMIZED=FALSE&amp;Y=120"}</definedName>
    <definedName name="_954__FDSAUDITLINK__" localSheetId="0" hidden="1">{"fdsup://directions/FAT Viewer?action=UPDATE&amp;creator=factSet&amp;DYN_ARGS=true&amp;DOC_NAME=FAT:RGQ_ENTRPR_VAL_EV_SOURCE_WINDOW.FAT&amp;VAR:ID1=ITG-US&amp;window=popup&amp;width=535&amp;height=425&amp;START_MAXIMIZED=FALSE&amp;Y=120"}</definedName>
    <definedName name="_954__FDSAUDITLINK__" localSheetId="6" hidden="1">{"fdsup://directions/FAT Viewer?action=UPDATE&amp;creator=factSet&amp;DYN_ARGS=true&amp;DOC_NAME=FAT:RGQ_ENTRPR_VAL_EV_SOURCE_WINDOW.FAT&amp;VAR:ID1=ITG-US&amp;window=popup&amp;width=535&amp;height=425&amp;START_MAXIMIZED=FALSE&amp;Y=120"}</definedName>
    <definedName name="_954__FDSAUDITLINK__" hidden="1">{"fdsup://directions/FAT Viewer?action=UPDATE&amp;creator=factSet&amp;DYN_ARGS=true&amp;DOC_NAME=FAT:RGQ_ENTRPR_VAL_EV_SOURCE_WINDOW.FAT&amp;VAR:ID1=ITG-US&amp;window=popup&amp;width=535&amp;height=425&amp;START_MAXIMIZED=FALSE&amp;Y=120"}</definedName>
    <definedName name="_955__FDSAUDITLINK__" localSheetId="0" hidden="1">{"fdsup://directions/FAT Viewer?action=UPDATE&amp;creator=factSet&amp;DYN_ARGS=true&amp;DOC_NAME=FAT:RGQ_ENTRPR_VAL_EV_SOURCE_WINDOW.FAT&amp;VAR:ID1=ITG-US&amp;window=popup&amp;width=535&amp;height=425&amp;START_MAXIMIZED=FALSE&amp;Y=120"}</definedName>
    <definedName name="_955__FDSAUDITLINK__" localSheetId="6" hidden="1">{"fdsup://directions/FAT Viewer?action=UPDATE&amp;creator=factSet&amp;DYN_ARGS=true&amp;DOC_NAME=FAT:RGQ_ENTRPR_VAL_EV_SOURCE_WINDOW.FAT&amp;VAR:ID1=ITG-US&amp;window=popup&amp;width=535&amp;height=425&amp;START_MAXIMIZED=FALSE&amp;Y=120"}</definedName>
    <definedName name="_955__FDSAUDITLINK__" hidden="1">{"fdsup://directions/FAT Viewer?action=UPDATE&amp;creator=factSet&amp;DYN_ARGS=true&amp;DOC_NAME=FAT:RGQ_ENTRPR_VAL_EV_SOURCE_WINDOW.FAT&amp;VAR:ID1=ITG-US&amp;window=popup&amp;width=535&amp;height=425&amp;START_MAXIMIZED=FALSE&amp;Y=120"}</definedName>
    <definedName name="_956__FDSAUDITLINK__" localSheetId="0" hidden="1">{"fdsup://directions/FAT Viewer?action=UPDATE&amp;creator=factSet&amp;DYN_ARGS=true&amp;DOC_NAME=FAT:RGQ_ENTRPR_VAL_EV_SOURCE_WINDOW.FAT&amp;VAR:ID1=ITG-US&amp;window=popup&amp;width=535&amp;height=425&amp;START_MAXIMIZED=FALSE&amp;Y=120"}</definedName>
    <definedName name="_956__FDSAUDITLINK__" localSheetId="6" hidden="1">{"fdsup://directions/FAT Viewer?action=UPDATE&amp;creator=factSet&amp;DYN_ARGS=true&amp;DOC_NAME=FAT:RGQ_ENTRPR_VAL_EV_SOURCE_WINDOW.FAT&amp;VAR:ID1=ITG-US&amp;window=popup&amp;width=535&amp;height=425&amp;START_MAXIMIZED=FALSE&amp;Y=120"}</definedName>
    <definedName name="_956__FDSAUDITLINK__" hidden="1">{"fdsup://directions/FAT Viewer?action=UPDATE&amp;creator=factSet&amp;DYN_ARGS=true&amp;DOC_NAME=FAT:RGQ_ENTRPR_VAL_EV_SOURCE_WINDOW.FAT&amp;VAR:ID1=ITG-US&amp;window=popup&amp;width=535&amp;height=425&amp;START_MAXIMIZED=FALSE&amp;Y=120"}</definedName>
    <definedName name="_957__FDSAUDITLINK__" localSheetId="0" hidden="1">{"fdsup://directions/FAT Viewer?action=UPDATE&amp;creator=factSet&amp;DYN_ARGS=true&amp;DOC_NAME=FAT:RGQ_ENTRPR_VAL_EV_SOURCE_WINDOW.FAT&amp;VAR:ID1=ITG-US&amp;window=popup&amp;width=535&amp;height=425&amp;START_MAXIMIZED=FALSE&amp;Y=120"}</definedName>
    <definedName name="_957__FDSAUDITLINK__" localSheetId="6" hidden="1">{"fdsup://directions/FAT Viewer?action=UPDATE&amp;creator=factSet&amp;DYN_ARGS=true&amp;DOC_NAME=FAT:RGQ_ENTRPR_VAL_EV_SOURCE_WINDOW.FAT&amp;VAR:ID1=ITG-US&amp;window=popup&amp;width=535&amp;height=425&amp;START_MAXIMIZED=FALSE&amp;Y=120"}</definedName>
    <definedName name="_957__FDSAUDITLINK__" hidden="1">{"fdsup://directions/FAT Viewer?action=UPDATE&amp;creator=factSet&amp;DYN_ARGS=true&amp;DOC_NAME=FAT:RGQ_ENTRPR_VAL_EV_SOURCE_WINDOW.FAT&amp;VAR:ID1=ITG-US&amp;window=popup&amp;width=535&amp;height=425&amp;START_MAXIMIZED=FALSE&amp;Y=120"}</definedName>
    <definedName name="_958__FDSAUDITLINK__" localSheetId="0" hidden="1">{"fdsup://directions/FAT Viewer?action=UPDATE&amp;creator=factSet&amp;DYN_ARGS=true&amp;DOC_NAME=FAT:RGQ_ENTRPR_VAL_EV_SOURCE_WINDOW.FAT&amp;VAR:ID1=ITG-US&amp;window=popup&amp;width=535&amp;height=425&amp;START_MAXIMIZED=FALSE&amp;Y=120"}</definedName>
    <definedName name="_958__FDSAUDITLINK__" localSheetId="6" hidden="1">{"fdsup://directions/FAT Viewer?action=UPDATE&amp;creator=factSet&amp;DYN_ARGS=true&amp;DOC_NAME=FAT:RGQ_ENTRPR_VAL_EV_SOURCE_WINDOW.FAT&amp;VAR:ID1=ITG-US&amp;window=popup&amp;width=535&amp;height=425&amp;START_MAXIMIZED=FALSE&amp;Y=120"}</definedName>
    <definedName name="_958__FDSAUDITLINK__" hidden="1">{"fdsup://directions/FAT Viewer?action=UPDATE&amp;creator=factSet&amp;DYN_ARGS=true&amp;DOC_NAME=FAT:RGQ_ENTRPR_VAL_EV_SOURCE_WINDOW.FAT&amp;VAR:ID1=ITG-US&amp;window=popup&amp;width=535&amp;height=425&amp;START_MAXIMIZED=FALSE&amp;Y=120"}</definedName>
    <definedName name="_959__FDSAUDITLINK__" localSheetId="0" hidden="1">{"fdsup://directions/FAT Viewer?action=UPDATE&amp;creator=factSet&amp;DYN_ARGS=true&amp;DOC_NAME=FAT:RGQ_ENTRPR_VAL_EV_SOURCE_WINDOW.FAT&amp;VAR:ID1=ITG-US&amp;window=popup&amp;width=535&amp;height=425&amp;START_MAXIMIZED=FALSE&amp;Y=120"}</definedName>
    <definedName name="_959__FDSAUDITLINK__" localSheetId="6" hidden="1">{"fdsup://directions/FAT Viewer?action=UPDATE&amp;creator=factSet&amp;DYN_ARGS=true&amp;DOC_NAME=FAT:RGQ_ENTRPR_VAL_EV_SOURCE_WINDOW.FAT&amp;VAR:ID1=ITG-US&amp;window=popup&amp;width=535&amp;height=425&amp;START_MAXIMIZED=FALSE&amp;Y=120"}</definedName>
    <definedName name="_959__FDSAUDITLINK__" hidden="1">{"fdsup://directions/FAT Viewer?action=UPDATE&amp;creator=factSet&amp;DYN_ARGS=true&amp;DOC_NAME=FAT:RGQ_ENTRPR_VAL_EV_SOURCE_WINDOW.FAT&amp;VAR:ID1=ITG-US&amp;window=popup&amp;width=535&amp;height=425&amp;START_MAXIMIZED=FALSE&amp;Y=120"}</definedName>
    <definedName name="_96__123Graph_FCHART_6" hidden="1">#REF!</definedName>
    <definedName name="_96__FDSAUDITLINK__" localSheetId="0" hidden="1">{"fdsup://directions/FAT Viewer?action=UPDATE&amp;creator=factSet&amp;DYN_ARGS=true&amp;DOC_NAME=FAT:RGA_ENTRPR_VAL_EV_SOURCE_WINDOW.FAT&amp;VAR:ID1=5835.00772&amp;window=popup&amp;width=535&amp;height=425&amp;START_MAXIMIZED=FALSE&amp;Y=120"}</definedName>
    <definedName name="_96__FDSAUDITLINK__" localSheetId="6" hidden="1">{"fdsup://directions/FAT Viewer?action=UPDATE&amp;creator=factSet&amp;DYN_ARGS=true&amp;DOC_NAME=FAT:RGA_ENTRPR_VAL_EV_SOURCE_WINDOW.FAT&amp;VAR:ID1=5835.00772&amp;window=popup&amp;width=535&amp;height=425&amp;START_MAXIMIZED=FALSE&amp;Y=120"}</definedName>
    <definedName name="_96__FDSAUDITLINK__" hidden="1">{"fdsup://directions/FAT Viewer?action=UPDATE&amp;creator=factSet&amp;DYN_ARGS=true&amp;DOC_NAME=FAT:RGA_ENTRPR_VAL_EV_SOURCE_WINDOW.FAT&amp;VAR:ID1=5835.00772&amp;window=popup&amp;width=535&amp;height=425&amp;START_MAXIMIZED=FALSE&amp;Y=120"}</definedName>
    <definedName name="_960__123Graph_LBL_DCHART_30" hidden="1">#REF!</definedName>
    <definedName name="_960__FDSAUDITLINK__" localSheetId="0" hidden="1">{"fdsup://directions/FAT Viewer?action=UPDATE&amp;creator=factSet&amp;DYN_ARGS=true&amp;DOC_NAME=FAT:RGQ_ENTRPR_VAL_EV_SOURCE_WINDOW.FAT&amp;VAR:ID1=ITG-US&amp;window=popup&amp;width=535&amp;height=425&amp;START_MAXIMIZED=FALSE&amp;Y=120"}</definedName>
    <definedName name="_960__FDSAUDITLINK__" localSheetId="6" hidden="1">{"fdsup://directions/FAT Viewer?action=UPDATE&amp;creator=factSet&amp;DYN_ARGS=true&amp;DOC_NAME=FAT:RGQ_ENTRPR_VAL_EV_SOURCE_WINDOW.FAT&amp;VAR:ID1=ITG-US&amp;window=popup&amp;width=535&amp;height=425&amp;START_MAXIMIZED=FALSE&amp;Y=120"}</definedName>
    <definedName name="_960__FDSAUDITLINK__" hidden="1">{"fdsup://directions/FAT Viewer?action=UPDATE&amp;creator=factSet&amp;DYN_ARGS=true&amp;DOC_NAME=FAT:RGQ_ENTRPR_VAL_EV_SOURCE_WINDOW.FAT&amp;VAR:ID1=ITG-US&amp;window=popup&amp;width=535&amp;height=425&amp;START_MAXIMIZED=FALSE&amp;Y=120"}</definedName>
    <definedName name="_961__FDSAUDITLINK__" localSheetId="0" hidden="1">{"fdsup://directions/FAT Viewer?action=UPDATE&amp;creator=factSet&amp;DYN_ARGS=true&amp;DOC_NAME=FAT:RGQ_ENTRPR_VAL_EV_SOURCE_WINDOW.FAT&amp;VAR:ID1=ITG-US&amp;window=popup&amp;width=535&amp;height=425&amp;START_MAXIMIZED=FALSE&amp;Y=120"}</definedName>
    <definedName name="_961__FDSAUDITLINK__" localSheetId="6" hidden="1">{"fdsup://directions/FAT Viewer?action=UPDATE&amp;creator=factSet&amp;DYN_ARGS=true&amp;DOC_NAME=FAT:RGQ_ENTRPR_VAL_EV_SOURCE_WINDOW.FAT&amp;VAR:ID1=ITG-US&amp;window=popup&amp;width=535&amp;height=425&amp;START_MAXIMIZED=FALSE&amp;Y=120"}</definedName>
    <definedName name="_961__FDSAUDITLINK__" hidden="1">{"fdsup://directions/FAT Viewer?action=UPDATE&amp;creator=factSet&amp;DYN_ARGS=true&amp;DOC_NAME=FAT:RGQ_ENTRPR_VAL_EV_SOURCE_WINDOW.FAT&amp;VAR:ID1=ITG-US&amp;window=popup&amp;width=535&amp;height=425&amp;START_MAXIMIZED=FALSE&amp;Y=120"}</definedName>
    <definedName name="_962__FDSAUDITLINK__" localSheetId="0" hidden="1">{"fdsup://directions/FAT Viewer?action=UPDATE&amp;creator=factSet&amp;DYN_ARGS=true&amp;DOC_NAME=FAT:RGQ_ENTRPR_VAL_EV_SOURCE_WINDOW.FAT&amp;VAR:ID1=ITG-US&amp;window=popup&amp;width=535&amp;height=425&amp;START_MAXIMIZED=FALSE&amp;Y=120"}</definedName>
    <definedName name="_962__FDSAUDITLINK__" localSheetId="6" hidden="1">{"fdsup://directions/FAT Viewer?action=UPDATE&amp;creator=factSet&amp;DYN_ARGS=true&amp;DOC_NAME=FAT:RGQ_ENTRPR_VAL_EV_SOURCE_WINDOW.FAT&amp;VAR:ID1=ITG-US&amp;window=popup&amp;width=535&amp;height=425&amp;START_MAXIMIZED=FALSE&amp;Y=120"}</definedName>
    <definedName name="_962__FDSAUDITLINK__" hidden="1">{"fdsup://directions/FAT Viewer?action=UPDATE&amp;creator=factSet&amp;DYN_ARGS=true&amp;DOC_NAME=FAT:RGQ_ENTRPR_VAL_EV_SOURCE_WINDOW.FAT&amp;VAR:ID1=ITG-US&amp;window=popup&amp;width=535&amp;height=425&amp;START_MAXIMIZED=FALSE&amp;Y=120"}</definedName>
    <definedName name="_963__FDSAUDITLINK__" localSheetId="0" hidden="1">{"fdsup://directions/FAT Viewer?action=UPDATE&amp;creator=factSet&amp;DYN_ARGS=true&amp;DOC_NAME=FAT:RGQ_ENTRPR_VAL_EV_SOURCE_WINDOW.FAT&amp;VAR:ID1=DST-US&amp;window=popup&amp;width=535&amp;height=425&amp;START_MAXIMIZED=FALSE&amp;Y=120"}</definedName>
    <definedName name="_963__FDSAUDITLINK__" localSheetId="6" hidden="1">{"fdsup://directions/FAT Viewer?action=UPDATE&amp;creator=factSet&amp;DYN_ARGS=true&amp;DOC_NAME=FAT:RGQ_ENTRPR_VAL_EV_SOURCE_WINDOW.FAT&amp;VAR:ID1=DST-US&amp;window=popup&amp;width=535&amp;height=425&amp;START_MAXIMIZED=FALSE&amp;Y=120"}</definedName>
    <definedName name="_963__FDSAUDITLINK__" hidden="1">{"fdsup://directions/FAT Viewer?action=UPDATE&amp;creator=factSet&amp;DYN_ARGS=true&amp;DOC_NAME=FAT:RGQ_ENTRPR_VAL_EV_SOURCE_WINDOW.FAT&amp;VAR:ID1=DST-US&amp;window=popup&amp;width=535&amp;height=425&amp;START_MAXIMIZED=FALSE&amp;Y=120"}</definedName>
    <definedName name="_964__FDSAUDITLINK__" localSheetId="0" hidden="1">{"fdsup://directions/FAT Viewer?action=UPDATE&amp;creator=factSet&amp;DYN_ARGS=true&amp;DOC_NAME=FAT:RGQ_ENTRPR_VAL_EV_SOURCE_WINDOW.FAT&amp;VAR:ID1=DST-US&amp;window=popup&amp;width=535&amp;height=425&amp;START_MAXIMIZED=FALSE&amp;Y=120"}</definedName>
    <definedName name="_964__FDSAUDITLINK__" localSheetId="6" hidden="1">{"fdsup://directions/FAT Viewer?action=UPDATE&amp;creator=factSet&amp;DYN_ARGS=true&amp;DOC_NAME=FAT:RGQ_ENTRPR_VAL_EV_SOURCE_WINDOW.FAT&amp;VAR:ID1=DST-US&amp;window=popup&amp;width=535&amp;height=425&amp;START_MAXIMIZED=FALSE&amp;Y=120"}</definedName>
    <definedName name="_964__FDSAUDITLINK__" hidden="1">{"fdsup://directions/FAT Viewer?action=UPDATE&amp;creator=factSet&amp;DYN_ARGS=true&amp;DOC_NAME=FAT:RGQ_ENTRPR_VAL_EV_SOURCE_WINDOW.FAT&amp;VAR:ID1=DST-US&amp;window=popup&amp;width=535&amp;height=425&amp;START_MAXIMIZED=FALSE&amp;Y=120"}</definedName>
    <definedName name="_965__FDSAUDITLINK__" localSheetId="0" hidden="1">{"fdsup://directions/FAT Viewer?action=UPDATE&amp;creator=factSet&amp;DYN_ARGS=true&amp;DOC_NAME=FAT:RGQ_ENTRPR_VAL_EV_SOURCE_WINDOW.FAT&amp;VAR:ID1=DST-US&amp;window=popup&amp;width=535&amp;height=425&amp;START_MAXIMIZED=FALSE&amp;Y=120"}</definedName>
    <definedName name="_965__FDSAUDITLINK__" localSheetId="6" hidden="1">{"fdsup://directions/FAT Viewer?action=UPDATE&amp;creator=factSet&amp;DYN_ARGS=true&amp;DOC_NAME=FAT:RGQ_ENTRPR_VAL_EV_SOURCE_WINDOW.FAT&amp;VAR:ID1=DST-US&amp;window=popup&amp;width=535&amp;height=425&amp;START_MAXIMIZED=FALSE&amp;Y=120"}</definedName>
    <definedName name="_965__FDSAUDITLINK__" hidden="1">{"fdsup://directions/FAT Viewer?action=UPDATE&amp;creator=factSet&amp;DYN_ARGS=true&amp;DOC_NAME=FAT:RGQ_ENTRPR_VAL_EV_SOURCE_WINDOW.FAT&amp;VAR:ID1=DST-US&amp;window=popup&amp;width=535&amp;height=425&amp;START_MAXIMIZED=FALSE&amp;Y=120"}</definedName>
    <definedName name="_966__FDSAUDITLINK__" localSheetId="0" hidden="1">{"fdsup://directions/FAT Viewer?action=UPDATE&amp;creator=factSet&amp;DYN_ARGS=true&amp;DOC_NAME=FAT:RGQ_ENTRPR_VAL_EV_SOURCE_WINDOW.FAT&amp;VAR:ID1=DST-US&amp;window=popup&amp;width=535&amp;height=425&amp;START_MAXIMIZED=FALSE&amp;Y=120"}</definedName>
    <definedName name="_966__FDSAUDITLINK__" localSheetId="6" hidden="1">{"fdsup://directions/FAT Viewer?action=UPDATE&amp;creator=factSet&amp;DYN_ARGS=true&amp;DOC_NAME=FAT:RGQ_ENTRPR_VAL_EV_SOURCE_WINDOW.FAT&amp;VAR:ID1=DST-US&amp;window=popup&amp;width=535&amp;height=425&amp;START_MAXIMIZED=FALSE&amp;Y=120"}</definedName>
    <definedName name="_966__FDSAUDITLINK__" hidden="1">{"fdsup://directions/FAT Viewer?action=UPDATE&amp;creator=factSet&amp;DYN_ARGS=true&amp;DOC_NAME=FAT:RGQ_ENTRPR_VAL_EV_SOURCE_WINDOW.FAT&amp;VAR:ID1=DST-US&amp;window=popup&amp;width=535&amp;height=425&amp;START_MAXIMIZED=FALSE&amp;Y=120"}</definedName>
    <definedName name="_967__FDSAUDITLINK__" localSheetId="0" hidden="1">{"fdsup://directions/FAT Viewer?action=UPDATE&amp;creator=factSet&amp;DYN_ARGS=true&amp;DOC_NAME=FAT:RGQ_ENTRPR_VAL_EV_SOURCE_WINDOW.FAT&amp;VAR:ID1=DST-US&amp;window=popup&amp;width=535&amp;height=425&amp;START_MAXIMIZED=FALSE&amp;Y=120"}</definedName>
    <definedName name="_967__FDSAUDITLINK__" localSheetId="6" hidden="1">{"fdsup://directions/FAT Viewer?action=UPDATE&amp;creator=factSet&amp;DYN_ARGS=true&amp;DOC_NAME=FAT:RGQ_ENTRPR_VAL_EV_SOURCE_WINDOW.FAT&amp;VAR:ID1=DST-US&amp;window=popup&amp;width=535&amp;height=425&amp;START_MAXIMIZED=FALSE&amp;Y=120"}</definedName>
    <definedName name="_967__FDSAUDITLINK__" hidden="1">{"fdsup://directions/FAT Viewer?action=UPDATE&amp;creator=factSet&amp;DYN_ARGS=true&amp;DOC_NAME=FAT:RGQ_ENTRPR_VAL_EV_SOURCE_WINDOW.FAT&amp;VAR:ID1=DST-US&amp;window=popup&amp;width=535&amp;height=425&amp;START_MAXIMIZED=FALSE&amp;Y=120"}</definedName>
    <definedName name="_968__FDSAUDITLINK__" localSheetId="0" hidden="1">{"fdsup://directions/FAT Viewer?action=UPDATE&amp;creator=factSet&amp;DYN_ARGS=true&amp;DOC_NAME=FAT:RGQ_ENTRPR_VAL_EV_SOURCE_WINDOW.FAT&amp;VAR:ID1=DST-US&amp;window=popup&amp;width=535&amp;height=425&amp;START_MAXIMIZED=FALSE&amp;Y=120"}</definedName>
    <definedName name="_968__FDSAUDITLINK__" localSheetId="6" hidden="1">{"fdsup://directions/FAT Viewer?action=UPDATE&amp;creator=factSet&amp;DYN_ARGS=true&amp;DOC_NAME=FAT:RGQ_ENTRPR_VAL_EV_SOURCE_WINDOW.FAT&amp;VAR:ID1=DST-US&amp;window=popup&amp;width=535&amp;height=425&amp;START_MAXIMIZED=FALSE&amp;Y=120"}</definedName>
    <definedName name="_968__FDSAUDITLINK__" hidden="1">{"fdsup://directions/FAT Viewer?action=UPDATE&amp;creator=factSet&amp;DYN_ARGS=true&amp;DOC_NAME=FAT:RGQ_ENTRPR_VAL_EV_SOURCE_WINDOW.FAT&amp;VAR:ID1=DST-US&amp;window=popup&amp;width=535&amp;height=425&amp;START_MAXIMIZED=FALSE&amp;Y=120"}</definedName>
    <definedName name="_969__FDSAUDITLINK__" localSheetId="0" hidden="1">{"fdsup://directions/FAT Viewer?action=UPDATE&amp;creator=factSet&amp;DYN_ARGS=true&amp;DOC_NAME=FAT:RGQ_ENTRPR_VAL_EV_SOURCE_WINDOW.FAT&amp;VAR:ID1=DST-US&amp;window=popup&amp;width=535&amp;height=425&amp;START_MAXIMIZED=FALSE&amp;Y=120"}</definedName>
    <definedName name="_969__FDSAUDITLINK__" localSheetId="6" hidden="1">{"fdsup://directions/FAT Viewer?action=UPDATE&amp;creator=factSet&amp;DYN_ARGS=true&amp;DOC_NAME=FAT:RGQ_ENTRPR_VAL_EV_SOURCE_WINDOW.FAT&amp;VAR:ID1=DST-US&amp;window=popup&amp;width=535&amp;height=425&amp;START_MAXIMIZED=FALSE&amp;Y=120"}</definedName>
    <definedName name="_969__FDSAUDITLINK__" hidden="1">{"fdsup://directions/FAT Viewer?action=UPDATE&amp;creator=factSet&amp;DYN_ARGS=true&amp;DOC_NAME=FAT:RGQ_ENTRPR_VAL_EV_SOURCE_WINDOW.FAT&amp;VAR:ID1=DST-US&amp;window=popup&amp;width=535&amp;height=425&amp;START_MAXIMIZED=FALSE&amp;Y=120"}</definedName>
    <definedName name="_97__123Graph_FCHART_7" hidden="1">#REF!</definedName>
    <definedName name="_97__123Graph_XCHART_2" hidden="1">#REF!</definedName>
    <definedName name="_97__FDSAUDITLINK__" localSheetId="0" hidden="1">{"fdsup://directions/FAT Viewer?action=UPDATE&amp;creator=factSet&amp;DYN_ARGS=true&amp;DOC_NAME=FAT:RGA_ENTRPR_VAL_EV_SOURCE_WINDOW.FAT&amp;VAR:ID1=EV&amp;window=popup&amp;width=535&amp;height=425&amp;START_MAXIMIZED=FALSE&amp;Y=120"}</definedName>
    <definedName name="_97__FDSAUDITLINK__" localSheetId="6" hidden="1">{"fdsup://directions/FAT Viewer?action=UPDATE&amp;creator=factSet&amp;DYN_ARGS=true&amp;DOC_NAME=FAT:RGA_ENTRPR_VAL_EV_SOURCE_WINDOW.FAT&amp;VAR:ID1=EV&amp;window=popup&amp;width=535&amp;height=425&amp;START_MAXIMIZED=FALSE&amp;Y=120"}</definedName>
    <definedName name="_97__FDSAUDITLINK__" hidden="1">{"fdsup://directions/FAT Viewer?action=UPDATE&amp;creator=factSet&amp;DYN_ARGS=true&amp;DOC_NAME=FAT:RGA_ENTRPR_VAL_EV_SOURCE_WINDOW.FAT&amp;VAR:ID1=EV&amp;window=popup&amp;width=535&amp;height=425&amp;START_MAXIMIZED=FALSE&amp;Y=120"}</definedName>
    <definedName name="_970__FDSAUDITLINK__" localSheetId="0" hidden="1">{"fdsup://directions/FAT Viewer?action=UPDATE&amp;creator=factSet&amp;DYN_ARGS=true&amp;DOC_NAME=FAT:RGQ_ENTRPR_VAL_EV_SOURCE_WINDOW.FAT&amp;VAR:ID1=DST-US&amp;window=popup&amp;width=535&amp;height=425&amp;START_MAXIMIZED=FALSE&amp;Y=120"}</definedName>
    <definedName name="_970__FDSAUDITLINK__" localSheetId="6" hidden="1">{"fdsup://directions/FAT Viewer?action=UPDATE&amp;creator=factSet&amp;DYN_ARGS=true&amp;DOC_NAME=FAT:RGQ_ENTRPR_VAL_EV_SOURCE_WINDOW.FAT&amp;VAR:ID1=DST-US&amp;window=popup&amp;width=535&amp;height=425&amp;START_MAXIMIZED=FALSE&amp;Y=120"}</definedName>
    <definedName name="_970__FDSAUDITLINK__" hidden="1">{"fdsup://directions/FAT Viewer?action=UPDATE&amp;creator=factSet&amp;DYN_ARGS=true&amp;DOC_NAME=FAT:RGQ_ENTRPR_VAL_EV_SOURCE_WINDOW.FAT&amp;VAR:ID1=DST-US&amp;window=popup&amp;width=535&amp;height=425&amp;START_MAXIMIZED=FALSE&amp;Y=120"}</definedName>
    <definedName name="_971__FDSAUDITLINK__" localSheetId="0" hidden="1">{"fdsup://directions/FAT Viewer?action=UPDATE&amp;creator=factSet&amp;DYN_ARGS=true&amp;DOC_NAME=FAT:RGQ_ENTRPR_VAL_EV_SOURCE_WINDOW.FAT&amp;VAR:ID1=DST-US&amp;window=popup&amp;width=535&amp;height=425&amp;START_MAXIMIZED=FALSE&amp;Y=120"}</definedName>
    <definedName name="_971__FDSAUDITLINK__" localSheetId="6" hidden="1">{"fdsup://directions/FAT Viewer?action=UPDATE&amp;creator=factSet&amp;DYN_ARGS=true&amp;DOC_NAME=FAT:RGQ_ENTRPR_VAL_EV_SOURCE_WINDOW.FAT&amp;VAR:ID1=DST-US&amp;window=popup&amp;width=535&amp;height=425&amp;START_MAXIMIZED=FALSE&amp;Y=120"}</definedName>
    <definedName name="_971__FDSAUDITLINK__" hidden="1">{"fdsup://directions/FAT Viewer?action=UPDATE&amp;creator=factSet&amp;DYN_ARGS=true&amp;DOC_NAME=FAT:RGQ_ENTRPR_VAL_EV_SOURCE_WINDOW.FAT&amp;VAR:ID1=DST-US&amp;window=popup&amp;width=535&amp;height=425&amp;START_MAXIMIZED=FALSE&amp;Y=120"}</definedName>
    <definedName name="_972__FDSAUDITLINK__" localSheetId="0" hidden="1">{"fdsup://directions/FAT Viewer?action=UPDATE&amp;creator=factSet&amp;DYN_ARGS=true&amp;DOC_NAME=FAT:RGQ_ENTRPR_VAL_EV_SOURCE_WINDOW.FAT&amp;VAR:ID1=DST-US&amp;window=popup&amp;width=535&amp;height=425&amp;START_MAXIMIZED=FALSE&amp;Y=120"}</definedName>
    <definedName name="_972__FDSAUDITLINK__" localSheetId="6" hidden="1">{"fdsup://directions/FAT Viewer?action=UPDATE&amp;creator=factSet&amp;DYN_ARGS=true&amp;DOC_NAME=FAT:RGQ_ENTRPR_VAL_EV_SOURCE_WINDOW.FAT&amp;VAR:ID1=DST-US&amp;window=popup&amp;width=535&amp;height=425&amp;START_MAXIMIZED=FALSE&amp;Y=120"}</definedName>
    <definedName name="_972__FDSAUDITLINK__" hidden="1">{"fdsup://directions/FAT Viewer?action=UPDATE&amp;creator=factSet&amp;DYN_ARGS=true&amp;DOC_NAME=FAT:RGQ_ENTRPR_VAL_EV_SOURCE_WINDOW.FAT&amp;VAR:ID1=DST-US&amp;window=popup&amp;width=535&amp;height=425&amp;START_MAXIMIZED=FALSE&amp;Y=120"}</definedName>
    <definedName name="_973__123Graph_LBL_DCHART_31" hidden="1">#REF!</definedName>
    <definedName name="_973__FDSAUDITLINK__" localSheetId="0" hidden="1">{"fdsup://directions/FAT Viewer?action=UPDATE&amp;creator=factSet&amp;DYN_ARGS=true&amp;DOC_NAME=FAT:RGQ_ENTRPR_VAL_EV_SOURCE_WINDOW.FAT&amp;VAR:ID1=DST-US&amp;window=popup&amp;width=535&amp;height=425&amp;START_MAXIMIZED=FALSE&amp;Y=120"}</definedName>
    <definedName name="_973__FDSAUDITLINK__" localSheetId="6" hidden="1">{"fdsup://directions/FAT Viewer?action=UPDATE&amp;creator=factSet&amp;DYN_ARGS=true&amp;DOC_NAME=FAT:RGQ_ENTRPR_VAL_EV_SOURCE_WINDOW.FAT&amp;VAR:ID1=DST-US&amp;window=popup&amp;width=535&amp;height=425&amp;START_MAXIMIZED=FALSE&amp;Y=120"}</definedName>
    <definedName name="_973__FDSAUDITLINK__" hidden="1">{"fdsup://directions/FAT Viewer?action=UPDATE&amp;creator=factSet&amp;DYN_ARGS=true&amp;DOC_NAME=FAT:RGQ_ENTRPR_VAL_EV_SOURCE_WINDOW.FAT&amp;VAR:ID1=DST-US&amp;window=popup&amp;width=535&amp;height=425&amp;START_MAXIMIZED=FALSE&amp;Y=120"}</definedName>
    <definedName name="_974__FDSAUDITLINK__" localSheetId="0" hidden="1">{"fdsup://directions/FAT Viewer?action=UPDATE&amp;creator=factSet&amp;DYN_ARGS=true&amp;DOC_NAME=FAT:RGQ_ENTRPR_VAL_EV_SOURCE_WINDOW.FAT&amp;VAR:ID1=DST-US&amp;window=popup&amp;width=535&amp;height=425&amp;START_MAXIMIZED=FALSE&amp;Y=120"}</definedName>
    <definedName name="_974__FDSAUDITLINK__" localSheetId="6" hidden="1">{"fdsup://directions/FAT Viewer?action=UPDATE&amp;creator=factSet&amp;DYN_ARGS=true&amp;DOC_NAME=FAT:RGQ_ENTRPR_VAL_EV_SOURCE_WINDOW.FAT&amp;VAR:ID1=DST-US&amp;window=popup&amp;width=535&amp;height=425&amp;START_MAXIMIZED=FALSE&amp;Y=120"}</definedName>
    <definedName name="_974__FDSAUDITLINK__" hidden="1">{"fdsup://directions/FAT Viewer?action=UPDATE&amp;creator=factSet&amp;DYN_ARGS=true&amp;DOC_NAME=FAT:RGQ_ENTRPR_VAL_EV_SOURCE_WINDOW.FAT&amp;VAR:ID1=DST-US&amp;window=popup&amp;width=535&amp;height=425&amp;START_MAXIMIZED=FALSE&amp;Y=120"}</definedName>
    <definedName name="_975__FDSAUDITLINK__" localSheetId="0" hidden="1">{"fdsup://directions/FAT Viewer?action=UPDATE&amp;creator=factSet&amp;DYN_ARGS=true&amp;DOC_NAME=FAT:RGQ_ENTRPR_VAL_EV_SOURCE_WINDOW.FAT&amp;VAR:ID1=DST-US&amp;window=popup&amp;width=535&amp;height=425&amp;START_MAXIMIZED=FALSE&amp;Y=120"}</definedName>
    <definedName name="_975__FDSAUDITLINK__" localSheetId="6" hidden="1">{"fdsup://directions/FAT Viewer?action=UPDATE&amp;creator=factSet&amp;DYN_ARGS=true&amp;DOC_NAME=FAT:RGQ_ENTRPR_VAL_EV_SOURCE_WINDOW.FAT&amp;VAR:ID1=DST-US&amp;window=popup&amp;width=535&amp;height=425&amp;START_MAXIMIZED=FALSE&amp;Y=120"}</definedName>
    <definedName name="_975__FDSAUDITLINK__" hidden="1">{"fdsup://directions/FAT Viewer?action=UPDATE&amp;creator=factSet&amp;DYN_ARGS=true&amp;DOC_NAME=FAT:RGQ_ENTRPR_VAL_EV_SOURCE_WINDOW.FAT&amp;VAR:ID1=DST-US&amp;window=popup&amp;width=535&amp;height=425&amp;START_MAXIMIZED=FALSE&amp;Y=120"}</definedName>
    <definedName name="_976__FDSAUDITLINK__" localSheetId="0" hidden="1">{"fdsup://directions/FAT Viewer?action=UPDATE&amp;creator=factSet&amp;DYN_ARGS=true&amp;DOC_NAME=FAT:RGQ_ENTRPR_VAL_EV_SOURCE_WINDOW.FAT&amp;VAR:ID1=DST-US&amp;window=popup&amp;width=535&amp;height=425&amp;START_MAXIMIZED=FALSE&amp;Y=120"}</definedName>
    <definedName name="_976__FDSAUDITLINK__" localSheetId="6" hidden="1">{"fdsup://directions/FAT Viewer?action=UPDATE&amp;creator=factSet&amp;DYN_ARGS=true&amp;DOC_NAME=FAT:RGQ_ENTRPR_VAL_EV_SOURCE_WINDOW.FAT&amp;VAR:ID1=DST-US&amp;window=popup&amp;width=535&amp;height=425&amp;START_MAXIMIZED=FALSE&amp;Y=120"}</definedName>
    <definedName name="_976__FDSAUDITLINK__" hidden="1">{"fdsup://directions/FAT Viewer?action=UPDATE&amp;creator=factSet&amp;DYN_ARGS=true&amp;DOC_NAME=FAT:RGQ_ENTRPR_VAL_EV_SOURCE_WINDOW.FAT&amp;VAR:ID1=DST-US&amp;window=popup&amp;width=535&amp;height=425&amp;START_MAXIMIZED=FALSE&amp;Y=120"}</definedName>
    <definedName name="_977__123Graph_LBL_DCHART_32" hidden="1">#REF!</definedName>
    <definedName name="_977__FDSAUDITLINK__" localSheetId="0" hidden="1">{"fdsup://directions/FAT Viewer?action=UPDATE&amp;creator=factSet&amp;DYN_ARGS=true&amp;DOC_NAME=FAT:RGQ_ENTRPR_VAL_EV_SOURCE_WINDOW.FAT&amp;VAR:ID1=DST-US&amp;window=popup&amp;width=535&amp;height=425&amp;START_MAXIMIZED=FALSE&amp;Y=120"}</definedName>
    <definedName name="_977__FDSAUDITLINK__" localSheetId="6" hidden="1">{"fdsup://directions/FAT Viewer?action=UPDATE&amp;creator=factSet&amp;DYN_ARGS=true&amp;DOC_NAME=FAT:RGQ_ENTRPR_VAL_EV_SOURCE_WINDOW.FAT&amp;VAR:ID1=DST-US&amp;window=popup&amp;width=535&amp;height=425&amp;START_MAXIMIZED=FALSE&amp;Y=120"}</definedName>
    <definedName name="_977__FDSAUDITLINK__" hidden="1">{"fdsup://directions/FAT Viewer?action=UPDATE&amp;creator=factSet&amp;DYN_ARGS=true&amp;DOC_NAME=FAT:RGQ_ENTRPR_VAL_EV_SOURCE_WINDOW.FAT&amp;VAR:ID1=DST-US&amp;window=popup&amp;width=535&amp;height=425&amp;START_MAXIMIZED=FALSE&amp;Y=120"}</definedName>
    <definedName name="_978__FDSAUDITLINK__" localSheetId="0" hidden="1">{"fdsup://directions/FAT Viewer?action=UPDATE&amp;creator=factSet&amp;DYN_ARGS=true&amp;DOC_NAME=FAT:RGQ_ENTRPR_VAL_EV_SOURCE_WINDOW.FAT&amp;VAR:ID1=DST-US&amp;window=popup&amp;width=535&amp;height=425&amp;START_MAXIMIZED=FALSE&amp;Y=120"}</definedName>
    <definedName name="_978__FDSAUDITLINK__" localSheetId="6" hidden="1">{"fdsup://directions/FAT Viewer?action=UPDATE&amp;creator=factSet&amp;DYN_ARGS=true&amp;DOC_NAME=FAT:RGQ_ENTRPR_VAL_EV_SOURCE_WINDOW.FAT&amp;VAR:ID1=DST-US&amp;window=popup&amp;width=535&amp;height=425&amp;START_MAXIMIZED=FALSE&amp;Y=120"}</definedName>
    <definedName name="_978__FDSAUDITLINK__" hidden="1">{"fdsup://directions/FAT Viewer?action=UPDATE&amp;creator=factSet&amp;DYN_ARGS=true&amp;DOC_NAME=FAT:RGQ_ENTRPR_VAL_EV_SOURCE_WINDOW.FAT&amp;VAR:ID1=DST-US&amp;window=popup&amp;width=535&amp;height=425&amp;START_MAXIMIZED=FALSE&amp;Y=120"}</definedName>
    <definedName name="_979__FDSAUDITLINK__" localSheetId="0" hidden="1">{"fdsup://directions/FAT Viewer?action=UPDATE&amp;creator=factSet&amp;DYN_ARGS=true&amp;DOC_NAME=FAT:RGQ_ENTRPR_VAL_EV_SOURCE_WINDOW.FAT&amp;VAR:ID1=DST-US&amp;window=popup&amp;width=535&amp;height=425&amp;START_MAXIMIZED=FALSE&amp;Y=120"}</definedName>
    <definedName name="_979__FDSAUDITLINK__" localSheetId="6" hidden="1">{"fdsup://directions/FAT Viewer?action=UPDATE&amp;creator=factSet&amp;DYN_ARGS=true&amp;DOC_NAME=FAT:RGQ_ENTRPR_VAL_EV_SOURCE_WINDOW.FAT&amp;VAR:ID1=DST-US&amp;window=popup&amp;width=535&amp;height=425&amp;START_MAXIMIZED=FALSE&amp;Y=120"}</definedName>
    <definedName name="_979__FDSAUDITLINK__" hidden="1">{"fdsup://directions/FAT Viewer?action=UPDATE&amp;creator=factSet&amp;DYN_ARGS=true&amp;DOC_NAME=FAT:RGQ_ENTRPR_VAL_EV_SOURCE_WINDOW.FAT&amp;VAR:ID1=DST-US&amp;window=popup&amp;width=535&amp;height=425&amp;START_MAXIMIZED=FALSE&amp;Y=120"}</definedName>
    <definedName name="_98__123Graph_Cｸﾞﾗﾌ_1" hidden="1">#REF!</definedName>
    <definedName name="_98__123Graph_FCHART_8" hidden="1">#REF!</definedName>
    <definedName name="_98__FDSAUDITLINK__" localSheetId="0" hidden="1">{"fdsup://directions/FAT Viewer?action=UPDATE&amp;creator=factSet&amp;DYN_ARGS=true&amp;DOC_NAME=FAT:RGA_ENTRPR_VAL_EV_SOURCE_WINDOW.FAT&amp;VAR:ID1=&amp;window=popup&amp;width=535&amp;height=425&amp;START_MAXIMIZED=FALSE&amp;Y=120"}</definedName>
    <definedName name="_98__FDSAUDITLINK__" localSheetId="6" hidden="1">{"fdsup://directions/FAT Viewer?action=UPDATE&amp;creator=factSet&amp;DYN_ARGS=true&amp;DOC_NAME=FAT:RGA_ENTRPR_VAL_EV_SOURCE_WINDOW.FAT&amp;VAR:ID1=&amp;window=popup&amp;width=535&amp;height=425&amp;START_MAXIMIZED=FALSE&amp;Y=120"}</definedName>
    <definedName name="_98__FDSAUDITLINK__" hidden="1">{"fdsup://directions/FAT Viewer?action=UPDATE&amp;creator=factSet&amp;DYN_ARGS=true&amp;DOC_NAME=FAT:RGA_ENTRPR_VAL_EV_SOURCE_WINDOW.FAT&amp;VAR:ID1=&amp;window=popup&amp;width=535&amp;height=425&amp;START_MAXIMIZED=FALSE&amp;Y=120"}</definedName>
    <definedName name="_980__FDSAUDITLINK__" localSheetId="0" hidden="1">{"fdsup://directions/FAT Viewer?action=UPDATE&amp;creator=factSet&amp;DYN_ARGS=true&amp;DOC_NAME=FAT:RGQ_ENTRPR_VAL_EV_SOURCE_WINDOW.FAT&amp;VAR:ID1=DST-US&amp;window=popup&amp;width=535&amp;height=425&amp;START_MAXIMIZED=FALSE&amp;Y=120"}</definedName>
    <definedName name="_980__FDSAUDITLINK__" localSheetId="6" hidden="1">{"fdsup://directions/FAT Viewer?action=UPDATE&amp;creator=factSet&amp;DYN_ARGS=true&amp;DOC_NAME=FAT:RGQ_ENTRPR_VAL_EV_SOURCE_WINDOW.FAT&amp;VAR:ID1=DST-US&amp;window=popup&amp;width=535&amp;height=425&amp;START_MAXIMIZED=FALSE&amp;Y=120"}</definedName>
    <definedName name="_980__FDSAUDITLINK__" hidden="1">{"fdsup://directions/FAT Viewer?action=UPDATE&amp;creator=factSet&amp;DYN_ARGS=true&amp;DOC_NAME=FAT:RGQ_ENTRPR_VAL_EV_SOURCE_WINDOW.FAT&amp;VAR:ID1=DST-US&amp;window=popup&amp;width=535&amp;height=425&amp;START_MAXIMIZED=FALSE&amp;Y=120"}</definedName>
    <definedName name="_981__FDSAUDITLINK__" localSheetId="0" hidden="1">{"fdsup://directions/FAT Viewer?action=UPDATE&amp;creator=factSet&amp;DYN_ARGS=true&amp;DOC_NAME=FAT:RGQ_ENTRPR_VAL_EV_SOURCE_WINDOW.FAT&amp;VAR:ID1=DST-US&amp;window=popup&amp;width=535&amp;height=425&amp;START_MAXIMIZED=FALSE&amp;Y=120"}</definedName>
    <definedName name="_981__FDSAUDITLINK__" localSheetId="6" hidden="1">{"fdsup://directions/FAT Viewer?action=UPDATE&amp;creator=factSet&amp;DYN_ARGS=true&amp;DOC_NAME=FAT:RGQ_ENTRPR_VAL_EV_SOURCE_WINDOW.FAT&amp;VAR:ID1=DST-US&amp;window=popup&amp;width=535&amp;height=425&amp;START_MAXIMIZED=FALSE&amp;Y=120"}</definedName>
    <definedName name="_981__FDSAUDITLINK__" hidden="1">{"fdsup://directions/FAT Viewer?action=UPDATE&amp;creator=factSet&amp;DYN_ARGS=true&amp;DOC_NAME=FAT:RGQ_ENTRPR_VAL_EV_SOURCE_WINDOW.FAT&amp;VAR:ID1=DST-US&amp;window=popup&amp;width=535&amp;height=425&amp;START_MAXIMIZED=FALSE&amp;Y=120"}</definedName>
    <definedName name="_982__FDSAUDITLINK__" localSheetId="0" hidden="1">{"fdsup://directions/FAT Viewer?action=UPDATE&amp;creator=factSet&amp;DYN_ARGS=true&amp;DOC_NAME=FAT:RGQ_ENTRPR_VAL_EV_SOURCE_WINDOW.FAT&amp;VAR:ID1=DST-US&amp;window=popup&amp;width=535&amp;height=425&amp;START_MAXIMIZED=FALSE&amp;Y=120"}</definedName>
    <definedName name="_982__FDSAUDITLINK__" localSheetId="6" hidden="1">{"fdsup://directions/FAT Viewer?action=UPDATE&amp;creator=factSet&amp;DYN_ARGS=true&amp;DOC_NAME=FAT:RGQ_ENTRPR_VAL_EV_SOURCE_WINDOW.FAT&amp;VAR:ID1=DST-US&amp;window=popup&amp;width=535&amp;height=425&amp;START_MAXIMIZED=FALSE&amp;Y=120"}</definedName>
    <definedName name="_982__FDSAUDITLINK__" hidden="1">{"fdsup://directions/FAT Viewer?action=UPDATE&amp;creator=factSet&amp;DYN_ARGS=true&amp;DOC_NAME=FAT:RGQ_ENTRPR_VAL_EV_SOURCE_WINDOW.FAT&amp;VAR:ID1=DST-US&amp;window=popup&amp;width=535&amp;height=425&amp;START_MAXIMIZED=FALSE&amp;Y=120"}</definedName>
    <definedName name="_983__FDSAUDITLINK__" localSheetId="0" hidden="1">{"fdsup://directions/FAT Viewer?action=UPDATE&amp;creator=factSet&amp;DYN_ARGS=true&amp;DOC_NAME=FAT:RGQ_ENTRPR_VAL_EV_SOURCE_WINDOW.FAT&amp;VAR:ID1=DST-US&amp;window=popup&amp;width=535&amp;height=425&amp;START_MAXIMIZED=FALSE&amp;Y=120"}</definedName>
    <definedName name="_983__FDSAUDITLINK__" localSheetId="6" hidden="1">{"fdsup://directions/FAT Viewer?action=UPDATE&amp;creator=factSet&amp;DYN_ARGS=true&amp;DOC_NAME=FAT:RGQ_ENTRPR_VAL_EV_SOURCE_WINDOW.FAT&amp;VAR:ID1=DST-US&amp;window=popup&amp;width=535&amp;height=425&amp;START_MAXIMIZED=FALSE&amp;Y=120"}</definedName>
    <definedName name="_983__FDSAUDITLINK__" hidden="1">{"fdsup://directions/FAT Viewer?action=UPDATE&amp;creator=factSet&amp;DYN_ARGS=true&amp;DOC_NAME=FAT:RGQ_ENTRPR_VAL_EV_SOURCE_WINDOW.FAT&amp;VAR:ID1=DST-US&amp;window=popup&amp;width=535&amp;height=425&amp;START_MAXIMIZED=FALSE&amp;Y=120"}</definedName>
    <definedName name="_984__FDSAUDITLINK__" localSheetId="0" hidden="1">{"fdsup://Directions/FAT Viewer?action=UPDATE&amp;creator=factset&amp;DOC_NAME=fat:reuters_semi_source_window.fat&amp;display_string=Audit&amp;DYN_ARGS=TRUE&amp;VAR:ID1=596787&amp;VAR:RCODE=FDSENTRPRVAL&amp;VAR:SDATE=37711&amp;VAR:FREQ=Daily&amp;VAR:RELITEM=&amp;VAR:CURRENCY=EUR&amp;VAR:CURRSOURCE=EX","SHARE&amp;VAR:NATFREQ=FSA&amp;VAR:RFIELD=FINALIZED&amp;VAR:DB_TYPE=&amp;VAR:UNITS=M&amp;window=popup&amp;width=450&amp;height=300&amp;START_MAXIMIZED=FALSE"}</definedName>
    <definedName name="_984__FDSAUDITLINK__" localSheetId="6" hidden="1">{"fdsup://Directions/FAT Viewer?action=UPDATE&amp;creator=factset&amp;DOC_NAME=fat:reuters_semi_source_window.fat&amp;display_string=Audit&amp;DYN_ARGS=TRUE&amp;VAR:ID1=596787&amp;VAR:RCODE=FDSENTRPRVAL&amp;VAR:SDATE=37711&amp;VAR:FREQ=Daily&amp;VAR:RELITEM=&amp;VAR:CURRENCY=EUR&amp;VAR:CURRSOURCE=EX","SHARE&amp;VAR:NATFREQ=FSA&amp;VAR:RFIELD=FINALIZED&amp;VAR:DB_TYPE=&amp;VAR:UNITS=M&amp;window=popup&amp;width=450&amp;height=300&amp;START_MAXIMIZED=FALSE"}</definedName>
    <definedName name="_984__FDSAUDITLINK__" hidden="1">{"fdsup://Directions/FAT Viewer?action=UPDATE&amp;creator=factset&amp;DOC_NAME=fat:reuters_semi_source_window.fat&amp;display_string=Audit&amp;DYN_ARGS=TRUE&amp;VAR:ID1=596787&amp;VAR:RCODE=FDSENTRPRVAL&amp;VAR:SDATE=37711&amp;VAR:FREQ=Daily&amp;VAR:RELITEM=&amp;VAR:CURRENCY=EUR&amp;VAR:CURRSOURCE=EX","SHARE&amp;VAR:NATFREQ=FSA&amp;VAR:RFIELD=FINALIZED&amp;VAR:DB_TYPE=&amp;VAR:UNITS=M&amp;window=popup&amp;width=450&amp;height=300&amp;START_MAXIMIZED=FALSE"}</definedName>
    <definedName name="_985__FDSAUDITLINK__" localSheetId="0" hidden="1">{"fdsup://Directions/FAT Viewer?action=UPDATE&amp;creator=factset&amp;DOC_NAME=fat:reuters_semi_source_window.fat&amp;display_string=Audit&amp;DYN_ARGS=TRUE&amp;VAR:ID1=596787&amp;VAR:RCODE=FDSENTRPRVAL&amp;VAR:SDATE=37802&amp;VAR:FREQ=Daily&amp;VAR:RELITEM=&amp;VAR:CURRENCY=EUR&amp;VAR:CURRSOURCE=EX","SHARE&amp;VAR:NATFREQ=FSA&amp;VAR:RFIELD=FINALIZED&amp;VAR:DB_TYPE=&amp;VAR:UNITS=M&amp;window=popup&amp;width=450&amp;height=300&amp;START_MAXIMIZED=FALSE"}</definedName>
    <definedName name="_985__FDSAUDITLINK__" localSheetId="6" hidden="1">{"fdsup://Directions/FAT Viewer?action=UPDATE&amp;creator=factset&amp;DOC_NAME=fat:reuters_semi_source_window.fat&amp;display_string=Audit&amp;DYN_ARGS=TRUE&amp;VAR:ID1=596787&amp;VAR:RCODE=FDSENTRPRVAL&amp;VAR:SDATE=37802&amp;VAR:FREQ=Daily&amp;VAR:RELITEM=&amp;VAR:CURRENCY=EUR&amp;VAR:CURRSOURCE=EX","SHARE&amp;VAR:NATFREQ=FSA&amp;VAR:RFIELD=FINALIZED&amp;VAR:DB_TYPE=&amp;VAR:UNITS=M&amp;window=popup&amp;width=450&amp;height=300&amp;START_MAXIMIZED=FALSE"}</definedName>
    <definedName name="_985__FDSAUDITLINK__" hidden="1">{"fdsup://Directions/FAT Viewer?action=UPDATE&amp;creator=factset&amp;DOC_NAME=fat:reuters_semi_source_window.fat&amp;display_string=Audit&amp;DYN_ARGS=TRUE&amp;VAR:ID1=596787&amp;VAR:RCODE=FDSENTRPRVAL&amp;VAR:SDATE=37802&amp;VAR:FREQ=Daily&amp;VAR:RELITEM=&amp;VAR:CURRENCY=EUR&amp;VAR:CURRSOURCE=EX","SHARE&amp;VAR:NATFREQ=FSA&amp;VAR:RFIELD=FINALIZED&amp;VAR:DB_TYPE=&amp;VAR:UNITS=M&amp;window=popup&amp;width=450&amp;height=300&amp;START_MAXIMIZED=FALSE"}</definedName>
    <definedName name="_986__FDSAUDITLINK__" localSheetId="0" hidden="1">{"fdsup://Directions/FAT Viewer?action=UPDATE&amp;creator=factset&amp;DOC_NAME=fat:reuters_semi_source_window.fat&amp;display_string=Audit&amp;DYN_ARGS=TRUE&amp;VAR:ID1=596787&amp;VAR:RCODE=FDSENTRPRVAL&amp;VAR:SDATE=37894&amp;VAR:FREQ=Daily&amp;VAR:RELITEM=&amp;VAR:CURRENCY=EUR&amp;VAR:CURRSOURCE=EX","SHARE&amp;VAR:NATFREQ=FSA&amp;VAR:RFIELD=FINALIZED&amp;VAR:DB_TYPE=&amp;VAR:UNITS=M&amp;window=popup&amp;width=450&amp;height=300&amp;START_MAXIMIZED=FALSE"}</definedName>
    <definedName name="_986__FDSAUDITLINK__" localSheetId="6" hidden="1">{"fdsup://Directions/FAT Viewer?action=UPDATE&amp;creator=factset&amp;DOC_NAME=fat:reuters_semi_source_window.fat&amp;display_string=Audit&amp;DYN_ARGS=TRUE&amp;VAR:ID1=596787&amp;VAR:RCODE=FDSENTRPRVAL&amp;VAR:SDATE=37894&amp;VAR:FREQ=Daily&amp;VAR:RELITEM=&amp;VAR:CURRENCY=EUR&amp;VAR:CURRSOURCE=EX","SHARE&amp;VAR:NATFREQ=FSA&amp;VAR:RFIELD=FINALIZED&amp;VAR:DB_TYPE=&amp;VAR:UNITS=M&amp;window=popup&amp;width=450&amp;height=300&amp;START_MAXIMIZED=FALSE"}</definedName>
    <definedName name="_986__FDSAUDITLINK__" hidden="1">{"fdsup://Directions/FAT Viewer?action=UPDATE&amp;creator=factset&amp;DOC_NAME=fat:reuters_semi_source_window.fat&amp;display_string=Audit&amp;DYN_ARGS=TRUE&amp;VAR:ID1=596787&amp;VAR:RCODE=FDSENTRPRVAL&amp;VAR:SDATE=37894&amp;VAR:FREQ=Daily&amp;VAR:RELITEM=&amp;VAR:CURRENCY=EUR&amp;VAR:CURRSOURCE=EX","SHARE&amp;VAR:NATFREQ=FSA&amp;VAR:RFIELD=FINALIZED&amp;VAR:DB_TYPE=&amp;VAR:UNITS=M&amp;window=popup&amp;width=450&amp;height=300&amp;START_MAXIMIZED=FALSE"}</definedName>
    <definedName name="_987__FDSAUDITLINK__" localSheetId="0" hidden="1">{"fdsup://Directions/FAT Viewer?action=UPDATE&amp;creator=factset&amp;DOC_NAME=fat:reuters_semi_source_window.fat&amp;display_string=Audit&amp;DYN_ARGS=TRUE&amp;VAR:ID1=596787&amp;VAR:RCODE=FDSENTRPRVAL&amp;VAR:SDATE=37986&amp;VAR:FREQ=Daily&amp;VAR:RELITEM=&amp;VAR:CURRENCY=EUR&amp;VAR:CURRSOURCE=EX","SHARE&amp;VAR:NATFREQ=FSA&amp;VAR:RFIELD=FINALIZED&amp;VAR:DB_TYPE=&amp;VAR:UNITS=M&amp;window=popup&amp;width=450&amp;height=300&amp;START_MAXIMIZED=FALSE"}</definedName>
    <definedName name="_987__FDSAUDITLINK__" localSheetId="6" hidden="1">{"fdsup://Directions/FAT Viewer?action=UPDATE&amp;creator=factset&amp;DOC_NAME=fat:reuters_semi_source_window.fat&amp;display_string=Audit&amp;DYN_ARGS=TRUE&amp;VAR:ID1=596787&amp;VAR:RCODE=FDSENTRPRVAL&amp;VAR:SDATE=37986&amp;VAR:FREQ=Daily&amp;VAR:RELITEM=&amp;VAR:CURRENCY=EUR&amp;VAR:CURRSOURCE=EX","SHARE&amp;VAR:NATFREQ=FSA&amp;VAR:RFIELD=FINALIZED&amp;VAR:DB_TYPE=&amp;VAR:UNITS=M&amp;window=popup&amp;width=450&amp;height=300&amp;START_MAXIMIZED=FALSE"}</definedName>
    <definedName name="_987__FDSAUDITLINK__" hidden="1">{"fdsup://Directions/FAT Viewer?action=UPDATE&amp;creator=factset&amp;DOC_NAME=fat:reuters_semi_source_window.fat&amp;display_string=Audit&amp;DYN_ARGS=TRUE&amp;VAR:ID1=596787&amp;VAR:RCODE=FDSENTRPRVAL&amp;VAR:SDATE=37986&amp;VAR:FREQ=Daily&amp;VAR:RELITEM=&amp;VAR:CURRENCY=EUR&amp;VAR:CURRSOURCE=EX","SHARE&amp;VAR:NATFREQ=FSA&amp;VAR:RFIELD=FINALIZED&amp;VAR:DB_TYPE=&amp;VAR:UNITS=M&amp;window=popup&amp;width=450&amp;height=300&amp;START_MAXIMIZED=FALSE"}</definedName>
    <definedName name="_988__FDSAUDITLINK__" localSheetId="0" hidden="1">{"fdsup://Directions/FAT Viewer?action=UPDATE&amp;creator=factset&amp;DOC_NAME=fat:reuters_semi_source_window.fat&amp;display_string=Audit&amp;DYN_ARGS=TRUE&amp;VAR:ID1=596787&amp;VAR:RCODE=FDSENTRPRVAL&amp;VAR:SDATE=38077&amp;VAR:FREQ=Daily&amp;VAR:RELITEM=&amp;VAR:CURRENCY=EUR&amp;VAR:CURRSOURCE=EX","SHARE&amp;VAR:NATFREQ=FSA&amp;VAR:RFIELD=FINALIZED&amp;VAR:DB_TYPE=&amp;VAR:UNITS=M&amp;window=popup&amp;width=450&amp;height=300&amp;START_MAXIMIZED=FALSE"}</definedName>
    <definedName name="_988__FDSAUDITLINK__" localSheetId="6" hidden="1">{"fdsup://Directions/FAT Viewer?action=UPDATE&amp;creator=factset&amp;DOC_NAME=fat:reuters_semi_source_window.fat&amp;display_string=Audit&amp;DYN_ARGS=TRUE&amp;VAR:ID1=596787&amp;VAR:RCODE=FDSENTRPRVAL&amp;VAR:SDATE=38077&amp;VAR:FREQ=Daily&amp;VAR:RELITEM=&amp;VAR:CURRENCY=EUR&amp;VAR:CURRSOURCE=EX","SHARE&amp;VAR:NATFREQ=FSA&amp;VAR:RFIELD=FINALIZED&amp;VAR:DB_TYPE=&amp;VAR:UNITS=M&amp;window=popup&amp;width=450&amp;height=300&amp;START_MAXIMIZED=FALSE"}</definedName>
    <definedName name="_988__FDSAUDITLINK__" hidden="1">{"fdsup://Directions/FAT Viewer?action=UPDATE&amp;creator=factset&amp;DOC_NAME=fat:reuters_semi_source_window.fat&amp;display_string=Audit&amp;DYN_ARGS=TRUE&amp;VAR:ID1=596787&amp;VAR:RCODE=FDSENTRPRVAL&amp;VAR:SDATE=38077&amp;VAR:FREQ=Daily&amp;VAR:RELITEM=&amp;VAR:CURRENCY=EUR&amp;VAR:CURRSOURCE=EX","SHARE&amp;VAR:NATFREQ=FSA&amp;VAR:RFIELD=FINALIZED&amp;VAR:DB_TYPE=&amp;VAR:UNITS=M&amp;window=popup&amp;width=450&amp;height=300&amp;START_MAXIMIZED=FALSE"}</definedName>
    <definedName name="_989__FDSAUDITLINK__" localSheetId="0" hidden="1">{"fdsup://Directions/FAT Viewer?action=UPDATE&amp;creator=factset&amp;DOC_NAME=fat:reuters_semi_source_window.fat&amp;display_string=Audit&amp;DYN_ARGS=TRUE&amp;VAR:ID1=596787&amp;VAR:RCODE=FDSENTRPRVAL&amp;VAR:SDATE=38168&amp;VAR:FREQ=Daily&amp;VAR:RELITEM=&amp;VAR:CURRENCY=EUR&amp;VAR:CURRSOURCE=EX","SHARE&amp;VAR:NATFREQ=FSA&amp;VAR:RFIELD=FINALIZED&amp;VAR:DB_TYPE=&amp;VAR:UNITS=M&amp;window=popup&amp;width=450&amp;height=300&amp;START_MAXIMIZED=FALSE"}</definedName>
    <definedName name="_989__FDSAUDITLINK__" localSheetId="6" hidden="1">{"fdsup://Directions/FAT Viewer?action=UPDATE&amp;creator=factset&amp;DOC_NAME=fat:reuters_semi_source_window.fat&amp;display_string=Audit&amp;DYN_ARGS=TRUE&amp;VAR:ID1=596787&amp;VAR:RCODE=FDSENTRPRVAL&amp;VAR:SDATE=38168&amp;VAR:FREQ=Daily&amp;VAR:RELITEM=&amp;VAR:CURRENCY=EUR&amp;VAR:CURRSOURCE=EX","SHARE&amp;VAR:NATFREQ=FSA&amp;VAR:RFIELD=FINALIZED&amp;VAR:DB_TYPE=&amp;VAR:UNITS=M&amp;window=popup&amp;width=450&amp;height=300&amp;START_MAXIMIZED=FALSE"}</definedName>
    <definedName name="_989__FDSAUDITLINK__" hidden="1">{"fdsup://Directions/FAT Viewer?action=UPDATE&amp;creator=factset&amp;DOC_NAME=fat:reuters_semi_source_window.fat&amp;display_string=Audit&amp;DYN_ARGS=TRUE&amp;VAR:ID1=596787&amp;VAR:RCODE=FDSENTRPRVAL&amp;VAR:SDATE=38168&amp;VAR:FREQ=Daily&amp;VAR:RELITEM=&amp;VAR:CURRENCY=EUR&amp;VAR:CURRSOURCE=EX","SHARE&amp;VAR:NATFREQ=FSA&amp;VAR:RFIELD=FINALIZED&amp;VAR:DB_TYPE=&amp;VAR:UNITS=M&amp;window=popup&amp;width=450&amp;height=300&amp;START_MAXIMIZED=FALSE"}</definedName>
    <definedName name="_99__FDSAUDITLINK__" localSheetId="0" hidden="1">{"fdsup://directions/FAT Viewer?action=UPDATE&amp;creator=factSet&amp;DYN_ARGS=true&amp;DOC_NAME=FAT:RGA_ENTRPR_VAL_EV_SOURCE_WINDOW.FAT&amp;VAR:ID1=&amp;window=popup&amp;width=535&amp;height=425&amp;START_MAXIMIZED=FALSE&amp;Y=120"}</definedName>
    <definedName name="_99__FDSAUDITLINK__" localSheetId="6" hidden="1">{"fdsup://directions/FAT Viewer?action=UPDATE&amp;creator=factSet&amp;DYN_ARGS=true&amp;DOC_NAME=FAT:RGA_ENTRPR_VAL_EV_SOURCE_WINDOW.FAT&amp;VAR:ID1=&amp;window=popup&amp;width=535&amp;height=425&amp;START_MAXIMIZED=FALSE&amp;Y=120"}</definedName>
    <definedName name="_99__FDSAUDITLINK__" hidden="1">{"fdsup://directions/FAT Viewer?action=UPDATE&amp;creator=factSet&amp;DYN_ARGS=true&amp;DOC_NAME=FAT:RGA_ENTRPR_VAL_EV_SOURCE_WINDOW.FAT&amp;VAR:ID1=&amp;window=popup&amp;width=535&amp;height=425&amp;START_MAXIMIZED=FALSE&amp;Y=120"}</definedName>
    <definedName name="_990__123Graph_LBL_DCHART_34" hidden="1">#REF!</definedName>
    <definedName name="_990__FDSAUDITLINK__" localSheetId="0" hidden="1">{"fdsup://Directions/FAT Viewer?action=UPDATE&amp;creator=factset&amp;DOC_NAME=fat:reuters_semi_source_window.fat&amp;display_string=Audit&amp;DYN_ARGS=TRUE&amp;VAR:ID1=596787&amp;VAR:RCODE=FDSENTRPRVAL&amp;VAR:SDATE=38260&amp;VAR:FREQ=Daily&amp;VAR:RELITEM=&amp;VAR:CURRENCY=EUR&amp;VAR:CURRSOURCE=EX","SHARE&amp;VAR:NATFREQ=FSA&amp;VAR:RFIELD=FINALIZED&amp;VAR:DB_TYPE=&amp;VAR:UNITS=M&amp;window=popup&amp;width=450&amp;height=300&amp;START_MAXIMIZED=FALSE"}</definedName>
    <definedName name="_990__FDSAUDITLINK__" localSheetId="6" hidden="1">{"fdsup://Directions/FAT Viewer?action=UPDATE&amp;creator=factset&amp;DOC_NAME=fat:reuters_semi_source_window.fat&amp;display_string=Audit&amp;DYN_ARGS=TRUE&amp;VAR:ID1=596787&amp;VAR:RCODE=FDSENTRPRVAL&amp;VAR:SDATE=38260&amp;VAR:FREQ=Daily&amp;VAR:RELITEM=&amp;VAR:CURRENCY=EUR&amp;VAR:CURRSOURCE=EX","SHARE&amp;VAR:NATFREQ=FSA&amp;VAR:RFIELD=FINALIZED&amp;VAR:DB_TYPE=&amp;VAR:UNITS=M&amp;window=popup&amp;width=450&amp;height=300&amp;START_MAXIMIZED=FALSE"}</definedName>
    <definedName name="_990__FDSAUDITLINK__" hidden="1">{"fdsup://Directions/FAT Viewer?action=UPDATE&amp;creator=factset&amp;DOC_NAME=fat:reuters_semi_source_window.fat&amp;display_string=Audit&amp;DYN_ARGS=TRUE&amp;VAR:ID1=596787&amp;VAR:RCODE=FDSENTRPRVAL&amp;VAR:SDATE=38260&amp;VAR:FREQ=Daily&amp;VAR:RELITEM=&amp;VAR:CURRENCY=EUR&amp;VAR:CURRSOURCE=EX","SHARE&amp;VAR:NATFREQ=FSA&amp;VAR:RFIELD=FINALIZED&amp;VAR:DB_TYPE=&amp;VAR:UNITS=M&amp;window=popup&amp;width=450&amp;height=300&amp;START_MAXIMIZED=FALSE"}</definedName>
    <definedName name="_991__FDSAUDITLINK__" localSheetId="0" hidden="1">{"fdsup://Directions/FAT Viewer?action=UPDATE&amp;creator=factset&amp;DOC_NAME=fat:reuters_semi_source_window.fat&amp;display_string=Audit&amp;DYN_ARGS=TRUE&amp;VAR:ID1=596787&amp;VAR:RCODE=FDSENTRPRVAL&amp;VAR:SDATE=38352&amp;VAR:FREQ=Daily&amp;VAR:RELITEM=&amp;VAR:CURRENCY=EUR&amp;VAR:CURRSOURCE=EX","SHARE&amp;VAR:NATFREQ=FSA&amp;VAR:RFIELD=FINALIZED&amp;VAR:DB_TYPE=&amp;VAR:UNITS=M&amp;window=popup&amp;width=450&amp;height=300&amp;START_MAXIMIZED=FALSE"}</definedName>
    <definedName name="_991__FDSAUDITLINK__" localSheetId="6" hidden="1">{"fdsup://Directions/FAT Viewer?action=UPDATE&amp;creator=factset&amp;DOC_NAME=fat:reuters_semi_source_window.fat&amp;display_string=Audit&amp;DYN_ARGS=TRUE&amp;VAR:ID1=596787&amp;VAR:RCODE=FDSENTRPRVAL&amp;VAR:SDATE=38352&amp;VAR:FREQ=Daily&amp;VAR:RELITEM=&amp;VAR:CURRENCY=EUR&amp;VAR:CURRSOURCE=EX","SHARE&amp;VAR:NATFREQ=FSA&amp;VAR:RFIELD=FINALIZED&amp;VAR:DB_TYPE=&amp;VAR:UNITS=M&amp;window=popup&amp;width=450&amp;height=300&amp;START_MAXIMIZED=FALSE"}</definedName>
    <definedName name="_991__FDSAUDITLINK__" hidden="1">{"fdsup://Directions/FAT Viewer?action=UPDATE&amp;creator=factset&amp;DOC_NAME=fat:reuters_semi_source_window.fat&amp;display_string=Audit&amp;DYN_ARGS=TRUE&amp;VAR:ID1=596787&amp;VAR:RCODE=FDSENTRPRVAL&amp;VAR:SDATE=38352&amp;VAR:FREQ=Daily&amp;VAR:RELITEM=&amp;VAR:CURRENCY=EUR&amp;VAR:CURRSOURCE=EX","SHARE&amp;VAR:NATFREQ=FSA&amp;VAR:RFIELD=FINALIZED&amp;VAR:DB_TYPE=&amp;VAR:UNITS=M&amp;window=popup&amp;width=450&amp;height=300&amp;START_MAXIMIZED=FALSE"}</definedName>
    <definedName name="_992__FDSAUDITLINK__" localSheetId="0" hidden="1">{"fdsup://Directions/FAT Viewer?action=UPDATE&amp;creator=factset&amp;DOC_NAME=fat:reuters_semi_source_window.fat&amp;display_string=Audit&amp;DYN_ARGS=TRUE&amp;VAR:ID1=596787&amp;VAR:RCODE=FDSENTRPRVAL&amp;VAR:SDATE=38442&amp;VAR:FREQ=Daily&amp;VAR:RELITEM=&amp;VAR:CURRENCY=EUR&amp;VAR:CURRSOURCE=EX","SHARE&amp;VAR:NATFREQ=FSA&amp;VAR:RFIELD=FINALIZED&amp;VAR:DB_TYPE=&amp;VAR:UNITS=M&amp;window=popup&amp;width=450&amp;height=300&amp;START_MAXIMIZED=FALSE"}</definedName>
    <definedName name="_992__FDSAUDITLINK__" localSheetId="6" hidden="1">{"fdsup://Directions/FAT Viewer?action=UPDATE&amp;creator=factset&amp;DOC_NAME=fat:reuters_semi_source_window.fat&amp;display_string=Audit&amp;DYN_ARGS=TRUE&amp;VAR:ID1=596787&amp;VAR:RCODE=FDSENTRPRVAL&amp;VAR:SDATE=38442&amp;VAR:FREQ=Daily&amp;VAR:RELITEM=&amp;VAR:CURRENCY=EUR&amp;VAR:CURRSOURCE=EX","SHARE&amp;VAR:NATFREQ=FSA&amp;VAR:RFIELD=FINALIZED&amp;VAR:DB_TYPE=&amp;VAR:UNITS=M&amp;window=popup&amp;width=450&amp;height=300&amp;START_MAXIMIZED=FALSE"}</definedName>
    <definedName name="_992__FDSAUDITLINK__" hidden="1">{"fdsup://Directions/FAT Viewer?action=UPDATE&amp;creator=factset&amp;DOC_NAME=fat:reuters_semi_source_window.fat&amp;display_string=Audit&amp;DYN_ARGS=TRUE&amp;VAR:ID1=596787&amp;VAR:RCODE=FDSENTRPRVAL&amp;VAR:SDATE=38442&amp;VAR:FREQ=Daily&amp;VAR:RELITEM=&amp;VAR:CURRENCY=EUR&amp;VAR:CURRSOURCE=EX","SHARE&amp;VAR:NATFREQ=FSA&amp;VAR:RFIELD=FINALIZED&amp;VAR:DB_TYPE=&amp;VAR:UNITS=M&amp;window=popup&amp;width=450&amp;height=300&amp;START_MAXIMIZED=FALSE"}</definedName>
    <definedName name="_993__FDSAUDITLINK__" localSheetId="0" hidden="1">{"fdsup://Directions/FAT Viewer?action=UPDATE&amp;creator=factset&amp;DOC_NAME=fat:reuters_semi_source_window.fat&amp;display_string=Audit&amp;DYN_ARGS=TRUE&amp;VAR:ID1=596787&amp;VAR:RCODE=FDSENTRPRVAL&amp;VAR:SDATE=38533&amp;VAR:FREQ=Daily&amp;VAR:RELITEM=&amp;VAR:CURRENCY=EUR&amp;VAR:CURRSOURCE=EX","SHARE&amp;VAR:NATFREQ=FSA&amp;VAR:RFIELD=FINALIZED&amp;VAR:DB_TYPE=&amp;VAR:UNITS=M&amp;window=popup&amp;width=450&amp;height=300&amp;START_MAXIMIZED=FALSE"}</definedName>
    <definedName name="_993__FDSAUDITLINK__" localSheetId="6" hidden="1">{"fdsup://Directions/FAT Viewer?action=UPDATE&amp;creator=factset&amp;DOC_NAME=fat:reuters_semi_source_window.fat&amp;display_string=Audit&amp;DYN_ARGS=TRUE&amp;VAR:ID1=596787&amp;VAR:RCODE=FDSENTRPRVAL&amp;VAR:SDATE=38533&amp;VAR:FREQ=Daily&amp;VAR:RELITEM=&amp;VAR:CURRENCY=EUR&amp;VAR:CURRSOURCE=EX","SHARE&amp;VAR:NATFREQ=FSA&amp;VAR:RFIELD=FINALIZED&amp;VAR:DB_TYPE=&amp;VAR:UNITS=M&amp;window=popup&amp;width=450&amp;height=300&amp;START_MAXIMIZED=FALSE"}</definedName>
    <definedName name="_993__FDSAUDITLINK__" hidden="1">{"fdsup://Directions/FAT Viewer?action=UPDATE&amp;creator=factset&amp;DOC_NAME=fat:reuters_semi_source_window.fat&amp;display_string=Audit&amp;DYN_ARGS=TRUE&amp;VAR:ID1=596787&amp;VAR:RCODE=FDSENTRPRVAL&amp;VAR:SDATE=38533&amp;VAR:FREQ=Daily&amp;VAR:RELITEM=&amp;VAR:CURRENCY=EUR&amp;VAR:CURRSOURCE=EX","SHARE&amp;VAR:NATFREQ=FSA&amp;VAR:RFIELD=FINALIZED&amp;VAR:DB_TYPE=&amp;VAR:UNITS=M&amp;window=popup&amp;width=450&amp;height=300&amp;START_MAXIMIZED=FALSE"}</definedName>
    <definedName name="_994__FDSAUDITLINK__" localSheetId="0" hidden="1">{"fdsup://Directions/FAT Viewer?action=UPDATE&amp;creator=factset&amp;DOC_NAME=fat:reuters_semi_source_window.fat&amp;display_string=Audit&amp;DYN_ARGS=TRUE&amp;VAR:ID1=596787&amp;VAR:RCODE=FDSENTRPRVAL&amp;VAR:SDATE=38625&amp;VAR:FREQ=Daily&amp;VAR:RELITEM=&amp;VAR:CURRENCY=EUR&amp;VAR:CURRSOURCE=EX","SHARE&amp;VAR:NATFREQ=FSA&amp;VAR:RFIELD=FINALIZED&amp;VAR:DB_TYPE=&amp;VAR:UNITS=M&amp;window=popup&amp;width=450&amp;height=300&amp;START_MAXIMIZED=FALSE"}</definedName>
    <definedName name="_994__FDSAUDITLINK__" localSheetId="6" hidden="1">{"fdsup://Directions/FAT Viewer?action=UPDATE&amp;creator=factset&amp;DOC_NAME=fat:reuters_semi_source_window.fat&amp;display_string=Audit&amp;DYN_ARGS=TRUE&amp;VAR:ID1=596787&amp;VAR:RCODE=FDSENTRPRVAL&amp;VAR:SDATE=38625&amp;VAR:FREQ=Daily&amp;VAR:RELITEM=&amp;VAR:CURRENCY=EUR&amp;VAR:CURRSOURCE=EX","SHARE&amp;VAR:NATFREQ=FSA&amp;VAR:RFIELD=FINALIZED&amp;VAR:DB_TYPE=&amp;VAR:UNITS=M&amp;window=popup&amp;width=450&amp;height=300&amp;START_MAXIMIZED=FALSE"}</definedName>
    <definedName name="_994__FDSAUDITLINK__" hidden="1">{"fdsup://Directions/FAT Viewer?action=UPDATE&amp;creator=factset&amp;DOC_NAME=fat:reuters_semi_source_window.fat&amp;display_string=Audit&amp;DYN_ARGS=TRUE&amp;VAR:ID1=596787&amp;VAR:RCODE=FDSENTRPRVAL&amp;VAR:SDATE=38625&amp;VAR:FREQ=Daily&amp;VAR:RELITEM=&amp;VAR:CURRENCY=EUR&amp;VAR:CURRSOURCE=EX","SHARE&amp;VAR:NATFREQ=FSA&amp;VAR:RFIELD=FINALIZED&amp;VAR:DB_TYPE=&amp;VAR:UNITS=M&amp;window=popup&amp;width=450&amp;height=300&amp;START_MAXIMIZED=FALSE"}</definedName>
    <definedName name="_995__FDSAUDITLINK__" localSheetId="0" hidden="1">{"fdsup://Directions/FAT Viewer?action=UPDATE&amp;creator=factset&amp;DOC_NAME=fat:reuters_semi_source_window.fat&amp;display_string=Audit&amp;DYN_ARGS=TRUE&amp;VAR:ID1=596787&amp;VAR:RCODE=FDSENTRPRVAL&amp;VAR:SDATE=38717&amp;VAR:FREQ=Daily&amp;VAR:RELITEM=&amp;VAR:CURRENCY=EUR&amp;VAR:CURRSOURCE=EX","SHARE&amp;VAR:NATFREQ=FSA&amp;VAR:RFIELD=FINALIZED&amp;VAR:DB_TYPE=&amp;VAR:UNITS=M&amp;window=popup&amp;width=450&amp;height=300&amp;START_MAXIMIZED=FALSE"}</definedName>
    <definedName name="_995__FDSAUDITLINK__" localSheetId="6" hidden="1">{"fdsup://Directions/FAT Viewer?action=UPDATE&amp;creator=factset&amp;DOC_NAME=fat:reuters_semi_source_window.fat&amp;display_string=Audit&amp;DYN_ARGS=TRUE&amp;VAR:ID1=596787&amp;VAR:RCODE=FDSENTRPRVAL&amp;VAR:SDATE=38717&amp;VAR:FREQ=Daily&amp;VAR:RELITEM=&amp;VAR:CURRENCY=EUR&amp;VAR:CURRSOURCE=EX","SHARE&amp;VAR:NATFREQ=FSA&amp;VAR:RFIELD=FINALIZED&amp;VAR:DB_TYPE=&amp;VAR:UNITS=M&amp;window=popup&amp;width=450&amp;height=300&amp;START_MAXIMIZED=FALSE"}</definedName>
    <definedName name="_995__FDSAUDITLINK__" hidden="1">{"fdsup://Directions/FAT Viewer?action=UPDATE&amp;creator=factset&amp;DOC_NAME=fat:reuters_semi_source_window.fat&amp;display_string=Audit&amp;DYN_ARGS=TRUE&amp;VAR:ID1=596787&amp;VAR:RCODE=FDSENTRPRVAL&amp;VAR:SDATE=38717&amp;VAR:FREQ=Daily&amp;VAR:RELITEM=&amp;VAR:CURRENCY=EUR&amp;VAR:CURRSOURCE=EX","SHARE&amp;VAR:NATFREQ=FSA&amp;VAR:RFIELD=FINALIZED&amp;VAR:DB_TYPE=&amp;VAR:UNITS=M&amp;window=popup&amp;width=450&amp;height=300&amp;START_MAXIMIZED=FALSE"}</definedName>
    <definedName name="_996__FDSAUDITLINK__" localSheetId="0" hidden="1">{"fdsup://Directions/FAT Viewer?action=UPDATE&amp;creator=factset&amp;DOC_NAME=fat:reuters_semi_source_window.fat&amp;display_string=Audit&amp;DYN_ARGS=TRUE&amp;VAR:ID1=596787&amp;VAR:RCODE=FDSENTRPRVAL&amp;VAR:SDATE=38807&amp;VAR:FREQ=Daily&amp;VAR:RELITEM=&amp;VAR:CURRENCY=EUR&amp;VAR:CURRSOURCE=EX","SHARE&amp;VAR:NATFREQ=FSA&amp;VAR:RFIELD=FINALIZED&amp;VAR:DB_TYPE=&amp;VAR:UNITS=M&amp;window=popup&amp;width=450&amp;height=300&amp;START_MAXIMIZED=FALSE"}</definedName>
    <definedName name="_996__FDSAUDITLINK__" localSheetId="6" hidden="1">{"fdsup://Directions/FAT Viewer?action=UPDATE&amp;creator=factset&amp;DOC_NAME=fat:reuters_semi_source_window.fat&amp;display_string=Audit&amp;DYN_ARGS=TRUE&amp;VAR:ID1=596787&amp;VAR:RCODE=FDSENTRPRVAL&amp;VAR:SDATE=38807&amp;VAR:FREQ=Daily&amp;VAR:RELITEM=&amp;VAR:CURRENCY=EUR&amp;VAR:CURRSOURCE=EX","SHARE&amp;VAR:NATFREQ=FSA&amp;VAR:RFIELD=FINALIZED&amp;VAR:DB_TYPE=&amp;VAR:UNITS=M&amp;window=popup&amp;width=450&amp;height=300&amp;START_MAXIMIZED=FALSE"}</definedName>
    <definedName name="_996__FDSAUDITLINK__" hidden="1">{"fdsup://Directions/FAT Viewer?action=UPDATE&amp;creator=factset&amp;DOC_NAME=fat:reuters_semi_source_window.fat&amp;display_string=Audit&amp;DYN_ARGS=TRUE&amp;VAR:ID1=596787&amp;VAR:RCODE=FDSENTRPRVAL&amp;VAR:SDATE=38807&amp;VAR:FREQ=Daily&amp;VAR:RELITEM=&amp;VAR:CURRENCY=EUR&amp;VAR:CURRSOURCE=EX","SHARE&amp;VAR:NATFREQ=FSA&amp;VAR:RFIELD=FINALIZED&amp;VAR:DB_TYPE=&amp;VAR:UNITS=M&amp;window=popup&amp;width=450&amp;height=300&amp;START_MAXIMIZED=FALSE"}</definedName>
    <definedName name="_997__FDSAUDITLINK__" localSheetId="0" hidden="1">{"fdsup://Directions/FAT Viewer?action=UPDATE&amp;creator=factset&amp;DOC_NAME=fat:reuters_semi_source_window.fat&amp;display_string=Audit&amp;DYN_ARGS=TRUE&amp;VAR:ID1=596787&amp;VAR:RCODE=FDSENTRPRVAL&amp;VAR:SDATE=38898&amp;VAR:FREQ=Daily&amp;VAR:RELITEM=&amp;VAR:CURRENCY=EUR&amp;VAR:CURRSOURCE=EX","SHARE&amp;VAR:NATFREQ=FSA&amp;VAR:RFIELD=FINALIZED&amp;VAR:DB_TYPE=&amp;VAR:UNITS=M&amp;window=popup&amp;width=450&amp;height=300&amp;START_MAXIMIZED=FALSE"}</definedName>
    <definedName name="_997__FDSAUDITLINK__" localSheetId="6" hidden="1">{"fdsup://Directions/FAT Viewer?action=UPDATE&amp;creator=factset&amp;DOC_NAME=fat:reuters_semi_source_window.fat&amp;display_string=Audit&amp;DYN_ARGS=TRUE&amp;VAR:ID1=596787&amp;VAR:RCODE=FDSENTRPRVAL&amp;VAR:SDATE=38898&amp;VAR:FREQ=Daily&amp;VAR:RELITEM=&amp;VAR:CURRENCY=EUR&amp;VAR:CURRSOURCE=EX","SHARE&amp;VAR:NATFREQ=FSA&amp;VAR:RFIELD=FINALIZED&amp;VAR:DB_TYPE=&amp;VAR:UNITS=M&amp;window=popup&amp;width=450&amp;height=300&amp;START_MAXIMIZED=FALSE"}</definedName>
    <definedName name="_997__FDSAUDITLINK__" hidden="1">{"fdsup://Directions/FAT Viewer?action=UPDATE&amp;creator=factset&amp;DOC_NAME=fat:reuters_semi_source_window.fat&amp;display_string=Audit&amp;DYN_ARGS=TRUE&amp;VAR:ID1=596787&amp;VAR:RCODE=FDSENTRPRVAL&amp;VAR:SDATE=38898&amp;VAR:FREQ=Daily&amp;VAR:RELITEM=&amp;VAR:CURRENCY=EUR&amp;VAR:CURRSOURCE=EX","SHARE&amp;VAR:NATFREQ=FSA&amp;VAR:RFIELD=FINALIZED&amp;VAR:DB_TYPE=&amp;VAR:UNITS=M&amp;window=popup&amp;width=450&amp;height=300&amp;START_MAXIMIZED=FALSE"}</definedName>
    <definedName name="_998__FDSAUDITLINK__" localSheetId="0" hidden="1">{"fdsup://Directions/FAT Viewer?action=UPDATE&amp;creator=factset&amp;DOC_NAME=fat:reuters_semi_source_window.fat&amp;display_string=Audit&amp;DYN_ARGS=TRUE&amp;VAR:ID1=596787&amp;VAR:RCODE=FDSENTRPRVAL&amp;VAR:SDATE=38990&amp;VAR:FREQ=Daily&amp;VAR:RELITEM=&amp;VAR:CURRENCY=EUR&amp;VAR:CURRSOURCE=EX","SHARE&amp;VAR:NATFREQ=FSA&amp;VAR:RFIELD=FINALIZED&amp;VAR:DB_TYPE=&amp;VAR:UNITS=M&amp;window=popup&amp;width=450&amp;height=300&amp;START_MAXIMIZED=FALSE"}</definedName>
    <definedName name="_998__FDSAUDITLINK__" localSheetId="6" hidden="1">{"fdsup://Directions/FAT Viewer?action=UPDATE&amp;creator=factset&amp;DOC_NAME=fat:reuters_semi_source_window.fat&amp;display_string=Audit&amp;DYN_ARGS=TRUE&amp;VAR:ID1=596787&amp;VAR:RCODE=FDSENTRPRVAL&amp;VAR:SDATE=38990&amp;VAR:FREQ=Daily&amp;VAR:RELITEM=&amp;VAR:CURRENCY=EUR&amp;VAR:CURRSOURCE=EX","SHARE&amp;VAR:NATFREQ=FSA&amp;VAR:RFIELD=FINALIZED&amp;VAR:DB_TYPE=&amp;VAR:UNITS=M&amp;window=popup&amp;width=450&amp;height=300&amp;START_MAXIMIZED=FALSE"}</definedName>
    <definedName name="_998__FDSAUDITLINK__" hidden="1">{"fdsup://Directions/FAT Viewer?action=UPDATE&amp;creator=factset&amp;DOC_NAME=fat:reuters_semi_source_window.fat&amp;display_string=Audit&amp;DYN_ARGS=TRUE&amp;VAR:ID1=596787&amp;VAR:RCODE=FDSENTRPRVAL&amp;VAR:SDATE=38990&amp;VAR:FREQ=Daily&amp;VAR:RELITEM=&amp;VAR:CURRENCY=EUR&amp;VAR:CURRSOURCE=EX","SHARE&amp;VAR:NATFREQ=FSA&amp;VAR:RFIELD=FINALIZED&amp;VAR:DB_TYPE=&amp;VAR:UNITS=M&amp;window=popup&amp;width=450&amp;height=300&amp;START_MAXIMIZED=FALSE"}</definedName>
    <definedName name="_999__FDSAUDITLINK__" localSheetId="0" hidden="1">{"fdsup://Directions/FAT Viewer?action=UPDATE&amp;creator=factset&amp;DOC_NAME=fat:reuters_semi_source_window.fat&amp;display_string=Audit&amp;DYN_ARGS=TRUE&amp;VAR:ID1=596787&amp;VAR:RCODE=FDSENTRPRVAL&amp;VAR:SDATE=39082&amp;VAR:FREQ=Daily&amp;VAR:RELITEM=&amp;VAR:CURRENCY=EUR&amp;VAR:CURRSOURCE=EX","SHARE&amp;VAR:NATFREQ=FSA&amp;VAR:RFIELD=FINALIZED&amp;VAR:DB_TYPE=&amp;VAR:UNITS=M&amp;window=popup&amp;width=450&amp;height=300&amp;START_MAXIMIZED=FALSE"}</definedName>
    <definedName name="_999__FDSAUDITLINK__" localSheetId="6" hidden="1">{"fdsup://Directions/FAT Viewer?action=UPDATE&amp;creator=factset&amp;DOC_NAME=fat:reuters_semi_source_window.fat&amp;display_string=Audit&amp;DYN_ARGS=TRUE&amp;VAR:ID1=596787&amp;VAR:RCODE=FDSENTRPRVAL&amp;VAR:SDATE=39082&amp;VAR:FREQ=Daily&amp;VAR:RELITEM=&amp;VAR:CURRENCY=EUR&amp;VAR:CURRSOURCE=EX","SHARE&amp;VAR:NATFREQ=FSA&amp;VAR:RFIELD=FINALIZED&amp;VAR:DB_TYPE=&amp;VAR:UNITS=M&amp;window=popup&amp;width=450&amp;height=300&amp;START_MAXIMIZED=FALSE"}</definedName>
    <definedName name="_999__FDSAUDITLINK__" hidden="1">{"fdsup://Directions/FAT Viewer?action=UPDATE&amp;creator=factset&amp;DOC_NAME=fat:reuters_semi_source_window.fat&amp;display_string=Audit&amp;DYN_ARGS=TRUE&amp;VAR:ID1=596787&amp;VAR:RCODE=FDSENTRPRVAL&amp;VAR:SDATE=39082&amp;VAR:FREQ=Daily&amp;VAR:RELITEM=&amp;VAR:CURRENCY=EUR&amp;VAR:CURRSOURCE=EX","SHARE&amp;VAR:NATFREQ=FSA&amp;VAR:RFIELD=FINALIZED&amp;VAR:DB_TYPE=&amp;VAR:UNITS=M&amp;window=popup&amp;width=450&amp;height=300&amp;START_MAXIMIZED=FALSE"}</definedName>
    <definedName name="_9PGE_1">#REF!</definedName>
    <definedName name="_a010" localSheetId="0" hidden="1">{#N/A,#N/A,FALSE,"BETRIEBSZWEIGE";#N/A,#N/A,FALSE,"GESAMT ";#N/A,#N/A,FALSE,"ELT";#N/A,#N/A,FALSE,"WAERME";#N/A,#N/A,FALSE,"GAS";#N/A,#N/A,FALSE,"WASSER";#N/A,#N/A,FALSE,"GEM"}</definedName>
    <definedName name="_a010" localSheetId="6" hidden="1">{#N/A,#N/A,FALSE,"BETRIEBSZWEIGE";#N/A,#N/A,FALSE,"GESAMT ";#N/A,#N/A,FALSE,"ELT";#N/A,#N/A,FALSE,"WAERME";#N/A,#N/A,FALSE,"GAS";#N/A,#N/A,FALSE,"WASSER";#N/A,#N/A,FALSE,"GEM"}</definedName>
    <definedName name="_a010" hidden="1">{#N/A,#N/A,FALSE,"BETRIEBSZWEIGE";#N/A,#N/A,FALSE,"GESAMT ";#N/A,#N/A,FALSE,"ELT";#N/A,#N/A,FALSE,"WAERME";#N/A,#N/A,FALSE,"GAS";#N/A,#N/A,FALSE,"WASSER";#N/A,#N/A,FALSE,"GEM"}</definedName>
    <definedName name="_a030" localSheetId="0" hidden="1">{#N/A,#N/A,FALSE,"BETRIEBSZWEIGE";#N/A,#N/A,FALSE,"GESAMT ";#N/A,#N/A,FALSE,"ELT";#N/A,#N/A,FALSE,"WAERME";#N/A,#N/A,FALSE,"GAS";#N/A,#N/A,FALSE,"WASSER";#N/A,#N/A,FALSE,"GEM"}</definedName>
    <definedName name="_a030" localSheetId="6" hidden="1">{#N/A,#N/A,FALSE,"BETRIEBSZWEIGE";#N/A,#N/A,FALSE,"GESAMT ";#N/A,#N/A,FALSE,"ELT";#N/A,#N/A,FALSE,"WAERME";#N/A,#N/A,FALSE,"GAS";#N/A,#N/A,FALSE,"WASSER";#N/A,#N/A,FALSE,"GEM"}</definedName>
    <definedName name="_a030" hidden="1">{#N/A,#N/A,FALSE,"BETRIEBSZWEIGE";#N/A,#N/A,FALSE,"GESAMT ";#N/A,#N/A,FALSE,"ELT";#N/A,#N/A,FALSE,"WAERME";#N/A,#N/A,FALSE,"GAS";#N/A,#N/A,FALSE,"WASSER";#N/A,#N/A,FALSE,"GEM"}</definedName>
    <definedName name="_a1" localSheetId="0"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1" localSheetId="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1"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1_1" localSheetId="0" hidden="1">{#N/A,#N/A,FALSE,"Pharm";#N/A,#N/A,FALSE,"WWCM"}</definedName>
    <definedName name="_a1_1" localSheetId="6" hidden="1">{#N/A,#N/A,FALSE,"Pharm";#N/A,#N/A,FALSE,"WWCM"}</definedName>
    <definedName name="_a1_1" hidden="1">{#N/A,#N/A,FALSE,"Pharm";#N/A,#N/A,FALSE,"WWCM"}</definedName>
    <definedName name="_a1_1_1" localSheetId="0" hidden="1">{#N/A,#N/A,FALSE,"Pharm";#N/A,#N/A,FALSE,"WWCM"}</definedName>
    <definedName name="_a1_1_1" localSheetId="6" hidden="1">{#N/A,#N/A,FALSE,"Pharm";#N/A,#N/A,FALSE,"WWCM"}</definedName>
    <definedName name="_a1_1_1" hidden="1">{#N/A,#N/A,FALSE,"Pharm";#N/A,#N/A,FALSE,"WWCM"}</definedName>
    <definedName name="_a1_2" localSheetId="0" hidden="1">{#N/A,#N/A,FALSE,"Pharm";#N/A,#N/A,FALSE,"WWCM"}</definedName>
    <definedName name="_a1_2" localSheetId="6" hidden="1">{#N/A,#N/A,FALSE,"Pharm";#N/A,#N/A,FALSE,"WWCM"}</definedName>
    <definedName name="_a1_2" hidden="1">{#N/A,#N/A,FALSE,"Pharm";#N/A,#N/A,FALSE,"WWCM"}</definedName>
    <definedName name="_a1_3" localSheetId="0" hidden="1">{#N/A,#N/A,FALSE,"Pharm";#N/A,#N/A,FALSE,"WWCM"}</definedName>
    <definedName name="_a1_3" localSheetId="6" hidden="1">{#N/A,#N/A,FALSE,"Pharm";#N/A,#N/A,FALSE,"WWCM"}</definedName>
    <definedName name="_a1_3" hidden="1">{#N/A,#N/A,FALSE,"Pharm";#N/A,#N/A,FALSE,"WWCM"}</definedName>
    <definedName name="_a1_4" localSheetId="0" hidden="1">{#N/A,#N/A,FALSE,"Pharm";#N/A,#N/A,FALSE,"WWCM"}</definedName>
    <definedName name="_a1_4" localSheetId="6" hidden="1">{#N/A,#N/A,FALSE,"Pharm";#N/A,#N/A,FALSE,"WWCM"}</definedName>
    <definedName name="_a1_4" hidden="1">{#N/A,#N/A,FALSE,"Pharm";#N/A,#N/A,FALSE,"WWCM"}</definedName>
    <definedName name="_a1_5" localSheetId="0" hidden="1">{#N/A,#N/A,FALSE,"Pharm";#N/A,#N/A,FALSE,"WWCM"}</definedName>
    <definedName name="_a1_5" localSheetId="6" hidden="1">{#N/A,#N/A,FALSE,"Pharm";#N/A,#N/A,FALSE,"WWCM"}</definedName>
    <definedName name="_a1_5" hidden="1">{#N/A,#N/A,FALSE,"Pharm";#N/A,#N/A,FALSE,"WWCM"}</definedName>
    <definedName name="_a10" localSheetId="0" hidden="1">{#N/A,#N/A,TRUE,"0 Deckbl.";#N/A,#N/A,TRUE,"S 1 Komm";#N/A,#N/A,TRUE,"S 1a Komm";#N/A,#N/A,TRUE,"S 1b Komm";#N/A,#N/A,TRUE,"S  2 DBR";#N/A,#N/A,TRUE,"S  3 Sparten";#N/A,#N/A,TRUE,"S 4  Betr. K.";#N/A,#N/A,TRUE,"6 Bilanz";#N/A,#N/A,TRUE,"6a Bilanz ";#N/A,#N/A,TRUE,"6b Bilanz ";#N/A,#N/A,TRUE,"7 GS I";#N/A,#N/A,TRUE,"S 8 EQ-GuV"}</definedName>
    <definedName name="_a10" localSheetId="6" hidden="1">{#N/A,#N/A,TRUE,"0 Deckbl.";#N/A,#N/A,TRUE,"S 1 Komm";#N/A,#N/A,TRUE,"S 1a Komm";#N/A,#N/A,TRUE,"S 1b Komm";#N/A,#N/A,TRUE,"S  2 DBR";#N/A,#N/A,TRUE,"S  3 Sparten";#N/A,#N/A,TRUE,"S 4  Betr. K.";#N/A,#N/A,TRUE,"6 Bilanz";#N/A,#N/A,TRUE,"6a Bilanz ";#N/A,#N/A,TRUE,"6b Bilanz ";#N/A,#N/A,TRUE,"7 GS I";#N/A,#N/A,TRUE,"S 8 EQ-GuV"}</definedName>
    <definedName name="_a10" hidden="1">{#N/A,#N/A,TRUE,"0 Deckbl.";#N/A,#N/A,TRUE,"S 1 Komm";#N/A,#N/A,TRUE,"S 1a Komm";#N/A,#N/A,TRUE,"S 1b Komm";#N/A,#N/A,TRUE,"S  2 DBR";#N/A,#N/A,TRUE,"S  3 Sparten";#N/A,#N/A,TRUE,"S 4  Betr. K.";#N/A,#N/A,TRUE,"6 Bilanz";#N/A,#N/A,TRUE,"6a Bilanz ";#N/A,#N/A,TRUE,"6b Bilanz ";#N/A,#N/A,TRUE,"7 GS I";#N/A,#N/A,TRUE,"S 8 EQ-GuV"}</definedName>
    <definedName name="_A11" localSheetId="0" hidden="1">{#N/A,#N/A,FALSE,"Umsatz 99";#N/A,#N/A,FALSE,"ER 99 "}</definedName>
    <definedName name="_A11" localSheetId="6" hidden="1">{#N/A,#N/A,FALSE,"Umsatz 99";#N/A,#N/A,FALSE,"ER 99 "}</definedName>
    <definedName name="_A11" hidden="1">{#N/A,#N/A,FALSE,"Umsatz 99";#N/A,#N/A,FALSE,"ER 99 "}</definedName>
    <definedName name="_A11_1" localSheetId="0" hidden="1">{#N/A,#N/A,FALSE,"Umsatz 99";#N/A,#N/A,FALSE,"ER 99 "}</definedName>
    <definedName name="_A11_1" localSheetId="6" hidden="1">{#N/A,#N/A,FALSE,"Umsatz 99";#N/A,#N/A,FALSE,"ER 99 "}</definedName>
    <definedName name="_A11_1" hidden="1">{#N/A,#N/A,FALSE,"Umsatz 99";#N/A,#N/A,FALSE,"ER 99 "}</definedName>
    <definedName name="_A11_1_1" localSheetId="0" hidden="1">{#N/A,#N/A,FALSE,"Umsatz 99";#N/A,#N/A,FALSE,"ER 99 "}</definedName>
    <definedName name="_A11_1_1" localSheetId="6" hidden="1">{#N/A,#N/A,FALSE,"Umsatz 99";#N/A,#N/A,FALSE,"ER 99 "}</definedName>
    <definedName name="_A11_1_1" hidden="1">{#N/A,#N/A,FALSE,"Umsatz 99";#N/A,#N/A,FALSE,"ER 99 "}</definedName>
    <definedName name="_A11_2" localSheetId="0" hidden="1">{#N/A,#N/A,FALSE,"Umsatz 99";#N/A,#N/A,FALSE,"ER 99 "}</definedName>
    <definedName name="_A11_2" localSheetId="6" hidden="1">{#N/A,#N/A,FALSE,"Umsatz 99";#N/A,#N/A,FALSE,"ER 99 "}</definedName>
    <definedName name="_A11_2" hidden="1">{#N/A,#N/A,FALSE,"Umsatz 99";#N/A,#N/A,FALSE,"ER 99 "}</definedName>
    <definedName name="_A11_3" localSheetId="0" hidden="1">{#N/A,#N/A,FALSE,"Umsatz 99";#N/A,#N/A,FALSE,"ER 99 "}</definedName>
    <definedName name="_A11_3" localSheetId="6" hidden="1">{#N/A,#N/A,FALSE,"Umsatz 99";#N/A,#N/A,FALSE,"ER 99 "}</definedName>
    <definedName name="_A11_3" hidden="1">{#N/A,#N/A,FALSE,"Umsatz 99";#N/A,#N/A,FALSE,"ER 99 "}</definedName>
    <definedName name="_A11_4" localSheetId="0" hidden="1">{#N/A,#N/A,FALSE,"Umsatz 99";#N/A,#N/A,FALSE,"ER 99 "}</definedName>
    <definedName name="_A11_4" localSheetId="6" hidden="1">{#N/A,#N/A,FALSE,"Umsatz 99";#N/A,#N/A,FALSE,"ER 99 "}</definedName>
    <definedName name="_A11_4" hidden="1">{#N/A,#N/A,FALSE,"Umsatz 99";#N/A,#N/A,FALSE,"ER 99 "}</definedName>
    <definedName name="_A11_5" localSheetId="0" hidden="1">{#N/A,#N/A,FALSE,"Umsatz 99";#N/A,#N/A,FALSE,"ER 99 "}</definedName>
    <definedName name="_A11_5" localSheetId="6" hidden="1">{#N/A,#N/A,FALSE,"Umsatz 99";#N/A,#N/A,FALSE,"ER 99 "}</definedName>
    <definedName name="_A11_5" hidden="1">{#N/A,#N/A,FALSE,"Umsatz 99";#N/A,#N/A,FALSE,"ER 99 "}</definedName>
    <definedName name="_a2" localSheetId="0"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2" localSheetId="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2"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3" localSheetId="0"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3" localSheetId="6"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3"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4" localSheetId="0"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a4" localSheetId="6"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a4"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a5" localSheetId="0" hidden="1">{"andy_p",#N/A,FALSE,"A";"andy_s",#N/A,FALSE,"A"}</definedName>
    <definedName name="_a5" localSheetId="6" hidden="1">{"andy_p",#N/A,FALSE,"A";"andy_s",#N/A,FALSE,"A"}</definedName>
    <definedName name="_a5" hidden="1">{"andy_p",#N/A,FALSE,"A";"andy_s",#N/A,FALSE,"A"}</definedName>
    <definedName name="_a50" localSheetId="0" hidden="1">{#N/A,#N/A,TRUE,"0 Deckbl.";#N/A,#N/A,TRUE,"S 1 Komm";#N/A,#N/A,TRUE,"S 1a Komm";#N/A,#N/A,TRUE,"S 1b Komm";#N/A,#N/A,TRUE,"S  2 DBR";#N/A,#N/A,TRUE,"S  3 Sparten";#N/A,#N/A,TRUE,"S 4  Betr. K.";#N/A,#N/A,TRUE,"6 Bilanz";#N/A,#N/A,TRUE,"6a Bilanz ";#N/A,#N/A,TRUE,"6b Bilanz ";#N/A,#N/A,TRUE,"7 GS I";#N/A,#N/A,TRUE,"S 8 EQ-GuV"}</definedName>
    <definedName name="_a50" localSheetId="6" hidden="1">{#N/A,#N/A,TRUE,"0 Deckbl.";#N/A,#N/A,TRUE,"S 1 Komm";#N/A,#N/A,TRUE,"S 1a Komm";#N/A,#N/A,TRUE,"S 1b Komm";#N/A,#N/A,TRUE,"S  2 DBR";#N/A,#N/A,TRUE,"S  3 Sparten";#N/A,#N/A,TRUE,"S 4  Betr. K.";#N/A,#N/A,TRUE,"6 Bilanz";#N/A,#N/A,TRUE,"6a Bilanz ";#N/A,#N/A,TRUE,"6b Bilanz ";#N/A,#N/A,TRUE,"7 GS I";#N/A,#N/A,TRUE,"S 8 EQ-GuV"}</definedName>
    <definedName name="_a50" hidden="1">{#N/A,#N/A,TRUE,"0 Deckbl.";#N/A,#N/A,TRUE,"S 1 Komm";#N/A,#N/A,TRUE,"S 1a Komm";#N/A,#N/A,TRUE,"S 1b Komm";#N/A,#N/A,TRUE,"S  2 DBR";#N/A,#N/A,TRUE,"S  3 Sparten";#N/A,#N/A,TRUE,"S 4  Betr. K.";#N/A,#N/A,TRUE,"6 Bilanz";#N/A,#N/A,TRUE,"6a Bilanz ";#N/A,#N/A,TRUE,"6b Bilanz ";#N/A,#N/A,TRUE,"7 GS I";#N/A,#N/A,TRUE,"S 8 EQ-GuV"}</definedName>
    <definedName name="_a6" localSheetId="0"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6" localSheetId="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7" localSheetId="0"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7" localSheetId="6"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7"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8" localSheetId="0"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8" localSheetId="6"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8" hidden="1">{"TYPE",#N/A,FALSE,"SEPDGR";"PAN_LN",#N/A,FALSE,"SEPDGR";"FUN_LN",#N/A,FALSE,"SEPDGR";"TYPE",#N/A,FALSE,"SEPYLD";"PAN_LN",#N/A,FALSE,"SEPYLD";"FUN_LN",#N/A,FALSE,"SEPYLD";"TYPE",#N/A,FALSE,"SEPYTDYLD";"PAN_LN",#N/A,FALSE,"SEPYTDYLD";"FUN_LN",#N/A,FALSE,"SEPYTDYLD";"TYPE",#N/A,FALSE,"SEPDA";"PAN_LN",#N/A,FALSE,"SEPDA";"FUN_LN",#N/A,FALSE,"SEPDA";"TYPE",#N/A,FALSE,"SEPUN";"PAN_LN",#N/A,FALSE,"SEPUN";"FUN_LN",#N/A,FALSE,"SEPUN"}</definedName>
    <definedName name="_a9" localSheetId="0" hidden="1">{"SUMM",#N/A,TRUE,"C";"ACT_PROD",#N/A,TRUE,"A";"ACT_SHIP",#N/A,TRUE,"A";"BP_YLD",#N/A,TRUE,"B";"ACTZ_PROD",#N/A,TRUE,"D";"ACTZ_SHIP",#N/A,TRUE,"D";"ACTZ_YLD",#N/A,TRUE,"E";"CPSI_PROD",#N/A,TRUE,"F";"CPSI_SHIP",#N/A,TRUE,"F"}</definedName>
    <definedName name="_a9" localSheetId="6" hidden="1">{"SUMM",#N/A,TRUE,"C";"ACT_PROD",#N/A,TRUE,"A";"ACT_SHIP",#N/A,TRUE,"A";"BP_YLD",#N/A,TRUE,"B";"ACTZ_PROD",#N/A,TRUE,"D";"ACTZ_SHIP",#N/A,TRUE,"D";"ACTZ_YLD",#N/A,TRUE,"E";"CPSI_PROD",#N/A,TRUE,"F";"CPSI_SHIP",#N/A,TRUE,"F"}</definedName>
    <definedName name="_a9" hidden="1">{"SUMM",#N/A,TRUE,"C";"ACT_PROD",#N/A,TRUE,"A";"ACT_SHIP",#N/A,TRUE,"A";"BP_YLD",#N/A,TRUE,"B";"ACTZ_PROD",#N/A,TRUE,"D";"ACTZ_SHIP",#N/A,TRUE,"D";"ACTZ_YLD",#N/A,TRUE,"E";"CPSI_PROD",#N/A,TRUE,"F";"CPSI_SHIP",#N/A,TRUE,"F"}</definedName>
    <definedName name="_a94" localSheetId="0"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4" localSheetId="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4"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5" localSheetId="0" hidden="1">{"andy_p",#N/A,FALSE,"A";"andy_s",#N/A,FALSE,"A"}</definedName>
    <definedName name="_a95" localSheetId="6" hidden="1">{"andy_p",#N/A,FALSE,"A";"andy_s",#N/A,FALSE,"A"}</definedName>
    <definedName name="_a95" hidden="1">{"andy_p",#N/A,FALSE,"A";"andy_s",#N/A,FALSE,"A"}</definedName>
    <definedName name="_a96" localSheetId="0"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a96" localSheetId="6"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a96" hidden="1">{"PAN_LN",#N/A,TRUE,"ACTDGR";"FUN_LN",#N/A,TRUE,"ACTDGR";"TYPE",#N/A,TRUE,"ACTDGR";"PAN_LN",#N/A,TRUE,"ACTYLD";"FUN_LN",#N/A,TRUE,"ACTYLD";"TYPE",#N/A,TRUE,"ACTYLD";"PAN_LN",#N/A,TRUE,"ACTYTDYLD";"FUN_LN",#N/A,TRUE,"ACTYTDYLD";"TYPE",#N/A,TRUE,"ACTYTDYLD";"PAN_LN",#N/A,TRUE,"ACTDA";"FUN_LN",#N/A,TRUE,"ACTDA";"TYPE",#N/A,TRUE,"ACTDA";"PAN_LN",#N/A,TRUE,"ACTUN";"FUN_LN",#N/A,TRUE,"ACTUN";"TYPE",#N/A,TRUE,"ACTUN";"panel",#N/A,TRUE,"ACT_TONS";"funnel",#N/A,TRUE,"ACT_TONS";"type",#N/A,TRUE,"ACT_TONS"}</definedName>
    <definedName name="_a97" localSheetId="0"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97" localSheetId="6"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97" hidden="1">{"TYPE",#N/A,FALSE,"MAYDGR";"PAN_LN",#N/A,FALSE,"MAYDGR";"FUN_LN",#N/A,FALSE,"MAYDGR";"TYPE",#N/A,FALSE,"MAYYLD";"PAN_LN",#N/A,FALSE,"MAYYLD";"FUN_LN",#N/A,FALSE,"MAYYLD";"TYPE",#N/A,FALSE,"MAYTDYLD";"PAN_LN",#N/A,FALSE,"MAYTDYLD";"FUN_LN",#N/A,FALSE,"MAYTDYLD";"TYPE",#N/A,FALSE,"MAYDA";"PAN_LN",#N/A,FALSE,"MAYDA";"FUN_LN",#N/A,FALSE,"MAYDA";"TYPE",#N/A,FALSE,"MAYUN";"PAN_LN",#N/A,FALSE,"MAYUN";"FUN_LN",#N/A,FALSE,"MAYUN"}</definedName>
    <definedName name="_a98" localSheetId="0"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8" localSheetId="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8"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9" localSheetId="0"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9" localSheetId="6"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99" hidden="1">{"TYPE",#N/A,FALSE,"BPDGR";"PAN_LN",#N/A,FALSE,"BPDGR";"FUN_LN",#N/A,FALSE,"BPDGR";"TYPE",#N/A,FALSE,"BPYLD";"PAN_LN",#N/A,FALSE,"BPYLD";"FUN_LN",#N/A,FALSE,"BPYLD";"TYPE",#N/A,FALSE,"BPYTDYLD";"PAN_LN",#N/A,FALSE,"BPYTDYLD";"FUN_LN",#N/A,FALSE,"BPYTDYLD";"TYPE",#N/A,FALSE,"BPDA";"PAN_LN",#N/A,FALSE,"BPDA";"FUN_LN",#N/A,FALSE,"BPDA";"TYPE",#N/A,FALSE,"BPUN";"PAN_LN",#N/A,FALSE,"BPUN";"FUN_LN",#N/A,FALSE,"BPUN"}</definedName>
    <definedName name="_aa2" localSheetId="0" hidden="1">{#N/A,#N/A,FALSE,"Hip.Bas";#N/A,#N/A,FALSE,"ventas";#N/A,#N/A,FALSE,"ingre-Año";#N/A,#N/A,FALSE,"ventas-Año";#N/A,#N/A,FALSE,"Costepro";#N/A,#N/A,FALSE,"inversion";#N/A,#N/A,FALSE,"personal";#N/A,#N/A,FALSE,"Gastos-V";#N/A,#N/A,FALSE,"Circulante";#N/A,#N/A,FALSE,"CONSOLI";#N/A,#N/A,FALSE,"Es-Fin";#N/A,#N/A,FALSE,"Margen-P"}</definedName>
    <definedName name="_aa2" localSheetId="6" hidden="1">{#N/A,#N/A,FALSE,"Hip.Bas";#N/A,#N/A,FALSE,"ventas";#N/A,#N/A,FALSE,"ingre-Año";#N/A,#N/A,FALSE,"ventas-Año";#N/A,#N/A,FALSE,"Costepro";#N/A,#N/A,FALSE,"inversion";#N/A,#N/A,FALSE,"personal";#N/A,#N/A,FALSE,"Gastos-V";#N/A,#N/A,FALSE,"Circulante";#N/A,#N/A,FALSE,"CONSOLI";#N/A,#N/A,FALSE,"Es-Fin";#N/A,#N/A,FALSE,"Margen-P"}</definedName>
    <definedName name="_aa2" hidden="1">{#N/A,#N/A,FALSE,"Hip.Bas";#N/A,#N/A,FALSE,"ventas";#N/A,#N/A,FALSE,"ingre-Año";#N/A,#N/A,FALSE,"ventas-Año";#N/A,#N/A,FALSE,"Costepro";#N/A,#N/A,FALSE,"inversion";#N/A,#N/A,FALSE,"personal";#N/A,#N/A,FALSE,"Gastos-V";#N/A,#N/A,FALSE,"Circulante";#N/A,#N/A,FALSE,"CONSOLI";#N/A,#N/A,FALSE,"Es-Fin";#N/A,#N/A,FALSE,"Margen-P"}</definedName>
    <definedName name="_aa3" localSheetId="0" hidden="1">{#N/A,#N/A,FALSE,"Hip.Bas";#N/A,#N/A,FALSE,"ventas";#N/A,#N/A,FALSE,"ingre-Año";#N/A,#N/A,FALSE,"ventas-Año";#N/A,#N/A,FALSE,"Costepro";#N/A,#N/A,FALSE,"inversion";#N/A,#N/A,FALSE,"personal";#N/A,#N/A,FALSE,"Gastos-V";#N/A,#N/A,FALSE,"Circulante";#N/A,#N/A,FALSE,"CONSOLI";#N/A,#N/A,FALSE,"Es-Fin";#N/A,#N/A,FALSE,"Margen-P"}</definedName>
    <definedName name="_aa3" localSheetId="6" hidden="1">{#N/A,#N/A,FALSE,"Hip.Bas";#N/A,#N/A,FALSE,"ventas";#N/A,#N/A,FALSE,"ingre-Año";#N/A,#N/A,FALSE,"ventas-Año";#N/A,#N/A,FALSE,"Costepro";#N/A,#N/A,FALSE,"inversion";#N/A,#N/A,FALSE,"personal";#N/A,#N/A,FALSE,"Gastos-V";#N/A,#N/A,FALSE,"Circulante";#N/A,#N/A,FALSE,"CONSOLI";#N/A,#N/A,FALSE,"Es-Fin";#N/A,#N/A,FALSE,"Margen-P"}</definedName>
    <definedName name="_aa3" hidden="1">{#N/A,#N/A,FALSE,"Hip.Bas";#N/A,#N/A,FALSE,"ventas";#N/A,#N/A,FALSE,"ingre-Año";#N/A,#N/A,FALSE,"ventas-Año";#N/A,#N/A,FALSE,"Costepro";#N/A,#N/A,FALSE,"inversion";#N/A,#N/A,FALSE,"personal";#N/A,#N/A,FALSE,"Gastos-V";#N/A,#N/A,FALSE,"Circulante";#N/A,#N/A,FALSE,"CONSOLI";#N/A,#N/A,FALSE,"Es-Fin";#N/A,#N/A,FALSE,"Margen-P"}</definedName>
    <definedName name="_AA36" localSheetId="6" hidden="1">{"VIEW1",#N/A,FALSE,"P&amp;L Account 2001-2002";"VIEW2",#N/A,FALSE,"P&amp;L Account 2001-2002";"VIEW3",#N/A,FALSE,"P&amp;L Account 2001-2002";"VIEW4",#N/A,FALSE,"P&amp;L Account 2001-2002"}</definedName>
    <definedName name="_AA36" hidden="1">{"VIEW1",#N/A,FALSE,"P&amp;L Account 2001-2002";"VIEW2",#N/A,FALSE,"P&amp;L Account 2001-2002";"VIEW3",#N/A,FALSE,"P&amp;L Account 2001-2002";"VIEW4",#N/A,FALSE,"P&amp;L Account 2001-2002"}</definedName>
    <definedName name="_aaa" localSheetId="0" hidden="1">{#N/A,#N/A,FALSE,"Aging Summary";#N/A,#N/A,FALSE,"Ratio Analysis";#N/A,#N/A,FALSE,"Test 120 Day Accts";#N/A,#N/A,FALSE,"Tickmarks"}</definedName>
    <definedName name="_aaa" localSheetId="6" hidden="1">{#N/A,#N/A,FALSE,"Aging Summary";#N/A,#N/A,FALSE,"Ratio Analysis";#N/A,#N/A,FALSE,"Test 120 Day Accts";#N/A,#N/A,FALSE,"Tickmarks"}</definedName>
    <definedName name="_aaa" hidden="1">{#N/A,#N/A,FALSE,"Aging Summary";#N/A,#N/A,FALSE,"Ratio Analysis";#N/A,#N/A,FALSE,"Test 120 Day Accts";#N/A,#N/A,FALSE,"Tickmarks"}</definedName>
    <definedName name="_aaa1" localSheetId="0" hidden="1">{#N/A,#N/A,FALSE,"REPORT"}</definedName>
    <definedName name="_aaa1" localSheetId="6" hidden="1">{#N/A,#N/A,FALSE,"REPORT"}</definedName>
    <definedName name="_aaa1" hidden="1">{#N/A,#N/A,FALSE,"REPORT"}</definedName>
    <definedName name="_aaa1_1" localSheetId="0" hidden="1">{#N/A,#N/A,FALSE,"REPORT"}</definedName>
    <definedName name="_aaa1_1" localSheetId="6" hidden="1">{#N/A,#N/A,FALSE,"REPORT"}</definedName>
    <definedName name="_aaa1_1" hidden="1">{#N/A,#N/A,FALSE,"REPORT"}</definedName>
    <definedName name="_aaa1_1_1" localSheetId="0" hidden="1">{#N/A,#N/A,FALSE,"REPORT"}</definedName>
    <definedName name="_aaa1_1_1" localSheetId="6" hidden="1">{#N/A,#N/A,FALSE,"REPORT"}</definedName>
    <definedName name="_aaa1_1_1" hidden="1">{#N/A,#N/A,FALSE,"REPORT"}</definedName>
    <definedName name="_aaa1_2" localSheetId="0" hidden="1">{#N/A,#N/A,FALSE,"REPORT"}</definedName>
    <definedName name="_aaa1_2" localSheetId="6" hidden="1">{#N/A,#N/A,FALSE,"REPORT"}</definedName>
    <definedName name="_aaa1_2" hidden="1">{#N/A,#N/A,FALSE,"REPORT"}</definedName>
    <definedName name="_aaa1_3" localSheetId="0" hidden="1">{#N/A,#N/A,FALSE,"REPORT"}</definedName>
    <definedName name="_aaa1_3" localSheetId="6" hidden="1">{#N/A,#N/A,FALSE,"REPORT"}</definedName>
    <definedName name="_aaa1_3" hidden="1">{#N/A,#N/A,FALSE,"REPORT"}</definedName>
    <definedName name="_aaa1_4" localSheetId="0" hidden="1">{#N/A,#N/A,FALSE,"REPORT"}</definedName>
    <definedName name="_aaa1_4" localSheetId="6" hidden="1">{#N/A,#N/A,FALSE,"REPORT"}</definedName>
    <definedName name="_aaa1_4" hidden="1">{#N/A,#N/A,FALSE,"REPORT"}</definedName>
    <definedName name="_aaa1_5" localSheetId="0" hidden="1">{#N/A,#N/A,FALSE,"REPORT"}</definedName>
    <definedName name="_aaa1_5" localSheetId="6" hidden="1">{#N/A,#N/A,FALSE,"REPORT"}</definedName>
    <definedName name="_aaa1_5" hidden="1">{#N/A,#N/A,FALSE,"REPORT"}</definedName>
    <definedName name="_aas1" localSheetId="0" hidden="1">{#N/A,#N/A,FALSE,"REPORT"}</definedName>
    <definedName name="_aas1" localSheetId="6" hidden="1">{#N/A,#N/A,FALSE,"REPORT"}</definedName>
    <definedName name="_aas1" hidden="1">{#N/A,#N/A,FALSE,"REPORT"}</definedName>
    <definedName name="_aas1_1" localSheetId="0" hidden="1">{#N/A,#N/A,FALSE,"REPORT"}</definedName>
    <definedName name="_aas1_1" localSheetId="6" hidden="1">{#N/A,#N/A,FALSE,"REPORT"}</definedName>
    <definedName name="_aas1_1" hidden="1">{#N/A,#N/A,FALSE,"REPORT"}</definedName>
    <definedName name="_aas1_1_1" localSheetId="0" hidden="1">{#N/A,#N/A,FALSE,"REPORT"}</definedName>
    <definedName name="_aas1_1_1" localSheetId="6" hidden="1">{#N/A,#N/A,FALSE,"REPORT"}</definedName>
    <definedName name="_aas1_1_1" hidden="1">{#N/A,#N/A,FALSE,"REPORT"}</definedName>
    <definedName name="_aas1_2" localSheetId="0" hidden="1">{#N/A,#N/A,FALSE,"REPORT"}</definedName>
    <definedName name="_aas1_2" localSheetId="6" hidden="1">{#N/A,#N/A,FALSE,"REPORT"}</definedName>
    <definedName name="_aas1_2" hidden="1">{#N/A,#N/A,FALSE,"REPORT"}</definedName>
    <definedName name="_aas1_3" localSheetId="0" hidden="1">{#N/A,#N/A,FALSE,"REPORT"}</definedName>
    <definedName name="_aas1_3" localSheetId="6" hidden="1">{#N/A,#N/A,FALSE,"REPORT"}</definedName>
    <definedName name="_aas1_3" hidden="1">{#N/A,#N/A,FALSE,"REPORT"}</definedName>
    <definedName name="_aas1_4" localSheetId="0" hidden="1">{#N/A,#N/A,FALSE,"REPORT"}</definedName>
    <definedName name="_aas1_4" localSheetId="6" hidden="1">{#N/A,#N/A,FALSE,"REPORT"}</definedName>
    <definedName name="_aas1_4" hidden="1">{#N/A,#N/A,FALSE,"REPORT"}</definedName>
    <definedName name="_aas1_5" localSheetId="0" hidden="1">{#N/A,#N/A,FALSE,"REPORT"}</definedName>
    <definedName name="_aas1_5" localSheetId="6" hidden="1">{#N/A,#N/A,FALSE,"REPORT"}</definedName>
    <definedName name="_aas1_5" hidden="1">{#N/A,#N/A,FALSE,"REPORT"}</definedName>
    <definedName name="_ab1" localSheetId="6" hidden="1">{#N/A,#N/A,FALSE,"SumD";#N/A,#N/A,FALSE,"ElecD";#N/A,#N/A,FALSE,"MechD";#N/A,#N/A,FALSE,"GeotD";#N/A,#N/A,FALSE,"PrcsD";#N/A,#N/A,FALSE,"TunnD";#N/A,#N/A,FALSE,"CivlD";#N/A,#N/A,FALSE,"NtwkD";#N/A,#N/A,FALSE,"EstgD";#N/A,#N/A,FALSE,"PEngD"}</definedName>
    <definedName name="_ab1" hidden="1">{#N/A,#N/A,FALSE,"SumD";#N/A,#N/A,FALSE,"ElecD";#N/A,#N/A,FALSE,"MechD";#N/A,#N/A,FALSE,"GeotD";#N/A,#N/A,FALSE,"PrcsD";#N/A,#N/A,FALSE,"TunnD";#N/A,#N/A,FALSE,"CivlD";#N/A,#N/A,FALSE,"NtwkD";#N/A,#N/A,FALSE,"EstgD";#N/A,#N/A,FALSE,"PEngD"}</definedName>
    <definedName name="_ab1_1" localSheetId="6" hidden="1">{#N/A,#N/A,FALSE,"SumD";#N/A,#N/A,FALSE,"ElecD";#N/A,#N/A,FALSE,"MechD";#N/A,#N/A,FALSE,"GeotD";#N/A,#N/A,FALSE,"PrcsD";#N/A,#N/A,FALSE,"TunnD";#N/A,#N/A,FALSE,"CivlD";#N/A,#N/A,FALSE,"NtwkD";#N/A,#N/A,FALSE,"EstgD";#N/A,#N/A,FALSE,"PEngD"}</definedName>
    <definedName name="_ab1_1" hidden="1">{#N/A,#N/A,FALSE,"SumD";#N/A,#N/A,FALSE,"ElecD";#N/A,#N/A,FALSE,"MechD";#N/A,#N/A,FALSE,"GeotD";#N/A,#N/A,FALSE,"PrcsD";#N/A,#N/A,FALSE,"TunnD";#N/A,#N/A,FALSE,"CivlD";#N/A,#N/A,FALSE,"NtwkD";#N/A,#N/A,FALSE,"EstgD";#N/A,#N/A,FALSE,"PEngD"}</definedName>
    <definedName name="_abc123" localSheetId="0" hidden="1">{#N/A,#N/A,FALSE,"PROFIT 11-95"}</definedName>
    <definedName name="_abc123" localSheetId="6" hidden="1">{#N/A,#N/A,FALSE,"PROFIT 11-95"}</definedName>
    <definedName name="_abc123" hidden="1">{#N/A,#N/A,FALSE,"PROFIT 11-95"}</definedName>
    <definedName name="_abc2" localSheetId="0" hidden="1">{#N/A,#N/A,TRUE,"Cover sheet";#N/A,#N/A,TRUE,"Summary";#N/A,#N/A,TRUE,"Key Assumptions";#N/A,#N/A,TRUE,"Profit &amp; Loss";#N/A,#N/A,TRUE,"Balance Sheet";#N/A,#N/A,TRUE,"Cashflow";#N/A,#N/A,TRUE,"IRR";#N/A,#N/A,TRUE,"Ratios";#N/A,#N/A,TRUE,"Debt analysis"}</definedName>
    <definedName name="_abc2" localSheetId="6" hidden="1">{#N/A,#N/A,TRUE,"Cover sheet";#N/A,#N/A,TRUE,"Summary";#N/A,#N/A,TRUE,"Key Assumptions";#N/A,#N/A,TRUE,"Profit &amp; Loss";#N/A,#N/A,TRUE,"Balance Sheet";#N/A,#N/A,TRUE,"Cashflow";#N/A,#N/A,TRUE,"IRR";#N/A,#N/A,TRUE,"Ratios";#N/A,#N/A,TRUE,"Debt analysis"}</definedName>
    <definedName name="_abc2" hidden="1">{#N/A,#N/A,TRUE,"Cover sheet";#N/A,#N/A,TRUE,"Summary";#N/A,#N/A,TRUE,"Key Assumptions";#N/A,#N/A,TRUE,"Profit &amp; Loss";#N/A,#N/A,TRUE,"Balance Sheet";#N/A,#N/A,TRUE,"Cashflow";#N/A,#N/A,TRUE,"IRR";#N/A,#N/A,TRUE,"Ratios";#N/A,#N/A,TRUE,"Debt analysis"}</definedName>
    <definedName name="_ACS2000" localSheetId="0" hidden="1">{#N/A,#N/A,FALSE,"REPORT"}</definedName>
    <definedName name="_ACS2000" localSheetId="6" hidden="1">{#N/A,#N/A,FALSE,"REPORT"}</definedName>
    <definedName name="_ACS2000" hidden="1">{#N/A,#N/A,FALSE,"REPORT"}</definedName>
    <definedName name="_ACS2000_1" localSheetId="0" hidden="1">{#N/A,#N/A,FALSE,"REPORT"}</definedName>
    <definedName name="_ACS2000_1" localSheetId="6" hidden="1">{#N/A,#N/A,FALSE,"REPORT"}</definedName>
    <definedName name="_ACS2000_1" hidden="1">{#N/A,#N/A,FALSE,"REPORT"}</definedName>
    <definedName name="_ACS2000_1_1" localSheetId="0" hidden="1">{#N/A,#N/A,FALSE,"REPORT"}</definedName>
    <definedName name="_ACS2000_1_1" localSheetId="6" hidden="1">{#N/A,#N/A,FALSE,"REPORT"}</definedName>
    <definedName name="_ACS2000_1_1" hidden="1">{#N/A,#N/A,FALSE,"REPORT"}</definedName>
    <definedName name="_ACS2000_2" localSheetId="0" hidden="1">{#N/A,#N/A,FALSE,"REPORT"}</definedName>
    <definedName name="_ACS2000_2" localSheetId="6" hidden="1">{#N/A,#N/A,FALSE,"REPORT"}</definedName>
    <definedName name="_ACS2000_2" hidden="1">{#N/A,#N/A,FALSE,"REPORT"}</definedName>
    <definedName name="_ACS2000_3" localSheetId="0" hidden="1">{#N/A,#N/A,FALSE,"REPORT"}</definedName>
    <definedName name="_ACS2000_3" localSheetId="6" hidden="1">{#N/A,#N/A,FALSE,"REPORT"}</definedName>
    <definedName name="_ACS2000_3" hidden="1">{#N/A,#N/A,FALSE,"REPORT"}</definedName>
    <definedName name="_ACS2000_4" localSheetId="0" hidden="1">{#N/A,#N/A,FALSE,"REPORT"}</definedName>
    <definedName name="_ACS2000_4" localSheetId="6" hidden="1">{#N/A,#N/A,FALSE,"REPORT"}</definedName>
    <definedName name="_ACS2000_4" hidden="1">{#N/A,#N/A,FALSE,"REPORT"}</definedName>
    <definedName name="_ACS2000_5" localSheetId="0" hidden="1">{#N/A,#N/A,FALSE,"REPORT"}</definedName>
    <definedName name="_ACS2000_5" localSheetId="6" hidden="1">{#N/A,#N/A,FALSE,"REPORT"}</definedName>
    <definedName name="_ACS2000_5" hidden="1">{#N/A,#N/A,FALSE,"REPORT"}</definedName>
    <definedName name="_AMO_SingleObject_75055432_ROM_F0.SEC2.Print_1.SEC1.BDY.Data_Set_WORK_LF4" hidden="1">#REF!</definedName>
    <definedName name="_AMO_SingleObject_75055432_ROM_F0.SEC2.Print_1.SEC1.HDR.TXT1" hidden="1">#REF!</definedName>
    <definedName name="_AMO_SingleObject_75055432_ROM_F0.SEC2.Print_2.SEC1.BDY.Data_Set_WORK_LF4" hidden="1">#REF!</definedName>
    <definedName name="_AMO_SingleObject_75055432_ROM_F0.SEC2.Print_2.SEC1.HDR.TXT1" hidden="1">#REF!</definedName>
    <definedName name="_AMO_SingleObject_75055432_ROM_F0.SEC2.Print_3.SEC1.BDY.Data_Set_WORK_LF4" hidden="1">#REF!</definedName>
    <definedName name="_AMO_SingleObject_75055432_ROM_F0.SEC2.Print_3.SEC1.HDR.TXT1" hidden="1">#REF!</definedName>
    <definedName name="_AMO_XmlVersion" hidden="1">"'1'"</definedName>
    <definedName name="_amr1" localSheetId="0" hidden="1">{#N/A,#N/A,FALSE,"PROFIT 11-95"}</definedName>
    <definedName name="_amr1" localSheetId="6" hidden="1">{#N/A,#N/A,FALSE,"PROFIT 11-95"}</definedName>
    <definedName name="_amr1" hidden="1">{#N/A,#N/A,FALSE,"PROFIT 11-95"}</definedName>
    <definedName name="_amr2" localSheetId="0" hidden="1">{#N/A,#N/A,FALSE,"PROFIT 11-95"}</definedName>
    <definedName name="_amr2" localSheetId="6" hidden="1">{#N/A,#N/A,FALSE,"PROFIT 11-95"}</definedName>
    <definedName name="_amr2" hidden="1">{#N/A,#N/A,FALSE,"PROFIT 11-95"}</definedName>
    <definedName name="_amr3">#REF!</definedName>
    <definedName name="_amr4" localSheetId="0" hidden="1">{#N/A,#N/A,TRUE,"PROFIT 11-95"}</definedName>
    <definedName name="_amr4" localSheetId="6" hidden="1">{#N/A,#N/A,TRUE,"PROFIT 11-95"}</definedName>
    <definedName name="_amr4" hidden="1">{#N/A,#N/A,TRUE,"PROFIT 11-95"}</definedName>
    <definedName name="_amr5" localSheetId="0" hidden="1">{#N/A,#N/A,FALSE,"PA";#N/A,#N/A,FALSE,"PA"}</definedName>
    <definedName name="_amr5" localSheetId="6" hidden="1">{#N/A,#N/A,FALSE,"PA";#N/A,#N/A,FALSE,"PA"}</definedName>
    <definedName name="_amr5" hidden="1">{#N/A,#N/A,FALSE,"PA";#N/A,#N/A,FALSE,"PA"}</definedName>
    <definedName name="_amr6" localSheetId="0" hidden="1">{#N/A,#N/A,FALSE,"CE-Build";#N/A,#N/A,FALSE,"CE-Equ.";#N/A,#N/A,FALSE,"CE-Computer";#N/A,#N/A,FALSE,"CE-BFurn.";#N/A,#N/A,FALSE,"CE-Accom.";#N/A,#N/A,FALSE,"CE-Vehicle";#N/A,#N/A,FALSE,"CE-Total"}</definedName>
    <definedName name="_amr6" localSheetId="6" hidden="1">{#N/A,#N/A,FALSE,"CE-Build";#N/A,#N/A,FALSE,"CE-Equ.";#N/A,#N/A,FALSE,"CE-Computer";#N/A,#N/A,FALSE,"CE-BFurn.";#N/A,#N/A,FALSE,"CE-Accom.";#N/A,#N/A,FALSE,"CE-Vehicle";#N/A,#N/A,FALSE,"CE-Total"}</definedName>
    <definedName name="_amr6" hidden="1">{#N/A,#N/A,FALSE,"CE-Build";#N/A,#N/A,FALSE,"CE-Equ.";#N/A,#N/A,FALSE,"CE-Computer";#N/A,#N/A,FALSE,"CE-BFurn.";#N/A,#N/A,FALSE,"CE-Accom.";#N/A,#N/A,FALSE,"CE-Vehicle";#N/A,#N/A,FALSE,"CE-Total"}</definedName>
    <definedName name="_amr7" localSheetId="0" hidden="1">{#N/A,#N/A,FALSE,"PROFIT 11-95"}</definedName>
    <definedName name="_amr7" localSheetId="6" hidden="1">{#N/A,#N/A,FALSE,"PROFIT 11-95"}</definedName>
    <definedName name="_amr7" hidden="1">{#N/A,#N/A,FALSE,"PROFIT 11-95"}</definedName>
    <definedName name="_amr8" localSheetId="0" hidden="1">{#N/A,#N/A,FALSE,"Mech";#N/A,#N/A,FALSE,"Body";#N/A,#N/A,FALSE,"Machine";#N/A,#N/A,FALSE,"Forklift";#N/A,#N/A,FALSE,"OtherHC";#N/A,#N/A,FALSE,"Total"}</definedName>
    <definedName name="_amr8" localSheetId="6" hidden="1">{#N/A,#N/A,FALSE,"Mech";#N/A,#N/A,FALSE,"Body";#N/A,#N/A,FALSE,"Machine";#N/A,#N/A,FALSE,"Forklift";#N/A,#N/A,FALSE,"OtherHC";#N/A,#N/A,FALSE,"Total"}</definedName>
    <definedName name="_amr8" hidden="1">{#N/A,#N/A,FALSE,"Mech";#N/A,#N/A,FALSE,"Body";#N/A,#N/A,FALSE,"Machine";#N/A,#N/A,FALSE,"Forklift";#N/A,#N/A,FALSE,"OtherHC";#N/A,#N/A,FALSE,"Total"}</definedName>
    <definedName name="_amr9" localSheetId="0" hidden="1">{#N/A,#N/A,TRUE,"PROFIT 11-95"}</definedName>
    <definedName name="_amr9" localSheetId="6" hidden="1">{#N/A,#N/A,TRUE,"PROFIT 11-95"}</definedName>
    <definedName name="_amr9" hidden="1">{#N/A,#N/A,TRUE,"PROFIT 11-95"}</definedName>
    <definedName name="_app4" localSheetId="6" hidden="1">{#N/A,#N/A,TRUE,"Cover sheet";#N/A,#N/A,TRUE,"Summary";#N/A,#N/A,TRUE,"Key Assumptions";#N/A,#N/A,TRUE,"Profit &amp; Loss";#N/A,#N/A,TRUE,"Balance Sheet";#N/A,#N/A,TRUE,"Cashflow";#N/A,#N/A,TRUE,"IRR";#N/A,#N/A,TRUE,"Ratios";#N/A,#N/A,TRUE,"Debt analysis"}</definedName>
    <definedName name="_app4" hidden="1">{#N/A,#N/A,TRUE,"Cover sheet";#N/A,#N/A,TRUE,"Summary";#N/A,#N/A,TRUE,"Key Assumptions";#N/A,#N/A,TRUE,"Profit &amp; Loss";#N/A,#N/A,TRUE,"Balance Sheet";#N/A,#N/A,TRUE,"Cashflow";#N/A,#N/A,TRUE,"IRR";#N/A,#N/A,TRUE,"Ratios";#N/A,#N/A,TRUE,"Debt analysis"}</definedName>
    <definedName name="_as1" localSheetId="0" hidden="1">{"comp1",#N/A,FALSE,"COMPS";"footnotes",#N/A,FALSE,"COMPS"}</definedName>
    <definedName name="_as1" localSheetId="6" hidden="1">{"comp1",#N/A,FALSE,"COMPS";"footnotes",#N/A,FALSE,"COMPS"}</definedName>
    <definedName name="_as1" hidden="1">{"comp1",#N/A,FALSE,"COMPS";"footnotes",#N/A,FALSE,"COMPS"}</definedName>
    <definedName name="_as1_1" localSheetId="6" hidden="1">{#N/A,#N/A,FALSE,"SumD";#N/A,#N/A,FALSE,"ElecD";#N/A,#N/A,FALSE,"MechD";#N/A,#N/A,FALSE,"GeotD";#N/A,#N/A,FALSE,"PrcsD";#N/A,#N/A,FALSE,"TunnD";#N/A,#N/A,FALSE,"CivlD";#N/A,#N/A,FALSE,"NtwkD";#N/A,#N/A,FALSE,"EstgD";#N/A,#N/A,FALSE,"PEngD"}</definedName>
    <definedName name="_as1_1" hidden="1">{#N/A,#N/A,FALSE,"SumD";#N/A,#N/A,FALSE,"ElecD";#N/A,#N/A,FALSE,"MechD";#N/A,#N/A,FALSE,"GeotD";#N/A,#N/A,FALSE,"PrcsD";#N/A,#N/A,FALSE,"TunnD";#N/A,#N/A,FALSE,"CivlD";#N/A,#N/A,FALSE,"NtwkD";#N/A,#N/A,FALSE,"EstgD";#N/A,#N/A,FALSE,"PEngD"}</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2</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1</definedName>
    <definedName name="_AtRisk_SimSetting_StdRecalcWithoutRiskStaticPercentile" hidden="1">0.5</definedName>
    <definedName name="_b010" localSheetId="0" hidden="1">{#N/A,#N/A,FALSE,"BETRIEBSZWEIGE";#N/A,#N/A,FALSE,"GESAMT ";#N/A,#N/A,FALSE,"ELT";#N/A,#N/A,FALSE,"WAERME";#N/A,#N/A,FALSE,"GAS";#N/A,#N/A,FALSE,"WASSER";#N/A,#N/A,FALSE,"GEM"}</definedName>
    <definedName name="_b010" localSheetId="6" hidden="1">{#N/A,#N/A,FALSE,"BETRIEBSZWEIGE";#N/A,#N/A,FALSE,"GESAMT ";#N/A,#N/A,FALSE,"ELT";#N/A,#N/A,FALSE,"WAERME";#N/A,#N/A,FALSE,"GAS";#N/A,#N/A,FALSE,"WASSER";#N/A,#N/A,FALSE,"GEM"}</definedName>
    <definedName name="_b010" hidden="1">{#N/A,#N/A,FALSE,"BETRIEBSZWEIGE";#N/A,#N/A,FALSE,"GESAMT ";#N/A,#N/A,FALSE,"ELT";#N/A,#N/A,FALSE,"WAERME";#N/A,#N/A,FALSE,"GAS";#N/A,#N/A,FALSE,"WASSER";#N/A,#N/A,FALSE,"GEM"}</definedName>
    <definedName name="_b111" localSheetId="0" hidden="1">{#N/A,#N/A,FALSE,"Pharm";#N/A,#N/A,FALSE,"WWCM"}</definedName>
    <definedName name="_b111" localSheetId="6" hidden="1">{#N/A,#N/A,FALSE,"Pharm";#N/A,#N/A,FALSE,"WWCM"}</definedName>
    <definedName name="_b111" hidden="1">{#N/A,#N/A,FALSE,"Pharm";#N/A,#N/A,FALSE,"WWCM"}</definedName>
    <definedName name="_b111_1" localSheetId="0" hidden="1">{#N/A,#N/A,FALSE,"Pharm";#N/A,#N/A,FALSE,"WWCM"}</definedName>
    <definedName name="_b111_1" localSheetId="6" hidden="1">{#N/A,#N/A,FALSE,"Pharm";#N/A,#N/A,FALSE,"WWCM"}</definedName>
    <definedName name="_b111_1" hidden="1">{#N/A,#N/A,FALSE,"Pharm";#N/A,#N/A,FALSE,"WWCM"}</definedName>
    <definedName name="_b111_1_1" localSheetId="0" hidden="1">{#N/A,#N/A,FALSE,"Pharm";#N/A,#N/A,FALSE,"WWCM"}</definedName>
    <definedName name="_b111_1_1" localSheetId="6" hidden="1">{#N/A,#N/A,FALSE,"Pharm";#N/A,#N/A,FALSE,"WWCM"}</definedName>
    <definedName name="_b111_1_1" hidden="1">{#N/A,#N/A,FALSE,"Pharm";#N/A,#N/A,FALSE,"WWCM"}</definedName>
    <definedName name="_b111_2" localSheetId="0" hidden="1">{#N/A,#N/A,FALSE,"Pharm";#N/A,#N/A,FALSE,"WWCM"}</definedName>
    <definedName name="_b111_2" localSheetId="6" hidden="1">{#N/A,#N/A,FALSE,"Pharm";#N/A,#N/A,FALSE,"WWCM"}</definedName>
    <definedName name="_b111_2" hidden="1">{#N/A,#N/A,FALSE,"Pharm";#N/A,#N/A,FALSE,"WWCM"}</definedName>
    <definedName name="_b111_3" localSheetId="0" hidden="1">{#N/A,#N/A,FALSE,"Pharm";#N/A,#N/A,FALSE,"WWCM"}</definedName>
    <definedName name="_b111_3" localSheetId="6" hidden="1">{#N/A,#N/A,FALSE,"Pharm";#N/A,#N/A,FALSE,"WWCM"}</definedName>
    <definedName name="_b111_3" hidden="1">{#N/A,#N/A,FALSE,"Pharm";#N/A,#N/A,FALSE,"WWCM"}</definedName>
    <definedName name="_b111_4" localSheetId="0" hidden="1">{#N/A,#N/A,FALSE,"Pharm";#N/A,#N/A,FALSE,"WWCM"}</definedName>
    <definedName name="_b111_4" localSheetId="6" hidden="1">{#N/A,#N/A,FALSE,"Pharm";#N/A,#N/A,FALSE,"WWCM"}</definedName>
    <definedName name="_b111_4" hidden="1">{#N/A,#N/A,FALSE,"Pharm";#N/A,#N/A,FALSE,"WWCM"}</definedName>
    <definedName name="_b111_5" localSheetId="0" hidden="1">{#N/A,#N/A,FALSE,"Pharm";#N/A,#N/A,FALSE,"WWCM"}</definedName>
    <definedName name="_b111_5" localSheetId="6" hidden="1">{#N/A,#N/A,FALSE,"Pharm";#N/A,#N/A,FALSE,"WWCM"}</definedName>
    <definedName name="_b111_5" hidden="1">{#N/A,#N/A,FALSE,"Pharm";#N/A,#N/A,FALSE,"WWCM"}</definedName>
    <definedName name="_bb2" localSheetId="0" hidden="1">{#N/A,#N/A,FALSE,"Hip.Bas";#N/A,#N/A,FALSE,"ventas";#N/A,#N/A,FALSE,"ingre-Año";#N/A,#N/A,FALSE,"ventas-Año";#N/A,#N/A,FALSE,"Costepro";#N/A,#N/A,FALSE,"inversion";#N/A,#N/A,FALSE,"personal";#N/A,#N/A,FALSE,"Gastos-V";#N/A,#N/A,FALSE,"Circulante";#N/A,#N/A,FALSE,"CONSOLI";#N/A,#N/A,FALSE,"Es-Fin";#N/A,#N/A,FALSE,"Margen-P"}</definedName>
    <definedName name="_bb2" localSheetId="6" hidden="1">{#N/A,#N/A,FALSE,"Hip.Bas";#N/A,#N/A,FALSE,"ventas";#N/A,#N/A,FALSE,"ingre-Año";#N/A,#N/A,FALSE,"ventas-Año";#N/A,#N/A,FALSE,"Costepro";#N/A,#N/A,FALSE,"inversion";#N/A,#N/A,FALSE,"personal";#N/A,#N/A,FALSE,"Gastos-V";#N/A,#N/A,FALSE,"Circulante";#N/A,#N/A,FALSE,"CONSOLI";#N/A,#N/A,FALSE,"Es-Fin";#N/A,#N/A,FALSE,"Margen-P"}</definedName>
    <definedName name="_bb2" hidden="1">{#N/A,#N/A,FALSE,"Hip.Bas";#N/A,#N/A,FALSE,"ventas";#N/A,#N/A,FALSE,"ingre-Año";#N/A,#N/A,FALSE,"ventas-Año";#N/A,#N/A,FALSE,"Costepro";#N/A,#N/A,FALSE,"inversion";#N/A,#N/A,FALSE,"personal";#N/A,#N/A,FALSE,"Gastos-V";#N/A,#N/A,FALSE,"Circulante";#N/A,#N/A,FALSE,"CONSOLI";#N/A,#N/A,FALSE,"Es-Fin";#N/A,#N/A,FALSE,"Margen-P"}</definedName>
    <definedName name="_bb3" localSheetId="0" hidden="1">{#N/A,#N/A,FALSE,"Hip.Bas";#N/A,#N/A,FALSE,"ventas";#N/A,#N/A,FALSE,"ingre-Año";#N/A,#N/A,FALSE,"ventas-Año";#N/A,#N/A,FALSE,"Costepro";#N/A,#N/A,FALSE,"inversion";#N/A,#N/A,FALSE,"personal";#N/A,#N/A,FALSE,"Gastos-V";#N/A,#N/A,FALSE,"Circulante";#N/A,#N/A,FALSE,"CONSOLI";#N/A,#N/A,FALSE,"Es-Fin";#N/A,#N/A,FALSE,"Margen-P"}</definedName>
    <definedName name="_bb3" localSheetId="6" hidden="1">{#N/A,#N/A,FALSE,"Hip.Bas";#N/A,#N/A,FALSE,"ventas";#N/A,#N/A,FALSE,"ingre-Año";#N/A,#N/A,FALSE,"ventas-Año";#N/A,#N/A,FALSE,"Costepro";#N/A,#N/A,FALSE,"inversion";#N/A,#N/A,FALSE,"personal";#N/A,#N/A,FALSE,"Gastos-V";#N/A,#N/A,FALSE,"Circulante";#N/A,#N/A,FALSE,"CONSOLI";#N/A,#N/A,FALSE,"Es-Fin";#N/A,#N/A,FALSE,"Margen-P"}</definedName>
    <definedName name="_bb3" hidden="1">{#N/A,#N/A,FALSE,"Hip.Bas";#N/A,#N/A,FALSE,"ventas";#N/A,#N/A,FALSE,"ingre-Año";#N/A,#N/A,FALSE,"ventas-Año";#N/A,#N/A,FALSE,"Costepro";#N/A,#N/A,FALSE,"inversion";#N/A,#N/A,FALSE,"personal";#N/A,#N/A,FALSE,"Gastos-V";#N/A,#N/A,FALSE,"Circulante";#N/A,#N/A,FALSE,"CONSOLI";#N/A,#N/A,FALSE,"Es-Fin";#N/A,#N/A,FALSE,"Margen-P"}</definedName>
    <definedName name="_bdm.00EC971BF37311D6B67A0010A48BFF38.edm" hidden="1">#REF!</definedName>
    <definedName name="_bdm.011f7ff467ed4ece83c9e41328f0db41.edm" hidden="1">#REF!</definedName>
    <definedName name="_bdm.014b2ccf5f474274907c5b0891a6601c.edm" hidden="1">#REF!</definedName>
    <definedName name="_bdm.0179d339ef0b4ed3aa9c1ba4aab8f010.edm" hidden="1">#REF!</definedName>
    <definedName name="_bdm.0254a2cd71354e599fc1224a2c240cf8.edm" hidden="1">#REF!</definedName>
    <definedName name="_bdm.026d665bd08341fb864db96b2b82c622.edm" hidden="1">#REF!</definedName>
    <definedName name="_bdm.02bf195ce6ee4cd59d7f30147d378883.edm" hidden="1">#REF!</definedName>
    <definedName name="_bdm.02D2EAA4A13B47A4A3C9C341F13A9D8B.edm" hidden="1">#REF!</definedName>
    <definedName name="_bdm.030d912f91f840cb9f457ab9ca1f8342.edm" hidden="1">#REF!</definedName>
    <definedName name="_bdm.034382b6f2fd433bae8911f15013db07.edm" hidden="1">#REF!</definedName>
    <definedName name="_bdm.039f17f741bf42bd8e1fc38b1f07d7d2.edm" hidden="1">#REF!</definedName>
    <definedName name="_bdm.03a434208e92490794090767f3725b5b.edm" hidden="1">#REF!</definedName>
    <definedName name="_bdm.0464d1ce0abe4b07a99b451f4e19bc6a.edm" hidden="1">#REF!</definedName>
    <definedName name="_bdm.04688B1A51C44D08BF8651C0AF3934DE.edm" hidden="1">#REF!</definedName>
    <definedName name="_bdm.04d766ad8abc4b56b693cc5b7b020b45.edm" hidden="1">#REF!</definedName>
    <definedName name="_bdm.04f69fe7cdce4fe582b1d73ac0beb41c.edm" hidden="1">#REF!</definedName>
    <definedName name="_bdm.050109a0b6f447ce8e7bb4b25da68181.edm" hidden="1">#REF!</definedName>
    <definedName name="_bdm.0522d356dadc45d6b85577d58508752b.edm" hidden="1">#REF!</definedName>
    <definedName name="_bdm.05247A451FF3448CAAE30D069D99445B.edm" hidden="1">#REF!</definedName>
    <definedName name="_bdm.053b91ca58414fa1b8663bd1bf03a1df.edm" hidden="1">#REF!</definedName>
    <definedName name="_bdm.0591701b54f141b7b3fc280162b50043.edm" hidden="1">#REF!</definedName>
    <definedName name="_bdm.05AD755AE1B644BCB6FF7AF6D6C94EE7.edm" hidden="1">#REF!</definedName>
    <definedName name="_bdm.05b2e0f814844ab69d0a5b4f24892136.edm" hidden="1">#REF!</definedName>
    <definedName name="_bdm.0604028ad1fa4a2095aa0da5fc815146.edm" hidden="1">#REF!</definedName>
    <definedName name="_bdm.061d7b8e8e3a459a9eec29bb6f73db70.edm" hidden="1">#REF!</definedName>
    <definedName name="_bdm.06255573131343e89dd14b2a03c25c63.edm" hidden="1">#REF!</definedName>
    <definedName name="_bdm.064D8483E78C44589AC8460843013D21.edm" hidden="1">#REF!</definedName>
    <definedName name="_bdm.0692A2167B094E0AAD671C24B4EBC09C.edm" hidden="1">#REF!</definedName>
    <definedName name="_bdm.06ddb268fc504ce9be0ac7a813f8a288.edm" hidden="1">#REF!</definedName>
    <definedName name="_bdm.07142EED4E7E431D8708EF156B0051CA.edm" hidden="1">#REF!</definedName>
    <definedName name="_bdm.08334E85CCDD4C4B8F51101FF85E9569.edm" localSheetId="0" hidden="1">#REF!</definedName>
    <definedName name="_bdm.08334E85CCDD4C4B8F51101FF85E9569.edm" hidden="1">#REF!</definedName>
    <definedName name="_bdm.086072b577f44e4ea02a60b8e8c8097e.edm" hidden="1">#REF!</definedName>
    <definedName name="_bdm.0888352939AB4AA0BB50EF3CDCEE2FB3.edm" hidden="1">#REF!</definedName>
    <definedName name="_bdm.08ecc823628046bb960c84d6c4ce4a54.edm" hidden="1">#REF!</definedName>
    <definedName name="_bdm.0974B655CA254DD1A596FBE2BC7009A4.edm" hidden="1">#REF!</definedName>
    <definedName name="_bdm.09aabbe49bc74fe8b01af90dd09430cc.edm" hidden="1">#REF!</definedName>
    <definedName name="_bdm.0a5372adae1c46de80909415776c054e.edm" hidden="1">#REF!</definedName>
    <definedName name="_bdm.0a544526bd5a4d18a0b45eace5b8edc9.edm" hidden="1">#REF!</definedName>
    <definedName name="_bdm.0A58F3E129ED42FEBB1C53188FDFEB21.edm" hidden="1">#REF!</definedName>
    <definedName name="_bdm.0a65df3a90fe478d82d1eab36ab674a2.edm" hidden="1">#REF!</definedName>
    <definedName name="_bdm.0a7c6c0a2ce94eb69997e033b47a5590.edm" hidden="1">#REF!</definedName>
    <definedName name="_bdm.0ad722a1ec274da2bfc2a826bc94673b.edm" hidden="1">#REF!</definedName>
    <definedName name="_bdm.0B5E4A07F78E4E3E923312BD37FD77A2.edm" hidden="1">#REF!</definedName>
    <definedName name="_bdm.0b7d9afc0a2a405fb5da2cc1ad570120.edm" hidden="1">#REF!</definedName>
    <definedName name="_bdm.0B99B8BB3A2A4E3FB319B869F4BF2234.edm" localSheetId="0" hidden="1">#REF!</definedName>
    <definedName name="_bdm.0B99B8BB3A2A4E3FB319B869F4BF2234.edm" hidden="1">#REF!</definedName>
    <definedName name="_bdm.0BA372CDEDD0478E8A2099092484FD2E.edm" hidden="1">#REF!</definedName>
    <definedName name="_bdm.0c1f68553b6542e5b377b4d9e6c19eb6.edm" hidden="1">#REF!</definedName>
    <definedName name="_bdm.0c7d6700630d4ad2bd98c754379bbd41.edm" hidden="1">#REF!</definedName>
    <definedName name="_bdm.0dbe2a84d7344d6d9c1a2178e1a17a22.edm" hidden="1">#REF!</definedName>
    <definedName name="_bdm.0e73bd79f42c43be830caa5c541f7960.edm" hidden="1">#REF!</definedName>
    <definedName name="_bdm.0f0cca4dc5a741eb9be2932b680c109f.edm" hidden="1">#REF!</definedName>
    <definedName name="_bdm.0F784FA843AF429EAEE97BF1E3ACD956.edm" hidden="1">#REF!</definedName>
    <definedName name="_bdm.10424fb2b5074a62bdf8c8e8837cda87.edm" hidden="1">#REF!</definedName>
    <definedName name="_bdm.109dbf92e65345739268f9173d17aa75.edm" hidden="1">#REF!</definedName>
    <definedName name="_bdm.11703300aacb44c7862589fb41a106bc.edm" hidden="1">#REF!</definedName>
    <definedName name="_bdm.11fd33b3d00f4ed084ee52b91371b897.edm" hidden="1">#REF!</definedName>
    <definedName name="_bdm.12a5fc1de3fe403597576339d22590f1.edm" hidden="1">#REF!</definedName>
    <definedName name="_bdm.130127a4bd9146759457ef15cba67497.edm" hidden="1">#REF!</definedName>
    <definedName name="_bdm.136840aee7b643ed9867cd90ec94dd15.edm" hidden="1">#REF!</definedName>
    <definedName name="_bdm.13765d840ead4a4296bdc713bf882506.edm" hidden="1">#REF!</definedName>
    <definedName name="_bdm.14263D1F2D814D5EB1F95B1D6957384D.edm" hidden="1">#REF!</definedName>
    <definedName name="_bdm.14621c3757df472288bc1ffad2396f75.edm" hidden="1">#REF!</definedName>
    <definedName name="_bdm.14e15309ac4b4eb68bcd206ff8e12187.edm" hidden="1">#REF!</definedName>
    <definedName name="_bdm.14fefd31175148849c286ed44869a4d3.edm" hidden="1">#REF!</definedName>
    <definedName name="_bdm.16cde0aa40ce4b7a9eb1ce7572a64b9a.edm" hidden="1">#REF!</definedName>
    <definedName name="_bdm.1887A86B21154271B60586A0559AF85D.edm" hidden="1">#REF!</definedName>
    <definedName name="_bdm.188dc9412f84466cb67879672d118862.edm" hidden="1">#REF!</definedName>
    <definedName name="_bdm.196E2C1A7BD14EB9BA42E1F187F09491.edm" hidden="1">#REF!</definedName>
    <definedName name="_bdm.197f4fcd7d4347b3a7d2d8f745eea8a4.edm" hidden="1">#REF!</definedName>
    <definedName name="_bdm.199ffb90811543398be19ce9227b79c5.edm" hidden="1">#REF!</definedName>
    <definedName name="_bdm.1ab7daf5b13e4ec0b734bef88744f319.edm" hidden="1">#REF!</definedName>
    <definedName name="_bdm.1ba5d8070727479687047ce9ace16626.edm" hidden="1">#REF!</definedName>
    <definedName name="_bdm.1C2C139C8B244125BD00399687E32F5B.edm" hidden="1">#REF!</definedName>
    <definedName name="_bdm.1c616458c7b640f798ef3e1bb099e2a8.edm" hidden="1">#REF!</definedName>
    <definedName name="_bdm.1d0dccfa634849f28d5a24197081a672.edm" hidden="1">#REF!</definedName>
    <definedName name="_bdm.1d1648e64f884be6a5d1cbfb294ef4db.edm" hidden="1">#REF!</definedName>
    <definedName name="_bdm.1d1f93d5d47d411093676225220e1cc2.edm" hidden="1">#REF!</definedName>
    <definedName name="_bdm.1d2f4538b7344a2dac6438ef20e7e2d7.edm" hidden="1">#REF!</definedName>
    <definedName name="_bdm.1d5e9f50513f4ad3ac8a0304b3ef5043.edm" hidden="1">#REF!</definedName>
    <definedName name="_bdm.1ef702b6a24746d2931f6ee6254bf786.edm" hidden="1">#REF!</definedName>
    <definedName name="_bdm.1fcf39af16e44ffcb473600edb4b12e3.edm" hidden="1">#REF!</definedName>
    <definedName name="_bdm.204e3ce34a1342a1b6f5e8b5e2613808.edm" hidden="1">#REF!</definedName>
    <definedName name="_bdm.20642d8305964807b76d41a30d01e259.edm" hidden="1">#REF!</definedName>
    <definedName name="_bdm.206C2D94AA3711D6B64A0010A494EFA8.edm" hidden="1">#REF!</definedName>
    <definedName name="_bdm.21d0aabeb2ab40b7aeed00e1f6bf1e25.edm" hidden="1">#REF!</definedName>
    <definedName name="_bdm.221593EDEAE345AEAA6650128E6CDBAA.edm" hidden="1">#REF!</definedName>
    <definedName name="_bdm.22237f9709a940d6b833b5a834c0f31d.edm" hidden="1">#REF!</definedName>
    <definedName name="_bdm.239409890c194a8dad6f2a3e31865163.edm" hidden="1">#REF!</definedName>
    <definedName name="_bdm.2398C53567284E5E8937DD13BB789BD3.edm" hidden="1">#REF!</definedName>
    <definedName name="_bdm.23a6aaca0cea46aaa6ea6de5ce74bb44.edm" hidden="1">#REF!</definedName>
    <definedName name="_bdm.2456D01A026F4335BB32F491D594E2A8.edm" hidden="1">#REF!</definedName>
    <definedName name="_bdm.25219de9ee7845ec970d72484e6e4fdf.edm" hidden="1">#REF!</definedName>
    <definedName name="_bdm.252269E038E04C1FAE02E0F2B53793B8.edm" hidden="1">#REF!</definedName>
    <definedName name="_bdm.256E361E456B4E37A493DB9E201F146C.edm" hidden="1">#REF!</definedName>
    <definedName name="_bdm.2593860e9dae4fdbaa163d04b9867eeb.edm" hidden="1">#REF!</definedName>
    <definedName name="_bdm.25C775C25FDF4088B4390630D8186636.edm" hidden="1">#REF!</definedName>
    <definedName name="_bdm.267be7b9705b4028b5ef8deadd12891e.edm" hidden="1">#REF!</definedName>
    <definedName name="_bdm.2693b1343f6c4c5db77205e77dda2b38.edm" hidden="1">#REF!</definedName>
    <definedName name="_bdm.27c5f2fc998d4c6883b9a1faf9506490.edm" hidden="1">#REF!</definedName>
    <definedName name="_bdm.2845FAF18BAF42679755DD2E1B63B056.edm" hidden="1">#REF!</definedName>
    <definedName name="_bdm.28e1aeaba0c5439d84c3f9239aca51da.edm" hidden="1">#REF!</definedName>
    <definedName name="_bdm.28F3C3B79E43484AA41A87D12ADB61B5.edm" hidden="1">#REF!</definedName>
    <definedName name="_bdm.28fa8ff9a9fe40309ca31a1f1bcdf7b3.edm" hidden="1">#REF!</definedName>
    <definedName name="_bdm.29b49b94be044bc2ad2ecd37ec2042de.edm" hidden="1">#REF!</definedName>
    <definedName name="_bdm.29c5b26feff94fad88a5a97c2c3244a1.edm" hidden="1">#REF!</definedName>
    <definedName name="_bdm.2a3517c1de674442a0fd7784462c2fb9.edm" hidden="1">#REF!</definedName>
    <definedName name="_bdm.2A5234D8A73011D6B6510010A48BFF38.edm" hidden="1">#REF!</definedName>
    <definedName name="_bdm.2a562d1dcfd345d0abd66e411cbd0916.edm" hidden="1">#REF!</definedName>
    <definedName name="_bdm.2aa0b0be0eb64cc7a6f74a4f4b10ce5f.edm" hidden="1">#REF!</definedName>
    <definedName name="_bdm.2aac940327404669ba4cc9d5b2a29ec1.edm" hidden="1">#REF!</definedName>
    <definedName name="_bdm.2ab7c7bd19294c13bc2e37d2bfc5bc06.edm" hidden="1">#REF!</definedName>
    <definedName name="_bdm.2b12c5fc36cd4207b62c0555813e3f1c.edm" hidden="1">#REF!</definedName>
    <definedName name="_bdm.2b7ececfc09a490285bdd0b2e6babf2f.edm" hidden="1">#REF!</definedName>
    <definedName name="_bdm.2bcbe67fd0604fe7a29cd15e4a15a5d0.edm" hidden="1">#REF!</definedName>
    <definedName name="_bdm.2c61410acefb442d847aa0e703747562.edm" hidden="1">#REF!</definedName>
    <definedName name="_bdm.2cc9b463e95a48c7aab3cae06e1f18f6.edm" hidden="1">#REF!</definedName>
    <definedName name="_bdm.2d69015d222946ffad7c0bd15ff4097f.edm" hidden="1">#REF!</definedName>
    <definedName name="_bdm.2dbba1dbab2a40b89ae1784273a35596.edm" hidden="1">#REF!</definedName>
    <definedName name="_bdm.2E2244CACE1A480CBE7310B6333BC2F3.edm" hidden="1">#REF!</definedName>
    <definedName name="_bdm.2efcbab092374b69becf1906915dcd17.edm" hidden="1">#REF!</definedName>
    <definedName name="_bdm.2f8e6540128c4afab20cf6c0774987be.edm" hidden="1">#REF!</definedName>
    <definedName name="_bdm.300AD74A4CB340EC819E80CB01F466A0.edm" hidden="1">#REF!</definedName>
    <definedName name="_bdm.30461E29D0D0484190544AE31628D5ED.edm" hidden="1">#REF!</definedName>
    <definedName name="_bdm.31444acfb93f4a1589dcf021b4611f2d.edm" hidden="1">#REF!</definedName>
    <definedName name="_bdm.316c36d5be634c8fbf30aefd4005721e.edm" hidden="1">#REF!</definedName>
    <definedName name="_bdm.31CFCB5BFB664E5D9E2135C27B0AB380.edm" hidden="1">#REF!</definedName>
    <definedName name="_bdm.32990da72fc04db9afb2408d4b681ea6.edm" hidden="1">#REF!</definedName>
    <definedName name="_bdm.329FD9CDA97C40029C4A921D6224414B.edm" hidden="1">#REF!</definedName>
    <definedName name="_bdm.338bff952b4c407ab4776585b0689bda.edm" hidden="1">#REF!</definedName>
    <definedName name="_bdm.344bb1fab2c946ebb02ea80e2781b0bf.edm" hidden="1">#REF!</definedName>
    <definedName name="_bdm.34694a30d7284746b52b6fc8a8e40c8e.edm" hidden="1">#REF!</definedName>
    <definedName name="_bdm.34ca5f144ed24c11a6fc1d87db1f957e.edm" hidden="1">#REF!</definedName>
    <definedName name="_bdm.354b76dbc8884f0ba11cc29c805ae5a6.edm" hidden="1">#REF!</definedName>
    <definedName name="_bdm.3569AB305F6A401C8DFD4F4CDD6BD534.edm" hidden="1">#REF!</definedName>
    <definedName name="_bdm.3571731e04b747fe93f8e7de6805a078.edm" hidden="1">#REF!</definedName>
    <definedName name="_bdm.35D1CF7F0DF011D79523000347933D20.edm" hidden="1">#REF!</definedName>
    <definedName name="_bdm.35D1CF930DF011D79523000347933D20.edm" hidden="1">#REF!</definedName>
    <definedName name="_bdm.366aa02b86ed43f8b5c0dc016446df62.edm" hidden="1">#REF!</definedName>
    <definedName name="_bdm.366b1b5125f64ad5ae636e55c130f9aa.edm" hidden="1">#REF!</definedName>
    <definedName name="_bdm.37230dc0436447a0be3a8f28da9168c8.edm" hidden="1">#REF!</definedName>
    <definedName name="_bdm.3805246567204471A1B783B7CD5D5075.edm" hidden="1">#REF!</definedName>
    <definedName name="_bdm.381BE0337B5C404796A8EF4E5E2B959D.edm" hidden="1">#REF!</definedName>
    <definedName name="_bdm.3868F151E66042D3AA4F1C0239EDB2AF.edm" hidden="1">#REF!</definedName>
    <definedName name="_bdm.38bd4df9f5864097bed3c9781d24ebf4.edm" hidden="1">#REF!</definedName>
    <definedName name="_bdm.396ec1c45e8e416d979625efffc9ba19.edm" hidden="1">#REF!</definedName>
    <definedName name="_bdm.3a8e0446d903485293a6ac4c9b491045.edm" hidden="1">#REF!</definedName>
    <definedName name="_bdm.3aa592fbf0624e5bbe6894eb3fc22c91.edm" hidden="1">#REF!</definedName>
    <definedName name="_bdm.3BAD14737C3A49268B139C84051E6F73.edm" hidden="1">#REF!</definedName>
    <definedName name="_bdm.3c11de3019f54c45857d9547994478c0.edm" hidden="1">#REF!</definedName>
    <definedName name="_bdm.3c2bc406e3bc4e55a81751c6497a4d91.edm" hidden="1">#REF!</definedName>
    <definedName name="_bdm.3c844d21905e41a4b3728460d2559932.edm" hidden="1">#REF!</definedName>
    <definedName name="_bdm.3c8996b59bf64ff9a03d050df0b20ea4.edm" hidden="1">#REF!</definedName>
    <definedName name="_bdm.3c940a2d5fc54bb9b204abc003044d7e.edm" hidden="1">#REF!</definedName>
    <definedName name="_bdm.3ca0796cfb0045deb4b6221ea1a8b31b.edm" hidden="1">#REF!</definedName>
    <definedName name="_bdm.3ca6328b5dc94d2d90dcf8ce8dea28d1.edm" hidden="1">#REF!</definedName>
    <definedName name="_bdm.3cb5ed68db864ae3abadda615f7b1636.edm" hidden="1">#REF!</definedName>
    <definedName name="_bdm.3e1b49b8664a4d72bbda4a0c908e55df.edm" hidden="1">#REF!</definedName>
    <definedName name="_bdm.3e732764368d4c65b626ab272fe132c0.edm" hidden="1">#REF!</definedName>
    <definedName name="_bdm.3e8599e225b949f0bb034d862527fc05.edm" hidden="1">#REF!</definedName>
    <definedName name="_bdm.3e8612069da6440bacd8527797735c86.edm" hidden="1">#REF!</definedName>
    <definedName name="_bdm.3E9EEE284D9F444DB461BC61A3F38748.edm" hidden="1">#REF!</definedName>
    <definedName name="_bdm.3EAFFC344CA54A58BB1CA52F21EF1720.edm" hidden="1">#REF!</definedName>
    <definedName name="_bdm.3ec6a3dd2a6c4cf993131bb5a9aea183.edm" hidden="1">#REF!</definedName>
    <definedName name="_bdm.3f2fe46cd75543328967ca391621198d.edm" hidden="1">#REF!</definedName>
    <definedName name="_bdm.3f6ecd2d14f54a45bc92bdf2add4e1ed.edm" hidden="1">#REF!</definedName>
    <definedName name="_bdm.404bd935a08b4928b513f060a5188b5d.edm" hidden="1">#REF!</definedName>
    <definedName name="_bdm.407e42ec79364245882bf1b9c9860581.edm" hidden="1">#REF!</definedName>
    <definedName name="_bdm.41BEBC277DD34371A7F5020E3F3B2A78.edm" hidden="1">#REF!</definedName>
    <definedName name="_bdm.42f59e6acf59438083d6d0c5affdf357.edm" hidden="1">#REF!</definedName>
    <definedName name="_bdm.431B38DD2357468EBDCAA9C1C0ABBB12.edm" hidden="1">#REF!</definedName>
    <definedName name="_bdm.43f33f7f2dd14df69b7f79924146e69e.edm" hidden="1">#REF!</definedName>
    <definedName name="_bdm.445C7E77096A477EB40D35FC342E2061.edm" hidden="1">#REF!</definedName>
    <definedName name="_bdm.44969ada0c474e18a90d0a2c5c0392a3.edm" hidden="1">#REF!</definedName>
    <definedName name="_bdm.44c66315e0b64e65b6be3c29f04fe19b.edm" hidden="1">#REF!</definedName>
    <definedName name="_bdm.45a49b4b3f354bde9f54de37962c0a43.edm" hidden="1">#REF!</definedName>
    <definedName name="_bdm.460678027ECF4B768D49C86A2E583735.edm" hidden="1">#REF!</definedName>
    <definedName name="_bdm.46a4a17872124f50afafe811d8b4da57.edm" hidden="1">#REF!</definedName>
    <definedName name="_bdm.46BCF80DF01149ADABF13058A9167120.edm" hidden="1">#REF!</definedName>
    <definedName name="_bdm.473d05c86bb7478f812ec81cd29f1ed7.edm" hidden="1">#REF!</definedName>
    <definedName name="_bdm.475844AEC35A11D6B6A80010A4860669.edm" hidden="1">#REF!</definedName>
    <definedName name="_bdm.479513ed56254c0a9fb63c34841c473c.edm" hidden="1">#REF!</definedName>
    <definedName name="_bdm.479e0c70bce34c83a50b92bb9f0e825b.edm" hidden="1">#REF!</definedName>
    <definedName name="_bdm.48EB9556216D4E1E8D44CD6A50E47B74.edm" hidden="1">#REF!</definedName>
    <definedName name="_bdm.498F7B4A41BD499CBC6D2DFDB4111069.edm" hidden="1">#REF!</definedName>
    <definedName name="_bdm.49dca67f9ced4c8f9f6ff10cb55105a0.edm" hidden="1">#REF!</definedName>
    <definedName name="_bdm.49DF1360EE3F4DF29043E93F7AA7D03C.edm" hidden="1">#REF!</definedName>
    <definedName name="_bdm.4af14245870f44fe82eeaa8339b42656.edm" hidden="1">#REF!</definedName>
    <definedName name="_bdm.4B89D0250DF1463FB78C2B1E0AA9CE69.edm" hidden="1">#REF!</definedName>
    <definedName name="_bdm.4bd0c378877b43fda8367ab29d0fdb0a.edm" hidden="1">#REF!</definedName>
    <definedName name="_bdm.4ca849ba73054299864d6969e41cad6d.edm" hidden="1">#REF!</definedName>
    <definedName name="_bdm.4d42f51426cf4cbb8e4f82c53158eb96.edm" hidden="1">#REF!</definedName>
    <definedName name="_bdm.4d5fb23f04f2420d8451e62edbd1029d.edm" hidden="1">#REF!</definedName>
    <definedName name="_bdm.4d90c124e0bc467cac39827e333b4dc6.edm" hidden="1">#REF!</definedName>
    <definedName name="_bdm.4DC3AE1E0F744F5D9EF18EA21D885678.edm" hidden="1">#REF!</definedName>
    <definedName name="_bdm.4E10D5A013C243AE953ED6EF88FA673A.edm" hidden="1">#REF!</definedName>
    <definedName name="_bdm.4e116a59b89b41d7aba44a4616055e32.edm" hidden="1">#REF!</definedName>
    <definedName name="_bdm.4e7262018bd0439b9eb780f12c7a8586.edm" hidden="1">#REF!</definedName>
    <definedName name="_bdm.4e753a22a8e3462c888363dc72dd891a.edm" hidden="1">#REF!</definedName>
    <definedName name="_bdm.4eabd98816ab4a84a3419dc5ba55c2df.edm" hidden="1">#REF!</definedName>
    <definedName name="_bdm.4ebd559e19e34288836720516b2dd443.edm" hidden="1">#REF!</definedName>
    <definedName name="_bdm.4ecb2cc2e5634af4a2ae26d157969263.edm" hidden="1">#REF!</definedName>
    <definedName name="_bdm.4eff23770d98473eba6d221584609506.edm" hidden="1">#REF!</definedName>
    <definedName name="_bdm.4f22d0d520fc44168c6cfc3021b83148.edm" hidden="1">#REF!</definedName>
    <definedName name="_bdm.4F8DA5C6DD1F11D6B66B0003478FD859.edm" hidden="1">#REF!</definedName>
    <definedName name="_bdm.4FFDE305504F4B1F8ECF84FEDC1A2D69.edm" hidden="1">#REF!</definedName>
    <definedName name="_bdm.504e5dc9fe374f93a416773c805d3e47.edm" hidden="1">#REF!</definedName>
    <definedName name="_bdm.50f6eea74ea6498e9225ab83183b2e35.edm" hidden="1">#REF!</definedName>
    <definedName name="_bdm.5113fe3a3b5a46fe95198daf5014c5ef.edm" hidden="1">#REF!</definedName>
    <definedName name="_bdm.511a8cc846c14dbd93169d573d23de16.edm" hidden="1">#REF!</definedName>
    <definedName name="_bdm.519DD357BA314D7E8E7D7C6FC1C6B800.edm" hidden="1">#REF!</definedName>
    <definedName name="_bdm.51f5031a48ae44cba1075f487cace387.edm" hidden="1">#REF!</definedName>
    <definedName name="_bdm.52f8a99ae94d4fa7a035bf76e5f7fb17.edm" hidden="1">#REF!</definedName>
    <definedName name="_bdm.5381896E41114048B7525DE4CB0EDC7B.edm" hidden="1">#REF!</definedName>
    <definedName name="_bdm.5384b67221ab400f97760eece20b7b72.edm" hidden="1">#REF!</definedName>
    <definedName name="_bdm.53b6561761da48a18681e5c4c4cb55be.edm" hidden="1">#REF!</definedName>
    <definedName name="_bdm.54e181c9478a44199f52a087f3f807c0.edm" hidden="1">#REF!</definedName>
    <definedName name="_bdm.55247c758a0e4471bf9e901019ad142f.edm" hidden="1">#REF!</definedName>
    <definedName name="_bdm.554B8120164C43C088277432CED6E12C.edm" hidden="1">#REF!</definedName>
    <definedName name="_bdm.557036F10FC0429F97737B67593FE437.edm" hidden="1">#REF!</definedName>
    <definedName name="_bdm.557fe4c0168e4234883830810c1aa483.edm" hidden="1">#REF!</definedName>
    <definedName name="_bdm.55c2b90d32e24f6fba71779b44f6a5fe.edm" hidden="1">#REF!</definedName>
    <definedName name="_bdm.55f72af66bd049aa9683499961e32724.edm" hidden="1">#REF!</definedName>
    <definedName name="_bdm.5679979EBAB048F4935CA60321368EB4.edm" hidden="1">#REF!</definedName>
    <definedName name="_bdm.56bbb17229104a2f9b56a5192a3e2005.edm" hidden="1">#REF!</definedName>
    <definedName name="_bdm.57b1a56ae3744f448068c0691a465fb1.edm" hidden="1">#REF!</definedName>
    <definedName name="_bdm.58769CB26C964392BA46C66DF0BC251C.edm" hidden="1">#REF!</definedName>
    <definedName name="_bdm.58ebc224a39541849c91a066d0869e2a.edm" hidden="1">#REF!</definedName>
    <definedName name="_bdm.5957fb2e9d57431398c2aabc117bbfc9.edm" hidden="1">#REF!</definedName>
    <definedName name="_bdm.595F75BFE495484EA171B53891AF23FE.edm" hidden="1">#REF!</definedName>
    <definedName name="_bdm.59B37D1DCF0E4B3AB770B653F9408AB7.edm" hidden="1">#REF!</definedName>
    <definedName name="_bdm.59c399fd202a434ba60eb99a576e3838.edm" hidden="1">#REF!</definedName>
    <definedName name="_bdm.5AF8C68B1B4D4725A2EF100AD746D415.edm" hidden="1">#REF!</definedName>
    <definedName name="_bdm.5b8cbd408fde46bd8047741f7e9135d4.edm" hidden="1">#REF!</definedName>
    <definedName name="_bdm.5B937C38BA2D49598714A758F162A799.edm" hidden="1">#REF!</definedName>
    <definedName name="_bdm.5b9ad810f84742dca9ba5c198f4370ea.edm" hidden="1">#REF!</definedName>
    <definedName name="_bdm.5B9E67A156824CBAAC05667F7D1D6B59.edm" hidden="1">#REF!</definedName>
    <definedName name="_bdm.5BE5135FC3F7468E8FB21CFA889F22DF.edm" hidden="1">#REF!</definedName>
    <definedName name="_bdm.5c6b18a96ace46db9a6be0795dc2a5b8.edm" hidden="1">#REF!</definedName>
    <definedName name="_bdm.5C6D0D9D93BD4742A18A5B8A51E9F99E.edm" hidden="1">#REF!</definedName>
    <definedName name="_bdm.5cfc864a9f6248aab51bf102a772aa18.edm" hidden="1">#REF!</definedName>
    <definedName name="_bdm.5d99456dab714091b5d86d8b4dd4dccd.edm" hidden="1">#REF!</definedName>
    <definedName name="_bdm.5db37053efc84803ac304d9929d201e0.edm" hidden="1">#REF!</definedName>
    <definedName name="_bdm.5e0f879f84a94e12b013f5315256db55.edm" hidden="1">#REF!</definedName>
    <definedName name="_bdm.5e0fcda6cfad452298cdad1fd175e657.edm" hidden="1">#REF!</definedName>
    <definedName name="_bdm.5e5ac7d188154e31be4f52f0f054580d.edm" hidden="1">#REF!</definedName>
    <definedName name="_bdm.5e81106995724c0a84f03b5da1b860da.edm" hidden="1">#REF!</definedName>
    <definedName name="_bdm.5e8c9452f7bd405bab439405d9627c86.edm" hidden="1">#REF!</definedName>
    <definedName name="_bdm.5eac5e67489c4f94856cf6b66bae2f29.edm" hidden="1">#REF!</definedName>
    <definedName name="_bdm.5efbb2194cc54778a078897d61fabb3a.edm" hidden="1">#REF!</definedName>
    <definedName name="_bdm.5F9E4004D9B5451E87F04E3FB01370EA.edm" hidden="1">#REF!</definedName>
    <definedName name="_bdm.5ffa036024ff45cf8235bbdbe94aa32a.edm" hidden="1">#REF!</definedName>
    <definedName name="_bdm.60c6ceeb3ba94203acd8ef0bbd07b2c8.edm" hidden="1">#REF!</definedName>
    <definedName name="_bdm.610c8676bf754c65b7366be1e9d4d587.edm" hidden="1">#REF!</definedName>
    <definedName name="_bdm.610fe22427d34fa7bdd0dda49ca1a34d.edm" hidden="1">#REF!</definedName>
    <definedName name="_bdm.612F7A808AB911D6A4210008021EFA83.edm" hidden="1">#REF!</definedName>
    <definedName name="_bdm.61cf33d41cd74c8a96a6ec939ed63d61.edm" hidden="1">#REF!</definedName>
    <definedName name="_bdm.61fbb1dcd7644781b1157a022ef9a5ab.edm" hidden="1">#REF!</definedName>
    <definedName name="_bdm.628a8efccd064fd491f02a35672df76f.edm" hidden="1">#REF!</definedName>
    <definedName name="_bdm.62c683dab4c94557a47f98745c6e6d05.edm" hidden="1">#REF!</definedName>
    <definedName name="_bdm.62f748e7ab6a48beaf64d5b92917d18d.edm" hidden="1">#REF!</definedName>
    <definedName name="_bdm.635BC897BE9843D6A2C05F29B3D114D3.edm" hidden="1">#REF!</definedName>
    <definedName name="_bdm.64abc568faea4a57b1e900a9692fcc92.edm" hidden="1">#REF!</definedName>
    <definedName name="_bdm.65009D41AC464D67A2DE633B0AB94B94.edm" hidden="1">#REF!</definedName>
    <definedName name="_bdm.6514C4FD62A5401496068415D960D3E9.edm" hidden="1">#REF!</definedName>
    <definedName name="_bdm.657d984d6c15480ebc461356141d384c.edm" hidden="1">#REF!</definedName>
    <definedName name="_bdm.65CF035982894DB5AED042DF6DAF0737.edm" hidden="1">#REF!</definedName>
    <definedName name="_bdm.65E32F5BBDEB40758A3E075FDDCFB523.edm" hidden="1">#REF!</definedName>
    <definedName name="_bdm.6629cf7d805d4c7383633ac0ae56884a.edm" hidden="1">#REF!</definedName>
    <definedName name="_bdm.66517acfa0f544c995553f2150cf1fa8.edm" hidden="1">#REF!</definedName>
    <definedName name="_bdm.66D86879FB9448AEB4CA68CB5CD24289.edm" hidden="1">#REF!</definedName>
    <definedName name="_bdm.677213ae25d14f2e90fb76bb4e146d02.edm" hidden="1">#REF!</definedName>
    <definedName name="_bdm.682053a642f849a898e804e11b3f1531.edm" hidden="1">#REF!</definedName>
    <definedName name="_bdm.688d4846f47e414dae94af13f95a4976.edm" hidden="1">#REF!</definedName>
    <definedName name="_bdm.68AA62ACFF3D49D8835CF11F30575D53.edm" hidden="1">#REF!</definedName>
    <definedName name="_bdm.68C435DB24F84B84B83AC0D22D9C7D5F.edm" hidden="1">#REF!</definedName>
    <definedName name="_bdm.68C63F4515314BF89862B5A20C1BD7F8.edm" hidden="1">#REF!</definedName>
    <definedName name="_bdm.68d83be5f1494fc1bf59b4e07b390c90.edm" hidden="1">#REF!</definedName>
    <definedName name="_bdm.692afa9a846e40e3a3fb2cbb272e7b91.edm" hidden="1">#REF!</definedName>
    <definedName name="_bdm.69456a1f724e49d6a340a37ec6bf8d56.edm" hidden="1">#REF!</definedName>
    <definedName name="_bdm.6A1D11DB88494F17874E73860AA2D16D.edm" hidden="1">#REF!</definedName>
    <definedName name="_bdm.6a229a0f4c834af4a09b9a62aec4dc48.edm" hidden="1">#REF!</definedName>
    <definedName name="_bdm.6a4591ab6177433f836cc6fe88b61dad.edm" hidden="1">#REF!</definedName>
    <definedName name="_bdm.6A8C119F701A4A8CAD625ED02695BD6E.edm" hidden="1">#REF!</definedName>
    <definedName name="_bdm.6A9B69A03F8F45B6B453BC339D6A7589.edm" hidden="1">#REF!</definedName>
    <definedName name="_bdm.6AB3DBB241904531ADEFC4708EB812AE.edm" hidden="1">#REF!</definedName>
    <definedName name="_bdm.6b085c72762d46aabb30f289d07e48ac.edm" hidden="1">#REF!</definedName>
    <definedName name="_bdm.6b28fe9a55fe4f70b91b03fcabe92bd6.edm" hidden="1">#REF!</definedName>
    <definedName name="_bdm.6b6e540c2c604dc89cdbd0131c1586a7.edm" hidden="1">#REF!</definedName>
    <definedName name="_bdm.6b9164544b0f42dcb23cc07857ca5f68.edm" hidden="1">#REF!</definedName>
    <definedName name="_bdm.6bf87b263927416f8350d5e9f05e31a5.edm" hidden="1">#REF!</definedName>
    <definedName name="_bdm.6c36481b60d64ec6ae9e6a7fc4cecaac.edm" hidden="1">#REF!</definedName>
    <definedName name="_bdm.6c50388209724d37bf2956991722a1ef.edm" hidden="1">#REF!</definedName>
    <definedName name="_bdm.6ccd4a18d4c84949be9dc65f7ca723be.edm" hidden="1">#REF!</definedName>
    <definedName name="_bdm.6d83bf7a43d94b9f9e1ccac42023d395.edm" hidden="1">#REF!</definedName>
    <definedName name="_bdm.6d915794ceb9439c9a73c308b38272f9.edm" hidden="1">#REF!</definedName>
    <definedName name="_bdm.6dd0492037b54e46aca194a663c9a785.edm" hidden="1">#REF!</definedName>
    <definedName name="_bdm.6ec4669053b445b4b12a64a27b5c83aa.edm" hidden="1">#REF!</definedName>
    <definedName name="_bdm.6FCD09CD59D64FAA92D79C3DEF8AF181.edm" hidden="1">#REF!</definedName>
    <definedName name="_bdm.700008a01b244a1f8a1c925a9033d0ea.edm" hidden="1">#REF!</definedName>
    <definedName name="_bdm.7035a830af274c2984b0175074072233.edm" hidden="1">#REF!</definedName>
    <definedName name="_bdm.712e51c47433400e83a38c2befeb063c.edm" hidden="1">#REF!</definedName>
    <definedName name="_bdm.71c3830e138d4577a52a23cf25381eb9.edm" hidden="1">#REF!</definedName>
    <definedName name="_bdm.7208d5ab50794264aad62047355b500c.edm" hidden="1">#REF!</definedName>
    <definedName name="_bdm.7254BE7213144FEAA87CE8983E056C68.edm" hidden="1">#REF!</definedName>
    <definedName name="_bdm.726808AF6ACB495FA1B21036DFA75F1F.edm" hidden="1">#REF!</definedName>
    <definedName name="_bdm.727060a0802645d99edbe7bc805b1bb3.edm" hidden="1">#REF!</definedName>
    <definedName name="_bdm.72C49928F65646DD876941C34661FB16.edm" hidden="1">#REF!</definedName>
    <definedName name="_bdm.72f35065389c4dd4bdd96e365ddb1c70.edm" hidden="1">#REF!</definedName>
    <definedName name="_bdm.73683c4143a1460187cfb753bdc0723e.edm" hidden="1">#REF!</definedName>
    <definedName name="_bdm.748b399c478942b69ecb4fead07d9923.edm" hidden="1">#REF!</definedName>
    <definedName name="_bdm.760098319ba240199ef541f353ccffa0.edm" hidden="1">#REF!</definedName>
    <definedName name="_bdm.7689f45b546746d7a00bd50cac7c170d.edm" hidden="1">#REF!</definedName>
    <definedName name="_bdm.7737a4526f974b1885c9fa86bb00e559.edm" hidden="1">#REF!</definedName>
    <definedName name="_bdm.77CA350A03D2489DBB902CDB2CC7E9F3.edm" hidden="1">#REF!</definedName>
    <definedName name="_bdm.77ce04cce5344a06ae5efc17cd6e9572.edm" hidden="1">#REF!</definedName>
    <definedName name="_bdm.78810DE0F6884B7995E3E512A0F72ADF.edm" hidden="1">#REF!</definedName>
    <definedName name="_bdm.78B77DCD689A43EC883A79537C2E8408.edm" hidden="1">#REF!</definedName>
    <definedName name="_bdm.791CA907065649FFB311D5146A03BCCC.edm" hidden="1">#REF!</definedName>
    <definedName name="_bdm.793612A5EFA442458EE06E140B5905F8.edm" hidden="1">#REF!</definedName>
    <definedName name="_bdm.7995605FD85D4F11815D8B2B1D6CED28.edm" hidden="1">#REF!</definedName>
    <definedName name="_bdm.79a430b43a3b481aba10636e2c18b569.edm" hidden="1">#REF!</definedName>
    <definedName name="_bdm.7a655859440b49cfb1675f89ded9e981.edm" hidden="1">#REF!</definedName>
    <definedName name="_bdm.7a934fb085ff49c8bfe6324715334045.edm" hidden="1">#REF!</definedName>
    <definedName name="_bdm.7adf93bae5be49cdadaaade360109153.edm" hidden="1">#REF!</definedName>
    <definedName name="_bdm.7ae9a8d6e54f4e8ca9dc1af122ee150b.edm" hidden="1">#REF!</definedName>
    <definedName name="_bdm.7b05faf2902e4ec8a9e3dcb7dd7ca305.edm" hidden="1">#REF!</definedName>
    <definedName name="_bdm.7B208DCE929F48EDB5B1AB94252FF044.edm" hidden="1">#REF!</definedName>
    <definedName name="_bdm.7B6DC272DBD04EEF953C462C10541B02.edm" hidden="1">#REF!</definedName>
    <definedName name="_bdm.7bdd44edc2964471a490a052e206b1fa.edm" hidden="1">#REF!</definedName>
    <definedName name="_bdm.7C94300BA80D11D6B6520010A48BFF38.edm" hidden="1">#REF!</definedName>
    <definedName name="_bdm.7cd21eb9d563497cb6977ce776306e1d.edm" hidden="1">#REF!</definedName>
    <definedName name="_bdm.7d9788a499b94b33bdd893f52d95c3de.edm" hidden="1">#REF!</definedName>
    <definedName name="_bdm.7e095d1ff2114c6ab754417941f9d36a.edm" hidden="1">#REF!</definedName>
    <definedName name="_bdm.7E20471D51894AC584BFA8FC81B47A18.edm" hidden="1">#REF!</definedName>
    <definedName name="_bdm.7e27978c6d0241a6ae14943cc15e09db.edm" hidden="1">#REF!</definedName>
    <definedName name="_bdm.7e2799ac31c64b279bf7630d82d449da.edm" hidden="1">#REF!</definedName>
    <definedName name="_bdm.7e70e4ee85cd47009e6002203c1afc85.edm" hidden="1">#REF!</definedName>
    <definedName name="_bdm.7e7ec30befa742389651755c65875ceb.edm" hidden="1">#REF!</definedName>
    <definedName name="_bdm.7eb953bb39294550ae7be9c85aa0b549.edm" hidden="1">#REF!</definedName>
    <definedName name="_bdm.7f858e644a0f4e3696ff49ff622c2aaf.edm" hidden="1">#REF!</definedName>
    <definedName name="_bdm.7fa6b7c20bfa4f7ea9a1d4eafed68d97.edm" hidden="1">#REF!</definedName>
    <definedName name="_bdm.7ff0b91a053843cd9d75041a3e872f87.edm" hidden="1">#REF!</definedName>
    <definedName name="_bdm.803667C105C14884B5A6CB9298713468.edm" hidden="1">#REF!</definedName>
    <definedName name="_bdm.811d257e2eb248109aa1d85a00ef1c4f.edm" hidden="1">#REF!</definedName>
    <definedName name="_bdm.81bd91b259cc4b62abbcf627f5c80c6c.edm" hidden="1">#REF!</definedName>
    <definedName name="_bdm.81c6d451bf9c45ca8c6542ca9cd9fb33.edm" hidden="1">#REF!</definedName>
    <definedName name="_bdm.81f2fd805dcd49ff8396b95345fe9e9e.edm" hidden="1">#REF!</definedName>
    <definedName name="_bdm.8245B3DB8CDA4846A21E690857AB1D3D.edm" hidden="1">#REF!</definedName>
    <definedName name="_bdm.825d84b23ced460d89f4ac40ab3d014a.edm" hidden="1">#REF!</definedName>
    <definedName name="_bdm.82877685ea744cadad11ed1d81cfe6e3.edm" hidden="1">#REF!</definedName>
    <definedName name="_bdm.82B993EA5AFC46D593345641DEEED098.edm" hidden="1">#REF!</definedName>
    <definedName name="_bdm.82df1a5e5feb4d6587ae6ebd0d97b4d8.edm" hidden="1">#REF!</definedName>
    <definedName name="_bdm.82f051254c384239a4ecc10de2c40695.edm" hidden="1">#REF!</definedName>
    <definedName name="_bdm.8301c59daeb74eea80e0dc23de09251f.edm" hidden="1">#REF!</definedName>
    <definedName name="_bdm.840a76b050fd4eb7af6e7a826cacfd79.edm" hidden="1">#REF!</definedName>
    <definedName name="_bdm.845e7f7828044a6a97dbba37615b3652.edm" hidden="1">#REF!</definedName>
    <definedName name="_bdm.84af9bf2584f444a9bb1632bbb20d690.edm" hidden="1">#REF!</definedName>
    <definedName name="_bdm.856b4807a63347e7a4908b5b0d0cac8e.edm" hidden="1">#REF!</definedName>
    <definedName name="_bdm.858D8BC26DF340BBB32BBB10EBE76A43.edm" hidden="1">#REF!</definedName>
    <definedName name="_bdm.85F2EA7281C2447D9A2537B2DB491242.edm" hidden="1">#REF!</definedName>
    <definedName name="_bdm.863ddbba18d640c88e554e8de51b14f8.edm" hidden="1">#REF!</definedName>
    <definedName name="_bdm.867ed0351e2e42678266018597e899b0.edm" hidden="1">#REF!</definedName>
    <definedName name="_bdm.8698A8ADEE7F4B6089B0B15C74D0B353.edm" hidden="1">#REF!</definedName>
    <definedName name="_bdm.86ad071d98d342cca6da629bc86c0721.edm" hidden="1">#REF!</definedName>
    <definedName name="_bdm.8742ec322cc741bd934190c3914d9bec.edm" hidden="1">#REF!</definedName>
    <definedName name="_bdm.874456d8ad4641be82ae01a82a1e92d7.edm" hidden="1">#REF!</definedName>
    <definedName name="_bdm.8755f33c02d54ea08b6abba6b4caba47.edm" hidden="1">#REF!</definedName>
    <definedName name="_bdm.87ba1d9b4ddf431a90fa22e95fd102e2.edm" hidden="1">#REF!</definedName>
    <definedName name="_bdm.889120ef98a54d7a9cff94ed929d7a88.edm" hidden="1">#REF!</definedName>
    <definedName name="_bdm.8897814CE0AD425EAEF5A18461B21AD2.edm" hidden="1">#REF!</definedName>
    <definedName name="_bdm.88b22db2fee14a72ba194f380cae3eab.edm" hidden="1">#REF!</definedName>
    <definedName name="_bdm.894f0e0900bb41d7add78af51f947f76.edm" hidden="1">#REF!</definedName>
    <definedName name="_bdm.898e40c1bced4a4989c6e9e90a7182fd.edm" hidden="1">#REF!</definedName>
    <definedName name="_bdm.89AA0A8F07CA465CAD636DC05FF176DF.edm" hidden="1">#REF!</definedName>
    <definedName name="_bdm.89e77c70b8a64cbba92a1a5d3f81e13e.edm" hidden="1">#REF!</definedName>
    <definedName name="_bdm.8a8b00531a894728b190881c86bc547c.edm" hidden="1">#REF!</definedName>
    <definedName name="_bdm.8ab4327d33a343eda72c6e0abded120e.edm" hidden="1">#REF!</definedName>
    <definedName name="_bdm.8b5514b7804c4fb5afb171f2e8c57588.edm" hidden="1">#REF!</definedName>
    <definedName name="_bdm.8B6E3AF7AF634F529B61B79C75327979.edm" hidden="1">#REF!</definedName>
    <definedName name="_bdm.8c74fcdabf3442e3a0885e6ef3c647bb.edm" hidden="1">#REF!</definedName>
    <definedName name="_bdm.8dfccd25f38a4d2180c81f6d6abd7fe4.edm" hidden="1">#REF!</definedName>
    <definedName name="_bdm.8e3caedccad44180a67ea9ab5816aeaf.edm" hidden="1">#REF!</definedName>
    <definedName name="_bdm.8f3e4873b9cf4516967af43c42401dd7.edm" hidden="1">#REF!</definedName>
    <definedName name="_bdm.8fd5d776675443c69ae8484428738710.edm" hidden="1">#REF!</definedName>
    <definedName name="_bdm.9040A61E5A37436688216A5760F26DE6.edm" hidden="1">#REF!</definedName>
    <definedName name="_bdm.905C455BB1454FA4A4F660E3F11A7018.edm" hidden="1">#REF!</definedName>
    <definedName name="_bdm.90AB1F08A6194446A91A1111026A7DE6.edm" hidden="1">#REF!</definedName>
    <definedName name="_bdm.9103a96692d44e06bcfedd5fa59db5b4.edm" hidden="1">#REF!</definedName>
    <definedName name="_bdm.91754ea99c4b4597905f6fbecce4e93b.edm" hidden="1">#REF!</definedName>
    <definedName name="_bdm.91f49c2308be49f7829dd4b7b5af11fa.edm" hidden="1">#REF!</definedName>
    <definedName name="_bdm.92c21e7eb3cf404e9ce85aa491f0afc3.edm" hidden="1">#REF!</definedName>
    <definedName name="_bdm.92c6c5637222438a8c141827bb0fbdfe.edm" hidden="1">#REF!</definedName>
    <definedName name="_bdm.93752c106a364c6ebb9d91ecd54720e6.edm" hidden="1">#REF!</definedName>
    <definedName name="_bdm.949AC43A5B9F4C5494B834A5DA1A089E.edm" hidden="1">#REF!</definedName>
    <definedName name="_bdm.94ba7e4866834e5bbf53ccfc9cc16beb.edm" hidden="1">#REF!</definedName>
    <definedName name="_bdm.95297e170daa463d833943603ef783c9.edm" hidden="1">#REF!</definedName>
    <definedName name="_bdm.9581F13EAB284598A7ADE6109BE55718.edm" hidden="1">#REF!</definedName>
    <definedName name="_bdm.96a404a5b808401a96c8bbc8a6b86949.edm" hidden="1">#REF!</definedName>
    <definedName name="_bdm.96a9fa6274204626b14bf2d310743d5b.edm" hidden="1">#REF!</definedName>
    <definedName name="_bdm.97ac331bcf5f45d093f05f911c9620a6.edm" hidden="1">#REF!</definedName>
    <definedName name="_bdm.97c4824bc1c74a99b9c8d51f3732fe26.edm" hidden="1">#REF!</definedName>
    <definedName name="_bdm.97f96a966a7d448fb8cbf8b22d8fdd46.edm" hidden="1">#REF!</definedName>
    <definedName name="_bdm.9831eeefef6c4eb0815225e750553b75.edm" hidden="1">#REF!</definedName>
    <definedName name="_bdm.983AC8FF6A984882AED2CBB174642E2F.edm" hidden="1">#REF!</definedName>
    <definedName name="_bdm.98509675FE304640BD0099E41768A4DB.edm" hidden="1">#REF!</definedName>
    <definedName name="_bdm.9892737904f54bdaa3ca99c1da832cc2.edm" hidden="1">#REF!</definedName>
    <definedName name="_bdm.98A6FF5E6E104127A4B3CE93863956AF.edm" hidden="1">#REF!</definedName>
    <definedName name="_bdm.98C8D16F17694E9CA267C43255BC7F46.edm" hidden="1">#REF!</definedName>
    <definedName name="_bdm.98DED3A8F29F445E95EA0E7A3ACA611E.edm" hidden="1">#REF!</definedName>
    <definedName name="_bdm.995c2b1ef1ce4bb9a49ed193434a7af7.edm" hidden="1">#REF!</definedName>
    <definedName name="_bdm.99777EF98169468AA414DE21427B4C6D.edm" hidden="1">#REF!</definedName>
    <definedName name="_bdm.997ed286fd9e4c1181fa6211ff8f956c.edm" hidden="1">#REF!</definedName>
    <definedName name="_bdm.999570f3c9504b9f8c697edb23b9a068.edm" hidden="1">#REF!</definedName>
    <definedName name="_bdm.99B6C72028DF47CD9161A6B2DD0174A2.edm" hidden="1">#REF!</definedName>
    <definedName name="_bdm.99e0714fe39a4d4f885151b558745ee8.edm" hidden="1">#REF!</definedName>
    <definedName name="_bdm.99febe87db8141d58023d020ab9092aa.edm" hidden="1">#REF!</definedName>
    <definedName name="_bdm.9a369e4152444fb19845dc8dab77a412.edm" hidden="1">#REF!</definedName>
    <definedName name="_bdm.9b2cb906fbfc46638c82b2bbbb5d10b4.edm" hidden="1">#REF!</definedName>
    <definedName name="_bdm.9B4EC9EAFB954138BBD1EE29AF96B76D.edm" hidden="1">#REF!</definedName>
    <definedName name="_bdm.9b65312dbf794ee485ad91e764010fbf.edm" hidden="1">#REF!</definedName>
    <definedName name="_bdm.9BD85BE35A434F93ACBFA7318CEED8B0.edm" hidden="1">#REF!</definedName>
    <definedName name="_bdm.9be779e2624543a380565660f7679ee4.edm" hidden="1">#REF!</definedName>
    <definedName name="_bdm.9d6246da62604bbdb1fea05c5e7382a0.edm" hidden="1">#REF!</definedName>
    <definedName name="_bdm.9d84986e7a4e4630a443f36032a87247.edm" hidden="1">#REF!</definedName>
    <definedName name="_bdm.9dd67777c73f45cbb3c959537b85bba7.edm" hidden="1">#REF!</definedName>
    <definedName name="_bdm.9E0760F8A7424AE6873A9368FD1032EE.edm" hidden="1">#REF!</definedName>
    <definedName name="_bdm.9ea304904c18443594430482a338cecc.edm" hidden="1">#REF!</definedName>
    <definedName name="_bdm.9ECB63A12E9F4B9C88C18E0F4ACCFD11.edm" hidden="1">#REF!</definedName>
    <definedName name="_bdm.9ed4ca59d218462880360f57237e0573.edm" hidden="1">#REF!</definedName>
    <definedName name="_bdm.9edcaafc57e146b18c0286c511112879.edm" hidden="1">#REF!</definedName>
    <definedName name="_bdm.9f49064f635a4ba69854a192d7b5743d.edm" hidden="1">#REF!</definedName>
    <definedName name="_bdm.9fcdd7e403f74f7c9f7968b97bfe3d16.edm" hidden="1">#REF!</definedName>
    <definedName name="_bdm.9FF0FF5DE647474E90E481A7EE47F0C7.edm" hidden="1">#REF!</definedName>
    <definedName name="_bdm.a0ab951a63ec4851b494ccc1f0b25098.edm" hidden="1">#REF!</definedName>
    <definedName name="_bdm.A0C8DF17FDD145BFB351A3D979C03FCA.edm" hidden="1">#REF!</definedName>
    <definedName name="_bdm.A1795F28623844B8981FE6AC68BE6CFA.edm" hidden="1">#REF!</definedName>
    <definedName name="_bdm.a19cc9295e4e4c53a45ac0982790e2bd.edm" hidden="1">#REF!</definedName>
    <definedName name="_bdm.A1D4E8AC198E46FF88A744C78B643C0D.edm" hidden="1">#REF!</definedName>
    <definedName name="_bdm.a23376c8b35e4a7bbc165632de7caa28.edm" hidden="1">#REF!</definedName>
    <definedName name="_bdm.a23fe7c854ac46cca10a996dc041786e.edm" hidden="1">#REF!</definedName>
    <definedName name="_bdm.a2a94c93e5984de39a69f0148d8441eb.edm" hidden="1">#REF!</definedName>
    <definedName name="_bdm.a2e7ea40b13a4520a629a0afdbbd9b51.edm" hidden="1">#REF!</definedName>
    <definedName name="_bdm.a32a1807e4094f53aa53998e2e28e8c0.edm" hidden="1">#REF!</definedName>
    <definedName name="_bdm.a33c495051e14ef0b64a657695713904.edm" hidden="1">#REF!</definedName>
    <definedName name="_bdm.a3f169ca95c84083af06a33e91e4f47e.edm" hidden="1">#REF!</definedName>
    <definedName name="_bdm.A5079CC3AD6E11D6B69B0010A4860669.edm" hidden="1">#REF!</definedName>
    <definedName name="_bdm.A567F157D76348E0960DC6C9FA52EE6C.edm" hidden="1">#REF!</definedName>
    <definedName name="_bdm.a5f5bec9b97744469b297c19187ca1e1.edm" hidden="1">#REF!</definedName>
    <definedName name="_bdm.a7398376ed6b46028953c6efbfbcc515.edm" hidden="1">#REF!</definedName>
    <definedName name="_bdm.A7F4166A43674F518B3E400FAC3B7476.edm" hidden="1">#REF!</definedName>
    <definedName name="_bdm.a892043838eb4c24b4e45413b6369cb9.edm" hidden="1">#REF!</definedName>
    <definedName name="_bdm.a8ae49024dcb44c8bc5102f727f0f3a6.edm" hidden="1">#REF!</definedName>
    <definedName name="_bdm.A8BF5B5471E144E6BB8A557EFC594795.edm" hidden="1">#REF!</definedName>
    <definedName name="_bdm.A8DE9B6D42E04F2FA6729E9BCF9B58A2.edm" hidden="1">#REF!</definedName>
    <definedName name="_bdm.A9433F36D27E42998843D0702B3398CD.edm" hidden="1">#REF!</definedName>
    <definedName name="_bdm.a9c6b9a027cb46b38fc461effdb438ec.edm" hidden="1">#REF!</definedName>
    <definedName name="_bdm.a9f4db23d92142a5be4d21f0349027d8.edm" hidden="1">#REF!</definedName>
    <definedName name="_bdm.aa2379b6d4c94fb6a1d1438a267a6682.edm" hidden="1">#REF!</definedName>
    <definedName name="_bdm.AB1AF5A74F514C75939D832DAB3F792C.edm" hidden="1">#REF!</definedName>
    <definedName name="_bdm.AB44070EABF243E094848185BA8235E9.edm" hidden="1">#REF!</definedName>
    <definedName name="_bdm.AB80A4172D374F7FB525A0CFF930EAEC.edm" hidden="1">#REF!</definedName>
    <definedName name="_bdm.abeae8478594454d9422cbecd54f836e.edm" hidden="1">#REF!</definedName>
    <definedName name="_bdm.abfe431db95447fd9408aeb347572def.edm" hidden="1">#REF!</definedName>
    <definedName name="_bdm.AC4A766985A94D129C1B448F12485EF0.edm" hidden="1">#REF!</definedName>
    <definedName name="_bdm.ad6bffe5ee534b91af81c209eba1b4e2.edm" hidden="1">#REF!</definedName>
    <definedName name="_bdm.AE44D4798ACB11D6A4210008021EFA83.edm" hidden="1">#REF!</definedName>
    <definedName name="_bdm.ae64189cf81b4f99ba36e3b934e2008f.edm" hidden="1">#REF!</definedName>
    <definedName name="_bdm.aeadad334d264fe58794f4c2725b47e5.edm" hidden="1">#REF!</definedName>
    <definedName name="_bdm.af1190f1f4e74f9298af2cd7e70e39dd.edm" hidden="1">#REF!</definedName>
    <definedName name="_bdm.af85fbbe8a6142e0a596abc24b736fdb.edm" hidden="1">#REF!</definedName>
    <definedName name="_bdm.af960c2ffce14ab2bed8eefe941d547c.edm" hidden="1">#REF!</definedName>
    <definedName name="_bdm.AFB047400EBF44C3A4D15A6F8C600B3E.edm" hidden="1">#REF!</definedName>
    <definedName name="_bdm.AFCC7BAE2F2A11D7953D000347933D20.edm" hidden="1">#REF!</definedName>
    <definedName name="_bdm.afdd504c63b24c808d5a6c0e8ce258a9.edm" hidden="1">#REF!</definedName>
    <definedName name="_bdm.B055B699EA3543F4A9C33332DD7830EF.edm" hidden="1">#REF!</definedName>
    <definedName name="_bdm.b097d37792514462a4896c3c7fe034fa.edm" hidden="1">#REF!</definedName>
    <definedName name="_bdm.b149834c815d499f876f695c2dfd10c0.edm" hidden="1">#REF!</definedName>
    <definedName name="_bdm.B1AD4EB4D1A111D6B64B000347936418.edm" hidden="1">#REF!</definedName>
    <definedName name="_bdm.b1b72b510e1e45578f22d232f1ba9ee3.edm" hidden="1">#REF!</definedName>
    <definedName name="_bdm.B1C94F3BF0F94015B5906E59DE1C108F.edm" hidden="1">#REF!</definedName>
    <definedName name="_bdm.b1d7eacd9f914111994d5a53394d3beb.edm" hidden="1">#REF!</definedName>
    <definedName name="_bdm.b1e47e2efedd4347948caba372ae1c3a.edm" hidden="1">#REF!</definedName>
    <definedName name="_bdm.b24ed4408c5a463999a513a787f7d7d8.edm" hidden="1">#REF!</definedName>
    <definedName name="_bdm.B262CBBD9FFD11D6B65900034792F924.edm" hidden="1">#REF!</definedName>
    <definedName name="_bdm.b2e9c25f647146d0852d22935ca15f64.edm" hidden="1">#REF!</definedName>
    <definedName name="_bdm.B3132235A08747249FDD5FC42FA2AF2D.edm" hidden="1">#REF!</definedName>
    <definedName name="_bdm.b398ebca0d9c48a8a09d931c4cd4da7e.edm" hidden="1">#REF!</definedName>
    <definedName name="_bdm.b3f34deee0ee48d2b24c18073524e602.edm" hidden="1">#REF!</definedName>
    <definedName name="_bdm.B4344AF7774F4BFAADD22D3A26F88C11.edm" hidden="1">#REF!</definedName>
    <definedName name="_bdm.b4730fae0532429a800da28c8082fb4a.edm" hidden="1">#REF!</definedName>
    <definedName name="_bdm.b4852040ccfc415e867e453e4b417e89.edm" hidden="1">#REF!</definedName>
    <definedName name="_bdm.b4e26bdce9c8492d924584d37e0616c9.edm" hidden="1">#REF!</definedName>
    <definedName name="_bdm.b510bdef48c849c693579624c499ada3.edm" hidden="1">#REF!</definedName>
    <definedName name="_bdm.b53842985b144df3b2af9ed7d2b2f460.edm" hidden="1">#REF!</definedName>
    <definedName name="_bdm.b56b861d022f43ecb7fd052c9706832f.edm" hidden="1">#REF!</definedName>
    <definedName name="_bdm.b5f70db2b50a41628c2af451532076ee.edm" hidden="1">#REF!</definedName>
    <definedName name="_bdm.b61c56a7e55942f39496225c06ba564a.edm" hidden="1">#REF!</definedName>
    <definedName name="_bdm.B694A8498176486BA436F872026AE92F.edm" hidden="1">#REF!</definedName>
    <definedName name="_bdm.b6da27679faf40589708a0357d19ab73.edm" hidden="1">#REF!</definedName>
    <definedName name="_bdm.b776df9d9db84dd193f378f32fa45b6c.edm" hidden="1">#REF!</definedName>
    <definedName name="_bdm.b786cf3e016e4c3998143aeb8e01f842.edm" hidden="1">#REF!</definedName>
    <definedName name="_bdm.b792ea34977a44358835a82daf460d35.edm" hidden="1">#REF!</definedName>
    <definedName name="_bdm.b7bc23ad5ccf41d980ebad26dcf5b723.edm" hidden="1">#REF!</definedName>
    <definedName name="_bdm.b82e66b4dfbb40b49e193c6337f04484.edm" hidden="1">#REF!</definedName>
    <definedName name="_bdm.B85C52DD6C3044C1AD3CC3814E6ECB48.edm" hidden="1">#REF!</definedName>
    <definedName name="_bdm.B8669612945742C98143D8B103956D0F.edm" hidden="1">#REF!</definedName>
    <definedName name="_bdm.B8A7708FB95A4E54A724A0459FF81BD0.edm" hidden="1">#REF!</definedName>
    <definedName name="_bdm.b930443a489c48ce88e6174b3fbe8181.edm" hidden="1">#REF!</definedName>
    <definedName name="_bdm.b9714162b22f4a6aaded514e45b61653.edm" hidden="1">#REF!</definedName>
    <definedName name="_bdm.b9a6b7a7d48b46aca1c2e7666123039a.edm" hidden="1">#REF!</definedName>
    <definedName name="_bdm.ba5823ecb2194458859b094549d27927.edm" hidden="1">#REF!</definedName>
    <definedName name="_bdm.BA759280F5E749B5B422ACEA85F12DF4.edm" hidden="1">#REF!</definedName>
    <definedName name="_bdm.bb17b7087b254cbc9c6ae1079f2f822d.edm" hidden="1">#REF!</definedName>
    <definedName name="_bdm.bbcbdb8cddc84a57b16b90403ab7c83c.edm" hidden="1">#REF!</definedName>
    <definedName name="_bdm.bc5b19c2bbe54e85a8381d91bfb9a57f.edm" hidden="1">#REF!</definedName>
    <definedName name="_bdm.bd95c624a6c54b2792f43f6681728b19.edm" hidden="1">#REF!</definedName>
    <definedName name="_bdm.bdbeb5cffea74953a74f83cdedcd0762.edm" hidden="1">#REF!</definedName>
    <definedName name="_bdm.bdd41e8274c54c54bc18581946ac6943.edm" hidden="1">#REF!</definedName>
    <definedName name="_bdm.be3ecdd25c8546a99324a8c693517ebf.edm" hidden="1">#REF!</definedName>
    <definedName name="_bdm.BE99D4AF9ED34E4A84C886E974586B17.edm" hidden="1">#REF!</definedName>
    <definedName name="_bdm.befbb060c8dc41e18e5c19da17b388f4.edm" hidden="1">#REF!</definedName>
    <definedName name="_bdm.BF93BAF01FF5416AAFD83CA3EA39D5AF.edm" hidden="1">#REF!</definedName>
    <definedName name="_bdm.C00C2330E1284E17A3F74B3A0AA8C8A8.edm" hidden="1">#REF!</definedName>
    <definedName name="_bdm.c049e7ac2ebe4f829d01582971ee3143.edm" hidden="1">#REF!</definedName>
    <definedName name="_bdm.c0c6cf97cbf94e26a9e739c07ea23113.edm" hidden="1">#REF!</definedName>
    <definedName name="_bdm.C0D40696085E49099831902D538DE4D4.edm" hidden="1">#REF!</definedName>
    <definedName name="_bdm.C1366CD9C22546838D807C7DBD32839D.edm" hidden="1">#REF!</definedName>
    <definedName name="_bdm.c17469b0a1db4981b64bd78964de90ad.edm" hidden="1">#REF!</definedName>
    <definedName name="_bdm.c2359ca952a94c6ebf4d8273618c517d.edm" hidden="1">#REF!</definedName>
    <definedName name="_bdm.c23cb7029bc946d9af496d8d8a4cfd6f.edm" hidden="1">#REF!</definedName>
    <definedName name="_bdm.c247c6a0497a45349d0d84d3ff1d46d0.edm" hidden="1">#REF!</definedName>
    <definedName name="_bdm.C2736CD6AEBD4C4DA54B3788944E1A75.edm" hidden="1">#REF!</definedName>
    <definedName name="_bdm.c2e0de4c7a524dfb8aed95d695676222.edm" hidden="1">#REF!</definedName>
    <definedName name="_bdm.C39E1ED1AB4D4E0C97005A872B5CE56C.edm" hidden="1">#REF!</definedName>
    <definedName name="_bdm.C3E13177535448438E150830D06FAD0D.edm" hidden="1">#REF!</definedName>
    <definedName name="_bdm.c4af12388b0a4cb7bdadc8417d1023c9.edm" hidden="1">#REF!</definedName>
    <definedName name="_bdm.c6719e89642f4283abbf2efd17b2eafe.edm" hidden="1">#REF!</definedName>
    <definedName name="_bdm.C6A063045DA94E5DA7225D42C4ADB2C4.edm" hidden="1">#REF!</definedName>
    <definedName name="_bdm.c6aa54835b8e423da2a2d10d9944de5b.edm" hidden="1">#REF!</definedName>
    <definedName name="_bdm.C719F7D5283E4D4E833CBEC07D3B5A45.edm" hidden="1">#REF!</definedName>
    <definedName name="_bdm.C7682996D3FF4231BC763D510653A73B.edm" hidden="1">#REF!</definedName>
    <definedName name="_bdm.c8f5d1bfa0e04028aea48ae1d50ccf98.edm" hidden="1">#REF!</definedName>
    <definedName name="_bdm.c9194a70a4da408b8b4f5cacffbde1ce.edm" hidden="1">#REF!</definedName>
    <definedName name="_bdm.c9a1601c301b4031a12f4a8ec9a833ac.edm" hidden="1">#REF!</definedName>
    <definedName name="_bdm.C9C93CB279B64A8CAC44B23B9E17C156.edm" hidden="1">#REF!</definedName>
    <definedName name="_bdm.c9ca19da97e249ad93580fad95eef394.edm" hidden="1">#REF!</definedName>
    <definedName name="_bdm.ca4c62b10e4d450fa64cfc3f3241b7e8.edm" hidden="1">#REF!</definedName>
    <definedName name="_bdm.ca735744c7ef4728a6d7149290437839.edm" hidden="1">#REF!</definedName>
    <definedName name="_bdm.cb99eae3ddec4c0cb4c602b83c53fa38.edm" hidden="1">#REF!</definedName>
    <definedName name="_bdm.cbf8e9d1b97442ada9d2b480c4aa562e.edm" hidden="1">#REF!</definedName>
    <definedName name="_bdm.cd3ef314be4640bdbc62ff58e896dc50.edm" hidden="1">#REF!</definedName>
    <definedName name="_bdm.cd92030dbf844c8c88fc802a8da5cb4b.edm" hidden="1">#REF!</definedName>
    <definedName name="_bdm.CE0DF358F87A4A0F8641C686915DCE4B.edm" hidden="1">#REF!</definedName>
    <definedName name="_bdm.CE50A06D1B6C43D9B8AF73E722724993.edm" hidden="1">#REF!</definedName>
    <definedName name="_bdm.CF26F181CFB149089A150B6E9984E88F.edm" hidden="1">#REF!</definedName>
    <definedName name="_bdm.cf35b830819241969841f022e5d5e06f.edm" hidden="1">#REF!</definedName>
    <definedName name="_bdm.cf621adf109441b98ea2a182cbdbafc2.edm" hidden="1">#REF!</definedName>
    <definedName name="_bdm.d020c69c66e44325b323aa5bc233138d.edm" hidden="1">#REF!</definedName>
    <definedName name="_bdm.D0BCDEDCB2A7495CB84EF116A2E73946.edm" hidden="1">#REF!</definedName>
    <definedName name="_bdm.d167f666f4f742ba9a109293d76810de.edm" hidden="1">#REF!</definedName>
    <definedName name="_bdm.d1bb5486245a448086141ef60dc6f44f.edm" hidden="1">#REF!</definedName>
    <definedName name="_bdm.d1e58e4cb50a43e9b453f722c1e0ce36.edm" hidden="1">#REF!</definedName>
    <definedName name="_bdm.d285319e1f1a41b1ab6b7c424f5c6c09.edm" hidden="1">#REF!</definedName>
    <definedName name="_bdm.d3066b8511fe482ea977d24d46cedccd.edm" hidden="1">#REF!</definedName>
    <definedName name="_bdm.d325b9eb4931445e9f6e54da138f8938.edm" hidden="1">#REF!</definedName>
    <definedName name="_bdm.D3470C7C90114CA5A3716BA41AC8AECA.edm" hidden="1">#REF!</definedName>
    <definedName name="_bdm.D43A6B2A947B4EA9A42335B05D28E8EB.edm" hidden="1">#REF!</definedName>
    <definedName name="_bdm.d4a3f93d08cd4f21bbd5ae31ace16bd6.edm" hidden="1">#REF!</definedName>
    <definedName name="_bdm.D4C6E1B29E6911D6B65800034792F924.edm" hidden="1">#REF!</definedName>
    <definedName name="_bdm.d5783d72b9384ac5a130c382a485db64.edm" hidden="1">#REF!</definedName>
    <definedName name="_bdm.d58075fbde124170aa7f09d9d9881b4e.edm" hidden="1">#REF!</definedName>
    <definedName name="_bdm.D59BDA5A41C0421AB2C9683C5EBB446E.edm" hidden="1">#REF!</definedName>
    <definedName name="_bdm.d5fa091fd89e439d82d91d5343c4f91a.edm" hidden="1">#REF!</definedName>
    <definedName name="_bdm.d5fdcc4c8199461ba1d6a672ce94aeb0.edm" hidden="1">#REF!</definedName>
    <definedName name="_bdm.d7a748ebb3204eb89e2076cdb6460721.edm" hidden="1">#REF!</definedName>
    <definedName name="_bdm.d7b1c9047afb4e468e35fb4e9d702c3d.edm" hidden="1">#REF!</definedName>
    <definedName name="_bdm.d7f65564f2884cdfb549abb7fe3fbcb1.edm" hidden="1">#REF!</definedName>
    <definedName name="_bdm.d7fc610f0948409292dacb4c4454b06e.edm" hidden="1">#REF!</definedName>
    <definedName name="_bdm.D833D15B0B9348B2A11B4155DD751C03.edm" hidden="1">#REF!</definedName>
    <definedName name="_bdm.d86f262295f347dcadd285c54b775161.edm" hidden="1">#REF!</definedName>
    <definedName name="_bdm.d8849e855e134252b6a5860e1772e89c.edm" hidden="1">#REF!</definedName>
    <definedName name="_bdm.d8e1469ecc514c5ba9dec7f8bb94d825.edm" hidden="1">#REF!</definedName>
    <definedName name="_bdm.d92865a56ccc4d2197cadfdaaa676711.edm" hidden="1">#REF!</definedName>
    <definedName name="_bdm.d96ba85f787549089ed4c8ce38784e3b.edm" hidden="1">#REF!</definedName>
    <definedName name="_bdm.DA1FA94C23C346618B80FF434DC92783.edm" hidden="1">#REF!</definedName>
    <definedName name="_bdm.DA3B9870A15F45409A335F45E47C5565.edm" hidden="1">#REF!</definedName>
    <definedName name="_bdm.dc09cec8ba804a35ad2dd45a4b7b8b7a.edm" hidden="1">#REF!</definedName>
    <definedName name="_bdm.DC2C44CBAA8E422E923D514051DD9554.edm" hidden="1">#REF!</definedName>
    <definedName name="_bdm.dc9def6230bd4130b1f6e25b923c325e.edm" hidden="1">#REF!</definedName>
    <definedName name="_bdm.dcbacc5325c140f79429c21b61fdcd6c.edm" hidden="1">#REF!</definedName>
    <definedName name="_bdm.DCC499B21A1843FA8A1B1DE99616C056.edm" hidden="1">#REF!</definedName>
    <definedName name="_bdm.dcfa4e61a42941d79ecbfcc24003442e.edm" hidden="1">#REF!</definedName>
    <definedName name="_bdm.dd405ba3c0df4351b7c4c999115245d9.edm" hidden="1">#REF!</definedName>
    <definedName name="_bdm.DDBE96413EE944679E6E9654442C7A64.edm" hidden="1">#REF!</definedName>
    <definedName name="_bdm.ddd33b9bc25d48b2b9c667bbe10f1f1a.edm" hidden="1">#REF!</definedName>
    <definedName name="_bdm.de663e57367e4a94819ab95aabfb94d6.edm" hidden="1">#REF!</definedName>
    <definedName name="_bdm.DE6F21F426D045A4B80CE5BA3D668FE9.edm" hidden="1">#REF!</definedName>
    <definedName name="_bdm.DE71A8FC039541DDB52DEF9A56F22DEF.edm" hidden="1">#REF!</definedName>
    <definedName name="_bdm.df253ea4af2645c1b85636475d54c68b.edm" hidden="1">#REF!</definedName>
    <definedName name="_bdm.df2e7a6c7d8348c4acf02daa538ec44d.edm" hidden="1">#REF!</definedName>
    <definedName name="_bdm.DF5300C54F0C4266B383478430759052.edm" hidden="1">#REF!</definedName>
    <definedName name="_bdm.e060b672cfc1423fa36857aa470a7d58.edm" hidden="1">#REF!</definedName>
    <definedName name="_bdm.e08bc1d3dc5648e3bb6d92732d78422d.edm" hidden="1">#REF!</definedName>
    <definedName name="_bdm.e1265df1a6f84318836672de8c745919.edm" hidden="1">#REF!</definedName>
    <definedName name="_bdm.e1375a8a9b0c42ee82ace557e71421fa.edm" hidden="1">#REF!</definedName>
    <definedName name="_bdm.e1428a58d806485a8d7399f1a26760b5.edm" hidden="1">#REF!</definedName>
    <definedName name="_bdm.e17ce2ede9054a64888b80906a461b83.edm" hidden="1">#REF!</definedName>
    <definedName name="_bdm.E2CA71E6D6E94B5982663CD63576B835.edm" hidden="1">#REF!</definedName>
    <definedName name="_bdm.e2d88ac5966646eeb14cc55615d97508.edm" hidden="1">#REF!</definedName>
    <definedName name="_bdm.e33f262494a94c40ab0d9ada749086af.edm" hidden="1">#REF!</definedName>
    <definedName name="_bdm.e42794e584af44f79c4f3dadf20a313a.edm" hidden="1">#REF!</definedName>
    <definedName name="_bdm.E45D50CA2956452099C12ECBFD3ECF87.edm" hidden="1">#REF!</definedName>
    <definedName name="_bdm.E4EACF2F9B1D411DB6CD9999843D5FFF.edm" hidden="1">#REF!</definedName>
    <definedName name="_bdm.E5A041E644F942A6A777479B0B773AD9.edm" hidden="1">#REF!</definedName>
    <definedName name="_bdm.e65f1969cbd54270bb1643332febc52a.edm" hidden="1">#REF!</definedName>
    <definedName name="_bdm.E6DECE3D7DFA425EA98E3E4115BDAE8E.edm" hidden="1">#REF!</definedName>
    <definedName name="_bdm.e71cf20353db4a76b1bdf944cbdea1a7.edm" hidden="1">#REF!</definedName>
    <definedName name="_bdm.e74c1e20559e4611a5b96f9f9b0fddc8.edm" hidden="1">#REF!</definedName>
    <definedName name="_bdm.e7670728342747c3af88609ecc80413d.edm" hidden="1">#REF!</definedName>
    <definedName name="_bdm.E7BB7508DD334222B055E015E418B2A6.edm" hidden="1">#REF!</definedName>
    <definedName name="_bdm.e858f980d0ed458d948b43a6f43b9010.edm" hidden="1">#REF!</definedName>
    <definedName name="_bdm.e8b3ab12ebf04e6393c8ea651c6fdb66.edm" hidden="1">#REF!</definedName>
    <definedName name="_bdm.e99f4b8c253749b596464607df687598.edm" hidden="1">#REF!</definedName>
    <definedName name="_bdm.e9a27bb61d94405e8567fc4e29183a38.edm" hidden="1">#REF!</definedName>
    <definedName name="_bdm.EA164CCEB66C408B9A35245C9C75C947.edm" hidden="1">#REF!</definedName>
    <definedName name="_bdm.ea6aebfacd374d288f2da374733c6849.edm" hidden="1">#REF!</definedName>
    <definedName name="_bdm.eacdb1109db4464982b942c10e659008.edm" hidden="1">#REF!</definedName>
    <definedName name="_bdm.eadfaf4d7958473b9a505b15c6cdd5d4.edm" hidden="1">#REF!</definedName>
    <definedName name="_bdm.eb14c3f5e5e7431c9990e52e4298fa94.edm" hidden="1">#REF!</definedName>
    <definedName name="_bdm.eb3044659d4242ea8743ad671f681318.edm" hidden="1">#REF!</definedName>
    <definedName name="_bdm.ebd2c44e31af492fb9bd557ce3c2efe7.edm" hidden="1">#REF!</definedName>
    <definedName name="_bdm.ec018b344ba74cd7902b4353e8756ee8.edm" hidden="1">#REF!</definedName>
    <definedName name="_bdm.ec486f75ad7d4ad6984e6cdb94a2ce58.edm" hidden="1">#REF!</definedName>
    <definedName name="_bdm.EC53C10930E843DEA158047F9134AD92.edm" hidden="1">#REF!</definedName>
    <definedName name="_bdm.ece6a271910541fcb232c5c7db02c5a1.edm" hidden="1">#REF!</definedName>
    <definedName name="_bdm.ececdbd68e654ad3945827bace757da7.edm" hidden="1">#REF!</definedName>
    <definedName name="_bdm.EDDEC8F706E542A3986B041BB193F959.edm" hidden="1">#REF!</definedName>
    <definedName name="_bdm.ee111a66c8af40e6ac732837c69809c7.edm" hidden="1">#REF!</definedName>
    <definedName name="_bdm.ee5ecb8c208e4039ba4dd86ee7b69077.edm" hidden="1">#REF!</definedName>
    <definedName name="_bdm.ee717e5f7d224b0a96d97c20e7f665d9.edm" hidden="1">#REF!</definedName>
    <definedName name="_bdm.ee9962480a2d4948b6da29f6dddedb57.edm" hidden="1">#REF!</definedName>
    <definedName name="_bdm.eead79234c2e4535b3f220b1c2143dd9.edm" hidden="1">#REF!</definedName>
    <definedName name="_bdm.eeb9ed658baa4422a3a6d75fb900bf48.edm" hidden="1">#REF!</definedName>
    <definedName name="_bdm.eede6b7704154fc7a170a72d0633c36f.edm" hidden="1">#REF!</definedName>
    <definedName name="_bdm.ef1d0c27aec64af6bbba88c3b2fe4b59.edm" hidden="1">#REF!</definedName>
    <definedName name="_bdm.EF8F0AC9DA064F29BCD99CDC396D9B30.edm" hidden="1">#REF!</definedName>
    <definedName name="_bdm.ef96ea807293460dbbae039ff84fb011.edm" hidden="1">#REF!</definedName>
    <definedName name="_bdm.efac87d1a04f41fc9e8a7addec9fa8ae.edm" hidden="1">#REF!</definedName>
    <definedName name="_bdm.f04b70a9d0694aa59b5c1c1f25264f5c.edm" hidden="1">#REF!</definedName>
    <definedName name="_bdm.f09afe1d54fb4abba96cd402ac46defa.edm" hidden="1">#REF!</definedName>
    <definedName name="_bdm.F0C4D0A06132474297172E66F1E293D3.edm" hidden="1">#REF!</definedName>
    <definedName name="_bdm.f0df33234be444a0b6f56f7af9cec273.edm" hidden="1">#REF!</definedName>
    <definedName name="_bdm.F1C33AC695AB43C1A7937FA37EC51B62.edm" hidden="1">#REF!</definedName>
    <definedName name="_bdm.f25f71c603e74b05b2d9d2e0f7ccdbea.edm" hidden="1">#REF!</definedName>
    <definedName name="_bdm.f299c2cc4cae4d81b76ff4efa9141f98.edm" hidden="1">#REF!</definedName>
    <definedName name="_bdm.f3d490cae0d84573bd0ff7f4d2f8cff4.edm" hidden="1">#REF!</definedName>
    <definedName name="_bdm.f53b73100df64ffe82d131edd842b96f.edm" hidden="1">#REF!</definedName>
    <definedName name="_bdm.f570a29c134347bfa89432b183dd58a5.edm" hidden="1">#REF!</definedName>
    <definedName name="_bdm.f5cef8a110cf4d4dba16d59c2feffaa5.edm" hidden="1">#REF!</definedName>
    <definedName name="_bdm.f603689887be42adab0efcaed748c5e5.edm" hidden="1">#REF!</definedName>
    <definedName name="_bdm.f6b82aab85df43279e9cdf57351487d6.edm" hidden="1">#REF!</definedName>
    <definedName name="_bdm.f6cd2d099fa342c7b744455e620bbe1f.edm" hidden="1">#REF!</definedName>
    <definedName name="_bdm.F6D7600832B1405CACEC2C0FA7878EA1.edm" hidden="1">#REF!</definedName>
    <definedName name="_bdm.f70f031e714e44af999d5e71562c3222.edm" hidden="1">#REF!</definedName>
    <definedName name="_bdm.f768bf417a164fada0fee43b4246c205.edm" hidden="1">#REF!</definedName>
    <definedName name="_bdm.f7be46b2d77f449ea2ce8e8d0be097de.edm" hidden="1">#REF!</definedName>
    <definedName name="_bdm.f7c579354a41490283f8788ecc783650.edm" hidden="1">#REF!</definedName>
    <definedName name="_bdm.f7dd285ba0d24f4fa61a7e65cf87bab5.edm" hidden="1">#REF!</definedName>
    <definedName name="_bdm.F7F4C49C418C445595FD3754DB1194A8.edm" hidden="1">#REF!</definedName>
    <definedName name="_bdm.f80a1a7720244372851dca2da4a9f5c9.edm" hidden="1">#REF!</definedName>
    <definedName name="_bdm.f843dbbc95bd4a0697ff5263ef8c60e6.edm" hidden="1">#REF!</definedName>
    <definedName name="_bdm.f8cd9c3fb0454d4b89d1897b1a4c42c6.edm" hidden="1">#REF!</definedName>
    <definedName name="_bdm.f979b1f74ad44956a48f7c568f2f9c7c.edm" hidden="1">#REF!</definedName>
    <definedName name="_bdm.fa69b0e53a6f401092c240d0647197f1.edm" hidden="1">#REF!</definedName>
    <definedName name="_bdm.fad79ce8e91f4a79966081469c3324a4.edm" hidden="1">#REF!</definedName>
    <definedName name="_bdm.FastTrackBookmark.10_12_2017_5_49_05_PM.edm" hidden="1">#REF!</definedName>
    <definedName name="_bdm.FastTrackBookmark.11_30_2018_12_06_33_AM.edm" hidden="1">#REF!</definedName>
    <definedName name="_bdm.FastTrackBookmark.12_1_2014_2_28_03_PM.edm" hidden="1">#REF!</definedName>
    <definedName name="_bdm.FastTrackBookmark.4_1_2015_11_07_53_PM.edm" hidden="1">#REF!</definedName>
    <definedName name="_bdm.FastTrackBookmark.7_12_2017_11_20_28_AM.edm" hidden="1">#REF!</definedName>
    <definedName name="_bdm.FastTrackBookmark.8_22_2016_9_27_03_PM.edm" hidden="1">#REF!</definedName>
    <definedName name="_bdm.FastTrackBookmark.8_23_2016_1_03_07_PM.edm" hidden="1">#REF!</definedName>
    <definedName name="_bdm.FastTrackBookmark.9_19_2017_1_46_31_PM.edm" hidden="1">#REF!</definedName>
    <definedName name="_bdm.FastTrackBookmark.9_20_2017_11_12_37_AM.edm" hidden="1">#REF!</definedName>
    <definedName name="_bdm.FastTrackBookmark.9_20_2017_3_45_52_PM.edm" hidden="1">#REF!</definedName>
    <definedName name="_bdm.FastTrackBookmark.9_20_2018_4_11_14_AM.edm" hidden="1">#REF!</definedName>
    <definedName name="_bdm.fb89d40da4594ce5bd9fa533fdcb0bd0.edm" hidden="1">#REF!</definedName>
    <definedName name="_bdm.fc74e788e41f413d87310243b5d68b88.edm" hidden="1">#REF!</definedName>
    <definedName name="_bdm.fc9012b991924c448b2ca8479e325860.edm" hidden="1">#REF!</definedName>
    <definedName name="_bdm.FCBC8EE314F141D4A76328BD1DDEFA82.edm" hidden="1">#REF!</definedName>
    <definedName name="_bdm.fd018c243b784123afa5f2cc4f27f485.edm" hidden="1">#REF!</definedName>
    <definedName name="_bdm.fd4ad8560dc2458eba73cbca2edc9dc1.edm" hidden="1">#REF!</definedName>
    <definedName name="_bdm.fedc7ffcba5f493e98d38cc5342d5a4d.edm" hidden="1">#REF!</definedName>
    <definedName name="_bdm.fee9c0ef8ac34bb08e5c0b16e7e15c44.edm" hidden="1">#REF!</definedName>
    <definedName name="_bdm.FF0525B79380468896203D14A48DC3F3.edm" hidden="1">#REF!</definedName>
    <definedName name="_bdm.FF37B812A83247C48DE4E1A26ED0E8BF.edm" hidden="1">#REF!</definedName>
    <definedName name="_bdm.ffc9b39ec2fe4412988038b81cb07780.edm" hidden="1">#REF!</definedName>
    <definedName name="_bdm.ToolkitBookmark.1_30_03_11_02_40_PM.edm" hidden="1">#REF!</definedName>
    <definedName name="_Big_Var_Version" hidden="1">"1"</definedName>
    <definedName name="_BIO1" localSheetId="0" hidden="1">{"toc1",#N/A,FALSE,"TOC";"cover",#N/A,FALSE,"Cover";"ts1",#N/A,FALSE,"Transaction Summary";"ei3",#N/A,FALSE,"Earnings Impact";"ad3",#N/A,FALSE,"accretion dilution"}</definedName>
    <definedName name="_BIO1" localSheetId="6" hidden="1">{"toc1",#N/A,FALSE,"TOC";"cover",#N/A,FALSE,"Cover";"ts1",#N/A,FALSE,"Transaction Summary";"ei3",#N/A,FALSE,"Earnings Impact";"ad3",#N/A,FALSE,"accretion dilution"}</definedName>
    <definedName name="_BIO1" hidden="1">{"toc1",#N/A,FALSE,"TOC";"cover",#N/A,FALSE,"Cover";"ts1",#N/A,FALSE,"Transaction Summary";"ei3",#N/A,FALSE,"Earnings Impact";"ad3",#N/A,FALSE,"accretion dilution"}</definedName>
    <definedName name="_BP2009" localSheetId="6" hidden="1">{#N/A,#N/A,FALSE,"INPUTS";#N/A,#N/A,FALSE,"PROFORMA BSHEET";#N/A,#N/A,FALSE,"COMBINED";#N/A,#N/A,FALSE,"ACQUIROR";#N/A,#N/A,FALSE,"TARGET 1";#N/A,#N/A,FALSE,"TARGET 2";#N/A,#N/A,FALSE,"HIGH YIELD";#N/A,#N/A,FALSE,"OVERFUND"}</definedName>
    <definedName name="_BP2009" hidden="1">{#N/A,#N/A,FALSE,"INPUTS";#N/A,#N/A,FALSE,"PROFORMA BSHEET";#N/A,#N/A,FALSE,"COMBINED";#N/A,#N/A,FALSE,"ACQUIROR";#N/A,#N/A,FALSE,"TARGET 1";#N/A,#N/A,FALSE,"TARGET 2";#N/A,#N/A,FALSE,"HIGH YIELD";#N/A,#N/A,FALSE,"OVERFUND"}</definedName>
    <definedName name="_BQ4.1" hidden="1">#REF!</definedName>
    <definedName name="_BQ4.10" hidden="1">#REF!</definedName>
    <definedName name="_BQ4.11" hidden="1">#REF!</definedName>
    <definedName name="_BQ4.12" hidden="1">#REF!</definedName>
    <definedName name="_BQ4.13" hidden="1">#REF!</definedName>
    <definedName name="_BQ4.14" hidden="1">#REF!</definedName>
    <definedName name="_BQ4.15" hidden="1">#REF!</definedName>
    <definedName name="_BQ4.16" hidden="1">#REF!</definedName>
    <definedName name="_BQ4.17" hidden="1">#REF!</definedName>
    <definedName name="_BQ4.18" hidden="1">#REF!</definedName>
    <definedName name="_BQ4.19" hidden="1">#REF!</definedName>
    <definedName name="_BQ4.1a" hidden="1">#REF!</definedName>
    <definedName name="_BQ4.2" hidden="1">#REF!</definedName>
    <definedName name="_BQ4.23" hidden="1">#REF!</definedName>
    <definedName name="_BQ4.24" hidden="1">#REF!</definedName>
    <definedName name="_BQ4.25" hidden="1">#REF!</definedName>
    <definedName name="_BQ4.2a" hidden="1">#REF!</definedName>
    <definedName name="_BQ4.3" hidden="1">#REF!</definedName>
    <definedName name="_BQ4.33" hidden="1">#REF!</definedName>
    <definedName name="_BQ4.35" hidden="1">#REF!</definedName>
    <definedName name="_BQ4.36" hidden="1">#REF!</definedName>
    <definedName name="_BQ4.38" hidden="1">#REF!</definedName>
    <definedName name="_BQ4.3a" hidden="1">#REF!</definedName>
    <definedName name="_BQ4.4" hidden="1">#REF!</definedName>
    <definedName name="_BQ4.40" hidden="1">#REF!</definedName>
    <definedName name="_BQ4.4a" hidden="1">#REF!</definedName>
    <definedName name="_BQ4.5" hidden="1">#REF!</definedName>
    <definedName name="_BQ4.6" hidden="1">#REF!</definedName>
    <definedName name="_BQ4.7" hidden="1">#REF!</definedName>
    <definedName name="_BQ4.8" hidden="1">#REF!</definedName>
    <definedName name="_BQ4.9" hidden="1">#REF!</definedName>
    <definedName name="_br1" localSheetId="6" hidden="1">{"Quarter1",#N/A,FALSE,"Sheet1";"Quarter2",#N/A,FALSE,"Sheet1";"Quarter3",#N/A,FALSE,"Sheet1";"Quarter4",#N/A,FALSE,"Sheet1"}</definedName>
    <definedName name="_br1" hidden="1">{"Quarter1",#N/A,FALSE,"Sheet1";"Quarter2",#N/A,FALSE,"Sheet1";"Quarter3",#N/A,FALSE,"Sheet1";"Quarter4",#N/A,FALSE,"Sheet1"}</definedName>
    <definedName name="_bs1" localSheetId="0" hidden="1">{"AS",#N/A,FALSE,"Dec_BS";"LIAB",#N/A,FALSE,"Dec_BS"}</definedName>
    <definedName name="_bs1" localSheetId="6" hidden="1">{"AS",#N/A,FALSE,"Dec_BS";"LIAB",#N/A,FALSE,"Dec_BS"}</definedName>
    <definedName name="_bs1" hidden="1">{"AS",#N/A,FALSE,"Dec_BS";"LIAB",#N/A,FALSE,"Dec_BS"}</definedName>
    <definedName name="_c" localSheetId="0" hidden="1">{"Fiesta Facer Page",#N/A,FALSE,"Q_C_S";"Fiesta Main Page",#N/A,FALSE,"V_L";"Fiesta 95BP Struct",#N/A,FALSE,"StructBP";"Fiesta Post 95BP Struct",#N/A,FALSE,"AdjStructBP"}</definedName>
    <definedName name="_c" localSheetId="6" hidden="1">{"Fiesta Facer Page",#N/A,FALSE,"Q_C_S";"Fiesta Main Page",#N/A,FALSE,"V_L";"Fiesta 95BP Struct",#N/A,FALSE,"StructBP";"Fiesta Post 95BP Struct",#N/A,FALSE,"AdjStructBP"}</definedName>
    <definedName name="_c" hidden="1">{"Fiesta Facer Page",#N/A,FALSE,"Q_C_S";"Fiesta Main Page",#N/A,FALSE,"V_L";"Fiesta 95BP Struct",#N/A,FALSE,"StructBP";"Fiesta Post 95BP Struct",#N/A,FALSE,"AdjStructBP"}</definedName>
    <definedName name="_c_1" localSheetId="0" hidden="1">{"Fiesta Facer Page",#N/A,FALSE,"Q_C_S";"Fiesta Main Page",#N/A,FALSE,"V_L";"Fiesta 95BP Struct",#N/A,FALSE,"StructBP";"Fiesta Post 95BP Struct",#N/A,FALSE,"AdjStructBP"}</definedName>
    <definedName name="_c_1" localSheetId="6" hidden="1">{"Fiesta Facer Page",#N/A,FALSE,"Q_C_S";"Fiesta Main Page",#N/A,FALSE,"V_L";"Fiesta 95BP Struct",#N/A,FALSE,"StructBP";"Fiesta Post 95BP Struct",#N/A,FALSE,"AdjStructBP"}</definedName>
    <definedName name="_c_1" hidden="1">{"Fiesta Facer Page",#N/A,FALSE,"Q_C_S";"Fiesta Main Page",#N/A,FALSE,"V_L";"Fiesta 95BP Struct",#N/A,FALSE,"StructBP";"Fiesta Post 95BP Struct",#N/A,FALSE,"AdjStructBP"}</definedName>
    <definedName name="_c_1_1" localSheetId="0" hidden="1">{"Fiesta Facer Page",#N/A,FALSE,"Q_C_S";"Fiesta Main Page",#N/A,FALSE,"V_L";"Fiesta 95BP Struct",#N/A,FALSE,"StructBP";"Fiesta Post 95BP Struct",#N/A,FALSE,"AdjStructBP"}</definedName>
    <definedName name="_c_1_1" localSheetId="6" hidden="1">{"Fiesta Facer Page",#N/A,FALSE,"Q_C_S";"Fiesta Main Page",#N/A,FALSE,"V_L";"Fiesta 95BP Struct",#N/A,FALSE,"StructBP";"Fiesta Post 95BP Struct",#N/A,FALSE,"AdjStructBP"}</definedName>
    <definedName name="_c_1_1" hidden="1">{"Fiesta Facer Page",#N/A,FALSE,"Q_C_S";"Fiesta Main Page",#N/A,FALSE,"V_L";"Fiesta 95BP Struct",#N/A,FALSE,"StructBP";"Fiesta Post 95BP Struct",#N/A,FALSE,"AdjStructBP"}</definedName>
    <definedName name="_c_2" localSheetId="0" hidden="1">{"Fiesta Facer Page",#N/A,FALSE,"Q_C_S";"Fiesta Main Page",#N/A,FALSE,"V_L";"Fiesta 95BP Struct",#N/A,FALSE,"StructBP";"Fiesta Post 95BP Struct",#N/A,FALSE,"AdjStructBP"}</definedName>
    <definedName name="_c_2" localSheetId="6" hidden="1">{"Fiesta Facer Page",#N/A,FALSE,"Q_C_S";"Fiesta Main Page",#N/A,FALSE,"V_L";"Fiesta 95BP Struct",#N/A,FALSE,"StructBP";"Fiesta Post 95BP Struct",#N/A,FALSE,"AdjStructBP"}</definedName>
    <definedName name="_c_2" hidden="1">{"Fiesta Facer Page",#N/A,FALSE,"Q_C_S";"Fiesta Main Page",#N/A,FALSE,"V_L";"Fiesta 95BP Struct",#N/A,FALSE,"StructBP";"Fiesta Post 95BP Struct",#N/A,FALSE,"AdjStructBP"}</definedName>
    <definedName name="_c_3" localSheetId="0" hidden="1">{"Fiesta Facer Page",#N/A,FALSE,"Q_C_S";"Fiesta Main Page",#N/A,FALSE,"V_L";"Fiesta 95BP Struct",#N/A,FALSE,"StructBP";"Fiesta Post 95BP Struct",#N/A,FALSE,"AdjStructBP"}</definedName>
    <definedName name="_c_3" localSheetId="6" hidden="1">{"Fiesta Facer Page",#N/A,FALSE,"Q_C_S";"Fiesta Main Page",#N/A,FALSE,"V_L";"Fiesta 95BP Struct",#N/A,FALSE,"StructBP";"Fiesta Post 95BP Struct",#N/A,FALSE,"AdjStructBP"}</definedName>
    <definedName name="_c_3" hidden="1">{"Fiesta Facer Page",#N/A,FALSE,"Q_C_S";"Fiesta Main Page",#N/A,FALSE,"V_L";"Fiesta 95BP Struct",#N/A,FALSE,"StructBP";"Fiesta Post 95BP Struct",#N/A,FALSE,"AdjStructBP"}</definedName>
    <definedName name="_c_4" localSheetId="0" hidden="1">{"Fiesta Facer Page",#N/A,FALSE,"Q_C_S";"Fiesta Main Page",#N/A,FALSE,"V_L";"Fiesta 95BP Struct",#N/A,FALSE,"StructBP";"Fiesta Post 95BP Struct",#N/A,FALSE,"AdjStructBP"}</definedName>
    <definedName name="_c_4" localSheetId="6" hidden="1">{"Fiesta Facer Page",#N/A,FALSE,"Q_C_S";"Fiesta Main Page",#N/A,FALSE,"V_L";"Fiesta 95BP Struct",#N/A,FALSE,"StructBP";"Fiesta Post 95BP Struct",#N/A,FALSE,"AdjStructBP"}</definedName>
    <definedName name="_c_4" hidden="1">{"Fiesta Facer Page",#N/A,FALSE,"Q_C_S";"Fiesta Main Page",#N/A,FALSE,"V_L";"Fiesta 95BP Struct",#N/A,FALSE,"StructBP";"Fiesta Post 95BP Struct",#N/A,FALSE,"AdjStructBP"}</definedName>
    <definedName name="_c_5" localSheetId="0" hidden="1">{"Fiesta Facer Page",#N/A,FALSE,"Q_C_S";"Fiesta Main Page",#N/A,FALSE,"V_L";"Fiesta 95BP Struct",#N/A,FALSE,"StructBP";"Fiesta Post 95BP Struct",#N/A,FALSE,"AdjStructBP"}</definedName>
    <definedName name="_c_5" localSheetId="6" hidden="1">{"Fiesta Facer Page",#N/A,FALSE,"Q_C_S";"Fiesta Main Page",#N/A,FALSE,"V_L";"Fiesta 95BP Struct",#N/A,FALSE,"StructBP";"Fiesta Post 95BP Struct",#N/A,FALSE,"AdjStructBP"}</definedName>
    <definedName name="_c_5" hidden="1">{"Fiesta Facer Page",#N/A,FALSE,"Q_C_S";"Fiesta Main Page",#N/A,FALSE,"V_L";"Fiesta 95BP Struct",#N/A,FALSE,"StructBP";"Fiesta Post 95BP Struct",#N/A,FALSE,"AdjStructBP"}</definedName>
    <definedName name="_C100033">#REF!</definedName>
    <definedName name="_C65600">#REF!</definedName>
    <definedName name="_C65800">#REF!</definedName>
    <definedName name="_C66000">#REF!</definedName>
    <definedName name="_C69000">#REF!</definedName>
    <definedName name="_C70000">#REF!</definedName>
    <definedName name="_C90000">#REF!</definedName>
    <definedName name="_CAF1" localSheetId="6" hidden="1">{"Wellhead",#N/A,FALSE,"Sheet4";"Casing",#N/A,FALSE,"Sheet4"}</definedName>
    <definedName name="_CAF1" hidden="1">{"Wellhead",#N/A,FALSE,"Sheet4";"Casing",#N/A,FALSE,"Sheet4"}</definedName>
    <definedName name="_cap382">#REF!</definedName>
    <definedName name="_cc2" localSheetId="0" hidden="1">{#N/A,#N/A,FALSE,"Hip.Bas";#N/A,#N/A,FALSE,"ventas";#N/A,#N/A,FALSE,"ingre-Año";#N/A,#N/A,FALSE,"ventas-Año";#N/A,#N/A,FALSE,"Costepro";#N/A,#N/A,FALSE,"inversion";#N/A,#N/A,FALSE,"personal";#N/A,#N/A,FALSE,"Gastos-V";#N/A,#N/A,FALSE,"Circulante";#N/A,#N/A,FALSE,"CONSOLI";#N/A,#N/A,FALSE,"Es-Fin";#N/A,#N/A,FALSE,"Margen-P"}</definedName>
    <definedName name="_cc2" localSheetId="6" hidden="1">{#N/A,#N/A,FALSE,"Hip.Bas";#N/A,#N/A,FALSE,"ventas";#N/A,#N/A,FALSE,"ingre-Año";#N/A,#N/A,FALSE,"ventas-Año";#N/A,#N/A,FALSE,"Costepro";#N/A,#N/A,FALSE,"inversion";#N/A,#N/A,FALSE,"personal";#N/A,#N/A,FALSE,"Gastos-V";#N/A,#N/A,FALSE,"Circulante";#N/A,#N/A,FALSE,"CONSOLI";#N/A,#N/A,FALSE,"Es-Fin";#N/A,#N/A,FALSE,"Margen-P"}</definedName>
    <definedName name="_cc2" hidden="1">{#N/A,#N/A,FALSE,"Hip.Bas";#N/A,#N/A,FALSE,"ventas";#N/A,#N/A,FALSE,"ingre-Año";#N/A,#N/A,FALSE,"ventas-Año";#N/A,#N/A,FALSE,"Costepro";#N/A,#N/A,FALSE,"inversion";#N/A,#N/A,FALSE,"personal";#N/A,#N/A,FALSE,"Gastos-V";#N/A,#N/A,FALSE,"Circulante";#N/A,#N/A,FALSE,"CONSOLI";#N/A,#N/A,FALSE,"Es-Fin";#N/A,#N/A,FALSE,"Margen-P"}</definedName>
    <definedName name="_cc3" localSheetId="0" hidden="1">{#N/A,#N/A,FALSE,"Hip.Bas";#N/A,#N/A,FALSE,"ventas";#N/A,#N/A,FALSE,"ingre-Año";#N/A,#N/A,FALSE,"ventas-Año";#N/A,#N/A,FALSE,"Costepro";#N/A,#N/A,FALSE,"inversion";#N/A,#N/A,FALSE,"personal";#N/A,#N/A,FALSE,"Gastos-V";#N/A,#N/A,FALSE,"Circulante";#N/A,#N/A,FALSE,"CONSOLI";#N/A,#N/A,FALSE,"Es-Fin";#N/A,#N/A,FALSE,"Margen-P"}</definedName>
    <definedName name="_cc3" localSheetId="6" hidden="1">{#N/A,#N/A,FALSE,"Hip.Bas";#N/A,#N/A,FALSE,"ventas";#N/A,#N/A,FALSE,"ingre-Año";#N/A,#N/A,FALSE,"ventas-Año";#N/A,#N/A,FALSE,"Costepro";#N/A,#N/A,FALSE,"inversion";#N/A,#N/A,FALSE,"personal";#N/A,#N/A,FALSE,"Gastos-V";#N/A,#N/A,FALSE,"Circulante";#N/A,#N/A,FALSE,"CONSOLI";#N/A,#N/A,FALSE,"Es-Fin";#N/A,#N/A,FALSE,"Margen-P"}</definedName>
    <definedName name="_cc3" hidden="1">{#N/A,#N/A,FALSE,"Hip.Bas";#N/A,#N/A,FALSE,"ventas";#N/A,#N/A,FALSE,"ingre-Año";#N/A,#N/A,FALSE,"ventas-Año";#N/A,#N/A,FALSE,"Costepro";#N/A,#N/A,FALSE,"inversion";#N/A,#N/A,FALSE,"personal";#N/A,#N/A,FALSE,"Gastos-V";#N/A,#N/A,FALSE,"Circulante";#N/A,#N/A,FALSE,"CONSOLI";#N/A,#N/A,FALSE,"Es-Fin";#N/A,#N/A,FALSE,"Margen-P"}</definedName>
    <definedName name="_cc4" localSheetId="0" hidden="1">{#N/A,#N/A,FALSE,"Hip.Bas";#N/A,#N/A,FALSE,"ventas";#N/A,#N/A,FALSE,"ingre-Año";#N/A,#N/A,FALSE,"ventas-Año";#N/A,#N/A,FALSE,"Costepro";#N/A,#N/A,FALSE,"inversion";#N/A,#N/A,FALSE,"personal";#N/A,#N/A,FALSE,"Gastos-V";#N/A,#N/A,FALSE,"Circulante";#N/A,#N/A,FALSE,"CONSOLI";#N/A,#N/A,FALSE,"Es-Fin";#N/A,#N/A,FALSE,"Margen-P"}</definedName>
    <definedName name="_cc4" localSheetId="6" hidden="1">{#N/A,#N/A,FALSE,"Hip.Bas";#N/A,#N/A,FALSE,"ventas";#N/A,#N/A,FALSE,"ingre-Año";#N/A,#N/A,FALSE,"ventas-Año";#N/A,#N/A,FALSE,"Costepro";#N/A,#N/A,FALSE,"inversion";#N/A,#N/A,FALSE,"personal";#N/A,#N/A,FALSE,"Gastos-V";#N/A,#N/A,FALSE,"Circulante";#N/A,#N/A,FALSE,"CONSOLI";#N/A,#N/A,FALSE,"Es-Fin";#N/A,#N/A,FALSE,"Margen-P"}</definedName>
    <definedName name="_cc4" hidden="1">{#N/A,#N/A,FALSE,"Hip.Bas";#N/A,#N/A,FALSE,"ventas";#N/A,#N/A,FALSE,"ingre-Año";#N/A,#N/A,FALSE,"ventas-Año";#N/A,#N/A,FALSE,"Costepro";#N/A,#N/A,FALSE,"inversion";#N/A,#N/A,FALSE,"personal";#N/A,#N/A,FALSE,"Gastos-V";#N/A,#N/A,FALSE,"Circulante";#N/A,#N/A,FALSE,"CONSOLI";#N/A,#N/A,FALSE,"Es-Fin";#N/A,#N/A,FALSE,"Margen-P"}</definedName>
    <definedName name="_ccc2" localSheetId="0" hidden="1">{#N/A,#N/A,FALSE,"1996PL";#N/A,#N/A,FALSE,"1997PL";#N/A,#N/A,FALSE,"1998PL";#N/A,#N/A,FALSE,"1999PL"}</definedName>
    <definedName name="_ccc2" localSheetId="6" hidden="1">{#N/A,#N/A,FALSE,"1996PL";#N/A,#N/A,FALSE,"1997PL";#N/A,#N/A,FALSE,"1998PL";#N/A,#N/A,FALSE,"1999PL"}</definedName>
    <definedName name="_ccc2" hidden="1">{#N/A,#N/A,FALSE,"1996PL";#N/A,#N/A,FALSE,"1997PL";#N/A,#N/A,FALSE,"1998PL";#N/A,#N/A,FALSE,"1999PL"}</definedName>
    <definedName name="_CF2" localSheetId="0" hidden="1">{#N/A,#N/A,FALSE,"Aging Summary";#N/A,#N/A,FALSE,"Ratio Analysis";#N/A,#N/A,FALSE,"Test 120 Day Accts";#N/A,#N/A,FALSE,"Tickmarks"}</definedName>
    <definedName name="_CF2" localSheetId="6" hidden="1">{#N/A,#N/A,FALSE,"Aging Summary";#N/A,#N/A,FALSE,"Ratio Analysis";#N/A,#N/A,FALSE,"Test 120 Day Accts";#N/A,#N/A,FALSE,"Tickmarks"}</definedName>
    <definedName name="_CF2" hidden="1">{#N/A,#N/A,FALSE,"Aging Summary";#N/A,#N/A,FALSE,"Ratio Analysis";#N/A,#N/A,FALSE,"Test 120 Day Accts";#N/A,#N/A,FALSE,"Tickmarks"}</definedName>
    <definedName name="_cle1" hidden="1">#REF!</definedName>
    <definedName name="_Co50" localSheetId="0" hidden="1">{#N/A,"DR",FALSE,"increm pf";#N/A,"MAMSI",FALSE,"increm pf";#N/A,"MAXI",FALSE,"increm pf";#N/A,"PCAM",FALSE,"increm pf";#N/A,"PHSV",FALSE,"increm pf";#N/A,"SIE",FALSE,"increm pf"}</definedName>
    <definedName name="_Co50" localSheetId="6" hidden="1">{#N/A,"DR",FALSE,"increm pf";#N/A,"MAMSI",FALSE,"increm pf";#N/A,"MAXI",FALSE,"increm pf";#N/A,"PCAM",FALSE,"increm pf";#N/A,"PHSV",FALSE,"increm pf";#N/A,"SIE",FALSE,"increm pf"}</definedName>
    <definedName name="_Co50" hidden="1">{#N/A,"DR",FALSE,"increm pf";#N/A,"MAMSI",FALSE,"increm pf";#N/A,"MAXI",FALSE,"increm pf";#N/A,"PCAM",FALSE,"increm pf";#N/A,"PHSV",FALSE,"increm pf";#N/A,"SIE",FALSE,"increm pf"}</definedName>
    <definedName name="_Com1">#REF!</definedName>
    <definedName name="_Com2">#REF!</definedName>
    <definedName name="_Com3">#REF!</definedName>
    <definedName name="_con1" localSheetId="0" hidden="1">{#N/A,#N/A,TRUE,"PROFIT 11-95"}</definedName>
    <definedName name="_con1" localSheetId="6" hidden="1">{#N/A,#N/A,TRUE,"PROFIT 11-95"}</definedName>
    <definedName name="_con1" hidden="1">{#N/A,#N/A,TRUE,"PROFIT 11-95"}</definedName>
    <definedName name="_con2" localSheetId="0" hidden="1">{#N/A,#N/A,TRUE,"PROFIT 11-95"}</definedName>
    <definedName name="_con2" localSheetId="6" hidden="1">{#N/A,#N/A,TRUE,"PROFIT 11-95"}</definedName>
    <definedName name="_con2" hidden="1">{#N/A,#N/A,TRUE,"PROFIT 11-95"}</definedName>
    <definedName name="_CST2" localSheetId="0" hidden="1">{#N/A,#N/A,FALSE,"Umsatz 99";#N/A,#N/A,FALSE,"ER 99 "}</definedName>
    <definedName name="_CST2" localSheetId="6" hidden="1">{#N/A,#N/A,FALSE,"Umsatz 99";#N/A,#N/A,FALSE,"ER 99 "}</definedName>
    <definedName name="_CST2" hidden="1">{#N/A,#N/A,FALSE,"Umsatz 99";#N/A,#N/A,FALSE,"ER 99 "}</definedName>
    <definedName name="_CST2_1" localSheetId="0" hidden="1">{#N/A,#N/A,FALSE,"Umsatz 99";#N/A,#N/A,FALSE,"ER 99 "}</definedName>
    <definedName name="_CST2_1" localSheetId="6" hidden="1">{#N/A,#N/A,FALSE,"Umsatz 99";#N/A,#N/A,FALSE,"ER 99 "}</definedName>
    <definedName name="_CST2_1" hidden="1">{#N/A,#N/A,FALSE,"Umsatz 99";#N/A,#N/A,FALSE,"ER 99 "}</definedName>
    <definedName name="_CST2_1_1" localSheetId="0" hidden="1">{#N/A,#N/A,FALSE,"Umsatz 99";#N/A,#N/A,FALSE,"ER 99 "}</definedName>
    <definedName name="_CST2_1_1" localSheetId="6" hidden="1">{#N/A,#N/A,FALSE,"Umsatz 99";#N/A,#N/A,FALSE,"ER 99 "}</definedName>
    <definedName name="_CST2_1_1" hidden="1">{#N/A,#N/A,FALSE,"Umsatz 99";#N/A,#N/A,FALSE,"ER 99 "}</definedName>
    <definedName name="_CST2_2" localSheetId="0" hidden="1">{#N/A,#N/A,FALSE,"Umsatz 99";#N/A,#N/A,FALSE,"ER 99 "}</definedName>
    <definedName name="_CST2_2" localSheetId="6" hidden="1">{#N/A,#N/A,FALSE,"Umsatz 99";#N/A,#N/A,FALSE,"ER 99 "}</definedName>
    <definedName name="_CST2_2" hidden="1">{#N/A,#N/A,FALSE,"Umsatz 99";#N/A,#N/A,FALSE,"ER 99 "}</definedName>
    <definedName name="_CST2_3" localSheetId="0" hidden="1">{#N/A,#N/A,FALSE,"Umsatz 99";#N/A,#N/A,FALSE,"ER 99 "}</definedName>
    <definedName name="_CST2_3" localSheetId="6" hidden="1">{#N/A,#N/A,FALSE,"Umsatz 99";#N/A,#N/A,FALSE,"ER 99 "}</definedName>
    <definedName name="_CST2_3" hidden="1">{#N/A,#N/A,FALSE,"Umsatz 99";#N/A,#N/A,FALSE,"ER 99 "}</definedName>
    <definedName name="_CST2_4" localSheetId="0" hidden="1">{#N/A,#N/A,FALSE,"Umsatz 99";#N/A,#N/A,FALSE,"ER 99 "}</definedName>
    <definedName name="_CST2_4" localSheetId="6" hidden="1">{#N/A,#N/A,FALSE,"Umsatz 99";#N/A,#N/A,FALSE,"ER 99 "}</definedName>
    <definedName name="_CST2_4" hidden="1">{#N/A,#N/A,FALSE,"Umsatz 99";#N/A,#N/A,FALSE,"ER 99 "}</definedName>
    <definedName name="_D33" localSheetId="0" hidden="1">{"Olk by Qtr Full",#N/A,FALSE,"Tot PalmPalm";"Olk by Qtr Full",#N/A,FALSE,"Tot Device";"Olk by Qtr Full",#N/A,FALSE,"Platform";"Olk by Qtr Full",#N/A,FALSE,"Palm.Net";"Olk by Qtr Full",#N/A,FALSE,"Elim"}</definedName>
    <definedName name="_D33" localSheetId="6" hidden="1">{"Olk by Qtr Full",#N/A,FALSE,"Tot PalmPalm";"Olk by Qtr Full",#N/A,FALSE,"Tot Device";"Olk by Qtr Full",#N/A,FALSE,"Platform";"Olk by Qtr Full",#N/A,FALSE,"Palm.Net";"Olk by Qtr Full",#N/A,FALSE,"Elim"}</definedName>
    <definedName name="_D33" hidden="1">{"Olk by Qtr Full",#N/A,FALSE,"Tot PalmPalm";"Olk by Qtr Full",#N/A,FALSE,"Tot Device";"Olk by Qtr Full",#N/A,FALSE,"Platform";"Olk by Qtr Full",#N/A,FALSE,"Palm.Net";"Olk by Qtr Full",#N/A,FALSE,"Elim"}</definedName>
    <definedName name="_das2" localSheetId="0" hidden="1">{#N/A,#N/A,TRUE,"Cover";#N/A,#N/A,TRUE,"Summary";#N/A,#N/A,TRUE,"P&amp;L";#N/A,#N/A,TRUE,"CF";#N/A,#N/A,TRUE,"BS";#N/A,#N/A,TRUE,"BS_Assumptions";#N/A,#N/A,TRUE,"GSM1800 - Revenues";#N/A,#N/A,TRUE,"Int'l - Revenues";#N/A,#N/A,TRUE,"Domestic Trunk - Revenues";#N/A,#N/A,TRUE,"Interconnection Charges";#N/A,#N/A,TRUE,"Cost of Service";#N/A,#N/A,TRUE,"Handset Cost";#N/A,#N/A,TRUE,"Op. Expenses";#N/A,#N/A,TRUE,"Debt Schedule";#N/A,#N/A,TRUE,"Capex";#N/A,#N/A,TRUE,"Fixed Assets &amp; Def. Exp.";#N/A,#N/A,TRUE,"Deprec. &amp; Amort.";#N/A,#N/A,TRUE,"Capital Allowance";#N/A,#N/A,TRUE,"Tax Schedule";#N/A,#N/A,TRUE,"P&amp;L (GSM1800)";#N/A,#N/A,TRUE,"P&amp;L (PSTN&amp;EQUAL ACCESS)";#N/A,#N/A,TRUE,"P&amp;L (IDD)";#N/A,#N/A,TRUE,"DCF"}</definedName>
    <definedName name="_das2" localSheetId="6" hidden="1">{#N/A,#N/A,TRUE,"Cover";#N/A,#N/A,TRUE,"Summary";#N/A,#N/A,TRUE,"P&amp;L";#N/A,#N/A,TRUE,"CF";#N/A,#N/A,TRUE,"BS";#N/A,#N/A,TRUE,"BS_Assumptions";#N/A,#N/A,TRUE,"GSM1800 - Revenues";#N/A,#N/A,TRUE,"Int'l - Revenues";#N/A,#N/A,TRUE,"Domestic Trunk - Revenues";#N/A,#N/A,TRUE,"Interconnection Charges";#N/A,#N/A,TRUE,"Cost of Service";#N/A,#N/A,TRUE,"Handset Cost";#N/A,#N/A,TRUE,"Op. Expenses";#N/A,#N/A,TRUE,"Debt Schedule";#N/A,#N/A,TRUE,"Capex";#N/A,#N/A,TRUE,"Fixed Assets &amp; Def. Exp.";#N/A,#N/A,TRUE,"Deprec. &amp; Amort.";#N/A,#N/A,TRUE,"Capital Allowance";#N/A,#N/A,TRUE,"Tax Schedule";#N/A,#N/A,TRUE,"P&amp;L (GSM1800)";#N/A,#N/A,TRUE,"P&amp;L (PSTN&amp;EQUAL ACCESS)";#N/A,#N/A,TRUE,"P&amp;L (IDD)";#N/A,#N/A,TRUE,"DCF"}</definedName>
    <definedName name="_das2" hidden="1">{#N/A,#N/A,TRUE,"Cover";#N/A,#N/A,TRUE,"Summary";#N/A,#N/A,TRUE,"P&amp;L";#N/A,#N/A,TRUE,"CF";#N/A,#N/A,TRUE,"BS";#N/A,#N/A,TRUE,"BS_Assumptions";#N/A,#N/A,TRUE,"GSM1800 - Revenues";#N/A,#N/A,TRUE,"Int'l - Revenues";#N/A,#N/A,TRUE,"Domestic Trunk - Revenues";#N/A,#N/A,TRUE,"Interconnection Charges";#N/A,#N/A,TRUE,"Cost of Service";#N/A,#N/A,TRUE,"Handset Cost";#N/A,#N/A,TRUE,"Op. Expenses";#N/A,#N/A,TRUE,"Debt Schedule";#N/A,#N/A,TRUE,"Capex";#N/A,#N/A,TRUE,"Fixed Assets &amp; Def. Exp.";#N/A,#N/A,TRUE,"Deprec. &amp; Amort.";#N/A,#N/A,TRUE,"Capital Allowance";#N/A,#N/A,TRUE,"Tax Schedule";#N/A,#N/A,TRUE,"P&amp;L (GSM1800)";#N/A,#N/A,TRUE,"P&amp;L (PSTN&amp;EQUAL ACCESS)";#N/A,#N/A,TRUE,"P&amp;L (IDD)";#N/A,#N/A,TRUE,"DCF"}</definedName>
    <definedName name="_DCF1" localSheetId="0" hidden="1">{#N/A,#N/A,FALSE,"Operations";#N/A,#N/A,FALSE,"Financials"}</definedName>
    <definedName name="_DCF1" localSheetId="6" hidden="1">{#N/A,#N/A,FALSE,"Operations";#N/A,#N/A,FALSE,"Financials"}</definedName>
    <definedName name="_DCF1" hidden="1">{#N/A,#N/A,FALSE,"Operations";#N/A,#N/A,FALSE,"Financials"}</definedName>
    <definedName name="_DCF1_" localSheetId="0" hidden="1">{#N/A,#N/A,FALSE,"DCF Summary";#N/A,#N/A,FALSE,"Casema";#N/A,#N/A,FALSE,"Casema NoTel";#N/A,#N/A,FALSE,"UK";#N/A,#N/A,FALSE,"RCF";#N/A,#N/A,FALSE,"Intercable CZ";#N/A,#N/A,FALSE,"Interkabel P"}</definedName>
    <definedName name="_DCF1_" localSheetId="6" hidden="1">{#N/A,#N/A,FALSE,"DCF Summary";#N/A,#N/A,FALSE,"Casema";#N/A,#N/A,FALSE,"Casema NoTel";#N/A,#N/A,FALSE,"UK";#N/A,#N/A,FALSE,"RCF";#N/A,#N/A,FALSE,"Intercable CZ";#N/A,#N/A,FALSE,"Interkabel P"}</definedName>
    <definedName name="_DCF1_" hidden="1">{#N/A,#N/A,FALSE,"DCF Summary";#N/A,#N/A,FALSE,"Casema";#N/A,#N/A,FALSE,"Casema NoTel";#N/A,#N/A,FALSE,"UK";#N/A,#N/A,FALSE,"RCF";#N/A,#N/A,FALSE,"Intercable CZ";#N/A,#N/A,FALSE,"Interkabel P"}</definedName>
    <definedName name="_del1">#REF!</definedName>
    <definedName name="_del2">#REF!</definedName>
    <definedName name="_DER1">#REF!</definedName>
    <definedName name="_DER2">#REF!</definedName>
    <definedName name="_dfd1" localSheetId="0" hidden="1">{"comp1",#N/A,FALSE,"COMPS";"footnotes",#N/A,FALSE,"COMPS"}</definedName>
    <definedName name="_dfd1" localSheetId="6" hidden="1">{"comp1",#N/A,FALSE,"COMPS";"footnotes",#N/A,FALSE,"COMPS"}</definedName>
    <definedName name="_dfd1" hidden="1">{"comp1",#N/A,FALSE,"COMPS";"footnotes",#N/A,FALSE,"COMPS"}</definedName>
    <definedName name="_Dist_Bin" hidden="1">#REF!</definedName>
    <definedName name="_Dist_Values" hidden="1">#REF!</definedName>
    <definedName name="_Dist_Values1" hidden="1">#REF!</definedName>
    <definedName name="_dup1" localSheetId="6" hidden="1">{"ROCE Summ",#N/A,FALSE,"Property Management Exps"}</definedName>
    <definedName name="_dup1" hidden="1">{"ROCE Summ",#N/A,FALSE,"Property Management Exps"}</definedName>
    <definedName name="_edp1" localSheetId="0" hidden="1">{"assumption 50 50",#N/A,TRUE,"Merger";"has gets cash",#N/A,TRUE,"Merger";"accretion dilution",#N/A,TRUE,"Merger";"comparison credit stats",#N/A,TRUE,"Merger";"pf credit stats",#N/A,TRUE,"Merger";"pf sheets",#N/A,TRUE,"Merger"}</definedName>
    <definedName name="_edp1" localSheetId="6" hidden="1">{"assumption 50 50",#N/A,TRUE,"Merger";"has gets cash",#N/A,TRUE,"Merger";"accretion dilution",#N/A,TRUE,"Merger";"comparison credit stats",#N/A,TRUE,"Merger";"pf credit stats",#N/A,TRUE,"Merger";"pf sheets",#N/A,TRUE,"Merger"}</definedName>
    <definedName name="_edp1" hidden="1">{"assumption 50 50",#N/A,TRUE,"Merger";"has gets cash",#N/A,TRUE,"Merger";"accretion dilution",#N/A,TRUE,"Merger";"comparison credit stats",#N/A,TRUE,"Merger";"pf credit stats",#N/A,TRUE,"Merger";"pf sheets",#N/A,TRUE,"Merger"}</definedName>
    <definedName name="_EMP1">#REF!</definedName>
    <definedName name="_eu_lblSeed1" hidden="1">6648124</definedName>
    <definedName name="_eu_lblSeed2" hidden="1">3105613</definedName>
    <definedName name="_eu_lblSeed3" hidden="1">9092828</definedName>
    <definedName name="_eu_lblSeed4" hidden="1">8231087</definedName>
    <definedName name="_eu_lblSeed5" hidden="1">8045525</definedName>
    <definedName name="_eu_lblSeed6" hidden="1">1463957</definedName>
    <definedName name="_eu_lblSeed7" hidden="1">1146085</definedName>
    <definedName name="_eu_lblSeed8" hidden="1">0</definedName>
    <definedName name="_eva2" localSheetId="0" hidden="1">{"DCF",#N/A,FALSE,"CF"}</definedName>
    <definedName name="_eva2" localSheetId="6" hidden="1">{"DCF",#N/A,FALSE,"CF"}</definedName>
    <definedName name="_eva2" hidden="1">{"DCF",#N/A,FALSE,"CF"}</definedName>
    <definedName name="_Example" hidden="1">#REF!</definedName>
    <definedName name="_exp2" localSheetId="6" hidden="1">{"VIEW1",#N/A,FALSE,"P&amp;L Account 2001-2002";"VIEW2",#N/A,FALSE,"P&amp;L Account 2001-2002";"VIEW3",#N/A,FALSE,"P&amp;L Account 2001-2002";"VIEW4",#N/A,FALSE,"P&amp;L Account 2001-2002"}</definedName>
    <definedName name="_exp2" hidden="1">{"VIEW1",#N/A,FALSE,"P&amp;L Account 2001-2002";"VIEW2",#N/A,FALSE,"P&amp;L Account 2001-2002";"VIEW3",#N/A,FALSE,"P&amp;L Account 2001-2002";"VIEW4",#N/A,FALSE,"P&amp;L Account 2001-2002"}</definedName>
    <definedName name="_EXPORT31_UnSavedTag" hidden="1">"WbNotSaved"</definedName>
    <definedName name="_eyr1" localSheetId="0" hidden="1">{"hiden",#N/A,FALSE,"14";"hidden",#N/A,FALSE,"16";"hidden",#N/A,FALSE,"18";"hidden",#N/A,FALSE,"20"}</definedName>
    <definedName name="_eyr1" localSheetId="6" hidden="1">{"hiden",#N/A,FALSE,"14";"hidden",#N/A,FALSE,"16";"hidden",#N/A,FALSE,"18";"hidden",#N/A,FALSE,"20"}</definedName>
    <definedName name="_eyr1" hidden="1">{"hiden",#N/A,FALSE,"14";"hidden",#N/A,FALSE,"16";"hidden",#N/A,FALSE,"18";"hidden",#N/A,FALSE,"20"}</definedName>
    <definedName name="_f1" localSheetId="0" hidden="1">{"assumption cash",#N/A,TRUE,"Merger";"has gets cash",#N/A,TRUE,"Merger";"accretion dilution",#N/A,TRUE,"Merger";"comparison credit stats",#N/A,TRUE,"Merger";"pf credit stats",#N/A,TRUE,"Merger";"pf sheets",#N/A,TRUE,"Merger"}</definedName>
    <definedName name="_f1" localSheetId="6" hidden="1">{"assumption cash",#N/A,TRUE,"Merger";"has gets cash",#N/A,TRUE,"Merger";"accretion dilution",#N/A,TRUE,"Merger";"comparison credit stats",#N/A,TRUE,"Merger";"pf credit stats",#N/A,TRUE,"Merger";"pf sheets",#N/A,TRUE,"Merger"}</definedName>
    <definedName name="_f1" hidden="1">{"assumption cash",#N/A,TRUE,"Merger";"has gets cash",#N/A,TRUE,"Merger";"accretion dilution",#N/A,TRUE,"Merger";"comparison credit stats",#N/A,TRUE,"Merger";"pf credit stats",#N/A,TRUE,"Merger";"pf sheets",#N/A,TRUE,"Merger"}</definedName>
    <definedName name="_F2" hidden="1">#REF!</definedName>
    <definedName name="_FAX4" hidden="1">#REF!</definedName>
    <definedName name="_fds2" localSheetId="0" hidden="1">{"comps",#N/A,FALSE,"comps";"notes",#N/A,FALSE,"comps"}</definedName>
    <definedName name="_fds2" localSheetId="6" hidden="1">{"comps",#N/A,FALSE,"comps";"notes",#N/A,FALSE,"comps"}</definedName>
    <definedName name="_fds2" hidden="1">{"comps",#N/A,FALSE,"comps";"notes",#N/A,FALSE,"comps"}</definedName>
    <definedName name="_Fill" hidden="1">#REF!</definedName>
    <definedName name="_Fill2" hidden="1">#REF!</definedName>
    <definedName name="_xlnm._FilterDatabase" hidden="1">#REF!</definedName>
    <definedName name="_fr1"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fr1" hidden="1">{#N/A,#N/A,TRUE,"Sensonic";#N/A,#N/A,TRUE,"Combimeter";#N/A,#N/A,TRUE,"HKV";#N/A,#N/A,TRUE,"TV";#N/A,#N/A,TRUE,"WZ";#N/A,#N/A,TRUE,"PrepHeatCon";#N/A,#N/A,TRUE,"Sonstiges";#N/A,#N/A,TRUE,"Abrechnung";#N/A,#N/A,TRUE,"Investitionen";#N/A,#N/A,TRUE,"Personal";#N/A,#N/A,TRUE,"sonstige Kosten u. Erträge";#N/A,#N/A,TRUE,"BER";#N/A,#N/A,TRUE,"Monatsaufteilung Budget 1997"}</definedName>
    <definedName name="_fr1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fr12" hidden="1">{#N/A,#N/A,TRUE,"Sensonic";#N/A,#N/A,TRUE,"Combimeter";#N/A,#N/A,TRUE,"HKV";#N/A,#N/A,TRUE,"TV";#N/A,#N/A,TRUE,"WZ";#N/A,#N/A,TRUE,"PrepHeatCon";#N/A,#N/A,TRUE,"Sonstiges";#N/A,#N/A,TRUE,"Abrechnung";#N/A,#N/A,TRUE,"Investitionen";#N/A,#N/A,TRUE,"Personal";#N/A,#N/A,TRUE,"sonstige Kosten u. Erträge";#N/A,#N/A,TRUE,"BER";#N/A,#N/A,TRUE,"Monatsaufteilung Budget 1997"}</definedName>
    <definedName name="_fr14"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fr14" hidden="1">{#N/A,#N/A,TRUE,"Sensonic";#N/A,#N/A,TRUE,"Combimeter";#N/A,#N/A,TRUE,"HKV";#N/A,#N/A,TRUE,"TV";#N/A,#N/A,TRUE,"WZ";#N/A,#N/A,TRUE,"PrepHeatCon";#N/A,#N/A,TRUE,"Sonstiges";#N/A,#N/A,TRUE,"Abrechnung";#N/A,#N/A,TRUE,"Investitionen";#N/A,#N/A,TRUE,"Personal";#N/A,#N/A,TRUE,"sonstige Kosten u. Erträge";#N/A,#N/A,TRUE,"BER";#N/A,#N/A,TRUE,"Monatsaufteilung Budget 1997"}</definedName>
    <definedName name="_fr2"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fr2" hidden="1">{#N/A,#N/A,TRUE,"Sensonic";#N/A,#N/A,TRUE,"Combimeter";#N/A,#N/A,TRUE,"HKV";#N/A,#N/A,TRUE,"TV";#N/A,#N/A,TRUE,"WZ";#N/A,#N/A,TRUE,"PrepHeatCon";#N/A,#N/A,TRUE,"Sonstiges";#N/A,#N/A,TRUE,"Abrechnung";#N/A,#N/A,TRUE,"Investitionen";#N/A,#N/A,TRUE,"Personal";#N/A,#N/A,TRUE,"sonstige Kosten u. Erträge";#N/A,#N/A,TRUE,"BER";#N/A,#N/A,TRUE,"Monatsaufteilung Budget 1997"}</definedName>
    <definedName name="_fr20"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_fr20" hidden="1">{#N/A,#N/A,TRUE,"Sensonic";#N/A,#N/A,TRUE,"Combimeter";#N/A,#N/A,TRUE,"HKV";#N/A,#N/A,TRUE,"TV";#N/A,#N/A,TRUE,"WZ";#N/A,#N/A,TRUE,"PrepHeatCon";#N/A,#N/A,TRUE,"Sonstiges";#N/A,#N/A,TRUE,"Abrechnung";#N/A,#N/A,TRUE,"Investitionen";#N/A,#N/A,TRUE,"Personal";#N/A,#N/A,TRUE,"sonstige Kosten u. Erträge";#N/A,#N/A,TRUE,"BER";#N/A,#N/A,TRUE,"Monatsaufteilung Budget 1997"}</definedName>
    <definedName name="_FSE8" localSheetId="6" hidden="1">{"VIEW1",#N/A,FALSE,"P&amp;L Account 2001-2002";"VIEW2",#N/A,FALSE,"P&amp;L Account 2001-2002";"VIEW3",#N/A,FALSE,"P&amp;L Account 2001-2002";"VIEW4",#N/A,FALSE,"P&amp;L Account 2001-2002"}</definedName>
    <definedName name="_FSE8" hidden="1">{"VIEW1",#N/A,FALSE,"P&amp;L Account 2001-2002";"VIEW2",#N/A,FALSE,"P&amp;L Account 2001-2002";"VIEW3",#N/A,FALSE,"P&amp;L Account 2001-2002";"VIEW4",#N/A,FALSE,"P&amp;L Account 2001-2002"}</definedName>
    <definedName name="_FT08" hidden="1">"3OYHDJRF05V1IN1D1R6C32J5E"</definedName>
    <definedName name="_fy97" localSheetId="0" hidden="1">{#N/A,#N/A,FALSE,"FY97";#N/A,#N/A,FALSE,"FY98";#N/A,#N/A,FALSE,"FY99";#N/A,#N/A,FALSE,"FY00";#N/A,#N/A,FALSE,"FY01"}</definedName>
    <definedName name="_fy97" localSheetId="6" hidden="1">{#N/A,#N/A,FALSE,"FY97";#N/A,#N/A,FALSE,"FY98";#N/A,#N/A,FALSE,"FY99";#N/A,#N/A,FALSE,"FY00";#N/A,#N/A,FALSE,"FY01"}</definedName>
    <definedName name="_fy97" hidden="1">{#N/A,#N/A,FALSE,"FY97";#N/A,#N/A,FALSE,"FY98";#N/A,#N/A,FALSE,"FY99";#N/A,#N/A,FALSE,"FY00";#N/A,#N/A,FALSE,"FY01"}</definedName>
    <definedName name="_ggf1" localSheetId="0" hidden="1">{"comps",#N/A,FALSE,"comps";"notes",#N/A,FALSE,"comps"}</definedName>
    <definedName name="_ggf1" localSheetId="6" hidden="1">{"comps",#N/A,FALSE,"comps";"notes",#N/A,FALSE,"comps"}</definedName>
    <definedName name="_ggf1" hidden="1">{"comps",#N/A,FALSE,"comps";"notes",#N/A,FALSE,"comps"}</definedName>
    <definedName name="_GR3" localSheetId="0" hidden="1">{"Informes",#N/A,FALSE,"CA";"Informes",#N/A,FALSE,"CN";"Informes",#N/A,FALSE,"INVERSIONES";"Informes",#N/A,FALSE,"CN Oficial";"Informes",#N/A,FALSE,"CA Oficial";"Informes",#N/A,FALSE,"Res Datos Areas"}</definedName>
    <definedName name="_GR3" localSheetId="6" hidden="1">{"Informes",#N/A,FALSE,"CA";"Informes",#N/A,FALSE,"CN";"Informes",#N/A,FALSE,"INVERSIONES";"Informes",#N/A,FALSE,"CN Oficial";"Informes",#N/A,FALSE,"CA Oficial";"Informes",#N/A,FALSE,"Res Datos Areas"}</definedName>
    <definedName name="_GR3" hidden="1">{"Informes",#N/A,FALSE,"CA";"Informes",#N/A,FALSE,"CN";"Informes",#N/A,FALSE,"INVERSIONES";"Informes",#N/A,FALSE,"CN Oficial";"Informes",#N/A,FALSE,"CA Oficial";"Informes",#N/A,FALSE,"Res Datos Areas"}</definedName>
    <definedName name="_graph_Y" hidden="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SRATESR_1" hidden="1">#REF!</definedName>
    <definedName name="_GSRATESR_2"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huh3"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huh3"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_i3" localSheetId="0" hidden="1">{"vue1",#N/A,FALSE,"synthese";"vue2",#N/A,FALSE,"synthese"}</definedName>
    <definedName name="_i3" localSheetId="6" hidden="1">{"vue1",#N/A,FALSE,"synthese";"vue2",#N/A,FALSE,"synthese"}</definedName>
    <definedName name="_i3" hidden="1">{"vue1",#N/A,FALSE,"synthese";"vue2",#N/A,FALSE,"synthese"}</definedName>
    <definedName name="_ik1" localSheetId="0" hidden="1">{"casespecific",#N/A,FALSE,"Assumptions"}</definedName>
    <definedName name="_ik1" localSheetId="6" hidden="1">{"casespecific",#N/A,FALSE,"Assumptions"}</definedName>
    <definedName name="_ik1" hidden="1">{"casespecific",#N/A,FALSE,"Assumptions"}</definedName>
    <definedName name="_JAN04" localSheetId="0" hidden="1">{#N/A,#N/A,FALSE,"PROFIT 11-95"}</definedName>
    <definedName name="_JAN04" localSheetId="6" hidden="1">{#N/A,#N/A,FALSE,"PROFIT 11-95"}</definedName>
    <definedName name="_JAN04" hidden="1">{#N/A,#N/A,FALSE,"PROFIT 11-95"}</definedName>
    <definedName name="_Jan05" localSheetId="4" hidden="1">Main.SAPF4Help()</definedName>
    <definedName name="_Jan05" localSheetId="2" hidden="1">Main.SAPF4Help()</definedName>
    <definedName name="_Jan05" localSheetId="6" hidden="1">Main.SAPF4Help()</definedName>
    <definedName name="_Jan05" hidden="1">Main.SAPF4Help()</definedName>
    <definedName name="_Jan06" localSheetId="4" hidden="1">Main.SAPF4Help()</definedName>
    <definedName name="_Jan06" localSheetId="2" hidden="1">Main.SAPF4Help()</definedName>
    <definedName name="_Jan06" localSheetId="6" hidden="1">Main.SAPF4Help()</definedName>
    <definedName name="_Jan06" hidden="1">Main.SAPF4Help()</definedName>
    <definedName name="_JB1">#REF!</definedName>
    <definedName name="_JB2">#REF!</definedName>
    <definedName name="_JB3">#REF!</definedName>
    <definedName name="_k1" hidden="1">#REF!</definedName>
    <definedName name="_k2" hidden="1">#REF!</definedName>
    <definedName name="_KAW999929" hidden="1">#REF!</definedName>
    <definedName name="_KAW999934" hidden="1">#REF!</definedName>
    <definedName name="_KAW999950" hidden="1">#REF!</definedName>
    <definedName name="_Key1" hidden="1">#REF!</definedName>
    <definedName name="_Key1a" hidden="1">#REF!</definedName>
    <definedName name="_Key1b" hidden="1">#REF!</definedName>
    <definedName name="_Key2" hidden="1">#REF!</definedName>
    <definedName name="_Key3" hidden="1">#REF!</definedName>
    <definedName name="_Key4" hidden="1">#REF!</definedName>
    <definedName name="_Key99" hidden="1">#REF!</definedName>
    <definedName name="_Keyn" hidden="1">#REF!</definedName>
    <definedName name="_kkk" hidden="1">#REF!</definedName>
    <definedName name="_kol1" localSheetId="0" hidden="1">{"away stand alones",#N/A,FALSE,"Target"}</definedName>
    <definedName name="_kol1" localSheetId="6" hidden="1">{"away stand alones",#N/A,FALSE,"Target"}</definedName>
    <definedName name="_kol1" hidden="1">{"away stand alones",#N/A,FALSE,"Target"}</definedName>
    <definedName name="_l08" localSheetId="0" hidden="1">{"vue1",#N/A,FALSE,"synthese";"vue2",#N/A,FALSE,"synthese"}</definedName>
    <definedName name="_l08" localSheetId="6" hidden="1">{"vue1",#N/A,FALSE,"synthese";"vue2",#N/A,FALSE,"synthese"}</definedName>
    <definedName name="_l08" hidden="1">{"vue1",#N/A,FALSE,"synthese";"vue2",#N/A,FALSE,"synthese"}</definedName>
    <definedName name="_MatInvers_In2" hidden="1">#REF!</definedName>
    <definedName name="_MatInverse_In" hidden="1">#REF!</definedName>
    <definedName name="_MatInverse_Out" hidden="1">#REF!</definedName>
    <definedName name="_MatMult_B" hidden="1">#REF!</definedName>
    <definedName name="_May1" hidden="1">#REF!</definedName>
    <definedName name="_mp2" localSheetId="0"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_mp2" localSheetId="6"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_mp2" hidden="1">{#N/A,#N/A,FALSE,"Restructure";#N/A,#N/A,FALSE,"IS Productivity";#N/A,#N/A,FALSE,"Chargeability Chart 18A";#N/A,#N/A,FALSE,"Productivity Chart 18B";#N/A,#N/A,FALSE,"Services P&amp;L";#N/A,#N/A,FALSE,"Variances Chart 19A";#N/A,#N/A,FALSE,"Orders in Call";#N/A,#N/A,FALSE,"Orders not in Call";#N/A,#N/A,FALSE,"Backlog";#N/A,#N/A,FALSE,"Coverage";#N/A,#N/A,FALSE,"Program A";#N/A,#N/A,FALSE,"Program B";#N/A,#N/A,FALSE,"Program C";#N/A,#N/A,FALSE,"Program D";#N/A,#N/A,FALSE,"Program E";#N/A,#N/A,FALSE,"Non P&amp;L WW ";#N/A,#N/A,FALSE,"MAPS";#N/A,#N/A,FALSE,"Action Plans"}</definedName>
    <definedName name="_n1" localSheetId="0"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_n1" localSheetId="6"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_n1" hidden="1">{"cover",#N/A,TRUE,"Cover";"toc8",#N/A,TRUE,"TOC";"over",#N/A,TRUE,"Overview";"ts2",#N/A,TRUE,"Det_Trans_Sum";"ei1c",#N/A,TRUE,"Earnings Impact";"ad1",#N/A,TRUE,"accretion dilution";"pfis1",#N/A,TRUE,"Pro Forma Income Statement";"ca1",#N/A,TRUE,"Contribution_Analysis";"profba",#N/A,TRUE,"Pro Forma Balance Sheet";"acq1c",#N/A,TRUE,"Acquirer";"tar1c",#N/A,TRUE,"Target"}</definedName>
    <definedName name="_new1" localSheetId="0" hidden="1">{#N/A,#N/A,FALSE,"Pharm";#N/A,#N/A,FALSE,"WWCM"}</definedName>
    <definedName name="_new1" localSheetId="6" hidden="1">{#N/A,#N/A,FALSE,"Pharm";#N/A,#N/A,FALSE,"WWCM"}</definedName>
    <definedName name="_new1" hidden="1">{#N/A,#N/A,FALSE,"Pharm";#N/A,#N/A,FALSE,"WWCM"}</definedName>
    <definedName name="_new1_1" localSheetId="0" hidden="1">{#N/A,#N/A,FALSE,"Pharm";#N/A,#N/A,FALSE,"WWCM"}</definedName>
    <definedName name="_new1_1" localSheetId="6" hidden="1">{#N/A,#N/A,FALSE,"Pharm";#N/A,#N/A,FALSE,"WWCM"}</definedName>
    <definedName name="_new1_1" hidden="1">{#N/A,#N/A,FALSE,"Pharm";#N/A,#N/A,FALSE,"WWCM"}</definedName>
    <definedName name="_new1_1_1" localSheetId="0" hidden="1">{#N/A,#N/A,FALSE,"Pharm";#N/A,#N/A,FALSE,"WWCM"}</definedName>
    <definedName name="_new1_1_1" localSheetId="6" hidden="1">{#N/A,#N/A,FALSE,"Pharm";#N/A,#N/A,FALSE,"WWCM"}</definedName>
    <definedName name="_new1_1_1" hidden="1">{#N/A,#N/A,FALSE,"Pharm";#N/A,#N/A,FALSE,"WWCM"}</definedName>
    <definedName name="_new1_2" localSheetId="0" hidden="1">{#N/A,#N/A,FALSE,"Pharm";#N/A,#N/A,FALSE,"WWCM"}</definedName>
    <definedName name="_new1_2" localSheetId="6" hidden="1">{#N/A,#N/A,FALSE,"Pharm";#N/A,#N/A,FALSE,"WWCM"}</definedName>
    <definedName name="_new1_2" hidden="1">{#N/A,#N/A,FALSE,"Pharm";#N/A,#N/A,FALSE,"WWCM"}</definedName>
    <definedName name="_new1_3" localSheetId="0" hidden="1">{#N/A,#N/A,FALSE,"Pharm";#N/A,#N/A,FALSE,"WWCM"}</definedName>
    <definedName name="_new1_3" localSheetId="6" hidden="1">{#N/A,#N/A,FALSE,"Pharm";#N/A,#N/A,FALSE,"WWCM"}</definedName>
    <definedName name="_new1_3" hidden="1">{#N/A,#N/A,FALSE,"Pharm";#N/A,#N/A,FALSE,"WWCM"}</definedName>
    <definedName name="_new1_4" localSheetId="0" hidden="1">{#N/A,#N/A,FALSE,"Pharm";#N/A,#N/A,FALSE,"WWCM"}</definedName>
    <definedName name="_new1_4" localSheetId="6" hidden="1">{#N/A,#N/A,FALSE,"Pharm";#N/A,#N/A,FALSE,"WWCM"}</definedName>
    <definedName name="_new1_4" hidden="1">{#N/A,#N/A,FALSE,"Pharm";#N/A,#N/A,FALSE,"WWCM"}</definedName>
    <definedName name="_new1_5" localSheetId="0" hidden="1">{#N/A,#N/A,FALSE,"Pharm";#N/A,#N/A,FALSE,"WWCM"}</definedName>
    <definedName name="_new1_5" localSheetId="6" hidden="1">{#N/A,#N/A,FALSE,"Pharm";#N/A,#N/A,FALSE,"WWCM"}</definedName>
    <definedName name="_new1_5" hidden="1">{#N/A,#N/A,FALSE,"Pharm";#N/A,#N/A,FALSE,"WWCM"}</definedName>
    <definedName name="_new10">#REF!</definedName>
    <definedName name="_new11">#REF!</definedName>
    <definedName name="_new12">#REF!</definedName>
    <definedName name="_new13">#REF!</definedName>
    <definedName name="_new14">#REF!</definedName>
    <definedName name="_new2" hidden="1">0</definedName>
    <definedName name="_new3">#REF!</definedName>
    <definedName name="_new4">#REF!</definedName>
    <definedName name="_new5">#REF!</definedName>
    <definedName name="_new6">#REF!</definedName>
    <definedName name="_new7">#REF!</definedName>
    <definedName name="_new8">#REF!</definedName>
    <definedName name="_new9">#REF!</definedName>
    <definedName name="_Ns123456">#REF!</definedName>
    <definedName name="_nsn01">#REF!</definedName>
    <definedName name="_nsn02">#REF!</definedName>
    <definedName name="_nsn03">#REF!</definedName>
    <definedName name="_nsn04">#REF!</definedName>
    <definedName name="_nsn05">#REF!</definedName>
    <definedName name="_nsn06">#REF!</definedName>
    <definedName name="_nsn07">#REF!</definedName>
    <definedName name="_nsn08">#REF!</definedName>
    <definedName name="_nsn09">#REF!</definedName>
    <definedName name="_nsn10">#REF!</definedName>
    <definedName name="_nz3" localSheetId="6" hidden="1">{#N/A,#N/A,FALSE,"BE";#N/A,#N/A,FALSE,"Bia";#N/A,#N/A,FALSE,"By";#N/A,#N/A,FALSE,"Bor";#N/A,#N/A,FALSE,"Gab";#N/A,#N/A,FALSE,"Gar";#N/A,#N/A,FALSE,"Lov";#N/A,#N/A,FALSE,"SJ";#N/A,#N/A,FALSE,"SM";#N/A,#N/A,FALSE,"Wb";#N/A,#N/A,FALSE,"Yok"}</definedName>
    <definedName name="_nz3" hidden="1">{#N/A,#N/A,FALSE,"BE";#N/A,#N/A,FALSE,"Bia";#N/A,#N/A,FALSE,"By";#N/A,#N/A,FALSE,"Bor";#N/A,#N/A,FALSE,"Gab";#N/A,#N/A,FALSE,"Gar";#N/A,#N/A,FALSE,"Lov";#N/A,#N/A,FALSE,"SJ";#N/A,#N/A,FALSE,"SM";#N/A,#N/A,FALSE,"Wb";#N/A,#N/A,FALSE,"Yok"}</definedName>
    <definedName name="_OIL1"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OIL1"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OIL1"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_ok1" localSheetId="0"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 localSheetId="6"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0" localSheetId="0" hidden="1">{#N/A,#N/A,FALSE,"Calc";#N/A,#N/A,FALSE,"Sensitivity";#N/A,#N/A,FALSE,"LT Earn.Dil.";#N/A,#N/A,FALSE,"Dil. AVP"}</definedName>
    <definedName name="_ok10" localSheetId="6" hidden="1">{#N/A,#N/A,FALSE,"Calc";#N/A,#N/A,FALSE,"Sensitivity";#N/A,#N/A,FALSE,"LT Earn.Dil.";#N/A,#N/A,FALSE,"Dil. AVP"}</definedName>
    <definedName name="_ok10" hidden="1">{#N/A,#N/A,FALSE,"Calc";#N/A,#N/A,FALSE,"Sensitivity";#N/A,#N/A,FALSE,"LT Earn.Dil.";#N/A,#N/A,FALSE,"Dil. AVP"}</definedName>
    <definedName name="_ok11" localSheetId="0"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1" localSheetId="6"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1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k2" localSheetId="0" hidden="1">{#N/A,#N/A,FALSE,"Cover";#N/A,#N/A,FALSE,"LUMI";#N/A,#N/A,FALSE,"COMD";#N/A,#N/A,FALSE,"Valuation";#N/A,#N/A,FALSE,"Assumptions";#N/A,#N/A,FALSE,"Pooling";#N/A,#N/A,FALSE,"BalanceSheet"}</definedName>
    <definedName name="_ok2" localSheetId="6" hidden="1">{#N/A,#N/A,FALSE,"Cover";#N/A,#N/A,FALSE,"LUMI";#N/A,#N/A,FALSE,"COMD";#N/A,#N/A,FALSE,"Valuation";#N/A,#N/A,FALSE,"Assumptions";#N/A,#N/A,FALSE,"Pooling";#N/A,#N/A,FALSE,"BalanceSheet"}</definedName>
    <definedName name="_ok2" hidden="1">{#N/A,#N/A,FALSE,"Cover";#N/A,#N/A,FALSE,"LUMI";#N/A,#N/A,FALSE,"COMD";#N/A,#N/A,FALSE,"Valuation";#N/A,#N/A,FALSE,"Assumptions";#N/A,#N/A,FALSE,"Pooling";#N/A,#N/A,FALSE,"BalanceSheet"}</definedName>
    <definedName name="_oku1" localSheetId="0" hidden="1">{"equity comps",#N/A,FALSE,"CS Comps";"equity comps",#N/A,FALSE,"PS Comps";"equity comps",#N/A,FALSE,"GIC_Comps";"equity comps",#N/A,FALSE,"GIC2_Comps";"debt comps",#N/A,FALSE,"CS Comps";"debt comps",#N/A,FALSE,"PS Comps";"debt comps",#N/A,FALSE,"GIC_Comps";"debt comps",#N/A,FALSE,"GIC2_Comps"}</definedName>
    <definedName name="_oku1" localSheetId="6" hidden="1">{"equity comps",#N/A,FALSE,"CS Comps";"equity comps",#N/A,FALSE,"PS Comps";"equity comps",#N/A,FALSE,"GIC_Comps";"equity comps",#N/A,FALSE,"GIC2_Comps";"debt comps",#N/A,FALSE,"CS Comps";"debt comps",#N/A,FALSE,"PS Comps";"debt comps",#N/A,FALSE,"GIC_Comps";"debt comps",#N/A,FALSE,"GIC2_Comps"}</definedName>
    <definedName name="_oku1" hidden="1">{"equity comps",#N/A,FALSE,"CS Comps";"equity comps",#N/A,FALSE,"PS Comps";"equity comps",#N/A,FALSE,"GIC_Comps";"equity comps",#N/A,FALSE,"GIC2_Comps";"debt comps",#N/A,FALSE,"CS Comps";"debt comps",#N/A,FALSE,"PS Comps";"debt comps",#N/A,FALSE,"GIC_Comps";"debt comps",#N/A,FALSE,"GIC2_Comps"}</definedName>
    <definedName name="_old3" localSheetId="0" hidden="1">{0,FALSE,4.45014771701848E-308,0}</definedName>
    <definedName name="_old3" localSheetId="6" hidden="1">{0,FALSE,4.45014771701848E-308,0}</definedName>
    <definedName name="_old3" hidden="1">{0,FALSE,4.45014771701848E-308,0}</definedName>
    <definedName name="_old3_1" localSheetId="6" hidden="1">{#N/A,#N/A,FALSE,"Summary";#N/A,#N/A,FALSE,"3TJ";#N/A,#N/A,FALSE,"3TN";#N/A,#N/A,FALSE,"3TP";#N/A,#N/A,FALSE,"3SJ";#N/A,#N/A,FALSE,"3CJ";#N/A,#N/A,FALSE,"3CN";#N/A,#N/A,FALSE,"3CP";#N/A,#N/A,FALSE,"3A"}</definedName>
    <definedName name="_old3_1" hidden="1">{#N/A,#N/A,FALSE,"Summary";#N/A,#N/A,FALSE,"3TJ";#N/A,#N/A,FALSE,"3TN";#N/A,#N/A,FALSE,"3TP";#N/A,#N/A,FALSE,"3SJ";#N/A,#N/A,FALSE,"3CJ";#N/A,#N/A,FALSE,"3CN";#N/A,#N/A,FALSE,"3CP";#N/A,#N/A,FALSE,"3A"}</definedName>
    <definedName name="_old5" localSheetId="6"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5_1" localSheetId="6" hidden="1">{#N/A,#N/A,FALSE,"Summary";#N/A,#N/A,FALSE,"3TJ";#N/A,#N/A,FALSE,"3TN";#N/A,#N/A,FALSE,"3TP";#N/A,#N/A,FALSE,"3SJ";#N/A,#N/A,FALSE,"3CJ";#N/A,#N/A,FALSE,"3CN";#N/A,#N/A,FALSE,"3CP";#N/A,#N/A,FALSE,"3A"}</definedName>
    <definedName name="_old5_1" hidden="1">{#N/A,#N/A,FALSE,"Summary";#N/A,#N/A,FALSE,"3TJ";#N/A,#N/A,FALSE,"3TN";#N/A,#N/A,FALSE,"3TP";#N/A,#N/A,FALSE,"3SJ";#N/A,#N/A,FALSE,"3CJ";#N/A,#N/A,FALSE,"3CN";#N/A,#N/A,FALSE,"3CP";#N/A,#N/A,FALSE,"3A"}</definedName>
    <definedName name="_old7" localSheetId="6"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ld7_1" localSheetId="6" hidden="1">{#N/A,#N/A,FALSE,"Summary";#N/A,#N/A,FALSE,"3TJ";#N/A,#N/A,FALSE,"3TN";#N/A,#N/A,FALSE,"3TP";#N/A,#N/A,FALSE,"3SJ";#N/A,#N/A,FALSE,"3CJ";#N/A,#N/A,FALSE,"3CN";#N/A,#N/A,FALSE,"3CP";#N/A,#N/A,FALSE,"3A"}</definedName>
    <definedName name="_old7_1" hidden="1">{#N/A,#N/A,FALSE,"Summary";#N/A,#N/A,FALSE,"3TJ";#N/A,#N/A,FALSE,"3TN";#N/A,#N/A,FALSE,"3TP";#N/A,#N/A,FALSE,"3SJ";#N/A,#N/A,FALSE,"3CJ";#N/A,#N/A,FALSE,"3CN";#N/A,#N/A,FALSE,"3CP";#N/A,#N/A,FALSE,"3A"}</definedName>
    <definedName name="_Open_Amount_for_Al_Tayer_Insignia_LLC_July_00" hidden="1">#REF!</definedName>
    <definedName name="_ORD1" hidden="1">255</definedName>
    <definedName name="_Order1" localSheetId="0" hidden="1">255</definedName>
    <definedName name="_Order1" hidden="1">0</definedName>
    <definedName name="_Order1_1" hidden="1">255</definedName>
    <definedName name="_Order2" hidden="1">255</definedName>
    <definedName name="_Order3" hidden="1">255</definedName>
    <definedName name="_P00comps1" hidden="1">#REF!</definedName>
    <definedName name="_P00comps2" hidden="1">#REF!</definedName>
    <definedName name="_palopasteviewstyle" hidden="1">"White"</definedName>
    <definedName name="_Parse_In" hidden="1">#REF!</definedName>
    <definedName name="_Parse_Out" hidden="1">#REF!</definedName>
    <definedName name="_PFPControl__" hidden="1">"PFP"</definedName>
    <definedName name="_pippo" hidden="1">#REF!</definedName>
    <definedName name="_PL2" localSheetId="0"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2" localSheetId="6"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2"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3" localSheetId="0"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3" localSheetId="6"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3"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4" localSheetId="0" hidden="1">{#N/A,#N/A,FALSE,"Report Data";#N/A,#N/A,FALSE,"COMP POOL";#N/A,#N/A,FALSE,"COMP POOL NB95";#N/A,#N/A,FALSE,"COMP POOL NB94"}</definedName>
    <definedName name="_PL4" localSheetId="6" hidden="1">{#N/A,#N/A,FALSE,"Report Data";#N/A,#N/A,FALSE,"COMP POOL";#N/A,#N/A,FALSE,"COMP POOL NB95";#N/A,#N/A,FALSE,"COMP POOL NB94"}</definedName>
    <definedName name="_PL4" hidden="1">{#N/A,#N/A,FALSE,"Report Data";#N/A,#N/A,FALSE,"COMP POOL";#N/A,#N/A,FALSE,"COMP POOL NB95";#N/A,#N/A,FALSE,"COMP POOL NB94"}</definedName>
    <definedName name="_PL5" localSheetId="0"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5" localSheetId="6"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L5"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po1" localSheetId="0" hidden="1">{#N/A,#N/A,FALSE,"Calc";#N/A,#N/A,FALSE,"Sensitivity";#N/A,#N/A,FALSE,"LT Earn.Dil.";#N/A,#N/A,FALSE,"Dil. AVP"}</definedName>
    <definedName name="_po1" localSheetId="6" hidden="1">{#N/A,#N/A,FALSE,"Calc";#N/A,#N/A,FALSE,"Sensitivity";#N/A,#N/A,FALSE,"LT Earn.Dil.";#N/A,#N/A,FALSE,"Dil. AVP"}</definedName>
    <definedName name="_po1" hidden="1">{#N/A,#N/A,FALSE,"Calc";#N/A,#N/A,FALSE,"Sensitivity";#N/A,#N/A,FALSE,"LT Earn.Dil.";#N/A,#N/A,FALSE,"Dil. AVP"}</definedName>
    <definedName name="_poi1" localSheetId="0" hidden="1">{"assumption 50 50",#N/A,TRUE,"Merger";"has gets cash",#N/A,TRUE,"Merger";"accretion dilution",#N/A,TRUE,"Merger";"comparison credit stats",#N/A,TRUE,"Merger";"pf credit stats",#N/A,TRUE,"Merger";"pf sheets",#N/A,TRUE,"Merger"}</definedName>
    <definedName name="_poi1" localSheetId="6" hidden="1">{"assumption 50 50",#N/A,TRUE,"Merger";"has gets cash",#N/A,TRUE,"Merger";"accretion dilution",#N/A,TRUE,"Merger";"comparison credit stats",#N/A,TRUE,"Merger";"pf credit stats",#N/A,TRUE,"Merger";"pf sheets",#N/A,TRUE,"Merger"}</definedName>
    <definedName name="_poi1" hidden="1">{"assumption 50 50",#N/A,TRUE,"Merger";"has gets cash",#N/A,TRUE,"Merger";"accretion dilution",#N/A,TRUE,"Merger";"comparison credit stats",#N/A,TRUE,"Merger";"pf credit stats",#N/A,TRUE,"Merger";"pf sheets",#N/A,TRUE,"Merger"}</definedName>
    <definedName name="_pr1">#REF!</definedName>
    <definedName name="_pr2">#REF!</definedName>
    <definedName name="_pr3">#REF!</definedName>
    <definedName name="_q1" localSheetId="0"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_q1" localSheetId="6"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_q1"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_q12" hidden="1">#REF!</definedName>
    <definedName name="_Q3" localSheetId="0" hidden="1">{"'INDICE'!$A$1:$K$13","'1'!$A$1:$CC$78","'2'!$A$1:$P$78","'3'!$A$1:$CI$78","'4'!$A$1:$Q$78"}</definedName>
    <definedName name="_Q3" localSheetId="6" hidden="1">{"'INDICE'!$A$1:$K$13","'1'!$A$1:$CC$78","'2'!$A$1:$P$78","'3'!$A$1:$CI$78","'4'!$A$1:$Q$78"}</definedName>
    <definedName name="_Q3" hidden="1">{"'INDICE'!$A$1:$K$13","'1'!$A$1:$CC$78","'2'!$A$1:$P$78","'3'!$A$1:$CI$78","'4'!$A$1:$Q$78"}</definedName>
    <definedName name="_Q3_1" localSheetId="0" hidden="1">{"'INDICE'!$A$1:$K$13","'1'!$A$1:$CC$78","'2'!$A$1:$P$78","'3'!$A$1:$CI$78","'4'!$A$1:$Q$78"}</definedName>
    <definedName name="_Q3_1" localSheetId="6" hidden="1">{"'INDICE'!$A$1:$K$13","'1'!$A$1:$CC$78","'2'!$A$1:$P$78","'3'!$A$1:$CI$78","'4'!$A$1:$Q$78"}</definedName>
    <definedName name="_Q3_1" hidden="1">{"'INDICE'!$A$1:$K$13","'1'!$A$1:$CC$78","'2'!$A$1:$P$78","'3'!$A$1:$CI$78","'4'!$A$1:$Q$78"}</definedName>
    <definedName name="_qq1" localSheetId="0"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_qq1" localSheetId="6"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_qq1"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_r_1" localSheetId="0" hidden="1">{#N/A,#N/A,FALSE,"Pharm";#N/A,#N/A,FALSE,"WWCM"}</definedName>
    <definedName name="_r_1" localSheetId="6" hidden="1">{#N/A,#N/A,FALSE,"Pharm";#N/A,#N/A,FALSE,"WWCM"}</definedName>
    <definedName name="_r_1" hidden="1">{#N/A,#N/A,FALSE,"Pharm";#N/A,#N/A,FALSE,"WWCM"}</definedName>
    <definedName name="_r_1_1" localSheetId="0" hidden="1">{#N/A,#N/A,FALSE,"Pharm";#N/A,#N/A,FALSE,"WWCM"}</definedName>
    <definedName name="_r_1_1" localSheetId="6" hidden="1">{#N/A,#N/A,FALSE,"Pharm";#N/A,#N/A,FALSE,"WWCM"}</definedName>
    <definedName name="_r_1_1" hidden="1">{#N/A,#N/A,FALSE,"Pharm";#N/A,#N/A,FALSE,"WWCM"}</definedName>
    <definedName name="_r_2" localSheetId="0" hidden="1">{#N/A,#N/A,FALSE,"Pharm";#N/A,#N/A,FALSE,"WWCM"}</definedName>
    <definedName name="_r_2" localSheetId="6" hidden="1">{#N/A,#N/A,FALSE,"Pharm";#N/A,#N/A,FALSE,"WWCM"}</definedName>
    <definedName name="_r_2" hidden="1">{#N/A,#N/A,FALSE,"Pharm";#N/A,#N/A,FALSE,"WWCM"}</definedName>
    <definedName name="_r_3" localSheetId="0" hidden="1">{#N/A,#N/A,FALSE,"Pharm";#N/A,#N/A,FALSE,"WWCM"}</definedName>
    <definedName name="_r_3" localSheetId="6" hidden="1">{#N/A,#N/A,FALSE,"Pharm";#N/A,#N/A,FALSE,"WWCM"}</definedName>
    <definedName name="_r_3" hidden="1">{#N/A,#N/A,FALSE,"Pharm";#N/A,#N/A,FALSE,"WWCM"}</definedName>
    <definedName name="_r_4" localSheetId="0" hidden="1">{#N/A,#N/A,FALSE,"Pharm";#N/A,#N/A,FALSE,"WWCM"}</definedName>
    <definedName name="_r_4" localSheetId="6" hidden="1">{#N/A,#N/A,FALSE,"Pharm";#N/A,#N/A,FALSE,"WWCM"}</definedName>
    <definedName name="_r_4" hidden="1">{#N/A,#N/A,FALSE,"Pharm";#N/A,#N/A,FALSE,"WWCM"}</definedName>
    <definedName name="_r_5" localSheetId="0" hidden="1">{#N/A,#N/A,FALSE,"Pharm";#N/A,#N/A,FALSE,"WWCM"}</definedName>
    <definedName name="_r_5" localSheetId="6" hidden="1">{#N/A,#N/A,FALSE,"Pharm";#N/A,#N/A,FALSE,"WWCM"}</definedName>
    <definedName name="_r_5" hidden="1">{#N/A,#N/A,FALSE,"Pharm";#N/A,#N/A,FALSE,"WWCM"}</definedName>
    <definedName name="_re34"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re34"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re34"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_Regression_Int" hidden="1">1</definedName>
    <definedName name="_Regression_Out" hidden="1">#REF!</definedName>
    <definedName name="_Regression_X" hidden="1">#REF!</definedName>
    <definedName name="_Regression_Y" hidden="1">#REF!</definedName>
    <definedName name="_roi01">#REF!</definedName>
    <definedName name="_roi02">#REF!</definedName>
    <definedName name="_roi03">#REF!</definedName>
    <definedName name="_roi04">#REF!</definedName>
    <definedName name="_roi05">#REF!</definedName>
    <definedName name="_roi06">#REF!</definedName>
    <definedName name="_roi07">#REF!</definedName>
    <definedName name="_roi08">#REF!</definedName>
    <definedName name="_roi09">#REF!</definedName>
    <definedName name="_roi10">#REF!</definedName>
    <definedName name="_ROS1">#REF!</definedName>
    <definedName name="_ROS2">#REF!</definedName>
    <definedName name="_rr1" localSheetId="0" hidden="1">{"sch25",#N/A,FALSE,"Provisions &lt;1yr";"sch25a",#N/A,FALSE,"Provisions &lt;1yr"}</definedName>
    <definedName name="_rr1" localSheetId="6" hidden="1">{"sch25",#N/A,FALSE,"Provisions &lt;1yr";"sch25a",#N/A,FALSE,"Provisions &lt;1yr"}</definedName>
    <definedName name="_rr1" hidden="1">{"sch25",#N/A,FALSE,"Provisions &lt;1yr";"sch25a",#N/A,FALSE,"Provisions &lt;1yr"}</definedName>
    <definedName name="_rr1_1" localSheetId="0" hidden="1">{"sch25",#N/A,FALSE,"Provisions &lt;1yr";"sch25a",#N/A,FALSE,"Provisions &lt;1yr"}</definedName>
    <definedName name="_rr1_1" localSheetId="6" hidden="1">{"sch25",#N/A,FALSE,"Provisions &lt;1yr";"sch25a",#N/A,FALSE,"Provisions &lt;1yr"}</definedName>
    <definedName name="_rr1_1" hidden="1">{"sch25",#N/A,FALSE,"Provisions &lt;1yr";"sch25a",#N/A,FALSE,"Provisions &lt;1yr"}</definedName>
    <definedName name="_rr2" localSheetId="0" hidden="1">{"sch34",#N/A,FALSE,"Flash rec";"sch34a",#N/A,FALSE,"Flash rec";"sch34b",#N/A,FALSE,"Flash rec"}</definedName>
    <definedName name="_rr2" localSheetId="6" hidden="1">{"sch34",#N/A,FALSE,"Flash rec";"sch34a",#N/A,FALSE,"Flash rec";"sch34b",#N/A,FALSE,"Flash rec"}</definedName>
    <definedName name="_rr2" hidden="1">{"sch34",#N/A,FALSE,"Flash rec";"sch34a",#N/A,FALSE,"Flash rec";"sch34b",#N/A,FALSE,"Flash rec"}</definedName>
    <definedName name="_rr2_1" localSheetId="0" hidden="1">{"sch34",#N/A,FALSE,"Flash rec";"sch34a",#N/A,FALSE,"Flash rec";"sch34b",#N/A,FALSE,"Flash rec"}</definedName>
    <definedName name="_rr2_1" localSheetId="6" hidden="1">{"sch34",#N/A,FALSE,"Flash rec";"sch34a",#N/A,FALSE,"Flash rec";"sch34b",#N/A,FALSE,"Flash rec"}</definedName>
    <definedName name="_rr2_1" hidden="1">{"sch34",#N/A,FALSE,"Flash rec";"sch34a",#N/A,FALSE,"Flash rec";"sch34b",#N/A,FALSE,"Flash rec"}</definedName>
    <definedName name="_rr6" localSheetId="0" hidden="1">{"sch4a",#N/A,FALSE,"Expenses";"sch4b",#N/A,FALSE,"Expenses";"sch4c",#N/A,FALSE,"Expenses";"schd",#N/A,FALSE,"Expenses"}</definedName>
    <definedName name="_rr6" localSheetId="6" hidden="1">{"sch4a",#N/A,FALSE,"Expenses";"sch4b",#N/A,FALSE,"Expenses";"sch4c",#N/A,FALSE,"Expenses";"schd",#N/A,FALSE,"Expenses"}</definedName>
    <definedName name="_rr6" hidden="1">{"sch4a",#N/A,FALSE,"Expenses";"sch4b",#N/A,FALSE,"Expenses";"sch4c",#N/A,FALSE,"Expenses";"schd",#N/A,FALSE,"Expenses"}</definedName>
    <definedName name="_rr6_1" localSheetId="0" hidden="1">{"sch4a",#N/A,FALSE,"Expenses";"sch4b",#N/A,FALSE,"Expenses";"sch4c",#N/A,FALSE,"Expenses";"schd",#N/A,FALSE,"Expenses"}</definedName>
    <definedName name="_rr6_1" localSheetId="6" hidden="1">{"sch4a",#N/A,FALSE,"Expenses";"sch4b",#N/A,FALSE,"Expenses";"sch4c",#N/A,FALSE,"Expenses";"schd",#N/A,FALSE,"Expenses"}</definedName>
    <definedName name="_rr6_1" hidden="1">{"sch4a",#N/A,FALSE,"Expenses";"sch4b",#N/A,FALSE,"Expenses";"sch4c",#N/A,FALSE,"Expenses";"schd",#N/A,FALSE,"Expenses"}</definedName>
    <definedName name="_rrr3" localSheetId="0" hidden="1">{"sch7a",#N/A,FALSE,"Interest pd";"sch7b",#N/A,FALSE,"Interest pd"}</definedName>
    <definedName name="_rrr3" localSheetId="6" hidden="1">{"sch7a",#N/A,FALSE,"Interest pd";"sch7b",#N/A,FALSE,"Interest pd"}</definedName>
    <definedName name="_rrr3" hidden="1">{"sch7a",#N/A,FALSE,"Interest pd";"sch7b",#N/A,FALSE,"Interest pd"}</definedName>
    <definedName name="_rrr3_1" localSheetId="0" hidden="1">{"sch7a",#N/A,FALSE,"Interest pd";"sch7b",#N/A,FALSE,"Interest pd"}</definedName>
    <definedName name="_rrr3_1" localSheetId="6" hidden="1">{"sch7a",#N/A,FALSE,"Interest pd";"sch7b",#N/A,FALSE,"Interest pd"}</definedName>
    <definedName name="_rrr3_1" hidden="1">{"sch7a",#N/A,FALSE,"Interest pd";"sch7b",#N/A,FALSE,"Interest pd"}</definedName>
    <definedName name="_rrr4" localSheetId="0" hidden="1">{"sch30",#N/A,FALSE,"Reserves";"sch30a",#N/A,FALSE,"Reserves";"sch30b",#N/A,FALSE,"Reserves"}</definedName>
    <definedName name="_rrr4" localSheetId="6" hidden="1">{"sch30",#N/A,FALSE,"Reserves";"sch30a",#N/A,FALSE,"Reserves";"sch30b",#N/A,FALSE,"Reserves"}</definedName>
    <definedName name="_rrr4" hidden="1">{"sch30",#N/A,FALSE,"Reserves";"sch30a",#N/A,FALSE,"Reserves";"sch30b",#N/A,FALSE,"Reserves"}</definedName>
    <definedName name="_rrr4_1" localSheetId="0" hidden="1">{"sch30",#N/A,FALSE,"Reserves";"sch30a",#N/A,FALSE,"Reserves";"sch30b",#N/A,FALSE,"Reserves"}</definedName>
    <definedName name="_rrr4_1" localSheetId="6" hidden="1">{"sch30",#N/A,FALSE,"Reserves";"sch30a",#N/A,FALSE,"Reserves";"sch30b",#N/A,FALSE,"Reserves"}</definedName>
    <definedName name="_rrr4_1" hidden="1">{"sch30",#N/A,FALSE,"Reserves";"sch30a",#N/A,FALSE,"Reserves";"sch30b",#N/A,FALSE,"Reserves"}</definedName>
    <definedName name="_rty1" localSheetId="0" hidden="1">{#N/A,#N/A,TRUE,"Pro Forma";#N/A,#N/A,TRUE,"PF_Bal";#N/A,#N/A,TRUE,"PF_INC";#N/A,#N/A,TRUE,"CBE";#N/A,#N/A,TRUE,"SWK"}</definedName>
    <definedName name="_rty1" localSheetId="6" hidden="1">{#N/A,#N/A,TRUE,"Pro Forma";#N/A,#N/A,TRUE,"PF_Bal";#N/A,#N/A,TRUE,"PF_INC";#N/A,#N/A,TRUE,"CBE";#N/A,#N/A,TRUE,"SWK"}</definedName>
    <definedName name="_rty1" hidden="1">{#N/A,#N/A,TRUE,"Pro Forma";#N/A,#N/A,TRUE,"PF_Bal";#N/A,#N/A,TRUE,"PF_INC";#N/A,#N/A,TRUE,"CBE";#N/A,#N/A,TRUE,"SWK"}</definedName>
    <definedName name="_s"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s"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s"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s1" hidden="1">#REF!</definedName>
    <definedName name="_s2" hidden="1">#REF!</definedName>
    <definedName name="_s3" hidden="1">#REF!</definedName>
    <definedName name="_s4" hidden="1">#REF!</definedName>
    <definedName name="_s5" hidden="1">#REF!</definedName>
    <definedName name="_s6" hidden="1">#REF!</definedName>
    <definedName name="_SA1" localSheetId="0" hidden="1">{#N/A,#N/A,TRUE,"0 Deckbl.";#N/A,#N/A,TRUE,"S 1 Komm";#N/A,#N/A,TRUE,"S 1a Komm";#N/A,#N/A,TRUE,"S 1b Komm";#N/A,#N/A,TRUE,"S  2 DBR";#N/A,#N/A,TRUE,"S  3 Sparten";#N/A,#N/A,TRUE,"S 4  Betr. K.";#N/A,#N/A,TRUE,"6 Bilanz";#N/A,#N/A,TRUE,"6a Bilanz ";#N/A,#N/A,TRUE,"6b Bilanz ";#N/A,#N/A,TRUE,"7 GS I";#N/A,#N/A,TRUE,"S 8 EQ-GuV"}</definedName>
    <definedName name="_SA1" localSheetId="6" hidden="1">{#N/A,#N/A,TRUE,"0 Deckbl.";#N/A,#N/A,TRUE,"S 1 Komm";#N/A,#N/A,TRUE,"S 1a Komm";#N/A,#N/A,TRUE,"S 1b Komm";#N/A,#N/A,TRUE,"S  2 DBR";#N/A,#N/A,TRUE,"S  3 Sparten";#N/A,#N/A,TRUE,"S 4  Betr. K.";#N/A,#N/A,TRUE,"6 Bilanz";#N/A,#N/A,TRUE,"6a Bilanz ";#N/A,#N/A,TRUE,"6b Bilanz ";#N/A,#N/A,TRUE,"7 GS I";#N/A,#N/A,TRUE,"S 8 EQ-GuV"}</definedName>
    <definedName name="_SA1" hidden="1">{#N/A,#N/A,TRUE,"0 Deckbl.";#N/A,#N/A,TRUE,"S 1 Komm";#N/A,#N/A,TRUE,"S 1a Komm";#N/A,#N/A,TRUE,"S 1b Komm";#N/A,#N/A,TRUE,"S  2 DBR";#N/A,#N/A,TRUE,"S  3 Sparten";#N/A,#N/A,TRUE,"S 4  Betr. K.";#N/A,#N/A,TRUE,"6 Bilanz";#N/A,#N/A,TRUE,"6a Bilanz ";#N/A,#N/A,TRUE,"6b Bilanz ";#N/A,#N/A,TRUE,"7 GS I";#N/A,#N/A,TRUE,"S 8 EQ-GuV"}</definedName>
    <definedName name="_sd2" localSheetId="0" hidden="1">{#N/A,#N/A,FALSE,"1996PL";#N/A,#N/A,FALSE,"1997PL";#N/A,#N/A,FALSE,"1998PL";#N/A,#N/A,FALSE,"1999PL"}</definedName>
    <definedName name="_sd2" localSheetId="6" hidden="1">{#N/A,#N/A,FALSE,"1996PL";#N/A,#N/A,FALSE,"1997PL";#N/A,#N/A,FALSE,"1998PL";#N/A,#N/A,FALSE,"1999PL"}</definedName>
    <definedName name="_sd2" hidden="1">{#N/A,#N/A,FALSE,"1996PL";#N/A,#N/A,FALSE,"1997PL";#N/A,#N/A,FALSE,"1998PL";#N/A,#N/A,FALSE,"1999PL"}</definedName>
    <definedName name="_sds2" localSheetId="0" hidden="1">{#N/A,#N/A,FALSE,"Aging Summary";#N/A,#N/A,FALSE,"Ratio Analysis";#N/A,#N/A,FALSE,"Test 120 Day Accts";#N/A,#N/A,FALSE,"Tickmarks"}</definedName>
    <definedName name="_sds2" localSheetId="6" hidden="1">{#N/A,#N/A,FALSE,"Aging Summary";#N/A,#N/A,FALSE,"Ratio Analysis";#N/A,#N/A,FALSE,"Test 120 Day Accts";#N/A,#N/A,FALSE,"Tickmarks"}</definedName>
    <definedName name="_sds2" hidden="1">{#N/A,#N/A,FALSE,"Aging Summary";#N/A,#N/A,FALSE,"Ratio Analysis";#N/A,#N/A,FALSE,"Test 120 Day Accts";#N/A,#N/A,FALSE,"Tickmarks"}</definedName>
    <definedName name="_Series" hidden="1">#REF!</definedName>
    <definedName name="_sga" hidden="1">#REF!</definedName>
    <definedName name="_Shading" hidden="1">#REF!</definedName>
    <definedName name="_Sort" localSheetId="0" hidden="1">#REF!</definedName>
    <definedName name="_Sort" hidden="1">#REF!</definedName>
    <definedName name="_Sort2" hidden="1">#REF!</definedName>
    <definedName name="_Sortb" hidden="1">#REF!</definedName>
    <definedName name="_Sortn" hidden="1">#REF!</definedName>
    <definedName name="_sum02" hidden="1">#REF!</definedName>
    <definedName name="_T_J" hidden="1">#REF!</definedName>
    <definedName name="_t1"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1"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1"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2"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2"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2"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2_Out" hidden="1">#REF!</definedName>
    <definedName name="_T2_Out2" hidden="1">#REF!</definedName>
    <definedName name="_t3"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3"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3"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3_Out" hidden="1">#REF!</definedName>
    <definedName name="_t4"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4"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4"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5"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5"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5"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_Table1_In1" localSheetId="0" hidden="1">#REF!</definedName>
    <definedName name="_Table1_In1" hidden="1">#REF!</definedName>
    <definedName name="_Table1_In1_Dollar" hidden="1">#REF!</definedName>
    <definedName name="_Table1_In1_Dollar2" hidden="1">#REF!</definedName>
    <definedName name="_Table1_In1_Euro" hidden="1">#REF!</definedName>
    <definedName name="_Table1_In2" hidden="1">#REF!</definedName>
    <definedName name="_Table1_Out" hidden="1">#REF!</definedName>
    <definedName name="_Table1_Out_Dollar" hidden="1">#REF!</definedName>
    <definedName name="_Table1_out2" hidden="1">#REF!</definedName>
    <definedName name="_Table2_In1" hidden="1">#REF!</definedName>
    <definedName name="_Table2_In1_Dollar" hidden="1">#REF!</definedName>
    <definedName name="_Table2_In2" hidden="1">#REF!</definedName>
    <definedName name="_Table2_Out" hidden="1">#REF!</definedName>
    <definedName name="_Table2_Out_Dollar" hidden="1">#REF!</definedName>
    <definedName name="_Table2_Out2" hidden="1">#REF!</definedName>
    <definedName name="_Table3_In2" hidden="1">#REF!</definedName>
    <definedName name="_Table9_Out" hidden="1">#REF!</definedName>
    <definedName name="_tm1" localSheetId="0" hidden="1">{#N/A,#N/A,FALSE,"Pharm";#N/A,#N/A,FALSE,"WWCM"}</definedName>
    <definedName name="_tm1" localSheetId="6" hidden="1">{#N/A,#N/A,FALSE,"Pharm";#N/A,#N/A,FALSE,"WWCM"}</definedName>
    <definedName name="_tm1" hidden="1">{#N/A,#N/A,FALSE,"Pharm";#N/A,#N/A,FALSE,"WWCM"}</definedName>
    <definedName name="_tm1_1" localSheetId="0" hidden="1">{#N/A,#N/A,FALSE,"Pharm";#N/A,#N/A,FALSE,"WWCM"}</definedName>
    <definedName name="_tm1_1" localSheetId="6" hidden="1">{#N/A,#N/A,FALSE,"Pharm";#N/A,#N/A,FALSE,"WWCM"}</definedName>
    <definedName name="_tm1_1" hidden="1">{#N/A,#N/A,FALSE,"Pharm";#N/A,#N/A,FALSE,"WWCM"}</definedName>
    <definedName name="_tm1_1_1" localSheetId="0" hidden="1">{#N/A,#N/A,FALSE,"Pharm";#N/A,#N/A,FALSE,"WWCM"}</definedName>
    <definedName name="_tm1_1_1" localSheetId="6" hidden="1">{#N/A,#N/A,FALSE,"Pharm";#N/A,#N/A,FALSE,"WWCM"}</definedName>
    <definedName name="_tm1_1_1" hidden="1">{#N/A,#N/A,FALSE,"Pharm";#N/A,#N/A,FALSE,"WWCM"}</definedName>
    <definedName name="_tm1_2" localSheetId="0" hidden="1">{#N/A,#N/A,FALSE,"Pharm";#N/A,#N/A,FALSE,"WWCM"}</definedName>
    <definedName name="_tm1_2" localSheetId="6" hidden="1">{#N/A,#N/A,FALSE,"Pharm";#N/A,#N/A,FALSE,"WWCM"}</definedName>
    <definedName name="_tm1_2" hidden="1">{#N/A,#N/A,FALSE,"Pharm";#N/A,#N/A,FALSE,"WWCM"}</definedName>
    <definedName name="_tm1_3" localSheetId="0" hidden="1">{#N/A,#N/A,FALSE,"Pharm";#N/A,#N/A,FALSE,"WWCM"}</definedName>
    <definedName name="_tm1_3" localSheetId="6" hidden="1">{#N/A,#N/A,FALSE,"Pharm";#N/A,#N/A,FALSE,"WWCM"}</definedName>
    <definedName name="_tm1_3" hidden="1">{#N/A,#N/A,FALSE,"Pharm";#N/A,#N/A,FALSE,"WWCM"}</definedName>
    <definedName name="_tm1_4" localSheetId="0" hidden="1">{#N/A,#N/A,FALSE,"Pharm";#N/A,#N/A,FALSE,"WWCM"}</definedName>
    <definedName name="_tm1_4" localSheetId="6" hidden="1">{#N/A,#N/A,FALSE,"Pharm";#N/A,#N/A,FALSE,"WWCM"}</definedName>
    <definedName name="_tm1_4" hidden="1">{#N/A,#N/A,FALSE,"Pharm";#N/A,#N/A,FALSE,"WWCM"}</definedName>
    <definedName name="_tm1_5" localSheetId="0" hidden="1">{#N/A,#N/A,FALSE,"Pharm";#N/A,#N/A,FALSE,"WWCM"}</definedName>
    <definedName name="_tm1_5" localSheetId="6" hidden="1">{#N/A,#N/A,FALSE,"Pharm";#N/A,#N/A,FALSE,"WWCM"}</definedName>
    <definedName name="_tm1_5" hidden="1">{#N/A,#N/A,FALSE,"Pharm";#N/A,#N/A,FALSE,"WWCM"}</definedName>
    <definedName name="_Trial_Balance1_00" hidden="1">#REF!</definedName>
    <definedName name="_Twwer" hidden="1">#REF!</definedName>
    <definedName name="_ver1" localSheetId="0"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ver1" localSheetId="6"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ver1"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_Ver2" localSheetId="0" hidden="1">{#N/A,#N/A,FALSE,"Aging Summary";#N/A,#N/A,FALSE,"Ratio Analysis";#N/A,#N/A,FALSE,"Test 120 Day Accts";#N/A,#N/A,FALSE,"Tickmarks"}</definedName>
    <definedName name="_Ver2" localSheetId="6" hidden="1">{#N/A,#N/A,FALSE,"Aging Summary";#N/A,#N/A,FALSE,"Ratio Analysis";#N/A,#N/A,FALSE,"Test 120 Day Accts";#N/A,#N/A,FALSE,"Tickmarks"}</definedName>
    <definedName name="_Ver2" hidden="1">{#N/A,#N/A,FALSE,"Aging Summary";#N/A,#N/A,FALSE,"Ratio Analysis";#N/A,#N/A,FALSE,"Test 120 Day Accts";#N/A,#N/A,FALSE,"Tickmarks"}</definedName>
    <definedName name="_vid5" localSheetId="6" hidden="1">{"VIEW1",#N/A,FALSE,"P&amp;L Account 2001-2002";"VIEW2",#N/A,FALSE,"P&amp;L Account 2001-2002";"VIEW3",#N/A,FALSE,"P&amp;L Account 2001-2002";"VIEW4",#N/A,FALSE,"P&amp;L Account 2001-2002"}</definedName>
    <definedName name="_vid5" hidden="1">{"VIEW1",#N/A,FALSE,"P&amp;L Account 2001-2002";"VIEW2",#N/A,FALSE,"P&amp;L Account 2001-2002";"VIEW3",#N/A,FALSE,"P&amp;L Account 2001-2002";"VIEW4",#N/A,FALSE,"P&amp;L Account 2001-2002"}</definedName>
    <definedName name="_vid6" localSheetId="6" hidden="1">{"VIEW1",#N/A,FALSE,"P&amp;L Account 2001-2002";"VIEW2",#N/A,FALSE,"P&amp;L Account 2001-2002";"VIEW3",#N/A,FALSE,"P&amp;L Account 2001-2002";"VIEW4",#N/A,FALSE,"P&amp;L Account 2001-2002"}</definedName>
    <definedName name="_vid6" hidden="1">{"VIEW1",#N/A,FALSE,"P&amp;L Account 2001-2002";"VIEW2",#N/A,FALSE,"P&amp;L Account 2001-2002";"VIEW3",#N/A,FALSE,"P&amp;L Account 2001-2002";"VIEW4",#N/A,FALSE,"P&amp;L Account 2001-2002"}</definedName>
    <definedName name="_VID7" localSheetId="6" hidden="1">{"VIEW1",#N/A,FALSE,"P&amp;L Account 2001-2002";"VIEW2",#N/A,FALSE,"P&amp;L Account 2001-2002";"VIEW3",#N/A,FALSE,"P&amp;L Account 2001-2002";"VIEW4",#N/A,FALSE,"P&amp;L Account 2001-2002"}</definedName>
    <definedName name="_VID7" hidden="1">{"VIEW1",#N/A,FALSE,"P&amp;L Account 2001-2002";"VIEW2",#N/A,FALSE,"P&amp;L Account 2001-2002";"VIEW3",#N/A,FALSE,"P&amp;L Account 2001-2002";"VIEW4",#N/A,FALSE,"P&amp;L Account 2001-2002"}</definedName>
    <definedName name="_VIR5" localSheetId="6" hidden="1">{"VIEW1",#N/A,FALSE,"P&amp;L Account 2001-2002";"VIEW2",#N/A,FALSE,"P&amp;L Account 2001-2002";"VIEW3",#N/A,FALSE,"P&amp;L Account 2001-2002";"VIEW4",#N/A,FALSE,"P&amp;L Account 2001-2002"}</definedName>
    <definedName name="_VIR5" hidden="1">{"VIEW1",#N/A,FALSE,"P&amp;L Account 2001-2002";"VIEW2",#N/A,FALSE,"P&amp;L Account 2001-2002";"VIEW3",#N/A,FALSE,"P&amp;L Account 2001-2002";"VIEW4",#N/A,FALSE,"P&amp;L Account 2001-2002"}</definedName>
    <definedName name="_VIR6" localSheetId="6" hidden="1">{"VIEW1",#N/A,FALSE,"P&amp;L Account 2001-2002";"VIEW2",#N/A,FALSE,"P&amp;L Account 2001-2002";"VIEW3",#N/A,FALSE,"P&amp;L Account 2001-2002";"VIEW4",#N/A,FALSE,"P&amp;L Account 2001-2002"}</definedName>
    <definedName name="_VIR6" hidden="1">{"VIEW1",#N/A,FALSE,"P&amp;L Account 2001-2002";"VIEW2",#N/A,FALSE,"P&amp;L Account 2001-2002";"VIEW3",#N/A,FALSE,"P&amp;L Account 2001-2002";"VIEW4",#N/A,FALSE,"P&amp;L Account 2001-2002"}</definedName>
    <definedName name="_wacc_spain" localSheetId="0" hidden="1">{#N/A,#N/A,TRUE,"Peer Groups";#N/A,#N/A,TRUE,"Zinssätze";#N/A,#N/A,TRUE,"Sonstige Parameter";#N/A,#N/A,TRUE,"WACC Konzern";#N/A,#N/A,TRUE,"Beta Konzern";#N/A,#N/A,TRUE,"WACC Regulierung";#N/A,#N/A,TRUE,"WACCs Interne Steuerung";#N/A,#N/A,TRUE,"WACCs RUs TCOM";"T-COM Deutschland",#N/A,TRUE,"Beta TCOM";"T-COM Ungarn",#N/A,TRUE,"Beta TCOM";"T-COM Kroatien",#N/A,TRUE,"Beta TCOM";"T-COM Slowakei",#N/A,TRUE,"Beta TCOM";#N/A,#N/A,TRUE,"WACCs RUs TSI";#N/A,#N/A,TRUE,"Beta TSI TK";#N/A,#N/A,TRUE,"Beta TSI IT";#N/A,#N/A,TRUE,"WACCs RUs TMO";"TMO Deutschland",#N/A,TRUE,"Beta TMO Europa";"TMO Großbritannien",#N/A,TRUE,"Beta TMO Europa";"TMO Niederlande",#N/A,TRUE,"Beta TMO Europa";"TMO Österreich",#N/A,TRUE,"Beta TMO Europa";"TMO Tschechische Republik",#N/A,TRUE,"Beta TMO Europa";"TMO Polen",#N/A,TRUE,"Beta TMO Europa";#N/A,#N/A,TRUE,"Beta TMO US";#N/A,#N/A,TRUE,"WACCs RUs TOI";#N/A,#N/A,TRUE,"Beta TOI"}</definedName>
    <definedName name="_wacc_spain" localSheetId="6" hidden="1">{#N/A,#N/A,TRUE,"Peer Groups";#N/A,#N/A,TRUE,"Zinssätze";#N/A,#N/A,TRUE,"Sonstige Parameter";#N/A,#N/A,TRUE,"WACC Konzern";#N/A,#N/A,TRUE,"Beta Konzern";#N/A,#N/A,TRUE,"WACC Regulierung";#N/A,#N/A,TRUE,"WACCs Interne Steuerung";#N/A,#N/A,TRUE,"WACCs RUs TCOM";"T-COM Deutschland",#N/A,TRUE,"Beta TCOM";"T-COM Ungarn",#N/A,TRUE,"Beta TCOM";"T-COM Kroatien",#N/A,TRUE,"Beta TCOM";"T-COM Slowakei",#N/A,TRUE,"Beta TCOM";#N/A,#N/A,TRUE,"WACCs RUs TSI";#N/A,#N/A,TRUE,"Beta TSI TK";#N/A,#N/A,TRUE,"Beta TSI IT";#N/A,#N/A,TRUE,"WACCs RUs TMO";"TMO Deutschland",#N/A,TRUE,"Beta TMO Europa";"TMO Großbritannien",#N/A,TRUE,"Beta TMO Europa";"TMO Niederlande",#N/A,TRUE,"Beta TMO Europa";"TMO Österreich",#N/A,TRUE,"Beta TMO Europa";"TMO Tschechische Republik",#N/A,TRUE,"Beta TMO Europa";"TMO Polen",#N/A,TRUE,"Beta TMO Europa";#N/A,#N/A,TRUE,"Beta TMO US";#N/A,#N/A,TRUE,"WACCs RUs TOI";#N/A,#N/A,TRUE,"Beta TOI"}</definedName>
    <definedName name="_wacc_spain" hidden="1">{#N/A,#N/A,TRUE,"Peer Groups";#N/A,#N/A,TRUE,"Zinssätze";#N/A,#N/A,TRUE,"Sonstige Parameter";#N/A,#N/A,TRUE,"WACC Konzern";#N/A,#N/A,TRUE,"Beta Konzern";#N/A,#N/A,TRUE,"WACC Regulierung";#N/A,#N/A,TRUE,"WACCs Interne Steuerung";#N/A,#N/A,TRUE,"WACCs RUs TCOM";"T-COM Deutschland",#N/A,TRUE,"Beta TCOM";"T-COM Ungarn",#N/A,TRUE,"Beta TCOM";"T-COM Kroatien",#N/A,TRUE,"Beta TCOM";"T-COM Slowakei",#N/A,TRUE,"Beta TCOM";#N/A,#N/A,TRUE,"WACCs RUs TSI";#N/A,#N/A,TRUE,"Beta TSI TK";#N/A,#N/A,TRUE,"Beta TSI IT";#N/A,#N/A,TRUE,"WACCs RUs TMO";"TMO Deutschland",#N/A,TRUE,"Beta TMO Europa";"TMO Großbritannien",#N/A,TRUE,"Beta TMO Europa";"TMO Niederlande",#N/A,TRUE,"Beta TMO Europa";"TMO Österreich",#N/A,TRUE,"Beta TMO Europa";"TMO Tschechische Republik",#N/A,TRUE,"Beta TMO Europa";"TMO Polen",#N/A,TRUE,"Beta TMO Europa";#N/A,#N/A,TRUE,"Beta TMO US";#N/A,#N/A,TRUE,"WACCs RUs TOI";#N/A,#N/A,TRUE,"Beta TOI"}</definedName>
    <definedName name="_wer33" localSheetId="0" hidden="1">{"cover",#N/A,TRUE,"Cover";"toc5",#N/A,TRUE,"TOC";"over",#N/A,TRUE,"Overview";"ts2",#N/A,TRUE,"Det_Trans_Sum";"ei1",#N/A,TRUE,"Earnings Impact";"ad1",#N/A,TRUE,"accretion dilution";"pfis1",#N/A,TRUE,"Pro Forma Income Statement";"ca1",#N/A,TRUE,"Contribution_Analysis";"acq1",#N/A,TRUE,"Acquirer";"tar1",#N/A,TRUE,"Target"}</definedName>
    <definedName name="_wer33" localSheetId="6" hidden="1">{"cover",#N/A,TRUE,"Cover";"toc5",#N/A,TRUE,"TOC";"over",#N/A,TRUE,"Overview";"ts2",#N/A,TRUE,"Det_Trans_Sum";"ei1",#N/A,TRUE,"Earnings Impact";"ad1",#N/A,TRUE,"accretion dilution";"pfis1",#N/A,TRUE,"Pro Forma Income Statement";"ca1",#N/A,TRUE,"Contribution_Analysis";"acq1",#N/A,TRUE,"Acquirer";"tar1",#N/A,TRUE,"Target"}</definedName>
    <definedName name="_wer33" hidden="1">{"cover",#N/A,TRUE,"Cover";"toc5",#N/A,TRUE,"TOC";"over",#N/A,TRUE,"Overview";"ts2",#N/A,TRUE,"Det_Trans_Sum";"ei1",#N/A,TRUE,"Earnings Impact";"ad1",#N/A,TRUE,"accretion dilution";"pfis1",#N/A,TRUE,"Pro Forma Income Statement";"ca1",#N/A,TRUE,"Contribution_Analysis";"acq1",#N/A,TRUE,"Acquirer";"tar1",#N/A,TRUE,"Target"}</definedName>
    <definedName name="_wrm3" localSheetId="0" hidden="1">{"vue1",#N/A,FALSE,"synthese";"vue2",#N/A,FALSE,"synthese"}</definedName>
    <definedName name="_wrm3" localSheetId="6" hidden="1">{"vue1",#N/A,FALSE,"synthese";"vue2",#N/A,FALSE,"synthese"}</definedName>
    <definedName name="_wrm3" hidden="1">{"vue1",#N/A,FALSE,"synthese";"vue2",#N/A,FALSE,"synthese"}</definedName>
    <definedName name="_wrn1" localSheetId="0" hidden="1">{#N/A,#N/A,FALSE,"DCF";#N/A,#N/A,FALSE,"WACC";#N/A,#N/A,FALSE,"Sales_EBIT";#N/A,#N/A,FALSE,"Capex_Depreciation";#N/A,#N/A,FALSE,"WC";#N/A,#N/A,FALSE,"Interest";#N/A,#N/A,FALSE,"Assumptions"}</definedName>
    <definedName name="_wrn1" localSheetId="6" hidden="1">{#N/A,#N/A,FALSE,"DCF";#N/A,#N/A,FALSE,"WACC";#N/A,#N/A,FALSE,"Sales_EBIT";#N/A,#N/A,FALSE,"Capex_Depreciation";#N/A,#N/A,FALSE,"WC";#N/A,#N/A,FALSE,"Interest";#N/A,#N/A,FALSE,"Assumptions"}</definedName>
    <definedName name="_wrn1" hidden="1">{#N/A,#N/A,FALSE,"DCF";#N/A,#N/A,FALSE,"WACC";#N/A,#N/A,FALSE,"Sales_EBIT";#N/A,#N/A,FALSE,"Capex_Depreciation";#N/A,#N/A,FALSE,"WC";#N/A,#N/A,FALSE,"Interest";#N/A,#N/A,FALSE,"Assumptions"}</definedName>
    <definedName name="_wrn2" localSheetId="0" hidden="1">{"vue1",#N/A,FALSE,"synthese";"vue2",#N/A,FALSE,"synthese"}</definedName>
    <definedName name="_wrn2" localSheetId="6" hidden="1">{"vue1",#N/A,FALSE,"synthese";"vue2",#N/A,FALSE,"synthese"}</definedName>
    <definedName name="_wrn2" hidden="1">{"vue1",#N/A,FALSE,"synthese";"vue2",#N/A,FALSE,"synthese"}</definedName>
    <definedName name="_wrn22" localSheetId="0" hidden="1">{#N/A,#N/A,FALSE,"1996PL";#N/A,#N/A,FALSE,"1997PL";#N/A,#N/A,FALSE,"1998PL";#N/A,#N/A,FALSE,"1999PL"}</definedName>
    <definedName name="_wrn22" localSheetId="6" hidden="1">{#N/A,#N/A,FALSE,"1996PL";#N/A,#N/A,FALSE,"1997PL";#N/A,#N/A,FALSE,"1998PL";#N/A,#N/A,FALSE,"1999PL"}</definedName>
    <definedName name="_wrn22" hidden="1">{#N/A,#N/A,FALSE,"1996PL";#N/A,#N/A,FALSE,"1997PL";#N/A,#N/A,FALSE,"1998PL";#N/A,#N/A,FALSE,"1999PL"}</definedName>
    <definedName name="_wrn3" localSheetId="0" hidden="1">{"vue1",#N/A,FALSE,"synthese";"vue2",#N/A,FALSE,"synthese"}</definedName>
    <definedName name="_wrn3" localSheetId="6" hidden="1">{"vue1",#N/A,FALSE,"synthese";"vue2",#N/A,FALSE,"synthese"}</definedName>
    <definedName name="_wrn3" hidden="1">{"vue1",#N/A,FALSE,"synthese";"vue2",#N/A,FALSE,"synthese"}</definedName>
    <definedName name="_wrn4" localSheetId="0" hidden="1">{"general",#N/A,FALSE,"Assumptions"}</definedName>
    <definedName name="_wrn4" localSheetId="6" hidden="1">{"general",#N/A,FALSE,"Assumptions"}</definedName>
    <definedName name="_wrn4" hidden="1">{"general",#N/A,FALSE,"Assumptions"}</definedName>
    <definedName name="_WWW1" localSheetId="0"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WW1" localSheetId="6"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W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X1"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1"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1" hidden="1">{#N/A,#N/A,TRUE,"COVER2";#N/A,#N/A,TRUE,"AGENDA";#N/A,#N/A,TRUE,"Cover";#N/A,#N/A,TRUE,"4M";#N/A,#N/A,TRUE,"FLP&amp;L4M";#N/A,#N/A,TRUE,"4MMC";#N/A,#N/A,TRUE,"Shp4M";#N/A,#N/A,TRUE,"M5";#N/A,#N/A,TRUE,"Q2";#N/A,#N/A,TRUE,"Q1vsQ2";#N/A,#N/A,TRUE,"M6";#N/A,#N/A,TRUE,"TY";#N/A,#N/A,TRUE,"FLP&amp;LTY";#N/A,#N/A,TRUE,"TYMC";#N/A,#N/A,TRUE,"ShpTY";#N/A,#N/A,TRUE,"8M";#N/A,#N/A,TRUE,"FLP&amp;L8M";#N/A,#N/A,TRUE,"8MMC";#N/A,#N/A,TRUE,"Shp8M"}</definedName>
    <definedName name="_X2"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2"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2" hidden="1">{#N/A,#N/A,TRUE,"COVER2";#N/A,#N/A,TRUE,"AGENDA";#N/A,#N/A,TRUE,"Cover";#N/A,#N/A,TRUE,"4M";#N/A,#N/A,TRUE,"FLP&amp;L4M";#N/A,#N/A,TRUE,"4MMC";#N/A,#N/A,TRUE,"Shp4M";#N/A,#N/A,TRUE,"M5";#N/A,#N/A,TRUE,"Q2";#N/A,#N/A,TRUE,"Q1vsQ2";#N/A,#N/A,TRUE,"M6";#N/A,#N/A,TRUE,"TY";#N/A,#N/A,TRUE,"FLP&amp;LTY";#N/A,#N/A,TRUE,"TYMC";#N/A,#N/A,TRUE,"ShpTY";#N/A,#N/A,TRUE,"8M";#N/A,#N/A,TRUE,"FLP&amp;L8M";#N/A,#N/A,TRUE,"8MMC";#N/A,#N/A,TRUE,"Shp8M"}</definedName>
    <definedName name="_X2_1" localSheetId="0" hidden="1">{#N/A,#N/A,FALSE,"Other";#N/A,#N/A,FALSE,"Ace";#N/A,#N/A,FALSE,"Derm"}</definedName>
    <definedName name="_X2_1" localSheetId="6" hidden="1">{#N/A,#N/A,FALSE,"Other";#N/A,#N/A,FALSE,"Ace";#N/A,#N/A,FALSE,"Derm"}</definedName>
    <definedName name="_X2_1" hidden="1">{#N/A,#N/A,FALSE,"Other";#N/A,#N/A,FALSE,"Ace";#N/A,#N/A,FALSE,"Derm"}</definedName>
    <definedName name="_X2_1_1" localSheetId="0" hidden="1">{#N/A,#N/A,FALSE,"Other";#N/A,#N/A,FALSE,"Ace";#N/A,#N/A,FALSE,"Derm"}</definedName>
    <definedName name="_X2_1_1" localSheetId="6" hidden="1">{#N/A,#N/A,FALSE,"Other";#N/A,#N/A,FALSE,"Ace";#N/A,#N/A,FALSE,"Derm"}</definedName>
    <definedName name="_X2_1_1" hidden="1">{#N/A,#N/A,FALSE,"Other";#N/A,#N/A,FALSE,"Ace";#N/A,#N/A,FALSE,"Derm"}</definedName>
    <definedName name="_X2_2" localSheetId="0" hidden="1">{#N/A,#N/A,FALSE,"Other";#N/A,#N/A,FALSE,"Ace";#N/A,#N/A,FALSE,"Derm"}</definedName>
    <definedName name="_X2_2" localSheetId="6" hidden="1">{#N/A,#N/A,FALSE,"Other";#N/A,#N/A,FALSE,"Ace";#N/A,#N/A,FALSE,"Derm"}</definedName>
    <definedName name="_X2_2" hidden="1">{#N/A,#N/A,FALSE,"Other";#N/A,#N/A,FALSE,"Ace";#N/A,#N/A,FALSE,"Derm"}</definedName>
    <definedName name="_X2_3" localSheetId="0" hidden="1">{#N/A,#N/A,FALSE,"Other";#N/A,#N/A,FALSE,"Ace";#N/A,#N/A,FALSE,"Derm"}</definedName>
    <definedName name="_X2_3" localSheetId="6" hidden="1">{#N/A,#N/A,FALSE,"Other";#N/A,#N/A,FALSE,"Ace";#N/A,#N/A,FALSE,"Derm"}</definedName>
    <definedName name="_X2_3" hidden="1">{#N/A,#N/A,FALSE,"Other";#N/A,#N/A,FALSE,"Ace";#N/A,#N/A,FALSE,"Derm"}</definedName>
    <definedName name="_X2_4" localSheetId="0" hidden="1">{#N/A,#N/A,FALSE,"Other";#N/A,#N/A,FALSE,"Ace";#N/A,#N/A,FALSE,"Derm"}</definedName>
    <definedName name="_X2_4" localSheetId="6" hidden="1">{#N/A,#N/A,FALSE,"Other";#N/A,#N/A,FALSE,"Ace";#N/A,#N/A,FALSE,"Derm"}</definedName>
    <definedName name="_X2_4" hidden="1">{#N/A,#N/A,FALSE,"Other";#N/A,#N/A,FALSE,"Ace";#N/A,#N/A,FALSE,"Derm"}</definedName>
    <definedName name="_X2_5" localSheetId="0" hidden="1">{#N/A,#N/A,FALSE,"Other";#N/A,#N/A,FALSE,"Ace";#N/A,#N/A,FALSE,"Derm"}</definedName>
    <definedName name="_X2_5" localSheetId="6" hidden="1">{#N/A,#N/A,FALSE,"Other";#N/A,#N/A,FALSE,"Ace";#N/A,#N/A,FALSE,"Derm"}</definedName>
    <definedName name="_X2_5" hidden="1">{#N/A,#N/A,FALSE,"Other";#N/A,#N/A,FALSE,"Ace";#N/A,#N/A,FALSE,"Derm"}</definedName>
    <definedName name="_X3"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3"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3" hidden="1">{#N/A,#N/A,TRUE,"COVER2";#N/A,#N/A,TRUE,"AGENDA";#N/A,#N/A,TRUE,"Cover";#N/A,#N/A,TRUE,"4M";#N/A,#N/A,TRUE,"FLP&amp;L4M";#N/A,#N/A,TRUE,"4MMC";#N/A,#N/A,TRUE,"Shp4M";#N/A,#N/A,TRUE,"M5";#N/A,#N/A,TRUE,"Q2";#N/A,#N/A,TRUE,"Q1vsQ2";#N/A,#N/A,TRUE,"M6";#N/A,#N/A,TRUE,"TY";#N/A,#N/A,TRUE,"FLP&amp;LTY";#N/A,#N/A,TRUE,"TYMC";#N/A,#N/A,TRUE,"ShpTY";#N/A,#N/A,TRUE,"8M";#N/A,#N/A,TRUE,"FLP&amp;L8M";#N/A,#N/A,TRUE,"8MMC";#N/A,#N/A,TRUE,"Shp8M"}</definedName>
    <definedName name="_X4"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4"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4" hidden="1">{#N/A,#N/A,TRUE,"COVER2";#N/A,#N/A,TRUE,"AGENDA";#N/A,#N/A,TRUE,"Cover";#N/A,#N/A,TRUE,"4M";#N/A,#N/A,TRUE,"FLP&amp;L4M";#N/A,#N/A,TRUE,"4MMC";#N/A,#N/A,TRUE,"Shp4M";#N/A,#N/A,TRUE,"M5";#N/A,#N/A,TRUE,"Q2";#N/A,#N/A,TRUE,"Q1vsQ2";#N/A,#N/A,TRUE,"M6";#N/A,#N/A,TRUE,"TY";#N/A,#N/A,TRUE,"FLP&amp;LTY";#N/A,#N/A,TRUE,"TYMC";#N/A,#N/A,TRUE,"ShpTY";#N/A,#N/A,TRUE,"8M";#N/A,#N/A,TRUE,"FLP&amp;L8M";#N/A,#N/A,TRUE,"8MMC";#N/A,#N/A,TRUE,"Shp8M"}</definedName>
    <definedName name="_X5"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5"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5" hidden="1">{#N/A,#N/A,TRUE,"COVER2";#N/A,#N/A,TRUE,"AGENDA";#N/A,#N/A,TRUE,"Cover";#N/A,#N/A,TRUE,"4M";#N/A,#N/A,TRUE,"FLP&amp;L4M";#N/A,#N/A,TRUE,"4MMC";#N/A,#N/A,TRUE,"Shp4M";#N/A,#N/A,TRUE,"M5";#N/A,#N/A,TRUE,"Q2";#N/A,#N/A,TRUE,"Q1vsQ2";#N/A,#N/A,TRUE,"M6";#N/A,#N/A,TRUE,"TY";#N/A,#N/A,TRUE,"FLP&amp;LTY";#N/A,#N/A,TRUE,"TYMC";#N/A,#N/A,TRUE,"ShpTY";#N/A,#N/A,TRUE,"8M";#N/A,#N/A,TRUE,"FLP&amp;L8M";#N/A,#N/A,TRUE,"8MMC";#N/A,#N/A,TRUE,"Shp8M"}</definedName>
    <definedName name="_X6"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6"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7"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7"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7" hidden="1">{#N/A,#N/A,TRUE,"COVER2";#N/A,#N/A,TRUE,"AGENDA";#N/A,#N/A,TRUE,"Cover";#N/A,#N/A,TRUE,"4M";#N/A,#N/A,TRUE,"FLP&amp;L4M";#N/A,#N/A,TRUE,"4MMC";#N/A,#N/A,TRUE,"Shp4M";#N/A,#N/A,TRUE,"M5";#N/A,#N/A,TRUE,"Q2";#N/A,#N/A,TRUE,"Q1vsQ2";#N/A,#N/A,TRUE,"M6";#N/A,#N/A,TRUE,"TY";#N/A,#N/A,TRUE,"FLP&amp;LTY";#N/A,#N/A,TRUE,"TYMC";#N/A,#N/A,TRUE,"ShpTY";#N/A,#N/A,TRUE,"8M";#N/A,#N/A,TRUE,"FLP&amp;L8M";#N/A,#N/A,TRUE,"8MMC";#N/A,#N/A,TRUE,"Shp8M"}</definedName>
    <definedName name="_X8"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8"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8" hidden="1">{#N/A,#N/A,TRUE,"COVER2";#N/A,#N/A,TRUE,"AGENDA";#N/A,#N/A,TRUE,"Cover";#N/A,#N/A,TRUE,"4M";#N/A,#N/A,TRUE,"FLP&amp;L4M";#N/A,#N/A,TRUE,"4MMC";#N/A,#N/A,TRUE,"Shp4M";#N/A,#N/A,TRUE,"M5";#N/A,#N/A,TRUE,"Q2";#N/A,#N/A,TRUE,"Q1vsQ2";#N/A,#N/A,TRUE,"M6";#N/A,#N/A,TRUE,"TY";#N/A,#N/A,TRUE,"FLP&amp;LTY";#N/A,#N/A,TRUE,"TYMC";#N/A,#N/A,TRUE,"ShpTY";#N/A,#N/A,TRUE,"8M";#N/A,#N/A,TRUE,"FLP&amp;L8M";#N/A,#N/A,TRUE,"8MMC";#N/A,#N/A,TRUE,"Shp8M"}</definedName>
    <definedName name="_X9"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_X9"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_X9" hidden="1">{#N/A,#N/A,TRUE,"COVER2";#N/A,#N/A,TRUE,"AGENDA";#N/A,#N/A,TRUE,"Cover";#N/A,#N/A,TRUE,"4M";#N/A,#N/A,TRUE,"FLP&amp;L4M";#N/A,#N/A,TRUE,"4MMC";#N/A,#N/A,TRUE,"Shp4M";#N/A,#N/A,TRUE,"M5";#N/A,#N/A,TRUE,"Q2";#N/A,#N/A,TRUE,"Q1vsQ2";#N/A,#N/A,TRUE,"M6";#N/A,#N/A,TRUE,"TY";#N/A,#N/A,TRUE,"FLP&amp;LTY";#N/A,#N/A,TRUE,"TYMC";#N/A,#N/A,TRUE,"ShpTY";#N/A,#N/A,TRUE,"8M";#N/A,#N/A,TRUE,"FLP&amp;L8M";#N/A,#N/A,TRUE,"8MMC";#N/A,#N/A,TRUE,"Shp8M"}</definedName>
    <definedName name="_xlcn.LinkedTable_Table11" hidden="1">#REF!</definedName>
    <definedName name="_xlcn.WorksheetConnection_DataBaseIntercosFY12B6L23481" hidden="1">#REF!</definedName>
    <definedName name="_xp3" localSheetId="0" hidden="1">{#N/A,#N/A,FALSE,"Work progress mensile";#N/A,#N/A,FALSE,"Work progress mensile IE1"}</definedName>
    <definedName name="_xp3" localSheetId="6" hidden="1">{#N/A,#N/A,FALSE,"Work progress mensile";#N/A,#N/A,FALSE,"Work progress mensile IE1"}</definedName>
    <definedName name="_xp3" hidden="1">{#N/A,#N/A,FALSE,"Work progress mensile";#N/A,#N/A,FALSE,"Work progress mensile IE1"}</definedName>
    <definedName name="_xp5" localSheetId="0" hidden="1">{#N/A,#N/A,FALSE,"Work progress mensile";#N/A,#N/A,FALSE,"Work progress mensile IE1"}</definedName>
    <definedName name="_xp5" localSheetId="6" hidden="1">{#N/A,#N/A,FALSE,"Work progress mensile";#N/A,#N/A,FALSE,"Work progress mensile IE1"}</definedName>
    <definedName name="_xp5" hidden="1">{#N/A,#N/A,FALSE,"Work progress mensile";#N/A,#N/A,FALSE,"Work progress mensile IE1"}</definedName>
    <definedName name="_xx" hidden="1">#REF!</definedName>
    <definedName name="_yo1" localSheetId="0" hidden="1">{#N/A,#N/A,FALSE,"Eastern";#N/A,#N/A,FALSE,"Western"}</definedName>
    <definedName name="_yo1" localSheetId="6" hidden="1">{#N/A,#N/A,FALSE,"Eastern";#N/A,#N/A,FALSE,"Western"}</definedName>
    <definedName name="_yo1" hidden="1">{#N/A,#N/A,FALSE,"Eastern";#N/A,#N/A,FALSE,"Western"}</definedName>
    <definedName name="_yo2" localSheetId="0" hidden="1">{#N/A,#N/A,FALSE,"Eastern";#N/A,#N/A,FALSE,"Western"}</definedName>
    <definedName name="_yo2" localSheetId="6" hidden="1">{#N/A,#N/A,FALSE,"Eastern";#N/A,#N/A,FALSE,"Western"}</definedName>
    <definedName name="_yo2" hidden="1">{#N/A,#N/A,FALSE,"Eastern";#N/A,#N/A,FALSE,"Western"}</definedName>
    <definedName name="_yo3" localSheetId="0" hidden="1">{#N/A,#N/A,FALSE,"Eastern";#N/A,#N/A,FALSE,"Western"}</definedName>
    <definedName name="_yo3" localSheetId="6" hidden="1">{#N/A,#N/A,FALSE,"Eastern";#N/A,#N/A,FALSE,"Western"}</definedName>
    <definedName name="_yo3" hidden="1">{#N/A,#N/A,FALSE,"Eastern";#N/A,#N/A,FALSE,"Western"}</definedName>
    <definedName name="_z" localSheetId="0" hidden="1">{"mgmt forecast",#N/A,FALSE,"Mgmt Forecast";"dcf table",#N/A,FALSE,"Mgmt Forecast";"sensitivity",#N/A,FALSE,"Mgmt Forecast";"table inputs",#N/A,FALSE,"Mgmt Forecast";"calculations",#N/A,FALSE,"Mgmt Forecast"}</definedName>
    <definedName name="_z" localSheetId="6" hidden="1">{"mgmt forecast",#N/A,FALSE,"Mgmt Forecast";"dcf table",#N/A,FALSE,"Mgmt Forecast";"sensitivity",#N/A,FALSE,"Mgmt Forecast";"table inputs",#N/A,FALSE,"Mgmt Forecast";"calculations",#N/A,FALSE,"Mgmt Forecast"}</definedName>
    <definedName name="_z" hidden="1">{"mgmt forecast",#N/A,FALSE,"Mgmt Forecast";"dcf table",#N/A,FALSE,"Mgmt Forecast";"sensitivity",#N/A,FALSE,"Mgmt Forecast";"table inputs",#N/A,FALSE,"Mgmt Forecast";"calculations",#N/A,FALSE,"Mgmt Forecast"}</definedName>
    <definedName name="_z2" localSheetId="0" hidden="1">{"Sch00",#N/A,FALSE,"1";"Contents",#N/A,FALSE,"1"}</definedName>
    <definedName name="_z2" localSheetId="6" hidden="1">{"Sch00",#N/A,FALSE,"1";"Contents",#N/A,FALSE,"1"}</definedName>
    <definedName name="_z2" hidden="1">{"Sch00",#N/A,FALSE,"1";"Contents",#N/A,FALSE,"1"}</definedName>
    <definedName name="_z3" localSheetId="0" hidden="1">{"Sch01",#N/A,FALSE,"2";"Sch02",#N/A,FALSE,"2";"Sch03",#N/A,FALSE,"2";"Sch04",#N/A,FALSE,"2";"Sch05",#N/A,FALSE,"2";"Sch06",#N/A,FALSE,"2";"Sch17",#N/A,FALSE,"2";"Sch19",#N/A,FALSE,"2";"Sch20",#N/A,FALSE,"2";"Sch21",#N/A,FALSE,"2";"Sch26",#N/A,FALSE,"2"}</definedName>
    <definedName name="_z3" localSheetId="6" hidden="1">{"Sch01",#N/A,FALSE,"2";"Sch02",#N/A,FALSE,"2";"Sch03",#N/A,FALSE,"2";"Sch04",#N/A,FALSE,"2";"Sch05",#N/A,FALSE,"2";"Sch06",#N/A,FALSE,"2";"Sch17",#N/A,FALSE,"2";"Sch19",#N/A,FALSE,"2";"Sch20",#N/A,FALSE,"2";"Sch21",#N/A,FALSE,"2";"Sch26",#N/A,FALSE,"2"}</definedName>
    <definedName name="_z3" hidden="1">{"Sch01",#N/A,FALSE,"2";"Sch02",#N/A,FALSE,"2";"Sch03",#N/A,FALSE,"2";"Sch04",#N/A,FALSE,"2";"Sch05",#N/A,FALSE,"2";"Sch06",#N/A,FALSE,"2";"Sch17",#N/A,FALSE,"2";"Sch19",#N/A,FALSE,"2";"Sch20",#N/A,FALSE,"2";"Sch21",#N/A,FALSE,"2";"Sch26",#N/A,FALSE,"2"}</definedName>
    <definedName name="_Zcomps2" localSheetId="6" hidden="1">{0,0,0,0,1,-4105,28.3464566929134,28.3464566929134,28.346456664,28.3464566929134,2,TRUE,TRUE,FALSE,FALSE,FALSE,#N/A,1,85,1,2,"","","","&amp;""Kennerly,Roman Bold""&amp;14L&amp;12EHMAN &amp;14 B&amp;12ROTHERS","","",FALSE}</definedName>
    <definedName name="_Zcomps2" hidden="1">{0,0,0,0,1,-4105,28.3464566929134,28.3464566929134,28.346456664,28.3464566929134,2,TRUE,TRUE,FALSE,FALSE,FALSE,#N/A,1,85,1,2,"","","","&amp;""Kennerly,Roman Bold""&amp;14L&amp;12EHMAN &amp;14 B&amp;12ROTHERS","","",FALSE}</definedName>
    <definedName name="_ZZ2" localSheetId="0" hidden="1">{#N/A,#N/A,TRUE,"0 Deckbl.";#N/A,#N/A,TRUE,"S 1 Komm";#N/A,#N/A,TRUE,"S 1a Komm";#N/A,#N/A,TRUE,"S 1b Komm";#N/A,#N/A,TRUE,"S  2 DBR";#N/A,#N/A,TRUE,"S  3 Sparten";#N/A,#N/A,TRUE,"S 4  Betr. K.";#N/A,#N/A,TRUE,"6 Bilanz";#N/A,#N/A,TRUE,"6a Bilanz ";#N/A,#N/A,TRUE,"6b Bilanz ";#N/A,#N/A,TRUE,"7 GS I";#N/A,#N/A,TRUE,"S 8 EQ-GuV"}</definedName>
    <definedName name="_ZZ2" localSheetId="6" hidden="1">{#N/A,#N/A,TRUE,"0 Deckbl.";#N/A,#N/A,TRUE,"S 1 Komm";#N/A,#N/A,TRUE,"S 1a Komm";#N/A,#N/A,TRUE,"S 1b Komm";#N/A,#N/A,TRUE,"S  2 DBR";#N/A,#N/A,TRUE,"S  3 Sparten";#N/A,#N/A,TRUE,"S 4  Betr. K.";#N/A,#N/A,TRUE,"6 Bilanz";#N/A,#N/A,TRUE,"6a Bilanz ";#N/A,#N/A,TRUE,"6b Bilanz ";#N/A,#N/A,TRUE,"7 GS I";#N/A,#N/A,TRUE,"S 8 EQ-GuV"}</definedName>
    <definedName name="_ZZ2" hidden="1">{#N/A,#N/A,TRUE,"0 Deckbl.";#N/A,#N/A,TRUE,"S 1 Komm";#N/A,#N/A,TRUE,"S 1a Komm";#N/A,#N/A,TRUE,"S 1b Komm";#N/A,#N/A,TRUE,"S  2 DBR";#N/A,#N/A,TRUE,"S  3 Sparten";#N/A,#N/A,TRUE,"S 4  Betr. K.";#N/A,#N/A,TRUE,"6 Bilanz";#N/A,#N/A,TRUE,"6a Bilanz ";#N/A,#N/A,TRUE,"6b Bilanz ";#N/A,#N/A,TRUE,"7 GS I";#N/A,#N/A,TRUE,"S 8 EQ-GuV"}</definedName>
    <definedName name="_zz3" localSheetId="0"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zz3" localSheetId="6"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_zz3" hidden="1">{"Sch07",#N/A,FALSE,"3";"Sch08",#N/A,FALSE,"3";"Sch09",#N/A,FALSE,"3";"Sch10",#N/A,FALSE,"3";"Sch11",#N/A,FALSE,"3";"Sch12",#N/A,FALSE,"3";"Sch13",#N/A,FALSE,"3";"Sch14a",#N/A,FALSE,"3";"Sch14b",#N/A,FALSE,"3";"Sch15a",#N/A,FALSE,"3";"Sch15b",#N/A,FALSE,"3";"Sch16",#N/A,FALSE,"3";"Sch18",#N/A,FALSE,"3";"Sch22",#N/A,FALSE,"3";"Sch23",#N/A,FALSE,"3";"Sch24",#N/A,FALSE,"3";"Sch25",#N/A,FALSE,"3";"Sch27",#N/A,FALSE,"3";"Sch28",#N/A,FALSE,"3";"Sch29",#N/A,FALSE,"3";"Sch30",#N/A,FALSE,"3"}</definedName>
    <definedName name="¡§I¨I¨￡¡§I￠RA¡ER¡§uO￠R¡×uR">#REF!</definedName>
    <definedName name="¡§Io¡§I¡ERA¡ERiA">#REF!</definedName>
    <definedName name="¡§Io¡§I¡ERA¡ERiB">#REF!</definedName>
    <definedName name="¡E?AAI¡E?¨I¨￡">#REF!</definedName>
    <definedName name="¡ER¡§ua￠R¡×uE¡ER¡§￠R￠R¡×I">#REF!</definedName>
    <definedName name="¡ER¡§ua￠R¡×uEA¡ERi">#REF!</definedName>
    <definedName name="¨Iⓒª¨I¡A￠R¨uO¡§uR">#REF!</definedName>
    <definedName name="¨Io¨I￠RA￠RiA">#REF!</definedName>
    <definedName name="¨Io¨I￠RA￠RiB">#REF!</definedName>
    <definedName name="¿AAI¿ø">#REF!</definedName>
    <definedName name="￠R¨ua¡§uE￠R¨¡¡§I">#REF!</definedName>
    <definedName name="￠R¨ua¡§uEA￠Ri">#REF!</definedName>
    <definedName name="￠RE?AAI￠RE?¡§I¡§¡I">#REF!</definedName>
    <definedName name="±a¾E°ⓒ">#REF!</definedName>
    <definedName name="±a¾EA≫">#REF!</definedName>
    <definedName name="¹æA≫A">#REF!</definedName>
    <definedName name="¹æA≫B">#REF!</definedName>
    <definedName name="³²±O¼R">#REF!</definedName>
    <definedName name="A">#REF!</definedName>
    <definedName name="ä"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ä" hidden="1">{#N/A,#N/A,TRUE,"Sensonic";#N/A,#N/A,TRUE,"Combimeter";#N/A,#N/A,TRUE,"HKV";#N/A,#N/A,TRUE,"TV";#N/A,#N/A,TRUE,"WZ";#N/A,#N/A,TRUE,"PrepHeatCon";#N/A,#N/A,TRUE,"Sonstiges";#N/A,#N/A,TRUE,"Abrechnung";#N/A,#N/A,TRUE,"Investitionen";#N/A,#N/A,TRUE,"Personal";#N/A,#N/A,TRUE,"sonstige Kosten u. Erträge";#N/A,#N/A,TRUE,"BER";#N/A,#N/A,TRUE,"Monatsaufteilung Budget 1997"}</definedName>
    <definedName name="a." localSheetId="0" hidden="1">{#N/A,#N/A,TRUE,"KEY DATA";#N/A,#N/A,TRUE,"KEY DATA Base Case";#N/A,#N/A,TRUE,"JULY";#N/A,#N/A,TRUE,"AUG";#N/A,#N/A,TRUE,"SEPT";#N/A,#N/A,TRUE,"3Q"}</definedName>
    <definedName name="a." localSheetId="6" hidden="1">{#N/A,#N/A,TRUE,"KEY DATA";#N/A,#N/A,TRUE,"KEY DATA Base Case";#N/A,#N/A,TRUE,"JULY";#N/A,#N/A,TRUE,"AUG";#N/A,#N/A,TRUE,"SEPT";#N/A,#N/A,TRUE,"3Q"}</definedName>
    <definedName name="a." hidden="1">{#N/A,#N/A,TRUE,"KEY DATA";#N/A,#N/A,TRUE,"KEY DATA Base Case";#N/A,#N/A,TRUE,"JULY";#N/A,#N/A,TRUE,"AUG";#N/A,#N/A,TRUE,"SEPT";#N/A,#N/A,TRUE,"3Q"}</definedName>
    <definedName name="A.." localSheetId="0" hidden="1">{#N/A,#N/A,TRUE,"KEY DATA";#N/A,#N/A,TRUE,"KEY DATA Base Case";#N/A,#N/A,TRUE,"JULY";#N/A,#N/A,TRUE,"AUG";#N/A,#N/A,TRUE,"SEPT";#N/A,#N/A,TRUE,"3Q"}</definedName>
    <definedName name="A.." localSheetId="6" hidden="1">{#N/A,#N/A,TRUE,"KEY DATA";#N/A,#N/A,TRUE,"KEY DATA Base Case";#N/A,#N/A,TRUE,"JULY";#N/A,#N/A,TRUE,"AUG";#N/A,#N/A,TRUE,"SEPT";#N/A,#N/A,TRUE,"3Q"}</definedName>
    <definedName name="A.." hidden="1">{#N/A,#N/A,TRUE,"KEY DATA";#N/A,#N/A,TRUE,"KEY DATA Base Case";#N/A,#N/A,TRUE,"JULY";#N/A,#N/A,TRUE,"AUG";#N/A,#N/A,TRUE,"SEPT";#N/A,#N/A,TRUE,"3Q"}</definedName>
    <definedName name="a\rgwerg" hidden="1">#REF!</definedName>
    <definedName name="a\sdasdf" localSheetId="6" hidden="1">{#N/A,#N/A,TRUE,"Cover";#N/A,#N/A,TRUE,"Conts";#N/A,#N/A,TRUE,"VOS";#N/A,#N/A,TRUE,"Warrington";#N/A,#N/A,TRUE,"Widnes"}</definedName>
    <definedName name="a\sdasdf" hidden="1">{#N/A,#N/A,TRUE,"Cover";#N/A,#N/A,TRUE,"Conts";#N/A,#N/A,TRUE,"VOS";#N/A,#N/A,TRUE,"Warrington";#N/A,#N/A,TRUE,"Widnes"}</definedName>
    <definedName name="a\sdasdf_1" localSheetId="6" hidden="1">{#N/A,#N/A,TRUE,"Cover";#N/A,#N/A,TRUE,"Conts";#N/A,#N/A,TRUE,"VOS";#N/A,#N/A,TRUE,"Warrington";#N/A,#N/A,TRUE,"Widnes"}</definedName>
    <definedName name="a\sdasdf_1" hidden="1">{#N/A,#N/A,TRUE,"Cover";#N/A,#N/A,TRUE,"Conts";#N/A,#N/A,TRUE,"VOS";#N/A,#N/A,TRUE,"Warrington";#N/A,#N/A,TRUE,"Widnes"}</definedName>
    <definedName name="a_1" localSheetId="0" hidden="1">{#N/A,#N/A,FALSE,"Umsatz EO BP";#N/A,#N/A,FALSE,"Umsatz EO OP";#N/A,#N/A,FALSE,"ER EO BP";#N/A,#N/A,FALSE,"ER EO OP";#N/A,#N/A,FALSE,"EA EO (2)";#N/A,#N/A,FALSE,"EA EO";#N/A,#N/A,FALSE,"EA EO (3)";#N/A,#N/A,FALSE,"EA EO (4)";#N/A,#N/A,FALSE,"KA EO  (2)";#N/A,#N/A,FALSE,"KA EO";#N/A,#N/A,FALSE,"KA EO  (3)";#N/A,#N/A,FALSE,"KA EO (4)"}</definedName>
    <definedName name="a_1" localSheetId="6" hidden="1">{#N/A,#N/A,FALSE,"Umsatz EO BP";#N/A,#N/A,FALSE,"Umsatz EO OP";#N/A,#N/A,FALSE,"ER EO BP";#N/A,#N/A,FALSE,"ER EO OP";#N/A,#N/A,FALSE,"EA EO (2)";#N/A,#N/A,FALSE,"EA EO";#N/A,#N/A,FALSE,"EA EO (3)";#N/A,#N/A,FALSE,"EA EO (4)";#N/A,#N/A,FALSE,"KA EO  (2)";#N/A,#N/A,FALSE,"KA EO";#N/A,#N/A,FALSE,"KA EO  (3)";#N/A,#N/A,FALSE,"KA EO (4)"}</definedName>
    <definedName name="a_1" hidden="1">{#N/A,#N/A,FALSE,"Umsatz EO BP";#N/A,#N/A,FALSE,"Umsatz EO OP";#N/A,#N/A,FALSE,"ER EO BP";#N/A,#N/A,FALSE,"ER EO OP";#N/A,#N/A,FALSE,"EA EO (2)";#N/A,#N/A,FALSE,"EA EO";#N/A,#N/A,FALSE,"EA EO (3)";#N/A,#N/A,FALSE,"EA EO (4)";#N/A,#N/A,FALSE,"KA EO  (2)";#N/A,#N/A,FALSE,"KA EO";#N/A,#N/A,FALSE,"KA EO  (3)";#N/A,#N/A,FALSE,"KA EO (4)"}</definedName>
    <definedName name="a_1_1" localSheetId="0" hidden="1">{#N/A,#N/A,FALSE,"Umsatz EO BP";#N/A,#N/A,FALSE,"Umsatz EO OP";#N/A,#N/A,FALSE,"ER EO BP";#N/A,#N/A,FALSE,"ER EO OP";#N/A,#N/A,FALSE,"EA EO (2)";#N/A,#N/A,FALSE,"EA EO";#N/A,#N/A,FALSE,"EA EO (3)";#N/A,#N/A,FALSE,"EA EO (4)";#N/A,#N/A,FALSE,"KA EO  (2)";#N/A,#N/A,FALSE,"KA EO";#N/A,#N/A,FALSE,"KA EO  (3)";#N/A,#N/A,FALSE,"KA EO (4)"}</definedName>
    <definedName name="a_1_1" localSheetId="6" hidden="1">{#N/A,#N/A,FALSE,"Umsatz EO BP";#N/A,#N/A,FALSE,"Umsatz EO OP";#N/A,#N/A,FALSE,"ER EO BP";#N/A,#N/A,FALSE,"ER EO OP";#N/A,#N/A,FALSE,"EA EO (2)";#N/A,#N/A,FALSE,"EA EO";#N/A,#N/A,FALSE,"EA EO (3)";#N/A,#N/A,FALSE,"EA EO (4)";#N/A,#N/A,FALSE,"KA EO  (2)";#N/A,#N/A,FALSE,"KA EO";#N/A,#N/A,FALSE,"KA EO  (3)";#N/A,#N/A,FALSE,"KA EO (4)"}</definedName>
    <definedName name="a_1_1" hidden="1">{#N/A,#N/A,FALSE,"Umsatz EO BP";#N/A,#N/A,FALSE,"Umsatz EO OP";#N/A,#N/A,FALSE,"ER EO BP";#N/A,#N/A,FALSE,"ER EO OP";#N/A,#N/A,FALSE,"EA EO (2)";#N/A,#N/A,FALSE,"EA EO";#N/A,#N/A,FALSE,"EA EO (3)";#N/A,#N/A,FALSE,"EA EO (4)";#N/A,#N/A,FALSE,"KA EO  (2)";#N/A,#N/A,FALSE,"KA EO";#N/A,#N/A,FALSE,"KA EO  (3)";#N/A,#N/A,FALSE,"KA EO (4)"}</definedName>
    <definedName name="a_2" localSheetId="0" hidden="1">{#N/A,#N/A,FALSE,"Umsatz EO BP";#N/A,#N/A,FALSE,"Umsatz EO OP";#N/A,#N/A,FALSE,"ER EO BP";#N/A,#N/A,FALSE,"ER EO OP";#N/A,#N/A,FALSE,"EA EO (2)";#N/A,#N/A,FALSE,"EA EO";#N/A,#N/A,FALSE,"EA EO (3)";#N/A,#N/A,FALSE,"EA EO (4)";#N/A,#N/A,FALSE,"KA EO  (2)";#N/A,#N/A,FALSE,"KA EO";#N/A,#N/A,FALSE,"KA EO  (3)";#N/A,#N/A,FALSE,"KA EO (4)"}</definedName>
    <definedName name="a_2" localSheetId="6" hidden="1">{#N/A,#N/A,FALSE,"Umsatz EO BP";#N/A,#N/A,FALSE,"Umsatz EO OP";#N/A,#N/A,FALSE,"ER EO BP";#N/A,#N/A,FALSE,"ER EO OP";#N/A,#N/A,FALSE,"EA EO (2)";#N/A,#N/A,FALSE,"EA EO";#N/A,#N/A,FALSE,"EA EO (3)";#N/A,#N/A,FALSE,"EA EO (4)";#N/A,#N/A,FALSE,"KA EO  (2)";#N/A,#N/A,FALSE,"KA EO";#N/A,#N/A,FALSE,"KA EO  (3)";#N/A,#N/A,FALSE,"KA EO (4)"}</definedName>
    <definedName name="a_2" hidden="1">{#N/A,#N/A,FALSE,"Umsatz EO BP";#N/A,#N/A,FALSE,"Umsatz EO OP";#N/A,#N/A,FALSE,"ER EO BP";#N/A,#N/A,FALSE,"ER EO OP";#N/A,#N/A,FALSE,"EA EO (2)";#N/A,#N/A,FALSE,"EA EO";#N/A,#N/A,FALSE,"EA EO (3)";#N/A,#N/A,FALSE,"EA EO (4)";#N/A,#N/A,FALSE,"KA EO  (2)";#N/A,#N/A,FALSE,"KA EO";#N/A,#N/A,FALSE,"KA EO  (3)";#N/A,#N/A,FALSE,"KA EO (4)"}</definedName>
    <definedName name="a_2_1" localSheetId="6" hidden="1">{#N/A,#N/A,FALSE,"Scenario PivotTable"}</definedName>
    <definedName name="a_2_1" hidden="1">{#N/A,#N/A,FALSE,"Scenario PivotTable"}</definedName>
    <definedName name="a_2_1_1" localSheetId="6" hidden="1">{#N/A,#N/A,FALSE,"Scenario PivotTable"}</definedName>
    <definedName name="a_2_1_1" hidden="1">{#N/A,#N/A,FALSE,"Scenario PivotTable"}</definedName>
    <definedName name="a_2_1_1_1" localSheetId="6" hidden="1">{#N/A,#N/A,FALSE,"Scenario PivotTable"}</definedName>
    <definedName name="a_2_1_1_1" hidden="1">{#N/A,#N/A,FALSE,"Scenario PivotTable"}</definedName>
    <definedName name="a_2_1_2" localSheetId="6" hidden="1">{#N/A,#N/A,FALSE,"Scenario PivotTable"}</definedName>
    <definedName name="a_2_1_2" hidden="1">{#N/A,#N/A,FALSE,"Scenario PivotTable"}</definedName>
    <definedName name="a_2_1_2_1" localSheetId="6" hidden="1">{#N/A,#N/A,FALSE,"Scenario PivotTable"}</definedName>
    <definedName name="a_2_1_2_1" hidden="1">{#N/A,#N/A,FALSE,"Scenario PivotTable"}</definedName>
    <definedName name="a_2_1_3" localSheetId="6" hidden="1">{#N/A,#N/A,FALSE,"Scenario PivotTable"}</definedName>
    <definedName name="a_2_1_3" hidden="1">{#N/A,#N/A,FALSE,"Scenario PivotTable"}</definedName>
    <definedName name="a_2_2" localSheetId="6" hidden="1">{#N/A,#N/A,FALSE,"Scenario PivotTable"}</definedName>
    <definedName name="a_2_2" hidden="1">{#N/A,#N/A,FALSE,"Scenario PivotTable"}</definedName>
    <definedName name="a_2_2_1" localSheetId="6" hidden="1">{#N/A,#N/A,FALSE,"Scenario PivotTable"}</definedName>
    <definedName name="a_2_2_1" hidden="1">{#N/A,#N/A,FALSE,"Scenario PivotTable"}</definedName>
    <definedName name="a_2_2_1_1" localSheetId="6" hidden="1">{#N/A,#N/A,FALSE,"Scenario PivotTable"}</definedName>
    <definedName name="a_2_2_1_1" hidden="1">{#N/A,#N/A,FALSE,"Scenario PivotTable"}</definedName>
    <definedName name="a_2_2_2" localSheetId="6" hidden="1">{#N/A,#N/A,FALSE,"Scenario PivotTable"}</definedName>
    <definedName name="a_2_2_2" hidden="1">{#N/A,#N/A,FALSE,"Scenario PivotTable"}</definedName>
    <definedName name="a_2_3" localSheetId="6" hidden="1">{#N/A,#N/A,FALSE,"Scenario PivotTable"}</definedName>
    <definedName name="a_2_3" hidden="1">{#N/A,#N/A,FALSE,"Scenario PivotTable"}</definedName>
    <definedName name="a_2_3_1" localSheetId="6" hidden="1">{#N/A,#N/A,FALSE,"Scenario PivotTable"}</definedName>
    <definedName name="a_2_3_1" hidden="1">{#N/A,#N/A,FALSE,"Scenario PivotTable"}</definedName>
    <definedName name="a_2_4" localSheetId="6" hidden="1">{#N/A,#N/A,FALSE,"Scenario PivotTable"}</definedName>
    <definedName name="a_2_4" hidden="1">{#N/A,#N/A,FALSE,"Scenario PivotTable"}</definedName>
    <definedName name="a_3" localSheetId="0" hidden="1">{#N/A,#N/A,FALSE,"Umsatz EO BP";#N/A,#N/A,FALSE,"Umsatz EO OP";#N/A,#N/A,FALSE,"ER EO BP";#N/A,#N/A,FALSE,"ER EO OP";#N/A,#N/A,FALSE,"EA EO (2)";#N/A,#N/A,FALSE,"EA EO";#N/A,#N/A,FALSE,"EA EO (3)";#N/A,#N/A,FALSE,"EA EO (4)";#N/A,#N/A,FALSE,"KA EO  (2)";#N/A,#N/A,FALSE,"KA EO";#N/A,#N/A,FALSE,"KA EO  (3)";#N/A,#N/A,FALSE,"KA EO (4)"}</definedName>
    <definedName name="a_3" localSheetId="6" hidden="1">{#N/A,#N/A,FALSE,"Umsatz EO BP";#N/A,#N/A,FALSE,"Umsatz EO OP";#N/A,#N/A,FALSE,"ER EO BP";#N/A,#N/A,FALSE,"ER EO OP";#N/A,#N/A,FALSE,"EA EO (2)";#N/A,#N/A,FALSE,"EA EO";#N/A,#N/A,FALSE,"EA EO (3)";#N/A,#N/A,FALSE,"EA EO (4)";#N/A,#N/A,FALSE,"KA EO  (2)";#N/A,#N/A,FALSE,"KA EO";#N/A,#N/A,FALSE,"KA EO  (3)";#N/A,#N/A,FALSE,"KA EO (4)"}</definedName>
    <definedName name="a_3" hidden="1">{#N/A,#N/A,FALSE,"Umsatz EO BP";#N/A,#N/A,FALSE,"Umsatz EO OP";#N/A,#N/A,FALSE,"ER EO BP";#N/A,#N/A,FALSE,"ER EO OP";#N/A,#N/A,FALSE,"EA EO (2)";#N/A,#N/A,FALSE,"EA EO";#N/A,#N/A,FALSE,"EA EO (3)";#N/A,#N/A,FALSE,"EA EO (4)";#N/A,#N/A,FALSE,"KA EO  (2)";#N/A,#N/A,FALSE,"KA EO";#N/A,#N/A,FALSE,"KA EO  (3)";#N/A,#N/A,FALSE,"KA EO (4)"}</definedName>
    <definedName name="a_3_1" localSheetId="6" hidden="1">{#N/A,#N/A,FALSE,"Scenario PivotTable"}</definedName>
    <definedName name="a_3_1" hidden="1">{#N/A,#N/A,FALSE,"Scenario PivotTable"}</definedName>
    <definedName name="a_3_1_1" localSheetId="6" hidden="1">{#N/A,#N/A,FALSE,"Scenario PivotTable"}</definedName>
    <definedName name="a_3_1_1" hidden="1">{#N/A,#N/A,FALSE,"Scenario PivotTable"}</definedName>
    <definedName name="a_3_1_1_1" localSheetId="6" hidden="1">{#N/A,#N/A,FALSE,"Scenario PivotTable"}</definedName>
    <definedName name="a_3_1_1_1" hidden="1">{#N/A,#N/A,FALSE,"Scenario PivotTable"}</definedName>
    <definedName name="a_3_1_2" localSheetId="6" hidden="1">{#N/A,#N/A,FALSE,"Scenario PivotTable"}</definedName>
    <definedName name="a_3_1_2" hidden="1">{#N/A,#N/A,FALSE,"Scenario PivotTable"}</definedName>
    <definedName name="a_3_1_2_1" localSheetId="6" hidden="1">{#N/A,#N/A,FALSE,"Scenario PivotTable"}</definedName>
    <definedName name="a_3_1_2_1" hidden="1">{#N/A,#N/A,FALSE,"Scenario PivotTable"}</definedName>
    <definedName name="a_3_1_3" localSheetId="6" hidden="1">{#N/A,#N/A,FALSE,"Scenario PivotTable"}</definedName>
    <definedName name="a_3_1_3" hidden="1">{#N/A,#N/A,FALSE,"Scenario PivotTable"}</definedName>
    <definedName name="a_3_2" localSheetId="6" hidden="1">{#N/A,#N/A,FALSE,"Scenario PivotTable"}</definedName>
    <definedName name="a_3_2" hidden="1">{#N/A,#N/A,FALSE,"Scenario PivotTable"}</definedName>
    <definedName name="a_3_2_1" localSheetId="6" hidden="1">{#N/A,#N/A,FALSE,"Scenario PivotTable"}</definedName>
    <definedName name="a_3_2_1" hidden="1">{#N/A,#N/A,FALSE,"Scenario PivotTable"}</definedName>
    <definedName name="a_3_2_1_1" localSheetId="6" hidden="1">{#N/A,#N/A,FALSE,"Scenario PivotTable"}</definedName>
    <definedName name="a_3_2_1_1" hidden="1">{#N/A,#N/A,FALSE,"Scenario PivotTable"}</definedName>
    <definedName name="a_3_2_2" localSheetId="6" hidden="1">{#N/A,#N/A,FALSE,"Scenario PivotTable"}</definedName>
    <definedName name="a_3_2_2" hidden="1">{#N/A,#N/A,FALSE,"Scenario PivotTable"}</definedName>
    <definedName name="a_3_3" localSheetId="6" hidden="1">{#N/A,#N/A,FALSE,"Scenario PivotTable"}</definedName>
    <definedName name="a_3_3" hidden="1">{#N/A,#N/A,FALSE,"Scenario PivotTable"}</definedName>
    <definedName name="a_3_3_1" localSheetId="6" hidden="1">{#N/A,#N/A,FALSE,"Scenario PivotTable"}</definedName>
    <definedName name="a_3_3_1" hidden="1">{#N/A,#N/A,FALSE,"Scenario PivotTable"}</definedName>
    <definedName name="a_3_4" localSheetId="6" hidden="1">{#N/A,#N/A,FALSE,"Scenario PivotTable"}</definedName>
    <definedName name="a_3_4" hidden="1">{#N/A,#N/A,FALSE,"Scenario PivotTable"}</definedName>
    <definedName name="a_4" localSheetId="0" hidden="1">{#N/A,#N/A,FALSE,"Umsatz EO BP";#N/A,#N/A,FALSE,"Umsatz EO OP";#N/A,#N/A,FALSE,"ER EO BP";#N/A,#N/A,FALSE,"ER EO OP";#N/A,#N/A,FALSE,"EA EO (2)";#N/A,#N/A,FALSE,"EA EO";#N/A,#N/A,FALSE,"EA EO (3)";#N/A,#N/A,FALSE,"EA EO (4)";#N/A,#N/A,FALSE,"KA EO  (2)";#N/A,#N/A,FALSE,"KA EO";#N/A,#N/A,FALSE,"KA EO  (3)";#N/A,#N/A,FALSE,"KA EO (4)"}</definedName>
    <definedName name="a_4" localSheetId="6" hidden="1">{#N/A,#N/A,FALSE,"Umsatz EO BP";#N/A,#N/A,FALSE,"Umsatz EO OP";#N/A,#N/A,FALSE,"ER EO BP";#N/A,#N/A,FALSE,"ER EO OP";#N/A,#N/A,FALSE,"EA EO (2)";#N/A,#N/A,FALSE,"EA EO";#N/A,#N/A,FALSE,"EA EO (3)";#N/A,#N/A,FALSE,"EA EO (4)";#N/A,#N/A,FALSE,"KA EO  (2)";#N/A,#N/A,FALSE,"KA EO";#N/A,#N/A,FALSE,"KA EO  (3)";#N/A,#N/A,FALSE,"KA EO (4)"}</definedName>
    <definedName name="a_4" hidden="1">{#N/A,#N/A,FALSE,"Umsatz EO BP";#N/A,#N/A,FALSE,"Umsatz EO OP";#N/A,#N/A,FALSE,"ER EO BP";#N/A,#N/A,FALSE,"ER EO OP";#N/A,#N/A,FALSE,"EA EO (2)";#N/A,#N/A,FALSE,"EA EO";#N/A,#N/A,FALSE,"EA EO (3)";#N/A,#N/A,FALSE,"EA EO (4)";#N/A,#N/A,FALSE,"KA EO  (2)";#N/A,#N/A,FALSE,"KA EO";#N/A,#N/A,FALSE,"KA EO  (3)";#N/A,#N/A,FALSE,"KA EO (4)"}</definedName>
    <definedName name="a_4_1" localSheetId="6" hidden="1">{#N/A,#N/A,FALSE,"Scenario PivotTable"}</definedName>
    <definedName name="a_4_1" hidden="1">{#N/A,#N/A,FALSE,"Scenario PivotTable"}</definedName>
    <definedName name="a_4_1_1" localSheetId="6" hidden="1">{#N/A,#N/A,FALSE,"Scenario PivotTable"}</definedName>
    <definedName name="a_4_1_1" hidden="1">{#N/A,#N/A,FALSE,"Scenario PivotTable"}</definedName>
    <definedName name="a_4_1_1_1" localSheetId="6" hidden="1">{#N/A,#N/A,FALSE,"Scenario PivotTable"}</definedName>
    <definedName name="a_4_1_1_1" hidden="1">{#N/A,#N/A,FALSE,"Scenario PivotTable"}</definedName>
    <definedName name="a_4_1_2" localSheetId="6" hidden="1">{#N/A,#N/A,FALSE,"Scenario PivotTable"}</definedName>
    <definedName name="a_4_1_2" hidden="1">{#N/A,#N/A,FALSE,"Scenario PivotTable"}</definedName>
    <definedName name="a_4_1_2_1" localSheetId="6" hidden="1">{#N/A,#N/A,FALSE,"Scenario PivotTable"}</definedName>
    <definedName name="a_4_1_2_1" hidden="1">{#N/A,#N/A,FALSE,"Scenario PivotTable"}</definedName>
    <definedName name="a_4_1_3" localSheetId="6" hidden="1">{#N/A,#N/A,FALSE,"Scenario PivotTable"}</definedName>
    <definedName name="a_4_1_3" hidden="1">{#N/A,#N/A,FALSE,"Scenario PivotTable"}</definedName>
    <definedName name="a_4_2" localSheetId="6" hidden="1">{#N/A,#N/A,FALSE,"Scenario PivotTable"}</definedName>
    <definedName name="a_4_2" hidden="1">{#N/A,#N/A,FALSE,"Scenario PivotTable"}</definedName>
    <definedName name="a_4_2_1" localSheetId="6" hidden="1">{#N/A,#N/A,FALSE,"Scenario PivotTable"}</definedName>
    <definedName name="a_4_2_1" hidden="1">{#N/A,#N/A,FALSE,"Scenario PivotTable"}</definedName>
    <definedName name="a_4_2_1_1" localSheetId="6" hidden="1">{#N/A,#N/A,FALSE,"Scenario PivotTable"}</definedName>
    <definedName name="a_4_2_1_1" hidden="1">{#N/A,#N/A,FALSE,"Scenario PivotTable"}</definedName>
    <definedName name="a_4_2_2" localSheetId="6" hidden="1">{#N/A,#N/A,FALSE,"Scenario PivotTable"}</definedName>
    <definedName name="a_4_2_2" hidden="1">{#N/A,#N/A,FALSE,"Scenario PivotTable"}</definedName>
    <definedName name="a_4_3" localSheetId="6" hidden="1">{#N/A,#N/A,FALSE,"Scenario PivotTable"}</definedName>
    <definedName name="a_4_3" hidden="1">{#N/A,#N/A,FALSE,"Scenario PivotTable"}</definedName>
    <definedName name="a_4_3_1" localSheetId="6" hidden="1">{#N/A,#N/A,FALSE,"Scenario PivotTable"}</definedName>
    <definedName name="a_4_3_1" hidden="1">{#N/A,#N/A,FALSE,"Scenario PivotTable"}</definedName>
    <definedName name="a_4_4" localSheetId="6" hidden="1">{#N/A,#N/A,FALSE,"Scenario PivotTable"}</definedName>
    <definedName name="a_4_4" hidden="1">{#N/A,#N/A,FALSE,"Scenario PivotTable"}</definedName>
    <definedName name="a_5" localSheetId="0" hidden="1">{#N/A,#N/A,FALSE,"Umsatz EO BP";#N/A,#N/A,FALSE,"Umsatz EO OP";#N/A,#N/A,FALSE,"ER EO BP";#N/A,#N/A,FALSE,"ER EO OP";#N/A,#N/A,FALSE,"EA EO (2)";#N/A,#N/A,FALSE,"EA EO";#N/A,#N/A,FALSE,"EA EO (3)";#N/A,#N/A,FALSE,"EA EO (4)";#N/A,#N/A,FALSE,"KA EO  (2)";#N/A,#N/A,FALSE,"KA EO";#N/A,#N/A,FALSE,"KA EO  (3)";#N/A,#N/A,FALSE,"KA EO (4)"}</definedName>
    <definedName name="a_5" localSheetId="6" hidden="1">{#N/A,#N/A,FALSE,"Umsatz EO BP";#N/A,#N/A,FALSE,"Umsatz EO OP";#N/A,#N/A,FALSE,"ER EO BP";#N/A,#N/A,FALSE,"ER EO OP";#N/A,#N/A,FALSE,"EA EO (2)";#N/A,#N/A,FALSE,"EA EO";#N/A,#N/A,FALSE,"EA EO (3)";#N/A,#N/A,FALSE,"EA EO (4)";#N/A,#N/A,FALSE,"KA EO  (2)";#N/A,#N/A,FALSE,"KA EO";#N/A,#N/A,FALSE,"KA EO  (3)";#N/A,#N/A,FALSE,"KA EO (4)"}</definedName>
    <definedName name="a_5" hidden="1">{#N/A,#N/A,FALSE,"Umsatz EO BP";#N/A,#N/A,FALSE,"Umsatz EO OP";#N/A,#N/A,FALSE,"ER EO BP";#N/A,#N/A,FALSE,"ER EO OP";#N/A,#N/A,FALSE,"EA EO (2)";#N/A,#N/A,FALSE,"EA EO";#N/A,#N/A,FALSE,"EA EO (3)";#N/A,#N/A,FALSE,"EA EO (4)";#N/A,#N/A,FALSE,"KA EO  (2)";#N/A,#N/A,FALSE,"KA EO";#N/A,#N/A,FALSE,"KA EO  (3)";#N/A,#N/A,FALSE,"KA EO (4)"}</definedName>
    <definedName name="a_5_1" localSheetId="6" hidden="1">{#N/A,#N/A,FALSE,"Scenario PivotTable"}</definedName>
    <definedName name="a_5_1" hidden="1">{#N/A,#N/A,FALSE,"Scenario PivotTable"}</definedName>
    <definedName name="a_5_1_1" localSheetId="6" hidden="1">{#N/A,#N/A,FALSE,"Scenario PivotTable"}</definedName>
    <definedName name="a_5_1_1" hidden="1">{#N/A,#N/A,FALSE,"Scenario PivotTable"}</definedName>
    <definedName name="a_5_1_1_1" localSheetId="6" hidden="1">{#N/A,#N/A,FALSE,"Scenario PivotTable"}</definedName>
    <definedName name="a_5_1_1_1" hidden="1">{#N/A,#N/A,FALSE,"Scenario PivotTable"}</definedName>
    <definedName name="a_5_1_2" localSheetId="6" hidden="1">{#N/A,#N/A,FALSE,"Scenario PivotTable"}</definedName>
    <definedName name="a_5_1_2" hidden="1">{#N/A,#N/A,FALSE,"Scenario PivotTable"}</definedName>
    <definedName name="a_5_1_2_1" localSheetId="6" hidden="1">{#N/A,#N/A,FALSE,"Scenario PivotTable"}</definedName>
    <definedName name="a_5_1_2_1" hidden="1">{#N/A,#N/A,FALSE,"Scenario PivotTable"}</definedName>
    <definedName name="a_5_1_3" localSheetId="6" hidden="1">{#N/A,#N/A,FALSE,"Scenario PivotTable"}</definedName>
    <definedName name="a_5_1_3" hidden="1">{#N/A,#N/A,FALSE,"Scenario PivotTable"}</definedName>
    <definedName name="a_5_2" localSheetId="6" hidden="1">{#N/A,#N/A,FALSE,"Scenario PivotTable"}</definedName>
    <definedName name="a_5_2" hidden="1">{#N/A,#N/A,FALSE,"Scenario PivotTable"}</definedName>
    <definedName name="a_5_2_1" localSheetId="6" hidden="1">{#N/A,#N/A,FALSE,"Scenario PivotTable"}</definedName>
    <definedName name="a_5_2_1" hidden="1">{#N/A,#N/A,FALSE,"Scenario PivotTable"}</definedName>
    <definedName name="a_5_2_1_1" localSheetId="6" hidden="1">{#N/A,#N/A,FALSE,"Scenario PivotTable"}</definedName>
    <definedName name="a_5_2_1_1" hidden="1">{#N/A,#N/A,FALSE,"Scenario PivotTable"}</definedName>
    <definedName name="a_5_2_2" localSheetId="6" hidden="1">{#N/A,#N/A,FALSE,"Scenario PivotTable"}</definedName>
    <definedName name="a_5_2_2" hidden="1">{#N/A,#N/A,FALSE,"Scenario PivotTable"}</definedName>
    <definedName name="a_5_3" localSheetId="6" hidden="1">{#N/A,#N/A,FALSE,"Scenario PivotTable"}</definedName>
    <definedName name="a_5_3" hidden="1">{#N/A,#N/A,FALSE,"Scenario PivotTable"}</definedName>
    <definedName name="a_5_3_1" localSheetId="6" hidden="1">{#N/A,#N/A,FALSE,"Scenario PivotTable"}</definedName>
    <definedName name="a_5_3_1" hidden="1">{#N/A,#N/A,FALSE,"Scenario PivotTable"}</definedName>
    <definedName name="a_5_4" localSheetId="6" hidden="1">{#N/A,#N/A,FALSE,"Scenario PivotTable"}</definedName>
    <definedName name="a_5_4" hidden="1">{#N/A,#N/A,FALSE,"Scenario PivotTable"}</definedName>
    <definedName name="a1a1">#REF!</definedName>
    <definedName name="A3L" hidden="1">#REF!</definedName>
    <definedName name="a4a4a4a4a4a" localSheetId="6" hidden="1">{"VIEW1",#N/A,FALSE,"P&amp;L Account 2001-2002";"VIEW2",#N/A,FALSE,"P&amp;L Account 2001-2002";"VIEW3",#N/A,FALSE,"P&amp;L Account 2001-2002";"VIEW4",#N/A,FALSE,"P&amp;L Account 2001-2002"}</definedName>
    <definedName name="a4a4a4a4a4a" hidden="1">{"VIEW1",#N/A,FALSE,"P&amp;L Account 2001-2002";"VIEW2",#N/A,FALSE,"P&amp;L Account 2001-2002";"VIEW3",#N/A,FALSE,"P&amp;L Account 2001-2002";"VIEW4",#N/A,FALSE,"P&amp;L Account 2001-2002"}</definedName>
    <definedName name="aa" hidden="1">#REF!</definedName>
    <definedName name="AA.Report.Files" hidden="1">#REF!</definedName>
    <definedName name="AA.Reports.Available" hidden="1">#REF!</definedName>
    <definedName name="AA533405FNBUDGET_C1" hidden="1">#REF!</definedName>
    <definedName name="AA533405FNBUDGET_C10" hidden="1">#REF!</definedName>
    <definedName name="AA533405FNBUDGET_C11" hidden="1">#REF!</definedName>
    <definedName name="AA533405FNBUDGET_C12" hidden="1">#REF!</definedName>
    <definedName name="AA533405FNBUDGET_C13" hidden="1">#REF!</definedName>
    <definedName name="AA533405FNBUDGET_C2" hidden="1">#REF!</definedName>
    <definedName name="AA533405FNBUDGET_C3" hidden="1">#REF!</definedName>
    <definedName name="AA533405FNBUDGET_C4" hidden="1">#REF!</definedName>
    <definedName name="AA533405FNBUDGET_C5" hidden="1">#REF!</definedName>
    <definedName name="AA533405FNBUDGET_C6" hidden="1">#REF!</definedName>
    <definedName name="AA533405FNBUDGET_C7" hidden="1">#REF!</definedName>
    <definedName name="AA533405FNBUDGET_C8" hidden="1">#REF!</definedName>
    <definedName name="AA533405FNBUDGET_C9" hidden="1">#REF!</definedName>
    <definedName name="AA533405FNBUDGET_N1" hidden="1">#REF!</definedName>
    <definedName name="AA533405FNBUDGET_N10" hidden="1">#REF!</definedName>
    <definedName name="AA533405FNBUDGET_N11" hidden="1">#REF!</definedName>
    <definedName name="AA533405FNBUDGET_N12" hidden="1">#REF!</definedName>
    <definedName name="AA533405FNBUDGET_N2" hidden="1">#REF!</definedName>
    <definedName name="AA533405FNBUDGET_N3" hidden="1">#REF!</definedName>
    <definedName name="AA533405FNBUDGET_N4" hidden="1">#REF!</definedName>
    <definedName name="AA533405FNBUDGET_N5" hidden="1">#REF!</definedName>
    <definedName name="AA533405FNBUDGET_N6" hidden="1">#REF!</definedName>
    <definedName name="AA533405FNBUDGET_N7" hidden="1">#REF!</definedName>
    <definedName name="AA533405FNBUDGET_N8" hidden="1">#REF!</definedName>
    <definedName name="AA533405FNBUDGET_N9" hidden="1">#REF!</definedName>
    <definedName name="AA533405FNCATEGORYCODE8" hidden="1">#REF!</definedName>
    <definedName name="AA533405FNMAJORHEADCODE" hidden="1">#REF!</definedName>
    <definedName name="AA533405FNNAME" hidden="1">#REF!</definedName>
    <definedName name="AA533405KNCODE" hidden="1">#REF!</definedName>
    <definedName name="AA533405KNCOPY_ACCCODE" hidden="1">#REF!</definedName>
    <definedName name="AA705505FNBUDGET_N1" hidden="1">#REF!</definedName>
    <definedName name="AA705505FNBUDGET_N10" hidden="1">#REF!</definedName>
    <definedName name="AA705505FNBUDGET_N11" hidden="1">#REF!</definedName>
    <definedName name="AA705505FNBUDGET_N12" hidden="1">#REF!</definedName>
    <definedName name="AA705505FNBUDGET_N2" hidden="1">#REF!</definedName>
    <definedName name="AA705505FNBUDGET_N3" hidden="1">#REF!</definedName>
    <definedName name="AA705505FNBUDGET_N4" hidden="1">#REF!</definedName>
    <definedName name="AA705505FNBUDGET_N5" hidden="1">#REF!</definedName>
    <definedName name="AA705505FNBUDGET_N6" hidden="1">#REF!</definedName>
    <definedName name="AA705505FNBUDGET_N7" hidden="1">#REF!</definedName>
    <definedName name="AA705505FNBUDGET_N8" hidden="1">#REF!</definedName>
    <definedName name="AA705505FNBUDGET_N9" hidden="1">#REF!</definedName>
    <definedName name="AA705505FNMAJORHEADCODE" hidden="1">#REF!</definedName>
    <definedName name="AA705505FNNAME" hidden="1">#REF!</definedName>
    <definedName name="AA705505KNCODE" hidden="1">#REF!</definedName>
    <definedName name="aaa" localSheetId="0" hidden="1">{#N/A,#N/A,FALSE,"Umsatz 99";#N/A,#N/A,FALSE,"ER 99 "}</definedName>
    <definedName name="aaa" localSheetId="6" hidden="1">{#N/A,#N/A,FALSE,"Umsatz 99";#N/A,#N/A,FALSE,"ER 99 "}</definedName>
    <definedName name="aaa" hidden="1">{#N/A,#N/A,FALSE,"Umsatz 99";#N/A,#N/A,FALSE,"ER 99 "}</definedName>
    <definedName name="ÄÄa" localSheetId="0" hidden="1">{#N/A,#N/A,FALSE,"Umsatz 99";#N/A,#N/A,FALSE,"ER 99 "}</definedName>
    <definedName name="ÄÄa" localSheetId="6" hidden="1">{#N/A,#N/A,FALSE,"Umsatz 99";#N/A,#N/A,FALSE,"ER 99 "}</definedName>
    <definedName name="ÄÄa" hidden="1">{#N/A,#N/A,FALSE,"Umsatz 99";#N/A,#N/A,FALSE,"ER 99 "}</definedName>
    <definedName name="äää" localSheetId="0" hidden="1">{#N/A,#N/A,FALSE,"Umsatz 99";#N/A,#N/A,FALSE,"ER 99 "}</definedName>
    <definedName name="äää" localSheetId="6" hidden="1">{#N/A,#N/A,FALSE,"Umsatz 99";#N/A,#N/A,FALSE,"ER 99 "}</definedName>
    <definedName name="äää" hidden="1">{#N/A,#N/A,FALSE,"Umsatz 99";#N/A,#N/A,FALSE,"ER 99 "}</definedName>
    <definedName name="aaa." localSheetId="0" hidden="1">{#N/A,#N/A,TRUE,"KEY DATA";#N/A,#N/A,TRUE,"KEY DATA Base Case";#N/A,#N/A,TRUE,"JULY";#N/A,#N/A,TRUE,"AUG";#N/A,#N/A,TRUE,"SEPT";#N/A,#N/A,TRUE,"3Q"}</definedName>
    <definedName name="aaa." localSheetId="6" hidden="1">{#N/A,#N/A,TRUE,"KEY DATA";#N/A,#N/A,TRUE,"KEY DATA Base Case";#N/A,#N/A,TRUE,"JULY";#N/A,#N/A,TRUE,"AUG";#N/A,#N/A,TRUE,"SEPT";#N/A,#N/A,TRUE,"3Q"}</definedName>
    <definedName name="aaa." hidden="1">{#N/A,#N/A,TRUE,"KEY DATA";#N/A,#N/A,TRUE,"KEY DATA Base Case";#N/A,#N/A,TRUE,"JULY";#N/A,#N/A,TRUE,"AUG";#N/A,#N/A,TRUE,"SEPT";#N/A,#N/A,TRUE,"3Q"}</definedName>
    <definedName name="aaa_1" localSheetId="0" hidden="1">{#N/A,#N/A,FALSE,"Pharm";#N/A,#N/A,FALSE,"WWCM"}</definedName>
    <definedName name="aaa_1" localSheetId="6" hidden="1">{#N/A,#N/A,FALSE,"Pharm";#N/A,#N/A,FALSE,"WWCM"}</definedName>
    <definedName name="aaa_1" hidden="1">{#N/A,#N/A,FALSE,"Pharm";#N/A,#N/A,FALSE,"WWCM"}</definedName>
    <definedName name="ÄÄa_1" localSheetId="0" hidden="1">{#N/A,#N/A,FALSE,"Umsatz 99";#N/A,#N/A,FALSE,"ER 99 "}</definedName>
    <definedName name="ÄÄa_1" localSheetId="6" hidden="1">{#N/A,#N/A,FALSE,"Umsatz 99";#N/A,#N/A,FALSE,"ER 99 "}</definedName>
    <definedName name="ÄÄa_1" hidden="1">{#N/A,#N/A,FALSE,"Umsatz 99";#N/A,#N/A,FALSE,"ER 99 "}</definedName>
    <definedName name="äää_1" localSheetId="0" hidden="1">{#N/A,#N/A,FALSE,"Umsatz 99";#N/A,#N/A,FALSE,"ER 99 "}</definedName>
    <definedName name="äää_1" localSheetId="6" hidden="1">{#N/A,#N/A,FALSE,"Umsatz 99";#N/A,#N/A,FALSE,"ER 99 "}</definedName>
    <definedName name="äää_1" hidden="1">{#N/A,#N/A,FALSE,"Umsatz 99";#N/A,#N/A,FALSE,"ER 99 "}</definedName>
    <definedName name="aaa_1_1" localSheetId="0" hidden="1">{#N/A,#N/A,FALSE,"Pharm";#N/A,#N/A,FALSE,"WWCM"}</definedName>
    <definedName name="aaa_1_1" localSheetId="6" hidden="1">{#N/A,#N/A,FALSE,"Pharm";#N/A,#N/A,FALSE,"WWCM"}</definedName>
    <definedName name="aaa_1_1" hidden="1">{#N/A,#N/A,FALSE,"Pharm";#N/A,#N/A,FALSE,"WWCM"}</definedName>
    <definedName name="ÄÄa_1_1" localSheetId="0" hidden="1">{#N/A,#N/A,FALSE,"Umsatz 99";#N/A,#N/A,FALSE,"ER 99 "}</definedName>
    <definedName name="ÄÄa_1_1" localSheetId="6" hidden="1">{#N/A,#N/A,FALSE,"Umsatz 99";#N/A,#N/A,FALSE,"ER 99 "}</definedName>
    <definedName name="ÄÄa_1_1" hidden="1">{#N/A,#N/A,FALSE,"Umsatz 99";#N/A,#N/A,FALSE,"ER 99 "}</definedName>
    <definedName name="äää_1_1" localSheetId="0" hidden="1">{#N/A,#N/A,FALSE,"Umsatz 99";#N/A,#N/A,FALSE,"ER 99 "}</definedName>
    <definedName name="äää_1_1" localSheetId="6" hidden="1">{#N/A,#N/A,FALSE,"Umsatz 99";#N/A,#N/A,FALSE,"ER 99 "}</definedName>
    <definedName name="äää_1_1" hidden="1">{#N/A,#N/A,FALSE,"Umsatz 99";#N/A,#N/A,FALSE,"ER 99 "}</definedName>
    <definedName name="aaa_2" localSheetId="0" hidden="1">{#N/A,#N/A,FALSE,"Pharm";#N/A,#N/A,FALSE,"WWCM"}</definedName>
    <definedName name="aaa_2" localSheetId="6" hidden="1">{#N/A,#N/A,FALSE,"Pharm";#N/A,#N/A,FALSE,"WWCM"}</definedName>
    <definedName name="aaa_2" hidden="1">{#N/A,#N/A,FALSE,"Pharm";#N/A,#N/A,FALSE,"WWCM"}</definedName>
    <definedName name="ÄÄa_2" localSheetId="0" hidden="1">{#N/A,#N/A,FALSE,"Umsatz 99";#N/A,#N/A,FALSE,"ER 99 "}</definedName>
    <definedName name="ÄÄa_2" localSheetId="6" hidden="1">{#N/A,#N/A,FALSE,"Umsatz 99";#N/A,#N/A,FALSE,"ER 99 "}</definedName>
    <definedName name="ÄÄa_2" hidden="1">{#N/A,#N/A,FALSE,"Umsatz 99";#N/A,#N/A,FALSE,"ER 99 "}</definedName>
    <definedName name="äää_2" localSheetId="0" hidden="1">{#N/A,#N/A,FALSE,"Umsatz 99";#N/A,#N/A,FALSE,"ER 99 "}</definedName>
    <definedName name="äää_2" localSheetId="6" hidden="1">{#N/A,#N/A,FALSE,"Umsatz 99";#N/A,#N/A,FALSE,"ER 99 "}</definedName>
    <definedName name="äää_2" hidden="1">{#N/A,#N/A,FALSE,"Umsatz 99";#N/A,#N/A,FALSE,"ER 99 "}</definedName>
    <definedName name="aaa_2_1" localSheetId="6" hidden="1">{#N/A,#N/A,FALSE,"Scenario PivotTable"}</definedName>
    <definedName name="aaa_2_1" hidden="1">{#N/A,#N/A,FALSE,"Scenario PivotTable"}</definedName>
    <definedName name="aaa_2_1_1" localSheetId="6" hidden="1">{#N/A,#N/A,FALSE,"Scenario PivotTable"}</definedName>
    <definedName name="aaa_2_1_1" hidden="1">{#N/A,#N/A,FALSE,"Scenario PivotTable"}</definedName>
    <definedName name="aaa_2_1_1_1" localSheetId="6" hidden="1">{#N/A,#N/A,FALSE,"Scenario PivotTable"}</definedName>
    <definedName name="aaa_2_1_1_1" hidden="1">{#N/A,#N/A,FALSE,"Scenario PivotTable"}</definedName>
    <definedName name="aaa_2_1_2" localSheetId="6" hidden="1">{#N/A,#N/A,FALSE,"Scenario PivotTable"}</definedName>
    <definedName name="aaa_2_1_2" hidden="1">{#N/A,#N/A,FALSE,"Scenario PivotTable"}</definedName>
    <definedName name="aaa_2_1_2_1" localSheetId="6" hidden="1">{#N/A,#N/A,FALSE,"Scenario PivotTable"}</definedName>
    <definedName name="aaa_2_1_2_1" hidden="1">{#N/A,#N/A,FALSE,"Scenario PivotTable"}</definedName>
    <definedName name="aaa_2_1_3" localSheetId="6" hidden="1">{#N/A,#N/A,FALSE,"Scenario PivotTable"}</definedName>
    <definedName name="aaa_2_1_3" hidden="1">{#N/A,#N/A,FALSE,"Scenario PivotTable"}</definedName>
    <definedName name="aaa_2_2" localSheetId="6" hidden="1">{#N/A,#N/A,FALSE,"Scenario PivotTable"}</definedName>
    <definedName name="aaa_2_2" hidden="1">{#N/A,#N/A,FALSE,"Scenario PivotTable"}</definedName>
    <definedName name="aaa_2_2_1" localSheetId="6" hidden="1">{#N/A,#N/A,FALSE,"Scenario PivotTable"}</definedName>
    <definedName name="aaa_2_2_1" hidden="1">{#N/A,#N/A,FALSE,"Scenario PivotTable"}</definedName>
    <definedName name="aaa_2_2_1_1" localSheetId="6" hidden="1">{#N/A,#N/A,FALSE,"Scenario PivotTable"}</definedName>
    <definedName name="aaa_2_2_1_1" hidden="1">{#N/A,#N/A,FALSE,"Scenario PivotTable"}</definedName>
    <definedName name="aaa_2_2_2" localSheetId="6" hidden="1">{#N/A,#N/A,FALSE,"Scenario PivotTable"}</definedName>
    <definedName name="aaa_2_2_2" hidden="1">{#N/A,#N/A,FALSE,"Scenario PivotTable"}</definedName>
    <definedName name="aaa_2_3" localSheetId="6" hidden="1">{#N/A,#N/A,FALSE,"Scenario PivotTable"}</definedName>
    <definedName name="aaa_2_3" hidden="1">{#N/A,#N/A,FALSE,"Scenario PivotTable"}</definedName>
    <definedName name="aaa_2_3_1" localSheetId="6" hidden="1">{#N/A,#N/A,FALSE,"Scenario PivotTable"}</definedName>
    <definedName name="aaa_2_3_1" hidden="1">{#N/A,#N/A,FALSE,"Scenario PivotTable"}</definedName>
    <definedName name="aaa_2_4" localSheetId="6" hidden="1">{#N/A,#N/A,FALSE,"Scenario PivotTable"}</definedName>
    <definedName name="aaa_2_4" hidden="1">{#N/A,#N/A,FALSE,"Scenario PivotTable"}</definedName>
    <definedName name="aaa_3" localSheetId="0" hidden="1">{#N/A,#N/A,FALSE,"Pharm";#N/A,#N/A,FALSE,"WWCM"}</definedName>
    <definedName name="aaa_3" localSheetId="6" hidden="1">{#N/A,#N/A,FALSE,"Pharm";#N/A,#N/A,FALSE,"WWCM"}</definedName>
    <definedName name="aaa_3" hidden="1">{#N/A,#N/A,FALSE,"Pharm";#N/A,#N/A,FALSE,"WWCM"}</definedName>
    <definedName name="ÄÄa_3" localSheetId="0" hidden="1">{#N/A,#N/A,FALSE,"Umsatz 99";#N/A,#N/A,FALSE,"ER 99 "}</definedName>
    <definedName name="ÄÄa_3" localSheetId="6" hidden="1">{#N/A,#N/A,FALSE,"Umsatz 99";#N/A,#N/A,FALSE,"ER 99 "}</definedName>
    <definedName name="ÄÄa_3" hidden="1">{#N/A,#N/A,FALSE,"Umsatz 99";#N/A,#N/A,FALSE,"ER 99 "}</definedName>
    <definedName name="äää_3" localSheetId="0" hidden="1">{#N/A,#N/A,FALSE,"Umsatz 99";#N/A,#N/A,FALSE,"ER 99 "}</definedName>
    <definedName name="äää_3" localSheetId="6" hidden="1">{#N/A,#N/A,FALSE,"Umsatz 99";#N/A,#N/A,FALSE,"ER 99 "}</definedName>
    <definedName name="äää_3" hidden="1">{#N/A,#N/A,FALSE,"Umsatz 99";#N/A,#N/A,FALSE,"ER 99 "}</definedName>
    <definedName name="aaa_3_1" localSheetId="6" hidden="1">{#N/A,#N/A,FALSE,"Scenario PivotTable"}</definedName>
    <definedName name="aaa_3_1" hidden="1">{#N/A,#N/A,FALSE,"Scenario PivotTable"}</definedName>
    <definedName name="aaa_3_1_1" localSheetId="6" hidden="1">{#N/A,#N/A,FALSE,"Scenario PivotTable"}</definedName>
    <definedName name="aaa_3_1_1" hidden="1">{#N/A,#N/A,FALSE,"Scenario PivotTable"}</definedName>
    <definedName name="aaa_3_1_1_1" localSheetId="6" hidden="1">{#N/A,#N/A,FALSE,"Scenario PivotTable"}</definedName>
    <definedName name="aaa_3_1_1_1" hidden="1">{#N/A,#N/A,FALSE,"Scenario PivotTable"}</definedName>
    <definedName name="aaa_3_1_2" localSheetId="6" hidden="1">{#N/A,#N/A,FALSE,"Scenario PivotTable"}</definedName>
    <definedName name="aaa_3_1_2" hidden="1">{#N/A,#N/A,FALSE,"Scenario PivotTable"}</definedName>
    <definedName name="aaa_3_1_2_1" localSheetId="6" hidden="1">{#N/A,#N/A,FALSE,"Scenario PivotTable"}</definedName>
    <definedName name="aaa_3_1_2_1" hidden="1">{#N/A,#N/A,FALSE,"Scenario PivotTable"}</definedName>
    <definedName name="aaa_3_1_3" localSheetId="6" hidden="1">{#N/A,#N/A,FALSE,"Scenario PivotTable"}</definedName>
    <definedName name="aaa_3_1_3" hidden="1">{#N/A,#N/A,FALSE,"Scenario PivotTable"}</definedName>
    <definedName name="aaa_3_2" localSheetId="6" hidden="1">{#N/A,#N/A,FALSE,"Scenario PivotTable"}</definedName>
    <definedName name="aaa_3_2" hidden="1">{#N/A,#N/A,FALSE,"Scenario PivotTable"}</definedName>
    <definedName name="aaa_3_2_1" localSheetId="6" hidden="1">{#N/A,#N/A,FALSE,"Scenario PivotTable"}</definedName>
    <definedName name="aaa_3_2_1" hidden="1">{#N/A,#N/A,FALSE,"Scenario PivotTable"}</definedName>
    <definedName name="aaa_3_2_1_1" localSheetId="6" hidden="1">{#N/A,#N/A,FALSE,"Scenario PivotTable"}</definedName>
    <definedName name="aaa_3_2_1_1" hidden="1">{#N/A,#N/A,FALSE,"Scenario PivotTable"}</definedName>
    <definedName name="aaa_3_2_2" localSheetId="6" hidden="1">{#N/A,#N/A,FALSE,"Scenario PivotTable"}</definedName>
    <definedName name="aaa_3_2_2" hidden="1">{#N/A,#N/A,FALSE,"Scenario PivotTable"}</definedName>
    <definedName name="aaa_3_3" localSheetId="6" hidden="1">{#N/A,#N/A,FALSE,"Scenario PivotTable"}</definedName>
    <definedName name="aaa_3_3" hidden="1">{#N/A,#N/A,FALSE,"Scenario PivotTable"}</definedName>
    <definedName name="aaa_3_3_1" localSheetId="6" hidden="1">{#N/A,#N/A,FALSE,"Scenario PivotTable"}</definedName>
    <definedName name="aaa_3_3_1" hidden="1">{#N/A,#N/A,FALSE,"Scenario PivotTable"}</definedName>
    <definedName name="aaa_3_4" localSheetId="6" hidden="1">{#N/A,#N/A,FALSE,"Scenario PivotTable"}</definedName>
    <definedName name="aaa_3_4" hidden="1">{#N/A,#N/A,FALSE,"Scenario PivotTable"}</definedName>
    <definedName name="aaa_4" localSheetId="0" hidden="1">{#N/A,#N/A,FALSE,"Pharm";#N/A,#N/A,FALSE,"WWCM"}</definedName>
    <definedName name="aaa_4" localSheetId="6" hidden="1">{#N/A,#N/A,FALSE,"Pharm";#N/A,#N/A,FALSE,"WWCM"}</definedName>
    <definedName name="aaa_4" hidden="1">{#N/A,#N/A,FALSE,"Pharm";#N/A,#N/A,FALSE,"WWCM"}</definedName>
    <definedName name="ÄÄa_4" localSheetId="0" hidden="1">{#N/A,#N/A,FALSE,"Umsatz 99";#N/A,#N/A,FALSE,"ER 99 "}</definedName>
    <definedName name="ÄÄa_4" localSheetId="6" hidden="1">{#N/A,#N/A,FALSE,"Umsatz 99";#N/A,#N/A,FALSE,"ER 99 "}</definedName>
    <definedName name="ÄÄa_4" hidden="1">{#N/A,#N/A,FALSE,"Umsatz 99";#N/A,#N/A,FALSE,"ER 99 "}</definedName>
    <definedName name="äää_4" localSheetId="0" hidden="1">{#N/A,#N/A,FALSE,"Umsatz 99";#N/A,#N/A,FALSE,"ER 99 "}</definedName>
    <definedName name="äää_4" localSheetId="6" hidden="1">{#N/A,#N/A,FALSE,"Umsatz 99";#N/A,#N/A,FALSE,"ER 99 "}</definedName>
    <definedName name="äää_4" hidden="1">{#N/A,#N/A,FALSE,"Umsatz 99";#N/A,#N/A,FALSE,"ER 99 "}</definedName>
    <definedName name="aaa_4_1" localSheetId="6" hidden="1">{#N/A,#N/A,FALSE,"Scenario PivotTable"}</definedName>
    <definedName name="aaa_4_1" hidden="1">{#N/A,#N/A,FALSE,"Scenario PivotTable"}</definedName>
    <definedName name="aaa_4_1_1" localSheetId="6" hidden="1">{#N/A,#N/A,FALSE,"Scenario PivotTable"}</definedName>
    <definedName name="aaa_4_1_1" hidden="1">{#N/A,#N/A,FALSE,"Scenario PivotTable"}</definedName>
    <definedName name="aaa_4_1_1_1" localSheetId="6" hidden="1">{#N/A,#N/A,FALSE,"Scenario PivotTable"}</definedName>
    <definedName name="aaa_4_1_1_1" hidden="1">{#N/A,#N/A,FALSE,"Scenario PivotTable"}</definedName>
    <definedName name="aaa_4_1_2" localSheetId="6" hidden="1">{#N/A,#N/A,FALSE,"Scenario PivotTable"}</definedName>
    <definedName name="aaa_4_1_2" hidden="1">{#N/A,#N/A,FALSE,"Scenario PivotTable"}</definedName>
    <definedName name="aaa_4_1_2_1" localSheetId="6" hidden="1">{#N/A,#N/A,FALSE,"Scenario PivotTable"}</definedName>
    <definedName name="aaa_4_1_2_1" hidden="1">{#N/A,#N/A,FALSE,"Scenario PivotTable"}</definedName>
    <definedName name="aaa_4_1_3" localSheetId="6" hidden="1">{#N/A,#N/A,FALSE,"Scenario PivotTable"}</definedName>
    <definedName name="aaa_4_1_3" hidden="1">{#N/A,#N/A,FALSE,"Scenario PivotTable"}</definedName>
    <definedName name="aaa_4_2" localSheetId="6" hidden="1">{#N/A,#N/A,FALSE,"Scenario PivotTable"}</definedName>
    <definedName name="aaa_4_2" hidden="1">{#N/A,#N/A,FALSE,"Scenario PivotTable"}</definedName>
    <definedName name="aaa_4_2_1" localSheetId="6" hidden="1">{#N/A,#N/A,FALSE,"Scenario PivotTable"}</definedName>
    <definedName name="aaa_4_2_1" hidden="1">{#N/A,#N/A,FALSE,"Scenario PivotTable"}</definedName>
    <definedName name="aaa_4_2_1_1" localSheetId="6" hidden="1">{#N/A,#N/A,FALSE,"Scenario PivotTable"}</definedName>
    <definedName name="aaa_4_2_1_1" hidden="1">{#N/A,#N/A,FALSE,"Scenario PivotTable"}</definedName>
    <definedName name="aaa_4_2_2" localSheetId="6" hidden="1">{#N/A,#N/A,FALSE,"Scenario PivotTable"}</definedName>
    <definedName name="aaa_4_2_2" hidden="1">{#N/A,#N/A,FALSE,"Scenario PivotTable"}</definedName>
    <definedName name="aaa_4_3" localSheetId="6" hidden="1">{#N/A,#N/A,FALSE,"Scenario PivotTable"}</definedName>
    <definedName name="aaa_4_3" hidden="1">{#N/A,#N/A,FALSE,"Scenario PivotTable"}</definedName>
    <definedName name="aaa_4_3_1" localSheetId="6" hidden="1">{#N/A,#N/A,FALSE,"Scenario PivotTable"}</definedName>
    <definedName name="aaa_4_3_1" hidden="1">{#N/A,#N/A,FALSE,"Scenario PivotTable"}</definedName>
    <definedName name="aaa_4_4" localSheetId="6" hidden="1">{#N/A,#N/A,FALSE,"Scenario PivotTable"}</definedName>
    <definedName name="aaa_4_4" hidden="1">{#N/A,#N/A,FALSE,"Scenario PivotTable"}</definedName>
    <definedName name="aaa_5" localSheetId="0" hidden="1">{#N/A,#N/A,FALSE,"Pharm";#N/A,#N/A,FALSE,"WWCM"}</definedName>
    <definedName name="aaa_5" localSheetId="6" hidden="1">{#N/A,#N/A,FALSE,"Pharm";#N/A,#N/A,FALSE,"WWCM"}</definedName>
    <definedName name="aaa_5" hidden="1">{#N/A,#N/A,FALSE,"Pharm";#N/A,#N/A,FALSE,"WWCM"}</definedName>
    <definedName name="äää_5" localSheetId="0" hidden="1">{#N/A,#N/A,FALSE,"Umsatz 99";#N/A,#N/A,FALSE,"ER 99 "}</definedName>
    <definedName name="äää_5" localSheetId="6" hidden="1">{#N/A,#N/A,FALSE,"Umsatz 99";#N/A,#N/A,FALSE,"ER 99 "}</definedName>
    <definedName name="äää_5" hidden="1">{#N/A,#N/A,FALSE,"Umsatz 99";#N/A,#N/A,FALSE,"ER 99 "}</definedName>
    <definedName name="aaa_5_1" localSheetId="6" hidden="1">{#N/A,#N/A,FALSE,"Scenario PivotTable"}</definedName>
    <definedName name="aaa_5_1" hidden="1">{#N/A,#N/A,FALSE,"Scenario PivotTable"}</definedName>
    <definedName name="aaa_5_1_1" localSheetId="6" hidden="1">{#N/A,#N/A,FALSE,"Scenario PivotTable"}</definedName>
    <definedName name="aaa_5_1_1" hidden="1">{#N/A,#N/A,FALSE,"Scenario PivotTable"}</definedName>
    <definedName name="aaa_5_1_1_1" localSheetId="6" hidden="1">{#N/A,#N/A,FALSE,"Scenario PivotTable"}</definedName>
    <definedName name="aaa_5_1_1_1" hidden="1">{#N/A,#N/A,FALSE,"Scenario PivotTable"}</definedName>
    <definedName name="aaa_5_1_2" localSheetId="6" hidden="1">{#N/A,#N/A,FALSE,"Scenario PivotTable"}</definedName>
    <definedName name="aaa_5_1_2" hidden="1">{#N/A,#N/A,FALSE,"Scenario PivotTable"}</definedName>
    <definedName name="aaa_5_1_2_1" localSheetId="6" hidden="1">{#N/A,#N/A,FALSE,"Scenario PivotTable"}</definedName>
    <definedName name="aaa_5_1_2_1" hidden="1">{#N/A,#N/A,FALSE,"Scenario PivotTable"}</definedName>
    <definedName name="aaa_5_1_3" localSheetId="6" hidden="1">{#N/A,#N/A,FALSE,"Scenario PivotTable"}</definedName>
    <definedName name="aaa_5_1_3" hidden="1">{#N/A,#N/A,FALSE,"Scenario PivotTable"}</definedName>
    <definedName name="aaa_5_2" localSheetId="6" hidden="1">{#N/A,#N/A,FALSE,"Scenario PivotTable"}</definedName>
    <definedName name="aaa_5_2" hidden="1">{#N/A,#N/A,FALSE,"Scenario PivotTable"}</definedName>
    <definedName name="aaa_5_2_1" localSheetId="6" hidden="1">{#N/A,#N/A,FALSE,"Scenario PivotTable"}</definedName>
    <definedName name="aaa_5_2_1" hidden="1">{#N/A,#N/A,FALSE,"Scenario PivotTable"}</definedName>
    <definedName name="aaa_5_2_1_1" localSheetId="6" hidden="1">{#N/A,#N/A,FALSE,"Scenario PivotTable"}</definedName>
    <definedName name="aaa_5_2_1_1" hidden="1">{#N/A,#N/A,FALSE,"Scenario PivotTable"}</definedName>
    <definedName name="aaa_5_2_2" localSheetId="6" hidden="1">{#N/A,#N/A,FALSE,"Scenario PivotTable"}</definedName>
    <definedName name="aaa_5_2_2" hidden="1">{#N/A,#N/A,FALSE,"Scenario PivotTable"}</definedName>
    <definedName name="aaa_5_3" localSheetId="6" hidden="1">{#N/A,#N/A,FALSE,"Scenario PivotTable"}</definedName>
    <definedName name="aaa_5_3" hidden="1">{#N/A,#N/A,FALSE,"Scenario PivotTable"}</definedName>
    <definedName name="aaa_5_3_1" localSheetId="6" hidden="1">{#N/A,#N/A,FALSE,"Scenario PivotTable"}</definedName>
    <definedName name="aaa_5_3_1" hidden="1">{#N/A,#N/A,FALSE,"Scenario PivotTable"}</definedName>
    <definedName name="aaa_5_4" localSheetId="6" hidden="1">{#N/A,#N/A,FALSE,"Scenario PivotTable"}</definedName>
    <definedName name="aaa_5_4" hidden="1">{#N/A,#N/A,FALSE,"Scenario PivotTable"}</definedName>
    <definedName name="AAA_DOCTOPS" hidden="1">"AAA_SET"</definedName>
    <definedName name="AAA_duser" hidden="1">"OFF"</definedName>
    <definedName name="aaa0" localSheetId="0" hidden="1">{#N/A,#N/A,FALSE,"Aging Summary";#N/A,#N/A,FALSE,"Ratio Analysis";#N/A,#N/A,FALSE,"Test 120 Day Accts";#N/A,#N/A,FALSE,"Tickmarks"}</definedName>
    <definedName name="aaa0" localSheetId="6" hidden="1">{#N/A,#N/A,FALSE,"Aging Summary";#N/A,#N/A,FALSE,"Ratio Analysis";#N/A,#N/A,FALSE,"Test 120 Day Accts";#N/A,#N/A,FALSE,"Tickmarks"}</definedName>
    <definedName name="aaa0" hidden="1">{#N/A,#N/A,FALSE,"Aging Summary";#N/A,#N/A,FALSE,"Ratio Analysis";#N/A,#N/A,FALSE,"Test 120 Day Accts";#N/A,#N/A,FALSE,"Tickmarks"}</definedName>
    <definedName name="aaaa" localSheetId="0" hidden="1">"c2104"</definedName>
    <definedName name="aaaa" localSheetId="6"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aaaa"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aaaa_1" localSheetId="0" hidden="1">{#N/A,#N/A,FALSE,"REPORT"}</definedName>
    <definedName name="aaaa_1" localSheetId="6" hidden="1">{#N/A,#N/A,FALSE,"REPORT"}</definedName>
    <definedName name="aaaa_1" hidden="1">{#N/A,#N/A,FALSE,"REPORT"}</definedName>
    <definedName name="aaaa_1_1" localSheetId="0" hidden="1">{#N/A,#N/A,FALSE,"REPORT"}</definedName>
    <definedName name="aaaa_1_1" localSheetId="6" hidden="1">{#N/A,#N/A,FALSE,"REPORT"}</definedName>
    <definedName name="aaaa_1_1" hidden="1">{#N/A,#N/A,FALSE,"REPORT"}</definedName>
    <definedName name="aaaa_2" localSheetId="0" hidden="1">{#N/A,#N/A,FALSE,"REPORT"}</definedName>
    <definedName name="aaaa_2" localSheetId="6" hidden="1">{#N/A,#N/A,FALSE,"REPORT"}</definedName>
    <definedName name="aaaa_2" hidden="1">{#N/A,#N/A,FALSE,"REPORT"}</definedName>
    <definedName name="aaaa_3" localSheetId="0" hidden="1">{#N/A,#N/A,FALSE,"REPORT"}</definedName>
    <definedName name="aaaa_3" localSheetId="6" hidden="1">{#N/A,#N/A,FALSE,"REPORT"}</definedName>
    <definedName name="aaaa_3" hidden="1">{#N/A,#N/A,FALSE,"REPORT"}</definedName>
    <definedName name="aaaa_4" localSheetId="0" hidden="1">{#N/A,#N/A,FALSE,"REPORT"}</definedName>
    <definedName name="aaaa_4" localSheetId="6" hidden="1">{#N/A,#N/A,FALSE,"REPORT"}</definedName>
    <definedName name="aaaa_4" hidden="1">{#N/A,#N/A,FALSE,"REPORT"}</definedName>
    <definedName name="aaaa_5" localSheetId="0" hidden="1">{#N/A,#N/A,FALSE,"REPORT"}</definedName>
    <definedName name="aaaa_5" localSheetId="6" hidden="1">{#N/A,#N/A,FALSE,"REPORT"}</definedName>
    <definedName name="aaaa_5" hidden="1">{#N/A,#N/A,FALSE,"REPORT"}</definedName>
    <definedName name="aaaaa" localSheetId="0" hidden="1">{0,0,0,0;0,0,0,0;0,0,0,0;0,0,0,0;0,0,0,0;0,0,0,0;0,0,0,0;0,0,0,0;0,0,0,0;0,0,0,0;0,0,0,0;0,0,0,0;0,0,0,0;0,0,0,0;0,0,0,0;0,0,0,0;0,0,0,0;0,0,0,0}</definedName>
    <definedName name="aaaaa" localSheetId="6" hidden="1">{0,0,0,0;0,0,0,0;0,0,0,0;0,0,0,0;0,0,0,0;0,0,0,0;0,0,0,0;0,0,0,0;0,0,0,0;0,0,0,0;0,0,0,0;0,0,0,0;0,0,0,0;0,0,0,0;0,0,0,0;0,0,0,0;0,0,0,0;0,0,0,0}</definedName>
    <definedName name="aaaaa" hidden="1">{0,0,0,0;0,0,0,0;0,0,0,0;0,0,0,0;0,0,0,0;0,0,0,0;0,0,0,0;0,0,0,0;0,0,0,0;0,0,0,0;0,0,0,0;0,0,0,0;0,0,0,0;0,0,0,0;0,0,0,0;0,0,0,0;0,0,0,0;0,0,0,0}</definedName>
    <definedName name="aaaaa_1" localSheetId="0" hidden="1">{#N/A,#N/A,FALSE,"REPORT"}</definedName>
    <definedName name="aaaaa_1" localSheetId="6" hidden="1">{#N/A,#N/A,FALSE,"REPORT"}</definedName>
    <definedName name="aaaaa_1" hidden="1">{#N/A,#N/A,FALSE,"REPORT"}</definedName>
    <definedName name="aaaaa_1_1" localSheetId="0" hidden="1">{#N/A,#N/A,FALSE,"REPORT"}</definedName>
    <definedName name="aaaaa_1_1" localSheetId="6" hidden="1">{#N/A,#N/A,FALSE,"REPORT"}</definedName>
    <definedName name="aaaaa_1_1" hidden="1">{#N/A,#N/A,FALSE,"REPORT"}</definedName>
    <definedName name="aaaaa_2" localSheetId="0" hidden="1">{#N/A,#N/A,FALSE,"REPORT"}</definedName>
    <definedName name="aaaaa_2" localSheetId="6" hidden="1">{#N/A,#N/A,FALSE,"REPORT"}</definedName>
    <definedName name="aaaaa_2" hidden="1">{#N/A,#N/A,FALSE,"REPORT"}</definedName>
    <definedName name="aaaaa_3" localSheetId="0" hidden="1">{#N/A,#N/A,FALSE,"REPORT"}</definedName>
    <definedName name="aaaaa_3" localSheetId="6" hidden="1">{#N/A,#N/A,FALSE,"REPORT"}</definedName>
    <definedName name="aaaaa_3" hidden="1">{#N/A,#N/A,FALSE,"REPORT"}</definedName>
    <definedName name="aaaaa_4" localSheetId="0" hidden="1">{#N/A,#N/A,FALSE,"REPORT"}</definedName>
    <definedName name="aaaaa_4" localSheetId="6" hidden="1">{#N/A,#N/A,FALSE,"REPORT"}</definedName>
    <definedName name="aaaaa_4" hidden="1">{#N/A,#N/A,FALSE,"REPORT"}</definedName>
    <definedName name="aaaaa_5" localSheetId="0" hidden="1">{#N/A,#N/A,FALSE,"REPORT"}</definedName>
    <definedName name="aaaaa_5" localSheetId="6" hidden="1">{#N/A,#N/A,FALSE,"REPORT"}</definedName>
    <definedName name="aaaaa_5" hidden="1">{#N/A,#N/A,FALSE,"REPORT"}</definedName>
    <definedName name="aaaaaa" localSheetId="0" hidden="1">{"Graphic",#N/A,TRUE,"Graphic"}</definedName>
    <definedName name="aaaaaa" localSheetId="6" hidden="1">{"Graphic",#N/A,TRUE,"Graphic"}</definedName>
    <definedName name="aaaaaa" hidden="1">{"Graphic",#N/A,TRUE,"Graphic"}</definedName>
    <definedName name="aaaaaa_1" localSheetId="0" hidden="1">{"Graphic",#N/A,TRUE,"Graphic"}</definedName>
    <definedName name="aaaaaa_1" localSheetId="6" hidden="1">{"Graphic",#N/A,TRUE,"Graphic"}</definedName>
    <definedName name="aaaaaa_1" hidden="1">{"Graphic",#N/A,TRUE,"Graphic"}</definedName>
    <definedName name="aaaaaa_1_1" localSheetId="0" hidden="1">{#N/A,#N/A,FALSE,"REPORT"}</definedName>
    <definedName name="aaaaaa_1_1" localSheetId="6" hidden="1">{#N/A,#N/A,FALSE,"REPORT"}</definedName>
    <definedName name="aaaaaa_1_1" hidden="1">{#N/A,#N/A,FALSE,"REPORT"}</definedName>
    <definedName name="aaaaaa_2" localSheetId="0" hidden="1">{#N/A,#N/A,FALSE,"REPORT"}</definedName>
    <definedName name="aaaaaa_2" localSheetId="6" hidden="1">{#N/A,#N/A,FALSE,"REPORT"}</definedName>
    <definedName name="aaaaaa_2" hidden="1">{#N/A,#N/A,FALSE,"REPORT"}</definedName>
    <definedName name="aaaaaa_3" localSheetId="0" hidden="1">{#N/A,#N/A,FALSE,"REPORT"}</definedName>
    <definedName name="aaaaaa_3" localSheetId="6" hidden="1">{#N/A,#N/A,FALSE,"REPORT"}</definedName>
    <definedName name="aaaaaa_3" hidden="1">{#N/A,#N/A,FALSE,"REPORT"}</definedName>
    <definedName name="aaaaaa_4" localSheetId="0" hidden="1">{#N/A,#N/A,FALSE,"REPORT"}</definedName>
    <definedName name="aaaaaa_4" localSheetId="6" hidden="1">{#N/A,#N/A,FALSE,"REPORT"}</definedName>
    <definedName name="aaaaaa_4" hidden="1">{#N/A,#N/A,FALSE,"REPORT"}</definedName>
    <definedName name="aaaaaa_5" localSheetId="0" hidden="1">{#N/A,#N/A,FALSE,"REPORT"}</definedName>
    <definedName name="aaaaaa_5" localSheetId="6" hidden="1">{#N/A,#N/A,FALSE,"REPORT"}</definedName>
    <definedName name="aaaaaa_5" hidden="1">{#N/A,#N/A,FALSE,"REPORT"}</definedName>
    <definedName name="aaaaaaa" localSheetId="0" hidden="1">{#N/A,#N/A,FALSE,"REPORT"}</definedName>
    <definedName name="aaaaaaa" localSheetId="6" hidden="1">{#N/A,#N/A,FALSE,"REPORT"}</definedName>
    <definedName name="aaaaaaa" hidden="1">{#N/A,#N/A,FALSE,"REPORT"}</definedName>
    <definedName name="aaaaaaa_1" localSheetId="0" hidden="1">{#N/A,#N/A,FALSE,"REPORT"}</definedName>
    <definedName name="aaaaaaa_1" localSheetId="6" hidden="1">{#N/A,#N/A,FALSE,"REPORT"}</definedName>
    <definedName name="aaaaaaa_1" hidden="1">{#N/A,#N/A,FALSE,"REPORT"}</definedName>
    <definedName name="aaaaaaa_1_1" localSheetId="0" hidden="1">{#N/A,#N/A,FALSE,"REPORT"}</definedName>
    <definedName name="aaaaaaa_1_1" localSheetId="6" hidden="1">{#N/A,#N/A,FALSE,"REPORT"}</definedName>
    <definedName name="aaaaaaa_1_1" hidden="1">{#N/A,#N/A,FALSE,"REPORT"}</definedName>
    <definedName name="aaaaaaa_2" localSheetId="0" hidden="1">{#N/A,#N/A,FALSE,"REPORT"}</definedName>
    <definedName name="aaaaaaa_2" localSheetId="6" hidden="1">{#N/A,#N/A,FALSE,"REPORT"}</definedName>
    <definedName name="aaaaaaa_2" hidden="1">{#N/A,#N/A,FALSE,"REPORT"}</definedName>
    <definedName name="aaaaaaa_3" localSheetId="0" hidden="1">{#N/A,#N/A,FALSE,"REPORT"}</definedName>
    <definedName name="aaaaaaa_3" localSheetId="6" hidden="1">{#N/A,#N/A,FALSE,"REPORT"}</definedName>
    <definedName name="aaaaaaa_3" hidden="1">{#N/A,#N/A,FALSE,"REPORT"}</definedName>
    <definedName name="aaaaaaa_4" localSheetId="0" hidden="1">{#N/A,#N/A,FALSE,"REPORT"}</definedName>
    <definedName name="aaaaaaa_4" localSheetId="6" hidden="1">{#N/A,#N/A,FALSE,"REPORT"}</definedName>
    <definedName name="aaaaaaa_4" hidden="1">{#N/A,#N/A,FALSE,"REPORT"}</definedName>
    <definedName name="aaaaaaa_5" localSheetId="0" hidden="1">{#N/A,#N/A,FALSE,"REPORT"}</definedName>
    <definedName name="aaaaaaa_5" localSheetId="6" hidden="1">{#N/A,#N/A,FALSE,"REPORT"}</definedName>
    <definedName name="aaaaaaa_5" hidden="1">{#N/A,#N/A,FALSE,"REPORT"}</definedName>
    <definedName name="aaaaaaaa" localSheetId="0" hidden="1">{#N/A,#N/A,FALSE,"Work progress mensile";#N/A,#N/A,FALSE,"Work progress mensile IE1"}</definedName>
    <definedName name="aaaaaaaa" localSheetId="6" hidden="1">{#N/A,#N/A,FALSE,"Work progress mensile";#N/A,#N/A,FALSE,"Work progress mensile IE1"}</definedName>
    <definedName name="aaaaaaaa" hidden="1">{#N/A,#N/A,FALSE,"Work progress mensile";#N/A,#N/A,FALSE,"Work progress mensile IE1"}</definedName>
    <definedName name="aaaaaaaa_1" localSheetId="6" hidden="1">{#N/A,#N/A,TRUE,"Cover";#N/A,#N/A,TRUE,"Conts";#N/A,#N/A,TRUE,"VOS";#N/A,#N/A,TRUE,"Warrington";#N/A,#N/A,TRUE,"Widnes"}</definedName>
    <definedName name="aaaaaaaa_1" hidden="1">{#N/A,#N/A,TRUE,"Cover";#N/A,#N/A,TRUE,"Conts";#N/A,#N/A,TRUE,"VOS";#N/A,#N/A,TRUE,"Warrington";#N/A,#N/A,TRUE,"Widnes"}</definedName>
    <definedName name="aaaaaaaaa" localSheetId="0" hidden="1">{"Graphic",#N/A,TRUE,"Graphic"}</definedName>
    <definedName name="aaaaaaaaa" localSheetId="6" hidden="1">{"Graphic",#N/A,TRUE,"Graphic"}</definedName>
    <definedName name="aaaaaaaaa" hidden="1">{"Graphic",#N/A,TRUE,"Graphic"}</definedName>
    <definedName name="aaaaaaaaa_1" localSheetId="0" hidden="1">{"Graphic",#N/A,TRUE,"Graphic"}</definedName>
    <definedName name="aaaaaaaaa_1" localSheetId="6" hidden="1">{"Graphic",#N/A,TRUE,"Graphic"}</definedName>
    <definedName name="aaaaaaaaa_1" hidden="1">{"Graphic",#N/A,TRUE,"Graphic"}</definedName>
    <definedName name="aaaaaaaaaaa" localSheetId="0" hidden="1">{#N/A,#N/A,FALSE,"REPORT"}</definedName>
    <definedName name="aaaaaaaaaaa" localSheetId="6" hidden="1">{#N/A,#N/A,FALSE,"REPORT"}</definedName>
    <definedName name="aaaaaaaaaaa" hidden="1">{#N/A,#N/A,FALSE,"REPORT"}</definedName>
    <definedName name="aaaaaaaaaaa_1" localSheetId="0" hidden="1">{#N/A,#N/A,FALSE,"REPORT"}</definedName>
    <definedName name="aaaaaaaaaaa_1" localSheetId="6" hidden="1">{#N/A,#N/A,FALSE,"REPORT"}</definedName>
    <definedName name="aaaaaaaaaaa_1" hidden="1">{#N/A,#N/A,FALSE,"REPORT"}</definedName>
    <definedName name="aaaaaaaaaaa_1_1" localSheetId="0" hidden="1">{#N/A,#N/A,FALSE,"REPORT"}</definedName>
    <definedName name="aaaaaaaaaaa_1_1" localSheetId="6" hidden="1">{#N/A,#N/A,FALSE,"REPORT"}</definedName>
    <definedName name="aaaaaaaaaaa_1_1" hidden="1">{#N/A,#N/A,FALSE,"REPORT"}</definedName>
    <definedName name="aaaaaaaaaaa_2" localSheetId="0" hidden="1">{#N/A,#N/A,FALSE,"REPORT"}</definedName>
    <definedName name="aaaaaaaaaaa_2" localSheetId="6" hidden="1">{#N/A,#N/A,FALSE,"REPORT"}</definedName>
    <definedName name="aaaaaaaaaaa_2" hidden="1">{#N/A,#N/A,FALSE,"REPORT"}</definedName>
    <definedName name="aaaaaaaaaaa_3" localSheetId="0" hidden="1">{#N/A,#N/A,FALSE,"REPORT"}</definedName>
    <definedName name="aaaaaaaaaaa_3" localSheetId="6" hidden="1">{#N/A,#N/A,FALSE,"REPORT"}</definedName>
    <definedName name="aaaaaaaaaaa_3" hidden="1">{#N/A,#N/A,FALSE,"REPORT"}</definedName>
    <definedName name="aaaaaaaaaaa_4" localSheetId="0" hidden="1">{#N/A,#N/A,FALSE,"REPORT"}</definedName>
    <definedName name="aaaaaaaaaaa_4" localSheetId="6" hidden="1">{#N/A,#N/A,FALSE,"REPORT"}</definedName>
    <definedName name="aaaaaaaaaaa_4" hidden="1">{#N/A,#N/A,FALSE,"REPORT"}</definedName>
    <definedName name="aaaaaaaaaaa_5" localSheetId="0" hidden="1">{#N/A,#N/A,FALSE,"REPORT"}</definedName>
    <definedName name="aaaaaaaaaaa_5" localSheetId="6" hidden="1">{#N/A,#N/A,FALSE,"REPORT"}</definedName>
    <definedName name="aaaaaaaaaaa_5" hidden="1">{#N/A,#N/A,FALSE,"REPORT"}</definedName>
    <definedName name="AAAAAAAAAAAA" localSheetId="0" hidden="1">{#N/A,#N/A,FALSE,"Tabl. A1";#N/A,#N/A,FALSE,"Tabl. A1 b";#N/A,#N/A,FALSE,"Tabl. A2";#N/A,#N/A,FALSE,"Tabl. A2-1";#N/A,#N/A,FALSE,"Tabl. A2-2"}</definedName>
    <definedName name="AAAAAAAAAAAA" localSheetId="6" hidden="1">{#N/A,#N/A,FALSE,"Tabl. A1";#N/A,#N/A,FALSE,"Tabl. A1 b";#N/A,#N/A,FALSE,"Tabl. A2";#N/A,#N/A,FALSE,"Tabl. A2-1";#N/A,#N/A,FALSE,"Tabl. A2-2"}</definedName>
    <definedName name="AAAAAAAAAAAA" hidden="1">{#N/A,#N/A,FALSE,"Tabl. A1";#N/A,#N/A,FALSE,"Tabl. A1 b";#N/A,#N/A,FALSE,"Tabl. A2";#N/A,#N/A,FALSE,"Tabl. A2-1";#N/A,#N/A,FALSE,"Tabl. A2-2"}</definedName>
    <definedName name="aaaaaaaaaaaaaaa" localSheetId="0" hidden="1">{#N/A,#N/A,FALSE,"Pharm";#N/A,#N/A,FALSE,"WWCM"}</definedName>
    <definedName name="aaaaaaaaaaaaaaa" localSheetId="6" hidden="1">{#N/A,#N/A,FALSE,"Pharm";#N/A,#N/A,FALSE,"WWCM"}</definedName>
    <definedName name="aaaaaaaaaaaaaaa" hidden="1">{#N/A,#N/A,FALSE,"Pharm";#N/A,#N/A,FALSE,"WWCM"}</definedName>
    <definedName name="aaaaaaaaaaaaaaa_1" localSheetId="0" hidden="1">{#N/A,#N/A,FALSE,"Pharm";#N/A,#N/A,FALSE,"WWCM"}</definedName>
    <definedName name="aaaaaaaaaaaaaaa_1" localSheetId="6" hidden="1">{#N/A,#N/A,FALSE,"Pharm";#N/A,#N/A,FALSE,"WWCM"}</definedName>
    <definedName name="aaaaaaaaaaaaaaa_1" hidden="1">{#N/A,#N/A,FALSE,"Pharm";#N/A,#N/A,FALSE,"WWCM"}</definedName>
    <definedName name="aaaaaaaaaaaaaaa_1_1" localSheetId="0" hidden="1">{#N/A,#N/A,FALSE,"Pharm";#N/A,#N/A,FALSE,"WWCM"}</definedName>
    <definedName name="aaaaaaaaaaaaaaa_1_1" localSheetId="6" hidden="1">{#N/A,#N/A,FALSE,"Pharm";#N/A,#N/A,FALSE,"WWCM"}</definedName>
    <definedName name="aaaaaaaaaaaaaaa_1_1" hidden="1">{#N/A,#N/A,FALSE,"Pharm";#N/A,#N/A,FALSE,"WWCM"}</definedName>
    <definedName name="aaaaaaaaaaaaaaa_2" localSheetId="0" hidden="1">{#N/A,#N/A,FALSE,"Pharm";#N/A,#N/A,FALSE,"WWCM"}</definedName>
    <definedName name="aaaaaaaaaaaaaaa_2" localSheetId="6" hidden="1">{#N/A,#N/A,FALSE,"Pharm";#N/A,#N/A,FALSE,"WWCM"}</definedName>
    <definedName name="aaaaaaaaaaaaaaa_2" hidden="1">{#N/A,#N/A,FALSE,"Pharm";#N/A,#N/A,FALSE,"WWCM"}</definedName>
    <definedName name="aaaaaaaaaaaaaaa_3" localSheetId="0" hidden="1">{#N/A,#N/A,FALSE,"Pharm";#N/A,#N/A,FALSE,"WWCM"}</definedName>
    <definedName name="aaaaaaaaaaaaaaa_3" localSheetId="6" hidden="1">{#N/A,#N/A,FALSE,"Pharm";#N/A,#N/A,FALSE,"WWCM"}</definedName>
    <definedName name="aaaaaaaaaaaaaaa_3" hidden="1">{#N/A,#N/A,FALSE,"Pharm";#N/A,#N/A,FALSE,"WWCM"}</definedName>
    <definedName name="aaaaaaaaaaaaaaa_4" localSheetId="0" hidden="1">{#N/A,#N/A,FALSE,"Pharm";#N/A,#N/A,FALSE,"WWCM"}</definedName>
    <definedName name="aaaaaaaaaaaaaaa_4" localSheetId="6" hidden="1">{#N/A,#N/A,FALSE,"Pharm";#N/A,#N/A,FALSE,"WWCM"}</definedName>
    <definedName name="aaaaaaaaaaaaaaa_4" hidden="1">{#N/A,#N/A,FALSE,"Pharm";#N/A,#N/A,FALSE,"WWCM"}</definedName>
    <definedName name="aaaaaaaaaaaaaaa_5" localSheetId="0" hidden="1">{#N/A,#N/A,FALSE,"Pharm";#N/A,#N/A,FALSE,"WWCM"}</definedName>
    <definedName name="aaaaaaaaaaaaaaa_5" localSheetId="6" hidden="1">{#N/A,#N/A,FALSE,"Pharm";#N/A,#N/A,FALSE,"WWCM"}</definedName>
    <definedName name="aaaaaaaaaaaaaaa_5" hidden="1">{#N/A,#N/A,FALSE,"Pharm";#N/A,#N/A,FALSE,"WWCM"}</definedName>
    <definedName name="aaaaaaaaaaaaaaaaa" localSheetId="0" hidden="1">{"DJH3",#N/A,FALSE,"PFL00805";"PJB3",#N/A,FALSE,"PFL00805";"JMD3",#N/A,FALSE,"PFL00805";"DNB3",#N/A,FALSE,"PFL00805";"MJP3",#N/A,FALSE,"PFL00805";"RAB3",#N/A,FALSE,"PFL00805";"GJW3",#N/A,FALSE,"PFL00805";"MASTER3",#N/A,FALSE,"PFL00805"}</definedName>
    <definedName name="aaaaaaaaaaaaaaaaa" localSheetId="6" hidden="1">{"DJH3",#N/A,FALSE,"PFL00805";"PJB3",#N/A,FALSE,"PFL00805";"JMD3",#N/A,FALSE,"PFL00805";"DNB3",#N/A,FALSE,"PFL00805";"MJP3",#N/A,FALSE,"PFL00805";"RAB3",#N/A,FALSE,"PFL00805";"GJW3",#N/A,FALSE,"PFL00805";"MASTER3",#N/A,FALSE,"PFL00805"}</definedName>
    <definedName name="aaaaaaaaaaaaaaaaa" hidden="1">{"DJH3",#N/A,FALSE,"PFL00805";"PJB3",#N/A,FALSE,"PFL00805";"JMD3",#N/A,FALSE,"PFL00805";"DNB3",#N/A,FALSE,"PFL00805";"MJP3",#N/A,FALSE,"PFL00805";"RAB3",#N/A,FALSE,"PFL00805";"GJW3",#N/A,FALSE,"PFL00805";"MASTER3",#N/A,FALSE,"PFL00805"}</definedName>
    <definedName name="aaaaaaaaaaaaaaaaa_1" localSheetId="0" hidden="1">{"DJH3",#N/A,FALSE,"PFL00805";"PJB3",#N/A,FALSE,"PFL00805";"JMD3",#N/A,FALSE,"PFL00805";"DNB3",#N/A,FALSE,"PFL00805";"MJP3",#N/A,FALSE,"PFL00805";"RAB3",#N/A,FALSE,"PFL00805";"GJW3",#N/A,FALSE,"PFL00805";"MASTER3",#N/A,FALSE,"PFL00805"}</definedName>
    <definedName name="aaaaaaaaaaaaaaaaa_1" localSheetId="6" hidden="1">{"DJH3",#N/A,FALSE,"PFL00805";"PJB3",#N/A,FALSE,"PFL00805";"JMD3",#N/A,FALSE,"PFL00805";"DNB3",#N/A,FALSE,"PFL00805";"MJP3",#N/A,FALSE,"PFL00805";"RAB3",#N/A,FALSE,"PFL00805";"GJW3",#N/A,FALSE,"PFL00805";"MASTER3",#N/A,FALSE,"PFL00805"}</definedName>
    <definedName name="aaaaaaaaaaaaaaaaa_1" hidden="1">{"DJH3",#N/A,FALSE,"PFL00805";"PJB3",#N/A,FALSE,"PFL00805";"JMD3",#N/A,FALSE,"PFL00805";"DNB3",#N/A,FALSE,"PFL00805";"MJP3",#N/A,FALSE,"PFL00805";"RAB3",#N/A,FALSE,"PFL00805";"GJW3",#N/A,FALSE,"PFL00805";"MASTER3",#N/A,FALSE,"PFL00805"}</definedName>
    <definedName name="aaaaaaaaaaaaaaaaaaa" localSheetId="0" hidden="1">{#N/A,#N/A,TRUE,"Cover";#N/A,#N/A,TRUE,"Sum";#N/A,#N/A,TRUE,"SubsRev";#N/A,#N/A,TRUE,"CapEx";#N/A,#N/A,TRUE,"OpEx";#N/A,#N/A,TRUE,"SUs";#N/A,#N/A,TRUE,"OrgChart";#N/A,#N/A,TRUE,"Staff";#N/A,#N/A,TRUE,"P&amp;L";#N/A,#N/A,TRUE,"Cash";#N/A,#N/A,TRUE,"BS";#N/A,#N/A,TRUE,"Valuation";#N/A,#N/A,TRUE,"CapEx-Assumptions";#N/A,#N/A,TRUE,"OpEx-Assumptions"}</definedName>
    <definedName name="aaaaaaaaaaaaaaaaaaa" localSheetId="6" hidden="1">{#N/A,#N/A,TRUE,"Cover";#N/A,#N/A,TRUE,"Sum";#N/A,#N/A,TRUE,"SubsRev";#N/A,#N/A,TRUE,"CapEx";#N/A,#N/A,TRUE,"OpEx";#N/A,#N/A,TRUE,"SUs";#N/A,#N/A,TRUE,"OrgChart";#N/A,#N/A,TRUE,"Staff";#N/A,#N/A,TRUE,"P&amp;L";#N/A,#N/A,TRUE,"Cash";#N/A,#N/A,TRUE,"BS";#N/A,#N/A,TRUE,"Valuation";#N/A,#N/A,TRUE,"CapEx-Assumptions";#N/A,#N/A,TRUE,"OpEx-Assumptions"}</definedName>
    <definedName name="aaaaaaaaaaaaaaaaaaa" hidden="1">{#N/A,#N/A,TRUE,"Cover";#N/A,#N/A,TRUE,"Sum";#N/A,#N/A,TRUE,"SubsRev";#N/A,#N/A,TRUE,"CapEx";#N/A,#N/A,TRUE,"OpEx";#N/A,#N/A,TRUE,"SUs";#N/A,#N/A,TRUE,"OrgChart";#N/A,#N/A,TRUE,"Staff";#N/A,#N/A,TRUE,"P&amp;L";#N/A,#N/A,TRUE,"Cash";#N/A,#N/A,TRUE,"BS";#N/A,#N/A,TRUE,"Valuation";#N/A,#N/A,TRUE,"CapEx-Assumptions";#N/A,#N/A,TRUE,"OpEx-Assumptions"}</definedName>
    <definedName name="aaaaaaaaaaaaaaaaaaaaaa" localSheetId="0" hidden="1">{"Graphic",#N/A,TRUE,"Graphic"}</definedName>
    <definedName name="aaaaaaaaaaaaaaaaaaaaaa" localSheetId="6" hidden="1">{"Graphic",#N/A,TRUE,"Graphic"}</definedName>
    <definedName name="aaaaaaaaaaaaaaaaaaaaaa" hidden="1">{"Graphic",#N/A,TRUE,"Graphic"}</definedName>
    <definedName name="aaaaaaaaaaaaaaaaaaaaaa_1" localSheetId="0" hidden="1">{"Graphic",#N/A,TRUE,"Graphic"}</definedName>
    <definedName name="aaaaaaaaaaaaaaaaaaaaaa_1" localSheetId="6" hidden="1">{"Graphic",#N/A,TRUE,"Graphic"}</definedName>
    <definedName name="aaaaaaaaaaaaaaaaaaaaaa_1" hidden="1">{"Graphic",#N/A,TRUE,"Graphic"}</definedName>
    <definedName name="aaaab" localSheetId="0" hidden="1">{0,0,0,0;0,0,0,0;"",0,0,0;0,0,0,0;0,0,0,0;0,0,0,0;0,0,0,0;0,0,0,0;0,0,0,0;0,0,0,0;0,0,0,0;0,0,0,0;0,0,0,0;0,0,0,1.62996126570989E-260;0,4.59129827025484E-246,0,1.29328278705458E-231;0,1.62996126568623E-260,0,4.59129827025484E-246;0,1.29328278705458E-231,0,1.62996126568623E-260;0,0,0,0}</definedName>
    <definedName name="aaaab" localSheetId="6" hidden="1">{0,0,0,0;0,0,0,0;"",0,0,0;0,0,0,0;0,0,0,0;0,0,0,0;0,0,0,0;0,0,0,0;0,0,0,0;0,0,0,0;0,0,0,0;0,0,0,0;0,0,0,0;0,0,0,1.62996126570989E-260;0,4.59129827025484E-246,0,1.29328278705458E-231;0,1.62996126568623E-260,0,4.59129827025484E-246;0,1.29328278705458E-231,0,1.62996126568623E-260;0,0,0,0}</definedName>
    <definedName name="aaaab" hidden="1">{0,0,0,0;0,0,0,0;"",0,0,0;0,0,0,0;0,0,0,0;0,0,0,0;0,0,0,0;0,0,0,0;0,0,0,0;0,0,0,0;0,0,0,0;0,0,0,0;0,0,0,0;0,0,0,1.62996126570989E-260;0,4.59129827025484E-246,0,1.29328278705458E-231;0,1.62996126568623E-260,0,4.59129827025484E-246;0,1.29328278705458E-231,0,1.62996126568623E-260;0,0,0,0}</definedName>
    <definedName name="aaaac" localSheetId="0" hidden="1">{0,0,0,0;0,0,0,0;0,0,0,0;0,0,0,0;0,0,0,0;0,0,0,0;0,0,0,0;0,0,0,0;0,0,0,0;0,0,0,0;0,0,0,0;0,0,0,0;0,0,0,0;0,FALSE,0,0;0,0,FALSE,0;0,0,0,FALSE;0,0,0,0;0,0,0,0}</definedName>
    <definedName name="aaaac" localSheetId="6" hidden="1">{0,0,0,0;0,0,0,0;0,0,0,0;0,0,0,0;0,0,0,0;0,0,0,0;0,0,0,0;0,0,0,0;0,0,0,0;0,0,0,0;0,0,0,0;0,0,0,0;0,0,0,0;0,FALSE,0,0;0,0,FALSE,0;0,0,0,FALSE;0,0,0,0;0,0,0,0}</definedName>
    <definedName name="aaaac" hidden="1">{0,0,0,0;0,0,0,0;0,0,0,0;0,0,0,0;0,0,0,0;0,0,0,0;0,0,0,0;0,0,0,0;0,0,0,0;0,0,0,0;0,0,0,0;0,0,0,0;0,0,0,0;0,FALSE,0,0;0,0,FALSE,0;0,0,0,FALSE;0,0,0,0;0,0,0,0}</definedName>
    <definedName name="aaaad" localSheetId="0" hidden="1">{0,TRUE,0,0;0,0,0,0;0,0,0,0;0,0,0,0;0,0,0,0;0,0,0,0;0,0,0,0;0,0,0,0;0,0,0,0;0,0,0,0;0,0,0,0;0,0,0,0;0,0,0,0;0,0,0,0;0,#VALUE!,0,0;0,0,0,0;0,0,0,0;"",0,0,0}</definedName>
    <definedName name="aaaad" localSheetId="6" hidden="1">{0,TRUE,0,0;0,0,0,0;0,0,0,0;0,0,0,0;0,0,0,0;0,0,0,0;0,0,0,0;0,0,0,0;0,0,0,0;0,0,0,0;0,0,0,0;0,0,0,0;0,0,0,0;0,0,0,0;0,#VALUE!,0,0;0,0,0,0;0,0,0,0;"",0,0,0}</definedName>
    <definedName name="aaaad" hidden="1">{0,TRUE,0,0;0,0,0,0;0,0,0,0;0,0,0,0;0,0,0,0;0,0,0,0;0,0,0,0;0,0,0,0;0,0,0,0;0,0,0,0;0,0,0,0;0,0,0,0;0,0,0,0;0,0,0,0;0,#VALUE!,0,0;0,0,0,0;0,0,0,0;"",0,0,0}</definedName>
    <definedName name="aaaasdf" localSheetId="0" hidden="1">{#N/A,#N/A,TRUE,"GEM Total";#N/A,#N/A,TRUE,"Final Assembly";#N/A,#N/A,TRUE,"Cleaning";#N/A,#N/A,TRUE,"Schooping,Clearing";#N/A,#N/A,TRUE,"Winding"}</definedName>
    <definedName name="aaaasdf" localSheetId="6" hidden="1">{#N/A,#N/A,TRUE,"GEM Total";#N/A,#N/A,TRUE,"Final Assembly";#N/A,#N/A,TRUE,"Cleaning";#N/A,#N/A,TRUE,"Schooping,Clearing";#N/A,#N/A,TRUE,"Winding"}</definedName>
    <definedName name="aaaasdf" hidden="1">{#N/A,#N/A,TRUE,"GEM Total";#N/A,#N/A,TRUE,"Final Assembly";#N/A,#N/A,TRUE,"Cleaning";#N/A,#N/A,TRUE,"Schooping,Clearing";#N/A,#N/A,TRUE,"Winding"}</definedName>
    <definedName name="AAAD" hidden="1">#REF!</definedName>
    <definedName name="äääööö" localSheetId="0" hidden="1">{#N/A,#N/A,FALSE,"Umsatz EO BP";#N/A,#N/A,FALSE,"Umsatz EO OP";#N/A,#N/A,FALSE,"ER EO BP";#N/A,#N/A,FALSE,"ER EO OP";#N/A,#N/A,FALSE,"EA EO (2)";#N/A,#N/A,FALSE,"EA EO";#N/A,#N/A,FALSE,"EA EO (3)";#N/A,#N/A,FALSE,"EA EO (4)";#N/A,#N/A,FALSE,"KA EO  (2)";#N/A,#N/A,FALSE,"KA EO";#N/A,#N/A,FALSE,"KA EO  (3)";#N/A,#N/A,FALSE,"KA EO (4)"}</definedName>
    <definedName name="äääööö" localSheetId="6" hidden="1">{#N/A,#N/A,FALSE,"Umsatz EO BP";#N/A,#N/A,FALSE,"Umsatz EO OP";#N/A,#N/A,FALSE,"ER EO BP";#N/A,#N/A,FALSE,"ER EO OP";#N/A,#N/A,FALSE,"EA EO (2)";#N/A,#N/A,FALSE,"EA EO";#N/A,#N/A,FALSE,"EA EO (3)";#N/A,#N/A,FALSE,"EA EO (4)";#N/A,#N/A,FALSE,"KA EO  (2)";#N/A,#N/A,FALSE,"KA EO";#N/A,#N/A,FALSE,"KA EO  (3)";#N/A,#N/A,FALSE,"KA EO (4)"}</definedName>
    <definedName name="äääööö" hidden="1">{#N/A,#N/A,FALSE,"Umsatz EO BP";#N/A,#N/A,FALSE,"Umsatz EO OP";#N/A,#N/A,FALSE,"ER EO BP";#N/A,#N/A,FALSE,"ER EO OP";#N/A,#N/A,FALSE,"EA EO (2)";#N/A,#N/A,FALSE,"EA EO";#N/A,#N/A,FALSE,"EA EO (3)";#N/A,#N/A,FALSE,"EA EO (4)";#N/A,#N/A,FALSE,"KA EO  (2)";#N/A,#N/A,FALSE,"KA EO";#N/A,#N/A,FALSE,"KA EO  (3)";#N/A,#N/A,FALSE,"KA EO (4)"}</definedName>
    <definedName name="äääööö_1" localSheetId="0" hidden="1">{#N/A,#N/A,FALSE,"Umsatz EO BP";#N/A,#N/A,FALSE,"Umsatz EO OP";#N/A,#N/A,FALSE,"ER EO BP";#N/A,#N/A,FALSE,"ER EO OP";#N/A,#N/A,FALSE,"EA EO (2)";#N/A,#N/A,FALSE,"EA EO";#N/A,#N/A,FALSE,"EA EO (3)";#N/A,#N/A,FALSE,"EA EO (4)";#N/A,#N/A,FALSE,"KA EO  (2)";#N/A,#N/A,FALSE,"KA EO";#N/A,#N/A,FALSE,"KA EO  (3)";#N/A,#N/A,FALSE,"KA EO (4)"}</definedName>
    <definedName name="äääööö_1" localSheetId="6" hidden="1">{#N/A,#N/A,FALSE,"Umsatz EO BP";#N/A,#N/A,FALSE,"Umsatz EO OP";#N/A,#N/A,FALSE,"ER EO BP";#N/A,#N/A,FALSE,"ER EO OP";#N/A,#N/A,FALSE,"EA EO (2)";#N/A,#N/A,FALSE,"EA EO";#N/A,#N/A,FALSE,"EA EO (3)";#N/A,#N/A,FALSE,"EA EO (4)";#N/A,#N/A,FALSE,"KA EO  (2)";#N/A,#N/A,FALSE,"KA EO";#N/A,#N/A,FALSE,"KA EO  (3)";#N/A,#N/A,FALSE,"KA EO (4)"}</definedName>
    <definedName name="äääööö_1" hidden="1">{#N/A,#N/A,FALSE,"Umsatz EO BP";#N/A,#N/A,FALSE,"Umsatz EO OP";#N/A,#N/A,FALSE,"ER EO BP";#N/A,#N/A,FALSE,"ER EO OP";#N/A,#N/A,FALSE,"EA EO (2)";#N/A,#N/A,FALSE,"EA EO";#N/A,#N/A,FALSE,"EA EO (3)";#N/A,#N/A,FALSE,"EA EO (4)";#N/A,#N/A,FALSE,"KA EO  (2)";#N/A,#N/A,FALSE,"KA EO";#N/A,#N/A,FALSE,"KA EO  (3)";#N/A,#N/A,FALSE,"KA EO (4)"}</definedName>
    <definedName name="äääööö_1_1" localSheetId="0" hidden="1">{#N/A,#N/A,FALSE,"Umsatz EO BP";#N/A,#N/A,FALSE,"Umsatz EO OP";#N/A,#N/A,FALSE,"ER EO BP";#N/A,#N/A,FALSE,"ER EO OP";#N/A,#N/A,FALSE,"EA EO (2)";#N/A,#N/A,FALSE,"EA EO";#N/A,#N/A,FALSE,"EA EO (3)";#N/A,#N/A,FALSE,"EA EO (4)";#N/A,#N/A,FALSE,"KA EO  (2)";#N/A,#N/A,FALSE,"KA EO";#N/A,#N/A,FALSE,"KA EO  (3)";#N/A,#N/A,FALSE,"KA EO (4)"}</definedName>
    <definedName name="äääööö_1_1" localSheetId="6" hidden="1">{#N/A,#N/A,FALSE,"Umsatz EO BP";#N/A,#N/A,FALSE,"Umsatz EO OP";#N/A,#N/A,FALSE,"ER EO BP";#N/A,#N/A,FALSE,"ER EO OP";#N/A,#N/A,FALSE,"EA EO (2)";#N/A,#N/A,FALSE,"EA EO";#N/A,#N/A,FALSE,"EA EO (3)";#N/A,#N/A,FALSE,"EA EO (4)";#N/A,#N/A,FALSE,"KA EO  (2)";#N/A,#N/A,FALSE,"KA EO";#N/A,#N/A,FALSE,"KA EO  (3)";#N/A,#N/A,FALSE,"KA EO (4)"}</definedName>
    <definedName name="äääööö_1_1" hidden="1">{#N/A,#N/A,FALSE,"Umsatz EO BP";#N/A,#N/A,FALSE,"Umsatz EO OP";#N/A,#N/A,FALSE,"ER EO BP";#N/A,#N/A,FALSE,"ER EO OP";#N/A,#N/A,FALSE,"EA EO (2)";#N/A,#N/A,FALSE,"EA EO";#N/A,#N/A,FALSE,"EA EO (3)";#N/A,#N/A,FALSE,"EA EO (4)";#N/A,#N/A,FALSE,"KA EO  (2)";#N/A,#N/A,FALSE,"KA EO";#N/A,#N/A,FALSE,"KA EO  (3)";#N/A,#N/A,FALSE,"KA EO (4)"}</definedName>
    <definedName name="äääööö_2" localSheetId="0" hidden="1">{#N/A,#N/A,FALSE,"Umsatz EO BP";#N/A,#N/A,FALSE,"Umsatz EO OP";#N/A,#N/A,FALSE,"ER EO BP";#N/A,#N/A,FALSE,"ER EO OP";#N/A,#N/A,FALSE,"EA EO (2)";#N/A,#N/A,FALSE,"EA EO";#N/A,#N/A,FALSE,"EA EO (3)";#N/A,#N/A,FALSE,"EA EO (4)";#N/A,#N/A,FALSE,"KA EO  (2)";#N/A,#N/A,FALSE,"KA EO";#N/A,#N/A,FALSE,"KA EO  (3)";#N/A,#N/A,FALSE,"KA EO (4)"}</definedName>
    <definedName name="äääööö_2" localSheetId="6" hidden="1">{#N/A,#N/A,FALSE,"Umsatz EO BP";#N/A,#N/A,FALSE,"Umsatz EO OP";#N/A,#N/A,FALSE,"ER EO BP";#N/A,#N/A,FALSE,"ER EO OP";#N/A,#N/A,FALSE,"EA EO (2)";#N/A,#N/A,FALSE,"EA EO";#N/A,#N/A,FALSE,"EA EO (3)";#N/A,#N/A,FALSE,"EA EO (4)";#N/A,#N/A,FALSE,"KA EO  (2)";#N/A,#N/A,FALSE,"KA EO";#N/A,#N/A,FALSE,"KA EO  (3)";#N/A,#N/A,FALSE,"KA EO (4)"}</definedName>
    <definedName name="äääööö_2" hidden="1">{#N/A,#N/A,FALSE,"Umsatz EO BP";#N/A,#N/A,FALSE,"Umsatz EO OP";#N/A,#N/A,FALSE,"ER EO BP";#N/A,#N/A,FALSE,"ER EO OP";#N/A,#N/A,FALSE,"EA EO (2)";#N/A,#N/A,FALSE,"EA EO";#N/A,#N/A,FALSE,"EA EO (3)";#N/A,#N/A,FALSE,"EA EO (4)";#N/A,#N/A,FALSE,"KA EO  (2)";#N/A,#N/A,FALSE,"KA EO";#N/A,#N/A,FALSE,"KA EO  (3)";#N/A,#N/A,FALSE,"KA EO (4)"}</definedName>
    <definedName name="äääööö_3" localSheetId="0" hidden="1">{#N/A,#N/A,FALSE,"Umsatz EO BP";#N/A,#N/A,FALSE,"Umsatz EO OP";#N/A,#N/A,FALSE,"ER EO BP";#N/A,#N/A,FALSE,"ER EO OP";#N/A,#N/A,FALSE,"EA EO (2)";#N/A,#N/A,FALSE,"EA EO";#N/A,#N/A,FALSE,"EA EO (3)";#N/A,#N/A,FALSE,"EA EO (4)";#N/A,#N/A,FALSE,"KA EO  (2)";#N/A,#N/A,FALSE,"KA EO";#N/A,#N/A,FALSE,"KA EO  (3)";#N/A,#N/A,FALSE,"KA EO (4)"}</definedName>
    <definedName name="äääööö_3" localSheetId="6" hidden="1">{#N/A,#N/A,FALSE,"Umsatz EO BP";#N/A,#N/A,FALSE,"Umsatz EO OP";#N/A,#N/A,FALSE,"ER EO BP";#N/A,#N/A,FALSE,"ER EO OP";#N/A,#N/A,FALSE,"EA EO (2)";#N/A,#N/A,FALSE,"EA EO";#N/A,#N/A,FALSE,"EA EO (3)";#N/A,#N/A,FALSE,"EA EO (4)";#N/A,#N/A,FALSE,"KA EO  (2)";#N/A,#N/A,FALSE,"KA EO";#N/A,#N/A,FALSE,"KA EO  (3)";#N/A,#N/A,FALSE,"KA EO (4)"}</definedName>
    <definedName name="äääööö_3" hidden="1">{#N/A,#N/A,FALSE,"Umsatz EO BP";#N/A,#N/A,FALSE,"Umsatz EO OP";#N/A,#N/A,FALSE,"ER EO BP";#N/A,#N/A,FALSE,"ER EO OP";#N/A,#N/A,FALSE,"EA EO (2)";#N/A,#N/A,FALSE,"EA EO";#N/A,#N/A,FALSE,"EA EO (3)";#N/A,#N/A,FALSE,"EA EO (4)";#N/A,#N/A,FALSE,"KA EO  (2)";#N/A,#N/A,FALSE,"KA EO";#N/A,#N/A,FALSE,"KA EO  (3)";#N/A,#N/A,FALSE,"KA EO (4)"}</definedName>
    <definedName name="äääööö_4" localSheetId="0" hidden="1">{#N/A,#N/A,FALSE,"Umsatz EO BP";#N/A,#N/A,FALSE,"Umsatz EO OP";#N/A,#N/A,FALSE,"ER EO BP";#N/A,#N/A,FALSE,"ER EO OP";#N/A,#N/A,FALSE,"EA EO (2)";#N/A,#N/A,FALSE,"EA EO";#N/A,#N/A,FALSE,"EA EO (3)";#N/A,#N/A,FALSE,"EA EO (4)";#N/A,#N/A,FALSE,"KA EO  (2)";#N/A,#N/A,FALSE,"KA EO";#N/A,#N/A,FALSE,"KA EO  (3)";#N/A,#N/A,FALSE,"KA EO (4)"}</definedName>
    <definedName name="äääööö_4" localSheetId="6" hidden="1">{#N/A,#N/A,FALSE,"Umsatz EO BP";#N/A,#N/A,FALSE,"Umsatz EO OP";#N/A,#N/A,FALSE,"ER EO BP";#N/A,#N/A,FALSE,"ER EO OP";#N/A,#N/A,FALSE,"EA EO (2)";#N/A,#N/A,FALSE,"EA EO";#N/A,#N/A,FALSE,"EA EO (3)";#N/A,#N/A,FALSE,"EA EO (4)";#N/A,#N/A,FALSE,"KA EO  (2)";#N/A,#N/A,FALSE,"KA EO";#N/A,#N/A,FALSE,"KA EO  (3)";#N/A,#N/A,FALSE,"KA EO (4)"}</definedName>
    <definedName name="äääööö_4" hidden="1">{#N/A,#N/A,FALSE,"Umsatz EO BP";#N/A,#N/A,FALSE,"Umsatz EO OP";#N/A,#N/A,FALSE,"ER EO BP";#N/A,#N/A,FALSE,"ER EO OP";#N/A,#N/A,FALSE,"EA EO (2)";#N/A,#N/A,FALSE,"EA EO";#N/A,#N/A,FALSE,"EA EO (3)";#N/A,#N/A,FALSE,"EA EO (4)";#N/A,#N/A,FALSE,"KA EO  (2)";#N/A,#N/A,FALSE,"KA EO";#N/A,#N/A,FALSE,"KA EO  (3)";#N/A,#N/A,FALSE,"KA EO (4)"}</definedName>
    <definedName name="äääööö_5" localSheetId="0" hidden="1">{#N/A,#N/A,FALSE,"Umsatz EO BP";#N/A,#N/A,FALSE,"Umsatz EO OP";#N/A,#N/A,FALSE,"ER EO BP";#N/A,#N/A,FALSE,"ER EO OP";#N/A,#N/A,FALSE,"EA EO (2)";#N/A,#N/A,FALSE,"EA EO";#N/A,#N/A,FALSE,"EA EO (3)";#N/A,#N/A,FALSE,"EA EO (4)";#N/A,#N/A,FALSE,"KA EO  (2)";#N/A,#N/A,FALSE,"KA EO";#N/A,#N/A,FALSE,"KA EO  (3)";#N/A,#N/A,FALSE,"KA EO (4)"}</definedName>
    <definedName name="äääööö_5" localSheetId="6" hidden="1">{#N/A,#N/A,FALSE,"Umsatz EO BP";#N/A,#N/A,FALSE,"Umsatz EO OP";#N/A,#N/A,FALSE,"ER EO BP";#N/A,#N/A,FALSE,"ER EO OP";#N/A,#N/A,FALSE,"EA EO (2)";#N/A,#N/A,FALSE,"EA EO";#N/A,#N/A,FALSE,"EA EO (3)";#N/A,#N/A,FALSE,"EA EO (4)";#N/A,#N/A,FALSE,"KA EO  (2)";#N/A,#N/A,FALSE,"KA EO";#N/A,#N/A,FALSE,"KA EO  (3)";#N/A,#N/A,FALSE,"KA EO (4)"}</definedName>
    <definedName name="äääööö_5" hidden="1">{#N/A,#N/A,FALSE,"Umsatz EO BP";#N/A,#N/A,FALSE,"Umsatz EO OP";#N/A,#N/A,FALSE,"ER EO BP";#N/A,#N/A,FALSE,"ER EO OP";#N/A,#N/A,FALSE,"EA EO (2)";#N/A,#N/A,FALSE,"EA EO";#N/A,#N/A,FALSE,"EA EO (3)";#N/A,#N/A,FALSE,"EA EO (4)";#N/A,#N/A,FALSE,"KA EO  (2)";#N/A,#N/A,FALSE,"KA EO";#N/A,#N/A,FALSE,"KA EO  (3)";#N/A,#N/A,FALSE,"KA EO (4)"}</definedName>
    <definedName name="aaasb" localSheetId="0" hidden="1">{#N/A,#N/A,FALSE,"Pharm";#N/A,#N/A,FALSE,"WWCM"}</definedName>
    <definedName name="aaasb" localSheetId="6" hidden="1">{#N/A,#N/A,FALSE,"Pharm";#N/A,#N/A,FALSE,"WWCM"}</definedName>
    <definedName name="aaasb" hidden="1">{#N/A,#N/A,FALSE,"Pharm";#N/A,#N/A,FALSE,"WWCM"}</definedName>
    <definedName name="aaasb_1" localSheetId="0" hidden="1">{#N/A,#N/A,FALSE,"Pharm";#N/A,#N/A,FALSE,"WWCM"}</definedName>
    <definedName name="aaasb_1" localSheetId="6" hidden="1">{#N/A,#N/A,FALSE,"Pharm";#N/A,#N/A,FALSE,"WWCM"}</definedName>
    <definedName name="aaasb_1" hidden="1">{#N/A,#N/A,FALSE,"Pharm";#N/A,#N/A,FALSE,"WWCM"}</definedName>
    <definedName name="aaasb_1_1" localSheetId="0" hidden="1">{#N/A,#N/A,FALSE,"Pharm";#N/A,#N/A,FALSE,"WWCM"}</definedName>
    <definedName name="aaasb_1_1" localSheetId="6" hidden="1">{#N/A,#N/A,FALSE,"Pharm";#N/A,#N/A,FALSE,"WWCM"}</definedName>
    <definedName name="aaasb_1_1" hidden="1">{#N/A,#N/A,FALSE,"Pharm";#N/A,#N/A,FALSE,"WWCM"}</definedName>
    <definedName name="aaasb_2" localSheetId="0" hidden="1">{#N/A,#N/A,FALSE,"Pharm";#N/A,#N/A,FALSE,"WWCM"}</definedName>
    <definedName name="aaasb_2" localSheetId="6" hidden="1">{#N/A,#N/A,FALSE,"Pharm";#N/A,#N/A,FALSE,"WWCM"}</definedName>
    <definedName name="aaasb_2" hidden="1">{#N/A,#N/A,FALSE,"Pharm";#N/A,#N/A,FALSE,"WWCM"}</definedName>
    <definedName name="aaasb_3" localSheetId="0" hidden="1">{#N/A,#N/A,FALSE,"Pharm";#N/A,#N/A,FALSE,"WWCM"}</definedName>
    <definedName name="aaasb_3" localSheetId="6" hidden="1">{#N/A,#N/A,FALSE,"Pharm";#N/A,#N/A,FALSE,"WWCM"}</definedName>
    <definedName name="aaasb_3" hidden="1">{#N/A,#N/A,FALSE,"Pharm";#N/A,#N/A,FALSE,"WWCM"}</definedName>
    <definedName name="aaasb_4" localSheetId="0" hidden="1">{#N/A,#N/A,FALSE,"Pharm";#N/A,#N/A,FALSE,"WWCM"}</definedName>
    <definedName name="aaasb_4" localSheetId="6" hidden="1">{#N/A,#N/A,FALSE,"Pharm";#N/A,#N/A,FALSE,"WWCM"}</definedName>
    <definedName name="aaasb_4" hidden="1">{#N/A,#N/A,FALSE,"Pharm";#N/A,#N/A,FALSE,"WWCM"}</definedName>
    <definedName name="aaasb_5" localSheetId="0" hidden="1">{#N/A,#N/A,FALSE,"Pharm";#N/A,#N/A,FALSE,"WWCM"}</definedName>
    <definedName name="aaasb_5" localSheetId="6" hidden="1">{#N/A,#N/A,FALSE,"Pharm";#N/A,#N/A,FALSE,"WWCM"}</definedName>
    <definedName name="aaasb_5" hidden="1">{#N/A,#N/A,FALSE,"Pharm";#N/A,#N/A,FALSE,"WWCM"}</definedName>
    <definedName name="aab" localSheetId="0" hidden="1">{#N/A,#N/A,FALSE,"Pharm";#N/A,#N/A,FALSE,"WWCM"}</definedName>
    <definedName name="aab" localSheetId="6" hidden="1">{#N/A,#N/A,FALSE,"Pharm";#N/A,#N/A,FALSE,"WWCM"}</definedName>
    <definedName name="aab" hidden="1">{#N/A,#N/A,FALSE,"Pharm";#N/A,#N/A,FALSE,"WWCM"}</definedName>
    <definedName name="aab_1" localSheetId="0" hidden="1">{#N/A,#N/A,FALSE,"Pharm";#N/A,#N/A,FALSE,"WWCM"}</definedName>
    <definedName name="aab_1" localSheetId="6" hidden="1">{#N/A,#N/A,FALSE,"Pharm";#N/A,#N/A,FALSE,"WWCM"}</definedName>
    <definedName name="aab_1" hidden="1">{#N/A,#N/A,FALSE,"Pharm";#N/A,#N/A,FALSE,"WWCM"}</definedName>
    <definedName name="aab_1_1" localSheetId="0" hidden="1">{#N/A,#N/A,FALSE,"Pharm";#N/A,#N/A,FALSE,"WWCM"}</definedName>
    <definedName name="aab_1_1" localSheetId="6" hidden="1">{#N/A,#N/A,FALSE,"Pharm";#N/A,#N/A,FALSE,"WWCM"}</definedName>
    <definedName name="aab_1_1" hidden="1">{#N/A,#N/A,FALSE,"Pharm";#N/A,#N/A,FALSE,"WWCM"}</definedName>
    <definedName name="aab_2" localSheetId="0" hidden="1">{#N/A,#N/A,FALSE,"Pharm";#N/A,#N/A,FALSE,"WWCM"}</definedName>
    <definedName name="aab_2" localSheetId="6" hidden="1">{#N/A,#N/A,FALSE,"Pharm";#N/A,#N/A,FALSE,"WWCM"}</definedName>
    <definedName name="aab_2" hidden="1">{#N/A,#N/A,FALSE,"Pharm";#N/A,#N/A,FALSE,"WWCM"}</definedName>
    <definedName name="aab_3" localSheetId="0" hidden="1">{#N/A,#N/A,FALSE,"Pharm";#N/A,#N/A,FALSE,"WWCM"}</definedName>
    <definedName name="aab_3" localSheetId="6" hidden="1">{#N/A,#N/A,FALSE,"Pharm";#N/A,#N/A,FALSE,"WWCM"}</definedName>
    <definedName name="aab_3" hidden="1">{#N/A,#N/A,FALSE,"Pharm";#N/A,#N/A,FALSE,"WWCM"}</definedName>
    <definedName name="aab_4" localSheetId="0" hidden="1">{#N/A,#N/A,FALSE,"Pharm";#N/A,#N/A,FALSE,"WWCM"}</definedName>
    <definedName name="aab_4" localSheetId="6" hidden="1">{#N/A,#N/A,FALSE,"Pharm";#N/A,#N/A,FALSE,"WWCM"}</definedName>
    <definedName name="aab_4" hidden="1">{#N/A,#N/A,FALSE,"Pharm";#N/A,#N/A,FALSE,"WWCM"}</definedName>
    <definedName name="aab_5" localSheetId="0" hidden="1">{#N/A,#N/A,FALSE,"Pharm";#N/A,#N/A,FALSE,"WWCM"}</definedName>
    <definedName name="aab_5" localSheetId="6" hidden="1">{#N/A,#N/A,FALSE,"Pharm";#N/A,#N/A,FALSE,"WWCM"}</definedName>
    <definedName name="aab_5" hidden="1">{#N/A,#N/A,FALSE,"Pharm";#N/A,#N/A,FALSE,"WWCM"}</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bb" localSheetId="0" hidden="1">{#N/A,#N/A,FALSE,"Projections";#N/A,#N/A,FALSE,"Multiples Valuation";#N/A,#N/A,FALSE,"LBO";#N/A,#N/A,FALSE,"Multiples_Sensitivity";#N/A,#N/A,FALSE,"Summary"}</definedName>
    <definedName name="aabb" localSheetId="6" hidden="1">{#N/A,#N/A,FALSE,"Projections";#N/A,#N/A,FALSE,"Multiples Valuation";#N/A,#N/A,FALSE,"LBO";#N/A,#N/A,FALSE,"Multiples_Sensitivity";#N/A,#N/A,FALSE,"Summary"}</definedName>
    <definedName name="aabb" hidden="1">{#N/A,#N/A,FALSE,"Projections";#N/A,#N/A,FALSE,"Multiples Valuation";#N/A,#N/A,FALSE,"LBO";#N/A,#N/A,FALSE,"Multiples_Sensitivity";#N/A,#N/A,FALSE,"Summary"}</definedName>
    <definedName name="aaddd" localSheetId="0" hidden="1">{#N/A,#N/A,FALSE,"REPORT"}</definedName>
    <definedName name="aaddd" localSheetId="6" hidden="1">{#N/A,#N/A,FALSE,"REPORT"}</definedName>
    <definedName name="aaddd" hidden="1">{#N/A,#N/A,FALSE,"REPORT"}</definedName>
    <definedName name="aaddd_1" localSheetId="0" hidden="1">{#N/A,#N/A,FALSE,"REPORT"}</definedName>
    <definedName name="aaddd_1" localSheetId="6" hidden="1">{#N/A,#N/A,FALSE,"REPORT"}</definedName>
    <definedName name="aaddd_1" hidden="1">{#N/A,#N/A,FALSE,"REPORT"}</definedName>
    <definedName name="aaddd_1_1" localSheetId="0" hidden="1">{#N/A,#N/A,FALSE,"REPORT"}</definedName>
    <definedName name="aaddd_1_1" localSheetId="6" hidden="1">{#N/A,#N/A,FALSE,"REPORT"}</definedName>
    <definedName name="aaddd_1_1" hidden="1">{#N/A,#N/A,FALSE,"REPORT"}</definedName>
    <definedName name="aaddd_2" localSheetId="0" hidden="1">{#N/A,#N/A,FALSE,"REPORT"}</definedName>
    <definedName name="aaddd_2" localSheetId="6" hidden="1">{#N/A,#N/A,FALSE,"REPORT"}</definedName>
    <definedName name="aaddd_2" hidden="1">{#N/A,#N/A,FALSE,"REPORT"}</definedName>
    <definedName name="aaddd_3" localSheetId="0" hidden="1">{#N/A,#N/A,FALSE,"REPORT"}</definedName>
    <definedName name="aaddd_3" localSheetId="6" hidden="1">{#N/A,#N/A,FALSE,"REPORT"}</definedName>
    <definedName name="aaddd_3" hidden="1">{#N/A,#N/A,FALSE,"REPORT"}</definedName>
    <definedName name="aaddd_4" localSheetId="0" hidden="1">{#N/A,#N/A,FALSE,"REPORT"}</definedName>
    <definedName name="aaddd_4" localSheetId="6" hidden="1">{#N/A,#N/A,FALSE,"REPORT"}</definedName>
    <definedName name="aaddd_4" hidden="1">{#N/A,#N/A,FALSE,"REPORT"}</definedName>
    <definedName name="aaddd_5" localSheetId="0" hidden="1">{#N/A,#N/A,FALSE,"REPORT"}</definedName>
    <definedName name="aaddd_5" localSheetId="6" hidden="1">{#N/A,#N/A,FALSE,"REPORT"}</definedName>
    <definedName name="aaddd_5" hidden="1">{#N/A,#N/A,FALSE,"REPORT"}</definedName>
    <definedName name="aas">#REF!</definedName>
    <definedName name="aas_1" localSheetId="0" hidden="1">{#N/A,#N/A,FALSE,"1";#N/A,#N/A,FALSE,"2";#N/A,#N/A,FALSE,"16 - 17";#N/A,#N/A,FALSE,"18 - 19";#N/A,#N/A,FALSE,"26";#N/A,#N/A,FALSE,"27";#N/A,#N/A,FALSE,"28"}</definedName>
    <definedName name="aas_1" localSheetId="6" hidden="1">{#N/A,#N/A,FALSE,"1";#N/A,#N/A,FALSE,"2";#N/A,#N/A,FALSE,"16 - 17";#N/A,#N/A,FALSE,"18 - 19";#N/A,#N/A,FALSE,"26";#N/A,#N/A,FALSE,"27";#N/A,#N/A,FALSE,"28"}</definedName>
    <definedName name="aas_1" hidden="1">{#N/A,#N/A,FALSE,"1";#N/A,#N/A,FALSE,"2";#N/A,#N/A,FALSE,"16 - 17";#N/A,#N/A,FALSE,"18 - 19";#N/A,#N/A,FALSE,"26";#N/A,#N/A,FALSE,"27";#N/A,#N/A,FALSE,"28"}</definedName>
    <definedName name="aas_1_1" localSheetId="0" hidden="1">{#N/A,#N/A,FALSE,"1";#N/A,#N/A,FALSE,"2";#N/A,#N/A,FALSE,"16 - 17";#N/A,#N/A,FALSE,"18 - 19";#N/A,#N/A,FALSE,"26";#N/A,#N/A,FALSE,"27";#N/A,#N/A,FALSE,"28"}</definedName>
    <definedName name="aas_1_1" localSheetId="6" hidden="1">{#N/A,#N/A,FALSE,"1";#N/A,#N/A,FALSE,"2";#N/A,#N/A,FALSE,"16 - 17";#N/A,#N/A,FALSE,"18 - 19";#N/A,#N/A,FALSE,"26";#N/A,#N/A,FALSE,"27";#N/A,#N/A,FALSE,"28"}</definedName>
    <definedName name="aas_1_1" hidden="1">{#N/A,#N/A,FALSE,"1";#N/A,#N/A,FALSE,"2";#N/A,#N/A,FALSE,"16 - 17";#N/A,#N/A,FALSE,"18 - 19";#N/A,#N/A,FALSE,"26";#N/A,#N/A,FALSE,"27";#N/A,#N/A,FALSE,"28"}</definedName>
    <definedName name="aas_2" localSheetId="0" hidden="1">{#N/A,#N/A,FALSE,"1";#N/A,#N/A,FALSE,"2";#N/A,#N/A,FALSE,"16 - 17";#N/A,#N/A,FALSE,"18 - 19";#N/A,#N/A,FALSE,"26";#N/A,#N/A,FALSE,"27";#N/A,#N/A,FALSE,"28"}</definedName>
    <definedName name="aas_2" localSheetId="6" hidden="1">{#N/A,#N/A,FALSE,"1";#N/A,#N/A,FALSE,"2";#N/A,#N/A,FALSE,"16 - 17";#N/A,#N/A,FALSE,"18 - 19";#N/A,#N/A,FALSE,"26";#N/A,#N/A,FALSE,"27";#N/A,#N/A,FALSE,"28"}</definedName>
    <definedName name="aas_2" hidden="1">{#N/A,#N/A,FALSE,"1";#N/A,#N/A,FALSE,"2";#N/A,#N/A,FALSE,"16 - 17";#N/A,#N/A,FALSE,"18 - 19";#N/A,#N/A,FALSE,"26";#N/A,#N/A,FALSE,"27";#N/A,#N/A,FALSE,"28"}</definedName>
    <definedName name="aas_3" localSheetId="0" hidden="1">{#N/A,#N/A,FALSE,"1";#N/A,#N/A,FALSE,"2";#N/A,#N/A,FALSE,"16 - 17";#N/A,#N/A,FALSE,"18 - 19";#N/A,#N/A,FALSE,"26";#N/A,#N/A,FALSE,"27";#N/A,#N/A,FALSE,"28"}</definedName>
    <definedName name="aas_3" localSheetId="6" hidden="1">{#N/A,#N/A,FALSE,"1";#N/A,#N/A,FALSE,"2";#N/A,#N/A,FALSE,"16 - 17";#N/A,#N/A,FALSE,"18 - 19";#N/A,#N/A,FALSE,"26";#N/A,#N/A,FALSE,"27";#N/A,#N/A,FALSE,"28"}</definedName>
    <definedName name="aas_3" hidden="1">{#N/A,#N/A,FALSE,"1";#N/A,#N/A,FALSE,"2";#N/A,#N/A,FALSE,"16 - 17";#N/A,#N/A,FALSE,"18 - 19";#N/A,#N/A,FALSE,"26";#N/A,#N/A,FALSE,"27";#N/A,#N/A,FALSE,"28"}</definedName>
    <definedName name="aas_4" localSheetId="0" hidden="1">{#N/A,#N/A,FALSE,"1";#N/A,#N/A,FALSE,"2";#N/A,#N/A,FALSE,"16 - 17";#N/A,#N/A,FALSE,"18 - 19";#N/A,#N/A,FALSE,"26";#N/A,#N/A,FALSE,"27";#N/A,#N/A,FALSE,"28"}</definedName>
    <definedName name="aas_4" localSheetId="6" hidden="1">{#N/A,#N/A,FALSE,"1";#N/A,#N/A,FALSE,"2";#N/A,#N/A,FALSE,"16 - 17";#N/A,#N/A,FALSE,"18 - 19";#N/A,#N/A,FALSE,"26";#N/A,#N/A,FALSE,"27";#N/A,#N/A,FALSE,"28"}</definedName>
    <definedName name="aas_4" hidden="1">{#N/A,#N/A,FALSE,"1";#N/A,#N/A,FALSE,"2";#N/A,#N/A,FALSE,"16 - 17";#N/A,#N/A,FALSE,"18 - 19";#N/A,#N/A,FALSE,"26";#N/A,#N/A,FALSE,"27";#N/A,#N/A,FALSE,"28"}</definedName>
    <definedName name="aas_5" localSheetId="0" hidden="1">{#N/A,#N/A,FALSE,"1";#N/A,#N/A,FALSE,"2";#N/A,#N/A,FALSE,"16 - 17";#N/A,#N/A,FALSE,"18 - 19";#N/A,#N/A,FALSE,"26";#N/A,#N/A,FALSE,"27";#N/A,#N/A,FALSE,"28"}</definedName>
    <definedName name="aas_5" localSheetId="6" hidden="1">{#N/A,#N/A,FALSE,"1";#N/A,#N/A,FALSE,"2";#N/A,#N/A,FALSE,"16 - 17";#N/A,#N/A,FALSE,"18 - 19";#N/A,#N/A,FALSE,"26";#N/A,#N/A,FALSE,"27";#N/A,#N/A,FALSE,"28"}</definedName>
    <definedName name="aas_5" hidden="1">{#N/A,#N/A,FALSE,"1";#N/A,#N/A,FALSE,"2";#N/A,#N/A,FALSE,"16 - 17";#N/A,#N/A,FALSE,"18 - 19";#N/A,#N/A,FALSE,"26";#N/A,#N/A,FALSE,"27";#N/A,#N/A,FALSE,"28"}</definedName>
    <definedName name="aasasas" localSheetId="0" hidden="1">{"'INDICE'!$A$1:$K$13","'1'!$A$1:$CC$78","'2'!$A$1:$P$78","'3'!$A$1:$CI$78","'4'!$A$1:$Q$78"}</definedName>
    <definedName name="aasasas" localSheetId="6" hidden="1">{"'INDICE'!$A$1:$K$13","'1'!$A$1:$CC$78","'2'!$A$1:$P$78","'3'!$A$1:$CI$78","'4'!$A$1:$Q$78"}</definedName>
    <definedName name="aasasas" hidden="1">{"'INDICE'!$A$1:$K$13","'1'!$A$1:$CC$78","'2'!$A$1:$P$78","'3'!$A$1:$CI$78","'4'!$A$1:$Q$78"}</definedName>
    <definedName name="aasasas_1" localSheetId="0" hidden="1">{"'INDICE'!$A$1:$K$13","'1'!$A$1:$CC$78","'2'!$A$1:$P$78","'3'!$A$1:$CI$78","'4'!$A$1:$Q$78"}</definedName>
    <definedName name="aasasas_1" localSheetId="6" hidden="1">{"'INDICE'!$A$1:$K$13","'1'!$A$1:$CC$78","'2'!$A$1:$P$78","'3'!$A$1:$CI$78","'4'!$A$1:$Q$78"}</definedName>
    <definedName name="aasasas_1" hidden="1">{"'INDICE'!$A$1:$K$13","'1'!$A$1:$CC$78","'2'!$A$1:$P$78","'3'!$A$1:$CI$78","'4'!$A$1:$Q$78"}</definedName>
    <definedName name="aass" localSheetId="0" hidden="1">{"'INDICE'!$A$1:$K$13","'1'!$A$1:$CC$78","'2'!$A$1:$P$78","'3'!$A$1:$CI$78","'4'!$A$1:$Q$78"}</definedName>
    <definedName name="aass" localSheetId="6" hidden="1">{"'INDICE'!$A$1:$K$13","'1'!$A$1:$CC$78","'2'!$A$1:$P$78","'3'!$A$1:$CI$78","'4'!$A$1:$Q$78"}</definedName>
    <definedName name="aass" hidden="1">{"'INDICE'!$A$1:$K$13","'1'!$A$1:$CC$78","'2'!$A$1:$P$78","'3'!$A$1:$CI$78","'4'!$A$1:$Q$78"}</definedName>
    <definedName name="aass_1" localSheetId="0" hidden="1">{"'INDICE'!$A$1:$K$13","'1'!$A$1:$CC$78","'2'!$A$1:$P$78","'3'!$A$1:$CI$78","'4'!$A$1:$Q$78"}</definedName>
    <definedName name="aass_1" localSheetId="6" hidden="1">{"'INDICE'!$A$1:$K$13","'1'!$A$1:$CC$78","'2'!$A$1:$P$78","'3'!$A$1:$CI$78","'4'!$A$1:$Q$78"}</definedName>
    <definedName name="aass_1" hidden="1">{"'INDICE'!$A$1:$K$13","'1'!$A$1:$CC$78","'2'!$A$1:$P$78","'3'!$A$1:$CI$78","'4'!$A$1:$Q$78"}</definedName>
    <definedName name="aassas" localSheetId="6" hidden="1">{"PR1","pr1",TRUE,"Sch PR-1"}</definedName>
    <definedName name="aassas" hidden="1">{"PR1","pr1",TRUE,"Sch PR-1"}</definedName>
    <definedName name="aassd" localSheetId="0" hidden="1">{"Acq_matrix",#N/A,FALSE,"Acquisition Matrix"}</definedName>
    <definedName name="aassd" localSheetId="6" hidden="1">{"Acq_matrix",#N/A,FALSE,"Acquisition Matrix"}</definedName>
    <definedName name="aassd" hidden="1">{"Acq_matrix",#N/A,FALSE,"Acquisition Matrix"}</definedName>
    <definedName name="AAZAZER" localSheetId="0" hidden="1">{#N/A,#N/A,FALSE,"Tabl. A1";#N/A,#N/A,FALSE,"Tabl. A1 b";#N/A,#N/A,FALSE,"Tabl. A2";#N/A,#N/A,FALSE,"Tabl. A2-1";#N/A,#N/A,FALSE,"Tabl. A2-2"}</definedName>
    <definedName name="AAZAZER" localSheetId="6" hidden="1">{#N/A,#N/A,FALSE,"Tabl. A1";#N/A,#N/A,FALSE,"Tabl. A1 b";#N/A,#N/A,FALSE,"Tabl. A2";#N/A,#N/A,FALSE,"Tabl. A2-1";#N/A,#N/A,FALSE,"Tabl. A2-2"}</definedName>
    <definedName name="AAZAZER" hidden="1">{#N/A,#N/A,FALSE,"Tabl. A1";#N/A,#N/A,FALSE,"Tabl. A1 b";#N/A,#N/A,FALSE,"Tabl. A2";#N/A,#N/A,FALSE,"Tabl. A2-1";#N/A,#N/A,FALSE,"Tabl. A2-2"}</definedName>
    <definedName name="ab" localSheetId="0" hidden="1">{#N/A,#N/A,TRUE,"Cover";#N/A,#N/A,TRUE,"Sum";#N/A,#N/A,TRUE,"SubsRev";#N/A,#N/A,TRUE,"CapEx";#N/A,#N/A,TRUE,"OpEx";#N/A,#N/A,TRUE,"SUs";#N/A,#N/A,TRUE,"OrgChart";#N/A,#N/A,TRUE,"Staff";#N/A,#N/A,TRUE,"P&amp;L";#N/A,#N/A,TRUE,"Cash";#N/A,#N/A,TRUE,"BS";#N/A,#N/A,TRUE,"Valuation";#N/A,#N/A,TRUE,"CapEx-Assumptions";#N/A,#N/A,TRUE,"OpEx-Assumptions"}</definedName>
    <definedName name="ab" localSheetId="6" hidden="1">{#N/A,#N/A,TRUE,"Cover";#N/A,#N/A,TRUE,"Sum";#N/A,#N/A,TRUE,"SubsRev";#N/A,#N/A,TRUE,"CapEx";#N/A,#N/A,TRUE,"OpEx";#N/A,#N/A,TRUE,"SUs";#N/A,#N/A,TRUE,"OrgChart";#N/A,#N/A,TRUE,"Staff";#N/A,#N/A,TRUE,"P&amp;L";#N/A,#N/A,TRUE,"Cash";#N/A,#N/A,TRUE,"BS";#N/A,#N/A,TRUE,"Valuation";#N/A,#N/A,TRUE,"CapEx-Assumptions";#N/A,#N/A,TRUE,"OpEx-Assumptions"}</definedName>
    <definedName name="ab" hidden="1">{#N/A,#N/A,TRUE,"Cover";#N/A,#N/A,TRUE,"Sum";#N/A,#N/A,TRUE,"SubsRev";#N/A,#N/A,TRUE,"CapEx";#N/A,#N/A,TRUE,"OpEx";#N/A,#N/A,TRUE,"SUs";#N/A,#N/A,TRUE,"OrgChart";#N/A,#N/A,TRUE,"Staff";#N/A,#N/A,TRUE,"P&amp;L";#N/A,#N/A,TRUE,"Cash";#N/A,#N/A,TRUE,"BS";#N/A,#N/A,TRUE,"Valuation";#N/A,#N/A,TRUE,"CapEx-Assumptions";#N/A,#N/A,TRUE,"OpEx-Assumptions"}</definedName>
    <definedName name="ab_1" localSheetId="6" hidden="1">{#N/A,#N/A,FALSE,"SumD";#N/A,#N/A,FALSE,"ElecD";#N/A,#N/A,FALSE,"MechD";#N/A,#N/A,FALSE,"GeotD";#N/A,#N/A,FALSE,"PrcsD";#N/A,#N/A,FALSE,"TunnD";#N/A,#N/A,FALSE,"CivlD";#N/A,#N/A,FALSE,"NtwkD";#N/A,#N/A,FALSE,"EstgD";#N/A,#N/A,FALSE,"PEngD"}</definedName>
    <definedName name="ab_1" hidden="1">{#N/A,#N/A,FALSE,"SumD";#N/A,#N/A,FALSE,"ElecD";#N/A,#N/A,FALSE,"MechD";#N/A,#N/A,FALSE,"GeotD";#N/A,#N/A,FALSE,"PrcsD";#N/A,#N/A,FALSE,"TunnD";#N/A,#N/A,FALSE,"CivlD";#N/A,#N/A,FALSE,"NtwkD";#N/A,#N/A,FALSE,"EstgD";#N/A,#N/A,FALSE,"PEngD"}</definedName>
    <definedName name="abb" localSheetId="0" hidden="1">{"sch16",#N/A,FALSE,"Assoc";"sch16b",#N/A,FALSE,"Assoc";"sch16c",#N/A,FALSE,"Assoc";"sch16d",#N/A,FALSE,"Assoc";"sch16e",#N/A,FALSE,"Assoc";"sch16f",#N/A,FALSE,"Assoc"}</definedName>
    <definedName name="abb" localSheetId="6" hidden="1">{"sch16",#N/A,FALSE,"Assoc";"sch16b",#N/A,FALSE,"Assoc";"sch16c",#N/A,FALSE,"Assoc";"sch16d",#N/A,FALSE,"Assoc";"sch16e",#N/A,FALSE,"Assoc";"sch16f",#N/A,FALSE,"Assoc"}</definedName>
    <definedName name="abb" hidden="1">{"sch16",#N/A,FALSE,"Assoc";"sch16b",#N/A,FALSE,"Assoc";"sch16c",#N/A,FALSE,"Assoc";"sch16d",#N/A,FALSE,"Assoc";"sch16e",#N/A,FALSE,"Assoc";"sch16f",#N/A,FALSE,"Assoc"}</definedName>
    <definedName name="abb_1" localSheetId="0" hidden="1">{"sch16",#N/A,FALSE,"Assoc";"sch16b",#N/A,FALSE,"Assoc";"sch16c",#N/A,FALSE,"Assoc";"sch16d",#N/A,FALSE,"Assoc";"sch16e",#N/A,FALSE,"Assoc";"sch16f",#N/A,FALSE,"Assoc"}</definedName>
    <definedName name="abb_1" localSheetId="6" hidden="1">{"sch16",#N/A,FALSE,"Assoc";"sch16b",#N/A,FALSE,"Assoc";"sch16c",#N/A,FALSE,"Assoc";"sch16d",#N/A,FALSE,"Assoc";"sch16e",#N/A,FALSE,"Assoc";"sch16f",#N/A,FALSE,"Assoc"}</definedName>
    <definedName name="abb_1" hidden="1">{"sch16",#N/A,FALSE,"Assoc";"sch16b",#N/A,FALSE,"Assoc";"sch16c",#N/A,FALSE,"Assoc";"sch16d",#N/A,FALSE,"Assoc";"sch16e",#N/A,FALSE,"Assoc";"sch16f",#N/A,FALSE,"Assoc"}</definedName>
    <definedName name="abbas" hidden="1">#REF!</definedName>
    <definedName name="abbb" localSheetId="0" hidden="1">{"Fiesta Facer Page",#N/A,FALSE,"Q_C_S";"Fiesta Main Page",#N/A,FALSE,"V_L";"Fiesta 95BP Struct",#N/A,FALSE,"StructBP";"Fiesta Post 95BP Struct",#N/A,FALSE,"AdjStructBP"}</definedName>
    <definedName name="abbb" localSheetId="6" hidden="1">{"Fiesta Facer Page",#N/A,FALSE,"Q_C_S";"Fiesta Main Page",#N/A,FALSE,"V_L";"Fiesta 95BP Struct",#N/A,FALSE,"StructBP";"Fiesta Post 95BP Struct",#N/A,FALSE,"AdjStructBP"}</definedName>
    <definedName name="abbb" hidden="1">{"Fiesta Facer Page",#N/A,FALSE,"Q_C_S";"Fiesta Main Page",#N/A,FALSE,"V_L";"Fiesta 95BP Struct",#N/A,FALSE,"StructBP";"Fiesta Post 95BP Struct",#N/A,FALSE,"AdjStructBP"}</definedName>
    <definedName name="abc" localSheetId="0" hidden="1">{#N/A,#N/A,FALSE,"PROFIT 11-95"}</definedName>
    <definedName name="abc" localSheetId="6" hidden="1">{#N/A,#N/A,FALSE,"PROFIT 11-95"}</definedName>
    <definedName name="abc" hidden="1">{#N/A,#N/A,FALSE,"PROFIT 11-95"}</definedName>
    <definedName name="abc_1" localSheetId="0" hidden="1">{#N/A,#N/A,FALSE,"REPORT"}</definedName>
    <definedName name="abc_1" localSheetId="6" hidden="1">{#N/A,#N/A,FALSE,"REPORT"}</definedName>
    <definedName name="abc_1" hidden="1">{#N/A,#N/A,FALSE,"REPORT"}</definedName>
    <definedName name="abc_1_1" localSheetId="0" hidden="1">{#N/A,#N/A,FALSE,"REPORT"}</definedName>
    <definedName name="abc_1_1" localSheetId="6" hidden="1">{#N/A,#N/A,FALSE,"REPORT"}</definedName>
    <definedName name="abc_1_1" hidden="1">{#N/A,#N/A,FALSE,"REPORT"}</definedName>
    <definedName name="abc_2" localSheetId="0" hidden="1">{#N/A,#N/A,FALSE,"REPORT"}</definedName>
    <definedName name="abc_2" localSheetId="6" hidden="1">{#N/A,#N/A,FALSE,"REPORT"}</definedName>
    <definedName name="abc_2" hidden="1">{#N/A,#N/A,FALSE,"REPORT"}</definedName>
    <definedName name="abc_3" localSheetId="0" hidden="1">{#N/A,#N/A,FALSE,"REPORT"}</definedName>
    <definedName name="abc_3" localSheetId="6" hidden="1">{#N/A,#N/A,FALSE,"REPORT"}</definedName>
    <definedName name="abc_3" hidden="1">{#N/A,#N/A,FALSE,"REPORT"}</definedName>
    <definedName name="abc_4" localSheetId="0" hidden="1">{#N/A,#N/A,FALSE,"REPORT"}</definedName>
    <definedName name="abc_4" localSheetId="6" hidden="1">{#N/A,#N/A,FALSE,"REPORT"}</definedName>
    <definedName name="abc_4" hidden="1">{#N/A,#N/A,FALSE,"REPORT"}</definedName>
    <definedName name="abc_5" localSheetId="0" hidden="1">{#N/A,#N/A,FALSE,"REPORT"}</definedName>
    <definedName name="abc_5" localSheetId="6" hidden="1">{#N/A,#N/A,FALSE,"REPORT"}</definedName>
    <definedName name="abc_5" hidden="1">{#N/A,#N/A,FALSE,"REPORT"}</definedName>
    <definedName name="ABCD" localSheetId="0" hidden="1">{#N/A,#N/A,TRUE,"Cover";#N/A,#N/A,TRUE,"Sum";#N/A,#N/A,TRUE,"SubsRev";#N/A,#N/A,TRUE,"CapEx";#N/A,#N/A,TRUE,"OpEx";#N/A,#N/A,TRUE,"SUs";#N/A,#N/A,TRUE,"OrgChart";#N/A,#N/A,TRUE,"Staff";#N/A,#N/A,TRUE,"P&amp;L";#N/A,#N/A,TRUE,"Cash";#N/A,#N/A,TRUE,"BS";#N/A,#N/A,TRUE,"Valuation";#N/A,#N/A,TRUE,"CapEx-Assumptions";#N/A,#N/A,TRUE,"OpEx-Assumptions"}</definedName>
    <definedName name="ABCD" localSheetId="6" hidden="1">{#N/A,#N/A,TRUE,"Cover";#N/A,#N/A,TRUE,"Sum";#N/A,#N/A,TRUE,"SubsRev";#N/A,#N/A,TRUE,"CapEx";#N/A,#N/A,TRUE,"OpEx";#N/A,#N/A,TRUE,"SUs";#N/A,#N/A,TRUE,"OrgChart";#N/A,#N/A,TRUE,"Staff";#N/A,#N/A,TRUE,"P&amp;L";#N/A,#N/A,TRUE,"Cash";#N/A,#N/A,TRUE,"BS";#N/A,#N/A,TRUE,"Valuation";#N/A,#N/A,TRUE,"CapEx-Assumptions";#N/A,#N/A,TRUE,"OpEx-Assumptions"}</definedName>
    <definedName name="ABCD" hidden="1">{#N/A,#N/A,TRUE,"Cover";#N/A,#N/A,TRUE,"Sum";#N/A,#N/A,TRUE,"SubsRev";#N/A,#N/A,TRUE,"CapEx";#N/A,#N/A,TRUE,"OpEx";#N/A,#N/A,TRUE,"SUs";#N/A,#N/A,TRUE,"OrgChart";#N/A,#N/A,TRUE,"Staff";#N/A,#N/A,TRUE,"P&amp;L";#N/A,#N/A,TRUE,"Cash";#N/A,#N/A,TRUE,"BS";#N/A,#N/A,TRUE,"Valuation";#N/A,#N/A,TRUE,"CapEx-Assumptions";#N/A,#N/A,TRUE,"OpEx-Assumptions"}</definedName>
    <definedName name="ABCDEFG" hidden="1">#REF!</definedName>
    <definedName name="abce" localSheetId="6" hidden="1">{"Charts1",#N/A,FALSE,"Charts1";"Charts2",#N/A,FALSE,"Charts2"}</definedName>
    <definedName name="abce" hidden="1">{"Charts1",#N/A,FALSE,"Charts1";"Charts2",#N/A,FALSE,"Charts2"}</definedName>
    <definedName name="abd" localSheetId="0" hidden="1">{"'INVOICE'!$A$2793:$D$2815"}</definedName>
    <definedName name="abd" localSheetId="6" hidden="1">{"'INVOICE'!$A$2793:$D$2815"}</definedName>
    <definedName name="abd" hidden="1">{"'INVOICE'!$A$2793:$D$2815"}</definedName>
    <definedName name="abe" localSheetId="0" hidden="1">{"GuVGmbH",#N/A,FALSE,"ratios";"BilanzGmbH",#N/A,FALSE,"ratios";"BilanzKG",#N/A,FALSE,"ratios";"GuVKG",#N/A,FALSE,"ratios"}</definedName>
    <definedName name="abe" localSheetId="6" hidden="1">{"GuVGmbH",#N/A,FALSE,"ratios";"BilanzGmbH",#N/A,FALSE,"ratios";"BilanzKG",#N/A,FALSE,"ratios";"GuVKG",#N/A,FALSE,"ratios"}</definedName>
    <definedName name="abe" hidden="1">{"GuVGmbH",#N/A,FALSE,"ratios";"BilanzGmbH",#N/A,FALSE,"ratios";"BilanzKG",#N/A,FALSE,"ratios";"GuVKG",#N/A,FALSE,"ratios"}</definedName>
    <definedName name="ABH" localSheetId="6" hidden="1">{"VIEW1",#N/A,FALSE,"P&amp;L Account 2001-2002";"VIEW2",#N/A,FALSE,"P&amp;L Account 2001-2002";"VIEW3",#N/A,FALSE,"P&amp;L Account 2001-2002";"VIEW4",#N/A,FALSE,"P&amp;L Account 2001-2002"}</definedName>
    <definedName name="ABH" hidden="1">{"VIEW1",#N/A,FALSE,"P&amp;L Account 2001-2002";"VIEW2",#N/A,FALSE,"P&amp;L Account 2001-2002";"VIEW3",#N/A,FALSE,"P&amp;L Account 2001-2002";"VIEW4",#N/A,FALSE,"P&amp;L Account 2001-2002"}</definedName>
    <definedName name="ABN" localSheetId="0" hidden="1">{#N/A,#N/A,FALSE,"Tabl. FB300";#N/A,#N/A,FALSE,"Tabl. FB350";#N/A,#N/A,FALSE,"Tabl. FB400";#N/A,#N/A,FALSE,"Tabl. FB500";#N/A,#N/A,FALSE,"Tabl. FS090"}</definedName>
    <definedName name="ABN" localSheetId="6" hidden="1">{#N/A,#N/A,FALSE,"Tabl. FB300";#N/A,#N/A,FALSE,"Tabl. FB350";#N/A,#N/A,FALSE,"Tabl. FB400";#N/A,#N/A,FALSE,"Tabl. FB500";#N/A,#N/A,FALSE,"Tabl. FS090"}</definedName>
    <definedName name="ABN" hidden="1">{#N/A,#N/A,FALSE,"Tabl. FB300";#N/A,#N/A,FALSE,"Tabl. FB350";#N/A,#N/A,FALSE,"Tabl. FB400";#N/A,#N/A,FALSE,"Tabl. FB500";#N/A,#N/A,FALSE,"Tabl. FS090"}</definedName>
    <definedName name="ABRACADABRA" hidden="1">#REF!</definedName>
    <definedName name="abs" localSheetId="6" hidden="1">{#N/A,#N/A,FALSE,"ASSUM"}</definedName>
    <definedName name="abs" hidden="1">{#N/A,#N/A,FALSE,"ASSUM"}</definedName>
    <definedName name="acb" hidden="1">#N/A</definedName>
    <definedName name="ACC" localSheetId="6" hidden="1">{#N/A,#N/A,TRUE,"Cover";#N/A,#N/A,TRUE,"Conts";#N/A,#N/A,TRUE,"VOS";#N/A,#N/A,TRUE,"Warrington";#N/A,#N/A,TRUE,"Widnes"}</definedName>
    <definedName name="ACC" hidden="1">{#N/A,#N/A,TRUE,"Cover";#N/A,#N/A,TRUE,"Conts";#N/A,#N/A,TRUE,"VOS";#N/A,#N/A,TRUE,"Warrington";#N/A,#N/A,TRUE,"Widnes"}</definedName>
    <definedName name="Acc._No.">#REF!</definedName>
    <definedName name="ACC_1" localSheetId="6" hidden="1">{#N/A,#N/A,TRUE,"Cover";#N/A,#N/A,TRUE,"Conts";#N/A,#N/A,TRUE,"VOS";#N/A,#N/A,TRUE,"Warrington";#N/A,#N/A,TRUE,"Widnes"}</definedName>
    <definedName name="ACC_1" hidden="1">{#N/A,#N/A,TRUE,"Cover";#N/A,#N/A,TRUE,"Conts";#N/A,#N/A,TRUE,"VOS";#N/A,#N/A,TRUE,"Warrington";#N/A,#N/A,TRUE,"Widnes"}</definedName>
    <definedName name="Acc_Balance">#REF!</definedName>
    <definedName name="Acc_Code">#REF!</definedName>
    <definedName name="Acc_Name">#REF!</definedName>
    <definedName name="Access_Button" hidden="1">"CODS_Worksheet_Abram_List"</definedName>
    <definedName name="AccessDatabase" localSheetId="0" hidden="1">"C:\FAME\famework\elyval.mdb"</definedName>
    <definedName name="AccessDatabase" hidden="1">"C:\Politica Retributiva\consuntivi interventi 2001.mdb"</definedName>
    <definedName name="Account_Balance">#REF!</definedName>
    <definedName name="ACCOUNT_CHANGE" hidden="1">"ACCOUNT_CHANGE"</definedName>
    <definedName name="Accounts_Other_Payables">#REF!</definedName>
    <definedName name="ACCOUNTS_PAY" hidden="1">"ACCOUNTS_PAY"</definedName>
    <definedName name="Accounts_Receivable">#REF!</definedName>
    <definedName name="ACCRUED_EXP" hidden="1">"ACCRUED_EXP"</definedName>
    <definedName name="AccruedCustoms">#REF!</definedName>
    <definedName name="ACCRUEDOTHERS">#REF!</definedName>
    <definedName name="ACCRUEDTRANSPORT">#REF!</definedName>
    <definedName name="ACMODEL" hidden="1">#REF!</definedName>
    <definedName name="ACOPY">#REF!</definedName>
    <definedName name="Acq1Pntr">#REF!</definedName>
    <definedName name="Acq2Pntr">#REF!</definedName>
    <definedName name="Acq3Pntr">#REF!</definedName>
    <definedName name="AcqAGt">#REF!</definedName>
    <definedName name="AcqCase">#REF!</definedName>
    <definedName name="AcqCase1Name">#REF!</definedName>
    <definedName name="AcqCase2Name">#REF!</definedName>
    <definedName name="AcqCase3Name">#REF!</definedName>
    <definedName name="AcqCpxUse">#REF!</definedName>
    <definedName name="AcqD1Pntr">#REF!</definedName>
    <definedName name="AcqD2Pntr">#REF!</definedName>
    <definedName name="AcqD3Pntr">#REF!</definedName>
    <definedName name="AcqDCase2Name">#REF!</definedName>
    <definedName name="AcqDCase3Name">#REF!</definedName>
    <definedName name="AcqDDealDate">#REF!</definedName>
    <definedName name="AcqDepr">#REF!</definedName>
    <definedName name="AcqDFinDate">#REF!</definedName>
    <definedName name="AcqDisE1M2">#REF!</definedName>
    <definedName name="AcqDiv1">#REF!</definedName>
    <definedName name="AcqDivNow" hidden="1">#REF!</definedName>
    <definedName name="AcqDLastHistDate">#REF!</definedName>
    <definedName name="AcqfCOGS">#REF!</definedName>
    <definedName name="AcqFinDate">#REF!</definedName>
    <definedName name="AcqFinMos">#REF!</definedName>
    <definedName name="AcqfSGA">#REF!</definedName>
    <definedName name="AcqGt">#REF!</definedName>
    <definedName name="AcqGWnam">#REF!</definedName>
    <definedName name="AcqGWUse">#REF!</definedName>
    <definedName name="AcqInput1DivInc2">#REF!</definedName>
    <definedName name="AcqIntUse">#REF!</definedName>
    <definedName name="AcqLastHistDate">#REF!</definedName>
    <definedName name="AcqName">#REF!</definedName>
    <definedName name="AcqNOL">#REF!</definedName>
    <definedName name="AcqNPPE">#REF!</definedName>
    <definedName name="AcqNTF">#REF!</definedName>
    <definedName name="AcqOE">#REF!</definedName>
    <definedName name="AcqOI">#REF!</definedName>
    <definedName name="AcqPPE1">#REF!</definedName>
    <definedName name="AcqPPEUse">#REF!</definedName>
    <definedName name="AcqRevenues">#REF!</definedName>
    <definedName name="AcqStartingYear">#REF!</definedName>
    <definedName name="AcqTotalSales">#REF!</definedName>
    <definedName name="AcqvCOGS">#REF!</definedName>
    <definedName name="AcqvSGA">#REF!</definedName>
    <definedName name="ACSTOCK">#REF!</definedName>
    <definedName name="ACTBM">#REF!</definedName>
    <definedName name="Activecellb4Macro" hidden="1">#REF!</definedName>
    <definedName name="Activecellb4Macro1" hidden="1">#REF!</definedName>
    <definedName name="Actual">#REF!</definedName>
    <definedName name="ActualNumber" localSheetId="6">IFERROR(IF(LoanIsGood,IF(PaymentsPerYear=1,1,MATCH(0.01,End_Bal,-1)+1)),"")</definedName>
    <definedName name="ActualNumber">IFERROR(IF(LoanIsGood,IF(PaymentsPerYear=1,1,MATCH(0.01,End_Bal,-1)+1)),"")</definedName>
    <definedName name="ActualNumberOfPayments" localSheetId="6">IFERROR(IF(LoanIsGood,IF(PaymentsPerYear=1,1,MATCH(0.01,End_Bal,-1)+1)),"")</definedName>
    <definedName name="ActualNumberOfPayments">IFERROR(IF(LoanIsGood,IF(PaymentsPerYear=1,1,MATCH(0.01,End_Bal,-1)+1)),"")</definedName>
    <definedName name="ACwvu.adf." hidden="1">#REF!</definedName>
    <definedName name="ACwvu.ALL." hidden="1">#REF!</definedName>
    <definedName name="ACwvu.ce_storici." hidden="1">#REF!</definedName>
    <definedName name="ACwvu.dd." hidden="1">#REF!</definedName>
    <definedName name="ACwvu.inputs._.raw._.data." hidden="1">#REF!</definedName>
    <definedName name="ACwvu.Page4." hidden="1">#REF!</definedName>
    <definedName name="ACwvu.summary1." hidden="1">#REF!</definedName>
    <definedName name="ACwvu.summary2." hidden="1">#REF!</definedName>
    <definedName name="ACwvu.summary3." hidden="1">#REF!</definedName>
    <definedName name="ad" localSheetId="0" hidden="1">{#N/A,#N/A,FALSE,"Eastern";#N/A,#N/A,FALSE,"Western"}</definedName>
    <definedName name="ad" localSheetId="6" hidden="1">{#N/A,#N/A,FALSE,"Eastern";#N/A,#N/A,FALSE,"Western"}</definedName>
    <definedName name="ad" hidden="1">{#N/A,#N/A,FALSE,"Eastern";#N/A,#N/A,FALSE,"Western"}</definedName>
    <definedName name="adada" localSheetId="0" hidden="1">{#N/A,#N/A,FALSE,"Eastern";#N/A,#N/A,FALSE,"Western"}</definedName>
    <definedName name="adada" localSheetId="6" hidden="1">{#N/A,#N/A,FALSE,"Eastern";#N/A,#N/A,FALSE,"Western"}</definedName>
    <definedName name="adada" hidden="1">{#N/A,#N/A,FALSE,"Eastern";#N/A,#N/A,FALSE,"Western"}</definedName>
    <definedName name="adadada" localSheetId="0" hidden="1">{#N/A,#N/A,FALSE,"Eastern";#N/A,#N/A,FALSE,"Western"}</definedName>
    <definedName name="adadada" localSheetId="6" hidden="1">{#N/A,#N/A,FALSE,"Eastern";#N/A,#N/A,FALSE,"Western"}</definedName>
    <definedName name="adadada" hidden="1">{#N/A,#N/A,FALSE,"Eastern";#N/A,#N/A,FALSE,"Western"}</definedName>
    <definedName name="adam" localSheetId="0" hidden="1">{#N/A,#N/A,FALSE,"PROFIT 11-95"}</definedName>
    <definedName name="adam" localSheetId="6" hidden="1">{#N/A,#N/A,FALSE,"PROFIT 11-95"}</definedName>
    <definedName name="adam" hidden="1">{#N/A,#N/A,FALSE,"PROFIT 11-95"}</definedName>
    <definedName name="adas" hidden="1">#REF!</definedName>
    <definedName name="adasd" localSheetId="4" hidden="1">1/EUReXToITL</definedName>
    <definedName name="adasd" localSheetId="0" hidden="1">1/EUReXToITL</definedName>
    <definedName name="adasd" localSheetId="2" hidden="1">1/EUReXToITL</definedName>
    <definedName name="adasd" localSheetId="6" hidden="1">1/EUReXToITL</definedName>
    <definedName name="adasd" hidden="1">1/EUReXToITL</definedName>
    <definedName name="adasd_1" localSheetId="0" hidden="1">{#N/A,#N/A,FALSE,"KA CH  (2)"}</definedName>
    <definedName name="adasd_1" localSheetId="6" hidden="1">{#N/A,#N/A,FALSE,"KA CH  (2)"}</definedName>
    <definedName name="adasd_1" hidden="1">{#N/A,#N/A,FALSE,"KA CH  (2)"}</definedName>
    <definedName name="adasd_1_1" localSheetId="0" hidden="1">{#N/A,#N/A,FALSE,"KA CH  (2)"}</definedName>
    <definedName name="adasd_1_1" localSheetId="6" hidden="1">{#N/A,#N/A,FALSE,"KA CH  (2)"}</definedName>
    <definedName name="adasd_1_1" hidden="1">{#N/A,#N/A,FALSE,"KA CH  (2)"}</definedName>
    <definedName name="adasd_2" localSheetId="0" hidden="1">{#N/A,#N/A,FALSE,"KA CH  (2)"}</definedName>
    <definedName name="adasd_2" localSheetId="6" hidden="1">{#N/A,#N/A,FALSE,"KA CH  (2)"}</definedName>
    <definedName name="adasd_2" hidden="1">{#N/A,#N/A,FALSE,"KA CH  (2)"}</definedName>
    <definedName name="adasd_3" localSheetId="0" hidden="1">{#N/A,#N/A,FALSE,"KA CH  (2)"}</definedName>
    <definedName name="adasd_3" localSheetId="6" hidden="1">{#N/A,#N/A,FALSE,"KA CH  (2)"}</definedName>
    <definedName name="adasd_3" hidden="1">{#N/A,#N/A,FALSE,"KA CH  (2)"}</definedName>
    <definedName name="adasd_4" localSheetId="0" hidden="1">{#N/A,#N/A,FALSE,"KA CH  (2)"}</definedName>
    <definedName name="adasd_4" localSheetId="6" hidden="1">{#N/A,#N/A,FALSE,"KA CH  (2)"}</definedName>
    <definedName name="adasd_4" hidden="1">{#N/A,#N/A,FALSE,"KA CH  (2)"}</definedName>
    <definedName name="adasd_5" localSheetId="0" hidden="1">{#N/A,#N/A,FALSE,"KA CH  (2)"}</definedName>
    <definedName name="adasd_5" localSheetId="6" hidden="1">{#N/A,#N/A,FALSE,"KA CH  (2)"}</definedName>
    <definedName name="adasd_5" hidden="1">{#N/A,#N/A,FALSE,"KA CH  (2)"}</definedName>
    <definedName name="adasdad" localSheetId="4" hidden="1">1/EUReXToIEP</definedName>
    <definedName name="adasdad" localSheetId="0" hidden="1">1/EUReXToIEP</definedName>
    <definedName name="adasdad" localSheetId="2" hidden="1">1/EUReXToIEP</definedName>
    <definedName name="adasdad" localSheetId="6" hidden="1">1/EUReXToIEP</definedName>
    <definedName name="adasdad" hidden="1">1/EUReXToIEP</definedName>
    <definedName name="adasdasdasdasd" localSheetId="6" hidden="1">{"PR1","pr1",TRUE,"Sch PR-1"}</definedName>
    <definedName name="adasdasdasdasd" hidden="1">{"PR1","pr1",TRUE,"Sch PR-1"}</definedName>
    <definedName name="adasgaeg">#REF!</definedName>
    <definedName name="Adcsa" hidden="1">#REF!</definedName>
    <definedName name="add" hidden="1">#REF!</definedName>
    <definedName name="ADD_PAID_IN" hidden="1">"ADD_PAID_IN"</definedName>
    <definedName name="addg" localSheetId="0" hidden="1">{#N/A,#N/A,FALSE,"CBE";#N/A,#N/A,FALSE,"SWK"}</definedName>
    <definedName name="addg" localSheetId="6" hidden="1">{#N/A,#N/A,FALSE,"CBE";#N/A,#N/A,FALSE,"SWK"}</definedName>
    <definedName name="addg" hidden="1">{#N/A,#N/A,FALSE,"CBE";#N/A,#N/A,FALSE,"SWK"}</definedName>
    <definedName name="addg1" localSheetId="0" hidden="1">{#N/A,#N/A,FALSE,"CBE";#N/A,#N/A,FALSE,"SWK"}</definedName>
    <definedName name="addg1" localSheetId="6" hidden="1">{#N/A,#N/A,FALSE,"CBE";#N/A,#N/A,FALSE,"SWK"}</definedName>
    <definedName name="addg1" hidden="1">{#N/A,#N/A,FALSE,"CBE";#N/A,#N/A,FALSE,"SWK"}</definedName>
    <definedName name="additions_years">#REF!</definedName>
    <definedName name="ADDL_CALC">#REF!</definedName>
    <definedName name="ADealDate">#REF!</definedName>
    <definedName name="adf" localSheetId="0" hidden="1">{#N/A,#N/A,FALSE,"PROFIT 11-95"}</definedName>
    <definedName name="adf" localSheetId="6" hidden="1">{#N/A,#N/A,FALSE,"PROFIT 11-95"}</definedName>
    <definedName name="adf" hidden="1">{#N/A,#N/A,FALSE,"PROFIT 11-95"}</definedName>
    <definedName name="ADFFSF"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ADFFSF"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adfgasdysty" localSheetId="0" hidden="1">{#N/A,#N/A,FALSE,"REPORT"}</definedName>
    <definedName name="adfgasdysty" localSheetId="6" hidden="1">{#N/A,#N/A,FALSE,"REPORT"}</definedName>
    <definedName name="adfgasdysty" hidden="1">{#N/A,#N/A,FALSE,"REPORT"}</definedName>
    <definedName name="adfgasdysty_1" localSheetId="0" hidden="1">{#N/A,#N/A,FALSE,"REPORT"}</definedName>
    <definedName name="adfgasdysty_1" localSheetId="6" hidden="1">{#N/A,#N/A,FALSE,"REPORT"}</definedName>
    <definedName name="adfgasdysty_1" hidden="1">{#N/A,#N/A,FALSE,"REPORT"}</definedName>
    <definedName name="adfgasdysty_1_1" localSheetId="0" hidden="1">{#N/A,#N/A,FALSE,"REPORT"}</definedName>
    <definedName name="adfgasdysty_1_1" localSheetId="6" hidden="1">{#N/A,#N/A,FALSE,"REPORT"}</definedName>
    <definedName name="adfgasdysty_1_1" hidden="1">{#N/A,#N/A,FALSE,"REPORT"}</definedName>
    <definedName name="adfgasdysty_2" localSheetId="0" hidden="1">{#N/A,#N/A,FALSE,"REPORT"}</definedName>
    <definedName name="adfgasdysty_2" localSheetId="6" hidden="1">{#N/A,#N/A,FALSE,"REPORT"}</definedName>
    <definedName name="adfgasdysty_2" hidden="1">{#N/A,#N/A,FALSE,"REPORT"}</definedName>
    <definedName name="adfgasdysty_3" localSheetId="0" hidden="1">{#N/A,#N/A,FALSE,"REPORT"}</definedName>
    <definedName name="adfgasdysty_3" localSheetId="6" hidden="1">{#N/A,#N/A,FALSE,"REPORT"}</definedName>
    <definedName name="adfgasdysty_3" hidden="1">{#N/A,#N/A,FALSE,"REPORT"}</definedName>
    <definedName name="adfgasdysty_4" localSheetId="0" hidden="1">{#N/A,#N/A,FALSE,"REPORT"}</definedName>
    <definedName name="adfgasdysty_4" localSheetId="6" hidden="1">{#N/A,#N/A,FALSE,"REPORT"}</definedName>
    <definedName name="adfgasdysty_4" hidden="1">{#N/A,#N/A,FALSE,"REPORT"}</definedName>
    <definedName name="adfgasdysty_5" localSheetId="0" hidden="1">{#N/A,#N/A,FALSE,"REPORT"}</definedName>
    <definedName name="adfgasdysty_5" localSheetId="6" hidden="1">{#N/A,#N/A,FALSE,"REPORT"}</definedName>
    <definedName name="adfgasdysty_5" hidden="1">{#N/A,#N/A,FALSE,"REPORT"}</definedName>
    <definedName name="adfsfjfjky" localSheetId="0" hidden="1">{#N/A,#N/A,FALSE,"REPORT"}</definedName>
    <definedName name="adfsfjfjky" localSheetId="6" hidden="1">{#N/A,#N/A,FALSE,"REPORT"}</definedName>
    <definedName name="adfsfjfjky" hidden="1">{#N/A,#N/A,FALSE,"REPORT"}</definedName>
    <definedName name="adfsfjfjky_1" localSheetId="0" hidden="1">{#N/A,#N/A,FALSE,"REPORT"}</definedName>
    <definedName name="adfsfjfjky_1" localSheetId="6" hidden="1">{#N/A,#N/A,FALSE,"REPORT"}</definedName>
    <definedName name="adfsfjfjky_1" hidden="1">{#N/A,#N/A,FALSE,"REPORT"}</definedName>
    <definedName name="adfsfjfjky_1_1" localSheetId="0" hidden="1">{#N/A,#N/A,FALSE,"REPORT"}</definedName>
    <definedName name="adfsfjfjky_1_1" localSheetId="6" hidden="1">{#N/A,#N/A,FALSE,"REPORT"}</definedName>
    <definedName name="adfsfjfjky_1_1" hidden="1">{#N/A,#N/A,FALSE,"REPORT"}</definedName>
    <definedName name="adfsfjfjky_2" localSheetId="0" hidden="1">{#N/A,#N/A,FALSE,"REPORT"}</definedName>
    <definedName name="adfsfjfjky_2" localSheetId="6" hidden="1">{#N/A,#N/A,FALSE,"REPORT"}</definedName>
    <definedName name="adfsfjfjky_2" hidden="1">{#N/A,#N/A,FALSE,"REPORT"}</definedName>
    <definedName name="adfsfjfjky_3" localSheetId="0" hidden="1">{#N/A,#N/A,FALSE,"REPORT"}</definedName>
    <definedName name="adfsfjfjky_3" localSheetId="6" hidden="1">{#N/A,#N/A,FALSE,"REPORT"}</definedName>
    <definedName name="adfsfjfjky_3" hidden="1">{#N/A,#N/A,FALSE,"REPORT"}</definedName>
    <definedName name="adfsfjfjky_4" localSheetId="0" hidden="1">{#N/A,#N/A,FALSE,"REPORT"}</definedName>
    <definedName name="adfsfjfjky_4" localSheetId="6" hidden="1">{#N/A,#N/A,FALSE,"REPORT"}</definedName>
    <definedName name="adfsfjfjky_4" hidden="1">{#N/A,#N/A,FALSE,"REPORT"}</definedName>
    <definedName name="adfsfjfjky_5" localSheetId="0" hidden="1">{#N/A,#N/A,FALSE,"REPORT"}</definedName>
    <definedName name="adfsfjfjky_5" localSheetId="6" hidden="1">{#N/A,#N/A,FALSE,"REPORT"}</definedName>
    <definedName name="adfsfjfjky_5" hidden="1">{#N/A,#N/A,FALSE,"REPORT"}</definedName>
    <definedName name="ADGAGS" localSheetId="6" hidden="1">{#N/A,#N/A,FALSE,"Aging Summary";#N/A,#N/A,FALSE,"Ratio Analysis";#N/A,#N/A,FALSE,"Test 120 Day Accts";#N/A,#N/A,FALSE,"Tickmarks"}</definedName>
    <definedName name="ADGAGS" hidden="1">{#N/A,#N/A,FALSE,"Aging Summary";#N/A,#N/A,FALSE,"Ratio Analysis";#N/A,#N/A,FALSE,"Test 120 Day Accts";#N/A,#N/A,FALSE,"Tickmarks"}</definedName>
    <definedName name="adgr">#REF!</definedName>
    <definedName name="adhgzdb"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adhgzdb"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adil" localSheetId="0" hidden="1">{"CAT",#N/A,FALSE,"Title Page"}</definedName>
    <definedName name="adil" localSheetId="6" hidden="1">{"CAT",#N/A,FALSE,"Title Page"}</definedName>
    <definedName name="adil" hidden="1">{"CAT",#N/A,FALSE,"Title Page"}</definedName>
    <definedName name="adjebit">#REF!</definedName>
    <definedName name="adjebitda">#REF!</definedName>
    <definedName name="adjequity">#REF!</definedName>
    <definedName name="adjequitycf">#REF!</definedName>
    <definedName name="adjnetincome">#REF!</definedName>
    <definedName name="adjsale">#REF!</definedName>
    <definedName name="ADJUSTMENT" localSheetId="0" hidden="1">{#N/A,#N/A,FALSE,"CE-Build";#N/A,#N/A,FALSE,"CE-Equ.";#N/A,#N/A,FALSE,"CE-Computer";#N/A,#N/A,FALSE,"CE-BFurn.";#N/A,#N/A,FALSE,"CE-Accom.";#N/A,#N/A,FALSE,"CE-Vehicle";#N/A,#N/A,FALSE,"CE-Total"}</definedName>
    <definedName name="ADJUSTMENT" localSheetId="6" hidden="1">{#N/A,#N/A,FALSE,"CE-Build";#N/A,#N/A,FALSE,"CE-Equ.";#N/A,#N/A,FALSE,"CE-Computer";#N/A,#N/A,FALSE,"CE-BFurn.";#N/A,#N/A,FALSE,"CE-Accom.";#N/A,#N/A,FALSE,"CE-Vehicle";#N/A,#N/A,FALSE,"CE-Total"}</definedName>
    <definedName name="ADJUSTMENT" hidden="1">{#N/A,#N/A,FALSE,"CE-Build";#N/A,#N/A,FALSE,"CE-Equ.";#N/A,#N/A,FALSE,"CE-Computer";#N/A,#N/A,FALSE,"CE-BFurn.";#N/A,#N/A,FALSE,"CE-Accom.";#N/A,#N/A,FALSE,"CE-Vehicle";#N/A,#N/A,FALSE,"CE-Total"}</definedName>
    <definedName name="adrharh" localSheetId="0" hidden="1">{"WACC",#N/A,FALSE,"Bewertung D&amp;Co";"DCF",#N/A,FALSE,"Bewertung D&amp;Co";"Wert",#N/A,FALSE,"Bewertung D&amp;Co";"Investitionen",#N/A,FALSE,"Cash D&amp;Co";"EBIT",#N/A,FALSE,"Cash D&amp;Co";"Cash Flow",#N/A,FALSE,"Cash D&amp;Co";"FCF",#N/A,FALSE,"Cash D&amp;Co";"EBIT Multiplier",#N/A,FALSE,"EBIT-Multiplier";"Branchen Beta",#N/A,FALSE,"Branchen-Beta";"Dax Rendite",#N/A,FALSE,"DAX-Rendite";"Bu Rendite",#N/A,FALSE,"Bu-Anl-Rendite"}</definedName>
    <definedName name="adrharh" localSheetId="6" hidden="1">{"WACC",#N/A,FALSE,"Bewertung D&amp;Co";"DCF",#N/A,FALSE,"Bewertung D&amp;Co";"Wert",#N/A,FALSE,"Bewertung D&amp;Co";"Investitionen",#N/A,FALSE,"Cash D&amp;Co";"EBIT",#N/A,FALSE,"Cash D&amp;Co";"Cash Flow",#N/A,FALSE,"Cash D&amp;Co";"FCF",#N/A,FALSE,"Cash D&amp;Co";"EBIT Multiplier",#N/A,FALSE,"EBIT-Multiplier";"Branchen Beta",#N/A,FALSE,"Branchen-Beta";"Dax Rendite",#N/A,FALSE,"DAX-Rendite";"Bu Rendite",#N/A,FALSE,"Bu-Anl-Rendite"}</definedName>
    <definedName name="adrharh" hidden="1">{"WACC",#N/A,FALSE,"Bewertung D&amp;Co";"DCF",#N/A,FALSE,"Bewertung D&amp;Co";"Wert",#N/A,FALSE,"Bewertung D&amp;Co";"Investitionen",#N/A,FALSE,"Cash D&amp;Co";"EBIT",#N/A,FALSE,"Cash D&amp;Co";"Cash Flow",#N/A,FALSE,"Cash D&amp;Co";"FCF",#N/A,FALSE,"Cash D&amp;Co";"EBIT Multiplier",#N/A,FALSE,"EBIT-Multiplier";"Branchen Beta",#N/A,FALSE,"Branchen-Beta";"Dax Rendite",#N/A,FALSE,"DAX-Rendite";"Bu Rendite",#N/A,FALSE,"Bu-Anl-Rendite"}</definedName>
    <definedName name="Adriaan" hidden="1">#N/A</definedName>
    <definedName name="Adriaan10"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driaan10" localSheetId="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driaan1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Adriaan11" localSheetId="0" hidden="1">{"Totax",#N/A,FALSE,"Sheet1";#N/A,#N/A,FALSE,"Law Output"}</definedName>
    <definedName name="Adriaan11" localSheetId="6" hidden="1">{"Totax",#N/A,FALSE,"Sheet1";#N/A,#N/A,FALSE,"Law Output"}</definedName>
    <definedName name="Adriaan11" hidden="1">{"Totax",#N/A,FALSE,"Sheet1";#N/A,#N/A,FALSE,"Law Output"}</definedName>
    <definedName name="Adriaan5" hidden="1">#N/A</definedName>
    <definedName name="Adriaan6" hidden="1">#N/A</definedName>
    <definedName name="Adriaan9" localSheetId="0" hidden="1">{"Totax",#N/A,FALSE,"Sheet1";#N/A,#N/A,FALSE,"Law Output"}</definedName>
    <definedName name="Adriaan9" localSheetId="6" hidden="1">{"Totax",#N/A,FALSE,"Sheet1";#N/A,#N/A,FALSE,"Law Output"}</definedName>
    <definedName name="Adriaan9" hidden="1">{"Totax",#N/A,FALSE,"Sheet1";#N/A,#N/A,FALSE,"Law Output"}</definedName>
    <definedName name="adsad" localSheetId="4" hidden="1">1/EUReXToFRF</definedName>
    <definedName name="adsad" localSheetId="0" hidden="1">1/EUReXToFRF</definedName>
    <definedName name="adsad" localSheetId="2" hidden="1">1/EUReXToFRF</definedName>
    <definedName name="adsad" localSheetId="6" hidden="1">1/EUReXToFRF</definedName>
    <definedName name="adsad" hidden="1">1/EUReXToFRF</definedName>
    <definedName name="adsasd" localSheetId="0" hidden="1">{#N/A,#N/A,FALSE,"Section 2";#N/A,#N/A,FALSE,"Exchange profile";#N/A,#N/A,FALSE,"P&amp;L";#N/A,#N/A,FALSE,"Trading Account";#N/A,#N/A,FALSE,"Fixed Costs";#N/A,#N/A,FALSE,"M&amp;S Fixed Cost";#N/A,#N/A,FALSE,"AI VPC";#N/A,#N/A,FALSE,"Sundry";#N/A,#N/A,FALSE,"Product Report";#N/A,#N/A,FALSE,"Strategic HQ";#N/A,#N/A,FALSE,"Misc.";#N/A,#N/A,FALSE,"Cash Flow";#N/A,#N/A,FALSE,"Balance sheet";#N/A,#N/A,FALSE,"WCap";#N/A,#N/A,FALSE,"Capital"}</definedName>
    <definedName name="adsasd" localSheetId="6" hidden="1">{#N/A,#N/A,FALSE,"Section 2";#N/A,#N/A,FALSE,"Exchange profile";#N/A,#N/A,FALSE,"P&amp;L";#N/A,#N/A,FALSE,"Trading Account";#N/A,#N/A,FALSE,"Fixed Costs";#N/A,#N/A,FALSE,"M&amp;S Fixed Cost";#N/A,#N/A,FALSE,"AI VPC";#N/A,#N/A,FALSE,"Sundry";#N/A,#N/A,FALSE,"Product Report";#N/A,#N/A,FALSE,"Strategic HQ";#N/A,#N/A,FALSE,"Misc.";#N/A,#N/A,FALSE,"Cash Flow";#N/A,#N/A,FALSE,"Balance sheet";#N/A,#N/A,FALSE,"WCap";#N/A,#N/A,FALSE,"Capital"}</definedName>
    <definedName name="adsasd" hidden="1">{#N/A,#N/A,FALSE,"Section 2";#N/A,#N/A,FALSE,"Exchange profile";#N/A,#N/A,FALSE,"P&amp;L";#N/A,#N/A,FALSE,"Trading Account";#N/A,#N/A,FALSE,"Fixed Costs";#N/A,#N/A,FALSE,"M&amp;S Fixed Cost";#N/A,#N/A,FALSE,"AI VPC";#N/A,#N/A,FALSE,"Sundry";#N/A,#N/A,FALSE,"Product Report";#N/A,#N/A,FALSE,"Strategic HQ";#N/A,#N/A,FALSE,"Misc.";#N/A,#N/A,FALSE,"Cash Flow";#N/A,#N/A,FALSE,"Balance sheet";#N/A,#N/A,FALSE,"WCap";#N/A,#N/A,FALSE,"Capital"}</definedName>
    <definedName name="ADSF" hidden="1">#REF!</definedName>
    <definedName name="ADSFASDFASDFA" hidden="1">#REF!</definedName>
    <definedName name="adsfgds" localSheetId="0" hidden="1">{#N/A,#N/A,FALSE,"Umsatz CH";#N/A,#N/A,FALSE,"ER CH";#N/A,#N/A,FALSE,"EA CH (2) ";#N/A,#N/A,FALSE,"EA CH";#N/A,#N/A,FALSE,"EA CH (3) ";#N/A,#N/A,FALSE,"EA CH (4)";#N/A,#N/A,FALSE,"KA CH";#N/A,#N/A,FALSE,"KA CH  (2)";#N/A,#N/A,FALSE,"KA CH  (3)";#N/A,#N/A,FALSE,"KA CH (4)"}</definedName>
    <definedName name="adsfgds" localSheetId="6" hidden="1">{#N/A,#N/A,FALSE,"Umsatz CH";#N/A,#N/A,FALSE,"ER CH";#N/A,#N/A,FALSE,"EA CH (2) ";#N/A,#N/A,FALSE,"EA CH";#N/A,#N/A,FALSE,"EA CH (3) ";#N/A,#N/A,FALSE,"EA CH (4)";#N/A,#N/A,FALSE,"KA CH";#N/A,#N/A,FALSE,"KA CH  (2)";#N/A,#N/A,FALSE,"KA CH  (3)";#N/A,#N/A,FALSE,"KA CH (4)"}</definedName>
    <definedName name="adsfgds" hidden="1">{#N/A,#N/A,FALSE,"Umsatz CH";#N/A,#N/A,FALSE,"ER CH";#N/A,#N/A,FALSE,"EA CH (2) ";#N/A,#N/A,FALSE,"EA CH";#N/A,#N/A,FALSE,"EA CH (3) ";#N/A,#N/A,FALSE,"EA CH (4)";#N/A,#N/A,FALSE,"KA CH";#N/A,#N/A,FALSE,"KA CH  (2)";#N/A,#N/A,FALSE,"KA CH  (3)";#N/A,#N/A,FALSE,"KA CH (4)"}</definedName>
    <definedName name="adsfgds_1" localSheetId="0" hidden="1">{#N/A,#N/A,FALSE,"Umsatz CH";#N/A,#N/A,FALSE,"ER CH";#N/A,#N/A,FALSE,"EA CH (2) ";#N/A,#N/A,FALSE,"EA CH";#N/A,#N/A,FALSE,"EA CH (3) ";#N/A,#N/A,FALSE,"EA CH (4)";#N/A,#N/A,FALSE,"KA CH";#N/A,#N/A,FALSE,"KA CH  (2)";#N/A,#N/A,FALSE,"KA CH  (3)";#N/A,#N/A,FALSE,"KA CH (4)"}</definedName>
    <definedName name="adsfgds_1" localSheetId="6" hidden="1">{#N/A,#N/A,FALSE,"Umsatz CH";#N/A,#N/A,FALSE,"ER CH";#N/A,#N/A,FALSE,"EA CH (2) ";#N/A,#N/A,FALSE,"EA CH";#N/A,#N/A,FALSE,"EA CH (3) ";#N/A,#N/A,FALSE,"EA CH (4)";#N/A,#N/A,FALSE,"KA CH";#N/A,#N/A,FALSE,"KA CH  (2)";#N/A,#N/A,FALSE,"KA CH  (3)";#N/A,#N/A,FALSE,"KA CH (4)"}</definedName>
    <definedName name="adsfgds_1" hidden="1">{#N/A,#N/A,FALSE,"Umsatz CH";#N/A,#N/A,FALSE,"ER CH";#N/A,#N/A,FALSE,"EA CH (2) ";#N/A,#N/A,FALSE,"EA CH";#N/A,#N/A,FALSE,"EA CH (3) ";#N/A,#N/A,FALSE,"EA CH (4)";#N/A,#N/A,FALSE,"KA CH";#N/A,#N/A,FALSE,"KA CH  (2)";#N/A,#N/A,FALSE,"KA CH  (3)";#N/A,#N/A,FALSE,"KA CH (4)"}</definedName>
    <definedName name="adsfgds_1_1" localSheetId="0" hidden="1">{#N/A,#N/A,FALSE,"Umsatz CH";#N/A,#N/A,FALSE,"ER CH";#N/A,#N/A,FALSE,"EA CH (2) ";#N/A,#N/A,FALSE,"EA CH";#N/A,#N/A,FALSE,"EA CH (3) ";#N/A,#N/A,FALSE,"EA CH (4)";#N/A,#N/A,FALSE,"KA CH";#N/A,#N/A,FALSE,"KA CH  (2)";#N/A,#N/A,FALSE,"KA CH  (3)";#N/A,#N/A,FALSE,"KA CH (4)"}</definedName>
    <definedName name="adsfgds_1_1" localSheetId="6" hidden="1">{#N/A,#N/A,FALSE,"Umsatz CH";#N/A,#N/A,FALSE,"ER CH";#N/A,#N/A,FALSE,"EA CH (2) ";#N/A,#N/A,FALSE,"EA CH";#N/A,#N/A,FALSE,"EA CH (3) ";#N/A,#N/A,FALSE,"EA CH (4)";#N/A,#N/A,FALSE,"KA CH";#N/A,#N/A,FALSE,"KA CH  (2)";#N/A,#N/A,FALSE,"KA CH  (3)";#N/A,#N/A,FALSE,"KA CH (4)"}</definedName>
    <definedName name="adsfgds_1_1" hidden="1">{#N/A,#N/A,FALSE,"Umsatz CH";#N/A,#N/A,FALSE,"ER CH";#N/A,#N/A,FALSE,"EA CH (2) ";#N/A,#N/A,FALSE,"EA CH";#N/A,#N/A,FALSE,"EA CH (3) ";#N/A,#N/A,FALSE,"EA CH (4)";#N/A,#N/A,FALSE,"KA CH";#N/A,#N/A,FALSE,"KA CH  (2)";#N/A,#N/A,FALSE,"KA CH  (3)";#N/A,#N/A,FALSE,"KA CH (4)"}</definedName>
    <definedName name="adsfgds_2" localSheetId="0" hidden="1">{#N/A,#N/A,FALSE,"Umsatz CH";#N/A,#N/A,FALSE,"ER CH";#N/A,#N/A,FALSE,"EA CH (2) ";#N/A,#N/A,FALSE,"EA CH";#N/A,#N/A,FALSE,"EA CH (3) ";#N/A,#N/A,FALSE,"EA CH (4)";#N/A,#N/A,FALSE,"KA CH";#N/A,#N/A,FALSE,"KA CH  (2)";#N/A,#N/A,FALSE,"KA CH  (3)";#N/A,#N/A,FALSE,"KA CH (4)"}</definedName>
    <definedName name="adsfgds_2" localSheetId="6" hidden="1">{#N/A,#N/A,FALSE,"Umsatz CH";#N/A,#N/A,FALSE,"ER CH";#N/A,#N/A,FALSE,"EA CH (2) ";#N/A,#N/A,FALSE,"EA CH";#N/A,#N/A,FALSE,"EA CH (3) ";#N/A,#N/A,FALSE,"EA CH (4)";#N/A,#N/A,FALSE,"KA CH";#N/A,#N/A,FALSE,"KA CH  (2)";#N/A,#N/A,FALSE,"KA CH  (3)";#N/A,#N/A,FALSE,"KA CH (4)"}</definedName>
    <definedName name="adsfgds_2" hidden="1">{#N/A,#N/A,FALSE,"Umsatz CH";#N/A,#N/A,FALSE,"ER CH";#N/A,#N/A,FALSE,"EA CH (2) ";#N/A,#N/A,FALSE,"EA CH";#N/A,#N/A,FALSE,"EA CH (3) ";#N/A,#N/A,FALSE,"EA CH (4)";#N/A,#N/A,FALSE,"KA CH";#N/A,#N/A,FALSE,"KA CH  (2)";#N/A,#N/A,FALSE,"KA CH  (3)";#N/A,#N/A,FALSE,"KA CH (4)"}</definedName>
    <definedName name="adsfgds_3" localSheetId="0" hidden="1">{#N/A,#N/A,FALSE,"Umsatz CH";#N/A,#N/A,FALSE,"ER CH";#N/A,#N/A,FALSE,"EA CH (2) ";#N/A,#N/A,FALSE,"EA CH";#N/A,#N/A,FALSE,"EA CH (3) ";#N/A,#N/A,FALSE,"EA CH (4)";#N/A,#N/A,FALSE,"KA CH";#N/A,#N/A,FALSE,"KA CH  (2)";#N/A,#N/A,FALSE,"KA CH  (3)";#N/A,#N/A,FALSE,"KA CH (4)"}</definedName>
    <definedName name="adsfgds_3" localSheetId="6" hidden="1">{#N/A,#N/A,FALSE,"Umsatz CH";#N/A,#N/A,FALSE,"ER CH";#N/A,#N/A,FALSE,"EA CH (2) ";#N/A,#N/A,FALSE,"EA CH";#N/A,#N/A,FALSE,"EA CH (3) ";#N/A,#N/A,FALSE,"EA CH (4)";#N/A,#N/A,FALSE,"KA CH";#N/A,#N/A,FALSE,"KA CH  (2)";#N/A,#N/A,FALSE,"KA CH  (3)";#N/A,#N/A,FALSE,"KA CH (4)"}</definedName>
    <definedName name="adsfgds_3" hidden="1">{#N/A,#N/A,FALSE,"Umsatz CH";#N/A,#N/A,FALSE,"ER CH";#N/A,#N/A,FALSE,"EA CH (2) ";#N/A,#N/A,FALSE,"EA CH";#N/A,#N/A,FALSE,"EA CH (3) ";#N/A,#N/A,FALSE,"EA CH (4)";#N/A,#N/A,FALSE,"KA CH";#N/A,#N/A,FALSE,"KA CH  (2)";#N/A,#N/A,FALSE,"KA CH  (3)";#N/A,#N/A,FALSE,"KA CH (4)"}</definedName>
    <definedName name="adsfgds_4" localSheetId="0" hidden="1">{#N/A,#N/A,FALSE,"Umsatz CH";#N/A,#N/A,FALSE,"ER CH";#N/A,#N/A,FALSE,"EA CH (2) ";#N/A,#N/A,FALSE,"EA CH";#N/A,#N/A,FALSE,"EA CH (3) ";#N/A,#N/A,FALSE,"EA CH (4)";#N/A,#N/A,FALSE,"KA CH";#N/A,#N/A,FALSE,"KA CH  (2)";#N/A,#N/A,FALSE,"KA CH  (3)";#N/A,#N/A,FALSE,"KA CH (4)"}</definedName>
    <definedName name="adsfgds_4" localSheetId="6" hidden="1">{#N/A,#N/A,FALSE,"Umsatz CH";#N/A,#N/A,FALSE,"ER CH";#N/A,#N/A,FALSE,"EA CH (2) ";#N/A,#N/A,FALSE,"EA CH";#N/A,#N/A,FALSE,"EA CH (3) ";#N/A,#N/A,FALSE,"EA CH (4)";#N/A,#N/A,FALSE,"KA CH";#N/A,#N/A,FALSE,"KA CH  (2)";#N/A,#N/A,FALSE,"KA CH  (3)";#N/A,#N/A,FALSE,"KA CH (4)"}</definedName>
    <definedName name="adsfgds_4" hidden="1">{#N/A,#N/A,FALSE,"Umsatz CH";#N/A,#N/A,FALSE,"ER CH";#N/A,#N/A,FALSE,"EA CH (2) ";#N/A,#N/A,FALSE,"EA CH";#N/A,#N/A,FALSE,"EA CH (3) ";#N/A,#N/A,FALSE,"EA CH (4)";#N/A,#N/A,FALSE,"KA CH";#N/A,#N/A,FALSE,"KA CH  (2)";#N/A,#N/A,FALSE,"KA CH  (3)";#N/A,#N/A,FALSE,"KA CH (4)"}</definedName>
    <definedName name="adsfgds_5" localSheetId="0" hidden="1">{#N/A,#N/A,FALSE,"Umsatz CH";#N/A,#N/A,FALSE,"ER CH";#N/A,#N/A,FALSE,"EA CH (2) ";#N/A,#N/A,FALSE,"EA CH";#N/A,#N/A,FALSE,"EA CH (3) ";#N/A,#N/A,FALSE,"EA CH (4)";#N/A,#N/A,FALSE,"KA CH";#N/A,#N/A,FALSE,"KA CH  (2)";#N/A,#N/A,FALSE,"KA CH  (3)";#N/A,#N/A,FALSE,"KA CH (4)"}</definedName>
    <definedName name="adsfgds_5" localSheetId="6" hidden="1">{#N/A,#N/A,FALSE,"Umsatz CH";#N/A,#N/A,FALSE,"ER CH";#N/A,#N/A,FALSE,"EA CH (2) ";#N/A,#N/A,FALSE,"EA CH";#N/A,#N/A,FALSE,"EA CH (3) ";#N/A,#N/A,FALSE,"EA CH (4)";#N/A,#N/A,FALSE,"KA CH";#N/A,#N/A,FALSE,"KA CH  (2)";#N/A,#N/A,FALSE,"KA CH  (3)";#N/A,#N/A,FALSE,"KA CH (4)"}</definedName>
    <definedName name="adsfgds_5" hidden="1">{#N/A,#N/A,FALSE,"Umsatz CH";#N/A,#N/A,FALSE,"ER CH";#N/A,#N/A,FALSE,"EA CH (2) ";#N/A,#N/A,FALSE,"EA CH";#N/A,#N/A,FALSE,"EA CH (3) ";#N/A,#N/A,FALSE,"EA CH (4)";#N/A,#N/A,FALSE,"KA CH";#N/A,#N/A,FALSE,"KA CH  (2)";#N/A,#N/A,FALSE,"KA CH  (3)";#N/A,#N/A,FALSE,"KA CH (4)"}</definedName>
    <definedName name="ADSFSDF" localSheetId="6" hidden="1">{#N/A,#N/A,FALSE,"Aging Summary";#N/A,#N/A,FALSE,"Ratio Analysis";#N/A,#N/A,FALSE,"Test 120 Day Accts";#N/A,#N/A,FALSE,"Tickmarks"}</definedName>
    <definedName name="ADSFSDF" hidden="1">{#N/A,#N/A,FALSE,"Aging Summary";#N/A,#N/A,FALSE,"Ratio Analysis";#N/A,#N/A,FALSE,"Test 120 Day Accts";#N/A,#N/A,FALSE,"Tickmarks"}</definedName>
    <definedName name="ADSÖLGNMÖ" hidden="1">#REF!</definedName>
    <definedName name="Adv." hidden="1">#REF!,#REF!,#REF!</definedName>
    <definedName name="Advance_Pmnt">#REF!</definedName>
    <definedName name="ADVSUPPLIERS">#REF!</definedName>
    <definedName name="AE" localSheetId="0" hidden="1">{"'INDICE'!$A$1:$K$13","'1'!$A$1:$CC$78","'2'!$A$1:$P$78","'3'!$A$1:$CI$78","'4'!$A$1:$Q$78"}</definedName>
    <definedName name="AE" localSheetId="6" hidden="1">{"'INDICE'!$A$1:$K$13","'1'!$A$1:$CC$78","'2'!$A$1:$P$78","'3'!$A$1:$CI$78","'4'!$A$1:$Q$78"}</definedName>
    <definedName name="AE" hidden="1">{"'INDICE'!$A$1:$K$13","'1'!$A$1:$CC$78","'2'!$A$1:$P$78","'3'!$A$1:$CI$78","'4'!$A$1:$Q$78"}</definedName>
    <definedName name="AE_1" localSheetId="0" hidden="1">{"'INDICE'!$A$1:$K$13","'1'!$A$1:$CC$78","'2'!$A$1:$P$78","'3'!$A$1:$CI$78","'4'!$A$1:$Q$78"}</definedName>
    <definedName name="AE_1" localSheetId="6" hidden="1">{"'INDICE'!$A$1:$K$13","'1'!$A$1:$CC$78","'2'!$A$1:$P$78","'3'!$A$1:$CI$78","'4'!$A$1:$Q$78"}</definedName>
    <definedName name="AE_1" hidden="1">{"'INDICE'!$A$1:$K$13","'1'!$A$1:$CC$78","'2'!$A$1:$P$78","'3'!$A$1:$CI$78","'4'!$A$1:$Q$78"}</definedName>
    <definedName name="aeg"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aeg"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aegt" hidden="1">#REF!</definedName>
    <definedName name="AEO" hidden="1">#N/A</definedName>
    <definedName name="aerhaerhaerh" localSheetId="0"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aerhaerhaerh" localSheetId="6"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aerhaerhaerh" hidden="1">{"Deckbl",#N/A,FALSE,"Deckblatt";"Eckzahlen",#N/A,FALSE,"Eckzahlen";"Bilanz",#N/A,FALSE,"Bilanz";"GuV",#N/A,FALSE,"GUV";"GuvScha_Wa",#N/A,FALSE,"GuvScha+Wa";"guvgi",#N/A,FALSE,"GuvGI";"guvdd",#N/A,FALSE,"GuvDD";#N/A,#N/A,FALSE,"Guv3D";"guvwaren",#N/A,FALSE,"GuvWaren";"guvbestückung",#N/A,FALSE,"GuvBestück";"guvprojek",#N/A,FALSE,"GuvProjek";"guvesr",#N/A,FALSE,"GuvESR";"investalt.",#N/A,FALSE,"Invest alt.";"aventw",#N/A,FALSE,"AV-Entw.";"personal",#N/A,FALSE,"Persaufw";"personal2",#N/A,FALSE,"Persaufw";"pmgerüst",#N/A,FALSE,"Preis-Mengen-Gerüst";"cflow1",#N/A,FALSE,"CashFlow";"cflow2",#N/A,FALSE,"CashFlow";"cflow3",#N/A,FALSE,"CashFlow";"FCF",#N/A,FALSE,"Unternehmensbewertung DCF";"WACC",#N/A,FALSE,"Unternehmensbewertung DCF";"Wert",#N/A,FALSE,"Unternehmensbewertung DCF"}</definedName>
    <definedName name="aertre" localSheetId="0" hidden="1">{#N/A,"DR",FALSE,"increm pf";#N/A,"MAMSI",FALSE,"increm pf";#N/A,"MAXI",FALSE,"increm pf";#N/A,"PCAM",FALSE,"increm pf";#N/A,"PHSV",FALSE,"increm pf";#N/A,"SIE",FALSE,"increm pf"}</definedName>
    <definedName name="aertre" localSheetId="6" hidden="1">{#N/A,"DR",FALSE,"increm pf";#N/A,"MAMSI",FALSE,"increm pf";#N/A,"MAXI",FALSE,"increm pf";#N/A,"PCAM",FALSE,"increm pf";#N/A,"PHSV",FALSE,"increm pf";#N/A,"SIE",FALSE,"increm pf"}</definedName>
    <definedName name="aertre" hidden="1">{#N/A,"DR",FALSE,"increm pf";#N/A,"MAMSI",FALSE,"increm pf";#N/A,"MAXI",FALSE,"increm pf";#N/A,"PCAM",FALSE,"increm pf";#N/A,"PHSV",FALSE,"increm pf";#N/A,"SIE",FALSE,"increm pf"}</definedName>
    <definedName name="aes"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aes"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aes" hidden="1">{#N/A,#N/A,TRUE,"COVER2";#N/A,#N/A,TRUE,"AGENDA";#N/A,#N/A,TRUE,"Cover";#N/A,#N/A,TRUE,"4M";#N/A,#N/A,TRUE,"FLP&amp;L4M";#N/A,#N/A,TRUE,"4MMC";#N/A,#N/A,TRUE,"Shp4M";#N/A,#N/A,TRUE,"M5";#N/A,#N/A,TRUE,"Q2";#N/A,#N/A,TRUE,"Q1vsQ2";#N/A,#N/A,TRUE,"M6";#N/A,#N/A,TRUE,"TY";#N/A,#N/A,TRUE,"FLP&amp;LTY";#N/A,#N/A,TRUE,"TYMC";#N/A,#N/A,TRUE,"ShpTY";#N/A,#N/A,TRUE,"8M";#N/A,#N/A,TRUE,"FLP&amp;L8M";#N/A,#N/A,TRUE,"8MMC";#N/A,#N/A,TRUE,"Shp8M"}</definedName>
    <definedName name="aesdf" localSheetId="4" hidden="1">Main.SAPF4Help()</definedName>
    <definedName name="aesdf" localSheetId="0" hidden="1">Main.SAPF4Help()</definedName>
    <definedName name="aesdf" localSheetId="2" hidden="1">Main.SAPF4Help()</definedName>
    <definedName name="aesdf" localSheetId="6" hidden="1">Main.SAPF4Help()</definedName>
    <definedName name="aesdf" hidden="1">Main.SAPF4Help()</definedName>
    <definedName name="aewr" localSheetId="0" hidden="1">{"mgmt forecast",#N/A,FALSE,"Mgmt Forecast";"dcf table",#N/A,FALSE,"Mgmt Forecast";"sensitivity",#N/A,FALSE,"Mgmt Forecast";"table inputs",#N/A,FALSE,"Mgmt Forecast";"calculations",#N/A,FALSE,"Mgmt Forecast"}</definedName>
    <definedName name="aewr" localSheetId="6" hidden="1">{"mgmt forecast",#N/A,FALSE,"Mgmt Forecast";"dcf table",#N/A,FALSE,"Mgmt Forecast";"sensitivity",#N/A,FALSE,"Mgmt Forecast";"table inputs",#N/A,FALSE,"Mgmt Forecast";"calculations",#N/A,FALSE,"Mgmt Forecast"}</definedName>
    <definedName name="aewr" hidden="1">{"mgmt forecast",#N/A,FALSE,"Mgmt Forecast";"dcf table",#N/A,FALSE,"Mgmt Forecast";"sensitivity",#N/A,FALSE,"Mgmt Forecast";"table inputs",#N/A,FALSE,"Mgmt Forecast";"calculations",#N/A,FALSE,"Mgmt Forecast"}</definedName>
    <definedName name="af" hidden="1">#REF!</definedName>
    <definedName name="afadsf" localSheetId="0" hidden="1">{#N/A,#N/A,FALSE,"PROFIT 11-95"}</definedName>
    <definedName name="afadsf" localSheetId="6" hidden="1">{#N/A,#N/A,FALSE,"PROFIT 11-95"}</definedName>
    <definedName name="afadsf" hidden="1">{#N/A,#N/A,FALSE,"PROFIT 11-95"}</definedName>
    <definedName name="afafsfaf" localSheetId="0" hidden="1">#REF!</definedName>
    <definedName name="afafsfaf" hidden="1">#REF!</definedName>
    <definedName name="afasd" localSheetId="6" hidden="1">{#N/A,#N/A,FALSE,"Aging Summary";#N/A,#N/A,FALSE,"Ratio Analysis";#N/A,#N/A,FALSE,"Test 120 Day Accts";#N/A,#N/A,FALSE,"Tickmarks"}</definedName>
    <definedName name="afasd" hidden="1">{#N/A,#N/A,FALSE,"Aging Summary";#N/A,#N/A,FALSE,"Ratio Analysis";#N/A,#N/A,FALSE,"Test 120 Day Accts";#N/A,#N/A,FALSE,"Tickmarks"}</definedName>
    <definedName name="AFDADSFDAS" localSheetId="0" hidden="1">{#N/A,#N/A,FALSE,"REPORT"}</definedName>
    <definedName name="AFDADSFDAS" localSheetId="6" hidden="1">{#N/A,#N/A,FALSE,"REPORT"}</definedName>
    <definedName name="AFDADSFDAS" hidden="1">{#N/A,#N/A,FALSE,"REPORT"}</definedName>
    <definedName name="AFDADSFDAS_1" localSheetId="0" hidden="1">{#N/A,#N/A,FALSE,"REPORT"}</definedName>
    <definedName name="AFDADSFDAS_1" localSheetId="6" hidden="1">{#N/A,#N/A,FALSE,"REPORT"}</definedName>
    <definedName name="AFDADSFDAS_1" hidden="1">{#N/A,#N/A,FALSE,"REPORT"}</definedName>
    <definedName name="AFDADSFDAS_1_1" localSheetId="0" hidden="1">{#N/A,#N/A,FALSE,"REPORT"}</definedName>
    <definedName name="AFDADSFDAS_1_1" localSheetId="6" hidden="1">{#N/A,#N/A,FALSE,"REPORT"}</definedName>
    <definedName name="AFDADSFDAS_1_1" hidden="1">{#N/A,#N/A,FALSE,"REPORT"}</definedName>
    <definedName name="AFDADSFDAS_2" localSheetId="0" hidden="1">{#N/A,#N/A,FALSE,"REPORT"}</definedName>
    <definedName name="AFDADSFDAS_2" localSheetId="6" hidden="1">{#N/A,#N/A,FALSE,"REPORT"}</definedName>
    <definedName name="AFDADSFDAS_2" hidden="1">{#N/A,#N/A,FALSE,"REPORT"}</definedName>
    <definedName name="AFDADSFDAS_3" localSheetId="0" hidden="1">{#N/A,#N/A,FALSE,"REPORT"}</definedName>
    <definedName name="AFDADSFDAS_3" localSheetId="6" hidden="1">{#N/A,#N/A,FALSE,"REPORT"}</definedName>
    <definedName name="AFDADSFDAS_3" hidden="1">{#N/A,#N/A,FALSE,"REPORT"}</definedName>
    <definedName name="AFDADSFDAS_4" localSheetId="0" hidden="1">{#N/A,#N/A,FALSE,"REPORT"}</definedName>
    <definedName name="AFDADSFDAS_4" localSheetId="6" hidden="1">{#N/A,#N/A,FALSE,"REPORT"}</definedName>
    <definedName name="AFDADSFDAS_4" hidden="1">{#N/A,#N/A,FALSE,"REPORT"}</definedName>
    <definedName name="AFDADSFDAS_5" localSheetId="0" hidden="1">{#N/A,#N/A,FALSE,"REPORT"}</definedName>
    <definedName name="AFDADSFDAS_5" localSheetId="6" hidden="1">{#N/A,#N/A,FALSE,"REPORT"}</definedName>
    <definedName name="AFDADSFDAS_5" hidden="1">{#N/A,#N/A,FALSE,"REPORT"}</definedName>
    <definedName name="afds" localSheetId="6" hidden="1">{"Quarter1",#N/A,FALSE,"Sheet1";"Quarter2",#N/A,FALSE,"Sheet1";"Quarter3",#N/A,FALSE,"Sheet1";"Quarter4",#N/A,FALSE,"Sheet1"}</definedName>
    <definedName name="afds" hidden="1">{"Quarter1",#N/A,FALSE,"Sheet1";"Quarter2",#N/A,FALSE,"Sheet1";"Quarter3",#N/A,FALSE,"Sheet1";"Quarter4",#N/A,FALSE,"Sheet1"}</definedName>
    <definedName name="AFECLKZE" localSheetId="0" hidden="1">{#N/A,#N/A,FALSE,"Tabl. A1";#N/A,#N/A,FALSE,"Tabl. A1 b";#N/A,#N/A,FALSE,"Tabl. A2";#N/A,#N/A,FALSE,"Tabl. A2-1";#N/A,#N/A,FALSE,"Tabl. A2-2"}</definedName>
    <definedName name="AFECLKZE" localSheetId="6" hidden="1">{#N/A,#N/A,FALSE,"Tabl. A1";#N/A,#N/A,FALSE,"Tabl. A1 b";#N/A,#N/A,FALSE,"Tabl. A2";#N/A,#N/A,FALSE,"Tabl. A2-1";#N/A,#N/A,FALSE,"Tabl. A2-2"}</definedName>
    <definedName name="AFECLKZE" hidden="1">{#N/A,#N/A,FALSE,"Tabl. A1";#N/A,#N/A,FALSE,"Tabl. A1 b";#N/A,#N/A,FALSE,"Tabl. A2";#N/A,#N/A,FALSE,"Tabl. A2-1";#N/A,#N/A,FALSE,"Tabl. A2-2"}</definedName>
    <definedName name="AFGGF" localSheetId="0" hidden="1">{#N/A,#N/A,FALSE,"Tabl. D1";#N/A,#N/A,FALSE,"Tabl. D1 b";#N/A,#N/A,FALSE,"Tabl. D2";#N/A,#N/A,FALSE,"Tabl. D2 b";#N/A,#N/A,FALSE,"Tabl. D3";#N/A,#N/A,FALSE,"Tabl. D4";#N/A,#N/A,FALSE,"Tabl. D5"}</definedName>
    <definedName name="AFGGF" localSheetId="6" hidden="1">{#N/A,#N/A,FALSE,"Tabl. D1";#N/A,#N/A,FALSE,"Tabl. D1 b";#N/A,#N/A,FALSE,"Tabl. D2";#N/A,#N/A,FALSE,"Tabl. D2 b";#N/A,#N/A,FALSE,"Tabl. D3";#N/A,#N/A,FALSE,"Tabl. D4";#N/A,#N/A,FALSE,"Tabl. D5"}</definedName>
    <definedName name="AFGGF" hidden="1">{#N/A,#N/A,FALSE,"Tabl. D1";#N/A,#N/A,FALSE,"Tabl. D1 b";#N/A,#N/A,FALSE,"Tabl. D2";#N/A,#N/A,FALSE,"Tabl. D2 b";#N/A,#N/A,FALSE,"Tabl. D3";#N/A,#N/A,FALSE,"Tabl. D4";#N/A,#N/A,FALSE,"Tabl. D5"}</definedName>
    <definedName name="afgqwafg" localSheetId="0" hidden="1">{#N/A,#N/A,FALSE,"Kümülatif Gelir Tablosu";#N/A,#N/A,FALSE,"Aylık Gelir Tablosu";#N/A,#N/A,FALSE,"Karş.Kümülatif Gelir Tab";#N/A,#N/A,FALSE,"Karş. Aylık Gelir Tab";#N/A,#N/A,FALSE,"Bilanço";#N/A,#N/A,FALSE,"Karşılaştırmalı Bilanço";#N/A,#N/A,FALSE,"Raşyo 1";#N/A,#N/A,FALSE,"Karşılaştırmalı Raşyolar"}</definedName>
    <definedName name="afgqwafg" localSheetId="6" hidden="1">{#N/A,#N/A,FALSE,"Kümülatif Gelir Tablosu";#N/A,#N/A,FALSE,"Aylık Gelir Tablosu";#N/A,#N/A,FALSE,"Karş.Kümülatif Gelir Tab";#N/A,#N/A,FALSE,"Karş. Aylık Gelir Tab";#N/A,#N/A,FALSE,"Bilanço";#N/A,#N/A,FALSE,"Karşılaştırmalı Bilanço";#N/A,#N/A,FALSE,"Raşyo 1";#N/A,#N/A,FALSE,"Karşılaştırmalı Raşyolar"}</definedName>
    <definedName name="afgqwafg" hidden="1">{#N/A,#N/A,FALSE,"Kümülatif Gelir Tablosu";#N/A,#N/A,FALSE,"Aylık Gelir Tablosu";#N/A,#N/A,FALSE,"Karş.Kümülatif Gelir Tab";#N/A,#N/A,FALSE,"Karş. Aylık Gelir Tab";#N/A,#N/A,FALSE,"Bilanço";#N/A,#N/A,FALSE,"Karşılaştırmalı Bilanço";#N/A,#N/A,FALSE,"Raşyo 1";#N/A,#N/A,FALSE,"Karşılaştırmalı Raşyolar"}</definedName>
    <definedName name="Aflt_Code1" hidden="1">#REF!</definedName>
    <definedName name="Aflt_Code2" hidden="1">#REF!</definedName>
    <definedName name="Aflt_Code3" hidden="1">#REF!</definedName>
    <definedName name="Aflt_Code4" hidden="1">#REF!</definedName>
    <definedName name="Aflt_Code5" hidden="1">#REF!</definedName>
    <definedName name="Aflt_Code6" hidden="1">#REF!</definedName>
    <definedName name="Aflt_Desc1" hidden="1">#REF!</definedName>
    <definedName name="Aflt_Desc2" hidden="1">#REF!</definedName>
    <definedName name="Aflt_Desc3" hidden="1">#REF!</definedName>
    <definedName name="Aflt_Desc4" hidden="1">#REF!</definedName>
    <definedName name="Aflt_Desc5" hidden="1">#REF!</definedName>
    <definedName name="Aflt_Desc6" hidden="1">#REF!</definedName>
    <definedName name="africa" localSheetId="0" hidden="1">{#N/A,#N/A,FALSE,"CNS";#N/A,#N/A,FALSE,"Serz";#N/A,#N/A,FALSE,"Ace"}</definedName>
    <definedName name="africa" localSheetId="6" hidden="1">{#N/A,#N/A,FALSE,"CNS";#N/A,#N/A,FALSE,"Serz";#N/A,#N/A,FALSE,"Ace"}</definedName>
    <definedName name="africa" hidden="1">{#N/A,#N/A,FALSE,"CNS";#N/A,#N/A,FALSE,"Serz";#N/A,#N/A,FALSE,"Ace"}</definedName>
    <definedName name="africa_1" localSheetId="0" hidden="1">{#N/A,#N/A,FALSE,"CNS";#N/A,#N/A,FALSE,"Serz";#N/A,#N/A,FALSE,"Ace"}</definedName>
    <definedName name="africa_1" localSheetId="6" hidden="1">{#N/A,#N/A,FALSE,"CNS";#N/A,#N/A,FALSE,"Serz";#N/A,#N/A,FALSE,"Ace"}</definedName>
    <definedName name="africa_1" hidden="1">{#N/A,#N/A,FALSE,"CNS";#N/A,#N/A,FALSE,"Serz";#N/A,#N/A,FALSE,"Ace"}</definedName>
    <definedName name="africa_1_1" localSheetId="0" hidden="1">{#N/A,#N/A,FALSE,"CNS";#N/A,#N/A,FALSE,"Serz";#N/A,#N/A,FALSE,"Ace"}</definedName>
    <definedName name="africa_1_1" localSheetId="6" hidden="1">{#N/A,#N/A,FALSE,"CNS";#N/A,#N/A,FALSE,"Serz";#N/A,#N/A,FALSE,"Ace"}</definedName>
    <definedName name="africa_1_1" hidden="1">{#N/A,#N/A,FALSE,"CNS";#N/A,#N/A,FALSE,"Serz";#N/A,#N/A,FALSE,"Ace"}</definedName>
    <definedName name="africa_2" localSheetId="0" hidden="1">{#N/A,#N/A,FALSE,"CNS";#N/A,#N/A,FALSE,"Serz";#N/A,#N/A,FALSE,"Ace"}</definedName>
    <definedName name="africa_2" localSheetId="6" hidden="1">{#N/A,#N/A,FALSE,"CNS";#N/A,#N/A,FALSE,"Serz";#N/A,#N/A,FALSE,"Ace"}</definedName>
    <definedName name="africa_2" hidden="1">{#N/A,#N/A,FALSE,"CNS";#N/A,#N/A,FALSE,"Serz";#N/A,#N/A,FALSE,"Ace"}</definedName>
    <definedName name="africa_3" localSheetId="0" hidden="1">{#N/A,#N/A,FALSE,"CNS";#N/A,#N/A,FALSE,"Serz";#N/A,#N/A,FALSE,"Ace"}</definedName>
    <definedName name="africa_3" localSheetId="6" hidden="1">{#N/A,#N/A,FALSE,"CNS";#N/A,#N/A,FALSE,"Serz";#N/A,#N/A,FALSE,"Ace"}</definedName>
    <definedName name="africa_3" hidden="1">{#N/A,#N/A,FALSE,"CNS";#N/A,#N/A,FALSE,"Serz";#N/A,#N/A,FALSE,"Ace"}</definedName>
    <definedName name="africa_4" localSheetId="0" hidden="1">{#N/A,#N/A,FALSE,"CNS";#N/A,#N/A,FALSE,"Serz";#N/A,#N/A,FALSE,"Ace"}</definedName>
    <definedName name="africa_4" localSheetId="6" hidden="1">{#N/A,#N/A,FALSE,"CNS";#N/A,#N/A,FALSE,"Serz";#N/A,#N/A,FALSE,"Ace"}</definedName>
    <definedName name="africa_4" hidden="1">{#N/A,#N/A,FALSE,"CNS";#N/A,#N/A,FALSE,"Serz";#N/A,#N/A,FALSE,"Ace"}</definedName>
    <definedName name="africa_5" localSheetId="0" hidden="1">{#N/A,#N/A,FALSE,"CNS";#N/A,#N/A,FALSE,"Serz";#N/A,#N/A,FALSE,"Ace"}</definedName>
    <definedName name="africa_5" localSheetId="6" hidden="1">{#N/A,#N/A,FALSE,"CNS";#N/A,#N/A,FALSE,"Serz";#N/A,#N/A,FALSE,"Ace"}</definedName>
    <definedName name="africa_5" hidden="1">{#N/A,#N/A,FALSE,"CNS";#N/A,#N/A,FALSE,"Serz";#N/A,#N/A,FALSE,"Ace"}</definedName>
    <definedName name="AFSDFSDFDG" localSheetId="6" hidden="1">{#N/A,#N/A,FALSE,"Aging Summary";#N/A,#N/A,FALSE,"Ratio Analysis";#N/A,#N/A,FALSE,"Test 120 Day Accts";#N/A,#N/A,FALSE,"Tickmarks"}</definedName>
    <definedName name="AFSDFSDFDG" hidden="1">{#N/A,#N/A,FALSE,"Aging Summary";#N/A,#N/A,FALSE,"Ratio Analysis";#N/A,#N/A,FALSE,"Test 120 Day Accts";#N/A,#N/A,FALSE,"Tickmarks"}</definedName>
    <definedName name="agafdhsdh" localSheetId="0" hidden="1">{#N/A,#N/A,FALSE,"REPORT"}</definedName>
    <definedName name="agafdhsdh" localSheetId="6" hidden="1">{#N/A,#N/A,FALSE,"REPORT"}</definedName>
    <definedName name="agafdhsdh" hidden="1">{#N/A,#N/A,FALSE,"REPORT"}</definedName>
    <definedName name="agafdhsdh_1" localSheetId="0" hidden="1">{#N/A,#N/A,FALSE,"REPORT"}</definedName>
    <definedName name="agafdhsdh_1" localSheetId="6" hidden="1">{#N/A,#N/A,FALSE,"REPORT"}</definedName>
    <definedName name="agafdhsdh_1" hidden="1">{#N/A,#N/A,FALSE,"REPORT"}</definedName>
    <definedName name="agafdhsdh_1_1" localSheetId="0" hidden="1">{#N/A,#N/A,FALSE,"REPORT"}</definedName>
    <definedName name="agafdhsdh_1_1" localSheetId="6" hidden="1">{#N/A,#N/A,FALSE,"REPORT"}</definedName>
    <definedName name="agafdhsdh_1_1" hidden="1">{#N/A,#N/A,FALSE,"REPORT"}</definedName>
    <definedName name="agafdhsdh_2" localSheetId="0" hidden="1">{#N/A,#N/A,FALSE,"REPORT"}</definedName>
    <definedName name="agafdhsdh_2" localSheetId="6" hidden="1">{#N/A,#N/A,FALSE,"REPORT"}</definedName>
    <definedName name="agafdhsdh_2" hidden="1">{#N/A,#N/A,FALSE,"REPORT"}</definedName>
    <definedName name="agafdhsdh_3" localSheetId="0" hidden="1">{#N/A,#N/A,FALSE,"REPORT"}</definedName>
    <definedName name="agafdhsdh_3" localSheetId="6" hidden="1">{#N/A,#N/A,FALSE,"REPORT"}</definedName>
    <definedName name="agafdhsdh_3" hidden="1">{#N/A,#N/A,FALSE,"REPORT"}</definedName>
    <definedName name="agafdhsdh_4" localSheetId="0" hidden="1">{#N/A,#N/A,FALSE,"REPORT"}</definedName>
    <definedName name="agafdhsdh_4" localSheetId="6" hidden="1">{#N/A,#N/A,FALSE,"REPORT"}</definedName>
    <definedName name="agafdhsdh_4" hidden="1">{#N/A,#N/A,FALSE,"REPORT"}</definedName>
    <definedName name="agafdhsdh_5" localSheetId="0" hidden="1">{#N/A,#N/A,FALSE,"REPORT"}</definedName>
    <definedName name="agafdhsdh_5" localSheetId="6" hidden="1">{#N/A,#N/A,FALSE,"REPORT"}</definedName>
    <definedName name="agafdhsdh_5" hidden="1">{#N/A,#N/A,FALSE,"REPORT"}</definedName>
    <definedName name="agag" localSheetId="0" hidden="1">{#N/A,#N/A,FALSE,"Aging Summary";#N/A,#N/A,FALSE,"Ratio Analysis";#N/A,#N/A,FALSE,"Test 120 Day Accts";#N/A,#N/A,FALSE,"Tickmarks"}</definedName>
    <definedName name="agag" localSheetId="6" hidden="1">{#N/A,#N/A,FALSE,"Aging Summary";#N/A,#N/A,FALSE,"Ratio Analysis";#N/A,#N/A,FALSE,"Test 120 Day Accts";#N/A,#N/A,FALSE,"Tickmarks"}</definedName>
    <definedName name="agag" hidden="1">{#N/A,#N/A,FALSE,"Aging Summary";#N/A,#N/A,FALSE,"Ratio Analysis";#N/A,#N/A,FALSE,"Test 120 Day Accts";#N/A,#N/A,FALSE,"Tickmarks"}</definedName>
    <definedName name="agagadsg" localSheetId="6" hidden="1">{#N/A,#N/A,FALSE,"Aging Summary";#N/A,#N/A,FALSE,"Ratio Analysis";#N/A,#N/A,FALSE,"Test 120 Day Accts";#N/A,#N/A,FALSE,"Tickmarks"}</definedName>
    <definedName name="agagadsg" hidden="1">{#N/A,#N/A,FALSE,"Aging Summary";#N/A,#N/A,FALSE,"Ratio Analysis";#N/A,#N/A,FALSE,"Test 120 Day Accts";#N/A,#N/A,FALSE,"Tickmarks"}</definedName>
    <definedName name="AGDA" hidden="1">#REF!</definedName>
    <definedName name="agfdg" localSheetId="0" hidden="1">{#N/A,#N/A,FALSE,"PMW Gruppe 99_98";#N/A,#N/A,FALSE,"PMW KG 98_99";#N/A,#N/A,FALSE,"PMW Inc. 99_98";#N/A,#N/A,FALSE,"PMW VTECH 99_98";#N/A,#N/A,FALSE,"PMW Thail. 99_98";#N/A,#N/A,FALSE,"PMW Canada 99_98";#N/A,#N/A,FALSE,"Währungsabw. 99_98"}</definedName>
    <definedName name="agfdg" localSheetId="6" hidden="1">{#N/A,#N/A,FALSE,"PMW Gruppe 99_98";#N/A,#N/A,FALSE,"PMW KG 98_99";#N/A,#N/A,FALSE,"PMW Inc. 99_98";#N/A,#N/A,FALSE,"PMW VTECH 99_98";#N/A,#N/A,FALSE,"PMW Thail. 99_98";#N/A,#N/A,FALSE,"PMW Canada 99_98";#N/A,#N/A,FALSE,"Währungsabw. 99_98"}</definedName>
    <definedName name="agfdg" hidden="1">{#N/A,#N/A,FALSE,"PMW Gruppe 99_98";#N/A,#N/A,FALSE,"PMW KG 98_99";#N/A,#N/A,FALSE,"PMW Inc. 99_98";#N/A,#N/A,FALSE,"PMW VTECH 99_98";#N/A,#N/A,FALSE,"PMW Thail. 99_98";#N/A,#N/A,FALSE,"PMW Canada 99_98";#N/A,#N/A,FALSE,"Währungsabw. 99_98"}</definedName>
    <definedName name="agfdg_1" localSheetId="0" hidden="1">{#N/A,#N/A,FALSE,"PMW Gruppe 99_98";#N/A,#N/A,FALSE,"PMW KG 98_99";#N/A,#N/A,FALSE,"PMW Inc. 99_98";#N/A,#N/A,FALSE,"PMW VTECH 99_98";#N/A,#N/A,FALSE,"PMW Thail. 99_98";#N/A,#N/A,FALSE,"PMW Canada 99_98";#N/A,#N/A,FALSE,"Währungsabw. 99_98"}</definedName>
    <definedName name="agfdg_1" localSheetId="6" hidden="1">{#N/A,#N/A,FALSE,"PMW Gruppe 99_98";#N/A,#N/A,FALSE,"PMW KG 98_99";#N/A,#N/A,FALSE,"PMW Inc. 99_98";#N/A,#N/A,FALSE,"PMW VTECH 99_98";#N/A,#N/A,FALSE,"PMW Thail. 99_98";#N/A,#N/A,FALSE,"PMW Canada 99_98";#N/A,#N/A,FALSE,"Währungsabw. 99_98"}</definedName>
    <definedName name="agfdg_1" hidden="1">{#N/A,#N/A,FALSE,"PMW Gruppe 99_98";#N/A,#N/A,FALSE,"PMW KG 98_99";#N/A,#N/A,FALSE,"PMW Inc. 99_98";#N/A,#N/A,FALSE,"PMW VTECH 99_98";#N/A,#N/A,FALSE,"PMW Thail. 99_98";#N/A,#N/A,FALSE,"PMW Canada 99_98";#N/A,#N/A,FALSE,"Währungsabw. 99_98"}</definedName>
    <definedName name="agfdg_1_1" localSheetId="0" hidden="1">{#N/A,#N/A,FALSE,"PMW Gruppe 99_98";#N/A,#N/A,FALSE,"PMW KG 98_99";#N/A,#N/A,FALSE,"PMW Inc. 99_98";#N/A,#N/A,FALSE,"PMW VTECH 99_98";#N/A,#N/A,FALSE,"PMW Thail. 99_98";#N/A,#N/A,FALSE,"PMW Canada 99_98";#N/A,#N/A,FALSE,"Währungsabw. 99_98"}</definedName>
    <definedName name="agfdg_1_1" localSheetId="6" hidden="1">{#N/A,#N/A,FALSE,"PMW Gruppe 99_98";#N/A,#N/A,FALSE,"PMW KG 98_99";#N/A,#N/A,FALSE,"PMW Inc. 99_98";#N/A,#N/A,FALSE,"PMW VTECH 99_98";#N/A,#N/A,FALSE,"PMW Thail. 99_98";#N/A,#N/A,FALSE,"PMW Canada 99_98";#N/A,#N/A,FALSE,"Währungsabw. 99_98"}</definedName>
    <definedName name="agfdg_1_1" hidden="1">{#N/A,#N/A,FALSE,"PMW Gruppe 99_98";#N/A,#N/A,FALSE,"PMW KG 98_99";#N/A,#N/A,FALSE,"PMW Inc. 99_98";#N/A,#N/A,FALSE,"PMW VTECH 99_98";#N/A,#N/A,FALSE,"PMW Thail. 99_98";#N/A,#N/A,FALSE,"PMW Canada 99_98";#N/A,#N/A,FALSE,"Währungsabw. 99_98"}</definedName>
    <definedName name="agfdg_2" localSheetId="0" hidden="1">{#N/A,#N/A,FALSE,"PMW Gruppe 99_98";#N/A,#N/A,FALSE,"PMW KG 98_99";#N/A,#N/A,FALSE,"PMW Inc. 99_98";#N/A,#N/A,FALSE,"PMW VTECH 99_98";#N/A,#N/A,FALSE,"PMW Thail. 99_98";#N/A,#N/A,FALSE,"PMW Canada 99_98";#N/A,#N/A,FALSE,"Währungsabw. 99_98"}</definedName>
    <definedName name="agfdg_2" localSheetId="6" hidden="1">{#N/A,#N/A,FALSE,"PMW Gruppe 99_98";#N/A,#N/A,FALSE,"PMW KG 98_99";#N/A,#N/A,FALSE,"PMW Inc. 99_98";#N/A,#N/A,FALSE,"PMW VTECH 99_98";#N/A,#N/A,FALSE,"PMW Thail. 99_98";#N/A,#N/A,FALSE,"PMW Canada 99_98";#N/A,#N/A,FALSE,"Währungsabw. 99_98"}</definedName>
    <definedName name="agfdg_2" hidden="1">{#N/A,#N/A,FALSE,"PMW Gruppe 99_98";#N/A,#N/A,FALSE,"PMW KG 98_99";#N/A,#N/A,FALSE,"PMW Inc. 99_98";#N/A,#N/A,FALSE,"PMW VTECH 99_98";#N/A,#N/A,FALSE,"PMW Thail. 99_98";#N/A,#N/A,FALSE,"PMW Canada 99_98";#N/A,#N/A,FALSE,"Währungsabw. 99_98"}</definedName>
    <definedName name="agfdg_3" localSheetId="0" hidden="1">{#N/A,#N/A,FALSE,"PMW Gruppe 99_98";#N/A,#N/A,FALSE,"PMW KG 98_99";#N/A,#N/A,FALSE,"PMW Inc. 99_98";#N/A,#N/A,FALSE,"PMW VTECH 99_98";#N/A,#N/A,FALSE,"PMW Thail. 99_98";#N/A,#N/A,FALSE,"PMW Canada 99_98";#N/A,#N/A,FALSE,"Währungsabw. 99_98"}</definedName>
    <definedName name="agfdg_3" localSheetId="6" hidden="1">{#N/A,#N/A,FALSE,"PMW Gruppe 99_98";#N/A,#N/A,FALSE,"PMW KG 98_99";#N/A,#N/A,FALSE,"PMW Inc. 99_98";#N/A,#N/A,FALSE,"PMW VTECH 99_98";#N/A,#N/A,FALSE,"PMW Thail. 99_98";#N/A,#N/A,FALSE,"PMW Canada 99_98";#N/A,#N/A,FALSE,"Währungsabw. 99_98"}</definedName>
    <definedName name="agfdg_3" hidden="1">{#N/A,#N/A,FALSE,"PMW Gruppe 99_98";#N/A,#N/A,FALSE,"PMW KG 98_99";#N/A,#N/A,FALSE,"PMW Inc. 99_98";#N/A,#N/A,FALSE,"PMW VTECH 99_98";#N/A,#N/A,FALSE,"PMW Thail. 99_98";#N/A,#N/A,FALSE,"PMW Canada 99_98";#N/A,#N/A,FALSE,"Währungsabw. 99_98"}</definedName>
    <definedName name="agfdg_4" localSheetId="0" hidden="1">{#N/A,#N/A,FALSE,"PMW Gruppe 99_98";#N/A,#N/A,FALSE,"PMW KG 98_99";#N/A,#N/A,FALSE,"PMW Inc. 99_98";#N/A,#N/A,FALSE,"PMW VTECH 99_98";#N/A,#N/A,FALSE,"PMW Thail. 99_98";#N/A,#N/A,FALSE,"PMW Canada 99_98";#N/A,#N/A,FALSE,"Währungsabw. 99_98"}</definedName>
    <definedName name="agfdg_4" localSheetId="6" hidden="1">{#N/A,#N/A,FALSE,"PMW Gruppe 99_98";#N/A,#N/A,FALSE,"PMW KG 98_99";#N/A,#N/A,FALSE,"PMW Inc. 99_98";#N/A,#N/A,FALSE,"PMW VTECH 99_98";#N/A,#N/A,FALSE,"PMW Thail. 99_98";#N/A,#N/A,FALSE,"PMW Canada 99_98";#N/A,#N/A,FALSE,"Währungsabw. 99_98"}</definedName>
    <definedName name="agfdg_4" hidden="1">{#N/A,#N/A,FALSE,"PMW Gruppe 99_98";#N/A,#N/A,FALSE,"PMW KG 98_99";#N/A,#N/A,FALSE,"PMW Inc. 99_98";#N/A,#N/A,FALSE,"PMW VTECH 99_98";#N/A,#N/A,FALSE,"PMW Thail. 99_98";#N/A,#N/A,FALSE,"PMW Canada 99_98";#N/A,#N/A,FALSE,"Währungsabw. 99_98"}</definedName>
    <definedName name="agfdg_5" localSheetId="0" hidden="1">{#N/A,#N/A,FALSE,"PMW Gruppe 99_98";#N/A,#N/A,FALSE,"PMW KG 98_99";#N/A,#N/A,FALSE,"PMW Inc. 99_98";#N/A,#N/A,FALSE,"PMW VTECH 99_98";#N/A,#N/A,FALSE,"PMW Thail. 99_98";#N/A,#N/A,FALSE,"PMW Canada 99_98";#N/A,#N/A,FALSE,"Währungsabw. 99_98"}</definedName>
    <definedName name="agfdg_5" localSheetId="6" hidden="1">{#N/A,#N/A,FALSE,"PMW Gruppe 99_98";#N/A,#N/A,FALSE,"PMW KG 98_99";#N/A,#N/A,FALSE,"PMW Inc. 99_98";#N/A,#N/A,FALSE,"PMW VTECH 99_98";#N/A,#N/A,FALSE,"PMW Thail. 99_98";#N/A,#N/A,FALSE,"PMW Canada 99_98";#N/A,#N/A,FALSE,"Währungsabw. 99_98"}</definedName>
    <definedName name="agfdg_5" hidden="1">{#N/A,#N/A,FALSE,"PMW Gruppe 99_98";#N/A,#N/A,FALSE,"PMW KG 98_99";#N/A,#N/A,FALSE,"PMW Inc. 99_98";#N/A,#N/A,FALSE,"PMW VTECH 99_98";#N/A,#N/A,FALSE,"PMW Thail. 99_98";#N/A,#N/A,FALSE,"PMW Canada 99_98";#N/A,#N/A,FALSE,"Währungsabw. 99_98"}</definedName>
    <definedName name="AGSDG" localSheetId="6" hidden="1">{#N/A,#N/A,TRUE,"FA 1 &amp; 2";#N/A,#N/A,TRUE,"FA 3 &amp; 4";#N/A,#N/A,TRUE,"FA 5 &amp; 6";#N/A,#N/A,TRUE,"FA 7 &amp; 8";#N/A,#N/A,TRUE,"FA 9 &amp; 10";#N/A,#N/A,TRUE,"FA 11";#N/A,#N/A,TRUE,"FA 12";#N/A,#N/A,TRUE,"FA 13";#N/A,#N/A,TRUE,"FA 14 &amp; 15"}</definedName>
    <definedName name="AGSDG" hidden="1">{#N/A,#N/A,TRUE,"FA 1 &amp; 2";#N/A,#N/A,TRUE,"FA 3 &amp; 4";#N/A,#N/A,TRUE,"FA 5 &amp; 6";#N/A,#N/A,TRUE,"FA 7 &amp; 8";#N/A,#N/A,TRUE,"FA 9 &amp; 10";#N/A,#N/A,TRUE,"FA 11";#N/A,#N/A,TRUE,"FA 12";#N/A,#N/A,TRUE,"FA 13";#N/A,#N/A,TRUE,"FA 14 &amp; 15"}</definedName>
    <definedName name="agsgaghgfj" localSheetId="0" hidden="1">{#N/A,#N/A,FALSE,"Pharm";#N/A,#N/A,FALSE,"WWCM"}</definedName>
    <definedName name="agsgaghgfj" localSheetId="6" hidden="1">{#N/A,#N/A,FALSE,"Pharm";#N/A,#N/A,FALSE,"WWCM"}</definedName>
    <definedName name="agsgaghgfj" hidden="1">{#N/A,#N/A,FALSE,"Pharm";#N/A,#N/A,FALSE,"WWCM"}</definedName>
    <definedName name="agsgaghgfj_1" localSheetId="0" hidden="1">{#N/A,#N/A,FALSE,"Pharm";#N/A,#N/A,FALSE,"WWCM"}</definedName>
    <definedName name="agsgaghgfj_1" localSheetId="6" hidden="1">{#N/A,#N/A,FALSE,"Pharm";#N/A,#N/A,FALSE,"WWCM"}</definedName>
    <definedName name="agsgaghgfj_1" hidden="1">{#N/A,#N/A,FALSE,"Pharm";#N/A,#N/A,FALSE,"WWCM"}</definedName>
    <definedName name="agsgaghgfj_1_1" localSheetId="0" hidden="1">{#N/A,#N/A,FALSE,"Pharm";#N/A,#N/A,FALSE,"WWCM"}</definedName>
    <definedName name="agsgaghgfj_1_1" localSheetId="6" hidden="1">{#N/A,#N/A,FALSE,"Pharm";#N/A,#N/A,FALSE,"WWCM"}</definedName>
    <definedName name="agsgaghgfj_1_1" hidden="1">{#N/A,#N/A,FALSE,"Pharm";#N/A,#N/A,FALSE,"WWCM"}</definedName>
    <definedName name="agsgaghgfj_2" localSheetId="0" hidden="1">{#N/A,#N/A,FALSE,"Pharm";#N/A,#N/A,FALSE,"WWCM"}</definedName>
    <definedName name="agsgaghgfj_2" localSheetId="6" hidden="1">{#N/A,#N/A,FALSE,"Pharm";#N/A,#N/A,FALSE,"WWCM"}</definedName>
    <definedName name="agsgaghgfj_2" hidden="1">{#N/A,#N/A,FALSE,"Pharm";#N/A,#N/A,FALSE,"WWCM"}</definedName>
    <definedName name="agsgaghgfj_3" localSheetId="0" hidden="1">{#N/A,#N/A,FALSE,"Pharm";#N/A,#N/A,FALSE,"WWCM"}</definedName>
    <definedName name="agsgaghgfj_3" localSheetId="6" hidden="1">{#N/A,#N/A,FALSE,"Pharm";#N/A,#N/A,FALSE,"WWCM"}</definedName>
    <definedName name="agsgaghgfj_3" hidden="1">{#N/A,#N/A,FALSE,"Pharm";#N/A,#N/A,FALSE,"WWCM"}</definedName>
    <definedName name="agsgaghgfj_4" localSheetId="0" hidden="1">{#N/A,#N/A,FALSE,"Pharm";#N/A,#N/A,FALSE,"WWCM"}</definedName>
    <definedName name="agsgaghgfj_4" localSheetId="6" hidden="1">{#N/A,#N/A,FALSE,"Pharm";#N/A,#N/A,FALSE,"WWCM"}</definedName>
    <definedName name="agsgaghgfj_4" hidden="1">{#N/A,#N/A,FALSE,"Pharm";#N/A,#N/A,FALSE,"WWCM"}</definedName>
    <definedName name="agsgaghgfj_5" localSheetId="0" hidden="1">{#N/A,#N/A,FALSE,"Pharm";#N/A,#N/A,FALSE,"WWCM"}</definedName>
    <definedName name="agsgaghgfj_5" localSheetId="6" hidden="1">{#N/A,#N/A,FALSE,"Pharm";#N/A,#N/A,FALSE,"WWCM"}</definedName>
    <definedName name="agsgaghgfj_5" hidden="1">{#N/A,#N/A,FALSE,"Pharm";#N/A,#N/A,FALSE,"WWCM"}</definedName>
    <definedName name="Ahmadabad" localSheetId="0" hidden="1">{#N/A,#N/A,FALSE,"Tabl. G1";#N/A,#N/A,FALSE,"Tabl. G2"}</definedName>
    <definedName name="Ahmadabad" localSheetId="6" hidden="1">{#N/A,#N/A,FALSE,"Tabl. G1";#N/A,#N/A,FALSE,"Tabl. G2"}</definedName>
    <definedName name="Ahmadabad" hidden="1">{#N/A,#N/A,FALSE,"Tabl. G1";#N/A,#N/A,FALSE,"Tabl. G2"}</definedName>
    <definedName name="aic" localSheetId="6" hidden="1">{#N/A,#N/A,FALSE,"EVA_RC"}</definedName>
    <definedName name="aic" hidden="1">{#N/A,#N/A,FALSE,"EVA_RC"}</definedName>
    <definedName name="Aida_2" localSheetId="0" hidden="1">{#N/A,#N/A,FALSE,"Finanzplan";#N/A,#N/A,FALSE,"Bilanz";#N/A,#N/A,FALSE,"GuV"}</definedName>
    <definedName name="Aida_2" localSheetId="6" hidden="1">{#N/A,#N/A,FALSE,"Finanzplan";#N/A,#N/A,FALSE,"Bilanz";#N/A,#N/A,FALSE,"GuV"}</definedName>
    <definedName name="Aida_2" hidden="1">{#N/A,#N/A,FALSE,"Finanzplan";#N/A,#N/A,FALSE,"Bilanz";#N/A,#N/A,FALSE,"GuV"}</definedName>
    <definedName name="Aida_4" localSheetId="0" hidden="1">{#N/A,#N/A,FALSE,"Finanzplan";#N/A,#N/A,FALSE,"Bilanz";#N/A,#N/A,FALSE,"GuV"}</definedName>
    <definedName name="Aida_4" localSheetId="6" hidden="1">{#N/A,#N/A,FALSE,"Finanzplan";#N/A,#N/A,FALSE,"Bilanz";#N/A,#N/A,FALSE,"GuV"}</definedName>
    <definedName name="Aida_4" hidden="1">{#N/A,#N/A,FALSE,"Finanzplan";#N/A,#N/A,FALSE,"Bilanz";#N/A,#N/A,FALSE,"GuV"}</definedName>
    <definedName name="aj" localSheetId="6" hidden="1">{#N/A,#N/A,FALSE,"HCA";#N/A,#N/A,FALSE,"Revenue";#N/A,#N/A,FALSE,"Opex";#N/A,#N/A,FALSE,"AMP"}</definedName>
    <definedName name="aj" hidden="1">{#N/A,#N/A,FALSE,"HCA";#N/A,#N/A,FALSE,"Revenue";#N/A,#N/A,FALSE,"Opex";#N/A,#N/A,FALSE,"AMP"}</definedName>
    <definedName name="Ajax" localSheetId="0" hidden="1">{#N/A,#N/A,TRUE,"Pro Forma";#N/A,#N/A,TRUE,"PF_Bal";#N/A,#N/A,TRUE,"PF_INC";#N/A,#N/A,TRUE,"CBE";#N/A,#N/A,TRUE,"SWK"}</definedName>
    <definedName name="Ajax" localSheetId="6" hidden="1">{#N/A,#N/A,TRUE,"Pro Forma";#N/A,#N/A,TRUE,"PF_Bal";#N/A,#N/A,TRUE,"PF_INC";#N/A,#N/A,TRUE,"CBE";#N/A,#N/A,TRUE,"SWK"}</definedName>
    <definedName name="Ajax" hidden="1">{#N/A,#N/A,TRUE,"Pro Forma";#N/A,#N/A,TRUE,"PF_Bal";#N/A,#N/A,TRUE,"PF_INC";#N/A,#N/A,TRUE,"CBE";#N/A,#N/A,TRUE,"SWK"}</definedName>
    <definedName name="ajdkf"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ajdkf"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Ajit" hidden="1">#REF!</definedName>
    <definedName name="ajit2" hidden="1">#REF!</definedName>
    <definedName name="ajjsjd" hidden="1">#REF!</definedName>
    <definedName name="ale" hidden="1">#REF!</definedName>
    <definedName name="alex" localSheetId="0" hidden="1">{#N/A,#N/A,FALSE,"REPORT"}</definedName>
    <definedName name="alex" localSheetId="6" hidden="1">{#N/A,#N/A,FALSE,"REPORT"}</definedName>
    <definedName name="alex" hidden="1">{#N/A,#N/A,FALSE,"REPORT"}</definedName>
    <definedName name="alex_1" localSheetId="0" hidden="1">{#N/A,#N/A,FALSE,"REPORT"}</definedName>
    <definedName name="alex_1" localSheetId="6" hidden="1">{#N/A,#N/A,FALSE,"REPORT"}</definedName>
    <definedName name="alex_1" hidden="1">{#N/A,#N/A,FALSE,"REPORT"}</definedName>
    <definedName name="alex_1_1" localSheetId="0" hidden="1">{#N/A,#N/A,FALSE,"REPORT"}</definedName>
    <definedName name="alex_1_1" localSheetId="6" hidden="1">{#N/A,#N/A,FALSE,"REPORT"}</definedName>
    <definedName name="alex_1_1" hidden="1">{#N/A,#N/A,FALSE,"REPORT"}</definedName>
    <definedName name="alex_2" localSheetId="0" hidden="1">{#N/A,#N/A,FALSE,"REPORT"}</definedName>
    <definedName name="alex_2" localSheetId="6" hidden="1">{#N/A,#N/A,FALSE,"REPORT"}</definedName>
    <definedName name="alex_2" hidden="1">{#N/A,#N/A,FALSE,"REPORT"}</definedName>
    <definedName name="alex_3" localSheetId="0" hidden="1">{#N/A,#N/A,FALSE,"REPORT"}</definedName>
    <definedName name="alex_3" localSheetId="6" hidden="1">{#N/A,#N/A,FALSE,"REPORT"}</definedName>
    <definedName name="alex_3" hidden="1">{#N/A,#N/A,FALSE,"REPORT"}</definedName>
    <definedName name="alex_4" localSheetId="0" hidden="1">{#N/A,#N/A,FALSE,"REPORT"}</definedName>
    <definedName name="alex_4" localSheetId="6" hidden="1">{#N/A,#N/A,FALSE,"REPORT"}</definedName>
    <definedName name="alex_4" hidden="1">{#N/A,#N/A,FALSE,"REPORT"}</definedName>
    <definedName name="alex_5" localSheetId="0" hidden="1">{#N/A,#N/A,FALSE,"REPORT"}</definedName>
    <definedName name="alex_5" localSheetId="6" hidden="1">{#N/A,#N/A,FALSE,"REPORT"}</definedName>
    <definedName name="alex_5" hidden="1">{#N/A,#N/A,FALSE,"REPORT"}</definedName>
    <definedName name="alexan" localSheetId="0" hidden="1">{#N/A,#N/A,FALSE,"REPORT"}</definedName>
    <definedName name="alexan" localSheetId="6" hidden="1">{#N/A,#N/A,FALSE,"REPORT"}</definedName>
    <definedName name="alexan" hidden="1">{#N/A,#N/A,FALSE,"REPORT"}</definedName>
    <definedName name="alexan_1" localSheetId="0" hidden="1">{#N/A,#N/A,FALSE,"REPORT"}</definedName>
    <definedName name="alexan_1" localSheetId="6" hidden="1">{#N/A,#N/A,FALSE,"REPORT"}</definedName>
    <definedName name="alexan_1" hidden="1">{#N/A,#N/A,FALSE,"REPORT"}</definedName>
    <definedName name="alexan_1_1" localSheetId="0" hidden="1">{#N/A,#N/A,FALSE,"REPORT"}</definedName>
    <definedName name="alexan_1_1" localSheetId="6" hidden="1">{#N/A,#N/A,FALSE,"REPORT"}</definedName>
    <definedName name="alexan_1_1" hidden="1">{#N/A,#N/A,FALSE,"REPORT"}</definedName>
    <definedName name="alexan_2" localSheetId="0" hidden="1">{#N/A,#N/A,FALSE,"REPORT"}</definedName>
    <definedName name="alexan_2" localSheetId="6" hidden="1">{#N/A,#N/A,FALSE,"REPORT"}</definedName>
    <definedName name="alexan_2" hidden="1">{#N/A,#N/A,FALSE,"REPORT"}</definedName>
    <definedName name="alexan_3" localSheetId="0" hidden="1">{#N/A,#N/A,FALSE,"REPORT"}</definedName>
    <definedName name="alexan_3" localSheetId="6" hidden="1">{#N/A,#N/A,FALSE,"REPORT"}</definedName>
    <definedName name="alexan_3" hidden="1">{#N/A,#N/A,FALSE,"REPORT"}</definedName>
    <definedName name="alexan_4" localSheetId="0" hidden="1">{#N/A,#N/A,FALSE,"REPORT"}</definedName>
    <definedName name="alexan_4" localSheetId="6" hidden="1">{#N/A,#N/A,FALSE,"REPORT"}</definedName>
    <definedName name="alexan_4" hidden="1">{#N/A,#N/A,FALSE,"REPORT"}</definedName>
    <definedName name="alexan_5" localSheetId="0" hidden="1">{#N/A,#N/A,FALSE,"REPORT"}</definedName>
    <definedName name="alexan_5" localSheetId="6" hidden="1">{#N/A,#N/A,FALSE,"REPORT"}</definedName>
    <definedName name="alexan_5" hidden="1">{#N/A,#N/A,FALSE,"REPORT"}</definedName>
    <definedName name="Algeria">#REF!</definedName>
    <definedName name="AlgeriaBS">#REF!</definedName>
    <definedName name="Algr">#REF!</definedName>
    <definedName name="ALJR">#REF!</definedName>
    <definedName name="Aljr04ymSales">#REF!</definedName>
    <definedName name="Aljr05ynSales">#REF!</definedName>
    <definedName name="ALKHSHDKJHALKFJW" localSheetId="6" hidden="1">{"VIEW1",#N/A,FALSE,"P&amp;L Account 2001-2002";"VIEW2",#N/A,FALSE,"P&amp;L Account 2001-2002";"VIEW3",#N/A,FALSE,"P&amp;L Account 2001-2002";"VIEW4",#N/A,FALSE,"P&amp;L Account 2001-2002"}</definedName>
    <definedName name="ALKHSHDKJHALKFJW" hidden="1">{"VIEW1",#N/A,FALSE,"P&amp;L Account 2001-2002";"VIEW2",#N/A,FALSE,"P&amp;L Account 2001-2002";"VIEW3",#N/A,FALSE,"P&amp;L Account 2001-2002";"VIEW4",#N/A,FALSE,"P&amp;L Account 2001-2002"}</definedName>
    <definedName name="ALL" hidden="1">#REF!</definedName>
    <definedName name="All_Data_from_AS400_Query___New__">#REF!</definedName>
    <definedName name="all_data_from_as400_query_new_tamer">#REF!</definedName>
    <definedName name="All_Divisions" hidden="1">#REF!</definedName>
    <definedName name="ALLGROUPS" hidden="1">#REF!</definedName>
    <definedName name="älll" localSheetId="0" hidden="1">{#N/A,#N/A,FALSE,"Produkte Erw.";#N/A,#N/A,FALSE,"Produkte Plan";#N/A,#N/A,FALSE,"Leistungen Erw.";#N/A,#N/A,FALSE,"Leistungen Plan";#N/A,#N/A,FALSE,"KA Allg.Kosten (2)";#N/A,#N/A,FALSE,"KA All.Kosten"}</definedName>
    <definedName name="älll" localSheetId="6" hidden="1">{#N/A,#N/A,FALSE,"Produkte Erw.";#N/A,#N/A,FALSE,"Produkte Plan";#N/A,#N/A,FALSE,"Leistungen Erw.";#N/A,#N/A,FALSE,"Leistungen Plan";#N/A,#N/A,FALSE,"KA Allg.Kosten (2)";#N/A,#N/A,FALSE,"KA All.Kosten"}</definedName>
    <definedName name="älll" hidden="1">{#N/A,#N/A,FALSE,"Produkte Erw.";#N/A,#N/A,FALSE,"Produkte Plan";#N/A,#N/A,FALSE,"Leistungen Erw.";#N/A,#N/A,FALSE,"Leistungen Plan";#N/A,#N/A,FALSE,"KA Allg.Kosten (2)";#N/A,#N/A,FALSE,"KA All.Kosten"}</definedName>
    <definedName name="älll_1" localSheetId="0" hidden="1">{#N/A,#N/A,FALSE,"Produkte Erw.";#N/A,#N/A,FALSE,"Produkte Plan";#N/A,#N/A,FALSE,"Leistungen Erw.";#N/A,#N/A,FALSE,"Leistungen Plan";#N/A,#N/A,FALSE,"KA Allg.Kosten (2)";#N/A,#N/A,FALSE,"KA All.Kosten"}</definedName>
    <definedName name="älll_1" localSheetId="6" hidden="1">{#N/A,#N/A,FALSE,"Produkte Erw.";#N/A,#N/A,FALSE,"Produkte Plan";#N/A,#N/A,FALSE,"Leistungen Erw.";#N/A,#N/A,FALSE,"Leistungen Plan";#N/A,#N/A,FALSE,"KA Allg.Kosten (2)";#N/A,#N/A,FALSE,"KA All.Kosten"}</definedName>
    <definedName name="älll_1" hidden="1">{#N/A,#N/A,FALSE,"Produkte Erw.";#N/A,#N/A,FALSE,"Produkte Plan";#N/A,#N/A,FALSE,"Leistungen Erw.";#N/A,#N/A,FALSE,"Leistungen Plan";#N/A,#N/A,FALSE,"KA Allg.Kosten (2)";#N/A,#N/A,FALSE,"KA All.Kosten"}</definedName>
    <definedName name="älll_1_1" localSheetId="0" hidden="1">{#N/A,#N/A,FALSE,"Produkte Erw.";#N/A,#N/A,FALSE,"Produkte Plan";#N/A,#N/A,FALSE,"Leistungen Erw.";#N/A,#N/A,FALSE,"Leistungen Plan";#N/A,#N/A,FALSE,"KA Allg.Kosten (2)";#N/A,#N/A,FALSE,"KA All.Kosten"}</definedName>
    <definedName name="älll_1_1" localSheetId="6" hidden="1">{#N/A,#N/A,FALSE,"Produkte Erw.";#N/A,#N/A,FALSE,"Produkte Plan";#N/A,#N/A,FALSE,"Leistungen Erw.";#N/A,#N/A,FALSE,"Leistungen Plan";#N/A,#N/A,FALSE,"KA Allg.Kosten (2)";#N/A,#N/A,FALSE,"KA All.Kosten"}</definedName>
    <definedName name="älll_1_1" hidden="1">{#N/A,#N/A,FALSE,"Produkte Erw.";#N/A,#N/A,FALSE,"Produkte Plan";#N/A,#N/A,FALSE,"Leistungen Erw.";#N/A,#N/A,FALSE,"Leistungen Plan";#N/A,#N/A,FALSE,"KA Allg.Kosten (2)";#N/A,#N/A,FALSE,"KA All.Kosten"}</definedName>
    <definedName name="älll_2" localSheetId="0" hidden="1">{#N/A,#N/A,FALSE,"Produkte Erw.";#N/A,#N/A,FALSE,"Produkte Plan";#N/A,#N/A,FALSE,"Leistungen Erw.";#N/A,#N/A,FALSE,"Leistungen Plan";#N/A,#N/A,FALSE,"KA Allg.Kosten (2)";#N/A,#N/A,FALSE,"KA All.Kosten"}</definedName>
    <definedName name="älll_2" localSheetId="6" hidden="1">{#N/A,#N/A,FALSE,"Produkte Erw.";#N/A,#N/A,FALSE,"Produkte Plan";#N/A,#N/A,FALSE,"Leistungen Erw.";#N/A,#N/A,FALSE,"Leistungen Plan";#N/A,#N/A,FALSE,"KA Allg.Kosten (2)";#N/A,#N/A,FALSE,"KA All.Kosten"}</definedName>
    <definedName name="älll_2" hidden="1">{#N/A,#N/A,FALSE,"Produkte Erw.";#N/A,#N/A,FALSE,"Produkte Plan";#N/A,#N/A,FALSE,"Leistungen Erw.";#N/A,#N/A,FALSE,"Leistungen Plan";#N/A,#N/A,FALSE,"KA Allg.Kosten (2)";#N/A,#N/A,FALSE,"KA All.Kosten"}</definedName>
    <definedName name="älll_3" localSheetId="0" hidden="1">{#N/A,#N/A,FALSE,"Produkte Erw.";#N/A,#N/A,FALSE,"Produkte Plan";#N/A,#N/A,FALSE,"Leistungen Erw.";#N/A,#N/A,FALSE,"Leistungen Plan";#N/A,#N/A,FALSE,"KA Allg.Kosten (2)";#N/A,#N/A,FALSE,"KA All.Kosten"}</definedName>
    <definedName name="älll_3" localSheetId="6" hidden="1">{#N/A,#N/A,FALSE,"Produkte Erw.";#N/A,#N/A,FALSE,"Produkte Plan";#N/A,#N/A,FALSE,"Leistungen Erw.";#N/A,#N/A,FALSE,"Leistungen Plan";#N/A,#N/A,FALSE,"KA Allg.Kosten (2)";#N/A,#N/A,FALSE,"KA All.Kosten"}</definedName>
    <definedName name="älll_3" hidden="1">{#N/A,#N/A,FALSE,"Produkte Erw.";#N/A,#N/A,FALSE,"Produkte Plan";#N/A,#N/A,FALSE,"Leistungen Erw.";#N/A,#N/A,FALSE,"Leistungen Plan";#N/A,#N/A,FALSE,"KA Allg.Kosten (2)";#N/A,#N/A,FALSE,"KA All.Kosten"}</definedName>
    <definedName name="älll_4" localSheetId="0" hidden="1">{#N/A,#N/A,FALSE,"Produkte Erw.";#N/A,#N/A,FALSE,"Produkte Plan";#N/A,#N/A,FALSE,"Leistungen Erw.";#N/A,#N/A,FALSE,"Leistungen Plan";#N/A,#N/A,FALSE,"KA Allg.Kosten (2)";#N/A,#N/A,FALSE,"KA All.Kosten"}</definedName>
    <definedName name="älll_4" localSheetId="6" hidden="1">{#N/A,#N/A,FALSE,"Produkte Erw.";#N/A,#N/A,FALSE,"Produkte Plan";#N/A,#N/A,FALSE,"Leistungen Erw.";#N/A,#N/A,FALSE,"Leistungen Plan";#N/A,#N/A,FALSE,"KA Allg.Kosten (2)";#N/A,#N/A,FALSE,"KA All.Kosten"}</definedName>
    <definedName name="älll_4" hidden="1">{#N/A,#N/A,FALSE,"Produkte Erw.";#N/A,#N/A,FALSE,"Produkte Plan";#N/A,#N/A,FALSE,"Leistungen Erw.";#N/A,#N/A,FALSE,"Leistungen Plan";#N/A,#N/A,FALSE,"KA Allg.Kosten (2)";#N/A,#N/A,FALSE,"KA All.Kosten"}</definedName>
    <definedName name="älll_5" localSheetId="0" hidden="1">{#N/A,#N/A,FALSE,"Produkte Erw.";#N/A,#N/A,FALSE,"Produkte Plan";#N/A,#N/A,FALSE,"Leistungen Erw.";#N/A,#N/A,FALSE,"Leistungen Plan";#N/A,#N/A,FALSE,"KA Allg.Kosten (2)";#N/A,#N/A,FALSE,"KA All.Kosten"}</definedName>
    <definedName name="älll_5" localSheetId="6" hidden="1">{#N/A,#N/A,FALSE,"Produkte Erw.";#N/A,#N/A,FALSE,"Produkte Plan";#N/A,#N/A,FALSE,"Leistungen Erw.";#N/A,#N/A,FALSE,"Leistungen Plan";#N/A,#N/A,FALSE,"KA Allg.Kosten (2)";#N/A,#N/A,FALSE,"KA All.Kosten"}</definedName>
    <definedName name="älll_5" hidden="1">{#N/A,#N/A,FALSE,"Produkte Erw.";#N/A,#N/A,FALSE,"Produkte Plan";#N/A,#N/A,FALSE,"Leistungen Erw.";#N/A,#N/A,FALSE,"Leistungen Plan";#N/A,#N/A,FALSE,"KA Allg.Kosten (2)";#N/A,#N/A,FALSE,"KA All.Kosten"}</definedName>
    <definedName name="allocation" localSheetId="0" hidden="1">{#N/A,#N/A,FALSE,"Aging Summary";#N/A,#N/A,FALSE,"Ratio Analysis";#N/A,#N/A,FALSE,"Test 120 Day Accts";#N/A,#N/A,FALSE,"Tickmarks"}</definedName>
    <definedName name="allocation" localSheetId="6" hidden="1">{#N/A,#N/A,FALSE,"Aging Summary";#N/A,#N/A,FALSE,"Ratio Analysis";#N/A,#N/A,FALSE,"Test 120 Day Accts";#N/A,#N/A,FALSE,"Tickmarks"}</definedName>
    <definedName name="allocation" hidden="1">{#N/A,#N/A,FALSE,"Aging Summary";#N/A,#N/A,FALSE,"Ratio Analysis";#N/A,#N/A,FALSE,"Test 120 Day Accts";#N/A,#N/A,FALSE,"Tickmarks"}</definedName>
    <definedName name="allocation_1" localSheetId="0" hidden="1">{#N/A,#N/A,FALSE,"Aging Summary";#N/A,#N/A,FALSE,"Ratio Analysis";#N/A,#N/A,FALSE,"Test 120 Day Accts";#N/A,#N/A,FALSE,"Tickmarks"}</definedName>
    <definedName name="allocation_1" localSheetId="6" hidden="1">{#N/A,#N/A,FALSE,"Aging Summary";#N/A,#N/A,FALSE,"Ratio Analysis";#N/A,#N/A,FALSE,"Test 120 Day Accts";#N/A,#N/A,FALSE,"Tickmarks"}</definedName>
    <definedName name="allocation_1" hidden="1">{#N/A,#N/A,FALSE,"Aging Summary";#N/A,#N/A,FALSE,"Ratio Analysis";#N/A,#N/A,FALSE,"Test 120 Day Accts";#N/A,#N/A,FALSE,"Tickmarks"}</definedName>
    <definedName name="allow1">#REF!</definedName>
    <definedName name="allow2">#REF!</definedName>
    <definedName name="Alpesh2" hidden="1">#REF!</definedName>
    <definedName name="alpeshS" hidden="1">#REF!</definedName>
    <definedName name="AlpineWarranty">#REF!</definedName>
    <definedName name="ALTERBEREICH" localSheetId="4" hidden="1">Main.SAPF4Help()</definedName>
    <definedName name="ALTERBEREICH" localSheetId="0" hidden="1">Main.SAPF4Help()</definedName>
    <definedName name="ALTERBEREICH" localSheetId="2" hidden="1">Main.SAPF4Help()</definedName>
    <definedName name="ALTERBEREICH" localSheetId="6" hidden="1">Main.SAPF4Help()</definedName>
    <definedName name="ALTERBEREICH" hidden="1">Main.SAPF4Help()</definedName>
    <definedName name="alx" localSheetId="6" hidden="1">{"year1",#N/A,FALSE,"IZT";"year2",#N/A,FALSE,"IZT"}</definedName>
    <definedName name="alx" hidden="1">{"year1",#N/A,FALSE,"IZT";"year2",#N/A,FALSE,"IZT"}</definedName>
    <definedName name="Ameesh" localSheetId="0" hidden="1">{#N/A,#N/A,TRUE,"Pro Forma";#N/A,#N/A,TRUE,"PF_Bal";#N/A,#N/A,TRUE,"PF_INC";#N/A,#N/A,TRUE,"CBE";#N/A,#N/A,TRUE,"SWK"}</definedName>
    <definedName name="Ameesh" localSheetId="6" hidden="1">{#N/A,#N/A,TRUE,"Pro Forma";#N/A,#N/A,TRUE,"PF_Bal";#N/A,#N/A,TRUE,"PF_INC";#N/A,#N/A,TRUE,"CBE";#N/A,#N/A,TRUE,"SWK"}</definedName>
    <definedName name="Ameesh" hidden="1">{#N/A,#N/A,TRUE,"Pro Forma";#N/A,#N/A,TRUE,"PF_Bal";#N/A,#N/A,TRUE,"PF_INC";#N/A,#N/A,TRUE,"CBE";#N/A,#N/A,TRUE,"SWK"}</definedName>
    <definedName name="AMIT" localSheetId="6" hidden="1">{"VIEW1",#N/A,FALSE,"P&amp;L Account 2001-2002";"VIEW2",#N/A,FALSE,"P&amp;L Account 2001-2002";"VIEW3",#N/A,FALSE,"P&amp;L Account 2001-2002";"VIEW4",#N/A,FALSE,"P&amp;L Account 2001-2002"}</definedName>
    <definedName name="AMIT" hidden="1">{"VIEW1",#N/A,FALSE,"P&amp;L Account 2001-2002";"VIEW2",#N/A,FALSE,"P&amp;L Account 2001-2002";"VIEW3",#N/A,FALSE,"P&amp;L Account 2001-2002";"VIEW4",#N/A,FALSE,"P&amp;L Account 2001-2002"}</definedName>
    <definedName name="AMOR" localSheetId="0" hidden="1">{"'INDICE'!$A$1:$K$13","'1'!$A$1:$CC$78","'2'!$A$1:$P$78","'3'!$A$1:$CI$78","'4'!$A$1:$Q$78"}</definedName>
    <definedName name="AMOR" localSheetId="6" hidden="1">{"'INDICE'!$A$1:$K$13","'1'!$A$1:$CC$78","'2'!$A$1:$P$78","'3'!$A$1:$CI$78","'4'!$A$1:$Q$78"}</definedName>
    <definedName name="AMOR" hidden="1">{"'INDICE'!$A$1:$K$13","'1'!$A$1:$CC$78","'2'!$A$1:$P$78","'3'!$A$1:$CI$78","'4'!$A$1:$Q$78"}</definedName>
    <definedName name="Amort_Life">#REF!</definedName>
    <definedName name="AMORTIZATION" hidden="1">"AMORTIZATION"</definedName>
    <definedName name="amr" localSheetId="0" hidden="1">{#N/A,#N/A,TRUE,"PROFIT 11-95"}</definedName>
    <definedName name="amr" localSheetId="6" hidden="1">{#N/A,#N/A,TRUE,"PROFIT 11-95"}</definedName>
    <definedName name="amr" hidden="1">{#N/A,#N/A,TRUE,"PROFIT 11-95"}</definedName>
    <definedName name="anabel" localSheetId="6" hidden="1">{#N/A,#N/A,FALSE,"Eastern";#N/A,#N/A,FALSE,"Western"}</definedName>
    <definedName name="anabel" hidden="1">{#N/A,#N/A,FALSE,"Eastern";#N/A,#N/A,FALSE,"Western"}</definedName>
    <definedName name="Analysis" localSheetId="0" hidden="1">{#N/A,#N/A,FALSE,"Tabl. A1";#N/A,#N/A,FALSE,"Tabl. A1 b";#N/A,#N/A,FALSE,"Tabl. A2";#N/A,#N/A,FALSE,"Tabl. A2-1";#N/A,#N/A,FALSE,"Tabl. A2-2"}</definedName>
    <definedName name="Analysis" localSheetId="6" hidden="1">{#N/A,#N/A,FALSE,"Tabl. A1";#N/A,#N/A,FALSE,"Tabl. A1 b";#N/A,#N/A,FALSE,"Tabl. A2";#N/A,#N/A,FALSE,"Tabl. A2-1";#N/A,#N/A,FALSE,"Tabl. A2-2"}</definedName>
    <definedName name="Analysis" hidden="1">{#N/A,#N/A,FALSE,"Tabl. A1";#N/A,#N/A,FALSE,"Tabl. A1 b";#N/A,#N/A,FALSE,"Tabl. A2";#N/A,#N/A,FALSE,"Tabl. A2-1";#N/A,#N/A,FALSE,"Tabl. A2-2"}</definedName>
    <definedName name="Analyst" hidden="1">#REF!</definedName>
    <definedName name="ANDREAS" hidden="1">#REF!</definedName>
    <definedName name="andy" localSheetId="0" hidden="1">{#N/A,#N/A,FALSE,"REPORT"}</definedName>
    <definedName name="andy" localSheetId="6" hidden="1">{#N/A,#N/A,FALSE,"REPORT"}</definedName>
    <definedName name="andy" hidden="1">{#N/A,#N/A,FALSE,"REPORT"}</definedName>
    <definedName name="andy_1" localSheetId="0" hidden="1">{#N/A,#N/A,FALSE,"REPORT"}</definedName>
    <definedName name="andy_1" localSheetId="6" hidden="1">{#N/A,#N/A,FALSE,"REPORT"}</definedName>
    <definedName name="andy_1" hidden="1">{#N/A,#N/A,FALSE,"REPORT"}</definedName>
    <definedName name="andy_1_1" localSheetId="0" hidden="1">{#N/A,#N/A,FALSE,"REPORT"}</definedName>
    <definedName name="andy_1_1" localSheetId="6" hidden="1">{#N/A,#N/A,FALSE,"REPORT"}</definedName>
    <definedName name="andy_1_1" hidden="1">{#N/A,#N/A,FALSE,"REPORT"}</definedName>
    <definedName name="andy_2" localSheetId="0" hidden="1">{#N/A,#N/A,FALSE,"REPORT"}</definedName>
    <definedName name="andy_2" localSheetId="6" hidden="1">{#N/A,#N/A,FALSE,"REPORT"}</definedName>
    <definedName name="andy_2" hidden="1">{#N/A,#N/A,FALSE,"REPORT"}</definedName>
    <definedName name="andy_3" localSheetId="0" hidden="1">{#N/A,#N/A,FALSE,"REPORT"}</definedName>
    <definedName name="andy_3" localSheetId="6" hidden="1">{#N/A,#N/A,FALSE,"REPORT"}</definedName>
    <definedName name="andy_3" hidden="1">{#N/A,#N/A,FALSE,"REPORT"}</definedName>
    <definedName name="andy_4" localSheetId="0" hidden="1">{#N/A,#N/A,FALSE,"REPORT"}</definedName>
    <definedName name="andy_4" localSheetId="6" hidden="1">{#N/A,#N/A,FALSE,"REPORT"}</definedName>
    <definedName name="andy_4" hidden="1">{#N/A,#N/A,FALSE,"REPORT"}</definedName>
    <definedName name="andy_5" localSheetId="0" hidden="1">{#N/A,#N/A,FALSE,"REPORT"}</definedName>
    <definedName name="andy_5" localSheetId="6" hidden="1">{#N/A,#N/A,FALSE,"REPORT"}</definedName>
    <definedName name="andy_5" hidden="1">{#N/A,#N/A,FALSE,"REPORT"}</definedName>
    <definedName name="anew"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anew" hidden="1">{#N/A,#N/A,TRUE,"Sensonic";#N/A,#N/A,TRUE,"Combimeter";#N/A,#N/A,TRUE,"HKV";#N/A,#N/A,TRUE,"TV";#N/A,#N/A,TRUE,"WZ";#N/A,#N/A,TRUE,"PrepHeatCon";#N/A,#N/A,TRUE,"Sonstiges";#N/A,#N/A,TRUE,"Abrechnung";#N/A,#N/A,TRUE,"Investitionen";#N/A,#N/A,TRUE,"Personal";#N/A,#N/A,TRUE,"sonstige Kosten u. Erträge";#N/A,#N/A,TRUE,"BER";#N/A,#N/A,TRUE,"Monatsaufteilung Budget 1997"}</definedName>
    <definedName name="Anex"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Anex"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Anex"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ani" localSheetId="0" hidden="1">{#N/A,#N/A,FALSE,"PROFIT 11-95"}</definedName>
    <definedName name="ani" localSheetId="6" hidden="1">{#N/A,#N/A,FALSE,"PROFIT 11-95"}</definedName>
    <definedName name="ani" hidden="1">{#N/A,#N/A,FALSE,"PROFIT 11-95"}</definedName>
    <definedName name="ann" localSheetId="6" hidden="1">{#N/A,#N/A,FALSE,"Banksum";#N/A,#N/A,FALSE,"Banksum"}</definedName>
    <definedName name="ann" hidden="1">{#N/A,#N/A,FALSE,"Banksum";#N/A,#N/A,FALSE,"Banksum"}</definedName>
    <definedName name="annexure6revised"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annexure6revised"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annexure6revised"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Annx1" localSheetId="6" hidden="1">{#N/A,#N/A,FALSE,"Banksum";#N/A,#N/A,FALSE,"Banksum"}</definedName>
    <definedName name="Annx1" hidden="1">{#N/A,#N/A,FALSE,"Banksum";#N/A,#N/A,FALSE,"Banksum"}</definedName>
    <definedName name="anscount" localSheetId="0" hidden="1">1</definedName>
    <definedName name="anscount" hidden="1">2</definedName>
    <definedName name="anscount_1" hidden="1">2</definedName>
    <definedName name="anthony" localSheetId="0"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nthony" localSheetId="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nthony"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antonio" localSheetId="0" hidden="1">{#N/A,#N/A,FALSE,"Work progress mensile";#N/A,#N/A,FALSE,"Work progress mensile IE1"}</definedName>
    <definedName name="antonio" localSheetId="6" hidden="1">{#N/A,#N/A,FALSE,"Work progress mensile";#N/A,#N/A,FALSE,"Work progress mensile IE1"}</definedName>
    <definedName name="antonio" hidden="1">{#N/A,#N/A,FALSE,"Work progress mensile";#N/A,#N/A,FALSE,"Work progress mensile IE1"}</definedName>
    <definedName name="ANy" hidden="1">IF(COUNTA(#REF!)=0,0,INDEX(#REF!,MATCH(ROW(#REF!),#REF!,TRUE)))+1</definedName>
    <definedName name="anything" localSheetId="0" hidden="1">{#N/A,#N/A,FALSE,"Output";#N/A,#N/A,FALSE,"Cover Sheet";#N/A,#N/A,FALSE,"Current Mkt. Projections"}</definedName>
    <definedName name="anything" localSheetId="6" hidden="1">{#N/A,#N/A,FALSE,"Output";#N/A,#N/A,FALSE,"Cover Sheet";#N/A,#N/A,FALSE,"Current Mkt. Projections"}</definedName>
    <definedName name="anything" hidden="1">{#N/A,#N/A,FALSE,"Output";#N/A,#N/A,FALSE,"Cover Sheet";#N/A,#N/A,FALSE,"Current Mkt. Projections"}</definedName>
    <definedName name="äöäö" localSheetId="0" hidden="1">{#N/A,#N/A,FALSE,"Umsatz CH";#N/A,#N/A,FALSE,"ER CH";#N/A,#N/A,FALSE,"EA CH (2) ";#N/A,#N/A,FALSE,"EA CH";#N/A,#N/A,FALSE,"EA CH (3) ";#N/A,#N/A,FALSE,"EA CH (4)";#N/A,#N/A,FALSE,"KA CH";#N/A,#N/A,FALSE,"KA CH  (2)";#N/A,#N/A,FALSE,"KA CH  (3)";#N/A,#N/A,FALSE,"KA CH (4)"}</definedName>
    <definedName name="äöäö" localSheetId="6" hidden="1">{#N/A,#N/A,FALSE,"Umsatz CH";#N/A,#N/A,FALSE,"ER CH";#N/A,#N/A,FALSE,"EA CH (2) ";#N/A,#N/A,FALSE,"EA CH";#N/A,#N/A,FALSE,"EA CH (3) ";#N/A,#N/A,FALSE,"EA CH (4)";#N/A,#N/A,FALSE,"KA CH";#N/A,#N/A,FALSE,"KA CH  (2)";#N/A,#N/A,FALSE,"KA CH  (3)";#N/A,#N/A,FALSE,"KA CH (4)"}</definedName>
    <definedName name="äöäö" hidden="1">{#N/A,#N/A,FALSE,"Umsatz CH";#N/A,#N/A,FALSE,"ER CH";#N/A,#N/A,FALSE,"EA CH (2) ";#N/A,#N/A,FALSE,"EA CH";#N/A,#N/A,FALSE,"EA CH (3) ";#N/A,#N/A,FALSE,"EA CH (4)";#N/A,#N/A,FALSE,"KA CH";#N/A,#N/A,FALSE,"KA CH  (2)";#N/A,#N/A,FALSE,"KA CH  (3)";#N/A,#N/A,FALSE,"KA CH (4)"}</definedName>
    <definedName name="äöäö_1" localSheetId="0" hidden="1">{#N/A,#N/A,FALSE,"Umsatz CH";#N/A,#N/A,FALSE,"ER CH";#N/A,#N/A,FALSE,"EA CH (2) ";#N/A,#N/A,FALSE,"EA CH";#N/A,#N/A,FALSE,"EA CH (3) ";#N/A,#N/A,FALSE,"EA CH (4)";#N/A,#N/A,FALSE,"KA CH";#N/A,#N/A,FALSE,"KA CH  (2)";#N/A,#N/A,FALSE,"KA CH  (3)";#N/A,#N/A,FALSE,"KA CH (4)"}</definedName>
    <definedName name="äöäö_1" localSheetId="6" hidden="1">{#N/A,#N/A,FALSE,"Umsatz CH";#N/A,#N/A,FALSE,"ER CH";#N/A,#N/A,FALSE,"EA CH (2) ";#N/A,#N/A,FALSE,"EA CH";#N/A,#N/A,FALSE,"EA CH (3) ";#N/A,#N/A,FALSE,"EA CH (4)";#N/A,#N/A,FALSE,"KA CH";#N/A,#N/A,FALSE,"KA CH  (2)";#N/A,#N/A,FALSE,"KA CH  (3)";#N/A,#N/A,FALSE,"KA CH (4)"}</definedName>
    <definedName name="äöäö_1" hidden="1">{#N/A,#N/A,FALSE,"Umsatz CH";#N/A,#N/A,FALSE,"ER CH";#N/A,#N/A,FALSE,"EA CH (2) ";#N/A,#N/A,FALSE,"EA CH";#N/A,#N/A,FALSE,"EA CH (3) ";#N/A,#N/A,FALSE,"EA CH (4)";#N/A,#N/A,FALSE,"KA CH";#N/A,#N/A,FALSE,"KA CH  (2)";#N/A,#N/A,FALSE,"KA CH  (3)";#N/A,#N/A,FALSE,"KA CH (4)"}</definedName>
    <definedName name="äöäö_1_1" localSheetId="0" hidden="1">{#N/A,#N/A,FALSE,"Umsatz CH";#N/A,#N/A,FALSE,"ER CH";#N/A,#N/A,FALSE,"EA CH (2) ";#N/A,#N/A,FALSE,"EA CH";#N/A,#N/A,FALSE,"EA CH (3) ";#N/A,#N/A,FALSE,"EA CH (4)";#N/A,#N/A,FALSE,"KA CH";#N/A,#N/A,FALSE,"KA CH  (2)";#N/A,#N/A,FALSE,"KA CH  (3)";#N/A,#N/A,FALSE,"KA CH (4)"}</definedName>
    <definedName name="äöäö_1_1" localSheetId="6" hidden="1">{#N/A,#N/A,FALSE,"Umsatz CH";#N/A,#N/A,FALSE,"ER CH";#N/A,#N/A,FALSE,"EA CH (2) ";#N/A,#N/A,FALSE,"EA CH";#N/A,#N/A,FALSE,"EA CH (3) ";#N/A,#N/A,FALSE,"EA CH (4)";#N/A,#N/A,FALSE,"KA CH";#N/A,#N/A,FALSE,"KA CH  (2)";#N/A,#N/A,FALSE,"KA CH  (3)";#N/A,#N/A,FALSE,"KA CH (4)"}</definedName>
    <definedName name="äöäö_1_1" hidden="1">{#N/A,#N/A,FALSE,"Umsatz CH";#N/A,#N/A,FALSE,"ER CH";#N/A,#N/A,FALSE,"EA CH (2) ";#N/A,#N/A,FALSE,"EA CH";#N/A,#N/A,FALSE,"EA CH (3) ";#N/A,#N/A,FALSE,"EA CH (4)";#N/A,#N/A,FALSE,"KA CH";#N/A,#N/A,FALSE,"KA CH  (2)";#N/A,#N/A,FALSE,"KA CH  (3)";#N/A,#N/A,FALSE,"KA CH (4)"}</definedName>
    <definedName name="äöäö_2" localSheetId="0" hidden="1">{#N/A,#N/A,FALSE,"Umsatz CH";#N/A,#N/A,FALSE,"ER CH";#N/A,#N/A,FALSE,"EA CH (2) ";#N/A,#N/A,FALSE,"EA CH";#N/A,#N/A,FALSE,"EA CH (3) ";#N/A,#N/A,FALSE,"EA CH (4)";#N/A,#N/A,FALSE,"KA CH";#N/A,#N/A,FALSE,"KA CH  (2)";#N/A,#N/A,FALSE,"KA CH  (3)";#N/A,#N/A,FALSE,"KA CH (4)"}</definedName>
    <definedName name="äöäö_2" localSheetId="6" hidden="1">{#N/A,#N/A,FALSE,"Umsatz CH";#N/A,#N/A,FALSE,"ER CH";#N/A,#N/A,FALSE,"EA CH (2) ";#N/A,#N/A,FALSE,"EA CH";#N/A,#N/A,FALSE,"EA CH (3) ";#N/A,#N/A,FALSE,"EA CH (4)";#N/A,#N/A,FALSE,"KA CH";#N/A,#N/A,FALSE,"KA CH  (2)";#N/A,#N/A,FALSE,"KA CH  (3)";#N/A,#N/A,FALSE,"KA CH (4)"}</definedName>
    <definedName name="äöäö_2" hidden="1">{#N/A,#N/A,FALSE,"Umsatz CH";#N/A,#N/A,FALSE,"ER CH";#N/A,#N/A,FALSE,"EA CH (2) ";#N/A,#N/A,FALSE,"EA CH";#N/A,#N/A,FALSE,"EA CH (3) ";#N/A,#N/A,FALSE,"EA CH (4)";#N/A,#N/A,FALSE,"KA CH";#N/A,#N/A,FALSE,"KA CH  (2)";#N/A,#N/A,FALSE,"KA CH  (3)";#N/A,#N/A,FALSE,"KA CH (4)"}</definedName>
    <definedName name="äöäö_3" localSheetId="0" hidden="1">{#N/A,#N/A,FALSE,"Umsatz CH";#N/A,#N/A,FALSE,"ER CH";#N/A,#N/A,FALSE,"EA CH (2) ";#N/A,#N/A,FALSE,"EA CH";#N/A,#N/A,FALSE,"EA CH (3) ";#N/A,#N/A,FALSE,"EA CH (4)";#N/A,#N/A,FALSE,"KA CH";#N/A,#N/A,FALSE,"KA CH  (2)";#N/A,#N/A,FALSE,"KA CH  (3)";#N/A,#N/A,FALSE,"KA CH (4)"}</definedName>
    <definedName name="äöäö_3" localSheetId="6" hidden="1">{#N/A,#N/A,FALSE,"Umsatz CH";#N/A,#N/A,FALSE,"ER CH";#N/A,#N/A,FALSE,"EA CH (2) ";#N/A,#N/A,FALSE,"EA CH";#N/A,#N/A,FALSE,"EA CH (3) ";#N/A,#N/A,FALSE,"EA CH (4)";#N/A,#N/A,FALSE,"KA CH";#N/A,#N/A,FALSE,"KA CH  (2)";#N/A,#N/A,FALSE,"KA CH  (3)";#N/A,#N/A,FALSE,"KA CH (4)"}</definedName>
    <definedName name="äöäö_3" hidden="1">{#N/A,#N/A,FALSE,"Umsatz CH";#N/A,#N/A,FALSE,"ER CH";#N/A,#N/A,FALSE,"EA CH (2) ";#N/A,#N/A,FALSE,"EA CH";#N/A,#N/A,FALSE,"EA CH (3) ";#N/A,#N/A,FALSE,"EA CH (4)";#N/A,#N/A,FALSE,"KA CH";#N/A,#N/A,FALSE,"KA CH  (2)";#N/A,#N/A,FALSE,"KA CH  (3)";#N/A,#N/A,FALSE,"KA CH (4)"}</definedName>
    <definedName name="äöäö_4" localSheetId="0" hidden="1">{#N/A,#N/A,FALSE,"Umsatz CH";#N/A,#N/A,FALSE,"ER CH";#N/A,#N/A,FALSE,"EA CH (2) ";#N/A,#N/A,FALSE,"EA CH";#N/A,#N/A,FALSE,"EA CH (3) ";#N/A,#N/A,FALSE,"EA CH (4)";#N/A,#N/A,FALSE,"KA CH";#N/A,#N/A,FALSE,"KA CH  (2)";#N/A,#N/A,FALSE,"KA CH  (3)";#N/A,#N/A,FALSE,"KA CH (4)"}</definedName>
    <definedName name="äöäö_4" localSheetId="6" hidden="1">{#N/A,#N/A,FALSE,"Umsatz CH";#N/A,#N/A,FALSE,"ER CH";#N/A,#N/A,FALSE,"EA CH (2) ";#N/A,#N/A,FALSE,"EA CH";#N/A,#N/A,FALSE,"EA CH (3) ";#N/A,#N/A,FALSE,"EA CH (4)";#N/A,#N/A,FALSE,"KA CH";#N/A,#N/A,FALSE,"KA CH  (2)";#N/A,#N/A,FALSE,"KA CH  (3)";#N/A,#N/A,FALSE,"KA CH (4)"}</definedName>
    <definedName name="äöäö_4" hidden="1">{#N/A,#N/A,FALSE,"Umsatz CH";#N/A,#N/A,FALSE,"ER CH";#N/A,#N/A,FALSE,"EA CH (2) ";#N/A,#N/A,FALSE,"EA CH";#N/A,#N/A,FALSE,"EA CH (3) ";#N/A,#N/A,FALSE,"EA CH (4)";#N/A,#N/A,FALSE,"KA CH";#N/A,#N/A,FALSE,"KA CH  (2)";#N/A,#N/A,FALSE,"KA CH  (3)";#N/A,#N/A,FALSE,"KA CH (4)"}</definedName>
    <definedName name="äöäö_5" localSheetId="0" hidden="1">{#N/A,#N/A,FALSE,"Umsatz CH";#N/A,#N/A,FALSE,"ER CH";#N/A,#N/A,FALSE,"EA CH (2) ";#N/A,#N/A,FALSE,"EA CH";#N/A,#N/A,FALSE,"EA CH (3) ";#N/A,#N/A,FALSE,"EA CH (4)";#N/A,#N/A,FALSE,"KA CH";#N/A,#N/A,FALSE,"KA CH  (2)";#N/A,#N/A,FALSE,"KA CH  (3)";#N/A,#N/A,FALSE,"KA CH (4)"}</definedName>
    <definedName name="äöäö_5" localSheetId="6" hidden="1">{#N/A,#N/A,FALSE,"Umsatz CH";#N/A,#N/A,FALSE,"ER CH";#N/A,#N/A,FALSE,"EA CH (2) ";#N/A,#N/A,FALSE,"EA CH";#N/A,#N/A,FALSE,"EA CH (3) ";#N/A,#N/A,FALSE,"EA CH (4)";#N/A,#N/A,FALSE,"KA CH";#N/A,#N/A,FALSE,"KA CH  (2)";#N/A,#N/A,FALSE,"KA CH  (3)";#N/A,#N/A,FALSE,"KA CH (4)"}</definedName>
    <definedName name="äöäö_5" hidden="1">{#N/A,#N/A,FALSE,"Umsatz CH";#N/A,#N/A,FALSE,"ER CH";#N/A,#N/A,FALSE,"EA CH (2) ";#N/A,#N/A,FALSE,"EA CH";#N/A,#N/A,FALSE,"EA CH (3) ";#N/A,#N/A,FALSE,"EA CH (4)";#N/A,#N/A,FALSE,"KA CH";#N/A,#N/A,FALSE,"KA CH  (2)";#N/A,#N/A,FALSE,"KA CH  (3)";#N/A,#N/A,FALSE,"KA CH (4)"}</definedName>
    <definedName name="apoiere" localSheetId="0" hidden="1">{#N/A,#N/A,TRUE,"Sensonic";#N/A,#N/A,TRUE,"Combimeter";#N/A,#N/A,TRUE,"HKV";#N/A,#N/A,TRUE,"TV";#N/A,#N/A,TRUE,"WZ";#N/A,#N/A,TRUE,"PrepHeatCon";#N/A,#N/A,TRUE,"Sonstiges";#N/A,#N/A,TRUE,"Abrechnung";#N/A,#N/A,TRUE,"Investitionen";#N/A,#N/A,TRUE,"Personal";#N/A,#N/A,TRUE,"sonstige Kosten u. Erträge";#N/A,#N/A,TRUE,"BER";#N/A,#N/A,TRUE,"Monatsaufteilung Budget 1997"}</definedName>
    <definedName name="apoiere"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apoiere" hidden="1">{#N/A,#N/A,TRUE,"Sensonic";#N/A,#N/A,TRUE,"Combimeter";#N/A,#N/A,TRUE,"HKV";#N/A,#N/A,TRUE,"TV";#N/A,#N/A,TRUE,"WZ";#N/A,#N/A,TRUE,"PrepHeatCon";#N/A,#N/A,TRUE,"Sonstiges";#N/A,#N/A,TRUE,"Abrechnung";#N/A,#N/A,TRUE,"Investitionen";#N/A,#N/A,TRUE,"Personal";#N/A,#N/A,TRUE,"sonstige Kosten u. Erträge";#N/A,#N/A,TRUE,"BER";#N/A,#N/A,TRUE,"Monatsaufteilung Budget 1997"}</definedName>
    <definedName name="appendix4" localSheetId="0" hidden="1">{#N/A,#N/A,TRUE,"Cover sheet";#N/A,#N/A,TRUE,"Summary";#N/A,#N/A,TRUE,"Key Assumptions";#N/A,#N/A,TRUE,"Profit &amp; Loss";#N/A,#N/A,TRUE,"Balance Sheet";#N/A,#N/A,TRUE,"Cashflow";#N/A,#N/A,TRUE,"IRR";#N/A,#N/A,TRUE,"Ratios";#N/A,#N/A,TRUE,"Debt analysis"}</definedName>
    <definedName name="appendix4" localSheetId="6" hidden="1">{#N/A,#N/A,TRUE,"Cover sheet";#N/A,#N/A,TRUE,"Summary";#N/A,#N/A,TRUE,"Key Assumptions";#N/A,#N/A,TRUE,"Profit &amp; Loss";#N/A,#N/A,TRUE,"Balance Sheet";#N/A,#N/A,TRUE,"Cashflow";#N/A,#N/A,TRUE,"IRR";#N/A,#N/A,TRUE,"Ratios";#N/A,#N/A,TRUE,"Debt analysis"}</definedName>
    <definedName name="appendix4" hidden="1">{#N/A,#N/A,TRUE,"Cover sheet";#N/A,#N/A,TRUE,"Summary";#N/A,#N/A,TRUE,"Key Assumptions";#N/A,#N/A,TRUE,"Profit &amp; Loss";#N/A,#N/A,TRUE,"Balance Sheet";#N/A,#N/A,TRUE,"Cashflow";#N/A,#N/A,TRUE,"IRR";#N/A,#N/A,TRUE,"Ratios";#N/A,#N/A,TRUE,"Debt analysis"}</definedName>
    <definedName name="appendix4a" localSheetId="0" hidden="1">{#N/A,#N/A,TRUE,"Cover sheet";#N/A,#N/A,TRUE,"Summary";#N/A,#N/A,TRUE,"Key Assumptions";#N/A,#N/A,TRUE,"Profit &amp; Loss";#N/A,#N/A,TRUE,"Balance Sheet";#N/A,#N/A,TRUE,"Cashflow";#N/A,#N/A,TRUE,"IRR";#N/A,#N/A,TRUE,"Ratios";#N/A,#N/A,TRUE,"Debt analysis"}</definedName>
    <definedName name="appendix4a" localSheetId="6" hidden="1">{#N/A,#N/A,TRUE,"Cover sheet";#N/A,#N/A,TRUE,"Summary";#N/A,#N/A,TRUE,"Key Assumptions";#N/A,#N/A,TRUE,"Profit &amp; Loss";#N/A,#N/A,TRUE,"Balance Sheet";#N/A,#N/A,TRUE,"Cashflow";#N/A,#N/A,TRUE,"IRR";#N/A,#N/A,TRUE,"Ratios";#N/A,#N/A,TRUE,"Debt analysis"}</definedName>
    <definedName name="appendix4a" hidden="1">{#N/A,#N/A,TRUE,"Cover sheet";#N/A,#N/A,TRUE,"Summary";#N/A,#N/A,TRUE,"Key Assumptions";#N/A,#N/A,TRUE,"Profit &amp; Loss";#N/A,#N/A,TRUE,"Balance Sheet";#N/A,#N/A,TRUE,"Cashflow";#N/A,#N/A,TRUE,"IRR";#N/A,#N/A,TRUE,"Ratios";#N/A,#N/A,TRUE,"Debt analysis"}</definedName>
    <definedName name="appraisal" localSheetId="6" hidden="1">{#N/A,#N/A,TRUE,"Cover";#N/A,#N/A,TRUE,"Conts";#N/A,#N/A,TRUE,"VOS";#N/A,#N/A,TRUE,"Warrington";#N/A,#N/A,TRUE,"Widnes"}</definedName>
    <definedName name="appraisal" hidden="1">{#N/A,#N/A,TRUE,"Cover";#N/A,#N/A,TRUE,"Conts";#N/A,#N/A,TRUE,"VOS";#N/A,#N/A,TRUE,"Warrington";#N/A,#N/A,TRUE,"Widnes"}</definedName>
    <definedName name="appraisal_1" localSheetId="6" hidden="1">{#N/A,#N/A,TRUE,"Cover";#N/A,#N/A,TRUE,"Conts";#N/A,#N/A,TRUE,"VOS";#N/A,#N/A,TRUE,"Warrington";#N/A,#N/A,TRUE,"Widnes"}</definedName>
    <definedName name="appraisal_1" hidden="1">{#N/A,#N/A,TRUE,"Cover";#N/A,#N/A,TRUE,"Conts";#N/A,#N/A,TRUE,"VOS";#N/A,#N/A,TRUE,"Warrington";#N/A,#N/A,TRUE,"Widnes"}</definedName>
    <definedName name="Approved_Amt.">#REF!</definedName>
    <definedName name="Approved_Date">#REF!</definedName>
    <definedName name="approvla" hidden="1">#N/A</definedName>
    <definedName name="appx4" localSheetId="0" hidden="1">{#N/A,#N/A,TRUE,"Cover sheet";#N/A,#N/A,TRUE,"Summary";#N/A,#N/A,TRUE,"Key Assumptions";#N/A,#N/A,TRUE,"Profit &amp; Loss";#N/A,#N/A,TRUE,"Balance Sheet";#N/A,#N/A,TRUE,"Cashflow";#N/A,#N/A,TRUE,"IRR";#N/A,#N/A,TRUE,"Ratios";#N/A,#N/A,TRUE,"Debt analysis"}</definedName>
    <definedName name="appx4" localSheetId="6" hidden="1">{#N/A,#N/A,TRUE,"Cover sheet";#N/A,#N/A,TRUE,"Summary";#N/A,#N/A,TRUE,"Key Assumptions";#N/A,#N/A,TRUE,"Profit &amp; Loss";#N/A,#N/A,TRUE,"Balance Sheet";#N/A,#N/A,TRUE,"Cashflow";#N/A,#N/A,TRUE,"IRR";#N/A,#N/A,TRUE,"Ratios";#N/A,#N/A,TRUE,"Debt analysis"}</definedName>
    <definedName name="appx4" hidden="1">{#N/A,#N/A,TRUE,"Cover sheet";#N/A,#N/A,TRUE,"Summary";#N/A,#N/A,TRUE,"Key Assumptions";#N/A,#N/A,TRUE,"Profit &amp; Loss";#N/A,#N/A,TRUE,"Balance Sheet";#N/A,#N/A,TRUE,"Cashflow";#N/A,#N/A,TRUE,"IRR";#N/A,#N/A,TRUE,"Ratios";#N/A,#N/A,TRUE,"Debt analysis"}</definedName>
    <definedName name="APR" localSheetId="6" hidden="1">{"VIEW1",#N/A,FALSE,"P&amp;L Account 2001-2002";"VIEW2",#N/A,FALSE,"P&amp;L Account 2001-2002";"VIEW3",#N/A,FALSE,"P&amp;L Account 2001-2002";"VIEW4",#N/A,FALSE,"P&amp;L Account 2001-2002"}</definedName>
    <definedName name="APR" hidden="1">{"VIEW1",#N/A,FALSE,"P&amp;L Account 2001-2002";"VIEW2",#N/A,FALSE,"P&amp;L Account 2001-2002";"VIEW3",#N/A,FALSE,"P&amp;L Account 2001-2002";"VIEW4",#N/A,FALSE,"P&amp;L Account 2001-2002"}</definedName>
    <definedName name="Aprtotal">#REF!</definedName>
    <definedName name="aps" localSheetId="6" hidden="1">{"VIEW1",#N/A,FALSE,"P&amp;L Account 2001-2002";"VIEW2",#N/A,FALSE,"P&amp;L Account 2001-2002";"VIEW3",#N/A,FALSE,"P&amp;L Account 2001-2002";"VIEW4",#N/A,FALSE,"P&amp;L Account 2001-2002"}</definedName>
    <definedName name="aps" hidden="1">{"VIEW1",#N/A,FALSE,"P&amp;L Account 2001-2002";"VIEW2",#N/A,FALSE,"P&amp;L Account 2001-2002";"VIEW3",#N/A,FALSE,"P&amp;L Account 2001-2002";"VIEW4",#N/A,FALSE,"P&amp;L Account 2001-2002"}</definedName>
    <definedName name="APYrEnd">#REF!</definedName>
    <definedName name="aq"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aq" hidden="1">{#N/A,#N/A,TRUE,"Sensonic";#N/A,#N/A,TRUE,"Combimeter";#N/A,#N/A,TRUE,"HKV";#N/A,#N/A,TRUE,"TV";#N/A,#N/A,TRUE,"WZ";#N/A,#N/A,TRUE,"PrepHeatCon";#N/A,#N/A,TRUE,"Sonstiges";#N/A,#N/A,TRUE,"Abrechnung";#N/A,#N/A,TRUE,"Investitionen";#N/A,#N/A,TRUE,"Personal";#N/A,#N/A,TRUE,"sonstige Kosten u. Erträge";#N/A,#N/A,TRUE,"BER";#N/A,#N/A,TRUE,"Monatsaufteilung Budget 1997"}</definedName>
    <definedName name="aqefwef" hidden="1">#REF!</definedName>
    <definedName name="aqgqet" localSheetId="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aqgqet"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aqgqet"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AQX" localSheetId="0" hidden="1">{#N/A,#N/A,FALSE,"Operations";#N/A,#N/A,FALSE,"Financials"}</definedName>
    <definedName name="AQX" localSheetId="6" hidden="1">{#N/A,#N/A,FALSE,"Operations";#N/A,#N/A,FALSE,"Financials"}</definedName>
    <definedName name="AQX" hidden="1">{#N/A,#N/A,FALSE,"Operations";#N/A,#N/A,FALSE,"Financials"}</definedName>
    <definedName name="aqz" localSheetId="6" hidden="1">{#N/A,#N/A,FALSE,"Eastern";#N/A,#N/A,FALSE,"Western"}</definedName>
    <definedName name="aqz" hidden="1">{#N/A,#N/A,FALSE,"Eastern";#N/A,#N/A,FALSE,"Western"}</definedName>
    <definedName name="ARA_Threshold">#REF!</definedName>
    <definedName name="Arabic">#REF!</definedName>
    <definedName name="arasco" localSheetId="6" hidden="1">{"Bilanço",#N/A,FALSE,"GenelProjeksiyon_Aggregate4";"GelirGider",#N/A,FALSE,"GenelProjeksiyon_Aggregate4";"FonAkım",#N/A,FALSE,"GenelProjeksiyon_Aggregate4"}</definedName>
    <definedName name="arasco" hidden="1">{"Bilanço",#N/A,FALSE,"GenelProjeksiyon_Aggregate4";"GelirGider",#N/A,FALSE,"GenelProjeksiyon_Aggregate4";"FonAkım",#N/A,FALSE,"GenelProjeksiyon_Aggregate4"}</definedName>
    <definedName name="are" localSheetId="0" hidden="1">{#N/A,#N/A,FALSE,"Sheet1"}</definedName>
    <definedName name="are" localSheetId="6" hidden="1">{#N/A,#N/A,FALSE,"Sheet1"}</definedName>
    <definedName name="are" hidden="1">{#N/A,#N/A,FALSE,"Sheet1"}</definedName>
    <definedName name="Area">#REF!</definedName>
    <definedName name="Area_Name1" hidden="1">#REF!</definedName>
    <definedName name="Area_Name6" hidden="1">#REF!</definedName>
    <definedName name="ARM" localSheetId="0" hidden="1">{#N/A,#N/A,FALSE,"Trading-Mult ";#N/A,#N/A,FALSE,"Trading-Cap";#N/A,#N/A,FALSE,"Trading-Inc";#N/A,#N/A,FALSE,"Cash Flow";#N/A,#N/A,FALSE,"M&amp;A info"}</definedName>
    <definedName name="ARM" localSheetId="6" hidden="1">{#N/A,#N/A,FALSE,"Trading-Mult ";#N/A,#N/A,FALSE,"Trading-Cap";#N/A,#N/A,FALSE,"Trading-Inc";#N/A,#N/A,FALSE,"Cash Flow";#N/A,#N/A,FALSE,"M&amp;A info"}</definedName>
    <definedName name="ARM" hidden="1">{#N/A,#N/A,FALSE,"Trading-Mult ";#N/A,#N/A,FALSE,"Trading-Cap";#N/A,#N/A,FALSE,"Trading-Inc";#N/A,#N/A,FALSE,"Cash Flow";#N/A,#N/A,FALSE,"M&amp;A info"}</definedName>
    <definedName name="ARP_Threshold">#REF!</definedName>
    <definedName name="ARPU" localSheetId="0" hidden="1">{"FCB_ALL",#N/A,FALSE,"FCB"}</definedName>
    <definedName name="ARPU" localSheetId="6" hidden="1">{"FCB_ALL",#N/A,FALSE,"FCB"}</definedName>
    <definedName name="ARPU" hidden="1">{"FCB_ALL",#N/A,FALSE,"FCB"}</definedName>
    <definedName name="arr" localSheetId="6" hidden="1">{#N/A,#N/A,FALSE,"Scenario PivotTable"}</definedName>
    <definedName name="arr" hidden="1">{#N/A,#N/A,FALSE,"Scenario PivotTable"}</definedName>
    <definedName name="arr_1" localSheetId="6" hidden="1">{#N/A,#N/A,FALSE,"Scenario PivotTable"}</definedName>
    <definedName name="arr_1" hidden="1">{#N/A,#N/A,FALSE,"Scenario PivotTable"}</definedName>
    <definedName name="arr_1_1" localSheetId="6" hidden="1">{#N/A,#N/A,FALSE,"Scenario PivotTable"}</definedName>
    <definedName name="arr_1_1" hidden="1">{#N/A,#N/A,FALSE,"Scenario PivotTable"}</definedName>
    <definedName name="arr_2" localSheetId="6" hidden="1">{#N/A,#N/A,FALSE,"Scenario PivotTable"}</definedName>
    <definedName name="arr_2" hidden="1">{#N/A,#N/A,FALSE,"Scenario PivotTable"}</definedName>
    <definedName name="arr_2_1" localSheetId="6" hidden="1">{#N/A,#N/A,FALSE,"Scenario PivotTable"}</definedName>
    <definedName name="arr_2_1" hidden="1">{#N/A,#N/A,FALSE,"Scenario PivotTable"}</definedName>
    <definedName name="arr_2_1_1" localSheetId="6" hidden="1">{#N/A,#N/A,FALSE,"Scenario PivotTable"}</definedName>
    <definedName name="arr_2_1_1" hidden="1">{#N/A,#N/A,FALSE,"Scenario PivotTable"}</definedName>
    <definedName name="arr_2_1_1_1" localSheetId="6" hidden="1">{#N/A,#N/A,FALSE,"Scenario PivotTable"}</definedName>
    <definedName name="arr_2_1_1_1" hidden="1">{#N/A,#N/A,FALSE,"Scenario PivotTable"}</definedName>
    <definedName name="arr_2_1_2" localSheetId="6" hidden="1">{#N/A,#N/A,FALSE,"Scenario PivotTable"}</definedName>
    <definedName name="arr_2_1_2" hidden="1">{#N/A,#N/A,FALSE,"Scenario PivotTable"}</definedName>
    <definedName name="arr_2_1_2_1" localSheetId="6" hidden="1">{#N/A,#N/A,FALSE,"Scenario PivotTable"}</definedName>
    <definedName name="arr_2_1_2_1" hidden="1">{#N/A,#N/A,FALSE,"Scenario PivotTable"}</definedName>
    <definedName name="arr_2_1_3" localSheetId="6" hidden="1">{#N/A,#N/A,FALSE,"Scenario PivotTable"}</definedName>
    <definedName name="arr_2_1_3" hidden="1">{#N/A,#N/A,FALSE,"Scenario PivotTable"}</definedName>
    <definedName name="arr_2_2" localSheetId="6" hidden="1">{#N/A,#N/A,FALSE,"Scenario PivotTable"}</definedName>
    <definedName name="arr_2_2" hidden="1">{#N/A,#N/A,FALSE,"Scenario PivotTable"}</definedName>
    <definedName name="arr_2_2_1" localSheetId="6" hidden="1">{#N/A,#N/A,FALSE,"Scenario PivotTable"}</definedName>
    <definedName name="arr_2_2_1" hidden="1">{#N/A,#N/A,FALSE,"Scenario PivotTable"}</definedName>
    <definedName name="arr_2_2_1_1" localSheetId="6" hidden="1">{#N/A,#N/A,FALSE,"Scenario PivotTable"}</definedName>
    <definedName name="arr_2_2_1_1" hidden="1">{#N/A,#N/A,FALSE,"Scenario PivotTable"}</definedName>
    <definedName name="arr_2_2_2" localSheetId="6" hidden="1">{#N/A,#N/A,FALSE,"Scenario PivotTable"}</definedName>
    <definedName name="arr_2_2_2" hidden="1">{#N/A,#N/A,FALSE,"Scenario PivotTable"}</definedName>
    <definedName name="arr_2_3" localSheetId="6" hidden="1">{#N/A,#N/A,FALSE,"Scenario PivotTable"}</definedName>
    <definedName name="arr_2_3" hidden="1">{#N/A,#N/A,FALSE,"Scenario PivotTable"}</definedName>
    <definedName name="arr_2_3_1" localSheetId="6" hidden="1">{#N/A,#N/A,FALSE,"Scenario PivotTable"}</definedName>
    <definedName name="arr_2_3_1" hidden="1">{#N/A,#N/A,FALSE,"Scenario PivotTable"}</definedName>
    <definedName name="arr_2_4" localSheetId="6" hidden="1">{#N/A,#N/A,FALSE,"Scenario PivotTable"}</definedName>
    <definedName name="arr_2_4" hidden="1">{#N/A,#N/A,FALSE,"Scenario PivotTable"}</definedName>
    <definedName name="arr_3" localSheetId="6" hidden="1">{#N/A,#N/A,FALSE,"Scenario PivotTable"}</definedName>
    <definedName name="arr_3" hidden="1">{#N/A,#N/A,FALSE,"Scenario PivotTable"}</definedName>
    <definedName name="arr_3_1" localSheetId="6" hidden="1">{#N/A,#N/A,FALSE,"Scenario PivotTable"}</definedName>
    <definedName name="arr_3_1" hidden="1">{#N/A,#N/A,FALSE,"Scenario PivotTable"}</definedName>
    <definedName name="arr_3_1_1" localSheetId="6" hidden="1">{#N/A,#N/A,FALSE,"Scenario PivotTable"}</definedName>
    <definedName name="arr_3_1_1" hidden="1">{#N/A,#N/A,FALSE,"Scenario PivotTable"}</definedName>
    <definedName name="arr_3_1_1_1" localSheetId="6" hidden="1">{#N/A,#N/A,FALSE,"Scenario PivotTable"}</definedName>
    <definedName name="arr_3_1_1_1" hidden="1">{#N/A,#N/A,FALSE,"Scenario PivotTable"}</definedName>
    <definedName name="arr_3_1_2" localSheetId="6" hidden="1">{#N/A,#N/A,FALSE,"Scenario PivotTable"}</definedName>
    <definedName name="arr_3_1_2" hidden="1">{#N/A,#N/A,FALSE,"Scenario PivotTable"}</definedName>
    <definedName name="arr_3_1_2_1" localSheetId="6" hidden="1">{#N/A,#N/A,FALSE,"Scenario PivotTable"}</definedName>
    <definedName name="arr_3_1_2_1" hidden="1">{#N/A,#N/A,FALSE,"Scenario PivotTable"}</definedName>
    <definedName name="arr_3_1_3" localSheetId="6" hidden="1">{#N/A,#N/A,FALSE,"Scenario PivotTable"}</definedName>
    <definedName name="arr_3_1_3" hidden="1">{#N/A,#N/A,FALSE,"Scenario PivotTable"}</definedName>
    <definedName name="arr_3_2" localSheetId="6" hidden="1">{#N/A,#N/A,FALSE,"Scenario PivotTable"}</definedName>
    <definedName name="arr_3_2" hidden="1">{#N/A,#N/A,FALSE,"Scenario PivotTable"}</definedName>
    <definedName name="arr_3_2_1" localSheetId="6" hidden="1">{#N/A,#N/A,FALSE,"Scenario PivotTable"}</definedName>
    <definedName name="arr_3_2_1" hidden="1">{#N/A,#N/A,FALSE,"Scenario PivotTable"}</definedName>
    <definedName name="arr_3_2_1_1" localSheetId="6" hidden="1">{#N/A,#N/A,FALSE,"Scenario PivotTable"}</definedName>
    <definedName name="arr_3_2_1_1" hidden="1">{#N/A,#N/A,FALSE,"Scenario PivotTable"}</definedName>
    <definedName name="arr_3_2_2" localSheetId="6" hidden="1">{#N/A,#N/A,FALSE,"Scenario PivotTable"}</definedName>
    <definedName name="arr_3_2_2" hidden="1">{#N/A,#N/A,FALSE,"Scenario PivotTable"}</definedName>
    <definedName name="arr_3_3" localSheetId="6" hidden="1">{#N/A,#N/A,FALSE,"Scenario PivotTable"}</definedName>
    <definedName name="arr_3_3" hidden="1">{#N/A,#N/A,FALSE,"Scenario PivotTable"}</definedName>
    <definedName name="arr_3_3_1" localSheetId="6" hidden="1">{#N/A,#N/A,FALSE,"Scenario PivotTable"}</definedName>
    <definedName name="arr_3_3_1" hidden="1">{#N/A,#N/A,FALSE,"Scenario PivotTable"}</definedName>
    <definedName name="arr_3_4" localSheetId="6" hidden="1">{#N/A,#N/A,FALSE,"Scenario PivotTable"}</definedName>
    <definedName name="arr_3_4" hidden="1">{#N/A,#N/A,FALSE,"Scenario PivotTable"}</definedName>
    <definedName name="arr_4" localSheetId="6" hidden="1">{#N/A,#N/A,FALSE,"Scenario PivotTable"}</definedName>
    <definedName name="arr_4" hidden="1">{#N/A,#N/A,FALSE,"Scenario PivotTable"}</definedName>
    <definedName name="arr_4_1" localSheetId="6" hidden="1">{#N/A,#N/A,FALSE,"Scenario PivotTable"}</definedName>
    <definedName name="arr_4_1" hidden="1">{#N/A,#N/A,FALSE,"Scenario PivotTable"}</definedName>
    <definedName name="arr_4_1_1" localSheetId="6" hidden="1">{#N/A,#N/A,FALSE,"Scenario PivotTable"}</definedName>
    <definedName name="arr_4_1_1" hidden="1">{#N/A,#N/A,FALSE,"Scenario PivotTable"}</definedName>
    <definedName name="arr_4_1_1_1" localSheetId="6" hidden="1">{#N/A,#N/A,FALSE,"Scenario PivotTable"}</definedName>
    <definedName name="arr_4_1_1_1" hidden="1">{#N/A,#N/A,FALSE,"Scenario PivotTable"}</definedName>
    <definedName name="arr_4_1_2" localSheetId="6" hidden="1">{#N/A,#N/A,FALSE,"Scenario PivotTable"}</definedName>
    <definedName name="arr_4_1_2" hidden="1">{#N/A,#N/A,FALSE,"Scenario PivotTable"}</definedName>
    <definedName name="arr_4_1_2_1" localSheetId="6" hidden="1">{#N/A,#N/A,FALSE,"Scenario PivotTable"}</definedName>
    <definedName name="arr_4_1_2_1" hidden="1">{#N/A,#N/A,FALSE,"Scenario PivotTable"}</definedName>
    <definedName name="arr_4_1_3" localSheetId="6" hidden="1">{#N/A,#N/A,FALSE,"Scenario PivotTable"}</definedName>
    <definedName name="arr_4_1_3" hidden="1">{#N/A,#N/A,FALSE,"Scenario PivotTable"}</definedName>
    <definedName name="arr_4_2" localSheetId="6" hidden="1">{#N/A,#N/A,FALSE,"Scenario PivotTable"}</definedName>
    <definedName name="arr_4_2" hidden="1">{#N/A,#N/A,FALSE,"Scenario PivotTable"}</definedName>
    <definedName name="arr_4_2_1" localSheetId="6" hidden="1">{#N/A,#N/A,FALSE,"Scenario PivotTable"}</definedName>
    <definedName name="arr_4_2_1" hidden="1">{#N/A,#N/A,FALSE,"Scenario PivotTable"}</definedName>
    <definedName name="arr_4_2_1_1" localSheetId="6" hidden="1">{#N/A,#N/A,FALSE,"Scenario PivotTable"}</definedName>
    <definedName name="arr_4_2_1_1" hidden="1">{#N/A,#N/A,FALSE,"Scenario PivotTable"}</definedName>
    <definedName name="arr_4_2_2" localSheetId="6" hidden="1">{#N/A,#N/A,FALSE,"Scenario PivotTable"}</definedName>
    <definedName name="arr_4_2_2" hidden="1">{#N/A,#N/A,FALSE,"Scenario PivotTable"}</definedName>
    <definedName name="arr_4_3" localSheetId="6" hidden="1">{#N/A,#N/A,FALSE,"Scenario PivotTable"}</definedName>
    <definedName name="arr_4_3" hidden="1">{#N/A,#N/A,FALSE,"Scenario PivotTable"}</definedName>
    <definedName name="arr_4_3_1" localSheetId="6" hidden="1">{#N/A,#N/A,FALSE,"Scenario PivotTable"}</definedName>
    <definedName name="arr_4_3_1" hidden="1">{#N/A,#N/A,FALSE,"Scenario PivotTable"}</definedName>
    <definedName name="arr_4_4" localSheetId="6" hidden="1">{#N/A,#N/A,FALSE,"Scenario PivotTable"}</definedName>
    <definedName name="arr_4_4" hidden="1">{#N/A,#N/A,FALSE,"Scenario PivotTable"}</definedName>
    <definedName name="arr_5" localSheetId="6" hidden="1">{#N/A,#N/A,FALSE,"Scenario PivotTable"}</definedName>
    <definedName name="arr_5" hidden="1">{#N/A,#N/A,FALSE,"Scenario PivotTable"}</definedName>
    <definedName name="arr_5_1" localSheetId="6" hidden="1">{#N/A,#N/A,FALSE,"Scenario PivotTable"}</definedName>
    <definedName name="arr_5_1" hidden="1">{#N/A,#N/A,FALSE,"Scenario PivotTable"}</definedName>
    <definedName name="arr_5_1_1" localSheetId="6" hidden="1">{#N/A,#N/A,FALSE,"Scenario PivotTable"}</definedName>
    <definedName name="arr_5_1_1" hidden="1">{#N/A,#N/A,FALSE,"Scenario PivotTable"}</definedName>
    <definedName name="arr_5_1_1_1" localSheetId="6" hidden="1">{#N/A,#N/A,FALSE,"Scenario PivotTable"}</definedName>
    <definedName name="arr_5_1_1_1" hidden="1">{#N/A,#N/A,FALSE,"Scenario PivotTable"}</definedName>
    <definedName name="arr_5_1_2" localSheetId="6" hidden="1">{#N/A,#N/A,FALSE,"Scenario PivotTable"}</definedName>
    <definedName name="arr_5_1_2" hidden="1">{#N/A,#N/A,FALSE,"Scenario PivotTable"}</definedName>
    <definedName name="arr_5_1_2_1" localSheetId="6" hidden="1">{#N/A,#N/A,FALSE,"Scenario PivotTable"}</definedName>
    <definedName name="arr_5_1_2_1" hidden="1">{#N/A,#N/A,FALSE,"Scenario PivotTable"}</definedName>
    <definedName name="arr_5_1_3" localSheetId="6" hidden="1">{#N/A,#N/A,FALSE,"Scenario PivotTable"}</definedName>
    <definedName name="arr_5_1_3" hidden="1">{#N/A,#N/A,FALSE,"Scenario PivotTable"}</definedName>
    <definedName name="arr_5_2" localSheetId="6" hidden="1">{#N/A,#N/A,FALSE,"Scenario PivotTable"}</definedName>
    <definedName name="arr_5_2" hidden="1">{#N/A,#N/A,FALSE,"Scenario PivotTable"}</definedName>
    <definedName name="arr_5_2_1" localSheetId="6" hidden="1">{#N/A,#N/A,FALSE,"Scenario PivotTable"}</definedName>
    <definedName name="arr_5_2_1" hidden="1">{#N/A,#N/A,FALSE,"Scenario PivotTable"}</definedName>
    <definedName name="arr_5_2_1_1" localSheetId="6" hidden="1">{#N/A,#N/A,FALSE,"Scenario PivotTable"}</definedName>
    <definedName name="arr_5_2_1_1" hidden="1">{#N/A,#N/A,FALSE,"Scenario PivotTable"}</definedName>
    <definedName name="arr_5_2_2" localSheetId="6" hidden="1">{#N/A,#N/A,FALSE,"Scenario PivotTable"}</definedName>
    <definedName name="arr_5_2_2" hidden="1">{#N/A,#N/A,FALSE,"Scenario PivotTable"}</definedName>
    <definedName name="arr_5_3" localSheetId="6" hidden="1">{#N/A,#N/A,FALSE,"Scenario PivotTable"}</definedName>
    <definedName name="arr_5_3" hidden="1">{#N/A,#N/A,FALSE,"Scenario PivotTable"}</definedName>
    <definedName name="arr_5_3_1" localSheetId="6" hidden="1">{#N/A,#N/A,FALSE,"Scenario PivotTable"}</definedName>
    <definedName name="arr_5_3_1" hidden="1">{#N/A,#N/A,FALSE,"Scenario PivotTable"}</definedName>
    <definedName name="arr_5_4" localSheetId="6" hidden="1">{#N/A,#N/A,FALSE,"Scenario PivotTable"}</definedName>
    <definedName name="arr_5_4" hidden="1">{#N/A,#N/A,FALSE,"Scenario PivotTable"}</definedName>
    <definedName name="arre" localSheetId="6" hidden="1">{#N/A,#N/A,FALSE,"Scenario PivotTable"}</definedName>
    <definedName name="arre" hidden="1">{#N/A,#N/A,FALSE,"Scenario PivotTable"}</definedName>
    <definedName name="arre_1" localSheetId="6" hidden="1">{#N/A,#N/A,FALSE,"Scenario PivotTable"}</definedName>
    <definedName name="arre_1" hidden="1">{#N/A,#N/A,FALSE,"Scenario PivotTable"}</definedName>
    <definedName name="arre_1_1" localSheetId="6" hidden="1">{#N/A,#N/A,FALSE,"Scenario PivotTable"}</definedName>
    <definedName name="arre_1_1" hidden="1">{#N/A,#N/A,FALSE,"Scenario PivotTable"}</definedName>
    <definedName name="arre_2" localSheetId="6" hidden="1">{#N/A,#N/A,FALSE,"Scenario PivotTable"}</definedName>
    <definedName name="arre_2" hidden="1">{#N/A,#N/A,FALSE,"Scenario PivotTable"}</definedName>
    <definedName name="arre_2_1" localSheetId="6" hidden="1">{#N/A,#N/A,FALSE,"Scenario PivotTable"}</definedName>
    <definedName name="arre_2_1" hidden="1">{#N/A,#N/A,FALSE,"Scenario PivotTable"}</definedName>
    <definedName name="arre_2_1_1" localSheetId="6" hidden="1">{#N/A,#N/A,FALSE,"Scenario PivotTable"}</definedName>
    <definedName name="arre_2_1_1" hidden="1">{#N/A,#N/A,FALSE,"Scenario PivotTable"}</definedName>
    <definedName name="arre_2_1_1_1" localSheetId="6" hidden="1">{#N/A,#N/A,FALSE,"Scenario PivotTable"}</definedName>
    <definedName name="arre_2_1_1_1" hidden="1">{#N/A,#N/A,FALSE,"Scenario PivotTable"}</definedName>
    <definedName name="arre_2_1_2" localSheetId="6" hidden="1">{#N/A,#N/A,FALSE,"Scenario PivotTable"}</definedName>
    <definedName name="arre_2_1_2" hidden="1">{#N/A,#N/A,FALSE,"Scenario PivotTable"}</definedName>
    <definedName name="arre_2_1_2_1" localSheetId="6" hidden="1">{#N/A,#N/A,FALSE,"Scenario PivotTable"}</definedName>
    <definedName name="arre_2_1_2_1" hidden="1">{#N/A,#N/A,FALSE,"Scenario PivotTable"}</definedName>
    <definedName name="arre_2_1_3" localSheetId="6" hidden="1">{#N/A,#N/A,FALSE,"Scenario PivotTable"}</definedName>
    <definedName name="arre_2_1_3" hidden="1">{#N/A,#N/A,FALSE,"Scenario PivotTable"}</definedName>
    <definedName name="arre_2_2" localSheetId="6" hidden="1">{#N/A,#N/A,FALSE,"Scenario PivotTable"}</definedName>
    <definedName name="arre_2_2" hidden="1">{#N/A,#N/A,FALSE,"Scenario PivotTable"}</definedName>
    <definedName name="arre_2_2_1" localSheetId="6" hidden="1">{#N/A,#N/A,FALSE,"Scenario PivotTable"}</definedName>
    <definedName name="arre_2_2_1" hidden="1">{#N/A,#N/A,FALSE,"Scenario PivotTable"}</definedName>
    <definedName name="arre_2_2_1_1" localSheetId="6" hidden="1">{#N/A,#N/A,FALSE,"Scenario PivotTable"}</definedName>
    <definedName name="arre_2_2_1_1" hidden="1">{#N/A,#N/A,FALSE,"Scenario PivotTable"}</definedName>
    <definedName name="arre_2_2_2" localSheetId="6" hidden="1">{#N/A,#N/A,FALSE,"Scenario PivotTable"}</definedName>
    <definedName name="arre_2_2_2" hidden="1">{#N/A,#N/A,FALSE,"Scenario PivotTable"}</definedName>
    <definedName name="arre_2_3" localSheetId="6" hidden="1">{#N/A,#N/A,FALSE,"Scenario PivotTable"}</definedName>
    <definedName name="arre_2_3" hidden="1">{#N/A,#N/A,FALSE,"Scenario PivotTable"}</definedName>
    <definedName name="arre_2_3_1" localSheetId="6" hidden="1">{#N/A,#N/A,FALSE,"Scenario PivotTable"}</definedName>
    <definedName name="arre_2_3_1" hidden="1">{#N/A,#N/A,FALSE,"Scenario PivotTable"}</definedName>
    <definedName name="arre_2_4" localSheetId="6" hidden="1">{#N/A,#N/A,FALSE,"Scenario PivotTable"}</definedName>
    <definedName name="arre_2_4" hidden="1">{#N/A,#N/A,FALSE,"Scenario PivotTable"}</definedName>
    <definedName name="arre_3" localSheetId="6" hidden="1">{#N/A,#N/A,FALSE,"Scenario PivotTable"}</definedName>
    <definedName name="arre_3" hidden="1">{#N/A,#N/A,FALSE,"Scenario PivotTable"}</definedName>
    <definedName name="arre_3_1" localSheetId="6" hidden="1">{#N/A,#N/A,FALSE,"Scenario PivotTable"}</definedName>
    <definedName name="arre_3_1" hidden="1">{#N/A,#N/A,FALSE,"Scenario PivotTable"}</definedName>
    <definedName name="arre_3_1_1" localSheetId="6" hidden="1">{#N/A,#N/A,FALSE,"Scenario PivotTable"}</definedName>
    <definedName name="arre_3_1_1" hidden="1">{#N/A,#N/A,FALSE,"Scenario PivotTable"}</definedName>
    <definedName name="arre_3_1_1_1" localSheetId="6" hidden="1">{#N/A,#N/A,FALSE,"Scenario PivotTable"}</definedName>
    <definedName name="arre_3_1_1_1" hidden="1">{#N/A,#N/A,FALSE,"Scenario PivotTable"}</definedName>
    <definedName name="arre_3_1_2" localSheetId="6" hidden="1">{#N/A,#N/A,FALSE,"Scenario PivotTable"}</definedName>
    <definedName name="arre_3_1_2" hidden="1">{#N/A,#N/A,FALSE,"Scenario PivotTable"}</definedName>
    <definedName name="arre_3_1_2_1" localSheetId="6" hidden="1">{#N/A,#N/A,FALSE,"Scenario PivotTable"}</definedName>
    <definedName name="arre_3_1_2_1" hidden="1">{#N/A,#N/A,FALSE,"Scenario PivotTable"}</definedName>
    <definedName name="arre_3_1_3" localSheetId="6" hidden="1">{#N/A,#N/A,FALSE,"Scenario PivotTable"}</definedName>
    <definedName name="arre_3_1_3" hidden="1">{#N/A,#N/A,FALSE,"Scenario PivotTable"}</definedName>
    <definedName name="arre_3_2" localSheetId="6" hidden="1">{#N/A,#N/A,FALSE,"Scenario PivotTable"}</definedName>
    <definedName name="arre_3_2" hidden="1">{#N/A,#N/A,FALSE,"Scenario PivotTable"}</definedName>
    <definedName name="arre_3_2_1" localSheetId="6" hidden="1">{#N/A,#N/A,FALSE,"Scenario PivotTable"}</definedName>
    <definedName name="arre_3_2_1" hidden="1">{#N/A,#N/A,FALSE,"Scenario PivotTable"}</definedName>
    <definedName name="arre_3_2_1_1" localSheetId="6" hidden="1">{#N/A,#N/A,FALSE,"Scenario PivotTable"}</definedName>
    <definedName name="arre_3_2_1_1" hidden="1">{#N/A,#N/A,FALSE,"Scenario PivotTable"}</definedName>
    <definedName name="arre_3_2_2" localSheetId="6" hidden="1">{#N/A,#N/A,FALSE,"Scenario PivotTable"}</definedName>
    <definedName name="arre_3_2_2" hidden="1">{#N/A,#N/A,FALSE,"Scenario PivotTable"}</definedName>
    <definedName name="arre_3_3" localSheetId="6" hidden="1">{#N/A,#N/A,FALSE,"Scenario PivotTable"}</definedName>
    <definedName name="arre_3_3" hidden="1">{#N/A,#N/A,FALSE,"Scenario PivotTable"}</definedName>
    <definedName name="arre_3_3_1" localSheetId="6" hidden="1">{#N/A,#N/A,FALSE,"Scenario PivotTable"}</definedName>
    <definedName name="arre_3_3_1" hidden="1">{#N/A,#N/A,FALSE,"Scenario PivotTable"}</definedName>
    <definedName name="arre_3_4" localSheetId="6" hidden="1">{#N/A,#N/A,FALSE,"Scenario PivotTable"}</definedName>
    <definedName name="arre_3_4" hidden="1">{#N/A,#N/A,FALSE,"Scenario PivotTable"}</definedName>
    <definedName name="arre_4" localSheetId="6" hidden="1">{#N/A,#N/A,FALSE,"Scenario PivotTable"}</definedName>
    <definedName name="arre_4" hidden="1">{#N/A,#N/A,FALSE,"Scenario PivotTable"}</definedName>
    <definedName name="arre_4_1" localSheetId="6" hidden="1">{#N/A,#N/A,FALSE,"Scenario PivotTable"}</definedName>
    <definedName name="arre_4_1" hidden="1">{#N/A,#N/A,FALSE,"Scenario PivotTable"}</definedName>
    <definedName name="arre_4_1_1" localSheetId="6" hidden="1">{#N/A,#N/A,FALSE,"Scenario PivotTable"}</definedName>
    <definedName name="arre_4_1_1" hidden="1">{#N/A,#N/A,FALSE,"Scenario PivotTable"}</definedName>
    <definedName name="arre_4_1_1_1" localSheetId="6" hidden="1">{#N/A,#N/A,FALSE,"Scenario PivotTable"}</definedName>
    <definedName name="arre_4_1_1_1" hidden="1">{#N/A,#N/A,FALSE,"Scenario PivotTable"}</definedName>
    <definedName name="arre_4_1_2" localSheetId="6" hidden="1">{#N/A,#N/A,FALSE,"Scenario PivotTable"}</definedName>
    <definedName name="arre_4_1_2" hidden="1">{#N/A,#N/A,FALSE,"Scenario PivotTable"}</definedName>
    <definedName name="arre_4_1_2_1" localSheetId="6" hidden="1">{#N/A,#N/A,FALSE,"Scenario PivotTable"}</definedName>
    <definedName name="arre_4_1_2_1" hidden="1">{#N/A,#N/A,FALSE,"Scenario PivotTable"}</definedName>
    <definedName name="arre_4_1_3" localSheetId="6" hidden="1">{#N/A,#N/A,FALSE,"Scenario PivotTable"}</definedName>
    <definedName name="arre_4_1_3" hidden="1">{#N/A,#N/A,FALSE,"Scenario PivotTable"}</definedName>
    <definedName name="arre_4_2" localSheetId="6" hidden="1">{#N/A,#N/A,FALSE,"Scenario PivotTable"}</definedName>
    <definedName name="arre_4_2" hidden="1">{#N/A,#N/A,FALSE,"Scenario PivotTable"}</definedName>
    <definedName name="arre_4_2_1" localSheetId="6" hidden="1">{#N/A,#N/A,FALSE,"Scenario PivotTable"}</definedName>
    <definedName name="arre_4_2_1" hidden="1">{#N/A,#N/A,FALSE,"Scenario PivotTable"}</definedName>
    <definedName name="arre_4_2_1_1" localSheetId="6" hidden="1">{#N/A,#N/A,FALSE,"Scenario PivotTable"}</definedName>
    <definedName name="arre_4_2_1_1" hidden="1">{#N/A,#N/A,FALSE,"Scenario PivotTable"}</definedName>
    <definedName name="arre_4_2_2" localSheetId="6" hidden="1">{#N/A,#N/A,FALSE,"Scenario PivotTable"}</definedName>
    <definedName name="arre_4_2_2" hidden="1">{#N/A,#N/A,FALSE,"Scenario PivotTable"}</definedName>
    <definedName name="arre_4_3" localSheetId="6" hidden="1">{#N/A,#N/A,FALSE,"Scenario PivotTable"}</definedName>
    <definedName name="arre_4_3" hidden="1">{#N/A,#N/A,FALSE,"Scenario PivotTable"}</definedName>
    <definedName name="arre_4_3_1" localSheetId="6" hidden="1">{#N/A,#N/A,FALSE,"Scenario PivotTable"}</definedName>
    <definedName name="arre_4_3_1" hidden="1">{#N/A,#N/A,FALSE,"Scenario PivotTable"}</definedName>
    <definedName name="arre_4_4" localSheetId="6" hidden="1">{#N/A,#N/A,FALSE,"Scenario PivotTable"}</definedName>
    <definedName name="arre_4_4" hidden="1">{#N/A,#N/A,FALSE,"Scenario PivotTable"}</definedName>
    <definedName name="arre_5" localSheetId="6" hidden="1">{#N/A,#N/A,FALSE,"Scenario PivotTable"}</definedName>
    <definedName name="arre_5" hidden="1">{#N/A,#N/A,FALSE,"Scenario PivotTable"}</definedName>
    <definedName name="arre_5_1" localSheetId="6" hidden="1">{#N/A,#N/A,FALSE,"Scenario PivotTable"}</definedName>
    <definedName name="arre_5_1" hidden="1">{#N/A,#N/A,FALSE,"Scenario PivotTable"}</definedName>
    <definedName name="arre_5_1_1" localSheetId="6" hidden="1">{#N/A,#N/A,FALSE,"Scenario PivotTable"}</definedName>
    <definedName name="arre_5_1_1" hidden="1">{#N/A,#N/A,FALSE,"Scenario PivotTable"}</definedName>
    <definedName name="arre_5_1_1_1" localSheetId="6" hidden="1">{#N/A,#N/A,FALSE,"Scenario PivotTable"}</definedName>
    <definedName name="arre_5_1_1_1" hidden="1">{#N/A,#N/A,FALSE,"Scenario PivotTable"}</definedName>
    <definedName name="arre_5_1_2" localSheetId="6" hidden="1">{#N/A,#N/A,FALSE,"Scenario PivotTable"}</definedName>
    <definedName name="arre_5_1_2" hidden="1">{#N/A,#N/A,FALSE,"Scenario PivotTable"}</definedName>
    <definedName name="arre_5_1_2_1" localSheetId="6" hidden="1">{#N/A,#N/A,FALSE,"Scenario PivotTable"}</definedName>
    <definedName name="arre_5_1_2_1" hidden="1">{#N/A,#N/A,FALSE,"Scenario PivotTable"}</definedName>
    <definedName name="arre_5_1_3" localSheetId="6" hidden="1">{#N/A,#N/A,FALSE,"Scenario PivotTable"}</definedName>
    <definedName name="arre_5_1_3" hidden="1">{#N/A,#N/A,FALSE,"Scenario PivotTable"}</definedName>
    <definedName name="arre_5_2" localSheetId="6" hidden="1">{#N/A,#N/A,FALSE,"Scenario PivotTable"}</definedName>
    <definedName name="arre_5_2" hidden="1">{#N/A,#N/A,FALSE,"Scenario PivotTable"}</definedName>
    <definedName name="arre_5_2_1" localSheetId="6" hidden="1">{#N/A,#N/A,FALSE,"Scenario PivotTable"}</definedName>
    <definedName name="arre_5_2_1" hidden="1">{#N/A,#N/A,FALSE,"Scenario PivotTable"}</definedName>
    <definedName name="arre_5_2_1_1" localSheetId="6" hidden="1">{#N/A,#N/A,FALSE,"Scenario PivotTable"}</definedName>
    <definedName name="arre_5_2_1_1" hidden="1">{#N/A,#N/A,FALSE,"Scenario PivotTable"}</definedName>
    <definedName name="arre_5_2_2" localSheetId="6" hidden="1">{#N/A,#N/A,FALSE,"Scenario PivotTable"}</definedName>
    <definedName name="arre_5_2_2" hidden="1">{#N/A,#N/A,FALSE,"Scenario PivotTable"}</definedName>
    <definedName name="arre_5_3" localSheetId="6" hidden="1">{#N/A,#N/A,FALSE,"Scenario PivotTable"}</definedName>
    <definedName name="arre_5_3" hidden="1">{#N/A,#N/A,FALSE,"Scenario PivotTable"}</definedName>
    <definedName name="arre_5_3_1" localSheetId="6" hidden="1">{#N/A,#N/A,FALSE,"Scenario PivotTable"}</definedName>
    <definedName name="arre_5_3_1" hidden="1">{#N/A,#N/A,FALSE,"Scenario PivotTable"}</definedName>
    <definedName name="arre_5_4" localSheetId="6" hidden="1">{#N/A,#N/A,FALSE,"Scenario PivotTable"}</definedName>
    <definedName name="arre_5_4" hidden="1">{#N/A,#N/A,FALSE,"Scenario PivotTable"}</definedName>
    <definedName name="art" localSheetId="0" hidden="1">{"First Page",#N/A,FALSE,"Surfactants LBO";"Second Page",#N/A,FALSE,"Surfactants LBO"}</definedName>
    <definedName name="art" localSheetId="6" hidden="1">{"First Page",#N/A,FALSE,"Surfactants LBO";"Second Page",#N/A,FALSE,"Surfactants LBO"}</definedName>
    <definedName name="art" hidden="1">{"First Page",#N/A,FALSE,"Surfactants LBO";"Second Page",#N/A,FALSE,"Surfactants LBO"}</definedName>
    <definedName name="Artems" localSheetId="0" hidden="1">{"First Page",#N/A,FALSE,"Surfactants LBO";"Second Page",#N/A,FALSE,"Surfactants LBO"}</definedName>
    <definedName name="Artems" localSheetId="6" hidden="1">{"First Page",#N/A,FALSE,"Surfactants LBO";"Second Page",#N/A,FALSE,"Surfactants LBO"}</definedName>
    <definedName name="Artems" hidden="1">{"First Page",#N/A,FALSE,"Surfactants LBO";"Second Page",#N/A,FALSE,"Surfactants LBO"}</definedName>
    <definedName name="Artic" localSheetId="0" hidden="1">{"First Page",#N/A,FALSE,"Surfactants LBO";"Second Page",#N/A,FALSE,"Surfactants LBO"}</definedName>
    <definedName name="Artic" localSheetId="6" hidden="1">{"First Page",#N/A,FALSE,"Surfactants LBO";"Second Page",#N/A,FALSE,"Surfactants LBO"}</definedName>
    <definedName name="Artic" hidden="1">{"First Page",#N/A,FALSE,"Surfactants LBO";"Second Page",#N/A,FALSE,"Surfactants LBO"}</definedName>
    <definedName name="ARW" hidden="1">#REF!</definedName>
    <definedName name="as" localSheetId="0" hidden="1">{#N/A,#N/A,TRUE,"Cover";#N/A,#N/A,TRUE,"Sum";#N/A,#N/A,TRUE,"SubsRev";#N/A,#N/A,TRUE,"CapEx";#N/A,#N/A,TRUE,"OpEx";#N/A,#N/A,TRUE,"SUs";#N/A,#N/A,TRUE,"OrgChart";#N/A,#N/A,TRUE,"Staff";#N/A,#N/A,TRUE,"P&amp;L";#N/A,#N/A,TRUE,"Cash";#N/A,#N/A,TRUE,"BS";#N/A,#N/A,TRUE,"Valuation";#N/A,#N/A,TRUE,"CapEx-Assumptions";#N/A,#N/A,TRUE,"OpEx-Assumptions"}</definedName>
    <definedName name="as" localSheetId="6" hidden="1">{#N/A,#N/A,TRUE,"Cover";#N/A,#N/A,TRUE,"Sum";#N/A,#N/A,TRUE,"SubsRev";#N/A,#N/A,TRUE,"CapEx";#N/A,#N/A,TRUE,"OpEx";#N/A,#N/A,TRUE,"SUs";#N/A,#N/A,TRUE,"OrgChart";#N/A,#N/A,TRUE,"Staff";#N/A,#N/A,TRUE,"P&amp;L";#N/A,#N/A,TRUE,"Cash";#N/A,#N/A,TRUE,"BS";#N/A,#N/A,TRUE,"Valuation";#N/A,#N/A,TRUE,"CapEx-Assumptions";#N/A,#N/A,TRUE,"OpEx-Assumptions"}</definedName>
    <definedName name="as" hidden="1">{#N/A,#N/A,TRUE,"Cover";#N/A,#N/A,TRUE,"Sum";#N/A,#N/A,TRUE,"SubsRev";#N/A,#N/A,TRUE,"CapEx";#N/A,#N/A,TRUE,"OpEx";#N/A,#N/A,TRUE,"SUs";#N/A,#N/A,TRUE,"OrgChart";#N/A,#N/A,TRUE,"Staff";#N/A,#N/A,TRUE,"P&amp;L";#N/A,#N/A,TRUE,"Cash";#N/A,#N/A,TRUE,"BS";#N/A,#N/A,TRUE,"Valuation";#N/A,#N/A,TRUE,"CapEx-Assumptions";#N/A,#N/A,TRUE,"OpEx-Assumptions"}</definedName>
    <definedName name="AS_1" localSheetId="0" hidden="1">{#N/A,#N/A,FALSE,"Pharm";#N/A,#N/A,FALSE,"WWCM"}</definedName>
    <definedName name="AS_1" localSheetId="6" hidden="1">{#N/A,#N/A,FALSE,"Pharm";#N/A,#N/A,FALSE,"WWCM"}</definedName>
    <definedName name="AS_1" hidden="1">{#N/A,#N/A,FALSE,"Pharm";#N/A,#N/A,FALSE,"WWCM"}</definedName>
    <definedName name="AS_1_1" localSheetId="0" hidden="1">{#N/A,#N/A,FALSE,"Pharm";#N/A,#N/A,FALSE,"WWCM"}</definedName>
    <definedName name="AS_1_1" localSheetId="6" hidden="1">{#N/A,#N/A,FALSE,"Pharm";#N/A,#N/A,FALSE,"WWCM"}</definedName>
    <definedName name="AS_1_1" hidden="1">{#N/A,#N/A,FALSE,"Pharm";#N/A,#N/A,FALSE,"WWCM"}</definedName>
    <definedName name="AS_2" localSheetId="0" hidden="1">{#N/A,#N/A,FALSE,"Pharm";#N/A,#N/A,FALSE,"WWCM"}</definedName>
    <definedName name="AS_2" localSheetId="6" hidden="1">{#N/A,#N/A,FALSE,"Pharm";#N/A,#N/A,FALSE,"WWCM"}</definedName>
    <definedName name="AS_2" hidden="1">{#N/A,#N/A,FALSE,"Pharm";#N/A,#N/A,FALSE,"WWCM"}</definedName>
    <definedName name="AS_3" localSheetId="0" hidden="1">{#N/A,#N/A,FALSE,"Pharm";#N/A,#N/A,FALSE,"WWCM"}</definedName>
    <definedName name="AS_3" localSheetId="6" hidden="1">{#N/A,#N/A,FALSE,"Pharm";#N/A,#N/A,FALSE,"WWCM"}</definedName>
    <definedName name="AS_3" hidden="1">{#N/A,#N/A,FALSE,"Pharm";#N/A,#N/A,FALSE,"WWCM"}</definedName>
    <definedName name="AS_4" localSheetId="0" hidden="1">{#N/A,#N/A,FALSE,"Pharm";#N/A,#N/A,FALSE,"WWCM"}</definedName>
    <definedName name="AS_4" localSheetId="6" hidden="1">{#N/A,#N/A,FALSE,"Pharm";#N/A,#N/A,FALSE,"WWCM"}</definedName>
    <definedName name="AS_4" hidden="1">{#N/A,#N/A,FALSE,"Pharm";#N/A,#N/A,FALSE,"WWCM"}</definedName>
    <definedName name="AS_5" localSheetId="0" hidden="1">{#N/A,#N/A,FALSE,"Pharm";#N/A,#N/A,FALSE,"WWCM"}</definedName>
    <definedName name="AS_5" localSheetId="6" hidden="1">{#N/A,#N/A,FALSE,"Pharm";#N/A,#N/A,FALSE,"WWCM"}</definedName>
    <definedName name="AS_5" hidden="1">{#N/A,#N/A,FALSE,"Pharm";#N/A,#N/A,FALSE,"WWCM"}</definedName>
    <definedName name="AS2DocOpenMode" hidden="1">"AS2DocumentEdit"</definedName>
    <definedName name="AS2HasNoAutoHeaderFooter" hidden="1">" "</definedName>
    <definedName name="AS2NamedRange" hidden="1">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ad" localSheetId="0" hidden="1">{"away stand alones",#N/A,FALSE,"Target"}</definedName>
    <definedName name="asad" localSheetId="6" hidden="1">{"away stand alones",#N/A,FALSE,"Target"}</definedName>
    <definedName name="asad" hidden="1">{"away stand alones",#N/A,FALSE,"Target"}</definedName>
    <definedName name="âsada" localSheetId="0" hidden="1">{#N/A,#N/A,FALSE,"Gesamt";#N/A,#N/A,FALSE,"Ree KG";#N/A,#N/A,FALSE,"Ree Inter";#N/A,#N/A,FALSE,"BTM";#N/A,#N/A,FALSE,"GmbH";#N/A,#N/A,FALSE,"Sonstige"}</definedName>
    <definedName name="âsada" localSheetId="6" hidden="1">{#N/A,#N/A,FALSE,"Gesamt";#N/A,#N/A,FALSE,"Ree KG";#N/A,#N/A,FALSE,"Ree Inter";#N/A,#N/A,FALSE,"BTM";#N/A,#N/A,FALSE,"GmbH";#N/A,#N/A,FALSE,"Sonstige"}</definedName>
    <definedName name="âsada" hidden="1">{#N/A,#N/A,FALSE,"Gesamt";#N/A,#N/A,FALSE,"Ree KG";#N/A,#N/A,FALSE,"Ree Inter";#N/A,#N/A,FALSE,"BTM";#N/A,#N/A,FALSE,"GmbH";#N/A,#N/A,FALSE,"Sonstige"}</definedName>
    <definedName name="ASaQSS" localSheetId="0" hidden="1">{"Ebit GuV",#N/A,FALSE,"EBIT";"Finanzbedarf1",#N/A,FALSE,"Finanzbedarf";"GuV",#N/A,FALSE,"1.GUV";"GuV Hist. 2",#N/A,FALSE,"1.GUV";"GuV Plan3",#N/A,FALSE,"1.GUV";"Bilanz Aktiva Hist",#N/A,FALSE,"2.Bilanz ";"Bilanz Passiva Hist",#N/A,FALSE,"2.Bilanz ";"Bilanz Aktiva Plan",#N/A,FALSE,"2.Bilanz ";"Bilanz Passiva Plan",#N/A,FALSE,"2.Bilanz ";"Personal Hist",#N/A,FALSE,"1.1.2. Personal";"Personal Plan",#N/A,FALSE,"1.1.2. Personal";"Umschalter AV",#N/A,FALSE,"2.2.Umschalter Anlagevermögen";"AV 93 95",#N/A,FALSE,"2.2.1.Anlagevermögen (Hist.)";"AV Plan 97 98",#N/A,FALSE,"2.2.2.AV Plan";"AV 95 97",#N/A,FALSE,"2.2.1.Anlagevermögen (Hist.)";"AV Plan 98 00",#N/A,FALSE,"2.2.2.AV Plan";"AV Plan 00 01",#N/A,FALSE,"2.2.2.AV Plan"}</definedName>
    <definedName name="ASaQSS" localSheetId="6" hidden="1">{"Ebit GuV",#N/A,FALSE,"EBIT";"Finanzbedarf1",#N/A,FALSE,"Finanzbedarf";"GuV",#N/A,FALSE,"1.GUV";"GuV Hist. 2",#N/A,FALSE,"1.GUV";"GuV Plan3",#N/A,FALSE,"1.GUV";"Bilanz Aktiva Hist",#N/A,FALSE,"2.Bilanz ";"Bilanz Passiva Hist",#N/A,FALSE,"2.Bilanz ";"Bilanz Aktiva Plan",#N/A,FALSE,"2.Bilanz ";"Bilanz Passiva Plan",#N/A,FALSE,"2.Bilanz ";"Personal Hist",#N/A,FALSE,"1.1.2. Personal";"Personal Plan",#N/A,FALSE,"1.1.2. Personal";"Umschalter AV",#N/A,FALSE,"2.2.Umschalter Anlagevermögen";"AV 93 95",#N/A,FALSE,"2.2.1.Anlagevermögen (Hist.)";"AV Plan 97 98",#N/A,FALSE,"2.2.2.AV Plan";"AV 95 97",#N/A,FALSE,"2.2.1.Anlagevermögen (Hist.)";"AV Plan 98 00",#N/A,FALSE,"2.2.2.AV Plan";"AV Plan 00 01",#N/A,FALSE,"2.2.2.AV Plan"}</definedName>
    <definedName name="ASaQSS" hidden="1">{"Ebit GuV",#N/A,FALSE,"EBIT";"Finanzbedarf1",#N/A,FALSE,"Finanzbedarf";"GuV",#N/A,FALSE,"1.GUV";"GuV Hist. 2",#N/A,FALSE,"1.GUV";"GuV Plan3",#N/A,FALSE,"1.GUV";"Bilanz Aktiva Hist",#N/A,FALSE,"2.Bilanz ";"Bilanz Passiva Hist",#N/A,FALSE,"2.Bilanz ";"Bilanz Aktiva Plan",#N/A,FALSE,"2.Bilanz ";"Bilanz Passiva Plan",#N/A,FALSE,"2.Bilanz ";"Personal Hist",#N/A,FALSE,"1.1.2. Personal";"Personal Plan",#N/A,FALSE,"1.1.2. Personal";"Umschalter AV",#N/A,FALSE,"2.2.Umschalter Anlagevermögen";"AV 93 95",#N/A,FALSE,"2.2.1.Anlagevermögen (Hist.)";"AV Plan 97 98",#N/A,FALSE,"2.2.2.AV Plan";"AV 95 97",#N/A,FALSE,"2.2.1.Anlagevermögen (Hist.)";"AV Plan 98 00",#N/A,FALSE,"2.2.2.AV Plan";"AV Plan 00 01",#N/A,FALSE,"2.2.2.AV Plan"}</definedName>
    <definedName name="asas" localSheetId="0" hidden="1">{"'INDICE'!$A$1:$K$13","'1'!$A$1:$CC$78","'2'!$A$1:$P$78","'3'!$A$1:$CI$78","'4'!$A$1:$Q$78"}</definedName>
    <definedName name="asas" localSheetId="6" hidden="1">{"'INDICE'!$A$1:$K$13","'1'!$A$1:$CC$78","'2'!$A$1:$P$78","'3'!$A$1:$CI$78","'4'!$A$1:$Q$78"}</definedName>
    <definedName name="asas" hidden="1">{"'INDICE'!$A$1:$K$13","'1'!$A$1:$CC$78","'2'!$A$1:$P$78","'3'!$A$1:$CI$78","'4'!$A$1:$Q$78"}</definedName>
    <definedName name="asas_1" localSheetId="0" hidden="1">{"'INDICE'!$A$1:$K$13","'1'!$A$1:$CC$78","'2'!$A$1:$P$78","'3'!$A$1:$CI$78","'4'!$A$1:$Q$78"}</definedName>
    <definedName name="asas_1" localSheetId="6" hidden="1">{"'INDICE'!$A$1:$K$13","'1'!$A$1:$CC$78","'2'!$A$1:$P$78","'3'!$A$1:$CI$78","'4'!$A$1:$Q$78"}</definedName>
    <definedName name="asas_1" hidden="1">{"'INDICE'!$A$1:$K$13","'1'!$A$1:$CC$78","'2'!$A$1:$P$78","'3'!$A$1:$CI$78","'4'!$A$1:$Q$78"}</definedName>
    <definedName name="asas_1_1" localSheetId="0" hidden="1">{#N/A,#N/A,FALSE,"Pharm";#N/A,#N/A,FALSE,"WWCM"}</definedName>
    <definedName name="asas_1_1" localSheetId="6" hidden="1">{#N/A,#N/A,FALSE,"Pharm";#N/A,#N/A,FALSE,"WWCM"}</definedName>
    <definedName name="asas_1_1" hidden="1">{#N/A,#N/A,FALSE,"Pharm";#N/A,#N/A,FALSE,"WWCM"}</definedName>
    <definedName name="asas_2" localSheetId="0" hidden="1">{#N/A,#N/A,FALSE,"Pharm";#N/A,#N/A,FALSE,"WWCM"}</definedName>
    <definedName name="asas_2" localSheetId="6" hidden="1">{#N/A,#N/A,FALSE,"Pharm";#N/A,#N/A,FALSE,"WWCM"}</definedName>
    <definedName name="asas_2" hidden="1">{#N/A,#N/A,FALSE,"Pharm";#N/A,#N/A,FALSE,"WWCM"}</definedName>
    <definedName name="asas_3" localSheetId="0" hidden="1">{#N/A,#N/A,FALSE,"Pharm";#N/A,#N/A,FALSE,"WWCM"}</definedName>
    <definedName name="asas_3" localSheetId="6" hidden="1">{#N/A,#N/A,FALSE,"Pharm";#N/A,#N/A,FALSE,"WWCM"}</definedName>
    <definedName name="asas_3" hidden="1">{#N/A,#N/A,FALSE,"Pharm";#N/A,#N/A,FALSE,"WWCM"}</definedName>
    <definedName name="asas_4" localSheetId="0" hidden="1">{#N/A,#N/A,FALSE,"Pharm";#N/A,#N/A,FALSE,"WWCM"}</definedName>
    <definedName name="asas_4" localSheetId="6" hidden="1">{#N/A,#N/A,FALSE,"Pharm";#N/A,#N/A,FALSE,"WWCM"}</definedName>
    <definedName name="asas_4" hidden="1">{#N/A,#N/A,FALSE,"Pharm";#N/A,#N/A,FALSE,"WWCM"}</definedName>
    <definedName name="asas_5" localSheetId="0" hidden="1">{#N/A,#N/A,FALSE,"Pharm";#N/A,#N/A,FALSE,"WWCM"}</definedName>
    <definedName name="asas_5" localSheetId="6" hidden="1">{#N/A,#N/A,FALSE,"Pharm";#N/A,#N/A,FALSE,"WWCM"}</definedName>
    <definedName name="asas_5" hidden="1">{#N/A,#N/A,FALSE,"Pharm";#N/A,#N/A,FALSE,"WWCM"}</definedName>
    <definedName name="asasa" localSheetId="6" hidden="1">{#N/A,#N/A,TRUE,"Production &amp; Sales";#N/A,#N/A,TRUE,"Variable cost details";#N/A,#N/A,TRUE,"Variable cost sammary";#N/A,#N/A,TRUE,"Depreciation";#N/A,#N/A,TRUE,"Fixed cost details";#N/A,#N/A,TRUE,"Fixed cost sammary";#N/A,#N/A,TRUE,"Budget Sammary"}</definedName>
    <definedName name="asasa" hidden="1">{#N/A,#N/A,TRUE,"Production &amp; Sales";#N/A,#N/A,TRUE,"Variable cost details";#N/A,#N/A,TRUE,"Variable cost sammary";#N/A,#N/A,TRUE,"Depreciation";#N/A,#N/A,TRUE,"Fixed cost details";#N/A,#N/A,TRUE,"Fixed cost sammary";#N/A,#N/A,TRUE,"Budget Sammary"}</definedName>
    <definedName name="asasasa" hidden="1">#REF!</definedName>
    <definedName name="asasasasas" localSheetId="6" hidden="1">{"PR1","pr1",TRUE,"Sch PR-1"}</definedName>
    <definedName name="asasasasas" hidden="1">{"PR1","pr1",TRUE,"Sch PR-1"}</definedName>
    <definedName name="asb" localSheetId="6" hidden="1">{#N/A,#N/A,FALSE,"EVA_RC"}</definedName>
    <definedName name="asb" hidden="1">{#N/A,#N/A,FALSE,"EVA_RC"}</definedName>
    <definedName name="ASCVBN" localSheetId="0" hidden="1">{#N/A,#N/A,FALSE,"Tabl. D1";#N/A,#N/A,FALSE,"Tabl. D1 b";#N/A,#N/A,FALSE,"Tabl. D2";#N/A,#N/A,FALSE,"Tabl. D2 b";#N/A,#N/A,FALSE,"Tabl. D3";#N/A,#N/A,FALSE,"Tabl. D4";#N/A,#N/A,FALSE,"Tabl. D5"}</definedName>
    <definedName name="ASCVBN" localSheetId="6" hidden="1">{#N/A,#N/A,FALSE,"Tabl. D1";#N/A,#N/A,FALSE,"Tabl. D1 b";#N/A,#N/A,FALSE,"Tabl. D2";#N/A,#N/A,FALSE,"Tabl. D2 b";#N/A,#N/A,FALSE,"Tabl. D3";#N/A,#N/A,FALSE,"Tabl. D4";#N/A,#N/A,FALSE,"Tabl. D5"}</definedName>
    <definedName name="ASCVBN" hidden="1">{#N/A,#N/A,FALSE,"Tabl. D1";#N/A,#N/A,FALSE,"Tabl. D1 b";#N/A,#N/A,FALSE,"Tabl. D2";#N/A,#N/A,FALSE,"Tabl. D2 b";#N/A,#N/A,FALSE,"Tabl. D3";#N/A,#N/A,FALSE,"Tabl. D4";#N/A,#N/A,FALSE,"Tabl. D5"}</definedName>
    <definedName name="asd">#REF!</definedName>
    <definedName name="asd_1" localSheetId="0" hidden="1">{#N/A,#N/A,FALSE,"Pharm";#N/A,#N/A,FALSE,"WWCM"}</definedName>
    <definedName name="asd_1" localSheetId="6" hidden="1">{#N/A,#N/A,FALSE,"Pharm";#N/A,#N/A,FALSE,"WWCM"}</definedName>
    <definedName name="asd_1" hidden="1">{#N/A,#N/A,FALSE,"Pharm";#N/A,#N/A,FALSE,"WWCM"}</definedName>
    <definedName name="asd_1_1" localSheetId="0" hidden="1">{#N/A,#N/A,FALSE,"Pharm";#N/A,#N/A,FALSE,"WWCM"}</definedName>
    <definedName name="asd_1_1" localSheetId="6" hidden="1">{#N/A,#N/A,FALSE,"Pharm";#N/A,#N/A,FALSE,"WWCM"}</definedName>
    <definedName name="asd_1_1" hidden="1">{#N/A,#N/A,FALSE,"Pharm";#N/A,#N/A,FALSE,"WWCM"}</definedName>
    <definedName name="asd_2" localSheetId="0" hidden="1">{#N/A,#N/A,FALSE,"Pharm";#N/A,#N/A,FALSE,"WWCM"}</definedName>
    <definedName name="asd_2" localSheetId="6" hidden="1">{#N/A,#N/A,FALSE,"Pharm";#N/A,#N/A,FALSE,"WWCM"}</definedName>
    <definedName name="asd_2" hidden="1">{#N/A,#N/A,FALSE,"Pharm";#N/A,#N/A,FALSE,"WWCM"}</definedName>
    <definedName name="asd_3" localSheetId="0" hidden="1">{#N/A,#N/A,FALSE,"Pharm";#N/A,#N/A,FALSE,"WWCM"}</definedName>
    <definedName name="asd_3" localSheetId="6" hidden="1">{#N/A,#N/A,FALSE,"Pharm";#N/A,#N/A,FALSE,"WWCM"}</definedName>
    <definedName name="asd_3" hidden="1">{#N/A,#N/A,FALSE,"Pharm";#N/A,#N/A,FALSE,"WWCM"}</definedName>
    <definedName name="asd_4" localSheetId="0" hidden="1">{#N/A,#N/A,FALSE,"Pharm";#N/A,#N/A,FALSE,"WWCM"}</definedName>
    <definedName name="asd_4" localSheetId="6" hidden="1">{#N/A,#N/A,FALSE,"Pharm";#N/A,#N/A,FALSE,"WWCM"}</definedName>
    <definedName name="asd_4" hidden="1">{#N/A,#N/A,FALSE,"Pharm";#N/A,#N/A,FALSE,"WWCM"}</definedName>
    <definedName name="asd_5" localSheetId="0" hidden="1">{#N/A,#N/A,FALSE,"Pharm";#N/A,#N/A,FALSE,"WWCM"}</definedName>
    <definedName name="asd_5" localSheetId="6" hidden="1">{#N/A,#N/A,FALSE,"Pharm";#N/A,#N/A,FALSE,"WWCM"}</definedName>
    <definedName name="asd_5" hidden="1">{#N/A,#N/A,FALSE,"Pharm";#N/A,#N/A,FALSE,"WWCM"}</definedName>
    <definedName name="asda" localSheetId="0" hidden="1">{"Page1",#N/A,FALSE,"DILUT1";"Page2",#N/A,FALSE,"DILUT1";"Page3",#N/A,FALSE,"DILUT1"}</definedName>
    <definedName name="asda" localSheetId="6" hidden="1">{"Page1",#N/A,FALSE,"DILUT1";"Page2",#N/A,FALSE,"DILUT1";"Page3",#N/A,FALSE,"DILUT1"}</definedName>
    <definedName name="asda" hidden="1">{"Page1",#N/A,FALSE,"DILUT1";"Page2",#N/A,FALSE,"DILUT1";"Page3",#N/A,FALSE,"DILUT1"}</definedName>
    <definedName name="ASDad" localSheetId="0" hidden="1">{#N/A,#N/A,FALSE,"Aging Summary";#N/A,#N/A,FALSE,"Ratio Analysis";#N/A,#N/A,FALSE,"Test 120 Day Accts";#N/A,#N/A,FALSE,"Tickmarks"}</definedName>
    <definedName name="ASDad" localSheetId="6" hidden="1">{#N/A,#N/A,FALSE,"Aging Summary";#N/A,#N/A,FALSE,"Ratio Analysis";#N/A,#N/A,FALSE,"Test 120 Day Accts";#N/A,#N/A,FALSE,"Tickmarks"}</definedName>
    <definedName name="ASDad" hidden="1">{#N/A,#N/A,FALSE,"Aging Summary";#N/A,#N/A,FALSE,"Ratio Analysis";#N/A,#N/A,FALSE,"Test 120 Day Accts";#N/A,#N/A,FALSE,"Tickmarks"}</definedName>
    <definedName name="asdadf" hidden="1">#REF!</definedName>
    <definedName name="asdaf" localSheetId="0" hidden="1">{#N/A,#N/A,FALSE,"PROFIT 11-95"}</definedName>
    <definedName name="asdaf" localSheetId="6" hidden="1">{#N/A,#N/A,FALSE,"PROFIT 11-95"}</definedName>
    <definedName name="asdaf" hidden="1">{#N/A,#N/A,FALSE,"PROFIT 11-95"}</definedName>
    <definedName name="asdasd" localSheetId="0" hidden="1">{"toc1",#N/A,FALSE,"TOC";"cover",#N/A,FALSE,"Cover";"ts1",#N/A,FALSE,"Transaction Summary";"ei3",#N/A,FALSE,"Earnings Impact";"ad3",#N/A,FALSE,"accretion dilution"}</definedName>
    <definedName name="asdasd" localSheetId="6" hidden="1">{"toc1",#N/A,FALSE,"TOC";"cover",#N/A,FALSE,"Cover";"ts1",#N/A,FALSE,"Transaction Summary";"ei3",#N/A,FALSE,"Earnings Impact";"ad3",#N/A,FALSE,"accretion dilution"}</definedName>
    <definedName name="asdasd" hidden="1">{"toc1",#N/A,FALSE,"TOC";"cover",#N/A,FALSE,"Cover";"ts1",#N/A,FALSE,"Transaction Summary";"ei3",#N/A,FALSE,"Earnings Impact";"ad3",#N/A,FALSE,"accretion dilution"}</definedName>
    <definedName name="asdasdasdasdasdasd" hidden="1">#REF!</definedName>
    <definedName name="asdc" localSheetId="0" hidden="1">{#N/A,#N/A,FALSE,"PROFIT 11-95"}</definedName>
    <definedName name="asdc" localSheetId="6" hidden="1">{#N/A,#N/A,FALSE,"PROFIT 11-95"}</definedName>
    <definedName name="asdc" hidden="1">{#N/A,#N/A,FALSE,"PROFIT 11-95"}</definedName>
    <definedName name="asdeg" hidden="1">#REF!</definedName>
    <definedName name="asdf" localSheetId="0" hidden="1">{#N/A,#N/A,FALSE,"ORIX CSC"}</definedName>
    <definedName name="asdf" localSheetId="6" hidden="1">{#N/A,#N/A,FALSE,"ORIX CSC"}</definedName>
    <definedName name="asdf" hidden="1">{#N/A,#N/A,FALSE,"ORIX CSC"}</definedName>
    <definedName name="asdfadsf" localSheetId="0" hidden="1">{"Co1statements",#N/A,FALSE,"Cmpy1";"Co2statement",#N/A,FALSE,"Cmpy2";"co1pm",#N/A,FALSE,"Co1PM";"co2PM",#N/A,FALSE,"Co2PM";"value",#N/A,FALSE,"value";"opco",#N/A,FALSE,"NewSparkle";"adjusts",#N/A,FALSE,"Adjustments"}</definedName>
    <definedName name="asdfadsf" localSheetId="6" hidden="1">{"Co1statements",#N/A,FALSE,"Cmpy1";"Co2statement",#N/A,FALSE,"Cmpy2";"co1pm",#N/A,FALSE,"Co1PM";"co2PM",#N/A,FALSE,"Co2PM";"value",#N/A,FALSE,"value";"opco",#N/A,FALSE,"NewSparkle";"adjusts",#N/A,FALSE,"Adjustments"}</definedName>
    <definedName name="asdfadsf" hidden="1">{"Co1statements",#N/A,FALSE,"Cmpy1";"Co2statement",#N/A,FALSE,"Cmpy2";"co1pm",#N/A,FALSE,"Co1PM";"co2PM",#N/A,FALSE,"Co2PM";"value",#N/A,FALSE,"value";"opco",#N/A,FALSE,"NewSparkle";"adjusts",#N/A,FALSE,"Adjustments"}</definedName>
    <definedName name="asdfasd" localSheetId="0" hidden="1">{"sch17",#N/A,FALSE,"Oth Inv";"sch17a",#N/A,FALSE,"Oth Inv";"sch17b",#N/A,FALSE,"Oth Inv"}</definedName>
    <definedName name="asdfasd" localSheetId="6" hidden="1">{"sch17",#N/A,FALSE,"Oth Inv";"sch17a",#N/A,FALSE,"Oth Inv";"sch17b",#N/A,FALSE,"Oth Inv"}</definedName>
    <definedName name="asdfasd" hidden="1">{"sch17",#N/A,FALSE,"Oth Inv";"sch17a",#N/A,FALSE,"Oth Inv";"sch17b",#N/A,FALSE,"Oth Inv"}</definedName>
    <definedName name="asdfasd_1" localSheetId="0" hidden="1">{"sch17",#N/A,FALSE,"Oth Inv";"sch17a",#N/A,FALSE,"Oth Inv";"sch17b",#N/A,FALSE,"Oth Inv"}</definedName>
    <definedName name="asdfasd_1" localSheetId="6" hidden="1">{"sch17",#N/A,FALSE,"Oth Inv";"sch17a",#N/A,FALSE,"Oth Inv";"sch17b",#N/A,FALSE,"Oth Inv"}</definedName>
    <definedName name="asdfasd_1" hidden="1">{"sch17",#N/A,FALSE,"Oth Inv";"sch17a",#N/A,FALSE,"Oth Inv";"sch17b",#N/A,FALSE,"Oth Inv"}</definedName>
    <definedName name="asdfasdf" localSheetId="0" hidden="1">{#N/A,#N/A,FALSE,"CBE";#N/A,#N/A,FALSE,"SWK"}</definedName>
    <definedName name="asdfasdf" localSheetId="6" hidden="1">{#N/A,#N/A,FALSE,"CBE";#N/A,#N/A,FALSE,"SWK"}</definedName>
    <definedName name="asdfasdf" hidden="1">{#N/A,#N/A,FALSE,"CBE";#N/A,#N/A,FALSE,"SWK"}</definedName>
    <definedName name="asdfasdfasdf" localSheetId="0" hidden="1">{"comp1",#N/A,FALSE,"COMPS";"footnotes",#N/A,FALSE,"COMPS"}</definedName>
    <definedName name="asdfasdfasdf" localSheetId="6" hidden="1">{"comp1",#N/A,FALSE,"COMPS";"footnotes",#N/A,FALSE,"COMPS"}</definedName>
    <definedName name="asdfasdfasdf" hidden="1">{"comp1",#N/A,FALSE,"COMPS";"footnotes",#N/A,FALSE,"COMPS"}</definedName>
    <definedName name="asdfasdfdddd" localSheetId="0" hidden="1">{"DCF","UPSIDE CASE",FALSE,"Sheet1";"DCF","BASE CASE",FALSE,"Sheet1";"DCF","DOWNSIDE CASE",FALSE,"Sheet1"}</definedName>
    <definedName name="asdfasdfdddd" localSheetId="6" hidden="1">{"DCF","UPSIDE CASE",FALSE,"Sheet1";"DCF","BASE CASE",FALSE,"Sheet1";"DCF","DOWNSIDE CASE",FALSE,"Sheet1"}</definedName>
    <definedName name="asdfasdfdddd" hidden="1">{"DCF","UPSIDE CASE",FALSE,"Sheet1";"DCF","BASE CASE",FALSE,"Sheet1";"DCF","DOWNSIDE CASE",FALSE,"Sheet1"}</definedName>
    <definedName name="asdfasdfsad" localSheetId="0" hidden="1">{#N/A,#N/A,FALSE,"output";#N/A,#N/A,FALSE,"contrib";#N/A,#N/A,FALSE,"profile";#N/A,#N/A,FALSE,"comps"}</definedName>
    <definedName name="asdfasdfsad" localSheetId="6" hidden="1">{#N/A,#N/A,FALSE,"output";#N/A,#N/A,FALSE,"contrib";#N/A,#N/A,FALSE,"profile";#N/A,#N/A,FALSE,"comps"}</definedName>
    <definedName name="asdfasdfsad" hidden="1">{#N/A,#N/A,FALSE,"output";#N/A,#N/A,FALSE,"contrib";#N/A,#N/A,FALSE,"profile";#N/A,#N/A,FALSE,"comps"}</definedName>
    <definedName name="asdfasf" hidden="1">38939.6653819444</definedName>
    <definedName name="asdfdd" localSheetId="0" hidden="1">{"mgmt forecast",#N/A,FALSE,"Mgmt Forecast";"dcf table",#N/A,FALSE,"Mgmt Forecast";"sensitivity",#N/A,FALSE,"Mgmt Forecast";"table inputs",#N/A,FALSE,"Mgmt Forecast";"calculations",#N/A,FALSE,"Mgmt Forecast"}</definedName>
    <definedName name="asdfdd" localSheetId="6" hidden="1">{"mgmt forecast",#N/A,FALSE,"Mgmt Forecast";"dcf table",#N/A,FALSE,"Mgmt Forecast";"sensitivity",#N/A,FALSE,"Mgmt Forecast";"table inputs",#N/A,FALSE,"Mgmt Forecast";"calculations",#N/A,FALSE,"Mgmt Forecast"}</definedName>
    <definedName name="asdfdd" hidden="1">{"mgmt forecast",#N/A,FALSE,"Mgmt Forecast";"dcf table",#N/A,FALSE,"Mgmt Forecast";"sensitivity",#N/A,FALSE,"Mgmt Forecast";"table inputs",#N/A,FALSE,"Mgmt Forecast";"calculations",#N/A,FALSE,"Mgmt Forecast"}</definedName>
    <definedName name="asdff" localSheetId="0" hidden="1">{"GTI monthly IS",#N/A,FALSE,"gti";#N/A,#N/A,FALSE,"gti"}</definedName>
    <definedName name="asdff" localSheetId="6" hidden="1">{"GTI monthly IS",#N/A,FALSE,"gti";#N/A,#N/A,FALSE,"gti"}</definedName>
    <definedName name="asdff" hidden="1">{"GTI monthly IS",#N/A,FALSE,"gti";#N/A,#N/A,FALSE,"gti"}</definedName>
    <definedName name="asdfg" localSheetId="0" hidden="1">{#N/A,#N/A,FALSE,"Pharm";#N/A,#N/A,FALSE,"WWCM"}</definedName>
    <definedName name="asdfg" localSheetId="6" hidden="1">{#N/A,#N/A,FALSE,"Pharm";#N/A,#N/A,FALSE,"WWCM"}</definedName>
    <definedName name="asdfg" hidden="1">{#N/A,#N/A,FALSE,"Pharm";#N/A,#N/A,FALSE,"WWCM"}</definedName>
    <definedName name="asdfg_1" localSheetId="0" hidden="1">{#N/A,#N/A,FALSE,"Pharm";#N/A,#N/A,FALSE,"WWCM"}</definedName>
    <definedName name="asdfg_1" localSheetId="6" hidden="1">{#N/A,#N/A,FALSE,"Pharm";#N/A,#N/A,FALSE,"WWCM"}</definedName>
    <definedName name="asdfg_1" hidden="1">{#N/A,#N/A,FALSE,"Pharm";#N/A,#N/A,FALSE,"WWCM"}</definedName>
    <definedName name="asdfg_1_1" localSheetId="0" hidden="1">{#N/A,#N/A,FALSE,"Pharm";#N/A,#N/A,FALSE,"WWCM"}</definedName>
    <definedName name="asdfg_1_1" localSheetId="6" hidden="1">{#N/A,#N/A,FALSE,"Pharm";#N/A,#N/A,FALSE,"WWCM"}</definedName>
    <definedName name="asdfg_1_1" hidden="1">{#N/A,#N/A,FALSE,"Pharm";#N/A,#N/A,FALSE,"WWCM"}</definedName>
    <definedName name="asdfg_2" localSheetId="0" hidden="1">{#N/A,#N/A,FALSE,"Pharm";#N/A,#N/A,FALSE,"WWCM"}</definedName>
    <definedName name="asdfg_2" localSheetId="6" hidden="1">{#N/A,#N/A,FALSE,"Pharm";#N/A,#N/A,FALSE,"WWCM"}</definedName>
    <definedName name="asdfg_2" hidden="1">{#N/A,#N/A,FALSE,"Pharm";#N/A,#N/A,FALSE,"WWCM"}</definedName>
    <definedName name="asdfg_3" localSheetId="0" hidden="1">{#N/A,#N/A,FALSE,"Pharm";#N/A,#N/A,FALSE,"WWCM"}</definedName>
    <definedName name="asdfg_3" localSheetId="6" hidden="1">{#N/A,#N/A,FALSE,"Pharm";#N/A,#N/A,FALSE,"WWCM"}</definedName>
    <definedName name="asdfg_3" hidden="1">{#N/A,#N/A,FALSE,"Pharm";#N/A,#N/A,FALSE,"WWCM"}</definedName>
    <definedName name="asdfg_4" localSheetId="0" hidden="1">{#N/A,#N/A,FALSE,"Pharm";#N/A,#N/A,FALSE,"WWCM"}</definedName>
    <definedName name="asdfg_4" localSheetId="6" hidden="1">{#N/A,#N/A,FALSE,"Pharm";#N/A,#N/A,FALSE,"WWCM"}</definedName>
    <definedName name="asdfg_4" hidden="1">{#N/A,#N/A,FALSE,"Pharm";#N/A,#N/A,FALSE,"WWCM"}</definedName>
    <definedName name="asdfg_5" localSheetId="0" hidden="1">{#N/A,#N/A,FALSE,"Pharm";#N/A,#N/A,FALSE,"WWCM"}</definedName>
    <definedName name="asdfg_5" localSheetId="6" hidden="1">{#N/A,#N/A,FALSE,"Pharm";#N/A,#N/A,FALSE,"WWCM"}</definedName>
    <definedName name="asdfg_5" hidden="1">{#N/A,#N/A,FALSE,"Pharm";#N/A,#N/A,FALSE,"WWCM"}</definedName>
    <definedName name="ASDFGHJKK" localSheetId="0" hidden="1">{"Fiesta Facer Page",#N/A,FALSE,"Q_C_S";"Fiesta Main Page",#N/A,FALSE,"V_L";"Fiesta 95BP Struct",#N/A,FALSE,"StructBP";"Fiesta Post 95BP Struct",#N/A,FALSE,"AdjStructBP"}</definedName>
    <definedName name="ASDFGHJKK" localSheetId="6" hidden="1">{"Fiesta Facer Page",#N/A,FALSE,"Q_C_S";"Fiesta Main Page",#N/A,FALSE,"V_L";"Fiesta 95BP Struct",#N/A,FALSE,"StructBP";"Fiesta Post 95BP Struct",#N/A,FALSE,"AdjStructBP"}</definedName>
    <definedName name="ASDFGHJKK" hidden="1">{"Fiesta Facer Page",#N/A,FALSE,"Q_C_S";"Fiesta Main Page",#N/A,FALSE,"V_L";"Fiesta 95BP Struct",#N/A,FALSE,"StructBP";"Fiesta Post 95BP Struct",#N/A,FALSE,"AdjStructBP"}</definedName>
    <definedName name="asdfsdfsdfsdf" localSheetId="0" hidden="1">{"targetdcf",#N/A,FALSE,"Merger consequences";"TARGETASSU",#N/A,FALSE,"Merger consequences";"TERMINAL VALUE",#N/A,FALSE,"Merger consequences"}</definedName>
    <definedName name="asdfsdfsdfsdf" localSheetId="6" hidden="1">{"targetdcf",#N/A,FALSE,"Merger consequences";"TARGETASSU",#N/A,FALSE,"Merger consequences";"TERMINAL VALUE",#N/A,FALSE,"Merger consequences"}</definedName>
    <definedName name="asdfsdfsdfsdf" hidden="1">{"targetdcf",#N/A,FALSE,"Merger consequences";"TARGETASSU",#N/A,FALSE,"Merger consequences";"TERMINAL VALUE",#N/A,FALSE,"Merger consequences"}</definedName>
    <definedName name="ASDG" hidden="1">#REF!</definedName>
    <definedName name="asdgahdfhth" localSheetId="0" hidden="1">{#N/A,#N/A,FALSE,"REPORT"}</definedName>
    <definedName name="asdgahdfhth" localSheetId="6" hidden="1">{#N/A,#N/A,FALSE,"REPORT"}</definedName>
    <definedName name="asdgahdfhth" hidden="1">{#N/A,#N/A,FALSE,"REPORT"}</definedName>
    <definedName name="asdgahdfhth_1" localSheetId="0" hidden="1">{#N/A,#N/A,FALSE,"REPORT"}</definedName>
    <definedName name="asdgahdfhth_1" localSheetId="6" hidden="1">{#N/A,#N/A,FALSE,"REPORT"}</definedName>
    <definedName name="asdgahdfhth_1" hidden="1">{#N/A,#N/A,FALSE,"REPORT"}</definedName>
    <definedName name="asdgahdfhth_1_1" localSheetId="0" hidden="1">{#N/A,#N/A,FALSE,"REPORT"}</definedName>
    <definedName name="asdgahdfhth_1_1" localSheetId="6" hidden="1">{#N/A,#N/A,FALSE,"REPORT"}</definedName>
    <definedName name="asdgahdfhth_1_1" hidden="1">{#N/A,#N/A,FALSE,"REPORT"}</definedName>
    <definedName name="asdgahdfhth_2" localSheetId="0" hidden="1">{#N/A,#N/A,FALSE,"REPORT"}</definedName>
    <definedName name="asdgahdfhth_2" localSheetId="6" hidden="1">{#N/A,#N/A,FALSE,"REPORT"}</definedName>
    <definedName name="asdgahdfhth_2" hidden="1">{#N/A,#N/A,FALSE,"REPORT"}</definedName>
    <definedName name="asdgahdfhth_3" localSheetId="0" hidden="1">{#N/A,#N/A,FALSE,"REPORT"}</definedName>
    <definedName name="asdgahdfhth_3" localSheetId="6" hidden="1">{#N/A,#N/A,FALSE,"REPORT"}</definedName>
    <definedName name="asdgahdfhth_3" hidden="1">{#N/A,#N/A,FALSE,"REPORT"}</definedName>
    <definedName name="asdgahdfhth_4" localSheetId="0" hidden="1">{#N/A,#N/A,FALSE,"REPORT"}</definedName>
    <definedName name="asdgahdfhth_4" localSheetId="6" hidden="1">{#N/A,#N/A,FALSE,"REPORT"}</definedName>
    <definedName name="asdgahdfhth_4" hidden="1">{#N/A,#N/A,FALSE,"REPORT"}</definedName>
    <definedName name="asdgahdfhth_5" localSheetId="0" hidden="1">{#N/A,#N/A,FALSE,"REPORT"}</definedName>
    <definedName name="asdgahdfhth_5" localSheetId="6" hidden="1">{#N/A,#N/A,FALSE,"REPORT"}</definedName>
    <definedName name="asdgahdfhth_5" hidden="1">{#N/A,#N/A,FALSE,"REPORT"}</definedName>
    <definedName name="asdgayery" localSheetId="0" hidden="1">{#N/A,#N/A,FALSE,"Pharm";#N/A,#N/A,FALSE,"WWCM"}</definedName>
    <definedName name="asdgayery" localSheetId="6" hidden="1">{#N/A,#N/A,FALSE,"Pharm";#N/A,#N/A,FALSE,"WWCM"}</definedName>
    <definedName name="asdgayery" hidden="1">{#N/A,#N/A,FALSE,"Pharm";#N/A,#N/A,FALSE,"WWCM"}</definedName>
    <definedName name="asdgayery_1" localSheetId="0" hidden="1">{#N/A,#N/A,FALSE,"Pharm";#N/A,#N/A,FALSE,"WWCM"}</definedName>
    <definedName name="asdgayery_1" localSheetId="6" hidden="1">{#N/A,#N/A,FALSE,"Pharm";#N/A,#N/A,FALSE,"WWCM"}</definedName>
    <definedName name="asdgayery_1" hidden="1">{#N/A,#N/A,FALSE,"Pharm";#N/A,#N/A,FALSE,"WWCM"}</definedName>
    <definedName name="asdgayery_1_1" localSheetId="0" hidden="1">{#N/A,#N/A,FALSE,"Pharm";#N/A,#N/A,FALSE,"WWCM"}</definedName>
    <definedName name="asdgayery_1_1" localSheetId="6" hidden="1">{#N/A,#N/A,FALSE,"Pharm";#N/A,#N/A,FALSE,"WWCM"}</definedName>
    <definedName name="asdgayery_1_1" hidden="1">{#N/A,#N/A,FALSE,"Pharm";#N/A,#N/A,FALSE,"WWCM"}</definedName>
    <definedName name="asdgayery_2" localSheetId="0" hidden="1">{#N/A,#N/A,FALSE,"Pharm";#N/A,#N/A,FALSE,"WWCM"}</definedName>
    <definedName name="asdgayery_2" localSheetId="6" hidden="1">{#N/A,#N/A,FALSE,"Pharm";#N/A,#N/A,FALSE,"WWCM"}</definedName>
    <definedName name="asdgayery_2" hidden="1">{#N/A,#N/A,FALSE,"Pharm";#N/A,#N/A,FALSE,"WWCM"}</definedName>
    <definedName name="asdgayery_3" localSheetId="0" hidden="1">{#N/A,#N/A,FALSE,"Pharm";#N/A,#N/A,FALSE,"WWCM"}</definedName>
    <definedName name="asdgayery_3" localSheetId="6" hidden="1">{#N/A,#N/A,FALSE,"Pharm";#N/A,#N/A,FALSE,"WWCM"}</definedName>
    <definedName name="asdgayery_3" hidden="1">{#N/A,#N/A,FALSE,"Pharm";#N/A,#N/A,FALSE,"WWCM"}</definedName>
    <definedName name="asdgayery_4" localSheetId="0" hidden="1">{#N/A,#N/A,FALSE,"Pharm";#N/A,#N/A,FALSE,"WWCM"}</definedName>
    <definedName name="asdgayery_4" localSheetId="6" hidden="1">{#N/A,#N/A,FALSE,"Pharm";#N/A,#N/A,FALSE,"WWCM"}</definedName>
    <definedName name="asdgayery_4" hidden="1">{#N/A,#N/A,FALSE,"Pharm";#N/A,#N/A,FALSE,"WWCM"}</definedName>
    <definedName name="asdgayery_5" localSheetId="0" hidden="1">{#N/A,#N/A,FALSE,"Pharm";#N/A,#N/A,FALSE,"WWCM"}</definedName>
    <definedName name="asdgayery_5" localSheetId="6" hidden="1">{#N/A,#N/A,FALSE,"Pharm";#N/A,#N/A,FALSE,"WWCM"}</definedName>
    <definedName name="asdgayery_5" hidden="1">{#N/A,#N/A,FALSE,"Pharm";#N/A,#N/A,FALSE,"WWCM"}</definedName>
    <definedName name="ASDGC" localSheetId="6" hidden="1">{#N/A,#N/A,TRUE,"A";#N/A,#N/A,TRUE,"IS";#N/A,#N/A,TRUE,"CF";#N/A,#N/A,TRUE,"BS";#N/A,#N/A,TRUE,"REV";#N/A,#N/A,TRUE,"OPS";#N/A,#N/A,TRUE,"ADM";#N/A,#N/A,TRUE,"AST";#N/A,#N/A,TRUE,"DEP"}</definedName>
    <definedName name="ASDGC" hidden="1">{#N/A,#N/A,TRUE,"A";#N/A,#N/A,TRUE,"IS";#N/A,#N/A,TRUE,"CF";#N/A,#N/A,TRUE,"BS";#N/A,#N/A,TRUE,"REV";#N/A,#N/A,TRUE,"OPS";#N/A,#N/A,TRUE,"ADM";#N/A,#N/A,TRUE,"AST";#N/A,#N/A,TRUE,"DEP"}</definedName>
    <definedName name="ASDGDSAGSFDGSDGSFG" localSheetId="6" hidden="1">{#N/A,#N/A,FALSE,"Aging Summary";#N/A,#N/A,FALSE,"Ratio Analysis";#N/A,#N/A,FALSE,"Test 120 Day Accts";#N/A,#N/A,FALSE,"Tickmarks"}</definedName>
    <definedName name="ASDGDSAGSFDGSDGSFG" hidden="1">{#N/A,#N/A,FALSE,"Aging Summary";#N/A,#N/A,FALSE,"Ratio Analysis";#N/A,#N/A,FALSE,"Test 120 Day Accts";#N/A,#N/A,FALSE,"Tickmarks"}</definedName>
    <definedName name="ASDGF" hidden="1">#REF!</definedName>
    <definedName name="asdgfdytyet" localSheetId="0" hidden="1">{#N/A,#N/A,FALSE,"REPORT"}</definedName>
    <definedName name="asdgfdytyet" localSheetId="6" hidden="1">{#N/A,#N/A,FALSE,"REPORT"}</definedName>
    <definedName name="asdgfdytyet" hidden="1">{#N/A,#N/A,FALSE,"REPORT"}</definedName>
    <definedName name="asdgfdytyet_1" localSheetId="0" hidden="1">{#N/A,#N/A,FALSE,"REPORT"}</definedName>
    <definedName name="asdgfdytyet_1" localSheetId="6" hidden="1">{#N/A,#N/A,FALSE,"REPORT"}</definedName>
    <definedName name="asdgfdytyet_1" hidden="1">{#N/A,#N/A,FALSE,"REPORT"}</definedName>
    <definedName name="asdgfdytyet_1_1" localSheetId="0" hidden="1">{#N/A,#N/A,FALSE,"REPORT"}</definedName>
    <definedName name="asdgfdytyet_1_1" localSheetId="6" hidden="1">{#N/A,#N/A,FALSE,"REPORT"}</definedName>
    <definedName name="asdgfdytyet_1_1" hidden="1">{#N/A,#N/A,FALSE,"REPORT"}</definedName>
    <definedName name="asdgfdytyet_2" localSheetId="0" hidden="1">{#N/A,#N/A,FALSE,"REPORT"}</definedName>
    <definedName name="asdgfdytyet_2" localSheetId="6" hidden="1">{#N/A,#N/A,FALSE,"REPORT"}</definedName>
    <definedName name="asdgfdytyet_2" hidden="1">{#N/A,#N/A,FALSE,"REPORT"}</definedName>
    <definedName name="asdgfdytyet_3" localSheetId="0" hidden="1">{#N/A,#N/A,FALSE,"REPORT"}</definedName>
    <definedName name="asdgfdytyet_3" localSheetId="6" hidden="1">{#N/A,#N/A,FALSE,"REPORT"}</definedName>
    <definedName name="asdgfdytyet_3" hidden="1">{#N/A,#N/A,FALSE,"REPORT"}</definedName>
    <definedName name="asdgfdytyet_4" localSheetId="0" hidden="1">{#N/A,#N/A,FALSE,"REPORT"}</definedName>
    <definedName name="asdgfdytyet_4" localSheetId="6" hidden="1">{#N/A,#N/A,FALSE,"REPORT"}</definedName>
    <definedName name="asdgfdytyet_4" hidden="1">{#N/A,#N/A,FALSE,"REPORT"}</definedName>
    <definedName name="asdgfdytyet_5" localSheetId="0" hidden="1">{#N/A,#N/A,FALSE,"REPORT"}</definedName>
    <definedName name="asdgfdytyet_5" localSheetId="6" hidden="1">{#N/A,#N/A,FALSE,"REPORT"}</definedName>
    <definedName name="asdgfdytyet_5" hidden="1">{#N/A,#N/A,FALSE,"REPORT"}</definedName>
    <definedName name="asdgtryukuio" localSheetId="0" hidden="1">{#N/A,#N/A,FALSE,"REPORT"}</definedName>
    <definedName name="asdgtryukuio" localSheetId="6" hidden="1">{#N/A,#N/A,FALSE,"REPORT"}</definedName>
    <definedName name="asdgtryukuio" hidden="1">{#N/A,#N/A,FALSE,"REPORT"}</definedName>
    <definedName name="asdgtryukuio_1" localSheetId="0" hidden="1">{#N/A,#N/A,FALSE,"REPORT"}</definedName>
    <definedName name="asdgtryukuio_1" localSheetId="6" hidden="1">{#N/A,#N/A,FALSE,"REPORT"}</definedName>
    <definedName name="asdgtryukuio_1" hidden="1">{#N/A,#N/A,FALSE,"REPORT"}</definedName>
    <definedName name="asdgtryukuio_1_1" localSheetId="0" hidden="1">{#N/A,#N/A,FALSE,"REPORT"}</definedName>
    <definedName name="asdgtryukuio_1_1" localSheetId="6" hidden="1">{#N/A,#N/A,FALSE,"REPORT"}</definedName>
    <definedName name="asdgtryukuio_1_1" hidden="1">{#N/A,#N/A,FALSE,"REPORT"}</definedName>
    <definedName name="asdgtryukuio_2" localSheetId="0" hidden="1">{#N/A,#N/A,FALSE,"REPORT"}</definedName>
    <definedName name="asdgtryukuio_2" localSheetId="6" hidden="1">{#N/A,#N/A,FALSE,"REPORT"}</definedName>
    <definedName name="asdgtryukuio_2" hidden="1">{#N/A,#N/A,FALSE,"REPORT"}</definedName>
    <definedName name="asdgtryukuio_3" localSheetId="0" hidden="1">{#N/A,#N/A,FALSE,"REPORT"}</definedName>
    <definedName name="asdgtryukuio_3" localSheetId="6" hidden="1">{#N/A,#N/A,FALSE,"REPORT"}</definedName>
    <definedName name="asdgtryukuio_3" hidden="1">{#N/A,#N/A,FALSE,"REPORT"}</definedName>
    <definedName name="asdgtryukuio_4" localSheetId="0" hidden="1">{#N/A,#N/A,FALSE,"REPORT"}</definedName>
    <definedName name="asdgtryukuio_4" localSheetId="6" hidden="1">{#N/A,#N/A,FALSE,"REPORT"}</definedName>
    <definedName name="asdgtryukuio_4" hidden="1">{#N/A,#N/A,FALSE,"REPORT"}</definedName>
    <definedName name="asdgtryukuio_5" localSheetId="0" hidden="1">{#N/A,#N/A,FALSE,"REPORT"}</definedName>
    <definedName name="asdgtryukuio_5" localSheetId="6" hidden="1">{#N/A,#N/A,FALSE,"REPORT"}</definedName>
    <definedName name="asdgtryukuio_5" hidden="1">{#N/A,#N/A,FALSE,"REPORT"}</definedName>
    <definedName name="asdjgkl" localSheetId="0" hidden="1">{#N/A,#N/A,FALSE,"Pharm";#N/A,#N/A,FALSE,"WWCM"}</definedName>
    <definedName name="asdjgkl" localSheetId="6" hidden="1">{#N/A,#N/A,FALSE,"Pharm";#N/A,#N/A,FALSE,"WWCM"}</definedName>
    <definedName name="asdjgkl" hidden="1">{#N/A,#N/A,FALSE,"Pharm";#N/A,#N/A,FALSE,"WWCM"}</definedName>
    <definedName name="asdjgkl_1" localSheetId="0" hidden="1">{#N/A,#N/A,FALSE,"Pharm";#N/A,#N/A,FALSE,"WWCM"}</definedName>
    <definedName name="asdjgkl_1" localSheetId="6" hidden="1">{#N/A,#N/A,FALSE,"Pharm";#N/A,#N/A,FALSE,"WWCM"}</definedName>
    <definedName name="asdjgkl_1" hidden="1">{#N/A,#N/A,FALSE,"Pharm";#N/A,#N/A,FALSE,"WWCM"}</definedName>
    <definedName name="asdjgkl_1_1" localSheetId="0" hidden="1">{#N/A,#N/A,FALSE,"Pharm";#N/A,#N/A,FALSE,"WWCM"}</definedName>
    <definedName name="asdjgkl_1_1" localSheetId="6" hidden="1">{#N/A,#N/A,FALSE,"Pharm";#N/A,#N/A,FALSE,"WWCM"}</definedName>
    <definedName name="asdjgkl_1_1" hidden="1">{#N/A,#N/A,FALSE,"Pharm";#N/A,#N/A,FALSE,"WWCM"}</definedName>
    <definedName name="asdjgkl_2" localSheetId="0" hidden="1">{#N/A,#N/A,FALSE,"Pharm";#N/A,#N/A,FALSE,"WWCM"}</definedName>
    <definedName name="asdjgkl_2" localSheetId="6" hidden="1">{#N/A,#N/A,FALSE,"Pharm";#N/A,#N/A,FALSE,"WWCM"}</definedName>
    <definedName name="asdjgkl_2" hidden="1">{#N/A,#N/A,FALSE,"Pharm";#N/A,#N/A,FALSE,"WWCM"}</definedName>
    <definedName name="asdjgkl_3" localSheetId="0" hidden="1">{#N/A,#N/A,FALSE,"Pharm";#N/A,#N/A,FALSE,"WWCM"}</definedName>
    <definedName name="asdjgkl_3" localSheetId="6" hidden="1">{#N/A,#N/A,FALSE,"Pharm";#N/A,#N/A,FALSE,"WWCM"}</definedName>
    <definedName name="asdjgkl_3" hidden="1">{#N/A,#N/A,FALSE,"Pharm";#N/A,#N/A,FALSE,"WWCM"}</definedName>
    <definedName name="asdjgkl_4" localSheetId="0" hidden="1">{#N/A,#N/A,FALSE,"Pharm";#N/A,#N/A,FALSE,"WWCM"}</definedName>
    <definedName name="asdjgkl_4" localSheetId="6" hidden="1">{#N/A,#N/A,FALSE,"Pharm";#N/A,#N/A,FALSE,"WWCM"}</definedName>
    <definedName name="asdjgkl_4" hidden="1">{#N/A,#N/A,FALSE,"Pharm";#N/A,#N/A,FALSE,"WWCM"}</definedName>
    <definedName name="asdjgkl_5" localSheetId="0" hidden="1">{#N/A,#N/A,FALSE,"Pharm";#N/A,#N/A,FALSE,"WWCM"}</definedName>
    <definedName name="asdjgkl_5" localSheetId="6" hidden="1">{#N/A,#N/A,FALSE,"Pharm";#N/A,#N/A,FALSE,"WWCM"}</definedName>
    <definedName name="asdjgkl_5" hidden="1">{#N/A,#N/A,FALSE,"Pharm";#N/A,#N/A,FALSE,"WWCM"}</definedName>
    <definedName name="asdklfj" localSheetId="6" hidden="1">{"Page1",#N/A,FALSE,"Page1";"Overview",#N/A,FALSE,"Overview";"result",#N/A,FALSE,"Result";"Charts1",#N/A,FALSE,"Charts1";"Charts2",#N/A,FALSE,"Charts2"}</definedName>
    <definedName name="asdklfj" hidden="1">{"Page1",#N/A,FALSE,"Page1";"Overview",#N/A,FALSE,"Overview";"result",#N/A,FALSE,"Result";"Charts1",#N/A,FALSE,"Charts1";"Charts2",#N/A,FALSE,"Charts2"}</definedName>
    <definedName name="asdlkhf" localSheetId="6" hidden="1">{#N/A,#N/A,FALSE,"EVA_SC"}</definedName>
    <definedName name="asdlkhf" hidden="1">{#N/A,#N/A,FALSE,"EVA_SC"}</definedName>
    <definedName name="asds" localSheetId="0" hidden="1">{#N/A,#N/A,FALSE,"Umsatz CH";#N/A,#N/A,FALSE,"ER CH";#N/A,#N/A,FALSE,"EA CH (2) ";#N/A,#N/A,FALSE,"EA CH";#N/A,#N/A,FALSE,"EA CH (3) ";#N/A,#N/A,FALSE,"EA CH (4)";#N/A,#N/A,FALSE,"KA CH";#N/A,#N/A,FALSE,"KA CH  (2)";#N/A,#N/A,FALSE,"KA CH  (3)";#N/A,#N/A,FALSE,"KA CH (4)"}</definedName>
    <definedName name="asds" localSheetId="6" hidden="1">{#N/A,#N/A,FALSE,"Umsatz CH";#N/A,#N/A,FALSE,"ER CH";#N/A,#N/A,FALSE,"EA CH (2) ";#N/A,#N/A,FALSE,"EA CH";#N/A,#N/A,FALSE,"EA CH (3) ";#N/A,#N/A,FALSE,"EA CH (4)";#N/A,#N/A,FALSE,"KA CH";#N/A,#N/A,FALSE,"KA CH  (2)";#N/A,#N/A,FALSE,"KA CH  (3)";#N/A,#N/A,FALSE,"KA CH (4)"}</definedName>
    <definedName name="asds" hidden="1">{#N/A,#N/A,FALSE,"Umsatz CH";#N/A,#N/A,FALSE,"ER CH";#N/A,#N/A,FALSE,"EA CH (2) ";#N/A,#N/A,FALSE,"EA CH";#N/A,#N/A,FALSE,"EA CH (3) ";#N/A,#N/A,FALSE,"EA CH (4)";#N/A,#N/A,FALSE,"KA CH";#N/A,#N/A,FALSE,"KA CH  (2)";#N/A,#N/A,FALSE,"KA CH  (3)";#N/A,#N/A,FALSE,"KA CH (4)"}</definedName>
    <definedName name="asds_1" localSheetId="0" hidden="1">{#N/A,#N/A,FALSE,"Umsatz CH";#N/A,#N/A,FALSE,"ER CH";#N/A,#N/A,FALSE,"EA CH (2) ";#N/A,#N/A,FALSE,"EA CH";#N/A,#N/A,FALSE,"EA CH (3) ";#N/A,#N/A,FALSE,"EA CH (4)";#N/A,#N/A,FALSE,"KA CH";#N/A,#N/A,FALSE,"KA CH  (2)";#N/A,#N/A,FALSE,"KA CH  (3)";#N/A,#N/A,FALSE,"KA CH (4)"}</definedName>
    <definedName name="asds_1" localSheetId="6" hidden="1">{#N/A,#N/A,FALSE,"Umsatz CH";#N/A,#N/A,FALSE,"ER CH";#N/A,#N/A,FALSE,"EA CH (2) ";#N/A,#N/A,FALSE,"EA CH";#N/A,#N/A,FALSE,"EA CH (3) ";#N/A,#N/A,FALSE,"EA CH (4)";#N/A,#N/A,FALSE,"KA CH";#N/A,#N/A,FALSE,"KA CH  (2)";#N/A,#N/A,FALSE,"KA CH  (3)";#N/A,#N/A,FALSE,"KA CH (4)"}</definedName>
    <definedName name="asds_1" hidden="1">{#N/A,#N/A,FALSE,"Umsatz CH";#N/A,#N/A,FALSE,"ER CH";#N/A,#N/A,FALSE,"EA CH (2) ";#N/A,#N/A,FALSE,"EA CH";#N/A,#N/A,FALSE,"EA CH (3) ";#N/A,#N/A,FALSE,"EA CH (4)";#N/A,#N/A,FALSE,"KA CH";#N/A,#N/A,FALSE,"KA CH  (2)";#N/A,#N/A,FALSE,"KA CH  (3)";#N/A,#N/A,FALSE,"KA CH (4)"}</definedName>
    <definedName name="asds_1_1" localSheetId="0" hidden="1">{#N/A,#N/A,FALSE,"Umsatz CH";#N/A,#N/A,FALSE,"ER CH";#N/A,#N/A,FALSE,"EA CH (2) ";#N/A,#N/A,FALSE,"EA CH";#N/A,#N/A,FALSE,"EA CH (3) ";#N/A,#N/A,FALSE,"EA CH (4)";#N/A,#N/A,FALSE,"KA CH";#N/A,#N/A,FALSE,"KA CH  (2)";#N/A,#N/A,FALSE,"KA CH  (3)";#N/A,#N/A,FALSE,"KA CH (4)"}</definedName>
    <definedName name="asds_1_1" localSheetId="6" hidden="1">{#N/A,#N/A,FALSE,"Umsatz CH";#N/A,#N/A,FALSE,"ER CH";#N/A,#N/A,FALSE,"EA CH (2) ";#N/A,#N/A,FALSE,"EA CH";#N/A,#N/A,FALSE,"EA CH (3) ";#N/A,#N/A,FALSE,"EA CH (4)";#N/A,#N/A,FALSE,"KA CH";#N/A,#N/A,FALSE,"KA CH  (2)";#N/A,#N/A,FALSE,"KA CH  (3)";#N/A,#N/A,FALSE,"KA CH (4)"}</definedName>
    <definedName name="asds_1_1" hidden="1">{#N/A,#N/A,FALSE,"Umsatz CH";#N/A,#N/A,FALSE,"ER CH";#N/A,#N/A,FALSE,"EA CH (2) ";#N/A,#N/A,FALSE,"EA CH";#N/A,#N/A,FALSE,"EA CH (3) ";#N/A,#N/A,FALSE,"EA CH (4)";#N/A,#N/A,FALSE,"KA CH";#N/A,#N/A,FALSE,"KA CH  (2)";#N/A,#N/A,FALSE,"KA CH  (3)";#N/A,#N/A,FALSE,"KA CH (4)"}</definedName>
    <definedName name="asds_2" localSheetId="0" hidden="1">{#N/A,#N/A,FALSE,"Umsatz CH";#N/A,#N/A,FALSE,"ER CH";#N/A,#N/A,FALSE,"EA CH (2) ";#N/A,#N/A,FALSE,"EA CH";#N/A,#N/A,FALSE,"EA CH (3) ";#N/A,#N/A,FALSE,"EA CH (4)";#N/A,#N/A,FALSE,"KA CH";#N/A,#N/A,FALSE,"KA CH  (2)";#N/A,#N/A,FALSE,"KA CH  (3)";#N/A,#N/A,FALSE,"KA CH (4)"}</definedName>
    <definedName name="asds_2" localSheetId="6" hidden="1">{#N/A,#N/A,FALSE,"Umsatz CH";#N/A,#N/A,FALSE,"ER CH";#N/A,#N/A,FALSE,"EA CH (2) ";#N/A,#N/A,FALSE,"EA CH";#N/A,#N/A,FALSE,"EA CH (3) ";#N/A,#N/A,FALSE,"EA CH (4)";#N/A,#N/A,FALSE,"KA CH";#N/A,#N/A,FALSE,"KA CH  (2)";#N/A,#N/A,FALSE,"KA CH  (3)";#N/A,#N/A,FALSE,"KA CH (4)"}</definedName>
    <definedName name="asds_2" hidden="1">{#N/A,#N/A,FALSE,"Umsatz CH";#N/A,#N/A,FALSE,"ER CH";#N/A,#N/A,FALSE,"EA CH (2) ";#N/A,#N/A,FALSE,"EA CH";#N/A,#N/A,FALSE,"EA CH (3) ";#N/A,#N/A,FALSE,"EA CH (4)";#N/A,#N/A,FALSE,"KA CH";#N/A,#N/A,FALSE,"KA CH  (2)";#N/A,#N/A,FALSE,"KA CH  (3)";#N/A,#N/A,FALSE,"KA CH (4)"}</definedName>
    <definedName name="asds_3" localSheetId="0" hidden="1">{#N/A,#N/A,FALSE,"Umsatz CH";#N/A,#N/A,FALSE,"ER CH";#N/A,#N/A,FALSE,"EA CH (2) ";#N/A,#N/A,FALSE,"EA CH";#N/A,#N/A,FALSE,"EA CH (3) ";#N/A,#N/A,FALSE,"EA CH (4)";#N/A,#N/A,FALSE,"KA CH";#N/A,#N/A,FALSE,"KA CH  (2)";#N/A,#N/A,FALSE,"KA CH  (3)";#N/A,#N/A,FALSE,"KA CH (4)"}</definedName>
    <definedName name="asds_3" localSheetId="6" hidden="1">{#N/A,#N/A,FALSE,"Umsatz CH";#N/A,#N/A,FALSE,"ER CH";#N/A,#N/A,FALSE,"EA CH (2) ";#N/A,#N/A,FALSE,"EA CH";#N/A,#N/A,FALSE,"EA CH (3) ";#N/A,#N/A,FALSE,"EA CH (4)";#N/A,#N/A,FALSE,"KA CH";#N/A,#N/A,FALSE,"KA CH  (2)";#N/A,#N/A,FALSE,"KA CH  (3)";#N/A,#N/A,FALSE,"KA CH (4)"}</definedName>
    <definedName name="asds_3" hidden="1">{#N/A,#N/A,FALSE,"Umsatz CH";#N/A,#N/A,FALSE,"ER CH";#N/A,#N/A,FALSE,"EA CH (2) ";#N/A,#N/A,FALSE,"EA CH";#N/A,#N/A,FALSE,"EA CH (3) ";#N/A,#N/A,FALSE,"EA CH (4)";#N/A,#N/A,FALSE,"KA CH";#N/A,#N/A,FALSE,"KA CH  (2)";#N/A,#N/A,FALSE,"KA CH  (3)";#N/A,#N/A,FALSE,"KA CH (4)"}</definedName>
    <definedName name="asds_4" localSheetId="0" hidden="1">{#N/A,#N/A,FALSE,"Umsatz CH";#N/A,#N/A,FALSE,"ER CH";#N/A,#N/A,FALSE,"EA CH (2) ";#N/A,#N/A,FALSE,"EA CH";#N/A,#N/A,FALSE,"EA CH (3) ";#N/A,#N/A,FALSE,"EA CH (4)";#N/A,#N/A,FALSE,"KA CH";#N/A,#N/A,FALSE,"KA CH  (2)";#N/A,#N/A,FALSE,"KA CH  (3)";#N/A,#N/A,FALSE,"KA CH (4)"}</definedName>
    <definedName name="asds_4" localSheetId="6" hidden="1">{#N/A,#N/A,FALSE,"Umsatz CH";#N/A,#N/A,FALSE,"ER CH";#N/A,#N/A,FALSE,"EA CH (2) ";#N/A,#N/A,FALSE,"EA CH";#N/A,#N/A,FALSE,"EA CH (3) ";#N/A,#N/A,FALSE,"EA CH (4)";#N/A,#N/A,FALSE,"KA CH";#N/A,#N/A,FALSE,"KA CH  (2)";#N/A,#N/A,FALSE,"KA CH  (3)";#N/A,#N/A,FALSE,"KA CH (4)"}</definedName>
    <definedName name="asds_4" hidden="1">{#N/A,#N/A,FALSE,"Umsatz CH";#N/A,#N/A,FALSE,"ER CH";#N/A,#N/A,FALSE,"EA CH (2) ";#N/A,#N/A,FALSE,"EA CH";#N/A,#N/A,FALSE,"EA CH (3) ";#N/A,#N/A,FALSE,"EA CH (4)";#N/A,#N/A,FALSE,"KA CH";#N/A,#N/A,FALSE,"KA CH  (2)";#N/A,#N/A,FALSE,"KA CH  (3)";#N/A,#N/A,FALSE,"KA CH (4)"}</definedName>
    <definedName name="asds_5" localSheetId="0" hidden="1">{#N/A,#N/A,FALSE,"Umsatz CH";#N/A,#N/A,FALSE,"ER CH";#N/A,#N/A,FALSE,"EA CH (2) ";#N/A,#N/A,FALSE,"EA CH";#N/A,#N/A,FALSE,"EA CH (3) ";#N/A,#N/A,FALSE,"EA CH (4)";#N/A,#N/A,FALSE,"KA CH";#N/A,#N/A,FALSE,"KA CH  (2)";#N/A,#N/A,FALSE,"KA CH  (3)";#N/A,#N/A,FALSE,"KA CH (4)"}</definedName>
    <definedName name="asds_5" localSheetId="6" hidden="1">{#N/A,#N/A,FALSE,"Umsatz CH";#N/A,#N/A,FALSE,"ER CH";#N/A,#N/A,FALSE,"EA CH (2) ";#N/A,#N/A,FALSE,"EA CH";#N/A,#N/A,FALSE,"EA CH (3) ";#N/A,#N/A,FALSE,"EA CH (4)";#N/A,#N/A,FALSE,"KA CH";#N/A,#N/A,FALSE,"KA CH  (2)";#N/A,#N/A,FALSE,"KA CH  (3)";#N/A,#N/A,FALSE,"KA CH (4)"}</definedName>
    <definedName name="asds_5" hidden="1">{#N/A,#N/A,FALSE,"Umsatz CH";#N/A,#N/A,FALSE,"ER CH";#N/A,#N/A,FALSE,"EA CH (2) ";#N/A,#N/A,FALSE,"EA CH";#N/A,#N/A,FALSE,"EA CH (3) ";#N/A,#N/A,FALSE,"EA CH (4)";#N/A,#N/A,FALSE,"KA CH";#N/A,#N/A,FALSE,"KA CH  (2)";#N/A,#N/A,FALSE,"KA CH  (3)";#N/A,#N/A,FALSE,"KA CH (4)"}</definedName>
    <definedName name="ASDSD" hidden="1">#REF!</definedName>
    <definedName name="asdsdaf" localSheetId="0" hidden="1">{"WHOLE",#N/A,FALSE,"Roll-Up";"DCF",#N/A,FALSE,"SLC ";"DCF",#N/A,FALSE,"El Paso";"DCF",#N/A,FALSE,"Phoenix";"DCF",#N/A,FALSE,"Boise";"DCF",#N/A,FALSE,"Albuquerque";"DCF",#N/A,FALSE,"SLC -- Peter and Idaho Falls";"DCF",#N/A,FALSE,"Great Way";"DCF",#N/A,FALSE,"Great Way-Leavitt Ins.";"DCF",#N/A,FALSE,"Sapp Brothers"}</definedName>
    <definedName name="asdsdaf" localSheetId="6" hidden="1">{"WHOLE",#N/A,FALSE,"Roll-Up";"DCF",#N/A,FALSE,"SLC ";"DCF",#N/A,FALSE,"El Paso";"DCF",#N/A,FALSE,"Phoenix";"DCF",#N/A,FALSE,"Boise";"DCF",#N/A,FALSE,"Albuquerque";"DCF",#N/A,FALSE,"SLC -- Peter and Idaho Falls";"DCF",#N/A,FALSE,"Great Way";"DCF",#N/A,FALSE,"Great Way-Leavitt Ins.";"DCF",#N/A,FALSE,"Sapp Brothers"}</definedName>
    <definedName name="asdsdaf" hidden="1">{"WHOLE",#N/A,FALSE,"Roll-Up";"DCF",#N/A,FALSE,"SLC ";"DCF",#N/A,FALSE,"El Paso";"DCF",#N/A,FALSE,"Phoenix";"DCF",#N/A,FALSE,"Boise";"DCF",#N/A,FALSE,"Albuquerque";"DCF",#N/A,FALSE,"SLC -- Peter and Idaho Falls";"DCF",#N/A,FALSE,"Great Way";"DCF",#N/A,FALSE,"Great Way-Leavitt Ins.";"DCF",#N/A,FALSE,"Sapp Brothers"}</definedName>
    <definedName name="asdsdv" hidden="1">#REF!,#REF!</definedName>
    <definedName name="asdt1" localSheetId="0" hidden="1">{#N/A,#N/A,FALSE,"Calc";#N/A,#N/A,FALSE,"Sensitivity";#N/A,#N/A,FALSE,"LT Earn.Dil.";#N/A,#N/A,FALSE,"Dil. AVP"}</definedName>
    <definedName name="asdt1" localSheetId="6" hidden="1">{#N/A,#N/A,FALSE,"Calc";#N/A,#N/A,FALSE,"Sensitivity";#N/A,#N/A,FALSE,"LT Earn.Dil.";#N/A,#N/A,FALSE,"Dil. AVP"}</definedName>
    <definedName name="asdt1" hidden="1">{#N/A,#N/A,FALSE,"Calc";#N/A,#N/A,FALSE,"Sensitivity";#N/A,#N/A,FALSE,"LT Earn.Dil.";#N/A,#N/A,FALSE,"Dil. AVP"}</definedName>
    <definedName name="ase" hidden="1">#REF!</definedName>
    <definedName name="asebearger" hidden="1">#REF!</definedName>
    <definedName name="asei" localSheetId="6" hidden="1">{#N/A,#N/A,FALSE,"K_DRIV"}</definedName>
    <definedName name="asei" hidden="1">{#N/A,#N/A,FALSE,"K_DRIV"}</definedName>
    <definedName name="asf" localSheetId="0" hidden="1">{#N/A,#N/A,FALSE,"Umsatz CH";#N/A,#N/A,FALSE,"ER CH";#N/A,#N/A,FALSE,"EA CH (2) ";#N/A,#N/A,FALSE,"EA CH";#N/A,#N/A,FALSE,"EA CH (3) ";#N/A,#N/A,FALSE,"EA CH (4)";#N/A,#N/A,FALSE,"KA CH";#N/A,#N/A,FALSE,"KA CH  (2)";#N/A,#N/A,FALSE,"KA CH  (3)";#N/A,#N/A,FALSE,"KA CH (4)"}</definedName>
    <definedName name="asf" localSheetId="6" hidden="1">{#N/A,#N/A,FALSE,"Umsatz CH";#N/A,#N/A,FALSE,"ER CH";#N/A,#N/A,FALSE,"EA CH (2) ";#N/A,#N/A,FALSE,"EA CH";#N/A,#N/A,FALSE,"EA CH (3) ";#N/A,#N/A,FALSE,"EA CH (4)";#N/A,#N/A,FALSE,"KA CH";#N/A,#N/A,FALSE,"KA CH  (2)";#N/A,#N/A,FALSE,"KA CH  (3)";#N/A,#N/A,FALSE,"KA CH (4)"}</definedName>
    <definedName name="asf" hidden="1">{#N/A,#N/A,FALSE,"Umsatz CH";#N/A,#N/A,FALSE,"ER CH";#N/A,#N/A,FALSE,"EA CH (2) ";#N/A,#N/A,FALSE,"EA CH";#N/A,#N/A,FALSE,"EA CH (3) ";#N/A,#N/A,FALSE,"EA CH (4)";#N/A,#N/A,FALSE,"KA CH";#N/A,#N/A,FALSE,"KA CH  (2)";#N/A,#N/A,FALSE,"KA CH  (3)";#N/A,#N/A,FALSE,"KA CH (4)"}</definedName>
    <definedName name="asf_1" localSheetId="0" hidden="1">{#N/A,#N/A,FALSE,"Umsatz CH";#N/A,#N/A,FALSE,"ER CH";#N/A,#N/A,FALSE,"EA CH (2) ";#N/A,#N/A,FALSE,"EA CH";#N/A,#N/A,FALSE,"EA CH (3) ";#N/A,#N/A,FALSE,"EA CH (4)";#N/A,#N/A,FALSE,"KA CH";#N/A,#N/A,FALSE,"KA CH  (2)";#N/A,#N/A,FALSE,"KA CH  (3)";#N/A,#N/A,FALSE,"KA CH (4)"}</definedName>
    <definedName name="asf_1" localSheetId="6" hidden="1">{#N/A,#N/A,FALSE,"Umsatz CH";#N/A,#N/A,FALSE,"ER CH";#N/A,#N/A,FALSE,"EA CH (2) ";#N/A,#N/A,FALSE,"EA CH";#N/A,#N/A,FALSE,"EA CH (3) ";#N/A,#N/A,FALSE,"EA CH (4)";#N/A,#N/A,FALSE,"KA CH";#N/A,#N/A,FALSE,"KA CH  (2)";#N/A,#N/A,FALSE,"KA CH  (3)";#N/A,#N/A,FALSE,"KA CH (4)"}</definedName>
    <definedName name="asf_1" hidden="1">{#N/A,#N/A,FALSE,"Umsatz CH";#N/A,#N/A,FALSE,"ER CH";#N/A,#N/A,FALSE,"EA CH (2) ";#N/A,#N/A,FALSE,"EA CH";#N/A,#N/A,FALSE,"EA CH (3) ";#N/A,#N/A,FALSE,"EA CH (4)";#N/A,#N/A,FALSE,"KA CH";#N/A,#N/A,FALSE,"KA CH  (2)";#N/A,#N/A,FALSE,"KA CH  (3)";#N/A,#N/A,FALSE,"KA CH (4)"}</definedName>
    <definedName name="asf_1_1" localSheetId="0" hidden="1">{#N/A,#N/A,FALSE,"Umsatz CH";#N/A,#N/A,FALSE,"ER CH";#N/A,#N/A,FALSE,"EA CH (2) ";#N/A,#N/A,FALSE,"EA CH";#N/A,#N/A,FALSE,"EA CH (3) ";#N/A,#N/A,FALSE,"EA CH (4)";#N/A,#N/A,FALSE,"KA CH";#N/A,#N/A,FALSE,"KA CH  (2)";#N/A,#N/A,FALSE,"KA CH  (3)";#N/A,#N/A,FALSE,"KA CH (4)"}</definedName>
    <definedName name="asf_1_1" localSheetId="6" hidden="1">{#N/A,#N/A,FALSE,"Umsatz CH";#N/A,#N/A,FALSE,"ER CH";#N/A,#N/A,FALSE,"EA CH (2) ";#N/A,#N/A,FALSE,"EA CH";#N/A,#N/A,FALSE,"EA CH (3) ";#N/A,#N/A,FALSE,"EA CH (4)";#N/A,#N/A,FALSE,"KA CH";#N/A,#N/A,FALSE,"KA CH  (2)";#N/A,#N/A,FALSE,"KA CH  (3)";#N/A,#N/A,FALSE,"KA CH (4)"}</definedName>
    <definedName name="asf_1_1" hidden="1">{#N/A,#N/A,FALSE,"Umsatz CH";#N/A,#N/A,FALSE,"ER CH";#N/A,#N/A,FALSE,"EA CH (2) ";#N/A,#N/A,FALSE,"EA CH";#N/A,#N/A,FALSE,"EA CH (3) ";#N/A,#N/A,FALSE,"EA CH (4)";#N/A,#N/A,FALSE,"KA CH";#N/A,#N/A,FALSE,"KA CH  (2)";#N/A,#N/A,FALSE,"KA CH  (3)";#N/A,#N/A,FALSE,"KA CH (4)"}</definedName>
    <definedName name="asf_2" localSheetId="0" hidden="1">{#N/A,#N/A,FALSE,"Umsatz CH";#N/A,#N/A,FALSE,"ER CH";#N/A,#N/A,FALSE,"EA CH (2) ";#N/A,#N/A,FALSE,"EA CH";#N/A,#N/A,FALSE,"EA CH (3) ";#N/A,#N/A,FALSE,"EA CH (4)";#N/A,#N/A,FALSE,"KA CH";#N/A,#N/A,FALSE,"KA CH  (2)";#N/A,#N/A,FALSE,"KA CH  (3)";#N/A,#N/A,FALSE,"KA CH (4)"}</definedName>
    <definedName name="asf_2" localSheetId="6" hidden="1">{#N/A,#N/A,FALSE,"Umsatz CH";#N/A,#N/A,FALSE,"ER CH";#N/A,#N/A,FALSE,"EA CH (2) ";#N/A,#N/A,FALSE,"EA CH";#N/A,#N/A,FALSE,"EA CH (3) ";#N/A,#N/A,FALSE,"EA CH (4)";#N/A,#N/A,FALSE,"KA CH";#N/A,#N/A,FALSE,"KA CH  (2)";#N/A,#N/A,FALSE,"KA CH  (3)";#N/A,#N/A,FALSE,"KA CH (4)"}</definedName>
    <definedName name="asf_2" hidden="1">{#N/A,#N/A,FALSE,"Umsatz CH";#N/A,#N/A,FALSE,"ER CH";#N/A,#N/A,FALSE,"EA CH (2) ";#N/A,#N/A,FALSE,"EA CH";#N/A,#N/A,FALSE,"EA CH (3) ";#N/A,#N/A,FALSE,"EA CH (4)";#N/A,#N/A,FALSE,"KA CH";#N/A,#N/A,FALSE,"KA CH  (2)";#N/A,#N/A,FALSE,"KA CH  (3)";#N/A,#N/A,FALSE,"KA CH (4)"}</definedName>
    <definedName name="asf_3" localSheetId="0" hidden="1">{#N/A,#N/A,FALSE,"Umsatz CH";#N/A,#N/A,FALSE,"ER CH";#N/A,#N/A,FALSE,"EA CH (2) ";#N/A,#N/A,FALSE,"EA CH";#N/A,#N/A,FALSE,"EA CH (3) ";#N/A,#N/A,FALSE,"EA CH (4)";#N/A,#N/A,FALSE,"KA CH";#N/A,#N/A,FALSE,"KA CH  (2)";#N/A,#N/A,FALSE,"KA CH  (3)";#N/A,#N/A,FALSE,"KA CH (4)"}</definedName>
    <definedName name="asf_3" localSheetId="6" hidden="1">{#N/A,#N/A,FALSE,"Umsatz CH";#N/A,#N/A,FALSE,"ER CH";#N/A,#N/A,FALSE,"EA CH (2) ";#N/A,#N/A,FALSE,"EA CH";#N/A,#N/A,FALSE,"EA CH (3) ";#N/A,#N/A,FALSE,"EA CH (4)";#N/A,#N/A,FALSE,"KA CH";#N/A,#N/A,FALSE,"KA CH  (2)";#N/A,#N/A,FALSE,"KA CH  (3)";#N/A,#N/A,FALSE,"KA CH (4)"}</definedName>
    <definedName name="asf_3" hidden="1">{#N/A,#N/A,FALSE,"Umsatz CH";#N/A,#N/A,FALSE,"ER CH";#N/A,#N/A,FALSE,"EA CH (2) ";#N/A,#N/A,FALSE,"EA CH";#N/A,#N/A,FALSE,"EA CH (3) ";#N/A,#N/A,FALSE,"EA CH (4)";#N/A,#N/A,FALSE,"KA CH";#N/A,#N/A,FALSE,"KA CH  (2)";#N/A,#N/A,FALSE,"KA CH  (3)";#N/A,#N/A,FALSE,"KA CH (4)"}</definedName>
    <definedName name="asf_4" localSheetId="0" hidden="1">{#N/A,#N/A,FALSE,"Umsatz CH";#N/A,#N/A,FALSE,"ER CH";#N/A,#N/A,FALSE,"EA CH (2) ";#N/A,#N/A,FALSE,"EA CH";#N/A,#N/A,FALSE,"EA CH (3) ";#N/A,#N/A,FALSE,"EA CH (4)";#N/A,#N/A,FALSE,"KA CH";#N/A,#N/A,FALSE,"KA CH  (2)";#N/A,#N/A,FALSE,"KA CH  (3)";#N/A,#N/A,FALSE,"KA CH (4)"}</definedName>
    <definedName name="asf_4" localSheetId="6" hidden="1">{#N/A,#N/A,FALSE,"Umsatz CH";#N/A,#N/A,FALSE,"ER CH";#N/A,#N/A,FALSE,"EA CH (2) ";#N/A,#N/A,FALSE,"EA CH";#N/A,#N/A,FALSE,"EA CH (3) ";#N/A,#N/A,FALSE,"EA CH (4)";#N/A,#N/A,FALSE,"KA CH";#N/A,#N/A,FALSE,"KA CH  (2)";#N/A,#N/A,FALSE,"KA CH  (3)";#N/A,#N/A,FALSE,"KA CH (4)"}</definedName>
    <definedName name="asf_4" hidden="1">{#N/A,#N/A,FALSE,"Umsatz CH";#N/A,#N/A,FALSE,"ER CH";#N/A,#N/A,FALSE,"EA CH (2) ";#N/A,#N/A,FALSE,"EA CH";#N/A,#N/A,FALSE,"EA CH (3) ";#N/A,#N/A,FALSE,"EA CH (4)";#N/A,#N/A,FALSE,"KA CH";#N/A,#N/A,FALSE,"KA CH  (2)";#N/A,#N/A,FALSE,"KA CH  (3)";#N/A,#N/A,FALSE,"KA CH (4)"}</definedName>
    <definedName name="asf_5" localSheetId="0" hidden="1">{#N/A,#N/A,FALSE,"Umsatz CH";#N/A,#N/A,FALSE,"ER CH";#N/A,#N/A,FALSE,"EA CH (2) ";#N/A,#N/A,FALSE,"EA CH";#N/A,#N/A,FALSE,"EA CH (3) ";#N/A,#N/A,FALSE,"EA CH (4)";#N/A,#N/A,FALSE,"KA CH";#N/A,#N/A,FALSE,"KA CH  (2)";#N/A,#N/A,FALSE,"KA CH  (3)";#N/A,#N/A,FALSE,"KA CH (4)"}</definedName>
    <definedName name="asf_5" localSheetId="6" hidden="1">{#N/A,#N/A,FALSE,"Umsatz CH";#N/A,#N/A,FALSE,"ER CH";#N/A,#N/A,FALSE,"EA CH (2) ";#N/A,#N/A,FALSE,"EA CH";#N/A,#N/A,FALSE,"EA CH (3) ";#N/A,#N/A,FALSE,"EA CH (4)";#N/A,#N/A,FALSE,"KA CH";#N/A,#N/A,FALSE,"KA CH  (2)";#N/A,#N/A,FALSE,"KA CH  (3)";#N/A,#N/A,FALSE,"KA CH (4)"}</definedName>
    <definedName name="asf_5" hidden="1">{#N/A,#N/A,FALSE,"Umsatz CH";#N/A,#N/A,FALSE,"ER CH";#N/A,#N/A,FALSE,"EA CH (2) ";#N/A,#N/A,FALSE,"EA CH";#N/A,#N/A,FALSE,"EA CH (3) ";#N/A,#N/A,FALSE,"EA CH (4)";#N/A,#N/A,FALSE,"KA CH";#N/A,#N/A,FALSE,"KA CH  (2)";#N/A,#N/A,FALSE,"KA CH  (3)";#N/A,#N/A,FALSE,"KA CH (4)"}</definedName>
    <definedName name="asfey" hidden="1">#REF!</definedName>
    <definedName name="asffghujyki" localSheetId="0" hidden="1">{#N/A,#N/A,FALSE,"Pharm";#N/A,#N/A,FALSE,"WWCM"}</definedName>
    <definedName name="asffghujyki" localSheetId="6" hidden="1">{#N/A,#N/A,FALSE,"Pharm";#N/A,#N/A,FALSE,"WWCM"}</definedName>
    <definedName name="asffghujyki" hidden="1">{#N/A,#N/A,FALSE,"Pharm";#N/A,#N/A,FALSE,"WWCM"}</definedName>
    <definedName name="asffghujyki_1" localSheetId="0" hidden="1">{#N/A,#N/A,FALSE,"Pharm";#N/A,#N/A,FALSE,"WWCM"}</definedName>
    <definedName name="asffghujyki_1" localSheetId="6" hidden="1">{#N/A,#N/A,FALSE,"Pharm";#N/A,#N/A,FALSE,"WWCM"}</definedName>
    <definedName name="asffghujyki_1" hidden="1">{#N/A,#N/A,FALSE,"Pharm";#N/A,#N/A,FALSE,"WWCM"}</definedName>
    <definedName name="asffghujyki_1_1" localSheetId="0" hidden="1">{#N/A,#N/A,FALSE,"Pharm";#N/A,#N/A,FALSE,"WWCM"}</definedName>
    <definedName name="asffghujyki_1_1" localSheetId="6" hidden="1">{#N/A,#N/A,FALSE,"Pharm";#N/A,#N/A,FALSE,"WWCM"}</definedName>
    <definedName name="asffghujyki_1_1" hidden="1">{#N/A,#N/A,FALSE,"Pharm";#N/A,#N/A,FALSE,"WWCM"}</definedName>
    <definedName name="asffghujyki_2" localSheetId="0" hidden="1">{#N/A,#N/A,FALSE,"Pharm";#N/A,#N/A,FALSE,"WWCM"}</definedName>
    <definedName name="asffghujyki_2" localSheetId="6" hidden="1">{#N/A,#N/A,FALSE,"Pharm";#N/A,#N/A,FALSE,"WWCM"}</definedName>
    <definedName name="asffghujyki_2" hidden="1">{#N/A,#N/A,FALSE,"Pharm";#N/A,#N/A,FALSE,"WWCM"}</definedName>
    <definedName name="asffghujyki_3" localSheetId="0" hidden="1">{#N/A,#N/A,FALSE,"Pharm";#N/A,#N/A,FALSE,"WWCM"}</definedName>
    <definedName name="asffghujyki_3" localSheetId="6" hidden="1">{#N/A,#N/A,FALSE,"Pharm";#N/A,#N/A,FALSE,"WWCM"}</definedName>
    <definedName name="asffghujyki_3" hidden="1">{#N/A,#N/A,FALSE,"Pharm";#N/A,#N/A,FALSE,"WWCM"}</definedName>
    <definedName name="asffghujyki_4" localSheetId="0" hidden="1">{#N/A,#N/A,FALSE,"Pharm";#N/A,#N/A,FALSE,"WWCM"}</definedName>
    <definedName name="asffghujyki_4" localSheetId="6" hidden="1">{#N/A,#N/A,FALSE,"Pharm";#N/A,#N/A,FALSE,"WWCM"}</definedName>
    <definedName name="asffghujyki_4" hidden="1">{#N/A,#N/A,FALSE,"Pharm";#N/A,#N/A,FALSE,"WWCM"}</definedName>
    <definedName name="asffghujyki_5" localSheetId="0" hidden="1">{#N/A,#N/A,FALSE,"Pharm";#N/A,#N/A,FALSE,"WWCM"}</definedName>
    <definedName name="asffghujyki_5" localSheetId="6" hidden="1">{#N/A,#N/A,FALSE,"Pharm";#N/A,#N/A,FALSE,"WWCM"}</definedName>
    <definedName name="asffghujyki_5" hidden="1">{#N/A,#N/A,FALSE,"Pharm";#N/A,#N/A,FALSE,"WWCM"}</definedName>
    <definedName name="asfg" localSheetId="6" hidden="1">{#N/A,#N/A,FALSE,"Aging Summary";#N/A,#N/A,FALSE,"Ratio Analysis";#N/A,#N/A,FALSE,"Test 120 Day Accts";#N/A,#N/A,FALSE,"Tickmarks"}</definedName>
    <definedName name="asfg" hidden="1">{#N/A,#N/A,FALSE,"Aging Summary";#N/A,#N/A,FALSE,"Ratio Analysis";#N/A,#N/A,FALSE,"Test 120 Day Accts";#N/A,#N/A,FALSE,"Tickmarks"}</definedName>
    <definedName name="asfsdf" localSheetId="0" hidden="1">{#N/A,#N/A,FALSE,"COMP"}</definedName>
    <definedName name="asfsdf" localSheetId="6" hidden="1">{#N/A,#N/A,FALSE,"COMP"}</definedName>
    <definedName name="asfsdf" hidden="1">{#N/A,#N/A,FALSE,"COMP"}</definedName>
    <definedName name="asfsdg" localSheetId="0" hidden="1">{#N/A,#N/A,FALSE,"COMP"}</definedName>
    <definedName name="asfsdg" localSheetId="6" hidden="1">{#N/A,#N/A,FALSE,"COMP"}</definedName>
    <definedName name="asfsdg" hidden="1">{#N/A,#N/A,FALSE,"COMP"}</definedName>
    <definedName name="ASFTTESH" localSheetId="0" hidden="1">{#N/A,#N/A,FALSE,"Umsatz EO BP";#N/A,#N/A,FALSE,"Umsatz EO OP";#N/A,#N/A,FALSE,"ER EO BP";#N/A,#N/A,FALSE,"ER EO OP";#N/A,#N/A,FALSE,"EA EO (2)";#N/A,#N/A,FALSE,"EA EO";#N/A,#N/A,FALSE,"EA EO (3)";#N/A,#N/A,FALSE,"EA EO (4)";#N/A,#N/A,FALSE,"KA EO  (2)";#N/A,#N/A,FALSE,"KA EO";#N/A,#N/A,FALSE,"KA EO  (3)";#N/A,#N/A,FALSE,"KA EO (4)"}</definedName>
    <definedName name="ASFTTESH" localSheetId="6" hidden="1">{#N/A,#N/A,FALSE,"Umsatz EO BP";#N/A,#N/A,FALSE,"Umsatz EO OP";#N/A,#N/A,FALSE,"ER EO BP";#N/A,#N/A,FALSE,"ER EO OP";#N/A,#N/A,FALSE,"EA EO (2)";#N/A,#N/A,FALSE,"EA EO";#N/A,#N/A,FALSE,"EA EO (3)";#N/A,#N/A,FALSE,"EA EO (4)";#N/A,#N/A,FALSE,"KA EO  (2)";#N/A,#N/A,FALSE,"KA EO";#N/A,#N/A,FALSE,"KA EO  (3)";#N/A,#N/A,FALSE,"KA EO (4)"}</definedName>
    <definedName name="ASFTTESH" hidden="1">{#N/A,#N/A,FALSE,"Umsatz EO BP";#N/A,#N/A,FALSE,"Umsatz EO OP";#N/A,#N/A,FALSE,"ER EO BP";#N/A,#N/A,FALSE,"ER EO OP";#N/A,#N/A,FALSE,"EA EO (2)";#N/A,#N/A,FALSE,"EA EO";#N/A,#N/A,FALSE,"EA EO (3)";#N/A,#N/A,FALSE,"EA EO (4)";#N/A,#N/A,FALSE,"KA EO  (2)";#N/A,#N/A,FALSE,"KA EO";#N/A,#N/A,FALSE,"KA EO  (3)";#N/A,#N/A,FALSE,"KA EO (4)"}</definedName>
    <definedName name="ASFTTESH_1" localSheetId="0" hidden="1">{#N/A,#N/A,FALSE,"Umsatz EO BP";#N/A,#N/A,FALSE,"Umsatz EO OP";#N/A,#N/A,FALSE,"ER EO BP";#N/A,#N/A,FALSE,"ER EO OP";#N/A,#N/A,FALSE,"EA EO (2)";#N/A,#N/A,FALSE,"EA EO";#N/A,#N/A,FALSE,"EA EO (3)";#N/A,#N/A,FALSE,"EA EO (4)";#N/A,#N/A,FALSE,"KA EO  (2)";#N/A,#N/A,FALSE,"KA EO";#N/A,#N/A,FALSE,"KA EO  (3)";#N/A,#N/A,FALSE,"KA EO (4)"}</definedName>
    <definedName name="ASFTTESH_1" localSheetId="6" hidden="1">{#N/A,#N/A,FALSE,"Umsatz EO BP";#N/A,#N/A,FALSE,"Umsatz EO OP";#N/A,#N/A,FALSE,"ER EO BP";#N/A,#N/A,FALSE,"ER EO OP";#N/A,#N/A,FALSE,"EA EO (2)";#N/A,#N/A,FALSE,"EA EO";#N/A,#N/A,FALSE,"EA EO (3)";#N/A,#N/A,FALSE,"EA EO (4)";#N/A,#N/A,FALSE,"KA EO  (2)";#N/A,#N/A,FALSE,"KA EO";#N/A,#N/A,FALSE,"KA EO  (3)";#N/A,#N/A,FALSE,"KA EO (4)"}</definedName>
    <definedName name="ASFTTESH_1" hidden="1">{#N/A,#N/A,FALSE,"Umsatz EO BP";#N/A,#N/A,FALSE,"Umsatz EO OP";#N/A,#N/A,FALSE,"ER EO BP";#N/A,#N/A,FALSE,"ER EO OP";#N/A,#N/A,FALSE,"EA EO (2)";#N/A,#N/A,FALSE,"EA EO";#N/A,#N/A,FALSE,"EA EO (3)";#N/A,#N/A,FALSE,"EA EO (4)";#N/A,#N/A,FALSE,"KA EO  (2)";#N/A,#N/A,FALSE,"KA EO";#N/A,#N/A,FALSE,"KA EO  (3)";#N/A,#N/A,FALSE,"KA EO (4)"}</definedName>
    <definedName name="ASFTTESH_1_1" localSheetId="0" hidden="1">{#N/A,#N/A,FALSE,"Umsatz EO BP";#N/A,#N/A,FALSE,"Umsatz EO OP";#N/A,#N/A,FALSE,"ER EO BP";#N/A,#N/A,FALSE,"ER EO OP";#N/A,#N/A,FALSE,"EA EO (2)";#N/A,#N/A,FALSE,"EA EO";#N/A,#N/A,FALSE,"EA EO (3)";#N/A,#N/A,FALSE,"EA EO (4)";#N/A,#N/A,FALSE,"KA EO  (2)";#N/A,#N/A,FALSE,"KA EO";#N/A,#N/A,FALSE,"KA EO  (3)";#N/A,#N/A,FALSE,"KA EO (4)"}</definedName>
    <definedName name="ASFTTESH_1_1" localSheetId="6" hidden="1">{#N/A,#N/A,FALSE,"Umsatz EO BP";#N/A,#N/A,FALSE,"Umsatz EO OP";#N/A,#N/A,FALSE,"ER EO BP";#N/A,#N/A,FALSE,"ER EO OP";#N/A,#N/A,FALSE,"EA EO (2)";#N/A,#N/A,FALSE,"EA EO";#N/A,#N/A,FALSE,"EA EO (3)";#N/A,#N/A,FALSE,"EA EO (4)";#N/A,#N/A,FALSE,"KA EO  (2)";#N/A,#N/A,FALSE,"KA EO";#N/A,#N/A,FALSE,"KA EO  (3)";#N/A,#N/A,FALSE,"KA EO (4)"}</definedName>
    <definedName name="ASFTTESH_1_1" hidden="1">{#N/A,#N/A,FALSE,"Umsatz EO BP";#N/A,#N/A,FALSE,"Umsatz EO OP";#N/A,#N/A,FALSE,"ER EO BP";#N/A,#N/A,FALSE,"ER EO OP";#N/A,#N/A,FALSE,"EA EO (2)";#N/A,#N/A,FALSE,"EA EO";#N/A,#N/A,FALSE,"EA EO (3)";#N/A,#N/A,FALSE,"EA EO (4)";#N/A,#N/A,FALSE,"KA EO  (2)";#N/A,#N/A,FALSE,"KA EO";#N/A,#N/A,FALSE,"KA EO  (3)";#N/A,#N/A,FALSE,"KA EO (4)"}</definedName>
    <definedName name="ASFTTESH_2" localSheetId="0" hidden="1">{#N/A,#N/A,FALSE,"Umsatz EO BP";#N/A,#N/A,FALSE,"Umsatz EO OP";#N/A,#N/A,FALSE,"ER EO BP";#N/A,#N/A,FALSE,"ER EO OP";#N/A,#N/A,FALSE,"EA EO (2)";#N/A,#N/A,FALSE,"EA EO";#N/A,#N/A,FALSE,"EA EO (3)";#N/A,#N/A,FALSE,"EA EO (4)";#N/A,#N/A,FALSE,"KA EO  (2)";#N/A,#N/A,FALSE,"KA EO";#N/A,#N/A,FALSE,"KA EO  (3)";#N/A,#N/A,FALSE,"KA EO (4)"}</definedName>
    <definedName name="ASFTTESH_2" localSheetId="6" hidden="1">{#N/A,#N/A,FALSE,"Umsatz EO BP";#N/A,#N/A,FALSE,"Umsatz EO OP";#N/A,#N/A,FALSE,"ER EO BP";#N/A,#N/A,FALSE,"ER EO OP";#N/A,#N/A,FALSE,"EA EO (2)";#N/A,#N/A,FALSE,"EA EO";#N/A,#N/A,FALSE,"EA EO (3)";#N/A,#N/A,FALSE,"EA EO (4)";#N/A,#N/A,FALSE,"KA EO  (2)";#N/A,#N/A,FALSE,"KA EO";#N/A,#N/A,FALSE,"KA EO  (3)";#N/A,#N/A,FALSE,"KA EO (4)"}</definedName>
    <definedName name="ASFTTESH_2" hidden="1">{#N/A,#N/A,FALSE,"Umsatz EO BP";#N/A,#N/A,FALSE,"Umsatz EO OP";#N/A,#N/A,FALSE,"ER EO BP";#N/A,#N/A,FALSE,"ER EO OP";#N/A,#N/A,FALSE,"EA EO (2)";#N/A,#N/A,FALSE,"EA EO";#N/A,#N/A,FALSE,"EA EO (3)";#N/A,#N/A,FALSE,"EA EO (4)";#N/A,#N/A,FALSE,"KA EO  (2)";#N/A,#N/A,FALSE,"KA EO";#N/A,#N/A,FALSE,"KA EO  (3)";#N/A,#N/A,FALSE,"KA EO (4)"}</definedName>
    <definedName name="ASFTTESH_3" localSheetId="0" hidden="1">{#N/A,#N/A,FALSE,"Umsatz EO BP";#N/A,#N/A,FALSE,"Umsatz EO OP";#N/A,#N/A,FALSE,"ER EO BP";#N/A,#N/A,FALSE,"ER EO OP";#N/A,#N/A,FALSE,"EA EO (2)";#N/A,#N/A,FALSE,"EA EO";#N/A,#N/A,FALSE,"EA EO (3)";#N/A,#N/A,FALSE,"EA EO (4)";#N/A,#N/A,FALSE,"KA EO  (2)";#N/A,#N/A,FALSE,"KA EO";#N/A,#N/A,FALSE,"KA EO  (3)";#N/A,#N/A,FALSE,"KA EO (4)"}</definedName>
    <definedName name="ASFTTESH_3" localSheetId="6" hidden="1">{#N/A,#N/A,FALSE,"Umsatz EO BP";#N/A,#N/A,FALSE,"Umsatz EO OP";#N/A,#N/A,FALSE,"ER EO BP";#N/A,#N/A,FALSE,"ER EO OP";#N/A,#N/A,FALSE,"EA EO (2)";#N/A,#N/A,FALSE,"EA EO";#N/A,#N/A,FALSE,"EA EO (3)";#N/A,#N/A,FALSE,"EA EO (4)";#N/A,#N/A,FALSE,"KA EO  (2)";#N/A,#N/A,FALSE,"KA EO";#N/A,#N/A,FALSE,"KA EO  (3)";#N/A,#N/A,FALSE,"KA EO (4)"}</definedName>
    <definedName name="ASFTTESH_3" hidden="1">{#N/A,#N/A,FALSE,"Umsatz EO BP";#N/A,#N/A,FALSE,"Umsatz EO OP";#N/A,#N/A,FALSE,"ER EO BP";#N/A,#N/A,FALSE,"ER EO OP";#N/A,#N/A,FALSE,"EA EO (2)";#N/A,#N/A,FALSE,"EA EO";#N/A,#N/A,FALSE,"EA EO (3)";#N/A,#N/A,FALSE,"EA EO (4)";#N/A,#N/A,FALSE,"KA EO  (2)";#N/A,#N/A,FALSE,"KA EO";#N/A,#N/A,FALSE,"KA EO  (3)";#N/A,#N/A,FALSE,"KA EO (4)"}</definedName>
    <definedName name="ASFTTESH_4" localSheetId="0" hidden="1">{#N/A,#N/A,FALSE,"Umsatz EO BP";#N/A,#N/A,FALSE,"Umsatz EO OP";#N/A,#N/A,FALSE,"ER EO BP";#N/A,#N/A,FALSE,"ER EO OP";#N/A,#N/A,FALSE,"EA EO (2)";#N/A,#N/A,FALSE,"EA EO";#N/A,#N/A,FALSE,"EA EO (3)";#N/A,#N/A,FALSE,"EA EO (4)";#N/A,#N/A,FALSE,"KA EO  (2)";#N/A,#N/A,FALSE,"KA EO";#N/A,#N/A,FALSE,"KA EO  (3)";#N/A,#N/A,FALSE,"KA EO (4)"}</definedName>
    <definedName name="ASFTTESH_4" localSheetId="6" hidden="1">{#N/A,#N/A,FALSE,"Umsatz EO BP";#N/A,#N/A,FALSE,"Umsatz EO OP";#N/A,#N/A,FALSE,"ER EO BP";#N/A,#N/A,FALSE,"ER EO OP";#N/A,#N/A,FALSE,"EA EO (2)";#N/A,#N/A,FALSE,"EA EO";#N/A,#N/A,FALSE,"EA EO (3)";#N/A,#N/A,FALSE,"EA EO (4)";#N/A,#N/A,FALSE,"KA EO  (2)";#N/A,#N/A,FALSE,"KA EO";#N/A,#N/A,FALSE,"KA EO  (3)";#N/A,#N/A,FALSE,"KA EO (4)"}</definedName>
    <definedName name="ASFTTESH_4" hidden="1">{#N/A,#N/A,FALSE,"Umsatz EO BP";#N/A,#N/A,FALSE,"Umsatz EO OP";#N/A,#N/A,FALSE,"ER EO BP";#N/A,#N/A,FALSE,"ER EO OP";#N/A,#N/A,FALSE,"EA EO (2)";#N/A,#N/A,FALSE,"EA EO";#N/A,#N/A,FALSE,"EA EO (3)";#N/A,#N/A,FALSE,"EA EO (4)";#N/A,#N/A,FALSE,"KA EO  (2)";#N/A,#N/A,FALSE,"KA EO";#N/A,#N/A,FALSE,"KA EO  (3)";#N/A,#N/A,FALSE,"KA EO (4)"}</definedName>
    <definedName name="ASFTTESH_5" localSheetId="0" hidden="1">{#N/A,#N/A,FALSE,"Umsatz EO BP";#N/A,#N/A,FALSE,"Umsatz EO OP";#N/A,#N/A,FALSE,"ER EO BP";#N/A,#N/A,FALSE,"ER EO OP";#N/A,#N/A,FALSE,"EA EO (2)";#N/A,#N/A,FALSE,"EA EO";#N/A,#N/A,FALSE,"EA EO (3)";#N/A,#N/A,FALSE,"EA EO (4)";#N/A,#N/A,FALSE,"KA EO  (2)";#N/A,#N/A,FALSE,"KA EO";#N/A,#N/A,FALSE,"KA EO  (3)";#N/A,#N/A,FALSE,"KA EO (4)"}</definedName>
    <definedName name="ASFTTESH_5" localSheetId="6" hidden="1">{#N/A,#N/A,FALSE,"Umsatz EO BP";#N/A,#N/A,FALSE,"Umsatz EO OP";#N/A,#N/A,FALSE,"ER EO BP";#N/A,#N/A,FALSE,"ER EO OP";#N/A,#N/A,FALSE,"EA EO (2)";#N/A,#N/A,FALSE,"EA EO";#N/A,#N/A,FALSE,"EA EO (3)";#N/A,#N/A,FALSE,"EA EO (4)";#N/A,#N/A,FALSE,"KA EO  (2)";#N/A,#N/A,FALSE,"KA EO";#N/A,#N/A,FALSE,"KA EO  (3)";#N/A,#N/A,FALSE,"KA EO (4)"}</definedName>
    <definedName name="ASFTTESH_5" hidden="1">{#N/A,#N/A,FALSE,"Umsatz EO BP";#N/A,#N/A,FALSE,"Umsatz EO OP";#N/A,#N/A,FALSE,"ER EO BP";#N/A,#N/A,FALSE,"ER EO OP";#N/A,#N/A,FALSE,"EA EO (2)";#N/A,#N/A,FALSE,"EA EO";#N/A,#N/A,FALSE,"EA EO (3)";#N/A,#N/A,FALSE,"EA EO (4)";#N/A,#N/A,FALSE,"KA EO  (2)";#N/A,#N/A,FALSE,"KA EO";#N/A,#N/A,FALSE,"KA EO  (3)";#N/A,#N/A,FALSE,"KA EO (4)"}</definedName>
    <definedName name="ASG" localSheetId="6" hidden="1">{"VIEW1",#N/A,FALSE,"P&amp;L Account 2001-2002";"VIEW2",#N/A,FALSE,"P&amp;L Account 2001-2002";"VIEW3",#N/A,FALSE,"P&amp;L Account 2001-2002";"VIEW4",#N/A,FALSE,"P&amp;L Account 2001-2002"}</definedName>
    <definedName name="ASG" hidden="1">{"VIEW1",#N/A,FALSE,"P&amp;L Account 2001-2002";"VIEW2",#N/A,FALSE,"P&amp;L Account 2001-2002";"VIEW3",#N/A,FALSE,"P&amp;L Account 2001-2002";"VIEW4",#N/A,FALSE,"P&amp;L Account 2001-2002"}</definedName>
    <definedName name="ASGSFDGSD" localSheetId="6" hidden="1">{#N/A,#N/A,FALSE,"Aging Summary";#N/A,#N/A,FALSE,"Ratio Analysis";#N/A,#N/A,FALSE,"Test 120 Day Accts";#N/A,#N/A,FALSE,"Tickmarks"}</definedName>
    <definedName name="ASGSFDGSD" hidden="1">{#N/A,#N/A,FALSE,"Aging Summary";#N/A,#N/A,FALSE,"Ratio Analysis";#N/A,#N/A,FALSE,"Test 120 Day Accts";#N/A,#N/A,FALSE,"Tickmarks"}</definedName>
    <definedName name="ashpdoihsaüd" localSheetId="0" hidden="1">{"TMO Deutschland",#N/A,FALSE,"Beta TMO Europa";"TMO Großbritannien",#N/A,FALSE,"Beta TMO Europa";"TMO Niederlande",#N/A,FALSE,"Beta TMO Europa";"TMO Österreich",#N/A,FALSE,"Beta TMO Europa";"TMO Tschechische Republik",#N/A,FALSE,"Beta TMO Europa"}</definedName>
    <definedName name="ashpdoihsaüd" localSheetId="6" hidden="1">{"TMO Deutschland",#N/A,FALSE,"Beta TMO Europa";"TMO Großbritannien",#N/A,FALSE,"Beta TMO Europa";"TMO Niederlande",#N/A,FALSE,"Beta TMO Europa";"TMO Österreich",#N/A,FALSE,"Beta TMO Europa";"TMO Tschechische Republik",#N/A,FALSE,"Beta TMO Europa"}</definedName>
    <definedName name="ashpdoihsaüd" hidden="1">{"TMO Deutschland",#N/A,FALSE,"Beta TMO Europa";"TMO Großbritannien",#N/A,FALSE,"Beta TMO Europa";"TMO Niederlande",#N/A,FALSE,"Beta TMO Europa";"TMO Österreich",#N/A,FALSE,"Beta TMO Europa";"TMO Tschechische Republik",#N/A,FALSE,"Beta TMO Europa"}</definedName>
    <definedName name="asi" localSheetId="6" hidden="1">{#N/A,#N/A,FALSE,"EVA_SC"}</definedName>
    <definedName name="asi" hidden="1">{#N/A,#N/A,FALSE,"EVA_SC"}</definedName>
    <definedName name="ASKDJFALK" localSheetId="0" hidden="1">{#N/A,#N/A,FALSE,"PROFIT 11-95"}</definedName>
    <definedName name="ASKDJFALK" localSheetId="6" hidden="1">{#N/A,#N/A,FALSE,"PROFIT 11-95"}</definedName>
    <definedName name="ASKDJFALK" hidden="1">{#N/A,#N/A,FALSE,"PROFIT 11-95"}</definedName>
    <definedName name="AsofDat">#REF!</definedName>
    <definedName name="AsOfDate">#REF!</definedName>
    <definedName name="ASOK" localSheetId="6" hidden="1">{"VIEW1",#N/A,FALSE,"P&amp;L Account 2001-2002";"VIEW2",#N/A,FALSE,"P&amp;L Account 2001-2002";"VIEW3",#N/A,FALSE,"P&amp;L Account 2001-2002";"VIEW4",#N/A,FALSE,"P&amp;L Account 2001-2002"}</definedName>
    <definedName name="ASOK" hidden="1">{"VIEW1",#N/A,FALSE,"P&amp;L Account 2001-2002";"VIEW2",#N/A,FALSE,"P&amp;L Account 2001-2002";"VIEW3",#N/A,FALSE,"P&amp;L Account 2001-2002";"VIEW4",#N/A,FALSE,"P&amp;L Account 2001-2002"}</definedName>
    <definedName name="ass" localSheetId="0" hidden="1">{"DJH3",#N/A,FALSE,"PFL00805";"PJB3",#N/A,FALSE,"PFL00805";"JMD3",#N/A,FALSE,"PFL00805";"DNB3",#N/A,FALSE,"PFL00805";"MJP3",#N/A,FALSE,"PFL00805";"RAB3",#N/A,FALSE,"PFL00805";"GJW3",#N/A,FALSE,"PFL00805";"MASTER3",#N/A,FALSE,"PFL00805"}</definedName>
    <definedName name="ass" localSheetId="6" hidden="1">{"DJH3",#N/A,FALSE,"PFL00805";"PJB3",#N/A,FALSE,"PFL00805";"JMD3",#N/A,FALSE,"PFL00805";"DNB3",#N/A,FALSE,"PFL00805";"MJP3",#N/A,FALSE,"PFL00805";"RAB3",#N/A,FALSE,"PFL00805";"GJW3",#N/A,FALSE,"PFL00805";"MASTER3",#N/A,FALSE,"PFL00805"}</definedName>
    <definedName name="ass" hidden="1">{"DJH3",#N/A,FALSE,"PFL00805";"PJB3",#N/A,FALSE,"PFL00805";"JMD3",#N/A,FALSE,"PFL00805";"DNB3",#N/A,FALSE,"PFL00805";"MJP3",#N/A,FALSE,"PFL00805";"RAB3",#N/A,FALSE,"PFL00805";"GJW3",#N/A,FALSE,"PFL00805";"MASTER3",#N/A,FALSE,"PFL00805"}</definedName>
    <definedName name="ass_1" localSheetId="0" hidden="1">{"DJH3",#N/A,FALSE,"PFL00805";"PJB3",#N/A,FALSE,"PFL00805";"JMD3",#N/A,FALSE,"PFL00805";"DNB3",#N/A,FALSE,"PFL00805";"MJP3",#N/A,FALSE,"PFL00805";"RAB3",#N/A,FALSE,"PFL00805";"GJW3",#N/A,FALSE,"PFL00805";"MASTER3",#N/A,FALSE,"PFL00805"}</definedName>
    <definedName name="ass_1" localSheetId="6" hidden="1">{"DJH3",#N/A,FALSE,"PFL00805";"PJB3",#N/A,FALSE,"PFL00805";"JMD3",#N/A,FALSE,"PFL00805";"DNB3",#N/A,FALSE,"PFL00805";"MJP3",#N/A,FALSE,"PFL00805";"RAB3",#N/A,FALSE,"PFL00805";"GJW3",#N/A,FALSE,"PFL00805";"MASTER3",#N/A,FALSE,"PFL00805"}</definedName>
    <definedName name="ass_1" hidden="1">{"DJH3",#N/A,FALSE,"PFL00805";"PJB3",#N/A,FALSE,"PFL00805";"JMD3",#N/A,FALSE,"PFL00805";"DNB3",#N/A,FALSE,"PFL00805";"MJP3",#N/A,FALSE,"PFL00805";"RAB3",#N/A,FALSE,"PFL00805";"GJW3",#N/A,FALSE,"PFL00805";"MASTER3",#N/A,FALSE,"PFL00805"}</definedName>
    <definedName name="Ass_EOSI_payment_perc_yearly">#REF!</definedName>
    <definedName name="Ass_EOSI_provision_perc">#REF!</definedName>
    <definedName name="Ass_GA_utilities_cost">#REF!</definedName>
    <definedName name="Ass_other_capital_increase">#REF!</definedName>
    <definedName name="Ass_other_div_payout_ratio">#REF!</definedName>
    <definedName name="Ass_other_zakat_rate">#REF!</definedName>
    <definedName name="Ass_PPE_capex_expans_furniture">#REF!</definedName>
    <definedName name="Ass_PPE_capex_expans_vehicles">#REF!</definedName>
    <definedName name="Ass_PPE_depreciation_furn">#REF!</definedName>
    <definedName name="Ass_PPE_depreciation_vehicles">#REF!</definedName>
    <definedName name="Ass_rev_facility1_oil_prices_export">#REF!</definedName>
    <definedName name="Ass_rev_facility1_oil_prices_local">#REF!</definedName>
    <definedName name="Ass_rev_facility1_oil_prod_tons">#REF!</definedName>
    <definedName name="Ass_rev_facility1_output_mix_oil_local">#REF!</definedName>
    <definedName name="Ass_rev_facility1_output_mix_solid_local">#REF!</definedName>
    <definedName name="Ass_rev_facility1_output_mix_water_export">#REF!</definedName>
    <definedName name="Ass_rev_facility1_output_mix_water_local">#REF!</definedName>
    <definedName name="Ass_rev_facility1_plant_capacity">#REF!</definedName>
    <definedName name="Ass_rev_facility1_Sales_mix_oil_export">#REF!</definedName>
    <definedName name="Ass_rev_facility1_Sales_mix_oil_local">#REF!</definedName>
    <definedName name="Ass_rev_facility1_Sales_mix_solid_export">#REF!</definedName>
    <definedName name="Ass_rev_facility1_Sales_mix_solid_local">#REF!</definedName>
    <definedName name="Ass_rev_facility1_Sales_mix_water_export">#REF!</definedName>
    <definedName name="Ass_rev_facility1_Sales_mix_water_local">#REF!</definedName>
    <definedName name="Ass_rev_facility1_solid_mix">#REF!</definedName>
    <definedName name="Ass_rev_facility1_solid_prices_export">#REF!</definedName>
    <definedName name="Ass_rev_facility1_solid_prices_local">#REF!</definedName>
    <definedName name="Ass_rev_facility1_solid_prod_tons">#REF!</definedName>
    <definedName name="Ass_rev_facility1_total_oil_sales_export">#REF!</definedName>
    <definedName name="Ass_rev_facility1_total_prod_tons">#REF!</definedName>
    <definedName name="Ass_rev_facility1_total_solid_sales_export">#REF!</definedName>
    <definedName name="Ass_rev_facility1_total_solid_sales_local">#REF!</definedName>
    <definedName name="Ass_rev_facility1_water_prices_export">#REF!</definedName>
    <definedName name="Ass_rev_facility1_water_prices_local">#REF!</definedName>
    <definedName name="Ass_rev_facility1_water_prod_tons">#REF!</definedName>
    <definedName name="Ass_rev_operations_machines">#REF!</definedName>
    <definedName name="Ass_WC_accruals_perc_opex">#REF!</definedName>
    <definedName name="Ass_WC_advances_cust_perc_sales">#REF!</definedName>
    <definedName name="Ass_WC_Advances_supplier_perc_COS">#REF!</definedName>
    <definedName name="Ass_WC_DIO">#REF!</definedName>
    <definedName name="Ass_WC_DPO">#REF!</definedName>
    <definedName name="Ass_WC_DSO">#REF!</definedName>
    <definedName name="Ass_WC_Due_from_RP_perc_sales">#REF!</definedName>
    <definedName name="Ass_WC_Due_to_RP_perc_COS">#REF!</definedName>
    <definedName name="Ass_WC_prepay_perc_opex">#REF!</definedName>
    <definedName name="ASSA" localSheetId="0" hidden="1">{#N/A,#N/A,FALSE,"1";#N/A,#N/A,FALSE,"2";#N/A,#N/A,FALSE,"16 - 17";#N/A,#N/A,FALSE,"18 - 19";#N/A,#N/A,FALSE,"26";#N/A,#N/A,FALSE,"27";#N/A,#N/A,FALSE,"28"}</definedName>
    <definedName name="ASSA" localSheetId="6" hidden="1">{#N/A,#N/A,FALSE,"1";#N/A,#N/A,FALSE,"2";#N/A,#N/A,FALSE,"16 - 17";#N/A,#N/A,FALSE,"18 - 19";#N/A,#N/A,FALSE,"26";#N/A,#N/A,FALSE,"27";#N/A,#N/A,FALSE,"28"}</definedName>
    <definedName name="ASSA" hidden="1">{#N/A,#N/A,FALSE,"1";#N/A,#N/A,FALSE,"2";#N/A,#N/A,FALSE,"16 - 17";#N/A,#N/A,FALSE,"18 - 19";#N/A,#N/A,FALSE,"26";#N/A,#N/A,FALSE,"27";#N/A,#N/A,FALSE,"28"}</definedName>
    <definedName name="ASSA_1" localSheetId="0" hidden="1">{#N/A,#N/A,FALSE,"1";#N/A,#N/A,FALSE,"2";#N/A,#N/A,FALSE,"16 - 17";#N/A,#N/A,FALSE,"18 - 19";#N/A,#N/A,FALSE,"26";#N/A,#N/A,FALSE,"27";#N/A,#N/A,FALSE,"28"}</definedName>
    <definedName name="ASSA_1" localSheetId="6" hidden="1">{#N/A,#N/A,FALSE,"1";#N/A,#N/A,FALSE,"2";#N/A,#N/A,FALSE,"16 - 17";#N/A,#N/A,FALSE,"18 - 19";#N/A,#N/A,FALSE,"26";#N/A,#N/A,FALSE,"27";#N/A,#N/A,FALSE,"28"}</definedName>
    <definedName name="ASSA_1" hidden="1">{#N/A,#N/A,FALSE,"1";#N/A,#N/A,FALSE,"2";#N/A,#N/A,FALSE,"16 - 17";#N/A,#N/A,FALSE,"18 - 19";#N/A,#N/A,FALSE,"26";#N/A,#N/A,FALSE,"27";#N/A,#N/A,FALSE,"28"}</definedName>
    <definedName name="ASSA_1_1" localSheetId="0" hidden="1">{#N/A,#N/A,FALSE,"1";#N/A,#N/A,FALSE,"2";#N/A,#N/A,FALSE,"16 - 17";#N/A,#N/A,FALSE,"18 - 19";#N/A,#N/A,FALSE,"26";#N/A,#N/A,FALSE,"27";#N/A,#N/A,FALSE,"28"}</definedName>
    <definedName name="ASSA_1_1" localSheetId="6" hidden="1">{#N/A,#N/A,FALSE,"1";#N/A,#N/A,FALSE,"2";#N/A,#N/A,FALSE,"16 - 17";#N/A,#N/A,FALSE,"18 - 19";#N/A,#N/A,FALSE,"26";#N/A,#N/A,FALSE,"27";#N/A,#N/A,FALSE,"28"}</definedName>
    <definedName name="ASSA_1_1" hidden="1">{#N/A,#N/A,FALSE,"1";#N/A,#N/A,FALSE,"2";#N/A,#N/A,FALSE,"16 - 17";#N/A,#N/A,FALSE,"18 - 19";#N/A,#N/A,FALSE,"26";#N/A,#N/A,FALSE,"27";#N/A,#N/A,FALSE,"28"}</definedName>
    <definedName name="ASSA_2" localSheetId="0" hidden="1">{#N/A,#N/A,FALSE,"1";#N/A,#N/A,FALSE,"2";#N/A,#N/A,FALSE,"16 - 17";#N/A,#N/A,FALSE,"18 - 19";#N/A,#N/A,FALSE,"26";#N/A,#N/A,FALSE,"27";#N/A,#N/A,FALSE,"28"}</definedName>
    <definedName name="ASSA_2" localSheetId="6" hidden="1">{#N/A,#N/A,FALSE,"1";#N/A,#N/A,FALSE,"2";#N/A,#N/A,FALSE,"16 - 17";#N/A,#N/A,FALSE,"18 - 19";#N/A,#N/A,FALSE,"26";#N/A,#N/A,FALSE,"27";#N/A,#N/A,FALSE,"28"}</definedName>
    <definedName name="ASSA_2" hidden="1">{#N/A,#N/A,FALSE,"1";#N/A,#N/A,FALSE,"2";#N/A,#N/A,FALSE,"16 - 17";#N/A,#N/A,FALSE,"18 - 19";#N/A,#N/A,FALSE,"26";#N/A,#N/A,FALSE,"27";#N/A,#N/A,FALSE,"28"}</definedName>
    <definedName name="ASSA_3" localSheetId="0" hidden="1">{#N/A,#N/A,FALSE,"1";#N/A,#N/A,FALSE,"2";#N/A,#N/A,FALSE,"16 - 17";#N/A,#N/A,FALSE,"18 - 19";#N/A,#N/A,FALSE,"26";#N/A,#N/A,FALSE,"27";#N/A,#N/A,FALSE,"28"}</definedName>
    <definedName name="ASSA_3" localSheetId="6" hidden="1">{#N/A,#N/A,FALSE,"1";#N/A,#N/A,FALSE,"2";#N/A,#N/A,FALSE,"16 - 17";#N/A,#N/A,FALSE,"18 - 19";#N/A,#N/A,FALSE,"26";#N/A,#N/A,FALSE,"27";#N/A,#N/A,FALSE,"28"}</definedName>
    <definedName name="ASSA_3" hidden="1">{#N/A,#N/A,FALSE,"1";#N/A,#N/A,FALSE,"2";#N/A,#N/A,FALSE,"16 - 17";#N/A,#N/A,FALSE,"18 - 19";#N/A,#N/A,FALSE,"26";#N/A,#N/A,FALSE,"27";#N/A,#N/A,FALSE,"28"}</definedName>
    <definedName name="ASSA_4" localSheetId="0" hidden="1">{#N/A,#N/A,FALSE,"1";#N/A,#N/A,FALSE,"2";#N/A,#N/A,FALSE,"16 - 17";#N/A,#N/A,FALSE,"18 - 19";#N/A,#N/A,FALSE,"26";#N/A,#N/A,FALSE,"27";#N/A,#N/A,FALSE,"28"}</definedName>
    <definedName name="ASSA_4" localSheetId="6" hidden="1">{#N/A,#N/A,FALSE,"1";#N/A,#N/A,FALSE,"2";#N/A,#N/A,FALSE,"16 - 17";#N/A,#N/A,FALSE,"18 - 19";#N/A,#N/A,FALSE,"26";#N/A,#N/A,FALSE,"27";#N/A,#N/A,FALSE,"28"}</definedName>
    <definedName name="ASSA_4" hidden="1">{#N/A,#N/A,FALSE,"1";#N/A,#N/A,FALSE,"2";#N/A,#N/A,FALSE,"16 - 17";#N/A,#N/A,FALSE,"18 - 19";#N/A,#N/A,FALSE,"26";#N/A,#N/A,FALSE,"27";#N/A,#N/A,FALSE,"28"}</definedName>
    <definedName name="ASSA_5" localSheetId="0" hidden="1">{#N/A,#N/A,FALSE,"1";#N/A,#N/A,FALSE,"2";#N/A,#N/A,FALSE,"16 - 17";#N/A,#N/A,FALSE,"18 - 19";#N/A,#N/A,FALSE,"26";#N/A,#N/A,FALSE,"27";#N/A,#N/A,FALSE,"28"}</definedName>
    <definedName name="ASSA_5" localSheetId="6" hidden="1">{#N/A,#N/A,FALSE,"1";#N/A,#N/A,FALSE,"2";#N/A,#N/A,FALSE,"16 - 17";#N/A,#N/A,FALSE,"18 - 19";#N/A,#N/A,FALSE,"26";#N/A,#N/A,FALSE,"27";#N/A,#N/A,FALSE,"28"}</definedName>
    <definedName name="ASSA_5" hidden="1">{#N/A,#N/A,FALSE,"1";#N/A,#N/A,FALSE,"2";#N/A,#N/A,FALSE,"16 - 17";#N/A,#N/A,FALSE,"18 - 19";#N/A,#N/A,FALSE,"26";#N/A,#N/A,FALSE,"27";#N/A,#N/A,FALSE,"28"}</definedName>
    <definedName name="assa1" localSheetId="4">OFFSET(Impression_complète,0,0,#REF!)</definedName>
    <definedName name="assa1" localSheetId="2">OFFSET(Impression_complète,0,0,#REF!)</definedName>
    <definedName name="assa1" localSheetId="6">OFFSET(Impression_complète,0,0,#REF!)</definedName>
    <definedName name="assa1">OFFSET(Impression_complète,0,0,#REF!)</definedName>
    <definedName name="assad" hidden="1">#REF!</definedName>
    <definedName name="assasdafsda" localSheetId="6" hidden="1">{"PR1","pr1",TRUE,"Sch PR-1"}</definedName>
    <definedName name="assasdafsda" hidden="1">{"PR1","pr1",TRUE,"Sch PR-1"}</definedName>
    <definedName name="assdd" localSheetId="0" hidden="1">{"'INDICE'!$A$1:$K$13","'1'!$A$1:$CC$78","'2'!$A$1:$P$78","'3'!$A$1:$CI$78","'4'!$A$1:$Q$78"}</definedName>
    <definedName name="assdd" localSheetId="6" hidden="1">{"'INDICE'!$A$1:$K$13","'1'!$A$1:$CC$78","'2'!$A$1:$P$78","'3'!$A$1:$CI$78","'4'!$A$1:$Q$78"}</definedName>
    <definedName name="assdd" hidden="1">{"'INDICE'!$A$1:$K$13","'1'!$A$1:$CC$78","'2'!$A$1:$P$78","'3'!$A$1:$CI$78","'4'!$A$1:$Q$78"}</definedName>
    <definedName name="assdd_1" localSheetId="0" hidden="1">{"'INDICE'!$A$1:$K$13","'1'!$A$1:$CC$78","'2'!$A$1:$P$78","'3'!$A$1:$CI$78","'4'!$A$1:$Q$78"}</definedName>
    <definedName name="assdd_1" localSheetId="6" hidden="1">{"'INDICE'!$A$1:$K$13","'1'!$A$1:$CC$78","'2'!$A$1:$P$78","'3'!$A$1:$CI$78","'4'!$A$1:$Q$78"}</definedName>
    <definedName name="assdd_1" hidden="1">{"'INDICE'!$A$1:$K$13","'1'!$A$1:$CC$78","'2'!$A$1:$P$78","'3'!$A$1:$CI$78","'4'!$A$1:$Q$78"}</definedName>
    <definedName name="assddd" localSheetId="0" hidden="1">{#N/A,#N/A,TRUE,"PROFIT 11-95"}</definedName>
    <definedName name="assddd" localSheetId="6" hidden="1">{#N/A,#N/A,TRUE,"PROFIT 11-95"}</definedName>
    <definedName name="assddd" hidden="1">{#N/A,#N/A,TRUE,"PROFIT 11-95"}</definedName>
    <definedName name="ASSET_TURNS" hidden="1">"ASSET_TURNS"</definedName>
    <definedName name="Assets">#REF!</definedName>
    <definedName name="ASSMNS4">#REF!</definedName>
    <definedName name="Assmup_Total_Built_Area_1">#REF!</definedName>
    <definedName name="Assmup_Total_Built_Area_Residential_Spc">#REF!</definedName>
    <definedName name="asss" hidden="1">#REF!</definedName>
    <definedName name="asssad" hidden="1">#REF!</definedName>
    <definedName name="AsstType">#REF!</definedName>
    <definedName name="Assump">#REF!</definedName>
    <definedName name="Assump_Allocation_of_Refurbishment_Cost_Const">#REF!</definedName>
    <definedName name="Assump_Allocation_of_Refurbishment_Cost_Furniture">#REF!</definedName>
    <definedName name="Assump_Allocation_of_Refurbishment_Cost_Kitchen_Linen_Equip">#REF!</definedName>
    <definedName name="Assump_AP_Begin_Bal">#REF!</definedName>
    <definedName name="Assump_AP_Supplier_Credit_Days">#REF!</definedName>
    <definedName name="Assump_AR_Begin_Bal">#REF!</definedName>
    <definedName name="Assump_AR_Caredit_Sales_Pct">#REF!</definedName>
    <definedName name="Assump_AR_Cash_Sales_Pct">#REF!</definedName>
    <definedName name="Assump_AR_Customer_Credit_Days">#REF!</definedName>
    <definedName name="Assump_AR_Provision_for_Bad_Debts">#REF!</definedName>
    <definedName name="Assump_Bank_Ac_Begin_Bal">#REF!</definedName>
    <definedName name="Assump_Bank_Ac_Overdraft_Interest_Exp_Calc">#REF!</definedName>
    <definedName name="Assump_Bank_Ac_Overdraft_Interest_Exp_Circularity_Switch">#REF!</definedName>
    <definedName name="Assump_Bank_Ac_Overdraft_Interest_Exp_Est">#REF!</definedName>
    <definedName name="Assump_Bank_Ac_Overdraft_Interest_Rate">#REF!</definedName>
    <definedName name="Assump_Common_Allocated_Area">#REF!</definedName>
    <definedName name="Assump_Cost_of_Refurbishment_Yr_1">#REF!</definedName>
    <definedName name="Assump_Cost_of_Refurbishment_Yr_2">#REF!</definedName>
    <definedName name="Assump_Cost_of_Refurbishment_Yr_3">#REF!</definedName>
    <definedName name="Assump_Cost_of_Refurbishment_Yr_4_Onwards">#REF!</definedName>
    <definedName name="Assump_Dep_Rate_Const">#REF!</definedName>
    <definedName name="Assump_Dep_Rate_Furniture">#REF!</definedName>
    <definedName name="Assump_Dep_Rate_Hardware_Software">#REF!</definedName>
    <definedName name="Assump_Dep_Rate_Kitchen_Linen_Equip">#REF!</definedName>
    <definedName name="Assump_Dep_Rate_Vehicles">#REF!</definedName>
    <definedName name="Assump_EOSB_First_5_yrs">#REF!</definedName>
    <definedName name="Assump_EOSB_Yr_5_Onwards">#REF!</definedName>
    <definedName name="Assump_Financing_Bank_Loan_Interest_Rate">#REF!</definedName>
    <definedName name="Assump_Financing_Debt_Begin_Bal">#REF!</definedName>
    <definedName name="Assump_Financing_Dividend_Payout_Ratio">#REF!</definedName>
    <definedName name="Assump_Financing_Equity_Begin_Bal">#REF!</definedName>
    <definedName name="Assump_Financing_Moratorium_Period">#REF!</definedName>
    <definedName name="Assump_Financing_Number_of_Installment">#REF!</definedName>
    <definedName name="Assump_Financing_Pct_Debt">#REF!</definedName>
    <definedName name="Assump_Financing_Pct_Equity">#REF!</definedName>
    <definedName name="Assump_Financing_Pct_Non_Saudi_Shareholding">#REF!</definedName>
    <definedName name="Assump_Financing_Pct_Saudi_Shareholding">#REF!</definedName>
    <definedName name="Assump_Financing_Retained_Earnings_Begin_Bal">#REF!</definedName>
    <definedName name="Assump_Financing_Total_Initial_Requirement">#REF!</definedName>
    <definedName name="Assump_Financing_Zakat_Annual_Rate">#REF!</definedName>
    <definedName name="Assump_Financing_Zakat_Begin_Bal">#REF!</definedName>
    <definedName name="Assump_Financing_Zakat_Payment_Rate">#REF!</definedName>
    <definedName name="Assump_Fixed_Assets_Begin_Bal">#REF!</definedName>
    <definedName name="Assump_Fixed_Assets_Constructuion_Additions_Initial">#REF!</definedName>
    <definedName name="Assump_Fixed_Assets_Constructuion_Additions_Ongoing">#REF!</definedName>
    <definedName name="Assump_Fixed_Assets_Equip_Additions_Initial">#REF!</definedName>
    <definedName name="Assump_Fixed_Assets_Equip_Additions_Replacement">#REF!</definedName>
    <definedName name="Assump_Fixed_Assets_Land_Additions">#REF!</definedName>
    <definedName name="Assump_Fixed_Assets_Land_Annual_Appreciation_Rate">#REF!</definedName>
    <definedName name="Assump_Fixed_Assets_Software_Hardware_Additions_Initial">#REF!</definedName>
    <definedName name="Assump_Fixed_Assets_Software_Hardware_Additions_Replacement">#REF!</definedName>
    <definedName name="Assump_Fixed_Assets_Total_Additiona_Initial">#REF!</definedName>
    <definedName name="Assump_Fixed_Assets_Total_Additions">#REF!</definedName>
    <definedName name="Assump_Fixed_Assets_Vehicles_Additions_Initial">#REF!</definedName>
    <definedName name="Assump_Fixed_Assets_Vehicles_Additions_Replacement">#REF!</definedName>
    <definedName name="Assump_Gen_Admin_Employ_Accomodation_Transportation_Cafeteria">#REF!</definedName>
    <definedName name="Assump_Gen_Admin_Insurance_on_Building">#REF!</definedName>
    <definedName name="Assump_Gen_Admin_Legal_Prof">#REF!</definedName>
    <definedName name="Assump_Gen_Admin_Mgmt_Salaries">#REF!</definedName>
    <definedName name="Assump_Gen_Admin_Mktg_Adv_and_Ent">#REF!</definedName>
    <definedName name="Assump_Gen_Admin_Office_Supplies_Insurance_Data_Processing">#REF!</definedName>
    <definedName name="Assump_Gen_Admin_Others_Contingency">#REF!</definedName>
    <definedName name="Assump_Gen_Admin_Royality_Fee">#REF!</definedName>
    <definedName name="Assump_Gen_Admin_Sales_Commision">#REF!</definedName>
    <definedName name="Assump_General_Const_Flag">#REF!</definedName>
    <definedName name="Assump_Inv_Begin_Bal">#REF!</definedName>
    <definedName name="Assump_Inv_Purchases">#REF!</definedName>
    <definedName name="Assump_Inv_Running_Inventory">#REF!</definedName>
    <definedName name="Assump_Op_Cost_Annual_Lease_Expense">#REF!</definedName>
    <definedName name="Assump_Op_Cost_Contingency_Others">#REF!</definedName>
    <definedName name="Assump_Op_Cost_FB_Direct_Material">#REF!</definedName>
    <definedName name="Assump_Op_Cost_FB_Direct_Salaries">#REF!</definedName>
    <definedName name="Assump_Op_Cost_FB_Other_Supplies">#REF!</definedName>
    <definedName name="Assump_Op_Cost_Linen_Sheets">#REF!</definedName>
    <definedName name="Assump_Op_Cost_Maint_Repair_Salaries">#REF!</definedName>
    <definedName name="Assump_Op_Cost_Maint_Repair_Supplies">#REF!</definedName>
    <definedName name="Assump_Op_Cost_Other_Op_Dept">#REF!</definedName>
    <definedName name="Assump_Op_Cost_Rooms_Direct_Salaries">#REF!</definedName>
    <definedName name="Assump_Op_Cost_Rooms_Supplies_Others">#REF!</definedName>
    <definedName name="Assump_Op_Cost_Utillities">#REF!</definedName>
    <definedName name="Assump_Parking_Area">#REF!</definedName>
    <definedName name="Assump_Parking_Space_per_Sq_Meter_Built_Area">#REF!</definedName>
    <definedName name="Assump_Parking_Space_Rqrd_per_Unit">#REF!</definedName>
    <definedName name="Assump_Pre_Ops_Additions">#REF!</definedName>
    <definedName name="Assump_Pre_Ops_Amort_End_Date">#REF!</definedName>
    <definedName name="Assump_Pre_Ops_Amortization">#REF!</definedName>
    <definedName name="Assump_Pre_Ops_Amortized">#REF!</definedName>
    <definedName name="Assump_Pre_Ops_Begin_Bal">#REF!</definedName>
    <definedName name="Assump_Pre_Ops_Expensed">#REF!</definedName>
    <definedName name="Assump_Pre_Ops_Feasability_Study_Total">#REF!</definedName>
    <definedName name="Assump_Pre_Ops_Inaugural_Ceremony_Total">#REF!</definedName>
    <definedName name="Assump_Pre_Ops_Legal_Total">#REF!</definedName>
    <definedName name="Assump_Pre_Ops_Marketing_Total">#REF!</definedName>
    <definedName name="Assump_Pre_Ops_Others_Total">#REF!</definedName>
    <definedName name="Assump_Pre_Ops_Total">#REF!</definedName>
    <definedName name="Assump_Pre_Ops_Total_Period_Months_Amort">#REF!</definedName>
    <definedName name="Assump_Rev_Annual_Rate_Sq_M">#REF!</definedName>
    <definedName name="Assump_Rev_Annual_Srv_Chrgs">#REF!</definedName>
    <definedName name="Assump_Rev_Area_per_Apt">#REF!</definedName>
    <definedName name="Assump_Rev_FB_Pct_Room_Rev">#REF!</definedName>
    <definedName name="Assump_Rev_Num_of_Floors">#REF!</definedName>
    <definedName name="Assump_Rev_Num_of_Rooms">#REF!</definedName>
    <definedName name="Assump_Rev_Occupancy_Level">#REF!</definedName>
    <definedName name="Assump_Rev_OOD_Pct_Room_Rev">#REF!</definedName>
    <definedName name="Assump_Rev_Percentage_Rentable_Area_per_Floor">#REF!</definedName>
    <definedName name="Assump_Rev_Total_Annual_Rentable_Area">#REF!</definedName>
    <definedName name="Assump_Rev_Total_Rentable_Area">#REF!</definedName>
    <definedName name="Assump_Royality_Fee">#REF!</definedName>
    <definedName name="Assump_Statutory_Reserve">#REF!</definedName>
    <definedName name="Assump_Statutory_Reserve_Begin_Bal">#REF!</definedName>
    <definedName name="Assump_Statutory_Reserve_Max">#REF!</definedName>
    <definedName name="Assump_Total_Cost_Common_Allocated">#REF!</definedName>
    <definedName name="Assump_Total_Cost_Equip">#REF!</definedName>
    <definedName name="Assump_Total_Cost_Furniture">#REF!</definedName>
    <definedName name="Assump_Total_Cost_of_Construction">#REF!</definedName>
    <definedName name="Assump_Total_Cost_of_Construction_Before_Other_Costs">#REF!</definedName>
    <definedName name="Assump_Total_Cost_of_Land">#REF!</definedName>
    <definedName name="Assump_Total_Cost_Parking">#REF!</definedName>
    <definedName name="Assump_Total_Equip">#REF!</definedName>
    <definedName name="Assump_Total_Furniture_Equip">#REF!</definedName>
    <definedName name="Assump_Total_No_of_Resd_Spc_Flrs">#REF!</definedName>
    <definedName name="Assump_Total_Pre_Ops">#REF!</definedName>
    <definedName name="Assump_Total_Software_Cost">#REF!</definedName>
    <definedName name="Assump_Total_Vehicle_Cost">#REF!</definedName>
    <definedName name="Assumption" localSheetId="0" hidden="1">{#N/A,#N/A,FALSE,"PROFIT 11-95"}</definedName>
    <definedName name="Assumption" localSheetId="6" hidden="1">{#N/A,#N/A,FALSE,"PROFIT 11-95"}</definedName>
    <definedName name="Assumption" hidden="1">{#N/A,#N/A,FALSE,"PROFIT 11-95"}</definedName>
    <definedName name="AStub">#REF!</definedName>
    <definedName name="aswe"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aswe"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aswer"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aswer"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atb">#REF!</definedName>
    <definedName name="atb_percent">#REF!</definedName>
    <definedName name="ATE" localSheetId="6" hidden="1">{"VIEW1",#N/A,FALSE,"P&amp;L Account 2001-2002";"VIEW2",#N/A,FALSE,"P&amp;L Account 2001-2002";"VIEW3",#N/A,FALSE,"P&amp;L Account 2001-2002";"VIEW4",#N/A,FALSE,"P&amp;L Account 2001-2002"}</definedName>
    <definedName name="ATE" hidden="1">{"VIEW1",#N/A,FALSE,"P&amp;L Account 2001-2002";"VIEW2",#N/A,FALSE,"P&amp;L Account 2001-2002";"VIEW3",#N/A,FALSE,"P&amp;L Account 2001-2002";"VIEW4",#N/A,FALSE,"P&amp;L Account 2001-2002"}</definedName>
    <definedName name="ath" localSheetId="0" hidden="1">{#N/A,#N/A,FALSE,"94-95";"SAMANDR",#N/A,FALSE,"94-95"}</definedName>
    <definedName name="ath" localSheetId="6" hidden="1">{#N/A,#N/A,FALSE,"94-95";"SAMANDR",#N/A,FALSE,"94-95"}</definedName>
    <definedName name="ath" hidden="1">{#N/A,#N/A,FALSE,"94-95";"SAMANDR",#N/A,FALSE,"94-95"}</definedName>
    <definedName name="ATSeXToEUR" localSheetId="4" hidden="1">1/EUReXToATS</definedName>
    <definedName name="ATSeXToEUR" localSheetId="0" hidden="1">1/EUReXToATS</definedName>
    <definedName name="ATSeXToEUR" localSheetId="2" hidden="1">1/EUReXToATS</definedName>
    <definedName name="ATSeXToEUR" localSheetId="6" hidden="1">1/EUReXToATS</definedName>
    <definedName name="ATSeXToEUR" hidden="1">1/EUReXToATS</definedName>
    <definedName name="att" localSheetId="0" hidden="1">{#N/A,#N/A,FALSE,"COVER PAGE";#N/A,#N/A,FALSE,"Page 2";#N/A,#N/A,FALSE,"Page 2";#N/A,#N/A,FALSE,"Page 4";#N/A,#N/A,FALSE,"Page5";#N/A,#N/A,FALSE,"Page 6";#N/A,#N/A,FALSE,"Page 7";#N/A,#N/A,FALSE,"Page 8";#N/A,#N/A,FALSE,"Page 10";#N/A,#N/A,FALSE,"Long-Term OCF Mult.";#N/A,#N/A,FALSE,"PCS Comp";#N/A,#N/A,FALSE,"OCS-CAPEX";#N/A,#N/A,FALSE,"Blank"}</definedName>
    <definedName name="att" localSheetId="6" hidden="1">{#N/A,#N/A,FALSE,"COVER PAGE";#N/A,#N/A,FALSE,"Page 2";#N/A,#N/A,FALSE,"Page 2";#N/A,#N/A,FALSE,"Page 4";#N/A,#N/A,FALSE,"Page5";#N/A,#N/A,FALSE,"Page 6";#N/A,#N/A,FALSE,"Page 7";#N/A,#N/A,FALSE,"Page 8";#N/A,#N/A,FALSE,"Page 10";#N/A,#N/A,FALSE,"Long-Term OCF Mult.";#N/A,#N/A,FALSE,"PCS Comp";#N/A,#N/A,FALSE,"OCS-CAPEX";#N/A,#N/A,FALSE,"Blank"}</definedName>
    <definedName name="att" hidden="1">{#N/A,#N/A,FALSE,"COVER PAGE";#N/A,#N/A,FALSE,"Page 2";#N/A,#N/A,FALSE,"Page 2";#N/A,#N/A,FALSE,"Page 4";#N/A,#N/A,FALSE,"Page5";#N/A,#N/A,FALSE,"Page 6";#N/A,#N/A,FALSE,"Page 7";#N/A,#N/A,FALSE,"Page 8";#N/A,#N/A,FALSE,"Page 10";#N/A,#N/A,FALSE,"Long-Term OCF Mult.";#N/A,#N/A,FALSE,"PCS Comp";#N/A,#N/A,FALSE,"OCS-CAPEX";#N/A,#N/A,FALSE,"Blank"}</definedName>
    <definedName name="attgr">#REF!</definedName>
    <definedName name="aug" localSheetId="6" hidden="1">{"VIEW1",#N/A,FALSE,"P&amp;L Account 2001-2002";"VIEW2",#N/A,FALSE,"P&amp;L Account 2001-2002";"VIEW3",#N/A,FALSE,"P&amp;L Account 2001-2002";"VIEW4",#N/A,FALSE,"P&amp;L Account 2001-2002"}</definedName>
    <definedName name="aug" hidden="1">{"VIEW1",#N/A,FALSE,"P&amp;L Account 2001-2002";"VIEW2",#N/A,FALSE,"P&amp;L Account 2001-2002";"VIEW3",#N/A,FALSE,"P&amp;L Account 2001-2002";"VIEW4",#N/A,FALSE,"P&amp;L Account 2001-2002"}</definedName>
    <definedName name="Aug_161">#REF!</definedName>
    <definedName name="Augtotal">#REF!</definedName>
    <definedName name="August" hidden="1">#REF!</definedName>
    <definedName name="AutoPartsGeneral">#REF!</definedName>
    <definedName name="avdd" localSheetId="0" hidden="1">{#N/A,#N/A,FALSE,"Calc";#N/A,#N/A,FALSE,"Sensitivity";#N/A,#N/A,FALSE,"LT Earn.Dil.";#N/A,#N/A,FALSE,"Dil. AVP"}</definedName>
    <definedName name="avdd" localSheetId="6" hidden="1">{#N/A,#N/A,FALSE,"Calc";#N/A,#N/A,FALSE,"Sensitivity";#N/A,#N/A,FALSE,"LT Earn.Dil.";#N/A,#N/A,FALSE,"Dil. AVP"}</definedName>
    <definedName name="avdd" hidden="1">{#N/A,#N/A,FALSE,"Calc";#N/A,#N/A,FALSE,"Sensitivity";#N/A,#N/A,FALSE,"LT Earn.Dil.";#N/A,#N/A,FALSE,"Dil. AVP"}</definedName>
    <definedName name="avegmultiple" hidden="1">#REF!</definedName>
    <definedName name="Avg">#REF!</definedName>
    <definedName name="avgturn3m">#REF!</definedName>
    <definedName name="awe"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awe"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awe" hidden="1">{#N/A,#N/A,TRUE,"COVER2";#N/A,#N/A,TRUE,"AGENDA";#N/A,#N/A,TRUE,"Cover";#N/A,#N/A,TRUE,"4M";#N/A,#N/A,TRUE,"FLP&amp;L4M";#N/A,#N/A,TRUE,"4MMC";#N/A,#N/A,TRUE,"Shp4M";#N/A,#N/A,TRUE,"M5";#N/A,#N/A,TRUE,"Q2";#N/A,#N/A,TRUE,"Q1vsQ2";#N/A,#N/A,TRUE,"M6";#N/A,#N/A,TRUE,"TY";#N/A,#N/A,TRUE,"FLP&amp;LTY";#N/A,#N/A,TRUE,"TYMC";#N/A,#N/A,TRUE,"ShpTY";#N/A,#N/A,TRUE,"8M";#N/A,#N/A,TRUE,"FLP&amp;L8M";#N/A,#N/A,TRUE,"8MMC";#N/A,#N/A,TRUE,"Shp8M"}</definedName>
    <definedName name="aweg" hidden="1">#REF!</definedName>
    <definedName name="awega" hidden="1">#REF!</definedName>
    <definedName name="awegewg" hidden="1">#REF!</definedName>
    <definedName name="awEGFAWREG" hidden="1">#REF!</definedName>
    <definedName name="awegwegtw" hidden="1">#REF!</definedName>
    <definedName name="awergwrag" hidden="1">#REF!</definedName>
    <definedName name="awert" localSheetId="0" hidden="1">{#N/A,#N/A,FALSE,"ORIX CSC"}</definedName>
    <definedName name="awert" localSheetId="6" hidden="1">{#N/A,#N/A,FALSE,"ORIX CSC"}</definedName>
    <definedName name="awert" hidden="1">{#N/A,#N/A,FALSE,"ORIX CSC"}</definedName>
    <definedName name="awr" localSheetId="0"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awr" localSheetId="6"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awr" hidden="1">{#N/A,#N/A,TRUE,"B P&amp;L";#N/A,#N/A,TRUE,"B P&amp;L mos";#N/A,#N/A,TRUE,"B Vol";#N/A,#N/A,TRUE,"B KFI1";#N/A,#N/A,TRUE,"B KFI2";#N/A,#N/A,TRUE,"B KFD R";#N/A,#N/A,TRUE,"B KFD R mos";#N/A,#N/A,TRUE,"B KPI R";#N/A,#N/A,TRUE,"B KFD C";#N/A,#N/A,TRUE,"B KFD C mos";#N/A,#N/A,TRUE,"B KPI C";#N/A,#N/A,TRUE,"B KFD F";#N/A,#N/A,TRUE,"B KFD F mos";#N/A,#N/A,TRUE,"B KPI F";#N/A,#N/A,TRUE,"HR KI mos";#N/A,#N/A,TRUE,"B HR";#N/A,#N/A,TRUE,"HR KPI";#N/A,#N/A,TRUE,"NHR KFD";#N/A,#N/A,TRUE,"NHR KFD mos";#N/A,#N/A,TRUE,"CB P&amp;L RS";#N/A,#N/A,TRUE,"CB Vol ";#N/A,#N/A,TRUE,"CB Vol RS";#N/A,#N/A,TRUE,"R KFD RS";#N/A,#N/A,TRUE,"R KPI RS";#N/A,#N/A,TRUE,"C KFD RS";#N/A,#N/A,TRUE,"C KPI RS"}</definedName>
    <definedName name="awreh" hidden="1">#REF!</definedName>
    <definedName name="AX" localSheetId="0" hidden="1">{#N/A,#N/A,FALSE,"Pharm";#N/A,#N/A,FALSE,"WWCM"}</definedName>
    <definedName name="AX" localSheetId="6" hidden="1">{#N/A,#N/A,FALSE,"Pharm";#N/A,#N/A,FALSE,"WWCM"}</definedName>
    <definedName name="AX" hidden="1">{#N/A,#N/A,FALSE,"Pharm";#N/A,#N/A,FALSE,"WWCM"}</definedName>
    <definedName name="AX_1" localSheetId="0" hidden="1">{#N/A,#N/A,FALSE,"Pharm";#N/A,#N/A,FALSE,"WWCM"}</definedName>
    <definedName name="AX_1" localSheetId="6" hidden="1">{#N/A,#N/A,FALSE,"Pharm";#N/A,#N/A,FALSE,"WWCM"}</definedName>
    <definedName name="AX_1" hidden="1">{#N/A,#N/A,FALSE,"Pharm";#N/A,#N/A,FALSE,"WWCM"}</definedName>
    <definedName name="AX_1_1" localSheetId="0" hidden="1">{#N/A,#N/A,FALSE,"Pharm";#N/A,#N/A,FALSE,"WWCM"}</definedName>
    <definedName name="AX_1_1" localSheetId="6" hidden="1">{#N/A,#N/A,FALSE,"Pharm";#N/A,#N/A,FALSE,"WWCM"}</definedName>
    <definedName name="AX_1_1" hidden="1">{#N/A,#N/A,FALSE,"Pharm";#N/A,#N/A,FALSE,"WWCM"}</definedName>
    <definedName name="AX_2" localSheetId="0" hidden="1">{#N/A,#N/A,FALSE,"Pharm";#N/A,#N/A,FALSE,"WWCM"}</definedName>
    <definedName name="AX_2" localSheetId="6" hidden="1">{#N/A,#N/A,FALSE,"Pharm";#N/A,#N/A,FALSE,"WWCM"}</definedName>
    <definedName name="AX_2" hidden="1">{#N/A,#N/A,FALSE,"Pharm";#N/A,#N/A,FALSE,"WWCM"}</definedName>
    <definedName name="AX_3" localSheetId="0" hidden="1">{#N/A,#N/A,FALSE,"Pharm";#N/A,#N/A,FALSE,"WWCM"}</definedName>
    <definedName name="AX_3" localSheetId="6" hidden="1">{#N/A,#N/A,FALSE,"Pharm";#N/A,#N/A,FALSE,"WWCM"}</definedName>
    <definedName name="AX_3" hidden="1">{#N/A,#N/A,FALSE,"Pharm";#N/A,#N/A,FALSE,"WWCM"}</definedName>
    <definedName name="AX_4" localSheetId="0" hidden="1">{#N/A,#N/A,FALSE,"Pharm";#N/A,#N/A,FALSE,"WWCM"}</definedName>
    <definedName name="AX_4" localSheetId="6" hidden="1">{#N/A,#N/A,FALSE,"Pharm";#N/A,#N/A,FALSE,"WWCM"}</definedName>
    <definedName name="AX_4" hidden="1">{#N/A,#N/A,FALSE,"Pharm";#N/A,#N/A,FALSE,"WWCM"}</definedName>
    <definedName name="AX_5" localSheetId="0" hidden="1">{#N/A,#N/A,FALSE,"Pharm";#N/A,#N/A,FALSE,"WWCM"}</definedName>
    <definedName name="AX_5" localSheetId="6" hidden="1">{#N/A,#N/A,FALSE,"Pharm";#N/A,#N/A,FALSE,"WWCM"}</definedName>
    <definedName name="AX_5" hidden="1">{#N/A,#N/A,FALSE,"Pharm";#N/A,#N/A,FALSE,"WWCM"}</definedName>
    <definedName name="AXCHUT" localSheetId="0" hidden="1">{#N/A,#N/A,FALSE,"Tabl. H1";#N/A,#N/A,FALSE,"Tabl. H2"}</definedName>
    <definedName name="AXCHUT" localSheetId="6" hidden="1">{#N/A,#N/A,FALSE,"Tabl. H1";#N/A,#N/A,FALSE,"Tabl. H2"}</definedName>
    <definedName name="AXCHUT" hidden="1">{#N/A,#N/A,FALSE,"Tabl. H1";#N/A,#N/A,FALSE,"Tabl. H2"}</definedName>
    <definedName name="ayman" localSheetId="0" hidden="1">{#N/A,#N/A,FALSE,"1";#N/A,#N/A,FALSE,"2";#N/A,#N/A,FALSE,"16 - 17";#N/A,#N/A,FALSE,"18 - 19";#N/A,#N/A,FALSE,"26";#N/A,#N/A,FALSE,"27";#N/A,#N/A,FALSE,"28"}</definedName>
    <definedName name="ayman" localSheetId="6" hidden="1">{#N/A,#N/A,FALSE,"1";#N/A,#N/A,FALSE,"2";#N/A,#N/A,FALSE,"16 - 17";#N/A,#N/A,FALSE,"18 - 19";#N/A,#N/A,FALSE,"26";#N/A,#N/A,FALSE,"27";#N/A,#N/A,FALSE,"28"}</definedName>
    <definedName name="ayman" hidden="1">{#N/A,#N/A,FALSE,"1";#N/A,#N/A,FALSE,"2";#N/A,#N/A,FALSE,"16 - 17";#N/A,#N/A,FALSE,"18 - 19";#N/A,#N/A,FALSE,"26";#N/A,#N/A,FALSE,"27";#N/A,#N/A,FALSE,"28"}</definedName>
    <definedName name="ayman_1" localSheetId="0" hidden="1">{#N/A,#N/A,FALSE,"1";#N/A,#N/A,FALSE,"2";#N/A,#N/A,FALSE,"16 - 17";#N/A,#N/A,FALSE,"18 - 19";#N/A,#N/A,FALSE,"26";#N/A,#N/A,FALSE,"27";#N/A,#N/A,FALSE,"28"}</definedName>
    <definedName name="ayman_1" localSheetId="6" hidden="1">{#N/A,#N/A,FALSE,"1";#N/A,#N/A,FALSE,"2";#N/A,#N/A,FALSE,"16 - 17";#N/A,#N/A,FALSE,"18 - 19";#N/A,#N/A,FALSE,"26";#N/A,#N/A,FALSE,"27";#N/A,#N/A,FALSE,"28"}</definedName>
    <definedName name="ayman_1" hidden="1">{#N/A,#N/A,FALSE,"1";#N/A,#N/A,FALSE,"2";#N/A,#N/A,FALSE,"16 - 17";#N/A,#N/A,FALSE,"18 - 19";#N/A,#N/A,FALSE,"26";#N/A,#N/A,FALSE,"27";#N/A,#N/A,FALSE,"28"}</definedName>
    <definedName name="ayman_1_1" localSheetId="0" hidden="1">{#N/A,#N/A,FALSE,"1";#N/A,#N/A,FALSE,"2";#N/A,#N/A,FALSE,"16 - 17";#N/A,#N/A,FALSE,"18 - 19";#N/A,#N/A,FALSE,"26";#N/A,#N/A,FALSE,"27";#N/A,#N/A,FALSE,"28"}</definedName>
    <definedName name="ayman_1_1" localSheetId="6" hidden="1">{#N/A,#N/A,FALSE,"1";#N/A,#N/A,FALSE,"2";#N/A,#N/A,FALSE,"16 - 17";#N/A,#N/A,FALSE,"18 - 19";#N/A,#N/A,FALSE,"26";#N/A,#N/A,FALSE,"27";#N/A,#N/A,FALSE,"28"}</definedName>
    <definedName name="ayman_1_1" hidden="1">{#N/A,#N/A,FALSE,"1";#N/A,#N/A,FALSE,"2";#N/A,#N/A,FALSE,"16 - 17";#N/A,#N/A,FALSE,"18 - 19";#N/A,#N/A,FALSE,"26";#N/A,#N/A,FALSE,"27";#N/A,#N/A,FALSE,"28"}</definedName>
    <definedName name="ayman_2" localSheetId="0" hidden="1">{#N/A,#N/A,FALSE,"1";#N/A,#N/A,FALSE,"2";#N/A,#N/A,FALSE,"16 - 17";#N/A,#N/A,FALSE,"18 - 19";#N/A,#N/A,FALSE,"26";#N/A,#N/A,FALSE,"27";#N/A,#N/A,FALSE,"28"}</definedName>
    <definedName name="ayman_2" localSheetId="6" hidden="1">{#N/A,#N/A,FALSE,"1";#N/A,#N/A,FALSE,"2";#N/A,#N/A,FALSE,"16 - 17";#N/A,#N/A,FALSE,"18 - 19";#N/A,#N/A,FALSE,"26";#N/A,#N/A,FALSE,"27";#N/A,#N/A,FALSE,"28"}</definedName>
    <definedName name="ayman_2" hidden="1">{#N/A,#N/A,FALSE,"1";#N/A,#N/A,FALSE,"2";#N/A,#N/A,FALSE,"16 - 17";#N/A,#N/A,FALSE,"18 - 19";#N/A,#N/A,FALSE,"26";#N/A,#N/A,FALSE,"27";#N/A,#N/A,FALSE,"28"}</definedName>
    <definedName name="ayman_3" localSheetId="0" hidden="1">{#N/A,#N/A,FALSE,"1";#N/A,#N/A,FALSE,"2";#N/A,#N/A,FALSE,"16 - 17";#N/A,#N/A,FALSE,"18 - 19";#N/A,#N/A,FALSE,"26";#N/A,#N/A,FALSE,"27";#N/A,#N/A,FALSE,"28"}</definedName>
    <definedName name="ayman_3" localSheetId="6" hidden="1">{#N/A,#N/A,FALSE,"1";#N/A,#N/A,FALSE,"2";#N/A,#N/A,FALSE,"16 - 17";#N/A,#N/A,FALSE,"18 - 19";#N/A,#N/A,FALSE,"26";#N/A,#N/A,FALSE,"27";#N/A,#N/A,FALSE,"28"}</definedName>
    <definedName name="ayman_3" hidden="1">{#N/A,#N/A,FALSE,"1";#N/A,#N/A,FALSE,"2";#N/A,#N/A,FALSE,"16 - 17";#N/A,#N/A,FALSE,"18 - 19";#N/A,#N/A,FALSE,"26";#N/A,#N/A,FALSE,"27";#N/A,#N/A,FALSE,"28"}</definedName>
    <definedName name="ayman_4" localSheetId="0" hidden="1">{#N/A,#N/A,FALSE,"1";#N/A,#N/A,FALSE,"2";#N/A,#N/A,FALSE,"16 - 17";#N/A,#N/A,FALSE,"18 - 19";#N/A,#N/A,FALSE,"26";#N/A,#N/A,FALSE,"27";#N/A,#N/A,FALSE,"28"}</definedName>
    <definedName name="ayman_4" localSheetId="6" hidden="1">{#N/A,#N/A,FALSE,"1";#N/A,#N/A,FALSE,"2";#N/A,#N/A,FALSE,"16 - 17";#N/A,#N/A,FALSE,"18 - 19";#N/A,#N/A,FALSE,"26";#N/A,#N/A,FALSE,"27";#N/A,#N/A,FALSE,"28"}</definedName>
    <definedName name="ayman_4" hidden="1">{#N/A,#N/A,FALSE,"1";#N/A,#N/A,FALSE,"2";#N/A,#N/A,FALSE,"16 - 17";#N/A,#N/A,FALSE,"18 - 19";#N/A,#N/A,FALSE,"26";#N/A,#N/A,FALSE,"27";#N/A,#N/A,FALSE,"28"}</definedName>
    <definedName name="ayman_5" localSheetId="0" hidden="1">{#N/A,#N/A,FALSE,"1";#N/A,#N/A,FALSE,"2";#N/A,#N/A,FALSE,"16 - 17";#N/A,#N/A,FALSE,"18 - 19";#N/A,#N/A,FALSE,"26";#N/A,#N/A,FALSE,"27";#N/A,#N/A,FALSE,"28"}</definedName>
    <definedName name="ayman_5" localSheetId="6" hidden="1">{#N/A,#N/A,FALSE,"1";#N/A,#N/A,FALSE,"2";#N/A,#N/A,FALSE,"16 - 17";#N/A,#N/A,FALSE,"18 - 19";#N/A,#N/A,FALSE,"26";#N/A,#N/A,FALSE,"27";#N/A,#N/A,FALSE,"28"}</definedName>
    <definedName name="ayman_5" hidden="1">{#N/A,#N/A,FALSE,"1";#N/A,#N/A,FALSE,"2";#N/A,#N/A,FALSE,"16 - 17";#N/A,#N/A,FALSE,"18 - 19";#N/A,#N/A,FALSE,"26";#N/A,#N/A,FALSE,"27";#N/A,#N/A,FALSE,"28"}</definedName>
    <definedName name="ayman1" localSheetId="0" hidden="1">{#N/A,#N/A,FALSE,"Pharm";#N/A,#N/A,FALSE,"WWCM"}</definedName>
    <definedName name="ayman1" localSheetId="6" hidden="1">{#N/A,#N/A,FALSE,"Pharm";#N/A,#N/A,FALSE,"WWCM"}</definedName>
    <definedName name="ayman1" hidden="1">{#N/A,#N/A,FALSE,"Pharm";#N/A,#N/A,FALSE,"WWCM"}</definedName>
    <definedName name="ayman1_1" localSheetId="0" hidden="1">{#N/A,#N/A,FALSE,"Pharm";#N/A,#N/A,FALSE,"WWCM"}</definedName>
    <definedName name="ayman1_1" localSheetId="6" hidden="1">{#N/A,#N/A,FALSE,"Pharm";#N/A,#N/A,FALSE,"WWCM"}</definedName>
    <definedName name="ayman1_1" hidden="1">{#N/A,#N/A,FALSE,"Pharm";#N/A,#N/A,FALSE,"WWCM"}</definedName>
    <definedName name="ayman1_1_1" localSheetId="0" hidden="1">{#N/A,#N/A,FALSE,"Pharm";#N/A,#N/A,FALSE,"WWCM"}</definedName>
    <definedName name="ayman1_1_1" localSheetId="6" hidden="1">{#N/A,#N/A,FALSE,"Pharm";#N/A,#N/A,FALSE,"WWCM"}</definedName>
    <definedName name="ayman1_1_1" hidden="1">{#N/A,#N/A,FALSE,"Pharm";#N/A,#N/A,FALSE,"WWCM"}</definedName>
    <definedName name="ayman1_2" localSheetId="0" hidden="1">{#N/A,#N/A,FALSE,"Pharm";#N/A,#N/A,FALSE,"WWCM"}</definedName>
    <definedName name="ayman1_2" localSheetId="6" hidden="1">{#N/A,#N/A,FALSE,"Pharm";#N/A,#N/A,FALSE,"WWCM"}</definedName>
    <definedName name="ayman1_2" hidden="1">{#N/A,#N/A,FALSE,"Pharm";#N/A,#N/A,FALSE,"WWCM"}</definedName>
    <definedName name="ayman1_3" localSheetId="0" hidden="1">{#N/A,#N/A,FALSE,"Pharm";#N/A,#N/A,FALSE,"WWCM"}</definedName>
    <definedName name="ayman1_3" localSheetId="6" hidden="1">{#N/A,#N/A,FALSE,"Pharm";#N/A,#N/A,FALSE,"WWCM"}</definedName>
    <definedName name="ayman1_3" hidden="1">{#N/A,#N/A,FALSE,"Pharm";#N/A,#N/A,FALSE,"WWCM"}</definedName>
    <definedName name="ayman1_4" localSheetId="0" hidden="1">{#N/A,#N/A,FALSE,"Pharm";#N/A,#N/A,FALSE,"WWCM"}</definedName>
    <definedName name="ayman1_4" localSheetId="6" hidden="1">{#N/A,#N/A,FALSE,"Pharm";#N/A,#N/A,FALSE,"WWCM"}</definedName>
    <definedName name="ayman1_4" hidden="1">{#N/A,#N/A,FALSE,"Pharm";#N/A,#N/A,FALSE,"WWCM"}</definedName>
    <definedName name="ayman1_5" localSheetId="0" hidden="1">{#N/A,#N/A,FALSE,"Pharm";#N/A,#N/A,FALSE,"WWCM"}</definedName>
    <definedName name="ayman1_5" localSheetId="6" hidden="1">{#N/A,#N/A,FALSE,"Pharm";#N/A,#N/A,FALSE,"WWCM"}</definedName>
    <definedName name="ayman1_5" hidden="1">{#N/A,#N/A,FALSE,"Pharm";#N/A,#N/A,FALSE,"WWCM"}</definedName>
    <definedName name="ayman2" localSheetId="0" hidden="1">{#N/A,#N/A,FALSE,"Pharm";#N/A,#N/A,FALSE,"WWCM"}</definedName>
    <definedName name="ayman2" localSheetId="6" hidden="1">{#N/A,#N/A,FALSE,"Pharm";#N/A,#N/A,FALSE,"WWCM"}</definedName>
    <definedName name="ayman2" hidden="1">{#N/A,#N/A,FALSE,"Pharm";#N/A,#N/A,FALSE,"WWCM"}</definedName>
    <definedName name="ayman2_1" localSheetId="0" hidden="1">{#N/A,#N/A,FALSE,"Pharm";#N/A,#N/A,FALSE,"WWCM"}</definedName>
    <definedName name="ayman2_1" localSheetId="6" hidden="1">{#N/A,#N/A,FALSE,"Pharm";#N/A,#N/A,FALSE,"WWCM"}</definedName>
    <definedName name="ayman2_1" hidden="1">{#N/A,#N/A,FALSE,"Pharm";#N/A,#N/A,FALSE,"WWCM"}</definedName>
    <definedName name="ayman2_1_1" localSheetId="0" hidden="1">{#N/A,#N/A,FALSE,"Pharm";#N/A,#N/A,FALSE,"WWCM"}</definedName>
    <definedName name="ayman2_1_1" localSheetId="6" hidden="1">{#N/A,#N/A,FALSE,"Pharm";#N/A,#N/A,FALSE,"WWCM"}</definedName>
    <definedName name="ayman2_1_1" hidden="1">{#N/A,#N/A,FALSE,"Pharm";#N/A,#N/A,FALSE,"WWCM"}</definedName>
    <definedName name="ayman2_2" localSheetId="0" hidden="1">{#N/A,#N/A,FALSE,"Pharm";#N/A,#N/A,FALSE,"WWCM"}</definedName>
    <definedName name="ayman2_2" localSheetId="6" hidden="1">{#N/A,#N/A,FALSE,"Pharm";#N/A,#N/A,FALSE,"WWCM"}</definedName>
    <definedName name="ayman2_2" hidden="1">{#N/A,#N/A,FALSE,"Pharm";#N/A,#N/A,FALSE,"WWCM"}</definedName>
    <definedName name="ayman2_3" localSheetId="0" hidden="1">{#N/A,#N/A,FALSE,"Pharm";#N/A,#N/A,FALSE,"WWCM"}</definedName>
    <definedName name="ayman2_3" localSheetId="6" hidden="1">{#N/A,#N/A,FALSE,"Pharm";#N/A,#N/A,FALSE,"WWCM"}</definedName>
    <definedName name="ayman2_3" hidden="1">{#N/A,#N/A,FALSE,"Pharm";#N/A,#N/A,FALSE,"WWCM"}</definedName>
    <definedName name="ayman2_4" localSheetId="0" hidden="1">{#N/A,#N/A,FALSE,"Pharm";#N/A,#N/A,FALSE,"WWCM"}</definedName>
    <definedName name="ayman2_4" localSheetId="6" hidden="1">{#N/A,#N/A,FALSE,"Pharm";#N/A,#N/A,FALSE,"WWCM"}</definedName>
    <definedName name="ayman2_4" hidden="1">{#N/A,#N/A,FALSE,"Pharm";#N/A,#N/A,FALSE,"WWCM"}</definedName>
    <definedName name="ayman2_5" localSheetId="0" hidden="1">{#N/A,#N/A,FALSE,"Pharm";#N/A,#N/A,FALSE,"WWCM"}</definedName>
    <definedName name="ayman2_5" localSheetId="6" hidden="1">{#N/A,#N/A,FALSE,"Pharm";#N/A,#N/A,FALSE,"WWCM"}</definedName>
    <definedName name="ayman2_5" hidden="1">{#N/A,#N/A,FALSE,"Pharm";#N/A,#N/A,FALSE,"WWCM"}</definedName>
    <definedName name="ayman7" localSheetId="0" hidden="1">{#N/A,#N/A,FALSE,"REPORT"}</definedName>
    <definedName name="ayman7" localSheetId="6" hidden="1">{#N/A,#N/A,FALSE,"REPORT"}</definedName>
    <definedName name="ayman7" hidden="1">{#N/A,#N/A,FALSE,"REPORT"}</definedName>
    <definedName name="ayman7_1" localSheetId="0" hidden="1">{#N/A,#N/A,FALSE,"REPORT"}</definedName>
    <definedName name="ayman7_1" localSheetId="6" hidden="1">{#N/A,#N/A,FALSE,"REPORT"}</definedName>
    <definedName name="ayman7_1" hidden="1">{#N/A,#N/A,FALSE,"REPORT"}</definedName>
    <definedName name="ayman7_1_1" localSheetId="0" hidden="1">{#N/A,#N/A,FALSE,"REPORT"}</definedName>
    <definedName name="ayman7_1_1" localSheetId="6" hidden="1">{#N/A,#N/A,FALSE,"REPORT"}</definedName>
    <definedName name="ayman7_1_1" hidden="1">{#N/A,#N/A,FALSE,"REPORT"}</definedName>
    <definedName name="ayman7_2" localSheetId="0" hidden="1">{#N/A,#N/A,FALSE,"REPORT"}</definedName>
    <definedName name="ayman7_2" localSheetId="6" hidden="1">{#N/A,#N/A,FALSE,"REPORT"}</definedName>
    <definedName name="ayman7_2" hidden="1">{#N/A,#N/A,FALSE,"REPORT"}</definedName>
    <definedName name="ayman7_3" localSheetId="0" hidden="1">{#N/A,#N/A,FALSE,"REPORT"}</definedName>
    <definedName name="ayman7_3" localSheetId="6" hidden="1">{#N/A,#N/A,FALSE,"REPORT"}</definedName>
    <definedName name="ayman7_3" hidden="1">{#N/A,#N/A,FALSE,"REPORT"}</definedName>
    <definedName name="ayman7_4" localSheetId="0" hidden="1">{#N/A,#N/A,FALSE,"REPORT"}</definedName>
    <definedName name="ayman7_4" localSheetId="6" hidden="1">{#N/A,#N/A,FALSE,"REPORT"}</definedName>
    <definedName name="ayman7_4" hidden="1">{#N/A,#N/A,FALSE,"REPORT"}</definedName>
    <definedName name="ayman7_5" localSheetId="0" hidden="1">{#N/A,#N/A,FALSE,"REPORT"}</definedName>
    <definedName name="ayman7_5" localSheetId="6" hidden="1">{#N/A,#N/A,FALSE,"REPORT"}</definedName>
    <definedName name="ayman7_5" hidden="1">{#N/A,#N/A,FALSE,"REPORT"}</definedName>
    <definedName name="ayman8" localSheetId="0" hidden="1">{#N/A,#N/A,FALSE,"REPORT"}</definedName>
    <definedName name="ayman8" localSheetId="6" hidden="1">{#N/A,#N/A,FALSE,"REPORT"}</definedName>
    <definedName name="ayman8" hidden="1">{#N/A,#N/A,FALSE,"REPORT"}</definedName>
    <definedName name="ayman8_1" localSheetId="0" hidden="1">{#N/A,#N/A,FALSE,"REPORT"}</definedName>
    <definedName name="ayman8_1" localSheetId="6" hidden="1">{#N/A,#N/A,FALSE,"REPORT"}</definedName>
    <definedName name="ayman8_1" hidden="1">{#N/A,#N/A,FALSE,"REPORT"}</definedName>
    <definedName name="ayman8_1_1" localSheetId="0" hidden="1">{#N/A,#N/A,FALSE,"REPORT"}</definedName>
    <definedName name="ayman8_1_1" localSheetId="6" hidden="1">{#N/A,#N/A,FALSE,"REPORT"}</definedName>
    <definedName name="ayman8_1_1" hidden="1">{#N/A,#N/A,FALSE,"REPORT"}</definedName>
    <definedName name="ayman8_2" localSheetId="0" hidden="1">{#N/A,#N/A,FALSE,"REPORT"}</definedName>
    <definedName name="ayman8_2" localSheetId="6" hidden="1">{#N/A,#N/A,FALSE,"REPORT"}</definedName>
    <definedName name="ayman8_2" hidden="1">{#N/A,#N/A,FALSE,"REPORT"}</definedName>
    <definedName name="ayman8_3" localSheetId="0" hidden="1">{#N/A,#N/A,FALSE,"REPORT"}</definedName>
    <definedName name="ayman8_3" localSheetId="6" hidden="1">{#N/A,#N/A,FALSE,"REPORT"}</definedName>
    <definedName name="ayman8_3" hidden="1">{#N/A,#N/A,FALSE,"REPORT"}</definedName>
    <definedName name="ayman8_4" localSheetId="0" hidden="1">{#N/A,#N/A,FALSE,"REPORT"}</definedName>
    <definedName name="ayman8_4" localSheetId="6" hidden="1">{#N/A,#N/A,FALSE,"REPORT"}</definedName>
    <definedName name="ayman8_4" hidden="1">{#N/A,#N/A,FALSE,"REPORT"}</definedName>
    <definedName name="ayman8_5" localSheetId="0" hidden="1">{#N/A,#N/A,FALSE,"REPORT"}</definedName>
    <definedName name="ayman8_5" localSheetId="6" hidden="1">{#N/A,#N/A,FALSE,"REPORT"}</definedName>
    <definedName name="ayman8_5" hidden="1">{#N/A,#N/A,FALSE,"REPORT"}</definedName>
    <definedName name="AYTD">#REF!</definedName>
    <definedName name="az" localSheetId="0" hidden="1">{#N/A,#N/A,FALSE,"Work progress mensile";#N/A,#N/A,FALSE,"Work progress mensile IE1"}</definedName>
    <definedName name="az" localSheetId="6" hidden="1">{#N/A,#N/A,FALSE,"Work progress mensile";#N/A,#N/A,FALSE,"Work progress mensile IE1"}</definedName>
    <definedName name="az" hidden="1">{#N/A,#N/A,FALSE,"Work progress mensile";#N/A,#N/A,FALSE,"Work progress mensile IE1"}</definedName>
    <definedName name="az_1" localSheetId="0" hidden="1">{#N/A,#N/A,FALSE,"Pharm";#N/A,#N/A,FALSE,"WWCM"}</definedName>
    <definedName name="az_1" localSheetId="6" hidden="1">{#N/A,#N/A,FALSE,"Pharm";#N/A,#N/A,FALSE,"WWCM"}</definedName>
    <definedName name="az_1" hidden="1">{#N/A,#N/A,FALSE,"Pharm";#N/A,#N/A,FALSE,"WWCM"}</definedName>
    <definedName name="az_1_1" localSheetId="0" hidden="1">{#N/A,#N/A,FALSE,"Pharm";#N/A,#N/A,FALSE,"WWCM"}</definedName>
    <definedName name="az_1_1" localSheetId="6" hidden="1">{#N/A,#N/A,FALSE,"Pharm";#N/A,#N/A,FALSE,"WWCM"}</definedName>
    <definedName name="az_1_1" hidden="1">{#N/A,#N/A,FALSE,"Pharm";#N/A,#N/A,FALSE,"WWCM"}</definedName>
    <definedName name="az_2" localSheetId="0" hidden="1">{#N/A,#N/A,FALSE,"Pharm";#N/A,#N/A,FALSE,"WWCM"}</definedName>
    <definedName name="az_2" localSheetId="6" hidden="1">{#N/A,#N/A,FALSE,"Pharm";#N/A,#N/A,FALSE,"WWCM"}</definedName>
    <definedName name="az_2" hidden="1">{#N/A,#N/A,FALSE,"Pharm";#N/A,#N/A,FALSE,"WWCM"}</definedName>
    <definedName name="az_3" localSheetId="0" hidden="1">{#N/A,#N/A,FALSE,"Pharm";#N/A,#N/A,FALSE,"WWCM"}</definedName>
    <definedName name="az_3" localSheetId="6" hidden="1">{#N/A,#N/A,FALSE,"Pharm";#N/A,#N/A,FALSE,"WWCM"}</definedName>
    <definedName name="az_3" hidden="1">{#N/A,#N/A,FALSE,"Pharm";#N/A,#N/A,FALSE,"WWCM"}</definedName>
    <definedName name="az_4" localSheetId="0" hidden="1">{#N/A,#N/A,FALSE,"Pharm";#N/A,#N/A,FALSE,"WWCM"}</definedName>
    <definedName name="az_4" localSheetId="6" hidden="1">{#N/A,#N/A,FALSE,"Pharm";#N/A,#N/A,FALSE,"WWCM"}</definedName>
    <definedName name="az_4" hidden="1">{#N/A,#N/A,FALSE,"Pharm";#N/A,#N/A,FALSE,"WWCM"}</definedName>
    <definedName name="az_5" localSheetId="0" hidden="1">{#N/A,#N/A,FALSE,"Pharm";#N/A,#N/A,FALSE,"WWCM"}</definedName>
    <definedName name="az_5" localSheetId="6" hidden="1">{#N/A,#N/A,FALSE,"Pharm";#N/A,#N/A,FALSE,"WWCM"}</definedName>
    <definedName name="az_5" hidden="1">{#N/A,#N/A,FALSE,"Pharm";#N/A,#N/A,FALSE,"WWCM"}</definedName>
    <definedName name="azeazr" localSheetId="0" hidden="1">{#N/A,#N/A,FALSE,"Sales Graph";#N/A,#N/A,FALSE,"BUC Graph";#N/A,#N/A,FALSE,"P&amp;L - YTD"}</definedName>
    <definedName name="azeazr" localSheetId="6" hidden="1">{#N/A,#N/A,FALSE,"Sales Graph";#N/A,#N/A,FALSE,"BUC Graph";#N/A,#N/A,FALSE,"P&amp;L - YTD"}</definedName>
    <definedName name="azeazr" hidden="1">{#N/A,#N/A,FALSE,"Sales Graph";#N/A,#N/A,FALSE,"BUC Graph";#N/A,#N/A,FALSE,"P&amp;L - YTD"}</definedName>
    <definedName name="azeazr_1" localSheetId="0" hidden="1">{#N/A,#N/A,FALSE,"Sales Graph";#N/A,#N/A,FALSE,"BUC Graph";#N/A,#N/A,FALSE,"P&amp;L - YTD"}</definedName>
    <definedName name="azeazr_1" localSheetId="6" hidden="1">{#N/A,#N/A,FALSE,"Sales Graph";#N/A,#N/A,FALSE,"BUC Graph";#N/A,#N/A,FALSE,"P&amp;L - YTD"}</definedName>
    <definedName name="azeazr_1" hidden="1">{#N/A,#N/A,FALSE,"Sales Graph";#N/A,#N/A,FALSE,"BUC Graph";#N/A,#N/A,FALSE,"P&amp;L - YTD"}</definedName>
    <definedName name="azeazr_1_1" localSheetId="0" hidden="1">{#N/A,#N/A,FALSE,"Sales Graph";#N/A,#N/A,FALSE,"BUC Graph";#N/A,#N/A,FALSE,"P&amp;L - YTD"}</definedName>
    <definedName name="azeazr_1_1" localSheetId="6" hidden="1">{#N/A,#N/A,FALSE,"Sales Graph";#N/A,#N/A,FALSE,"BUC Graph";#N/A,#N/A,FALSE,"P&amp;L - YTD"}</definedName>
    <definedName name="azeazr_1_1" hidden="1">{#N/A,#N/A,FALSE,"Sales Graph";#N/A,#N/A,FALSE,"BUC Graph";#N/A,#N/A,FALSE,"P&amp;L - YTD"}</definedName>
    <definedName name="azeazr_2" localSheetId="0" hidden="1">{#N/A,#N/A,FALSE,"Sales Graph";#N/A,#N/A,FALSE,"BUC Graph";#N/A,#N/A,FALSE,"P&amp;L - YTD"}</definedName>
    <definedName name="azeazr_2" localSheetId="6" hidden="1">{#N/A,#N/A,FALSE,"Sales Graph";#N/A,#N/A,FALSE,"BUC Graph";#N/A,#N/A,FALSE,"P&amp;L - YTD"}</definedName>
    <definedName name="azeazr_2" hidden="1">{#N/A,#N/A,FALSE,"Sales Graph";#N/A,#N/A,FALSE,"BUC Graph";#N/A,#N/A,FALSE,"P&amp;L - YTD"}</definedName>
    <definedName name="azeazr_3" localSheetId="0" hidden="1">{#N/A,#N/A,FALSE,"Sales Graph";#N/A,#N/A,FALSE,"BUC Graph";#N/A,#N/A,FALSE,"P&amp;L - YTD"}</definedName>
    <definedName name="azeazr_3" localSheetId="6" hidden="1">{#N/A,#N/A,FALSE,"Sales Graph";#N/A,#N/A,FALSE,"BUC Graph";#N/A,#N/A,FALSE,"P&amp;L - YTD"}</definedName>
    <definedName name="azeazr_3" hidden="1">{#N/A,#N/A,FALSE,"Sales Graph";#N/A,#N/A,FALSE,"BUC Graph";#N/A,#N/A,FALSE,"P&amp;L - YTD"}</definedName>
    <definedName name="azeazr_4" localSheetId="0" hidden="1">{#N/A,#N/A,FALSE,"Sales Graph";#N/A,#N/A,FALSE,"BUC Graph";#N/A,#N/A,FALSE,"P&amp;L - YTD"}</definedName>
    <definedName name="azeazr_4" localSheetId="6" hidden="1">{#N/A,#N/A,FALSE,"Sales Graph";#N/A,#N/A,FALSE,"BUC Graph";#N/A,#N/A,FALSE,"P&amp;L - YTD"}</definedName>
    <definedName name="azeazr_4" hidden="1">{#N/A,#N/A,FALSE,"Sales Graph";#N/A,#N/A,FALSE,"BUC Graph";#N/A,#N/A,FALSE,"P&amp;L - YTD"}</definedName>
    <definedName name="azeazr_5" localSheetId="0" hidden="1">{#N/A,#N/A,FALSE,"Sales Graph";#N/A,#N/A,FALSE,"BUC Graph";#N/A,#N/A,FALSE,"P&amp;L - YTD"}</definedName>
    <definedName name="azeazr_5" localSheetId="6" hidden="1">{#N/A,#N/A,FALSE,"Sales Graph";#N/A,#N/A,FALSE,"BUC Graph";#N/A,#N/A,FALSE,"P&amp;L - YTD"}</definedName>
    <definedName name="azeazr_5" hidden="1">{#N/A,#N/A,FALSE,"Sales Graph";#N/A,#N/A,FALSE,"BUC Graph";#N/A,#N/A,FALSE,"P&amp;L - YTD"}</definedName>
    <definedName name="AZEEDFG" hidden="1">#REF!</definedName>
    <definedName name="AZER" hidden="1">#REF!</definedName>
    <definedName name="azerety" localSheetId="0" hidden="1">{#N/A,#N/A,FALSE,"Pharm";#N/A,#N/A,FALSE,"WWCM"}</definedName>
    <definedName name="azerety" localSheetId="6" hidden="1">{#N/A,#N/A,FALSE,"Pharm";#N/A,#N/A,FALSE,"WWCM"}</definedName>
    <definedName name="azerety" hidden="1">{#N/A,#N/A,FALSE,"Pharm";#N/A,#N/A,FALSE,"WWCM"}</definedName>
    <definedName name="azerety_1" localSheetId="0" hidden="1">{#N/A,#N/A,FALSE,"Pharm";#N/A,#N/A,FALSE,"WWCM"}</definedName>
    <definedName name="azerety_1" localSheetId="6" hidden="1">{#N/A,#N/A,FALSE,"Pharm";#N/A,#N/A,FALSE,"WWCM"}</definedName>
    <definedName name="azerety_1" hidden="1">{#N/A,#N/A,FALSE,"Pharm";#N/A,#N/A,FALSE,"WWCM"}</definedName>
    <definedName name="azerety_1_1" localSheetId="0" hidden="1">{#N/A,#N/A,FALSE,"Pharm";#N/A,#N/A,FALSE,"WWCM"}</definedName>
    <definedName name="azerety_1_1" localSheetId="6" hidden="1">{#N/A,#N/A,FALSE,"Pharm";#N/A,#N/A,FALSE,"WWCM"}</definedName>
    <definedName name="azerety_1_1" hidden="1">{#N/A,#N/A,FALSE,"Pharm";#N/A,#N/A,FALSE,"WWCM"}</definedName>
    <definedName name="azerety_2" localSheetId="0" hidden="1">{#N/A,#N/A,FALSE,"Pharm";#N/A,#N/A,FALSE,"WWCM"}</definedName>
    <definedName name="azerety_2" localSheetId="6" hidden="1">{#N/A,#N/A,FALSE,"Pharm";#N/A,#N/A,FALSE,"WWCM"}</definedName>
    <definedName name="azerety_2" hidden="1">{#N/A,#N/A,FALSE,"Pharm";#N/A,#N/A,FALSE,"WWCM"}</definedName>
    <definedName name="azerety_3" localSheetId="0" hidden="1">{#N/A,#N/A,FALSE,"Pharm";#N/A,#N/A,FALSE,"WWCM"}</definedName>
    <definedName name="azerety_3" localSheetId="6" hidden="1">{#N/A,#N/A,FALSE,"Pharm";#N/A,#N/A,FALSE,"WWCM"}</definedName>
    <definedName name="azerety_3" hidden="1">{#N/A,#N/A,FALSE,"Pharm";#N/A,#N/A,FALSE,"WWCM"}</definedName>
    <definedName name="azerety_4" localSheetId="0" hidden="1">{#N/A,#N/A,FALSE,"Pharm";#N/A,#N/A,FALSE,"WWCM"}</definedName>
    <definedName name="azerety_4" localSheetId="6" hidden="1">{#N/A,#N/A,FALSE,"Pharm";#N/A,#N/A,FALSE,"WWCM"}</definedName>
    <definedName name="azerety_4" hidden="1">{#N/A,#N/A,FALSE,"Pharm";#N/A,#N/A,FALSE,"WWCM"}</definedName>
    <definedName name="azerety_5" localSheetId="0" hidden="1">{#N/A,#N/A,FALSE,"Pharm";#N/A,#N/A,FALSE,"WWCM"}</definedName>
    <definedName name="azerety_5" localSheetId="6" hidden="1">{#N/A,#N/A,FALSE,"Pharm";#N/A,#N/A,FALSE,"WWCM"}</definedName>
    <definedName name="azerety_5" hidden="1">{#N/A,#N/A,FALSE,"Pharm";#N/A,#N/A,FALSE,"WWCM"}</definedName>
    <definedName name="azertbnnyikèikl_èikl" localSheetId="0" hidden="1">{#N/A,#N/A,FALSE,"Calc";#N/A,#N/A,FALSE,"Sensitivity";#N/A,#N/A,FALSE,"LT Earn.Dil.";#N/A,#N/A,FALSE,"Dil. AVP"}</definedName>
    <definedName name="azertbnnyikèikl_èikl" localSheetId="6" hidden="1">{#N/A,#N/A,FALSE,"Calc";#N/A,#N/A,FALSE,"Sensitivity";#N/A,#N/A,FALSE,"LT Earn.Dil.";#N/A,#N/A,FALSE,"Dil. AVP"}</definedName>
    <definedName name="azertbnnyikèikl_èikl" hidden="1">{#N/A,#N/A,FALSE,"Calc";#N/A,#N/A,FALSE,"Sensitivity";#N/A,#N/A,FALSE,"LT Earn.Dil.";#N/A,#N/A,FALSE,"Dil. AVP"}</definedName>
    <definedName name="azerty" localSheetId="0" hidden="1">{#N/A,#N/A,FALSE,"INPUTS";#N/A,#N/A,FALSE,"PROFORMA BSHEET";#N/A,#N/A,FALSE,"COMBINED";#N/A,#N/A,FALSE,"HIGH YIELD";#N/A,#N/A,FALSE,"COMB_GRAPHS"}</definedName>
    <definedName name="azerty" localSheetId="6" hidden="1">{#N/A,#N/A,FALSE,"INPUTS";#N/A,#N/A,FALSE,"PROFORMA BSHEET";#N/A,#N/A,FALSE,"COMBINED";#N/A,#N/A,FALSE,"HIGH YIELD";#N/A,#N/A,FALSE,"COMB_GRAPHS"}</definedName>
    <definedName name="azerty" hidden="1">{#N/A,#N/A,FALSE,"INPUTS";#N/A,#N/A,FALSE,"PROFORMA BSHEET";#N/A,#N/A,FALSE,"COMBINED";#N/A,#N/A,FALSE,"HIGH YIELD";#N/A,#N/A,FALSE,"COMB_GRAPHS"}</definedName>
    <definedName name="AZXC" localSheetId="0" hidden="1">{#N/A,#N/A,FALSE,"Tabl. H1";#N/A,#N/A,FALSE,"Tabl. H2"}</definedName>
    <definedName name="AZXC" localSheetId="6" hidden="1">{#N/A,#N/A,FALSE,"Tabl. H1";#N/A,#N/A,FALSE,"Tabl. H2"}</definedName>
    <definedName name="AZXC" hidden="1">{#N/A,#N/A,FALSE,"Tabl. H1";#N/A,#N/A,FALSE,"Tabl. H2"}</definedName>
    <definedName name="azzre" hidden="1">#REF!</definedName>
    <definedName name="Aש" localSheetId="6" hidden="1">{"Balance Sheet",#N/A,FALSE,"Appendix C.F.";"P&amp;L",#N/A,FALSE,"Appendix C.F.";"Equity Q",#N/A,FALSE,"Appendix C.F.";"Equity Anual",#N/A,FALSE,"Appendix C.F.";"Equity $",#N/A,FALSE,"Appendix C.F.";"Cash flow",#N/A,FALSE,"Appendix C.F.";"Appendix C.F.",#N/A,FALSE,"Appendix C.F."}</definedName>
    <definedName name="Aש" hidden="1">{"Balance Sheet",#N/A,FALSE,"Appendix C.F.";"P&amp;L",#N/A,FALSE,"Appendix C.F.";"Equity Q",#N/A,FALSE,"Appendix C.F.";"Equity Anual",#N/A,FALSE,"Appendix C.F.";"Equity $",#N/A,FALSE,"Appendix C.F.";"Cash flow",#N/A,FALSE,"Appendix C.F.";"Appendix C.F.",#N/A,FALSE,"Appendix C.F."}</definedName>
    <definedName name="B">#REF!</definedName>
    <definedName name="B2L" localSheetId="6" hidden="1">{"VIEW1",#N/A,FALSE,"P&amp;L Account 2001-2002";"VIEW2",#N/A,FALSE,"P&amp;L Account 2001-2002";"VIEW3",#N/A,FALSE,"P&amp;L Account 2001-2002";"VIEW4",#N/A,FALSE,"P&amp;L Account 2001-2002"}</definedName>
    <definedName name="B2L" hidden="1">{"VIEW1",#N/A,FALSE,"P&amp;L Account 2001-2002";"VIEW2",#N/A,FALSE,"P&amp;L Account 2001-2002";"VIEW3",#N/A,FALSE,"P&amp;L Account 2001-2002";"VIEW4",#N/A,FALSE,"P&amp;L Account 2001-2002"}</definedName>
    <definedName name="B2R" localSheetId="6" hidden="1">{"VIEW1",#N/A,FALSE,"P&amp;L Account 2001-2002";"VIEW2",#N/A,FALSE,"P&amp;L Account 2001-2002";"VIEW3",#N/A,FALSE,"P&amp;L Account 2001-2002";"VIEW4",#N/A,FALSE,"P&amp;L Account 2001-2002"}</definedName>
    <definedName name="B2R" hidden="1">{"VIEW1",#N/A,FALSE,"P&amp;L Account 2001-2002";"VIEW2",#N/A,FALSE,"P&amp;L Account 2001-2002";"VIEW3",#N/A,FALSE,"P&amp;L Account 2001-2002";"VIEW4",#N/A,FALSE,"P&amp;L Account 2001-2002"}</definedName>
    <definedName name="B4_Nettoverbindlichkeiten" hidden="1">#REF!</definedName>
    <definedName name="ba">#REF!</definedName>
    <definedName name="backup" localSheetId="0" hidden="1">{#N/A,#N/A,TRUE,"KEY DATA";#N/A,#N/A,TRUE,"KEY DATA Base Case";#N/A,#N/A,TRUE,"JULY";#N/A,#N/A,TRUE,"AUG";#N/A,#N/A,TRUE,"SEPT";#N/A,#N/A,TRUE,"3Q"}</definedName>
    <definedName name="backup" localSheetId="6" hidden="1">{#N/A,#N/A,TRUE,"KEY DATA";#N/A,#N/A,TRUE,"KEY DATA Base Case";#N/A,#N/A,TRUE,"JULY";#N/A,#N/A,TRUE,"AUG";#N/A,#N/A,TRUE,"SEPT";#N/A,#N/A,TRUE,"3Q"}</definedName>
    <definedName name="backup" hidden="1">{#N/A,#N/A,TRUE,"KEY DATA";#N/A,#N/A,TRUE,"KEY DATA Base Case";#N/A,#N/A,TRUE,"JULY";#N/A,#N/A,TRUE,"AUG";#N/A,#N/A,TRUE,"SEPT";#N/A,#N/A,TRUE,"3Q"}</definedName>
    <definedName name="backup." localSheetId="0" hidden="1">{#N/A,#N/A,TRUE,"KEY DATA";#N/A,#N/A,TRUE,"KEY DATA Base Case";#N/A,#N/A,TRUE,"JULY";#N/A,#N/A,TRUE,"AUG";#N/A,#N/A,TRUE,"SEPT";#N/A,#N/A,TRUE,"3Q"}</definedName>
    <definedName name="backup." localSheetId="6" hidden="1">{#N/A,#N/A,TRUE,"KEY DATA";#N/A,#N/A,TRUE,"KEY DATA Base Case";#N/A,#N/A,TRUE,"JULY";#N/A,#N/A,TRUE,"AUG";#N/A,#N/A,TRUE,"SEPT";#N/A,#N/A,TRUE,"3Q"}</definedName>
    <definedName name="backup." hidden="1">{#N/A,#N/A,TRUE,"KEY DATA";#N/A,#N/A,TRUE,"KEY DATA Base Case";#N/A,#N/A,TRUE,"JULY";#N/A,#N/A,TRUE,"AUG";#N/A,#N/A,TRUE,"SEPT";#N/A,#N/A,TRUE,"3Q"}</definedName>
    <definedName name="BAHA">#REF!</definedName>
    <definedName name="Bahrain">#REF!</definedName>
    <definedName name="Balance">#REF!</definedName>
    <definedName name="Bank_Ac_Overdraft_Interest_Exp">#REF!</definedName>
    <definedName name="Bank_Overdrafts">#REF!</definedName>
    <definedName name="Bapex" localSheetId="6" hidden="1">{#N/A,#N/A,TRUE,"Total Allocation";#N/A,#N/A,TRUE,"Capital Software";#N/A,#N/A,TRUE,"Misc";#N/A,#N/A,TRUE,"NAOG"}</definedName>
    <definedName name="Bapex" hidden="1">{#N/A,#N/A,TRUE,"Total Allocation";#N/A,#N/A,TRUE,"Capital Software";#N/A,#N/A,TRUE,"Misc";#N/A,#N/A,TRUE,"NAOG"}</definedName>
    <definedName name="BARBER" localSheetId="6" hidden="1">{"VIEW1",#N/A,FALSE,"P&amp;L Account 2001-2002";"VIEW2",#N/A,FALSE,"P&amp;L Account 2001-2002";"VIEW3",#N/A,FALSE,"P&amp;L Account 2001-2002";"VIEW4",#N/A,FALSE,"P&amp;L Account 2001-2002"}</definedName>
    <definedName name="BARBER" hidden="1">{"VIEW1",#N/A,FALSE,"P&amp;L Account 2001-2002";"VIEW2",#N/A,FALSE,"P&amp;L Account 2001-2002";"VIEW3",#N/A,FALSE,"P&amp;L Account 2001-2002";"VIEW4",#N/A,FALSE,"P&amp;L Account 2001-2002"}</definedName>
    <definedName name="bart" hidden="1">#REF!</definedName>
    <definedName name="Base_Dates_General_Number_Of_Year_Days">#REF!</definedName>
    <definedName name="Base_General_CF_Mil_to_Thousand">#REF!</definedName>
    <definedName name="Base_General_Client_Name_Short">#REF!</definedName>
    <definedName name="Base_General_Date_Number_of_Mnth_Days">#REF!</definedName>
    <definedName name="Base_Number_of_Month_Days">#REF!</definedName>
    <definedName name="Base_Number_of_Year_Days">#REF!</definedName>
    <definedName name="Base_Number_of_Year_Months">#REF!</definedName>
    <definedName name="Base_Operating_Days">#REF!</definedName>
    <definedName name="Base_Opertional_Period_Pct_Year">#REF!</definedName>
    <definedName name="Base_price">#REF!</definedName>
    <definedName name="BaseModel">#REF!</definedName>
    <definedName name="BasePrice">#REF!</definedName>
    <definedName name="BaseYear">#REF!</definedName>
    <definedName name="BASIC_EPS_EXCL" hidden="1">"BASIC_EPS_EXCL"</definedName>
    <definedName name="BASIC_EPS_INCL" hidden="1">"BASIC_EPS_INCL"</definedName>
    <definedName name="BASIC_NORMAL_EPS" hidden="1">"BASIC_NORMAL_EPS"</definedName>
    <definedName name="BASIC_WEIGHT" hidden="1">"BASIC_WEIGHT"</definedName>
    <definedName name="BasicPolReinsComm">#REF!</definedName>
    <definedName name="basil" localSheetId="0" hidden="1">{#N/A,#N/A,FALSE,"PA";#N/A,#N/A,FALSE,"PA"}</definedName>
    <definedName name="basil" localSheetId="6" hidden="1">{#N/A,#N/A,FALSE,"PA";#N/A,#N/A,FALSE,"PA"}</definedName>
    <definedName name="basil" hidden="1">{#N/A,#N/A,FALSE,"PA";#N/A,#N/A,FALSE,"PA"}</definedName>
    <definedName name="bb" localSheetId="0" hidden="1">{#N/A,#N/A,FALSE,"PROFIT 11-95"}</definedName>
    <definedName name="bb" localSheetId="6" hidden="1">{#N/A,#N/A,FALSE,"PROFIT 11-95"}</definedName>
    <definedName name="bb" hidden="1">{#N/A,#N/A,FALSE,"PROFIT 11-95"}</definedName>
    <definedName name="bb.gb._98" localSheetId="0" hidden="1">{#N/A,#N/A,FALSE,"Umsatz 99";#N/A,#N/A,FALSE,"ER 99 "}</definedName>
    <definedName name="bb.gb._98" localSheetId="6" hidden="1">{#N/A,#N/A,FALSE,"Umsatz 99";#N/A,#N/A,FALSE,"ER 99 "}</definedName>
    <definedName name="bb.gb._98" hidden="1">{#N/A,#N/A,FALSE,"Umsatz 99";#N/A,#N/A,FALSE,"ER 99 "}</definedName>
    <definedName name="bb.gb._98_1" localSheetId="0" hidden="1">{#N/A,#N/A,FALSE,"Umsatz 99";#N/A,#N/A,FALSE,"ER 99 "}</definedName>
    <definedName name="bb.gb._98_1" localSheetId="6" hidden="1">{#N/A,#N/A,FALSE,"Umsatz 99";#N/A,#N/A,FALSE,"ER 99 "}</definedName>
    <definedName name="bb.gb._98_1" hidden="1">{#N/A,#N/A,FALSE,"Umsatz 99";#N/A,#N/A,FALSE,"ER 99 "}</definedName>
    <definedName name="bb.gb._98_1_1" localSheetId="0" hidden="1">{#N/A,#N/A,FALSE,"Umsatz 99";#N/A,#N/A,FALSE,"ER 99 "}</definedName>
    <definedName name="bb.gb._98_1_1" localSheetId="6" hidden="1">{#N/A,#N/A,FALSE,"Umsatz 99";#N/A,#N/A,FALSE,"ER 99 "}</definedName>
    <definedName name="bb.gb._98_1_1" hidden="1">{#N/A,#N/A,FALSE,"Umsatz 99";#N/A,#N/A,FALSE,"ER 99 "}</definedName>
    <definedName name="bb.gb._98_2" localSheetId="0" hidden="1">{#N/A,#N/A,FALSE,"Umsatz 99";#N/A,#N/A,FALSE,"ER 99 "}</definedName>
    <definedName name="bb.gb._98_2" localSheetId="6" hidden="1">{#N/A,#N/A,FALSE,"Umsatz 99";#N/A,#N/A,FALSE,"ER 99 "}</definedName>
    <definedName name="bb.gb._98_2" hidden="1">{#N/A,#N/A,FALSE,"Umsatz 99";#N/A,#N/A,FALSE,"ER 99 "}</definedName>
    <definedName name="bb.gb._98_3" localSheetId="0" hidden="1">{#N/A,#N/A,FALSE,"Umsatz 99";#N/A,#N/A,FALSE,"ER 99 "}</definedName>
    <definedName name="bb.gb._98_3" localSheetId="6" hidden="1">{#N/A,#N/A,FALSE,"Umsatz 99";#N/A,#N/A,FALSE,"ER 99 "}</definedName>
    <definedName name="bb.gb._98_3" hidden="1">{#N/A,#N/A,FALSE,"Umsatz 99";#N/A,#N/A,FALSE,"ER 99 "}</definedName>
    <definedName name="bb.gb._98_4" localSheetId="0" hidden="1">{#N/A,#N/A,FALSE,"Umsatz 99";#N/A,#N/A,FALSE,"ER 99 "}</definedName>
    <definedName name="bb.gb._98_4" localSheetId="6" hidden="1">{#N/A,#N/A,FALSE,"Umsatz 99";#N/A,#N/A,FALSE,"ER 99 "}</definedName>
    <definedName name="bb.gb._98_4" hidden="1">{#N/A,#N/A,FALSE,"Umsatz 99";#N/A,#N/A,FALSE,"ER 99 "}</definedName>
    <definedName name="bb.gb._98_5" localSheetId="0" hidden="1">{#N/A,#N/A,FALSE,"Umsatz 99";#N/A,#N/A,FALSE,"ER 99 "}</definedName>
    <definedName name="bb.gb._98_5" localSheetId="6" hidden="1">{#N/A,#N/A,FALSE,"Umsatz 99";#N/A,#N/A,FALSE,"ER 99 "}</definedName>
    <definedName name="bb.gb._98_5" hidden="1">{#N/A,#N/A,FALSE,"Umsatz 99";#N/A,#N/A,FALSE,"ER 99 "}</definedName>
    <definedName name="bb.gb._99" localSheetId="0" hidden="1">{#N/A,#N/A,FALSE,"Umsatz 99";#N/A,#N/A,FALSE,"ER 99 "}</definedName>
    <definedName name="bb.gb._99" localSheetId="6" hidden="1">{#N/A,#N/A,FALSE,"Umsatz 99";#N/A,#N/A,FALSE,"ER 99 "}</definedName>
    <definedName name="bb.gb._99" hidden="1">{#N/A,#N/A,FALSE,"Umsatz 99";#N/A,#N/A,FALSE,"ER 99 "}</definedName>
    <definedName name="bb.gb._99_1" localSheetId="0" hidden="1">{#N/A,#N/A,FALSE,"Umsatz 99";#N/A,#N/A,FALSE,"ER 99 "}</definedName>
    <definedName name="bb.gb._99_1" localSheetId="6" hidden="1">{#N/A,#N/A,FALSE,"Umsatz 99";#N/A,#N/A,FALSE,"ER 99 "}</definedName>
    <definedName name="bb.gb._99_1" hidden="1">{#N/A,#N/A,FALSE,"Umsatz 99";#N/A,#N/A,FALSE,"ER 99 "}</definedName>
    <definedName name="bb.gb._99_1_1" localSheetId="0" hidden="1">{#N/A,#N/A,FALSE,"Umsatz 99";#N/A,#N/A,FALSE,"ER 99 "}</definedName>
    <definedName name="bb.gb._99_1_1" localSheetId="6" hidden="1">{#N/A,#N/A,FALSE,"Umsatz 99";#N/A,#N/A,FALSE,"ER 99 "}</definedName>
    <definedName name="bb.gb._99_1_1" hidden="1">{#N/A,#N/A,FALSE,"Umsatz 99";#N/A,#N/A,FALSE,"ER 99 "}</definedName>
    <definedName name="bb.gb._99_2" localSheetId="0" hidden="1">{#N/A,#N/A,FALSE,"Umsatz 99";#N/A,#N/A,FALSE,"ER 99 "}</definedName>
    <definedName name="bb.gb._99_2" localSheetId="6" hidden="1">{#N/A,#N/A,FALSE,"Umsatz 99";#N/A,#N/A,FALSE,"ER 99 "}</definedName>
    <definedName name="bb.gb._99_2" hidden="1">{#N/A,#N/A,FALSE,"Umsatz 99";#N/A,#N/A,FALSE,"ER 99 "}</definedName>
    <definedName name="bb.gb._99_3" localSheetId="0" hidden="1">{#N/A,#N/A,FALSE,"Umsatz 99";#N/A,#N/A,FALSE,"ER 99 "}</definedName>
    <definedName name="bb.gb._99_3" localSheetId="6" hidden="1">{#N/A,#N/A,FALSE,"Umsatz 99";#N/A,#N/A,FALSE,"ER 99 "}</definedName>
    <definedName name="bb.gb._99_3" hidden="1">{#N/A,#N/A,FALSE,"Umsatz 99";#N/A,#N/A,FALSE,"ER 99 "}</definedName>
    <definedName name="bb.gb._99_4" localSheetId="0" hidden="1">{#N/A,#N/A,FALSE,"Umsatz 99";#N/A,#N/A,FALSE,"ER 99 "}</definedName>
    <definedName name="bb.gb._99_4" localSheetId="6" hidden="1">{#N/A,#N/A,FALSE,"Umsatz 99";#N/A,#N/A,FALSE,"ER 99 "}</definedName>
    <definedName name="bb.gb._99_4" hidden="1">{#N/A,#N/A,FALSE,"Umsatz 99";#N/A,#N/A,FALSE,"ER 99 "}</definedName>
    <definedName name="bb.gb._99_5" localSheetId="0" hidden="1">{#N/A,#N/A,FALSE,"Umsatz 99";#N/A,#N/A,FALSE,"ER 99 "}</definedName>
    <definedName name="bb.gb._99_5" localSheetId="6" hidden="1">{#N/A,#N/A,FALSE,"Umsatz 99";#N/A,#N/A,FALSE,"ER 99 "}</definedName>
    <definedName name="bb.gb._99_5" hidden="1">{#N/A,#N/A,FALSE,"Umsatz 99";#N/A,#N/A,FALSE,"ER 99 "}</definedName>
    <definedName name="bb_1" localSheetId="6" hidden="1">{#N/A,#N/A,TRUE,"Cover";#N/A,#N/A,TRUE,"Conts";#N/A,#N/A,TRUE,"VOS";#N/A,#N/A,TRUE,"Warrington";#N/A,#N/A,TRUE,"Widnes"}</definedName>
    <definedName name="bb_1" hidden="1">{#N/A,#N/A,TRUE,"Cover";#N/A,#N/A,TRUE,"Conts";#N/A,#N/A,TRUE,"VOS";#N/A,#N/A,TRUE,"Warrington";#N/A,#N/A,TRUE,"Widnes"}</definedName>
    <definedName name="bbb" localSheetId="0" hidden="1">{#N/A,#N/A,TRUE,"Cover";#N/A,#N/A,TRUE,"Sum";#N/A,#N/A,TRUE,"SubsRev";#N/A,#N/A,TRUE,"CapEx";#N/A,#N/A,TRUE,"OpEx";#N/A,#N/A,TRUE,"SUs";#N/A,#N/A,TRUE,"OrgChart";#N/A,#N/A,TRUE,"Staff";#N/A,#N/A,TRUE,"P&amp;L";#N/A,#N/A,TRUE,"Cash";#N/A,#N/A,TRUE,"BS";#N/A,#N/A,TRUE,"Valuation";#N/A,#N/A,TRUE,"CapEx-Assumptions";#N/A,#N/A,TRUE,"OpEx-Assumptions"}</definedName>
    <definedName name="bbb" localSheetId="6" hidden="1">{#N/A,#N/A,TRUE,"Cover";#N/A,#N/A,TRUE,"Sum";#N/A,#N/A,TRUE,"SubsRev";#N/A,#N/A,TRUE,"CapEx";#N/A,#N/A,TRUE,"OpEx";#N/A,#N/A,TRUE,"SUs";#N/A,#N/A,TRUE,"OrgChart";#N/A,#N/A,TRUE,"Staff";#N/A,#N/A,TRUE,"P&amp;L";#N/A,#N/A,TRUE,"Cash";#N/A,#N/A,TRUE,"BS";#N/A,#N/A,TRUE,"Valuation";#N/A,#N/A,TRUE,"CapEx-Assumptions";#N/A,#N/A,TRUE,"OpEx-Assumptions"}</definedName>
    <definedName name="bbb" hidden="1">{#N/A,#N/A,TRUE,"Cover";#N/A,#N/A,TRUE,"Sum";#N/A,#N/A,TRUE,"SubsRev";#N/A,#N/A,TRUE,"CapEx";#N/A,#N/A,TRUE,"OpEx";#N/A,#N/A,TRUE,"SUs";#N/A,#N/A,TRUE,"OrgChart";#N/A,#N/A,TRUE,"Staff";#N/A,#N/A,TRUE,"P&amp;L";#N/A,#N/A,TRUE,"Cash";#N/A,#N/A,TRUE,"BS";#N/A,#N/A,TRUE,"Valuation";#N/A,#N/A,TRUE,"CapEx-Assumptions";#N/A,#N/A,TRUE,"OpEx-Assumptions"}</definedName>
    <definedName name="bbb_1" localSheetId="0" hidden="1">{#N/A,#N/A,FALSE,"Pharm";#N/A,#N/A,FALSE,"WWCM"}</definedName>
    <definedName name="bbb_1" localSheetId="6" hidden="1">{#N/A,#N/A,FALSE,"Pharm";#N/A,#N/A,FALSE,"WWCM"}</definedName>
    <definedName name="bbb_1" hidden="1">{#N/A,#N/A,FALSE,"Pharm";#N/A,#N/A,FALSE,"WWCM"}</definedName>
    <definedName name="bbb_1_1" localSheetId="0" hidden="1">{#N/A,#N/A,FALSE,"Pharm";#N/A,#N/A,FALSE,"WWCM"}</definedName>
    <definedName name="bbb_1_1" localSheetId="6" hidden="1">{#N/A,#N/A,FALSE,"Pharm";#N/A,#N/A,FALSE,"WWCM"}</definedName>
    <definedName name="bbb_1_1" hidden="1">{#N/A,#N/A,FALSE,"Pharm";#N/A,#N/A,FALSE,"WWCM"}</definedName>
    <definedName name="bbb_2" localSheetId="0" hidden="1">{#N/A,#N/A,FALSE,"Pharm";#N/A,#N/A,FALSE,"WWCM"}</definedName>
    <definedName name="bbb_2" localSheetId="6" hidden="1">{#N/A,#N/A,FALSE,"Pharm";#N/A,#N/A,FALSE,"WWCM"}</definedName>
    <definedName name="bbb_2" hidden="1">{#N/A,#N/A,FALSE,"Pharm";#N/A,#N/A,FALSE,"WWCM"}</definedName>
    <definedName name="bbb_2_1" localSheetId="6" hidden="1">{#N/A,#N/A,FALSE,"Scenario PivotTable"}</definedName>
    <definedName name="bbb_2_1" hidden="1">{#N/A,#N/A,FALSE,"Scenario PivotTable"}</definedName>
    <definedName name="bbb_2_1_1" localSheetId="6" hidden="1">{#N/A,#N/A,FALSE,"Scenario PivotTable"}</definedName>
    <definedName name="bbb_2_1_1" hidden="1">{#N/A,#N/A,FALSE,"Scenario PivotTable"}</definedName>
    <definedName name="bbb_2_1_1_1" localSheetId="6" hidden="1">{#N/A,#N/A,FALSE,"Scenario PivotTable"}</definedName>
    <definedName name="bbb_2_1_1_1" hidden="1">{#N/A,#N/A,FALSE,"Scenario PivotTable"}</definedName>
    <definedName name="bbb_2_1_2" localSheetId="6" hidden="1">{#N/A,#N/A,FALSE,"Scenario PivotTable"}</definedName>
    <definedName name="bbb_2_1_2" hidden="1">{#N/A,#N/A,FALSE,"Scenario PivotTable"}</definedName>
    <definedName name="bbb_2_1_2_1" localSheetId="6" hidden="1">{#N/A,#N/A,FALSE,"Scenario PivotTable"}</definedName>
    <definedName name="bbb_2_1_2_1" hidden="1">{#N/A,#N/A,FALSE,"Scenario PivotTable"}</definedName>
    <definedName name="bbb_2_1_3" localSheetId="6" hidden="1">{#N/A,#N/A,FALSE,"Scenario PivotTable"}</definedName>
    <definedName name="bbb_2_1_3" hidden="1">{#N/A,#N/A,FALSE,"Scenario PivotTable"}</definedName>
    <definedName name="bbb_2_2" localSheetId="6" hidden="1">{#N/A,#N/A,FALSE,"Scenario PivotTable"}</definedName>
    <definedName name="bbb_2_2" hidden="1">{#N/A,#N/A,FALSE,"Scenario PivotTable"}</definedName>
    <definedName name="bbb_2_2_1" localSheetId="6" hidden="1">{#N/A,#N/A,FALSE,"Scenario PivotTable"}</definedName>
    <definedName name="bbb_2_2_1" hidden="1">{#N/A,#N/A,FALSE,"Scenario PivotTable"}</definedName>
    <definedName name="bbb_2_2_1_1" localSheetId="6" hidden="1">{#N/A,#N/A,FALSE,"Scenario PivotTable"}</definedName>
    <definedName name="bbb_2_2_1_1" hidden="1">{#N/A,#N/A,FALSE,"Scenario PivotTable"}</definedName>
    <definedName name="bbb_2_2_2" localSheetId="6" hidden="1">{#N/A,#N/A,FALSE,"Scenario PivotTable"}</definedName>
    <definedName name="bbb_2_2_2" hidden="1">{#N/A,#N/A,FALSE,"Scenario PivotTable"}</definedName>
    <definedName name="bbb_2_3" localSheetId="6" hidden="1">{#N/A,#N/A,FALSE,"Scenario PivotTable"}</definedName>
    <definedName name="bbb_2_3" hidden="1">{#N/A,#N/A,FALSE,"Scenario PivotTable"}</definedName>
    <definedName name="bbb_2_3_1" localSheetId="6" hidden="1">{#N/A,#N/A,FALSE,"Scenario PivotTable"}</definedName>
    <definedName name="bbb_2_3_1" hidden="1">{#N/A,#N/A,FALSE,"Scenario PivotTable"}</definedName>
    <definedName name="bbb_2_4" localSheetId="6" hidden="1">{#N/A,#N/A,FALSE,"Scenario PivotTable"}</definedName>
    <definedName name="bbb_2_4" hidden="1">{#N/A,#N/A,FALSE,"Scenario PivotTable"}</definedName>
    <definedName name="bbb_3" localSheetId="0" hidden="1">{#N/A,#N/A,FALSE,"Pharm";#N/A,#N/A,FALSE,"WWCM"}</definedName>
    <definedName name="bbb_3" localSheetId="6" hidden="1">{#N/A,#N/A,FALSE,"Pharm";#N/A,#N/A,FALSE,"WWCM"}</definedName>
    <definedName name="bbb_3" hidden="1">{#N/A,#N/A,FALSE,"Pharm";#N/A,#N/A,FALSE,"WWCM"}</definedName>
    <definedName name="bbb_3_1" localSheetId="6" hidden="1">{#N/A,#N/A,FALSE,"Scenario PivotTable"}</definedName>
    <definedName name="bbb_3_1" hidden="1">{#N/A,#N/A,FALSE,"Scenario PivotTable"}</definedName>
    <definedName name="bbb_3_1_1" localSheetId="6" hidden="1">{#N/A,#N/A,FALSE,"Scenario PivotTable"}</definedName>
    <definedName name="bbb_3_1_1" hidden="1">{#N/A,#N/A,FALSE,"Scenario PivotTable"}</definedName>
    <definedName name="bbb_3_1_1_1" localSheetId="6" hidden="1">{#N/A,#N/A,FALSE,"Scenario PivotTable"}</definedName>
    <definedName name="bbb_3_1_1_1" hidden="1">{#N/A,#N/A,FALSE,"Scenario PivotTable"}</definedName>
    <definedName name="bbb_3_1_2" localSheetId="6" hidden="1">{#N/A,#N/A,FALSE,"Scenario PivotTable"}</definedName>
    <definedName name="bbb_3_1_2" hidden="1">{#N/A,#N/A,FALSE,"Scenario PivotTable"}</definedName>
    <definedName name="bbb_3_1_2_1" localSheetId="6" hidden="1">{#N/A,#N/A,FALSE,"Scenario PivotTable"}</definedName>
    <definedName name="bbb_3_1_2_1" hidden="1">{#N/A,#N/A,FALSE,"Scenario PivotTable"}</definedName>
    <definedName name="bbb_3_1_3" localSheetId="6" hidden="1">{#N/A,#N/A,FALSE,"Scenario PivotTable"}</definedName>
    <definedName name="bbb_3_1_3" hidden="1">{#N/A,#N/A,FALSE,"Scenario PivotTable"}</definedName>
    <definedName name="bbb_3_2" localSheetId="6" hidden="1">{#N/A,#N/A,FALSE,"Scenario PivotTable"}</definedName>
    <definedName name="bbb_3_2" hidden="1">{#N/A,#N/A,FALSE,"Scenario PivotTable"}</definedName>
    <definedName name="bbb_3_2_1" localSheetId="6" hidden="1">{#N/A,#N/A,FALSE,"Scenario PivotTable"}</definedName>
    <definedName name="bbb_3_2_1" hidden="1">{#N/A,#N/A,FALSE,"Scenario PivotTable"}</definedName>
    <definedName name="bbb_3_2_1_1" localSheetId="6" hidden="1">{#N/A,#N/A,FALSE,"Scenario PivotTable"}</definedName>
    <definedName name="bbb_3_2_1_1" hidden="1">{#N/A,#N/A,FALSE,"Scenario PivotTable"}</definedName>
    <definedName name="bbb_3_2_2" localSheetId="6" hidden="1">{#N/A,#N/A,FALSE,"Scenario PivotTable"}</definedName>
    <definedName name="bbb_3_2_2" hidden="1">{#N/A,#N/A,FALSE,"Scenario PivotTable"}</definedName>
    <definedName name="bbb_3_3" localSheetId="6" hidden="1">{#N/A,#N/A,FALSE,"Scenario PivotTable"}</definedName>
    <definedName name="bbb_3_3" hidden="1">{#N/A,#N/A,FALSE,"Scenario PivotTable"}</definedName>
    <definedName name="bbb_3_3_1" localSheetId="6" hidden="1">{#N/A,#N/A,FALSE,"Scenario PivotTable"}</definedName>
    <definedName name="bbb_3_3_1" hidden="1">{#N/A,#N/A,FALSE,"Scenario PivotTable"}</definedName>
    <definedName name="bbb_3_4" localSheetId="6" hidden="1">{#N/A,#N/A,FALSE,"Scenario PivotTable"}</definedName>
    <definedName name="bbb_3_4" hidden="1">{#N/A,#N/A,FALSE,"Scenario PivotTable"}</definedName>
    <definedName name="bbb_4" localSheetId="0" hidden="1">{#N/A,#N/A,FALSE,"Pharm";#N/A,#N/A,FALSE,"WWCM"}</definedName>
    <definedName name="bbb_4" localSheetId="6" hidden="1">{#N/A,#N/A,FALSE,"Pharm";#N/A,#N/A,FALSE,"WWCM"}</definedName>
    <definedName name="bbb_4" hidden="1">{#N/A,#N/A,FALSE,"Pharm";#N/A,#N/A,FALSE,"WWCM"}</definedName>
    <definedName name="bbb_4_1" localSheetId="6" hidden="1">{#N/A,#N/A,FALSE,"Scenario PivotTable"}</definedName>
    <definedName name="bbb_4_1" hidden="1">{#N/A,#N/A,FALSE,"Scenario PivotTable"}</definedName>
    <definedName name="bbb_4_1_1" localSheetId="6" hidden="1">{#N/A,#N/A,FALSE,"Scenario PivotTable"}</definedName>
    <definedName name="bbb_4_1_1" hidden="1">{#N/A,#N/A,FALSE,"Scenario PivotTable"}</definedName>
    <definedName name="bbb_4_1_1_1" localSheetId="6" hidden="1">{#N/A,#N/A,FALSE,"Scenario PivotTable"}</definedName>
    <definedName name="bbb_4_1_1_1" hidden="1">{#N/A,#N/A,FALSE,"Scenario PivotTable"}</definedName>
    <definedName name="bbb_4_1_2" localSheetId="6" hidden="1">{#N/A,#N/A,FALSE,"Scenario PivotTable"}</definedName>
    <definedName name="bbb_4_1_2" hidden="1">{#N/A,#N/A,FALSE,"Scenario PivotTable"}</definedName>
    <definedName name="bbb_4_1_2_1" localSheetId="6" hidden="1">{#N/A,#N/A,FALSE,"Scenario PivotTable"}</definedName>
    <definedName name="bbb_4_1_2_1" hidden="1">{#N/A,#N/A,FALSE,"Scenario PivotTable"}</definedName>
    <definedName name="bbb_4_1_3" localSheetId="6" hidden="1">{#N/A,#N/A,FALSE,"Scenario PivotTable"}</definedName>
    <definedName name="bbb_4_1_3" hidden="1">{#N/A,#N/A,FALSE,"Scenario PivotTable"}</definedName>
    <definedName name="bbb_4_2" localSheetId="6" hidden="1">{#N/A,#N/A,FALSE,"Scenario PivotTable"}</definedName>
    <definedName name="bbb_4_2" hidden="1">{#N/A,#N/A,FALSE,"Scenario PivotTable"}</definedName>
    <definedName name="bbb_4_2_1" localSheetId="6" hidden="1">{#N/A,#N/A,FALSE,"Scenario PivotTable"}</definedName>
    <definedName name="bbb_4_2_1" hidden="1">{#N/A,#N/A,FALSE,"Scenario PivotTable"}</definedName>
    <definedName name="bbb_4_2_1_1" localSheetId="6" hidden="1">{#N/A,#N/A,FALSE,"Scenario PivotTable"}</definedName>
    <definedName name="bbb_4_2_1_1" hidden="1">{#N/A,#N/A,FALSE,"Scenario PivotTable"}</definedName>
    <definedName name="bbb_4_2_2" localSheetId="6" hidden="1">{#N/A,#N/A,FALSE,"Scenario PivotTable"}</definedName>
    <definedName name="bbb_4_2_2" hidden="1">{#N/A,#N/A,FALSE,"Scenario PivotTable"}</definedName>
    <definedName name="bbb_4_3" localSheetId="6" hidden="1">{#N/A,#N/A,FALSE,"Scenario PivotTable"}</definedName>
    <definedName name="bbb_4_3" hidden="1">{#N/A,#N/A,FALSE,"Scenario PivotTable"}</definedName>
    <definedName name="bbb_4_3_1" localSheetId="6" hidden="1">{#N/A,#N/A,FALSE,"Scenario PivotTable"}</definedName>
    <definedName name="bbb_4_3_1" hidden="1">{#N/A,#N/A,FALSE,"Scenario PivotTable"}</definedName>
    <definedName name="bbb_4_4" localSheetId="6" hidden="1">{#N/A,#N/A,FALSE,"Scenario PivotTable"}</definedName>
    <definedName name="bbb_4_4" hidden="1">{#N/A,#N/A,FALSE,"Scenario PivotTable"}</definedName>
    <definedName name="bbb_5" localSheetId="0" hidden="1">{#N/A,#N/A,FALSE,"Pharm";#N/A,#N/A,FALSE,"WWCM"}</definedName>
    <definedName name="bbb_5" localSheetId="6" hidden="1">{#N/A,#N/A,FALSE,"Pharm";#N/A,#N/A,FALSE,"WWCM"}</definedName>
    <definedName name="bbb_5" hidden="1">{#N/A,#N/A,FALSE,"Pharm";#N/A,#N/A,FALSE,"WWCM"}</definedName>
    <definedName name="bbb_5_1" localSheetId="6" hidden="1">{#N/A,#N/A,FALSE,"Scenario PivotTable"}</definedName>
    <definedName name="bbb_5_1" hidden="1">{#N/A,#N/A,FALSE,"Scenario PivotTable"}</definedName>
    <definedName name="bbb_5_1_1" localSheetId="6" hidden="1">{#N/A,#N/A,FALSE,"Scenario PivotTable"}</definedName>
    <definedName name="bbb_5_1_1" hidden="1">{#N/A,#N/A,FALSE,"Scenario PivotTable"}</definedName>
    <definedName name="bbb_5_1_1_1" localSheetId="6" hidden="1">{#N/A,#N/A,FALSE,"Scenario PivotTable"}</definedName>
    <definedName name="bbb_5_1_1_1" hidden="1">{#N/A,#N/A,FALSE,"Scenario PivotTable"}</definedName>
    <definedName name="bbb_5_1_2" localSheetId="6" hidden="1">{#N/A,#N/A,FALSE,"Scenario PivotTable"}</definedName>
    <definedName name="bbb_5_1_2" hidden="1">{#N/A,#N/A,FALSE,"Scenario PivotTable"}</definedName>
    <definedName name="bbb_5_1_2_1" localSheetId="6" hidden="1">{#N/A,#N/A,FALSE,"Scenario PivotTable"}</definedName>
    <definedName name="bbb_5_1_2_1" hidden="1">{#N/A,#N/A,FALSE,"Scenario PivotTable"}</definedName>
    <definedName name="bbb_5_1_3" localSheetId="6" hidden="1">{#N/A,#N/A,FALSE,"Scenario PivotTable"}</definedName>
    <definedName name="bbb_5_1_3" hidden="1">{#N/A,#N/A,FALSE,"Scenario PivotTable"}</definedName>
    <definedName name="bbb_5_2" localSheetId="6" hidden="1">{#N/A,#N/A,FALSE,"Scenario PivotTable"}</definedName>
    <definedName name="bbb_5_2" hidden="1">{#N/A,#N/A,FALSE,"Scenario PivotTable"}</definedName>
    <definedName name="bbb_5_2_1" localSheetId="6" hidden="1">{#N/A,#N/A,FALSE,"Scenario PivotTable"}</definedName>
    <definedName name="bbb_5_2_1" hidden="1">{#N/A,#N/A,FALSE,"Scenario PivotTable"}</definedName>
    <definedName name="bbb_5_2_1_1" localSheetId="6" hidden="1">{#N/A,#N/A,FALSE,"Scenario PivotTable"}</definedName>
    <definedName name="bbb_5_2_1_1" hidden="1">{#N/A,#N/A,FALSE,"Scenario PivotTable"}</definedName>
    <definedName name="bbb_5_2_2" localSheetId="6" hidden="1">{#N/A,#N/A,FALSE,"Scenario PivotTable"}</definedName>
    <definedName name="bbb_5_2_2" hidden="1">{#N/A,#N/A,FALSE,"Scenario PivotTable"}</definedName>
    <definedName name="bbb_5_3" localSheetId="6" hidden="1">{#N/A,#N/A,FALSE,"Scenario PivotTable"}</definedName>
    <definedName name="bbb_5_3" hidden="1">{#N/A,#N/A,FALSE,"Scenario PivotTable"}</definedName>
    <definedName name="bbb_5_3_1" localSheetId="6" hidden="1">{#N/A,#N/A,FALSE,"Scenario PivotTable"}</definedName>
    <definedName name="bbb_5_3_1" hidden="1">{#N/A,#N/A,FALSE,"Scenario PivotTable"}</definedName>
    <definedName name="bbb_5_4" localSheetId="6" hidden="1">{#N/A,#N/A,FALSE,"Scenario PivotTable"}</definedName>
    <definedName name="bbb_5_4" hidden="1">{#N/A,#N/A,FALSE,"Scenario PivotTable"}</definedName>
    <definedName name="bbbb" localSheetId="0" hidden="1">{"Graphic",#N/A,TRUE,"Graphic"}</definedName>
    <definedName name="bbbb" localSheetId="6" hidden="1">{"Graphic",#N/A,TRUE,"Graphic"}</definedName>
    <definedName name="bbbb" hidden="1">{"Graphic",#N/A,TRUE,"Graphic"}</definedName>
    <definedName name="bbbb_1" localSheetId="0" hidden="1">{"Graphic",#N/A,TRUE,"Graphic"}</definedName>
    <definedName name="bbbb_1" localSheetId="6" hidden="1">{"Graphic",#N/A,TRUE,"Graphic"}</definedName>
    <definedName name="bbbb_1" hidden="1">{"Graphic",#N/A,TRUE,"Graphic"}</definedName>
    <definedName name="bbbb_1_1" localSheetId="0" hidden="1">{#N/A,#N/A,FALSE,"REPORT"}</definedName>
    <definedName name="bbbb_1_1" localSheetId="6" hidden="1">{#N/A,#N/A,FALSE,"REPORT"}</definedName>
    <definedName name="bbbb_1_1" hidden="1">{#N/A,#N/A,FALSE,"REPORT"}</definedName>
    <definedName name="bbbb_2" localSheetId="0" hidden="1">{#N/A,#N/A,FALSE,"REPORT"}</definedName>
    <definedName name="bbbb_2" localSheetId="6" hidden="1">{#N/A,#N/A,FALSE,"REPORT"}</definedName>
    <definedName name="bbbb_2" hidden="1">{#N/A,#N/A,FALSE,"REPORT"}</definedName>
    <definedName name="bbbb_3" localSheetId="0" hidden="1">{#N/A,#N/A,FALSE,"REPORT"}</definedName>
    <definedName name="bbbb_3" localSheetId="6" hidden="1">{#N/A,#N/A,FALSE,"REPORT"}</definedName>
    <definedName name="bbbb_3" hidden="1">{#N/A,#N/A,FALSE,"REPORT"}</definedName>
    <definedName name="bbbb_4" localSheetId="0" hidden="1">{#N/A,#N/A,FALSE,"REPORT"}</definedName>
    <definedName name="bbbb_4" localSheetId="6" hidden="1">{#N/A,#N/A,FALSE,"REPORT"}</definedName>
    <definedName name="bbbb_4" hidden="1">{#N/A,#N/A,FALSE,"REPORT"}</definedName>
    <definedName name="bbbb_5" localSheetId="0" hidden="1">{#N/A,#N/A,FALSE,"REPORT"}</definedName>
    <definedName name="bbbb_5" localSheetId="6" hidden="1">{#N/A,#N/A,FALSE,"REPORT"}</definedName>
    <definedName name="bbbb_5" hidden="1">{#N/A,#N/A,FALSE,"REPORT"}</definedName>
    <definedName name="bbbbb" localSheetId="0" hidden="1">{#N/A,#N/A,FALSE,"Assessment";#N/A,#N/A,FALSE,"Staffing";#N/A,#N/A,FALSE,"Hires";#N/A,#N/A,FALSE,"Assumptions"}</definedName>
    <definedName name="bbbbb" localSheetId="6" hidden="1">{#N/A,#N/A,FALSE,"Assessment";#N/A,#N/A,FALSE,"Staffing";#N/A,#N/A,FALSE,"Hires";#N/A,#N/A,FALSE,"Assumptions"}</definedName>
    <definedName name="bbbbb" hidden="1">{#N/A,#N/A,FALSE,"Assessment";#N/A,#N/A,FALSE,"Staffing";#N/A,#N/A,FALSE,"Hires";#N/A,#N/A,FALSE,"Assumptions"}</definedName>
    <definedName name="bbbbb_1" localSheetId="0" hidden="1">{#N/A,#N/A,FALSE,"Assessment";#N/A,#N/A,FALSE,"Staffing";#N/A,#N/A,FALSE,"Hires";#N/A,#N/A,FALSE,"Assumptions"}</definedName>
    <definedName name="bbbbb_1" localSheetId="6" hidden="1">{#N/A,#N/A,FALSE,"Assessment";#N/A,#N/A,FALSE,"Staffing";#N/A,#N/A,FALSE,"Hires";#N/A,#N/A,FALSE,"Assumptions"}</definedName>
    <definedName name="bbbbb_1" hidden="1">{#N/A,#N/A,FALSE,"Assessment";#N/A,#N/A,FALSE,"Staffing";#N/A,#N/A,FALSE,"Hires";#N/A,#N/A,FALSE,"Assumptions"}</definedName>
    <definedName name="bbbbb_1_1" localSheetId="0" hidden="1">{#N/A,#N/A,FALSE,"Pharm";#N/A,#N/A,FALSE,"WWCM"}</definedName>
    <definedName name="bbbbb_1_1" localSheetId="6" hidden="1">{#N/A,#N/A,FALSE,"Pharm";#N/A,#N/A,FALSE,"WWCM"}</definedName>
    <definedName name="bbbbb_1_1" hidden="1">{#N/A,#N/A,FALSE,"Pharm";#N/A,#N/A,FALSE,"WWCM"}</definedName>
    <definedName name="bbbbb_2" localSheetId="0" hidden="1">{#N/A,#N/A,FALSE,"Pharm";#N/A,#N/A,FALSE,"WWCM"}</definedName>
    <definedName name="bbbbb_2" localSheetId="6" hidden="1">{#N/A,#N/A,FALSE,"Pharm";#N/A,#N/A,FALSE,"WWCM"}</definedName>
    <definedName name="bbbbb_2" hidden="1">{#N/A,#N/A,FALSE,"Pharm";#N/A,#N/A,FALSE,"WWCM"}</definedName>
    <definedName name="bbbbb_3" localSheetId="0" hidden="1">{#N/A,#N/A,FALSE,"Pharm";#N/A,#N/A,FALSE,"WWCM"}</definedName>
    <definedName name="bbbbb_3" localSheetId="6" hidden="1">{#N/A,#N/A,FALSE,"Pharm";#N/A,#N/A,FALSE,"WWCM"}</definedName>
    <definedName name="bbbbb_3" hidden="1">{#N/A,#N/A,FALSE,"Pharm";#N/A,#N/A,FALSE,"WWCM"}</definedName>
    <definedName name="bbbbb_4" localSheetId="0" hidden="1">{#N/A,#N/A,FALSE,"Pharm";#N/A,#N/A,FALSE,"WWCM"}</definedName>
    <definedName name="bbbbb_4" localSheetId="6" hidden="1">{#N/A,#N/A,FALSE,"Pharm";#N/A,#N/A,FALSE,"WWCM"}</definedName>
    <definedName name="bbbbb_4" hidden="1">{#N/A,#N/A,FALSE,"Pharm";#N/A,#N/A,FALSE,"WWCM"}</definedName>
    <definedName name="bbbbb_5" localSheetId="0" hidden="1">{#N/A,#N/A,FALSE,"Pharm";#N/A,#N/A,FALSE,"WWCM"}</definedName>
    <definedName name="bbbbb_5" localSheetId="6" hidden="1">{#N/A,#N/A,FALSE,"Pharm";#N/A,#N/A,FALSE,"WWCM"}</definedName>
    <definedName name="bbbbb_5" hidden="1">{#N/A,#N/A,FALSE,"Pharm";#N/A,#N/A,FALSE,"WWCM"}</definedName>
    <definedName name="BBBBBB" localSheetId="0" hidden="1">{#N/A,#N/A,FALSE,"REPORT"}</definedName>
    <definedName name="BBBBBB" localSheetId="6" hidden="1">{#N/A,#N/A,FALSE,"REPORT"}</definedName>
    <definedName name="BBBBBB" hidden="1">{#N/A,#N/A,FALSE,"REPORT"}</definedName>
    <definedName name="BBBBBB_1" localSheetId="0" hidden="1">{#N/A,#N/A,FALSE,"REPORT"}</definedName>
    <definedName name="BBBBBB_1" localSheetId="6" hidden="1">{#N/A,#N/A,FALSE,"REPORT"}</definedName>
    <definedName name="BBBBBB_1" hidden="1">{#N/A,#N/A,FALSE,"REPORT"}</definedName>
    <definedName name="BBBBBB_1_1" localSheetId="0" hidden="1">{#N/A,#N/A,FALSE,"REPORT"}</definedName>
    <definedName name="BBBBBB_1_1" localSheetId="6" hidden="1">{#N/A,#N/A,FALSE,"REPORT"}</definedName>
    <definedName name="BBBBBB_1_1" hidden="1">{#N/A,#N/A,FALSE,"REPORT"}</definedName>
    <definedName name="BBBBBB_2" localSheetId="0" hidden="1">{#N/A,#N/A,FALSE,"REPORT"}</definedName>
    <definedName name="BBBBBB_2" localSheetId="6" hidden="1">{#N/A,#N/A,FALSE,"REPORT"}</definedName>
    <definedName name="BBBBBB_2" hidden="1">{#N/A,#N/A,FALSE,"REPORT"}</definedName>
    <definedName name="BBBBBB_3" localSheetId="0" hidden="1">{#N/A,#N/A,FALSE,"REPORT"}</definedName>
    <definedName name="BBBBBB_3" localSheetId="6" hidden="1">{#N/A,#N/A,FALSE,"REPORT"}</definedName>
    <definedName name="BBBBBB_3" hidden="1">{#N/A,#N/A,FALSE,"REPORT"}</definedName>
    <definedName name="BBBBBB_4" localSheetId="0" hidden="1">{#N/A,#N/A,FALSE,"REPORT"}</definedName>
    <definedName name="BBBBBB_4" localSheetId="6" hidden="1">{#N/A,#N/A,FALSE,"REPORT"}</definedName>
    <definedName name="BBBBBB_4" hidden="1">{#N/A,#N/A,FALSE,"REPORT"}</definedName>
    <definedName name="BBBBBB_5" localSheetId="0" hidden="1">{#N/A,#N/A,FALSE,"REPORT"}</definedName>
    <definedName name="BBBBBB_5" localSheetId="6" hidden="1">{#N/A,#N/A,FALSE,"REPORT"}</definedName>
    <definedName name="BBBBBB_5" hidden="1">{#N/A,#N/A,FALSE,"REPORT"}</definedName>
    <definedName name="bbbbbbb" localSheetId="0" hidden="1">{"graph",#N/A,FALSE,"WWJU";"graph",#N/A,FALSE,"WWSEM";"graph",#N/A,FALSE,"GOMJU";"graph",#N/A,FALSE,"GOMSEM";"graph",#N/A,FALSE,"NSJU";"graph",#N/A,FALSE,"NSSEM";"graph",#N/A,FALSE,"WAJU";"graph",#N/A,FALSE,"STOCKPRI";"graph",#N/A,FALSE,"CFTEV";"graph",#N/A,FALSE,"NAV-RCV";"graph",#N/A,FALSE,"CRUDEWW"}</definedName>
    <definedName name="bbbbbbb" localSheetId="6" hidden="1">{"graph",#N/A,FALSE,"WWJU";"graph",#N/A,FALSE,"WWSEM";"graph",#N/A,FALSE,"GOMJU";"graph",#N/A,FALSE,"GOMSEM";"graph",#N/A,FALSE,"NSJU";"graph",#N/A,FALSE,"NSSEM";"graph",#N/A,FALSE,"WAJU";"graph",#N/A,FALSE,"STOCKPRI";"graph",#N/A,FALSE,"CFTEV";"graph",#N/A,FALSE,"NAV-RCV";"graph",#N/A,FALSE,"CRUDEWW"}</definedName>
    <definedName name="bbbbbbb" hidden="1">{"graph",#N/A,FALSE,"WWJU";"graph",#N/A,FALSE,"WWSEM";"graph",#N/A,FALSE,"GOMJU";"graph",#N/A,FALSE,"GOMSEM";"graph",#N/A,FALSE,"NSJU";"graph",#N/A,FALSE,"NSSEM";"graph",#N/A,FALSE,"WAJU";"graph",#N/A,FALSE,"STOCKPRI";"graph",#N/A,FALSE,"CFTEV";"graph",#N/A,FALSE,"NAV-RCV";"graph",#N/A,FALSE,"CRUDEWW"}</definedName>
    <definedName name="bbbbbbbb" localSheetId="0" hidden="1">{"cap_structure",#N/A,FALSE,"Graph-Mkt Cap";"price",#N/A,FALSE,"Graph-Price";"ebit",#N/A,FALSE,"Graph-EBITDA";"ebitda",#N/A,FALSE,"Graph-EBITDA"}</definedName>
    <definedName name="bbbbbbbb" localSheetId="6" hidden="1">{"cap_structure",#N/A,FALSE,"Graph-Mkt Cap";"price",#N/A,FALSE,"Graph-Price";"ebit",#N/A,FALSE,"Graph-EBITDA";"ebitda",#N/A,FALSE,"Graph-EBITDA"}</definedName>
    <definedName name="bbbbbbbb" hidden="1">{"cap_structure",#N/A,FALSE,"Graph-Mkt Cap";"price",#N/A,FALSE,"Graph-Price";"ebit",#N/A,FALSE,"Graph-EBITDA";"ebitda",#N/A,FALSE,"Graph-EBITDA"}</definedName>
    <definedName name="BBBBBBBBB" localSheetId="0" hidden="1">{#N/A,#N/A,FALSE,"Tabl. A1";#N/A,#N/A,FALSE,"Tabl. A1 b";#N/A,#N/A,FALSE,"Tabl. A2";#N/A,#N/A,FALSE,"Tabl. A2-1";#N/A,#N/A,FALSE,"Tabl. A2-2"}</definedName>
    <definedName name="BBBBBBBBB" localSheetId="6" hidden="1">{#N/A,#N/A,FALSE,"Tabl. A1";#N/A,#N/A,FALSE,"Tabl. A1 b";#N/A,#N/A,FALSE,"Tabl. A2";#N/A,#N/A,FALSE,"Tabl. A2-1";#N/A,#N/A,FALSE,"Tabl. A2-2"}</definedName>
    <definedName name="BBBBBBBBB" hidden="1">{#N/A,#N/A,FALSE,"Tabl. A1";#N/A,#N/A,FALSE,"Tabl. A1 b";#N/A,#N/A,FALSE,"Tabl. A2";#N/A,#N/A,FALSE,"Tabl. A2-1";#N/A,#N/A,FALSE,"Tabl. A2-2"}</definedName>
    <definedName name="BBBBBBBBB_1" localSheetId="0" hidden="1">{#N/A,#N/A,FALSE,"REPORT"}</definedName>
    <definedName name="BBBBBBBBB_1" localSheetId="6" hidden="1">{#N/A,#N/A,FALSE,"REPORT"}</definedName>
    <definedName name="BBBBBBBBB_1" hidden="1">{#N/A,#N/A,FALSE,"REPORT"}</definedName>
    <definedName name="BBBBBBBBB_1_1" localSheetId="0" hidden="1">{#N/A,#N/A,FALSE,"REPORT"}</definedName>
    <definedName name="BBBBBBBBB_1_1" localSheetId="6" hidden="1">{#N/A,#N/A,FALSE,"REPORT"}</definedName>
    <definedName name="BBBBBBBBB_1_1" hidden="1">{#N/A,#N/A,FALSE,"REPORT"}</definedName>
    <definedName name="BBBBBBBBB_2" localSheetId="0" hidden="1">{#N/A,#N/A,FALSE,"REPORT"}</definedName>
    <definedName name="BBBBBBBBB_2" localSheetId="6" hidden="1">{#N/A,#N/A,FALSE,"REPORT"}</definedName>
    <definedName name="BBBBBBBBB_2" hidden="1">{#N/A,#N/A,FALSE,"REPORT"}</definedName>
    <definedName name="BBBBBBBBB_3" localSheetId="0" hidden="1">{#N/A,#N/A,FALSE,"REPORT"}</definedName>
    <definedName name="BBBBBBBBB_3" localSheetId="6" hidden="1">{#N/A,#N/A,FALSE,"REPORT"}</definedName>
    <definedName name="BBBBBBBBB_3" hidden="1">{#N/A,#N/A,FALSE,"REPORT"}</definedName>
    <definedName name="BBBBBBBBB_4" localSheetId="0" hidden="1">{#N/A,#N/A,FALSE,"REPORT"}</definedName>
    <definedName name="BBBBBBBBB_4" localSheetId="6" hidden="1">{#N/A,#N/A,FALSE,"REPORT"}</definedName>
    <definedName name="BBBBBBBBB_4" hidden="1">{#N/A,#N/A,FALSE,"REPORT"}</definedName>
    <definedName name="BBBBBBBBB_5" localSheetId="0" hidden="1">{#N/A,#N/A,FALSE,"REPORT"}</definedName>
    <definedName name="BBBBBBBBB_5" localSheetId="6" hidden="1">{#N/A,#N/A,FALSE,"REPORT"}</definedName>
    <definedName name="BBBBBBBBB_5" hidden="1">{#N/A,#N/A,FALSE,"REPORT"}</definedName>
    <definedName name="bbbbbbbbbb" localSheetId="0" hidden="1">{"cap_structure",#N/A,FALSE,"Graph-Mkt Cap";"price",#N/A,FALSE,"Graph-Price";"ebit",#N/A,FALSE,"Graph-EBITDA";"ebitda",#N/A,FALSE,"Graph-EBITDA"}</definedName>
    <definedName name="bbbbbbbbbb" localSheetId="6" hidden="1">{"cap_structure",#N/A,FALSE,"Graph-Mkt Cap";"price",#N/A,FALSE,"Graph-Price";"ebit",#N/A,FALSE,"Graph-EBITDA";"ebitda",#N/A,FALSE,"Graph-EBITDA"}</definedName>
    <definedName name="bbbbbbbbbb" hidden="1">{"cap_structure",#N/A,FALSE,"Graph-Mkt Cap";"price",#N/A,FALSE,"Graph-Price";"ebit",#N/A,FALSE,"Graph-EBITDA";"ebitda",#N/A,FALSE,"Graph-EBITDA"}</definedName>
    <definedName name="bbbbbbbbbbbbb" localSheetId="0" hidden="1">{#N/A,#N/A,FALSE,"Pharm";#N/A,#N/A,FALSE,"WWCM"}</definedName>
    <definedName name="bbbbbbbbbbbbb" localSheetId="6" hidden="1">{#N/A,#N/A,FALSE,"Pharm";#N/A,#N/A,FALSE,"WWCM"}</definedName>
    <definedName name="bbbbbbbbbbbbb" hidden="1">{#N/A,#N/A,FALSE,"Pharm";#N/A,#N/A,FALSE,"WWCM"}</definedName>
    <definedName name="bbbbbbbbbbbbb_1" localSheetId="0" hidden="1">{#N/A,#N/A,FALSE,"Pharm";#N/A,#N/A,FALSE,"WWCM"}</definedName>
    <definedName name="bbbbbbbbbbbbb_1" localSheetId="6" hidden="1">{#N/A,#N/A,FALSE,"Pharm";#N/A,#N/A,FALSE,"WWCM"}</definedName>
    <definedName name="bbbbbbbbbbbbb_1" hidden="1">{#N/A,#N/A,FALSE,"Pharm";#N/A,#N/A,FALSE,"WWCM"}</definedName>
    <definedName name="bbbbbbbbbbbbb_1_1" localSheetId="0" hidden="1">{#N/A,#N/A,FALSE,"Pharm";#N/A,#N/A,FALSE,"WWCM"}</definedName>
    <definedName name="bbbbbbbbbbbbb_1_1" localSheetId="6" hidden="1">{#N/A,#N/A,FALSE,"Pharm";#N/A,#N/A,FALSE,"WWCM"}</definedName>
    <definedName name="bbbbbbbbbbbbb_1_1" hidden="1">{#N/A,#N/A,FALSE,"Pharm";#N/A,#N/A,FALSE,"WWCM"}</definedName>
    <definedName name="bbbbbbbbbbbbb_2" localSheetId="0" hidden="1">{#N/A,#N/A,FALSE,"Pharm";#N/A,#N/A,FALSE,"WWCM"}</definedName>
    <definedName name="bbbbbbbbbbbbb_2" localSheetId="6" hidden="1">{#N/A,#N/A,FALSE,"Pharm";#N/A,#N/A,FALSE,"WWCM"}</definedName>
    <definedName name="bbbbbbbbbbbbb_2" hidden="1">{#N/A,#N/A,FALSE,"Pharm";#N/A,#N/A,FALSE,"WWCM"}</definedName>
    <definedName name="bbbbbbbbbbbbb_3" localSheetId="0" hidden="1">{#N/A,#N/A,FALSE,"Pharm";#N/A,#N/A,FALSE,"WWCM"}</definedName>
    <definedName name="bbbbbbbbbbbbb_3" localSheetId="6" hidden="1">{#N/A,#N/A,FALSE,"Pharm";#N/A,#N/A,FALSE,"WWCM"}</definedName>
    <definedName name="bbbbbbbbbbbbb_3" hidden="1">{#N/A,#N/A,FALSE,"Pharm";#N/A,#N/A,FALSE,"WWCM"}</definedName>
    <definedName name="bbbbbbbbbbbbb_4" localSheetId="0" hidden="1">{#N/A,#N/A,FALSE,"Pharm";#N/A,#N/A,FALSE,"WWCM"}</definedName>
    <definedName name="bbbbbbbbbbbbb_4" localSheetId="6" hidden="1">{#N/A,#N/A,FALSE,"Pharm";#N/A,#N/A,FALSE,"WWCM"}</definedName>
    <definedName name="bbbbbbbbbbbbb_4" hidden="1">{#N/A,#N/A,FALSE,"Pharm";#N/A,#N/A,FALSE,"WWCM"}</definedName>
    <definedName name="bbbbbbbbbbbbb_5" localSheetId="0" hidden="1">{#N/A,#N/A,FALSE,"Pharm";#N/A,#N/A,FALSE,"WWCM"}</definedName>
    <definedName name="bbbbbbbbbbbbb_5" localSheetId="6" hidden="1">{#N/A,#N/A,FALSE,"Pharm";#N/A,#N/A,FALSE,"WWCM"}</definedName>
    <definedName name="bbbbbbbbbbbbb_5" hidden="1">{#N/A,#N/A,FALSE,"Pharm";#N/A,#N/A,FALSE,"WWCM"}</definedName>
    <definedName name="BBBBBBBBBBBBBBBBBBBBBBBBBBBBBBBBBBBBBBBBB" hidden="1">#REF!</definedName>
    <definedName name="BBBN"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BBBN"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bbfe" localSheetId="6" hidden="1">{#N/A,#N/A,FALSE,"BE";#N/A,#N/A,FALSE,"Bia";#N/A,#N/A,FALSE,"By";#N/A,#N/A,FALSE,"Bor";#N/A,#N/A,FALSE,"Gab";#N/A,#N/A,FALSE,"Gar";#N/A,#N/A,FALSE,"Lov";#N/A,#N/A,FALSE,"SJ";#N/A,#N/A,FALSE,"SM";#N/A,#N/A,FALSE,"Wb";#N/A,#N/A,FALSE,"Yok"}</definedName>
    <definedName name="bbfe" hidden="1">{#N/A,#N/A,FALSE,"BE";#N/A,#N/A,FALSE,"Bia";#N/A,#N/A,FALSE,"By";#N/A,#N/A,FALSE,"Bor";#N/A,#N/A,FALSE,"Gab";#N/A,#N/A,FALSE,"Gar";#N/A,#N/A,FALSE,"Lov";#N/A,#N/A,FALSE,"SJ";#N/A,#N/A,FALSE,"SM";#N/A,#N/A,FALSE,"Wb";#N/A,#N/A,FALSE,"Yok"}</definedName>
    <definedName name="BBM" localSheetId="6" hidden="1">{"year1",#N/A,FALSE,"IZT";"year2",#N/A,FALSE,"IZT"}</definedName>
    <definedName name="BBM" hidden="1">{"year1",#N/A,FALSE,"IZT";"year2",#N/A,FALSE,"IZT"}</definedName>
    <definedName name="bbvcx" localSheetId="0" hidden="1">{#N/A,#N/A,FALSE,"Umsatz HM";#N/A,#N/A,FALSE,"ER HM";#N/A,#N/A,FALSE,"EA HM  (2)";#N/A,#N/A,FALSE,"EA HM ";#N/A,#N/A,FALSE,"EA HM  (4)";#N/A,#N/A,FALSE,"EA HM  (3)";#N/A,#N/A,FALSE,"KA HM  (2)";#N/A,#N/A,FALSE,"KA HM";#N/A,#N/A,FALSE,"KA HM  (3)";#N/A,#N/A,FALSE,"KA HM (4)"}</definedName>
    <definedName name="bbvcx" localSheetId="6" hidden="1">{#N/A,#N/A,FALSE,"Umsatz HM";#N/A,#N/A,FALSE,"ER HM";#N/A,#N/A,FALSE,"EA HM  (2)";#N/A,#N/A,FALSE,"EA HM ";#N/A,#N/A,FALSE,"EA HM  (4)";#N/A,#N/A,FALSE,"EA HM  (3)";#N/A,#N/A,FALSE,"KA HM  (2)";#N/A,#N/A,FALSE,"KA HM";#N/A,#N/A,FALSE,"KA HM  (3)";#N/A,#N/A,FALSE,"KA HM (4)"}</definedName>
    <definedName name="bbvcx" hidden="1">{#N/A,#N/A,FALSE,"Umsatz HM";#N/A,#N/A,FALSE,"ER HM";#N/A,#N/A,FALSE,"EA HM  (2)";#N/A,#N/A,FALSE,"EA HM ";#N/A,#N/A,FALSE,"EA HM  (4)";#N/A,#N/A,FALSE,"EA HM  (3)";#N/A,#N/A,FALSE,"KA HM  (2)";#N/A,#N/A,FALSE,"KA HM";#N/A,#N/A,FALSE,"KA HM  (3)";#N/A,#N/A,FALSE,"KA HM (4)"}</definedName>
    <definedName name="bbvcx_1" localSheetId="0" hidden="1">{#N/A,#N/A,FALSE,"Umsatz HM";#N/A,#N/A,FALSE,"ER HM";#N/A,#N/A,FALSE,"EA HM  (2)";#N/A,#N/A,FALSE,"EA HM ";#N/A,#N/A,FALSE,"EA HM  (4)";#N/A,#N/A,FALSE,"EA HM  (3)";#N/A,#N/A,FALSE,"KA HM  (2)";#N/A,#N/A,FALSE,"KA HM";#N/A,#N/A,FALSE,"KA HM  (3)";#N/A,#N/A,FALSE,"KA HM (4)"}</definedName>
    <definedName name="bbvcx_1" localSheetId="6" hidden="1">{#N/A,#N/A,FALSE,"Umsatz HM";#N/A,#N/A,FALSE,"ER HM";#N/A,#N/A,FALSE,"EA HM  (2)";#N/A,#N/A,FALSE,"EA HM ";#N/A,#N/A,FALSE,"EA HM  (4)";#N/A,#N/A,FALSE,"EA HM  (3)";#N/A,#N/A,FALSE,"KA HM  (2)";#N/A,#N/A,FALSE,"KA HM";#N/A,#N/A,FALSE,"KA HM  (3)";#N/A,#N/A,FALSE,"KA HM (4)"}</definedName>
    <definedName name="bbvcx_1" hidden="1">{#N/A,#N/A,FALSE,"Umsatz HM";#N/A,#N/A,FALSE,"ER HM";#N/A,#N/A,FALSE,"EA HM  (2)";#N/A,#N/A,FALSE,"EA HM ";#N/A,#N/A,FALSE,"EA HM  (4)";#N/A,#N/A,FALSE,"EA HM  (3)";#N/A,#N/A,FALSE,"KA HM  (2)";#N/A,#N/A,FALSE,"KA HM";#N/A,#N/A,FALSE,"KA HM  (3)";#N/A,#N/A,FALSE,"KA HM (4)"}</definedName>
    <definedName name="bbvcx_1_1" localSheetId="0" hidden="1">{#N/A,#N/A,FALSE,"Umsatz HM";#N/A,#N/A,FALSE,"ER HM";#N/A,#N/A,FALSE,"EA HM  (2)";#N/A,#N/A,FALSE,"EA HM ";#N/A,#N/A,FALSE,"EA HM  (4)";#N/A,#N/A,FALSE,"EA HM  (3)";#N/A,#N/A,FALSE,"KA HM  (2)";#N/A,#N/A,FALSE,"KA HM";#N/A,#N/A,FALSE,"KA HM  (3)";#N/A,#N/A,FALSE,"KA HM (4)"}</definedName>
    <definedName name="bbvcx_1_1" localSheetId="6" hidden="1">{#N/A,#N/A,FALSE,"Umsatz HM";#N/A,#N/A,FALSE,"ER HM";#N/A,#N/A,FALSE,"EA HM  (2)";#N/A,#N/A,FALSE,"EA HM ";#N/A,#N/A,FALSE,"EA HM  (4)";#N/A,#N/A,FALSE,"EA HM  (3)";#N/A,#N/A,FALSE,"KA HM  (2)";#N/A,#N/A,FALSE,"KA HM";#N/A,#N/A,FALSE,"KA HM  (3)";#N/A,#N/A,FALSE,"KA HM (4)"}</definedName>
    <definedName name="bbvcx_1_1" hidden="1">{#N/A,#N/A,FALSE,"Umsatz HM";#N/A,#N/A,FALSE,"ER HM";#N/A,#N/A,FALSE,"EA HM  (2)";#N/A,#N/A,FALSE,"EA HM ";#N/A,#N/A,FALSE,"EA HM  (4)";#N/A,#N/A,FALSE,"EA HM  (3)";#N/A,#N/A,FALSE,"KA HM  (2)";#N/A,#N/A,FALSE,"KA HM";#N/A,#N/A,FALSE,"KA HM  (3)";#N/A,#N/A,FALSE,"KA HM (4)"}</definedName>
    <definedName name="bbvcx_2" localSheetId="0" hidden="1">{#N/A,#N/A,FALSE,"Umsatz HM";#N/A,#N/A,FALSE,"ER HM";#N/A,#N/A,FALSE,"EA HM  (2)";#N/A,#N/A,FALSE,"EA HM ";#N/A,#N/A,FALSE,"EA HM  (4)";#N/A,#N/A,FALSE,"EA HM  (3)";#N/A,#N/A,FALSE,"KA HM  (2)";#N/A,#N/A,FALSE,"KA HM";#N/A,#N/A,FALSE,"KA HM  (3)";#N/A,#N/A,FALSE,"KA HM (4)"}</definedName>
    <definedName name="bbvcx_2" localSheetId="6" hidden="1">{#N/A,#N/A,FALSE,"Umsatz HM";#N/A,#N/A,FALSE,"ER HM";#N/A,#N/A,FALSE,"EA HM  (2)";#N/A,#N/A,FALSE,"EA HM ";#N/A,#N/A,FALSE,"EA HM  (4)";#N/A,#N/A,FALSE,"EA HM  (3)";#N/A,#N/A,FALSE,"KA HM  (2)";#N/A,#N/A,FALSE,"KA HM";#N/A,#N/A,FALSE,"KA HM  (3)";#N/A,#N/A,FALSE,"KA HM (4)"}</definedName>
    <definedName name="bbvcx_2" hidden="1">{#N/A,#N/A,FALSE,"Umsatz HM";#N/A,#N/A,FALSE,"ER HM";#N/A,#N/A,FALSE,"EA HM  (2)";#N/A,#N/A,FALSE,"EA HM ";#N/A,#N/A,FALSE,"EA HM  (4)";#N/A,#N/A,FALSE,"EA HM  (3)";#N/A,#N/A,FALSE,"KA HM  (2)";#N/A,#N/A,FALSE,"KA HM";#N/A,#N/A,FALSE,"KA HM  (3)";#N/A,#N/A,FALSE,"KA HM (4)"}</definedName>
    <definedName name="bbvcx_3" localSheetId="0" hidden="1">{#N/A,#N/A,FALSE,"Umsatz HM";#N/A,#N/A,FALSE,"ER HM";#N/A,#N/A,FALSE,"EA HM  (2)";#N/A,#N/A,FALSE,"EA HM ";#N/A,#N/A,FALSE,"EA HM  (4)";#N/A,#N/A,FALSE,"EA HM  (3)";#N/A,#N/A,FALSE,"KA HM  (2)";#N/A,#N/A,FALSE,"KA HM";#N/A,#N/A,FALSE,"KA HM  (3)";#N/A,#N/A,FALSE,"KA HM (4)"}</definedName>
    <definedName name="bbvcx_3" localSheetId="6" hidden="1">{#N/A,#N/A,FALSE,"Umsatz HM";#N/A,#N/A,FALSE,"ER HM";#N/A,#N/A,FALSE,"EA HM  (2)";#N/A,#N/A,FALSE,"EA HM ";#N/A,#N/A,FALSE,"EA HM  (4)";#N/A,#N/A,FALSE,"EA HM  (3)";#N/A,#N/A,FALSE,"KA HM  (2)";#N/A,#N/A,FALSE,"KA HM";#N/A,#N/A,FALSE,"KA HM  (3)";#N/A,#N/A,FALSE,"KA HM (4)"}</definedName>
    <definedName name="bbvcx_3" hidden="1">{#N/A,#N/A,FALSE,"Umsatz HM";#N/A,#N/A,FALSE,"ER HM";#N/A,#N/A,FALSE,"EA HM  (2)";#N/A,#N/A,FALSE,"EA HM ";#N/A,#N/A,FALSE,"EA HM  (4)";#N/A,#N/A,FALSE,"EA HM  (3)";#N/A,#N/A,FALSE,"KA HM  (2)";#N/A,#N/A,FALSE,"KA HM";#N/A,#N/A,FALSE,"KA HM  (3)";#N/A,#N/A,FALSE,"KA HM (4)"}</definedName>
    <definedName name="bbvcx_4" localSheetId="0" hidden="1">{#N/A,#N/A,FALSE,"Umsatz HM";#N/A,#N/A,FALSE,"ER HM";#N/A,#N/A,FALSE,"EA HM  (2)";#N/A,#N/A,FALSE,"EA HM ";#N/A,#N/A,FALSE,"EA HM  (4)";#N/A,#N/A,FALSE,"EA HM  (3)";#N/A,#N/A,FALSE,"KA HM  (2)";#N/A,#N/A,FALSE,"KA HM";#N/A,#N/A,FALSE,"KA HM  (3)";#N/A,#N/A,FALSE,"KA HM (4)"}</definedName>
    <definedName name="bbvcx_4" localSheetId="6" hidden="1">{#N/A,#N/A,FALSE,"Umsatz HM";#N/A,#N/A,FALSE,"ER HM";#N/A,#N/A,FALSE,"EA HM  (2)";#N/A,#N/A,FALSE,"EA HM ";#N/A,#N/A,FALSE,"EA HM  (4)";#N/A,#N/A,FALSE,"EA HM  (3)";#N/A,#N/A,FALSE,"KA HM  (2)";#N/A,#N/A,FALSE,"KA HM";#N/A,#N/A,FALSE,"KA HM  (3)";#N/A,#N/A,FALSE,"KA HM (4)"}</definedName>
    <definedName name="bbvcx_4" hidden="1">{#N/A,#N/A,FALSE,"Umsatz HM";#N/A,#N/A,FALSE,"ER HM";#N/A,#N/A,FALSE,"EA HM  (2)";#N/A,#N/A,FALSE,"EA HM ";#N/A,#N/A,FALSE,"EA HM  (4)";#N/A,#N/A,FALSE,"EA HM  (3)";#N/A,#N/A,FALSE,"KA HM  (2)";#N/A,#N/A,FALSE,"KA HM";#N/A,#N/A,FALSE,"KA HM  (3)";#N/A,#N/A,FALSE,"KA HM (4)"}</definedName>
    <definedName name="bbvcx_5" localSheetId="0" hidden="1">{#N/A,#N/A,FALSE,"Umsatz HM";#N/A,#N/A,FALSE,"ER HM";#N/A,#N/A,FALSE,"EA HM  (2)";#N/A,#N/A,FALSE,"EA HM ";#N/A,#N/A,FALSE,"EA HM  (4)";#N/A,#N/A,FALSE,"EA HM  (3)";#N/A,#N/A,FALSE,"KA HM  (2)";#N/A,#N/A,FALSE,"KA HM";#N/A,#N/A,FALSE,"KA HM  (3)";#N/A,#N/A,FALSE,"KA HM (4)"}</definedName>
    <definedName name="bbvcx_5" localSheetId="6" hidden="1">{#N/A,#N/A,FALSE,"Umsatz HM";#N/A,#N/A,FALSE,"ER HM";#N/A,#N/A,FALSE,"EA HM  (2)";#N/A,#N/A,FALSE,"EA HM ";#N/A,#N/A,FALSE,"EA HM  (4)";#N/A,#N/A,FALSE,"EA HM  (3)";#N/A,#N/A,FALSE,"KA HM  (2)";#N/A,#N/A,FALSE,"KA HM";#N/A,#N/A,FALSE,"KA HM  (3)";#N/A,#N/A,FALSE,"KA HM (4)"}</definedName>
    <definedName name="bbvcx_5" hidden="1">{#N/A,#N/A,FALSE,"Umsatz HM";#N/A,#N/A,FALSE,"ER HM";#N/A,#N/A,FALSE,"EA HM  (2)";#N/A,#N/A,FALSE,"EA HM ";#N/A,#N/A,FALSE,"EA HM  (4)";#N/A,#N/A,FALSE,"EA HM  (3)";#N/A,#N/A,FALSE,"KA HM  (2)";#N/A,#N/A,FALSE,"KA HM";#N/A,#N/A,FALSE,"KA HM  (3)";#N/A,#N/A,FALSE,"KA HM (4)"}</definedName>
    <definedName name="BC" localSheetId="6" hidden="1">{"VIEW1",#N/A,FALSE,"P&amp;L Account 2001-2002";"VIEW2",#N/A,FALSE,"P&amp;L Account 2001-2002";"VIEW3",#N/A,FALSE,"P&amp;L Account 2001-2002";"VIEW4",#N/A,FALSE,"P&amp;L Account 2001-2002"}</definedName>
    <definedName name="BC" hidden="1">{"VIEW1",#N/A,FALSE,"P&amp;L Account 2001-2002";"VIEW2",#N/A,FALSE,"P&amp;L Account 2001-2002";"VIEW3",#N/A,FALSE,"P&amp;L Account 2001-2002";"VIEW4",#N/A,FALSE,"P&amp;L Account 2001-2002"}</definedName>
    <definedName name="BCBCNB" localSheetId="6" hidden="1">{#N/A,#N/A,TRUE,"FA 1 &amp; 2";#N/A,#N/A,TRUE,"FA 3 &amp; 4";#N/A,#N/A,TRUE,"FA 5 &amp; 6";#N/A,#N/A,TRUE,"FA 7 &amp; 8";#N/A,#N/A,TRUE,"FA 9 &amp; 10";#N/A,#N/A,TRUE,"FA 11";#N/A,#N/A,TRUE,"FA 12";#N/A,#N/A,TRUE,"FA 13";#N/A,#N/A,TRUE,"FA 14 &amp; 15"}</definedName>
    <definedName name="BCBCNB" hidden="1">{#N/A,#N/A,TRUE,"FA 1 &amp; 2";#N/A,#N/A,TRUE,"FA 3 &amp; 4";#N/A,#N/A,TRUE,"FA 5 &amp; 6";#N/A,#N/A,TRUE,"FA 7 &amp; 8";#N/A,#N/A,TRUE,"FA 9 &amp; 10";#N/A,#N/A,TRUE,"FA 11";#N/A,#N/A,TRUE,"FA 12";#N/A,#N/A,TRUE,"FA 13";#N/A,#N/A,TRUE,"FA 14 &amp; 15"}</definedName>
    <definedName name="BCHART" hidden="1">#REF!</definedName>
    <definedName name="BCOPY">#REF!</definedName>
    <definedName name="BD" localSheetId="6" hidden="1">{"VIEW1",#N/A,FALSE,"P&amp;L Account 2001-2002";"VIEW2",#N/A,FALSE,"P&amp;L Account 2001-2002";"VIEW3",#N/A,FALSE,"P&amp;L Account 2001-2002";"VIEW4",#N/A,FALSE,"P&amp;L Account 2001-2002"}</definedName>
    <definedName name="BD" hidden="1">{"VIEW1",#N/A,FALSE,"P&amp;L Account 2001-2002";"VIEW2",#N/A,FALSE,"P&amp;L Account 2001-2002";"VIEW3",#N/A,FALSE,"P&amp;L Account 2001-2002";"VIEW4",#N/A,FALSE,"P&amp;L Account 2001-2002"}</definedName>
    <definedName name="BDC" localSheetId="6" hidden="1">{"VIEW1",#N/A,FALSE,"P&amp;L Account 2001-2002";"VIEW2",#N/A,FALSE,"P&amp;L Account 2001-2002";"VIEW3",#N/A,FALSE,"P&amp;L Account 2001-2002";"VIEW4",#N/A,FALSE,"P&amp;L Account 2001-2002"}</definedName>
    <definedName name="BDC" hidden="1">{"VIEW1",#N/A,FALSE,"P&amp;L Account 2001-2002";"VIEW2",#N/A,FALSE,"P&amp;L Account 2001-2002";"VIEW3",#N/A,FALSE,"P&amp;L Account 2001-2002";"VIEW4",#N/A,FALSE,"P&amp;L Account 2001-2002"}</definedName>
    <definedName name="bddsbsd" localSheetId="0" hidden="1">{#N/A,#N/A,FALSE,"Assessment";#N/A,#N/A,FALSE,"Staffing";#N/A,#N/A,FALSE,"Hires";#N/A,#N/A,FALSE,"Assumptions"}</definedName>
    <definedName name="bddsbsd" localSheetId="6" hidden="1">{#N/A,#N/A,FALSE,"Assessment";#N/A,#N/A,FALSE,"Staffing";#N/A,#N/A,FALSE,"Hires";#N/A,#N/A,FALSE,"Assumptions"}</definedName>
    <definedName name="bddsbsd" hidden="1">{#N/A,#N/A,FALSE,"Assessment";#N/A,#N/A,FALSE,"Staffing";#N/A,#N/A,FALSE,"Hires";#N/A,#N/A,FALSE,"Assumptions"}</definedName>
    <definedName name="bddsbsd_1" localSheetId="0" hidden="1">{#N/A,#N/A,FALSE,"Assessment";#N/A,#N/A,FALSE,"Staffing";#N/A,#N/A,FALSE,"Hires";#N/A,#N/A,FALSE,"Assumptions"}</definedName>
    <definedName name="bddsbsd_1" localSheetId="6" hidden="1">{#N/A,#N/A,FALSE,"Assessment";#N/A,#N/A,FALSE,"Staffing";#N/A,#N/A,FALSE,"Hires";#N/A,#N/A,FALSE,"Assumptions"}</definedName>
    <definedName name="bddsbsd_1" hidden="1">{#N/A,#N/A,FALSE,"Assessment";#N/A,#N/A,FALSE,"Staffing";#N/A,#N/A,FALSE,"Hires";#N/A,#N/A,FALSE,"Assumptions"}</definedName>
    <definedName name="bdsbds" localSheetId="0" hidden="1">{#N/A,#N/A,FALSE,"Assessment";#N/A,#N/A,FALSE,"Staffing";#N/A,#N/A,FALSE,"Hires";#N/A,#N/A,FALSE,"Assumptions"}</definedName>
    <definedName name="bdsbds" localSheetId="6" hidden="1">{#N/A,#N/A,FALSE,"Assessment";#N/A,#N/A,FALSE,"Staffing";#N/A,#N/A,FALSE,"Hires";#N/A,#N/A,FALSE,"Assumptions"}</definedName>
    <definedName name="bdsbds" hidden="1">{#N/A,#N/A,FALSE,"Assessment";#N/A,#N/A,FALSE,"Staffing";#N/A,#N/A,FALSE,"Hires";#N/A,#N/A,FALSE,"Assumptions"}</definedName>
    <definedName name="bdsbds_1" localSheetId="0" hidden="1">{#N/A,#N/A,FALSE,"Assessment";#N/A,#N/A,FALSE,"Staffing";#N/A,#N/A,FALSE,"Hires";#N/A,#N/A,FALSE,"Assumptions"}</definedName>
    <definedName name="bdsbds_1" localSheetId="6" hidden="1">{#N/A,#N/A,FALSE,"Assessment";#N/A,#N/A,FALSE,"Staffing";#N/A,#N/A,FALSE,"Hires";#N/A,#N/A,FALSE,"Assumptions"}</definedName>
    <definedName name="bdsbds_1" hidden="1">{#N/A,#N/A,FALSE,"Assessment";#N/A,#N/A,FALSE,"Staffing";#N/A,#N/A,FALSE,"Hires";#N/A,#N/A,FALSE,"Assumptions"}</definedName>
    <definedName name="bdsbn" localSheetId="0" hidden="1">{#N/A,#N/A,FALSE,"Assessment";#N/A,#N/A,FALSE,"Staffing";#N/A,#N/A,FALSE,"Hires";#N/A,#N/A,FALSE,"Assumptions"}</definedName>
    <definedName name="bdsbn" localSheetId="6" hidden="1">{#N/A,#N/A,FALSE,"Assessment";#N/A,#N/A,FALSE,"Staffing";#N/A,#N/A,FALSE,"Hires";#N/A,#N/A,FALSE,"Assumptions"}</definedName>
    <definedName name="bdsbn" hidden="1">{#N/A,#N/A,FALSE,"Assessment";#N/A,#N/A,FALSE,"Staffing";#N/A,#N/A,FALSE,"Hires";#N/A,#N/A,FALSE,"Assumptions"}</definedName>
    <definedName name="bdsbn_1" localSheetId="0" hidden="1">{#N/A,#N/A,FALSE,"Assessment";#N/A,#N/A,FALSE,"Staffing";#N/A,#N/A,FALSE,"Hires";#N/A,#N/A,FALSE,"Assumptions"}</definedName>
    <definedName name="bdsbn_1" localSheetId="6" hidden="1">{#N/A,#N/A,FALSE,"Assessment";#N/A,#N/A,FALSE,"Staffing";#N/A,#N/A,FALSE,"Hires";#N/A,#N/A,FALSE,"Assumptions"}</definedName>
    <definedName name="bdsbn_1" hidden="1">{#N/A,#N/A,FALSE,"Assessment";#N/A,#N/A,FALSE,"Staffing";#N/A,#N/A,FALSE,"Hires";#N/A,#N/A,FALSE,"Assumptions"}</definedName>
    <definedName name="bdsbnsd" localSheetId="0" hidden="1">{#N/A,#N/A,FALSE,"Assessment";#N/A,#N/A,FALSE,"Staffing";#N/A,#N/A,FALSE,"Hires";#N/A,#N/A,FALSE,"Assumptions"}</definedName>
    <definedName name="bdsbnsd" localSheetId="6" hidden="1">{#N/A,#N/A,FALSE,"Assessment";#N/A,#N/A,FALSE,"Staffing";#N/A,#N/A,FALSE,"Hires";#N/A,#N/A,FALSE,"Assumptions"}</definedName>
    <definedName name="bdsbnsd" hidden="1">{#N/A,#N/A,FALSE,"Assessment";#N/A,#N/A,FALSE,"Staffing";#N/A,#N/A,FALSE,"Hires";#N/A,#N/A,FALSE,"Assumptions"}</definedName>
    <definedName name="bdsbnsd_1" localSheetId="0" hidden="1">{#N/A,#N/A,FALSE,"Assessment";#N/A,#N/A,FALSE,"Staffing";#N/A,#N/A,FALSE,"Hires";#N/A,#N/A,FALSE,"Assumptions"}</definedName>
    <definedName name="bdsbnsd_1" localSheetId="6" hidden="1">{#N/A,#N/A,FALSE,"Assessment";#N/A,#N/A,FALSE,"Staffing";#N/A,#N/A,FALSE,"Hires";#N/A,#N/A,FALSE,"Assumptions"}</definedName>
    <definedName name="bdsbnsd_1" hidden="1">{#N/A,#N/A,FALSE,"Assessment";#N/A,#N/A,FALSE,"Staffing";#N/A,#N/A,FALSE,"Hires";#N/A,#N/A,FALSE,"Assumptions"}</definedName>
    <definedName name="bdsbsd" localSheetId="0" hidden="1">{#N/A,#N/A,FALSE,"Assessment";#N/A,#N/A,FALSE,"Staffing";#N/A,#N/A,FALSE,"Hires";#N/A,#N/A,FALSE,"Assumptions"}</definedName>
    <definedName name="bdsbsd" localSheetId="6" hidden="1">{#N/A,#N/A,FALSE,"Assessment";#N/A,#N/A,FALSE,"Staffing";#N/A,#N/A,FALSE,"Hires";#N/A,#N/A,FALSE,"Assumptions"}</definedName>
    <definedName name="bdsbsd" hidden="1">{#N/A,#N/A,FALSE,"Assessment";#N/A,#N/A,FALSE,"Staffing";#N/A,#N/A,FALSE,"Hires";#N/A,#N/A,FALSE,"Assumptions"}</definedName>
    <definedName name="bdsbsd_1" localSheetId="0" hidden="1">{#N/A,#N/A,FALSE,"Assessment";#N/A,#N/A,FALSE,"Staffing";#N/A,#N/A,FALSE,"Hires";#N/A,#N/A,FALSE,"Assumptions"}</definedName>
    <definedName name="bdsbsd_1" localSheetId="6" hidden="1">{#N/A,#N/A,FALSE,"Assessment";#N/A,#N/A,FALSE,"Staffing";#N/A,#N/A,FALSE,"Hires";#N/A,#N/A,FALSE,"Assumptions"}</definedName>
    <definedName name="bdsbsd_1" hidden="1">{#N/A,#N/A,FALSE,"Assessment";#N/A,#N/A,FALSE,"Staffing";#N/A,#N/A,FALSE,"Hires";#N/A,#N/A,FALSE,"Assumptions"}</definedName>
    <definedName name="bdsdbdsb" localSheetId="0" hidden="1">{#N/A,#N/A,FALSE,"Assessment";#N/A,#N/A,FALSE,"Staffing";#N/A,#N/A,FALSE,"Hires";#N/A,#N/A,FALSE,"Assumptions"}</definedName>
    <definedName name="bdsdbdsb" localSheetId="6" hidden="1">{#N/A,#N/A,FALSE,"Assessment";#N/A,#N/A,FALSE,"Staffing";#N/A,#N/A,FALSE,"Hires";#N/A,#N/A,FALSE,"Assumptions"}</definedName>
    <definedName name="bdsdbdsb" hidden="1">{#N/A,#N/A,FALSE,"Assessment";#N/A,#N/A,FALSE,"Staffing";#N/A,#N/A,FALSE,"Hires";#N/A,#N/A,FALSE,"Assumptions"}</definedName>
    <definedName name="bdsdbdsb_1" localSheetId="0" hidden="1">{#N/A,#N/A,FALSE,"Assessment";#N/A,#N/A,FALSE,"Staffing";#N/A,#N/A,FALSE,"Hires";#N/A,#N/A,FALSE,"Assumptions"}</definedName>
    <definedName name="bdsdbdsb_1" localSheetId="6" hidden="1">{#N/A,#N/A,FALSE,"Assessment";#N/A,#N/A,FALSE,"Staffing";#N/A,#N/A,FALSE,"Hires";#N/A,#N/A,FALSE,"Assumptions"}</definedName>
    <definedName name="bdsdbdsb_1" hidden="1">{#N/A,#N/A,FALSE,"Assessment";#N/A,#N/A,FALSE,"Staffing";#N/A,#N/A,FALSE,"Hires";#N/A,#N/A,FALSE,"Assumptions"}</definedName>
    <definedName name="BE" localSheetId="0">#REF!</definedName>
    <definedName name="BE">#REF!</definedName>
    <definedName name="Bear" localSheetId="0" hidden="1">{#N/A,#N/A,FALSE,"TS";#N/A,#N/A,FALSE,"Combo";#N/A,#N/A,FALSE,"FAIR";#N/A,#N/A,FALSE,"RBC";#N/A,#N/A,FALSE,"xxxx";#N/A,#N/A,FALSE,"A_D";#N/A,#N/A,FALSE,"WACC";#N/A,#N/A,FALSE,"DCF";#N/A,#N/A,FALSE,"LBO";#N/A,#N/A,FALSE,"AcqMults";#N/A,#N/A,FALSE,"CompMults"}</definedName>
    <definedName name="Bear" localSheetId="6"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arr" localSheetId="0" hidden="1">{#N/A,#N/A,FALSE,"TS";#N/A,#N/A,FALSE,"Combo";#N/A,#N/A,FALSE,"FAIR";#N/A,#N/A,FALSE,"RBC";#N/A,#N/A,FALSE,"xxxx";#N/A,#N/A,FALSE,"A_D";#N/A,#N/A,FALSE,"WACC";#N/A,#N/A,FALSE,"DCF";#N/A,#N/A,FALSE,"LBO";#N/A,#N/A,FALSE,"AcqMults";#N/A,#N/A,FALSE,"CompMults"}</definedName>
    <definedName name="bearr" localSheetId="6" hidden="1">{#N/A,#N/A,FALSE,"TS";#N/A,#N/A,FALSE,"Combo";#N/A,#N/A,FALSE,"FAIR";#N/A,#N/A,FALSE,"RBC";#N/A,#N/A,FALSE,"xxxx";#N/A,#N/A,FALSE,"A_D";#N/A,#N/A,FALSE,"WACC";#N/A,#N/A,FALSE,"DCF";#N/A,#N/A,FALSE,"LBO";#N/A,#N/A,FALSE,"AcqMults";#N/A,#N/A,FALSE,"CompMults"}</definedName>
    <definedName name="bearr" hidden="1">{#N/A,#N/A,FALSE,"TS";#N/A,#N/A,FALSE,"Combo";#N/A,#N/A,FALSE,"FAIR";#N/A,#N/A,FALSE,"RBC";#N/A,#N/A,FALSE,"xxxx";#N/A,#N/A,FALSE,"A_D";#N/A,#N/A,FALSE,"WACC";#N/A,#N/A,FALSE,"DCF";#N/A,#N/A,FALSE,"LBO";#N/A,#N/A,FALSE,"AcqMults";#N/A,#N/A,FALSE,"CompMults"}</definedName>
    <definedName name="bedfbf" localSheetId="6" hidden="1">{#N/A,#N/A,FALSE,"BE";#N/A,#N/A,FALSE,"Bia";#N/A,#N/A,FALSE,"By";#N/A,#N/A,FALSE,"Bor";#N/A,#N/A,FALSE,"Gab";#N/A,#N/A,FALSE,"Gar";#N/A,#N/A,FALSE,"Lov";#N/A,#N/A,FALSE,"SJ";#N/A,#N/A,FALSE,"SM";#N/A,#N/A,FALSE,"Wb";#N/A,#N/A,FALSE,"Yok"}</definedName>
    <definedName name="bedfbf" hidden="1">{#N/A,#N/A,FALSE,"BE";#N/A,#N/A,FALSE,"Bia";#N/A,#N/A,FALSE,"By";#N/A,#N/A,FALSE,"Bor";#N/A,#N/A,FALSE,"Gab";#N/A,#N/A,FALSE,"Gar";#N/A,#N/A,FALSE,"Lov";#N/A,#N/A,FALSE,"SJ";#N/A,#N/A,FALSE,"SM";#N/A,#N/A,FALSE,"Wb";#N/A,#N/A,FALSE,"Yok"}</definedName>
    <definedName name="BEFeXToEUR" localSheetId="4" hidden="1">1/EUReXToBEF</definedName>
    <definedName name="BEFeXToEUR" localSheetId="0" hidden="1">1/EUReXToBEF</definedName>
    <definedName name="BEFeXToEUR" localSheetId="2" hidden="1">1/EUReXToBEF</definedName>
    <definedName name="BEFeXToEUR" localSheetId="6" hidden="1">1/EUReXToBEF</definedName>
    <definedName name="BEFeXToEUR" hidden="1">1/EUReXToBEF</definedName>
    <definedName name="Beg_Bal">#REF!</definedName>
    <definedName name="Beginning_Balance_Debotrs" localSheetId="4">Assumptions</definedName>
    <definedName name="Beginning_Balance_Debotrs" localSheetId="0">Assumptions</definedName>
    <definedName name="Beginning_Balance_Debotrs" localSheetId="2">Assumptions</definedName>
    <definedName name="Beginning_Balance_Debotrs" localSheetId="6">Assumptions</definedName>
    <definedName name="Beginning_Balance_Debotrs">Assumptions</definedName>
    <definedName name="beginning_nol">#REF!</definedName>
    <definedName name="belnew" localSheetId="0" hidden="1">{"IS",#N/A,FALSE,"IS";"RPTIS",#N/A,FALSE,"RPTIS";"STATS",#N/A,FALSE,"STATS";"CELL",#N/A,FALSE,"CELL";"BS",#N/A,FALSE,"BS"}</definedName>
    <definedName name="belnew" localSheetId="6" hidden="1">{"IS",#N/A,FALSE,"IS";"RPTIS",#N/A,FALSE,"RPTIS";"STATS",#N/A,FALSE,"STATS";"CELL",#N/A,FALSE,"CELL";"BS",#N/A,FALSE,"BS"}</definedName>
    <definedName name="belnew" hidden="1">{"IS",#N/A,FALSE,"IS";"RPTIS",#N/A,FALSE,"RPTIS";"STATS",#N/A,FALSE,"STATS";"CELL",#N/A,FALSE,"CELL";"BS",#N/A,FALSE,"BS"}</definedName>
    <definedName name="Below400M">#REF!</definedName>
    <definedName name="Benchmark1">#REF!</definedName>
    <definedName name="Benchmark2">#REF!</definedName>
    <definedName name="bestia" localSheetId="0" hidden="1">{"Bilancio non rettificato",#N/A,FALSE,"A";"Bilancio Rettifiche",#N/A,FALSE,"B";"Bilancio Rettifiche",#N/A,FALSE,"C";"movimenti",#N/A,FALSE,"D";"amm",#N/A,FALSE,"D";"cpl",#N/A,FALSE,"D";"cola",#N/A,FALSE,"D";"imposte",#N/A,FALSE,"D"}</definedName>
    <definedName name="bestia" localSheetId="6" hidden="1">{"Bilancio non rettificato",#N/A,FALSE,"A";"Bilancio Rettifiche",#N/A,FALSE,"B";"Bilancio Rettifiche",#N/A,FALSE,"C";"movimenti",#N/A,FALSE,"D";"amm",#N/A,FALSE,"D";"cpl",#N/A,FALSE,"D";"cola",#N/A,FALSE,"D";"imposte",#N/A,FALSE,"D"}</definedName>
    <definedName name="bestia" hidden="1">{"Bilancio non rettificato",#N/A,FALSE,"A";"Bilancio Rettifiche",#N/A,FALSE,"B";"Bilancio Rettifiche",#N/A,FALSE,"C";"movimenti",#N/A,FALSE,"D";"amm",#N/A,FALSE,"D";"cpl",#N/A,FALSE,"D";"cola",#N/A,FALSE,"D";"imposte",#N/A,FALSE,"D"}</definedName>
    <definedName name="Beta">#REF!</definedName>
    <definedName name="bete" localSheetId="6" hidden="1">{#N/A,#N/A,FALSE,"BE";#N/A,#N/A,FALSE,"Bia";#N/A,#N/A,FALSE,"By";#N/A,#N/A,FALSE,"Bor";#N/A,#N/A,FALSE,"Gab";#N/A,#N/A,FALSE,"Gar";#N/A,#N/A,FALSE,"Lov";#N/A,#N/A,FALSE,"SJ";#N/A,#N/A,FALSE,"SM";#N/A,#N/A,FALSE,"Wb";#N/A,#N/A,FALSE,"Yok"}</definedName>
    <definedName name="bete" hidden="1">{#N/A,#N/A,FALSE,"BE";#N/A,#N/A,FALSE,"Bia";#N/A,#N/A,FALSE,"By";#N/A,#N/A,FALSE,"Bor";#N/A,#N/A,FALSE,"Gab";#N/A,#N/A,FALSE,"Gar";#N/A,#N/A,FALSE,"Lov";#N/A,#N/A,FALSE,"SJ";#N/A,#N/A,FALSE,"SM";#N/A,#N/A,FALSE,"Wb";#N/A,#N/A,FALSE,"Yok"}</definedName>
    <definedName name="BEV_CGM">#REF!</definedName>
    <definedName name="BEV_EBIT">#REF!</definedName>
    <definedName name="BEV_EBITDA">#REF!</definedName>
    <definedName name="BEx3O85IKWARA6NCJOLRBRJFMEWW" hidden="1">#REF!</definedName>
    <definedName name="BEx5MLQZM68YQSKARVWTTPINFQ2C" hidden="1">#REF!</definedName>
    <definedName name="BExERWCEBKQRYWRQLYJ4UCMMKTHG" hidden="1">#REF!</definedName>
    <definedName name="BExMBYPQDG9AYDQ5E8IECVFREPO6" hidden="1">#REF!</definedName>
    <definedName name="BExQ9ZLYHWABXAA9NJDW8ZS0UQ9P" hidden="1">#REF!</definedName>
    <definedName name="BExTUY9WNSJ91GV8CP0SKJTEIV82" hidden="1">#REF!</definedName>
    <definedName name="bfyt" localSheetId="0" hidden="1">{"vue1",#N/A,FALSE,"synthese";"vue2",#N/A,FALSE,"synthese"}</definedName>
    <definedName name="bfyt" localSheetId="6" hidden="1">{"vue1",#N/A,FALSE,"synthese";"vue2",#N/A,FALSE,"synthese"}</definedName>
    <definedName name="bfyt" hidden="1">{"vue1",#N/A,FALSE,"synthese";"vue2",#N/A,FALSE,"synthese"}</definedName>
    <definedName name="BG_Del" hidden="1">15</definedName>
    <definedName name="BG_Ins" hidden="1">4</definedName>
    <definedName name="BG_Mod" hidden="1">6</definedName>
    <definedName name="BGHHJ" localSheetId="0" hidden="1">{#N/A,#N/A,FALSE,"Calc";#N/A,#N/A,FALSE,"Sensitivity";#N/A,#N/A,FALSE,"LT Earn.Dil.";#N/A,#N/A,FALSE,"Dil. AVP"}</definedName>
    <definedName name="BGHHJ" localSheetId="6" hidden="1">{#N/A,#N/A,FALSE,"Calc";#N/A,#N/A,FALSE,"Sensitivity";#N/A,#N/A,FALSE,"LT Earn.Dil.";#N/A,#N/A,FALSE,"Dil. AVP"}</definedName>
    <definedName name="BGHHJ" hidden="1">{#N/A,#N/A,FALSE,"Calc";#N/A,#N/A,FALSE,"Sensitivity";#N/A,#N/A,FALSE,"LT Earn.Dil.";#N/A,#N/A,FALSE,"Dil. AVP"}</definedName>
    <definedName name="BGK">#REF!</definedName>
    <definedName name="bgr" localSheetId="0" hidden="1">{#N/A,#N/A,FALSE,"PROFIT 11-95"}</definedName>
    <definedName name="bgr" localSheetId="6" hidden="1">{#N/A,#N/A,FALSE,"PROFIT 11-95"}</definedName>
    <definedName name="bgr" hidden="1">{#N/A,#N/A,FALSE,"PROFIT 11-95"}</definedName>
    <definedName name="bhu" localSheetId="0" hidden="1">{#N/A,#N/A,FALSE,"PROFIT 11-95"}</definedName>
    <definedName name="bhu" localSheetId="6" hidden="1">{#N/A,#N/A,FALSE,"PROFIT 11-95"}</definedName>
    <definedName name="bhu" hidden="1">{#N/A,#N/A,FALSE,"PROFIT 11-95"}</definedName>
    <definedName name="BidOffer">#REF!</definedName>
    <definedName name="BigChannel" hidden="1">#REF!</definedName>
    <definedName name="BigMac" localSheetId="0" hidden="1">{"CECons",#N/A,FALSE,"CE"}</definedName>
    <definedName name="BigMac" localSheetId="6" hidden="1">{"CECons",#N/A,FALSE,"CE"}</definedName>
    <definedName name="BigMac" hidden="1">{"CECons",#N/A,FALSE,"CE"}</definedName>
    <definedName name="bil" localSheetId="0" hidden="1">{#N/A,#N/A,FALSE,"Tabl. D1";#N/A,#N/A,FALSE,"Tabl. D1 b";#N/A,#N/A,FALSE,"Tabl. D2";#N/A,#N/A,FALSE,"Tabl. D2 b";#N/A,#N/A,FALSE,"Tabl. D3";#N/A,#N/A,FALSE,"Tabl. D4";#N/A,#N/A,FALSE,"Tabl. D5"}</definedName>
    <definedName name="bil" localSheetId="6" hidden="1">{#N/A,#N/A,FALSE,"Tabl. D1";#N/A,#N/A,FALSE,"Tabl. D1 b";#N/A,#N/A,FALSE,"Tabl. D2";#N/A,#N/A,FALSE,"Tabl. D2 b";#N/A,#N/A,FALSE,"Tabl. D3";#N/A,#N/A,FALSE,"Tabl. D4";#N/A,#N/A,FALSE,"Tabl. D5"}</definedName>
    <definedName name="bil" hidden="1">{#N/A,#N/A,FALSE,"Tabl. D1";#N/A,#N/A,FALSE,"Tabl. D1 b";#N/A,#N/A,FALSE,"Tabl. D2";#N/A,#N/A,FALSE,"Tabl. D2 b";#N/A,#N/A,FALSE,"Tabl. D3";#N/A,#N/A,FALSE,"Tabl. D4";#N/A,#N/A,FALSE,"Tabl. D5"}</definedName>
    <definedName name="Bill" localSheetId="0">#REF!</definedName>
    <definedName name="BILL" localSheetId="6"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BILL" hidden="1">{#N/A,#N/A,FALSE,"Quarterly P&amp;L Overview";#N/A,#N/A,FALSE,"Industry or Geography P&amp;L Split";#N/A,#N/A,FALSE,"P&amp;L Quarter Trends";#N/A,#N/A,FALSE,"Risk Analysis (Exposure Report)";#N/A,#N/A,FALSE,"SVS Generated Report";#N/A,#N/A,FALSE,"P&amp;L Outlook Expense Detail";#N/A,#N/A,FALSE,"Common Size P&amp;L";#N/A,#N/A,FALSE,"Ratios";#N/A,#N/A,FALSE,"Compensation Pool Results";#N/A,#N/A,FALSE,"Balance Sheet";#N/A,#N/A,FALSE,"Common Size Balance Sheet";#N/A,#N/A,FALSE,"Contract Review";#N/A,#N/A,FALSE,"BALANCED SCORECARD"}</definedName>
    <definedName name="bis" localSheetId="0" hidden="1">{"Graphic",#N/A,TRUE,"Graphic"}</definedName>
    <definedName name="bis" localSheetId="6" hidden="1">{"Graphic",#N/A,TRUE,"Graphic"}</definedName>
    <definedName name="bis" hidden="1">{"Graphic",#N/A,TRUE,"Graphic"}</definedName>
    <definedName name="bis_1" localSheetId="0" hidden="1">{"Graphic",#N/A,TRUE,"Graphic"}</definedName>
    <definedName name="bis_1" localSheetId="6" hidden="1">{"Graphic",#N/A,TRUE,"Graphic"}</definedName>
    <definedName name="bis_1" hidden="1">{"Graphic",#N/A,TRUE,"Graphic"}</definedName>
    <definedName name="bj" localSheetId="0" hidden="1">{"'INDICE'!$A$1:$K$13","'1'!$A$1:$CC$78","'2'!$A$1:$P$78","'3'!$A$1:$CI$78","'4'!$A$1:$Q$78"}</definedName>
    <definedName name="bj" localSheetId="6" hidden="1">{"'INDICE'!$A$1:$K$13","'1'!$A$1:$CC$78","'2'!$A$1:$P$78","'3'!$A$1:$CI$78","'4'!$A$1:$Q$78"}</definedName>
    <definedName name="bj" hidden="1">{"'INDICE'!$A$1:$K$13","'1'!$A$1:$CC$78","'2'!$A$1:$P$78","'3'!$A$1:$CI$78","'4'!$A$1:$Q$78"}</definedName>
    <definedName name="bj_1" localSheetId="0" hidden="1">{"'INDICE'!$A$1:$K$13","'1'!$A$1:$CC$78","'2'!$A$1:$P$78","'3'!$A$1:$CI$78","'4'!$A$1:$Q$78"}</definedName>
    <definedName name="bj_1" localSheetId="6" hidden="1">{"'INDICE'!$A$1:$K$13","'1'!$A$1:$CC$78","'2'!$A$1:$P$78","'3'!$A$1:$CI$78","'4'!$A$1:$Q$78"}</definedName>
    <definedName name="bj_1" hidden="1">{"'INDICE'!$A$1:$K$13","'1'!$A$1:$CC$78","'2'!$A$1:$P$78","'3'!$A$1:$CI$78","'4'!$A$1:$Q$78"}</definedName>
    <definedName name="BL" localSheetId="6" hidden="1">{"VIEW1",#N/A,FALSE,"P&amp;L Account 2001-2002";"VIEW2",#N/A,FALSE,"P&amp;L Account 2001-2002";"VIEW3",#N/A,FALSE,"P&amp;L Account 2001-2002";"VIEW4",#N/A,FALSE,"P&amp;L Account 2001-2002"}</definedName>
    <definedName name="BL" hidden="1">{"VIEW1",#N/A,FALSE,"P&amp;L Account 2001-2002";"VIEW2",#N/A,FALSE,"P&amp;L Account 2001-2002";"VIEW3",#N/A,FALSE,"P&amp;L Account 2001-2002";"VIEW4",#N/A,FALSE,"P&amp;L Account 2001-2002"}</definedName>
    <definedName name="blabla" localSheetId="0" hidden="1">{#N/A,#N/A,FALSE,"Tabl. H1";#N/A,#N/A,FALSE,"Tabl. H2"}</definedName>
    <definedName name="blabla" localSheetId="6" hidden="1">{#N/A,#N/A,FALSE,"Tabl. H1";#N/A,#N/A,FALSE,"Tabl. H2"}</definedName>
    <definedName name="blabla" hidden="1">{#N/A,#N/A,FALSE,"Tabl. H1";#N/A,#N/A,FALSE,"Tabl. H2"}</definedName>
    <definedName name="blah" localSheetId="0" hidden="1">{"Area 1",#N/A,TRUE,"Area";"Bar 1",#N/A,TRUE,"Area";"Salomon Bar 1",#N/A,TRUE,"Area";"Stacked Bar 1",#N/A,TRUE,"Area";"Stacked Bar 100 1",#N/A,TRUE,"Area";"Stacked Col 1",#N/A,TRUE,"Area";"Stacked Col 100 1",#N/A,TRUE,"Area";"HiLow 1",#N/A,TRUE,"Area";"Line 1",#N/A,TRUE,"Area";"Scatter 1",#N/A,TRUE,"Area";"ColLine 1",#N/A,TRUE,"Area";"Scatterline 1",#N/A,TRUE,"Area";"Football 1",#N/A,TRUE,"Area";"DAPS 1",#N/A,TRUE,"Area";"Rover 1",#N/A,TRUE,"Area";"Exchange 1",#N/A,TRUE,"Area";"Histogram 1",#N/A,TRUE,"Area";"Price Vol 1",#N/A,TRUE,"Area";"Interactive 1",#N/A,TRUE,"Area";"Column 1",#N/A,TRUE,"Area";"League 1",#N/A,TRUE,"Area";"Pie 1",#N/A,TRUE,"Area"}</definedName>
    <definedName name="blah" localSheetId="6" hidden="1">{"Area 1",#N/A,TRUE,"Area";"Bar 1",#N/A,TRUE,"Area";"Salomon Bar 1",#N/A,TRUE,"Area";"Stacked Bar 1",#N/A,TRUE,"Area";"Stacked Bar 100 1",#N/A,TRUE,"Area";"Stacked Col 1",#N/A,TRUE,"Area";"Stacked Col 100 1",#N/A,TRUE,"Area";"HiLow 1",#N/A,TRUE,"Area";"Line 1",#N/A,TRUE,"Area";"Scatter 1",#N/A,TRUE,"Area";"ColLine 1",#N/A,TRUE,"Area";"Scatterline 1",#N/A,TRUE,"Area";"Football 1",#N/A,TRUE,"Area";"DAPS 1",#N/A,TRUE,"Area";"Rover 1",#N/A,TRUE,"Area";"Exchange 1",#N/A,TRUE,"Area";"Histogram 1",#N/A,TRUE,"Area";"Price Vol 1",#N/A,TRUE,"Area";"Interactive 1",#N/A,TRUE,"Area";"Column 1",#N/A,TRUE,"Area";"League 1",#N/A,TRUE,"Area";"Pie 1",#N/A,TRUE,"Area"}</definedName>
    <definedName name="blah" hidden="1">{"Area 1",#N/A,TRUE,"Area";"Bar 1",#N/A,TRUE,"Area";"Salomon Bar 1",#N/A,TRUE,"Area";"Stacked Bar 1",#N/A,TRUE,"Area";"Stacked Bar 100 1",#N/A,TRUE,"Area";"Stacked Col 1",#N/A,TRUE,"Area";"Stacked Col 100 1",#N/A,TRUE,"Area";"HiLow 1",#N/A,TRUE,"Area";"Line 1",#N/A,TRUE,"Area";"Scatter 1",#N/A,TRUE,"Area";"ColLine 1",#N/A,TRUE,"Area";"Scatterline 1",#N/A,TRUE,"Area";"Football 1",#N/A,TRUE,"Area";"DAPS 1",#N/A,TRUE,"Area";"Rover 1",#N/A,TRUE,"Area";"Exchange 1",#N/A,TRUE,"Area";"Histogram 1",#N/A,TRUE,"Area";"Price Vol 1",#N/A,TRUE,"Area";"Interactive 1",#N/A,TRUE,"Area";"Column 1",#N/A,TRUE,"Area";"League 1",#N/A,TRUE,"Area";"Pie 1",#N/A,TRUE,"Area"}</definedName>
    <definedName name="blah2" localSheetId="0" hidden="1">{"multiple",#N/A,FALSE,"client (2)";"margins",#N/A,FALSE,"client (2)";"data",#N/A,FALSE,"client (2)";"multiple",#N/A,FALSE,"client";"margins",#N/A,FALSE,"client";"data",#N/A,FALSE,"client"}</definedName>
    <definedName name="blah2" localSheetId="6" hidden="1">{"multiple",#N/A,FALSE,"client (2)";"margins",#N/A,FALSE,"client (2)";"data",#N/A,FALSE,"client (2)";"multiple",#N/A,FALSE,"client";"margins",#N/A,FALSE,"client";"data",#N/A,FALSE,"client"}</definedName>
    <definedName name="blah2" hidden="1">{"multiple",#N/A,FALSE,"client (2)";"margins",#N/A,FALSE,"client (2)";"data",#N/A,FALSE,"client (2)";"multiple",#N/A,FALSE,"client";"margins",#N/A,FALSE,"client";"data",#N/A,FALSE,"client"}</definedName>
    <definedName name="blah3" localSheetId="0" hidden="1">{"multiple",#N/A,FALSE,"client";"margins",#N/A,FALSE,"client";"data",#N/A,FALSE,"client"}</definedName>
    <definedName name="blah3" localSheetId="6" hidden="1">{"multiple",#N/A,FALSE,"client";"margins",#N/A,FALSE,"client";"data",#N/A,FALSE,"client"}</definedName>
    <definedName name="blah3" hidden="1">{"multiple",#N/A,FALSE,"client";"margins",#N/A,FALSE,"client";"data",#N/A,FALSE,"client"}</definedName>
    <definedName name="BLPB10" hidden="1">#REF!</definedName>
    <definedName name="BLPB11" hidden="1">#REF!</definedName>
    <definedName name="BLPB6" hidden="1">#REF!</definedName>
    <definedName name="BLPB7" hidden="1">#REF!</definedName>
    <definedName name="BLPB8" hidden="1">#REF!</definedName>
    <definedName name="BLPB9" hidden="1">#REF!</definedName>
    <definedName name="BLPH1" hidden="1">#REF!</definedName>
    <definedName name="BLPH10" hidden="1">#REF!</definedName>
    <definedName name="BLPH100" hidden="1">#REF!</definedName>
    <definedName name="BLPH101" hidden="1">#REF!</definedName>
    <definedName name="BLPH102"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2" hidden="1">#REF!</definedName>
    <definedName name="BLPH13" hidden="1">#REF!</definedName>
    <definedName name="BLPH14" hidden="1">#REF!</definedName>
    <definedName name="BLPH15" hidden="1">#REF!</definedName>
    <definedName name="BLPH16" hidden="1">#REF!</definedName>
    <definedName name="BLPH161" hidden="1">#REF!</definedName>
    <definedName name="BLPH162" hidden="1">#REF!</definedName>
    <definedName name="BLPH163" hidden="1">#REF!</definedName>
    <definedName name="BLPH164" hidden="1">#REF!</definedName>
    <definedName name="BLPH165" hidden="1">#REF!</definedName>
    <definedName name="BLPH166" hidden="1">#REF!</definedName>
    <definedName name="BLPH167" hidden="1">#REF!</definedName>
    <definedName name="BLPH168" hidden="1">#REF!</definedName>
    <definedName name="BLPH169" hidden="1">#REF!</definedName>
    <definedName name="BLPH17" hidden="1">#REF!</definedName>
    <definedName name="BLPH170" hidden="1">#REF!</definedName>
    <definedName name="BLPH171" hidden="1">#REF!</definedName>
    <definedName name="BLPH172" hidden="1">#REF!</definedName>
    <definedName name="BLPH173" hidden="1">#REF!</definedName>
    <definedName name="BLPH174" hidden="1">#REF!</definedName>
    <definedName name="BLPH175" hidden="1">#REF!</definedName>
    <definedName name="BLPH176" hidden="1">#REF!</definedName>
    <definedName name="BLPH177" hidden="1">#REF!</definedName>
    <definedName name="BLPH18" hidden="1">#REF!</definedName>
    <definedName name="BLPH180" hidden="1">#REF!</definedName>
    <definedName name="BLPH181" hidden="1">#REF!</definedName>
    <definedName name="BLPH182" hidden="1">#REF!</definedName>
    <definedName name="BLPH183" hidden="1">#REF!</definedName>
    <definedName name="BLPH184" hidden="1">#REF!</definedName>
    <definedName name="BLPH185" hidden="1">#REF!</definedName>
    <definedName name="BLPH186" hidden="1">#REF!</definedName>
    <definedName name="BLPH187" hidden="1">#REF!</definedName>
    <definedName name="BLPH19" hidden="1">#REF!</definedName>
    <definedName name="BLPH2" hidden="1">#REF!</definedName>
    <definedName name="BLPH20" hidden="1">#REF!</definedName>
    <definedName name="BLPH200001" hidden="1">#REF!</definedName>
    <definedName name="BLPH206" hidden="1">#REF!</definedName>
    <definedName name="BLPH207" hidden="1">#REF!</definedName>
    <definedName name="BLPH208" hidden="1">#REF!</definedName>
    <definedName name="BLPH209" hidden="1">#REF!</definedName>
    <definedName name="BLPH21" hidden="1">#REF!</definedName>
    <definedName name="BLPH210" hidden="1">#REF!</definedName>
    <definedName name="BLPH211" hidden="1">#REF!</definedName>
    <definedName name="BLPH212" hidden="1">#REF!</definedName>
    <definedName name="BLPH213" hidden="1">#REF!</definedName>
    <definedName name="BLPH214" hidden="1">#REF!</definedName>
    <definedName name="BLPH215" hidden="1">#REF!</definedName>
    <definedName name="BLPH216" hidden="1">#REF!</definedName>
    <definedName name="BLPH217" hidden="1">#REF!</definedName>
    <definedName name="BLPH218" hidden="1">#REF!</definedName>
    <definedName name="BLPH219" hidden="1">#REF!</definedName>
    <definedName name="BLPH22" hidden="1">#REF!</definedName>
    <definedName name="BLPH220" hidden="1">#REF!</definedName>
    <definedName name="BLPH221" hidden="1">#REF!</definedName>
    <definedName name="BLPH222" hidden="1">#REF!</definedName>
    <definedName name="BLPH223" hidden="1">#REF!</definedName>
    <definedName name="BLPH225" hidden="1">#REF!</definedName>
    <definedName name="BLPH226" hidden="1">#REF!</definedName>
    <definedName name="BLPH23" hidden="1">#REF!</definedName>
    <definedName name="BLPH24" hidden="1">#REF!</definedName>
    <definedName name="BLPH249"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 hidden="1">#REF!</definedName>
    <definedName name="BLPH40" hidden="1">#REF!</definedName>
    <definedName name="BLPH41" hidden="1">#REF!</definedName>
    <definedName name="BLPH42" hidden="1">#REF!</definedName>
    <definedName name="BLPH43" hidden="1">#REF!</definedName>
    <definedName name="BLPH44" hidden="1">#REF!</definedName>
    <definedName name="BLPH45" hidden="1">#REF!</definedName>
    <definedName name="BLPH46" hidden="1">#REF!</definedName>
    <definedName name="BLPH4680" hidden="1">#REF!</definedName>
    <definedName name="BLPH4681" hidden="1">#REF!</definedName>
    <definedName name="BLPH47" hidden="1">#REF!</definedName>
    <definedName name="BLPH48" hidden="1">#REF!</definedName>
    <definedName name="BLPH49" hidden="1">#REF!</definedName>
    <definedName name="BLPH5" hidden="1">#REF!</definedName>
    <definedName name="BLPH50" hidden="1">#REF!</definedName>
    <definedName name="BLPH51" hidden="1">#REF!</definedName>
    <definedName name="BLPH52" hidden="1">#REF!</definedName>
    <definedName name="BLPH53" hidden="1">#REF!</definedName>
    <definedName name="BLPH54" hidden="1">#REF!</definedName>
    <definedName name="BLPH55" hidden="1">#REF!</definedName>
    <definedName name="BLPH56" hidden="1">#REF!</definedName>
    <definedName name="BLPH57" hidden="1">#REF!</definedName>
    <definedName name="BLPH58" hidden="1">#REF!</definedName>
    <definedName name="BLPH59" hidden="1">#REF!</definedName>
    <definedName name="BLPH6" hidden="1">#REF!</definedName>
    <definedName name="BLPH60" hidden="1">#REF!</definedName>
    <definedName name="BLPH61" hidden="1">#REF!</definedName>
    <definedName name="BLPH62" hidden="1">#REF!</definedName>
    <definedName name="BLPH63" hidden="1">#REF!</definedName>
    <definedName name="BLPH64" hidden="1">#REF!</definedName>
    <definedName name="BLPH65" hidden="1">#REF!</definedName>
    <definedName name="BLPH66" hidden="1">#REF!</definedName>
    <definedName name="BLPH67" hidden="1">#REF!</definedName>
    <definedName name="BLPH68" hidden="1">#REF!</definedName>
    <definedName name="BLPH69" hidden="1">#REF!</definedName>
    <definedName name="BLPH7" hidden="1">#REF!</definedName>
    <definedName name="BLPH70" hidden="1">#REF!</definedName>
    <definedName name="BLPH71" hidden="1">#REF!</definedName>
    <definedName name="BLPH72" hidden="1">#REF!</definedName>
    <definedName name="BLPH73" hidden="1">#REF!</definedName>
    <definedName name="BLPH74" hidden="1">#REF!</definedName>
    <definedName name="BLPH75" hidden="1">#REF!</definedName>
    <definedName name="BLPH76" hidden="1">#REF!</definedName>
    <definedName name="BLPH77" hidden="1">#REF!</definedName>
    <definedName name="BLPH78" hidden="1">#REF!</definedName>
    <definedName name="BLPH79" hidden="1">#REF!</definedName>
    <definedName name="BLPH8" hidden="1">#REF!</definedName>
    <definedName name="BLPH80" hidden="1">#REF!</definedName>
    <definedName name="BLPH81" hidden="1">#REF!</definedName>
    <definedName name="BLPH82" hidden="1">#REF!</definedName>
    <definedName name="BLPH83" hidden="1">#REF!</definedName>
    <definedName name="BLPH84" hidden="1">#REF!</definedName>
    <definedName name="BLPH85" hidden="1">#REF!</definedName>
    <definedName name="BLPH86" hidden="1">#REF!</definedName>
    <definedName name="BLPH87" hidden="1">#REF!</definedName>
    <definedName name="BLPH88" hidden="1">#REF!</definedName>
    <definedName name="BLPH89" hidden="1">#REF!</definedName>
    <definedName name="BLPH9" hidden="1">#REF!</definedName>
    <definedName name="BLPH90" hidden="1">#REF!</definedName>
    <definedName name="BLPH91" hidden="1">#REF!</definedName>
    <definedName name="BLPH92" hidden="1">#REF!</definedName>
    <definedName name="BLPH93" hidden="1">#REF!</definedName>
    <definedName name="BLPH94" hidden="1">#REF!</definedName>
    <definedName name="BLPH95" hidden="1">#REF!</definedName>
    <definedName name="BLPH96" hidden="1">#REF!</definedName>
    <definedName name="BLPH97" hidden="1">#REF!</definedName>
    <definedName name="BLPH98" hidden="1">#REF!</definedName>
    <definedName name="BLPH99" hidden="1">#REF!</definedName>
    <definedName name="BLPI1" hidden="1">#REF!</definedName>
    <definedName name="BLPI2" hidden="1">#REF!</definedName>
    <definedName name="Blue_Mix">#REF!</definedName>
    <definedName name="bmbnmn" localSheetId="0" hidden="1">{#N/A,#N/A,FALSE,"KA CH  (2)"}</definedName>
    <definedName name="bmbnmn" localSheetId="6" hidden="1">{#N/A,#N/A,FALSE,"KA CH  (2)"}</definedName>
    <definedName name="bmbnmn" hidden="1">{#N/A,#N/A,FALSE,"KA CH  (2)"}</definedName>
    <definedName name="bmbnmn_1" localSheetId="0" hidden="1">{#N/A,#N/A,FALSE,"KA CH  (2)"}</definedName>
    <definedName name="bmbnmn_1" localSheetId="6" hidden="1">{#N/A,#N/A,FALSE,"KA CH  (2)"}</definedName>
    <definedName name="bmbnmn_1" hidden="1">{#N/A,#N/A,FALSE,"KA CH  (2)"}</definedName>
    <definedName name="bmbnmn_1_1" localSheetId="0" hidden="1">{#N/A,#N/A,FALSE,"KA CH  (2)"}</definedName>
    <definedName name="bmbnmn_1_1" localSheetId="6" hidden="1">{#N/A,#N/A,FALSE,"KA CH  (2)"}</definedName>
    <definedName name="bmbnmn_1_1" hidden="1">{#N/A,#N/A,FALSE,"KA CH  (2)"}</definedName>
    <definedName name="bmbnmn_2" localSheetId="0" hidden="1">{#N/A,#N/A,FALSE,"KA CH  (2)"}</definedName>
    <definedName name="bmbnmn_2" localSheetId="6" hidden="1">{#N/A,#N/A,FALSE,"KA CH  (2)"}</definedName>
    <definedName name="bmbnmn_2" hidden="1">{#N/A,#N/A,FALSE,"KA CH  (2)"}</definedName>
    <definedName name="bmbnmn_3" localSheetId="0" hidden="1">{#N/A,#N/A,FALSE,"KA CH  (2)"}</definedName>
    <definedName name="bmbnmn_3" localSheetId="6" hidden="1">{#N/A,#N/A,FALSE,"KA CH  (2)"}</definedName>
    <definedName name="bmbnmn_3" hidden="1">{#N/A,#N/A,FALSE,"KA CH  (2)"}</definedName>
    <definedName name="bmbnmn_4" localSheetId="0" hidden="1">{#N/A,#N/A,FALSE,"KA CH  (2)"}</definedName>
    <definedName name="bmbnmn_4" localSheetId="6" hidden="1">{#N/A,#N/A,FALSE,"KA CH  (2)"}</definedName>
    <definedName name="bmbnmn_4" hidden="1">{#N/A,#N/A,FALSE,"KA CH  (2)"}</definedName>
    <definedName name="bmbnmn_5" localSheetId="0" hidden="1">{#N/A,#N/A,FALSE,"KA CH  (2)"}</definedName>
    <definedName name="bmbnmn_5" localSheetId="6" hidden="1">{#N/A,#N/A,FALSE,"KA CH  (2)"}</definedName>
    <definedName name="bmbnmn_5" hidden="1">{#N/A,#N/A,FALSE,"KA CH  (2)"}</definedName>
    <definedName name="BMGHIndex" hidden="1">"O"</definedName>
    <definedName name="bmt4Updated" hidden="1">41157.727037037</definedName>
    <definedName name="BNE_MESSAGES_HIDDEN" hidden="1">#REF!</definedName>
    <definedName name="bnkj" localSheetId="0" hidden="1">{#N/A,#N/A,FALSE,"output";#N/A,#N/A,FALSE,"contrib";#N/A,#N/A,FALSE,"profile";#N/A,#N/A,FALSE,"comps"}</definedName>
    <definedName name="bnkj" localSheetId="6" hidden="1">{#N/A,#N/A,FALSE,"output";#N/A,#N/A,FALSE,"contrib";#N/A,#N/A,FALSE,"profile";#N/A,#N/A,FALSE,"comps"}</definedName>
    <definedName name="bnkj" hidden="1">{#N/A,#N/A,FALSE,"output";#N/A,#N/A,FALSE,"contrib";#N/A,#N/A,FALSE,"profile";#N/A,#N/A,FALSE,"comps"}</definedName>
    <definedName name="bnkj1" localSheetId="0" hidden="1">{#N/A,#N/A,FALSE,"output";#N/A,#N/A,FALSE,"contrib";#N/A,#N/A,FALSE,"profile";#N/A,#N/A,FALSE,"comps"}</definedName>
    <definedName name="bnkj1" localSheetId="6" hidden="1">{#N/A,#N/A,FALSE,"output";#N/A,#N/A,FALSE,"contrib";#N/A,#N/A,FALSE,"profile";#N/A,#N/A,FALSE,"comps"}</definedName>
    <definedName name="bnkj1" hidden="1">{#N/A,#N/A,FALSE,"output";#N/A,#N/A,FALSE,"contrib";#N/A,#N/A,FALSE,"profile";#N/A,#N/A,FALSE,"comps"}</definedName>
    <definedName name="bnm" localSheetId="0" hidden="1">{#N/A,#N/A,FALSE,"REPORT"}</definedName>
    <definedName name="bnm" localSheetId="6" hidden="1">{#N/A,#N/A,FALSE,"REPORT"}</definedName>
    <definedName name="bnm" hidden="1">{#N/A,#N/A,FALSE,"REPORT"}</definedName>
    <definedName name="bnm_1" localSheetId="0" hidden="1">{#N/A,#N/A,FALSE,"REPORT"}</definedName>
    <definedName name="bnm_1" localSheetId="6" hidden="1">{#N/A,#N/A,FALSE,"REPORT"}</definedName>
    <definedName name="bnm_1" hidden="1">{#N/A,#N/A,FALSE,"REPORT"}</definedName>
    <definedName name="bnm_1_1" localSheetId="0" hidden="1">{#N/A,#N/A,FALSE,"REPORT"}</definedName>
    <definedName name="bnm_1_1" localSheetId="6" hidden="1">{#N/A,#N/A,FALSE,"REPORT"}</definedName>
    <definedName name="bnm_1_1" hidden="1">{#N/A,#N/A,FALSE,"REPORT"}</definedName>
    <definedName name="bnm_2" localSheetId="0" hidden="1">{#N/A,#N/A,FALSE,"REPORT"}</definedName>
    <definedName name="bnm_2" localSheetId="6" hidden="1">{#N/A,#N/A,FALSE,"REPORT"}</definedName>
    <definedName name="bnm_2" hidden="1">{#N/A,#N/A,FALSE,"REPORT"}</definedName>
    <definedName name="bnm_3" localSheetId="0" hidden="1">{#N/A,#N/A,FALSE,"REPORT"}</definedName>
    <definedName name="bnm_3" localSheetId="6" hidden="1">{#N/A,#N/A,FALSE,"REPORT"}</definedName>
    <definedName name="bnm_3" hidden="1">{#N/A,#N/A,FALSE,"REPORT"}</definedName>
    <definedName name="bnm_4" localSheetId="0" hidden="1">{#N/A,#N/A,FALSE,"REPORT"}</definedName>
    <definedName name="bnm_4" localSheetId="6" hidden="1">{#N/A,#N/A,FALSE,"REPORT"}</definedName>
    <definedName name="bnm_4" hidden="1">{#N/A,#N/A,FALSE,"REPORT"}</definedName>
    <definedName name="bnm_5" localSheetId="0" hidden="1">{#N/A,#N/A,FALSE,"REPORT"}</definedName>
    <definedName name="bnm_5" localSheetId="6" hidden="1">{#N/A,#N/A,FALSE,"REPORT"}</definedName>
    <definedName name="bnm_5" hidden="1">{#N/A,#N/A,FALSE,"REPORT"}</definedName>
    <definedName name="bnmbm" localSheetId="0" hidden="1">{#N/A,#N/A,TRUE,"Main Issues";#N/A,#N/A,TRUE,"Income statement ($)"}</definedName>
    <definedName name="bnmbm" localSheetId="6" hidden="1">{#N/A,#N/A,TRUE,"Main Issues";#N/A,#N/A,TRUE,"Income statement ($)"}</definedName>
    <definedName name="bnmbm" hidden="1">{#N/A,#N/A,TRUE,"Main Issues";#N/A,#N/A,TRUE,"Income statement ($)"}</definedName>
    <definedName name="bnmk" localSheetId="0" hidden="1">{#N/A,#N/A,FALSE,"Produkte Erw.";#N/A,#N/A,FALSE,"Produkte Plan";#N/A,#N/A,FALSE,"Leistungen Erw.";#N/A,#N/A,FALSE,"Leistungen Plan";#N/A,#N/A,FALSE,"KA Allg.Kosten (2)";#N/A,#N/A,FALSE,"KA All.Kosten"}</definedName>
    <definedName name="bnmk" localSheetId="6" hidden="1">{#N/A,#N/A,FALSE,"Produkte Erw.";#N/A,#N/A,FALSE,"Produkte Plan";#N/A,#N/A,FALSE,"Leistungen Erw.";#N/A,#N/A,FALSE,"Leistungen Plan";#N/A,#N/A,FALSE,"KA Allg.Kosten (2)";#N/A,#N/A,FALSE,"KA All.Kosten"}</definedName>
    <definedName name="bnmk" hidden="1">{#N/A,#N/A,FALSE,"Produkte Erw.";#N/A,#N/A,FALSE,"Produkte Plan";#N/A,#N/A,FALSE,"Leistungen Erw.";#N/A,#N/A,FALSE,"Leistungen Plan";#N/A,#N/A,FALSE,"KA Allg.Kosten (2)";#N/A,#N/A,FALSE,"KA All.Kosten"}</definedName>
    <definedName name="bnmk_1" localSheetId="0" hidden="1">{#N/A,#N/A,FALSE,"Produkte Erw.";#N/A,#N/A,FALSE,"Produkte Plan";#N/A,#N/A,FALSE,"Leistungen Erw.";#N/A,#N/A,FALSE,"Leistungen Plan";#N/A,#N/A,FALSE,"KA Allg.Kosten (2)";#N/A,#N/A,FALSE,"KA All.Kosten"}</definedName>
    <definedName name="bnmk_1" localSheetId="6" hidden="1">{#N/A,#N/A,FALSE,"Produkte Erw.";#N/A,#N/A,FALSE,"Produkte Plan";#N/A,#N/A,FALSE,"Leistungen Erw.";#N/A,#N/A,FALSE,"Leistungen Plan";#N/A,#N/A,FALSE,"KA Allg.Kosten (2)";#N/A,#N/A,FALSE,"KA All.Kosten"}</definedName>
    <definedName name="bnmk_1" hidden="1">{#N/A,#N/A,FALSE,"Produkte Erw.";#N/A,#N/A,FALSE,"Produkte Plan";#N/A,#N/A,FALSE,"Leistungen Erw.";#N/A,#N/A,FALSE,"Leistungen Plan";#N/A,#N/A,FALSE,"KA Allg.Kosten (2)";#N/A,#N/A,FALSE,"KA All.Kosten"}</definedName>
    <definedName name="bnmk_1_1" localSheetId="0" hidden="1">{#N/A,#N/A,FALSE,"Produkte Erw.";#N/A,#N/A,FALSE,"Produkte Plan";#N/A,#N/A,FALSE,"Leistungen Erw.";#N/A,#N/A,FALSE,"Leistungen Plan";#N/A,#N/A,FALSE,"KA Allg.Kosten (2)";#N/A,#N/A,FALSE,"KA All.Kosten"}</definedName>
    <definedName name="bnmk_1_1" localSheetId="6" hidden="1">{#N/A,#N/A,FALSE,"Produkte Erw.";#N/A,#N/A,FALSE,"Produkte Plan";#N/A,#N/A,FALSE,"Leistungen Erw.";#N/A,#N/A,FALSE,"Leistungen Plan";#N/A,#N/A,FALSE,"KA Allg.Kosten (2)";#N/A,#N/A,FALSE,"KA All.Kosten"}</definedName>
    <definedName name="bnmk_1_1" hidden="1">{#N/A,#N/A,FALSE,"Produkte Erw.";#N/A,#N/A,FALSE,"Produkte Plan";#N/A,#N/A,FALSE,"Leistungen Erw.";#N/A,#N/A,FALSE,"Leistungen Plan";#N/A,#N/A,FALSE,"KA Allg.Kosten (2)";#N/A,#N/A,FALSE,"KA All.Kosten"}</definedName>
    <definedName name="bnmk_2" localSheetId="0" hidden="1">{#N/A,#N/A,FALSE,"Produkte Erw.";#N/A,#N/A,FALSE,"Produkte Plan";#N/A,#N/A,FALSE,"Leistungen Erw.";#N/A,#N/A,FALSE,"Leistungen Plan";#N/A,#N/A,FALSE,"KA Allg.Kosten (2)";#N/A,#N/A,FALSE,"KA All.Kosten"}</definedName>
    <definedName name="bnmk_2" localSheetId="6" hidden="1">{#N/A,#N/A,FALSE,"Produkte Erw.";#N/A,#N/A,FALSE,"Produkte Plan";#N/A,#N/A,FALSE,"Leistungen Erw.";#N/A,#N/A,FALSE,"Leistungen Plan";#N/A,#N/A,FALSE,"KA Allg.Kosten (2)";#N/A,#N/A,FALSE,"KA All.Kosten"}</definedName>
    <definedName name="bnmk_2" hidden="1">{#N/A,#N/A,FALSE,"Produkte Erw.";#N/A,#N/A,FALSE,"Produkte Plan";#N/A,#N/A,FALSE,"Leistungen Erw.";#N/A,#N/A,FALSE,"Leistungen Plan";#N/A,#N/A,FALSE,"KA Allg.Kosten (2)";#N/A,#N/A,FALSE,"KA All.Kosten"}</definedName>
    <definedName name="bnmk_3" localSheetId="0" hidden="1">{#N/A,#N/A,FALSE,"Produkte Erw.";#N/A,#N/A,FALSE,"Produkte Plan";#N/A,#N/A,FALSE,"Leistungen Erw.";#N/A,#N/A,FALSE,"Leistungen Plan";#N/A,#N/A,FALSE,"KA Allg.Kosten (2)";#N/A,#N/A,FALSE,"KA All.Kosten"}</definedName>
    <definedName name="bnmk_3" localSheetId="6" hidden="1">{#N/A,#N/A,FALSE,"Produkte Erw.";#N/A,#N/A,FALSE,"Produkte Plan";#N/A,#N/A,FALSE,"Leistungen Erw.";#N/A,#N/A,FALSE,"Leistungen Plan";#N/A,#N/A,FALSE,"KA Allg.Kosten (2)";#N/A,#N/A,FALSE,"KA All.Kosten"}</definedName>
    <definedName name="bnmk_3" hidden="1">{#N/A,#N/A,FALSE,"Produkte Erw.";#N/A,#N/A,FALSE,"Produkte Plan";#N/A,#N/A,FALSE,"Leistungen Erw.";#N/A,#N/A,FALSE,"Leistungen Plan";#N/A,#N/A,FALSE,"KA Allg.Kosten (2)";#N/A,#N/A,FALSE,"KA All.Kosten"}</definedName>
    <definedName name="bnmk_4" localSheetId="0" hidden="1">{#N/A,#N/A,FALSE,"Produkte Erw.";#N/A,#N/A,FALSE,"Produkte Plan";#N/A,#N/A,FALSE,"Leistungen Erw.";#N/A,#N/A,FALSE,"Leistungen Plan";#N/A,#N/A,FALSE,"KA Allg.Kosten (2)";#N/A,#N/A,FALSE,"KA All.Kosten"}</definedName>
    <definedName name="bnmk_4" localSheetId="6" hidden="1">{#N/A,#N/A,FALSE,"Produkte Erw.";#N/A,#N/A,FALSE,"Produkte Plan";#N/A,#N/A,FALSE,"Leistungen Erw.";#N/A,#N/A,FALSE,"Leistungen Plan";#N/A,#N/A,FALSE,"KA Allg.Kosten (2)";#N/A,#N/A,FALSE,"KA All.Kosten"}</definedName>
    <definedName name="bnmk_4" hidden="1">{#N/A,#N/A,FALSE,"Produkte Erw.";#N/A,#N/A,FALSE,"Produkte Plan";#N/A,#N/A,FALSE,"Leistungen Erw.";#N/A,#N/A,FALSE,"Leistungen Plan";#N/A,#N/A,FALSE,"KA Allg.Kosten (2)";#N/A,#N/A,FALSE,"KA All.Kosten"}</definedName>
    <definedName name="bnmk_5" localSheetId="0" hidden="1">{#N/A,#N/A,FALSE,"Produkte Erw.";#N/A,#N/A,FALSE,"Produkte Plan";#N/A,#N/A,FALSE,"Leistungen Erw.";#N/A,#N/A,FALSE,"Leistungen Plan";#N/A,#N/A,FALSE,"KA Allg.Kosten (2)";#N/A,#N/A,FALSE,"KA All.Kosten"}</definedName>
    <definedName name="bnmk_5" localSheetId="6" hidden="1">{#N/A,#N/A,FALSE,"Produkte Erw.";#N/A,#N/A,FALSE,"Produkte Plan";#N/A,#N/A,FALSE,"Leistungen Erw.";#N/A,#N/A,FALSE,"Leistungen Plan";#N/A,#N/A,FALSE,"KA Allg.Kosten (2)";#N/A,#N/A,FALSE,"KA All.Kosten"}</definedName>
    <definedName name="bnmk_5" hidden="1">{#N/A,#N/A,FALSE,"Produkte Erw.";#N/A,#N/A,FALSE,"Produkte Plan";#N/A,#N/A,FALSE,"Leistungen Erw.";#N/A,#N/A,FALSE,"Leistungen Plan";#N/A,#N/A,FALSE,"KA Allg.Kosten (2)";#N/A,#N/A,FALSE,"KA All.Kosten"}</definedName>
    <definedName name="bnnn" localSheetId="0" hidden="1">{"mgmt forecast",#N/A,FALSE,"Mgmt Forecast";"dcf table",#N/A,FALSE,"Mgmt Forecast";"sensitivity",#N/A,FALSE,"Mgmt Forecast";"table inputs",#N/A,FALSE,"Mgmt Forecast";"calculations",#N/A,FALSE,"Mgmt Forecast"}</definedName>
    <definedName name="bnnn" localSheetId="6" hidden="1">{"mgmt forecast",#N/A,FALSE,"Mgmt Forecast";"dcf table",#N/A,FALSE,"Mgmt Forecast";"sensitivity",#N/A,FALSE,"Mgmt Forecast";"table inputs",#N/A,FALSE,"Mgmt Forecast";"calculations",#N/A,FALSE,"Mgmt Forecast"}</definedName>
    <definedName name="bnnn" hidden="1">{"mgmt forecast",#N/A,FALSE,"Mgmt Forecast";"dcf table",#N/A,FALSE,"Mgmt Forecast";"sensitivity",#N/A,FALSE,"Mgmt Forecast";"table inputs",#N/A,FALSE,"Mgmt Forecast";"calculations",#N/A,FALSE,"Mgmt Forecast"}</definedName>
    <definedName name="bob" localSheetId="0" hidden="1">{#N/A,#N/A,FALSE,"Aging Summary";#N/A,#N/A,FALSE,"Ratio Analysis";#N/A,#N/A,FALSE,"Test 120 Day Accts";#N/A,#N/A,FALSE,"Tickmarks"}</definedName>
    <definedName name="bob" localSheetId="6" hidden="1">{#N/A,#N/A,FALSE,"Aging Summary";#N/A,#N/A,FALSE,"Ratio Analysis";#N/A,#N/A,FALSE,"Test 120 Day Accts";#N/A,#N/A,FALSE,"Tickmarks"}</definedName>
    <definedName name="bob" hidden="1">{#N/A,#N/A,FALSE,"Aging Summary";#N/A,#N/A,FALSE,"Ratio Analysis";#N/A,#N/A,FALSE,"Test 120 Day Accts";#N/A,#N/A,FALSE,"Tickmarks"}</definedName>
    <definedName name="bom" localSheetId="6" hidden="1">{"Charts1",#N/A,FALSE,"Charts1";"Charts2",#N/A,FALSE,"Charts2"}</definedName>
    <definedName name="bom" hidden="1">{"Charts1",#N/A,FALSE,"Charts1";"Charts2",#N/A,FALSE,"Charts2"}</definedName>
    <definedName name="bone" localSheetId="6" hidden="1">{#N/A,#N/A,FALSE,"intag";#N/A,#N/A,FALSE,"budg";#N/A,#N/A,FALSE,"samtl"}</definedName>
    <definedName name="bone" hidden="1">{#N/A,#N/A,FALSE,"intag";#N/A,#N/A,FALSE,"budg";#N/A,#N/A,FALSE,"samtl"}</definedName>
    <definedName name="BonusAccrual">#REF!</definedName>
    <definedName name="BOOK_VALUE" hidden="1">"BOOK_VALUE"</definedName>
    <definedName name="BookAmort">#REF!</definedName>
    <definedName name="bowbow" localSheetId="6" hidden="1">{"AT","COMPANIES",TRUE}</definedName>
    <definedName name="bowbow" hidden="1">{"AT","COMPANIES",TRUE}</definedName>
    <definedName name="BOY">#REF!</definedName>
    <definedName name="br" localSheetId="6" hidden="1">{"NETCIRC",#N/A,FALSE,"Net CIrc";"NETCIRCMON",#N/A,FALSE,"Net CIrc"}</definedName>
    <definedName name="br" hidden="1">{"NETCIRC",#N/A,FALSE,"Net CIrc";"NETCIRCMON",#N/A,FALSE,"Net CIrc"}</definedName>
    <definedName name="BreakupCGHS.Max" localSheetId="0" hidden="1">{#N/A,#N/A,FALSE,"BS";#N/A,#N/A,FALSE,"PL";#N/A,#N/A,FALSE,"Schdl 1,2,3";#N/A,#N/A,FALSE,"Schd 4";#N/A,#N/A,FALSE,"Sch -5,6 (2)";#N/A,#N/A,FALSE,"Schd 7,8,9,10";#N/A,#N/A,FALSE,"Schd 11";#N/A,#N/A,FALSE,"schd 12, 13,14"}</definedName>
    <definedName name="BreakupCGHS.Max" localSheetId="6" hidden="1">{#N/A,#N/A,FALSE,"BS";#N/A,#N/A,FALSE,"PL";#N/A,#N/A,FALSE,"Schdl 1,2,3";#N/A,#N/A,FALSE,"Schd 4";#N/A,#N/A,FALSE,"Sch -5,6 (2)";#N/A,#N/A,FALSE,"Schd 7,8,9,10";#N/A,#N/A,FALSE,"Schd 11";#N/A,#N/A,FALSE,"schd 12, 13,14"}</definedName>
    <definedName name="BreakupCGHS.Max" hidden="1">{#N/A,#N/A,FALSE,"BS";#N/A,#N/A,FALSE,"PL";#N/A,#N/A,FALSE,"Schdl 1,2,3";#N/A,#N/A,FALSE,"Schd 4";#N/A,#N/A,FALSE,"Sch -5,6 (2)";#N/A,#N/A,FALSE,"Schd 7,8,9,10";#N/A,#N/A,FALSE,"Schd 11";#N/A,#N/A,FALSE,"schd 12, 13,14"}</definedName>
    <definedName name="bronson" hidden="1">40295.7844328704</definedName>
    <definedName name="BROWN" localSheetId="0"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localSheetId="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W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brozait" localSheetId="0"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brozait" localSheetId="6"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brozait" hidden="1">{#N/A,#N/A,FALSE,"1998_SK_DB2";#N/A,#N/A,FALSE,"1999_SK_DB2";#N/A,#N/A,FALSE,"2000_SK_DB2";#N/A,#N/A,FALSE,"SK_VE";#N/A,#N/A,FALSE,"1998_CZ_DB2";#N/A,#N/A,FALSE,"1999_CZ_DB2";#N/A,#N/A,FALSE,"2000_CZ_DB2";#N/A,#N/A,FALSE,"CZ_VE";#N/A,#N/A,FALSE,"1998_XX_DB2";#N/A,#N/A,FALSE,"1999_XX_DB2";#N/A,#N/A,FALSE,"2000_XX_DB2";#N/A,#N/A,FALSE,"XX_VE";#N/A,#N/A,FALSE,"SoKo";#N/A,#N/A,FALSE,"SoErg";#N/A,#N/A,FALSE,"Kon"}</definedName>
    <definedName name="brs" localSheetId="6" hidden="1">{"year1",#N/A,FALSE,"IZT";"year2",#N/A,FALSE,"IZT"}</definedName>
    <definedName name="brs" hidden="1">{"year1",#N/A,FALSE,"IZT";"year2",#N/A,FALSE,"IZT"}</definedName>
    <definedName name="bs" localSheetId="0" hidden="1">{#N/A,#N/A,TRUE,"Cover";#N/A,#N/A,TRUE,"Sum";#N/A,#N/A,TRUE,"SubsRev";#N/A,#N/A,TRUE,"CapEx";#N/A,#N/A,TRUE,"OpEx";#N/A,#N/A,TRUE,"SUs";#N/A,#N/A,TRUE,"OrgChart";#N/A,#N/A,TRUE,"Staff";#N/A,#N/A,TRUE,"P&amp;L";#N/A,#N/A,TRUE,"Cash";#N/A,#N/A,TRUE,"BS";#N/A,#N/A,TRUE,"Valuation";#N/A,#N/A,TRUE,"CapEx-Assumptions";#N/A,#N/A,TRUE,"OpEx-Assumptions"}</definedName>
    <definedName name="bs" localSheetId="6" hidden="1">{#N/A,#N/A,TRUE,"Cover";#N/A,#N/A,TRUE,"Sum";#N/A,#N/A,TRUE,"SubsRev";#N/A,#N/A,TRUE,"CapEx";#N/A,#N/A,TRUE,"OpEx";#N/A,#N/A,TRUE,"SUs";#N/A,#N/A,TRUE,"OrgChart";#N/A,#N/A,TRUE,"Staff";#N/A,#N/A,TRUE,"P&amp;L";#N/A,#N/A,TRUE,"Cash";#N/A,#N/A,TRUE,"BS";#N/A,#N/A,TRUE,"Valuation";#N/A,#N/A,TRUE,"CapEx-Assumptions";#N/A,#N/A,TRUE,"OpEx-Assumptions"}</definedName>
    <definedName name="bs" hidden="1">{#N/A,#N/A,TRUE,"Cover";#N/A,#N/A,TRUE,"Sum";#N/A,#N/A,TRUE,"SubsRev";#N/A,#N/A,TRUE,"CapEx";#N/A,#N/A,TRUE,"OpEx";#N/A,#N/A,TRUE,"SUs";#N/A,#N/A,TRUE,"OrgChart";#N/A,#N/A,TRUE,"Staff";#N/A,#N/A,TRUE,"P&amp;L";#N/A,#N/A,TRUE,"Cash";#N/A,#N/A,TRUE,"BS";#N/A,#N/A,TRUE,"Valuation";#N/A,#N/A,TRUE,"CapEx-Assumptions";#N/A,#N/A,TRUE,"OpEx-Assumptions"}</definedName>
    <definedName name="BS_Accounts">#REF!</definedName>
    <definedName name="BS_Array">#REF!</definedName>
    <definedName name="BS_assets_ar">#REF!</definedName>
    <definedName name="BS_assets_cash">#REF!</definedName>
    <definedName name="BS_assets_current_assets">#REF!</definedName>
    <definedName name="BS_assets_due_from">#REF!</definedName>
    <definedName name="BS_assets_inv.">#REF!</definedName>
    <definedName name="BS_assets_invest.">#REF!</definedName>
    <definedName name="BS_assets_non_current_assets">#REF!</definedName>
    <definedName name="BS_assets_ppe">#REF!</definedName>
    <definedName name="BS_assets_prepaid_lease">#REF!</definedName>
    <definedName name="BS_assets_prepayments">#REF!</definedName>
    <definedName name="BS_assets_total_assets">#REF!</definedName>
    <definedName name="BS_Data_Col" hidden="1">#REF!</definedName>
    <definedName name="BS_liabilities_accrued">#REF!</definedName>
    <definedName name="BS_liabilities_advances">#REF!</definedName>
    <definedName name="BS_liabilities_current_liabilities">#REF!</definedName>
    <definedName name="BS_liabilities_current_portion">#REF!</definedName>
    <definedName name="BS_liabilities_due_to">#REF!</definedName>
    <definedName name="BS_liabilities_EOSB">#REF!</definedName>
    <definedName name="BS_liabilities_loans">#REF!</definedName>
    <definedName name="BS_liabilities_non_current_liabilities">#REF!</definedName>
    <definedName name="BS_liabilities_SH_total">#REF!</definedName>
    <definedName name="BS_liabilities_total_liabilities">#REF!</definedName>
    <definedName name="BS_liabilities_tp">#REF!</definedName>
    <definedName name="BS_liabilities_zakat">#REF!</definedName>
    <definedName name="BS_Line_Name1" hidden="1">#REF!</definedName>
    <definedName name="BS_Line_Name2" hidden="1">#REF!</definedName>
    <definedName name="BS_Line_Nbr1" hidden="1">#REF!</definedName>
    <definedName name="BS_Line_Nbr2" hidden="1">#REF!</definedName>
    <definedName name="BS_Periods">#REF!</definedName>
    <definedName name="BS_SH_">#REF!</definedName>
    <definedName name="BS_SH_capital">#REF!</definedName>
    <definedName name="BS_SH_retained_earnings">#REF!</definedName>
    <definedName name="BS_SH_total">#REF!</definedName>
    <definedName name="BSIPbPageSetupChartSize" hidden="1">1</definedName>
    <definedName name="BSIPbPageSetupChartSize_0" hidden="1">-2146826246</definedName>
    <definedName name="BSIPbPageSetupDraftQuality" hidden="1">1</definedName>
    <definedName name="BSIPbPageSetupDraftQuality_0" hidden="1">0</definedName>
    <definedName name="BSIPbPageSetupDrawingColor" hidden="1">1</definedName>
    <definedName name="BSIPbPageSetupDrawingColor_0" hidden="1">0</definedName>
    <definedName name="BSIPbPageSetupFitToPagesTall" hidden="1">1</definedName>
    <definedName name="BSIPbPageSetupFitToPagesTall_0" hidden="1">1</definedName>
    <definedName name="BSIPbPageSetupFitToPagesWide" hidden="1">1</definedName>
    <definedName name="BSIPbPageSetupFitToPagesWide_0" hidden="1">1</definedName>
    <definedName name="BSIPbPageSetupMediaName" hidden="1">1</definedName>
    <definedName name="BSIPbPageSetupMediaName_0" hidden="1">"ISO_A2_(420.00_x_594.00_MM)"</definedName>
    <definedName name="BSIPbPageSetupPageOrientation" hidden="1">1</definedName>
    <definedName name="BSIPbPageSetupPageOrientation_0" hidden="1">2</definedName>
    <definedName name="BSIPbPageSetupPaperHeight" hidden="1">1</definedName>
    <definedName name="BSIPbPageSetupPaperHeight_0" hidden="1">1684.00062992126</definedName>
    <definedName name="BSIPbPageSetupPaperMarginBottom" hidden="1">1</definedName>
    <definedName name="BSIPbPageSetupPaperMarginBottom_0" hidden="1">72</definedName>
    <definedName name="BSIPbPageSetupPaperMarginFooter" hidden="1">1</definedName>
    <definedName name="BSIPbPageSetupPaperMarginFooter_0" hidden="1">36</definedName>
    <definedName name="BSIPbPageSetupPaperMarginHeader" hidden="1">1</definedName>
    <definedName name="BSIPbPageSetupPaperMarginHeader_0" hidden="1">36</definedName>
    <definedName name="BSIPbPageSetupPaperMarginLeft" hidden="1">1</definedName>
    <definedName name="BSIPbPageSetupPaperMarginLeft_0" hidden="1">27.36</definedName>
    <definedName name="BSIPbPageSetupPaperMarginRight" hidden="1">1</definedName>
    <definedName name="BSIPbPageSetupPaperMarginRight_0" hidden="1">15.12</definedName>
    <definedName name="BSIPbPageSetupPaperMarginTop" hidden="1">1</definedName>
    <definedName name="BSIPbPageSetupPaperMarginTop_0" hidden="1">27.36</definedName>
    <definedName name="BSIPbPageSetupPaperWidth" hidden="1">1</definedName>
    <definedName name="BSIPbPageSetupPaperWidth_0" hidden="1">1190.99905511811</definedName>
    <definedName name="BSIPbPageSetupPlotSizeType" hidden="1">1</definedName>
    <definedName name="BSIPbPageSetupPlotSizeType_0" hidden="1">1</definedName>
    <definedName name="BSIPbPageSetupPrintCellErrors" hidden="1">1</definedName>
    <definedName name="BSIPbPageSetupPrintCellErrors_0" hidden="1">2</definedName>
    <definedName name="BSIPbPageSetupPrintComments" hidden="1">1</definedName>
    <definedName name="BSIPbPageSetupPrintComments_0" hidden="1">-4142</definedName>
    <definedName name="BSIPbPageSetupPrintGridlines" hidden="1">1</definedName>
    <definedName name="BSIPbPageSetupPrintGridlines_0" hidden="1">0</definedName>
    <definedName name="BSIPbPageSetupUseStandardMargins" hidden="1">1</definedName>
    <definedName name="BSIPbPageSetupUseStandardMargins_0" hidden="1">1</definedName>
    <definedName name="BSIPbPageSetupUseZoom" hidden="1">1</definedName>
    <definedName name="BSIPbPageSetupUseZoom_0" hidden="1">1</definedName>
    <definedName name="BSIPbPageSetupZoom" hidden="1">1</definedName>
    <definedName name="BSIPbPageSetupZoom_0" hidden="1">65</definedName>
    <definedName name="BSIWhichPageSetup" hidden="1">1</definedName>
    <definedName name="BSIWhichPageSetup_0" hidden="1">"1þ"</definedName>
    <definedName name="bsnt" localSheetId="0" hidden="1">{#N/A,#N/A,FALSE,"PROFIT 11-95"}</definedName>
    <definedName name="bsnt" localSheetId="6" hidden="1">{#N/A,#N/A,FALSE,"PROFIT 11-95"}</definedName>
    <definedName name="bsnt" hidden="1">{#N/A,#N/A,FALSE,"PROFIT 11-95"}</definedName>
    <definedName name="bsnt1" localSheetId="0" hidden="1">{#N/A,#N/A,TRUE,"PROFIT 11-95"}</definedName>
    <definedName name="bsnt1" localSheetId="6" hidden="1">{#N/A,#N/A,TRUE,"PROFIT 11-95"}</definedName>
    <definedName name="bsnt1" hidden="1">{#N/A,#N/A,TRUE,"PROFIT 11-95"}</definedName>
    <definedName name="BSpb" hidden="1">#REF!</definedName>
    <definedName name="bsrate">#REF!</definedName>
    <definedName name="BT" hidden="1">#REF!</definedName>
    <definedName name="BtmGLCName">#REF!</definedName>
    <definedName name="BTOI" localSheetId="0" hidden="1">{#N/A,#N/A,FALSE,"Tabl. FB300";#N/A,#N/A,FALSE,"Tabl. FB350";#N/A,#N/A,FALSE,"Tabl. FB400";#N/A,#N/A,FALSE,"Tabl. FB500";#N/A,#N/A,FALSE,"Tabl. FS090"}</definedName>
    <definedName name="BTOI" localSheetId="6" hidden="1">{#N/A,#N/A,FALSE,"Tabl. FB300";#N/A,#N/A,FALSE,"Tabl. FB350";#N/A,#N/A,FALSE,"Tabl. FB400";#N/A,#N/A,FALSE,"Tabl. FB500";#N/A,#N/A,FALSE,"Tabl. FS090"}</definedName>
    <definedName name="BTOI" hidden="1">{#N/A,#N/A,FALSE,"Tabl. FB300";#N/A,#N/A,FALSE,"Tabl. FB350";#N/A,#N/A,FALSE,"Tabl. FB400";#N/A,#N/A,FALSE,"Tabl. FB500";#N/A,#N/A,FALSE,"Tabl. FS090"}</definedName>
    <definedName name="BUDBM">#REF!</definedName>
    <definedName name="budget" localSheetId="0" hidden="1">{#N/A,#N/A,FALSE,"PROFIT 11-95"}</definedName>
    <definedName name="budget" localSheetId="6" hidden="1">{#N/A,#N/A,FALSE,"PROFIT 11-95"}</definedName>
    <definedName name="budget" hidden="1">{#N/A,#N/A,FALSE,"PROFIT 11-95"}</definedName>
    <definedName name="BUDGETCURRENCYCODE1">#REF!</definedName>
    <definedName name="BUDGETNAME1">#REF!</definedName>
    <definedName name="BUDGETORG1">#REF!</definedName>
    <definedName name="Building_Unit_Cost">#REF!</definedName>
    <definedName name="BuiltIn_Print_Area">#REF!</definedName>
    <definedName name="BuiltIn_Print_Area___0">#REF!</definedName>
    <definedName name="bull" localSheetId="0" hidden="1">{#N/A,#N/A,FALSE,"Combo-Ass ";#N/A,#N/A,FALSE,"Combo-AD sum";#N/A,#N/A,FALSE,"Combo-Syn Sens";#N/A,#N/A,FALSE,"Combo-Contr";#N/A,#N/A,FALSE,"Combo-Credit Sum";#N/A,#N/A,FALSE,"Combo-Credit";#N/A,#N/A,FALSE,"Combo-AD";#N/A,#N/A,FALSE,"Combo-AD CF"}</definedName>
    <definedName name="bull" localSheetId="6" hidden="1">{#N/A,#N/A,FALSE,"Combo-Ass ";#N/A,#N/A,FALSE,"Combo-AD sum";#N/A,#N/A,FALSE,"Combo-Syn Sens";#N/A,#N/A,FALSE,"Combo-Contr";#N/A,#N/A,FALSE,"Combo-Credit Sum";#N/A,#N/A,FALSE,"Combo-Credit";#N/A,#N/A,FALSE,"Combo-AD";#N/A,#N/A,FALSE,"Combo-AD CF"}</definedName>
    <definedName name="bull" hidden="1">{#N/A,#N/A,FALSE,"Combo-Ass ";#N/A,#N/A,FALSE,"Combo-AD sum";#N/A,#N/A,FALSE,"Combo-Syn Sens";#N/A,#N/A,FALSE,"Combo-Contr";#N/A,#N/A,FALSE,"Combo-Credit Sum";#N/A,#N/A,FALSE,"Combo-Credit";#N/A,#N/A,FALSE,"Combo-AD";#N/A,#N/A,FALSE,"Combo-AD CF"}</definedName>
    <definedName name="bullsf" localSheetId="0" hidden="1">{#N/A,#N/A,TRUE,"Tar-Ass";#N/A,#N/A,TRUE,"Tar-Ass LBO";#N/A,#N/A,TRUE,"LBO Ret";#N/A,#N/A,TRUE,"Tar-BS LBO";#N/A,#N/A,TRUE,"Tar-IS LBO";#N/A,#N/A,TRUE,"Tar-CF LBO";#N/A,#N/A,TRUE,"Tar-Debt LBO";#N/A,#N/A,TRUE,"Tar-Int LBO";#N/A,#N/A,TRUE,"Tar-Taxes LBO";#N/A,#N/A,TRUE,"Tar-Val LBO"}</definedName>
    <definedName name="bullsf" localSheetId="6" hidden="1">{#N/A,#N/A,TRUE,"Tar-Ass";#N/A,#N/A,TRUE,"Tar-Ass LBO";#N/A,#N/A,TRUE,"LBO Ret";#N/A,#N/A,TRUE,"Tar-BS LBO";#N/A,#N/A,TRUE,"Tar-IS LBO";#N/A,#N/A,TRUE,"Tar-CF LBO";#N/A,#N/A,TRUE,"Tar-Debt LBO";#N/A,#N/A,TRUE,"Tar-Int LBO";#N/A,#N/A,TRUE,"Tar-Taxes LBO";#N/A,#N/A,TRUE,"Tar-Val LBO"}</definedName>
    <definedName name="bullsf" hidden="1">{#N/A,#N/A,TRUE,"Tar-Ass";#N/A,#N/A,TRUE,"Tar-Ass LBO";#N/A,#N/A,TRUE,"LBO Ret";#N/A,#N/A,TRUE,"Tar-BS LBO";#N/A,#N/A,TRUE,"Tar-IS LBO";#N/A,#N/A,TRUE,"Tar-CF LBO";#N/A,#N/A,TRUE,"Tar-Debt LBO";#N/A,#N/A,TRUE,"Tar-Int LBO";#N/A,#N/A,TRUE,"Tar-Taxes LBO";#N/A,#N/A,TRUE,"Tar-Val LBO"}</definedName>
    <definedName name="buscntRP">#REF!</definedName>
    <definedName name="Business_Code2" hidden="1">#REF!</definedName>
    <definedName name="Business_Name2" hidden="1">#REF!</definedName>
    <definedName name="BusinessUnit1" hidden="1">#REF!</definedName>
    <definedName name="busiz" localSheetId="6" hidden="1">{#N/A,#N/A,FALSE,"Eastern";#N/A,#N/A,FALSE,"Western"}</definedName>
    <definedName name="busiz" hidden="1">{#N/A,#N/A,FALSE,"Eastern";#N/A,#N/A,FALSE,"Western"}</definedName>
    <definedName name="BV_OVER_SHARES" hidden="1">"BV_OVER_SHARES"</definedName>
    <definedName name="BVFREZRIHN" localSheetId="6" hidden="1">{"'매출'!$A$1:$I$22"}</definedName>
    <definedName name="BVFREZRIHN" hidden="1">{"'매출'!$A$1:$I$22"}</definedName>
    <definedName name="bwrwb" localSheetId="0" hidden="1">{#N/A,#N/A,FALSE,"Assessment";#N/A,#N/A,FALSE,"Staffing";#N/A,#N/A,FALSE,"Hires";#N/A,#N/A,FALSE,"Assumptions"}</definedName>
    <definedName name="bwrwb" localSheetId="6" hidden="1">{#N/A,#N/A,FALSE,"Assessment";#N/A,#N/A,FALSE,"Staffing";#N/A,#N/A,FALSE,"Hires";#N/A,#N/A,FALSE,"Assumptions"}</definedName>
    <definedName name="bwrwb" hidden="1">{#N/A,#N/A,FALSE,"Assessment";#N/A,#N/A,FALSE,"Staffing";#N/A,#N/A,FALSE,"Hires";#N/A,#N/A,FALSE,"Assumptions"}</definedName>
    <definedName name="bwrwb_1" localSheetId="0" hidden="1">{#N/A,#N/A,FALSE,"Assessment";#N/A,#N/A,FALSE,"Staffing";#N/A,#N/A,FALSE,"Hires";#N/A,#N/A,FALSE,"Assumptions"}</definedName>
    <definedName name="bwrwb_1" localSheetId="6" hidden="1">{#N/A,#N/A,FALSE,"Assessment";#N/A,#N/A,FALSE,"Staffing";#N/A,#N/A,FALSE,"Hires";#N/A,#N/A,FALSE,"Assumptions"}</definedName>
    <definedName name="bwrwb_1" hidden="1">{#N/A,#N/A,FALSE,"Assessment";#N/A,#N/A,FALSE,"Staffing";#N/A,#N/A,FALSE,"Hires";#N/A,#N/A,FALSE,"Assumptions"}</definedName>
    <definedName name="BXCB"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BXCB"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bxe" localSheetId="6" hidden="1">{"year1",#N/A,FALSE,"IZT";"year2",#N/A,FALSE,"IZT"}</definedName>
    <definedName name="bxe" hidden="1">{"year1",#N/A,FALSE,"IZT";"year2",#N/A,FALSE,"IZT"}</definedName>
    <definedName name="by"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by"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by"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c.LTMYear" hidden="1">#REF!</definedName>
    <definedName name="C_D" localSheetId="4">Assumptions</definedName>
    <definedName name="C_D" localSheetId="0">Assumptions</definedName>
    <definedName name="C_D" localSheetId="2">Assumptions</definedName>
    <definedName name="C_D" localSheetId="6">Assumptions</definedName>
    <definedName name="C_D">Assumptions</definedName>
    <definedName name="c_dateswitch">#REF!</definedName>
    <definedName name="c_pageswitch">#REF!</definedName>
    <definedName name="c_pathswitch">#REF!</definedName>
    <definedName name="C1.1"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1.1"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1.1" hidden="1">{#N/A,#N/A,TRUE,"COVER2";#N/A,#N/A,TRUE,"AGENDA";#N/A,#N/A,TRUE,"Cover";#N/A,#N/A,TRUE,"4M";#N/A,#N/A,TRUE,"FLP&amp;L4M";#N/A,#N/A,TRUE,"4MMC";#N/A,#N/A,TRUE,"Shp4M";#N/A,#N/A,TRUE,"M5";#N/A,#N/A,TRUE,"Q2";#N/A,#N/A,TRUE,"Q1vsQ2";#N/A,#N/A,TRUE,"M6";#N/A,#N/A,TRUE,"TY";#N/A,#N/A,TRUE,"FLP&amp;LTY";#N/A,#N/A,TRUE,"TYMC";#N/A,#N/A,TRUE,"ShpTY";#N/A,#N/A,TRUE,"8M";#N/A,#N/A,TRUE,"FLP&amp;L8M";#N/A,#N/A,TRUE,"8MMC";#N/A,#N/A,TRUE,"Shp8M"}</definedName>
    <definedName name="C1.5"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1.5"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1.5" hidden="1">{#N/A,#N/A,TRUE,"COVER2";#N/A,#N/A,TRUE,"AGENDA";#N/A,#N/A,TRUE,"Cover";#N/A,#N/A,TRUE,"4M";#N/A,#N/A,TRUE,"FLP&amp;L4M";#N/A,#N/A,TRUE,"4MMC";#N/A,#N/A,TRUE,"Shp4M";#N/A,#N/A,TRUE,"M5";#N/A,#N/A,TRUE,"Q2";#N/A,#N/A,TRUE,"Q1vsQ2";#N/A,#N/A,TRUE,"M6";#N/A,#N/A,TRUE,"TY";#N/A,#N/A,TRUE,"FLP&amp;LTY";#N/A,#N/A,TRUE,"TYMC";#N/A,#N/A,TRUE,"ShpTY";#N/A,#N/A,TRUE,"8M";#N/A,#N/A,TRUE,"FLP&amp;L8M";#N/A,#N/A,TRUE,"8MMC";#N/A,#N/A,TRUE,"Shp8M"}</definedName>
    <definedName name="C2.0"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2.0"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2.0" hidden="1">{#N/A,#N/A,TRUE,"COVER2";#N/A,#N/A,TRUE,"AGENDA";#N/A,#N/A,TRUE,"Cover";#N/A,#N/A,TRUE,"4M";#N/A,#N/A,TRUE,"FLP&amp;L4M";#N/A,#N/A,TRUE,"4MMC";#N/A,#N/A,TRUE,"Shp4M";#N/A,#N/A,TRUE,"M5";#N/A,#N/A,TRUE,"Q2";#N/A,#N/A,TRUE,"Q1vsQ2";#N/A,#N/A,TRUE,"M6";#N/A,#N/A,TRUE,"TY";#N/A,#N/A,TRUE,"FLP&amp;LTY";#N/A,#N/A,TRUE,"TYMC";#N/A,#N/A,TRUE,"ShpTY";#N/A,#N/A,TRUE,"8M";#N/A,#N/A,TRUE,"FLP&amp;L8M";#N/A,#N/A,TRUE,"8MMC";#N/A,#N/A,TRUE,"Shp8M"}</definedName>
    <definedName name="C3.0"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3.0"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3.0" hidden="1">{#N/A,#N/A,TRUE,"COVER2";#N/A,#N/A,TRUE,"AGENDA";#N/A,#N/A,TRUE,"Cover";#N/A,#N/A,TRUE,"4M";#N/A,#N/A,TRUE,"FLP&amp;L4M";#N/A,#N/A,TRUE,"4MMC";#N/A,#N/A,TRUE,"Shp4M";#N/A,#N/A,TRUE,"M5";#N/A,#N/A,TRUE,"Q2";#N/A,#N/A,TRUE,"Q1vsQ2";#N/A,#N/A,TRUE,"M6";#N/A,#N/A,TRUE,"TY";#N/A,#N/A,TRUE,"FLP&amp;LTY";#N/A,#N/A,TRUE,"TYMC";#N/A,#N/A,TRUE,"ShpTY";#N/A,#N/A,TRUE,"8M";#N/A,#N/A,TRUE,"FLP&amp;L8M";#N/A,#N/A,TRUE,"8MMC";#N/A,#N/A,TRUE,"Shp8M"}</definedName>
    <definedName name="C3.2"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3.2"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3.2" hidden="1">{#N/A,#N/A,TRUE,"COVER2";#N/A,#N/A,TRUE,"AGENDA";#N/A,#N/A,TRUE,"Cover";#N/A,#N/A,TRUE,"4M";#N/A,#N/A,TRUE,"FLP&amp;L4M";#N/A,#N/A,TRUE,"4MMC";#N/A,#N/A,TRUE,"Shp4M";#N/A,#N/A,TRUE,"M5";#N/A,#N/A,TRUE,"Q2";#N/A,#N/A,TRUE,"Q1vsQ2";#N/A,#N/A,TRUE,"M6";#N/A,#N/A,TRUE,"TY";#N/A,#N/A,TRUE,"FLP&amp;LTY";#N/A,#N/A,TRUE,"TYMC";#N/A,#N/A,TRUE,"ShpTY";#N/A,#N/A,TRUE,"8M";#N/A,#N/A,TRUE,"FLP&amp;L8M";#N/A,#N/A,TRUE,"8MMC";#N/A,#N/A,TRUE,"Shp8M"}</definedName>
    <definedName name="C3.3"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3.3"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3.3" hidden="1">{#N/A,#N/A,TRUE,"COVER2";#N/A,#N/A,TRUE,"AGENDA";#N/A,#N/A,TRUE,"Cover";#N/A,#N/A,TRUE,"4M";#N/A,#N/A,TRUE,"FLP&amp;L4M";#N/A,#N/A,TRUE,"4MMC";#N/A,#N/A,TRUE,"Shp4M";#N/A,#N/A,TRUE,"M5";#N/A,#N/A,TRUE,"Q2";#N/A,#N/A,TRUE,"Q1vsQ2";#N/A,#N/A,TRUE,"M6";#N/A,#N/A,TRUE,"TY";#N/A,#N/A,TRUE,"FLP&amp;LTY";#N/A,#N/A,TRUE,"TYMC";#N/A,#N/A,TRUE,"ShpTY";#N/A,#N/A,TRUE,"8M";#N/A,#N/A,TRUE,"FLP&amp;L8M";#N/A,#N/A,TRUE,"8MMC";#N/A,#N/A,TRUE,"Shp8M"}</definedName>
    <definedName name="C5.0"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C5.0"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C5.0" hidden="1">{#N/A,#N/A,TRUE,"COVER2";#N/A,#N/A,TRUE,"AGENDA";#N/A,#N/A,TRUE,"Cover";#N/A,#N/A,TRUE,"4M";#N/A,#N/A,TRUE,"FLP&amp;L4M";#N/A,#N/A,TRUE,"4MMC";#N/A,#N/A,TRUE,"Shp4M";#N/A,#N/A,TRUE,"M5";#N/A,#N/A,TRUE,"Q2";#N/A,#N/A,TRUE,"Q1vsQ2";#N/A,#N/A,TRUE,"M6";#N/A,#N/A,TRUE,"TY";#N/A,#N/A,TRUE,"FLP&amp;LTY";#N/A,#N/A,TRUE,"TYMC";#N/A,#N/A,TRUE,"ShpTY";#N/A,#N/A,TRUE,"8M";#N/A,#N/A,TRUE,"FLP&amp;L8M";#N/A,#N/A,TRUE,"8MMC";#N/A,#N/A,TRUE,"Shp8M"}</definedName>
    <definedName name="Cable" localSheetId="0" hidden="1">{#N/A,#N/A,FALSE,"Operations";#N/A,#N/A,FALSE,"Financials"}</definedName>
    <definedName name="Cable" localSheetId="6" hidden="1">{#N/A,#N/A,FALSE,"Operations";#N/A,#N/A,FALSE,"Financials"}</definedName>
    <definedName name="Cable" hidden="1">{#N/A,#N/A,FALSE,"Operations";#N/A,#N/A,FALSE,"Financials"}</definedName>
    <definedName name="Cable2" localSheetId="0" hidden="1">{#N/A,#N/A,FALSE,"Operations";#N/A,#N/A,FALSE,"Financials"}</definedName>
    <definedName name="Cable2" localSheetId="6" hidden="1">{#N/A,#N/A,FALSE,"Operations";#N/A,#N/A,FALSE,"Financials"}</definedName>
    <definedName name="Cable2" hidden="1">{#N/A,#N/A,FALSE,"Operations";#N/A,#N/A,FALSE,"Financials"}</definedName>
    <definedName name="cadc" hidden="1">#REF!</definedName>
    <definedName name="CAFWEFWF" hidden="1">#REF!</definedName>
    <definedName name="cagnew" localSheetId="6" hidden="1">{"IS",#N/A,FALSE,"IS";"RPTIS",#N/A,FALSE,"RPTIS";"STATS",#N/A,FALSE,"STATS";"CELL",#N/A,FALSE,"CELL";"BS",#N/A,FALSE,"BS"}</definedName>
    <definedName name="cagnew" hidden="1">{"IS",#N/A,FALSE,"IS";"RPTIS",#N/A,FALSE,"RPTIS";"STATS",#N/A,FALSE,"STATS";"CELL",#N/A,FALSE,"CELL";"BS",#N/A,FALSE,"BS"}</definedName>
    <definedName name="call" localSheetId="4">TAREK MAHMOUD</definedName>
    <definedName name="call" localSheetId="2">TAREK MAHMOUD</definedName>
    <definedName name="call" localSheetId="6">TAREK MAHMOUD</definedName>
    <definedName name="call">TAREK MAHMOUD</definedName>
    <definedName name="CalNext">#REF!</definedName>
    <definedName name="CalNow">#REF!</definedName>
    <definedName name="CalPrior">#REF!</definedName>
    <definedName name="Candeleria" localSheetId="0" hidden="1">{#N/A,#N/A,FALSE,"Cover";#N/A,#N/A,FALSE,"LUMI";#N/A,#N/A,FALSE,"COMD";#N/A,#N/A,FALSE,"Valuation";#N/A,#N/A,FALSE,"Assumptions";#N/A,#N/A,FALSE,"Pooling";#N/A,#N/A,FALSE,"BalanceSheet"}</definedName>
    <definedName name="Candeleria" localSheetId="6" hidden="1">{#N/A,#N/A,FALSE,"Cover";#N/A,#N/A,FALSE,"LUMI";#N/A,#N/A,FALSE,"COMD";#N/A,#N/A,FALSE,"Valuation";#N/A,#N/A,FALSE,"Assumptions";#N/A,#N/A,FALSE,"Pooling";#N/A,#N/A,FALSE,"BalanceSheet"}</definedName>
    <definedName name="Candeleria" hidden="1">{#N/A,#N/A,FALSE,"Cover";#N/A,#N/A,FALSE,"LUMI";#N/A,#N/A,FALSE,"COMD";#N/A,#N/A,FALSE,"Valuation";#N/A,#N/A,FALSE,"Assumptions";#N/A,#N/A,FALSE,"Pooling";#N/A,#N/A,FALSE,"BalanceSheet"}</definedName>
    <definedName name="cap">#REF!</definedName>
    <definedName name="CapEx">#REF!</definedName>
    <definedName name="Capex.">#REF!</definedName>
    <definedName name="CAPEX_1" localSheetId="0" hidden="1">{#N/A,#N/A,FALSE,"KA CH  (2)"}</definedName>
    <definedName name="CAPEX_1" localSheetId="6" hidden="1">{#N/A,#N/A,FALSE,"KA CH  (2)"}</definedName>
    <definedName name="CAPEX_1" hidden="1">{#N/A,#N/A,FALSE,"KA CH  (2)"}</definedName>
    <definedName name="CAPEX_1_1" localSheetId="0" hidden="1">{#N/A,#N/A,FALSE,"KA CH  (2)"}</definedName>
    <definedName name="CAPEX_1_1" localSheetId="6" hidden="1">{#N/A,#N/A,FALSE,"KA CH  (2)"}</definedName>
    <definedName name="CAPEX_1_1" hidden="1">{#N/A,#N/A,FALSE,"KA CH  (2)"}</definedName>
    <definedName name="CAPEX_2" localSheetId="0" hidden="1">{#N/A,#N/A,FALSE,"KA CH  (2)"}</definedName>
    <definedName name="CAPEX_2" localSheetId="6" hidden="1">{#N/A,#N/A,FALSE,"KA CH  (2)"}</definedName>
    <definedName name="CAPEX_2" hidden="1">{#N/A,#N/A,FALSE,"KA CH  (2)"}</definedName>
    <definedName name="CAPEX_3" localSheetId="0" hidden="1">{#N/A,#N/A,FALSE,"KA CH  (2)"}</definedName>
    <definedName name="CAPEX_3" localSheetId="6" hidden="1">{#N/A,#N/A,FALSE,"KA CH  (2)"}</definedName>
    <definedName name="CAPEX_3" hidden="1">{#N/A,#N/A,FALSE,"KA CH  (2)"}</definedName>
    <definedName name="CAPEX_4" localSheetId="0" hidden="1">{#N/A,#N/A,FALSE,"KA CH  (2)"}</definedName>
    <definedName name="CAPEX_4" localSheetId="6" hidden="1">{#N/A,#N/A,FALSE,"KA CH  (2)"}</definedName>
    <definedName name="CAPEX_4" hidden="1">{#N/A,#N/A,FALSE,"KA CH  (2)"}</definedName>
    <definedName name="Capex_Accounts">#REF!</definedName>
    <definedName name="Capex_accounts1">#REF!</definedName>
    <definedName name="Capex_Array">#REF!</definedName>
    <definedName name="capex_stub">#REF!</definedName>
    <definedName name="CapexYear">#REF!</definedName>
    <definedName name="Capital">#REF!</definedName>
    <definedName name="CAPITAL_EXPEN" hidden="1">"CAPITAL_EXPEN"</definedName>
    <definedName name="CAPITAL_LEASE" hidden="1">"CAPITAL_LEASE"</definedName>
    <definedName name="Capitalpb" hidden="1">#REF!</definedName>
    <definedName name="CapitalStructure" hidden="1">#REF!</definedName>
    <definedName name="CAPITIAL" localSheetId="0" hidden="1">{#N/A,#N/A,FALSE,"CE-Build";#N/A,#N/A,FALSE,"CE-Equ.";#N/A,#N/A,FALSE,"CE-Computer";#N/A,#N/A,FALSE,"CE-BFurn.";#N/A,#N/A,FALSE,"CE-Accom.";#N/A,#N/A,FALSE,"CE-Vehicle";#N/A,#N/A,FALSE,"CE-Total"}</definedName>
    <definedName name="CAPITIAL" localSheetId="6" hidden="1">{#N/A,#N/A,FALSE,"CE-Build";#N/A,#N/A,FALSE,"CE-Equ.";#N/A,#N/A,FALSE,"CE-Computer";#N/A,#N/A,FALSE,"CE-BFurn.";#N/A,#N/A,FALSE,"CE-Accom.";#N/A,#N/A,FALSE,"CE-Vehicle";#N/A,#N/A,FALSE,"CE-Total"}</definedName>
    <definedName name="CAPITIAL" hidden="1">{#N/A,#N/A,FALSE,"CE-Build";#N/A,#N/A,FALSE,"CE-Equ.";#N/A,#N/A,FALSE,"CE-Computer";#N/A,#N/A,FALSE,"CE-BFurn.";#N/A,#N/A,FALSE,"CE-Accom.";#N/A,#N/A,FALSE,"CE-Vehicle";#N/A,#N/A,FALSE,"CE-Total"}</definedName>
    <definedName name="CAPM">#REF!</definedName>
    <definedName name="Capped">#REF!</definedName>
    <definedName name="Caps">#REF!</definedName>
    <definedName name="Case">#REF!</definedName>
    <definedName name="Case_Title">#REF!</definedName>
    <definedName name="Cases">#REF!</definedName>
    <definedName name="CaseTitle">#REF!</definedName>
    <definedName name="cash">#REF!</definedName>
    <definedName name="Cash_begining">#REF!</definedName>
    <definedName name="Cash_beginning">#REF!</definedName>
    <definedName name="CASH_DUE_BANKS" hidden="1">"CASH_DUE_BANKS"</definedName>
    <definedName name="CASH_EQUIV" hidden="1">"CASH_EQUIV"</definedName>
    <definedName name="CASH_INTEREST" hidden="1">"CASH_INTEREST"</definedName>
    <definedName name="Cash_minimum">#REF!</definedName>
    <definedName name="Cash_minimumb">#REF!</definedName>
    <definedName name="CASH_ST" hidden="1">"CASH_ST"</definedName>
    <definedName name="CASH_TAXES" hidden="1">"CASH_TAXES"</definedName>
    <definedName name="cash1">#REF!</definedName>
    <definedName name="cash2">#REF!</definedName>
    <definedName name="cashfl" localSheetId="6" hidden="1">{#N/A,#N/A,TRUE,"Cover";#N/A,#N/A,TRUE,"Conts";#N/A,#N/A,TRUE,"VOS";#N/A,#N/A,TRUE,"Warrington";#N/A,#N/A,TRUE,"Widnes"}</definedName>
    <definedName name="cashfl" hidden="1">{#N/A,#N/A,TRUE,"Cover";#N/A,#N/A,TRUE,"Conts";#N/A,#N/A,TRUE,"VOS";#N/A,#N/A,TRUE,"Warrington";#N/A,#N/A,TRUE,"Widnes"}</definedName>
    <definedName name="cashfl_1" localSheetId="6" hidden="1">{#N/A,#N/A,TRUE,"Cover";#N/A,#N/A,TRUE,"Conts";#N/A,#N/A,TRUE,"VOS";#N/A,#N/A,TRUE,"Warrington";#N/A,#N/A,TRUE,"Widnes"}</definedName>
    <definedName name="cashfl_1" hidden="1">{#N/A,#N/A,TRUE,"Cover";#N/A,#N/A,TRUE,"Conts";#N/A,#N/A,TRUE,"VOS";#N/A,#N/A,TRUE,"Warrington";#N/A,#N/A,TRUE,"Widnes"}</definedName>
    <definedName name="Cashflow07" localSheetId="6"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flow07"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Cashpb" hidden="1">#REF!</definedName>
    <definedName name="CASIUVGIWUF" hidden="1">#REF!</definedName>
    <definedName name="casual" localSheetId="0" hidden="1">{"'Projection USA'!$A$2:$M$191"}</definedName>
    <definedName name="casual" localSheetId="6" hidden="1">{"'Projection USA'!$A$2:$M$191"}</definedName>
    <definedName name="casual" hidden="1">{"'Projection USA'!$A$2:$M$191"}</definedName>
    <definedName name="casual1" localSheetId="0" hidden="1">{"'Projection USA'!$A$2:$M$191"}</definedName>
    <definedName name="casual1" localSheetId="6" hidden="1">{"'Projection USA'!$A$2:$M$191"}</definedName>
    <definedName name="casual1" hidden="1">{"'Projection USA'!$A$2:$M$191"}</definedName>
    <definedName name="cat" localSheetId="4">DATE(YEAR(#REF!),MONTH(#REF!)+Payment_Number,DAY(#REF!))</definedName>
    <definedName name="cat" localSheetId="2">DATE(YEAR(#REF!),MONTH(#REF!)+Payment_Number,DAY(#REF!))</definedName>
    <definedName name="cat" localSheetId="6">DATE(YEAR(#REF!),MONTH(#REF!)+Payment_Number,DAY(#REF!))</definedName>
    <definedName name="cat">DATE(YEAR(#REF!),MONTH(#REF!)+Payment_Number,DAY(#REF!))</definedName>
    <definedName name="cat_1">#N/A</definedName>
    <definedName name="CB_2b340d953baa4fbfb2ccd42150425c90" hidden="1">#REF!</definedName>
    <definedName name="CB_3eed4b13609b478d81d6e65e3f4c8170" hidden="1">#REF!</definedName>
    <definedName name="CB_40315f6f574541d78274f0de6dab2f48" hidden="1">#REF!</definedName>
    <definedName name="CB_41bbf971ebc04950b62fe281106f05a7" hidden="1">#REF!</definedName>
    <definedName name="CB_75a8c7d0828c4228ba0e2137736e57ab" hidden="1">#REF!</definedName>
    <definedName name="CB_76cb673b3dca41e8aa0618124be134cb" hidden="1">#REF!</definedName>
    <definedName name="CB_a1c4d552330140cfabb6e2e15f7cad51" hidden="1">#REF!</definedName>
    <definedName name="cb_Add_CalloutChart_24_opts" hidden="1">"1, 9, 1, False, 2, False, False, , 0, False, False, 1, 1"</definedName>
    <definedName name="cb_Add_CalloutChart_25_opts" hidden="1">"1, 10, 1, False, 2, False, False, , 0, False, True, 1, 1"</definedName>
    <definedName name="cb_Add_CalloutChart_26_opts" hidden="1">"1, 9, 1, False, 2, False, False, , 0, False, True, 1, 1"</definedName>
    <definedName name="cb_ALT_STACKED_COLUMNChart_22_opts" hidden="1">"1, 3, 1, False, 2, True, False, , 0, False, True, 1, 2"</definedName>
    <definedName name="cb_ALT_STACKED_COLUMNChart_23_opts" hidden="1">"1, 3, 1, False, 2, True, False, , 0, False, True, 1, 2"</definedName>
    <definedName name="cb_bChart595EC34_opts" hidden="1">"1, 9, 1, False, 2, False, False, , 0, False, True, 1, 1"</definedName>
    <definedName name="cb_bChart9876793_opts" hidden="1">"1, 2, 1, False, 2, False, False, , 0, False, False, 2, 2"</definedName>
    <definedName name="CB_cf4c1a5357c74701907c41fb68213f40" hidden="1">#REF!</definedName>
    <definedName name="cb_Chart_1_opts" hidden="1">"1, 6, 1, False, 2, False, False, , 0, False, True, 1, 2"</definedName>
    <definedName name="cb_Chart_10_opts" hidden="1">"1, 8, 1, False, 2, False, False, , 0, False, False, 2, 2"</definedName>
    <definedName name="cb_Chart_100032_opts" hidden="1">"1, 10, 1, False, 2, True, False, , 0, False, False, 2, 2"</definedName>
    <definedName name="cb_Chart_10104_opts" hidden="1">"1, 5, 1, False, 2, True, False, , 0, True, False, 2, 1"</definedName>
    <definedName name="cb_Chart_10401_opts" hidden="1">"1, 5, 1, False, 2, False, False, , 0, True, False, 2, 1"</definedName>
    <definedName name="cb_Chart_10736_opts" hidden="1">"1, 10, 1, False, 2, False, False, , 0, False, False, 2, 2"</definedName>
    <definedName name="cb_Chart_11_opts" hidden="1">"1, 1, 1, False, 2, False, False, , 0, False, False, 2, 2"</definedName>
    <definedName name="cb_Chart_12_opts" hidden="1">"1, 8, 1, False, 2, False, False, , 0, False, False, 2, 2"</definedName>
    <definedName name="cb_Chart_13_opts" hidden="1">"1, 8, 1, False, 2, False, False, , 0, False, False, 2, 2"</definedName>
    <definedName name="cb_Chart_14_opts" hidden="1">"1, 8, 1, False, 2, False, False, , 0, False, False, 2, 2"</definedName>
    <definedName name="cb_Chart_15_opts" hidden="1">"2, 1, 2, True, 2, False, False, , 0, False, True, 1, 2"</definedName>
    <definedName name="cb_Chart_1501_opts" hidden="1">"1, 10, 1, False, 2, True, False, , 0, False, False, 2, 2"</definedName>
    <definedName name="cb_Chart_16_opts" hidden="1">"1, 8, 1, False, 2, False, False, , 0, False, False, 2, 2"</definedName>
    <definedName name="cb_Chart_1670_opts" hidden="1">"1, 5, 1, False, 2, True, False, , 0, False, False, 2, 1"</definedName>
    <definedName name="cb_Chart_17_opts" hidden="1">"1, 6, 1, False, 2, False, False, , 0, False, True, 2, 2"</definedName>
    <definedName name="cb_Chart_18_opts" hidden="1">"1, 9, 1, False, 2, False, False, , 0, False, False, 1, 1"</definedName>
    <definedName name="cb_Chart_19_opts" hidden="1">"1, 2, 1, False, 2, True, False, , 0, True, False, 2, 1"</definedName>
    <definedName name="cb_Chart_1opts1" hidden="1">"1, 9, 1, False, 2, False, True, , 1, False, True, 1, 1"</definedName>
    <definedName name="cb_Chart_2_opts" hidden="1">"1, 6, 1, False, 2, False, False, , 0, False, False, 1, 2"</definedName>
    <definedName name="cb_Chart_20_opts" hidden="1">"1, 9, 1, False, 2, False, False, , 0, False, False, 1, 1"</definedName>
    <definedName name="cb_Chart_21_opts" hidden="1">"1, 2, 1, False, 2, False, False, , 0, False, False, 2, 1"</definedName>
    <definedName name="cb_Chart_22_opts" hidden="1">"1, 2, 1, False, 2, True, False, , 0, False, False, 2, 1"</definedName>
    <definedName name="cb_Chart_22784_opts" hidden="1">"1, 9, 1, False, 2, False, False, , 0, False, True, 1, 2"</definedName>
    <definedName name="cb_Chart_23_opts" hidden="1">"1, 9, 1, False, 2, False, False, , 0, False, False, 1, 1"</definedName>
    <definedName name="cb_Chart_24" hidden="1">#REF!</definedName>
    <definedName name="cb_Chart_24_opts" hidden="1">"1, 2, 1, False, 2, False, False, , 0, False, False, 2, 1"</definedName>
    <definedName name="cb_Chart_24490_opts" hidden="1">"1, 10, 1, False, 2, True, False, , 0, False, False, 2, 2"</definedName>
    <definedName name="cb_Chart_25_opts" hidden="1">"1, 3, 1, False, 2, False, False, , 0, True, True, 1, 2"</definedName>
    <definedName name="cb_Chart_26" hidden="1">#REF!</definedName>
    <definedName name="cb_Chart_26_opts" hidden="1">"1, 8, 1, False, 2, False, False, , 0, False, False, 2, 2"</definedName>
    <definedName name="cb_Chart_26476_opts" hidden="1">"1, 1, 1, False, 2, True, False, , 0, False, False, 1, 2"</definedName>
    <definedName name="cb_Chart_27_opts" hidden="1">"1, 1, 1, False, 2, True, False, , 0, False, True, 1, 2"</definedName>
    <definedName name="cb_Chart_28_opts" hidden="1">"1, 3, 1, False, 2, True, False, , 0, False, True, 1, 2"</definedName>
    <definedName name="cb_Chart_28031_opts" hidden="1">"1, 1, 1, False, 2, True, False, , 0, False, False, 1, 2"</definedName>
    <definedName name="cb_Chart_28545_opts" hidden="1">"1, 5, 1, False, 2, True, False, , 0, False, True, 2, 1"</definedName>
    <definedName name="cb_Chart_29_opts" hidden="1">"1, 3, 1, False, 2, False, False, , 0, False, False, 1, 1"</definedName>
    <definedName name="cb_Chart_29053_opts" hidden="1">"1, 10, 1, False, 2, True, False, , 0, False, False, 2, 2"</definedName>
    <definedName name="cb_Chart_29913_opts" hidden="1">"1, 1, 1, False, 2, False, False, , 0, False, False, 1, 1"</definedName>
    <definedName name="cb_Chart_3_opts" hidden="1">"1, 1, 1, False, 2, True, False, , 0, False, False, 2, 2"</definedName>
    <definedName name="cb_Chart_30_opts" hidden="1">"1, 3, 1, False, 2, True, False, , 0, False, True, 1, 2"</definedName>
    <definedName name="cb_Chart_30292_opts" hidden="1">"1, 1, 1, False, 2, False, False, , 0, False, False, 1, 2"</definedName>
    <definedName name="cb_Chart_31_opts" hidden="1">"1, 1, 1, False, 2, True, False, , 0, True, True, 2, 2"</definedName>
    <definedName name="cb_Chart_32_opts" hidden="1">"1, 1, 1, False, 2, True, False, , 0, False, False, 2, 2"</definedName>
    <definedName name="cb_Chart_33_opts" hidden="1">"1, 1, 1, False, 2, True, False, , 0, False, True, 3, 2"</definedName>
    <definedName name="cb_Chart_34_opts" hidden="1">"1, 3, 1, False, 2, True, False, , 0, False, True, 2, 1"</definedName>
    <definedName name="cb_Chart_36498_opts" hidden="1">"1, 1, 1, False, 2, True, False, , 0, False, False, 1, 2"</definedName>
    <definedName name="cb_Chart_37450_opts" hidden="1">"1, 10, 1, False, 2, True, False, , 0, False, False, 2, 2"</definedName>
    <definedName name="cb_Chart_4_opts" hidden="1">"1, 7, 1, False, 2, False, False, , 0, False, True, 1, 2"</definedName>
    <definedName name="cb_Chart_40_opts" hidden="1">"1, 1, 1, False, 2, False, False, , 0, False, False, 3, 2"</definedName>
    <definedName name="cb_Chart_41_opts" hidden="1">"1, 10, 1, False, 2, True, False, , 0, False, False, 2, 1"</definedName>
    <definedName name="cb_Chart_41499_opts" hidden="1">"1, 10, 1, False, 2, True, False, , 0, False, False, 2, 2"</definedName>
    <definedName name="cb_Chart_42_opts" hidden="1">"1, 3, 1, False, 2, True, False, , 0, False, True, 1, 2"</definedName>
    <definedName name="cb_Chart_43_opts" hidden="1">"1, 10, 1, False, 2, True, False, , 0, False, False, 2, 1"</definedName>
    <definedName name="cb_Chart_4634_opts" hidden="1">"1, 10, 1, False, 2, True, False, , 0, False, False, 2, 2"</definedName>
    <definedName name="cb_Chart_4664_opts" hidden="1">"1, 5, 1, False, 2, True, False, , 0, False, True, 1, 2"</definedName>
    <definedName name="cb_Chart_46965_opts" hidden="1">"1, 1, 1, False, 2, False, False, , 0, False, False, 1, 1"</definedName>
    <definedName name="cb_Chart_48_opts" hidden="1">"2, 1, 2, True, 2, False, False, , 0, False, True, 1, 1"</definedName>
    <definedName name="cb_Chart_49_opts" hidden="1">"2, 1, 2, True, 2, False, False, , 0, False, True, 1, 1"</definedName>
    <definedName name="cb_Chart_5" hidden="1">#REF!</definedName>
    <definedName name="cb_Chart_5_opts" hidden="1">"1, 8, 1, False, 2, False, False, , 0, False, False, 1, 2"</definedName>
    <definedName name="cb_Chart_50_opts" hidden="1">"2, 1, 2, True, 2, False, False, , 0, False, True, 1, 1"</definedName>
    <definedName name="cb_Chart_51_opts" hidden="1">"1, 2, 1, False, 2, False, False, , 0, False, False, 2, 1"</definedName>
    <definedName name="cb_Chart_52_opts" hidden="1">"1, 2, 1, False, 2, False, False, , 0, False, False, 2, 1"</definedName>
    <definedName name="cb_Chart_52582_opts" hidden="1">"1, 1, 1, False, 2, False, False, , 0, False, False, 1, 2"</definedName>
    <definedName name="cb_Chart_53_opts" hidden="1">"1, 9, 1, False, 2, False, True, , 3, False, False, 1, 1"</definedName>
    <definedName name="cb_Chart_53437_opts" hidden="1">"1, 10, 1, False, 2, True, False, , 0, False, False, 2, 2"</definedName>
    <definedName name="cb_Chart_53482_opts" hidden="1">"1, 10, 1, False, 2, True, False, , 0, False, False, 2, 2"</definedName>
    <definedName name="cb_Chart_54_opts" hidden="1">"1, 2, 1, False, 2, False, False, , 0, False, False, 2, 1"</definedName>
    <definedName name="cb_Chart_5449_opts" hidden="1">"1, 1, 1, False, 2, False, False, , 0, False, False, 1, 1"</definedName>
    <definedName name="cb_Chart_55_opts" hidden="1">"1, 7, 1, False, 2, False, False, , 0, False, True, 2, 2"</definedName>
    <definedName name="cb_Chart_5723_opts" hidden="1">"1, 1, 1, False, 2, True, False, , 0, False, True, 1, 2"</definedName>
    <definedName name="cb_Chart_57613_opts" hidden="1">"1, 5, 1, False, 2, True, False, , 0, False, True, 2, 1"</definedName>
    <definedName name="cb_Chart_58046_opts" hidden="1">"1, 10, 1, False, 2, True, False, , 0, False, False, 2, 2"</definedName>
    <definedName name="cb_Chart_59010_opts" hidden="1">"1, 2, 1, False, 2, False, False, , 0, False, False, 2, 1"</definedName>
    <definedName name="cb_Chart_59340_opts" hidden="1">"1, 1, 1, False, 2, False, False, , 0, False, False, 1, 1"</definedName>
    <definedName name="cb_Chart_6" hidden="1">#REF!</definedName>
    <definedName name="cb_Chart_6_opts" hidden="1">"1, 10, 1, False, 2, True, False, , 0, False, False, 2, 2"</definedName>
    <definedName name="cb_Chart_62364_opts" hidden="1">"1, 1, 1, False, 2, True, False, , 0, False, False, 1, 2"</definedName>
    <definedName name="cb_Chart_64876_opts" hidden="1">"1, 1, 1, False, 2, True, False, , 0, False, False, 1, 2"</definedName>
    <definedName name="cb_Chart_66_opts" hidden="1">"1, 1, 1, False, 2, False, False, , 0, False, False, 1, 1"</definedName>
    <definedName name="cb_Chart_67711_opts" hidden="1">"1, 10, 1, False, 2, True, False, , 0, False, False, 2, 2"</definedName>
    <definedName name="cb_Chart_69605_opts" hidden="1">"1, 2, 1, False, 2, False, False, , 0, False, False, 2, 1"</definedName>
    <definedName name="cb_Chart_7" hidden="1">#REF!</definedName>
    <definedName name="cb_Chart_7_opts" hidden="1">"2, 1, 2, True, 2, False, False, , 0, False, True, 1, 2"</definedName>
    <definedName name="cb_Chart_70_opts" hidden="1">"1, 10, 1, False, 2, True, False, , 0, False, False, 1, 1"</definedName>
    <definedName name="cb_Chart_70648_opts" hidden="1">"1, 1, 1, False, 2, True, False, , 0, False, False, 2, 2"</definedName>
    <definedName name="cb_Chart_70997_opts" hidden="1">"1, 10, 1, False, 2, False, False, , 0, False, False, 1, 1"</definedName>
    <definedName name="cb_Chart_71_opts" hidden="1">"1, 10, 1, False, 2, False, False, , 0, False, False, 1, 1"</definedName>
    <definedName name="cb_Chart_72_opts" hidden="1">"1, 10, 1, False, 2, True, False, , 0, False, False, 1, 1"</definedName>
    <definedName name="cb_Chart_73_opts" hidden="1">"1, 10, 1, False, 2, False, False, , 0, False, False, 1, 1"</definedName>
    <definedName name="cb_Chart_76165_opts" hidden="1">"1, 10, 1, False, 2, True, False, , 0, False, False, 2, 2"</definedName>
    <definedName name="cb_Chart_76804_opts" hidden="1">"1, 1, 1, False, 2, False, False, , 0, False, False, 1, 1"</definedName>
    <definedName name="cb_Chart_77567_opts" hidden="1">"1, 10, 1, False, 2, False, False, , 0, False, False, 1, 1"</definedName>
    <definedName name="cb_Chart_79140_opts" hidden="1">"1, 10, 1, False, 2, True, False, , 0, False, False, 2, 2"</definedName>
    <definedName name="cb_Chart_79981_opts" hidden="1">"1, 5, 1, False, 2, True, False, , 0, True, False, 2, 1"</definedName>
    <definedName name="cb_Chart_8_opts" hidden="1">"1, 7, 1, False, 2, False, False, , 0, False, True, 2, 2"</definedName>
    <definedName name="cb_Chart_81541_opts" hidden="1">"1, 10, 1, False, 2, True, False, , 0, False, False, 2, 2"</definedName>
    <definedName name="cb_Chart_82552_opts" hidden="1">"1, 1, 1, False, 2, True, False, , 0, False, False, 1, 2"</definedName>
    <definedName name="cb_Chart_83072_opts" hidden="1">"1, 1, 1, False, 2, True, False, , 0, False, False, 1, 2"</definedName>
    <definedName name="cb_Chart_86354_opts" hidden="1">"1, 10, 1, False, 2, False, False, , 0, False, False, 1, 1"</definedName>
    <definedName name="cb_Chart_87236_opts" hidden="1">"1, 1, 1, False, 2, True, False, , 0, False, False, 1, 2"</definedName>
    <definedName name="cb_Chart_9_opts" hidden="1">"1, 8, 1, False, 2, False, False, , 0, False, False, 1, 1"</definedName>
    <definedName name="cb_Chart_91188_opts" hidden="1">"1, 8, 1, False, 2, False, False, , 0, False, False, 1, 2"</definedName>
    <definedName name="cb_Chart_95047_opts" hidden="1">"1, 1, 1, False, 2, False, False, , 0, False, False, 1, 2"</definedName>
    <definedName name="cb_Chart_96286_opts" hidden="1">"1, 10, 1, False, 2, True, False, , 0, False, False, 2, 2"</definedName>
    <definedName name="cb_Chart_98091_opts" hidden="1">"1, 2, 1, False, 2, False, False, , 0, False, False, 2, 1"</definedName>
    <definedName name="cb_Chart_98700_opts" hidden="1">"1, 8, 1, False, 2, False, False, , 0, False, False, 1, 2"</definedName>
    <definedName name="cb_Copy_Chart_w_New_DataChart_10_opts" hidden="1">"2, 1, 1, True, 4, False, False, , 0, False, False, 2, 2"</definedName>
    <definedName name="cb_Copy_Chart_w_New_DataChart_7_opts" hidden="1">"2, 1, 1, True, 4, False, False, , 0, False, False, 2, 2"</definedName>
    <definedName name="cb_Copy_Chart_w_New_DataChart_8_opts" hidden="1">"2, 1, 1, True, 4, False, False, , 0, False, False, 2, 2"</definedName>
    <definedName name="cb_Copy_Chart_w_New_DataChart_9_opts" hidden="1">"2, 1, 1, True, 4, False, False, , 0, False, False, 2, 2"</definedName>
    <definedName name="cb_Dimension_Pie_ChartsChart_1_opts" hidden="1">"1, 1, 1, False, 2, True, False, , 0, False, False, 2, 2"</definedName>
    <definedName name="cb_Dimension_Pie_ChartsChart_2_opts" hidden="1">"1, 10, 1, False, 2, True, False, , 0, False, False, 2, 2"</definedName>
    <definedName name="cb_Export_LegendChart_14_opts" hidden="1">"1, 10, 1, False, 2, True, False, , 0, False, False, 2, 2"</definedName>
    <definedName name="cb_Export_LegendChart_15_opts" hidden="1">"1, 10, 1, False, 2, True, False, , 0, False, False, 2, 2"</definedName>
    <definedName name="cb_PieChart_16_opts" hidden="1">"1, 10, 1, False, 2, True, False, , 0, False, False, 2, 2"</definedName>
    <definedName name="cb_sChart_1501_opts" hidden="1">"1, 1, 1, False, 2, True, False, , 0, False, False, 1, 2"</definedName>
    <definedName name="cb_sChart_26476_opts" hidden="1">"1, 4, 1, False, 2, True, False, , 0, False, False, 1, 2"</definedName>
    <definedName name="cb_sChart_28031_opts" hidden="1">"1, 4, 1, False, 2, True, False, , 0, False, False, 1, 1"</definedName>
    <definedName name="cb_sChart_29053_opts" hidden="1">"1, 2, 1, False, 2, False, False, , 0, False, False, 2, 1"</definedName>
    <definedName name="cb_sChart_29913_opts" hidden="1">"1, 3, 1, False, 2, False, False, , 0, False, True, 2, 2"</definedName>
    <definedName name="cb_sChart_30292_opts" hidden="1">"1, 1, 1, False, 2, True, False, , 0, False, False, 1, 2"</definedName>
    <definedName name="cb_sChart_36498_opts" hidden="1">"1, 3, 1, False, 2, False, False, , 0, False, False, 1, 2"</definedName>
    <definedName name="cb_sChart_37450_opts" hidden="1">"1, 5, 1, False, 2, True, False, , 0, False, True, 2, 1"</definedName>
    <definedName name="cb_sChart_41499_opts" hidden="1">"1, 2, 1, False, 2, False, False, , 0, False, False, 2, 1"</definedName>
    <definedName name="cb_sChart_4634_opts" hidden="1">"1, 2, 1, False, 2, False, False, , 0, False, False, 2, 1"</definedName>
    <definedName name="cb_sChart_46965_opts" hidden="1">"1, 1, 1, False, 2, False, False, , 0, False, False, 1, 1"</definedName>
    <definedName name="cb_sChart_52582_opts" hidden="1">"1, 5, 1, False, 2, False, False, , 0, False, True, 1, 2"</definedName>
    <definedName name="cb_sChart_53437_opts" hidden="1">"1, 9, 1, False, 2, False, False, , 0, False, True, 2, 2"</definedName>
    <definedName name="cb_sChart_5449_opts" hidden="1">"1, 3, 1, False, 2, False, False, , 0, False, True, 2, 2"</definedName>
    <definedName name="cb_sChart_5723_opts" hidden="1">"1, 3, 1, False, 2, False, False, , 0, False, True, 2, 2"</definedName>
    <definedName name="cb_sChart_58046_opts" hidden="1">"1, 9, 1, False, 2, False, False, , 0, False, True, 2, 2"</definedName>
    <definedName name="cb_sChart_59010_opts" hidden="1">"1, 5, 1, False, 2, True, False, , 0, False, False, 2, 1"</definedName>
    <definedName name="cb_sChart_59340_opts" hidden="1">"1, 3, 1, False, 2, False, False, , 0, False, True, 2, 2"</definedName>
    <definedName name="cb_sChart_62364_opts" hidden="1">"1, 3, 1, False, 2, False, False, , 0, False, True, 2, 2"</definedName>
    <definedName name="cb_sChart_64876_opts" hidden="1">"1, 5, 1, False, 2, True, False, , 0, False, False, 2, 2"</definedName>
    <definedName name="cb_sChart_70648_opts" hidden="1">"1, 8, 1, False, 2, False, False, , 0, False, False, 2, 2"</definedName>
    <definedName name="cb_sChart_70997_opts" hidden="1">"1, 2, 1, False, 2, False, False, , 0, False, False, 2, 1"</definedName>
    <definedName name="cb_sChart_76165_opts" hidden="1">"1, 2, 1, False, 2, False, False, , 0, False, False, 2, 1"</definedName>
    <definedName name="cb_sChart_76804_opts" hidden="1">"1, 3, 1, False, 2, False, False, , 0, False, True, 2, 2"</definedName>
    <definedName name="cb_sChart_77567_opts" hidden="1">"1, 1, 1, False, 2, True, False, , 0, False, False, 1, 2"</definedName>
    <definedName name="cb_sChart_79140_opts" hidden="1">"1, 5, 1, False, 2, False, False, , 0, False, True, 2, 1"</definedName>
    <definedName name="cb_sChart_81541_opts" hidden="1">"1, 2, 1, False, 2, False, False, , 0, False, False, 2, 1"</definedName>
    <definedName name="cb_sChart_82552_opts" hidden="1">"1, 4, 1, False, 2, True, False, , 0, False, False, 2, 1"</definedName>
    <definedName name="cb_sChart_83072_opts" hidden="1">"1, 4, 1, False, 2, True, False, , 0, False, False, 2, 1"</definedName>
    <definedName name="cb_sChart_86354_opts" hidden="1">"1, 4, 1, False, 2, True, False, , 0, False, False, 1, 1"</definedName>
    <definedName name="cb_sChart_87236_opts" hidden="1">"1, 1, 1, False, 2, False, False, , 0, False, False, 1, 1"</definedName>
    <definedName name="cb_sChart_95047_opts" hidden="1">"1, 6, 1, False, 2, False, False, , 0, False, True, 2, 2"</definedName>
    <definedName name="cb_sChart_96286_opts" hidden="1">"1, 2, 1, False, 2, False, False, , 0, False, False, 2, 1"</definedName>
    <definedName name="cb_sChart105F0196_opts" hidden="1">"1, 2, 1, False, 2, False, False, , 1, False, False, 2, 1"</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12595BBC_opts" hidden="1">"1, 1, 1, False, 2, True, False, , 0, False, False, 2, 2"</definedName>
    <definedName name="cb_sChart12595E44_opts" hidden="1">"1, 3, 1, False, 2, True, False, , 0, True, False, 2, 2"</definedName>
    <definedName name="cb_sChart12D83A2_opts" hidden="1">"1, 1, 1, False, 2, False, False, , 0, False, True, 2, 2"</definedName>
    <definedName name="cb_sChart12D852C_opts" hidden="1">"1, 1, 1, False, 2, False, False, , 0, False, True, 2, 2"</definedName>
    <definedName name="cb_sChart12D89EB_opts" hidden="1">"1, 1, 1, False, 2, False, False, , 0, False, True, 2, 2"</definedName>
    <definedName name="cb_sChart12DAD51_opts" hidden="1">"1, 1, 1, False, 2, False, False, , 0, False, True, 2, 2"</definedName>
    <definedName name="cb_sChart12E7B7B_opts" hidden="1">"1, 1, 1, False, 2, True, False, , 0, False, True, 2, 2"</definedName>
    <definedName name="cb_sChart12E83C1_opts" hidden="1">"1, 1, 1, False, 2, False, False, , 0, False, True, 2, 1"</definedName>
    <definedName name="cb_sChart12E85B3_opts" hidden="1">"1, 1, 1, False, 2, False, False, , 0, False, True, 2, 2"</definedName>
    <definedName name="cb_sChart12E8C9E_opts" hidden="1">"1, 2, 1, False, 2, False, False, , 0, False, False, 2, 1"</definedName>
    <definedName name="cb_sChart12EA8E0_opts" hidden="1">"1, 1, 1, False, 2, True, False, , 0, False, False, 2, 2"</definedName>
    <definedName name="cb_sChart12EB078_opts" hidden="1">"1, 1, 1, False, 2, False, False, , 0, False, False, 2, 2"</definedName>
    <definedName name="cb_sChart12EBD15_opts" hidden="1">"1, 1, 1, False, 2, False, False, , 0, False, False, 2, 2"</definedName>
    <definedName name="cb_sChart12FE48A_opts" hidden="1">"1, 2, 1, False, 2, False, False, , 0, False, False, 2, 1"</definedName>
    <definedName name="cb_sChart12FE9EB_opts" hidden="1">"1, 1, 1, False, 2, False, False, , 0, False, False, 1, 2"</definedName>
    <definedName name="cb_sChart12FEDFD_opts" hidden="1">"1, 1, 1, False, 2, False, False, , 0, False, False, 1, 2"</definedName>
    <definedName name="cb_sChart12FF231_opts" hidden="1">"1, 1, 1, False, 2, False, False, , 0, False, False, 1, 2"</definedName>
    <definedName name="cb_sChart12FF8BF_opts" hidden="1">"1, 1, 1, False, 2, False, False, , 0, False, False, 1, 2"</definedName>
    <definedName name="cb_sChart12FF933_opts" hidden="1">"1, 3, 1, False, 2, False, False, , 0, False, False, 1, 2"</definedName>
    <definedName name="cb_sChart12FFC46_opts" hidden="1">"1, 1, 1, False, 2, False, False, , 0, False, False, 1, 2"</definedName>
    <definedName name="cb_sChart137B3ADD_opts" hidden="1">"1, 1, 1, False, 2, False, False, , 0, False, False, 1, 2"</definedName>
    <definedName name="cb_sChart13893CA8_opts" hidden="1">"1, 3, 1, False, 2, False, False, , 0, False, True, 1, 1"</definedName>
    <definedName name="cb_sChart138A89C6_opts" hidden="1">"1, 5, 1, False, 2, True, False, , 0, False, True, 1, 1"</definedName>
    <definedName name="cb_sChart138A98B2_opts" hidden="1">"1, 3, 1, False, 2, False, False, , 0, False, False, 1, 1"</definedName>
    <definedName name="cb_sChart138A9A2F_opts" hidden="1">"1, 5, 1, False, 2, False, False, , 0, False, False, 1, 1"</definedName>
    <definedName name="cb_sChart138B4149_opts" hidden="1">"1, 5, 1, False, 2, False, False, , 0, False, False, 1, 1"</definedName>
    <definedName name="cb_sChart1489E789_opts" hidden="1">"2, 1, 2, True, 2, False, False, , 0, False, True, 2, 2"</definedName>
    <definedName name="cb_sChart1489EC54_opts" hidden="1">"2, 1, 2, True, 2, False, False, , 0, False, True, 2, 2"</definedName>
    <definedName name="cb_sChart14E6EA1E_opts" hidden="1">"1, 9, 1, False, 2, False, False, , 0, False, False, 1, 2"</definedName>
    <definedName name="cb_sChart14E6EB91_opts" hidden="1">"1, 9, 1, False, 2, False, False, , 0, False, False, 1, 1"</definedName>
    <definedName name="cb_sChart14E6ED99_opts" hidden="1">"1, 9, 1, False, 2, False, False, , 0, False, False, 1, 1"</definedName>
    <definedName name="cb_sChart14E6F3EE_opts" hidden="1">"1, 9, 1, False, 2, False, False, , 0, False, False, 1, 1"</definedName>
    <definedName name="cb_sChart14E81502_opts" hidden="1">"1, 9, 1, False, 2, False, False, , 0, False, False, 1, 2"</definedName>
    <definedName name="cb_sChart14E81DF6_opts" hidden="1">"1, 9, 1, False, 2, False, False, , 0, False, False, 1, 2"</definedName>
    <definedName name="cb_sChart14E82800_opts" hidden="1">"1, 9, 1, False, 2, False, False, , 0, False, False, 1, 2"</definedName>
    <definedName name="cb_sChart14E83288_opts" hidden="1">"1, 9, 1, False, 2, False, False, , 0, False, False, 1, 2"</definedName>
    <definedName name="cb_sChart14E8F629_opts" hidden="1">"1, 9, 1, False, 2, False, False, , 0, False, False, 1, 2"</definedName>
    <definedName name="cb_sChart14F787E8_opts" hidden="1">"1, 9, 1, False, 2, False, False, , 0, False, False, 1, 2"</definedName>
    <definedName name="cb_sChart14F7947A_opts" hidden="1">"1, 9, 1, False, 2, False, False, , 0, False, False, 1, 2"</definedName>
    <definedName name="cb_sChart14F79A09_opts" hidden="1">"1, 9, 1, False, 2, False, False, , 0, False, False, 1, 2"</definedName>
    <definedName name="cb_sChart14FA60AB_opts" hidden="1">"1, 9, 1, False, 2, False, False, , 0, False, False, 1, 2"</definedName>
    <definedName name="cb_sChart14FA650D_opts" hidden="1">"1, 9, 1, False, 2, False, False, , 0, False, False, 1, 2"</definedName>
    <definedName name="cb_sChart1501ACE3_opts" hidden="1">"1, 8, 1, False, 2, False, False, , 0, False, False, 1, 2"</definedName>
    <definedName name="cb_sChart1501AEF7_opts" hidden="1">"1, 9, 1, False, 2, False, False, , 0, False, False, 1, 2"</definedName>
    <definedName name="cb_sChart1501DCE6_opts" hidden="1">"1, 9, 1, False, 2, False, False, , 0, False, False, 1, 2"</definedName>
    <definedName name="cb_sChart1501EF92_opts" hidden="1">"1, 9, 1, False, 2, False, False, , 0, False, False, 1, 2"</definedName>
    <definedName name="cb_sChart1501F8CB_opts" hidden="1">"1, 9, 1, False, 2, False, False, , 0, False, False, 1, 2"</definedName>
    <definedName name="cb_sChart150208AA_opts" hidden="1">"1, 9, 1, False, 2, False, False, , 0, False, False, 1, 2"</definedName>
    <definedName name="cb_sChart15020EC4_opts" hidden="1">"1, 9, 1, False, 2, False, False, , 0, False, False, 1, 2"</definedName>
    <definedName name="cb_sChart150212BF_opts" hidden="1">"1, 9, 1, False, 2, False, False, , 0, False, False, 1, 2"</definedName>
    <definedName name="cb_sChart15021F68_opts" hidden="1">"1, 9, 1, False, 2, False, False, , 0, False, False, 1, 1"</definedName>
    <definedName name="cb_sChart15022484_opts" hidden="1">"1, 9, 1, False, 2, False, False, , 0, False, False, 1, 2"</definedName>
    <definedName name="cb_sChart150226F5_opts" hidden="1">"1, 9, 1, False, 2, False, False, , 0, False, False, 1, 2"</definedName>
    <definedName name="cb_sChart15144595_opts" hidden="1">"1, 9, 1, False, 2, False, False, , 0, False, False, 1, 2"</definedName>
    <definedName name="cb_sChart15145615_opts" hidden="1">"1, 9, 1, False, 2, False, False, , 0, False, False, 1, 2"</definedName>
    <definedName name="cb_sChart151464B0_opts" hidden="1">"1, 9, 1, False, 2, False, False, , 0, False, False, 1, 2"</definedName>
    <definedName name="cb_sChart15146FA1_opts" hidden="1">"1, 9, 1, False, 2, False, False, , 0, False, False, 1, 2"</definedName>
    <definedName name="cb_sChart15149A94_opts" hidden="1">"1, 9, 1, False, 2, False, False, , 0, False, False, 1, 2"</definedName>
    <definedName name="cb_sChart1514EEC3_opts" hidden="1">"1, 9, 1, False, 2, False, False, , 0, False, False, 1, 2"</definedName>
    <definedName name="cb_sChart1514F2E0_opts" hidden="1">"1, 9, 1, False, 2, False, False, , 0, False, False, 1, 2"</definedName>
    <definedName name="cb_sChart151510A0_opts" hidden="1">"1, 9, 1, False, 2, False, False, , 0, False, False, 1, 2"</definedName>
    <definedName name="cb_sChart15154C37_opts" hidden="1">"1, 9, 1, False, 2, False, False, , 0, False, False, 1, 2"</definedName>
    <definedName name="cb_sChart15157034_opts" hidden="1">"1, 9, 1, False, 2, False, False, , 0, False, False, 1, 2"</definedName>
    <definedName name="cb_sChart1515F81B_opts" hidden="1">"1, 9, 1, False, 2, False, False, , 0, False, False, 1, 2"</definedName>
    <definedName name="cb_sChart1515F9EA_opts" hidden="1">"1, 9, 1, False, 2, False, False, , 0, False, False, 1, 2"</definedName>
    <definedName name="cb_sChart15161029_opts" hidden="1">"1, 9, 1, False, 2, False, False, , 0, False, False, 1, 2"</definedName>
    <definedName name="cb_sChart15163773_opts" hidden="1">"1, 9, 1, False, 2, False, False, , 0, False, False, 1, 2"</definedName>
    <definedName name="cb_sChart15164F8C_opts" hidden="1">"1, 9, 1, False, 2, False, False, , 0, False, False, 1, 2"</definedName>
    <definedName name="cb_sChart15165265_opts" hidden="1">"1, 9, 1, False, 2, False, False, , 0, False, False, 1, 2"</definedName>
    <definedName name="cb_sChart15166173_opts" hidden="1">"1, 9, 1, False, 2, False, False, , 0, False, False, 1, 2"</definedName>
    <definedName name="cb_sChart1516A84C_opts" hidden="1">"1, 9, 1, False, 2, False, False, , 0, False, False, 1, 2"</definedName>
    <definedName name="cb_sChart155036A2_opts" hidden="1">"1, 1, 1, False, 2, True, False, , 0, False, False, 1, 1"</definedName>
    <definedName name="cb_sChart16EBA7BA_opts" hidden="1">"1, 1, 1, False, 2, True, False, , 0, False, True, 1, 2"</definedName>
    <definedName name="cb_sChart170B6A9B_opts" hidden="1">"1, 1, 1, False, 2, False, False, , 0, False, True, 1, 1"</definedName>
    <definedName name="cb_sChart170B6F37_opts" hidden="1">"1, 1, 1, False, 2, False, False, , 0, False, False, 1, 1"</definedName>
    <definedName name="cb_sChart170B7907_opts" hidden="1">"1, 1, 1, False, 2, False, False, , 0, False, True, 1, 1"</definedName>
    <definedName name="cb_sChart18009FE8_opts" hidden="1">"1, 1, 1, False, 2, False, False, , 0, False, False, 1, 1"</definedName>
    <definedName name="cb_sChart1801153B_opts" hidden="1">"1, 1, 1, False, 2, False, False, , 0, False, True, 1, 1"</definedName>
    <definedName name="cb_sChart181DCCD8_opts" hidden="1">"1, 9, 1, False, 2, False, False, , 0, False, True, 1, 2"</definedName>
    <definedName name="cb_sChart181DCFF7_opts" hidden="1">"1, 3, 1, False, 2, True, False, , 0, True, True, 2, 1"</definedName>
    <definedName name="cb_sChart181DDD93_opts" hidden="1">"1, 3, 1, False, 2, True, False, , 0, True, True, 2, 1"</definedName>
    <definedName name="cb_sChart181DDEEE_opts" hidden="1">"1, 3, 1, False, 2, True, False, , 0, True, True, 2, 1"</definedName>
    <definedName name="cb_sChart181DE1C7_opts" hidden="1">"1, 10, 1, False, 2, True, False, , 0, False, True, 2, 1"</definedName>
    <definedName name="cb_sChart181E8791_opts" hidden="1">"2, 1, 2, True, 2, True, False, , 0, False, True, 1, 2"</definedName>
    <definedName name="cb_sChart181E96D9_opts" hidden="1">"1, 9, 1, False, 2, False, False, , 0, False, True, 1, 2"</definedName>
    <definedName name="cb_sChart19550B88_opts" hidden="1">"1, 1, 1, False, 2, False, False, , 0, False, False, 1, 1"</definedName>
    <definedName name="cb_sChart1955183C_opts" hidden="1">"2, 1, 1, True, 2, False, False, , 0, False, False, 1, 1"</definedName>
    <definedName name="cb_sChart19551C4E_opts" hidden="1">"2, 1, 1, True, 2, True, False, , 0, False, False, 1, 1"</definedName>
    <definedName name="cb_sChart1955C01A_opts" hidden="1">"2, 1, 1, False, 2, False, False, , 0, False, True, 1, 1"</definedName>
    <definedName name="cb_sChart1955C1C7_opts" hidden="1">"2, 1, 1, True, 2, False, False, , 0, False, True, 1, 1"</definedName>
    <definedName name="cb_sChart19923D89_opts" hidden="1">"2, 1, 1, True, 2, True, False, , 0, False, True, 1, 1"</definedName>
    <definedName name="cb_sChart19929A0A_opts" hidden="1">"2, 1, 1, True, 2, True, False, , 0, False, True, 1, 1"</definedName>
    <definedName name="cb_sChart1992C0F7_opts" hidden="1">"1, 9, 1, False, 2, False, False, , 0, False, True, 1, 1"</definedName>
    <definedName name="cb_sChart1992C740_opts" hidden="1">"2, 1, 1, True, 3, True, False, , 0, False, True, 1, 1"</definedName>
    <definedName name="cb_sChart1992C9C8_opts" hidden="1">"2, 1, 1, True, 2, True, False, , 0, False, True, 1, 1"</definedName>
    <definedName name="cb_sChart19EB7A17_opts" hidden="1">"1, 3, 1, False, 2, False, False, , 0, False, True, 1, 1"</definedName>
    <definedName name="cb_sChart19EB7D70_opts" hidden="1">"1, 5, 1, False, 2, False, False, , 0, False, True, 1, 1"</definedName>
    <definedName name="cb_sChart19EB7F61_opts" hidden="1">"1, 3, 1, False, 2, False, False, , 0, False, True, 1, 1"</definedName>
    <definedName name="cb_sChart1AC0211C_opts" hidden="1">"1, 1, 1, False, 2, False, False, , 0, False, False, 2, 2"</definedName>
    <definedName name="cb_sChart1AC021B3_opts" hidden="1">"1, 1, 1, False, 2, False, False, , 0, False, False, 2, 2"</definedName>
    <definedName name="cb_sChart1AC02226_opts" hidden="1">"1, 1, 1, False, 2, False, False, , 0, False, False, 2, 2"</definedName>
    <definedName name="cb_sChart1AC02446_opts" hidden="1">"1, 1, 1, False, 2, True, False, , 0, False, True, 2, 2"</definedName>
    <definedName name="cb_sChart1AC02765_opts" hidden="1">"1, 1, 1, False, 2, True, False, , 0, False, True, 2, 2"</definedName>
    <definedName name="cb_sChart1AC027D9_opts" hidden="1">"1, 1, 1, False, 2, True, False, , 0, False, True, 2, 2"</definedName>
    <definedName name="cb_sChart1B0137B5_opts" hidden="1">"1, 1, 1, False, 2, False, False, , 0, False, False, 1, 1"</definedName>
    <definedName name="cb_sChart1B0F4031_opts" hidden="1">"1, 1, 1, False, 2, False, False, , 0, False, False, 2, 2"</definedName>
    <definedName name="cb_sChart1B0F428B_opts" hidden="1">"1, 1, 1, False, 2, False, False, , 0, False, True, 2, 2"</definedName>
    <definedName name="cb_sChart1B0F43A1_opts" hidden="1">"1, 1, 1, False, 2, False, False, , 0, False, True, 2, 2"</definedName>
    <definedName name="cb_sChart1B0F4883_opts" hidden="1">"1, 1, 1, False, 2, False, False, , 0, False, True, 2, 2"</definedName>
    <definedName name="cb_sChart1B0F4A52_opts" hidden="1">"1, 1, 1, False, 2, False, False, , 0, False, True, 2, 2"</definedName>
    <definedName name="cb_sChart1B0F5252_opts" hidden="1">"1, 1, 1, False, 2, False, False, , 0, False, True, 2, 2"</definedName>
    <definedName name="cb_sChart1B34D814_opts" hidden="1">"1, 1, 1, False, 2, True, False, , 0, False, False, 1, 1"</definedName>
    <definedName name="cb_sChart1B34D894_opts" hidden="1">"1, 1, 1, False, 2, True, False, , 0, False, False, 1, 2"</definedName>
    <definedName name="cb_sChart1B34D987_opts" hidden="1">"1, 1, 1, False, 2, False, False, , 0, False, False, 1, 2"</definedName>
    <definedName name="cb_sChart1B7AB11_opts" hidden="1">"1, 7, 1, False, 2, False, False, , 0, False, True, 1, 1"</definedName>
    <definedName name="cb_sChart1B7ECF0_opts" hidden="1">"1, 9, 1, False, 2, False, False, , 0, False, False, 1, 1"</definedName>
    <definedName name="cb_sChart1B8AF1F_opts" hidden="1">"1, 9, 1, False, 2, False, True, , 0, False, False, 1, 1"</definedName>
    <definedName name="cb_sChart1B99DE1_opts" hidden="1">"1, 7, 1, False, 2, False, False, , 0, False, True, 1, 2"</definedName>
    <definedName name="cb_sChart1B9A4AFE_opts" hidden="1">"1, 9, 1, False, 2, False, False, , 0, False, False, 1, 2"</definedName>
    <definedName name="cb_sChart1BA1DC3F_opts" hidden="1">"1, 9, 1, False, 2, False, False, , 0, False, False, 1, 2"</definedName>
    <definedName name="cb_sChart1BA8AA_opts" hidden="1">"1, 1, 1, False, 2, False, False, , 0, False, False, 1, 2"</definedName>
    <definedName name="cb_sChart1BADD1_opts" hidden="1">"1, 1, 1, False, 2, False, False, , 0, False, False, 2, 2"</definedName>
    <definedName name="cb_sChart1C1E3875_opts" hidden="1">"1, 3, 1, False, 2, True, False, , 0, False, True, 1, 1"</definedName>
    <definedName name="cb_sChart1C1E3945_opts" hidden="1">"1, 5, 1, False, 2, True, False, , 0, False, True, 1, 1"</definedName>
    <definedName name="cb_sChart1C1E3ADA_opts" hidden="1">"1, 5, 1, False, 2, True, False, , 0, False, True, 1, 1"</definedName>
    <definedName name="cb_sChart1C1E4E34_opts" hidden="1">"1, 4, 1, False, 2, True, False, , 0, False, False, 1, 1"</definedName>
    <definedName name="cb_sChart1C1E5685_opts" hidden="1">"1, 4, 1, False, 2, True, False, , 0, False, True, 3, 1"</definedName>
    <definedName name="cb_sChart1C1E5778_opts" hidden="1">"1, 1, 1, False, 2, True, False, , 0, False, True, 3, 1"</definedName>
    <definedName name="cb_sChart1C1E580F_opts" hidden="1">"1, 4, 1, False, 2, True, False, , 0, False, True, 3, 1"</definedName>
    <definedName name="cb_sChart1C1E58D4_opts" hidden="1">"1, 4, 1, False, 2, True, False, , 0, False, True, 3, 1"</definedName>
    <definedName name="cb_sChart1C94B61D_opts" hidden="1">"1, 9, 3, False, 2, False, False, , 0, False, True, 1, 1"</definedName>
    <definedName name="cb_sChart1C94BA0C_opts" hidden="1">"1, 1, 1, False, 2, True, False, , 0, False, True, 1, 1"</definedName>
    <definedName name="cb_sChart1C94BFE1_opts" hidden="1">"1, 9, 1, False, 2, False, False, , 0, False, True, 1, 1"</definedName>
    <definedName name="cb_sChart1CAAAF_opts" hidden="1">"1, 1, 1, False, 2, False, False, , 0, False, False, 3, 2"</definedName>
    <definedName name="cb_sChart1CC73911_opts" hidden="1">"1, 4, 1, False, 2, True, False, , 0, False, False, 1, 1"</definedName>
    <definedName name="cb_sChart1CC73F09_opts" hidden="1">"1, 5, 1, False, 2, True, False, , 0, False, False, 1, 1"</definedName>
    <definedName name="cb_sChart1CC7539B_opts" hidden="1">"1, 5, 1, False, 2, True, False, , 0, False, False, 1, 1"</definedName>
    <definedName name="cb_sChart1CC78F1B_opts" hidden="1">"1, 5, 1, False, 2, True, False, , 0, False, False, 1, 1"</definedName>
    <definedName name="cb_sChart1CC7CC46_opts" hidden="1">"1, 5, 1, False, 2, True, False, , 0, False, False, 1, 1"</definedName>
    <definedName name="cb_sChart1CC916DC_opts" hidden="1">"1, 10, 1, False, 2, False, False, , 0, False, False, 1, 1"</definedName>
    <definedName name="cb_sChart1D0218BA_opts" hidden="1">"1, 1, 1, False, 2, False, False, , 0, False, False, 1, 1"</definedName>
    <definedName name="cb_sChart1D0219E7_opts" hidden="1">"1, 1, 1, False, 2, False, False, , 0, False, False, 1, 1"</definedName>
    <definedName name="cb_sChart1D022117_opts" hidden="1">"1, 1, 1, False, 2, False, False, , 0, False, False, 1, 1"</definedName>
    <definedName name="cb_sChart1D02CAAE_opts" hidden="1">"1, 10, 1, False, 2, False, False, , 0, False, False, 1, 1"</definedName>
    <definedName name="cb_sChart1D03E238_opts" hidden="1">"1, 1, 1, False, 2, False, False, , 0, False, False, 1, 1"</definedName>
    <definedName name="cb_sChart1D03E90C_opts" hidden="1">"1, 1, 1, False, 2, False, False, , 0, False, False, 1, 1"</definedName>
    <definedName name="cb_sChart1D05BD_opts" hidden="1">"1, 4, 1, False, 2, True, False, , 0, False, False, 2, 1"</definedName>
    <definedName name="cb_sChart1D0E49_opts" hidden="1">"1, 1, 1, False, 2, True, False, , 0, False, True, 2, 1"</definedName>
    <definedName name="cb_sChart1D0EF7_opts" hidden="1">"1, 5, 1, False, 2, True, False, , 0, False, True, 2, 1"</definedName>
    <definedName name="cb_sChart1D1405AB_opts" hidden="1">"1, 10, 1, False, 2, False, False, , 0, False, False, 1, 1"</definedName>
    <definedName name="cb_sChart1D1426E6_opts" hidden="1">"1, 10, 1, False, 2, False, False, , 0, False, False, 1, 1"</definedName>
    <definedName name="cb_sChart1D14336C_opts" hidden="1">"1, 10, 1, False, 2, False, False, , 0, False, False, 1, 1"</definedName>
    <definedName name="cb_sChart1D14587E_opts" hidden="1">"1, 10, 1, False, 2, False, False, , 0, False, False, 1, 1"</definedName>
    <definedName name="cb_sChart1D3AE8_opts" hidden="1">"1, 6, 1, False, 2, False, False, , 0, False, True, 2, 2"</definedName>
    <definedName name="cb_sChart1D3EEF_opts" hidden="1">"1, 7, 1, False, 2, False, False, , 0, False, True, 2, 2"</definedName>
    <definedName name="cb_sChart1D41EA_opts" hidden="1">"1, 8, 1, False, 2, False, False, , 0, False, False, 2, 2"</definedName>
    <definedName name="cb_sChart1D5891_opts" hidden="1">"1, 9, 1, False, 2, False, False, , 0, False, True, 2, 2"</definedName>
    <definedName name="cb_sChart1D9CE2_opts" hidden="1">"1, 10, 1, False, 2, True, False, , 0, False, False, 2, 2"</definedName>
    <definedName name="cb_sChart1DA03A_opts" hidden="1">"2, 1, 1, True, 3, False, False, , 0, False, True, 1, 2"</definedName>
    <definedName name="cb_sChart1DA590_opts" hidden="1">"2, 1, 1, True, 3, False, False, , 0, False, True, 2, 2"</definedName>
    <definedName name="cb_sChart1DB9B8D4_opts" hidden="1">"1, 10, 1, False, 2, False, False, , 0, False, False, 1, 1"</definedName>
    <definedName name="cb_sChart1DB9C5CE_opts" hidden="1">"1, 10, 1, False, 2, False, False, , 0, False, False, 1, 1"</definedName>
    <definedName name="cb_sChart1DBAAD_opts" hidden="1">"2, 1, 2, True, 2, False, False, , 0, False, True, 1, 2"</definedName>
    <definedName name="cb_sChart1DBB89_opts" hidden="1">"2, 1, 2, True, 2, False, False, , 0, False, True, 1, 1"</definedName>
    <definedName name="cb_sChart1DBCD0EE_opts" hidden="1">"1, 10, 1, False, 2, False, False, , 0, False, False, 1, 1"</definedName>
    <definedName name="cb_sChart1DBCD418_opts" hidden="1">"1, 10, 1, False, 2, False, False, , 0, False, False, 1, 1"</definedName>
    <definedName name="cb_sChart1DCA97_opts" hidden="1">"2, 1, 1, True, 2, False, False, , 0, False, True, 2, 1"</definedName>
    <definedName name="cb_sChart1DCCF1_opts" hidden="1">"2, 1, 1, True, 2, False, False, , 0, False, True, 1, 2"</definedName>
    <definedName name="cb_sChart1DE61B2E_opts" hidden="1">"1, 5, 1, False, 2, True, False, , 0, False, False, 1, 1"</definedName>
    <definedName name="cb_sChart1DE61F85_opts" hidden="1">"1, 4, 1, False, 2, True, False, , 0, False, False, 1, 1"</definedName>
    <definedName name="cb_sChart1DE62010_opts" hidden="1">"1, 5, 1, False, 2, True, False, , 0, False, False, 1, 1"</definedName>
    <definedName name="cb_sChart1DE624C3_opts" hidden="1">"1, 5, 1, False, 2, True, False, , 0, False, False, 1, 1"</definedName>
    <definedName name="cb_sChart1DE6423E_opts" hidden="1">"1, 5, 1, False, 2, True, False, , 0, False, False, 1, 1"</definedName>
    <definedName name="cb_sChart1E1206_opts" hidden="1">"2, 1, 3, False, 2, False, False, , 0, False, True, 2, 2"</definedName>
    <definedName name="cb_sChart1E17F2_opts" hidden="1">"1, 9, 1, False, 2, False, False, , 0, False, True, 1, 1"</definedName>
    <definedName name="cb_sChart1E2D49_opts" hidden="1">"1, 10, 1, False, 2, True, False, , 0, False, False, 3, 2"</definedName>
    <definedName name="cb_sChart1E2DEB_opts" hidden="1">"1, 10, 1, False, 2, True, False, , 0, False, False, 2, 2"</definedName>
    <definedName name="cb_sChart1E3944_opts" hidden="1">"1, 10, 1, False, 2, True, False, , 0, False, False, 2, 2"</definedName>
    <definedName name="cb_sChart1E3BE4_opts" hidden="1">"1, 10, 1, False, 2, True, False, , 0, False, False, 2, 2"</definedName>
    <definedName name="cb_sChart1E3E3D_opts" hidden="1">"1, 10, 1, False, 2, True, False, , 0, False, False, 1, 2"</definedName>
    <definedName name="cb_sChart1E4314_opts" hidden="1">"1, 10, 1, False, 2, True, False, , 0, False, False, 2, 2"</definedName>
    <definedName name="cb_sChart1E4E56_opts" hidden="1">"1, 1, 1, False, 2, False, False, , 0, False, False, 2, 2"</definedName>
    <definedName name="cb_sChart1E5372_opts" hidden="1">"1, 1, 1, False, 2, True, False, , 0, False, True, 2, 2"</definedName>
    <definedName name="cb_sChart1E5975_opts" hidden="1">"2, 1, 2, True, 2, False, False, , 0, False, True, 1, 2"</definedName>
    <definedName name="cb_sChart1E5C43_opts" hidden="1">"2, 1, 2, True, 2, False, False, , 0, False, True, 2, 2"</definedName>
    <definedName name="cb_sChart1E5F4A_opts" hidden="1">"2, 1, 2, True, 2, False, False, , 0, False, True, 1, 2"</definedName>
    <definedName name="cb_sChart23F891A_opts" hidden="1">"1, 9, 1, False, 2, False, False, , 0, False, True, 1, 1"</definedName>
    <definedName name="cb_sChart24ED245_opts" hidden="1">"1, 9, 1, False, 2, False, False, , 0, False, True, 1, 1"</definedName>
    <definedName name="cb_sChart24ED930_opts" hidden="1">"1, 9, 1, False, 2, False, False, , 0, False, False, 1, 1"</definedName>
    <definedName name="cb_sChart26CA498_opts" hidden="1">"1, 9, 1, False, 2, False, False, , 0, False, False, 1, 1"</definedName>
    <definedName name="cb_sChart27D31D5_opts" hidden="1">"1, 9, 1, False, 2, False, False, , 0, False, True, 1, 1"</definedName>
    <definedName name="cb_sChart27D3990_opts" hidden="1">"1, 9, 1, False, 2, False, False, , 0, False, True, 1, 1"</definedName>
    <definedName name="cb_sChart2A64D8F_opts" hidden="1">"1, 8, 1, False, 2, False, False, , 0, False, True, 1, 1"</definedName>
    <definedName name="cb_sChart2A65748_opts" hidden="1">"1, 8, 1, False, 2, False, False, , 0, False, True, 1, 1"</definedName>
    <definedName name="cb_sChart2A667D4_opts" hidden="1">"1, 8, 1, False, 2, False, False, , 0, False, True, 1, 1"</definedName>
    <definedName name="cb_sChart2A66D9D_opts" hidden="1">"1, 8, 1, False, 2, False, False, , 0, False, True, 1, 1"</definedName>
    <definedName name="cb_sChart2A67124_opts" hidden="1">"2, 1, 3, False, 2, False, False, , 0, False, True, 1, 1"</definedName>
    <definedName name="cb_sChart2A673A1_opts" hidden="1">"1, 8, 1, False, 2, False, False, , 0, False, True, 1, 1"</definedName>
    <definedName name="cb_sChart2A67A0C_opts" hidden="1">"1, 8, 1, False, 2, False, False, , 0, False, True, 1, 1"</definedName>
    <definedName name="cb_sChart2A68670_opts" hidden="1">"1, 8, 1, False, 2, False, False, , 0, False, True, 1, 1"</definedName>
    <definedName name="cb_sChart2A6C43D_opts" hidden="1">"1, 9, 1, False, 2, False, False, , 0, False, True, 1, 1"</definedName>
    <definedName name="cb_sChart2A74E8A_opts" hidden="1">"1, 9, 1, False, 2, False, False, , 0, False, True, 1, 1"</definedName>
    <definedName name="cb_sChart2A76BA8_opts" hidden="1">"1, 9, 1, False, 2, False, False, , 0, False, True, 1, 1"</definedName>
    <definedName name="cb_sChart2D6F93B_opts" hidden="1">"1, 9, 1, False, 2, False, False, , 0, False, True, 1, 1"</definedName>
    <definedName name="cb_sChart2D714FE_opts" hidden="1">"1, 9, 1, False, 2, False, False, , 0, False, True, 1, 2"</definedName>
    <definedName name="cb_sChart2D737E5_opts" hidden="1">"1, 9, 1, False, 2, False, False, , 0, False, False, 1, 2"</definedName>
    <definedName name="cb_sChart2D73A28_opts" hidden="1">"1, 9, 1, False, 2, False, False, , 0, False, True, 1, 1"</definedName>
    <definedName name="cb_sChart2D759D9_opts" hidden="1">"1, 10, 1, False, 2, False, False, , 0, False, False, 1, 2"</definedName>
    <definedName name="cb_sChart2D76823_opts" hidden="1">"1, 9, 1, False, 2, False, False, , 0, False, True, 1, 2"</definedName>
    <definedName name="cb_sChart2D76BFA_opts" hidden="1">"1, 9, 1, False, 2, False, False, , 0, False, True, 1, 2"</definedName>
    <definedName name="cb_sChart2D9FB96_opts" hidden="1">"1, 9, 1, False, 2, False, False, , 0, False, True, 1, 2"</definedName>
    <definedName name="cb_sChart2D9FE6F_opts" hidden="1">"1, 9, 1, False, 2, False, False, , 0, False, True, 1, 2"</definedName>
    <definedName name="cb_sChart2DA6F48_opts" hidden="1">"1, 9, 1, False, 2, False, False, , 0, False, True, 1, 2"</definedName>
    <definedName name="cb_sChart2DAB5B8_opts" hidden="1">"1, 7, 1, False, 2, False, False, , 0, False, True, 1, 1"</definedName>
    <definedName name="cb_sChart2DAC2D5_opts" hidden="1">"1, 7, 1, False, 2, False, False, , 0, False, True, 1, 1"</definedName>
    <definedName name="cb_sChart2DADDDE_opts" hidden="1">"1, 7, 1, False, 2, False, False, , 0, False, False, 1, 1"</definedName>
    <definedName name="cb_sChart2DADE5D_opts" hidden="1">"1, 7, 1, False, 2, False, False, , 0, False, True, 1, 1"</definedName>
    <definedName name="cb_sChart2DAF358_opts" hidden="1">"1, 7, 1, False, 2, False, False, , 0, False, True, 1, 1"</definedName>
    <definedName name="cb_sChart2DB05D6_opts" hidden="1">"1, 7, 1, False, 2, False, False, , 0, False, True, 1, 1"</definedName>
    <definedName name="cb_sChart2DBCB46_opts" hidden="1">"1, 7, 1, False, 2, False, False, , 0, False, True, 1, 1"</definedName>
    <definedName name="cb_sChart2E6278B_opts" hidden="1">"1, 9, 1, False, 2, False, False, , 0, False, True, 1, 1"</definedName>
    <definedName name="cb_sChart2EB0678_opts" hidden="1">"1, 1, 1, False, 2, True, False, , 0, False, True, 2, 2"</definedName>
    <definedName name="cb_sChart2F3EBCE_opts" hidden="1">"2, 1, 1, False, 2, False, False, , 0, False, True, 2, 2"</definedName>
    <definedName name="cb_sChart2F3F63F_opts" hidden="1">"1, 5, 1, False, 2, True, False, , 0, False, False, 1, 1"</definedName>
    <definedName name="cb_sChart2F3F90D_opts" hidden="1">"1, 5, 1, False, 2, True, False, , 0, False, False, 2, 2"</definedName>
    <definedName name="cb_sChart2F46DBE_opts" hidden="1">"2, 1, 1, True, 2, False, False, , 0, False, True, 1, 2"</definedName>
    <definedName name="cb_sChart2F470D1_opts" hidden="1">"2, 1, 1, False, 2, True, False, , 0, False, True, 1, 2"</definedName>
    <definedName name="cb_sChart2F4952A_opts" hidden="1">"1, 5, 1, False, 2, False, False, , 0, False, False, 1, 1"</definedName>
    <definedName name="cb_sChart2F49CDA_opts" hidden="1">"1, 5, 1, False, 2, False, False, , 0, False, False, 1, 1"</definedName>
    <definedName name="cb_sChart2F4A3D0_opts" hidden="1">"1, 5, 1, False, 2, False, False, , 0, False, False, 1, 1"</definedName>
    <definedName name="cb_sChart2F4A9B1_opts" hidden="1">"1, 5, 1, False, 2, False, False, , 0, False, False, 1, 1"</definedName>
    <definedName name="cb_sChart2F65E86_opts" hidden="1">"1, 1, 1, False, 2, True, False, , 0, False, False, 2, 2"</definedName>
    <definedName name="cb_sChart2F6A8C2_opts" hidden="1">"1, 1, 1, False, 2, True, False, , 0, False, False, 1, 2"</definedName>
    <definedName name="cb_sChart2F6AAB4_opts" hidden="1">"1, 1, 1, False, 2, True, False, , 0, False, True, 1, 2"</definedName>
    <definedName name="cb_sChart2F6B601_opts" hidden="1">"1, 1, 1, False, 2, False, False, , 0, False, False, 1, 1"</definedName>
    <definedName name="cb_sChart2F730C1_opts" hidden="1">"1, 4, 1, False, 2, False, False, , 0, False, False, 1, 1"</definedName>
    <definedName name="cb_sChart2FA9A3C_opts" hidden="1">"1, 3, 1, False, 2, False, False, , 0, False, True, 1, 2"</definedName>
    <definedName name="cb_sChart2FA9CC4_opts" hidden="1">"1, 3, 1, False, 2, False, False, , 0, False, True, 1, 2"</definedName>
    <definedName name="cb_sChart33FC2FF_opts" hidden="1">"1, 5, 1, False, 2, False, False, , 0, False, False, 1, 2"</definedName>
    <definedName name="cb_sChart33FC8D4_opts" hidden="1">"1, 5, 1, False, 2, False, False, , 0, False, False, 1, 2"</definedName>
    <definedName name="cb_sChart33FE8BF_opts" hidden="1">"1, 5, 1, False, 2, False, False, , 0, False, False, 1, 2"</definedName>
    <definedName name="cb_sChart34010F1_opts" hidden="1">"1, 5, 1, False, 2, False, False, , 0, False, False, 1, 2"</definedName>
    <definedName name="cb_sChart3401AFA_opts" hidden="1">"1, 5, 1, False, 2, False, False, , 0, False, False, 1, 2"</definedName>
    <definedName name="cb_sChart3409186_opts" hidden="1">"1, 5, 1, False, 2, False, False, , 0, False, False, 1, 2"</definedName>
    <definedName name="cb_sChart340A263_opts" hidden="1">"1, 5, 1, False, 2, False, False, , 0, False, False, 1, 1"</definedName>
    <definedName name="cb_sChart340F629_opts" hidden="1">"1, 8, 1, False, 2, False, False, , 0, False, False, 1, 2"</definedName>
    <definedName name="cb_sChart340FD14_opts" hidden="1">"1, 8, 1, False, 2, False, False, , 0, False, False, 1, 2"</definedName>
    <definedName name="cb_sChart34107E2_opts" hidden="1">"1, 8, 1, False, 2, False, False, , 0, False, False, 1, 1"</definedName>
    <definedName name="cb_sChart3434ED7_opts" hidden="1">"1, 5, 1, False, 2, False, False, , 0, False, False, 1, 2"</definedName>
    <definedName name="cb_sChart343DEED_opts" hidden="1">"2, 1, 2, True, 2, False, False, , 0, False, True, 1, 2"</definedName>
    <definedName name="cb_sChart344EE9A_opts" hidden="1">"1, 9, 1, False, 2, False, False, , 0, False, True, 1, 1"</definedName>
    <definedName name="cb_sChart344F24F_opts" hidden="1">"1, 9, 1, False, 2, False, False, , 0, False, True, 1, 2"</definedName>
    <definedName name="cb_sChart3450777_opts" hidden="1">"1, 9, 1, False, 2, False, True, 13, 2, False, False, 1, 1"</definedName>
    <definedName name="cb_sChart3450E85_opts" hidden="1">"1, 9, 1, False, 2, False, False, , 0, False, True, 1, 2"</definedName>
    <definedName name="cb_sChart3452C22_opts" hidden="1">"1, 3, 1, False, 2, False, False, , 0, False, True, 1, 2"</definedName>
    <definedName name="cb_sChart345311B_opts" hidden="1">"1, 3, 1, False, 2, False, False, , 0, False, True, 1, 2"</definedName>
    <definedName name="cb_sChart3453B0D_opts" hidden="1">"2, 1, 1, True, 2, False, False, , 0, False, True, 1, 2"</definedName>
    <definedName name="cb_sChart34647CA_opts" hidden="1">"1, 8, 1, False, 2, False, False, , 0, False, False, 2, 2"</definedName>
    <definedName name="cb_sChart346520D_opts" hidden="1">"1, 8, 1, False, 2, False, False, , 0, False, False, 1, 2"</definedName>
    <definedName name="cb_sChart34654DB_opts" hidden="1">"1, 8, 1, False, 2, False, False, , 0, False, False, 1, 2"</definedName>
    <definedName name="cb_sChart346953C_opts" hidden="1">"2, 1, 1, False, 2, False, False, , 0, False, False, 2, 2"</definedName>
    <definedName name="cb_sChart346A27B_opts" hidden="1">"1, 3, 1, False, 2, False, False, , 0, False, True, 2, 2"</definedName>
    <definedName name="cb_sChart347102A_opts" hidden="1">"2, 1, 1, False, 2, False, False, , 0, False, True, 2, 2"</definedName>
    <definedName name="cb_sChart34E448E_opts" hidden="1">"1, 1, 1, False, 2, False, False, , 0, False, False, 1, 1"</definedName>
    <definedName name="cb_sChart34F5376_opts" hidden="1">"2, 1, 2, True, 2, False, False, , 0, False, True, 1, 2"</definedName>
    <definedName name="cb_sChart34F577C_opts" hidden="1">"2, 1, 2, True, 2, False, False, , 0, False, True, 1, 2"</definedName>
    <definedName name="cb_sChart34F5A05_opts" hidden="1">"2, 1, 2, True, 2, False, False, , 0, False, True, 1, 2"</definedName>
    <definedName name="cb_sChart34F5F2C_opts" hidden="1">"2, 1, 2, True, 2, False, False, , 0, False, True, 1, 2"</definedName>
    <definedName name="cb_sChart34F92FC_opts" hidden="1">"1, 1, 1, False, 2, True, False, , 0, False, False, 1, 2"</definedName>
    <definedName name="cb_sChart34F9B08_opts" hidden="1">"1, 4, 1, False, 2, False, False, , 0, False, False, 1, 1"</definedName>
    <definedName name="cb_sChart34FAEB3_opts" hidden="1">"1, 3, 1, False, 2, False, False, , 0, False, True, 1, 1"</definedName>
    <definedName name="cb_sChart34FB053_opts" hidden="1">"1, 3, 1, False, 2, True, False, , 0, False, False, 1, 1"</definedName>
    <definedName name="cb_sChart352F02B_opts" hidden="1">"1, 5, 1, False, 2, True, False, , 0, False, False, 1, 2"</definedName>
    <definedName name="cb_sChart3532FF6_opts" hidden="1">"2, 1, 1, False, 2, False, False, , 0, False, True, 1, 2"</definedName>
    <definedName name="cb_sChart355BCAD_opts" hidden="1">"2, 1, 1, False, 2, False, False, , 0, False, True, 1, 2"</definedName>
    <definedName name="cb_sChart35FF6A2_opts" hidden="1">"1, 8, 1, False, 2, False, False, , 0, False, False, 1, 2"</definedName>
    <definedName name="cb_sChart3624091_opts" hidden="1">"1, 8, 1, False, 2, False, False, , 0, False, False, 1, 2"</definedName>
    <definedName name="cb_sChart36406CE_opts" hidden="1">"1, 3, 1, False, 2, True, False, , 0, False, True, 1, 1"</definedName>
    <definedName name="cb_sChart3AB73A1_opts" hidden="1">"2, 1, 1, False, 2, True, False, , 0, False, True, 2, 2"</definedName>
    <definedName name="cb_sChart3ABAD51_opts" hidden="1">"1, 5, 1, False, 2, True, False, , 0, False, False, 2, 2"</definedName>
    <definedName name="cb_sChart3AE4A4F_opts" hidden="1">"2, 1, 1, True, 2, False, False, , 0, False, True, 2, 2"</definedName>
    <definedName name="cb_sChart3AEA7B7_opts" hidden="1">"2, 1, 1, True, 2, False, False, , 0, False, True, 1, 1"</definedName>
    <definedName name="cb_sChart3AEAB83_opts" hidden="1">"2, 1, 1, True, 2, False, False, , 0, False, True, 2, 2"</definedName>
    <definedName name="cb_sChart3AF2834_opts" hidden="1">"1, 3, 1, False, 2, False, False, , 0, False, False, 2, 2"</definedName>
    <definedName name="cb_sChart3AF5310_opts" hidden="1">"1, 1, 1, False, 2, False, False, , 0, False, False, 1, 2"</definedName>
    <definedName name="cb_sChart3AF68AD_opts" hidden="1">"1, 1, 1, False, 2, False, False, , 0, False, False, 2, 2"</definedName>
    <definedName name="cb_sChart3AF71DA_opts" hidden="1">"1, 1, 1, False, 2, False, False, , 0, False, False, 1, 1"</definedName>
    <definedName name="cb_sChart3AF76D4_opts" hidden="1">"1, 1, 1, False, 2, False, False, , 0, False, False, 2, 2"</definedName>
    <definedName name="cb_sChart3AF8492_opts" hidden="1">"1, 1, 1, False, 2, False, False, , 0, False, False, 1, 1"</definedName>
    <definedName name="cb_sChart3AFF994_opts" hidden="1">"1, 1, 1, False, 2, False, False, , 0, False, False, 2, 2"</definedName>
    <definedName name="cb_sChart3B004D6_opts" hidden="1">"1, 1, 1, False, 2, False, False, , 0, False, False, 1, 1"</definedName>
    <definedName name="cb_sChart3B03C44_opts" hidden="1">"1, 1, 1, False, 2, False, False, , 0, False, False, 1, 1"</definedName>
    <definedName name="cb_sChart3B08D31_opts" hidden="1">"1, 8, 1, False, 2, False, False, , 0, False, False, 2, 2"</definedName>
    <definedName name="cb_sChart3B09A9F_opts" hidden="1">"1, 8, 1, False, 2, False, False, , 0, False, False, 2, 2"</definedName>
    <definedName name="cb_sChart3B09F8C_opts" hidden="1">"1, 8, 1, False, 2, False, False, , 0, False, False, 2, 2"</definedName>
    <definedName name="cb_sChart3B0ABD8_opts" hidden="1">"1, 8, 1, False, 2, False, False, , 0, False, False, 2, 2"</definedName>
    <definedName name="cb_sChart3B12357_opts" hidden="1">"1, 8, 1, False, 2, False, False, , 0, False, False, 2, 2"</definedName>
    <definedName name="cb_sChart3B12816_opts" hidden="1">"1, 8, 1, False, 2, False, False, , 0, False, False, 2, 2"</definedName>
    <definedName name="cb_sChart3B12D0F_opts" hidden="1">"1, 8, 1, False, 2, False, False, , 0, False, False, 2, 2"</definedName>
    <definedName name="cb_sChart3BA9EF5_opts" hidden="1">"1, 9, 1, False, 2, False, False, , 0, False, True, 1, 1"</definedName>
    <definedName name="cb_sChart3BAA0A1_opts" hidden="1">"1, 9, 1, False, 2, False, False, , 0, False, True, 1, 1"</definedName>
    <definedName name="cb_sChart3BAA29E_opts" hidden="1">"1, 9, 1, False, 2, False, False, , 0, False, True, 1, 1"</definedName>
    <definedName name="cb_sChart3BAACED_opts" hidden="1">"1, 9, 1, False, 2, False, False, , 0, False, True, 1, 1"</definedName>
    <definedName name="cb_sChart3BAD7A6_opts" hidden="1">"2, 1, 2, True, 2, False, False, , 0, False, True, 1, 2"</definedName>
    <definedName name="cb_sChart3BBD972_opts" hidden="1">"1, 1, 1, False, 2, False, False, , 0, False, False, 1, 1"</definedName>
    <definedName name="cb_sChart3BC0E91_opts" hidden="1">"2, 1, 1, False, 2, True, False, , 0, False, True, 1, 1"</definedName>
    <definedName name="cb_sChart3BFC30E_opts" hidden="1">"1, 4, 1, False, 2, False, False, , 0, False, False, 1, 1"</definedName>
    <definedName name="cb_sChart3BFD9FA_opts" hidden="1">"2, 1, 1, True, 2, False, False, , 0, False, True, 2, 2"</definedName>
    <definedName name="cb_sChart3BFEF23_opts" hidden="1">"1, 4, 1, False, 2, False, False, , 0, False, False, 1, 1"</definedName>
    <definedName name="cb_sChart3BFF2E3_opts" hidden="1">"1, 1, 1, False, 2, False, False, , 0, False, False, 1, 1"</definedName>
    <definedName name="cb_sChart41E9A35_opts" hidden="1">"1, 9, 1, False, 2, False, False, , 0, False, True, 1, 1"</definedName>
    <definedName name="cb_sChart463330_opts" hidden="1">"2, 1, 2, True, 2, False, False, , 0, False, True, 1, 2"</definedName>
    <definedName name="cb_sChart4665D3_opts" hidden="1">"1, 9, 1, False, 2, False, False, , 0, False, True, 2, 2"</definedName>
    <definedName name="cb_sChart4680DD_opts" hidden="1">"1, 10, 1, False, 2, True, False, , 0, False, False, 2, 2"</definedName>
    <definedName name="cb_sChart468801_opts" hidden="1">"1, 10, 1, False, 2, True, False, , 0, False, False, 2, 2"</definedName>
    <definedName name="cb_sChart46BC0B_opts" hidden="1">"2, 1, 2, True, 2, False, False, , 0, False, True, 1, 2"</definedName>
    <definedName name="cb_sChart4828C3_opts" hidden="1">"1, 1, 1, False, 2, False, False, , 0, False, False, 1, 2"</definedName>
    <definedName name="cb_sChart482D03_opts" hidden="1">"1, 1, 1, False, 2, False, False, , 0, False, False, 1, 2"</definedName>
    <definedName name="cb_sChart595EE0E_opts" hidden="1">"1, 9, 1, False, 2, False, True, , 3, False, True, 1, 1"</definedName>
    <definedName name="cb_sChart5D0C805_opts" hidden="1">"1, 4, 1, False, 2, False, False, , 0, False, False, 1, 1"</definedName>
    <definedName name="cb_sChart5D375C8_opts" hidden="1">"1, 9, 1, False, 2, False, False, , 0, False, True, 1, 1"</definedName>
    <definedName name="cb_sChart6A2ED7_opts" hidden="1">"1, 10, 1, False, 2, True, False, , 0, False, False, 1, 1"</definedName>
    <definedName name="cb_sChart6A6617_opts" hidden="1">"1, 10, 1, False, 2, True, False, , 0, False, False, 1, 1"</definedName>
    <definedName name="cb_sChart6A66F3_opts" hidden="1">"1, 10, 1, False, 2, True, False, , 0, False, False, 1, 1"</definedName>
    <definedName name="cb_sChart6A7DF6_opts" hidden="1">"1, 3, 1, False, 2, True, False, , 0, False, True, 2, 1"</definedName>
    <definedName name="cb_sChart74E984_opts" hidden="1">"1, 1, 1, False, 2, False, False, , 0, False, False, 2, 2"</definedName>
    <definedName name="cb_sChart8CD287E_opts" hidden="1">"1, 1, 1, False, 2, False, False, , 0, False, False, 1, 1"</definedName>
    <definedName name="cb_sChartD086F3E_opts" hidden="1">"1, 1, 1, False, 2, False, False, , 1, False, True, 2, 2"</definedName>
    <definedName name="cb_sChartD0876B3_opts" hidden="1">"2, 2, 2, True, 2, False, False, , 1, False, True, 2, 2"</definedName>
    <definedName name="cb_sChartEB337E1_opts" hidden="1">"1, 10, 1, False, 2, False, False, , 1, False, True, 2, 2"</definedName>
    <definedName name="cb_sChartEB33A80_opts" hidden="1">"1, 10, 1, False, 2, False, False, , 1, False, True, 2, 2"</definedName>
    <definedName name="cb_sChartEB33EA9_opts" hidden="1">"1, 10, 1, False, 2, False, False, , 1, False, True, 2, 2"</definedName>
    <definedName name="cb_sChartEB340BD_opts" hidden="1">"1, 10, 1, False, 2, False, False, , 1, False, True, 2, 2"</definedName>
    <definedName name="cb_sChartEB344DA_opts" hidden="1">"1, 10, 1, False, 2, False, False, , 1, False, False, 2, 2"</definedName>
    <definedName name="cb_sChartEB3479C_opts" hidden="1">"1, 1, 1, False, 2, False, False, , 1, False, True, 2, 1"</definedName>
    <definedName name="cb_sChartEB34833_opts" hidden="1">"1, 10, 1, False, 2, False, False, , 1, False, True, 2, 1"</definedName>
    <definedName name="cb_sChartEB34DCE_opts" hidden="1">"1, 10, 1, False, 2, False, False, , 1, False, True, 2, 1"</definedName>
    <definedName name="cb_sChartEB36CAF_opts" hidden="1">"1, 9, 1, False, 2, False, False, , 1, False, True, 1, 2"</definedName>
    <definedName name="cb_sChartEB38838_opts" hidden="1">"1, 9, 1, False, 2, False, False, , 1, False, True, 2, 2"</definedName>
    <definedName name="cb_sChartEB38E8C_opts" hidden="1">"1, 10, 1, False, 2, False, False, , 1, False, True, 2, 2"</definedName>
    <definedName name="cb_sChartEB3980B_opts" hidden="1">"1, 2, 1, False, 2, False, False, , 1, False, False, 2, 1"</definedName>
    <definedName name="cb_sChartEB39C1C_opts" hidden="1">"1, 2, 1, False, 2, False, False, , 1, False, False, 2,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0FF3D7_opts" hidden="1">"1, 8, 1, False, 2, False, False, , 1, False, True, 1, 2"</definedName>
    <definedName name="cb_sChartF1BF8C8_opts" hidden="1">"1, 8, 1, False, 2, False, False, , 1, False, True, 1, 2"</definedName>
    <definedName name="cb_sChartF1C057C_opts" hidden="1">"1, 2, 1, False, 2, False, False, , 1, False, False, 2, 1"</definedName>
    <definedName name="cb_sChartF1C0A0D_opts" hidden="1">"1, 8, 1, False, 2, False, False, , 1, False, True, 1, 1"</definedName>
    <definedName name="cb_sChartF1C9DF0_opts" hidden="1">"1, 8, 1, False, 2, False, False, , 1, False, True, 1, 2"</definedName>
    <definedName name="cb_sChartF1F24F5_opts" hidden="1">"1, 8, 1, False, 2, False, False, , 1, False, True, 1, 2"</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b_Size_by_height_and_widthChart_16_opts" hidden="1">"1, 4, 1, False, 2, False, False, , 0, False, False, 1, 1"</definedName>
    <definedName name="cb_Size_by_height_and_widthChart_7_opts" hidden="1">"1, 4, 1, False, 2, False, False, , 0, False, False, 1, 1"</definedName>
    <definedName name="cb_Size_by_height_and_widthChart_8_opts" hidden="1">"1, 4, 1, False, 2, False, False, , 0, False, False, 1, 1"</definedName>
    <definedName name="cbsb" localSheetId="6" hidden="1">{#N/A,#N/A,TRUE,"FA 1 &amp; 2";#N/A,#N/A,TRUE,"FA 3 &amp; 4";#N/A,#N/A,TRUE,"FA 5 &amp; 6";#N/A,#N/A,TRUE,"FA 7 &amp; 8";#N/A,#N/A,TRUE,"FA 9 &amp; 10";#N/A,#N/A,TRUE,"FA 11";#N/A,#N/A,TRUE,"FA 12";#N/A,#N/A,TRUE,"FA 13";#N/A,#N/A,TRUE,"FA 14 &amp; 15"}</definedName>
    <definedName name="cbsb" hidden="1">{#N/A,#N/A,TRUE,"FA 1 &amp; 2";#N/A,#N/A,TRUE,"FA 3 &amp; 4";#N/A,#N/A,TRUE,"FA 5 &amp; 6";#N/A,#N/A,TRUE,"FA 7 &amp; 8";#N/A,#N/A,TRUE,"FA 9 &amp; 10";#N/A,#N/A,TRUE,"FA 11";#N/A,#N/A,TRUE,"FA 12";#N/A,#N/A,TRUE,"FA 13";#N/A,#N/A,TRUE,"FA 14 &amp; 15"}</definedName>
    <definedName name="CBV" localSheetId="6" hidden="1">{"VIEW1",#N/A,FALSE,"P&amp;L Account 2001-2002";"VIEW2",#N/A,FALSE,"P&amp;L Account 2001-2002";"VIEW3",#N/A,FALSE,"P&amp;L Account 2001-2002";"VIEW4",#N/A,FALSE,"P&amp;L Account 2001-2002"}</definedName>
    <definedName name="CBV" hidden="1">{"VIEW1",#N/A,FALSE,"P&amp;L Account 2001-2002";"VIEW2",#N/A,FALSE,"P&amp;L Account 2001-2002";"VIEW3",#N/A,FALSE,"P&amp;L Account 2001-2002";"VIEW4",#N/A,FALSE,"P&amp;L Account 2001-2002"}</definedName>
    <definedName name="CBWorkbookPriority" hidden="1">-1264563189</definedName>
    <definedName name="CBx_170521e6a760462d8f10537590d27409" hidden="1">"'Capex'!$A$1"</definedName>
    <definedName name="CBx_4b59583ef67b4daa89ff0fe40b058d72" hidden="1">"'CB_DATA_'!$A$1"</definedName>
    <definedName name="CBx_8f73ada15adc442abed222329673b8f3" hidden="1">"'Prices'!$A$1"</definedName>
    <definedName name="CBx_df949d22b4f84ef3a136451cdf0b50b6" hidden="1">"'Xietongmen'!$A$1"</definedName>
    <definedName name="CBx_fa14c1404eb94183b4203dd5530cb284" hidden="1">"'Opcost'!$A$1"</definedName>
    <definedName name="cc" localSheetId="0" hidden="1">{"DJH3",#N/A,FALSE,"PFL00805";"PJB3",#N/A,FALSE,"PFL00805";"JMD3",#N/A,FALSE,"PFL00805";"DNB3",#N/A,FALSE,"PFL00805";"MJP3",#N/A,FALSE,"PFL00805";"RAB3",#N/A,FALSE,"PFL00805";"GJW3",#N/A,FALSE,"PFL00805";"MASTER3",#N/A,FALSE,"PFL00805"}</definedName>
    <definedName name="cc" localSheetId="6" hidden="1">{"DJH3",#N/A,FALSE,"PFL00805";"PJB3",#N/A,FALSE,"PFL00805";"JMD3",#N/A,FALSE,"PFL00805";"DNB3",#N/A,FALSE,"PFL00805";"MJP3",#N/A,FALSE,"PFL00805";"RAB3",#N/A,FALSE,"PFL00805";"GJW3",#N/A,FALSE,"PFL00805";"MASTER3",#N/A,FALSE,"PFL00805"}</definedName>
    <definedName name="cc" hidden="1">{"DJH3",#N/A,FALSE,"PFL00805";"PJB3",#N/A,FALSE,"PFL00805";"JMD3",#N/A,FALSE,"PFL00805";"DNB3",#N/A,FALSE,"PFL00805";"MJP3",#N/A,FALSE,"PFL00805";"RAB3",#N/A,FALSE,"PFL00805";"GJW3",#N/A,FALSE,"PFL00805";"MASTER3",#N/A,FALSE,"PFL00805"}</definedName>
    <definedName name="cc_1" localSheetId="0" hidden="1">{"DJH3",#N/A,FALSE,"PFL00805";"PJB3",#N/A,FALSE,"PFL00805";"JMD3",#N/A,FALSE,"PFL00805";"DNB3",#N/A,FALSE,"PFL00805";"MJP3",#N/A,FALSE,"PFL00805";"RAB3",#N/A,FALSE,"PFL00805";"GJW3",#N/A,FALSE,"PFL00805";"MASTER3",#N/A,FALSE,"PFL00805"}</definedName>
    <definedName name="cc_1" localSheetId="6" hidden="1">{"DJH3",#N/A,FALSE,"PFL00805";"PJB3",#N/A,FALSE,"PFL00805";"JMD3",#N/A,FALSE,"PFL00805";"DNB3",#N/A,FALSE,"PFL00805";"MJP3",#N/A,FALSE,"PFL00805";"RAB3",#N/A,FALSE,"PFL00805";"GJW3",#N/A,FALSE,"PFL00805";"MASTER3",#N/A,FALSE,"PFL00805"}</definedName>
    <definedName name="cc_1" hidden="1">{"DJH3",#N/A,FALSE,"PFL00805";"PJB3",#N/A,FALSE,"PFL00805";"JMD3",#N/A,FALSE,"PFL00805";"DNB3",#N/A,FALSE,"PFL00805";"MJP3",#N/A,FALSE,"PFL00805";"RAB3",#N/A,FALSE,"PFL00805";"GJW3",#N/A,FALSE,"PFL00805";"MASTER3",#N/A,FALSE,"PFL00805"}</definedName>
    <definedName name="ccc" localSheetId="0" hidden="1">{"DJH3",#N/A,FALSE,"PFL00805";"PJB3",#N/A,FALSE,"PFL00805";"JMD3",#N/A,FALSE,"PFL00805";"DNB3",#N/A,FALSE,"PFL00805";"MJP3",#N/A,FALSE,"PFL00805";"RAB3",#N/A,FALSE,"PFL00805";"GJW3",#N/A,FALSE,"PFL00805";"MASTER3",#N/A,FALSE,"PFL00805"}</definedName>
    <definedName name="ccc" localSheetId="6" hidden="1">{"DJH3",#N/A,FALSE,"PFL00805";"PJB3",#N/A,FALSE,"PFL00805";"JMD3",#N/A,FALSE,"PFL00805";"DNB3",#N/A,FALSE,"PFL00805";"MJP3",#N/A,FALSE,"PFL00805";"RAB3",#N/A,FALSE,"PFL00805";"GJW3",#N/A,FALSE,"PFL00805";"MASTER3",#N/A,FALSE,"PFL00805"}</definedName>
    <definedName name="ccc" hidden="1">{"DJH3",#N/A,FALSE,"PFL00805";"PJB3",#N/A,FALSE,"PFL00805";"JMD3",#N/A,FALSE,"PFL00805";"DNB3",#N/A,FALSE,"PFL00805";"MJP3",#N/A,FALSE,"PFL00805";"RAB3",#N/A,FALSE,"PFL00805";"GJW3",#N/A,FALSE,"PFL00805";"MASTER3",#N/A,FALSE,"PFL00805"}</definedName>
    <definedName name="ccc_1" localSheetId="0" hidden="1">{"DJH3",#N/A,FALSE,"PFL00805";"PJB3",#N/A,FALSE,"PFL00805";"JMD3",#N/A,FALSE,"PFL00805";"DNB3",#N/A,FALSE,"PFL00805";"MJP3",#N/A,FALSE,"PFL00805";"RAB3",#N/A,FALSE,"PFL00805";"GJW3",#N/A,FALSE,"PFL00805";"MASTER3",#N/A,FALSE,"PFL00805"}</definedName>
    <definedName name="ccc_1" localSheetId="6" hidden="1">{"DJH3",#N/A,FALSE,"PFL00805";"PJB3",#N/A,FALSE,"PFL00805";"JMD3",#N/A,FALSE,"PFL00805";"DNB3",#N/A,FALSE,"PFL00805";"MJP3",#N/A,FALSE,"PFL00805";"RAB3",#N/A,FALSE,"PFL00805";"GJW3",#N/A,FALSE,"PFL00805";"MASTER3",#N/A,FALSE,"PFL00805"}</definedName>
    <definedName name="ccc_1" hidden="1">{"DJH3",#N/A,FALSE,"PFL00805";"PJB3",#N/A,FALSE,"PFL00805";"JMD3",#N/A,FALSE,"PFL00805";"DNB3",#N/A,FALSE,"PFL00805";"MJP3",#N/A,FALSE,"PFL00805";"RAB3",#N/A,FALSE,"PFL00805";"GJW3",#N/A,FALSE,"PFL00805";"MASTER3",#N/A,FALSE,"PFL00805"}</definedName>
    <definedName name="cccc" localSheetId="0" hidden="1">{"'INDICE'!$A$1:$K$13","'1'!$A$1:$CC$78","'2'!$A$1:$P$78","'3'!$A$1:$CI$78","'4'!$A$1:$Q$78"}</definedName>
    <definedName name="cccc" localSheetId="6" hidden="1">{"'INDICE'!$A$1:$K$13","'1'!$A$1:$CC$78","'2'!$A$1:$P$78","'3'!$A$1:$CI$78","'4'!$A$1:$Q$78"}</definedName>
    <definedName name="cccc" hidden="1">{"'INDICE'!$A$1:$K$13","'1'!$A$1:$CC$78","'2'!$A$1:$P$78","'3'!$A$1:$CI$78","'4'!$A$1:$Q$78"}</definedName>
    <definedName name="cccc_1" localSheetId="0" hidden="1">{"'INDICE'!$A$1:$K$13","'1'!$A$1:$CC$78","'2'!$A$1:$P$78","'3'!$A$1:$CI$78","'4'!$A$1:$Q$78"}</definedName>
    <definedName name="cccc_1" localSheetId="6" hidden="1">{"'INDICE'!$A$1:$K$13","'1'!$A$1:$CC$78","'2'!$A$1:$P$78","'3'!$A$1:$CI$78","'4'!$A$1:$Q$78"}</definedName>
    <definedName name="cccc_1" hidden="1">{"'INDICE'!$A$1:$K$13","'1'!$A$1:$CC$78","'2'!$A$1:$P$78","'3'!$A$1:$CI$78","'4'!$A$1:$Q$78"}</definedName>
    <definedName name="ccccc" localSheetId="0" hidden="1">{"revenue detail 1",#N/A,FALSE,"Revenue Detail";"revenue detail 2",#N/A,FALSE,"Revenue Detail";"revenue detail 3",#N/A,FALSE,"Revenue Detail";"revenue detail 4",#N/A,FALSE,"Revenue Detail"}</definedName>
    <definedName name="ccccc" localSheetId="6" hidden="1">{"revenue detail 1",#N/A,FALSE,"Revenue Detail";"revenue detail 2",#N/A,FALSE,"Revenue Detail";"revenue detail 3",#N/A,FALSE,"Revenue Detail";"revenue detail 4",#N/A,FALSE,"Revenue Detail"}</definedName>
    <definedName name="ccccc" hidden="1">{"revenue detail 1",#N/A,FALSE,"Revenue Detail";"revenue detail 2",#N/A,FALSE,"Revenue Detail";"revenue detail 3",#N/A,FALSE,"Revenue Detail";"revenue detail 4",#N/A,FALSE,"Revenue Detail"}</definedName>
    <definedName name="cccccc" localSheetId="0" hidden="1">{#N/A,#N/A,TRUE,"Falcons_Standalone";#N/A,#N/A,TRUE,"Target_Input";#N/A,#N/A,TRUE,"Target_Calendarized"}</definedName>
    <definedName name="cccccc" localSheetId="6" hidden="1">{#N/A,#N/A,TRUE,"Falcons_Standalone";#N/A,#N/A,TRUE,"Target_Input";#N/A,#N/A,TRUE,"Target_Calendarized"}</definedName>
    <definedName name="cccccc" hidden="1">{#N/A,#N/A,TRUE,"Falcons_Standalone";#N/A,#N/A,TRUE,"Target_Input";#N/A,#N/A,TRUE,"Target_Calendarized"}</definedName>
    <definedName name="ccccccc" localSheetId="0" hidden="1">{"revenue graph",#N/A,FALSE,"Revenue Graph"}</definedName>
    <definedName name="ccccccc" localSheetId="6" hidden="1">{"revenue graph",#N/A,FALSE,"Revenue Graph"}</definedName>
    <definedName name="ccccccc" hidden="1">{"revenue graph",#N/A,FALSE,"Revenue Graph"}</definedName>
    <definedName name="cccccccc" localSheetId="0" hidden="1">{"Total",#N/A,FALSE,"Six Fields";"PDP",#N/A,FALSE,"Six Fields";"PNP",#N/A,FALSE,"Six Fields";"PUD",#N/A,FALSE,"Six Fields";"Prob",#N/A,FALSE,"Six Fields"}</definedName>
    <definedName name="cccccccc" localSheetId="6" hidden="1">{"Total",#N/A,FALSE,"Six Fields";"PDP",#N/A,FALSE,"Six Fields";"PNP",#N/A,FALSE,"Six Fields";"PUD",#N/A,FALSE,"Six Fields";"Prob",#N/A,FALSE,"Six Fields"}</definedName>
    <definedName name="cccccccc" hidden="1">{"Total",#N/A,FALSE,"Six Fields";"PDP",#N/A,FALSE,"Six Fields";"PNP",#N/A,FALSE,"Six Fields";"PUD",#N/A,FALSE,"Six Fields";"Prob",#N/A,FALSE,"Six Fields"}</definedName>
    <definedName name="ccccccccc" localSheetId="0" hidden="1">{"Sum1",#N/A,FALSE,"Reserve Report";"Sum2",#N/A,FALSE,"Reserve Report";"Sum3",#N/A,FALSE,"Reserve Report";"Sum4",#N/A,FALSE,"Reserve Report"}</definedName>
    <definedName name="ccccccccc" localSheetId="6" hidden="1">{"Sum1",#N/A,FALSE,"Reserve Report";"Sum2",#N/A,FALSE,"Reserve Report";"Sum3",#N/A,FALSE,"Reserve Report";"Sum4",#N/A,FALSE,"Reserve Report"}</definedName>
    <definedName name="ccccccccc" hidden="1">{"Sum1",#N/A,FALSE,"Reserve Report";"Sum2",#N/A,FALSE,"Reserve Report";"Sum3",#N/A,FALSE,"Reserve Report";"Sum4",#N/A,FALSE,"Reserve Report"}</definedName>
    <definedName name="ccl"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ccl"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CCR" localSheetId="6" hidden="1">{#N/A,#N/A,TRUE,"Cover";#N/A,#N/A,TRUE,"Conts";#N/A,#N/A,TRUE,"VOS";#N/A,#N/A,TRUE,"Warrington";#N/A,#N/A,TRUE,"Widnes"}</definedName>
    <definedName name="CCR" hidden="1">{#N/A,#N/A,TRUE,"Cover";#N/A,#N/A,TRUE,"Conts";#N/A,#N/A,TRUE,"VOS";#N/A,#N/A,TRUE,"Warrington";#N/A,#N/A,TRUE,"Widnes"}</definedName>
    <definedName name="CCR_1" localSheetId="6" hidden="1">{#N/A,#N/A,TRUE,"Cover";#N/A,#N/A,TRUE,"Conts";#N/A,#N/A,TRUE,"VOS";#N/A,#N/A,TRUE,"Warrington";#N/A,#N/A,TRUE,"Widnes"}</definedName>
    <definedName name="CCR_1" hidden="1">{#N/A,#N/A,TRUE,"Cover";#N/A,#N/A,TRUE,"Conts";#N/A,#N/A,TRUE,"VOS";#N/A,#N/A,TRUE,"Warrington";#N/A,#N/A,TRUE,"Widnes"}</definedName>
    <definedName name="cCT_sum_array" hidden="1">#REF!</definedName>
    <definedName name="cCT_sum_col" hidden="1">#REF!</definedName>
    <definedName name="cCT_sum_hlookup" hidden="1">#REF!</definedName>
    <definedName name="cCT_sum_row" hidden="1">#REF!</definedName>
    <definedName name="cd" localSheetId="4">Assumptions</definedName>
    <definedName name="cd" localSheetId="0">Assumptions</definedName>
    <definedName name="cd" localSheetId="2">Assumptions</definedName>
    <definedName name="cd" localSheetId="6">Assumptions</definedName>
    <definedName name="cd">Assumptions</definedName>
    <definedName name="cdc" localSheetId="6" hidden="1">{#N/A,#N/A,FALSE,"Aging Summary";#N/A,#N/A,FALSE,"Ratio Analysis";#N/A,#N/A,FALSE,"Test 120 Day Accts";#N/A,#N/A,FALSE,"Tickmarks"}</definedName>
    <definedName name="cdc" hidden="1">{#N/A,#N/A,FALSE,"Aging Summary";#N/A,#N/A,FALSE,"Ratio Analysis";#N/A,#N/A,FALSE,"Test 120 Day Accts";#N/A,#N/A,FALSE,"Tickmarks"}</definedName>
    <definedName name="cddc" localSheetId="0"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cddc" localSheetId="6"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cddc"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cdf" localSheetId="0" hidden="1">{#N/A,#N/A,FALSE,"PROFIT 11-95"}</definedName>
    <definedName name="cdf" localSheetId="6" hidden="1">{#N/A,#N/A,FALSE,"PROFIT 11-95"}</definedName>
    <definedName name="cdf" hidden="1">{#N/A,#N/A,FALSE,"PROFIT 11-95"}</definedName>
    <definedName name="cdff" localSheetId="6" hidden="1">{"equity comps",#N/A,FALSE,"CS Comps";"equity comps",#N/A,FALSE,"PS Comps";"equity comps",#N/A,FALSE,"GIC_Comps";"equity comps",#N/A,FALSE,"GIC2_Comps";"debt comps",#N/A,FALSE,"CS Comps";"debt comps",#N/A,FALSE,"PS Comps";"debt comps",#N/A,FALSE,"GIC_Comps";"debt comps",#N/A,FALSE,"GIC2_Comps"}</definedName>
    <definedName name="cdff" hidden="1">{"equity comps",#N/A,FALSE,"CS Comps";"equity comps",#N/A,FALSE,"PS Comps";"equity comps",#N/A,FALSE,"GIC_Comps";"equity comps",#N/A,FALSE,"GIC2_Comps";"debt comps",#N/A,FALSE,"CS Comps";"debt comps",#N/A,FALSE,"PS Comps";"debt comps",#N/A,FALSE,"GIC_Comps";"debt comps",#N/A,FALSE,"GIC2_Comps"}</definedName>
    <definedName name="cdff2" localSheetId="6" hidden="1">{"equity comps",#N/A,FALSE,"CS Comps";"equity comps",#N/A,FALSE,"PS Comps";"equity comps",#N/A,FALSE,"GIC_Comps";"equity comps",#N/A,FALSE,"GIC2_Comps";"debt comps",#N/A,FALSE,"CS Comps";"debt comps",#N/A,FALSE,"PS Comps";"debt comps",#N/A,FALSE,"GIC_Comps";"debt comps",#N/A,FALSE,"GIC2_Comps"}</definedName>
    <definedName name="cdff2" hidden="1">{"equity comps",#N/A,FALSE,"CS Comps";"equity comps",#N/A,FALSE,"PS Comps";"equity comps",#N/A,FALSE,"GIC_Comps";"equity comps",#N/A,FALSE,"GIC2_Comps";"debt comps",#N/A,FALSE,"CS Comps";"debt comps",#N/A,FALSE,"PS Comps";"debt comps",#N/A,FALSE,"GIC_Comps";"debt comps",#N/A,FALSE,"GIC2_Comps"}</definedName>
    <definedName name="cDone_array" hidden="1">#REF!</definedName>
    <definedName name="cDone_col" hidden="1">#REF!</definedName>
    <definedName name="cDone_hlookup" hidden="1">#REF!</definedName>
    <definedName name="cDone_row" hidden="1">#REF!</definedName>
    <definedName name="CDW" localSheetId="0" hidden="1">{#N/A,#N/A,FALSE,"PROFIT 11-95"}</definedName>
    <definedName name="CDW" localSheetId="6" hidden="1">{#N/A,#N/A,FALSE,"PROFIT 11-95"}</definedName>
    <definedName name="CDW" hidden="1">{#N/A,#N/A,FALSE,"PROFIT 11-95"}</definedName>
    <definedName name="celine" localSheetId="0" hidden="1">{#N/A,#N/A,FALSE,"Tabl. G1";#N/A,#N/A,FALSE,"Tabl. G2"}</definedName>
    <definedName name="celine" localSheetId="6" hidden="1">{#N/A,#N/A,FALSE,"Tabl. G1";#N/A,#N/A,FALSE,"Tabl. G2"}</definedName>
    <definedName name="celine" hidden="1">{#N/A,#N/A,FALSE,"Tabl. G1";#N/A,#N/A,FALSE,"Tabl. G2"}</definedName>
    <definedName name="CENTERBALANCES">#REF!</definedName>
    <definedName name="CENTRAL">#REF!</definedName>
    <definedName name="Central04ymSales">#REF!</definedName>
    <definedName name="Central05ymSales">#REF!</definedName>
    <definedName name="Certo" localSheetId="0" hidden="1">{"FS`s",#N/A,TRUE,"FS's";"Icome St",#N/A,TRUE,"Income St.";"Balance Sh",#N/A,TRUE,"Balance Sh.";"Gross Margin",#N/A,TRUE,"Gross Margin"}</definedName>
    <definedName name="Certo" localSheetId="6" hidden="1">{"FS`s",#N/A,TRUE,"FS's";"Icome St",#N/A,TRUE,"Income St.";"Balance Sh",#N/A,TRUE,"Balance Sh.";"Gross Margin",#N/A,TRUE,"Gross Margin"}</definedName>
    <definedName name="Certo" hidden="1">{"FS`s",#N/A,TRUE,"FS's";"Icome St",#N/A,TRUE,"Income St.";"Balance Sh",#N/A,TRUE,"Balance Sh.";"Gross Margin",#N/A,TRUE,"Gross Margin"}</definedName>
    <definedName name="cf">#REF!</definedName>
    <definedName name="CF_Accounts">#REF!</definedName>
    <definedName name="CF_AccruedExpenses">#REF!</definedName>
    <definedName name="CF_Array">#REF!</definedName>
    <definedName name="CF_Cash">#REF!</definedName>
    <definedName name="CF_CurrentLTDebit">#REF!</definedName>
    <definedName name="CF_DeferredTax">#REF!</definedName>
    <definedName name="CF_Dividends">#REF!</definedName>
    <definedName name="CF_ending_balance">#REF!</definedName>
    <definedName name="CF_Intangibles">#REF!</definedName>
    <definedName name="CF_Inventories">#REF!</definedName>
    <definedName name="CF_Investments">#REF!</definedName>
    <definedName name="CF_LTDebt">#REF!</definedName>
    <definedName name="CF_NetIncome">#REF!</definedName>
    <definedName name="cf_norm">#REF!</definedName>
    <definedName name="CF_Payables">#REF!</definedName>
    <definedName name="CF_Periods">#REF!</definedName>
    <definedName name="CF_PrepaidExpenses">#REF!</definedName>
    <definedName name="CF_Property">#REF!</definedName>
    <definedName name="CF_Receivables">#REF!</definedName>
    <definedName name="CF_Shares">#REF!</definedName>
    <definedName name="CF_Taxation">#REF!</definedName>
    <definedName name="cfdasdgf"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cfdasdgf"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CFValue" localSheetId="6" hidden="1">{#N/A,#N/A,FALSE,"EARNINGS";#N/A,#N/A,FALSE,"BALANCE";#N/A,#N/A,FALSE,"CASHFLOW"}</definedName>
    <definedName name="CFValue" hidden="1">{#N/A,#N/A,FALSE,"EARNINGS";#N/A,#N/A,FALSE,"BALANCE";#N/A,#N/A,FALSE,"CASHFLOW"}</definedName>
    <definedName name="CHAIN_359_DoNotDeleteThisName_00016" hidden="1">#REF!</definedName>
    <definedName name="Change" hidden="1">#N/A</definedName>
    <definedName name="Change_in_Cash" hidden="1">#REF!</definedName>
    <definedName name="Change2" hidden="1">#N/A</definedName>
    <definedName name="Change3" hidden="1">#N/A</definedName>
    <definedName name="Change4" hidden="1">#N/A</definedName>
    <definedName name="ChangeRange" hidden="1">#N/A</definedName>
    <definedName name="ChangeRange2" hidden="1">#N/A</definedName>
    <definedName name="Changes_WC">#REF!</definedName>
    <definedName name="CHANGES_WORK_CAP" hidden="1">"CHANGES_WORK_CAP"</definedName>
    <definedName name="Channel" hidden="1">#REF!</definedName>
    <definedName name="chantal" hidden="1">#REF!</definedName>
    <definedName name="Chart" hidden="1">#REF!</definedName>
    <definedName name="Chart_1" localSheetId="0" hidden="1">{#N/A,#N/A,FALSE,"Pharm";#N/A,#N/A,FALSE,"WWCM"}</definedName>
    <definedName name="Chart_1" localSheetId="6" hidden="1">{#N/A,#N/A,FALSE,"Pharm";#N/A,#N/A,FALSE,"WWCM"}</definedName>
    <definedName name="Chart_1" hidden="1">{#N/A,#N/A,FALSE,"Pharm";#N/A,#N/A,FALSE,"WWCM"}</definedName>
    <definedName name="Chart_1_1" localSheetId="0" hidden="1">{#N/A,#N/A,FALSE,"Pharm";#N/A,#N/A,FALSE,"WWCM"}</definedName>
    <definedName name="Chart_1_1" localSheetId="6" hidden="1">{#N/A,#N/A,FALSE,"Pharm";#N/A,#N/A,FALSE,"WWCM"}</definedName>
    <definedName name="Chart_1_1" hidden="1">{#N/A,#N/A,FALSE,"Pharm";#N/A,#N/A,FALSE,"WWCM"}</definedName>
    <definedName name="Chart_2" localSheetId="0" hidden="1">{#N/A,#N/A,FALSE,"Pharm";#N/A,#N/A,FALSE,"WWCM"}</definedName>
    <definedName name="Chart_2" localSheetId="6" hidden="1">{#N/A,#N/A,FALSE,"Pharm";#N/A,#N/A,FALSE,"WWCM"}</definedName>
    <definedName name="Chart_2" hidden="1">{#N/A,#N/A,FALSE,"Pharm";#N/A,#N/A,FALSE,"WWCM"}</definedName>
    <definedName name="Chart_3" localSheetId="0" hidden="1">{#N/A,#N/A,FALSE,"Pharm";#N/A,#N/A,FALSE,"WWCM"}</definedName>
    <definedName name="Chart_3" localSheetId="6" hidden="1">{#N/A,#N/A,FALSE,"Pharm";#N/A,#N/A,FALSE,"WWCM"}</definedName>
    <definedName name="Chart_3" hidden="1">{#N/A,#N/A,FALSE,"Pharm";#N/A,#N/A,FALSE,"WWCM"}</definedName>
    <definedName name="Chart_4" localSheetId="0" hidden="1">{#N/A,#N/A,FALSE,"Pharm";#N/A,#N/A,FALSE,"WWCM"}</definedName>
    <definedName name="Chart_4" localSheetId="6" hidden="1">{#N/A,#N/A,FALSE,"Pharm";#N/A,#N/A,FALSE,"WWCM"}</definedName>
    <definedName name="Chart_4" hidden="1">{#N/A,#N/A,FALSE,"Pharm";#N/A,#N/A,FALSE,"WWCM"}</definedName>
    <definedName name="Chart_5" localSheetId="0" hidden="1">{#N/A,#N/A,FALSE,"Pharm";#N/A,#N/A,FALSE,"WWCM"}</definedName>
    <definedName name="Chart_5" localSheetId="6" hidden="1">{#N/A,#N/A,FALSE,"Pharm";#N/A,#N/A,FALSE,"WWCM"}</definedName>
    <definedName name="Chart_5" hidden="1">{#N/A,#N/A,FALSE,"Pharm";#N/A,#N/A,FALSE,"WWCM"}</definedName>
    <definedName name="Chart_Seba" localSheetId="0" hidden="1">{"'track'!$A$1:$BO$37"}</definedName>
    <definedName name="Chart_Seba" localSheetId="6" hidden="1">{"'track'!$A$1:$BO$37"}</definedName>
    <definedName name="Chart_Seba" hidden="1">{"'track'!$A$1:$BO$37"}</definedName>
    <definedName name="chart1" hidden="1">#REF!</definedName>
    <definedName name="chart16">#REF!</definedName>
    <definedName name="chart17">#REF!</definedName>
    <definedName name="Chart2" localSheetId="0" hidden="1">{"'track'!$A$1:$BO$37"}</definedName>
    <definedName name="Chart2" localSheetId="6" hidden="1">{"'track'!$A$1:$BO$37"}</definedName>
    <definedName name="Chart2" hidden="1">{"'track'!$A$1:$BO$37"}</definedName>
    <definedName name="Chart2_Label_2" hidden="1">#REF!</definedName>
    <definedName name="Chart3" localSheetId="0" hidden="1">{"'track'!$A$1:$BO$37"}</definedName>
    <definedName name="Chart3" localSheetId="6" hidden="1">{"'track'!$A$1:$BO$37"}</definedName>
    <definedName name="Chart3" hidden="1">{"'track'!$A$1:$BO$37"}</definedName>
    <definedName name="Chart3_Label_2" hidden="1">#REF!</definedName>
    <definedName name="ChartCaptions">#REF!</definedName>
    <definedName name="ChartingArea">#REF!,#REF!</definedName>
    <definedName name="ChartingLabels">#REF!</definedName>
    <definedName name="charts2" localSheetId="6" hidden="1">{"Charts1",#N/A,FALSE,"Charts1";"Charts2",#N/A,FALSE,"Charts2"}</definedName>
    <definedName name="charts2" hidden="1">{"Charts1",#N/A,FALSE,"Charts1";"Charts2",#N/A,FALSE,"Charts2"}</definedName>
    <definedName name="CHD" localSheetId="6"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 hidden="1">#REF!</definedName>
    <definedName name="check">#REF!</definedName>
    <definedName name="Check_to_Cash" hidden="1">#REF!</definedName>
    <definedName name="chosie" localSheetId="0" hidden="1">{#N/A,#N/A,FALSE,"Pharm";#N/A,#N/A,FALSE,"WWCM"}</definedName>
    <definedName name="chosie" localSheetId="6" hidden="1">{#N/A,#N/A,FALSE,"Pharm";#N/A,#N/A,FALSE,"WWCM"}</definedName>
    <definedName name="chosie" hidden="1">{#N/A,#N/A,FALSE,"Pharm";#N/A,#N/A,FALSE,"WWCM"}</definedName>
    <definedName name="chosie_1" localSheetId="0" hidden="1">{#N/A,#N/A,FALSE,"Pharm";#N/A,#N/A,FALSE,"WWCM"}</definedName>
    <definedName name="chosie_1" localSheetId="6" hidden="1">{#N/A,#N/A,FALSE,"Pharm";#N/A,#N/A,FALSE,"WWCM"}</definedName>
    <definedName name="chosie_1" hidden="1">{#N/A,#N/A,FALSE,"Pharm";#N/A,#N/A,FALSE,"WWCM"}</definedName>
    <definedName name="chosie_1_1" localSheetId="0" hidden="1">{#N/A,#N/A,FALSE,"Pharm";#N/A,#N/A,FALSE,"WWCM"}</definedName>
    <definedName name="chosie_1_1" localSheetId="6" hidden="1">{#N/A,#N/A,FALSE,"Pharm";#N/A,#N/A,FALSE,"WWCM"}</definedName>
    <definedName name="chosie_1_1" hidden="1">{#N/A,#N/A,FALSE,"Pharm";#N/A,#N/A,FALSE,"WWCM"}</definedName>
    <definedName name="chosie_2" localSheetId="0" hidden="1">{#N/A,#N/A,FALSE,"Pharm";#N/A,#N/A,FALSE,"WWCM"}</definedName>
    <definedName name="chosie_2" localSheetId="6" hidden="1">{#N/A,#N/A,FALSE,"Pharm";#N/A,#N/A,FALSE,"WWCM"}</definedName>
    <definedName name="chosie_2" hidden="1">{#N/A,#N/A,FALSE,"Pharm";#N/A,#N/A,FALSE,"WWCM"}</definedName>
    <definedName name="chosie_3" localSheetId="0" hidden="1">{#N/A,#N/A,FALSE,"Pharm";#N/A,#N/A,FALSE,"WWCM"}</definedName>
    <definedName name="chosie_3" localSheetId="6" hidden="1">{#N/A,#N/A,FALSE,"Pharm";#N/A,#N/A,FALSE,"WWCM"}</definedName>
    <definedName name="chosie_3" hidden="1">{#N/A,#N/A,FALSE,"Pharm";#N/A,#N/A,FALSE,"WWCM"}</definedName>
    <definedName name="chosie_4" localSheetId="0" hidden="1">{#N/A,#N/A,FALSE,"Pharm";#N/A,#N/A,FALSE,"WWCM"}</definedName>
    <definedName name="chosie_4" localSheetId="6" hidden="1">{#N/A,#N/A,FALSE,"Pharm";#N/A,#N/A,FALSE,"WWCM"}</definedName>
    <definedName name="chosie_4" hidden="1">{#N/A,#N/A,FALSE,"Pharm";#N/A,#N/A,FALSE,"WWCM"}</definedName>
    <definedName name="chosie_5" localSheetId="0" hidden="1">{#N/A,#N/A,FALSE,"Pharm";#N/A,#N/A,FALSE,"WWCM"}</definedName>
    <definedName name="chosie_5" localSheetId="6" hidden="1">{#N/A,#N/A,FALSE,"Pharm";#N/A,#N/A,FALSE,"WWCM"}</definedName>
    <definedName name="chosie_5" hidden="1">{#N/A,#N/A,FALSE,"Pharm";#N/A,#N/A,FALSE,"WWCM"}</definedName>
    <definedName name="chq" localSheetId="6" hidden="1">{"'Break down'!$A$4"}</definedName>
    <definedName name="chq" hidden="1">{"'Break down'!$A$4"}</definedName>
    <definedName name="chut" localSheetId="6" hidden="1">{"VIEW1",#N/A,FALSE,"P&amp;L Account 2001-2002";"VIEW2",#N/A,FALSE,"P&amp;L Account 2001-2002";"VIEW3",#N/A,FALSE,"P&amp;L Account 2001-2002";"VIEW4",#N/A,FALSE,"P&amp;L Account 2001-2002"}</definedName>
    <definedName name="chut" hidden="1">{"VIEW1",#N/A,FALSE,"P&amp;L Account 2001-2002";"VIEW2",#N/A,FALSE,"P&amp;L Account 2001-2002";"VIEW3",#N/A,FALSE,"P&amp;L Account 2001-2002";"VIEW4",#N/A,FALSE,"P&amp;L Account 2001-2002"}</definedName>
    <definedName name="chutya" localSheetId="6" hidden="1">{"VIEW1",#N/A,FALSE,"P&amp;L Account 2001-2002";"VIEW2",#N/A,FALSE,"P&amp;L Account 2001-2002";"VIEW3",#N/A,FALSE,"P&amp;L Account 2001-2002";"VIEW4",#N/A,FALSE,"P&amp;L Account 2001-2002"}</definedName>
    <definedName name="chutya" hidden="1">{"VIEW1",#N/A,FALSE,"P&amp;L Account 2001-2002";"VIEW2",#N/A,FALSE,"P&amp;L Account 2001-2002";"VIEW3",#N/A,FALSE,"P&amp;L Account 2001-2002";"VIEW4",#N/A,FALSE,"P&amp;L Account 2001-2002"}</definedName>
    <definedName name="cibqiwydvgq" hidden="1">#REF!</definedName>
    <definedName name="CIFADV">#REF!</definedName>
    <definedName name="CIQANR_07ebaadc0cb341c09c9066aeccbaccfc" hidden="1">#REF!</definedName>
    <definedName name="CIQANR_102bf60c39ef4d0b9bc5dbd658b78bf9" hidden="1">#REF!</definedName>
    <definedName name="CIQANR_969de8415d9440cfaa2d084efaafaa83" hidden="1">#REF!</definedName>
    <definedName name="CIQANR_b2ad2ec612244925a7740b21b5e28fbd" hidden="1">#REF!</definedName>
    <definedName name="CIQANR_cdbf83a8ff3f42889d30da74c0a677bc" hidden="1">#REF!</definedName>
    <definedName name="CIQANR_fd0843c8948b4694af0abead83b5da10" hidden="1">#REF!</definedName>
    <definedName name="CIQWBGuid" hidden="1">"2cd8126d-26c3-430c-b7fa-a069e3a1fc62"</definedName>
    <definedName name="CIQWBGuid_1" hidden="1">"Project X_DB_20170317_1113_Gaurav2.xlsx"</definedName>
    <definedName name="CIQWBGuid_1_1" hidden="1">"d19127a8-8df5-4bc4-9aa4-7436c07d5489"</definedName>
    <definedName name="CIQWBGuid_2" hidden="1">"b7f0332d-7371-4b48-83ee-4d5a5884ef1b"</definedName>
    <definedName name="CIQWBGuid_3" hidden="1">"Project X_DB_20170317_1113_Gaurav2.xlsx"</definedName>
    <definedName name="ciqwbguid2" hidden="1">"56864627-64ee-40dc-84cf-b529f93202df"</definedName>
    <definedName name="CIQWBInfo" hidden="1">"{ ""CIQVersion"":""9.47.1108.4092"" }"</definedName>
    <definedName name="cjghjhj" localSheetId="0" hidden="1">{#N/A,#N/A,FALSE,"Umsatz CH";#N/A,#N/A,FALSE,"ER CH";#N/A,#N/A,FALSE,"EA CH (2) ";#N/A,#N/A,FALSE,"EA CH";#N/A,#N/A,FALSE,"EA CH (3) ";#N/A,#N/A,FALSE,"EA CH (4)";#N/A,#N/A,FALSE,"KA CH";#N/A,#N/A,FALSE,"KA CH  (2)";#N/A,#N/A,FALSE,"KA CH  (3)";#N/A,#N/A,FALSE,"KA CH (4)"}</definedName>
    <definedName name="cjghjhj" localSheetId="6" hidden="1">{#N/A,#N/A,FALSE,"Umsatz CH";#N/A,#N/A,FALSE,"ER CH";#N/A,#N/A,FALSE,"EA CH (2) ";#N/A,#N/A,FALSE,"EA CH";#N/A,#N/A,FALSE,"EA CH (3) ";#N/A,#N/A,FALSE,"EA CH (4)";#N/A,#N/A,FALSE,"KA CH";#N/A,#N/A,FALSE,"KA CH  (2)";#N/A,#N/A,FALSE,"KA CH  (3)";#N/A,#N/A,FALSE,"KA CH (4)"}</definedName>
    <definedName name="cjghjhj" hidden="1">{#N/A,#N/A,FALSE,"Umsatz CH";#N/A,#N/A,FALSE,"ER CH";#N/A,#N/A,FALSE,"EA CH (2) ";#N/A,#N/A,FALSE,"EA CH";#N/A,#N/A,FALSE,"EA CH (3) ";#N/A,#N/A,FALSE,"EA CH (4)";#N/A,#N/A,FALSE,"KA CH";#N/A,#N/A,FALSE,"KA CH  (2)";#N/A,#N/A,FALSE,"KA CH  (3)";#N/A,#N/A,FALSE,"KA CH (4)"}</definedName>
    <definedName name="cjghjhj_1" localSheetId="0" hidden="1">{#N/A,#N/A,FALSE,"Umsatz CH";#N/A,#N/A,FALSE,"ER CH";#N/A,#N/A,FALSE,"EA CH (2) ";#N/A,#N/A,FALSE,"EA CH";#N/A,#N/A,FALSE,"EA CH (3) ";#N/A,#N/A,FALSE,"EA CH (4)";#N/A,#N/A,FALSE,"KA CH";#N/A,#N/A,FALSE,"KA CH  (2)";#N/A,#N/A,FALSE,"KA CH  (3)";#N/A,#N/A,FALSE,"KA CH (4)"}</definedName>
    <definedName name="cjghjhj_1" localSheetId="6" hidden="1">{#N/A,#N/A,FALSE,"Umsatz CH";#N/A,#N/A,FALSE,"ER CH";#N/A,#N/A,FALSE,"EA CH (2) ";#N/A,#N/A,FALSE,"EA CH";#N/A,#N/A,FALSE,"EA CH (3) ";#N/A,#N/A,FALSE,"EA CH (4)";#N/A,#N/A,FALSE,"KA CH";#N/A,#N/A,FALSE,"KA CH  (2)";#N/A,#N/A,FALSE,"KA CH  (3)";#N/A,#N/A,FALSE,"KA CH (4)"}</definedName>
    <definedName name="cjghjhj_1" hidden="1">{#N/A,#N/A,FALSE,"Umsatz CH";#N/A,#N/A,FALSE,"ER CH";#N/A,#N/A,FALSE,"EA CH (2) ";#N/A,#N/A,FALSE,"EA CH";#N/A,#N/A,FALSE,"EA CH (3) ";#N/A,#N/A,FALSE,"EA CH (4)";#N/A,#N/A,FALSE,"KA CH";#N/A,#N/A,FALSE,"KA CH  (2)";#N/A,#N/A,FALSE,"KA CH  (3)";#N/A,#N/A,FALSE,"KA CH (4)"}</definedName>
    <definedName name="cjghjhj_1_1" localSheetId="0" hidden="1">{#N/A,#N/A,FALSE,"Umsatz CH";#N/A,#N/A,FALSE,"ER CH";#N/A,#N/A,FALSE,"EA CH (2) ";#N/A,#N/A,FALSE,"EA CH";#N/A,#N/A,FALSE,"EA CH (3) ";#N/A,#N/A,FALSE,"EA CH (4)";#N/A,#N/A,FALSE,"KA CH";#N/A,#N/A,FALSE,"KA CH  (2)";#N/A,#N/A,FALSE,"KA CH  (3)";#N/A,#N/A,FALSE,"KA CH (4)"}</definedName>
    <definedName name="cjghjhj_1_1" localSheetId="6" hidden="1">{#N/A,#N/A,FALSE,"Umsatz CH";#N/A,#N/A,FALSE,"ER CH";#N/A,#N/A,FALSE,"EA CH (2) ";#N/A,#N/A,FALSE,"EA CH";#N/A,#N/A,FALSE,"EA CH (3) ";#N/A,#N/A,FALSE,"EA CH (4)";#N/A,#N/A,FALSE,"KA CH";#N/A,#N/A,FALSE,"KA CH  (2)";#N/A,#N/A,FALSE,"KA CH  (3)";#N/A,#N/A,FALSE,"KA CH (4)"}</definedName>
    <definedName name="cjghjhj_1_1" hidden="1">{#N/A,#N/A,FALSE,"Umsatz CH";#N/A,#N/A,FALSE,"ER CH";#N/A,#N/A,FALSE,"EA CH (2) ";#N/A,#N/A,FALSE,"EA CH";#N/A,#N/A,FALSE,"EA CH (3) ";#N/A,#N/A,FALSE,"EA CH (4)";#N/A,#N/A,FALSE,"KA CH";#N/A,#N/A,FALSE,"KA CH  (2)";#N/A,#N/A,FALSE,"KA CH  (3)";#N/A,#N/A,FALSE,"KA CH (4)"}</definedName>
    <definedName name="cjghjhj_2" localSheetId="0" hidden="1">{#N/A,#N/A,FALSE,"Umsatz CH";#N/A,#N/A,FALSE,"ER CH";#N/A,#N/A,FALSE,"EA CH (2) ";#N/A,#N/A,FALSE,"EA CH";#N/A,#N/A,FALSE,"EA CH (3) ";#N/A,#N/A,FALSE,"EA CH (4)";#N/A,#N/A,FALSE,"KA CH";#N/A,#N/A,FALSE,"KA CH  (2)";#N/A,#N/A,FALSE,"KA CH  (3)";#N/A,#N/A,FALSE,"KA CH (4)"}</definedName>
    <definedName name="cjghjhj_2" localSheetId="6" hidden="1">{#N/A,#N/A,FALSE,"Umsatz CH";#N/A,#N/A,FALSE,"ER CH";#N/A,#N/A,FALSE,"EA CH (2) ";#N/A,#N/A,FALSE,"EA CH";#N/A,#N/A,FALSE,"EA CH (3) ";#N/A,#N/A,FALSE,"EA CH (4)";#N/A,#N/A,FALSE,"KA CH";#N/A,#N/A,FALSE,"KA CH  (2)";#N/A,#N/A,FALSE,"KA CH  (3)";#N/A,#N/A,FALSE,"KA CH (4)"}</definedName>
    <definedName name="cjghjhj_2" hidden="1">{#N/A,#N/A,FALSE,"Umsatz CH";#N/A,#N/A,FALSE,"ER CH";#N/A,#N/A,FALSE,"EA CH (2) ";#N/A,#N/A,FALSE,"EA CH";#N/A,#N/A,FALSE,"EA CH (3) ";#N/A,#N/A,FALSE,"EA CH (4)";#N/A,#N/A,FALSE,"KA CH";#N/A,#N/A,FALSE,"KA CH  (2)";#N/A,#N/A,FALSE,"KA CH  (3)";#N/A,#N/A,FALSE,"KA CH (4)"}</definedName>
    <definedName name="cjghjhj_3" localSheetId="0" hidden="1">{#N/A,#N/A,FALSE,"Umsatz CH";#N/A,#N/A,FALSE,"ER CH";#N/A,#N/A,FALSE,"EA CH (2) ";#N/A,#N/A,FALSE,"EA CH";#N/A,#N/A,FALSE,"EA CH (3) ";#N/A,#N/A,FALSE,"EA CH (4)";#N/A,#N/A,FALSE,"KA CH";#N/A,#N/A,FALSE,"KA CH  (2)";#N/A,#N/A,FALSE,"KA CH  (3)";#N/A,#N/A,FALSE,"KA CH (4)"}</definedName>
    <definedName name="cjghjhj_3" localSheetId="6" hidden="1">{#N/A,#N/A,FALSE,"Umsatz CH";#N/A,#N/A,FALSE,"ER CH";#N/A,#N/A,FALSE,"EA CH (2) ";#N/A,#N/A,FALSE,"EA CH";#N/A,#N/A,FALSE,"EA CH (3) ";#N/A,#N/A,FALSE,"EA CH (4)";#N/A,#N/A,FALSE,"KA CH";#N/A,#N/A,FALSE,"KA CH  (2)";#N/A,#N/A,FALSE,"KA CH  (3)";#N/A,#N/A,FALSE,"KA CH (4)"}</definedName>
    <definedName name="cjghjhj_3" hidden="1">{#N/A,#N/A,FALSE,"Umsatz CH";#N/A,#N/A,FALSE,"ER CH";#N/A,#N/A,FALSE,"EA CH (2) ";#N/A,#N/A,FALSE,"EA CH";#N/A,#N/A,FALSE,"EA CH (3) ";#N/A,#N/A,FALSE,"EA CH (4)";#N/A,#N/A,FALSE,"KA CH";#N/A,#N/A,FALSE,"KA CH  (2)";#N/A,#N/A,FALSE,"KA CH  (3)";#N/A,#N/A,FALSE,"KA CH (4)"}</definedName>
    <definedName name="cjghjhj_4" localSheetId="0" hidden="1">{#N/A,#N/A,FALSE,"Umsatz CH";#N/A,#N/A,FALSE,"ER CH";#N/A,#N/A,FALSE,"EA CH (2) ";#N/A,#N/A,FALSE,"EA CH";#N/A,#N/A,FALSE,"EA CH (3) ";#N/A,#N/A,FALSE,"EA CH (4)";#N/A,#N/A,FALSE,"KA CH";#N/A,#N/A,FALSE,"KA CH  (2)";#N/A,#N/A,FALSE,"KA CH  (3)";#N/A,#N/A,FALSE,"KA CH (4)"}</definedName>
    <definedName name="cjghjhj_4" localSheetId="6" hidden="1">{#N/A,#N/A,FALSE,"Umsatz CH";#N/A,#N/A,FALSE,"ER CH";#N/A,#N/A,FALSE,"EA CH (2) ";#N/A,#N/A,FALSE,"EA CH";#N/A,#N/A,FALSE,"EA CH (3) ";#N/A,#N/A,FALSE,"EA CH (4)";#N/A,#N/A,FALSE,"KA CH";#N/A,#N/A,FALSE,"KA CH  (2)";#N/A,#N/A,FALSE,"KA CH  (3)";#N/A,#N/A,FALSE,"KA CH (4)"}</definedName>
    <definedName name="cjghjhj_4" hidden="1">{#N/A,#N/A,FALSE,"Umsatz CH";#N/A,#N/A,FALSE,"ER CH";#N/A,#N/A,FALSE,"EA CH (2) ";#N/A,#N/A,FALSE,"EA CH";#N/A,#N/A,FALSE,"EA CH (3) ";#N/A,#N/A,FALSE,"EA CH (4)";#N/A,#N/A,FALSE,"KA CH";#N/A,#N/A,FALSE,"KA CH  (2)";#N/A,#N/A,FALSE,"KA CH  (3)";#N/A,#N/A,FALSE,"KA CH (4)"}</definedName>
    <definedName name="cjghjhj_5" localSheetId="0" hidden="1">{#N/A,#N/A,FALSE,"Umsatz CH";#N/A,#N/A,FALSE,"ER CH";#N/A,#N/A,FALSE,"EA CH (2) ";#N/A,#N/A,FALSE,"EA CH";#N/A,#N/A,FALSE,"EA CH (3) ";#N/A,#N/A,FALSE,"EA CH (4)";#N/A,#N/A,FALSE,"KA CH";#N/A,#N/A,FALSE,"KA CH  (2)";#N/A,#N/A,FALSE,"KA CH  (3)";#N/A,#N/A,FALSE,"KA CH (4)"}</definedName>
    <definedName name="cjghjhj_5" localSheetId="6" hidden="1">{#N/A,#N/A,FALSE,"Umsatz CH";#N/A,#N/A,FALSE,"ER CH";#N/A,#N/A,FALSE,"EA CH (2) ";#N/A,#N/A,FALSE,"EA CH";#N/A,#N/A,FALSE,"EA CH (3) ";#N/A,#N/A,FALSE,"EA CH (4)";#N/A,#N/A,FALSE,"KA CH";#N/A,#N/A,FALSE,"KA CH  (2)";#N/A,#N/A,FALSE,"KA CH  (3)";#N/A,#N/A,FALSE,"KA CH (4)"}</definedName>
    <definedName name="cjghjhj_5" hidden="1">{#N/A,#N/A,FALSE,"Umsatz CH";#N/A,#N/A,FALSE,"ER CH";#N/A,#N/A,FALSE,"EA CH (2) ";#N/A,#N/A,FALSE,"EA CH";#N/A,#N/A,FALSE,"EA CH (3) ";#N/A,#N/A,FALSE,"EA CH (4)";#N/A,#N/A,FALSE,"KA CH";#N/A,#N/A,FALSE,"KA CH  (2)";#N/A,#N/A,FALSE,"KA CH  (3)";#N/A,#N/A,FALSE,"KA CH (4)"}</definedName>
    <definedName name="CJSSJH" localSheetId="6" hidden="1">{#N/A,#N/A,FALSE,"Spo Ole";#N/A,#N/A,FALSE,"Spool"}</definedName>
    <definedName name="CJSSJH" hidden="1">{#N/A,#N/A,FALSE,"Spo Ole";#N/A,#N/A,FALSE,"Spool"}</definedName>
    <definedName name="ckd추정6월"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ckd추정6월"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claverie" localSheetId="0" hidden="1">{#N/A,#N/A,FALSE,"Tabl. G1";#N/A,#N/A,FALSE,"Tabl. G2"}</definedName>
    <definedName name="claverie" localSheetId="6" hidden="1">{#N/A,#N/A,FALSE,"Tabl. G1";#N/A,#N/A,FALSE,"Tabl. G2"}</definedName>
    <definedName name="claverie" hidden="1">{#N/A,#N/A,FALSE,"Tabl. G1";#N/A,#N/A,FALSE,"Tabl. G2"}</definedName>
    <definedName name="CLIENT_CO">#REF!</definedName>
    <definedName name="Client_Name">#REF!</definedName>
    <definedName name="Clientname">#REF!</definedName>
    <definedName name="Close" localSheetId="6" hidden="1">{"'IM V02'!$A$1:$W$57"}</definedName>
    <definedName name="Close" hidden="1">{"'IM V02'!$A$1:$W$57"}</definedName>
    <definedName name="CN">#REF!</definedName>
    <definedName name="Co">#REF!</definedName>
    <definedName name="co_name">#REF!</definedName>
    <definedName name="Code" hidden="1">#REF!</definedName>
    <definedName name="COGstandard" localSheetId="0" hidden="1">{#N/A,#N/A,FALSE,"Pharm";#N/A,#N/A,FALSE,"WWCM"}</definedName>
    <definedName name="COGstandard" localSheetId="6" hidden="1">{#N/A,#N/A,FALSE,"Pharm";#N/A,#N/A,FALSE,"WWCM"}</definedName>
    <definedName name="COGstandard" hidden="1">{#N/A,#N/A,FALSE,"Pharm";#N/A,#N/A,FALSE,"WWCM"}</definedName>
    <definedName name="COGstandard_1" localSheetId="0" hidden="1">{#N/A,#N/A,FALSE,"Pharm";#N/A,#N/A,FALSE,"WWCM"}</definedName>
    <definedName name="COGstandard_1" localSheetId="6" hidden="1">{#N/A,#N/A,FALSE,"Pharm";#N/A,#N/A,FALSE,"WWCM"}</definedName>
    <definedName name="COGstandard_1" hidden="1">{#N/A,#N/A,FALSE,"Pharm";#N/A,#N/A,FALSE,"WWCM"}</definedName>
    <definedName name="COGstandard_1_1" localSheetId="0" hidden="1">{#N/A,#N/A,FALSE,"Pharm";#N/A,#N/A,FALSE,"WWCM"}</definedName>
    <definedName name="COGstandard_1_1" localSheetId="6" hidden="1">{#N/A,#N/A,FALSE,"Pharm";#N/A,#N/A,FALSE,"WWCM"}</definedName>
    <definedName name="COGstandard_1_1" hidden="1">{#N/A,#N/A,FALSE,"Pharm";#N/A,#N/A,FALSE,"WWCM"}</definedName>
    <definedName name="COGstandard_2" localSheetId="0" hidden="1">{#N/A,#N/A,FALSE,"Pharm";#N/A,#N/A,FALSE,"WWCM"}</definedName>
    <definedName name="COGstandard_2" localSheetId="6" hidden="1">{#N/A,#N/A,FALSE,"Pharm";#N/A,#N/A,FALSE,"WWCM"}</definedName>
    <definedName name="COGstandard_2" hidden="1">{#N/A,#N/A,FALSE,"Pharm";#N/A,#N/A,FALSE,"WWCM"}</definedName>
    <definedName name="COGstandard_3" localSheetId="0" hidden="1">{#N/A,#N/A,FALSE,"Pharm";#N/A,#N/A,FALSE,"WWCM"}</definedName>
    <definedName name="COGstandard_3" localSheetId="6" hidden="1">{#N/A,#N/A,FALSE,"Pharm";#N/A,#N/A,FALSE,"WWCM"}</definedName>
    <definedName name="COGstandard_3" hidden="1">{#N/A,#N/A,FALSE,"Pharm";#N/A,#N/A,FALSE,"WWCM"}</definedName>
    <definedName name="COGstandard_4" localSheetId="0" hidden="1">{#N/A,#N/A,FALSE,"Pharm";#N/A,#N/A,FALSE,"WWCM"}</definedName>
    <definedName name="COGstandard_4" localSheetId="6" hidden="1">{#N/A,#N/A,FALSE,"Pharm";#N/A,#N/A,FALSE,"WWCM"}</definedName>
    <definedName name="COGstandard_4" hidden="1">{#N/A,#N/A,FALSE,"Pharm";#N/A,#N/A,FALSE,"WWCM"}</definedName>
    <definedName name="COGstandard_5" localSheetId="0" hidden="1">{#N/A,#N/A,FALSE,"Pharm";#N/A,#N/A,FALSE,"WWCM"}</definedName>
    <definedName name="COGstandard_5" localSheetId="6" hidden="1">{#N/A,#N/A,FALSE,"Pharm";#N/A,#N/A,FALSE,"WWCM"}</definedName>
    <definedName name="COGstandard_5" hidden="1">{#N/A,#N/A,FALSE,"Pharm";#N/A,#N/A,FALSE,"WWCM"}</definedName>
    <definedName name="coiuere" localSheetId="0" hidden="1">{"vue1",#N/A,FALSE,"synthese";"vue2",#N/A,FALSE,"synthese"}</definedName>
    <definedName name="coiuere" localSheetId="6" hidden="1">{"vue1",#N/A,FALSE,"synthese";"vue2",#N/A,FALSE,"synthese"}</definedName>
    <definedName name="coiuere" hidden="1">{"vue1",#N/A,FALSE,"synthese";"vue2",#N/A,FALSE,"synthese"}</definedName>
    <definedName name="ColNum1">#REF!</definedName>
    <definedName name="ColNum2">#REF!</definedName>
    <definedName name="ColNum3">#REF!</definedName>
    <definedName name="ColNum4">#REF!</definedName>
    <definedName name="ColNumOther">#REF!</definedName>
    <definedName name="ColNumStress">#REF!</definedName>
    <definedName name="ColumnTitle1">#REF!</definedName>
    <definedName name="Commercial">#REF!</definedName>
    <definedName name="COMMON_STOCK" hidden="1">"COMMON_STOCK"</definedName>
    <definedName name="commonstart" hidden="1">#REF!</definedName>
    <definedName name="comp">#REF!</definedName>
    <definedName name="Comp_Description" hidden="1">39240.7063310185</definedName>
    <definedName name="comp21" hidden="1">#REF!</definedName>
    <definedName name="comp22" hidden="1">#REF!</definedName>
    <definedName name="comp23" hidden="1">#REF!</definedName>
    <definedName name="comp24" hidden="1">#REF!</definedName>
    <definedName name="comp25" hidden="1">#REF!</definedName>
    <definedName name="comp26" hidden="1">#REF!</definedName>
    <definedName name="comp27" hidden="1">#REF!</definedName>
    <definedName name="comp28" hidden="1">#REF!</definedName>
    <definedName name="comp29" hidden="1">#REF!</definedName>
    <definedName name="comp30" hidden="1">#REF!</definedName>
    <definedName name="comp31" hidden="1">#REF!</definedName>
    <definedName name="comp32" hidden="1">#REF!</definedName>
    <definedName name="comp33" hidden="1">#REF!</definedName>
    <definedName name="comp34" hidden="1">#REF!</definedName>
    <definedName name="comp35" hidden="1">#REF!</definedName>
    <definedName name="comp36" hidden="1">#REF!</definedName>
    <definedName name="Companies" localSheetId="6" hidden="1">{"Valuation - Letter",#N/A,TRUE,"Valuation Summary";"Financial Statements - Letter",#N/A,TRUE,"Results";"Results - Letter",#N/A,TRUE,"Results";"Ratios - Letter",#N/A,TRUE,"Results";"P2 Summary - Letter",#N/A,TRUE,"Results"}</definedName>
    <definedName name="Companies" hidden="1">{"Valuation - Letter",#N/A,TRUE,"Valuation Summary";"Financial Statements - Letter",#N/A,TRUE,"Results";"Results - Letter",#N/A,TRUE,"Results";"Ratios - Letter",#N/A,TRUE,"Results";"P2 Summary - Letter",#N/A,TRUE,"Results"}</definedName>
    <definedName name="Company">#REF!</definedName>
    <definedName name="COMPANY_ADDRESS" hidden="1">"COMPANY_ADDRESS"</definedName>
    <definedName name="Company_Data_FooterType" hidden="1">"NONE"</definedName>
    <definedName name="Company_Name6" hidden="1">#REF!</definedName>
    <definedName name="COMPANY_PHONE" hidden="1">"COMPANY_PHONE"</definedName>
    <definedName name="COMPANY_STREET1" hidden="1">"COMPANY_STREET1"</definedName>
    <definedName name="COMPANY_STREET2" hidden="1">"COMPANY_STREET2"</definedName>
    <definedName name="COMPANY_TICKER" hidden="1">"COMPANY_TICKER"</definedName>
    <definedName name="COMPANY_WEBSITE" hidden="1">"COMPANY_WEBSITE"</definedName>
    <definedName name="COMPANY_ZIP" hidden="1">"COMPANY_ZIP"</definedName>
    <definedName name="CompanyName">#REF!</definedName>
    <definedName name="Comparable" localSheetId="0" hidden="1">{"First Page",#N/A,FALSE,"Surfactants LBO";"Second Page",#N/A,FALSE,"Surfactants LBO"}</definedName>
    <definedName name="Comparable" localSheetId="6" hidden="1">{"First Page",#N/A,FALSE,"Surfactants LBO";"Second Page",#N/A,FALSE,"Surfactants LBO"}</definedName>
    <definedName name="Comparable" hidden="1">{"First Page",#N/A,FALSE,"Surfactants LBO";"Second Page",#N/A,FALSE,"Surfactants LBO"}</definedName>
    <definedName name="Compco1" localSheetId="0" hidden="1">{"Page1",#N/A,FALSE,"CompCo";"Page2",#N/A,FALSE,"CompCo"}</definedName>
    <definedName name="Compco1" localSheetId="6" hidden="1">{"Page1",#N/A,FALSE,"CompCo";"Page2",#N/A,FALSE,"CompCo"}</definedName>
    <definedName name="Compco1" hidden="1">{"Page1",#N/A,FALSE,"CompCo";"Page2",#N/A,FALSE,"CompCo"}</definedName>
    <definedName name="Compco2" localSheetId="0" hidden="1">{"Page1",#N/A,FALSE,"CompCo";"Page2",#N/A,FALSE,"CompCo"}</definedName>
    <definedName name="Compco2" localSheetId="6" hidden="1">{"Page1",#N/A,FALSE,"CompCo";"Page2",#N/A,FALSE,"CompCo"}</definedName>
    <definedName name="Compco2" hidden="1">{"Page1",#N/A,FALSE,"CompCo";"Page2",#N/A,FALSE,"CompCo"}</definedName>
    <definedName name="compnam" hidden="1">#REF!</definedName>
    <definedName name="compresult" localSheetId="0" hidden="1">{"FCB_ALL",#N/A,FALSE,"FCB"}</definedName>
    <definedName name="compresult" localSheetId="6" hidden="1">{"FCB_ALL",#N/A,FALSE,"FCB"}</definedName>
    <definedName name="compresult" hidden="1">{"FCB_ALL",#N/A,FALSE,"FCB"}</definedName>
    <definedName name="compresult1" localSheetId="6" hidden="1">{"FCB_ALL",#N/A,FALSE,"FCB"}</definedName>
    <definedName name="compresult1" hidden="1">{"FCB_ALL",#N/A,FALSE,"FCB"}</definedName>
    <definedName name="compresult2" localSheetId="0" hidden="1">{"FCB_ALL",#N/A,FALSE,"FCB"}</definedName>
    <definedName name="compresult2" localSheetId="6" hidden="1">{"FCB_ALL",#N/A,FALSE,"FCB"}</definedName>
    <definedName name="compresult2" hidden="1">{"FCB_ALL",#N/A,FALSE,"FCB"}</definedName>
    <definedName name="compresults" localSheetId="0" hidden="1">{"FCB_ALL",#N/A,FALSE,"FCB"}</definedName>
    <definedName name="compresults" localSheetId="6" hidden="1">{"FCB_ALL",#N/A,FALSE,"FCB"}</definedName>
    <definedName name="compresults" hidden="1">{"FCB_ALL",#N/A,FALSE,"FCB"}</definedName>
    <definedName name="compresults1" localSheetId="6" hidden="1">{"FCB_ALL",#N/A,FALSE,"FCB"}</definedName>
    <definedName name="compresults1" hidden="1">{"FCB_ALL",#N/A,FALSE,"FCB"}</definedName>
    <definedName name="CON"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CON"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CoName">#REF!</definedName>
    <definedName name="CONB">#REF!</definedName>
    <definedName name="CONS" localSheetId="0" hidden="1">{#N/A,#N/A,TRUE,"PROFIT 11-95"}</definedName>
    <definedName name="CONS" localSheetId="6" hidden="1">{#N/A,#N/A,TRUE,"PROFIT 11-95"}</definedName>
    <definedName name="CONS" hidden="1">{#N/A,#N/A,TRUE,"PROFIT 11-95"}</definedName>
    <definedName name="consolidat" localSheetId="0" hidden="1">{#N/A,#N/A,TRUE,"PROFIT 11-95"}</definedName>
    <definedName name="consolidat" localSheetId="6" hidden="1">{#N/A,#N/A,TRUE,"PROFIT 11-95"}</definedName>
    <definedName name="consolidat" hidden="1">{#N/A,#N/A,TRUE,"PROFIT 11-95"}</definedName>
    <definedName name="Consolidation_List">#REF!</definedName>
    <definedName name="Consumables">#REF!</definedName>
    <definedName name="CONT" hidden="1">#REF!</definedName>
    <definedName name="ContentsHelp" hidden="1">#REF!</definedName>
    <definedName name="Contingent_Liabilities_and_Commitments">#REF!</definedName>
    <definedName name="Contract_No.">#REF!</definedName>
    <definedName name="contrib2" localSheetId="0" hidden="1">{"page1",#N/A,FALSE,"Temp";"page2",#N/A,FALSE,"Temp";"page3",#N/A,FALSE,"Temp";"page4",#N/A,FALSE,"Temp";"page5",#N/A,FALSE,"Temp";"page6",#N/A,FALSE,"Temp"}</definedName>
    <definedName name="contrib2" localSheetId="6" hidden="1">{"page1",#N/A,FALSE,"Temp";"page2",#N/A,FALSE,"Temp";"page3",#N/A,FALSE,"Temp";"page4",#N/A,FALSE,"Temp";"page5",#N/A,FALSE,"Temp";"page6",#N/A,FALSE,"Temp"}</definedName>
    <definedName name="contrib2" hidden="1">{"page1",#N/A,FALSE,"Temp";"page2",#N/A,FALSE,"Temp";"page3",#N/A,FALSE,"Temp";"page4",#N/A,FALSE,"Temp";"page5",#N/A,FALSE,"Temp";"page6",#N/A,FALSE,"Temp"}</definedName>
    <definedName name="control_prem">#REF!</definedName>
    <definedName name="ControlTag" hidden="1">"PFP_CE20071120093032"</definedName>
    <definedName name="Conv">#REF!</definedName>
    <definedName name="Conventions">#REF!</definedName>
    <definedName name="ConvRate">#REF!</definedName>
    <definedName name="cooper2" localSheetId="0" hidden="1">{#N/A,#N/A,TRUE,"Pro Forma";#N/A,#N/A,TRUE,"PF_Bal";#N/A,#N/A,TRUE,"PF_INC";#N/A,#N/A,TRUE,"CBE";#N/A,#N/A,TRUE,"SWK"}</definedName>
    <definedName name="cooper2" localSheetId="6" hidden="1">{#N/A,#N/A,TRUE,"Pro Forma";#N/A,#N/A,TRUE,"PF_Bal";#N/A,#N/A,TRUE,"PF_INC";#N/A,#N/A,TRUE,"CBE";#N/A,#N/A,TRUE,"SWK"}</definedName>
    <definedName name="cooper2" hidden="1">{#N/A,#N/A,TRUE,"Pro Forma";#N/A,#N/A,TRUE,"PF_Bal";#N/A,#N/A,TRUE,"PF_INC";#N/A,#N/A,TRUE,"CBE";#N/A,#N/A,TRUE,"SWK"}</definedName>
    <definedName name="coos" localSheetId="6" hidden="1">{"VIEW1",#N/A,FALSE,"P&amp;L Account 2001-2002";"VIEW2",#N/A,FALSE,"P&amp;L Account 2001-2002";"VIEW3",#N/A,FALSE,"P&amp;L Account 2001-2002";"VIEW4",#N/A,FALSE,"P&amp;L Account 2001-2002"}</definedName>
    <definedName name="coos" hidden="1">{"VIEW1",#N/A,FALSE,"P&amp;L Account 2001-2002";"VIEW2",#N/A,FALSE,"P&amp;L Account 2001-2002";"VIEW3",#N/A,FALSE,"P&amp;L Account 2001-2002";"VIEW4",#N/A,FALSE,"P&amp;L Account 2001-2002"}</definedName>
    <definedName name="COOST" localSheetId="6" hidden="1">{"VIEW1",#N/A,FALSE,"P&amp;L Account 2001-2002";"VIEW2",#N/A,FALSE,"P&amp;L Account 2001-2002";"VIEW3",#N/A,FALSE,"P&amp;L Account 2001-2002";"VIEW4",#N/A,FALSE,"P&amp;L Account 2001-2002"}</definedName>
    <definedName name="COOST" hidden="1">{"VIEW1",#N/A,FALSE,"P&amp;L Account 2001-2002";"VIEW2",#N/A,FALSE,"P&amp;L Account 2001-2002";"VIEW3",#N/A,FALSE,"P&amp;L Account 2001-2002";"VIEW4",#N/A,FALSE,"P&amp;L Account 2001-2002"}</definedName>
    <definedName name="cop" localSheetId="0" hidden="1">{"First Page",#N/A,FALSE,"Surfactants LBO";"Second Page",#N/A,FALSE,"Surfactants LBO"}</definedName>
    <definedName name="cop" localSheetId="6" hidden="1">{"First Page",#N/A,FALSE,"Surfactants LBO";"Second Page",#N/A,FALSE,"Surfactants LBO"}</definedName>
    <definedName name="cop" hidden="1">{"First Page",#N/A,FALSE,"Surfactants LBO";"Second Page",#N/A,FALSE,"Surfactants LBO"}</definedName>
    <definedName name="Copy">#REF!</definedName>
    <definedName name="COPY_1" localSheetId="0" hidden="1">{#N/A,#N/A,FALSE,"Pharm";#N/A,#N/A,FALSE,"WWCM"}</definedName>
    <definedName name="COPY_1" localSheetId="6" hidden="1">{#N/A,#N/A,FALSE,"Pharm";#N/A,#N/A,FALSE,"WWCM"}</definedName>
    <definedName name="COPY_1" hidden="1">{#N/A,#N/A,FALSE,"Pharm";#N/A,#N/A,FALSE,"WWCM"}</definedName>
    <definedName name="COPY_1_1" localSheetId="0" hidden="1">{#N/A,#N/A,FALSE,"Pharm";#N/A,#N/A,FALSE,"WWCM"}</definedName>
    <definedName name="COPY_1_1" localSheetId="6" hidden="1">{#N/A,#N/A,FALSE,"Pharm";#N/A,#N/A,FALSE,"WWCM"}</definedName>
    <definedName name="COPY_1_1" hidden="1">{#N/A,#N/A,FALSE,"Pharm";#N/A,#N/A,FALSE,"WWCM"}</definedName>
    <definedName name="COPY_2" localSheetId="0" hidden="1">{#N/A,#N/A,FALSE,"Pharm";#N/A,#N/A,FALSE,"WWCM"}</definedName>
    <definedName name="COPY_2" localSheetId="6" hidden="1">{#N/A,#N/A,FALSE,"Pharm";#N/A,#N/A,FALSE,"WWCM"}</definedName>
    <definedName name="COPY_2" hidden="1">{#N/A,#N/A,FALSE,"Pharm";#N/A,#N/A,FALSE,"WWCM"}</definedName>
    <definedName name="COPY_3" localSheetId="0" hidden="1">{#N/A,#N/A,FALSE,"Pharm";#N/A,#N/A,FALSE,"WWCM"}</definedName>
    <definedName name="COPY_3" localSheetId="6" hidden="1">{#N/A,#N/A,FALSE,"Pharm";#N/A,#N/A,FALSE,"WWCM"}</definedName>
    <definedName name="COPY_3" hidden="1">{#N/A,#N/A,FALSE,"Pharm";#N/A,#N/A,FALSE,"WWCM"}</definedName>
    <definedName name="COPY_4" localSheetId="0" hidden="1">{#N/A,#N/A,FALSE,"Pharm";#N/A,#N/A,FALSE,"WWCM"}</definedName>
    <definedName name="COPY_4" localSheetId="6" hidden="1">{#N/A,#N/A,FALSE,"Pharm";#N/A,#N/A,FALSE,"WWCM"}</definedName>
    <definedName name="COPY_4" hidden="1">{#N/A,#N/A,FALSE,"Pharm";#N/A,#N/A,FALSE,"WWCM"}</definedName>
    <definedName name="COPY_5" localSheetId="0" hidden="1">{#N/A,#N/A,FALSE,"Pharm";#N/A,#N/A,FALSE,"WWCM"}</definedName>
    <definedName name="COPY_5" localSheetId="6" hidden="1">{#N/A,#N/A,FALSE,"Pharm";#N/A,#N/A,FALSE,"WWCM"}</definedName>
    <definedName name="COPY_5" hidden="1">{#N/A,#N/A,FALSE,"Pharm";#N/A,#N/A,FALSE,"WWCM"}</definedName>
    <definedName name="copy_NPV">#REF!</definedName>
    <definedName name="copy1" localSheetId="0" hidden="1">{#N/A,#N/A,TRUE,"Pro Forma";#N/A,#N/A,TRUE,"PF_Bal";#N/A,#N/A,TRUE,"PF_INC";#N/A,#N/A,TRUE,"CBE";#N/A,#N/A,TRUE,"SWK"}</definedName>
    <definedName name="copy1" localSheetId="6" hidden="1">{#N/A,#N/A,TRUE,"Pro Forma";#N/A,#N/A,TRUE,"PF_Bal";#N/A,#N/A,TRUE,"PF_INC";#N/A,#N/A,TRUE,"CBE";#N/A,#N/A,TRUE,"SWK"}</definedName>
    <definedName name="copy1" hidden="1">{#N/A,#N/A,TRUE,"Pro Forma";#N/A,#N/A,TRUE,"PF_Bal";#N/A,#N/A,TRUE,"PF_INC";#N/A,#N/A,TRUE,"CBE";#N/A,#N/A,TRUE,"SWK"}</definedName>
    <definedName name="copy1_1" localSheetId="0" hidden="1">{#N/A,#N/A,FALSE,"Pharm";#N/A,#N/A,FALSE,"WWCM"}</definedName>
    <definedName name="copy1_1" localSheetId="6" hidden="1">{#N/A,#N/A,FALSE,"Pharm";#N/A,#N/A,FALSE,"WWCM"}</definedName>
    <definedName name="copy1_1" hidden="1">{#N/A,#N/A,FALSE,"Pharm";#N/A,#N/A,FALSE,"WWCM"}</definedName>
    <definedName name="copy1_1_1" localSheetId="0" hidden="1">{#N/A,#N/A,FALSE,"Pharm";#N/A,#N/A,FALSE,"WWCM"}</definedName>
    <definedName name="copy1_1_1" localSheetId="6" hidden="1">{#N/A,#N/A,FALSE,"Pharm";#N/A,#N/A,FALSE,"WWCM"}</definedName>
    <definedName name="copy1_1_1" hidden="1">{#N/A,#N/A,FALSE,"Pharm";#N/A,#N/A,FALSE,"WWCM"}</definedName>
    <definedName name="copy1_2" localSheetId="0" hidden="1">{#N/A,#N/A,FALSE,"Pharm";#N/A,#N/A,FALSE,"WWCM"}</definedName>
    <definedName name="copy1_2" localSheetId="6" hidden="1">{#N/A,#N/A,FALSE,"Pharm";#N/A,#N/A,FALSE,"WWCM"}</definedName>
    <definedName name="copy1_2" hidden="1">{#N/A,#N/A,FALSE,"Pharm";#N/A,#N/A,FALSE,"WWCM"}</definedName>
    <definedName name="copy1_3" localSheetId="0" hidden="1">{#N/A,#N/A,FALSE,"Pharm";#N/A,#N/A,FALSE,"WWCM"}</definedName>
    <definedName name="copy1_3" localSheetId="6" hidden="1">{#N/A,#N/A,FALSE,"Pharm";#N/A,#N/A,FALSE,"WWCM"}</definedName>
    <definedName name="copy1_3" hidden="1">{#N/A,#N/A,FALSE,"Pharm";#N/A,#N/A,FALSE,"WWCM"}</definedName>
    <definedName name="copy1_4" localSheetId="0" hidden="1">{#N/A,#N/A,FALSE,"Pharm";#N/A,#N/A,FALSE,"WWCM"}</definedName>
    <definedName name="copy1_4" localSheetId="6" hidden="1">{#N/A,#N/A,FALSE,"Pharm";#N/A,#N/A,FALSE,"WWCM"}</definedName>
    <definedName name="copy1_4" hidden="1">{#N/A,#N/A,FALSE,"Pharm";#N/A,#N/A,FALSE,"WWCM"}</definedName>
    <definedName name="copy1_5" localSheetId="0" hidden="1">{#N/A,#N/A,FALSE,"Pharm";#N/A,#N/A,FALSE,"WWCM"}</definedName>
    <definedName name="copy1_5" localSheetId="6" hidden="1">{#N/A,#N/A,FALSE,"Pharm";#N/A,#N/A,FALSE,"WWCM"}</definedName>
    <definedName name="copy1_5" hidden="1">{#N/A,#N/A,FALSE,"Pharm";#N/A,#N/A,FALSE,"WWCM"}</definedName>
    <definedName name="copy2" localSheetId="0" hidden="1">{#N/A,#N/A,TRUE,"financial";#N/A,#N/A,TRUE,"plants"}</definedName>
    <definedName name="copy2" localSheetId="6" hidden="1">{#N/A,#N/A,TRUE,"financial";#N/A,#N/A,TRUE,"plants"}</definedName>
    <definedName name="copy2" hidden="1">{#N/A,#N/A,TRUE,"financial";#N/A,#N/A,TRUE,"plants"}</definedName>
    <definedName name="COPY2_1" localSheetId="0" hidden="1">{#N/A,#N/A,FALSE,"Pharm";#N/A,#N/A,FALSE,"WWCM"}</definedName>
    <definedName name="COPY2_1" localSheetId="6" hidden="1">{#N/A,#N/A,FALSE,"Pharm";#N/A,#N/A,FALSE,"WWCM"}</definedName>
    <definedName name="COPY2_1" hidden="1">{#N/A,#N/A,FALSE,"Pharm";#N/A,#N/A,FALSE,"WWCM"}</definedName>
    <definedName name="COPY2_1_1" localSheetId="0" hidden="1">{#N/A,#N/A,FALSE,"Pharm";#N/A,#N/A,FALSE,"WWCM"}</definedName>
    <definedName name="COPY2_1_1" localSheetId="6" hidden="1">{#N/A,#N/A,FALSE,"Pharm";#N/A,#N/A,FALSE,"WWCM"}</definedName>
    <definedName name="COPY2_1_1" hidden="1">{#N/A,#N/A,FALSE,"Pharm";#N/A,#N/A,FALSE,"WWCM"}</definedName>
    <definedName name="COPY2_2" localSheetId="0" hidden="1">{#N/A,#N/A,FALSE,"Pharm";#N/A,#N/A,FALSE,"WWCM"}</definedName>
    <definedName name="COPY2_2" localSheetId="6" hidden="1">{#N/A,#N/A,FALSE,"Pharm";#N/A,#N/A,FALSE,"WWCM"}</definedName>
    <definedName name="COPY2_2" hidden="1">{#N/A,#N/A,FALSE,"Pharm";#N/A,#N/A,FALSE,"WWCM"}</definedName>
    <definedName name="COPY2_3" localSheetId="0" hidden="1">{#N/A,#N/A,FALSE,"Pharm";#N/A,#N/A,FALSE,"WWCM"}</definedName>
    <definedName name="COPY2_3" localSheetId="6" hidden="1">{#N/A,#N/A,FALSE,"Pharm";#N/A,#N/A,FALSE,"WWCM"}</definedName>
    <definedName name="COPY2_3" hidden="1">{#N/A,#N/A,FALSE,"Pharm";#N/A,#N/A,FALSE,"WWCM"}</definedName>
    <definedName name="COPY2_4" localSheetId="0" hidden="1">{#N/A,#N/A,FALSE,"Pharm";#N/A,#N/A,FALSE,"WWCM"}</definedName>
    <definedName name="COPY2_4" localSheetId="6" hidden="1">{#N/A,#N/A,FALSE,"Pharm";#N/A,#N/A,FALSE,"WWCM"}</definedName>
    <definedName name="COPY2_4" hidden="1">{#N/A,#N/A,FALSE,"Pharm";#N/A,#N/A,FALSE,"WWCM"}</definedName>
    <definedName name="COPY2_5" localSheetId="0" hidden="1">{#N/A,#N/A,FALSE,"Pharm";#N/A,#N/A,FALSE,"WWCM"}</definedName>
    <definedName name="COPY2_5" localSheetId="6" hidden="1">{#N/A,#N/A,FALSE,"Pharm";#N/A,#N/A,FALSE,"WWCM"}</definedName>
    <definedName name="COPY2_5" hidden="1">{#N/A,#N/A,FALSE,"Pharm";#N/A,#N/A,FALSE,"WWCM"}</definedName>
    <definedName name="copy233" localSheetId="0" hidden="1">{#N/A,#N/A,FALSE,"Pharm";#N/A,#N/A,FALSE,"WWCM"}</definedName>
    <definedName name="copy233" localSheetId="6" hidden="1">{#N/A,#N/A,FALSE,"Pharm";#N/A,#N/A,FALSE,"WWCM"}</definedName>
    <definedName name="copy233" hidden="1">{#N/A,#N/A,FALSE,"Pharm";#N/A,#N/A,FALSE,"WWCM"}</definedName>
    <definedName name="copy233_1" localSheetId="0" hidden="1">{#N/A,#N/A,FALSE,"Pharm";#N/A,#N/A,FALSE,"WWCM"}</definedName>
    <definedName name="copy233_1" localSheetId="6" hidden="1">{#N/A,#N/A,FALSE,"Pharm";#N/A,#N/A,FALSE,"WWCM"}</definedName>
    <definedName name="copy233_1" hidden="1">{#N/A,#N/A,FALSE,"Pharm";#N/A,#N/A,FALSE,"WWCM"}</definedName>
    <definedName name="copy233_1_1" localSheetId="0" hidden="1">{#N/A,#N/A,FALSE,"Pharm";#N/A,#N/A,FALSE,"WWCM"}</definedName>
    <definedName name="copy233_1_1" localSheetId="6" hidden="1">{#N/A,#N/A,FALSE,"Pharm";#N/A,#N/A,FALSE,"WWCM"}</definedName>
    <definedName name="copy233_1_1" hidden="1">{#N/A,#N/A,FALSE,"Pharm";#N/A,#N/A,FALSE,"WWCM"}</definedName>
    <definedName name="copy233_2" localSheetId="0" hidden="1">{#N/A,#N/A,FALSE,"Pharm";#N/A,#N/A,FALSE,"WWCM"}</definedName>
    <definedName name="copy233_2" localSheetId="6" hidden="1">{#N/A,#N/A,FALSE,"Pharm";#N/A,#N/A,FALSE,"WWCM"}</definedName>
    <definedName name="copy233_2" hidden="1">{#N/A,#N/A,FALSE,"Pharm";#N/A,#N/A,FALSE,"WWCM"}</definedName>
    <definedName name="copy233_3" localSheetId="0" hidden="1">{#N/A,#N/A,FALSE,"Pharm";#N/A,#N/A,FALSE,"WWCM"}</definedName>
    <definedName name="copy233_3" localSheetId="6" hidden="1">{#N/A,#N/A,FALSE,"Pharm";#N/A,#N/A,FALSE,"WWCM"}</definedName>
    <definedName name="copy233_3" hidden="1">{#N/A,#N/A,FALSE,"Pharm";#N/A,#N/A,FALSE,"WWCM"}</definedName>
    <definedName name="copy233_4" localSheetId="0" hidden="1">{#N/A,#N/A,FALSE,"Pharm";#N/A,#N/A,FALSE,"WWCM"}</definedName>
    <definedName name="copy233_4" localSheetId="6" hidden="1">{#N/A,#N/A,FALSE,"Pharm";#N/A,#N/A,FALSE,"WWCM"}</definedName>
    <definedName name="copy233_4" hidden="1">{#N/A,#N/A,FALSE,"Pharm";#N/A,#N/A,FALSE,"WWCM"}</definedName>
    <definedName name="copy233_5" localSheetId="0" hidden="1">{#N/A,#N/A,FALSE,"Pharm";#N/A,#N/A,FALSE,"WWCM"}</definedName>
    <definedName name="copy233_5" localSheetId="6" hidden="1">{#N/A,#N/A,FALSE,"Pharm";#N/A,#N/A,FALSE,"WWCM"}</definedName>
    <definedName name="copy233_5" hidden="1">{#N/A,#N/A,FALSE,"Pharm";#N/A,#N/A,FALSE,"WWCM"}</definedName>
    <definedName name="copy3" localSheetId="0" hidden="1">{#N/A,#N/A,TRUE,"Pro Forma";#N/A,#N/A,TRUE,"PF_Bal";#N/A,#N/A,TRUE,"PF_INC";#N/A,#N/A,TRUE,"CBE";#N/A,#N/A,TRUE,"SWK"}</definedName>
    <definedName name="copy3" localSheetId="6" hidden="1">{#N/A,#N/A,TRUE,"Pro Forma";#N/A,#N/A,TRUE,"PF_Bal";#N/A,#N/A,TRUE,"PF_INC";#N/A,#N/A,TRUE,"CBE";#N/A,#N/A,TRUE,"SWK"}</definedName>
    <definedName name="copy3" hidden="1">{#N/A,#N/A,TRUE,"Pro Forma";#N/A,#N/A,TRUE,"PF_Bal";#N/A,#N/A,TRUE,"PF_INC";#N/A,#N/A,TRUE,"CBE";#N/A,#N/A,TRUE,"SWK"}</definedName>
    <definedName name="copy33" localSheetId="0" hidden="1">{#N/A,#N/A,FALSE,"Pharm";#N/A,#N/A,FALSE,"WWCM"}</definedName>
    <definedName name="copy33" localSheetId="6" hidden="1">{#N/A,#N/A,FALSE,"Pharm";#N/A,#N/A,FALSE,"WWCM"}</definedName>
    <definedName name="copy33" hidden="1">{#N/A,#N/A,FALSE,"Pharm";#N/A,#N/A,FALSE,"WWCM"}</definedName>
    <definedName name="copy33_1" localSheetId="0" hidden="1">{#N/A,#N/A,FALSE,"Pharm";#N/A,#N/A,FALSE,"WWCM"}</definedName>
    <definedName name="copy33_1" localSheetId="6" hidden="1">{#N/A,#N/A,FALSE,"Pharm";#N/A,#N/A,FALSE,"WWCM"}</definedName>
    <definedName name="copy33_1" hidden="1">{#N/A,#N/A,FALSE,"Pharm";#N/A,#N/A,FALSE,"WWCM"}</definedName>
    <definedName name="copy33_1_1" localSheetId="0" hidden="1">{#N/A,#N/A,FALSE,"Pharm";#N/A,#N/A,FALSE,"WWCM"}</definedName>
    <definedName name="copy33_1_1" localSheetId="6" hidden="1">{#N/A,#N/A,FALSE,"Pharm";#N/A,#N/A,FALSE,"WWCM"}</definedName>
    <definedName name="copy33_1_1" hidden="1">{#N/A,#N/A,FALSE,"Pharm";#N/A,#N/A,FALSE,"WWCM"}</definedName>
    <definedName name="copy33_2" localSheetId="0" hidden="1">{#N/A,#N/A,FALSE,"Pharm";#N/A,#N/A,FALSE,"WWCM"}</definedName>
    <definedName name="copy33_2" localSheetId="6" hidden="1">{#N/A,#N/A,FALSE,"Pharm";#N/A,#N/A,FALSE,"WWCM"}</definedName>
    <definedName name="copy33_2" hidden="1">{#N/A,#N/A,FALSE,"Pharm";#N/A,#N/A,FALSE,"WWCM"}</definedName>
    <definedName name="copy33_3" localSheetId="0" hidden="1">{#N/A,#N/A,FALSE,"Pharm";#N/A,#N/A,FALSE,"WWCM"}</definedName>
    <definedName name="copy33_3" localSheetId="6" hidden="1">{#N/A,#N/A,FALSE,"Pharm";#N/A,#N/A,FALSE,"WWCM"}</definedName>
    <definedName name="copy33_3" hidden="1">{#N/A,#N/A,FALSE,"Pharm";#N/A,#N/A,FALSE,"WWCM"}</definedName>
    <definedName name="copy33_4" localSheetId="0" hidden="1">{#N/A,#N/A,FALSE,"Pharm";#N/A,#N/A,FALSE,"WWCM"}</definedName>
    <definedName name="copy33_4" localSheetId="6" hidden="1">{#N/A,#N/A,FALSE,"Pharm";#N/A,#N/A,FALSE,"WWCM"}</definedName>
    <definedName name="copy33_4" hidden="1">{#N/A,#N/A,FALSE,"Pharm";#N/A,#N/A,FALSE,"WWCM"}</definedName>
    <definedName name="copy33_5" localSheetId="0" hidden="1">{#N/A,#N/A,FALSE,"Pharm";#N/A,#N/A,FALSE,"WWCM"}</definedName>
    <definedName name="copy33_5" localSheetId="6" hidden="1">{#N/A,#N/A,FALSE,"Pharm";#N/A,#N/A,FALSE,"WWCM"}</definedName>
    <definedName name="copy33_5" hidden="1">{#N/A,#N/A,FALSE,"Pharm";#N/A,#N/A,FALSE,"WWCM"}</definedName>
    <definedName name="copy38" localSheetId="0" hidden="1">{#N/A,#N/A,FALSE,"Pharm";#N/A,#N/A,FALSE,"WWCM"}</definedName>
    <definedName name="copy38" localSheetId="6" hidden="1">{#N/A,#N/A,FALSE,"Pharm";#N/A,#N/A,FALSE,"WWCM"}</definedName>
    <definedName name="copy38" hidden="1">{#N/A,#N/A,FALSE,"Pharm";#N/A,#N/A,FALSE,"WWCM"}</definedName>
    <definedName name="copy38_1" localSheetId="0" hidden="1">{#N/A,#N/A,FALSE,"Pharm";#N/A,#N/A,FALSE,"WWCM"}</definedName>
    <definedName name="copy38_1" localSheetId="6" hidden="1">{#N/A,#N/A,FALSE,"Pharm";#N/A,#N/A,FALSE,"WWCM"}</definedName>
    <definedName name="copy38_1" hidden="1">{#N/A,#N/A,FALSE,"Pharm";#N/A,#N/A,FALSE,"WWCM"}</definedName>
    <definedName name="copy38_1_1" localSheetId="0" hidden="1">{#N/A,#N/A,FALSE,"Pharm";#N/A,#N/A,FALSE,"WWCM"}</definedName>
    <definedName name="copy38_1_1" localSheetId="6" hidden="1">{#N/A,#N/A,FALSE,"Pharm";#N/A,#N/A,FALSE,"WWCM"}</definedName>
    <definedName name="copy38_1_1" hidden="1">{#N/A,#N/A,FALSE,"Pharm";#N/A,#N/A,FALSE,"WWCM"}</definedName>
    <definedName name="copy38_2" localSheetId="0" hidden="1">{#N/A,#N/A,FALSE,"Pharm";#N/A,#N/A,FALSE,"WWCM"}</definedName>
    <definedName name="copy38_2" localSheetId="6" hidden="1">{#N/A,#N/A,FALSE,"Pharm";#N/A,#N/A,FALSE,"WWCM"}</definedName>
    <definedName name="copy38_2" hidden="1">{#N/A,#N/A,FALSE,"Pharm";#N/A,#N/A,FALSE,"WWCM"}</definedName>
    <definedName name="copy38_3" localSheetId="0" hidden="1">{#N/A,#N/A,FALSE,"Pharm";#N/A,#N/A,FALSE,"WWCM"}</definedName>
    <definedName name="copy38_3" localSheetId="6" hidden="1">{#N/A,#N/A,FALSE,"Pharm";#N/A,#N/A,FALSE,"WWCM"}</definedName>
    <definedName name="copy38_3" hidden="1">{#N/A,#N/A,FALSE,"Pharm";#N/A,#N/A,FALSE,"WWCM"}</definedName>
    <definedName name="copy38_4" localSheetId="0" hidden="1">{#N/A,#N/A,FALSE,"Pharm";#N/A,#N/A,FALSE,"WWCM"}</definedName>
    <definedName name="copy38_4" localSheetId="6" hidden="1">{#N/A,#N/A,FALSE,"Pharm";#N/A,#N/A,FALSE,"WWCM"}</definedName>
    <definedName name="copy38_4" hidden="1">{#N/A,#N/A,FALSE,"Pharm";#N/A,#N/A,FALSE,"WWCM"}</definedName>
    <definedName name="copy38_5" localSheetId="0" hidden="1">{#N/A,#N/A,FALSE,"Pharm";#N/A,#N/A,FALSE,"WWCM"}</definedName>
    <definedName name="copy38_5" localSheetId="6" hidden="1">{#N/A,#N/A,FALSE,"Pharm";#N/A,#N/A,FALSE,"WWCM"}</definedName>
    <definedName name="copy38_5" hidden="1">{#N/A,#N/A,FALSE,"Pharm";#N/A,#N/A,FALSE,"WWCM"}</definedName>
    <definedName name="copyright">#REF!</definedName>
    <definedName name="Copyrights">#REF!</definedName>
    <definedName name="CopyWord" hidden="1">#REF!</definedName>
    <definedName name="Corolla">#REF!</definedName>
    <definedName name="CORPORATE" localSheetId="0" hidden="1">{#N/A,#N/A,FALSE,"PROFIT 11-95"}</definedName>
    <definedName name="CORPORATE" localSheetId="6" hidden="1">{#N/A,#N/A,FALSE,"PROFIT 11-95"}</definedName>
    <definedName name="CORPORATE" hidden="1">{#N/A,#N/A,FALSE,"PROFIT 11-95"}</definedName>
    <definedName name="COS_raw_material">#REF!</definedName>
    <definedName name="COS_total">#REF!</definedName>
    <definedName name="Cost_of_Revenue">#REF!</definedName>
    <definedName name="COST_REVENUE" hidden="1">"COST_REVENUE"</definedName>
    <definedName name="cost_table">#REF!</definedName>
    <definedName name="CostCenter" hidden="1">#REF!</definedName>
    <definedName name="CostDriver">#REF!</definedName>
    <definedName name="coste" localSheetId="6" hidden="1">{"'IM V02'!$A$1:$W$57"}</definedName>
    <definedName name="coste" hidden="1">{"'IM V02'!$A$1:$W$57"}</definedName>
    <definedName name="CostLabel" hidden="1">#REF!</definedName>
    <definedName name="costofequity">#REF!</definedName>
    <definedName name="coucou" localSheetId="0" hidden="1">{#N/A,#N/A,TRUE,"Cover sheet";#N/A,#N/A,TRUE,"INPUTS";#N/A,#N/A,TRUE,"OUTPUTS";#N/A,#N/A,TRUE,"VALUATION"}</definedName>
    <definedName name="coucou" localSheetId="6" hidden="1">{#N/A,#N/A,TRUE,"Cover sheet";#N/A,#N/A,TRUE,"INPUTS";#N/A,#N/A,TRUE,"OUTPUTS";#N/A,#N/A,TRUE,"VALUATION"}</definedName>
    <definedName name="coucou" hidden="1">{#N/A,#N/A,TRUE,"Cover sheet";#N/A,#N/A,TRUE,"INPUTS";#N/A,#N/A,TRUE,"OUTPUTS";#N/A,#N/A,TRUE,"VALUATION"}</definedName>
    <definedName name="coun" localSheetId="0" hidden="1">{#N/A,#N/A,FALSE,"Assessment";#N/A,#N/A,FALSE,"Staffing";#N/A,#N/A,FALSE,"Hires";#N/A,#N/A,FALSE,"Assumptions"}</definedName>
    <definedName name="coun" localSheetId="6" hidden="1">{#N/A,#N/A,FALSE,"Assessment";#N/A,#N/A,FALSE,"Staffing";#N/A,#N/A,FALSE,"Hires";#N/A,#N/A,FALSE,"Assumptions"}</definedName>
    <definedName name="coun" hidden="1">{#N/A,#N/A,FALSE,"Assessment";#N/A,#N/A,FALSE,"Staffing";#N/A,#N/A,FALSE,"Hires";#N/A,#N/A,FALSE,"Assumptions"}</definedName>
    <definedName name="coun_1" localSheetId="0" hidden="1">{#N/A,#N/A,FALSE,"Assessment";#N/A,#N/A,FALSE,"Staffing";#N/A,#N/A,FALSE,"Hires";#N/A,#N/A,FALSE,"Assumptions"}</definedName>
    <definedName name="coun_1" localSheetId="6" hidden="1">{#N/A,#N/A,FALSE,"Assessment";#N/A,#N/A,FALSE,"Staffing";#N/A,#N/A,FALSE,"Hires";#N/A,#N/A,FALSE,"Assumptions"}</definedName>
    <definedName name="coun_1" hidden="1">{#N/A,#N/A,FALSE,"Assessment";#N/A,#N/A,FALSE,"Staffing";#N/A,#N/A,FALSE,"Hires";#N/A,#N/A,FALSE,"Assumptions"}</definedName>
    <definedName name="COUNT2" localSheetId="0" hidden="1">{#N/A,#N/A,FALSE,"Assessment";#N/A,#N/A,FALSE,"Staffing";#N/A,#N/A,FALSE,"Hires";#N/A,#N/A,FALSE,"Assumptions"}</definedName>
    <definedName name="COUNT2" localSheetId="6" hidden="1">{#N/A,#N/A,FALSE,"Assessment";#N/A,#N/A,FALSE,"Staffing";#N/A,#N/A,FALSE,"Hires";#N/A,#N/A,FALSE,"Assumptions"}</definedName>
    <definedName name="COUNT2" hidden="1">{#N/A,#N/A,FALSE,"Assessment";#N/A,#N/A,FALSE,"Staffing";#N/A,#N/A,FALSE,"Hires";#N/A,#N/A,FALSE,"Assumptions"}</definedName>
    <definedName name="COUNT2_1" localSheetId="0" hidden="1">{#N/A,#N/A,FALSE,"Assessment";#N/A,#N/A,FALSE,"Staffing";#N/A,#N/A,FALSE,"Hires";#N/A,#N/A,FALSE,"Assumptions"}</definedName>
    <definedName name="COUNT2_1" localSheetId="6" hidden="1">{#N/A,#N/A,FALSE,"Assessment";#N/A,#N/A,FALSE,"Staffing";#N/A,#N/A,FALSE,"Hires";#N/A,#N/A,FALSE,"Assumptions"}</definedName>
    <definedName name="COUNT2_1" hidden="1">{#N/A,#N/A,FALSE,"Assessment";#N/A,#N/A,FALSE,"Staffing";#N/A,#N/A,FALSE,"Hires";#N/A,#N/A,FALSE,"Assumptions"}</definedName>
    <definedName name="COUNTRY_NAME" hidden="1">"COUNTRY_NAME"</definedName>
    <definedName name="Country_Name1" hidden="1">#REF!</definedName>
    <definedName name="Country_Name2" hidden="1">#REF!</definedName>
    <definedName name="Country_Name3" hidden="1">#REF!</definedName>
    <definedName name="Country_Name4" hidden="1">#REF!</definedName>
    <definedName name="Country_Name5" hidden="1">#REF!</definedName>
    <definedName name="Country_Name6" hidden="1">#REF!</definedName>
    <definedName name="cover" hidden="1">#REF!</definedName>
    <definedName name="cowquehgfiuw" hidden="1">#REF!</definedName>
    <definedName name="CP" localSheetId="6" hidden="1">{#N/A,#N/A,FALSE,"Aging Summary";#N/A,#N/A,FALSE,"Ratio Analysis";#N/A,#N/A,FALSE,"Test 120 Day Accts";#N/A,#N/A,FALSE,"Tickmarks"}</definedName>
    <definedName name="CP" hidden="1">{#N/A,#N/A,FALSE,"Aging Summary";#N/A,#N/A,FALSE,"Ratio Analysis";#N/A,#N/A,FALSE,"Test 120 Day Accts";#N/A,#N/A,FALSE,"Tickmarks"}</definedName>
    <definedName name="CPL_Consolidation_Ind1" hidden="1">#REF!</definedName>
    <definedName name="CPL_Consolidation_Ind2" hidden="1">#REF!</definedName>
    <definedName name="CPL_Consolidation_Ind5" hidden="1">#REF!</definedName>
    <definedName name="CPL_Line_Level_12" hidden="1">#REF!</definedName>
    <definedName name="CPL_Line_Level_14" hidden="1">#REF!</definedName>
    <definedName name="CPL_Line_Level_21" hidden="1">#REF!</definedName>
    <definedName name="CPL_Line_Level_22" hidden="1">#REF!</definedName>
    <definedName name="CPL_Line_Level_31" hidden="1">#REF!</definedName>
    <definedName name="CPL_Line_Level_32" hidden="1">#REF!</definedName>
    <definedName name="CPL_Line_Level_33" hidden="1">#REF!</definedName>
    <definedName name="CPL_Line_Level_34" hidden="1">#REF!</definedName>
    <definedName name="CPL_Line_Level_35" hidden="1">#REF!</definedName>
    <definedName name="CPL_Line_Level_36" hidden="1">#REF!</definedName>
    <definedName name="CPL_Line_Name1" hidden="1">#REF!</definedName>
    <definedName name="CPL_Line_Name2" hidden="1">#REF!</definedName>
    <definedName name="CPL_Line_Name3" hidden="1">#REF!</definedName>
    <definedName name="CPL_Line_Name4" hidden="1">#REF!</definedName>
    <definedName name="CPL_Line_Name5" hidden="1">#REF!</definedName>
    <definedName name="CPL_Line_Name6" hidden="1">#REF!</definedName>
    <definedName name="CPL_Line_Name9" hidden="1">#REF!</definedName>
    <definedName name="CPL_Line_Nbr1" hidden="1">#REF!</definedName>
    <definedName name="CPL_Line_Nbr2" hidden="1">#REF!</definedName>
    <definedName name="CPL_Line_Nbr3" hidden="1">#REF!</definedName>
    <definedName name="CPL_Line_Nbr4" hidden="1">#REF!</definedName>
    <definedName name="CPL_Line_Nbr5" hidden="1">#REF!</definedName>
    <definedName name="CPL_Line_Nbr6" hidden="1">#REF!</definedName>
    <definedName name="CPL_Line_Nbr9" hidden="1">#REF!</definedName>
    <definedName name="cr_dep_april_01_br_dep_">#REF!</definedName>
    <definedName name="cr_dep_february_016_br_dep_">#REF!</definedName>
    <definedName name="cr_dep_march_05_loan_lc">#REF!</definedName>
    <definedName name="cr_new_nada_bank_status_170808_cash_flow_data">#REF!</definedName>
    <definedName name="CreateTable" hidden="1">#REF!</definedName>
    <definedName name="CreditStats" hidden="1">#REF!</definedName>
    <definedName name="_xlnm.Criteria">#REF!</definedName>
    <definedName name="csd" localSheetId="6" hidden="1">{#N/A,#N/A,FALSE,"BE";#N/A,#N/A,FALSE,"Bia";#N/A,#N/A,FALSE,"By";#N/A,#N/A,FALSE,"Bor";#N/A,#N/A,FALSE,"Gab";#N/A,#N/A,FALSE,"Gar";#N/A,#N/A,FALSE,"Lov";#N/A,#N/A,FALSE,"SJ";#N/A,#N/A,FALSE,"SM";#N/A,#N/A,FALSE,"Wb";#N/A,#N/A,FALSE,"Yok"}</definedName>
    <definedName name="csd" hidden="1">{#N/A,#N/A,FALSE,"BE";#N/A,#N/A,FALSE,"Bia";#N/A,#N/A,FALSE,"By";#N/A,#N/A,FALSE,"Bor";#N/A,#N/A,FALSE,"Gab";#N/A,#N/A,FALSE,"Gar";#N/A,#N/A,FALSE,"Lov";#N/A,#N/A,FALSE,"SJ";#N/A,#N/A,FALSE,"SM";#N/A,#N/A,FALSE,"Wb";#N/A,#N/A,FALSE,"Yok"}</definedName>
    <definedName name="CSDCDS" hidden="1">#REF!</definedName>
    <definedName name="csm" localSheetId="6" hidden="1">{"year1",#N/A,FALSE,"IZT";"year2",#N/A,FALSE,"IZT"}</definedName>
    <definedName name="csm" hidden="1">{"year1",#N/A,FALSE,"IZT";"year2",#N/A,FALSE,"IZT"}</definedName>
    <definedName name="CSW" localSheetId="0" hidden="1">{#N/A,#N/A,FALSE,"PROFIT 11-95"}</definedName>
    <definedName name="CSW" localSheetId="6" hidden="1">{#N/A,#N/A,FALSE,"PROFIT 11-95"}</definedName>
    <definedName name="CSW" hidden="1">{#N/A,#N/A,FALSE,"PROFIT 11-95"}</definedName>
    <definedName name="cu102.ShareScalingFactor" hidden="1">1000000</definedName>
    <definedName name="cu103.EmployeeScalingFactor" hidden="1">1000</definedName>
    <definedName name="cu107.DPSSymbol" hidden="1">"CHF"</definedName>
    <definedName name="cu107.EPSSymbol" hidden="1">"CHF"</definedName>
    <definedName name="cu71.ScalingFactor" hidden="1">1000000</definedName>
    <definedName name="Cube_List">#REF!</definedName>
    <definedName name="CUNT" hidden="1">#REF!</definedName>
    <definedName name="Cur" localSheetId="0">#REF!</definedName>
    <definedName name="Cur">#REF!</definedName>
    <definedName name="Cur_Per_Actv_Amt4" hidden="1">#REF!</definedName>
    <definedName name="Cur_Per_Bal_Amt4" hidden="1">#REF!</definedName>
    <definedName name="curr">#REF!</definedName>
    <definedName name="Curr._Age">#REF!</definedName>
    <definedName name="CurrCrit" hidden="1">#REF!</definedName>
    <definedName name="Currency">#REF!</definedName>
    <definedName name="Currency_Factor">#REF!</definedName>
    <definedName name="Currency_Heading">#REF!</definedName>
    <definedName name="Currency_List">#REF!</definedName>
    <definedName name="CurrencyNote">#REF!</definedName>
    <definedName name="CurrencyTable">#REF!</definedName>
    <definedName name="Current_Date_Time">#REF!</definedName>
    <definedName name="CURRENT_PORT" hidden="1">"CURRENT_PORT"</definedName>
    <definedName name="CURRENT_RATIO" hidden="1">"CURRENT_RATIO"</definedName>
    <definedName name="CurrentSO">#REF!</definedName>
    <definedName name="CurrentYear">#REF!</definedName>
    <definedName name="CurrEPS">#REF!</definedName>
    <definedName name="currpr" localSheetId="6" hidden="1">{"VIEW1",#N/A,FALSE,"P&amp;L Account 2001-2002";"VIEW2",#N/A,FALSE,"P&amp;L Account 2001-2002";"VIEW3",#N/A,FALSE,"P&amp;L Account 2001-2002";"VIEW4",#N/A,FALSE,"P&amp;L Account 2001-2002"}</definedName>
    <definedName name="currpr" hidden="1">{"VIEW1",#N/A,FALSE,"P&amp;L Account 2001-2002";"VIEW2",#N/A,FALSE,"P&amp;L Account 2001-2002";"VIEW3",#N/A,FALSE,"P&amp;L Account 2001-2002";"VIEW4",#N/A,FALSE,"P&amp;L Account 2001-2002"}</definedName>
    <definedName name="CurrShare">#REF!</definedName>
    <definedName name="CurrSym">#REF!</definedName>
    <definedName name="cursource" hidden="1">"SQLServer"</definedName>
    <definedName name="curve1" localSheetId="0" hidden="1">{#N/A,#N/A,FALSE,"Work progress mensile";#N/A,#N/A,FALSE,"Work progress mensile IE1"}</definedName>
    <definedName name="curve1" localSheetId="6" hidden="1">{#N/A,#N/A,FALSE,"Work progress mensile";#N/A,#N/A,FALSE,"Work progress mensile IE1"}</definedName>
    <definedName name="curve1" hidden="1">{#N/A,#N/A,FALSE,"Work progress mensile";#N/A,#N/A,FALSE,"Work progress mensile IE1"}</definedName>
    <definedName name="customer" hidden="1">#REF!</definedName>
    <definedName name="Customer_credit_period_one_month">#REF!</definedName>
    <definedName name="CustomizedList" hidden="1">#REF!</definedName>
    <definedName name="CV" hidden="1">#REF!</definedName>
    <definedName name="cvb" localSheetId="0" hidden="1">{"toc1",#N/A,FALSE,"TOC";"cover",#N/A,FALSE,"Cover";"ts1",#N/A,FALSE,"Transaction Summary";"ei3",#N/A,FALSE,"Earnings Impact";"ad3",#N/A,FALSE,"accretion dilution"}</definedName>
    <definedName name="cvb" localSheetId="6" hidden="1">{"toc1",#N/A,FALSE,"TOC";"cover",#N/A,FALSE,"Cover";"ts1",#N/A,FALSE,"Transaction Summary";"ei3",#N/A,FALSE,"Earnings Impact";"ad3",#N/A,FALSE,"accretion dilution"}</definedName>
    <definedName name="cvb" hidden="1">{"toc1",#N/A,FALSE,"TOC";"cover",#N/A,FALSE,"Cover";"ts1",#N/A,FALSE,"Transaction Summary";"ei3",#N/A,FALSE,"Earnings Impact";"ad3",#N/A,FALSE,"accretion dilution"}</definedName>
    <definedName name="cvbncvnvbn" localSheetId="0" hidden="1">{#N/A,#N/A,FALSE,"Operations";#N/A,#N/A,FALSE,"Financials"}</definedName>
    <definedName name="cvbncvnvbn" localSheetId="6" hidden="1">{#N/A,#N/A,FALSE,"Operations";#N/A,#N/A,FALSE,"Financials"}</definedName>
    <definedName name="cvbncvnvbn" hidden="1">{#N/A,#N/A,FALSE,"Operations";#N/A,#N/A,FALSE,"Financials"}</definedName>
    <definedName name="cvc" localSheetId="0" hidden="1">{#N/A,#N/A,FALSE,"KA CH  (2)"}</definedName>
    <definedName name="cvc" localSheetId="6" hidden="1">{#N/A,#N/A,FALSE,"KA CH  (2)"}</definedName>
    <definedName name="cvc" hidden="1">{#N/A,#N/A,FALSE,"KA CH  (2)"}</definedName>
    <definedName name="cvc_1" localSheetId="0" hidden="1">{#N/A,#N/A,FALSE,"KA CH  (2)"}</definedName>
    <definedName name="cvc_1" localSheetId="6" hidden="1">{#N/A,#N/A,FALSE,"KA CH  (2)"}</definedName>
    <definedName name="cvc_1" hidden="1">{#N/A,#N/A,FALSE,"KA CH  (2)"}</definedName>
    <definedName name="cvc_1_1" localSheetId="0" hidden="1">{#N/A,#N/A,FALSE,"KA CH  (2)"}</definedName>
    <definedName name="cvc_1_1" localSheetId="6" hidden="1">{#N/A,#N/A,FALSE,"KA CH  (2)"}</definedName>
    <definedName name="cvc_1_1" hidden="1">{#N/A,#N/A,FALSE,"KA CH  (2)"}</definedName>
    <definedName name="cvc_2" localSheetId="0" hidden="1">{#N/A,#N/A,FALSE,"KA CH  (2)"}</definedName>
    <definedName name="cvc_2" localSheetId="6" hidden="1">{#N/A,#N/A,FALSE,"KA CH  (2)"}</definedName>
    <definedName name="cvc_2" hidden="1">{#N/A,#N/A,FALSE,"KA CH  (2)"}</definedName>
    <definedName name="cvc_3" localSheetId="0" hidden="1">{#N/A,#N/A,FALSE,"KA CH  (2)"}</definedName>
    <definedName name="cvc_3" localSheetId="6" hidden="1">{#N/A,#N/A,FALSE,"KA CH  (2)"}</definedName>
    <definedName name="cvc_3" hidden="1">{#N/A,#N/A,FALSE,"KA CH  (2)"}</definedName>
    <definedName name="cvc_4" localSheetId="0" hidden="1">{#N/A,#N/A,FALSE,"KA CH  (2)"}</definedName>
    <definedName name="cvc_4" localSheetId="6" hidden="1">{#N/A,#N/A,FALSE,"KA CH  (2)"}</definedName>
    <definedName name="cvc_4" hidden="1">{#N/A,#N/A,FALSE,"KA CH  (2)"}</definedName>
    <definedName name="cvc_5" localSheetId="0" hidden="1">{#N/A,#N/A,FALSE,"KA CH  (2)"}</definedName>
    <definedName name="cvc_5" localSheetId="6" hidden="1">{#N/A,#N/A,FALSE,"KA CH  (2)"}</definedName>
    <definedName name="cvc_5" hidden="1">{#N/A,#N/A,FALSE,"KA CH  (2)"}</definedName>
    <definedName name="CVNCVNBVN" localSheetId="0" hidden="1">{"comp1",#N/A,FALSE,"COMPS";"footnotes",#N/A,FALSE,"COMPS"}</definedName>
    <definedName name="CVNCVNBVN" localSheetId="6" hidden="1">{"comp1",#N/A,FALSE,"COMPS";"footnotes",#N/A,FALSE,"COMPS"}</definedName>
    <definedName name="CVNCVNBVN" hidden="1">{"comp1",#N/A,FALSE,"COMPS";"footnotes",#N/A,FALSE,"COMPS"}</definedName>
    <definedName name="cvwiobevfi" hidden="1">#REF!</definedName>
    <definedName name="cwip_age_array" hidden="1">#REF!</definedName>
    <definedName name="cwip_age_col" hidden="1">#REF!</definedName>
    <definedName name="cwip_age_hlookup" hidden="1">#REF!</definedName>
    <definedName name="cwip_age_row" hidden="1">#REF!</definedName>
    <definedName name="cwip_qty_array" hidden="1">#REF!</definedName>
    <definedName name="cwip_qty_col" hidden="1">#REF!</definedName>
    <definedName name="cwip_qty_hlookup" hidden="1">#REF!</definedName>
    <definedName name="cwip_qty_row" hidden="1">#REF!</definedName>
    <definedName name="cWVFUWV" hidden="1">#REF!</definedName>
    <definedName name="Cwvu.GREY_ALL." hidden="1">#REF!</definedName>
    <definedName name="Cwvu.Page1." hidden="1">#REF!,#REF!,#REF!,#REF!,#REF!,#REF!,#REF!,#REF!,#REF!</definedName>
    <definedName name="Cwvu.Page2." hidden="1">#REF!,#REF!,#REF!,#REF!,#REF!,#REF!,#REF!,#REF!,#REF!</definedName>
    <definedName name="Cwvu.Page3." hidden="1">#REF!,#REF!,#REF!,#REF!,#REF!,#REF!,#REF!,#REF!,#REF!</definedName>
    <definedName name="Cwvu.Page4." hidden="1">#REF!,#REF!,#REF!,#REF!,#REF!,#REF!,#REF!,#REF!,#REF!</definedName>
    <definedName name="cxvbvcxb" hidden="1">#REF!</definedName>
    <definedName name="CY_Market_Value_of_Equity">#REF!</definedName>
    <definedName name="CY_Tangible_Net_Worth">#REF!</definedName>
    <definedName name="CY_Working_Capital">#REF!</definedName>
    <definedName name="cyril" localSheetId="0" hidden="1">{"CECons",#N/A,FALSE,"CE"}</definedName>
    <definedName name="cyril" localSheetId="6" hidden="1">{"CECons",#N/A,FALSE,"CE"}</definedName>
    <definedName name="cyril" hidden="1">{"CECons",#N/A,FALSE,"CE"}</definedName>
    <definedName name="d">#REF!</definedName>
    <definedName name="da" localSheetId="0" hidden="1">{"Graphic",#N/A,TRUE,"Graphic"}</definedName>
    <definedName name="da" localSheetId="6" hidden="1">{"Graphic",#N/A,TRUE,"Graphic"}</definedName>
    <definedName name="da" hidden="1">{"Graphic",#N/A,TRUE,"Graphic"}</definedName>
    <definedName name="da_1" localSheetId="0" hidden="1">{"Graphic",#N/A,TRUE,"Graphic"}</definedName>
    <definedName name="da_1" localSheetId="6" hidden="1">{"Graphic",#N/A,TRUE,"Graphic"}</definedName>
    <definedName name="da_1" hidden="1">{"Graphic",#N/A,TRUE,"Graphic"}</definedName>
    <definedName name="DA_1675901457100007881" hidden="1">#REF!</definedName>
    <definedName name="DA_1675901457100007882" hidden="1">#REF!</definedName>
    <definedName name="DA_1675901457100007883" hidden="1">#REF!</definedName>
    <definedName name="DA_1675901457100007884" hidden="1">#REF!</definedName>
    <definedName name="DA_1675901457100007885" hidden="1">#REF!</definedName>
    <definedName name="DA_1675901457100007886" hidden="1">#REF!</definedName>
    <definedName name="DA_1675901457100007900" hidden="1">#REF!</definedName>
    <definedName name="DA_1675901457100007901" hidden="1">#REF!</definedName>
    <definedName name="DA_1675901457100007902" hidden="1">#REF!</definedName>
    <definedName name="DA_1675901457100007903" hidden="1">#REF!</definedName>
    <definedName name="DA_1675901457100007904" hidden="1">#REF!</definedName>
    <definedName name="DA_1675901457100007905" hidden="1">#REF!</definedName>
    <definedName name="DA_1675901457100007906" hidden="1">#REF!</definedName>
    <definedName name="DA_1675901457100007907" hidden="1">#REF!</definedName>
    <definedName name="DA_1675901457100007908" hidden="1">#REF!</definedName>
    <definedName name="DA_1675901457100007909" hidden="1">#REF!</definedName>
    <definedName name="DA_1675901457100007910" hidden="1">#REF!</definedName>
    <definedName name="DA_1675901457100007911" hidden="1">#REF!</definedName>
    <definedName name="DA_1675901457100007916" hidden="1">#REF!</definedName>
    <definedName name="DA_1675901457100007917" hidden="1">#REF!</definedName>
    <definedName name="DA_1675901457100007918" hidden="1">#REF!</definedName>
    <definedName name="DA_3119772747900000970" hidden="1">#REF!</definedName>
    <definedName name="DA_3119772747900000974" hidden="1">#REF!</definedName>
    <definedName name="daaaad" localSheetId="0" hidden="1">{#N/A,#N/A,FALSE,"Assessment";#N/A,#N/A,FALSE,"Staffing";#N/A,#N/A,FALSE,"Hires";#N/A,#N/A,FALSE,"Assumptions"}</definedName>
    <definedName name="daaaad" localSheetId="6" hidden="1">{#N/A,#N/A,FALSE,"Assessment";#N/A,#N/A,FALSE,"Staffing";#N/A,#N/A,FALSE,"Hires";#N/A,#N/A,FALSE,"Assumptions"}</definedName>
    <definedName name="daaaad" hidden="1">{#N/A,#N/A,FALSE,"Assessment";#N/A,#N/A,FALSE,"Staffing";#N/A,#N/A,FALSE,"Hires";#N/A,#N/A,FALSE,"Assumptions"}</definedName>
    <definedName name="daaaad_1" localSheetId="0" hidden="1">{#N/A,#N/A,FALSE,"Assessment";#N/A,#N/A,FALSE,"Staffing";#N/A,#N/A,FALSE,"Hires";#N/A,#N/A,FALSE,"Assumptions"}</definedName>
    <definedName name="daaaad_1" localSheetId="6" hidden="1">{#N/A,#N/A,FALSE,"Assessment";#N/A,#N/A,FALSE,"Staffing";#N/A,#N/A,FALSE,"Hires";#N/A,#N/A,FALSE,"Assumptions"}</definedName>
    <definedName name="daaaad_1" hidden="1">{#N/A,#N/A,FALSE,"Assessment";#N/A,#N/A,FALSE,"Staffing";#N/A,#N/A,FALSE,"Hires";#N/A,#N/A,FALSE,"Assumptions"}</definedName>
    <definedName name="DAD" localSheetId="0" hidden="1">{#N/A,#N/A,FALSE,"REPORT"}</definedName>
    <definedName name="DAD" localSheetId="6" hidden="1">{#N/A,#N/A,FALSE,"REPORT"}</definedName>
    <definedName name="DAD" hidden="1">{#N/A,#N/A,FALSE,"REPORT"}</definedName>
    <definedName name="DAD_1" localSheetId="0" hidden="1">{#N/A,#N/A,FALSE,"REPORT"}</definedName>
    <definedName name="DAD_1" localSheetId="6" hidden="1">{#N/A,#N/A,FALSE,"REPORT"}</definedName>
    <definedName name="DAD_1" hidden="1">{#N/A,#N/A,FALSE,"REPORT"}</definedName>
    <definedName name="DAD_1_1" localSheetId="0" hidden="1">{#N/A,#N/A,FALSE,"REPORT"}</definedName>
    <definedName name="DAD_1_1" localSheetId="6" hidden="1">{#N/A,#N/A,FALSE,"REPORT"}</definedName>
    <definedName name="DAD_1_1" hidden="1">{#N/A,#N/A,FALSE,"REPORT"}</definedName>
    <definedName name="DAD_2" localSheetId="0" hidden="1">{#N/A,#N/A,FALSE,"REPORT"}</definedName>
    <definedName name="DAD_2" localSheetId="6" hidden="1">{#N/A,#N/A,FALSE,"REPORT"}</definedName>
    <definedName name="DAD_2" hidden="1">{#N/A,#N/A,FALSE,"REPORT"}</definedName>
    <definedName name="DAD_3" localSheetId="0" hidden="1">{#N/A,#N/A,FALSE,"REPORT"}</definedName>
    <definedName name="DAD_3" localSheetId="6" hidden="1">{#N/A,#N/A,FALSE,"REPORT"}</definedName>
    <definedName name="DAD_3" hidden="1">{#N/A,#N/A,FALSE,"REPORT"}</definedName>
    <definedName name="DAD_4" localSheetId="0" hidden="1">{#N/A,#N/A,FALSE,"REPORT"}</definedName>
    <definedName name="DAD_4" localSheetId="6" hidden="1">{#N/A,#N/A,FALSE,"REPORT"}</definedName>
    <definedName name="DAD_4" hidden="1">{#N/A,#N/A,FALSE,"REPORT"}</definedName>
    <definedName name="DAD_5" localSheetId="0" hidden="1">{#N/A,#N/A,FALSE,"REPORT"}</definedName>
    <definedName name="DAD_5" localSheetId="6" hidden="1">{#N/A,#N/A,FALSE,"REPORT"}</definedName>
    <definedName name="DAD_5" hidden="1">{#N/A,#N/A,FALSE,"REPORT"}</definedName>
    <definedName name="dadf" hidden="1">#REF!</definedName>
    <definedName name="DADF_1" localSheetId="0" hidden="1">{#N/A,#N/A,FALSE,"REPORT"}</definedName>
    <definedName name="DADF_1" localSheetId="6" hidden="1">{#N/A,#N/A,FALSE,"REPORT"}</definedName>
    <definedName name="DADF_1" hidden="1">{#N/A,#N/A,FALSE,"REPORT"}</definedName>
    <definedName name="DADF_1_1" localSheetId="0" hidden="1">{#N/A,#N/A,FALSE,"REPORT"}</definedName>
    <definedName name="DADF_1_1" localSheetId="6" hidden="1">{#N/A,#N/A,FALSE,"REPORT"}</definedName>
    <definedName name="DADF_1_1" hidden="1">{#N/A,#N/A,FALSE,"REPORT"}</definedName>
    <definedName name="DADF_2" localSheetId="0" hidden="1">{#N/A,#N/A,FALSE,"REPORT"}</definedName>
    <definedName name="DADF_2" localSheetId="6" hidden="1">{#N/A,#N/A,FALSE,"REPORT"}</definedName>
    <definedName name="DADF_2" hidden="1">{#N/A,#N/A,FALSE,"REPORT"}</definedName>
    <definedName name="DADF_3" localSheetId="0" hidden="1">{#N/A,#N/A,FALSE,"REPORT"}</definedName>
    <definedName name="DADF_3" localSheetId="6" hidden="1">{#N/A,#N/A,FALSE,"REPORT"}</definedName>
    <definedName name="DADF_3" hidden="1">{#N/A,#N/A,FALSE,"REPORT"}</definedName>
    <definedName name="DADF_4" localSheetId="0" hidden="1">{#N/A,#N/A,FALSE,"REPORT"}</definedName>
    <definedName name="DADF_4" localSheetId="6" hidden="1">{#N/A,#N/A,FALSE,"REPORT"}</definedName>
    <definedName name="DADF_4" hidden="1">{#N/A,#N/A,FALSE,"REPORT"}</definedName>
    <definedName name="DADF_5" localSheetId="0" hidden="1">{#N/A,#N/A,FALSE,"REPORT"}</definedName>
    <definedName name="DADF_5" localSheetId="6" hidden="1">{#N/A,#N/A,FALSE,"REPORT"}</definedName>
    <definedName name="DADF_5" hidden="1">{#N/A,#N/A,FALSE,"REPORT"}</definedName>
    <definedName name="daf" hidden="1">#REF!</definedName>
    <definedName name="daf_1" localSheetId="0" hidden="1">{#N/A,#N/A,FALSE,"1";#N/A,#N/A,FALSE,"2";#N/A,#N/A,FALSE,"16 - 17";#N/A,#N/A,FALSE,"18 - 19";#N/A,#N/A,FALSE,"26";#N/A,#N/A,FALSE,"27";#N/A,#N/A,FALSE,"28"}</definedName>
    <definedName name="daf_1" localSheetId="6" hidden="1">{#N/A,#N/A,FALSE,"1";#N/A,#N/A,FALSE,"2";#N/A,#N/A,FALSE,"16 - 17";#N/A,#N/A,FALSE,"18 - 19";#N/A,#N/A,FALSE,"26";#N/A,#N/A,FALSE,"27";#N/A,#N/A,FALSE,"28"}</definedName>
    <definedName name="daf_1" hidden="1">{#N/A,#N/A,FALSE,"1";#N/A,#N/A,FALSE,"2";#N/A,#N/A,FALSE,"16 - 17";#N/A,#N/A,FALSE,"18 - 19";#N/A,#N/A,FALSE,"26";#N/A,#N/A,FALSE,"27";#N/A,#N/A,FALSE,"28"}</definedName>
    <definedName name="daf_1_1" localSheetId="0" hidden="1">{#N/A,#N/A,FALSE,"1";#N/A,#N/A,FALSE,"2";#N/A,#N/A,FALSE,"16 - 17";#N/A,#N/A,FALSE,"18 - 19";#N/A,#N/A,FALSE,"26";#N/A,#N/A,FALSE,"27";#N/A,#N/A,FALSE,"28"}</definedName>
    <definedName name="daf_1_1" localSheetId="6" hidden="1">{#N/A,#N/A,FALSE,"1";#N/A,#N/A,FALSE,"2";#N/A,#N/A,FALSE,"16 - 17";#N/A,#N/A,FALSE,"18 - 19";#N/A,#N/A,FALSE,"26";#N/A,#N/A,FALSE,"27";#N/A,#N/A,FALSE,"28"}</definedName>
    <definedName name="daf_1_1" hidden="1">{#N/A,#N/A,FALSE,"1";#N/A,#N/A,FALSE,"2";#N/A,#N/A,FALSE,"16 - 17";#N/A,#N/A,FALSE,"18 - 19";#N/A,#N/A,FALSE,"26";#N/A,#N/A,FALSE,"27";#N/A,#N/A,FALSE,"28"}</definedName>
    <definedName name="daf_2" localSheetId="0" hidden="1">{#N/A,#N/A,FALSE,"1";#N/A,#N/A,FALSE,"2";#N/A,#N/A,FALSE,"16 - 17";#N/A,#N/A,FALSE,"18 - 19";#N/A,#N/A,FALSE,"26";#N/A,#N/A,FALSE,"27";#N/A,#N/A,FALSE,"28"}</definedName>
    <definedName name="daf_2" localSheetId="6" hidden="1">{#N/A,#N/A,FALSE,"1";#N/A,#N/A,FALSE,"2";#N/A,#N/A,FALSE,"16 - 17";#N/A,#N/A,FALSE,"18 - 19";#N/A,#N/A,FALSE,"26";#N/A,#N/A,FALSE,"27";#N/A,#N/A,FALSE,"28"}</definedName>
    <definedName name="daf_2" hidden="1">{#N/A,#N/A,FALSE,"1";#N/A,#N/A,FALSE,"2";#N/A,#N/A,FALSE,"16 - 17";#N/A,#N/A,FALSE,"18 - 19";#N/A,#N/A,FALSE,"26";#N/A,#N/A,FALSE,"27";#N/A,#N/A,FALSE,"28"}</definedName>
    <definedName name="daf_3" localSheetId="0" hidden="1">{#N/A,#N/A,FALSE,"1";#N/A,#N/A,FALSE,"2";#N/A,#N/A,FALSE,"16 - 17";#N/A,#N/A,FALSE,"18 - 19";#N/A,#N/A,FALSE,"26";#N/A,#N/A,FALSE,"27";#N/A,#N/A,FALSE,"28"}</definedName>
    <definedName name="daf_3" localSheetId="6" hidden="1">{#N/A,#N/A,FALSE,"1";#N/A,#N/A,FALSE,"2";#N/A,#N/A,FALSE,"16 - 17";#N/A,#N/A,FALSE,"18 - 19";#N/A,#N/A,FALSE,"26";#N/A,#N/A,FALSE,"27";#N/A,#N/A,FALSE,"28"}</definedName>
    <definedName name="daf_3" hidden="1">{#N/A,#N/A,FALSE,"1";#N/A,#N/A,FALSE,"2";#N/A,#N/A,FALSE,"16 - 17";#N/A,#N/A,FALSE,"18 - 19";#N/A,#N/A,FALSE,"26";#N/A,#N/A,FALSE,"27";#N/A,#N/A,FALSE,"28"}</definedName>
    <definedName name="daf_4" localSheetId="0" hidden="1">{#N/A,#N/A,FALSE,"1";#N/A,#N/A,FALSE,"2";#N/A,#N/A,FALSE,"16 - 17";#N/A,#N/A,FALSE,"18 - 19";#N/A,#N/A,FALSE,"26";#N/A,#N/A,FALSE,"27";#N/A,#N/A,FALSE,"28"}</definedName>
    <definedName name="daf_4" localSheetId="6" hidden="1">{#N/A,#N/A,FALSE,"1";#N/A,#N/A,FALSE,"2";#N/A,#N/A,FALSE,"16 - 17";#N/A,#N/A,FALSE,"18 - 19";#N/A,#N/A,FALSE,"26";#N/A,#N/A,FALSE,"27";#N/A,#N/A,FALSE,"28"}</definedName>
    <definedName name="daf_4" hidden="1">{#N/A,#N/A,FALSE,"1";#N/A,#N/A,FALSE,"2";#N/A,#N/A,FALSE,"16 - 17";#N/A,#N/A,FALSE,"18 - 19";#N/A,#N/A,FALSE,"26";#N/A,#N/A,FALSE,"27";#N/A,#N/A,FALSE,"28"}</definedName>
    <definedName name="daf_5" localSheetId="0" hidden="1">{#N/A,#N/A,FALSE,"1";#N/A,#N/A,FALSE,"2";#N/A,#N/A,FALSE,"16 - 17";#N/A,#N/A,FALSE,"18 - 19";#N/A,#N/A,FALSE,"26";#N/A,#N/A,FALSE,"27";#N/A,#N/A,FALSE,"28"}</definedName>
    <definedName name="daf_5" localSheetId="6" hidden="1">{#N/A,#N/A,FALSE,"1";#N/A,#N/A,FALSE,"2";#N/A,#N/A,FALSE,"16 - 17";#N/A,#N/A,FALSE,"18 - 19";#N/A,#N/A,FALSE,"26";#N/A,#N/A,FALSE,"27";#N/A,#N/A,FALSE,"28"}</definedName>
    <definedName name="daf_5" hidden="1">{#N/A,#N/A,FALSE,"1";#N/A,#N/A,FALSE,"2";#N/A,#N/A,FALSE,"16 - 17";#N/A,#N/A,FALSE,"18 - 19";#N/A,#N/A,FALSE,"26";#N/A,#N/A,FALSE,"27";#N/A,#N/A,FALSE,"28"}</definedName>
    <definedName name="dafdsa" localSheetId="6" hidden="1">{#N/A,#N/A,FALSE,"Aging Summary";#N/A,#N/A,FALSE,"Ratio Analysis";#N/A,#N/A,FALSE,"Test 120 Day Accts";#N/A,#N/A,FALSE,"Tickmarks"}</definedName>
    <definedName name="dafdsa" hidden="1">{#N/A,#N/A,FALSE,"Aging Summary";#N/A,#N/A,FALSE,"Ratio Analysis";#N/A,#N/A,FALSE,"Test 120 Day Accts";#N/A,#N/A,FALSE,"Tickmarks"}</definedName>
    <definedName name="DAG" hidden="1">#REF!</definedName>
    <definedName name="daily" localSheetId="6" hidden="1">{"VIEW1",#N/A,FALSE,"P&amp;L Account 2001-2002";"VIEW2",#N/A,FALSE,"P&amp;L Account 2001-2002";"VIEW3",#N/A,FALSE,"P&amp;L Account 2001-2002";"VIEW4",#N/A,FALSE,"P&amp;L Account 2001-2002"}</definedName>
    <definedName name="daily" hidden="1">{"VIEW1",#N/A,FALSE,"P&amp;L Account 2001-2002";"VIEW2",#N/A,FALSE,"P&amp;L Account 2001-2002";"VIEW3",#N/A,FALSE,"P&amp;L Account 2001-2002";"VIEW4",#N/A,FALSE,"P&amp;L Account 2001-2002"}</definedName>
    <definedName name="DAILY.22.03.10" localSheetId="6" hidden="1">{"VIEW1",#N/A,FALSE,"P&amp;L Account 2001-2002";"VIEW2",#N/A,FALSE,"P&amp;L Account 2001-2002";"VIEW3",#N/A,FALSE,"P&amp;L Account 2001-2002";"VIEW4",#N/A,FALSE,"P&amp;L Account 2001-2002"}</definedName>
    <definedName name="DAILY.22.03.10" hidden="1">{"VIEW1",#N/A,FALSE,"P&amp;L Account 2001-2002";"VIEW2",#N/A,FALSE,"P&amp;L Account 2001-2002";"VIEW3",#N/A,FALSE,"P&amp;L Account 2001-2002";"VIEW4",#N/A,FALSE,"P&amp;L Account 2001-2002"}</definedName>
    <definedName name="DAILY.23.10" localSheetId="6" hidden="1">{"VIEW1",#N/A,FALSE,"P&amp;L Account 2001-2002";"VIEW2",#N/A,FALSE,"P&amp;L Account 2001-2002";"VIEW3",#N/A,FALSE,"P&amp;L Account 2001-2002";"VIEW4",#N/A,FALSE,"P&amp;L Account 2001-2002"}</definedName>
    <definedName name="DAILY.23.10" hidden="1">{"VIEW1",#N/A,FALSE,"P&amp;L Account 2001-2002";"VIEW2",#N/A,FALSE,"P&amp;L Account 2001-2002";"VIEW3",#N/A,FALSE,"P&amp;L Account 2001-2002";"VIEW4",#N/A,FALSE,"P&amp;L Account 2001-2002"}</definedName>
    <definedName name="DAILY13.05.10" localSheetId="6" hidden="1">{"VIEW1",#N/A,FALSE,"P&amp;L Account 2001-2002";"VIEW2",#N/A,FALSE,"P&amp;L Account 2001-2002";"VIEW3",#N/A,FALSE,"P&amp;L Account 2001-2002";"VIEW4",#N/A,FALSE,"P&amp;L Account 2001-2002"}</definedName>
    <definedName name="DAILY13.05.10" hidden="1">{"VIEW1",#N/A,FALSE,"P&amp;L Account 2001-2002";"VIEW2",#N/A,FALSE,"P&amp;L Account 2001-2002";"VIEW3",#N/A,FALSE,"P&amp;L Account 2001-2002";"VIEW4",#N/A,FALSE,"P&amp;L Account 2001-2002"}</definedName>
    <definedName name="dakfkjafgkeaj" localSheetId="0" hidden="1">{#N/A,#N/A,FALSE,"Pharm";#N/A,#N/A,FALSE,"WWCM"}</definedName>
    <definedName name="dakfkjafgkeaj" localSheetId="6" hidden="1">{#N/A,#N/A,FALSE,"Pharm";#N/A,#N/A,FALSE,"WWCM"}</definedName>
    <definedName name="dakfkjafgkeaj" hidden="1">{#N/A,#N/A,FALSE,"Pharm";#N/A,#N/A,FALSE,"WWCM"}</definedName>
    <definedName name="dakfkjafgkeaj_1" localSheetId="0" hidden="1">{#N/A,#N/A,FALSE,"Pharm";#N/A,#N/A,FALSE,"WWCM"}</definedName>
    <definedName name="dakfkjafgkeaj_1" localSheetId="6" hidden="1">{#N/A,#N/A,FALSE,"Pharm";#N/A,#N/A,FALSE,"WWCM"}</definedName>
    <definedName name="dakfkjafgkeaj_1" hidden="1">{#N/A,#N/A,FALSE,"Pharm";#N/A,#N/A,FALSE,"WWCM"}</definedName>
    <definedName name="dakfkjafgkeaj_1_1" localSheetId="0" hidden="1">{#N/A,#N/A,FALSE,"Pharm";#N/A,#N/A,FALSE,"WWCM"}</definedName>
    <definedName name="dakfkjafgkeaj_1_1" localSheetId="6" hidden="1">{#N/A,#N/A,FALSE,"Pharm";#N/A,#N/A,FALSE,"WWCM"}</definedName>
    <definedName name="dakfkjafgkeaj_1_1" hidden="1">{#N/A,#N/A,FALSE,"Pharm";#N/A,#N/A,FALSE,"WWCM"}</definedName>
    <definedName name="dakfkjafgkeaj_2" localSheetId="0" hidden="1">{#N/A,#N/A,FALSE,"Pharm";#N/A,#N/A,FALSE,"WWCM"}</definedName>
    <definedName name="dakfkjafgkeaj_2" localSheetId="6" hidden="1">{#N/A,#N/A,FALSE,"Pharm";#N/A,#N/A,FALSE,"WWCM"}</definedName>
    <definedName name="dakfkjafgkeaj_2" hidden="1">{#N/A,#N/A,FALSE,"Pharm";#N/A,#N/A,FALSE,"WWCM"}</definedName>
    <definedName name="dakfkjafgkeaj_3" localSheetId="0" hidden="1">{#N/A,#N/A,FALSE,"Pharm";#N/A,#N/A,FALSE,"WWCM"}</definedName>
    <definedName name="dakfkjafgkeaj_3" localSheetId="6" hidden="1">{#N/A,#N/A,FALSE,"Pharm";#N/A,#N/A,FALSE,"WWCM"}</definedName>
    <definedName name="dakfkjafgkeaj_3" hidden="1">{#N/A,#N/A,FALSE,"Pharm";#N/A,#N/A,FALSE,"WWCM"}</definedName>
    <definedName name="dakfkjafgkeaj_4" localSheetId="0" hidden="1">{#N/A,#N/A,FALSE,"Pharm";#N/A,#N/A,FALSE,"WWCM"}</definedName>
    <definedName name="dakfkjafgkeaj_4" localSheetId="6" hidden="1">{#N/A,#N/A,FALSE,"Pharm";#N/A,#N/A,FALSE,"WWCM"}</definedName>
    <definedName name="dakfkjafgkeaj_4" hidden="1">{#N/A,#N/A,FALSE,"Pharm";#N/A,#N/A,FALSE,"WWCM"}</definedName>
    <definedName name="dakfkjafgkeaj_5" localSheetId="0" hidden="1">{#N/A,#N/A,FALSE,"Pharm";#N/A,#N/A,FALSE,"WWCM"}</definedName>
    <definedName name="dakfkjafgkeaj_5" localSheetId="6" hidden="1">{#N/A,#N/A,FALSE,"Pharm";#N/A,#N/A,FALSE,"WWCM"}</definedName>
    <definedName name="dakfkjafgkeaj_5" hidden="1">{#N/A,#N/A,FALSE,"Pharm";#N/A,#N/A,FALSE,"WWCM"}</definedName>
    <definedName name="DALS_GrandTotal" hidden="1">#REF!</definedName>
    <definedName name="DAMMAM">#REF!</definedName>
    <definedName name="dare" localSheetId="0" hidden="1">{#N/A,#N/A,FALSE,"Sheet1"}</definedName>
    <definedName name="dare" localSheetId="6" hidden="1">{#N/A,#N/A,FALSE,"Sheet1"}</definedName>
    <definedName name="dare" hidden="1">{#N/A,#N/A,FALSE,"Sheet1"}</definedName>
    <definedName name="das" localSheetId="0" hidden="1">{#N/A,#N/A,TRUE,"Cover";#N/A,#N/A,TRUE,"Summary";#N/A,#N/A,TRUE,"P&amp;L";#N/A,#N/A,TRUE,"CF";#N/A,#N/A,TRUE,"BS";#N/A,#N/A,TRUE,"BS_Assumptions";#N/A,#N/A,TRUE,"GSM1800 - Revenues";#N/A,#N/A,TRUE,"Int'l - Revenues";#N/A,#N/A,TRUE,"Domestic Trunk - Revenues";#N/A,#N/A,TRUE,"Interconnection Charges";#N/A,#N/A,TRUE,"Cost of Service";#N/A,#N/A,TRUE,"Handset Cost";#N/A,#N/A,TRUE,"Op. Expenses";#N/A,#N/A,TRUE,"Debt Schedule";#N/A,#N/A,TRUE,"Capex";#N/A,#N/A,TRUE,"Fixed Assets &amp; Def. Exp.";#N/A,#N/A,TRUE,"Deprec. &amp; Amort.";#N/A,#N/A,TRUE,"Capital Allowance";#N/A,#N/A,TRUE,"Tax Schedule";#N/A,#N/A,TRUE,"P&amp;L (GSM1800)";#N/A,#N/A,TRUE,"P&amp;L (PSTN&amp;EQUAL ACCESS)";#N/A,#N/A,TRUE,"P&amp;L (IDD)";#N/A,#N/A,TRUE,"DCF"}</definedName>
    <definedName name="das" localSheetId="6" hidden="1">{#N/A,#N/A,TRUE,"Cover";#N/A,#N/A,TRUE,"Summary";#N/A,#N/A,TRUE,"P&amp;L";#N/A,#N/A,TRUE,"CF";#N/A,#N/A,TRUE,"BS";#N/A,#N/A,TRUE,"BS_Assumptions";#N/A,#N/A,TRUE,"GSM1800 - Revenues";#N/A,#N/A,TRUE,"Int'l - Revenues";#N/A,#N/A,TRUE,"Domestic Trunk - Revenues";#N/A,#N/A,TRUE,"Interconnection Charges";#N/A,#N/A,TRUE,"Cost of Service";#N/A,#N/A,TRUE,"Handset Cost";#N/A,#N/A,TRUE,"Op. Expenses";#N/A,#N/A,TRUE,"Debt Schedule";#N/A,#N/A,TRUE,"Capex";#N/A,#N/A,TRUE,"Fixed Assets &amp; Def. Exp.";#N/A,#N/A,TRUE,"Deprec. &amp; Amort.";#N/A,#N/A,TRUE,"Capital Allowance";#N/A,#N/A,TRUE,"Tax Schedule";#N/A,#N/A,TRUE,"P&amp;L (GSM1800)";#N/A,#N/A,TRUE,"P&amp;L (PSTN&amp;EQUAL ACCESS)";#N/A,#N/A,TRUE,"P&amp;L (IDD)";#N/A,#N/A,TRUE,"DCF"}</definedName>
    <definedName name="das" hidden="1">{#N/A,#N/A,TRUE,"Cover";#N/A,#N/A,TRUE,"Summary";#N/A,#N/A,TRUE,"P&amp;L";#N/A,#N/A,TRUE,"CF";#N/A,#N/A,TRUE,"BS";#N/A,#N/A,TRUE,"BS_Assumptions";#N/A,#N/A,TRUE,"GSM1800 - Revenues";#N/A,#N/A,TRUE,"Int'l - Revenues";#N/A,#N/A,TRUE,"Domestic Trunk - Revenues";#N/A,#N/A,TRUE,"Interconnection Charges";#N/A,#N/A,TRUE,"Cost of Service";#N/A,#N/A,TRUE,"Handset Cost";#N/A,#N/A,TRUE,"Op. Expenses";#N/A,#N/A,TRUE,"Debt Schedule";#N/A,#N/A,TRUE,"Capex";#N/A,#N/A,TRUE,"Fixed Assets &amp; Def. Exp.";#N/A,#N/A,TRUE,"Deprec. &amp; Amort.";#N/A,#N/A,TRUE,"Capital Allowance";#N/A,#N/A,TRUE,"Tax Schedule";#N/A,#N/A,TRUE,"P&amp;L (GSM1800)";#N/A,#N/A,TRUE,"P&amp;L (PSTN&amp;EQUAL ACCESS)";#N/A,#N/A,TRUE,"P&amp;L (IDD)";#N/A,#N/A,TRUE,"DCF"}</definedName>
    <definedName name="das_1" localSheetId="0" hidden="1">{#N/A,#N/A,FALSE,"Produkte Erw.";#N/A,#N/A,FALSE,"Produkte Plan";#N/A,#N/A,FALSE,"Leistungen Erw.";#N/A,#N/A,FALSE,"Leistungen Plan";#N/A,#N/A,FALSE,"KA Allg.Kosten (2)";#N/A,#N/A,FALSE,"KA All.Kosten"}</definedName>
    <definedName name="das_1" localSheetId="6" hidden="1">{#N/A,#N/A,FALSE,"Produkte Erw.";#N/A,#N/A,FALSE,"Produkte Plan";#N/A,#N/A,FALSE,"Leistungen Erw.";#N/A,#N/A,FALSE,"Leistungen Plan";#N/A,#N/A,FALSE,"KA Allg.Kosten (2)";#N/A,#N/A,FALSE,"KA All.Kosten"}</definedName>
    <definedName name="das_1" hidden="1">{#N/A,#N/A,FALSE,"Produkte Erw.";#N/A,#N/A,FALSE,"Produkte Plan";#N/A,#N/A,FALSE,"Leistungen Erw.";#N/A,#N/A,FALSE,"Leistungen Plan";#N/A,#N/A,FALSE,"KA Allg.Kosten (2)";#N/A,#N/A,FALSE,"KA All.Kosten"}</definedName>
    <definedName name="das_1_1" localSheetId="0" hidden="1">{#N/A,#N/A,FALSE,"Produkte Erw.";#N/A,#N/A,FALSE,"Produkte Plan";#N/A,#N/A,FALSE,"Leistungen Erw.";#N/A,#N/A,FALSE,"Leistungen Plan";#N/A,#N/A,FALSE,"KA Allg.Kosten (2)";#N/A,#N/A,FALSE,"KA All.Kosten"}</definedName>
    <definedName name="das_1_1" localSheetId="6" hidden="1">{#N/A,#N/A,FALSE,"Produkte Erw.";#N/A,#N/A,FALSE,"Produkte Plan";#N/A,#N/A,FALSE,"Leistungen Erw.";#N/A,#N/A,FALSE,"Leistungen Plan";#N/A,#N/A,FALSE,"KA Allg.Kosten (2)";#N/A,#N/A,FALSE,"KA All.Kosten"}</definedName>
    <definedName name="das_1_1" hidden="1">{#N/A,#N/A,FALSE,"Produkte Erw.";#N/A,#N/A,FALSE,"Produkte Plan";#N/A,#N/A,FALSE,"Leistungen Erw.";#N/A,#N/A,FALSE,"Leistungen Plan";#N/A,#N/A,FALSE,"KA Allg.Kosten (2)";#N/A,#N/A,FALSE,"KA All.Kosten"}</definedName>
    <definedName name="das_2" localSheetId="0" hidden="1">{#N/A,#N/A,FALSE,"Produkte Erw.";#N/A,#N/A,FALSE,"Produkte Plan";#N/A,#N/A,FALSE,"Leistungen Erw.";#N/A,#N/A,FALSE,"Leistungen Plan";#N/A,#N/A,FALSE,"KA Allg.Kosten (2)";#N/A,#N/A,FALSE,"KA All.Kosten"}</definedName>
    <definedName name="das_2" localSheetId="6" hidden="1">{#N/A,#N/A,FALSE,"Produkte Erw.";#N/A,#N/A,FALSE,"Produkte Plan";#N/A,#N/A,FALSE,"Leistungen Erw.";#N/A,#N/A,FALSE,"Leistungen Plan";#N/A,#N/A,FALSE,"KA Allg.Kosten (2)";#N/A,#N/A,FALSE,"KA All.Kosten"}</definedName>
    <definedName name="das_2" hidden="1">{#N/A,#N/A,FALSE,"Produkte Erw.";#N/A,#N/A,FALSE,"Produkte Plan";#N/A,#N/A,FALSE,"Leistungen Erw.";#N/A,#N/A,FALSE,"Leistungen Plan";#N/A,#N/A,FALSE,"KA Allg.Kosten (2)";#N/A,#N/A,FALSE,"KA All.Kosten"}</definedName>
    <definedName name="das_3" localSheetId="0" hidden="1">{#N/A,#N/A,FALSE,"Produkte Erw.";#N/A,#N/A,FALSE,"Produkte Plan";#N/A,#N/A,FALSE,"Leistungen Erw.";#N/A,#N/A,FALSE,"Leistungen Plan";#N/A,#N/A,FALSE,"KA Allg.Kosten (2)";#N/A,#N/A,FALSE,"KA All.Kosten"}</definedName>
    <definedName name="das_3" localSheetId="6" hidden="1">{#N/A,#N/A,FALSE,"Produkte Erw.";#N/A,#N/A,FALSE,"Produkte Plan";#N/A,#N/A,FALSE,"Leistungen Erw.";#N/A,#N/A,FALSE,"Leistungen Plan";#N/A,#N/A,FALSE,"KA Allg.Kosten (2)";#N/A,#N/A,FALSE,"KA All.Kosten"}</definedName>
    <definedName name="das_3" hidden="1">{#N/A,#N/A,FALSE,"Produkte Erw.";#N/A,#N/A,FALSE,"Produkte Plan";#N/A,#N/A,FALSE,"Leistungen Erw.";#N/A,#N/A,FALSE,"Leistungen Plan";#N/A,#N/A,FALSE,"KA Allg.Kosten (2)";#N/A,#N/A,FALSE,"KA All.Kosten"}</definedName>
    <definedName name="das_4" localSheetId="0" hidden="1">{#N/A,#N/A,FALSE,"Produkte Erw.";#N/A,#N/A,FALSE,"Produkte Plan";#N/A,#N/A,FALSE,"Leistungen Erw.";#N/A,#N/A,FALSE,"Leistungen Plan";#N/A,#N/A,FALSE,"KA Allg.Kosten (2)";#N/A,#N/A,FALSE,"KA All.Kosten"}</definedName>
    <definedName name="das_4" localSheetId="6" hidden="1">{#N/A,#N/A,FALSE,"Produkte Erw.";#N/A,#N/A,FALSE,"Produkte Plan";#N/A,#N/A,FALSE,"Leistungen Erw.";#N/A,#N/A,FALSE,"Leistungen Plan";#N/A,#N/A,FALSE,"KA Allg.Kosten (2)";#N/A,#N/A,FALSE,"KA All.Kosten"}</definedName>
    <definedName name="das_4" hidden="1">{#N/A,#N/A,FALSE,"Produkte Erw.";#N/A,#N/A,FALSE,"Produkte Plan";#N/A,#N/A,FALSE,"Leistungen Erw.";#N/A,#N/A,FALSE,"Leistungen Plan";#N/A,#N/A,FALSE,"KA Allg.Kosten (2)";#N/A,#N/A,FALSE,"KA All.Kosten"}</definedName>
    <definedName name="das_5" localSheetId="0" hidden="1">{#N/A,#N/A,FALSE,"Produkte Erw.";#N/A,#N/A,FALSE,"Produkte Plan";#N/A,#N/A,FALSE,"Leistungen Erw.";#N/A,#N/A,FALSE,"Leistungen Plan";#N/A,#N/A,FALSE,"KA Allg.Kosten (2)";#N/A,#N/A,FALSE,"KA All.Kosten"}</definedName>
    <definedName name="das_5" localSheetId="6" hidden="1">{#N/A,#N/A,FALSE,"Produkte Erw.";#N/A,#N/A,FALSE,"Produkte Plan";#N/A,#N/A,FALSE,"Leistungen Erw.";#N/A,#N/A,FALSE,"Leistungen Plan";#N/A,#N/A,FALSE,"KA Allg.Kosten (2)";#N/A,#N/A,FALSE,"KA All.Kosten"}</definedName>
    <definedName name="das_5" hidden="1">{#N/A,#N/A,FALSE,"Produkte Erw.";#N/A,#N/A,FALSE,"Produkte Plan";#N/A,#N/A,FALSE,"Leistungen Erw.";#N/A,#N/A,FALSE,"Leistungen Plan";#N/A,#N/A,FALSE,"KA Allg.Kosten (2)";#N/A,#N/A,FALSE,"KA All.Kosten"}</definedName>
    <definedName name="dasd" localSheetId="0" hidden="1">{"Graphic",#N/A,TRUE,"Graphic"}</definedName>
    <definedName name="dasd" localSheetId="6" hidden="1">{"Graphic",#N/A,TRUE,"Graphic"}</definedName>
    <definedName name="dasd" hidden="1">{"Graphic",#N/A,TRUE,"Graphic"}</definedName>
    <definedName name="dasd_1" localSheetId="0" hidden="1">{"Graphic",#N/A,TRUE,"Graphic"}</definedName>
    <definedName name="dasd_1" localSheetId="6" hidden="1">{"Graphic",#N/A,TRUE,"Graphic"}</definedName>
    <definedName name="dasd_1" hidden="1">{"Graphic",#N/A,TRUE,"Graphic"}</definedName>
    <definedName name="dasdas" localSheetId="6" hidden="1">{#N/A,#N/A,FALSE,"Scenario PivotTable"}</definedName>
    <definedName name="dasdas" hidden="1">{#N/A,#N/A,FALSE,"Scenario PivotTable"}</definedName>
    <definedName name="dasdas_1" localSheetId="6" hidden="1">{#N/A,#N/A,FALSE,"Scenario PivotTable"}</definedName>
    <definedName name="dasdas_1" hidden="1">{#N/A,#N/A,FALSE,"Scenario PivotTable"}</definedName>
    <definedName name="dasdas_1_1" localSheetId="6" hidden="1">{#N/A,#N/A,FALSE,"Scenario PivotTable"}</definedName>
    <definedName name="dasdas_1_1" hidden="1">{#N/A,#N/A,FALSE,"Scenario PivotTable"}</definedName>
    <definedName name="dasdas_2" localSheetId="6" hidden="1">{#N/A,#N/A,FALSE,"Scenario PivotTable"}</definedName>
    <definedName name="dasdas_2" hidden="1">{#N/A,#N/A,FALSE,"Scenario PivotTable"}</definedName>
    <definedName name="dasdas_2_1" localSheetId="6" hidden="1">{#N/A,#N/A,FALSE,"Scenario PivotTable"}</definedName>
    <definedName name="dasdas_2_1" hidden="1">{#N/A,#N/A,FALSE,"Scenario PivotTable"}</definedName>
    <definedName name="dasdas_2_1_1" localSheetId="6" hidden="1">{#N/A,#N/A,FALSE,"Scenario PivotTable"}</definedName>
    <definedName name="dasdas_2_1_1" hidden="1">{#N/A,#N/A,FALSE,"Scenario PivotTable"}</definedName>
    <definedName name="dasdas_2_1_1_1" localSheetId="6" hidden="1">{#N/A,#N/A,FALSE,"Scenario PivotTable"}</definedName>
    <definedName name="dasdas_2_1_1_1" hidden="1">{#N/A,#N/A,FALSE,"Scenario PivotTable"}</definedName>
    <definedName name="dasdas_2_1_2" localSheetId="6" hidden="1">{#N/A,#N/A,FALSE,"Scenario PivotTable"}</definedName>
    <definedName name="dasdas_2_1_2" hidden="1">{#N/A,#N/A,FALSE,"Scenario PivotTable"}</definedName>
    <definedName name="dasdas_2_1_2_1" localSheetId="6" hidden="1">{#N/A,#N/A,FALSE,"Scenario PivotTable"}</definedName>
    <definedName name="dasdas_2_1_2_1" hidden="1">{#N/A,#N/A,FALSE,"Scenario PivotTable"}</definedName>
    <definedName name="dasdas_2_1_3" localSheetId="6" hidden="1">{#N/A,#N/A,FALSE,"Scenario PivotTable"}</definedName>
    <definedName name="dasdas_2_1_3" hidden="1">{#N/A,#N/A,FALSE,"Scenario PivotTable"}</definedName>
    <definedName name="dasdas_2_2" localSheetId="6" hidden="1">{#N/A,#N/A,FALSE,"Scenario PivotTable"}</definedName>
    <definedName name="dasdas_2_2" hidden="1">{#N/A,#N/A,FALSE,"Scenario PivotTable"}</definedName>
    <definedName name="dasdas_2_2_1" localSheetId="6" hidden="1">{#N/A,#N/A,FALSE,"Scenario PivotTable"}</definedName>
    <definedName name="dasdas_2_2_1" hidden="1">{#N/A,#N/A,FALSE,"Scenario PivotTable"}</definedName>
    <definedName name="dasdas_2_2_1_1" localSheetId="6" hidden="1">{#N/A,#N/A,FALSE,"Scenario PivotTable"}</definedName>
    <definedName name="dasdas_2_2_1_1" hidden="1">{#N/A,#N/A,FALSE,"Scenario PivotTable"}</definedName>
    <definedName name="dasdas_2_2_2" localSheetId="6" hidden="1">{#N/A,#N/A,FALSE,"Scenario PivotTable"}</definedName>
    <definedName name="dasdas_2_2_2" hidden="1">{#N/A,#N/A,FALSE,"Scenario PivotTable"}</definedName>
    <definedName name="dasdas_2_3" localSheetId="6" hidden="1">{#N/A,#N/A,FALSE,"Scenario PivotTable"}</definedName>
    <definedName name="dasdas_2_3" hidden="1">{#N/A,#N/A,FALSE,"Scenario PivotTable"}</definedName>
    <definedName name="dasdas_2_3_1" localSheetId="6" hidden="1">{#N/A,#N/A,FALSE,"Scenario PivotTable"}</definedName>
    <definedName name="dasdas_2_3_1" hidden="1">{#N/A,#N/A,FALSE,"Scenario PivotTable"}</definedName>
    <definedName name="dasdas_2_4" localSheetId="6" hidden="1">{#N/A,#N/A,FALSE,"Scenario PivotTable"}</definedName>
    <definedName name="dasdas_2_4" hidden="1">{#N/A,#N/A,FALSE,"Scenario PivotTable"}</definedName>
    <definedName name="dasdas_3" localSheetId="6" hidden="1">{#N/A,#N/A,FALSE,"Scenario PivotTable"}</definedName>
    <definedName name="dasdas_3" hidden="1">{#N/A,#N/A,FALSE,"Scenario PivotTable"}</definedName>
    <definedName name="dasdas_3_1" localSheetId="6" hidden="1">{#N/A,#N/A,FALSE,"Scenario PivotTable"}</definedName>
    <definedName name="dasdas_3_1" hidden="1">{#N/A,#N/A,FALSE,"Scenario PivotTable"}</definedName>
    <definedName name="dasdas_3_1_1" localSheetId="6" hidden="1">{#N/A,#N/A,FALSE,"Scenario PivotTable"}</definedName>
    <definedName name="dasdas_3_1_1" hidden="1">{#N/A,#N/A,FALSE,"Scenario PivotTable"}</definedName>
    <definedName name="dasdas_3_1_1_1" localSheetId="6" hidden="1">{#N/A,#N/A,FALSE,"Scenario PivotTable"}</definedName>
    <definedName name="dasdas_3_1_1_1" hidden="1">{#N/A,#N/A,FALSE,"Scenario PivotTable"}</definedName>
    <definedName name="dasdas_3_1_2" localSheetId="6" hidden="1">{#N/A,#N/A,FALSE,"Scenario PivotTable"}</definedName>
    <definedName name="dasdas_3_1_2" hidden="1">{#N/A,#N/A,FALSE,"Scenario PivotTable"}</definedName>
    <definedName name="dasdas_3_1_2_1" localSheetId="6" hidden="1">{#N/A,#N/A,FALSE,"Scenario PivotTable"}</definedName>
    <definedName name="dasdas_3_1_2_1" hidden="1">{#N/A,#N/A,FALSE,"Scenario PivotTable"}</definedName>
    <definedName name="dasdas_3_1_3" localSheetId="6" hidden="1">{#N/A,#N/A,FALSE,"Scenario PivotTable"}</definedName>
    <definedName name="dasdas_3_1_3" hidden="1">{#N/A,#N/A,FALSE,"Scenario PivotTable"}</definedName>
    <definedName name="dasdas_3_2" localSheetId="6" hidden="1">{#N/A,#N/A,FALSE,"Scenario PivotTable"}</definedName>
    <definedName name="dasdas_3_2" hidden="1">{#N/A,#N/A,FALSE,"Scenario PivotTable"}</definedName>
    <definedName name="dasdas_3_2_1" localSheetId="6" hidden="1">{#N/A,#N/A,FALSE,"Scenario PivotTable"}</definedName>
    <definedName name="dasdas_3_2_1" hidden="1">{#N/A,#N/A,FALSE,"Scenario PivotTable"}</definedName>
    <definedName name="dasdas_3_2_1_1" localSheetId="6" hidden="1">{#N/A,#N/A,FALSE,"Scenario PivotTable"}</definedName>
    <definedName name="dasdas_3_2_1_1" hidden="1">{#N/A,#N/A,FALSE,"Scenario PivotTable"}</definedName>
    <definedName name="dasdas_3_2_2" localSheetId="6" hidden="1">{#N/A,#N/A,FALSE,"Scenario PivotTable"}</definedName>
    <definedName name="dasdas_3_2_2" hidden="1">{#N/A,#N/A,FALSE,"Scenario PivotTable"}</definedName>
    <definedName name="dasdas_3_3" localSheetId="6" hidden="1">{#N/A,#N/A,FALSE,"Scenario PivotTable"}</definedName>
    <definedName name="dasdas_3_3" hidden="1">{#N/A,#N/A,FALSE,"Scenario PivotTable"}</definedName>
    <definedName name="dasdas_3_3_1" localSheetId="6" hidden="1">{#N/A,#N/A,FALSE,"Scenario PivotTable"}</definedName>
    <definedName name="dasdas_3_3_1" hidden="1">{#N/A,#N/A,FALSE,"Scenario PivotTable"}</definedName>
    <definedName name="dasdas_3_4" localSheetId="6" hidden="1">{#N/A,#N/A,FALSE,"Scenario PivotTable"}</definedName>
    <definedName name="dasdas_3_4" hidden="1">{#N/A,#N/A,FALSE,"Scenario PivotTable"}</definedName>
    <definedName name="dasdas_4" localSheetId="6" hidden="1">{#N/A,#N/A,FALSE,"Scenario PivotTable"}</definedName>
    <definedName name="dasdas_4" hidden="1">{#N/A,#N/A,FALSE,"Scenario PivotTable"}</definedName>
    <definedName name="dasdas_4_1" localSheetId="6" hidden="1">{#N/A,#N/A,FALSE,"Scenario PivotTable"}</definedName>
    <definedName name="dasdas_4_1" hidden="1">{#N/A,#N/A,FALSE,"Scenario PivotTable"}</definedName>
    <definedName name="dasdas_4_1_1" localSheetId="6" hidden="1">{#N/A,#N/A,FALSE,"Scenario PivotTable"}</definedName>
    <definedName name="dasdas_4_1_1" hidden="1">{#N/A,#N/A,FALSE,"Scenario PivotTable"}</definedName>
    <definedName name="dasdas_4_1_1_1" localSheetId="6" hidden="1">{#N/A,#N/A,FALSE,"Scenario PivotTable"}</definedName>
    <definedName name="dasdas_4_1_1_1" hidden="1">{#N/A,#N/A,FALSE,"Scenario PivotTable"}</definedName>
    <definedName name="dasdas_4_1_2" localSheetId="6" hidden="1">{#N/A,#N/A,FALSE,"Scenario PivotTable"}</definedName>
    <definedName name="dasdas_4_1_2" hidden="1">{#N/A,#N/A,FALSE,"Scenario PivotTable"}</definedName>
    <definedName name="dasdas_4_1_2_1" localSheetId="6" hidden="1">{#N/A,#N/A,FALSE,"Scenario PivotTable"}</definedName>
    <definedName name="dasdas_4_1_2_1" hidden="1">{#N/A,#N/A,FALSE,"Scenario PivotTable"}</definedName>
    <definedName name="dasdas_4_1_3" localSheetId="6" hidden="1">{#N/A,#N/A,FALSE,"Scenario PivotTable"}</definedName>
    <definedName name="dasdas_4_1_3" hidden="1">{#N/A,#N/A,FALSE,"Scenario PivotTable"}</definedName>
    <definedName name="dasdas_4_2" localSheetId="6" hidden="1">{#N/A,#N/A,FALSE,"Scenario PivotTable"}</definedName>
    <definedName name="dasdas_4_2" hidden="1">{#N/A,#N/A,FALSE,"Scenario PivotTable"}</definedName>
    <definedName name="dasdas_4_2_1" localSheetId="6" hidden="1">{#N/A,#N/A,FALSE,"Scenario PivotTable"}</definedName>
    <definedName name="dasdas_4_2_1" hidden="1">{#N/A,#N/A,FALSE,"Scenario PivotTable"}</definedName>
    <definedName name="dasdas_4_2_1_1" localSheetId="6" hidden="1">{#N/A,#N/A,FALSE,"Scenario PivotTable"}</definedName>
    <definedName name="dasdas_4_2_1_1" hidden="1">{#N/A,#N/A,FALSE,"Scenario PivotTable"}</definedName>
    <definedName name="dasdas_4_2_2" localSheetId="6" hidden="1">{#N/A,#N/A,FALSE,"Scenario PivotTable"}</definedName>
    <definedName name="dasdas_4_2_2" hidden="1">{#N/A,#N/A,FALSE,"Scenario PivotTable"}</definedName>
    <definedName name="dasdas_4_3" localSheetId="6" hidden="1">{#N/A,#N/A,FALSE,"Scenario PivotTable"}</definedName>
    <definedName name="dasdas_4_3" hidden="1">{#N/A,#N/A,FALSE,"Scenario PivotTable"}</definedName>
    <definedName name="dasdas_4_3_1" localSheetId="6" hidden="1">{#N/A,#N/A,FALSE,"Scenario PivotTable"}</definedName>
    <definedName name="dasdas_4_3_1" hidden="1">{#N/A,#N/A,FALSE,"Scenario PivotTable"}</definedName>
    <definedName name="dasdas_4_4" localSheetId="6" hidden="1">{#N/A,#N/A,FALSE,"Scenario PivotTable"}</definedName>
    <definedName name="dasdas_4_4" hidden="1">{#N/A,#N/A,FALSE,"Scenario PivotTable"}</definedName>
    <definedName name="dasdas_5" localSheetId="6" hidden="1">{#N/A,#N/A,FALSE,"Scenario PivotTable"}</definedName>
    <definedName name="dasdas_5" hidden="1">{#N/A,#N/A,FALSE,"Scenario PivotTable"}</definedName>
    <definedName name="dasdas_5_1" localSheetId="6" hidden="1">{#N/A,#N/A,FALSE,"Scenario PivotTable"}</definedName>
    <definedName name="dasdas_5_1" hidden="1">{#N/A,#N/A,FALSE,"Scenario PivotTable"}</definedName>
    <definedName name="dasdas_5_1_1" localSheetId="6" hidden="1">{#N/A,#N/A,FALSE,"Scenario PivotTable"}</definedName>
    <definedName name="dasdas_5_1_1" hidden="1">{#N/A,#N/A,FALSE,"Scenario PivotTable"}</definedName>
    <definedName name="dasdas_5_1_1_1" localSheetId="6" hidden="1">{#N/A,#N/A,FALSE,"Scenario PivotTable"}</definedName>
    <definedName name="dasdas_5_1_1_1" hidden="1">{#N/A,#N/A,FALSE,"Scenario PivotTable"}</definedName>
    <definedName name="dasdas_5_1_2" localSheetId="6" hidden="1">{#N/A,#N/A,FALSE,"Scenario PivotTable"}</definedName>
    <definedName name="dasdas_5_1_2" hidden="1">{#N/A,#N/A,FALSE,"Scenario PivotTable"}</definedName>
    <definedName name="dasdas_5_1_2_1" localSheetId="6" hidden="1">{#N/A,#N/A,FALSE,"Scenario PivotTable"}</definedName>
    <definedName name="dasdas_5_1_2_1" hidden="1">{#N/A,#N/A,FALSE,"Scenario PivotTable"}</definedName>
    <definedName name="dasdas_5_1_3" localSheetId="6" hidden="1">{#N/A,#N/A,FALSE,"Scenario PivotTable"}</definedName>
    <definedName name="dasdas_5_1_3" hidden="1">{#N/A,#N/A,FALSE,"Scenario PivotTable"}</definedName>
    <definedName name="dasdas_5_2" localSheetId="6" hidden="1">{#N/A,#N/A,FALSE,"Scenario PivotTable"}</definedName>
    <definedName name="dasdas_5_2" hidden="1">{#N/A,#N/A,FALSE,"Scenario PivotTable"}</definedName>
    <definedName name="dasdas_5_2_1" localSheetId="6" hidden="1">{#N/A,#N/A,FALSE,"Scenario PivotTable"}</definedName>
    <definedName name="dasdas_5_2_1" hidden="1">{#N/A,#N/A,FALSE,"Scenario PivotTable"}</definedName>
    <definedName name="dasdas_5_2_1_1" localSheetId="6" hidden="1">{#N/A,#N/A,FALSE,"Scenario PivotTable"}</definedName>
    <definedName name="dasdas_5_2_1_1" hidden="1">{#N/A,#N/A,FALSE,"Scenario PivotTable"}</definedName>
    <definedName name="dasdas_5_2_2" localSheetId="6" hidden="1">{#N/A,#N/A,FALSE,"Scenario PivotTable"}</definedName>
    <definedName name="dasdas_5_2_2" hidden="1">{#N/A,#N/A,FALSE,"Scenario PivotTable"}</definedName>
    <definedName name="dasdas_5_3" localSheetId="6" hidden="1">{#N/A,#N/A,FALSE,"Scenario PivotTable"}</definedName>
    <definedName name="dasdas_5_3" hidden="1">{#N/A,#N/A,FALSE,"Scenario PivotTable"}</definedName>
    <definedName name="dasdas_5_3_1" localSheetId="6" hidden="1">{#N/A,#N/A,FALSE,"Scenario PivotTable"}</definedName>
    <definedName name="dasdas_5_3_1" hidden="1">{#N/A,#N/A,FALSE,"Scenario PivotTable"}</definedName>
    <definedName name="dasdas_5_4" localSheetId="6" hidden="1">{#N/A,#N/A,FALSE,"Scenario PivotTable"}</definedName>
    <definedName name="dasdas_5_4" hidden="1">{#N/A,#N/A,FALSE,"Scenario PivotTable"}</definedName>
    <definedName name="DASH" hidden="1">#REF!</definedName>
    <definedName name="Data">OFFSET(#REF!,0,0,COUNTA(#REF!),COUNTA(#REF!))</definedName>
    <definedName name="Data.Dump" hidden="1">OFFSET(#REF!,1,0)</definedName>
    <definedName name="DATA_01" hidden="1">#REF!</definedName>
    <definedName name="DATA_02" hidden="1">#REF!</definedName>
    <definedName name="DATA_03" hidden="1">#REF!</definedName>
    <definedName name="DATA_04" hidden="1">#REF!</definedName>
    <definedName name="DATA_05" hidden="1">#REF!</definedName>
    <definedName name="DATA_06" hidden="1">#REF!</definedName>
    <definedName name="DATA_07" hidden="1">#REF!</definedName>
    <definedName name="DATA_08" hidden="1">#REF!</definedName>
    <definedName name="DATA_09" hidden="1">#REF!</definedName>
    <definedName name="Data_summary" localSheetId="0"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_summary" localSheetId="6"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_summary"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data1" hidden="1">#REF!</definedName>
    <definedName name="data2">#REF!</definedName>
    <definedName name="data3" hidden="1">#REF!</definedName>
    <definedName name="data9198" hidden="1">#REF!</definedName>
    <definedName name="_xlnm.Database">#REF!</definedName>
    <definedName name="Database.File" hidden="1">#REF!</definedName>
    <definedName name="DATABASE1">#REF!</definedName>
    <definedName name="DataForex">#REF!</definedName>
    <definedName name="DataGDR">#REF!</definedName>
    <definedName name="DataIndex">#REF!</definedName>
    <definedName name="DataIndexEPS">#REF!</definedName>
    <definedName name="DataIndexEPS1">#REF!</definedName>
    <definedName name="DataInterim">#REF!</definedName>
    <definedName name="DataLocal">#REF!</definedName>
    <definedName name="DataSource">#REF!</definedName>
    <definedName name="date">#REF!</definedName>
    <definedName name="Date_Gregorian">#REF!</definedName>
    <definedName name="Date_Hijri">#REF!</definedName>
    <definedName name="Date_Monthly">#REF!</definedName>
    <definedName name="date_toggle">#REF!</definedName>
    <definedName name="DateHeader">#REF!</definedName>
    <definedName name="DateRangePrice" hidden="1">#N/A</definedName>
    <definedName name="Dati" localSheetId="6" hidden="1">{"DET6GG1TRIM",#N/A,FALSE,"Stampa";"DET6GG2TRIM",#N/A,FALSE,"Stampa";"DET6GG3TRIM",#N/A,FALSE,"Stampa";"DET6GG4TRIM",#N/A,FALSE,"Stampa";"DETLUN1TRIM",#N/A,FALSE,"Stampa";"DETLUN2TRIM",#N/A,FALSE,"Stampa";"DETLUN3TRIM",#N/A,FALSE,"Stampa";"DETLUN4TRIM",#N/A,FALSE,"Stampa";"DET3DS1TRIM",#N/A,FALSE,"Stampa";"DET3DS2TRIM",#N/A,FALSE,"Stampa";"DET3DS3TRIM",#N/A,FALSE,"Stampa";"DET3DS4TRIM",#N/A,FALSE,"Stampa";"DETCLG1TRIM",#N/A,FALSE,"Stampa";"DETCLG2TRIM",#N/A,FALSE,"Stampa";"DETCLG3TRIM",#N/A,FALSE,"Stampa";"DETCLG4TRIM",#N/A,FALSE,"Stampa";"DETSYS1TRIM",#N/A,FALSE,"Stampa";"DETSYS2TRIM",#N/A,FALSE,"Stampa";"DETSYS3TRIM",#N/A,FALSE,"Stampa";"DETSYS4TRIM",#N/A,FALSE,"Stampa";"DETTOT1TRIM",#N/A,FALSE,"Stampa";"DETTOT2TRIM",#N/A,FALSE,"Stampa";"DETTOT3TRIM",#N/A,FALSE,"Stampa";"DETTOT4TRIM",#N/A,FALSE,"Stampa"}</definedName>
    <definedName name="Dati" hidden="1">{"DET6GG1TRIM",#N/A,FALSE,"Stampa";"DET6GG2TRIM",#N/A,FALSE,"Stampa";"DET6GG3TRIM",#N/A,FALSE,"Stampa";"DET6GG4TRIM",#N/A,FALSE,"Stampa";"DETLUN1TRIM",#N/A,FALSE,"Stampa";"DETLUN2TRIM",#N/A,FALSE,"Stampa";"DETLUN3TRIM",#N/A,FALSE,"Stampa";"DETLUN4TRIM",#N/A,FALSE,"Stampa";"DET3DS1TRIM",#N/A,FALSE,"Stampa";"DET3DS2TRIM",#N/A,FALSE,"Stampa";"DET3DS3TRIM",#N/A,FALSE,"Stampa";"DET3DS4TRIM",#N/A,FALSE,"Stampa";"DETCLG1TRIM",#N/A,FALSE,"Stampa";"DETCLG2TRIM",#N/A,FALSE,"Stampa";"DETCLG3TRIM",#N/A,FALSE,"Stampa";"DETCLG4TRIM",#N/A,FALSE,"Stampa";"DETSYS1TRIM",#N/A,FALSE,"Stampa";"DETSYS2TRIM",#N/A,FALSE,"Stampa";"DETSYS3TRIM",#N/A,FALSE,"Stampa";"DETSYS4TRIM",#N/A,FALSE,"Stampa";"DETTOT1TRIM",#N/A,FALSE,"Stampa";"DETTOT2TRIM",#N/A,FALSE,"Stampa";"DETTOT3TRIM",#N/A,FALSE,"Stampa";"DETTOT4TRIM",#N/A,FALSE,"Stampa"}</definedName>
    <definedName name="DAVE" localSheetId="0" hidden="1">{#N/A,#N/A,FALSE,"75 head";#N/A,#N/A,FALSE,"Total Area";#N/A,#N/A,FALSE,"101 bitt";#N/A,#N/A,FALSE,"102 cov";#N/A,#N/A,FALSE,"103 craw - Internal";#N/A,#N/A,FALSE,"103 craw - External";#N/A,#N/A,FALSE,"104 hull";#N/A,#N/A,FALSE,"105 ilke";#N/A,#N/A,FALSE,"106 leed";#N/A,#N/A,FALSE,"107 lewi";#N/A,#N/A,FALSE,"108 new";#N/A,#N/A,FALSE,"109 nott";#N/A,#N/A,FALSE,"110 port";#N/A,#N/A,FALSE,"111 shef";#N/A,#N/A,FALSE,"112 west";#N/A,#N/A,FALSE,"113 whit";#N/A,#N/A,FALSE,"114 expr";#N/A,#N/A,FALSE,"115 wort";#N/A,#N/A,FALSE,"130 blac";#N/A,#N/A,FALSE,"131 pete";#N/A,#N/A,FALSE,"132 burn";#N/A,#N/A,FALSE,"133 scun";#N/A,#N/A,FALSE,"134 shre";#N/A,#N/A,FALSE,"135 wiga";#N/A,#N/A,FALSE,"136 stry";#N/A,#N/A,FALSE,"140 glas";#N/A,#N/A,FALSE,"141 stir";#N/A,#N/A,FALSE,"142 ashf";#N/A,#N/A,FALSE,"143 chat";#N/A,#N/A,FALSE,"144 grav";#N/A,#N/A,FALSE,"145 maid";#N/A,#N/A,FALSE,"146 carl";#N/A,#N/A,FALSE,"147 keig";#N/A,#N/A,FALSE,"148 marg";#N/A,#N/A,FALSE,"149 st h";#N/A,#N/A,FALSE,"150 torq";#N/A,#N/A,FALSE,"151 wash";#N/A,#N/A,FALSE,"152 well";#N/A,#N/A,FALSE,"153 macc";#N/A,#N/A,FALSE,"154 purl";#N/A,#N/A,FALSE,"A Moran Region";#N/A,#N/A,FALSE,"E Bishop Region";#N/A,#N/A,FALSE,"J Atkinson Region";#N/A,#N/A,FALSE,"Constant Internal - 22 ";#N/A,#N/A,FALSE,"Constant External - 22";#N/A,#N/A,FALSE,"New External - 15";#N/A,#N/A,FALSE,"Total Excl. Corp Internal";#N/A,#N/A,FALSE,"Total Excl. Corp External";#N/A,#N/A,FALSE,"Total Internal";#N/A,#N/A,FALSE,"Total External"}</definedName>
    <definedName name="DAVE" localSheetId="6" hidden="1">{#N/A,#N/A,FALSE,"75 head";#N/A,#N/A,FALSE,"Total Area";#N/A,#N/A,FALSE,"101 bitt";#N/A,#N/A,FALSE,"102 cov";#N/A,#N/A,FALSE,"103 craw - Internal";#N/A,#N/A,FALSE,"103 craw - External";#N/A,#N/A,FALSE,"104 hull";#N/A,#N/A,FALSE,"105 ilke";#N/A,#N/A,FALSE,"106 leed";#N/A,#N/A,FALSE,"107 lewi";#N/A,#N/A,FALSE,"108 new";#N/A,#N/A,FALSE,"109 nott";#N/A,#N/A,FALSE,"110 port";#N/A,#N/A,FALSE,"111 shef";#N/A,#N/A,FALSE,"112 west";#N/A,#N/A,FALSE,"113 whit";#N/A,#N/A,FALSE,"114 expr";#N/A,#N/A,FALSE,"115 wort";#N/A,#N/A,FALSE,"130 blac";#N/A,#N/A,FALSE,"131 pete";#N/A,#N/A,FALSE,"132 burn";#N/A,#N/A,FALSE,"133 scun";#N/A,#N/A,FALSE,"134 shre";#N/A,#N/A,FALSE,"135 wiga";#N/A,#N/A,FALSE,"136 stry";#N/A,#N/A,FALSE,"140 glas";#N/A,#N/A,FALSE,"141 stir";#N/A,#N/A,FALSE,"142 ashf";#N/A,#N/A,FALSE,"143 chat";#N/A,#N/A,FALSE,"144 grav";#N/A,#N/A,FALSE,"145 maid";#N/A,#N/A,FALSE,"146 carl";#N/A,#N/A,FALSE,"147 keig";#N/A,#N/A,FALSE,"148 marg";#N/A,#N/A,FALSE,"149 st h";#N/A,#N/A,FALSE,"150 torq";#N/A,#N/A,FALSE,"151 wash";#N/A,#N/A,FALSE,"152 well";#N/A,#N/A,FALSE,"153 macc";#N/A,#N/A,FALSE,"154 purl";#N/A,#N/A,FALSE,"A Moran Region";#N/A,#N/A,FALSE,"E Bishop Region";#N/A,#N/A,FALSE,"J Atkinson Region";#N/A,#N/A,FALSE,"Constant Internal - 22 ";#N/A,#N/A,FALSE,"Constant External - 22";#N/A,#N/A,FALSE,"New External - 15";#N/A,#N/A,FALSE,"Total Excl. Corp Internal";#N/A,#N/A,FALSE,"Total Excl. Corp External";#N/A,#N/A,FALSE,"Total Internal";#N/A,#N/A,FALSE,"Total External"}</definedName>
    <definedName name="DAVE" hidden="1">{#N/A,#N/A,FALSE,"75 head";#N/A,#N/A,FALSE,"Total Area";#N/A,#N/A,FALSE,"101 bitt";#N/A,#N/A,FALSE,"102 cov";#N/A,#N/A,FALSE,"103 craw - Internal";#N/A,#N/A,FALSE,"103 craw - External";#N/A,#N/A,FALSE,"104 hull";#N/A,#N/A,FALSE,"105 ilke";#N/A,#N/A,FALSE,"106 leed";#N/A,#N/A,FALSE,"107 lewi";#N/A,#N/A,FALSE,"108 new";#N/A,#N/A,FALSE,"109 nott";#N/A,#N/A,FALSE,"110 port";#N/A,#N/A,FALSE,"111 shef";#N/A,#N/A,FALSE,"112 west";#N/A,#N/A,FALSE,"113 whit";#N/A,#N/A,FALSE,"114 expr";#N/A,#N/A,FALSE,"115 wort";#N/A,#N/A,FALSE,"130 blac";#N/A,#N/A,FALSE,"131 pete";#N/A,#N/A,FALSE,"132 burn";#N/A,#N/A,FALSE,"133 scun";#N/A,#N/A,FALSE,"134 shre";#N/A,#N/A,FALSE,"135 wiga";#N/A,#N/A,FALSE,"136 stry";#N/A,#N/A,FALSE,"140 glas";#N/A,#N/A,FALSE,"141 stir";#N/A,#N/A,FALSE,"142 ashf";#N/A,#N/A,FALSE,"143 chat";#N/A,#N/A,FALSE,"144 grav";#N/A,#N/A,FALSE,"145 maid";#N/A,#N/A,FALSE,"146 carl";#N/A,#N/A,FALSE,"147 keig";#N/A,#N/A,FALSE,"148 marg";#N/A,#N/A,FALSE,"149 st h";#N/A,#N/A,FALSE,"150 torq";#N/A,#N/A,FALSE,"151 wash";#N/A,#N/A,FALSE,"152 well";#N/A,#N/A,FALSE,"153 macc";#N/A,#N/A,FALSE,"154 purl";#N/A,#N/A,FALSE,"A Moran Region";#N/A,#N/A,FALSE,"E Bishop Region";#N/A,#N/A,FALSE,"J Atkinson Region";#N/A,#N/A,FALSE,"Constant Internal - 22 ";#N/A,#N/A,FALSE,"Constant External - 22";#N/A,#N/A,FALSE,"New External - 15";#N/A,#N/A,FALSE,"Total Excl. Corp Internal";#N/A,#N/A,FALSE,"Total Excl. Corp External";#N/A,#N/A,FALSE,"Total Internal";#N/A,#N/A,FALSE,"Total External"}</definedName>
    <definedName name="david" localSheetId="6" hidden="1">{#N/A,#N/A,FALSE,"ACQ_GRAPHS";#N/A,#N/A,FALSE,"T_1 GRAPHS";#N/A,#N/A,FALSE,"T_2 GRAPHS";#N/A,#N/A,FALSE,"COMB_GRAPHS"}</definedName>
    <definedName name="david" hidden="1">{#N/A,#N/A,FALSE,"ACQ_GRAPHS";#N/A,#N/A,FALSE,"T_1 GRAPHS";#N/A,#N/A,FALSE,"T_2 GRAPHS";#N/A,#N/A,FALSE,"COMB_GRAPHS"}</definedName>
    <definedName name="Daxal" localSheetId="6" hidden="1">{"VIEW1",#N/A,FALSE,"P&amp;L Account 2001-2002";"VIEW2",#N/A,FALSE,"P&amp;L Account 2001-2002";"VIEW3",#N/A,FALSE,"P&amp;L Account 2001-2002";"VIEW4",#N/A,FALSE,"P&amp;L Account 2001-2002"}</definedName>
    <definedName name="Daxal" hidden="1">{"VIEW1",#N/A,FALSE,"P&amp;L Account 2001-2002";"VIEW2",#N/A,FALSE,"P&amp;L Account 2001-2002";"VIEW3",#N/A,FALSE,"P&amp;L Account 2001-2002";"VIEW4",#N/A,FALSE,"P&amp;L Account 2001-2002"}</definedName>
    <definedName name="DayEnd">#REF!</definedName>
    <definedName name="Days">#REF!</definedName>
    <definedName name="Days_in_year" localSheetId="0">#REF!</definedName>
    <definedName name="Days_in_year">#REF!</definedName>
    <definedName name="Days_Inventory_on_Hand">#REF!</definedName>
    <definedName name="DAYS_PAY_OUTST" hidden="1">"DAYS_PAY_OUTST"</definedName>
    <definedName name="Days_Payable_Outstanding">#REF!</definedName>
    <definedName name="DAYS_SALES_OUTST" hidden="1">"DAYS_SALES_OUTST"</definedName>
    <definedName name="Days_Sales_Outstanding">#REF!</definedName>
    <definedName name="DaysInYear">#REF!</definedName>
    <definedName name="DB">#REF!</definedName>
    <definedName name="dbase_char_set" hidden="1">1</definedName>
    <definedName name="dbase_compatibility" hidden="1">1</definedName>
    <definedName name="dbase_dflt" hidden="1">TRUE</definedName>
    <definedName name="DBEST" hidden="1">#REF!</definedName>
    <definedName name="DBNAME1">#REF!</definedName>
    <definedName name="DBNAME2">#REF!</definedName>
    <definedName name="DBOCT" hidden="1">#REF!</definedName>
    <definedName name="DBVE">#REF!</definedName>
    <definedName name="DCalNext">#REF!</definedName>
    <definedName name="DCalNow">#REF!</definedName>
    <definedName name="DCF" localSheetId="0" hidden="1">{#N/A,#N/A,FALSE,"DCF Summary";#N/A,#N/A,FALSE,"Casema";#N/A,#N/A,FALSE,"Casema NoTel";#N/A,#N/A,FALSE,"UK";#N/A,#N/A,FALSE,"RCF";#N/A,#N/A,FALSE,"Intercable CZ";#N/A,#N/A,FALSE,"Interkabel P"}</definedName>
    <definedName name="DCF" localSheetId="6" hidden="1">{#N/A,#N/A,FALSE,"DCF Summary";#N/A,#N/A,FALSE,"Casema";#N/A,#N/A,FALSE,"Casema NoTel";#N/A,#N/A,FALSE,"UK";#N/A,#N/A,FALSE,"RCF";#N/A,#N/A,FALSE,"Intercable CZ";#N/A,#N/A,FALSE,"Interkabel P"}</definedName>
    <definedName name="DCF" hidden="1">{#N/A,#N/A,FALSE,"DCF Summary";#N/A,#N/A,FALSE,"Casema";#N/A,#N/A,FALSE,"Casema NoTel";#N/A,#N/A,FALSE,"UK";#N/A,#N/A,FALSE,"RCF";#N/A,#N/A,FALSE,"Intercable CZ";#N/A,#N/A,FALSE,"Interkabel P"}</definedName>
    <definedName name="DCF_" localSheetId="0"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localSheetId="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ompPrice">#REF!</definedName>
    <definedName name="dConPreDiff">#REF!</definedName>
    <definedName name="dd" localSheetId="0" hidden="1">{#N/A,#N/A,TRUE,"PROFIT 11-95"}</definedName>
    <definedName name="dd" localSheetId="6" hidden="1">{#N/A,#N/A,TRUE,"PROFIT 11-95"}</definedName>
    <definedName name="dd" hidden="1">{#N/A,#N/A,TRUE,"PROFIT 11-95"}</definedName>
    <definedName name="dd_1" localSheetId="0" hidden="1">{#N/A,#N/A,FALSE,"Pharm";#N/A,#N/A,FALSE,"WWCM"}</definedName>
    <definedName name="dd_1" localSheetId="6" hidden="1">{#N/A,#N/A,FALSE,"Pharm";#N/A,#N/A,FALSE,"WWCM"}</definedName>
    <definedName name="dd_1" hidden="1">{#N/A,#N/A,FALSE,"Pharm";#N/A,#N/A,FALSE,"WWCM"}</definedName>
    <definedName name="dd_1_1" localSheetId="0" hidden="1">{#N/A,#N/A,FALSE,"Pharm";#N/A,#N/A,FALSE,"WWCM"}</definedName>
    <definedName name="dd_1_1" localSheetId="6" hidden="1">{#N/A,#N/A,FALSE,"Pharm";#N/A,#N/A,FALSE,"WWCM"}</definedName>
    <definedName name="dd_1_1" hidden="1">{#N/A,#N/A,FALSE,"Pharm";#N/A,#N/A,FALSE,"WWCM"}</definedName>
    <definedName name="dd_2" localSheetId="0" hidden="1">{#N/A,#N/A,FALSE,"Pharm";#N/A,#N/A,FALSE,"WWCM"}</definedName>
    <definedName name="dd_2" localSheetId="6" hidden="1">{#N/A,#N/A,FALSE,"Pharm";#N/A,#N/A,FALSE,"WWCM"}</definedName>
    <definedName name="dd_2" hidden="1">{#N/A,#N/A,FALSE,"Pharm";#N/A,#N/A,FALSE,"WWCM"}</definedName>
    <definedName name="dd_3" localSheetId="0" hidden="1">{#N/A,#N/A,FALSE,"Pharm";#N/A,#N/A,FALSE,"WWCM"}</definedName>
    <definedName name="dd_3" localSheetId="6" hidden="1">{#N/A,#N/A,FALSE,"Pharm";#N/A,#N/A,FALSE,"WWCM"}</definedName>
    <definedName name="dd_3" hidden="1">{#N/A,#N/A,FALSE,"Pharm";#N/A,#N/A,FALSE,"WWCM"}</definedName>
    <definedName name="dd_4" localSheetId="0" hidden="1">{#N/A,#N/A,FALSE,"Pharm";#N/A,#N/A,FALSE,"WWCM"}</definedName>
    <definedName name="dd_4" localSheetId="6" hidden="1">{#N/A,#N/A,FALSE,"Pharm";#N/A,#N/A,FALSE,"WWCM"}</definedName>
    <definedName name="dd_4" hidden="1">{#N/A,#N/A,FALSE,"Pharm";#N/A,#N/A,FALSE,"WWCM"}</definedName>
    <definedName name="dd_5" localSheetId="0" hidden="1">{#N/A,#N/A,FALSE,"Pharm";#N/A,#N/A,FALSE,"WWCM"}</definedName>
    <definedName name="dd_5" localSheetId="6" hidden="1">{#N/A,#N/A,FALSE,"Pharm";#N/A,#N/A,FALSE,"WWCM"}</definedName>
    <definedName name="dd_5" hidden="1">{#N/A,#N/A,FALSE,"Pharm";#N/A,#N/A,FALSE,"WWCM"}</definedName>
    <definedName name="ddd" localSheetId="0" hidden="1">{"'INDICE'!$A$1:$K$13","'1'!$A$1:$CC$78","'2'!$A$1:$P$78","'3'!$A$1:$CI$78","'4'!$A$1:$Q$78"}</definedName>
    <definedName name="ddd" localSheetId="6" hidden="1">{"'INDICE'!$A$1:$K$13","'1'!$A$1:$CC$78","'2'!$A$1:$P$78","'3'!$A$1:$CI$78","'4'!$A$1:$Q$78"}</definedName>
    <definedName name="ddd" hidden="1">{"'INDICE'!$A$1:$K$13","'1'!$A$1:$CC$78","'2'!$A$1:$P$78","'3'!$A$1:$CI$78","'4'!$A$1:$Q$78"}</definedName>
    <definedName name="ddd_1" localSheetId="0" hidden="1">{"'INDICE'!$A$1:$K$13","'1'!$A$1:$CC$78","'2'!$A$1:$P$78","'3'!$A$1:$CI$78","'4'!$A$1:$Q$78"}</definedName>
    <definedName name="ddd_1" localSheetId="6" hidden="1">{"'INDICE'!$A$1:$K$13","'1'!$A$1:$CC$78","'2'!$A$1:$P$78","'3'!$A$1:$CI$78","'4'!$A$1:$Q$78"}</definedName>
    <definedName name="ddd_1" hidden="1">{"'INDICE'!$A$1:$K$13","'1'!$A$1:$CC$78","'2'!$A$1:$P$78","'3'!$A$1:$CI$78","'4'!$A$1:$Q$78"}</definedName>
    <definedName name="ddd_1_1" localSheetId="0" hidden="1">{#N/A,#N/A,FALSE,"Pharm";#N/A,#N/A,FALSE,"WWCM"}</definedName>
    <definedName name="ddd_1_1" localSheetId="6" hidden="1">{#N/A,#N/A,FALSE,"Pharm";#N/A,#N/A,FALSE,"WWCM"}</definedName>
    <definedName name="ddd_1_1" hidden="1">{#N/A,#N/A,FALSE,"Pharm";#N/A,#N/A,FALSE,"WWCM"}</definedName>
    <definedName name="ddd_2" localSheetId="0" hidden="1">{#N/A,#N/A,FALSE,"Pharm";#N/A,#N/A,FALSE,"WWCM"}</definedName>
    <definedName name="ddd_2" localSheetId="6" hidden="1">{#N/A,#N/A,FALSE,"Pharm";#N/A,#N/A,FALSE,"WWCM"}</definedName>
    <definedName name="ddd_2" hidden="1">{#N/A,#N/A,FALSE,"Pharm";#N/A,#N/A,FALSE,"WWCM"}</definedName>
    <definedName name="ddd_3" localSheetId="0" hidden="1">{#N/A,#N/A,FALSE,"Pharm";#N/A,#N/A,FALSE,"WWCM"}</definedName>
    <definedName name="ddd_3" localSheetId="6" hidden="1">{#N/A,#N/A,FALSE,"Pharm";#N/A,#N/A,FALSE,"WWCM"}</definedName>
    <definedName name="ddd_3" hidden="1">{#N/A,#N/A,FALSE,"Pharm";#N/A,#N/A,FALSE,"WWCM"}</definedName>
    <definedName name="ddd_4" localSheetId="0" hidden="1">{#N/A,#N/A,FALSE,"Pharm";#N/A,#N/A,FALSE,"WWCM"}</definedName>
    <definedName name="ddd_4" localSheetId="6" hidden="1">{#N/A,#N/A,FALSE,"Pharm";#N/A,#N/A,FALSE,"WWCM"}</definedName>
    <definedName name="ddd_4" hidden="1">{#N/A,#N/A,FALSE,"Pharm";#N/A,#N/A,FALSE,"WWCM"}</definedName>
    <definedName name="ddd_5" localSheetId="0" hidden="1">{#N/A,#N/A,FALSE,"Pharm";#N/A,#N/A,FALSE,"WWCM"}</definedName>
    <definedName name="ddd_5" localSheetId="6" hidden="1">{#N/A,#N/A,FALSE,"Pharm";#N/A,#N/A,FALSE,"WWCM"}</definedName>
    <definedName name="ddd_5" hidden="1">{#N/A,#N/A,FALSE,"Pharm";#N/A,#N/A,FALSE,"WWCM"}</definedName>
    <definedName name="dddaz" localSheetId="0" hidden="1">{#N/A,#N/A,FALSE,"Pharm";#N/A,#N/A,FALSE,"WWCM"}</definedName>
    <definedName name="dddaz" localSheetId="6" hidden="1">{#N/A,#N/A,FALSE,"Pharm";#N/A,#N/A,FALSE,"WWCM"}</definedName>
    <definedName name="dddaz" hidden="1">{#N/A,#N/A,FALSE,"Pharm";#N/A,#N/A,FALSE,"WWCM"}</definedName>
    <definedName name="dddaz_1" localSheetId="0" hidden="1">{#N/A,#N/A,FALSE,"Pharm";#N/A,#N/A,FALSE,"WWCM"}</definedName>
    <definedName name="dddaz_1" localSheetId="6" hidden="1">{#N/A,#N/A,FALSE,"Pharm";#N/A,#N/A,FALSE,"WWCM"}</definedName>
    <definedName name="dddaz_1" hidden="1">{#N/A,#N/A,FALSE,"Pharm";#N/A,#N/A,FALSE,"WWCM"}</definedName>
    <definedName name="dddaz_1_1" localSheetId="0" hidden="1">{#N/A,#N/A,FALSE,"Pharm";#N/A,#N/A,FALSE,"WWCM"}</definedName>
    <definedName name="dddaz_1_1" localSheetId="6" hidden="1">{#N/A,#N/A,FALSE,"Pharm";#N/A,#N/A,FALSE,"WWCM"}</definedName>
    <definedName name="dddaz_1_1" hidden="1">{#N/A,#N/A,FALSE,"Pharm";#N/A,#N/A,FALSE,"WWCM"}</definedName>
    <definedName name="dddaz_2" localSheetId="0" hidden="1">{#N/A,#N/A,FALSE,"Pharm";#N/A,#N/A,FALSE,"WWCM"}</definedName>
    <definedName name="dddaz_2" localSheetId="6" hidden="1">{#N/A,#N/A,FALSE,"Pharm";#N/A,#N/A,FALSE,"WWCM"}</definedName>
    <definedName name="dddaz_2" hidden="1">{#N/A,#N/A,FALSE,"Pharm";#N/A,#N/A,FALSE,"WWCM"}</definedName>
    <definedName name="dddaz_3" localSheetId="0" hidden="1">{#N/A,#N/A,FALSE,"Pharm";#N/A,#N/A,FALSE,"WWCM"}</definedName>
    <definedName name="dddaz_3" localSheetId="6" hidden="1">{#N/A,#N/A,FALSE,"Pharm";#N/A,#N/A,FALSE,"WWCM"}</definedName>
    <definedName name="dddaz_3" hidden="1">{#N/A,#N/A,FALSE,"Pharm";#N/A,#N/A,FALSE,"WWCM"}</definedName>
    <definedName name="dddaz_4" localSheetId="0" hidden="1">{#N/A,#N/A,FALSE,"Pharm";#N/A,#N/A,FALSE,"WWCM"}</definedName>
    <definedName name="dddaz_4" localSheetId="6" hidden="1">{#N/A,#N/A,FALSE,"Pharm";#N/A,#N/A,FALSE,"WWCM"}</definedName>
    <definedName name="dddaz_4" hidden="1">{#N/A,#N/A,FALSE,"Pharm";#N/A,#N/A,FALSE,"WWCM"}</definedName>
    <definedName name="dddaz_5" localSheetId="0" hidden="1">{#N/A,#N/A,FALSE,"Pharm";#N/A,#N/A,FALSE,"WWCM"}</definedName>
    <definedName name="dddaz_5" localSheetId="6" hidden="1">{#N/A,#N/A,FALSE,"Pharm";#N/A,#N/A,FALSE,"WWCM"}</definedName>
    <definedName name="dddaz_5" hidden="1">{#N/A,#N/A,FALSE,"Pharm";#N/A,#N/A,FALSE,"WWCM"}</definedName>
    <definedName name="ddddd"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dddd"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dddd"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dddd_1" localSheetId="6" hidden="1">{#N/A,#N/A,TRUE,"Cover";#N/A,#N/A,TRUE,"Conts";#N/A,#N/A,TRUE,"VOS";#N/A,#N/A,TRUE,"Warrington";#N/A,#N/A,TRUE,"Widnes"}</definedName>
    <definedName name="ddddd_1" hidden="1">{#N/A,#N/A,TRUE,"Cover";#N/A,#N/A,TRUE,"Conts";#N/A,#N/A,TRUE,"VOS";#N/A,#N/A,TRUE,"Warrington";#N/A,#N/A,TRUE,"Widnes"}</definedName>
    <definedName name="dddddd" localSheetId="0" hidden="1">{#N/A,#N/A,FALSE,"Pharm";#N/A,#N/A,FALSE,"WWCM"}</definedName>
    <definedName name="dddddd" localSheetId="6" hidden="1">{#N/A,#N/A,FALSE,"Pharm";#N/A,#N/A,FALSE,"WWCM"}</definedName>
    <definedName name="dddddd" hidden="1">{#N/A,#N/A,FALSE,"Pharm";#N/A,#N/A,FALSE,"WWCM"}</definedName>
    <definedName name="dddddd_1" localSheetId="0" hidden="1">{#N/A,#N/A,FALSE,"Pharm";#N/A,#N/A,FALSE,"WWCM"}</definedName>
    <definedName name="dddddd_1" localSheetId="6" hidden="1">{#N/A,#N/A,FALSE,"Pharm";#N/A,#N/A,FALSE,"WWCM"}</definedName>
    <definedName name="dddddd_1" hidden="1">{#N/A,#N/A,FALSE,"Pharm";#N/A,#N/A,FALSE,"WWCM"}</definedName>
    <definedName name="dddddd_1_1" localSheetId="0" hidden="1">{#N/A,#N/A,FALSE,"Pharm";#N/A,#N/A,FALSE,"WWCM"}</definedName>
    <definedName name="dddddd_1_1" localSheetId="6" hidden="1">{#N/A,#N/A,FALSE,"Pharm";#N/A,#N/A,FALSE,"WWCM"}</definedName>
    <definedName name="dddddd_1_1" hidden="1">{#N/A,#N/A,FALSE,"Pharm";#N/A,#N/A,FALSE,"WWCM"}</definedName>
    <definedName name="dddddd_2" localSheetId="0" hidden="1">{#N/A,#N/A,FALSE,"Pharm";#N/A,#N/A,FALSE,"WWCM"}</definedName>
    <definedName name="dddddd_2" localSheetId="6" hidden="1">{#N/A,#N/A,FALSE,"Pharm";#N/A,#N/A,FALSE,"WWCM"}</definedName>
    <definedName name="dddddd_2" hidden="1">{#N/A,#N/A,FALSE,"Pharm";#N/A,#N/A,FALSE,"WWCM"}</definedName>
    <definedName name="dddddd_3" localSheetId="0" hidden="1">{#N/A,#N/A,FALSE,"Pharm";#N/A,#N/A,FALSE,"WWCM"}</definedName>
    <definedName name="dddddd_3" localSheetId="6" hidden="1">{#N/A,#N/A,FALSE,"Pharm";#N/A,#N/A,FALSE,"WWCM"}</definedName>
    <definedName name="dddddd_3" hidden="1">{#N/A,#N/A,FALSE,"Pharm";#N/A,#N/A,FALSE,"WWCM"}</definedName>
    <definedName name="dddddd_4" localSheetId="0" hidden="1">{#N/A,#N/A,FALSE,"Pharm";#N/A,#N/A,FALSE,"WWCM"}</definedName>
    <definedName name="dddddd_4" localSheetId="6" hidden="1">{#N/A,#N/A,FALSE,"Pharm";#N/A,#N/A,FALSE,"WWCM"}</definedName>
    <definedName name="dddddd_4" hidden="1">{#N/A,#N/A,FALSE,"Pharm";#N/A,#N/A,FALSE,"WWCM"}</definedName>
    <definedName name="dddddd_5" localSheetId="0" hidden="1">{#N/A,#N/A,FALSE,"Pharm";#N/A,#N/A,FALSE,"WWCM"}</definedName>
    <definedName name="dddddd_5" localSheetId="6" hidden="1">{#N/A,#N/A,FALSE,"Pharm";#N/A,#N/A,FALSE,"WWCM"}</definedName>
    <definedName name="dddddd_5" hidden="1">{#N/A,#N/A,FALSE,"Pharm";#N/A,#N/A,FALSE,"WWCM"}</definedName>
    <definedName name="dddddddd" localSheetId="6" hidden="1">{#N/A,#N/A,TRUE,"FA 1 &amp; 2";#N/A,#N/A,TRUE,"FA 3 &amp; 4";#N/A,#N/A,TRUE,"FA 5 &amp; 6";#N/A,#N/A,TRUE,"FA 7 &amp; 8";#N/A,#N/A,TRUE,"FA 9 &amp; 10";#N/A,#N/A,TRUE,"FA 11";#N/A,#N/A,TRUE,"FA 12";#N/A,#N/A,TRUE,"FA 13";#N/A,#N/A,TRUE,"FA 14 &amp; 15"}</definedName>
    <definedName name="dddddddd" hidden="1">{#N/A,#N/A,TRUE,"FA 1 &amp; 2";#N/A,#N/A,TRUE,"FA 3 &amp; 4";#N/A,#N/A,TRUE,"FA 5 &amp; 6";#N/A,#N/A,TRUE,"FA 7 &amp; 8";#N/A,#N/A,TRUE,"FA 9 &amp; 10";#N/A,#N/A,TRUE,"FA 11";#N/A,#N/A,TRUE,"FA 12";#N/A,#N/A,TRUE,"FA 13";#N/A,#N/A,TRUE,"FA 14 &amp; 15"}</definedName>
    <definedName name="dddddddddddd" localSheetId="6" hidden="1">{#N/A,#N/A,FALSE,"Eastern";#N/A,#N/A,FALSE,"Western"}</definedName>
    <definedName name="dddddddddddd" hidden="1">{#N/A,#N/A,FALSE,"Eastern";#N/A,#N/A,FALSE,"Western"}</definedName>
    <definedName name="dddddddddddddddda" localSheetId="0" hidden="1">{#N/A,#N/A,FALSE,"Assessment";#N/A,#N/A,FALSE,"Staffing";#N/A,#N/A,FALSE,"Hires";#N/A,#N/A,FALSE,"Assumptions"}</definedName>
    <definedName name="dddddddddddddddda" localSheetId="6" hidden="1">{#N/A,#N/A,FALSE,"Assessment";#N/A,#N/A,FALSE,"Staffing";#N/A,#N/A,FALSE,"Hires";#N/A,#N/A,FALSE,"Assumptions"}</definedName>
    <definedName name="dddddddddddddddda" hidden="1">{#N/A,#N/A,FALSE,"Assessment";#N/A,#N/A,FALSE,"Staffing";#N/A,#N/A,FALSE,"Hires";#N/A,#N/A,FALSE,"Assumptions"}</definedName>
    <definedName name="dddddddddddddddda_1" localSheetId="0" hidden="1">{#N/A,#N/A,FALSE,"Assessment";#N/A,#N/A,FALSE,"Staffing";#N/A,#N/A,FALSE,"Hires";#N/A,#N/A,FALSE,"Assumptions"}</definedName>
    <definedName name="dddddddddddddddda_1" localSheetId="6" hidden="1">{#N/A,#N/A,FALSE,"Assessment";#N/A,#N/A,FALSE,"Staffing";#N/A,#N/A,FALSE,"Hires";#N/A,#N/A,FALSE,"Assumptions"}</definedName>
    <definedName name="dddddddddddddddda_1" hidden="1">{#N/A,#N/A,FALSE,"Assessment";#N/A,#N/A,FALSE,"Staffing";#N/A,#N/A,FALSE,"Hires";#N/A,#N/A,FALSE,"Assumptions"}</definedName>
    <definedName name="dddddddddddddddddddddddd" localSheetId="0" hidden="1">{#N/A,#N/A,FALSE,"Assessment";#N/A,#N/A,FALSE,"Staffing";#N/A,#N/A,FALSE,"Hires";#N/A,#N/A,FALSE,"Assumptions"}</definedName>
    <definedName name="dddddddddddddddddddddddd" localSheetId="6" hidden="1">{#N/A,#N/A,FALSE,"Assessment";#N/A,#N/A,FALSE,"Staffing";#N/A,#N/A,FALSE,"Hires";#N/A,#N/A,FALSE,"Assumptions"}</definedName>
    <definedName name="dddddddddddddddddddddddd" hidden="1">{#N/A,#N/A,FALSE,"Assessment";#N/A,#N/A,FALSE,"Staffing";#N/A,#N/A,FALSE,"Hires";#N/A,#N/A,FALSE,"Assumptions"}</definedName>
    <definedName name="dddddddddddddddddddddddd_1" localSheetId="0" hidden="1">{#N/A,#N/A,FALSE,"Assessment";#N/A,#N/A,FALSE,"Staffing";#N/A,#N/A,FALSE,"Hires";#N/A,#N/A,FALSE,"Assumptions"}</definedName>
    <definedName name="dddddddddddddddddddddddd_1" localSheetId="6" hidden="1">{#N/A,#N/A,FALSE,"Assessment";#N/A,#N/A,FALSE,"Staffing";#N/A,#N/A,FALSE,"Hires";#N/A,#N/A,FALSE,"Assumptions"}</definedName>
    <definedName name="dddddddddddddddddddddddd_1" hidden="1">{#N/A,#N/A,FALSE,"Assessment";#N/A,#N/A,FALSE,"Staffing";#N/A,#N/A,FALSE,"Hires";#N/A,#N/A,FALSE,"Assumptions"}</definedName>
    <definedName name="dddddddddddddddddde" localSheetId="0" hidden="1">{#N/A,#N/A,FALSE,"Assessment";#N/A,#N/A,FALSE,"Staffing";#N/A,#N/A,FALSE,"Hires";#N/A,#N/A,FALSE,"Assumptions"}</definedName>
    <definedName name="dddddddddddddddddde" localSheetId="6" hidden="1">{#N/A,#N/A,FALSE,"Assessment";#N/A,#N/A,FALSE,"Staffing";#N/A,#N/A,FALSE,"Hires";#N/A,#N/A,FALSE,"Assumptions"}</definedName>
    <definedName name="dddddddddddddddddde" hidden="1">{#N/A,#N/A,FALSE,"Assessment";#N/A,#N/A,FALSE,"Staffing";#N/A,#N/A,FALSE,"Hires";#N/A,#N/A,FALSE,"Assumptions"}</definedName>
    <definedName name="dddddddddddddddddde_1" localSheetId="0" hidden="1">{#N/A,#N/A,FALSE,"Assessment";#N/A,#N/A,FALSE,"Staffing";#N/A,#N/A,FALSE,"Hires";#N/A,#N/A,FALSE,"Assumptions"}</definedName>
    <definedName name="dddddddddddddddddde_1" localSheetId="6" hidden="1">{#N/A,#N/A,FALSE,"Assessment";#N/A,#N/A,FALSE,"Staffing";#N/A,#N/A,FALSE,"Hires";#N/A,#N/A,FALSE,"Assumptions"}</definedName>
    <definedName name="dddddddddddddddddde_1" hidden="1">{#N/A,#N/A,FALSE,"Assessment";#N/A,#N/A,FALSE,"Staffing";#N/A,#N/A,FALSE,"Hires";#N/A,#N/A,FALSE,"Assumptions"}</definedName>
    <definedName name="ddds" localSheetId="0" hidden="1">{"cap_structure",#N/A,FALSE,"Graph-Mkt Cap";"price",#N/A,FALSE,"Graph-Price";"ebit",#N/A,FALSE,"Graph-EBITDA";"ebitda",#N/A,FALSE,"Graph-EBITDA"}</definedName>
    <definedName name="ddds" localSheetId="6" hidden="1">{"cap_structure",#N/A,FALSE,"Graph-Mkt Cap";"price",#N/A,FALSE,"Graph-Price";"ebit",#N/A,FALSE,"Graph-EBITDA";"ebitda",#N/A,FALSE,"Graph-EBITDA"}</definedName>
    <definedName name="ddds" hidden="1">{"cap_structure",#N/A,FALSE,"Graph-Mkt Cap";"price",#N/A,FALSE,"Graph-Price";"ebit",#N/A,FALSE,"Graph-EBITDA";"ebitda",#N/A,FALSE,"Graph-EBITDA"}</definedName>
    <definedName name="dddvdb" localSheetId="6" hidden="1">{#N/A,#N/A,FALSE,"Calculator"}</definedName>
    <definedName name="dddvdb" hidden="1">{#N/A,#N/A,FALSE,"Calculator"}</definedName>
    <definedName name="dddvdb_1" localSheetId="6" hidden="1">{#N/A,#N/A,FALSE,"Calculator"}</definedName>
    <definedName name="dddvdb_1" hidden="1">{#N/A,#N/A,FALSE,"Calculator"}</definedName>
    <definedName name="ddf" localSheetId="0" hidden="1">{#N/A,#N/A,FALSE,"KA CH  (2)"}</definedName>
    <definedName name="ddf" localSheetId="6" hidden="1">{#N/A,#N/A,FALSE,"KA CH  (2)"}</definedName>
    <definedName name="ddf" hidden="1">{#N/A,#N/A,FALSE,"KA CH  (2)"}</definedName>
    <definedName name="ddf_1" localSheetId="0" hidden="1">{#N/A,#N/A,FALSE,"KA CH  (2)"}</definedName>
    <definedName name="ddf_1" localSheetId="6" hidden="1">{#N/A,#N/A,FALSE,"KA CH  (2)"}</definedName>
    <definedName name="ddf_1" hidden="1">{#N/A,#N/A,FALSE,"KA CH  (2)"}</definedName>
    <definedName name="ddf_1_1" localSheetId="0" hidden="1">{#N/A,#N/A,FALSE,"KA CH  (2)"}</definedName>
    <definedName name="ddf_1_1" localSheetId="6" hidden="1">{#N/A,#N/A,FALSE,"KA CH  (2)"}</definedName>
    <definedName name="ddf_1_1" hidden="1">{#N/A,#N/A,FALSE,"KA CH  (2)"}</definedName>
    <definedName name="ddf_2" localSheetId="0" hidden="1">{#N/A,#N/A,FALSE,"KA CH  (2)"}</definedName>
    <definedName name="ddf_2" localSheetId="6" hidden="1">{#N/A,#N/A,FALSE,"KA CH  (2)"}</definedName>
    <definedName name="ddf_2" hidden="1">{#N/A,#N/A,FALSE,"KA CH  (2)"}</definedName>
    <definedName name="ddf_3" localSheetId="0" hidden="1">{#N/A,#N/A,FALSE,"KA CH  (2)"}</definedName>
    <definedName name="ddf_3" localSheetId="6" hidden="1">{#N/A,#N/A,FALSE,"KA CH  (2)"}</definedName>
    <definedName name="ddf_3" hidden="1">{#N/A,#N/A,FALSE,"KA CH  (2)"}</definedName>
    <definedName name="ddf_4" localSheetId="0" hidden="1">{#N/A,#N/A,FALSE,"KA CH  (2)"}</definedName>
    <definedName name="ddf_4" localSheetId="6" hidden="1">{#N/A,#N/A,FALSE,"KA CH  (2)"}</definedName>
    <definedName name="ddf_4" hidden="1">{#N/A,#N/A,FALSE,"KA CH  (2)"}</definedName>
    <definedName name="ddf_5" localSheetId="0" hidden="1">{#N/A,#N/A,FALSE,"KA CH  (2)"}</definedName>
    <definedName name="ddf_5" localSheetId="6" hidden="1">{#N/A,#N/A,FALSE,"KA CH  (2)"}</definedName>
    <definedName name="ddf_5" hidden="1">{#N/A,#N/A,FALSE,"KA CH  (2)"}</definedName>
    <definedName name="ddsad" localSheetId="0" hidden="1">{#N/A,#N/A,FALSE,"Overview";#N/A,#N/A,FALSE,"ProfitAnalysis";#N/A,#N/A,FALSE,"Cashflow";#N/A,#N/A,FALSE,"Capital";#N/A,#N/A,FALSE,"CapDelta";#N/A,#N/A,FALSE,"Grad&amp;Pric"}</definedName>
    <definedName name="ddsad" localSheetId="6" hidden="1">{#N/A,#N/A,FALSE,"Overview";#N/A,#N/A,FALSE,"ProfitAnalysis";#N/A,#N/A,FALSE,"Cashflow";#N/A,#N/A,FALSE,"Capital";#N/A,#N/A,FALSE,"CapDelta";#N/A,#N/A,FALSE,"Grad&amp;Pric"}</definedName>
    <definedName name="ddsad" hidden="1">{#N/A,#N/A,FALSE,"Overview";#N/A,#N/A,FALSE,"ProfitAnalysis";#N/A,#N/A,FALSE,"Cashflow";#N/A,#N/A,FALSE,"Capital";#N/A,#N/A,FALSE,"CapDelta";#N/A,#N/A,FALSE,"Grad&amp;Pric"}</definedName>
    <definedName name="ddssdsds">#REF!</definedName>
    <definedName name="de" localSheetId="0" hidden="1">{#N/A,#N/A,FALSE,"Assessment";#N/A,#N/A,FALSE,"Staffing";#N/A,#N/A,FALSE,"Hires";#N/A,#N/A,FALSE,"Assumptions"}</definedName>
    <definedName name="de" localSheetId="6" hidden="1">{#N/A,#N/A,FALSE,"Assessment";#N/A,#N/A,FALSE,"Staffing";#N/A,#N/A,FALSE,"Hires";#N/A,#N/A,FALSE,"Assumptions"}</definedName>
    <definedName name="de" hidden="1">{#N/A,#N/A,FALSE,"Assessment";#N/A,#N/A,FALSE,"Staffing";#N/A,#N/A,FALSE,"Hires";#N/A,#N/A,FALSE,"Assumptions"}</definedName>
    <definedName name="de.cafga.ggg" localSheetId="6" hidden="1">{#N/A,#N/A,FALSE,"Cover";#N/A,#N/A,FALSE,"Index";#N/A,#N/A,FALSE,"Spec";#N/A,#N/A,FALSE,"Breakdown";#N/A,#N/A,FALSE,"Cost Plan"}</definedName>
    <definedName name="de.cafga.ggg" hidden="1">{#N/A,#N/A,FALSE,"Cover";#N/A,#N/A,FALSE,"Index";#N/A,#N/A,FALSE,"Spec";#N/A,#N/A,FALSE,"Breakdown";#N/A,#N/A,FALSE,"Cost Plan"}</definedName>
    <definedName name="de_1" localSheetId="0" hidden="1">{#N/A,#N/A,FALSE,"Assessment";#N/A,#N/A,FALSE,"Staffing";#N/A,#N/A,FALSE,"Hires";#N/A,#N/A,FALSE,"Assumptions"}</definedName>
    <definedName name="de_1" localSheetId="6" hidden="1">{#N/A,#N/A,FALSE,"Assessment";#N/A,#N/A,FALSE,"Staffing";#N/A,#N/A,FALSE,"Hires";#N/A,#N/A,FALSE,"Assumptions"}</definedName>
    <definedName name="de_1" hidden="1">{#N/A,#N/A,FALSE,"Assessment";#N/A,#N/A,FALSE,"Staffing";#N/A,#N/A,FALSE,"Hires";#N/A,#N/A,FALSE,"Assumptions"}</definedName>
    <definedName name="DE_1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1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1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2"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2"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3"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3"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3"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4"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4"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4"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5"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5"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_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deal"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eal"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eal"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ealDate">#REF!</definedName>
    <definedName name="DealDateE">#REF!</definedName>
    <definedName name="DealDateT">#REF!</definedName>
    <definedName name="Dealpb" hidden="1">#REF!</definedName>
    <definedName name="DeaTermResPct">#REF!</definedName>
    <definedName name="debtors" localSheetId="4">Assumptions</definedName>
    <definedName name="debtors" localSheetId="0">Assumptions</definedName>
    <definedName name="debtors" localSheetId="2">Assumptions</definedName>
    <definedName name="debtors" localSheetId="6">Assumptions</definedName>
    <definedName name="debtors">Assumptions</definedName>
    <definedName name="DEC" localSheetId="0" hidden="1">{#N/A,#N/A,FALSE,"Tabl. H1";#N/A,#N/A,FALSE,"Tabl. H2"}</definedName>
    <definedName name="DEC" localSheetId="6" hidden="1">{#N/A,#N/A,FALSE,"Tabl. H1";#N/A,#N/A,FALSE,"Tabl. H2"}</definedName>
    <definedName name="DEC" hidden="1">{#N/A,#N/A,FALSE,"Tabl. H1";#N/A,#N/A,FALSE,"Tabl. H2"}</definedName>
    <definedName name="Dec_169">#REF!</definedName>
    <definedName name="Deckblatt"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Deckblatt"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Dectotal">#REF!</definedName>
    <definedName name="Ded_Fix">#REF!</definedName>
    <definedName name="Ded_Fix_Inc">#REF!</definedName>
    <definedName name="Ded_Fund">#REF!</definedName>
    <definedName name="Ded_Mort">#REF!</definedName>
    <definedName name="dede" localSheetId="0" hidden="1">{#N/A,#N/A,FALSE,"Pharm";#N/A,#N/A,FALSE,"WWCM"}</definedName>
    <definedName name="dede" localSheetId="6" hidden="1">{#N/A,#N/A,FALSE,"Pharm";#N/A,#N/A,FALSE,"WWCM"}</definedName>
    <definedName name="dede" hidden="1">{#N/A,#N/A,FALSE,"Pharm";#N/A,#N/A,FALSE,"WWCM"}</definedName>
    <definedName name="dede_1" localSheetId="0" hidden="1">{#N/A,#N/A,FALSE,"Pharm";#N/A,#N/A,FALSE,"WWCM"}</definedName>
    <definedName name="dede_1" localSheetId="6" hidden="1">{#N/A,#N/A,FALSE,"Pharm";#N/A,#N/A,FALSE,"WWCM"}</definedName>
    <definedName name="dede_1" hidden="1">{#N/A,#N/A,FALSE,"Pharm";#N/A,#N/A,FALSE,"WWCM"}</definedName>
    <definedName name="dede_1_1" localSheetId="0" hidden="1">{#N/A,#N/A,FALSE,"Pharm";#N/A,#N/A,FALSE,"WWCM"}</definedName>
    <definedName name="dede_1_1" localSheetId="6" hidden="1">{#N/A,#N/A,FALSE,"Pharm";#N/A,#N/A,FALSE,"WWCM"}</definedName>
    <definedName name="dede_1_1" hidden="1">{#N/A,#N/A,FALSE,"Pharm";#N/A,#N/A,FALSE,"WWCM"}</definedName>
    <definedName name="dede_2" localSheetId="0" hidden="1">{#N/A,#N/A,FALSE,"Pharm";#N/A,#N/A,FALSE,"WWCM"}</definedName>
    <definedName name="dede_2" localSheetId="6" hidden="1">{#N/A,#N/A,FALSE,"Pharm";#N/A,#N/A,FALSE,"WWCM"}</definedName>
    <definedName name="dede_2" hidden="1">{#N/A,#N/A,FALSE,"Pharm";#N/A,#N/A,FALSE,"WWCM"}</definedName>
    <definedName name="dede_3" localSheetId="0" hidden="1">{#N/A,#N/A,FALSE,"Pharm";#N/A,#N/A,FALSE,"WWCM"}</definedName>
    <definedName name="dede_3" localSheetId="6" hidden="1">{#N/A,#N/A,FALSE,"Pharm";#N/A,#N/A,FALSE,"WWCM"}</definedName>
    <definedName name="dede_3" hidden="1">{#N/A,#N/A,FALSE,"Pharm";#N/A,#N/A,FALSE,"WWCM"}</definedName>
    <definedName name="dede_4" localSheetId="0" hidden="1">{#N/A,#N/A,FALSE,"Pharm";#N/A,#N/A,FALSE,"WWCM"}</definedName>
    <definedName name="dede_4" localSheetId="6" hidden="1">{#N/A,#N/A,FALSE,"Pharm";#N/A,#N/A,FALSE,"WWCM"}</definedName>
    <definedName name="dede_4" hidden="1">{#N/A,#N/A,FALSE,"Pharm";#N/A,#N/A,FALSE,"WWCM"}</definedName>
    <definedName name="dede_5" localSheetId="0" hidden="1">{#N/A,#N/A,FALSE,"Pharm";#N/A,#N/A,FALSE,"WWCM"}</definedName>
    <definedName name="dede_5" localSheetId="6" hidden="1">{#N/A,#N/A,FALSE,"Pharm";#N/A,#N/A,FALSE,"WWCM"}</definedName>
    <definedName name="dede_5" hidden="1">{#N/A,#N/A,FALSE,"Pharm";#N/A,#N/A,FALSE,"WWCM"}</definedName>
    <definedName name="DEDED" localSheetId="0" hidden="1">{#N/A,#N/A,FALSE,"Card";#N/A,#N/A,FALSE,"Prav";#N/A,#N/A,FALSE,"Irbe";#N/A,#N/A,FALSE,"Plavix";#N/A,#N/A,FALSE,"Capt";#N/A,#N/A,FALSE,"Fosi"}</definedName>
    <definedName name="DEDED" localSheetId="6" hidden="1">{#N/A,#N/A,FALSE,"Card";#N/A,#N/A,FALSE,"Prav";#N/A,#N/A,FALSE,"Irbe";#N/A,#N/A,FALSE,"Plavix";#N/A,#N/A,FALSE,"Capt";#N/A,#N/A,FALSE,"Fosi"}</definedName>
    <definedName name="DEDED" hidden="1">{#N/A,#N/A,FALSE,"Card";#N/A,#N/A,FALSE,"Prav";#N/A,#N/A,FALSE,"Irbe";#N/A,#N/A,FALSE,"Plavix";#N/A,#N/A,FALSE,"Capt";#N/A,#N/A,FALSE,"Fosi"}</definedName>
    <definedName name="DEDED_1" localSheetId="0" hidden="1">{#N/A,#N/A,FALSE,"Card";#N/A,#N/A,FALSE,"Prav";#N/A,#N/A,FALSE,"Irbe";#N/A,#N/A,FALSE,"Plavix";#N/A,#N/A,FALSE,"Capt";#N/A,#N/A,FALSE,"Fosi"}</definedName>
    <definedName name="DEDED_1" localSheetId="6" hidden="1">{#N/A,#N/A,FALSE,"Card";#N/A,#N/A,FALSE,"Prav";#N/A,#N/A,FALSE,"Irbe";#N/A,#N/A,FALSE,"Plavix";#N/A,#N/A,FALSE,"Capt";#N/A,#N/A,FALSE,"Fosi"}</definedName>
    <definedName name="DEDED_1" hidden="1">{#N/A,#N/A,FALSE,"Card";#N/A,#N/A,FALSE,"Prav";#N/A,#N/A,FALSE,"Irbe";#N/A,#N/A,FALSE,"Plavix";#N/A,#N/A,FALSE,"Capt";#N/A,#N/A,FALSE,"Fosi"}</definedName>
    <definedName name="DEDED_1_1" localSheetId="0" hidden="1">{#N/A,#N/A,FALSE,"Card";#N/A,#N/A,FALSE,"Prav";#N/A,#N/A,FALSE,"Irbe";#N/A,#N/A,FALSE,"Plavix";#N/A,#N/A,FALSE,"Capt";#N/A,#N/A,FALSE,"Fosi"}</definedName>
    <definedName name="DEDED_1_1" localSheetId="6" hidden="1">{#N/A,#N/A,FALSE,"Card";#N/A,#N/A,FALSE,"Prav";#N/A,#N/A,FALSE,"Irbe";#N/A,#N/A,FALSE,"Plavix";#N/A,#N/A,FALSE,"Capt";#N/A,#N/A,FALSE,"Fosi"}</definedName>
    <definedName name="DEDED_1_1" hidden="1">{#N/A,#N/A,FALSE,"Card";#N/A,#N/A,FALSE,"Prav";#N/A,#N/A,FALSE,"Irbe";#N/A,#N/A,FALSE,"Plavix";#N/A,#N/A,FALSE,"Capt";#N/A,#N/A,FALSE,"Fosi"}</definedName>
    <definedName name="DEDED_2" localSheetId="0" hidden="1">{#N/A,#N/A,FALSE,"Card";#N/A,#N/A,FALSE,"Prav";#N/A,#N/A,FALSE,"Irbe";#N/A,#N/A,FALSE,"Plavix";#N/A,#N/A,FALSE,"Capt";#N/A,#N/A,FALSE,"Fosi"}</definedName>
    <definedName name="DEDED_2" localSheetId="6" hidden="1">{#N/A,#N/A,FALSE,"Card";#N/A,#N/A,FALSE,"Prav";#N/A,#N/A,FALSE,"Irbe";#N/A,#N/A,FALSE,"Plavix";#N/A,#N/A,FALSE,"Capt";#N/A,#N/A,FALSE,"Fosi"}</definedName>
    <definedName name="DEDED_2" hidden="1">{#N/A,#N/A,FALSE,"Card";#N/A,#N/A,FALSE,"Prav";#N/A,#N/A,FALSE,"Irbe";#N/A,#N/A,FALSE,"Plavix";#N/A,#N/A,FALSE,"Capt";#N/A,#N/A,FALSE,"Fosi"}</definedName>
    <definedName name="DEDED_3" localSheetId="0" hidden="1">{#N/A,#N/A,FALSE,"Card";#N/A,#N/A,FALSE,"Prav";#N/A,#N/A,FALSE,"Irbe";#N/A,#N/A,FALSE,"Plavix";#N/A,#N/A,FALSE,"Capt";#N/A,#N/A,FALSE,"Fosi"}</definedName>
    <definedName name="DEDED_3" localSheetId="6" hidden="1">{#N/A,#N/A,FALSE,"Card";#N/A,#N/A,FALSE,"Prav";#N/A,#N/A,FALSE,"Irbe";#N/A,#N/A,FALSE,"Plavix";#N/A,#N/A,FALSE,"Capt";#N/A,#N/A,FALSE,"Fosi"}</definedName>
    <definedName name="DEDED_3" hidden="1">{#N/A,#N/A,FALSE,"Card";#N/A,#N/A,FALSE,"Prav";#N/A,#N/A,FALSE,"Irbe";#N/A,#N/A,FALSE,"Plavix";#N/A,#N/A,FALSE,"Capt";#N/A,#N/A,FALSE,"Fosi"}</definedName>
    <definedName name="DEDED_4" localSheetId="0" hidden="1">{#N/A,#N/A,FALSE,"Card";#N/A,#N/A,FALSE,"Prav";#N/A,#N/A,FALSE,"Irbe";#N/A,#N/A,FALSE,"Plavix";#N/A,#N/A,FALSE,"Capt";#N/A,#N/A,FALSE,"Fosi"}</definedName>
    <definedName name="DEDED_4" localSheetId="6" hidden="1">{#N/A,#N/A,FALSE,"Card";#N/A,#N/A,FALSE,"Prav";#N/A,#N/A,FALSE,"Irbe";#N/A,#N/A,FALSE,"Plavix";#N/A,#N/A,FALSE,"Capt";#N/A,#N/A,FALSE,"Fosi"}</definedName>
    <definedName name="DEDED_4" hidden="1">{#N/A,#N/A,FALSE,"Card";#N/A,#N/A,FALSE,"Prav";#N/A,#N/A,FALSE,"Irbe";#N/A,#N/A,FALSE,"Plavix";#N/A,#N/A,FALSE,"Capt";#N/A,#N/A,FALSE,"Fosi"}</definedName>
    <definedName name="DEDED_5" localSheetId="0" hidden="1">{#N/A,#N/A,FALSE,"Card";#N/A,#N/A,FALSE,"Prav";#N/A,#N/A,FALSE,"Irbe";#N/A,#N/A,FALSE,"Plavix";#N/A,#N/A,FALSE,"Capt";#N/A,#N/A,FALSE,"Fosi"}</definedName>
    <definedName name="DEDED_5" localSheetId="6" hidden="1">{#N/A,#N/A,FALSE,"Card";#N/A,#N/A,FALSE,"Prav";#N/A,#N/A,FALSE,"Irbe";#N/A,#N/A,FALSE,"Plavix";#N/A,#N/A,FALSE,"Capt";#N/A,#N/A,FALSE,"Fosi"}</definedName>
    <definedName name="DEDED_5" hidden="1">{#N/A,#N/A,FALSE,"Card";#N/A,#N/A,FALSE,"Prav";#N/A,#N/A,FALSE,"Irbe";#N/A,#N/A,FALSE,"Plavix";#N/A,#N/A,FALSE,"Capt";#N/A,#N/A,FALSE,"Fosi"}</definedName>
    <definedName name="DEDEDZE" localSheetId="0" hidden="1">{#N/A,#N/A,FALSE,"Pharm";#N/A,#N/A,FALSE,"WWCM"}</definedName>
    <definedName name="DEDEDZE" localSheetId="6" hidden="1">{#N/A,#N/A,FALSE,"Pharm";#N/A,#N/A,FALSE,"WWCM"}</definedName>
    <definedName name="DEDEDZE" hidden="1">{#N/A,#N/A,FALSE,"Pharm";#N/A,#N/A,FALSE,"WWCM"}</definedName>
    <definedName name="DEDEDZE_1" localSheetId="0" hidden="1">{#N/A,#N/A,FALSE,"Pharm";#N/A,#N/A,FALSE,"WWCM"}</definedName>
    <definedName name="DEDEDZE_1" localSheetId="6" hidden="1">{#N/A,#N/A,FALSE,"Pharm";#N/A,#N/A,FALSE,"WWCM"}</definedName>
    <definedName name="DEDEDZE_1" hidden="1">{#N/A,#N/A,FALSE,"Pharm";#N/A,#N/A,FALSE,"WWCM"}</definedName>
    <definedName name="DEDEDZE_1_1" localSheetId="0" hidden="1">{#N/A,#N/A,FALSE,"Pharm";#N/A,#N/A,FALSE,"WWCM"}</definedName>
    <definedName name="DEDEDZE_1_1" localSheetId="6" hidden="1">{#N/A,#N/A,FALSE,"Pharm";#N/A,#N/A,FALSE,"WWCM"}</definedName>
    <definedName name="DEDEDZE_1_1" hidden="1">{#N/A,#N/A,FALSE,"Pharm";#N/A,#N/A,FALSE,"WWCM"}</definedName>
    <definedName name="DEDEDZE_2" localSheetId="0" hidden="1">{#N/A,#N/A,FALSE,"Pharm";#N/A,#N/A,FALSE,"WWCM"}</definedName>
    <definedName name="DEDEDZE_2" localSheetId="6" hidden="1">{#N/A,#N/A,FALSE,"Pharm";#N/A,#N/A,FALSE,"WWCM"}</definedName>
    <definedName name="DEDEDZE_2" hidden="1">{#N/A,#N/A,FALSE,"Pharm";#N/A,#N/A,FALSE,"WWCM"}</definedName>
    <definedName name="DEDEDZE_3" localSheetId="0" hidden="1">{#N/A,#N/A,FALSE,"Pharm";#N/A,#N/A,FALSE,"WWCM"}</definedName>
    <definedName name="DEDEDZE_3" localSheetId="6" hidden="1">{#N/A,#N/A,FALSE,"Pharm";#N/A,#N/A,FALSE,"WWCM"}</definedName>
    <definedName name="DEDEDZE_3" hidden="1">{#N/A,#N/A,FALSE,"Pharm";#N/A,#N/A,FALSE,"WWCM"}</definedName>
    <definedName name="DEDEDZE_4" localSheetId="0" hidden="1">{#N/A,#N/A,FALSE,"Pharm";#N/A,#N/A,FALSE,"WWCM"}</definedName>
    <definedName name="DEDEDZE_4" localSheetId="6" hidden="1">{#N/A,#N/A,FALSE,"Pharm";#N/A,#N/A,FALSE,"WWCM"}</definedName>
    <definedName name="DEDEDZE_4" hidden="1">{#N/A,#N/A,FALSE,"Pharm";#N/A,#N/A,FALSE,"WWCM"}</definedName>
    <definedName name="DEDEDZE_5" localSheetId="0" hidden="1">{#N/A,#N/A,FALSE,"Pharm";#N/A,#N/A,FALSE,"WWCM"}</definedName>
    <definedName name="DEDEDZE_5" localSheetId="6" hidden="1">{#N/A,#N/A,FALSE,"Pharm";#N/A,#N/A,FALSE,"WWCM"}</definedName>
    <definedName name="DEDEDZE_5" hidden="1">{#N/A,#N/A,FALSE,"Pharm";#N/A,#N/A,FALSE,"WWCM"}</definedName>
    <definedName name="DEDZD" localSheetId="0" hidden="1">{#N/A,#N/A,FALSE,"Pharm";#N/A,#N/A,FALSE,"WWCM"}</definedName>
    <definedName name="DEDZD" localSheetId="6" hidden="1">{#N/A,#N/A,FALSE,"Pharm";#N/A,#N/A,FALSE,"WWCM"}</definedName>
    <definedName name="DEDZD" hidden="1">{#N/A,#N/A,FALSE,"Pharm";#N/A,#N/A,FALSE,"WWCM"}</definedName>
    <definedName name="DEDZD_1" localSheetId="0" hidden="1">{#N/A,#N/A,FALSE,"Pharm";#N/A,#N/A,FALSE,"WWCM"}</definedName>
    <definedName name="DEDZD_1" localSheetId="6" hidden="1">{#N/A,#N/A,FALSE,"Pharm";#N/A,#N/A,FALSE,"WWCM"}</definedName>
    <definedName name="DEDZD_1" hidden="1">{#N/A,#N/A,FALSE,"Pharm";#N/A,#N/A,FALSE,"WWCM"}</definedName>
    <definedName name="DEDZD_1_1" localSheetId="0" hidden="1">{#N/A,#N/A,FALSE,"Pharm";#N/A,#N/A,FALSE,"WWCM"}</definedName>
    <definedName name="DEDZD_1_1" localSheetId="6" hidden="1">{#N/A,#N/A,FALSE,"Pharm";#N/A,#N/A,FALSE,"WWCM"}</definedName>
    <definedName name="DEDZD_1_1" hidden="1">{#N/A,#N/A,FALSE,"Pharm";#N/A,#N/A,FALSE,"WWCM"}</definedName>
    <definedName name="DEDZD_2" localSheetId="0" hidden="1">{#N/A,#N/A,FALSE,"Pharm";#N/A,#N/A,FALSE,"WWCM"}</definedName>
    <definedName name="DEDZD_2" localSheetId="6" hidden="1">{#N/A,#N/A,FALSE,"Pharm";#N/A,#N/A,FALSE,"WWCM"}</definedName>
    <definedName name="DEDZD_2" hidden="1">{#N/A,#N/A,FALSE,"Pharm";#N/A,#N/A,FALSE,"WWCM"}</definedName>
    <definedName name="DEDZD_3" localSheetId="0" hidden="1">{#N/A,#N/A,FALSE,"Pharm";#N/A,#N/A,FALSE,"WWCM"}</definedName>
    <definedName name="DEDZD_3" localSheetId="6" hidden="1">{#N/A,#N/A,FALSE,"Pharm";#N/A,#N/A,FALSE,"WWCM"}</definedName>
    <definedName name="DEDZD_3" hidden="1">{#N/A,#N/A,FALSE,"Pharm";#N/A,#N/A,FALSE,"WWCM"}</definedName>
    <definedName name="DEDZD_4" localSheetId="0" hidden="1">{#N/A,#N/A,FALSE,"Pharm";#N/A,#N/A,FALSE,"WWCM"}</definedName>
    <definedName name="DEDZD_4" localSheetId="6" hidden="1">{#N/A,#N/A,FALSE,"Pharm";#N/A,#N/A,FALSE,"WWCM"}</definedName>
    <definedName name="DEDZD_4" hidden="1">{#N/A,#N/A,FALSE,"Pharm";#N/A,#N/A,FALSE,"WWCM"}</definedName>
    <definedName name="DEDZD_5" localSheetId="0" hidden="1">{#N/A,#N/A,FALSE,"Pharm";#N/A,#N/A,FALSE,"WWCM"}</definedName>
    <definedName name="DEDZD_5" localSheetId="6" hidden="1">{#N/A,#N/A,FALSE,"Pharm";#N/A,#N/A,FALSE,"WWCM"}</definedName>
    <definedName name="DEDZD_5" hidden="1">{#N/A,#N/A,FALSE,"Pharm";#N/A,#N/A,FALSE,"WWCM"}</definedName>
    <definedName name="dee" localSheetId="0" hidden="1">{#N/A,#N/A,FALSE,"Trading-Mult ";#N/A,#N/A,FALSE,"Trading-Cap";#N/A,#N/A,FALSE,"Trading-Inc";#N/A,#N/A,FALSE,"Cash Flow";#N/A,#N/A,FALSE,"M&amp;A info"}</definedName>
    <definedName name="dee" localSheetId="6" hidden="1">{#N/A,#N/A,FALSE,"Trading-Mult ";#N/A,#N/A,FALSE,"Trading-Cap";#N/A,#N/A,FALSE,"Trading-Inc";#N/A,#N/A,FALSE,"Cash Flow";#N/A,#N/A,FALSE,"M&amp;A info"}</definedName>
    <definedName name="dee" hidden="1">{#N/A,#N/A,FALSE,"Trading-Mult ";#N/A,#N/A,FALSE,"Trading-Cap";#N/A,#N/A,FALSE,"Trading-Inc";#N/A,#N/A,FALSE,"Cash Flow";#N/A,#N/A,FALSE,"M&amp;A info"}</definedName>
    <definedName name="DEE_1" localSheetId="0" hidden="1">{#N/A,#N/A,FALSE,"Pharm";#N/A,#N/A,FALSE,"WWCM"}</definedName>
    <definedName name="DEE_1" localSheetId="6" hidden="1">{#N/A,#N/A,FALSE,"Pharm";#N/A,#N/A,FALSE,"WWCM"}</definedName>
    <definedName name="DEE_1" hidden="1">{#N/A,#N/A,FALSE,"Pharm";#N/A,#N/A,FALSE,"WWCM"}</definedName>
    <definedName name="DEE_1_1" localSheetId="0" hidden="1">{#N/A,#N/A,FALSE,"Pharm";#N/A,#N/A,FALSE,"WWCM"}</definedName>
    <definedName name="DEE_1_1" localSheetId="6" hidden="1">{#N/A,#N/A,FALSE,"Pharm";#N/A,#N/A,FALSE,"WWCM"}</definedName>
    <definedName name="DEE_1_1" hidden="1">{#N/A,#N/A,FALSE,"Pharm";#N/A,#N/A,FALSE,"WWCM"}</definedName>
    <definedName name="DEE_2" localSheetId="0" hidden="1">{#N/A,#N/A,FALSE,"Pharm";#N/A,#N/A,FALSE,"WWCM"}</definedName>
    <definedName name="DEE_2" localSheetId="6" hidden="1">{#N/A,#N/A,FALSE,"Pharm";#N/A,#N/A,FALSE,"WWCM"}</definedName>
    <definedName name="DEE_2" hidden="1">{#N/A,#N/A,FALSE,"Pharm";#N/A,#N/A,FALSE,"WWCM"}</definedName>
    <definedName name="DEE_3" localSheetId="0" hidden="1">{#N/A,#N/A,FALSE,"Pharm";#N/A,#N/A,FALSE,"WWCM"}</definedName>
    <definedName name="DEE_3" localSheetId="6" hidden="1">{#N/A,#N/A,FALSE,"Pharm";#N/A,#N/A,FALSE,"WWCM"}</definedName>
    <definedName name="DEE_3" hidden="1">{#N/A,#N/A,FALSE,"Pharm";#N/A,#N/A,FALSE,"WWCM"}</definedName>
    <definedName name="DEE_4" localSheetId="0" hidden="1">{#N/A,#N/A,FALSE,"Pharm";#N/A,#N/A,FALSE,"WWCM"}</definedName>
    <definedName name="DEE_4" localSheetId="6" hidden="1">{#N/A,#N/A,FALSE,"Pharm";#N/A,#N/A,FALSE,"WWCM"}</definedName>
    <definedName name="DEE_4" hidden="1">{#N/A,#N/A,FALSE,"Pharm";#N/A,#N/A,FALSE,"WWCM"}</definedName>
    <definedName name="DEE_5" localSheetId="0" hidden="1">{#N/A,#N/A,FALSE,"Pharm";#N/A,#N/A,FALSE,"WWCM"}</definedName>
    <definedName name="DEE_5" localSheetId="6" hidden="1">{#N/A,#N/A,FALSE,"Pharm";#N/A,#N/A,FALSE,"WWCM"}</definedName>
    <definedName name="DEE_5" hidden="1">{#N/A,#N/A,FALSE,"Pharm";#N/A,#N/A,FALSE,"WWCM"}</definedName>
    <definedName name="def" localSheetId="0" hidden="1">{#N/A,#N/A,FALSE,"Tabl. A1";#N/A,#N/A,FALSE,"Tabl. A1 b";#N/A,#N/A,FALSE,"Tabl. A2";#N/A,#N/A,FALSE,"Tabl. A2-1";#N/A,#N/A,FALSE,"Tabl. A2-2"}</definedName>
    <definedName name="def" localSheetId="6" hidden="1">{#N/A,#N/A,FALSE,"Tabl. A1";#N/A,#N/A,FALSE,"Tabl. A1 b";#N/A,#N/A,FALSE,"Tabl. A2";#N/A,#N/A,FALSE,"Tabl. A2-1";#N/A,#N/A,FALSE,"Tabl. A2-2"}</definedName>
    <definedName name="def" hidden="1">{#N/A,#N/A,FALSE,"Tabl. A1";#N/A,#N/A,FALSE,"Tabl. A1 b";#N/A,#N/A,FALSE,"Tabl. A2";#N/A,#N/A,FALSE,"Tabl. A2-1";#N/A,#N/A,FALSE,"Tabl. A2-2"}</definedName>
    <definedName name="DefaultList" hidden="1">#REF!</definedName>
    <definedName name="defde" hidden="1">#REF!</definedName>
    <definedName name="DEFERRED_INC_TAX" hidden="1">"DEFERRED_INC_TAX"</definedName>
    <definedName name="DEFERRED_TAXES" hidden="1">"DEFERRED_TAXES"</definedName>
    <definedName name="deg" localSheetId="0" hidden="1">{"First Page",#N/A,FALSE,"Surfactants LBO";"Second Page",#N/A,FALSE,"Surfactants LBO"}</definedName>
    <definedName name="deg" localSheetId="6" hidden="1">{"First Page",#N/A,FALSE,"Surfactants LBO";"Second Page",#N/A,FALSE,"Surfactants LBO"}</definedName>
    <definedName name="deg" hidden="1">{"First Page",#N/A,FALSE,"Surfactants LBO";"Second Page",#N/A,FALSE,"Surfactants LBO"}</definedName>
    <definedName name="dek" localSheetId="0" hidden="1">{"FS`s",#N/A,TRUE,"FS's";"Icome St",#N/A,TRUE,"Income St.";"Balance Sh",#N/A,TRUE,"Balance Sh.";"Gross Margin",#N/A,TRUE,"Gross Margin"}</definedName>
    <definedName name="dek" localSheetId="6" hidden="1">{"FS`s",#N/A,TRUE,"FS's";"Icome St",#N/A,TRUE,"Income St.";"Balance Sh",#N/A,TRUE,"Balance Sh.";"Gross Margin",#N/A,TRUE,"Gross Margin"}</definedName>
    <definedName name="dek" hidden="1">{"FS`s",#N/A,TRUE,"FS's";"Icome St",#N/A,TRUE,"Income St.";"Balance Sh",#N/A,TRUE,"Balance Sh.";"Gross Margin",#N/A,TRUE,"Gross Margin"}</definedName>
    <definedName name="delete" localSheetId="6" hidden="1">{#N/A,#N/A,TRUE,"Inflation";#N/A,#N/A,TRUE,"HCA Summary";#N/A,#N/A,TRUE,"Operating ratio graphs";#N/A,#N/A,TRUE,"HCA";#N/A,#N/A,TRUE,"Revenue";#N/A,#N/A,TRUE,"Opex";#N/A,#N/A,TRUE,"Fixed assets";#N/A,#N/A,TRUE,"Reserves"}</definedName>
    <definedName name="delete" hidden="1">{#N/A,#N/A,TRUE,"Inflation";#N/A,#N/A,TRUE,"HCA Summary";#N/A,#N/A,TRUE,"Operating ratio graphs";#N/A,#N/A,TRUE,"HCA";#N/A,#N/A,TRUE,"Revenue";#N/A,#N/A,TRUE,"Opex";#N/A,#N/A,TRUE,"Fixed assets";#N/A,#N/A,TRUE,"Reserves"}</definedName>
    <definedName name="delete_this" hidden="1">#REF!</definedName>
    <definedName name="delete_this_2" hidden="1">#REF!</definedName>
    <definedName name="delete_this_3" hidden="1">#REF!</definedName>
    <definedName name="delete_this_4" hidden="1">#REF!</definedName>
    <definedName name="delete_this_5" hidden="1">#REF!</definedName>
    <definedName name="delete_this_6" hidden="1">#REF!</definedName>
    <definedName name="delete_this_8" hidden="1">#REF!</definedName>
    <definedName name="delete_this_9" hidden="1">#REF!</definedName>
    <definedName name="delete1" localSheetId="6" hidden="1">{#N/A,#N/A,TRUE,"FA 1 &amp; 2";#N/A,#N/A,TRUE,"FA 3 &amp; 4";#N/A,#N/A,TRUE,"FA 5 &amp; 6";#N/A,#N/A,TRUE,"FA 7 &amp; 8";#N/A,#N/A,TRUE,"FA 9 &amp; 10";#N/A,#N/A,TRUE,"FA 11";#N/A,#N/A,TRUE,"FA 12";#N/A,#N/A,TRUE,"FA 13";#N/A,#N/A,TRUE,"FA 14 &amp; 15"}</definedName>
    <definedName name="delete1" hidden="1">{#N/A,#N/A,TRUE,"FA 1 &amp; 2";#N/A,#N/A,TRUE,"FA 3 &amp; 4";#N/A,#N/A,TRUE,"FA 5 &amp; 6";#N/A,#N/A,TRUE,"FA 7 &amp; 8";#N/A,#N/A,TRUE,"FA 9 &amp; 10";#N/A,#N/A,TRUE,"FA 11";#N/A,#N/A,TRUE,"FA 12";#N/A,#N/A,TRUE,"FA 13";#N/A,#N/A,TRUE,"FA 14 &amp; 15"}</definedName>
    <definedName name="delete2"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delete2"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delete3" localSheetId="6" hidden="1">{"outturn",#N/A,TRUE,"HCA";#N/A,#N/A,TRUE,"HCA Summary";#N/A,#N/A,TRUE,"Operating ratio graphs";"Profit and loss",#N/A,TRUE,"HCA"}</definedName>
    <definedName name="delete3" hidden="1">{"outturn",#N/A,TRUE,"HCA";#N/A,#N/A,TRUE,"HCA Summary";#N/A,#N/A,TRUE,"Operating ratio graphs";"Profit and loss",#N/A,TRUE,"HCA"}</definedName>
    <definedName name="delete4" localSheetId="6" hidden="1">{#N/A,#N/A,FALSE,"HCA";#N/A,#N/A,FALSE,"Revenue";#N/A,#N/A,FALSE,"Opex";#N/A,#N/A,FALSE,"AMP"}</definedName>
    <definedName name="delete4" hidden="1">{#N/A,#N/A,FALSE,"HCA";#N/A,#N/A,FALSE,"Revenue";#N/A,#N/A,FALSE,"Opex";#N/A,#N/A,FALSE,"AMP"}</definedName>
    <definedName name="delete5" localSheetId="6" hidden="1">{#N/A,#N/A,TRUE,"Provisions and pensions";#N/A,#N/A,TRUE,"AMP";#N/A,#N/A,TRUE,"Debt";#N/A,#N/A,TRUE,"WC";#N/A,#N/A,TRUE,"Cash";#N/A,#N/A,TRUE,"Divis";#N/A,#N/A,TRUE,"Tax";#N/A,#N/A,TRUE,"Losses and ACT";#N/A,#N/A,TRUE,"Profit uplifts";#N/A,#N/A,TRUE,"Enhancement data"}</definedName>
    <definedName name="delete5" hidden="1">{#N/A,#N/A,TRUE,"Provisions and pensions";#N/A,#N/A,TRUE,"AMP";#N/A,#N/A,TRUE,"Debt";#N/A,#N/A,TRUE,"WC";#N/A,#N/A,TRUE,"Cash";#N/A,#N/A,TRUE,"Divis";#N/A,#N/A,TRUE,"Tax";#N/A,#N/A,TRUE,"Losses and ACT";#N/A,#N/A,TRUE,"Profit uplifts";#N/A,#N/A,TRUE,"Enhancement data"}</definedName>
    <definedName name="delete6" localSheetId="6" hidden="1">{#N/A,#N/A,TRUE,"HCA";#N/A,#N/A,TRUE,"Tax";#N/A,#N/A,TRUE,"Losses and ACT";#N/A,#N/A,TRUE,"Divis";#N/A,#N/A,TRUE,"Reserves";#N/A,#N/A,TRUE,"Enhancement data"}</definedName>
    <definedName name="delete6" hidden="1">{#N/A,#N/A,TRUE,"HCA";#N/A,#N/A,TRUE,"Tax";#N/A,#N/A,TRUE,"Losses and ACT";#N/A,#N/A,TRUE,"Divis";#N/A,#N/A,TRUE,"Reserves";#N/A,#N/A,TRUE,"Enhancement data"}</definedName>
    <definedName name="deleteme1" localSheetId="0" hidden="1">{#N/A,#N/A,FALSE,"Summary";#N/A,#N/A,FALSE,"CF";#N/A,#N/A,FALSE,"P&amp;L";#N/A,#N/A,FALSE,"BS";#N/A,#N/A,FALSE,"Returns";#N/A,#N/A,FALSE,"Assumptions";#N/A,#N/A,FALSE,"Analysis"}</definedName>
    <definedName name="deleteme1" localSheetId="6" hidden="1">{#N/A,#N/A,FALSE,"Summary";#N/A,#N/A,FALSE,"CF";#N/A,#N/A,FALSE,"P&amp;L";#N/A,#N/A,FALSE,"BS";#N/A,#N/A,FALSE,"Returns";#N/A,#N/A,FALSE,"Assumptions";#N/A,#N/A,FALSE,"Analysis"}</definedName>
    <definedName name="deleteme1" hidden="1">{#N/A,#N/A,FALSE,"Summary";#N/A,#N/A,FALSE,"CF";#N/A,#N/A,FALSE,"P&amp;L";#N/A,#N/A,FALSE,"BS";#N/A,#N/A,FALSE,"Returns";#N/A,#N/A,FALSE,"Assumptions";#N/A,#N/A,FALSE,"Analysis"}</definedName>
    <definedName name="deleteme3" localSheetId="0" hidden="1">{#N/A,#N/A,FALSE,"Summary";#N/A,#N/A,FALSE,"CF";#N/A,#N/A,FALSE,"P&amp;L";"summary",#N/A,FALSE,"Returns";#N/A,#N/A,FALSE,"BS";"summary",#N/A,FALSE,"Analysis";#N/A,#N/A,FALSE,"Assumptions"}</definedName>
    <definedName name="deleteme3" localSheetId="6" hidden="1">{#N/A,#N/A,FALSE,"Summary";#N/A,#N/A,FALSE,"CF";#N/A,#N/A,FALSE,"P&amp;L";"summary",#N/A,FALSE,"Returns";#N/A,#N/A,FALSE,"BS";"summary",#N/A,FALSE,"Analysis";#N/A,#N/A,FALSE,"Assumptions"}</definedName>
    <definedName name="deleteme3" hidden="1">{#N/A,#N/A,FALSE,"Summary";#N/A,#N/A,FALSE,"CF";#N/A,#N/A,FALSE,"P&amp;L";"summary",#N/A,FALSE,"Returns";#N/A,#N/A,FALSE,"BS";"summary",#N/A,FALSE,"Analysis";#N/A,#N/A,FALSE,"Assumptions"}</definedName>
    <definedName name="DeleteRange" hidden="1">#REF!</definedName>
    <definedName name="DeleteTable" hidden="1">#REF!</definedName>
    <definedName name="Demand_Supply_Projected_Occupancy">#REF!</definedName>
    <definedName name="dep">#REF!</definedName>
    <definedName name="DEPRE_AMORT" hidden="1">"DEPRE_AMORT"</definedName>
    <definedName name="DEPRE_AMORT_SUPPL" hidden="1">"DEPRE_AMORT_SUPPL"</definedName>
    <definedName name="DEPRE_DEPLE" hidden="1">"DEPRE_DEPLE"</definedName>
    <definedName name="DEPRE_SUPP" hidden="1">"DEPRE_SUPP"</definedName>
    <definedName name="Depreciation_Expense">#REF!</definedName>
    <definedName name="DepreciationPB" hidden="1">#REF!</definedName>
    <definedName name="Description">#REF!</definedName>
    <definedName name="DESCRIPTION_LONG" hidden="1">"DESCRIPTION_LONG"</definedName>
    <definedName name="Details">#REF!</definedName>
    <definedName name="DEZLFEZKLHF" localSheetId="0" hidden="1">{#N/A,#N/A,FALSE,"Pharm";#N/A,#N/A,FALSE,"WWCM"}</definedName>
    <definedName name="DEZLFEZKLHF" localSheetId="6" hidden="1">{#N/A,#N/A,FALSE,"Pharm";#N/A,#N/A,FALSE,"WWCM"}</definedName>
    <definedName name="DEZLFEZKLHF" hidden="1">{#N/A,#N/A,FALSE,"Pharm";#N/A,#N/A,FALSE,"WWCM"}</definedName>
    <definedName name="DEZLFEZKLHF_1" localSheetId="0" hidden="1">{#N/A,#N/A,FALSE,"Pharm";#N/A,#N/A,FALSE,"WWCM"}</definedName>
    <definedName name="DEZLFEZKLHF_1" localSheetId="6" hidden="1">{#N/A,#N/A,FALSE,"Pharm";#N/A,#N/A,FALSE,"WWCM"}</definedName>
    <definedName name="DEZLFEZKLHF_1" hidden="1">{#N/A,#N/A,FALSE,"Pharm";#N/A,#N/A,FALSE,"WWCM"}</definedName>
    <definedName name="DEZLFEZKLHF_1_1" localSheetId="0" hidden="1">{#N/A,#N/A,FALSE,"Pharm";#N/A,#N/A,FALSE,"WWCM"}</definedName>
    <definedName name="DEZLFEZKLHF_1_1" localSheetId="6" hidden="1">{#N/A,#N/A,FALSE,"Pharm";#N/A,#N/A,FALSE,"WWCM"}</definedName>
    <definedName name="DEZLFEZKLHF_1_1" hidden="1">{#N/A,#N/A,FALSE,"Pharm";#N/A,#N/A,FALSE,"WWCM"}</definedName>
    <definedName name="DEZLFEZKLHF_2" localSheetId="0" hidden="1">{#N/A,#N/A,FALSE,"Pharm";#N/A,#N/A,FALSE,"WWCM"}</definedName>
    <definedName name="DEZLFEZKLHF_2" localSheetId="6" hidden="1">{#N/A,#N/A,FALSE,"Pharm";#N/A,#N/A,FALSE,"WWCM"}</definedName>
    <definedName name="DEZLFEZKLHF_2" hidden="1">{#N/A,#N/A,FALSE,"Pharm";#N/A,#N/A,FALSE,"WWCM"}</definedName>
    <definedName name="DEZLFEZKLHF_3" localSheetId="0" hidden="1">{#N/A,#N/A,FALSE,"Pharm";#N/A,#N/A,FALSE,"WWCM"}</definedName>
    <definedName name="DEZLFEZKLHF_3" localSheetId="6" hidden="1">{#N/A,#N/A,FALSE,"Pharm";#N/A,#N/A,FALSE,"WWCM"}</definedName>
    <definedName name="DEZLFEZKLHF_3" hidden="1">{#N/A,#N/A,FALSE,"Pharm";#N/A,#N/A,FALSE,"WWCM"}</definedName>
    <definedName name="DEZLFEZKLHF_4" localSheetId="0" hidden="1">{#N/A,#N/A,FALSE,"Pharm";#N/A,#N/A,FALSE,"WWCM"}</definedName>
    <definedName name="DEZLFEZKLHF_4" localSheetId="6" hidden="1">{#N/A,#N/A,FALSE,"Pharm";#N/A,#N/A,FALSE,"WWCM"}</definedName>
    <definedName name="DEZLFEZKLHF_4" hidden="1">{#N/A,#N/A,FALSE,"Pharm";#N/A,#N/A,FALSE,"WWCM"}</definedName>
    <definedName name="DEZLFEZKLHF_5" localSheetId="0" hidden="1">{#N/A,#N/A,FALSE,"Pharm";#N/A,#N/A,FALSE,"WWCM"}</definedName>
    <definedName name="DEZLFEZKLHF_5" localSheetId="6" hidden="1">{#N/A,#N/A,FALSE,"Pharm";#N/A,#N/A,FALSE,"WWCM"}</definedName>
    <definedName name="DEZLFEZKLHF_5" hidden="1">{#N/A,#N/A,FALSE,"Pharm";#N/A,#N/A,FALSE,"WWCM"}</definedName>
    <definedName name="df" localSheetId="6" hidden="1">{#N/A,#N/A,FALSE,"Aging Summary";#N/A,#N/A,FALSE,"Ratio Analysis";#N/A,#N/A,FALSE,"Test 120 Day Accts";#N/A,#N/A,FALSE,"Tickmarks"}</definedName>
    <definedName name="df" hidden="1">{#N/A,#N/A,FALSE,"Aging Summary";#N/A,#N/A,FALSE,"Ratio Analysis";#N/A,#N/A,FALSE,"Test 120 Day Accts";#N/A,#N/A,FALSE,"Tickmarks"}</definedName>
    <definedName name="dfa" hidden="1">"3d1133c0-0e63-4f7f-96e7-32c8e738adb0"</definedName>
    <definedName name="dfadsfkdf" localSheetId="0" hidden="1">{#N/A,#N/A,TRUE,"Cover";#N/A,#N/A,TRUE,"Sum";#N/A,#N/A,TRUE,"SubsRev";#N/A,#N/A,TRUE,"CapEx";#N/A,#N/A,TRUE,"OpEx";#N/A,#N/A,TRUE,"SUs";#N/A,#N/A,TRUE,"OrgChart";#N/A,#N/A,TRUE,"Staff";#N/A,#N/A,TRUE,"P&amp;L";#N/A,#N/A,TRUE,"Cash";#N/A,#N/A,TRUE,"BS";#N/A,#N/A,TRUE,"Valuation";#N/A,#N/A,TRUE,"CapEx-Assumptions";#N/A,#N/A,TRUE,"OpEx-Assumptions"}</definedName>
    <definedName name="dfadsfkdf" localSheetId="6" hidden="1">{#N/A,#N/A,TRUE,"Cover";#N/A,#N/A,TRUE,"Sum";#N/A,#N/A,TRUE,"SubsRev";#N/A,#N/A,TRUE,"CapEx";#N/A,#N/A,TRUE,"OpEx";#N/A,#N/A,TRUE,"SUs";#N/A,#N/A,TRUE,"OrgChart";#N/A,#N/A,TRUE,"Staff";#N/A,#N/A,TRUE,"P&amp;L";#N/A,#N/A,TRUE,"Cash";#N/A,#N/A,TRUE,"BS";#N/A,#N/A,TRUE,"Valuation";#N/A,#N/A,TRUE,"CapEx-Assumptions";#N/A,#N/A,TRUE,"OpEx-Assumptions"}</definedName>
    <definedName name="dfadsfkdf" hidden="1">{#N/A,#N/A,TRUE,"Cover";#N/A,#N/A,TRUE,"Sum";#N/A,#N/A,TRUE,"SubsRev";#N/A,#N/A,TRUE,"CapEx";#N/A,#N/A,TRUE,"OpEx";#N/A,#N/A,TRUE,"SUs";#N/A,#N/A,TRUE,"OrgChart";#N/A,#N/A,TRUE,"Staff";#N/A,#N/A,TRUE,"P&amp;L";#N/A,#N/A,TRUE,"Cash";#N/A,#N/A,TRUE,"BS";#N/A,#N/A,TRUE,"Valuation";#N/A,#N/A,TRUE,"CapEx-Assumptions";#N/A,#N/A,TRUE,"OpEx-Assumptions"}</definedName>
    <definedName name="dfafa" localSheetId="4" hidden="1">Main.SAPF4Help()</definedName>
    <definedName name="dfafa" localSheetId="0" hidden="1">Main.SAPF4Help()</definedName>
    <definedName name="dfafa" localSheetId="2" hidden="1">Main.SAPF4Help()</definedName>
    <definedName name="dfafa" localSheetId="6" hidden="1">Main.SAPF4Help()</definedName>
    <definedName name="dfafa" hidden="1">Main.SAPF4Help()</definedName>
    <definedName name="dfasdif.es" localSheetId="0" hidden="1">{#N/A,#N/A,FALSE,"PROFIT 11-95"}</definedName>
    <definedName name="dfasdif.es" localSheetId="6" hidden="1">{#N/A,#N/A,FALSE,"PROFIT 11-95"}</definedName>
    <definedName name="dfasdif.es" hidden="1">{#N/A,#N/A,FALSE,"PROFIT 11-95"}</definedName>
    <definedName name="DFASGFSADGF" localSheetId="6" hidden="1">{#N/A,#N/A,FALSE,"Aging Summary";#N/A,#N/A,FALSE,"Ratio Analysis";#N/A,#N/A,FALSE,"Test 120 Day Accts";#N/A,#N/A,FALSE,"Tickmarks"}</definedName>
    <definedName name="DFASGFSADGF" hidden="1">{#N/A,#N/A,FALSE,"Aging Summary";#N/A,#N/A,FALSE,"Ratio Analysis";#N/A,#N/A,FALSE,"Test 120 Day Accts";#N/A,#N/A,FALSE,"Tickmarks"}</definedName>
    <definedName name="dfb"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dfb"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dfb" hidden="1">{#N/A,#N/A,TRUE,"COVER2";#N/A,#N/A,TRUE,"AGENDA";#N/A,#N/A,TRUE,"Cover";#N/A,#N/A,TRUE,"4M";#N/A,#N/A,TRUE,"FLP&amp;L4M";#N/A,#N/A,TRUE,"4MMC";#N/A,#N/A,TRUE,"Shp4M";#N/A,#N/A,TRUE,"M5";#N/A,#N/A,TRUE,"Q2";#N/A,#N/A,TRUE,"Q1vsQ2";#N/A,#N/A,TRUE,"M6";#N/A,#N/A,TRUE,"TY";#N/A,#N/A,TRUE,"FLP&amp;LTY";#N/A,#N/A,TRUE,"TYMC";#N/A,#N/A,TRUE,"ShpTY";#N/A,#N/A,TRUE,"8M";#N/A,#N/A,TRUE,"FLP&amp;L8M";#N/A,#N/A,TRUE,"8MMC";#N/A,#N/A,TRUE,"Shp8M"}</definedName>
    <definedName name="dfbd" localSheetId="6" hidden="1">{#N/A,#N/A,FALSE,"Calculator"}</definedName>
    <definedName name="dfbd" hidden="1">{#N/A,#N/A,FALSE,"Calculator"}</definedName>
    <definedName name="dfbd_1" localSheetId="6" hidden="1">{#N/A,#N/A,FALSE,"Calculator"}</definedName>
    <definedName name="dfbd_1" hidden="1">{#N/A,#N/A,FALSE,"Calculator"}</definedName>
    <definedName name="dfbdb" localSheetId="6" hidden="1">{#N/A,#N/A,FALSE,"Calculator"}</definedName>
    <definedName name="dfbdb" hidden="1">{#N/A,#N/A,FALSE,"Calculator"}</definedName>
    <definedName name="dfbdb_1" localSheetId="6" hidden="1">{#N/A,#N/A,FALSE,"Calculator"}</definedName>
    <definedName name="dfbdb_1" hidden="1">{#N/A,#N/A,FALSE,"Calculator"}</definedName>
    <definedName name="dfbdfb" localSheetId="6" hidden="1">{"year1",#N/A,FALSE,"IZT";"year2",#N/A,FALSE,"IZT"}</definedName>
    <definedName name="dfbdfb" hidden="1">{"year1",#N/A,FALSE,"IZT";"year2",#N/A,FALSE,"IZT"}</definedName>
    <definedName name="dfbdfbd" localSheetId="6" hidden="1">{"year1",#N/A,FALSE,"IZT";"year2",#N/A,FALSE,"IZT"}</definedName>
    <definedName name="dfbdfbd" hidden="1">{"year1",#N/A,FALSE,"IZT";"year2",#N/A,FALSE,"IZT"}</definedName>
    <definedName name="dfd">#REF!</definedName>
    <definedName name="dfdaf" hidden="1">15</definedName>
    <definedName name="dfdasf" localSheetId="6" hidden="1">{#N/A,#N/A,FALSE,"Aging Summary";#N/A,#N/A,FALSE,"Ratio Analysis";#N/A,#N/A,FALSE,"Test 120 Day Accts";#N/A,#N/A,FALSE,"Tickmarks"}</definedName>
    <definedName name="dfdasf" hidden="1">{#N/A,#N/A,FALSE,"Aging Summary";#N/A,#N/A,FALSE,"Ratio Analysis";#N/A,#N/A,FALSE,"Test 120 Day Accts";#N/A,#N/A,FALSE,"Tickmarks"}</definedName>
    <definedName name="dfdbfdbdbdbd" localSheetId="0" hidden="1">{#N/A,#N/A,FALSE,"Assessment";#N/A,#N/A,FALSE,"Staffing";#N/A,#N/A,FALSE,"Hires";#N/A,#N/A,FALSE,"Assumptions"}</definedName>
    <definedName name="dfdbfdbdbdbd" localSheetId="6" hidden="1">{#N/A,#N/A,FALSE,"Assessment";#N/A,#N/A,FALSE,"Staffing";#N/A,#N/A,FALSE,"Hires";#N/A,#N/A,FALSE,"Assumptions"}</definedName>
    <definedName name="dfdbfdbdbdbd" hidden="1">{#N/A,#N/A,FALSE,"Assessment";#N/A,#N/A,FALSE,"Staffing";#N/A,#N/A,FALSE,"Hires";#N/A,#N/A,FALSE,"Assumptions"}</definedName>
    <definedName name="dfdbfdbdbdbd_1" localSheetId="0" hidden="1">{#N/A,#N/A,FALSE,"Assessment";#N/A,#N/A,FALSE,"Staffing";#N/A,#N/A,FALSE,"Hires";#N/A,#N/A,FALSE,"Assumptions"}</definedName>
    <definedName name="dfdbfdbdbdbd_1" localSheetId="6" hidden="1">{#N/A,#N/A,FALSE,"Assessment";#N/A,#N/A,FALSE,"Staffing";#N/A,#N/A,FALSE,"Hires";#N/A,#N/A,FALSE,"Assumptions"}</definedName>
    <definedName name="dfdbfdbdbdbd_1" hidden="1">{#N/A,#N/A,FALSE,"Assessment";#N/A,#N/A,FALSE,"Staffing";#N/A,#N/A,FALSE,"Hires";#N/A,#N/A,FALSE,"Assumptions"}</definedName>
    <definedName name="DFDD" localSheetId="0" hidden="1">{#N/A,#N/A,FALSE,"REPORT"}</definedName>
    <definedName name="DFDD" localSheetId="6" hidden="1">{#N/A,#N/A,FALSE,"REPORT"}</definedName>
    <definedName name="DFDD" hidden="1">{#N/A,#N/A,FALSE,"REPORT"}</definedName>
    <definedName name="DFDD_1" localSheetId="0" hidden="1">{#N/A,#N/A,FALSE,"REPORT"}</definedName>
    <definedName name="DFDD_1" localSheetId="6" hidden="1">{#N/A,#N/A,FALSE,"REPORT"}</definedName>
    <definedName name="DFDD_1" hidden="1">{#N/A,#N/A,FALSE,"REPORT"}</definedName>
    <definedName name="DFDD_1_1" localSheetId="0" hidden="1">{#N/A,#N/A,FALSE,"REPORT"}</definedName>
    <definedName name="DFDD_1_1" localSheetId="6" hidden="1">{#N/A,#N/A,FALSE,"REPORT"}</definedName>
    <definedName name="DFDD_1_1" hidden="1">{#N/A,#N/A,FALSE,"REPORT"}</definedName>
    <definedName name="DFDD_2" localSheetId="0" hidden="1">{#N/A,#N/A,FALSE,"REPORT"}</definedName>
    <definedName name="DFDD_2" localSheetId="6" hidden="1">{#N/A,#N/A,FALSE,"REPORT"}</definedName>
    <definedName name="DFDD_2" hidden="1">{#N/A,#N/A,FALSE,"REPORT"}</definedName>
    <definedName name="DFDD_3" localSheetId="0" hidden="1">{#N/A,#N/A,FALSE,"REPORT"}</definedName>
    <definedName name="DFDD_3" localSheetId="6" hidden="1">{#N/A,#N/A,FALSE,"REPORT"}</definedName>
    <definedName name="DFDD_3" hidden="1">{#N/A,#N/A,FALSE,"REPORT"}</definedName>
    <definedName name="DFDD_4" localSheetId="0" hidden="1">{#N/A,#N/A,FALSE,"REPORT"}</definedName>
    <definedName name="DFDD_4" localSheetId="6" hidden="1">{#N/A,#N/A,FALSE,"REPORT"}</definedName>
    <definedName name="DFDD_4" hidden="1">{#N/A,#N/A,FALSE,"REPORT"}</definedName>
    <definedName name="DFDD_5" localSheetId="0" hidden="1">{#N/A,#N/A,FALSE,"REPORT"}</definedName>
    <definedName name="DFDD_5" localSheetId="6" hidden="1">{#N/A,#N/A,FALSE,"REPORT"}</definedName>
    <definedName name="DFDD_5" hidden="1">{#N/A,#N/A,FALSE,"REPORT"}</definedName>
    <definedName name="dfde" hidden="1">#REF!</definedName>
    <definedName name="dfdfa" hidden="1">#REF!</definedName>
    <definedName name="dfdfd" localSheetId="0" hidden="1">{#N/A,#N/A,TRUE,"WaccPower";#N/A,#N/A,TRUE,"Model Assumptions";#N/A,#N/A,TRUE,"Financial Assumptions";#N/A,#N/A,TRUE,"Scenarios";#N/A,#N/A,TRUE,"SensitivitiesPower";#N/A,#N/A,TRUE,"SensitivitiesGas";#N/A,#N/A,TRUE,"Fixed Cost allocation table";#N/A,#N/A,TRUE,"SensitivitiesWater";#N/A,#N/A,TRUE,"Fixed Cost SWS Forecast";#N/A,#N/A,TRUE,"Historic balance sheet";#N/A,#N/A,TRUE,"Revenue per Client";#N/A,#N/A,TRUE,"Supply margin per Client";#N/A,#N/A,TRUE,"Multiples Calculation";#N/A,#N/A,TRUE,"Stadtwerke Comps";#N/A,#N/A,TRUE,"Electricity Comps";#N/A,#N/A,TRUE,"Gas Comps";#N/A,#N/A,TRUE,"Water Comps";#N/A,#N/A,TRUE,"DCFCoverPower";#N/A,#N/A,TRUE,"Power Volume &amp; Price Forecast";#N/A,#N/A,TRUE,"Stromabgabe 1999";#N/A,#N/A,TRUE,"RevenuesPower";#N/A,#N/A,TRUE,"Power Pricing";#N/A,#N/A,TRUE,"CostsPower";#N/A,#N/A,TRUE,"PlanPower";#N/A,#N/A,TRUE,"DCFPower";#N/A,#N/A,TRUE,"ValuePower";#N/A,#N/A,TRUE,"WaccCompPower";#N/A,#N/A,TRUE,"MatrixPower";#N/A,#N/A,TRUE,"DCFCoverGas";#N/A,#N/A,TRUE,"DCFOverviewGas";#N/A,#N/A,TRUE,"Gas Pricing";#N/A,#N/A,TRUE,"RevenuesGas";#N/A,#N/A,TRUE,"CostGas";#N/A,#N/A,TRUE,"Gas Volume &amp; Price Forecast";#N/A,#N/A,TRUE,"PlanGas";#N/A,#N/A,TRUE,"DCFGas";#N/A,#N/A,TRUE,"ValueGas";#N/A,#N/A,TRUE,"WaccGas";#N/A,#N/A,TRUE,"WaccCompGas";#N/A,#N/A,TRUE,"MatrixGas";#N/A,#N/A,TRUE,"DCFCoverWater";#N/A,#N/A,TRUE,"DCFCoverWater";#N/A,#N/A,TRUE,"Water Volume &amp; Price Forecast";#N/A,#N/A,TRUE,"Water Pricing";#N/A,#N/A,TRUE,"RevenuesWater";#N/A,#N/A,TRUE,"CostWater";#N/A,#N/A,TRUE,"PlanWater";#N/A,#N/A,TRUE,"DCFWater";#N/A,#N/A,TRUE,"ValueWater";#N/A,#N/A,TRUE,"WaccWater";#N/A,#N/A,TRUE,"WaccCompWater";#N/A,#N/A,TRUE,"MatrixWater";#N/A,#N/A,TRUE,"DCFCoverVersorgung";#N/A,#N/A,TRUE,"DCFOverviewPower";#N/A,#N/A,TRUE,"DCFOverviewWater";#N/A,#N/A,TRUE,"DCFOverviewVersorgung";#N/A,#N/A,TRUE,"PlanVersorgung";#N/A,#N/A,TRUE,"DCFVersorgung";#N/A,#N/A,TRUE,"ValueVersorgung";#N/A,#N/A,TRUE,"WaccVersorgung";#N/A,#N/A,TRUE,"WaccCompVersorgung";#N/A,#N/A,TRUE,"MatrixVersorgung"}</definedName>
    <definedName name="dfdfd" localSheetId="6" hidden="1">{#N/A,#N/A,FALSE,"Colombo";#N/A,#N/A,FALSE,"Colata";#N/A,#N/A,FALSE,"Colombo + Colata"}</definedName>
    <definedName name="dfdfd" hidden="1">{#N/A,#N/A,FALSE,"Colombo";#N/A,#N/A,FALSE,"Colata";#N/A,#N/A,FALSE,"Colombo + Colata"}</definedName>
    <definedName name="dffddf" localSheetId="0" hidden="1">{#N/A,#N/A,FALSE,"Assessment";#N/A,#N/A,FALSE,"Staffing";#N/A,#N/A,FALSE,"Hires";#N/A,#N/A,FALSE,"Assumptions"}</definedName>
    <definedName name="dffddf" localSheetId="6" hidden="1">{#N/A,#N/A,FALSE,"Assessment";#N/A,#N/A,FALSE,"Staffing";#N/A,#N/A,FALSE,"Hires";#N/A,#N/A,FALSE,"Assumptions"}</definedName>
    <definedName name="dffddf" hidden="1">{#N/A,#N/A,FALSE,"Assessment";#N/A,#N/A,FALSE,"Staffing";#N/A,#N/A,FALSE,"Hires";#N/A,#N/A,FALSE,"Assumptions"}</definedName>
    <definedName name="dffddf_1" localSheetId="0" hidden="1">{#N/A,#N/A,FALSE,"Assessment";#N/A,#N/A,FALSE,"Staffing";#N/A,#N/A,FALSE,"Hires";#N/A,#N/A,FALSE,"Assumptions"}</definedName>
    <definedName name="dffddf_1" localSheetId="6" hidden="1">{#N/A,#N/A,FALSE,"Assessment";#N/A,#N/A,FALSE,"Staffing";#N/A,#N/A,FALSE,"Hires";#N/A,#N/A,FALSE,"Assumptions"}</definedName>
    <definedName name="dffddf_1" hidden="1">{#N/A,#N/A,FALSE,"Assessment";#N/A,#N/A,FALSE,"Staffing";#N/A,#N/A,FALSE,"Hires";#N/A,#N/A,FALSE,"Assumptions"}</definedName>
    <definedName name="dffdfdfdn" localSheetId="0" hidden="1">{#N/A,#N/A,FALSE,"Assessment";#N/A,#N/A,FALSE,"Staffing";#N/A,#N/A,FALSE,"Hires";#N/A,#N/A,FALSE,"Assumptions"}</definedName>
    <definedName name="dffdfdfdn" localSheetId="6" hidden="1">{#N/A,#N/A,FALSE,"Assessment";#N/A,#N/A,FALSE,"Staffing";#N/A,#N/A,FALSE,"Hires";#N/A,#N/A,FALSE,"Assumptions"}</definedName>
    <definedName name="dffdfdfdn" hidden="1">{#N/A,#N/A,FALSE,"Assessment";#N/A,#N/A,FALSE,"Staffing";#N/A,#N/A,FALSE,"Hires";#N/A,#N/A,FALSE,"Assumptions"}</definedName>
    <definedName name="dffdfdfdn_1" localSheetId="0" hidden="1">{#N/A,#N/A,FALSE,"Assessment";#N/A,#N/A,FALSE,"Staffing";#N/A,#N/A,FALSE,"Hires";#N/A,#N/A,FALSE,"Assumptions"}</definedName>
    <definedName name="dffdfdfdn_1" localSheetId="6" hidden="1">{#N/A,#N/A,FALSE,"Assessment";#N/A,#N/A,FALSE,"Staffing";#N/A,#N/A,FALSE,"Hires";#N/A,#N/A,FALSE,"Assumptions"}</definedName>
    <definedName name="dffdfdfdn_1" hidden="1">{#N/A,#N/A,FALSE,"Assessment";#N/A,#N/A,FALSE,"Staffing";#N/A,#N/A,FALSE,"Hires";#N/A,#N/A,FALSE,"Assumptions"}</definedName>
    <definedName name="DFFDG" hidden="1">#REF!</definedName>
    <definedName name="dfffff" localSheetId="6"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fff_1" localSheetId="6" hidden="1">{#N/A,#N/A,FALSE,"SumG";#N/A,#N/A,FALSE,"ElecG";#N/A,#N/A,FALSE,"MechG";#N/A,#N/A,FALSE,"GeotG";#N/A,#N/A,FALSE,"PrcsG";#N/A,#N/A,FALSE,"TunnG";#N/A,#N/A,FALSE,"CivlG";#N/A,#N/A,FALSE,"NtwkG";#N/A,#N/A,FALSE,"EstgG";#N/A,#N/A,FALSE,"PEngG"}</definedName>
    <definedName name="dfffff_1" hidden="1">{#N/A,#N/A,FALSE,"SumG";#N/A,#N/A,FALSE,"ElecG";#N/A,#N/A,FALSE,"MechG";#N/A,#N/A,FALSE,"GeotG";#N/A,#N/A,FALSE,"PrcsG";#N/A,#N/A,FALSE,"TunnG";#N/A,#N/A,FALSE,"CivlG";#N/A,#N/A,FALSE,"NtwkG";#N/A,#N/A,FALSE,"EstgG";#N/A,#N/A,FALSE,"PEngG"}</definedName>
    <definedName name="DFFGF"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DFFGF"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dfg" hidden="1">#REF!</definedName>
    <definedName name="DFGDAG" localSheetId="0" hidden="1">#REF!</definedName>
    <definedName name="DFGDAG" hidden="1">#REF!</definedName>
    <definedName name="dfgfd" localSheetId="0" hidden="1">{#N/A,#N/A,FALSE,"COMP"}</definedName>
    <definedName name="dfgfd" localSheetId="6" hidden="1">{#N/A,#N/A,FALSE,"COMP"}</definedName>
    <definedName name="dfgfd" hidden="1">{#N/A,#N/A,FALSE,"COMP"}</definedName>
    <definedName name="dfgfdg" localSheetId="0" hidden="1">{#N/A,#N/A,FALSE,"Umsatz CH";#N/A,#N/A,FALSE,"ER CH";#N/A,#N/A,FALSE,"EA CH (2) ";#N/A,#N/A,FALSE,"EA CH";#N/A,#N/A,FALSE,"EA CH (3) ";#N/A,#N/A,FALSE,"EA CH (4)";#N/A,#N/A,FALSE,"KA CH";#N/A,#N/A,FALSE,"KA CH  (2)";#N/A,#N/A,FALSE,"KA CH  (3)";#N/A,#N/A,FALSE,"KA CH (4)"}</definedName>
    <definedName name="dfgfdg" localSheetId="6" hidden="1">{#N/A,#N/A,FALSE,"Umsatz CH";#N/A,#N/A,FALSE,"ER CH";#N/A,#N/A,FALSE,"EA CH (2) ";#N/A,#N/A,FALSE,"EA CH";#N/A,#N/A,FALSE,"EA CH (3) ";#N/A,#N/A,FALSE,"EA CH (4)";#N/A,#N/A,FALSE,"KA CH";#N/A,#N/A,FALSE,"KA CH  (2)";#N/A,#N/A,FALSE,"KA CH  (3)";#N/A,#N/A,FALSE,"KA CH (4)"}</definedName>
    <definedName name="dfgfdg" hidden="1">{#N/A,#N/A,FALSE,"Umsatz CH";#N/A,#N/A,FALSE,"ER CH";#N/A,#N/A,FALSE,"EA CH (2) ";#N/A,#N/A,FALSE,"EA CH";#N/A,#N/A,FALSE,"EA CH (3) ";#N/A,#N/A,FALSE,"EA CH (4)";#N/A,#N/A,FALSE,"KA CH";#N/A,#N/A,FALSE,"KA CH  (2)";#N/A,#N/A,FALSE,"KA CH  (3)";#N/A,#N/A,FALSE,"KA CH (4)"}</definedName>
    <definedName name="dfgfdg_1" localSheetId="0" hidden="1">{#N/A,#N/A,FALSE,"Umsatz CH";#N/A,#N/A,FALSE,"ER CH";#N/A,#N/A,FALSE,"EA CH (2) ";#N/A,#N/A,FALSE,"EA CH";#N/A,#N/A,FALSE,"EA CH (3) ";#N/A,#N/A,FALSE,"EA CH (4)";#N/A,#N/A,FALSE,"KA CH";#N/A,#N/A,FALSE,"KA CH  (2)";#N/A,#N/A,FALSE,"KA CH  (3)";#N/A,#N/A,FALSE,"KA CH (4)"}</definedName>
    <definedName name="dfgfdg_1" localSheetId="6" hidden="1">{#N/A,#N/A,FALSE,"Umsatz CH";#N/A,#N/A,FALSE,"ER CH";#N/A,#N/A,FALSE,"EA CH (2) ";#N/A,#N/A,FALSE,"EA CH";#N/A,#N/A,FALSE,"EA CH (3) ";#N/A,#N/A,FALSE,"EA CH (4)";#N/A,#N/A,FALSE,"KA CH";#N/A,#N/A,FALSE,"KA CH  (2)";#N/A,#N/A,FALSE,"KA CH  (3)";#N/A,#N/A,FALSE,"KA CH (4)"}</definedName>
    <definedName name="dfgfdg_1" hidden="1">{#N/A,#N/A,FALSE,"Umsatz CH";#N/A,#N/A,FALSE,"ER CH";#N/A,#N/A,FALSE,"EA CH (2) ";#N/A,#N/A,FALSE,"EA CH";#N/A,#N/A,FALSE,"EA CH (3) ";#N/A,#N/A,FALSE,"EA CH (4)";#N/A,#N/A,FALSE,"KA CH";#N/A,#N/A,FALSE,"KA CH  (2)";#N/A,#N/A,FALSE,"KA CH  (3)";#N/A,#N/A,FALSE,"KA CH (4)"}</definedName>
    <definedName name="dfgfdg_1_1" localSheetId="0" hidden="1">{#N/A,#N/A,FALSE,"Umsatz CH";#N/A,#N/A,FALSE,"ER CH";#N/A,#N/A,FALSE,"EA CH (2) ";#N/A,#N/A,FALSE,"EA CH";#N/A,#N/A,FALSE,"EA CH (3) ";#N/A,#N/A,FALSE,"EA CH (4)";#N/A,#N/A,FALSE,"KA CH";#N/A,#N/A,FALSE,"KA CH  (2)";#N/A,#N/A,FALSE,"KA CH  (3)";#N/A,#N/A,FALSE,"KA CH (4)"}</definedName>
    <definedName name="dfgfdg_1_1" localSheetId="6" hidden="1">{#N/A,#N/A,FALSE,"Umsatz CH";#N/A,#N/A,FALSE,"ER CH";#N/A,#N/A,FALSE,"EA CH (2) ";#N/A,#N/A,FALSE,"EA CH";#N/A,#N/A,FALSE,"EA CH (3) ";#N/A,#N/A,FALSE,"EA CH (4)";#N/A,#N/A,FALSE,"KA CH";#N/A,#N/A,FALSE,"KA CH  (2)";#N/A,#N/A,FALSE,"KA CH  (3)";#N/A,#N/A,FALSE,"KA CH (4)"}</definedName>
    <definedName name="dfgfdg_1_1" hidden="1">{#N/A,#N/A,FALSE,"Umsatz CH";#N/A,#N/A,FALSE,"ER CH";#N/A,#N/A,FALSE,"EA CH (2) ";#N/A,#N/A,FALSE,"EA CH";#N/A,#N/A,FALSE,"EA CH (3) ";#N/A,#N/A,FALSE,"EA CH (4)";#N/A,#N/A,FALSE,"KA CH";#N/A,#N/A,FALSE,"KA CH  (2)";#N/A,#N/A,FALSE,"KA CH  (3)";#N/A,#N/A,FALSE,"KA CH (4)"}</definedName>
    <definedName name="dfgfdg_2" localSheetId="0" hidden="1">{#N/A,#N/A,FALSE,"Umsatz CH";#N/A,#N/A,FALSE,"ER CH";#N/A,#N/A,FALSE,"EA CH (2) ";#N/A,#N/A,FALSE,"EA CH";#N/A,#N/A,FALSE,"EA CH (3) ";#N/A,#N/A,FALSE,"EA CH (4)";#N/A,#N/A,FALSE,"KA CH";#N/A,#N/A,FALSE,"KA CH  (2)";#N/A,#N/A,FALSE,"KA CH  (3)";#N/A,#N/A,FALSE,"KA CH (4)"}</definedName>
    <definedName name="dfgfdg_2" localSheetId="6" hidden="1">{#N/A,#N/A,FALSE,"Umsatz CH";#N/A,#N/A,FALSE,"ER CH";#N/A,#N/A,FALSE,"EA CH (2) ";#N/A,#N/A,FALSE,"EA CH";#N/A,#N/A,FALSE,"EA CH (3) ";#N/A,#N/A,FALSE,"EA CH (4)";#N/A,#N/A,FALSE,"KA CH";#N/A,#N/A,FALSE,"KA CH  (2)";#N/A,#N/A,FALSE,"KA CH  (3)";#N/A,#N/A,FALSE,"KA CH (4)"}</definedName>
    <definedName name="dfgfdg_2" hidden="1">{#N/A,#N/A,FALSE,"Umsatz CH";#N/A,#N/A,FALSE,"ER CH";#N/A,#N/A,FALSE,"EA CH (2) ";#N/A,#N/A,FALSE,"EA CH";#N/A,#N/A,FALSE,"EA CH (3) ";#N/A,#N/A,FALSE,"EA CH (4)";#N/A,#N/A,FALSE,"KA CH";#N/A,#N/A,FALSE,"KA CH  (2)";#N/A,#N/A,FALSE,"KA CH  (3)";#N/A,#N/A,FALSE,"KA CH (4)"}</definedName>
    <definedName name="dfgfdg_3" localSheetId="0" hidden="1">{#N/A,#N/A,FALSE,"Umsatz CH";#N/A,#N/A,FALSE,"ER CH";#N/A,#N/A,FALSE,"EA CH (2) ";#N/A,#N/A,FALSE,"EA CH";#N/A,#N/A,FALSE,"EA CH (3) ";#N/A,#N/A,FALSE,"EA CH (4)";#N/A,#N/A,FALSE,"KA CH";#N/A,#N/A,FALSE,"KA CH  (2)";#N/A,#N/A,FALSE,"KA CH  (3)";#N/A,#N/A,FALSE,"KA CH (4)"}</definedName>
    <definedName name="dfgfdg_3" localSheetId="6" hidden="1">{#N/A,#N/A,FALSE,"Umsatz CH";#N/A,#N/A,FALSE,"ER CH";#N/A,#N/A,FALSE,"EA CH (2) ";#N/A,#N/A,FALSE,"EA CH";#N/A,#N/A,FALSE,"EA CH (3) ";#N/A,#N/A,FALSE,"EA CH (4)";#N/A,#N/A,FALSE,"KA CH";#N/A,#N/A,FALSE,"KA CH  (2)";#N/A,#N/A,FALSE,"KA CH  (3)";#N/A,#N/A,FALSE,"KA CH (4)"}</definedName>
    <definedName name="dfgfdg_3" hidden="1">{#N/A,#N/A,FALSE,"Umsatz CH";#N/A,#N/A,FALSE,"ER CH";#N/A,#N/A,FALSE,"EA CH (2) ";#N/A,#N/A,FALSE,"EA CH";#N/A,#N/A,FALSE,"EA CH (3) ";#N/A,#N/A,FALSE,"EA CH (4)";#N/A,#N/A,FALSE,"KA CH";#N/A,#N/A,FALSE,"KA CH  (2)";#N/A,#N/A,FALSE,"KA CH  (3)";#N/A,#N/A,FALSE,"KA CH (4)"}</definedName>
    <definedName name="dfgfdg_4" localSheetId="0" hidden="1">{#N/A,#N/A,FALSE,"Umsatz CH";#N/A,#N/A,FALSE,"ER CH";#N/A,#N/A,FALSE,"EA CH (2) ";#N/A,#N/A,FALSE,"EA CH";#N/A,#N/A,FALSE,"EA CH (3) ";#N/A,#N/A,FALSE,"EA CH (4)";#N/A,#N/A,FALSE,"KA CH";#N/A,#N/A,FALSE,"KA CH  (2)";#N/A,#N/A,FALSE,"KA CH  (3)";#N/A,#N/A,FALSE,"KA CH (4)"}</definedName>
    <definedName name="dfgfdg_4" localSheetId="6" hidden="1">{#N/A,#N/A,FALSE,"Umsatz CH";#N/A,#N/A,FALSE,"ER CH";#N/A,#N/A,FALSE,"EA CH (2) ";#N/A,#N/A,FALSE,"EA CH";#N/A,#N/A,FALSE,"EA CH (3) ";#N/A,#N/A,FALSE,"EA CH (4)";#N/A,#N/A,FALSE,"KA CH";#N/A,#N/A,FALSE,"KA CH  (2)";#N/A,#N/A,FALSE,"KA CH  (3)";#N/A,#N/A,FALSE,"KA CH (4)"}</definedName>
    <definedName name="dfgfdg_4" hidden="1">{#N/A,#N/A,FALSE,"Umsatz CH";#N/A,#N/A,FALSE,"ER CH";#N/A,#N/A,FALSE,"EA CH (2) ";#N/A,#N/A,FALSE,"EA CH";#N/A,#N/A,FALSE,"EA CH (3) ";#N/A,#N/A,FALSE,"EA CH (4)";#N/A,#N/A,FALSE,"KA CH";#N/A,#N/A,FALSE,"KA CH  (2)";#N/A,#N/A,FALSE,"KA CH  (3)";#N/A,#N/A,FALSE,"KA CH (4)"}</definedName>
    <definedName name="dfgfdg_5" localSheetId="0" hidden="1">{#N/A,#N/A,FALSE,"Umsatz CH";#N/A,#N/A,FALSE,"ER CH";#N/A,#N/A,FALSE,"EA CH (2) ";#N/A,#N/A,FALSE,"EA CH";#N/A,#N/A,FALSE,"EA CH (3) ";#N/A,#N/A,FALSE,"EA CH (4)";#N/A,#N/A,FALSE,"KA CH";#N/A,#N/A,FALSE,"KA CH  (2)";#N/A,#N/A,FALSE,"KA CH  (3)";#N/A,#N/A,FALSE,"KA CH (4)"}</definedName>
    <definedName name="dfgfdg_5" localSheetId="6" hidden="1">{#N/A,#N/A,FALSE,"Umsatz CH";#N/A,#N/A,FALSE,"ER CH";#N/A,#N/A,FALSE,"EA CH (2) ";#N/A,#N/A,FALSE,"EA CH";#N/A,#N/A,FALSE,"EA CH (3) ";#N/A,#N/A,FALSE,"EA CH (4)";#N/A,#N/A,FALSE,"KA CH";#N/A,#N/A,FALSE,"KA CH  (2)";#N/A,#N/A,FALSE,"KA CH  (3)";#N/A,#N/A,FALSE,"KA CH (4)"}</definedName>
    <definedName name="dfgfdg_5" hidden="1">{#N/A,#N/A,FALSE,"Umsatz CH";#N/A,#N/A,FALSE,"ER CH";#N/A,#N/A,FALSE,"EA CH (2) ";#N/A,#N/A,FALSE,"EA CH";#N/A,#N/A,FALSE,"EA CH (3) ";#N/A,#N/A,FALSE,"EA CH (4)";#N/A,#N/A,FALSE,"KA CH";#N/A,#N/A,FALSE,"KA CH  (2)";#N/A,#N/A,FALSE,"KA CH  (3)";#N/A,#N/A,FALSE,"KA CH (4)"}</definedName>
    <definedName name="dfgfdgf" localSheetId="0" hidden="1">{#N/A,#N/A,FALSE,"Produkte Erw.";#N/A,#N/A,FALSE,"Produkte Plan";#N/A,#N/A,FALSE,"Leistungen Erw.";#N/A,#N/A,FALSE,"Leistungen Plan";#N/A,#N/A,FALSE,"KA Allg.Kosten (2)";#N/A,#N/A,FALSE,"KA All.Kosten"}</definedName>
    <definedName name="dfgfdgf" localSheetId="6" hidden="1">{#N/A,#N/A,FALSE,"Produkte Erw.";#N/A,#N/A,FALSE,"Produkte Plan";#N/A,#N/A,FALSE,"Leistungen Erw.";#N/A,#N/A,FALSE,"Leistungen Plan";#N/A,#N/A,FALSE,"KA Allg.Kosten (2)";#N/A,#N/A,FALSE,"KA All.Kosten"}</definedName>
    <definedName name="dfgfdgf" hidden="1">{#N/A,#N/A,FALSE,"Produkte Erw.";#N/A,#N/A,FALSE,"Produkte Plan";#N/A,#N/A,FALSE,"Leistungen Erw.";#N/A,#N/A,FALSE,"Leistungen Plan";#N/A,#N/A,FALSE,"KA Allg.Kosten (2)";#N/A,#N/A,FALSE,"KA All.Kosten"}</definedName>
    <definedName name="dfgfdgf_1" localSheetId="0" hidden="1">{#N/A,#N/A,FALSE,"Produkte Erw.";#N/A,#N/A,FALSE,"Produkte Plan";#N/A,#N/A,FALSE,"Leistungen Erw.";#N/A,#N/A,FALSE,"Leistungen Plan";#N/A,#N/A,FALSE,"KA Allg.Kosten (2)";#N/A,#N/A,FALSE,"KA All.Kosten"}</definedName>
    <definedName name="dfgfdgf_1" localSheetId="6" hidden="1">{#N/A,#N/A,FALSE,"Produkte Erw.";#N/A,#N/A,FALSE,"Produkte Plan";#N/A,#N/A,FALSE,"Leistungen Erw.";#N/A,#N/A,FALSE,"Leistungen Plan";#N/A,#N/A,FALSE,"KA Allg.Kosten (2)";#N/A,#N/A,FALSE,"KA All.Kosten"}</definedName>
    <definedName name="dfgfdgf_1" hidden="1">{#N/A,#N/A,FALSE,"Produkte Erw.";#N/A,#N/A,FALSE,"Produkte Plan";#N/A,#N/A,FALSE,"Leistungen Erw.";#N/A,#N/A,FALSE,"Leistungen Plan";#N/A,#N/A,FALSE,"KA Allg.Kosten (2)";#N/A,#N/A,FALSE,"KA All.Kosten"}</definedName>
    <definedName name="dfgfdgf_1_1" localSheetId="0" hidden="1">{#N/A,#N/A,FALSE,"Produkte Erw.";#N/A,#N/A,FALSE,"Produkte Plan";#N/A,#N/A,FALSE,"Leistungen Erw.";#N/A,#N/A,FALSE,"Leistungen Plan";#N/A,#N/A,FALSE,"KA Allg.Kosten (2)";#N/A,#N/A,FALSE,"KA All.Kosten"}</definedName>
    <definedName name="dfgfdgf_1_1" localSheetId="6" hidden="1">{#N/A,#N/A,FALSE,"Produkte Erw.";#N/A,#N/A,FALSE,"Produkte Plan";#N/A,#N/A,FALSE,"Leistungen Erw.";#N/A,#N/A,FALSE,"Leistungen Plan";#N/A,#N/A,FALSE,"KA Allg.Kosten (2)";#N/A,#N/A,FALSE,"KA All.Kosten"}</definedName>
    <definedName name="dfgfdgf_1_1" hidden="1">{#N/A,#N/A,FALSE,"Produkte Erw.";#N/A,#N/A,FALSE,"Produkte Plan";#N/A,#N/A,FALSE,"Leistungen Erw.";#N/A,#N/A,FALSE,"Leistungen Plan";#N/A,#N/A,FALSE,"KA Allg.Kosten (2)";#N/A,#N/A,FALSE,"KA All.Kosten"}</definedName>
    <definedName name="dfgfdgf_2" localSheetId="0" hidden="1">{#N/A,#N/A,FALSE,"Produkte Erw.";#N/A,#N/A,FALSE,"Produkte Plan";#N/A,#N/A,FALSE,"Leistungen Erw.";#N/A,#N/A,FALSE,"Leistungen Plan";#N/A,#N/A,FALSE,"KA Allg.Kosten (2)";#N/A,#N/A,FALSE,"KA All.Kosten"}</definedName>
    <definedName name="dfgfdgf_2" localSheetId="6" hidden="1">{#N/A,#N/A,FALSE,"Produkte Erw.";#N/A,#N/A,FALSE,"Produkte Plan";#N/A,#N/A,FALSE,"Leistungen Erw.";#N/A,#N/A,FALSE,"Leistungen Plan";#N/A,#N/A,FALSE,"KA Allg.Kosten (2)";#N/A,#N/A,FALSE,"KA All.Kosten"}</definedName>
    <definedName name="dfgfdgf_2" hidden="1">{#N/A,#N/A,FALSE,"Produkte Erw.";#N/A,#N/A,FALSE,"Produkte Plan";#N/A,#N/A,FALSE,"Leistungen Erw.";#N/A,#N/A,FALSE,"Leistungen Plan";#N/A,#N/A,FALSE,"KA Allg.Kosten (2)";#N/A,#N/A,FALSE,"KA All.Kosten"}</definedName>
    <definedName name="dfgfdgf_3" localSheetId="0" hidden="1">{#N/A,#N/A,FALSE,"Produkte Erw.";#N/A,#N/A,FALSE,"Produkte Plan";#N/A,#N/A,FALSE,"Leistungen Erw.";#N/A,#N/A,FALSE,"Leistungen Plan";#N/A,#N/A,FALSE,"KA Allg.Kosten (2)";#N/A,#N/A,FALSE,"KA All.Kosten"}</definedName>
    <definedName name="dfgfdgf_3" localSheetId="6" hidden="1">{#N/A,#N/A,FALSE,"Produkte Erw.";#N/A,#N/A,FALSE,"Produkte Plan";#N/A,#N/A,FALSE,"Leistungen Erw.";#N/A,#N/A,FALSE,"Leistungen Plan";#N/A,#N/A,FALSE,"KA Allg.Kosten (2)";#N/A,#N/A,FALSE,"KA All.Kosten"}</definedName>
    <definedName name="dfgfdgf_3" hidden="1">{#N/A,#N/A,FALSE,"Produkte Erw.";#N/A,#N/A,FALSE,"Produkte Plan";#N/A,#N/A,FALSE,"Leistungen Erw.";#N/A,#N/A,FALSE,"Leistungen Plan";#N/A,#N/A,FALSE,"KA Allg.Kosten (2)";#N/A,#N/A,FALSE,"KA All.Kosten"}</definedName>
    <definedName name="dfgfdgf_4" localSheetId="0" hidden="1">{#N/A,#N/A,FALSE,"Produkte Erw.";#N/A,#N/A,FALSE,"Produkte Plan";#N/A,#N/A,FALSE,"Leistungen Erw.";#N/A,#N/A,FALSE,"Leistungen Plan";#N/A,#N/A,FALSE,"KA Allg.Kosten (2)";#N/A,#N/A,FALSE,"KA All.Kosten"}</definedName>
    <definedName name="dfgfdgf_4" localSheetId="6" hidden="1">{#N/A,#N/A,FALSE,"Produkte Erw.";#N/A,#N/A,FALSE,"Produkte Plan";#N/A,#N/A,FALSE,"Leistungen Erw.";#N/A,#N/A,FALSE,"Leistungen Plan";#N/A,#N/A,FALSE,"KA Allg.Kosten (2)";#N/A,#N/A,FALSE,"KA All.Kosten"}</definedName>
    <definedName name="dfgfdgf_4" hidden="1">{#N/A,#N/A,FALSE,"Produkte Erw.";#N/A,#N/A,FALSE,"Produkte Plan";#N/A,#N/A,FALSE,"Leistungen Erw.";#N/A,#N/A,FALSE,"Leistungen Plan";#N/A,#N/A,FALSE,"KA Allg.Kosten (2)";#N/A,#N/A,FALSE,"KA All.Kosten"}</definedName>
    <definedName name="dfgfdgf_5" localSheetId="0" hidden="1">{#N/A,#N/A,FALSE,"Produkte Erw.";#N/A,#N/A,FALSE,"Produkte Plan";#N/A,#N/A,FALSE,"Leistungen Erw.";#N/A,#N/A,FALSE,"Leistungen Plan";#N/A,#N/A,FALSE,"KA Allg.Kosten (2)";#N/A,#N/A,FALSE,"KA All.Kosten"}</definedName>
    <definedName name="dfgfdgf_5" localSheetId="6" hidden="1">{#N/A,#N/A,FALSE,"Produkte Erw.";#N/A,#N/A,FALSE,"Produkte Plan";#N/A,#N/A,FALSE,"Leistungen Erw.";#N/A,#N/A,FALSE,"Leistungen Plan";#N/A,#N/A,FALSE,"KA Allg.Kosten (2)";#N/A,#N/A,FALSE,"KA All.Kosten"}</definedName>
    <definedName name="dfgfdgf_5" hidden="1">{#N/A,#N/A,FALSE,"Produkte Erw.";#N/A,#N/A,FALSE,"Produkte Plan";#N/A,#N/A,FALSE,"Leistungen Erw.";#N/A,#N/A,FALSE,"Leistungen Plan";#N/A,#N/A,FALSE,"KA Allg.Kosten (2)";#N/A,#N/A,FALSE,"KA All.Kosten"}</definedName>
    <definedName name="dfgfg" localSheetId="0" hidden="1">{#N/A,#N/A,FALSE,"Umsatz HM";#N/A,#N/A,FALSE,"ER HM";#N/A,#N/A,FALSE,"EA HM  (2)";#N/A,#N/A,FALSE,"EA HM ";#N/A,#N/A,FALSE,"EA HM  (4)";#N/A,#N/A,FALSE,"EA HM  (3)";#N/A,#N/A,FALSE,"KA HM  (2)";#N/A,#N/A,FALSE,"KA HM";#N/A,#N/A,FALSE,"KA HM  (3)";#N/A,#N/A,FALSE,"KA HM (4)"}</definedName>
    <definedName name="dfgfg" localSheetId="6" hidden="1">{#N/A,#N/A,FALSE,"Umsatz HM";#N/A,#N/A,FALSE,"ER HM";#N/A,#N/A,FALSE,"EA HM  (2)";#N/A,#N/A,FALSE,"EA HM ";#N/A,#N/A,FALSE,"EA HM  (4)";#N/A,#N/A,FALSE,"EA HM  (3)";#N/A,#N/A,FALSE,"KA HM  (2)";#N/A,#N/A,FALSE,"KA HM";#N/A,#N/A,FALSE,"KA HM  (3)";#N/A,#N/A,FALSE,"KA HM (4)"}</definedName>
    <definedName name="dfgfg" hidden="1">{#N/A,#N/A,FALSE,"Umsatz HM";#N/A,#N/A,FALSE,"ER HM";#N/A,#N/A,FALSE,"EA HM  (2)";#N/A,#N/A,FALSE,"EA HM ";#N/A,#N/A,FALSE,"EA HM  (4)";#N/A,#N/A,FALSE,"EA HM  (3)";#N/A,#N/A,FALSE,"KA HM  (2)";#N/A,#N/A,FALSE,"KA HM";#N/A,#N/A,FALSE,"KA HM  (3)";#N/A,#N/A,FALSE,"KA HM (4)"}</definedName>
    <definedName name="dfgfg_1" localSheetId="0" hidden="1">{#N/A,#N/A,FALSE,"Umsatz HM";#N/A,#N/A,FALSE,"ER HM";#N/A,#N/A,FALSE,"EA HM  (2)";#N/A,#N/A,FALSE,"EA HM ";#N/A,#N/A,FALSE,"EA HM  (4)";#N/A,#N/A,FALSE,"EA HM  (3)";#N/A,#N/A,FALSE,"KA HM  (2)";#N/A,#N/A,FALSE,"KA HM";#N/A,#N/A,FALSE,"KA HM  (3)";#N/A,#N/A,FALSE,"KA HM (4)"}</definedName>
    <definedName name="dfgfg_1" localSheetId="6" hidden="1">{#N/A,#N/A,FALSE,"Umsatz HM";#N/A,#N/A,FALSE,"ER HM";#N/A,#N/A,FALSE,"EA HM  (2)";#N/A,#N/A,FALSE,"EA HM ";#N/A,#N/A,FALSE,"EA HM  (4)";#N/A,#N/A,FALSE,"EA HM  (3)";#N/A,#N/A,FALSE,"KA HM  (2)";#N/A,#N/A,FALSE,"KA HM";#N/A,#N/A,FALSE,"KA HM  (3)";#N/A,#N/A,FALSE,"KA HM (4)"}</definedName>
    <definedName name="dfgfg_1" hidden="1">{#N/A,#N/A,FALSE,"Umsatz HM";#N/A,#N/A,FALSE,"ER HM";#N/A,#N/A,FALSE,"EA HM  (2)";#N/A,#N/A,FALSE,"EA HM ";#N/A,#N/A,FALSE,"EA HM  (4)";#N/A,#N/A,FALSE,"EA HM  (3)";#N/A,#N/A,FALSE,"KA HM  (2)";#N/A,#N/A,FALSE,"KA HM";#N/A,#N/A,FALSE,"KA HM  (3)";#N/A,#N/A,FALSE,"KA HM (4)"}</definedName>
    <definedName name="dfgfg_1_1" localSheetId="0" hidden="1">{#N/A,#N/A,FALSE,"Umsatz HM";#N/A,#N/A,FALSE,"ER HM";#N/A,#N/A,FALSE,"EA HM  (2)";#N/A,#N/A,FALSE,"EA HM ";#N/A,#N/A,FALSE,"EA HM  (4)";#N/A,#N/A,FALSE,"EA HM  (3)";#N/A,#N/A,FALSE,"KA HM  (2)";#N/A,#N/A,FALSE,"KA HM";#N/A,#N/A,FALSE,"KA HM  (3)";#N/A,#N/A,FALSE,"KA HM (4)"}</definedName>
    <definedName name="dfgfg_1_1" localSheetId="6" hidden="1">{#N/A,#N/A,FALSE,"Umsatz HM";#N/A,#N/A,FALSE,"ER HM";#N/A,#N/A,FALSE,"EA HM  (2)";#N/A,#N/A,FALSE,"EA HM ";#N/A,#N/A,FALSE,"EA HM  (4)";#N/A,#N/A,FALSE,"EA HM  (3)";#N/A,#N/A,FALSE,"KA HM  (2)";#N/A,#N/A,FALSE,"KA HM";#N/A,#N/A,FALSE,"KA HM  (3)";#N/A,#N/A,FALSE,"KA HM (4)"}</definedName>
    <definedName name="dfgfg_1_1" hidden="1">{#N/A,#N/A,FALSE,"Umsatz HM";#N/A,#N/A,FALSE,"ER HM";#N/A,#N/A,FALSE,"EA HM  (2)";#N/A,#N/A,FALSE,"EA HM ";#N/A,#N/A,FALSE,"EA HM  (4)";#N/A,#N/A,FALSE,"EA HM  (3)";#N/A,#N/A,FALSE,"KA HM  (2)";#N/A,#N/A,FALSE,"KA HM";#N/A,#N/A,FALSE,"KA HM  (3)";#N/A,#N/A,FALSE,"KA HM (4)"}</definedName>
    <definedName name="dfgfg_2" localSheetId="0" hidden="1">{#N/A,#N/A,FALSE,"Umsatz HM";#N/A,#N/A,FALSE,"ER HM";#N/A,#N/A,FALSE,"EA HM  (2)";#N/A,#N/A,FALSE,"EA HM ";#N/A,#N/A,FALSE,"EA HM  (4)";#N/A,#N/A,FALSE,"EA HM  (3)";#N/A,#N/A,FALSE,"KA HM  (2)";#N/A,#N/A,FALSE,"KA HM";#N/A,#N/A,FALSE,"KA HM  (3)";#N/A,#N/A,FALSE,"KA HM (4)"}</definedName>
    <definedName name="dfgfg_2" localSheetId="6" hidden="1">{#N/A,#N/A,FALSE,"Umsatz HM";#N/A,#N/A,FALSE,"ER HM";#N/A,#N/A,FALSE,"EA HM  (2)";#N/A,#N/A,FALSE,"EA HM ";#N/A,#N/A,FALSE,"EA HM  (4)";#N/A,#N/A,FALSE,"EA HM  (3)";#N/A,#N/A,FALSE,"KA HM  (2)";#N/A,#N/A,FALSE,"KA HM";#N/A,#N/A,FALSE,"KA HM  (3)";#N/A,#N/A,FALSE,"KA HM (4)"}</definedName>
    <definedName name="dfgfg_2" hidden="1">{#N/A,#N/A,FALSE,"Umsatz HM";#N/A,#N/A,FALSE,"ER HM";#N/A,#N/A,FALSE,"EA HM  (2)";#N/A,#N/A,FALSE,"EA HM ";#N/A,#N/A,FALSE,"EA HM  (4)";#N/A,#N/A,FALSE,"EA HM  (3)";#N/A,#N/A,FALSE,"KA HM  (2)";#N/A,#N/A,FALSE,"KA HM";#N/A,#N/A,FALSE,"KA HM  (3)";#N/A,#N/A,FALSE,"KA HM (4)"}</definedName>
    <definedName name="dfgfg_3" localSheetId="0" hidden="1">{#N/A,#N/A,FALSE,"Umsatz HM";#N/A,#N/A,FALSE,"ER HM";#N/A,#N/A,FALSE,"EA HM  (2)";#N/A,#N/A,FALSE,"EA HM ";#N/A,#N/A,FALSE,"EA HM  (4)";#N/A,#N/A,FALSE,"EA HM  (3)";#N/A,#N/A,FALSE,"KA HM  (2)";#N/A,#N/A,FALSE,"KA HM";#N/A,#N/A,FALSE,"KA HM  (3)";#N/A,#N/A,FALSE,"KA HM (4)"}</definedName>
    <definedName name="dfgfg_3" localSheetId="6" hidden="1">{#N/A,#N/A,FALSE,"Umsatz HM";#N/A,#N/A,FALSE,"ER HM";#N/A,#N/A,FALSE,"EA HM  (2)";#N/A,#N/A,FALSE,"EA HM ";#N/A,#N/A,FALSE,"EA HM  (4)";#N/A,#N/A,FALSE,"EA HM  (3)";#N/A,#N/A,FALSE,"KA HM  (2)";#N/A,#N/A,FALSE,"KA HM";#N/A,#N/A,FALSE,"KA HM  (3)";#N/A,#N/A,FALSE,"KA HM (4)"}</definedName>
    <definedName name="dfgfg_3" hidden="1">{#N/A,#N/A,FALSE,"Umsatz HM";#N/A,#N/A,FALSE,"ER HM";#N/A,#N/A,FALSE,"EA HM  (2)";#N/A,#N/A,FALSE,"EA HM ";#N/A,#N/A,FALSE,"EA HM  (4)";#N/A,#N/A,FALSE,"EA HM  (3)";#N/A,#N/A,FALSE,"KA HM  (2)";#N/A,#N/A,FALSE,"KA HM";#N/A,#N/A,FALSE,"KA HM  (3)";#N/A,#N/A,FALSE,"KA HM (4)"}</definedName>
    <definedName name="dfgfg_4" localSheetId="0" hidden="1">{#N/A,#N/A,FALSE,"Umsatz HM";#N/A,#N/A,FALSE,"ER HM";#N/A,#N/A,FALSE,"EA HM  (2)";#N/A,#N/A,FALSE,"EA HM ";#N/A,#N/A,FALSE,"EA HM  (4)";#N/A,#N/A,FALSE,"EA HM  (3)";#N/A,#N/A,FALSE,"KA HM  (2)";#N/A,#N/A,FALSE,"KA HM";#N/A,#N/A,FALSE,"KA HM  (3)";#N/A,#N/A,FALSE,"KA HM (4)"}</definedName>
    <definedName name="dfgfg_4" localSheetId="6" hidden="1">{#N/A,#N/A,FALSE,"Umsatz HM";#N/A,#N/A,FALSE,"ER HM";#N/A,#N/A,FALSE,"EA HM  (2)";#N/A,#N/A,FALSE,"EA HM ";#N/A,#N/A,FALSE,"EA HM  (4)";#N/A,#N/A,FALSE,"EA HM  (3)";#N/A,#N/A,FALSE,"KA HM  (2)";#N/A,#N/A,FALSE,"KA HM";#N/A,#N/A,FALSE,"KA HM  (3)";#N/A,#N/A,FALSE,"KA HM (4)"}</definedName>
    <definedName name="dfgfg_4" hidden="1">{#N/A,#N/A,FALSE,"Umsatz HM";#N/A,#N/A,FALSE,"ER HM";#N/A,#N/A,FALSE,"EA HM  (2)";#N/A,#N/A,FALSE,"EA HM ";#N/A,#N/A,FALSE,"EA HM  (4)";#N/A,#N/A,FALSE,"EA HM  (3)";#N/A,#N/A,FALSE,"KA HM  (2)";#N/A,#N/A,FALSE,"KA HM";#N/A,#N/A,FALSE,"KA HM  (3)";#N/A,#N/A,FALSE,"KA HM (4)"}</definedName>
    <definedName name="dfgfg_5" localSheetId="0" hidden="1">{#N/A,#N/A,FALSE,"Umsatz HM";#N/A,#N/A,FALSE,"ER HM";#N/A,#N/A,FALSE,"EA HM  (2)";#N/A,#N/A,FALSE,"EA HM ";#N/A,#N/A,FALSE,"EA HM  (4)";#N/A,#N/A,FALSE,"EA HM  (3)";#N/A,#N/A,FALSE,"KA HM  (2)";#N/A,#N/A,FALSE,"KA HM";#N/A,#N/A,FALSE,"KA HM  (3)";#N/A,#N/A,FALSE,"KA HM (4)"}</definedName>
    <definedName name="dfgfg_5" localSheetId="6" hidden="1">{#N/A,#N/A,FALSE,"Umsatz HM";#N/A,#N/A,FALSE,"ER HM";#N/A,#N/A,FALSE,"EA HM  (2)";#N/A,#N/A,FALSE,"EA HM ";#N/A,#N/A,FALSE,"EA HM  (4)";#N/A,#N/A,FALSE,"EA HM  (3)";#N/A,#N/A,FALSE,"KA HM  (2)";#N/A,#N/A,FALSE,"KA HM";#N/A,#N/A,FALSE,"KA HM  (3)";#N/A,#N/A,FALSE,"KA HM (4)"}</definedName>
    <definedName name="dfgfg_5" hidden="1">{#N/A,#N/A,FALSE,"Umsatz HM";#N/A,#N/A,FALSE,"ER HM";#N/A,#N/A,FALSE,"EA HM  (2)";#N/A,#N/A,FALSE,"EA HM ";#N/A,#N/A,FALSE,"EA HM  (4)";#N/A,#N/A,FALSE,"EA HM  (3)";#N/A,#N/A,FALSE,"KA HM  (2)";#N/A,#N/A,FALSE,"KA HM";#N/A,#N/A,FALSE,"KA HM  (3)";#N/A,#N/A,FALSE,"KA HM (4)"}</definedName>
    <definedName name="dfggfhhj" localSheetId="0" hidden="1">{#N/A,#N/A,FALSE,"Umsatz CH";#N/A,#N/A,FALSE,"ER CH";#N/A,#N/A,FALSE,"EA CH (2) ";#N/A,#N/A,FALSE,"EA CH";#N/A,#N/A,FALSE,"EA CH (3) ";#N/A,#N/A,FALSE,"EA CH (4)";#N/A,#N/A,FALSE,"KA CH";#N/A,#N/A,FALSE,"KA CH  (2)";#N/A,#N/A,FALSE,"KA CH  (3)";#N/A,#N/A,FALSE,"KA CH (4)"}</definedName>
    <definedName name="dfggfhhj" localSheetId="6" hidden="1">{#N/A,#N/A,FALSE,"Umsatz CH";#N/A,#N/A,FALSE,"ER CH";#N/A,#N/A,FALSE,"EA CH (2) ";#N/A,#N/A,FALSE,"EA CH";#N/A,#N/A,FALSE,"EA CH (3) ";#N/A,#N/A,FALSE,"EA CH (4)";#N/A,#N/A,FALSE,"KA CH";#N/A,#N/A,FALSE,"KA CH  (2)";#N/A,#N/A,FALSE,"KA CH  (3)";#N/A,#N/A,FALSE,"KA CH (4)"}</definedName>
    <definedName name="dfggfhhj" hidden="1">{#N/A,#N/A,FALSE,"Umsatz CH";#N/A,#N/A,FALSE,"ER CH";#N/A,#N/A,FALSE,"EA CH (2) ";#N/A,#N/A,FALSE,"EA CH";#N/A,#N/A,FALSE,"EA CH (3) ";#N/A,#N/A,FALSE,"EA CH (4)";#N/A,#N/A,FALSE,"KA CH";#N/A,#N/A,FALSE,"KA CH  (2)";#N/A,#N/A,FALSE,"KA CH  (3)";#N/A,#N/A,FALSE,"KA CH (4)"}</definedName>
    <definedName name="dfggfhhj_1" localSheetId="0" hidden="1">{#N/A,#N/A,FALSE,"Umsatz CH";#N/A,#N/A,FALSE,"ER CH";#N/A,#N/A,FALSE,"EA CH (2) ";#N/A,#N/A,FALSE,"EA CH";#N/A,#N/A,FALSE,"EA CH (3) ";#N/A,#N/A,FALSE,"EA CH (4)";#N/A,#N/A,FALSE,"KA CH";#N/A,#N/A,FALSE,"KA CH  (2)";#N/A,#N/A,FALSE,"KA CH  (3)";#N/A,#N/A,FALSE,"KA CH (4)"}</definedName>
    <definedName name="dfggfhhj_1" localSheetId="6" hidden="1">{#N/A,#N/A,FALSE,"Umsatz CH";#N/A,#N/A,FALSE,"ER CH";#N/A,#N/A,FALSE,"EA CH (2) ";#N/A,#N/A,FALSE,"EA CH";#N/A,#N/A,FALSE,"EA CH (3) ";#N/A,#N/A,FALSE,"EA CH (4)";#N/A,#N/A,FALSE,"KA CH";#N/A,#N/A,FALSE,"KA CH  (2)";#N/A,#N/A,FALSE,"KA CH  (3)";#N/A,#N/A,FALSE,"KA CH (4)"}</definedName>
    <definedName name="dfggfhhj_1" hidden="1">{#N/A,#N/A,FALSE,"Umsatz CH";#N/A,#N/A,FALSE,"ER CH";#N/A,#N/A,FALSE,"EA CH (2) ";#N/A,#N/A,FALSE,"EA CH";#N/A,#N/A,FALSE,"EA CH (3) ";#N/A,#N/A,FALSE,"EA CH (4)";#N/A,#N/A,FALSE,"KA CH";#N/A,#N/A,FALSE,"KA CH  (2)";#N/A,#N/A,FALSE,"KA CH  (3)";#N/A,#N/A,FALSE,"KA CH (4)"}</definedName>
    <definedName name="dfggfhhj_1_1" localSheetId="0" hidden="1">{#N/A,#N/A,FALSE,"Umsatz CH";#N/A,#N/A,FALSE,"ER CH";#N/A,#N/A,FALSE,"EA CH (2) ";#N/A,#N/A,FALSE,"EA CH";#N/A,#N/A,FALSE,"EA CH (3) ";#N/A,#N/A,FALSE,"EA CH (4)";#N/A,#N/A,FALSE,"KA CH";#N/A,#N/A,FALSE,"KA CH  (2)";#N/A,#N/A,FALSE,"KA CH  (3)";#N/A,#N/A,FALSE,"KA CH (4)"}</definedName>
    <definedName name="dfggfhhj_1_1" localSheetId="6" hidden="1">{#N/A,#N/A,FALSE,"Umsatz CH";#N/A,#N/A,FALSE,"ER CH";#N/A,#N/A,FALSE,"EA CH (2) ";#N/A,#N/A,FALSE,"EA CH";#N/A,#N/A,FALSE,"EA CH (3) ";#N/A,#N/A,FALSE,"EA CH (4)";#N/A,#N/A,FALSE,"KA CH";#N/A,#N/A,FALSE,"KA CH  (2)";#N/A,#N/A,FALSE,"KA CH  (3)";#N/A,#N/A,FALSE,"KA CH (4)"}</definedName>
    <definedName name="dfggfhhj_1_1" hidden="1">{#N/A,#N/A,FALSE,"Umsatz CH";#N/A,#N/A,FALSE,"ER CH";#N/A,#N/A,FALSE,"EA CH (2) ";#N/A,#N/A,FALSE,"EA CH";#N/A,#N/A,FALSE,"EA CH (3) ";#N/A,#N/A,FALSE,"EA CH (4)";#N/A,#N/A,FALSE,"KA CH";#N/A,#N/A,FALSE,"KA CH  (2)";#N/A,#N/A,FALSE,"KA CH  (3)";#N/A,#N/A,FALSE,"KA CH (4)"}</definedName>
    <definedName name="dfggfhhj_2" localSheetId="0" hidden="1">{#N/A,#N/A,FALSE,"Umsatz CH";#N/A,#N/A,FALSE,"ER CH";#N/A,#N/A,FALSE,"EA CH (2) ";#N/A,#N/A,FALSE,"EA CH";#N/A,#N/A,FALSE,"EA CH (3) ";#N/A,#N/A,FALSE,"EA CH (4)";#N/A,#N/A,FALSE,"KA CH";#N/A,#N/A,FALSE,"KA CH  (2)";#N/A,#N/A,FALSE,"KA CH  (3)";#N/A,#N/A,FALSE,"KA CH (4)"}</definedName>
    <definedName name="dfggfhhj_2" localSheetId="6" hidden="1">{#N/A,#N/A,FALSE,"Umsatz CH";#N/A,#N/A,FALSE,"ER CH";#N/A,#N/A,FALSE,"EA CH (2) ";#N/A,#N/A,FALSE,"EA CH";#N/A,#N/A,FALSE,"EA CH (3) ";#N/A,#N/A,FALSE,"EA CH (4)";#N/A,#N/A,FALSE,"KA CH";#N/A,#N/A,FALSE,"KA CH  (2)";#N/A,#N/A,FALSE,"KA CH  (3)";#N/A,#N/A,FALSE,"KA CH (4)"}</definedName>
    <definedName name="dfggfhhj_2" hidden="1">{#N/A,#N/A,FALSE,"Umsatz CH";#N/A,#N/A,FALSE,"ER CH";#N/A,#N/A,FALSE,"EA CH (2) ";#N/A,#N/A,FALSE,"EA CH";#N/A,#N/A,FALSE,"EA CH (3) ";#N/A,#N/A,FALSE,"EA CH (4)";#N/A,#N/A,FALSE,"KA CH";#N/A,#N/A,FALSE,"KA CH  (2)";#N/A,#N/A,FALSE,"KA CH  (3)";#N/A,#N/A,FALSE,"KA CH (4)"}</definedName>
    <definedName name="dfggfhhj_3" localSheetId="0" hidden="1">{#N/A,#N/A,FALSE,"Umsatz CH";#N/A,#N/A,FALSE,"ER CH";#N/A,#N/A,FALSE,"EA CH (2) ";#N/A,#N/A,FALSE,"EA CH";#N/A,#N/A,FALSE,"EA CH (3) ";#N/A,#N/A,FALSE,"EA CH (4)";#N/A,#N/A,FALSE,"KA CH";#N/A,#N/A,FALSE,"KA CH  (2)";#N/A,#N/A,FALSE,"KA CH  (3)";#N/A,#N/A,FALSE,"KA CH (4)"}</definedName>
    <definedName name="dfggfhhj_3" localSheetId="6" hidden="1">{#N/A,#N/A,FALSE,"Umsatz CH";#N/A,#N/A,FALSE,"ER CH";#N/A,#N/A,FALSE,"EA CH (2) ";#N/A,#N/A,FALSE,"EA CH";#N/A,#N/A,FALSE,"EA CH (3) ";#N/A,#N/A,FALSE,"EA CH (4)";#N/A,#N/A,FALSE,"KA CH";#N/A,#N/A,FALSE,"KA CH  (2)";#N/A,#N/A,FALSE,"KA CH  (3)";#N/A,#N/A,FALSE,"KA CH (4)"}</definedName>
    <definedName name="dfggfhhj_3" hidden="1">{#N/A,#N/A,FALSE,"Umsatz CH";#N/A,#N/A,FALSE,"ER CH";#N/A,#N/A,FALSE,"EA CH (2) ";#N/A,#N/A,FALSE,"EA CH";#N/A,#N/A,FALSE,"EA CH (3) ";#N/A,#N/A,FALSE,"EA CH (4)";#N/A,#N/A,FALSE,"KA CH";#N/A,#N/A,FALSE,"KA CH  (2)";#N/A,#N/A,FALSE,"KA CH  (3)";#N/A,#N/A,FALSE,"KA CH (4)"}</definedName>
    <definedName name="dfggfhhj_4" localSheetId="0" hidden="1">{#N/A,#N/A,FALSE,"Umsatz CH";#N/A,#N/A,FALSE,"ER CH";#N/A,#N/A,FALSE,"EA CH (2) ";#N/A,#N/A,FALSE,"EA CH";#N/A,#N/A,FALSE,"EA CH (3) ";#N/A,#N/A,FALSE,"EA CH (4)";#N/A,#N/A,FALSE,"KA CH";#N/A,#N/A,FALSE,"KA CH  (2)";#N/A,#N/A,FALSE,"KA CH  (3)";#N/A,#N/A,FALSE,"KA CH (4)"}</definedName>
    <definedName name="dfggfhhj_4" localSheetId="6" hidden="1">{#N/A,#N/A,FALSE,"Umsatz CH";#N/A,#N/A,FALSE,"ER CH";#N/A,#N/A,FALSE,"EA CH (2) ";#N/A,#N/A,FALSE,"EA CH";#N/A,#N/A,FALSE,"EA CH (3) ";#N/A,#N/A,FALSE,"EA CH (4)";#N/A,#N/A,FALSE,"KA CH";#N/A,#N/A,FALSE,"KA CH  (2)";#N/A,#N/A,FALSE,"KA CH  (3)";#N/A,#N/A,FALSE,"KA CH (4)"}</definedName>
    <definedName name="dfggfhhj_4" hidden="1">{#N/A,#N/A,FALSE,"Umsatz CH";#N/A,#N/A,FALSE,"ER CH";#N/A,#N/A,FALSE,"EA CH (2) ";#N/A,#N/A,FALSE,"EA CH";#N/A,#N/A,FALSE,"EA CH (3) ";#N/A,#N/A,FALSE,"EA CH (4)";#N/A,#N/A,FALSE,"KA CH";#N/A,#N/A,FALSE,"KA CH  (2)";#N/A,#N/A,FALSE,"KA CH  (3)";#N/A,#N/A,FALSE,"KA CH (4)"}</definedName>
    <definedName name="dfggfhhj_5" localSheetId="0" hidden="1">{#N/A,#N/A,FALSE,"Umsatz CH";#N/A,#N/A,FALSE,"ER CH";#N/A,#N/A,FALSE,"EA CH (2) ";#N/A,#N/A,FALSE,"EA CH";#N/A,#N/A,FALSE,"EA CH (3) ";#N/A,#N/A,FALSE,"EA CH (4)";#N/A,#N/A,FALSE,"KA CH";#N/A,#N/A,FALSE,"KA CH  (2)";#N/A,#N/A,FALSE,"KA CH  (3)";#N/A,#N/A,FALSE,"KA CH (4)"}</definedName>
    <definedName name="dfggfhhj_5" localSheetId="6" hidden="1">{#N/A,#N/A,FALSE,"Umsatz CH";#N/A,#N/A,FALSE,"ER CH";#N/A,#N/A,FALSE,"EA CH (2) ";#N/A,#N/A,FALSE,"EA CH";#N/A,#N/A,FALSE,"EA CH (3) ";#N/A,#N/A,FALSE,"EA CH (4)";#N/A,#N/A,FALSE,"KA CH";#N/A,#N/A,FALSE,"KA CH  (2)";#N/A,#N/A,FALSE,"KA CH  (3)";#N/A,#N/A,FALSE,"KA CH (4)"}</definedName>
    <definedName name="dfggfhhj_5" hidden="1">{#N/A,#N/A,FALSE,"Umsatz CH";#N/A,#N/A,FALSE,"ER CH";#N/A,#N/A,FALSE,"EA CH (2) ";#N/A,#N/A,FALSE,"EA CH";#N/A,#N/A,FALSE,"EA CH (3) ";#N/A,#N/A,FALSE,"EA CH (4)";#N/A,#N/A,FALSE,"KA CH";#N/A,#N/A,FALSE,"KA CH  (2)";#N/A,#N/A,FALSE,"KA CH  (3)";#N/A,#N/A,FALSE,"KA CH (4)"}</definedName>
    <definedName name="dfgh"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fgh"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fgh"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fghdfhdg" localSheetId="0" hidden="1">{#N/A,#N/A,FALSE,"Umsatz 99";#N/A,#N/A,FALSE,"ER 99 "}</definedName>
    <definedName name="dfghdfhdg" localSheetId="6" hidden="1">{#N/A,#N/A,FALSE,"Umsatz 99";#N/A,#N/A,FALSE,"ER 99 "}</definedName>
    <definedName name="dfghdfhdg" hidden="1">{#N/A,#N/A,FALSE,"Umsatz 99";#N/A,#N/A,FALSE,"ER 99 "}</definedName>
    <definedName name="dfghdfhdg_1" localSheetId="0" hidden="1">{#N/A,#N/A,FALSE,"Umsatz 99";#N/A,#N/A,FALSE,"ER 99 "}</definedName>
    <definedName name="dfghdfhdg_1" localSheetId="6" hidden="1">{#N/A,#N/A,FALSE,"Umsatz 99";#N/A,#N/A,FALSE,"ER 99 "}</definedName>
    <definedName name="dfghdfhdg_1" hidden="1">{#N/A,#N/A,FALSE,"Umsatz 99";#N/A,#N/A,FALSE,"ER 99 "}</definedName>
    <definedName name="dfghdfhdg_1_1" localSheetId="0" hidden="1">{#N/A,#N/A,FALSE,"Umsatz 99";#N/A,#N/A,FALSE,"ER 99 "}</definedName>
    <definedName name="dfghdfhdg_1_1" localSheetId="6" hidden="1">{#N/A,#N/A,FALSE,"Umsatz 99";#N/A,#N/A,FALSE,"ER 99 "}</definedName>
    <definedName name="dfghdfhdg_1_1" hidden="1">{#N/A,#N/A,FALSE,"Umsatz 99";#N/A,#N/A,FALSE,"ER 99 "}</definedName>
    <definedName name="dfghdfhdg_2" localSheetId="0" hidden="1">{#N/A,#N/A,FALSE,"Umsatz 99";#N/A,#N/A,FALSE,"ER 99 "}</definedName>
    <definedName name="dfghdfhdg_2" localSheetId="6" hidden="1">{#N/A,#N/A,FALSE,"Umsatz 99";#N/A,#N/A,FALSE,"ER 99 "}</definedName>
    <definedName name="dfghdfhdg_2" hidden="1">{#N/A,#N/A,FALSE,"Umsatz 99";#N/A,#N/A,FALSE,"ER 99 "}</definedName>
    <definedName name="dfghdfhdg_3" localSheetId="0" hidden="1">{#N/A,#N/A,FALSE,"Umsatz 99";#N/A,#N/A,FALSE,"ER 99 "}</definedName>
    <definedName name="dfghdfhdg_3" localSheetId="6" hidden="1">{#N/A,#N/A,FALSE,"Umsatz 99";#N/A,#N/A,FALSE,"ER 99 "}</definedName>
    <definedName name="dfghdfhdg_3" hidden="1">{#N/A,#N/A,FALSE,"Umsatz 99";#N/A,#N/A,FALSE,"ER 99 "}</definedName>
    <definedName name="dfghdfhdg_4" localSheetId="0" hidden="1">{#N/A,#N/A,FALSE,"Umsatz 99";#N/A,#N/A,FALSE,"ER 99 "}</definedName>
    <definedName name="dfghdfhdg_4" localSheetId="6" hidden="1">{#N/A,#N/A,FALSE,"Umsatz 99";#N/A,#N/A,FALSE,"ER 99 "}</definedName>
    <definedName name="dfghdfhdg_4" hidden="1">{#N/A,#N/A,FALSE,"Umsatz 99";#N/A,#N/A,FALSE,"ER 99 "}</definedName>
    <definedName name="dfghdfhdg_5" localSheetId="0" hidden="1">{#N/A,#N/A,FALSE,"Umsatz 99";#N/A,#N/A,FALSE,"ER 99 "}</definedName>
    <definedName name="dfghdfhdg_5" localSheetId="6" hidden="1">{#N/A,#N/A,FALSE,"Umsatz 99";#N/A,#N/A,FALSE,"ER 99 "}</definedName>
    <definedName name="dfghdfhdg_5" hidden="1">{#N/A,#N/A,FALSE,"Umsatz 99";#N/A,#N/A,FALSE,"ER 99 "}</definedName>
    <definedName name="DFGHG"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DFGHG"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dfgt" localSheetId="0" hidden="1">{"cover",#N/A,TRUE,"Cover";"toc6",#N/A,TRUE,"TOC";"over",#N/A,TRUE,"Overview";"ts2",#N/A,TRUE,"Det_Trans_Sum";"ei1",#N/A,TRUE,"Earnings Impact";"ad1",#N/A,TRUE,"accretion dilution";"hg1",#N/A,TRUE,"Has-Gets";"pfis1",#N/A,TRUE,"Pro Forma Income Statement";"ca1",#N/A,TRUE,"Contribution_Analysis";"acq1",#N/A,TRUE,"Acquirer";"tar1",#N/A,TRUE,"Target"}</definedName>
    <definedName name="dfgt" localSheetId="6" hidden="1">{"cover",#N/A,TRUE,"Cover";"toc6",#N/A,TRUE,"TOC";"over",#N/A,TRUE,"Overview";"ts2",#N/A,TRUE,"Det_Trans_Sum";"ei1",#N/A,TRUE,"Earnings Impact";"ad1",#N/A,TRUE,"accretion dilution";"hg1",#N/A,TRUE,"Has-Gets";"pfis1",#N/A,TRUE,"Pro Forma Income Statement";"ca1",#N/A,TRUE,"Contribution_Analysis";"acq1",#N/A,TRUE,"Acquirer";"tar1",#N/A,TRUE,"Target"}</definedName>
    <definedName name="dfgt" hidden="1">{"cover",#N/A,TRUE,"Cover";"toc6",#N/A,TRUE,"TOC";"over",#N/A,TRUE,"Overview";"ts2",#N/A,TRUE,"Det_Trans_Sum";"ei1",#N/A,TRUE,"Earnings Impact";"ad1",#N/A,TRUE,"accretion dilution";"hg1",#N/A,TRUE,"Has-Gets";"pfis1",#N/A,TRUE,"Pro Forma Income Statement";"ca1",#N/A,TRUE,"Contribution_Analysis";"acq1",#N/A,TRUE,"Acquirer";"tar1",#N/A,TRUE,"Target"}</definedName>
    <definedName name="DFGTAETETYER" localSheetId="6" hidden="1">{"'Break down'!$A$4"}</definedName>
    <definedName name="DFGTAETETYER" hidden="1">{"'Break down'!$A$4"}</definedName>
    <definedName name="dfhb" localSheetId="6" hidden="1">{"year1",#N/A,FALSE,"IZT";"year2",#N/A,FALSE,"IZT"}</definedName>
    <definedName name="dfhb" hidden="1">{"year1",#N/A,FALSE,"IZT";"year2",#N/A,FALSE,"IZT"}</definedName>
    <definedName name="DFHFDHFDH" localSheetId="0" hidden="1">{#N/A,#N/A,FALSE,"Operations";#N/A,#N/A,FALSE,"Financials"}</definedName>
    <definedName name="DFHFDHFDH" localSheetId="6" hidden="1">{#N/A,#N/A,FALSE,"Operations";#N/A,#N/A,FALSE,"Financials"}</definedName>
    <definedName name="DFHFDHFDH" hidden="1">{#N/A,#N/A,FALSE,"Operations";#N/A,#N/A,FALSE,"Financials"}</definedName>
    <definedName name="dfhfh" hidden="1">#REF!</definedName>
    <definedName name="dfnfdnfd" localSheetId="0" hidden="1">{#N/A,#N/A,FALSE,"Assessment";#N/A,#N/A,FALSE,"Staffing";#N/A,#N/A,FALSE,"Hires";#N/A,#N/A,FALSE,"Assumptions"}</definedName>
    <definedName name="dfnfdnfd" localSheetId="6" hidden="1">{#N/A,#N/A,FALSE,"Assessment";#N/A,#N/A,FALSE,"Staffing";#N/A,#N/A,FALSE,"Hires";#N/A,#N/A,FALSE,"Assumptions"}</definedName>
    <definedName name="dfnfdnfd" hidden="1">{#N/A,#N/A,FALSE,"Assessment";#N/A,#N/A,FALSE,"Staffing";#N/A,#N/A,FALSE,"Hires";#N/A,#N/A,FALSE,"Assumptions"}</definedName>
    <definedName name="dfnfdnfd_1" localSheetId="0" hidden="1">{#N/A,#N/A,FALSE,"Assessment";#N/A,#N/A,FALSE,"Staffing";#N/A,#N/A,FALSE,"Hires";#N/A,#N/A,FALSE,"Assumptions"}</definedName>
    <definedName name="dfnfdnfd_1" localSheetId="6" hidden="1">{#N/A,#N/A,FALSE,"Assessment";#N/A,#N/A,FALSE,"Staffing";#N/A,#N/A,FALSE,"Hires";#N/A,#N/A,FALSE,"Assumptions"}</definedName>
    <definedName name="dfnfdnfd_1" hidden="1">{#N/A,#N/A,FALSE,"Assessment";#N/A,#N/A,FALSE,"Staffing";#N/A,#N/A,FALSE,"Hires";#N/A,#N/A,FALSE,"Assumptions"}</definedName>
    <definedName name="DFNWC">#REF!</definedName>
    <definedName name="dfnwc_cash">#REF!</definedName>
    <definedName name="dfr" localSheetId="0" hidden="1">{#N/A,#N/A,FALSE,"Pharm";#N/A,#N/A,FALSE,"WWCM"}</definedName>
    <definedName name="dfr" localSheetId="6" hidden="1">{#N/A,#N/A,FALSE,"Pharm";#N/A,#N/A,FALSE,"WWCM"}</definedName>
    <definedName name="dfr" hidden="1">{#N/A,#N/A,FALSE,"Pharm";#N/A,#N/A,FALSE,"WWCM"}</definedName>
    <definedName name="dfr_1" localSheetId="0" hidden="1">{#N/A,#N/A,FALSE,"Pharm";#N/A,#N/A,FALSE,"WWCM"}</definedName>
    <definedName name="dfr_1" localSheetId="6" hidden="1">{#N/A,#N/A,FALSE,"Pharm";#N/A,#N/A,FALSE,"WWCM"}</definedName>
    <definedName name="dfr_1" hidden="1">{#N/A,#N/A,FALSE,"Pharm";#N/A,#N/A,FALSE,"WWCM"}</definedName>
    <definedName name="dfr_1_1" localSheetId="0" hidden="1">{#N/A,#N/A,FALSE,"Pharm";#N/A,#N/A,FALSE,"WWCM"}</definedName>
    <definedName name="dfr_1_1" localSheetId="6" hidden="1">{#N/A,#N/A,FALSE,"Pharm";#N/A,#N/A,FALSE,"WWCM"}</definedName>
    <definedName name="dfr_1_1" hidden="1">{#N/A,#N/A,FALSE,"Pharm";#N/A,#N/A,FALSE,"WWCM"}</definedName>
    <definedName name="dfr_2" localSheetId="0" hidden="1">{#N/A,#N/A,FALSE,"Pharm";#N/A,#N/A,FALSE,"WWCM"}</definedName>
    <definedName name="dfr_2" localSheetId="6" hidden="1">{#N/A,#N/A,FALSE,"Pharm";#N/A,#N/A,FALSE,"WWCM"}</definedName>
    <definedName name="dfr_2" hidden="1">{#N/A,#N/A,FALSE,"Pharm";#N/A,#N/A,FALSE,"WWCM"}</definedName>
    <definedName name="dfr_3" localSheetId="0" hidden="1">{#N/A,#N/A,FALSE,"Pharm";#N/A,#N/A,FALSE,"WWCM"}</definedName>
    <definedName name="dfr_3" localSheetId="6" hidden="1">{#N/A,#N/A,FALSE,"Pharm";#N/A,#N/A,FALSE,"WWCM"}</definedName>
    <definedName name="dfr_3" hidden="1">{#N/A,#N/A,FALSE,"Pharm";#N/A,#N/A,FALSE,"WWCM"}</definedName>
    <definedName name="dfr_4" localSheetId="0" hidden="1">{#N/A,#N/A,FALSE,"Pharm";#N/A,#N/A,FALSE,"WWCM"}</definedName>
    <definedName name="dfr_4" localSheetId="6" hidden="1">{#N/A,#N/A,FALSE,"Pharm";#N/A,#N/A,FALSE,"WWCM"}</definedName>
    <definedName name="dfr_4" hidden="1">{#N/A,#N/A,FALSE,"Pharm";#N/A,#N/A,FALSE,"WWCM"}</definedName>
    <definedName name="dfr_5" localSheetId="0" hidden="1">{#N/A,#N/A,FALSE,"Pharm";#N/A,#N/A,FALSE,"WWCM"}</definedName>
    <definedName name="dfr_5" localSheetId="6" hidden="1">{#N/A,#N/A,FALSE,"Pharm";#N/A,#N/A,FALSE,"WWCM"}</definedName>
    <definedName name="dfr_5" hidden="1">{#N/A,#N/A,FALSE,"Pharm";#N/A,#N/A,FALSE,"WWCM"}</definedName>
    <definedName name="dfreq">#REF!</definedName>
    <definedName name="dfsd">#REF!</definedName>
    <definedName name="dfsdfdsf" localSheetId="0" hidden="1">{#N/A,#N/A,FALSE,"Umsatz CH";#N/A,#N/A,FALSE,"ER CH";#N/A,#N/A,FALSE,"EA CH (2) ";#N/A,#N/A,FALSE,"EA CH";#N/A,#N/A,FALSE,"EA CH (3) ";#N/A,#N/A,FALSE,"EA CH (4)";#N/A,#N/A,FALSE,"KA CH";#N/A,#N/A,FALSE,"KA CH  (2)";#N/A,#N/A,FALSE,"KA CH  (3)";#N/A,#N/A,FALSE,"KA CH (4)"}</definedName>
    <definedName name="dfsdfdsf" localSheetId="6" hidden="1">{#N/A,#N/A,FALSE,"Umsatz CH";#N/A,#N/A,FALSE,"ER CH";#N/A,#N/A,FALSE,"EA CH (2) ";#N/A,#N/A,FALSE,"EA CH";#N/A,#N/A,FALSE,"EA CH (3) ";#N/A,#N/A,FALSE,"EA CH (4)";#N/A,#N/A,FALSE,"KA CH";#N/A,#N/A,FALSE,"KA CH  (2)";#N/A,#N/A,FALSE,"KA CH  (3)";#N/A,#N/A,FALSE,"KA CH (4)"}</definedName>
    <definedName name="dfsdfdsf" hidden="1">{#N/A,#N/A,FALSE,"Umsatz CH";#N/A,#N/A,FALSE,"ER CH";#N/A,#N/A,FALSE,"EA CH (2) ";#N/A,#N/A,FALSE,"EA CH";#N/A,#N/A,FALSE,"EA CH (3) ";#N/A,#N/A,FALSE,"EA CH (4)";#N/A,#N/A,FALSE,"KA CH";#N/A,#N/A,FALSE,"KA CH  (2)";#N/A,#N/A,FALSE,"KA CH  (3)";#N/A,#N/A,FALSE,"KA CH (4)"}</definedName>
    <definedName name="dfsdfdsf_1" localSheetId="0" hidden="1">{#N/A,#N/A,FALSE,"Umsatz CH";#N/A,#N/A,FALSE,"ER CH";#N/A,#N/A,FALSE,"EA CH (2) ";#N/A,#N/A,FALSE,"EA CH";#N/A,#N/A,FALSE,"EA CH (3) ";#N/A,#N/A,FALSE,"EA CH (4)";#N/A,#N/A,FALSE,"KA CH";#N/A,#N/A,FALSE,"KA CH  (2)";#N/A,#N/A,FALSE,"KA CH  (3)";#N/A,#N/A,FALSE,"KA CH (4)"}</definedName>
    <definedName name="dfsdfdsf_1" localSheetId="6" hidden="1">{#N/A,#N/A,FALSE,"Umsatz CH";#N/A,#N/A,FALSE,"ER CH";#N/A,#N/A,FALSE,"EA CH (2) ";#N/A,#N/A,FALSE,"EA CH";#N/A,#N/A,FALSE,"EA CH (3) ";#N/A,#N/A,FALSE,"EA CH (4)";#N/A,#N/A,FALSE,"KA CH";#N/A,#N/A,FALSE,"KA CH  (2)";#N/A,#N/A,FALSE,"KA CH  (3)";#N/A,#N/A,FALSE,"KA CH (4)"}</definedName>
    <definedName name="dfsdfdsf_1" hidden="1">{#N/A,#N/A,FALSE,"Umsatz CH";#N/A,#N/A,FALSE,"ER CH";#N/A,#N/A,FALSE,"EA CH (2) ";#N/A,#N/A,FALSE,"EA CH";#N/A,#N/A,FALSE,"EA CH (3) ";#N/A,#N/A,FALSE,"EA CH (4)";#N/A,#N/A,FALSE,"KA CH";#N/A,#N/A,FALSE,"KA CH  (2)";#N/A,#N/A,FALSE,"KA CH  (3)";#N/A,#N/A,FALSE,"KA CH (4)"}</definedName>
    <definedName name="dfsdfdsf_1_1" localSheetId="0" hidden="1">{#N/A,#N/A,FALSE,"Umsatz CH";#N/A,#N/A,FALSE,"ER CH";#N/A,#N/A,FALSE,"EA CH (2) ";#N/A,#N/A,FALSE,"EA CH";#N/A,#N/A,FALSE,"EA CH (3) ";#N/A,#N/A,FALSE,"EA CH (4)";#N/A,#N/A,FALSE,"KA CH";#N/A,#N/A,FALSE,"KA CH  (2)";#N/A,#N/A,FALSE,"KA CH  (3)";#N/A,#N/A,FALSE,"KA CH (4)"}</definedName>
    <definedName name="dfsdfdsf_1_1" localSheetId="6" hidden="1">{#N/A,#N/A,FALSE,"Umsatz CH";#N/A,#N/A,FALSE,"ER CH";#N/A,#N/A,FALSE,"EA CH (2) ";#N/A,#N/A,FALSE,"EA CH";#N/A,#N/A,FALSE,"EA CH (3) ";#N/A,#N/A,FALSE,"EA CH (4)";#N/A,#N/A,FALSE,"KA CH";#N/A,#N/A,FALSE,"KA CH  (2)";#N/A,#N/A,FALSE,"KA CH  (3)";#N/A,#N/A,FALSE,"KA CH (4)"}</definedName>
    <definedName name="dfsdfdsf_1_1" hidden="1">{#N/A,#N/A,FALSE,"Umsatz CH";#N/A,#N/A,FALSE,"ER CH";#N/A,#N/A,FALSE,"EA CH (2) ";#N/A,#N/A,FALSE,"EA CH";#N/A,#N/A,FALSE,"EA CH (3) ";#N/A,#N/A,FALSE,"EA CH (4)";#N/A,#N/A,FALSE,"KA CH";#N/A,#N/A,FALSE,"KA CH  (2)";#N/A,#N/A,FALSE,"KA CH  (3)";#N/A,#N/A,FALSE,"KA CH (4)"}</definedName>
    <definedName name="dfsdfdsf_2" localSheetId="0" hidden="1">{#N/A,#N/A,FALSE,"Umsatz CH";#N/A,#N/A,FALSE,"ER CH";#N/A,#N/A,FALSE,"EA CH (2) ";#N/A,#N/A,FALSE,"EA CH";#N/A,#N/A,FALSE,"EA CH (3) ";#N/A,#N/A,FALSE,"EA CH (4)";#N/A,#N/A,FALSE,"KA CH";#N/A,#N/A,FALSE,"KA CH  (2)";#N/A,#N/A,FALSE,"KA CH  (3)";#N/A,#N/A,FALSE,"KA CH (4)"}</definedName>
    <definedName name="dfsdfdsf_2" localSheetId="6" hidden="1">{#N/A,#N/A,FALSE,"Umsatz CH";#N/A,#N/A,FALSE,"ER CH";#N/A,#N/A,FALSE,"EA CH (2) ";#N/A,#N/A,FALSE,"EA CH";#N/A,#N/A,FALSE,"EA CH (3) ";#N/A,#N/A,FALSE,"EA CH (4)";#N/A,#N/A,FALSE,"KA CH";#N/A,#N/A,FALSE,"KA CH  (2)";#N/A,#N/A,FALSE,"KA CH  (3)";#N/A,#N/A,FALSE,"KA CH (4)"}</definedName>
    <definedName name="dfsdfdsf_2" hidden="1">{#N/A,#N/A,FALSE,"Umsatz CH";#N/A,#N/A,FALSE,"ER CH";#N/A,#N/A,FALSE,"EA CH (2) ";#N/A,#N/A,FALSE,"EA CH";#N/A,#N/A,FALSE,"EA CH (3) ";#N/A,#N/A,FALSE,"EA CH (4)";#N/A,#N/A,FALSE,"KA CH";#N/A,#N/A,FALSE,"KA CH  (2)";#N/A,#N/A,FALSE,"KA CH  (3)";#N/A,#N/A,FALSE,"KA CH (4)"}</definedName>
    <definedName name="dfsdfdsf_3" localSheetId="0" hidden="1">{#N/A,#N/A,FALSE,"Umsatz CH";#N/A,#N/A,FALSE,"ER CH";#N/A,#N/A,FALSE,"EA CH (2) ";#N/A,#N/A,FALSE,"EA CH";#N/A,#N/A,FALSE,"EA CH (3) ";#N/A,#N/A,FALSE,"EA CH (4)";#N/A,#N/A,FALSE,"KA CH";#N/A,#N/A,FALSE,"KA CH  (2)";#N/A,#N/A,FALSE,"KA CH  (3)";#N/A,#N/A,FALSE,"KA CH (4)"}</definedName>
    <definedName name="dfsdfdsf_3" localSheetId="6" hidden="1">{#N/A,#N/A,FALSE,"Umsatz CH";#N/A,#N/A,FALSE,"ER CH";#N/A,#N/A,FALSE,"EA CH (2) ";#N/A,#N/A,FALSE,"EA CH";#N/A,#N/A,FALSE,"EA CH (3) ";#N/A,#N/A,FALSE,"EA CH (4)";#N/A,#N/A,FALSE,"KA CH";#N/A,#N/A,FALSE,"KA CH  (2)";#N/A,#N/A,FALSE,"KA CH  (3)";#N/A,#N/A,FALSE,"KA CH (4)"}</definedName>
    <definedName name="dfsdfdsf_3" hidden="1">{#N/A,#N/A,FALSE,"Umsatz CH";#N/A,#N/A,FALSE,"ER CH";#N/A,#N/A,FALSE,"EA CH (2) ";#N/A,#N/A,FALSE,"EA CH";#N/A,#N/A,FALSE,"EA CH (3) ";#N/A,#N/A,FALSE,"EA CH (4)";#N/A,#N/A,FALSE,"KA CH";#N/A,#N/A,FALSE,"KA CH  (2)";#N/A,#N/A,FALSE,"KA CH  (3)";#N/A,#N/A,FALSE,"KA CH (4)"}</definedName>
    <definedName name="dfsdfdsf_4" localSheetId="0" hidden="1">{#N/A,#N/A,FALSE,"Umsatz CH";#N/A,#N/A,FALSE,"ER CH";#N/A,#N/A,FALSE,"EA CH (2) ";#N/A,#N/A,FALSE,"EA CH";#N/A,#N/A,FALSE,"EA CH (3) ";#N/A,#N/A,FALSE,"EA CH (4)";#N/A,#N/A,FALSE,"KA CH";#N/A,#N/A,FALSE,"KA CH  (2)";#N/A,#N/A,FALSE,"KA CH  (3)";#N/A,#N/A,FALSE,"KA CH (4)"}</definedName>
    <definedName name="dfsdfdsf_4" localSheetId="6" hidden="1">{#N/A,#N/A,FALSE,"Umsatz CH";#N/A,#N/A,FALSE,"ER CH";#N/A,#N/A,FALSE,"EA CH (2) ";#N/A,#N/A,FALSE,"EA CH";#N/A,#N/A,FALSE,"EA CH (3) ";#N/A,#N/A,FALSE,"EA CH (4)";#N/A,#N/A,FALSE,"KA CH";#N/A,#N/A,FALSE,"KA CH  (2)";#N/A,#N/A,FALSE,"KA CH  (3)";#N/A,#N/A,FALSE,"KA CH (4)"}</definedName>
    <definedName name="dfsdfdsf_4" hidden="1">{#N/A,#N/A,FALSE,"Umsatz CH";#N/A,#N/A,FALSE,"ER CH";#N/A,#N/A,FALSE,"EA CH (2) ";#N/A,#N/A,FALSE,"EA CH";#N/A,#N/A,FALSE,"EA CH (3) ";#N/A,#N/A,FALSE,"EA CH (4)";#N/A,#N/A,FALSE,"KA CH";#N/A,#N/A,FALSE,"KA CH  (2)";#N/A,#N/A,FALSE,"KA CH  (3)";#N/A,#N/A,FALSE,"KA CH (4)"}</definedName>
    <definedName name="dfsdfdsf_5" localSheetId="0" hidden="1">{#N/A,#N/A,FALSE,"Umsatz CH";#N/A,#N/A,FALSE,"ER CH";#N/A,#N/A,FALSE,"EA CH (2) ";#N/A,#N/A,FALSE,"EA CH";#N/A,#N/A,FALSE,"EA CH (3) ";#N/A,#N/A,FALSE,"EA CH (4)";#N/A,#N/A,FALSE,"KA CH";#N/A,#N/A,FALSE,"KA CH  (2)";#N/A,#N/A,FALSE,"KA CH  (3)";#N/A,#N/A,FALSE,"KA CH (4)"}</definedName>
    <definedName name="dfsdfdsf_5" localSheetId="6" hidden="1">{#N/A,#N/A,FALSE,"Umsatz CH";#N/A,#N/A,FALSE,"ER CH";#N/A,#N/A,FALSE,"EA CH (2) ";#N/A,#N/A,FALSE,"EA CH";#N/A,#N/A,FALSE,"EA CH (3) ";#N/A,#N/A,FALSE,"EA CH (4)";#N/A,#N/A,FALSE,"KA CH";#N/A,#N/A,FALSE,"KA CH  (2)";#N/A,#N/A,FALSE,"KA CH  (3)";#N/A,#N/A,FALSE,"KA CH (4)"}</definedName>
    <definedName name="dfsdfdsf_5" hidden="1">{#N/A,#N/A,FALSE,"Umsatz CH";#N/A,#N/A,FALSE,"ER CH";#N/A,#N/A,FALSE,"EA CH (2) ";#N/A,#N/A,FALSE,"EA CH";#N/A,#N/A,FALSE,"EA CH (3) ";#N/A,#N/A,FALSE,"EA CH (4)";#N/A,#N/A,FALSE,"KA CH";#N/A,#N/A,FALSE,"KA CH  (2)";#N/A,#N/A,FALSE,"KA CH  (3)";#N/A,#N/A,FALSE,"KA CH (4)"}</definedName>
    <definedName name="dfsdfgdfas" localSheetId="4" hidden="1">Main.SAPF4Help()</definedName>
    <definedName name="dfsdfgdfas" localSheetId="0" hidden="1">Main.SAPF4Help()</definedName>
    <definedName name="dfsdfgdfas" localSheetId="2" hidden="1">Main.SAPF4Help()</definedName>
    <definedName name="dfsdfgdfas" localSheetId="6" hidden="1">Main.SAPF4Help()</definedName>
    <definedName name="dfsdfgdfas" hidden="1">Main.SAPF4Help()</definedName>
    <definedName name="dfsdfsdfsdfsdf" localSheetId="0" hidden="1">{"GLI-Income Statement",#N/A,FALSE,"gli";"GLI - Balance Sheet Wksht",#N/A,FALSE,"gli";"GLI-Cash Flow",#N/A,FALSE,"gli";"GLI Qtrly Stats",#N/A,FALSE,"gli"}</definedName>
    <definedName name="dfsdfsdfsdfsdf" localSheetId="6" hidden="1">{"GLI-Income Statement",#N/A,FALSE,"gli";"GLI - Balance Sheet Wksht",#N/A,FALSE,"gli";"GLI-Cash Flow",#N/A,FALSE,"gli";"GLI Qtrly Stats",#N/A,FALSE,"gli"}</definedName>
    <definedName name="dfsdfsdfsdfsdf" hidden="1">{"GLI-Income Statement",#N/A,FALSE,"gli";"GLI - Balance Sheet Wksht",#N/A,FALSE,"gli";"GLI-Cash Flow",#N/A,FALSE,"gli";"GLI Qtrly Stats",#N/A,FALSE,"gli"}</definedName>
    <definedName name="dfsfsd" localSheetId="0" hidden="1">{"SUMM",#N/A,TRUE,"C";"ACT_PROD",#N/A,TRUE,"A";"ACT_SHIP",#N/A,TRUE,"A";"BP_YLD",#N/A,TRUE,"B";"ACTZ_PROD",#N/A,TRUE,"D";"ACTZ_SHIP",#N/A,TRUE,"D";"ACTZ_YLD",#N/A,TRUE,"E";"CPSI_PROD",#N/A,TRUE,"F";"CPSI_SHIP",#N/A,TRUE,"F"}</definedName>
    <definedName name="dfsfsd" localSheetId="6" hidden="1">{"SUMM",#N/A,TRUE,"C";"ACT_PROD",#N/A,TRUE,"A";"ACT_SHIP",#N/A,TRUE,"A";"BP_YLD",#N/A,TRUE,"B";"ACTZ_PROD",#N/A,TRUE,"D";"ACTZ_SHIP",#N/A,TRUE,"D";"ACTZ_YLD",#N/A,TRUE,"E";"CPSI_PROD",#N/A,TRUE,"F";"CPSI_SHIP",#N/A,TRUE,"F"}</definedName>
    <definedName name="dfsfsd" hidden="1">{"SUMM",#N/A,TRUE,"C";"ACT_PROD",#N/A,TRUE,"A";"ACT_SHIP",#N/A,TRUE,"A";"BP_YLD",#N/A,TRUE,"B";"ACTZ_PROD",#N/A,TRUE,"D";"ACTZ_SHIP",#N/A,TRUE,"D";"ACTZ_YLD",#N/A,TRUE,"E";"CPSI_PROD",#N/A,TRUE,"F";"CPSI_SHIP",#N/A,TRUE,"F"}</definedName>
    <definedName name="dftt"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dftt"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dfwefwe" hidden="1">#REF!</definedName>
    <definedName name="DG" hidden="1">#REF!</definedName>
    <definedName name="dgd" localSheetId="6" hidden="1">{#N/A,#N/A,FALSE,"Calculator"}</definedName>
    <definedName name="dgd" hidden="1">{#N/A,#N/A,FALSE,"Calculator"}</definedName>
    <definedName name="dgd_1" localSheetId="6" hidden="1">{#N/A,#N/A,FALSE,"Calculator"}</definedName>
    <definedName name="dgd_1" hidden="1">{#N/A,#N/A,FALSE,"Calculator"}</definedName>
    <definedName name="dgdfgdgfdg" localSheetId="0" hidden="1">{"hiden",#N/A,FALSE,"14";"hidden",#N/A,FALSE,"16";"hidden",#N/A,FALSE,"18";"hidden",#N/A,FALSE,"20"}</definedName>
    <definedName name="dgdfgdgfdg" localSheetId="6" hidden="1">{"hiden",#N/A,FALSE,"14";"hidden",#N/A,FALSE,"16";"hidden",#N/A,FALSE,"18";"hidden",#N/A,FALSE,"20"}</definedName>
    <definedName name="dgdfgdgfdg" hidden="1">{"hiden",#N/A,FALSE,"14";"hidden",#N/A,FALSE,"16";"hidden",#N/A,FALSE,"18";"hidden",#N/A,FALSE,"20"}</definedName>
    <definedName name="dgdfgfd" localSheetId="0" hidden="1">{"up stand alones",#N/A,FALSE,"Acquiror"}</definedName>
    <definedName name="dgdfgfd" localSheetId="6" hidden="1">{"up stand alones",#N/A,FALSE,"Acquiror"}</definedName>
    <definedName name="dgdfgfd" hidden="1">{"up stand alones",#N/A,FALSE,"Acquiror"}</definedName>
    <definedName name="dgdg" localSheetId="0" hidden="1">{#N/A,#N/A,FALSE,"Calc";#N/A,#N/A,FALSE,"Sensitivity";#N/A,#N/A,FALSE,"LT Earn.Dil.";#N/A,#N/A,FALSE,"Dil. AVP"}</definedName>
    <definedName name="dgdg" localSheetId="6" hidden="1">{#N/A,#N/A,FALSE,"Calc";#N/A,#N/A,FALSE,"Sensitivity";#N/A,#N/A,FALSE,"LT Earn.Dil.";#N/A,#N/A,FALSE,"Dil. AVP"}</definedName>
    <definedName name="dgdg" hidden="1">{#N/A,#N/A,FALSE,"Calc";#N/A,#N/A,FALSE,"Sensitivity";#N/A,#N/A,FALSE,"LT Earn.Dil.";#N/A,#N/A,FALSE,"Dil. AVP"}</definedName>
    <definedName name="dgdgdfg" localSheetId="0" hidden="1">{"away stand alones",#N/A,FALSE,"Target"}</definedName>
    <definedName name="dgdgdfg" localSheetId="6" hidden="1">{"away stand alones",#N/A,FALSE,"Target"}</definedName>
    <definedName name="dgdgdfg" hidden="1">{"away stand alones",#N/A,FALSE,"Target"}</definedName>
    <definedName name="dgdgdgfd" localSheetId="0" hidden="1">{#N/A,#N/A,FALSE,"Operations";#N/A,#N/A,FALSE,"Financials"}</definedName>
    <definedName name="dgdgdgfd" localSheetId="6" hidden="1">{#N/A,#N/A,FALSE,"Operations";#N/A,#N/A,FALSE,"Financials"}</definedName>
    <definedName name="dgdgdgfd" hidden="1">{#N/A,#N/A,FALSE,"Operations";#N/A,#N/A,FALSE,"Financials"}</definedName>
    <definedName name="dgdgdgfdg" localSheetId="0" hidden="1">{"assumption 50 50",#N/A,TRUE,"Merger";"has gets cash",#N/A,TRUE,"Merger";"accretion dilution",#N/A,TRUE,"Merger";"comparison credit stats",#N/A,TRUE,"Merger";"pf credit stats",#N/A,TRUE,"Merger";"pf sheets",#N/A,TRUE,"Merger"}</definedName>
    <definedName name="dgdgdgfdg" localSheetId="6" hidden="1">{"assumption 50 50",#N/A,TRUE,"Merger";"has gets cash",#N/A,TRUE,"Merger";"accretion dilution",#N/A,TRUE,"Merger";"comparison credit stats",#N/A,TRUE,"Merger";"pf credit stats",#N/A,TRUE,"Merger";"pf sheets",#N/A,TRUE,"Merger"}</definedName>
    <definedName name="dgdgdgfdg" hidden="1">{"assumption 50 50",#N/A,TRUE,"Merger";"has gets cash",#N/A,TRUE,"Merger";"accretion dilution",#N/A,TRUE,"Merger";"comparison credit stats",#N/A,TRUE,"Merger";"pf credit stats",#N/A,TRUE,"Merger";"pf sheets",#N/A,TRUE,"Merger"}</definedName>
    <definedName name="dgdgfd" localSheetId="0" hidden="1">{"assumption 50 50",#N/A,TRUE,"Merger";"has gets cash",#N/A,TRUE,"Merger";"accretion dilution",#N/A,TRUE,"Merger";"comparison credit stats",#N/A,TRUE,"Merger";"pf credit stats",#N/A,TRUE,"Merger";"pf sheets",#N/A,TRUE,"Merger"}</definedName>
    <definedName name="dgdgfd" localSheetId="6" hidden="1">{"assumption 50 50",#N/A,TRUE,"Merger";"has gets cash",#N/A,TRUE,"Merger";"accretion dilution",#N/A,TRUE,"Merger";"comparison credit stats",#N/A,TRUE,"Merger";"pf credit stats",#N/A,TRUE,"Merger";"pf sheets",#N/A,TRUE,"Merger"}</definedName>
    <definedName name="dgdgfd" hidden="1">{"assumption 50 50",#N/A,TRUE,"Merger";"has gets cash",#N/A,TRUE,"Merger";"accretion dilution",#N/A,TRUE,"Merger";"comparison credit stats",#N/A,TRUE,"Merger";"pf credit stats",#N/A,TRUE,"Merger";"pf sheets",#N/A,TRUE,"Merger"}</definedName>
    <definedName name="dgdgfdgfdgfd" localSheetId="0" hidden="1">{"assumption cash",#N/A,TRUE,"Merger";"has gets cash",#N/A,TRUE,"Merger";"accretion dilution",#N/A,TRUE,"Merger";"comparison credit stats",#N/A,TRUE,"Merger";"pf credit stats",#N/A,TRUE,"Merger";"pf sheets",#N/A,TRUE,"Merger"}</definedName>
    <definedName name="dgdgfdgfdgfd" localSheetId="6" hidden="1">{"assumption cash",#N/A,TRUE,"Merger";"has gets cash",#N/A,TRUE,"Merger";"accretion dilution",#N/A,TRUE,"Merger";"comparison credit stats",#N/A,TRUE,"Merger";"pf credit stats",#N/A,TRUE,"Merger";"pf sheets",#N/A,TRUE,"Merger"}</definedName>
    <definedName name="dgdgfdgfdgfd" hidden="1">{"assumption cash",#N/A,TRUE,"Merger";"has gets cash",#N/A,TRUE,"Merger";"accretion dilution",#N/A,TRUE,"Merger";"comparison credit stats",#N/A,TRUE,"Merger";"pf credit stats",#N/A,TRUE,"Merger";"pf sheets",#N/A,TRUE,"Merger"}</definedName>
    <definedName name="dgdgss" localSheetId="0" hidden="1">{"consolidated",#N/A,FALSE,"Sheet1";"cms",#N/A,FALSE,"Sheet1";"fse",#N/A,FALSE,"Sheet1"}</definedName>
    <definedName name="dgdgss" localSheetId="6" hidden="1">{"consolidated",#N/A,FALSE,"Sheet1";"cms",#N/A,FALSE,"Sheet1";"fse",#N/A,FALSE,"Sheet1"}</definedName>
    <definedName name="dgdgss" hidden="1">{"consolidated",#N/A,FALSE,"Sheet1";"cms",#N/A,FALSE,"Sheet1";"fse",#N/A,FALSE,"Sheet1"}</definedName>
    <definedName name="dgdsgdsg" localSheetId="0" hidden="1">{"comps2",#N/A,FALSE,"AERO";"footnotes",#N/A,FALSE,"AERO"}</definedName>
    <definedName name="dgdsgdsg" localSheetId="6" hidden="1">{"comps2",#N/A,FALSE,"AERO";"footnotes",#N/A,FALSE,"AERO"}</definedName>
    <definedName name="dgdsgdsg" hidden="1">{"comps2",#N/A,FALSE,"AERO";"footnotes",#N/A,FALSE,"AERO"}</definedName>
    <definedName name="dgfbdbd"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dgfbdbd"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dgfbdbd" hidden="1">{#N/A,#N/A,TRUE,"COVER2";#N/A,#N/A,TRUE,"AGENDA";#N/A,#N/A,TRUE,"Cover";#N/A,#N/A,TRUE,"4M";#N/A,#N/A,TRUE,"FLP&amp;L4M";#N/A,#N/A,TRUE,"4MMC";#N/A,#N/A,TRUE,"Shp4M";#N/A,#N/A,TRUE,"M5";#N/A,#N/A,TRUE,"Q2";#N/A,#N/A,TRUE,"Q1vsQ2";#N/A,#N/A,TRUE,"M6";#N/A,#N/A,TRUE,"TY";#N/A,#N/A,TRUE,"FLP&amp;LTY";#N/A,#N/A,TRUE,"TYMC";#N/A,#N/A,TRUE,"ShpTY";#N/A,#N/A,TRUE,"8M";#N/A,#N/A,TRUE,"FLP&amp;L8M";#N/A,#N/A,TRUE,"8MMC";#N/A,#N/A,TRUE,"Shp8M"}</definedName>
    <definedName name="dgfd" localSheetId="6"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localSheetId="6" hidden="1">{#N/A,#N/A,FALSE,"SumG";#N/A,#N/A,FALSE,"ElecG";#N/A,#N/A,FALSE,"MechG";#N/A,#N/A,FALSE,"GeotG";#N/A,#N/A,FALSE,"PrcsG";#N/A,#N/A,FALSE,"TunnG";#N/A,#N/A,FALSE,"CivlG";#N/A,#N/A,FALSE,"NtwkG";#N/A,#N/A,FALSE,"EstgG";#N/A,#N/A,FALSE,"PEngG"}</definedName>
    <definedName name="dgfd_1" hidden="1">{#N/A,#N/A,FALSE,"SumG";#N/A,#N/A,FALSE,"ElecG";#N/A,#N/A,FALSE,"MechG";#N/A,#N/A,FALSE,"GeotG";#N/A,#N/A,FALSE,"PrcsG";#N/A,#N/A,FALSE,"TunnG";#N/A,#N/A,FALSE,"CivlG";#N/A,#N/A,FALSE,"NtwkG";#N/A,#N/A,FALSE,"EstgG";#N/A,#N/A,FALSE,"PEngG"}</definedName>
    <definedName name="dgfdgfdg" localSheetId="0" hidden="1">{#N/A,#N/A,FALSE,"Calc";#N/A,#N/A,FALSE,"Sensitivity";#N/A,#N/A,FALSE,"LT Earn.Dil.";#N/A,#N/A,FALSE,"Dil. AVP"}</definedName>
    <definedName name="dgfdgfdg" localSheetId="6" hidden="1">{#N/A,#N/A,FALSE,"Calc";#N/A,#N/A,FALSE,"Sensitivity";#N/A,#N/A,FALSE,"LT Earn.Dil.";#N/A,#N/A,FALSE,"Dil. AVP"}</definedName>
    <definedName name="dgfdgfdg" hidden="1">{#N/A,#N/A,FALSE,"Calc";#N/A,#N/A,FALSE,"Sensitivity";#N/A,#N/A,FALSE,"LT Earn.Dil.";#N/A,#N/A,FALSE,"Dil. AVP"}</definedName>
    <definedName name="dgfhgf" localSheetId="0" hidden="1">{#N/A,#N/A,FALSE,"ORIX CSC"}</definedName>
    <definedName name="dgfhgf" localSheetId="6" hidden="1">{#N/A,#N/A,FALSE,"ORIX CSC"}</definedName>
    <definedName name="dgfhgf" hidden="1">{#N/A,#N/A,FALSE,"ORIX CSC"}</definedName>
    <definedName name="dghgh" localSheetId="0" hidden="1">{#N/A,#N/A,FALSE,"Produkte Erw.";#N/A,#N/A,FALSE,"Produkte Plan";#N/A,#N/A,FALSE,"Leistungen Erw.";#N/A,#N/A,FALSE,"Leistungen Plan";#N/A,#N/A,FALSE,"KA Allg.Kosten (2)";#N/A,#N/A,FALSE,"KA All.Kosten"}</definedName>
    <definedName name="dghgh" localSheetId="6" hidden="1">{#N/A,#N/A,FALSE,"Produkte Erw.";#N/A,#N/A,FALSE,"Produkte Plan";#N/A,#N/A,FALSE,"Leistungen Erw.";#N/A,#N/A,FALSE,"Leistungen Plan";#N/A,#N/A,FALSE,"KA Allg.Kosten (2)";#N/A,#N/A,FALSE,"KA All.Kosten"}</definedName>
    <definedName name="dghgh" hidden="1">{#N/A,#N/A,FALSE,"Produkte Erw.";#N/A,#N/A,FALSE,"Produkte Plan";#N/A,#N/A,FALSE,"Leistungen Erw.";#N/A,#N/A,FALSE,"Leistungen Plan";#N/A,#N/A,FALSE,"KA Allg.Kosten (2)";#N/A,#N/A,FALSE,"KA All.Kosten"}</definedName>
    <definedName name="dghgh_1" localSheetId="0" hidden="1">{#N/A,#N/A,FALSE,"Produkte Erw.";#N/A,#N/A,FALSE,"Produkte Plan";#N/A,#N/A,FALSE,"Leistungen Erw.";#N/A,#N/A,FALSE,"Leistungen Plan";#N/A,#N/A,FALSE,"KA Allg.Kosten (2)";#N/A,#N/A,FALSE,"KA All.Kosten"}</definedName>
    <definedName name="dghgh_1" localSheetId="6" hidden="1">{#N/A,#N/A,FALSE,"Produkte Erw.";#N/A,#N/A,FALSE,"Produkte Plan";#N/A,#N/A,FALSE,"Leistungen Erw.";#N/A,#N/A,FALSE,"Leistungen Plan";#N/A,#N/A,FALSE,"KA Allg.Kosten (2)";#N/A,#N/A,FALSE,"KA All.Kosten"}</definedName>
    <definedName name="dghgh_1" hidden="1">{#N/A,#N/A,FALSE,"Produkte Erw.";#N/A,#N/A,FALSE,"Produkte Plan";#N/A,#N/A,FALSE,"Leistungen Erw.";#N/A,#N/A,FALSE,"Leistungen Plan";#N/A,#N/A,FALSE,"KA Allg.Kosten (2)";#N/A,#N/A,FALSE,"KA All.Kosten"}</definedName>
    <definedName name="dghgh_1_1" localSheetId="0" hidden="1">{#N/A,#N/A,FALSE,"Produkte Erw.";#N/A,#N/A,FALSE,"Produkte Plan";#N/A,#N/A,FALSE,"Leistungen Erw.";#N/A,#N/A,FALSE,"Leistungen Plan";#N/A,#N/A,FALSE,"KA Allg.Kosten (2)";#N/A,#N/A,FALSE,"KA All.Kosten"}</definedName>
    <definedName name="dghgh_1_1" localSheetId="6" hidden="1">{#N/A,#N/A,FALSE,"Produkte Erw.";#N/A,#N/A,FALSE,"Produkte Plan";#N/A,#N/A,FALSE,"Leistungen Erw.";#N/A,#N/A,FALSE,"Leistungen Plan";#N/A,#N/A,FALSE,"KA Allg.Kosten (2)";#N/A,#N/A,FALSE,"KA All.Kosten"}</definedName>
    <definedName name="dghgh_1_1" hidden="1">{#N/A,#N/A,FALSE,"Produkte Erw.";#N/A,#N/A,FALSE,"Produkte Plan";#N/A,#N/A,FALSE,"Leistungen Erw.";#N/A,#N/A,FALSE,"Leistungen Plan";#N/A,#N/A,FALSE,"KA Allg.Kosten (2)";#N/A,#N/A,FALSE,"KA All.Kosten"}</definedName>
    <definedName name="dghgh_2" localSheetId="0" hidden="1">{#N/A,#N/A,FALSE,"Produkte Erw.";#N/A,#N/A,FALSE,"Produkte Plan";#N/A,#N/A,FALSE,"Leistungen Erw.";#N/A,#N/A,FALSE,"Leistungen Plan";#N/A,#N/A,FALSE,"KA Allg.Kosten (2)";#N/A,#N/A,FALSE,"KA All.Kosten"}</definedName>
    <definedName name="dghgh_2" localSheetId="6" hidden="1">{#N/A,#N/A,FALSE,"Produkte Erw.";#N/A,#N/A,FALSE,"Produkte Plan";#N/A,#N/A,FALSE,"Leistungen Erw.";#N/A,#N/A,FALSE,"Leistungen Plan";#N/A,#N/A,FALSE,"KA Allg.Kosten (2)";#N/A,#N/A,FALSE,"KA All.Kosten"}</definedName>
    <definedName name="dghgh_2" hidden="1">{#N/A,#N/A,FALSE,"Produkte Erw.";#N/A,#N/A,FALSE,"Produkte Plan";#N/A,#N/A,FALSE,"Leistungen Erw.";#N/A,#N/A,FALSE,"Leistungen Plan";#N/A,#N/A,FALSE,"KA Allg.Kosten (2)";#N/A,#N/A,FALSE,"KA All.Kosten"}</definedName>
    <definedName name="dghgh_3" localSheetId="0" hidden="1">{#N/A,#N/A,FALSE,"Produkte Erw.";#N/A,#N/A,FALSE,"Produkte Plan";#N/A,#N/A,FALSE,"Leistungen Erw.";#N/A,#N/A,FALSE,"Leistungen Plan";#N/A,#N/A,FALSE,"KA Allg.Kosten (2)";#N/A,#N/A,FALSE,"KA All.Kosten"}</definedName>
    <definedName name="dghgh_3" localSheetId="6" hidden="1">{#N/A,#N/A,FALSE,"Produkte Erw.";#N/A,#N/A,FALSE,"Produkte Plan";#N/A,#N/A,FALSE,"Leistungen Erw.";#N/A,#N/A,FALSE,"Leistungen Plan";#N/A,#N/A,FALSE,"KA Allg.Kosten (2)";#N/A,#N/A,FALSE,"KA All.Kosten"}</definedName>
    <definedName name="dghgh_3" hidden="1">{#N/A,#N/A,FALSE,"Produkte Erw.";#N/A,#N/A,FALSE,"Produkte Plan";#N/A,#N/A,FALSE,"Leistungen Erw.";#N/A,#N/A,FALSE,"Leistungen Plan";#N/A,#N/A,FALSE,"KA Allg.Kosten (2)";#N/A,#N/A,FALSE,"KA All.Kosten"}</definedName>
    <definedName name="dghgh_4" localSheetId="0" hidden="1">{#N/A,#N/A,FALSE,"Produkte Erw.";#N/A,#N/A,FALSE,"Produkte Plan";#N/A,#N/A,FALSE,"Leistungen Erw.";#N/A,#N/A,FALSE,"Leistungen Plan";#N/A,#N/A,FALSE,"KA Allg.Kosten (2)";#N/A,#N/A,FALSE,"KA All.Kosten"}</definedName>
    <definedName name="dghgh_4" localSheetId="6" hidden="1">{#N/A,#N/A,FALSE,"Produkte Erw.";#N/A,#N/A,FALSE,"Produkte Plan";#N/A,#N/A,FALSE,"Leistungen Erw.";#N/A,#N/A,FALSE,"Leistungen Plan";#N/A,#N/A,FALSE,"KA Allg.Kosten (2)";#N/A,#N/A,FALSE,"KA All.Kosten"}</definedName>
    <definedName name="dghgh_4" hidden="1">{#N/A,#N/A,FALSE,"Produkte Erw.";#N/A,#N/A,FALSE,"Produkte Plan";#N/A,#N/A,FALSE,"Leistungen Erw.";#N/A,#N/A,FALSE,"Leistungen Plan";#N/A,#N/A,FALSE,"KA Allg.Kosten (2)";#N/A,#N/A,FALSE,"KA All.Kosten"}</definedName>
    <definedName name="dghgh_5" localSheetId="0" hidden="1">{#N/A,#N/A,FALSE,"Produkte Erw.";#N/A,#N/A,FALSE,"Produkte Plan";#N/A,#N/A,FALSE,"Leistungen Erw.";#N/A,#N/A,FALSE,"Leistungen Plan";#N/A,#N/A,FALSE,"KA Allg.Kosten (2)";#N/A,#N/A,FALSE,"KA All.Kosten"}</definedName>
    <definedName name="dghgh_5" localSheetId="6" hidden="1">{#N/A,#N/A,FALSE,"Produkte Erw.";#N/A,#N/A,FALSE,"Produkte Plan";#N/A,#N/A,FALSE,"Leistungen Erw.";#N/A,#N/A,FALSE,"Leistungen Plan";#N/A,#N/A,FALSE,"KA Allg.Kosten (2)";#N/A,#N/A,FALSE,"KA All.Kosten"}</definedName>
    <definedName name="dghgh_5" hidden="1">{#N/A,#N/A,FALSE,"Produkte Erw.";#N/A,#N/A,FALSE,"Produkte Plan";#N/A,#N/A,FALSE,"Leistungen Erw.";#N/A,#N/A,FALSE,"Leistungen Plan";#N/A,#N/A,FALSE,"KA Allg.Kosten (2)";#N/A,#N/A,FALSE,"KA All.Kosten"}</definedName>
    <definedName name="dgndhgn" hidden="1">#REF!</definedName>
    <definedName name="DGY" localSheetId="6" hidden="1">{#N/A,#N/A,FALSE,"CoverPage";#N/A,#N/A,FALSE,"Objective";#N/A,#N/A,FALSE,"TeamNorm";#N/A,#N/A,FALSE,"PAE";#N/A,#N/A,FALSE,"PBE";#N/A,#N/A,FALSE,"PSE";#N/A,#N/A,FALSE,"PME";#N/A,#N/A,FALSE,"HSE"}</definedName>
    <definedName name="DGY" hidden="1">{#N/A,#N/A,FALSE,"CoverPage";#N/A,#N/A,FALSE,"Objective";#N/A,#N/A,FALSE,"TeamNorm";#N/A,#N/A,FALSE,"PAE";#N/A,#N/A,FALSE,"PBE";#N/A,#N/A,FALSE,"PSE";#N/A,#N/A,FALSE,"PME";#N/A,#N/A,FALSE,"HSE"}</definedName>
    <definedName name="dhdhf" localSheetId="0" hidden="1">{#N/A,#N/A,FALSE,"Cover Sheet";#N/A,#N/A,FALSE,"Financial Assumptions";#N/A,#N/A,FALSE,"DCFOverviewPower";#N/A,#N/A,FALSE,"DCFOverviewGas";#N/A,#N/A,FALSE,"DCFOverviewWater";#N/A,#N/A,FALSE,"DCFOverviewVersorgung"}</definedName>
    <definedName name="dhdhf" localSheetId="6" hidden="1">{#N/A,#N/A,FALSE,"Cover Sheet";#N/A,#N/A,FALSE,"Financial Assumptions";#N/A,#N/A,FALSE,"DCFOverviewPower";#N/A,#N/A,FALSE,"DCFOverviewGas";#N/A,#N/A,FALSE,"DCFOverviewWater";#N/A,#N/A,FALSE,"DCFOverviewVersorgung"}</definedName>
    <definedName name="dhdhf" hidden="1">{#N/A,#N/A,FALSE,"Cover Sheet";#N/A,#N/A,FALSE,"Financial Assumptions";#N/A,#N/A,FALSE,"DCFOverviewPower";#N/A,#N/A,FALSE,"DCFOverviewGas";#N/A,#N/A,FALSE,"DCFOverviewWater";#N/A,#N/A,FALSE,"DCFOverviewVersorgung"}</definedName>
    <definedName name="dhgdh" localSheetId="0" hidden="1">{"mgmt forecast",#N/A,FALSE,"Mgmt Forecast";"dcf table",#N/A,FALSE,"Mgmt Forecast";"sensitivity",#N/A,FALSE,"Mgmt Forecast";"table inputs",#N/A,FALSE,"Mgmt Forecast";"calculations",#N/A,FALSE,"Mgmt Forecast"}</definedName>
    <definedName name="dhgdh" localSheetId="6" hidden="1">{"mgmt forecast",#N/A,FALSE,"Mgmt Forecast";"dcf table",#N/A,FALSE,"Mgmt Forecast";"sensitivity",#N/A,FALSE,"Mgmt Forecast";"table inputs",#N/A,FALSE,"Mgmt Forecast";"calculations",#N/A,FALSE,"Mgmt Forecast"}</definedName>
    <definedName name="dhgdh" hidden="1">{"mgmt forecast",#N/A,FALSE,"Mgmt Forecast";"dcf table",#N/A,FALSE,"Mgmt Forecast";"sensitivity",#N/A,FALSE,"Mgmt Forecast";"table inputs",#N/A,FALSE,"Mgmt Forecast";"calculations",#N/A,FALSE,"Mgmt Forecast"}</definedName>
    <definedName name="dhgndn" hidden="1">#REF!</definedName>
    <definedName name="Diable" localSheetId="0" hidden="1">{#N/A,#N/A,FALSE,"Operations";#N/A,#N/A,FALSE,"Financials"}</definedName>
    <definedName name="Diable" localSheetId="6" hidden="1">{#N/A,#N/A,FALSE,"Operations";#N/A,#N/A,FALSE,"Financials"}</definedName>
    <definedName name="Diable" hidden="1">{#N/A,#N/A,FALSE,"Operations";#N/A,#N/A,FALSE,"Financials"}</definedName>
    <definedName name="diagnostic">#REF!</definedName>
    <definedName name="DIC" localSheetId="0" hidden="1">{"DJH3",#N/A,FALSE,"PFL00805";"PJB3",#N/A,FALSE,"PFL00805";"JMD3",#N/A,FALSE,"PFL00805";"DNB3",#N/A,FALSE,"PFL00805";"MJP3",#N/A,FALSE,"PFL00805";"RAB3",#N/A,FALSE,"PFL00805";"GJW3",#N/A,FALSE,"PFL00805";"MASTER3",#N/A,FALSE,"PFL00805"}</definedName>
    <definedName name="DIC" localSheetId="6" hidden="1">{"DJH3",#N/A,FALSE,"PFL00805";"PJB3",#N/A,FALSE,"PFL00805";"JMD3",#N/A,FALSE,"PFL00805";"DNB3",#N/A,FALSE,"PFL00805";"MJP3",#N/A,FALSE,"PFL00805";"RAB3",#N/A,FALSE,"PFL00805";"GJW3",#N/A,FALSE,"PFL00805";"MASTER3",#N/A,FALSE,"PFL00805"}</definedName>
    <definedName name="DIC" hidden="1">{"DJH3",#N/A,FALSE,"PFL00805";"PJB3",#N/A,FALSE,"PFL00805";"JMD3",#N/A,FALSE,"PFL00805";"DNB3",#N/A,FALSE,"PFL00805";"MJP3",#N/A,FALSE,"PFL00805";"RAB3",#N/A,FALSE,"PFL00805";"GJW3",#N/A,FALSE,"PFL00805";"MASTER3",#N/A,FALSE,"PFL00805"}</definedName>
    <definedName name="DIC_1" localSheetId="0" hidden="1">{"DJH3",#N/A,FALSE,"PFL00805";"PJB3",#N/A,FALSE,"PFL00805";"JMD3",#N/A,FALSE,"PFL00805";"DNB3",#N/A,FALSE,"PFL00805";"MJP3",#N/A,FALSE,"PFL00805";"RAB3",#N/A,FALSE,"PFL00805";"GJW3",#N/A,FALSE,"PFL00805";"MASTER3",#N/A,FALSE,"PFL00805"}</definedName>
    <definedName name="DIC_1" localSheetId="6" hidden="1">{"DJH3",#N/A,FALSE,"PFL00805";"PJB3",#N/A,FALSE,"PFL00805";"JMD3",#N/A,FALSE,"PFL00805";"DNB3",#N/A,FALSE,"PFL00805";"MJP3",#N/A,FALSE,"PFL00805";"RAB3",#N/A,FALSE,"PFL00805";"GJW3",#N/A,FALSE,"PFL00805";"MASTER3",#N/A,FALSE,"PFL00805"}</definedName>
    <definedName name="DIC_1" hidden="1">{"DJH3",#N/A,FALSE,"PFL00805";"PJB3",#N/A,FALSE,"PFL00805";"JMD3",#N/A,FALSE,"PFL00805";"DNB3",#N/A,FALSE,"PFL00805";"MJP3",#N/A,FALSE,"PFL00805";"RAB3",#N/A,FALSE,"PFL00805";"GJW3",#N/A,FALSE,"PFL00805";"MASTER3",#N/A,FALSE,"PFL00805"}</definedName>
    <definedName name="dif">#REF!</definedName>
    <definedName name="DiffConPre">#REF!</definedName>
    <definedName name="Difference">#REF!</definedName>
    <definedName name="Differences" localSheetId="0" hidden="1">{"Operating Data",#N/A,TRUE,"Sheet1";"Valuation Matrix",#N/A,TRUE,"Sheet1";"Sales Analysis",#N/A,TRUE,"Sheet1";"Closed Remodelled New",#N/A,TRUE,"Sheet1";"Competitive and FSP",#N/A,TRUE,"Sheet1";"Working Capital and Capex",#N/A,TRUE,"Sheet1";"depreciation",#N/A,TRUE,"Sheet1"}</definedName>
    <definedName name="Differences" localSheetId="6" hidden="1">{"Operating Data",#N/A,TRUE,"Sheet1";"Valuation Matrix",#N/A,TRUE,"Sheet1";"Sales Analysis",#N/A,TRUE,"Sheet1";"Closed Remodelled New",#N/A,TRUE,"Sheet1";"Competitive and FSP",#N/A,TRUE,"Sheet1";"Working Capital and Capex",#N/A,TRUE,"Sheet1";"depreciation",#N/A,TRUE,"Sheet1"}</definedName>
    <definedName name="Differences" hidden="1">{"Operating Data",#N/A,TRUE,"Sheet1";"Valuation Matrix",#N/A,TRUE,"Sheet1";"Sales Analysis",#N/A,TRUE,"Sheet1";"Closed Remodelled New",#N/A,TRUE,"Sheet1";"Competitive and FSP",#N/A,TRUE,"Sheet1";"Working Capital and Capex",#N/A,TRUE,"Sheet1";"depreciation",#N/A,TRUE,"Sheet1"}</definedName>
    <definedName name="dil" localSheetId="6" hidden="1">{#N/A,#N/A,FALSE,"K_DRIV"}</definedName>
    <definedName name="dil" hidden="1">{#N/A,#N/A,FALSE,"K_DRIV"}</definedName>
    <definedName name="DILUT_ADJUST" hidden="1">"DILUT_ADJUST"</definedName>
    <definedName name="DILUT_EPS_EXCL" hidden="1">"DILUT_EPS_EXCL"</definedName>
    <definedName name="DILUT_EPS_INCL" hidden="1">"DILUT_EPS_INCL"</definedName>
    <definedName name="DILUT_NORMAL_EPS" hidden="1">"DILUT_NORMAL_EPS"</definedName>
    <definedName name="DILUT_WEIGHT" hidden="1">"DILUT_WEIGHT"</definedName>
    <definedName name="DilutedShares">#REF!</definedName>
    <definedName name="dimac" localSheetId="0" hidden="1">{#N/A,#N/A,FALSE,"Tabl. D1";#N/A,#N/A,FALSE,"Tabl. D1 b";#N/A,#N/A,FALSE,"Tabl. D2";#N/A,#N/A,FALSE,"Tabl. D2 b";#N/A,#N/A,FALSE,"Tabl. D3";#N/A,#N/A,FALSE,"Tabl. D4";#N/A,#N/A,FALSE,"Tabl. D5"}</definedName>
    <definedName name="dimac" localSheetId="6" hidden="1">{#N/A,#N/A,FALSE,"Tabl. D1";#N/A,#N/A,FALSE,"Tabl. D1 b";#N/A,#N/A,FALSE,"Tabl. D2";#N/A,#N/A,FALSE,"Tabl. D2 b";#N/A,#N/A,FALSE,"Tabl. D3";#N/A,#N/A,FALSE,"Tabl. D4";#N/A,#N/A,FALSE,"Tabl. D5"}</definedName>
    <definedName name="dimac" hidden="1">{#N/A,#N/A,FALSE,"Tabl. D1";#N/A,#N/A,FALSE,"Tabl. D1 b";#N/A,#N/A,FALSE,"Tabl. D2";#N/A,#N/A,FALSE,"Tabl. D2 b";#N/A,#N/A,FALSE,"Tabl. D3";#N/A,#N/A,FALSE,"Tabl. D4";#N/A,#N/A,FALSE,"Tabl. D5"}</definedName>
    <definedName name="dinesh" localSheetId="6" hidden="1">{"VIEW1",#N/A,FALSE,"P&amp;L Account 2001-2002";"VIEW2",#N/A,FALSE,"P&amp;L Account 2001-2002";"VIEW3",#N/A,FALSE,"P&amp;L Account 2001-2002";"VIEW4",#N/A,FALSE,"P&amp;L Account 2001-2002"}</definedName>
    <definedName name="dinesh" hidden="1">{"VIEW1",#N/A,FALSE,"P&amp;L Account 2001-2002";"VIEW2",#N/A,FALSE,"P&amp;L Account 2001-2002";"VIEW3",#N/A,FALSE,"P&amp;L Account 2001-2002";"VIEW4",#N/A,FALSE,"P&amp;L Account 2001-2002"}</definedName>
    <definedName name="dInt">#REF!</definedName>
    <definedName name="dir" localSheetId="0" hidden="1">{#N/A,#N/A,FALSE,"COMP"}</definedName>
    <definedName name="dir" localSheetId="6" hidden="1">{#N/A,#N/A,FALSE,"COMP"}</definedName>
    <definedName name="dir" hidden="1">{#N/A,#N/A,FALSE,"COMP"}</definedName>
    <definedName name="disc_period_cgm">#REF!</definedName>
    <definedName name="disc_period_exit">#REF!</definedName>
    <definedName name="DISCONT_OPER" hidden="1">"DISCONT_OPER"</definedName>
    <definedName name="Discount" hidden="1">#REF!</definedName>
    <definedName name="discount_period">#REF!</definedName>
    <definedName name="DISCOUNT_RATE">#REF!</definedName>
    <definedName name="display_area_2" hidden="1">#REF!</definedName>
    <definedName name="DisplayNoDataAsZero_List">#REF!</definedName>
    <definedName name="dist" hidden="1">#REF!</definedName>
    <definedName name="Div_Inc_pb" hidden="1">#REF!</definedName>
    <definedName name="DivApb" hidden="1">#REF!</definedName>
    <definedName name="DivBpb" hidden="1">#REF!</definedName>
    <definedName name="DivCpb" hidden="1">#REF!</definedName>
    <definedName name="DivDpb" hidden="1">#REF!</definedName>
    <definedName name="DivEpb" hidden="1">#REF!</definedName>
    <definedName name="DivFpb" hidden="1">#REF!</definedName>
    <definedName name="DivGpb" hidden="1">#REF!</definedName>
    <definedName name="DivHpb" hidden="1">#REF!</definedName>
    <definedName name="DIVID_SHARE" hidden="1">"DIVID_SHARE"</definedName>
    <definedName name="Division_Name2" hidden="1">#REF!</definedName>
    <definedName name="Divisional_Toggle" hidden="1">#REF!</definedName>
    <definedName name="djfslkjgfmfdlkj">#REF!</definedName>
    <definedName name="djksljd" localSheetId="0" hidden="1">{#N/A,#N/A,FALSE,"Other";#N/A,#N/A,FALSE,"Ace";#N/A,#N/A,FALSE,"Derm"}</definedName>
    <definedName name="djksljd" localSheetId="6" hidden="1">{#N/A,#N/A,FALSE,"Other";#N/A,#N/A,FALSE,"Ace";#N/A,#N/A,FALSE,"Derm"}</definedName>
    <definedName name="djksljd" hidden="1">{#N/A,#N/A,FALSE,"Other";#N/A,#N/A,FALSE,"Ace";#N/A,#N/A,FALSE,"Derm"}</definedName>
    <definedName name="djksljd_1" localSheetId="0" hidden="1">{#N/A,#N/A,FALSE,"Other";#N/A,#N/A,FALSE,"Ace";#N/A,#N/A,FALSE,"Derm"}</definedName>
    <definedName name="djksljd_1" localSheetId="6" hidden="1">{#N/A,#N/A,FALSE,"Other";#N/A,#N/A,FALSE,"Ace";#N/A,#N/A,FALSE,"Derm"}</definedName>
    <definedName name="djksljd_1" hidden="1">{#N/A,#N/A,FALSE,"Other";#N/A,#N/A,FALSE,"Ace";#N/A,#N/A,FALSE,"Derm"}</definedName>
    <definedName name="djksljd_1_1" localSheetId="0" hidden="1">{#N/A,#N/A,FALSE,"Other";#N/A,#N/A,FALSE,"Ace";#N/A,#N/A,FALSE,"Derm"}</definedName>
    <definedName name="djksljd_1_1" localSheetId="6" hidden="1">{#N/A,#N/A,FALSE,"Other";#N/A,#N/A,FALSE,"Ace";#N/A,#N/A,FALSE,"Derm"}</definedName>
    <definedName name="djksljd_1_1" hidden="1">{#N/A,#N/A,FALSE,"Other";#N/A,#N/A,FALSE,"Ace";#N/A,#N/A,FALSE,"Derm"}</definedName>
    <definedName name="djksljd_2" localSheetId="0" hidden="1">{#N/A,#N/A,FALSE,"Other";#N/A,#N/A,FALSE,"Ace";#N/A,#N/A,FALSE,"Derm"}</definedName>
    <definedName name="djksljd_2" localSheetId="6" hidden="1">{#N/A,#N/A,FALSE,"Other";#N/A,#N/A,FALSE,"Ace";#N/A,#N/A,FALSE,"Derm"}</definedName>
    <definedName name="djksljd_2" hidden="1">{#N/A,#N/A,FALSE,"Other";#N/A,#N/A,FALSE,"Ace";#N/A,#N/A,FALSE,"Derm"}</definedName>
    <definedName name="djksljd_3" localSheetId="0" hidden="1">{#N/A,#N/A,FALSE,"Other";#N/A,#N/A,FALSE,"Ace";#N/A,#N/A,FALSE,"Derm"}</definedName>
    <definedName name="djksljd_3" localSheetId="6" hidden="1">{#N/A,#N/A,FALSE,"Other";#N/A,#N/A,FALSE,"Ace";#N/A,#N/A,FALSE,"Derm"}</definedName>
    <definedName name="djksljd_3" hidden="1">{#N/A,#N/A,FALSE,"Other";#N/A,#N/A,FALSE,"Ace";#N/A,#N/A,FALSE,"Derm"}</definedName>
    <definedName name="djksljd_4" localSheetId="0" hidden="1">{#N/A,#N/A,FALSE,"Other";#N/A,#N/A,FALSE,"Ace";#N/A,#N/A,FALSE,"Derm"}</definedName>
    <definedName name="djksljd_4" localSheetId="6" hidden="1">{#N/A,#N/A,FALSE,"Other";#N/A,#N/A,FALSE,"Ace";#N/A,#N/A,FALSE,"Derm"}</definedName>
    <definedName name="djksljd_4" hidden="1">{#N/A,#N/A,FALSE,"Other";#N/A,#N/A,FALSE,"Ace";#N/A,#N/A,FALSE,"Derm"}</definedName>
    <definedName name="djksljd_5" localSheetId="0" hidden="1">{#N/A,#N/A,FALSE,"Other";#N/A,#N/A,FALSE,"Ace";#N/A,#N/A,FALSE,"Derm"}</definedName>
    <definedName name="djksljd_5" localSheetId="6" hidden="1">{#N/A,#N/A,FALSE,"Other";#N/A,#N/A,FALSE,"Ace";#N/A,#N/A,FALSE,"Derm"}</definedName>
    <definedName name="djksljd_5" hidden="1">{#N/A,#N/A,FALSE,"Other";#N/A,#N/A,FALSE,"Ace";#N/A,#N/A,FALSE,"Derm"}</definedName>
    <definedName name="dkgahirghigf" localSheetId="0" hidden="1">{#N/A,#N/A,FALSE,"Pharm";#N/A,#N/A,FALSE,"WWCM"}</definedName>
    <definedName name="dkgahirghigf" localSheetId="6" hidden="1">{#N/A,#N/A,FALSE,"Pharm";#N/A,#N/A,FALSE,"WWCM"}</definedName>
    <definedName name="dkgahirghigf" hidden="1">{#N/A,#N/A,FALSE,"Pharm";#N/A,#N/A,FALSE,"WWCM"}</definedName>
    <definedName name="dkgahirghigf_1" localSheetId="0" hidden="1">{#N/A,#N/A,FALSE,"Pharm";#N/A,#N/A,FALSE,"WWCM"}</definedName>
    <definedName name="dkgahirghigf_1" localSheetId="6" hidden="1">{#N/A,#N/A,FALSE,"Pharm";#N/A,#N/A,FALSE,"WWCM"}</definedName>
    <definedName name="dkgahirghigf_1" hidden="1">{#N/A,#N/A,FALSE,"Pharm";#N/A,#N/A,FALSE,"WWCM"}</definedName>
    <definedName name="dkgahirghigf_1_1" localSheetId="0" hidden="1">{#N/A,#N/A,FALSE,"Pharm";#N/A,#N/A,FALSE,"WWCM"}</definedName>
    <definedName name="dkgahirghigf_1_1" localSheetId="6" hidden="1">{#N/A,#N/A,FALSE,"Pharm";#N/A,#N/A,FALSE,"WWCM"}</definedName>
    <definedName name="dkgahirghigf_1_1" hidden="1">{#N/A,#N/A,FALSE,"Pharm";#N/A,#N/A,FALSE,"WWCM"}</definedName>
    <definedName name="dkgahirghigf_2" localSheetId="0" hidden="1">{#N/A,#N/A,FALSE,"Pharm";#N/A,#N/A,FALSE,"WWCM"}</definedName>
    <definedName name="dkgahirghigf_2" localSheetId="6" hidden="1">{#N/A,#N/A,FALSE,"Pharm";#N/A,#N/A,FALSE,"WWCM"}</definedName>
    <definedName name="dkgahirghigf_2" hidden="1">{#N/A,#N/A,FALSE,"Pharm";#N/A,#N/A,FALSE,"WWCM"}</definedName>
    <definedName name="dkgahirghigf_3" localSheetId="0" hidden="1">{#N/A,#N/A,FALSE,"Pharm";#N/A,#N/A,FALSE,"WWCM"}</definedName>
    <definedName name="dkgahirghigf_3" localSheetId="6" hidden="1">{#N/A,#N/A,FALSE,"Pharm";#N/A,#N/A,FALSE,"WWCM"}</definedName>
    <definedName name="dkgahirghigf_3" hidden="1">{#N/A,#N/A,FALSE,"Pharm";#N/A,#N/A,FALSE,"WWCM"}</definedName>
    <definedName name="dkgahirghigf_4" localSheetId="0" hidden="1">{#N/A,#N/A,FALSE,"Pharm";#N/A,#N/A,FALSE,"WWCM"}</definedName>
    <definedName name="dkgahirghigf_4" localSheetId="6" hidden="1">{#N/A,#N/A,FALSE,"Pharm";#N/A,#N/A,FALSE,"WWCM"}</definedName>
    <definedName name="dkgahirghigf_4" hidden="1">{#N/A,#N/A,FALSE,"Pharm";#N/A,#N/A,FALSE,"WWCM"}</definedName>
    <definedName name="dkgahirghigf_5" localSheetId="0" hidden="1">{#N/A,#N/A,FALSE,"Pharm";#N/A,#N/A,FALSE,"WWCM"}</definedName>
    <definedName name="dkgahirghigf_5" localSheetId="6" hidden="1">{#N/A,#N/A,FALSE,"Pharm";#N/A,#N/A,FALSE,"WWCM"}</definedName>
    <definedName name="dkgahirghigf_5" hidden="1">{#N/A,#N/A,FALSE,"Pharm";#N/A,#N/A,FALSE,"WWCM"}</definedName>
    <definedName name="dkk" localSheetId="0" hidden="1">{"Valuation - Letter",#N/A,TRUE,"Valuation Summary";"Financial Statements - Letter",#N/A,TRUE,"Results";"Results - Letter",#N/A,TRUE,"Results";"Ratios - Letter",#N/A,TRUE,"Results";"P2 Summary - Letter",#N/A,TRUE,"Results"}</definedName>
    <definedName name="dkk" localSheetId="6" hidden="1">{"Valuation - Letter",#N/A,TRUE,"Valuation Summary";"Financial Statements - Letter",#N/A,TRUE,"Results";"Results - Letter",#N/A,TRUE,"Results";"Ratios - Letter",#N/A,TRUE,"Results";"P2 Summary - Letter",#N/A,TRUE,"Results"}</definedName>
    <definedName name="dkk" hidden="1">{"Valuation - Letter",#N/A,TRUE,"Valuation Summary";"Financial Statements - Letter",#N/A,TRUE,"Results";"Results - Letter",#N/A,TRUE,"Results";"Ratios - Letter",#N/A,TRUE,"Results";"P2 Summary - Letter",#N/A,TRUE,"Results"}</definedName>
    <definedName name="dklnc" localSheetId="0" hidden="1">{#N/A,#N/A,TRUE,"Main Issues";#N/A,#N/A,TRUE,"Income statement ($)"}</definedName>
    <definedName name="dklnc" localSheetId="6" hidden="1">{#N/A,#N/A,TRUE,"Main Issues";#N/A,#N/A,TRUE,"Income statement ($)"}</definedName>
    <definedName name="dklnc" hidden="1">{#N/A,#N/A,TRUE,"Main Issues";#N/A,#N/A,TRUE,"Income statement ($)"}</definedName>
    <definedName name="DL_Other_Expenses">#REF!</definedName>
    <definedName name="DL_Salaries_Wages">#REF!</definedName>
    <definedName name="DL7cd2d53f_16db_47ce_a87b_408022b95715" hidden="1">#REF!</definedName>
    <definedName name="DLaad15270_c3c7_4e94_8ceb_64fdd374dd18" hidden="1">#REF!</definedName>
    <definedName name="DLd4e237f1_9697_44d9_ab9f_90721f726289" hidden="1">#REF!</definedName>
    <definedName name="DLStart">#REF!</definedName>
    <definedName name="DM">#REF!</definedName>
    <definedName name="DME_BeforeCloseCompleted" hidden="1">"False"</definedName>
    <definedName name="DME_Dirty" hidden="1">"False"</definedName>
    <definedName name="DME_DocumentFlags" hidden="1">"1"</definedName>
    <definedName name="DME_DocumentID" hidden="1">"::ODMA\DME-MSE\London-24631"</definedName>
    <definedName name="DME_DocumentOpened" hidden="1">"True"</definedName>
    <definedName name="DME_DocumentTitle" hidden="1">"London-24631 - Standard Model"</definedName>
    <definedName name="DME_LocalFile" hidden="1">"True"</definedName>
    <definedName name="DME_NextWindowNumber" hidden="1">"2"</definedName>
    <definedName name="DMM_DASH" hidden="1">#REF!</definedName>
    <definedName name="DMVE">#REF!</definedName>
    <definedName name="dn" localSheetId="0" hidden="1">{"Five Year",#N/A,FALSE,"Summary (2)";"Month 1 and Years",#N/A,FALSE,"Cash Budget"}</definedName>
    <definedName name="dn" localSheetId="6" hidden="1">{"Five Year",#N/A,FALSE,"Summary (2)";"Month 1 and Years",#N/A,FALSE,"Cash Budget"}</definedName>
    <definedName name="dn" hidden="1">{"Five Year",#N/A,FALSE,"Summary (2)";"Month 1 and Years",#N/A,FALSE,"Cash Budget"}</definedName>
    <definedName name="dn_1" localSheetId="0" hidden="1">{"Five Year",#N/A,FALSE,"Summary (2)";"Month 1 and Years",#N/A,FALSE,"Cash Budget"}</definedName>
    <definedName name="dn_1" localSheetId="6" hidden="1">{"Five Year",#N/A,FALSE,"Summary (2)";"Month 1 and Years",#N/A,FALSE,"Cash Budget"}</definedName>
    <definedName name="dn_1" hidden="1">{"Five Year",#N/A,FALSE,"Summary (2)";"Month 1 and Years",#N/A,FALSE,"Cash Budget"}</definedName>
    <definedName name="dnddddddddddddddddd" localSheetId="0" hidden="1">{#N/A,#N/A,FALSE,"Assessment";#N/A,#N/A,FALSE,"Staffing";#N/A,#N/A,FALSE,"Hires";#N/A,#N/A,FALSE,"Assumptions"}</definedName>
    <definedName name="dnddddddddddddddddd" localSheetId="6" hidden="1">{#N/A,#N/A,FALSE,"Assessment";#N/A,#N/A,FALSE,"Staffing";#N/A,#N/A,FALSE,"Hires";#N/A,#N/A,FALSE,"Assumptions"}</definedName>
    <definedName name="dnddddddddddddddddd" hidden="1">{#N/A,#N/A,FALSE,"Assessment";#N/A,#N/A,FALSE,"Staffing";#N/A,#N/A,FALSE,"Hires";#N/A,#N/A,FALSE,"Assumptions"}</definedName>
    <definedName name="dnddddddddddddddddd_1" localSheetId="0" hidden="1">{#N/A,#N/A,FALSE,"Assessment";#N/A,#N/A,FALSE,"Staffing";#N/A,#N/A,FALSE,"Hires";#N/A,#N/A,FALSE,"Assumptions"}</definedName>
    <definedName name="dnddddddddddddddddd_1" localSheetId="6" hidden="1">{#N/A,#N/A,FALSE,"Assessment";#N/A,#N/A,FALSE,"Staffing";#N/A,#N/A,FALSE,"Hires";#N/A,#N/A,FALSE,"Assumptions"}</definedName>
    <definedName name="dnddddddddddddddddd_1" hidden="1">{#N/A,#N/A,FALSE,"Assessment";#N/A,#N/A,FALSE,"Staffing";#N/A,#N/A,FALSE,"Hires";#N/A,#N/A,FALSE,"Assumptions"}</definedName>
    <definedName name="doa_array" hidden="1">#REF!</definedName>
    <definedName name="doa_col" hidden="1">#REF!</definedName>
    <definedName name="doa_hlookup" hidden="1">#REF!</definedName>
    <definedName name="doa_row" hidden="1">#REF!</definedName>
    <definedName name="DOJ">#REF!</definedName>
    <definedName name="DOLLAR">#REF!</definedName>
    <definedName name="dollar3">#REF!</definedName>
    <definedName name="DollarHeader">#REF!</definedName>
    <definedName name="Domestic_Indicator_Group_Name1" hidden="1">#REF!</definedName>
    <definedName name="Domestic_Indicator_Group_Name2" hidden="1">#REF!</definedName>
    <definedName name="DPR" localSheetId="6" hidden="1">{"VIEW1",#N/A,FALSE,"P&amp;L Account 2001-2002";"VIEW2",#N/A,FALSE,"P&amp;L Account 2001-2002";"VIEW3",#N/A,FALSE,"P&amp;L Account 2001-2002";"VIEW4",#N/A,FALSE,"P&amp;L Account 2001-2002"}</definedName>
    <definedName name="DPR" hidden="1">{"VIEW1",#N/A,FALSE,"P&amp;L Account 2001-2002";"VIEW2",#N/A,FALSE,"P&amp;L Account 2001-2002";"VIEW3",#N/A,FALSE,"P&amp;L Account 2001-2002";"VIEW4",#N/A,FALSE,"P&amp;L Account 2001-2002"}</definedName>
    <definedName name="dPrice">#REF!</definedName>
    <definedName name="dr" localSheetId="0" hidden="1">{"Valuation - Letter",#N/A,TRUE,"Valuation Summary";"Financial Statements - Letter",#N/A,TRUE,"Results";"Results - Letter",#N/A,TRUE,"Results";"Ratios - Letter",#N/A,TRUE,"Results";"P2 Summary - Letter",#N/A,TRUE,"Results"}</definedName>
    <definedName name="dr">#REF!</definedName>
    <definedName name="dr6u" localSheetId="6" hidden="1">{#N/A,#N/A,FALSE,"Assessment";#N/A,#N/A,FALSE,"Staffing";#N/A,#N/A,FALSE,"Hires";#N/A,#N/A,FALSE,"Assumptions"}</definedName>
    <definedName name="dr6u" hidden="1">{#N/A,#N/A,FALSE,"Assessment";#N/A,#N/A,FALSE,"Staffing";#N/A,#N/A,FALSE,"Hires";#N/A,#N/A,FALSE,"Assumptions"}</definedName>
    <definedName name="draft_note">#REF!</definedName>
    <definedName name="draft_note2">#REF!</definedName>
    <definedName name="draft_toggle">#REF!</definedName>
    <definedName name="drg" localSheetId="0" hidden="1">{"cover",#N/A,TRUE,"Cover";"toc5",#N/A,TRUE,"TOC";"over",#N/A,TRUE,"Overview";"ts2",#N/A,TRUE,"Det_Trans_Sum";"ei3",#N/A,TRUE,"Earnings Impact";"ad3",#N/A,TRUE,"accretion dilution";"pfis3",#N/A,TRUE,"Pro Forma Income Statement";"ca3",#N/A,TRUE,"Contribution_Analysis";"acq3",#N/A,TRUE,"Acquirer";"tar3",#N/A,TRUE,"Target"}</definedName>
    <definedName name="drg" localSheetId="6" hidden="1">{"cover",#N/A,TRUE,"Cover";"toc5",#N/A,TRUE,"TOC";"over",#N/A,TRUE,"Overview";"ts2",#N/A,TRUE,"Det_Trans_Sum";"ei3",#N/A,TRUE,"Earnings Impact";"ad3",#N/A,TRUE,"accretion dilution";"pfis3",#N/A,TRUE,"Pro Forma Income Statement";"ca3",#N/A,TRUE,"Contribution_Analysis";"acq3",#N/A,TRUE,"Acquirer";"tar3",#N/A,TRUE,"Target"}</definedName>
    <definedName name="drg" hidden="1">{"cover",#N/A,TRUE,"Cover";"toc5",#N/A,TRUE,"TOC";"over",#N/A,TRUE,"Overview";"ts2",#N/A,TRUE,"Det_Trans_Sum";"ei3",#N/A,TRUE,"Earnings Impact";"ad3",#N/A,TRUE,"accretion dilution";"pfis3",#N/A,TRUE,"Pro Forma Income Statement";"ca3",#N/A,TRUE,"Contribution_Analysis";"acq3",#N/A,TRUE,"Acquirer";"tar3",#N/A,TRUE,"Target"}</definedName>
    <definedName name="Drivers1">#REF!</definedName>
    <definedName name="Drivers1a">#REF!</definedName>
    <definedName name="Drivers2">#REF!</definedName>
    <definedName name="Drivers2a">#REF!</definedName>
    <definedName name="DriverT1">#REF!</definedName>
    <definedName name="DriverT2">#REF!</definedName>
    <definedName name="drtjd" hidden="1">#REF!</definedName>
    <definedName name="druck">#REF!</definedName>
    <definedName name="druckb">#REF!</definedName>
    <definedName name="ds" hidden="1">#REF!</definedName>
    <definedName name="dsaf" localSheetId="0" hidden="1">{"mgmt forecast",#N/A,FALSE,"Mgmt Forecast";"dcf table",#N/A,FALSE,"Mgmt Forecast";"sensitivity",#N/A,FALSE,"Mgmt Forecast";"table inputs",#N/A,FALSE,"Mgmt Forecast";"calculations",#N/A,FALSE,"Mgmt Forecast"}</definedName>
    <definedName name="dsaf" localSheetId="6" hidden="1">{"mgmt forecast",#N/A,FALSE,"Mgmt Forecast";"dcf table",#N/A,FALSE,"Mgmt Forecast";"sensitivity",#N/A,FALSE,"Mgmt Forecast";"table inputs",#N/A,FALSE,"Mgmt Forecast";"calculations",#N/A,FALSE,"Mgmt Forecast"}</definedName>
    <definedName name="dsaf" hidden="1">{"mgmt forecast",#N/A,FALSE,"Mgmt Forecast";"dcf table",#N/A,FALSE,"Mgmt Forecast";"sensitivity",#N/A,FALSE,"Mgmt Forecast";"table inputs",#N/A,FALSE,"Mgmt Forecast";"calculations",#N/A,FALSE,"Mgmt Forecast"}</definedName>
    <definedName name="dsafa" localSheetId="6" hidden="1">{"comp1",#N/A,FALSE,"COMPS";"footnotes",#N/A,FALSE,"COMPS"}</definedName>
    <definedName name="dsafa" hidden="1">{"comp1",#N/A,FALSE,"COMPS";"footnotes",#N/A,FALSE,"COMPS"}</definedName>
    <definedName name="DSAFADSF" localSheetId="6" hidden="1">{#N/A,#N/A,FALSE,"Aging Summary";#N/A,#N/A,FALSE,"Ratio Analysis";#N/A,#N/A,FALSE,"Test 120 Day Accts";#N/A,#N/A,FALSE,"Tickmarks"}</definedName>
    <definedName name="DSAFADSF" hidden="1">{#N/A,#N/A,FALSE,"Aging Summary";#N/A,#N/A,FALSE,"Ratio Analysis";#N/A,#N/A,FALSE,"Test 120 Day Accts";#N/A,#N/A,FALSE,"Tickmarks"}</definedName>
    <definedName name="dsales">#REF!</definedName>
    <definedName name="dsbdsb" localSheetId="0" hidden="1">{#N/A,#N/A,FALSE,"Assessment";#N/A,#N/A,FALSE,"Staffing";#N/A,#N/A,FALSE,"Hires";#N/A,#N/A,FALSE,"Assumptions"}</definedName>
    <definedName name="dsbdsb" localSheetId="6" hidden="1">{#N/A,#N/A,FALSE,"Assessment";#N/A,#N/A,FALSE,"Staffing";#N/A,#N/A,FALSE,"Hires";#N/A,#N/A,FALSE,"Assumptions"}</definedName>
    <definedName name="dsbdsb" hidden="1">{#N/A,#N/A,FALSE,"Assessment";#N/A,#N/A,FALSE,"Staffing";#N/A,#N/A,FALSE,"Hires";#N/A,#N/A,FALSE,"Assumptions"}</definedName>
    <definedName name="dsbdsb_1" localSheetId="0" hidden="1">{#N/A,#N/A,FALSE,"Assessment";#N/A,#N/A,FALSE,"Staffing";#N/A,#N/A,FALSE,"Hires";#N/A,#N/A,FALSE,"Assumptions"}</definedName>
    <definedName name="dsbdsb_1" localSheetId="6" hidden="1">{#N/A,#N/A,FALSE,"Assessment";#N/A,#N/A,FALSE,"Staffing";#N/A,#N/A,FALSE,"Hires";#N/A,#N/A,FALSE,"Assumptions"}</definedName>
    <definedName name="dsbdsb_1" hidden="1">{#N/A,#N/A,FALSE,"Assessment";#N/A,#N/A,FALSE,"Staffing";#N/A,#N/A,FALSE,"Hires";#N/A,#N/A,FALSE,"Assumptions"}</definedName>
    <definedName name="dsd" localSheetId="0" hidden="1">{#N/A,#N/A,TRUE,"Cover";#N/A,#N/A,TRUE,"Sum";#N/A,#N/A,TRUE,"SubsRev";#N/A,#N/A,TRUE,"CapEx";#N/A,#N/A,TRUE,"OpEx";#N/A,#N/A,TRUE,"SUs";#N/A,#N/A,TRUE,"OrgChart";#N/A,#N/A,TRUE,"Staff";#N/A,#N/A,TRUE,"P&amp;L";#N/A,#N/A,TRUE,"Cash";#N/A,#N/A,TRUE,"BS";#N/A,#N/A,TRUE,"Valuation";#N/A,#N/A,TRUE,"CapEx-Assumptions";#N/A,#N/A,TRUE,"OpEx-Assumptions"}</definedName>
    <definedName name="dsd" localSheetId="6" hidden="1">{#N/A,#N/A,TRUE,"Cover";#N/A,#N/A,TRUE,"Sum";#N/A,#N/A,TRUE,"SubsRev";#N/A,#N/A,TRUE,"CapEx";#N/A,#N/A,TRUE,"OpEx";#N/A,#N/A,TRUE,"SUs";#N/A,#N/A,TRUE,"OrgChart";#N/A,#N/A,TRUE,"Staff";#N/A,#N/A,TRUE,"P&amp;L";#N/A,#N/A,TRUE,"Cash";#N/A,#N/A,TRUE,"BS";#N/A,#N/A,TRUE,"Valuation";#N/A,#N/A,TRUE,"CapEx-Assumptions";#N/A,#N/A,TRUE,"OpEx-Assumptions"}</definedName>
    <definedName name="dsd" hidden="1">{#N/A,#N/A,TRUE,"Cover";#N/A,#N/A,TRUE,"Sum";#N/A,#N/A,TRUE,"SubsRev";#N/A,#N/A,TRUE,"CapEx";#N/A,#N/A,TRUE,"OpEx";#N/A,#N/A,TRUE,"SUs";#N/A,#N/A,TRUE,"OrgChart";#N/A,#N/A,TRUE,"Staff";#N/A,#N/A,TRUE,"P&amp;L";#N/A,#N/A,TRUE,"Cash";#N/A,#N/A,TRUE,"BS";#N/A,#N/A,TRUE,"Valuation";#N/A,#N/A,TRUE,"CapEx-Assumptions";#N/A,#N/A,TRUE,"OpEx-Assumptions"}</definedName>
    <definedName name="dsds" localSheetId="0" hidden="1">{#N/A,#N/A,FALSE,"DCFCoverVersorgung";#N/A,#N/A,FALSE,"DCFOverviewVersorgung";#N/A,#N/A,FALSE,"PlanVersorgung";#N/A,#N/A,FALSE,"DCFVersorgung";#N/A,#N/A,FALSE,"ValueVersorgung";#N/A,#N/A,FALSE,"WaccVersorgung";#N/A,#N/A,FALSE,"WaccVersorgung";#N/A,#N/A,FALSE,"WaccCompVersorgung";#N/A,#N/A,FALSE,"MatrixVersorgung"}</definedName>
    <definedName name="dsds"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sds"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sert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sert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sert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dsf" hidden="1">#REF!</definedName>
    <definedName name="dsfsffss" localSheetId="0" hidden="1">{#N/A,#N/A,FALSE,"Pharm";#N/A,#N/A,FALSE,"WWCM"}</definedName>
    <definedName name="dsfsffss" localSheetId="6" hidden="1">{#N/A,#N/A,FALSE,"Pharm";#N/A,#N/A,FALSE,"WWCM"}</definedName>
    <definedName name="dsfsffss" hidden="1">{#N/A,#N/A,FALSE,"Pharm";#N/A,#N/A,FALSE,"WWCM"}</definedName>
    <definedName name="dsfsffss_1" localSheetId="0" hidden="1">{#N/A,#N/A,FALSE,"Pharm";#N/A,#N/A,FALSE,"WWCM"}</definedName>
    <definedName name="dsfsffss_1" localSheetId="6" hidden="1">{#N/A,#N/A,FALSE,"Pharm";#N/A,#N/A,FALSE,"WWCM"}</definedName>
    <definedName name="dsfsffss_1" hidden="1">{#N/A,#N/A,FALSE,"Pharm";#N/A,#N/A,FALSE,"WWCM"}</definedName>
    <definedName name="dsfsffss_1_1" localSheetId="0" hidden="1">{#N/A,#N/A,FALSE,"Pharm";#N/A,#N/A,FALSE,"WWCM"}</definedName>
    <definedName name="dsfsffss_1_1" localSheetId="6" hidden="1">{#N/A,#N/A,FALSE,"Pharm";#N/A,#N/A,FALSE,"WWCM"}</definedName>
    <definedName name="dsfsffss_1_1" hidden="1">{#N/A,#N/A,FALSE,"Pharm";#N/A,#N/A,FALSE,"WWCM"}</definedName>
    <definedName name="dsfsffss_2" localSheetId="0" hidden="1">{#N/A,#N/A,FALSE,"Pharm";#N/A,#N/A,FALSE,"WWCM"}</definedName>
    <definedName name="dsfsffss_2" localSheetId="6" hidden="1">{#N/A,#N/A,FALSE,"Pharm";#N/A,#N/A,FALSE,"WWCM"}</definedName>
    <definedName name="dsfsffss_2" hidden="1">{#N/A,#N/A,FALSE,"Pharm";#N/A,#N/A,FALSE,"WWCM"}</definedName>
    <definedName name="dsfsffss_3" localSheetId="0" hidden="1">{#N/A,#N/A,FALSE,"Pharm";#N/A,#N/A,FALSE,"WWCM"}</definedName>
    <definedName name="dsfsffss_3" localSheetId="6" hidden="1">{#N/A,#N/A,FALSE,"Pharm";#N/A,#N/A,FALSE,"WWCM"}</definedName>
    <definedName name="dsfsffss_3" hidden="1">{#N/A,#N/A,FALSE,"Pharm";#N/A,#N/A,FALSE,"WWCM"}</definedName>
    <definedName name="dsfsffss_4" localSheetId="0" hidden="1">{#N/A,#N/A,FALSE,"Pharm";#N/A,#N/A,FALSE,"WWCM"}</definedName>
    <definedName name="dsfsffss_4" localSheetId="6" hidden="1">{#N/A,#N/A,FALSE,"Pharm";#N/A,#N/A,FALSE,"WWCM"}</definedName>
    <definedName name="dsfsffss_4" hidden="1">{#N/A,#N/A,FALSE,"Pharm";#N/A,#N/A,FALSE,"WWCM"}</definedName>
    <definedName name="dsfsffss_5" localSheetId="0" hidden="1">{#N/A,#N/A,FALSE,"Pharm";#N/A,#N/A,FALSE,"WWCM"}</definedName>
    <definedName name="dsfsffss_5" localSheetId="6" hidden="1">{#N/A,#N/A,FALSE,"Pharm";#N/A,#N/A,FALSE,"WWCM"}</definedName>
    <definedName name="dsfsffss_5" hidden="1">{#N/A,#N/A,FALSE,"Pharm";#N/A,#N/A,FALSE,"WWCM"}</definedName>
    <definedName name="dsg" localSheetId="0" hidden="1">{#N/A,#N/A,FALSE,"Calc";#N/A,#N/A,FALSE,"Sensitivity";#N/A,#N/A,FALSE,"LT Earn.Dil.";#N/A,#N/A,FALSE,"Dil. AVP"}</definedName>
    <definedName name="dsg" localSheetId="6" hidden="1">{#N/A,#N/A,FALSE,"Calc";#N/A,#N/A,FALSE,"Sensitivity";#N/A,#N/A,FALSE,"LT Earn.Dil.";#N/A,#N/A,FALSE,"Dil. AVP"}</definedName>
    <definedName name="dsg" hidden="1">{#N/A,#N/A,FALSE,"Calc";#N/A,#N/A,FALSE,"Sensitivity";#N/A,#N/A,FALSE,"LT Earn.Dil.";#N/A,#N/A,FALSE,"Dil. AVP"}</definedName>
    <definedName name="dsggd" localSheetId="0" hidden="1">{#N/A,#N/A,FALSE,"Cover";"Short outputs",#N/A,FALSE,"Outputs";#N/A,#N/A,FALSE,"Control (In)";"tesco summary",#N/A,FALSE,"Tesco";"Outputs and Co summaries",#N/A,FALSE,"Sainsbury";"Outputs and Co Summaries",#N/A,FALSE,"Carrefour";"Outputs and Co summaries",#N/A,FALSE,"Co D";"Outputs and Co summaries",#N/A,FALSE,"Co E"}</definedName>
    <definedName name="dsggd" localSheetId="6" hidden="1">{#N/A,#N/A,FALSE,"Cover";"Short outputs",#N/A,FALSE,"Outputs";#N/A,#N/A,FALSE,"Control (In)";"tesco summary",#N/A,FALSE,"Tesco";"Outputs and Co summaries",#N/A,FALSE,"Sainsbury";"Outputs and Co Summaries",#N/A,FALSE,"Carrefour";"Outputs and Co summaries",#N/A,FALSE,"Co D";"Outputs and Co summaries",#N/A,FALSE,"Co E"}</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sd" localSheetId="0" hidden="1">{#N/A,#N/A,FALSE,"Assessment";#N/A,#N/A,FALSE,"Staffing";#N/A,#N/A,FALSE,"Hires";#N/A,#N/A,FALSE,"Assumptions"}</definedName>
    <definedName name="dsgsd" localSheetId="6" hidden="1">{#N/A,#N/A,FALSE,"Assessment";#N/A,#N/A,FALSE,"Staffing";#N/A,#N/A,FALSE,"Hires";#N/A,#N/A,FALSE,"Assumptions"}</definedName>
    <definedName name="dsgsd" hidden="1">{#N/A,#N/A,FALSE,"Assessment";#N/A,#N/A,FALSE,"Staffing";#N/A,#N/A,FALSE,"Hires";#N/A,#N/A,FALSE,"Assumptions"}</definedName>
    <definedName name="dsgsd_1" localSheetId="0" hidden="1">{#N/A,#N/A,FALSE,"Assessment";#N/A,#N/A,FALSE,"Staffing";#N/A,#N/A,FALSE,"Hires";#N/A,#N/A,FALSE,"Assumptions"}</definedName>
    <definedName name="dsgsd_1" localSheetId="6" hidden="1">{#N/A,#N/A,FALSE,"Assessment";#N/A,#N/A,FALSE,"Staffing";#N/A,#N/A,FALSE,"Hires";#N/A,#N/A,FALSE,"Assumptions"}</definedName>
    <definedName name="dsgsd_1" hidden="1">{#N/A,#N/A,FALSE,"Assessment";#N/A,#N/A,FALSE,"Staffing";#N/A,#N/A,FALSE,"Hires";#N/A,#N/A,FALSE,"Assumptions"}</definedName>
    <definedName name="dsqd" localSheetId="0" hidden="1">{"vue1",#N/A,FALSE,"synthese";"vue2",#N/A,FALSE,"synthese"}</definedName>
    <definedName name="dsqd" localSheetId="6" hidden="1">{"vue1",#N/A,FALSE,"synthese";"vue2",#N/A,FALSE,"synthese"}</definedName>
    <definedName name="dsqd" hidden="1">{"vue1",#N/A,FALSE,"synthese";"vue2",#N/A,FALSE,"synthese"}</definedName>
    <definedName name="dsqdsqd" localSheetId="0" hidden="1">{"vue1",#N/A,FALSE,"synthese";"vue2",#N/A,FALSE,"synthese"}</definedName>
    <definedName name="dsqdsqd" localSheetId="6" hidden="1">{"vue1",#N/A,FALSE,"synthese";"vue2",#N/A,FALSE,"synthese"}</definedName>
    <definedName name="dsqdsqd" hidden="1">{"vue1",#N/A,FALSE,"synthese";"vue2",#N/A,FALSE,"synthese"}</definedName>
    <definedName name="dtgbh"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dtgbh"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dtgbh" hidden="1">{#N/A,#N/A,TRUE,"COVER2";#N/A,#N/A,TRUE,"AGENDA";#N/A,#N/A,TRUE,"Cover";#N/A,#N/A,TRUE,"4M";#N/A,#N/A,TRUE,"FLP&amp;L4M";#N/A,#N/A,TRUE,"4MMC";#N/A,#N/A,TRUE,"Shp4M";#N/A,#N/A,TRUE,"M5";#N/A,#N/A,TRUE,"Q2";#N/A,#N/A,TRUE,"Q1vsQ2";#N/A,#N/A,TRUE,"M6";#N/A,#N/A,TRUE,"TY";#N/A,#N/A,TRUE,"FLP&amp;LTY";#N/A,#N/A,TRUE,"TYMC";#N/A,#N/A,TRUE,"ShpTY";#N/A,#N/A,TRUE,"8M";#N/A,#N/A,TRUE,"FLP&amp;L8M";#N/A,#N/A,TRUE,"8MMC";#N/A,#N/A,TRUE,"Shp8M"}</definedName>
    <definedName name="dtjhj" localSheetId="6" hidden="1">{#N/A,#N/A,FALSE,"Phase I";#N/A,#N/A,FALSE,"Phase II";#N/A,#N/A,FALSE,"Phase III"}</definedName>
    <definedName name="dtjhj" hidden="1">{#N/A,#N/A,FALSE,"Phase I";#N/A,#N/A,FALSE,"Phase II";#N/A,#N/A,FALSE,"Phase III"}</definedName>
    <definedName name="dtmm"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dtmm"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dù" localSheetId="0" hidden="1">{"sch12",#N/A,FALSE,"Goodwill";"sch12a",#N/A,FALSE,"Goodwill";"sch12b",#N/A,FALSE,"Goodwill";"sch12c",#N/A,FALSE,"Goodwill";"sch12d",#N/A,FALSE,"Goodwill";"sch12e",#N/A,FALSE,"Goodwill";"sch12f",#N/A,FALSE,"Goodwill"}</definedName>
    <definedName name="dù" localSheetId="6" hidden="1">{"sch12",#N/A,FALSE,"Goodwill";"sch12a",#N/A,FALSE,"Goodwill";"sch12b",#N/A,FALSE,"Goodwill";"sch12c",#N/A,FALSE,"Goodwill";"sch12d",#N/A,FALSE,"Goodwill";"sch12e",#N/A,FALSE,"Goodwill";"sch12f",#N/A,FALSE,"Goodwill"}</definedName>
    <definedName name="dù" hidden="1">{"sch12",#N/A,FALSE,"Goodwill";"sch12a",#N/A,FALSE,"Goodwill";"sch12b",#N/A,FALSE,"Goodwill";"sch12c",#N/A,FALSE,"Goodwill";"sch12d",#N/A,FALSE,"Goodwill";"sch12e",#N/A,FALSE,"Goodwill";"sch12f",#N/A,FALSE,"Goodwill"}</definedName>
    <definedName name="dù_1" localSheetId="0" hidden="1">{"sch12",#N/A,FALSE,"Goodwill";"sch12a",#N/A,FALSE,"Goodwill";"sch12b",#N/A,FALSE,"Goodwill";"sch12c",#N/A,FALSE,"Goodwill";"sch12d",#N/A,FALSE,"Goodwill";"sch12e",#N/A,FALSE,"Goodwill";"sch12f",#N/A,FALSE,"Goodwill"}</definedName>
    <definedName name="dù_1" localSheetId="6" hidden="1">{"sch12",#N/A,FALSE,"Goodwill";"sch12a",#N/A,FALSE,"Goodwill";"sch12b",#N/A,FALSE,"Goodwill";"sch12c",#N/A,FALSE,"Goodwill";"sch12d",#N/A,FALSE,"Goodwill";"sch12e",#N/A,FALSE,"Goodwill";"sch12f",#N/A,FALSE,"Goodwill"}</definedName>
    <definedName name="dù_1" hidden="1">{"sch12",#N/A,FALSE,"Goodwill";"sch12a",#N/A,FALSE,"Goodwill";"sch12b",#N/A,FALSE,"Goodwill";"sch12c",#N/A,FALSE,"Goodwill";"sch12d",#N/A,FALSE,"Goodwill";"sch12e",#N/A,FALSE,"Goodwill";"sch12f",#N/A,FALSE,"Goodwill"}</definedName>
    <definedName name="dude" hidden="1">39034.6789814815</definedName>
    <definedName name="due" localSheetId="6" hidden="1">{#N/A,#N/A,FALSE,"INPUTS";#N/A,#N/A,FALSE,"PROFORMA BSHEET";#N/A,#N/A,FALSE,"COMBINED";#N/A,#N/A,FALSE,"ACQUIROR";#N/A,#N/A,FALSE,"TARGET 1";#N/A,#N/A,FALSE,"TARGET 2";#N/A,#N/A,FALSE,"HIGH YIELD";#N/A,#N/A,FALSE,"OVERFUND"}</definedName>
    <definedName name="due" hidden="1">{#N/A,#N/A,FALSE,"INPUTS";#N/A,#N/A,FALSE,"PROFORMA BSHEET";#N/A,#N/A,FALSE,"COMBINED";#N/A,#N/A,FALSE,"ACQUIROR";#N/A,#N/A,FALSE,"TARGET 1";#N/A,#N/A,FALSE,"TARGET 2";#N/A,#N/A,FALSE,"HIGH YIELD";#N/A,#N/A,FALSE,"OVERFUND"}</definedName>
    <definedName name="Due_Date">#REF!</definedName>
    <definedName name="dup1" localSheetId="6" hidden="1">{"ROCE Summ",#N/A,FALSE,"Property Management Exps"}</definedName>
    <definedName name="dup1" hidden="1">{"ROCE Summ",#N/A,FALSE,"Property Management Exps"}</definedName>
    <definedName name="dup1_1" localSheetId="6" hidden="1">{"ROCE Summ",#N/A,FALSE,"Property Management Exps"}</definedName>
    <definedName name="dup1_1" hidden="1">{"ROCE Summ",#N/A,FALSE,"Property Management Exps"}</definedName>
    <definedName name="dup1_1_1" localSheetId="6" hidden="1">{"ROCE Summ",#N/A,FALSE,"Property Management Exps"}</definedName>
    <definedName name="dup1_1_1" hidden="1">{"ROCE Summ",#N/A,FALSE,"Property Management Exps"}</definedName>
    <definedName name="dup1_1_1_1" localSheetId="6" hidden="1">{"ROCE Summ",#N/A,FALSE,"Property Management Exps"}</definedName>
    <definedName name="dup1_1_1_1" hidden="1">{"ROCE Summ",#N/A,FALSE,"Property Management Exps"}</definedName>
    <definedName name="dup1_1_1_1_1" localSheetId="6" hidden="1">{"ROCE Summ",#N/A,FALSE,"Property Management Exps"}</definedName>
    <definedName name="dup1_1_1_1_1" hidden="1">{"ROCE Summ",#N/A,FALSE,"Property Management Exps"}</definedName>
    <definedName name="dup1_1_1_2" localSheetId="6" hidden="1">{"ROCE Summ",#N/A,FALSE,"Property Management Exps"}</definedName>
    <definedName name="dup1_1_1_2" hidden="1">{"ROCE Summ",#N/A,FALSE,"Property Management Exps"}</definedName>
    <definedName name="dup1_1_1_2_1" localSheetId="6" hidden="1">{"ROCE Summ",#N/A,FALSE,"Property Management Exps"}</definedName>
    <definedName name="dup1_1_1_2_1" hidden="1">{"ROCE Summ",#N/A,FALSE,"Property Management Exps"}</definedName>
    <definedName name="dup1_1_1_3" localSheetId="6" hidden="1">{"ROCE Summ",#N/A,FALSE,"Property Management Exps"}</definedName>
    <definedName name="dup1_1_1_3" hidden="1">{"ROCE Summ",#N/A,FALSE,"Property Management Exps"}</definedName>
    <definedName name="dup1_1_2" localSheetId="6" hidden="1">{"ROCE Summ",#N/A,FALSE,"Property Management Exps"}</definedName>
    <definedName name="dup1_1_2" hidden="1">{"ROCE Summ",#N/A,FALSE,"Property Management Exps"}</definedName>
    <definedName name="dup1_1_2_1" localSheetId="6" hidden="1">{"ROCE Summ",#N/A,FALSE,"Property Management Exps"}</definedName>
    <definedName name="dup1_1_2_1" hidden="1">{"ROCE Summ",#N/A,FALSE,"Property Management Exps"}</definedName>
    <definedName name="dup1_1_2_1_1" localSheetId="6" hidden="1">{"ROCE Summ",#N/A,FALSE,"Property Management Exps"}</definedName>
    <definedName name="dup1_1_2_1_1" hidden="1">{"ROCE Summ",#N/A,FALSE,"Property Management Exps"}</definedName>
    <definedName name="dup1_1_2_2" localSheetId="6" hidden="1">{"ROCE Summ",#N/A,FALSE,"Property Management Exps"}</definedName>
    <definedName name="dup1_1_2_2" hidden="1">{"ROCE Summ",#N/A,FALSE,"Property Management Exps"}</definedName>
    <definedName name="dup1_1_3" localSheetId="6" hidden="1">{"ROCE Summ",#N/A,FALSE,"Property Management Exps"}</definedName>
    <definedName name="dup1_1_3" hidden="1">{"ROCE Summ",#N/A,FALSE,"Property Management Exps"}</definedName>
    <definedName name="dup1_1_3_1" localSheetId="6" hidden="1">{"ROCE Summ",#N/A,FALSE,"Property Management Exps"}</definedName>
    <definedName name="dup1_1_3_1" hidden="1">{"ROCE Summ",#N/A,FALSE,"Property Management Exps"}</definedName>
    <definedName name="dup1_1_4" localSheetId="6" hidden="1">{"ROCE Summ",#N/A,FALSE,"Property Management Exps"}</definedName>
    <definedName name="dup1_1_4" hidden="1">{"ROCE Summ",#N/A,FALSE,"Property Management Exps"}</definedName>
    <definedName name="dup1_2" localSheetId="6" hidden="1">{"ROCE Summ",#N/A,FALSE,"Property Management Exps"}</definedName>
    <definedName name="dup1_2" hidden="1">{"ROCE Summ",#N/A,FALSE,"Property Management Exps"}</definedName>
    <definedName name="dup1_2_1" localSheetId="6" hidden="1">{"ROCE Summ",#N/A,FALSE,"Property Management Exps"}</definedName>
    <definedName name="dup1_2_1" hidden="1">{"ROCE Summ",#N/A,FALSE,"Property Management Exps"}</definedName>
    <definedName name="dup1_2_1_1" localSheetId="6" hidden="1">{"ROCE Summ",#N/A,FALSE,"Property Management Exps"}</definedName>
    <definedName name="dup1_2_1_1" hidden="1">{"ROCE Summ",#N/A,FALSE,"Property Management Exps"}</definedName>
    <definedName name="dup1_2_1_1_1" localSheetId="6" hidden="1">{"ROCE Summ",#N/A,FALSE,"Property Management Exps"}</definedName>
    <definedName name="dup1_2_1_1_1" hidden="1">{"ROCE Summ",#N/A,FALSE,"Property Management Exps"}</definedName>
    <definedName name="dup1_2_1_2" localSheetId="6" hidden="1">{"ROCE Summ",#N/A,FALSE,"Property Management Exps"}</definedName>
    <definedName name="dup1_2_1_2" hidden="1">{"ROCE Summ",#N/A,FALSE,"Property Management Exps"}</definedName>
    <definedName name="dup1_2_1_2_1" localSheetId="6" hidden="1">{"ROCE Summ",#N/A,FALSE,"Property Management Exps"}</definedName>
    <definedName name="dup1_2_1_2_1" hidden="1">{"ROCE Summ",#N/A,FALSE,"Property Management Exps"}</definedName>
    <definedName name="dup1_2_1_3" localSheetId="6" hidden="1">{"ROCE Summ",#N/A,FALSE,"Property Management Exps"}</definedName>
    <definedName name="dup1_2_1_3" hidden="1">{"ROCE Summ",#N/A,FALSE,"Property Management Exps"}</definedName>
    <definedName name="dup1_2_2" localSheetId="6" hidden="1">{"ROCE Summ",#N/A,FALSE,"Property Management Exps"}</definedName>
    <definedName name="dup1_2_2" hidden="1">{"ROCE Summ",#N/A,FALSE,"Property Management Exps"}</definedName>
    <definedName name="dup1_2_2_1" localSheetId="6" hidden="1">{"ROCE Summ",#N/A,FALSE,"Property Management Exps"}</definedName>
    <definedName name="dup1_2_2_1" hidden="1">{"ROCE Summ",#N/A,FALSE,"Property Management Exps"}</definedName>
    <definedName name="dup1_2_2_1_1" localSheetId="6" hidden="1">{"ROCE Summ",#N/A,FALSE,"Property Management Exps"}</definedName>
    <definedName name="dup1_2_2_1_1" hidden="1">{"ROCE Summ",#N/A,FALSE,"Property Management Exps"}</definedName>
    <definedName name="dup1_2_2_2" localSheetId="6" hidden="1">{"ROCE Summ",#N/A,FALSE,"Property Management Exps"}</definedName>
    <definedName name="dup1_2_2_2" hidden="1">{"ROCE Summ",#N/A,FALSE,"Property Management Exps"}</definedName>
    <definedName name="dup1_2_3" localSheetId="6" hidden="1">{"ROCE Summ",#N/A,FALSE,"Property Management Exps"}</definedName>
    <definedName name="dup1_2_3" hidden="1">{"ROCE Summ",#N/A,FALSE,"Property Management Exps"}</definedName>
    <definedName name="dup1_2_3_1" localSheetId="6" hidden="1">{"ROCE Summ",#N/A,FALSE,"Property Management Exps"}</definedName>
    <definedName name="dup1_2_3_1" hidden="1">{"ROCE Summ",#N/A,FALSE,"Property Management Exps"}</definedName>
    <definedName name="dup1_2_4" localSheetId="6" hidden="1">{"ROCE Summ",#N/A,FALSE,"Property Management Exps"}</definedName>
    <definedName name="dup1_2_4" hidden="1">{"ROCE Summ",#N/A,FALSE,"Property Management Exps"}</definedName>
    <definedName name="dup1_3" localSheetId="6" hidden="1">{"ROCE Summ",#N/A,FALSE,"Property Management Exps"}</definedName>
    <definedName name="dup1_3" hidden="1">{"ROCE Summ",#N/A,FALSE,"Property Management Exps"}</definedName>
    <definedName name="dup1_3_1" localSheetId="6" hidden="1">{"ROCE Summ",#N/A,FALSE,"Property Management Exps"}</definedName>
    <definedName name="dup1_3_1" hidden="1">{"ROCE Summ",#N/A,FALSE,"Property Management Exps"}</definedName>
    <definedName name="dup1_3_1_1" localSheetId="6" hidden="1">{"ROCE Summ",#N/A,FALSE,"Property Management Exps"}</definedName>
    <definedName name="dup1_3_1_1" hidden="1">{"ROCE Summ",#N/A,FALSE,"Property Management Exps"}</definedName>
    <definedName name="dup1_3_1_1_1" localSheetId="6" hidden="1">{"ROCE Summ",#N/A,FALSE,"Property Management Exps"}</definedName>
    <definedName name="dup1_3_1_1_1" hidden="1">{"ROCE Summ",#N/A,FALSE,"Property Management Exps"}</definedName>
    <definedName name="dup1_3_1_2" localSheetId="6" hidden="1">{"ROCE Summ",#N/A,FALSE,"Property Management Exps"}</definedName>
    <definedName name="dup1_3_1_2" hidden="1">{"ROCE Summ",#N/A,FALSE,"Property Management Exps"}</definedName>
    <definedName name="dup1_3_1_2_1" localSheetId="6" hidden="1">{"ROCE Summ",#N/A,FALSE,"Property Management Exps"}</definedName>
    <definedName name="dup1_3_1_2_1" hidden="1">{"ROCE Summ",#N/A,FALSE,"Property Management Exps"}</definedName>
    <definedName name="dup1_3_1_3" localSheetId="6" hidden="1">{"ROCE Summ",#N/A,FALSE,"Property Management Exps"}</definedName>
    <definedName name="dup1_3_1_3" hidden="1">{"ROCE Summ",#N/A,FALSE,"Property Management Exps"}</definedName>
    <definedName name="dup1_3_2" localSheetId="6" hidden="1">{"ROCE Summ",#N/A,FALSE,"Property Management Exps"}</definedName>
    <definedName name="dup1_3_2" hidden="1">{"ROCE Summ",#N/A,FALSE,"Property Management Exps"}</definedName>
    <definedName name="dup1_3_2_1" localSheetId="6" hidden="1">{"ROCE Summ",#N/A,FALSE,"Property Management Exps"}</definedName>
    <definedName name="dup1_3_2_1" hidden="1">{"ROCE Summ",#N/A,FALSE,"Property Management Exps"}</definedName>
    <definedName name="dup1_3_2_1_1" localSheetId="6" hidden="1">{"ROCE Summ",#N/A,FALSE,"Property Management Exps"}</definedName>
    <definedName name="dup1_3_2_1_1" hidden="1">{"ROCE Summ",#N/A,FALSE,"Property Management Exps"}</definedName>
    <definedName name="dup1_3_2_2" localSheetId="6" hidden="1">{"ROCE Summ",#N/A,FALSE,"Property Management Exps"}</definedName>
    <definedName name="dup1_3_2_2" hidden="1">{"ROCE Summ",#N/A,FALSE,"Property Management Exps"}</definedName>
    <definedName name="dup1_3_3" localSheetId="6" hidden="1">{"ROCE Summ",#N/A,FALSE,"Property Management Exps"}</definedName>
    <definedName name="dup1_3_3" hidden="1">{"ROCE Summ",#N/A,FALSE,"Property Management Exps"}</definedName>
    <definedName name="dup1_3_3_1" localSheetId="6" hidden="1">{"ROCE Summ",#N/A,FALSE,"Property Management Exps"}</definedName>
    <definedName name="dup1_3_3_1" hidden="1">{"ROCE Summ",#N/A,FALSE,"Property Management Exps"}</definedName>
    <definedName name="dup1_3_4" localSheetId="6" hidden="1">{"ROCE Summ",#N/A,FALSE,"Property Management Exps"}</definedName>
    <definedName name="dup1_3_4" hidden="1">{"ROCE Summ",#N/A,FALSE,"Property Management Exps"}</definedName>
    <definedName name="dup1_4" localSheetId="6" hidden="1">{"ROCE Summ",#N/A,FALSE,"Property Management Exps"}</definedName>
    <definedName name="dup1_4" hidden="1">{"ROCE Summ",#N/A,FALSE,"Property Management Exps"}</definedName>
    <definedName name="dup1_4_1" localSheetId="6" hidden="1">{"ROCE Summ",#N/A,FALSE,"Property Management Exps"}</definedName>
    <definedName name="dup1_4_1" hidden="1">{"ROCE Summ",#N/A,FALSE,"Property Management Exps"}</definedName>
    <definedName name="dup1_4_1_1" localSheetId="6" hidden="1">{"ROCE Summ",#N/A,FALSE,"Property Management Exps"}</definedName>
    <definedName name="dup1_4_1_1" hidden="1">{"ROCE Summ",#N/A,FALSE,"Property Management Exps"}</definedName>
    <definedName name="dup1_4_1_1_1" localSheetId="6" hidden="1">{"ROCE Summ",#N/A,FALSE,"Property Management Exps"}</definedName>
    <definedName name="dup1_4_1_1_1" hidden="1">{"ROCE Summ",#N/A,FALSE,"Property Management Exps"}</definedName>
    <definedName name="dup1_4_1_2" localSheetId="6" hidden="1">{"ROCE Summ",#N/A,FALSE,"Property Management Exps"}</definedName>
    <definedName name="dup1_4_1_2" hidden="1">{"ROCE Summ",#N/A,FALSE,"Property Management Exps"}</definedName>
    <definedName name="dup1_4_1_2_1" localSheetId="6" hidden="1">{"ROCE Summ",#N/A,FALSE,"Property Management Exps"}</definedName>
    <definedName name="dup1_4_1_2_1" hidden="1">{"ROCE Summ",#N/A,FALSE,"Property Management Exps"}</definedName>
    <definedName name="dup1_4_1_3" localSheetId="6" hidden="1">{"ROCE Summ",#N/A,FALSE,"Property Management Exps"}</definedName>
    <definedName name="dup1_4_1_3" hidden="1">{"ROCE Summ",#N/A,FALSE,"Property Management Exps"}</definedName>
    <definedName name="dup1_4_2" localSheetId="6" hidden="1">{"ROCE Summ",#N/A,FALSE,"Property Management Exps"}</definedName>
    <definedName name="dup1_4_2" hidden="1">{"ROCE Summ",#N/A,FALSE,"Property Management Exps"}</definedName>
    <definedName name="dup1_4_2_1" localSheetId="6" hidden="1">{"ROCE Summ",#N/A,FALSE,"Property Management Exps"}</definedName>
    <definedName name="dup1_4_2_1" hidden="1">{"ROCE Summ",#N/A,FALSE,"Property Management Exps"}</definedName>
    <definedName name="dup1_4_2_1_1" localSheetId="6" hidden="1">{"ROCE Summ",#N/A,FALSE,"Property Management Exps"}</definedName>
    <definedName name="dup1_4_2_1_1" hidden="1">{"ROCE Summ",#N/A,FALSE,"Property Management Exps"}</definedName>
    <definedName name="dup1_4_2_2" localSheetId="6" hidden="1">{"ROCE Summ",#N/A,FALSE,"Property Management Exps"}</definedName>
    <definedName name="dup1_4_2_2" hidden="1">{"ROCE Summ",#N/A,FALSE,"Property Management Exps"}</definedName>
    <definedName name="dup1_4_3" localSheetId="6" hidden="1">{"ROCE Summ",#N/A,FALSE,"Property Management Exps"}</definedName>
    <definedName name="dup1_4_3" hidden="1">{"ROCE Summ",#N/A,FALSE,"Property Management Exps"}</definedName>
    <definedName name="dup1_4_3_1" localSheetId="6" hidden="1">{"ROCE Summ",#N/A,FALSE,"Property Management Exps"}</definedName>
    <definedName name="dup1_4_3_1" hidden="1">{"ROCE Summ",#N/A,FALSE,"Property Management Exps"}</definedName>
    <definedName name="dup1_4_4" localSheetId="6" hidden="1">{"ROCE Summ",#N/A,FALSE,"Property Management Exps"}</definedName>
    <definedName name="dup1_4_4" hidden="1">{"ROCE Summ",#N/A,FALSE,"Property Management Exps"}</definedName>
    <definedName name="dup1_5" localSheetId="6" hidden="1">{"ROCE Summ",#N/A,FALSE,"Property Management Exps"}</definedName>
    <definedName name="dup1_5" hidden="1">{"ROCE Summ",#N/A,FALSE,"Property Management Exps"}</definedName>
    <definedName name="dup1_5_1" localSheetId="6" hidden="1">{"ROCE Summ",#N/A,FALSE,"Property Management Exps"}</definedName>
    <definedName name="dup1_5_1" hidden="1">{"ROCE Summ",#N/A,FALSE,"Property Management Exps"}</definedName>
    <definedName name="dup1_5_1_1" localSheetId="6" hidden="1">{"ROCE Summ",#N/A,FALSE,"Property Management Exps"}</definedName>
    <definedName name="dup1_5_1_1" hidden="1">{"ROCE Summ",#N/A,FALSE,"Property Management Exps"}</definedName>
    <definedName name="dup1_5_1_1_1" localSheetId="6" hidden="1">{"ROCE Summ",#N/A,FALSE,"Property Management Exps"}</definedName>
    <definedName name="dup1_5_1_1_1" hidden="1">{"ROCE Summ",#N/A,FALSE,"Property Management Exps"}</definedName>
    <definedName name="dup1_5_1_2" localSheetId="6" hidden="1">{"ROCE Summ",#N/A,FALSE,"Property Management Exps"}</definedName>
    <definedName name="dup1_5_1_2" hidden="1">{"ROCE Summ",#N/A,FALSE,"Property Management Exps"}</definedName>
    <definedName name="dup1_5_1_2_1" localSheetId="6" hidden="1">{"ROCE Summ",#N/A,FALSE,"Property Management Exps"}</definedName>
    <definedName name="dup1_5_1_2_1" hidden="1">{"ROCE Summ",#N/A,FALSE,"Property Management Exps"}</definedName>
    <definedName name="dup1_5_1_3" localSheetId="6" hidden="1">{"ROCE Summ",#N/A,FALSE,"Property Management Exps"}</definedName>
    <definedName name="dup1_5_1_3" hidden="1">{"ROCE Summ",#N/A,FALSE,"Property Management Exps"}</definedName>
    <definedName name="dup1_5_2" localSheetId="6" hidden="1">{"ROCE Summ",#N/A,FALSE,"Property Management Exps"}</definedName>
    <definedName name="dup1_5_2" hidden="1">{"ROCE Summ",#N/A,FALSE,"Property Management Exps"}</definedName>
    <definedName name="dup1_5_2_1" localSheetId="6" hidden="1">{"ROCE Summ",#N/A,FALSE,"Property Management Exps"}</definedName>
    <definedName name="dup1_5_2_1" hidden="1">{"ROCE Summ",#N/A,FALSE,"Property Management Exps"}</definedName>
    <definedName name="dup1_5_2_1_1" localSheetId="6" hidden="1">{"ROCE Summ",#N/A,FALSE,"Property Management Exps"}</definedName>
    <definedName name="dup1_5_2_1_1" hidden="1">{"ROCE Summ",#N/A,FALSE,"Property Management Exps"}</definedName>
    <definedName name="dup1_5_2_2" localSheetId="6" hidden="1">{"ROCE Summ",#N/A,FALSE,"Property Management Exps"}</definedName>
    <definedName name="dup1_5_2_2" hidden="1">{"ROCE Summ",#N/A,FALSE,"Property Management Exps"}</definedName>
    <definedName name="dup1_5_3" localSheetId="6" hidden="1">{"ROCE Summ",#N/A,FALSE,"Property Management Exps"}</definedName>
    <definedName name="dup1_5_3" hidden="1">{"ROCE Summ",#N/A,FALSE,"Property Management Exps"}</definedName>
    <definedName name="dup1_5_3_1" localSheetId="6" hidden="1">{"ROCE Summ",#N/A,FALSE,"Property Management Exps"}</definedName>
    <definedName name="dup1_5_3_1" hidden="1">{"ROCE Summ",#N/A,FALSE,"Property Management Exps"}</definedName>
    <definedName name="dup1_5_4" localSheetId="6" hidden="1">{"ROCE Summ",#N/A,FALSE,"Property Management Exps"}</definedName>
    <definedName name="dup1_5_4" hidden="1">{"ROCE Summ",#N/A,FALSE,"Property Management Exps"}</definedName>
    <definedName name="Dupont1">#REF!</definedName>
    <definedName name="Dupont2">#REF!</definedName>
    <definedName name="DURATION">#REF!</definedName>
    <definedName name="dus" hidden="1">#REF!</definedName>
    <definedName name="dvbd.test4" localSheetId="6" hidden="1">{#N/A,#N/A,FALSE,"Calculator"}</definedName>
    <definedName name="dvbd.test4" hidden="1">{#N/A,#N/A,FALSE,"Calculator"}</definedName>
    <definedName name="dvbd.test4_1" localSheetId="6" hidden="1">{#N/A,#N/A,FALSE,"Calculator"}</definedName>
    <definedName name="dvbd.test4_1" hidden="1">{#N/A,#N/A,FALSE,"Calculator"}</definedName>
    <definedName name="dvbgf" localSheetId="6"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bgf_1" localSheetId="6" hidden="1">{#N/A,#N/A,FALSE,"SumD";#N/A,#N/A,FALSE,"ElecD";#N/A,#N/A,FALSE,"MechD";#N/A,#N/A,FALSE,"GeotD";#N/A,#N/A,FALSE,"PrcsD";#N/A,#N/A,FALSE,"TunnD";#N/A,#N/A,FALSE,"CivlD";#N/A,#N/A,FALSE,"NtwkD";#N/A,#N/A,FALSE,"EstgD";#N/A,#N/A,FALSE,"PEngD"}</definedName>
    <definedName name="dvbgf_1" hidden="1">{#N/A,#N/A,FALSE,"SumD";#N/A,#N/A,FALSE,"ElecD";#N/A,#N/A,FALSE,"MechD";#N/A,#N/A,FALSE,"GeotD";#N/A,#N/A,FALSE,"PrcsD";#N/A,#N/A,FALSE,"TunnD";#N/A,#N/A,FALSE,"CivlD";#N/A,#N/A,FALSE,"NtwkD";#N/A,#N/A,FALSE,"EstgD";#N/A,#N/A,FALSE,"PEngD"}</definedName>
    <definedName name="dvds" localSheetId="6" hidden="1">{#N/A,#N/A,FALSE,"ACQ_GRAPHS";#N/A,#N/A,FALSE,"T_1 GRAPHS";#N/A,#N/A,FALSE,"T_2 GRAPHS";#N/A,#N/A,FALSE,"COMB_GRAPHS"}</definedName>
    <definedName name="dvds" hidden="1">{#N/A,#N/A,FALSE,"ACQ_GRAPHS";#N/A,#N/A,FALSE,"T_1 GRAPHS";#N/A,#N/A,FALSE,"T_2 GRAPHS";#N/A,#N/A,FALSE,"COMB_GRAPHS"}</definedName>
    <definedName name="dwdw">#REF!</definedName>
    <definedName name="dwe"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dwe"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dxc再見積" hidden="1">#REF!</definedName>
    <definedName name="DXC再見積もり" hidden="1">255</definedName>
    <definedName name="dynamoPkg001" hidden="1">"Rolling Forecast"</definedName>
    <definedName name="dynamoPkg001.Actions" hidden="1">"Calculate current sheet only~Run Dynamo! on current sheet~Check filter cell"</definedName>
    <definedName name="dynamoPkg001.CreateFile" hidden="1">TRUE</definedName>
    <definedName name="dynamoPkg001.EmailAttach" hidden="1">FALSE</definedName>
    <definedName name="dynamoPkg001.FileName" hidden="1">CELL("address",#REF!)</definedName>
    <definedName name="dynamoPkg001.FileType" hidden="1">"XLS"</definedName>
    <definedName name="dynamoPkg001.FilterCell" hidden="1">CELL("address",#REF!)</definedName>
    <definedName name="dynamoPkg001.Inner" hidden="1">TRUE</definedName>
    <definedName name="dynamoPkg001.Loops" hidden="1">"Company"</definedName>
    <definedName name="dynamoPkg001.SendEmail" hidden="1">FALSE</definedName>
    <definedName name="dynamoPkg001.Sheets" hidden="1">"Report"</definedName>
    <definedName name="dynamoPkg001.Zap" hidden="1">TRUE</definedName>
    <definedName name="dynamoPkg001.ZeroSuppress" hidden="1">FALSE</definedName>
    <definedName name="DZ.Main" hidden="1">#REF!</definedName>
    <definedName name="E">#REF!</definedName>
    <definedName name="E.On" localSheetId="6" hidden="1">{#N/A,#N/A,FALSE,"Eastern";#N/A,#N/A,FALSE,"Western"}</definedName>
    <definedName name="E.On" hidden="1">{#N/A,#N/A,FALSE,"Eastern";#N/A,#N/A,FALSE,"Western"}</definedName>
    <definedName name="e213g42hy4">#REF!</definedName>
    <definedName name="earea" localSheetId="0" hidden="1">{#N/A,#N/A,FALSE,"Sheet1"}</definedName>
    <definedName name="earea" localSheetId="6" hidden="1">{#N/A,#N/A,FALSE,"Sheet1"}</definedName>
    <definedName name="earea" hidden="1">{#N/A,#N/A,FALSE,"Sheet1"}</definedName>
    <definedName name="eareare" localSheetId="0" hidden="1">{"FCB_ALL",#N/A,FALSE,"FCB"}</definedName>
    <definedName name="eareare" localSheetId="6" hidden="1">{"FCB_ALL",#N/A,FALSE,"FCB"}</definedName>
    <definedName name="eareare" hidden="1">{"FCB_ALL",#N/A,FALSE,"FCB"}</definedName>
    <definedName name="earer" localSheetId="0" hidden="1">{#N/A,#N/A,FALSE,"Sheet1"}</definedName>
    <definedName name="earer" localSheetId="6" hidden="1">{#N/A,#N/A,FALSE,"Sheet1"}</definedName>
    <definedName name="earer" hidden="1">{#N/A,#N/A,FALSE,"Sheet1"}</definedName>
    <definedName name="earn1">#REF!</definedName>
    <definedName name="earn2">#REF!</definedName>
    <definedName name="EAST">#REF!</definedName>
    <definedName name="East04ymSales">#REF!</definedName>
    <definedName name="East05ymSales">#REF!</definedName>
    <definedName name="eastern" localSheetId="4" hidden="1">OFFSET([0]!Data.Top.Left,1,0)</definedName>
    <definedName name="eastern" localSheetId="0" hidden="1">OFFSET(#REF!,1,0)</definedName>
    <definedName name="eastern" localSheetId="2" hidden="1">OFFSET([0]!Data.Top.Left,1,0)</definedName>
    <definedName name="eastern" localSheetId="6" hidden="1">OFFSET([0]!Data.Top.Left,1,0)</definedName>
    <definedName name="eastern" hidden="1">OFFSET([0]!Data.Top.Left,1,0)</definedName>
    <definedName name="eb" localSheetId="6" hidden="1">{#N/A,#N/A,FALSE,"K_DRIV"}</definedName>
    <definedName name="eb" hidden="1">{#N/A,#N/A,FALSE,"K_DRIV"}</definedName>
    <definedName name="EBIT">#REF!</definedName>
    <definedName name="EBIT_10K" hidden="1">"EBIT_10K"</definedName>
    <definedName name="EBIT_10Q" hidden="1">"EBIT_10Q"</definedName>
    <definedName name="EBIT_10Q1" hidden="1">"EBIT_10Q1"</definedName>
    <definedName name="EBIT_GROWTH_1" hidden="1">"EBIT_GROWTH_1"</definedName>
    <definedName name="EBIT_GROWTH_2" hidden="1">"EBIT_GROWTH_2"</definedName>
    <definedName name="EBIT_MARGIN" hidden="1">"EBIT_MARGIN"</definedName>
    <definedName name="EBIT_MULT">#REF!</definedName>
    <definedName name="EBIT_OVER_IE" hidden="1">"EBIT_OVER_IE"</definedName>
    <definedName name="EBITDA_10K" hidden="1">"EBITDA_10K"</definedName>
    <definedName name="EBITDA_10Q" hidden="1">"EBITDA_10Q"</definedName>
    <definedName name="EBITDA_10Q1" hidden="1">"EBITDA_10Q1"</definedName>
    <definedName name="EBITDA_Bridge">#REF!</definedName>
    <definedName name="EBITDA_CAPEX_OVER_TOTAL_IE" hidden="1">"EBITDA_CAPEX_OVER_TOTAL_IE"</definedName>
    <definedName name="EBITDA_GROWTH_1" hidden="1">"EBITDA_GROWTH_1"</definedName>
    <definedName name="EBITDA_GROWTH_2" hidden="1">"EBITDA_GROWTH_2"</definedName>
    <definedName name="EBITDA_MARGIN" hidden="1">"EBITDA_MARGIN"</definedName>
    <definedName name="EBITDA_MULT">#REF!</definedName>
    <definedName name="EBITDA_OVER_TOTAL_IE" hidden="1">"EBITDA_OVER_TOTAL_IE"</definedName>
    <definedName name="Ecart_barre_bis" hidden="1">#REF!</definedName>
    <definedName name="ecs" localSheetId="0" hidden="1">{#N/A,#N/A,TRUE,"Proposal";#N/A,#N/A,TRUE,"Assumptions";#N/A,#N/A,TRUE,"Net Income";#N/A,#N/A,TRUE,"Balsheet";#N/A,#N/A,TRUE,"Capex";#N/A,#N/A,TRUE,"Volumes";#N/A,#N/A,TRUE,"Revenues";#N/A,#N/A,TRUE,"Var.Costs";#N/A,#N/A,TRUE,"Personnel";#N/A,#N/A,TRUE,"Other costs";#N/A,#N/A,TRUE,"MKTG and G&amp;A"}</definedName>
    <definedName name="ecs" localSheetId="6" hidden="1">{#N/A,#N/A,TRUE,"Proposal";#N/A,#N/A,TRUE,"Assumptions";#N/A,#N/A,TRUE,"Net Income";#N/A,#N/A,TRUE,"Balsheet";#N/A,#N/A,TRUE,"Capex";#N/A,#N/A,TRUE,"Volumes";#N/A,#N/A,TRUE,"Revenues";#N/A,#N/A,TRUE,"Var.Costs";#N/A,#N/A,TRUE,"Personnel";#N/A,#N/A,TRUE,"Other costs";#N/A,#N/A,TRUE,"MKTG and G&amp;A"}</definedName>
    <definedName name="ecs" hidden="1">{#N/A,#N/A,TRUE,"Proposal";#N/A,#N/A,TRUE,"Assumptions";#N/A,#N/A,TRUE,"Net Income";#N/A,#N/A,TRUE,"Balsheet";#N/A,#N/A,TRUE,"Capex";#N/A,#N/A,TRUE,"Volumes";#N/A,#N/A,TRUE,"Revenues";#N/A,#N/A,TRUE,"Var.Costs";#N/A,#N/A,TRUE,"Personnel";#N/A,#N/A,TRUE,"Other costs";#N/A,#N/A,TRUE,"MKTG and G&amp;A"}</definedName>
    <definedName name="ecva"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ecva"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ecva"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ed" localSheetId="0" hidden="1">{"vue1",#N/A,FALSE,"synthese";"vue2",#N/A,FALSE,"synthese"}</definedName>
    <definedName name="ed" localSheetId="6" hidden="1">{"vue1",#N/A,FALSE,"synthese";"vue2",#N/A,FALSE,"synthese"}</definedName>
    <definedName name="ed" hidden="1">{"vue1",#N/A,FALSE,"synthese";"vue2",#N/A,FALSE,"synthese"}</definedName>
    <definedName name="edd">#REF!</definedName>
    <definedName name="ede" localSheetId="0" hidden="1">{#N/A,#N/A,TRUE,"PROFIT 11-95"}</definedName>
    <definedName name="ede" localSheetId="6" hidden="1">{#N/A,#N/A,TRUE,"PROFIT 11-95"}</definedName>
    <definedName name="ede" hidden="1">{#N/A,#N/A,TRUE,"PROFIT 11-95"}</definedName>
    <definedName name="edf" localSheetId="6" hidden="1">{#N/A,#N/A,TRUE,"Cover sheet";#N/A,#N/A,TRUE,"Summary";#N/A,#N/A,TRUE,"Key Assumptions";#N/A,#N/A,TRUE,"Profit &amp; Loss";#N/A,#N/A,TRUE,"Balance Sheet";#N/A,#N/A,TRUE,"Cashflow";#N/A,#N/A,TRUE,"IRR";#N/A,#N/A,TRUE,"Ratios";#N/A,#N/A,TRUE,"Debt analysis"}</definedName>
    <definedName name="edf" hidden="1">{#N/A,#N/A,TRUE,"Cover sheet";#N/A,#N/A,TRUE,"Summary";#N/A,#N/A,TRUE,"Key Assumptions";#N/A,#N/A,TRUE,"Profit &amp; Loss";#N/A,#N/A,TRUE,"Balance Sheet";#N/A,#N/A,TRUE,"Cashflow";#N/A,#N/A,TRUE,"IRR";#N/A,#N/A,TRUE,"Ratios";#N/A,#N/A,TRUE,"Debt analysis"}</definedName>
    <definedName name="Editable" hidden="1">#REF!,#REF!,#REF!,#REF!</definedName>
    <definedName name="edp" localSheetId="0" hidden="1">{"assumption 50 50",#N/A,TRUE,"Merger";"has gets cash",#N/A,TRUE,"Merger";"accretion dilution",#N/A,TRUE,"Merger";"comparison credit stats",#N/A,TRUE,"Merger";"pf credit stats",#N/A,TRUE,"Merger";"pf sheets",#N/A,TRUE,"Merger"}</definedName>
    <definedName name="edp" localSheetId="6" hidden="1">{"assumption 50 50",#N/A,TRUE,"Merger";"has gets cash",#N/A,TRUE,"Merger";"accretion dilution",#N/A,TRUE,"Merger";"comparison credit stats",#N/A,TRUE,"Merger";"pf credit stats",#N/A,TRUE,"Merger";"pf sheets",#N/A,TRUE,"Merger"}</definedName>
    <definedName name="edp" hidden="1">{"assumption 50 50",#N/A,TRUE,"Merger";"has gets cash",#N/A,TRUE,"Merger";"accretion dilution",#N/A,TRUE,"Merger";"comparison credit stats",#N/A,TRUE,"Merger";"pf credit stats",#N/A,TRUE,"Merger";"pf sheets",#N/A,TRUE,"Merger"}</definedName>
    <definedName name="ee" localSheetId="0" hidden="1">{"DJH3",#N/A,FALSE,"PFL00805";"PJB3",#N/A,FALSE,"PFL00805";"JMD3",#N/A,FALSE,"PFL00805";"DNB3",#N/A,FALSE,"PFL00805";"MJP3",#N/A,FALSE,"PFL00805";"RAB3",#N/A,FALSE,"PFL00805";"GJW3",#N/A,FALSE,"PFL00805";"MASTER3",#N/A,FALSE,"PFL00805"}</definedName>
    <definedName name="ee" localSheetId="6" hidden="1">{"DJH3",#N/A,FALSE,"PFL00805";"PJB3",#N/A,FALSE,"PFL00805";"JMD3",#N/A,FALSE,"PFL00805";"DNB3",#N/A,FALSE,"PFL00805";"MJP3",#N/A,FALSE,"PFL00805";"RAB3",#N/A,FALSE,"PFL00805";"GJW3",#N/A,FALSE,"PFL00805";"MASTER3",#N/A,FALSE,"PFL00805"}</definedName>
    <definedName name="ee" hidden="1">{"DJH3",#N/A,FALSE,"PFL00805";"PJB3",#N/A,FALSE,"PFL00805";"JMD3",#N/A,FALSE,"PFL00805";"DNB3",#N/A,FALSE,"PFL00805";"MJP3",#N/A,FALSE,"PFL00805";"RAB3",#N/A,FALSE,"PFL00805";"GJW3",#N/A,FALSE,"PFL00805";"MASTER3",#N/A,FALSE,"PFL00805"}</definedName>
    <definedName name="ee_1" localSheetId="0" hidden="1">{"DJH3",#N/A,FALSE,"PFL00805";"PJB3",#N/A,FALSE,"PFL00805";"JMD3",#N/A,FALSE,"PFL00805";"DNB3",#N/A,FALSE,"PFL00805";"MJP3",#N/A,FALSE,"PFL00805";"RAB3",#N/A,FALSE,"PFL00805";"GJW3",#N/A,FALSE,"PFL00805";"MASTER3",#N/A,FALSE,"PFL00805"}</definedName>
    <definedName name="ee_1" localSheetId="6" hidden="1">{"DJH3",#N/A,FALSE,"PFL00805";"PJB3",#N/A,FALSE,"PFL00805";"JMD3",#N/A,FALSE,"PFL00805";"DNB3",#N/A,FALSE,"PFL00805";"MJP3",#N/A,FALSE,"PFL00805";"RAB3",#N/A,FALSE,"PFL00805";"GJW3",#N/A,FALSE,"PFL00805";"MASTER3",#N/A,FALSE,"PFL00805"}</definedName>
    <definedName name="ee_1" hidden="1">{"DJH3",#N/A,FALSE,"PFL00805";"PJB3",#N/A,FALSE,"PFL00805";"JMD3",#N/A,FALSE,"PFL00805";"DNB3",#N/A,FALSE,"PFL00805";"MJP3",#N/A,FALSE,"PFL00805";"RAB3",#N/A,FALSE,"PFL00805";"GJW3",#N/A,FALSE,"PFL00805";"MASTER3",#N/A,FALSE,"PFL00805"}</definedName>
    <definedName name="ee_1_1" localSheetId="0" hidden="1">{#N/A,#N/A,FALSE,"KA CH  (2)"}</definedName>
    <definedName name="ee_1_1" localSheetId="6" hidden="1">{#N/A,#N/A,FALSE,"KA CH  (2)"}</definedName>
    <definedName name="ee_1_1" hidden="1">{#N/A,#N/A,FALSE,"KA CH  (2)"}</definedName>
    <definedName name="ee_2" localSheetId="0" hidden="1">{#N/A,#N/A,FALSE,"KA CH  (2)"}</definedName>
    <definedName name="ee_2" localSheetId="6" hidden="1">{#N/A,#N/A,FALSE,"KA CH  (2)"}</definedName>
    <definedName name="ee_2" hidden="1">{#N/A,#N/A,FALSE,"KA CH  (2)"}</definedName>
    <definedName name="ee_3" localSheetId="0" hidden="1">{#N/A,#N/A,FALSE,"KA CH  (2)"}</definedName>
    <definedName name="ee_3" localSheetId="6" hidden="1">{#N/A,#N/A,FALSE,"KA CH  (2)"}</definedName>
    <definedName name="ee_3" hidden="1">{#N/A,#N/A,FALSE,"KA CH  (2)"}</definedName>
    <definedName name="ee_4" localSheetId="0" hidden="1">{#N/A,#N/A,FALSE,"KA CH  (2)"}</definedName>
    <definedName name="ee_4" localSheetId="6" hidden="1">{#N/A,#N/A,FALSE,"KA CH  (2)"}</definedName>
    <definedName name="ee_4" hidden="1">{#N/A,#N/A,FALSE,"KA CH  (2)"}</definedName>
    <definedName name="ee_5" localSheetId="0" hidden="1">{#N/A,#N/A,FALSE,"KA CH  (2)"}</definedName>
    <definedName name="ee_5" localSheetId="6" hidden="1">{#N/A,#N/A,FALSE,"KA CH  (2)"}</definedName>
    <definedName name="ee_5" hidden="1">{#N/A,#N/A,FALSE,"KA CH  (2)"}</definedName>
    <definedName name="eee" localSheetId="0" hidden="1">{"DJH3",#N/A,FALSE,"PFL00805";"PJB3",#N/A,FALSE,"PFL00805";"JMD3",#N/A,FALSE,"PFL00805";"DNB3",#N/A,FALSE,"PFL00805";"MJP3",#N/A,FALSE,"PFL00805";"RAB3",#N/A,FALSE,"PFL00805";"GJW3",#N/A,FALSE,"PFL00805";"MASTER3",#N/A,FALSE,"PFL00805"}</definedName>
    <definedName name="eee" localSheetId="6" hidden="1">{"DJH3",#N/A,FALSE,"PFL00805";"PJB3",#N/A,FALSE,"PFL00805";"JMD3",#N/A,FALSE,"PFL00805";"DNB3",#N/A,FALSE,"PFL00805";"MJP3",#N/A,FALSE,"PFL00805";"RAB3",#N/A,FALSE,"PFL00805";"GJW3",#N/A,FALSE,"PFL00805";"MASTER3",#N/A,FALSE,"PFL00805"}</definedName>
    <definedName name="eee" hidden="1">{"DJH3",#N/A,FALSE,"PFL00805";"PJB3",#N/A,FALSE,"PFL00805";"JMD3",#N/A,FALSE,"PFL00805";"DNB3",#N/A,FALSE,"PFL00805";"MJP3",#N/A,FALSE,"PFL00805";"RAB3",#N/A,FALSE,"PFL00805";"GJW3",#N/A,FALSE,"PFL00805";"MASTER3",#N/A,FALSE,"PFL00805"}</definedName>
    <definedName name="eee.lll" localSheetId="0" hidden="1">{#N/A,#N/A,FALSE,"PMW Gruppe 99_98";#N/A,#N/A,FALSE,"PMW KG 98_99";#N/A,#N/A,FALSE,"PMW Inc. 99_98";#N/A,#N/A,FALSE,"PMW VTECH 99_98";#N/A,#N/A,FALSE,"PMW Thail. 99_98";#N/A,#N/A,FALSE,"PMW Canada 99_98";#N/A,#N/A,FALSE,"Währungsabw. 99_98"}</definedName>
    <definedName name="eee.lll" localSheetId="6" hidden="1">{#N/A,#N/A,FALSE,"PMW Gruppe 99_98";#N/A,#N/A,FALSE,"PMW KG 98_99";#N/A,#N/A,FALSE,"PMW Inc. 99_98";#N/A,#N/A,FALSE,"PMW VTECH 99_98";#N/A,#N/A,FALSE,"PMW Thail. 99_98";#N/A,#N/A,FALSE,"PMW Canada 99_98";#N/A,#N/A,FALSE,"Währungsabw. 99_98"}</definedName>
    <definedName name="eee.lll" hidden="1">{#N/A,#N/A,FALSE,"PMW Gruppe 99_98";#N/A,#N/A,FALSE,"PMW KG 98_99";#N/A,#N/A,FALSE,"PMW Inc. 99_98";#N/A,#N/A,FALSE,"PMW VTECH 99_98";#N/A,#N/A,FALSE,"PMW Thail. 99_98";#N/A,#N/A,FALSE,"PMW Canada 99_98";#N/A,#N/A,FALSE,"Währungsabw. 99_98"}</definedName>
    <definedName name="eee.lll_1" localSheetId="0" hidden="1">{#N/A,#N/A,FALSE,"PMW Gruppe 99_98";#N/A,#N/A,FALSE,"PMW KG 98_99";#N/A,#N/A,FALSE,"PMW Inc. 99_98";#N/A,#N/A,FALSE,"PMW VTECH 99_98";#N/A,#N/A,FALSE,"PMW Thail. 99_98";#N/A,#N/A,FALSE,"PMW Canada 99_98";#N/A,#N/A,FALSE,"Währungsabw. 99_98"}</definedName>
    <definedName name="eee.lll_1" localSheetId="6" hidden="1">{#N/A,#N/A,FALSE,"PMW Gruppe 99_98";#N/A,#N/A,FALSE,"PMW KG 98_99";#N/A,#N/A,FALSE,"PMW Inc. 99_98";#N/A,#N/A,FALSE,"PMW VTECH 99_98";#N/A,#N/A,FALSE,"PMW Thail. 99_98";#N/A,#N/A,FALSE,"PMW Canada 99_98";#N/A,#N/A,FALSE,"Währungsabw. 99_98"}</definedName>
    <definedName name="eee.lll_1" hidden="1">{#N/A,#N/A,FALSE,"PMW Gruppe 99_98";#N/A,#N/A,FALSE,"PMW KG 98_99";#N/A,#N/A,FALSE,"PMW Inc. 99_98";#N/A,#N/A,FALSE,"PMW VTECH 99_98";#N/A,#N/A,FALSE,"PMW Thail. 99_98";#N/A,#N/A,FALSE,"PMW Canada 99_98";#N/A,#N/A,FALSE,"Währungsabw. 99_98"}</definedName>
    <definedName name="eee.lll_1_1" localSheetId="0" hidden="1">{#N/A,#N/A,FALSE,"PMW Gruppe 99_98";#N/A,#N/A,FALSE,"PMW KG 98_99";#N/A,#N/A,FALSE,"PMW Inc. 99_98";#N/A,#N/A,FALSE,"PMW VTECH 99_98";#N/A,#N/A,FALSE,"PMW Thail. 99_98";#N/A,#N/A,FALSE,"PMW Canada 99_98";#N/A,#N/A,FALSE,"Währungsabw. 99_98"}</definedName>
    <definedName name="eee.lll_1_1" localSheetId="6" hidden="1">{#N/A,#N/A,FALSE,"PMW Gruppe 99_98";#N/A,#N/A,FALSE,"PMW KG 98_99";#N/A,#N/A,FALSE,"PMW Inc. 99_98";#N/A,#N/A,FALSE,"PMW VTECH 99_98";#N/A,#N/A,FALSE,"PMW Thail. 99_98";#N/A,#N/A,FALSE,"PMW Canada 99_98";#N/A,#N/A,FALSE,"Währungsabw. 99_98"}</definedName>
    <definedName name="eee.lll_1_1" hidden="1">{#N/A,#N/A,FALSE,"PMW Gruppe 99_98";#N/A,#N/A,FALSE,"PMW KG 98_99";#N/A,#N/A,FALSE,"PMW Inc. 99_98";#N/A,#N/A,FALSE,"PMW VTECH 99_98";#N/A,#N/A,FALSE,"PMW Thail. 99_98";#N/A,#N/A,FALSE,"PMW Canada 99_98";#N/A,#N/A,FALSE,"Währungsabw. 99_98"}</definedName>
    <definedName name="eee.lll_2" localSheetId="0" hidden="1">{#N/A,#N/A,FALSE,"PMW Gruppe 99_98";#N/A,#N/A,FALSE,"PMW KG 98_99";#N/A,#N/A,FALSE,"PMW Inc. 99_98";#N/A,#N/A,FALSE,"PMW VTECH 99_98";#N/A,#N/A,FALSE,"PMW Thail. 99_98";#N/A,#N/A,FALSE,"PMW Canada 99_98";#N/A,#N/A,FALSE,"Währungsabw. 99_98"}</definedName>
    <definedName name="eee.lll_2" localSheetId="6" hidden="1">{#N/A,#N/A,FALSE,"PMW Gruppe 99_98";#N/A,#N/A,FALSE,"PMW KG 98_99";#N/A,#N/A,FALSE,"PMW Inc. 99_98";#N/A,#N/A,FALSE,"PMW VTECH 99_98";#N/A,#N/A,FALSE,"PMW Thail. 99_98";#N/A,#N/A,FALSE,"PMW Canada 99_98";#N/A,#N/A,FALSE,"Währungsabw. 99_98"}</definedName>
    <definedName name="eee.lll_2" hidden="1">{#N/A,#N/A,FALSE,"PMW Gruppe 99_98";#N/A,#N/A,FALSE,"PMW KG 98_99";#N/A,#N/A,FALSE,"PMW Inc. 99_98";#N/A,#N/A,FALSE,"PMW VTECH 99_98";#N/A,#N/A,FALSE,"PMW Thail. 99_98";#N/A,#N/A,FALSE,"PMW Canada 99_98";#N/A,#N/A,FALSE,"Währungsabw. 99_98"}</definedName>
    <definedName name="eee.lll_3" localSheetId="0" hidden="1">{#N/A,#N/A,FALSE,"PMW Gruppe 99_98";#N/A,#N/A,FALSE,"PMW KG 98_99";#N/A,#N/A,FALSE,"PMW Inc. 99_98";#N/A,#N/A,FALSE,"PMW VTECH 99_98";#N/A,#N/A,FALSE,"PMW Thail. 99_98";#N/A,#N/A,FALSE,"PMW Canada 99_98";#N/A,#N/A,FALSE,"Währungsabw. 99_98"}</definedName>
    <definedName name="eee.lll_3" localSheetId="6" hidden="1">{#N/A,#N/A,FALSE,"PMW Gruppe 99_98";#N/A,#N/A,FALSE,"PMW KG 98_99";#N/A,#N/A,FALSE,"PMW Inc. 99_98";#N/A,#N/A,FALSE,"PMW VTECH 99_98";#N/A,#N/A,FALSE,"PMW Thail. 99_98";#N/A,#N/A,FALSE,"PMW Canada 99_98";#N/A,#N/A,FALSE,"Währungsabw. 99_98"}</definedName>
    <definedName name="eee.lll_3" hidden="1">{#N/A,#N/A,FALSE,"PMW Gruppe 99_98";#N/A,#N/A,FALSE,"PMW KG 98_99";#N/A,#N/A,FALSE,"PMW Inc. 99_98";#N/A,#N/A,FALSE,"PMW VTECH 99_98";#N/A,#N/A,FALSE,"PMW Thail. 99_98";#N/A,#N/A,FALSE,"PMW Canada 99_98";#N/A,#N/A,FALSE,"Währungsabw. 99_98"}</definedName>
    <definedName name="eee.lll_4" localSheetId="0" hidden="1">{#N/A,#N/A,FALSE,"PMW Gruppe 99_98";#N/A,#N/A,FALSE,"PMW KG 98_99";#N/A,#N/A,FALSE,"PMW Inc. 99_98";#N/A,#N/A,FALSE,"PMW VTECH 99_98";#N/A,#N/A,FALSE,"PMW Thail. 99_98";#N/A,#N/A,FALSE,"PMW Canada 99_98";#N/A,#N/A,FALSE,"Währungsabw. 99_98"}</definedName>
    <definedName name="eee.lll_4" localSheetId="6" hidden="1">{#N/A,#N/A,FALSE,"PMW Gruppe 99_98";#N/A,#N/A,FALSE,"PMW KG 98_99";#N/A,#N/A,FALSE,"PMW Inc. 99_98";#N/A,#N/A,FALSE,"PMW VTECH 99_98";#N/A,#N/A,FALSE,"PMW Thail. 99_98";#N/A,#N/A,FALSE,"PMW Canada 99_98";#N/A,#N/A,FALSE,"Währungsabw. 99_98"}</definedName>
    <definedName name="eee.lll_4" hidden="1">{#N/A,#N/A,FALSE,"PMW Gruppe 99_98";#N/A,#N/A,FALSE,"PMW KG 98_99";#N/A,#N/A,FALSE,"PMW Inc. 99_98";#N/A,#N/A,FALSE,"PMW VTECH 99_98";#N/A,#N/A,FALSE,"PMW Thail. 99_98";#N/A,#N/A,FALSE,"PMW Canada 99_98";#N/A,#N/A,FALSE,"Währungsabw. 99_98"}</definedName>
    <definedName name="eee.lll_5" localSheetId="0" hidden="1">{#N/A,#N/A,FALSE,"PMW Gruppe 99_98";#N/A,#N/A,FALSE,"PMW KG 98_99";#N/A,#N/A,FALSE,"PMW Inc. 99_98";#N/A,#N/A,FALSE,"PMW VTECH 99_98";#N/A,#N/A,FALSE,"PMW Thail. 99_98";#N/A,#N/A,FALSE,"PMW Canada 99_98";#N/A,#N/A,FALSE,"Währungsabw. 99_98"}</definedName>
    <definedName name="eee.lll_5" localSheetId="6" hidden="1">{#N/A,#N/A,FALSE,"PMW Gruppe 99_98";#N/A,#N/A,FALSE,"PMW KG 98_99";#N/A,#N/A,FALSE,"PMW Inc. 99_98";#N/A,#N/A,FALSE,"PMW VTECH 99_98";#N/A,#N/A,FALSE,"PMW Thail. 99_98";#N/A,#N/A,FALSE,"PMW Canada 99_98";#N/A,#N/A,FALSE,"Währungsabw. 99_98"}</definedName>
    <definedName name="eee.lll_5" hidden="1">{#N/A,#N/A,FALSE,"PMW Gruppe 99_98";#N/A,#N/A,FALSE,"PMW KG 98_99";#N/A,#N/A,FALSE,"PMW Inc. 99_98";#N/A,#N/A,FALSE,"PMW VTECH 99_98";#N/A,#N/A,FALSE,"PMW Thail. 99_98";#N/A,#N/A,FALSE,"PMW Canada 99_98";#N/A,#N/A,FALSE,"Währungsabw. 99_98"}</definedName>
    <definedName name="eee_1" localSheetId="0" hidden="1">{"DJH3",#N/A,FALSE,"PFL00805";"PJB3",#N/A,FALSE,"PFL00805";"JMD3",#N/A,FALSE,"PFL00805";"DNB3",#N/A,FALSE,"PFL00805";"MJP3",#N/A,FALSE,"PFL00805";"RAB3",#N/A,FALSE,"PFL00805";"GJW3",#N/A,FALSE,"PFL00805";"MASTER3",#N/A,FALSE,"PFL00805"}</definedName>
    <definedName name="eee_1" localSheetId="6" hidden="1">{"DJH3",#N/A,FALSE,"PFL00805";"PJB3",#N/A,FALSE,"PFL00805";"JMD3",#N/A,FALSE,"PFL00805";"DNB3",#N/A,FALSE,"PFL00805";"MJP3",#N/A,FALSE,"PFL00805";"RAB3",#N/A,FALSE,"PFL00805";"GJW3",#N/A,FALSE,"PFL00805";"MASTER3",#N/A,FALSE,"PFL00805"}</definedName>
    <definedName name="eee_1" hidden="1">{"DJH3",#N/A,FALSE,"PFL00805";"PJB3",#N/A,FALSE,"PFL00805";"JMD3",#N/A,FALSE,"PFL00805";"DNB3",#N/A,FALSE,"PFL00805";"MJP3",#N/A,FALSE,"PFL00805";"RAB3",#N/A,FALSE,"PFL00805";"GJW3",#N/A,FALSE,"PFL00805";"MASTER3",#N/A,FALSE,"PFL00805"}</definedName>
    <definedName name="EEE_1_1" localSheetId="0" hidden="1">{#N/A,#N/A,FALSE,"Pharm";#N/A,#N/A,FALSE,"WWCM"}</definedName>
    <definedName name="EEE_1_1" localSheetId="6" hidden="1">{#N/A,#N/A,FALSE,"Pharm";#N/A,#N/A,FALSE,"WWCM"}</definedName>
    <definedName name="EEE_1_1" hidden="1">{#N/A,#N/A,FALSE,"Pharm";#N/A,#N/A,FALSE,"WWCM"}</definedName>
    <definedName name="EEE_2" localSheetId="0" hidden="1">{#N/A,#N/A,FALSE,"Pharm";#N/A,#N/A,FALSE,"WWCM"}</definedName>
    <definedName name="EEE_2" localSheetId="6" hidden="1">{#N/A,#N/A,FALSE,"Pharm";#N/A,#N/A,FALSE,"WWCM"}</definedName>
    <definedName name="EEE_2" hidden="1">{#N/A,#N/A,FALSE,"Pharm";#N/A,#N/A,FALSE,"WWCM"}</definedName>
    <definedName name="EEE_3" localSheetId="0" hidden="1">{#N/A,#N/A,FALSE,"Pharm";#N/A,#N/A,FALSE,"WWCM"}</definedName>
    <definedName name="EEE_3" localSheetId="6" hidden="1">{#N/A,#N/A,FALSE,"Pharm";#N/A,#N/A,FALSE,"WWCM"}</definedName>
    <definedName name="EEE_3" hidden="1">{#N/A,#N/A,FALSE,"Pharm";#N/A,#N/A,FALSE,"WWCM"}</definedName>
    <definedName name="EEE_4" localSheetId="0" hidden="1">{#N/A,#N/A,FALSE,"Pharm";#N/A,#N/A,FALSE,"WWCM"}</definedName>
    <definedName name="EEE_4" localSheetId="6" hidden="1">{#N/A,#N/A,FALSE,"Pharm";#N/A,#N/A,FALSE,"WWCM"}</definedName>
    <definedName name="EEE_4" hidden="1">{#N/A,#N/A,FALSE,"Pharm";#N/A,#N/A,FALSE,"WWCM"}</definedName>
    <definedName name="EEE_5" localSheetId="0" hidden="1">{#N/A,#N/A,FALSE,"Pharm";#N/A,#N/A,FALSE,"WWCM"}</definedName>
    <definedName name="EEE_5" localSheetId="6" hidden="1">{#N/A,#N/A,FALSE,"Pharm";#N/A,#N/A,FALSE,"WWCM"}</definedName>
    <definedName name="EEE_5" hidden="1">{#N/A,#N/A,FALSE,"Pharm";#N/A,#N/A,FALSE,"WWCM"}</definedName>
    <definedName name="eeee" localSheetId="0" hidden="1">{"Graphic",#N/A,TRUE,"Graphic"}</definedName>
    <definedName name="eeee" localSheetId="6" hidden="1">{"Graphic",#N/A,TRUE,"Graphic"}</definedName>
    <definedName name="eeee" hidden="1">{"Graphic",#N/A,TRUE,"Graphic"}</definedName>
    <definedName name="eeee_1" localSheetId="0" hidden="1">{"Graphic",#N/A,TRUE,"Graphic"}</definedName>
    <definedName name="eeee_1" localSheetId="6" hidden="1">{"Graphic",#N/A,TRUE,"Graphic"}</definedName>
    <definedName name="eeee_1" hidden="1">{"Graphic",#N/A,TRUE,"Graphic"}</definedName>
    <definedName name="eeeee" localSheetId="0" hidden="1">{"'INDICE'!$A$1:$K$13","'1'!$A$1:$CC$78","'2'!$A$1:$P$78","'3'!$A$1:$CI$78","'4'!$A$1:$Q$78"}</definedName>
    <definedName name="eeeee" localSheetId="6" hidden="1">{"'INDICE'!$A$1:$K$13","'1'!$A$1:$CC$78","'2'!$A$1:$P$78","'3'!$A$1:$CI$78","'4'!$A$1:$Q$78"}</definedName>
    <definedName name="eeeee" hidden="1">{"'INDICE'!$A$1:$K$13","'1'!$A$1:$CC$78","'2'!$A$1:$P$78","'3'!$A$1:$CI$78","'4'!$A$1:$Q$78"}</definedName>
    <definedName name="eeeee_1" localSheetId="0" hidden="1">{"'INDICE'!$A$1:$K$13","'1'!$A$1:$CC$78","'2'!$A$1:$P$78","'3'!$A$1:$CI$78","'4'!$A$1:$Q$78"}</definedName>
    <definedName name="eeeee_1" localSheetId="6" hidden="1">{"'INDICE'!$A$1:$K$13","'1'!$A$1:$CC$78","'2'!$A$1:$P$78","'3'!$A$1:$CI$78","'4'!$A$1:$Q$78"}</definedName>
    <definedName name="eeeee_1" hidden="1">{"'INDICE'!$A$1:$K$13","'1'!$A$1:$CC$78","'2'!$A$1:$P$78","'3'!$A$1:$CI$78","'4'!$A$1:$Q$78"}</definedName>
    <definedName name="eeeee_1_1" localSheetId="0" hidden="1">{#N/A,#N/A,FALSE,"Pharm";#N/A,#N/A,FALSE,"WWCM"}</definedName>
    <definedName name="eeeee_1_1" localSheetId="6" hidden="1">{#N/A,#N/A,FALSE,"Pharm";#N/A,#N/A,FALSE,"WWCM"}</definedName>
    <definedName name="eeeee_1_1" hidden="1">{#N/A,#N/A,FALSE,"Pharm";#N/A,#N/A,FALSE,"WWCM"}</definedName>
    <definedName name="eeeee_2" localSheetId="0" hidden="1">{#N/A,#N/A,FALSE,"Pharm";#N/A,#N/A,FALSE,"WWCM"}</definedName>
    <definedName name="eeeee_2" localSheetId="6" hidden="1">{#N/A,#N/A,FALSE,"Pharm";#N/A,#N/A,FALSE,"WWCM"}</definedName>
    <definedName name="eeeee_2" hidden="1">{#N/A,#N/A,FALSE,"Pharm";#N/A,#N/A,FALSE,"WWCM"}</definedName>
    <definedName name="eeeee_3" localSheetId="0" hidden="1">{#N/A,#N/A,FALSE,"Pharm";#N/A,#N/A,FALSE,"WWCM"}</definedName>
    <definedName name="eeeee_3" localSheetId="6" hidden="1">{#N/A,#N/A,FALSE,"Pharm";#N/A,#N/A,FALSE,"WWCM"}</definedName>
    <definedName name="eeeee_3" hidden="1">{#N/A,#N/A,FALSE,"Pharm";#N/A,#N/A,FALSE,"WWCM"}</definedName>
    <definedName name="eeeee_4" localSheetId="0" hidden="1">{#N/A,#N/A,FALSE,"Pharm";#N/A,#N/A,FALSE,"WWCM"}</definedName>
    <definedName name="eeeee_4" localSheetId="6" hidden="1">{#N/A,#N/A,FALSE,"Pharm";#N/A,#N/A,FALSE,"WWCM"}</definedName>
    <definedName name="eeeee_4" hidden="1">{#N/A,#N/A,FALSE,"Pharm";#N/A,#N/A,FALSE,"WWCM"}</definedName>
    <definedName name="eeeee_5" localSheetId="0" hidden="1">{#N/A,#N/A,FALSE,"Pharm";#N/A,#N/A,FALSE,"WWCM"}</definedName>
    <definedName name="eeeee_5" localSheetId="6" hidden="1">{#N/A,#N/A,FALSE,"Pharm";#N/A,#N/A,FALSE,"WWCM"}</definedName>
    <definedName name="eeeee_5" hidden="1">{#N/A,#N/A,FALSE,"Pharm";#N/A,#N/A,FALSE,"WWCM"}</definedName>
    <definedName name="eeeeee" localSheetId="0" hidden="1">{"'INDICE'!$A$1:$K$13","'1'!$A$1:$CC$78","'2'!$A$1:$P$78","'3'!$A$1:$CI$78","'4'!$A$1:$Q$78"}</definedName>
    <definedName name="eeeeee" localSheetId="6" hidden="1">{"'INDICE'!$A$1:$K$13","'1'!$A$1:$CC$78","'2'!$A$1:$P$78","'3'!$A$1:$CI$78","'4'!$A$1:$Q$78"}</definedName>
    <definedName name="eeeeee" hidden="1">{"'INDICE'!$A$1:$K$13","'1'!$A$1:$CC$78","'2'!$A$1:$P$78","'3'!$A$1:$CI$78","'4'!$A$1:$Q$78"}</definedName>
    <definedName name="eeeeee_1" localSheetId="0" hidden="1">{"'INDICE'!$A$1:$K$13","'1'!$A$1:$CC$78","'2'!$A$1:$P$78","'3'!$A$1:$CI$78","'4'!$A$1:$Q$78"}</definedName>
    <definedName name="eeeeee_1" localSheetId="6" hidden="1">{"'INDICE'!$A$1:$K$13","'1'!$A$1:$CC$78","'2'!$A$1:$P$78","'3'!$A$1:$CI$78","'4'!$A$1:$Q$78"}</definedName>
    <definedName name="eeeeee_1" hidden="1">{"'INDICE'!$A$1:$K$13","'1'!$A$1:$CC$78","'2'!$A$1:$P$78","'3'!$A$1:$CI$78","'4'!$A$1:$Q$78"}</definedName>
    <definedName name="eeeeeee" localSheetId="0" hidden="1">{"Graphic",#N/A,TRUE,"Graphic"}</definedName>
    <definedName name="eeeeeee" localSheetId="6" hidden="1">{"Graphic",#N/A,TRUE,"Graphic"}</definedName>
    <definedName name="eeeeeee" hidden="1">{"Graphic",#N/A,TRUE,"Graphic"}</definedName>
    <definedName name="eeeeeee_1" localSheetId="0" hidden="1">{"Graphic",#N/A,TRUE,"Graphic"}</definedName>
    <definedName name="eeeeeee_1" localSheetId="6" hidden="1">{"Graphic",#N/A,TRUE,"Graphic"}</definedName>
    <definedName name="eeeeeee_1" hidden="1">{"Graphic",#N/A,TRUE,"Graphic"}</definedName>
    <definedName name="eeeeeeee" localSheetId="6" hidden="1">{#N/A,#N/A,TRUE,"FA 1 &amp; 2";#N/A,#N/A,TRUE,"FA 3 &amp; 4";#N/A,#N/A,TRUE,"FA 5 &amp; 6";#N/A,#N/A,TRUE,"FA 7 &amp; 8";#N/A,#N/A,TRUE,"FA 9 &amp; 10";#N/A,#N/A,TRUE,"FA 11";#N/A,#N/A,TRUE,"FA 12";#N/A,#N/A,TRUE,"FA 13";#N/A,#N/A,TRUE,"FA 14 &amp; 15"}</definedName>
    <definedName name="eeeeeeee" hidden="1">{#N/A,#N/A,TRUE,"FA 1 &amp; 2";#N/A,#N/A,TRUE,"FA 3 &amp; 4";#N/A,#N/A,TRUE,"FA 5 &amp; 6";#N/A,#N/A,TRUE,"FA 7 &amp; 8";#N/A,#N/A,TRUE,"FA 9 &amp; 10";#N/A,#N/A,TRUE,"FA 11";#N/A,#N/A,TRUE,"FA 12";#N/A,#N/A,TRUE,"FA 13";#N/A,#N/A,TRUE,"FA 14 &amp; 15"}</definedName>
    <definedName name="eeeeeeeeeeee" hidden="1">#REF!</definedName>
    <definedName name="eeeeeeeeeeeeeeewwwwwwwwww" hidden="1">#REF!</definedName>
    <definedName name="eer" localSheetId="0" hidden="1">{#N/A,#N/A,TRUE,"Cover sheet";#N/A,#N/A,TRUE,"Summary";#N/A,#N/A,TRUE,"Key Assumptions";#N/A,#N/A,TRUE,"Profit &amp; Loss";#N/A,#N/A,TRUE,"Balance Sheet";#N/A,#N/A,TRUE,"Cashflow";#N/A,#N/A,TRUE,"IRR";#N/A,#N/A,TRUE,"Ratios";#N/A,#N/A,TRUE,"Debt analysis"}</definedName>
    <definedName name="eer" localSheetId="6" hidden="1">{#N/A,#N/A,TRUE,"Cover sheet";#N/A,#N/A,TRUE,"Summary";#N/A,#N/A,TRUE,"Key Assumptions";#N/A,#N/A,TRUE,"Profit &amp; Loss";#N/A,#N/A,TRUE,"Balance Sheet";#N/A,#N/A,TRUE,"Cashflow";#N/A,#N/A,TRUE,"IRR";#N/A,#N/A,TRUE,"Ratios";#N/A,#N/A,TRUE,"Debt analysis"}</definedName>
    <definedName name="eer" hidden="1">{#N/A,#N/A,TRUE,"Cover sheet";#N/A,#N/A,TRUE,"Summary";#N/A,#N/A,TRUE,"Key Assumptions";#N/A,#N/A,TRUE,"Profit &amp; Loss";#N/A,#N/A,TRUE,"Balance Sheet";#N/A,#N/A,TRUE,"Cashflow";#N/A,#N/A,TRUE,"IRR";#N/A,#N/A,TRUE,"Ratios";#N/A,#N/A,TRUE,"Debt analysis"}</definedName>
    <definedName name="eert" localSheetId="0" hidden="1">{#N/A,#N/A,FALSE,"Umsatz EO BP";#N/A,#N/A,FALSE,"Umsatz EO OP";#N/A,#N/A,FALSE,"ER EO BP";#N/A,#N/A,FALSE,"ER EO OP";#N/A,#N/A,FALSE,"EA EO (2)";#N/A,#N/A,FALSE,"EA EO";#N/A,#N/A,FALSE,"EA EO (3)";#N/A,#N/A,FALSE,"EA EO (4)";#N/A,#N/A,FALSE,"KA EO  (2)";#N/A,#N/A,FALSE,"KA EO";#N/A,#N/A,FALSE,"KA EO  (3)";#N/A,#N/A,FALSE,"KA EO (4)"}</definedName>
    <definedName name="eert" localSheetId="6" hidden="1">{#N/A,#N/A,FALSE,"Umsatz EO BP";#N/A,#N/A,FALSE,"Umsatz EO OP";#N/A,#N/A,FALSE,"ER EO BP";#N/A,#N/A,FALSE,"ER EO OP";#N/A,#N/A,FALSE,"EA EO (2)";#N/A,#N/A,FALSE,"EA EO";#N/A,#N/A,FALSE,"EA EO (3)";#N/A,#N/A,FALSE,"EA EO (4)";#N/A,#N/A,FALSE,"KA EO  (2)";#N/A,#N/A,FALSE,"KA EO";#N/A,#N/A,FALSE,"KA EO  (3)";#N/A,#N/A,FALSE,"KA EO (4)"}</definedName>
    <definedName name="eert" hidden="1">{#N/A,#N/A,FALSE,"Umsatz EO BP";#N/A,#N/A,FALSE,"Umsatz EO OP";#N/A,#N/A,FALSE,"ER EO BP";#N/A,#N/A,FALSE,"ER EO OP";#N/A,#N/A,FALSE,"EA EO (2)";#N/A,#N/A,FALSE,"EA EO";#N/A,#N/A,FALSE,"EA EO (3)";#N/A,#N/A,FALSE,"EA EO (4)";#N/A,#N/A,FALSE,"KA EO  (2)";#N/A,#N/A,FALSE,"KA EO";#N/A,#N/A,FALSE,"KA EO  (3)";#N/A,#N/A,FALSE,"KA EO (4)"}</definedName>
    <definedName name="eert_1" localSheetId="0" hidden="1">{#N/A,#N/A,FALSE,"Umsatz EO BP";#N/A,#N/A,FALSE,"Umsatz EO OP";#N/A,#N/A,FALSE,"ER EO BP";#N/A,#N/A,FALSE,"ER EO OP";#N/A,#N/A,FALSE,"EA EO (2)";#N/A,#N/A,FALSE,"EA EO";#N/A,#N/A,FALSE,"EA EO (3)";#N/A,#N/A,FALSE,"EA EO (4)";#N/A,#N/A,FALSE,"KA EO  (2)";#N/A,#N/A,FALSE,"KA EO";#N/A,#N/A,FALSE,"KA EO  (3)";#N/A,#N/A,FALSE,"KA EO (4)"}</definedName>
    <definedName name="eert_1" localSheetId="6" hidden="1">{#N/A,#N/A,FALSE,"Umsatz EO BP";#N/A,#N/A,FALSE,"Umsatz EO OP";#N/A,#N/A,FALSE,"ER EO BP";#N/A,#N/A,FALSE,"ER EO OP";#N/A,#N/A,FALSE,"EA EO (2)";#N/A,#N/A,FALSE,"EA EO";#N/A,#N/A,FALSE,"EA EO (3)";#N/A,#N/A,FALSE,"EA EO (4)";#N/A,#N/A,FALSE,"KA EO  (2)";#N/A,#N/A,FALSE,"KA EO";#N/A,#N/A,FALSE,"KA EO  (3)";#N/A,#N/A,FALSE,"KA EO (4)"}</definedName>
    <definedName name="eert_1" hidden="1">{#N/A,#N/A,FALSE,"Umsatz EO BP";#N/A,#N/A,FALSE,"Umsatz EO OP";#N/A,#N/A,FALSE,"ER EO BP";#N/A,#N/A,FALSE,"ER EO OP";#N/A,#N/A,FALSE,"EA EO (2)";#N/A,#N/A,FALSE,"EA EO";#N/A,#N/A,FALSE,"EA EO (3)";#N/A,#N/A,FALSE,"EA EO (4)";#N/A,#N/A,FALSE,"KA EO  (2)";#N/A,#N/A,FALSE,"KA EO";#N/A,#N/A,FALSE,"KA EO  (3)";#N/A,#N/A,FALSE,"KA EO (4)"}</definedName>
    <definedName name="eert_1_1" localSheetId="0" hidden="1">{#N/A,#N/A,FALSE,"Umsatz EO BP";#N/A,#N/A,FALSE,"Umsatz EO OP";#N/A,#N/A,FALSE,"ER EO BP";#N/A,#N/A,FALSE,"ER EO OP";#N/A,#N/A,FALSE,"EA EO (2)";#N/A,#N/A,FALSE,"EA EO";#N/A,#N/A,FALSE,"EA EO (3)";#N/A,#N/A,FALSE,"EA EO (4)";#N/A,#N/A,FALSE,"KA EO  (2)";#N/A,#N/A,FALSE,"KA EO";#N/A,#N/A,FALSE,"KA EO  (3)";#N/A,#N/A,FALSE,"KA EO (4)"}</definedName>
    <definedName name="eert_1_1" localSheetId="6" hidden="1">{#N/A,#N/A,FALSE,"Umsatz EO BP";#N/A,#N/A,FALSE,"Umsatz EO OP";#N/A,#N/A,FALSE,"ER EO BP";#N/A,#N/A,FALSE,"ER EO OP";#N/A,#N/A,FALSE,"EA EO (2)";#N/A,#N/A,FALSE,"EA EO";#N/A,#N/A,FALSE,"EA EO (3)";#N/A,#N/A,FALSE,"EA EO (4)";#N/A,#N/A,FALSE,"KA EO  (2)";#N/A,#N/A,FALSE,"KA EO";#N/A,#N/A,FALSE,"KA EO  (3)";#N/A,#N/A,FALSE,"KA EO (4)"}</definedName>
    <definedName name="eert_1_1" hidden="1">{#N/A,#N/A,FALSE,"Umsatz EO BP";#N/A,#N/A,FALSE,"Umsatz EO OP";#N/A,#N/A,FALSE,"ER EO BP";#N/A,#N/A,FALSE,"ER EO OP";#N/A,#N/A,FALSE,"EA EO (2)";#N/A,#N/A,FALSE,"EA EO";#N/A,#N/A,FALSE,"EA EO (3)";#N/A,#N/A,FALSE,"EA EO (4)";#N/A,#N/A,FALSE,"KA EO  (2)";#N/A,#N/A,FALSE,"KA EO";#N/A,#N/A,FALSE,"KA EO  (3)";#N/A,#N/A,FALSE,"KA EO (4)"}</definedName>
    <definedName name="eert_2" localSheetId="0" hidden="1">{#N/A,#N/A,FALSE,"Umsatz EO BP";#N/A,#N/A,FALSE,"Umsatz EO OP";#N/A,#N/A,FALSE,"ER EO BP";#N/A,#N/A,FALSE,"ER EO OP";#N/A,#N/A,FALSE,"EA EO (2)";#N/A,#N/A,FALSE,"EA EO";#N/A,#N/A,FALSE,"EA EO (3)";#N/A,#N/A,FALSE,"EA EO (4)";#N/A,#N/A,FALSE,"KA EO  (2)";#N/A,#N/A,FALSE,"KA EO";#N/A,#N/A,FALSE,"KA EO  (3)";#N/A,#N/A,FALSE,"KA EO (4)"}</definedName>
    <definedName name="eert_2" localSheetId="6" hidden="1">{#N/A,#N/A,FALSE,"Umsatz EO BP";#N/A,#N/A,FALSE,"Umsatz EO OP";#N/A,#N/A,FALSE,"ER EO BP";#N/A,#N/A,FALSE,"ER EO OP";#N/A,#N/A,FALSE,"EA EO (2)";#N/A,#N/A,FALSE,"EA EO";#N/A,#N/A,FALSE,"EA EO (3)";#N/A,#N/A,FALSE,"EA EO (4)";#N/A,#N/A,FALSE,"KA EO  (2)";#N/A,#N/A,FALSE,"KA EO";#N/A,#N/A,FALSE,"KA EO  (3)";#N/A,#N/A,FALSE,"KA EO (4)"}</definedName>
    <definedName name="eert_2" hidden="1">{#N/A,#N/A,FALSE,"Umsatz EO BP";#N/A,#N/A,FALSE,"Umsatz EO OP";#N/A,#N/A,FALSE,"ER EO BP";#N/A,#N/A,FALSE,"ER EO OP";#N/A,#N/A,FALSE,"EA EO (2)";#N/A,#N/A,FALSE,"EA EO";#N/A,#N/A,FALSE,"EA EO (3)";#N/A,#N/A,FALSE,"EA EO (4)";#N/A,#N/A,FALSE,"KA EO  (2)";#N/A,#N/A,FALSE,"KA EO";#N/A,#N/A,FALSE,"KA EO  (3)";#N/A,#N/A,FALSE,"KA EO (4)"}</definedName>
    <definedName name="eert_3" localSheetId="0" hidden="1">{#N/A,#N/A,FALSE,"Umsatz EO BP";#N/A,#N/A,FALSE,"Umsatz EO OP";#N/A,#N/A,FALSE,"ER EO BP";#N/A,#N/A,FALSE,"ER EO OP";#N/A,#N/A,FALSE,"EA EO (2)";#N/A,#N/A,FALSE,"EA EO";#N/A,#N/A,FALSE,"EA EO (3)";#N/A,#N/A,FALSE,"EA EO (4)";#N/A,#N/A,FALSE,"KA EO  (2)";#N/A,#N/A,FALSE,"KA EO";#N/A,#N/A,FALSE,"KA EO  (3)";#N/A,#N/A,FALSE,"KA EO (4)"}</definedName>
    <definedName name="eert_3" localSheetId="6" hidden="1">{#N/A,#N/A,FALSE,"Umsatz EO BP";#N/A,#N/A,FALSE,"Umsatz EO OP";#N/A,#N/A,FALSE,"ER EO BP";#N/A,#N/A,FALSE,"ER EO OP";#N/A,#N/A,FALSE,"EA EO (2)";#N/A,#N/A,FALSE,"EA EO";#N/A,#N/A,FALSE,"EA EO (3)";#N/A,#N/A,FALSE,"EA EO (4)";#N/A,#N/A,FALSE,"KA EO  (2)";#N/A,#N/A,FALSE,"KA EO";#N/A,#N/A,FALSE,"KA EO  (3)";#N/A,#N/A,FALSE,"KA EO (4)"}</definedName>
    <definedName name="eert_3" hidden="1">{#N/A,#N/A,FALSE,"Umsatz EO BP";#N/A,#N/A,FALSE,"Umsatz EO OP";#N/A,#N/A,FALSE,"ER EO BP";#N/A,#N/A,FALSE,"ER EO OP";#N/A,#N/A,FALSE,"EA EO (2)";#N/A,#N/A,FALSE,"EA EO";#N/A,#N/A,FALSE,"EA EO (3)";#N/A,#N/A,FALSE,"EA EO (4)";#N/A,#N/A,FALSE,"KA EO  (2)";#N/A,#N/A,FALSE,"KA EO";#N/A,#N/A,FALSE,"KA EO  (3)";#N/A,#N/A,FALSE,"KA EO (4)"}</definedName>
    <definedName name="eert_4" localSheetId="0" hidden="1">{#N/A,#N/A,FALSE,"Umsatz EO BP";#N/A,#N/A,FALSE,"Umsatz EO OP";#N/A,#N/A,FALSE,"ER EO BP";#N/A,#N/A,FALSE,"ER EO OP";#N/A,#N/A,FALSE,"EA EO (2)";#N/A,#N/A,FALSE,"EA EO";#N/A,#N/A,FALSE,"EA EO (3)";#N/A,#N/A,FALSE,"EA EO (4)";#N/A,#N/A,FALSE,"KA EO  (2)";#N/A,#N/A,FALSE,"KA EO";#N/A,#N/A,FALSE,"KA EO  (3)";#N/A,#N/A,FALSE,"KA EO (4)"}</definedName>
    <definedName name="eert_4" localSheetId="6" hidden="1">{#N/A,#N/A,FALSE,"Umsatz EO BP";#N/A,#N/A,FALSE,"Umsatz EO OP";#N/A,#N/A,FALSE,"ER EO BP";#N/A,#N/A,FALSE,"ER EO OP";#N/A,#N/A,FALSE,"EA EO (2)";#N/A,#N/A,FALSE,"EA EO";#N/A,#N/A,FALSE,"EA EO (3)";#N/A,#N/A,FALSE,"EA EO (4)";#N/A,#N/A,FALSE,"KA EO  (2)";#N/A,#N/A,FALSE,"KA EO";#N/A,#N/A,FALSE,"KA EO  (3)";#N/A,#N/A,FALSE,"KA EO (4)"}</definedName>
    <definedName name="eert_4" hidden="1">{#N/A,#N/A,FALSE,"Umsatz EO BP";#N/A,#N/A,FALSE,"Umsatz EO OP";#N/A,#N/A,FALSE,"ER EO BP";#N/A,#N/A,FALSE,"ER EO OP";#N/A,#N/A,FALSE,"EA EO (2)";#N/A,#N/A,FALSE,"EA EO";#N/A,#N/A,FALSE,"EA EO (3)";#N/A,#N/A,FALSE,"EA EO (4)";#N/A,#N/A,FALSE,"KA EO  (2)";#N/A,#N/A,FALSE,"KA EO";#N/A,#N/A,FALSE,"KA EO  (3)";#N/A,#N/A,FALSE,"KA EO (4)"}</definedName>
    <definedName name="eert_5" localSheetId="0" hidden="1">{#N/A,#N/A,FALSE,"Umsatz EO BP";#N/A,#N/A,FALSE,"Umsatz EO OP";#N/A,#N/A,FALSE,"ER EO BP";#N/A,#N/A,FALSE,"ER EO OP";#N/A,#N/A,FALSE,"EA EO (2)";#N/A,#N/A,FALSE,"EA EO";#N/A,#N/A,FALSE,"EA EO (3)";#N/A,#N/A,FALSE,"EA EO (4)";#N/A,#N/A,FALSE,"KA EO  (2)";#N/A,#N/A,FALSE,"KA EO";#N/A,#N/A,FALSE,"KA EO  (3)";#N/A,#N/A,FALSE,"KA EO (4)"}</definedName>
    <definedName name="eert_5" localSheetId="6" hidden="1">{#N/A,#N/A,FALSE,"Umsatz EO BP";#N/A,#N/A,FALSE,"Umsatz EO OP";#N/A,#N/A,FALSE,"ER EO BP";#N/A,#N/A,FALSE,"ER EO OP";#N/A,#N/A,FALSE,"EA EO (2)";#N/A,#N/A,FALSE,"EA EO";#N/A,#N/A,FALSE,"EA EO (3)";#N/A,#N/A,FALSE,"EA EO (4)";#N/A,#N/A,FALSE,"KA EO  (2)";#N/A,#N/A,FALSE,"KA EO";#N/A,#N/A,FALSE,"KA EO  (3)";#N/A,#N/A,FALSE,"KA EO (4)"}</definedName>
    <definedName name="eert_5" hidden="1">{#N/A,#N/A,FALSE,"Umsatz EO BP";#N/A,#N/A,FALSE,"Umsatz EO OP";#N/A,#N/A,FALSE,"ER EO BP";#N/A,#N/A,FALSE,"ER EO OP";#N/A,#N/A,FALSE,"EA EO (2)";#N/A,#N/A,FALSE,"EA EO";#N/A,#N/A,FALSE,"EA EO (3)";#N/A,#N/A,FALSE,"EA EO (4)";#N/A,#N/A,FALSE,"KA EO  (2)";#N/A,#N/A,FALSE,"KA EO";#N/A,#N/A,FALSE,"KA EO  (3)";#N/A,#N/A,FALSE,"KA EO (4)"}</definedName>
    <definedName name="EERYREYREYERY" localSheetId="0" hidden="1">{"up stand alones",#N/A,FALSE,"Acquiror"}</definedName>
    <definedName name="EERYREYREYERY" localSheetId="6" hidden="1">{"up stand alones",#N/A,FALSE,"Acquiror"}</definedName>
    <definedName name="EERYREYREYERY" hidden="1">{"up stand alones",#N/A,FALSE,"Acquiror"}</definedName>
    <definedName name="ef" localSheetId="0" hidden="1">{#N/A,#N/A,FALSE,"PA";#N/A,#N/A,FALSE,"PA"}</definedName>
    <definedName name="ef" localSheetId="6" hidden="1">{#N/A,#N/A,FALSE,"PA";#N/A,#N/A,FALSE,"PA"}</definedName>
    <definedName name="ef" hidden="1">{#N/A,#N/A,FALSE,"PA";#N/A,#N/A,FALSE,"PA"}</definedName>
    <definedName name="EFFECT_SPECIAL_CHARGE" hidden="1">"EFFECT_SPECIAL_CHARGE"</definedName>
    <definedName name="Effective_Filters">#REF!</definedName>
    <definedName name="efg" localSheetId="0" hidden="1">{#N/A,#N/A,TRUE,"Cover";#N/A,#N/A,TRUE,"Sum";#N/A,#N/A,TRUE,"SubsRev";#N/A,#N/A,TRUE,"CapEx";#N/A,#N/A,TRUE,"OpEx";#N/A,#N/A,TRUE,"SUs";#N/A,#N/A,TRUE,"OrgChart";#N/A,#N/A,TRUE,"Staff";#N/A,#N/A,TRUE,"P&amp;L";#N/A,#N/A,TRUE,"Cash";#N/A,#N/A,TRUE,"BS";#N/A,#N/A,TRUE,"Valuation";#N/A,#N/A,TRUE,"CapEx-Assumptions";#N/A,#N/A,TRUE,"OpEx-Assumptions"}</definedName>
    <definedName name="efg" localSheetId="6" hidden="1">{#N/A,#N/A,TRUE,"Cover";#N/A,#N/A,TRUE,"Sum";#N/A,#N/A,TRUE,"SubsRev";#N/A,#N/A,TRUE,"CapEx";#N/A,#N/A,TRUE,"OpEx";#N/A,#N/A,TRUE,"SUs";#N/A,#N/A,TRUE,"OrgChart";#N/A,#N/A,TRUE,"Staff";#N/A,#N/A,TRUE,"P&amp;L";#N/A,#N/A,TRUE,"Cash";#N/A,#N/A,TRUE,"BS";#N/A,#N/A,TRUE,"Valuation";#N/A,#N/A,TRUE,"CapEx-Assumptions";#N/A,#N/A,TRUE,"OpEx-Assumptions"}</definedName>
    <definedName name="efg" hidden="1">{#N/A,#N/A,TRUE,"Cover";#N/A,#N/A,TRUE,"Sum";#N/A,#N/A,TRUE,"SubsRev";#N/A,#N/A,TRUE,"CapEx";#N/A,#N/A,TRUE,"OpEx";#N/A,#N/A,TRUE,"SUs";#N/A,#N/A,TRUE,"OrgChart";#N/A,#N/A,TRUE,"Staff";#N/A,#N/A,TRUE,"P&amp;L";#N/A,#N/A,TRUE,"Cash";#N/A,#N/A,TRUE,"BS";#N/A,#N/A,TRUE,"Valuation";#N/A,#N/A,TRUE,"CapEx-Assumptions";#N/A,#N/A,TRUE,"OpEx-Assumptions"}</definedName>
    <definedName name="efgwef" hidden="1">#REF!</definedName>
    <definedName name="efin" localSheetId="0" hidden="1">{#N/A,#N/A,FALSE,"Output";#N/A,#N/A,FALSE,"Cover Sheet";#N/A,#N/A,FALSE,"Current Mkt. Projections"}</definedName>
    <definedName name="efin" localSheetId="6" hidden="1">{#N/A,#N/A,FALSE,"Output";#N/A,#N/A,FALSE,"Cover Sheet";#N/A,#N/A,FALSE,"Current Mkt. Projections"}</definedName>
    <definedName name="efin" hidden="1">{#N/A,#N/A,FALSE,"Output";#N/A,#N/A,FALSE,"Cover Sheet";#N/A,#N/A,FALSE,"Current Mkt. Projections"}</definedName>
    <definedName name="efn" localSheetId="0" hidden="1">{#N/A,#N/A,TRUE,"DCF Summary";#N/A,#N/A,TRUE,"Casema";#N/A,#N/A,TRUE,"UK";#N/A,#N/A,TRUE,"RCF";#N/A,#N/A,TRUE,"Intercable CZ";#N/A,#N/A,TRUE,"Interkabel P";#N/A,#N/A,TRUE,"LBO-Total";#N/A,#N/A,TRUE,"LBO-Casema"}</definedName>
    <definedName name="efn" localSheetId="6" hidden="1">{#N/A,#N/A,TRUE,"DCF Summary";#N/A,#N/A,TRUE,"Casema";#N/A,#N/A,TRUE,"UK";#N/A,#N/A,TRUE,"RCF";#N/A,#N/A,TRUE,"Intercable CZ";#N/A,#N/A,TRUE,"Interkabel P";#N/A,#N/A,TRUE,"LBO-Total";#N/A,#N/A,TRUE,"LBO-Casema"}</definedName>
    <definedName name="efn" hidden="1">{#N/A,#N/A,TRUE,"DCF Summary";#N/A,#N/A,TRUE,"Casema";#N/A,#N/A,TRUE,"UK";#N/A,#N/A,TRUE,"RCF";#N/A,#N/A,TRUE,"Intercable CZ";#N/A,#N/A,TRUE,"Interkabel P";#N/A,#N/A,TRUE,"LBO-Total";#N/A,#N/A,TRUE,"LBO-Casema"}</definedName>
    <definedName name="efwe" hidden="1">#REF!</definedName>
    <definedName name="efwf" hidden="1">#REF!</definedName>
    <definedName name="egfsfeg" localSheetId="0" hidden="1">{#N/A,"Hipótesis C",FALSE,"desglose";#N/A,#N/A,FALSE,"p&amp;g";#N/A,#N/A,FALSE,"detallder+dob (C)";#N/A,#N/A,FALSE,"costotitulo(C)";#N/A,#N/A,FALSE,"costohora(C)"}</definedName>
    <definedName name="egfsfeg" localSheetId="6" hidden="1">{#N/A,"Hipótesis C",FALSE,"desglose";#N/A,#N/A,FALSE,"p&amp;g";#N/A,#N/A,FALSE,"detallder+dob (C)";#N/A,#N/A,FALSE,"costotitulo(C)";#N/A,#N/A,FALSE,"costohora(C)"}</definedName>
    <definedName name="egfsfeg" hidden="1">{#N/A,"Hipótesis C",FALSE,"desglose";#N/A,#N/A,FALSE,"p&amp;g";#N/A,#N/A,FALSE,"detallder+dob (C)";#N/A,#N/A,FALSE,"costotitulo(C)";#N/A,#N/A,FALSE,"costohora(C)"}</definedName>
    <definedName name="eh" localSheetId="0" hidden="1">{"cover",#N/A,TRUE,"Cover";"toc3",#N/A,TRUE,"TOC";"over",#N/A,TRUE,"Overview";"ts2",#N/A,TRUE,"Det_Trans_Sum";"ei2c",#N/A,TRUE,"Earnings Impact";"ad2",#N/A,TRUE,"accretion dilution";"pfis2",#N/A,TRUE,"Pro Forma Income Statement";"acq2c",#N/A,TRUE,"Acquirer";"tar2c",#N/A,TRUE,"Target"}</definedName>
    <definedName name="eh" localSheetId="6" hidden="1">{"cover",#N/A,TRUE,"Cover";"toc3",#N/A,TRUE,"TOC";"over",#N/A,TRUE,"Overview";"ts2",#N/A,TRUE,"Det_Trans_Sum";"ei2c",#N/A,TRUE,"Earnings Impact";"ad2",#N/A,TRUE,"accretion dilution";"pfis2",#N/A,TRUE,"Pro Forma Income Statement";"acq2c",#N/A,TRUE,"Acquirer";"tar2c",#N/A,TRUE,"Target"}</definedName>
    <definedName name="eh" hidden="1">{"cover",#N/A,TRUE,"Cover";"toc3",#N/A,TRUE,"TOC";"over",#N/A,TRUE,"Overview";"ts2",#N/A,TRUE,"Det_Trans_Sum";"ei2c",#N/A,TRUE,"Earnings Impact";"ad2",#N/A,TRUE,"accretion dilution";"pfis2",#N/A,TRUE,"Pro Forma Income Statement";"acq2c",#N/A,TRUE,"Acquirer";"tar2c",#N/A,TRUE,"Target"}</definedName>
    <definedName name="EI" localSheetId="0" hidden="1">{"vue1",#N/A,FALSE,"synthese";"vue2",#N/A,FALSE,"synthese"}</definedName>
    <definedName name="EI" localSheetId="6" hidden="1">{"vue1",#N/A,FALSE,"synthese";"vue2",#N/A,FALSE,"synthese"}</definedName>
    <definedName name="EI" hidden="1">{"vue1",#N/A,FALSE,"synthese";"vue2",#N/A,FALSE,"synthese"}</definedName>
    <definedName name="EinzelANR">#REF!</definedName>
    <definedName name="ejkfgkjze" localSheetId="0" hidden="1">{#N/A,#N/A,FALSE,"Pharm";#N/A,#N/A,FALSE,"WWCM"}</definedName>
    <definedName name="ejkfgkjze" localSheetId="6" hidden="1">{#N/A,#N/A,FALSE,"Pharm";#N/A,#N/A,FALSE,"WWCM"}</definedName>
    <definedName name="ejkfgkjze" hidden="1">{#N/A,#N/A,FALSE,"Pharm";#N/A,#N/A,FALSE,"WWCM"}</definedName>
    <definedName name="ejkfgkjze_1" localSheetId="0" hidden="1">{#N/A,#N/A,FALSE,"Pharm";#N/A,#N/A,FALSE,"WWCM"}</definedName>
    <definedName name="ejkfgkjze_1" localSheetId="6" hidden="1">{#N/A,#N/A,FALSE,"Pharm";#N/A,#N/A,FALSE,"WWCM"}</definedName>
    <definedName name="ejkfgkjze_1" hidden="1">{#N/A,#N/A,FALSE,"Pharm";#N/A,#N/A,FALSE,"WWCM"}</definedName>
    <definedName name="ejkfgkjze_1_1" localSheetId="0" hidden="1">{#N/A,#N/A,FALSE,"Pharm";#N/A,#N/A,FALSE,"WWCM"}</definedName>
    <definedName name="ejkfgkjze_1_1" localSheetId="6" hidden="1">{#N/A,#N/A,FALSE,"Pharm";#N/A,#N/A,FALSE,"WWCM"}</definedName>
    <definedName name="ejkfgkjze_1_1" hidden="1">{#N/A,#N/A,FALSE,"Pharm";#N/A,#N/A,FALSE,"WWCM"}</definedName>
    <definedName name="ejkfgkjze_2" localSheetId="0" hidden="1">{#N/A,#N/A,FALSE,"Pharm";#N/A,#N/A,FALSE,"WWCM"}</definedName>
    <definedName name="ejkfgkjze_2" localSheetId="6" hidden="1">{#N/A,#N/A,FALSE,"Pharm";#N/A,#N/A,FALSE,"WWCM"}</definedName>
    <definedName name="ejkfgkjze_2" hidden="1">{#N/A,#N/A,FALSE,"Pharm";#N/A,#N/A,FALSE,"WWCM"}</definedName>
    <definedName name="ejkfgkjze_3" localSheetId="0" hidden="1">{#N/A,#N/A,FALSE,"Pharm";#N/A,#N/A,FALSE,"WWCM"}</definedName>
    <definedName name="ejkfgkjze_3" localSheetId="6" hidden="1">{#N/A,#N/A,FALSE,"Pharm";#N/A,#N/A,FALSE,"WWCM"}</definedName>
    <definedName name="ejkfgkjze_3" hidden="1">{#N/A,#N/A,FALSE,"Pharm";#N/A,#N/A,FALSE,"WWCM"}</definedName>
    <definedName name="ejkfgkjze_4" localSheetId="0" hidden="1">{#N/A,#N/A,FALSE,"Pharm";#N/A,#N/A,FALSE,"WWCM"}</definedName>
    <definedName name="ejkfgkjze_4" localSheetId="6" hidden="1">{#N/A,#N/A,FALSE,"Pharm";#N/A,#N/A,FALSE,"WWCM"}</definedName>
    <definedName name="ejkfgkjze_4" hidden="1">{#N/A,#N/A,FALSE,"Pharm";#N/A,#N/A,FALSE,"WWCM"}</definedName>
    <definedName name="ejkfgkjze_5" localSheetId="0" hidden="1">{#N/A,#N/A,FALSE,"Pharm";#N/A,#N/A,FALSE,"WWCM"}</definedName>
    <definedName name="ejkfgkjze_5" localSheetId="6" hidden="1">{#N/A,#N/A,FALSE,"Pharm";#N/A,#N/A,FALSE,"WWCM"}</definedName>
    <definedName name="ejkfgkjze_5" hidden="1">{#N/A,#N/A,FALSE,"Pharm";#N/A,#N/A,FALSE,"WWCM"}</definedName>
    <definedName name="ekjdskemdsew" hidden="1">#REF!</definedName>
    <definedName name="Ele" localSheetId="6" hidden="1">{"'Break down'!$A$4"}</definedName>
    <definedName name="Ele" hidden="1">{"'Break down'!$A$4"}</definedName>
    <definedName name="Email">#REF!</definedName>
    <definedName name="emil1" localSheetId="0" hidden="1">{#N/A,#N/A,FALSE,"Calc";#N/A,#N/A,FALSE,"Sensitivity";#N/A,#N/A,FALSE,"LT Earn.Dil.";#N/A,#N/A,FALSE,"Dil. AVP"}</definedName>
    <definedName name="emil1" localSheetId="6" hidden="1">{#N/A,#N/A,FALSE,"Calc";#N/A,#N/A,FALSE,"Sensitivity";#N/A,#N/A,FALSE,"LT Earn.Dil.";#N/A,#N/A,FALSE,"Dil. AVP"}</definedName>
    <definedName name="emil1" hidden="1">{#N/A,#N/A,FALSE,"Calc";#N/A,#N/A,FALSE,"Sensitivity";#N/A,#N/A,FALSE,"LT Earn.Dil.";#N/A,#N/A,FALSE,"Dil. AVP"}</definedName>
    <definedName name="emily" localSheetId="0" hidden="1">{#N/A,#N/A,FALSE,"Calc";#N/A,#N/A,FALSE,"Sensitivity";#N/A,#N/A,FALSE,"LT Earn.Dil.";#N/A,#N/A,FALSE,"Dil. AVP"}</definedName>
    <definedName name="emily" localSheetId="6" hidden="1">{#N/A,#N/A,FALSE,"Calc";#N/A,#N/A,FALSE,"Sensitivity";#N/A,#N/A,FALSE,"LT Earn.Dil.";#N/A,#N/A,FALSE,"Dil. AVP"}</definedName>
    <definedName name="emily" hidden="1">{#N/A,#N/A,FALSE,"Calc";#N/A,#N/A,FALSE,"Sensitivity";#N/A,#N/A,FALSE,"LT Earn.Dil.";#N/A,#N/A,FALSE,"Dil. AVP"}</definedName>
    <definedName name="emily1" localSheetId="0" hidden="1">{#N/A,#N/A,FALSE,"Calc";#N/A,#N/A,FALSE,"Sensitivity";#N/A,#N/A,FALSE,"LT Earn.Dil.";#N/A,#N/A,FALSE,"Dil. AVP"}</definedName>
    <definedName name="emily1" localSheetId="6" hidden="1">{#N/A,#N/A,FALSE,"Calc";#N/A,#N/A,FALSE,"Sensitivity";#N/A,#N/A,FALSE,"LT Earn.Dil.";#N/A,#N/A,FALSE,"Dil. AVP"}</definedName>
    <definedName name="emily1" hidden="1">{#N/A,#N/A,FALSE,"Calc";#N/A,#N/A,FALSE,"Sensitivity";#N/A,#N/A,FALSE,"LT Earn.Dil.";#N/A,#N/A,FALSE,"Dil. AVP"}</definedName>
    <definedName name="emily10" localSheetId="0" hidden="1">{#N/A,#N/A,FALSE,"Calc";#N/A,#N/A,FALSE,"Sensitivity";#N/A,#N/A,FALSE,"LT Earn.Dil.";#N/A,#N/A,FALSE,"Dil. AVP"}</definedName>
    <definedName name="emily10" localSheetId="6" hidden="1">{#N/A,#N/A,FALSE,"Calc";#N/A,#N/A,FALSE,"Sensitivity";#N/A,#N/A,FALSE,"LT Earn.Dil.";#N/A,#N/A,FALSE,"Dil. AVP"}</definedName>
    <definedName name="emily10" hidden="1">{#N/A,#N/A,FALSE,"Calc";#N/A,#N/A,FALSE,"Sensitivity";#N/A,#N/A,FALSE,"LT Earn.Dil.";#N/A,#N/A,FALSE,"Dil. AVP"}</definedName>
    <definedName name="emily100" localSheetId="0" hidden="1">{#N/A,#N/A,FALSE,"Calc";#N/A,#N/A,FALSE,"Sensitivity";#N/A,#N/A,FALSE,"LT Earn.Dil.";#N/A,#N/A,FALSE,"Dil. AVP"}</definedName>
    <definedName name="emily100" localSheetId="6" hidden="1">{#N/A,#N/A,FALSE,"Calc";#N/A,#N/A,FALSE,"Sensitivity";#N/A,#N/A,FALSE,"LT Earn.Dil.";#N/A,#N/A,FALSE,"Dil. AVP"}</definedName>
    <definedName name="emily100" hidden="1">{#N/A,#N/A,FALSE,"Calc";#N/A,#N/A,FALSE,"Sensitivity";#N/A,#N/A,FALSE,"LT Earn.Dil.";#N/A,#N/A,FALSE,"Dil. AVP"}</definedName>
    <definedName name="Employees" localSheetId="4">Assumptions</definedName>
    <definedName name="Employees" localSheetId="0">Assumptions</definedName>
    <definedName name="Employees" localSheetId="2">Assumptions</definedName>
    <definedName name="Employees" localSheetId="6">Assumptions</definedName>
    <definedName name="Employees">Assumptions</definedName>
    <definedName name="Employees__Terminal_Benefits_Payables">#REF!</definedName>
    <definedName name="Employees_Terminal_Benefits">#REF!</definedName>
    <definedName name="End">#REF!</definedName>
    <definedName name="End_Bal">#REF!</definedName>
    <definedName name="EndDate">#REF!</definedName>
    <definedName name="Endesa" localSheetId="6" hidden="1">{#N/A,#N/A,FALSE,"Eastern";#N/A,#N/A,FALSE,"Western"}</definedName>
    <definedName name="Endesa" hidden="1">{#N/A,#N/A,FALSE,"Eastern";#N/A,#N/A,FALSE,"Western"}</definedName>
    <definedName name="enel" localSheetId="6" hidden="1">{#N/A,#N/A,FALSE,"Eastern";#N/A,#N/A,FALSE,"Western"}</definedName>
    <definedName name="enel" hidden="1">{#N/A,#N/A,FALSE,"Eastern";#N/A,#N/A,FALSE,"Western"}</definedName>
    <definedName name="enenenene" localSheetId="0" hidden="1">{#N/A,#N/A,FALSE,"Assessment";#N/A,#N/A,FALSE,"Staffing";#N/A,#N/A,FALSE,"Hires";#N/A,#N/A,FALSE,"Assumptions"}</definedName>
    <definedName name="enenenene" localSheetId="6" hidden="1">{#N/A,#N/A,FALSE,"Assessment";#N/A,#N/A,FALSE,"Staffing";#N/A,#N/A,FALSE,"Hires";#N/A,#N/A,FALSE,"Assumptions"}</definedName>
    <definedName name="enenenene" hidden="1">{#N/A,#N/A,FALSE,"Assessment";#N/A,#N/A,FALSE,"Staffing";#N/A,#N/A,FALSE,"Hires";#N/A,#N/A,FALSE,"Assumptions"}</definedName>
    <definedName name="enenenene_1" localSheetId="0" hidden="1">{#N/A,#N/A,FALSE,"Assessment";#N/A,#N/A,FALSE,"Staffing";#N/A,#N/A,FALSE,"Hires";#N/A,#N/A,FALSE,"Assumptions"}</definedName>
    <definedName name="enenenene_1" localSheetId="6" hidden="1">{#N/A,#N/A,FALSE,"Assessment";#N/A,#N/A,FALSE,"Staffing";#N/A,#N/A,FALSE,"Hires";#N/A,#N/A,FALSE,"Assumptions"}</definedName>
    <definedName name="enenenene_1" hidden="1">{#N/A,#N/A,FALSE,"Assessment";#N/A,#N/A,FALSE,"Staffing";#N/A,#N/A,FALSE,"Hires";#N/A,#N/A,FALSE,"Assumptions"}</definedName>
    <definedName name="ENG_BI_EXE_NAME" hidden="1">"BICORE.EXE"</definedName>
    <definedName name="ENG_BI_EXEC_CMD_ARGS" hidden="1">"03304607807808310008509207808203605007003304907412708906908707207908410406808007306906507007308513412307207108509008406906505404906213212409512111510612309712010606807509206908609107008306507006209707707409005804813412409611711410912309712511006807007"</definedName>
    <definedName name="ENG_BI_EXEC_CMD_ARGS_2" hidden="1">"20660850690760830760610740800771251320961131191051221021161100770660890880700830650840861301231041191151051270981171060680700850650920920870830870690620870670860700770670560570560680530500640500530640520640680490540560600540520590530590530680630580590"</definedName>
    <definedName name="ENG_BI_EXEC_CMD_ARGS_3" hidden="1">"66055060054052058064049057061059055055060050056052063055049063066050051057060051058051129128095121126098112110100077069078075072079077076062101119126124084082072074082078077080069087066078087061053130"</definedName>
    <definedName name="ENG_BI_GEN_LIC" hidden="1">"0"</definedName>
    <definedName name="ENG_BI_GEN_LIC_WS" hidden="1">"False"</definedName>
    <definedName name="ENG_BI_LBI" hidden="1">"T70U3BZZQH"</definedName>
    <definedName name="ENG_BI_REPOS_FILE" hidden="1">"\\prdaugeoserver1\90w\Sage Repository\alchemex.svd"</definedName>
    <definedName name="ENG_BI_REPOS_PATH" hidden="1">"\\prdaugeoserver1\90w\Sage Repository"</definedName>
    <definedName name="ENG_BI_TLA" hidden="1">"127;107;113;198;251;8;217;140;98;208;51;168;119;265;198;238;225;204;35;50;163;21;129;35;116;280;227;225;214;65;202;149"</definedName>
    <definedName name="ensrc22" localSheetId="6" hidden="1">{"DE","COMPANIES",TRUE}</definedName>
    <definedName name="ensrc22" hidden="1">{"DE","COMPANIES",TRUE}</definedName>
    <definedName name="Entity">#REF!</definedName>
    <definedName name="Entity_Desc_List">#REF!</definedName>
    <definedName name="Entity_List">#REF!</definedName>
    <definedName name="EOSB_Provision">#REF!</definedName>
    <definedName name="EOSI_beginning">#REF!</definedName>
    <definedName name="EOSI_exp">#REF!</definedName>
    <definedName name="EOSI_payable">#REF!</definedName>
    <definedName name="EOSI_Payment">#REF!</definedName>
    <definedName name="EoSProvision">#REF!</definedName>
    <definedName name="EP" hidden="1">#REF!</definedName>
    <definedName name="EPP" hidden="1">#REF!</definedName>
    <definedName name="EPS_10K" hidden="1">"EPS_10K"</definedName>
    <definedName name="EPS_10Q" hidden="1">"EPS_10Q"</definedName>
    <definedName name="EPS_10Q1" hidden="1">"EPS_10Q1"</definedName>
    <definedName name="EPS_EST" hidden="1">"EPS_EST"</definedName>
    <definedName name="EPS_EST_1" hidden="1">"EPS_EST_1"</definedName>
    <definedName name="Equity">#REF!</definedName>
    <definedName name="EQUITY_AFFIL" hidden="1">"EQUITY_AFFIL"</definedName>
    <definedName name="Equity_capital_additions">#REF!</definedName>
    <definedName name="Equity_capital_ending">#REF!</definedName>
    <definedName name="equity_cgm">#REF!</definedName>
    <definedName name="Equity_Dividend_for_year">#REF!</definedName>
    <definedName name="equity_ebit">#REF!</definedName>
    <definedName name="equity_ebitda">#REF!</definedName>
    <definedName name="EQUITY_MARKET_VAL" hidden="1">"EQUITY_MARKET_VAL"</definedName>
    <definedName name="Equity_RE_beginning">#REF!</definedName>
    <definedName name="Equity_RE_ending">#REF!</definedName>
    <definedName name="equity_value">#REF!</definedName>
    <definedName name="equity2row" hidden="1">#REF!</definedName>
    <definedName name="equityrow" hidden="1">#REF!</definedName>
    <definedName name="EQV_OVER_BV" hidden="1">"EQV_OVER_BV"</definedName>
    <definedName name="EQV_OVER_LTM_PRETAX_INC" hidden="1">"EQV_OVER_LTM_PRETAX_INC"</definedName>
    <definedName name="ER" localSheetId="0" hidden="1">{"cons",#N/A,TRUE,"MAY95"}</definedName>
    <definedName name="ER" localSheetId="6" hidden="1">{"cons",#N/A,TRUE,"MAY95"}</definedName>
    <definedName name="ER" hidden="1">{"cons",#N/A,TRUE,"MAY95"}</definedName>
    <definedName name="er_1" localSheetId="0" hidden="1">{#N/A,#N/A,FALSE,"Umsatz 99";#N/A,#N/A,FALSE,"ER 99 "}</definedName>
    <definedName name="er_1" localSheetId="6" hidden="1">{#N/A,#N/A,FALSE,"Umsatz 99";#N/A,#N/A,FALSE,"ER 99 "}</definedName>
    <definedName name="er_1" hidden="1">{#N/A,#N/A,FALSE,"Umsatz 99";#N/A,#N/A,FALSE,"ER 99 "}</definedName>
    <definedName name="er_1_1" localSheetId="0" hidden="1">{#N/A,#N/A,FALSE,"Umsatz 99";#N/A,#N/A,FALSE,"ER 99 "}</definedName>
    <definedName name="er_1_1" localSheetId="6" hidden="1">{#N/A,#N/A,FALSE,"Umsatz 99";#N/A,#N/A,FALSE,"ER 99 "}</definedName>
    <definedName name="er_1_1" hidden="1">{#N/A,#N/A,FALSE,"Umsatz 99";#N/A,#N/A,FALSE,"ER 99 "}</definedName>
    <definedName name="er_2" localSheetId="0" hidden="1">{#N/A,#N/A,FALSE,"Umsatz 99";#N/A,#N/A,FALSE,"ER 99 "}</definedName>
    <definedName name="er_2" localSheetId="6" hidden="1">{#N/A,#N/A,FALSE,"Umsatz 99";#N/A,#N/A,FALSE,"ER 99 "}</definedName>
    <definedName name="er_2" hidden="1">{#N/A,#N/A,FALSE,"Umsatz 99";#N/A,#N/A,FALSE,"ER 99 "}</definedName>
    <definedName name="er_3" localSheetId="0" hidden="1">{#N/A,#N/A,FALSE,"Umsatz 99";#N/A,#N/A,FALSE,"ER 99 "}</definedName>
    <definedName name="er_3" localSheetId="6" hidden="1">{#N/A,#N/A,FALSE,"Umsatz 99";#N/A,#N/A,FALSE,"ER 99 "}</definedName>
    <definedName name="er_3" hidden="1">{#N/A,#N/A,FALSE,"Umsatz 99";#N/A,#N/A,FALSE,"ER 99 "}</definedName>
    <definedName name="er_4" localSheetId="0" hidden="1">{#N/A,#N/A,FALSE,"Umsatz 99";#N/A,#N/A,FALSE,"ER 99 "}</definedName>
    <definedName name="er_4" localSheetId="6" hidden="1">{#N/A,#N/A,FALSE,"Umsatz 99";#N/A,#N/A,FALSE,"ER 99 "}</definedName>
    <definedName name="er_4" hidden="1">{#N/A,#N/A,FALSE,"Umsatz 99";#N/A,#N/A,FALSE,"ER 99 "}</definedName>
    <definedName name="er_5" localSheetId="0" hidden="1">{#N/A,#N/A,FALSE,"Umsatz 99";#N/A,#N/A,FALSE,"ER 99 "}</definedName>
    <definedName name="er_5" localSheetId="6" hidden="1">{#N/A,#N/A,FALSE,"Umsatz 99";#N/A,#N/A,FALSE,"ER 99 "}</definedName>
    <definedName name="er_5" hidden="1">{#N/A,#N/A,FALSE,"Umsatz 99";#N/A,#N/A,FALSE,"ER 99 "}</definedName>
    <definedName name="erase2" localSheetId="0" hidden="1">{#N/A,#N/A,FALSE,"Summary";#N/A,#N/A,FALSE,"CF";#N/A,#N/A,FALSE,"P&amp;L";#N/A,#N/A,FALSE,"BS";#N/A,#N/A,FALSE,"Returns";#N/A,#N/A,FALSE,"Assumptions";#N/A,#N/A,FALSE,"Analysis"}</definedName>
    <definedName name="erase2" localSheetId="6" hidden="1">{#N/A,#N/A,FALSE,"Summary";#N/A,#N/A,FALSE,"CF";#N/A,#N/A,FALSE,"P&amp;L";#N/A,#N/A,FALSE,"BS";#N/A,#N/A,FALSE,"Returns";#N/A,#N/A,FALSE,"Assumptions";#N/A,#N/A,FALSE,"Analysis"}</definedName>
    <definedName name="erase2" hidden="1">{#N/A,#N/A,FALSE,"Summary";#N/A,#N/A,FALSE,"CF";#N/A,#N/A,FALSE,"P&amp;L";#N/A,#N/A,FALSE,"BS";#N/A,#N/A,FALSE,"Returns";#N/A,#N/A,FALSE,"Assumptions";#N/A,#N/A,FALSE,"Analysis"}</definedName>
    <definedName name="erase3" localSheetId="0" hidden="1">{#N/A,#N/A,FALSE,"Summary";#N/A,#N/A,FALSE,"CF";#N/A,#N/A,FALSE,"P&amp;L";"summary",#N/A,FALSE,"Returns";#N/A,#N/A,FALSE,"BS";"summary",#N/A,FALSE,"Analysis";#N/A,#N/A,FALSE,"Assumptions"}</definedName>
    <definedName name="erase3" localSheetId="6" hidden="1">{#N/A,#N/A,FALSE,"Summary";#N/A,#N/A,FALSE,"CF";#N/A,#N/A,FALSE,"P&amp;L";"summary",#N/A,FALSE,"Returns";#N/A,#N/A,FALSE,"BS";"summary",#N/A,FALSE,"Analysis";#N/A,#N/A,FALSE,"Assumptions"}</definedName>
    <definedName name="erase3" hidden="1">{#N/A,#N/A,FALSE,"Summary";#N/A,#N/A,FALSE,"CF";#N/A,#N/A,FALSE,"P&amp;L";"summary",#N/A,FALSE,"Returns";#N/A,#N/A,FALSE,"BS";"summary",#N/A,FALSE,"Analysis";#N/A,#N/A,FALSE,"Assumptions"}</definedName>
    <definedName name="erd" localSheetId="0" hidden="1">{#N/A,#N/A,FALSE,"Pharm";#N/A,#N/A,FALSE,"WWCM"}</definedName>
    <definedName name="erd" localSheetId="6" hidden="1">{#N/A,#N/A,FALSE,"Pharm";#N/A,#N/A,FALSE,"WWCM"}</definedName>
    <definedName name="erd" hidden="1">{#N/A,#N/A,FALSE,"Pharm";#N/A,#N/A,FALSE,"WWCM"}</definedName>
    <definedName name="erd_1" localSheetId="0" hidden="1">{#N/A,#N/A,FALSE,"Pharm";#N/A,#N/A,FALSE,"WWCM"}</definedName>
    <definedName name="erd_1" localSheetId="6" hidden="1">{#N/A,#N/A,FALSE,"Pharm";#N/A,#N/A,FALSE,"WWCM"}</definedName>
    <definedName name="erd_1" hidden="1">{#N/A,#N/A,FALSE,"Pharm";#N/A,#N/A,FALSE,"WWCM"}</definedName>
    <definedName name="erd_1_1" localSheetId="0" hidden="1">{#N/A,#N/A,FALSE,"Pharm";#N/A,#N/A,FALSE,"WWCM"}</definedName>
    <definedName name="erd_1_1" localSheetId="6" hidden="1">{#N/A,#N/A,FALSE,"Pharm";#N/A,#N/A,FALSE,"WWCM"}</definedName>
    <definedName name="erd_1_1" hidden="1">{#N/A,#N/A,FALSE,"Pharm";#N/A,#N/A,FALSE,"WWCM"}</definedName>
    <definedName name="erd_2" localSheetId="0" hidden="1">{#N/A,#N/A,FALSE,"Pharm";#N/A,#N/A,FALSE,"WWCM"}</definedName>
    <definedName name="erd_2" localSheetId="6" hidden="1">{#N/A,#N/A,FALSE,"Pharm";#N/A,#N/A,FALSE,"WWCM"}</definedName>
    <definedName name="erd_2" hidden="1">{#N/A,#N/A,FALSE,"Pharm";#N/A,#N/A,FALSE,"WWCM"}</definedName>
    <definedName name="erd_3" localSheetId="0" hidden="1">{#N/A,#N/A,FALSE,"Pharm";#N/A,#N/A,FALSE,"WWCM"}</definedName>
    <definedName name="erd_3" localSheetId="6" hidden="1">{#N/A,#N/A,FALSE,"Pharm";#N/A,#N/A,FALSE,"WWCM"}</definedName>
    <definedName name="erd_3" hidden="1">{#N/A,#N/A,FALSE,"Pharm";#N/A,#N/A,FALSE,"WWCM"}</definedName>
    <definedName name="erd_4" localSheetId="0" hidden="1">{#N/A,#N/A,FALSE,"Pharm";#N/A,#N/A,FALSE,"WWCM"}</definedName>
    <definedName name="erd_4" localSheetId="6" hidden="1">{#N/A,#N/A,FALSE,"Pharm";#N/A,#N/A,FALSE,"WWCM"}</definedName>
    <definedName name="erd_4" hidden="1">{#N/A,#N/A,FALSE,"Pharm";#N/A,#N/A,FALSE,"WWCM"}</definedName>
    <definedName name="erd_5" localSheetId="0" hidden="1">{#N/A,#N/A,FALSE,"Pharm";#N/A,#N/A,FALSE,"WWCM"}</definedName>
    <definedName name="erd_5" localSheetId="6" hidden="1">{#N/A,#N/A,FALSE,"Pharm";#N/A,#N/A,FALSE,"WWCM"}</definedName>
    <definedName name="erd_5" hidden="1">{#N/A,#N/A,FALSE,"Pharm";#N/A,#N/A,FALSE,"WWCM"}</definedName>
    <definedName name="ERE" localSheetId="0" hidden="1">{#N/A,#N/A,FALSE,"PROFIT 11-95"}</definedName>
    <definedName name="ERE" localSheetId="6" hidden="1">{#N/A,#N/A,FALSE,"PROFIT 11-95"}</definedName>
    <definedName name="ERE" hidden="1">{#N/A,#N/A,FALSE,"PROFIT 11-95"}</definedName>
    <definedName name="ERERE" localSheetId="0" hidden="1">{"FS`s",#N/A,TRUE,"FS's";"Icome St",#N/A,TRUE,"Income St.";"Balance Sh",#N/A,TRUE,"Balance Sh.";"Gross Margin",#N/A,TRUE,"Gross Margin"}</definedName>
    <definedName name="ERERE" localSheetId="6" hidden="1">{"FS`s",#N/A,TRUE,"FS's";"Icome St",#N/A,TRUE,"Income St.";"Balance Sh",#N/A,TRUE,"Balance Sh.";"Gross Margin",#N/A,TRUE,"Gross Margin"}</definedName>
    <definedName name="ERERE" hidden="1">{"FS`s",#N/A,TRUE,"FS's";"Icome St",#N/A,TRUE,"Income St.";"Balance Sh",#N/A,TRUE,"Balance Sh.";"Gross Margin",#N/A,TRUE,"Gross Margin"}</definedName>
    <definedName name="ererer" hidden="1">#REF!</definedName>
    <definedName name="erew" localSheetId="0" hidden="1">{#N/A,#N/A,FALSE,"Sheet1"}</definedName>
    <definedName name="erew" localSheetId="6" hidden="1">{#N/A,#N/A,FALSE,"Sheet1"}</definedName>
    <definedName name="erew" hidden="1">{#N/A,#N/A,FALSE,"Sheet1"}</definedName>
    <definedName name="erg" localSheetId="6" hidden="1">{#N/A,#N/A,FALSE,"ACQ_GRAPHS";#N/A,#N/A,FALSE,"T_1 GRAPHS";#N/A,#N/A,FALSE,"T_2 GRAPHS";#N/A,#N/A,FALSE,"COMB_GRAPHS"}</definedName>
    <definedName name="erg" hidden="1">{#N/A,#N/A,FALSE,"ACQ_GRAPHS";#N/A,#N/A,FALSE,"T_1 GRAPHS";#N/A,#N/A,FALSE,"T_2 GRAPHS";#N/A,#N/A,FALSE,"COMB_GRAPHS"}</definedName>
    <definedName name="erqw" hidden="1">#REF!</definedName>
    <definedName name="err.g." localSheetId="0" hidden="1">{#N/A,#N/A,FALSE,"KA CH  (2)"}</definedName>
    <definedName name="err.g." localSheetId="6" hidden="1">{#N/A,#N/A,FALSE,"KA CH  (2)"}</definedName>
    <definedName name="err.g." hidden="1">{#N/A,#N/A,FALSE,"KA CH  (2)"}</definedName>
    <definedName name="err.g._1" localSheetId="0" hidden="1">{#N/A,#N/A,FALSE,"KA CH  (2)"}</definedName>
    <definedName name="err.g._1" localSheetId="6" hidden="1">{#N/A,#N/A,FALSE,"KA CH  (2)"}</definedName>
    <definedName name="err.g._1" hidden="1">{#N/A,#N/A,FALSE,"KA CH  (2)"}</definedName>
    <definedName name="err.g._1_1" localSheetId="0" hidden="1">{#N/A,#N/A,FALSE,"KA CH  (2)"}</definedName>
    <definedName name="err.g._1_1" localSheetId="6" hidden="1">{#N/A,#N/A,FALSE,"KA CH  (2)"}</definedName>
    <definedName name="err.g._1_1" hidden="1">{#N/A,#N/A,FALSE,"KA CH  (2)"}</definedName>
    <definedName name="err.g._2" localSheetId="0" hidden="1">{#N/A,#N/A,FALSE,"KA CH  (2)"}</definedName>
    <definedName name="err.g._2" localSheetId="6" hidden="1">{#N/A,#N/A,FALSE,"KA CH  (2)"}</definedName>
    <definedName name="err.g._2" hidden="1">{#N/A,#N/A,FALSE,"KA CH  (2)"}</definedName>
    <definedName name="err.g._3" localSheetId="0" hidden="1">{#N/A,#N/A,FALSE,"KA CH  (2)"}</definedName>
    <definedName name="err.g._3" localSheetId="6" hidden="1">{#N/A,#N/A,FALSE,"KA CH  (2)"}</definedName>
    <definedName name="err.g._3" hidden="1">{#N/A,#N/A,FALSE,"KA CH  (2)"}</definedName>
    <definedName name="err.g._4" localSheetId="0" hidden="1">{#N/A,#N/A,FALSE,"KA CH  (2)"}</definedName>
    <definedName name="err.g._4" localSheetId="6" hidden="1">{#N/A,#N/A,FALSE,"KA CH  (2)"}</definedName>
    <definedName name="err.g._4" hidden="1">{#N/A,#N/A,FALSE,"KA CH  (2)"}</definedName>
    <definedName name="err.g._5" localSheetId="0" hidden="1">{#N/A,#N/A,FALSE,"KA CH  (2)"}</definedName>
    <definedName name="err.g._5" localSheetId="6" hidden="1">{#N/A,#N/A,FALSE,"KA CH  (2)"}</definedName>
    <definedName name="err.g._5" hidden="1">{#N/A,#N/A,FALSE,"KA CH  (2)"}</definedName>
    <definedName name="errr.g" localSheetId="0" hidden="1">{#N/A,#N/A,FALSE,"KA CH  (2)"}</definedName>
    <definedName name="errr.g" localSheetId="6" hidden="1">{#N/A,#N/A,FALSE,"KA CH  (2)"}</definedName>
    <definedName name="errr.g" hidden="1">{#N/A,#N/A,FALSE,"KA CH  (2)"}</definedName>
    <definedName name="errr.g_1" localSheetId="0" hidden="1">{#N/A,#N/A,FALSE,"KA CH  (2)"}</definedName>
    <definedName name="errr.g_1" localSheetId="6" hidden="1">{#N/A,#N/A,FALSE,"KA CH  (2)"}</definedName>
    <definedName name="errr.g_1" hidden="1">{#N/A,#N/A,FALSE,"KA CH  (2)"}</definedName>
    <definedName name="errr.g_1_1" localSheetId="0" hidden="1">{#N/A,#N/A,FALSE,"KA CH  (2)"}</definedName>
    <definedName name="errr.g_1_1" localSheetId="6" hidden="1">{#N/A,#N/A,FALSE,"KA CH  (2)"}</definedName>
    <definedName name="errr.g_1_1" hidden="1">{#N/A,#N/A,FALSE,"KA CH  (2)"}</definedName>
    <definedName name="errr.g_2" localSheetId="0" hidden="1">{#N/A,#N/A,FALSE,"KA CH  (2)"}</definedName>
    <definedName name="errr.g_2" localSheetId="6" hidden="1">{#N/A,#N/A,FALSE,"KA CH  (2)"}</definedName>
    <definedName name="errr.g_2" hidden="1">{#N/A,#N/A,FALSE,"KA CH  (2)"}</definedName>
    <definedName name="errr.g_3" localSheetId="0" hidden="1">{#N/A,#N/A,FALSE,"KA CH  (2)"}</definedName>
    <definedName name="errr.g_3" localSheetId="6" hidden="1">{#N/A,#N/A,FALSE,"KA CH  (2)"}</definedName>
    <definedName name="errr.g_3" hidden="1">{#N/A,#N/A,FALSE,"KA CH  (2)"}</definedName>
    <definedName name="errr.g_4" localSheetId="0" hidden="1">{#N/A,#N/A,FALSE,"KA CH  (2)"}</definedName>
    <definedName name="errr.g_4" localSheetId="6" hidden="1">{#N/A,#N/A,FALSE,"KA CH  (2)"}</definedName>
    <definedName name="errr.g_4" hidden="1">{#N/A,#N/A,FALSE,"KA CH  (2)"}</definedName>
    <definedName name="errr.g_5" localSheetId="0" hidden="1">{#N/A,#N/A,FALSE,"KA CH  (2)"}</definedName>
    <definedName name="errr.g_5" localSheetId="6" hidden="1">{#N/A,#N/A,FALSE,"KA CH  (2)"}</definedName>
    <definedName name="errr.g_5" hidden="1">{#N/A,#N/A,FALSE,"KA CH  (2)"}</definedName>
    <definedName name="erryeyetyuu" localSheetId="0" hidden="1">{#N/A,#N/A,FALSE,"Pharm";#N/A,#N/A,FALSE,"WWCM"}</definedName>
    <definedName name="erryeyetyuu" localSheetId="6" hidden="1">{#N/A,#N/A,FALSE,"Pharm";#N/A,#N/A,FALSE,"WWCM"}</definedName>
    <definedName name="erryeyetyuu" hidden="1">{#N/A,#N/A,FALSE,"Pharm";#N/A,#N/A,FALSE,"WWCM"}</definedName>
    <definedName name="erryeyetyuu_1" localSheetId="0" hidden="1">{#N/A,#N/A,FALSE,"Pharm";#N/A,#N/A,FALSE,"WWCM"}</definedName>
    <definedName name="erryeyetyuu_1" localSheetId="6" hidden="1">{#N/A,#N/A,FALSE,"Pharm";#N/A,#N/A,FALSE,"WWCM"}</definedName>
    <definedName name="erryeyetyuu_1" hidden="1">{#N/A,#N/A,FALSE,"Pharm";#N/A,#N/A,FALSE,"WWCM"}</definedName>
    <definedName name="erryeyetyuu_1_1" localSheetId="0" hidden="1">{#N/A,#N/A,FALSE,"Pharm";#N/A,#N/A,FALSE,"WWCM"}</definedName>
    <definedName name="erryeyetyuu_1_1" localSheetId="6" hidden="1">{#N/A,#N/A,FALSE,"Pharm";#N/A,#N/A,FALSE,"WWCM"}</definedName>
    <definedName name="erryeyetyuu_1_1" hidden="1">{#N/A,#N/A,FALSE,"Pharm";#N/A,#N/A,FALSE,"WWCM"}</definedName>
    <definedName name="erryeyetyuu_2" localSheetId="0" hidden="1">{#N/A,#N/A,FALSE,"Pharm";#N/A,#N/A,FALSE,"WWCM"}</definedName>
    <definedName name="erryeyetyuu_2" localSheetId="6" hidden="1">{#N/A,#N/A,FALSE,"Pharm";#N/A,#N/A,FALSE,"WWCM"}</definedName>
    <definedName name="erryeyetyuu_2" hidden="1">{#N/A,#N/A,FALSE,"Pharm";#N/A,#N/A,FALSE,"WWCM"}</definedName>
    <definedName name="erryeyetyuu_3" localSheetId="0" hidden="1">{#N/A,#N/A,FALSE,"Pharm";#N/A,#N/A,FALSE,"WWCM"}</definedName>
    <definedName name="erryeyetyuu_3" localSheetId="6" hidden="1">{#N/A,#N/A,FALSE,"Pharm";#N/A,#N/A,FALSE,"WWCM"}</definedName>
    <definedName name="erryeyetyuu_3" hidden="1">{#N/A,#N/A,FALSE,"Pharm";#N/A,#N/A,FALSE,"WWCM"}</definedName>
    <definedName name="erryeyetyuu_4" localSheetId="0" hidden="1">{#N/A,#N/A,FALSE,"Pharm";#N/A,#N/A,FALSE,"WWCM"}</definedName>
    <definedName name="erryeyetyuu_4" localSheetId="6" hidden="1">{#N/A,#N/A,FALSE,"Pharm";#N/A,#N/A,FALSE,"WWCM"}</definedName>
    <definedName name="erryeyetyuu_4" hidden="1">{#N/A,#N/A,FALSE,"Pharm";#N/A,#N/A,FALSE,"WWCM"}</definedName>
    <definedName name="erryeyetyuu_5" localSheetId="0" hidden="1">{#N/A,#N/A,FALSE,"Pharm";#N/A,#N/A,FALSE,"WWCM"}</definedName>
    <definedName name="erryeyetyuu_5" localSheetId="6" hidden="1">{#N/A,#N/A,FALSE,"Pharm";#N/A,#N/A,FALSE,"WWCM"}</definedName>
    <definedName name="erryeyetyuu_5" hidden="1">{#N/A,#N/A,FALSE,"Pharm";#N/A,#N/A,FALSE,"WWCM"}</definedName>
    <definedName name="ert" localSheetId="0" hidden="1">{"Graphic",#N/A,TRUE,"Graphic"}</definedName>
    <definedName name="ert" localSheetId="6" hidden="1">{"Graphic",#N/A,TRUE,"Graphic"}</definedName>
    <definedName name="ert" hidden="1">{"Graphic",#N/A,TRUE,"Graphic"}</definedName>
    <definedName name="ert_1" localSheetId="0" hidden="1">{"Graphic",#N/A,TRUE,"Graphic"}</definedName>
    <definedName name="ert_1" localSheetId="6" hidden="1">{"Graphic",#N/A,TRUE,"Graphic"}</definedName>
    <definedName name="ert_1" hidden="1">{"Graphic",#N/A,TRUE,"Graphic"}</definedName>
    <definedName name="ert_1_1" localSheetId="0" hidden="1">{#N/A,#N/A,FALSE,"Umsatz 99";#N/A,#N/A,FALSE,"ER 99 "}</definedName>
    <definedName name="ert_1_1" localSheetId="6" hidden="1">{#N/A,#N/A,FALSE,"Umsatz 99";#N/A,#N/A,FALSE,"ER 99 "}</definedName>
    <definedName name="ert_1_1" hidden="1">{#N/A,#N/A,FALSE,"Umsatz 99";#N/A,#N/A,FALSE,"ER 99 "}</definedName>
    <definedName name="ert_2" localSheetId="0" hidden="1">{#N/A,#N/A,FALSE,"Umsatz 99";#N/A,#N/A,FALSE,"ER 99 "}</definedName>
    <definedName name="ert_2" localSheetId="6" hidden="1">{#N/A,#N/A,FALSE,"Umsatz 99";#N/A,#N/A,FALSE,"ER 99 "}</definedName>
    <definedName name="ert_2" hidden="1">{#N/A,#N/A,FALSE,"Umsatz 99";#N/A,#N/A,FALSE,"ER 99 "}</definedName>
    <definedName name="ert_3" localSheetId="0" hidden="1">{#N/A,#N/A,FALSE,"Umsatz 99";#N/A,#N/A,FALSE,"ER 99 "}</definedName>
    <definedName name="ert_3" localSheetId="6" hidden="1">{#N/A,#N/A,FALSE,"Umsatz 99";#N/A,#N/A,FALSE,"ER 99 "}</definedName>
    <definedName name="ert_3" hidden="1">{#N/A,#N/A,FALSE,"Umsatz 99";#N/A,#N/A,FALSE,"ER 99 "}</definedName>
    <definedName name="ert_4" localSheetId="0" hidden="1">{#N/A,#N/A,FALSE,"Umsatz 99";#N/A,#N/A,FALSE,"ER 99 "}</definedName>
    <definedName name="ert_4" localSheetId="6" hidden="1">{#N/A,#N/A,FALSE,"Umsatz 99";#N/A,#N/A,FALSE,"ER 99 "}</definedName>
    <definedName name="ert_4" hidden="1">{#N/A,#N/A,FALSE,"Umsatz 99";#N/A,#N/A,FALSE,"ER 99 "}</definedName>
    <definedName name="ert_5" localSheetId="0" hidden="1">{#N/A,#N/A,FALSE,"Umsatz 99";#N/A,#N/A,FALSE,"ER 99 "}</definedName>
    <definedName name="ert_5" localSheetId="6" hidden="1">{#N/A,#N/A,FALSE,"Umsatz 99";#N/A,#N/A,FALSE,"ER 99 "}</definedName>
    <definedName name="ert_5" hidden="1">{#N/A,#N/A,FALSE,"Umsatz 99";#N/A,#N/A,FALSE,"ER 99 "}</definedName>
    <definedName name="ertr" localSheetId="0" hidden="1">{#N/A,#N/A,TRUE,"financial";#N/A,#N/A,TRUE,"plants"}</definedName>
    <definedName name="ertr" localSheetId="6" hidden="1">{#N/A,#N/A,TRUE,"financial";#N/A,#N/A,TRUE,"plants"}</definedName>
    <definedName name="ertr" hidden="1">{#N/A,#N/A,TRUE,"financial";#N/A,#N/A,TRUE,"plants"}</definedName>
    <definedName name="ertr_1" localSheetId="0" hidden="1">{#N/A,#N/A,FALSE,"Umsatz 99";#N/A,#N/A,FALSE,"ER 99 "}</definedName>
    <definedName name="ertr_1" localSheetId="6" hidden="1">{#N/A,#N/A,FALSE,"Umsatz 99";#N/A,#N/A,FALSE,"ER 99 "}</definedName>
    <definedName name="ertr_1" hidden="1">{#N/A,#N/A,FALSE,"Umsatz 99";#N/A,#N/A,FALSE,"ER 99 "}</definedName>
    <definedName name="ertr_1_1" localSheetId="0" hidden="1">{#N/A,#N/A,FALSE,"Umsatz 99";#N/A,#N/A,FALSE,"ER 99 "}</definedName>
    <definedName name="ertr_1_1" localSheetId="6" hidden="1">{#N/A,#N/A,FALSE,"Umsatz 99";#N/A,#N/A,FALSE,"ER 99 "}</definedName>
    <definedName name="ertr_1_1" hidden="1">{#N/A,#N/A,FALSE,"Umsatz 99";#N/A,#N/A,FALSE,"ER 99 "}</definedName>
    <definedName name="ertr_2" localSheetId="0" hidden="1">{#N/A,#N/A,FALSE,"Umsatz 99";#N/A,#N/A,FALSE,"ER 99 "}</definedName>
    <definedName name="ertr_2" localSheetId="6" hidden="1">{#N/A,#N/A,FALSE,"Umsatz 99";#N/A,#N/A,FALSE,"ER 99 "}</definedName>
    <definedName name="ertr_2" hidden="1">{#N/A,#N/A,FALSE,"Umsatz 99";#N/A,#N/A,FALSE,"ER 99 "}</definedName>
    <definedName name="ertr_3" localSheetId="0" hidden="1">{#N/A,#N/A,FALSE,"Umsatz 99";#N/A,#N/A,FALSE,"ER 99 "}</definedName>
    <definedName name="ertr_3" localSheetId="6" hidden="1">{#N/A,#N/A,FALSE,"Umsatz 99";#N/A,#N/A,FALSE,"ER 99 "}</definedName>
    <definedName name="ertr_3" hidden="1">{#N/A,#N/A,FALSE,"Umsatz 99";#N/A,#N/A,FALSE,"ER 99 "}</definedName>
    <definedName name="ertr_4" localSheetId="0" hidden="1">{#N/A,#N/A,FALSE,"Umsatz 99";#N/A,#N/A,FALSE,"ER 99 "}</definedName>
    <definedName name="ertr_4" localSheetId="6" hidden="1">{#N/A,#N/A,FALSE,"Umsatz 99";#N/A,#N/A,FALSE,"ER 99 "}</definedName>
    <definedName name="ertr_4" hidden="1">{#N/A,#N/A,FALSE,"Umsatz 99";#N/A,#N/A,FALSE,"ER 99 "}</definedName>
    <definedName name="ertr_5" localSheetId="0" hidden="1">{#N/A,#N/A,FALSE,"Umsatz 99";#N/A,#N/A,FALSE,"ER 99 "}</definedName>
    <definedName name="ertr_5" localSheetId="6" hidden="1">{#N/A,#N/A,FALSE,"Umsatz 99";#N/A,#N/A,FALSE,"ER 99 "}</definedName>
    <definedName name="ertr_5" hidden="1">{#N/A,#N/A,FALSE,"Umsatz 99";#N/A,#N/A,FALSE,"ER 99 "}</definedName>
    <definedName name="ertwer" localSheetId="0" hidden="1">{#N/A,#N/A,FALSE,"COVER PAGE";#N/A,#N/A,FALSE,"Page 2";#N/A,#N/A,FALSE,"Page 2";#N/A,#N/A,FALSE,"Page 4";#N/A,#N/A,FALSE,"Page5";#N/A,#N/A,FALSE,"Page 6";#N/A,#N/A,FALSE,"Page 7";#N/A,#N/A,FALSE,"Page 8";#N/A,#N/A,FALSE,"Page 10";#N/A,#N/A,FALSE,"Long-Term OCF Mult.";#N/A,#N/A,FALSE,"PCS Comp";#N/A,#N/A,FALSE,"OCS-CAPEX";#N/A,#N/A,FALSE,"Blank"}</definedName>
    <definedName name="ertwer" localSheetId="6" hidden="1">{#N/A,#N/A,FALSE,"COVER PAGE";#N/A,#N/A,FALSE,"Page 2";#N/A,#N/A,FALSE,"Page 2";#N/A,#N/A,FALSE,"Page 4";#N/A,#N/A,FALSE,"Page5";#N/A,#N/A,FALSE,"Page 6";#N/A,#N/A,FALSE,"Page 7";#N/A,#N/A,FALSE,"Page 8";#N/A,#N/A,FALSE,"Page 10";#N/A,#N/A,FALSE,"Long-Term OCF Mult.";#N/A,#N/A,FALSE,"PCS Comp";#N/A,#N/A,FALSE,"OCS-CAPEX";#N/A,#N/A,FALSE,"Blank"}</definedName>
    <definedName name="ertwer" hidden="1">{#N/A,#N/A,FALSE,"COVER PAGE";#N/A,#N/A,FALSE,"Page 2";#N/A,#N/A,FALSE,"Page 2";#N/A,#N/A,FALSE,"Page 4";#N/A,#N/A,FALSE,"Page5";#N/A,#N/A,FALSE,"Page 6";#N/A,#N/A,FALSE,"Page 7";#N/A,#N/A,FALSE,"Page 8";#N/A,#N/A,FALSE,"Page 10";#N/A,#N/A,FALSE,"Long-Term OCF Mult.";#N/A,#N/A,FALSE,"PCS Comp";#N/A,#N/A,FALSE,"OCS-CAPEX";#N/A,#N/A,FALSE,"Blank"}</definedName>
    <definedName name="ert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ert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ert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erwt"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erwt"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erye"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rye"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rye"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erywert"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erywert"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erywert" hidden="1">{TRUE,TRUE,-1.25,-15.5,604.5,369,FALSE,FALSE,TRUE,TRUE,0,1,83,1,38,4,5,4,TRUE,TRUE,3,TRUE,1,TRUE,75,"Swvu.inputs._.raw._.data.","ACwvu.inputs._.raw._.data.",#N/A,FALSE,FALSE,0.5,0.5,0.5,0.5,2,"&amp;F","&amp;A&amp;RPage &amp;P",FALSE,FALSE,FALSE,FALSE,1,60,#N/A,#N/A,"=R1C61:R53C89","=C1:C5",#N/A,#N/A,FALSE,FALSE,FALSE,1,600,600,FALSE,FALSE,TRUE,TRUE,TRUE}</definedName>
    <definedName name="es" hidden="1">#REF!</definedName>
    <definedName name="ESD" localSheetId="0" hidden="1">{#N/A,#N/A,TRUE,"financial";#N/A,#N/A,TRUE,"plants"}</definedName>
    <definedName name="ESD" localSheetId="6" hidden="1">{#N/A,#N/A,TRUE,"financial";#N/A,#N/A,TRUE,"plants"}</definedName>
    <definedName name="ESD" hidden="1">{#N/A,#N/A,TRUE,"financial";#N/A,#N/A,TRUE,"plants"}</definedName>
    <definedName name="esnrc10c1" localSheetId="0" hidden="1">#REF!</definedName>
    <definedName name="esnrc10c1" hidden="1">#REF!</definedName>
    <definedName name="esnrc10c1_values" localSheetId="0" hidden="1">{"DEBAN","COMPANIES",TRUE}</definedName>
    <definedName name="esnrc10c1_values" localSheetId="6" hidden="1">{"DEBAN","COMPANIES",TRUE}</definedName>
    <definedName name="esnrc10c1_values" hidden="1">{"DEBAN","COMPANIES",TRUE}</definedName>
    <definedName name="esnrc12c1" hidden="1">#REF!</definedName>
    <definedName name="esnrc13c1" hidden="1">#REF!</definedName>
    <definedName name="esnrc166c1" hidden="1">#REF!</definedName>
    <definedName name="esnrc166c1_values" localSheetId="0" hidden="1">{"DE","COMPANIES",TRUE}</definedName>
    <definedName name="esnrc166c1_values" localSheetId="6" hidden="1">{"DE","COMPANIES",TRUE}</definedName>
    <definedName name="esnrc166c1_values" hidden="1">{"DE","COMPANIES",TRUE}</definedName>
    <definedName name="esnrc1c1" hidden="1">#REF!</definedName>
    <definedName name="esnrc21" localSheetId="0" hidden="1">{"DE","COMPANIES",TRUE}</definedName>
    <definedName name="esnrc21" localSheetId="6" hidden="1">{"DE","COMPANIES",TRUE}</definedName>
    <definedName name="esnrc21" hidden="1">{"DE","COMPANIES",TRUE}</definedName>
    <definedName name="esnrc25c1" hidden="1">#REF!</definedName>
    <definedName name="esnrc2c1_values" localSheetId="0" hidden="1">{"CHSER","COMPANIES",TRUE}</definedName>
    <definedName name="esnrc2c1_values" localSheetId="6" hidden="1">{"CHSER","COMPANIES",TRUE}</definedName>
    <definedName name="esnrc2c1_values" hidden="1">{"CHSER","COMPANIES",TRUE}</definedName>
    <definedName name="esnrc34c1_values" localSheetId="0" hidden="1">{"DE","SECTORS",TRUE}</definedName>
    <definedName name="esnrc34c1_values" localSheetId="6" hidden="1">{"DE","SECTORS",TRUE}</definedName>
    <definedName name="esnrc34c1_values" hidden="1">{"DE","SECTORS",TRUE}</definedName>
    <definedName name="esnrc34c2_values" localSheetId="0" hidden="1">{"DE","SECTORS",TRUE}</definedName>
    <definedName name="esnrc34c2_values" localSheetId="6" hidden="1">{"DE","SECTORS",TRUE}</definedName>
    <definedName name="esnrc34c2_values" hidden="1">{"DE","SECTORS",TRUE}</definedName>
    <definedName name="esnrc39c1" hidden="1">#REF!</definedName>
    <definedName name="esnrc39c1_values" localSheetId="6" hidden="1">{"AT","COMPANIES",TRUE}</definedName>
    <definedName name="esnrc39c1_values" hidden="1">{"AT","COMPANIES",TRUE}</definedName>
    <definedName name="esnrc442c1_values" localSheetId="0" hidden="1">{"EX","SECTORS",TRUE}</definedName>
    <definedName name="esnrc442c1_values" localSheetId="6" hidden="1">{"EX","SECTORS",TRUE}</definedName>
    <definedName name="esnrc442c1_values" hidden="1">{"EX","SECTORS",TRUE}</definedName>
    <definedName name="esnrc4c1_values" localSheetId="0" hidden="1">{"DESER","COMPANIES",TRUE}</definedName>
    <definedName name="esnrc4c1_values" localSheetId="6" hidden="1">{"DESER","COMPANIES",TRUE}</definedName>
    <definedName name="esnrc4c1_values" hidden="1">{"DESER","COMPANIES",TRUE}</definedName>
    <definedName name="esnrc5c1_values" localSheetId="0" hidden="1">{"DEMOT","COMPANIES",TRUE}</definedName>
    <definedName name="esnrc5c1_values" localSheetId="6" hidden="1">{"DEMOT","COMPANIES",TRUE}</definedName>
    <definedName name="esnrc5c1_values" hidden="1">{"DEMOT","COMPANIES",TRUE}</definedName>
    <definedName name="esnrc5c2_values" localSheetId="0" hidden="1">{"DEBAN","COMPANIES",TRUE}</definedName>
    <definedName name="esnrc5c2_values" localSheetId="6" hidden="1">{"DEBAN","COMPANIES",TRUE}</definedName>
    <definedName name="esnrc5c2_values" hidden="1">{"DEBAN","COMPANIES",TRUE}</definedName>
    <definedName name="esnrc5c3" hidden="1">#REF!</definedName>
    <definedName name="esnrc5c3_values" localSheetId="0" hidden="1">{"DEBAN","COMPANIES",TRUE}</definedName>
    <definedName name="esnrc5c3_values" localSheetId="6" hidden="1">{"DEBAN","COMPANIES",TRUE}</definedName>
    <definedName name="esnrc5c3_values" hidden="1">{"DEBAN","COMPANIES",TRUE}</definedName>
    <definedName name="esnrc6c1_values" localSheetId="0" hidden="1">{"DEMOT","COMPANIES",TRUE}</definedName>
    <definedName name="esnrc6c1_values" localSheetId="6" hidden="1">{"DEMOT","COMPANIES",TRUE}</definedName>
    <definedName name="esnrc6c1_values" hidden="1">{"DEMOT","COMPANIES",TRUE}</definedName>
    <definedName name="esnrc714c1_values" localSheetId="0" hidden="1">{"EUALL","SECTORS",TRUE}</definedName>
    <definedName name="esnrc714c1_values" localSheetId="6" hidden="1">{"EUALL","SECTORS",TRUE}</definedName>
    <definedName name="esnrc714c1_values" hidden="1">{"EUALL","SECTORS",TRUE}</definedName>
    <definedName name="esnrc71c1_values" localSheetId="0" hidden="1">{"DE","COMPANIES",TRUE}</definedName>
    <definedName name="esnrc71c1_values" localSheetId="6" hidden="1">{"DE","COMPANIES",TRUE}</definedName>
    <definedName name="esnrc71c1_values" hidden="1">{"DE","COMPANIES",TRUE}</definedName>
    <definedName name="esnrc76c1" hidden="1">#REF!</definedName>
    <definedName name="esnrc76c1_values" localSheetId="0" hidden="1">{"DE","COMPANIES",TRUE}</definedName>
    <definedName name="esnrc76c1_values" localSheetId="6" hidden="1">{"DE","COMPANIES",TRUE}</definedName>
    <definedName name="esnrc76c1_values" hidden="1">{"DE","COMPANIES",TRUE}</definedName>
    <definedName name="esnrc76c2_values" localSheetId="0" hidden="1">{"DE","COMPANIES",TRUE}</definedName>
    <definedName name="esnrc76c2_values" localSheetId="6" hidden="1">{"DE","COMPANIES",TRUE}</definedName>
    <definedName name="esnrc76c2_values" hidden="1">{"DE","COMPANIES",TRUE}</definedName>
    <definedName name="esnrc81c1" hidden="1">#REF!</definedName>
    <definedName name="esnrc81c1_values" localSheetId="0" hidden="1">{"CH","COMPANIES",TRUE}</definedName>
    <definedName name="esnrc81c1_values" localSheetId="6" hidden="1">{"CH","COMPANIES",TRUE}</definedName>
    <definedName name="esnrc81c1_values" hidden="1">{"CH","COMPANIES",TRUE}</definedName>
    <definedName name="esnrc82c1_values" localSheetId="0" hidden="1">{"EUSER","COMPANIES",TRUE}</definedName>
    <definedName name="esnrc82c1_values" localSheetId="6" hidden="1">{"EUSER","COMPANIES",TRUE}</definedName>
    <definedName name="esnrc82c1_values" hidden="1">{"EUSER","COMPANIES",TRUE}</definedName>
    <definedName name="ESOP_DEBT" hidden="1">"ESOP_DEBT"</definedName>
    <definedName name="ESSAI" localSheetId="0" hidden="1">{#N/A,#N/A,FALSE,"Pharm";#N/A,#N/A,FALSE,"WWCM"}</definedName>
    <definedName name="ESSAI" localSheetId="6" hidden="1">{#N/A,#N/A,FALSE,"Pharm";#N/A,#N/A,FALSE,"WWCM"}</definedName>
    <definedName name="ESSAI" hidden="1">{#N/A,#N/A,FALSE,"Pharm";#N/A,#N/A,FALSE,"WWCM"}</definedName>
    <definedName name="ESSAI_1" localSheetId="0" hidden="1">{#N/A,#N/A,FALSE,"Pharm";#N/A,#N/A,FALSE,"WWCM"}</definedName>
    <definedName name="ESSAI_1" localSheetId="6" hidden="1">{#N/A,#N/A,FALSE,"Pharm";#N/A,#N/A,FALSE,"WWCM"}</definedName>
    <definedName name="ESSAI_1" hidden="1">{#N/A,#N/A,FALSE,"Pharm";#N/A,#N/A,FALSE,"WWCM"}</definedName>
    <definedName name="ESSAI_1_1" localSheetId="0" hidden="1">{#N/A,#N/A,FALSE,"Pharm";#N/A,#N/A,FALSE,"WWCM"}</definedName>
    <definedName name="ESSAI_1_1" localSheetId="6" hidden="1">{#N/A,#N/A,FALSE,"Pharm";#N/A,#N/A,FALSE,"WWCM"}</definedName>
    <definedName name="ESSAI_1_1" hidden="1">{#N/A,#N/A,FALSE,"Pharm";#N/A,#N/A,FALSE,"WWCM"}</definedName>
    <definedName name="ESSAI_2" localSheetId="0" hidden="1">{#N/A,#N/A,FALSE,"Pharm";#N/A,#N/A,FALSE,"WWCM"}</definedName>
    <definedName name="ESSAI_2" localSheetId="6" hidden="1">{#N/A,#N/A,FALSE,"Pharm";#N/A,#N/A,FALSE,"WWCM"}</definedName>
    <definedName name="ESSAI_2" hidden="1">{#N/A,#N/A,FALSE,"Pharm";#N/A,#N/A,FALSE,"WWCM"}</definedName>
    <definedName name="ESSAI_3" localSheetId="0" hidden="1">{#N/A,#N/A,FALSE,"Pharm";#N/A,#N/A,FALSE,"WWCM"}</definedName>
    <definedName name="ESSAI_3" localSheetId="6" hidden="1">{#N/A,#N/A,FALSE,"Pharm";#N/A,#N/A,FALSE,"WWCM"}</definedName>
    <definedName name="ESSAI_3" hidden="1">{#N/A,#N/A,FALSE,"Pharm";#N/A,#N/A,FALSE,"WWCM"}</definedName>
    <definedName name="ESSAI_4" localSheetId="0" hidden="1">{#N/A,#N/A,FALSE,"Pharm";#N/A,#N/A,FALSE,"WWCM"}</definedName>
    <definedName name="ESSAI_4" localSheetId="6" hidden="1">{#N/A,#N/A,FALSE,"Pharm";#N/A,#N/A,FALSE,"WWCM"}</definedName>
    <definedName name="ESSAI_4" hidden="1">{#N/A,#N/A,FALSE,"Pharm";#N/A,#N/A,FALSE,"WWCM"}</definedName>
    <definedName name="ESSAI_5" localSheetId="0" hidden="1">{#N/A,#N/A,FALSE,"Pharm";#N/A,#N/A,FALSE,"WWCM"}</definedName>
    <definedName name="ESSAI_5" localSheetId="6" hidden="1">{#N/A,#N/A,FALSE,"Pharm";#N/A,#N/A,FALSE,"WWCM"}</definedName>
    <definedName name="ESSAI_5" hidden="1">{#N/A,#N/A,FALSE,"Pharm";#N/A,#N/A,FALSE,"WWCM"}</definedName>
    <definedName name="EST_FIRST_YEAR">#REF!</definedName>
    <definedName name="EST_MONTH_DAY">#REF!</definedName>
    <definedName name="est_mvic" hidden="1">#REF!</definedName>
    <definedName name="est_taxrate">#REF!</definedName>
    <definedName name="estimateb" localSheetId="6" hidden="1">{#N/A,#N/A,TRUE,"Cover";#N/A,#N/A,TRUE,"Conts";#N/A,#N/A,TRUE,"VOS";#N/A,#N/A,TRUE,"Warrington";#N/A,#N/A,TRUE,"Widnes"}</definedName>
    <definedName name="estimateb" hidden="1">{#N/A,#N/A,TRUE,"Cover";#N/A,#N/A,TRUE,"Conts";#N/A,#N/A,TRUE,"VOS";#N/A,#N/A,TRUE,"Warrington";#N/A,#N/A,TRUE,"Widnes"}</definedName>
    <definedName name="estimateb_1" localSheetId="6" hidden="1">{#N/A,#N/A,TRUE,"Cover";#N/A,#N/A,TRUE,"Conts";#N/A,#N/A,TRUE,"VOS";#N/A,#N/A,TRUE,"Warrington";#N/A,#N/A,TRUE,"Widnes"}</definedName>
    <definedName name="estimateb_1" hidden="1">{#N/A,#N/A,TRUE,"Cover";#N/A,#N/A,TRUE,"Conts";#N/A,#N/A,TRUE,"VOS";#N/A,#N/A,TRUE,"Warrington";#N/A,#N/A,TRUE,"Widnes"}</definedName>
    <definedName name="etc" hidden="1">#REF!</definedName>
    <definedName name="etet" localSheetId="0" hidden="1">{#N/A,#N/A,FALSE,"Calc";#N/A,#N/A,FALSE,"Sensitivity";#N/A,#N/A,FALSE,"LT Earn.Dil.";#N/A,#N/A,FALSE,"Dil. AVP"}</definedName>
    <definedName name="etet" localSheetId="6" hidden="1">{#N/A,#N/A,FALSE,"Calc";#N/A,#N/A,FALSE,"Sensitivity";#N/A,#N/A,FALSE,"LT Earn.Dil.";#N/A,#N/A,FALSE,"Dil. AVP"}</definedName>
    <definedName name="etet" hidden="1">{#N/A,#N/A,FALSE,"Calc";#N/A,#N/A,FALSE,"Sensitivity";#N/A,#N/A,FALSE,"LT Earn.Dil.";#N/A,#N/A,FALSE,"Dil. AVP"}</definedName>
    <definedName name="etet_1" localSheetId="0" hidden="1">{#N/A,#N/A,FALSE,"Umsatz CH";#N/A,#N/A,FALSE,"ER CH";#N/A,#N/A,FALSE,"EA CH (2) ";#N/A,#N/A,FALSE,"EA CH";#N/A,#N/A,FALSE,"EA CH (3) ";#N/A,#N/A,FALSE,"EA CH (4)";#N/A,#N/A,FALSE,"KA CH";#N/A,#N/A,FALSE,"KA CH  (2)";#N/A,#N/A,FALSE,"KA CH  (3)";#N/A,#N/A,FALSE,"KA CH (4)"}</definedName>
    <definedName name="etet_1" localSheetId="6" hidden="1">{#N/A,#N/A,FALSE,"Umsatz CH";#N/A,#N/A,FALSE,"ER CH";#N/A,#N/A,FALSE,"EA CH (2) ";#N/A,#N/A,FALSE,"EA CH";#N/A,#N/A,FALSE,"EA CH (3) ";#N/A,#N/A,FALSE,"EA CH (4)";#N/A,#N/A,FALSE,"KA CH";#N/A,#N/A,FALSE,"KA CH  (2)";#N/A,#N/A,FALSE,"KA CH  (3)";#N/A,#N/A,FALSE,"KA CH (4)"}</definedName>
    <definedName name="etet_1" hidden="1">{#N/A,#N/A,FALSE,"Umsatz CH";#N/A,#N/A,FALSE,"ER CH";#N/A,#N/A,FALSE,"EA CH (2) ";#N/A,#N/A,FALSE,"EA CH";#N/A,#N/A,FALSE,"EA CH (3) ";#N/A,#N/A,FALSE,"EA CH (4)";#N/A,#N/A,FALSE,"KA CH";#N/A,#N/A,FALSE,"KA CH  (2)";#N/A,#N/A,FALSE,"KA CH  (3)";#N/A,#N/A,FALSE,"KA CH (4)"}</definedName>
    <definedName name="etet_1_1" localSheetId="0" hidden="1">{#N/A,#N/A,FALSE,"Umsatz CH";#N/A,#N/A,FALSE,"ER CH";#N/A,#N/A,FALSE,"EA CH (2) ";#N/A,#N/A,FALSE,"EA CH";#N/A,#N/A,FALSE,"EA CH (3) ";#N/A,#N/A,FALSE,"EA CH (4)";#N/A,#N/A,FALSE,"KA CH";#N/A,#N/A,FALSE,"KA CH  (2)";#N/A,#N/A,FALSE,"KA CH  (3)";#N/A,#N/A,FALSE,"KA CH (4)"}</definedName>
    <definedName name="etet_1_1" localSheetId="6" hidden="1">{#N/A,#N/A,FALSE,"Umsatz CH";#N/A,#N/A,FALSE,"ER CH";#N/A,#N/A,FALSE,"EA CH (2) ";#N/A,#N/A,FALSE,"EA CH";#N/A,#N/A,FALSE,"EA CH (3) ";#N/A,#N/A,FALSE,"EA CH (4)";#N/A,#N/A,FALSE,"KA CH";#N/A,#N/A,FALSE,"KA CH  (2)";#N/A,#N/A,FALSE,"KA CH  (3)";#N/A,#N/A,FALSE,"KA CH (4)"}</definedName>
    <definedName name="etet_1_1" hidden="1">{#N/A,#N/A,FALSE,"Umsatz CH";#N/A,#N/A,FALSE,"ER CH";#N/A,#N/A,FALSE,"EA CH (2) ";#N/A,#N/A,FALSE,"EA CH";#N/A,#N/A,FALSE,"EA CH (3) ";#N/A,#N/A,FALSE,"EA CH (4)";#N/A,#N/A,FALSE,"KA CH";#N/A,#N/A,FALSE,"KA CH  (2)";#N/A,#N/A,FALSE,"KA CH  (3)";#N/A,#N/A,FALSE,"KA CH (4)"}</definedName>
    <definedName name="etet_2" localSheetId="0" hidden="1">{#N/A,#N/A,FALSE,"Umsatz CH";#N/A,#N/A,FALSE,"ER CH";#N/A,#N/A,FALSE,"EA CH (2) ";#N/A,#N/A,FALSE,"EA CH";#N/A,#N/A,FALSE,"EA CH (3) ";#N/A,#N/A,FALSE,"EA CH (4)";#N/A,#N/A,FALSE,"KA CH";#N/A,#N/A,FALSE,"KA CH  (2)";#N/A,#N/A,FALSE,"KA CH  (3)";#N/A,#N/A,FALSE,"KA CH (4)"}</definedName>
    <definedName name="etet_2" localSheetId="6" hidden="1">{#N/A,#N/A,FALSE,"Umsatz CH";#N/A,#N/A,FALSE,"ER CH";#N/A,#N/A,FALSE,"EA CH (2) ";#N/A,#N/A,FALSE,"EA CH";#N/A,#N/A,FALSE,"EA CH (3) ";#N/A,#N/A,FALSE,"EA CH (4)";#N/A,#N/A,FALSE,"KA CH";#N/A,#N/A,FALSE,"KA CH  (2)";#N/A,#N/A,FALSE,"KA CH  (3)";#N/A,#N/A,FALSE,"KA CH (4)"}</definedName>
    <definedName name="etet_2" hidden="1">{#N/A,#N/A,FALSE,"Umsatz CH";#N/A,#N/A,FALSE,"ER CH";#N/A,#N/A,FALSE,"EA CH (2) ";#N/A,#N/A,FALSE,"EA CH";#N/A,#N/A,FALSE,"EA CH (3) ";#N/A,#N/A,FALSE,"EA CH (4)";#N/A,#N/A,FALSE,"KA CH";#N/A,#N/A,FALSE,"KA CH  (2)";#N/A,#N/A,FALSE,"KA CH  (3)";#N/A,#N/A,FALSE,"KA CH (4)"}</definedName>
    <definedName name="etet_3" localSheetId="0" hidden="1">{#N/A,#N/A,FALSE,"Umsatz CH";#N/A,#N/A,FALSE,"ER CH";#N/A,#N/A,FALSE,"EA CH (2) ";#N/A,#N/A,FALSE,"EA CH";#N/A,#N/A,FALSE,"EA CH (3) ";#N/A,#N/A,FALSE,"EA CH (4)";#N/A,#N/A,FALSE,"KA CH";#N/A,#N/A,FALSE,"KA CH  (2)";#N/A,#N/A,FALSE,"KA CH  (3)";#N/A,#N/A,FALSE,"KA CH (4)"}</definedName>
    <definedName name="etet_3" localSheetId="6" hidden="1">{#N/A,#N/A,FALSE,"Umsatz CH";#N/A,#N/A,FALSE,"ER CH";#N/A,#N/A,FALSE,"EA CH (2) ";#N/A,#N/A,FALSE,"EA CH";#N/A,#N/A,FALSE,"EA CH (3) ";#N/A,#N/A,FALSE,"EA CH (4)";#N/A,#N/A,FALSE,"KA CH";#N/A,#N/A,FALSE,"KA CH  (2)";#N/A,#N/A,FALSE,"KA CH  (3)";#N/A,#N/A,FALSE,"KA CH (4)"}</definedName>
    <definedName name="etet_3" hidden="1">{#N/A,#N/A,FALSE,"Umsatz CH";#N/A,#N/A,FALSE,"ER CH";#N/A,#N/A,FALSE,"EA CH (2) ";#N/A,#N/A,FALSE,"EA CH";#N/A,#N/A,FALSE,"EA CH (3) ";#N/A,#N/A,FALSE,"EA CH (4)";#N/A,#N/A,FALSE,"KA CH";#N/A,#N/A,FALSE,"KA CH  (2)";#N/A,#N/A,FALSE,"KA CH  (3)";#N/A,#N/A,FALSE,"KA CH (4)"}</definedName>
    <definedName name="etet_4" localSheetId="0" hidden="1">{#N/A,#N/A,FALSE,"Umsatz CH";#N/A,#N/A,FALSE,"ER CH";#N/A,#N/A,FALSE,"EA CH (2) ";#N/A,#N/A,FALSE,"EA CH";#N/A,#N/A,FALSE,"EA CH (3) ";#N/A,#N/A,FALSE,"EA CH (4)";#N/A,#N/A,FALSE,"KA CH";#N/A,#N/A,FALSE,"KA CH  (2)";#N/A,#N/A,FALSE,"KA CH  (3)";#N/A,#N/A,FALSE,"KA CH (4)"}</definedName>
    <definedName name="etet_4" localSheetId="6" hidden="1">{#N/A,#N/A,FALSE,"Umsatz CH";#N/A,#N/A,FALSE,"ER CH";#N/A,#N/A,FALSE,"EA CH (2) ";#N/A,#N/A,FALSE,"EA CH";#N/A,#N/A,FALSE,"EA CH (3) ";#N/A,#N/A,FALSE,"EA CH (4)";#N/A,#N/A,FALSE,"KA CH";#N/A,#N/A,FALSE,"KA CH  (2)";#N/A,#N/A,FALSE,"KA CH  (3)";#N/A,#N/A,FALSE,"KA CH (4)"}</definedName>
    <definedName name="etet_4" hidden="1">{#N/A,#N/A,FALSE,"Umsatz CH";#N/A,#N/A,FALSE,"ER CH";#N/A,#N/A,FALSE,"EA CH (2) ";#N/A,#N/A,FALSE,"EA CH";#N/A,#N/A,FALSE,"EA CH (3) ";#N/A,#N/A,FALSE,"EA CH (4)";#N/A,#N/A,FALSE,"KA CH";#N/A,#N/A,FALSE,"KA CH  (2)";#N/A,#N/A,FALSE,"KA CH  (3)";#N/A,#N/A,FALSE,"KA CH (4)"}</definedName>
    <definedName name="etet_5" localSheetId="0" hidden="1">{#N/A,#N/A,FALSE,"Umsatz CH";#N/A,#N/A,FALSE,"ER CH";#N/A,#N/A,FALSE,"EA CH (2) ";#N/A,#N/A,FALSE,"EA CH";#N/A,#N/A,FALSE,"EA CH (3) ";#N/A,#N/A,FALSE,"EA CH (4)";#N/A,#N/A,FALSE,"KA CH";#N/A,#N/A,FALSE,"KA CH  (2)";#N/A,#N/A,FALSE,"KA CH  (3)";#N/A,#N/A,FALSE,"KA CH (4)"}</definedName>
    <definedName name="etet_5" localSheetId="6" hidden="1">{#N/A,#N/A,FALSE,"Umsatz CH";#N/A,#N/A,FALSE,"ER CH";#N/A,#N/A,FALSE,"EA CH (2) ";#N/A,#N/A,FALSE,"EA CH";#N/A,#N/A,FALSE,"EA CH (3) ";#N/A,#N/A,FALSE,"EA CH (4)";#N/A,#N/A,FALSE,"KA CH";#N/A,#N/A,FALSE,"KA CH  (2)";#N/A,#N/A,FALSE,"KA CH  (3)";#N/A,#N/A,FALSE,"KA CH (4)"}</definedName>
    <definedName name="etet_5" hidden="1">{#N/A,#N/A,FALSE,"Umsatz CH";#N/A,#N/A,FALSE,"ER CH";#N/A,#N/A,FALSE,"EA CH (2) ";#N/A,#N/A,FALSE,"EA CH";#N/A,#N/A,FALSE,"EA CH (3) ";#N/A,#N/A,FALSE,"EA CH (4)";#N/A,#N/A,FALSE,"KA CH";#N/A,#N/A,FALSE,"KA CH  (2)";#N/A,#N/A,FALSE,"KA CH  (3)";#N/A,#N/A,FALSE,"KA CH (4)"}</definedName>
    <definedName name="etyrt" localSheetId="0" hidden="1">{"page1",#N/A,FALSE,"A";"page2",#N/A,FALSE,"A"}</definedName>
    <definedName name="etyrt" localSheetId="6" hidden="1">{"page1",#N/A,FALSE,"A";"page2",#N/A,FALSE,"A"}</definedName>
    <definedName name="etyrt" hidden="1">{"page1",#N/A,FALSE,"A";"page2",#N/A,FALSE,"A"}</definedName>
    <definedName name="EUR" localSheetId="0">#REF!</definedName>
    <definedName name="EUR">#REF!</definedName>
    <definedName name="euwqtyeuiwqetyqwr" localSheetId="6" hidden="1">{#N/A,#N/A,FALSE,"Banksum";#N/A,#N/A,FALSE,"Banksum"}</definedName>
    <definedName name="euwqtyeuiwqetyqwr" hidden="1">{#N/A,#N/A,FALSE,"Banksum";#N/A,#N/A,FALSE,"Banksum"}</definedName>
    <definedName name="ev.Calculation" localSheetId="0" hidden="1">-4105</definedName>
    <definedName name="ev.Calculation" hidden="1">-4135</definedName>
    <definedName name="ev.Initialized" hidden="1">FALSE</definedName>
    <definedName name="EV__ALLOWSTOPEXPAND__" hidden="1">1</definedName>
    <definedName name="EV__DECIMALSYMBOL__" hidden="1">"."</definedName>
    <definedName name="EV__EVCOM_OPTIONS__" hidden="1">8</definedName>
    <definedName name="EV__EXPOPTIONS__" hidden="1">0</definedName>
    <definedName name="EV__LASTREFTIME__" hidden="1">41823.5906944444</definedName>
    <definedName name="EV__LOCKEDCVW__FINANCE" hidden="1">"Miles,Plan,TotalAdj,TOT_DEPT,TOT_COMPANY,TOT_LOB,2008.total,PERIODIC,"</definedName>
    <definedName name="EV__LOCKEDCVW__PAYROLL" hidden="1">"11250,Actual,TotalAdj,TOT_DEPT,ALLEMPL,TOT_COMPANY_PF,Tot_Job,TOT_LOB,ALLPAYGROUPS,2008.Total,ALLDATACONT,PERIODIC,"</definedName>
    <definedName name="EV__LOCKEDCVW__REVENUE" hidden="1">"CustomerData,Actual,1001018,Revenue,10,TOT_LOB,2009.SEP,PERIODIC,"</definedName>
    <definedName name="EV__LOCKEDCVW__SAFETY" hidden="1">"PrevDOTRatio_PLAN,Plan,Input,LINEHAUL,TOT_COMPANY,REGULAR,2009.TOTAL,PERIODIC,"</definedName>
    <definedName name="EV__LOCKEDCVW__SUPPLYCHAIN" hidden="1">"CC4HO,ACTUAL,e450,EUR,psFrozen,lNone,sDEL,2010.SEP,YTD,"</definedName>
    <definedName name="EV__LOCKSTATUS__" hidden="1">4</definedName>
    <definedName name="EV__MAXEXPCOLS__" hidden="1">100</definedName>
    <definedName name="EV__MAXEXPROWS__" hidden="1">1000</definedName>
    <definedName name="EV__MEMORYCVW__" hidden="1">0</definedName>
    <definedName name="EV__WBEVMODE__" hidden="1">0</definedName>
    <definedName name="EV__WBREFOPTIONS__" hidden="1">134217732</definedName>
    <definedName name="EV__WBVERSION__" hidden="1">0</definedName>
    <definedName name="EV__WSINFO__" hidden="1">"kars"</definedName>
    <definedName name="EV_OVER_EMPLOYEE" hidden="1">"EV_OVER_EMPLOYEE"</definedName>
    <definedName name="EV_OVER_LTM_EBIT" hidden="1">"EV_OVER_LTM_EBIT"</definedName>
    <definedName name="EV_OVER_LTM_EBITDA" hidden="1">"EV_OVER_LTM_EBITDA"</definedName>
    <definedName name="EV_OVER_LTM_REVENUE" hidden="1">"EV_OVER_LTM_REVENUE"</definedName>
    <definedName name="EV_OVER_REVENUE_EST" hidden="1">"EV_OVER_REVENUE_EST"</definedName>
    <definedName name="EV_OVER_REVENUE_EST_1" hidden="1">"EV_OVER_REVENUE_EST_1"</definedName>
    <definedName name="EVA" localSheetId="0" hidden="1">{"DCF",#N/A,FALSE,"CF"}</definedName>
    <definedName name="EVA" localSheetId="6" hidden="1">{"DCF",#N/A,FALSE,"CF"}</definedName>
    <definedName name="EVA" hidden="1">{"DCF",#N/A,FALSE,"CF"}</definedName>
    <definedName name="ew" localSheetId="0" hidden="1">{"Graphic",#N/A,TRUE,"Graphic"}</definedName>
    <definedName name="ew" localSheetId="6" hidden="1">{"Graphic",#N/A,TRUE,"Graphic"}</definedName>
    <definedName name="ew" hidden="1">{"Graphic",#N/A,TRUE,"Graphic"}</definedName>
    <definedName name="ew_1" localSheetId="0" hidden="1">{"Graphic",#N/A,TRUE,"Graphic"}</definedName>
    <definedName name="ew_1" localSheetId="6" hidden="1">{"Graphic",#N/A,TRUE,"Graphic"}</definedName>
    <definedName name="ew_1" hidden="1">{"Graphic",#N/A,TRUE,"Graphic"}</definedName>
    <definedName name="EWARVAERW" hidden="1">#REF!</definedName>
    <definedName name="ewewew" localSheetId="6" hidden="1">{#N/A,#N/A,FALSE,"Banksum";#N/A,#N/A,FALSE,"Banksum"}</definedName>
    <definedName name="ewewew" hidden="1">{#N/A,#N/A,FALSE,"Banksum";#N/A,#N/A,FALSE,"Banksum"}</definedName>
    <definedName name="ewqjekwq" localSheetId="6" hidden="1">{#N/A,#N/A,FALSE,"Banksum";#N/A,#N/A,FALSE,"Banksum"}</definedName>
    <definedName name="ewqjekwq" hidden="1">{#N/A,#N/A,FALSE,"Banksum";#N/A,#N/A,FALSE,"Banksum"}</definedName>
    <definedName name="ewr" localSheetId="6" hidden="1">{#N/A,#N/A,TRUE,"A";#N/A,#N/A,TRUE,"IS";#N/A,#N/A,TRUE,"CF";#N/A,#N/A,TRUE,"BS";#N/A,#N/A,TRUE,"REV";#N/A,#N/A,TRUE,"OPS";#N/A,#N/A,TRUE,"ADM";#N/A,#N/A,TRUE,"AST";#N/A,#N/A,TRUE,"DEP"}</definedName>
    <definedName name="ewr" hidden="1">{#N/A,#N/A,TRUE,"A";#N/A,#N/A,TRUE,"IS";#N/A,#N/A,TRUE,"CF";#N/A,#N/A,TRUE,"BS";#N/A,#N/A,TRUE,"REV";#N/A,#N/A,TRUE,"OPS";#N/A,#N/A,TRUE,"ADM";#N/A,#N/A,TRUE,"AST";#N/A,#N/A,TRUE,"DEP"}</definedName>
    <definedName name="ewrc" localSheetId="0" hidden="1">{#N/A,#N/A,TRUE,"Proposal";#N/A,#N/A,TRUE,"Assumptions";#N/A,#N/A,TRUE,"Net Income";#N/A,#N/A,TRUE,"Balsheet";#N/A,#N/A,TRUE,"Capex";#N/A,#N/A,TRUE,"Volumes";#N/A,#N/A,TRUE,"Revenues";#N/A,#N/A,TRUE,"Var.Costs";#N/A,#N/A,TRUE,"Personnel";#N/A,#N/A,TRUE,"Other costs";#N/A,#N/A,TRUE,"MKTG and G&amp;A"}</definedName>
    <definedName name="ewrc" localSheetId="6" hidden="1">{#N/A,#N/A,TRUE,"Proposal";#N/A,#N/A,TRUE,"Assumptions";#N/A,#N/A,TRUE,"Net Income";#N/A,#N/A,TRUE,"Balsheet";#N/A,#N/A,TRUE,"Capex";#N/A,#N/A,TRUE,"Volumes";#N/A,#N/A,TRUE,"Revenues";#N/A,#N/A,TRUE,"Var.Costs";#N/A,#N/A,TRUE,"Personnel";#N/A,#N/A,TRUE,"Other costs";#N/A,#N/A,TRUE,"MKTG and G&amp;A"}</definedName>
    <definedName name="ewrc" hidden="1">{#N/A,#N/A,TRUE,"Proposal";#N/A,#N/A,TRUE,"Assumptions";#N/A,#N/A,TRUE,"Net Income";#N/A,#N/A,TRUE,"Balsheet";#N/A,#N/A,TRUE,"Capex";#N/A,#N/A,TRUE,"Volumes";#N/A,#N/A,TRUE,"Revenues";#N/A,#N/A,TRUE,"Var.Costs";#N/A,#N/A,TRUE,"Personnel";#N/A,#N/A,TRUE,"Other costs";#N/A,#N/A,TRUE,"MKTG and G&amp;A"}</definedName>
    <definedName name="ewrwer" localSheetId="0" hidden="1">{#N/A,#N/A,FALSE,"ORIX CSC"}</definedName>
    <definedName name="ewrwer" localSheetId="6" hidden="1">{#N/A,#N/A,FALSE,"ORIX CSC"}</definedName>
    <definedName name="ewrwer" hidden="1">{#N/A,#N/A,FALSE,"ORIX CSC"}</definedName>
    <definedName name="ewwe" localSheetId="0" hidden="1">{#N/A,#N/A,FALSE,"REPORT"}</definedName>
    <definedName name="ewwe" localSheetId="6" hidden="1">{#N/A,#N/A,FALSE,"REPORT"}</definedName>
    <definedName name="ewwe" hidden="1">{#N/A,#N/A,FALSE,"REPORT"}</definedName>
    <definedName name="ewwe_1" localSheetId="0" hidden="1">{#N/A,#N/A,FALSE,"REPORT"}</definedName>
    <definedName name="ewwe_1" localSheetId="6" hidden="1">{#N/A,#N/A,FALSE,"REPORT"}</definedName>
    <definedName name="ewwe_1" hidden="1">{#N/A,#N/A,FALSE,"REPORT"}</definedName>
    <definedName name="ewwe_1_1" localSheetId="0" hidden="1">{#N/A,#N/A,FALSE,"REPORT"}</definedName>
    <definedName name="ewwe_1_1" localSheetId="6" hidden="1">{#N/A,#N/A,FALSE,"REPORT"}</definedName>
    <definedName name="ewwe_1_1" hidden="1">{#N/A,#N/A,FALSE,"REPORT"}</definedName>
    <definedName name="ewwe_2" localSheetId="0" hidden="1">{#N/A,#N/A,FALSE,"REPORT"}</definedName>
    <definedName name="ewwe_2" localSheetId="6" hidden="1">{#N/A,#N/A,FALSE,"REPORT"}</definedName>
    <definedName name="ewwe_2" hidden="1">{#N/A,#N/A,FALSE,"REPORT"}</definedName>
    <definedName name="ewwe_3" localSheetId="0" hidden="1">{#N/A,#N/A,FALSE,"REPORT"}</definedName>
    <definedName name="ewwe_3" localSheetId="6" hidden="1">{#N/A,#N/A,FALSE,"REPORT"}</definedName>
    <definedName name="ewwe_3" hidden="1">{#N/A,#N/A,FALSE,"REPORT"}</definedName>
    <definedName name="ewwe_4" localSheetId="0" hidden="1">{#N/A,#N/A,FALSE,"REPORT"}</definedName>
    <definedName name="ewwe_4" localSheetId="6" hidden="1">{#N/A,#N/A,FALSE,"REPORT"}</definedName>
    <definedName name="ewwe_4" hidden="1">{#N/A,#N/A,FALSE,"REPORT"}</definedName>
    <definedName name="ewwe_5" localSheetId="0" hidden="1">{#N/A,#N/A,FALSE,"REPORT"}</definedName>
    <definedName name="ewwe_5" localSheetId="6" hidden="1">{#N/A,#N/A,FALSE,"REPORT"}</definedName>
    <definedName name="ewwe_5" hidden="1">{#N/A,#N/A,FALSE,"REPORT"}</definedName>
    <definedName name="ewwwwwwwwwwwwwwwwwwwwwww" localSheetId="0" hidden="1">{#N/A,#N/A,FALSE,"Assessment";#N/A,#N/A,FALSE,"Staffing";#N/A,#N/A,FALSE,"Hires";#N/A,#N/A,FALSE,"Assumptions"}</definedName>
    <definedName name="ewwwwwwwwwwwwwwwwwwwwwww" localSheetId="6" hidden="1">{#N/A,#N/A,FALSE,"Assessment";#N/A,#N/A,FALSE,"Staffing";#N/A,#N/A,FALSE,"Hires";#N/A,#N/A,FALSE,"Assumptions"}</definedName>
    <definedName name="ewwwwwwwwwwwwwwwwwwwwwww" hidden="1">{#N/A,#N/A,FALSE,"Assessment";#N/A,#N/A,FALSE,"Staffing";#N/A,#N/A,FALSE,"Hires";#N/A,#N/A,FALSE,"Assumptions"}</definedName>
    <definedName name="ewwwwwwwwwwwwwwwwwwwwwww_1" localSheetId="0" hidden="1">{#N/A,#N/A,FALSE,"Assessment";#N/A,#N/A,FALSE,"Staffing";#N/A,#N/A,FALSE,"Hires";#N/A,#N/A,FALSE,"Assumptions"}</definedName>
    <definedName name="ewwwwwwwwwwwwwwwwwwwwwww_1" localSheetId="6" hidden="1">{#N/A,#N/A,FALSE,"Assessment";#N/A,#N/A,FALSE,"Staffing";#N/A,#N/A,FALSE,"Hires";#N/A,#N/A,FALSE,"Assumptions"}</definedName>
    <definedName name="ewwwwwwwwwwwwwwwwwwwwwww_1" hidden="1">{#N/A,#N/A,FALSE,"Assessment";#N/A,#N/A,FALSE,"Staffing";#N/A,#N/A,FALSE,"Hires";#N/A,#N/A,FALSE,"Assumptions"}</definedName>
    <definedName name="ExactAddinConnection" hidden="1">"800"</definedName>
    <definedName name="ExactAddinConnection.001" hidden="1">"NT5_MG;032;yvd;1"</definedName>
    <definedName name="ExactAddinConnection.400" hidden="1">"NLDMNSA009;400;bakkumt;1"</definedName>
    <definedName name="ExactAddinConnection.800" hidden="1">"ELYF01;800;xander.van.oudshoorn;0"</definedName>
    <definedName name="ExactAddinConnection.810" hidden="1">"ELYF01;810;xander.van.oudshoorn;0"</definedName>
    <definedName name="ExactAddinConnection.811" hidden="1">"ELYF01;811;xander.van.oudshoorn;0"</definedName>
    <definedName name="ExactAddinConnection.812" hidden="1">"elyf01;812;Dejan.Barisic;0"</definedName>
    <definedName name="ExactAddinConnection.813" hidden="1">"ELYF01;813;Dejan.Barisic;0"</definedName>
    <definedName name="ExactAddinReports" hidden="1">1</definedName>
    <definedName name="ExactlyOneYear" hidden="1">#REF!</definedName>
    <definedName name="ExbMult_Total" hidden="1">#REF!</definedName>
    <definedName name="exbnumlist" hidden="1">#REF!</definedName>
    <definedName name="exces" localSheetId="0" hidden="1">{#N/A,#N/A,FALSE,"PROFIT 11-95"}</definedName>
    <definedName name="exces" localSheetId="6" hidden="1">{#N/A,#N/A,FALSE,"PROFIT 11-95"}</definedName>
    <definedName name="exces" hidden="1">{#N/A,#N/A,FALSE,"PROFIT 11-95"}</definedName>
    <definedName name="Exchange_Rate" localSheetId="0">#REF!</definedName>
    <definedName name="Exchange_Rate">#REF!</definedName>
    <definedName name="Exchange_Rates" hidden="1">#REF!</definedName>
    <definedName name="ExchangeRates">#REF!</definedName>
    <definedName name="eXCLUSIONS" localSheetId="6" hidden="1">{#N/A,#N/A,TRUE,"Cover";#N/A,#N/A,TRUE,"Conts";#N/A,#N/A,TRUE,"VOS";#N/A,#N/A,TRUE,"Warrington";#N/A,#N/A,TRUE,"Widnes"}</definedName>
    <definedName name="eXCLUSIONS" hidden="1">{#N/A,#N/A,TRUE,"Cover";#N/A,#N/A,TRUE,"Conts";#N/A,#N/A,TRUE,"VOS";#N/A,#N/A,TRUE,"Warrington";#N/A,#N/A,TRUE,"Widnes"}</definedName>
    <definedName name="eXCLUSIONS_1" localSheetId="6" hidden="1">{#N/A,#N/A,TRUE,"Cover";#N/A,#N/A,TRUE,"Conts";#N/A,#N/A,TRUE,"VOS";#N/A,#N/A,TRUE,"Warrington";#N/A,#N/A,TRUE,"Widnes"}</definedName>
    <definedName name="eXCLUSIONS_1" hidden="1">{#N/A,#N/A,TRUE,"Cover";#N/A,#N/A,TRUE,"Conts";#N/A,#N/A,TRUE,"VOS";#N/A,#N/A,TRUE,"Warrington";#N/A,#N/A,TRUE,"Widnes"}</definedName>
    <definedName name="Executivepb" hidden="1">#REF!</definedName>
    <definedName name="EXEL" localSheetId="6" hidden="1">{"VIEW1",#N/A,FALSE,"P&amp;L Account 2001-2002";"VIEW2",#N/A,FALSE,"P&amp;L Account 2001-2002";"VIEW3",#N/A,FALSE,"P&amp;L Account 2001-2002";"VIEW4",#N/A,FALSE,"P&amp;L Account 2001-2002"}</definedName>
    <definedName name="EXEL" hidden="1">{"VIEW1",#N/A,FALSE,"P&amp;L Account 2001-2002";"VIEW2",#N/A,FALSE,"P&amp;L Account 2001-2002";"VIEW3",#N/A,FALSE,"P&amp;L Account 2001-2002";"VIEW4",#N/A,FALSE,"P&amp;L Account 2001-2002"}</definedName>
    <definedName name="exhibitletter">#REF!</definedName>
    <definedName name="ExitYear">#REF!</definedName>
    <definedName name="Exp.Dec" localSheetId="6" hidden="1">{#N/A,#N/A,FALSE,"Results_1997"}</definedName>
    <definedName name="Exp.Dec" hidden="1">{#N/A,#N/A,FALSE,"Results_1997"}</definedName>
    <definedName name="Exp_FI">#REF!</definedName>
    <definedName name="Exp_Fl_Maint">#REF!</definedName>
    <definedName name="Exp_FR">#REF!</definedName>
    <definedName name="Exp_PP1">#REF!</definedName>
    <definedName name="Exp_PP2">#REF!</definedName>
    <definedName name="Expected_balance">#REF!</definedName>
    <definedName name="EXPENSES">#REF!</definedName>
    <definedName name="Export" hidden="1">#REF!</definedName>
    <definedName name="ExportCountry" hidden="1">#REF!</definedName>
    <definedName name="EXPORTLC" localSheetId="4">TAREK MAHMOUD</definedName>
    <definedName name="EXPORTLC" localSheetId="2">TAREK MAHMOUD</definedName>
    <definedName name="EXPORTLC" localSheetId="6">TAREK MAHMOUD</definedName>
    <definedName name="EXPORTLC">TAREK MAHMOUD</definedName>
    <definedName name="EXPORTS1" localSheetId="6" hidden="1">{"VIEW1",#N/A,FALSE,"P&amp;L Account 2001-2002";"VIEW2",#N/A,FALSE,"P&amp;L Account 2001-2002";"VIEW3",#N/A,FALSE,"P&amp;L Account 2001-2002";"VIEW4",#N/A,FALSE,"P&amp;L Account 2001-2002"}</definedName>
    <definedName name="EXPORTS1" hidden="1">{"VIEW1",#N/A,FALSE,"P&amp;L Account 2001-2002";"VIEW2",#N/A,FALSE,"P&amp;L Account 2001-2002";"VIEW3",#N/A,FALSE,"P&amp;L Account 2001-2002";"VIEW4",#N/A,FALSE,"P&amp;L Account 2001-2002"}</definedName>
    <definedName name="EXPORTSMAIL" localSheetId="6" hidden="1">{"VIEW1",#N/A,FALSE,"P&amp;L Account 2001-2002";"VIEW2",#N/A,FALSE,"P&amp;L Account 2001-2002";"VIEW3",#N/A,FALSE,"P&amp;L Account 2001-2002";"VIEW4",#N/A,FALSE,"P&amp;L Account 2001-2002"}</definedName>
    <definedName name="EXPORTSMAIL" hidden="1">{"VIEW1",#N/A,FALSE,"P&amp;L Account 2001-2002";"VIEW2",#N/A,FALSE,"P&amp;L Account 2001-2002";"VIEW3",#N/A,FALSE,"P&amp;L Account 2001-2002";"VIEW4",#N/A,FALSE,"P&amp;L Account 2001-2002"}</definedName>
    <definedName name="ExRate">#REF!</definedName>
    <definedName name="ExRate_Yr1" hidden="1">#REF!</definedName>
    <definedName name="ExRate_Yr2" hidden="1">#REF!</definedName>
    <definedName name="ExRate_Yr3" hidden="1">#REF!</definedName>
    <definedName name="ExRate_Yr4" hidden="1">#REF!</definedName>
    <definedName name="ExRate_Yr5" hidden="1">#REF!</definedName>
    <definedName name="ExRate_Yr6" hidden="1">#REF!</definedName>
    <definedName name="ExRate_Yr7" hidden="1">#REF!</definedName>
    <definedName name="ExRateLTM_Yr1" hidden="1">#REF!</definedName>
    <definedName name="ExRateLTM_Yr2" hidden="1">#REF!</definedName>
    <definedName name="ExRateLTM_Yr3" hidden="1">#REF!</definedName>
    <definedName name="external" localSheetId="0" hidden="1">{"Graphic",#N/A,TRUE,"Graphic"}</definedName>
    <definedName name="external" localSheetId="6" hidden="1">{"Graphic",#N/A,TRUE,"Graphic"}</definedName>
    <definedName name="external" hidden="1">{"Graphic",#N/A,TRUE,"Graphic"}</definedName>
    <definedName name="external_1" localSheetId="0" hidden="1">{"Graphic",#N/A,TRUE,"Graphic"}</definedName>
    <definedName name="external_1" localSheetId="6" hidden="1">{"Graphic",#N/A,TRUE,"Graphic"}</definedName>
    <definedName name="external_1" hidden="1">{"Graphic",#N/A,TRUE,"Graphic"}</definedName>
    <definedName name="EXTRA_ITEMS" hidden="1">"EXTRA_ITEMS"</definedName>
    <definedName name="Extra_Pay">#REF!</definedName>
    <definedName name="_xlnm.Extract">#REF!</definedName>
    <definedName name="Extrapayment">#REF!</definedName>
    <definedName name="ExtraPayments">#REF!</definedName>
    <definedName name="EY" localSheetId="0" hidden="1">{"vue1",#N/A,FALSE,"synthese";"vue2",#N/A,FALSE,"synthese"}</definedName>
    <definedName name="EY" localSheetId="6" hidden="1">{"vue1",#N/A,FALSE,"synthese";"vue2",#N/A,FALSE,"synthese"}</definedName>
    <definedName name="EY" hidden="1">{"vue1",#N/A,FALSE,"synthese";"vue2",#N/A,FALSE,"synthese"}</definedName>
    <definedName name="eyr" localSheetId="0" hidden="1">{"hiden",#N/A,FALSE,"14";"hidden",#N/A,FALSE,"16";"hidden",#N/A,FALSE,"18";"hidden",#N/A,FALSE,"20"}</definedName>
    <definedName name="eyr" localSheetId="6" hidden="1">{"hiden",#N/A,FALSE,"14";"hidden",#N/A,FALSE,"16";"hidden",#N/A,FALSE,"18";"hidden",#N/A,FALSE,"20"}</definedName>
    <definedName name="eyr" hidden="1">{"hiden",#N/A,FALSE,"14";"hidden",#N/A,FALSE,"16";"hidden",#N/A,FALSE,"18";"hidden",#N/A,FALSE,"20"}</definedName>
    <definedName name="ezaqs" localSheetId="6" hidden="1">{#N/A,#N/A,FALSE,"Eastern";#N/A,#N/A,FALSE,"Western"}</definedName>
    <definedName name="ezaqs" hidden="1">{#N/A,#N/A,FALSE,"Eastern";#N/A,#N/A,FALSE,"Western"}</definedName>
    <definedName name="ezcds" hidden="1">#REF!</definedName>
    <definedName name="ezrtezr" hidden="1">#REF!</definedName>
    <definedName name="ezrtrezt" hidden="1">#REF!</definedName>
    <definedName name="eztezrt" hidden="1">#REF!</definedName>
    <definedName name="f">#REF!</definedName>
    <definedName name="f.ffff" localSheetId="0" hidden="1">{#N/A,#N/A,FALSE,"Umsatz 99";#N/A,#N/A,FALSE,"ER 99 "}</definedName>
    <definedName name="f.ffff" localSheetId="6" hidden="1">{#N/A,#N/A,FALSE,"Umsatz 99";#N/A,#N/A,FALSE,"ER 99 "}</definedName>
    <definedName name="f.ffff" hidden="1">{#N/A,#N/A,FALSE,"Umsatz 99";#N/A,#N/A,FALSE,"ER 99 "}</definedName>
    <definedName name="f.ffff_1" localSheetId="0" hidden="1">{#N/A,#N/A,FALSE,"Umsatz 99";#N/A,#N/A,FALSE,"ER 99 "}</definedName>
    <definedName name="f.ffff_1" localSheetId="6" hidden="1">{#N/A,#N/A,FALSE,"Umsatz 99";#N/A,#N/A,FALSE,"ER 99 "}</definedName>
    <definedName name="f.ffff_1" hidden="1">{#N/A,#N/A,FALSE,"Umsatz 99";#N/A,#N/A,FALSE,"ER 99 "}</definedName>
    <definedName name="f.ffff_1_1" localSheetId="0" hidden="1">{#N/A,#N/A,FALSE,"Umsatz 99";#N/A,#N/A,FALSE,"ER 99 "}</definedName>
    <definedName name="f.ffff_1_1" localSheetId="6" hidden="1">{#N/A,#N/A,FALSE,"Umsatz 99";#N/A,#N/A,FALSE,"ER 99 "}</definedName>
    <definedName name="f.ffff_1_1" hidden="1">{#N/A,#N/A,FALSE,"Umsatz 99";#N/A,#N/A,FALSE,"ER 99 "}</definedName>
    <definedName name="f.ffff_2" localSheetId="0" hidden="1">{#N/A,#N/A,FALSE,"Umsatz 99";#N/A,#N/A,FALSE,"ER 99 "}</definedName>
    <definedName name="f.ffff_2" localSheetId="6" hidden="1">{#N/A,#N/A,FALSE,"Umsatz 99";#N/A,#N/A,FALSE,"ER 99 "}</definedName>
    <definedName name="f.ffff_2" hidden="1">{#N/A,#N/A,FALSE,"Umsatz 99";#N/A,#N/A,FALSE,"ER 99 "}</definedName>
    <definedName name="f.ffff_3" localSheetId="0" hidden="1">{#N/A,#N/A,FALSE,"Umsatz 99";#N/A,#N/A,FALSE,"ER 99 "}</definedName>
    <definedName name="f.ffff_3" localSheetId="6" hidden="1">{#N/A,#N/A,FALSE,"Umsatz 99";#N/A,#N/A,FALSE,"ER 99 "}</definedName>
    <definedName name="f.ffff_3" hidden="1">{#N/A,#N/A,FALSE,"Umsatz 99";#N/A,#N/A,FALSE,"ER 99 "}</definedName>
    <definedName name="f.ffff_4" localSheetId="0" hidden="1">{#N/A,#N/A,FALSE,"Umsatz 99";#N/A,#N/A,FALSE,"ER 99 "}</definedName>
    <definedName name="f.ffff_4" localSheetId="6" hidden="1">{#N/A,#N/A,FALSE,"Umsatz 99";#N/A,#N/A,FALSE,"ER 99 "}</definedName>
    <definedName name="f.ffff_4" hidden="1">{#N/A,#N/A,FALSE,"Umsatz 99";#N/A,#N/A,FALSE,"ER 99 "}</definedName>
    <definedName name="f.ffff_5" localSheetId="0" hidden="1">{#N/A,#N/A,FALSE,"Umsatz 99";#N/A,#N/A,FALSE,"ER 99 "}</definedName>
    <definedName name="f.ffff_5" localSheetId="6" hidden="1">{#N/A,#N/A,FALSE,"Umsatz 99";#N/A,#N/A,FALSE,"ER 99 "}</definedName>
    <definedName name="f.ffff_5" hidden="1">{#N/A,#N/A,FALSE,"Umsatz 99";#N/A,#N/A,FALSE,"ER 99 "}</definedName>
    <definedName name="f_1" localSheetId="6" hidden="1">{"ROCE Summ",#N/A,FALSE,"Property Management Exps"}</definedName>
    <definedName name="f_1" hidden="1">{"ROCE Summ",#N/A,FALSE,"Property Management Exps"}</definedName>
    <definedName name="f_1_1" localSheetId="6" hidden="1">{"ROCE Summ",#N/A,FALSE,"Property Management Exps"}</definedName>
    <definedName name="f_1_1" hidden="1">{"ROCE Summ",#N/A,FALSE,"Property Management Exps"}</definedName>
    <definedName name="f_1_1_1" localSheetId="6" hidden="1">{"ROCE Summ",#N/A,FALSE,"Property Management Exps"}</definedName>
    <definedName name="f_1_1_1" hidden="1">{"ROCE Summ",#N/A,FALSE,"Property Management Exps"}</definedName>
    <definedName name="f_1_1_1_1" localSheetId="6" hidden="1">{"ROCE Summ",#N/A,FALSE,"Property Management Exps"}</definedName>
    <definedName name="f_1_1_1_1" hidden="1">{"ROCE Summ",#N/A,FALSE,"Property Management Exps"}</definedName>
    <definedName name="f_1_1_2" localSheetId="6" hidden="1">{"ROCE Summ",#N/A,FALSE,"Property Management Exps"}</definedName>
    <definedName name="f_1_1_2" hidden="1">{"ROCE Summ",#N/A,FALSE,"Property Management Exps"}</definedName>
    <definedName name="f_1_1_2_1" localSheetId="6" hidden="1">{"ROCE Summ",#N/A,FALSE,"Property Management Exps"}</definedName>
    <definedName name="f_1_1_2_1" hidden="1">{"ROCE Summ",#N/A,FALSE,"Property Management Exps"}</definedName>
    <definedName name="f_1_1_3" localSheetId="6" hidden="1">{"ROCE Summ",#N/A,FALSE,"Property Management Exps"}</definedName>
    <definedName name="f_1_1_3" hidden="1">{"ROCE Summ",#N/A,FALSE,"Property Management Exps"}</definedName>
    <definedName name="f_1_2" localSheetId="6" hidden="1">{"ROCE Summ",#N/A,FALSE,"Property Management Exps"}</definedName>
    <definedName name="f_1_2" hidden="1">{"ROCE Summ",#N/A,FALSE,"Property Management Exps"}</definedName>
    <definedName name="f_1_2_1" localSheetId="6" hidden="1">{"ROCE Summ",#N/A,FALSE,"Property Management Exps"}</definedName>
    <definedName name="f_1_2_1" hidden="1">{"ROCE Summ",#N/A,FALSE,"Property Management Exps"}</definedName>
    <definedName name="f_1_2_1_1" localSheetId="6" hidden="1">{"ROCE Summ",#N/A,FALSE,"Property Management Exps"}</definedName>
    <definedName name="f_1_2_1_1" hidden="1">{"ROCE Summ",#N/A,FALSE,"Property Management Exps"}</definedName>
    <definedName name="f_1_2_2" localSheetId="6" hidden="1">{"ROCE Summ",#N/A,FALSE,"Property Management Exps"}</definedName>
    <definedName name="f_1_2_2" hidden="1">{"ROCE Summ",#N/A,FALSE,"Property Management Exps"}</definedName>
    <definedName name="f_1_3" localSheetId="6" hidden="1">{"ROCE Summ",#N/A,FALSE,"Property Management Exps"}</definedName>
    <definedName name="f_1_3" hidden="1">{"ROCE Summ",#N/A,FALSE,"Property Management Exps"}</definedName>
    <definedName name="f_1_3_1" localSheetId="6" hidden="1">{"ROCE Summ",#N/A,FALSE,"Property Management Exps"}</definedName>
    <definedName name="f_1_3_1" hidden="1">{"ROCE Summ",#N/A,FALSE,"Property Management Exps"}</definedName>
    <definedName name="f_1_4" localSheetId="6" hidden="1">{"ROCE Summ",#N/A,FALSE,"Property Management Exps"}</definedName>
    <definedName name="f_1_4" hidden="1">{"ROCE Summ",#N/A,FALSE,"Property Management Exps"}</definedName>
    <definedName name="f_2" localSheetId="6" hidden="1">{"ROCE Summ",#N/A,FALSE,"Property Management Exps"}</definedName>
    <definedName name="f_2" hidden="1">{"ROCE Summ",#N/A,FALSE,"Property Management Exps"}</definedName>
    <definedName name="f_2_1" localSheetId="6" hidden="1">{"ROCE Summ",#N/A,FALSE,"Property Management Exps"}</definedName>
    <definedName name="f_2_1" hidden="1">{"ROCE Summ",#N/A,FALSE,"Property Management Exps"}</definedName>
    <definedName name="f_2_1_1" localSheetId="6" hidden="1">{"ROCE Summ",#N/A,FALSE,"Property Management Exps"}</definedName>
    <definedName name="f_2_1_1" hidden="1">{"ROCE Summ",#N/A,FALSE,"Property Management Exps"}</definedName>
    <definedName name="f_2_1_1_1" localSheetId="6" hidden="1">{"ROCE Summ",#N/A,FALSE,"Property Management Exps"}</definedName>
    <definedName name="f_2_1_1_1" hidden="1">{"ROCE Summ",#N/A,FALSE,"Property Management Exps"}</definedName>
    <definedName name="f_2_1_2" localSheetId="6" hidden="1">{"ROCE Summ",#N/A,FALSE,"Property Management Exps"}</definedName>
    <definedName name="f_2_1_2" hidden="1">{"ROCE Summ",#N/A,FALSE,"Property Management Exps"}</definedName>
    <definedName name="f_2_1_2_1" localSheetId="6" hidden="1">{"ROCE Summ",#N/A,FALSE,"Property Management Exps"}</definedName>
    <definedName name="f_2_1_2_1" hidden="1">{"ROCE Summ",#N/A,FALSE,"Property Management Exps"}</definedName>
    <definedName name="f_2_1_3" localSheetId="6" hidden="1">{"ROCE Summ",#N/A,FALSE,"Property Management Exps"}</definedName>
    <definedName name="f_2_1_3" hidden="1">{"ROCE Summ",#N/A,FALSE,"Property Management Exps"}</definedName>
    <definedName name="f_2_2" localSheetId="6" hidden="1">{"ROCE Summ",#N/A,FALSE,"Property Management Exps"}</definedName>
    <definedName name="f_2_2" hidden="1">{"ROCE Summ",#N/A,FALSE,"Property Management Exps"}</definedName>
    <definedName name="f_2_2_1" localSheetId="6" hidden="1">{"ROCE Summ",#N/A,FALSE,"Property Management Exps"}</definedName>
    <definedName name="f_2_2_1" hidden="1">{"ROCE Summ",#N/A,FALSE,"Property Management Exps"}</definedName>
    <definedName name="f_2_2_1_1" localSheetId="6" hidden="1">{"ROCE Summ",#N/A,FALSE,"Property Management Exps"}</definedName>
    <definedName name="f_2_2_1_1" hidden="1">{"ROCE Summ",#N/A,FALSE,"Property Management Exps"}</definedName>
    <definedName name="f_2_2_2" localSheetId="6" hidden="1">{"ROCE Summ",#N/A,FALSE,"Property Management Exps"}</definedName>
    <definedName name="f_2_2_2" hidden="1">{"ROCE Summ",#N/A,FALSE,"Property Management Exps"}</definedName>
    <definedName name="f_2_3" localSheetId="6" hidden="1">{"ROCE Summ",#N/A,FALSE,"Property Management Exps"}</definedName>
    <definedName name="f_2_3" hidden="1">{"ROCE Summ",#N/A,FALSE,"Property Management Exps"}</definedName>
    <definedName name="f_2_3_1" localSheetId="6" hidden="1">{"ROCE Summ",#N/A,FALSE,"Property Management Exps"}</definedName>
    <definedName name="f_2_3_1" hidden="1">{"ROCE Summ",#N/A,FALSE,"Property Management Exps"}</definedName>
    <definedName name="f_2_4" localSheetId="6" hidden="1">{"ROCE Summ",#N/A,FALSE,"Property Management Exps"}</definedName>
    <definedName name="f_2_4" hidden="1">{"ROCE Summ",#N/A,FALSE,"Property Management Exps"}</definedName>
    <definedName name="f_3" localSheetId="6" hidden="1">{"ROCE Summ",#N/A,FALSE,"Property Management Exps"}</definedName>
    <definedName name="f_3" hidden="1">{"ROCE Summ",#N/A,FALSE,"Property Management Exps"}</definedName>
    <definedName name="f_3_1" localSheetId="6" hidden="1">{"ROCE Summ",#N/A,FALSE,"Property Management Exps"}</definedName>
    <definedName name="f_3_1" hidden="1">{"ROCE Summ",#N/A,FALSE,"Property Management Exps"}</definedName>
    <definedName name="f_3_1_1" localSheetId="6" hidden="1">{"ROCE Summ",#N/A,FALSE,"Property Management Exps"}</definedName>
    <definedName name="f_3_1_1" hidden="1">{"ROCE Summ",#N/A,FALSE,"Property Management Exps"}</definedName>
    <definedName name="f_3_1_1_1" localSheetId="6" hidden="1">{"ROCE Summ",#N/A,FALSE,"Property Management Exps"}</definedName>
    <definedName name="f_3_1_1_1" hidden="1">{"ROCE Summ",#N/A,FALSE,"Property Management Exps"}</definedName>
    <definedName name="f_3_1_2" localSheetId="6" hidden="1">{"ROCE Summ",#N/A,FALSE,"Property Management Exps"}</definedName>
    <definedName name="f_3_1_2" hidden="1">{"ROCE Summ",#N/A,FALSE,"Property Management Exps"}</definedName>
    <definedName name="f_3_1_2_1" localSheetId="6" hidden="1">{"ROCE Summ",#N/A,FALSE,"Property Management Exps"}</definedName>
    <definedName name="f_3_1_2_1" hidden="1">{"ROCE Summ",#N/A,FALSE,"Property Management Exps"}</definedName>
    <definedName name="f_3_1_3" localSheetId="6" hidden="1">{"ROCE Summ",#N/A,FALSE,"Property Management Exps"}</definedName>
    <definedName name="f_3_1_3" hidden="1">{"ROCE Summ",#N/A,FALSE,"Property Management Exps"}</definedName>
    <definedName name="f_3_2" localSheetId="6" hidden="1">{"ROCE Summ",#N/A,FALSE,"Property Management Exps"}</definedName>
    <definedName name="f_3_2" hidden="1">{"ROCE Summ",#N/A,FALSE,"Property Management Exps"}</definedName>
    <definedName name="f_3_2_1" localSheetId="6" hidden="1">{"ROCE Summ",#N/A,FALSE,"Property Management Exps"}</definedName>
    <definedName name="f_3_2_1" hidden="1">{"ROCE Summ",#N/A,FALSE,"Property Management Exps"}</definedName>
    <definedName name="f_3_2_1_1" localSheetId="6" hidden="1">{"ROCE Summ",#N/A,FALSE,"Property Management Exps"}</definedName>
    <definedName name="f_3_2_1_1" hidden="1">{"ROCE Summ",#N/A,FALSE,"Property Management Exps"}</definedName>
    <definedName name="f_3_2_2" localSheetId="6" hidden="1">{"ROCE Summ",#N/A,FALSE,"Property Management Exps"}</definedName>
    <definedName name="f_3_2_2" hidden="1">{"ROCE Summ",#N/A,FALSE,"Property Management Exps"}</definedName>
    <definedName name="f_3_3" localSheetId="6" hidden="1">{"ROCE Summ",#N/A,FALSE,"Property Management Exps"}</definedName>
    <definedName name="f_3_3" hidden="1">{"ROCE Summ",#N/A,FALSE,"Property Management Exps"}</definedName>
    <definedName name="f_3_3_1" localSheetId="6" hidden="1">{"ROCE Summ",#N/A,FALSE,"Property Management Exps"}</definedName>
    <definedName name="f_3_3_1" hidden="1">{"ROCE Summ",#N/A,FALSE,"Property Management Exps"}</definedName>
    <definedName name="f_3_4" localSheetId="6" hidden="1">{"ROCE Summ",#N/A,FALSE,"Property Management Exps"}</definedName>
    <definedName name="f_3_4" hidden="1">{"ROCE Summ",#N/A,FALSE,"Property Management Exps"}</definedName>
    <definedName name="f_4" localSheetId="6" hidden="1">{"ROCE Summ",#N/A,FALSE,"Property Management Exps"}</definedName>
    <definedName name="f_4" hidden="1">{"ROCE Summ",#N/A,FALSE,"Property Management Exps"}</definedName>
    <definedName name="f_4_1" localSheetId="6" hidden="1">{"ROCE Summ",#N/A,FALSE,"Property Management Exps"}</definedName>
    <definedName name="f_4_1" hidden="1">{"ROCE Summ",#N/A,FALSE,"Property Management Exps"}</definedName>
    <definedName name="f_4_1_1" localSheetId="6" hidden="1">{"ROCE Summ",#N/A,FALSE,"Property Management Exps"}</definedName>
    <definedName name="f_4_1_1" hidden="1">{"ROCE Summ",#N/A,FALSE,"Property Management Exps"}</definedName>
    <definedName name="f_4_1_1_1" localSheetId="6" hidden="1">{"ROCE Summ",#N/A,FALSE,"Property Management Exps"}</definedName>
    <definedName name="f_4_1_1_1" hidden="1">{"ROCE Summ",#N/A,FALSE,"Property Management Exps"}</definedName>
    <definedName name="f_4_1_2" localSheetId="6" hidden="1">{"ROCE Summ",#N/A,FALSE,"Property Management Exps"}</definedName>
    <definedName name="f_4_1_2" hidden="1">{"ROCE Summ",#N/A,FALSE,"Property Management Exps"}</definedName>
    <definedName name="f_4_1_2_1" localSheetId="6" hidden="1">{"ROCE Summ",#N/A,FALSE,"Property Management Exps"}</definedName>
    <definedName name="f_4_1_2_1" hidden="1">{"ROCE Summ",#N/A,FALSE,"Property Management Exps"}</definedName>
    <definedName name="f_4_1_3" localSheetId="6" hidden="1">{"ROCE Summ",#N/A,FALSE,"Property Management Exps"}</definedName>
    <definedName name="f_4_1_3" hidden="1">{"ROCE Summ",#N/A,FALSE,"Property Management Exps"}</definedName>
    <definedName name="f_4_2" localSheetId="6" hidden="1">{"ROCE Summ",#N/A,FALSE,"Property Management Exps"}</definedName>
    <definedName name="f_4_2" hidden="1">{"ROCE Summ",#N/A,FALSE,"Property Management Exps"}</definedName>
    <definedName name="f_4_2_1" localSheetId="6" hidden="1">{"ROCE Summ",#N/A,FALSE,"Property Management Exps"}</definedName>
    <definedName name="f_4_2_1" hidden="1">{"ROCE Summ",#N/A,FALSE,"Property Management Exps"}</definedName>
    <definedName name="f_4_2_1_1" localSheetId="6" hidden="1">{"ROCE Summ",#N/A,FALSE,"Property Management Exps"}</definedName>
    <definedName name="f_4_2_1_1" hidden="1">{"ROCE Summ",#N/A,FALSE,"Property Management Exps"}</definedName>
    <definedName name="f_4_2_2" localSheetId="6" hidden="1">{"ROCE Summ",#N/A,FALSE,"Property Management Exps"}</definedName>
    <definedName name="f_4_2_2" hidden="1">{"ROCE Summ",#N/A,FALSE,"Property Management Exps"}</definedName>
    <definedName name="f_4_3" localSheetId="6" hidden="1">{"ROCE Summ",#N/A,FALSE,"Property Management Exps"}</definedName>
    <definedName name="f_4_3" hidden="1">{"ROCE Summ",#N/A,FALSE,"Property Management Exps"}</definedName>
    <definedName name="f_4_3_1" localSheetId="6" hidden="1">{"ROCE Summ",#N/A,FALSE,"Property Management Exps"}</definedName>
    <definedName name="f_4_3_1" hidden="1">{"ROCE Summ",#N/A,FALSE,"Property Management Exps"}</definedName>
    <definedName name="f_4_4" localSheetId="6" hidden="1">{"ROCE Summ",#N/A,FALSE,"Property Management Exps"}</definedName>
    <definedName name="f_4_4" hidden="1">{"ROCE Summ",#N/A,FALSE,"Property Management Exps"}</definedName>
    <definedName name="f_5" localSheetId="6" hidden="1">{"ROCE Summ",#N/A,FALSE,"Property Management Exps"}</definedName>
    <definedName name="f_5" hidden="1">{"ROCE Summ",#N/A,FALSE,"Property Management Exps"}</definedName>
    <definedName name="f_5_1" localSheetId="6" hidden="1">{"ROCE Summ",#N/A,FALSE,"Property Management Exps"}</definedName>
    <definedName name="f_5_1" hidden="1">{"ROCE Summ",#N/A,FALSE,"Property Management Exps"}</definedName>
    <definedName name="f_5_1_1" localSheetId="6" hidden="1">{"ROCE Summ",#N/A,FALSE,"Property Management Exps"}</definedName>
    <definedName name="f_5_1_1" hidden="1">{"ROCE Summ",#N/A,FALSE,"Property Management Exps"}</definedName>
    <definedName name="f_5_1_1_1" localSheetId="6" hidden="1">{"ROCE Summ",#N/A,FALSE,"Property Management Exps"}</definedName>
    <definedName name="f_5_1_1_1" hidden="1">{"ROCE Summ",#N/A,FALSE,"Property Management Exps"}</definedName>
    <definedName name="f_5_1_2" localSheetId="6" hidden="1">{"ROCE Summ",#N/A,FALSE,"Property Management Exps"}</definedName>
    <definedName name="f_5_1_2" hidden="1">{"ROCE Summ",#N/A,FALSE,"Property Management Exps"}</definedName>
    <definedName name="f_5_1_2_1" localSheetId="6" hidden="1">{"ROCE Summ",#N/A,FALSE,"Property Management Exps"}</definedName>
    <definedName name="f_5_1_2_1" hidden="1">{"ROCE Summ",#N/A,FALSE,"Property Management Exps"}</definedName>
    <definedName name="f_5_1_3" localSheetId="6" hidden="1">{"ROCE Summ",#N/A,FALSE,"Property Management Exps"}</definedName>
    <definedName name="f_5_1_3" hidden="1">{"ROCE Summ",#N/A,FALSE,"Property Management Exps"}</definedName>
    <definedName name="f_5_2" localSheetId="6" hidden="1">{"ROCE Summ",#N/A,FALSE,"Property Management Exps"}</definedName>
    <definedName name="f_5_2" hidden="1">{"ROCE Summ",#N/A,FALSE,"Property Management Exps"}</definedName>
    <definedName name="f_5_2_1" localSheetId="6" hidden="1">{"ROCE Summ",#N/A,FALSE,"Property Management Exps"}</definedName>
    <definedName name="f_5_2_1" hidden="1">{"ROCE Summ",#N/A,FALSE,"Property Management Exps"}</definedName>
    <definedName name="f_5_2_1_1" localSheetId="6" hidden="1">{"ROCE Summ",#N/A,FALSE,"Property Management Exps"}</definedName>
    <definedName name="f_5_2_1_1" hidden="1">{"ROCE Summ",#N/A,FALSE,"Property Management Exps"}</definedName>
    <definedName name="f_5_2_2" localSheetId="6" hidden="1">{"ROCE Summ",#N/A,FALSE,"Property Management Exps"}</definedName>
    <definedName name="f_5_2_2" hidden="1">{"ROCE Summ",#N/A,FALSE,"Property Management Exps"}</definedName>
    <definedName name="f_5_3" localSheetId="6" hidden="1">{"ROCE Summ",#N/A,FALSE,"Property Management Exps"}</definedName>
    <definedName name="f_5_3" hidden="1">{"ROCE Summ",#N/A,FALSE,"Property Management Exps"}</definedName>
    <definedName name="f_5_3_1" localSheetId="6" hidden="1">{"ROCE Summ",#N/A,FALSE,"Property Management Exps"}</definedName>
    <definedName name="f_5_3_1" hidden="1">{"ROCE Summ",#N/A,FALSE,"Property Management Exps"}</definedName>
    <definedName name="f_5_4" localSheetId="6" hidden="1">{"ROCE Summ",#N/A,FALSE,"Property Management Exps"}</definedName>
    <definedName name="f_5_4" hidden="1">{"ROCE Summ",#N/A,FALSE,"Property Management Exps"}</definedName>
    <definedName name="FA">#REF!</definedName>
    <definedName name="faa"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a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actpb" hidden="1">#REF!</definedName>
    <definedName name="Factpb2" hidden="1">#REF!</definedName>
    <definedName name="fadfadsf" localSheetId="0" hidden="1">{#N/A,#N/A,FALSE,"PROFIT 11-95"}</definedName>
    <definedName name="fadfadsf" localSheetId="6" hidden="1">{#N/A,#N/A,FALSE,"PROFIT 11-95"}</definedName>
    <definedName name="fadfadsf" hidden="1">{#N/A,#N/A,FALSE,"PROFIT 11-95"}</definedName>
    <definedName name="fag" hidden="1">#REF!</definedName>
    <definedName name="FairValue">#REF!</definedName>
    <definedName name="fap">#REF!</definedName>
    <definedName name="FAPL" hidden="1">#REF!</definedName>
    <definedName name="FArukh" localSheetId="0" hidden="1">{#N/A,#N/A,TRUE,"Cover";#N/A,#N/A,TRUE,"Sum";#N/A,#N/A,TRUE,"SubsRev";#N/A,#N/A,TRUE,"CapEx";#N/A,#N/A,TRUE,"OpEx";#N/A,#N/A,TRUE,"SUs";#N/A,#N/A,TRUE,"OrgChart";#N/A,#N/A,TRUE,"Staff";#N/A,#N/A,TRUE,"P&amp;L";#N/A,#N/A,TRUE,"Cash";#N/A,#N/A,TRUE,"BS";#N/A,#N/A,TRUE,"Valuation";#N/A,#N/A,TRUE,"CapEx-Assumptions";#N/A,#N/A,TRUE,"OpEx-Assumptions"}</definedName>
    <definedName name="FArukh" localSheetId="6" hidden="1">{#N/A,#N/A,TRUE,"Cover";#N/A,#N/A,TRUE,"Sum";#N/A,#N/A,TRUE,"SubsRev";#N/A,#N/A,TRUE,"CapEx";#N/A,#N/A,TRUE,"OpEx";#N/A,#N/A,TRUE,"SUs";#N/A,#N/A,TRUE,"OrgChart";#N/A,#N/A,TRUE,"Staff";#N/A,#N/A,TRUE,"P&amp;L";#N/A,#N/A,TRUE,"Cash";#N/A,#N/A,TRUE,"BS";#N/A,#N/A,TRUE,"Valuation";#N/A,#N/A,TRUE,"CapEx-Assumptions";#N/A,#N/A,TRUE,"OpEx-Assumptions"}</definedName>
    <definedName name="FArukh" hidden="1">{#N/A,#N/A,TRUE,"Cover";#N/A,#N/A,TRUE,"Sum";#N/A,#N/A,TRUE,"SubsRev";#N/A,#N/A,TRUE,"CapEx";#N/A,#N/A,TRUE,"OpEx";#N/A,#N/A,TRUE,"SUs";#N/A,#N/A,TRUE,"OrgChart";#N/A,#N/A,TRUE,"Staff";#N/A,#N/A,TRUE,"P&amp;L";#N/A,#N/A,TRUE,"Cash";#N/A,#N/A,TRUE,"BS";#N/A,#N/A,TRUE,"Valuation";#N/A,#N/A,TRUE,"CapEx-Assumptions";#N/A,#N/A,TRUE,"OpEx-Assumptions"}</definedName>
    <definedName name="Fasanotti" localSheetId="0" hidden="1">{#N/A,#N/A,TRUE,"Main Issues";#N/A,#N/A,TRUE,"Income statement ($)"}</definedName>
    <definedName name="Fasanotti" localSheetId="6" hidden="1">{#N/A,#N/A,TRUE,"Main Issues";#N/A,#N/A,TRUE,"Income statement ($)"}</definedName>
    <definedName name="Fasanotti" hidden="1">{#N/A,#N/A,TRUE,"Main Issues";#N/A,#N/A,TRUE,"Income statement ($)"}</definedName>
    <definedName name="fasdfs" localSheetId="6" hidden="1">{#N/A,#N/A,FALSE,"Aging Summary";#N/A,#N/A,FALSE,"Ratio Analysis";#N/A,#N/A,FALSE,"Test 120 Day Accts";#N/A,#N/A,FALSE,"Tickmarks"}</definedName>
    <definedName name="fasdfs" hidden="1">{#N/A,#N/A,FALSE,"Aging Summary";#N/A,#N/A,FALSE,"Ratio Analysis";#N/A,#N/A,FALSE,"Test 120 Day Accts";#N/A,#N/A,FALSE,"Tickmarks"}</definedName>
    <definedName name="FAX" hidden="1">#REF!</definedName>
    <definedName name="FAX３" hidden="1">255</definedName>
    <definedName name="fbf" localSheetId="6" hidden="1">{#N/A,#N/A,FALSE,"Calculator"}</definedName>
    <definedName name="fbf" hidden="1">{#N/A,#N/A,FALSE,"Calculator"}</definedName>
    <definedName name="fbf_1" localSheetId="6" hidden="1">{#N/A,#N/A,FALSE,"Calculator"}</definedName>
    <definedName name="fbf_1" hidden="1">{#N/A,#N/A,FALSE,"Calculator"}</definedName>
    <definedName name="fbfd" localSheetId="6" hidden="1">{#N/A,#N/A,FALSE,"BE";#N/A,#N/A,FALSE,"Bia";#N/A,#N/A,FALSE,"By";#N/A,#N/A,FALSE,"Bor";#N/A,#N/A,FALSE,"Gab";#N/A,#N/A,FALSE,"Gar";#N/A,#N/A,FALSE,"Lov";#N/A,#N/A,FALSE,"SJ";#N/A,#N/A,FALSE,"SM";#N/A,#N/A,FALSE,"Wb";#N/A,#N/A,FALSE,"Yok"}</definedName>
    <definedName name="fbfd" hidden="1">{#N/A,#N/A,FALSE,"BE";#N/A,#N/A,FALSE,"Bia";#N/A,#N/A,FALSE,"By";#N/A,#N/A,FALSE,"Bor";#N/A,#N/A,FALSE,"Gab";#N/A,#N/A,FALSE,"Gar";#N/A,#N/A,FALSE,"Lov";#N/A,#N/A,FALSE,"SJ";#N/A,#N/A,FALSE,"SM";#N/A,#N/A,FALSE,"Wb";#N/A,#N/A,FALSE,"Yok"}</definedName>
    <definedName name="fbndgbn"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fbndgbn"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fbndgbn" hidden="1">{#N/A,#N/A,TRUE,"COVER2";#N/A,#N/A,TRUE,"AGENDA";#N/A,#N/A,TRUE,"Cover";#N/A,#N/A,TRUE,"4M";#N/A,#N/A,TRUE,"FLP&amp;L4M";#N/A,#N/A,TRUE,"4MMC";#N/A,#N/A,TRUE,"Shp4M";#N/A,#N/A,TRUE,"M5";#N/A,#N/A,TRUE,"Q2";#N/A,#N/A,TRUE,"Q1vsQ2";#N/A,#N/A,TRUE,"M6";#N/A,#N/A,TRUE,"TY";#N/A,#N/A,TRUE,"FLP&amp;LTY";#N/A,#N/A,TRUE,"TYMC";#N/A,#N/A,TRUE,"ShpTY";#N/A,#N/A,TRUE,"8M";#N/A,#N/A,TRUE,"FLP&amp;L8M";#N/A,#N/A,TRUE,"8MMC";#N/A,#N/A,TRUE,"Shp8M"}</definedName>
    <definedName name="fcb" localSheetId="0" hidden="1">{"FCB_ALL",#N/A,FALSE,"FCB"}</definedName>
    <definedName name="fcb" localSheetId="6" hidden="1">{"FCB_ALL",#N/A,FALSE,"FCB"}</definedName>
    <definedName name="fcb" hidden="1">{"FCB_ALL",#N/A,FALSE,"FCB"}</definedName>
    <definedName name="fcfv" hidden="1">255</definedName>
    <definedName name="FCHHH" localSheetId="6" hidden="1">{#N/A,#N/A,TRUE,"HCA";#N/A,#N/A,TRUE,"Tax";#N/A,#N/A,TRUE,"Losses and ACT";#N/A,#N/A,TRUE,"Divis";#N/A,#N/A,TRUE,"Reserves";#N/A,#N/A,TRUE,"Enhancement data"}</definedName>
    <definedName name="FCHHH" hidden="1">{#N/A,#N/A,TRUE,"HCA";#N/A,#N/A,TRUE,"Tax";#N/A,#N/A,TRUE,"Losses and ACT";#N/A,#N/A,TRUE,"Divis";#N/A,#N/A,TRUE,"Reserves";#N/A,#N/A,TRUE,"Enhancement data"}</definedName>
    <definedName name="FCode" hidden="1">#REF!</definedName>
    <definedName name="FCST" localSheetId="0" hidden="1">{"Graphic",#N/A,TRUE,"Graphic"}</definedName>
    <definedName name="FCST" localSheetId="6" hidden="1">{"Graphic",#N/A,TRUE,"Graphic"}</definedName>
    <definedName name="FCST" hidden="1">{"Graphic",#N/A,TRUE,"Graphic"}</definedName>
    <definedName name="FCST_1" localSheetId="0" hidden="1">{"Graphic",#N/A,TRUE,"Graphic"}</definedName>
    <definedName name="FCST_1" localSheetId="6" hidden="1">{"Graphic",#N/A,TRUE,"Graphic"}</definedName>
    <definedName name="FCST_1" hidden="1">{"Graphic",#N/A,TRUE,"Graphic"}</definedName>
    <definedName name="fd" localSheetId="0" hidden="1">{"equity comps",#N/A,FALSE,"CS Comps";"equity comps",#N/A,FALSE,"PS Comps";"equity comps",#N/A,FALSE,"GIC_Comps";"equity comps",#N/A,FALSE,"GIC2_Comps";"debt comps",#N/A,FALSE,"CS Comps";"debt comps",#N/A,FALSE,"PS Comps";"debt comps",#N/A,FALSE,"GIC_Comps";"debt comps",#N/A,FALSE,"GIC2_Comps"}</definedName>
    <definedName name="fd" localSheetId="6" hidden="1">{"equity comps",#N/A,FALSE,"CS Comps";"equity comps",#N/A,FALSE,"PS Comps";"equity comps",#N/A,FALSE,"GIC_Comps";"equity comps",#N/A,FALSE,"GIC2_Comps";"debt comps",#N/A,FALSE,"CS Comps";"debt comps",#N/A,FALSE,"PS Comps";"debt comps",#N/A,FALSE,"GIC_Comps";"debt comps",#N/A,FALSE,"GIC2_Comps"}</definedName>
    <definedName name="fd" hidden="1">{"equity comps",#N/A,FALSE,"CS Comps";"equity comps",#N/A,FALSE,"PS Comps";"equity comps",#N/A,FALSE,"GIC_Comps";"equity comps",#N/A,FALSE,"GIC2_Comps";"debt comps",#N/A,FALSE,"CS Comps";"debt comps",#N/A,FALSE,"PS Comps";"debt comps",#N/A,FALSE,"GIC_Comps";"debt comps",#N/A,FALSE,"GIC2_Comps"}</definedName>
    <definedName name="fdas" localSheetId="6" hidden="1">{"IS",#N/A,FALSE,"IS";"RPTIS",#N/A,FALSE,"RPTIS";"STATS",#N/A,FALSE,"STATS";"CELL",#N/A,FALSE,"CELL";"BS",#N/A,FALSE,"BS"}</definedName>
    <definedName name="fdas" hidden="1">{"IS",#N/A,FALSE,"IS";"RPTIS",#N/A,FALSE,"RPTIS";"STATS",#N/A,FALSE,"STATS";"CELL",#N/A,FALSE,"CELL";"BS",#N/A,FALSE,"BS"}</definedName>
    <definedName name="fdbbbdbfdf" localSheetId="0" hidden="1">{#N/A,#N/A,FALSE,"Assessment";#N/A,#N/A,FALSE,"Staffing";#N/A,#N/A,FALSE,"Hires";#N/A,#N/A,FALSE,"Assumptions"}</definedName>
    <definedName name="fdbbbdbfdf" localSheetId="6" hidden="1">{#N/A,#N/A,FALSE,"Assessment";#N/A,#N/A,FALSE,"Staffing";#N/A,#N/A,FALSE,"Hires";#N/A,#N/A,FALSE,"Assumptions"}</definedName>
    <definedName name="fdbbbdbfdf" hidden="1">{#N/A,#N/A,FALSE,"Assessment";#N/A,#N/A,FALSE,"Staffing";#N/A,#N/A,FALSE,"Hires";#N/A,#N/A,FALSE,"Assumptions"}</definedName>
    <definedName name="fdbbbdbfdf_1" localSheetId="0" hidden="1">{#N/A,#N/A,FALSE,"Assessment";#N/A,#N/A,FALSE,"Staffing";#N/A,#N/A,FALSE,"Hires";#N/A,#N/A,FALSE,"Assumptions"}</definedName>
    <definedName name="fdbbbdbfdf_1" localSheetId="6" hidden="1">{#N/A,#N/A,FALSE,"Assessment";#N/A,#N/A,FALSE,"Staffing";#N/A,#N/A,FALSE,"Hires";#N/A,#N/A,FALSE,"Assumptions"}</definedName>
    <definedName name="fdbbbdbfdf_1" hidden="1">{#N/A,#N/A,FALSE,"Assessment";#N/A,#N/A,FALSE,"Staffing";#N/A,#N/A,FALSE,"Hires";#N/A,#N/A,FALSE,"Assumptions"}</definedName>
    <definedName name="fdbdfb"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fdbdfb"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fdbfdfdbfd" localSheetId="0" hidden="1">{#N/A,#N/A,FALSE,"Assessment";#N/A,#N/A,FALSE,"Staffing";#N/A,#N/A,FALSE,"Hires";#N/A,#N/A,FALSE,"Assumptions"}</definedName>
    <definedName name="fdbfdfdbfd" localSheetId="6" hidden="1">{#N/A,#N/A,FALSE,"Assessment";#N/A,#N/A,FALSE,"Staffing";#N/A,#N/A,FALSE,"Hires";#N/A,#N/A,FALSE,"Assumptions"}</definedName>
    <definedName name="fdbfdfdbfd" hidden="1">{#N/A,#N/A,FALSE,"Assessment";#N/A,#N/A,FALSE,"Staffing";#N/A,#N/A,FALSE,"Hires";#N/A,#N/A,FALSE,"Assumptions"}</definedName>
    <definedName name="fdbfdfdbfd_1" localSheetId="0" hidden="1">{#N/A,#N/A,FALSE,"Assessment";#N/A,#N/A,FALSE,"Staffing";#N/A,#N/A,FALSE,"Hires";#N/A,#N/A,FALSE,"Assumptions"}</definedName>
    <definedName name="fdbfdfdbfd_1" localSheetId="6" hidden="1">{#N/A,#N/A,FALSE,"Assessment";#N/A,#N/A,FALSE,"Staffing";#N/A,#N/A,FALSE,"Hires";#N/A,#N/A,FALSE,"Assumptions"}</definedName>
    <definedName name="fdbfdfdbfd_1" hidden="1">{#N/A,#N/A,FALSE,"Assessment";#N/A,#N/A,FALSE,"Staffing";#N/A,#N/A,FALSE,"Hires";#N/A,#N/A,FALSE,"Assumptions"}</definedName>
    <definedName name="FDC_0_0" hidden="1">"#"</definedName>
    <definedName name="FDC_0_1" hidden="1">"#"</definedName>
    <definedName name="FDC_0_10" hidden="1">"#"</definedName>
    <definedName name="FDC_0_11" hidden="1">"#"</definedName>
    <definedName name="FDC_0_12" hidden="1">"#"</definedName>
    <definedName name="FDC_0_13" hidden="1">"#"</definedName>
    <definedName name="FDC_0_14" hidden="1">"#"</definedName>
    <definedName name="FDC_0_2" hidden="1">"#"</definedName>
    <definedName name="FDC_0_3" hidden="1">"#"</definedName>
    <definedName name="FDC_0_4" hidden="1">"#"</definedName>
    <definedName name="FDC_0_5" hidden="1">"#"</definedName>
    <definedName name="FDC_0_6" hidden="1">"#"</definedName>
    <definedName name="FDC_0_7" hidden="1">"#"</definedName>
    <definedName name="FDC_0_8" hidden="1">"#"</definedName>
    <definedName name="FDC_0_9" hidden="1">"#"</definedName>
    <definedName name="FDC_1_0" hidden="1">"#"</definedName>
    <definedName name="FDC_10_0" hidden="1">"#"</definedName>
    <definedName name="FDC_10_1" hidden="1">"#"</definedName>
    <definedName name="FDC_10_2" hidden="1">"#"</definedName>
    <definedName name="FDC_10_3" hidden="1">"#"</definedName>
    <definedName name="FDC_100_0" hidden="1">"#"</definedName>
    <definedName name="FDC_100_1" hidden="1">"#"</definedName>
    <definedName name="FDC_100_10" hidden="1">"#"</definedName>
    <definedName name="FDC_100_11" hidden="1">"#"</definedName>
    <definedName name="FDC_100_12" hidden="1">"#"</definedName>
    <definedName name="FDC_100_13" hidden="1">"#"</definedName>
    <definedName name="FDC_100_2" hidden="1">"#"</definedName>
    <definedName name="FDC_100_3" hidden="1">"#"</definedName>
    <definedName name="FDC_100_4" hidden="1">"#"</definedName>
    <definedName name="FDC_100_5" hidden="1">"#"</definedName>
    <definedName name="FDC_100_6" hidden="1">"#"</definedName>
    <definedName name="FDC_100_7" hidden="1">"#"</definedName>
    <definedName name="FDC_100_8" hidden="1">"#"</definedName>
    <definedName name="FDC_100_9" hidden="1">"#"</definedName>
    <definedName name="FDC_101_0" hidden="1">"#"</definedName>
    <definedName name="FDC_101_1" hidden="1">"#"</definedName>
    <definedName name="FDC_101_10" hidden="1">"#"</definedName>
    <definedName name="FDC_101_11" hidden="1">"#"</definedName>
    <definedName name="FDC_101_12" hidden="1">"#"</definedName>
    <definedName name="FDC_101_13" hidden="1">"#"</definedName>
    <definedName name="FDC_101_2" hidden="1">"#"</definedName>
    <definedName name="FDC_101_3" hidden="1">"#"</definedName>
    <definedName name="FDC_101_4" hidden="1">"#"</definedName>
    <definedName name="FDC_101_5" hidden="1">"#"</definedName>
    <definedName name="FDC_101_6" hidden="1">"#"</definedName>
    <definedName name="FDC_101_7" hidden="1">"#"</definedName>
    <definedName name="FDC_101_8" hidden="1">"#"</definedName>
    <definedName name="FDC_101_9" hidden="1">"#"</definedName>
    <definedName name="FDC_102_0" hidden="1">"#"</definedName>
    <definedName name="FDC_102_1" hidden="1">"#"</definedName>
    <definedName name="FDC_102_10" hidden="1">"#"</definedName>
    <definedName name="FDC_102_11" hidden="1">"#"</definedName>
    <definedName name="FDC_102_12" hidden="1">"#"</definedName>
    <definedName name="FDC_102_13" hidden="1">"#"</definedName>
    <definedName name="FDC_102_2" hidden="1">"#"</definedName>
    <definedName name="FDC_102_3" hidden="1">"#"</definedName>
    <definedName name="FDC_102_4" hidden="1">"#"</definedName>
    <definedName name="FDC_102_5" hidden="1">"#"</definedName>
    <definedName name="FDC_102_6" hidden="1">"#"</definedName>
    <definedName name="FDC_102_7" hidden="1">"#"</definedName>
    <definedName name="FDC_102_8" hidden="1">"#"</definedName>
    <definedName name="FDC_102_9" hidden="1">"#"</definedName>
    <definedName name="FDC_103_0" hidden="1">"#"</definedName>
    <definedName name="FDC_104_0" hidden="1">"#"</definedName>
    <definedName name="FDC_105_0" hidden="1">"#"</definedName>
    <definedName name="FDC_106_0" hidden="1">"#"</definedName>
    <definedName name="FDC_107_0" hidden="1">"#"</definedName>
    <definedName name="FDC_108_0" hidden="1">"#"</definedName>
    <definedName name="FDC_109_0" hidden="1">"#"</definedName>
    <definedName name="FDC_11_0" hidden="1">"#"</definedName>
    <definedName name="FDC_11_1" hidden="1">"#"</definedName>
    <definedName name="FDC_11_2" hidden="1">"#"</definedName>
    <definedName name="FDC_11_3" hidden="1">"#"</definedName>
    <definedName name="FDC_110_0" hidden="1">"#"</definedName>
    <definedName name="FDC_111_0" hidden="1">"#"</definedName>
    <definedName name="FDC_112_0" hidden="1">"#"</definedName>
    <definedName name="FDC_113_0" hidden="1">"#"</definedName>
    <definedName name="FDC_114_0" hidden="1">"#"</definedName>
    <definedName name="FDC_115_0" hidden="1">"#"</definedName>
    <definedName name="FDC_116_0" hidden="1">"#"</definedName>
    <definedName name="FDC_116_1" hidden="1">"#"</definedName>
    <definedName name="FDC_116_10" hidden="1">"#"</definedName>
    <definedName name="FDC_116_11" hidden="1">"#"</definedName>
    <definedName name="FDC_116_12" hidden="1">"#"</definedName>
    <definedName name="FDC_116_13" hidden="1">"#"</definedName>
    <definedName name="FDC_116_14" hidden="1">"#"</definedName>
    <definedName name="FDC_116_2" hidden="1">"#"</definedName>
    <definedName name="FDC_116_3" hidden="1">"#"</definedName>
    <definedName name="FDC_116_4" hidden="1">"#"</definedName>
    <definedName name="FDC_116_5" hidden="1">"#"</definedName>
    <definedName name="FDC_116_6" hidden="1">"#"</definedName>
    <definedName name="FDC_116_7" hidden="1">"#"</definedName>
    <definedName name="FDC_116_8" hidden="1">"#"</definedName>
    <definedName name="FDC_116_9" hidden="1">"#"</definedName>
    <definedName name="FDC_117_0" hidden="1">"#"</definedName>
    <definedName name="FDC_117_1" hidden="1">"#"</definedName>
    <definedName name="FDC_117_10" hidden="1">"#"</definedName>
    <definedName name="FDC_117_11" hidden="1">"#"</definedName>
    <definedName name="FDC_117_12" hidden="1">"#"</definedName>
    <definedName name="FDC_117_13" hidden="1">"#"</definedName>
    <definedName name="FDC_117_14" hidden="1">"#"</definedName>
    <definedName name="FDC_117_2" hidden="1">"#"</definedName>
    <definedName name="FDC_117_3" hidden="1">"#"</definedName>
    <definedName name="FDC_117_4" hidden="1">"#"</definedName>
    <definedName name="FDC_117_5" hidden="1">"#"</definedName>
    <definedName name="FDC_117_6" hidden="1">"#"</definedName>
    <definedName name="FDC_117_7" hidden="1">"#"</definedName>
    <definedName name="FDC_117_8" hidden="1">"#"</definedName>
    <definedName name="FDC_117_9" hidden="1">"#"</definedName>
    <definedName name="FDC_118_0" hidden="1">"#"</definedName>
    <definedName name="FDC_118_1" hidden="1">"#"</definedName>
    <definedName name="FDC_118_10" hidden="1">"#"</definedName>
    <definedName name="FDC_118_11" hidden="1">"#"</definedName>
    <definedName name="FDC_118_12" hidden="1">"#"</definedName>
    <definedName name="FDC_118_13" hidden="1">"#"</definedName>
    <definedName name="FDC_118_14" hidden="1">"#"</definedName>
    <definedName name="FDC_118_2" hidden="1">"#"</definedName>
    <definedName name="FDC_118_3" hidden="1">"#"</definedName>
    <definedName name="FDC_118_4" hidden="1">"#"</definedName>
    <definedName name="FDC_118_5" hidden="1">"#"</definedName>
    <definedName name="FDC_118_6" hidden="1">"#"</definedName>
    <definedName name="FDC_118_7" hidden="1">"#"</definedName>
    <definedName name="FDC_118_8" hidden="1">"#"</definedName>
    <definedName name="FDC_118_9" hidden="1">"#"</definedName>
    <definedName name="FDC_119_0" hidden="1">"#"</definedName>
    <definedName name="FDC_119_1" hidden="1">"#"</definedName>
    <definedName name="FDC_119_10" hidden="1">"#"</definedName>
    <definedName name="FDC_119_11" hidden="1">"#"</definedName>
    <definedName name="FDC_119_12" hidden="1">"#"</definedName>
    <definedName name="FDC_119_13" hidden="1">"#"</definedName>
    <definedName name="FDC_119_14" hidden="1">"#"</definedName>
    <definedName name="FDC_119_2" hidden="1">"#"</definedName>
    <definedName name="FDC_119_3" hidden="1">"#"</definedName>
    <definedName name="FDC_119_4" hidden="1">"#"</definedName>
    <definedName name="FDC_119_5" hidden="1">"#"</definedName>
    <definedName name="FDC_119_6" hidden="1">"#"</definedName>
    <definedName name="FDC_119_7" hidden="1">"#"</definedName>
    <definedName name="FDC_119_8" hidden="1">"#"</definedName>
    <definedName name="FDC_119_9" hidden="1">"#"</definedName>
    <definedName name="FDC_12_0" hidden="1">"#"</definedName>
    <definedName name="FDC_12_1" hidden="1">"#"</definedName>
    <definedName name="FDC_12_2" hidden="1">"#"</definedName>
    <definedName name="FDC_12_3" hidden="1">"#"</definedName>
    <definedName name="FDC_120_0" hidden="1">"#"</definedName>
    <definedName name="FDC_120_1" hidden="1">"#"</definedName>
    <definedName name="FDC_120_10" hidden="1">"#"</definedName>
    <definedName name="FDC_120_11" hidden="1">"#"</definedName>
    <definedName name="FDC_120_12" hidden="1">"#"</definedName>
    <definedName name="FDC_120_13" hidden="1">"#"</definedName>
    <definedName name="FDC_120_14" hidden="1">"#"</definedName>
    <definedName name="FDC_120_2" hidden="1">"#"</definedName>
    <definedName name="FDC_120_3" hidden="1">"#"</definedName>
    <definedName name="FDC_120_4" hidden="1">"#"</definedName>
    <definedName name="FDC_120_5" hidden="1">"#"</definedName>
    <definedName name="FDC_120_6" hidden="1">"#"</definedName>
    <definedName name="FDC_120_7" hidden="1">"#"</definedName>
    <definedName name="FDC_120_8" hidden="1">"#"</definedName>
    <definedName name="FDC_120_9" hidden="1">"#"</definedName>
    <definedName name="FDC_121_0" hidden="1">"#"</definedName>
    <definedName name="FDC_121_1" hidden="1">"#"</definedName>
    <definedName name="FDC_121_10" hidden="1">"#"</definedName>
    <definedName name="FDC_121_11" hidden="1">"#"</definedName>
    <definedName name="FDC_121_12" hidden="1">"#"</definedName>
    <definedName name="FDC_121_13" hidden="1">"#"</definedName>
    <definedName name="FDC_121_14" hidden="1">"#"</definedName>
    <definedName name="FDC_121_2" hidden="1">"#"</definedName>
    <definedName name="FDC_121_3" hidden="1">"#"</definedName>
    <definedName name="FDC_121_4" hidden="1">"#"</definedName>
    <definedName name="FDC_121_5" hidden="1">"#"</definedName>
    <definedName name="FDC_121_6" hidden="1">"#"</definedName>
    <definedName name="FDC_121_7" hidden="1">"#"</definedName>
    <definedName name="FDC_121_8" hidden="1">"#"</definedName>
    <definedName name="FDC_121_9" hidden="1">"#"</definedName>
    <definedName name="FDC_122_0" hidden="1">"#"</definedName>
    <definedName name="FDC_122_1" hidden="1">"#"</definedName>
    <definedName name="FDC_122_10" hidden="1">"#"</definedName>
    <definedName name="FDC_122_11" hidden="1">"#"</definedName>
    <definedName name="FDC_122_12" hidden="1">"#"</definedName>
    <definedName name="FDC_122_13" hidden="1">"#"</definedName>
    <definedName name="FDC_122_14" hidden="1">"#"</definedName>
    <definedName name="FDC_122_2" hidden="1">"#"</definedName>
    <definedName name="FDC_122_3" hidden="1">"#"</definedName>
    <definedName name="FDC_122_4" hidden="1">"#"</definedName>
    <definedName name="FDC_122_5" hidden="1">"#"</definedName>
    <definedName name="FDC_122_6" hidden="1">"#"</definedName>
    <definedName name="FDC_122_7" hidden="1">"#"</definedName>
    <definedName name="FDC_122_8" hidden="1">"#"</definedName>
    <definedName name="FDC_122_9" hidden="1">"#"</definedName>
    <definedName name="FDC_123_0" hidden="1">"#"</definedName>
    <definedName name="FDC_123_1" hidden="1">"#"</definedName>
    <definedName name="FDC_123_10" hidden="1">"#"</definedName>
    <definedName name="FDC_123_11" hidden="1">"#"</definedName>
    <definedName name="FDC_123_12" hidden="1">"#"</definedName>
    <definedName name="FDC_123_13" hidden="1">"#"</definedName>
    <definedName name="FDC_123_14" hidden="1">"#"</definedName>
    <definedName name="FDC_123_2" hidden="1">"#"</definedName>
    <definedName name="FDC_123_3" hidden="1">"#"</definedName>
    <definedName name="FDC_123_4" hidden="1">"#"</definedName>
    <definedName name="FDC_123_5" hidden="1">"#"</definedName>
    <definedName name="FDC_123_6" hidden="1">"#"</definedName>
    <definedName name="FDC_123_7" hidden="1">"#"</definedName>
    <definedName name="FDC_123_8" hidden="1">"#"</definedName>
    <definedName name="FDC_123_9" hidden="1">"#"</definedName>
    <definedName name="FDC_124_0" hidden="1">"#"</definedName>
    <definedName name="FDC_124_1" hidden="1">"#"</definedName>
    <definedName name="FDC_124_10" hidden="1">"#"</definedName>
    <definedName name="FDC_124_11" hidden="1">"#"</definedName>
    <definedName name="FDC_124_12" hidden="1">"#"</definedName>
    <definedName name="FDC_124_13" hidden="1">"#"</definedName>
    <definedName name="FDC_124_14" hidden="1">"#"</definedName>
    <definedName name="FDC_124_2" hidden="1">"#"</definedName>
    <definedName name="FDC_124_3" hidden="1">"#"</definedName>
    <definedName name="FDC_124_4" hidden="1">"#"</definedName>
    <definedName name="FDC_124_5" hidden="1">"#"</definedName>
    <definedName name="FDC_124_6" hidden="1">"#"</definedName>
    <definedName name="FDC_124_7" hidden="1">"#"</definedName>
    <definedName name="FDC_124_8" hidden="1">"#"</definedName>
    <definedName name="FDC_124_9" hidden="1">"#"</definedName>
    <definedName name="FDC_125_0" hidden="1">"#"</definedName>
    <definedName name="FDC_125_1" hidden="1">"#"</definedName>
    <definedName name="FDC_125_10" hidden="1">"#"</definedName>
    <definedName name="FDC_125_11" hidden="1">"#"</definedName>
    <definedName name="FDC_125_12" hidden="1">"#"</definedName>
    <definedName name="FDC_125_13" hidden="1">"#"</definedName>
    <definedName name="FDC_125_14" hidden="1">"#"</definedName>
    <definedName name="FDC_125_2" hidden="1">"#"</definedName>
    <definedName name="FDC_125_3" hidden="1">"#"</definedName>
    <definedName name="FDC_125_4" hidden="1">"#"</definedName>
    <definedName name="FDC_125_5" hidden="1">"#"</definedName>
    <definedName name="FDC_125_6" hidden="1">"#"</definedName>
    <definedName name="FDC_125_7" hidden="1">"#"</definedName>
    <definedName name="FDC_125_8" hidden="1">"#"</definedName>
    <definedName name="FDC_125_9" hidden="1">"#"</definedName>
    <definedName name="FDC_126_0" hidden="1">"#"</definedName>
    <definedName name="FDC_126_1" hidden="1">"#"</definedName>
    <definedName name="FDC_126_10" hidden="1">"#"</definedName>
    <definedName name="FDC_126_11" hidden="1">"#"</definedName>
    <definedName name="FDC_126_12" hidden="1">"#"</definedName>
    <definedName name="FDC_126_13" hidden="1">"#"</definedName>
    <definedName name="FDC_126_14" hidden="1">"#"</definedName>
    <definedName name="FDC_126_2" hidden="1">"#"</definedName>
    <definedName name="FDC_126_3" hidden="1">"#"</definedName>
    <definedName name="FDC_126_4" hidden="1">"#"</definedName>
    <definedName name="FDC_126_5" hidden="1">"#"</definedName>
    <definedName name="FDC_126_6" hidden="1">"#"</definedName>
    <definedName name="FDC_126_7" hidden="1">"#"</definedName>
    <definedName name="FDC_126_8" hidden="1">"#"</definedName>
    <definedName name="FDC_126_9" hidden="1">"#"</definedName>
    <definedName name="FDC_127_0" hidden="1">"#"</definedName>
    <definedName name="FDC_127_1" hidden="1">"#"</definedName>
    <definedName name="FDC_127_10" hidden="1">"#"</definedName>
    <definedName name="FDC_127_11" hidden="1">"#"</definedName>
    <definedName name="FDC_127_12" hidden="1">"#"</definedName>
    <definedName name="FDC_127_13" hidden="1">"#"</definedName>
    <definedName name="FDC_127_14" hidden="1">"#"</definedName>
    <definedName name="FDC_127_2" hidden="1">"#"</definedName>
    <definedName name="FDC_127_3" hidden="1">"#"</definedName>
    <definedName name="FDC_127_4" hidden="1">"#"</definedName>
    <definedName name="FDC_127_5" hidden="1">"#"</definedName>
    <definedName name="FDC_127_6" hidden="1">"#"</definedName>
    <definedName name="FDC_127_7" hidden="1">"#"</definedName>
    <definedName name="FDC_127_8" hidden="1">"#"</definedName>
    <definedName name="FDC_127_9" hidden="1">"#"</definedName>
    <definedName name="FDC_128_0" hidden="1">"#"</definedName>
    <definedName name="FDC_128_1" hidden="1">"#"</definedName>
    <definedName name="FDC_128_10" hidden="1">"#"</definedName>
    <definedName name="FDC_128_11" hidden="1">"#"</definedName>
    <definedName name="FDC_128_12" hidden="1">"#"</definedName>
    <definedName name="FDC_128_13" hidden="1">"#"</definedName>
    <definedName name="FDC_128_14" hidden="1">"#"</definedName>
    <definedName name="FDC_128_2" hidden="1">"#"</definedName>
    <definedName name="FDC_128_3" hidden="1">"#"</definedName>
    <definedName name="FDC_128_4" hidden="1">"#"</definedName>
    <definedName name="FDC_128_5" hidden="1">"#"</definedName>
    <definedName name="FDC_128_6" hidden="1">"#"</definedName>
    <definedName name="FDC_128_7" hidden="1">"#"</definedName>
    <definedName name="FDC_128_8" hidden="1">"#"</definedName>
    <definedName name="FDC_128_9" hidden="1">"#"</definedName>
    <definedName name="FDC_129_0" hidden="1">"#"</definedName>
    <definedName name="FDC_129_1" hidden="1">"#"</definedName>
    <definedName name="FDC_129_10" hidden="1">"#"</definedName>
    <definedName name="FDC_129_11" hidden="1">"#"</definedName>
    <definedName name="FDC_129_12" hidden="1">"#"</definedName>
    <definedName name="FDC_129_13" hidden="1">"#"</definedName>
    <definedName name="FDC_129_14" hidden="1">"#"</definedName>
    <definedName name="FDC_129_2" hidden="1">"#"</definedName>
    <definedName name="FDC_129_3" hidden="1">"#"</definedName>
    <definedName name="FDC_129_4" hidden="1">"#"</definedName>
    <definedName name="FDC_129_5" hidden="1">"#"</definedName>
    <definedName name="FDC_129_6" hidden="1">"#"</definedName>
    <definedName name="FDC_129_7" hidden="1">"#"</definedName>
    <definedName name="FDC_129_8" hidden="1">"#"</definedName>
    <definedName name="FDC_129_9" hidden="1">"#"</definedName>
    <definedName name="FDC_13_0" hidden="1">"#"</definedName>
    <definedName name="FDC_13_1" hidden="1">"#"</definedName>
    <definedName name="FDC_13_2" hidden="1">"#"</definedName>
    <definedName name="FDC_13_3" hidden="1">"#"</definedName>
    <definedName name="FDC_130_0" hidden="1">"#"</definedName>
    <definedName name="FDC_130_1" hidden="1">"#"</definedName>
    <definedName name="FDC_130_10" hidden="1">"#"</definedName>
    <definedName name="FDC_130_11" hidden="1">"#"</definedName>
    <definedName name="FDC_130_12" hidden="1">"#"</definedName>
    <definedName name="FDC_130_13" hidden="1">"#"</definedName>
    <definedName name="FDC_130_14" hidden="1">"#"</definedName>
    <definedName name="FDC_130_2" hidden="1">"#"</definedName>
    <definedName name="FDC_130_3" hidden="1">"#"</definedName>
    <definedName name="FDC_130_4" hidden="1">"#"</definedName>
    <definedName name="FDC_130_5" hidden="1">"#"</definedName>
    <definedName name="FDC_130_6" hidden="1">"#"</definedName>
    <definedName name="FDC_130_7" hidden="1">"#"</definedName>
    <definedName name="FDC_130_8" hidden="1">"#"</definedName>
    <definedName name="FDC_130_9" hidden="1">"#"</definedName>
    <definedName name="FDC_131_0" hidden="1">"#"</definedName>
    <definedName name="FDC_131_1" hidden="1">"#"</definedName>
    <definedName name="FDC_131_10" hidden="1">"#"</definedName>
    <definedName name="FDC_131_11" hidden="1">"#"</definedName>
    <definedName name="FDC_131_12" hidden="1">"#"</definedName>
    <definedName name="FDC_131_13" hidden="1">"#"</definedName>
    <definedName name="FDC_131_14" hidden="1">"#"</definedName>
    <definedName name="FDC_131_2" hidden="1">"#"</definedName>
    <definedName name="FDC_131_3" hidden="1">"#"</definedName>
    <definedName name="FDC_131_4" hidden="1">"#"</definedName>
    <definedName name="FDC_131_5" hidden="1">"#"</definedName>
    <definedName name="FDC_131_6" hidden="1">"#"</definedName>
    <definedName name="FDC_131_7" hidden="1">"#"</definedName>
    <definedName name="FDC_131_8" hidden="1">"#"</definedName>
    <definedName name="FDC_131_9" hidden="1">"#"</definedName>
    <definedName name="FDC_132_0" hidden="1">"#"</definedName>
    <definedName name="FDC_132_1" hidden="1">"#"</definedName>
    <definedName name="FDC_132_10" hidden="1">"#"</definedName>
    <definedName name="FDC_132_11" hidden="1">"#"</definedName>
    <definedName name="FDC_132_12" hidden="1">"#"</definedName>
    <definedName name="FDC_132_13" hidden="1">"#"</definedName>
    <definedName name="FDC_132_14" hidden="1">"#"</definedName>
    <definedName name="FDC_132_2" hidden="1">"#"</definedName>
    <definedName name="FDC_132_3" hidden="1">"#"</definedName>
    <definedName name="FDC_132_4" hidden="1">"#"</definedName>
    <definedName name="FDC_132_5" hidden="1">"#"</definedName>
    <definedName name="FDC_132_6" hidden="1">"#"</definedName>
    <definedName name="FDC_132_7" hidden="1">"#"</definedName>
    <definedName name="FDC_132_8" hidden="1">"#"</definedName>
    <definedName name="FDC_132_9" hidden="1">"#"</definedName>
    <definedName name="FDC_133_0" hidden="1">"#"</definedName>
    <definedName name="FDC_133_1" hidden="1">"#"</definedName>
    <definedName name="FDC_133_10" hidden="1">"#"</definedName>
    <definedName name="FDC_133_11" hidden="1">"#"</definedName>
    <definedName name="FDC_133_12" hidden="1">"#"</definedName>
    <definedName name="FDC_133_13" hidden="1">"#"</definedName>
    <definedName name="FDC_133_14" hidden="1">"#"</definedName>
    <definedName name="FDC_133_2" hidden="1">"#"</definedName>
    <definedName name="FDC_133_3" hidden="1">"#"</definedName>
    <definedName name="FDC_133_4" hidden="1">"#"</definedName>
    <definedName name="FDC_133_5" hidden="1">"#"</definedName>
    <definedName name="FDC_133_6" hidden="1">"#"</definedName>
    <definedName name="FDC_133_7" hidden="1">"#"</definedName>
    <definedName name="FDC_133_8" hidden="1">"#"</definedName>
    <definedName name="FDC_133_9" hidden="1">"#"</definedName>
    <definedName name="FDC_134_0" hidden="1">"#"</definedName>
    <definedName name="FDC_134_1" hidden="1">"#"</definedName>
    <definedName name="FDC_134_10" hidden="1">"#"</definedName>
    <definedName name="FDC_134_11" hidden="1">"#"</definedName>
    <definedName name="FDC_134_12" hidden="1">"#"</definedName>
    <definedName name="FDC_134_13" hidden="1">"#"</definedName>
    <definedName name="FDC_134_14" hidden="1">"#"</definedName>
    <definedName name="FDC_134_2" hidden="1">"#"</definedName>
    <definedName name="FDC_134_3" hidden="1">"#"</definedName>
    <definedName name="FDC_134_4" hidden="1">"#"</definedName>
    <definedName name="FDC_134_5" hidden="1">"#"</definedName>
    <definedName name="FDC_134_6" hidden="1">"#"</definedName>
    <definedName name="FDC_134_7" hidden="1">"#"</definedName>
    <definedName name="FDC_134_8" hidden="1">"#"</definedName>
    <definedName name="FDC_134_9" hidden="1">"#"</definedName>
    <definedName name="FDC_135_0" hidden="1">"#"</definedName>
    <definedName name="FDC_135_1" hidden="1">"#"</definedName>
    <definedName name="FDC_135_10" hidden="1">"#"</definedName>
    <definedName name="FDC_135_11" hidden="1">"#"</definedName>
    <definedName name="FDC_135_12" hidden="1">"#"</definedName>
    <definedName name="FDC_135_13" hidden="1">"#"</definedName>
    <definedName name="FDC_135_14" hidden="1">"#"</definedName>
    <definedName name="FDC_135_2" hidden="1">"#"</definedName>
    <definedName name="FDC_135_3" hidden="1">"#"</definedName>
    <definedName name="FDC_135_4" hidden="1">"#"</definedName>
    <definedName name="FDC_135_5" hidden="1">"#"</definedName>
    <definedName name="FDC_135_6" hidden="1">"#"</definedName>
    <definedName name="FDC_135_7" hidden="1">"#"</definedName>
    <definedName name="FDC_135_8" hidden="1">"#"</definedName>
    <definedName name="FDC_135_9" hidden="1">"#"</definedName>
    <definedName name="FDC_136_0" hidden="1">"#"</definedName>
    <definedName name="FDC_136_1" hidden="1">"#"</definedName>
    <definedName name="FDC_136_10" hidden="1">"#"</definedName>
    <definedName name="FDC_136_11" hidden="1">"#"</definedName>
    <definedName name="FDC_136_12" hidden="1">"#"</definedName>
    <definedName name="FDC_136_13" hidden="1">"#"</definedName>
    <definedName name="FDC_136_14" hidden="1">"#"</definedName>
    <definedName name="FDC_136_2" hidden="1">"#"</definedName>
    <definedName name="FDC_136_3" hidden="1">"#"</definedName>
    <definedName name="FDC_136_4" hidden="1">"#"</definedName>
    <definedName name="FDC_136_5" hidden="1">"#"</definedName>
    <definedName name="FDC_136_6" hidden="1">"#"</definedName>
    <definedName name="FDC_136_7" hidden="1">"#"</definedName>
    <definedName name="FDC_136_8" hidden="1">"#"</definedName>
    <definedName name="FDC_136_9" hidden="1">"#"</definedName>
    <definedName name="FDC_137_0" hidden="1">"#"</definedName>
    <definedName name="FDC_137_1" hidden="1">"#"</definedName>
    <definedName name="FDC_137_10" hidden="1">"#"</definedName>
    <definedName name="FDC_137_11" hidden="1">"#"</definedName>
    <definedName name="FDC_137_12" hidden="1">"#"</definedName>
    <definedName name="FDC_137_13" hidden="1">"#"</definedName>
    <definedName name="FDC_137_14" hidden="1">"#"</definedName>
    <definedName name="FDC_137_2" hidden="1">"#"</definedName>
    <definedName name="FDC_137_3" hidden="1">"#"</definedName>
    <definedName name="FDC_137_4" hidden="1">"#"</definedName>
    <definedName name="FDC_137_5" hidden="1">"#"</definedName>
    <definedName name="FDC_137_6" hidden="1">"#"</definedName>
    <definedName name="FDC_137_7" hidden="1">"#"</definedName>
    <definedName name="FDC_137_8" hidden="1">"#"</definedName>
    <definedName name="FDC_137_9" hidden="1">"#"</definedName>
    <definedName name="FDC_138_0" hidden="1">"#"</definedName>
    <definedName name="FDC_138_1" hidden="1">"#"</definedName>
    <definedName name="FDC_138_10" hidden="1">"#"</definedName>
    <definedName name="FDC_138_11" hidden="1">"#"</definedName>
    <definedName name="FDC_138_12" hidden="1">"#"</definedName>
    <definedName name="FDC_138_13" hidden="1">"#"</definedName>
    <definedName name="FDC_138_14" hidden="1">"#"</definedName>
    <definedName name="FDC_138_2" hidden="1">"#"</definedName>
    <definedName name="FDC_138_3" hidden="1">"#"</definedName>
    <definedName name="FDC_138_4" hidden="1">"#"</definedName>
    <definedName name="FDC_138_5" hidden="1">"#"</definedName>
    <definedName name="FDC_138_6" hidden="1">"#"</definedName>
    <definedName name="FDC_138_7" hidden="1">"#"</definedName>
    <definedName name="FDC_138_8" hidden="1">"#"</definedName>
    <definedName name="FDC_138_9" hidden="1">"#"</definedName>
    <definedName name="FDC_139_0" hidden="1">"#"</definedName>
    <definedName name="FDC_139_1" hidden="1">"#"</definedName>
    <definedName name="FDC_139_10" hidden="1">"#"</definedName>
    <definedName name="FDC_139_11" hidden="1">"#"</definedName>
    <definedName name="FDC_139_12" hidden="1">"#"</definedName>
    <definedName name="FDC_139_13" hidden="1">"#"</definedName>
    <definedName name="FDC_139_14" hidden="1">"#"</definedName>
    <definedName name="FDC_139_2" hidden="1">"#"</definedName>
    <definedName name="FDC_139_3" hidden="1">"#"</definedName>
    <definedName name="FDC_139_4" hidden="1">"#"</definedName>
    <definedName name="FDC_139_5" hidden="1">"#"</definedName>
    <definedName name="FDC_139_6" hidden="1">"#"</definedName>
    <definedName name="FDC_139_7" hidden="1">"#"</definedName>
    <definedName name="FDC_139_8" hidden="1">"#"</definedName>
    <definedName name="FDC_139_9" hidden="1">"#"</definedName>
    <definedName name="FDC_14_0" hidden="1">"#"</definedName>
    <definedName name="FDC_14_1" hidden="1">"#"</definedName>
    <definedName name="FDC_14_2" hidden="1">"#"</definedName>
    <definedName name="FDC_14_3" hidden="1">"#"</definedName>
    <definedName name="FDC_140_0" hidden="1">"#"</definedName>
    <definedName name="FDC_140_1" hidden="1">"#"</definedName>
    <definedName name="FDC_140_10" hidden="1">"#"</definedName>
    <definedName name="FDC_140_11" hidden="1">"#"</definedName>
    <definedName name="FDC_140_12" hidden="1">"#"</definedName>
    <definedName name="FDC_140_13" hidden="1">"#"</definedName>
    <definedName name="FDC_140_14" hidden="1">"#"</definedName>
    <definedName name="FDC_140_2" hidden="1">"#"</definedName>
    <definedName name="FDC_140_3" hidden="1">"#"</definedName>
    <definedName name="FDC_140_4" hidden="1">"#"</definedName>
    <definedName name="FDC_140_5" hidden="1">"#"</definedName>
    <definedName name="FDC_140_6" hidden="1">"#"</definedName>
    <definedName name="FDC_140_7" hidden="1">"#"</definedName>
    <definedName name="FDC_140_8" hidden="1">"#"</definedName>
    <definedName name="FDC_140_9" hidden="1">"#"</definedName>
    <definedName name="FDC_141_0" hidden="1">"#"</definedName>
    <definedName name="FDC_141_1" hidden="1">"#"</definedName>
    <definedName name="FDC_141_10" hidden="1">"#"</definedName>
    <definedName name="FDC_141_11" hidden="1">"#"</definedName>
    <definedName name="FDC_141_12" hidden="1">"#"</definedName>
    <definedName name="FDC_141_13" hidden="1">"#"</definedName>
    <definedName name="FDC_141_14" hidden="1">"#"</definedName>
    <definedName name="FDC_141_2" hidden="1">"#"</definedName>
    <definedName name="FDC_141_3" hidden="1">"#"</definedName>
    <definedName name="FDC_141_4" hidden="1">"#"</definedName>
    <definedName name="FDC_141_5" hidden="1">"#"</definedName>
    <definedName name="FDC_141_6" hidden="1">"#"</definedName>
    <definedName name="FDC_141_7" hidden="1">"#"</definedName>
    <definedName name="FDC_141_8" hidden="1">"#"</definedName>
    <definedName name="FDC_141_9" hidden="1">"#"</definedName>
    <definedName name="FDC_142_0" hidden="1">"#"</definedName>
    <definedName name="FDC_142_1" hidden="1">"#"</definedName>
    <definedName name="FDC_142_10" hidden="1">"#"</definedName>
    <definedName name="FDC_142_11" hidden="1">"#"</definedName>
    <definedName name="FDC_142_12" hidden="1">"#"</definedName>
    <definedName name="FDC_142_13" hidden="1">"#"</definedName>
    <definedName name="FDC_142_14" hidden="1">"#"</definedName>
    <definedName name="FDC_142_2" hidden="1">"#"</definedName>
    <definedName name="FDC_142_3" hidden="1">"#"</definedName>
    <definedName name="FDC_142_4" hidden="1">"#"</definedName>
    <definedName name="FDC_142_5" hidden="1">"#"</definedName>
    <definedName name="FDC_142_6" hidden="1">"#"</definedName>
    <definedName name="FDC_142_7" hidden="1">"#"</definedName>
    <definedName name="FDC_142_8" hidden="1">"#"</definedName>
    <definedName name="FDC_142_9" hidden="1">"#"</definedName>
    <definedName name="FDC_143_0" hidden="1">"#"</definedName>
    <definedName name="FDC_143_1" hidden="1">"#"</definedName>
    <definedName name="FDC_143_10" hidden="1">"#"</definedName>
    <definedName name="FDC_143_11" hidden="1">"#"</definedName>
    <definedName name="FDC_143_12" hidden="1">"#"</definedName>
    <definedName name="FDC_143_13" hidden="1">"#"</definedName>
    <definedName name="FDC_143_14" hidden="1">"#"</definedName>
    <definedName name="FDC_143_2" hidden="1">"#"</definedName>
    <definedName name="FDC_143_3" hidden="1">"#"</definedName>
    <definedName name="FDC_143_4" hidden="1">"#"</definedName>
    <definedName name="FDC_143_5" hidden="1">"#"</definedName>
    <definedName name="FDC_143_6" hidden="1">"#"</definedName>
    <definedName name="FDC_143_7" hidden="1">"#"</definedName>
    <definedName name="FDC_143_8" hidden="1">"#"</definedName>
    <definedName name="FDC_143_9" hidden="1">"#"</definedName>
    <definedName name="FDC_144_0" hidden="1">"#"</definedName>
    <definedName name="FDC_144_1" hidden="1">"#"</definedName>
    <definedName name="FDC_144_10" hidden="1">"#"</definedName>
    <definedName name="FDC_144_11" hidden="1">"#"</definedName>
    <definedName name="FDC_144_12" hidden="1">"#"</definedName>
    <definedName name="FDC_144_13" hidden="1">"#"</definedName>
    <definedName name="FDC_144_14" hidden="1">"#"</definedName>
    <definedName name="FDC_144_2" hidden="1">"#"</definedName>
    <definedName name="FDC_144_3" hidden="1">"#"</definedName>
    <definedName name="FDC_144_4" hidden="1">"#"</definedName>
    <definedName name="FDC_144_5" hidden="1">"#"</definedName>
    <definedName name="FDC_144_6" hidden="1">"#"</definedName>
    <definedName name="FDC_144_7" hidden="1">"#"</definedName>
    <definedName name="FDC_144_8" hidden="1">"#"</definedName>
    <definedName name="FDC_144_9" hidden="1">"#"</definedName>
    <definedName name="FDC_145_0" hidden="1">"#"</definedName>
    <definedName name="FDC_145_1" hidden="1">"#"</definedName>
    <definedName name="FDC_145_10" hidden="1">"#"</definedName>
    <definedName name="FDC_145_11" hidden="1">"#"</definedName>
    <definedName name="FDC_145_12" hidden="1">"#"</definedName>
    <definedName name="FDC_145_13" hidden="1">"#"</definedName>
    <definedName name="FDC_145_14" hidden="1">"#"</definedName>
    <definedName name="FDC_145_2" hidden="1">"#"</definedName>
    <definedName name="FDC_145_3" hidden="1">"#"</definedName>
    <definedName name="FDC_145_4" hidden="1">"#"</definedName>
    <definedName name="FDC_145_5" hidden="1">"#"</definedName>
    <definedName name="FDC_145_6" hidden="1">"#"</definedName>
    <definedName name="FDC_145_7" hidden="1">"#"</definedName>
    <definedName name="FDC_145_8" hidden="1">"#"</definedName>
    <definedName name="FDC_145_9" hidden="1">"#"</definedName>
    <definedName name="FDC_146_0" hidden="1">"#"</definedName>
    <definedName name="FDC_146_1" hidden="1">"#"</definedName>
    <definedName name="FDC_146_10" hidden="1">"#"</definedName>
    <definedName name="FDC_146_11" hidden="1">"#"</definedName>
    <definedName name="FDC_146_12" hidden="1">"#"</definedName>
    <definedName name="FDC_146_13" hidden="1">"#"</definedName>
    <definedName name="FDC_146_14" hidden="1">"#"</definedName>
    <definedName name="FDC_146_2" hidden="1">"#"</definedName>
    <definedName name="FDC_146_3" hidden="1">"#"</definedName>
    <definedName name="FDC_146_4" hidden="1">"#"</definedName>
    <definedName name="FDC_146_5" hidden="1">"#"</definedName>
    <definedName name="FDC_146_6" hidden="1">"#"</definedName>
    <definedName name="FDC_146_7" hidden="1">"#"</definedName>
    <definedName name="FDC_146_8" hidden="1">"#"</definedName>
    <definedName name="FDC_146_9" hidden="1">"#"</definedName>
    <definedName name="FDC_147_0" hidden="1">"#"</definedName>
    <definedName name="FDC_147_1" hidden="1">"#"</definedName>
    <definedName name="FDC_147_10" hidden="1">"#"</definedName>
    <definedName name="FDC_147_11" hidden="1">"#"</definedName>
    <definedName name="FDC_147_12" hidden="1">"#"</definedName>
    <definedName name="FDC_147_13" hidden="1">"#"</definedName>
    <definedName name="FDC_147_14" hidden="1">"#"</definedName>
    <definedName name="FDC_147_2" hidden="1">"#"</definedName>
    <definedName name="FDC_147_3" hidden="1">"#"</definedName>
    <definedName name="FDC_147_4" hidden="1">"#"</definedName>
    <definedName name="FDC_147_5" hidden="1">"#"</definedName>
    <definedName name="FDC_147_6" hidden="1">"#"</definedName>
    <definedName name="FDC_147_7" hidden="1">"#"</definedName>
    <definedName name="FDC_147_8" hidden="1">"#"</definedName>
    <definedName name="FDC_147_9" hidden="1">"#"</definedName>
    <definedName name="FDC_148_0" hidden="1">"#"</definedName>
    <definedName name="FDC_148_1" hidden="1">"#"</definedName>
    <definedName name="FDC_148_10" hidden="1">"#"</definedName>
    <definedName name="FDC_148_11" hidden="1">"#"</definedName>
    <definedName name="FDC_148_12" hidden="1">"#"</definedName>
    <definedName name="FDC_148_13" hidden="1">"#"</definedName>
    <definedName name="FDC_148_14" hidden="1">"#"</definedName>
    <definedName name="FDC_148_2" hidden="1">"#"</definedName>
    <definedName name="FDC_148_3" hidden="1">"#"</definedName>
    <definedName name="FDC_148_4" hidden="1">"#"</definedName>
    <definedName name="FDC_148_5" hidden="1">"#"</definedName>
    <definedName name="FDC_148_6" hidden="1">"#"</definedName>
    <definedName name="FDC_148_7" hidden="1">"#"</definedName>
    <definedName name="FDC_148_8" hidden="1">"#"</definedName>
    <definedName name="FDC_148_9" hidden="1">"#"</definedName>
    <definedName name="FDC_149_0" hidden="1">"#"</definedName>
    <definedName name="FDC_149_1" hidden="1">"#"</definedName>
    <definedName name="FDC_149_10" hidden="1">"#"</definedName>
    <definedName name="FDC_149_11" hidden="1">"#"</definedName>
    <definedName name="FDC_149_12" hidden="1">"#"</definedName>
    <definedName name="FDC_149_13" hidden="1">"#"</definedName>
    <definedName name="FDC_149_14" hidden="1">"#"</definedName>
    <definedName name="FDC_149_2" hidden="1">"#"</definedName>
    <definedName name="FDC_149_3" hidden="1">"#"</definedName>
    <definedName name="FDC_149_4" hidden="1">"#"</definedName>
    <definedName name="FDC_149_5" hidden="1">"#"</definedName>
    <definedName name="FDC_149_6" hidden="1">"#"</definedName>
    <definedName name="FDC_149_7" hidden="1">"#"</definedName>
    <definedName name="FDC_149_8" hidden="1">"#"</definedName>
    <definedName name="FDC_149_9" hidden="1">"#"</definedName>
    <definedName name="FDC_15_0" hidden="1">"#"</definedName>
    <definedName name="FDC_150_0" hidden="1">"#"</definedName>
    <definedName name="FDC_150_1" hidden="1">"#"</definedName>
    <definedName name="FDC_150_10" hidden="1">"#"</definedName>
    <definedName name="FDC_150_11" hidden="1">"#"</definedName>
    <definedName name="FDC_150_12" hidden="1">"#"</definedName>
    <definedName name="FDC_150_13" hidden="1">"#"</definedName>
    <definedName name="FDC_150_14" hidden="1">"#"</definedName>
    <definedName name="FDC_150_2" hidden="1">"#"</definedName>
    <definedName name="FDC_150_3" hidden="1">"#"</definedName>
    <definedName name="FDC_150_4" hidden="1">"#"</definedName>
    <definedName name="FDC_150_5" hidden="1">"#"</definedName>
    <definedName name="FDC_150_6" hidden="1">"#"</definedName>
    <definedName name="FDC_150_7" hidden="1">"#"</definedName>
    <definedName name="FDC_150_8" hidden="1">"#"</definedName>
    <definedName name="FDC_150_9" hidden="1">"#"</definedName>
    <definedName name="FDC_151_0" hidden="1">"#"</definedName>
    <definedName name="FDC_151_1" hidden="1">"#"</definedName>
    <definedName name="FDC_151_10" hidden="1">"#"</definedName>
    <definedName name="FDC_151_11" hidden="1">"#"</definedName>
    <definedName name="FDC_151_12" hidden="1">"#"</definedName>
    <definedName name="FDC_151_13" hidden="1">"#"</definedName>
    <definedName name="FDC_151_14" hidden="1">"#"</definedName>
    <definedName name="FDC_151_15" hidden="1">"#"</definedName>
    <definedName name="FDC_151_2" hidden="1">"#"</definedName>
    <definedName name="FDC_151_3" hidden="1">"#"</definedName>
    <definedName name="FDC_151_4" hidden="1">"#"</definedName>
    <definedName name="FDC_151_5" hidden="1">"#"</definedName>
    <definedName name="FDC_151_6" hidden="1">"#"</definedName>
    <definedName name="FDC_151_7" hidden="1">"#"</definedName>
    <definedName name="FDC_151_8" hidden="1">"#"</definedName>
    <definedName name="FDC_151_9" hidden="1">"#"</definedName>
    <definedName name="FDC_152_0" hidden="1">"#"</definedName>
    <definedName name="FDC_152_1" hidden="1">"#"</definedName>
    <definedName name="FDC_152_10" hidden="1">"#"</definedName>
    <definedName name="FDC_152_11" hidden="1">"#"</definedName>
    <definedName name="FDC_152_12" hidden="1">"#"</definedName>
    <definedName name="FDC_152_13" hidden="1">"#"</definedName>
    <definedName name="FDC_152_14" hidden="1">"#"</definedName>
    <definedName name="FDC_152_15" hidden="1">"#"</definedName>
    <definedName name="FDC_152_2" hidden="1">"#"</definedName>
    <definedName name="FDC_152_3" hidden="1">"#"</definedName>
    <definedName name="FDC_152_4" hidden="1">"#"</definedName>
    <definedName name="FDC_152_5" hidden="1">"#"</definedName>
    <definedName name="FDC_152_6" hidden="1">"#"</definedName>
    <definedName name="FDC_152_7" hidden="1">"#"</definedName>
    <definedName name="FDC_152_8" hidden="1">"#"</definedName>
    <definedName name="FDC_152_9" hidden="1">"#"</definedName>
    <definedName name="FDC_153_0" hidden="1">"#"</definedName>
    <definedName name="FDC_153_1" hidden="1">"#"</definedName>
    <definedName name="FDC_153_10" hidden="1">"#"</definedName>
    <definedName name="FDC_153_11" hidden="1">"#"</definedName>
    <definedName name="FDC_153_12" hidden="1">"#"</definedName>
    <definedName name="FDC_153_13" hidden="1">"#"</definedName>
    <definedName name="FDC_153_14" hidden="1">"#"</definedName>
    <definedName name="FDC_153_2" hidden="1">"#"</definedName>
    <definedName name="FDC_153_3" hidden="1">"#"</definedName>
    <definedName name="FDC_153_4" hidden="1">"#"</definedName>
    <definedName name="FDC_153_5" hidden="1">"#"</definedName>
    <definedName name="FDC_153_6" hidden="1">"#"</definedName>
    <definedName name="FDC_153_7" hidden="1">"#"</definedName>
    <definedName name="FDC_153_8" hidden="1">"#"</definedName>
    <definedName name="FDC_153_9" hidden="1">"#"</definedName>
    <definedName name="FDC_154_0" hidden="1">"#"</definedName>
    <definedName name="FDC_154_1" hidden="1">"#"</definedName>
    <definedName name="FDC_154_10" hidden="1">"#"</definedName>
    <definedName name="FDC_154_11" hidden="1">"#"</definedName>
    <definedName name="FDC_154_12" hidden="1">"#"</definedName>
    <definedName name="FDC_154_13" hidden="1">"#"</definedName>
    <definedName name="FDC_154_14" hidden="1">"#"</definedName>
    <definedName name="FDC_154_2" hidden="1">"#"</definedName>
    <definedName name="FDC_154_3" hidden="1">"#"</definedName>
    <definedName name="FDC_154_4" hidden="1">"#"</definedName>
    <definedName name="FDC_154_5" hidden="1">"#"</definedName>
    <definedName name="FDC_154_6" hidden="1">"#"</definedName>
    <definedName name="FDC_154_7" hidden="1">"#"</definedName>
    <definedName name="FDC_154_8" hidden="1">"#"</definedName>
    <definedName name="FDC_154_9" hidden="1">"#"</definedName>
    <definedName name="FDC_155_0" hidden="1">"#"</definedName>
    <definedName name="FDC_155_1" hidden="1">"#"</definedName>
    <definedName name="FDC_155_10" hidden="1">"#"</definedName>
    <definedName name="FDC_155_11" hidden="1">"#"</definedName>
    <definedName name="FDC_155_12" hidden="1">"#"</definedName>
    <definedName name="FDC_155_13" hidden="1">"#"</definedName>
    <definedName name="FDC_155_14" hidden="1">"#"</definedName>
    <definedName name="FDC_155_15" hidden="1">"#"</definedName>
    <definedName name="FDC_155_2" hidden="1">"#"</definedName>
    <definedName name="FDC_155_3" hidden="1">"#"</definedName>
    <definedName name="FDC_155_4" hidden="1">"#"</definedName>
    <definedName name="FDC_155_5" hidden="1">"#"</definedName>
    <definedName name="FDC_155_6" hidden="1">"#"</definedName>
    <definedName name="FDC_155_7" hidden="1">"#"</definedName>
    <definedName name="FDC_155_8" hidden="1">"#"</definedName>
    <definedName name="FDC_155_9" hidden="1">"#"</definedName>
    <definedName name="FDC_156_0" hidden="1">"#"</definedName>
    <definedName name="FDC_156_1" hidden="1">"#"</definedName>
    <definedName name="FDC_156_10" hidden="1">"#"</definedName>
    <definedName name="FDC_156_11" hidden="1">"#"</definedName>
    <definedName name="FDC_156_12" hidden="1">"#"</definedName>
    <definedName name="FDC_156_13" hidden="1">"#"</definedName>
    <definedName name="FDC_156_14" hidden="1">"#"</definedName>
    <definedName name="FDC_156_15" hidden="1">"#"</definedName>
    <definedName name="FDC_156_2" hidden="1">"#"</definedName>
    <definedName name="FDC_156_3" hidden="1">"#"</definedName>
    <definedName name="FDC_156_4" hidden="1">"#"</definedName>
    <definedName name="FDC_156_5" hidden="1">"#"</definedName>
    <definedName name="FDC_156_6" hidden="1">"#"</definedName>
    <definedName name="FDC_156_7" hidden="1">"#"</definedName>
    <definedName name="FDC_156_8" hidden="1">"#"</definedName>
    <definedName name="FDC_156_9" hidden="1">"#"</definedName>
    <definedName name="FDC_157_0" hidden="1">"#"</definedName>
    <definedName name="FDC_157_1" hidden="1">"#"</definedName>
    <definedName name="FDC_157_10" hidden="1">"#"</definedName>
    <definedName name="FDC_157_100" hidden="1">"#"</definedName>
    <definedName name="FDC_157_101" hidden="1">"#"</definedName>
    <definedName name="FDC_157_102" hidden="1">"#"</definedName>
    <definedName name="FDC_157_103" hidden="1">"#"</definedName>
    <definedName name="FDC_157_104" hidden="1">"#"</definedName>
    <definedName name="FDC_157_105" hidden="1">"#"</definedName>
    <definedName name="FDC_157_106" hidden="1">"#"</definedName>
    <definedName name="FDC_157_107" hidden="1">"#"</definedName>
    <definedName name="FDC_157_108" hidden="1">"#"</definedName>
    <definedName name="FDC_157_109" hidden="1">"#"</definedName>
    <definedName name="FDC_157_11" hidden="1">"#"</definedName>
    <definedName name="FDC_157_110" hidden="1">"#"</definedName>
    <definedName name="FDC_157_111" hidden="1">"#"</definedName>
    <definedName name="FDC_157_112" hidden="1">"#"</definedName>
    <definedName name="FDC_157_113" hidden="1">"#"</definedName>
    <definedName name="FDC_157_114" hidden="1">"#"</definedName>
    <definedName name="FDC_157_115" hidden="1">"#"</definedName>
    <definedName name="FDC_157_116" hidden="1">"#"</definedName>
    <definedName name="FDC_157_117" hidden="1">"#"</definedName>
    <definedName name="FDC_157_118" hidden="1">"#"</definedName>
    <definedName name="FDC_157_119" hidden="1">"#"</definedName>
    <definedName name="FDC_157_12" hidden="1">"#"</definedName>
    <definedName name="FDC_157_120" hidden="1">"#"</definedName>
    <definedName name="FDC_157_121" hidden="1">"#"</definedName>
    <definedName name="FDC_157_122" hidden="1">"#"</definedName>
    <definedName name="FDC_157_123" hidden="1">"#"</definedName>
    <definedName name="FDC_157_124" hidden="1">"#"</definedName>
    <definedName name="FDC_157_125" hidden="1">"#"</definedName>
    <definedName name="FDC_157_126" hidden="1">"#"</definedName>
    <definedName name="FDC_157_127" hidden="1">"#"</definedName>
    <definedName name="FDC_157_128" hidden="1">"#"</definedName>
    <definedName name="FDC_157_129" hidden="1">"#"</definedName>
    <definedName name="FDC_157_13" hidden="1">"#"</definedName>
    <definedName name="FDC_157_130" hidden="1">"#"</definedName>
    <definedName name="FDC_157_131" hidden="1">"#"</definedName>
    <definedName name="FDC_157_132" hidden="1">"#"</definedName>
    <definedName name="FDC_157_133" hidden="1">"#"</definedName>
    <definedName name="FDC_157_134" hidden="1">"#"</definedName>
    <definedName name="FDC_157_135" hidden="1">"#"</definedName>
    <definedName name="FDC_157_136" hidden="1">"#"</definedName>
    <definedName name="FDC_157_137" hidden="1">"#"</definedName>
    <definedName name="FDC_157_138" hidden="1">"#"</definedName>
    <definedName name="FDC_157_139" hidden="1">"#"</definedName>
    <definedName name="FDC_157_14" hidden="1">"#"</definedName>
    <definedName name="FDC_157_140" hidden="1">"#"</definedName>
    <definedName name="FDC_157_141" hidden="1">"#"</definedName>
    <definedName name="FDC_157_142" hidden="1">"#"</definedName>
    <definedName name="FDC_157_143" hidden="1">"#"</definedName>
    <definedName name="FDC_157_144" hidden="1">"#"</definedName>
    <definedName name="FDC_157_145" hidden="1">"#"</definedName>
    <definedName name="FDC_157_146" hidden="1">"#"</definedName>
    <definedName name="FDC_157_147" hidden="1">"#"</definedName>
    <definedName name="FDC_157_148" hidden="1">"#"</definedName>
    <definedName name="FDC_157_149" hidden="1">"#"</definedName>
    <definedName name="FDC_157_15" hidden="1">"#"</definedName>
    <definedName name="FDC_157_150" hidden="1">"#"</definedName>
    <definedName name="FDC_157_151" hidden="1">"#"</definedName>
    <definedName name="FDC_157_152" hidden="1">"#"</definedName>
    <definedName name="FDC_157_153" hidden="1">"#"</definedName>
    <definedName name="FDC_157_154" hidden="1">"#"</definedName>
    <definedName name="FDC_157_155" hidden="1">"#"</definedName>
    <definedName name="FDC_157_156" hidden="1">"#"</definedName>
    <definedName name="FDC_157_157" hidden="1">"#"</definedName>
    <definedName name="FDC_157_158" hidden="1">"#"</definedName>
    <definedName name="FDC_157_159" hidden="1">"#"</definedName>
    <definedName name="FDC_157_16" hidden="1">"#"</definedName>
    <definedName name="FDC_157_160" hidden="1">"#"</definedName>
    <definedName name="FDC_157_161" hidden="1">"#"</definedName>
    <definedName name="FDC_157_162" hidden="1">"#"</definedName>
    <definedName name="FDC_157_163" hidden="1">"#"</definedName>
    <definedName name="FDC_157_164" hidden="1">"#"</definedName>
    <definedName name="FDC_157_165" hidden="1">"#"</definedName>
    <definedName name="FDC_157_166" hidden="1">"#"</definedName>
    <definedName name="FDC_157_167" hidden="1">"#"</definedName>
    <definedName name="FDC_157_168" hidden="1">"#"</definedName>
    <definedName name="FDC_157_169" hidden="1">"#"</definedName>
    <definedName name="FDC_157_17" hidden="1">"#"</definedName>
    <definedName name="FDC_157_170" hidden="1">"#"</definedName>
    <definedName name="FDC_157_171" hidden="1">"#"</definedName>
    <definedName name="FDC_157_172" hidden="1">"#"</definedName>
    <definedName name="FDC_157_173" hidden="1">"#"</definedName>
    <definedName name="FDC_157_174" hidden="1">"#"</definedName>
    <definedName name="FDC_157_175" hidden="1">"#"</definedName>
    <definedName name="FDC_157_176" hidden="1">"#"</definedName>
    <definedName name="FDC_157_177" hidden="1">"#"</definedName>
    <definedName name="FDC_157_178" hidden="1">"#"</definedName>
    <definedName name="FDC_157_179" hidden="1">"#"</definedName>
    <definedName name="FDC_157_18" hidden="1">"#"</definedName>
    <definedName name="FDC_157_180" hidden="1">"#"</definedName>
    <definedName name="FDC_157_181" hidden="1">"#"</definedName>
    <definedName name="FDC_157_182" hidden="1">"#"</definedName>
    <definedName name="FDC_157_183" hidden="1">"#"</definedName>
    <definedName name="FDC_157_184" hidden="1">"#"</definedName>
    <definedName name="FDC_157_185" hidden="1">"#"</definedName>
    <definedName name="FDC_157_186" hidden="1">"#"</definedName>
    <definedName name="FDC_157_187" hidden="1">"#"</definedName>
    <definedName name="FDC_157_188" hidden="1">"#"</definedName>
    <definedName name="FDC_157_189" hidden="1">"#"</definedName>
    <definedName name="FDC_157_19" hidden="1">"#"</definedName>
    <definedName name="FDC_157_190" hidden="1">"#"</definedName>
    <definedName name="FDC_157_191" hidden="1">"#"</definedName>
    <definedName name="FDC_157_192" hidden="1">"#"</definedName>
    <definedName name="FDC_157_193" hidden="1">"#"</definedName>
    <definedName name="FDC_157_194" hidden="1">"#"</definedName>
    <definedName name="FDC_157_195" hidden="1">"#"</definedName>
    <definedName name="FDC_157_196" hidden="1">"#"</definedName>
    <definedName name="FDC_157_197" hidden="1">"#"</definedName>
    <definedName name="FDC_157_198" hidden="1">"#"</definedName>
    <definedName name="FDC_157_199" hidden="1">"#"</definedName>
    <definedName name="FDC_157_2" hidden="1">"#"</definedName>
    <definedName name="FDC_157_20" hidden="1">"#"</definedName>
    <definedName name="FDC_157_200" hidden="1">"#"</definedName>
    <definedName name="FDC_157_201" hidden="1">"#"</definedName>
    <definedName name="FDC_157_202" hidden="1">"#"</definedName>
    <definedName name="FDC_157_203" hidden="1">"#"</definedName>
    <definedName name="FDC_157_204" hidden="1">"#"</definedName>
    <definedName name="FDC_157_205" hidden="1">"#"</definedName>
    <definedName name="FDC_157_206" hidden="1">"#"</definedName>
    <definedName name="FDC_157_207" hidden="1">"#"</definedName>
    <definedName name="FDC_157_208" hidden="1">"#"</definedName>
    <definedName name="FDC_157_209" hidden="1">"#"</definedName>
    <definedName name="FDC_157_21" hidden="1">"#"</definedName>
    <definedName name="FDC_157_210" hidden="1">"#"</definedName>
    <definedName name="FDC_157_211" hidden="1">"#"</definedName>
    <definedName name="FDC_157_212" hidden="1">"#"</definedName>
    <definedName name="FDC_157_213" hidden="1">"#"</definedName>
    <definedName name="FDC_157_214" hidden="1">"#"</definedName>
    <definedName name="FDC_157_215" hidden="1">"#"</definedName>
    <definedName name="FDC_157_216" hidden="1">"#"</definedName>
    <definedName name="FDC_157_217" hidden="1">"#"</definedName>
    <definedName name="FDC_157_218" hidden="1">"#"</definedName>
    <definedName name="FDC_157_219" hidden="1">"#"</definedName>
    <definedName name="FDC_157_22" hidden="1">"#"</definedName>
    <definedName name="FDC_157_220" hidden="1">"#"</definedName>
    <definedName name="FDC_157_221" hidden="1">"#"</definedName>
    <definedName name="FDC_157_222" hidden="1">"#"</definedName>
    <definedName name="FDC_157_223" hidden="1">"#"</definedName>
    <definedName name="FDC_157_224" hidden="1">"#"</definedName>
    <definedName name="FDC_157_225" hidden="1">"#"</definedName>
    <definedName name="FDC_157_226" hidden="1">"#"</definedName>
    <definedName name="FDC_157_227" hidden="1">"#"</definedName>
    <definedName name="FDC_157_228" hidden="1">"#"</definedName>
    <definedName name="FDC_157_229" hidden="1">"#"</definedName>
    <definedName name="FDC_157_23" hidden="1">"#"</definedName>
    <definedName name="FDC_157_230" hidden="1">"#"</definedName>
    <definedName name="FDC_157_231" hidden="1">"#"</definedName>
    <definedName name="FDC_157_232" hidden="1">"#"</definedName>
    <definedName name="FDC_157_233" hidden="1">"#"</definedName>
    <definedName name="FDC_157_234" hidden="1">"#"</definedName>
    <definedName name="FDC_157_235" hidden="1">"#"</definedName>
    <definedName name="FDC_157_236" hidden="1">"#"</definedName>
    <definedName name="FDC_157_237" hidden="1">"#"</definedName>
    <definedName name="FDC_157_238" hidden="1">"#"</definedName>
    <definedName name="FDC_157_239" hidden="1">"#"</definedName>
    <definedName name="FDC_157_24" hidden="1">"#"</definedName>
    <definedName name="FDC_157_240" hidden="1">"#"</definedName>
    <definedName name="FDC_157_241" hidden="1">"#"</definedName>
    <definedName name="FDC_157_242" hidden="1">"#"</definedName>
    <definedName name="FDC_157_243" hidden="1">"#"</definedName>
    <definedName name="FDC_157_244" hidden="1">"#"</definedName>
    <definedName name="FDC_157_245" hidden="1">"#"</definedName>
    <definedName name="FDC_157_246" hidden="1">"#"</definedName>
    <definedName name="FDC_157_247" hidden="1">"#"</definedName>
    <definedName name="FDC_157_248" hidden="1">"#"</definedName>
    <definedName name="FDC_157_249" hidden="1">"#"</definedName>
    <definedName name="FDC_157_25" hidden="1">"#"</definedName>
    <definedName name="FDC_157_250" hidden="1">"#"</definedName>
    <definedName name="FDC_157_251" hidden="1">"#"</definedName>
    <definedName name="FDC_157_252" hidden="1">"#"</definedName>
    <definedName name="FDC_157_26" hidden="1">"#"</definedName>
    <definedName name="FDC_157_27" hidden="1">"#"</definedName>
    <definedName name="FDC_157_28" hidden="1">"#"</definedName>
    <definedName name="FDC_157_29" hidden="1">"#"</definedName>
    <definedName name="FDC_157_3" hidden="1">"#"</definedName>
    <definedName name="FDC_157_30" hidden="1">"#"</definedName>
    <definedName name="FDC_157_31" hidden="1">"#"</definedName>
    <definedName name="FDC_157_32" hidden="1">"#"</definedName>
    <definedName name="FDC_157_33" hidden="1">"#"</definedName>
    <definedName name="FDC_157_34" hidden="1">"#"</definedName>
    <definedName name="FDC_157_35" hidden="1">"#"</definedName>
    <definedName name="FDC_157_36" hidden="1">"#"</definedName>
    <definedName name="FDC_157_37" hidden="1">"#"</definedName>
    <definedName name="FDC_157_38" hidden="1">"#"</definedName>
    <definedName name="FDC_157_39" hidden="1">"#"</definedName>
    <definedName name="FDC_157_4" hidden="1">"#"</definedName>
    <definedName name="FDC_157_40" hidden="1">"#"</definedName>
    <definedName name="FDC_157_41" hidden="1">"#"</definedName>
    <definedName name="FDC_157_42" hidden="1">"#"</definedName>
    <definedName name="FDC_157_43" hidden="1">"#"</definedName>
    <definedName name="FDC_157_44" hidden="1">"#"</definedName>
    <definedName name="FDC_157_45" hidden="1">"#"</definedName>
    <definedName name="FDC_157_46" hidden="1">"#"</definedName>
    <definedName name="FDC_157_47" hidden="1">"#"</definedName>
    <definedName name="FDC_157_48" hidden="1">"#"</definedName>
    <definedName name="FDC_157_49" hidden="1">"#"</definedName>
    <definedName name="FDC_157_5" hidden="1">"#"</definedName>
    <definedName name="FDC_157_50" hidden="1">"#"</definedName>
    <definedName name="FDC_157_51" hidden="1">"#"</definedName>
    <definedName name="FDC_157_52" hidden="1">"#"</definedName>
    <definedName name="FDC_157_53" hidden="1">"#"</definedName>
    <definedName name="FDC_157_54" hidden="1">"#"</definedName>
    <definedName name="FDC_157_55" hidden="1">"#"</definedName>
    <definedName name="FDC_157_56" hidden="1">"#"</definedName>
    <definedName name="FDC_157_57" hidden="1">"#"</definedName>
    <definedName name="FDC_157_58" hidden="1">"#"</definedName>
    <definedName name="FDC_157_59" hidden="1">"#"</definedName>
    <definedName name="FDC_157_6" hidden="1">"#"</definedName>
    <definedName name="FDC_157_60" hidden="1">"#"</definedName>
    <definedName name="FDC_157_61" hidden="1">"#"</definedName>
    <definedName name="FDC_157_62" hidden="1">"#"</definedName>
    <definedName name="FDC_157_63" hidden="1">"#"</definedName>
    <definedName name="FDC_157_64" hidden="1">"#"</definedName>
    <definedName name="FDC_157_65" hidden="1">"#"</definedName>
    <definedName name="FDC_157_66" hidden="1">"#"</definedName>
    <definedName name="FDC_157_67" hidden="1">"#"</definedName>
    <definedName name="FDC_157_68" hidden="1">"#"</definedName>
    <definedName name="FDC_157_69" hidden="1">"#"</definedName>
    <definedName name="FDC_157_7" hidden="1">"#"</definedName>
    <definedName name="FDC_157_70" hidden="1">"#"</definedName>
    <definedName name="FDC_157_71" hidden="1">"#"</definedName>
    <definedName name="FDC_157_72" hidden="1">"#"</definedName>
    <definedName name="FDC_157_73" hidden="1">"#"</definedName>
    <definedName name="FDC_157_74" hidden="1">"#"</definedName>
    <definedName name="FDC_157_75" hidden="1">"#"</definedName>
    <definedName name="FDC_157_76" hidden="1">"#"</definedName>
    <definedName name="FDC_157_77" hidden="1">"#"</definedName>
    <definedName name="FDC_157_78" hidden="1">"#"</definedName>
    <definedName name="FDC_157_79" hidden="1">"#"</definedName>
    <definedName name="FDC_157_8" hidden="1">"#"</definedName>
    <definedName name="FDC_157_80" hidden="1">"#"</definedName>
    <definedName name="FDC_157_81" hidden="1">"#"</definedName>
    <definedName name="FDC_157_82" hidden="1">"#"</definedName>
    <definedName name="FDC_157_83" hidden="1">"#"</definedName>
    <definedName name="FDC_157_84" hidden="1">"#"</definedName>
    <definedName name="FDC_157_85" hidden="1">"#"</definedName>
    <definedName name="FDC_157_86" hidden="1">"#"</definedName>
    <definedName name="FDC_157_87" hidden="1">"#"</definedName>
    <definedName name="FDC_157_88" hidden="1">"#"</definedName>
    <definedName name="FDC_157_89" hidden="1">"#"</definedName>
    <definedName name="FDC_157_9" hidden="1">"#"</definedName>
    <definedName name="FDC_157_90" hidden="1">"#"</definedName>
    <definedName name="FDC_157_91" hidden="1">"#"</definedName>
    <definedName name="FDC_157_92" hidden="1">"#"</definedName>
    <definedName name="FDC_157_93" hidden="1">"#"</definedName>
    <definedName name="FDC_157_94" hidden="1">"#"</definedName>
    <definedName name="FDC_157_95" hidden="1">"#"</definedName>
    <definedName name="FDC_157_96" hidden="1">"#"</definedName>
    <definedName name="FDC_157_97" hidden="1">"#"</definedName>
    <definedName name="FDC_157_98" hidden="1">"#"</definedName>
    <definedName name="FDC_157_99" hidden="1">"#"</definedName>
    <definedName name="FDC_158_0" hidden="1">"#"</definedName>
    <definedName name="FDC_158_1" hidden="1">"#"</definedName>
    <definedName name="FDC_158_10" hidden="1">"#"</definedName>
    <definedName name="FDC_158_11" hidden="1">"#"</definedName>
    <definedName name="FDC_158_12" hidden="1">"#"</definedName>
    <definedName name="FDC_158_13" hidden="1">"#"</definedName>
    <definedName name="FDC_158_14" hidden="1">"#"</definedName>
    <definedName name="FDC_158_15" hidden="1">"#"</definedName>
    <definedName name="FDC_158_2" hidden="1">"#"</definedName>
    <definedName name="FDC_158_3" hidden="1">"#"</definedName>
    <definedName name="FDC_158_4" hidden="1">"#"</definedName>
    <definedName name="FDC_158_5" hidden="1">"#"</definedName>
    <definedName name="FDC_158_6" hidden="1">"#"</definedName>
    <definedName name="FDC_158_7" hidden="1">"#"</definedName>
    <definedName name="FDC_158_8" hidden="1">"#"</definedName>
    <definedName name="FDC_158_9" hidden="1">"#"</definedName>
    <definedName name="FDC_159_0" hidden="1">"#"</definedName>
    <definedName name="FDC_159_1" hidden="1">"#"</definedName>
    <definedName name="FDC_159_10" hidden="1">"#"</definedName>
    <definedName name="FDC_159_11" hidden="1">"#"</definedName>
    <definedName name="FDC_159_12" hidden="1">"#"</definedName>
    <definedName name="FDC_159_13" hidden="1">"#"</definedName>
    <definedName name="FDC_159_14" hidden="1">"#"</definedName>
    <definedName name="FDC_159_15" hidden="1">"#"</definedName>
    <definedName name="FDC_159_2" hidden="1">"#"</definedName>
    <definedName name="FDC_159_3" hidden="1">"#"</definedName>
    <definedName name="FDC_159_4" hidden="1">"#"</definedName>
    <definedName name="FDC_159_5" hidden="1">"#"</definedName>
    <definedName name="FDC_159_6" hidden="1">"#"</definedName>
    <definedName name="FDC_159_7" hidden="1">"#"</definedName>
    <definedName name="FDC_159_8" hidden="1">"#"</definedName>
    <definedName name="FDC_159_9" hidden="1">"#"</definedName>
    <definedName name="FDC_16_0" hidden="1">"#"</definedName>
    <definedName name="FDC_160_0" hidden="1">"#"</definedName>
    <definedName name="FDC_160_1" hidden="1">"#"</definedName>
    <definedName name="FDC_160_10" hidden="1">"#"</definedName>
    <definedName name="FDC_160_11" hidden="1">"#"</definedName>
    <definedName name="FDC_160_12" hidden="1">"#"</definedName>
    <definedName name="FDC_160_13" hidden="1">"#"</definedName>
    <definedName name="FDC_160_14" hidden="1">"#"</definedName>
    <definedName name="FDC_160_15" hidden="1">"#"</definedName>
    <definedName name="FDC_160_2" hidden="1">"#"</definedName>
    <definedName name="FDC_160_3" hidden="1">"#"</definedName>
    <definedName name="FDC_160_4" hidden="1">"#"</definedName>
    <definedName name="FDC_160_5" hidden="1">"#"</definedName>
    <definedName name="FDC_160_6" hidden="1">"#"</definedName>
    <definedName name="FDC_160_7" hidden="1">"#"</definedName>
    <definedName name="FDC_160_8" hidden="1">"#"</definedName>
    <definedName name="FDC_160_9" hidden="1">"#"</definedName>
    <definedName name="FDC_161_0" hidden="1">"#"</definedName>
    <definedName name="FDC_161_1" hidden="1">"#"</definedName>
    <definedName name="FDC_161_10" hidden="1">"#"</definedName>
    <definedName name="FDC_161_11" hidden="1">"#"</definedName>
    <definedName name="FDC_161_12" hidden="1">"#"</definedName>
    <definedName name="FDC_161_13" hidden="1">"#"</definedName>
    <definedName name="FDC_161_14" hidden="1">"#"</definedName>
    <definedName name="FDC_161_2" hidden="1">"#"</definedName>
    <definedName name="FDC_161_3" hidden="1">"#"</definedName>
    <definedName name="FDC_161_4" hidden="1">"#"</definedName>
    <definedName name="FDC_161_5" hidden="1">"#"</definedName>
    <definedName name="FDC_161_6" hidden="1">"#"</definedName>
    <definedName name="FDC_161_7" hidden="1">"#"</definedName>
    <definedName name="FDC_161_8" hidden="1">"#"</definedName>
    <definedName name="FDC_161_9" hidden="1">"#"</definedName>
    <definedName name="FDC_162_0" hidden="1">"#"</definedName>
    <definedName name="FDC_162_1" hidden="1">"#"</definedName>
    <definedName name="FDC_162_10" hidden="1">"#"</definedName>
    <definedName name="FDC_162_11" hidden="1">"#"</definedName>
    <definedName name="FDC_162_12" hidden="1">"#"</definedName>
    <definedName name="FDC_162_13" hidden="1">"#"</definedName>
    <definedName name="FDC_162_14" hidden="1">"#"</definedName>
    <definedName name="FDC_162_15" hidden="1">"#"</definedName>
    <definedName name="FDC_162_2" hidden="1">"#"</definedName>
    <definedName name="FDC_162_3" hidden="1">"#"</definedName>
    <definedName name="FDC_162_4" hidden="1">"#"</definedName>
    <definedName name="FDC_162_5" hidden="1">"#"</definedName>
    <definedName name="FDC_162_6" hidden="1">"#"</definedName>
    <definedName name="FDC_162_7" hidden="1">"#"</definedName>
    <definedName name="FDC_162_8" hidden="1">"#"</definedName>
    <definedName name="FDC_162_9" hidden="1">"#"</definedName>
    <definedName name="FDC_163_0" hidden="1">"#"</definedName>
    <definedName name="FDC_163_1" hidden="1">"#"</definedName>
    <definedName name="FDC_163_10" hidden="1">"#"</definedName>
    <definedName name="FDC_163_11" hidden="1">"#"</definedName>
    <definedName name="FDC_163_12" hidden="1">"#"</definedName>
    <definedName name="FDC_163_13" hidden="1">"#"</definedName>
    <definedName name="FDC_163_14" hidden="1">"#"</definedName>
    <definedName name="FDC_163_15" hidden="1">"#"</definedName>
    <definedName name="FDC_163_2" hidden="1">"#"</definedName>
    <definedName name="FDC_163_3" hidden="1">"#"</definedName>
    <definedName name="FDC_163_4" hidden="1">"#"</definedName>
    <definedName name="FDC_163_5" hidden="1">"#"</definedName>
    <definedName name="FDC_163_6" hidden="1">"#"</definedName>
    <definedName name="FDC_163_7" hidden="1">"#"</definedName>
    <definedName name="FDC_163_8" hidden="1">"#"</definedName>
    <definedName name="FDC_163_9" hidden="1">"#"</definedName>
    <definedName name="FDC_164_0" hidden="1">"#"</definedName>
    <definedName name="FDC_164_1" hidden="1">"#"</definedName>
    <definedName name="FDC_164_10" hidden="1">"#"</definedName>
    <definedName name="FDC_164_11" hidden="1">"#"</definedName>
    <definedName name="FDC_164_12" hidden="1">"#"</definedName>
    <definedName name="FDC_164_13" hidden="1">"#"</definedName>
    <definedName name="FDC_164_14" hidden="1">"#"</definedName>
    <definedName name="FDC_164_15" hidden="1">"#"</definedName>
    <definedName name="FDC_164_2" hidden="1">"#"</definedName>
    <definedName name="FDC_164_3" hidden="1">"#"</definedName>
    <definedName name="FDC_164_4" hidden="1">"#"</definedName>
    <definedName name="FDC_164_5" hidden="1">"#"</definedName>
    <definedName name="FDC_164_6" hidden="1">"#"</definedName>
    <definedName name="FDC_164_7" hidden="1">"#"</definedName>
    <definedName name="FDC_164_8" hidden="1">"#"</definedName>
    <definedName name="FDC_164_9" hidden="1">"#"</definedName>
    <definedName name="FDC_165_0" hidden="1">"#"</definedName>
    <definedName name="FDC_165_1" hidden="1">"#"</definedName>
    <definedName name="FDC_165_10" hidden="1">"#"</definedName>
    <definedName name="FDC_165_11" hidden="1">"#"</definedName>
    <definedName name="FDC_165_12" hidden="1">"#"</definedName>
    <definedName name="FDC_165_13" hidden="1">"#"</definedName>
    <definedName name="FDC_165_14" hidden="1">"#"</definedName>
    <definedName name="FDC_165_2" hidden="1">"#"</definedName>
    <definedName name="FDC_165_3" hidden="1">"#"</definedName>
    <definedName name="FDC_165_4" hidden="1">"#"</definedName>
    <definedName name="FDC_165_5" hidden="1">"#"</definedName>
    <definedName name="FDC_165_6" hidden="1">"#"</definedName>
    <definedName name="FDC_165_7" hidden="1">"#"</definedName>
    <definedName name="FDC_165_8" hidden="1">"#"</definedName>
    <definedName name="FDC_165_9" hidden="1">"#"</definedName>
    <definedName name="FDC_166_0" hidden="1">"#"</definedName>
    <definedName name="FDC_166_1" hidden="1">"#"</definedName>
    <definedName name="FDC_166_10" hidden="1">"#"</definedName>
    <definedName name="FDC_166_11" hidden="1">"#"</definedName>
    <definedName name="FDC_166_12" hidden="1">"#"</definedName>
    <definedName name="FDC_166_13" hidden="1">"#"</definedName>
    <definedName name="FDC_166_14" hidden="1">"#"</definedName>
    <definedName name="FDC_166_15" hidden="1">"#"</definedName>
    <definedName name="FDC_166_2" hidden="1">"#"</definedName>
    <definedName name="FDC_166_3" hidden="1">"#"</definedName>
    <definedName name="FDC_166_4" hidden="1">"#"</definedName>
    <definedName name="FDC_166_5" hidden="1">"#"</definedName>
    <definedName name="FDC_166_6" hidden="1">"#"</definedName>
    <definedName name="FDC_166_7" hidden="1">"#"</definedName>
    <definedName name="FDC_166_8" hidden="1">"#"</definedName>
    <definedName name="FDC_166_9" hidden="1">"#"</definedName>
    <definedName name="FDC_167_0" hidden="1">"#"</definedName>
    <definedName name="FDC_167_1" hidden="1">"#"</definedName>
    <definedName name="FDC_167_10" hidden="1">"#"</definedName>
    <definedName name="FDC_167_11" hidden="1">"#"</definedName>
    <definedName name="FDC_167_12" hidden="1">"#"</definedName>
    <definedName name="FDC_167_13" hidden="1">"#"</definedName>
    <definedName name="FDC_167_14" hidden="1">"#"</definedName>
    <definedName name="FDC_167_2" hidden="1">"#"</definedName>
    <definedName name="FDC_167_3" hidden="1">"#"</definedName>
    <definedName name="FDC_167_4" hidden="1">"#"</definedName>
    <definedName name="FDC_167_5" hidden="1">"#"</definedName>
    <definedName name="FDC_167_6" hidden="1">"#"</definedName>
    <definedName name="FDC_167_7" hidden="1">"#"</definedName>
    <definedName name="FDC_167_8" hidden="1">"#"</definedName>
    <definedName name="FDC_167_9" hidden="1">"#"</definedName>
    <definedName name="FDC_168_0" hidden="1">"#"</definedName>
    <definedName name="FDC_168_1" hidden="1">"#"</definedName>
    <definedName name="FDC_168_2" hidden="1">"#"</definedName>
    <definedName name="FDC_169_0" hidden="1">"#"</definedName>
    <definedName name="FDC_169_1" hidden="1">"#"</definedName>
    <definedName name="FDC_169_10" hidden="1">"#"</definedName>
    <definedName name="FDC_169_11" hidden="1">"#"</definedName>
    <definedName name="FDC_169_12" hidden="1">"#"</definedName>
    <definedName name="FDC_169_13" hidden="1">"#"</definedName>
    <definedName name="FDC_169_14" hidden="1">"#"</definedName>
    <definedName name="FDC_169_15" hidden="1">"#"</definedName>
    <definedName name="FDC_169_2" hidden="1">"#"</definedName>
    <definedName name="FDC_169_3" hidden="1">"#"</definedName>
    <definedName name="FDC_169_4" hidden="1">"#"</definedName>
    <definedName name="FDC_169_5" hidden="1">"#"</definedName>
    <definedName name="FDC_169_6" hidden="1">"#"</definedName>
    <definedName name="FDC_169_7" hidden="1">"#"</definedName>
    <definedName name="FDC_169_8" hidden="1">"#"</definedName>
    <definedName name="FDC_169_9" hidden="1">"#"</definedName>
    <definedName name="FDC_17_0" hidden="1">"#"</definedName>
    <definedName name="FDC_170_0" hidden="1">"#"</definedName>
    <definedName name="FDC_170_1" hidden="1">"#"</definedName>
    <definedName name="FDC_170_10" hidden="1">"#"</definedName>
    <definedName name="FDC_170_11" hidden="1">"#"</definedName>
    <definedName name="FDC_170_12" hidden="1">"#"</definedName>
    <definedName name="FDC_170_13" hidden="1">"#"</definedName>
    <definedName name="FDC_170_14" hidden="1">"#"</definedName>
    <definedName name="FDC_170_2" hidden="1">"#"</definedName>
    <definedName name="FDC_170_3" hidden="1">"#"</definedName>
    <definedName name="FDC_170_4" hidden="1">"#"</definedName>
    <definedName name="FDC_170_5" hidden="1">"#"</definedName>
    <definedName name="FDC_170_6" hidden="1">"#"</definedName>
    <definedName name="FDC_170_7" hidden="1">"#"</definedName>
    <definedName name="FDC_170_8" hidden="1">"#"</definedName>
    <definedName name="FDC_170_9" hidden="1">"#"</definedName>
    <definedName name="FDC_171_0" hidden="1">"#"</definedName>
    <definedName name="FDC_171_1" hidden="1">"#"</definedName>
    <definedName name="FDC_171_10" hidden="1">"#"</definedName>
    <definedName name="FDC_171_11" hidden="1">"#"</definedName>
    <definedName name="FDC_171_12" hidden="1">"#"</definedName>
    <definedName name="FDC_171_13" hidden="1">"#"</definedName>
    <definedName name="FDC_171_14" hidden="1">"#"</definedName>
    <definedName name="FDC_171_2" hidden="1">"#"</definedName>
    <definedName name="FDC_171_3" hidden="1">"#"</definedName>
    <definedName name="FDC_171_4" hidden="1">"#"</definedName>
    <definedName name="FDC_171_5" hidden="1">"#"</definedName>
    <definedName name="FDC_171_6" hidden="1">"#"</definedName>
    <definedName name="FDC_171_7" hidden="1">"#"</definedName>
    <definedName name="FDC_171_8" hidden="1">"#"</definedName>
    <definedName name="FDC_171_9" hidden="1">"#"</definedName>
    <definedName name="FDC_172_0" hidden="1">"#"</definedName>
    <definedName name="FDC_172_1" hidden="1">"#"</definedName>
    <definedName name="FDC_172_10" hidden="1">"#"</definedName>
    <definedName name="FDC_172_11" hidden="1">"#"</definedName>
    <definedName name="FDC_172_12" hidden="1">"#"</definedName>
    <definedName name="FDC_172_13" hidden="1">"#"</definedName>
    <definedName name="FDC_172_14" hidden="1">"#"</definedName>
    <definedName name="FDC_172_2" hidden="1">"#"</definedName>
    <definedName name="FDC_172_3" hidden="1">"#"</definedName>
    <definedName name="FDC_172_4" hidden="1">"#"</definedName>
    <definedName name="FDC_172_5" hidden="1">"#"</definedName>
    <definedName name="FDC_172_6" hidden="1">"#"</definedName>
    <definedName name="FDC_172_7" hidden="1">"#"</definedName>
    <definedName name="FDC_172_8" hidden="1">"#"</definedName>
    <definedName name="FDC_172_9" hidden="1">"#"</definedName>
    <definedName name="FDC_173_0" hidden="1">"#"</definedName>
    <definedName name="FDC_173_1" hidden="1">"#"</definedName>
    <definedName name="FDC_173_2" hidden="1">"#"</definedName>
    <definedName name="FDC_174_0" hidden="1">"#"</definedName>
    <definedName name="FDC_174_1" hidden="1">"#"</definedName>
    <definedName name="FDC_174_2" hidden="1">"#"</definedName>
    <definedName name="FDC_175_0" hidden="1">"#"</definedName>
    <definedName name="FDC_175_1" hidden="1">"#"</definedName>
    <definedName name="FDC_175_2" hidden="1">"#"</definedName>
    <definedName name="FDC_176_0" hidden="1">"#"</definedName>
    <definedName name="FDC_176_1" hidden="1">"#"</definedName>
    <definedName name="FDC_176_2" hidden="1">"#"</definedName>
    <definedName name="FDC_177_0" hidden="1">"#"</definedName>
    <definedName name="FDC_177_1" hidden="1">"#"</definedName>
    <definedName name="FDC_177_2" hidden="1">"#"</definedName>
    <definedName name="FDC_178_0" hidden="1">"#"</definedName>
    <definedName name="FDC_178_1" hidden="1">"#"</definedName>
    <definedName name="FDC_178_2" hidden="1">"#"</definedName>
    <definedName name="FDC_179_0" hidden="1">"#"</definedName>
    <definedName name="FDC_179_1" hidden="1">"#"</definedName>
    <definedName name="FDC_179_2" hidden="1">"#"</definedName>
    <definedName name="FDC_18_0" hidden="1">"#"</definedName>
    <definedName name="FDC_180_0" hidden="1">"#"</definedName>
    <definedName name="FDC_180_1" hidden="1">"#"</definedName>
    <definedName name="FDC_180_2" hidden="1">"#"</definedName>
    <definedName name="FDC_181_0" hidden="1">"#"</definedName>
    <definedName name="FDC_181_1" hidden="1">"#"</definedName>
    <definedName name="FDC_181_2" hidden="1">"#"</definedName>
    <definedName name="FDC_182_0" hidden="1">"#"</definedName>
    <definedName name="FDC_182_1" hidden="1">"#"</definedName>
    <definedName name="FDC_182_2" hidden="1">"#"</definedName>
    <definedName name="FDC_183_0" hidden="1">"#"</definedName>
    <definedName name="FDC_183_1" hidden="1">"#"</definedName>
    <definedName name="FDC_183_2" hidden="1">"#"</definedName>
    <definedName name="FDC_184_0" hidden="1">"#"</definedName>
    <definedName name="FDC_184_1" hidden="1">"#"</definedName>
    <definedName name="FDC_184_2" hidden="1">"#"</definedName>
    <definedName name="FDC_185_0" hidden="1">"#"</definedName>
    <definedName name="FDC_185_1" hidden="1">"#"</definedName>
    <definedName name="FDC_185_2" hidden="1">"#"</definedName>
    <definedName name="FDC_186_0" hidden="1">"#"</definedName>
    <definedName name="FDC_186_1" hidden="1">"#"</definedName>
    <definedName name="FDC_186_2" hidden="1">"#"</definedName>
    <definedName name="FDC_187_0" hidden="1">"#"</definedName>
    <definedName name="FDC_187_1" hidden="1">"#"</definedName>
    <definedName name="FDC_187_2" hidden="1">"#"</definedName>
    <definedName name="FDC_188_0" hidden="1">"#"</definedName>
    <definedName name="FDC_188_1" hidden="1">"#"</definedName>
    <definedName name="FDC_188_2" hidden="1">"#"</definedName>
    <definedName name="FDC_189_0" hidden="1">"#"</definedName>
    <definedName name="FDC_189_1" hidden="1">"#"</definedName>
    <definedName name="FDC_189_2" hidden="1">"#"</definedName>
    <definedName name="FDC_19_0" hidden="1">"#"</definedName>
    <definedName name="FDC_19_1" hidden="1">"#"</definedName>
    <definedName name="FDC_19_2" hidden="1">"#"</definedName>
    <definedName name="FDC_19_3" hidden="1">"#"</definedName>
    <definedName name="FDC_190_0" hidden="1">"#"</definedName>
    <definedName name="FDC_190_1" hidden="1">"#"</definedName>
    <definedName name="FDC_190_2" hidden="1">"#"</definedName>
    <definedName name="FDC_191_0" hidden="1">"#"</definedName>
    <definedName name="FDC_191_1" hidden="1">"#"</definedName>
    <definedName name="FDC_191_2" hidden="1">"#"</definedName>
    <definedName name="FDC_192_0" hidden="1">"#"</definedName>
    <definedName name="FDC_192_1" hidden="1">"#"</definedName>
    <definedName name="FDC_192_2" hidden="1">"#"</definedName>
    <definedName name="FDC_193_0" hidden="1">"#"</definedName>
    <definedName name="FDC_193_1" hidden="1">"#"</definedName>
    <definedName name="FDC_193_2" hidden="1">"#"</definedName>
    <definedName name="FDC_194_0" hidden="1">"#"</definedName>
    <definedName name="FDC_194_1" hidden="1">"#"</definedName>
    <definedName name="FDC_194_2" hidden="1">"#"</definedName>
    <definedName name="FDC_195_0" hidden="1">"#"</definedName>
    <definedName name="FDC_195_1" hidden="1">"#"</definedName>
    <definedName name="FDC_195_2" hidden="1">"#"</definedName>
    <definedName name="FDC_196_0" hidden="1">"#"</definedName>
    <definedName name="FDC_196_1" hidden="1">"#"</definedName>
    <definedName name="FDC_196_2" hidden="1">"#"</definedName>
    <definedName name="FDC_197_0" hidden="1">"#"</definedName>
    <definedName name="FDC_197_1" hidden="1">"#"</definedName>
    <definedName name="FDC_197_2" hidden="1">"#"</definedName>
    <definedName name="FDC_198_0" hidden="1">"#"</definedName>
    <definedName name="FDC_198_1" hidden="1">"#"</definedName>
    <definedName name="FDC_198_2" hidden="1">"#"</definedName>
    <definedName name="FDC_199_0" hidden="1">"#"</definedName>
    <definedName name="FDC_199_1" hidden="1">"#"</definedName>
    <definedName name="FDC_199_2" hidden="1">"#"</definedName>
    <definedName name="FDC_2_0" hidden="1">"#"</definedName>
    <definedName name="FDC_20_0" hidden="1">"#"</definedName>
    <definedName name="FDC_200_0" hidden="1">"#"</definedName>
    <definedName name="FDC_200_1" hidden="1">"#"</definedName>
    <definedName name="FDC_200_2" hidden="1">"#"</definedName>
    <definedName name="FDC_201_0" hidden="1">"#"</definedName>
    <definedName name="FDC_201_1" hidden="1">"#"</definedName>
    <definedName name="FDC_201_2" hidden="1">"#"</definedName>
    <definedName name="FDC_202_0" hidden="1">"#"</definedName>
    <definedName name="FDC_202_1" hidden="1">"#"</definedName>
    <definedName name="FDC_202_2" hidden="1">"#"</definedName>
    <definedName name="FDC_203_0" hidden="1">"#"</definedName>
    <definedName name="FDC_203_1" hidden="1">"#"</definedName>
    <definedName name="FDC_203_2" hidden="1">"#"</definedName>
    <definedName name="FDC_204_0" hidden="1">"#"</definedName>
    <definedName name="FDC_204_1" hidden="1">"#"</definedName>
    <definedName name="FDC_204_2" hidden="1">"#"</definedName>
    <definedName name="FDC_205_0" hidden="1">"#"</definedName>
    <definedName name="FDC_205_1" hidden="1">"#"</definedName>
    <definedName name="FDC_205_2" hidden="1">"#"</definedName>
    <definedName name="FDC_206_0" hidden="1">"#"</definedName>
    <definedName name="FDC_206_1" hidden="1">"#"</definedName>
    <definedName name="FDC_206_2" hidden="1">"#"</definedName>
    <definedName name="FDC_207_0" hidden="1">"#"</definedName>
    <definedName name="FDC_207_1" hidden="1">"#"</definedName>
    <definedName name="FDC_207_2" hidden="1">"#"</definedName>
    <definedName name="FDC_208_0" hidden="1">"#"</definedName>
    <definedName name="FDC_208_1" hidden="1">"#"</definedName>
    <definedName name="FDC_208_2" hidden="1">"#"</definedName>
    <definedName name="FDC_209_0" hidden="1">"#"</definedName>
    <definedName name="FDC_209_1" hidden="1">"#"</definedName>
    <definedName name="FDC_209_2" hidden="1">"#"</definedName>
    <definedName name="FDC_21_0" hidden="1">"#"</definedName>
    <definedName name="FDC_21_1" hidden="1">"#"</definedName>
    <definedName name="FDC_21_2" hidden="1">"#"</definedName>
    <definedName name="FDC_21_3" hidden="1">"#"</definedName>
    <definedName name="FDC_210_0" hidden="1">"#"</definedName>
    <definedName name="FDC_210_1" hidden="1">"#"</definedName>
    <definedName name="FDC_211_0" hidden="1">"#"</definedName>
    <definedName name="FDC_211_1" hidden="1">"#"</definedName>
    <definedName name="FDC_211_2" hidden="1">"#"</definedName>
    <definedName name="FDC_212_0" hidden="1">"#"</definedName>
    <definedName name="FDC_212_1" hidden="1">"#"</definedName>
    <definedName name="FDC_212_2" hidden="1">"#"</definedName>
    <definedName name="FDC_213_0" hidden="1">"#"</definedName>
    <definedName name="FDC_213_1" hidden="1">"#"</definedName>
    <definedName name="FDC_213_2" hidden="1">"#"</definedName>
    <definedName name="FDC_214_0" hidden="1">"#"</definedName>
    <definedName name="FDC_214_1" hidden="1">"#"</definedName>
    <definedName name="FDC_214_2" hidden="1">"#"</definedName>
    <definedName name="FDC_215_0" hidden="1">"#"</definedName>
    <definedName name="FDC_216_0" hidden="1">"#"</definedName>
    <definedName name="FDC_217_0" hidden="1">"#"</definedName>
    <definedName name="FDC_218_0" hidden="1">"#"</definedName>
    <definedName name="FDC_218_1" hidden="1">"#"</definedName>
    <definedName name="FDC_218_2" hidden="1">"#"</definedName>
    <definedName name="FDC_219_0" hidden="1">"#"</definedName>
    <definedName name="FDC_219_1" hidden="1">"#"</definedName>
    <definedName name="FDC_219_2" hidden="1">"#"</definedName>
    <definedName name="FDC_22_0" hidden="1">"#"</definedName>
    <definedName name="FDC_220_0" hidden="1">"#"</definedName>
    <definedName name="FDC_221_0" hidden="1">"#"</definedName>
    <definedName name="FDC_222_0" hidden="1">"#"</definedName>
    <definedName name="FDC_223_0" hidden="1">"#"</definedName>
    <definedName name="FDC_223_1" hidden="1">"#"</definedName>
    <definedName name="FDC_223_2" hidden="1">"#"</definedName>
    <definedName name="FDC_224_0" hidden="1">"#"</definedName>
    <definedName name="FDC_224_1" hidden="1">"#"</definedName>
    <definedName name="FDC_224_2" hidden="1">"#"</definedName>
    <definedName name="FDC_225_0" hidden="1">"#"</definedName>
    <definedName name="FDC_226_0" hidden="1">"#"</definedName>
    <definedName name="FDC_227_0" hidden="1">"#"</definedName>
    <definedName name="FDC_228_0" hidden="1">"#"</definedName>
    <definedName name="FDC_228_1" hidden="1">"#"</definedName>
    <definedName name="FDC_228_2" hidden="1">"#"</definedName>
    <definedName name="FDC_229_0" hidden="1">"#"</definedName>
    <definedName name="FDC_229_1" hidden="1">"#"</definedName>
    <definedName name="FDC_229_2" hidden="1">"#"</definedName>
    <definedName name="FDC_23_0" hidden="1">"#"</definedName>
    <definedName name="FDC_230_0" hidden="1">"#"</definedName>
    <definedName name="FDC_231_0" hidden="1">"#"</definedName>
    <definedName name="FDC_232_0" hidden="1">"#"</definedName>
    <definedName name="FDC_233_0" hidden="1">"#"</definedName>
    <definedName name="FDC_233_1" hidden="1">"#"</definedName>
    <definedName name="FDC_233_2" hidden="1">"#"</definedName>
    <definedName name="FDC_234_0" hidden="1">"#"</definedName>
    <definedName name="FDC_234_1" hidden="1">"#"</definedName>
    <definedName name="FDC_234_2" hidden="1">"#"</definedName>
    <definedName name="FDC_235_0" hidden="1">"#"</definedName>
    <definedName name="FDC_236_0" hidden="1">"#"</definedName>
    <definedName name="FDC_237_0" hidden="1">"#"</definedName>
    <definedName name="FDC_238_0" hidden="1">"#"</definedName>
    <definedName name="FDC_238_1" hidden="1">"#"</definedName>
    <definedName name="FDC_238_10" hidden="1">"#"</definedName>
    <definedName name="FDC_238_11" hidden="1">"#"</definedName>
    <definedName name="FDC_238_12" hidden="1">"#"</definedName>
    <definedName name="FDC_238_13" hidden="1">"#"</definedName>
    <definedName name="FDC_238_14" hidden="1">"#"</definedName>
    <definedName name="FDC_238_2" hidden="1">"#"</definedName>
    <definedName name="FDC_238_3" hidden="1">"#"</definedName>
    <definedName name="FDC_238_4" hidden="1">"#"</definedName>
    <definedName name="FDC_238_5" hidden="1">"#"</definedName>
    <definedName name="FDC_238_6" hidden="1">"#"</definedName>
    <definedName name="FDC_238_7" hidden="1">"#"</definedName>
    <definedName name="FDC_238_8" hidden="1">"#"</definedName>
    <definedName name="FDC_238_9" hidden="1">"#"</definedName>
    <definedName name="FDC_239_0" hidden="1">"#"</definedName>
    <definedName name="FDC_239_1" hidden="1">"#"</definedName>
    <definedName name="FDC_239_10" hidden="1">"#"</definedName>
    <definedName name="FDC_239_11" hidden="1">"#"</definedName>
    <definedName name="FDC_239_12" hidden="1">"#"</definedName>
    <definedName name="FDC_239_13" hidden="1">"#"</definedName>
    <definedName name="FDC_239_14" hidden="1">"#"</definedName>
    <definedName name="FDC_239_2" hidden="1">"#"</definedName>
    <definedName name="FDC_239_3" hidden="1">"#"</definedName>
    <definedName name="FDC_239_4" hidden="1">"#"</definedName>
    <definedName name="FDC_239_5" hidden="1">"#"</definedName>
    <definedName name="FDC_239_6" hidden="1">"#"</definedName>
    <definedName name="FDC_239_7" hidden="1">"#"</definedName>
    <definedName name="FDC_239_8" hidden="1">"#"</definedName>
    <definedName name="FDC_239_9" hidden="1">"#"</definedName>
    <definedName name="FDC_24_0" hidden="1">"#"</definedName>
    <definedName name="FDC_240_0" hidden="1">"#"</definedName>
    <definedName name="FDC_241_0" hidden="1">"#"</definedName>
    <definedName name="FDC_242_0" hidden="1">"#"</definedName>
    <definedName name="FDC_243_0" hidden="1">"#"</definedName>
    <definedName name="FDC_243_1" hidden="1">"#"</definedName>
    <definedName name="FDC_243_10" hidden="1">"#"</definedName>
    <definedName name="FDC_243_11" hidden="1">"#"</definedName>
    <definedName name="FDC_243_12" hidden="1">"#"</definedName>
    <definedName name="FDC_243_13" hidden="1">"#"</definedName>
    <definedName name="FDC_243_14" hidden="1">"#"</definedName>
    <definedName name="FDC_243_2" hidden="1">"#"</definedName>
    <definedName name="FDC_243_3" hidden="1">"#"</definedName>
    <definedName name="FDC_243_4" hidden="1">"#"</definedName>
    <definedName name="FDC_243_5" hidden="1">"#"</definedName>
    <definedName name="FDC_243_6" hidden="1">"#"</definedName>
    <definedName name="FDC_243_7" hidden="1">"#"</definedName>
    <definedName name="FDC_243_8" hidden="1">"#"</definedName>
    <definedName name="FDC_243_9" hidden="1">"#"</definedName>
    <definedName name="FDC_244_0" hidden="1">"#"</definedName>
    <definedName name="FDC_244_1" hidden="1">"#"</definedName>
    <definedName name="FDC_244_2" hidden="1">"#"</definedName>
    <definedName name="FDC_245_0" hidden="1">"#"</definedName>
    <definedName name="FDC_246_0" hidden="1">"#"</definedName>
    <definedName name="FDC_247_0" hidden="1">"#"</definedName>
    <definedName name="FDC_248_0" hidden="1">"#"</definedName>
    <definedName name="FDC_248_1" hidden="1">"#"</definedName>
    <definedName name="FDC_248_2" hidden="1">"#"</definedName>
    <definedName name="FDC_249_0" hidden="1">"#"</definedName>
    <definedName name="FDC_249_1" hidden="1">"#"</definedName>
    <definedName name="FDC_249_10" hidden="1">"#"</definedName>
    <definedName name="FDC_249_11" hidden="1">"#"</definedName>
    <definedName name="FDC_249_12" hidden="1">"#"</definedName>
    <definedName name="FDC_249_13" hidden="1">"#"</definedName>
    <definedName name="FDC_249_14" hidden="1">"#"</definedName>
    <definedName name="FDC_249_2" hidden="1">"#"</definedName>
    <definedName name="FDC_249_3" hidden="1">"#"</definedName>
    <definedName name="FDC_249_4" hidden="1">"#"</definedName>
    <definedName name="FDC_249_5" hidden="1">"#"</definedName>
    <definedName name="FDC_249_6" hidden="1">"#"</definedName>
    <definedName name="FDC_249_7" hidden="1">"#"</definedName>
    <definedName name="FDC_249_8" hidden="1">"#"</definedName>
    <definedName name="FDC_249_9" hidden="1">"#"</definedName>
    <definedName name="FDC_25_0" hidden="1">"#"</definedName>
    <definedName name="FDC_25_1" hidden="1">"#"</definedName>
    <definedName name="FDC_25_2" hidden="1">"#"</definedName>
    <definedName name="FDC_25_3" hidden="1">"#"</definedName>
    <definedName name="FDC_250_0" hidden="1">"#"</definedName>
    <definedName name="FDC_251_0" hidden="1">"#"</definedName>
    <definedName name="FDC_252_0" hidden="1">"#"</definedName>
    <definedName name="FDC_253_0" hidden="1">"#"</definedName>
    <definedName name="FDC_253_1" hidden="1">"#"</definedName>
    <definedName name="FDC_253_2" hidden="1">"#"</definedName>
    <definedName name="FDC_254_0" hidden="1">"#"</definedName>
    <definedName name="FDC_254_1" hidden="1">"#"</definedName>
    <definedName name="FDC_254_2" hidden="1">"#"</definedName>
    <definedName name="FDC_255_0" hidden="1">"#"</definedName>
    <definedName name="FDC_255_1" hidden="1">"#"</definedName>
    <definedName name="FDC_255_2" hidden="1">"#"</definedName>
    <definedName name="FDC_256_0" hidden="1">"#"</definedName>
    <definedName name="FDC_256_1" hidden="1">"#"</definedName>
    <definedName name="FDC_256_2" hidden="1">"#"</definedName>
    <definedName name="FDC_257_0" hidden="1">"#"</definedName>
    <definedName name="FDC_257_1" hidden="1">"#"</definedName>
    <definedName name="FDC_257_2" hidden="1">"#"</definedName>
    <definedName name="FDC_258_0" hidden="1">"#"</definedName>
    <definedName name="FDC_258_1" hidden="1">"#"</definedName>
    <definedName name="FDC_258_2" hidden="1">"#"</definedName>
    <definedName name="FDC_259_0" hidden="1">"#"</definedName>
    <definedName name="FDC_259_1" hidden="1">"#"</definedName>
    <definedName name="FDC_259_2" hidden="1">"#"</definedName>
    <definedName name="FDC_26_0" hidden="1">"#"</definedName>
    <definedName name="FDC_26_1" hidden="1">"#"</definedName>
    <definedName name="FDC_26_2" hidden="1">"#"</definedName>
    <definedName name="FDC_26_3" hidden="1">"#"</definedName>
    <definedName name="FDC_260_0" hidden="1">"#"</definedName>
    <definedName name="FDC_260_1" hidden="1">"#"</definedName>
    <definedName name="FDC_260_2" hidden="1">"#"</definedName>
    <definedName name="FDC_261_0" hidden="1">"#"</definedName>
    <definedName name="FDC_261_1" hidden="1">"#"</definedName>
    <definedName name="FDC_261_2" hidden="1">"#"</definedName>
    <definedName name="FDC_262_0" hidden="1">"#"</definedName>
    <definedName name="FDC_262_1" hidden="1">"#"</definedName>
    <definedName name="FDC_262_2" hidden="1">"#"</definedName>
    <definedName name="FDC_263_0" hidden="1">"#"</definedName>
    <definedName name="FDC_263_1" hidden="1">"#"</definedName>
    <definedName name="FDC_263_2" hidden="1">"#"</definedName>
    <definedName name="FDC_264_0" hidden="1">"#"</definedName>
    <definedName name="FDC_264_1" hidden="1">"#"</definedName>
    <definedName name="FDC_264_2" hidden="1">"#"</definedName>
    <definedName name="FDC_265_0" hidden="1">"#"</definedName>
    <definedName name="FDC_265_1" hidden="1">"#"</definedName>
    <definedName name="FDC_265_2" hidden="1">"#"</definedName>
    <definedName name="FDC_266_0" hidden="1">"#"</definedName>
    <definedName name="FDC_266_1" hidden="1">"#"</definedName>
    <definedName name="FDC_266_2" hidden="1">"#"</definedName>
    <definedName name="FDC_267_0" hidden="1">"#"</definedName>
    <definedName name="FDC_267_1" hidden="1">"#"</definedName>
    <definedName name="FDC_267_2" hidden="1">"#"</definedName>
    <definedName name="FDC_268_0" hidden="1">"#"</definedName>
    <definedName name="FDC_268_1" hidden="1">"#"</definedName>
    <definedName name="FDC_268_2" hidden="1">"#"</definedName>
    <definedName name="FDC_269_0" hidden="1">"#"</definedName>
    <definedName name="FDC_269_1" hidden="1">"#"</definedName>
    <definedName name="FDC_269_2" hidden="1">"#"</definedName>
    <definedName name="FDC_27_0" hidden="1">"#"</definedName>
    <definedName name="FDC_270_0" hidden="1">"#"</definedName>
    <definedName name="FDC_270_1" hidden="1">"#"</definedName>
    <definedName name="FDC_270_2" hidden="1">"#"</definedName>
    <definedName name="FDC_271_0" hidden="1">"#"</definedName>
    <definedName name="FDC_271_1" hidden="1">"#"</definedName>
    <definedName name="FDC_271_2" hidden="1">"#"</definedName>
    <definedName name="FDC_272_0" hidden="1">"#"</definedName>
    <definedName name="FDC_272_1" hidden="1">"#"</definedName>
    <definedName name="FDC_272_2" hidden="1">"#"</definedName>
    <definedName name="FDC_273_0" hidden="1">"#"</definedName>
    <definedName name="FDC_273_1" hidden="1">"#"</definedName>
    <definedName name="FDC_273_10" hidden="1">"#"</definedName>
    <definedName name="FDC_273_11" hidden="1">"#"</definedName>
    <definedName name="FDC_273_12" hidden="1">"#"</definedName>
    <definedName name="FDC_273_13" hidden="1">"#"</definedName>
    <definedName name="FDC_273_14" hidden="1">"#"</definedName>
    <definedName name="FDC_273_2" hidden="1">"#"</definedName>
    <definedName name="FDC_273_3" hidden="1">"#"</definedName>
    <definedName name="FDC_273_4" hidden="1">"#"</definedName>
    <definedName name="FDC_273_5" hidden="1">"#"</definedName>
    <definedName name="FDC_273_6" hidden="1">"#"</definedName>
    <definedName name="FDC_273_7" hidden="1">"#"</definedName>
    <definedName name="FDC_273_8" hidden="1">"#"</definedName>
    <definedName name="FDC_273_9" hidden="1">"#"</definedName>
    <definedName name="FDC_274_0" hidden="1">"#"</definedName>
    <definedName name="FDC_274_1" hidden="1">"#"</definedName>
    <definedName name="FDC_274_2" hidden="1">"#"</definedName>
    <definedName name="FDC_275_0" hidden="1">"#"</definedName>
    <definedName name="FDC_275_1" hidden="1">"#"</definedName>
    <definedName name="FDC_275_2" hidden="1">"#"</definedName>
    <definedName name="FDC_276_0" hidden="1">"#"</definedName>
    <definedName name="FDC_277_0" hidden="1">"#"</definedName>
    <definedName name="FDC_278_0" hidden="1">"#"</definedName>
    <definedName name="FDC_279_0" hidden="1">"#"</definedName>
    <definedName name="FDC_279_1" hidden="1">"#"</definedName>
    <definedName name="FDC_279_2" hidden="1">"#"</definedName>
    <definedName name="FDC_28_0" hidden="1">"#"</definedName>
    <definedName name="FDC_28_1" hidden="1">"#"</definedName>
    <definedName name="FDC_28_2" hidden="1">"#"</definedName>
    <definedName name="FDC_28_3" hidden="1">"#"</definedName>
    <definedName name="FDC_280_0" hidden="1">"#"</definedName>
    <definedName name="FDC_280_1" hidden="1">"#"</definedName>
    <definedName name="FDC_280_2" hidden="1">"#"</definedName>
    <definedName name="FDC_281_0" hidden="1">"#"</definedName>
    <definedName name="FDC_281_1" hidden="1">"#"</definedName>
    <definedName name="FDC_281_2" hidden="1">"#"</definedName>
    <definedName name="FDC_282_0" hidden="1">"#"</definedName>
    <definedName name="FDC_282_1" hidden="1">"#"</definedName>
    <definedName name="FDC_282_2" hidden="1">"#"</definedName>
    <definedName name="FDC_283_0" hidden="1">"#"</definedName>
    <definedName name="FDC_283_1" hidden="1">"#"</definedName>
    <definedName name="FDC_283_2" hidden="1">"#"</definedName>
    <definedName name="FDC_284_0" hidden="1">"#"</definedName>
    <definedName name="FDC_284_1" hidden="1">"#"</definedName>
    <definedName name="FDC_284_10" hidden="1">"#"</definedName>
    <definedName name="FDC_284_11" hidden="1">"#"</definedName>
    <definedName name="FDC_284_12" hidden="1">"#"</definedName>
    <definedName name="FDC_284_13" hidden="1">"#"</definedName>
    <definedName name="FDC_284_14" hidden="1">"#"</definedName>
    <definedName name="FDC_284_15" hidden="1">"#"</definedName>
    <definedName name="FDC_284_16" hidden="1">"#"</definedName>
    <definedName name="FDC_284_17" hidden="1">"#"</definedName>
    <definedName name="FDC_284_18" hidden="1">"#"</definedName>
    <definedName name="FDC_284_19" hidden="1">"#"</definedName>
    <definedName name="FDC_284_2" hidden="1">"#"</definedName>
    <definedName name="FDC_284_20" hidden="1">"#"</definedName>
    <definedName name="FDC_284_21" hidden="1">"#"</definedName>
    <definedName name="FDC_284_22" hidden="1">"#"</definedName>
    <definedName name="FDC_284_23" hidden="1">"#"</definedName>
    <definedName name="FDC_284_24" hidden="1">"#"</definedName>
    <definedName name="FDC_284_25" hidden="1">"#"</definedName>
    <definedName name="FDC_284_26" hidden="1">"#"</definedName>
    <definedName name="FDC_284_3" hidden="1">"#"</definedName>
    <definedName name="FDC_284_4" hidden="1">"#"</definedName>
    <definedName name="FDC_284_5" hidden="1">"#"</definedName>
    <definedName name="FDC_284_6" hidden="1">"#"</definedName>
    <definedName name="FDC_284_7" hidden="1">"#"</definedName>
    <definedName name="FDC_284_8" hidden="1">"#"</definedName>
    <definedName name="FDC_284_9" hidden="1">"#"</definedName>
    <definedName name="FDC_285_0" hidden="1">"#"</definedName>
    <definedName name="FDC_285_1" hidden="1">"#"</definedName>
    <definedName name="FDC_285_10" hidden="1">"#"</definedName>
    <definedName name="FDC_285_11" hidden="1">"#"</definedName>
    <definedName name="FDC_285_12" hidden="1">"#"</definedName>
    <definedName name="FDC_285_13" hidden="1">"#"</definedName>
    <definedName name="FDC_285_14" hidden="1">"#"</definedName>
    <definedName name="FDC_285_15" hidden="1">"#"</definedName>
    <definedName name="FDC_285_16" hidden="1">"#"</definedName>
    <definedName name="FDC_285_17" hidden="1">"#"</definedName>
    <definedName name="FDC_285_18" hidden="1">"#"</definedName>
    <definedName name="FDC_285_19" hidden="1">"#"</definedName>
    <definedName name="FDC_285_2" hidden="1">"#"</definedName>
    <definedName name="FDC_285_20" hidden="1">"#"</definedName>
    <definedName name="FDC_285_21" hidden="1">"#"</definedName>
    <definedName name="FDC_285_22" hidden="1">"#"</definedName>
    <definedName name="FDC_285_23" hidden="1">"#"</definedName>
    <definedName name="FDC_285_24" hidden="1">"#"</definedName>
    <definedName name="FDC_285_25" hidden="1">"#"</definedName>
    <definedName name="FDC_285_26" hidden="1">"#"</definedName>
    <definedName name="FDC_285_3" hidden="1">"#"</definedName>
    <definedName name="FDC_285_4" hidden="1">"#"</definedName>
    <definedName name="FDC_285_5" hidden="1">"#"</definedName>
    <definedName name="FDC_285_6" hidden="1">"#"</definedName>
    <definedName name="FDC_285_7" hidden="1">"#"</definedName>
    <definedName name="FDC_285_8" hidden="1">"#"</definedName>
    <definedName name="FDC_285_9" hidden="1">"#"</definedName>
    <definedName name="FDC_286_0" hidden="1">"#"</definedName>
    <definedName name="FDC_286_1" hidden="1">"#"</definedName>
    <definedName name="FDC_286_10" hidden="1">"#"</definedName>
    <definedName name="FDC_286_11" hidden="1">"#"</definedName>
    <definedName name="FDC_286_12" hidden="1">"#"</definedName>
    <definedName name="FDC_286_13" hidden="1">"#"</definedName>
    <definedName name="FDC_286_14" hidden="1">"#"</definedName>
    <definedName name="FDC_286_15" hidden="1">"#"</definedName>
    <definedName name="FDC_286_16" hidden="1">"#"</definedName>
    <definedName name="FDC_286_17" hidden="1">"#"</definedName>
    <definedName name="FDC_286_18" hidden="1">"#"</definedName>
    <definedName name="FDC_286_19" hidden="1">"#"</definedName>
    <definedName name="FDC_286_2" hidden="1">"#"</definedName>
    <definedName name="FDC_286_20" hidden="1">"#"</definedName>
    <definedName name="FDC_286_21" hidden="1">"#"</definedName>
    <definedName name="FDC_286_22" hidden="1">"#"</definedName>
    <definedName name="FDC_286_23" hidden="1">"#"</definedName>
    <definedName name="FDC_286_24" hidden="1">"#"</definedName>
    <definedName name="FDC_286_25" hidden="1">"#"</definedName>
    <definedName name="FDC_286_3" hidden="1">"#"</definedName>
    <definedName name="FDC_286_4" hidden="1">"#"</definedName>
    <definedName name="FDC_286_5" hidden="1">"#"</definedName>
    <definedName name="FDC_286_6" hidden="1">"#"</definedName>
    <definedName name="FDC_286_7" hidden="1">"#"</definedName>
    <definedName name="FDC_286_8" hidden="1">"#"</definedName>
    <definedName name="FDC_286_9" hidden="1">"#"</definedName>
    <definedName name="FDC_287_0" hidden="1">"#"</definedName>
    <definedName name="FDC_287_1" hidden="1">"#"</definedName>
    <definedName name="FDC_287_10" hidden="1">"#"</definedName>
    <definedName name="FDC_287_11" hidden="1">"#"</definedName>
    <definedName name="FDC_287_12" hidden="1">"#"</definedName>
    <definedName name="FDC_287_13" hidden="1">"#"</definedName>
    <definedName name="FDC_287_14" hidden="1">"#"</definedName>
    <definedName name="FDC_287_15" hidden="1">"#"</definedName>
    <definedName name="FDC_287_16" hidden="1">"#"</definedName>
    <definedName name="FDC_287_17" hidden="1">"#"</definedName>
    <definedName name="FDC_287_18" hidden="1">"#"</definedName>
    <definedName name="FDC_287_19" hidden="1">"#"</definedName>
    <definedName name="FDC_287_2" hidden="1">"#"</definedName>
    <definedName name="FDC_287_20" hidden="1">"#"</definedName>
    <definedName name="FDC_287_21" hidden="1">"#"</definedName>
    <definedName name="FDC_287_22" hidden="1">"#"</definedName>
    <definedName name="FDC_287_23" hidden="1">"#"</definedName>
    <definedName name="FDC_287_24" hidden="1">"#"</definedName>
    <definedName name="FDC_287_3" hidden="1">"#"</definedName>
    <definedName name="FDC_287_4" hidden="1">"#"</definedName>
    <definedName name="FDC_287_5" hidden="1">"#"</definedName>
    <definedName name="FDC_287_6" hidden="1">"#"</definedName>
    <definedName name="FDC_287_7" hidden="1">"#"</definedName>
    <definedName name="FDC_287_8" hidden="1">"#"</definedName>
    <definedName name="FDC_287_9" hidden="1">"#"</definedName>
    <definedName name="FDC_288_0" hidden="1">"#"</definedName>
    <definedName name="FDC_288_1" hidden="1">"#"</definedName>
    <definedName name="FDC_288_2" hidden="1">"#"</definedName>
    <definedName name="FDC_289_0" hidden="1">"#"</definedName>
    <definedName name="FDC_289_1" hidden="1">"#"</definedName>
    <definedName name="FDC_289_10" hidden="1">"#"</definedName>
    <definedName name="FDC_289_11" hidden="1">"#"</definedName>
    <definedName name="FDC_289_12" hidden="1">"#"</definedName>
    <definedName name="FDC_289_13" hidden="1">"#"</definedName>
    <definedName name="FDC_289_14" hidden="1">"#"</definedName>
    <definedName name="FDC_289_15" hidden="1">"#"</definedName>
    <definedName name="FDC_289_16" hidden="1">"#"</definedName>
    <definedName name="FDC_289_17" hidden="1">"#"</definedName>
    <definedName name="FDC_289_18" hidden="1">"#"</definedName>
    <definedName name="FDC_289_19" hidden="1">"#"</definedName>
    <definedName name="FDC_289_2" hidden="1">"#"</definedName>
    <definedName name="FDC_289_20" hidden="1">"#"</definedName>
    <definedName name="FDC_289_21" hidden="1">"#"</definedName>
    <definedName name="FDC_289_22" hidden="1">"#"</definedName>
    <definedName name="FDC_289_23" hidden="1">"#"</definedName>
    <definedName name="FDC_289_24" hidden="1">"#"</definedName>
    <definedName name="FDC_289_25" hidden="1">"#"</definedName>
    <definedName name="FDC_289_26" hidden="1">"#"</definedName>
    <definedName name="FDC_289_3" hidden="1">"#"</definedName>
    <definedName name="FDC_289_4" hidden="1">"#"</definedName>
    <definedName name="FDC_289_5" hidden="1">"#"</definedName>
    <definedName name="FDC_289_6" hidden="1">"#"</definedName>
    <definedName name="FDC_289_7" hidden="1">"#"</definedName>
    <definedName name="FDC_289_8" hidden="1">"#"</definedName>
    <definedName name="FDC_289_9" hidden="1">"#"</definedName>
    <definedName name="FDC_29_0" hidden="1">"#"</definedName>
    <definedName name="FDC_29_1" hidden="1">"#"</definedName>
    <definedName name="FDC_29_2" hidden="1">"#"</definedName>
    <definedName name="FDC_29_3" hidden="1">"#"</definedName>
    <definedName name="FDC_290_0" hidden="1">"#"</definedName>
    <definedName name="FDC_290_1" hidden="1">"#"</definedName>
    <definedName name="FDC_290_10" hidden="1">"#"</definedName>
    <definedName name="FDC_290_11" hidden="1">"#"</definedName>
    <definedName name="FDC_290_12" hidden="1">"#"</definedName>
    <definedName name="FDC_290_13" hidden="1">"#"</definedName>
    <definedName name="FDC_290_14" hidden="1">"#"</definedName>
    <definedName name="FDC_290_15" hidden="1">"#"</definedName>
    <definedName name="FDC_290_16" hidden="1">"#"</definedName>
    <definedName name="FDC_290_17" hidden="1">"#"</definedName>
    <definedName name="FDC_290_18" hidden="1">"#"</definedName>
    <definedName name="FDC_290_19" hidden="1">"#"</definedName>
    <definedName name="FDC_290_2" hidden="1">"#"</definedName>
    <definedName name="FDC_290_20" hidden="1">"#"</definedName>
    <definedName name="FDC_290_21" hidden="1">"#"</definedName>
    <definedName name="FDC_290_22" hidden="1">"#"</definedName>
    <definedName name="FDC_290_23" hidden="1">"#"</definedName>
    <definedName name="FDC_290_24" hidden="1">"#"</definedName>
    <definedName name="FDC_290_25" hidden="1">"#"</definedName>
    <definedName name="FDC_290_3" hidden="1">"#"</definedName>
    <definedName name="FDC_290_4" hidden="1">"#"</definedName>
    <definedName name="FDC_290_5" hidden="1">"#"</definedName>
    <definedName name="FDC_290_6" hidden="1">"#"</definedName>
    <definedName name="FDC_290_7" hidden="1">"#"</definedName>
    <definedName name="FDC_290_8" hidden="1">"#"</definedName>
    <definedName name="FDC_290_9" hidden="1">"#"</definedName>
    <definedName name="FDC_291_0" hidden="1">"#"</definedName>
    <definedName name="FDC_291_1" hidden="1">"#"</definedName>
    <definedName name="FDC_291_10" hidden="1">"#"</definedName>
    <definedName name="FDC_291_11" hidden="1">"#"</definedName>
    <definedName name="FDC_291_12" hidden="1">"#"</definedName>
    <definedName name="FDC_291_13" hidden="1">"#"</definedName>
    <definedName name="FDC_291_14" hidden="1">"#"</definedName>
    <definedName name="FDC_291_15" hidden="1">"#"</definedName>
    <definedName name="FDC_291_16" hidden="1">"#"</definedName>
    <definedName name="FDC_291_17" hidden="1">"#"</definedName>
    <definedName name="FDC_291_18" hidden="1">"#"</definedName>
    <definedName name="FDC_291_19" hidden="1">"#"</definedName>
    <definedName name="FDC_291_2" hidden="1">"#"</definedName>
    <definedName name="FDC_291_20" hidden="1">"#"</definedName>
    <definedName name="FDC_291_21" hidden="1">"#"</definedName>
    <definedName name="FDC_291_22" hidden="1">"#"</definedName>
    <definedName name="FDC_291_23" hidden="1">"#"</definedName>
    <definedName name="FDC_291_24" hidden="1">"#"</definedName>
    <definedName name="FDC_291_3" hidden="1">"#"</definedName>
    <definedName name="FDC_291_4" hidden="1">"#"</definedName>
    <definedName name="FDC_291_5" hidden="1">"#"</definedName>
    <definedName name="FDC_291_6" hidden="1">"#"</definedName>
    <definedName name="FDC_291_7" hidden="1">"#"</definedName>
    <definedName name="FDC_291_8" hidden="1">"#"</definedName>
    <definedName name="FDC_291_9" hidden="1">"#"</definedName>
    <definedName name="FDC_292_0" hidden="1">"#"</definedName>
    <definedName name="FDC_292_1" hidden="1">"#"</definedName>
    <definedName name="FDC_292_2" hidden="1">"#"</definedName>
    <definedName name="FDC_293_0" hidden="1">"#"</definedName>
    <definedName name="FDC_293_1" hidden="1">"#"</definedName>
    <definedName name="FDC_293_2" hidden="1">"#"</definedName>
    <definedName name="FDC_294_0" hidden="1">"#"</definedName>
    <definedName name="FDC_294_1" hidden="1">"#"</definedName>
    <definedName name="FDC_294_2" hidden="1">"#"</definedName>
    <definedName name="FDC_295_0" hidden="1">"#"</definedName>
    <definedName name="FDC_296_0" hidden="1">"#"</definedName>
    <definedName name="FDC_297_0" hidden="1">"#"</definedName>
    <definedName name="FDC_298_0" hidden="1">"#"</definedName>
    <definedName name="FDC_299_0" hidden="1">"#"</definedName>
    <definedName name="FDC_299_1" hidden="1">"#"</definedName>
    <definedName name="FDC_299_10" hidden="1">"#"</definedName>
    <definedName name="FDC_299_11" hidden="1">"#"</definedName>
    <definedName name="FDC_299_12" hidden="1">"#"</definedName>
    <definedName name="FDC_299_13" hidden="1">"#"</definedName>
    <definedName name="FDC_299_14" hidden="1">"#"</definedName>
    <definedName name="FDC_299_15" hidden="1">"#"</definedName>
    <definedName name="FDC_299_16" hidden="1">"#"</definedName>
    <definedName name="FDC_299_17" hidden="1">"#"</definedName>
    <definedName name="FDC_299_18" hidden="1">"#"</definedName>
    <definedName name="FDC_299_19" hidden="1">"#"</definedName>
    <definedName name="FDC_299_2" hidden="1">"#"</definedName>
    <definedName name="FDC_299_20" hidden="1">"#"</definedName>
    <definedName name="FDC_299_21" hidden="1">"#"</definedName>
    <definedName name="FDC_299_22" hidden="1">"#"</definedName>
    <definedName name="FDC_299_23" hidden="1">"#"</definedName>
    <definedName name="FDC_299_24" hidden="1">"#"</definedName>
    <definedName name="FDC_299_25" hidden="1">"#"</definedName>
    <definedName name="FDC_299_26" hidden="1">"#"</definedName>
    <definedName name="FDC_299_3" hidden="1">"#"</definedName>
    <definedName name="FDC_299_4" hidden="1">"#"</definedName>
    <definedName name="FDC_299_5" hidden="1">"#"</definedName>
    <definedName name="FDC_299_6" hidden="1">"#"</definedName>
    <definedName name="FDC_299_7" hidden="1">"#"</definedName>
    <definedName name="FDC_299_8" hidden="1">"#"</definedName>
    <definedName name="FDC_299_9" hidden="1">"#"</definedName>
    <definedName name="FDC_3_0" hidden="1">"#"</definedName>
    <definedName name="FDC_30_0" hidden="1">"#"</definedName>
    <definedName name="FDC_300_0" hidden="1">"#"</definedName>
    <definedName name="FDC_300_1" hidden="1">"#"</definedName>
    <definedName name="FDC_300_10" hidden="1">"#"</definedName>
    <definedName name="FDC_300_11" hidden="1">"#"</definedName>
    <definedName name="FDC_300_12" hidden="1">"#"</definedName>
    <definedName name="FDC_300_13" hidden="1">"#"</definedName>
    <definedName name="FDC_300_14" hidden="1">"#"</definedName>
    <definedName name="FDC_300_15" hidden="1">"#"</definedName>
    <definedName name="FDC_300_16" hidden="1">"#"</definedName>
    <definedName name="FDC_300_17" hidden="1">"#"</definedName>
    <definedName name="FDC_300_18" hidden="1">"#"</definedName>
    <definedName name="FDC_300_19" hidden="1">"#"</definedName>
    <definedName name="FDC_300_2" hidden="1">"#"</definedName>
    <definedName name="FDC_300_20" hidden="1">"#"</definedName>
    <definedName name="FDC_300_21" hidden="1">"#"</definedName>
    <definedName name="FDC_300_22" hidden="1">"#"</definedName>
    <definedName name="FDC_300_23" hidden="1">"#"</definedName>
    <definedName name="FDC_300_24" hidden="1">"#"</definedName>
    <definedName name="FDC_300_25" hidden="1">"#"</definedName>
    <definedName name="FDC_300_26" hidden="1">"#"</definedName>
    <definedName name="FDC_300_3" hidden="1">"#"</definedName>
    <definedName name="FDC_300_4" hidden="1">"#"</definedName>
    <definedName name="FDC_300_5" hidden="1">"#"</definedName>
    <definedName name="FDC_300_6" hidden="1">"#"</definedName>
    <definedName name="FDC_300_7" hidden="1">"#"</definedName>
    <definedName name="FDC_300_8" hidden="1">"#"</definedName>
    <definedName name="FDC_300_9" hidden="1">"#"</definedName>
    <definedName name="FDC_301_0" hidden="1">"#"</definedName>
    <definedName name="FDC_301_1" hidden="1">"#"</definedName>
    <definedName name="FDC_301_10" hidden="1">"#"</definedName>
    <definedName name="FDC_301_11" hidden="1">"#"</definedName>
    <definedName name="FDC_301_12" hidden="1">"#"</definedName>
    <definedName name="FDC_301_13" hidden="1">"#"</definedName>
    <definedName name="FDC_301_14" hidden="1">"#"</definedName>
    <definedName name="FDC_301_15" hidden="1">"#"</definedName>
    <definedName name="FDC_301_16" hidden="1">"#"</definedName>
    <definedName name="FDC_301_17" hidden="1">"#"</definedName>
    <definedName name="FDC_301_18" hidden="1">"#"</definedName>
    <definedName name="FDC_301_19" hidden="1">"#"</definedName>
    <definedName name="FDC_301_2" hidden="1">"#"</definedName>
    <definedName name="FDC_301_20" hidden="1">"#"</definedName>
    <definedName name="FDC_301_21" hidden="1">"#"</definedName>
    <definedName name="FDC_301_22" hidden="1">"#"</definedName>
    <definedName name="FDC_301_23" hidden="1">"#"</definedName>
    <definedName name="FDC_301_24" hidden="1">"#"</definedName>
    <definedName name="FDC_301_25" hidden="1">"#"</definedName>
    <definedName name="FDC_301_3" hidden="1">"#"</definedName>
    <definedName name="FDC_301_4" hidden="1">"#"</definedName>
    <definedName name="FDC_301_5" hidden="1">"#"</definedName>
    <definedName name="FDC_301_6" hidden="1">"#"</definedName>
    <definedName name="FDC_301_7" hidden="1">"#"</definedName>
    <definedName name="FDC_301_8" hidden="1">"#"</definedName>
    <definedName name="FDC_301_9" hidden="1">"#"</definedName>
    <definedName name="FDC_302_0" hidden="1">"#"</definedName>
    <definedName name="FDC_302_1" hidden="1">"#"</definedName>
    <definedName name="FDC_302_10" hidden="1">"#"</definedName>
    <definedName name="FDC_302_11" hidden="1">"#"</definedName>
    <definedName name="FDC_302_12" hidden="1">"#"</definedName>
    <definedName name="FDC_302_13" hidden="1">"#"</definedName>
    <definedName name="FDC_302_14" hidden="1">"#"</definedName>
    <definedName name="FDC_302_15" hidden="1">"#"</definedName>
    <definedName name="FDC_302_16" hidden="1">"#"</definedName>
    <definedName name="FDC_302_17" hidden="1">"#"</definedName>
    <definedName name="FDC_302_18" hidden="1">"#"</definedName>
    <definedName name="FDC_302_19" hidden="1">"#"</definedName>
    <definedName name="FDC_302_2" hidden="1">"#"</definedName>
    <definedName name="FDC_302_20" hidden="1">"#"</definedName>
    <definedName name="FDC_302_21" hidden="1">"#"</definedName>
    <definedName name="FDC_302_22" hidden="1">"#"</definedName>
    <definedName name="FDC_302_23" hidden="1">"#"</definedName>
    <definedName name="FDC_302_24" hidden="1">"#"</definedName>
    <definedName name="FDC_302_3" hidden="1">"#"</definedName>
    <definedName name="FDC_302_4" hidden="1">"#"</definedName>
    <definedName name="FDC_302_5" hidden="1">"#"</definedName>
    <definedName name="FDC_302_6" hidden="1">"#"</definedName>
    <definedName name="FDC_302_7" hidden="1">"#"</definedName>
    <definedName name="FDC_302_8" hidden="1">"#"</definedName>
    <definedName name="FDC_302_9" hidden="1">"#"</definedName>
    <definedName name="FDC_303_0" hidden="1">"#"</definedName>
    <definedName name="FDC_303_1" hidden="1">"#"</definedName>
    <definedName name="FDC_303_2" hidden="1">"#"</definedName>
    <definedName name="FDC_304_0" hidden="1">"#"</definedName>
    <definedName name="FDC_304_1" hidden="1">"#"</definedName>
    <definedName name="FDC_304_2" hidden="1">"#"</definedName>
    <definedName name="FDC_305_0" hidden="1">"#"</definedName>
    <definedName name="FDC_305_1" hidden="1">"#"</definedName>
    <definedName name="FDC_305_10" hidden="1">"#"</definedName>
    <definedName name="FDC_305_11" hidden="1">"#"</definedName>
    <definedName name="FDC_305_12" hidden="1">"#"</definedName>
    <definedName name="FDC_305_13" hidden="1">"#"</definedName>
    <definedName name="FDC_305_14" hidden="1">"#"</definedName>
    <definedName name="FDC_305_2" hidden="1">"#"</definedName>
    <definedName name="FDC_305_3" hidden="1">"#"</definedName>
    <definedName name="FDC_305_4" hidden="1">"#"</definedName>
    <definedName name="FDC_305_5" hidden="1">"#"</definedName>
    <definedName name="FDC_305_6" hidden="1">"#"</definedName>
    <definedName name="FDC_305_7" hidden="1">"#"</definedName>
    <definedName name="FDC_305_8" hidden="1">"#"</definedName>
    <definedName name="FDC_305_9" hidden="1">"#"</definedName>
    <definedName name="FDC_306_0" hidden="1">"#"</definedName>
    <definedName name="FDC_306_1" hidden="1">"#"</definedName>
    <definedName name="FDC_306_10" hidden="1">"#"</definedName>
    <definedName name="FDC_306_11" hidden="1">"#"</definedName>
    <definedName name="FDC_306_12" hidden="1">"#"</definedName>
    <definedName name="FDC_306_13" hidden="1">"#"</definedName>
    <definedName name="FDC_306_14" hidden="1">"#"</definedName>
    <definedName name="FDC_306_2" hidden="1">"#"</definedName>
    <definedName name="FDC_306_3" hidden="1">"#"</definedName>
    <definedName name="FDC_306_4" hidden="1">"#"</definedName>
    <definedName name="FDC_306_5" hidden="1">"#"</definedName>
    <definedName name="FDC_306_6" hidden="1">"#"</definedName>
    <definedName name="FDC_306_7" hidden="1">"#"</definedName>
    <definedName name="FDC_306_8" hidden="1">"#"</definedName>
    <definedName name="FDC_306_9" hidden="1">"#"</definedName>
    <definedName name="FDC_307_0" hidden="1">"#"</definedName>
    <definedName name="FDC_307_1" hidden="1">"#"</definedName>
    <definedName name="FDC_307_2" hidden="1">"#"</definedName>
    <definedName name="FDC_308_0" hidden="1">"#"</definedName>
    <definedName name="FDC_308_1" hidden="1">"#"</definedName>
    <definedName name="FDC_308_2" hidden="1">"#"</definedName>
    <definedName name="FDC_309_0" hidden="1">"#"</definedName>
    <definedName name="FDC_309_1" hidden="1">"#"</definedName>
    <definedName name="FDC_309_2" hidden="1">"#"</definedName>
    <definedName name="FDC_31_0" hidden="1">"#"</definedName>
    <definedName name="FDC_310_0" hidden="1">"#"</definedName>
    <definedName name="FDC_310_1" hidden="1">"#"</definedName>
    <definedName name="FDC_310_10" hidden="1">"#"</definedName>
    <definedName name="FDC_310_11" hidden="1">"#"</definedName>
    <definedName name="FDC_310_12" hidden="1">"#"</definedName>
    <definedName name="FDC_310_13" hidden="1">"#"</definedName>
    <definedName name="FDC_310_14" hidden="1">"#"</definedName>
    <definedName name="FDC_310_2" hidden="1">"#"</definedName>
    <definedName name="FDC_310_3" hidden="1">"#"</definedName>
    <definedName name="FDC_310_4" hidden="1">"#"</definedName>
    <definedName name="FDC_310_5" hidden="1">"#"</definedName>
    <definedName name="FDC_310_6" hidden="1">"#"</definedName>
    <definedName name="FDC_310_7" hidden="1">"#"</definedName>
    <definedName name="FDC_310_8" hidden="1">"#"</definedName>
    <definedName name="FDC_310_9" hidden="1">"#"</definedName>
    <definedName name="FDC_311_0" hidden="1">"#"</definedName>
    <definedName name="FDC_311_1" hidden="1">"#"</definedName>
    <definedName name="FDC_311_2" hidden="1">"#"</definedName>
    <definedName name="FDC_312_0" hidden="1">"#"</definedName>
    <definedName name="FDC_312_1" hidden="1">"#"</definedName>
    <definedName name="FDC_312_2" hidden="1">"#"</definedName>
    <definedName name="FDC_313_0" hidden="1">"#"</definedName>
    <definedName name="FDC_314_0" hidden="1">"#"</definedName>
    <definedName name="FDC_315_0" hidden="1">"#"</definedName>
    <definedName name="FDC_316_0" hidden="1">"#"</definedName>
    <definedName name="FDC_317_0" hidden="1">"#"</definedName>
    <definedName name="FDC_317_1" hidden="1">"#"</definedName>
    <definedName name="FDC_317_2" hidden="1">"#"</definedName>
    <definedName name="FDC_318_0" hidden="1">"#"</definedName>
    <definedName name="FDC_318_1" hidden="1">"#"</definedName>
    <definedName name="FDC_318_2" hidden="1">"#"</definedName>
    <definedName name="FDC_319_0" hidden="1">"#"</definedName>
    <definedName name="FDC_319_1" hidden="1">"#"</definedName>
    <definedName name="FDC_319_2" hidden="1">"#"</definedName>
    <definedName name="FDC_32_0" hidden="1">"#"</definedName>
    <definedName name="FDC_320_0" hidden="1">"#"</definedName>
    <definedName name="FDC_320_1" hidden="1">"#"</definedName>
    <definedName name="FDC_320_2" hidden="1">"#"</definedName>
    <definedName name="FDC_321_0" hidden="1">"#"</definedName>
    <definedName name="FDC_321_1" hidden="1">"#"</definedName>
    <definedName name="FDC_321_2" hidden="1">"#"</definedName>
    <definedName name="FDC_322_0" hidden="1">"#"</definedName>
    <definedName name="FDC_322_1" hidden="1">"#"</definedName>
    <definedName name="FDC_322_2" hidden="1">"#"</definedName>
    <definedName name="FDC_323_0" hidden="1">"#"</definedName>
    <definedName name="FDC_323_1" hidden="1">"#"</definedName>
    <definedName name="FDC_323_2" hidden="1">"#"</definedName>
    <definedName name="FDC_324_0" hidden="1">"#"</definedName>
    <definedName name="FDC_326_0" hidden="1">"#"</definedName>
    <definedName name="FDC_326_1" hidden="1">"#"</definedName>
    <definedName name="FDC_326_2" hidden="1">"#"</definedName>
    <definedName name="FDC_326_3" hidden="1">"#"</definedName>
    <definedName name="FDC_326_4" hidden="1">"#"</definedName>
    <definedName name="FDC_326_5" hidden="1">"#"</definedName>
    <definedName name="FDC_326_6" hidden="1">"#"</definedName>
    <definedName name="FDC_327_0" hidden="1">"#"</definedName>
    <definedName name="FDC_327_1" hidden="1">"#"</definedName>
    <definedName name="FDC_327_2" hidden="1">"#"</definedName>
    <definedName name="FDC_327_3" hidden="1">"#"</definedName>
    <definedName name="FDC_327_4" hidden="1">"#"</definedName>
    <definedName name="FDC_327_5" hidden="1">"#"</definedName>
    <definedName name="FDC_327_6" hidden="1">"#"</definedName>
    <definedName name="FDC_328_0" hidden="1">"#"</definedName>
    <definedName name="FDC_329_0" hidden="1">"#"</definedName>
    <definedName name="FDC_33_0" hidden="1">"#"</definedName>
    <definedName name="FDC_330_0" hidden="1">"#"</definedName>
    <definedName name="FDC_331_0" hidden="1">"#"</definedName>
    <definedName name="FDC_332_0" hidden="1">"#"</definedName>
    <definedName name="FDC_333_0" hidden="1">"#"</definedName>
    <definedName name="FDC_334_0" hidden="1">"#"</definedName>
    <definedName name="FDC_335_0" hidden="1">"#"</definedName>
    <definedName name="FDC_336_0" hidden="1">"#"</definedName>
    <definedName name="FDC_337_0" hidden="1">"#"</definedName>
    <definedName name="FDC_338_0" hidden="1">"#"</definedName>
    <definedName name="FDC_339_0" hidden="1">"#"</definedName>
    <definedName name="FDC_34_0" hidden="1">"#"</definedName>
    <definedName name="FDC_340_0" hidden="1">"#"</definedName>
    <definedName name="FDC_341_0" hidden="1">"#"</definedName>
    <definedName name="FDC_342_0" hidden="1">"#"</definedName>
    <definedName name="FDC_343_0" hidden="1">"#"</definedName>
    <definedName name="FDC_344_0" hidden="1">"#"</definedName>
    <definedName name="FDC_345_0" hidden="1">"#"</definedName>
    <definedName name="FDC_346_0" hidden="1">"#"</definedName>
    <definedName name="FDC_347_0" hidden="1">"#"</definedName>
    <definedName name="FDC_348_0" hidden="1">"#"</definedName>
    <definedName name="FDC_349_0" hidden="1">"#"</definedName>
    <definedName name="FDC_35_0" hidden="1">"#"</definedName>
    <definedName name="FDC_350_0" hidden="1">"#"</definedName>
    <definedName name="FDC_350_1" hidden="1">"#"</definedName>
    <definedName name="FDC_350_10" hidden="1">"#"</definedName>
    <definedName name="FDC_350_11" hidden="1">"#"</definedName>
    <definedName name="FDC_350_12" hidden="1">"#"</definedName>
    <definedName name="FDC_350_13" hidden="1">"#"</definedName>
    <definedName name="FDC_350_14" hidden="1">"#"</definedName>
    <definedName name="FDC_350_2" hidden="1">"#"</definedName>
    <definedName name="FDC_350_3" hidden="1">"#"</definedName>
    <definedName name="FDC_350_4" hidden="1">"#"</definedName>
    <definedName name="FDC_350_5" hidden="1">"#"</definedName>
    <definedName name="FDC_350_6" hidden="1">"#"</definedName>
    <definedName name="FDC_350_7" hidden="1">"#"</definedName>
    <definedName name="FDC_350_8" hidden="1">"#"</definedName>
    <definedName name="FDC_350_9" hidden="1">"#"</definedName>
    <definedName name="FDC_351_0" hidden="1">"#"</definedName>
    <definedName name="FDC_351_1" hidden="1">"#"</definedName>
    <definedName name="FDC_351_10" hidden="1">"#"</definedName>
    <definedName name="FDC_351_11" hidden="1">"#"</definedName>
    <definedName name="FDC_351_12" hidden="1">"#"</definedName>
    <definedName name="FDC_351_13" hidden="1">"#"</definedName>
    <definedName name="FDC_351_14" hidden="1">"#"</definedName>
    <definedName name="FDC_351_2" hidden="1">"#"</definedName>
    <definedName name="FDC_351_3" hidden="1">"#"</definedName>
    <definedName name="FDC_351_4" hidden="1">"#"</definedName>
    <definedName name="FDC_351_5" hidden="1">"#"</definedName>
    <definedName name="FDC_351_6" hidden="1">"#"</definedName>
    <definedName name="FDC_351_7" hidden="1">"#"</definedName>
    <definedName name="FDC_351_8" hidden="1">"#"</definedName>
    <definedName name="FDC_351_9" hidden="1">"#"</definedName>
    <definedName name="FDC_352_0" hidden="1">"#"</definedName>
    <definedName name="FDC_352_1" hidden="1">"#"</definedName>
    <definedName name="FDC_352_10" hidden="1">"#"</definedName>
    <definedName name="FDC_352_11" hidden="1">"#"</definedName>
    <definedName name="FDC_352_12" hidden="1">"#"</definedName>
    <definedName name="FDC_352_13" hidden="1">"#"</definedName>
    <definedName name="FDC_352_14" hidden="1">"#"</definedName>
    <definedName name="FDC_352_2" hidden="1">"#"</definedName>
    <definedName name="FDC_352_3" hidden="1">"#"</definedName>
    <definedName name="FDC_352_4" hidden="1">"#"</definedName>
    <definedName name="FDC_352_5" hidden="1">"#"</definedName>
    <definedName name="FDC_352_6" hidden="1">"#"</definedName>
    <definedName name="FDC_352_7" hidden="1">"#"</definedName>
    <definedName name="FDC_352_8" hidden="1">"#"</definedName>
    <definedName name="FDC_352_9" hidden="1">"#"</definedName>
    <definedName name="FDC_353_0" hidden="1">"#"</definedName>
    <definedName name="FDC_353_1" hidden="1">"#"</definedName>
    <definedName name="FDC_353_10" hidden="1">"#"</definedName>
    <definedName name="FDC_353_11" hidden="1">"#"</definedName>
    <definedName name="FDC_353_12" hidden="1">"#"</definedName>
    <definedName name="FDC_353_13" hidden="1">"#"</definedName>
    <definedName name="FDC_353_14" hidden="1">"#"</definedName>
    <definedName name="FDC_353_2" hidden="1">"#"</definedName>
    <definedName name="FDC_353_3" hidden="1">"#"</definedName>
    <definedName name="FDC_353_4" hidden="1">"#"</definedName>
    <definedName name="FDC_353_5" hidden="1">"#"</definedName>
    <definedName name="FDC_353_6" hidden="1">"#"</definedName>
    <definedName name="FDC_353_7" hidden="1">"#"</definedName>
    <definedName name="FDC_353_8" hidden="1">"#"</definedName>
    <definedName name="FDC_353_9" hidden="1">"#"</definedName>
    <definedName name="FDC_354_0" hidden="1">"#"</definedName>
    <definedName name="FDC_354_1" hidden="1">"#"</definedName>
    <definedName name="FDC_354_10" hidden="1">"#"</definedName>
    <definedName name="FDC_354_11" hidden="1">"#"</definedName>
    <definedName name="FDC_354_12" hidden="1">"#"</definedName>
    <definedName name="FDC_354_13" hidden="1">"#"</definedName>
    <definedName name="FDC_354_14" hidden="1">"#"</definedName>
    <definedName name="FDC_354_2" hidden="1">"#"</definedName>
    <definedName name="FDC_354_3" hidden="1">"#"</definedName>
    <definedName name="FDC_354_4" hidden="1">"#"</definedName>
    <definedName name="FDC_354_5" hidden="1">"#"</definedName>
    <definedName name="FDC_354_6" hidden="1">"#"</definedName>
    <definedName name="FDC_354_7" hidden="1">"#"</definedName>
    <definedName name="FDC_354_8" hidden="1">"#"</definedName>
    <definedName name="FDC_354_9" hidden="1">"#"</definedName>
    <definedName name="FDC_355_0" hidden="1">"#"</definedName>
    <definedName name="FDC_355_1" hidden="1">"#"</definedName>
    <definedName name="FDC_355_10" hidden="1">"#"</definedName>
    <definedName name="FDC_355_11" hidden="1">"#"</definedName>
    <definedName name="FDC_355_12" hidden="1">"#"</definedName>
    <definedName name="FDC_355_13" hidden="1">"#"</definedName>
    <definedName name="FDC_355_14" hidden="1">"#"</definedName>
    <definedName name="FDC_355_2" hidden="1">"#"</definedName>
    <definedName name="FDC_355_3" hidden="1">"#"</definedName>
    <definedName name="FDC_355_4" hidden="1">"#"</definedName>
    <definedName name="FDC_355_5" hidden="1">"#"</definedName>
    <definedName name="FDC_355_6" hidden="1">"#"</definedName>
    <definedName name="FDC_355_7" hidden="1">"#"</definedName>
    <definedName name="FDC_355_8" hidden="1">"#"</definedName>
    <definedName name="FDC_355_9" hidden="1">"#"</definedName>
    <definedName name="FDC_356_0" hidden="1">"#"</definedName>
    <definedName name="FDC_356_1" hidden="1">"#"</definedName>
    <definedName name="FDC_356_10" hidden="1">"#"</definedName>
    <definedName name="FDC_356_11" hidden="1">"#"</definedName>
    <definedName name="FDC_356_12" hidden="1">"#"</definedName>
    <definedName name="FDC_356_13" hidden="1">"#"</definedName>
    <definedName name="FDC_356_14" hidden="1">"#"</definedName>
    <definedName name="FDC_356_2" hidden="1">"#"</definedName>
    <definedName name="FDC_356_3" hidden="1">"#"</definedName>
    <definedName name="FDC_356_4" hidden="1">"#"</definedName>
    <definedName name="FDC_356_5" hidden="1">"#"</definedName>
    <definedName name="FDC_356_6" hidden="1">"#"</definedName>
    <definedName name="FDC_356_7" hidden="1">"#"</definedName>
    <definedName name="FDC_356_8" hidden="1">"#"</definedName>
    <definedName name="FDC_356_9" hidden="1">"#"</definedName>
    <definedName name="FDC_357_0" hidden="1">"#"</definedName>
    <definedName name="FDC_357_1" hidden="1">"#"</definedName>
    <definedName name="FDC_357_10" hidden="1">"#"</definedName>
    <definedName name="FDC_357_11" hidden="1">"#"</definedName>
    <definedName name="FDC_357_12" hidden="1">"#"</definedName>
    <definedName name="FDC_357_13" hidden="1">"#"</definedName>
    <definedName name="FDC_357_14" hidden="1">"#"</definedName>
    <definedName name="FDC_357_2" hidden="1">"#"</definedName>
    <definedName name="FDC_357_3" hidden="1">"#"</definedName>
    <definedName name="FDC_357_4" hidden="1">"#"</definedName>
    <definedName name="FDC_357_5" hidden="1">"#"</definedName>
    <definedName name="FDC_357_6" hidden="1">"#"</definedName>
    <definedName name="FDC_357_7" hidden="1">"#"</definedName>
    <definedName name="FDC_357_8" hidden="1">"#"</definedName>
    <definedName name="FDC_357_9" hidden="1">"#"</definedName>
    <definedName name="FDC_358_0" hidden="1">"#"</definedName>
    <definedName name="FDC_358_1" hidden="1">"#"</definedName>
    <definedName name="FDC_358_10" hidden="1">"#"</definedName>
    <definedName name="FDC_358_11" hidden="1">"#"</definedName>
    <definedName name="FDC_358_12" hidden="1">"#"</definedName>
    <definedName name="FDC_358_13" hidden="1">"#"</definedName>
    <definedName name="FDC_358_14" hidden="1">"#"</definedName>
    <definedName name="FDC_358_2" hidden="1">"#"</definedName>
    <definedName name="FDC_358_3" hidden="1">"#"</definedName>
    <definedName name="FDC_358_4" hidden="1">"#"</definedName>
    <definedName name="FDC_358_5" hidden="1">"#"</definedName>
    <definedName name="FDC_358_6" hidden="1">"#"</definedName>
    <definedName name="FDC_358_7" hidden="1">"#"</definedName>
    <definedName name="FDC_358_8" hidden="1">"#"</definedName>
    <definedName name="FDC_358_9" hidden="1">"#"</definedName>
    <definedName name="FDC_359_0" hidden="1">"#"</definedName>
    <definedName name="FDC_359_1" hidden="1">"#"</definedName>
    <definedName name="FDC_359_10" hidden="1">"#"</definedName>
    <definedName name="FDC_359_11" hidden="1">"#"</definedName>
    <definedName name="FDC_359_12" hidden="1">"#"</definedName>
    <definedName name="FDC_359_13" hidden="1">"#"</definedName>
    <definedName name="FDC_359_14" hidden="1">"#"</definedName>
    <definedName name="FDC_359_2" hidden="1">"#"</definedName>
    <definedName name="FDC_359_3" hidden="1">"#"</definedName>
    <definedName name="FDC_359_4" hidden="1">"#"</definedName>
    <definedName name="FDC_359_5" hidden="1">"#"</definedName>
    <definedName name="FDC_359_6" hidden="1">"#"</definedName>
    <definedName name="FDC_359_7" hidden="1">"#"</definedName>
    <definedName name="FDC_359_8" hidden="1">"#"</definedName>
    <definedName name="FDC_359_9" hidden="1">"#"</definedName>
    <definedName name="FDC_36_0" hidden="1">"#"</definedName>
    <definedName name="FDC_360_0" hidden="1">"#"</definedName>
    <definedName name="FDC_360_1" hidden="1">"#"</definedName>
    <definedName name="FDC_360_10" hidden="1">"#"</definedName>
    <definedName name="FDC_360_11" hidden="1">"#"</definedName>
    <definedName name="FDC_360_12" hidden="1">"#"</definedName>
    <definedName name="FDC_360_13" hidden="1">"#"</definedName>
    <definedName name="FDC_360_14" hidden="1">"#"</definedName>
    <definedName name="FDC_360_2" hidden="1">"#"</definedName>
    <definedName name="FDC_360_3" hidden="1">"#"</definedName>
    <definedName name="FDC_360_4" hidden="1">"#"</definedName>
    <definedName name="FDC_360_5" hidden="1">"#"</definedName>
    <definedName name="FDC_360_6" hidden="1">"#"</definedName>
    <definedName name="FDC_360_7" hidden="1">"#"</definedName>
    <definedName name="FDC_360_8" hidden="1">"#"</definedName>
    <definedName name="FDC_360_9" hidden="1">"#"</definedName>
    <definedName name="FDC_361_0" hidden="1">"#"</definedName>
    <definedName name="FDC_361_1" hidden="1">"#"</definedName>
    <definedName name="FDC_361_10" hidden="1">"#"</definedName>
    <definedName name="FDC_361_11" hidden="1">"#"</definedName>
    <definedName name="FDC_361_12" hidden="1">"#"</definedName>
    <definedName name="FDC_361_13" hidden="1">"#"</definedName>
    <definedName name="FDC_361_14" hidden="1">"#"</definedName>
    <definedName name="FDC_361_2" hidden="1">"#"</definedName>
    <definedName name="FDC_361_3" hidden="1">"#"</definedName>
    <definedName name="FDC_361_4" hidden="1">"#"</definedName>
    <definedName name="FDC_361_5" hidden="1">"#"</definedName>
    <definedName name="FDC_361_6" hidden="1">"#"</definedName>
    <definedName name="FDC_361_7" hidden="1">"#"</definedName>
    <definedName name="FDC_361_8" hidden="1">"#"</definedName>
    <definedName name="FDC_361_9" hidden="1">"#"</definedName>
    <definedName name="FDC_362_0" hidden="1">"#"</definedName>
    <definedName name="FDC_362_1" hidden="1">"#"</definedName>
    <definedName name="FDC_362_10" hidden="1">"#"</definedName>
    <definedName name="FDC_362_11" hidden="1">"#"</definedName>
    <definedName name="FDC_362_12" hidden="1">"#"</definedName>
    <definedName name="FDC_362_13" hidden="1">"#"</definedName>
    <definedName name="FDC_362_14" hidden="1">"#"</definedName>
    <definedName name="FDC_362_2" hidden="1">"#"</definedName>
    <definedName name="FDC_362_3" hidden="1">"#"</definedName>
    <definedName name="FDC_362_4" hidden="1">"#"</definedName>
    <definedName name="FDC_362_5" hidden="1">"#"</definedName>
    <definedName name="FDC_362_6" hidden="1">"#"</definedName>
    <definedName name="FDC_362_7" hidden="1">"#"</definedName>
    <definedName name="FDC_362_8" hidden="1">"#"</definedName>
    <definedName name="FDC_362_9" hidden="1">"#"</definedName>
    <definedName name="FDC_363_0" hidden="1">"#"</definedName>
    <definedName name="FDC_363_1" hidden="1">"#"</definedName>
    <definedName name="FDC_363_10" hidden="1">"#"</definedName>
    <definedName name="FDC_363_11" hidden="1">"#"</definedName>
    <definedName name="FDC_363_12" hidden="1">"#"</definedName>
    <definedName name="FDC_363_13" hidden="1">"#"</definedName>
    <definedName name="FDC_363_14" hidden="1">"#"</definedName>
    <definedName name="FDC_363_2" hidden="1">"#"</definedName>
    <definedName name="FDC_363_3" hidden="1">"#"</definedName>
    <definedName name="FDC_363_4" hidden="1">"#"</definedName>
    <definedName name="FDC_363_5" hidden="1">"#"</definedName>
    <definedName name="FDC_363_6" hidden="1">"#"</definedName>
    <definedName name="FDC_363_7" hidden="1">"#"</definedName>
    <definedName name="FDC_363_8" hidden="1">"#"</definedName>
    <definedName name="FDC_363_9" hidden="1">"#"</definedName>
    <definedName name="FDC_364_0" hidden="1">"#"</definedName>
    <definedName name="FDC_364_1" hidden="1">"#"</definedName>
    <definedName name="FDC_364_10" hidden="1">"#"</definedName>
    <definedName name="FDC_364_11" hidden="1">"#"</definedName>
    <definedName name="FDC_364_12" hidden="1">"#"</definedName>
    <definedName name="FDC_364_13" hidden="1">"#"</definedName>
    <definedName name="FDC_364_14" hidden="1">"#"</definedName>
    <definedName name="FDC_364_2" hidden="1">"#"</definedName>
    <definedName name="FDC_364_3" hidden="1">"#"</definedName>
    <definedName name="FDC_364_4" hidden="1">"#"</definedName>
    <definedName name="FDC_364_5" hidden="1">"#"</definedName>
    <definedName name="FDC_364_6" hidden="1">"#"</definedName>
    <definedName name="FDC_364_7" hidden="1">"#"</definedName>
    <definedName name="FDC_364_8" hidden="1">"#"</definedName>
    <definedName name="FDC_364_9" hidden="1">"#"</definedName>
    <definedName name="FDC_365_0" hidden="1">"#"</definedName>
    <definedName name="FDC_365_1" hidden="1">"#"</definedName>
    <definedName name="FDC_365_10" hidden="1">"#"</definedName>
    <definedName name="FDC_365_11" hidden="1">"#"</definedName>
    <definedName name="FDC_365_12" hidden="1">"#"</definedName>
    <definedName name="FDC_365_13" hidden="1">"#"</definedName>
    <definedName name="FDC_365_14" hidden="1">"#"</definedName>
    <definedName name="FDC_365_2" hidden="1">"#"</definedName>
    <definedName name="FDC_365_3" hidden="1">"#"</definedName>
    <definedName name="FDC_365_4" hidden="1">"#"</definedName>
    <definedName name="FDC_365_5" hidden="1">"#"</definedName>
    <definedName name="FDC_365_6" hidden="1">"#"</definedName>
    <definedName name="FDC_365_7" hidden="1">"#"</definedName>
    <definedName name="FDC_365_8" hidden="1">"#"</definedName>
    <definedName name="FDC_365_9" hidden="1">"#"</definedName>
    <definedName name="FDC_366_0" hidden="1">"#"</definedName>
    <definedName name="FDC_366_1" hidden="1">"#"</definedName>
    <definedName name="FDC_366_10" hidden="1">"#"</definedName>
    <definedName name="FDC_366_11" hidden="1">"#"</definedName>
    <definedName name="FDC_366_12" hidden="1">"#"</definedName>
    <definedName name="FDC_366_13" hidden="1">"#"</definedName>
    <definedName name="FDC_366_14" hidden="1">"#"</definedName>
    <definedName name="FDC_366_2" hidden="1">"#"</definedName>
    <definedName name="FDC_366_3" hidden="1">"#"</definedName>
    <definedName name="FDC_366_4" hidden="1">"#"</definedName>
    <definedName name="FDC_366_5" hidden="1">"#"</definedName>
    <definedName name="FDC_366_6" hidden="1">"#"</definedName>
    <definedName name="FDC_366_7" hidden="1">"#"</definedName>
    <definedName name="FDC_366_8" hidden="1">"#"</definedName>
    <definedName name="FDC_366_9" hidden="1">"#"</definedName>
    <definedName name="FDC_367_0" hidden="1">"#"</definedName>
    <definedName name="FDC_367_1" hidden="1">"#"</definedName>
    <definedName name="FDC_367_10" hidden="1">"#"</definedName>
    <definedName name="FDC_367_11" hidden="1">"#"</definedName>
    <definedName name="FDC_367_12" hidden="1">"#"</definedName>
    <definedName name="FDC_367_13" hidden="1">"#"</definedName>
    <definedName name="FDC_367_14" hidden="1">"#"</definedName>
    <definedName name="FDC_367_2" hidden="1">"#"</definedName>
    <definedName name="FDC_367_3" hidden="1">"#"</definedName>
    <definedName name="FDC_367_4" hidden="1">"#"</definedName>
    <definedName name="FDC_367_5" hidden="1">"#"</definedName>
    <definedName name="FDC_367_6" hidden="1">"#"</definedName>
    <definedName name="FDC_367_7" hidden="1">"#"</definedName>
    <definedName name="FDC_367_8" hidden="1">"#"</definedName>
    <definedName name="FDC_367_9" hidden="1">"#"</definedName>
    <definedName name="FDC_368_0" hidden="1">"#"</definedName>
    <definedName name="FDC_368_1" hidden="1">"#"</definedName>
    <definedName name="FDC_368_10" hidden="1">"#"</definedName>
    <definedName name="FDC_368_11" hidden="1">"#"</definedName>
    <definedName name="FDC_368_12" hidden="1">"#"</definedName>
    <definedName name="FDC_368_13" hidden="1">"#"</definedName>
    <definedName name="FDC_368_14" hidden="1">"#"</definedName>
    <definedName name="FDC_368_2" hidden="1">"#"</definedName>
    <definedName name="FDC_368_3" hidden="1">"#"</definedName>
    <definedName name="FDC_368_4" hidden="1">"#"</definedName>
    <definedName name="FDC_368_5" hidden="1">"#"</definedName>
    <definedName name="FDC_368_6" hidden="1">"#"</definedName>
    <definedName name="FDC_368_7" hidden="1">"#"</definedName>
    <definedName name="FDC_368_8" hidden="1">"#"</definedName>
    <definedName name="FDC_368_9" hidden="1">"#"</definedName>
    <definedName name="FDC_369_0" hidden="1">"#"</definedName>
    <definedName name="FDC_369_1" hidden="1">"#"</definedName>
    <definedName name="FDC_369_10" hidden="1">"#"</definedName>
    <definedName name="FDC_369_11" hidden="1">"#"</definedName>
    <definedName name="FDC_369_12" hidden="1">"#"</definedName>
    <definedName name="FDC_369_13" hidden="1">"#"</definedName>
    <definedName name="FDC_369_14" hidden="1">"#"</definedName>
    <definedName name="FDC_369_2" hidden="1">"#"</definedName>
    <definedName name="FDC_369_3" hidden="1">"#"</definedName>
    <definedName name="FDC_369_4" hidden="1">"#"</definedName>
    <definedName name="FDC_369_5" hidden="1">"#"</definedName>
    <definedName name="FDC_369_6" hidden="1">"#"</definedName>
    <definedName name="FDC_369_7" hidden="1">"#"</definedName>
    <definedName name="FDC_369_8" hidden="1">"#"</definedName>
    <definedName name="FDC_369_9" hidden="1">"#"</definedName>
    <definedName name="FDC_37_0" hidden="1">"#"</definedName>
    <definedName name="FDC_370_0" hidden="1">"#"</definedName>
    <definedName name="FDC_370_1" hidden="1">"#"</definedName>
    <definedName name="FDC_370_10" hidden="1">"#"</definedName>
    <definedName name="FDC_370_11" hidden="1">"#"</definedName>
    <definedName name="FDC_370_12" hidden="1">"#"</definedName>
    <definedName name="FDC_370_13" hidden="1">"#"</definedName>
    <definedName name="FDC_370_14" hidden="1">"#"</definedName>
    <definedName name="FDC_370_2" hidden="1">"#"</definedName>
    <definedName name="FDC_370_3" hidden="1">"#"</definedName>
    <definedName name="FDC_370_4" hidden="1">"#"</definedName>
    <definedName name="FDC_370_5" hidden="1">"#"</definedName>
    <definedName name="FDC_370_6" hidden="1">"#"</definedName>
    <definedName name="FDC_370_7" hidden="1">"#"</definedName>
    <definedName name="FDC_370_8" hidden="1">"#"</definedName>
    <definedName name="FDC_370_9" hidden="1">"#"</definedName>
    <definedName name="FDC_371_0" hidden="1">"#"</definedName>
    <definedName name="FDC_371_1" hidden="1">"#"</definedName>
    <definedName name="FDC_371_10" hidden="1">"#"</definedName>
    <definedName name="FDC_371_11" hidden="1">"#"</definedName>
    <definedName name="FDC_371_12" hidden="1">"#"</definedName>
    <definedName name="FDC_371_13" hidden="1">"#"</definedName>
    <definedName name="FDC_371_14" hidden="1">"#"</definedName>
    <definedName name="FDC_371_2" hidden="1">"#"</definedName>
    <definedName name="FDC_371_3" hidden="1">"#"</definedName>
    <definedName name="FDC_371_4" hidden="1">"#"</definedName>
    <definedName name="FDC_371_5" hidden="1">"#"</definedName>
    <definedName name="FDC_371_6" hidden="1">"#"</definedName>
    <definedName name="FDC_371_7" hidden="1">"#"</definedName>
    <definedName name="FDC_371_8" hidden="1">"#"</definedName>
    <definedName name="FDC_371_9" hidden="1">"#"</definedName>
    <definedName name="FDC_372_0" hidden="1">"#"</definedName>
    <definedName name="FDC_372_1" hidden="1">"#"</definedName>
    <definedName name="FDC_372_10" hidden="1">"#"</definedName>
    <definedName name="FDC_372_11" hidden="1">"#"</definedName>
    <definedName name="FDC_372_12" hidden="1">"#"</definedName>
    <definedName name="FDC_372_13" hidden="1">"#"</definedName>
    <definedName name="FDC_372_14" hidden="1">"#"</definedName>
    <definedName name="FDC_372_2" hidden="1">"#"</definedName>
    <definedName name="FDC_372_3" hidden="1">"#"</definedName>
    <definedName name="FDC_372_4" hidden="1">"#"</definedName>
    <definedName name="FDC_372_5" hidden="1">"#"</definedName>
    <definedName name="FDC_372_6" hidden="1">"#"</definedName>
    <definedName name="FDC_372_7" hidden="1">"#"</definedName>
    <definedName name="FDC_372_8" hidden="1">"#"</definedName>
    <definedName name="FDC_372_9" hidden="1">"#"</definedName>
    <definedName name="FDC_373_0" hidden="1">"#"</definedName>
    <definedName name="FDC_373_1" hidden="1">"#"</definedName>
    <definedName name="FDC_373_10" hidden="1">"#"</definedName>
    <definedName name="FDC_373_11" hidden="1">"#"</definedName>
    <definedName name="FDC_373_12" hidden="1">"#"</definedName>
    <definedName name="FDC_373_13" hidden="1">"#"</definedName>
    <definedName name="FDC_373_14" hidden="1">"#"</definedName>
    <definedName name="FDC_373_2" hidden="1">"#"</definedName>
    <definedName name="FDC_373_3" hidden="1">"#"</definedName>
    <definedName name="FDC_373_4" hidden="1">"#"</definedName>
    <definedName name="FDC_373_5" hidden="1">"#"</definedName>
    <definedName name="FDC_373_6" hidden="1">"#"</definedName>
    <definedName name="FDC_373_7" hidden="1">"#"</definedName>
    <definedName name="FDC_373_8" hidden="1">"#"</definedName>
    <definedName name="FDC_373_9" hidden="1">"#"</definedName>
    <definedName name="FDC_374_0" hidden="1">"#"</definedName>
    <definedName name="FDC_374_1" hidden="1">"#"</definedName>
    <definedName name="FDC_374_10" hidden="1">"#"</definedName>
    <definedName name="FDC_374_11" hidden="1">"#"</definedName>
    <definedName name="FDC_374_12" hidden="1">"#"</definedName>
    <definedName name="FDC_374_13" hidden="1">"#"</definedName>
    <definedName name="FDC_374_14" hidden="1">"#"</definedName>
    <definedName name="FDC_374_2" hidden="1">"#"</definedName>
    <definedName name="FDC_374_3" hidden="1">"#"</definedName>
    <definedName name="FDC_374_4" hidden="1">"#"</definedName>
    <definedName name="FDC_374_5" hidden="1">"#"</definedName>
    <definedName name="FDC_374_6" hidden="1">"#"</definedName>
    <definedName name="FDC_374_7" hidden="1">"#"</definedName>
    <definedName name="FDC_374_8" hidden="1">"#"</definedName>
    <definedName name="FDC_374_9" hidden="1">"#"</definedName>
    <definedName name="FDC_375_0" hidden="1">"#"</definedName>
    <definedName name="FDC_375_1" hidden="1">"#"</definedName>
    <definedName name="FDC_375_10" hidden="1">"#"</definedName>
    <definedName name="FDC_375_11" hidden="1">"#"</definedName>
    <definedName name="FDC_375_12" hidden="1">"#"</definedName>
    <definedName name="FDC_375_13" hidden="1">"#"</definedName>
    <definedName name="FDC_375_14" hidden="1">"#"</definedName>
    <definedName name="FDC_375_2" hidden="1">"#"</definedName>
    <definedName name="FDC_375_3" hidden="1">"#"</definedName>
    <definedName name="FDC_375_4" hidden="1">"#"</definedName>
    <definedName name="FDC_375_5" hidden="1">"#"</definedName>
    <definedName name="FDC_375_6" hidden="1">"#"</definedName>
    <definedName name="FDC_375_7" hidden="1">"#"</definedName>
    <definedName name="FDC_375_8" hidden="1">"#"</definedName>
    <definedName name="FDC_375_9" hidden="1">"#"</definedName>
    <definedName name="FDC_376_0" hidden="1">"#"</definedName>
    <definedName name="FDC_376_1" hidden="1">"#"</definedName>
    <definedName name="FDC_376_2" hidden="1">"#"</definedName>
    <definedName name="FDC_376_3" hidden="1">"#"</definedName>
    <definedName name="FDC_376_4" hidden="1">"#"</definedName>
    <definedName name="FDC_376_5" hidden="1">"#"</definedName>
    <definedName name="FDC_376_6" hidden="1">"#"</definedName>
    <definedName name="FDC_377_0" hidden="1">"#"</definedName>
    <definedName name="FDC_377_1" hidden="1">"#"</definedName>
    <definedName name="FDC_377_2" hidden="1">"#"</definedName>
    <definedName name="FDC_377_3" hidden="1">"#"</definedName>
    <definedName name="FDC_377_4" hidden="1">"#"</definedName>
    <definedName name="FDC_377_5" hidden="1">"#"</definedName>
    <definedName name="FDC_377_6" hidden="1">"#"</definedName>
    <definedName name="FDC_38_0" hidden="1">"#"</definedName>
    <definedName name="FDC_39_0" hidden="1">"#"</definedName>
    <definedName name="FDC_4_0" hidden="1">"#"</definedName>
    <definedName name="FDC_40_0" hidden="1">"#"</definedName>
    <definedName name="FDC_41_0" hidden="1">"#"</definedName>
    <definedName name="FDC_41_1" hidden="1">"#"</definedName>
    <definedName name="FDC_41_2" hidden="1">"#"</definedName>
    <definedName name="FDC_41_3" hidden="1">"#"</definedName>
    <definedName name="FDC_42_0" hidden="1">"#"</definedName>
    <definedName name="FDC_42_1" hidden="1">"#"</definedName>
    <definedName name="FDC_42_2" hidden="1">"#"</definedName>
    <definedName name="FDC_42_3" hidden="1">"#"</definedName>
    <definedName name="FDC_43_0" hidden="1">"#"</definedName>
    <definedName name="FDC_43_1" hidden="1">"#"</definedName>
    <definedName name="FDC_43_10" hidden="1">"#"</definedName>
    <definedName name="FDC_43_11" hidden="1">"#"</definedName>
    <definedName name="FDC_43_12" hidden="1">"#"</definedName>
    <definedName name="FDC_43_13" hidden="1">"#"</definedName>
    <definedName name="FDC_43_14" hidden="1">"#"</definedName>
    <definedName name="FDC_43_2" hidden="1">"#"</definedName>
    <definedName name="FDC_43_3" hidden="1">"#"</definedName>
    <definedName name="FDC_43_4" hidden="1">"#"</definedName>
    <definedName name="FDC_43_5" hidden="1">"#"</definedName>
    <definedName name="FDC_43_6" hidden="1">"#"</definedName>
    <definedName name="FDC_43_7" hidden="1">"#"</definedName>
    <definedName name="FDC_43_8" hidden="1">"#"</definedName>
    <definedName name="FDC_43_9" hidden="1">"#"</definedName>
    <definedName name="FDC_44_0" hidden="1">"#"</definedName>
    <definedName name="FDC_44_1" hidden="1">"#"</definedName>
    <definedName name="FDC_44_10" hidden="1">"#"</definedName>
    <definedName name="FDC_44_11" hidden="1">"#"</definedName>
    <definedName name="FDC_44_12" hidden="1">"#"</definedName>
    <definedName name="FDC_44_13" hidden="1">"#"</definedName>
    <definedName name="FDC_44_14" hidden="1">"#"</definedName>
    <definedName name="FDC_44_2" hidden="1">"#"</definedName>
    <definedName name="FDC_44_3" hidden="1">"#"</definedName>
    <definedName name="FDC_44_4" hidden="1">"#"</definedName>
    <definedName name="FDC_44_5" hidden="1">"#"</definedName>
    <definedName name="FDC_44_6" hidden="1">"#"</definedName>
    <definedName name="FDC_44_7" hidden="1">"#"</definedName>
    <definedName name="FDC_44_8" hidden="1">"#"</definedName>
    <definedName name="FDC_44_9" hidden="1">"#"</definedName>
    <definedName name="FDC_45_0" hidden="1">"#"</definedName>
    <definedName name="FDC_45_1" hidden="1">"#"</definedName>
    <definedName name="FDC_45_10" hidden="1">"#"</definedName>
    <definedName name="FDC_45_11" hidden="1">"#"</definedName>
    <definedName name="FDC_45_12" hidden="1">"#"</definedName>
    <definedName name="FDC_45_13" hidden="1">"#"</definedName>
    <definedName name="FDC_45_14" hidden="1">"#"</definedName>
    <definedName name="FDC_45_2" hidden="1">"#"</definedName>
    <definedName name="FDC_45_3" hidden="1">"#"</definedName>
    <definedName name="FDC_45_4" hidden="1">"#"</definedName>
    <definedName name="FDC_45_5" hidden="1">"#"</definedName>
    <definedName name="FDC_45_6" hidden="1">"#"</definedName>
    <definedName name="FDC_45_7" hidden="1">"#"</definedName>
    <definedName name="FDC_45_8" hidden="1">"#"</definedName>
    <definedName name="FDC_45_9" hidden="1">"#"</definedName>
    <definedName name="FDC_46_0" hidden="1">"#"</definedName>
    <definedName name="FDC_46_1" hidden="1">"#"</definedName>
    <definedName name="FDC_46_10" hidden="1">"#"</definedName>
    <definedName name="FDC_46_11" hidden="1">"#"</definedName>
    <definedName name="FDC_46_12" hidden="1">"#"</definedName>
    <definedName name="FDC_46_13" hidden="1">"#"</definedName>
    <definedName name="FDC_46_14" hidden="1">"#"</definedName>
    <definedName name="FDC_46_2" hidden="1">"#"</definedName>
    <definedName name="FDC_46_3" hidden="1">"#"</definedName>
    <definedName name="FDC_46_4" hidden="1">"#"</definedName>
    <definedName name="FDC_46_5" hidden="1">"#"</definedName>
    <definedName name="FDC_46_6" hidden="1">"#"</definedName>
    <definedName name="FDC_46_7" hidden="1">"#"</definedName>
    <definedName name="FDC_46_8" hidden="1">"#"</definedName>
    <definedName name="FDC_46_9" hidden="1">"#"</definedName>
    <definedName name="FDC_47_0" hidden="1">"#"</definedName>
    <definedName name="FDC_47_1" hidden="1">"#"</definedName>
    <definedName name="FDC_47_10" hidden="1">"#"</definedName>
    <definedName name="FDC_47_11" hidden="1">"#"</definedName>
    <definedName name="FDC_47_12" hidden="1">"#"</definedName>
    <definedName name="FDC_47_13" hidden="1">"#"</definedName>
    <definedName name="FDC_47_14" hidden="1">"#"</definedName>
    <definedName name="FDC_47_2" hidden="1">"#"</definedName>
    <definedName name="FDC_47_3" hidden="1">"#"</definedName>
    <definedName name="FDC_47_4" hidden="1">"#"</definedName>
    <definedName name="FDC_47_5" hidden="1">"#"</definedName>
    <definedName name="FDC_47_6" hidden="1">"#"</definedName>
    <definedName name="FDC_47_7" hidden="1">"#"</definedName>
    <definedName name="FDC_47_8" hidden="1">"#"</definedName>
    <definedName name="FDC_47_9" hidden="1">"#"</definedName>
    <definedName name="FDC_48_0" hidden="1">"#"</definedName>
    <definedName name="FDC_48_1" hidden="1">"#"</definedName>
    <definedName name="FDC_48_10" hidden="1">"#"</definedName>
    <definedName name="FDC_48_11" hidden="1">"#"</definedName>
    <definedName name="FDC_48_12" hidden="1">"#"</definedName>
    <definedName name="FDC_48_13" hidden="1">"#"</definedName>
    <definedName name="FDC_48_14" hidden="1">"#"</definedName>
    <definedName name="FDC_48_2" hidden="1">"#"</definedName>
    <definedName name="FDC_48_3" hidden="1">"#"</definedName>
    <definedName name="FDC_48_4" hidden="1">"#"</definedName>
    <definedName name="FDC_48_5" hidden="1">"#"</definedName>
    <definedName name="FDC_48_6" hidden="1">"#"</definedName>
    <definedName name="FDC_48_7" hidden="1">"#"</definedName>
    <definedName name="FDC_48_8" hidden="1">"#"</definedName>
    <definedName name="FDC_48_9" hidden="1">"#"</definedName>
    <definedName name="FDC_49_0" hidden="1">"#"</definedName>
    <definedName name="FDC_49_1" hidden="1">"#"</definedName>
    <definedName name="FDC_49_10" hidden="1">"#"</definedName>
    <definedName name="FDC_49_11" hidden="1">"#"</definedName>
    <definedName name="FDC_49_12" hidden="1">"#"</definedName>
    <definedName name="FDC_49_13" hidden="1">"#"</definedName>
    <definedName name="FDC_49_14" hidden="1">"#"</definedName>
    <definedName name="FDC_49_2" hidden="1">"#"</definedName>
    <definedName name="FDC_49_3" hidden="1">"#"</definedName>
    <definedName name="FDC_49_4" hidden="1">"#"</definedName>
    <definedName name="FDC_49_5" hidden="1">"#"</definedName>
    <definedName name="FDC_49_6" hidden="1">"#"</definedName>
    <definedName name="FDC_49_7" hidden="1">"#"</definedName>
    <definedName name="FDC_49_8" hidden="1">"#"</definedName>
    <definedName name="FDC_49_9" hidden="1">"#"</definedName>
    <definedName name="FDC_5_0" hidden="1">"#"</definedName>
    <definedName name="FDC_5_1" hidden="1">"#"</definedName>
    <definedName name="FDC_5_2" hidden="1">"#"</definedName>
    <definedName name="FDC_5_3" hidden="1">"#"</definedName>
    <definedName name="FDC_50_0" hidden="1">"#"</definedName>
    <definedName name="FDC_50_1" hidden="1">"#"</definedName>
    <definedName name="FDC_50_10" hidden="1">"#"</definedName>
    <definedName name="FDC_50_11" hidden="1">"#"</definedName>
    <definedName name="FDC_50_12" hidden="1">"#"</definedName>
    <definedName name="FDC_50_13" hidden="1">"#"</definedName>
    <definedName name="FDC_50_14" hidden="1">"#"</definedName>
    <definedName name="FDC_50_2" hidden="1">"#"</definedName>
    <definedName name="FDC_50_3" hidden="1">"#"</definedName>
    <definedName name="FDC_50_4" hidden="1">"#"</definedName>
    <definedName name="FDC_50_5" hidden="1">"#"</definedName>
    <definedName name="FDC_50_6" hidden="1">"#"</definedName>
    <definedName name="FDC_50_7" hidden="1">"#"</definedName>
    <definedName name="FDC_50_8" hidden="1">"#"</definedName>
    <definedName name="FDC_50_9" hidden="1">"#"</definedName>
    <definedName name="FDC_51_0" hidden="1">"#"</definedName>
    <definedName name="FDC_51_1" hidden="1">"#"</definedName>
    <definedName name="FDC_51_10" hidden="1">"#"</definedName>
    <definedName name="FDC_51_11" hidden="1">"#"</definedName>
    <definedName name="FDC_51_12" hidden="1">"#"</definedName>
    <definedName name="FDC_51_13" hidden="1">"#"</definedName>
    <definedName name="FDC_51_14" hidden="1">"#"</definedName>
    <definedName name="FDC_51_2" hidden="1">"#"</definedName>
    <definedName name="FDC_51_3" hidden="1">"#"</definedName>
    <definedName name="FDC_51_4" hidden="1">"#"</definedName>
    <definedName name="FDC_51_5" hidden="1">"#"</definedName>
    <definedName name="FDC_51_6" hidden="1">"#"</definedName>
    <definedName name="FDC_51_7" hidden="1">"#"</definedName>
    <definedName name="FDC_51_8" hidden="1">"#"</definedName>
    <definedName name="FDC_51_9" hidden="1">"#"</definedName>
    <definedName name="FDC_52_0" hidden="1">"#"</definedName>
    <definedName name="FDC_52_1" hidden="1">"#"</definedName>
    <definedName name="FDC_52_10" hidden="1">"#"</definedName>
    <definedName name="FDC_52_11" hidden="1">"#"</definedName>
    <definedName name="FDC_52_12" hidden="1">"#"</definedName>
    <definedName name="FDC_52_13" hidden="1">"#"</definedName>
    <definedName name="FDC_52_14" hidden="1">"#"</definedName>
    <definedName name="FDC_52_2" hidden="1">"#"</definedName>
    <definedName name="FDC_52_3" hidden="1">"#"</definedName>
    <definedName name="FDC_52_4" hidden="1">"#"</definedName>
    <definedName name="FDC_52_5" hidden="1">"#"</definedName>
    <definedName name="FDC_52_6" hidden="1">"#"</definedName>
    <definedName name="FDC_52_7" hidden="1">"#"</definedName>
    <definedName name="FDC_52_8" hidden="1">"#"</definedName>
    <definedName name="FDC_52_9" hidden="1">"#"</definedName>
    <definedName name="FDC_53_0" hidden="1">"#"</definedName>
    <definedName name="FDC_53_1" hidden="1">"#"</definedName>
    <definedName name="FDC_53_10" hidden="1">"#"</definedName>
    <definedName name="FDC_53_11" hidden="1">"#"</definedName>
    <definedName name="FDC_53_12" hidden="1">"#"</definedName>
    <definedName name="FDC_53_13" hidden="1">"#"</definedName>
    <definedName name="FDC_53_14" hidden="1">"#"</definedName>
    <definedName name="FDC_53_2" hidden="1">"#"</definedName>
    <definedName name="FDC_53_3" hidden="1">"#"</definedName>
    <definedName name="FDC_53_4" hidden="1">"#"</definedName>
    <definedName name="FDC_53_5" hidden="1">"#"</definedName>
    <definedName name="FDC_53_6" hidden="1">"#"</definedName>
    <definedName name="FDC_53_7" hidden="1">"#"</definedName>
    <definedName name="FDC_53_8" hidden="1">"#"</definedName>
    <definedName name="FDC_53_9" hidden="1">"#"</definedName>
    <definedName name="FDC_54_0" hidden="1">"#"</definedName>
    <definedName name="FDC_54_1" hidden="1">"#"</definedName>
    <definedName name="FDC_54_10" hidden="1">"#"</definedName>
    <definedName name="FDC_54_11" hidden="1">"#"</definedName>
    <definedName name="FDC_54_12" hidden="1">"#"</definedName>
    <definedName name="FDC_54_13" hidden="1">"#"</definedName>
    <definedName name="FDC_54_14" hidden="1">"#"</definedName>
    <definedName name="FDC_54_2" hidden="1">"#"</definedName>
    <definedName name="FDC_54_3" hidden="1">"#"</definedName>
    <definedName name="FDC_54_4" hidden="1">"#"</definedName>
    <definedName name="FDC_54_5" hidden="1">"#"</definedName>
    <definedName name="FDC_54_6" hidden="1">"#"</definedName>
    <definedName name="FDC_54_7" hidden="1">"#"</definedName>
    <definedName name="FDC_54_8" hidden="1">"#"</definedName>
    <definedName name="FDC_54_9" hidden="1">"#"</definedName>
    <definedName name="FDC_55_0" hidden="1">"#"</definedName>
    <definedName name="FDC_55_1" hidden="1">"#"</definedName>
    <definedName name="FDC_55_10" hidden="1">"#"</definedName>
    <definedName name="FDC_55_11" hidden="1">"#"</definedName>
    <definedName name="FDC_55_12" hidden="1">"#"</definedName>
    <definedName name="FDC_55_13" hidden="1">"#"</definedName>
    <definedName name="FDC_55_14" hidden="1">"#"</definedName>
    <definedName name="FDC_55_2" hidden="1">"#"</definedName>
    <definedName name="FDC_55_3" hidden="1">"#"</definedName>
    <definedName name="FDC_55_4" hidden="1">"#"</definedName>
    <definedName name="FDC_55_5" hidden="1">"#"</definedName>
    <definedName name="FDC_55_6" hidden="1">"#"</definedName>
    <definedName name="FDC_55_7" hidden="1">"#"</definedName>
    <definedName name="FDC_55_8" hidden="1">"#"</definedName>
    <definedName name="FDC_55_9" hidden="1">"#"</definedName>
    <definedName name="FDC_56_0" hidden="1">"#"</definedName>
    <definedName name="FDC_56_1" hidden="1">"#"</definedName>
    <definedName name="FDC_56_10" hidden="1">"#"</definedName>
    <definedName name="FDC_56_11" hidden="1">"#"</definedName>
    <definedName name="FDC_56_12" hidden="1">"#"</definedName>
    <definedName name="FDC_56_13" hidden="1">"#"</definedName>
    <definedName name="FDC_56_14" hidden="1">"#"</definedName>
    <definedName name="FDC_56_2" hidden="1">"#"</definedName>
    <definedName name="FDC_56_3" hidden="1">"#"</definedName>
    <definedName name="FDC_56_4" hidden="1">"#"</definedName>
    <definedName name="FDC_56_5" hidden="1">"#"</definedName>
    <definedName name="FDC_56_6" hidden="1">"#"</definedName>
    <definedName name="FDC_56_7" hidden="1">"#"</definedName>
    <definedName name="FDC_56_8" hidden="1">"#"</definedName>
    <definedName name="FDC_56_9" hidden="1">"#"</definedName>
    <definedName name="FDC_57_0" hidden="1">"#"</definedName>
    <definedName name="FDC_57_1" hidden="1">"#"</definedName>
    <definedName name="FDC_57_10" hidden="1">"#"</definedName>
    <definedName name="FDC_57_11" hidden="1">"#"</definedName>
    <definedName name="FDC_57_12" hidden="1">"#"</definedName>
    <definedName name="FDC_57_13" hidden="1">"#"</definedName>
    <definedName name="FDC_57_14" hidden="1">"#"</definedName>
    <definedName name="FDC_57_2" hidden="1">"#"</definedName>
    <definedName name="FDC_57_3" hidden="1">"#"</definedName>
    <definedName name="FDC_57_4" hidden="1">"#"</definedName>
    <definedName name="FDC_57_5" hidden="1">"#"</definedName>
    <definedName name="FDC_57_6" hidden="1">"#"</definedName>
    <definedName name="FDC_57_7" hidden="1">"#"</definedName>
    <definedName name="FDC_57_8" hidden="1">"#"</definedName>
    <definedName name="FDC_57_9" hidden="1">"#"</definedName>
    <definedName name="FDC_58_0" hidden="1">"#"</definedName>
    <definedName name="FDC_58_1" hidden="1">"#"</definedName>
    <definedName name="FDC_58_10" hidden="1">"#"</definedName>
    <definedName name="FDC_58_100" hidden="1">"#"</definedName>
    <definedName name="FDC_58_101" hidden="1">"#"</definedName>
    <definedName name="FDC_58_102" hidden="1">"#"</definedName>
    <definedName name="FDC_58_103" hidden="1">"#"</definedName>
    <definedName name="FDC_58_104" hidden="1">"#"</definedName>
    <definedName name="FDC_58_105" hidden="1">"#"</definedName>
    <definedName name="FDC_58_106" hidden="1">"#"</definedName>
    <definedName name="FDC_58_107" hidden="1">"#"</definedName>
    <definedName name="FDC_58_108" hidden="1">"#"</definedName>
    <definedName name="FDC_58_109" hidden="1">"#"</definedName>
    <definedName name="FDC_58_11" hidden="1">"#"</definedName>
    <definedName name="FDC_58_110" hidden="1">"#"</definedName>
    <definedName name="FDC_58_111" hidden="1">"#"</definedName>
    <definedName name="FDC_58_112" hidden="1">"#"</definedName>
    <definedName name="FDC_58_113" hidden="1">"#"</definedName>
    <definedName name="FDC_58_114" hidden="1">"#"</definedName>
    <definedName name="FDC_58_115" hidden="1">"#"</definedName>
    <definedName name="FDC_58_116" hidden="1">"#"</definedName>
    <definedName name="FDC_58_117" hidden="1">"#"</definedName>
    <definedName name="FDC_58_118" hidden="1">"#"</definedName>
    <definedName name="FDC_58_119" hidden="1">"#"</definedName>
    <definedName name="FDC_58_12" hidden="1">"#"</definedName>
    <definedName name="FDC_58_120" hidden="1">"#"</definedName>
    <definedName name="FDC_58_121" hidden="1">"#"</definedName>
    <definedName name="FDC_58_122" hidden="1">"#"</definedName>
    <definedName name="FDC_58_123" hidden="1">"#"</definedName>
    <definedName name="FDC_58_124" hidden="1">"#"</definedName>
    <definedName name="FDC_58_125" hidden="1">"#"</definedName>
    <definedName name="FDC_58_126" hidden="1">"#"</definedName>
    <definedName name="FDC_58_127" hidden="1">"#"</definedName>
    <definedName name="FDC_58_128" hidden="1">"#"</definedName>
    <definedName name="FDC_58_129" hidden="1">"#"</definedName>
    <definedName name="FDC_58_13" hidden="1">"#"</definedName>
    <definedName name="FDC_58_130" hidden="1">"#"</definedName>
    <definedName name="FDC_58_131" hidden="1">"#"</definedName>
    <definedName name="FDC_58_132" hidden="1">"#"</definedName>
    <definedName name="FDC_58_133" hidden="1">"#"</definedName>
    <definedName name="FDC_58_134" hidden="1">"#"</definedName>
    <definedName name="FDC_58_135" hidden="1">"#"</definedName>
    <definedName name="FDC_58_136" hidden="1">"#"</definedName>
    <definedName name="FDC_58_137" hidden="1">"#"</definedName>
    <definedName name="FDC_58_138" hidden="1">"#"</definedName>
    <definedName name="FDC_58_139" hidden="1">"#"</definedName>
    <definedName name="FDC_58_14" hidden="1">"#"</definedName>
    <definedName name="FDC_58_140" hidden="1">"#"</definedName>
    <definedName name="FDC_58_141" hidden="1">"#"</definedName>
    <definedName name="FDC_58_142" hidden="1">"#"</definedName>
    <definedName name="FDC_58_143" hidden="1">"#"</definedName>
    <definedName name="FDC_58_144" hidden="1">"#"</definedName>
    <definedName name="FDC_58_145" hidden="1">"#"</definedName>
    <definedName name="FDC_58_146" hidden="1">"#"</definedName>
    <definedName name="FDC_58_147" hidden="1">"#"</definedName>
    <definedName name="FDC_58_148" hidden="1">"#"</definedName>
    <definedName name="FDC_58_149" hidden="1">"#"</definedName>
    <definedName name="FDC_58_15" hidden="1">"#"</definedName>
    <definedName name="FDC_58_150" hidden="1">"#"</definedName>
    <definedName name="FDC_58_151" hidden="1">"#"</definedName>
    <definedName name="FDC_58_152" hidden="1">"#"</definedName>
    <definedName name="FDC_58_153" hidden="1">"#"</definedName>
    <definedName name="FDC_58_154" hidden="1">"#"</definedName>
    <definedName name="FDC_58_155" hidden="1">"#"</definedName>
    <definedName name="FDC_58_156" hidden="1">"#"</definedName>
    <definedName name="FDC_58_157" hidden="1">"#"</definedName>
    <definedName name="FDC_58_158" hidden="1">"#"</definedName>
    <definedName name="FDC_58_159" hidden="1">"#"</definedName>
    <definedName name="FDC_58_16" hidden="1">"#"</definedName>
    <definedName name="FDC_58_160" hidden="1">"#"</definedName>
    <definedName name="FDC_58_161" hidden="1">"#"</definedName>
    <definedName name="FDC_58_162" hidden="1">"#"</definedName>
    <definedName name="FDC_58_163" hidden="1">"#"</definedName>
    <definedName name="FDC_58_164" hidden="1">"#"</definedName>
    <definedName name="FDC_58_165" hidden="1">"#"</definedName>
    <definedName name="FDC_58_166" hidden="1">"#"</definedName>
    <definedName name="FDC_58_167" hidden="1">"#"</definedName>
    <definedName name="FDC_58_168" hidden="1">"#"</definedName>
    <definedName name="FDC_58_169" hidden="1">"#"</definedName>
    <definedName name="FDC_58_17" hidden="1">"#"</definedName>
    <definedName name="FDC_58_170" hidden="1">"#"</definedName>
    <definedName name="FDC_58_171" hidden="1">"#"</definedName>
    <definedName name="FDC_58_172" hidden="1">"#"</definedName>
    <definedName name="FDC_58_173" hidden="1">"#"</definedName>
    <definedName name="FDC_58_174" hidden="1">"#"</definedName>
    <definedName name="FDC_58_175" hidden="1">"#"</definedName>
    <definedName name="FDC_58_176" hidden="1">"#"</definedName>
    <definedName name="FDC_58_177" hidden="1">"#"</definedName>
    <definedName name="FDC_58_178" hidden="1">"#"</definedName>
    <definedName name="FDC_58_179" hidden="1">"#"</definedName>
    <definedName name="FDC_58_18" hidden="1">"#"</definedName>
    <definedName name="FDC_58_180" hidden="1">"#"</definedName>
    <definedName name="FDC_58_181" hidden="1">"#"</definedName>
    <definedName name="FDC_58_182" hidden="1">"#"</definedName>
    <definedName name="FDC_58_183" hidden="1">"#"</definedName>
    <definedName name="FDC_58_184" hidden="1">"#"</definedName>
    <definedName name="FDC_58_185" hidden="1">"#"</definedName>
    <definedName name="FDC_58_186" hidden="1">"#"</definedName>
    <definedName name="FDC_58_187" hidden="1">"#"</definedName>
    <definedName name="FDC_58_188" hidden="1">"#"</definedName>
    <definedName name="FDC_58_189" hidden="1">"#"</definedName>
    <definedName name="FDC_58_19" hidden="1">"#"</definedName>
    <definedName name="FDC_58_190" hidden="1">"#"</definedName>
    <definedName name="FDC_58_191" hidden="1">"#"</definedName>
    <definedName name="FDC_58_192" hidden="1">"#"</definedName>
    <definedName name="FDC_58_193" hidden="1">"#"</definedName>
    <definedName name="FDC_58_194" hidden="1">"#"</definedName>
    <definedName name="FDC_58_195" hidden="1">"#"</definedName>
    <definedName name="FDC_58_196" hidden="1">"#"</definedName>
    <definedName name="FDC_58_197" hidden="1">"#"</definedName>
    <definedName name="FDC_58_198" hidden="1">"#"</definedName>
    <definedName name="FDC_58_199" hidden="1">"#"</definedName>
    <definedName name="FDC_58_2" hidden="1">"#"</definedName>
    <definedName name="FDC_58_20" hidden="1">"#"</definedName>
    <definedName name="FDC_58_200" hidden="1">"#"</definedName>
    <definedName name="FDC_58_201" hidden="1">"#"</definedName>
    <definedName name="FDC_58_202" hidden="1">"#"</definedName>
    <definedName name="FDC_58_203" hidden="1">"#"</definedName>
    <definedName name="FDC_58_204" hidden="1">"#"</definedName>
    <definedName name="FDC_58_205" hidden="1">"#"</definedName>
    <definedName name="FDC_58_206" hidden="1">"#"</definedName>
    <definedName name="FDC_58_207" hidden="1">"#"</definedName>
    <definedName name="FDC_58_208" hidden="1">"#"</definedName>
    <definedName name="FDC_58_209" hidden="1">"#"</definedName>
    <definedName name="FDC_58_21" hidden="1">"#"</definedName>
    <definedName name="FDC_58_210" hidden="1">"#"</definedName>
    <definedName name="FDC_58_211" hidden="1">"#"</definedName>
    <definedName name="FDC_58_212" hidden="1">"#"</definedName>
    <definedName name="FDC_58_213" hidden="1">"#"</definedName>
    <definedName name="FDC_58_214" hidden="1">"#"</definedName>
    <definedName name="FDC_58_215" hidden="1">"#"</definedName>
    <definedName name="FDC_58_216" hidden="1">"#"</definedName>
    <definedName name="FDC_58_217" hidden="1">"#"</definedName>
    <definedName name="FDC_58_218" hidden="1">"#"</definedName>
    <definedName name="FDC_58_219" hidden="1">"#"</definedName>
    <definedName name="FDC_58_22" hidden="1">"#"</definedName>
    <definedName name="FDC_58_220" hidden="1">"#"</definedName>
    <definedName name="FDC_58_221" hidden="1">"#"</definedName>
    <definedName name="FDC_58_222" hidden="1">"#"</definedName>
    <definedName name="FDC_58_223" hidden="1">"#"</definedName>
    <definedName name="FDC_58_224" hidden="1">"#"</definedName>
    <definedName name="FDC_58_225" hidden="1">"#"</definedName>
    <definedName name="FDC_58_226" hidden="1">"#"</definedName>
    <definedName name="FDC_58_227" hidden="1">"#"</definedName>
    <definedName name="FDC_58_228" hidden="1">"#"</definedName>
    <definedName name="FDC_58_229" hidden="1">"#"</definedName>
    <definedName name="FDC_58_23" hidden="1">"#"</definedName>
    <definedName name="FDC_58_230" hidden="1">"#"</definedName>
    <definedName name="FDC_58_231" hidden="1">"#"</definedName>
    <definedName name="FDC_58_232" hidden="1">"#"</definedName>
    <definedName name="FDC_58_233" hidden="1">"#"</definedName>
    <definedName name="FDC_58_234" hidden="1">"#"</definedName>
    <definedName name="FDC_58_235" hidden="1">"#"</definedName>
    <definedName name="FDC_58_236" hidden="1">"#"</definedName>
    <definedName name="FDC_58_237" hidden="1">"#"</definedName>
    <definedName name="FDC_58_238" hidden="1">"#"</definedName>
    <definedName name="FDC_58_239" hidden="1">"#"</definedName>
    <definedName name="FDC_58_24" hidden="1">"#"</definedName>
    <definedName name="FDC_58_240" hidden="1">"#"</definedName>
    <definedName name="FDC_58_241" hidden="1">"#"</definedName>
    <definedName name="FDC_58_242" hidden="1">"#"</definedName>
    <definedName name="FDC_58_243" hidden="1">"#"</definedName>
    <definedName name="FDC_58_244" hidden="1">"#"</definedName>
    <definedName name="FDC_58_245" hidden="1">"#"</definedName>
    <definedName name="FDC_58_246" hidden="1">"#"</definedName>
    <definedName name="FDC_58_247" hidden="1">"#"</definedName>
    <definedName name="FDC_58_248" hidden="1">"#"</definedName>
    <definedName name="FDC_58_249" hidden="1">"#"</definedName>
    <definedName name="FDC_58_25" hidden="1">"#"</definedName>
    <definedName name="FDC_58_250" hidden="1">"#"</definedName>
    <definedName name="FDC_58_251" hidden="1">"#"</definedName>
    <definedName name="FDC_58_252" hidden="1">"#"</definedName>
    <definedName name="FDC_58_253" hidden="1">"#"</definedName>
    <definedName name="FDC_58_254" hidden="1">"#"</definedName>
    <definedName name="FDC_58_255" hidden="1">"#"</definedName>
    <definedName name="FDC_58_256" hidden="1">"#"</definedName>
    <definedName name="FDC_58_257" hidden="1">"#"</definedName>
    <definedName name="FDC_58_258" hidden="1">"#"</definedName>
    <definedName name="FDC_58_259" hidden="1">"#"</definedName>
    <definedName name="FDC_58_26" hidden="1">"#"</definedName>
    <definedName name="FDC_58_260" hidden="1">"#"</definedName>
    <definedName name="FDC_58_261" hidden="1">"#"</definedName>
    <definedName name="FDC_58_27" hidden="1">"#"</definedName>
    <definedName name="FDC_58_28" hidden="1">"#"</definedName>
    <definedName name="FDC_58_29" hidden="1">"#"</definedName>
    <definedName name="FDC_58_3" hidden="1">"#"</definedName>
    <definedName name="FDC_58_30" hidden="1">"#"</definedName>
    <definedName name="FDC_58_31" hidden="1">"#"</definedName>
    <definedName name="FDC_58_32" hidden="1">"#"</definedName>
    <definedName name="FDC_58_33" hidden="1">"#"</definedName>
    <definedName name="FDC_58_34" hidden="1">"#"</definedName>
    <definedName name="FDC_58_35" hidden="1">"#"</definedName>
    <definedName name="FDC_58_36" hidden="1">"#"</definedName>
    <definedName name="FDC_58_37" hidden="1">"#"</definedName>
    <definedName name="FDC_58_38" hidden="1">"#"</definedName>
    <definedName name="FDC_58_39" hidden="1">"#"</definedName>
    <definedName name="FDC_58_4" hidden="1">"#"</definedName>
    <definedName name="FDC_58_40" hidden="1">"#"</definedName>
    <definedName name="FDC_58_41" hidden="1">"#"</definedName>
    <definedName name="FDC_58_42" hidden="1">"#"</definedName>
    <definedName name="FDC_58_43" hidden="1">"#"</definedName>
    <definedName name="FDC_58_44" hidden="1">"#"</definedName>
    <definedName name="FDC_58_45" hidden="1">"#"</definedName>
    <definedName name="FDC_58_46" hidden="1">"#"</definedName>
    <definedName name="FDC_58_47" hidden="1">"#"</definedName>
    <definedName name="FDC_58_48" hidden="1">"#"</definedName>
    <definedName name="FDC_58_49" hidden="1">"#"</definedName>
    <definedName name="FDC_58_5" hidden="1">"#"</definedName>
    <definedName name="FDC_58_50" hidden="1">"#"</definedName>
    <definedName name="FDC_58_51" hidden="1">"#"</definedName>
    <definedName name="FDC_58_52" hidden="1">"#"</definedName>
    <definedName name="FDC_58_53" hidden="1">"#"</definedName>
    <definedName name="FDC_58_54" hidden="1">"#"</definedName>
    <definedName name="FDC_58_55" hidden="1">"#"</definedName>
    <definedName name="FDC_58_56" hidden="1">"#"</definedName>
    <definedName name="FDC_58_57" hidden="1">"#"</definedName>
    <definedName name="FDC_58_58" hidden="1">"#"</definedName>
    <definedName name="FDC_58_59" hidden="1">"#"</definedName>
    <definedName name="FDC_58_6" hidden="1">"#"</definedName>
    <definedName name="FDC_58_60" hidden="1">"#"</definedName>
    <definedName name="FDC_58_61" hidden="1">"#"</definedName>
    <definedName name="FDC_58_62" hidden="1">"#"</definedName>
    <definedName name="FDC_58_63" hidden="1">"#"</definedName>
    <definedName name="FDC_58_64" hidden="1">"#"</definedName>
    <definedName name="FDC_58_65" hidden="1">"#"</definedName>
    <definedName name="FDC_58_66" hidden="1">"#"</definedName>
    <definedName name="FDC_58_67" hidden="1">"#"</definedName>
    <definedName name="FDC_58_68" hidden="1">"#"</definedName>
    <definedName name="FDC_58_69" hidden="1">"#"</definedName>
    <definedName name="FDC_58_7" hidden="1">"#"</definedName>
    <definedName name="FDC_58_70" hidden="1">"#"</definedName>
    <definedName name="FDC_58_71" hidden="1">"#"</definedName>
    <definedName name="FDC_58_72" hidden="1">"#"</definedName>
    <definedName name="FDC_58_73" hidden="1">"#"</definedName>
    <definedName name="FDC_58_74" hidden="1">"#"</definedName>
    <definedName name="FDC_58_75" hidden="1">"#"</definedName>
    <definedName name="FDC_58_76" hidden="1">"#"</definedName>
    <definedName name="FDC_58_77" hidden="1">"#"</definedName>
    <definedName name="FDC_58_78" hidden="1">"#"</definedName>
    <definedName name="FDC_58_79" hidden="1">"#"</definedName>
    <definedName name="FDC_58_8" hidden="1">"#"</definedName>
    <definedName name="FDC_58_80" hidden="1">"#"</definedName>
    <definedName name="FDC_58_81" hidden="1">"#"</definedName>
    <definedName name="FDC_58_82" hidden="1">"#"</definedName>
    <definedName name="FDC_58_83" hidden="1">"#"</definedName>
    <definedName name="FDC_58_84" hidden="1">"#"</definedName>
    <definedName name="FDC_58_85" hidden="1">"#"</definedName>
    <definedName name="FDC_58_86" hidden="1">"#"</definedName>
    <definedName name="FDC_58_87" hidden="1">"#"</definedName>
    <definedName name="FDC_58_88" hidden="1">"#"</definedName>
    <definedName name="FDC_58_89" hidden="1">"#"</definedName>
    <definedName name="FDC_58_9" hidden="1">"#"</definedName>
    <definedName name="FDC_58_90" hidden="1">"#"</definedName>
    <definedName name="FDC_58_91" hidden="1">"#"</definedName>
    <definedName name="FDC_58_92" hidden="1">"#"</definedName>
    <definedName name="FDC_58_93" hidden="1">"#"</definedName>
    <definedName name="FDC_58_94" hidden="1">"#"</definedName>
    <definedName name="FDC_58_95" hidden="1">"#"</definedName>
    <definedName name="FDC_58_96" hidden="1">"#"</definedName>
    <definedName name="FDC_58_97" hidden="1">"#"</definedName>
    <definedName name="FDC_58_98" hidden="1">"#"</definedName>
    <definedName name="FDC_58_99" hidden="1">"#"</definedName>
    <definedName name="FDC_59_0" hidden="1">"#"</definedName>
    <definedName name="FDC_59_1" hidden="1">"#"</definedName>
    <definedName name="FDC_59_10" hidden="1">"#"</definedName>
    <definedName name="FDC_59_100" hidden="1">"#"</definedName>
    <definedName name="FDC_59_101" hidden="1">"#"</definedName>
    <definedName name="FDC_59_102" hidden="1">"#"</definedName>
    <definedName name="FDC_59_103" hidden="1">"#"</definedName>
    <definedName name="FDC_59_104" hidden="1">"#"</definedName>
    <definedName name="FDC_59_105" hidden="1">"#"</definedName>
    <definedName name="FDC_59_106" hidden="1">"#"</definedName>
    <definedName name="FDC_59_107" hidden="1">"#"</definedName>
    <definedName name="FDC_59_108" hidden="1">"#"</definedName>
    <definedName name="FDC_59_109" hidden="1">"#"</definedName>
    <definedName name="FDC_59_11" hidden="1">"#"</definedName>
    <definedName name="FDC_59_110" hidden="1">"#"</definedName>
    <definedName name="FDC_59_111" hidden="1">"#"</definedName>
    <definedName name="FDC_59_112" hidden="1">"#"</definedName>
    <definedName name="FDC_59_113" hidden="1">"#"</definedName>
    <definedName name="FDC_59_114" hidden="1">"#"</definedName>
    <definedName name="FDC_59_115" hidden="1">"#"</definedName>
    <definedName name="FDC_59_116" hidden="1">"#"</definedName>
    <definedName name="FDC_59_117" hidden="1">"#"</definedName>
    <definedName name="FDC_59_118" hidden="1">"#"</definedName>
    <definedName name="FDC_59_119" hidden="1">"#"</definedName>
    <definedName name="FDC_59_12" hidden="1">"#"</definedName>
    <definedName name="FDC_59_120" hidden="1">"#"</definedName>
    <definedName name="FDC_59_121" hidden="1">"#"</definedName>
    <definedName name="FDC_59_122" hidden="1">"#"</definedName>
    <definedName name="FDC_59_123" hidden="1">"#"</definedName>
    <definedName name="FDC_59_124" hidden="1">"#"</definedName>
    <definedName name="FDC_59_125" hidden="1">"#"</definedName>
    <definedName name="FDC_59_126" hidden="1">"#"</definedName>
    <definedName name="FDC_59_127" hidden="1">"#"</definedName>
    <definedName name="FDC_59_128" hidden="1">"#"</definedName>
    <definedName name="FDC_59_129" hidden="1">"#"</definedName>
    <definedName name="FDC_59_13" hidden="1">"#"</definedName>
    <definedName name="FDC_59_130" hidden="1">"#"</definedName>
    <definedName name="FDC_59_131" hidden="1">"#"</definedName>
    <definedName name="FDC_59_132" hidden="1">"#"</definedName>
    <definedName name="FDC_59_133" hidden="1">"#"</definedName>
    <definedName name="FDC_59_134" hidden="1">"#"</definedName>
    <definedName name="FDC_59_135" hidden="1">"#"</definedName>
    <definedName name="FDC_59_136" hidden="1">"#"</definedName>
    <definedName name="FDC_59_137" hidden="1">"#"</definedName>
    <definedName name="FDC_59_138" hidden="1">"#"</definedName>
    <definedName name="FDC_59_139" hidden="1">"#"</definedName>
    <definedName name="FDC_59_14" hidden="1">"#"</definedName>
    <definedName name="FDC_59_140" hidden="1">"#"</definedName>
    <definedName name="FDC_59_141" hidden="1">"#"</definedName>
    <definedName name="FDC_59_142" hidden="1">"#"</definedName>
    <definedName name="FDC_59_143" hidden="1">"#"</definedName>
    <definedName name="FDC_59_144" hidden="1">"#"</definedName>
    <definedName name="FDC_59_145" hidden="1">"#"</definedName>
    <definedName name="FDC_59_146" hidden="1">"#"</definedName>
    <definedName name="FDC_59_147" hidden="1">"#"</definedName>
    <definedName name="FDC_59_148" hidden="1">"#"</definedName>
    <definedName name="FDC_59_149" hidden="1">"#"</definedName>
    <definedName name="FDC_59_15" hidden="1">"#"</definedName>
    <definedName name="FDC_59_150" hidden="1">"#"</definedName>
    <definedName name="FDC_59_151" hidden="1">"#"</definedName>
    <definedName name="FDC_59_152" hidden="1">"#"</definedName>
    <definedName name="FDC_59_153" hidden="1">"#"</definedName>
    <definedName name="FDC_59_154" hidden="1">"#"</definedName>
    <definedName name="FDC_59_155" hidden="1">"#"</definedName>
    <definedName name="FDC_59_156" hidden="1">"#"</definedName>
    <definedName name="FDC_59_157" hidden="1">"#"</definedName>
    <definedName name="FDC_59_158" hidden="1">"#"</definedName>
    <definedName name="FDC_59_159" hidden="1">"#"</definedName>
    <definedName name="FDC_59_16" hidden="1">"#"</definedName>
    <definedName name="FDC_59_160" hidden="1">"#"</definedName>
    <definedName name="FDC_59_161" hidden="1">"#"</definedName>
    <definedName name="FDC_59_162" hidden="1">"#"</definedName>
    <definedName name="FDC_59_163" hidden="1">"#"</definedName>
    <definedName name="FDC_59_164" hidden="1">"#"</definedName>
    <definedName name="FDC_59_165" hidden="1">"#"</definedName>
    <definedName name="FDC_59_166" hidden="1">"#"</definedName>
    <definedName name="FDC_59_167" hidden="1">"#"</definedName>
    <definedName name="FDC_59_168" hidden="1">"#"</definedName>
    <definedName name="FDC_59_169" hidden="1">"#"</definedName>
    <definedName name="FDC_59_17" hidden="1">"#"</definedName>
    <definedName name="FDC_59_170" hidden="1">"#"</definedName>
    <definedName name="FDC_59_171" hidden="1">"#"</definedName>
    <definedName name="FDC_59_172" hidden="1">"#"</definedName>
    <definedName name="FDC_59_173" hidden="1">"#"</definedName>
    <definedName name="FDC_59_174" hidden="1">"#"</definedName>
    <definedName name="FDC_59_175" hidden="1">"#"</definedName>
    <definedName name="FDC_59_176" hidden="1">"#"</definedName>
    <definedName name="FDC_59_177" hidden="1">"#"</definedName>
    <definedName name="FDC_59_178" hidden="1">"#"</definedName>
    <definedName name="FDC_59_179" hidden="1">"#"</definedName>
    <definedName name="FDC_59_18" hidden="1">"#"</definedName>
    <definedName name="FDC_59_180" hidden="1">"#"</definedName>
    <definedName name="FDC_59_181" hidden="1">"#"</definedName>
    <definedName name="FDC_59_182" hidden="1">"#"</definedName>
    <definedName name="FDC_59_183" hidden="1">"#"</definedName>
    <definedName name="FDC_59_184" hidden="1">"#"</definedName>
    <definedName name="FDC_59_185" hidden="1">"#"</definedName>
    <definedName name="FDC_59_186" hidden="1">"#"</definedName>
    <definedName name="FDC_59_187" hidden="1">"#"</definedName>
    <definedName name="FDC_59_188" hidden="1">"#"</definedName>
    <definedName name="FDC_59_189" hidden="1">"#"</definedName>
    <definedName name="FDC_59_19" hidden="1">"#"</definedName>
    <definedName name="FDC_59_190" hidden="1">"#"</definedName>
    <definedName name="FDC_59_191" hidden="1">"#"</definedName>
    <definedName name="FDC_59_192" hidden="1">"#"</definedName>
    <definedName name="FDC_59_193" hidden="1">"#"</definedName>
    <definedName name="FDC_59_194" hidden="1">"#"</definedName>
    <definedName name="FDC_59_195" hidden="1">"#"</definedName>
    <definedName name="FDC_59_196" hidden="1">"#"</definedName>
    <definedName name="FDC_59_197" hidden="1">"#"</definedName>
    <definedName name="FDC_59_198" hidden="1">"#"</definedName>
    <definedName name="FDC_59_199" hidden="1">"#"</definedName>
    <definedName name="FDC_59_2" hidden="1">"#"</definedName>
    <definedName name="FDC_59_20" hidden="1">"#"</definedName>
    <definedName name="FDC_59_200" hidden="1">"#"</definedName>
    <definedName name="FDC_59_201" hidden="1">"#"</definedName>
    <definedName name="FDC_59_202" hidden="1">"#"</definedName>
    <definedName name="FDC_59_203" hidden="1">"#"</definedName>
    <definedName name="FDC_59_204" hidden="1">"#"</definedName>
    <definedName name="FDC_59_205" hidden="1">"#"</definedName>
    <definedName name="FDC_59_206" hidden="1">"#"</definedName>
    <definedName name="FDC_59_207" hidden="1">"#"</definedName>
    <definedName name="FDC_59_208" hidden="1">"#"</definedName>
    <definedName name="FDC_59_209" hidden="1">"#"</definedName>
    <definedName name="FDC_59_21" hidden="1">"#"</definedName>
    <definedName name="FDC_59_210" hidden="1">"#"</definedName>
    <definedName name="FDC_59_211" hidden="1">"#"</definedName>
    <definedName name="FDC_59_212" hidden="1">"#"</definedName>
    <definedName name="FDC_59_213" hidden="1">"#"</definedName>
    <definedName name="FDC_59_214" hidden="1">"#"</definedName>
    <definedName name="FDC_59_215" hidden="1">"#"</definedName>
    <definedName name="FDC_59_216" hidden="1">"#"</definedName>
    <definedName name="FDC_59_217" hidden="1">"#"</definedName>
    <definedName name="FDC_59_218" hidden="1">"#"</definedName>
    <definedName name="FDC_59_219" hidden="1">"#"</definedName>
    <definedName name="FDC_59_22" hidden="1">"#"</definedName>
    <definedName name="FDC_59_220" hidden="1">"#"</definedName>
    <definedName name="FDC_59_221" hidden="1">"#"</definedName>
    <definedName name="FDC_59_222" hidden="1">"#"</definedName>
    <definedName name="FDC_59_223" hidden="1">"#"</definedName>
    <definedName name="FDC_59_224" hidden="1">"#"</definedName>
    <definedName name="FDC_59_225" hidden="1">"#"</definedName>
    <definedName name="FDC_59_226" hidden="1">"#"</definedName>
    <definedName name="FDC_59_227" hidden="1">"#"</definedName>
    <definedName name="FDC_59_228" hidden="1">"#"</definedName>
    <definedName name="FDC_59_229" hidden="1">"#"</definedName>
    <definedName name="FDC_59_23" hidden="1">"#"</definedName>
    <definedName name="FDC_59_230" hidden="1">"#"</definedName>
    <definedName name="FDC_59_231" hidden="1">"#"</definedName>
    <definedName name="FDC_59_232" hidden="1">"#"</definedName>
    <definedName name="FDC_59_233" hidden="1">"#"</definedName>
    <definedName name="FDC_59_234" hidden="1">"#"</definedName>
    <definedName name="FDC_59_235" hidden="1">"#"</definedName>
    <definedName name="FDC_59_236" hidden="1">"#"</definedName>
    <definedName name="FDC_59_237" hidden="1">"#"</definedName>
    <definedName name="FDC_59_238" hidden="1">"#"</definedName>
    <definedName name="FDC_59_239" hidden="1">"#"</definedName>
    <definedName name="FDC_59_24" hidden="1">"#"</definedName>
    <definedName name="FDC_59_240" hidden="1">"#"</definedName>
    <definedName name="FDC_59_241" hidden="1">"#"</definedName>
    <definedName name="FDC_59_242" hidden="1">"#"</definedName>
    <definedName name="FDC_59_243" hidden="1">"#"</definedName>
    <definedName name="FDC_59_244" hidden="1">"#"</definedName>
    <definedName name="FDC_59_245" hidden="1">"#"</definedName>
    <definedName name="FDC_59_246" hidden="1">"#"</definedName>
    <definedName name="FDC_59_247" hidden="1">"#"</definedName>
    <definedName name="FDC_59_248" hidden="1">"#"</definedName>
    <definedName name="FDC_59_249" hidden="1">"#"</definedName>
    <definedName name="FDC_59_25" hidden="1">"#"</definedName>
    <definedName name="FDC_59_250" hidden="1">"#"</definedName>
    <definedName name="FDC_59_251" hidden="1">"#"</definedName>
    <definedName name="FDC_59_252" hidden="1">"#"</definedName>
    <definedName name="FDC_59_253" hidden="1">"#"</definedName>
    <definedName name="FDC_59_254" hidden="1">"#"</definedName>
    <definedName name="FDC_59_255" hidden="1">"#"</definedName>
    <definedName name="FDC_59_256" hidden="1">"#"</definedName>
    <definedName name="FDC_59_257" hidden="1">"#"</definedName>
    <definedName name="FDC_59_258" hidden="1">"#"</definedName>
    <definedName name="FDC_59_259" hidden="1">"#"</definedName>
    <definedName name="FDC_59_26" hidden="1">"#"</definedName>
    <definedName name="FDC_59_260" hidden="1">"#"</definedName>
    <definedName name="FDC_59_261" hidden="1">"#"</definedName>
    <definedName name="FDC_59_27" hidden="1">"#"</definedName>
    <definedName name="FDC_59_28" hidden="1">"#"</definedName>
    <definedName name="FDC_59_29" hidden="1">"#"</definedName>
    <definedName name="FDC_59_3" hidden="1">"#"</definedName>
    <definedName name="FDC_59_30" hidden="1">"#"</definedName>
    <definedName name="FDC_59_31" hidden="1">"#"</definedName>
    <definedName name="FDC_59_32" hidden="1">"#"</definedName>
    <definedName name="FDC_59_33" hidden="1">"#"</definedName>
    <definedName name="FDC_59_34" hidden="1">"#"</definedName>
    <definedName name="FDC_59_35" hidden="1">"#"</definedName>
    <definedName name="FDC_59_36" hidden="1">"#"</definedName>
    <definedName name="FDC_59_37" hidden="1">"#"</definedName>
    <definedName name="FDC_59_38" hidden="1">"#"</definedName>
    <definedName name="FDC_59_39" hidden="1">"#"</definedName>
    <definedName name="FDC_59_4" hidden="1">"#"</definedName>
    <definedName name="FDC_59_40" hidden="1">"#"</definedName>
    <definedName name="FDC_59_41" hidden="1">"#"</definedName>
    <definedName name="FDC_59_42" hidden="1">"#"</definedName>
    <definedName name="FDC_59_43" hidden="1">"#"</definedName>
    <definedName name="FDC_59_44" hidden="1">"#"</definedName>
    <definedName name="FDC_59_45" hidden="1">"#"</definedName>
    <definedName name="FDC_59_46" hidden="1">"#"</definedName>
    <definedName name="FDC_59_47" hidden="1">"#"</definedName>
    <definedName name="FDC_59_48" hidden="1">"#"</definedName>
    <definedName name="FDC_59_49" hidden="1">"#"</definedName>
    <definedName name="FDC_59_5" hidden="1">"#"</definedName>
    <definedName name="FDC_59_50" hidden="1">"#"</definedName>
    <definedName name="FDC_59_51" hidden="1">"#"</definedName>
    <definedName name="FDC_59_52" hidden="1">"#"</definedName>
    <definedName name="FDC_59_53" hidden="1">"#"</definedName>
    <definedName name="FDC_59_54" hidden="1">"#"</definedName>
    <definedName name="FDC_59_55" hidden="1">"#"</definedName>
    <definedName name="FDC_59_56" hidden="1">"#"</definedName>
    <definedName name="FDC_59_57" hidden="1">"#"</definedName>
    <definedName name="FDC_59_58" hidden="1">"#"</definedName>
    <definedName name="FDC_59_59" hidden="1">"#"</definedName>
    <definedName name="FDC_59_6" hidden="1">"#"</definedName>
    <definedName name="FDC_59_60" hidden="1">"#"</definedName>
    <definedName name="FDC_59_61" hidden="1">"#"</definedName>
    <definedName name="FDC_59_62" hidden="1">"#"</definedName>
    <definedName name="FDC_59_63" hidden="1">"#"</definedName>
    <definedName name="FDC_59_64" hidden="1">"#"</definedName>
    <definedName name="FDC_59_65" hidden="1">"#"</definedName>
    <definedName name="FDC_59_66" hidden="1">"#"</definedName>
    <definedName name="FDC_59_67" hidden="1">"#"</definedName>
    <definedName name="FDC_59_68" hidden="1">"#"</definedName>
    <definedName name="FDC_59_69" hidden="1">"#"</definedName>
    <definedName name="FDC_59_7" hidden="1">"#"</definedName>
    <definedName name="FDC_59_70" hidden="1">"#"</definedName>
    <definedName name="FDC_59_71" hidden="1">"#"</definedName>
    <definedName name="FDC_59_72" hidden="1">"#"</definedName>
    <definedName name="FDC_59_73" hidden="1">"#"</definedName>
    <definedName name="FDC_59_74" hidden="1">"#"</definedName>
    <definedName name="FDC_59_75" hidden="1">"#"</definedName>
    <definedName name="FDC_59_76" hidden="1">"#"</definedName>
    <definedName name="FDC_59_77" hidden="1">"#"</definedName>
    <definedName name="FDC_59_78" hidden="1">"#"</definedName>
    <definedName name="FDC_59_79" hidden="1">"#"</definedName>
    <definedName name="FDC_59_8" hidden="1">"#"</definedName>
    <definedName name="FDC_59_80" hidden="1">"#"</definedName>
    <definedName name="FDC_59_81" hidden="1">"#"</definedName>
    <definedName name="FDC_59_82" hidden="1">"#"</definedName>
    <definedName name="FDC_59_83" hidden="1">"#"</definedName>
    <definedName name="FDC_59_84" hidden="1">"#"</definedName>
    <definedName name="FDC_59_85" hidden="1">"#"</definedName>
    <definedName name="FDC_59_86" hidden="1">"#"</definedName>
    <definedName name="FDC_59_87" hidden="1">"#"</definedName>
    <definedName name="FDC_59_88" hidden="1">"#"</definedName>
    <definedName name="FDC_59_89" hidden="1">"#"</definedName>
    <definedName name="FDC_59_9" hidden="1">"#"</definedName>
    <definedName name="FDC_59_90" hidden="1">"#"</definedName>
    <definedName name="FDC_59_91" hidden="1">"#"</definedName>
    <definedName name="FDC_59_92" hidden="1">"#"</definedName>
    <definedName name="FDC_59_93" hidden="1">"#"</definedName>
    <definedName name="FDC_59_94" hidden="1">"#"</definedName>
    <definedName name="FDC_59_95" hidden="1">"#"</definedName>
    <definedName name="FDC_59_96" hidden="1">"#"</definedName>
    <definedName name="FDC_59_97" hidden="1">"#"</definedName>
    <definedName name="FDC_59_98" hidden="1">"#"</definedName>
    <definedName name="FDC_59_99" hidden="1">"#"</definedName>
    <definedName name="FDC_6_0" hidden="1">"#"</definedName>
    <definedName name="FDC_6_1" hidden="1">"#"</definedName>
    <definedName name="FDC_6_2" hidden="1">"#"</definedName>
    <definedName name="FDC_6_3" hidden="1">"#"</definedName>
    <definedName name="FDC_60_0" hidden="1">"#"</definedName>
    <definedName name="FDC_60_1" hidden="1">"#"</definedName>
    <definedName name="FDC_60_10" hidden="1">"#"</definedName>
    <definedName name="FDC_60_100" hidden="1">"#"</definedName>
    <definedName name="FDC_60_101" hidden="1">"#"</definedName>
    <definedName name="FDC_60_102" hidden="1">"#"</definedName>
    <definedName name="FDC_60_103" hidden="1">"#"</definedName>
    <definedName name="FDC_60_104" hidden="1">"#"</definedName>
    <definedName name="FDC_60_105" hidden="1">"#"</definedName>
    <definedName name="FDC_60_106" hidden="1">"#"</definedName>
    <definedName name="FDC_60_107" hidden="1">"#"</definedName>
    <definedName name="FDC_60_108" hidden="1">"#"</definedName>
    <definedName name="FDC_60_109" hidden="1">"#"</definedName>
    <definedName name="FDC_60_11" hidden="1">"#"</definedName>
    <definedName name="FDC_60_110" hidden="1">"#"</definedName>
    <definedName name="FDC_60_111" hidden="1">"#"</definedName>
    <definedName name="FDC_60_112" hidden="1">"#"</definedName>
    <definedName name="FDC_60_113" hidden="1">"#"</definedName>
    <definedName name="FDC_60_114" hidden="1">"#"</definedName>
    <definedName name="FDC_60_115" hidden="1">"#"</definedName>
    <definedName name="FDC_60_116" hidden="1">"#"</definedName>
    <definedName name="FDC_60_117" hidden="1">"#"</definedName>
    <definedName name="FDC_60_118" hidden="1">"#"</definedName>
    <definedName name="FDC_60_119" hidden="1">"#"</definedName>
    <definedName name="FDC_60_12" hidden="1">"#"</definedName>
    <definedName name="FDC_60_120" hidden="1">"#"</definedName>
    <definedName name="FDC_60_121" hidden="1">"#"</definedName>
    <definedName name="FDC_60_122" hidden="1">"#"</definedName>
    <definedName name="FDC_60_123" hidden="1">"#"</definedName>
    <definedName name="FDC_60_124" hidden="1">"#"</definedName>
    <definedName name="FDC_60_125" hidden="1">"#"</definedName>
    <definedName name="FDC_60_126" hidden="1">"#"</definedName>
    <definedName name="FDC_60_127" hidden="1">"#"</definedName>
    <definedName name="FDC_60_128" hidden="1">"#"</definedName>
    <definedName name="FDC_60_129" hidden="1">"#"</definedName>
    <definedName name="FDC_60_13" hidden="1">"#"</definedName>
    <definedName name="FDC_60_130" hidden="1">"#"</definedName>
    <definedName name="FDC_60_131" hidden="1">"#"</definedName>
    <definedName name="FDC_60_132" hidden="1">"#"</definedName>
    <definedName name="FDC_60_133" hidden="1">"#"</definedName>
    <definedName name="FDC_60_134" hidden="1">"#"</definedName>
    <definedName name="FDC_60_135" hidden="1">"#"</definedName>
    <definedName name="FDC_60_136" hidden="1">"#"</definedName>
    <definedName name="FDC_60_137" hidden="1">"#"</definedName>
    <definedName name="FDC_60_138" hidden="1">"#"</definedName>
    <definedName name="FDC_60_139" hidden="1">"#"</definedName>
    <definedName name="FDC_60_14" hidden="1">"#"</definedName>
    <definedName name="FDC_60_140" hidden="1">"#"</definedName>
    <definedName name="FDC_60_141" hidden="1">"#"</definedName>
    <definedName name="FDC_60_142" hidden="1">"#"</definedName>
    <definedName name="FDC_60_143" hidden="1">"#"</definedName>
    <definedName name="FDC_60_144" hidden="1">"#"</definedName>
    <definedName name="FDC_60_145" hidden="1">"#"</definedName>
    <definedName name="FDC_60_146" hidden="1">"#"</definedName>
    <definedName name="FDC_60_147" hidden="1">"#"</definedName>
    <definedName name="FDC_60_148" hidden="1">"#"</definedName>
    <definedName name="FDC_60_149" hidden="1">"#"</definedName>
    <definedName name="FDC_60_15" hidden="1">"#"</definedName>
    <definedName name="FDC_60_150" hidden="1">"#"</definedName>
    <definedName name="FDC_60_151" hidden="1">"#"</definedName>
    <definedName name="FDC_60_152" hidden="1">"#"</definedName>
    <definedName name="FDC_60_153" hidden="1">"#"</definedName>
    <definedName name="FDC_60_154" hidden="1">"#"</definedName>
    <definedName name="FDC_60_155" hidden="1">"#"</definedName>
    <definedName name="FDC_60_156" hidden="1">"#"</definedName>
    <definedName name="FDC_60_157" hidden="1">"#"</definedName>
    <definedName name="FDC_60_158" hidden="1">"#"</definedName>
    <definedName name="FDC_60_159" hidden="1">"#"</definedName>
    <definedName name="FDC_60_16" hidden="1">"#"</definedName>
    <definedName name="FDC_60_160" hidden="1">"#"</definedName>
    <definedName name="FDC_60_161" hidden="1">"#"</definedName>
    <definedName name="FDC_60_162" hidden="1">"#"</definedName>
    <definedName name="FDC_60_163" hidden="1">"#"</definedName>
    <definedName name="FDC_60_164" hidden="1">"#"</definedName>
    <definedName name="FDC_60_165" hidden="1">"#"</definedName>
    <definedName name="FDC_60_166" hidden="1">"#"</definedName>
    <definedName name="FDC_60_167" hidden="1">"#"</definedName>
    <definedName name="FDC_60_168" hidden="1">"#"</definedName>
    <definedName name="FDC_60_169" hidden="1">"#"</definedName>
    <definedName name="FDC_60_17" hidden="1">"#"</definedName>
    <definedName name="FDC_60_170" hidden="1">"#"</definedName>
    <definedName name="FDC_60_171" hidden="1">"#"</definedName>
    <definedName name="FDC_60_172" hidden="1">"#"</definedName>
    <definedName name="FDC_60_173" hidden="1">"#"</definedName>
    <definedName name="FDC_60_174" hidden="1">"#"</definedName>
    <definedName name="FDC_60_175" hidden="1">"#"</definedName>
    <definedName name="FDC_60_176" hidden="1">"#"</definedName>
    <definedName name="FDC_60_177" hidden="1">"#"</definedName>
    <definedName name="FDC_60_178" hidden="1">"#"</definedName>
    <definedName name="FDC_60_179" hidden="1">"#"</definedName>
    <definedName name="FDC_60_18" hidden="1">"#"</definedName>
    <definedName name="FDC_60_180" hidden="1">"#"</definedName>
    <definedName name="FDC_60_181" hidden="1">"#"</definedName>
    <definedName name="FDC_60_182" hidden="1">"#"</definedName>
    <definedName name="FDC_60_183" hidden="1">"#"</definedName>
    <definedName name="FDC_60_184" hidden="1">"#"</definedName>
    <definedName name="FDC_60_185" hidden="1">"#"</definedName>
    <definedName name="FDC_60_186" hidden="1">"#"</definedName>
    <definedName name="FDC_60_187" hidden="1">"#"</definedName>
    <definedName name="FDC_60_188" hidden="1">"#"</definedName>
    <definedName name="FDC_60_189" hidden="1">"#"</definedName>
    <definedName name="FDC_60_19" hidden="1">"#"</definedName>
    <definedName name="FDC_60_190" hidden="1">"#"</definedName>
    <definedName name="FDC_60_191" hidden="1">"#"</definedName>
    <definedName name="FDC_60_192" hidden="1">"#"</definedName>
    <definedName name="FDC_60_193" hidden="1">"#"</definedName>
    <definedName name="FDC_60_194" hidden="1">"#"</definedName>
    <definedName name="FDC_60_195" hidden="1">"#"</definedName>
    <definedName name="FDC_60_196" hidden="1">"#"</definedName>
    <definedName name="FDC_60_197" hidden="1">"#"</definedName>
    <definedName name="FDC_60_198" hidden="1">"#"</definedName>
    <definedName name="FDC_60_199" hidden="1">"#"</definedName>
    <definedName name="FDC_60_2" hidden="1">"#"</definedName>
    <definedName name="FDC_60_20" hidden="1">"#"</definedName>
    <definedName name="FDC_60_200" hidden="1">"#"</definedName>
    <definedName name="FDC_60_201" hidden="1">"#"</definedName>
    <definedName name="FDC_60_202" hidden="1">"#"</definedName>
    <definedName name="FDC_60_203" hidden="1">"#"</definedName>
    <definedName name="FDC_60_204" hidden="1">"#"</definedName>
    <definedName name="FDC_60_205" hidden="1">"#"</definedName>
    <definedName name="FDC_60_206" hidden="1">"#"</definedName>
    <definedName name="FDC_60_207" hidden="1">"#"</definedName>
    <definedName name="FDC_60_208" hidden="1">"#"</definedName>
    <definedName name="FDC_60_209" hidden="1">"#"</definedName>
    <definedName name="FDC_60_21" hidden="1">"#"</definedName>
    <definedName name="FDC_60_210" hidden="1">"#"</definedName>
    <definedName name="FDC_60_211" hidden="1">"#"</definedName>
    <definedName name="FDC_60_212" hidden="1">"#"</definedName>
    <definedName name="FDC_60_213" hidden="1">"#"</definedName>
    <definedName name="FDC_60_214" hidden="1">"#"</definedName>
    <definedName name="FDC_60_215" hidden="1">"#"</definedName>
    <definedName name="FDC_60_216" hidden="1">"#"</definedName>
    <definedName name="FDC_60_217" hidden="1">"#"</definedName>
    <definedName name="FDC_60_218" hidden="1">"#"</definedName>
    <definedName name="FDC_60_219" hidden="1">"#"</definedName>
    <definedName name="FDC_60_22" hidden="1">"#"</definedName>
    <definedName name="FDC_60_220" hidden="1">"#"</definedName>
    <definedName name="FDC_60_221" hidden="1">"#"</definedName>
    <definedName name="FDC_60_222" hidden="1">"#"</definedName>
    <definedName name="FDC_60_223" hidden="1">"#"</definedName>
    <definedName name="FDC_60_224" hidden="1">"#"</definedName>
    <definedName name="FDC_60_225" hidden="1">"#"</definedName>
    <definedName name="FDC_60_226" hidden="1">"#"</definedName>
    <definedName name="FDC_60_227" hidden="1">"#"</definedName>
    <definedName name="FDC_60_228" hidden="1">"#"</definedName>
    <definedName name="FDC_60_229" hidden="1">"#"</definedName>
    <definedName name="FDC_60_23" hidden="1">"#"</definedName>
    <definedName name="FDC_60_230" hidden="1">"#"</definedName>
    <definedName name="FDC_60_231" hidden="1">"#"</definedName>
    <definedName name="FDC_60_232" hidden="1">"#"</definedName>
    <definedName name="FDC_60_233" hidden="1">"#"</definedName>
    <definedName name="FDC_60_234" hidden="1">"#"</definedName>
    <definedName name="FDC_60_235" hidden="1">"#"</definedName>
    <definedName name="FDC_60_236" hidden="1">"#"</definedName>
    <definedName name="FDC_60_237" hidden="1">"#"</definedName>
    <definedName name="FDC_60_238" hidden="1">"#"</definedName>
    <definedName name="FDC_60_239" hidden="1">"#"</definedName>
    <definedName name="FDC_60_24" hidden="1">"#"</definedName>
    <definedName name="FDC_60_240" hidden="1">"#"</definedName>
    <definedName name="FDC_60_241" hidden="1">"#"</definedName>
    <definedName name="FDC_60_242" hidden="1">"#"</definedName>
    <definedName name="FDC_60_243" hidden="1">"#"</definedName>
    <definedName name="FDC_60_244" hidden="1">"#"</definedName>
    <definedName name="FDC_60_245" hidden="1">"#"</definedName>
    <definedName name="FDC_60_246" hidden="1">"#"</definedName>
    <definedName name="FDC_60_247" hidden="1">"#"</definedName>
    <definedName name="FDC_60_248" hidden="1">"#"</definedName>
    <definedName name="FDC_60_249" hidden="1">"#"</definedName>
    <definedName name="FDC_60_25" hidden="1">"#"</definedName>
    <definedName name="FDC_60_250" hidden="1">"#"</definedName>
    <definedName name="FDC_60_251" hidden="1">"#"</definedName>
    <definedName name="FDC_60_252" hidden="1">"#"</definedName>
    <definedName name="FDC_60_253" hidden="1">"#"</definedName>
    <definedName name="FDC_60_254" hidden="1">"#"</definedName>
    <definedName name="FDC_60_255" hidden="1">"#"</definedName>
    <definedName name="FDC_60_256" hidden="1">"#"</definedName>
    <definedName name="FDC_60_257" hidden="1">"#"</definedName>
    <definedName name="FDC_60_258" hidden="1">"#"</definedName>
    <definedName name="FDC_60_259" hidden="1">"#"</definedName>
    <definedName name="FDC_60_26" hidden="1">"#"</definedName>
    <definedName name="FDC_60_260" hidden="1">"#"</definedName>
    <definedName name="FDC_60_261" hidden="1">"#"</definedName>
    <definedName name="FDC_60_27" hidden="1">"#"</definedName>
    <definedName name="FDC_60_28" hidden="1">"#"</definedName>
    <definedName name="FDC_60_29" hidden="1">"#"</definedName>
    <definedName name="FDC_60_3" hidden="1">"#"</definedName>
    <definedName name="FDC_60_30" hidden="1">"#"</definedName>
    <definedName name="FDC_60_31" hidden="1">"#"</definedName>
    <definedName name="FDC_60_32" hidden="1">"#"</definedName>
    <definedName name="FDC_60_33" hidden="1">"#"</definedName>
    <definedName name="FDC_60_34" hidden="1">"#"</definedName>
    <definedName name="FDC_60_35" hidden="1">"#"</definedName>
    <definedName name="FDC_60_36" hidden="1">"#"</definedName>
    <definedName name="FDC_60_37" hidden="1">"#"</definedName>
    <definedName name="FDC_60_38" hidden="1">"#"</definedName>
    <definedName name="FDC_60_39" hidden="1">"#"</definedName>
    <definedName name="FDC_60_4" hidden="1">"#"</definedName>
    <definedName name="FDC_60_40" hidden="1">"#"</definedName>
    <definedName name="FDC_60_41" hidden="1">"#"</definedName>
    <definedName name="FDC_60_42" hidden="1">"#"</definedName>
    <definedName name="FDC_60_43" hidden="1">"#"</definedName>
    <definedName name="FDC_60_44" hidden="1">"#"</definedName>
    <definedName name="FDC_60_45" hidden="1">"#"</definedName>
    <definedName name="FDC_60_46" hidden="1">"#"</definedName>
    <definedName name="FDC_60_47" hidden="1">"#"</definedName>
    <definedName name="FDC_60_48" hidden="1">"#"</definedName>
    <definedName name="FDC_60_49" hidden="1">"#"</definedName>
    <definedName name="FDC_60_5" hidden="1">"#"</definedName>
    <definedName name="FDC_60_50" hidden="1">"#"</definedName>
    <definedName name="FDC_60_51" hidden="1">"#"</definedName>
    <definedName name="FDC_60_52" hidden="1">"#"</definedName>
    <definedName name="FDC_60_53" hidden="1">"#"</definedName>
    <definedName name="FDC_60_54" hidden="1">"#"</definedName>
    <definedName name="FDC_60_55" hidden="1">"#"</definedName>
    <definedName name="FDC_60_56" hidden="1">"#"</definedName>
    <definedName name="FDC_60_57" hidden="1">"#"</definedName>
    <definedName name="FDC_60_58" hidden="1">"#"</definedName>
    <definedName name="FDC_60_59" hidden="1">"#"</definedName>
    <definedName name="FDC_60_6" hidden="1">"#"</definedName>
    <definedName name="FDC_60_60" hidden="1">"#"</definedName>
    <definedName name="FDC_60_61" hidden="1">"#"</definedName>
    <definedName name="FDC_60_62" hidden="1">"#"</definedName>
    <definedName name="FDC_60_63" hidden="1">"#"</definedName>
    <definedName name="FDC_60_64" hidden="1">"#"</definedName>
    <definedName name="FDC_60_65" hidden="1">"#"</definedName>
    <definedName name="FDC_60_66" hidden="1">"#"</definedName>
    <definedName name="FDC_60_67" hidden="1">"#"</definedName>
    <definedName name="FDC_60_68" hidden="1">"#"</definedName>
    <definedName name="FDC_60_69" hidden="1">"#"</definedName>
    <definedName name="FDC_60_7" hidden="1">"#"</definedName>
    <definedName name="FDC_60_70" hidden="1">"#"</definedName>
    <definedName name="FDC_60_71" hidden="1">"#"</definedName>
    <definedName name="FDC_60_72" hidden="1">"#"</definedName>
    <definedName name="FDC_60_73" hidden="1">"#"</definedName>
    <definedName name="FDC_60_74" hidden="1">"#"</definedName>
    <definedName name="FDC_60_75" hidden="1">"#"</definedName>
    <definedName name="FDC_60_76" hidden="1">"#"</definedName>
    <definedName name="FDC_60_77" hidden="1">"#"</definedName>
    <definedName name="FDC_60_78" hidden="1">"#"</definedName>
    <definedName name="FDC_60_79" hidden="1">"#"</definedName>
    <definedName name="FDC_60_8" hidden="1">"#"</definedName>
    <definedName name="FDC_60_80" hidden="1">"#"</definedName>
    <definedName name="FDC_60_81" hidden="1">"#"</definedName>
    <definedName name="FDC_60_82" hidden="1">"#"</definedName>
    <definedName name="FDC_60_83" hidden="1">"#"</definedName>
    <definedName name="FDC_60_84" hidden="1">"#"</definedName>
    <definedName name="FDC_60_85" hidden="1">"#"</definedName>
    <definedName name="FDC_60_86" hidden="1">"#"</definedName>
    <definedName name="FDC_60_87" hidden="1">"#"</definedName>
    <definedName name="FDC_60_88" hidden="1">"#"</definedName>
    <definedName name="FDC_60_89" hidden="1">"#"</definedName>
    <definedName name="FDC_60_9" hidden="1">"#"</definedName>
    <definedName name="FDC_60_90" hidden="1">"#"</definedName>
    <definedName name="FDC_60_91" hidden="1">"#"</definedName>
    <definedName name="FDC_60_92" hidden="1">"#"</definedName>
    <definedName name="FDC_60_93" hidden="1">"#"</definedName>
    <definedName name="FDC_60_94" hidden="1">"#"</definedName>
    <definedName name="FDC_60_95" hidden="1">"#"</definedName>
    <definedName name="FDC_60_96" hidden="1">"#"</definedName>
    <definedName name="FDC_60_97" hidden="1">"#"</definedName>
    <definedName name="FDC_60_98" hidden="1">"#"</definedName>
    <definedName name="FDC_60_99" hidden="1">"#"</definedName>
    <definedName name="FDC_61_0" hidden="1">"#"</definedName>
    <definedName name="FDC_61_1" hidden="1">"#"</definedName>
    <definedName name="FDC_61_10" hidden="1">"#"</definedName>
    <definedName name="FDC_61_11" hidden="1">"#"</definedName>
    <definedName name="FDC_61_12" hidden="1">"#"</definedName>
    <definedName name="FDC_61_13" hidden="1">"#"</definedName>
    <definedName name="FDC_61_14" hidden="1">"#"</definedName>
    <definedName name="FDC_61_2" hidden="1">"#"</definedName>
    <definedName name="FDC_61_3" hidden="1">"#"</definedName>
    <definedName name="FDC_61_4" hidden="1">"#"</definedName>
    <definedName name="FDC_61_5" hidden="1">"#"</definedName>
    <definedName name="FDC_61_6" hidden="1">"#"</definedName>
    <definedName name="FDC_61_7" hidden="1">"#"</definedName>
    <definedName name="FDC_61_8" hidden="1">"#"</definedName>
    <definedName name="FDC_61_9" hidden="1">"#"</definedName>
    <definedName name="FDC_62_0" hidden="1">"#"</definedName>
    <definedName name="FDC_62_1" hidden="1">"#"</definedName>
    <definedName name="FDC_62_10" hidden="1">"#"</definedName>
    <definedName name="FDC_62_100" hidden="1">"#"</definedName>
    <definedName name="FDC_62_101" hidden="1">"#"</definedName>
    <definedName name="FDC_62_102" hidden="1">"#"</definedName>
    <definedName name="FDC_62_103" hidden="1">"#"</definedName>
    <definedName name="FDC_62_104" hidden="1">"#"</definedName>
    <definedName name="FDC_62_105" hidden="1">"#"</definedName>
    <definedName name="FDC_62_106" hidden="1">"#"</definedName>
    <definedName name="FDC_62_107" hidden="1">"#"</definedName>
    <definedName name="FDC_62_108" hidden="1">"#"</definedName>
    <definedName name="FDC_62_109" hidden="1">"#"</definedName>
    <definedName name="FDC_62_11" hidden="1">"#"</definedName>
    <definedName name="FDC_62_110" hidden="1">"#"</definedName>
    <definedName name="FDC_62_111" hidden="1">"#"</definedName>
    <definedName name="FDC_62_112" hidden="1">"#"</definedName>
    <definedName name="FDC_62_113" hidden="1">"#"</definedName>
    <definedName name="FDC_62_114" hidden="1">"#"</definedName>
    <definedName name="FDC_62_115" hidden="1">"#"</definedName>
    <definedName name="FDC_62_116" hidden="1">"#"</definedName>
    <definedName name="FDC_62_117" hidden="1">"#"</definedName>
    <definedName name="FDC_62_118" hidden="1">"#"</definedName>
    <definedName name="FDC_62_119" hidden="1">"#"</definedName>
    <definedName name="FDC_62_12" hidden="1">"#"</definedName>
    <definedName name="FDC_62_120" hidden="1">"#"</definedName>
    <definedName name="FDC_62_121" hidden="1">"#"</definedName>
    <definedName name="FDC_62_122" hidden="1">"#"</definedName>
    <definedName name="FDC_62_123" hidden="1">"#"</definedName>
    <definedName name="FDC_62_124" hidden="1">"#"</definedName>
    <definedName name="FDC_62_125" hidden="1">"#"</definedName>
    <definedName name="FDC_62_126" hidden="1">"#"</definedName>
    <definedName name="FDC_62_127" hidden="1">"#"</definedName>
    <definedName name="FDC_62_128" hidden="1">"#"</definedName>
    <definedName name="FDC_62_129" hidden="1">"#"</definedName>
    <definedName name="FDC_62_13" hidden="1">"#"</definedName>
    <definedName name="FDC_62_130" hidden="1">"#"</definedName>
    <definedName name="FDC_62_131" hidden="1">"#"</definedName>
    <definedName name="FDC_62_132" hidden="1">"#"</definedName>
    <definedName name="FDC_62_133" hidden="1">"#"</definedName>
    <definedName name="FDC_62_134" hidden="1">"#"</definedName>
    <definedName name="FDC_62_135" hidden="1">"#"</definedName>
    <definedName name="FDC_62_136" hidden="1">"#"</definedName>
    <definedName name="FDC_62_137" hidden="1">"#"</definedName>
    <definedName name="FDC_62_138" hidden="1">"#"</definedName>
    <definedName name="FDC_62_139" hidden="1">"#"</definedName>
    <definedName name="FDC_62_14" hidden="1">"#"</definedName>
    <definedName name="FDC_62_140" hidden="1">"#"</definedName>
    <definedName name="FDC_62_141" hidden="1">"#"</definedName>
    <definedName name="FDC_62_142" hidden="1">"#"</definedName>
    <definedName name="FDC_62_143" hidden="1">"#"</definedName>
    <definedName name="FDC_62_144" hidden="1">"#"</definedName>
    <definedName name="FDC_62_145" hidden="1">"#"</definedName>
    <definedName name="FDC_62_146" hidden="1">"#"</definedName>
    <definedName name="FDC_62_147" hidden="1">"#"</definedName>
    <definedName name="FDC_62_148" hidden="1">"#"</definedName>
    <definedName name="FDC_62_149" hidden="1">"#"</definedName>
    <definedName name="FDC_62_15" hidden="1">"#"</definedName>
    <definedName name="FDC_62_150" hidden="1">"#"</definedName>
    <definedName name="FDC_62_151" hidden="1">"#"</definedName>
    <definedName name="FDC_62_152" hidden="1">"#"</definedName>
    <definedName name="FDC_62_153" hidden="1">"#"</definedName>
    <definedName name="FDC_62_154" hidden="1">"#"</definedName>
    <definedName name="FDC_62_155" hidden="1">"#"</definedName>
    <definedName name="FDC_62_156" hidden="1">"#"</definedName>
    <definedName name="FDC_62_157" hidden="1">"#"</definedName>
    <definedName name="FDC_62_158" hidden="1">"#"</definedName>
    <definedName name="FDC_62_159" hidden="1">"#"</definedName>
    <definedName name="FDC_62_16" hidden="1">"#"</definedName>
    <definedName name="FDC_62_160" hidden="1">"#"</definedName>
    <definedName name="FDC_62_161" hidden="1">"#"</definedName>
    <definedName name="FDC_62_162" hidden="1">"#"</definedName>
    <definedName name="FDC_62_163" hidden="1">"#"</definedName>
    <definedName name="FDC_62_164" hidden="1">"#"</definedName>
    <definedName name="FDC_62_165" hidden="1">"#"</definedName>
    <definedName name="FDC_62_166" hidden="1">"#"</definedName>
    <definedName name="FDC_62_167" hidden="1">"#"</definedName>
    <definedName name="FDC_62_168" hidden="1">"#"</definedName>
    <definedName name="FDC_62_169" hidden="1">"#"</definedName>
    <definedName name="FDC_62_17" hidden="1">"#"</definedName>
    <definedName name="FDC_62_170" hidden="1">"#"</definedName>
    <definedName name="FDC_62_171" hidden="1">"#"</definedName>
    <definedName name="FDC_62_172" hidden="1">"#"</definedName>
    <definedName name="FDC_62_173" hidden="1">"#"</definedName>
    <definedName name="FDC_62_174" hidden="1">"#"</definedName>
    <definedName name="FDC_62_175" hidden="1">"#"</definedName>
    <definedName name="FDC_62_176" hidden="1">"#"</definedName>
    <definedName name="FDC_62_177" hidden="1">"#"</definedName>
    <definedName name="FDC_62_178" hidden="1">"#"</definedName>
    <definedName name="FDC_62_179" hidden="1">"#"</definedName>
    <definedName name="FDC_62_18" hidden="1">"#"</definedName>
    <definedName name="FDC_62_180" hidden="1">"#"</definedName>
    <definedName name="FDC_62_181" hidden="1">"#"</definedName>
    <definedName name="FDC_62_182" hidden="1">"#"</definedName>
    <definedName name="FDC_62_183" hidden="1">"#"</definedName>
    <definedName name="FDC_62_184" hidden="1">"#"</definedName>
    <definedName name="FDC_62_185" hidden="1">"#"</definedName>
    <definedName name="FDC_62_186" hidden="1">"#"</definedName>
    <definedName name="FDC_62_187" hidden="1">"#"</definedName>
    <definedName name="FDC_62_188" hidden="1">"#"</definedName>
    <definedName name="FDC_62_189" hidden="1">"#"</definedName>
    <definedName name="FDC_62_19" hidden="1">"#"</definedName>
    <definedName name="FDC_62_190" hidden="1">"#"</definedName>
    <definedName name="FDC_62_191" hidden="1">"#"</definedName>
    <definedName name="FDC_62_192" hidden="1">"#"</definedName>
    <definedName name="FDC_62_193" hidden="1">"#"</definedName>
    <definedName name="FDC_62_194" hidden="1">"#"</definedName>
    <definedName name="FDC_62_195" hidden="1">"#"</definedName>
    <definedName name="FDC_62_196" hidden="1">"#"</definedName>
    <definedName name="FDC_62_197" hidden="1">"#"</definedName>
    <definedName name="FDC_62_198" hidden="1">"#"</definedName>
    <definedName name="FDC_62_199" hidden="1">"#"</definedName>
    <definedName name="FDC_62_2" hidden="1">"#"</definedName>
    <definedName name="FDC_62_20" hidden="1">"#"</definedName>
    <definedName name="FDC_62_200" hidden="1">"#"</definedName>
    <definedName name="FDC_62_201" hidden="1">"#"</definedName>
    <definedName name="FDC_62_202" hidden="1">"#"</definedName>
    <definedName name="FDC_62_203" hidden="1">"#"</definedName>
    <definedName name="FDC_62_204" hidden="1">"#"</definedName>
    <definedName name="FDC_62_205" hidden="1">"#"</definedName>
    <definedName name="FDC_62_206" hidden="1">"#"</definedName>
    <definedName name="FDC_62_207" hidden="1">"#"</definedName>
    <definedName name="FDC_62_208" hidden="1">"#"</definedName>
    <definedName name="FDC_62_209" hidden="1">"#"</definedName>
    <definedName name="FDC_62_21" hidden="1">"#"</definedName>
    <definedName name="FDC_62_210" hidden="1">"#"</definedName>
    <definedName name="FDC_62_211" hidden="1">"#"</definedName>
    <definedName name="FDC_62_212" hidden="1">"#"</definedName>
    <definedName name="FDC_62_213" hidden="1">"#"</definedName>
    <definedName name="FDC_62_214" hidden="1">"#"</definedName>
    <definedName name="FDC_62_215" hidden="1">"#"</definedName>
    <definedName name="FDC_62_216" hidden="1">"#"</definedName>
    <definedName name="FDC_62_217" hidden="1">"#"</definedName>
    <definedName name="FDC_62_218" hidden="1">"#"</definedName>
    <definedName name="FDC_62_219" hidden="1">"#"</definedName>
    <definedName name="FDC_62_22" hidden="1">"#"</definedName>
    <definedName name="FDC_62_220" hidden="1">"#"</definedName>
    <definedName name="FDC_62_221" hidden="1">"#"</definedName>
    <definedName name="FDC_62_222" hidden="1">"#"</definedName>
    <definedName name="FDC_62_223" hidden="1">"#"</definedName>
    <definedName name="FDC_62_224" hidden="1">"#"</definedName>
    <definedName name="FDC_62_225" hidden="1">"#"</definedName>
    <definedName name="FDC_62_226" hidden="1">"#"</definedName>
    <definedName name="FDC_62_227" hidden="1">"#"</definedName>
    <definedName name="FDC_62_228" hidden="1">"#"</definedName>
    <definedName name="FDC_62_229" hidden="1">"#"</definedName>
    <definedName name="FDC_62_23" hidden="1">"#"</definedName>
    <definedName name="FDC_62_230" hidden="1">"#"</definedName>
    <definedName name="FDC_62_231" hidden="1">"#"</definedName>
    <definedName name="FDC_62_232" hidden="1">"#"</definedName>
    <definedName name="FDC_62_233" hidden="1">"#"</definedName>
    <definedName name="FDC_62_234" hidden="1">"#"</definedName>
    <definedName name="FDC_62_235" hidden="1">"#"</definedName>
    <definedName name="FDC_62_236" hidden="1">"#"</definedName>
    <definedName name="FDC_62_237" hidden="1">"#"</definedName>
    <definedName name="FDC_62_238" hidden="1">"#"</definedName>
    <definedName name="FDC_62_239" hidden="1">"#"</definedName>
    <definedName name="FDC_62_24" hidden="1">"#"</definedName>
    <definedName name="FDC_62_240" hidden="1">"#"</definedName>
    <definedName name="FDC_62_241" hidden="1">"#"</definedName>
    <definedName name="FDC_62_242" hidden="1">"#"</definedName>
    <definedName name="FDC_62_243" hidden="1">"#"</definedName>
    <definedName name="FDC_62_244" hidden="1">"#"</definedName>
    <definedName name="FDC_62_245" hidden="1">"#"</definedName>
    <definedName name="FDC_62_246" hidden="1">"#"</definedName>
    <definedName name="FDC_62_247" hidden="1">"#"</definedName>
    <definedName name="FDC_62_248" hidden="1">"#"</definedName>
    <definedName name="FDC_62_249" hidden="1">"#"</definedName>
    <definedName name="FDC_62_25" hidden="1">"#"</definedName>
    <definedName name="FDC_62_250" hidden="1">"#"</definedName>
    <definedName name="FDC_62_251" hidden="1">"#"</definedName>
    <definedName name="FDC_62_252" hidden="1">"#"</definedName>
    <definedName name="FDC_62_253" hidden="1">"#"</definedName>
    <definedName name="FDC_62_254" hidden="1">"#"</definedName>
    <definedName name="FDC_62_255" hidden="1">"#"</definedName>
    <definedName name="FDC_62_256" hidden="1">"#"</definedName>
    <definedName name="FDC_62_257" hidden="1">"#"</definedName>
    <definedName name="FDC_62_258" hidden="1">"#"</definedName>
    <definedName name="FDC_62_259" hidden="1">"#"</definedName>
    <definedName name="FDC_62_26" hidden="1">"#"</definedName>
    <definedName name="FDC_62_260" hidden="1">"#"</definedName>
    <definedName name="FDC_62_261" hidden="1">"#"</definedName>
    <definedName name="FDC_62_27" hidden="1">"#"</definedName>
    <definedName name="FDC_62_28" hidden="1">"#"</definedName>
    <definedName name="FDC_62_29" hidden="1">"#"</definedName>
    <definedName name="FDC_62_3" hidden="1">"#"</definedName>
    <definedName name="FDC_62_30" hidden="1">"#"</definedName>
    <definedName name="FDC_62_31" hidden="1">"#"</definedName>
    <definedName name="FDC_62_32" hidden="1">"#"</definedName>
    <definedName name="FDC_62_33" hidden="1">"#"</definedName>
    <definedName name="FDC_62_34" hidden="1">"#"</definedName>
    <definedName name="FDC_62_35" hidden="1">"#"</definedName>
    <definedName name="FDC_62_36" hidden="1">"#"</definedName>
    <definedName name="FDC_62_37" hidden="1">"#"</definedName>
    <definedName name="FDC_62_38" hidden="1">"#"</definedName>
    <definedName name="FDC_62_39" hidden="1">"#"</definedName>
    <definedName name="FDC_62_4" hidden="1">"#"</definedName>
    <definedName name="FDC_62_40" hidden="1">"#"</definedName>
    <definedName name="FDC_62_41" hidden="1">"#"</definedName>
    <definedName name="FDC_62_42" hidden="1">"#"</definedName>
    <definedName name="FDC_62_43" hidden="1">"#"</definedName>
    <definedName name="FDC_62_44" hidden="1">"#"</definedName>
    <definedName name="FDC_62_45" hidden="1">"#"</definedName>
    <definedName name="FDC_62_46" hidden="1">"#"</definedName>
    <definedName name="FDC_62_47" hidden="1">"#"</definedName>
    <definedName name="FDC_62_48" hidden="1">"#"</definedName>
    <definedName name="FDC_62_49" hidden="1">"#"</definedName>
    <definedName name="FDC_62_5" hidden="1">"#"</definedName>
    <definedName name="FDC_62_50" hidden="1">"#"</definedName>
    <definedName name="FDC_62_51" hidden="1">"#"</definedName>
    <definedName name="FDC_62_52" hidden="1">"#"</definedName>
    <definedName name="FDC_62_53" hidden="1">"#"</definedName>
    <definedName name="FDC_62_54" hidden="1">"#"</definedName>
    <definedName name="FDC_62_55" hidden="1">"#"</definedName>
    <definedName name="FDC_62_56" hidden="1">"#"</definedName>
    <definedName name="FDC_62_57" hidden="1">"#"</definedName>
    <definedName name="FDC_62_58" hidden="1">"#"</definedName>
    <definedName name="FDC_62_59" hidden="1">"#"</definedName>
    <definedName name="FDC_62_6" hidden="1">"#"</definedName>
    <definedName name="FDC_62_60" hidden="1">"#"</definedName>
    <definedName name="FDC_62_61" hidden="1">"#"</definedName>
    <definedName name="FDC_62_62" hidden="1">"#"</definedName>
    <definedName name="FDC_62_63" hidden="1">"#"</definedName>
    <definedName name="FDC_62_64" hidden="1">"#"</definedName>
    <definedName name="FDC_62_65" hidden="1">"#"</definedName>
    <definedName name="FDC_62_66" hidden="1">"#"</definedName>
    <definedName name="FDC_62_67" hidden="1">"#"</definedName>
    <definedName name="FDC_62_68" hidden="1">"#"</definedName>
    <definedName name="FDC_62_69" hidden="1">"#"</definedName>
    <definedName name="FDC_62_7" hidden="1">"#"</definedName>
    <definedName name="FDC_62_70" hidden="1">"#"</definedName>
    <definedName name="FDC_62_71" hidden="1">"#"</definedName>
    <definedName name="FDC_62_72" hidden="1">"#"</definedName>
    <definedName name="FDC_62_73" hidden="1">"#"</definedName>
    <definedName name="FDC_62_74" hidden="1">"#"</definedName>
    <definedName name="FDC_62_75" hidden="1">"#"</definedName>
    <definedName name="FDC_62_76" hidden="1">"#"</definedName>
    <definedName name="FDC_62_77" hidden="1">"#"</definedName>
    <definedName name="FDC_62_78" hidden="1">"#"</definedName>
    <definedName name="FDC_62_79" hidden="1">"#"</definedName>
    <definedName name="FDC_62_8" hidden="1">"#"</definedName>
    <definedName name="FDC_62_80" hidden="1">"#"</definedName>
    <definedName name="FDC_62_81" hidden="1">"#"</definedName>
    <definedName name="FDC_62_82" hidden="1">"#"</definedName>
    <definedName name="FDC_62_83" hidden="1">"#"</definedName>
    <definedName name="FDC_62_84" hidden="1">"#"</definedName>
    <definedName name="FDC_62_85" hidden="1">"#"</definedName>
    <definedName name="FDC_62_86" hidden="1">"#"</definedName>
    <definedName name="FDC_62_87" hidden="1">"#"</definedName>
    <definedName name="FDC_62_88" hidden="1">"#"</definedName>
    <definedName name="FDC_62_89" hidden="1">"#"</definedName>
    <definedName name="FDC_62_9" hidden="1">"#"</definedName>
    <definedName name="FDC_62_90" hidden="1">"#"</definedName>
    <definedName name="FDC_62_91" hidden="1">"#"</definedName>
    <definedName name="FDC_62_92" hidden="1">"#"</definedName>
    <definedName name="FDC_62_93" hidden="1">"#"</definedName>
    <definedName name="FDC_62_94" hidden="1">"#"</definedName>
    <definedName name="FDC_62_95" hidden="1">"#"</definedName>
    <definedName name="FDC_62_96" hidden="1">"#"</definedName>
    <definedName name="FDC_62_97" hidden="1">"#"</definedName>
    <definedName name="FDC_62_98" hidden="1">"#"</definedName>
    <definedName name="FDC_62_99" hidden="1">"#"</definedName>
    <definedName name="FDC_63_0" hidden="1">"#"</definedName>
    <definedName name="FDC_63_1" hidden="1">"#"</definedName>
    <definedName name="FDC_63_10" hidden="1">"#"</definedName>
    <definedName name="FDC_63_100" hidden="1">"#"</definedName>
    <definedName name="FDC_63_101" hidden="1">"#"</definedName>
    <definedName name="FDC_63_102" hidden="1">"#"</definedName>
    <definedName name="FDC_63_103" hidden="1">"#"</definedName>
    <definedName name="FDC_63_104" hidden="1">"#"</definedName>
    <definedName name="FDC_63_105" hidden="1">"#"</definedName>
    <definedName name="FDC_63_106" hidden="1">"#"</definedName>
    <definedName name="FDC_63_107" hidden="1">"#"</definedName>
    <definedName name="FDC_63_108" hidden="1">"#"</definedName>
    <definedName name="FDC_63_109" hidden="1">"#"</definedName>
    <definedName name="FDC_63_11" hidden="1">"#"</definedName>
    <definedName name="FDC_63_110" hidden="1">"#"</definedName>
    <definedName name="FDC_63_111" hidden="1">"#"</definedName>
    <definedName name="FDC_63_112" hidden="1">"#"</definedName>
    <definedName name="FDC_63_113" hidden="1">"#"</definedName>
    <definedName name="FDC_63_114" hidden="1">"#"</definedName>
    <definedName name="FDC_63_115" hidden="1">"#"</definedName>
    <definedName name="FDC_63_116" hidden="1">"#"</definedName>
    <definedName name="FDC_63_117" hidden="1">"#"</definedName>
    <definedName name="FDC_63_118" hidden="1">"#"</definedName>
    <definedName name="FDC_63_119" hidden="1">"#"</definedName>
    <definedName name="FDC_63_12" hidden="1">"#"</definedName>
    <definedName name="FDC_63_120" hidden="1">"#"</definedName>
    <definedName name="FDC_63_121" hidden="1">"#"</definedName>
    <definedName name="FDC_63_122" hidden="1">"#"</definedName>
    <definedName name="FDC_63_123" hidden="1">"#"</definedName>
    <definedName name="FDC_63_124" hidden="1">"#"</definedName>
    <definedName name="FDC_63_125" hidden="1">"#"</definedName>
    <definedName name="FDC_63_126" hidden="1">"#"</definedName>
    <definedName name="FDC_63_127" hidden="1">"#"</definedName>
    <definedName name="FDC_63_128" hidden="1">"#"</definedName>
    <definedName name="FDC_63_129" hidden="1">"#"</definedName>
    <definedName name="FDC_63_13" hidden="1">"#"</definedName>
    <definedName name="FDC_63_130" hidden="1">"#"</definedName>
    <definedName name="FDC_63_131" hidden="1">"#"</definedName>
    <definedName name="FDC_63_132" hidden="1">"#"</definedName>
    <definedName name="FDC_63_133" hidden="1">"#"</definedName>
    <definedName name="FDC_63_134" hidden="1">"#"</definedName>
    <definedName name="FDC_63_135" hidden="1">"#"</definedName>
    <definedName name="FDC_63_136" hidden="1">"#"</definedName>
    <definedName name="FDC_63_137" hidden="1">"#"</definedName>
    <definedName name="FDC_63_138" hidden="1">"#"</definedName>
    <definedName name="FDC_63_139" hidden="1">"#"</definedName>
    <definedName name="FDC_63_14" hidden="1">"#"</definedName>
    <definedName name="FDC_63_140" hidden="1">"#"</definedName>
    <definedName name="FDC_63_141" hidden="1">"#"</definedName>
    <definedName name="FDC_63_142" hidden="1">"#"</definedName>
    <definedName name="FDC_63_143" hidden="1">"#"</definedName>
    <definedName name="FDC_63_144" hidden="1">"#"</definedName>
    <definedName name="FDC_63_145" hidden="1">"#"</definedName>
    <definedName name="FDC_63_146" hidden="1">"#"</definedName>
    <definedName name="FDC_63_147" hidden="1">"#"</definedName>
    <definedName name="FDC_63_148" hidden="1">"#"</definedName>
    <definedName name="FDC_63_149" hidden="1">"#"</definedName>
    <definedName name="FDC_63_15" hidden="1">"#"</definedName>
    <definedName name="FDC_63_150" hidden="1">"#"</definedName>
    <definedName name="FDC_63_151" hidden="1">"#"</definedName>
    <definedName name="FDC_63_152" hidden="1">"#"</definedName>
    <definedName name="FDC_63_153" hidden="1">"#"</definedName>
    <definedName name="FDC_63_154" hidden="1">"#"</definedName>
    <definedName name="FDC_63_155" hidden="1">"#"</definedName>
    <definedName name="FDC_63_156" hidden="1">"#"</definedName>
    <definedName name="FDC_63_157" hidden="1">"#"</definedName>
    <definedName name="FDC_63_158" hidden="1">"#"</definedName>
    <definedName name="FDC_63_159" hidden="1">"#"</definedName>
    <definedName name="FDC_63_16" hidden="1">"#"</definedName>
    <definedName name="FDC_63_160" hidden="1">"#"</definedName>
    <definedName name="FDC_63_161" hidden="1">"#"</definedName>
    <definedName name="FDC_63_162" hidden="1">"#"</definedName>
    <definedName name="FDC_63_163" hidden="1">"#"</definedName>
    <definedName name="FDC_63_164" hidden="1">"#"</definedName>
    <definedName name="FDC_63_165" hidden="1">"#"</definedName>
    <definedName name="FDC_63_166" hidden="1">"#"</definedName>
    <definedName name="FDC_63_167" hidden="1">"#"</definedName>
    <definedName name="FDC_63_168" hidden="1">"#"</definedName>
    <definedName name="FDC_63_169" hidden="1">"#"</definedName>
    <definedName name="FDC_63_17" hidden="1">"#"</definedName>
    <definedName name="FDC_63_170" hidden="1">"#"</definedName>
    <definedName name="FDC_63_171" hidden="1">"#"</definedName>
    <definedName name="FDC_63_172" hidden="1">"#"</definedName>
    <definedName name="FDC_63_173" hidden="1">"#"</definedName>
    <definedName name="FDC_63_174" hidden="1">"#"</definedName>
    <definedName name="FDC_63_175" hidden="1">"#"</definedName>
    <definedName name="FDC_63_176" hidden="1">"#"</definedName>
    <definedName name="FDC_63_177" hidden="1">"#"</definedName>
    <definedName name="FDC_63_178" hidden="1">"#"</definedName>
    <definedName name="FDC_63_179" hidden="1">"#"</definedName>
    <definedName name="FDC_63_18" hidden="1">"#"</definedName>
    <definedName name="FDC_63_180" hidden="1">"#"</definedName>
    <definedName name="FDC_63_181" hidden="1">"#"</definedName>
    <definedName name="FDC_63_182" hidden="1">"#"</definedName>
    <definedName name="FDC_63_183" hidden="1">"#"</definedName>
    <definedName name="FDC_63_184" hidden="1">"#"</definedName>
    <definedName name="FDC_63_185" hidden="1">"#"</definedName>
    <definedName name="FDC_63_186" hidden="1">"#"</definedName>
    <definedName name="FDC_63_187" hidden="1">"#"</definedName>
    <definedName name="FDC_63_188" hidden="1">"#"</definedName>
    <definedName name="FDC_63_189" hidden="1">"#"</definedName>
    <definedName name="FDC_63_19" hidden="1">"#"</definedName>
    <definedName name="FDC_63_190" hidden="1">"#"</definedName>
    <definedName name="FDC_63_191" hidden="1">"#"</definedName>
    <definedName name="FDC_63_192" hidden="1">"#"</definedName>
    <definedName name="FDC_63_193" hidden="1">"#"</definedName>
    <definedName name="FDC_63_194" hidden="1">"#"</definedName>
    <definedName name="FDC_63_195" hidden="1">"#"</definedName>
    <definedName name="FDC_63_196" hidden="1">"#"</definedName>
    <definedName name="FDC_63_197" hidden="1">"#"</definedName>
    <definedName name="FDC_63_198" hidden="1">"#"</definedName>
    <definedName name="FDC_63_199" hidden="1">"#"</definedName>
    <definedName name="FDC_63_2" hidden="1">"#"</definedName>
    <definedName name="FDC_63_20" hidden="1">"#"</definedName>
    <definedName name="FDC_63_200" hidden="1">"#"</definedName>
    <definedName name="FDC_63_201" hidden="1">"#"</definedName>
    <definedName name="FDC_63_202" hidden="1">"#"</definedName>
    <definedName name="FDC_63_203" hidden="1">"#"</definedName>
    <definedName name="FDC_63_204" hidden="1">"#"</definedName>
    <definedName name="FDC_63_205" hidden="1">"#"</definedName>
    <definedName name="FDC_63_206" hidden="1">"#"</definedName>
    <definedName name="FDC_63_207" hidden="1">"#"</definedName>
    <definedName name="FDC_63_208" hidden="1">"#"</definedName>
    <definedName name="FDC_63_209" hidden="1">"#"</definedName>
    <definedName name="FDC_63_21" hidden="1">"#"</definedName>
    <definedName name="FDC_63_210" hidden="1">"#"</definedName>
    <definedName name="FDC_63_211" hidden="1">"#"</definedName>
    <definedName name="FDC_63_212" hidden="1">"#"</definedName>
    <definedName name="FDC_63_213" hidden="1">"#"</definedName>
    <definedName name="FDC_63_214" hidden="1">"#"</definedName>
    <definedName name="FDC_63_215" hidden="1">"#"</definedName>
    <definedName name="FDC_63_216" hidden="1">"#"</definedName>
    <definedName name="FDC_63_217" hidden="1">"#"</definedName>
    <definedName name="FDC_63_218" hidden="1">"#"</definedName>
    <definedName name="FDC_63_219" hidden="1">"#"</definedName>
    <definedName name="FDC_63_22" hidden="1">"#"</definedName>
    <definedName name="FDC_63_220" hidden="1">"#"</definedName>
    <definedName name="FDC_63_221" hidden="1">"#"</definedName>
    <definedName name="FDC_63_222" hidden="1">"#"</definedName>
    <definedName name="FDC_63_223" hidden="1">"#"</definedName>
    <definedName name="FDC_63_224" hidden="1">"#"</definedName>
    <definedName name="FDC_63_225" hidden="1">"#"</definedName>
    <definedName name="FDC_63_226" hidden="1">"#"</definedName>
    <definedName name="FDC_63_227" hidden="1">"#"</definedName>
    <definedName name="FDC_63_228" hidden="1">"#"</definedName>
    <definedName name="FDC_63_229" hidden="1">"#"</definedName>
    <definedName name="FDC_63_23" hidden="1">"#"</definedName>
    <definedName name="FDC_63_230" hidden="1">"#"</definedName>
    <definedName name="FDC_63_231" hidden="1">"#"</definedName>
    <definedName name="FDC_63_232" hidden="1">"#"</definedName>
    <definedName name="FDC_63_233" hidden="1">"#"</definedName>
    <definedName name="FDC_63_234" hidden="1">"#"</definedName>
    <definedName name="FDC_63_235" hidden="1">"#"</definedName>
    <definedName name="FDC_63_236" hidden="1">"#"</definedName>
    <definedName name="FDC_63_237" hidden="1">"#"</definedName>
    <definedName name="FDC_63_238" hidden="1">"#"</definedName>
    <definedName name="FDC_63_239" hidden="1">"#"</definedName>
    <definedName name="FDC_63_24" hidden="1">"#"</definedName>
    <definedName name="FDC_63_240" hidden="1">"#"</definedName>
    <definedName name="FDC_63_241" hidden="1">"#"</definedName>
    <definedName name="FDC_63_242" hidden="1">"#"</definedName>
    <definedName name="FDC_63_243" hidden="1">"#"</definedName>
    <definedName name="FDC_63_244" hidden="1">"#"</definedName>
    <definedName name="FDC_63_245" hidden="1">"#"</definedName>
    <definedName name="FDC_63_246" hidden="1">"#"</definedName>
    <definedName name="FDC_63_247" hidden="1">"#"</definedName>
    <definedName name="FDC_63_248" hidden="1">"#"</definedName>
    <definedName name="FDC_63_249" hidden="1">"#"</definedName>
    <definedName name="FDC_63_25" hidden="1">"#"</definedName>
    <definedName name="FDC_63_250" hidden="1">"#"</definedName>
    <definedName name="FDC_63_251" hidden="1">"#"</definedName>
    <definedName name="FDC_63_252" hidden="1">"#"</definedName>
    <definedName name="FDC_63_253" hidden="1">"#"</definedName>
    <definedName name="FDC_63_254" hidden="1">"#"</definedName>
    <definedName name="FDC_63_255" hidden="1">"#"</definedName>
    <definedName name="FDC_63_256" hidden="1">"#"</definedName>
    <definedName name="FDC_63_257" hidden="1">"#"</definedName>
    <definedName name="FDC_63_258" hidden="1">"#"</definedName>
    <definedName name="FDC_63_259" hidden="1">"#"</definedName>
    <definedName name="FDC_63_26" hidden="1">"#"</definedName>
    <definedName name="FDC_63_260" hidden="1">"#"</definedName>
    <definedName name="FDC_63_261" hidden="1">"#"</definedName>
    <definedName name="FDC_63_27" hidden="1">"#"</definedName>
    <definedName name="FDC_63_28" hidden="1">"#"</definedName>
    <definedName name="FDC_63_29" hidden="1">"#"</definedName>
    <definedName name="FDC_63_3" hidden="1">"#"</definedName>
    <definedName name="FDC_63_30" hidden="1">"#"</definedName>
    <definedName name="FDC_63_31" hidden="1">"#"</definedName>
    <definedName name="FDC_63_32" hidden="1">"#"</definedName>
    <definedName name="FDC_63_33" hidden="1">"#"</definedName>
    <definedName name="FDC_63_34" hidden="1">"#"</definedName>
    <definedName name="FDC_63_35" hidden="1">"#"</definedName>
    <definedName name="FDC_63_36" hidden="1">"#"</definedName>
    <definedName name="FDC_63_37" hidden="1">"#"</definedName>
    <definedName name="FDC_63_38" hidden="1">"#"</definedName>
    <definedName name="FDC_63_39" hidden="1">"#"</definedName>
    <definedName name="FDC_63_4" hidden="1">"#"</definedName>
    <definedName name="FDC_63_40" hidden="1">"#"</definedName>
    <definedName name="FDC_63_41" hidden="1">"#"</definedName>
    <definedName name="FDC_63_42" hidden="1">"#"</definedName>
    <definedName name="FDC_63_43" hidden="1">"#"</definedName>
    <definedName name="FDC_63_44" hidden="1">"#"</definedName>
    <definedName name="FDC_63_45" hidden="1">"#"</definedName>
    <definedName name="FDC_63_46" hidden="1">"#"</definedName>
    <definedName name="FDC_63_47" hidden="1">"#"</definedName>
    <definedName name="FDC_63_48" hidden="1">"#"</definedName>
    <definedName name="FDC_63_49" hidden="1">"#"</definedName>
    <definedName name="FDC_63_5" hidden="1">"#"</definedName>
    <definedName name="FDC_63_50" hidden="1">"#"</definedName>
    <definedName name="FDC_63_51" hidden="1">"#"</definedName>
    <definedName name="FDC_63_52" hidden="1">"#"</definedName>
    <definedName name="FDC_63_53" hidden="1">"#"</definedName>
    <definedName name="FDC_63_54" hidden="1">"#"</definedName>
    <definedName name="FDC_63_55" hidden="1">"#"</definedName>
    <definedName name="FDC_63_56" hidden="1">"#"</definedName>
    <definedName name="FDC_63_57" hidden="1">"#"</definedName>
    <definedName name="FDC_63_58" hidden="1">"#"</definedName>
    <definedName name="FDC_63_59" hidden="1">"#"</definedName>
    <definedName name="FDC_63_6" hidden="1">"#"</definedName>
    <definedName name="FDC_63_60" hidden="1">"#"</definedName>
    <definedName name="FDC_63_61" hidden="1">"#"</definedName>
    <definedName name="FDC_63_62" hidden="1">"#"</definedName>
    <definedName name="FDC_63_63" hidden="1">"#"</definedName>
    <definedName name="FDC_63_64" hidden="1">"#"</definedName>
    <definedName name="FDC_63_65" hidden="1">"#"</definedName>
    <definedName name="FDC_63_66" hidden="1">"#"</definedName>
    <definedName name="FDC_63_67" hidden="1">"#"</definedName>
    <definedName name="FDC_63_68" hidden="1">"#"</definedName>
    <definedName name="FDC_63_69" hidden="1">"#"</definedName>
    <definedName name="FDC_63_7" hidden="1">"#"</definedName>
    <definedName name="FDC_63_70" hidden="1">"#"</definedName>
    <definedName name="FDC_63_71" hidden="1">"#"</definedName>
    <definedName name="FDC_63_72" hidden="1">"#"</definedName>
    <definedName name="FDC_63_73" hidden="1">"#"</definedName>
    <definedName name="FDC_63_74" hidden="1">"#"</definedName>
    <definedName name="FDC_63_75" hidden="1">"#"</definedName>
    <definedName name="FDC_63_76" hidden="1">"#"</definedName>
    <definedName name="FDC_63_77" hidden="1">"#"</definedName>
    <definedName name="FDC_63_78" hidden="1">"#"</definedName>
    <definedName name="FDC_63_79" hidden="1">"#"</definedName>
    <definedName name="FDC_63_8" hidden="1">"#"</definedName>
    <definedName name="FDC_63_80" hidden="1">"#"</definedName>
    <definedName name="FDC_63_81" hidden="1">"#"</definedName>
    <definedName name="FDC_63_82" hidden="1">"#"</definedName>
    <definedName name="FDC_63_83" hidden="1">"#"</definedName>
    <definedName name="FDC_63_84" hidden="1">"#"</definedName>
    <definedName name="FDC_63_85" hidden="1">"#"</definedName>
    <definedName name="FDC_63_86" hidden="1">"#"</definedName>
    <definedName name="FDC_63_87" hidden="1">"#"</definedName>
    <definedName name="FDC_63_88" hidden="1">"#"</definedName>
    <definedName name="FDC_63_89" hidden="1">"#"</definedName>
    <definedName name="FDC_63_9" hidden="1">"#"</definedName>
    <definedName name="FDC_63_90" hidden="1">"#"</definedName>
    <definedName name="FDC_63_91" hidden="1">"#"</definedName>
    <definedName name="FDC_63_92" hidden="1">"#"</definedName>
    <definedName name="FDC_63_93" hidden="1">"#"</definedName>
    <definedName name="FDC_63_94" hidden="1">"#"</definedName>
    <definedName name="FDC_63_95" hidden="1">"#"</definedName>
    <definedName name="FDC_63_96" hidden="1">"#"</definedName>
    <definedName name="FDC_63_97" hidden="1">"#"</definedName>
    <definedName name="FDC_63_98" hidden="1">"#"</definedName>
    <definedName name="FDC_63_99" hidden="1">"#"</definedName>
    <definedName name="FDC_64_0" hidden="1">"#"</definedName>
    <definedName name="FDC_64_1" hidden="1">"#"</definedName>
    <definedName name="FDC_64_10" hidden="1">"#"</definedName>
    <definedName name="FDC_64_100" hidden="1">"#"</definedName>
    <definedName name="FDC_64_101" hidden="1">"#"</definedName>
    <definedName name="FDC_64_102" hidden="1">"#"</definedName>
    <definedName name="FDC_64_103" hidden="1">"#"</definedName>
    <definedName name="FDC_64_104" hidden="1">"#"</definedName>
    <definedName name="FDC_64_105" hidden="1">"#"</definedName>
    <definedName name="FDC_64_106" hidden="1">"#"</definedName>
    <definedName name="FDC_64_107" hidden="1">"#"</definedName>
    <definedName name="FDC_64_108" hidden="1">"#"</definedName>
    <definedName name="FDC_64_109" hidden="1">"#"</definedName>
    <definedName name="FDC_64_11" hidden="1">"#"</definedName>
    <definedName name="FDC_64_110" hidden="1">"#"</definedName>
    <definedName name="FDC_64_111" hidden="1">"#"</definedName>
    <definedName name="FDC_64_112" hidden="1">"#"</definedName>
    <definedName name="FDC_64_113" hidden="1">"#"</definedName>
    <definedName name="FDC_64_114" hidden="1">"#"</definedName>
    <definedName name="FDC_64_115" hidden="1">"#"</definedName>
    <definedName name="FDC_64_116" hidden="1">"#"</definedName>
    <definedName name="FDC_64_117" hidden="1">"#"</definedName>
    <definedName name="FDC_64_118" hidden="1">"#"</definedName>
    <definedName name="FDC_64_119" hidden="1">"#"</definedName>
    <definedName name="FDC_64_12" hidden="1">"#"</definedName>
    <definedName name="FDC_64_120" hidden="1">"#"</definedName>
    <definedName name="FDC_64_121" hidden="1">"#"</definedName>
    <definedName name="FDC_64_122" hidden="1">"#"</definedName>
    <definedName name="FDC_64_123" hidden="1">"#"</definedName>
    <definedName name="FDC_64_124" hidden="1">"#"</definedName>
    <definedName name="FDC_64_125" hidden="1">"#"</definedName>
    <definedName name="FDC_64_126" hidden="1">"#"</definedName>
    <definedName name="FDC_64_127" hidden="1">"#"</definedName>
    <definedName name="FDC_64_128" hidden="1">"#"</definedName>
    <definedName name="FDC_64_129" hidden="1">"#"</definedName>
    <definedName name="FDC_64_13" hidden="1">"#"</definedName>
    <definedName name="FDC_64_130" hidden="1">"#"</definedName>
    <definedName name="FDC_64_131" hidden="1">"#"</definedName>
    <definedName name="FDC_64_132" hidden="1">"#"</definedName>
    <definedName name="FDC_64_133" hidden="1">"#"</definedName>
    <definedName name="FDC_64_134" hidden="1">"#"</definedName>
    <definedName name="FDC_64_135" hidden="1">"#"</definedName>
    <definedName name="FDC_64_136" hidden="1">"#"</definedName>
    <definedName name="FDC_64_137" hidden="1">"#"</definedName>
    <definedName name="FDC_64_138" hidden="1">"#"</definedName>
    <definedName name="FDC_64_139" hidden="1">"#"</definedName>
    <definedName name="FDC_64_14" hidden="1">"#"</definedName>
    <definedName name="FDC_64_140" hidden="1">"#"</definedName>
    <definedName name="FDC_64_141" hidden="1">"#"</definedName>
    <definedName name="FDC_64_142" hidden="1">"#"</definedName>
    <definedName name="FDC_64_143" hidden="1">"#"</definedName>
    <definedName name="FDC_64_144" hidden="1">"#"</definedName>
    <definedName name="FDC_64_145" hidden="1">"#"</definedName>
    <definedName name="FDC_64_146" hidden="1">"#"</definedName>
    <definedName name="FDC_64_147" hidden="1">"#"</definedName>
    <definedName name="FDC_64_148" hidden="1">"#"</definedName>
    <definedName name="FDC_64_149" hidden="1">"#"</definedName>
    <definedName name="FDC_64_15" hidden="1">"#"</definedName>
    <definedName name="FDC_64_150" hidden="1">"#"</definedName>
    <definedName name="FDC_64_151" hidden="1">"#"</definedName>
    <definedName name="FDC_64_152" hidden="1">"#"</definedName>
    <definedName name="FDC_64_153" hidden="1">"#"</definedName>
    <definedName name="FDC_64_154" hidden="1">"#"</definedName>
    <definedName name="FDC_64_155" hidden="1">"#"</definedName>
    <definedName name="FDC_64_156" hidden="1">"#"</definedName>
    <definedName name="FDC_64_157" hidden="1">"#"</definedName>
    <definedName name="FDC_64_158" hidden="1">"#"</definedName>
    <definedName name="FDC_64_159" hidden="1">"#"</definedName>
    <definedName name="FDC_64_16" hidden="1">"#"</definedName>
    <definedName name="FDC_64_160" hidden="1">"#"</definedName>
    <definedName name="FDC_64_161" hidden="1">"#"</definedName>
    <definedName name="FDC_64_162" hidden="1">"#"</definedName>
    <definedName name="FDC_64_163" hidden="1">"#"</definedName>
    <definedName name="FDC_64_164" hidden="1">"#"</definedName>
    <definedName name="FDC_64_165" hidden="1">"#"</definedName>
    <definedName name="FDC_64_166" hidden="1">"#"</definedName>
    <definedName name="FDC_64_167" hidden="1">"#"</definedName>
    <definedName name="FDC_64_168" hidden="1">"#"</definedName>
    <definedName name="FDC_64_169" hidden="1">"#"</definedName>
    <definedName name="FDC_64_17" hidden="1">"#"</definedName>
    <definedName name="FDC_64_170" hidden="1">"#"</definedName>
    <definedName name="FDC_64_171" hidden="1">"#"</definedName>
    <definedName name="FDC_64_172" hidden="1">"#"</definedName>
    <definedName name="FDC_64_173" hidden="1">"#"</definedName>
    <definedName name="FDC_64_174" hidden="1">"#"</definedName>
    <definedName name="FDC_64_175" hidden="1">"#"</definedName>
    <definedName name="FDC_64_176" hidden="1">"#"</definedName>
    <definedName name="FDC_64_177" hidden="1">"#"</definedName>
    <definedName name="FDC_64_178" hidden="1">"#"</definedName>
    <definedName name="FDC_64_179" hidden="1">"#"</definedName>
    <definedName name="FDC_64_18" hidden="1">"#"</definedName>
    <definedName name="FDC_64_180" hidden="1">"#"</definedName>
    <definedName name="FDC_64_181" hidden="1">"#"</definedName>
    <definedName name="FDC_64_182" hidden="1">"#"</definedName>
    <definedName name="FDC_64_183" hidden="1">"#"</definedName>
    <definedName name="FDC_64_184" hidden="1">"#"</definedName>
    <definedName name="FDC_64_185" hidden="1">"#"</definedName>
    <definedName name="FDC_64_186" hidden="1">"#"</definedName>
    <definedName name="FDC_64_187" hidden="1">"#"</definedName>
    <definedName name="FDC_64_188" hidden="1">"#"</definedName>
    <definedName name="FDC_64_189" hidden="1">"#"</definedName>
    <definedName name="FDC_64_19" hidden="1">"#"</definedName>
    <definedName name="FDC_64_190" hidden="1">"#"</definedName>
    <definedName name="FDC_64_191" hidden="1">"#"</definedName>
    <definedName name="FDC_64_192" hidden="1">"#"</definedName>
    <definedName name="FDC_64_193" hidden="1">"#"</definedName>
    <definedName name="FDC_64_194" hidden="1">"#"</definedName>
    <definedName name="FDC_64_195" hidden="1">"#"</definedName>
    <definedName name="FDC_64_196" hidden="1">"#"</definedName>
    <definedName name="FDC_64_197" hidden="1">"#"</definedName>
    <definedName name="FDC_64_198" hidden="1">"#"</definedName>
    <definedName name="FDC_64_199" hidden="1">"#"</definedName>
    <definedName name="FDC_64_2" hidden="1">"#"</definedName>
    <definedName name="FDC_64_20" hidden="1">"#"</definedName>
    <definedName name="FDC_64_200" hidden="1">"#"</definedName>
    <definedName name="FDC_64_201" hidden="1">"#"</definedName>
    <definedName name="FDC_64_202" hidden="1">"#"</definedName>
    <definedName name="FDC_64_203" hidden="1">"#"</definedName>
    <definedName name="FDC_64_204" hidden="1">"#"</definedName>
    <definedName name="FDC_64_205" hidden="1">"#"</definedName>
    <definedName name="FDC_64_206" hidden="1">"#"</definedName>
    <definedName name="FDC_64_207" hidden="1">"#"</definedName>
    <definedName name="FDC_64_208" hidden="1">"#"</definedName>
    <definedName name="FDC_64_209" hidden="1">"#"</definedName>
    <definedName name="FDC_64_21" hidden="1">"#"</definedName>
    <definedName name="FDC_64_210" hidden="1">"#"</definedName>
    <definedName name="FDC_64_211" hidden="1">"#"</definedName>
    <definedName name="FDC_64_212" hidden="1">"#"</definedName>
    <definedName name="FDC_64_213" hidden="1">"#"</definedName>
    <definedName name="FDC_64_214" hidden="1">"#"</definedName>
    <definedName name="FDC_64_215" hidden="1">"#"</definedName>
    <definedName name="FDC_64_216" hidden="1">"#"</definedName>
    <definedName name="FDC_64_217" hidden="1">"#"</definedName>
    <definedName name="FDC_64_218" hidden="1">"#"</definedName>
    <definedName name="FDC_64_219" hidden="1">"#"</definedName>
    <definedName name="FDC_64_22" hidden="1">"#"</definedName>
    <definedName name="FDC_64_220" hidden="1">"#"</definedName>
    <definedName name="FDC_64_221" hidden="1">"#"</definedName>
    <definedName name="FDC_64_222" hidden="1">"#"</definedName>
    <definedName name="FDC_64_223" hidden="1">"#"</definedName>
    <definedName name="FDC_64_224" hidden="1">"#"</definedName>
    <definedName name="FDC_64_225" hidden="1">"#"</definedName>
    <definedName name="FDC_64_226" hidden="1">"#"</definedName>
    <definedName name="FDC_64_227" hidden="1">"#"</definedName>
    <definedName name="FDC_64_228" hidden="1">"#"</definedName>
    <definedName name="FDC_64_229" hidden="1">"#"</definedName>
    <definedName name="FDC_64_23" hidden="1">"#"</definedName>
    <definedName name="FDC_64_230" hidden="1">"#"</definedName>
    <definedName name="FDC_64_231" hidden="1">"#"</definedName>
    <definedName name="FDC_64_232" hidden="1">"#"</definedName>
    <definedName name="FDC_64_233" hidden="1">"#"</definedName>
    <definedName name="FDC_64_234" hidden="1">"#"</definedName>
    <definedName name="FDC_64_235" hidden="1">"#"</definedName>
    <definedName name="FDC_64_236" hidden="1">"#"</definedName>
    <definedName name="FDC_64_237" hidden="1">"#"</definedName>
    <definedName name="FDC_64_238" hidden="1">"#"</definedName>
    <definedName name="FDC_64_239" hidden="1">"#"</definedName>
    <definedName name="FDC_64_24" hidden="1">"#"</definedName>
    <definedName name="FDC_64_240" hidden="1">"#"</definedName>
    <definedName name="FDC_64_241" hidden="1">"#"</definedName>
    <definedName name="FDC_64_242" hidden="1">"#"</definedName>
    <definedName name="FDC_64_243" hidden="1">"#"</definedName>
    <definedName name="FDC_64_244" hidden="1">"#"</definedName>
    <definedName name="FDC_64_245" hidden="1">"#"</definedName>
    <definedName name="FDC_64_246" hidden="1">"#"</definedName>
    <definedName name="FDC_64_247" hidden="1">"#"</definedName>
    <definedName name="FDC_64_248" hidden="1">"#"</definedName>
    <definedName name="FDC_64_249" hidden="1">"#"</definedName>
    <definedName name="FDC_64_25" hidden="1">"#"</definedName>
    <definedName name="FDC_64_250" hidden="1">"#"</definedName>
    <definedName name="FDC_64_251" hidden="1">"#"</definedName>
    <definedName name="FDC_64_252" hidden="1">"#"</definedName>
    <definedName name="FDC_64_253" hidden="1">"#"</definedName>
    <definedName name="FDC_64_254" hidden="1">"#"</definedName>
    <definedName name="FDC_64_255" hidden="1">"#"</definedName>
    <definedName name="FDC_64_256" hidden="1">"#"</definedName>
    <definedName name="FDC_64_257" hidden="1">"#"</definedName>
    <definedName name="FDC_64_258" hidden="1">"#"</definedName>
    <definedName name="FDC_64_259" hidden="1">"#"</definedName>
    <definedName name="FDC_64_26" hidden="1">"#"</definedName>
    <definedName name="FDC_64_260" hidden="1">"#"</definedName>
    <definedName name="FDC_64_261" hidden="1">"#"</definedName>
    <definedName name="FDC_64_27" hidden="1">"#"</definedName>
    <definedName name="FDC_64_28" hidden="1">"#"</definedName>
    <definedName name="FDC_64_29" hidden="1">"#"</definedName>
    <definedName name="FDC_64_3" hidden="1">"#"</definedName>
    <definedName name="FDC_64_30" hidden="1">"#"</definedName>
    <definedName name="FDC_64_31" hidden="1">"#"</definedName>
    <definedName name="FDC_64_32" hidden="1">"#"</definedName>
    <definedName name="FDC_64_33" hidden="1">"#"</definedName>
    <definedName name="FDC_64_34" hidden="1">"#"</definedName>
    <definedName name="FDC_64_35" hidden="1">"#"</definedName>
    <definedName name="FDC_64_36" hidden="1">"#"</definedName>
    <definedName name="FDC_64_37" hidden="1">"#"</definedName>
    <definedName name="FDC_64_38" hidden="1">"#"</definedName>
    <definedName name="FDC_64_39" hidden="1">"#"</definedName>
    <definedName name="FDC_64_4" hidden="1">"#"</definedName>
    <definedName name="FDC_64_40" hidden="1">"#"</definedName>
    <definedName name="FDC_64_41" hidden="1">"#"</definedName>
    <definedName name="FDC_64_42" hidden="1">"#"</definedName>
    <definedName name="FDC_64_43" hidden="1">"#"</definedName>
    <definedName name="FDC_64_44" hidden="1">"#"</definedName>
    <definedName name="FDC_64_45" hidden="1">"#"</definedName>
    <definedName name="FDC_64_46" hidden="1">"#"</definedName>
    <definedName name="FDC_64_47" hidden="1">"#"</definedName>
    <definedName name="FDC_64_48" hidden="1">"#"</definedName>
    <definedName name="FDC_64_49" hidden="1">"#"</definedName>
    <definedName name="FDC_64_5" hidden="1">"#"</definedName>
    <definedName name="FDC_64_50" hidden="1">"#"</definedName>
    <definedName name="FDC_64_51" hidden="1">"#"</definedName>
    <definedName name="FDC_64_52" hidden="1">"#"</definedName>
    <definedName name="FDC_64_53" hidden="1">"#"</definedName>
    <definedName name="FDC_64_54" hidden="1">"#"</definedName>
    <definedName name="FDC_64_55" hidden="1">"#"</definedName>
    <definedName name="FDC_64_56" hidden="1">"#"</definedName>
    <definedName name="FDC_64_57" hidden="1">"#"</definedName>
    <definedName name="FDC_64_58" hidden="1">"#"</definedName>
    <definedName name="FDC_64_59" hidden="1">"#"</definedName>
    <definedName name="FDC_64_6" hidden="1">"#"</definedName>
    <definedName name="FDC_64_60" hidden="1">"#"</definedName>
    <definedName name="FDC_64_61" hidden="1">"#"</definedName>
    <definedName name="FDC_64_62" hidden="1">"#"</definedName>
    <definedName name="FDC_64_63" hidden="1">"#"</definedName>
    <definedName name="FDC_64_64" hidden="1">"#"</definedName>
    <definedName name="FDC_64_65" hidden="1">"#"</definedName>
    <definedName name="FDC_64_66" hidden="1">"#"</definedName>
    <definedName name="FDC_64_67" hidden="1">"#"</definedName>
    <definedName name="FDC_64_68" hidden="1">"#"</definedName>
    <definedName name="FDC_64_69" hidden="1">"#"</definedName>
    <definedName name="FDC_64_7" hidden="1">"#"</definedName>
    <definedName name="FDC_64_70" hidden="1">"#"</definedName>
    <definedName name="FDC_64_71" hidden="1">"#"</definedName>
    <definedName name="FDC_64_72" hidden="1">"#"</definedName>
    <definedName name="FDC_64_73" hidden="1">"#"</definedName>
    <definedName name="FDC_64_74" hidden="1">"#"</definedName>
    <definedName name="FDC_64_75" hidden="1">"#"</definedName>
    <definedName name="FDC_64_76" hidden="1">"#"</definedName>
    <definedName name="FDC_64_77" hidden="1">"#"</definedName>
    <definedName name="FDC_64_78" hidden="1">"#"</definedName>
    <definedName name="FDC_64_79" hidden="1">"#"</definedName>
    <definedName name="FDC_64_8" hidden="1">"#"</definedName>
    <definedName name="FDC_64_80" hidden="1">"#"</definedName>
    <definedName name="FDC_64_81" hidden="1">"#"</definedName>
    <definedName name="FDC_64_82" hidden="1">"#"</definedName>
    <definedName name="FDC_64_83" hidden="1">"#"</definedName>
    <definedName name="FDC_64_84" hidden="1">"#"</definedName>
    <definedName name="FDC_64_85" hidden="1">"#"</definedName>
    <definedName name="FDC_64_86" hidden="1">"#"</definedName>
    <definedName name="FDC_64_87" hidden="1">"#"</definedName>
    <definedName name="FDC_64_88" hidden="1">"#"</definedName>
    <definedName name="FDC_64_89" hidden="1">"#"</definedName>
    <definedName name="FDC_64_9" hidden="1">"#"</definedName>
    <definedName name="FDC_64_90" hidden="1">"#"</definedName>
    <definedName name="FDC_64_91" hidden="1">"#"</definedName>
    <definedName name="FDC_64_92" hidden="1">"#"</definedName>
    <definedName name="FDC_64_93" hidden="1">"#"</definedName>
    <definedName name="FDC_64_94" hidden="1">"#"</definedName>
    <definedName name="FDC_64_95" hidden="1">"#"</definedName>
    <definedName name="FDC_64_96" hidden="1">"#"</definedName>
    <definedName name="FDC_64_97" hidden="1">"#"</definedName>
    <definedName name="FDC_64_98" hidden="1">"#"</definedName>
    <definedName name="FDC_64_99" hidden="1">"#"</definedName>
    <definedName name="FDC_65_0" hidden="1">"#"</definedName>
    <definedName name="FDC_65_1" hidden="1">"#"</definedName>
    <definedName name="FDC_65_10" hidden="1">"#"</definedName>
    <definedName name="FDC_65_11" hidden="1">"#"</definedName>
    <definedName name="FDC_65_12" hidden="1">"#"</definedName>
    <definedName name="FDC_65_13" hidden="1">"#"</definedName>
    <definedName name="FDC_65_14" hidden="1">"#"</definedName>
    <definedName name="FDC_65_2" hidden="1">"#"</definedName>
    <definedName name="FDC_65_3" hidden="1">"#"</definedName>
    <definedName name="FDC_65_4" hidden="1">"#"</definedName>
    <definedName name="FDC_65_5" hidden="1">"#"</definedName>
    <definedName name="FDC_65_6" hidden="1">"#"</definedName>
    <definedName name="FDC_65_7" hidden="1">"#"</definedName>
    <definedName name="FDC_65_8" hidden="1">"#"</definedName>
    <definedName name="FDC_65_9" hidden="1">"#"</definedName>
    <definedName name="FDC_66_0" hidden="1">"#"</definedName>
    <definedName name="FDC_66_1" hidden="1">"#"</definedName>
    <definedName name="FDC_66_10" hidden="1">"#"</definedName>
    <definedName name="FDC_66_11" hidden="1">"#"</definedName>
    <definedName name="FDC_66_12" hidden="1">"#"</definedName>
    <definedName name="FDC_66_13" hidden="1">"#"</definedName>
    <definedName name="FDC_66_14" hidden="1">"#"</definedName>
    <definedName name="FDC_66_2" hidden="1">"#"</definedName>
    <definedName name="FDC_66_3" hidden="1">"#"</definedName>
    <definedName name="FDC_66_4" hidden="1">"#"</definedName>
    <definedName name="FDC_66_5" hidden="1">"#"</definedName>
    <definedName name="FDC_66_6" hidden="1">"#"</definedName>
    <definedName name="FDC_66_7" hidden="1">"#"</definedName>
    <definedName name="FDC_66_8" hidden="1">"#"</definedName>
    <definedName name="FDC_66_9" hidden="1">"#"</definedName>
    <definedName name="FDC_67_0" hidden="1">"#"</definedName>
    <definedName name="FDC_67_1" hidden="1">"#"</definedName>
    <definedName name="FDC_67_10" hidden="1">"#"</definedName>
    <definedName name="FDC_67_11" hidden="1">"#"</definedName>
    <definedName name="FDC_67_12" hidden="1">"#"</definedName>
    <definedName name="FDC_67_13" hidden="1">"#"</definedName>
    <definedName name="FDC_67_14" hidden="1">"#"</definedName>
    <definedName name="FDC_67_2" hidden="1">"#"</definedName>
    <definedName name="FDC_67_3" hidden="1">"#"</definedName>
    <definedName name="FDC_67_4" hidden="1">"#"</definedName>
    <definedName name="FDC_67_5" hidden="1">"#"</definedName>
    <definedName name="FDC_67_6" hidden="1">"#"</definedName>
    <definedName name="FDC_67_7" hidden="1">"#"</definedName>
    <definedName name="FDC_67_8" hidden="1">"#"</definedName>
    <definedName name="FDC_67_9" hidden="1">"#"</definedName>
    <definedName name="FDC_68_0" hidden="1">"#"</definedName>
    <definedName name="FDC_68_1" hidden="1">"#"</definedName>
    <definedName name="FDC_68_10" hidden="1">"#"</definedName>
    <definedName name="FDC_68_11" hidden="1">"#"</definedName>
    <definedName name="FDC_68_12" hidden="1">"#"</definedName>
    <definedName name="FDC_68_13" hidden="1">"#"</definedName>
    <definedName name="FDC_68_14" hidden="1">"#"</definedName>
    <definedName name="FDC_68_2" hidden="1">"#"</definedName>
    <definedName name="FDC_68_3" hidden="1">"#"</definedName>
    <definedName name="FDC_68_4" hidden="1">"#"</definedName>
    <definedName name="FDC_68_5" hidden="1">"#"</definedName>
    <definedName name="FDC_68_6" hidden="1">"#"</definedName>
    <definedName name="FDC_68_7" hidden="1">"#"</definedName>
    <definedName name="FDC_68_8" hidden="1">"#"</definedName>
    <definedName name="FDC_68_9" hidden="1">"#"</definedName>
    <definedName name="FDC_69_0" hidden="1">"#"</definedName>
    <definedName name="FDC_69_1" hidden="1">"#"</definedName>
    <definedName name="FDC_69_10" hidden="1">"#"</definedName>
    <definedName name="FDC_69_11" hidden="1">"#"</definedName>
    <definedName name="FDC_69_12" hidden="1">"#"</definedName>
    <definedName name="FDC_69_13" hidden="1">"#"</definedName>
    <definedName name="FDC_69_14" hidden="1">"#"</definedName>
    <definedName name="FDC_69_2" hidden="1">"#"</definedName>
    <definedName name="FDC_69_3" hidden="1">"#"</definedName>
    <definedName name="FDC_69_4" hidden="1">"#"</definedName>
    <definedName name="FDC_69_5" hidden="1">"#"</definedName>
    <definedName name="FDC_69_6" hidden="1">"#"</definedName>
    <definedName name="FDC_69_7" hidden="1">"#"</definedName>
    <definedName name="FDC_69_8" hidden="1">"#"</definedName>
    <definedName name="FDC_69_9" hidden="1">"#"</definedName>
    <definedName name="FDC_7_0" hidden="1">"#"</definedName>
    <definedName name="FDC_7_1" hidden="1">"#"</definedName>
    <definedName name="FDC_7_2" hidden="1">"#"</definedName>
    <definedName name="FDC_7_3" hidden="1">"#"</definedName>
    <definedName name="FDC_70_0" hidden="1">"#"</definedName>
    <definedName name="FDC_70_1" hidden="1">"#"</definedName>
    <definedName name="FDC_70_10" hidden="1">"#"</definedName>
    <definedName name="FDC_70_11" hidden="1">"#"</definedName>
    <definedName name="FDC_70_12" hidden="1">"#"</definedName>
    <definedName name="FDC_70_13" hidden="1">"#"</definedName>
    <definedName name="FDC_70_14" hidden="1">"#"</definedName>
    <definedName name="FDC_70_2" hidden="1">"#"</definedName>
    <definedName name="FDC_70_3" hidden="1">"#"</definedName>
    <definedName name="FDC_70_4" hidden="1">"#"</definedName>
    <definedName name="FDC_70_5" hidden="1">"#"</definedName>
    <definedName name="FDC_70_6" hidden="1">"#"</definedName>
    <definedName name="FDC_70_7" hidden="1">"#"</definedName>
    <definedName name="FDC_70_8" hidden="1">"#"</definedName>
    <definedName name="FDC_70_9" hidden="1">"#"</definedName>
    <definedName name="FDC_71_0" hidden="1">"#"</definedName>
    <definedName name="FDC_71_1" hidden="1">"#"</definedName>
    <definedName name="FDC_71_10" hidden="1">"#"</definedName>
    <definedName name="FDC_71_11" hidden="1">"#"</definedName>
    <definedName name="FDC_71_12" hidden="1">"#"</definedName>
    <definedName name="FDC_71_13" hidden="1">"#"</definedName>
    <definedName name="FDC_71_14" hidden="1">"#"</definedName>
    <definedName name="FDC_71_2" hidden="1">"#"</definedName>
    <definedName name="FDC_71_3" hidden="1">"#"</definedName>
    <definedName name="FDC_71_4" hidden="1">"#"</definedName>
    <definedName name="FDC_71_5" hidden="1">"#"</definedName>
    <definedName name="FDC_71_6" hidden="1">"#"</definedName>
    <definedName name="FDC_71_7" hidden="1">"#"</definedName>
    <definedName name="FDC_71_8" hidden="1">"#"</definedName>
    <definedName name="FDC_71_9" hidden="1">"#"</definedName>
    <definedName name="FDC_72_0" hidden="1">"#"</definedName>
    <definedName name="FDC_72_1" hidden="1">"#"</definedName>
    <definedName name="FDC_72_10" hidden="1">"#"</definedName>
    <definedName name="FDC_72_11" hidden="1">"#"</definedName>
    <definedName name="FDC_72_12" hidden="1">"#"</definedName>
    <definedName name="FDC_72_13" hidden="1">"#"</definedName>
    <definedName name="FDC_72_14" hidden="1">"#"</definedName>
    <definedName name="FDC_72_2" hidden="1">"#"</definedName>
    <definedName name="FDC_72_3" hidden="1">"#"</definedName>
    <definedName name="FDC_72_4" hidden="1">"#"</definedName>
    <definedName name="FDC_72_5" hidden="1">"#"</definedName>
    <definedName name="FDC_72_6" hidden="1">"#"</definedName>
    <definedName name="FDC_72_7" hidden="1">"#"</definedName>
    <definedName name="FDC_72_8" hidden="1">"#"</definedName>
    <definedName name="FDC_72_9" hidden="1">"#"</definedName>
    <definedName name="FDC_73_0" hidden="1">"#"</definedName>
    <definedName name="FDC_73_1" hidden="1">"#"</definedName>
    <definedName name="FDC_73_10" hidden="1">"#"</definedName>
    <definedName name="FDC_73_11" hidden="1">"#"</definedName>
    <definedName name="FDC_73_12" hidden="1">"#"</definedName>
    <definedName name="FDC_73_13" hidden="1">"#"</definedName>
    <definedName name="FDC_73_14" hidden="1">"#"</definedName>
    <definedName name="FDC_73_2" hidden="1">"#"</definedName>
    <definedName name="FDC_73_3" hidden="1">"#"</definedName>
    <definedName name="FDC_73_4" hidden="1">"#"</definedName>
    <definedName name="FDC_73_5" hidden="1">"#"</definedName>
    <definedName name="FDC_73_6" hidden="1">"#"</definedName>
    <definedName name="FDC_73_7" hidden="1">"#"</definedName>
    <definedName name="FDC_73_8" hidden="1">"#"</definedName>
    <definedName name="FDC_73_9" hidden="1">"#"</definedName>
    <definedName name="FDC_74_0" hidden="1">"#"</definedName>
    <definedName name="FDC_74_1" hidden="1">"#"</definedName>
    <definedName name="FDC_74_10" hidden="1">"#"</definedName>
    <definedName name="FDC_74_11" hidden="1">"#"</definedName>
    <definedName name="FDC_74_12" hidden="1">"#"</definedName>
    <definedName name="FDC_74_13" hidden="1">"#"</definedName>
    <definedName name="FDC_74_14" hidden="1">"#"</definedName>
    <definedName name="FDC_74_2" hidden="1">"#"</definedName>
    <definedName name="FDC_74_3" hidden="1">"#"</definedName>
    <definedName name="FDC_74_4" hidden="1">"#"</definedName>
    <definedName name="FDC_74_5" hidden="1">"#"</definedName>
    <definedName name="FDC_74_6" hidden="1">"#"</definedName>
    <definedName name="FDC_74_7" hidden="1">"#"</definedName>
    <definedName name="FDC_74_8" hidden="1">"#"</definedName>
    <definedName name="FDC_74_9" hidden="1">"#"</definedName>
    <definedName name="FDC_75_0" hidden="1">"#"</definedName>
    <definedName name="FDC_75_1" hidden="1">"#"</definedName>
    <definedName name="FDC_75_10" hidden="1">"#"</definedName>
    <definedName name="FDC_75_11" hidden="1">"#"</definedName>
    <definedName name="FDC_75_12" hidden="1">"#"</definedName>
    <definedName name="FDC_75_13" hidden="1">"#"</definedName>
    <definedName name="FDC_75_14" hidden="1">"#"</definedName>
    <definedName name="FDC_75_2" hidden="1">"#"</definedName>
    <definedName name="FDC_75_3" hidden="1">"#"</definedName>
    <definedName name="FDC_75_4" hidden="1">"#"</definedName>
    <definedName name="FDC_75_5" hidden="1">"#"</definedName>
    <definedName name="FDC_75_6" hidden="1">"#"</definedName>
    <definedName name="FDC_75_7" hidden="1">"#"</definedName>
    <definedName name="FDC_75_8" hidden="1">"#"</definedName>
    <definedName name="FDC_75_9" hidden="1">"#"</definedName>
    <definedName name="FDC_76_0" hidden="1">"#"</definedName>
    <definedName name="FDC_76_1" hidden="1">"#"</definedName>
    <definedName name="FDC_76_10" hidden="1">"#"</definedName>
    <definedName name="FDC_76_11" hidden="1">"#"</definedName>
    <definedName name="FDC_76_12" hidden="1">"#"</definedName>
    <definedName name="FDC_76_13" hidden="1">"#"</definedName>
    <definedName name="FDC_76_14" hidden="1">"#"</definedName>
    <definedName name="FDC_76_2" hidden="1">"#"</definedName>
    <definedName name="FDC_76_3" hidden="1">"#"</definedName>
    <definedName name="FDC_76_4" hidden="1">"#"</definedName>
    <definedName name="FDC_76_5" hidden="1">"#"</definedName>
    <definedName name="FDC_76_6" hidden="1">"#"</definedName>
    <definedName name="FDC_76_7" hidden="1">"#"</definedName>
    <definedName name="FDC_76_8" hidden="1">"#"</definedName>
    <definedName name="FDC_76_9" hidden="1">"#"</definedName>
    <definedName name="FDC_77_0" hidden="1">"#"</definedName>
    <definedName name="FDC_77_1" hidden="1">"#"</definedName>
    <definedName name="FDC_77_10" hidden="1">"#"</definedName>
    <definedName name="FDC_77_11" hidden="1">"#"</definedName>
    <definedName name="FDC_77_12" hidden="1">"#"</definedName>
    <definedName name="FDC_77_13" hidden="1">"#"</definedName>
    <definedName name="FDC_77_14" hidden="1">"#"</definedName>
    <definedName name="FDC_77_2" hidden="1">"#"</definedName>
    <definedName name="FDC_77_3" hidden="1">"#"</definedName>
    <definedName name="FDC_77_4" hidden="1">"#"</definedName>
    <definedName name="FDC_77_5" hidden="1">"#"</definedName>
    <definedName name="FDC_77_6" hidden="1">"#"</definedName>
    <definedName name="FDC_77_7" hidden="1">"#"</definedName>
    <definedName name="FDC_77_8" hidden="1">"#"</definedName>
    <definedName name="FDC_77_9" hidden="1">"#"</definedName>
    <definedName name="FDC_78_0" hidden="1">"#"</definedName>
    <definedName name="FDC_78_1" hidden="1">"#"</definedName>
    <definedName name="FDC_78_10" hidden="1">"#"</definedName>
    <definedName name="FDC_78_11" hidden="1">"#"</definedName>
    <definedName name="FDC_78_12" hidden="1">"#"</definedName>
    <definedName name="FDC_78_13" hidden="1">"#"</definedName>
    <definedName name="FDC_78_14" hidden="1">"#"</definedName>
    <definedName name="FDC_78_2" hidden="1">"#"</definedName>
    <definedName name="FDC_78_3" hidden="1">"#"</definedName>
    <definedName name="FDC_78_4" hidden="1">"#"</definedName>
    <definedName name="FDC_78_5" hidden="1">"#"</definedName>
    <definedName name="FDC_78_6" hidden="1">"#"</definedName>
    <definedName name="FDC_78_7" hidden="1">"#"</definedName>
    <definedName name="FDC_78_8" hidden="1">"#"</definedName>
    <definedName name="FDC_78_9" hidden="1">"#"</definedName>
    <definedName name="FDC_79_0" hidden="1">"#"</definedName>
    <definedName name="FDC_79_1" hidden="1">"#"</definedName>
    <definedName name="FDC_79_10" hidden="1">"#"</definedName>
    <definedName name="FDC_79_11" hidden="1">"#"</definedName>
    <definedName name="FDC_79_12" hidden="1">"#"</definedName>
    <definedName name="FDC_79_13" hidden="1">"#"</definedName>
    <definedName name="FDC_79_14" hidden="1">"#"</definedName>
    <definedName name="FDC_79_2" hidden="1">"#"</definedName>
    <definedName name="FDC_79_3" hidden="1">"#"</definedName>
    <definedName name="FDC_79_4" hidden="1">"#"</definedName>
    <definedName name="FDC_79_5" hidden="1">"#"</definedName>
    <definedName name="FDC_79_6" hidden="1">"#"</definedName>
    <definedName name="FDC_79_7" hidden="1">"#"</definedName>
    <definedName name="FDC_79_8" hidden="1">"#"</definedName>
    <definedName name="FDC_79_9" hidden="1">"#"</definedName>
    <definedName name="FDC_8_0" hidden="1">"#"</definedName>
    <definedName name="FDC_8_1" hidden="1">"#"</definedName>
    <definedName name="FDC_8_2" hidden="1">"#"</definedName>
    <definedName name="FDC_8_3" hidden="1">"#"</definedName>
    <definedName name="FDC_80_0" hidden="1">"#"</definedName>
    <definedName name="FDC_80_1" hidden="1">"#"</definedName>
    <definedName name="FDC_80_10" hidden="1">"#"</definedName>
    <definedName name="FDC_80_11" hidden="1">"#"</definedName>
    <definedName name="FDC_80_12" hidden="1">"#"</definedName>
    <definedName name="FDC_80_13" hidden="1">"#"</definedName>
    <definedName name="FDC_80_14" hidden="1">"#"</definedName>
    <definedName name="FDC_80_2" hidden="1">"#"</definedName>
    <definedName name="FDC_80_3" hidden="1">"#"</definedName>
    <definedName name="FDC_80_4" hidden="1">"#"</definedName>
    <definedName name="FDC_80_5" hidden="1">"#"</definedName>
    <definedName name="FDC_80_6" hidden="1">"#"</definedName>
    <definedName name="FDC_80_7" hidden="1">"#"</definedName>
    <definedName name="FDC_80_8" hidden="1">"#"</definedName>
    <definedName name="FDC_80_9" hidden="1">"#"</definedName>
    <definedName name="FDC_81_0" hidden="1">"#"</definedName>
    <definedName name="FDC_81_1" hidden="1">"#"</definedName>
    <definedName name="FDC_81_10" hidden="1">"#"</definedName>
    <definedName name="FDC_81_11" hidden="1">"#"</definedName>
    <definedName name="FDC_81_12" hidden="1">"#"</definedName>
    <definedName name="FDC_81_13" hidden="1">"#"</definedName>
    <definedName name="FDC_81_14" hidden="1">"#"</definedName>
    <definedName name="FDC_81_2" hidden="1">"#"</definedName>
    <definedName name="FDC_81_3" hidden="1">"#"</definedName>
    <definedName name="FDC_81_4" hidden="1">"#"</definedName>
    <definedName name="FDC_81_5" hidden="1">"#"</definedName>
    <definedName name="FDC_81_6" hidden="1">"#"</definedName>
    <definedName name="FDC_81_7" hidden="1">"#"</definedName>
    <definedName name="FDC_81_8" hidden="1">"#"</definedName>
    <definedName name="FDC_81_9" hidden="1">"#"</definedName>
    <definedName name="FDC_82_0" hidden="1">"#"</definedName>
    <definedName name="FDC_82_1" hidden="1">"#"</definedName>
    <definedName name="FDC_82_10" hidden="1">"#"</definedName>
    <definedName name="FDC_82_11" hidden="1">"#"</definedName>
    <definedName name="FDC_82_12" hidden="1">"#"</definedName>
    <definedName name="FDC_82_13" hidden="1">"#"</definedName>
    <definedName name="FDC_82_14" hidden="1">"#"</definedName>
    <definedName name="FDC_82_2" hidden="1">"#"</definedName>
    <definedName name="FDC_82_3" hidden="1">"#"</definedName>
    <definedName name="FDC_82_4" hidden="1">"#"</definedName>
    <definedName name="FDC_82_5" hidden="1">"#"</definedName>
    <definedName name="FDC_82_6" hidden="1">"#"</definedName>
    <definedName name="FDC_82_7" hidden="1">"#"</definedName>
    <definedName name="FDC_82_8" hidden="1">"#"</definedName>
    <definedName name="FDC_82_9" hidden="1">"#"</definedName>
    <definedName name="FDC_83_0" hidden="1">"#"</definedName>
    <definedName name="FDC_83_1" hidden="1">"#"</definedName>
    <definedName name="FDC_83_10" hidden="1">"#"</definedName>
    <definedName name="FDC_83_11" hidden="1">"#"</definedName>
    <definedName name="FDC_83_12" hidden="1">"#"</definedName>
    <definedName name="FDC_83_13" hidden="1">"#"</definedName>
    <definedName name="FDC_83_14" hidden="1">"#"</definedName>
    <definedName name="FDC_83_2" hidden="1">"#"</definedName>
    <definedName name="FDC_83_3" hidden="1">"#"</definedName>
    <definedName name="FDC_83_4" hidden="1">"#"</definedName>
    <definedName name="FDC_83_5" hidden="1">"#"</definedName>
    <definedName name="FDC_83_6" hidden="1">"#"</definedName>
    <definedName name="FDC_83_7" hidden="1">"#"</definedName>
    <definedName name="FDC_83_8" hidden="1">"#"</definedName>
    <definedName name="FDC_83_9" hidden="1">"#"</definedName>
    <definedName name="FDC_84_0" hidden="1">"#"</definedName>
    <definedName name="FDC_84_1" hidden="1">"#"</definedName>
    <definedName name="FDC_84_10" hidden="1">"#"</definedName>
    <definedName name="FDC_84_11" hidden="1">"#"</definedName>
    <definedName name="FDC_84_12" hidden="1">"#"</definedName>
    <definedName name="FDC_84_13" hidden="1">"#"</definedName>
    <definedName name="FDC_84_14" hidden="1">"#"</definedName>
    <definedName name="FDC_84_2" hidden="1">"#"</definedName>
    <definedName name="FDC_84_3" hidden="1">"#"</definedName>
    <definedName name="FDC_84_4" hidden="1">"#"</definedName>
    <definedName name="FDC_84_5" hidden="1">"#"</definedName>
    <definedName name="FDC_84_6" hidden="1">"#"</definedName>
    <definedName name="FDC_84_7" hidden="1">"#"</definedName>
    <definedName name="FDC_84_8" hidden="1">"#"</definedName>
    <definedName name="FDC_84_9" hidden="1">"#"</definedName>
    <definedName name="FDC_85_0" hidden="1">"#"</definedName>
    <definedName name="FDC_85_1" hidden="1">"#"</definedName>
    <definedName name="FDC_85_10" hidden="1">"#"</definedName>
    <definedName name="FDC_85_11" hidden="1">"#"</definedName>
    <definedName name="FDC_85_12" hidden="1">"#"</definedName>
    <definedName name="FDC_85_13" hidden="1">"#"</definedName>
    <definedName name="FDC_85_14" hidden="1">"#"</definedName>
    <definedName name="FDC_85_2" hidden="1">"#"</definedName>
    <definedName name="FDC_85_3" hidden="1">"#"</definedName>
    <definedName name="FDC_85_4" hidden="1">"#"</definedName>
    <definedName name="FDC_85_5" hidden="1">"#"</definedName>
    <definedName name="FDC_85_6" hidden="1">"#"</definedName>
    <definedName name="FDC_85_7" hidden="1">"#"</definedName>
    <definedName name="FDC_85_8" hidden="1">"#"</definedName>
    <definedName name="FDC_85_9" hidden="1">"#"</definedName>
    <definedName name="FDC_86_0" hidden="1">"#"</definedName>
    <definedName name="FDC_86_1" hidden="1">"#"</definedName>
    <definedName name="FDC_86_10" hidden="1">"#"</definedName>
    <definedName name="FDC_86_11" hidden="1">"#"</definedName>
    <definedName name="FDC_86_12" hidden="1">"#"</definedName>
    <definedName name="FDC_86_13" hidden="1">"#"</definedName>
    <definedName name="FDC_86_14" hidden="1">"#"</definedName>
    <definedName name="FDC_86_2" hidden="1">"#"</definedName>
    <definedName name="FDC_86_3" hidden="1">"#"</definedName>
    <definedName name="FDC_86_4" hidden="1">"#"</definedName>
    <definedName name="FDC_86_5" hidden="1">"#"</definedName>
    <definedName name="FDC_86_6" hidden="1">"#"</definedName>
    <definedName name="FDC_86_7" hidden="1">"#"</definedName>
    <definedName name="FDC_86_8" hidden="1">"#"</definedName>
    <definedName name="FDC_86_9" hidden="1">"#"</definedName>
    <definedName name="FDC_87_0" hidden="1">"#"</definedName>
    <definedName name="FDC_87_1" hidden="1">"#"</definedName>
    <definedName name="FDC_87_10" hidden="1">"#"</definedName>
    <definedName name="FDC_87_11" hidden="1">"#"</definedName>
    <definedName name="FDC_87_12" hidden="1">"#"</definedName>
    <definedName name="FDC_87_13" hidden="1">"#"</definedName>
    <definedName name="FDC_87_14" hidden="1">"#"</definedName>
    <definedName name="FDC_87_2" hidden="1">"#"</definedName>
    <definedName name="FDC_87_3" hidden="1">"#"</definedName>
    <definedName name="FDC_87_4" hidden="1">"#"</definedName>
    <definedName name="FDC_87_5" hidden="1">"#"</definedName>
    <definedName name="FDC_87_6" hidden="1">"#"</definedName>
    <definedName name="FDC_87_7" hidden="1">"#"</definedName>
    <definedName name="FDC_87_8" hidden="1">"#"</definedName>
    <definedName name="FDC_87_9" hidden="1">"#"</definedName>
    <definedName name="FDC_88_0" hidden="1">"#"</definedName>
    <definedName name="FDC_88_1" hidden="1">"#"</definedName>
    <definedName name="FDC_88_10" hidden="1">"#"</definedName>
    <definedName name="FDC_88_11" hidden="1">"#"</definedName>
    <definedName name="FDC_88_12" hidden="1">"#"</definedName>
    <definedName name="FDC_88_13" hidden="1">"#"</definedName>
    <definedName name="FDC_88_14" hidden="1">"#"</definedName>
    <definedName name="FDC_88_2" hidden="1">"#"</definedName>
    <definedName name="FDC_88_3" hidden="1">"#"</definedName>
    <definedName name="FDC_88_4" hidden="1">"#"</definedName>
    <definedName name="FDC_88_5" hidden="1">"#"</definedName>
    <definedName name="FDC_88_6" hidden="1">"#"</definedName>
    <definedName name="FDC_88_7" hidden="1">"#"</definedName>
    <definedName name="FDC_88_8" hidden="1">"#"</definedName>
    <definedName name="FDC_88_9" hidden="1">"#"</definedName>
    <definedName name="FDC_89_0" hidden="1">"#"</definedName>
    <definedName name="FDC_89_1" hidden="1">"#"</definedName>
    <definedName name="FDC_89_10" hidden="1">"#"</definedName>
    <definedName name="FDC_89_11" hidden="1">"#"</definedName>
    <definedName name="FDC_89_12" hidden="1">"#"</definedName>
    <definedName name="FDC_89_13" hidden="1">"#"</definedName>
    <definedName name="FDC_89_14" hidden="1">"#"</definedName>
    <definedName name="FDC_89_2" hidden="1">"#"</definedName>
    <definedName name="FDC_89_3" hidden="1">"#"</definedName>
    <definedName name="FDC_89_4" hidden="1">"#"</definedName>
    <definedName name="FDC_89_5" hidden="1">"#"</definedName>
    <definedName name="FDC_89_6" hidden="1">"#"</definedName>
    <definedName name="FDC_89_7" hidden="1">"#"</definedName>
    <definedName name="FDC_89_8" hidden="1">"#"</definedName>
    <definedName name="FDC_89_9" hidden="1">"#"</definedName>
    <definedName name="FDC_9_0" hidden="1">"#"</definedName>
    <definedName name="FDC_9_1" hidden="1">"#"</definedName>
    <definedName name="FDC_9_2" hidden="1">"#"</definedName>
    <definedName name="FDC_9_3" hidden="1">"#"</definedName>
    <definedName name="FDC_90_0" hidden="1">"#"</definedName>
    <definedName name="FDC_90_1" hidden="1">"#"</definedName>
    <definedName name="FDC_90_10" hidden="1">"#"</definedName>
    <definedName name="FDC_90_11" hidden="1">"#"</definedName>
    <definedName name="FDC_90_12" hidden="1">"#"</definedName>
    <definedName name="FDC_90_13" hidden="1">"#"</definedName>
    <definedName name="FDC_90_14" hidden="1">"#"</definedName>
    <definedName name="FDC_90_2" hidden="1">"#"</definedName>
    <definedName name="FDC_90_3" hidden="1">"#"</definedName>
    <definedName name="FDC_90_4" hidden="1">"#"</definedName>
    <definedName name="FDC_90_5" hidden="1">"#"</definedName>
    <definedName name="FDC_90_6" hidden="1">"#"</definedName>
    <definedName name="FDC_90_7" hidden="1">"#"</definedName>
    <definedName name="FDC_90_8" hidden="1">"#"</definedName>
    <definedName name="FDC_90_9" hidden="1">"#"</definedName>
    <definedName name="FDC_91_0" hidden="1">"#"</definedName>
    <definedName name="FDC_91_1" hidden="1">"#"</definedName>
    <definedName name="FDC_91_10" hidden="1">"#"</definedName>
    <definedName name="FDC_91_11" hidden="1">"#"</definedName>
    <definedName name="FDC_91_12" hidden="1">"#"</definedName>
    <definedName name="FDC_91_13" hidden="1">"#"</definedName>
    <definedName name="FDC_91_14" hidden="1">"#"</definedName>
    <definedName name="FDC_91_2" hidden="1">"#"</definedName>
    <definedName name="FDC_91_3" hidden="1">"#"</definedName>
    <definedName name="FDC_91_4" hidden="1">"#"</definedName>
    <definedName name="FDC_91_5" hidden="1">"#"</definedName>
    <definedName name="FDC_91_6" hidden="1">"#"</definedName>
    <definedName name="FDC_91_7" hidden="1">"#"</definedName>
    <definedName name="FDC_91_8" hidden="1">"#"</definedName>
    <definedName name="FDC_91_9" hidden="1">"#"</definedName>
    <definedName name="FDC_92_0" hidden="1">"#"</definedName>
    <definedName name="FDC_92_1" hidden="1">"#"</definedName>
    <definedName name="FDC_92_10" hidden="1">"#"</definedName>
    <definedName name="FDC_92_11" hidden="1">"#"</definedName>
    <definedName name="FDC_92_12" hidden="1">"#"</definedName>
    <definedName name="FDC_92_13" hidden="1">"#"</definedName>
    <definedName name="FDC_92_14" hidden="1">"#"</definedName>
    <definedName name="FDC_92_2" hidden="1">"#"</definedName>
    <definedName name="FDC_92_3" hidden="1">"#"</definedName>
    <definedName name="FDC_92_4" hidden="1">"#"</definedName>
    <definedName name="FDC_92_5" hidden="1">"#"</definedName>
    <definedName name="FDC_92_6" hidden="1">"#"</definedName>
    <definedName name="FDC_92_7" hidden="1">"#"</definedName>
    <definedName name="FDC_92_8" hidden="1">"#"</definedName>
    <definedName name="FDC_92_9" hidden="1">"#"</definedName>
    <definedName name="FDC_93_0" hidden="1">"#"</definedName>
    <definedName name="FDC_93_1" hidden="1">"#"</definedName>
    <definedName name="FDC_93_10" hidden="1">"#"</definedName>
    <definedName name="FDC_93_11" hidden="1">"#"</definedName>
    <definedName name="FDC_93_12" hidden="1">"#"</definedName>
    <definedName name="FDC_93_13" hidden="1">"#"</definedName>
    <definedName name="FDC_93_14" hidden="1">"#"</definedName>
    <definedName name="FDC_93_2" hidden="1">"#"</definedName>
    <definedName name="FDC_93_3" hidden="1">"#"</definedName>
    <definedName name="FDC_93_4" hidden="1">"#"</definedName>
    <definedName name="FDC_93_5" hidden="1">"#"</definedName>
    <definedName name="FDC_93_6" hidden="1">"#"</definedName>
    <definedName name="FDC_93_7" hidden="1">"#"</definedName>
    <definedName name="FDC_93_8" hidden="1">"#"</definedName>
    <definedName name="FDC_93_9" hidden="1">"#"</definedName>
    <definedName name="FDC_94_0" hidden="1">"#"</definedName>
    <definedName name="FDC_94_1" hidden="1">"#"</definedName>
    <definedName name="FDC_94_10" hidden="1">"#"</definedName>
    <definedName name="FDC_94_11" hidden="1">"#"</definedName>
    <definedName name="FDC_94_12" hidden="1">"#"</definedName>
    <definedName name="FDC_94_13" hidden="1">"#"</definedName>
    <definedName name="FDC_94_14" hidden="1">"#"</definedName>
    <definedName name="FDC_94_2" hidden="1">"#"</definedName>
    <definedName name="FDC_94_3" hidden="1">"#"</definedName>
    <definedName name="FDC_94_4" hidden="1">"#"</definedName>
    <definedName name="FDC_94_5" hidden="1">"#"</definedName>
    <definedName name="FDC_94_6" hidden="1">"#"</definedName>
    <definedName name="FDC_94_7" hidden="1">"#"</definedName>
    <definedName name="FDC_94_8" hidden="1">"#"</definedName>
    <definedName name="FDC_94_9" hidden="1">"#"</definedName>
    <definedName name="FDC_95_0" hidden="1">"#"</definedName>
    <definedName name="FDC_95_1" hidden="1">"#"</definedName>
    <definedName name="FDC_95_10" hidden="1">"#"</definedName>
    <definedName name="FDC_95_11" hidden="1">"#"</definedName>
    <definedName name="FDC_95_12" hidden="1">"#"</definedName>
    <definedName name="FDC_95_13" hidden="1">"#"</definedName>
    <definedName name="FDC_95_14" hidden="1">"#"</definedName>
    <definedName name="FDC_95_2" hidden="1">"#"</definedName>
    <definedName name="FDC_95_3" hidden="1">"#"</definedName>
    <definedName name="FDC_95_4" hidden="1">"#"</definedName>
    <definedName name="FDC_95_5" hidden="1">"#"</definedName>
    <definedName name="FDC_95_6" hidden="1">"#"</definedName>
    <definedName name="FDC_95_7" hidden="1">"#"</definedName>
    <definedName name="FDC_95_8" hidden="1">"#"</definedName>
    <definedName name="FDC_95_9" hidden="1">"#"</definedName>
    <definedName name="FDC_96_0" hidden="1">"#"</definedName>
    <definedName name="FDC_96_1" hidden="1">"#"</definedName>
    <definedName name="FDC_96_10" hidden="1">"#"</definedName>
    <definedName name="FDC_96_11" hidden="1">"#"</definedName>
    <definedName name="FDC_96_12" hidden="1">"#"</definedName>
    <definedName name="FDC_96_13" hidden="1">"#"</definedName>
    <definedName name="FDC_96_14" hidden="1">"#"</definedName>
    <definedName name="FDC_96_2" hidden="1">"#"</definedName>
    <definedName name="FDC_96_3" hidden="1">"#"</definedName>
    <definedName name="FDC_96_4" hidden="1">"#"</definedName>
    <definedName name="FDC_96_5" hidden="1">"#"</definedName>
    <definedName name="FDC_96_6" hidden="1">"#"</definedName>
    <definedName name="FDC_96_7" hidden="1">"#"</definedName>
    <definedName name="FDC_96_8" hidden="1">"#"</definedName>
    <definedName name="FDC_96_9" hidden="1">"#"</definedName>
    <definedName name="FDC_97_0" hidden="1">"#"</definedName>
    <definedName name="FDC_97_1" hidden="1">"#"</definedName>
    <definedName name="FDC_97_10" hidden="1">"#"</definedName>
    <definedName name="FDC_97_11" hidden="1">"#"</definedName>
    <definedName name="FDC_97_12" hidden="1">"#"</definedName>
    <definedName name="FDC_97_13" hidden="1">"#"</definedName>
    <definedName name="FDC_97_14" hidden="1">"#"</definedName>
    <definedName name="FDC_97_2" hidden="1">"#"</definedName>
    <definedName name="FDC_97_3" hidden="1">"#"</definedName>
    <definedName name="FDC_97_4" hidden="1">"#"</definedName>
    <definedName name="FDC_97_5" hidden="1">"#"</definedName>
    <definedName name="FDC_97_6" hidden="1">"#"</definedName>
    <definedName name="FDC_97_7" hidden="1">"#"</definedName>
    <definedName name="FDC_97_8" hidden="1">"#"</definedName>
    <definedName name="FDC_97_9" hidden="1">"#"</definedName>
    <definedName name="FDC_98_0" hidden="1">"#"</definedName>
    <definedName name="FDC_98_1" hidden="1">"#"</definedName>
    <definedName name="FDC_98_10" hidden="1">"#"</definedName>
    <definedName name="FDC_98_11" hidden="1">"#"</definedName>
    <definedName name="FDC_98_12" hidden="1">"#"</definedName>
    <definedName name="FDC_98_13" hidden="1">"#"</definedName>
    <definedName name="FDC_98_14" hidden="1">"#"</definedName>
    <definedName name="FDC_98_2" hidden="1">"#"</definedName>
    <definedName name="FDC_98_3" hidden="1">"#"</definedName>
    <definedName name="FDC_98_4" hidden="1">"#"</definedName>
    <definedName name="FDC_98_5" hidden="1">"#"</definedName>
    <definedName name="FDC_98_6" hidden="1">"#"</definedName>
    <definedName name="FDC_98_7" hidden="1">"#"</definedName>
    <definedName name="FDC_98_8" hidden="1">"#"</definedName>
    <definedName name="FDC_98_9" hidden="1">"#"</definedName>
    <definedName name="FDC_99_0" hidden="1">"#"</definedName>
    <definedName name="FDC_99_1" hidden="1">"#"</definedName>
    <definedName name="FDC_99_10" hidden="1">"#"</definedName>
    <definedName name="FDC_99_11" hidden="1">"#"</definedName>
    <definedName name="FDC_99_12" hidden="1">"#"</definedName>
    <definedName name="FDC_99_13" hidden="1">"#"</definedName>
    <definedName name="FDC_99_14" hidden="1">"#"</definedName>
    <definedName name="FDC_99_2" hidden="1">"#"</definedName>
    <definedName name="FDC_99_3" hidden="1">"#"</definedName>
    <definedName name="FDC_99_4" hidden="1">"#"</definedName>
    <definedName name="FDC_99_5" hidden="1">"#"</definedName>
    <definedName name="FDC_99_6" hidden="1">"#"</definedName>
    <definedName name="FDC_99_7" hidden="1">"#"</definedName>
    <definedName name="FDC_99_8" hidden="1">"#"</definedName>
    <definedName name="FDC_99_9" hidden="1">"#"</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_1" hidden="1">"A35795"</definedName>
    <definedName name="FDD_10_2" hidden="1">"A36160"</definedName>
    <definedName name="FDD_10_3" hidden="1">"E36525"</definedName>
    <definedName name="FDD_100_0" hidden="1">"A25569"</definedName>
    <definedName name="FDD_100_1" hidden="1">"A31412"</definedName>
    <definedName name="FDD_100_10" hidden="1">"A34699"</definedName>
    <definedName name="FDD_100_11" hidden="1">"A35064"</definedName>
    <definedName name="FDD_100_12" hidden="1">"A35430"</definedName>
    <definedName name="FDD_100_13" hidden="1">"A35795"</definedName>
    <definedName name="FDD_100_2" hidden="1">"A31777"</definedName>
    <definedName name="FDD_100_3" hidden="1">"A32142"</definedName>
    <definedName name="FDD_100_4" hidden="1">"A32508"</definedName>
    <definedName name="FDD_100_5" hidden="1">"A32873"</definedName>
    <definedName name="FDD_100_6" hidden="1">"A33238"</definedName>
    <definedName name="FDD_100_7" hidden="1">"A33603"</definedName>
    <definedName name="FDD_100_8" hidden="1">"A33969"</definedName>
    <definedName name="FDD_100_9" hidden="1">"A34334"</definedName>
    <definedName name="FDD_101_0" hidden="1">"A25569"</definedName>
    <definedName name="FDD_101_1" hidden="1">"A31412"</definedName>
    <definedName name="FDD_101_10" hidden="1">"A34699"</definedName>
    <definedName name="FDD_101_11" hidden="1">"A35064"</definedName>
    <definedName name="FDD_101_12" hidden="1">"A35430"</definedName>
    <definedName name="FDD_101_13" hidden="1">"A35795"</definedName>
    <definedName name="FDD_101_2" hidden="1">"A31777"</definedName>
    <definedName name="FDD_101_3" hidden="1">"A32142"</definedName>
    <definedName name="FDD_101_4" hidden="1">"A32508"</definedName>
    <definedName name="FDD_101_5" hidden="1">"A32873"</definedName>
    <definedName name="FDD_101_6" hidden="1">"A33238"</definedName>
    <definedName name="FDD_101_7" hidden="1">"A33603"</definedName>
    <definedName name="FDD_101_8" hidden="1">"A33969"</definedName>
    <definedName name="FDD_101_9" hidden="1">"A34334"</definedName>
    <definedName name="FDD_102_0" hidden="1">"A25569"</definedName>
    <definedName name="FDD_102_1" hidden="1">"A31412"</definedName>
    <definedName name="FDD_102_10" hidden="1">"A34699"</definedName>
    <definedName name="FDD_102_11" hidden="1">"A35064"</definedName>
    <definedName name="FDD_102_12" hidden="1">"A35430"</definedName>
    <definedName name="FDD_102_13" hidden="1">"A35795"</definedName>
    <definedName name="FDD_102_2" hidden="1">"A31777"</definedName>
    <definedName name="FDD_102_3" hidden="1">"A32142"</definedName>
    <definedName name="FDD_102_4" hidden="1">"A32508"</definedName>
    <definedName name="FDD_102_5" hidden="1">"A32873"</definedName>
    <definedName name="FDD_102_6" hidden="1">"A33238"</definedName>
    <definedName name="FDD_102_7" hidden="1">"A33603"</definedName>
    <definedName name="FDD_102_8" hidden="1">"A33969"</definedName>
    <definedName name="FDD_102_9" hidden="1">"A34334"</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_1" hidden="1">"E35795"</definedName>
    <definedName name="FDD_11_2" hidden="1">"E36160"</definedName>
    <definedName name="FDD_11_3" hidden="1">"E36525"</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_1" hidden="1">"E35795"</definedName>
    <definedName name="FDD_12_2" hidden="1">"E36160"</definedName>
    <definedName name="FDD_12_3" hidden="1">"E36525"</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0_1" hidden="1">"R31047"</definedName>
    <definedName name="FDD_140_10" hidden="1">"R34334"</definedName>
    <definedName name="FDD_140_11" hidden="1">"R34699"</definedName>
    <definedName name="FDD_140_12" hidden="1">"R35064"</definedName>
    <definedName name="FDD_140_13" hidden="1">"R35430"</definedName>
    <definedName name="FDD_140_14" hidden="1">"R35795"</definedName>
    <definedName name="FDD_140_2" hidden="1">"R31412"</definedName>
    <definedName name="FDD_140_3" hidden="1">"R31777"</definedName>
    <definedName name="FDD_140_4" hidden="1">"R32142"</definedName>
    <definedName name="FDD_140_5" hidden="1">"R32508"</definedName>
    <definedName name="FDD_140_6" hidden="1">"R32873"</definedName>
    <definedName name="FDD_140_7" hidden="1">"R33238"</definedName>
    <definedName name="FDD_140_8" hidden="1">"R33603"</definedName>
    <definedName name="FDD_140_9" hidden="1">"R33969"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0_0" hidden="1">"A30681"</definedName>
    <definedName name="FDD_150_1" hidden="1">"A31047"</definedName>
    <definedName name="FDD_150_10" hidden="1">"A34334"</definedName>
    <definedName name="FDD_150_11" hidden="1">"A34699"</definedName>
    <definedName name="FDD_150_12" hidden="1">"A35064"</definedName>
    <definedName name="FDD_150_13" hidden="1">"A35430"</definedName>
    <definedName name="FDD_150_14" hidden="1">"A35795"</definedName>
    <definedName name="FDD_150_2" hidden="1">"A31412"</definedName>
    <definedName name="FDD_150_3" hidden="1">"A31777"</definedName>
    <definedName name="FDD_150_4" hidden="1">"A32142"</definedName>
    <definedName name="FDD_150_5" hidden="1">"A32508"</definedName>
    <definedName name="FDD_150_6" hidden="1">"A32873"</definedName>
    <definedName name="FDD_150_7" hidden="1">"A33238"</definedName>
    <definedName name="FDD_150_8" hidden="1">"A33603"</definedName>
    <definedName name="FDD_150_9" hidden="1">"A33969"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5_1" hidden="1">"A31047"</definedName>
    <definedName name="FDD_155_10" hidden="1">"A34334"</definedName>
    <definedName name="FDD_155_11" hidden="1">"A34699"</definedName>
    <definedName name="FDD_155_12" hidden="1">"A35064"</definedName>
    <definedName name="FDD_155_13" hidden="1">"A35430"</definedName>
    <definedName name="FDD_155_14" hidden="1">"A35795"</definedName>
    <definedName name="FDD_155_15" hidden="1">"E36160"</definedName>
    <definedName name="FDD_155_2" hidden="1">"A31412"</definedName>
    <definedName name="FDD_155_3" hidden="1">"A31777"</definedName>
    <definedName name="FDD_155_4" hidden="1">"A32142"</definedName>
    <definedName name="FDD_155_5" hidden="1">"A32508"</definedName>
    <definedName name="FDD_155_6" hidden="1">"A32873"</definedName>
    <definedName name="FDD_155_7" hidden="1">"A33238"</definedName>
    <definedName name="FDD_155_8" hidden="1">"A33603"</definedName>
    <definedName name="FDD_155_9" hidden="1">"A33969"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15" hidden="1">"U36160"</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15" hidden="1">"E36160"</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4_1" hidden="1">"A31047"</definedName>
    <definedName name="FDD_164_10" hidden="1">"A34334"</definedName>
    <definedName name="FDD_164_11" hidden="1">"A34699"</definedName>
    <definedName name="FDD_164_12" hidden="1">"A35064"</definedName>
    <definedName name="FDD_164_13" hidden="1">"A35430"</definedName>
    <definedName name="FDD_164_14" hidden="1">"A35795"</definedName>
    <definedName name="FDD_164_2" hidden="1">"A31412"</definedName>
    <definedName name="FDD_164_3" hidden="1">"A31777"</definedName>
    <definedName name="FDD_164_4" hidden="1">"A32142"</definedName>
    <definedName name="FDD_164_5" hidden="1">"A32508"</definedName>
    <definedName name="FDD_164_6" hidden="1">"A32873"</definedName>
    <definedName name="FDD_164_7" hidden="1">"A33238"</definedName>
    <definedName name="FDD_164_8" hidden="1">"A33603"</definedName>
    <definedName name="FDD_164_9" hidden="1">"A33969"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15" hidden="1">"E36160"</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15" hidden="1">"A36160"</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_1" hidden="1">"A35795"</definedName>
    <definedName name="FDD_19_2" hidden="1">"E36160"</definedName>
    <definedName name="FDD_19_3" hidden="1">"E36525"</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4_1" hidden="1">"R36525"</definedName>
    <definedName name="FDD_204_2" hidden="1">"E36891"</definedName>
    <definedName name="FDD_205_0" hidden="1">"A25569"</definedName>
    <definedName name="FDD_205_1" hidden="1">"E36525"</definedName>
    <definedName name="FDD_205_2" hidden="1">"E36891"</definedName>
    <definedName name="FDD_206_0" hidden="1">"A25569"</definedName>
    <definedName name="FDD_206_1" hidden="1">"E36525"</definedName>
    <definedName name="FDD_206_2" hidden="1">"E36891"</definedName>
    <definedName name="FDD_207_0" hidden="1">"A25569"</definedName>
    <definedName name="FDD_207_1" hidden="1">"E36525"</definedName>
    <definedName name="FDD_207_2" hidden="1">"E36891"</definedName>
    <definedName name="FDD_208_0" hidden="1">"E36160"</definedName>
    <definedName name="FDD_208_1" hidden="1">"E36525"</definedName>
    <definedName name="FDD_208_2" hidden="1">"E36891"</definedName>
    <definedName name="FDD_209_0" hidden="1">"A25569"</definedName>
    <definedName name="FDD_209_1" hidden="1">"R36525"</definedName>
    <definedName name="FDD_209_2" hidden="1">"R36891"</definedName>
    <definedName name="FDD_21_0" hidden="1">"A25569"</definedName>
    <definedName name="FDD_210_0" hidden="1">"A25569"</definedName>
    <definedName name="FDD_210_1" hidden="1">"U35795"</definedName>
    <definedName name="FDD_211_0" hidden="1">"A25569"</definedName>
    <definedName name="FDD_211_1" hidden="1">"E36525"</definedName>
    <definedName name="FDD_211_2" hidden="1">"E36891"</definedName>
    <definedName name="FDD_212_0" hidden="1">"A25569"</definedName>
    <definedName name="FDD_212_1" hidden="1">"R36525"</definedName>
    <definedName name="FDD_212_2" hidden="1">"E36891"</definedName>
    <definedName name="FDD_213_0" hidden="1">"E36160"</definedName>
    <definedName name="FDD_213_1" hidden="1">"E36525"</definedName>
    <definedName name="FDD_213_2" hidden="1">"E36891"</definedName>
    <definedName name="FDD_214_0" hidden="1">"A25569"</definedName>
    <definedName name="FDD_214_1" hidden="1">"E36525"</definedName>
    <definedName name="FDD_214_2" hidden="1">"E36891"</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19_1" hidden="1">"E36525"</definedName>
    <definedName name="FDD_219_2" hidden="1">"E36891"</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4_1" hidden="1">"E36525"</definedName>
    <definedName name="FDD_224_2" hidden="1">"E36891"</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29_1" hidden="1">"E36525"</definedName>
    <definedName name="FDD_229_2" hidden="1">"E36891"</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4_1" hidden="1">"E36525"</definedName>
    <definedName name="FDD_234_2" hidden="1">"E36891"</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39_0" hidden="1">"E36160"</definedName>
    <definedName name="FDD_239_1" hidden="1">"E36525"</definedName>
    <definedName name="FDD_239_2" hidden="1">"E36891"</definedName>
    <definedName name="FDD_24_0" hidden="1">"A25569"</definedName>
    <definedName name="FDD_240_0" hidden="1">"A25569"</definedName>
    <definedName name="FDD_241_0" hidden="1">"A25569"</definedName>
    <definedName name="FDD_242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49_1" hidden="1">"R31047"</definedName>
    <definedName name="FDD_249_10" hidden="1">"R34334"</definedName>
    <definedName name="FDD_249_11" hidden="1">"R34699"</definedName>
    <definedName name="FDD_249_12" hidden="1">"R35064"</definedName>
    <definedName name="FDD_249_13" hidden="1">"R35430"</definedName>
    <definedName name="FDD_249_14" hidden="1">"R35795"</definedName>
    <definedName name="FDD_249_2" hidden="1">"R31412"</definedName>
    <definedName name="FDD_249_3" hidden="1">"R31777"</definedName>
    <definedName name="FDD_249_4" hidden="1">"R32142"</definedName>
    <definedName name="FDD_249_5" hidden="1">"R32508"</definedName>
    <definedName name="FDD_249_6" hidden="1">"R32873"</definedName>
    <definedName name="FDD_249_7" hidden="1">"R33238"</definedName>
    <definedName name="FDD_249_8" hidden="1">"R33603"</definedName>
    <definedName name="FDD_249_9" hidden="1">"R33969"</definedName>
    <definedName name="FDD_25_0" hidden="1">"A25569"</definedName>
    <definedName name="FDD_25_1" hidden="1">"U35795"</definedName>
    <definedName name="FDD_25_2" hidden="1">"U36160"</definedName>
    <definedName name="FDD_25_3" hidden="1">"U36525"</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2_0" hidden="1">"A25569"</definedName>
    <definedName name="FDD_263_0" hidden="1">"A25569"</definedName>
    <definedName name="FDD_264_0" hidden="1">"E36160"</definedName>
    <definedName name="FDD_264_1" hidden="1">"E36525"</definedName>
    <definedName name="FDD_264_2" hidden="1">"E36891"</definedName>
    <definedName name="FDD_265_0" hidden="1">"A25569"</definedName>
    <definedName name="FDD_265_1" hidden="1">"E36525"</definedName>
    <definedName name="FDD_265_2" hidden="1">"E36891"</definedName>
    <definedName name="FDD_266_0" hidden="1">"A25569"</definedName>
    <definedName name="FDD_266_1" hidden="1">"E36525"</definedName>
    <definedName name="FDD_266_2" hidden="1">"E36891"</definedName>
    <definedName name="FDD_267_0" hidden="1">"A25569"</definedName>
    <definedName name="FDD_267_1" hidden="1">"E36525"</definedName>
    <definedName name="FDD_267_2" hidden="1">"E36891"</definedName>
    <definedName name="FDD_268_0" hidden="1">"A25569"</definedName>
    <definedName name="FDD_268_1" hidden="1">"E36525"</definedName>
    <definedName name="FDD_268_2" hidden="1">"E36891"</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0_1" hidden="1">"E36525"</definedName>
    <definedName name="FDD_270_2" hidden="1">"E36891"</definedName>
    <definedName name="FDD_271_0" hidden="1">"A25569"</definedName>
    <definedName name="FDD_271_1" hidden="1">"E36525"</definedName>
    <definedName name="FDD_271_2" hidden="1">"E36891"</definedName>
    <definedName name="FDD_272_0" hidden="1">"A25569"</definedName>
    <definedName name="FDD_272_1" hidden="1">"E36525"</definedName>
    <definedName name="FDD_272_2" hidden="1">"E36891"</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89_1" hidden="1">"E36525"</definedName>
    <definedName name="FDD_289_2" hidden="1">"E36891"</definedName>
    <definedName name="FDD_29_0" hidden="1">"A25569"</definedName>
    <definedName name="FDD_290_0" hidden="1">"A36890"</definedName>
    <definedName name="FDD_290_1" hidden="1">"E36525"</definedName>
    <definedName name="FDD_290_2" hidden="1">"E36891"</definedName>
    <definedName name="FDD_291_0" hidden="1">"A25569"</definedName>
    <definedName name="FDD_291_1" hidden="1">"E36525"</definedName>
    <definedName name="FDD_291_2" hidden="1">"E36891"</definedName>
    <definedName name="FDD_292_0" hidden="1">"E36160"</definedName>
    <definedName name="FDD_292_1" hidden="1">"E36525"</definedName>
    <definedName name="FDD_292_2" hidden="1">"E36891"</definedName>
    <definedName name="FDD_293_0" hidden="1">"E36160"</definedName>
    <definedName name="FDD_293_1" hidden="1">"E36525"</definedName>
    <definedName name="FDD_293_2" hidden="1">"E36891"</definedName>
    <definedName name="FDD_294_0" hidden="1">"A36891"</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299_1" hidden="1">"E36160"</definedName>
    <definedName name="FDD_299_10" hidden="1">"E39447"</definedName>
    <definedName name="FDD_299_11" hidden="1">"E39813"</definedName>
    <definedName name="FDD_299_12" hidden="1">"E40178"</definedName>
    <definedName name="FDD_299_13" hidden="1">"E40543"</definedName>
    <definedName name="FDD_299_14" hidden="1">"E40908"</definedName>
    <definedName name="FDD_299_15" hidden="1">"E41274"</definedName>
    <definedName name="FDD_299_16" hidden="1">"E41639"</definedName>
    <definedName name="FDD_299_17" hidden="1">"E42004"</definedName>
    <definedName name="FDD_299_18" hidden="1">"E42369"</definedName>
    <definedName name="FDD_299_19" hidden="1">"E42735"</definedName>
    <definedName name="FDD_299_2" hidden="1">"E36525"</definedName>
    <definedName name="FDD_299_20" hidden="1">"E43100"</definedName>
    <definedName name="FDD_299_21" hidden="1">"E43465"</definedName>
    <definedName name="FDD_299_22" hidden="1">"E43830"</definedName>
    <definedName name="FDD_299_23" hidden="1">"E44196"</definedName>
    <definedName name="FDD_299_24" hidden="1">"E44561"</definedName>
    <definedName name="FDD_299_25" hidden="1">"E44926"</definedName>
    <definedName name="FDD_299_26" hidden="1">"E45291"</definedName>
    <definedName name="FDD_299_3" hidden="1">"E36891"</definedName>
    <definedName name="FDD_299_4" hidden="1">"E37256"</definedName>
    <definedName name="FDD_299_5" hidden="1">"E37621"</definedName>
    <definedName name="FDD_299_6" hidden="1">"E37986"</definedName>
    <definedName name="FDD_299_7" hidden="1">"E38352"</definedName>
    <definedName name="FDD_299_8" hidden="1">"E38717"</definedName>
    <definedName name="FDD_299_9" hidden="1">"E39082"</definedName>
    <definedName name="FDD_3_0" hidden="1">"A25569"</definedName>
    <definedName name="FDD_30_0" hidden="1">"A25569"</definedName>
    <definedName name="FDD_300_0" hidden="1">"U25569"</definedName>
    <definedName name="FDD_300_1" hidden="1">"E36525"</definedName>
    <definedName name="FDD_300_10" hidden="1">"U39813"</definedName>
    <definedName name="FDD_300_11" hidden="1">"U40178"</definedName>
    <definedName name="FDD_300_12" hidden="1">"U40543"</definedName>
    <definedName name="FDD_300_13" hidden="1">"U40908"</definedName>
    <definedName name="FDD_300_14" hidden="1">"U41274"</definedName>
    <definedName name="FDD_300_15" hidden="1">"U41639"</definedName>
    <definedName name="FDD_300_16" hidden="1">"U42004"</definedName>
    <definedName name="FDD_300_17" hidden="1">"U42369"</definedName>
    <definedName name="FDD_300_18" hidden="1">"U42735"</definedName>
    <definedName name="FDD_300_19" hidden="1">"U43100"</definedName>
    <definedName name="FDD_300_2" hidden="1">"R36891"</definedName>
    <definedName name="FDD_300_20" hidden="1">"U43465"</definedName>
    <definedName name="FDD_300_21" hidden="1">"U43830"</definedName>
    <definedName name="FDD_300_22" hidden="1">"U44196"</definedName>
    <definedName name="FDD_300_23" hidden="1">"U44561"</definedName>
    <definedName name="FDD_300_24" hidden="1">"U44926"</definedName>
    <definedName name="FDD_300_25" hidden="1">"U45291"</definedName>
    <definedName name="FDD_300_3" hidden="1">"U37256"</definedName>
    <definedName name="FDD_300_4" hidden="1">"U37621"</definedName>
    <definedName name="FDD_300_5" hidden="1">"U37986"</definedName>
    <definedName name="FDD_300_6" hidden="1">"U38352"</definedName>
    <definedName name="FDD_300_7" hidden="1">"U38717"</definedName>
    <definedName name="FDD_300_8" hidden="1">"U39082"</definedName>
    <definedName name="FDD_300_9" hidden="1">"U39447"</definedName>
    <definedName name="FDD_301_0" hidden="1">"U35795"</definedName>
    <definedName name="FDD_301_1" hidden="1">"U36160"</definedName>
    <definedName name="FDD_301_10" hidden="1">"E39447"</definedName>
    <definedName name="FDD_301_11" hidden="1">"E39813"</definedName>
    <definedName name="FDD_301_12" hidden="1">"E40178"</definedName>
    <definedName name="FDD_301_13" hidden="1">"E40543"</definedName>
    <definedName name="FDD_301_14" hidden="1">"E40908"</definedName>
    <definedName name="FDD_301_15" hidden="1">"E41274"</definedName>
    <definedName name="FDD_301_16" hidden="1">"E41639"</definedName>
    <definedName name="FDD_301_17" hidden="1">"E42004"</definedName>
    <definedName name="FDD_301_18" hidden="1">"E42369"</definedName>
    <definedName name="FDD_301_19" hidden="1">"E42735"</definedName>
    <definedName name="FDD_301_2" hidden="1">"U36525"</definedName>
    <definedName name="FDD_301_20" hidden="1">"E43100"</definedName>
    <definedName name="FDD_301_21" hidden="1">"E43465"</definedName>
    <definedName name="FDD_301_22" hidden="1">"E43830"</definedName>
    <definedName name="FDD_301_23" hidden="1">"E44196"</definedName>
    <definedName name="FDD_301_24" hidden="1">"E44561"</definedName>
    <definedName name="FDD_301_25" hidden="1">"E44926"</definedName>
    <definedName name="FDD_301_3" hidden="1">"E36891"</definedName>
    <definedName name="FDD_301_4" hidden="1">"E37256"</definedName>
    <definedName name="FDD_301_5" hidden="1">"E37621"</definedName>
    <definedName name="FDD_301_6" hidden="1">"E37986"</definedName>
    <definedName name="FDD_301_7" hidden="1">"E38352"</definedName>
    <definedName name="FDD_301_8" hidden="1">"E38717"</definedName>
    <definedName name="FDD_301_9" hidden="1">"E39082"</definedName>
    <definedName name="FDD_302_0" hidden="1">"U35795"</definedName>
    <definedName name="FDD_302_1" hidden="1">"U36160"</definedName>
    <definedName name="FDD_302_10" hidden="1">"E39813"</definedName>
    <definedName name="FDD_302_11" hidden="1">"E40178"</definedName>
    <definedName name="FDD_302_12" hidden="1">"E40543"</definedName>
    <definedName name="FDD_302_13" hidden="1">"E40908"</definedName>
    <definedName name="FDD_302_14" hidden="1">"E41274"</definedName>
    <definedName name="FDD_302_15" hidden="1">"E41639"</definedName>
    <definedName name="FDD_302_16" hidden="1">"E42004"</definedName>
    <definedName name="FDD_302_17" hidden="1">"E42369"</definedName>
    <definedName name="FDD_302_18" hidden="1">"E42735"</definedName>
    <definedName name="FDD_302_19" hidden="1">"E43100"</definedName>
    <definedName name="FDD_302_2" hidden="1">"U36525"</definedName>
    <definedName name="FDD_302_20" hidden="1">"E43465"</definedName>
    <definedName name="FDD_302_21" hidden="1">"E43830"</definedName>
    <definedName name="FDD_302_22" hidden="1">"E44196"</definedName>
    <definedName name="FDD_302_23" hidden="1">"E44561"</definedName>
    <definedName name="FDD_302_24" hidden="1">"E44926"</definedName>
    <definedName name="FDD_302_3" hidden="1">"E37256"</definedName>
    <definedName name="FDD_302_4" hidden="1">"E37621"</definedName>
    <definedName name="FDD_302_5" hidden="1">"E37986"</definedName>
    <definedName name="FDD_302_6" hidden="1">"E38352"</definedName>
    <definedName name="FDD_302_7" hidden="1">"E38717"</definedName>
    <definedName name="FDD_302_8" hidden="1">"E39082"</definedName>
    <definedName name="FDD_302_9" hidden="1">"E39447"</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08_0" hidden="1">"A35795"</definedName>
    <definedName name="FDD_309_0" hidden="1">"A25569"</definedName>
    <definedName name="FDD_31_0" hidden="1">"A25569"</definedName>
    <definedName name="FDD_310_0" hidden="1">"A35795"</definedName>
    <definedName name="FDD_311_0" hidden="1">"E25569"</definedName>
    <definedName name="FDD_312_0" hidden="1">"A25569"</definedName>
    <definedName name="FDD_313_0" hidden="1">"A25569"</definedName>
    <definedName name="FDD_315_0" hidden="1">"A25569"</definedName>
    <definedName name="FDD_316_0" hidden="1">"A25569"</definedName>
    <definedName name="FDD_317_0" hidden="1">"A35795"</definedName>
    <definedName name="FDD_317_1" hidden="1">"A36160"</definedName>
    <definedName name="FDD_317_2" hidden="1">"A36525"</definedName>
    <definedName name="FDD_318_0" hidden="1">"A35795"</definedName>
    <definedName name="FDD_318_1" hidden="1">"A36160"</definedName>
    <definedName name="FDD_318_2" hidden="1">"A36525"</definedName>
    <definedName name="FDD_319_0" hidden="1">"A35795"</definedName>
    <definedName name="FDD_319_1" hidden="1">"A36160"</definedName>
    <definedName name="FDD_319_2" hidden="1">"A36525"</definedName>
    <definedName name="FDD_32_0" hidden="1">"A25569"</definedName>
    <definedName name="FDD_320_0" hidden="1">"A35795"</definedName>
    <definedName name="FDD_320_1" hidden="1">"A36160"</definedName>
    <definedName name="FDD_320_2" hidden="1">"A36525"</definedName>
    <definedName name="FDD_321_0" hidden="1">"E35795"</definedName>
    <definedName name="FDD_321_1" hidden="1">"E36160"</definedName>
    <definedName name="FDD_321_2" hidden="1">"E36525"</definedName>
    <definedName name="FDD_322_0" hidden="1">"A35795"</definedName>
    <definedName name="FDD_322_1" hidden="1">"E36160"</definedName>
    <definedName name="FDD_322_2" hidden="1">"E36525"</definedName>
    <definedName name="FDD_323_0" hidden="1">"E35795"</definedName>
    <definedName name="FDD_323_1" hidden="1">"E36160"</definedName>
    <definedName name="FDD_323_2" hidden="1">"E36525"</definedName>
    <definedName name="FDD_324_0" hidden="1">"A36119"</definedName>
    <definedName name="FDD_326_0" hidden="1">"R34334"</definedName>
    <definedName name="FDD_326_1" hidden="1">"E34699"</definedName>
    <definedName name="FDD_326_2" hidden="1">"E35064"</definedName>
    <definedName name="FDD_326_3" hidden="1">"E35430"</definedName>
    <definedName name="FDD_326_4" hidden="1">"E35795"</definedName>
    <definedName name="FDD_326_5" hidden="1">"R36160"</definedName>
    <definedName name="FDD_326_6" hidden="1">"R36525"</definedName>
    <definedName name="FDD_327_0" hidden="1">"A34334"</definedName>
    <definedName name="FDD_327_1" hidden="1">"A34699"</definedName>
    <definedName name="FDD_327_2" hidden="1">"A35064"</definedName>
    <definedName name="FDD_327_3" hidden="1">"A35430"</definedName>
    <definedName name="FDD_327_4" hidden="1">"A35795"</definedName>
    <definedName name="FDD_327_5" hidden="1">"E36160"</definedName>
    <definedName name="FDD_327_6" hidden="1">"E36525"</definedName>
    <definedName name="FDD_328_0" hidden="1">"U25569"</definedName>
    <definedName name="FDD_329_0" hidden="1">"U25569"</definedName>
    <definedName name="FDD_33_0" hidden="1">"A25569"</definedName>
    <definedName name="FDD_330_0" hidden="1">"U25569"</definedName>
    <definedName name="FDD_331_0" hidden="1">"U25569"</definedName>
    <definedName name="FDD_332_0" hidden="1">"U25569"</definedName>
    <definedName name="FDD_333_0" hidden="1">"U25569"</definedName>
    <definedName name="FDD_334_0" hidden="1">"U25569"</definedName>
    <definedName name="FDD_335_0" hidden="1">"U25569"</definedName>
    <definedName name="FDD_336_0" hidden="1">"U25569"</definedName>
    <definedName name="FDD_337_0" hidden="1">"U25569"</definedName>
    <definedName name="FDD_338_0" hidden="1">"U25569"</definedName>
    <definedName name="FDD_339_0" hidden="1">"U25569"</definedName>
    <definedName name="FDD_34_0" hidden="1">"A25569"</definedName>
    <definedName name="FDD_340_0" hidden="1">"U25569"</definedName>
    <definedName name="FDD_341_0" hidden="1">"U25569"</definedName>
    <definedName name="FDD_342_0" hidden="1">"U25569"</definedName>
    <definedName name="FDD_343_0" hidden="1">"U25569"</definedName>
    <definedName name="FDD_344_0" hidden="1">"U25569"</definedName>
    <definedName name="FDD_345_0" hidden="1">"U25569"</definedName>
    <definedName name="FDD_346_0" hidden="1">"U25569"</definedName>
    <definedName name="FDD_347_0" hidden="1">"U25569"</definedName>
    <definedName name="FDD_348_0" hidden="1">"U25569"</definedName>
    <definedName name="FDD_349_0" hidden="1">"U25569"</definedName>
    <definedName name="FDD_35_0" hidden="1">"A25569"</definedName>
    <definedName name="FDD_36_0" hidden="1">"A25569"</definedName>
    <definedName name="FDD_37_0" hidden="1">"A25569"</definedName>
    <definedName name="FDD_372_0" hidden="1">"A34334"</definedName>
    <definedName name="FDD_372_1" hidden="1">"A34699"</definedName>
    <definedName name="FDD_372_2" hidden="1">"A35064"</definedName>
    <definedName name="FDD_372_3" hidden="1">"A35430"</definedName>
    <definedName name="FDD_372_4" hidden="1">"A35795"</definedName>
    <definedName name="FDD_372_5" hidden="1">"E36160"</definedName>
    <definedName name="FDD_372_6" hidden="1">"E36525"</definedName>
    <definedName name="FDD_373_0" hidden="1">"R34334"</definedName>
    <definedName name="FDD_373_1" hidden="1">"R34699"</definedName>
    <definedName name="FDD_373_2" hidden="1">"R35064"</definedName>
    <definedName name="FDD_373_3" hidden="1">"R35430"</definedName>
    <definedName name="FDD_373_4" hidden="1">"R35795"</definedName>
    <definedName name="FDD_373_5" hidden="1">"R36160"</definedName>
    <definedName name="FDD_373_6" hidden="1">"R36525"</definedName>
    <definedName name="FDD_374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1_1" hidden="1">"A35795"</definedName>
    <definedName name="FDD_41_2" hidden="1">"E36160"</definedName>
    <definedName name="FDD_41_3" hidden="1">"E36525"</definedName>
    <definedName name="FDD_42_0" hidden="1">"U25569"</definedName>
    <definedName name="FDD_42_1" hidden="1">"U35795"</definedName>
    <definedName name="FDD_42_2" hidden="1">"U36160"</definedName>
    <definedName name="FDD_42_3" hidden="1">"U36525"</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_1" hidden="1">"E35795"</definedName>
    <definedName name="FDD_5_2" hidden="1">"E36160"</definedName>
    <definedName name="FDD_5_3" hidden="1">"E36525"</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00" hidden="1">"A35044"</definedName>
    <definedName name="FDD_58_101" hidden="1">"A35051"</definedName>
    <definedName name="FDD_58_102" hidden="1">"A35058"</definedName>
    <definedName name="FDD_58_103" hidden="1">"A35065"</definedName>
    <definedName name="FDD_58_104" hidden="1">"A35072"</definedName>
    <definedName name="FDD_58_105" hidden="1">"A35079"</definedName>
    <definedName name="FDD_58_106" hidden="1">"A35086"</definedName>
    <definedName name="FDD_58_107" hidden="1">"A35093"</definedName>
    <definedName name="FDD_58_108" hidden="1">"A35100"</definedName>
    <definedName name="FDD_58_109" hidden="1">"A35107"</definedName>
    <definedName name="FDD_58_11" hidden="1">"A34699"</definedName>
    <definedName name="FDD_58_110" hidden="1">"A35114"</definedName>
    <definedName name="FDD_58_111" hidden="1">"A35121"</definedName>
    <definedName name="FDD_58_112" hidden="1">"A35128"</definedName>
    <definedName name="FDD_58_113" hidden="1">"A35135"</definedName>
    <definedName name="FDD_58_114" hidden="1">"A35142"</definedName>
    <definedName name="FDD_58_115" hidden="1">"A35149"</definedName>
    <definedName name="FDD_58_116" hidden="1">"A35156"</definedName>
    <definedName name="FDD_58_117" hidden="1">"A35162"</definedName>
    <definedName name="FDD_58_118" hidden="1">"A35170"</definedName>
    <definedName name="FDD_58_119" hidden="1">"A35177"</definedName>
    <definedName name="FDD_58_12" hidden="1">"A35064"</definedName>
    <definedName name="FDD_58_120" hidden="1">"A35184"</definedName>
    <definedName name="FDD_58_121" hidden="1">"A35191"</definedName>
    <definedName name="FDD_58_122" hidden="1">"A35198"</definedName>
    <definedName name="FDD_58_123" hidden="1">"A35205"</definedName>
    <definedName name="FDD_58_124" hidden="1">"A35212"</definedName>
    <definedName name="FDD_58_125" hidden="1">"A35219"</definedName>
    <definedName name="FDD_58_126" hidden="1">"A35226"</definedName>
    <definedName name="FDD_58_127" hidden="1">"A35233"</definedName>
    <definedName name="FDD_58_128" hidden="1">"A35240"</definedName>
    <definedName name="FDD_58_129" hidden="1">"A35247"</definedName>
    <definedName name="FDD_58_13" hidden="1">"A35430"</definedName>
    <definedName name="FDD_58_130" hidden="1">"A35254"</definedName>
    <definedName name="FDD_58_131" hidden="1">"A35261"</definedName>
    <definedName name="FDD_58_132" hidden="1">"A35268"</definedName>
    <definedName name="FDD_58_133" hidden="1">"A35275"</definedName>
    <definedName name="FDD_58_134" hidden="1">"A35282"</definedName>
    <definedName name="FDD_58_135" hidden="1">"A35289"</definedName>
    <definedName name="FDD_58_136" hidden="1">"A35296"</definedName>
    <definedName name="FDD_58_137" hidden="1">"A35303"</definedName>
    <definedName name="FDD_58_138" hidden="1">"A35310"</definedName>
    <definedName name="FDD_58_139" hidden="1">"A35317"</definedName>
    <definedName name="FDD_58_14" hidden="1">"A35795"</definedName>
    <definedName name="FDD_58_140" hidden="1">"A35324"</definedName>
    <definedName name="FDD_58_141" hidden="1">"A35331"</definedName>
    <definedName name="FDD_58_142" hidden="1">"A35338"</definedName>
    <definedName name="FDD_58_143" hidden="1">"A35345"</definedName>
    <definedName name="FDD_58_144" hidden="1">"A35352"</definedName>
    <definedName name="FDD_58_145" hidden="1">"A35359"</definedName>
    <definedName name="FDD_58_146" hidden="1">"A35366"</definedName>
    <definedName name="FDD_58_147" hidden="1">"A35373"</definedName>
    <definedName name="FDD_58_148" hidden="1">"A35380"</definedName>
    <definedName name="FDD_58_149" hidden="1">"A35387"</definedName>
    <definedName name="FDD_58_15" hidden="1">"A34449"</definedName>
    <definedName name="FDD_58_150" hidden="1">"A35394"</definedName>
    <definedName name="FDD_58_151" hidden="1">"A35401"</definedName>
    <definedName name="FDD_58_152" hidden="1">"A35408"</definedName>
    <definedName name="FDD_58_153" hidden="1">"A35415"</definedName>
    <definedName name="FDD_58_154" hidden="1">"A35422"</definedName>
    <definedName name="FDD_58_155" hidden="1">"A35429"</definedName>
    <definedName name="FDD_58_156" hidden="1">"A35436"</definedName>
    <definedName name="FDD_58_157" hidden="1">"A35443"</definedName>
    <definedName name="FDD_58_158" hidden="1">"A35450"</definedName>
    <definedName name="FDD_58_159" hidden="1">"A35457"</definedName>
    <definedName name="FDD_58_16" hidden="1">"A34456"</definedName>
    <definedName name="FDD_58_160" hidden="1">"A35464"</definedName>
    <definedName name="FDD_58_161" hidden="1">"A35471"</definedName>
    <definedName name="FDD_58_162" hidden="1">"A35478"</definedName>
    <definedName name="FDD_58_163" hidden="1">"A35485"</definedName>
    <definedName name="FDD_58_164" hidden="1">"A35492"</definedName>
    <definedName name="FDD_58_165" hidden="1">"A35499"</definedName>
    <definedName name="FDD_58_166" hidden="1">"A35506"</definedName>
    <definedName name="FDD_58_167" hidden="1">"A35513"</definedName>
    <definedName name="FDD_58_168" hidden="1">"A35520"</definedName>
    <definedName name="FDD_58_169" hidden="1">"A35527"</definedName>
    <definedName name="FDD_58_17" hidden="1">"A34463"</definedName>
    <definedName name="FDD_58_170" hidden="1">"A35534"</definedName>
    <definedName name="FDD_58_171" hidden="1">"A35541"</definedName>
    <definedName name="FDD_58_172" hidden="1">"A35548"</definedName>
    <definedName name="FDD_58_173" hidden="1">"A35555"</definedName>
    <definedName name="FDD_58_174" hidden="1">"A35562"</definedName>
    <definedName name="FDD_58_175" hidden="1">"A35569"</definedName>
    <definedName name="FDD_58_176" hidden="1">"A35576"</definedName>
    <definedName name="FDD_58_177" hidden="1">"A35583"</definedName>
    <definedName name="FDD_58_178" hidden="1">"A35590"</definedName>
    <definedName name="FDD_58_179" hidden="1">"A35597"</definedName>
    <definedName name="FDD_58_18" hidden="1">"A34470"</definedName>
    <definedName name="FDD_58_180" hidden="1">"A35604"</definedName>
    <definedName name="FDD_58_181" hidden="1">"A35611"</definedName>
    <definedName name="FDD_58_182" hidden="1">"A35618"</definedName>
    <definedName name="FDD_58_183" hidden="1">"A35625"</definedName>
    <definedName name="FDD_58_184" hidden="1">"A35632"</definedName>
    <definedName name="FDD_58_185" hidden="1">"A35639"</definedName>
    <definedName name="FDD_58_186" hidden="1">"A35646"</definedName>
    <definedName name="FDD_58_187" hidden="1">"A35653"</definedName>
    <definedName name="FDD_58_188" hidden="1">"A35660"</definedName>
    <definedName name="FDD_58_189" hidden="1">"A35667"</definedName>
    <definedName name="FDD_58_19" hidden="1">"A34477"</definedName>
    <definedName name="FDD_58_190" hidden="1">"A35674"</definedName>
    <definedName name="FDD_58_191" hidden="1">"A35681"</definedName>
    <definedName name="FDD_58_192" hidden="1">"A35688"</definedName>
    <definedName name="FDD_58_193" hidden="1">"A35695"</definedName>
    <definedName name="FDD_58_194" hidden="1">"A35702"</definedName>
    <definedName name="FDD_58_195" hidden="1">"A35709"</definedName>
    <definedName name="FDD_58_196" hidden="1">"A35716"</definedName>
    <definedName name="FDD_58_197" hidden="1">"A35723"</definedName>
    <definedName name="FDD_58_198" hidden="1">"A35730"</definedName>
    <definedName name="FDD_58_199" hidden="1">"A35737"</definedName>
    <definedName name="FDD_58_2" hidden="1">"A31412"</definedName>
    <definedName name="FDD_58_20" hidden="1">"A34484"</definedName>
    <definedName name="FDD_58_200" hidden="1">"A35744"</definedName>
    <definedName name="FDD_58_201" hidden="1">"A35751"</definedName>
    <definedName name="FDD_58_202" hidden="1">"A35758"</definedName>
    <definedName name="FDD_58_203" hidden="1">"A35765"</definedName>
    <definedName name="FDD_58_204" hidden="1">"A35772"</definedName>
    <definedName name="FDD_58_205" hidden="1">"A35779"</definedName>
    <definedName name="FDD_58_206" hidden="1">"A35786"</definedName>
    <definedName name="FDD_58_207" hidden="1">"A35793"</definedName>
    <definedName name="FDD_58_208" hidden="1">"A35800"</definedName>
    <definedName name="FDD_58_209" hidden="1">"A35807"</definedName>
    <definedName name="FDD_58_21" hidden="1">"A34491"</definedName>
    <definedName name="FDD_58_210" hidden="1">"A35814"</definedName>
    <definedName name="FDD_58_211" hidden="1">"A35821"</definedName>
    <definedName name="FDD_58_212" hidden="1">"A35828"</definedName>
    <definedName name="FDD_58_213" hidden="1">"A35835"</definedName>
    <definedName name="FDD_58_214" hidden="1">"A35842"</definedName>
    <definedName name="FDD_58_215" hidden="1">"A35849"</definedName>
    <definedName name="FDD_58_216" hidden="1">"A35856"</definedName>
    <definedName name="FDD_58_217" hidden="1">"A35863"</definedName>
    <definedName name="FDD_58_218" hidden="1">"A35870"</definedName>
    <definedName name="FDD_58_219" hidden="1">"A35877"</definedName>
    <definedName name="FDD_58_22" hidden="1">"A34498"</definedName>
    <definedName name="FDD_58_220" hidden="1">"A35884"</definedName>
    <definedName name="FDD_58_221" hidden="1">"A35891"</definedName>
    <definedName name="FDD_58_222" hidden="1">"A35898"</definedName>
    <definedName name="FDD_58_223" hidden="1">"A35905"</definedName>
    <definedName name="FDD_58_224" hidden="1">"A35912"</definedName>
    <definedName name="FDD_58_225" hidden="1">"A35919"</definedName>
    <definedName name="FDD_58_226" hidden="1">"A35926"</definedName>
    <definedName name="FDD_58_227" hidden="1">"A35933"</definedName>
    <definedName name="FDD_58_228" hidden="1">"A35940"</definedName>
    <definedName name="FDD_58_229" hidden="1">"A35947"</definedName>
    <definedName name="FDD_58_23" hidden="1">"A34505"</definedName>
    <definedName name="FDD_58_230" hidden="1">"A35954"</definedName>
    <definedName name="FDD_58_231" hidden="1">"A35961"</definedName>
    <definedName name="FDD_58_232" hidden="1">"A35968"</definedName>
    <definedName name="FDD_58_233" hidden="1">"A35975"</definedName>
    <definedName name="FDD_58_234" hidden="1">"A35982"</definedName>
    <definedName name="FDD_58_235" hidden="1">"A35989"</definedName>
    <definedName name="FDD_58_236" hidden="1">"A35996"</definedName>
    <definedName name="FDD_58_237" hidden="1">"A36003"</definedName>
    <definedName name="FDD_58_238" hidden="1">"A36010"</definedName>
    <definedName name="FDD_58_239" hidden="1">"A36017"</definedName>
    <definedName name="FDD_58_24" hidden="1">"A34512"</definedName>
    <definedName name="FDD_58_240" hidden="1">"A36024"</definedName>
    <definedName name="FDD_58_241" hidden="1">"A36031"</definedName>
    <definedName name="FDD_58_242" hidden="1">"A36038"</definedName>
    <definedName name="FDD_58_243" hidden="1">"A36045"</definedName>
    <definedName name="FDD_58_244" hidden="1">"A36052"</definedName>
    <definedName name="FDD_58_245" hidden="1">"A36059"</definedName>
    <definedName name="FDD_58_246" hidden="1">"A36066"</definedName>
    <definedName name="FDD_58_247" hidden="1">"A36073"</definedName>
    <definedName name="FDD_58_248" hidden="1">"A36080"</definedName>
    <definedName name="FDD_58_249" hidden="1">"A36087"</definedName>
    <definedName name="FDD_58_25" hidden="1">"A34519"</definedName>
    <definedName name="FDD_58_250" hidden="1">"A36094"</definedName>
    <definedName name="FDD_58_251" hidden="1">"A36101"</definedName>
    <definedName name="FDD_58_252" hidden="1">"A36108"</definedName>
    <definedName name="FDD_58_253" hidden="1">"A36115"</definedName>
    <definedName name="FDD_58_254" hidden="1">"A36122"</definedName>
    <definedName name="FDD_58_255" hidden="1">"A36129"</definedName>
    <definedName name="FDD_58_256" hidden="1">"A36136"</definedName>
    <definedName name="FDD_58_257" hidden="1">"A36143"</definedName>
    <definedName name="FDD_58_258" hidden="1">"A36150"</definedName>
    <definedName name="FDD_58_259" hidden="1">"A36157"</definedName>
    <definedName name="FDD_58_26" hidden="1">"A34526"</definedName>
    <definedName name="FDD_58_260" hidden="1">"A36164"</definedName>
    <definedName name="FDD_58_27" hidden="1">"A34533"</definedName>
    <definedName name="FDD_58_28" hidden="1">"A34540"</definedName>
    <definedName name="FDD_58_29" hidden="1">"A34547"</definedName>
    <definedName name="FDD_58_3" hidden="1">"A31777"</definedName>
    <definedName name="FDD_58_30" hidden="1">"A34554"</definedName>
    <definedName name="FDD_58_31" hidden="1">"A34561"</definedName>
    <definedName name="FDD_58_32" hidden="1">"A34568"</definedName>
    <definedName name="FDD_58_33" hidden="1">"A34575"</definedName>
    <definedName name="FDD_58_34" hidden="1">"A34582"</definedName>
    <definedName name="FDD_58_35" hidden="1">"A34589"</definedName>
    <definedName name="FDD_58_36" hidden="1">"A34596"</definedName>
    <definedName name="FDD_58_37" hidden="1">"A34603"</definedName>
    <definedName name="FDD_58_38" hidden="1">"A34610"</definedName>
    <definedName name="FDD_58_39" hidden="1">"A34617"</definedName>
    <definedName name="FDD_58_4" hidden="1">"A32142"</definedName>
    <definedName name="FDD_58_40" hidden="1">"A34624"</definedName>
    <definedName name="FDD_58_41" hidden="1">"A34631"</definedName>
    <definedName name="FDD_58_42" hidden="1">"A34638"</definedName>
    <definedName name="FDD_58_43" hidden="1">"A34645"</definedName>
    <definedName name="FDD_58_44" hidden="1">"A34652"</definedName>
    <definedName name="FDD_58_45" hidden="1">"A34659"</definedName>
    <definedName name="FDD_58_46" hidden="1">"A34666"</definedName>
    <definedName name="FDD_58_47" hidden="1">"A34673"</definedName>
    <definedName name="FDD_58_48" hidden="1">"A34680"</definedName>
    <definedName name="FDD_58_49" hidden="1">"A34687"</definedName>
    <definedName name="FDD_58_5" hidden="1">"A32508"</definedName>
    <definedName name="FDD_58_50" hidden="1">"A34694"</definedName>
    <definedName name="FDD_58_51" hidden="1">"A34701"</definedName>
    <definedName name="FDD_58_52" hidden="1">"A34708"</definedName>
    <definedName name="FDD_58_53" hidden="1">"A34715"</definedName>
    <definedName name="FDD_58_54" hidden="1">"A34722"</definedName>
    <definedName name="FDD_58_55" hidden="1">"A34729"</definedName>
    <definedName name="FDD_58_56" hidden="1">"A34736"</definedName>
    <definedName name="FDD_58_57" hidden="1">"A34743"</definedName>
    <definedName name="FDD_58_58" hidden="1">"A34750"</definedName>
    <definedName name="FDD_58_59" hidden="1">"A34757"</definedName>
    <definedName name="FDD_58_6" hidden="1">"A32873"</definedName>
    <definedName name="FDD_58_60" hidden="1">"A34764"</definedName>
    <definedName name="FDD_58_61" hidden="1">"A34771"</definedName>
    <definedName name="FDD_58_62" hidden="1">"A34778"</definedName>
    <definedName name="FDD_58_63" hidden="1">"A34785"</definedName>
    <definedName name="FDD_58_64" hidden="1">"A34792"</definedName>
    <definedName name="FDD_58_65" hidden="1">"A34799"</definedName>
    <definedName name="FDD_58_66" hidden="1">"A34806"</definedName>
    <definedName name="FDD_58_67" hidden="1">"A34813"</definedName>
    <definedName name="FDD_58_68" hidden="1">"A34820"</definedName>
    <definedName name="FDD_58_69" hidden="1">"A34827"</definedName>
    <definedName name="FDD_58_7" hidden="1">"A33238"</definedName>
    <definedName name="FDD_58_70" hidden="1">"A34834"</definedName>
    <definedName name="FDD_58_71" hidden="1">"A34841"</definedName>
    <definedName name="FDD_58_72" hidden="1">"A34848"</definedName>
    <definedName name="FDD_58_73" hidden="1">"A34855"</definedName>
    <definedName name="FDD_58_74" hidden="1">"A34862"</definedName>
    <definedName name="FDD_58_75" hidden="1">"A34869"</definedName>
    <definedName name="FDD_58_76" hidden="1">"A34876"</definedName>
    <definedName name="FDD_58_77" hidden="1">"A34883"</definedName>
    <definedName name="FDD_58_78" hidden="1">"A34890"</definedName>
    <definedName name="FDD_58_79" hidden="1">"A34897"</definedName>
    <definedName name="FDD_58_8" hidden="1">"A33603"</definedName>
    <definedName name="FDD_58_80" hidden="1">"A34904"</definedName>
    <definedName name="FDD_58_81" hidden="1">"A34911"</definedName>
    <definedName name="FDD_58_82" hidden="1">"A34918"</definedName>
    <definedName name="FDD_58_83" hidden="1">"A34925"</definedName>
    <definedName name="FDD_58_84" hidden="1">"A34932"</definedName>
    <definedName name="FDD_58_85" hidden="1">"A34939"</definedName>
    <definedName name="FDD_58_86" hidden="1">"A34946"</definedName>
    <definedName name="FDD_58_87" hidden="1">"A34953"</definedName>
    <definedName name="FDD_58_88" hidden="1">"A34960"</definedName>
    <definedName name="FDD_58_89" hidden="1">"A34967"</definedName>
    <definedName name="FDD_58_9" hidden="1">"A33969"</definedName>
    <definedName name="FDD_58_90" hidden="1">"A34974"</definedName>
    <definedName name="FDD_58_91" hidden="1">"A34981"</definedName>
    <definedName name="FDD_58_92" hidden="1">"A34988"</definedName>
    <definedName name="FDD_58_93" hidden="1">"A34995"</definedName>
    <definedName name="FDD_58_94" hidden="1">"A35002"</definedName>
    <definedName name="FDD_58_95" hidden="1">"A35009"</definedName>
    <definedName name="FDD_58_96" hidden="1">"A35016"</definedName>
    <definedName name="FDD_58_97" hidden="1">"A35023"</definedName>
    <definedName name="FDD_58_98" hidden="1">"A35030"</definedName>
    <definedName name="FDD_58_99" hidden="1">"A35037"</definedName>
    <definedName name="FDD_59_0" hidden="1">"A30681"</definedName>
    <definedName name="FDD_59_1" hidden="1">"A31047"</definedName>
    <definedName name="FDD_59_10" hidden="1">"A34334"</definedName>
    <definedName name="FDD_59_100" hidden="1">"A35044"</definedName>
    <definedName name="FDD_59_101" hidden="1">"A35051"</definedName>
    <definedName name="FDD_59_102" hidden="1">"A35059"</definedName>
    <definedName name="FDD_59_103" hidden="1">"A35065"</definedName>
    <definedName name="FDD_59_104" hidden="1">"A35072"</definedName>
    <definedName name="FDD_59_105" hidden="1">"A35079"</definedName>
    <definedName name="FDD_59_106" hidden="1">"A35086"</definedName>
    <definedName name="FDD_59_107" hidden="1">"A35093"</definedName>
    <definedName name="FDD_59_108" hidden="1">"A35100"</definedName>
    <definedName name="FDD_59_109" hidden="1">"A35107"</definedName>
    <definedName name="FDD_59_11" hidden="1">"A34699"</definedName>
    <definedName name="FDD_59_110" hidden="1">"A35114"</definedName>
    <definedName name="FDD_59_111" hidden="1">"A35121"</definedName>
    <definedName name="FDD_59_112" hidden="1">"A35128"</definedName>
    <definedName name="FDD_59_113" hidden="1">"A35135"</definedName>
    <definedName name="FDD_59_114" hidden="1">"A35141"</definedName>
    <definedName name="FDD_59_115" hidden="1">"A35149"</definedName>
    <definedName name="FDD_59_116" hidden="1">"A35156"</definedName>
    <definedName name="FDD_59_117" hidden="1">"A35163"</definedName>
    <definedName name="FDD_59_118" hidden="1">"A35170"</definedName>
    <definedName name="FDD_59_119" hidden="1">"A35177"</definedName>
    <definedName name="FDD_59_12" hidden="1">"A35064"</definedName>
    <definedName name="FDD_59_120" hidden="1">"A35184"</definedName>
    <definedName name="FDD_59_121" hidden="1">"A35192"</definedName>
    <definedName name="FDD_59_122" hidden="1">"A35198"</definedName>
    <definedName name="FDD_59_123" hidden="1">"A35205"</definedName>
    <definedName name="FDD_59_124" hidden="1">"A35213"</definedName>
    <definedName name="FDD_59_125" hidden="1">"A35219"</definedName>
    <definedName name="FDD_59_126" hidden="1">"A35226"</definedName>
    <definedName name="FDD_59_127" hidden="1">"A35233"</definedName>
    <definedName name="FDD_59_128" hidden="1">"A35240"</definedName>
    <definedName name="FDD_59_129" hidden="1">"A35247"</definedName>
    <definedName name="FDD_59_13" hidden="1">"A35430"</definedName>
    <definedName name="FDD_59_130" hidden="1">"A35254"</definedName>
    <definedName name="FDD_59_131" hidden="1">"A35261"</definedName>
    <definedName name="FDD_59_132" hidden="1">"A35268"</definedName>
    <definedName name="FDD_59_133" hidden="1">"A35275"</definedName>
    <definedName name="FDD_59_134" hidden="1">"A35282"</definedName>
    <definedName name="FDD_59_135" hidden="1">"A35289"</definedName>
    <definedName name="FDD_59_136" hidden="1">"A35296"</definedName>
    <definedName name="FDD_59_137" hidden="1">"A35303"</definedName>
    <definedName name="FDD_59_138" hidden="1">"A35310"</definedName>
    <definedName name="FDD_59_139" hidden="1">"A35317"</definedName>
    <definedName name="FDD_59_14" hidden="1">"A35795"</definedName>
    <definedName name="FDD_59_140" hidden="1">"A35324"</definedName>
    <definedName name="FDD_59_141" hidden="1">"A35331"</definedName>
    <definedName name="FDD_59_142" hidden="1">"A35338"</definedName>
    <definedName name="FDD_59_143" hidden="1">"A35345"</definedName>
    <definedName name="FDD_59_144" hidden="1">"A35352"</definedName>
    <definedName name="FDD_59_145" hidden="1">"A35359"</definedName>
    <definedName name="FDD_59_146" hidden="1">"A35366"</definedName>
    <definedName name="FDD_59_147" hidden="1">"A35373"</definedName>
    <definedName name="FDD_59_148" hidden="1">"A35380"</definedName>
    <definedName name="FDD_59_149" hidden="1">"A35387"</definedName>
    <definedName name="FDD_59_15" hidden="1">"A34449"</definedName>
    <definedName name="FDD_59_150" hidden="1">"A35394"</definedName>
    <definedName name="FDD_59_151" hidden="1">"A35401"</definedName>
    <definedName name="FDD_59_152" hidden="1">"A35408"</definedName>
    <definedName name="FDD_59_153" hidden="1">"A35415"</definedName>
    <definedName name="FDD_59_154" hidden="1">"A35422"</definedName>
    <definedName name="FDD_59_155" hidden="1">"A35429"</definedName>
    <definedName name="FDD_59_156" hidden="1">"A35436"</definedName>
    <definedName name="FDD_59_157" hidden="1">"A35443"</definedName>
    <definedName name="FDD_59_158" hidden="1">"A35450"</definedName>
    <definedName name="FDD_59_159" hidden="1">"A35457"</definedName>
    <definedName name="FDD_59_16" hidden="1">"A34457"</definedName>
    <definedName name="FDD_59_160" hidden="1">"A35464"</definedName>
    <definedName name="FDD_59_161" hidden="1">"A35471"</definedName>
    <definedName name="FDD_59_162" hidden="1">"A35478"</definedName>
    <definedName name="FDD_59_163" hidden="1">"A35485"</definedName>
    <definedName name="FDD_59_164" hidden="1">"A35492"</definedName>
    <definedName name="FDD_59_165" hidden="1">"A35499"</definedName>
    <definedName name="FDD_59_166" hidden="1">"A35506"</definedName>
    <definedName name="FDD_59_167" hidden="1">"A35513"</definedName>
    <definedName name="FDD_59_168" hidden="1">"A35521"</definedName>
    <definedName name="FDD_59_169" hidden="1">"A35527"</definedName>
    <definedName name="FDD_59_17" hidden="1">"A34463"</definedName>
    <definedName name="FDD_59_170" hidden="1">"A35534"</definedName>
    <definedName name="FDD_59_171" hidden="1">"A35541"</definedName>
    <definedName name="FDD_59_172" hidden="1">"A35548"</definedName>
    <definedName name="FDD_59_173" hidden="1">"A35556"</definedName>
    <definedName name="FDD_59_174" hidden="1">"A35562"</definedName>
    <definedName name="FDD_59_175" hidden="1">"A35569"</definedName>
    <definedName name="FDD_59_176" hidden="1">"A35577"</definedName>
    <definedName name="FDD_59_177" hidden="1">"A35583"</definedName>
    <definedName name="FDD_59_178" hidden="1">"A35590"</definedName>
    <definedName name="FDD_59_179" hidden="1">"A35597"</definedName>
    <definedName name="FDD_59_18" hidden="1">"A34470"</definedName>
    <definedName name="FDD_59_180" hidden="1">"A35604"</definedName>
    <definedName name="FDD_59_181" hidden="1">"A35611"</definedName>
    <definedName name="FDD_59_182" hidden="1">"A35618"</definedName>
    <definedName name="FDD_59_183" hidden="1">"A35625"</definedName>
    <definedName name="FDD_59_184" hidden="1">"A35632"</definedName>
    <definedName name="FDD_59_185" hidden="1">"A35639"</definedName>
    <definedName name="FDD_59_186" hidden="1">"A35646"</definedName>
    <definedName name="FDD_59_187" hidden="1">"A35653"</definedName>
    <definedName name="FDD_59_188" hidden="1">"A35660"</definedName>
    <definedName name="FDD_59_189" hidden="1">"A35668"</definedName>
    <definedName name="FDD_59_19" hidden="1">"A34477"</definedName>
    <definedName name="FDD_59_190" hidden="1">"A35674"</definedName>
    <definedName name="FDD_59_191" hidden="1">"A35681"</definedName>
    <definedName name="FDD_59_192" hidden="1">"A35688"</definedName>
    <definedName name="FDD_59_193" hidden="1">"A35695"</definedName>
    <definedName name="FDD_59_194" hidden="1">"A35702"</definedName>
    <definedName name="FDD_59_195" hidden="1">"A35709"</definedName>
    <definedName name="FDD_59_196" hidden="1">"A35716"</definedName>
    <definedName name="FDD_59_197" hidden="1">"A35723"</definedName>
    <definedName name="FDD_59_198" hidden="1">"A35730"</definedName>
    <definedName name="FDD_59_199" hidden="1">"A35737"</definedName>
    <definedName name="FDD_59_2" hidden="1">"A31412"</definedName>
    <definedName name="FDD_59_20" hidden="1">"A34485"</definedName>
    <definedName name="FDD_59_200" hidden="1">"A35744"</definedName>
    <definedName name="FDD_59_201" hidden="1">"A35751"</definedName>
    <definedName name="FDD_59_202" hidden="1">"A35758"</definedName>
    <definedName name="FDD_59_203" hidden="1">"A35765"</definedName>
    <definedName name="FDD_59_204" hidden="1">"A35772"</definedName>
    <definedName name="FDD_59_205" hidden="1">"A35779"</definedName>
    <definedName name="FDD_59_206" hidden="1">"A35786"</definedName>
    <definedName name="FDD_59_207" hidden="1">"A35793"</definedName>
    <definedName name="FDD_59_208" hidden="1">"A35800"</definedName>
    <definedName name="FDD_59_209" hidden="1">"A35807"</definedName>
    <definedName name="FDD_59_21" hidden="1">"A34491"</definedName>
    <definedName name="FDD_59_210" hidden="1">"A35814"</definedName>
    <definedName name="FDD_59_211" hidden="1">"A35821"</definedName>
    <definedName name="FDD_59_212" hidden="1">"A35828"</definedName>
    <definedName name="FDD_59_213" hidden="1">"A35835"</definedName>
    <definedName name="FDD_59_214" hidden="1">"A35842"</definedName>
    <definedName name="FDD_59_215" hidden="1">"A35849"</definedName>
    <definedName name="FDD_59_216" hidden="1">"A35856"</definedName>
    <definedName name="FDD_59_217" hidden="1">"A35863"</definedName>
    <definedName name="FDD_59_218" hidden="1">"A35870"</definedName>
    <definedName name="FDD_59_219" hidden="1">"A35877"</definedName>
    <definedName name="FDD_59_22" hidden="1">"A34498"</definedName>
    <definedName name="FDD_59_220" hidden="1">"A35884"</definedName>
    <definedName name="FDD_59_221" hidden="1">"A35891"</definedName>
    <definedName name="FDD_59_222" hidden="1">"A35899"</definedName>
    <definedName name="FDD_59_223" hidden="1">"A35905"</definedName>
    <definedName name="FDD_59_224" hidden="1">"A35912"</definedName>
    <definedName name="FDD_59_225" hidden="1">"A35919"</definedName>
    <definedName name="FDD_59_226" hidden="1">"A35926"</definedName>
    <definedName name="FDD_59_227" hidden="1">"A35933"</definedName>
    <definedName name="FDD_59_228" hidden="1">"A35941"</definedName>
    <definedName name="FDD_59_229" hidden="1">"A35947"</definedName>
    <definedName name="FDD_59_23" hidden="1">"A34505"</definedName>
    <definedName name="FDD_59_230" hidden="1">"A35954"</definedName>
    <definedName name="FDD_59_231" hidden="1">"A35961"</definedName>
    <definedName name="FDD_59_232" hidden="1">"A35968"</definedName>
    <definedName name="FDD_59_233" hidden="1">"A35975"</definedName>
    <definedName name="FDD_59_234" hidden="1">"A35982"</definedName>
    <definedName name="FDD_59_235" hidden="1">"A35989"</definedName>
    <definedName name="FDD_59_236" hidden="1">"A35996"</definedName>
    <definedName name="FDD_59_237" hidden="1">"A36003"</definedName>
    <definedName name="FDD_59_238" hidden="1">"A36010"</definedName>
    <definedName name="FDD_59_239" hidden="1">"A36017"</definedName>
    <definedName name="FDD_59_24" hidden="1">"A34512"</definedName>
    <definedName name="FDD_59_240" hidden="1">"A36024"</definedName>
    <definedName name="FDD_59_241" hidden="1">"A36031"</definedName>
    <definedName name="FDD_59_242" hidden="1">"A36039"</definedName>
    <definedName name="FDD_59_243" hidden="1">"A36045"</definedName>
    <definedName name="FDD_59_244" hidden="1">"A36052"</definedName>
    <definedName name="FDD_59_245" hidden="1">"A36059"</definedName>
    <definedName name="FDD_59_246" hidden="1">"A36066"</definedName>
    <definedName name="FDD_59_247" hidden="1">"A36073"</definedName>
    <definedName name="FDD_59_248" hidden="1">"A36080"</definedName>
    <definedName name="FDD_59_249" hidden="1">"A36087"</definedName>
    <definedName name="FDD_59_25" hidden="1">"A34519"</definedName>
    <definedName name="FDD_59_250" hidden="1">"A36094"</definedName>
    <definedName name="FDD_59_251" hidden="1">"A36101"</definedName>
    <definedName name="FDD_59_252" hidden="1">"A36108"</definedName>
    <definedName name="FDD_59_253" hidden="1">"A36116"</definedName>
    <definedName name="FDD_59_254" hidden="1">"A36122"</definedName>
    <definedName name="FDD_59_255" hidden="1">"A36129"</definedName>
    <definedName name="FDD_59_256" hidden="1">"A36136"</definedName>
    <definedName name="FDD_59_257" hidden="1">"A36143"</definedName>
    <definedName name="FDD_59_258" hidden="1">"A36150"</definedName>
    <definedName name="FDD_59_259" hidden="1">"A36157"</definedName>
    <definedName name="FDD_59_26" hidden="1">"A34526"</definedName>
    <definedName name="FDD_59_260" hidden="1">"A36164"</definedName>
    <definedName name="FDD_59_27" hidden="1">"A34533"</definedName>
    <definedName name="FDD_59_28" hidden="1">"A34540"</definedName>
    <definedName name="FDD_59_29" hidden="1">"A34547"</definedName>
    <definedName name="FDD_59_3" hidden="1">"A31777"</definedName>
    <definedName name="FDD_59_30" hidden="1">"A34554"</definedName>
    <definedName name="FDD_59_31" hidden="1">"A34561"</definedName>
    <definedName name="FDD_59_32" hidden="1">"A34568"</definedName>
    <definedName name="FDD_59_33" hidden="1">"A34576"</definedName>
    <definedName name="FDD_59_34" hidden="1">"A34582"</definedName>
    <definedName name="FDD_59_35" hidden="1">"A34589"</definedName>
    <definedName name="FDD_59_36" hidden="1">"A34596"</definedName>
    <definedName name="FDD_59_37" hidden="1">"A34603"</definedName>
    <definedName name="FDD_59_38" hidden="1">"A34610"</definedName>
    <definedName name="FDD_59_39" hidden="1">"A34617"</definedName>
    <definedName name="FDD_59_4" hidden="1">"A32142"</definedName>
    <definedName name="FDD_59_40" hidden="1">"A34624"</definedName>
    <definedName name="FDD_59_41" hidden="1">"A34631"</definedName>
    <definedName name="FDD_59_42" hidden="1">"A34638"</definedName>
    <definedName name="FDD_59_43" hidden="1">"A34645"</definedName>
    <definedName name="FDD_59_44" hidden="1">"A34652"</definedName>
    <definedName name="FDD_59_45" hidden="1">"A34659"</definedName>
    <definedName name="FDD_59_46" hidden="1">"A34666"</definedName>
    <definedName name="FDD_59_47" hidden="1">"A34673"</definedName>
    <definedName name="FDD_59_48" hidden="1">"A34680"</definedName>
    <definedName name="FDD_59_49" hidden="1">"A34687"</definedName>
    <definedName name="FDD_59_5" hidden="1">"A32508"</definedName>
    <definedName name="FDD_59_50" hidden="1">"A34696"</definedName>
    <definedName name="FDD_59_51" hidden="1">"A34702"</definedName>
    <definedName name="FDD_59_52" hidden="1">"A34708"</definedName>
    <definedName name="FDD_59_53" hidden="1">"A34715"</definedName>
    <definedName name="FDD_59_54" hidden="1">"A34722"</definedName>
    <definedName name="FDD_59_55" hidden="1">"A34729"</definedName>
    <definedName name="FDD_59_56" hidden="1">"A34736"</definedName>
    <definedName name="FDD_59_57" hidden="1">"A34743"</definedName>
    <definedName name="FDD_59_58" hidden="1">"A34750"</definedName>
    <definedName name="FDD_59_59" hidden="1">"A34757"</definedName>
    <definedName name="FDD_59_6" hidden="1">"A32873"</definedName>
    <definedName name="FDD_59_60" hidden="1">"A34764"</definedName>
    <definedName name="FDD_59_61" hidden="1">"A34771"</definedName>
    <definedName name="FDD_59_62" hidden="1">"A34778"</definedName>
    <definedName name="FDD_59_63" hidden="1">"A34785"</definedName>
    <definedName name="FDD_59_64" hidden="1">"A34792"</definedName>
    <definedName name="FDD_59_65" hidden="1">"A34799"</definedName>
    <definedName name="FDD_59_66" hidden="1">"A34807"</definedName>
    <definedName name="FDD_59_67" hidden="1">"A34813"</definedName>
    <definedName name="FDD_59_68" hidden="1">"A34820"</definedName>
    <definedName name="FDD_59_69" hidden="1">"A34828"</definedName>
    <definedName name="FDD_59_7" hidden="1">"A33238"</definedName>
    <definedName name="FDD_59_70" hidden="1">"A34834"</definedName>
    <definedName name="FDD_59_71" hidden="1">"A34841"</definedName>
    <definedName name="FDD_59_72" hidden="1">"A34848"</definedName>
    <definedName name="FDD_59_73" hidden="1">"A34855"</definedName>
    <definedName name="FDD_59_74" hidden="1">"A34862"</definedName>
    <definedName name="FDD_59_75" hidden="1">"A34870"</definedName>
    <definedName name="FDD_59_76" hidden="1">"A34876"</definedName>
    <definedName name="FDD_59_77" hidden="1">"A34883"</definedName>
    <definedName name="FDD_59_78" hidden="1">"A34891"</definedName>
    <definedName name="FDD_59_79" hidden="1">"A34897"</definedName>
    <definedName name="FDD_59_8" hidden="1">"A33603"</definedName>
    <definedName name="FDD_59_80" hidden="1">"A34904"</definedName>
    <definedName name="FDD_59_81" hidden="1">"A34911"</definedName>
    <definedName name="FDD_59_82" hidden="1">"A34918"</definedName>
    <definedName name="FDD_59_83" hidden="1">"A34925"</definedName>
    <definedName name="FDD_59_84" hidden="1">"A34932"</definedName>
    <definedName name="FDD_59_85" hidden="1">"A34940"</definedName>
    <definedName name="FDD_59_86" hidden="1">"A34946"</definedName>
    <definedName name="FDD_59_87" hidden="1">"A34953"</definedName>
    <definedName name="FDD_59_88" hidden="1">"A34960"</definedName>
    <definedName name="FDD_59_89" hidden="1">"A34967"</definedName>
    <definedName name="FDD_59_9" hidden="1">"A33969"</definedName>
    <definedName name="FDD_59_90" hidden="1">"A34974"</definedName>
    <definedName name="FDD_59_91" hidden="1">"A34981"</definedName>
    <definedName name="FDD_59_92" hidden="1">"A34988"</definedName>
    <definedName name="FDD_59_93" hidden="1">"A34995"</definedName>
    <definedName name="FDD_59_94" hidden="1">"A35002"</definedName>
    <definedName name="FDD_59_95" hidden="1">"A35009"</definedName>
    <definedName name="FDD_59_96" hidden="1">"A35016"</definedName>
    <definedName name="FDD_59_97" hidden="1">"A35023"</definedName>
    <definedName name="FDD_59_98" hidden="1">"A35030"</definedName>
    <definedName name="FDD_59_99" hidden="1">"A35037"</definedName>
    <definedName name="FDD_6_0" hidden="1">"A25569"</definedName>
    <definedName name="FDD_6_1" hidden="1">"A35795"</definedName>
    <definedName name="FDD_6_2" hidden="1">"E36160"</definedName>
    <definedName name="FDD_6_3" hidden="1">"E36525"</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_1" hidden="1">"E35795"</definedName>
    <definedName name="FDD_7_2" hidden="1">"E36160"</definedName>
    <definedName name="FDD_7_3" hidden="1">"E36525"</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_1" hidden="1">"E35795"</definedName>
    <definedName name="FDD_8_2" hidden="1">"E36160"</definedName>
    <definedName name="FDD_8_3" hidden="1">"E36525"</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_1" hidden="1">"E35795"</definedName>
    <definedName name="FDD_9_2" hidden="1">"E36160"</definedName>
    <definedName name="FDD_9_3" hidden="1">"E36525"</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dddddddddddddd" localSheetId="0" hidden="1">{#N/A,#N/A,FALSE,"Assessment";#N/A,#N/A,FALSE,"Staffing";#N/A,#N/A,FALSE,"Hires";#N/A,#N/A,FALSE,"Assumptions"}</definedName>
    <definedName name="fddddddddddddddd" localSheetId="6" hidden="1">{#N/A,#N/A,FALSE,"Assessment";#N/A,#N/A,FALSE,"Staffing";#N/A,#N/A,FALSE,"Hires";#N/A,#N/A,FALSE,"Assumptions"}</definedName>
    <definedName name="fddddddddddddddd" hidden="1">{#N/A,#N/A,FALSE,"Assessment";#N/A,#N/A,FALSE,"Staffing";#N/A,#N/A,FALSE,"Hires";#N/A,#N/A,FALSE,"Assumptions"}</definedName>
    <definedName name="fddddddddddddddd_1" localSheetId="0" hidden="1">{#N/A,#N/A,FALSE,"Assessment";#N/A,#N/A,FALSE,"Staffing";#N/A,#N/A,FALSE,"Hires";#N/A,#N/A,FALSE,"Assumptions"}</definedName>
    <definedName name="fddddddddddddddd_1" localSheetId="6" hidden="1">{#N/A,#N/A,FALSE,"Assessment";#N/A,#N/A,FALSE,"Staffing";#N/A,#N/A,FALSE,"Hires";#N/A,#N/A,FALSE,"Assumptions"}</definedName>
    <definedName name="fddddddddddddddd_1" hidden="1">{#N/A,#N/A,FALSE,"Assessment";#N/A,#N/A,FALSE,"Staffing";#N/A,#N/A,FALSE,"Hires";#N/A,#N/A,FALSE,"Assumptions"}</definedName>
    <definedName name="fddsafds" localSheetId="0" hidden="1">{#N/A,#N/A,TRUE,"Cover";#N/A,#N/A,TRUE,"Sum";#N/A,#N/A,TRUE,"SubsRev";#N/A,#N/A,TRUE,"CapEx";#N/A,#N/A,TRUE,"OpEx";#N/A,#N/A,TRUE,"SUs";#N/A,#N/A,TRUE,"OrgChart";#N/A,#N/A,TRUE,"Staff";#N/A,#N/A,TRUE,"P&amp;L";#N/A,#N/A,TRUE,"Cash";#N/A,#N/A,TRUE,"BS";#N/A,#N/A,TRUE,"Valuation";#N/A,#N/A,TRUE,"CapEx-Assumptions";#N/A,#N/A,TRUE,"OpEx-Assumptions"}</definedName>
    <definedName name="fddsafds" localSheetId="6" hidden="1">{#N/A,#N/A,TRUE,"Cover";#N/A,#N/A,TRUE,"Sum";#N/A,#N/A,TRUE,"SubsRev";#N/A,#N/A,TRUE,"CapEx";#N/A,#N/A,TRUE,"OpEx";#N/A,#N/A,TRUE,"SUs";#N/A,#N/A,TRUE,"OrgChart";#N/A,#N/A,TRUE,"Staff";#N/A,#N/A,TRUE,"P&amp;L";#N/A,#N/A,TRUE,"Cash";#N/A,#N/A,TRUE,"BS";#N/A,#N/A,TRUE,"Valuation";#N/A,#N/A,TRUE,"CapEx-Assumptions";#N/A,#N/A,TRUE,"OpEx-Assumptions"}</definedName>
    <definedName name="fddsafds" hidden="1">{#N/A,#N/A,TRUE,"Cover";#N/A,#N/A,TRUE,"Sum";#N/A,#N/A,TRUE,"SubsRev";#N/A,#N/A,TRUE,"CapEx";#N/A,#N/A,TRUE,"OpEx";#N/A,#N/A,TRUE,"SUs";#N/A,#N/A,TRUE,"OrgChart";#N/A,#N/A,TRUE,"Staff";#N/A,#N/A,TRUE,"P&amp;L";#N/A,#N/A,TRUE,"Cash";#N/A,#N/A,TRUE,"BS";#N/A,#N/A,TRUE,"Valuation";#N/A,#N/A,TRUE,"CapEx-Assumptions";#N/A,#N/A,TRUE,"OpEx-Assumptions"}</definedName>
    <definedName name="fdfasfda" hidden="1">#REF!</definedName>
    <definedName name="FDFD" localSheetId="0" hidden="1">{#N/A,#N/A,FALSE,"Pharm";#N/A,#N/A,FALSE,"WWCM"}</definedName>
    <definedName name="FDFD" localSheetId="6" hidden="1">{#N/A,#N/A,FALSE,"Pharm";#N/A,#N/A,FALSE,"WWCM"}</definedName>
    <definedName name="FDFD" hidden="1">{#N/A,#N/A,FALSE,"Pharm";#N/A,#N/A,FALSE,"WWCM"}</definedName>
    <definedName name="FDFD_1" localSheetId="0" hidden="1">{#N/A,#N/A,FALSE,"Pharm";#N/A,#N/A,FALSE,"WWCM"}</definedName>
    <definedName name="FDFD_1" localSheetId="6" hidden="1">{#N/A,#N/A,FALSE,"Pharm";#N/A,#N/A,FALSE,"WWCM"}</definedName>
    <definedName name="FDFD_1" hidden="1">{#N/A,#N/A,FALSE,"Pharm";#N/A,#N/A,FALSE,"WWCM"}</definedName>
    <definedName name="FDFD_1_1" localSheetId="0" hidden="1">{#N/A,#N/A,FALSE,"Pharm";#N/A,#N/A,FALSE,"WWCM"}</definedName>
    <definedName name="FDFD_1_1" localSheetId="6" hidden="1">{#N/A,#N/A,FALSE,"Pharm";#N/A,#N/A,FALSE,"WWCM"}</definedName>
    <definedName name="FDFD_1_1" hidden="1">{#N/A,#N/A,FALSE,"Pharm";#N/A,#N/A,FALSE,"WWCM"}</definedName>
    <definedName name="FDFD_2" localSheetId="0" hidden="1">{#N/A,#N/A,FALSE,"Pharm";#N/A,#N/A,FALSE,"WWCM"}</definedName>
    <definedName name="FDFD_2" localSheetId="6" hidden="1">{#N/A,#N/A,FALSE,"Pharm";#N/A,#N/A,FALSE,"WWCM"}</definedName>
    <definedName name="FDFD_2" hidden="1">{#N/A,#N/A,FALSE,"Pharm";#N/A,#N/A,FALSE,"WWCM"}</definedName>
    <definedName name="FDFD_3" localSheetId="0" hidden="1">{#N/A,#N/A,FALSE,"Pharm";#N/A,#N/A,FALSE,"WWCM"}</definedName>
    <definedName name="FDFD_3" localSheetId="6" hidden="1">{#N/A,#N/A,FALSE,"Pharm";#N/A,#N/A,FALSE,"WWCM"}</definedName>
    <definedName name="FDFD_3" hidden="1">{#N/A,#N/A,FALSE,"Pharm";#N/A,#N/A,FALSE,"WWCM"}</definedName>
    <definedName name="FDFD_4" localSheetId="0" hidden="1">{#N/A,#N/A,FALSE,"Pharm";#N/A,#N/A,FALSE,"WWCM"}</definedName>
    <definedName name="FDFD_4" localSheetId="6" hidden="1">{#N/A,#N/A,FALSE,"Pharm";#N/A,#N/A,FALSE,"WWCM"}</definedName>
    <definedName name="FDFD_4" hidden="1">{#N/A,#N/A,FALSE,"Pharm";#N/A,#N/A,FALSE,"WWCM"}</definedName>
    <definedName name="FDFD_5" localSheetId="0" hidden="1">{#N/A,#N/A,FALSE,"Pharm";#N/A,#N/A,FALSE,"WWCM"}</definedName>
    <definedName name="FDFD_5" localSheetId="6" hidden="1">{#N/A,#N/A,FALSE,"Pharm";#N/A,#N/A,FALSE,"WWCM"}</definedName>
    <definedName name="FDFD_5" hidden="1">{#N/A,#N/A,FALSE,"Pharm";#N/A,#N/A,FALSE,"WWCM"}</definedName>
    <definedName name="fdfddss" localSheetId="0" hidden="1">{"Acq_matrix",#N/A,FALSE,"Acquisition Matrix"}</definedName>
    <definedName name="fdfddss" localSheetId="6" hidden="1">{"Acq_matrix",#N/A,FALSE,"Acquisition Matrix"}</definedName>
    <definedName name="fdfddss" hidden="1">{"Acq_matrix",#N/A,FALSE,"Acquisition Matrix"}</definedName>
    <definedName name="fdff" localSheetId="6"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f_1" localSheetId="6" hidden="1">{#N/A,#N/A,FALSE,"SumG";#N/A,#N/A,FALSE,"ElecG";#N/A,#N/A,FALSE,"MechG";#N/A,#N/A,FALSE,"GeotG";#N/A,#N/A,FALSE,"PrcsG";#N/A,#N/A,FALSE,"TunnG";#N/A,#N/A,FALSE,"CivlG";#N/A,#N/A,FALSE,"NtwkG";#N/A,#N/A,FALSE,"EstgG";#N/A,#N/A,FALSE,"PEngG"}</definedName>
    <definedName name="fdff_1" hidden="1">{#N/A,#N/A,FALSE,"SumG";#N/A,#N/A,FALSE,"ElecG";#N/A,#N/A,FALSE,"MechG";#N/A,#N/A,FALSE,"GeotG";#N/A,#N/A,FALSE,"PrcsG";#N/A,#N/A,FALSE,"TunnG";#N/A,#N/A,FALSE,"CivlG";#N/A,#N/A,FALSE,"NtwkG";#N/A,#N/A,FALSE,"EstgG";#N/A,#N/A,FALSE,"PEngG"}</definedName>
    <definedName name="fdfgdgdfgfdg" localSheetId="0" hidden="1">{"comp",#N/A,FALSE,"SPEC";"footnotes",#N/A,FALSE,"SPEC"}</definedName>
    <definedName name="fdfgdgdfgfdg" localSheetId="6" hidden="1">{"comp",#N/A,FALSE,"SPEC";"footnotes",#N/A,FALSE,"SPEC"}</definedName>
    <definedName name="fdfgdgdfgfdg" hidden="1">{"comp",#N/A,FALSE,"SPEC";"footnotes",#N/A,FALSE,"SPEC"}</definedName>
    <definedName name="fdfs" hidden="1">#REF!</definedName>
    <definedName name="fdfsddfsa" localSheetId="6" hidden="1">{#N/A,#N/A,FALSE,"ASSUM"}</definedName>
    <definedName name="fdfsddfsa" hidden="1">{#N/A,#N/A,FALSE,"ASSUM"}</definedName>
    <definedName name="fdfss" localSheetId="0" hidden="1">{"GLI-Income Statement",#N/A,FALSE,"gli";"GLI - Balance Sheet Wksht",#N/A,FALSE,"gli";"GLI-Cash Flow",#N/A,FALSE,"gli";"GLI Qtrly Stats",#N/A,FALSE,"gli"}</definedName>
    <definedName name="fdfss" localSheetId="6" hidden="1">{"GLI-Income Statement",#N/A,FALSE,"gli";"GLI - Balance Sheet Wksht",#N/A,FALSE,"gli";"GLI-Cash Flow",#N/A,FALSE,"gli";"GLI Qtrly Stats",#N/A,FALSE,"gli"}</definedName>
    <definedName name="fdfss" hidden="1">{"GLI-Income Statement",#N/A,FALSE,"gli";"GLI - Balance Sheet Wksht",#N/A,FALSE,"gli";"GLI-Cash Flow",#N/A,FALSE,"gli";"GLI Qtrly Stats",#N/A,FALSE,"gli"}</definedName>
    <definedName name="fdgdfgfdgf" localSheetId="0" hidden="1">{#N/A,#N/A,FALSE,"Produkte Erw.";#N/A,#N/A,FALSE,"Produkte Plan";#N/A,#N/A,FALSE,"Leistungen Erw.";#N/A,#N/A,FALSE,"Leistungen Plan";#N/A,#N/A,FALSE,"KA Allg.Kosten (2)";#N/A,#N/A,FALSE,"KA All.Kosten"}</definedName>
    <definedName name="fdgdfgfdgf" localSheetId="6" hidden="1">{#N/A,#N/A,FALSE,"Produkte Erw.";#N/A,#N/A,FALSE,"Produkte Plan";#N/A,#N/A,FALSE,"Leistungen Erw.";#N/A,#N/A,FALSE,"Leistungen Plan";#N/A,#N/A,FALSE,"KA Allg.Kosten (2)";#N/A,#N/A,FALSE,"KA All.Kosten"}</definedName>
    <definedName name="fdgdfgfdgf" hidden="1">{#N/A,#N/A,FALSE,"Produkte Erw.";#N/A,#N/A,FALSE,"Produkte Plan";#N/A,#N/A,FALSE,"Leistungen Erw.";#N/A,#N/A,FALSE,"Leistungen Plan";#N/A,#N/A,FALSE,"KA Allg.Kosten (2)";#N/A,#N/A,FALSE,"KA All.Kosten"}</definedName>
    <definedName name="fdgdfgfdgf_1" localSheetId="0" hidden="1">{#N/A,#N/A,FALSE,"Produkte Erw.";#N/A,#N/A,FALSE,"Produkte Plan";#N/A,#N/A,FALSE,"Leistungen Erw.";#N/A,#N/A,FALSE,"Leistungen Plan";#N/A,#N/A,FALSE,"KA Allg.Kosten (2)";#N/A,#N/A,FALSE,"KA All.Kosten"}</definedName>
    <definedName name="fdgdfgfdgf_1" localSheetId="6" hidden="1">{#N/A,#N/A,FALSE,"Produkte Erw.";#N/A,#N/A,FALSE,"Produkte Plan";#N/A,#N/A,FALSE,"Leistungen Erw.";#N/A,#N/A,FALSE,"Leistungen Plan";#N/A,#N/A,FALSE,"KA Allg.Kosten (2)";#N/A,#N/A,FALSE,"KA All.Kosten"}</definedName>
    <definedName name="fdgdfgfdgf_1" hidden="1">{#N/A,#N/A,FALSE,"Produkte Erw.";#N/A,#N/A,FALSE,"Produkte Plan";#N/A,#N/A,FALSE,"Leistungen Erw.";#N/A,#N/A,FALSE,"Leistungen Plan";#N/A,#N/A,FALSE,"KA Allg.Kosten (2)";#N/A,#N/A,FALSE,"KA All.Kosten"}</definedName>
    <definedName name="fdgdfgfdgf_1_1" localSheetId="0" hidden="1">{#N/A,#N/A,FALSE,"Produkte Erw.";#N/A,#N/A,FALSE,"Produkte Plan";#N/A,#N/A,FALSE,"Leistungen Erw.";#N/A,#N/A,FALSE,"Leistungen Plan";#N/A,#N/A,FALSE,"KA Allg.Kosten (2)";#N/A,#N/A,FALSE,"KA All.Kosten"}</definedName>
    <definedName name="fdgdfgfdgf_1_1" localSheetId="6" hidden="1">{#N/A,#N/A,FALSE,"Produkte Erw.";#N/A,#N/A,FALSE,"Produkte Plan";#N/A,#N/A,FALSE,"Leistungen Erw.";#N/A,#N/A,FALSE,"Leistungen Plan";#N/A,#N/A,FALSE,"KA Allg.Kosten (2)";#N/A,#N/A,FALSE,"KA All.Kosten"}</definedName>
    <definedName name="fdgdfgfdgf_1_1" hidden="1">{#N/A,#N/A,FALSE,"Produkte Erw.";#N/A,#N/A,FALSE,"Produkte Plan";#N/A,#N/A,FALSE,"Leistungen Erw.";#N/A,#N/A,FALSE,"Leistungen Plan";#N/A,#N/A,FALSE,"KA Allg.Kosten (2)";#N/A,#N/A,FALSE,"KA All.Kosten"}</definedName>
    <definedName name="fdgdfgfdgf_2" localSheetId="0" hidden="1">{#N/A,#N/A,FALSE,"Produkte Erw.";#N/A,#N/A,FALSE,"Produkte Plan";#N/A,#N/A,FALSE,"Leistungen Erw.";#N/A,#N/A,FALSE,"Leistungen Plan";#N/A,#N/A,FALSE,"KA Allg.Kosten (2)";#N/A,#N/A,FALSE,"KA All.Kosten"}</definedName>
    <definedName name="fdgdfgfdgf_2" localSheetId="6" hidden="1">{#N/A,#N/A,FALSE,"Produkte Erw.";#N/A,#N/A,FALSE,"Produkte Plan";#N/A,#N/A,FALSE,"Leistungen Erw.";#N/A,#N/A,FALSE,"Leistungen Plan";#N/A,#N/A,FALSE,"KA Allg.Kosten (2)";#N/A,#N/A,FALSE,"KA All.Kosten"}</definedName>
    <definedName name="fdgdfgfdgf_2" hidden="1">{#N/A,#N/A,FALSE,"Produkte Erw.";#N/A,#N/A,FALSE,"Produkte Plan";#N/A,#N/A,FALSE,"Leistungen Erw.";#N/A,#N/A,FALSE,"Leistungen Plan";#N/A,#N/A,FALSE,"KA Allg.Kosten (2)";#N/A,#N/A,FALSE,"KA All.Kosten"}</definedName>
    <definedName name="fdgdfgfdgf_3" localSheetId="0" hidden="1">{#N/A,#N/A,FALSE,"Produkte Erw.";#N/A,#N/A,FALSE,"Produkte Plan";#N/A,#N/A,FALSE,"Leistungen Erw.";#N/A,#N/A,FALSE,"Leistungen Plan";#N/A,#N/A,FALSE,"KA Allg.Kosten (2)";#N/A,#N/A,FALSE,"KA All.Kosten"}</definedName>
    <definedName name="fdgdfgfdgf_3" localSheetId="6" hidden="1">{#N/A,#N/A,FALSE,"Produkte Erw.";#N/A,#N/A,FALSE,"Produkte Plan";#N/A,#N/A,FALSE,"Leistungen Erw.";#N/A,#N/A,FALSE,"Leistungen Plan";#N/A,#N/A,FALSE,"KA Allg.Kosten (2)";#N/A,#N/A,FALSE,"KA All.Kosten"}</definedName>
    <definedName name="fdgdfgfdgf_3" hidden="1">{#N/A,#N/A,FALSE,"Produkte Erw.";#N/A,#N/A,FALSE,"Produkte Plan";#N/A,#N/A,FALSE,"Leistungen Erw.";#N/A,#N/A,FALSE,"Leistungen Plan";#N/A,#N/A,FALSE,"KA Allg.Kosten (2)";#N/A,#N/A,FALSE,"KA All.Kosten"}</definedName>
    <definedName name="fdgdfgfdgf_4" localSheetId="0" hidden="1">{#N/A,#N/A,FALSE,"Produkte Erw.";#N/A,#N/A,FALSE,"Produkte Plan";#N/A,#N/A,FALSE,"Leistungen Erw.";#N/A,#N/A,FALSE,"Leistungen Plan";#N/A,#N/A,FALSE,"KA Allg.Kosten (2)";#N/A,#N/A,FALSE,"KA All.Kosten"}</definedName>
    <definedName name="fdgdfgfdgf_4" localSheetId="6" hidden="1">{#N/A,#N/A,FALSE,"Produkte Erw.";#N/A,#N/A,FALSE,"Produkte Plan";#N/A,#N/A,FALSE,"Leistungen Erw.";#N/A,#N/A,FALSE,"Leistungen Plan";#N/A,#N/A,FALSE,"KA Allg.Kosten (2)";#N/A,#N/A,FALSE,"KA All.Kosten"}</definedName>
    <definedName name="fdgdfgfdgf_4" hidden="1">{#N/A,#N/A,FALSE,"Produkte Erw.";#N/A,#N/A,FALSE,"Produkte Plan";#N/A,#N/A,FALSE,"Leistungen Erw.";#N/A,#N/A,FALSE,"Leistungen Plan";#N/A,#N/A,FALSE,"KA Allg.Kosten (2)";#N/A,#N/A,FALSE,"KA All.Kosten"}</definedName>
    <definedName name="fdgdfgfdgf_5" localSheetId="0" hidden="1">{#N/A,#N/A,FALSE,"Produkte Erw.";#N/A,#N/A,FALSE,"Produkte Plan";#N/A,#N/A,FALSE,"Leistungen Erw.";#N/A,#N/A,FALSE,"Leistungen Plan";#N/A,#N/A,FALSE,"KA Allg.Kosten (2)";#N/A,#N/A,FALSE,"KA All.Kosten"}</definedName>
    <definedName name="fdgdfgfdgf_5" localSheetId="6" hidden="1">{#N/A,#N/A,FALSE,"Produkte Erw.";#N/A,#N/A,FALSE,"Produkte Plan";#N/A,#N/A,FALSE,"Leistungen Erw.";#N/A,#N/A,FALSE,"Leistungen Plan";#N/A,#N/A,FALSE,"KA Allg.Kosten (2)";#N/A,#N/A,FALSE,"KA All.Kosten"}</definedName>
    <definedName name="fdgdfgfdgf_5" hidden="1">{#N/A,#N/A,FALSE,"Produkte Erw.";#N/A,#N/A,FALSE,"Produkte Plan";#N/A,#N/A,FALSE,"Leistungen Erw.";#N/A,#N/A,FALSE,"Leistungen Plan";#N/A,#N/A,FALSE,"KA Allg.Kosten (2)";#N/A,#N/A,FALSE,"KA All.Kosten"}</definedName>
    <definedName name="fdgfdg" localSheetId="0" hidden="1">{#N/A,#N/A,FALSE,"Umsatz EO BP";#N/A,#N/A,FALSE,"Umsatz EO OP";#N/A,#N/A,FALSE,"ER EO BP";#N/A,#N/A,FALSE,"ER EO OP";#N/A,#N/A,FALSE,"EA EO (2)";#N/A,#N/A,FALSE,"EA EO";#N/A,#N/A,FALSE,"EA EO (3)";#N/A,#N/A,FALSE,"EA EO (4)";#N/A,#N/A,FALSE,"KA EO  (2)";#N/A,#N/A,FALSE,"KA EO";#N/A,#N/A,FALSE,"KA EO  (3)";#N/A,#N/A,FALSE,"KA EO (4)"}</definedName>
    <definedName name="fdgfdg" localSheetId="6" hidden="1">{#N/A,#N/A,FALSE,"Umsatz EO BP";#N/A,#N/A,FALSE,"Umsatz EO OP";#N/A,#N/A,FALSE,"ER EO BP";#N/A,#N/A,FALSE,"ER EO OP";#N/A,#N/A,FALSE,"EA EO (2)";#N/A,#N/A,FALSE,"EA EO";#N/A,#N/A,FALSE,"EA EO (3)";#N/A,#N/A,FALSE,"EA EO (4)";#N/A,#N/A,FALSE,"KA EO  (2)";#N/A,#N/A,FALSE,"KA EO";#N/A,#N/A,FALSE,"KA EO  (3)";#N/A,#N/A,FALSE,"KA EO (4)"}</definedName>
    <definedName name="fdgfdg" hidden="1">{#N/A,#N/A,FALSE,"Umsatz EO BP";#N/A,#N/A,FALSE,"Umsatz EO OP";#N/A,#N/A,FALSE,"ER EO BP";#N/A,#N/A,FALSE,"ER EO OP";#N/A,#N/A,FALSE,"EA EO (2)";#N/A,#N/A,FALSE,"EA EO";#N/A,#N/A,FALSE,"EA EO (3)";#N/A,#N/A,FALSE,"EA EO (4)";#N/A,#N/A,FALSE,"KA EO  (2)";#N/A,#N/A,FALSE,"KA EO";#N/A,#N/A,FALSE,"KA EO  (3)";#N/A,#N/A,FALSE,"KA EO (4)"}</definedName>
    <definedName name="fdgfdg_1" localSheetId="0" hidden="1">{#N/A,#N/A,FALSE,"Umsatz EO BP";#N/A,#N/A,FALSE,"Umsatz EO OP";#N/A,#N/A,FALSE,"ER EO BP";#N/A,#N/A,FALSE,"ER EO OP";#N/A,#N/A,FALSE,"EA EO (2)";#N/A,#N/A,FALSE,"EA EO";#N/A,#N/A,FALSE,"EA EO (3)";#N/A,#N/A,FALSE,"EA EO (4)";#N/A,#N/A,FALSE,"KA EO  (2)";#N/A,#N/A,FALSE,"KA EO";#N/A,#N/A,FALSE,"KA EO  (3)";#N/A,#N/A,FALSE,"KA EO (4)"}</definedName>
    <definedName name="fdgfdg_1" localSheetId="6" hidden="1">{#N/A,#N/A,FALSE,"Umsatz EO BP";#N/A,#N/A,FALSE,"Umsatz EO OP";#N/A,#N/A,FALSE,"ER EO BP";#N/A,#N/A,FALSE,"ER EO OP";#N/A,#N/A,FALSE,"EA EO (2)";#N/A,#N/A,FALSE,"EA EO";#N/A,#N/A,FALSE,"EA EO (3)";#N/A,#N/A,FALSE,"EA EO (4)";#N/A,#N/A,FALSE,"KA EO  (2)";#N/A,#N/A,FALSE,"KA EO";#N/A,#N/A,FALSE,"KA EO  (3)";#N/A,#N/A,FALSE,"KA EO (4)"}</definedName>
    <definedName name="fdgfdg_1" hidden="1">{#N/A,#N/A,FALSE,"Umsatz EO BP";#N/A,#N/A,FALSE,"Umsatz EO OP";#N/A,#N/A,FALSE,"ER EO BP";#N/A,#N/A,FALSE,"ER EO OP";#N/A,#N/A,FALSE,"EA EO (2)";#N/A,#N/A,FALSE,"EA EO";#N/A,#N/A,FALSE,"EA EO (3)";#N/A,#N/A,FALSE,"EA EO (4)";#N/A,#N/A,FALSE,"KA EO  (2)";#N/A,#N/A,FALSE,"KA EO";#N/A,#N/A,FALSE,"KA EO  (3)";#N/A,#N/A,FALSE,"KA EO (4)"}</definedName>
    <definedName name="fdgfdg_1_1" localSheetId="0" hidden="1">{#N/A,#N/A,FALSE,"Umsatz EO BP";#N/A,#N/A,FALSE,"Umsatz EO OP";#N/A,#N/A,FALSE,"ER EO BP";#N/A,#N/A,FALSE,"ER EO OP";#N/A,#N/A,FALSE,"EA EO (2)";#N/A,#N/A,FALSE,"EA EO";#N/A,#N/A,FALSE,"EA EO (3)";#N/A,#N/A,FALSE,"EA EO (4)";#N/A,#N/A,FALSE,"KA EO  (2)";#N/A,#N/A,FALSE,"KA EO";#N/A,#N/A,FALSE,"KA EO  (3)";#N/A,#N/A,FALSE,"KA EO (4)"}</definedName>
    <definedName name="fdgfdg_1_1" localSheetId="6" hidden="1">{#N/A,#N/A,FALSE,"Umsatz EO BP";#N/A,#N/A,FALSE,"Umsatz EO OP";#N/A,#N/A,FALSE,"ER EO BP";#N/A,#N/A,FALSE,"ER EO OP";#N/A,#N/A,FALSE,"EA EO (2)";#N/A,#N/A,FALSE,"EA EO";#N/A,#N/A,FALSE,"EA EO (3)";#N/A,#N/A,FALSE,"EA EO (4)";#N/A,#N/A,FALSE,"KA EO  (2)";#N/A,#N/A,FALSE,"KA EO";#N/A,#N/A,FALSE,"KA EO  (3)";#N/A,#N/A,FALSE,"KA EO (4)"}</definedName>
    <definedName name="fdgfdg_1_1" hidden="1">{#N/A,#N/A,FALSE,"Umsatz EO BP";#N/A,#N/A,FALSE,"Umsatz EO OP";#N/A,#N/A,FALSE,"ER EO BP";#N/A,#N/A,FALSE,"ER EO OP";#N/A,#N/A,FALSE,"EA EO (2)";#N/A,#N/A,FALSE,"EA EO";#N/A,#N/A,FALSE,"EA EO (3)";#N/A,#N/A,FALSE,"EA EO (4)";#N/A,#N/A,FALSE,"KA EO  (2)";#N/A,#N/A,FALSE,"KA EO";#N/A,#N/A,FALSE,"KA EO  (3)";#N/A,#N/A,FALSE,"KA EO (4)"}</definedName>
    <definedName name="fdgfdg_2" localSheetId="0" hidden="1">{#N/A,#N/A,FALSE,"Umsatz EO BP";#N/A,#N/A,FALSE,"Umsatz EO OP";#N/A,#N/A,FALSE,"ER EO BP";#N/A,#N/A,FALSE,"ER EO OP";#N/A,#N/A,FALSE,"EA EO (2)";#N/A,#N/A,FALSE,"EA EO";#N/A,#N/A,FALSE,"EA EO (3)";#N/A,#N/A,FALSE,"EA EO (4)";#N/A,#N/A,FALSE,"KA EO  (2)";#N/A,#N/A,FALSE,"KA EO";#N/A,#N/A,FALSE,"KA EO  (3)";#N/A,#N/A,FALSE,"KA EO (4)"}</definedName>
    <definedName name="fdgfdg_2" localSheetId="6" hidden="1">{#N/A,#N/A,FALSE,"Umsatz EO BP";#N/A,#N/A,FALSE,"Umsatz EO OP";#N/A,#N/A,FALSE,"ER EO BP";#N/A,#N/A,FALSE,"ER EO OP";#N/A,#N/A,FALSE,"EA EO (2)";#N/A,#N/A,FALSE,"EA EO";#N/A,#N/A,FALSE,"EA EO (3)";#N/A,#N/A,FALSE,"EA EO (4)";#N/A,#N/A,FALSE,"KA EO  (2)";#N/A,#N/A,FALSE,"KA EO";#N/A,#N/A,FALSE,"KA EO  (3)";#N/A,#N/A,FALSE,"KA EO (4)"}</definedName>
    <definedName name="fdgfdg_2" hidden="1">{#N/A,#N/A,FALSE,"Umsatz EO BP";#N/A,#N/A,FALSE,"Umsatz EO OP";#N/A,#N/A,FALSE,"ER EO BP";#N/A,#N/A,FALSE,"ER EO OP";#N/A,#N/A,FALSE,"EA EO (2)";#N/A,#N/A,FALSE,"EA EO";#N/A,#N/A,FALSE,"EA EO (3)";#N/A,#N/A,FALSE,"EA EO (4)";#N/A,#N/A,FALSE,"KA EO  (2)";#N/A,#N/A,FALSE,"KA EO";#N/A,#N/A,FALSE,"KA EO  (3)";#N/A,#N/A,FALSE,"KA EO (4)"}</definedName>
    <definedName name="fdgfdg_3" localSheetId="0" hidden="1">{#N/A,#N/A,FALSE,"Umsatz EO BP";#N/A,#N/A,FALSE,"Umsatz EO OP";#N/A,#N/A,FALSE,"ER EO BP";#N/A,#N/A,FALSE,"ER EO OP";#N/A,#N/A,FALSE,"EA EO (2)";#N/A,#N/A,FALSE,"EA EO";#N/A,#N/A,FALSE,"EA EO (3)";#N/A,#N/A,FALSE,"EA EO (4)";#N/A,#N/A,FALSE,"KA EO  (2)";#N/A,#N/A,FALSE,"KA EO";#N/A,#N/A,FALSE,"KA EO  (3)";#N/A,#N/A,FALSE,"KA EO (4)"}</definedName>
    <definedName name="fdgfdg_3" localSheetId="6" hidden="1">{#N/A,#N/A,FALSE,"Umsatz EO BP";#N/A,#N/A,FALSE,"Umsatz EO OP";#N/A,#N/A,FALSE,"ER EO BP";#N/A,#N/A,FALSE,"ER EO OP";#N/A,#N/A,FALSE,"EA EO (2)";#N/A,#N/A,FALSE,"EA EO";#N/A,#N/A,FALSE,"EA EO (3)";#N/A,#N/A,FALSE,"EA EO (4)";#N/A,#N/A,FALSE,"KA EO  (2)";#N/A,#N/A,FALSE,"KA EO";#N/A,#N/A,FALSE,"KA EO  (3)";#N/A,#N/A,FALSE,"KA EO (4)"}</definedName>
    <definedName name="fdgfdg_3" hidden="1">{#N/A,#N/A,FALSE,"Umsatz EO BP";#N/A,#N/A,FALSE,"Umsatz EO OP";#N/A,#N/A,FALSE,"ER EO BP";#N/A,#N/A,FALSE,"ER EO OP";#N/A,#N/A,FALSE,"EA EO (2)";#N/A,#N/A,FALSE,"EA EO";#N/A,#N/A,FALSE,"EA EO (3)";#N/A,#N/A,FALSE,"EA EO (4)";#N/A,#N/A,FALSE,"KA EO  (2)";#N/A,#N/A,FALSE,"KA EO";#N/A,#N/A,FALSE,"KA EO  (3)";#N/A,#N/A,FALSE,"KA EO (4)"}</definedName>
    <definedName name="fdgfdg_4" localSheetId="0" hidden="1">{#N/A,#N/A,FALSE,"Umsatz EO BP";#N/A,#N/A,FALSE,"Umsatz EO OP";#N/A,#N/A,FALSE,"ER EO BP";#N/A,#N/A,FALSE,"ER EO OP";#N/A,#N/A,FALSE,"EA EO (2)";#N/A,#N/A,FALSE,"EA EO";#N/A,#N/A,FALSE,"EA EO (3)";#N/A,#N/A,FALSE,"EA EO (4)";#N/A,#N/A,FALSE,"KA EO  (2)";#N/A,#N/A,FALSE,"KA EO";#N/A,#N/A,FALSE,"KA EO  (3)";#N/A,#N/A,FALSE,"KA EO (4)"}</definedName>
    <definedName name="fdgfdg_4" localSheetId="6" hidden="1">{#N/A,#N/A,FALSE,"Umsatz EO BP";#N/A,#N/A,FALSE,"Umsatz EO OP";#N/A,#N/A,FALSE,"ER EO BP";#N/A,#N/A,FALSE,"ER EO OP";#N/A,#N/A,FALSE,"EA EO (2)";#N/A,#N/A,FALSE,"EA EO";#N/A,#N/A,FALSE,"EA EO (3)";#N/A,#N/A,FALSE,"EA EO (4)";#N/A,#N/A,FALSE,"KA EO  (2)";#N/A,#N/A,FALSE,"KA EO";#N/A,#N/A,FALSE,"KA EO  (3)";#N/A,#N/A,FALSE,"KA EO (4)"}</definedName>
    <definedName name="fdgfdg_4" hidden="1">{#N/A,#N/A,FALSE,"Umsatz EO BP";#N/A,#N/A,FALSE,"Umsatz EO OP";#N/A,#N/A,FALSE,"ER EO BP";#N/A,#N/A,FALSE,"ER EO OP";#N/A,#N/A,FALSE,"EA EO (2)";#N/A,#N/A,FALSE,"EA EO";#N/A,#N/A,FALSE,"EA EO (3)";#N/A,#N/A,FALSE,"EA EO (4)";#N/A,#N/A,FALSE,"KA EO  (2)";#N/A,#N/A,FALSE,"KA EO";#N/A,#N/A,FALSE,"KA EO  (3)";#N/A,#N/A,FALSE,"KA EO (4)"}</definedName>
    <definedName name="fdgfdg_5" localSheetId="0" hidden="1">{#N/A,#N/A,FALSE,"Umsatz EO BP";#N/A,#N/A,FALSE,"Umsatz EO OP";#N/A,#N/A,FALSE,"ER EO BP";#N/A,#N/A,FALSE,"ER EO OP";#N/A,#N/A,FALSE,"EA EO (2)";#N/A,#N/A,FALSE,"EA EO";#N/A,#N/A,FALSE,"EA EO (3)";#N/A,#N/A,FALSE,"EA EO (4)";#N/A,#N/A,FALSE,"KA EO  (2)";#N/A,#N/A,FALSE,"KA EO";#N/A,#N/A,FALSE,"KA EO  (3)";#N/A,#N/A,FALSE,"KA EO (4)"}</definedName>
    <definedName name="fdgfdg_5" localSheetId="6" hidden="1">{#N/A,#N/A,FALSE,"Umsatz EO BP";#N/A,#N/A,FALSE,"Umsatz EO OP";#N/A,#N/A,FALSE,"ER EO BP";#N/A,#N/A,FALSE,"ER EO OP";#N/A,#N/A,FALSE,"EA EO (2)";#N/A,#N/A,FALSE,"EA EO";#N/A,#N/A,FALSE,"EA EO (3)";#N/A,#N/A,FALSE,"EA EO (4)";#N/A,#N/A,FALSE,"KA EO  (2)";#N/A,#N/A,FALSE,"KA EO";#N/A,#N/A,FALSE,"KA EO  (3)";#N/A,#N/A,FALSE,"KA EO (4)"}</definedName>
    <definedName name="fdgfdg_5" hidden="1">{#N/A,#N/A,FALSE,"Umsatz EO BP";#N/A,#N/A,FALSE,"Umsatz EO OP";#N/A,#N/A,FALSE,"ER EO BP";#N/A,#N/A,FALSE,"ER EO OP";#N/A,#N/A,FALSE,"EA EO (2)";#N/A,#N/A,FALSE,"EA EO";#N/A,#N/A,FALSE,"EA EO (3)";#N/A,#N/A,FALSE,"EA EO (4)";#N/A,#N/A,FALSE,"KA EO  (2)";#N/A,#N/A,FALSE,"KA EO";#N/A,#N/A,FALSE,"KA EO  (3)";#N/A,#N/A,FALSE,"KA EO (4)"}</definedName>
    <definedName name="fdgfdgfdgfdg" localSheetId="0" hidden="1">{#N/A,#N/A,FALSE,"KA CH  (2)"}</definedName>
    <definedName name="fdgfdgfdgfdg" localSheetId="6" hidden="1">{#N/A,#N/A,FALSE,"KA CH  (2)"}</definedName>
    <definedName name="fdgfdgfdgfdg" hidden="1">{#N/A,#N/A,FALSE,"KA CH  (2)"}</definedName>
    <definedName name="fdgfdgfdgfdg_1" localSheetId="0" hidden="1">{#N/A,#N/A,FALSE,"KA CH  (2)"}</definedName>
    <definedName name="fdgfdgfdgfdg_1" localSheetId="6" hidden="1">{#N/A,#N/A,FALSE,"KA CH  (2)"}</definedName>
    <definedName name="fdgfdgfdgfdg_1" hidden="1">{#N/A,#N/A,FALSE,"KA CH  (2)"}</definedName>
    <definedName name="fdgfdgfdgfdg_1_1" localSheetId="0" hidden="1">{#N/A,#N/A,FALSE,"KA CH  (2)"}</definedName>
    <definedName name="fdgfdgfdgfdg_1_1" localSheetId="6" hidden="1">{#N/A,#N/A,FALSE,"KA CH  (2)"}</definedName>
    <definedName name="fdgfdgfdgfdg_1_1" hidden="1">{#N/A,#N/A,FALSE,"KA CH  (2)"}</definedName>
    <definedName name="fdgfdgfdgfdg_2" localSheetId="0" hidden="1">{#N/A,#N/A,FALSE,"KA CH  (2)"}</definedName>
    <definedName name="fdgfdgfdgfdg_2" localSheetId="6" hidden="1">{#N/A,#N/A,FALSE,"KA CH  (2)"}</definedName>
    <definedName name="fdgfdgfdgfdg_2" hidden="1">{#N/A,#N/A,FALSE,"KA CH  (2)"}</definedName>
    <definedName name="fdgfdgfdgfdg_3" localSheetId="0" hidden="1">{#N/A,#N/A,FALSE,"KA CH  (2)"}</definedName>
    <definedName name="fdgfdgfdgfdg_3" localSheetId="6" hidden="1">{#N/A,#N/A,FALSE,"KA CH  (2)"}</definedName>
    <definedName name="fdgfdgfdgfdg_3" hidden="1">{#N/A,#N/A,FALSE,"KA CH  (2)"}</definedName>
    <definedName name="fdgfdgfdgfdg_4" localSheetId="0" hidden="1">{#N/A,#N/A,FALSE,"KA CH  (2)"}</definedName>
    <definedName name="fdgfdgfdgfdg_4" localSheetId="6" hidden="1">{#N/A,#N/A,FALSE,"KA CH  (2)"}</definedName>
    <definedName name="fdgfdgfdgfdg_4" hidden="1">{#N/A,#N/A,FALSE,"KA CH  (2)"}</definedName>
    <definedName name="fdgfdgfdgfdg_5" localSheetId="0" hidden="1">{#N/A,#N/A,FALSE,"KA CH  (2)"}</definedName>
    <definedName name="fdgfdgfdgfdg_5" localSheetId="6" hidden="1">{#N/A,#N/A,FALSE,"KA CH  (2)"}</definedName>
    <definedName name="fdgfdgfdgfdg_5" hidden="1">{#N/A,#N/A,FALSE,"KA CH  (2)"}</definedName>
    <definedName name="fdgfdgsdgsdgs" localSheetId="0" hidden="1">{#N/A,#N/A,FALSE,"KA CH  (2)"}</definedName>
    <definedName name="fdgfdgsdgsdgs" localSheetId="6" hidden="1">{#N/A,#N/A,FALSE,"KA CH  (2)"}</definedName>
    <definedName name="fdgfdgsdgsdgs" hidden="1">{#N/A,#N/A,FALSE,"KA CH  (2)"}</definedName>
    <definedName name="fdgfdgsdgsdgs_1" localSheetId="0" hidden="1">{#N/A,#N/A,FALSE,"KA CH  (2)"}</definedName>
    <definedName name="fdgfdgsdgsdgs_1" localSheetId="6" hidden="1">{#N/A,#N/A,FALSE,"KA CH  (2)"}</definedName>
    <definedName name="fdgfdgsdgsdgs_1" hidden="1">{#N/A,#N/A,FALSE,"KA CH  (2)"}</definedName>
    <definedName name="fdgfdgsdgsdgs_1_1" localSheetId="0" hidden="1">{#N/A,#N/A,FALSE,"KA CH  (2)"}</definedName>
    <definedName name="fdgfdgsdgsdgs_1_1" localSheetId="6" hidden="1">{#N/A,#N/A,FALSE,"KA CH  (2)"}</definedName>
    <definedName name="fdgfdgsdgsdgs_1_1" hidden="1">{#N/A,#N/A,FALSE,"KA CH  (2)"}</definedName>
    <definedName name="fdgfdgsdgsdgs_2" localSheetId="0" hidden="1">{#N/A,#N/A,FALSE,"KA CH  (2)"}</definedName>
    <definedName name="fdgfdgsdgsdgs_2" localSheetId="6" hidden="1">{#N/A,#N/A,FALSE,"KA CH  (2)"}</definedName>
    <definedName name="fdgfdgsdgsdgs_2" hidden="1">{#N/A,#N/A,FALSE,"KA CH  (2)"}</definedName>
    <definedName name="fdgfdgsdgsdgs_3" localSheetId="0" hidden="1">{#N/A,#N/A,FALSE,"KA CH  (2)"}</definedName>
    <definedName name="fdgfdgsdgsdgs_3" localSheetId="6" hidden="1">{#N/A,#N/A,FALSE,"KA CH  (2)"}</definedName>
    <definedName name="fdgfdgsdgsdgs_3" hidden="1">{#N/A,#N/A,FALSE,"KA CH  (2)"}</definedName>
    <definedName name="fdgfdgsdgsdgs_4" localSheetId="0" hidden="1">{#N/A,#N/A,FALSE,"KA CH  (2)"}</definedName>
    <definedName name="fdgfdgsdgsdgs_4" localSheetId="6" hidden="1">{#N/A,#N/A,FALSE,"KA CH  (2)"}</definedName>
    <definedName name="fdgfdgsdgsdgs_4" hidden="1">{#N/A,#N/A,FALSE,"KA CH  (2)"}</definedName>
    <definedName name="fdgfdgsdgsdgs_5" localSheetId="0" hidden="1">{#N/A,#N/A,FALSE,"KA CH  (2)"}</definedName>
    <definedName name="fdgfdgsdgsdgs_5" localSheetId="6" hidden="1">{#N/A,#N/A,FALSE,"KA CH  (2)"}</definedName>
    <definedName name="fdgfdgsdgsdgs_5" hidden="1">{#N/A,#N/A,FALSE,"KA CH  (2)"}</definedName>
    <definedName name="FDGG" hidden="1">#REF!</definedName>
    <definedName name="fdgsd" localSheetId="0" hidden="1">{#N/A,#N/A,FALSE,"COMP"}</definedName>
    <definedName name="fdgsd" localSheetId="6" hidden="1">{#N/A,#N/A,FALSE,"COMP"}</definedName>
    <definedName name="fdgsd" hidden="1">{#N/A,#N/A,FALSE,"COMP"}</definedName>
    <definedName name="fdhfdh" localSheetId="0" hidden="1">{"First Page",#N/A,FALSE,"Surfactants LBO";"Second Page",#N/A,FALSE,"Surfactants LBO"}</definedName>
    <definedName name="fdhfdh" localSheetId="6" hidden="1">{"First Page",#N/A,FALSE,"Surfactants LBO";"Second Page",#N/A,FALSE,"Surfactants LBO"}</definedName>
    <definedName name="fdhfdh" hidden="1">{"First Page",#N/A,FALSE,"Surfactants LBO";"Second Page",#N/A,FALSE,"Surfactants LBO"}</definedName>
    <definedName name="FDHFDHHG" localSheetId="0"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FDHHG" localSheetId="6"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FDHHG"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fghfdh" localSheetId="0" hidden="1">{"First Page",#N/A,FALSE,"Surfactants LBO";"Second Page",#N/A,FALSE,"Surfactants LBO"}</definedName>
    <definedName name="fdhfghfdh" localSheetId="6" hidden="1">{"First Page",#N/A,FALSE,"Surfactants LBO";"Second Page",#N/A,FALSE,"Surfactants LBO"}</definedName>
    <definedName name="fdhfghfdh" hidden="1">{"First Page",#N/A,FALSE,"Surfactants LBO";"Second Page",#N/A,FALSE,"Surfactants LBO"}</definedName>
    <definedName name="fdhhfhfgh" localSheetId="0"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hfhfgh" localSheetId="6"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hhfhfgh"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fdnd" localSheetId="0" hidden="1">{#N/A,#N/A,FALSE,"Assessment";#N/A,#N/A,FALSE,"Staffing";#N/A,#N/A,FALSE,"Hires";#N/A,#N/A,FALSE,"Assumptions"}</definedName>
    <definedName name="fdnd" localSheetId="6" hidden="1">{#N/A,#N/A,FALSE,"Assessment";#N/A,#N/A,FALSE,"Staffing";#N/A,#N/A,FALSE,"Hires";#N/A,#N/A,FALSE,"Assumptions"}</definedName>
    <definedName name="fdnd" hidden="1">{#N/A,#N/A,FALSE,"Assessment";#N/A,#N/A,FALSE,"Staffing";#N/A,#N/A,FALSE,"Hires";#N/A,#N/A,FALSE,"Assumptions"}</definedName>
    <definedName name="fdnd_1" localSheetId="0" hidden="1">{#N/A,#N/A,FALSE,"Assessment";#N/A,#N/A,FALSE,"Staffing";#N/A,#N/A,FALSE,"Hires";#N/A,#N/A,FALSE,"Assumptions"}</definedName>
    <definedName name="fdnd_1" localSheetId="6" hidden="1">{#N/A,#N/A,FALSE,"Assessment";#N/A,#N/A,FALSE,"Staffing";#N/A,#N/A,FALSE,"Hires";#N/A,#N/A,FALSE,"Assumptions"}</definedName>
    <definedName name="fdnd_1" hidden="1">{#N/A,#N/A,FALSE,"Assessment";#N/A,#N/A,FALSE,"Staffing";#N/A,#N/A,FALSE,"Hires";#N/A,#N/A,FALSE,"Assumptions"}</definedName>
    <definedName name="fdnfd" localSheetId="0" hidden="1">{#N/A,#N/A,FALSE,"Assessment";#N/A,#N/A,FALSE,"Staffing";#N/A,#N/A,FALSE,"Hires";#N/A,#N/A,FALSE,"Assumptions"}</definedName>
    <definedName name="fdnfd" localSheetId="6" hidden="1">{#N/A,#N/A,FALSE,"Assessment";#N/A,#N/A,FALSE,"Staffing";#N/A,#N/A,FALSE,"Hires";#N/A,#N/A,FALSE,"Assumptions"}</definedName>
    <definedName name="fdnfd" hidden="1">{#N/A,#N/A,FALSE,"Assessment";#N/A,#N/A,FALSE,"Staffing";#N/A,#N/A,FALSE,"Hires";#N/A,#N/A,FALSE,"Assumptions"}</definedName>
    <definedName name="fdnfd_1" localSheetId="0" hidden="1">{#N/A,#N/A,FALSE,"Assessment";#N/A,#N/A,FALSE,"Staffing";#N/A,#N/A,FALSE,"Hires";#N/A,#N/A,FALSE,"Assumptions"}</definedName>
    <definedName name="fdnfd_1" localSheetId="6" hidden="1">{#N/A,#N/A,FALSE,"Assessment";#N/A,#N/A,FALSE,"Staffing";#N/A,#N/A,FALSE,"Hires";#N/A,#N/A,FALSE,"Assumptions"}</definedName>
    <definedName name="fdnfd_1" hidden="1">{#N/A,#N/A,FALSE,"Assessment";#N/A,#N/A,FALSE,"Staffing";#N/A,#N/A,FALSE,"Hires";#N/A,#N/A,FALSE,"Assumptions"}</definedName>
    <definedName name="fdnfdn" localSheetId="0" hidden="1">{#N/A,#N/A,FALSE,"Assessment";#N/A,#N/A,FALSE,"Staffing";#N/A,#N/A,FALSE,"Hires";#N/A,#N/A,FALSE,"Assumptions"}</definedName>
    <definedName name="fdnfdn" localSheetId="6" hidden="1">{#N/A,#N/A,FALSE,"Assessment";#N/A,#N/A,FALSE,"Staffing";#N/A,#N/A,FALSE,"Hires";#N/A,#N/A,FALSE,"Assumptions"}</definedName>
    <definedName name="fdnfdn" hidden="1">{#N/A,#N/A,FALSE,"Assessment";#N/A,#N/A,FALSE,"Staffing";#N/A,#N/A,FALSE,"Hires";#N/A,#N/A,FALSE,"Assumptions"}</definedName>
    <definedName name="fdnfdn_1" localSheetId="0" hidden="1">{#N/A,#N/A,FALSE,"Assessment";#N/A,#N/A,FALSE,"Staffing";#N/A,#N/A,FALSE,"Hires";#N/A,#N/A,FALSE,"Assumptions"}</definedName>
    <definedName name="fdnfdn_1" localSheetId="6" hidden="1">{#N/A,#N/A,FALSE,"Assessment";#N/A,#N/A,FALSE,"Staffing";#N/A,#N/A,FALSE,"Hires";#N/A,#N/A,FALSE,"Assumptions"}</definedName>
    <definedName name="fdnfdn_1" hidden="1">{#N/A,#N/A,FALSE,"Assessment";#N/A,#N/A,FALSE,"Staffing";#N/A,#N/A,FALSE,"Hires";#N/A,#N/A,FALSE,"Assumptions"}</definedName>
    <definedName name="FDP_0_1_aUrv" hidden="1">#REF!</definedName>
    <definedName name="FDP_1_1_aUrv" hidden="1">#REF!</definedName>
    <definedName name="FDP_10_1_aDrv" hidden="1">#REF!</definedName>
    <definedName name="FDP_10_1_aUrv" hidden="1">#REF!</definedName>
    <definedName name="FDP_100_1_aUrv" hidden="1">#REF!</definedName>
    <definedName name="FDP_101_1_aUrv" hidden="1">#REF!</definedName>
    <definedName name="FDP_102_1_aUrv" hidden="1">#REF!</definedName>
    <definedName name="FDP_103_1_aUrv" hidden="1">#REF!</definedName>
    <definedName name="FDP_104_1_aUrv" hidden="1">#REF!</definedName>
    <definedName name="FDP_105_1_aUrv" hidden="1">#REF!</definedName>
    <definedName name="FDP_106_1_aUrv" hidden="1">#REF!</definedName>
    <definedName name="FDP_107_1_aSrv" hidden="1">#REF!</definedName>
    <definedName name="FDP_107_1_aUrv" hidden="1">#REF!</definedName>
    <definedName name="FDP_108_1_aSrv" hidden="1">#REF!</definedName>
    <definedName name="FDP_108_1_aUrv" hidden="1">#REF!</definedName>
    <definedName name="FDP_109_1_aUrv" hidden="1">#REF!</definedName>
    <definedName name="FDP_11_1_aDrv" hidden="1">#REF!</definedName>
    <definedName name="FDP_11_1_aUrv" hidden="1">#REF!</definedName>
    <definedName name="FDP_110_1_aU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16_1_aUrv" hidden="1">#REF!</definedName>
    <definedName name="FDP_117_1_aUrv" hidden="1">#REF!</definedName>
    <definedName name="FDP_118_1_aUrv" hidden="1">#REF!</definedName>
    <definedName name="FDP_119_1_aUrv" hidden="1">#REF!</definedName>
    <definedName name="FDP_12_1_aDrv" hidden="1">#REF!</definedName>
    <definedName name="FDP_12_1_aUrv" hidden="1">#REF!</definedName>
    <definedName name="FDP_120_1_aSrv" hidden="1">#REF!</definedName>
    <definedName name="FDP_120_1_aUrv" hidden="1">#REF!</definedName>
    <definedName name="FDP_121_1_aSrv" hidden="1">#REF!</definedName>
    <definedName name="FDP_121_1_aUrv" hidden="1">#REF!</definedName>
    <definedName name="FDP_122_1_aUrv" hidden="1">#REF!</definedName>
    <definedName name="FDP_123_1_aUrv" hidden="1">#REF!</definedName>
    <definedName name="FDP_124_1_aUrv" hidden="1">#REF!</definedName>
    <definedName name="FDP_125_1_aUrv" hidden="1">#REF!</definedName>
    <definedName name="FDP_126_1_aUrv" hidden="1">#REF!</definedName>
    <definedName name="FDP_127_1_aUrv" hidden="1">#REF!</definedName>
    <definedName name="FDP_128_1_aUrv" hidden="1">#REF!</definedName>
    <definedName name="FDP_129_1_aSrv" hidden="1">#REF!</definedName>
    <definedName name="FDP_129_1_aUrv" hidden="1">#REF!</definedName>
    <definedName name="FDP_13_1_aDrv" hidden="1">#REF!</definedName>
    <definedName name="FDP_13_1_aUrv" hidden="1">#REF!</definedName>
    <definedName name="FDP_130_1_aUrv" hidden="1">#REF!</definedName>
    <definedName name="FDP_131_1_aSrv" hidden="1">#REF!</definedName>
    <definedName name="FDP_131_1_aUrv" hidden="1">#REF!</definedName>
    <definedName name="FDP_132_1_aUrv" hidden="1">#REF!</definedName>
    <definedName name="FDP_133_1_aUrv" hidden="1">#REF!</definedName>
    <definedName name="FDP_134_1_aUrv" hidden="1">#REF!</definedName>
    <definedName name="FDP_135_1_aUrv" hidden="1">#REF!</definedName>
    <definedName name="FDP_136_1_aSrv" hidden="1">#REF!</definedName>
    <definedName name="FDP_136_1_aUrv" hidden="1">#REF!</definedName>
    <definedName name="FDP_137_1_aSrv" hidden="1">#REF!</definedName>
    <definedName name="FDP_137_1_aUrv" hidden="1">#REF!</definedName>
    <definedName name="FDP_138_1_aSrv" hidden="1">#REF!</definedName>
    <definedName name="FDP_138_1_aUrv" hidden="1">#REF!</definedName>
    <definedName name="FDP_139_1_aUrv" hidden="1">#REF!</definedName>
    <definedName name="FDP_14_1_aDrv" hidden="1">#REF!</definedName>
    <definedName name="FDP_14_1_aSrv" hidden="1">#REF!</definedName>
    <definedName name="FDP_14_1_aUrv" hidden="1">#REF!</definedName>
    <definedName name="FDP_140_1_aUrv" hidden="1">#REF!</definedName>
    <definedName name="FDP_141_1_aSrv" hidden="1">#REF!</definedName>
    <definedName name="FDP_141_1_aUrv" hidden="1">#REF!</definedName>
    <definedName name="FDP_142_1_aUrv" hidden="1">#REF!</definedName>
    <definedName name="FDP_143_1_aSrv" hidden="1">#REF!</definedName>
    <definedName name="FDP_143_1_aUrv" hidden="1">#REF!</definedName>
    <definedName name="FDP_144_1_aSrv" hidden="1">#REF!</definedName>
    <definedName name="FDP_144_1_aUrv" hidden="1">#REF!</definedName>
    <definedName name="FDP_145_1_aSrv" hidden="1">#REF!</definedName>
    <definedName name="FDP_145_1_aUrv" hidden="1">#REF!</definedName>
    <definedName name="FDP_146_1_aSrv" hidden="1">#REF!</definedName>
    <definedName name="FDP_146_1_aUrv" hidden="1">#REF!</definedName>
    <definedName name="FDP_147_1_aSrv" hidden="1">#REF!</definedName>
    <definedName name="FDP_147_1_aUrv" hidden="1">#REF!</definedName>
    <definedName name="FDP_148_1_aSrv" hidden="1">#REF!</definedName>
    <definedName name="FDP_148_1_aUrv" hidden="1">#REF!</definedName>
    <definedName name="FDP_149_1_aSrv" hidden="1">#REF!</definedName>
    <definedName name="FDP_149_1_aUrv" hidden="1">#REF!</definedName>
    <definedName name="FDP_15_1_aUrv" hidden="1">#REF!</definedName>
    <definedName name="FDP_150_1_aSrv" hidden="1">#REF!</definedName>
    <definedName name="FDP_150_1_aUrv" hidden="1">#REF!</definedName>
    <definedName name="FDP_151_1_aUrv" hidden="1">#REF!</definedName>
    <definedName name="FDP_152_1_aSrv" hidden="1">#REF!</definedName>
    <definedName name="FDP_152_1_aUrv" hidden="1">#REF!</definedName>
    <definedName name="FDP_153_1_aUrv" hidden="1">#REF!</definedName>
    <definedName name="FDP_154_1_aSrv" hidden="1">#REF!</definedName>
    <definedName name="FDP_154_1_aUrv" hidden="1">#REF!</definedName>
    <definedName name="FDP_155_1_aSrv" hidden="1">#REF!</definedName>
    <definedName name="FDP_155_1_aUrv" hidden="1">#REF!</definedName>
    <definedName name="FDP_156_1_aDrv" hidden="1">#REF!</definedName>
    <definedName name="FDP_156_1_aSrv" hidden="1">#REF!</definedName>
    <definedName name="FDP_156_1_aUrv" hidden="1">#REF!</definedName>
    <definedName name="FDP_157_1_aSrv" hidden="1">#REF!</definedName>
    <definedName name="FDP_157_1_aUrv" hidden="1">#REF!</definedName>
    <definedName name="FDP_158_1_aSrv" hidden="1">#REF!</definedName>
    <definedName name="FDP_158_1_aUrv" hidden="1">#REF!</definedName>
    <definedName name="FDP_159_1_aSrv" hidden="1">#REF!</definedName>
    <definedName name="FDP_159_1_aUrv" hidden="1">#REF!</definedName>
    <definedName name="FDP_16_1_aDrv" hidden="1">#REF!</definedName>
    <definedName name="FDP_16_1_aUrv" hidden="1">#REF!</definedName>
    <definedName name="FDP_160_1_aSrv" hidden="1">#REF!</definedName>
    <definedName name="FDP_160_1_aUrv" hidden="1">#REF!</definedName>
    <definedName name="FDP_161_1_aDrv" hidden="1">#REF!</definedName>
    <definedName name="FDP_161_1_aSrv" hidden="1">#REF!</definedName>
    <definedName name="FDP_161_1_aUrv" hidden="1">#REF!</definedName>
    <definedName name="FDP_162_1_aDrv" hidden="1">#REF!</definedName>
    <definedName name="FDP_162_1_aUrv" hidden="1">#REF!</definedName>
    <definedName name="FDP_163_1_aDrv" hidden="1">#REF!</definedName>
    <definedName name="FDP_163_1_aSrv" hidden="1">#REF!</definedName>
    <definedName name="FDP_163_1_aUrv" hidden="1">#REF!</definedName>
    <definedName name="FDP_164_1_aDrv" hidden="1">#REF!</definedName>
    <definedName name="FDP_164_1_aUrv" hidden="1">#REF!</definedName>
    <definedName name="FDP_165_1_aDrv" hidden="1">#REF!</definedName>
    <definedName name="FDP_165_1_aSrv" hidden="1">#REF!</definedName>
    <definedName name="FDP_165_1_aUrv" hidden="1">#REF!</definedName>
    <definedName name="FDP_166_1_aDrv" hidden="1">#REF!</definedName>
    <definedName name="FDP_166_1_aUrv" hidden="1">#REF!</definedName>
    <definedName name="FDP_167_1_aDrv" hidden="1">#REF!</definedName>
    <definedName name="FDP_167_1_aUrv" hidden="1">#REF!</definedName>
    <definedName name="FDP_168_1_aDrv" hidden="1">#REF!</definedName>
    <definedName name="FDP_168_1_aSrv" hidden="1">#REF!</definedName>
    <definedName name="FDP_169_1_aDrv" hidden="1">#REF!</definedName>
    <definedName name="FDP_169_1_aUrv" hidden="1">#REF!</definedName>
    <definedName name="FDP_17_1_aUrv" hidden="1">#REF!</definedName>
    <definedName name="FDP_170_1_aDrv" hidden="1">#REF!</definedName>
    <definedName name="FDP_170_1_aSrv" hidden="1">#REF!</definedName>
    <definedName name="FDP_171_1_aDrv" hidden="1">#REF!</definedName>
    <definedName name="FDP_171_1_aUrv" hidden="1">#REF!</definedName>
    <definedName name="FDP_172_1_aDrv" hidden="1">#REF!</definedName>
    <definedName name="FDP_172_1_aUrv" hidden="1">#REF!</definedName>
    <definedName name="FDP_173_1_aDrv" hidden="1">#REF!</definedName>
    <definedName name="FDP_173_1_aUrv" hidden="1">#REF!</definedName>
    <definedName name="FDP_174_1_aDrv" hidden="1">#REF!</definedName>
    <definedName name="FDP_174_1_aSrv" hidden="1">#REF!</definedName>
    <definedName name="FDP_174_1_aUrv" hidden="1">#REF!</definedName>
    <definedName name="FDP_175_1_aDrv" hidden="1">#REF!</definedName>
    <definedName name="FDP_175_1_aUrv" hidden="1">#REF!</definedName>
    <definedName name="FDP_176_1_aDrv" hidden="1">#REF!</definedName>
    <definedName name="FDP_176_1_aUrv" hidden="1">#REF!</definedName>
    <definedName name="FDP_177_1_aDrv" hidden="1">#REF!</definedName>
    <definedName name="FDP_177_1_aSrv" hidden="1">#REF!</definedName>
    <definedName name="FDP_177_1_aUrv" hidden="1">#REF!</definedName>
    <definedName name="FDP_178_1_aDrv" hidden="1">#REF!</definedName>
    <definedName name="FDP_178_1_aSrv" hidden="1">#REF!</definedName>
    <definedName name="FDP_178_1_aUrv" hidden="1">#REF!</definedName>
    <definedName name="FDP_179_1_aSrv" hidden="1">#REF!</definedName>
    <definedName name="FDP_179_1_aUrv" hidden="1">#REF!</definedName>
    <definedName name="FDP_18_1_aUrv" hidden="1">#REF!</definedName>
    <definedName name="FDP_180_1_aSrv" hidden="1">#REF!</definedName>
    <definedName name="FDP_180_1_aUdv" hidden="1">#REF!</definedName>
    <definedName name="FDP_180_1_aUrv" hidden="1">#REF!</definedName>
    <definedName name="FDP_181_1_aSrv" hidden="1">#REF!</definedName>
    <definedName name="FDP_181_1_aUdv" hidden="1">#REF!</definedName>
    <definedName name="FDP_181_1_aUrv" hidden="1">#REF!</definedName>
    <definedName name="FDP_182_1_aDrv" hidden="1">#REF!</definedName>
    <definedName name="FDP_182_1_aSrv" hidden="1">#REF!</definedName>
    <definedName name="FDP_182_1_aUdv" hidden="1">#REF!</definedName>
    <definedName name="FDP_182_1_aUrv" hidden="1">#REF!</definedName>
    <definedName name="FDP_183_1_aDrv" hidden="1">#REF!</definedName>
    <definedName name="FDP_183_1_aSrv" hidden="1">#REF!</definedName>
    <definedName name="FDP_183_1_aUdv" hidden="1">#REF!</definedName>
    <definedName name="FDP_183_1_aUrv" hidden="1">#REF!</definedName>
    <definedName name="FDP_184_1_aUdv" hidden="1">#REF!</definedName>
    <definedName name="FDP_184_1_aUrv" hidden="1">#REF!</definedName>
    <definedName name="FDP_185_1_aSrv" hidden="1">#REF!</definedName>
    <definedName name="FDP_185_1_aUdv" hidden="1">#REF!</definedName>
    <definedName name="FDP_185_1_aUrv" hidden="1">#REF!</definedName>
    <definedName name="FDP_186_1_aSrv" hidden="1">#REF!</definedName>
    <definedName name="FDP_186_1_aUdv" hidden="1">#REF!</definedName>
    <definedName name="FDP_186_1_aUrv" hidden="1">#REF!</definedName>
    <definedName name="FDP_187_1_aSrv" hidden="1">#REF!</definedName>
    <definedName name="FDP_187_1_aUdv" hidden="1">#REF!</definedName>
    <definedName name="FDP_187_1_aUrv" hidden="1">#REF!</definedName>
    <definedName name="FDP_188_1_aSrv" hidden="1">#REF!</definedName>
    <definedName name="FDP_188_1_aUdv" hidden="1">#REF!</definedName>
    <definedName name="FDP_188_1_aUrv" hidden="1">#REF!</definedName>
    <definedName name="FDP_189_1_aSrv" hidden="1">#REF!</definedName>
    <definedName name="FDP_189_1_aUdv" hidden="1">#REF!</definedName>
    <definedName name="FDP_189_1_aUrv" hidden="1">#REF!</definedName>
    <definedName name="FDP_19_1_aDrv" hidden="1">#REF!</definedName>
    <definedName name="FDP_19_1_aUrv" hidden="1">#REF!</definedName>
    <definedName name="FDP_190_1_aSrv" hidden="1">#REF!</definedName>
    <definedName name="FDP_190_1_aUdv" hidden="1">#REF!</definedName>
    <definedName name="FDP_190_1_aUrv" hidden="1">#REF!</definedName>
    <definedName name="FDP_191_1_aSrv" hidden="1">#REF!</definedName>
    <definedName name="FDP_191_1_aUdv" hidden="1">#REF!</definedName>
    <definedName name="FDP_191_1_aUrv" hidden="1">#REF!</definedName>
    <definedName name="FDP_192_1_aSrv" hidden="1">#REF!</definedName>
    <definedName name="FDP_192_1_aUdv" hidden="1">#REF!</definedName>
    <definedName name="FDP_192_1_aUrv" hidden="1">#REF!</definedName>
    <definedName name="FDP_193_1_aUdv" hidden="1">#REF!</definedName>
    <definedName name="FDP_193_1_aUrv" hidden="1">#REF!</definedName>
    <definedName name="FDP_194_1_aSrv" hidden="1">#REF!</definedName>
    <definedName name="FDP_194_1_aUdv" hidden="1">#REF!</definedName>
    <definedName name="FDP_194_1_aUrv" hidden="1">#REF!</definedName>
    <definedName name="FDP_195_1_aSrv" hidden="1">#REF!</definedName>
    <definedName name="FDP_195_1_aUdv" hidden="1">#REF!</definedName>
    <definedName name="FDP_195_1_aUrv" hidden="1">#REF!</definedName>
    <definedName name="FDP_196_1_aSrv" hidden="1">#REF!</definedName>
    <definedName name="FDP_196_1_aUdv" hidden="1">#REF!</definedName>
    <definedName name="FDP_196_1_aUrv" hidden="1">#REF!</definedName>
    <definedName name="FDP_196_1aUdv1" hidden="1">#REF!</definedName>
    <definedName name="FDP_197_1_aSrv" hidden="1">#REF!</definedName>
    <definedName name="FDP_197_1_aUdv" hidden="1">#REF!</definedName>
    <definedName name="FDP_197_1_aUrv" hidden="1">#REF!</definedName>
    <definedName name="FDP_198_1_aSrv" hidden="1">#REF!</definedName>
    <definedName name="FDP_198_1_aUdv" hidden="1">#REF!</definedName>
    <definedName name="FDP_198_1_aUrv" hidden="1">#REF!</definedName>
    <definedName name="FDP_199_1_aSrv" hidden="1">#REF!</definedName>
    <definedName name="FDP_199_1_aUdv" hidden="1">#REF!</definedName>
    <definedName name="FDP_199_1_aUrv" hidden="1">#REF!</definedName>
    <definedName name="FDP_2_1_aUrv" hidden="1">#REF!</definedName>
    <definedName name="FDP_20_1_aDrv" hidden="1">#REF!</definedName>
    <definedName name="FDP_20_1_aUrv" hidden="1">#REF!</definedName>
    <definedName name="FDP_200_1_aDdv" hidden="1">#REF!</definedName>
    <definedName name="FDP_200_1_aUrv" hidden="1">#REF!</definedName>
    <definedName name="FDP_201_1_aDdv" hidden="1">#REF!</definedName>
    <definedName name="FDP_201_1_aUrv" hidden="1">#REF!</definedName>
    <definedName name="FDP_202_1_aDdv" hidden="1">#REF!</definedName>
    <definedName name="FDP_202_1_aUrv" hidden="1">#REF!</definedName>
    <definedName name="FDP_203_1_aDdv" hidden="1">#REF!</definedName>
    <definedName name="FDP_203_1_aSrv" hidden="1">#REF!</definedName>
    <definedName name="FDP_203_1_aUrv" hidden="1">#REF!</definedName>
    <definedName name="FDP_204_1_aSrv" hidden="1">#REF!</definedName>
    <definedName name="FDP_204_1_aUrv" hidden="1">#REF!</definedName>
    <definedName name="FDP_205_1_aUrv" hidden="1">#REF!</definedName>
    <definedName name="FDP_206_1_aDrv" hidden="1">#REF!</definedName>
    <definedName name="FDP_206_1_aSrv" hidden="1">#REF!</definedName>
    <definedName name="FDP_206_1_aUrv" hidden="1">#REF!</definedName>
    <definedName name="FDP_207_1_aUrv" hidden="1">#REF!</definedName>
    <definedName name="FDP_208_1_aSrv" hidden="1">#REF!</definedName>
    <definedName name="FDP_208_1_aUrv" hidden="1">#REF!</definedName>
    <definedName name="FDP_209_1_aUrv" hidden="1">#REF!</definedName>
    <definedName name="FDP_21_1_aDrv" hidden="1">#REF!</definedName>
    <definedName name="FDP_21_1_aSrv" hidden="1">#REF!</definedName>
    <definedName name="FDP_21_1_aUrv" hidden="1">#REF!</definedName>
    <definedName name="FDP_210_1_aSrv" hidden="1">#REF!</definedName>
    <definedName name="FDP_210_1_aUrv" hidden="1">#REF!</definedName>
    <definedName name="FDP_211_1_aSrv" hidden="1">#REF!</definedName>
    <definedName name="FDP_211_1_aUrv" hidden="1">#REF!</definedName>
    <definedName name="FDP_212_1_aUrv" hidden="1">#REF!</definedName>
    <definedName name="FDP_213_1_aSrv" hidden="1">#REF!</definedName>
    <definedName name="FDP_213_1_aUrv" hidden="1">#REF!</definedName>
    <definedName name="FDP_214_1_aUrv" hidden="1">#REF!</definedName>
    <definedName name="FDP_215_1_aUrv" hidden="1">#REF!</definedName>
    <definedName name="FDP_216_1_aUrv" hidden="1">#REF!</definedName>
    <definedName name="FDP_217_1_aSrv" hidden="1">#REF!</definedName>
    <definedName name="FDP_217_1_aUrv" hidden="1">#REF!</definedName>
    <definedName name="FDP_218_1_aSrv" hidden="1">#REF!</definedName>
    <definedName name="FDP_218_1_aUrv" hidden="1">#REF!</definedName>
    <definedName name="FDP_219_1_aSrv" hidden="1">#REF!</definedName>
    <definedName name="FDP_219_1_aUrv" hidden="1">#REF!</definedName>
    <definedName name="FDP_22_1_aDrv" hidden="1">#REF!</definedName>
    <definedName name="FDP_22_1_aSrv" hidden="1">#REF!</definedName>
    <definedName name="FDP_22_1_aUrv" hidden="1">#REF!</definedName>
    <definedName name="FDP_220_1_aSrv" hidden="1">#REF!</definedName>
    <definedName name="FDP_220_1_aUrv" hidden="1">#REF!</definedName>
    <definedName name="FDP_221_1_aSrv" hidden="1">#REF!</definedName>
    <definedName name="FDP_221_1_aUrv" hidden="1">#REF!</definedName>
    <definedName name="FDP_222_1_aSrv" hidden="1">#REF!</definedName>
    <definedName name="FDP_222_1_aUrv" hidden="1">#REF!</definedName>
    <definedName name="FDP_223_1_aSrv" hidden="1">#REF!</definedName>
    <definedName name="FDP_223_1_aUrv" hidden="1">#REF!</definedName>
    <definedName name="FDP_224_1_aUrv" hidden="1">#REF!</definedName>
    <definedName name="FDP_225_1_aSrv" hidden="1">#REF!</definedName>
    <definedName name="FDP_225_1_aUrv" hidden="1">#REF!</definedName>
    <definedName name="FDP_226_1_aUrv" hidden="1">#REF!</definedName>
    <definedName name="FDP_227_1_aSrv" hidden="1">#REF!</definedName>
    <definedName name="FDP_227_1_aUrv" hidden="1">#REF!</definedName>
    <definedName name="FDP_228_1_aSrv" hidden="1">#REF!</definedName>
    <definedName name="FDP_228_1_aUrv" hidden="1">#REF!</definedName>
    <definedName name="FDP_229_1_aSrv" hidden="1">#REF!</definedName>
    <definedName name="FDP_229_1_aUrv" hidden="1">#REF!</definedName>
    <definedName name="FDP_23_1_aDrv" hidden="1">#REF!</definedName>
    <definedName name="FDP_23_1_aUrv" hidden="1">#REF!</definedName>
    <definedName name="FDP_230_1_aSrv" hidden="1">#REF!</definedName>
    <definedName name="FDP_230_1_aUrv" hidden="1">#REF!</definedName>
    <definedName name="FDP_231_1_aSrv" hidden="1">#REF!</definedName>
    <definedName name="FDP_231_1_aUrv" hidden="1">#REF!</definedName>
    <definedName name="FDP_232_1_aSrv" hidden="1">#REF!</definedName>
    <definedName name="FDP_232_1_aUrv" hidden="1">#REF!</definedName>
    <definedName name="FDP_233_1_aSrv" hidden="1">#REF!</definedName>
    <definedName name="FDP_233_1_aUrv" hidden="1">#REF!</definedName>
    <definedName name="FDP_234_1_aSrv" hidden="1">#REF!</definedName>
    <definedName name="FDP_234_1_aUrv" hidden="1">#REF!</definedName>
    <definedName name="FDP_235_1_aSrv" hidden="1">#REF!</definedName>
    <definedName name="FDP_235_1_aUrv" hidden="1">#REF!</definedName>
    <definedName name="FDP_236_1_aSrv" hidden="1">#REF!</definedName>
    <definedName name="FDP_236_1_aUrv" hidden="1">#REF!</definedName>
    <definedName name="FDP_237_1_aSrv" hidden="1">#REF!</definedName>
    <definedName name="FDP_237_1_aUrv" hidden="1">#REF!</definedName>
    <definedName name="FDP_238_1_aSrv" hidden="1">#REF!</definedName>
    <definedName name="FDP_238_1_aUrv" hidden="1">#REF!</definedName>
    <definedName name="FDP_239_1_aSrv" hidden="1">#REF!</definedName>
    <definedName name="FDP_239_1_aUrv" hidden="1">#REF!</definedName>
    <definedName name="FDP_24_1_aDrv" hidden="1">#REF!</definedName>
    <definedName name="FDP_24_1_aUrv" hidden="1">#REF!</definedName>
    <definedName name="FDP_240_1_aSrv" hidden="1">#REF!</definedName>
    <definedName name="FDP_240_1_aUrv" hidden="1">#REF!</definedName>
    <definedName name="FDP_241_1_aSrv" hidden="1">#REF!</definedName>
    <definedName name="FDP_241_1_aUrv" hidden="1">#REF!</definedName>
    <definedName name="FDP_242_1_aSrv" hidden="1">#REF!</definedName>
    <definedName name="FDP_243_1_aSrv" hidden="1">#REF!</definedName>
    <definedName name="FDP_244_1_aSrv" hidden="1">#REF!</definedName>
    <definedName name="FDP_245_1_aSrv" hidden="1">#REF!</definedName>
    <definedName name="FDP_246_1_aSrv" hidden="1">#REF!</definedName>
    <definedName name="FDP_247_1_aSrv" hidden="1">#REF!</definedName>
    <definedName name="FDP_248_1_aSrv" hidden="1">#REF!</definedName>
    <definedName name="FDP_248_1_aUrv" hidden="1">#REF!</definedName>
    <definedName name="FDP_249_1_aSrv" hidden="1">#REF!</definedName>
    <definedName name="FDP_249_1_aUrv" hidden="1">#REF!</definedName>
    <definedName name="FDP_25_1_aDrv" hidden="1">#REF!</definedName>
    <definedName name="FDP_25_1_aUrv" hidden="1">#REF!</definedName>
    <definedName name="FDP_250_1_aSrv" hidden="1">#REF!</definedName>
    <definedName name="FDP_250_1_aUrv" hidden="1">#REF!</definedName>
    <definedName name="FDP_251_1_aSrv" hidden="1">#REF!</definedName>
    <definedName name="FDP_251_1_aUrv" hidden="1">#REF!</definedName>
    <definedName name="FDP_252_1_aSrv" hidden="1">#REF!</definedName>
    <definedName name="FDP_253_1_aSrv" hidden="1">#REF!</definedName>
    <definedName name="FDP_253_1_aUrv" hidden="1">#REF!</definedName>
    <definedName name="FDP_254_1_aSrv" hidden="1">#REF!</definedName>
    <definedName name="FDP_254_1_aUrv" hidden="1">#REF!</definedName>
    <definedName name="FDP_255_1_aSrv" hidden="1">#REF!</definedName>
    <definedName name="FDP_255_1_aUrv" hidden="1">#REF!</definedName>
    <definedName name="FDP_256_1_aSrv" hidden="1">#REF!</definedName>
    <definedName name="FDP_256_1_aUrv" hidden="1">#REF!</definedName>
    <definedName name="FDP_257_1_aSrv" hidden="1">#REF!</definedName>
    <definedName name="FDP_258_1_aSrv" hidden="1">#REF!</definedName>
    <definedName name="FDP_258_1_aUrv" hidden="1">#REF!</definedName>
    <definedName name="FDP_259_1_aSrv" hidden="1">#REF!</definedName>
    <definedName name="FDP_259_1_aUrv" hidden="1">#REF!</definedName>
    <definedName name="FDP_26_1_aDrv" hidden="1">#REF!</definedName>
    <definedName name="FDP_26_1_aUrv" hidden="1">#REF!</definedName>
    <definedName name="FDP_260_1_aSrv" hidden="1">#REF!</definedName>
    <definedName name="FDP_260_1_aUrv" hidden="1">#REF!</definedName>
    <definedName name="FDP_261_1_aSrv" hidden="1">#REF!</definedName>
    <definedName name="FDP_261_1_aUrv" hidden="1">#REF!</definedName>
    <definedName name="FDP_262_1_aSrv" hidden="1">#REF!</definedName>
    <definedName name="FDP_263_1_aSrv" hidden="1">#REF!</definedName>
    <definedName name="FDP_263_1_aUrv" hidden="1">#REF!</definedName>
    <definedName name="FDP_264_1_aSrv" hidden="1">#REF!</definedName>
    <definedName name="FDP_264_1_aUrv" hidden="1">#REF!</definedName>
    <definedName name="FDP_265_1_aSrv" hidden="1">#REF!</definedName>
    <definedName name="FDP_265_1_aUrv" hidden="1">#REF!</definedName>
    <definedName name="FDP_266_1_aSrv" hidden="1">#REF!</definedName>
    <definedName name="FDP_266_1_aUrv" hidden="1">#REF!</definedName>
    <definedName name="FDP_267_1_aSrv" hidden="1">#REF!</definedName>
    <definedName name="FDP_267_1_aUrv" hidden="1">#REF!</definedName>
    <definedName name="FDP_268_1_aSrv" hidden="1">#REF!</definedName>
    <definedName name="FDP_268_1_aUrv" hidden="1">#REF!</definedName>
    <definedName name="FDP_269_1_aSrv" hidden="1">#REF!</definedName>
    <definedName name="FDP_269_1_aUrv" hidden="1">#REF!</definedName>
    <definedName name="FDP_27_1_aDrv" hidden="1">#REF!</definedName>
    <definedName name="FDP_27_1_aUrv" hidden="1">#REF!</definedName>
    <definedName name="FDP_270_1_aSrv" hidden="1">#REF!</definedName>
    <definedName name="FDP_270_1_aUrv" hidden="1">#REF!</definedName>
    <definedName name="FDP_271_1_aSrv" hidden="1">#REF!</definedName>
    <definedName name="FDP_271_1_aUrv" hidden="1">#REF!</definedName>
    <definedName name="FDP_272_1_aSrv" hidden="1">#REF!</definedName>
    <definedName name="FDP_272_1_aUrv" hidden="1">#REF!</definedName>
    <definedName name="FDP_273_1_aSrv" hidden="1">#REF!</definedName>
    <definedName name="FDP_273_1_aUrv" hidden="1">#REF!</definedName>
    <definedName name="FDP_274_1_aSrv" hidden="1">#REF!</definedName>
    <definedName name="FDP_274_1_aUrv" hidden="1">#REF!</definedName>
    <definedName name="FDP_275_1_aSrv" hidden="1">#REF!</definedName>
    <definedName name="FDP_275_1_aUrv" hidden="1">#REF!</definedName>
    <definedName name="FDP_276_1_aSrv" hidden="1">#REF!</definedName>
    <definedName name="FDP_276_1_aUrv" hidden="1">#REF!</definedName>
    <definedName name="FDP_277_1_aSrv" hidden="1">#REF!</definedName>
    <definedName name="FDP_277_1_aUrv" hidden="1">#REF!</definedName>
    <definedName name="FDP_278_1_aSrv" hidden="1">#REF!</definedName>
    <definedName name="FDP_278_1_aUrv" hidden="1">#REF!</definedName>
    <definedName name="FDP_279_1_aSrv" hidden="1">#REF!</definedName>
    <definedName name="FDP_279_1_aUrv" hidden="1">#REF!</definedName>
    <definedName name="FDP_28_1_aDrv" hidden="1">#REF!</definedName>
    <definedName name="FDP_28_1_aUrv" hidden="1">#REF!</definedName>
    <definedName name="FDP_280_1_aSrv" hidden="1">#REF!</definedName>
    <definedName name="FDP_280_1_aUrv" hidden="1">#REF!</definedName>
    <definedName name="FDP_281_1_aSrv" hidden="1">#REF!</definedName>
    <definedName name="FDP_281_1_aUrv" hidden="1">#REF!</definedName>
    <definedName name="FDP_282_1_aSrv" hidden="1">#REF!</definedName>
    <definedName name="FDP_282_1_aUrv" hidden="1">#REF!</definedName>
    <definedName name="FDP_283_1_aSrv" hidden="1">#REF!</definedName>
    <definedName name="FDP_283_1_aUrv" hidden="1">#REF!</definedName>
    <definedName name="FDP_284_1_aSrv" hidden="1">#REF!</definedName>
    <definedName name="FDP_284_1_aUrv" hidden="1">#REF!</definedName>
    <definedName name="FDP_285_1_aSrv" hidden="1">#REF!</definedName>
    <definedName name="FDP_285_1_aUrv" hidden="1">#REF!</definedName>
    <definedName name="FDP_286_1_aSrv" hidden="1">#REF!</definedName>
    <definedName name="FDP_286_1_aUrv" hidden="1">#REF!</definedName>
    <definedName name="FDP_287_1_aSrv" hidden="1">#REF!</definedName>
    <definedName name="FDP_287_1_aUrv" hidden="1">#REF!</definedName>
    <definedName name="FDP_288_1_aSrv" hidden="1">#REF!</definedName>
    <definedName name="FDP_288_1_aUrv" hidden="1">#REF!</definedName>
    <definedName name="FDP_289_1_aSrv" hidden="1">#REF!</definedName>
    <definedName name="FDP_289_1_aUrv" hidden="1">#REF!</definedName>
    <definedName name="FDP_29_1_aDrv" hidden="1">#REF!</definedName>
    <definedName name="FDP_29_1_aUrv" hidden="1">#REF!</definedName>
    <definedName name="FDP_290_1_aSrv" hidden="1">#REF!</definedName>
    <definedName name="FDP_290_1_aUrv" hidden="1">#REF!</definedName>
    <definedName name="FDP_291_1_aSrv" hidden="1">#REF!</definedName>
    <definedName name="FDP_291_1_aUrv" hidden="1">#REF!</definedName>
    <definedName name="FDP_292_1_aSrv" hidden="1">#REF!</definedName>
    <definedName name="FDP_293_1_aSrv" hidden="1">#REF!</definedName>
    <definedName name="FDP_293_1_aUrv" hidden="1">#REF!</definedName>
    <definedName name="FDP_294_1_aSrv" hidden="1">#REF!</definedName>
    <definedName name="FDP_294_1_aUrv" hidden="1">#REF!</definedName>
    <definedName name="FDP_295_1_aSrv" hidden="1">#REF!</definedName>
    <definedName name="FDP_296_1_aSrv" hidden="1">#REF!</definedName>
    <definedName name="FDP_297_1_aSrv" hidden="1">#REF!</definedName>
    <definedName name="FDP_298_1_aSrv" hidden="1">#REF!</definedName>
    <definedName name="FDP_299_1_aSrv" hidden="1">#REF!</definedName>
    <definedName name="FDP_299_1_aUrv" hidden="1">#REF!</definedName>
    <definedName name="FDP_3_1_aUrv" hidden="1">#REF!</definedName>
    <definedName name="FDP_30_1_aDrv" hidden="1">#REF!</definedName>
    <definedName name="FDP_30_1_aUrv" hidden="1">#REF!</definedName>
    <definedName name="FDP_300_1_aSrv" hidden="1">#REF!</definedName>
    <definedName name="FDP_300_1_aUrv" hidden="1">#REF!</definedName>
    <definedName name="FDP_301_1_aSrv" hidden="1">#REF!</definedName>
    <definedName name="FDP_301_1_aUrv" hidden="1">#REF!</definedName>
    <definedName name="FDP_302_1_aDrv" hidden="1">#REF!</definedName>
    <definedName name="FDP_302_1_aSrv" hidden="1">#REF!</definedName>
    <definedName name="FDP_303_1_aSrv" hidden="1">#REF!</definedName>
    <definedName name="FDP_303_1_aUrv" hidden="1">#REF!</definedName>
    <definedName name="FDP_304_1_aSrv" hidden="1">#REF!</definedName>
    <definedName name="FDP_305_1_aSrv" hidden="1">#REF!</definedName>
    <definedName name="FDP_306_1_aSrv" hidden="1">#REF!</definedName>
    <definedName name="FDP_307_1_aSrv" hidden="1">#REF!</definedName>
    <definedName name="FDP_308_1_aSrv" hidden="1">#REF!</definedName>
    <definedName name="FDP_309_1_aSrv" hidden="1">#REF!</definedName>
    <definedName name="FDP_31_1_aDrv" hidden="1">#REF!</definedName>
    <definedName name="FDP_31_1_aUrv" hidden="1">#REF!</definedName>
    <definedName name="FDP_310_1_aSrv" hidden="1">#REF!</definedName>
    <definedName name="FDP_311_1_aSrv" hidden="1">#REF!</definedName>
    <definedName name="FDP_312_1_aSrv" hidden="1">#REF!</definedName>
    <definedName name="FDP_313_1_aSrv" hidden="1">#REF!</definedName>
    <definedName name="FDP_314_1_aSrv" hidden="1">#REF!</definedName>
    <definedName name="FDP_315_1_aSrv" hidden="1">#REF!</definedName>
    <definedName name="FDP_316_1_aSrv" hidden="1">#REF!</definedName>
    <definedName name="FDP_317_1_aSrv" hidden="1">#REF!</definedName>
    <definedName name="FDP_318_1_aSrv" hidden="1">#REF!</definedName>
    <definedName name="FDP_319_1_aSrv" hidden="1">#REF!</definedName>
    <definedName name="FDP_32_1_aDrv" hidden="1">#REF!</definedName>
    <definedName name="FDP_32_1_aUrv" hidden="1">#REF!</definedName>
    <definedName name="FDP_320_1_aSrv" hidden="1">#REF!</definedName>
    <definedName name="FDP_321_1_aSrv" hidden="1">#REF!</definedName>
    <definedName name="FDP_322_1_aSrv" hidden="1">#REF!</definedName>
    <definedName name="FDP_323_1_aSrv" hidden="1">#REF!</definedName>
    <definedName name="FDP_324_1_aSrv" hidden="1">#REF!</definedName>
    <definedName name="FDP_325_1_aSrv" hidden="1">#REF!</definedName>
    <definedName name="FDP_326_1_aSrv" hidden="1">#REF!</definedName>
    <definedName name="FDP_327_1_aSrv" hidden="1">#REF!</definedName>
    <definedName name="FDP_328_1_aSrv" hidden="1">#REF!</definedName>
    <definedName name="FDP_329_1_aSrv" hidden="1">#REF!</definedName>
    <definedName name="FDP_33_1_aDrv" hidden="1">#REF!</definedName>
    <definedName name="FDP_33_1_aUrv" hidden="1">#REF!</definedName>
    <definedName name="FDP_330_1_aSrv" hidden="1">#REF!</definedName>
    <definedName name="FDP_331_1_aSrv" hidden="1">#REF!</definedName>
    <definedName name="FDP_332_1_aSrv" hidden="1">#REF!</definedName>
    <definedName name="FDP_333_1_aSrv" hidden="1">#REF!</definedName>
    <definedName name="FDP_334_1_aSrv" hidden="1">#REF!</definedName>
    <definedName name="FDP_335_1_aSrv" hidden="1">#REF!</definedName>
    <definedName name="FDP_336_1_aSrv" hidden="1">#REF!</definedName>
    <definedName name="FDP_337_1_aSrv" hidden="1">#REF!</definedName>
    <definedName name="FDP_338_1_aSrv" hidden="1">#REF!</definedName>
    <definedName name="FDP_339_1_aSrv" hidden="1">#REF!</definedName>
    <definedName name="FDP_34_1_aUrv" hidden="1">#REF!</definedName>
    <definedName name="FDP_340_1_aSrv" hidden="1">#REF!</definedName>
    <definedName name="FDP_341_1_aSrv" hidden="1">#REF!</definedName>
    <definedName name="FDP_342_1_aSrv" hidden="1">#REF!</definedName>
    <definedName name="FDP_343_1_aDrv" hidden="1">#REF!</definedName>
    <definedName name="FDP_344_1_aDrv" hidden="1">#REF!</definedName>
    <definedName name="FDP_345_1_aUrv" hidden="1">#REF!</definedName>
    <definedName name="FDP_346_1_aUrv" hidden="1">#REF!</definedName>
    <definedName name="FDP_347_1_aUrv" hidden="1">#REF!</definedName>
    <definedName name="FDP_348_1_aUrv" hidden="1">#REF!</definedName>
    <definedName name="FDP_349_1_aDrv" hidden="1">#REF!</definedName>
    <definedName name="FDP_35_1_aSrv" hidden="1">#REF!</definedName>
    <definedName name="FDP_35_1_aUrv" hidden="1">#REF!</definedName>
    <definedName name="FDP_350_1_aUrv" hidden="1">#REF!</definedName>
    <definedName name="FDP_351_1_aUrv" hidden="1">#REF!</definedName>
    <definedName name="FDP_352_1_aUrv" hidden="1">#REF!</definedName>
    <definedName name="FDP_353_1_aUrv" hidden="1">#REF!</definedName>
    <definedName name="FDP_354_1_aUrv" hidden="1">#REF!</definedName>
    <definedName name="FDP_355_1_aUrv" hidden="1">#REF!</definedName>
    <definedName name="FDP_356_1_aUrv" hidden="1">#REF!</definedName>
    <definedName name="FDP_357_1_aUrv" hidden="1">#REF!</definedName>
    <definedName name="FDP_358_1_aUrv" hidden="1">#REF!</definedName>
    <definedName name="FDP_359_1_aUrv" hidden="1">#REF!</definedName>
    <definedName name="FDP_36_1_aUrv" hidden="1">#REF!</definedName>
    <definedName name="FDP_360_1_aSrv" hidden="1">#REF!</definedName>
    <definedName name="FDP_361_1_aSrv" hidden="1">#REF!</definedName>
    <definedName name="FDP_362_1_aDrv" hidden="1">#REF!</definedName>
    <definedName name="FDP_363_1_aUrv" hidden="1">#REF!</definedName>
    <definedName name="FDP_364_1_aUrv" hidden="1">#REF!</definedName>
    <definedName name="FDP_365_1_aSrv" hidden="1">#REF!</definedName>
    <definedName name="FDP_366_1_aUrv" hidden="1">#REF!</definedName>
    <definedName name="FDP_367_1_aUrv" hidden="1">#REF!</definedName>
    <definedName name="FDP_368_1_aUrv" hidden="1">#REF!</definedName>
    <definedName name="FDP_369_1_aUrv" hidden="1">#REF!</definedName>
    <definedName name="FDP_37_1_aUrv" hidden="1">#REF!</definedName>
    <definedName name="FDP_370_1_aUrv" hidden="1">#REF!</definedName>
    <definedName name="FDP_371_1_aUrv" hidden="1">#REF!</definedName>
    <definedName name="FDP_372_1_aUrv" hidden="1">#REF!</definedName>
    <definedName name="FDP_373_1_aUrv" hidden="1">#REF!</definedName>
    <definedName name="FDP_374_1_aUrv" hidden="1">#REF!</definedName>
    <definedName name="FDP_375_1_aUrv" hidden="1">#REF!</definedName>
    <definedName name="FDP_376_1_aUrv" hidden="1">#REF!</definedName>
    <definedName name="FDP_377_1_aUrv" hidden="1">#REF!</definedName>
    <definedName name="FDP_378_1_aSrv" hidden="1">#REF!</definedName>
    <definedName name="FDP_379_1_aSrv" hidden="1">#REF!</definedName>
    <definedName name="FDP_38_1_aUrv" hidden="1">#REF!</definedName>
    <definedName name="FDP_380_1_aUrv" hidden="1">#REF!</definedName>
    <definedName name="FDP_381_1_aUrv" hidden="1">#REF!</definedName>
    <definedName name="FDP_382_1_aUrv" hidden="1">#REF!</definedName>
    <definedName name="FDP_383_1_aUrv" hidden="1">#REF!</definedName>
    <definedName name="FDP_384_1_aUrv" hidden="1">#REF!</definedName>
    <definedName name="FDP_385_1_aUrv" hidden="1">#REF!</definedName>
    <definedName name="FDP_386_1_aUrv" hidden="1">#REF!</definedName>
    <definedName name="FDP_387_1_aSrv" hidden="1">#REF!</definedName>
    <definedName name="FDP_388_1_aUrv" hidden="1">#REF!</definedName>
    <definedName name="FDP_389_1_aUrv" hidden="1">#REF!</definedName>
    <definedName name="FDP_39_1_aSrv" hidden="1">#REF!</definedName>
    <definedName name="FDP_39_1_aUrv" hidden="1">#REF!</definedName>
    <definedName name="FDP_390_1_aUrv" hidden="1">#REF!</definedName>
    <definedName name="FDP_391_1_aUrv" hidden="1">#REF!</definedName>
    <definedName name="FDP_392_1_aUrv" hidden="1">#REF!</definedName>
    <definedName name="FDP_393_1_aUrv" hidden="1">#REF!</definedName>
    <definedName name="FDP_394_1_aUrv" hidden="1">#REF!</definedName>
    <definedName name="FDP_395_1_aUrv" hidden="1">#REF!</definedName>
    <definedName name="FDP_396_1_aUrv" hidden="1">#REF!</definedName>
    <definedName name="FDP_397_1_aUrv" hidden="1">#REF!</definedName>
    <definedName name="FDP_398_1_aUrv" hidden="1">#REF!</definedName>
    <definedName name="FDP_399_1_aUrv" hidden="1">#REF!</definedName>
    <definedName name="FDP_4_1_aSrv" hidden="1">#REF!</definedName>
    <definedName name="FDP_4_1_aUrv" hidden="1">#REF!</definedName>
    <definedName name="FDP_40_1_aSrv" hidden="1">#REF!</definedName>
    <definedName name="FDP_40_1_aUrv" hidden="1">#REF!</definedName>
    <definedName name="FDP_400_1_aSrv" hidden="1">#REF!</definedName>
    <definedName name="FDP_401_1_aSrv" hidden="1">#REF!</definedName>
    <definedName name="FDP_402_1_aUdv" hidden="1">#REF!</definedName>
    <definedName name="FDP_403_1_aUdv" hidden="1">#REF!</definedName>
    <definedName name="FDP_404_1_aUdv" hidden="1">#REF!</definedName>
    <definedName name="FDP_405_1_aUdv" hidden="1">#REF!</definedName>
    <definedName name="FDP_406_1_aSrv" hidden="1">#REF!</definedName>
    <definedName name="FDP_407_1_aSrv" hidden="1">#REF!</definedName>
    <definedName name="FDP_408_1_aUrv" hidden="1">#REF!</definedName>
    <definedName name="FDP_409_1_aUrv" hidden="1">#REF!</definedName>
    <definedName name="FDP_41_1_aSrv" hidden="1">#REF!</definedName>
    <definedName name="FDP_41_1_aUrv" hidden="1">#REF!</definedName>
    <definedName name="FDP_410_1_aSrv" hidden="1">#REF!</definedName>
    <definedName name="FDP_411_1_aUrv" hidden="1">#REF!</definedName>
    <definedName name="FDP_412_1_aUdv" hidden="1">#REF!</definedName>
    <definedName name="FDP_413_1_aUdv" hidden="1">#REF!</definedName>
    <definedName name="FDP_414_1_aUdv" hidden="1">#REF!</definedName>
    <definedName name="FDP_415_1_aUdv" hidden="1">#REF!</definedName>
    <definedName name="FDP_416_1_aSrv" hidden="1">#REF!</definedName>
    <definedName name="FDP_417_1_aUrv" hidden="1">#REF!</definedName>
    <definedName name="FDP_418_1_aSrv" hidden="1">#REF!</definedName>
    <definedName name="FDP_419_1_aUrv" hidden="1">#REF!</definedName>
    <definedName name="FDP_42_1_aSrv" hidden="1">#REF!</definedName>
    <definedName name="FDP_42_1_aUrv" hidden="1">#REF!</definedName>
    <definedName name="FDP_420_1_aUrv" hidden="1">#REF!</definedName>
    <definedName name="FDP_421_1_aUrv" hidden="1">#REF!</definedName>
    <definedName name="FDP_422_1_aDdv" hidden="1">#REF!</definedName>
    <definedName name="FDP_423_1_aDdv" hidden="1">#REF!</definedName>
    <definedName name="FDP_424_1_aDdv" hidden="1">#REF!</definedName>
    <definedName name="FDP_425_1_aDdv" hidden="1">#REF!</definedName>
    <definedName name="FDP_426_1_aUrv" hidden="1">#REF!</definedName>
    <definedName name="FDP_427_1_aUrv" hidden="1">#REF!</definedName>
    <definedName name="FDP_428_1_aSrv" hidden="1">#REF!</definedName>
    <definedName name="FDP_429_1_aUrv" hidden="1">#REF!</definedName>
    <definedName name="FDP_43_1_aUrv" hidden="1">#REF!</definedName>
    <definedName name="FDP_430_1_aUrv" hidden="1">#REF!</definedName>
    <definedName name="FDP_431_1_aSrv" hidden="1">#REF!</definedName>
    <definedName name="FDP_432_1_aUrv" hidden="1">#REF!</definedName>
    <definedName name="FDP_433_1_aUdv" hidden="1">#REF!</definedName>
    <definedName name="FDP_434_1_aUdv" hidden="1">#REF!</definedName>
    <definedName name="FDP_435_1_aUdv" hidden="1">#REF!</definedName>
    <definedName name="FDP_436_1_aUrv" hidden="1">#REF!</definedName>
    <definedName name="FDP_437_1_aUrv" hidden="1">#REF!</definedName>
    <definedName name="FDP_438_1_aSrv" hidden="1">#REF!</definedName>
    <definedName name="FDP_439_1_aUrv" hidden="1">#REF!</definedName>
    <definedName name="FDP_44_1_aUrv" hidden="1">#REF!</definedName>
    <definedName name="FDP_440_1_aSrv" hidden="1">#REF!</definedName>
    <definedName name="FDP_441_1_aUdv" hidden="1">#REF!</definedName>
    <definedName name="FDP_442_1_aUdv" hidden="1">#REF!</definedName>
    <definedName name="FDP_443_1_aUdv" hidden="1">#REF!</definedName>
    <definedName name="FDP_444_1_aUdv" hidden="1">#REF!</definedName>
    <definedName name="FDP_445_1_aUrv" hidden="1">#REF!</definedName>
    <definedName name="FDP_446_1_aUrv" hidden="1">#REF!</definedName>
    <definedName name="FDP_447_1_aSrv" hidden="1">#REF!</definedName>
    <definedName name="FDP_448_1_aDrv" hidden="1">#REF!</definedName>
    <definedName name="FDP_449_1_aSrv" hidden="1">#REF!</definedName>
    <definedName name="FDP_45_1_aSrv" hidden="1">#REF!</definedName>
    <definedName name="FDP_45_1_aUrv" hidden="1">#REF!</definedName>
    <definedName name="FDP_450_1_aUrv" hidden="1">#REF!</definedName>
    <definedName name="FDP_451_1_aUrv" hidden="1">#REF!</definedName>
    <definedName name="FDP_452_1_aUrv" hidden="1">#REF!</definedName>
    <definedName name="FDP_453_1_aUrv" hidden="1">#REF!</definedName>
    <definedName name="FDP_454_1_aUrv" hidden="1">#REF!</definedName>
    <definedName name="FDP_455_1_aUrv" hidden="1">#REF!</definedName>
    <definedName name="FDP_456_1_aUrv" hidden="1">#REF!</definedName>
    <definedName name="FDP_457_1_aUrv" hidden="1">#REF!</definedName>
    <definedName name="FDP_458_1_aUrv" hidden="1">#REF!</definedName>
    <definedName name="FDP_459_1_aUrv" hidden="1">#REF!</definedName>
    <definedName name="FDP_46_1_aSrv" hidden="1">#REF!</definedName>
    <definedName name="FDP_46_1_aUrv" hidden="1">#REF!</definedName>
    <definedName name="FDP_460_1_aUrv" hidden="1">#REF!</definedName>
    <definedName name="FDP_461_1_aUrv" hidden="1">#REF!</definedName>
    <definedName name="FDP_462_1_aUrv" hidden="1">#REF!</definedName>
    <definedName name="FDP_463_1_aUrv" hidden="1">#REF!</definedName>
    <definedName name="FDP_464_1_aUrv" hidden="1">#REF!</definedName>
    <definedName name="FDP_465_1_aUrv" hidden="1">#REF!</definedName>
    <definedName name="FDP_466_1_aUrv" hidden="1">#REF!</definedName>
    <definedName name="FDP_467_1_aUrv" hidden="1">#REF!</definedName>
    <definedName name="FDP_468_1_aUrv" hidden="1">#REF!</definedName>
    <definedName name="FDP_469_1_aUrv" hidden="1">#REF!</definedName>
    <definedName name="FDP_47_1_aUrv" hidden="1">#REF!</definedName>
    <definedName name="FDP_470_1_aUrv" hidden="1">#REF!</definedName>
    <definedName name="FDP_471_1_aUrv" hidden="1">#REF!</definedName>
    <definedName name="FDP_472_1_aUrv" hidden="1">#REF!</definedName>
    <definedName name="FDP_473_1_aUrv" hidden="1">#REF!</definedName>
    <definedName name="FDP_474_1_aUrv" hidden="1">#REF!</definedName>
    <definedName name="FDP_475_1_aUrv" hidden="1">#REF!</definedName>
    <definedName name="FDP_476_1_aUrv" hidden="1">#REF!</definedName>
    <definedName name="FDP_477_1_aUrv" hidden="1">#REF!</definedName>
    <definedName name="FDP_478_1_aUrv" hidden="1">#REF!</definedName>
    <definedName name="FDP_479_1_aUrv" hidden="1">#REF!</definedName>
    <definedName name="FDP_48_1_aSrv" hidden="1">#REF!</definedName>
    <definedName name="FDP_48_1_aUrv" hidden="1">#REF!</definedName>
    <definedName name="FDP_480_1_aUrv" hidden="1">#REF!</definedName>
    <definedName name="FDP_481_1_aUrv" hidden="1">#REF!</definedName>
    <definedName name="FDP_482_1_aUrv" hidden="1">#REF!</definedName>
    <definedName name="FDP_483_1_aUrv" hidden="1">#REF!</definedName>
    <definedName name="FDP_484_1_aUrv" hidden="1">#REF!</definedName>
    <definedName name="FDP_485_1_aUrv" hidden="1">#REF!</definedName>
    <definedName name="FDP_486_1_aUrv" hidden="1">#REF!</definedName>
    <definedName name="FDP_487_1_aUrv" hidden="1">#REF!</definedName>
    <definedName name="FDP_488_1_aUrv" hidden="1">#REF!</definedName>
    <definedName name="FDP_489_1_aUrv" hidden="1">#REF!</definedName>
    <definedName name="FDP_49_1_aUrv" hidden="1">#REF!</definedName>
    <definedName name="FDP_490_1_aSrv" hidden="1">#REF!</definedName>
    <definedName name="FDP_491_1_aUrv" hidden="1">#REF!</definedName>
    <definedName name="FDP_492_1_aUrv" hidden="1">#REF!</definedName>
    <definedName name="FDP_493_1_aUrv" hidden="1">#REF!</definedName>
    <definedName name="FDP_494_1_aSrv" hidden="1">#REF!</definedName>
    <definedName name="FDP_495_1_aUrv" hidden="1">#REF!</definedName>
    <definedName name="FDP_496_1_aUrv" hidden="1">#REF!</definedName>
    <definedName name="FDP_497_1_aUrv" hidden="1">#REF!</definedName>
    <definedName name="FDP_498_1_aSrv" hidden="1">#REF!</definedName>
    <definedName name="FDP_499_1_aUrv" hidden="1">#REF!</definedName>
    <definedName name="FDP_5_1_aDrv" hidden="1">#REF!</definedName>
    <definedName name="FDP_5_1_aUrv" hidden="1">#REF!</definedName>
    <definedName name="FDP_50_1_aUrv" hidden="1">#REF!</definedName>
    <definedName name="FDP_500_1_aUrv" hidden="1">#REF!</definedName>
    <definedName name="FDP_501_1_aUrv" hidden="1">#REF!</definedName>
    <definedName name="FDP_502_1_aSrv" hidden="1">#REF!</definedName>
    <definedName name="FDP_503_1_aSrv" hidden="1">#REF!</definedName>
    <definedName name="FDP_504_1_aSrv" hidden="1">#REF!</definedName>
    <definedName name="FDP_505_1_aSrv" hidden="1">#REF!</definedName>
    <definedName name="FDP_506_1_aSrv" hidden="1">#REF!</definedName>
    <definedName name="FDP_507_1_aSrv" hidden="1">#REF!</definedName>
    <definedName name="FDP_508_1_aSrv" hidden="1">#REF!</definedName>
    <definedName name="FDP_509_1_aSrv" hidden="1">#REF!</definedName>
    <definedName name="FDP_51_1_aUrv" hidden="1">#REF!</definedName>
    <definedName name="FDP_510_1_aSrv" hidden="1">#REF!</definedName>
    <definedName name="FDP_511_1_aSrv" hidden="1">#REF!</definedName>
    <definedName name="FDP_512_1_aSrv" hidden="1">#REF!</definedName>
    <definedName name="FDP_513_1_aSrv" hidden="1">#REF!</definedName>
    <definedName name="FDP_514_1_aSrv" hidden="1">#REF!</definedName>
    <definedName name="FDP_515_1_aSrv" hidden="1">#REF!</definedName>
    <definedName name="FDP_516_1_aSrv" hidden="1">#REF!</definedName>
    <definedName name="FDP_517_1_aSrv" hidden="1">#REF!</definedName>
    <definedName name="FDP_518_1_aSrv" hidden="1">#REF!</definedName>
    <definedName name="FDP_519_1_aSrv" hidden="1">#REF!</definedName>
    <definedName name="FDP_52_1_aSrv" hidden="1">#REF!</definedName>
    <definedName name="FDP_52_1_aUrv" hidden="1">#REF!</definedName>
    <definedName name="FDP_520_1_aSrv" hidden="1">#REF!</definedName>
    <definedName name="FDP_521_1_aSrv" hidden="1">#REF!</definedName>
    <definedName name="FDP_522_1_aSrv" hidden="1">#REF!</definedName>
    <definedName name="FDP_523_1_aSrv" hidden="1">#REF!</definedName>
    <definedName name="FDP_524_1_aSrv" hidden="1">#REF!</definedName>
    <definedName name="FDP_525_1_aSrv" hidden="1">#REF!</definedName>
    <definedName name="FDP_526_1_aSrv" hidden="1">#REF!</definedName>
    <definedName name="FDP_527_1_aSrv" hidden="1">#REF!</definedName>
    <definedName name="FDP_528_1_aUdv" hidden="1">#REF!</definedName>
    <definedName name="FDP_529_1_aSrv" hidden="1">#REF!</definedName>
    <definedName name="FDP_53_1_aSrv" hidden="1">#REF!</definedName>
    <definedName name="FDP_53_1_aUrv" hidden="1">#REF!</definedName>
    <definedName name="FDP_530_1_aSrv" hidden="1">#REF!</definedName>
    <definedName name="FDP_531_1_aSrv" hidden="1">#REF!</definedName>
    <definedName name="FDP_532_1_aSrv" hidden="1">#REF!</definedName>
    <definedName name="FDP_533_1_aSrv" hidden="1">#REF!</definedName>
    <definedName name="FDP_534_1_aSrv" hidden="1">#REF!</definedName>
    <definedName name="FDP_535_1_aSrv" hidden="1">#REF!</definedName>
    <definedName name="FDP_536_1_aSrv" hidden="1">#REF!</definedName>
    <definedName name="FDP_537_1_aSrv" hidden="1">#REF!</definedName>
    <definedName name="FDP_538_1_aSrv" hidden="1">#REF!</definedName>
    <definedName name="FDP_539_1_aSrv" hidden="1">#REF!</definedName>
    <definedName name="FDP_54_1_aDdv" hidden="1">#REF!</definedName>
    <definedName name="FDP_54_1_aSrv" hidden="1">#REF!</definedName>
    <definedName name="FDP_54_1_aUrv" hidden="1">#REF!</definedName>
    <definedName name="FDP_540_1_aSrv" hidden="1">#REF!</definedName>
    <definedName name="FDP_541_1_aSrv" hidden="1">#REF!</definedName>
    <definedName name="FDP_542_1_aSrv" hidden="1">#REF!</definedName>
    <definedName name="FDP_543_1_aSrv" hidden="1">#REF!</definedName>
    <definedName name="FDP_544_1_aSrv" hidden="1">#REF!</definedName>
    <definedName name="FDP_545_1_aSrv" hidden="1">#REF!</definedName>
    <definedName name="FDP_546_1_aSrv" hidden="1">#REF!</definedName>
    <definedName name="FDP_547_1_aSrv" hidden="1">#REF!</definedName>
    <definedName name="FDP_548_1_aSrv" hidden="1">#REF!</definedName>
    <definedName name="FDP_549_1_aSrv" hidden="1">#REF!</definedName>
    <definedName name="FDP_55_1_aUrv" hidden="1">#REF!</definedName>
    <definedName name="FDP_550_1_aSrv" hidden="1">#REF!</definedName>
    <definedName name="FDP_551_1_aSrv" hidden="1">#REF!</definedName>
    <definedName name="FDP_552_1_aSrv" hidden="1">#REF!</definedName>
    <definedName name="FDP_553_1_aSrv" hidden="1">#REF!</definedName>
    <definedName name="FDP_554_1_aSrv" hidden="1">#REF!</definedName>
    <definedName name="FDP_555_1_aSrv" hidden="1">#REF!</definedName>
    <definedName name="FDP_556_1_aSrv" hidden="1">#REF!</definedName>
    <definedName name="FDP_557_1_aSrv" hidden="1">#REF!</definedName>
    <definedName name="FDP_558_1_aSrv" hidden="1">#REF!</definedName>
    <definedName name="FDP_559_1_aSrv" hidden="1">#REF!</definedName>
    <definedName name="FDP_56_1_aUrv" hidden="1">#REF!</definedName>
    <definedName name="FDP_560_1_aSrv" hidden="1">#REF!</definedName>
    <definedName name="FDP_561_1_aSrv" hidden="1">#REF!</definedName>
    <definedName name="FDP_562_1_aSrv" hidden="1">#REF!</definedName>
    <definedName name="FDP_563_1_aSrv" hidden="1">#REF!</definedName>
    <definedName name="FDP_564_1_aSrv" hidden="1">#REF!</definedName>
    <definedName name="FDP_565_1_aSrv" hidden="1">#REF!</definedName>
    <definedName name="FDP_566_1_aSrv" hidden="1">#REF!</definedName>
    <definedName name="FDP_567_1_aSrv" hidden="1">#REF!</definedName>
    <definedName name="FDP_568_1_aSrv" hidden="1">#REF!</definedName>
    <definedName name="FDP_569_1_aSrv" hidden="1">#REF!</definedName>
    <definedName name="FDP_57_1_aUrv" hidden="1">#REF!</definedName>
    <definedName name="FDP_570_1_aSrv" hidden="1">#REF!</definedName>
    <definedName name="FDP_571_1_aSrv" hidden="1">#REF!</definedName>
    <definedName name="FDP_572_1_aSrv" hidden="1">#REF!</definedName>
    <definedName name="FDP_573_1_aSrv" hidden="1">#REF!</definedName>
    <definedName name="FDP_574_1_aSrv" hidden="1">#REF!</definedName>
    <definedName name="FDP_575_1_aSrv" hidden="1">#REF!</definedName>
    <definedName name="FDP_576_1_aSrv" hidden="1">#REF!</definedName>
    <definedName name="FDP_577_1_aSrv" hidden="1">#REF!</definedName>
    <definedName name="FDP_578_1_aSrv" hidden="1">#REF!</definedName>
    <definedName name="FDP_579_1_aSrv" hidden="1">#REF!</definedName>
    <definedName name="FDP_58_1_aUrv" hidden="1">#REF!</definedName>
    <definedName name="FDP_580_1_aSrv" hidden="1">#REF!</definedName>
    <definedName name="FDP_581_1_aSrv" hidden="1">#REF!</definedName>
    <definedName name="FDP_582_1_aSrv" hidden="1">#REF!</definedName>
    <definedName name="FDP_583_1_aSrv" hidden="1">#REF!</definedName>
    <definedName name="FDP_584_1_aSrv" hidden="1">#REF!</definedName>
    <definedName name="FDP_585_1_aSrv" hidden="1">#REF!</definedName>
    <definedName name="FDP_586_1_aSrv" hidden="1">#REF!</definedName>
    <definedName name="FDP_587_1_aSrv" hidden="1">#REF!</definedName>
    <definedName name="FDP_588_1_aSrv" hidden="1">#REF!</definedName>
    <definedName name="FDP_589_1_aSrv" hidden="1">#REF!</definedName>
    <definedName name="FDP_59_1_aUrv" hidden="1">#REF!</definedName>
    <definedName name="FDP_590_1_aSrv" hidden="1">#REF!</definedName>
    <definedName name="FDP_591_1_aSrv" hidden="1">#REF!</definedName>
    <definedName name="FDP_592_1_aSrv" hidden="1">#REF!</definedName>
    <definedName name="FDP_593_1_aSrv" hidden="1">#REF!</definedName>
    <definedName name="FDP_594_1_aSrv" hidden="1">#REF!</definedName>
    <definedName name="FDP_595_1_aSrv" hidden="1">#REF!</definedName>
    <definedName name="FDP_596_1_aSrv" hidden="1">#REF!</definedName>
    <definedName name="FDP_597_1_aSrv" hidden="1">#REF!</definedName>
    <definedName name="FDP_598_1_aSrv" hidden="1">#REF!</definedName>
    <definedName name="FDP_599_1_aSrv" hidden="1">#REF!</definedName>
    <definedName name="FDP_6_1_aSrv" hidden="1">#REF!</definedName>
    <definedName name="FDP_6_1_aUrv" hidden="1">#REF!</definedName>
    <definedName name="FDP_60_1_aSrv" hidden="1">#REF!</definedName>
    <definedName name="FDP_60_1_aUrv" hidden="1">#REF!</definedName>
    <definedName name="FDP_600_1_aSrv" hidden="1">#REF!</definedName>
    <definedName name="FDP_601_1_aSrv" hidden="1">#REF!</definedName>
    <definedName name="FDP_602_1_aSrv" hidden="1">#REF!</definedName>
    <definedName name="FDP_603_1_aSrv" hidden="1">#REF!</definedName>
    <definedName name="FDP_604_1_aSrv" hidden="1">#REF!</definedName>
    <definedName name="FDP_605_1_aSrv" hidden="1">#REF!</definedName>
    <definedName name="FDP_606_1_aSrv" hidden="1">#REF!</definedName>
    <definedName name="FDP_607_1_aSrv" hidden="1">#REF!</definedName>
    <definedName name="FDP_608_1_aSrv" hidden="1">#REF!</definedName>
    <definedName name="FDP_609_1_aSrv" hidden="1">#REF!</definedName>
    <definedName name="FDP_61_1_aSrv" hidden="1">#REF!</definedName>
    <definedName name="FDP_61_1_aUrv" hidden="1">#REF!</definedName>
    <definedName name="FDP_610_1_aSrv" hidden="1">#REF!</definedName>
    <definedName name="FDP_611_1_aSrv" hidden="1">#REF!</definedName>
    <definedName name="FDP_612_1_aSrv" hidden="1">#REF!</definedName>
    <definedName name="FDP_613_1_aSrv" hidden="1">#REF!</definedName>
    <definedName name="FDP_614_1_aSrv" hidden="1">#REF!</definedName>
    <definedName name="FDP_615_1_aSrv" hidden="1">#REF!</definedName>
    <definedName name="FDP_616_1_aSrv" hidden="1">#REF!</definedName>
    <definedName name="FDP_617_1_aSrv" hidden="1">#REF!</definedName>
    <definedName name="FDP_618_1_aSrv" hidden="1">#REF!</definedName>
    <definedName name="FDP_619_1_aSrv" hidden="1">#REF!</definedName>
    <definedName name="FDP_62_1_aSrv" hidden="1">#REF!</definedName>
    <definedName name="FDP_62_1_aUrv" hidden="1">#REF!</definedName>
    <definedName name="FDP_620_1_aSrv" hidden="1">#REF!</definedName>
    <definedName name="FDP_621_1_aSrv" hidden="1">#REF!</definedName>
    <definedName name="FDP_622_1_aSrv" hidden="1">#REF!</definedName>
    <definedName name="FDP_623_1_aSrv" hidden="1">#REF!</definedName>
    <definedName name="FDP_624_1_aSrv" hidden="1">#REF!</definedName>
    <definedName name="FDP_625_1_aSrv" hidden="1">#REF!</definedName>
    <definedName name="FDP_626_1_aSrv" hidden="1">#REF!</definedName>
    <definedName name="FDP_627_1_aSrv" hidden="1">#REF!</definedName>
    <definedName name="FDP_63_1_aUrv" hidden="1">#REF!</definedName>
    <definedName name="FDP_64_1_aSrv" hidden="1">#REF!</definedName>
    <definedName name="FDP_64_1_aUrv" hidden="1">#REF!</definedName>
    <definedName name="FDP_65_1_aSrv" hidden="1">#REF!</definedName>
    <definedName name="FDP_65_1_aUrv" hidden="1">#REF!</definedName>
    <definedName name="FDP_66_1_aSrv" hidden="1">#REF!</definedName>
    <definedName name="FDP_66_1_aUrv" hidden="1">#REF!</definedName>
    <definedName name="FDP_67_1_aUrv" hidden="1">#REF!</definedName>
    <definedName name="FDP_67_1_rUrv" hidden="1">#REF!</definedName>
    <definedName name="FDP_68_1_aSrv" hidden="1">#REF!</definedName>
    <definedName name="FDP_68_1_aUrv" hidden="1">#REF!</definedName>
    <definedName name="FDP_69_1_aSrv" hidden="1">#REF!</definedName>
    <definedName name="FDP_69_1_aUrv" hidden="1">#REF!</definedName>
    <definedName name="FDP_7_1_aSrv" hidden="1">#REF!</definedName>
    <definedName name="FDP_7_1_aUrv" hidden="1">#REF!</definedName>
    <definedName name="FDP_7_1_rUrv" hidden="1">#REF!</definedName>
    <definedName name="FDP_70_1_aDrv" hidden="1">#REF!</definedName>
    <definedName name="FDP_70_1_aSrv" hidden="1">#REF!</definedName>
    <definedName name="FDP_70_1_aUrv" hidden="1">#REF!</definedName>
    <definedName name="FDP_71_1_aUrv" hidden="1">#REF!</definedName>
    <definedName name="FDP_72_1_aDrv" hidden="1">#REF!</definedName>
    <definedName name="FDP_72_1_aSrv" hidden="1">#REF!</definedName>
    <definedName name="FDP_72_1_aUrv" hidden="1">#REF!</definedName>
    <definedName name="FDP_73_1_aSrv" hidden="1">#REF!</definedName>
    <definedName name="FDP_73_1_aUrv" hidden="1">#REF!</definedName>
    <definedName name="FDP_74_1_aDrv" hidden="1">#REF!</definedName>
    <definedName name="FDP_74_1_aUrv" hidden="1">#REF!</definedName>
    <definedName name="FDP_75_1_aSrv" hidden="1">#REF!</definedName>
    <definedName name="FDP_75_1_aUrv" hidden="1">#REF!</definedName>
    <definedName name="FDP_76_1_aDrv" hidden="1">#REF!</definedName>
    <definedName name="FDP_76_1_aSrv" hidden="1">#REF!</definedName>
    <definedName name="FDP_76_1_aUrv" hidden="1">#REF!</definedName>
    <definedName name="FDP_77_1_aUrv" hidden="1">#REF!</definedName>
    <definedName name="FDP_78_1_aSrv" hidden="1">#REF!</definedName>
    <definedName name="FDP_78_1_aUrv" hidden="1">#REF!</definedName>
    <definedName name="FDP_79_1_aUrv" hidden="1">#REF!</definedName>
    <definedName name="FDP_8_1_aDrv" hidden="1">#REF!</definedName>
    <definedName name="FDP_8_1_aUrv" hidden="1">#REF!</definedName>
    <definedName name="FDP_80_1_aSrv" hidden="1">#REF!</definedName>
    <definedName name="FDP_80_1_aUrv" hidden="1">#REF!</definedName>
    <definedName name="FDP_81_1_aSrv" hidden="1">#REF!</definedName>
    <definedName name="FDP_81_1_aUrv" hidden="1">#REF!</definedName>
    <definedName name="FDP_82_1_aDrv" hidden="1">#REF!</definedName>
    <definedName name="FDP_82_1_aUrv" hidden="1">#REF!</definedName>
    <definedName name="FDP_83_1_aSrv" hidden="1">#REF!</definedName>
    <definedName name="FDP_83_1_aUrv" hidden="1">#REF!</definedName>
    <definedName name="FDP_84_1_aUrv" hidden="1">#REF!</definedName>
    <definedName name="FDP_85_1_aUrv" hidden="1">#REF!</definedName>
    <definedName name="FDP_86_1_aSrv" hidden="1">#REF!</definedName>
    <definedName name="FDP_86_1_aUrv" hidden="1">#REF!</definedName>
    <definedName name="FDP_87_1_aSrv" hidden="1">#REF!</definedName>
    <definedName name="FDP_87_1_aUrv" hidden="1">#REF!</definedName>
    <definedName name="FDP_88_1_aSrv" hidden="1">#REF!</definedName>
    <definedName name="FDP_88_1_aUrv" hidden="1">#REF!</definedName>
    <definedName name="FDP_89_1_aSrv" hidden="1">#REF!</definedName>
    <definedName name="FDP_89_1_aUrv" hidden="1">#REF!</definedName>
    <definedName name="FDP_9_1_aDrv" hidden="1">#REF!</definedName>
    <definedName name="FDP_9_1_aSrv" hidden="1">#REF!</definedName>
    <definedName name="FDP_9_1_aUrv" hidden="1">#REF!</definedName>
    <definedName name="FDP_90_1_aUrv" hidden="1">#REF!</definedName>
    <definedName name="FDP_91_1_aUrv" hidden="1">#REF!</definedName>
    <definedName name="FDP_92_1_aSrv" hidden="1">#REF!</definedName>
    <definedName name="FDP_92_1_aUrv" hidden="1">#REF!</definedName>
    <definedName name="FDP_93_1_aDrv" hidden="1">#REF!</definedName>
    <definedName name="FDP_93_1_aUrv" hidden="1">#REF!</definedName>
    <definedName name="FDP_94_1_aSrv" hidden="1">#REF!</definedName>
    <definedName name="FDP_94_1_aUrv" hidden="1">#REF!</definedName>
    <definedName name="FDP_95_1_aUrv" hidden="1">#REF!</definedName>
    <definedName name="FDP_96_1_aUrv" hidden="1">#REF!</definedName>
    <definedName name="FDP_97_1_aSrv" hidden="1">#REF!</definedName>
    <definedName name="FDP_97_1_aUrv" hidden="1">#REF!</definedName>
    <definedName name="FDP_98_1_aDrv" hidden="1">#REF!</definedName>
    <definedName name="FDP_98_1_aUrv" hidden="1">#REF!</definedName>
    <definedName name="FDP_99_1_aDrv" hidden="1">#REF!</definedName>
    <definedName name="FDP_99_1_aUrv" hidden="1">#REF!</definedName>
    <definedName name="fds"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fds"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fds"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fds_1" localSheetId="0" hidden="1">{#N/A,#N/A,FALSE,"Pharm";#N/A,#N/A,FALSE,"WWCM"}</definedName>
    <definedName name="fds_1" localSheetId="6" hidden="1">{#N/A,#N/A,FALSE,"Pharm";#N/A,#N/A,FALSE,"WWCM"}</definedName>
    <definedName name="fds_1" hidden="1">{#N/A,#N/A,FALSE,"Pharm";#N/A,#N/A,FALSE,"WWCM"}</definedName>
    <definedName name="fds_1_1" localSheetId="0" hidden="1">{#N/A,#N/A,FALSE,"Pharm";#N/A,#N/A,FALSE,"WWCM"}</definedName>
    <definedName name="fds_1_1" localSheetId="6" hidden="1">{#N/A,#N/A,FALSE,"Pharm";#N/A,#N/A,FALSE,"WWCM"}</definedName>
    <definedName name="fds_1_1" hidden="1">{#N/A,#N/A,FALSE,"Pharm";#N/A,#N/A,FALSE,"WWCM"}</definedName>
    <definedName name="fds_2" localSheetId="0" hidden="1">{#N/A,#N/A,FALSE,"Pharm";#N/A,#N/A,FALSE,"WWCM"}</definedName>
    <definedName name="fds_2" localSheetId="6" hidden="1">{#N/A,#N/A,FALSE,"Pharm";#N/A,#N/A,FALSE,"WWCM"}</definedName>
    <definedName name="fds_2" hidden="1">{#N/A,#N/A,FALSE,"Pharm";#N/A,#N/A,FALSE,"WWCM"}</definedName>
    <definedName name="fds_2_1" localSheetId="6" hidden="1">{#N/A,#N/A,FALSE,"Scenario PivotTable"}</definedName>
    <definedName name="fds_2_1" hidden="1">{#N/A,#N/A,FALSE,"Scenario PivotTable"}</definedName>
    <definedName name="fds_2_1_1" localSheetId="6" hidden="1">{#N/A,#N/A,FALSE,"Scenario PivotTable"}</definedName>
    <definedName name="fds_2_1_1" hidden="1">{#N/A,#N/A,FALSE,"Scenario PivotTable"}</definedName>
    <definedName name="fds_2_1_1_1" localSheetId="6" hidden="1">{#N/A,#N/A,FALSE,"Scenario PivotTable"}</definedName>
    <definedName name="fds_2_1_1_1" hidden="1">{#N/A,#N/A,FALSE,"Scenario PivotTable"}</definedName>
    <definedName name="fds_2_1_2" localSheetId="6" hidden="1">{#N/A,#N/A,FALSE,"Scenario PivotTable"}</definedName>
    <definedName name="fds_2_1_2" hidden="1">{#N/A,#N/A,FALSE,"Scenario PivotTable"}</definedName>
    <definedName name="fds_2_1_2_1" localSheetId="6" hidden="1">{#N/A,#N/A,FALSE,"Scenario PivotTable"}</definedName>
    <definedName name="fds_2_1_2_1" hidden="1">{#N/A,#N/A,FALSE,"Scenario PivotTable"}</definedName>
    <definedName name="fds_2_1_3" localSheetId="6" hidden="1">{#N/A,#N/A,FALSE,"Scenario PivotTable"}</definedName>
    <definedName name="fds_2_1_3" hidden="1">{#N/A,#N/A,FALSE,"Scenario PivotTable"}</definedName>
    <definedName name="fds_2_2" localSheetId="6" hidden="1">{#N/A,#N/A,FALSE,"Scenario PivotTable"}</definedName>
    <definedName name="fds_2_2" hidden="1">{#N/A,#N/A,FALSE,"Scenario PivotTable"}</definedName>
    <definedName name="fds_2_2_1" localSheetId="6" hidden="1">{#N/A,#N/A,FALSE,"Scenario PivotTable"}</definedName>
    <definedName name="fds_2_2_1" hidden="1">{#N/A,#N/A,FALSE,"Scenario PivotTable"}</definedName>
    <definedName name="fds_2_2_1_1" localSheetId="6" hidden="1">{#N/A,#N/A,FALSE,"Scenario PivotTable"}</definedName>
    <definedName name="fds_2_2_1_1" hidden="1">{#N/A,#N/A,FALSE,"Scenario PivotTable"}</definedName>
    <definedName name="fds_2_2_2" localSheetId="6" hidden="1">{#N/A,#N/A,FALSE,"Scenario PivotTable"}</definedName>
    <definedName name="fds_2_2_2" hidden="1">{#N/A,#N/A,FALSE,"Scenario PivotTable"}</definedName>
    <definedName name="fds_2_3" localSheetId="6" hidden="1">{#N/A,#N/A,FALSE,"Scenario PivotTable"}</definedName>
    <definedName name="fds_2_3" hidden="1">{#N/A,#N/A,FALSE,"Scenario PivotTable"}</definedName>
    <definedName name="fds_2_3_1" localSheetId="6" hidden="1">{#N/A,#N/A,FALSE,"Scenario PivotTable"}</definedName>
    <definedName name="fds_2_3_1" hidden="1">{#N/A,#N/A,FALSE,"Scenario PivotTable"}</definedName>
    <definedName name="fds_2_4" localSheetId="6" hidden="1">{#N/A,#N/A,FALSE,"Scenario PivotTable"}</definedName>
    <definedName name="fds_2_4" hidden="1">{#N/A,#N/A,FALSE,"Scenario PivotTable"}</definedName>
    <definedName name="fds_3" localSheetId="0" hidden="1">{#N/A,#N/A,FALSE,"Pharm";#N/A,#N/A,FALSE,"WWCM"}</definedName>
    <definedName name="fds_3" localSheetId="6" hidden="1">{#N/A,#N/A,FALSE,"Pharm";#N/A,#N/A,FALSE,"WWCM"}</definedName>
    <definedName name="fds_3" hidden="1">{#N/A,#N/A,FALSE,"Pharm";#N/A,#N/A,FALSE,"WWCM"}</definedName>
    <definedName name="fds_3_1" localSheetId="6" hidden="1">{#N/A,#N/A,FALSE,"Scenario PivotTable"}</definedName>
    <definedName name="fds_3_1" hidden="1">{#N/A,#N/A,FALSE,"Scenario PivotTable"}</definedName>
    <definedName name="fds_3_1_1" localSheetId="6" hidden="1">{#N/A,#N/A,FALSE,"Scenario PivotTable"}</definedName>
    <definedName name="fds_3_1_1" hidden="1">{#N/A,#N/A,FALSE,"Scenario PivotTable"}</definedName>
    <definedName name="fds_3_1_1_1" localSheetId="6" hidden="1">{#N/A,#N/A,FALSE,"Scenario PivotTable"}</definedName>
    <definedName name="fds_3_1_1_1" hidden="1">{#N/A,#N/A,FALSE,"Scenario PivotTable"}</definedName>
    <definedName name="fds_3_1_2" localSheetId="6" hidden="1">{#N/A,#N/A,FALSE,"Scenario PivotTable"}</definedName>
    <definedName name="fds_3_1_2" hidden="1">{#N/A,#N/A,FALSE,"Scenario PivotTable"}</definedName>
    <definedName name="fds_3_1_2_1" localSheetId="6" hidden="1">{#N/A,#N/A,FALSE,"Scenario PivotTable"}</definedName>
    <definedName name="fds_3_1_2_1" hidden="1">{#N/A,#N/A,FALSE,"Scenario PivotTable"}</definedName>
    <definedName name="fds_3_1_3" localSheetId="6" hidden="1">{#N/A,#N/A,FALSE,"Scenario PivotTable"}</definedName>
    <definedName name="fds_3_1_3" hidden="1">{#N/A,#N/A,FALSE,"Scenario PivotTable"}</definedName>
    <definedName name="fds_3_2" localSheetId="6" hidden="1">{#N/A,#N/A,FALSE,"Scenario PivotTable"}</definedName>
    <definedName name="fds_3_2" hidden="1">{#N/A,#N/A,FALSE,"Scenario PivotTable"}</definedName>
    <definedName name="fds_3_2_1" localSheetId="6" hidden="1">{#N/A,#N/A,FALSE,"Scenario PivotTable"}</definedName>
    <definedName name="fds_3_2_1" hidden="1">{#N/A,#N/A,FALSE,"Scenario PivotTable"}</definedName>
    <definedName name="fds_3_2_1_1" localSheetId="6" hidden="1">{#N/A,#N/A,FALSE,"Scenario PivotTable"}</definedName>
    <definedName name="fds_3_2_1_1" hidden="1">{#N/A,#N/A,FALSE,"Scenario PivotTable"}</definedName>
    <definedName name="fds_3_2_2" localSheetId="6" hidden="1">{#N/A,#N/A,FALSE,"Scenario PivotTable"}</definedName>
    <definedName name="fds_3_2_2" hidden="1">{#N/A,#N/A,FALSE,"Scenario PivotTable"}</definedName>
    <definedName name="fds_3_3" localSheetId="6" hidden="1">{#N/A,#N/A,FALSE,"Scenario PivotTable"}</definedName>
    <definedName name="fds_3_3" hidden="1">{#N/A,#N/A,FALSE,"Scenario PivotTable"}</definedName>
    <definedName name="fds_3_3_1" localSheetId="6" hidden="1">{#N/A,#N/A,FALSE,"Scenario PivotTable"}</definedName>
    <definedName name="fds_3_3_1" hidden="1">{#N/A,#N/A,FALSE,"Scenario PivotTable"}</definedName>
    <definedName name="fds_3_4" localSheetId="6" hidden="1">{#N/A,#N/A,FALSE,"Scenario PivotTable"}</definedName>
    <definedName name="fds_3_4" hidden="1">{#N/A,#N/A,FALSE,"Scenario PivotTable"}</definedName>
    <definedName name="fds_4" localSheetId="0" hidden="1">{#N/A,#N/A,FALSE,"Pharm";#N/A,#N/A,FALSE,"WWCM"}</definedName>
    <definedName name="fds_4" localSheetId="6" hidden="1">{#N/A,#N/A,FALSE,"Pharm";#N/A,#N/A,FALSE,"WWCM"}</definedName>
    <definedName name="fds_4" hidden="1">{#N/A,#N/A,FALSE,"Pharm";#N/A,#N/A,FALSE,"WWCM"}</definedName>
    <definedName name="fds_4_1" localSheetId="6" hidden="1">{#N/A,#N/A,FALSE,"Scenario PivotTable"}</definedName>
    <definedName name="fds_4_1" hidden="1">{#N/A,#N/A,FALSE,"Scenario PivotTable"}</definedName>
    <definedName name="fds_4_1_1" localSheetId="6" hidden="1">{#N/A,#N/A,FALSE,"Scenario PivotTable"}</definedName>
    <definedName name="fds_4_1_1" hidden="1">{#N/A,#N/A,FALSE,"Scenario PivotTable"}</definedName>
    <definedName name="fds_4_1_1_1" localSheetId="6" hidden="1">{#N/A,#N/A,FALSE,"Scenario PivotTable"}</definedName>
    <definedName name="fds_4_1_1_1" hidden="1">{#N/A,#N/A,FALSE,"Scenario PivotTable"}</definedName>
    <definedName name="fds_4_1_2" localSheetId="6" hidden="1">{#N/A,#N/A,FALSE,"Scenario PivotTable"}</definedName>
    <definedName name="fds_4_1_2" hidden="1">{#N/A,#N/A,FALSE,"Scenario PivotTable"}</definedName>
    <definedName name="fds_4_1_2_1" localSheetId="6" hidden="1">{#N/A,#N/A,FALSE,"Scenario PivotTable"}</definedName>
    <definedName name="fds_4_1_2_1" hidden="1">{#N/A,#N/A,FALSE,"Scenario PivotTable"}</definedName>
    <definedName name="fds_4_1_3" localSheetId="6" hidden="1">{#N/A,#N/A,FALSE,"Scenario PivotTable"}</definedName>
    <definedName name="fds_4_1_3" hidden="1">{#N/A,#N/A,FALSE,"Scenario PivotTable"}</definedName>
    <definedName name="fds_4_2" localSheetId="6" hidden="1">{#N/A,#N/A,FALSE,"Scenario PivotTable"}</definedName>
    <definedName name="fds_4_2" hidden="1">{#N/A,#N/A,FALSE,"Scenario PivotTable"}</definedName>
    <definedName name="fds_4_2_1" localSheetId="6" hidden="1">{#N/A,#N/A,FALSE,"Scenario PivotTable"}</definedName>
    <definedName name="fds_4_2_1" hidden="1">{#N/A,#N/A,FALSE,"Scenario PivotTable"}</definedName>
    <definedName name="fds_4_2_1_1" localSheetId="6" hidden="1">{#N/A,#N/A,FALSE,"Scenario PivotTable"}</definedName>
    <definedName name="fds_4_2_1_1" hidden="1">{#N/A,#N/A,FALSE,"Scenario PivotTable"}</definedName>
    <definedName name="fds_4_2_2" localSheetId="6" hidden="1">{#N/A,#N/A,FALSE,"Scenario PivotTable"}</definedName>
    <definedName name="fds_4_2_2" hidden="1">{#N/A,#N/A,FALSE,"Scenario PivotTable"}</definedName>
    <definedName name="fds_4_3" localSheetId="6" hidden="1">{#N/A,#N/A,FALSE,"Scenario PivotTable"}</definedName>
    <definedName name="fds_4_3" hidden="1">{#N/A,#N/A,FALSE,"Scenario PivotTable"}</definedName>
    <definedName name="fds_4_3_1" localSheetId="6" hidden="1">{#N/A,#N/A,FALSE,"Scenario PivotTable"}</definedName>
    <definedName name="fds_4_3_1" hidden="1">{#N/A,#N/A,FALSE,"Scenario PivotTable"}</definedName>
    <definedName name="fds_4_4" localSheetId="6" hidden="1">{#N/A,#N/A,FALSE,"Scenario PivotTable"}</definedName>
    <definedName name="fds_4_4" hidden="1">{#N/A,#N/A,FALSE,"Scenario PivotTable"}</definedName>
    <definedName name="fds_5" localSheetId="0" hidden="1">{#N/A,#N/A,FALSE,"Pharm";#N/A,#N/A,FALSE,"WWCM"}</definedName>
    <definedName name="fds_5" localSheetId="6" hidden="1">{#N/A,#N/A,FALSE,"Pharm";#N/A,#N/A,FALSE,"WWCM"}</definedName>
    <definedName name="fds_5" hidden="1">{#N/A,#N/A,FALSE,"Pharm";#N/A,#N/A,FALSE,"WWCM"}</definedName>
    <definedName name="fds_5_1" localSheetId="6" hidden="1">{#N/A,#N/A,FALSE,"Scenario PivotTable"}</definedName>
    <definedName name="fds_5_1" hidden="1">{#N/A,#N/A,FALSE,"Scenario PivotTable"}</definedName>
    <definedName name="fds_5_1_1" localSheetId="6" hidden="1">{#N/A,#N/A,FALSE,"Scenario PivotTable"}</definedName>
    <definedName name="fds_5_1_1" hidden="1">{#N/A,#N/A,FALSE,"Scenario PivotTable"}</definedName>
    <definedName name="fds_5_1_1_1" localSheetId="6" hidden="1">{#N/A,#N/A,FALSE,"Scenario PivotTable"}</definedName>
    <definedName name="fds_5_1_1_1" hidden="1">{#N/A,#N/A,FALSE,"Scenario PivotTable"}</definedName>
    <definedName name="fds_5_1_2" localSheetId="6" hidden="1">{#N/A,#N/A,FALSE,"Scenario PivotTable"}</definedName>
    <definedName name="fds_5_1_2" hidden="1">{#N/A,#N/A,FALSE,"Scenario PivotTable"}</definedName>
    <definedName name="fds_5_1_2_1" localSheetId="6" hidden="1">{#N/A,#N/A,FALSE,"Scenario PivotTable"}</definedName>
    <definedName name="fds_5_1_2_1" hidden="1">{#N/A,#N/A,FALSE,"Scenario PivotTable"}</definedName>
    <definedName name="fds_5_1_3" localSheetId="6" hidden="1">{#N/A,#N/A,FALSE,"Scenario PivotTable"}</definedName>
    <definedName name="fds_5_1_3" hidden="1">{#N/A,#N/A,FALSE,"Scenario PivotTable"}</definedName>
    <definedName name="fds_5_2" localSheetId="6" hidden="1">{#N/A,#N/A,FALSE,"Scenario PivotTable"}</definedName>
    <definedName name="fds_5_2" hidden="1">{#N/A,#N/A,FALSE,"Scenario PivotTable"}</definedName>
    <definedName name="fds_5_2_1" localSheetId="6" hidden="1">{#N/A,#N/A,FALSE,"Scenario PivotTable"}</definedName>
    <definedName name="fds_5_2_1" hidden="1">{#N/A,#N/A,FALSE,"Scenario PivotTable"}</definedName>
    <definedName name="fds_5_2_1_1" localSheetId="6" hidden="1">{#N/A,#N/A,FALSE,"Scenario PivotTable"}</definedName>
    <definedName name="fds_5_2_1_1" hidden="1">{#N/A,#N/A,FALSE,"Scenario PivotTable"}</definedName>
    <definedName name="fds_5_2_2" localSheetId="6" hidden="1">{#N/A,#N/A,FALSE,"Scenario PivotTable"}</definedName>
    <definedName name="fds_5_2_2" hidden="1">{#N/A,#N/A,FALSE,"Scenario PivotTable"}</definedName>
    <definedName name="fds_5_3" localSheetId="6" hidden="1">{#N/A,#N/A,FALSE,"Scenario PivotTable"}</definedName>
    <definedName name="fds_5_3" hidden="1">{#N/A,#N/A,FALSE,"Scenario PivotTable"}</definedName>
    <definedName name="fds_5_3_1" localSheetId="6" hidden="1">{#N/A,#N/A,FALSE,"Scenario PivotTable"}</definedName>
    <definedName name="fds_5_3_1" hidden="1">{#N/A,#N/A,FALSE,"Scenario PivotTable"}</definedName>
    <definedName name="fds_5_4" localSheetId="6" hidden="1">{#N/A,#N/A,FALSE,"Scenario PivotTable"}</definedName>
    <definedName name="fds_5_4" hidden="1">{#N/A,#N/A,FALSE,"Scenario PivotTable"}</definedName>
    <definedName name="fdsagfdg" localSheetId="0" hidden="1">{"toc1",#N/A,FALSE,"TOC";"cover",#N/A,FALSE,"Cover";"ts1",#N/A,FALSE,"Transaction Summary";"ei3",#N/A,FALSE,"Earnings Impact";"ad3",#N/A,FALSE,"accretion dilution"}</definedName>
    <definedName name="fdsagfdg" localSheetId="6" hidden="1">{"toc1",#N/A,FALSE,"TOC";"cover",#N/A,FALSE,"Cover";"ts1",#N/A,FALSE,"Transaction Summary";"ei3",#N/A,FALSE,"Earnings Impact";"ad3",#N/A,FALSE,"accretion dilution"}</definedName>
    <definedName name="fdsagfdg" hidden="1">{"toc1",#N/A,FALSE,"TOC";"cover",#N/A,FALSE,"Cover";"ts1",#N/A,FALSE,"Transaction Summary";"ei3",#N/A,FALSE,"Earnings Impact";"ad3",#N/A,FALSE,"accretion dilution"}</definedName>
    <definedName name="fdsf" localSheetId="0" hidden="1">{"general",#N/A,FALSE,"Assumptions"}</definedName>
    <definedName name="fdsf" localSheetId="6" hidden="1">{"general",#N/A,FALSE,"Assumptions"}</definedName>
    <definedName name="fdsf" hidden="1">{"general",#N/A,FALSE,"Assumptions"}</definedName>
    <definedName name="fdsf2" localSheetId="0" hidden="1">{"general",#N/A,FALSE,"Assumptions"}</definedName>
    <definedName name="fdsf2" localSheetId="6" hidden="1">{"general",#N/A,FALSE,"Assumptions"}</definedName>
    <definedName name="fdsf2" hidden="1">{"general",#N/A,FALSE,"Assumptions"}</definedName>
    <definedName name="fdsfa"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fdsfa"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fdsfa"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fdsfs" localSheetId="0" hidden="1">{"GLI-Income Statement",#N/A,FALSE,"gli";"GLI - Balance Sheet Wksht",#N/A,FALSE,"gli";"GLI-Cash Flow",#N/A,FALSE,"gli";"GLI Qtrly Stats",#N/A,FALSE,"gli"}</definedName>
    <definedName name="fdsfs" localSheetId="6" hidden="1">{"GLI-Income Statement",#N/A,FALSE,"gli";"GLI - Balance Sheet Wksht",#N/A,FALSE,"gli";"GLI-Cash Flow",#N/A,FALSE,"gli";"GLI Qtrly Stats",#N/A,FALSE,"gli"}</definedName>
    <definedName name="fdsfs" hidden="1">{"GLI-Income Statement",#N/A,FALSE,"gli";"GLI - Balance Sheet Wksht",#N/A,FALSE,"gli";"GLI-Cash Flow",#N/A,FALSE,"gli";"GLI Qtrly Stats",#N/A,FALSE,"gli"}</definedName>
    <definedName name="fdss" localSheetId="6" hidden="1">{#N/A,#N/A,FALSE,"Scenario PivotTable"}</definedName>
    <definedName name="fdss" hidden="1">{#N/A,#N/A,FALSE,"Scenario PivotTable"}</definedName>
    <definedName name="fdss_1" localSheetId="6" hidden="1">{#N/A,#N/A,FALSE,"Scenario PivotTable"}</definedName>
    <definedName name="fdss_1" hidden="1">{#N/A,#N/A,FALSE,"Scenario PivotTable"}</definedName>
    <definedName name="fdss_1_1" localSheetId="6" hidden="1">{#N/A,#N/A,FALSE,"Scenario PivotTable"}</definedName>
    <definedName name="fdss_1_1" hidden="1">{#N/A,#N/A,FALSE,"Scenario PivotTable"}</definedName>
    <definedName name="fdss_1_1_1" localSheetId="6" hidden="1">{#N/A,#N/A,FALSE,"Scenario PivotTable"}</definedName>
    <definedName name="fdss_1_1_1" hidden="1">{#N/A,#N/A,FALSE,"Scenario PivotTable"}</definedName>
    <definedName name="fdss_1_1_1_1" localSheetId="6" hidden="1">{#N/A,#N/A,FALSE,"Scenario PivotTable"}</definedName>
    <definedName name="fdss_1_1_1_1" hidden="1">{#N/A,#N/A,FALSE,"Scenario PivotTable"}</definedName>
    <definedName name="fdss_1_1_2" localSheetId="6" hidden="1">{#N/A,#N/A,FALSE,"Scenario PivotTable"}</definedName>
    <definedName name="fdss_1_1_2" hidden="1">{#N/A,#N/A,FALSE,"Scenario PivotTable"}</definedName>
    <definedName name="fdss_1_1_2_1" localSheetId="6" hidden="1">{#N/A,#N/A,FALSE,"Scenario PivotTable"}</definedName>
    <definedName name="fdss_1_1_2_1" hidden="1">{#N/A,#N/A,FALSE,"Scenario PivotTable"}</definedName>
    <definedName name="fdss_1_1_3" localSheetId="6" hidden="1">{#N/A,#N/A,FALSE,"Scenario PivotTable"}</definedName>
    <definedName name="fdss_1_1_3" hidden="1">{#N/A,#N/A,FALSE,"Scenario PivotTable"}</definedName>
    <definedName name="fdss_1_2" localSheetId="6" hidden="1">{#N/A,#N/A,FALSE,"Scenario PivotTable"}</definedName>
    <definedName name="fdss_1_2" hidden="1">{#N/A,#N/A,FALSE,"Scenario PivotTable"}</definedName>
    <definedName name="fdss_1_2_1" localSheetId="6" hidden="1">{#N/A,#N/A,FALSE,"Scenario PivotTable"}</definedName>
    <definedName name="fdss_1_2_1" hidden="1">{#N/A,#N/A,FALSE,"Scenario PivotTable"}</definedName>
    <definedName name="fdss_1_2_1_1" localSheetId="6" hidden="1">{#N/A,#N/A,FALSE,"Scenario PivotTable"}</definedName>
    <definedName name="fdss_1_2_1_1" hidden="1">{#N/A,#N/A,FALSE,"Scenario PivotTable"}</definedName>
    <definedName name="fdss_1_2_2" localSheetId="6" hidden="1">{#N/A,#N/A,FALSE,"Scenario PivotTable"}</definedName>
    <definedName name="fdss_1_2_2" hidden="1">{#N/A,#N/A,FALSE,"Scenario PivotTable"}</definedName>
    <definedName name="fdss_1_3" localSheetId="6" hidden="1">{#N/A,#N/A,FALSE,"Scenario PivotTable"}</definedName>
    <definedName name="fdss_1_3" hidden="1">{#N/A,#N/A,FALSE,"Scenario PivotTable"}</definedName>
    <definedName name="fdss_1_3_1" localSheetId="6" hidden="1">{#N/A,#N/A,FALSE,"Scenario PivotTable"}</definedName>
    <definedName name="fdss_1_3_1" hidden="1">{#N/A,#N/A,FALSE,"Scenario PivotTable"}</definedName>
    <definedName name="fdss_1_4" localSheetId="6" hidden="1">{#N/A,#N/A,FALSE,"Scenario PivotTable"}</definedName>
    <definedName name="fdss_1_4" hidden="1">{#N/A,#N/A,FALSE,"Scenario PivotTable"}</definedName>
    <definedName name="fdss_2" localSheetId="6" hidden="1">{#N/A,#N/A,FALSE,"Scenario PivotTable"}</definedName>
    <definedName name="fdss_2" hidden="1">{#N/A,#N/A,FALSE,"Scenario PivotTable"}</definedName>
    <definedName name="fdss_2_1" localSheetId="6" hidden="1">{#N/A,#N/A,FALSE,"Scenario PivotTable"}</definedName>
    <definedName name="fdss_2_1" hidden="1">{#N/A,#N/A,FALSE,"Scenario PivotTable"}</definedName>
    <definedName name="fdss_2_1_1" localSheetId="6" hidden="1">{#N/A,#N/A,FALSE,"Scenario PivotTable"}</definedName>
    <definedName name="fdss_2_1_1" hidden="1">{#N/A,#N/A,FALSE,"Scenario PivotTable"}</definedName>
    <definedName name="fdss_2_1_1_1" localSheetId="6" hidden="1">{#N/A,#N/A,FALSE,"Scenario PivotTable"}</definedName>
    <definedName name="fdss_2_1_1_1" hidden="1">{#N/A,#N/A,FALSE,"Scenario PivotTable"}</definedName>
    <definedName name="fdss_2_1_2" localSheetId="6" hidden="1">{#N/A,#N/A,FALSE,"Scenario PivotTable"}</definedName>
    <definedName name="fdss_2_1_2" hidden="1">{#N/A,#N/A,FALSE,"Scenario PivotTable"}</definedName>
    <definedName name="fdss_2_1_2_1" localSheetId="6" hidden="1">{#N/A,#N/A,FALSE,"Scenario PivotTable"}</definedName>
    <definedName name="fdss_2_1_2_1" hidden="1">{#N/A,#N/A,FALSE,"Scenario PivotTable"}</definedName>
    <definedName name="fdss_2_1_3" localSheetId="6" hidden="1">{#N/A,#N/A,FALSE,"Scenario PivotTable"}</definedName>
    <definedName name="fdss_2_1_3" hidden="1">{#N/A,#N/A,FALSE,"Scenario PivotTable"}</definedName>
    <definedName name="fdss_2_2" localSheetId="6" hidden="1">{#N/A,#N/A,FALSE,"Scenario PivotTable"}</definedName>
    <definedName name="fdss_2_2" hidden="1">{#N/A,#N/A,FALSE,"Scenario PivotTable"}</definedName>
    <definedName name="fdss_2_2_1" localSheetId="6" hidden="1">{#N/A,#N/A,FALSE,"Scenario PivotTable"}</definedName>
    <definedName name="fdss_2_2_1" hidden="1">{#N/A,#N/A,FALSE,"Scenario PivotTable"}</definedName>
    <definedName name="fdss_2_2_1_1" localSheetId="6" hidden="1">{#N/A,#N/A,FALSE,"Scenario PivotTable"}</definedName>
    <definedName name="fdss_2_2_1_1" hidden="1">{#N/A,#N/A,FALSE,"Scenario PivotTable"}</definedName>
    <definedName name="fdss_2_2_2" localSheetId="6" hidden="1">{#N/A,#N/A,FALSE,"Scenario PivotTable"}</definedName>
    <definedName name="fdss_2_2_2" hidden="1">{#N/A,#N/A,FALSE,"Scenario PivotTable"}</definedName>
    <definedName name="fdss_2_3" localSheetId="6" hidden="1">{#N/A,#N/A,FALSE,"Scenario PivotTable"}</definedName>
    <definedName name="fdss_2_3" hidden="1">{#N/A,#N/A,FALSE,"Scenario PivotTable"}</definedName>
    <definedName name="fdss_2_3_1" localSheetId="6" hidden="1">{#N/A,#N/A,FALSE,"Scenario PivotTable"}</definedName>
    <definedName name="fdss_2_3_1" hidden="1">{#N/A,#N/A,FALSE,"Scenario PivotTable"}</definedName>
    <definedName name="fdss_2_4" localSheetId="6" hidden="1">{#N/A,#N/A,FALSE,"Scenario PivotTable"}</definedName>
    <definedName name="fdss_2_4" hidden="1">{#N/A,#N/A,FALSE,"Scenario PivotTable"}</definedName>
    <definedName name="fdss_3" localSheetId="6" hidden="1">{#N/A,#N/A,FALSE,"Scenario PivotTable"}</definedName>
    <definedName name="fdss_3" hidden="1">{#N/A,#N/A,FALSE,"Scenario PivotTable"}</definedName>
    <definedName name="fdss_3_1" localSheetId="6" hidden="1">{#N/A,#N/A,FALSE,"Scenario PivotTable"}</definedName>
    <definedName name="fdss_3_1" hidden="1">{#N/A,#N/A,FALSE,"Scenario PivotTable"}</definedName>
    <definedName name="fdss_3_1_1" localSheetId="6" hidden="1">{#N/A,#N/A,FALSE,"Scenario PivotTable"}</definedName>
    <definedName name="fdss_3_1_1" hidden="1">{#N/A,#N/A,FALSE,"Scenario PivotTable"}</definedName>
    <definedName name="fdss_3_1_1_1" localSheetId="6" hidden="1">{#N/A,#N/A,FALSE,"Scenario PivotTable"}</definedName>
    <definedName name="fdss_3_1_1_1" hidden="1">{#N/A,#N/A,FALSE,"Scenario PivotTable"}</definedName>
    <definedName name="fdss_3_1_2" localSheetId="6" hidden="1">{#N/A,#N/A,FALSE,"Scenario PivotTable"}</definedName>
    <definedName name="fdss_3_1_2" hidden="1">{#N/A,#N/A,FALSE,"Scenario PivotTable"}</definedName>
    <definedName name="fdss_3_1_2_1" localSheetId="6" hidden="1">{#N/A,#N/A,FALSE,"Scenario PivotTable"}</definedName>
    <definedName name="fdss_3_1_2_1" hidden="1">{#N/A,#N/A,FALSE,"Scenario PivotTable"}</definedName>
    <definedName name="fdss_3_1_3" localSheetId="6" hidden="1">{#N/A,#N/A,FALSE,"Scenario PivotTable"}</definedName>
    <definedName name="fdss_3_1_3" hidden="1">{#N/A,#N/A,FALSE,"Scenario PivotTable"}</definedName>
    <definedName name="fdss_3_2" localSheetId="6" hidden="1">{#N/A,#N/A,FALSE,"Scenario PivotTable"}</definedName>
    <definedName name="fdss_3_2" hidden="1">{#N/A,#N/A,FALSE,"Scenario PivotTable"}</definedName>
    <definedName name="fdss_3_2_1" localSheetId="6" hidden="1">{#N/A,#N/A,FALSE,"Scenario PivotTable"}</definedName>
    <definedName name="fdss_3_2_1" hidden="1">{#N/A,#N/A,FALSE,"Scenario PivotTable"}</definedName>
    <definedName name="fdss_3_2_1_1" localSheetId="6" hidden="1">{#N/A,#N/A,FALSE,"Scenario PivotTable"}</definedName>
    <definedName name="fdss_3_2_1_1" hidden="1">{#N/A,#N/A,FALSE,"Scenario PivotTable"}</definedName>
    <definedName name="fdss_3_2_2" localSheetId="6" hidden="1">{#N/A,#N/A,FALSE,"Scenario PivotTable"}</definedName>
    <definedName name="fdss_3_2_2" hidden="1">{#N/A,#N/A,FALSE,"Scenario PivotTable"}</definedName>
    <definedName name="fdss_3_3" localSheetId="6" hidden="1">{#N/A,#N/A,FALSE,"Scenario PivotTable"}</definedName>
    <definedName name="fdss_3_3" hidden="1">{#N/A,#N/A,FALSE,"Scenario PivotTable"}</definedName>
    <definedName name="fdss_3_3_1" localSheetId="6" hidden="1">{#N/A,#N/A,FALSE,"Scenario PivotTable"}</definedName>
    <definedName name="fdss_3_3_1" hidden="1">{#N/A,#N/A,FALSE,"Scenario PivotTable"}</definedName>
    <definedName name="fdss_3_4" localSheetId="6" hidden="1">{#N/A,#N/A,FALSE,"Scenario PivotTable"}</definedName>
    <definedName name="fdss_3_4" hidden="1">{#N/A,#N/A,FALSE,"Scenario PivotTable"}</definedName>
    <definedName name="fdss_4" localSheetId="6" hidden="1">{#N/A,#N/A,FALSE,"Scenario PivotTable"}</definedName>
    <definedName name="fdss_4" hidden="1">{#N/A,#N/A,FALSE,"Scenario PivotTable"}</definedName>
    <definedName name="fdss_4_1" localSheetId="6" hidden="1">{#N/A,#N/A,FALSE,"Scenario PivotTable"}</definedName>
    <definedName name="fdss_4_1" hidden="1">{#N/A,#N/A,FALSE,"Scenario PivotTable"}</definedName>
    <definedName name="fdss_4_1_1" localSheetId="6" hidden="1">{#N/A,#N/A,FALSE,"Scenario PivotTable"}</definedName>
    <definedName name="fdss_4_1_1" hidden="1">{#N/A,#N/A,FALSE,"Scenario PivotTable"}</definedName>
    <definedName name="fdss_4_1_1_1" localSheetId="6" hidden="1">{#N/A,#N/A,FALSE,"Scenario PivotTable"}</definedName>
    <definedName name="fdss_4_1_1_1" hidden="1">{#N/A,#N/A,FALSE,"Scenario PivotTable"}</definedName>
    <definedName name="fdss_4_1_2" localSheetId="6" hidden="1">{#N/A,#N/A,FALSE,"Scenario PivotTable"}</definedName>
    <definedName name="fdss_4_1_2" hidden="1">{#N/A,#N/A,FALSE,"Scenario PivotTable"}</definedName>
    <definedName name="fdss_4_1_2_1" localSheetId="6" hidden="1">{#N/A,#N/A,FALSE,"Scenario PivotTable"}</definedName>
    <definedName name="fdss_4_1_2_1" hidden="1">{#N/A,#N/A,FALSE,"Scenario PivotTable"}</definedName>
    <definedName name="fdss_4_1_3" localSheetId="6" hidden="1">{#N/A,#N/A,FALSE,"Scenario PivotTable"}</definedName>
    <definedName name="fdss_4_1_3" hidden="1">{#N/A,#N/A,FALSE,"Scenario PivotTable"}</definedName>
    <definedName name="fdss_4_2" localSheetId="6" hidden="1">{#N/A,#N/A,FALSE,"Scenario PivotTable"}</definedName>
    <definedName name="fdss_4_2" hidden="1">{#N/A,#N/A,FALSE,"Scenario PivotTable"}</definedName>
    <definedName name="fdss_4_2_1" localSheetId="6" hidden="1">{#N/A,#N/A,FALSE,"Scenario PivotTable"}</definedName>
    <definedName name="fdss_4_2_1" hidden="1">{#N/A,#N/A,FALSE,"Scenario PivotTable"}</definedName>
    <definedName name="fdss_4_2_1_1" localSheetId="6" hidden="1">{#N/A,#N/A,FALSE,"Scenario PivotTable"}</definedName>
    <definedName name="fdss_4_2_1_1" hidden="1">{#N/A,#N/A,FALSE,"Scenario PivotTable"}</definedName>
    <definedName name="fdss_4_2_2" localSheetId="6" hidden="1">{#N/A,#N/A,FALSE,"Scenario PivotTable"}</definedName>
    <definedName name="fdss_4_2_2" hidden="1">{#N/A,#N/A,FALSE,"Scenario PivotTable"}</definedName>
    <definedName name="fdss_4_3" localSheetId="6" hidden="1">{#N/A,#N/A,FALSE,"Scenario PivotTable"}</definedName>
    <definedName name="fdss_4_3" hidden="1">{#N/A,#N/A,FALSE,"Scenario PivotTable"}</definedName>
    <definedName name="fdss_4_3_1" localSheetId="6" hidden="1">{#N/A,#N/A,FALSE,"Scenario PivotTable"}</definedName>
    <definedName name="fdss_4_3_1" hidden="1">{#N/A,#N/A,FALSE,"Scenario PivotTable"}</definedName>
    <definedName name="fdss_4_4" localSheetId="6" hidden="1">{#N/A,#N/A,FALSE,"Scenario PivotTable"}</definedName>
    <definedName name="fdss_4_4" hidden="1">{#N/A,#N/A,FALSE,"Scenario PivotTable"}</definedName>
    <definedName name="fdss_5" localSheetId="6" hidden="1">{#N/A,#N/A,FALSE,"Scenario PivotTable"}</definedName>
    <definedName name="fdss_5" hidden="1">{#N/A,#N/A,FALSE,"Scenario PivotTable"}</definedName>
    <definedName name="fdss_5_1" localSheetId="6" hidden="1">{#N/A,#N/A,FALSE,"Scenario PivotTable"}</definedName>
    <definedName name="fdss_5_1" hidden="1">{#N/A,#N/A,FALSE,"Scenario PivotTable"}</definedName>
    <definedName name="fdss_5_1_1" localSheetId="6" hidden="1">{#N/A,#N/A,FALSE,"Scenario PivotTable"}</definedName>
    <definedName name="fdss_5_1_1" hidden="1">{#N/A,#N/A,FALSE,"Scenario PivotTable"}</definedName>
    <definedName name="fdss_5_1_1_1" localSheetId="6" hidden="1">{#N/A,#N/A,FALSE,"Scenario PivotTable"}</definedName>
    <definedName name="fdss_5_1_1_1" hidden="1">{#N/A,#N/A,FALSE,"Scenario PivotTable"}</definedName>
    <definedName name="fdss_5_1_2" localSheetId="6" hidden="1">{#N/A,#N/A,FALSE,"Scenario PivotTable"}</definedName>
    <definedName name="fdss_5_1_2" hidden="1">{#N/A,#N/A,FALSE,"Scenario PivotTable"}</definedName>
    <definedName name="fdss_5_1_2_1" localSheetId="6" hidden="1">{#N/A,#N/A,FALSE,"Scenario PivotTable"}</definedName>
    <definedName name="fdss_5_1_2_1" hidden="1">{#N/A,#N/A,FALSE,"Scenario PivotTable"}</definedName>
    <definedName name="fdss_5_1_3" localSheetId="6" hidden="1">{#N/A,#N/A,FALSE,"Scenario PivotTable"}</definedName>
    <definedName name="fdss_5_1_3" hidden="1">{#N/A,#N/A,FALSE,"Scenario PivotTable"}</definedName>
    <definedName name="fdss_5_2" localSheetId="6" hidden="1">{#N/A,#N/A,FALSE,"Scenario PivotTable"}</definedName>
    <definedName name="fdss_5_2" hidden="1">{#N/A,#N/A,FALSE,"Scenario PivotTable"}</definedName>
    <definedName name="fdss_5_2_1" localSheetId="6" hidden="1">{#N/A,#N/A,FALSE,"Scenario PivotTable"}</definedName>
    <definedName name="fdss_5_2_1" hidden="1">{#N/A,#N/A,FALSE,"Scenario PivotTable"}</definedName>
    <definedName name="fdss_5_2_1_1" localSheetId="6" hidden="1">{#N/A,#N/A,FALSE,"Scenario PivotTable"}</definedName>
    <definedName name="fdss_5_2_1_1" hidden="1">{#N/A,#N/A,FALSE,"Scenario PivotTable"}</definedName>
    <definedName name="fdss_5_2_2" localSheetId="6" hidden="1">{#N/A,#N/A,FALSE,"Scenario PivotTable"}</definedName>
    <definedName name="fdss_5_2_2" hidden="1">{#N/A,#N/A,FALSE,"Scenario PivotTable"}</definedName>
    <definedName name="fdss_5_3" localSheetId="6" hidden="1">{#N/A,#N/A,FALSE,"Scenario PivotTable"}</definedName>
    <definedName name="fdss_5_3" hidden="1">{#N/A,#N/A,FALSE,"Scenario PivotTable"}</definedName>
    <definedName name="fdss_5_3_1" localSheetId="6" hidden="1">{#N/A,#N/A,FALSE,"Scenario PivotTable"}</definedName>
    <definedName name="fdss_5_3_1" hidden="1">{#N/A,#N/A,FALSE,"Scenario PivotTable"}</definedName>
    <definedName name="fdss_5_4" localSheetId="6" hidden="1">{#N/A,#N/A,FALSE,"Scenario PivotTable"}</definedName>
    <definedName name="fdss_5_4" hidden="1">{#N/A,#N/A,FALSE,"Scenario PivotTable"}</definedName>
    <definedName name="fe" localSheetId="0" hidden="1">{"assumption cash",#N/A,TRUE,"Merger";"has gets cash",#N/A,TRUE,"Merger";"accretion dilution",#N/A,TRUE,"Merger";"comparison credit stats",#N/A,TRUE,"Merger";"pf credit stats",#N/A,TRUE,"Merger";"pf sheets",#N/A,TRUE,"Merger"}</definedName>
    <definedName name="fe" localSheetId="6" hidden="1">{"assumption cash",#N/A,TRUE,"Merger";"has gets cash",#N/A,TRUE,"Merger";"accretion dilution",#N/A,TRUE,"Merger";"comparison credit stats",#N/A,TRUE,"Merger";"pf credit stats",#N/A,TRUE,"Merger";"pf sheets",#N/A,TRUE,"Merger"}</definedName>
    <definedName name="fe" hidden="1">{"assumption cash",#N/A,TRUE,"Merger";"has gets cash",#N/A,TRUE,"Merger";"accretion dilution",#N/A,TRUE,"Merger";"comparison credit stats",#N/A,TRUE,"Merger";"pf credit stats",#N/A,TRUE,"Merger";"pf sheets",#N/A,TRUE,"Merger"}</definedName>
    <definedName name="Feb" localSheetId="0" hidden="1">{#N/A,#N/A,FALSE,"PROFIT 11-95"}</definedName>
    <definedName name="Feb" localSheetId="6" hidden="1">{#N/A,#N/A,FALSE,"PROFIT 11-95"}</definedName>
    <definedName name="Feb" hidden="1">{#N/A,#N/A,FALSE,"PROFIT 11-95"}</definedName>
    <definedName name="Feb_6_124">#REF!</definedName>
    <definedName name="Febtotal">#REF!</definedName>
    <definedName name="Fee">#REF!</definedName>
    <definedName name="Fere" localSheetId="0" hidden="1">{"FS`s",#N/A,TRUE,"FS's";"Icome St",#N/A,TRUE,"Income St.";"Balance Sh",#N/A,TRUE,"Balance Sh.";"Gross Margin",#N/A,TRUE,"Gross Margin"}</definedName>
    <definedName name="Fere" localSheetId="6" hidden="1">{"FS`s",#N/A,TRUE,"FS's";"Icome St",#N/A,TRUE,"Income St.";"Balance Sh",#N/A,TRUE,"Balance Sh.";"Gross Margin",#N/A,TRUE,"Gross Margin"}</definedName>
    <definedName name="Fere" hidden="1">{"FS`s",#N/A,TRUE,"FS's";"Icome St",#N/A,TRUE,"Income St.";"Balance Sh",#N/A,TRUE,"Balance Sh.";"Gross Margin",#N/A,TRUE,"Gross Margin"}</definedName>
    <definedName name="fewfe" localSheetId="6" hidden="1">{#N/A,#N/A,FALSE,"BE";#N/A,#N/A,FALSE,"Bia";#N/A,#N/A,FALSE,"By";#N/A,#N/A,FALSE,"Bor";#N/A,#N/A,FALSE,"Gab";#N/A,#N/A,FALSE,"Gar";#N/A,#N/A,FALSE,"Lov";#N/A,#N/A,FALSE,"SJ";#N/A,#N/A,FALSE,"SM";#N/A,#N/A,FALSE,"Wb";#N/A,#N/A,FALSE,"Yok"}</definedName>
    <definedName name="fewfe" hidden="1">{#N/A,#N/A,FALSE,"BE";#N/A,#N/A,FALSE,"Bia";#N/A,#N/A,FALSE,"By";#N/A,#N/A,FALSE,"Bor";#N/A,#N/A,FALSE,"Gab";#N/A,#N/A,FALSE,"Gar";#N/A,#N/A,FALSE,"Lov";#N/A,#N/A,FALSE,"SJ";#N/A,#N/A,FALSE,"SM";#N/A,#N/A,FALSE,"Wb";#N/A,#N/A,FALSE,"Yok"}</definedName>
    <definedName name="FF" localSheetId="0" hidden="1">{#N/A,#N/A,FALSE,"PA";#N/A,#N/A,FALSE,"PA"}</definedName>
    <definedName name="FF" localSheetId="6" hidden="1">{#N/A,#N/A,FALSE,"PA";#N/A,#N/A,FALSE,"PA"}</definedName>
    <definedName name="FF" hidden="1">{#N/A,#N/A,FALSE,"PA";#N/A,#N/A,FALSE,"PA"}</definedName>
    <definedName name="ff_1" localSheetId="0" hidden="1">{#N/A,#N/A,FALSE,"Pharm";#N/A,#N/A,FALSE,"WWCM"}</definedName>
    <definedName name="ff_1" localSheetId="6" hidden="1">{#N/A,#N/A,FALSE,"Pharm";#N/A,#N/A,FALSE,"WWCM"}</definedName>
    <definedName name="ff_1" hidden="1">{#N/A,#N/A,FALSE,"Pharm";#N/A,#N/A,FALSE,"WWCM"}</definedName>
    <definedName name="ff_1_1" localSheetId="0" hidden="1">{#N/A,#N/A,FALSE,"Pharm";#N/A,#N/A,FALSE,"WWCM"}</definedName>
    <definedName name="ff_1_1" localSheetId="6" hidden="1">{#N/A,#N/A,FALSE,"Pharm";#N/A,#N/A,FALSE,"WWCM"}</definedName>
    <definedName name="ff_1_1" hidden="1">{#N/A,#N/A,FALSE,"Pharm";#N/A,#N/A,FALSE,"WWCM"}</definedName>
    <definedName name="ff_2" localSheetId="0" hidden="1">{#N/A,#N/A,FALSE,"Pharm";#N/A,#N/A,FALSE,"WWCM"}</definedName>
    <definedName name="ff_2" localSheetId="6" hidden="1">{#N/A,#N/A,FALSE,"Pharm";#N/A,#N/A,FALSE,"WWCM"}</definedName>
    <definedName name="ff_2" hidden="1">{#N/A,#N/A,FALSE,"Pharm";#N/A,#N/A,FALSE,"WWCM"}</definedName>
    <definedName name="ff_3" localSheetId="0" hidden="1">{#N/A,#N/A,FALSE,"Pharm";#N/A,#N/A,FALSE,"WWCM"}</definedName>
    <definedName name="ff_3" localSheetId="6" hidden="1">{#N/A,#N/A,FALSE,"Pharm";#N/A,#N/A,FALSE,"WWCM"}</definedName>
    <definedName name="ff_3" hidden="1">{#N/A,#N/A,FALSE,"Pharm";#N/A,#N/A,FALSE,"WWCM"}</definedName>
    <definedName name="ff_4" localSheetId="0" hidden="1">{#N/A,#N/A,FALSE,"Pharm";#N/A,#N/A,FALSE,"WWCM"}</definedName>
    <definedName name="ff_4" localSheetId="6" hidden="1">{#N/A,#N/A,FALSE,"Pharm";#N/A,#N/A,FALSE,"WWCM"}</definedName>
    <definedName name="ff_4" hidden="1">{#N/A,#N/A,FALSE,"Pharm";#N/A,#N/A,FALSE,"WWCM"}</definedName>
    <definedName name="ff_5" localSheetId="0" hidden="1">{#N/A,#N/A,FALSE,"Pharm";#N/A,#N/A,FALSE,"WWCM"}</definedName>
    <definedName name="ff_5" localSheetId="6" hidden="1">{#N/A,#N/A,FALSE,"Pharm";#N/A,#N/A,FALSE,"WWCM"}</definedName>
    <definedName name="ff_5" hidden="1">{#N/A,#N/A,FALSE,"Pharm";#N/A,#N/A,FALSE,"WWCM"}</definedName>
    <definedName name="ffd"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 hidden="1">{#N/A,#N/A,FALSE,"Rohstoffnotierungen";#N/A,#N/A,FALSE,"ER HCST Erw. 99";#N/A,#N/A,FALSE,"ER HCST Plan 00";#N/A,#N/A,FALSE,"Umsatz KG";#N/A,#N/A,FALSE,"ER HCST";#N/A,#N/A,FALSE,"EA ST (2)";#N/A,#N/A,FALSE,"EA ST";#N/A,#N/A,FALSE,"EA ST (3)";#N/A,#N/A,FALSE,"EA ST (4)";#N/A,#N/A,FALSE,"KA ST  (2)";#N/A,#N/A,FALSE,"KA ST";#N/A,#N/A,FALSE,"KA ST  (3)";#N/A,#N/A,FALSE,"KA ST (4)"}</definedName>
    <definedName name="ffd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_1" hidden="1">{#N/A,#N/A,FALSE,"Rohstoffnotierungen";#N/A,#N/A,FALSE,"ER HCST Erw. 99";#N/A,#N/A,FALSE,"ER HCST Plan 00";#N/A,#N/A,FALSE,"Umsatz KG";#N/A,#N/A,FALSE,"ER HCST";#N/A,#N/A,FALSE,"EA ST (2)";#N/A,#N/A,FALSE,"EA ST";#N/A,#N/A,FALSE,"EA ST (3)";#N/A,#N/A,FALSE,"EA ST (4)";#N/A,#N/A,FALSE,"KA ST  (2)";#N/A,#N/A,FALSE,"KA ST";#N/A,#N/A,FALSE,"KA ST  (3)";#N/A,#N/A,FALSE,"KA ST (4)"}</definedName>
    <definedName name="ffd_1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_1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_1_1" hidden="1">{#N/A,#N/A,FALSE,"Rohstoffnotierungen";#N/A,#N/A,FALSE,"ER HCST Erw. 99";#N/A,#N/A,FALSE,"ER HCST Plan 00";#N/A,#N/A,FALSE,"Umsatz KG";#N/A,#N/A,FALSE,"ER HCST";#N/A,#N/A,FALSE,"EA ST (2)";#N/A,#N/A,FALSE,"EA ST";#N/A,#N/A,FALSE,"EA ST (3)";#N/A,#N/A,FALSE,"EA ST (4)";#N/A,#N/A,FALSE,"KA ST  (2)";#N/A,#N/A,FALSE,"KA ST";#N/A,#N/A,FALSE,"KA ST  (3)";#N/A,#N/A,FALSE,"KA ST (4)"}</definedName>
    <definedName name="ffd_2"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_2"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_2" hidden="1">{#N/A,#N/A,FALSE,"Rohstoffnotierungen";#N/A,#N/A,FALSE,"ER HCST Erw. 99";#N/A,#N/A,FALSE,"ER HCST Plan 00";#N/A,#N/A,FALSE,"Umsatz KG";#N/A,#N/A,FALSE,"ER HCST";#N/A,#N/A,FALSE,"EA ST (2)";#N/A,#N/A,FALSE,"EA ST";#N/A,#N/A,FALSE,"EA ST (3)";#N/A,#N/A,FALSE,"EA ST (4)";#N/A,#N/A,FALSE,"KA ST  (2)";#N/A,#N/A,FALSE,"KA ST";#N/A,#N/A,FALSE,"KA ST  (3)";#N/A,#N/A,FALSE,"KA ST (4)"}</definedName>
    <definedName name="ffd_3"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_3"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_3" hidden="1">{#N/A,#N/A,FALSE,"Rohstoffnotierungen";#N/A,#N/A,FALSE,"ER HCST Erw. 99";#N/A,#N/A,FALSE,"ER HCST Plan 00";#N/A,#N/A,FALSE,"Umsatz KG";#N/A,#N/A,FALSE,"ER HCST";#N/A,#N/A,FALSE,"EA ST (2)";#N/A,#N/A,FALSE,"EA ST";#N/A,#N/A,FALSE,"EA ST (3)";#N/A,#N/A,FALSE,"EA ST (4)";#N/A,#N/A,FALSE,"KA ST  (2)";#N/A,#N/A,FALSE,"KA ST";#N/A,#N/A,FALSE,"KA ST  (3)";#N/A,#N/A,FALSE,"KA ST (4)"}</definedName>
    <definedName name="ffd_4"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_4"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_4" hidden="1">{#N/A,#N/A,FALSE,"Rohstoffnotierungen";#N/A,#N/A,FALSE,"ER HCST Erw. 99";#N/A,#N/A,FALSE,"ER HCST Plan 00";#N/A,#N/A,FALSE,"Umsatz KG";#N/A,#N/A,FALSE,"ER HCST";#N/A,#N/A,FALSE,"EA ST (2)";#N/A,#N/A,FALSE,"EA ST";#N/A,#N/A,FALSE,"EA ST (3)";#N/A,#N/A,FALSE,"EA ST (4)";#N/A,#N/A,FALSE,"KA ST  (2)";#N/A,#N/A,FALSE,"KA ST";#N/A,#N/A,FALSE,"KA ST  (3)";#N/A,#N/A,FALSE,"KA ST (4)"}</definedName>
    <definedName name="ffd_5"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ffd_5"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ffd_5" hidden="1">{#N/A,#N/A,FALSE,"Rohstoffnotierungen";#N/A,#N/A,FALSE,"ER HCST Erw. 99";#N/A,#N/A,FALSE,"ER HCST Plan 00";#N/A,#N/A,FALSE,"Umsatz KG";#N/A,#N/A,FALSE,"ER HCST";#N/A,#N/A,FALSE,"EA ST (2)";#N/A,#N/A,FALSE,"EA ST";#N/A,#N/A,FALSE,"EA ST (3)";#N/A,#N/A,FALSE,"EA ST (4)";#N/A,#N/A,FALSE,"KA ST  (2)";#N/A,#N/A,FALSE,"KA ST";#N/A,#N/A,FALSE,"KA ST  (3)";#N/A,#N/A,FALSE,"KA ST (4)"}</definedName>
    <definedName name="ffdd" localSheetId="0" hidden="1">{#N/A,#N/A,FALSE,"Umsatz EO BP";#N/A,#N/A,FALSE,"Umsatz EO OP";#N/A,#N/A,FALSE,"ER EO BP";#N/A,#N/A,FALSE,"ER EO OP";#N/A,#N/A,FALSE,"EA EO (2)";#N/A,#N/A,FALSE,"EA EO";#N/A,#N/A,FALSE,"EA EO (3)";#N/A,#N/A,FALSE,"EA EO (4)";#N/A,#N/A,FALSE,"KA EO  (2)";#N/A,#N/A,FALSE,"KA EO";#N/A,#N/A,FALSE,"KA EO  (3)";#N/A,#N/A,FALSE,"KA EO (4)"}</definedName>
    <definedName name="ffdd" localSheetId="6" hidden="1">{#N/A,#N/A,FALSE,"Umsatz EO BP";#N/A,#N/A,FALSE,"Umsatz EO OP";#N/A,#N/A,FALSE,"ER EO BP";#N/A,#N/A,FALSE,"ER EO OP";#N/A,#N/A,FALSE,"EA EO (2)";#N/A,#N/A,FALSE,"EA EO";#N/A,#N/A,FALSE,"EA EO (3)";#N/A,#N/A,FALSE,"EA EO (4)";#N/A,#N/A,FALSE,"KA EO  (2)";#N/A,#N/A,FALSE,"KA EO";#N/A,#N/A,FALSE,"KA EO  (3)";#N/A,#N/A,FALSE,"KA EO (4)"}</definedName>
    <definedName name="ffdd" hidden="1">{#N/A,#N/A,FALSE,"Umsatz EO BP";#N/A,#N/A,FALSE,"Umsatz EO OP";#N/A,#N/A,FALSE,"ER EO BP";#N/A,#N/A,FALSE,"ER EO OP";#N/A,#N/A,FALSE,"EA EO (2)";#N/A,#N/A,FALSE,"EA EO";#N/A,#N/A,FALSE,"EA EO (3)";#N/A,#N/A,FALSE,"EA EO (4)";#N/A,#N/A,FALSE,"KA EO  (2)";#N/A,#N/A,FALSE,"KA EO";#N/A,#N/A,FALSE,"KA EO  (3)";#N/A,#N/A,FALSE,"KA EO (4)"}</definedName>
    <definedName name="ffdd_1" localSheetId="0" hidden="1">{#N/A,#N/A,FALSE,"Umsatz EO BP";#N/A,#N/A,FALSE,"Umsatz EO OP";#N/A,#N/A,FALSE,"ER EO BP";#N/A,#N/A,FALSE,"ER EO OP";#N/A,#N/A,FALSE,"EA EO (2)";#N/A,#N/A,FALSE,"EA EO";#N/A,#N/A,FALSE,"EA EO (3)";#N/A,#N/A,FALSE,"EA EO (4)";#N/A,#N/A,FALSE,"KA EO  (2)";#N/A,#N/A,FALSE,"KA EO";#N/A,#N/A,FALSE,"KA EO  (3)";#N/A,#N/A,FALSE,"KA EO (4)"}</definedName>
    <definedName name="ffdd_1" localSheetId="6" hidden="1">{#N/A,#N/A,FALSE,"Umsatz EO BP";#N/A,#N/A,FALSE,"Umsatz EO OP";#N/A,#N/A,FALSE,"ER EO BP";#N/A,#N/A,FALSE,"ER EO OP";#N/A,#N/A,FALSE,"EA EO (2)";#N/A,#N/A,FALSE,"EA EO";#N/A,#N/A,FALSE,"EA EO (3)";#N/A,#N/A,FALSE,"EA EO (4)";#N/A,#N/A,FALSE,"KA EO  (2)";#N/A,#N/A,FALSE,"KA EO";#N/A,#N/A,FALSE,"KA EO  (3)";#N/A,#N/A,FALSE,"KA EO (4)"}</definedName>
    <definedName name="ffdd_1" hidden="1">{#N/A,#N/A,FALSE,"Umsatz EO BP";#N/A,#N/A,FALSE,"Umsatz EO OP";#N/A,#N/A,FALSE,"ER EO BP";#N/A,#N/A,FALSE,"ER EO OP";#N/A,#N/A,FALSE,"EA EO (2)";#N/A,#N/A,FALSE,"EA EO";#N/A,#N/A,FALSE,"EA EO (3)";#N/A,#N/A,FALSE,"EA EO (4)";#N/A,#N/A,FALSE,"KA EO  (2)";#N/A,#N/A,FALSE,"KA EO";#N/A,#N/A,FALSE,"KA EO  (3)";#N/A,#N/A,FALSE,"KA EO (4)"}</definedName>
    <definedName name="ffdd_1_1" localSheetId="0" hidden="1">{#N/A,#N/A,FALSE,"Umsatz EO BP";#N/A,#N/A,FALSE,"Umsatz EO OP";#N/A,#N/A,FALSE,"ER EO BP";#N/A,#N/A,FALSE,"ER EO OP";#N/A,#N/A,FALSE,"EA EO (2)";#N/A,#N/A,FALSE,"EA EO";#N/A,#N/A,FALSE,"EA EO (3)";#N/A,#N/A,FALSE,"EA EO (4)";#N/A,#N/A,FALSE,"KA EO  (2)";#N/A,#N/A,FALSE,"KA EO";#N/A,#N/A,FALSE,"KA EO  (3)";#N/A,#N/A,FALSE,"KA EO (4)"}</definedName>
    <definedName name="ffdd_1_1" localSheetId="6" hidden="1">{#N/A,#N/A,FALSE,"Umsatz EO BP";#N/A,#N/A,FALSE,"Umsatz EO OP";#N/A,#N/A,FALSE,"ER EO BP";#N/A,#N/A,FALSE,"ER EO OP";#N/A,#N/A,FALSE,"EA EO (2)";#N/A,#N/A,FALSE,"EA EO";#N/A,#N/A,FALSE,"EA EO (3)";#N/A,#N/A,FALSE,"EA EO (4)";#N/A,#N/A,FALSE,"KA EO  (2)";#N/A,#N/A,FALSE,"KA EO";#N/A,#N/A,FALSE,"KA EO  (3)";#N/A,#N/A,FALSE,"KA EO (4)"}</definedName>
    <definedName name="ffdd_1_1" hidden="1">{#N/A,#N/A,FALSE,"Umsatz EO BP";#N/A,#N/A,FALSE,"Umsatz EO OP";#N/A,#N/A,FALSE,"ER EO BP";#N/A,#N/A,FALSE,"ER EO OP";#N/A,#N/A,FALSE,"EA EO (2)";#N/A,#N/A,FALSE,"EA EO";#N/A,#N/A,FALSE,"EA EO (3)";#N/A,#N/A,FALSE,"EA EO (4)";#N/A,#N/A,FALSE,"KA EO  (2)";#N/A,#N/A,FALSE,"KA EO";#N/A,#N/A,FALSE,"KA EO  (3)";#N/A,#N/A,FALSE,"KA EO (4)"}</definedName>
    <definedName name="ffdd_2" localSheetId="0" hidden="1">{#N/A,#N/A,FALSE,"Umsatz EO BP";#N/A,#N/A,FALSE,"Umsatz EO OP";#N/A,#N/A,FALSE,"ER EO BP";#N/A,#N/A,FALSE,"ER EO OP";#N/A,#N/A,FALSE,"EA EO (2)";#N/A,#N/A,FALSE,"EA EO";#N/A,#N/A,FALSE,"EA EO (3)";#N/A,#N/A,FALSE,"EA EO (4)";#N/A,#N/A,FALSE,"KA EO  (2)";#N/A,#N/A,FALSE,"KA EO";#N/A,#N/A,FALSE,"KA EO  (3)";#N/A,#N/A,FALSE,"KA EO (4)"}</definedName>
    <definedName name="ffdd_2" localSheetId="6" hidden="1">{#N/A,#N/A,FALSE,"Umsatz EO BP";#N/A,#N/A,FALSE,"Umsatz EO OP";#N/A,#N/A,FALSE,"ER EO BP";#N/A,#N/A,FALSE,"ER EO OP";#N/A,#N/A,FALSE,"EA EO (2)";#N/A,#N/A,FALSE,"EA EO";#N/A,#N/A,FALSE,"EA EO (3)";#N/A,#N/A,FALSE,"EA EO (4)";#N/A,#N/A,FALSE,"KA EO  (2)";#N/A,#N/A,FALSE,"KA EO";#N/A,#N/A,FALSE,"KA EO  (3)";#N/A,#N/A,FALSE,"KA EO (4)"}</definedName>
    <definedName name="ffdd_2" hidden="1">{#N/A,#N/A,FALSE,"Umsatz EO BP";#N/A,#N/A,FALSE,"Umsatz EO OP";#N/A,#N/A,FALSE,"ER EO BP";#N/A,#N/A,FALSE,"ER EO OP";#N/A,#N/A,FALSE,"EA EO (2)";#N/A,#N/A,FALSE,"EA EO";#N/A,#N/A,FALSE,"EA EO (3)";#N/A,#N/A,FALSE,"EA EO (4)";#N/A,#N/A,FALSE,"KA EO  (2)";#N/A,#N/A,FALSE,"KA EO";#N/A,#N/A,FALSE,"KA EO  (3)";#N/A,#N/A,FALSE,"KA EO (4)"}</definedName>
    <definedName name="ffdd_3" localSheetId="0" hidden="1">{#N/A,#N/A,FALSE,"Umsatz EO BP";#N/A,#N/A,FALSE,"Umsatz EO OP";#N/A,#N/A,FALSE,"ER EO BP";#N/A,#N/A,FALSE,"ER EO OP";#N/A,#N/A,FALSE,"EA EO (2)";#N/A,#N/A,FALSE,"EA EO";#N/A,#N/A,FALSE,"EA EO (3)";#N/A,#N/A,FALSE,"EA EO (4)";#N/A,#N/A,FALSE,"KA EO  (2)";#N/A,#N/A,FALSE,"KA EO";#N/A,#N/A,FALSE,"KA EO  (3)";#N/A,#N/A,FALSE,"KA EO (4)"}</definedName>
    <definedName name="ffdd_3" localSheetId="6" hidden="1">{#N/A,#N/A,FALSE,"Umsatz EO BP";#N/A,#N/A,FALSE,"Umsatz EO OP";#N/A,#N/A,FALSE,"ER EO BP";#N/A,#N/A,FALSE,"ER EO OP";#N/A,#N/A,FALSE,"EA EO (2)";#N/A,#N/A,FALSE,"EA EO";#N/A,#N/A,FALSE,"EA EO (3)";#N/A,#N/A,FALSE,"EA EO (4)";#N/A,#N/A,FALSE,"KA EO  (2)";#N/A,#N/A,FALSE,"KA EO";#N/A,#N/A,FALSE,"KA EO  (3)";#N/A,#N/A,FALSE,"KA EO (4)"}</definedName>
    <definedName name="ffdd_3" hidden="1">{#N/A,#N/A,FALSE,"Umsatz EO BP";#N/A,#N/A,FALSE,"Umsatz EO OP";#N/A,#N/A,FALSE,"ER EO BP";#N/A,#N/A,FALSE,"ER EO OP";#N/A,#N/A,FALSE,"EA EO (2)";#N/A,#N/A,FALSE,"EA EO";#N/A,#N/A,FALSE,"EA EO (3)";#N/A,#N/A,FALSE,"EA EO (4)";#N/A,#N/A,FALSE,"KA EO  (2)";#N/A,#N/A,FALSE,"KA EO";#N/A,#N/A,FALSE,"KA EO  (3)";#N/A,#N/A,FALSE,"KA EO (4)"}</definedName>
    <definedName name="ffdd_4" localSheetId="0" hidden="1">{#N/A,#N/A,FALSE,"Umsatz EO BP";#N/A,#N/A,FALSE,"Umsatz EO OP";#N/A,#N/A,FALSE,"ER EO BP";#N/A,#N/A,FALSE,"ER EO OP";#N/A,#N/A,FALSE,"EA EO (2)";#N/A,#N/A,FALSE,"EA EO";#N/A,#N/A,FALSE,"EA EO (3)";#N/A,#N/A,FALSE,"EA EO (4)";#N/A,#N/A,FALSE,"KA EO  (2)";#N/A,#N/A,FALSE,"KA EO";#N/A,#N/A,FALSE,"KA EO  (3)";#N/A,#N/A,FALSE,"KA EO (4)"}</definedName>
    <definedName name="ffdd_4" localSheetId="6" hidden="1">{#N/A,#N/A,FALSE,"Umsatz EO BP";#N/A,#N/A,FALSE,"Umsatz EO OP";#N/A,#N/A,FALSE,"ER EO BP";#N/A,#N/A,FALSE,"ER EO OP";#N/A,#N/A,FALSE,"EA EO (2)";#N/A,#N/A,FALSE,"EA EO";#N/A,#N/A,FALSE,"EA EO (3)";#N/A,#N/A,FALSE,"EA EO (4)";#N/A,#N/A,FALSE,"KA EO  (2)";#N/A,#N/A,FALSE,"KA EO";#N/A,#N/A,FALSE,"KA EO  (3)";#N/A,#N/A,FALSE,"KA EO (4)"}</definedName>
    <definedName name="ffdd_4" hidden="1">{#N/A,#N/A,FALSE,"Umsatz EO BP";#N/A,#N/A,FALSE,"Umsatz EO OP";#N/A,#N/A,FALSE,"ER EO BP";#N/A,#N/A,FALSE,"ER EO OP";#N/A,#N/A,FALSE,"EA EO (2)";#N/A,#N/A,FALSE,"EA EO";#N/A,#N/A,FALSE,"EA EO (3)";#N/A,#N/A,FALSE,"EA EO (4)";#N/A,#N/A,FALSE,"KA EO  (2)";#N/A,#N/A,FALSE,"KA EO";#N/A,#N/A,FALSE,"KA EO  (3)";#N/A,#N/A,FALSE,"KA EO (4)"}</definedName>
    <definedName name="ffdd_5" localSheetId="0" hidden="1">{#N/A,#N/A,FALSE,"Umsatz EO BP";#N/A,#N/A,FALSE,"Umsatz EO OP";#N/A,#N/A,FALSE,"ER EO BP";#N/A,#N/A,FALSE,"ER EO OP";#N/A,#N/A,FALSE,"EA EO (2)";#N/A,#N/A,FALSE,"EA EO";#N/A,#N/A,FALSE,"EA EO (3)";#N/A,#N/A,FALSE,"EA EO (4)";#N/A,#N/A,FALSE,"KA EO  (2)";#N/A,#N/A,FALSE,"KA EO";#N/A,#N/A,FALSE,"KA EO  (3)";#N/A,#N/A,FALSE,"KA EO (4)"}</definedName>
    <definedName name="ffdd_5" localSheetId="6" hidden="1">{#N/A,#N/A,FALSE,"Umsatz EO BP";#N/A,#N/A,FALSE,"Umsatz EO OP";#N/A,#N/A,FALSE,"ER EO BP";#N/A,#N/A,FALSE,"ER EO OP";#N/A,#N/A,FALSE,"EA EO (2)";#N/A,#N/A,FALSE,"EA EO";#N/A,#N/A,FALSE,"EA EO (3)";#N/A,#N/A,FALSE,"EA EO (4)";#N/A,#N/A,FALSE,"KA EO  (2)";#N/A,#N/A,FALSE,"KA EO";#N/A,#N/A,FALSE,"KA EO  (3)";#N/A,#N/A,FALSE,"KA EO (4)"}</definedName>
    <definedName name="ffdd_5" hidden="1">{#N/A,#N/A,FALSE,"Umsatz EO BP";#N/A,#N/A,FALSE,"Umsatz EO OP";#N/A,#N/A,FALSE,"ER EO BP";#N/A,#N/A,FALSE,"ER EO OP";#N/A,#N/A,FALSE,"EA EO (2)";#N/A,#N/A,FALSE,"EA EO";#N/A,#N/A,FALSE,"EA EO (3)";#N/A,#N/A,FALSE,"EA EO (4)";#N/A,#N/A,FALSE,"KA EO  (2)";#N/A,#N/A,FALSE,"KA EO";#N/A,#N/A,FALSE,"KA EO  (3)";#N/A,#N/A,FALSE,"KA EO (4)"}</definedName>
    <definedName name="fff" localSheetId="6" hidden="1">{#N/A,#N/A,FALSE,"Others AMP";#N/A,#N/A,FALSE,"S4 AMP";#N/A,#N/A,FALSE,"S5 Amp Tunnels"}</definedName>
    <definedName name="fff" hidden="1">{#N/A,#N/A,FALSE,"Others AMP";#N/A,#N/A,FALSE,"S4 AMP";#N/A,#N/A,FALSE,"S5 Amp Tunnels"}</definedName>
    <definedName name="fff_1" localSheetId="0" hidden="1">{#N/A,#N/A,FALSE,"Pharm";#N/A,#N/A,FALSE,"WWCM"}</definedName>
    <definedName name="fff_1" localSheetId="6" hidden="1">{#N/A,#N/A,FALSE,"Pharm";#N/A,#N/A,FALSE,"WWCM"}</definedName>
    <definedName name="fff_1" hidden="1">{#N/A,#N/A,FALSE,"Pharm";#N/A,#N/A,FALSE,"WWCM"}</definedName>
    <definedName name="fff_1_1" localSheetId="0" hidden="1">{#N/A,#N/A,FALSE,"Pharm";#N/A,#N/A,FALSE,"WWCM"}</definedName>
    <definedName name="fff_1_1" localSheetId="6" hidden="1">{#N/A,#N/A,FALSE,"Pharm";#N/A,#N/A,FALSE,"WWCM"}</definedName>
    <definedName name="fff_1_1" hidden="1">{#N/A,#N/A,FALSE,"Pharm";#N/A,#N/A,FALSE,"WWCM"}</definedName>
    <definedName name="fff_2" localSheetId="0" hidden="1">{#N/A,#N/A,FALSE,"Pharm";#N/A,#N/A,FALSE,"WWCM"}</definedName>
    <definedName name="fff_2" localSheetId="6" hidden="1">{#N/A,#N/A,FALSE,"Pharm";#N/A,#N/A,FALSE,"WWCM"}</definedName>
    <definedName name="fff_2" hidden="1">{#N/A,#N/A,FALSE,"Pharm";#N/A,#N/A,FALSE,"WWCM"}</definedName>
    <definedName name="fff_3" localSheetId="0" hidden="1">{#N/A,#N/A,FALSE,"Pharm";#N/A,#N/A,FALSE,"WWCM"}</definedName>
    <definedName name="fff_3" localSheetId="6" hidden="1">{#N/A,#N/A,FALSE,"Pharm";#N/A,#N/A,FALSE,"WWCM"}</definedName>
    <definedName name="fff_3" hidden="1">{#N/A,#N/A,FALSE,"Pharm";#N/A,#N/A,FALSE,"WWCM"}</definedName>
    <definedName name="fff_4" localSheetId="0" hidden="1">{#N/A,#N/A,FALSE,"Pharm";#N/A,#N/A,FALSE,"WWCM"}</definedName>
    <definedName name="fff_4" localSheetId="6" hidden="1">{#N/A,#N/A,FALSE,"Pharm";#N/A,#N/A,FALSE,"WWCM"}</definedName>
    <definedName name="fff_4" hidden="1">{#N/A,#N/A,FALSE,"Pharm";#N/A,#N/A,FALSE,"WWCM"}</definedName>
    <definedName name="fff_5" localSheetId="0" hidden="1">{#N/A,#N/A,FALSE,"Pharm";#N/A,#N/A,FALSE,"WWCM"}</definedName>
    <definedName name="fff_5" localSheetId="6" hidden="1">{#N/A,#N/A,FALSE,"Pharm";#N/A,#N/A,FALSE,"WWCM"}</definedName>
    <definedName name="fff_5" hidden="1">{#N/A,#N/A,FALSE,"Pharm";#N/A,#N/A,FALSE,"WWCM"}</definedName>
    <definedName name="ffff" localSheetId="0" hidden="1">{"comps",#N/A,FALSE,"comps";"notes",#N/A,FALSE,"comps"}</definedName>
    <definedName name="ffff" localSheetId="6" hidden="1">{"comps",#N/A,FALSE,"comps";"notes",#N/A,FALSE,"comps"}</definedName>
    <definedName name="ffff" hidden="1">{"comps",#N/A,FALSE,"comps";"notes",#N/A,FALSE,"comps"}</definedName>
    <definedName name="fffff" localSheetId="6" hidden="1">{"year1",#N/A,FALSE,"IZT";"year2",#N/A,FALSE,"IZT"}</definedName>
    <definedName name="fffff" hidden="1">{"year1",#N/A,FALSE,"IZT";"year2",#N/A,FALSE,"IZT"}</definedName>
    <definedName name="fffffff" localSheetId="0" hidden="1">{#N/A,#N/A,FALSE,"Pharm";#N/A,#N/A,FALSE,"WWCM"}</definedName>
    <definedName name="fffffff" localSheetId="6" hidden="1">{#N/A,#N/A,FALSE,"Pharm";#N/A,#N/A,FALSE,"WWCM"}</definedName>
    <definedName name="fffffff" hidden="1">{#N/A,#N/A,FALSE,"Pharm";#N/A,#N/A,FALSE,"WWCM"}</definedName>
    <definedName name="fffffff_1" localSheetId="0" hidden="1">{#N/A,#N/A,FALSE,"Pharm";#N/A,#N/A,FALSE,"WWCM"}</definedName>
    <definedName name="fffffff_1" localSheetId="6" hidden="1">{#N/A,#N/A,FALSE,"Pharm";#N/A,#N/A,FALSE,"WWCM"}</definedName>
    <definedName name="fffffff_1" hidden="1">{#N/A,#N/A,FALSE,"Pharm";#N/A,#N/A,FALSE,"WWCM"}</definedName>
    <definedName name="fffffff_1_1" localSheetId="0" hidden="1">{#N/A,#N/A,FALSE,"Pharm";#N/A,#N/A,FALSE,"WWCM"}</definedName>
    <definedName name="fffffff_1_1" localSheetId="6" hidden="1">{#N/A,#N/A,FALSE,"Pharm";#N/A,#N/A,FALSE,"WWCM"}</definedName>
    <definedName name="fffffff_1_1" hidden="1">{#N/A,#N/A,FALSE,"Pharm";#N/A,#N/A,FALSE,"WWCM"}</definedName>
    <definedName name="fffffff_2" localSheetId="0" hidden="1">{#N/A,#N/A,FALSE,"Pharm";#N/A,#N/A,FALSE,"WWCM"}</definedName>
    <definedName name="fffffff_2" localSheetId="6" hidden="1">{#N/A,#N/A,FALSE,"Pharm";#N/A,#N/A,FALSE,"WWCM"}</definedName>
    <definedName name="fffffff_2" hidden="1">{#N/A,#N/A,FALSE,"Pharm";#N/A,#N/A,FALSE,"WWCM"}</definedName>
    <definedName name="fffffff_3" localSheetId="0" hidden="1">{#N/A,#N/A,FALSE,"Pharm";#N/A,#N/A,FALSE,"WWCM"}</definedName>
    <definedName name="fffffff_3" localSheetId="6" hidden="1">{#N/A,#N/A,FALSE,"Pharm";#N/A,#N/A,FALSE,"WWCM"}</definedName>
    <definedName name="fffffff_3" hidden="1">{#N/A,#N/A,FALSE,"Pharm";#N/A,#N/A,FALSE,"WWCM"}</definedName>
    <definedName name="fffffff_4" localSheetId="0" hidden="1">{#N/A,#N/A,FALSE,"Pharm";#N/A,#N/A,FALSE,"WWCM"}</definedName>
    <definedName name="fffffff_4" localSheetId="6" hidden="1">{#N/A,#N/A,FALSE,"Pharm";#N/A,#N/A,FALSE,"WWCM"}</definedName>
    <definedName name="fffffff_4" hidden="1">{#N/A,#N/A,FALSE,"Pharm";#N/A,#N/A,FALSE,"WWCM"}</definedName>
    <definedName name="fffffff_5" localSheetId="0" hidden="1">{#N/A,#N/A,FALSE,"Pharm";#N/A,#N/A,FALSE,"WWCM"}</definedName>
    <definedName name="fffffff_5" localSheetId="6" hidden="1">{#N/A,#N/A,FALSE,"Pharm";#N/A,#N/A,FALSE,"WWCM"}</definedName>
    <definedName name="fffffff_5" hidden="1">{#N/A,#N/A,FALSE,"Pharm";#N/A,#N/A,FALSE,"WWCM"}</definedName>
    <definedName name="ffffffff" localSheetId="6" hidden="1">{#N/A,#N/A,TRUE,"FA 1 &amp; 2";#N/A,#N/A,TRUE,"FA 3 &amp; 4";#N/A,#N/A,TRUE,"FA 5 &amp; 6";#N/A,#N/A,TRUE,"FA 7 &amp; 8";#N/A,#N/A,TRUE,"FA 9 &amp; 10";#N/A,#N/A,TRUE,"FA 11";#N/A,#N/A,TRUE,"FA 12";#N/A,#N/A,TRUE,"FA 13";#N/A,#N/A,TRUE,"FA 14 &amp; 15"}</definedName>
    <definedName name="ffffffff" hidden="1">{#N/A,#N/A,TRUE,"FA 1 &amp; 2";#N/A,#N/A,TRUE,"FA 3 &amp; 4";#N/A,#N/A,TRUE,"FA 5 &amp; 6";#N/A,#N/A,TRUE,"FA 7 &amp; 8";#N/A,#N/A,TRUE,"FA 9 &amp; 10";#N/A,#N/A,TRUE,"FA 11";#N/A,#N/A,TRUE,"FA 12";#N/A,#N/A,TRUE,"FA 13";#N/A,#N/A,TRUE,"FA 14 &amp; 15"}</definedName>
    <definedName name="ffgfdg" localSheetId="6" hidden="1">{"VIEW1",#N/A,FALSE,"P&amp;L Account 2001-2002";"VIEW2",#N/A,FALSE,"P&amp;L Account 2001-2002";"VIEW3",#N/A,FALSE,"P&amp;L Account 2001-2002";"VIEW4",#N/A,FALSE,"P&amp;L Account 2001-2002"}</definedName>
    <definedName name="ffgfdg" hidden="1">{"VIEW1",#N/A,FALSE,"P&amp;L Account 2001-2002";"VIEW2",#N/A,FALSE,"P&amp;L Account 2001-2002";"VIEW3",#N/A,FALSE,"P&amp;L Account 2001-2002";"VIEW4",#N/A,FALSE,"P&amp;L Account 2001-2002"}</definedName>
    <definedName name="FFGSGDSAGF" localSheetId="6" hidden="1">{"VIEW1",#N/A,FALSE,"P&amp;L Account 2001-2002";"VIEW2",#N/A,FALSE,"P&amp;L Account 2001-2002";"VIEW3",#N/A,FALSE,"P&amp;L Account 2001-2002";"VIEW4",#N/A,FALSE,"P&amp;L Account 2001-2002"}</definedName>
    <definedName name="FFGSGDSAGF" hidden="1">{"VIEW1",#N/A,FALSE,"P&amp;L Account 2001-2002";"VIEW2",#N/A,FALSE,"P&amp;L Account 2001-2002";"VIEW3",#N/A,FALSE,"P&amp;L Account 2001-2002";"VIEW4",#N/A,FALSE,"P&amp;L Account 2001-2002"}</definedName>
    <definedName name="ffs" hidden="1">#REF!</definedName>
    <definedName name="ffvvbba" localSheetId="0" hidden="1">{"adj95mult",#N/A,FALSE,"COMPCO";"adj95est",#N/A,FALSE,"COMPCO"}</definedName>
    <definedName name="ffvvbba" localSheetId="6" hidden="1">{"adj95mult",#N/A,FALSE,"COMPCO";"adj95est",#N/A,FALSE,"COMPCO"}</definedName>
    <definedName name="ffvvbba" hidden="1">{"adj95mult",#N/A,FALSE,"COMPCO";"adj95est",#N/A,FALSE,"COMPCO"}</definedName>
    <definedName name="fg" localSheetId="6" hidden="1">{#N/A,#N/A,FALSE,"Results_1996"}</definedName>
    <definedName name="fg" hidden="1">{#N/A,#N/A,FALSE,"Results_1996"}</definedName>
    <definedName name="fg_1" localSheetId="0" hidden="1">{#N/A,#N/A,FALSE,"REPORT"}</definedName>
    <definedName name="fg_1" localSheetId="6" hidden="1">{#N/A,#N/A,FALSE,"REPORT"}</definedName>
    <definedName name="fg_1" hidden="1">{#N/A,#N/A,FALSE,"REPORT"}</definedName>
    <definedName name="fg_1_1" localSheetId="0" hidden="1">{#N/A,#N/A,FALSE,"REPORT"}</definedName>
    <definedName name="fg_1_1" localSheetId="6" hidden="1">{#N/A,#N/A,FALSE,"REPORT"}</definedName>
    <definedName name="fg_1_1" hidden="1">{#N/A,#N/A,FALSE,"REPORT"}</definedName>
    <definedName name="fg_2" localSheetId="0" hidden="1">{#N/A,#N/A,FALSE,"REPORT"}</definedName>
    <definedName name="fg_2" localSheetId="6" hidden="1">{#N/A,#N/A,FALSE,"REPORT"}</definedName>
    <definedName name="fg_2" hidden="1">{#N/A,#N/A,FALSE,"REPORT"}</definedName>
    <definedName name="fg_3" localSheetId="0" hidden="1">{#N/A,#N/A,FALSE,"REPORT"}</definedName>
    <definedName name="fg_3" localSheetId="6" hidden="1">{#N/A,#N/A,FALSE,"REPORT"}</definedName>
    <definedName name="fg_3" hidden="1">{#N/A,#N/A,FALSE,"REPORT"}</definedName>
    <definedName name="fg_4" localSheetId="0" hidden="1">{#N/A,#N/A,FALSE,"REPORT"}</definedName>
    <definedName name="fg_4" localSheetId="6" hidden="1">{#N/A,#N/A,FALSE,"REPORT"}</definedName>
    <definedName name="fg_4" hidden="1">{#N/A,#N/A,FALSE,"REPORT"}</definedName>
    <definedName name="fg_5" localSheetId="0" hidden="1">{#N/A,#N/A,FALSE,"REPORT"}</definedName>
    <definedName name="fg_5" localSheetId="6" hidden="1">{#N/A,#N/A,FALSE,"REPORT"}</definedName>
    <definedName name="fg_5" hidden="1">{#N/A,#N/A,FALSE,"REPORT"}</definedName>
    <definedName name="FG22TBTB3RTDKDKDK">#REF!</definedName>
    <definedName name="fgdfg" localSheetId="6"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localSheetId="6" hidden="1">{#N/A,#N/A,FALSE,"SumD";#N/A,#N/A,FALSE,"ElecD";#N/A,#N/A,FALSE,"MechD";#N/A,#N/A,FALSE,"GeotD";#N/A,#N/A,FALSE,"PrcsD";#N/A,#N/A,FALSE,"TunnD";#N/A,#N/A,FALSE,"CivlD";#N/A,#N/A,FALSE,"NtwkD";#N/A,#N/A,FALSE,"EstgD";#N/A,#N/A,FALSE,"PEngD"}</definedName>
    <definedName name="fgdfg_1" hidden="1">{#N/A,#N/A,FALSE,"SumD";#N/A,#N/A,FALSE,"ElecD";#N/A,#N/A,FALSE,"MechD";#N/A,#N/A,FALSE,"GeotD";#N/A,#N/A,FALSE,"PrcsD";#N/A,#N/A,FALSE,"TunnD";#N/A,#N/A,FALSE,"CivlD";#N/A,#N/A,FALSE,"NtwkD";#N/A,#N/A,FALSE,"EstgD";#N/A,#N/A,FALSE,"PEngD"}</definedName>
    <definedName name="fgf" localSheetId="0" hidden="1">{#N/A,#N/A,FALSE,"Umsatz 99";#N/A,#N/A,FALSE,"ER 99 "}</definedName>
    <definedName name="fgf" localSheetId="6" hidden="1">{#N/A,#N/A,FALSE,"Umsatz 99";#N/A,#N/A,FALSE,"ER 99 "}</definedName>
    <definedName name="fgf" hidden="1">{#N/A,#N/A,FALSE,"Umsatz 99";#N/A,#N/A,FALSE,"ER 99 "}</definedName>
    <definedName name="fgf_1" localSheetId="0" hidden="1">{#N/A,#N/A,FALSE,"Umsatz 99";#N/A,#N/A,FALSE,"ER 99 "}</definedName>
    <definedName name="fgf_1" localSheetId="6" hidden="1">{#N/A,#N/A,FALSE,"Umsatz 99";#N/A,#N/A,FALSE,"ER 99 "}</definedName>
    <definedName name="fgf_1" hidden="1">{#N/A,#N/A,FALSE,"Umsatz 99";#N/A,#N/A,FALSE,"ER 99 "}</definedName>
    <definedName name="fgf_1_1" localSheetId="0" hidden="1">{#N/A,#N/A,FALSE,"Umsatz 99";#N/A,#N/A,FALSE,"ER 99 "}</definedName>
    <definedName name="fgf_1_1" localSheetId="6" hidden="1">{#N/A,#N/A,FALSE,"Umsatz 99";#N/A,#N/A,FALSE,"ER 99 "}</definedName>
    <definedName name="fgf_1_1" hidden="1">{#N/A,#N/A,FALSE,"Umsatz 99";#N/A,#N/A,FALSE,"ER 99 "}</definedName>
    <definedName name="fgf_2" localSheetId="0" hidden="1">{#N/A,#N/A,FALSE,"Umsatz 99";#N/A,#N/A,FALSE,"ER 99 "}</definedName>
    <definedName name="fgf_2" localSheetId="6" hidden="1">{#N/A,#N/A,FALSE,"Umsatz 99";#N/A,#N/A,FALSE,"ER 99 "}</definedName>
    <definedName name="fgf_2" hidden="1">{#N/A,#N/A,FALSE,"Umsatz 99";#N/A,#N/A,FALSE,"ER 99 "}</definedName>
    <definedName name="fgf_3" localSheetId="0" hidden="1">{#N/A,#N/A,FALSE,"Umsatz 99";#N/A,#N/A,FALSE,"ER 99 "}</definedName>
    <definedName name="fgf_3" localSheetId="6" hidden="1">{#N/A,#N/A,FALSE,"Umsatz 99";#N/A,#N/A,FALSE,"ER 99 "}</definedName>
    <definedName name="fgf_3" hidden="1">{#N/A,#N/A,FALSE,"Umsatz 99";#N/A,#N/A,FALSE,"ER 99 "}</definedName>
    <definedName name="fgf_4" localSheetId="0" hidden="1">{#N/A,#N/A,FALSE,"Umsatz 99";#N/A,#N/A,FALSE,"ER 99 "}</definedName>
    <definedName name="fgf_4" localSheetId="6" hidden="1">{#N/A,#N/A,FALSE,"Umsatz 99";#N/A,#N/A,FALSE,"ER 99 "}</definedName>
    <definedName name="fgf_4" hidden="1">{#N/A,#N/A,FALSE,"Umsatz 99";#N/A,#N/A,FALSE,"ER 99 "}</definedName>
    <definedName name="fgf_5" localSheetId="0" hidden="1">{#N/A,#N/A,FALSE,"Umsatz 99";#N/A,#N/A,FALSE,"ER 99 "}</definedName>
    <definedName name="fgf_5" localSheetId="6" hidden="1">{#N/A,#N/A,FALSE,"Umsatz 99";#N/A,#N/A,FALSE,"ER 99 "}</definedName>
    <definedName name="fgf_5" hidden="1">{#N/A,#N/A,FALSE,"Umsatz 99";#N/A,#N/A,FALSE,"ER 99 "}</definedName>
    <definedName name="fgfd" hidden="1">#REF!</definedName>
    <definedName name="fgfdg" localSheetId="6"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localSheetId="6" hidden="1">{#N/A,#N/A,FALSE,"SumG";#N/A,#N/A,FALSE,"ElecG";#N/A,#N/A,FALSE,"MechG";#N/A,#N/A,FALSE,"GeotG";#N/A,#N/A,FALSE,"PrcsG";#N/A,#N/A,FALSE,"TunnG";#N/A,#N/A,FALSE,"CivlG";#N/A,#N/A,FALSE,"NtwkG";#N/A,#N/A,FALSE,"EstgG";#N/A,#N/A,FALSE,"PEngG"}</definedName>
    <definedName name="fgfdg_1" hidden="1">{#N/A,#N/A,FALSE,"SumG";#N/A,#N/A,FALSE,"ElecG";#N/A,#N/A,FALSE,"MechG";#N/A,#N/A,FALSE,"GeotG";#N/A,#N/A,FALSE,"PrcsG";#N/A,#N/A,FALSE,"TunnG";#N/A,#N/A,FALSE,"CivlG";#N/A,#N/A,FALSE,"NtwkG";#N/A,#N/A,FALSE,"EstgG";#N/A,#N/A,FALSE,"PEngG"}</definedName>
    <definedName name="fgfg" localSheetId="0" hidden="1">{#N/A,#N/A,FALSE,"ORFORM";#N/A,#N/A,FALSE,"MULTIPLE";#N/A,#N/A,FALSE,"RFFO Form";#N/A,#N/A,FALSE,"Estimate Sheet";#N/A,#N/A,FALSE,"MAC4843";#N/A,#N/A,FALSE,"M4843-2";#N/A,#N/A,FALSE,"M4843-2B";#N/A,#N/A,FALSE,"BCA "}</definedName>
    <definedName name="fgfg" localSheetId="6" hidden="1">{#N/A,#N/A,FALSE,"ORFORM";#N/A,#N/A,FALSE,"MULTIPLE";#N/A,#N/A,FALSE,"RFFO Form";#N/A,#N/A,FALSE,"Estimate Sheet";#N/A,#N/A,FALSE,"MAC4843";#N/A,#N/A,FALSE,"M4843-2";#N/A,#N/A,FALSE,"M4843-2B";#N/A,#N/A,FALSE,"BCA "}</definedName>
    <definedName name="fgfg" hidden="1">{#N/A,#N/A,FALSE,"ORFORM";#N/A,#N/A,FALSE,"MULTIPLE";#N/A,#N/A,FALSE,"RFFO Form";#N/A,#N/A,FALSE,"Estimate Sheet";#N/A,#N/A,FALSE,"MAC4843";#N/A,#N/A,FALSE,"M4843-2";#N/A,#N/A,FALSE,"M4843-2B";#N/A,#N/A,FALSE,"BCA "}</definedName>
    <definedName name="fgfg_1" localSheetId="0" hidden="1">{#N/A,#N/A,FALSE,"Umsatz EO BP";#N/A,#N/A,FALSE,"Umsatz EO OP";#N/A,#N/A,FALSE,"ER EO BP";#N/A,#N/A,FALSE,"ER EO OP";#N/A,#N/A,FALSE,"EA EO (2)";#N/A,#N/A,FALSE,"EA EO";#N/A,#N/A,FALSE,"EA EO (3)";#N/A,#N/A,FALSE,"EA EO (4)";#N/A,#N/A,FALSE,"KA EO  (2)";#N/A,#N/A,FALSE,"KA EO";#N/A,#N/A,FALSE,"KA EO  (3)";#N/A,#N/A,FALSE,"KA EO (4)"}</definedName>
    <definedName name="fgfg_1" localSheetId="6" hidden="1">{#N/A,#N/A,FALSE,"Umsatz EO BP";#N/A,#N/A,FALSE,"Umsatz EO OP";#N/A,#N/A,FALSE,"ER EO BP";#N/A,#N/A,FALSE,"ER EO OP";#N/A,#N/A,FALSE,"EA EO (2)";#N/A,#N/A,FALSE,"EA EO";#N/A,#N/A,FALSE,"EA EO (3)";#N/A,#N/A,FALSE,"EA EO (4)";#N/A,#N/A,FALSE,"KA EO  (2)";#N/A,#N/A,FALSE,"KA EO";#N/A,#N/A,FALSE,"KA EO  (3)";#N/A,#N/A,FALSE,"KA EO (4)"}</definedName>
    <definedName name="fgfg_1" hidden="1">{#N/A,#N/A,FALSE,"Umsatz EO BP";#N/A,#N/A,FALSE,"Umsatz EO OP";#N/A,#N/A,FALSE,"ER EO BP";#N/A,#N/A,FALSE,"ER EO OP";#N/A,#N/A,FALSE,"EA EO (2)";#N/A,#N/A,FALSE,"EA EO";#N/A,#N/A,FALSE,"EA EO (3)";#N/A,#N/A,FALSE,"EA EO (4)";#N/A,#N/A,FALSE,"KA EO  (2)";#N/A,#N/A,FALSE,"KA EO";#N/A,#N/A,FALSE,"KA EO  (3)";#N/A,#N/A,FALSE,"KA EO (4)"}</definedName>
    <definedName name="fgfg_1_1" localSheetId="0" hidden="1">{#N/A,#N/A,FALSE,"Umsatz EO BP";#N/A,#N/A,FALSE,"Umsatz EO OP";#N/A,#N/A,FALSE,"ER EO BP";#N/A,#N/A,FALSE,"ER EO OP";#N/A,#N/A,FALSE,"EA EO (2)";#N/A,#N/A,FALSE,"EA EO";#N/A,#N/A,FALSE,"EA EO (3)";#N/A,#N/A,FALSE,"EA EO (4)";#N/A,#N/A,FALSE,"KA EO  (2)";#N/A,#N/A,FALSE,"KA EO";#N/A,#N/A,FALSE,"KA EO  (3)";#N/A,#N/A,FALSE,"KA EO (4)"}</definedName>
    <definedName name="fgfg_1_1" localSheetId="6" hidden="1">{#N/A,#N/A,FALSE,"Umsatz EO BP";#N/A,#N/A,FALSE,"Umsatz EO OP";#N/A,#N/A,FALSE,"ER EO BP";#N/A,#N/A,FALSE,"ER EO OP";#N/A,#N/A,FALSE,"EA EO (2)";#N/A,#N/A,FALSE,"EA EO";#N/A,#N/A,FALSE,"EA EO (3)";#N/A,#N/A,FALSE,"EA EO (4)";#N/A,#N/A,FALSE,"KA EO  (2)";#N/A,#N/A,FALSE,"KA EO";#N/A,#N/A,FALSE,"KA EO  (3)";#N/A,#N/A,FALSE,"KA EO (4)"}</definedName>
    <definedName name="fgfg_1_1" hidden="1">{#N/A,#N/A,FALSE,"Umsatz EO BP";#N/A,#N/A,FALSE,"Umsatz EO OP";#N/A,#N/A,FALSE,"ER EO BP";#N/A,#N/A,FALSE,"ER EO OP";#N/A,#N/A,FALSE,"EA EO (2)";#N/A,#N/A,FALSE,"EA EO";#N/A,#N/A,FALSE,"EA EO (3)";#N/A,#N/A,FALSE,"EA EO (4)";#N/A,#N/A,FALSE,"KA EO  (2)";#N/A,#N/A,FALSE,"KA EO";#N/A,#N/A,FALSE,"KA EO  (3)";#N/A,#N/A,FALSE,"KA EO (4)"}</definedName>
    <definedName name="fgfg_2" localSheetId="0" hidden="1">{#N/A,#N/A,FALSE,"Umsatz EO BP";#N/A,#N/A,FALSE,"Umsatz EO OP";#N/A,#N/A,FALSE,"ER EO BP";#N/A,#N/A,FALSE,"ER EO OP";#N/A,#N/A,FALSE,"EA EO (2)";#N/A,#N/A,FALSE,"EA EO";#N/A,#N/A,FALSE,"EA EO (3)";#N/A,#N/A,FALSE,"EA EO (4)";#N/A,#N/A,FALSE,"KA EO  (2)";#N/A,#N/A,FALSE,"KA EO";#N/A,#N/A,FALSE,"KA EO  (3)";#N/A,#N/A,FALSE,"KA EO (4)"}</definedName>
    <definedName name="fgfg_2" localSheetId="6" hidden="1">{#N/A,#N/A,FALSE,"Umsatz EO BP";#N/A,#N/A,FALSE,"Umsatz EO OP";#N/A,#N/A,FALSE,"ER EO BP";#N/A,#N/A,FALSE,"ER EO OP";#N/A,#N/A,FALSE,"EA EO (2)";#N/A,#N/A,FALSE,"EA EO";#N/A,#N/A,FALSE,"EA EO (3)";#N/A,#N/A,FALSE,"EA EO (4)";#N/A,#N/A,FALSE,"KA EO  (2)";#N/A,#N/A,FALSE,"KA EO";#N/A,#N/A,FALSE,"KA EO  (3)";#N/A,#N/A,FALSE,"KA EO (4)"}</definedName>
    <definedName name="fgfg_2" hidden="1">{#N/A,#N/A,FALSE,"Umsatz EO BP";#N/A,#N/A,FALSE,"Umsatz EO OP";#N/A,#N/A,FALSE,"ER EO BP";#N/A,#N/A,FALSE,"ER EO OP";#N/A,#N/A,FALSE,"EA EO (2)";#N/A,#N/A,FALSE,"EA EO";#N/A,#N/A,FALSE,"EA EO (3)";#N/A,#N/A,FALSE,"EA EO (4)";#N/A,#N/A,FALSE,"KA EO  (2)";#N/A,#N/A,FALSE,"KA EO";#N/A,#N/A,FALSE,"KA EO  (3)";#N/A,#N/A,FALSE,"KA EO (4)"}</definedName>
    <definedName name="fgfg_3" localSheetId="0" hidden="1">{#N/A,#N/A,FALSE,"Umsatz EO BP";#N/A,#N/A,FALSE,"Umsatz EO OP";#N/A,#N/A,FALSE,"ER EO BP";#N/A,#N/A,FALSE,"ER EO OP";#N/A,#N/A,FALSE,"EA EO (2)";#N/A,#N/A,FALSE,"EA EO";#N/A,#N/A,FALSE,"EA EO (3)";#N/A,#N/A,FALSE,"EA EO (4)";#N/A,#N/A,FALSE,"KA EO  (2)";#N/A,#N/A,FALSE,"KA EO";#N/A,#N/A,FALSE,"KA EO  (3)";#N/A,#N/A,FALSE,"KA EO (4)"}</definedName>
    <definedName name="fgfg_3" localSheetId="6" hidden="1">{#N/A,#N/A,FALSE,"Umsatz EO BP";#N/A,#N/A,FALSE,"Umsatz EO OP";#N/A,#N/A,FALSE,"ER EO BP";#N/A,#N/A,FALSE,"ER EO OP";#N/A,#N/A,FALSE,"EA EO (2)";#N/A,#N/A,FALSE,"EA EO";#N/A,#N/A,FALSE,"EA EO (3)";#N/A,#N/A,FALSE,"EA EO (4)";#N/A,#N/A,FALSE,"KA EO  (2)";#N/A,#N/A,FALSE,"KA EO";#N/A,#N/A,FALSE,"KA EO  (3)";#N/A,#N/A,FALSE,"KA EO (4)"}</definedName>
    <definedName name="fgfg_3" hidden="1">{#N/A,#N/A,FALSE,"Umsatz EO BP";#N/A,#N/A,FALSE,"Umsatz EO OP";#N/A,#N/A,FALSE,"ER EO BP";#N/A,#N/A,FALSE,"ER EO OP";#N/A,#N/A,FALSE,"EA EO (2)";#N/A,#N/A,FALSE,"EA EO";#N/A,#N/A,FALSE,"EA EO (3)";#N/A,#N/A,FALSE,"EA EO (4)";#N/A,#N/A,FALSE,"KA EO  (2)";#N/A,#N/A,FALSE,"KA EO";#N/A,#N/A,FALSE,"KA EO  (3)";#N/A,#N/A,FALSE,"KA EO (4)"}</definedName>
    <definedName name="fgfg_4" localSheetId="0" hidden="1">{#N/A,#N/A,FALSE,"Umsatz EO BP";#N/A,#N/A,FALSE,"Umsatz EO OP";#N/A,#N/A,FALSE,"ER EO BP";#N/A,#N/A,FALSE,"ER EO OP";#N/A,#N/A,FALSE,"EA EO (2)";#N/A,#N/A,FALSE,"EA EO";#N/A,#N/A,FALSE,"EA EO (3)";#N/A,#N/A,FALSE,"EA EO (4)";#N/A,#N/A,FALSE,"KA EO  (2)";#N/A,#N/A,FALSE,"KA EO";#N/A,#N/A,FALSE,"KA EO  (3)";#N/A,#N/A,FALSE,"KA EO (4)"}</definedName>
    <definedName name="fgfg_4" localSheetId="6" hidden="1">{#N/A,#N/A,FALSE,"Umsatz EO BP";#N/A,#N/A,FALSE,"Umsatz EO OP";#N/A,#N/A,FALSE,"ER EO BP";#N/A,#N/A,FALSE,"ER EO OP";#N/A,#N/A,FALSE,"EA EO (2)";#N/A,#N/A,FALSE,"EA EO";#N/A,#N/A,FALSE,"EA EO (3)";#N/A,#N/A,FALSE,"EA EO (4)";#N/A,#N/A,FALSE,"KA EO  (2)";#N/A,#N/A,FALSE,"KA EO";#N/A,#N/A,FALSE,"KA EO  (3)";#N/A,#N/A,FALSE,"KA EO (4)"}</definedName>
    <definedName name="fgfg_4" hidden="1">{#N/A,#N/A,FALSE,"Umsatz EO BP";#N/A,#N/A,FALSE,"Umsatz EO OP";#N/A,#N/A,FALSE,"ER EO BP";#N/A,#N/A,FALSE,"ER EO OP";#N/A,#N/A,FALSE,"EA EO (2)";#N/A,#N/A,FALSE,"EA EO";#N/A,#N/A,FALSE,"EA EO (3)";#N/A,#N/A,FALSE,"EA EO (4)";#N/A,#N/A,FALSE,"KA EO  (2)";#N/A,#N/A,FALSE,"KA EO";#N/A,#N/A,FALSE,"KA EO  (3)";#N/A,#N/A,FALSE,"KA EO (4)"}</definedName>
    <definedName name="fgfg_5" localSheetId="0" hidden="1">{#N/A,#N/A,FALSE,"Umsatz EO BP";#N/A,#N/A,FALSE,"Umsatz EO OP";#N/A,#N/A,FALSE,"ER EO BP";#N/A,#N/A,FALSE,"ER EO OP";#N/A,#N/A,FALSE,"EA EO (2)";#N/A,#N/A,FALSE,"EA EO";#N/A,#N/A,FALSE,"EA EO (3)";#N/A,#N/A,FALSE,"EA EO (4)";#N/A,#N/A,FALSE,"KA EO  (2)";#N/A,#N/A,FALSE,"KA EO";#N/A,#N/A,FALSE,"KA EO  (3)";#N/A,#N/A,FALSE,"KA EO (4)"}</definedName>
    <definedName name="fgfg_5" localSheetId="6" hidden="1">{#N/A,#N/A,FALSE,"Umsatz EO BP";#N/A,#N/A,FALSE,"Umsatz EO OP";#N/A,#N/A,FALSE,"ER EO BP";#N/A,#N/A,FALSE,"ER EO OP";#N/A,#N/A,FALSE,"EA EO (2)";#N/A,#N/A,FALSE,"EA EO";#N/A,#N/A,FALSE,"EA EO (3)";#N/A,#N/A,FALSE,"EA EO (4)";#N/A,#N/A,FALSE,"KA EO  (2)";#N/A,#N/A,FALSE,"KA EO";#N/A,#N/A,FALSE,"KA EO  (3)";#N/A,#N/A,FALSE,"KA EO (4)"}</definedName>
    <definedName name="fgfg_5" hidden="1">{#N/A,#N/A,FALSE,"Umsatz EO BP";#N/A,#N/A,FALSE,"Umsatz EO OP";#N/A,#N/A,FALSE,"ER EO BP";#N/A,#N/A,FALSE,"ER EO OP";#N/A,#N/A,FALSE,"EA EO (2)";#N/A,#N/A,FALSE,"EA EO";#N/A,#N/A,FALSE,"EA EO (3)";#N/A,#N/A,FALSE,"EA EO (4)";#N/A,#N/A,FALSE,"KA EO  (2)";#N/A,#N/A,FALSE,"KA EO";#N/A,#N/A,FALSE,"KA EO  (3)";#N/A,#N/A,FALSE,"KA EO (4)"}</definedName>
    <definedName name="fgfgf" localSheetId="0" hidden="1">{#N/A,#N/A,FALSE,"Umsatz 99";#N/A,#N/A,FALSE,"ER 99 "}</definedName>
    <definedName name="fgfgf" localSheetId="6" hidden="1">{#N/A,#N/A,FALSE,"Umsatz 99";#N/A,#N/A,FALSE,"ER 99 "}</definedName>
    <definedName name="fgfgf" hidden="1">{#N/A,#N/A,FALSE,"Umsatz 99";#N/A,#N/A,FALSE,"ER 99 "}</definedName>
    <definedName name="fgfgf_1" localSheetId="0" hidden="1">{#N/A,#N/A,FALSE,"Umsatz 99";#N/A,#N/A,FALSE,"ER 99 "}</definedName>
    <definedName name="fgfgf_1" localSheetId="6" hidden="1">{#N/A,#N/A,FALSE,"Umsatz 99";#N/A,#N/A,FALSE,"ER 99 "}</definedName>
    <definedName name="fgfgf_1" hidden="1">{#N/A,#N/A,FALSE,"Umsatz 99";#N/A,#N/A,FALSE,"ER 99 "}</definedName>
    <definedName name="fgfgf_1_1" localSheetId="0" hidden="1">{#N/A,#N/A,FALSE,"Umsatz 99";#N/A,#N/A,FALSE,"ER 99 "}</definedName>
    <definedName name="fgfgf_1_1" localSheetId="6" hidden="1">{#N/A,#N/A,FALSE,"Umsatz 99";#N/A,#N/A,FALSE,"ER 99 "}</definedName>
    <definedName name="fgfgf_1_1" hidden="1">{#N/A,#N/A,FALSE,"Umsatz 99";#N/A,#N/A,FALSE,"ER 99 "}</definedName>
    <definedName name="fgfgf_2" localSheetId="0" hidden="1">{#N/A,#N/A,FALSE,"Umsatz 99";#N/A,#N/A,FALSE,"ER 99 "}</definedName>
    <definedName name="fgfgf_2" localSheetId="6" hidden="1">{#N/A,#N/A,FALSE,"Umsatz 99";#N/A,#N/A,FALSE,"ER 99 "}</definedName>
    <definedName name="fgfgf_2" hidden="1">{#N/A,#N/A,FALSE,"Umsatz 99";#N/A,#N/A,FALSE,"ER 99 "}</definedName>
    <definedName name="fgfgf_3" localSheetId="0" hidden="1">{#N/A,#N/A,FALSE,"Umsatz 99";#N/A,#N/A,FALSE,"ER 99 "}</definedName>
    <definedName name="fgfgf_3" localSheetId="6" hidden="1">{#N/A,#N/A,FALSE,"Umsatz 99";#N/A,#N/A,FALSE,"ER 99 "}</definedName>
    <definedName name="fgfgf_3" hidden="1">{#N/A,#N/A,FALSE,"Umsatz 99";#N/A,#N/A,FALSE,"ER 99 "}</definedName>
    <definedName name="fgfgf_4" localSheetId="0" hidden="1">{#N/A,#N/A,FALSE,"Umsatz 99";#N/A,#N/A,FALSE,"ER 99 "}</definedName>
    <definedName name="fgfgf_4" localSheetId="6" hidden="1">{#N/A,#N/A,FALSE,"Umsatz 99";#N/A,#N/A,FALSE,"ER 99 "}</definedName>
    <definedName name="fgfgf_4" hidden="1">{#N/A,#N/A,FALSE,"Umsatz 99";#N/A,#N/A,FALSE,"ER 99 "}</definedName>
    <definedName name="fgfgf_5" localSheetId="0" hidden="1">{#N/A,#N/A,FALSE,"Umsatz 99";#N/A,#N/A,FALSE,"ER 99 "}</definedName>
    <definedName name="fgfgf_5" localSheetId="6" hidden="1">{#N/A,#N/A,FALSE,"Umsatz 99";#N/A,#N/A,FALSE,"ER 99 "}</definedName>
    <definedName name="fgfgf_5" hidden="1">{#N/A,#N/A,FALSE,"Umsatz 99";#N/A,#N/A,FALSE,"ER 99 "}</definedName>
    <definedName name="fgfx" localSheetId="0" hidden="1">{#N/A,#N/A,FALSE,"Umsatz 99";#N/A,#N/A,FALSE,"ER 99 "}</definedName>
    <definedName name="fgfx" localSheetId="6" hidden="1">{#N/A,#N/A,FALSE,"Umsatz 99";#N/A,#N/A,FALSE,"ER 99 "}</definedName>
    <definedName name="fgfx" hidden="1">{#N/A,#N/A,FALSE,"Umsatz 99";#N/A,#N/A,FALSE,"ER 99 "}</definedName>
    <definedName name="fgfx_1" localSheetId="0" hidden="1">{#N/A,#N/A,FALSE,"Umsatz 99";#N/A,#N/A,FALSE,"ER 99 "}</definedName>
    <definedName name="fgfx_1" localSheetId="6" hidden="1">{#N/A,#N/A,FALSE,"Umsatz 99";#N/A,#N/A,FALSE,"ER 99 "}</definedName>
    <definedName name="fgfx_1" hidden="1">{#N/A,#N/A,FALSE,"Umsatz 99";#N/A,#N/A,FALSE,"ER 99 "}</definedName>
    <definedName name="fgfx_1_1" localSheetId="0" hidden="1">{#N/A,#N/A,FALSE,"Umsatz 99";#N/A,#N/A,FALSE,"ER 99 "}</definedName>
    <definedName name="fgfx_1_1" localSheetId="6" hidden="1">{#N/A,#N/A,FALSE,"Umsatz 99";#N/A,#N/A,FALSE,"ER 99 "}</definedName>
    <definedName name="fgfx_1_1" hidden="1">{#N/A,#N/A,FALSE,"Umsatz 99";#N/A,#N/A,FALSE,"ER 99 "}</definedName>
    <definedName name="fgfx_2" localSheetId="0" hidden="1">{#N/A,#N/A,FALSE,"Umsatz 99";#N/A,#N/A,FALSE,"ER 99 "}</definedName>
    <definedName name="fgfx_2" localSheetId="6" hidden="1">{#N/A,#N/A,FALSE,"Umsatz 99";#N/A,#N/A,FALSE,"ER 99 "}</definedName>
    <definedName name="fgfx_2" hidden="1">{#N/A,#N/A,FALSE,"Umsatz 99";#N/A,#N/A,FALSE,"ER 99 "}</definedName>
    <definedName name="fgfx_3" localSheetId="0" hidden="1">{#N/A,#N/A,FALSE,"Umsatz 99";#N/A,#N/A,FALSE,"ER 99 "}</definedName>
    <definedName name="fgfx_3" localSheetId="6" hidden="1">{#N/A,#N/A,FALSE,"Umsatz 99";#N/A,#N/A,FALSE,"ER 99 "}</definedName>
    <definedName name="fgfx_3" hidden="1">{#N/A,#N/A,FALSE,"Umsatz 99";#N/A,#N/A,FALSE,"ER 99 "}</definedName>
    <definedName name="fgfx_4" localSheetId="0" hidden="1">{#N/A,#N/A,FALSE,"Umsatz 99";#N/A,#N/A,FALSE,"ER 99 "}</definedName>
    <definedName name="fgfx_4" localSheetId="6" hidden="1">{#N/A,#N/A,FALSE,"Umsatz 99";#N/A,#N/A,FALSE,"ER 99 "}</definedName>
    <definedName name="fgfx_4" hidden="1">{#N/A,#N/A,FALSE,"Umsatz 99";#N/A,#N/A,FALSE,"ER 99 "}</definedName>
    <definedName name="fgfx_5" localSheetId="0" hidden="1">{#N/A,#N/A,FALSE,"Umsatz 99";#N/A,#N/A,FALSE,"ER 99 "}</definedName>
    <definedName name="fgfx_5" localSheetId="6" hidden="1">{#N/A,#N/A,FALSE,"Umsatz 99";#N/A,#N/A,FALSE,"ER 99 "}</definedName>
    <definedName name="fgfx_5" hidden="1">{#N/A,#N/A,FALSE,"Umsatz 99";#N/A,#N/A,FALSE,"ER 99 "}</definedName>
    <definedName name="FGH"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FGH"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fghdhgdfhfd" localSheetId="0" hidden="1">{"equity comps",#N/A,FALSE,"CS Comps";"equity comps",#N/A,FALSE,"PS Comps";"equity comps",#N/A,FALSE,"GIC_Comps";"equity comps",#N/A,FALSE,"GIC2_Comps"}</definedName>
    <definedName name="fghdhgdfhfd" localSheetId="6" hidden="1">{"equity comps",#N/A,FALSE,"CS Comps";"equity comps",#N/A,FALSE,"PS Comps";"equity comps",#N/A,FALSE,"GIC_Comps";"equity comps",#N/A,FALSE,"GIC2_Comps"}</definedName>
    <definedName name="fghdhgdfhfd" hidden="1">{"equity comps",#N/A,FALSE,"CS Comps";"equity comps",#N/A,FALSE,"PS Comps";"equity comps",#N/A,FALSE,"GIC_Comps";"equity comps",#N/A,FALSE,"GIC2_Comps"}</definedName>
    <definedName name="fghfg" localSheetId="6"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_1" localSheetId="6" hidden="1">{#N/A,#N/A,FALSE,"SumD";#N/A,#N/A,FALSE,"ElecD";#N/A,#N/A,FALSE,"MechD";#N/A,#N/A,FALSE,"GeotD";#N/A,#N/A,FALSE,"PrcsD";#N/A,#N/A,FALSE,"TunnD";#N/A,#N/A,FALSE,"CivlD";#N/A,#N/A,FALSE,"NtwkD";#N/A,#N/A,FALSE,"EstgD";#N/A,#N/A,FALSE,"PEngD"}</definedName>
    <definedName name="fghfg_1" hidden="1">{#N/A,#N/A,FALSE,"SumD";#N/A,#N/A,FALSE,"ElecD";#N/A,#N/A,FALSE,"MechD";#N/A,#N/A,FALSE,"GeotD";#N/A,#N/A,FALSE,"PrcsD";#N/A,#N/A,FALSE,"TunnD";#N/A,#N/A,FALSE,"CivlD";#N/A,#N/A,FALSE,"NtwkD";#N/A,#N/A,FALSE,"EstgD";#N/A,#N/A,FALSE,"PEngD"}</definedName>
    <definedName name="fghfgh" localSheetId="0" hidden="1">{"away stand alones",#N/A,FALSE,"Target"}</definedName>
    <definedName name="fghfgh" localSheetId="6" hidden="1">{"away stand alones",#N/A,FALSE,"Target"}</definedName>
    <definedName name="fghfgh" hidden="1">{"away stand alones",#N/A,FALSE,"Target"}</definedName>
    <definedName name="fghfghfgh" localSheetId="0" hidden="1">{"assumption cash",#N/A,TRUE,"Merger";"has gets cash",#N/A,TRUE,"Merger";"accretion dilution",#N/A,TRUE,"Merger";"comparison credit stats",#N/A,TRUE,"Merger";"pf credit stats",#N/A,TRUE,"Merger";"pf sheets",#N/A,TRUE,"Merger"}</definedName>
    <definedName name="fghfghfgh" localSheetId="6" hidden="1">{"assumption cash",#N/A,TRUE,"Merger";"has gets cash",#N/A,TRUE,"Merger";"accretion dilution",#N/A,TRUE,"Merger";"comparison credit stats",#N/A,TRUE,"Merger";"pf credit stats",#N/A,TRUE,"Merger";"pf sheets",#N/A,TRUE,"Merger"}</definedName>
    <definedName name="fghfghfgh" hidden="1">{"assumption cash",#N/A,TRUE,"Merger";"has gets cash",#N/A,TRUE,"Merger";"accretion dilution",#N/A,TRUE,"Merger";"comparison credit stats",#N/A,TRUE,"Merger";"pf credit stats",#N/A,TRUE,"Merger";"pf sheets",#N/A,TRUE,"Merger"}</definedName>
    <definedName name="fghfghfghgfh" localSheetId="0" hidden="1">{#N/A,#N/A,FALSE,"KA CH  (2)"}</definedName>
    <definedName name="fghfghfghgfh" localSheetId="6" hidden="1">{#N/A,#N/A,FALSE,"KA CH  (2)"}</definedName>
    <definedName name="fghfghfghgfh" hidden="1">{#N/A,#N/A,FALSE,"KA CH  (2)"}</definedName>
    <definedName name="fghfghfghgfh_1" localSheetId="0" hidden="1">{#N/A,#N/A,FALSE,"KA CH  (2)"}</definedName>
    <definedName name="fghfghfghgfh_1" localSheetId="6" hidden="1">{#N/A,#N/A,FALSE,"KA CH  (2)"}</definedName>
    <definedName name="fghfghfghgfh_1" hidden="1">{#N/A,#N/A,FALSE,"KA CH  (2)"}</definedName>
    <definedName name="fghfghfghgfh_1_1" localSheetId="0" hidden="1">{#N/A,#N/A,FALSE,"KA CH  (2)"}</definedName>
    <definedName name="fghfghfghgfh_1_1" localSheetId="6" hidden="1">{#N/A,#N/A,FALSE,"KA CH  (2)"}</definedName>
    <definedName name="fghfghfghgfh_1_1" hidden="1">{#N/A,#N/A,FALSE,"KA CH  (2)"}</definedName>
    <definedName name="fghfghfghgfh_2" localSheetId="0" hidden="1">{#N/A,#N/A,FALSE,"KA CH  (2)"}</definedName>
    <definedName name="fghfghfghgfh_2" localSheetId="6" hidden="1">{#N/A,#N/A,FALSE,"KA CH  (2)"}</definedName>
    <definedName name="fghfghfghgfh_2" hidden="1">{#N/A,#N/A,FALSE,"KA CH  (2)"}</definedName>
    <definedName name="fghfghfghgfh_3" localSheetId="0" hidden="1">{#N/A,#N/A,FALSE,"KA CH  (2)"}</definedName>
    <definedName name="fghfghfghgfh_3" localSheetId="6" hidden="1">{#N/A,#N/A,FALSE,"KA CH  (2)"}</definedName>
    <definedName name="fghfghfghgfh_3" hidden="1">{#N/A,#N/A,FALSE,"KA CH  (2)"}</definedName>
    <definedName name="fghfghfghgfh_4" localSheetId="0" hidden="1">{#N/A,#N/A,FALSE,"KA CH  (2)"}</definedName>
    <definedName name="fghfghfghgfh_4" localSheetId="6" hidden="1">{#N/A,#N/A,FALSE,"KA CH  (2)"}</definedName>
    <definedName name="fghfghfghgfh_4" hidden="1">{#N/A,#N/A,FALSE,"KA CH  (2)"}</definedName>
    <definedName name="fghfghfghgfh_5" localSheetId="0" hidden="1">{#N/A,#N/A,FALSE,"KA CH  (2)"}</definedName>
    <definedName name="fghfghfghgfh_5" localSheetId="6" hidden="1">{#N/A,#N/A,FALSE,"KA CH  (2)"}</definedName>
    <definedName name="fghfghfghgfh_5" hidden="1">{#N/A,#N/A,FALSE,"KA CH  (2)"}</definedName>
    <definedName name="fghfghfghgfhgfh"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fghgfhgfh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fghgfh" localSheetId="0" hidden="1">{#N/A,#N/A,FALSE,"Umsatz CH";#N/A,#N/A,FALSE,"ER CH";#N/A,#N/A,FALSE,"EA CH (2) ";#N/A,#N/A,FALSE,"EA CH";#N/A,#N/A,FALSE,"EA CH (3) ";#N/A,#N/A,FALSE,"EA CH (4)";#N/A,#N/A,FALSE,"KA CH";#N/A,#N/A,FALSE,"KA CH  (2)";#N/A,#N/A,FALSE,"KA CH  (3)";#N/A,#N/A,FALSE,"KA CH (4)"}</definedName>
    <definedName name="fghfghgfh" localSheetId="6" hidden="1">{#N/A,#N/A,FALSE,"Umsatz CH";#N/A,#N/A,FALSE,"ER CH";#N/A,#N/A,FALSE,"EA CH (2) ";#N/A,#N/A,FALSE,"EA CH";#N/A,#N/A,FALSE,"EA CH (3) ";#N/A,#N/A,FALSE,"EA CH (4)";#N/A,#N/A,FALSE,"KA CH";#N/A,#N/A,FALSE,"KA CH  (2)";#N/A,#N/A,FALSE,"KA CH  (3)";#N/A,#N/A,FALSE,"KA CH (4)"}</definedName>
    <definedName name="fghfghgfh" hidden="1">{#N/A,#N/A,FALSE,"Umsatz CH";#N/A,#N/A,FALSE,"ER CH";#N/A,#N/A,FALSE,"EA CH (2) ";#N/A,#N/A,FALSE,"EA CH";#N/A,#N/A,FALSE,"EA CH (3) ";#N/A,#N/A,FALSE,"EA CH (4)";#N/A,#N/A,FALSE,"KA CH";#N/A,#N/A,FALSE,"KA CH  (2)";#N/A,#N/A,FALSE,"KA CH  (3)";#N/A,#N/A,FALSE,"KA CH (4)"}</definedName>
    <definedName name="fghfghgfh_1" localSheetId="0" hidden="1">{#N/A,#N/A,FALSE,"Umsatz CH";#N/A,#N/A,FALSE,"ER CH";#N/A,#N/A,FALSE,"EA CH (2) ";#N/A,#N/A,FALSE,"EA CH";#N/A,#N/A,FALSE,"EA CH (3) ";#N/A,#N/A,FALSE,"EA CH (4)";#N/A,#N/A,FALSE,"KA CH";#N/A,#N/A,FALSE,"KA CH  (2)";#N/A,#N/A,FALSE,"KA CH  (3)";#N/A,#N/A,FALSE,"KA CH (4)"}</definedName>
    <definedName name="fghfghgfh_1" localSheetId="6" hidden="1">{#N/A,#N/A,FALSE,"Umsatz CH";#N/A,#N/A,FALSE,"ER CH";#N/A,#N/A,FALSE,"EA CH (2) ";#N/A,#N/A,FALSE,"EA CH";#N/A,#N/A,FALSE,"EA CH (3) ";#N/A,#N/A,FALSE,"EA CH (4)";#N/A,#N/A,FALSE,"KA CH";#N/A,#N/A,FALSE,"KA CH  (2)";#N/A,#N/A,FALSE,"KA CH  (3)";#N/A,#N/A,FALSE,"KA CH (4)"}</definedName>
    <definedName name="fghfghgfh_1" hidden="1">{#N/A,#N/A,FALSE,"Umsatz CH";#N/A,#N/A,FALSE,"ER CH";#N/A,#N/A,FALSE,"EA CH (2) ";#N/A,#N/A,FALSE,"EA CH";#N/A,#N/A,FALSE,"EA CH (3) ";#N/A,#N/A,FALSE,"EA CH (4)";#N/A,#N/A,FALSE,"KA CH";#N/A,#N/A,FALSE,"KA CH  (2)";#N/A,#N/A,FALSE,"KA CH  (3)";#N/A,#N/A,FALSE,"KA CH (4)"}</definedName>
    <definedName name="fghfghgfh_1_1" localSheetId="0" hidden="1">{#N/A,#N/A,FALSE,"Umsatz CH";#N/A,#N/A,FALSE,"ER CH";#N/A,#N/A,FALSE,"EA CH (2) ";#N/A,#N/A,FALSE,"EA CH";#N/A,#N/A,FALSE,"EA CH (3) ";#N/A,#N/A,FALSE,"EA CH (4)";#N/A,#N/A,FALSE,"KA CH";#N/A,#N/A,FALSE,"KA CH  (2)";#N/A,#N/A,FALSE,"KA CH  (3)";#N/A,#N/A,FALSE,"KA CH (4)"}</definedName>
    <definedName name="fghfghgfh_1_1" localSheetId="6" hidden="1">{#N/A,#N/A,FALSE,"Umsatz CH";#N/A,#N/A,FALSE,"ER CH";#N/A,#N/A,FALSE,"EA CH (2) ";#N/A,#N/A,FALSE,"EA CH";#N/A,#N/A,FALSE,"EA CH (3) ";#N/A,#N/A,FALSE,"EA CH (4)";#N/A,#N/A,FALSE,"KA CH";#N/A,#N/A,FALSE,"KA CH  (2)";#N/A,#N/A,FALSE,"KA CH  (3)";#N/A,#N/A,FALSE,"KA CH (4)"}</definedName>
    <definedName name="fghfghgfh_1_1" hidden="1">{#N/A,#N/A,FALSE,"Umsatz CH";#N/A,#N/A,FALSE,"ER CH";#N/A,#N/A,FALSE,"EA CH (2) ";#N/A,#N/A,FALSE,"EA CH";#N/A,#N/A,FALSE,"EA CH (3) ";#N/A,#N/A,FALSE,"EA CH (4)";#N/A,#N/A,FALSE,"KA CH";#N/A,#N/A,FALSE,"KA CH  (2)";#N/A,#N/A,FALSE,"KA CH  (3)";#N/A,#N/A,FALSE,"KA CH (4)"}</definedName>
    <definedName name="fghfghgfh_2" localSheetId="0" hidden="1">{#N/A,#N/A,FALSE,"Umsatz CH";#N/A,#N/A,FALSE,"ER CH";#N/A,#N/A,FALSE,"EA CH (2) ";#N/A,#N/A,FALSE,"EA CH";#N/A,#N/A,FALSE,"EA CH (3) ";#N/A,#N/A,FALSE,"EA CH (4)";#N/A,#N/A,FALSE,"KA CH";#N/A,#N/A,FALSE,"KA CH  (2)";#N/A,#N/A,FALSE,"KA CH  (3)";#N/A,#N/A,FALSE,"KA CH (4)"}</definedName>
    <definedName name="fghfghgfh_2" localSheetId="6" hidden="1">{#N/A,#N/A,FALSE,"Umsatz CH";#N/A,#N/A,FALSE,"ER CH";#N/A,#N/A,FALSE,"EA CH (2) ";#N/A,#N/A,FALSE,"EA CH";#N/A,#N/A,FALSE,"EA CH (3) ";#N/A,#N/A,FALSE,"EA CH (4)";#N/A,#N/A,FALSE,"KA CH";#N/A,#N/A,FALSE,"KA CH  (2)";#N/A,#N/A,FALSE,"KA CH  (3)";#N/A,#N/A,FALSE,"KA CH (4)"}</definedName>
    <definedName name="fghfghgfh_2" hidden="1">{#N/A,#N/A,FALSE,"Umsatz CH";#N/A,#N/A,FALSE,"ER CH";#N/A,#N/A,FALSE,"EA CH (2) ";#N/A,#N/A,FALSE,"EA CH";#N/A,#N/A,FALSE,"EA CH (3) ";#N/A,#N/A,FALSE,"EA CH (4)";#N/A,#N/A,FALSE,"KA CH";#N/A,#N/A,FALSE,"KA CH  (2)";#N/A,#N/A,FALSE,"KA CH  (3)";#N/A,#N/A,FALSE,"KA CH (4)"}</definedName>
    <definedName name="fghfghgfh_3" localSheetId="0" hidden="1">{#N/A,#N/A,FALSE,"Umsatz CH";#N/A,#N/A,FALSE,"ER CH";#N/A,#N/A,FALSE,"EA CH (2) ";#N/A,#N/A,FALSE,"EA CH";#N/A,#N/A,FALSE,"EA CH (3) ";#N/A,#N/A,FALSE,"EA CH (4)";#N/A,#N/A,FALSE,"KA CH";#N/A,#N/A,FALSE,"KA CH  (2)";#N/A,#N/A,FALSE,"KA CH  (3)";#N/A,#N/A,FALSE,"KA CH (4)"}</definedName>
    <definedName name="fghfghgfh_3" localSheetId="6" hidden="1">{#N/A,#N/A,FALSE,"Umsatz CH";#N/A,#N/A,FALSE,"ER CH";#N/A,#N/A,FALSE,"EA CH (2) ";#N/A,#N/A,FALSE,"EA CH";#N/A,#N/A,FALSE,"EA CH (3) ";#N/A,#N/A,FALSE,"EA CH (4)";#N/A,#N/A,FALSE,"KA CH";#N/A,#N/A,FALSE,"KA CH  (2)";#N/A,#N/A,FALSE,"KA CH  (3)";#N/A,#N/A,FALSE,"KA CH (4)"}</definedName>
    <definedName name="fghfghgfh_3" hidden="1">{#N/A,#N/A,FALSE,"Umsatz CH";#N/A,#N/A,FALSE,"ER CH";#N/A,#N/A,FALSE,"EA CH (2) ";#N/A,#N/A,FALSE,"EA CH";#N/A,#N/A,FALSE,"EA CH (3) ";#N/A,#N/A,FALSE,"EA CH (4)";#N/A,#N/A,FALSE,"KA CH";#N/A,#N/A,FALSE,"KA CH  (2)";#N/A,#N/A,FALSE,"KA CH  (3)";#N/A,#N/A,FALSE,"KA CH (4)"}</definedName>
    <definedName name="fghfghgfh_4" localSheetId="0" hidden="1">{#N/A,#N/A,FALSE,"Umsatz CH";#N/A,#N/A,FALSE,"ER CH";#N/A,#N/A,FALSE,"EA CH (2) ";#N/A,#N/A,FALSE,"EA CH";#N/A,#N/A,FALSE,"EA CH (3) ";#N/A,#N/A,FALSE,"EA CH (4)";#N/A,#N/A,FALSE,"KA CH";#N/A,#N/A,FALSE,"KA CH  (2)";#N/A,#N/A,FALSE,"KA CH  (3)";#N/A,#N/A,FALSE,"KA CH (4)"}</definedName>
    <definedName name="fghfghgfh_4" localSheetId="6" hidden="1">{#N/A,#N/A,FALSE,"Umsatz CH";#N/A,#N/A,FALSE,"ER CH";#N/A,#N/A,FALSE,"EA CH (2) ";#N/A,#N/A,FALSE,"EA CH";#N/A,#N/A,FALSE,"EA CH (3) ";#N/A,#N/A,FALSE,"EA CH (4)";#N/A,#N/A,FALSE,"KA CH";#N/A,#N/A,FALSE,"KA CH  (2)";#N/A,#N/A,FALSE,"KA CH  (3)";#N/A,#N/A,FALSE,"KA CH (4)"}</definedName>
    <definedName name="fghfghgfh_4" hidden="1">{#N/A,#N/A,FALSE,"Umsatz CH";#N/A,#N/A,FALSE,"ER CH";#N/A,#N/A,FALSE,"EA CH (2) ";#N/A,#N/A,FALSE,"EA CH";#N/A,#N/A,FALSE,"EA CH (3) ";#N/A,#N/A,FALSE,"EA CH (4)";#N/A,#N/A,FALSE,"KA CH";#N/A,#N/A,FALSE,"KA CH  (2)";#N/A,#N/A,FALSE,"KA CH  (3)";#N/A,#N/A,FALSE,"KA CH (4)"}</definedName>
    <definedName name="fghfghgfh_5" localSheetId="0" hidden="1">{#N/A,#N/A,FALSE,"Umsatz CH";#N/A,#N/A,FALSE,"ER CH";#N/A,#N/A,FALSE,"EA CH (2) ";#N/A,#N/A,FALSE,"EA CH";#N/A,#N/A,FALSE,"EA CH (3) ";#N/A,#N/A,FALSE,"EA CH (4)";#N/A,#N/A,FALSE,"KA CH";#N/A,#N/A,FALSE,"KA CH  (2)";#N/A,#N/A,FALSE,"KA CH  (3)";#N/A,#N/A,FALSE,"KA CH (4)"}</definedName>
    <definedName name="fghfghgfh_5" localSheetId="6" hidden="1">{#N/A,#N/A,FALSE,"Umsatz CH";#N/A,#N/A,FALSE,"ER CH";#N/A,#N/A,FALSE,"EA CH (2) ";#N/A,#N/A,FALSE,"EA CH";#N/A,#N/A,FALSE,"EA CH (3) ";#N/A,#N/A,FALSE,"EA CH (4)";#N/A,#N/A,FALSE,"KA CH";#N/A,#N/A,FALSE,"KA CH  (2)";#N/A,#N/A,FALSE,"KA CH  (3)";#N/A,#N/A,FALSE,"KA CH (4)"}</definedName>
    <definedName name="fghfghgfh_5" hidden="1">{#N/A,#N/A,FALSE,"Umsatz CH";#N/A,#N/A,FALSE,"ER CH";#N/A,#N/A,FALSE,"EA CH (2) ";#N/A,#N/A,FALSE,"EA CH";#N/A,#N/A,FALSE,"EA CH (3) ";#N/A,#N/A,FALSE,"EA CH (4)";#N/A,#N/A,FALSE,"KA CH";#N/A,#N/A,FALSE,"KA CH  (2)";#N/A,#N/A,FALSE,"KA CH  (3)";#N/A,#N/A,FALSE,"KA CH (4)"}</definedName>
    <definedName name="fghfh" localSheetId="0" hidden="1">{#N/A,#N/A,FALSE,"Umsatz EO BP";#N/A,#N/A,FALSE,"Umsatz EO OP";#N/A,#N/A,FALSE,"ER EO BP";#N/A,#N/A,FALSE,"ER EO OP";#N/A,#N/A,FALSE,"EA EO (2)";#N/A,#N/A,FALSE,"EA EO";#N/A,#N/A,FALSE,"EA EO (3)";#N/A,#N/A,FALSE,"EA EO (4)";#N/A,#N/A,FALSE,"KA EO  (2)";#N/A,#N/A,FALSE,"KA EO";#N/A,#N/A,FALSE,"KA EO  (3)";#N/A,#N/A,FALSE,"KA EO (4)"}</definedName>
    <definedName name="fghfh" localSheetId="6" hidden="1">{#N/A,#N/A,FALSE,"Umsatz EO BP";#N/A,#N/A,FALSE,"Umsatz EO OP";#N/A,#N/A,FALSE,"ER EO BP";#N/A,#N/A,FALSE,"ER EO OP";#N/A,#N/A,FALSE,"EA EO (2)";#N/A,#N/A,FALSE,"EA EO";#N/A,#N/A,FALSE,"EA EO (3)";#N/A,#N/A,FALSE,"EA EO (4)";#N/A,#N/A,FALSE,"KA EO  (2)";#N/A,#N/A,FALSE,"KA EO";#N/A,#N/A,FALSE,"KA EO  (3)";#N/A,#N/A,FALSE,"KA EO (4)"}</definedName>
    <definedName name="fghfh" hidden="1">{#N/A,#N/A,FALSE,"Umsatz EO BP";#N/A,#N/A,FALSE,"Umsatz EO OP";#N/A,#N/A,FALSE,"ER EO BP";#N/A,#N/A,FALSE,"ER EO OP";#N/A,#N/A,FALSE,"EA EO (2)";#N/A,#N/A,FALSE,"EA EO";#N/A,#N/A,FALSE,"EA EO (3)";#N/A,#N/A,FALSE,"EA EO (4)";#N/A,#N/A,FALSE,"KA EO  (2)";#N/A,#N/A,FALSE,"KA EO";#N/A,#N/A,FALSE,"KA EO  (3)";#N/A,#N/A,FALSE,"KA EO (4)"}</definedName>
    <definedName name="fghfh_1" localSheetId="0" hidden="1">{#N/A,#N/A,FALSE,"Umsatz EO BP";#N/A,#N/A,FALSE,"Umsatz EO OP";#N/A,#N/A,FALSE,"ER EO BP";#N/A,#N/A,FALSE,"ER EO OP";#N/A,#N/A,FALSE,"EA EO (2)";#N/A,#N/A,FALSE,"EA EO";#N/A,#N/A,FALSE,"EA EO (3)";#N/A,#N/A,FALSE,"EA EO (4)";#N/A,#N/A,FALSE,"KA EO  (2)";#N/A,#N/A,FALSE,"KA EO";#N/A,#N/A,FALSE,"KA EO  (3)";#N/A,#N/A,FALSE,"KA EO (4)"}</definedName>
    <definedName name="fghfh_1" localSheetId="6" hidden="1">{#N/A,#N/A,FALSE,"Umsatz EO BP";#N/A,#N/A,FALSE,"Umsatz EO OP";#N/A,#N/A,FALSE,"ER EO BP";#N/A,#N/A,FALSE,"ER EO OP";#N/A,#N/A,FALSE,"EA EO (2)";#N/A,#N/A,FALSE,"EA EO";#N/A,#N/A,FALSE,"EA EO (3)";#N/A,#N/A,FALSE,"EA EO (4)";#N/A,#N/A,FALSE,"KA EO  (2)";#N/A,#N/A,FALSE,"KA EO";#N/A,#N/A,FALSE,"KA EO  (3)";#N/A,#N/A,FALSE,"KA EO (4)"}</definedName>
    <definedName name="fghfh_1" hidden="1">{#N/A,#N/A,FALSE,"Umsatz EO BP";#N/A,#N/A,FALSE,"Umsatz EO OP";#N/A,#N/A,FALSE,"ER EO BP";#N/A,#N/A,FALSE,"ER EO OP";#N/A,#N/A,FALSE,"EA EO (2)";#N/A,#N/A,FALSE,"EA EO";#N/A,#N/A,FALSE,"EA EO (3)";#N/A,#N/A,FALSE,"EA EO (4)";#N/A,#N/A,FALSE,"KA EO  (2)";#N/A,#N/A,FALSE,"KA EO";#N/A,#N/A,FALSE,"KA EO  (3)";#N/A,#N/A,FALSE,"KA EO (4)"}</definedName>
    <definedName name="fghfh_1_1" localSheetId="0" hidden="1">{#N/A,#N/A,FALSE,"Umsatz EO BP";#N/A,#N/A,FALSE,"Umsatz EO OP";#N/A,#N/A,FALSE,"ER EO BP";#N/A,#N/A,FALSE,"ER EO OP";#N/A,#N/A,FALSE,"EA EO (2)";#N/A,#N/A,FALSE,"EA EO";#N/A,#N/A,FALSE,"EA EO (3)";#N/A,#N/A,FALSE,"EA EO (4)";#N/A,#N/A,FALSE,"KA EO  (2)";#N/A,#N/A,FALSE,"KA EO";#N/A,#N/A,FALSE,"KA EO  (3)";#N/A,#N/A,FALSE,"KA EO (4)"}</definedName>
    <definedName name="fghfh_1_1" localSheetId="6" hidden="1">{#N/A,#N/A,FALSE,"Umsatz EO BP";#N/A,#N/A,FALSE,"Umsatz EO OP";#N/A,#N/A,FALSE,"ER EO BP";#N/A,#N/A,FALSE,"ER EO OP";#N/A,#N/A,FALSE,"EA EO (2)";#N/A,#N/A,FALSE,"EA EO";#N/A,#N/A,FALSE,"EA EO (3)";#N/A,#N/A,FALSE,"EA EO (4)";#N/A,#N/A,FALSE,"KA EO  (2)";#N/A,#N/A,FALSE,"KA EO";#N/A,#N/A,FALSE,"KA EO  (3)";#N/A,#N/A,FALSE,"KA EO (4)"}</definedName>
    <definedName name="fghfh_1_1" hidden="1">{#N/A,#N/A,FALSE,"Umsatz EO BP";#N/A,#N/A,FALSE,"Umsatz EO OP";#N/A,#N/A,FALSE,"ER EO BP";#N/A,#N/A,FALSE,"ER EO OP";#N/A,#N/A,FALSE,"EA EO (2)";#N/A,#N/A,FALSE,"EA EO";#N/A,#N/A,FALSE,"EA EO (3)";#N/A,#N/A,FALSE,"EA EO (4)";#N/A,#N/A,FALSE,"KA EO  (2)";#N/A,#N/A,FALSE,"KA EO";#N/A,#N/A,FALSE,"KA EO  (3)";#N/A,#N/A,FALSE,"KA EO (4)"}</definedName>
    <definedName name="fghfh_2" localSheetId="0" hidden="1">{#N/A,#N/A,FALSE,"Umsatz EO BP";#N/A,#N/A,FALSE,"Umsatz EO OP";#N/A,#N/A,FALSE,"ER EO BP";#N/A,#N/A,FALSE,"ER EO OP";#N/A,#N/A,FALSE,"EA EO (2)";#N/A,#N/A,FALSE,"EA EO";#N/A,#N/A,FALSE,"EA EO (3)";#N/A,#N/A,FALSE,"EA EO (4)";#N/A,#N/A,FALSE,"KA EO  (2)";#N/A,#N/A,FALSE,"KA EO";#N/A,#N/A,FALSE,"KA EO  (3)";#N/A,#N/A,FALSE,"KA EO (4)"}</definedName>
    <definedName name="fghfh_2" localSheetId="6" hidden="1">{#N/A,#N/A,FALSE,"Umsatz EO BP";#N/A,#N/A,FALSE,"Umsatz EO OP";#N/A,#N/A,FALSE,"ER EO BP";#N/A,#N/A,FALSE,"ER EO OP";#N/A,#N/A,FALSE,"EA EO (2)";#N/A,#N/A,FALSE,"EA EO";#N/A,#N/A,FALSE,"EA EO (3)";#N/A,#N/A,FALSE,"EA EO (4)";#N/A,#N/A,FALSE,"KA EO  (2)";#N/A,#N/A,FALSE,"KA EO";#N/A,#N/A,FALSE,"KA EO  (3)";#N/A,#N/A,FALSE,"KA EO (4)"}</definedName>
    <definedName name="fghfh_2" hidden="1">{#N/A,#N/A,FALSE,"Umsatz EO BP";#N/A,#N/A,FALSE,"Umsatz EO OP";#N/A,#N/A,FALSE,"ER EO BP";#N/A,#N/A,FALSE,"ER EO OP";#N/A,#N/A,FALSE,"EA EO (2)";#N/A,#N/A,FALSE,"EA EO";#N/A,#N/A,FALSE,"EA EO (3)";#N/A,#N/A,FALSE,"EA EO (4)";#N/A,#N/A,FALSE,"KA EO  (2)";#N/A,#N/A,FALSE,"KA EO";#N/A,#N/A,FALSE,"KA EO  (3)";#N/A,#N/A,FALSE,"KA EO (4)"}</definedName>
    <definedName name="fghfh_3" localSheetId="0" hidden="1">{#N/A,#N/A,FALSE,"Umsatz EO BP";#N/A,#N/A,FALSE,"Umsatz EO OP";#N/A,#N/A,FALSE,"ER EO BP";#N/A,#N/A,FALSE,"ER EO OP";#N/A,#N/A,FALSE,"EA EO (2)";#N/A,#N/A,FALSE,"EA EO";#N/A,#N/A,FALSE,"EA EO (3)";#N/A,#N/A,FALSE,"EA EO (4)";#N/A,#N/A,FALSE,"KA EO  (2)";#N/A,#N/A,FALSE,"KA EO";#N/A,#N/A,FALSE,"KA EO  (3)";#N/A,#N/A,FALSE,"KA EO (4)"}</definedName>
    <definedName name="fghfh_3" localSheetId="6" hidden="1">{#N/A,#N/A,FALSE,"Umsatz EO BP";#N/A,#N/A,FALSE,"Umsatz EO OP";#N/A,#N/A,FALSE,"ER EO BP";#N/A,#N/A,FALSE,"ER EO OP";#N/A,#N/A,FALSE,"EA EO (2)";#N/A,#N/A,FALSE,"EA EO";#N/A,#N/A,FALSE,"EA EO (3)";#N/A,#N/A,FALSE,"EA EO (4)";#N/A,#N/A,FALSE,"KA EO  (2)";#N/A,#N/A,FALSE,"KA EO";#N/A,#N/A,FALSE,"KA EO  (3)";#N/A,#N/A,FALSE,"KA EO (4)"}</definedName>
    <definedName name="fghfh_3" hidden="1">{#N/A,#N/A,FALSE,"Umsatz EO BP";#N/A,#N/A,FALSE,"Umsatz EO OP";#N/A,#N/A,FALSE,"ER EO BP";#N/A,#N/A,FALSE,"ER EO OP";#N/A,#N/A,FALSE,"EA EO (2)";#N/A,#N/A,FALSE,"EA EO";#N/A,#N/A,FALSE,"EA EO (3)";#N/A,#N/A,FALSE,"EA EO (4)";#N/A,#N/A,FALSE,"KA EO  (2)";#N/A,#N/A,FALSE,"KA EO";#N/A,#N/A,FALSE,"KA EO  (3)";#N/A,#N/A,FALSE,"KA EO (4)"}</definedName>
    <definedName name="fghfh_4" localSheetId="0" hidden="1">{#N/A,#N/A,FALSE,"Umsatz EO BP";#N/A,#N/A,FALSE,"Umsatz EO OP";#N/A,#N/A,FALSE,"ER EO BP";#N/A,#N/A,FALSE,"ER EO OP";#N/A,#N/A,FALSE,"EA EO (2)";#N/A,#N/A,FALSE,"EA EO";#N/A,#N/A,FALSE,"EA EO (3)";#N/A,#N/A,FALSE,"EA EO (4)";#N/A,#N/A,FALSE,"KA EO  (2)";#N/A,#N/A,FALSE,"KA EO";#N/A,#N/A,FALSE,"KA EO  (3)";#N/A,#N/A,FALSE,"KA EO (4)"}</definedName>
    <definedName name="fghfh_4" localSheetId="6" hidden="1">{#N/A,#N/A,FALSE,"Umsatz EO BP";#N/A,#N/A,FALSE,"Umsatz EO OP";#N/A,#N/A,FALSE,"ER EO BP";#N/A,#N/A,FALSE,"ER EO OP";#N/A,#N/A,FALSE,"EA EO (2)";#N/A,#N/A,FALSE,"EA EO";#N/A,#N/A,FALSE,"EA EO (3)";#N/A,#N/A,FALSE,"EA EO (4)";#N/A,#N/A,FALSE,"KA EO  (2)";#N/A,#N/A,FALSE,"KA EO";#N/A,#N/A,FALSE,"KA EO  (3)";#N/A,#N/A,FALSE,"KA EO (4)"}</definedName>
    <definedName name="fghfh_4" hidden="1">{#N/A,#N/A,FALSE,"Umsatz EO BP";#N/A,#N/A,FALSE,"Umsatz EO OP";#N/A,#N/A,FALSE,"ER EO BP";#N/A,#N/A,FALSE,"ER EO OP";#N/A,#N/A,FALSE,"EA EO (2)";#N/A,#N/A,FALSE,"EA EO";#N/A,#N/A,FALSE,"EA EO (3)";#N/A,#N/A,FALSE,"EA EO (4)";#N/A,#N/A,FALSE,"KA EO  (2)";#N/A,#N/A,FALSE,"KA EO";#N/A,#N/A,FALSE,"KA EO  (3)";#N/A,#N/A,FALSE,"KA EO (4)"}</definedName>
    <definedName name="fghfh_5" localSheetId="0" hidden="1">{#N/A,#N/A,FALSE,"Umsatz EO BP";#N/A,#N/A,FALSE,"Umsatz EO OP";#N/A,#N/A,FALSE,"ER EO BP";#N/A,#N/A,FALSE,"ER EO OP";#N/A,#N/A,FALSE,"EA EO (2)";#N/A,#N/A,FALSE,"EA EO";#N/A,#N/A,FALSE,"EA EO (3)";#N/A,#N/A,FALSE,"EA EO (4)";#N/A,#N/A,FALSE,"KA EO  (2)";#N/A,#N/A,FALSE,"KA EO";#N/A,#N/A,FALSE,"KA EO  (3)";#N/A,#N/A,FALSE,"KA EO (4)"}</definedName>
    <definedName name="fghfh_5" localSheetId="6" hidden="1">{#N/A,#N/A,FALSE,"Umsatz EO BP";#N/A,#N/A,FALSE,"Umsatz EO OP";#N/A,#N/A,FALSE,"ER EO BP";#N/A,#N/A,FALSE,"ER EO OP";#N/A,#N/A,FALSE,"EA EO (2)";#N/A,#N/A,FALSE,"EA EO";#N/A,#N/A,FALSE,"EA EO (3)";#N/A,#N/A,FALSE,"EA EO (4)";#N/A,#N/A,FALSE,"KA EO  (2)";#N/A,#N/A,FALSE,"KA EO";#N/A,#N/A,FALSE,"KA EO  (3)";#N/A,#N/A,FALSE,"KA EO (4)"}</definedName>
    <definedName name="fghfh_5" hidden="1">{#N/A,#N/A,FALSE,"Umsatz EO BP";#N/A,#N/A,FALSE,"Umsatz EO OP";#N/A,#N/A,FALSE,"ER EO BP";#N/A,#N/A,FALSE,"ER EO OP";#N/A,#N/A,FALSE,"EA EO (2)";#N/A,#N/A,FALSE,"EA EO";#N/A,#N/A,FALSE,"EA EO (3)";#N/A,#N/A,FALSE,"EA EO (4)";#N/A,#N/A,FALSE,"KA EO  (2)";#N/A,#N/A,FALSE,"KA EO";#N/A,#N/A,FALSE,"KA EO  (3)";#N/A,#N/A,FALSE,"KA EO (4)"}</definedName>
    <definedName name="FGHH" localSheetId="6"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_1" localSheetId="6" hidden="1">{#N/A,#N/A,FALSE,"SumD";#N/A,#N/A,FALSE,"ElecD";#N/A,#N/A,FALSE,"MechD";#N/A,#N/A,FALSE,"GeotD";#N/A,#N/A,FALSE,"PrcsD";#N/A,#N/A,FALSE,"TunnD";#N/A,#N/A,FALSE,"CivlD";#N/A,#N/A,FALSE,"NtwkD";#N/A,#N/A,FALSE,"EstgD";#N/A,#N/A,FALSE,"PEngD"}</definedName>
    <definedName name="FGHH_1" hidden="1">{#N/A,#N/A,FALSE,"SumD";#N/A,#N/A,FALSE,"ElecD";#N/A,#N/A,FALSE,"MechD";#N/A,#N/A,FALSE,"GeotD";#N/A,#N/A,FALSE,"PrcsD";#N/A,#N/A,FALSE,"TunnD";#N/A,#N/A,FALSE,"CivlD";#N/A,#N/A,FALSE,"NtwkD";#N/A,#N/A,FALSE,"EstgD";#N/A,#N/A,FALSE,"PEngD"}</definedName>
    <definedName name="fghj"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hj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fgj" localSheetId="6" hidden="1">{#N/A,#N/A,FALSE,"ACQ_GRAPHS";#N/A,#N/A,FALSE,"T_1 GRAPHS";#N/A,#N/A,FALSE,"T_2 GRAPHS";#N/A,#N/A,FALSE,"COMB_GRAPHS"}</definedName>
    <definedName name="fgj" hidden="1">{#N/A,#N/A,FALSE,"ACQ_GRAPHS";#N/A,#N/A,FALSE,"T_1 GRAPHS";#N/A,#N/A,FALSE,"T_2 GRAPHS";#N/A,#N/A,FALSE,"COMB_GRAPHS"}</definedName>
    <definedName name="fgjfgjfgj" localSheetId="0" hidden="1">{#N/A,#N/A,FALSE,"Produkte Erw.";#N/A,#N/A,FALSE,"Produkte Plan";#N/A,#N/A,FALSE,"Leistungen Erw.";#N/A,#N/A,FALSE,"Leistungen Plan";#N/A,#N/A,FALSE,"KA Allg.Kosten (2)";#N/A,#N/A,FALSE,"KA All.Kosten"}</definedName>
    <definedName name="fgjfgjfgj" localSheetId="6" hidden="1">{#N/A,#N/A,FALSE,"Produkte Erw.";#N/A,#N/A,FALSE,"Produkte Plan";#N/A,#N/A,FALSE,"Leistungen Erw.";#N/A,#N/A,FALSE,"Leistungen Plan";#N/A,#N/A,FALSE,"KA Allg.Kosten (2)";#N/A,#N/A,FALSE,"KA All.Kosten"}</definedName>
    <definedName name="fgjfgjfgj" hidden="1">{#N/A,#N/A,FALSE,"Produkte Erw.";#N/A,#N/A,FALSE,"Produkte Plan";#N/A,#N/A,FALSE,"Leistungen Erw.";#N/A,#N/A,FALSE,"Leistungen Plan";#N/A,#N/A,FALSE,"KA Allg.Kosten (2)";#N/A,#N/A,FALSE,"KA All.Kosten"}</definedName>
    <definedName name="fgjfgjfgj_1" localSheetId="0" hidden="1">{#N/A,#N/A,FALSE,"Produkte Erw.";#N/A,#N/A,FALSE,"Produkte Plan";#N/A,#N/A,FALSE,"Leistungen Erw.";#N/A,#N/A,FALSE,"Leistungen Plan";#N/A,#N/A,FALSE,"KA Allg.Kosten (2)";#N/A,#N/A,FALSE,"KA All.Kosten"}</definedName>
    <definedName name="fgjfgjfgj_1" localSheetId="6" hidden="1">{#N/A,#N/A,FALSE,"Produkte Erw.";#N/A,#N/A,FALSE,"Produkte Plan";#N/A,#N/A,FALSE,"Leistungen Erw.";#N/A,#N/A,FALSE,"Leistungen Plan";#N/A,#N/A,FALSE,"KA Allg.Kosten (2)";#N/A,#N/A,FALSE,"KA All.Kosten"}</definedName>
    <definedName name="fgjfgjfgj_1" hidden="1">{#N/A,#N/A,FALSE,"Produkte Erw.";#N/A,#N/A,FALSE,"Produkte Plan";#N/A,#N/A,FALSE,"Leistungen Erw.";#N/A,#N/A,FALSE,"Leistungen Plan";#N/A,#N/A,FALSE,"KA Allg.Kosten (2)";#N/A,#N/A,FALSE,"KA All.Kosten"}</definedName>
    <definedName name="fgjfgjfgj_1_1" localSheetId="0" hidden="1">{#N/A,#N/A,FALSE,"Produkte Erw.";#N/A,#N/A,FALSE,"Produkte Plan";#N/A,#N/A,FALSE,"Leistungen Erw.";#N/A,#N/A,FALSE,"Leistungen Plan";#N/A,#N/A,FALSE,"KA Allg.Kosten (2)";#N/A,#N/A,FALSE,"KA All.Kosten"}</definedName>
    <definedName name="fgjfgjfgj_1_1" localSheetId="6" hidden="1">{#N/A,#N/A,FALSE,"Produkte Erw.";#N/A,#N/A,FALSE,"Produkte Plan";#N/A,#N/A,FALSE,"Leistungen Erw.";#N/A,#N/A,FALSE,"Leistungen Plan";#N/A,#N/A,FALSE,"KA Allg.Kosten (2)";#N/A,#N/A,FALSE,"KA All.Kosten"}</definedName>
    <definedName name="fgjfgjfgj_1_1" hidden="1">{#N/A,#N/A,FALSE,"Produkte Erw.";#N/A,#N/A,FALSE,"Produkte Plan";#N/A,#N/A,FALSE,"Leistungen Erw.";#N/A,#N/A,FALSE,"Leistungen Plan";#N/A,#N/A,FALSE,"KA Allg.Kosten (2)";#N/A,#N/A,FALSE,"KA All.Kosten"}</definedName>
    <definedName name="fgjfgjfgj_2" localSheetId="0" hidden="1">{#N/A,#N/A,FALSE,"Produkte Erw.";#N/A,#N/A,FALSE,"Produkte Plan";#N/A,#N/A,FALSE,"Leistungen Erw.";#N/A,#N/A,FALSE,"Leistungen Plan";#N/A,#N/A,FALSE,"KA Allg.Kosten (2)";#N/A,#N/A,FALSE,"KA All.Kosten"}</definedName>
    <definedName name="fgjfgjfgj_2" localSheetId="6" hidden="1">{#N/A,#N/A,FALSE,"Produkte Erw.";#N/A,#N/A,FALSE,"Produkte Plan";#N/A,#N/A,FALSE,"Leistungen Erw.";#N/A,#N/A,FALSE,"Leistungen Plan";#N/A,#N/A,FALSE,"KA Allg.Kosten (2)";#N/A,#N/A,FALSE,"KA All.Kosten"}</definedName>
    <definedName name="fgjfgjfgj_2" hidden="1">{#N/A,#N/A,FALSE,"Produkte Erw.";#N/A,#N/A,FALSE,"Produkte Plan";#N/A,#N/A,FALSE,"Leistungen Erw.";#N/A,#N/A,FALSE,"Leistungen Plan";#N/A,#N/A,FALSE,"KA Allg.Kosten (2)";#N/A,#N/A,FALSE,"KA All.Kosten"}</definedName>
    <definedName name="fgjfgjfgj_3" localSheetId="0" hidden="1">{#N/A,#N/A,FALSE,"Produkte Erw.";#N/A,#N/A,FALSE,"Produkte Plan";#N/A,#N/A,FALSE,"Leistungen Erw.";#N/A,#N/A,FALSE,"Leistungen Plan";#N/A,#N/A,FALSE,"KA Allg.Kosten (2)";#N/A,#N/A,FALSE,"KA All.Kosten"}</definedName>
    <definedName name="fgjfgjfgj_3" localSheetId="6" hidden="1">{#N/A,#N/A,FALSE,"Produkte Erw.";#N/A,#N/A,FALSE,"Produkte Plan";#N/A,#N/A,FALSE,"Leistungen Erw.";#N/A,#N/A,FALSE,"Leistungen Plan";#N/A,#N/A,FALSE,"KA Allg.Kosten (2)";#N/A,#N/A,FALSE,"KA All.Kosten"}</definedName>
    <definedName name="fgjfgjfgj_3" hidden="1">{#N/A,#N/A,FALSE,"Produkte Erw.";#N/A,#N/A,FALSE,"Produkte Plan";#N/A,#N/A,FALSE,"Leistungen Erw.";#N/A,#N/A,FALSE,"Leistungen Plan";#N/A,#N/A,FALSE,"KA Allg.Kosten (2)";#N/A,#N/A,FALSE,"KA All.Kosten"}</definedName>
    <definedName name="fgjfgjfgj_4" localSheetId="0" hidden="1">{#N/A,#N/A,FALSE,"Produkte Erw.";#N/A,#N/A,FALSE,"Produkte Plan";#N/A,#N/A,FALSE,"Leistungen Erw.";#N/A,#N/A,FALSE,"Leistungen Plan";#N/A,#N/A,FALSE,"KA Allg.Kosten (2)";#N/A,#N/A,FALSE,"KA All.Kosten"}</definedName>
    <definedName name="fgjfgjfgj_4" localSheetId="6" hidden="1">{#N/A,#N/A,FALSE,"Produkte Erw.";#N/A,#N/A,FALSE,"Produkte Plan";#N/A,#N/A,FALSE,"Leistungen Erw.";#N/A,#N/A,FALSE,"Leistungen Plan";#N/A,#N/A,FALSE,"KA Allg.Kosten (2)";#N/A,#N/A,FALSE,"KA All.Kosten"}</definedName>
    <definedName name="fgjfgjfgj_4" hidden="1">{#N/A,#N/A,FALSE,"Produkte Erw.";#N/A,#N/A,FALSE,"Produkte Plan";#N/A,#N/A,FALSE,"Leistungen Erw.";#N/A,#N/A,FALSE,"Leistungen Plan";#N/A,#N/A,FALSE,"KA Allg.Kosten (2)";#N/A,#N/A,FALSE,"KA All.Kosten"}</definedName>
    <definedName name="fgjfgjfgj_5" localSheetId="0" hidden="1">{#N/A,#N/A,FALSE,"Produkte Erw.";#N/A,#N/A,FALSE,"Produkte Plan";#N/A,#N/A,FALSE,"Leistungen Erw.";#N/A,#N/A,FALSE,"Leistungen Plan";#N/A,#N/A,FALSE,"KA Allg.Kosten (2)";#N/A,#N/A,FALSE,"KA All.Kosten"}</definedName>
    <definedName name="fgjfgjfgj_5" localSheetId="6" hidden="1">{#N/A,#N/A,FALSE,"Produkte Erw.";#N/A,#N/A,FALSE,"Produkte Plan";#N/A,#N/A,FALSE,"Leistungen Erw.";#N/A,#N/A,FALSE,"Leistungen Plan";#N/A,#N/A,FALSE,"KA Allg.Kosten (2)";#N/A,#N/A,FALSE,"KA All.Kosten"}</definedName>
    <definedName name="fgjfgjfgj_5" hidden="1">{#N/A,#N/A,FALSE,"Produkte Erw.";#N/A,#N/A,FALSE,"Produkte Plan";#N/A,#N/A,FALSE,"Leistungen Erw.";#N/A,#N/A,FALSE,"Leistungen Plan";#N/A,#N/A,FALSE,"KA Allg.Kosten (2)";#N/A,#N/A,FALSE,"KA All.Kosten"}</definedName>
    <definedName name="fgjhfgjhgj" localSheetId="0" hidden="1">{"comp1",#N/A,FALSE,"COMPS";"footnotes",#N/A,FALSE,"COMPS"}</definedName>
    <definedName name="fgjhfgjhgj" localSheetId="6" hidden="1">{"comp1",#N/A,FALSE,"COMPS";"footnotes",#N/A,FALSE,"COMPS"}</definedName>
    <definedName name="fgjhfgjhgj" hidden="1">{"comp1",#N/A,FALSE,"COMPS";"footnotes",#N/A,FALSE,"COMPS"}</definedName>
    <definedName name="fgkfgk" localSheetId="0" hidden="1">{#N/A,#N/A,FALSE,"Assessment";#N/A,#N/A,FALSE,"Staffing";#N/A,#N/A,FALSE,"Hires";#N/A,#N/A,FALSE,"Assumptions"}</definedName>
    <definedName name="fgkfgk" localSheetId="6" hidden="1">{#N/A,#N/A,FALSE,"Assessment";#N/A,#N/A,FALSE,"Staffing";#N/A,#N/A,FALSE,"Hires";#N/A,#N/A,FALSE,"Assumptions"}</definedName>
    <definedName name="fgkfgk" hidden="1">{#N/A,#N/A,FALSE,"Assessment";#N/A,#N/A,FALSE,"Staffing";#N/A,#N/A,FALSE,"Hires";#N/A,#N/A,FALSE,"Assumptions"}</definedName>
    <definedName name="fgkfgk_1" localSheetId="0" hidden="1">{#N/A,#N/A,FALSE,"Assessment";#N/A,#N/A,FALSE,"Staffing";#N/A,#N/A,FALSE,"Hires";#N/A,#N/A,FALSE,"Assumptions"}</definedName>
    <definedName name="fgkfgk_1" localSheetId="6" hidden="1">{#N/A,#N/A,FALSE,"Assessment";#N/A,#N/A,FALSE,"Staffing";#N/A,#N/A,FALSE,"Hires";#N/A,#N/A,FALSE,"Assumptions"}</definedName>
    <definedName name="fgkfgk_1" hidden="1">{#N/A,#N/A,FALSE,"Assessment";#N/A,#N/A,FALSE,"Staffing";#N/A,#N/A,FALSE,"Hires";#N/A,#N/A,FALSE,"Assumptions"}</definedName>
    <definedName name="fgkjkh" localSheetId="0" hidden="1">{#N/A,#N/A,FALSE,"REPORT"}</definedName>
    <definedName name="fgkjkh" localSheetId="6" hidden="1">{#N/A,#N/A,FALSE,"REPORT"}</definedName>
    <definedName name="fgkjkh" hidden="1">{#N/A,#N/A,FALSE,"REPORT"}</definedName>
    <definedName name="fgkjkh_1" localSheetId="0" hidden="1">{#N/A,#N/A,FALSE,"REPORT"}</definedName>
    <definedName name="fgkjkh_1" localSheetId="6" hidden="1">{#N/A,#N/A,FALSE,"REPORT"}</definedName>
    <definedName name="fgkjkh_1" hidden="1">{#N/A,#N/A,FALSE,"REPORT"}</definedName>
    <definedName name="fgkjkh_1_1" localSheetId="0" hidden="1">{#N/A,#N/A,FALSE,"REPORT"}</definedName>
    <definedName name="fgkjkh_1_1" localSheetId="6" hidden="1">{#N/A,#N/A,FALSE,"REPORT"}</definedName>
    <definedName name="fgkjkh_1_1" hidden="1">{#N/A,#N/A,FALSE,"REPORT"}</definedName>
    <definedName name="fgkjkh_2" localSheetId="0" hidden="1">{#N/A,#N/A,FALSE,"REPORT"}</definedName>
    <definedName name="fgkjkh_2" localSheetId="6" hidden="1">{#N/A,#N/A,FALSE,"REPORT"}</definedName>
    <definedName name="fgkjkh_2" hidden="1">{#N/A,#N/A,FALSE,"REPORT"}</definedName>
    <definedName name="fgkjkh_3" localSheetId="0" hidden="1">{#N/A,#N/A,FALSE,"REPORT"}</definedName>
    <definedName name="fgkjkh_3" localSheetId="6" hidden="1">{#N/A,#N/A,FALSE,"REPORT"}</definedName>
    <definedName name="fgkjkh_3" hidden="1">{#N/A,#N/A,FALSE,"REPORT"}</definedName>
    <definedName name="fgkjkh_4" localSheetId="0" hidden="1">{#N/A,#N/A,FALSE,"REPORT"}</definedName>
    <definedName name="fgkjkh_4" localSheetId="6" hidden="1">{#N/A,#N/A,FALSE,"REPORT"}</definedName>
    <definedName name="fgkjkh_4" hidden="1">{#N/A,#N/A,FALSE,"REPORT"}</definedName>
    <definedName name="fgkjkh_5" localSheetId="0" hidden="1">{#N/A,#N/A,FALSE,"REPORT"}</definedName>
    <definedName name="fgkjkh_5" localSheetId="6" hidden="1">{#N/A,#N/A,FALSE,"REPORT"}</definedName>
    <definedName name="fgkjkh_5" hidden="1">{#N/A,#N/A,FALSE,"REPORT"}</definedName>
    <definedName name="fgnfgnfngf" localSheetId="0" hidden="1">{#N/A,#N/A,FALSE,"Assessment";#N/A,#N/A,FALSE,"Staffing";#N/A,#N/A,FALSE,"Hires";#N/A,#N/A,FALSE,"Assumptions"}</definedName>
    <definedName name="fgnfgnfngf" localSheetId="6" hidden="1">{#N/A,#N/A,FALSE,"Assessment";#N/A,#N/A,FALSE,"Staffing";#N/A,#N/A,FALSE,"Hires";#N/A,#N/A,FALSE,"Assumptions"}</definedName>
    <definedName name="fgnfgnfngf" hidden="1">{#N/A,#N/A,FALSE,"Assessment";#N/A,#N/A,FALSE,"Staffing";#N/A,#N/A,FALSE,"Hires";#N/A,#N/A,FALSE,"Assumptions"}</definedName>
    <definedName name="fgnfgnfngf_1" localSheetId="0" hidden="1">{#N/A,#N/A,FALSE,"Assessment";#N/A,#N/A,FALSE,"Staffing";#N/A,#N/A,FALSE,"Hires";#N/A,#N/A,FALSE,"Assumptions"}</definedName>
    <definedName name="fgnfgnfngf_1" localSheetId="6" hidden="1">{#N/A,#N/A,FALSE,"Assessment";#N/A,#N/A,FALSE,"Staffing";#N/A,#N/A,FALSE,"Hires";#N/A,#N/A,FALSE,"Assumptions"}</definedName>
    <definedName name="fgnfgnfngf_1" hidden="1">{#N/A,#N/A,FALSE,"Assessment";#N/A,#N/A,FALSE,"Staffing";#N/A,#N/A,FALSE,"Hires";#N/A,#N/A,FALSE,"Assumptions"}</definedName>
    <definedName name="fgnfngf" localSheetId="0" hidden="1">{#N/A,#N/A,FALSE,"Assessment";#N/A,#N/A,FALSE,"Staffing";#N/A,#N/A,FALSE,"Hires";#N/A,#N/A,FALSE,"Assumptions"}</definedName>
    <definedName name="fgnfngf" localSheetId="6" hidden="1">{#N/A,#N/A,FALSE,"Assessment";#N/A,#N/A,FALSE,"Staffing";#N/A,#N/A,FALSE,"Hires";#N/A,#N/A,FALSE,"Assumptions"}</definedName>
    <definedName name="fgnfngf" hidden="1">{#N/A,#N/A,FALSE,"Assessment";#N/A,#N/A,FALSE,"Staffing";#N/A,#N/A,FALSE,"Hires";#N/A,#N/A,FALSE,"Assumptions"}</definedName>
    <definedName name="fgnfngf_1" localSheetId="0" hidden="1">{#N/A,#N/A,FALSE,"Assessment";#N/A,#N/A,FALSE,"Staffing";#N/A,#N/A,FALSE,"Hires";#N/A,#N/A,FALSE,"Assumptions"}</definedName>
    <definedName name="fgnfngf_1" localSheetId="6" hidden="1">{#N/A,#N/A,FALSE,"Assessment";#N/A,#N/A,FALSE,"Staffing";#N/A,#N/A,FALSE,"Hires";#N/A,#N/A,FALSE,"Assumptions"}</definedName>
    <definedName name="fgnfngf_1" hidden="1">{#N/A,#N/A,FALSE,"Assessment";#N/A,#N/A,FALSE,"Staffing";#N/A,#N/A,FALSE,"Hires";#N/A,#N/A,FALSE,"Assumptions"}</definedName>
    <definedName name="fgnfym"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fgnfym"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fgnfym" hidden="1">{#N/A,#N/A,TRUE,"COVER2";#N/A,#N/A,TRUE,"AGENDA";#N/A,#N/A,TRUE,"Cover";#N/A,#N/A,TRUE,"4M";#N/A,#N/A,TRUE,"FLP&amp;L4M";#N/A,#N/A,TRUE,"4MMC";#N/A,#N/A,TRUE,"Shp4M";#N/A,#N/A,TRUE,"M5";#N/A,#N/A,TRUE,"Q2";#N/A,#N/A,TRUE,"Q1vsQ2";#N/A,#N/A,TRUE,"M6";#N/A,#N/A,TRUE,"TY";#N/A,#N/A,TRUE,"FLP&amp;LTY";#N/A,#N/A,TRUE,"TYMC";#N/A,#N/A,TRUE,"ShpTY";#N/A,#N/A,TRUE,"8M";#N/A,#N/A,TRUE,"FLP&amp;L8M";#N/A,#N/A,TRUE,"8MMC";#N/A,#N/A,TRUE,"Shp8M"}</definedName>
    <definedName name="fgngfnf" localSheetId="0" hidden="1">{#N/A,#N/A,FALSE,"Assessment";#N/A,#N/A,FALSE,"Staffing";#N/A,#N/A,FALSE,"Hires";#N/A,#N/A,FALSE,"Assumptions"}</definedName>
    <definedName name="fgngfnf" localSheetId="6" hidden="1">{#N/A,#N/A,FALSE,"Assessment";#N/A,#N/A,FALSE,"Staffing";#N/A,#N/A,FALSE,"Hires";#N/A,#N/A,FALSE,"Assumptions"}</definedName>
    <definedName name="fgngfnf" hidden="1">{#N/A,#N/A,FALSE,"Assessment";#N/A,#N/A,FALSE,"Staffing";#N/A,#N/A,FALSE,"Hires";#N/A,#N/A,FALSE,"Assumptions"}</definedName>
    <definedName name="fgngfnf_1" localSheetId="0" hidden="1">{#N/A,#N/A,FALSE,"Assessment";#N/A,#N/A,FALSE,"Staffing";#N/A,#N/A,FALSE,"Hires";#N/A,#N/A,FALSE,"Assumptions"}</definedName>
    <definedName name="fgngfnf_1" localSheetId="6" hidden="1">{#N/A,#N/A,FALSE,"Assessment";#N/A,#N/A,FALSE,"Staffing";#N/A,#N/A,FALSE,"Hires";#N/A,#N/A,FALSE,"Assumptions"}</definedName>
    <definedName name="fgngfnf_1" hidden="1">{#N/A,#N/A,FALSE,"Assessment";#N/A,#N/A,FALSE,"Staffing";#N/A,#N/A,FALSE,"Hires";#N/A,#N/A,FALSE,"Assumptions"}</definedName>
    <definedName name="fgs" localSheetId="0" hidden="1">{#N/A,#N/A,FALSE,"COMP"}</definedName>
    <definedName name="fgs" localSheetId="6" hidden="1">{#N/A,#N/A,FALSE,"COMP"}</definedName>
    <definedName name="fgs" hidden="1">{#N/A,#N/A,FALSE,"COMP"}</definedName>
    <definedName name="fgsd" localSheetId="6" hidden="1">{#N/A,#N/A,TRUE,"FA 1 &amp; 2";#N/A,#N/A,TRUE,"FA 3 &amp; 4";#N/A,#N/A,TRUE,"FA 5 &amp; 6";#N/A,#N/A,TRUE,"FA 7 &amp; 8";#N/A,#N/A,TRUE,"FA 9 &amp; 10";#N/A,#N/A,TRUE,"FA 11";#N/A,#N/A,TRUE,"FA 12";#N/A,#N/A,TRUE,"FA 13";#N/A,#N/A,TRUE,"FA 14 &amp; 15"}</definedName>
    <definedName name="fgsd" hidden="1">{#N/A,#N/A,TRUE,"FA 1 &amp; 2";#N/A,#N/A,TRUE,"FA 3 &amp; 4";#N/A,#N/A,TRUE,"FA 5 &amp; 6";#N/A,#N/A,TRUE,"FA 7 &amp; 8";#N/A,#N/A,TRUE,"FA 9 &amp; 10";#N/A,#N/A,TRUE,"FA 11";#N/A,#N/A,TRUE,"FA 12";#N/A,#N/A,TRUE,"FA 13";#N/A,#N/A,TRUE,"FA 14 &amp; 15"}</definedName>
    <definedName name="fgsg" localSheetId="0" hidden="1">{"consolidated",#N/A,FALSE,"Sheet1";"cms",#N/A,FALSE,"Sheet1";"fse",#N/A,FALSE,"Sheet1"}</definedName>
    <definedName name="fgsg" localSheetId="6" hidden="1">{"consolidated",#N/A,FALSE,"Sheet1";"cms",#N/A,FALSE,"Sheet1";"fse",#N/A,FALSE,"Sheet1"}</definedName>
    <definedName name="fgsg" hidden="1">{"consolidated",#N/A,FALSE,"Sheet1";"cms",#N/A,FALSE,"Sheet1";"fse",#N/A,FALSE,"Sheet1"}</definedName>
    <definedName name="FGWg" hidden="1">#REF!</definedName>
    <definedName name="fh" localSheetId="0"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localSheetId="6"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 hidden="1">{"cover",#N/A,TRUE,"Cover";"toc9",#N/A,TRUE,"TOC";"over",#N/A,TRUE,"Overview";"ts2",#N/A,TRUE,"Det_Trans_Sum";"ei",#N/A,TRUE,"Earnings Impact";"ad1",#N/A,TRUE,"accretion dilution";"pfis",#N/A,TRUE,"Pro Forma Income Statement";"ca",#N/A,TRUE,"Contribution_Analysis";"profba",#N/A,TRUE,"Pro Forma Balance Sheet";"acq",#N/A,TRUE,"Acquirer";"tar",#N/A,TRUE,"Target"}</definedName>
    <definedName name="fh_1" localSheetId="0" hidden="1">{#N/A,#N/A,FALSE,"KA CH  (2)"}</definedName>
    <definedName name="fh_1" localSheetId="6" hidden="1">{#N/A,#N/A,FALSE,"KA CH  (2)"}</definedName>
    <definedName name="fh_1" hidden="1">{#N/A,#N/A,FALSE,"KA CH  (2)"}</definedName>
    <definedName name="fh_1_1" localSheetId="0" hidden="1">{#N/A,#N/A,FALSE,"KA CH  (2)"}</definedName>
    <definedName name="fh_1_1" localSheetId="6" hidden="1">{#N/A,#N/A,FALSE,"KA CH  (2)"}</definedName>
    <definedName name="fh_1_1" hidden="1">{#N/A,#N/A,FALSE,"KA CH  (2)"}</definedName>
    <definedName name="fh_2" localSheetId="0" hidden="1">{#N/A,#N/A,FALSE,"KA CH  (2)"}</definedName>
    <definedName name="fh_2" localSheetId="6" hidden="1">{#N/A,#N/A,FALSE,"KA CH  (2)"}</definedName>
    <definedName name="fh_2" hidden="1">{#N/A,#N/A,FALSE,"KA CH  (2)"}</definedName>
    <definedName name="fh_3" localSheetId="0" hidden="1">{#N/A,#N/A,FALSE,"KA CH  (2)"}</definedName>
    <definedName name="fh_3" localSheetId="6" hidden="1">{#N/A,#N/A,FALSE,"KA CH  (2)"}</definedName>
    <definedName name="fh_3" hidden="1">{#N/A,#N/A,FALSE,"KA CH  (2)"}</definedName>
    <definedName name="fh_4" localSheetId="0" hidden="1">{#N/A,#N/A,FALSE,"KA CH  (2)"}</definedName>
    <definedName name="fh_4" localSheetId="6" hidden="1">{#N/A,#N/A,FALSE,"KA CH  (2)"}</definedName>
    <definedName name="fh_4" hidden="1">{#N/A,#N/A,FALSE,"KA CH  (2)"}</definedName>
    <definedName name="fh_5" localSheetId="0" hidden="1">{#N/A,#N/A,FALSE,"KA CH  (2)"}</definedName>
    <definedName name="fh_5" localSheetId="6" hidden="1">{#N/A,#N/A,FALSE,"KA CH  (2)"}</definedName>
    <definedName name="fh_5" hidden="1">{#N/A,#N/A,FALSE,"KA CH  (2)"}</definedName>
    <definedName name="fhfgh" localSheetId="0" hidden="1">{#N/A,#N/A,FALSE,"Umsatz CH";#N/A,#N/A,FALSE,"ER CH";#N/A,#N/A,FALSE,"EA CH (2) ";#N/A,#N/A,FALSE,"EA CH";#N/A,#N/A,FALSE,"EA CH (3) ";#N/A,#N/A,FALSE,"EA CH (4)";#N/A,#N/A,FALSE,"KA CH";#N/A,#N/A,FALSE,"KA CH  (2)";#N/A,#N/A,FALSE,"KA CH  (3)";#N/A,#N/A,FALSE,"KA CH (4)"}</definedName>
    <definedName name="fhfgh" localSheetId="6" hidden="1">{#N/A,#N/A,FALSE,"Umsatz CH";#N/A,#N/A,FALSE,"ER CH";#N/A,#N/A,FALSE,"EA CH (2) ";#N/A,#N/A,FALSE,"EA CH";#N/A,#N/A,FALSE,"EA CH (3) ";#N/A,#N/A,FALSE,"EA CH (4)";#N/A,#N/A,FALSE,"KA CH";#N/A,#N/A,FALSE,"KA CH  (2)";#N/A,#N/A,FALSE,"KA CH  (3)";#N/A,#N/A,FALSE,"KA CH (4)"}</definedName>
    <definedName name="fhfgh" hidden="1">{#N/A,#N/A,FALSE,"Umsatz CH";#N/A,#N/A,FALSE,"ER CH";#N/A,#N/A,FALSE,"EA CH (2) ";#N/A,#N/A,FALSE,"EA CH";#N/A,#N/A,FALSE,"EA CH (3) ";#N/A,#N/A,FALSE,"EA CH (4)";#N/A,#N/A,FALSE,"KA CH";#N/A,#N/A,FALSE,"KA CH  (2)";#N/A,#N/A,FALSE,"KA CH  (3)";#N/A,#N/A,FALSE,"KA CH (4)"}</definedName>
    <definedName name="fhfgh_1" localSheetId="0" hidden="1">{#N/A,#N/A,FALSE,"Umsatz CH";#N/A,#N/A,FALSE,"ER CH";#N/A,#N/A,FALSE,"EA CH (2) ";#N/A,#N/A,FALSE,"EA CH";#N/A,#N/A,FALSE,"EA CH (3) ";#N/A,#N/A,FALSE,"EA CH (4)";#N/A,#N/A,FALSE,"KA CH";#N/A,#N/A,FALSE,"KA CH  (2)";#N/A,#N/A,FALSE,"KA CH  (3)";#N/A,#N/A,FALSE,"KA CH (4)"}</definedName>
    <definedName name="fhfgh_1" localSheetId="6" hidden="1">{#N/A,#N/A,FALSE,"Umsatz CH";#N/A,#N/A,FALSE,"ER CH";#N/A,#N/A,FALSE,"EA CH (2) ";#N/A,#N/A,FALSE,"EA CH";#N/A,#N/A,FALSE,"EA CH (3) ";#N/A,#N/A,FALSE,"EA CH (4)";#N/A,#N/A,FALSE,"KA CH";#N/A,#N/A,FALSE,"KA CH  (2)";#N/A,#N/A,FALSE,"KA CH  (3)";#N/A,#N/A,FALSE,"KA CH (4)"}</definedName>
    <definedName name="fhfgh_1" hidden="1">{#N/A,#N/A,FALSE,"Umsatz CH";#N/A,#N/A,FALSE,"ER CH";#N/A,#N/A,FALSE,"EA CH (2) ";#N/A,#N/A,FALSE,"EA CH";#N/A,#N/A,FALSE,"EA CH (3) ";#N/A,#N/A,FALSE,"EA CH (4)";#N/A,#N/A,FALSE,"KA CH";#N/A,#N/A,FALSE,"KA CH  (2)";#N/A,#N/A,FALSE,"KA CH  (3)";#N/A,#N/A,FALSE,"KA CH (4)"}</definedName>
    <definedName name="fhfgh_1_1" localSheetId="0" hidden="1">{#N/A,#N/A,FALSE,"Umsatz CH";#N/A,#N/A,FALSE,"ER CH";#N/A,#N/A,FALSE,"EA CH (2) ";#N/A,#N/A,FALSE,"EA CH";#N/A,#N/A,FALSE,"EA CH (3) ";#N/A,#N/A,FALSE,"EA CH (4)";#N/A,#N/A,FALSE,"KA CH";#N/A,#N/A,FALSE,"KA CH  (2)";#N/A,#N/A,FALSE,"KA CH  (3)";#N/A,#N/A,FALSE,"KA CH (4)"}</definedName>
    <definedName name="fhfgh_1_1" localSheetId="6" hidden="1">{#N/A,#N/A,FALSE,"Umsatz CH";#N/A,#N/A,FALSE,"ER CH";#N/A,#N/A,FALSE,"EA CH (2) ";#N/A,#N/A,FALSE,"EA CH";#N/A,#N/A,FALSE,"EA CH (3) ";#N/A,#N/A,FALSE,"EA CH (4)";#N/A,#N/A,FALSE,"KA CH";#N/A,#N/A,FALSE,"KA CH  (2)";#N/A,#N/A,FALSE,"KA CH  (3)";#N/A,#N/A,FALSE,"KA CH (4)"}</definedName>
    <definedName name="fhfgh_1_1" hidden="1">{#N/A,#N/A,FALSE,"Umsatz CH";#N/A,#N/A,FALSE,"ER CH";#N/A,#N/A,FALSE,"EA CH (2) ";#N/A,#N/A,FALSE,"EA CH";#N/A,#N/A,FALSE,"EA CH (3) ";#N/A,#N/A,FALSE,"EA CH (4)";#N/A,#N/A,FALSE,"KA CH";#N/A,#N/A,FALSE,"KA CH  (2)";#N/A,#N/A,FALSE,"KA CH  (3)";#N/A,#N/A,FALSE,"KA CH (4)"}</definedName>
    <definedName name="fhfgh_2" localSheetId="0" hidden="1">{#N/A,#N/A,FALSE,"Umsatz CH";#N/A,#N/A,FALSE,"ER CH";#N/A,#N/A,FALSE,"EA CH (2) ";#N/A,#N/A,FALSE,"EA CH";#N/A,#N/A,FALSE,"EA CH (3) ";#N/A,#N/A,FALSE,"EA CH (4)";#N/A,#N/A,FALSE,"KA CH";#N/A,#N/A,FALSE,"KA CH  (2)";#N/A,#N/A,FALSE,"KA CH  (3)";#N/A,#N/A,FALSE,"KA CH (4)"}</definedName>
    <definedName name="fhfgh_2" localSheetId="6" hidden="1">{#N/A,#N/A,FALSE,"Umsatz CH";#N/A,#N/A,FALSE,"ER CH";#N/A,#N/A,FALSE,"EA CH (2) ";#N/A,#N/A,FALSE,"EA CH";#N/A,#N/A,FALSE,"EA CH (3) ";#N/A,#N/A,FALSE,"EA CH (4)";#N/A,#N/A,FALSE,"KA CH";#N/A,#N/A,FALSE,"KA CH  (2)";#N/A,#N/A,FALSE,"KA CH  (3)";#N/A,#N/A,FALSE,"KA CH (4)"}</definedName>
    <definedName name="fhfgh_2" hidden="1">{#N/A,#N/A,FALSE,"Umsatz CH";#N/A,#N/A,FALSE,"ER CH";#N/A,#N/A,FALSE,"EA CH (2) ";#N/A,#N/A,FALSE,"EA CH";#N/A,#N/A,FALSE,"EA CH (3) ";#N/A,#N/A,FALSE,"EA CH (4)";#N/A,#N/A,FALSE,"KA CH";#N/A,#N/A,FALSE,"KA CH  (2)";#N/A,#N/A,FALSE,"KA CH  (3)";#N/A,#N/A,FALSE,"KA CH (4)"}</definedName>
    <definedName name="fhfgh_3" localSheetId="0" hidden="1">{#N/A,#N/A,FALSE,"Umsatz CH";#N/A,#N/A,FALSE,"ER CH";#N/A,#N/A,FALSE,"EA CH (2) ";#N/A,#N/A,FALSE,"EA CH";#N/A,#N/A,FALSE,"EA CH (3) ";#N/A,#N/A,FALSE,"EA CH (4)";#N/A,#N/A,FALSE,"KA CH";#N/A,#N/A,FALSE,"KA CH  (2)";#N/A,#N/A,FALSE,"KA CH  (3)";#N/A,#N/A,FALSE,"KA CH (4)"}</definedName>
    <definedName name="fhfgh_3" localSheetId="6" hidden="1">{#N/A,#N/A,FALSE,"Umsatz CH";#N/A,#N/A,FALSE,"ER CH";#N/A,#N/A,FALSE,"EA CH (2) ";#N/A,#N/A,FALSE,"EA CH";#N/A,#N/A,FALSE,"EA CH (3) ";#N/A,#N/A,FALSE,"EA CH (4)";#N/A,#N/A,FALSE,"KA CH";#N/A,#N/A,FALSE,"KA CH  (2)";#N/A,#N/A,FALSE,"KA CH  (3)";#N/A,#N/A,FALSE,"KA CH (4)"}</definedName>
    <definedName name="fhfgh_3" hidden="1">{#N/A,#N/A,FALSE,"Umsatz CH";#N/A,#N/A,FALSE,"ER CH";#N/A,#N/A,FALSE,"EA CH (2) ";#N/A,#N/A,FALSE,"EA CH";#N/A,#N/A,FALSE,"EA CH (3) ";#N/A,#N/A,FALSE,"EA CH (4)";#N/A,#N/A,FALSE,"KA CH";#N/A,#N/A,FALSE,"KA CH  (2)";#N/A,#N/A,FALSE,"KA CH  (3)";#N/A,#N/A,FALSE,"KA CH (4)"}</definedName>
    <definedName name="fhfgh_4" localSheetId="0" hidden="1">{#N/A,#N/A,FALSE,"Umsatz CH";#N/A,#N/A,FALSE,"ER CH";#N/A,#N/A,FALSE,"EA CH (2) ";#N/A,#N/A,FALSE,"EA CH";#N/A,#N/A,FALSE,"EA CH (3) ";#N/A,#N/A,FALSE,"EA CH (4)";#N/A,#N/A,FALSE,"KA CH";#N/A,#N/A,FALSE,"KA CH  (2)";#N/A,#N/A,FALSE,"KA CH  (3)";#N/A,#N/A,FALSE,"KA CH (4)"}</definedName>
    <definedName name="fhfgh_4" localSheetId="6" hidden="1">{#N/A,#N/A,FALSE,"Umsatz CH";#N/A,#N/A,FALSE,"ER CH";#N/A,#N/A,FALSE,"EA CH (2) ";#N/A,#N/A,FALSE,"EA CH";#N/A,#N/A,FALSE,"EA CH (3) ";#N/A,#N/A,FALSE,"EA CH (4)";#N/A,#N/A,FALSE,"KA CH";#N/A,#N/A,FALSE,"KA CH  (2)";#N/A,#N/A,FALSE,"KA CH  (3)";#N/A,#N/A,FALSE,"KA CH (4)"}</definedName>
    <definedName name="fhfgh_4" hidden="1">{#N/A,#N/A,FALSE,"Umsatz CH";#N/A,#N/A,FALSE,"ER CH";#N/A,#N/A,FALSE,"EA CH (2) ";#N/A,#N/A,FALSE,"EA CH";#N/A,#N/A,FALSE,"EA CH (3) ";#N/A,#N/A,FALSE,"EA CH (4)";#N/A,#N/A,FALSE,"KA CH";#N/A,#N/A,FALSE,"KA CH  (2)";#N/A,#N/A,FALSE,"KA CH  (3)";#N/A,#N/A,FALSE,"KA CH (4)"}</definedName>
    <definedName name="fhfgh_5" localSheetId="0" hidden="1">{#N/A,#N/A,FALSE,"Umsatz CH";#N/A,#N/A,FALSE,"ER CH";#N/A,#N/A,FALSE,"EA CH (2) ";#N/A,#N/A,FALSE,"EA CH";#N/A,#N/A,FALSE,"EA CH (3) ";#N/A,#N/A,FALSE,"EA CH (4)";#N/A,#N/A,FALSE,"KA CH";#N/A,#N/A,FALSE,"KA CH  (2)";#N/A,#N/A,FALSE,"KA CH  (3)";#N/A,#N/A,FALSE,"KA CH (4)"}</definedName>
    <definedName name="fhfgh_5" localSheetId="6" hidden="1">{#N/A,#N/A,FALSE,"Umsatz CH";#N/A,#N/A,FALSE,"ER CH";#N/A,#N/A,FALSE,"EA CH (2) ";#N/A,#N/A,FALSE,"EA CH";#N/A,#N/A,FALSE,"EA CH (3) ";#N/A,#N/A,FALSE,"EA CH (4)";#N/A,#N/A,FALSE,"KA CH";#N/A,#N/A,FALSE,"KA CH  (2)";#N/A,#N/A,FALSE,"KA CH  (3)";#N/A,#N/A,FALSE,"KA CH (4)"}</definedName>
    <definedName name="fhfgh_5" hidden="1">{#N/A,#N/A,FALSE,"Umsatz CH";#N/A,#N/A,FALSE,"ER CH";#N/A,#N/A,FALSE,"EA CH (2) ";#N/A,#N/A,FALSE,"EA CH";#N/A,#N/A,FALSE,"EA CH (3) ";#N/A,#N/A,FALSE,"EA CH (4)";#N/A,#N/A,FALSE,"KA CH";#N/A,#N/A,FALSE,"KA CH  (2)";#N/A,#N/A,FALSE,"KA CH  (3)";#N/A,#N/A,FALSE,"KA CH (4)"}</definedName>
    <definedName name="fhfghfghfgh" localSheetId="0" hidden="1">{"equity comps",#N/A,FALSE,"CS Comps";"equity comps",#N/A,FALSE,"PS Comps";"equity comps",#N/A,FALSE,"GIC_Comps";"equity comps",#N/A,FALSE,"GIC2_Comps";"debt comps",#N/A,FALSE,"CS Comps";"debt comps",#N/A,FALSE,"PS Comps";"debt comps",#N/A,FALSE,"GIC_Comps";"debt comps",#N/A,FALSE,"GIC2_Comps"}</definedName>
    <definedName name="fhfghfghfgh" localSheetId="6" hidden="1">{"equity comps",#N/A,FALSE,"CS Comps";"equity comps",#N/A,FALSE,"PS Comps";"equity comps",#N/A,FALSE,"GIC_Comps";"equity comps",#N/A,FALSE,"GIC2_Comps";"debt comps",#N/A,FALSE,"CS Comps";"debt comps",#N/A,FALSE,"PS Comps";"debt comps",#N/A,FALSE,"GIC_Comps";"debt comps",#N/A,FALSE,"GIC2_Comps"}</definedName>
    <definedName name="fhfghfghfgh" hidden="1">{"equity comps",#N/A,FALSE,"CS Comps";"equity comps",#N/A,FALSE,"PS Comps";"equity comps",#N/A,FALSE,"GIC_Comps";"equity comps",#N/A,FALSE,"GIC2_Comps";"debt comps",#N/A,FALSE,"CS Comps";"debt comps",#N/A,FALSE,"PS Comps";"debt comps",#N/A,FALSE,"GIC_Comps";"debt comps",#N/A,FALSE,"GIC2_Comps"}</definedName>
    <definedName name="fhfhfgh" localSheetId="0" hidden="1">{"hiden",#N/A,FALSE,"14";"hidden",#N/A,FALSE,"16";"hidden",#N/A,FALSE,"18";"hidden",#N/A,FALSE,"20"}</definedName>
    <definedName name="fhfhfgh" localSheetId="6" hidden="1">{"hiden",#N/A,FALSE,"14";"hidden",#N/A,FALSE,"16";"hidden",#N/A,FALSE,"18";"hidden",#N/A,FALSE,"20"}</definedName>
    <definedName name="fhfhfgh" hidden="1">{"hiden",#N/A,FALSE,"14";"hidden",#N/A,FALSE,"16";"hidden",#N/A,FALSE,"18";"hidden",#N/A,FALSE,"20"}</definedName>
    <definedName name="fhfhh" localSheetId="0" hidden="1">{#N/A,#N/A,FALSE,"Umsatz CH";#N/A,#N/A,FALSE,"ER CH";#N/A,#N/A,FALSE,"EA CH (2) ";#N/A,#N/A,FALSE,"EA CH";#N/A,#N/A,FALSE,"EA CH (3) ";#N/A,#N/A,FALSE,"EA CH (4)";#N/A,#N/A,FALSE,"KA CH";#N/A,#N/A,FALSE,"KA CH  (2)";#N/A,#N/A,FALSE,"KA CH  (3)";#N/A,#N/A,FALSE,"KA CH (4)"}</definedName>
    <definedName name="fhfhh" localSheetId="6" hidden="1">{#N/A,#N/A,FALSE,"Umsatz CH";#N/A,#N/A,FALSE,"ER CH";#N/A,#N/A,FALSE,"EA CH (2) ";#N/A,#N/A,FALSE,"EA CH";#N/A,#N/A,FALSE,"EA CH (3) ";#N/A,#N/A,FALSE,"EA CH (4)";#N/A,#N/A,FALSE,"KA CH";#N/A,#N/A,FALSE,"KA CH  (2)";#N/A,#N/A,FALSE,"KA CH  (3)";#N/A,#N/A,FALSE,"KA CH (4)"}</definedName>
    <definedName name="fhfhh" hidden="1">{#N/A,#N/A,FALSE,"Umsatz CH";#N/A,#N/A,FALSE,"ER CH";#N/A,#N/A,FALSE,"EA CH (2) ";#N/A,#N/A,FALSE,"EA CH";#N/A,#N/A,FALSE,"EA CH (3) ";#N/A,#N/A,FALSE,"EA CH (4)";#N/A,#N/A,FALSE,"KA CH";#N/A,#N/A,FALSE,"KA CH  (2)";#N/A,#N/A,FALSE,"KA CH  (3)";#N/A,#N/A,FALSE,"KA CH (4)"}</definedName>
    <definedName name="fhfhh_1" localSheetId="0" hidden="1">{#N/A,#N/A,FALSE,"Umsatz CH";#N/A,#N/A,FALSE,"ER CH";#N/A,#N/A,FALSE,"EA CH (2) ";#N/A,#N/A,FALSE,"EA CH";#N/A,#N/A,FALSE,"EA CH (3) ";#N/A,#N/A,FALSE,"EA CH (4)";#N/A,#N/A,FALSE,"KA CH";#N/A,#N/A,FALSE,"KA CH  (2)";#N/A,#N/A,FALSE,"KA CH  (3)";#N/A,#N/A,FALSE,"KA CH (4)"}</definedName>
    <definedName name="fhfhh_1" localSheetId="6" hidden="1">{#N/A,#N/A,FALSE,"Umsatz CH";#N/A,#N/A,FALSE,"ER CH";#N/A,#N/A,FALSE,"EA CH (2) ";#N/A,#N/A,FALSE,"EA CH";#N/A,#N/A,FALSE,"EA CH (3) ";#N/A,#N/A,FALSE,"EA CH (4)";#N/A,#N/A,FALSE,"KA CH";#N/A,#N/A,FALSE,"KA CH  (2)";#N/A,#N/A,FALSE,"KA CH  (3)";#N/A,#N/A,FALSE,"KA CH (4)"}</definedName>
    <definedName name="fhfhh_1" hidden="1">{#N/A,#N/A,FALSE,"Umsatz CH";#N/A,#N/A,FALSE,"ER CH";#N/A,#N/A,FALSE,"EA CH (2) ";#N/A,#N/A,FALSE,"EA CH";#N/A,#N/A,FALSE,"EA CH (3) ";#N/A,#N/A,FALSE,"EA CH (4)";#N/A,#N/A,FALSE,"KA CH";#N/A,#N/A,FALSE,"KA CH  (2)";#N/A,#N/A,FALSE,"KA CH  (3)";#N/A,#N/A,FALSE,"KA CH (4)"}</definedName>
    <definedName name="fhfhh_1_1" localSheetId="0" hidden="1">{#N/A,#N/A,FALSE,"Umsatz CH";#N/A,#N/A,FALSE,"ER CH";#N/A,#N/A,FALSE,"EA CH (2) ";#N/A,#N/A,FALSE,"EA CH";#N/A,#N/A,FALSE,"EA CH (3) ";#N/A,#N/A,FALSE,"EA CH (4)";#N/A,#N/A,FALSE,"KA CH";#N/A,#N/A,FALSE,"KA CH  (2)";#N/A,#N/A,FALSE,"KA CH  (3)";#N/A,#N/A,FALSE,"KA CH (4)"}</definedName>
    <definedName name="fhfhh_1_1" localSheetId="6" hidden="1">{#N/A,#N/A,FALSE,"Umsatz CH";#N/A,#N/A,FALSE,"ER CH";#N/A,#N/A,FALSE,"EA CH (2) ";#N/A,#N/A,FALSE,"EA CH";#N/A,#N/A,FALSE,"EA CH (3) ";#N/A,#N/A,FALSE,"EA CH (4)";#N/A,#N/A,FALSE,"KA CH";#N/A,#N/A,FALSE,"KA CH  (2)";#N/A,#N/A,FALSE,"KA CH  (3)";#N/A,#N/A,FALSE,"KA CH (4)"}</definedName>
    <definedName name="fhfhh_1_1" hidden="1">{#N/A,#N/A,FALSE,"Umsatz CH";#N/A,#N/A,FALSE,"ER CH";#N/A,#N/A,FALSE,"EA CH (2) ";#N/A,#N/A,FALSE,"EA CH";#N/A,#N/A,FALSE,"EA CH (3) ";#N/A,#N/A,FALSE,"EA CH (4)";#N/A,#N/A,FALSE,"KA CH";#N/A,#N/A,FALSE,"KA CH  (2)";#N/A,#N/A,FALSE,"KA CH  (3)";#N/A,#N/A,FALSE,"KA CH (4)"}</definedName>
    <definedName name="fhfhh_2" localSheetId="0" hidden="1">{#N/A,#N/A,FALSE,"Umsatz CH";#N/A,#N/A,FALSE,"ER CH";#N/A,#N/A,FALSE,"EA CH (2) ";#N/A,#N/A,FALSE,"EA CH";#N/A,#N/A,FALSE,"EA CH (3) ";#N/A,#N/A,FALSE,"EA CH (4)";#N/A,#N/A,FALSE,"KA CH";#N/A,#N/A,FALSE,"KA CH  (2)";#N/A,#N/A,FALSE,"KA CH  (3)";#N/A,#N/A,FALSE,"KA CH (4)"}</definedName>
    <definedName name="fhfhh_2" localSheetId="6" hidden="1">{#N/A,#N/A,FALSE,"Umsatz CH";#N/A,#N/A,FALSE,"ER CH";#N/A,#N/A,FALSE,"EA CH (2) ";#N/A,#N/A,FALSE,"EA CH";#N/A,#N/A,FALSE,"EA CH (3) ";#N/A,#N/A,FALSE,"EA CH (4)";#N/A,#N/A,FALSE,"KA CH";#N/A,#N/A,FALSE,"KA CH  (2)";#N/A,#N/A,FALSE,"KA CH  (3)";#N/A,#N/A,FALSE,"KA CH (4)"}</definedName>
    <definedName name="fhfhh_2" hidden="1">{#N/A,#N/A,FALSE,"Umsatz CH";#N/A,#N/A,FALSE,"ER CH";#N/A,#N/A,FALSE,"EA CH (2) ";#N/A,#N/A,FALSE,"EA CH";#N/A,#N/A,FALSE,"EA CH (3) ";#N/A,#N/A,FALSE,"EA CH (4)";#N/A,#N/A,FALSE,"KA CH";#N/A,#N/A,FALSE,"KA CH  (2)";#N/A,#N/A,FALSE,"KA CH  (3)";#N/A,#N/A,FALSE,"KA CH (4)"}</definedName>
    <definedName name="fhfhh_3" localSheetId="0" hidden="1">{#N/A,#N/A,FALSE,"Umsatz CH";#N/A,#N/A,FALSE,"ER CH";#N/A,#N/A,FALSE,"EA CH (2) ";#N/A,#N/A,FALSE,"EA CH";#N/A,#N/A,FALSE,"EA CH (3) ";#N/A,#N/A,FALSE,"EA CH (4)";#N/A,#N/A,FALSE,"KA CH";#N/A,#N/A,FALSE,"KA CH  (2)";#N/A,#N/A,FALSE,"KA CH  (3)";#N/A,#N/A,FALSE,"KA CH (4)"}</definedName>
    <definedName name="fhfhh_3" localSheetId="6" hidden="1">{#N/A,#N/A,FALSE,"Umsatz CH";#N/A,#N/A,FALSE,"ER CH";#N/A,#N/A,FALSE,"EA CH (2) ";#N/A,#N/A,FALSE,"EA CH";#N/A,#N/A,FALSE,"EA CH (3) ";#N/A,#N/A,FALSE,"EA CH (4)";#N/A,#N/A,FALSE,"KA CH";#N/A,#N/A,FALSE,"KA CH  (2)";#N/A,#N/A,FALSE,"KA CH  (3)";#N/A,#N/A,FALSE,"KA CH (4)"}</definedName>
    <definedName name="fhfhh_3" hidden="1">{#N/A,#N/A,FALSE,"Umsatz CH";#N/A,#N/A,FALSE,"ER CH";#N/A,#N/A,FALSE,"EA CH (2) ";#N/A,#N/A,FALSE,"EA CH";#N/A,#N/A,FALSE,"EA CH (3) ";#N/A,#N/A,FALSE,"EA CH (4)";#N/A,#N/A,FALSE,"KA CH";#N/A,#N/A,FALSE,"KA CH  (2)";#N/A,#N/A,FALSE,"KA CH  (3)";#N/A,#N/A,FALSE,"KA CH (4)"}</definedName>
    <definedName name="fhfhh_4" localSheetId="0" hidden="1">{#N/A,#N/A,FALSE,"Umsatz CH";#N/A,#N/A,FALSE,"ER CH";#N/A,#N/A,FALSE,"EA CH (2) ";#N/A,#N/A,FALSE,"EA CH";#N/A,#N/A,FALSE,"EA CH (3) ";#N/A,#N/A,FALSE,"EA CH (4)";#N/A,#N/A,FALSE,"KA CH";#N/A,#N/A,FALSE,"KA CH  (2)";#N/A,#N/A,FALSE,"KA CH  (3)";#N/A,#N/A,FALSE,"KA CH (4)"}</definedName>
    <definedName name="fhfhh_4" localSheetId="6" hidden="1">{#N/A,#N/A,FALSE,"Umsatz CH";#N/A,#N/A,FALSE,"ER CH";#N/A,#N/A,FALSE,"EA CH (2) ";#N/A,#N/A,FALSE,"EA CH";#N/A,#N/A,FALSE,"EA CH (3) ";#N/A,#N/A,FALSE,"EA CH (4)";#N/A,#N/A,FALSE,"KA CH";#N/A,#N/A,FALSE,"KA CH  (2)";#N/A,#N/A,FALSE,"KA CH  (3)";#N/A,#N/A,FALSE,"KA CH (4)"}</definedName>
    <definedName name="fhfhh_4" hidden="1">{#N/A,#N/A,FALSE,"Umsatz CH";#N/A,#N/A,FALSE,"ER CH";#N/A,#N/A,FALSE,"EA CH (2) ";#N/A,#N/A,FALSE,"EA CH";#N/A,#N/A,FALSE,"EA CH (3) ";#N/A,#N/A,FALSE,"EA CH (4)";#N/A,#N/A,FALSE,"KA CH";#N/A,#N/A,FALSE,"KA CH  (2)";#N/A,#N/A,FALSE,"KA CH  (3)";#N/A,#N/A,FALSE,"KA CH (4)"}</definedName>
    <definedName name="fhfhh_5" localSheetId="0" hidden="1">{#N/A,#N/A,FALSE,"Umsatz CH";#N/A,#N/A,FALSE,"ER CH";#N/A,#N/A,FALSE,"EA CH (2) ";#N/A,#N/A,FALSE,"EA CH";#N/A,#N/A,FALSE,"EA CH (3) ";#N/A,#N/A,FALSE,"EA CH (4)";#N/A,#N/A,FALSE,"KA CH";#N/A,#N/A,FALSE,"KA CH  (2)";#N/A,#N/A,FALSE,"KA CH  (3)";#N/A,#N/A,FALSE,"KA CH (4)"}</definedName>
    <definedName name="fhfhh_5" localSheetId="6" hidden="1">{#N/A,#N/A,FALSE,"Umsatz CH";#N/A,#N/A,FALSE,"ER CH";#N/A,#N/A,FALSE,"EA CH (2) ";#N/A,#N/A,FALSE,"EA CH";#N/A,#N/A,FALSE,"EA CH (3) ";#N/A,#N/A,FALSE,"EA CH (4)";#N/A,#N/A,FALSE,"KA CH";#N/A,#N/A,FALSE,"KA CH  (2)";#N/A,#N/A,FALSE,"KA CH  (3)";#N/A,#N/A,FALSE,"KA CH (4)"}</definedName>
    <definedName name="fhfhh_5" hidden="1">{#N/A,#N/A,FALSE,"Umsatz CH";#N/A,#N/A,FALSE,"ER CH";#N/A,#N/A,FALSE,"EA CH (2) ";#N/A,#N/A,FALSE,"EA CH";#N/A,#N/A,FALSE,"EA CH (3) ";#N/A,#N/A,FALSE,"EA CH (4)";#N/A,#N/A,FALSE,"KA CH";#N/A,#N/A,FALSE,"KA CH  (2)";#N/A,#N/A,FALSE,"KA CH  (3)";#N/A,#N/A,FALSE,"KA CH (4)"}</definedName>
    <definedName name="fhlò" localSheetId="0" hidden="1">{"Five Year",#N/A,FALSE,"Summary (2)";"Month 1 and Years",#N/A,FALSE,"Cash Budget"}</definedName>
    <definedName name="fhlò" localSheetId="6" hidden="1">{"Five Year",#N/A,FALSE,"Summary (2)";"Month 1 and Years",#N/A,FALSE,"Cash Budget"}</definedName>
    <definedName name="fhlò" hidden="1">{"Five Year",#N/A,FALSE,"Summary (2)";"Month 1 and Years",#N/A,FALSE,"Cash Budget"}</definedName>
    <definedName name="fhlò_1" localSheetId="0" hidden="1">{"Five Year",#N/A,FALSE,"Summary (2)";"Month 1 and Years",#N/A,FALSE,"Cash Budget"}</definedName>
    <definedName name="fhlò_1" localSheetId="6" hidden="1">{"Five Year",#N/A,FALSE,"Summary (2)";"Month 1 and Years",#N/A,FALSE,"Cash Budget"}</definedName>
    <definedName name="fhlò_1" hidden="1">{"Five Year",#N/A,FALSE,"Summary (2)";"Month 1 and Years",#N/A,FALSE,"Cash Budget"}</definedName>
    <definedName name="fhrtz" localSheetId="0" hidden="1">{#N/A,#N/A,FALSE,"PMW Gruppe 00_99";#N/A,#N/A,FALSE,"PMW KG 00_99";#N/A,#N/A,FALSE,"PMW Inc. 00_99";#N/A,#N/A,FALSE,"PMW VTECH 00_99";#N/A,#N/A,FALSE,"PMW Thail. 00_99";#N/A,#N/A,FALSE,"PMW Canada 00_99";#N/A,#N/A,FALSE,"Währungsabw. 00_99"}</definedName>
    <definedName name="fhrtz" localSheetId="6" hidden="1">{#N/A,#N/A,FALSE,"PMW Gruppe 00_99";#N/A,#N/A,FALSE,"PMW KG 00_99";#N/A,#N/A,FALSE,"PMW Inc. 00_99";#N/A,#N/A,FALSE,"PMW VTECH 00_99";#N/A,#N/A,FALSE,"PMW Thail. 00_99";#N/A,#N/A,FALSE,"PMW Canada 00_99";#N/A,#N/A,FALSE,"Währungsabw. 00_99"}</definedName>
    <definedName name="fhrtz" hidden="1">{#N/A,#N/A,FALSE,"PMW Gruppe 00_99";#N/A,#N/A,FALSE,"PMW KG 00_99";#N/A,#N/A,FALSE,"PMW Inc. 00_99";#N/A,#N/A,FALSE,"PMW VTECH 00_99";#N/A,#N/A,FALSE,"PMW Thail. 00_99";#N/A,#N/A,FALSE,"PMW Canada 00_99";#N/A,#N/A,FALSE,"Währungsabw. 00_99"}</definedName>
    <definedName name="fhrtz_1" localSheetId="0" hidden="1">{#N/A,#N/A,FALSE,"PMW Gruppe 00_99";#N/A,#N/A,FALSE,"PMW KG 00_99";#N/A,#N/A,FALSE,"PMW Inc. 00_99";#N/A,#N/A,FALSE,"PMW VTECH 00_99";#N/A,#N/A,FALSE,"PMW Thail. 00_99";#N/A,#N/A,FALSE,"PMW Canada 00_99";#N/A,#N/A,FALSE,"Währungsabw. 00_99"}</definedName>
    <definedName name="fhrtz_1" localSheetId="6" hidden="1">{#N/A,#N/A,FALSE,"PMW Gruppe 00_99";#N/A,#N/A,FALSE,"PMW KG 00_99";#N/A,#N/A,FALSE,"PMW Inc. 00_99";#N/A,#N/A,FALSE,"PMW VTECH 00_99";#N/A,#N/A,FALSE,"PMW Thail. 00_99";#N/A,#N/A,FALSE,"PMW Canada 00_99";#N/A,#N/A,FALSE,"Währungsabw. 00_99"}</definedName>
    <definedName name="fhrtz_1" hidden="1">{#N/A,#N/A,FALSE,"PMW Gruppe 00_99";#N/A,#N/A,FALSE,"PMW KG 00_99";#N/A,#N/A,FALSE,"PMW Inc. 00_99";#N/A,#N/A,FALSE,"PMW VTECH 00_99";#N/A,#N/A,FALSE,"PMW Thail. 00_99";#N/A,#N/A,FALSE,"PMW Canada 00_99";#N/A,#N/A,FALSE,"Währungsabw. 00_99"}</definedName>
    <definedName name="fhrtz_1_1" localSheetId="0" hidden="1">{#N/A,#N/A,FALSE,"PMW Gruppe 00_99";#N/A,#N/A,FALSE,"PMW KG 00_99";#N/A,#N/A,FALSE,"PMW Inc. 00_99";#N/A,#N/A,FALSE,"PMW VTECH 00_99";#N/A,#N/A,FALSE,"PMW Thail. 00_99";#N/A,#N/A,FALSE,"PMW Canada 00_99";#N/A,#N/A,FALSE,"Währungsabw. 00_99"}</definedName>
    <definedName name="fhrtz_1_1" localSheetId="6" hidden="1">{#N/A,#N/A,FALSE,"PMW Gruppe 00_99";#N/A,#N/A,FALSE,"PMW KG 00_99";#N/A,#N/A,FALSE,"PMW Inc. 00_99";#N/A,#N/A,FALSE,"PMW VTECH 00_99";#N/A,#N/A,FALSE,"PMW Thail. 00_99";#N/A,#N/A,FALSE,"PMW Canada 00_99";#N/A,#N/A,FALSE,"Währungsabw. 00_99"}</definedName>
    <definedName name="fhrtz_1_1" hidden="1">{#N/A,#N/A,FALSE,"PMW Gruppe 00_99";#N/A,#N/A,FALSE,"PMW KG 00_99";#N/A,#N/A,FALSE,"PMW Inc. 00_99";#N/A,#N/A,FALSE,"PMW VTECH 00_99";#N/A,#N/A,FALSE,"PMW Thail. 00_99";#N/A,#N/A,FALSE,"PMW Canada 00_99";#N/A,#N/A,FALSE,"Währungsabw. 00_99"}</definedName>
    <definedName name="fhrtz_2" localSheetId="0" hidden="1">{#N/A,#N/A,FALSE,"PMW Gruppe 00_99";#N/A,#N/A,FALSE,"PMW KG 00_99";#N/A,#N/A,FALSE,"PMW Inc. 00_99";#N/A,#N/A,FALSE,"PMW VTECH 00_99";#N/A,#N/A,FALSE,"PMW Thail. 00_99";#N/A,#N/A,FALSE,"PMW Canada 00_99";#N/A,#N/A,FALSE,"Währungsabw. 00_99"}</definedName>
    <definedName name="fhrtz_2" localSheetId="6" hidden="1">{#N/A,#N/A,FALSE,"PMW Gruppe 00_99";#N/A,#N/A,FALSE,"PMW KG 00_99";#N/A,#N/A,FALSE,"PMW Inc. 00_99";#N/A,#N/A,FALSE,"PMW VTECH 00_99";#N/A,#N/A,FALSE,"PMW Thail. 00_99";#N/A,#N/A,FALSE,"PMW Canada 00_99";#N/A,#N/A,FALSE,"Währungsabw. 00_99"}</definedName>
    <definedName name="fhrtz_2" hidden="1">{#N/A,#N/A,FALSE,"PMW Gruppe 00_99";#N/A,#N/A,FALSE,"PMW KG 00_99";#N/A,#N/A,FALSE,"PMW Inc. 00_99";#N/A,#N/A,FALSE,"PMW VTECH 00_99";#N/A,#N/A,FALSE,"PMW Thail. 00_99";#N/A,#N/A,FALSE,"PMW Canada 00_99";#N/A,#N/A,FALSE,"Währungsabw. 00_99"}</definedName>
    <definedName name="fhrtz_3" localSheetId="0" hidden="1">{#N/A,#N/A,FALSE,"PMW Gruppe 00_99";#N/A,#N/A,FALSE,"PMW KG 00_99";#N/A,#N/A,FALSE,"PMW Inc. 00_99";#N/A,#N/A,FALSE,"PMW VTECH 00_99";#N/A,#N/A,FALSE,"PMW Thail. 00_99";#N/A,#N/A,FALSE,"PMW Canada 00_99";#N/A,#N/A,FALSE,"Währungsabw. 00_99"}</definedName>
    <definedName name="fhrtz_3" localSheetId="6" hidden="1">{#N/A,#N/A,FALSE,"PMW Gruppe 00_99";#N/A,#N/A,FALSE,"PMW KG 00_99";#N/A,#N/A,FALSE,"PMW Inc. 00_99";#N/A,#N/A,FALSE,"PMW VTECH 00_99";#N/A,#N/A,FALSE,"PMW Thail. 00_99";#N/A,#N/A,FALSE,"PMW Canada 00_99";#N/A,#N/A,FALSE,"Währungsabw. 00_99"}</definedName>
    <definedName name="fhrtz_3" hidden="1">{#N/A,#N/A,FALSE,"PMW Gruppe 00_99";#N/A,#N/A,FALSE,"PMW KG 00_99";#N/A,#N/A,FALSE,"PMW Inc. 00_99";#N/A,#N/A,FALSE,"PMW VTECH 00_99";#N/A,#N/A,FALSE,"PMW Thail. 00_99";#N/A,#N/A,FALSE,"PMW Canada 00_99";#N/A,#N/A,FALSE,"Währungsabw. 00_99"}</definedName>
    <definedName name="fhrtz_4" localSheetId="0" hidden="1">{#N/A,#N/A,FALSE,"PMW Gruppe 00_99";#N/A,#N/A,FALSE,"PMW KG 00_99";#N/A,#N/A,FALSE,"PMW Inc. 00_99";#N/A,#N/A,FALSE,"PMW VTECH 00_99";#N/A,#N/A,FALSE,"PMW Thail. 00_99";#N/A,#N/A,FALSE,"PMW Canada 00_99";#N/A,#N/A,FALSE,"Währungsabw. 00_99"}</definedName>
    <definedName name="fhrtz_4" localSheetId="6" hidden="1">{#N/A,#N/A,FALSE,"PMW Gruppe 00_99";#N/A,#N/A,FALSE,"PMW KG 00_99";#N/A,#N/A,FALSE,"PMW Inc. 00_99";#N/A,#N/A,FALSE,"PMW VTECH 00_99";#N/A,#N/A,FALSE,"PMW Thail. 00_99";#N/A,#N/A,FALSE,"PMW Canada 00_99";#N/A,#N/A,FALSE,"Währungsabw. 00_99"}</definedName>
    <definedName name="fhrtz_4" hidden="1">{#N/A,#N/A,FALSE,"PMW Gruppe 00_99";#N/A,#N/A,FALSE,"PMW KG 00_99";#N/A,#N/A,FALSE,"PMW Inc. 00_99";#N/A,#N/A,FALSE,"PMW VTECH 00_99";#N/A,#N/A,FALSE,"PMW Thail. 00_99";#N/A,#N/A,FALSE,"PMW Canada 00_99";#N/A,#N/A,FALSE,"Währungsabw. 00_99"}</definedName>
    <definedName name="fhrtz_5" localSheetId="0" hidden="1">{#N/A,#N/A,FALSE,"PMW Gruppe 00_99";#N/A,#N/A,FALSE,"PMW KG 00_99";#N/A,#N/A,FALSE,"PMW Inc. 00_99";#N/A,#N/A,FALSE,"PMW VTECH 00_99";#N/A,#N/A,FALSE,"PMW Thail. 00_99";#N/A,#N/A,FALSE,"PMW Canada 00_99";#N/A,#N/A,FALSE,"Währungsabw. 00_99"}</definedName>
    <definedName name="fhrtz_5" localSheetId="6" hidden="1">{#N/A,#N/A,FALSE,"PMW Gruppe 00_99";#N/A,#N/A,FALSE,"PMW KG 00_99";#N/A,#N/A,FALSE,"PMW Inc. 00_99";#N/A,#N/A,FALSE,"PMW VTECH 00_99";#N/A,#N/A,FALSE,"PMW Thail. 00_99";#N/A,#N/A,FALSE,"PMW Canada 00_99";#N/A,#N/A,FALSE,"Währungsabw. 00_99"}</definedName>
    <definedName name="fhrtz_5" hidden="1">{#N/A,#N/A,FALSE,"PMW Gruppe 00_99";#N/A,#N/A,FALSE,"PMW KG 00_99";#N/A,#N/A,FALSE,"PMW Inc. 00_99";#N/A,#N/A,FALSE,"PMW VTECH 00_99";#N/A,#N/A,FALSE,"PMW Thail. 00_99";#N/A,#N/A,FALSE,"PMW Canada 00_99";#N/A,#N/A,FALSE,"Währungsabw. 00_99"}</definedName>
    <definedName name="FID" hidden="1">"Crivas"</definedName>
    <definedName name="Fig4_2" localSheetId="0" hidden="1">{"monthly",#N/A,FALSE,"GASODEM";"qtr to yr",#N/A,FALSE,"GASODEM"}</definedName>
    <definedName name="Fig4_2" localSheetId="6" hidden="1">{"monthly",#N/A,FALSE,"GASODEM";"qtr to yr",#N/A,FALSE,"GASODEM"}</definedName>
    <definedName name="Fig4_2" hidden="1">{"monthly",#N/A,FALSE,"GASODEM";"qtr to yr",#N/A,FALSE,"GASODEM"}</definedName>
    <definedName name="fil" hidden="1">#REF!</definedName>
    <definedName name="File.Type" hidden="1">#REF!</definedName>
    <definedName name="fill" hidden="1">#REF!</definedName>
    <definedName name="Fin_exp_" localSheetId="6" hidden="1">{#N/A,#N/A,FALSE,"Scenario PivotTable"}</definedName>
    <definedName name="Fin_exp_" hidden="1">{#N/A,#N/A,FALSE,"Scenario PivotTable"}</definedName>
    <definedName name="Fin_exp__1" localSheetId="6" hidden="1">{#N/A,#N/A,FALSE,"Scenario PivotTable"}</definedName>
    <definedName name="Fin_exp__1" hidden="1">{#N/A,#N/A,FALSE,"Scenario PivotTable"}</definedName>
    <definedName name="Fin_exp__1_1" localSheetId="6" hidden="1">{#N/A,#N/A,FALSE,"Scenario PivotTable"}</definedName>
    <definedName name="Fin_exp__1_1" hidden="1">{#N/A,#N/A,FALSE,"Scenario PivotTable"}</definedName>
    <definedName name="Fin_exp__1_1_1" localSheetId="6" hidden="1">{#N/A,#N/A,FALSE,"Scenario PivotTable"}</definedName>
    <definedName name="Fin_exp__1_1_1" hidden="1">{#N/A,#N/A,FALSE,"Scenario PivotTable"}</definedName>
    <definedName name="Fin_exp__1_1_1_1" localSheetId="6" hidden="1">{#N/A,#N/A,FALSE,"Scenario PivotTable"}</definedName>
    <definedName name="Fin_exp__1_1_1_1" hidden="1">{#N/A,#N/A,FALSE,"Scenario PivotTable"}</definedName>
    <definedName name="Fin_exp__1_1_2" localSheetId="6" hidden="1">{#N/A,#N/A,FALSE,"Scenario PivotTable"}</definedName>
    <definedName name="Fin_exp__1_1_2" hidden="1">{#N/A,#N/A,FALSE,"Scenario PivotTable"}</definedName>
    <definedName name="Fin_exp__1_1_2_1" localSheetId="6" hidden="1">{#N/A,#N/A,FALSE,"Scenario PivotTable"}</definedName>
    <definedName name="Fin_exp__1_1_2_1" hidden="1">{#N/A,#N/A,FALSE,"Scenario PivotTable"}</definedName>
    <definedName name="Fin_exp__1_1_3" localSheetId="6" hidden="1">{#N/A,#N/A,FALSE,"Scenario PivotTable"}</definedName>
    <definedName name="Fin_exp__1_1_3" hidden="1">{#N/A,#N/A,FALSE,"Scenario PivotTable"}</definedName>
    <definedName name="Fin_exp__1_2" localSheetId="6" hidden="1">{#N/A,#N/A,FALSE,"Scenario PivotTable"}</definedName>
    <definedName name="Fin_exp__1_2" hidden="1">{#N/A,#N/A,FALSE,"Scenario PivotTable"}</definedName>
    <definedName name="Fin_exp__1_2_1" localSheetId="6" hidden="1">{#N/A,#N/A,FALSE,"Scenario PivotTable"}</definedName>
    <definedName name="Fin_exp__1_2_1" hidden="1">{#N/A,#N/A,FALSE,"Scenario PivotTable"}</definedName>
    <definedName name="Fin_exp__1_2_1_1" localSheetId="6" hidden="1">{#N/A,#N/A,FALSE,"Scenario PivotTable"}</definedName>
    <definedName name="Fin_exp__1_2_1_1" hidden="1">{#N/A,#N/A,FALSE,"Scenario PivotTable"}</definedName>
    <definedName name="Fin_exp__1_2_2" localSheetId="6" hidden="1">{#N/A,#N/A,FALSE,"Scenario PivotTable"}</definedName>
    <definedName name="Fin_exp__1_2_2" hidden="1">{#N/A,#N/A,FALSE,"Scenario PivotTable"}</definedName>
    <definedName name="Fin_exp__1_3" localSheetId="6" hidden="1">{#N/A,#N/A,FALSE,"Scenario PivotTable"}</definedName>
    <definedName name="Fin_exp__1_3" hidden="1">{#N/A,#N/A,FALSE,"Scenario PivotTable"}</definedName>
    <definedName name="Fin_exp__1_3_1" localSheetId="6" hidden="1">{#N/A,#N/A,FALSE,"Scenario PivotTable"}</definedName>
    <definedName name="Fin_exp__1_3_1" hidden="1">{#N/A,#N/A,FALSE,"Scenario PivotTable"}</definedName>
    <definedName name="Fin_exp__1_4" localSheetId="6" hidden="1">{#N/A,#N/A,FALSE,"Scenario PivotTable"}</definedName>
    <definedName name="Fin_exp__1_4" hidden="1">{#N/A,#N/A,FALSE,"Scenario PivotTable"}</definedName>
    <definedName name="Fin_exp__2" localSheetId="6" hidden="1">{#N/A,#N/A,FALSE,"Scenario PivotTable"}</definedName>
    <definedName name="Fin_exp__2" hidden="1">{#N/A,#N/A,FALSE,"Scenario PivotTable"}</definedName>
    <definedName name="Fin_exp__2_1" localSheetId="6" hidden="1">{#N/A,#N/A,FALSE,"Scenario PivotTable"}</definedName>
    <definedName name="Fin_exp__2_1" hidden="1">{#N/A,#N/A,FALSE,"Scenario PivotTable"}</definedName>
    <definedName name="Fin_exp__2_1_1" localSheetId="6" hidden="1">{#N/A,#N/A,FALSE,"Scenario PivotTable"}</definedName>
    <definedName name="Fin_exp__2_1_1" hidden="1">{#N/A,#N/A,FALSE,"Scenario PivotTable"}</definedName>
    <definedName name="Fin_exp__2_1_1_1" localSheetId="6" hidden="1">{#N/A,#N/A,FALSE,"Scenario PivotTable"}</definedName>
    <definedName name="Fin_exp__2_1_1_1" hidden="1">{#N/A,#N/A,FALSE,"Scenario PivotTable"}</definedName>
    <definedName name="Fin_exp__2_1_2" localSheetId="6" hidden="1">{#N/A,#N/A,FALSE,"Scenario PivotTable"}</definedName>
    <definedName name="Fin_exp__2_1_2" hidden="1">{#N/A,#N/A,FALSE,"Scenario PivotTable"}</definedName>
    <definedName name="Fin_exp__2_1_2_1" localSheetId="6" hidden="1">{#N/A,#N/A,FALSE,"Scenario PivotTable"}</definedName>
    <definedName name="Fin_exp__2_1_2_1" hidden="1">{#N/A,#N/A,FALSE,"Scenario PivotTable"}</definedName>
    <definedName name="Fin_exp__2_1_3" localSheetId="6" hidden="1">{#N/A,#N/A,FALSE,"Scenario PivotTable"}</definedName>
    <definedName name="Fin_exp__2_1_3" hidden="1">{#N/A,#N/A,FALSE,"Scenario PivotTable"}</definedName>
    <definedName name="Fin_exp__2_2" localSheetId="6" hidden="1">{#N/A,#N/A,FALSE,"Scenario PivotTable"}</definedName>
    <definedName name="Fin_exp__2_2" hidden="1">{#N/A,#N/A,FALSE,"Scenario PivotTable"}</definedName>
    <definedName name="Fin_exp__2_2_1" localSheetId="6" hidden="1">{#N/A,#N/A,FALSE,"Scenario PivotTable"}</definedName>
    <definedName name="Fin_exp__2_2_1" hidden="1">{#N/A,#N/A,FALSE,"Scenario PivotTable"}</definedName>
    <definedName name="Fin_exp__2_2_1_1" localSheetId="6" hidden="1">{#N/A,#N/A,FALSE,"Scenario PivotTable"}</definedName>
    <definedName name="Fin_exp__2_2_1_1" hidden="1">{#N/A,#N/A,FALSE,"Scenario PivotTable"}</definedName>
    <definedName name="Fin_exp__2_2_2" localSheetId="6" hidden="1">{#N/A,#N/A,FALSE,"Scenario PivotTable"}</definedName>
    <definedName name="Fin_exp__2_2_2" hidden="1">{#N/A,#N/A,FALSE,"Scenario PivotTable"}</definedName>
    <definedName name="Fin_exp__2_3" localSheetId="6" hidden="1">{#N/A,#N/A,FALSE,"Scenario PivotTable"}</definedName>
    <definedName name="Fin_exp__2_3" hidden="1">{#N/A,#N/A,FALSE,"Scenario PivotTable"}</definedName>
    <definedName name="Fin_exp__2_3_1" localSheetId="6" hidden="1">{#N/A,#N/A,FALSE,"Scenario PivotTable"}</definedName>
    <definedName name="Fin_exp__2_3_1" hidden="1">{#N/A,#N/A,FALSE,"Scenario PivotTable"}</definedName>
    <definedName name="Fin_exp__2_4" localSheetId="6" hidden="1">{#N/A,#N/A,FALSE,"Scenario PivotTable"}</definedName>
    <definedName name="Fin_exp__2_4" hidden="1">{#N/A,#N/A,FALSE,"Scenario PivotTable"}</definedName>
    <definedName name="Fin_exp__3" localSheetId="6" hidden="1">{#N/A,#N/A,FALSE,"Scenario PivotTable"}</definedName>
    <definedName name="Fin_exp__3" hidden="1">{#N/A,#N/A,FALSE,"Scenario PivotTable"}</definedName>
    <definedName name="Fin_exp__3_1" localSheetId="6" hidden="1">{#N/A,#N/A,FALSE,"Scenario PivotTable"}</definedName>
    <definedName name="Fin_exp__3_1" hidden="1">{#N/A,#N/A,FALSE,"Scenario PivotTable"}</definedName>
    <definedName name="Fin_exp__3_1_1" localSheetId="6" hidden="1">{#N/A,#N/A,FALSE,"Scenario PivotTable"}</definedName>
    <definedName name="Fin_exp__3_1_1" hidden="1">{#N/A,#N/A,FALSE,"Scenario PivotTable"}</definedName>
    <definedName name="Fin_exp__3_1_1_1" localSheetId="6" hidden="1">{#N/A,#N/A,FALSE,"Scenario PivotTable"}</definedName>
    <definedName name="Fin_exp__3_1_1_1" hidden="1">{#N/A,#N/A,FALSE,"Scenario PivotTable"}</definedName>
    <definedName name="Fin_exp__3_1_2" localSheetId="6" hidden="1">{#N/A,#N/A,FALSE,"Scenario PivotTable"}</definedName>
    <definedName name="Fin_exp__3_1_2" hidden="1">{#N/A,#N/A,FALSE,"Scenario PivotTable"}</definedName>
    <definedName name="Fin_exp__3_1_2_1" localSheetId="6" hidden="1">{#N/A,#N/A,FALSE,"Scenario PivotTable"}</definedName>
    <definedName name="Fin_exp__3_1_2_1" hidden="1">{#N/A,#N/A,FALSE,"Scenario PivotTable"}</definedName>
    <definedName name="Fin_exp__3_1_3" localSheetId="6" hidden="1">{#N/A,#N/A,FALSE,"Scenario PivotTable"}</definedName>
    <definedName name="Fin_exp__3_1_3" hidden="1">{#N/A,#N/A,FALSE,"Scenario PivotTable"}</definedName>
    <definedName name="Fin_exp__3_2" localSheetId="6" hidden="1">{#N/A,#N/A,FALSE,"Scenario PivotTable"}</definedName>
    <definedName name="Fin_exp__3_2" hidden="1">{#N/A,#N/A,FALSE,"Scenario PivotTable"}</definedName>
    <definedName name="Fin_exp__3_2_1" localSheetId="6" hidden="1">{#N/A,#N/A,FALSE,"Scenario PivotTable"}</definedName>
    <definedName name="Fin_exp__3_2_1" hidden="1">{#N/A,#N/A,FALSE,"Scenario PivotTable"}</definedName>
    <definedName name="Fin_exp__3_2_1_1" localSheetId="6" hidden="1">{#N/A,#N/A,FALSE,"Scenario PivotTable"}</definedName>
    <definedName name="Fin_exp__3_2_1_1" hidden="1">{#N/A,#N/A,FALSE,"Scenario PivotTable"}</definedName>
    <definedName name="Fin_exp__3_2_2" localSheetId="6" hidden="1">{#N/A,#N/A,FALSE,"Scenario PivotTable"}</definedName>
    <definedName name="Fin_exp__3_2_2" hidden="1">{#N/A,#N/A,FALSE,"Scenario PivotTable"}</definedName>
    <definedName name="Fin_exp__3_3" localSheetId="6" hidden="1">{#N/A,#N/A,FALSE,"Scenario PivotTable"}</definedName>
    <definedName name="Fin_exp__3_3" hidden="1">{#N/A,#N/A,FALSE,"Scenario PivotTable"}</definedName>
    <definedName name="Fin_exp__3_3_1" localSheetId="6" hidden="1">{#N/A,#N/A,FALSE,"Scenario PivotTable"}</definedName>
    <definedName name="Fin_exp__3_3_1" hidden="1">{#N/A,#N/A,FALSE,"Scenario PivotTable"}</definedName>
    <definedName name="Fin_exp__3_4" localSheetId="6" hidden="1">{#N/A,#N/A,FALSE,"Scenario PivotTable"}</definedName>
    <definedName name="Fin_exp__3_4" hidden="1">{#N/A,#N/A,FALSE,"Scenario PivotTable"}</definedName>
    <definedName name="Fin_exp__4" localSheetId="6" hidden="1">{#N/A,#N/A,FALSE,"Scenario PivotTable"}</definedName>
    <definedName name="Fin_exp__4" hidden="1">{#N/A,#N/A,FALSE,"Scenario PivotTable"}</definedName>
    <definedName name="Fin_exp__4_1" localSheetId="6" hidden="1">{#N/A,#N/A,FALSE,"Scenario PivotTable"}</definedName>
    <definedName name="Fin_exp__4_1" hidden="1">{#N/A,#N/A,FALSE,"Scenario PivotTable"}</definedName>
    <definedName name="Fin_exp__4_1_1" localSheetId="6" hidden="1">{#N/A,#N/A,FALSE,"Scenario PivotTable"}</definedName>
    <definedName name="Fin_exp__4_1_1" hidden="1">{#N/A,#N/A,FALSE,"Scenario PivotTable"}</definedName>
    <definedName name="Fin_exp__4_1_1_1" localSheetId="6" hidden="1">{#N/A,#N/A,FALSE,"Scenario PivotTable"}</definedName>
    <definedName name="Fin_exp__4_1_1_1" hidden="1">{#N/A,#N/A,FALSE,"Scenario PivotTable"}</definedName>
    <definedName name="Fin_exp__4_1_2" localSheetId="6" hidden="1">{#N/A,#N/A,FALSE,"Scenario PivotTable"}</definedName>
    <definedName name="Fin_exp__4_1_2" hidden="1">{#N/A,#N/A,FALSE,"Scenario PivotTable"}</definedName>
    <definedName name="Fin_exp__4_1_2_1" localSheetId="6" hidden="1">{#N/A,#N/A,FALSE,"Scenario PivotTable"}</definedName>
    <definedName name="Fin_exp__4_1_2_1" hidden="1">{#N/A,#N/A,FALSE,"Scenario PivotTable"}</definedName>
    <definedName name="Fin_exp__4_1_3" localSheetId="6" hidden="1">{#N/A,#N/A,FALSE,"Scenario PivotTable"}</definedName>
    <definedName name="Fin_exp__4_1_3" hidden="1">{#N/A,#N/A,FALSE,"Scenario PivotTable"}</definedName>
    <definedName name="Fin_exp__4_2" localSheetId="6" hidden="1">{#N/A,#N/A,FALSE,"Scenario PivotTable"}</definedName>
    <definedName name="Fin_exp__4_2" hidden="1">{#N/A,#N/A,FALSE,"Scenario PivotTable"}</definedName>
    <definedName name="Fin_exp__4_2_1" localSheetId="6" hidden="1">{#N/A,#N/A,FALSE,"Scenario PivotTable"}</definedName>
    <definedName name="Fin_exp__4_2_1" hidden="1">{#N/A,#N/A,FALSE,"Scenario PivotTable"}</definedName>
    <definedName name="Fin_exp__4_2_1_1" localSheetId="6" hidden="1">{#N/A,#N/A,FALSE,"Scenario PivotTable"}</definedName>
    <definedName name="Fin_exp__4_2_1_1" hidden="1">{#N/A,#N/A,FALSE,"Scenario PivotTable"}</definedName>
    <definedName name="Fin_exp__4_2_2" localSheetId="6" hidden="1">{#N/A,#N/A,FALSE,"Scenario PivotTable"}</definedName>
    <definedName name="Fin_exp__4_2_2" hidden="1">{#N/A,#N/A,FALSE,"Scenario PivotTable"}</definedName>
    <definedName name="Fin_exp__4_3" localSheetId="6" hidden="1">{#N/A,#N/A,FALSE,"Scenario PivotTable"}</definedName>
    <definedName name="Fin_exp__4_3" hidden="1">{#N/A,#N/A,FALSE,"Scenario PivotTable"}</definedName>
    <definedName name="Fin_exp__4_3_1" localSheetId="6" hidden="1">{#N/A,#N/A,FALSE,"Scenario PivotTable"}</definedName>
    <definedName name="Fin_exp__4_3_1" hidden="1">{#N/A,#N/A,FALSE,"Scenario PivotTable"}</definedName>
    <definedName name="Fin_exp__4_4" localSheetId="6" hidden="1">{#N/A,#N/A,FALSE,"Scenario PivotTable"}</definedName>
    <definedName name="Fin_exp__4_4" hidden="1">{#N/A,#N/A,FALSE,"Scenario PivotTable"}</definedName>
    <definedName name="Fin_exp__5" localSheetId="6" hidden="1">{#N/A,#N/A,FALSE,"Scenario PivotTable"}</definedName>
    <definedName name="Fin_exp__5" hidden="1">{#N/A,#N/A,FALSE,"Scenario PivotTable"}</definedName>
    <definedName name="Fin_exp__5_1" localSheetId="6" hidden="1">{#N/A,#N/A,FALSE,"Scenario PivotTable"}</definedName>
    <definedName name="Fin_exp__5_1" hidden="1">{#N/A,#N/A,FALSE,"Scenario PivotTable"}</definedName>
    <definedName name="Fin_exp__5_1_1" localSheetId="6" hidden="1">{#N/A,#N/A,FALSE,"Scenario PivotTable"}</definedName>
    <definedName name="Fin_exp__5_1_1" hidden="1">{#N/A,#N/A,FALSE,"Scenario PivotTable"}</definedName>
    <definedName name="Fin_exp__5_1_1_1" localSheetId="6" hidden="1">{#N/A,#N/A,FALSE,"Scenario PivotTable"}</definedName>
    <definedName name="Fin_exp__5_1_1_1" hidden="1">{#N/A,#N/A,FALSE,"Scenario PivotTable"}</definedName>
    <definedName name="Fin_exp__5_1_2" localSheetId="6" hidden="1">{#N/A,#N/A,FALSE,"Scenario PivotTable"}</definedName>
    <definedName name="Fin_exp__5_1_2" hidden="1">{#N/A,#N/A,FALSE,"Scenario PivotTable"}</definedName>
    <definedName name="Fin_exp__5_1_2_1" localSheetId="6" hidden="1">{#N/A,#N/A,FALSE,"Scenario PivotTable"}</definedName>
    <definedName name="Fin_exp__5_1_2_1" hidden="1">{#N/A,#N/A,FALSE,"Scenario PivotTable"}</definedName>
    <definedName name="Fin_exp__5_1_3" localSheetId="6" hidden="1">{#N/A,#N/A,FALSE,"Scenario PivotTable"}</definedName>
    <definedName name="Fin_exp__5_1_3" hidden="1">{#N/A,#N/A,FALSE,"Scenario PivotTable"}</definedName>
    <definedName name="Fin_exp__5_2" localSheetId="6" hidden="1">{#N/A,#N/A,FALSE,"Scenario PivotTable"}</definedName>
    <definedName name="Fin_exp__5_2" hidden="1">{#N/A,#N/A,FALSE,"Scenario PivotTable"}</definedName>
    <definedName name="Fin_exp__5_2_1" localSheetId="6" hidden="1">{#N/A,#N/A,FALSE,"Scenario PivotTable"}</definedName>
    <definedName name="Fin_exp__5_2_1" hidden="1">{#N/A,#N/A,FALSE,"Scenario PivotTable"}</definedName>
    <definedName name="Fin_exp__5_2_1_1" localSheetId="6" hidden="1">{#N/A,#N/A,FALSE,"Scenario PivotTable"}</definedName>
    <definedName name="Fin_exp__5_2_1_1" hidden="1">{#N/A,#N/A,FALSE,"Scenario PivotTable"}</definedName>
    <definedName name="Fin_exp__5_2_2" localSheetId="6" hidden="1">{#N/A,#N/A,FALSE,"Scenario PivotTable"}</definedName>
    <definedName name="Fin_exp__5_2_2" hidden="1">{#N/A,#N/A,FALSE,"Scenario PivotTable"}</definedName>
    <definedName name="Fin_exp__5_3" localSheetId="6" hidden="1">{#N/A,#N/A,FALSE,"Scenario PivotTable"}</definedName>
    <definedName name="Fin_exp__5_3" hidden="1">{#N/A,#N/A,FALSE,"Scenario PivotTable"}</definedName>
    <definedName name="Fin_exp__5_3_1" localSheetId="6" hidden="1">{#N/A,#N/A,FALSE,"Scenario PivotTable"}</definedName>
    <definedName name="Fin_exp__5_3_1" hidden="1">{#N/A,#N/A,FALSE,"Scenario PivotTable"}</definedName>
    <definedName name="Fin_exp__5_4" localSheetId="6" hidden="1">{#N/A,#N/A,FALSE,"Scenario PivotTable"}</definedName>
    <definedName name="Fin_exp__5_4" hidden="1">{#N/A,#N/A,FALSE,"Scenario PivotTable"}</definedName>
    <definedName name="Fin_Exp_Bud" localSheetId="6" hidden="1">{#N/A,#N/A,FALSE,"Scenario PivotTable"}</definedName>
    <definedName name="Fin_Exp_Bud" hidden="1">{#N/A,#N/A,FALSE,"Scenario PivotTable"}</definedName>
    <definedName name="Fin_Exp_Bud_07" localSheetId="6" hidden="1">{#N/A,#N/A,FALSE,"Scenario PivotTable"}</definedName>
    <definedName name="Fin_Exp_Bud_07" hidden="1">{#N/A,#N/A,FALSE,"Scenario PivotTable"}</definedName>
    <definedName name="Fin_Exp_Bud_07_1" localSheetId="6" hidden="1">{#N/A,#N/A,FALSE,"Scenario PivotTable"}</definedName>
    <definedName name="Fin_Exp_Bud_07_1" hidden="1">{#N/A,#N/A,FALSE,"Scenario PivotTable"}</definedName>
    <definedName name="Fin_Exp_Bud_07_1_1" localSheetId="6" hidden="1">{#N/A,#N/A,FALSE,"Scenario PivotTable"}</definedName>
    <definedName name="Fin_Exp_Bud_07_1_1" hidden="1">{#N/A,#N/A,FALSE,"Scenario PivotTable"}</definedName>
    <definedName name="Fin_Exp_Bud_07_1_1_1" localSheetId="6" hidden="1">{#N/A,#N/A,FALSE,"Scenario PivotTable"}</definedName>
    <definedName name="Fin_Exp_Bud_07_1_1_1" hidden="1">{#N/A,#N/A,FALSE,"Scenario PivotTable"}</definedName>
    <definedName name="Fin_Exp_Bud_07_1_1_1_1" localSheetId="6" hidden="1">{#N/A,#N/A,FALSE,"Scenario PivotTable"}</definedName>
    <definedName name="Fin_Exp_Bud_07_1_1_1_1" hidden="1">{#N/A,#N/A,FALSE,"Scenario PivotTable"}</definedName>
    <definedName name="Fin_Exp_Bud_07_1_1_2" localSheetId="6" hidden="1">{#N/A,#N/A,FALSE,"Scenario PivotTable"}</definedName>
    <definedName name="Fin_Exp_Bud_07_1_1_2" hidden="1">{#N/A,#N/A,FALSE,"Scenario PivotTable"}</definedName>
    <definedName name="Fin_Exp_Bud_07_1_1_2_1" localSheetId="6" hidden="1">{#N/A,#N/A,FALSE,"Scenario PivotTable"}</definedName>
    <definedName name="Fin_Exp_Bud_07_1_1_2_1" hidden="1">{#N/A,#N/A,FALSE,"Scenario PivotTable"}</definedName>
    <definedName name="Fin_Exp_Bud_07_1_1_3" localSheetId="6" hidden="1">{#N/A,#N/A,FALSE,"Scenario PivotTable"}</definedName>
    <definedName name="Fin_Exp_Bud_07_1_1_3" hidden="1">{#N/A,#N/A,FALSE,"Scenario PivotTable"}</definedName>
    <definedName name="Fin_Exp_Bud_07_1_2" localSheetId="6" hidden="1">{#N/A,#N/A,FALSE,"Scenario PivotTable"}</definedName>
    <definedName name="Fin_Exp_Bud_07_1_2" hidden="1">{#N/A,#N/A,FALSE,"Scenario PivotTable"}</definedName>
    <definedName name="Fin_Exp_Bud_07_1_2_1" localSheetId="6" hidden="1">{#N/A,#N/A,FALSE,"Scenario PivotTable"}</definedName>
    <definedName name="Fin_Exp_Bud_07_1_2_1" hidden="1">{#N/A,#N/A,FALSE,"Scenario PivotTable"}</definedName>
    <definedName name="Fin_Exp_Bud_07_1_2_1_1" localSheetId="6" hidden="1">{#N/A,#N/A,FALSE,"Scenario PivotTable"}</definedName>
    <definedName name="Fin_Exp_Bud_07_1_2_1_1" hidden="1">{#N/A,#N/A,FALSE,"Scenario PivotTable"}</definedName>
    <definedName name="Fin_Exp_Bud_07_1_2_2" localSheetId="6" hidden="1">{#N/A,#N/A,FALSE,"Scenario PivotTable"}</definedName>
    <definedName name="Fin_Exp_Bud_07_1_2_2" hidden="1">{#N/A,#N/A,FALSE,"Scenario PivotTable"}</definedName>
    <definedName name="Fin_Exp_Bud_07_1_3" localSheetId="6" hidden="1">{#N/A,#N/A,FALSE,"Scenario PivotTable"}</definedName>
    <definedName name="Fin_Exp_Bud_07_1_3" hidden="1">{#N/A,#N/A,FALSE,"Scenario PivotTable"}</definedName>
    <definedName name="Fin_Exp_Bud_07_1_3_1" localSheetId="6" hidden="1">{#N/A,#N/A,FALSE,"Scenario PivotTable"}</definedName>
    <definedName name="Fin_Exp_Bud_07_1_3_1" hidden="1">{#N/A,#N/A,FALSE,"Scenario PivotTable"}</definedName>
    <definedName name="Fin_Exp_Bud_07_1_4" localSheetId="6" hidden="1">{#N/A,#N/A,FALSE,"Scenario PivotTable"}</definedName>
    <definedName name="Fin_Exp_Bud_07_1_4" hidden="1">{#N/A,#N/A,FALSE,"Scenario PivotTable"}</definedName>
    <definedName name="Fin_Exp_Bud_07_2" localSheetId="6" hidden="1">{#N/A,#N/A,FALSE,"Scenario PivotTable"}</definedName>
    <definedName name="Fin_Exp_Bud_07_2" hidden="1">{#N/A,#N/A,FALSE,"Scenario PivotTable"}</definedName>
    <definedName name="Fin_Exp_Bud_07_2_1" localSheetId="6" hidden="1">{#N/A,#N/A,FALSE,"Scenario PivotTable"}</definedName>
    <definedName name="Fin_Exp_Bud_07_2_1" hidden="1">{#N/A,#N/A,FALSE,"Scenario PivotTable"}</definedName>
    <definedName name="Fin_Exp_Bud_07_2_1_1" localSheetId="6" hidden="1">{#N/A,#N/A,FALSE,"Scenario PivotTable"}</definedName>
    <definedName name="Fin_Exp_Bud_07_2_1_1" hidden="1">{#N/A,#N/A,FALSE,"Scenario PivotTable"}</definedName>
    <definedName name="Fin_Exp_Bud_07_2_1_1_1" localSheetId="6" hidden="1">{#N/A,#N/A,FALSE,"Scenario PivotTable"}</definedName>
    <definedName name="Fin_Exp_Bud_07_2_1_1_1" hidden="1">{#N/A,#N/A,FALSE,"Scenario PivotTable"}</definedName>
    <definedName name="Fin_Exp_Bud_07_2_1_2" localSheetId="6" hidden="1">{#N/A,#N/A,FALSE,"Scenario PivotTable"}</definedName>
    <definedName name="Fin_Exp_Bud_07_2_1_2" hidden="1">{#N/A,#N/A,FALSE,"Scenario PivotTable"}</definedName>
    <definedName name="Fin_Exp_Bud_07_2_1_2_1" localSheetId="6" hidden="1">{#N/A,#N/A,FALSE,"Scenario PivotTable"}</definedName>
    <definedName name="Fin_Exp_Bud_07_2_1_2_1" hidden="1">{#N/A,#N/A,FALSE,"Scenario PivotTable"}</definedName>
    <definedName name="Fin_Exp_Bud_07_2_1_3" localSheetId="6" hidden="1">{#N/A,#N/A,FALSE,"Scenario PivotTable"}</definedName>
    <definedName name="Fin_Exp_Bud_07_2_1_3" hidden="1">{#N/A,#N/A,FALSE,"Scenario PivotTable"}</definedName>
    <definedName name="Fin_Exp_Bud_07_2_2" localSheetId="6" hidden="1">{#N/A,#N/A,FALSE,"Scenario PivotTable"}</definedName>
    <definedName name="Fin_Exp_Bud_07_2_2" hidden="1">{#N/A,#N/A,FALSE,"Scenario PivotTable"}</definedName>
    <definedName name="Fin_Exp_Bud_07_2_2_1" localSheetId="6" hidden="1">{#N/A,#N/A,FALSE,"Scenario PivotTable"}</definedName>
    <definedName name="Fin_Exp_Bud_07_2_2_1" hidden="1">{#N/A,#N/A,FALSE,"Scenario PivotTable"}</definedName>
    <definedName name="Fin_Exp_Bud_07_2_2_1_1" localSheetId="6" hidden="1">{#N/A,#N/A,FALSE,"Scenario PivotTable"}</definedName>
    <definedName name="Fin_Exp_Bud_07_2_2_1_1" hidden="1">{#N/A,#N/A,FALSE,"Scenario PivotTable"}</definedName>
    <definedName name="Fin_Exp_Bud_07_2_2_2" localSheetId="6" hidden="1">{#N/A,#N/A,FALSE,"Scenario PivotTable"}</definedName>
    <definedName name="Fin_Exp_Bud_07_2_2_2" hidden="1">{#N/A,#N/A,FALSE,"Scenario PivotTable"}</definedName>
    <definedName name="Fin_Exp_Bud_07_2_3" localSheetId="6" hidden="1">{#N/A,#N/A,FALSE,"Scenario PivotTable"}</definedName>
    <definedName name="Fin_Exp_Bud_07_2_3" hidden="1">{#N/A,#N/A,FALSE,"Scenario PivotTable"}</definedName>
    <definedName name="Fin_Exp_Bud_07_2_3_1" localSheetId="6" hidden="1">{#N/A,#N/A,FALSE,"Scenario PivotTable"}</definedName>
    <definedName name="Fin_Exp_Bud_07_2_3_1" hidden="1">{#N/A,#N/A,FALSE,"Scenario PivotTable"}</definedName>
    <definedName name="Fin_Exp_Bud_07_2_4" localSheetId="6" hidden="1">{#N/A,#N/A,FALSE,"Scenario PivotTable"}</definedName>
    <definedName name="Fin_Exp_Bud_07_2_4" hidden="1">{#N/A,#N/A,FALSE,"Scenario PivotTable"}</definedName>
    <definedName name="Fin_Exp_Bud_07_3" localSheetId="6" hidden="1">{#N/A,#N/A,FALSE,"Scenario PivotTable"}</definedName>
    <definedName name="Fin_Exp_Bud_07_3" hidden="1">{#N/A,#N/A,FALSE,"Scenario PivotTable"}</definedName>
    <definedName name="Fin_Exp_Bud_07_3_1" localSheetId="6" hidden="1">{#N/A,#N/A,FALSE,"Scenario PivotTable"}</definedName>
    <definedName name="Fin_Exp_Bud_07_3_1" hidden="1">{#N/A,#N/A,FALSE,"Scenario PivotTable"}</definedName>
    <definedName name="Fin_Exp_Bud_07_3_1_1" localSheetId="6" hidden="1">{#N/A,#N/A,FALSE,"Scenario PivotTable"}</definedName>
    <definedName name="Fin_Exp_Bud_07_3_1_1" hidden="1">{#N/A,#N/A,FALSE,"Scenario PivotTable"}</definedName>
    <definedName name="Fin_Exp_Bud_07_3_1_1_1" localSheetId="6" hidden="1">{#N/A,#N/A,FALSE,"Scenario PivotTable"}</definedName>
    <definedName name="Fin_Exp_Bud_07_3_1_1_1" hidden="1">{#N/A,#N/A,FALSE,"Scenario PivotTable"}</definedName>
    <definedName name="Fin_Exp_Bud_07_3_1_2" localSheetId="6" hidden="1">{#N/A,#N/A,FALSE,"Scenario PivotTable"}</definedName>
    <definedName name="Fin_Exp_Bud_07_3_1_2" hidden="1">{#N/A,#N/A,FALSE,"Scenario PivotTable"}</definedName>
    <definedName name="Fin_Exp_Bud_07_3_1_2_1" localSheetId="6" hidden="1">{#N/A,#N/A,FALSE,"Scenario PivotTable"}</definedName>
    <definedName name="Fin_Exp_Bud_07_3_1_2_1" hidden="1">{#N/A,#N/A,FALSE,"Scenario PivotTable"}</definedName>
    <definedName name="Fin_Exp_Bud_07_3_1_3" localSheetId="6" hidden="1">{#N/A,#N/A,FALSE,"Scenario PivotTable"}</definedName>
    <definedName name="Fin_Exp_Bud_07_3_1_3" hidden="1">{#N/A,#N/A,FALSE,"Scenario PivotTable"}</definedName>
    <definedName name="Fin_Exp_Bud_07_3_2" localSheetId="6" hidden="1">{#N/A,#N/A,FALSE,"Scenario PivotTable"}</definedName>
    <definedName name="Fin_Exp_Bud_07_3_2" hidden="1">{#N/A,#N/A,FALSE,"Scenario PivotTable"}</definedName>
    <definedName name="Fin_Exp_Bud_07_3_2_1" localSheetId="6" hidden="1">{#N/A,#N/A,FALSE,"Scenario PivotTable"}</definedName>
    <definedName name="Fin_Exp_Bud_07_3_2_1" hidden="1">{#N/A,#N/A,FALSE,"Scenario PivotTable"}</definedName>
    <definedName name="Fin_Exp_Bud_07_3_2_1_1" localSheetId="6" hidden="1">{#N/A,#N/A,FALSE,"Scenario PivotTable"}</definedName>
    <definedName name="Fin_Exp_Bud_07_3_2_1_1" hidden="1">{#N/A,#N/A,FALSE,"Scenario PivotTable"}</definedName>
    <definedName name="Fin_Exp_Bud_07_3_2_2" localSheetId="6" hidden="1">{#N/A,#N/A,FALSE,"Scenario PivotTable"}</definedName>
    <definedName name="Fin_Exp_Bud_07_3_2_2" hidden="1">{#N/A,#N/A,FALSE,"Scenario PivotTable"}</definedName>
    <definedName name="Fin_Exp_Bud_07_3_3" localSheetId="6" hidden="1">{#N/A,#N/A,FALSE,"Scenario PivotTable"}</definedName>
    <definedName name="Fin_Exp_Bud_07_3_3" hidden="1">{#N/A,#N/A,FALSE,"Scenario PivotTable"}</definedName>
    <definedName name="Fin_Exp_Bud_07_3_3_1" localSheetId="6" hidden="1">{#N/A,#N/A,FALSE,"Scenario PivotTable"}</definedName>
    <definedName name="Fin_Exp_Bud_07_3_3_1" hidden="1">{#N/A,#N/A,FALSE,"Scenario PivotTable"}</definedName>
    <definedName name="Fin_Exp_Bud_07_3_4" localSheetId="6" hidden="1">{#N/A,#N/A,FALSE,"Scenario PivotTable"}</definedName>
    <definedName name="Fin_Exp_Bud_07_3_4" hidden="1">{#N/A,#N/A,FALSE,"Scenario PivotTable"}</definedName>
    <definedName name="Fin_Exp_Bud_07_4" localSheetId="6" hidden="1">{#N/A,#N/A,FALSE,"Scenario PivotTable"}</definedName>
    <definedName name="Fin_Exp_Bud_07_4" hidden="1">{#N/A,#N/A,FALSE,"Scenario PivotTable"}</definedName>
    <definedName name="Fin_Exp_Bud_07_4_1" localSheetId="6" hidden="1">{#N/A,#N/A,FALSE,"Scenario PivotTable"}</definedName>
    <definedName name="Fin_Exp_Bud_07_4_1" hidden="1">{#N/A,#N/A,FALSE,"Scenario PivotTable"}</definedName>
    <definedName name="Fin_Exp_Bud_07_4_1_1" localSheetId="6" hidden="1">{#N/A,#N/A,FALSE,"Scenario PivotTable"}</definedName>
    <definedName name="Fin_Exp_Bud_07_4_1_1" hidden="1">{#N/A,#N/A,FALSE,"Scenario PivotTable"}</definedName>
    <definedName name="Fin_Exp_Bud_07_4_1_1_1" localSheetId="6" hidden="1">{#N/A,#N/A,FALSE,"Scenario PivotTable"}</definedName>
    <definedName name="Fin_Exp_Bud_07_4_1_1_1" hidden="1">{#N/A,#N/A,FALSE,"Scenario PivotTable"}</definedName>
    <definedName name="Fin_Exp_Bud_07_4_1_2" localSheetId="6" hidden="1">{#N/A,#N/A,FALSE,"Scenario PivotTable"}</definedName>
    <definedName name="Fin_Exp_Bud_07_4_1_2" hidden="1">{#N/A,#N/A,FALSE,"Scenario PivotTable"}</definedName>
    <definedName name="Fin_Exp_Bud_07_4_1_2_1" localSheetId="6" hidden="1">{#N/A,#N/A,FALSE,"Scenario PivotTable"}</definedName>
    <definedName name="Fin_Exp_Bud_07_4_1_2_1" hidden="1">{#N/A,#N/A,FALSE,"Scenario PivotTable"}</definedName>
    <definedName name="Fin_Exp_Bud_07_4_1_3" localSheetId="6" hidden="1">{#N/A,#N/A,FALSE,"Scenario PivotTable"}</definedName>
    <definedName name="Fin_Exp_Bud_07_4_1_3" hidden="1">{#N/A,#N/A,FALSE,"Scenario PivotTable"}</definedName>
    <definedName name="Fin_Exp_Bud_07_4_2" localSheetId="6" hidden="1">{#N/A,#N/A,FALSE,"Scenario PivotTable"}</definedName>
    <definedName name="Fin_Exp_Bud_07_4_2" hidden="1">{#N/A,#N/A,FALSE,"Scenario PivotTable"}</definedName>
    <definedName name="Fin_Exp_Bud_07_4_2_1" localSheetId="6" hidden="1">{#N/A,#N/A,FALSE,"Scenario PivotTable"}</definedName>
    <definedName name="Fin_Exp_Bud_07_4_2_1" hidden="1">{#N/A,#N/A,FALSE,"Scenario PivotTable"}</definedName>
    <definedName name="Fin_Exp_Bud_07_4_2_1_1" localSheetId="6" hidden="1">{#N/A,#N/A,FALSE,"Scenario PivotTable"}</definedName>
    <definedName name="Fin_Exp_Bud_07_4_2_1_1" hidden="1">{#N/A,#N/A,FALSE,"Scenario PivotTable"}</definedName>
    <definedName name="Fin_Exp_Bud_07_4_2_2" localSheetId="6" hidden="1">{#N/A,#N/A,FALSE,"Scenario PivotTable"}</definedName>
    <definedName name="Fin_Exp_Bud_07_4_2_2" hidden="1">{#N/A,#N/A,FALSE,"Scenario PivotTable"}</definedName>
    <definedName name="Fin_Exp_Bud_07_4_3" localSheetId="6" hidden="1">{#N/A,#N/A,FALSE,"Scenario PivotTable"}</definedName>
    <definedName name="Fin_Exp_Bud_07_4_3" hidden="1">{#N/A,#N/A,FALSE,"Scenario PivotTable"}</definedName>
    <definedName name="Fin_Exp_Bud_07_4_3_1" localSheetId="6" hidden="1">{#N/A,#N/A,FALSE,"Scenario PivotTable"}</definedName>
    <definedName name="Fin_Exp_Bud_07_4_3_1" hidden="1">{#N/A,#N/A,FALSE,"Scenario PivotTable"}</definedName>
    <definedName name="Fin_Exp_Bud_07_4_4" localSheetId="6" hidden="1">{#N/A,#N/A,FALSE,"Scenario PivotTable"}</definedName>
    <definedName name="Fin_Exp_Bud_07_4_4" hidden="1">{#N/A,#N/A,FALSE,"Scenario PivotTable"}</definedName>
    <definedName name="Fin_Exp_Bud_07_5" localSheetId="6" hidden="1">{#N/A,#N/A,FALSE,"Scenario PivotTable"}</definedName>
    <definedName name="Fin_Exp_Bud_07_5" hidden="1">{#N/A,#N/A,FALSE,"Scenario PivotTable"}</definedName>
    <definedName name="Fin_Exp_Bud_07_5_1" localSheetId="6" hidden="1">{#N/A,#N/A,FALSE,"Scenario PivotTable"}</definedName>
    <definedName name="Fin_Exp_Bud_07_5_1" hidden="1">{#N/A,#N/A,FALSE,"Scenario PivotTable"}</definedName>
    <definedName name="Fin_Exp_Bud_07_5_1_1" localSheetId="6" hidden="1">{#N/A,#N/A,FALSE,"Scenario PivotTable"}</definedName>
    <definedName name="Fin_Exp_Bud_07_5_1_1" hidden="1">{#N/A,#N/A,FALSE,"Scenario PivotTable"}</definedName>
    <definedName name="Fin_Exp_Bud_07_5_1_1_1" localSheetId="6" hidden="1">{#N/A,#N/A,FALSE,"Scenario PivotTable"}</definedName>
    <definedName name="Fin_Exp_Bud_07_5_1_1_1" hidden="1">{#N/A,#N/A,FALSE,"Scenario PivotTable"}</definedName>
    <definedName name="Fin_Exp_Bud_07_5_1_2" localSheetId="6" hidden="1">{#N/A,#N/A,FALSE,"Scenario PivotTable"}</definedName>
    <definedName name="Fin_Exp_Bud_07_5_1_2" hidden="1">{#N/A,#N/A,FALSE,"Scenario PivotTable"}</definedName>
    <definedName name="Fin_Exp_Bud_07_5_1_2_1" localSheetId="6" hidden="1">{#N/A,#N/A,FALSE,"Scenario PivotTable"}</definedName>
    <definedName name="Fin_Exp_Bud_07_5_1_2_1" hidden="1">{#N/A,#N/A,FALSE,"Scenario PivotTable"}</definedName>
    <definedName name="Fin_Exp_Bud_07_5_1_3" localSheetId="6" hidden="1">{#N/A,#N/A,FALSE,"Scenario PivotTable"}</definedName>
    <definedName name="Fin_Exp_Bud_07_5_1_3" hidden="1">{#N/A,#N/A,FALSE,"Scenario PivotTable"}</definedName>
    <definedName name="Fin_Exp_Bud_07_5_2" localSheetId="6" hidden="1">{#N/A,#N/A,FALSE,"Scenario PivotTable"}</definedName>
    <definedName name="Fin_Exp_Bud_07_5_2" hidden="1">{#N/A,#N/A,FALSE,"Scenario PivotTable"}</definedName>
    <definedName name="Fin_Exp_Bud_07_5_2_1" localSheetId="6" hidden="1">{#N/A,#N/A,FALSE,"Scenario PivotTable"}</definedName>
    <definedName name="Fin_Exp_Bud_07_5_2_1" hidden="1">{#N/A,#N/A,FALSE,"Scenario PivotTable"}</definedName>
    <definedName name="Fin_Exp_Bud_07_5_2_1_1" localSheetId="6" hidden="1">{#N/A,#N/A,FALSE,"Scenario PivotTable"}</definedName>
    <definedName name="Fin_Exp_Bud_07_5_2_1_1" hidden="1">{#N/A,#N/A,FALSE,"Scenario PivotTable"}</definedName>
    <definedName name="Fin_Exp_Bud_07_5_2_2" localSheetId="6" hidden="1">{#N/A,#N/A,FALSE,"Scenario PivotTable"}</definedName>
    <definedName name="Fin_Exp_Bud_07_5_2_2" hidden="1">{#N/A,#N/A,FALSE,"Scenario PivotTable"}</definedName>
    <definedName name="Fin_Exp_Bud_07_5_3" localSheetId="6" hidden="1">{#N/A,#N/A,FALSE,"Scenario PivotTable"}</definedName>
    <definedName name="Fin_Exp_Bud_07_5_3" hidden="1">{#N/A,#N/A,FALSE,"Scenario PivotTable"}</definedName>
    <definedName name="Fin_Exp_Bud_07_5_3_1" localSheetId="6" hidden="1">{#N/A,#N/A,FALSE,"Scenario PivotTable"}</definedName>
    <definedName name="Fin_Exp_Bud_07_5_3_1" hidden="1">{#N/A,#N/A,FALSE,"Scenario PivotTable"}</definedName>
    <definedName name="Fin_Exp_Bud_07_5_4" localSheetId="6" hidden="1">{#N/A,#N/A,FALSE,"Scenario PivotTable"}</definedName>
    <definedName name="Fin_Exp_Bud_07_5_4" hidden="1">{#N/A,#N/A,FALSE,"Scenario PivotTable"}</definedName>
    <definedName name="Fin_Exp_Bud_1" localSheetId="6" hidden="1">{#N/A,#N/A,FALSE,"Scenario PivotTable"}</definedName>
    <definedName name="Fin_Exp_Bud_1" hidden="1">{#N/A,#N/A,FALSE,"Scenario PivotTable"}</definedName>
    <definedName name="Fin_Exp_Bud_1_1" localSheetId="6" hidden="1">{#N/A,#N/A,FALSE,"Scenario PivotTable"}</definedName>
    <definedName name="Fin_Exp_Bud_1_1" hidden="1">{#N/A,#N/A,FALSE,"Scenario PivotTable"}</definedName>
    <definedName name="Fin_Exp_Bud_1_1_1" localSheetId="6" hidden="1">{#N/A,#N/A,FALSE,"Scenario PivotTable"}</definedName>
    <definedName name="Fin_Exp_Bud_1_1_1" hidden="1">{#N/A,#N/A,FALSE,"Scenario PivotTable"}</definedName>
    <definedName name="Fin_Exp_Bud_1_1_1_1" localSheetId="6" hidden="1">{#N/A,#N/A,FALSE,"Scenario PivotTable"}</definedName>
    <definedName name="Fin_Exp_Bud_1_1_1_1" hidden="1">{#N/A,#N/A,FALSE,"Scenario PivotTable"}</definedName>
    <definedName name="Fin_Exp_Bud_1_1_2" localSheetId="6" hidden="1">{#N/A,#N/A,FALSE,"Scenario PivotTable"}</definedName>
    <definedName name="Fin_Exp_Bud_1_1_2" hidden="1">{#N/A,#N/A,FALSE,"Scenario PivotTable"}</definedName>
    <definedName name="Fin_Exp_Bud_1_1_2_1" localSheetId="6" hidden="1">{#N/A,#N/A,FALSE,"Scenario PivotTable"}</definedName>
    <definedName name="Fin_Exp_Bud_1_1_2_1" hidden="1">{#N/A,#N/A,FALSE,"Scenario PivotTable"}</definedName>
    <definedName name="Fin_Exp_Bud_1_1_3" localSheetId="6" hidden="1">{#N/A,#N/A,FALSE,"Scenario PivotTable"}</definedName>
    <definedName name="Fin_Exp_Bud_1_1_3" hidden="1">{#N/A,#N/A,FALSE,"Scenario PivotTable"}</definedName>
    <definedName name="Fin_Exp_Bud_1_2" localSheetId="6" hidden="1">{#N/A,#N/A,FALSE,"Scenario PivotTable"}</definedName>
    <definedName name="Fin_Exp_Bud_1_2" hidden="1">{#N/A,#N/A,FALSE,"Scenario PivotTable"}</definedName>
    <definedName name="Fin_Exp_Bud_1_2_1" localSheetId="6" hidden="1">{#N/A,#N/A,FALSE,"Scenario PivotTable"}</definedName>
    <definedName name="Fin_Exp_Bud_1_2_1" hidden="1">{#N/A,#N/A,FALSE,"Scenario PivotTable"}</definedName>
    <definedName name="Fin_Exp_Bud_1_2_1_1" localSheetId="6" hidden="1">{#N/A,#N/A,FALSE,"Scenario PivotTable"}</definedName>
    <definedName name="Fin_Exp_Bud_1_2_1_1" hidden="1">{#N/A,#N/A,FALSE,"Scenario PivotTable"}</definedName>
    <definedName name="Fin_Exp_Bud_1_2_2" localSheetId="6" hidden="1">{#N/A,#N/A,FALSE,"Scenario PivotTable"}</definedName>
    <definedName name="Fin_Exp_Bud_1_2_2" hidden="1">{#N/A,#N/A,FALSE,"Scenario PivotTable"}</definedName>
    <definedName name="Fin_Exp_Bud_1_3" localSheetId="6" hidden="1">{#N/A,#N/A,FALSE,"Scenario PivotTable"}</definedName>
    <definedName name="Fin_Exp_Bud_1_3" hidden="1">{#N/A,#N/A,FALSE,"Scenario PivotTable"}</definedName>
    <definedName name="Fin_Exp_Bud_1_3_1" localSheetId="6" hidden="1">{#N/A,#N/A,FALSE,"Scenario PivotTable"}</definedName>
    <definedName name="Fin_Exp_Bud_1_3_1" hidden="1">{#N/A,#N/A,FALSE,"Scenario PivotTable"}</definedName>
    <definedName name="Fin_Exp_Bud_1_4" localSheetId="6" hidden="1">{#N/A,#N/A,FALSE,"Scenario PivotTable"}</definedName>
    <definedName name="Fin_Exp_Bud_1_4" hidden="1">{#N/A,#N/A,FALSE,"Scenario PivotTable"}</definedName>
    <definedName name="Fin_Exp_Bud_2" localSheetId="6" hidden="1">{#N/A,#N/A,FALSE,"Scenario PivotTable"}</definedName>
    <definedName name="Fin_Exp_Bud_2" hidden="1">{#N/A,#N/A,FALSE,"Scenario PivotTable"}</definedName>
    <definedName name="Fin_Exp_Bud_2_1" localSheetId="6" hidden="1">{#N/A,#N/A,FALSE,"Scenario PivotTable"}</definedName>
    <definedName name="Fin_Exp_Bud_2_1" hidden="1">{#N/A,#N/A,FALSE,"Scenario PivotTable"}</definedName>
    <definedName name="Fin_Exp_Bud_2_1_1" localSheetId="6" hidden="1">{#N/A,#N/A,FALSE,"Scenario PivotTable"}</definedName>
    <definedName name="Fin_Exp_Bud_2_1_1" hidden="1">{#N/A,#N/A,FALSE,"Scenario PivotTable"}</definedName>
    <definedName name="Fin_Exp_Bud_2_1_1_1" localSheetId="6" hidden="1">{#N/A,#N/A,FALSE,"Scenario PivotTable"}</definedName>
    <definedName name="Fin_Exp_Bud_2_1_1_1" hidden="1">{#N/A,#N/A,FALSE,"Scenario PivotTable"}</definedName>
    <definedName name="Fin_Exp_Bud_2_1_2" localSheetId="6" hidden="1">{#N/A,#N/A,FALSE,"Scenario PivotTable"}</definedName>
    <definedName name="Fin_Exp_Bud_2_1_2" hidden="1">{#N/A,#N/A,FALSE,"Scenario PivotTable"}</definedName>
    <definedName name="Fin_Exp_Bud_2_1_2_1" localSheetId="6" hidden="1">{#N/A,#N/A,FALSE,"Scenario PivotTable"}</definedName>
    <definedName name="Fin_Exp_Bud_2_1_2_1" hidden="1">{#N/A,#N/A,FALSE,"Scenario PivotTable"}</definedName>
    <definedName name="Fin_Exp_Bud_2_1_3" localSheetId="6" hidden="1">{#N/A,#N/A,FALSE,"Scenario PivotTable"}</definedName>
    <definedName name="Fin_Exp_Bud_2_1_3" hidden="1">{#N/A,#N/A,FALSE,"Scenario PivotTable"}</definedName>
    <definedName name="Fin_Exp_Bud_2_2" localSheetId="6" hidden="1">{#N/A,#N/A,FALSE,"Scenario PivotTable"}</definedName>
    <definedName name="Fin_Exp_Bud_2_2" hidden="1">{#N/A,#N/A,FALSE,"Scenario PivotTable"}</definedName>
    <definedName name="Fin_Exp_Bud_2_2_1" localSheetId="6" hidden="1">{#N/A,#N/A,FALSE,"Scenario PivotTable"}</definedName>
    <definedName name="Fin_Exp_Bud_2_2_1" hidden="1">{#N/A,#N/A,FALSE,"Scenario PivotTable"}</definedName>
    <definedName name="Fin_Exp_Bud_2_2_1_1" localSheetId="6" hidden="1">{#N/A,#N/A,FALSE,"Scenario PivotTable"}</definedName>
    <definedName name="Fin_Exp_Bud_2_2_1_1" hidden="1">{#N/A,#N/A,FALSE,"Scenario PivotTable"}</definedName>
    <definedName name="Fin_Exp_Bud_2_2_2" localSheetId="6" hidden="1">{#N/A,#N/A,FALSE,"Scenario PivotTable"}</definedName>
    <definedName name="Fin_Exp_Bud_2_2_2" hidden="1">{#N/A,#N/A,FALSE,"Scenario PivotTable"}</definedName>
    <definedName name="Fin_Exp_Bud_2_3" localSheetId="6" hidden="1">{#N/A,#N/A,FALSE,"Scenario PivotTable"}</definedName>
    <definedName name="Fin_Exp_Bud_2_3" hidden="1">{#N/A,#N/A,FALSE,"Scenario PivotTable"}</definedName>
    <definedName name="Fin_Exp_Bud_2_3_1" localSheetId="6" hidden="1">{#N/A,#N/A,FALSE,"Scenario PivotTable"}</definedName>
    <definedName name="Fin_Exp_Bud_2_3_1" hidden="1">{#N/A,#N/A,FALSE,"Scenario PivotTable"}</definedName>
    <definedName name="Fin_Exp_Bud_2_4" localSheetId="6" hidden="1">{#N/A,#N/A,FALSE,"Scenario PivotTable"}</definedName>
    <definedName name="Fin_Exp_Bud_2_4" hidden="1">{#N/A,#N/A,FALSE,"Scenario PivotTable"}</definedName>
    <definedName name="Fin_Exp_Bud_3" localSheetId="6" hidden="1">{#N/A,#N/A,FALSE,"Scenario PivotTable"}</definedName>
    <definedName name="Fin_Exp_Bud_3" hidden="1">{#N/A,#N/A,FALSE,"Scenario PivotTable"}</definedName>
    <definedName name="Fin_Exp_Bud_3_1" localSheetId="6" hidden="1">{#N/A,#N/A,FALSE,"Scenario PivotTable"}</definedName>
    <definedName name="Fin_Exp_Bud_3_1" hidden="1">{#N/A,#N/A,FALSE,"Scenario PivotTable"}</definedName>
    <definedName name="Fin_Exp_Bud_3_1_1" localSheetId="6" hidden="1">{#N/A,#N/A,FALSE,"Scenario PivotTable"}</definedName>
    <definedName name="Fin_Exp_Bud_3_1_1" hidden="1">{#N/A,#N/A,FALSE,"Scenario PivotTable"}</definedName>
    <definedName name="Fin_Exp_Bud_3_1_1_1" localSheetId="6" hidden="1">{#N/A,#N/A,FALSE,"Scenario PivotTable"}</definedName>
    <definedName name="Fin_Exp_Bud_3_1_1_1" hidden="1">{#N/A,#N/A,FALSE,"Scenario PivotTable"}</definedName>
    <definedName name="Fin_Exp_Bud_3_1_2" localSheetId="6" hidden="1">{#N/A,#N/A,FALSE,"Scenario PivotTable"}</definedName>
    <definedName name="Fin_Exp_Bud_3_1_2" hidden="1">{#N/A,#N/A,FALSE,"Scenario PivotTable"}</definedName>
    <definedName name="Fin_Exp_Bud_3_1_2_1" localSheetId="6" hidden="1">{#N/A,#N/A,FALSE,"Scenario PivotTable"}</definedName>
    <definedName name="Fin_Exp_Bud_3_1_2_1" hidden="1">{#N/A,#N/A,FALSE,"Scenario PivotTable"}</definedName>
    <definedName name="Fin_Exp_Bud_3_1_3" localSheetId="6" hidden="1">{#N/A,#N/A,FALSE,"Scenario PivotTable"}</definedName>
    <definedName name="Fin_Exp_Bud_3_1_3" hidden="1">{#N/A,#N/A,FALSE,"Scenario PivotTable"}</definedName>
    <definedName name="Fin_Exp_Bud_3_2" localSheetId="6" hidden="1">{#N/A,#N/A,FALSE,"Scenario PivotTable"}</definedName>
    <definedName name="Fin_Exp_Bud_3_2" hidden="1">{#N/A,#N/A,FALSE,"Scenario PivotTable"}</definedName>
    <definedName name="Fin_Exp_Bud_3_2_1" localSheetId="6" hidden="1">{#N/A,#N/A,FALSE,"Scenario PivotTable"}</definedName>
    <definedName name="Fin_Exp_Bud_3_2_1" hidden="1">{#N/A,#N/A,FALSE,"Scenario PivotTable"}</definedName>
    <definedName name="Fin_Exp_Bud_3_2_1_1" localSheetId="6" hidden="1">{#N/A,#N/A,FALSE,"Scenario PivotTable"}</definedName>
    <definedName name="Fin_Exp_Bud_3_2_1_1" hidden="1">{#N/A,#N/A,FALSE,"Scenario PivotTable"}</definedName>
    <definedName name="Fin_Exp_Bud_3_2_2" localSheetId="6" hidden="1">{#N/A,#N/A,FALSE,"Scenario PivotTable"}</definedName>
    <definedName name="Fin_Exp_Bud_3_2_2" hidden="1">{#N/A,#N/A,FALSE,"Scenario PivotTable"}</definedName>
    <definedName name="Fin_Exp_Bud_3_3" localSheetId="6" hidden="1">{#N/A,#N/A,FALSE,"Scenario PivotTable"}</definedName>
    <definedName name="Fin_Exp_Bud_3_3" hidden="1">{#N/A,#N/A,FALSE,"Scenario PivotTable"}</definedName>
    <definedName name="Fin_Exp_Bud_3_3_1" localSheetId="6" hidden="1">{#N/A,#N/A,FALSE,"Scenario PivotTable"}</definedName>
    <definedName name="Fin_Exp_Bud_3_3_1" hidden="1">{#N/A,#N/A,FALSE,"Scenario PivotTable"}</definedName>
    <definedName name="Fin_Exp_Bud_3_4" localSheetId="6" hidden="1">{#N/A,#N/A,FALSE,"Scenario PivotTable"}</definedName>
    <definedName name="Fin_Exp_Bud_3_4" hidden="1">{#N/A,#N/A,FALSE,"Scenario PivotTable"}</definedName>
    <definedName name="Fin_Exp_Bud_4" localSheetId="6" hidden="1">{#N/A,#N/A,FALSE,"Scenario PivotTable"}</definedName>
    <definedName name="Fin_Exp_Bud_4" hidden="1">{#N/A,#N/A,FALSE,"Scenario PivotTable"}</definedName>
    <definedName name="Fin_Exp_Bud_4_1" localSheetId="6" hidden="1">{#N/A,#N/A,FALSE,"Scenario PivotTable"}</definedName>
    <definedName name="Fin_Exp_Bud_4_1" hidden="1">{#N/A,#N/A,FALSE,"Scenario PivotTable"}</definedName>
    <definedName name="Fin_Exp_Bud_4_1_1" localSheetId="6" hidden="1">{#N/A,#N/A,FALSE,"Scenario PivotTable"}</definedName>
    <definedName name="Fin_Exp_Bud_4_1_1" hidden="1">{#N/A,#N/A,FALSE,"Scenario PivotTable"}</definedName>
    <definedName name="Fin_Exp_Bud_4_1_1_1" localSheetId="6" hidden="1">{#N/A,#N/A,FALSE,"Scenario PivotTable"}</definedName>
    <definedName name="Fin_Exp_Bud_4_1_1_1" hidden="1">{#N/A,#N/A,FALSE,"Scenario PivotTable"}</definedName>
    <definedName name="Fin_Exp_Bud_4_1_2" localSheetId="6" hidden="1">{#N/A,#N/A,FALSE,"Scenario PivotTable"}</definedName>
    <definedName name="Fin_Exp_Bud_4_1_2" hidden="1">{#N/A,#N/A,FALSE,"Scenario PivotTable"}</definedName>
    <definedName name="Fin_Exp_Bud_4_1_2_1" localSheetId="6" hidden="1">{#N/A,#N/A,FALSE,"Scenario PivotTable"}</definedName>
    <definedName name="Fin_Exp_Bud_4_1_2_1" hidden="1">{#N/A,#N/A,FALSE,"Scenario PivotTable"}</definedName>
    <definedName name="Fin_Exp_Bud_4_1_3" localSheetId="6" hidden="1">{#N/A,#N/A,FALSE,"Scenario PivotTable"}</definedName>
    <definedName name="Fin_Exp_Bud_4_1_3" hidden="1">{#N/A,#N/A,FALSE,"Scenario PivotTable"}</definedName>
    <definedName name="Fin_Exp_Bud_4_2" localSheetId="6" hidden="1">{#N/A,#N/A,FALSE,"Scenario PivotTable"}</definedName>
    <definedName name="Fin_Exp_Bud_4_2" hidden="1">{#N/A,#N/A,FALSE,"Scenario PivotTable"}</definedName>
    <definedName name="Fin_Exp_Bud_4_2_1" localSheetId="6" hidden="1">{#N/A,#N/A,FALSE,"Scenario PivotTable"}</definedName>
    <definedName name="Fin_Exp_Bud_4_2_1" hidden="1">{#N/A,#N/A,FALSE,"Scenario PivotTable"}</definedName>
    <definedName name="Fin_Exp_Bud_4_2_1_1" localSheetId="6" hidden="1">{#N/A,#N/A,FALSE,"Scenario PivotTable"}</definedName>
    <definedName name="Fin_Exp_Bud_4_2_1_1" hidden="1">{#N/A,#N/A,FALSE,"Scenario PivotTable"}</definedName>
    <definedName name="Fin_Exp_Bud_4_2_2" localSheetId="6" hidden="1">{#N/A,#N/A,FALSE,"Scenario PivotTable"}</definedName>
    <definedName name="Fin_Exp_Bud_4_2_2" hidden="1">{#N/A,#N/A,FALSE,"Scenario PivotTable"}</definedName>
    <definedName name="Fin_Exp_Bud_4_3" localSheetId="6" hidden="1">{#N/A,#N/A,FALSE,"Scenario PivotTable"}</definedName>
    <definedName name="Fin_Exp_Bud_4_3" hidden="1">{#N/A,#N/A,FALSE,"Scenario PivotTable"}</definedName>
    <definedName name="Fin_Exp_Bud_4_3_1" localSheetId="6" hidden="1">{#N/A,#N/A,FALSE,"Scenario PivotTable"}</definedName>
    <definedName name="Fin_Exp_Bud_4_3_1" hidden="1">{#N/A,#N/A,FALSE,"Scenario PivotTable"}</definedName>
    <definedName name="Fin_Exp_Bud_4_4" localSheetId="6" hidden="1">{#N/A,#N/A,FALSE,"Scenario PivotTable"}</definedName>
    <definedName name="Fin_Exp_Bud_4_4" hidden="1">{#N/A,#N/A,FALSE,"Scenario PivotTable"}</definedName>
    <definedName name="Fin_Exp_Bud_5" localSheetId="6" hidden="1">{#N/A,#N/A,FALSE,"Scenario PivotTable"}</definedName>
    <definedName name="Fin_Exp_Bud_5" hidden="1">{#N/A,#N/A,FALSE,"Scenario PivotTable"}</definedName>
    <definedName name="Fin_Exp_Bud_5_1" localSheetId="6" hidden="1">{#N/A,#N/A,FALSE,"Scenario PivotTable"}</definedName>
    <definedName name="Fin_Exp_Bud_5_1" hidden="1">{#N/A,#N/A,FALSE,"Scenario PivotTable"}</definedName>
    <definedName name="Fin_Exp_Bud_5_1_1" localSheetId="6" hidden="1">{#N/A,#N/A,FALSE,"Scenario PivotTable"}</definedName>
    <definedName name="Fin_Exp_Bud_5_1_1" hidden="1">{#N/A,#N/A,FALSE,"Scenario PivotTable"}</definedName>
    <definedName name="Fin_Exp_Bud_5_1_1_1" localSheetId="6" hidden="1">{#N/A,#N/A,FALSE,"Scenario PivotTable"}</definedName>
    <definedName name="Fin_Exp_Bud_5_1_1_1" hidden="1">{#N/A,#N/A,FALSE,"Scenario PivotTable"}</definedName>
    <definedName name="Fin_Exp_Bud_5_1_2" localSheetId="6" hidden="1">{#N/A,#N/A,FALSE,"Scenario PivotTable"}</definedName>
    <definedName name="Fin_Exp_Bud_5_1_2" hidden="1">{#N/A,#N/A,FALSE,"Scenario PivotTable"}</definedName>
    <definedName name="Fin_Exp_Bud_5_1_2_1" localSheetId="6" hidden="1">{#N/A,#N/A,FALSE,"Scenario PivotTable"}</definedName>
    <definedName name="Fin_Exp_Bud_5_1_2_1" hidden="1">{#N/A,#N/A,FALSE,"Scenario PivotTable"}</definedName>
    <definedName name="Fin_Exp_Bud_5_1_3" localSheetId="6" hidden="1">{#N/A,#N/A,FALSE,"Scenario PivotTable"}</definedName>
    <definedName name="Fin_Exp_Bud_5_1_3" hidden="1">{#N/A,#N/A,FALSE,"Scenario PivotTable"}</definedName>
    <definedName name="Fin_Exp_Bud_5_2" localSheetId="6" hidden="1">{#N/A,#N/A,FALSE,"Scenario PivotTable"}</definedName>
    <definedName name="Fin_Exp_Bud_5_2" hidden="1">{#N/A,#N/A,FALSE,"Scenario PivotTable"}</definedName>
    <definedName name="Fin_Exp_Bud_5_2_1" localSheetId="6" hidden="1">{#N/A,#N/A,FALSE,"Scenario PivotTable"}</definedName>
    <definedName name="Fin_Exp_Bud_5_2_1" hidden="1">{#N/A,#N/A,FALSE,"Scenario PivotTable"}</definedName>
    <definedName name="Fin_Exp_Bud_5_2_1_1" localSheetId="6" hidden="1">{#N/A,#N/A,FALSE,"Scenario PivotTable"}</definedName>
    <definedName name="Fin_Exp_Bud_5_2_1_1" hidden="1">{#N/A,#N/A,FALSE,"Scenario PivotTable"}</definedName>
    <definedName name="Fin_Exp_Bud_5_2_2" localSheetId="6" hidden="1">{#N/A,#N/A,FALSE,"Scenario PivotTable"}</definedName>
    <definedName name="Fin_Exp_Bud_5_2_2" hidden="1">{#N/A,#N/A,FALSE,"Scenario PivotTable"}</definedName>
    <definedName name="Fin_Exp_Bud_5_3" localSheetId="6" hidden="1">{#N/A,#N/A,FALSE,"Scenario PivotTable"}</definedName>
    <definedName name="Fin_Exp_Bud_5_3" hidden="1">{#N/A,#N/A,FALSE,"Scenario PivotTable"}</definedName>
    <definedName name="Fin_Exp_Bud_5_3_1" localSheetId="6" hidden="1">{#N/A,#N/A,FALSE,"Scenario PivotTable"}</definedName>
    <definedName name="Fin_Exp_Bud_5_3_1" hidden="1">{#N/A,#N/A,FALSE,"Scenario PivotTable"}</definedName>
    <definedName name="Fin_Exp_Bud_5_4" localSheetId="6" hidden="1">{#N/A,#N/A,FALSE,"Scenario PivotTable"}</definedName>
    <definedName name="Fin_Exp_Bud_5_4" hidden="1">{#N/A,#N/A,FALSE,"Scenario PivotTable"}</definedName>
    <definedName name="Fin_exp_Bud08" localSheetId="6" hidden="1">{#N/A,#N/A,FALSE,"Scenario PivotTable"}</definedName>
    <definedName name="Fin_exp_Bud08" hidden="1">{#N/A,#N/A,FALSE,"Scenario PivotTable"}</definedName>
    <definedName name="Fin_exp_Bud08_1" localSheetId="6" hidden="1">{#N/A,#N/A,FALSE,"Scenario PivotTable"}</definedName>
    <definedName name="Fin_exp_Bud08_1" hidden="1">{#N/A,#N/A,FALSE,"Scenario PivotTable"}</definedName>
    <definedName name="Fin_exp_Bud08_1_1" localSheetId="6" hidden="1">{#N/A,#N/A,FALSE,"Scenario PivotTable"}</definedName>
    <definedName name="Fin_exp_Bud08_1_1" hidden="1">{#N/A,#N/A,FALSE,"Scenario PivotTable"}</definedName>
    <definedName name="Fin_exp_Bud08_1_1_1" localSheetId="6" hidden="1">{#N/A,#N/A,FALSE,"Scenario PivotTable"}</definedName>
    <definedName name="Fin_exp_Bud08_1_1_1" hidden="1">{#N/A,#N/A,FALSE,"Scenario PivotTable"}</definedName>
    <definedName name="Fin_exp_Bud08_1_1_1_1" localSheetId="6" hidden="1">{#N/A,#N/A,FALSE,"Scenario PivotTable"}</definedName>
    <definedName name="Fin_exp_Bud08_1_1_1_1" hidden="1">{#N/A,#N/A,FALSE,"Scenario PivotTable"}</definedName>
    <definedName name="Fin_exp_Bud08_1_1_2" localSheetId="6" hidden="1">{#N/A,#N/A,FALSE,"Scenario PivotTable"}</definedName>
    <definedName name="Fin_exp_Bud08_1_1_2" hidden="1">{#N/A,#N/A,FALSE,"Scenario PivotTable"}</definedName>
    <definedName name="Fin_exp_Bud08_1_1_2_1" localSheetId="6" hidden="1">{#N/A,#N/A,FALSE,"Scenario PivotTable"}</definedName>
    <definedName name="Fin_exp_Bud08_1_1_2_1" hidden="1">{#N/A,#N/A,FALSE,"Scenario PivotTable"}</definedName>
    <definedName name="Fin_exp_Bud08_1_1_3" localSheetId="6" hidden="1">{#N/A,#N/A,FALSE,"Scenario PivotTable"}</definedName>
    <definedName name="Fin_exp_Bud08_1_1_3" hidden="1">{#N/A,#N/A,FALSE,"Scenario PivotTable"}</definedName>
    <definedName name="Fin_exp_Bud08_1_2" localSheetId="6" hidden="1">{#N/A,#N/A,FALSE,"Scenario PivotTable"}</definedName>
    <definedName name="Fin_exp_Bud08_1_2" hidden="1">{#N/A,#N/A,FALSE,"Scenario PivotTable"}</definedName>
    <definedName name="Fin_exp_Bud08_1_2_1" localSheetId="6" hidden="1">{#N/A,#N/A,FALSE,"Scenario PivotTable"}</definedName>
    <definedName name="Fin_exp_Bud08_1_2_1" hidden="1">{#N/A,#N/A,FALSE,"Scenario PivotTable"}</definedName>
    <definedName name="Fin_exp_Bud08_1_2_1_1" localSheetId="6" hidden="1">{#N/A,#N/A,FALSE,"Scenario PivotTable"}</definedName>
    <definedName name="Fin_exp_Bud08_1_2_1_1" hidden="1">{#N/A,#N/A,FALSE,"Scenario PivotTable"}</definedName>
    <definedName name="Fin_exp_Bud08_1_2_2" localSheetId="6" hidden="1">{#N/A,#N/A,FALSE,"Scenario PivotTable"}</definedName>
    <definedName name="Fin_exp_Bud08_1_2_2" hidden="1">{#N/A,#N/A,FALSE,"Scenario PivotTable"}</definedName>
    <definedName name="Fin_exp_Bud08_1_3" localSheetId="6" hidden="1">{#N/A,#N/A,FALSE,"Scenario PivotTable"}</definedName>
    <definedName name="Fin_exp_Bud08_1_3" hidden="1">{#N/A,#N/A,FALSE,"Scenario PivotTable"}</definedName>
    <definedName name="Fin_exp_Bud08_1_3_1" localSheetId="6" hidden="1">{#N/A,#N/A,FALSE,"Scenario PivotTable"}</definedName>
    <definedName name="Fin_exp_Bud08_1_3_1" hidden="1">{#N/A,#N/A,FALSE,"Scenario PivotTable"}</definedName>
    <definedName name="Fin_exp_Bud08_1_4" localSheetId="6" hidden="1">{#N/A,#N/A,FALSE,"Scenario PivotTable"}</definedName>
    <definedName name="Fin_exp_Bud08_1_4" hidden="1">{#N/A,#N/A,FALSE,"Scenario PivotTable"}</definedName>
    <definedName name="Fin_exp_Bud08_2" localSheetId="6" hidden="1">{#N/A,#N/A,FALSE,"Scenario PivotTable"}</definedName>
    <definedName name="Fin_exp_Bud08_2" hidden="1">{#N/A,#N/A,FALSE,"Scenario PivotTable"}</definedName>
    <definedName name="Fin_exp_Bud08_2_1" localSheetId="6" hidden="1">{#N/A,#N/A,FALSE,"Scenario PivotTable"}</definedName>
    <definedName name="Fin_exp_Bud08_2_1" hidden="1">{#N/A,#N/A,FALSE,"Scenario PivotTable"}</definedName>
    <definedName name="Fin_exp_Bud08_2_1_1" localSheetId="6" hidden="1">{#N/A,#N/A,FALSE,"Scenario PivotTable"}</definedName>
    <definedName name="Fin_exp_Bud08_2_1_1" hidden="1">{#N/A,#N/A,FALSE,"Scenario PivotTable"}</definedName>
    <definedName name="Fin_exp_Bud08_2_1_1_1" localSheetId="6" hidden="1">{#N/A,#N/A,FALSE,"Scenario PivotTable"}</definedName>
    <definedName name="Fin_exp_Bud08_2_1_1_1" hidden="1">{#N/A,#N/A,FALSE,"Scenario PivotTable"}</definedName>
    <definedName name="Fin_exp_Bud08_2_1_2" localSheetId="6" hidden="1">{#N/A,#N/A,FALSE,"Scenario PivotTable"}</definedName>
    <definedName name="Fin_exp_Bud08_2_1_2" hidden="1">{#N/A,#N/A,FALSE,"Scenario PivotTable"}</definedName>
    <definedName name="Fin_exp_Bud08_2_1_2_1" localSheetId="6" hidden="1">{#N/A,#N/A,FALSE,"Scenario PivotTable"}</definedName>
    <definedName name="Fin_exp_Bud08_2_1_2_1" hidden="1">{#N/A,#N/A,FALSE,"Scenario PivotTable"}</definedName>
    <definedName name="Fin_exp_Bud08_2_1_3" localSheetId="6" hidden="1">{#N/A,#N/A,FALSE,"Scenario PivotTable"}</definedName>
    <definedName name="Fin_exp_Bud08_2_1_3" hidden="1">{#N/A,#N/A,FALSE,"Scenario PivotTable"}</definedName>
    <definedName name="Fin_exp_Bud08_2_2" localSheetId="6" hidden="1">{#N/A,#N/A,FALSE,"Scenario PivotTable"}</definedName>
    <definedName name="Fin_exp_Bud08_2_2" hidden="1">{#N/A,#N/A,FALSE,"Scenario PivotTable"}</definedName>
    <definedName name="Fin_exp_Bud08_2_2_1" localSheetId="6" hidden="1">{#N/A,#N/A,FALSE,"Scenario PivotTable"}</definedName>
    <definedName name="Fin_exp_Bud08_2_2_1" hidden="1">{#N/A,#N/A,FALSE,"Scenario PivotTable"}</definedName>
    <definedName name="Fin_exp_Bud08_2_2_1_1" localSheetId="6" hidden="1">{#N/A,#N/A,FALSE,"Scenario PivotTable"}</definedName>
    <definedName name="Fin_exp_Bud08_2_2_1_1" hidden="1">{#N/A,#N/A,FALSE,"Scenario PivotTable"}</definedName>
    <definedName name="Fin_exp_Bud08_2_2_2" localSheetId="6" hidden="1">{#N/A,#N/A,FALSE,"Scenario PivotTable"}</definedName>
    <definedName name="Fin_exp_Bud08_2_2_2" hidden="1">{#N/A,#N/A,FALSE,"Scenario PivotTable"}</definedName>
    <definedName name="Fin_exp_Bud08_2_3" localSheetId="6" hidden="1">{#N/A,#N/A,FALSE,"Scenario PivotTable"}</definedName>
    <definedName name="Fin_exp_Bud08_2_3" hidden="1">{#N/A,#N/A,FALSE,"Scenario PivotTable"}</definedName>
    <definedName name="Fin_exp_Bud08_2_3_1" localSheetId="6" hidden="1">{#N/A,#N/A,FALSE,"Scenario PivotTable"}</definedName>
    <definedName name="Fin_exp_Bud08_2_3_1" hidden="1">{#N/A,#N/A,FALSE,"Scenario PivotTable"}</definedName>
    <definedName name="Fin_exp_Bud08_2_4" localSheetId="6" hidden="1">{#N/A,#N/A,FALSE,"Scenario PivotTable"}</definedName>
    <definedName name="Fin_exp_Bud08_2_4" hidden="1">{#N/A,#N/A,FALSE,"Scenario PivotTable"}</definedName>
    <definedName name="Fin_exp_Bud08_3" localSheetId="6" hidden="1">{#N/A,#N/A,FALSE,"Scenario PivotTable"}</definedName>
    <definedName name="Fin_exp_Bud08_3" hidden="1">{#N/A,#N/A,FALSE,"Scenario PivotTable"}</definedName>
    <definedName name="Fin_exp_Bud08_3_1" localSheetId="6" hidden="1">{#N/A,#N/A,FALSE,"Scenario PivotTable"}</definedName>
    <definedName name="Fin_exp_Bud08_3_1" hidden="1">{#N/A,#N/A,FALSE,"Scenario PivotTable"}</definedName>
    <definedName name="Fin_exp_Bud08_3_1_1" localSheetId="6" hidden="1">{#N/A,#N/A,FALSE,"Scenario PivotTable"}</definedName>
    <definedName name="Fin_exp_Bud08_3_1_1" hidden="1">{#N/A,#N/A,FALSE,"Scenario PivotTable"}</definedName>
    <definedName name="Fin_exp_Bud08_3_1_1_1" localSheetId="6" hidden="1">{#N/A,#N/A,FALSE,"Scenario PivotTable"}</definedName>
    <definedName name="Fin_exp_Bud08_3_1_1_1" hidden="1">{#N/A,#N/A,FALSE,"Scenario PivotTable"}</definedName>
    <definedName name="Fin_exp_Bud08_3_1_2" localSheetId="6" hidden="1">{#N/A,#N/A,FALSE,"Scenario PivotTable"}</definedName>
    <definedName name="Fin_exp_Bud08_3_1_2" hidden="1">{#N/A,#N/A,FALSE,"Scenario PivotTable"}</definedName>
    <definedName name="Fin_exp_Bud08_3_1_2_1" localSheetId="6" hidden="1">{#N/A,#N/A,FALSE,"Scenario PivotTable"}</definedName>
    <definedName name="Fin_exp_Bud08_3_1_2_1" hidden="1">{#N/A,#N/A,FALSE,"Scenario PivotTable"}</definedName>
    <definedName name="Fin_exp_Bud08_3_1_3" localSheetId="6" hidden="1">{#N/A,#N/A,FALSE,"Scenario PivotTable"}</definedName>
    <definedName name="Fin_exp_Bud08_3_1_3" hidden="1">{#N/A,#N/A,FALSE,"Scenario PivotTable"}</definedName>
    <definedName name="Fin_exp_Bud08_3_2" localSheetId="6" hidden="1">{#N/A,#N/A,FALSE,"Scenario PivotTable"}</definedName>
    <definedName name="Fin_exp_Bud08_3_2" hidden="1">{#N/A,#N/A,FALSE,"Scenario PivotTable"}</definedName>
    <definedName name="Fin_exp_Bud08_3_2_1" localSheetId="6" hidden="1">{#N/A,#N/A,FALSE,"Scenario PivotTable"}</definedName>
    <definedName name="Fin_exp_Bud08_3_2_1" hidden="1">{#N/A,#N/A,FALSE,"Scenario PivotTable"}</definedName>
    <definedName name="Fin_exp_Bud08_3_2_1_1" localSheetId="6" hidden="1">{#N/A,#N/A,FALSE,"Scenario PivotTable"}</definedName>
    <definedName name="Fin_exp_Bud08_3_2_1_1" hidden="1">{#N/A,#N/A,FALSE,"Scenario PivotTable"}</definedName>
    <definedName name="Fin_exp_Bud08_3_2_2" localSheetId="6" hidden="1">{#N/A,#N/A,FALSE,"Scenario PivotTable"}</definedName>
    <definedName name="Fin_exp_Bud08_3_2_2" hidden="1">{#N/A,#N/A,FALSE,"Scenario PivotTable"}</definedName>
    <definedName name="Fin_exp_Bud08_3_3" localSheetId="6" hidden="1">{#N/A,#N/A,FALSE,"Scenario PivotTable"}</definedName>
    <definedName name="Fin_exp_Bud08_3_3" hidden="1">{#N/A,#N/A,FALSE,"Scenario PivotTable"}</definedName>
    <definedName name="Fin_exp_Bud08_3_3_1" localSheetId="6" hidden="1">{#N/A,#N/A,FALSE,"Scenario PivotTable"}</definedName>
    <definedName name="Fin_exp_Bud08_3_3_1" hidden="1">{#N/A,#N/A,FALSE,"Scenario PivotTable"}</definedName>
    <definedName name="Fin_exp_Bud08_3_4" localSheetId="6" hidden="1">{#N/A,#N/A,FALSE,"Scenario PivotTable"}</definedName>
    <definedName name="Fin_exp_Bud08_3_4" hidden="1">{#N/A,#N/A,FALSE,"Scenario PivotTable"}</definedName>
    <definedName name="Fin_exp_Bud08_4" localSheetId="6" hidden="1">{#N/A,#N/A,FALSE,"Scenario PivotTable"}</definedName>
    <definedName name="Fin_exp_Bud08_4" hidden="1">{#N/A,#N/A,FALSE,"Scenario PivotTable"}</definedName>
    <definedName name="Fin_exp_Bud08_4_1" localSheetId="6" hidden="1">{#N/A,#N/A,FALSE,"Scenario PivotTable"}</definedName>
    <definedName name="Fin_exp_Bud08_4_1" hidden="1">{#N/A,#N/A,FALSE,"Scenario PivotTable"}</definedName>
    <definedName name="Fin_exp_Bud08_4_1_1" localSheetId="6" hidden="1">{#N/A,#N/A,FALSE,"Scenario PivotTable"}</definedName>
    <definedName name="Fin_exp_Bud08_4_1_1" hidden="1">{#N/A,#N/A,FALSE,"Scenario PivotTable"}</definedName>
    <definedName name="Fin_exp_Bud08_4_1_1_1" localSheetId="6" hidden="1">{#N/A,#N/A,FALSE,"Scenario PivotTable"}</definedName>
    <definedName name="Fin_exp_Bud08_4_1_1_1" hidden="1">{#N/A,#N/A,FALSE,"Scenario PivotTable"}</definedName>
    <definedName name="Fin_exp_Bud08_4_1_2" localSheetId="6" hidden="1">{#N/A,#N/A,FALSE,"Scenario PivotTable"}</definedName>
    <definedName name="Fin_exp_Bud08_4_1_2" hidden="1">{#N/A,#N/A,FALSE,"Scenario PivotTable"}</definedName>
    <definedName name="Fin_exp_Bud08_4_1_2_1" localSheetId="6" hidden="1">{#N/A,#N/A,FALSE,"Scenario PivotTable"}</definedName>
    <definedName name="Fin_exp_Bud08_4_1_2_1" hidden="1">{#N/A,#N/A,FALSE,"Scenario PivotTable"}</definedName>
    <definedName name="Fin_exp_Bud08_4_1_3" localSheetId="6" hidden="1">{#N/A,#N/A,FALSE,"Scenario PivotTable"}</definedName>
    <definedName name="Fin_exp_Bud08_4_1_3" hidden="1">{#N/A,#N/A,FALSE,"Scenario PivotTable"}</definedName>
    <definedName name="Fin_exp_Bud08_4_2" localSheetId="6" hidden="1">{#N/A,#N/A,FALSE,"Scenario PivotTable"}</definedName>
    <definedName name="Fin_exp_Bud08_4_2" hidden="1">{#N/A,#N/A,FALSE,"Scenario PivotTable"}</definedName>
    <definedName name="Fin_exp_Bud08_4_2_1" localSheetId="6" hidden="1">{#N/A,#N/A,FALSE,"Scenario PivotTable"}</definedName>
    <definedName name="Fin_exp_Bud08_4_2_1" hidden="1">{#N/A,#N/A,FALSE,"Scenario PivotTable"}</definedName>
    <definedName name="Fin_exp_Bud08_4_2_1_1" localSheetId="6" hidden="1">{#N/A,#N/A,FALSE,"Scenario PivotTable"}</definedName>
    <definedName name="Fin_exp_Bud08_4_2_1_1" hidden="1">{#N/A,#N/A,FALSE,"Scenario PivotTable"}</definedName>
    <definedName name="Fin_exp_Bud08_4_2_2" localSheetId="6" hidden="1">{#N/A,#N/A,FALSE,"Scenario PivotTable"}</definedName>
    <definedName name="Fin_exp_Bud08_4_2_2" hidden="1">{#N/A,#N/A,FALSE,"Scenario PivotTable"}</definedName>
    <definedName name="Fin_exp_Bud08_4_3" localSheetId="6" hidden="1">{#N/A,#N/A,FALSE,"Scenario PivotTable"}</definedName>
    <definedName name="Fin_exp_Bud08_4_3" hidden="1">{#N/A,#N/A,FALSE,"Scenario PivotTable"}</definedName>
    <definedName name="Fin_exp_Bud08_4_3_1" localSheetId="6" hidden="1">{#N/A,#N/A,FALSE,"Scenario PivotTable"}</definedName>
    <definedName name="Fin_exp_Bud08_4_3_1" hidden="1">{#N/A,#N/A,FALSE,"Scenario PivotTable"}</definedName>
    <definedName name="Fin_exp_Bud08_4_4" localSheetId="6" hidden="1">{#N/A,#N/A,FALSE,"Scenario PivotTable"}</definedName>
    <definedName name="Fin_exp_Bud08_4_4" hidden="1">{#N/A,#N/A,FALSE,"Scenario PivotTable"}</definedName>
    <definedName name="Fin_exp_Bud08_5" localSheetId="6" hidden="1">{#N/A,#N/A,FALSE,"Scenario PivotTable"}</definedName>
    <definedName name="Fin_exp_Bud08_5" hidden="1">{#N/A,#N/A,FALSE,"Scenario PivotTable"}</definedName>
    <definedName name="Fin_exp_Bud08_5_1" localSheetId="6" hidden="1">{#N/A,#N/A,FALSE,"Scenario PivotTable"}</definedName>
    <definedName name="Fin_exp_Bud08_5_1" hidden="1">{#N/A,#N/A,FALSE,"Scenario PivotTable"}</definedName>
    <definedName name="Fin_exp_Bud08_5_1_1" localSheetId="6" hidden="1">{#N/A,#N/A,FALSE,"Scenario PivotTable"}</definedName>
    <definedName name="Fin_exp_Bud08_5_1_1" hidden="1">{#N/A,#N/A,FALSE,"Scenario PivotTable"}</definedName>
    <definedName name="Fin_exp_Bud08_5_1_1_1" localSheetId="6" hidden="1">{#N/A,#N/A,FALSE,"Scenario PivotTable"}</definedName>
    <definedName name="Fin_exp_Bud08_5_1_1_1" hidden="1">{#N/A,#N/A,FALSE,"Scenario PivotTable"}</definedName>
    <definedName name="Fin_exp_Bud08_5_1_2" localSheetId="6" hidden="1">{#N/A,#N/A,FALSE,"Scenario PivotTable"}</definedName>
    <definedName name="Fin_exp_Bud08_5_1_2" hidden="1">{#N/A,#N/A,FALSE,"Scenario PivotTable"}</definedName>
    <definedName name="Fin_exp_Bud08_5_1_2_1" localSheetId="6" hidden="1">{#N/A,#N/A,FALSE,"Scenario PivotTable"}</definedName>
    <definedName name="Fin_exp_Bud08_5_1_2_1" hidden="1">{#N/A,#N/A,FALSE,"Scenario PivotTable"}</definedName>
    <definedName name="Fin_exp_Bud08_5_1_3" localSheetId="6" hidden="1">{#N/A,#N/A,FALSE,"Scenario PivotTable"}</definedName>
    <definedName name="Fin_exp_Bud08_5_1_3" hidden="1">{#N/A,#N/A,FALSE,"Scenario PivotTable"}</definedName>
    <definedName name="Fin_exp_Bud08_5_2" localSheetId="6" hidden="1">{#N/A,#N/A,FALSE,"Scenario PivotTable"}</definedName>
    <definedName name="Fin_exp_Bud08_5_2" hidden="1">{#N/A,#N/A,FALSE,"Scenario PivotTable"}</definedName>
    <definedName name="Fin_exp_Bud08_5_2_1" localSheetId="6" hidden="1">{#N/A,#N/A,FALSE,"Scenario PivotTable"}</definedName>
    <definedName name="Fin_exp_Bud08_5_2_1" hidden="1">{#N/A,#N/A,FALSE,"Scenario PivotTable"}</definedName>
    <definedName name="Fin_exp_Bud08_5_2_1_1" localSheetId="6" hidden="1">{#N/A,#N/A,FALSE,"Scenario PivotTable"}</definedName>
    <definedName name="Fin_exp_Bud08_5_2_1_1" hidden="1">{#N/A,#N/A,FALSE,"Scenario PivotTable"}</definedName>
    <definedName name="Fin_exp_Bud08_5_2_2" localSheetId="6" hidden="1">{#N/A,#N/A,FALSE,"Scenario PivotTable"}</definedName>
    <definedName name="Fin_exp_Bud08_5_2_2" hidden="1">{#N/A,#N/A,FALSE,"Scenario PivotTable"}</definedName>
    <definedName name="Fin_exp_Bud08_5_3" localSheetId="6" hidden="1">{#N/A,#N/A,FALSE,"Scenario PivotTable"}</definedName>
    <definedName name="Fin_exp_Bud08_5_3" hidden="1">{#N/A,#N/A,FALSE,"Scenario PivotTable"}</definedName>
    <definedName name="Fin_exp_Bud08_5_3_1" localSheetId="6" hidden="1">{#N/A,#N/A,FALSE,"Scenario PivotTable"}</definedName>
    <definedName name="Fin_exp_Bud08_5_3_1" hidden="1">{#N/A,#N/A,FALSE,"Scenario PivotTable"}</definedName>
    <definedName name="Fin_exp_Bud08_5_4" localSheetId="6" hidden="1">{#N/A,#N/A,FALSE,"Scenario PivotTable"}</definedName>
    <definedName name="Fin_exp_Bud08_5_4" hidden="1">{#N/A,#N/A,FALSE,"Scenario PivotTable"}</definedName>
    <definedName name="Final_Area_Name1" hidden="1">#REF!</definedName>
    <definedName name="Final_Area_Name2" hidden="1">#REF!</definedName>
    <definedName name="Final_Area_Name6" hidden="1">#REF!</definedName>
    <definedName name="Final_Area9" hidden="1">#REF!</definedName>
    <definedName name="Finan">#REF!</definedName>
    <definedName name="Financialpb" hidden="1">#REF!</definedName>
    <definedName name="Financialpb2" hidden="1">#REF!</definedName>
    <definedName name="Financials" localSheetId="0" hidden="1">{"assumptions",#N/A,FALSE,"Assumption Summary";"proforma97",#N/A,FALSE,"97 pro forma";"sensitivity97",#N/A,FALSE,"97 sensitivity ";"proforma98",#N/A,FALSE,"98 pro forma";"sensitivity98",#N/A,FALSE,"98 sensitivity"}</definedName>
    <definedName name="Financials" localSheetId="6" hidden="1">{"assumptions",#N/A,FALSE,"Assumption Summary";"proforma97",#N/A,FALSE,"97 pro forma";"sensitivity97",#N/A,FALSE,"97 sensitivity ";"proforma98",#N/A,FALSE,"98 pro forma";"sensitivity98",#N/A,FALSE,"98 sensitivity"}</definedName>
    <definedName name="Financials" hidden="1">{"assumptions",#N/A,FALSE,"Assumption Summary";"proforma97",#N/A,FALSE,"97 pro forma";"sensitivity97",#N/A,FALSE,"97 sensitivity ";"proforma98",#N/A,FALSE,"98 pro forma";"sensitivity98",#N/A,FALSE,"98 sensitivity"}</definedName>
    <definedName name="FinancialYear">#REF!</definedName>
    <definedName name="FINANCING">#REF!</definedName>
    <definedName name="FINANCING_CASH" hidden="1">"FINANCING_CASH"</definedName>
    <definedName name="FinCase">#REF!</definedName>
    <definedName name="FinCaseName">#REF!</definedName>
    <definedName name="FindLink_Substitution" hidden="1">#REF!</definedName>
    <definedName name="finres" hidden="1">#REF!</definedName>
    <definedName name="fins1" localSheetId="0" hidden="1">{#N/A,#N/A,FALSE,"Calc";#N/A,#N/A,FALSE,"Sensitivity";#N/A,#N/A,FALSE,"LT Earn.Dil.";#N/A,#N/A,FALSE,"Dil. AVP"}</definedName>
    <definedName name="fins1" localSheetId="6" hidden="1">{#N/A,#N/A,FALSE,"Calc";#N/A,#N/A,FALSE,"Sensitivity";#N/A,#N/A,FALSE,"LT Earn.Dil.";#N/A,#N/A,FALSE,"Dil. AVP"}</definedName>
    <definedName name="fins1" hidden="1">{#N/A,#N/A,FALSE,"Calc";#N/A,#N/A,FALSE,"Sensitivity";#N/A,#N/A,FALSE,"LT Earn.Dil.";#N/A,#N/A,FALSE,"Dil. AVP"}</definedName>
    <definedName name="First_Ticker">#REF!</definedName>
    <definedName name="FirstCategory">#REF!</definedName>
    <definedName name="FirstQ">#REF!</definedName>
    <definedName name="Fiscal_Year1" hidden="1">#REF!</definedName>
    <definedName name="Fiscal_Year2" hidden="1">#REF!</definedName>
    <definedName name="Fiscal_Year3" hidden="1">#REF!</definedName>
    <definedName name="Fiscal_Year4" hidden="1">#REF!</definedName>
    <definedName name="Fiscal_Year5" hidden="1">#REF!</definedName>
    <definedName name="Fiscal_Year6" hidden="1">#REF!</definedName>
    <definedName name="fiuck"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uck"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uck"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u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u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u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ixed_Asset_Software_Hardware_Additions">#REF!</definedName>
    <definedName name="Fixed_Asset_Vehicles_Additions">#REF!</definedName>
    <definedName name="Fixed_Assets_Accumulated_Depreciation">#REF!</definedName>
    <definedName name="Fixed_Assets_Depreciation_Exp">#REF!</definedName>
    <definedName name="Fixed_Assets_Total">#REF!</definedName>
    <definedName name="Fixed_Assets_Total__Additions">#REF!</definedName>
    <definedName name="FJEZK" localSheetId="0" hidden="1">{#N/A,#N/A,FALSE,"Pharm";#N/A,#N/A,FALSE,"WWCM"}</definedName>
    <definedName name="FJEZK" localSheetId="6" hidden="1">{#N/A,#N/A,FALSE,"Pharm";#N/A,#N/A,FALSE,"WWCM"}</definedName>
    <definedName name="FJEZK" hidden="1">{#N/A,#N/A,FALSE,"Pharm";#N/A,#N/A,FALSE,"WWCM"}</definedName>
    <definedName name="FJEZK_1" localSheetId="0" hidden="1">{#N/A,#N/A,FALSE,"Pharm";#N/A,#N/A,FALSE,"WWCM"}</definedName>
    <definedName name="FJEZK_1" localSheetId="6" hidden="1">{#N/A,#N/A,FALSE,"Pharm";#N/A,#N/A,FALSE,"WWCM"}</definedName>
    <definedName name="FJEZK_1" hidden="1">{#N/A,#N/A,FALSE,"Pharm";#N/A,#N/A,FALSE,"WWCM"}</definedName>
    <definedName name="FJEZK_1_1" localSheetId="0" hidden="1">{#N/A,#N/A,FALSE,"Pharm";#N/A,#N/A,FALSE,"WWCM"}</definedName>
    <definedName name="FJEZK_1_1" localSheetId="6" hidden="1">{#N/A,#N/A,FALSE,"Pharm";#N/A,#N/A,FALSE,"WWCM"}</definedName>
    <definedName name="FJEZK_1_1" hidden="1">{#N/A,#N/A,FALSE,"Pharm";#N/A,#N/A,FALSE,"WWCM"}</definedName>
    <definedName name="FJEZK_2" localSheetId="0" hidden="1">{#N/A,#N/A,FALSE,"Pharm";#N/A,#N/A,FALSE,"WWCM"}</definedName>
    <definedName name="FJEZK_2" localSheetId="6" hidden="1">{#N/A,#N/A,FALSE,"Pharm";#N/A,#N/A,FALSE,"WWCM"}</definedName>
    <definedName name="FJEZK_2" hidden="1">{#N/A,#N/A,FALSE,"Pharm";#N/A,#N/A,FALSE,"WWCM"}</definedName>
    <definedName name="FJEZK_3" localSheetId="0" hidden="1">{#N/A,#N/A,FALSE,"Pharm";#N/A,#N/A,FALSE,"WWCM"}</definedName>
    <definedName name="FJEZK_3" localSheetId="6" hidden="1">{#N/A,#N/A,FALSE,"Pharm";#N/A,#N/A,FALSE,"WWCM"}</definedName>
    <definedName name="FJEZK_3" hidden="1">{#N/A,#N/A,FALSE,"Pharm";#N/A,#N/A,FALSE,"WWCM"}</definedName>
    <definedName name="FJEZK_4" localSheetId="0" hidden="1">{#N/A,#N/A,FALSE,"Pharm";#N/A,#N/A,FALSE,"WWCM"}</definedName>
    <definedName name="FJEZK_4" localSheetId="6" hidden="1">{#N/A,#N/A,FALSE,"Pharm";#N/A,#N/A,FALSE,"WWCM"}</definedName>
    <definedName name="FJEZK_4" hidden="1">{#N/A,#N/A,FALSE,"Pharm";#N/A,#N/A,FALSE,"WWCM"}</definedName>
    <definedName name="FJEZK_5" localSheetId="0" hidden="1">{#N/A,#N/A,FALSE,"Pharm";#N/A,#N/A,FALSE,"WWCM"}</definedName>
    <definedName name="FJEZK_5" localSheetId="6" hidden="1">{#N/A,#N/A,FALSE,"Pharm";#N/A,#N/A,FALSE,"WWCM"}</definedName>
    <definedName name="FJEZK_5" hidden="1">{#N/A,#N/A,FALSE,"Pharm";#N/A,#N/A,FALSE,"WWCM"}</definedName>
    <definedName name="fkfgkf" localSheetId="0" hidden="1">{#N/A,#N/A,FALSE,"Assessment";#N/A,#N/A,FALSE,"Staffing";#N/A,#N/A,FALSE,"Hires";#N/A,#N/A,FALSE,"Assumptions"}</definedName>
    <definedName name="fkfgkf" localSheetId="6" hidden="1">{#N/A,#N/A,FALSE,"Assessment";#N/A,#N/A,FALSE,"Staffing";#N/A,#N/A,FALSE,"Hires";#N/A,#N/A,FALSE,"Assumptions"}</definedName>
    <definedName name="fkfgkf" hidden="1">{#N/A,#N/A,FALSE,"Assessment";#N/A,#N/A,FALSE,"Staffing";#N/A,#N/A,FALSE,"Hires";#N/A,#N/A,FALSE,"Assumptions"}</definedName>
    <definedName name="fkfgkf_1" localSheetId="0" hidden="1">{#N/A,#N/A,FALSE,"Assessment";#N/A,#N/A,FALSE,"Staffing";#N/A,#N/A,FALSE,"Hires";#N/A,#N/A,FALSE,"Assumptions"}</definedName>
    <definedName name="fkfgkf_1" localSheetId="6" hidden="1">{#N/A,#N/A,FALSE,"Assessment";#N/A,#N/A,FALSE,"Staffing";#N/A,#N/A,FALSE,"Hires";#N/A,#N/A,FALSE,"Assumptions"}</definedName>
    <definedName name="fkfgkf_1" hidden="1">{#N/A,#N/A,FALSE,"Assessment";#N/A,#N/A,FALSE,"Staffing";#N/A,#N/A,FALSE,"Hires";#N/A,#N/A,FALSE,"Assumptions"}</definedName>
    <definedName name="fkgfkf" localSheetId="0" hidden="1">{#N/A,#N/A,FALSE,"Assessment";#N/A,#N/A,FALSE,"Staffing";#N/A,#N/A,FALSE,"Hires";#N/A,#N/A,FALSE,"Assumptions"}</definedName>
    <definedName name="fkgfkf" localSheetId="6" hidden="1">{#N/A,#N/A,FALSE,"Assessment";#N/A,#N/A,FALSE,"Staffing";#N/A,#N/A,FALSE,"Hires";#N/A,#N/A,FALSE,"Assumptions"}</definedName>
    <definedName name="fkgfkf" hidden="1">{#N/A,#N/A,FALSE,"Assessment";#N/A,#N/A,FALSE,"Staffing";#N/A,#N/A,FALSE,"Hires";#N/A,#N/A,FALSE,"Assumptions"}</definedName>
    <definedName name="fkgfkf_1" localSheetId="0" hidden="1">{#N/A,#N/A,FALSE,"Assessment";#N/A,#N/A,FALSE,"Staffing";#N/A,#N/A,FALSE,"Hires";#N/A,#N/A,FALSE,"Assumptions"}</definedName>
    <definedName name="fkgfkf_1" localSheetId="6" hidden="1">{#N/A,#N/A,FALSE,"Assessment";#N/A,#N/A,FALSE,"Staffing";#N/A,#N/A,FALSE,"Hires";#N/A,#N/A,FALSE,"Assumptions"}</definedName>
    <definedName name="fkgfkf_1" hidden="1">{#N/A,#N/A,FALSE,"Assessment";#N/A,#N/A,FALSE,"Staffing";#N/A,#N/A,FALSE,"Hires";#N/A,#N/A,FALSE,"Assumptions"}</definedName>
    <definedName name="FLASH" localSheetId="0" hidden="1">{#N/A,#N/A,FALSE,"PROFIT 11-95"}</definedName>
    <definedName name="FLASH" localSheetId="6" hidden="1">{#N/A,#N/A,FALSE,"PROFIT 11-95"}</definedName>
    <definedName name="FLASH" hidden="1">{#N/A,#N/A,FALSE,"PROFIT 11-95"}</definedName>
    <definedName name="flash1" localSheetId="6" hidden="1">{"FlashP1",#N/A,FALSE,"Flash p 1";"FlashKInd",#N/A,FALSE,"Flash K Ind";"FlashOpProf",#N/A,FALSE,"Flash Op prof";"Market",#N/A,FALSE,"Market"}</definedName>
    <definedName name="flash1" hidden="1">{"FlashP1",#N/A,FALSE,"Flash p 1";"FlashKInd",#N/A,FALSE,"Flash K Ind";"FlashOpProf",#N/A,FALSE,"Flash Op prof";"Market",#N/A,FALSE,"Market"}</definedName>
    <definedName name="Flow_List">#REF!</definedName>
    <definedName name="fnfdnfd" localSheetId="0" hidden="1">{#N/A,#N/A,FALSE,"Assessment";#N/A,#N/A,FALSE,"Staffing";#N/A,#N/A,FALSE,"Hires";#N/A,#N/A,FALSE,"Assumptions"}</definedName>
    <definedName name="fnfdnfd" localSheetId="6" hidden="1">{#N/A,#N/A,FALSE,"Assessment";#N/A,#N/A,FALSE,"Staffing";#N/A,#N/A,FALSE,"Hires";#N/A,#N/A,FALSE,"Assumptions"}</definedName>
    <definedName name="fnfdnfd" hidden="1">{#N/A,#N/A,FALSE,"Assessment";#N/A,#N/A,FALSE,"Staffing";#N/A,#N/A,FALSE,"Hires";#N/A,#N/A,FALSE,"Assumptions"}</definedName>
    <definedName name="fnfdnfd_1" localSheetId="0" hidden="1">{#N/A,#N/A,FALSE,"Assessment";#N/A,#N/A,FALSE,"Staffing";#N/A,#N/A,FALSE,"Hires";#N/A,#N/A,FALSE,"Assumptions"}</definedName>
    <definedName name="fnfdnfd_1" localSheetId="6" hidden="1">{#N/A,#N/A,FALSE,"Assessment";#N/A,#N/A,FALSE,"Staffing";#N/A,#N/A,FALSE,"Hires";#N/A,#N/A,FALSE,"Assumptions"}</definedName>
    <definedName name="fnfdnfd_1" hidden="1">{#N/A,#N/A,FALSE,"Assessment";#N/A,#N/A,FALSE,"Staffing";#N/A,#N/A,FALSE,"Hires";#N/A,#N/A,FALSE,"Assumptions"}</definedName>
    <definedName name="fngfgfngfnfgnf" localSheetId="0" hidden="1">{#N/A,#N/A,FALSE,"Assessment";#N/A,#N/A,FALSE,"Staffing";#N/A,#N/A,FALSE,"Hires";#N/A,#N/A,FALSE,"Assumptions"}</definedName>
    <definedName name="fngfgfngfnfgnf" localSheetId="6" hidden="1">{#N/A,#N/A,FALSE,"Assessment";#N/A,#N/A,FALSE,"Staffing";#N/A,#N/A,FALSE,"Hires";#N/A,#N/A,FALSE,"Assumptions"}</definedName>
    <definedName name="fngfgfngfnfgnf" hidden="1">{#N/A,#N/A,FALSE,"Assessment";#N/A,#N/A,FALSE,"Staffing";#N/A,#N/A,FALSE,"Hires";#N/A,#N/A,FALSE,"Assumptions"}</definedName>
    <definedName name="fngfgfngfnfgnf_1" localSheetId="0" hidden="1">{#N/A,#N/A,FALSE,"Assessment";#N/A,#N/A,FALSE,"Staffing";#N/A,#N/A,FALSE,"Hires";#N/A,#N/A,FALSE,"Assumptions"}</definedName>
    <definedName name="fngfgfngfnfgnf_1" localSheetId="6" hidden="1">{#N/A,#N/A,FALSE,"Assessment";#N/A,#N/A,FALSE,"Staffing";#N/A,#N/A,FALSE,"Hires";#N/A,#N/A,FALSE,"Assumptions"}</definedName>
    <definedName name="fngfgfngfnfgnf_1" hidden="1">{#N/A,#N/A,FALSE,"Assessment";#N/A,#N/A,FALSE,"Staffing";#N/A,#N/A,FALSE,"Hires";#N/A,#N/A,FALSE,"Assumptions"}</definedName>
    <definedName name="foiut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oiut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oiut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oobar" localSheetId="0" hidden="1">{#N/A,#N/A,FALSE,"Table of Contents";#N/A,#N/A,FALSE,"Overview";#N/A,#N/A,FALSE,"Data"}</definedName>
    <definedName name="foobar" localSheetId="6" hidden="1">{#N/A,#N/A,FALSE,"Table of Contents";#N/A,#N/A,FALSE,"Overview";#N/A,#N/A,FALSE,"Data"}</definedName>
    <definedName name="foobar" hidden="1">{#N/A,#N/A,FALSE,"Table of Contents";#N/A,#N/A,FALSE,"Overview";#N/A,#N/A,FALSE,"Data"}</definedName>
    <definedName name="foot1">#REF!</definedName>
    <definedName name="footer">#REF!</definedName>
    <definedName name="footnote_1">#REF!</definedName>
    <definedName name="footnote_2">#REF!</definedName>
    <definedName name="footnote_3">#REF!</definedName>
    <definedName name="footnote_4">#REF!</definedName>
    <definedName name="Footnote_Data_Source">#REF!</definedName>
    <definedName name="FORCBM">#REF!</definedName>
    <definedName name="Forecast">#REF!</definedName>
    <definedName name="FOREIGN_EXCHANGE" hidden="1">"FOREIGN_EXCHANGE"</definedName>
    <definedName name="FORKLIFTS_UNITS">#REF!</definedName>
    <definedName name="FPWD" hidden="1">"pepsico"</definedName>
    <definedName name="fr1q"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fr1q" hidden="1">{#N/A,#N/A,TRUE,"Sensonic";#N/A,#N/A,TRUE,"Combimeter";#N/A,#N/A,TRUE,"HKV";#N/A,#N/A,TRUE,"TV";#N/A,#N/A,TRUE,"WZ";#N/A,#N/A,TRUE,"PrepHeatCon";#N/A,#N/A,TRUE,"Sonstiges";#N/A,#N/A,TRUE,"Abrechnung";#N/A,#N/A,TRUE,"Investitionen";#N/A,#N/A,TRUE,"Personal";#N/A,#N/A,TRUE,"sonstige Kosten u. Erträge";#N/A,#N/A,TRUE,"BER";#N/A,#N/A,TRUE,"Monatsaufteilung Budget 1997"}</definedName>
    <definedName name="fr4rd" localSheetId="0" hidden="1">{#N/A,#N/A,TRUE,"Main Issues";#N/A,#N/A,TRUE,"Income statement ($)"}</definedName>
    <definedName name="fr4rd" localSheetId="6" hidden="1">{#N/A,#N/A,TRUE,"Main Issues";#N/A,#N/A,TRUE,"Income statement ($)"}</definedName>
    <definedName name="fr4rd" hidden="1">{#N/A,#N/A,TRUE,"Main Issues";#N/A,#N/A,TRUE,"Income statement ($)"}</definedName>
    <definedName name="Fra" hidden="1">#REF!</definedName>
    <definedName name="france" localSheetId="6" hidden="1">{#N/A,#N/A,FALSE,"Eastern";#N/A,#N/A,FALSE,"Western"}</definedName>
    <definedName name="france" hidden="1">{#N/A,#N/A,FALSE,"Eastern";#N/A,#N/A,FALSE,"Western"}</definedName>
    <definedName name="Frank" localSheetId="0" hidden="1">{#N/A,#N/A,TRUE,"Cover sheet";#N/A,#N/A,TRUE,"DCF analysis";#N/A,#N/A,TRUE,"WACC calculation"}</definedName>
    <definedName name="Frank" localSheetId="6" hidden="1">{#N/A,#N/A,TRUE,"Cover sheet";#N/A,#N/A,TRUE,"DCF analysis";#N/A,#N/A,TRUE,"WACC calculation"}</definedName>
    <definedName name="Frank" hidden="1">{#N/A,#N/A,TRUE,"Cover sheet";#N/A,#N/A,TRUE,"DCF analysis";#N/A,#N/A,TRUE,"WACC calculation"}</definedName>
    <definedName name="fred" localSheetId="6" hidden="1">{"'Break down'!$A$4"}</definedName>
    <definedName name="fred" hidden="1">{"'Break down'!$A$4"}</definedName>
    <definedName name="FRF_1" localSheetId="0" hidden="1">{#N/A,#N/A,FALSE,"1";#N/A,#N/A,FALSE,"2";#N/A,#N/A,FALSE,"16 - 17";#N/A,#N/A,FALSE,"18 - 19";#N/A,#N/A,FALSE,"26";#N/A,#N/A,FALSE,"27";#N/A,#N/A,FALSE,"28"}</definedName>
    <definedName name="FRF_1" localSheetId="6" hidden="1">{#N/A,#N/A,FALSE,"1";#N/A,#N/A,FALSE,"2";#N/A,#N/A,FALSE,"16 - 17";#N/A,#N/A,FALSE,"18 - 19";#N/A,#N/A,FALSE,"26";#N/A,#N/A,FALSE,"27";#N/A,#N/A,FALSE,"28"}</definedName>
    <definedName name="FRF_1" hidden="1">{#N/A,#N/A,FALSE,"1";#N/A,#N/A,FALSE,"2";#N/A,#N/A,FALSE,"16 - 17";#N/A,#N/A,FALSE,"18 - 19";#N/A,#N/A,FALSE,"26";#N/A,#N/A,FALSE,"27";#N/A,#N/A,FALSE,"28"}</definedName>
    <definedName name="FRF_1_1" localSheetId="0" hidden="1">{#N/A,#N/A,FALSE,"1";#N/A,#N/A,FALSE,"2";#N/A,#N/A,FALSE,"16 - 17";#N/A,#N/A,FALSE,"18 - 19";#N/A,#N/A,FALSE,"26";#N/A,#N/A,FALSE,"27";#N/A,#N/A,FALSE,"28"}</definedName>
    <definedName name="FRF_1_1" localSheetId="6" hidden="1">{#N/A,#N/A,FALSE,"1";#N/A,#N/A,FALSE,"2";#N/A,#N/A,FALSE,"16 - 17";#N/A,#N/A,FALSE,"18 - 19";#N/A,#N/A,FALSE,"26";#N/A,#N/A,FALSE,"27";#N/A,#N/A,FALSE,"28"}</definedName>
    <definedName name="FRF_1_1" hidden="1">{#N/A,#N/A,FALSE,"1";#N/A,#N/A,FALSE,"2";#N/A,#N/A,FALSE,"16 - 17";#N/A,#N/A,FALSE,"18 - 19";#N/A,#N/A,FALSE,"26";#N/A,#N/A,FALSE,"27";#N/A,#N/A,FALSE,"28"}</definedName>
    <definedName name="FRF_2" localSheetId="0" hidden="1">{#N/A,#N/A,FALSE,"1";#N/A,#N/A,FALSE,"2";#N/A,#N/A,FALSE,"16 - 17";#N/A,#N/A,FALSE,"18 - 19";#N/A,#N/A,FALSE,"26";#N/A,#N/A,FALSE,"27";#N/A,#N/A,FALSE,"28"}</definedName>
    <definedName name="FRF_2" localSheetId="6" hidden="1">{#N/A,#N/A,FALSE,"1";#N/A,#N/A,FALSE,"2";#N/A,#N/A,FALSE,"16 - 17";#N/A,#N/A,FALSE,"18 - 19";#N/A,#N/A,FALSE,"26";#N/A,#N/A,FALSE,"27";#N/A,#N/A,FALSE,"28"}</definedName>
    <definedName name="FRF_2" hidden="1">{#N/A,#N/A,FALSE,"1";#N/A,#N/A,FALSE,"2";#N/A,#N/A,FALSE,"16 - 17";#N/A,#N/A,FALSE,"18 - 19";#N/A,#N/A,FALSE,"26";#N/A,#N/A,FALSE,"27";#N/A,#N/A,FALSE,"28"}</definedName>
    <definedName name="FRF_3" localSheetId="0" hidden="1">{#N/A,#N/A,FALSE,"1";#N/A,#N/A,FALSE,"2";#N/A,#N/A,FALSE,"16 - 17";#N/A,#N/A,FALSE,"18 - 19";#N/A,#N/A,FALSE,"26";#N/A,#N/A,FALSE,"27";#N/A,#N/A,FALSE,"28"}</definedName>
    <definedName name="FRF_3" localSheetId="6" hidden="1">{#N/A,#N/A,FALSE,"1";#N/A,#N/A,FALSE,"2";#N/A,#N/A,FALSE,"16 - 17";#N/A,#N/A,FALSE,"18 - 19";#N/A,#N/A,FALSE,"26";#N/A,#N/A,FALSE,"27";#N/A,#N/A,FALSE,"28"}</definedName>
    <definedName name="FRF_3" hidden="1">{#N/A,#N/A,FALSE,"1";#N/A,#N/A,FALSE,"2";#N/A,#N/A,FALSE,"16 - 17";#N/A,#N/A,FALSE,"18 - 19";#N/A,#N/A,FALSE,"26";#N/A,#N/A,FALSE,"27";#N/A,#N/A,FALSE,"28"}</definedName>
    <definedName name="FRF_4" localSheetId="0" hidden="1">{#N/A,#N/A,FALSE,"1";#N/A,#N/A,FALSE,"2";#N/A,#N/A,FALSE,"16 - 17";#N/A,#N/A,FALSE,"18 - 19";#N/A,#N/A,FALSE,"26";#N/A,#N/A,FALSE,"27";#N/A,#N/A,FALSE,"28"}</definedName>
    <definedName name="FRF_4" localSheetId="6" hidden="1">{#N/A,#N/A,FALSE,"1";#N/A,#N/A,FALSE,"2";#N/A,#N/A,FALSE,"16 - 17";#N/A,#N/A,FALSE,"18 - 19";#N/A,#N/A,FALSE,"26";#N/A,#N/A,FALSE,"27";#N/A,#N/A,FALSE,"28"}</definedName>
    <definedName name="FRF_4" hidden="1">{#N/A,#N/A,FALSE,"1";#N/A,#N/A,FALSE,"2";#N/A,#N/A,FALSE,"16 - 17";#N/A,#N/A,FALSE,"18 - 19";#N/A,#N/A,FALSE,"26";#N/A,#N/A,FALSE,"27";#N/A,#N/A,FALSE,"28"}</definedName>
    <definedName name="FRF_5" localSheetId="0" hidden="1">{#N/A,#N/A,FALSE,"1";#N/A,#N/A,FALSE,"2";#N/A,#N/A,FALSE,"16 - 17";#N/A,#N/A,FALSE,"18 - 19";#N/A,#N/A,FALSE,"26";#N/A,#N/A,FALSE,"27";#N/A,#N/A,FALSE,"28"}</definedName>
    <definedName name="FRF_5" localSheetId="6" hidden="1">{#N/A,#N/A,FALSE,"1";#N/A,#N/A,FALSE,"2";#N/A,#N/A,FALSE,"16 - 17";#N/A,#N/A,FALSE,"18 - 19";#N/A,#N/A,FALSE,"26";#N/A,#N/A,FALSE,"27";#N/A,#N/A,FALSE,"28"}</definedName>
    <definedName name="FRF_5" hidden="1">{#N/A,#N/A,FALSE,"1";#N/A,#N/A,FALSE,"2";#N/A,#N/A,FALSE,"16 - 17";#N/A,#N/A,FALSE,"18 - 19";#N/A,#N/A,FALSE,"26";#N/A,#N/A,FALSE,"27";#N/A,#N/A,FALSE,"28"}</definedName>
    <definedName name="FRFERFE" localSheetId="0" hidden="1">{#N/A,#N/A,FALSE,"Pharm";#N/A,#N/A,FALSE,"WWCM"}</definedName>
    <definedName name="FRFERFE" localSheetId="6" hidden="1">{#N/A,#N/A,FALSE,"Pharm";#N/A,#N/A,FALSE,"WWCM"}</definedName>
    <definedName name="FRFERFE" hidden="1">{#N/A,#N/A,FALSE,"Pharm";#N/A,#N/A,FALSE,"WWCM"}</definedName>
    <definedName name="FRFERFE_1" localSheetId="0" hidden="1">{#N/A,#N/A,FALSE,"Pharm";#N/A,#N/A,FALSE,"WWCM"}</definedName>
    <definedName name="FRFERFE_1" localSheetId="6" hidden="1">{#N/A,#N/A,FALSE,"Pharm";#N/A,#N/A,FALSE,"WWCM"}</definedName>
    <definedName name="FRFERFE_1" hidden="1">{#N/A,#N/A,FALSE,"Pharm";#N/A,#N/A,FALSE,"WWCM"}</definedName>
    <definedName name="FRFERFE_1_1" localSheetId="0" hidden="1">{#N/A,#N/A,FALSE,"Pharm";#N/A,#N/A,FALSE,"WWCM"}</definedName>
    <definedName name="FRFERFE_1_1" localSheetId="6" hidden="1">{#N/A,#N/A,FALSE,"Pharm";#N/A,#N/A,FALSE,"WWCM"}</definedName>
    <definedName name="FRFERFE_1_1" hidden="1">{#N/A,#N/A,FALSE,"Pharm";#N/A,#N/A,FALSE,"WWCM"}</definedName>
    <definedName name="FRFERFE_2" localSheetId="0" hidden="1">{#N/A,#N/A,FALSE,"Pharm";#N/A,#N/A,FALSE,"WWCM"}</definedName>
    <definedName name="FRFERFE_2" localSheetId="6" hidden="1">{#N/A,#N/A,FALSE,"Pharm";#N/A,#N/A,FALSE,"WWCM"}</definedName>
    <definedName name="FRFERFE_2" hidden="1">{#N/A,#N/A,FALSE,"Pharm";#N/A,#N/A,FALSE,"WWCM"}</definedName>
    <definedName name="FRFERFE_3" localSheetId="0" hidden="1">{#N/A,#N/A,FALSE,"Pharm";#N/A,#N/A,FALSE,"WWCM"}</definedName>
    <definedName name="FRFERFE_3" localSheetId="6" hidden="1">{#N/A,#N/A,FALSE,"Pharm";#N/A,#N/A,FALSE,"WWCM"}</definedName>
    <definedName name="FRFERFE_3" hidden="1">{#N/A,#N/A,FALSE,"Pharm";#N/A,#N/A,FALSE,"WWCM"}</definedName>
    <definedName name="FRFERFE_4" localSheetId="0" hidden="1">{#N/A,#N/A,FALSE,"Pharm";#N/A,#N/A,FALSE,"WWCM"}</definedName>
    <definedName name="FRFERFE_4" localSheetId="6" hidden="1">{#N/A,#N/A,FALSE,"Pharm";#N/A,#N/A,FALSE,"WWCM"}</definedName>
    <definedName name="FRFERFE_4" hidden="1">{#N/A,#N/A,FALSE,"Pharm";#N/A,#N/A,FALSE,"WWCM"}</definedName>
    <definedName name="FRFERFE_5" localSheetId="0" hidden="1">{#N/A,#N/A,FALSE,"Pharm";#N/A,#N/A,FALSE,"WWCM"}</definedName>
    <definedName name="FRFERFE_5" localSheetId="6" hidden="1">{#N/A,#N/A,FALSE,"Pharm";#N/A,#N/A,FALSE,"WWCM"}</definedName>
    <definedName name="FRFERFE_5" hidden="1">{#N/A,#N/A,FALSE,"Pharm";#N/A,#N/A,FALSE,"WWCM"}</definedName>
    <definedName name="frityui"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rityui"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rityui"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rom">#REF!</definedName>
    <definedName name="frt" localSheetId="6" hidden="1">{#N/A,#N/A,FALSE,"Banksum";#N/A,#N/A,FALSE,"Banksum"}</definedName>
    <definedName name="frt" hidden="1">{#N/A,#N/A,FALSE,"Banksum";#N/A,#N/A,FALSE,"Banksum"}</definedName>
    <definedName name="fs"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fs"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f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Fsd"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fsd" localSheetId="6" hidden="1">{#N/A,#N/A,FALSE,"Sheet1"}</definedName>
    <definedName name="fsd" hidden="1">{#N/A,#N/A,FALSE,"Sheet1"}</definedName>
    <definedName name="FSDFSDF" hidden="1">#REF!</definedName>
    <definedName name="fse" localSheetId="0" hidden="1">{#N/A,#N/A,FALSE,"Sheet1"}</definedName>
    <definedName name="fse" localSheetId="6" hidden="1">{#N/A,#N/A,FALSE,"Sheet1"}</definedName>
    <definedName name="fse" hidden="1">{#N/A,#N/A,FALSE,"Sheet1"}</definedName>
    <definedName name="fsfs" localSheetId="0" hidden="1">{#N/A,#N/A,FALSE,"Calc";#N/A,#N/A,FALSE,"Sensitivity";#N/A,#N/A,FALSE,"LT Earn.Dil.";#N/A,#N/A,FALSE,"Dil. AVP"}</definedName>
    <definedName name="fsfs" localSheetId="6" hidden="1">{#N/A,#N/A,FALSE,"Calc";#N/A,#N/A,FALSE,"Sensitivity";#N/A,#N/A,FALSE,"LT Earn.Dil.";#N/A,#N/A,FALSE,"Dil. AVP"}</definedName>
    <definedName name="fsfs" hidden="1">{#N/A,#N/A,FALSE,"Calc";#N/A,#N/A,FALSE,"Sensitivity";#N/A,#N/A,FALSE,"LT Earn.Dil.";#N/A,#N/A,FALSE,"Dil. AVP"}</definedName>
    <definedName name="FSRepay">#REF!</definedName>
    <definedName name="FSRepay2">#REF!</definedName>
    <definedName name="fsrgrgsfdg" localSheetId="0" hidden="1">{"FS`s",#N/A,TRUE,"FS's";"Icome St",#N/A,TRUE,"Income St.";"Balance Sh",#N/A,TRUE,"Balance Sh.";"Gross Margin",#N/A,TRUE,"Gross Margin"}</definedName>
    <definedName name="fsrgrgsfdg" localSheetId="6" hidden="1">{"FS`s",#N/A,TRUE,"FS's";"Icome St",#N/A,TRUE,"Income St.";"Balance Sh",#N/A,TRUE,"Balance Sh.";"Gross Margin",#N/A,TRUE,"Gross Margin"}</definedName>
    <definedName name="fsrgrgsfdg" hidden="1">{"FS`s",#N/A,TRUE,"FS's";"Icome St",#N/A,TRUE,"Income St.";"Balance Sh",#N/A,TRUE,"Balance Sh.";"Gross Margin",#N/A,TRUE,"Gross Margin"}</definedName>
    <definedName name="fss" hidden="1">#REF!</definedName>
    <definedName name="FStub">#REF!</definedName>
    <definedName name="fty"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fty"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fuck" localSheetId="6" hidden="1">{"year1",#N/A,FALSE,"IZT";"year2",#N/A,FALSE,"IZT"}</definedName>
    <definedName name="fuck" hidden="1">{"year1",#N/A,FALSE,"IZT";"year2",#N/A,FALSE,"IZT"}</definedName>
    <definedName name="fuffuy" localSheetId="0" hidden="1">{#N/A,#N/A,FALSE,"Cover";"outputs total",#N/A,FALSE,"Outputs"}</definedName>
    <definedName name="fuffuy" localSheetId="6" hidden="1">{#N/A,#N/A,FALSE,"Cover";"outputs total",#N/A,FALSE,"Outputs"}</definedName>
    <definedName name="fuffuy" hidden="1">{#N/A,#N/A,FALSE,"Cover";"outputs total",#N/A,FALSE,"Outputs"}</definedName>
    <definedName name="Full_Print">#REF!</definedName>
    <definedName name="futi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uti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uti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ut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ut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ut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v" localSheetId="0" hidden="1">{#N/A,#N/A,FALSE,"Eastern";#N/A,#N/A,FALSE,"Western"}</definedName>
    <definedName name="fv" localSheetId="6" hidden="1">{#N/A,#N/A,FALSE,"Eastern";#N/A,#N/A,FALSE,"Western"}</definedName>
    <definedName name="fv" hidden="1">{#N/A,#N/A,FALSE,"Eastern";#N/A,#N/A,FALSE,"Western"}</definedName>
    <definedName name="fvf"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vf"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vf"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FVG" localSheetId="0" hidden="1">{#N/A,#N/A,FALSE,"Pharm";#N/A,#N/A,FALSE,"WWCM"}</definedName>
    <definedName name="FVG" localSheetId="6" hidden="1">{#N/A,#N/A,FALSE,"Pharm";#N/A,#N/A,FALSE,"WWCM"}</definedName>
    <definedName name="FVG" hidden="1">{#N/A,#N/A,FALSE,"Pharm";#N/A,#N/A,FALSE,"WWCM"}</definedName>
    <definedName name="FVG_1" localSheetId="0" hidden="1">{#N/A,#N/A,FALSE,"Pharm";#N/A,#N/A,FALSE,"WWCM"}</definedName>
    <definedName name="FVG_1" localSheetId="6" hidden="1">{#N/A,#N/A,FALSE,"Pharm";#N/A,#N/A,FALSE,"WWCM"}</definedName>
    <definedName name="FVG_1" hidden="1">{#N/A,#N/A,FALSE,"Pharm";#N/A,#N/A,FALSE,"WWCM"}</definedName>
    <definedName name="FVG_1_1" localSheetId="0" hidden="1">{#N/A,#N/A,FALSE,"Pharm";#N/A,#N/A,FALSE,"WWCM"}</definedName>
    <definedName name="FVG_1_1" localSheetId="6" hidden="1">{#N/A,#N/A,FALSE,"Pharm";#N/A,#N/A,FALSE,"WWCM"}</definedName>
    <definedName name="FVG_1_1" hidden="1">{#N/A,#N/A,FALSE,"Pharm";#N/A,#N/A,FALSE,"WWCM"}</definedName>
    <definedName name="FVG_2" localSheetId="0" hidden="1">{#N/A,#N/A,FALSE,"Pharm";#N/A,#N/A,FALSE,"WWCM"}</definedName>
    <definedName name="FVG_2" localSheetId="6" hidden="1">{#N/A,#N/A,FALSE,"Pharm";#N/A,#N/A,FALSE,"WWCM"}</definedName>
    <definedName name="FVG_2" hidden="1">{#N/A,#N/A,FALSE,"Pharm";#N/A,#N/A,FALSE,"WWCM"}</definedName>
    <definedName name="FVG_3" localSheetId="0" hidden="1">{#N/A,#N/A,FALSE,"Pharm";#N/A,#N/A,FALSE,"WWCM"}</definedName>
    <definedName name="FVG_3" localSheetId="6" hidden="1">{#N/A,#N/A,FALSE,"Pharm";#N/A,#N/A,FALSE,"WWCM"}</definedName>
    <definedName name="FVG_3" hidden="1">{#N/A,#N/A,FALSE,"Pharm";#N/A,#N/A,FALSE,"WWCM"}</definedName>
    <definedName name="FVG_4" localSheetId="0" hidden="1">{#N/A,#N/A,FALSE,"Pharm";#N/A,#N/A,FALSE,"WWCM"}</definedName>
    <definedName name="FVG_4" localSheetId="6" hidden="1">{#N/A,#N/A,FALSE,"Pharm";#N/A,#N/A,FALSE,"WWCM"}</definedName>
    <definedName name="FVG_4" hidden="1">{#N/A,#N/A,FALSE,"Pharm";#N/A,#N/A,FALSE,"WWCM"}</definedName>
    <definedName name="FVG_5" localSheetId="0" hidden="1">{#N/A,#N/A,FALSE,"Pharm";#N/A,#N/A,FALSE,"WWCM"}</definedName>
    <definedName name="FVG_5" localSheetId="6" hidden="1">{#N/A,#N/A,FALSE,"Pharm";#N/A,#N/A,FALSE,"WWCM"}</definedName>
    <definedName name="FVG_5" hidden="1">{#N/A,#N/A,FALSE,"Pharm";#N/A,#N/A,FALSE,"WWCM"}</definedName>
    <definedName name="fwdf" hidden="1">"67ad5a16-93f8-4927-ac14-141740949fc5"</definedName>
    <definedName name="fwef" localSheetId="0" hidden="1">{"Graphic",#N/A,TRUE,"Graphic"}</definedName>
    <definedName name="fwef" localSheetId="6" hidden="1">{"Graphic",#N/A,TRUE,"Graphic"}</definedName>
    <definedName name="fwef" hidden="1">{"Graphic",#N/A,TRUE,"Graphic"}</definedName>
    <definedName name="fwef_1" localSheetId="0" hidden="1">{"Graphic",#N/A,TRUE,"Graphic"}</definedName>
    <definedName name="fwef_1" localSheetId="6" hidden="1">{"Graphic",#N/A,TRUE,"Graphic"}</definedName>
    <definedName name="fwef_1" hidden="1">{"Graphic",#N/A,TRUE,"Graphic"}</definedName>
    <definedName name="FWEFWEIB" hidden="1">#REF!</definedName>
    <definedName name="FWQEF" hidden="1">#REF!</definedName>
    <definedName name="FX">#REF!</definedName>
    <definedName name="FX_NONE" hidden="1">#REF!</definedName>
    <definedName name="FX_TOGGLE" hidden="1">#REF!</definedName>
    <definedName name="FXCurrencies" hidden="1">#REF!</definedName>
    <definedName name="FY_DATE" hidden="1">"FY_DATE"</definedName>
    <definedName name="fyCoverDate">#REF!</definedName>
    <definedName name="fys">#REF!</definedName>
    <definedName name="fyui" localSheetId="0" hidden="1">{#N/A,#N/A,FALSE,"P&amp;L"}</definedName>
    <definedName name="fyui" localSheetId="6" hidden="1">{#N/A,#N/A,FALSE,"P&amp;L"}</definedName>
    <definedName name="fyui" hidden="1">{#N/A,#N/A,FALSE,"P&amp;L"}</definedName>
    <definedName name="FZCC" hidden="1">#REF!</definedName>
    <definedName name="g" localSheetId="0" hidden="1">{"'INDICE'!$A$1:$K$13","'1'!$A$1:$CC$78","'2'!$A$1:$P$78","'3'!$A$1:$CI$78","'4'!$A$1:$Q$78"}</definedName>
    <definedName name="g" localSheetId="6" hidden="1">{"'INDICE'!$A$1:$K$13","'1'!$A$1:$CC$78","'2'!$A$1:$P$78","'3'!$A$1:$CI$78","'4'!$A$1:$Q$78"}</definedName>
    <definedName name="g" hidden="1">{"'INDICE'!$A$1:$K$13","'1'!$A$1:$CC$78","'2'!$A$1:$P$78","'3'!$A$1:$CI$78","'4'!$A$1:$Q$78"}</definedName>
    <definedName name="g_1" localSheetId="0" hidden="1">{"'INDICE'!$A$1:$K$13","'1'!$A$1:$CC$78","'2'!$A$1:$P$78","'3'!$A$1:$CI$78","'4'!$A$1:$Q$78"}</definedName>
    <definedName name="g_1" localSheetId="6" hidden="1">{"'INDICE'!$A$1:$K$13","'1'!$A$1:$CC$78","'2'!$A$1:$P$78","'3'!$A$1:$CI$78","'4'!$A$1:$Q$78"}</definedName>
    <definedName name="g_1" hidden="1">{"'INDICE'!$A$1:$K$13","'1'!$A$1:$CC$78","'2'!$A$1:$P$78","'3'!$A$1:$CI$78","'4'!$A$1:$Q$78"}</definedName>
    <definedName name="g_1_1" localSheetId="0" hidden="1">{#N/A,#N/A,FALSE,"Pharm";#N/A,#N/A,FALSE,"WWCM"}</definedName>
    <definedName name="g_1_1" localSheetId="6" hidden="1">{#N/A,#N/A,FALSE,"Pharm";#N/A,#N/A,FALSE,"WWCM"}</definedName>
    <definedName name="g_1_1" hidden="1">{#N/A,#N/A,FALSE,"Pharm";#N/A,#N/A,FALSE,"WWCM"}</definedName>
    <definedName name="g_2" localSheetId="0" hidden="1">{#N/A,#N/A,FALSE,"Pharm";#N/A,#N/A,FALSE,"WWCM"}</definedName>
    <definedName name="g_2" localSheetId="6" hidden="1">{#N/A,#N/A,FALSE,"Pharm";#N/A,#N/A,FALSE,"WWCM"}</definedName>
    <definedName name="g_2" hidden="1">{#N/A,#N/A,FALSE,"Pharm";#N/A,#N/A,FALSE,"WWCM"}</definedName>
    <definedName name="g_3" localSheetId="0" hidden="1">{#N/A,#N/A,FALSE,"Pharm";#N/A,#N/A,FALSE,"WWCM"}</definedName>
    <definedName name="g_3" localSheetId="6" hidden="1">{#N/A,#N/A,FALSE,"Pharm";#N/A,#N/A,FALSE,"WWCM"}</definedName>
    <definedName name="g_3" hidden="1">{#N/A,#N/A,FALSE,"Pharm";#N/A,#N/A,FALSE,"WWCM"}</definedName>
    <definedName name="g_4" localSheetId="0" hidden="1">{#N/A,#N/A,FALSE,"Pharm";#N/A,#N/A,FALSE,"WWCM"}</definedName>
    <definedName name="g_4" localSheetId="6" hidden="1">{#N/A,#N/A,FALSE,"Pharm";#N/A,#N/A,FALSE,"WWCM"}</definedName>
    <definedName name="g_4" hidden="1">{#N/A,#N/A,FALSE,"Pharm";#N/A,#N/A,FALSE,"WWCM"}</definedName>
    <definedName name="g_5" localSheetId="0" hidden="1">{#N/A,#N/A,FALSE,"Pharm";#N/A,#N/A,FALSE,"WWCM"}</definedName>
    <definedName name="g_5" localSheetId="6" hidden="1">{#N/A,#N/A,FALSE,"Pharm";#N/A,#N/A,FALSE,"WWCM"}</definedName>
    <definedName name="g_5" hidden="1">{#N/A,#N/A,FALSE,"Pharm";#N/A,#N/A,FALSE,"WWCM"}</definedName>
    <definedName name="G_A_EOSB_exp">#REF!</definedName>
    <definedName name="G_A_total">#REF!</definedName>
    <definedName name="ga">#REF!</definedName>
    <definedName name="GA_EOSI">#REF!</definedName>
    <definedName name="GA_Expenses">#REF!</definedName>
    <definedName name="GA_Other_Expenses">#REF!</definedName>
    <definedName name="GA_Salarie_Wages">#REF!</definedName>
    <definedName name="GAIN_SALE_ASSETS" hidden="1">"GAIN_SALE_ASSETS"</definedName>
    <definedName name="gand" localSheetId="6" hidden="1">{"VIEW1",#N/A,FALSE,"P&amp;L Account 2001-2002";"VIEW2",#N/A,FALSE,"P&amp;L Account 2001-2002";"VIEW3",#N/A,FALSE,"P&amp;L Account 2001-2002";"VIEW4",#N/A,FALSE,"P&amp;L Account 2001-2002"}</definedName>
    <definedName name="gand" hidden="1">{"VIEW1",#N/A,FALSE,"P&amp;L Account 2001-2002";"VIEW2",#N/A,FALSE,"P&amp;L Account 2001-2002";"VIEW3",#N/A,FALSE,"P&amp;L Account 2001-2002";"VIEW4",#N/A,FALSE,"P&amp;L Account 2001-2002"}</definedName>
    <definedName name="GASDGD"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GASDGD"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GBHJ" localSheetId="0" hidden="1">{#N/A,#N/A,FALSE,"Calc";#N/A,#N/A,FALSE,"Sensitivity";#N/A,#N/A,FALSE,"LT Earn.Dil.";#N/A,#N/A,FALSE,"Dil. AVP"}</definedName>
    <definedName name="GBHJ" localSheetId="6" hidden="1">{#N/A,#N/A,FALSE,"Calc";#N/A,#N/A,FALSE,"Sensitivity";#N/A,#N/A,FALSE,"LT Earn.Dil.";#N/A,#N/A,FALSE,"Dil. AVP"}</definedName>
    <definedName name="GBHJ" hidden="1">{#N/A,#N/A,FALSE,"Calc";#N/A,#N/A,FALSE,"Sensitivity";#N/A,#N/A,FALSE,"LT Earn.Dil.";#N/A,#N/A,FALSE,"Dil. AVP"}</definedName>
    <definedName name="Gcc">#REF!</definedName>
    <definedName name="GDF" localSheetId="0" hidden="1">{#N/A,#N/A,FALSE,"COMP"}</definedName>
    <definedName name="GDF" localSheetId="6" hidden="1">{#N/A,#N/A,FALSE,"COMP"}</definedName>
    <definedName name="GDF" hidden="1">{#N/A,#N/A,FALSE,"COMP"}</definedName>
    <definedName name="gdfg" localSheetId="0" hidden="1">{#N/A,#N/A,FALSE,"Umsatz EO BP";#N/A,#N/A,FALSE,"Umsatz EO OP";#N/A,#N/A,FALSE,"ER EO BP";#N/A,#N/A,FALSE,"ER EO OP";#N/A,#N/A,FALSE,"EA EO (2)";#N/A,#N/A,FALSE,"EA EO";#N/A,#N/A,FALSE,"EA EO (3)";#N/A,#N/A,FALSE,"EA EO (4)";#N/A,#N/A,FALSE,"KA EO  (2)";#N/A,#N/A,FALSE,"KA EO";#N/A,#N/A,FALSE,"KA EO  (3)";#N/A,#N/A,FALSE,"KA EO (4)"}</definedName>
    <definedName name="gdfg" localSheetId="6" hidden="1">{#N/A,#N/A,FALSE,"Umsatz EO BP";#N/A,#N/A,FALSE,"Umsatz EO OP";#N/A,#N/A,FALSE,"ER EO BP";#N/A,#N/A,FALSE,"ER EO OP";#N/A,#N/A,FALSE,"EA EO (2)";#N/A,#N/A,FALSE,"EA EO";#N/A,#N/A,FALSE,"EA EO (3)";#N/A,#N/A,FALSE,"EA EO (4)";#N/A,#N/A,FALSE,"KA EO  (2)";#N/A,#N/A,FALSE,"KA EO";#N/A,#N/A,FALSE,"KA EO  (3)";#N/A,#N/A,FALSE,"KA EO (4)"}</definedName>
    <definedName name="gdfg" hidden="1">{#N/A,#N/A,FALSE,"Umsatz EO BP";#N/A,#N/A,FALSE,"Umsatz EO OP";#N/A,#N/A,FALSE,"ER EO BP";#N/A,#N/A,FALSE,"ER EO OP";#N/A,#N/A,FALSE,"EA EO (2)";#N/A,#N/A,FALSE,"EA EO";#N/A,#N/A,FALSE,"EA EO (3)";#N/A,#N/A,FALSE,"EA EO (4)";#N/A,#N/A,FALSE,"KA EO  (2)";#N/A,#N/A,FALSE,"KA EO";#N/A,#N/A,FALSE,"KA EO  (3)";#N/A,#N/A,FALSE,"KA EO (4)"}</definedName>
    <definedName name="gdfg_1" localSheetId="0" hidden="1">{#N/A,#N/A,FALSE,"Umsatz EO BP";#N/A,#N/A,FALSE,"Umsatz EO OP";#N/A,#N/A,FALSE,"ER EO BP";#N/A,#N/A,FALSE,"ER EO OP";#N/A,#N/A,FALSE,"EA EO (2)";#N/A,#N/A,FALSE,"EA EO";#N/A,#N/A,FALSE,"EA EO (3)";#N/A,#N/A,FALSE,"EA EO (4)";#N/A,#N/A,FALSE,"KA EO  (2)";#N/A,#N/A,FALSE,"KA EO";#N/A,#N/A,FALSE,"KA EO  (3)";#N/A,#N/A,FALSE,"KA EO (4)"}</definedName>
    <definedName name="gdfg_1" localSheetId="6" hidden="1">{#N/A,#N/A,FALSE,"Umsatz EO BP";#N/A,#N/A,FALSE,"Umsatz EO OP";#N/A,#N/A,FALSE,"ER EO BP";#N/A,#N/A,FALSE,"ER EO OP";#N/A,#N/A,FALSE,"EA EO (2)";#N/A,#N/A,FALSE,"EA EO";#N/A,#N/A,FALSE,"EA EO (3)";#N/A,#N/A,FALSE,"EA EO (4)";#N/A,#N/A,FALSE,"KA EO  (2)";#N/A,#N/A,FALSE,"KA EO";#N/A,#N/A,FALSE,"KA EO  (3)";#N/A,#N/A,FALSE,"KA EO (4)"}</definedName>
    <definedName name="gdfg_1" hidden="1">{#N/A,#N/A,FALSE,"Umsatz EO BP";#N/A,#N/A,FALSE,"Umsatz EO OP";#N/A,#N/A,FALSE,"ER EO BP";#N/A,#N/A,FALSE,"ER EO OP";#N/A,#N/A,FALSE,"EA EO (2)";#N/A,#N/A,FALSE,"EA EO";#N/A,#N/A,FALSE,"EA EO (3)";#N/A,#N/A,FALSE,"EA EO (4)";#N/A,#N/A,FALSE,"KA EO  (2)";#N/A,#N/A,FALSE,"KA EO";#N/A,#N/A,FALSE,"KA EO  (3)";#N/A,#N/A,FALSE,"KA EO (4)"}</definedName>
    <definedName name="gdfg_1_1" localSheetId="0" hidden="1">{#N/A,#N/A,FALSE,"Umsatz EO BP";#N/A,#N/A,FALSE,"Umsatz EO OP";#N/A,#N/A,FALSE,"ER EO BP";#N/A,#N/A,FALSE,"ER EO OP";#N/A,#N/A,FALSE,"EA EO (2)";#N/A,#N/A,FALSE,"EA EO";#N/A,#N/A,FALSE,"EA EO (3)";#N/A,#N/A,FALSE,"EA EO (4)";#N/A,#N/A,FALSE,"KA EO  (2)";#N/A,#N/A,FALSE,"KA EO";#N/A,#N/A,FALSE,"KA EO  (3)";#N/A,#N/A,FALSE,"KA EO (4)"}</definedName>
    <definedName name="gdfg_1_1" localSheetId="6" hidden="1">{#N/A,#N/A,FALSE,"Umsatz EO BP";#N/A,#N/A,FALSE,"Umsatz EO OP";#N/A,#N/A,FALSE,"ER EO BP";#N/A,#N/A,FALSE,"ER EO OP";#N/A,#N/A,FALSE,"EA EO (2)";#N/A,#N/A,FALSE,"EA EO";#N/A,#N/A,FALSE,"EA EO (3)";#N/A,#N/A,FALSE,"EA EO (4)";#N/A,#N/A,FALSE,"KA EO  (2)";#N/A,#N/A,FALSE,"KA EO";#N/A,#N/A,FALSE,"KA EO  (3)";#N/A,#N/A,FALSE,"KA EO (4)"}</definedName>
    <definedName name="gdfg_1_1" hidden="1">{#N/A,#N/A,FALSE,"Umsatz EO BP";#N/A,#N/A,FALSE,"Umsatz EO OP";#N/A,#N/A,FALSE,"ER EO BP";#N/A,#N/A,FALSE,"ER EO OP";#N/A,#N/A,FALSE,"EA EO (2)";#N/A,#N/A,FALSE,"EA EO";#N/A,#N/A,FALSE,"EA EO (3)";#N/A,#N/A,FALSE,"EA EO (4)";#N/A,#N/A,FALSE,"KA EO  (2)";#N/A,#N/A,FALSE,"KA EO";#N/A,#N/A,FALSE,"KA EO  (3)";#N/A,#N/A,FALSE,"KA EO (4)"}</definedName>
    <definedName name="gdfg_2" localSheetId="0" hidden="1">{#N/A,#N/A,FALSE,"Umsatz EO BP";#N/A,#N/A,FALSE,"Umsatz EO OP";#N/A,#N/A,FALSE,"ER EO BP";#N/A,#N/A,FALSE,"ER EO OP";#N/A,#N/A,FALSE,"EA EO (2)";#N/A,#N/A,FALSE,"EA EO";#N/A,#N/A,FALSE,"EA EO (3)";#N/A,#N/A,FALSE,"EA EO (4)";#N/A,#N/A,FALSE,"KA EO  (2)";#N/A,#N/A,FALSE,"KA EO";#N/A,#N/A,FALSE,"KA EO  (3)";#N/A,#N/A,FALSE,"KA EO (4)"}</definedName>
    <definedName name="gdfg_2" localSheetId="6" hidden="1">{#N/A,#N/A,FALSE,"Umsatz EO BP";#N/A,#N/A,FALSE,"Umsatz EO OP";#N/A,#N/A,FALSE,"ER EO BP";#N/A,#N/A,FALSE,"ER EO OP";#N/A,#N/A,FALSE,"EA EO (2)";#N/A,#N/A,FALSE,"EA EO";#N/A,#N/A,FALSE,"EA EO (3)";#N/A,#N/A,FALSE,"EA EO (4)";#N/A,#N/A,FALSE,"KA EO  (2)";#N/A,#N/A,FALSE,"KA EO";#N/A,#N/A,FALSE,"KA EO  (3)";#N/A,#N/A,FALSE,"KA EO (4)"}</definedName>
    <definedName name="gdfg_2" hidden="1">{#N/A,#N/A,FALSE,"Umsatz EO BP";#N/A,#N/A,FALSE,"Umsatz EO OP";#N/A,#N/A,FALSE,"ER EO BP";#N/A,#N/A,FALSE,"ER EO OP";#N/A,#N/A,FALSE,"EA EO (2)";#N/A,#N/A,FALSE,"EA EO";#N/A,#N/A,FALSE,"EA EO (3)";#N/A,#N/A,FALSE,"EA EO (4)";#N/A,#N/A,FALSE,"KA EO  (2)";#N/A,#N/A,FALSE,"KA EO";#N/A,#N/A,FALSE,"KA EO  (3)";#N/A,#N/A,FALSE,"KA EO (4)"}</definedName>
    <definedName name="gdfg_3" localSheetId="0" hidden="1">{#N/A,#N/A,FALSE,"Umsatz EO BP";#N/A,#N/A,FALSE,"Umsatz EO OP";#N/A,#N/A,FALSE,"ER EO BP";#N/A,#N/A,FALSE,"ER EO OP";#N/A,#N/A,FALSE,"EA EO (2)";#N/A,#N/A,FALSE,"EA EO";#N/A,#N/A,FALSE,"EA EO (3)";#N/A,#N/A,FALSE,"EA EO (4)";#N/A,#N/A,FALSE,"KA EO  (2)";#N/A,#N/A,FALSE,"KA EO";#N/A,#N/A,FALSE,"KA EO  (3)";#N/A,#N/A,FALSE,"KA EO (4)"}</definedName>
    <definedName name="gdfg_3" localSheetId="6" hidden="1">{#N/A,#N/A,FALSE,"Umsatz EO BP";#N/A,#N/A,FALSE,"Umsatz EO OP";#N/A,#N/A,FALSE,"ER EO BP";#N/A,#N/A,FALSE,"ER EO OP";#N/A,#N/A,FALSE,"EA EO (2)";#N/A,#N/A,FALSE,"EA EO";#N/A,#N/A,FALSE,"EA EO (3)";#N/A,#N/A,FALSE,"EA EO (4)";#N/A,#N/A,FALSE,"KA EO  (2)";#N/A,#N/A,FALSE,"KA EO";#N/A,#N/A,FALSE,"KA EO  (3)";#N/A,#N/A,FALSE,"KA EO (4)"}</definedName>
    <definedName name="gdfg_3" hidden="1">{#N/A,#N/A,FALSE,"Umsatz EO BP";#N/A,#N/A,FALSE,"Umsatz EO OP";#N/A,#N/A,FALSE,"ER EO BP";#N/A,#N/A,FALSE,"ER EO OP";#N/A,#N/A,FALSE,"EA EO (2)";#N/A,#N/A,FALSE,"EA EO";#N/A,#N/A,FALSE,"EA EO (3)";#N/A,#N/A,FALSE,"EA EO (4)";#N/A,#N/A,FALSE,"KA EO  (2)";#N/A,#N/A,FALSE,"KA EO";#N/A,#N/A,FALSE,"KA EO  (3)";#N/A,#N/A,FALSE,"KA EO (4)"}</definedName>
    <definedName name="gdfg_4" localSheetId="0" hidden="1">{#N/A,#N/A,FALSE,"Umsatz EO BP";#N/A,#N/A,FALSE,"Umsatz EO OP";#N/A,#N/A,FALSE,"ER EO BP";#N/A,#N/A,FALSE,"ER EO OP";#N/A,#N/A,FALSE,"EA EO (2)";#N/A,#N/A,FALSE,"EA EO";#N/A,#N/A,FALSE,"EA EO (3)";#N/A,#N/A,FALSE,"EA EO (4)";#N/A,#N/A,FALSE,"KA EO  (2)";#N/A,#N/A,FALSE,"KA EO";#N/A,#N/A,FALSE,"KA EO  (3)";#N/A,#N/A,FALSE,"KA EO (4)"}</definedName>
    <definedName name="gdfg_4" localSheetId="6" hidden="1">{#N/A,#N/A,FALSE,"Umsatz EO BP";#N/A,#N/A,FALSE,"Umsatz EO OP";#N/A,#N/A,FALSE,"ER EO BP";#N/A,#N/A,FALSE,"ER EO OP";#N/A,#N/A,FALSE,"EA EO (2)";#N/A,#N/A,FALSE,"EA EO";#N/A,#N/A,FALSE,"EA EO (3)";#N/A,#N/A,FALSE,"EA EO (4)";#N/A,#N/A,FALSE,"KA EO  (2)";#N/A,#N/A,FALSE,"KA EO";#N/A,#N/A,FALSE,"KA EO  (3)";#N/A,#N/A,FALSE,"KA EO (4)"}</definedName>
    <definedName name="gdfg_4" hidden="1">{#N/A,#N/A,FALSE,"Umsatz EO BP";#N/A,#N/A,FALSE,"Umsatz EO OP";#N/A,#N/A,FALSE,"ER EO BP";#N/A,#N/A,FALSE,"ER EO OP";#N/A,#N/A,FALSE,"EA EO (2)";#N/A,#N/A,FALSE,"EA EO";#N/A,#N/A,FALSE,"EA EO (3)";#N/A,#N/A,FALSE,"EA EO (4)";#N/A,#N/A,FALSE,"KA EO  (2)";#N/A,#N/A,FALSE,"KA EO";#N/A,#N/A,FALSE,"KA EO  (3)";#N/A,#N/A,FALSE,"KA EO (4)"}</definedName>
    <definedName name="gdfg_5" localSheetId="0" hidden="1">{#N/A,#N/A,FALSE,"Umsatz EO BP";#N/A,#N/A,FALSE,"Umsatz EO OP";#N/A,#N/A,FALSE,"ER EO BP";#N/A,#N/A,FALSE,"ER EO OP";#N/A,#N/A,FALSE,"EA EO (2)";#N/A,#N/A,FALSE,"EA EO";#N/A,#N/A,FALSE,"EA EO (3)";#N/A,#N/A,FALSE,"EA EO (4)";#N/A,#N/A,FALSE,"KA EO  (2)";#N/A,#N/A,FALSE,"KA EO";#N/A,#N/A,FALSE,"KA EO  (3)";#N/A,#N/A,FALSE,"KA EO (4)"}</definedName>
    <definedName name="gdfg_5" localSheetId="6" hidden="1">{#N/A,#N/A,FALSE,"Umsatz EO BP";#N/A,#N/A,FALSE,"Umsatz EO OP";#N/A,#N/A,FALSE,"ER EO BP";#N/A,#N/A,FALSE,"ER EO OP";#N/A,#N/A,FALSE,"EA EO (2)";#N/A,#N/A,FALSE,"EA EO";#N/A,#N/A,FALSE,"EA EO (3)";#N/A,#N/A,FALSE,"EA EO (4)";#N/A,#N/A,FALSE,"KA EO  (2)";#N/A,#N/A,FALSE,"KA EO";#N/A,#N/A,FALSE,"KA EO  (3)";#N/A,#N/A,FALSE,"KA EO (4)"}</definedName>
    <definedName name="gdfg_5" hidden="1">{#N/A,#N/A,FALSE,"Umsatz EO BP";#N/A,#N/A,FALSE,"Umsatz EO OP";#N/A,#N/A,FALSE,"ER EO BP";#N/A,#N/A,FALSE,"ER EO OP";#N/A,#N/A,FALSE,"EA EO (2)";#N/A,#N/A,FALSE,"EA EO";#N/A,#N/A,FALSE,"EA EO (3)";#N/A,#N/A,FALSE,"EA EO (4)";#N/A,#N/A,FALSE,"KA EO  (2)";#N/A,#N/A,FALSE,"KA EO";#N/A,#N/A,FALSE,"KA EO  (3)";#N/A,#N/A,FALSE,"KA EO (4)"}</definedName>
    <definedName name="gdfgdf" localSheetId="0" hidden="1">{#N/A,#N/A,FALSE,"Pharm";#N/A,#N/A,FALSE,"WWCM"}</definedName>
    <definedName name="gdfgdf" localSheetId="6" hidden="1">{#N/A,#N/A,FALSE,"Pharm";#N/A,#N/A,FALSE,"WWCM"}</definedName>
    <definedName name="gdfgdf" hidden="1">{#N/A,#N/A,FALSE,"Pharm";#N/A,#N/A,FALSE,"WWCM"}</definedName>
    <definedName name="gdfgdf_1" localSheetId="0" hidden="1">{#N/A,#N/A,FALSE,"Pharm";#N/A,#N/A,FALSE,"WWCM"}</definedName>
    <definedName name="gdfgdf_1" localSheetId="6" hidden="1">{#N/A,#N/A,FALSE,"Pharm";#N/A,#N/A,FALSE,"WWCM"}</definedName>
    <definedName name="gdfgdf_1" hidden="1">{#N/A,#N/A,FALSE,"Pharm";#N/A,#N/A,FALSE,"WWCM"}</definedName>
    <definedName name="gdfgdf_1_1" localSheetId="0" hidden="1">{#N/A,#N/A,FALSE,"Pharm";#N/A,#N/A,FALSE,"WWCM"}</definedName>
    <definedName name="gdfgdf_1_1" localSheetId="6" hidden="1">{#N/A,#N/A,FALSE,"Pharm";#N/A,#N/A,FALSE,"WWCM"}</definedName>
    <definedName name="gdfgdf_1_1" hidden="1">{#N/A,#N/A,FALSE,"Pharm";#N/A,#N/A,FALSE,"WWCM"}</definedName>
    <definedName name="gdfgdf_2" localSheetId="0" hidden="1">{#N/A,#N/A,FALSE,"Pharm";#N/A,#N/A,FALSE,"WWCM"}</definedName>
    <definedName name="gdfgdf_2" localSheetId="6" hidden="1">{#N/A,#N/A,FALSE,"Pharm";#N/A,#N/A,FALSE,"WWCM"}</definedName>
    <definedName name="gdfgdf_2" hidden="1">{#N/A,#N/A,FALSE,"Pharm";#N/A,#N/A,FALSE,"WWCM"}</definedName>
    <definedName name="gdfgdf_3" localSheetId="0" hidden="1">{#N/A,#N/A,FALSE,"Pharm";#N/A,#N/A,FALSE,"WWCM"}</definedName>
    <definedName name="gdfgdf_3" localSheetId="6" hidden="1">{#N/A,#N/A,FALSE,"Pharm";#N/A,#N/A,FALSE,"WWCM"}</definedName>
    <definedName name="gdfgdf_3" hidden="1">{#N/A,#N/A,FALSE,"Pharm";#N/A,#N/A,FALSE,"WWCM"}</definedName>
    <definedName name="gdfgdf_4" localSheetId="0" hidden="1">{#N/A,#N/A,FALSE,"Pharm";#N/A,#N/A,FALSE,"WWCM"}</definedName>
    <definedName name="gdfgdf_4" localSheetId="6" hidden="1">{#N/A,#N/A,FALSE,"Pharm";#N/A,#N/A,FALSE,"WWCM"}</definedName>
    <definedName name="gdfgdf_4" hidden="1">{#N/A,#N/A,FALSE,"Pharm";#N/A,#N/A,FALSE,"WWCM"}</definedName>
    <definedName name="gdfgdf_5" localSheetId="0" hidden="1">{#N/A,#N/A,FALSE,"Pharm";#N/A,#N/A,FALSE,"WWCM"}</definedName>
    <definedName name="gdfgdf_5" localSheetId="6" hidden="1">{#N/A,#N/A,FALSE,"Pharm";#N/A,#N/A,FALSE,"WWCM"}</definedName>
    <definedName name="gdfgdf_5" hidden="1">{#N/A,#N/A,FALSE,"Pharm";#N/A,#N/A,FALSE,"WWCM"}</definedName>
    <definedName name="gdfsg" localSheetId="0" hidden="1">{#N/A,#N/A,FALSE,"Layout Cash Flow"}</definedName>
    <definedName name="gdfsg" localSheetId="6" hidden="1">{#N/A,#N/A,FALSE,"Layout Cash Flow"}</definedName>
    <definedName name="gdfsg" hidden="1">{#N/A,#N/A,FALSE,"Layout Cash Flow"}</definedName>
    <definedName name="GDRshares">#REF!</definedName>
    <definedName name="gdsfg" localSheetId="0" hidden="1">{#N/A,#N/A,TRUE,"Cover sheet";#N/A,#N/A,TRUE,"INPUTS";#N/A,#N/A,TRUE,"OUTPUTS";#N/A,#N/A,TRUE,"VALUATION"}</definedName>
    <definedName name="gdsfg" localSheetId="6" hidden="1">{#N/A,#N/A,TRUE,"Cover sheet";#N/A,#N/A,TRUE,"INPUTS";#N/A,#N/A,TRUE,"OUTPUTS";#N/A,#N/A,TRUE,"VALUATION"}</definedName>
    <definedName name="gdsfg" hidden="1">{#N/A,#N/A,TRUE,"Cover sheet";#N/A,#N/A,TRUE,"INPUTS";#N/A,#N/A,TRUE,"OUTPUTS";#N/A,#N/A,TRUE,"VALUATION"}</definedName>
    <definedName name="gdszxgfd" localSheetId="0"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gdszxgfd" localSheetId="6"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gdszxgfd"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geamte" localSheetId="0" hidden="1">{#N/A,#N/A,FALSE,"Assessment";#N/A,#N/A,FALSE,"Staffing";#N/A,#N/A,FALSE,"Hires";#N/A,#N/A,FALSE,"Assumptions"}</definedName>
    <definedName name="geamte" localSheetId="6" hidden="1">{#N/A,#N/A,FALSE,"Assessment";#N/A,#N/A,FALSE,"Staffing";#N/A,#N/A,FALSE,"Hires";#N/A,#N/A,FALSE,"Assumptions"}</definedName>
    <definedName name="geamte" hidden="1">{#N/A,#N/A,FALSE,"Assessment";#N/A,#N/A,FALSE,"Staffing";#N/A,#N/A,FALSE,"Hires";#N/A,#N/A,FALSE,"Assumptions"}</definedName>
    <definedName name="geamte_1" localSheetId="0" hidden="1">{#N/A,#N/A,FALSE,"Assessment";#N/A,#N/A,FALSE,"Staffing";#N/A,#N/A,FALSE,"Hires";#N/A,#N/A,FALSE,"Assumptions"}</definedName>
    <definedName name="geamte_1" localSheetId="6" hidden="1">{#N/A,#N/A,FALSE,"Assessment";#N/A,#N/A,FALSE,"Staffing";#N/A,#N/A,FALSE,"Hires";#N/A,#N/A,FALSE,"Assumptions"}</definedName>
    <definedName name="geamte_1" hidden="1">{#N/A,#N/A,FALSE,"Assessment";#N/A,#N/A,FALSE,"Staffing";#N/A,#N/A,FALSE,"Hires";#N/A,#N/A,FALSE,"Assumptions"}</definedName>
    <definedName name="GEMinerCode">#REF!</definedName>
    <definedName name="general_note">#REF!</definedName>
    <definedName name="georges" localSheetId="0" hidden="1">{#N/A,#N/A,FALSE,"Tabl. FB300";#N/A,#N/A,FALSE,"Tabl. FB350";#N/A,#N/A,FALSE,"Tabl. FB400";#N/A,#N/A,FALSE,"Tabl. FB500";#N/A,#N/A,FALSE,"Tabl. FS090"}</definedName>
    <definedName name="georges" localSheetId="6" hidden="1">{#N/A,#N/A,FALSE,"Tabl. FB300";#N/A,#N/A,FALSE,"Tabl. FB350";#N/A,#N/A,FALSE,"Tabl. FB400";#N/A,#N/A,FALSE,"Tabl. FB500";#N/A,#N/A,FALSE,"Tabl. FS090"}</definedName>
    <definedName name="georges" hidden="1">{#N/A,#N/A,FALSE,"Tabl. FB300";#N/A,#N/A,FALSE,"Tabl. FB350";#N/A,#N/A,FALSE,"Tabl. FB400";#N/A,#N/A,FALSE,"Tabl. FB500";#N/A,#N/A,FALSE,"Tabl. FS090"}</definedName>
    <definedName name="gere" localSheetId="0" hidden="1">{"'INDICE'!$A$1:$K$13","'1'!$A$1:$CC$78","'2'!$A$1:$P$78","'3'!$A$1:$CI$78","'4'!$A$1:$Q$78"}</definedName>
    <definedName name="gere" localSheetId="6" hidden="1">{"'INDICE'!$A$1:$K$13","'1'!$A$1:$CC$78","'2'!$A$1:$P$78","'3'!$A$1:$CI$78","'4'!$A$1:$Q$78"}</definedName>
    <definedName name="gere" hidden="1">{"'INDICE'!$A$1:$K$13","'1'!$A$1:$CC$78","'2'!$A$1:$P$78","'3'!$A$1:$CI$78","'4'!$A$1:$Q$78"}</definedName>
    <definedName name="gere_1" localSheetId="0" hidden="1">{"'INDICE'!$A$1:$K$13","'1'!$A$1:$CC$78","'2'!$A$1:$P$78","'3'!$A$1:$CI$78","'4'!$A$1:$Q$78"}</definedName>
    <definedName name="gere_1" localSheetId="6" hidden="1">{"'INDICE'!$A$1:$K$13","'1'!$A$1:$CC$78","'2'!$A$1:$P$78","'3'!$A$1:$CI$78","'4'!$A$1:$Q$78"}</definedName>
    <definedName name="gere_1" hidden="1">{"'INDICE'!$A$1:$K$13","'1'!$A$1:$CC$78","'2'!$A$1:$P$78","'3'!$A$1:$CI$78","'4'!$A$1:$Q$78"}</definedName>
    <definedName name="GESP1201" localSheetId="6" hidden="1">{#N/A,#N/A,FALSE,"ATIVO";#N/A,#N/A,FALSE,"PASSIVO";#N/A,#N/A,FALSE,"L&amp;P";#N/A,#N/A,FALSE,"INTEREST";#N/A,#N/A,FALSE,"IRDIFERIDO"}</definedName>
    <definedName name="GESP1201" hidden="1">{#N/A,#N/A,FALSE,"ATIVO";#N/A,#N/A,FALSE,"PASSIVO";#N/A,#N/A,FALSE,"L&amp;P";#N/A,#N/A,FALSE,"INTEREST";#N/A,#N/A,FALSE,"IRDIFERIDO"}</definedName>
    <definedName name="gf" localSheetId="0" hidden="1">{#N/A,#N/A,FALSE,"KA CH  (2)"}</definedName>
    <definedName name="gf" localSheetId="6" hidden="1">{#N/A,#N/A,FALSE,"KA CH  (2)"}</definedName>
    <definedName name="gf" hidden="1">{#N/A,#N/A,FALSE,"KA CH  (2)"}</definedName>
    <definedName name="gf_1" localSheetId="0" hidden="1">{#N/A,#N/A,FALSE,"KA CH  (2)"}</definedName>
    <definedName name="gf_1" localSheetId="6" hidden="1">{#N/A,#N/A,FALSE,"KA CH  (2)"}</definedName>
    <definedName name="gf_1" hidden="1">{#N/A,#N/A,FALSE,"KA CH  (2)"}</definedName>
    <definedName name="gf_1_1" localSheetId="0" hidden="1">{#N/A,#N/A,FALSE,"KA CH  (2)"}</definedName>
    <definedName name="gf_1_1" localSheetId="6" hidden="1">{#N/A,#N/A,FALSE,"KA CH  (2)"}</definedName>
    <definedName name="gf_1_1" hidden="1">{#N/A,#N/A,FALSE,"KA CH  (2)"}</definedName>
    <definedName name="gf_2" localSheetId="0" hidden="1">{#N/A,#N/A,FALSE,"KA CH  (2)"}</definedName>
    <definedName name="gf_2" localSheetId="6" hidden="1">{#N/A,#N/A,FALSE,"KA CH  (2)"}</definedName>
    <definedName name="gf_2" hidden="1">{#N/A,#N/A,FALSE,"KA CH  (2)"}</definedName>
    <definedName name="gf_3" localSheetId="0" hidden="1">{#N/A,#N/A,FALSE,"KA CH  (2)"}</definedName>
    <definedName name="gf_3" localSheetId="6" hidden="1">{#N/A,#N/A,FALSE,"KA CH  (2)"}</definedName>
    <definedName name="gf_3" hidden="1">{#N/A,#N/A,FALSE,"KA CH  (2)"}</definedName>
    <definedName name="gf_4" localSheetId="0" hidden="1">{#N/A,#N/A,FALSE,"KA CH  (2)"}</definedName>
    <definedName name="gf_4" localSheetId="6" hidden="1">{#N/A,#N/A,FALSE,"KA CH  (2)"}</definedName>
    <definedName name="gf_4" hidden="1">{#N/A,#N/A,FALSE,"KA CH  (2)"}</definedName>
    <definedName name="gf_5" localSheetId="0" hidden="1">{#N/A,#N/A,FALSE,"KA CH  (2)"}</definedName>
    <definedName name="gf_5" localSheetId="6" hidden="1">{#N/A,#N/A,FALSE,"KA CH  (2)"}</definedName>
    <definedName name="gf_5" hidden="1">{#N/A,#N/A,FALSE,"KA CH  (2)"}</definedName>
    <definedName name="gfdgf" localSheetId="6" hidden="1">{"Page1",#N/A,FALSE,"Page1";"Overview",#N/A,FALSE,"Overview";"result",#N/A,FALSE,"Result";"Charts1",#N/A,FALSE,"Charts1";"Charts2",#N/A,FALSE,"Charts2"}</definedName>
    <definedName name="gfdgf" hidden="1">{"Page1",#N/A,FALSE,"Page1";"Overview",#N/A,FALSE,"Overview";"result",#N/A,FALSE,"Result";"Charts1",#N/A,FALSE,"Charts1";"Charts2",#N/A,FALSE,"Charts2"}</definedName>
    <definedName name="gfdgfdg" localSheetId="6"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dg_1" localSheetId="6" hidden="1">{#N/A,#N/A,FALSE,"SumD";#N/A,#N/A,FALSE,"ElecD";#N/A,#N/A,FALSE,"MechD";#N/A,#N/A,FALSE,"GeotD";#N/A,#N/A,FALSE,"PrcsD";#N/A,#N/A,FALSE,"TunnD";#N/A,#N/A,FALSE,"CivlD";#N/A,#N/A,FALSE,"NtwkD";#N/A,#N/A,FALSE,"EstgD";#N/A,#N/A,FALSE,"PEngD"}</definedName>
    <definedName name="gfdgfdg_1" hidden="1">{#N/A,#N/A,FALSE,"SumD";#N/A,#N/A,FALSE,"ElecD";#N/A,#N/A,FALSE,"MechD";#N/A,#N/A,FALSE,"GeotD";#N/A,#N/A,FALSE,"PrcsD";#N/A,#N/A,FALSE,"TunnD";#N/A,#N/A,FALSE,"CivlD";#N/A,#N/A,FALSE,"NtwkD";#N/A,#N/A,FALSE,"EstgD";#N/A,#N/A,FALSE,"PEngD"}</definedName>
    <definedName name="gfdjhjh" localSheetId="0" hidden="1">{#N/A,#N/A,FALSE,"Pharm";#N/A,#N/A,FALSE,"WWCM"}</definedName>
    <definedName name="gfdjhjh" localSheetId="6" hidden="1">{#N/A,#N/A,FALSE,"Pharm";#N/A,#N/A,FALSE,"WWCM"}</definedName>
    <definedName name="gfdjhjh" hidden="1">{#N/A,#N/A,FALSE,"Pharm";#N/A,#N/A,FALSE,"WWCM"}</definedName>
    <definedName name="gfdjhjh_1" localSheetId="0" hidden="1">{#N/A,#N/A,FALSE,"Pharm";#N/A,#N/A,FALSE,"WWCM"}</definedName>
    <definedName name="gfdjhjh_1" localSheetId="6" hidden="1">{#N/A,#N/A,FALSE,"Pharm";#N/A,#N/A,FALSE,"WWCM"}</definedName>
    <definedName name="gfdjhjh_1" hidden="1">{#N/A,#N/A,FALSE,"Pharm";#N/A,#N/A,FALSE,"WWCM"}</definedName>
    <definedName name="gfdjhjh_1_1" localSheetId="0" hidden="1">{#N/A,#N/A,FALSE,"Pharm";#N/A,#N/A,FALSE,"WWCM"}</definedName>
    <definedName name="gfdjhjh_1_1" localSheetId="6" hidden="1">{#N/A,#N/A,FALSE,"Pharm";#N/A,#N/A,FALSE,"WWCM"}</definedName>
    <definedName name="gfdjhjh_1_1" hidden="1">{#N/A,#N/A,FALSE,"Pharm";#N/A,#N/A,FALSE,"WWCM"}</definedName>
    <definedName name="gfdjhjh_2" localSheetId="0" hidden="1">{#N/A,#N/A,FALSE,"Pharm";#N/A,#N/A,FALSE,"WWCM"}</definedName>
    <definedName name="gfdjhjh_2" localSheetId="6" hidden="1">{#N/A,#N/A,FALSE,"Pharm";#N/A,#N/A,FALSE,"WWCM"}</definedName>
    <definedName name="gfdjhjh_2" hidden="1">{#N/A,#N/A,FALSE,"Pharm";#N/A,#N/A,FALSE,"WWCM"}</definedName>
    <definedName name="gfdjhjh_3" localSheetId="0" hidden="1">{#N/A,#N/A,FALSE,"Pharm";#N/A,#N/A,FALSE,"WWCM"}</definedName>
    <definedName name="gfdjhjh_3" localSheetId="6" hidden="1">{#N/A,#N/A,FALSE,"Pharm";#N/A,#N/A,FALSE,"WWCM"}</definedName>
    <definedName name="gfdjhjh_3" hidden="1">{#N/A,#N/A,FALSE,"Pharm";#N/A,#N/A,FALSE,"WWCM"}</definedName>
    <definedName name="gfdjhjh_4" localSheetId="0" hidden="1">{#N/A,#N/A,FALSE,"Pharm";#N/A,#N/A,FALSE,"WWCM"}</definedName>
    <definedName name="gfdjhjh_4" localSheetId="6" hidden="1">{#N/A,#N/A,FALSE,"Pharm";#N/A,#N/A,FALSE,"WWCM"}</definedName>
    <definedName name="gfdjhjh_4" hidden="1">{#N/A,#N/A,FALSE,"Pharm";#N/A,#N/A,FALSE,"WWCM"}</definedName>
    <definedName name="gfdjhjh_5" localSheetId="0" hidden="1">{#N/A,#N/A,FALSE,"Pharm";#N/A,#N/A,FALSE,"WWCM"}</definedName>
    <definedName name="gfdjhjh_5" localSheetId="6" hidden="1">{#N/A,#N/A,FALSE,"Pharm";#N/A,#N/A,FALSE,"WWCM"}</definedName>
    <definedName name="gfdjhjh_5" hidden="1">{#N/A,#N/A,FALSE,"Pharm";#N/A,#N/A,FALSE,"WWCM"}</definedName>
    <definedName name="gfgfgfgfg" localSheetId="6"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fg_1" localSheetId="6" hidden="1">{#N/A,#N/A,FALSE,"SumD";#N/A,#N/A,FALSE,"ElecD";#N/A,#N/A,FALSE,"MechD";#N/A,#N/A,FALSE,"GeotD";#N/A,#N/A,FALSE,"PrcsD";#N/A,#N/A,FALSE,"TunnD";#N/A,#N/A,FALSE,"CivlD";#N/A,#N/A,FALSE,"NtwkD";#N/A,#N/A,FALSE,"EstgD";#N/A,#N/A,FALSE,"PEngD"}</definedName>
    <definedName name="gfgfgfgfg_1" hidden="1">{#N/A,#N/A,FALSE,"SumD";#N/A,#N/A,FALSE,"ElecD";#N/A,#N/A,FALSE,"MechD";#N/A,#N/A,FALSE,"GeotD";#N/A,#N/A,FALSE,"PrcsD";#N/A,#N/A,FALSE,"TunnD";#N/A,#N/A,FALSE,"CivlD";#N/A,#N/A,FALSE,"NtwkD";#N/A,#N/A,FALSE,"EstgD";#N/A,#N/A,FALSE,"PEngD"}</definedName>
    <definedName name="gfgfgfgss" localSheetId="6"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fgss_1" localSheetId="6" hidden="1">{#N/A,#N/A,FALSE,"SumG";#N/A,#N/A,FALSE,"ElecG";#N/A,#N/A,FALSE,"MechG";#N/A,#N/A,FALSE,"GeotG";#N/A,#N/A,FALSE,"PrcsG";#N/A,#N/A,FALSE,"TunnG";#N/A,#N/A,FALSE,"CivlG";#N/A,#N/A,FALSE,"NtwkG";#N/A,#N/A,FALSE,"EstgG";#N/A,#N/A,FALSE,"PEngG"}</definedName>
    <definedName name="gfgfgfgss_1" hidden="1">{#N/A,#N/A,FALSE,"SumG";#N/A,#N/A,FALSE,"ElecG";#N/A,#N/A,FALSE,"MechG";#N/A,#N/A,FALSE,"GeotG";#N/A,#N/A,FALSE,"PrcsG";#N/A,#N/A,FALSE,"TunnG";#N/A,#N/A,FALSE,"CivlG";#N/A,#N/A,FALSE,"NtwkG";#N/A,#N/A,FALSE,"EstgG";#N/A,#N/A,FALSE,"PEngG"}</definedName>
    <definedName name="gfghdfgdf" localSheetId="0" hidden="1">{#N/A,#N/A,FALSE,"Umsatz CH";#N/A,#N/A,FALSE,"ER CH";#N/A,#N/A,FALSE,"EA CH (2) ";#N/A,#N/A,FALSE,"EA CH";#N/A,#N/A,FALSE,"EA CH (3) ";#N/A,#N/A,FALSE,"EA CH (4)";#N/A,#N/A,FALSE,"KA CH";#N/A,#N/A,FALSE,"KA CH  (2)";#N/A,#N/A,FALSE,"KA CH  (3)";#N/A,#N/A,FALSE,"KA CH (4)"}</definedName>
    <definedName name="gfghdfgdf" localSheetId="6" hidden="1">{#N/A,#N/A,FALSE,"Umsatz CH";#N/A,#N/A,FALSE,"ER CH";#N/A,#N/A,FALSE,"EA CH (2) ";#N/A,#N/A,FALSE,"EA CH";#N/A,#N/A,FALSE,"EA CH (3) ";#N/A,#N/A,FALSE,"EA CH (4)";#N/A,#N/A,FALSE,"KA CH";#N/A,#N/A,FALSE,"KA CH  (2)";#N/A,#N/A,FALSE,"KA CH  (3)";#N/A,#N/A,FALSE,"KA CH (4)"}</definedName>
    <definedName name="gfghdfgdf" hidden="1">{#N/A,#N/A,FALSE,"Umsatz CH";#N/A,#N/A,FALSE,"ER CH";#N/A,#N/A,FALSE,"EA CH (2) ";#N/A,#N/A,FALSE,"EA CH";#N/A,#N/A,FALSE,"EA CH (3) ";#N/A,#N/A,FALSE,"EA CH (4)";#N/A,#N/A,FALSE,"KA CH";#N/A,#N/A,FALSE,"KA CH  (2)";#N/A,#N/A,FALSE,"KA CH  (3)";#N/A,#N/A,FALSE,"KA CH (4)"}</definedName>
    <definedName name="gfghdfgdf_1" localSheetId="0" hidden="1">{#N/A,#N/A,FALSE,"Umsatz CH";#N/A,#N/A,FALSE,"ER CH";#N/A,#N/A,FALSE,"EA CH (2) ";#N/A,#N/A,FALSE,"EA CH";#N/A,#N/A,FALSE,"EA CH (3) ";#N/A,#N/A,FALSE,"EA CH (4)";#N/A,#N/A,FALSE,"KA CH";#N/A,#N/A,FALSE,"KA CH  (2)";#N/A,#N/A,FALSE,"KA CH  (3)";#N/A,#N/A,FALSE,"KA CH (4)"}</definedName>
    <definedName name="gfghdfgdf_1" localSheetId="6" hidden="1">{#N/A,#N/A,FALSE,"Umsatz CH";#N/A,#N/A,FALSE,"ER CH";#N/A,#N/A,FALSE,"EA CH (2) ";#N/A,#N/A,FALSE,"EA CH";#N/A,#N/A,FALSE,"EA CH (3) ";#N/A,#N/A,FALSE,"EA CH (4)";#N/A,#N/A,FALSE,"KA CH";#N/A,#N/A,FALSE,"KA CH  (2)";#N/A,#N/A,FALSE,"KA CH  (3)";#N/A,#N/A,FALSE,"KA CH (4)"}</definedName>
    <definedName name="gfghdfgdf_1" hidden="1">{#N/A,#N/A,FALSE,"Umsatz CH";#N/A,#N/A,FALSE,"ER CH";#N/A,#N/A,FALSE,"EA CH (2) ";#N/A,#N/A,FALSE,"EA CH";#N/A,#N/A,FALSE,"EA CH (3) ";#N/A,#N/A,FALSE,"EA CH (4)";#N/A,#N/A,FALSE,"KA CH";#N/A,#N/A,FALSE,"KA CH  (2)";#N/A,#N/A,FALSE,"KA CH  (3)";#N/A,#N/A,FALSE,"KA CH (4)"}</definedName>
    <definedName name="gfghdfgdf_1_1" localSheetId="0" hidden="1">{#N/A,#N/A,FALSE,"Umsatz CH";#N/A,#N/A,FALSE,"ER CH";#N/A,#N/A,FALSE,"EA CH (2) ";#N/A,#N/A,FALSE,"EA CH";#N/A,#N/A,FALSE,"EA CH (3) ";#N/A,#N/A,FALSE,"EA CH (4)";#N/A,#N/A,FALSE,"KA CH";#N/A,#N/A,FALSE,"KA CH  (2)";#N/A,#N/A,FALSE,"KA CH  (3)";#N/A,#N/A,FALSE,"KA CH (4)"}</definedName>
    <definedName name="gfghdfgdf_1_1" localSheetId="6" hidden="1">{#N/A,#N/A,FALSE,"Umsatz CH";#N/A,#N/A,FALSE,"ER CH";#N/A,#N/A,FALSE,"EA CH (2) ";#N/A,#N/A,FALSE,"EA CH";#N/A,#N/A,FALSE,"EA CH (3) ";#N/A,#N/A,FALSE,"EA CH (4)";#N/A,#N/A,FALSE,"KA CH";#N/A,#N/A,FALSE,"KA CH  (2)";#N/A,#N/A,FALSE,"KA CH  (3)";#N/A,#N/A,FALSE,"KA CH (4)"}</definedName>
    <definedName name="gfghdfgdf_1_1" hidden="1">{#N/A,#N/A,FALSE,"Umsatz CH";#N/A,#N/A,FALSE,"ER CH";#N/A,#N/A,FALSE,"EA CH (2) ";#N/A,#N/A,FALSE,"EA CH";#N/A,#N/A,FALSE,"EA CH (3) ";#N/A,#N/A,FALSE,"EA CH (4)";#N/A,#N/A,FALSE,"KA CH";#N/A,#N/A,FALSE,"KA CH  (2)";#N/A,#N/A,FALSE,"KA CH  (3)";#N/A,#N/A,FALSE,"KA CH (4)"}</definedName>
    <definedName name="gfghdfgdf_2" localSheetId="0" hidden="1">{#N/A,#N/A,FALSE,"Umsatz CH";#N/A,#N/A,FALSE,"ER CH";#N/A,#N/A,FALSE,"EA CH (2) ";#N/A,#N/A,FALSE,"EA CH";#N/A,#N/A,FALSE,"EA CH (3) ";#N/A,#N/A,FALSE,"EA CH (4)";#N/A,#N/A,FALSE,"KA CH";#N/A,#N/A,FALSE,"KA CH  (2)";#N/A,#N/A,FALSE,"KA CH  (3)";#N/A,#N/A,FALSE,"KA CH (4)"}</definedName>
    <definedName name="gfghdfgdf_2" localSheetId="6" hidden="1">{#N/A,#N/A,FALSE,"Umsatz CH";#N/A,#N/A,FALSE,"ER CH";#N/A,#N/A,FALSE,"EA CH (2) ";#N/A,#N/A,FALSE,"EA CH";#N/A,#N/A,FALSE,"EA CH (3) ";#N/A,#N/A,FALSE,"EA CH (4)";#N/A,#N/A,FALSE,"KA CH";#N/A,#N/A,FALSE,"KA CH  (2)";#N/A,#N/A,FALSE,"KA CH  (3)";#N/A,#N/A,FALSE,"KA CH (4)"}</definedName>
    <definedName name="gfghdfgdf_2" hidden="1">{#N/A,#N/A,FALSE,"Umsatz CH";#N/A,#N/A,FALSE,"ER CH";#N/A,#N/A,FALSE,"EA CH (2) ";#N/A,#N/A,FALSE,"EA CH";#N/A,#N/A,FALSE,"EA CH (3) ";#N/A,#N/A,FALSE,"EA CH (4)";#N/A,#N/A,FALSE,"KA CH";#N/A,#N/A,FALSE,"KA CH  (2)";#N/A,#N/A,FALSE,"KA CH  (3)";#N/A,#N/A,FALSE,"KA CH (4)"}</definedName>
    <definedName name="gfghdfgdf_3" localSheetId="0" hidden="1">{#N/A,#N/A,FALSE,"Umsatz CH";#N/A,#N/A,FALSE,"ER CH";#N/A,#N/A,FALSE,"EA CH (2) ";#N/A,#N/A,FALSE,"EA CH";#N/A,#N/A,FALSE,"EA CH (3) ";#N/A,#N/A,FALSE,"EA CH (4)";#N/A,#N/A,FALSE,"KA CH";#N/A,#N/A,FALSE,"KA CH  (2)";#N/A,#N/A,FALSE,"KA CH  (3)";#N/A,#N/A,FALSE,"KA CH (4)"}</definedName>
    <definedName name="gfghdfgdf_3" localSheetId="6" hidden="1">{#N/A,#N/A,FALSE,"Umsatz CH";#N/A,#N/A,FALSE,"ER CH";#N/A,#N/A,FALSE,"EA CH (2) ";#N/A,#N/A,FALSE,"EA CH";#N/A,#N/A,FALSE,"EA CH (3) ";#N/A,#N/A,FALSE,"EA CH (4)";#N/A,#N/A,FALSE,"KA CH";#N/A,#N/A,FALSE,"KA CH  (2)";#N/A,#N/A,FALSE,"KA CH  (3)";#N/A,#N/A,FALSE,"KA CH (4)"}</definedName>
    <definedName name="gfghdfgdf_3" hidden="1">{#N/A,#N/A,FALSE,"Umsatz CH";#N/A,#N/A,FALSE,"ER CH";#N/A,#N/A,FALSE,"EA CH (2) ";#N/A,#N/A,FALSE,"EA CH";#N/A,#N/A,FALSE,"EA CH (3) ";#N/A,#N/A,FALSE,"EA CH (4)";#N/A,#N/A,FALSE,"KA CH";#N/A,#N/A,FALSE,"KA CH  (2)";#N/A,#N/A,FALSE,"KA CH  (3)";#N/A,#N/A,FALSE,"KA CH (4)"}</definedName>
    <definedName name="gfghdfgdf_4" localSheetId="0" hidden="1">{#N/A,#N/A,FALSE,"Umsatz CH";#N/A,#N/A,FALSE,"ER CH";#N/A,#N/A,FALSE,"EA CH (2) ";#N/A,#N/A,FALSE,"EA CH";#N/A,#N/A,FALSE,"EA CH (3) ";#N/A,#N/A,FALSE,"EA CH (4)";#N/A,#N/A,FALSE,"KA CH";#N/A,#N/A,FALSE,"KA CH  (2)";#N/A,#N/A,FALSE,"KA CH  (3)";#N/A,#N/A,FALSE,"KA CH (4)"}</definedName>
    <definedName name="gfghdfgdf_4" localSheetId="6" hidden="1">{#N/A,#N/A,FALSE,"Umsatz CH";#N/A,#N/A,FALSE,"ER CH";#N/A,#N/A,FALSE,"EA CH (2) ";#N/A,#N/A,FALSE,"EA CH";#N/A,#N/A,FALSE,"EA CH (3) ";#N/A,#N/A,FALSE,"EA CH (4)";#N/A,#N/A,FALSE,"KA CH";#N/A,#N/A,FALSE,"KA CH  (2)";#N/A,#N/A,FALSE,"KA CH  (3)";#N/A,#N/A,FALSE,"KA CH (4)"}</definedName>
    <definedName name="gfghdfgdf_4" hidden="1">{#N/A,#N/A,FALSE,"Umsatz CH";#N/A,#N/A,FALSE,"ER CH";#N/A,#N/A,FALSE,"EA CH (2) ";#N/A,#N/A,FALSE,"EA CH";#N/A,#N/A,FALSE,"EA CH (3) ";#N/A,#N/A,FALSE,"EA CH (4)";#N/A,#N/A,FALSE,"KA CH";#N/A,#N/A,FALSE,"KA CH  (2)";#N/A,#N/A,FALSE,"KA CH  (3)";#N/A,#N/A,FALSE,"KA CH (4)"}</definedName>
    <definedName name="gfghdfgdf_5" localSheetId="0" hidden="1">{#N/A,#N/A,FALSE,"Umsatz CH";#N/A,#N/A,FALSE,"ER CH";#N/A,#N/A,FALSE,"EA CH (2) ";#N/A,#N/A,FALSE,"EA CH";#N/A,#N/A,FALSE,"EA CH (3) ";#N/A,#N/A,FALSE,"EA CH (4)";#N/A,#N/A,FALSE,"KA CH";#N/A,#N/A,FALSE,"KA CH  (2)";#N/A,#N/A,FALSE,"KA CH  (3)";#N/A,#N/A,FALSE,"KA CH (4)"}</definedName>
    <definedName name="gfghdfgdf_5" localSheetId="6" hidden="1">{#N/A,#N/A,FALSE,"Umsatz CH";#N/A,#N/A,FALSE,"ER CH";#N/A,#N/A,FALSE,"EA CH (2) ";#N/A,#N/A,FALSE,"EA CH";#N/A,#N/A,FALSE,"EA CH (3) ";#N/A,#N/A,FALSE,"EA CH (4)";#N/A,#N/A,FALSE,"KA CH";#N/A,#N/A,FALSE,"KA CH  (2)";#N/A,#N/A,FALSE,"KA CH  (3)";#N/A,#N/A,FALSE,"KA CH (4)"}</definedName>
    <definedName name="gfghdfgdf_5" hidden="1">{#N/A,#N/A,FALSE,"Umsatz CH";#N/A,#N/A,FALSE,"ER CH";#N/A,#N/A,FALSE,"EA CH (2) ";#N/A,#N/A,FALSE,"EA CH";#N/A,#N/A,FALSE,"EA CH (3) ";#N/A,#N/A,FALSE,"EA CH (4)";#N/A,#N/A,FALSE,"KA CH";#N/A,#N/A,FALSE,"KA CH  (2)";#N/A,#N/A,FALSE,"KA CH  (3)";#N/A,#N/A,FALSE,"KA CH (4)"}</definedName>
    <definedName name="gfhfg"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gfhfg"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gfhfgh" localSheetId="0" hidden="1">{#N/A,#N/A,FALSE,"Umsatz HM";#N/A,#N/A,FALSE,"ER HM";#N/A,#N/A,FALSE,"EA HM  (2)";#N/A,#N/A,FALSE,"EA HM ";#N/A,#N/A,FALSE,"EA HM  (4)";#N/A,#N/A,FALSE,"EA HM  (3)";#N/A,#N/A,FALSE,"KA HM  (2)";#N/A,#N/A,FALSE,"KA HM";#N/A,#N/A,FALSE,"KA HM  (3)";#N/A,#N/A,FALSE,"KA HM (4)"}</definedName>
    <definedName name="gfhfgh" localSheetId="6" hidden="1">{#N/A,#N/A,FALSE,"Umsatz HM";#N/A,#N/A,FALSE,"ER HM";#N/A,#N/A,FALSE,"EA HM  (2)";#N/A,#N/A,FALSE,"EA HM ";#N/A,#N/A,FALSE,"EA HM  (4)";#N/A,#N/A,FALSE,"EA HM  (3)";#N/A,#N/A,FALSE,"KA HM  (2)";#N/A,#N/A,FALSE,"KA HM";#N/A,#N/A,FALSE,"KA HM  (3)";#N/A,#N/A,FALSE,"KA HM (4)"}</definedName>
    <definedName name="gfhfgh" hidden="1">{#N/A,#N/A,FALSE,"Umsatz HM";#N/A,#N/A,FALSE,"ER HM";#N/A,#N/A,FALSE,"EA HM  (2)";#N/A,#N/A,FALSE,"EA HM ";#N/A,#N/A,FALSE,"EA HM  (4)";#N/A,#N/A,FALSE,"EA HM  (3)";#N/A,#N/A,FALSE,"KA HM  (2)";#N/A,#N/A,FALSE,"KA HM";#N/A,#N/A,FALSE,"KA HM  (3)";#N/A,#N/A,FALSE,"KA HM (4)"}</definedName>
    <definedName name="gfhfgh_1" localSheetId="0" hidden="1">{#N/A,#N/A,FALSE,"Umsatz HM";#N/A,#N/A,FALSE,"ER HM";#N/A,#N/A,FALSE,"EA HM  (2)";#N/A,#N/A,FALSE,"EA HM ";#N/A,#N/A,FALSE,"EA HM  (4)";#N/A,#N/A,FALSE,"EA HM  (3)";#N/A,#N/A,FALSE,"KA HM  (2)";#N/A,#N/A,FALSE,"KA HM";#N/A,#N/A,FALSE,"KA HM  (3)";#N/A,#N/A,FALSE,"KA HM (4)"}</definedName>
    <definedName name="gfhfgh_1" localSheetId="6" hidden="1">{#N/A,#N/A,FALSE,"Umsatz HM";#N/A,#N/A,FALSE,"ER HM";#N/A,#N/A,FALSE,"EA HM  (2)";#N/A,#N/A,FALSE,"EA HM ";#N/A,#N/A,FALSE,"EA HM  (4)";#N/A,#N/A,FALSE,"EA HM  (3)";#N/A,#N/A,FALSE,"KA HM  (2)";#N/A,#N/A,FALSE,"KA HM";#N/A,#N/A,FALSE,"KA HM  (3)";#N/A,#N/A,FALSE,"KA HM (4)"}</definedName>
    <definedName name="gfhfgh_1" hidden="1">{#N/A,#N/A,FALSE,"Umsatz HM";#N/A,#N/A,FALSE,"ER HM";#N/A,#N/A,FALSE,"EA HM  (2)";#N/A,#N/A,FALSE,"EA HM ";#N/A,#N/A,FALSE,"EA HM  (4)";#N/A,#N/A,FALSE,"EA HM  (3)";#N/A,#N/A,FALSE,"KA HM  (2)";#N/A,#N/A,FALSE,"KA HM";#N/A,#N/A,FALSE,"KA HM  (3)";#N/A,#N/A,FALSE,"KA HM (4)"}</definedName>
    <definedName name="gfhfgh_1_1" localSheetId="0" hidden="1">{#N/A,#N/A,FALSE,"Umsatz HM";#N/A,#N/A,FALSE,"ER HM";#N/A,#N/A,FALSE,"EA HM  (2)";#N/A,#N/A,FALSE,"EA HM ";#N/A,#N/A,FALSE,"EA HM  (4)";#N/A,#N/A,FALSE,"EA HM  (3)";#N/A,#N/A,FALSE,"KA HM  (2)";#N/A,#N/A,FALSE,"KA HM";#N/A,#N/A,FALSE,"KA HM  (3)";#N/A,#N/A,FALSE,"KA HM (4)"}</definedName>
    <definedName name="gfhfgh_1_1" localSheetId="6" hidden="1">{#N/A,#N/A,FALSE,"Umsatz HM";#N/A,#N/A,FALSE,"ER HM";#N/A,#N/A,FALSE,"EA HM  (2)";#N/A,#N/A,FALSE,"EA HM ";#N/A,#N/A,FALSE,"EA HM  (4)";#N/A,#N/A,FALSE,"EA HM  (3)";#N/A,#N/A,FALSE,"KA HM  (2)";#N/A,#N/A,FALSE,"KA HM";#N/A,#N/A,FALSE,"KA HM  (3)";#N/A,#N/A,FALSE,"KA HM (4)"}</definedName>
    <definedName name="gfhfgh_1_1" hidden="1">{#N/A,#N/A,FALSE,"Umsatz HM";#N/A,#N/A,FALSE,"ER HM";#N/A,#N/A,FALSE,"EA HM  (2)";#N/A,#N/A,FALSE,"EA HM ";#N/A,#N/A,FALSE,"EA HM  (4)";#N/A,#N/A,FALSE,"EA HM  (3)";#N/A,#N/A,FALSE,"KA HM  (2)";#N/A,#N/A,FALSE,"KA HM";#N/A,#N/A,FALSE,"KA HM  (3)";#N/A,#N/A,FALSE,"KA HM (4)"}</definedName>
    <definedName name="gfhfgh_2" localSheetId="0" hidden="1">{#N/A,#N/A,FALSE,"Umsatz HM";#N/A,#N/A,FALSE,"ER HM";#N/A,#N/A,FALSE,"EA HM  (2)";#N/A,#N/A,FALSE,"EA HM ";#N/A,#N/A,FALSE,"EA HM  (4)";#N/A,#N/A,FALSE,"EA HM  (3)";#N/A,#N/A,FALSE,"KA HM  (2)";#N/A,#N/A,FALSE,"KA HM";#N/A,#N/A,FALSE,"KA HM  (3)";#N/A,#N/A,FALSE,"KA HM (4)"}</definedName>
    <definedName name="gfhfgh_2" localSheetId="6" hidden="1">{#N/A,#N/A,FALSE,"Umsatz HM";#N/A,#N/A,FALSE,"ER HM";#N/A,#N/A,FALSE,"EA HM  (2)";#N/A,#N/A,FALSE,"EA HM ";#N/A,#N/A,FALSE,"EA HM  (4)";#N/A,#N/A,FALSE,"EA HM  (3)";#N/A,#N/A,FALSE,"KA HM  (2)";#N/A,#N/A,FALSE,"KA HM";#N/A,#N/A,FALSE,"KA HM  (3)";#N/A,#N/A,FALSE,"KA HM (4)"}</definedName>
    <definedName name="gfhfgh_2" hidden="1">{#N/A,#N/A,FALSE,"Umsatz HM";#N/A,#N/A,FALSE,"ER HM";#N/A,#N/A,FALSE,"EA HM  (2)";#N/A,#N/A,FALSE,"EA HM ";#N/A,#N/A,FALSE,"EA HM  (4)";#N/A,#N/A,FALSE,"EA HM  (3)";#N/A,#N/A,FALSE,"KA HM  (2)";#N/A,#N/A,FALSE,"KA HM";#N/A,#N/A,FALSE,"KA HM  (3)";#N/A,#N/A,FALSE,"KA HM (4)"}</definedName>
    <definedName name="gfhfgh_3" localSheetId="0" hidden="1">{#N/A,#N/A,FALSE,"Umsatz HM";#N/A,#N/A,FALSE,"ER HM";#N/A,#N/A,FALSE,"EA HM  (2)";#N/A,#N/A,FALSE,"EA HM ";#N/A,#N/A,FALSE,"EA HM  (4)";#N/A,#N/A,FALSE,"EA HM  (3)";#N/A,#N/A,FALSE,"KA HM  (2)";#N/A,#N/A,FALSE,"KA HM";#N/A,#N/A,FALSE,"KA HM  (3)";#N/A,#N/A,FALSE,"KA HM (4)"}</definedName>
    <definedName name="gfhfgh_3" localSheetId="6" hidden="1">{#N/A,#N/A,FALSE,"Umsatz HM";#N/A,#N/A,FALSE,"ER HM";#N/A,#N/A,FALSE,"EA HM  (2)";#N/A,#N/A,FALSE,"EA HM ";#N/A,#N/A,FALSE,"EA HM  (4)";#N/A,#N/A,FALSE,"EA HM  (3)";#N/A,#N/A,FALSE,"KA HM  (2)";#N/A,#N/A,FALSE,"KA HM";#N/A,#N/A,FALSE,"KA HM  (3)";#N/A,#N/A,FALSE,"KA HM (4)"}</definedName>
    <definedName name="gfhfgh_3" hidden="1">{#N/A,#N/A,FALSE,"Umsatz HM";#N/A,#N/A,FALSE,"ER HM";#N/A,#N/A,FALSE,"EA HM  (2)";#N/A,#N/A,FALSE,"EA HM ";#N/A,#N/A,FALSE,"EA HM  (4)";#N/A,#N/A,FALSE,"EA HM  (3)";#N/A,#N/A,FALSE,"KA HM  (2)";#N/A,#N/A,FALSE,"KA HM";#N/A,#N/A,FALSE,"KA HM  (3)";#N/A,#N/A,FALSE,"KA HM (4)"}</definedName>
    <definedName name="gfhfgh_4" localSheetId="0" hidden="1">{#N/A,#N/A,FALSE,"Umsatz HM";#N/A,#N/A,FALSE,"ER HM";#N/A,#N/A,FALSE,"EA HM  (2)";#N/A,#N/A,FALSE,"EA HM ";#N/A,#N/A,FALSE,"EA HM  (4)";#N/A,#N/A,FALSE,"EA HM  (3)";#N/A,#N/A,FALSE,"KA HM  (2)";#N/A,#N/A,FALSE,"KA HM";#N/A,#N/A,FALSE,"KA HM  (3)";#N/A,#N/A,FALSE,"KA HM (4)"}</definedName>
    <definedName name="gfhfgh_4" localSheetId="6" hidden="1">{#N/A,#N/A,FALSE,"Umsatz HM";#N/A,#N/A,FALSE,"ER HM";#N/A,#N/A,FALSE,"EA HM  (2)";#N/A,#N/A,FALSE,"EA HM ";#N/A,#N/A,FALSE,"EA HM  (4)";#N/A,#N/A,FALSE,"EA HM  (3)";#N/A,#N/A,FALSE,"KA HM  (2)";#N/A,#N/A,FALSE,"KA HM";#N/A,#N/A,FALSE,"KA HM  (3)";#N/A,#N/A,FALSE,"KA HM (4)"}</definedName>
    <definedName name="gfhfgh_4" hidden="1">{#N/A,#N/A,FALSE,"Umsatz HM";#N/A,#N/A,FALSE,"ER HM";#N/A,#N/A,FALSE,"EA HM  (2)";#N/A,#N/A,FALSE,"EA HM ";#N/A,#N/A,FALSE,"EA HM  (4)";#N/A,#N/A,FALSE,"EA HM  (3)";#N/A,#N/A,FALSE,"KA HM  (2)";#N/A,#N/A,FALSE,"KA HM";#N/A,#N/A,FALSE,"KA HM  (3)";#N/A,#N/A,FALSE,"KA HM (4)"}</definedName>
    <definedName name="gfhfgh_5" localSheetId="0" hidden="1">{#N/A,#N/A,FALSE,"Umsatz HM";#N/A,#N/A,FALSE,"ER HM";#N/A,#N/A,FALSE,"EA HM  (2)";#N/A,#N/A,FALSE,"EA HM ";#N/A,#N/A,FALSE,"EA HM  (4)";#N/A,#N/A,FALSE,"EA HM  (3)";#N/A,#N/A,FALSE,"KA HM  (2)";#N/A,#N/A,FALSE,"KA HM";#N/A,#N/A,FALSE,"KA HM  (3)";#N/A,#N/A,FALSE,"KA HM (4)"}</definedName>
    <definedName name="gfhfgh_5" localSheetId="6" hidden="1">{#N/A,#N/A,FALSE,"Umsatz HM";#N/A,#N/A,FALSE,"ER HM";#N/A,#N/A,FALSE,"EA HM  (2)";#N/A,#N/A,FALSE,"EA HM ";#N/A,#N/A,FALSE,"EA HM  (4)";#N/A,#N/A,FALSE,"EA HM  (3)";#N/A,#N/A,FALSE,"KA HM  (2)";#N/A,#N/A,FALSE,"KA HM";#N/A,#N/A,FALSE,"KA HM  (3)";#N/A,#N/A,FALSE,"KA HM (4)"}</definedName>
    <definedName name="gfhfgh_5" hidden="1">{#N/A,#N/A,FALSE,"Umsatz HM";#N/A,#N/A,FALSE,"ER HM";#N/A,#N/A,FALSE,"EA HM  (2)";#N/A,#N/A,FALSE,"EA HM ";#N/A,#N/A,FALSE,"EA HM  (4)";#N/A,#N/A,FALSE,"EA HM  (3)";#N/A,#N/A,FALSE,"KA HM  (2)";#N/A,#N/A,FALSE,"KA HM";#N/A,#N/A,FALSE,"KA HM  (3)";#N/A,#N/A,FALSE,"KA HM (4)"}</definedName>
    <definedName name="gfhfghgsdfghfg" localSheetId="0" hidden="1">{#N/A,#N/A,FALSE,"Umsatz 99";#N/A,#N/A,FALSE,"ER 99 "}</definedName>
    <definedName name="gfhfghgsdfghfg" localSheetId="6" hidden="1">{#N/A,#N/A,FALSE,"Umsatz 99";#N/A,#N/A,FALSE,"ER 99 "}</definedName>
    <definedName name="gfhfghgsdfghfg" hidden="1">{#N/A,#N/A,FALSE,"Umsatz 99";#N/A,#N/A,FALSE,"ER 99 "}</definedName>
    <definedName name="gfhfghgsdfghfg_1" localSheetId="0" hidden="1">{#N/A,#N/A,FALSE,"Umsatz 99";#N/A,#N/A,FALSE,"ER 99 "}</definedName>
    <definedName name="gfhfghgsdfghfg_1" localSheetId="6" hidden="1">{#N/A,#N/A,FALSE,"Umsatz 99";#N/A,#N/A,FALSE,"ER 99 "}</definedName>
    <definedName name="gfhfghgsdfghfg_1" hidden="1">{#N/A,#N/A,FALSE,"Umsatz 99";#N/A,#N/A,FALSE,"ER 99 "}</definedName>
    <definedName name="gfhfghgsdfghfg_1_1" localSheetId="0" hidden="1">{#N/A,#N/A,FALSE,"Umsatz 99";#N/A,#N/A,FALSE,"ER 99 "}</definedName>
    <definedName name="gfhfghgsdfghfg_1_1" localSheetId="6" hidden="1">{#N/A,#N/A,FALSE,"Umsatz 99";#N/A,#N/A,FALSE,"ER 99 "}</definedName>
    <definedName name="gfhfghgsdfghfg_1_1" hidden="1">{#N/A,#N/A,FALSE,"Umsatz 99";#N/A,#N/A,FALSE,"ER 99 "}</definedName>
    <definedName name="gfhfghgsdfghfg_2" localSheetId="0" hidden="1">{#N/A,#N/A,FALSE,"Umsatz 99";#N/A,#N/A,FALSE,"ER 99 "}</definedName>
    <definedName name="gfhfghgsdfghfg_2" localSheetId="6" hidden="1">{#N/A,#N/A,FALSE,"Umsatz 99";#N/A,#N/A,FALSE,"ER 99 "}</definedName>
    <definedName name="gfhfghgsdfghfg_2" hidden="1">{#N/A,#N/A,FALSE,"Umsatz 99";#N/A,#N/A,FALSE,"ER 99 "}</definedName>
    <definedName name="gfhfghgsdfghfg_3" localSheetId="0" hidden="1">{#N/A,#N/A,FALSE,"Umsatz 99";#N/A,#N/A,FALSE,"ER 99 "}</definedName>
    <definedName name="gfhfghgsdfghfg_3" localSheetId="6" hidden="1">{#N/A,#N/A,FALSE,"Umsatz 99";#N/A,#N/A,FALSE,"ER 99 "}</definedName>
    <definedName name="gfhfghgsdfghfg_3" hidden="1">{#N/A,#N/A,FALSE,"Umsatz 99";#N/A,#N/A,FALSE,"ER 99 "}</definedName>
    <definedName name="gfhfghgsdfghfg_4" localSheetId="0" hidden="1">{#N/A,#N/A,FALSE,"Umsatz 99";#N/A,#N/A,FALSE,"ER 99 "}</definedName>
    <definedName name="gfhfghgsdfghfg_4" localSheetId="6" hidden="1">{#N/A,#N/A,FALSE,"Umsatz 99";#N/A,#N/A,FALSE,"ER 99 "}</definedName>
    <definedName name="gfhfghgsdfghfg_4" hidden="1">{#N/A,#N/A,FALSE,"Umsatz 99";#N/A,#N/A,FALSE,"ER 99 "}</definedName>
    <definedName name="gfhfghgsdfghfg_5" localSheetId="0" hidden="1">{#N/A,#N/A,FALSE,"Umsatz 99";#N/A,#N/A,FALSE,"ER 99 "}</definedName>
    <definedName name="gfhfghgsdfghfg_5" localSheetId="6" hidden="1">{#N/A,#N/A,FALSE,"Umsatz 99";#N/A,#N/A,FALSE,"ER 99 "}</definedName>
    <definedName name="gfhfghgsdfghfg_5" hidden="1">{#N/A,#N/A,FALSE,"Umsatz 99";#N/A,#N/A,FALSE,"ER 99 "}</definedName>
    <definedName name="gfhg" hidden="1">#REF!</definedName>
    <definedName name="gfhh" localSheetId="0" hidden="1">{#N/A,#N/A,FALSE,"Umsatz CH";#N/A,#N/A,FALSE,"ER CH";#N/A,#N/A,FALSE,"EA CH (2) ";#N/A,#N/A,FALSE,"EA CH";#N/A,#N/A,FALSE,"EA CH (3) ";#N/A,#N/A,FALSE,"EA CH (4)";#N/A,#N/A,FALSE,"KA CH";#N/A,#N/A,FALSE,"KA CH  (2)";#N/A,#N/A,FALSE,"KA CH  (3)";#N/A,#N/A,FALSE,"KA CH (4)"}</definedName>
    <definedName name="gfhh" localSheetId="6" hidden="1">{#N/A,#N/A,FALSE,"Umsatz CH";#N/A,#N/A,FALSE,"ER CH";#N/A,#N/A,FALSE,"EA CH (2) ";#N/A,#N/A,FALSE,"EA CH";#N/A,#N/A,FALSE,"EA CH (3) ";#N/A,#N/A,FALSE,"EA CH (4)";#N/A,#N/A,FALSE,"KA CH";#N/A,#N/A,FALSE,"KA CH  (2)";#N/A,#N/A,FALSE,"KA CH  (3)";#N/A,#N/A,FALSE,"KA CH (4)"}</definedName>
    <definedName name="gfhh" hidden="1">{#N/A,#N/A,FALSE,"Umsatz CH";#N/A,#N/A,FALSE,"ER CH";#N/A,#N/A,FALSE,"EA CH (2) ";#N/A,#N/A,FALSE,"EA CH";#N/A,#N/A,FALSE,"EA CH (3) ";#N/A,#N/A,FALSE,"EA CH (4)";#N/A,#N/A,FALSE,"KA CH";#N/A,#N/A,FALSE,"KA CH  (2)";#N/A,#N/A,FALSE,"KA CH  (3)";#N/A,#N/A,FALSE,"KA CH (4)"}</definedName>
    <definedName name="gfhh_1" localSheetId="0" hidden="1">{#N/A,#N/A,FALSE,"Umsatz CH";#N/A,#N/A,FALSE,"ER CH";#N/A,#N/A,FALSE,"EA CH (2) ";#N/A,#N/A,FALSE,"EA CH";#N/A,#N/A,FALSE,"EA CH (3) ";#N/A,#N/A,FALSE,"EA CH (4)";#N/A,#N/A,FALSE,"KA CH";#N/A,#N/A,FALSE,"KA CH  (2)";#N/A,#N/A,FALSE,"KA CH  (3)";#N/A,#N/A,FALSE,"KA CH (4)"}</definedName>
    <definedName name="gfhh_1" localSheetId="6" hidden="1">{#N/A,#N/A,FALSE,"Umsatz CH";#N/A,#N/A,FALSE,"ER CH";#N/A,#N/A,FALSE,"EA CH (2) ";#N/A,#N/A,FALSE,"EA CH";#N/A,#N/A,FALSE,"EA CH (3) ";#N/A,#N/A,FALSE,"EA CH (4)";#N/A,#N/A,FALSE,"KA CH";#N/A,#N/A,FALSE,"KA CH  (2)";#N/A,#N/A,FALSE,"KA CH  (3)";#N/A,#N/A,FALSE,"KA CH (4)"}</definedName>
    <definedName name="gfhh_1" hidden="1">{#N/A,#N/A,FALSE,"Umsatz CH";#N/A,#N/A,FALSE,"ER CH";#N/A,#N/A,FALSE,"EA CH (2) ";#N/A,#N/A,FALSE,"EA CH";#N/A,#N/A,FALSE,"EA CH (3) ";#N/A,#N/A,FALSE,"EA CH (4)";#N/A,#N/A,FALSE,"KA CH";#N/A,#N/A,FALSE,"KA CH  (2)";#N/A,#N/A,FALSE,"KA CH  (3)";#N/A,#N/A,FALSE,"KA CH (4)"}</definedName>
    <definedName name="gfhh_1_1" localSheetId="0" hidden="1">{#N/A,#N/A,FALSE,"Umsatz CH";#N/A,#N/A,FALSE,"ER CH";#N/A,#N/A,FALSE,"EA CH (2) ";#N/A,#N/A,FALSE,"EA CH";#N/A,#N/A,FALSE,"EA CH (3) ";#N/A,#N/A,FALSE,"EA CH (4)";#N/A,#N/A,FALSE,"KA CH";#N/A,#N/A,FALSE,"KA CH  (2)";#N/A,#N/A,FALSE,"KA CH  (3)";#N/A,#N/A,FALSE,"KA CH (4)"}</definedName>
    <definedName name="gfhh_1_1" localSheetId="6" hidden="1">{#N/A,#N/A,FALSE,"Umsatz CH";#N/A,#N/A,FALSE,"ER CH";#N/A,#N/A,FALSE,"EA CH (2) ";#N/A,#N/A,FALSE,"EA CH";#N/A,#N/A,FALSE,"EA CH (3) ";#N/A,#N/A,FALSE,"EA CH (4)";#N/A,#N/A,FALSE,"KA CH";#N/A,#N/A,FALSE,"KA CH  (2)";#N/A,#N/A,FALSE,"KA CH  (3)";#N/A,#N/A,FALSE,"KA CH (4)"}</definedName>
    <definedName name="gfhh_1_1" hidden="1">{#N/A,#N/A,FALSE,"Umsatz CH";#N/A,#N/A,FALSE,"ER CH";#N/A,#N/A,FALSE,"EA CH (2) ";#N/A,#N/A,FALSE,"EA CH";#N/A,#N/A,FALSE,"EA CH (3) ";#N/A,#N/A,FALSE,"EA CH (4)";#N/A,#N/A,FALSE,"KA CH";#N/A,#N/A,FALSE,"KA CH  (2)";#N/A,#N/A,FALSE,"KA CH  (3)";#N/A,#N/A,FALSE,"KA CH (4)"}</definedName>
    <definedName name="gfhh_2" localSheetId="0" hidden="1">{#N/A,#N/A,FALSE,"Umsatz CH";#N/A,#N/A,FALSE,"ER CH";#N/A,#N/A,FALSE,"EA CH (2) ";#N/A,#N/A,FALSE,"EA CH";#N/A,#N/A,FALSE,"EA CH (3) ";#N/A,#N/A,FALSE,"EA CH (4)";#N/A,#N/A,FALSE,"KA CH";#N/A,#N/A,FALSE,"KA CH  (2)";#N/A,#N/A,FALSE,"KA CH  (3)";#N/A,#N/A,FALSE,"KA CH (4)"}</definedName>
    <definedName name="gfhh_2" localSheetId="6" hidden="1">{#N/A,#N/A,FALSE,"Umsatz CH";#N/A,#N/A,FALSE,"ER CH";#N/A,#N/A,FALSE,"EA CH (2) ";#N/A,#N/A,FALSE,"EA CH";#N/A,#N/A,FALSE,"EA CH (3) ";#N/A,#N/A,FALSE,"EA CH (4)";#N/A,#N/A,FALSE,"KA CH";#N/A,#N/A,FALSE,"KA CH  (2)";#N/A,#N/A,FALSE,"KA CH  (3)";#N/A,#N/A,FALSE,"KA CH (4)"}</definedName>
    <definedName name="gfhh_2" hidden="1">{#N/A,#N/A,FALSE,"Umsatz CH";#N/A,#N/A,FALSE,"ER CH";#N/A,#N/A,FALSE,"EA CH (2) ";#N/A,#N/A,FALSE,"EA CH";#N/A,#N/A,FALSE,"EA CH (3) ";#N/A,#N/A,FALSE,"EA CH (4)";#N/A,#N/A,FALSE,"KA CH";#N/A,#N/A,FALSE,"KA CH  (2)";#N/A,#N/A,FALSE,"KA CH  (3)";#N/A,#N/A,FALSE,"KA CH (4)"}</definedName>
    <definedName name="gfhh_3" localSheetId="0" hidden="1">{#N/A,#N/A,FALSE,"Umsatz CH";#N/A,#N/A,FALSE,"ER CH";#N/A,#N/A,FALSE,"EA CH (2) ";#N/A,#N/A,FALSE,"EA CH";#N/A,#N/A,FALSE,"EA CH (3) ";#N/A,#N/A,FALSE,"EA CH (4)";#N/A,#N/A,FALSE,"KA CH";#N/A,#N/A,FALSE,"KA CH  (2)";#N/A,#N/A,FALSE,"KA CH  (3)";#N/A,#N/A,FALSE,"KA CH (4)"}</definedName>
    <definedName name="gfhh_3" localSheetId="6" hidden="1">{#N/A,#N/A,FALSE,"Umsatz CH";#N/A,#N/A,FALSE,"ER CH";#N/A,#N/A,FALSE,"EA CH (2) ";#N/A,#N/A,FALSE,"EA CH";#N/A,#N/A,FALSE,"EA CH (3) ";#N/A,#N/A,FALSE,"EA CH (4)";#N/A,#N/A,FALSE,"KA CH";#N/A,#N/A,FALSE,"KA CH  (2)";#N/A,#N/A,FALSE,"KA CH  (3)";#N/A,#N/A,FALSE,"KA CH (4)"}</definedName>
    <definedName name="gfhh_3" hidden="1">{#N/A,#N/A,FALSE,"Umsatz CH";#N/A,#N/A,FALSE,"ER CH";#N/A,#N/A,FALSE,"EA CH (2) ";#N/A,#N/A,FALSE,"EA CH";#N/A,#N/A,FALSE,"EA CH (3) ";#N/A,#N/A,FALSE,"EA CH (4)";#N/A,#N/A,FALSE,"KA CH";#N/A,#N/A,FALSE,"KA CH  (2)";#N/A,#N/A,FALSE,"KA CH  (3)";#N/A,#N/A,FALSE,"KA CH (4)"}</definedName>
    <definedName name="gfhh_4" localSheetId="0" hidden="1">{#N/A,#N/A,FALSE,"Umsatz CH";#N/A,#N/A,FALSE,"ER CH";#N/A,#N/A,FALSE,"EA CH (2) ";#N/A,#N/A,FALSE,"EA CH";#N/A,#N/A,FALSE,"EA CH (3) ";#N/A,#N/A,FALSE,"EA CH (4)";#N/A,#N/A,FALSE,"KA CH";#N/A,#N/A,FALSE,"KA CH  (2)";#N/A,#N/A,FALSE,"KA CH  (3)";#N/A,#N/A,FALSE,"KA CH (4)"}</definedName>
    <definedName name="gfhh_4" localSheetId="6" hidden="1">{#N/A,#N/A,FALSE,"Umsatz CH";#N/A,#N/A,FALSE,"ER CH";#N/A,#N/A,FALSE,"EA CH (2) ";#N/A,#N/A,FALSE,"EA CH";#N/A,#N/A,FALSE,"EA CH (3) ";#N/A,#N/A,FALSE,"EA CH (4)";#N/A,#N/A,FALSE,"KA CH";#N/A,#N/A,FALSE,"KA CH  (2)";#N/A,#N/A,FALSE,"KA CH  (3)";#N/A,#N/A,FALSE,"KA CH (4)"}</definedName>
    <definedName name="gfhh_4" hidden="1">{#N/A,#N/A,FALSE,"Umsatz CH";#N/A,#N/A,FALSE,"ER CH";#N/A,#N/A,FALSE,"EA CH (2) ";#N/A,#N/A,FALSE,"EA CH";#N/A,#N/A,FALSE,"EA CH (3) ";#N/A,#N/A,FALSE,"EA CH (4)";#N/A,#N/A,FALSE,"KA CH";#N/A,#N/A,FALSE,"KA CH  (2)";#N/A,#N/A,FALSE,"KA CH  (3)";#N/A,#N/A,FALSE,"KA CH (4)"}</definedName>
    <definedName name="gfhh_5" localSheetId="0" hidden="1">{#N/A,#N/A,FALSE,"Umsatz CH";#N/A,#N/A,FALSE,"ER CH";#N/A,#N/A,FALSE,"EA CH (2) ";#N/A,#N/A,FALSE,"EA CH";#N/A,#N/A,FALSE,"EA CH (3) ";#N/A,#N/A,FALSE,"EA CH (4)";#N/A,#N/A,FALSE,"KA CH";#N/A,#N/A,FALSE,"KA CH  (2)";#N/A,#N/A,FALSE,"KA CH  (3)";#N/A,#N/A,FALSE,"KA CH (4)"}</definedName>
    <definedName name="gfhh_5" localSheetId="6" hidden="1">{#N/A,#N/A,FALSE,"Umsatz CH";#N/A,#N/A,FALSE,"ER CH";#N/A,#N/A,FALSE,"EA CH (2) ";#N/A,#N/A,FALSE,"EA CH";#N/A,#N/A,FALSE,"EA CH (3) ";#N/A,#N/A,FALSE,"EA CH (4)";#N/A,#N/A,FALSE,"KA CH";#N/A,#N/A,FALSE,"KA CH  (2)";#N/A,#N/A,FALSE,"KA CH  (3)";#N/A,#N/A,FALSE,"KA CH (4)"}</definedName>
    <definedName name="gfhh_5" hidden="1">{#N/A,#N/A,FALSE,"Umsatz CH";#N/A,#N/A,FALSE,"ER CH";#N/A,#N/A,FALSE,"EA CH (2) ";#N/A,#N/A,FALSE,"EA CH";#N/A,#N/A,FALSE,"EA CH (3) ";#N/A,#N/A,FALSE,"EA CH (4)";#N/A,#N/A,FALSE,"KA CH";#N/A,#N/A,FALSE,"KA CH  (2)";#N/A,#N/A,FALSE,"KA CH  (3)";#N/A,#N/A,FALSE,"KA CH (4)"}</definedName>
    <definedName name="gfmgf" localSheetId="0" hidden="1">{#N/A,#N/A,FALSE,"Assessment";#N/A,#N/A,FALSE,"Staffing";#N/A,#N/A,FALSE,"Hires";#N/A,#N/A,FALSE,"Assumptions"}</definedName>
    <definedName name="gfmgf" localSheetId="6" hidden="1">{#N/A,#N/A,FALSE,"Assessment";#N/A,#N/A,FALSE,"Staffing";#N/A,#N/A,FALSE,"Hires";#N/A,#N/A,FALSE,"Assumptions"}</definedName>
    <definedName name="gfmgf" hidden="1">{#N/A,#N/A,FALSE,"Assessment";#N/A,#N/A,FALSE,"Staffing";#N/A,#N/A,FALSE,"Hires";#N/A,#N/A,FALSE,"Assumptions"}</definedName>
    <definedName name="gfmgf_1" localSheetId="0" hidden="1">{#N/A,#N/A,FALSE,"Assessment";#N/A,#N/A,FALSE,"Staffing";#N/A,#N/A,FALSE,"Hires";#N/A,#N/A,FALSE,"Assumptions"}</definedName>
    <definedName name="gfmgf_1" localSheetId="6" hidden="1">{#N/A,#N/A,FALSE,"Assessment";#N/A,#N/A,FALSE,"Staffing";#N/A,#N/A,FALSE,"Hires";#N/A,#N/A,FALSE,"Assumptions"}</definedName>
    <definedName name="gfmgf_1" hidden="1">{#N/A,#N/A,FALSE,"Assessment";#N/A,#N/A,FALSE,"Staffing";#N/A,#N/A,FALSE,"Hires";#N/A,#N/A,FALSE,"Assumptions"}</definedName>
    <definedName name="gfngfngffg" localSheetId="0" hidden="1">{#N/A,#N/A,FALSE,"Assessment";#N/A,#N/A,FALSE,"Staffing";#N/A,#N/A,FALSE,"Hires";#N/A,#N/A,FALSE,"Assumptions"}</definedName>
    <definedName name="gfngfngffg" localSheetId="6" hidden="1">{#N/A,#N/A,FALSE,"Assessment";#N/A,#N/A,FALSE,"Staffing";#N/A,#N/A,FALSE,"Hires";#N/A,#N/A,FALSE,"Assumptions"}</definedName>
    <definedName name="gfngfngffg" hidden="1">{#N/A,#N/A,FALSE,"Assessment";#N/A,#N/A,FALSE,"Staffing";#N/A,#N/A,FALSE,"Hires";#N/A,#N/A,FALSE,"Assumptions"}</definedName>
    <definedName name="gfngfngffg_1" localSheetId="0" hidden="1">{#N/A,#N/A,FALSE,"Assessment";#N/A,#N/A,FALSE,"Staffing";#N/A,#N/A,FALSE,"Hires";#N/A,#N/A,FALSE,"Assumptions"}</definedName>
    <definedName name="gfngfngffg_1" localSheetId="6" hidden="1">{#N/A,#N/A,FALSE,"Assessment";#N/A,#N/A,FALSE,"Staffing";#N/A,#N/A,FALSE,"Hires";#N/A,#N/A,FALSE,"Assumptions"}</definedName>
    <definedName name="gfngfngffg_1" hidden="1">{#N/A,#N/A,FALSE,"Assessment";#N/A,#N/A,FALSE,"Staffing";#N/A,#N/A,FALSE,"Hires";#N/A,#N/A,FALSE,"Assumptions"}</definedName>
    <definedName name="gfrr" localSheetId="0" hidden="1">{#N/A,#N/A,FALSE,"Umsatz 99";#N/A,#N/A,FALSE,"ER 99 "}</definedName>
    <definedName name="gfrr" localSheetId="6" hidden="1">{#N/A,#N/A,FALSE,"Umsatz 99";#N/A,#N/A,FALSE,"ER 99 "}</definedName>
    <definedName name="gfrr" hidden="1">{#N/A,#N/A,FALSE,"Umsatz 99";#N/A,#N/A,FALSE,"ER 99 "}</definedName>
    <definedName name="gfrr_1" localSheetId="0" hidden="1">{#N/A,#N/A,FALSE,"Umsatz 99";#N/A,#N/A,FALSE,"ER 99 "}</definedName>
    <definedName name="gfrr_1" localSheetId="6" hidden="1">{#N/A,#N/A,FALSE,"Umsatz 99";#N/A,#N/A,FALSE,"ER 99 "}</definedName>
    <definedName name="gfrr_1" hidden="1">{#N/A,#N/A,FALSE,"Umsatz 99";#N/A,#N/A,FALSE,"ER 99 "}</definedName>
    <definedName name="gfrr_1_1" localSheetId="0" hidden="1">{#N/A,#N/A,FALSE,"Umsatz 99";#N/A,#N/A,FALSE,"ER 99 "}</definedName>
    <definedName name="gfrr_1_1" localSheetId="6" hidden="1">{#N/A,#N/A,FALSE,"Umsatz 99";#N/A,#N/A,FALSE,"ER 99 "}</definedName>
    <definedName name="gfrr_1_1" hidden="1">{#N/A,#N/A,FALSE,"Umsatz 99";#N/A,#N/A,FALSE,"ER 99 "}</definedName>
    <definedName name="gfrr_2" localSheetId="0" hidden="1">{#N/A,#N/A,FALSE,"Umsatz 99";#N/A,#N/A,FALSE,"ER 99 "}</definedName>
    <definedName name="gfrr_2" localSheetId="6" hidden="1">{#N/A,#N/A,FALSE,"Umsatz 99";#N/A,#N/A,FALSE,"ER 99 "}</definedName>
    <definedName name="gfrr_2" hidden="1">{#N/A,#N/A,FALSE,"Umsatz 99";#N/A,#N/A,FALSE,"ER 99 "}</definedName>
    <definedName name="gfrr_3" localSheetId="0" hidden="1">{#N/A,#N/A,FALSE,"Umsatz 99";#N/A,#N/A,FALSE,"ER 99 "}</definedName>
    <definedName name="gfrr_3" localSheetId="6" hidden="1">{#N/A,#N/A,FALSE,"Umsatz 99";#N/A,#N/A,FALSE,"ER 99 "}</definedName>
    <definedName name="gfrr_3" hidden="1">{#N/A,#N/A,FALSE,"Umsatz 99";#N/A,#N/A,FALSE,"ER 99 "}</definedName>
    <definedName name="gfrr_4" localSheetId="0" hidden="1">{#N/A,#N/A,FALSE,"Umsatz 99";#N/A,#N/A,FALSE,"ER 99 "}</definedName>
    <definedName name="gfrr_4" localSheetId="6" hidden="1">{#N/A,#N/A,FALSE,"Umsatz 99";#N/A,#N/A,FALSE,"ER 99 "}</definedName>
    <definedName name="gfrr_4" hidden="1">{#N/A,#N/A,FALSE,"Umsatz 99";#N/A,#N/A,FALSE,"ER 99 "}</definedName>
    <definedName name="gfrr_5" localSheetId="0" hidden="1">{#N/A,#N/A,FALSE,"Umsatz 99";#N/A,#N/A,FALSE,"ER 99 "}</definedName>
    <definedName name="gfrr_5" localSheetId="6" hidden="1">{#N/A,#N/A,FALSE,"Umsatz 99";#N/A,#N/A,FALSE,"ER 99 "}</definedName>
    <definedName name="gfrr_5" hidden="1">{#N/A,#N/A,FALSE,"Umsatz 99";#N/A,#N/A,FALSE,"ER 99 "}</definedName>
    <definedName name="gg"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gg"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gg"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gg_1" localSheetId="0" hidden="1">{#N/A,#N/A,FALSE,"Umsatz EO BP";#N/A,#N/A,FALSE,"Umsatz EO OP";#N/A,#N/A,FALSE,"ER EO BP";#N/A,#N/A,FALSE,"ER EO OP";#N/A,#N/A,FALSE,"EA EO (2)";#N/A,#N/A,FALSE,"EA EO";#N/A,#N/A,FALSE,"EA EO (3)";#N/A,#N/A,FALSE,"EA EO (4)";#N/A,#N/A,FALSE,"KA EO  (2)";#N/A,#N/A,FALSE,"KA EO";#N/A,#N/A,FALSE,"KA EO  (3)";#N/A,#N/A,FALSE,"KA EO (4)"}</definedName>
    <definedName name="gg_1" localSheetId="6" hidden="1">{#N/A,#N/A,FALSE,"Umsatz EO BP";#N/A,#N/A,FALSE,"Umsatz EO OP";#N/A,#N/A,FALSE,"ER EO BP";#N/A,#N/A,FALSE,"ER EO OP";#N/A,#N/A,FALSE,"EA EO (2)";#N/A,#N/A,FALSE,"EA EO";#N/A,#N/A,FALSE,"EA EO (3)";#N/A,#N/A,FALSE,"EA EO (4)";#N/A,#N/A,FALSE,"KA EO  (2)";#N/A,#N/A,FALSE,"KA EO";#N/A,#N/A,FALSE,"KA EO  (3)";#N/A,#N/A,FALSE,"KA EO (4)"}</definedName>
    <definedName name="gg_1" hidden="1">{#N/A,#N/A,FALSE,"Umsatz EO BP";#N/A,#N/A,FALSE,"Umsatz EO OP";#N/A,#N/A,FALSE,"ER EO BP";#N/A,#N/A,FALSE,"ER EO OP";#N/A,#N/A,FALSE,"EA EO (2)";#N/A,#N/A,FALSE,"EA EO";#N/A,#N/A,FALSE,"EA EO (3)";#N/A,#N/A,FALSE,"EA EO (4)";#N/A,#N/A,FALSE,"KA EO  (2)";#N/A,#N/A,FALSE,"KA EO";#N/A,#N/A,FALSE,"KA EO  (3)";#N/A,#N/A,FALSE,"KA EO (4)"}</definedName>
    <definedName name="gg_1_1" localSheetId="0" hidden="1">{#N/A,#N/A,FALSE,"Umsatz EO BP";#N/A,#N/A,FALSE,"Umsatz EO OP";#N/A,#N/A,FALSE,"ER EO BP";#N/A,#N/A,FALSE,"ER EO OP";#N/A,#N/A,FALSE,"EA EO (2)";#N/A,#N/A,FALSE,"EA EO";#N/A,#N/A,FALSE,"EA EO (3)";#N/A,#N/A,FALSE,"EA EO (4)";#N/A,#N/A,FALSE,"KA EO  (2)";#N/A,#N/A,FALSE,"KA EO";#N/A,#N/A,FALSE,"KA EO  (3)";#N/A,#N/A,FALSE,"KA EO (4)"}</definedName>
    <definedName name="gg_1_1" localSheetId="6" hidden="1">{#N/A,#N/A,FALSE,"Umsatz EO BP";#N/A,#N/A,FALSE,"Umsatz EO OP";#N/A,#N/A,FALSE,"ER EO BP";#N/A,#N/A,FALSE,"ER EO OP";#N/A,#N/A,FALSE,"EA EO (2)";#N/A,#N/A,FALSE,"EA EO";#N/A,#N/A,FALSE,"EA EO (3)";#N/A,#N/A,FALSE,"EA EO (4)";#N/A,#N/A,FALSE,"KA EO  (2)";#N/A,#N/A,FALSE,"KA EO";#N/A,#N/A,FALSE,"KA EO  (3)";#N/A,#N/A,FALSE,"KA EO (4)"}</definedName>
    <definedName name="gg_1_1" hidden="1">{#N/A,#N/A,FALSE,"Umsatz EO BP";#N/A,#N/A,FALSE,"Umsatz EO OP";#N/A,#N/A,FALSE,"ER EO BP";#N/A,#N/A,FALSE,"ER EO OP";#N/A,#N/A,FALSE,"EA EO (2)";#N/A,#N/A,FALSE,"EA EO";#N/A,#N/A,FALSE,"EA EO (3)";#N/A,#N/A,FALSE,"EA EO (4)";#N/A,#N/A,FALSE,"KA EO  (2)";#N/A,#N/A,FALSE,"KA EO";#N/A,#N/A,FALSE,"KA EO  (3)";#N/A,#N/A,FALSE,"KA EO (4)"}</definedName>
    <definedName name="gg_2" localSheetId="0" hidden="1">{#N/A,#N/A,FALSE,"Umsatz EO BP";#N/A,#N/A,FALSE,"Umsatz EO OP";#N/A,#N/A,FALSE,"ER EO BP";#N/A,#N/A,FALSE,"ER EO OP";#N/A,#N/A,FALSE,"EA EO (2)";#N/A,#N/A,FALSE,"EA EO";#N/A,#N/A,FALSE,"EA EO (3)";#N/A,#N/A,FALSE,"EA EO (4)";#N/A,#N/A,FALSE,"KA EO  (2)";#N/A,#N/A,FALSE,"KA EO";#N/A,#N/A,FALSE,"KA EO  (3)";#N/A,#N/A,FALSE,"KA EO (4)"}</definedName>
    <definedName name="gg_2" localSheetId="6" hidden="1">{#N/A,#N/A,FALSE,"Umsatz EO BP";#N/A,#N/A,FALSE,"Umsatz EO OP";#N/A,#N/A,FALSE,"ER EO BP";#N/A,#N/A,FALSE,"ER EO OP";#N/A,#N/A,FALSE,"EA EO (2)";#N/A,#N/A,FALSE,"EA EO";#N/A,#N/A,FALSE,"EA EO (3)";#N/A,#N/A,FALSE,"EA EO (4)";#N/A,#N/A,FALSE,"KA EO  (2)";#N/A,#N/A,FALSE,"KA EO";#N/A,#N/A,FALSE,"KA EO  (3)";#N/A,#N/A,FALSE,"KA EO (4)"}</definedName>
    <definedName name="gg_2" hidden="1">{#N/A,#N/A,FALSE,"Umsatz EO BP";#N/A,#N/A,FALSE,"Umsatz EO OP";#N/A,#N/A,FALSE,"ER EO BP";#N/A,#N/A,FALSE,"ER EO OP";#N/A,#N/A,FALSE,"EA EO (2)";#N/A,#N/A,FALSE,"EA EO";#N/A,#N/A,FALSE,"EA EO (3)";#N/A,#N/A,FALSE,"EA EO (4)";#N/A,#N/A,FALSE,"KA EO  (2)";#N/A,#N/A,FALSE,"KA EO";#N/A,#N/A,FALSE,"KA EO  (3)";#N/A,#N/A,FALSE,"KA EO (4)"}</definedName>
    <definedName name="gg_3" localSheetId="0" hidden="1">{#N/A,#N/A,FALSE,"Umsatz EO BP";#N/A,#N/A,FALSE,"Umsatz EO OP";#N/A,#N/A,FALSE,"ER EO BP";#N/A,#N/A,FALSE,"ER EO OP";#N/A,#N/A,FALSE,"EA EO (2)";#N/A,#N/A,FALSE,"EA EO";#N/A,#N/A,FALSE,"EA EO (3)";#N/A,#N/A,FALSE,"EA EO (4)";#N/A,#N/A,FALSE,"KA EO  (2)";#N/A,#N/A,FALSE,"KA EO";#N/A,#N/A,FALSE,"KA EO  (3)";#N/A,#N/A,FALSE,"KA EO (4)"}</definedName>
    <definedName name="gg_3" localSheetId="6" hidden="1">{#N/A,#N/A,FALSE,"Umsatz EO BP";#N/A,#N/A,FALSE,"Umsatz EO OP";#N/A,#N/A,FALSE,"ER EO BP";#N/A,#N/A,FALSE,"ER EO OP";#N/A,#N/A,FALSE,"EA EO (2)";#N/A,#N/A,FALSE,"EA EO";#N/A,#N/A,FALSE,"EA EO (3)";#N/A,#N/A,FALSE,"EA EO (4)";#N/A,#N/A,FALSE,"KA EO  (2)";#N/A,#N/A,FALSE,"KA EO";#N/A,#N/A,FALSE,"KA EO  (3)";#N/A,#N/A,FALSE,"KA EO (4)"}</definedName>
    <definedName name="gg_3" hidden="1">{#N/A,#N/A,FALSE,"Umsatz EO BP";#N/A,#N/A,FALSE,"Umsatz EO OP";#N/A,#N/A,FALSE,"ER EO BP";#N/A,#N/A,FALSE,"ER EO OP";#N/A,#N/A,FALSE,"EA EO (2)";#N/A,#N/A,FALSE,"EA EO";#N/A,#N/A,FALSE,"EA EO (3)";#N/A,#N/A,FALSE,"EA EO (4)";#N/A,#N/A,FALSE,"KA EO  (2)";#N/A,#N/A,FALSE,"KA EO";#N/A,#N/A,FALSE,"KA EO  (3)";#N/A,#N/A,FALSE,"KA EO (4)"}</definedName>
    <definedName name="gg_4" localSheetId="0" hidden="1">{#N/A,#N/A,FALSE,"Umsatz EO BP";#N/A,#N/A,FALSE,"Umsatz EO OP";#N/A,#N/A,FALSE,"ER EO BP";#N/A,#N/A,FALSE,"ER EO OP";#N/A,#N/A,FALSE,"EA EO (2)";#N/A,#N/A,FALSE,"EA EO";#N/A,#N/A,FALSE,"EA EO (3)";#N/A,#N/A,FALSE,"EA EO (4)";#N/A,#N/A,FALSE,"KA EO  (2)";#N/A,#N/A,FALSE,"KA EO";#N/A,#N/A,FALSE,"KA EO  (3)";#N/A,#N/A,FALSE,"KA EO (4)"}</definedName>
    <definedName name="gg_4" localSheetId="6" hidden="1">{#N/A,#N/A,FALSE,"Umsatz EO BP";#N/A,#N/A,FALSE,"Umsatz EO OP";#N/A,#N/A,FALSE,"ER EO BP";#N/A,#N/A,FALSE,"ER EO OP";#N/A,#N/A,FALSE,"EA EO (2)";#N/A,#N/A,FALSE,"EA EO";#N/A,#N/A,FALSE,"EA EO (3)";#N/A,#N/A,FALSE,"EA EO (4)";#N/A,#N/A,FALSE,"KA EO  (2)";#N/A,#N/A,FALSE,"KA EO";#N/A,#N/A,FALSE,"KA EO  (3)";#N/A,#N/A,FALSE,"KA EO (4)"}</definedName>
    <definedName name="gg_4" hidden="1">{#N/A,#N/A,FALSE,"Umsatz EO BP";#N/A,#N/A,FALSE,"Umsatz EO OP";#N/A,#N/A,FALSE,"ER EO BP";#N/A,#N/A,FALSE,"ER EO OP";#N/A,#N/A,FALSE,"EA EO (2)";#N/A,#N/A,FALSE,"EA EO";#N/A,#N/A,FALSE,"EA EO (3)";#N/A,#N/A,FALSE,"EA EO (4)";#N/A,#N/A,FALSE,"KA EO  (2)";#N/A,#N/A,FALSE,"KA EO";#N/A,#N/A,FALSE,"KA EO  (3)";#N/A,#N/A,FALSE,"KA EO (4)"}</definedName>
    <definedName name="gg_5" localSheetId="0" hidden="1">{#N/A,#N/A,FALSE,"Umsatz EO BP";#N/A,#N/A,FALSE,"Umsatz EO OP";#N/A,#N/A,FALSE,"ER EO BP";#N/A,#N/A,FALSE,"ER EO OP";#N/A,#N/A,FALSE,"EA EO (2)";#N/A,#N/A,FALSE,"EA EO";#N/A,#N/A,FALSE,"EA EO (3)";#N/A,#N/A,FALSE,"EA EO (4)";#N/A,#N/A,FALSE,"KA EO  (2)";#N/A,#N/A,FALSE,"KA EO";#N/A,#N/A,FALSE,"KA EO  (3)";#N/A,#N/A,FALSE,"KA EO (4)"}</definedName>
    <definedName name="gg_5" localSheetId="6" hidden="1">{#N/A,#N/A,FALSE,"Umsatz EO BP";#N/A,#N/A,FALSE,"Umsatz EO OP";#N/A,#N/A,FALSE,"ER EO BP";#N/A,#N/A,FALSE,"ER EO OP";#N/A,#N/A,FALSE,"EA EO (2)";#N/A,#N/A,FALSE,"EA EO";#N/A,#N/A,FALSE,"EA EO (3)";#N/A,#N/A,FALSE,"EA EO (4)";#N/A,#N/A,FALSE,"KA EO  (2)";#N/A,#N/A,FALSE,"KA EO";#N/A,#N/A,FALSE,"KA EO  (3)";#N/A,#N/A,FALSE,"KA EO (4)"}</definedName>
    <definedName name="gg_5" hidden="1">{#N/A,#N/A,FALSE,"Umsatz EO BP";#N/A,#N/A,FALSE,"Umsatz EO OP";#N/A,#N/A,FALSE,"ER EO BP";#N/A,#N/A,FALSE,"ER EO OP";#N/A,#N/A,FALSE,"EA EO (2)";#N/A,#N/A,FALSE,"EA EO";#N/A,#N/A,FALSE,"EA EO (3)";#N/A,#N/A,FALSE,"EA EO (4)";#N/A,#N/A,FALSE,"KA EO  (2)";#N/A,#N/A,FALSE,"KA EO";#N/A,#N/A,FALSE,"KA EO  (3)";#N/A,#N/A,FALSE,"KA EO (4)"}</definedName>
    <definedName name="ggb" localSheetId="6" hidden="1">{"Assumptions",#N/A,FALSE,"Sheet1";"Main Report",#N/A,FALSE,"Sheet1";"Results",#N/A,FALSE,"Sheet1";"Advances",#N/A,FALSE,"Sheet1"}</definedName>
    <definedName name="ggb" hidden="1">{"Assumptions",#N/A,FALSE,"Sheet1";"Main Report",#N/A,FALSE,"Sheet1";"Results",#N/A,FALSE,"Sheet1";"Advances",#N/A,FALSE,"Sheet1"}</definedName>
    <definedName name="ggf" localSheetId="0" hidden="1">{"comps",#N/A,FALSE,"comps";"notes",#N/A,FALSE,"comps"}</definedName>
    <definedName name="ggf" localSheetId="6" hidden="1">{"comps",#N/A,FALSE,"comps";"notes",#N/A,FALSE,"comps"}</definedName>
    <definedName name="ggf" hidden="1">{"comps",#N/A,FALSE,"comps";"notes",#N/A,FALSE,"comps"}</definedName>
    <definedName name="ggg" localSheetId="0" hidden="1">{"DECIMAL",#N/A,FALSE,"02"}</definedName>
    <definedName name="ggg" localSheetId="6" hidden="1">{"DECIMAL",#N/A,FALSE,"02"}</definedName>
    <definedName name="ggg" hidden="1">{"DECIMAL",#N/A,FALSE,"02"}</definedName>
    <definedName name="gggg" localSheetId="0" hidden="1">{"PRINTCENTRE1",#N/A,FALSE,"Print Centre";"PRINTCENTRE2",#N/A,FALSE,"Print Centre"}</definedName>
    <definedName name="gggg" localSheetId="6" hidden="1">{"PRINTCENTRE1",#N/A,FALSE,"Print Centre";"PRINTCENTRE2",#N/A,FALSE,"Print Centre"}</definedName>
    <definedName name="gggg" hidden="1">{"PRINTCENTRE1",#N/A,FALSE,"Print Centre";"PRINTCENTRE2",#N/A,FALSE,"Print Centre"}</definedName>
    <definedName name="gggg_1" localSheetId="0" hidden="1">{"PRINTCENTRE1",#N/A,FALSE,"Print Centre";"PRINTCENTRE2",#N/A,FALSE,"Print Centre"}</definedName>
    <definedName name="gggg_1" localSheetId="6" hidden="1">{"PRINTCENTRE1",#N/A,FALSE,"Print Centre";"PRINTCENTRE2",#N/A,FALSE,"Print Centre"}</definedName>
    <definedName name="gggg_1" hidden="1">{"PRINTCENTRE1",#N/A,FALSE,"Print Centre";"PRINTCENTRE2",#N/A,FALSE,"Print Centre"}</definedName>
    <definedName name="gggg_1_1" localSheetId="0" hidden="1">{#N/A,#N/A,FALSE,"Umsatz 99";#N/A,#N/A,FALSE,"ER 99 "}</definedName>
    <definedName name="gggg_1_1" localSheetId="6" hidden="1">{#N/A,#N/A,FALSE,"Umsatz 99";#N/A,#N/A,FALSE,"ER 99 "}</definedName>
    <definedName name="gggg_1_1" hidden="1">{#N/A,#N/A,FALSE,"Umsatz 99";#N/A,#N/A,FALSE,"ER 99 "}</definedName>
    <definedName name="gggg_2" localSheetId="0" hidden="1">{#N/A,#N/A,FALSE,"Umsatz 99";#N/A,#N/A,FALSE,"ER 99 "}</definedName>
    <definedName name="gggg_2" localSheetId="6" hidden="1">{#N/A,#N/A,FALSE,"Umsatz 99";#N/A,#N/A,FALSE,"ER 99 "}</definedName>
    <definedName name="gggg_2" hidden="1">{#N/A,#N/A,FALSE,"Umsatz 99";#N/A,#N/A,FALSE,"ER 99 "}</definedName>
    <definedName name="gggg_3" localSheetId="0" hidden="1">{#N/A,#N/A,FALSE,"Umsatz 99";#N/A,#N/A,FALSE,"ER 99 "}</definedName>
    <definedName name="gggg_3" localSheetId="6" hidden="1">{#N/A,#N/A,FALSE,"Umsatz 99";#N/A,#N/A,FALSE,"ER 99 "}</definedName>
    <definedName name="gggg_3" hidden="1">{#N/A,#N/A,FALSE,"Umsatz 99";#N/A,#N/A,FALSE,"ER 99 "}</definedName>
    <definedName name="gggg_4" localSheetId="0" hidden="1">{#N/A,#N/A,FALSE,"Umsatz 99";#N/A,#N/A,FALSE,"ER 99 "}</definedName>
    <definedName name="gggg_4" localSheetId="6" hidden="1">{#N/A,#N/A,FALSE,"Umsatz 99";#N/A,#N/A,FALSE,"ER 99 "}</definedName>
    <definedName name="gggg_4" hidden="1">{#N/A,#N/A,FALSE,"Umsatz 99";#N/A,#N/A,FALSE,"ER 99 "}</definedName>
    <definedName name="gggg_5" localSheetId="0" hidden="1">{#N/A,#N/A,FALSE,"Umsatz 99";#N/A,#N/A,FALSE,"ER 99 "}</definedName>
    <definedName name="gggg_5" localSheetId="6" hidden="1">{#N/A,#N/A,FALSE,"Umsatz 99";#N/A,#N/A,FALSE,"ER 99 "}</definedName>
    <definedName name="gggg_5" hidden="1">{#N/A,#N/A,FALSE,"Umsatz 99";#N/A,#N/A,FALSE,"ER 99 "}</definedName>
    <definedName name="gggggg" localSheetId="6" hidden="1">{#N/A,#N/A,FALSE,"Spo Ole";#N/A,#N/A,FALSE,"Spool";#N/A,#N/A,FALSE,"AMP OT Diffs";#N/A,#N/A,FALSE,"Other OT Diffs ";#N/A,#N/A,FALSE,"Spend Diffs"}</definedName>
    <definedName name="gggggg" hidden="1">{#N/A,#N/A,FALSE,"Spo Ole";#N/A,#N/A,FALSE,"Spool";#N/A,#N/A,FALSE,"AMP OT Diffs";#N/A,#N/A,FALSE,"Other OT Diffs ";#N/A,#N/A,FALSE,"Spend Diffs"}</definedName>
    <definedName name="ggggggggggggg"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ggggggggggggg"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gh"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h"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h"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HDFG" hidden="1">#REF!</definedName>
    <definedName name="ghdg" hidden="1">#REF!</definedName>
    <definedName name="ghfgh" localSheetId="0" hidden="1">{#N/A,#N/A,FALSE,"Umsatz CH";#N/A,#N/A,FALSE,"ER CH";#N/A,#N/A,FALSE,"EA CH (2) ";#N/A,#N/A,FALSE,"EA CH";#N/A,#N/A,FALSE,"EA CH (3) ";#N/A,#N/A,FALSE,"EA CH (4)";#N/A,#N/A,FALSE,"KA CH";#N/A,#N/A,FALSE,"KA CH  (2)";#N/A,#N/A,FALSE,"KA CH  (3)";#N/A,#N/A,FALSE,"KA CH (4)"}</definedName>
    <definedName name="ghfgh" localSheetId="6" hidden="1">{#N/A,#N/A,FALSE,"Umsatz CH";#N/A,#N/A,FALSE,"ER CH";#N/A,#N/A,FALSE,"EA CH (2) ";#N/A,#N/A,FALSE,"EA CH";#N/A,#N/A,FALSE,"EA CH (3) ";#N/A,#N/A,FALSE,"EA CH (4)";#N/A,#N/A,FALSE,"KA CH";#N/A,#N/A,FALSE,"KA CH  (2)";#N/A,#N/A,FALSE,"KA CH  (3)";#N/A,#N/A,FALSE,"KA CH (4)"}</definedName>
    <definedName name="ghfgh" hidden="1">{#N/A,#N/A,FALSE,"Umsatz CH";#N/A,#N/A,FALSE,"ER CH";#N/A,#N/A,FALSE,"EA CH (2) ";#N/A,#N/A,FALSE,"EA CH";#N/A,#N/A,FALSE,"EA CH (3) ";#N/A,#N/A,FALSE,"EA CH (4)";#N/A,#N/A,FALSE,"KA CH";#N/A,#N/A,FALSE,"KA CH  (2)";#N/A,#N/A,FALSE,"KA CH  (3)";#N/A,#N/A,FALSE,"KA CH (4)"}</definedName>
    <definedName name="ghfgh_1" localSheetId="0" hidden="1">{#N/A,#N/A,FALSE,"Umsatz CH";#N/A,#N/A,FALSE,"ER CH";#N/A,#N/A,FALSE,"EA CH (2) ";#N/A,#N/A,FALSE,"EA CH";#N/A,#N/A,FALSE,"EA CH (3) ";#N/A,#N/A,FALSE,"EA CH (4)";#N/A,#N/A,FALSE,"KA CH";#N/A,#N/A,FALSE,"KA CH  (2)";#N/A,#N/A,FALSE,"KA CH  (3)";#N/A,#N/A,FALSE,"KA CH (4)"}</definedName>
    <definedName name="ghfgh_1" localSheetId="6" hidden="1">{#N/A,#N/A,FALSE,"Umsatz CH";#N/A,#N/A,FALSE,"ER CH";#N/A,#N/A,FALSE,"EA CH (2) ";#N/A,#N/A,FALSE,"EA CH";#N/A,#N/A,FALSE,"EA CH (3) ";#N/A,#N/A,FALSE,"EA CH (4)";#N/A,#N/A,FALSE,"KA CH";#N/A,#N/A,FALSE,"KA CH  (2)";#N/A,#N/A,FALSE,"KA CH  (3)";#N/A,#N/A,FALSE,"KA CH (4)"}</definedName>
    <definedName name="ghfgh_1" hidden="1">{#N/A,#N/A,FALSE,"Umsatz CH";#N/A,#N/A,FALSE,"ER CH";#N/A,#N/A,FALSE,"EA CH (2) ";#N/A,#N/A,FALSE,"EA CH";#N/A,#N/A,FALSE,"EA CH (3) ";#N/A,#N/A,FALSE,"EA CH (4)";#N/A,#N/A,FALSE,"KA CH";#N/A,#N/A,FALSE,"KA CH  (2)";#N/A,#N/A,FALSE,"KA CH  (3)";#N/A,#N/A,FALSE,"KA CH (4)"}</definedName>
    <definedName name="ghfgh_1_1" localSheetId="0" hidden="1">{#N/A,#N/A,FALSE,"Umsatz CH";#N/A,#N/A,FALSE,"ER CH";#N/A,#N/A,FALSE,"EA CH (2) ";#N/A,#N/A,FALSE,"EA CH";#N/A,#N/A,FALSE,"EA CH (3) ";#N/A,#N/A,FALSE,"EA CH (4)";#N/A,#N/A,FALSE,"KA CH";#N/A,#N/A,FALSE,"KA CH  (2)";#N/A,#N/A,FALSE,"KA CH  (3)";#N/A,#N/A,FALSE,"KA CH (4)"}</definedName>
    <definedName name="ghfgh_1_1" localSheetId="6" hidden="1">{#N/A,#N/A,FALSE,"Umsatz CH";#N/A,#N/A,FALSE,"ER CH";#N/A,#N/A,FALSE,"EA CH (2) ";#N/A,#N/A,FALSE,"EA CH";#N/A,#N/A,FALSE,"EA CH (3) ";#N/A,#N/A,FALSE,"EA CH (4)";#N/A,#N/A,FALSE,"KA CH";#N/A,#N/A,FALSE,"KA CH  (2)";#N/A,#N/A,FALSE,"KA CH  (3)";#N/A,#N/A,FALSE,"KA CH (4)"}</definedName>
    <definedName name="ghfgh_1_1" hidden="1">{#N/A,#N/A,FALSE,"Umsatz CH";#N/A,#N/A,FALSE,"ER CH";#N/A,#N/A,FALSE,"EA CH (2) ";#N/A,#N/A,FALSE,"EA CH";#N/A,#N/A,FALSE,"EA CH (3) ";#N/A,#N/A,FALSE,"EA CH (4)";#N/A,#N/A,FALSE,"KA CH";#N/A,#N/A,FALSE,"KA CH  (2)";#N/A,#N/A,FALSE,"KA CH  (3)";#N/A,#N/A,FALSE,"KA CH (4)"}</definedName>
    <definedName name="ghfgh_2" localSheetId="0" hidden="1">{#N/A,#N/A,FALSE,"Umsatz CH";#N/A,#N/A,FALSE,"ER CH";#N/A,#N/A,FALSE,"EA CH (2) ";#N/A,#N/A,FALSE,"EA CH";#N/A,#N/A,FALSE,"EA CH (3) ";#N/A,#N/A,FALSE,"EA CH (4)";#N/A,#N/A,FALSE,"KA CH";#N/A,#N/A,FALSE,"KA CH  (2)";#N/A,#N/A,FALSE,"KA CH  (3)";#N/A,#N/A,FALSE,"KA CH (4)"}</definedName>
    <definedName name="ghfgh_2" localSheetId="6" hidden="1">{#N/A,#N/A,FALSE,"Umsatz CH";#N/A,#N/A,FALSE,"ER CH";#N/A,#N/A,FALSE,"EA CH (2) ";#N/A,#N/A,FALSE,"EA CH";#N/A,#N/A,FALSE,"EA CH (3) ";#N/A,#N/A,FALSE,"EA CH (4)";#N/A,#N/A,FALSE,"KA CH";#N/A,#N/A,FALSE,"KA CH  (2)";#N/A,#N/A,FALSE,"KA CH  (3)";#N/A,#N/A,FALSE,"KA CH (4)"}</definedName>
    <definedName name="ghfgh_2" hidden="1">{#N/A,#N/A,FALSE,"Umsatz CH";#N/A,#N/A,FALSE,"ER CH";#N/A,#N/A,FALSE,"EA CH (2) ";#N/A,#N/A,FALSE,"EA CH";#N/A,#N/A,FALSE,"EA CH (3) ";#N/A,#N/A,FALSE,"EA CH (4)";#N/A,#N/A,FALSE,"KA CH";#N/A,#N/A,FALSE,"KA CH  (2)";#N/A,#N/A,FALSE,"KA CH  (3)";#N/A,#N/A,FALSE,"KA CH (4)"}</definedName>
    <definedName name="ghfgh_3" localSheetId="0" hidden="1">{#N/A,#N/A,FALSE,"Umsatz CH";#N/A,#N/A,FALSE,"ER CH";#N/A,#N/A,FALSE,"EA CH (2) ";#N/A,#N/A,FALSE,"EA CH";#N/A,#N/A,FALSE,"EA CH (3) ";#N/A,#N/A,FALSE,"EA CH (4)";#N/A,#N/A,FALSE,"KA CH";#N/A,#N/A,FALSE,"KA CH  (2)";#N/A,#N/A,FALSE,"KA CH  (3)";#N/A,#N/A,FALSE,"KA CH (4)"}</definedName>
    <definedName name="ghfgh_3" localSheetId="6" hidden="1">{#N/A,#N/A,FALSE,"Umsatz CH";#N/A,#N/A,FALSE,"ER CH";#N/A,#N/A,FALSE,"EA CH (2) ";#N/A,#N/A,FALSE,"EA CH";#N/A,#N/A,FALSE,"EA CH (3) ";#N/A,#N/A,FALSE,"EA CH (4)";#N/A,#N/A,FALSE,"KA CH";#N/A,#N/A,FALSE,"KA CH  (2)";#N/A,#N/A,FALSE,"KA CH  (3)";#N/A,#N/A,FALSE,"KA CH (4)"}</definedName>
    <definedName name="ghfgh_3" hidden="1">{#N/A,#N/A,FALSE,"Umsatz CH";#N/A,#N/A,FALSE,"ER CH";#N/A,#N/A,FALSE,"EA CH (2) ";#N/A,#N/A,FALSE,"EA CH";#N/A,#N/A,FALSE,"EA CH (3) ";#N/A,#N/A,FALSE,"EA CH (4)";#N/A,#N/A,FALSE,"KA CH";#N/A,#N/A,FALSE,"KA CH  (2)";#N/A,#N/A,FALSE,"KA CH  (3)";#N/A,#N/A,FALSE,"KA CH (4)"}</definedName>
    <definedName name="ghfgh_4" localSheetId="0" hidden="1">{#N/A,#N/A,FALSE,"Umsatz CH";#N/A,#N/A,FALSE,"ER CH";#N/A,#N/A,FALSE,"EA CH (2) ";#N/A,#N/A,FALSE,"EA CH";#N/A,#N/A,FALSE,"EA CH (3) ";#N/A,#N/A,FALSE,"EA CH (4)";#N/A,#N/A,FALSE,"KA CH";#N/A,#N/A,FALSE,"KA CH  (2)";#N/A,#N/A,FALSE,"KA CH  (3)";#N/A,#N/A,FALSE,"KA CH (4)"}</definedName>
    <definedName name="ghfgh_4" localSheetId="6" hidden="1">{#N/A,#N/A,FALSE,"Umsatz CH";#N/A,#N/A,FALSE,"ER CH";#N/A,#N/A,FALSE,"EA CH (2) ";#N/A,#N/A,FALSE,"EA CH";#N/A,#N/A,FALSE,"EA CH (3) ";#N/A,#N/A,FALSE,"EA CH (4)";#N/A,#N/A,FALSE,"KA CH";#N/A,#N/A,FALSE,"KA CH  (2)";#N/A,#N/A,FALSE,"KA CH  (3)";#N/A,#N/A,FALSE,"KA CH (4)"}</definedName>
    <definedName name="ghfgh_4" hidden="1">{#N/A,#N/A,FALSE,"Umsatz CH";#N/A,#N/A,FALSE,"ER CH";#N/A,#N/A,FALSE,"EA CH (2) ";#N/A,#N/A,FALSE,"EA CH";#N/A,#N/A,FALSE,"EA CH (3) ";#N/A,#N/A,FALSE,"EA CH (4)";#N/A,#N/A,FALSE,"KA CH";#N/A,#N/A,FALSE,"KA CH  (2)";#N/A,#N/A,FALSE,"KA CH  (3)";#N/A,#N/A,FALSE,"KA CH (4)"}</definedName>
    <definedName name="ghfgh_5" localSheetId="0" hidden="1">{#N/A,#N/A,FALSE,"Umsatz CH";#N/A,#N/A,FALSE,"ER CH";#N/A,#N/A,FALSE,"EA CH (2) ";#N/A,#N/A,FALSE,"EA CH";#N/A,#N/A,FALSE,"EA CH (3) ";#N/A,#N/A,FALSE,"EA CH (4)";#N/A,#N/A,FALSE,"KA CH";#N/A,#N/A,FALSE,"KA CH  (2)";#N/A,#N/A,FALSE,"KA CH  (3)";#N/A,#N/A,FALSE,"KA CH (4)"}</definedName>
    <definedName name="ghfgh_5" localSheetId="6" hidden="1">{#N/A,#N/A,FALSE,"Umsatz CH";#N/A,#N/A,FALSE,"ER CH";#N/A,#N/A,FALSE,"EA CH (2) ";#N/A,#N/A,FALSE,"EA CH";#N/A,#N/A,FALSE,"EA CH (3) ";#N/A,#N/A,FALSE,"EA CH (4)";#N/A,#N/A,FALSE,"KA CH";#N/A,#N/A,FALSE,"KA CH  (2)";#N/A,#N/A,FALSE,"KA CH  (3)";#N/A,#N/A,FALSE,"KA CH (4)"}</definedName>
    <definedName name="ghfgh_5" hidden="1">{#N/A,#N/A,FALSE,"Umsatz CH";#N/A,#N/A,FALSE,"ER CH";#N/A,#N/A,FALSE,"EA CH (2) ";#N/A,#N/A,FALSE,"EA CH";#N/A,#N/A,FALSE,"EA CH (3) ";#N/A,#N/A,FALSE,"EA CH (4)";#N/A,#N/A,FALSE,"KA CH";#N/A,#N/A,FALSE,"KA CH  (2)";#N/A,#N/A,FALSE,"KA CH  (3)";#N/A,#N/A,FALSE,"KA CH (4)"}</definedName>
    <definedName name="ghgf" hidden="1">#REF!</definedName>
    <definedName name="ghggg" localSheetId="6"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gg_1" localSheetId="6" hidden="1">{#N/A,#N/A,FALSE,"SumG";#N/A,#N/A,FALSE,"ElecG";#N/A,#N/A,FALSE,"MechG";#N/A,#N/A,FALSE,"GeotG";#N/A,#N/A,FALSE,"PrcsG";#N/A,#N/A,FALSE,"TunnG";#N/A,#N/A,FALSE,"CivlG";#N/A,#N/A,FALSE,"NtwkG";#N/A,#N/A,FALSE,"EstgG";#N/A,#N/A,FALSE,"PEngG"}</definedName>
    <definedName name="ghggg_1" hidden="1">{#N/A,#N/A,FALSE,"SumG";#N/A,#N/A,FALSE,"ElecG";#N/A,#N/A,FALSE,"MechG";#N/A,#N/A,FALSE,"GeotG";#N/A,#N/A,FALSE,"PrcsG";#N/A,#N/A,FALSE,"TunnG";#N/A,#N/A,FALSE,"CivlG";#N/A,#N/A,FALSE,"NtwkG";#N/A,#N/A,FALSE,"EstgG";#N/A,#N/A,FALSE,"PEngG"}</definedName>
    <definedName name="ghgh"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hgh"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hgh"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hgjgkj" localSheetId="0" hidden="1">{"Graphic",#N/A,TRUE,"Graphic"}</definedName>
    <definedName name="ghgjgkj" localSheetId="6" hidden="1">{"Graphic",#N/A,TRUE,"Graphic"}</definedName>
    <definedName name="ghgjgkj" hidden="1">{"Graphic",#N/A,TRUE,"Graphic"}</definedName>
    <definedName name="ghgjgkj_1" localSheetId="0" hidden="1">{"Graphic",#N/A,TRUE,"Graphic"}</definedName>
    <definedName name="ghgjgkj_1" localSheetId="6" hidden="1">{"Graphic",#N/A,TRUE,"Graphic"}</definedName>
    <definedName name="ghgjgkj_1" hidden="1">{"Graphic",#N/A,TRUE,"Graphic"}</definedName>
    <definedName name="ghh" localSheetId="0" hidden="1">{#N/A,#N/A,FALSE,"KA CH  (2)"}</definedName>
    <definedName name="ghh" localSheetId="6" hidden="1">{#N/A,#N/A,FALSE,"KA CH  (2)"}</definedName>
    <definedName name="ghh" hidden="1">{#N/A,#N/A,FALSE,"KA CH  (2)"}</definedName>
    <definedName name="ghh_1" localSheetId="0" hidden="1">{#N/A,#N/A,FALSE,"KA CH  (2)"}</definedName>
    <definedName name="ghh_1" localSheetId="6" hidden="1">{#N/A,#N/A,FALSE,"KA CH  (2)"}</definedName>
    <definedName name="ghh_1" hidden="1">{#N/A,#N/A,FALSE,"KA CH  (2)"}</definedName>
    <definedName name="ghh_1_1" localSheetId="0" hidden="1">{#N/A,#N/A,FALSE,"KA CH  (2)"}</definedName>
    <definedName name="ghh_1_1" localSheetId="6" hidden="1">{#N/A,#N/A,FALSE,"KA CH  (2)"}</definedName>
    <definedName name="ghh_1_1" hidden="1">{#N/A,#N/A,FALSE,"KA CH  (2)"}</definedName>
    <definedName name="ghh_2" localSheetId="0" hidden="1">{#N/A,#N/A,FALSE,"KA CH  (2)"}</definedName>
    <definedName name="ghh_2" localSheetId="6" hidden="1">{#N/A,#N/A,FALSE,"KA CH  (2)"}</definedName>
    <definedName name="ghh_2" hidden="1">{#N/A,#N/A,FALSE,"KA CH  (2)"}</definedName>
    <definedName name="ghh_3" localSheetId="0" hidden="1">{#N/A,#N/A,FALSE,"KA CH  (2)"}</definedName>
    <definedName name="ghh_3" localSheetId="6" hidden="1">{#N/A,#N/A,FALSE,"KA CH  (2)"}</definedName>
    <definedName name="ghh_3" hidden="1">{#N/A,#N/A,FALSE,"KA CH  (2)"}</definedName>
    <definedName name="ghh_4" localSheetId="0" hidden="1">{#N/A,#N/A,FALSE,"KA CH  (2)"}</definedName>
    <definedName name="ghh_4" localSheetId="6" hidden="1">{#N/A,#N/A,FALSE,"KA CH  (2)"}</definedName>
    <definedName name="ghh_4" hidden="1">{#N/A,#N/A,FALSE,"KA CH  (2)"}</definedName>
    <definedName name="ghh_5" localSheetId="0" hidden="1">{#N/A,#N/A,FALSE,"KA CH  (2)"}</definedName>
    <definedName name="ghh_5" localSheetId="6" hidden="1">{#N/A,#N/A,FALSE,"KA CH  (2)"}</definedName>
    <definedName name="ghh_5" hidden="1">{#N/A,#N/A,FALSE,"KA CH  (2)"}</definedName>
    <definedName name="ghhghd" localSheetId="0" hidden="1">{"mgmt forecast",#N/A,FALSE,"Mgmt Forecast";"dcf table",#N/A,FALSE,"Mgmt Forecast";"sensitivity",#N/A,FALSE,"Mgmt Forecast";"table inputs",#N/A,FALSE,"Mgmt Forecast";"calculations",#N/A,FALSE,"Mgmt Forecast"}</definedName>
    <definedName name="ghhghd" localSheetId="6" hidden="1">{"mgmt forecast",#N/A,FALSE,"Mgmt Forecast";"dcf table",#N/A,FALSE,"Mgmt Forecast";"sensitivity",#N/A,FALSE,"Mgmt Forecast";"table inputs",#N/A,FALSE,"Mgmt Forecast";"calculations",#N/A,FALSE,"Mgmt Forecast"}</definedName>
    <definedName name="ghhghd" hidden="1">{"mgmt forecast",#N/A,FALSE,"Mgmt Forecast";"dcf table",#N/A,FALSE,"Mgmt Forecast";"sensitivity",#N/A,FALSE,"Mgmt Forecast";"table inputs",#N/A,FALSE,"Mgmt Forecast";"calculations",#N/A,FALSE,"Mgmt Forecast"}</definedName>
    <definedName name="ghhhg" localSheetId="0" hidden="1">{#N/A,#N/A,FALSE,"ORIX CSC"}</definedName>
    <definedName name="ghhhg" localSheetId="6" hidden="1">{#N/A,#N/A,FALSE,"ORIX CSC"}</definedName>
    <definedName name="ghhhg" hidden="1">{#N/A,#N/A,FALSE,"ORIX CSC"}</definedName>
    <definedName name="ghi" localSheetId="0" hidden="1">{#N/A,#N/A,FALSE,"Tabl. FB300";#N/A,#N/A,FALSE,"Tabl. FB350";#N/A,#N/A,FALSE,"Tabl. FB400";#N/A,#N/A,FALSE,"Tabl. FB500";#N/A,#N/A,FALSE,"Tabl. FS090"}</definedName>
    <definedName name="ghi" localSheetId="6" hidden="1">{#N/A,#N/A,FALSE,"Tabl. FB300";#N/A,#N/A,FALSE,"Tabl. FB350";#N/A,#N/A,FALSE,"Tabl. FB400";#N/A,#N/A,FALSE,"Tabl. FB500";#N/A,#N/A,FALSE,"Tabl. FS090"}</definedName>
    <definedName name="ghi" hidden="1">{#N/A,#N/A,FALSE,"Tabl. FB300";#N/A,#N/A,FALSE,"Tabl. FB350";#N/A,#N/A,FALSE,"Tabl. FB400";#N/A,#N/A,FALSE,"Tabl. FB500";#N/A,#N/A,FALSE,"Tabl. FS090"}</definedName>
    <definedName name="ghj" localSheetId="0" hidden="1">{#N/A,#N/A,FALSE,"Umsatz CH";#N/A,#N/A,FALSE,"ER CH";#N/A,#N/A,FALSE,"EA CH (2) ";#N/A,#N/A,FALSE,"EA CH";#N/A,#N/A,FALSE,"EA CH (3) ";#N/A,#N/A,FALSE,"EA CH (4)";#N/A,#N/A,FALSE,"KA CH";#N/A,#N/A,FALSE,"KA CH  (2)";#N/A,#N/A,FALSE,"KA CH  (3)";#N/A,#N/A,FALSE,"KA CH (4)"}</definedName>
    <definedName name="ghj" localSheetId="6" hidden="1">{#N/A,#N/A,FALSE,"Umsatz CH";#N/A,#N/A,FALSE,"ER CH";#N/A,#N/A,FALSE,"EA CH (2) ";#N/A,#N/A,FALSE,"EA CH";#N/A,#N/A,FALSE,"EA CH (3) ";#N/A,#N/A,FALSE,"EA CH (4)";#N/A,#N/A,FALSE,"KA CH";#N/A,#N/A,FALSE,"KA CH  (2)";#N/A,#N/A,FALSE,"KA CH  (3)";#N/A,#N/A,FALSE,"KA CH (4)"}</definedName>
    <definedName name="ghj" hidden="1">{#N/A,#N/A,FALSE,"Umsatz CH";#N/A,#N/A,FALSE,"ER CH";#N/A,#N/A,FALSE,"EA CH (2) ";#N/A,#N/A,FALSE,"EA CH";#N/A,#N/A,FALSE,"EA CH (3) ";#N/A,#N/A,FALSE,"EA CH (4)";#N/A,#N/A,FALSE,"KA CH";#N/A,#N/A,FALSE,"KA CH  (2)";#N/A,#N/A,FALSE,"KA CH  (3)";#N/A,#N/A,FALSE,"KA CH (4)"}</definedName>
    <definedName name="ghj.ljj" localSheetId="0" hidden="1">{#N/A,#N/A,FALSE,"Produkte Erw.";#N/A,#N/A,FALSE,"Produkte Plan";#N/A,#N/A,FALSE,"Leistungen Erw.";#N/A,#N/A,FALSE,"Leistungen Plan";#N/A,#N/A,FALSE,"KA Allg.Kosten (2)";#N/A,#N/A,FALSE,"KA All.Kosten"}</definedName>
    <definedName name="ghj.ljj" localSheetId="6" hidden="1">{#N/A,#N/A,FALSE,"Produkte Erw.";#N/A,#N/A,FALSE,"Produkte Plan";#N/A,#N/A,FALSE,"Leistungen Erw.";#N/A,#N/A,FALSE,"Leistungen Plan";#N/A,#N/A,FALSE,"KA Allg.Kosten (2)";#N/A,#N/A,FALSE,"KA All.Kosten"}</definedName>
    <definedName name="ghj.ljj" hidden="1">{#N/A,#N/A,FALSE,"Produkte Erw.";#N/A,#N/A,FALSE,"Produkte Plan";#N/A,#N/A,FALSE,"Leistungen Erw.";#N/A,#N/A,FALSE,"Leistungen Plan";#N/A,#N/A,FALSE,"KA Allg.Kosten (2)";#N/A,#N/A,FALSE,"KA All.Kosten"}</definedName>
    <definedName name="ghj.ljj_1" localSheetId="0" hidden="1">{#N/A,#N/A,FALSE,"Produkte Erw.";#N/A,#N/A,FALSE,"Produkte Plan";#N/A,#N/A,FALSE,"Leistungen Erw.";#N/A,#N/A,FALSE,"Leistungen Plan";#N/A,#N/A,FALSE,"KA Allg.Kosten (2)";#N/A,#N/A,FALSE,"KA All.Kosten"}</definedName>
    <definedName name="ghj.ljj_1" localSheetId="6" hidden="1">{#N/A,#N/A,FALSE,"Produkte Erw.";#N/A,#N/A,FALSE,"Produkte Plan";#N/A,#N/A,FALSE,"Leistungen Erw.";#N/A,#N/A,FALSE,"Leistungen Plan";#N/A,#N/A,FALSE,"KA Allg.Kosten (2)";#N/A,#N/A,FALSE,"KA All.Kosten"}</definedName>
    <definedName name="ghj.ljj_1" hidden="1">{#N/A,#N/A,FALSE,"Produkte Erw.";#N/A,#N/A,FALSE,"Produkte Plan";#N/A,#N/A,FALSE,"Leistungen Erw.";#N/A,#N/A,FALSE,"Leistungen Plan";#N/A,#N/A,FALSE,"KA Allg.Kosten (2)";#N/A,#N/A,FALSE,"KA All.Kosten"}</definedName>
    <definedName name="ghj.ljj_1_1" localSheetId="0" hidden="1">{#N/A,#N/A,FALSE,"Produkte Erw.";#N/A,#N/A,FALSE,"Produkte Plan";#N/A,#N/A,FALSE,"Leistungen Erw.";#N/A,#N/A,FALSE,"Leistungen Plan";#N/A,#N/A,FALSE,"KA Allg.Kosten (2)";#N/A,#N/A,FALSE,"KA All.Kosten"}</definedName>
    <definedName name="ghj.ljj_1_1" localSheetId="6" hidden="1">{#N/A,#N/A,FALSE,"Produkte Erw.";#N/A,#N/A,FALSE,"Produkte Plan";#N/A,#N/A,FALSE,"Leistungen Erw.";#N/A,#N/A,FALSE,"Leistungen Plan";#N/A,#N/A,FALSE,"KA Allg.Kosten (2)";#N/A,#N/A,FALSE,"KA All.Kosten"}</definedName>
    <definedName name="ghj.ljj_1_1" hidden="1">{#N/A,#N/A,FALSE,"Produkte Erw.";#N/A,#N/A,FALSE,"Produkte Plan";#N/A,#N/A,FALSE,"Leistungen Erw.";#N/A,#N/A,FALSE,"Leistungen Plan";#N/A,#N/A,FALSE,"KA Allg.Kosten (2)";#N/A,#N/A,FALSE,"KA All.Kosten"}</definedName>
    <definedName name="ghj.ljj_2" localSheetId="0" hidden="1">{#N/A,#N/A,FALSE,"Produkte Erw.";#N/A,#N/A,FALSE,"Produkte Plan";#N/A,#N/A,FALSE,"Leistungen Erw.";#N/A,#N/A,FALSE,"Leistungen Plan";#N/A,#N/A,FALSE,"KA Allg.Kosten (2)";#N/A,#N/A,FALSE,"KA All.Kosten"}</definedName>
    <definedName name="ghj.ljj_2" localSheetId="6" hidden="1">{#N/A,#N/A,FALSE,"Produkte Erw.";#N/A,#N/A,FALSE,"Produkte Plan";#N/A,#N/A,FALSE,"Leistungen Erw.";#N/A,#N/A,FALSE,"Leistungen Plan";#N/A,#N/A,FALSE,"KA Allg.Kosten (2)";#N/A,#N/A,FALSE,"KA All.Kosten"}</definedName>
    <definedName name="ghj.ljj_2" hidden="1">{#N/A,#N/A,FALSE,"Produkte Erw.";#N/A,#N/A,FALSE,"Produkte Plan";#N/A,#N/A,FALSE,"Leistungen Erw.";#N/A,#N/A,FALSE,"Leistungen Plan";#N/A,#N/A,FALSE,"KA Allg.Kosten (2)";#N/A,#N/A,FALSE,"KA All.Kosten"}</definedName>
    <definedName name="ghj.ljj_3" localSheetId="0" hidden="1">{#N/A,#N/A,FALSE,"Produkte Erw.";#N/A,#N/A,FALSE,"Produkte Plan";#N/A,#N/A,FALSE,"Leistungen Erw.";#N/A,#N/A,FALSE,"Leistungen Plan";#N/A,#N/A,FALSE,"KA Allg.Kosten (2)";#N/A,#N/A,FALSE,"KA All.Kosten"}</definedName>
    <definedName name="ghj.ljj_3" localSheetId="6" hidden="1">{#N/A,#N/A,FALSE,"Produkte Erw.";#N/A,#N/A,FALSE,"Produkte Plan";#N/A,#N/A,FALSE,"Leistungen Erw.";#N/A,#N/A,FALSE,"Leistungen Plan";#N/A,#N/A,FALSE,"KA Allg.Kosten (2)";#N/A,#N/A,FALSE,"KA All.Kosten"}</definedName>
    <definedName name="ghj.ljj_3" hidden="1">{#N/A,#N/A,FALSE,"Produkte Erw.";#N/A,#N/A,FALSE,"Produkte Plan";#N/A,#N/A,FALSE,"Leistungen Erw.";#N/A,#N/A,FALSE,"Leistungen Plan";#N/A,#N/A,FALSE,"KA Allg.Kosten (2)";#N/A,#N/A,FALSE,"KA All.Kosten"}</definedName>
    <definedName name="ghj.ljj_4" localSheetId="0" hidden="1">{#N/A,#N/A,FALSE,"Produkte Erw.";#N/A,#N/A,FALSE,"Produkte Plan";#N/A,#N/A,FALSE,"Leistungen Erw.";#N/A,#N/A,FALSE,"Leistungen Plan";#N/A,#N/A,FALSE,"KA Allg.Kosten (2)";#N/A,#N/A,FALSE,"KA All.Kosten"}</definedName>
    <definedName name="ghj.ljj_4" localSheetId="6" hidden="1">{#N/A,#N/A,FALSE,"Produkte Erw.";#N/A,#N/A,FALSE,"Produkte Plan";#N/A,#N/A,FALSE,"Leistungen Erw.";#N/A,#N/A,FALSE,"Leistungen Plan";#N/A,#N/A,FALSE,"KA Allg.Kosten (2)";#N/A,#N/A,FALSE,"KA All.Kosten"}</definedName>
    <definedName name="ghj.ljj_4" hidden="1">{#N/A,#N/A,FALSE,"Produkte Erw.";#N/A,#N/A,FALSE,"Produkte Plan";#N/A,#N/A,FALSE,"Leistungen Erw.";#N/A,#N/A,FALSE,"Leistungen Plan";#N/A,#N/A,FALSE,"KA Allg.Kosten (2)";#N/A,#N/A,FALSE,"KA All.Kosten"}</definedName>
    <definedName name="ghj.ljj_5" localSheetId="0" hidden="1">{#N/A,#N/A,FALSE,"Produkte Erw.";#N/A,#N/A,FALSE,"Produkte Plan";#N/A,#N/A,FALSE,"Leistungen Erw.";#N/A,#N/A,FALSE,"Leistungen Plan";#N/A,#N/A,FALSE,"KA Allg.Kosten (2)";#N/A,#N/A,FALSE,"KA All.Kosten"}</definedName>
    <definedName name="ghj.ljj_5" localSheetId="6" hidden="1">{#N/A,#N/A,FALSE,"Produkte Erw.";#N/A,#N/A,FALSE,"Produkte Plan";#N/A,#N/A,FALSE,"Leistungen Erw.";#N/A,#N/A,FALSE,"Leistungen Plan";#N/A,#N/A,FALSE,"KA Allg.Kosten (2)";#N/A,#N/A,FALSE,"KA All.Kosten"}</definedName>
    <definedName name="ghj.ljj_5" hidden="1">{#N/A,#N/A,FALSE,"Produkte Erw.";#N/A,#N/A,FALSE,"Produkte Plan";#N/A,#N/A,FALSE,"Leistungen Erw.";#N/A,#N/A,FALSE,"Leistungen Plan";#N/A,#N/A,FALSE,"KA Allg.Kosten (2)";#N/A,#N/A,FALSE,"KA All.Kosten"}</definedName>
    <definedName name="ghj.zz" localSheetId="0" hidden="1">{#N/A,#N/A,FALSE,"Umsatz CH";#N/A,#N/A,FALSE,"ER CH";#N/A,#N/A,FALSE,"EA CH (2) ";#N/A,#N/A,FALSE,"EA CH";#N/A,#N/A,FALSE,"EA CH (3) ";#N/A,#N/A,FALSE,"EA CH (4)";#N/A,#N/A,FALSE,"KA CH";#N/A,#N/A,FALSE,"KA CH  (2)";#N/A,#N/A,FALSE,"KA CH  (3)";#N/A,#N/A,FALSE,"KA CH (4)"}</definedName>
    <definedName name="ghj.zz" localSheetId="6" hidden="1">{#N/A,#N/A,FALSE,"Umsatz CH";#N/A,#N/A,FALSE,"ER CH";#N/A,#N/A,FALSE,"EA CH (2) ";#N/A,#N/A,FALSE,"EA CH";#N/A,#N/A,FALSE,"EA CH (3) ";#N/A,#N/A,FALSE,"EA CH (4)";#N/A,#N/A,FALSE,"KA CH";#N/A,#N/A,FALSE,"KA CH  (2)";#N/A,#N/A,FALSE,"KA CH  (3)";#N/A,#N/A,FALSE,"KA CH (4)"}</definedName>
    <definedName name="ghj.zz" hidden="1">{#N/A,#N/A,FALSE,"Umsatz CH";#N/A,#N/A,FALSE,"ER CH";#N/A,#N/A,FALSE,"EA CH (2) ";#N/A,#N/A,FALSE,"EA CH";#N/A,#N/A,FALSE,"EA CH (3) ";#N/A,#N/A,FALSE,"EA CH (4)";#N/A,#N/A,FALSE,"KA CH";#N/A,#N/A,FALSE,"KA CH  (2)";#N/A,#N/A,FALSE,"KA CH  (3)";#N/A,#N/A,FALSE,"KA CH (4)"}</definedName>
    <definedName name="ghj.zz_1" localSheetId="0" hidden="1">{#N/A,#N/A,FALSE,"Umsatz CH";#N/A,#N/A,FALSE,"ER CH";#N/A,#N/A,FALSE,"EA CH (2) ";#N/A,#N/A,FALSE,"EA CH";#N/A,#N/A,FALSE,"EA CH (3) ";#N/A,#N/A,FALSE,"EA CH (4)";#N/A,#N/A,FALSE,"KA CH";#N/A,#N/A,FALSE,"KA CH  (2)";#N/A,#N/A,FALSE,"KA CH  (3)";#N/A,#N/A,FALSE,"KA CH (4)"}</definedName>
    <definedName name="ghj.zz_1" localSheetId="6" hidden="1">{#N/A,#N/A,FALSE,"Umsatz CH";#N/A,#N/A,FALSE,"ER CH";#N/A,#N/A,FALSE,"EA CH (2) ";#N/A,#N/A,FALSE,"EA CH";#N/A,#N/A,FALSE,"EA CH (3) ";#N/A,#N/A,FALSE,"EA CH (4)";#N/A,#N/A,FALSE,"KA CH";#N/A,#N/A,FALSE,"KA CH  (2)";#N/A,#N/A,FALSE,"KA CH  (3)";#N/A,#N/A,FALSE,"KA CH (4)"}</definedName>
    <definedName name="ghj.zz_1" hidden="1">{#N/A,#N/A,FALSE,"Umsatz CH";#N/A,#N/A,FALSE,"ER CH";#N/A,#N/A,FALSE,"EA CH (2) ";#N/A,#N/A,FALSE,"EA CH";#N/A,#N/A,FALSE,"EA CH (3) ";#N/A,#N/A,FALSE,"EA CH (4)";#N/A,#N/A,FALSE,"KA CH";#N/A,#N/A,FALSE,"KA CH  (2)";#N/A,#N/A,FALSE,"KA CH  (3)";#N/A,#N/A,FALSE,"KA CH (4)"}</definedName>
    <definedName name="ghj.zz_1_1" localSheetId="0" hidden="1">{#N/A,#N/A,FALSE,"Umsatz CH";#N/A,#N/A,FALSE,"ER CH";#N/A,#N/A,FALSE,"EA CH (2) ";#N/A,#N/A,FALSE,"EA CH";#N/A,#N/A,FALSE,"EA CH (3) ";#N/A,#N/A,FALSE,"EA CH (4)";#N/A,#N/A,FALSE,"KA CH";#N/A,#N/A,FALSE,"KA CH  (2)";#N/A,#N/A,FALSE,"KA CH  (3)";#N/A,#N/A,FALSE,"KA CH (4)"}</definedName>
    <definedName name="ghj.zz_1_1" localSheetId="6" hidden="1">{#N/A,#N/A,FALSE,"Umsatz CH";#N/A,#N/A,FALSE,"ER CH";#N/A,#N/A,FALSE,"EA CH (2) ";#N/A,#N/A,FALSE,"EA CH";#N/A,#N/A,FALSE,"EA CH (3) ";#N/A,#N/A,FALSE,"EA CH (4)";#N/A,#N/A,FALSE,"KA CH";#N/A,#N/A,FALSE,"KA CH  (2)";#N/A,#N/A,FALSE,"KA CH  (3)";#N/A,#N/A,FALSE,"KA CH (4)"}</definedName>
    <definedName name="ghj.zz_1_1" hidden="1">{#N/A,#N/A,FALSE,"Umsatz CH";#N/A,#N/A,FALSE,"ER CH";#N/A,#N/A,FALSE,"EA CH (2) ";#N/A,#N/A,FALSE,"EA CH";#N/A,#N/A,FALSE,"EA CH (3) ";#N/A,#N/A,FALSE,"EA CH (4)";#N/A,#N/A,FALSE,"KA CH";#N/A,#N/A,FALSE,"KA CH  (2)";#N/A,#N/A,FALSE,"KA CH  (3)";#N/A,#N/A,FALSE,"KA CH (4)"}</definedName>
    <definedName name="ghj.zz_2" localSheetId="0" hidden="1">{#N/A,#N/A,FALSE,"Umsatz CH";#N/A,#N/A,FALSE,"ER CH";#N/A,#N/A,FALSE,"EA CH (2) ";#N/A,#N/A,FALSE,"EA CH";#N/A,#N/A,FALSE,"EA CH (3) ";#N/A,#N/A,FALSE,"EA CH (4)";#N/A,#N/A,FALSE,"KA CH";#N/A,#N/A,FALSE,"KA CH  (2)";#N/A,#N/A,FALSE,"KA CH  (3)";#N/A,#N/A,FALSE,"KA CH (4)"}</definedName>
    <definedName name="ghj.zz_2" localSheetId="6" hidden="1">{#N/A,#N/A,FALSE,"Umsatz CH";#N/A,#N/A,FALSE,"ER CH";#N/A,#N/A,FALSE,"EA CH (2) ";#N/A,#N/A,FALSE,"EA CH";#N/A,#N/A,FALSE,"EA CH (3) ";#N/A,#N/A,FALSE,"EA CH (4)";#N/A,#N/A,FALSE,"KA CH";#N/A,#N/A,FALSE,"KA CH  (2)";#N/A,#N/A,FALSE,"KA CH  (3)";#N/A,#N/A,FALSE,"KA CH (4)"}</definedName>
    <definedName name="ghj.zz_2" hidden="1">{#N/A,#N/A,FALSE,"Umsatz CH";#N/A,#N/A,FALSE,"ER CH";#N/A,#N/A,FALSE,"EA CH (2) ";#N/A,#N/A,FALSE,"EA CH";#N/A,#N/A,FALSE,"EA CH (3) ";#N/A,#N/A,FALSE,"EA CH (4)";#N/A,#N/A,FALSE,"KA CH";#N/A,#N/A,FALSE,"KA CH  (2)";#N/A,#N/A,FALSE,"KA CH  (3)";#N/A,#N/A,FALSE,"KA CH (4)"}</definedName>
    <definedName name="ghj.zz_3" localSheetId="0" hidden="1">{#N/A,#N/A,FALSE,"Umsatz CH";#N/A,#N/A,FALSE,"ER CH";#N/A,#N/A,FALSE,"EA CH (2) ";#N/A,#N/A,FALSE,"EA CH";#N/A,#N/A,FALSE,"EA CH (3) ";#N/A,#N/A,FALSE,"EA CH (4)";#N/A,#N/A,FALSE,"KA CH";#N/A,#N/A,FALSE,"KA CH  (2)";#N/A,#N/A,FALSE,"KA CH  (3)";#N/A,#N/A,FALSE,"KA CH (4)"}</definedName>
    <definedName name="ghj.zz_3" localSheetId="6" hidden="1">{#N/A,#N/A,FALSE,"Umsatz CH";#N/A,#N/A,FALSE,"ER CH";#N/A,#N/A,FALSE,"EA CH (2) ";#N/A,#N/A,FALSE,"EA CH";#N/A,#N/A,FALSE,"EA CH (3) ";#N/A,#N/A,FALSE,"EA CH (4)";#N/A,#N/A,FALSE,"KA CH";#N/A,#N/A,FALSE,"KA CH  (2)";#N/A,#N/A,FALSE,"KA CH  (3)";#N/A,#N/A,FALSE,"KA CH (4)"}</definedName>
    <definedName name="ghj.zz_3" hidden="1">{#N/A,#N/A,FALSE,"Umsatz CH";#N/A,#N/A,FALSE,"ER CH";#N/A,#N/A,FALSE,"EA CH (2) ";#N/A,#N/A,FALSE,"EA CH";#N/A,#N/A,FALSE,"EA CH (3) ";#N/A,#N/A,FALSE,"EA CH (4)";#N/A,#N/A,FALSE,"KA CH";#N/A,#N/A,FALSE,"KA CH  (2)";#N/A,#N/A,FALSE,"KA CH  (3)";#N/A,#N/A,FALSE,"KA CH (4)"}</definedName>
    <definedName name="ghj.zz_4" localSheetId="0" hidden="1">{#N/A,#N/A,FALSE,"Umsatz CH";#N/A,#N/A,FALSE,"ER CH";#N/A,#N/A,FALSE,"EA CH (2) ";#N/A,#N/A,FALSE,"EA CH";#N/A,#N/A,FALSE,"EA CH (3) ";#N/A,#N/A,FALSE,"EA CH (4)";#N/A,#N/A,FALSE,"KA CH";#N/A,#N/A,FALSE,"KA CH  (2)";#N/A,#N/A,FALSE,"KA CH  (3)";#N/A,#N/A,FALSE,"KA CH (4)"}</definedName>
    <definedName name="ghj.zz_4" localSheetId="6" hidden="1">{#N/A,#N/A,FALSE,"Umsatz CH";#N/A,#N/A,FALSE,"ER CH";#N/A,#N/A,FALSE,"EA CH (2) ";#N/A,#N/A,FALSE,"EA CH";#N/A,#N/A,FALSE,"EA CH (3) ";#N/A,#N/A,FALSE,"EA CH (4)";#N/A,#N/A,FALSE,"KA CH";#N/A,#N/A,FALSE,"KA CH  (2)";#N/A,#N/A,FALSE,"KA CH  (3)";#N/A,#N/A,FALSE,"KA CH (4)"}</definedName>
    <definedName name="ghj.zz_4" hidden="1">{#N/A,#N/A,FALSE,"Umsatz CH";#N/A,#N/A,FALSE,"ER CH";#N/A,#N/A,FALSE,"EA CH (2) ";#N/A,#N/A,FALSE,"EA CH";#N/A,#N/A,FALSE,"EA CH (3) ";#N/A,#N/A,FALSE,"EA CH (4)";#N/A,#N/A,FALSE,"KA CH";#N/A,#N/A,FALSE,"KA CH  (2)";#N/A,#N/A,FALSE,"KA CH  (3)";#N/A,#N/A,FALSE,"KA CH (4)"}</definedName>
    <definedName name="ghj.zz_5" localSheetId="0" hidden="1">{#N/A,#N/A,FALSE,"Umsatz CH";#N/A,#N/A,FALSE,"ER CH";#N/A,#N/A,FALSE,"EA CH (2) ";#N/A,#N/A,FALSE,"EA CH";#N/A,#N/A,FALSE,"EA CH (3) ";#N/A,#N/A,FALSE,"EA CH (4)";#N/A,#N/A,FALSE,"KA CH";#N/A,#N/A,FALSE,"KA CH  (2)";#N/A,#N/A,FALSE,"KA CH  (3)";#N/A,#N/A,FALSE,"KA CH (4)"}</definedName>
    <definedName name="ghj.zz_5" localSheetId="6" hidden="1">{#N/A,#N/A,FALSE,"Umsatz CH";#N/A,#N/A,FALSE,"ER CH";#N/A,#N/A,FALSE,"EA CH (2) ";#N/A,#N/A,FALSE,"EA CH";#N/A,#N/A,FALSE,"EA CH (3) ";#N/A,#N/A,FALSE,"EA CH (4)";#N/A,#N/A,FALSE,"KA CH";#N/A,#N/A,FALSE,"KA CH  (2)";#N/A,#N/A,FALSE,"KA CH  (3)";#N/A,#N/A,FALSE,"KA CH (4)"}</definedName>
    <definedName name="ghj.zz_5" hidden="1">{#N/A,#N/A,FALSE,"Umsatz CH";#N/A,#N/A,FALSE,"ER CH";#N/A,#N/A,FALSE,"EA CH (2) ";#N/A,#N/A,FALSE,"EA CH";#N/A,#N/A,FALSE,"EA CH (3) ";#N/A,#N/A,FALSE,"EA CH (4)";#N/A,#N/A,FALSE,"KA CH";#N/A,#N/A,FALSE,"KA CH  (2)";#N/A,#N/A,FALSE,"KA CH  (3)";#N/A,#N/A,FALSE,"KA CH (4)"}</definedName>
    <definedName name="ghj_1" localSheetId="0" hidden="1">{#N/A,#N/A,FALSE,"Umsatz CH";#N/A,#N/A,FALSE,"ER CH";#N/A,#N/A,FALSE,"EA CH (2) ";#N/A,#N/A,FALSE,"EA CH";#N/A,#N/A,FALSE,"EA CH (3) ";#N/A,#N/A,FALSE,"EA CH (4)";#N/A,#N/A,FALSE,"KA CH";#N/A,#N/A,FALSE,"KA CH  (2)";#N/A,#N/A,FALSE,"KA CH  (3)";#N/A,#N/A,FALSE,"KA CH (4)"}</definedName>
    <definedName name="ghj_1" localSheetId="6" hidden="1">{#N/A,#N/A,FALSE,"Umsatz CH";#N/A,#N/A,FALSE,"ER CH";#N/A,#N/A,FALSE,"EA CH (2) ";#N/A,#N/A,FALSE,"EA CH";#N/A,#N/A,FALSE,"EA CH (3) ";#N/A,#N/A,FALSE,"EA CH (4)";#N/A,#N/A,FALSE,"KA CH";#N/A,#N/A,FALSE,"KA CH  (2)";#N/A,#N/A,FALSE,"KA CH  (3)";#N/A,#N/A,FALSE,"KA CH (4)"}</definedName>
    <definedName name="ghj_1" hidden="1">{#N/A,#N/A,FALSE,"Umsatz CH";#N/A,#N/A,FALSE,"ER CH";#N/A,#N/A,FALSE,"EA CH (2) ";#N/A,#N/A,FALSE,"EA CH";#N/A,#N/A,FALSE,"EA CH (3) ";#N/A,#N/A,FALSE,"EA CH (4)";#N/A,#N/A,FALSE,"KA CH";#N/A,#N/A,FALSE,"KA CH  (2)";#N/A,#N/A,FALSE,"KA CH  (3)";#N/A,#N/A,FALSE,"KA CH (4)"}</definedName>
    <definedName name="ghj_1_1" localSheetId="0" hidden="1">{#N/A,#N/A,FALSE,"Umsatz CH";#N/A,#N/A,FALSE,"ER CH";#N/A,#N/A,FALSE,"EA CH (2) ";#N/A,#N/A,FALSE,"EA CH";#N/A,#N/A,FALSE,"EA CH (3) ";#N/A,#N/A,FALSE,"EA CH (4)";#N/A,#N/A,FALSE,"KA CH";#N/A,#N/A,FALSE,"KA CH  (2)";#N/A,#N/A,FALSE,"KA CH  (3)";#N/A,#N/A,FALSE,"KA CH (4)"}</definedName>
    <definedName name="ghj_1_1" localSheetId="6" hidden="1">{#N/A,#N/A,FALSE,"Umsatz CH";#N/A,#N/A,FALSE,"ER CH";#N/A,#N/A,FALSE,"EA CH (2) ";#N/A,#N/A,FALSE,"EA CH";#N/A,#N/A,FALSE,"EA CH (3) ";#N/A,#N/A,FALSE,"EA CH (4)";#N/A,#N/A,FALSE,"KA CH";#N/A,#N/A,FALSE,"KA CH  (2)";#N/A,#N/A,FALSE,"KA CH  (3)";#N/A,#N/A,FALSE,"KA CH (4)"}</definedName>
    <definedName name="ghj_1_1" hidden="1">{#N/A,#N/A,FALSE,"Umsatz CH";#N/A,#N/A,FALSE,"ER CH";#N/A,#N/A,FALSE,"EA CH (2) ";#N/A,#N/A,FALSE,"EA CH";#N/A,#N/A,FALSE,"EA CH (3) ";#N/A,#N/A,FALSE,"EA CH (4)";#N/A,#N/A,FALSE,"KA CH";#N/A,#N/A,FALSE,"KA CH  (2)";#N/A,#N/A,FALSE,"KA CH  (3)";#N/A,#N/A,FALSE,"KA CH (4)"}</definedName>
    <definedName name="ghj_2" localSheetId="0" hidden="1">{#N/A,#N/A,FALSE,"Umsatz CH";#N/A,#N/A,FALSE,"ER CH";#N/A,#N/A,FALSE,"EA CH (2) ";#N/A,#N/A,FALSE,"EA CH";#N/A,#N/A,FALSE,"EA CH (3) ";#N/A,#N/A,FALSE,"EA CH (4)";#N/A,#N/A,FALSE,"KA CH";#N/A,#N/A,FALSE,"KA CH  (2)";#N/A,#N/A,FALSE,"KA CH  (3)";#N/A,#N/A,FALSE,"KA CH (4)"}</definedName>
    <definedName name="ghj_2" localSheetId="6" hidden="1">{#N/A,#N/A,FALSE,"Umsatz CH";#N/A,#N/A,FALSE,"ER CH";#N/A,#N/A,FALSE,"EA CH (2) ";#N/A,#N/A,FALSE,"EA CH";#N/A,#N/A,FALSE,"EA CH (3) ";#N/A,#N/A,FALSE,"EA CH (4)";#N/A,#N/A,FALSE,"KA CH";#N/A,#N/A,FALSE,"KA CH  (2)";#N/A,#N/A,FALSE,"KA CH  (3)";#N/A,#N/A,FALSE,"KA CH (4)"}</definedName>
    <definedName name="ghj_2" hidden="1">{#N/A,#N/A,FALSE,"Umsatz CH";#N/A,#N/A,FALSE,"ER CH";#N/A,#N/A,FALSE,"EA CH (2) ";#N/A,#N/A,FALSE,"EA CH";#N/A,#N/A,FALSE,"EA CH (3) ";#N/A,#N/A,FALSE,"EA CH (4)";#N/A,#N/A,FALSE,"KA CH";#N/A,#N/A,FALSE,"KA CH  (2)";#N/A,#N/A,FALSE,"KA CH  (3)";#N/A,#N/A,FALSE,"KA CH (4)"}</definedName>
    <definedName name="ghj_3" localSheetId="0" hidden="1">{#N/A,#N/A,FALSE,"Umsatz CH";#N/A,#N/A,FALSE,"ER CH";#N/A,#N/A,FALSE,"EA CH (2) ";#N/A,#N/A,FALSE,"EA CH";#N/A,#N/A,FALSE,"EA CH (3) ";#N/A,#N/A,FALSE,"EA CH (4)";#N/A,#N/A,FALSE,"KA CH";#N/A,#N/A,FALSE,"KA CH  (2)";#N/A,#N/A,FALSE,"KA CH  (3)";#N/A,#N/A,FALSE,"KA CH (4)"}</definedName>
    <definedName name="ghj_3" localSheetId="6" hidden="1">{#N/A,#N/A,FALSE,"Umsatz CH";#N/A,#N/A,FALSE,"ER CH";#N/A,#N/A,FALSE,"EA CH (2) ";#N/A,#N/A,FALSE,"EA CH";#N/A,#N/A,FALSE,"EA CH (3) ";#N/A,#N/A,FALSE,"EA CH (4)";#N/A,#N/A,FALSE,"KA CH";#N/A,#N/A,FALSE,"KA CH  (2)";#N/A,#N/A,FALSE,"KA CH  (3)";#N/A,#N/A,FALSE,"KA CH (4)"}</definedName>
    <definedName name="ghj_3" hidden="1">{#N/A,#N/A,FALSE,"Umsatz CH";#N/A,#N/A,FALSE,"ER CH";#N/A,#N/A,FALSE,"EA CH (2) ";#N/A,#N/A,FALSE,"EA CH";#N/A,#N/A,FALSE,"EA CH (3) ";#N/A,#N/A,FALSE,"EA CH (4)";#N/A,#N/A,FALSE,"KA CH";#N/A,#N/A,FALSE,"KA CH  (2)";#N/A,#N/A,FALSE,"KA CH  (3)";#N/A,#N/A,FALSE,"KA CH (4)"}</definedName>
    <definedName name="ghj_4" localSheetId="0" hidden="1">{#N/A,#N/A,FALSE,"Umsatz CH";#N/A,#N/A,FALSE,"ER CH";#N/A,#N/A,FALSE,"EA CH (2) ";#N/A,#N/A,FALSE,"EA CH";#N/A,#N/A,FALSE,"EA CH (3) ";#N/A,#N/A,FALSE,"EA CH (4)";#N/A,#N/A,FALSE,"KA CH";#N/A,#N/A,FALSE,"KA CH  (2)";#N/A,#N/A,FALSE,"KA CH  (3)";#N/A,#N/A,FALSE,"KA CH (4)"}</definedName>
    <definedName name="ghj_4" localSheetId="6" hidden="1">{#N/A,#N/A,FALSE,"Umsatz CH";#N/A,#N/A,FALSE,"ER CH";#N/A,#N/A,FALSE,"EA CH (2) ";#N/A,#N/A,FALSE,"EA CH";#N/A,#N/A,FALSE,"EA CH (3) ";#N/A,#N/A,FALSE,"EA CH (4)";#N/A,#N/A,FALSE,"KA CH";#N/A,#N/A,FALSE,"KA CH  (2)";#N/A,#N/A,FALSE,"KA CH  (3)";#N/A,#N/A,FALSE,"KA CH (4)"}</definedName>
    <definedName name="ghj_4" hidden="1">{#N/A,#N/A,FALSE,"Umsatz CH";#N/A,#N/A,FALSE,"ER CH";#N/A,#N/A,FALSE,"EA CH (2) ";#N/A,#N/A,FALSE,"EA CH";#N/A,#N/A,FALSE,"EA CH (3) ";#N/A,#N/A,FALSE,"EA CH (4)";#N/A,#N/A,FALSE,"KA CH";#N/A,#N/A,FALSE,"KA CH  (2)";#N/A,#N/A,FALSE,"KA CH  (3)";#N/A,#N/A,FALSE,"KA CH (4)"}</definedName>
    <definedName name="ghj_5" localSheetId="0" hidden="1">{#N/A,#N/A,FALSE,"Umsatz CH";#N/A,#N/A,FALSE,"ER CH";#N/A,#N/A,FALSE,"EA CH (2) ";#N/A,#N/A,FALSE,"EA CH";#N/A,#N/A,FALSE,"EA CH (3) ";#N/A,#N/A,FALSE,"EA CH (4)";#N/A,#N/A,FALSE,"KA CH";#N/A,#N/A,FALSE,"KA CH  (2)";#N/A,#N/A,FALSE,"KA CH  (3)";#N/A,#N/A,FALSE,"KA CH (4)"}</definedName>
    <definedName name="ghj_5" localSheetId="6" hidden="1">{#N/A,#N/A,FALSE,"Umsatz CH";#N/A,#N/A,FALSE,"ER CH";#N/A,#N/A,FALSE,"EA CH (2) ";#N/A,#N/A,FALSE,"EA CH";#N/A,#N/A,FALSE,"EA CH (3) ";#N/A,#N/A,FALSE,"EA CH (4)";#N/A,#N/A,FALSE,"KA CH";#N/A,#N/A,FALSE,"KA CH  (2)";#N/A,#N/A,FALSE,"KA CH  (3)";#N/A,#N/A,FALSE,"KA CH (4)"}</definedName>
    <definedName name="ghj_5" hidden="1">{#N/A,#N/A,FALSE,"Umsatz CH";#N/A,#N/A,FALSE,"ER CH";#N/A,#N/A,FALSE,"EA CH (2) ";#N/A,#N/A,FALSE,"EA CH";#N/A,#N/A,FALSE,"EA CH (3) ";#N/A,#N/A,FALSE,"EA CH (4)";#N/A,#N/A,FALSE,"KA CH";#N/A,#N/A,FALSE,"KA CH  (2)";#N/A,#N/A,FALSE,"KA CH  (3)";#N/A,#N/A,FALSE,"KA CH (4)"}</definedName>
    <definedName name="ghjg" localSheetId="0" hidden="1">{"Graphic",#N/A,TRUE,"Graphic"}</definedName>
    <definedName name="ghjg" localSheetId="6" hidden="1">{"Graphic",#N/A,TRUE,"Graphic"}</definedName>
    <definedName name="ghjg" hidden="1">{"Graphic",#N/A,TRUE,"Graphic"}</definedName>
    <definedName name="ghjg_1" localSheetId="0" hidden="1">{"Graphic",#N/A,TRUE,"Graphic"}</definedName>
    <definedName name="ghjg_1" localSheetId="6" hidden="1">{"Graphic",#N/A,TRUE,"Graphic"}</definedName>
    <definedName name="ghjg_1" hidden="1">{"Graphic",#N/A,TRUE,"Graphic"}</definedName>
    <definedName name="ghjggjh" localSheetId="0" hidden="1">{#N/A,#N/A,FALSE,"Pharm";#N/A,#N/A,FALSE,"WWCM"}</definedName>
    <definedName name="ghjggjh" localSheetId="6" hidden="1">{#N/A,#N/A,FALSE,"Pharm";#N/A,#N/A,FALSE,"WWCM"}</definedName>
    <definedName name="ghjggjh" hidden="1">{#N/A,#N/A,FALSE,"Pharm";#N/A,#N/A,FALSE,"WWCM"}</definedName>
    <definedName name="ghjggjh_1" localSheetId="0" hidden="1">{#N/A,#N/A,FALSE,"Pharm";#N/A,#N/A,FALSE,"WWCM"}</definedName>
    <definedName name="ghjggjh_1" localSheetId="6" hidden="1">{#N/A,#N/A,FALSE,"Pharm";#N/A,#N/A,FALSE,"WWCM"}</definedName>
    <definedName name="ghjggjh_1" hidden="1">{#N/A,#N/A,FALSE,"Pharm";#N/A,#N/A,FALSE,"WWCM"}</definedName>
    <definedName name="ghjggjh_1_1" localSheetId="0" hidden="1">{#N/A,#N/A,FALSE,"Pharm";#N/A,#N/A,FALSE,"WWCM"}</definedName>
    <definedName name="ghjggjh_1_1" localSheetId="6" hidden="1">{#N/A,#N/A,FALSE,"Pharm";#N/A,#N/A,FALSE,"WWCM"}</definedName>
    <definedName name="ghjggjh_1_1" hidden="1">{#N/A,#N/A,FALSE,"Pharm";#N/A,#N/A,FALSE,"WWCM"}</definedName>
    <definedName name="ghjggjh_2" localSheetId="0" hidden="1">{#N/A,#N/A,FALSE,"Pharm";#N/A,#N/A,FALSE,"WWCM"}</definedName>
    <definedName name="ghjggjh_2" localSheetId="6" hidden="1">{#N/A,#N/A,FALSE,"Pharm";#N/A,#N/A,FALSE,"WWCM"}</definedName>
    <definedName name="ghjggjh_2" hidden="1">{#N/A,#N/A,FALSE,"Pharm";#N/A,#N/A,FALSE,"WWCM"}</definedName>
    <definedName name="ghjggjh_3" localSheetId="0" hidden="1">{#N/A,#N/A,FALSE,"Pharm";#N/A,#N/A,FALSE,"WWCM"}</definedName>
    <definedName name="ghjggjh_3" localSheetId="6" hidden="1">{#N/A,#N/A,FALSE,"Pharm";#N/A,#N/A,FALSE,"WWCM"}</definedName>
    <definedName name="ghjggjh_3" hidden="1">{#N/A,#N/A,FALSE,"Pharm";#N/A,#N/A,FALSE,"WWCM"}</definedName>
    <definedName name="ghjggjh_4" localSheetId="0" hidden="1">{#N/A,#N/A,FALSE,"Pharm";#N/A,#N/A,FALSE,"WWCM"}</definedName>
    <definedName name="ghjggjh_4" localSheetId="6" hidden="1">{#N/A,#N/A,FALSE,"Pharm";#N/A,#N/A,FALSE,"WWCM"}</definedName>
    <definedName name="ghjggjh_4" hidden="1">{#N/A,#N/A,FALSE,"Pharm";#N/A,#N/A,FALSE,"WWCM"}</definedName>
    <definedName name="ghjggjh_5" localSheetId="0" hidden="1">{#N/A,#N/A,FALSE,"Pharm";#N/A,#N/A,FALSE,"WWCM"}</definedName>
    <definedName name="ghjggjh_5" localSheetId="6" hidden="1">{#N/A,#N/A,FALSE,"Pharm";#N/A,#N/A,FALSE,"WWCM"}</definedName>
    <definedName name="ghjggjh_5" hidden="1">{#N/A,#N/A,FALSE,"Pharm";#N/A,#N/A,FALSE,"WWCM"}</definedName>
    <definedName name="ghjhgj" localSheetId="0" hidden="1">{#N/A,#N/A,FALSE,"PMW Gruppe 99_98";#N/A,#N/A,FALSE,"PMW KG 98_99";#N/A,#N/A,FALSE,"PMW Inc. 99_98";#N/A,#N/A,FALSE,"PMW VTECH 99_98";#N/A,#N/A,FALSE,"PMW Thail. 99_98";#N/A,#N/A,FALSE,"PMW Canada 99_98";#N/A,#N/A,FALSE,"Währungsabw. 99_98"}</definedName>
    <definedName name="ghjhgj" localSheetId="6" hidden="1">{#N/A,#N/A,FALSE,"PMW Gruppe 99_98";#N/A,#N/A,FALSE,"PMW KG 98_99";#N/A,#N/A,FALSE,"PMW Inc. 99_98";#N/A,#N/A,FALSE,"PMW VTECH 99_98";#N/A,#N/A,FALSE,"PMW Thail. 99_98";#N/A,#N/A,FALSE,"PMW Canada 99_98";#N/A,#N/A,FALSE,"Währungsabw. 99_98"}</definedName>
    <definedName name="ghjhgj" hidden="1">{#N/A,#N/A,FALSE,"PMW Gruppe 99_98";#N/A,#N/A,FALSE,"PMW KG 98_99";#N/A,#N/A,FALSE,"PMW Inc. 99_98";#N/A,#N/A,FALSE,"PMW VTECH 99_98";#N/A,#N/A,FALSE,"PMW Thail. 99_98";#N/A,#N/A,FALSE,"PMW Canada 99_98";#N/A,#N/A,FALSE,"Währungsabw. 99_98"}</definedName>
    <definedName name="ghjhgj_1" localSheetId="0" hidden="1">{#N/A,#N/A,FALSE,"PMW Gruppe 99_98";#N/A,#N/A,FALSE,"PMW KG 98_99";#N/A,#N/A,FALSE,"PMW Inc. 99_98";#N/A,#N/A,FALSE,"PMW VTECH 99_98";#N/A,#N/A,FALSE,"PMW Thail. 99_98";#N/A,#N/A,FALSE,"PMW Canada 99_98";#N/A,#N/A,FALSE,"Währungsabw. 99_98"}</definedName>
    <definedName name="ghjhgj_1" localSheetId="6" hidden="1">{#N/A,#N/A,FALSE,"PMW Gruppe 99_98";#N/A,#N/A,FALSE,"PMW KG 98_99";#N/A,#N/A,FALSE,"PMW Inc. 99_98";#N/A,#N/A,FALSE,"PMW VTECH 99_98";#N/A,#N/A,FALSE,"PMW Thail. 99_98";#N/A,#N/A,FALSE,"PMW Canada 99_98";#N/A,#N/A,FALSE,"Währungsabw. 99_98"}</definedName>
    <definedName name="ghjhgj_1" hidden="1">{#N/A,#N/A,FALSE,"PMW Gruppe 99_98";#N/A,#N/A,FALSE,"PMW KG 98_99";#N/A,#N/A,FALSE,"PMW Inc. 99_98";#N/A,#N/A,FALSE,"PMW VTECH 99_98";#N/A,#N/A,FALSE,"PMW Thail. 99_98";#N/A,#N/A,FALSE,"PMW Canada 99_98";#N/A,#N/A,FALSE,"Währungsabw. 99_98"}</definedName>
    <definedName name="ghjhgj_1_1" localSheetId="0" hidden="1">{#N/A,#N/A,FALSE,"PMW Gruppe 99_98";#N/A,#N/A,FALSE,"PMW KG 98_99";#N/A,#N/A,FALSE,"PMW Inc. 99_98";#N/A,#N/A,FALSE,"PMW VTECH 99_98";#N/A,#N/A,FALSE,"PMW Thail. 99_98";#N/A,#N/A,FALSE,"PMW Canada 99_98";#N/A,#N/A,FALSE,"Währungsabw. 99_98"}</definedName>
    <definedName name="ghjhgj_1_1" localSheetId="6" hidden="1">{#N/A,#N/A,FALSE,"PMW Gruppe 99_98";#N/A,#N/A,FALSE,"PMW KG 98_99";#N/A,#N/A,FALSE,"PMW Inc. 99_98";#N/A,#N/A,FALSE,"PMW VTECH 99_98";#N/A,#N/A,FALSE,"PMW Thail. 99_98";#N/A,#N/A,FALSE,"PMW Canada 99_98";#N/A,#N/A,FALSE,"Währungsabw. 99_98"}</definedName>
    <definedName name="ghjhgj_1_1" hidden="1">{#N/A,#N/A,FALSE,"PMW Gruppe 99_98";#N/A,#N/A,FALSE,"PMW KG 98_99";#N/A,#N/A,FALSE,"PMW Inc. 99_98";#N/A,#N/A,FALSE,"PMW VTECH 99_98";#N/A,#N/A,FALSE,"PMW Thail. 99_98";#N/A,#N/A,FALSE,"PMW Canada 99_98";#N/A,#N/A,FALSE,"Währungsabw. 99_98"}</definedName>
    <definedName name="ghjhgj_2" localSheetId="0" hidden="1">{#N/A,#N/A,FALSE,"PMW Gruppe 99_98";#N/A,#N/A,FALSE,"PMW KG 98_99";#N/A,#N/A,FALSE,"PMW Inc. 99_98";#N/A,#N/A,FALSE,"PMW VTECH 99_98";#N/A,#N/A,FALSE,"PMW Thail. 99_98";#N/A,#N/A,FALSE,"PMW Canada 99_98";#N/A,#N/A,FALSE,"Währungsabw. 99_98"}</definedName>
    <definedName name="ghjhgj_2" localSheetId="6" hidden="1">{#N/A,#N/A,FALSE,"PMW Gruppe 99_98";#N/A,#N/A,FALSE,"PMW KG 98_99";#N/A,#N/A,FALSE,"PMW Inc. 99_98";#N/A,#N/A,FALSE,"PMW VTECH 99_98";#N/A,#N/A,FALSE,"PMW Thail. 99_98";#N/A,#N/A,FALSE,"PMW Canada 99_98";#N/A,#N/A,FALSE,"Währungsabw. 99_98"}</definedName>
    <definedName name="ghjhgj_2" hidden="1">{#N/A,#N/A,FALSE,"PMW Gruppe 99_98";#N/A,#N/A,FALSE,"PMW KG 98_99";#N/A,#N/A,FALSE,"PMW Inc. 99_98";#N/A,#N/A,FALSE,"PMW VTECH 99_98";#N/A,#N/A,FALSE,"PMW Thail. 99_98";#N/A,#N/A,FALSE,"PMW Canada 99_98";#N/A,#N/A,FALSE,"Währungsabw. 99_98"}</definedName>
    <definedName name="ghjhgj_3" localSheetId="0" hidden="1">{#N/A,#N/A,FALSE,"PMW Gruppe 99_98";#N/A,#N/A,FALSE,"PMW KG 98_99";#N/A,#N/A,FALSE,"PMW Inc. 99_98";#N/A,#N/A,FALSE,"PMW VTECH 99_98";#N/A,#N/A,FALSE,"PMW Thail. 99_98";#N/A,#N/A,FALSE,"PMW Canada 99_98";#N/A,#N/A,FALSE,"Währungsabw. 99_98"}</definedName>
    <definedName name="ghjhgj_3" localSheetId="6" hidden="1">{#N/A,#N/A,FALSE,"PMW Gruppe 99_98";#N/A,#N/A,FALSE,"PMW KG 98_99";#N/A,#N/A,FALSE,"PMW Inc. 99_98";#N/A,#N/A,FALSE,"PMW VTECH 99_98";#N/A,#N/A,FALSE,"PMW Thail. 99_98";#N/A,#N/A,FALSE,"PMW Canada 99_98";#N/A,#N/A,FALSE,"Währungsabw. 99_98"}</definedName>
    <definedName name="ghjhgj_3" hidden="1">{#N/A,#N/A,FALSE,"PMW Gruppe 99_98";#N/A,#N/A,FALSE,"PMW KG 98_99";#N/A,#N/A,FALSE,"PMW Inc. 99_98";#N/A,#N/A,FALSE,"PMW VTECH 99_98";#N/A,#N/A,FALSE,"PMW Thail. 99_98";#N/A,#N/A,FALSE,"PMW Canada 99_98";#N/A,#N/A,FALSE,"Währungsabw. 99_98"}</definedName>
    <definedName name="ghjhgj_4" localSheetId="0" hidden="1">{#N/A,#N/A,FALSE,"PMW Gruppe 99_98";#N/A,#N/A,FALSE,"PMW KG 98_99";#N/A,#N/A,FALSE,"PMW Inc. 99_98";#N/A,#N/A,FALSE,"PMW VTECH 99_98";#N/A,#N/A,FALSE,"PMW Thail. 99_98";#N/A,#N/A,FALSE,"PMW Canada 99_98";#N/A,#N/A,FALSE,"Währungsabw. 99_98"}</definedName>
    <definedName name="ghjhgj_4" localSheetId="6" hidden="1">{#N/A,#N/A,FALSE,"PMW Gruppe 99_98";#N/A,#N/A,FALSE,"PMW KG 98_99";#N/A,#N/A,FALSE,"PMW Inc. 99_98";#N/A,#N/A,FALSE,"PMW VTECH 99_98";#N/A,#N/A,FALSE,"PMW Thail. 99_98";#N/A,#N/A,FALSE,"PMW Canada 99_98";#N/A,#N/A,FALSE,"Währungsabw. 99_98"}</definedName>
    <definedName name="ghjhgj_4" hidden="1">{#N/A,#N/A,FALSE,"PMW Gruppe 99_98";#N/A,#N/A,FALSE,"PMW KG 98_99";#N/A,#N/A,FALSE,"PMW Inc. 99_98";#N/A,#N/A,FALSE,"PMW VTECH 99_98";#N/A,#N/A,FALSE,"PMW Thail. 99_98";#N/A,#N/A,FALSE,"PMW Canada 99_98";#N/A,#N/A,FALSE,"Währungsabw. 99_98"}</definedName>
    <definedName name="ghjhgj_5" localSheetId="0" hidden="1">{#N/A,#N/A,FALSE,"PMW Gruppe 99_98";#N/A,#N/A,FALSE,"PMW KG 98_99";#N/A,#N/A,FALSE,"PMW Inc. 99_98";#N/A,#N/A,FALSE,"PMW VTECH 99_98";#N/A,#N/A,FALSE,"PMW Thail. 99_98";#N/A,#N/A,FALSE,"PMW Canada 99_98";#N/A,#N/A,FALSE,"Währungsabw. 99_98"}</definedName>
    <definedName name="ghjhgj_5" localSheetId="6" hidden="1">{#N/A,#N/A,FALSE,"PMW Gruppe 99_98";#N/A,#N/A,FALSE,"PMW KG 98_99";#N/A,#N/A,FALSE,"PMW Inc. 99_98";#N/A,#N/A,FALSE,"PMW VTECH 99_98";#N/A,#N/A,FALSE,"PMW Thail. 99_98";#N/A,#N/A,FALSE,"PMW Canada 99_98";#N/A,#N/A,FALSE,"Währungsabw. 99_98"}</definedName>
    <definedName name="ghjhgj_5" hidden="1">{#N/A,#N/A,FALSE,"PMW Gruppe 99_98";#N/A,#N/A,FALSE,"PMW KG 98_99";#N/A,#N/A,FALSE,"PMW Inc. 99_98";#N/A,#N/A,FALSE,"PMW VTECH 99_98";#N/A,#N/A,FALSE,"PMW Thail. 99_98";#N/A,#N/A,FALSE,"PMW Canada 99_98";#N/A,#N/A,FALSE,"Währungsabw. 99_98"}</definedName>
    <definedName name="ghjhgjh" localSheetId="0" hidden="1">{#N/A,#N/A,FALSE,"KA CH  (2)"}</definedName>
    <definedName name="ghjhgjh" localSheetId="6" hidden="1">{#N/A,#N/A,FALSE,"KA CH  (2)"}</definedName>
    <definedName name="ghjhgjh" hidden="1">{#N/A,#N/A,FALSE,"KA CH  (2)"}</definedName>
    <definedName name="ghjhgjh_1" localSheetId="0" hidden="1">{#N/A,#N/A,FALSE,"KA CH  (2)"}</definedName>
    <definedName name="ghjhgjh_1" localSheetId="6" hidden="1">{#N/A,#N/A,FALSE,"KA CH  (2)"}</definedName>
    <definedName name="ghjhgjh_1" hidden="1">{#N/A,#N/A,FALSE,"KA CH  (2)"}</definedName>
    <definedName name="ghjhgjh_1_1" localSheetId="0" hidden="1">{#N/A,#N/A,FALSE,"KA CH  (2)"}</definedName>
    <definedName name="ghjhgjh_1_1" localSheetId="6" hidden="1">{#N/A,#N/A,FALSE,"KA CH  (2)"}</definedName>
    <definedName name="ghjhgjh_1_1" hidden="1">{#N/A,#N/A,FALSE,"KA CH  (2)"}</definedName>
    <definedName name="ghjhgjh_2" localSheetId="0" hidden="1">{#N/A,#N/A,FALSE,"KA CH  (2)"}</definedName>
    <definedName name="ghjhgjh_2" localSheetId="6" hidden="1">{#N/A,#N/A,FALSE,"KA CH  (2)"}</definedName>
    <definedName name="ghjhgjh_2" hidden="1">{#N/A,#N/A,FALSE,"KA CH  (2)"}</definedName>
    <definedName name="ghjhgjh_3" localSheetId="0" hidden="1">{#N/A,#N/A,FALSE,"KA CH  (2)"}</definedName>
    <definedName name="ghjhgjh_3" localSheetId="6" hidden="1">{#N/A,#N/A,FALSE,"KA CH  (2)"}</definedName>
    <definedName name="ghjhgjh_3" hidden="1">{#N/A,#N/A,FALSE,"KA CH  (2)"}</definedName>
    <definedName name="ghjhgjh_4" localSheetId="0" hidden="1">{#N/A,#N/A,FALSE,"KA CH  (2)"}</definedName>
    <definedName name="ghjhgjh_4" localSheetId="6" hidden="1">{#N/A,#N/A,FALSE,"KA CH  (2)"}</definedName>
    <definedName name="ghjhgjh_4" hidden="1">{#N/A,#N/A,FALSE,"KA CH  (2)"}</definedName>
    <definedName name="ghjhgjh_5" localSheetId="0" hidden="1">{#N/A,#N/A,FALSE,"KA CH  (2)"}</definedName>
    <definedName name="ghjhgjh_5" localSheetId="6" hidden="1">{#N/A,#N/A,FALSE,"KA CH  (2)"}</definedName>
    <definedName name="ghjhgjh_5" hidden="1">{#N/A,#N/A,FALSE,"KA CH  (2)"}</definedName>
    <definedName name="ghjhj" localSheetId="0" hidden="1">{#N/A,#N/A,FALSE,"Umsatz EO BP";#N/A,#N/A,FALSE,"Umsatz EO OP";#N/A,#N/A,FALSE,"ER EO BP";#N/A,#N/A,FALSE,"ER EO OP";#N/A,#N/A,FALSE,"EA EO (2)";#N/A,#N/A,FALSE,"EA EO";#N/A,#N/A,FALSE,"EA EO (3)";#N/A,#N/A,FALSE,"EA EO (4)";#N/A,#N/A,FALSE,"KA EO  (2)";#N/A,#N/A,FALSE,"KA EO";#N/A,#N/A,FALSE,"KA EO  (3)";#N/A,#N/A,FALSE,"KA EO (4)"}</definedName>
    <definedName name="ghjhj" localSheetId="6" hidden="1">{#N/A,#N/A,FALSE,"Umsatz EO BP";#N/A,#N/A,FALSE,"Umsatz EO OP";#N/A,#N/A,FALSE,"ER EO BP";#N/A,#N/A,FALSE,"ER EO OP";#N/A,#N/A,FALSE,"EA EO (2)";#N/A,#N/A,FALSE,"EA EO";#N/A,#N/A,FALSE,"EA EO (3)";#N/A,#N/A,FALSE,"EA EO (4)";#N/A,#N/A,FALSE,"KA EO  (2)";#N/A,#N/A,FALSE,"KA EO";#N/A,#N/A,FALSE,"KA EO  (3)";#N/A,#N/A,FALSE,"KA EO (4)"}</definedName>
    <definedName name="ghjhj" hidden="1">{#N/A,#N/A,FALSE,"Umsatz EO BP";#N/A,#N/A,FALSE,"Umsatz EO OP";#N/A,#N/A,FALSE,"ER EO BP";#N/A,#N/A,FALSE,"ER EO OP";#N/A,#N/A,FALSE,"EA EO (2)";#N/A,#N/A,FALSE,"EA EO";#N/A,#N/A,FALSE,"EA EO (3)";#N/A,#N/A,FALSE,"EA EO (4)";#N/A,#N/A,FALSE,"KA EO  (2)";#N/A,#N/A,FALSE,"KA EO";#N/A,#N/A,FALSE,"KA EO  (3)";#N/A,#N/A,FALSE,"KA EO (4)"}</definedName>
    <definedName name="ghjhj_1" localSheetId="0" hidden="1">{#N/A,#N/A,FALSE,"Umsatz EO BP";#N/A,#N/A,FALSE,"Umsatz EO OP";#N/A,#N/A,FALSE,"ER EO BP";#N/A,#N/A,FALSE,"ER EO OP";#N/A,#N/A,FALSE,"EA EO (2)";#N/A,#N/A,FALSE,"EA EO";#N/A,#N/A,FALSE,"EA EO (3)";#N/A,#N/A,FALSE,"EA EO (4)";#N/A,#N/A,FALSE,"KA EO  (2)";#N/A,#N/A,FALSE,"KA EO";#N/A,#N/A,FALSE,"KA EO  (3)";#N/A,#N/A,FALSE,"KA EO (4)"}</definedName>
    <definedName name="ghjhj_1" localSheetId="6" hidden="1">{#N/A,#N/A,FALSE,"Umsatz EO BP";#N/A,#N/A,FALSE,"Umsatz EO OP";#N/A,#N/A,FALSE,"ER EO BP";#N/A,#N/A,FALSE,"ER EO OP";#N/A,#N/A,FALSE,"EA EO (2)";#N/A,#N/A,FALSE,"EA EO";#N/A,#N/A,FALSE,"EA EO (3)";#N/A,#N/A,FALSE,"EA EO (4)";#N/A,#N/A,FALSE,"KA EO  (2)";#N/A,#N/A,FALSE,"KA EO";#N/A,#N/A,FALSE,"KA EO  (3)";#N/A,#N/A,FALSE,"KA EO (4)"}</definedName>
    <definedName name="ghjhj_1" hidden="1">{#N/A,#N/A,FALSE,"Umsatz EO BP";#N/A,#N/A,FALSE,"Umsatz EO OP";#N/A,#N/A,FALSE,"ER EO BP";#N/A,#N/A,FALSE,"ER EO OP";#N/A,#N/A,FALSE,"EA EO (2)";#N/A,#N/A,FALSE,"EA EO";#N/A,#N/A,FALSE,"EA EO (3)";#N/A,#N/A,FALSE,"EA EO (4)";#N/A,#N/A,FALSE,"KA EO  (2)";#N/A,#N/A,FALSE,"KA EO";#N/A,#N/A,FALSE,"KA EO  (3)";#N/A,#N/A,FALSE,"KA EO (4)"}</definedName>
    <definedName name="ghjhj_1_1" localSheetId="0" hidden="1">{#N/A,#N/A,FALSE,"Umsatz EO BP";#N/A,#N/A,FALSE,"Umsatz EO OP";#N/A,#N/A,FALSE,"ER EO BP";#N/A,#N/A,FALSE,"ER EO OP";#N/A,#N/A,FALSE,"EA EO (2)";#N/A,#N/A,FALSE,"EA EO";#N/A,#N/A,FALSE,"EA EO (3)";#N/A,#N/A,FALSE,"EA EO (4)";#N/A,#N/A,FALSE,"KA EO  (2)";#N/A,#N/A,FALSE,"KA EO";#N/A,#N/A,FALSE,"KA EO  (3)";#N/A,#N/A,FALSE,"KA EO (4)"}</definedName>
    <definedName name="ghjhj_1_1" localSheetId="6" hidden="1">{#N/A,#N/A,FALSE,"Umsatz EO BP";#N/A,#N/A,FALSE,"Umsatz EO OP";#N/A,#N/A,FALSE,"ER EO BP";#N/A,#N/A,FALSE,"ER EO OP";#N/A,#N/A,FALSE,"EA EO (2)";#N/A,#N/A,FALSE,"EA EO";#N/A,#N/A,FALSE,"EA EO (3)";#N/A,#N/A,FALSE,"EA EO (4)";#N/A,#N/A,FALSE,"KA EO  (2)";#N/A,#N/A,FALSE,"KA EO";#N/A,#N/A,FALSE,"KA EO  (3)";#N/A,#N/A,FALSE,"KA EO (4)"}</definedName>
    <definedName name="ghjhj_1_1" hidden="1">{#N/A,#N/A,FALSE,"Umsatz EO BP";#N/A,#N/A,FALSE,"Umsatz EO OP";#N/A,#N/A,FALSE,"ER EO BP";#N/A,#N/A,FALSE,"ER EO OP";#N/A,#N/A,FALSE,"EA EO (2)";#N/A,#N/A,FALSE,"EA EO";#N/A,#N/A,FALSE,"EA EO (3)";#N/A,#N/A,FALSE,"EA EO (4)";#N/A,#N/A,FALSE,"KA EO  (2)";#N/A,#N/A,FALSE,"KA EO";#N/A,#N/A,FALSE,"KA EO  (3)";#N/A,#N/A,FALSE,"KA EO (4)"}</definedName>
    <definedName name="ghjhj_2" localSheetId="0" hidden="1">{#N/A,#N/A,FALSE,"Umsatz EO BP";#N/A,#N/A,FALSE,"Umsatz EO OP";#N/A,#N/A,FALSE,"ER EO BP";#N/A,#N/A,FALSE,"ER EO OP";#N/A,#N/A,FALSE,"EA EO (2)";#N/A,#N/A,FALSE,"EA EO";#N/A,#N/A,FALSE,"EA EO (3)";#N/A,#N/A,FALSE,"EA EO (4)";#N/A,#N/A,FALSE,"KA EO  (2)";#N/A,#N/A,FALSE,"KA EO";#N/A,#N/A,FALSE,"KA EO  (3)";#N/A,#N/A,FALSE,"KA EO (4)"}</definedName>
    <definedName name="ghjhj_2" localSheetId="6" hidden="1">{#N/A,#N/A,FALSE,"Umsatz EO BP";#N/A,#N/A,FALSE,"Umsatz EO OP";#N/A,#N/A,FALSE,"ER EO BP";#N/A,#N/A,FALSE,"ER EO OP";#N/A,#N/A,FALSE,"EA EO (2)";#N/A,#N/A,FALSE,"EA EO";#N/A,#N/A,FALSE,"EA EO (3)";#N/A,#N/A,FALSE,"EA EO (4)";#N/A,#N/A,FALSE,"KA EO  (2)";#N/A,#N/A,FALSE,"KA EO";#N/A,#N/A,FALSE,"KA EO  (3)";#N/A,#N/A,FALSE,"KA EO (4)"}</definedName>
    <definedName name="ghjhj_2" hidden="1">{#N/A,#N/A,FALSE,"Umsatz EO BP";#N/A,#N/A,FALSE,"Umsatz EO OP";#N/A,#N/A,FALSE,"ER EO BP";#N/A,#N/A,FALSE,"ER EO OP";#N/A,#N/A,FALSE,"EA EO (2)";#N/A,#N/A,FALSE,"EA EO";#N/A,#N/A,FALSE,"EA EO (3)";#N/A,#N/A,FALSE,"EA EO (4)";#N/A,#N/A,FALSE,"KA EO  (2)";#N/A,#N/A,FALSE,"KA EO";#N/A,#N/A,FALSE,"KA EO  (3)";#N/A,#N/A,FALSE,"KA EO (4)"}</definedName>
    <definedName name="ghjhj_3" localSheetId="0" hidden="1">{#N/A,#N/A,FALSE,"Umsatz EO BP";#N/A,#N/A,FALSE,"Umsatz EO OP";#N/A,#N/A,FALSE,"ER EO BP";#N/A,#N/A,FALSE,"ER EO OP";#N/A,#N/A,FALSE,"EA EO (2)";#N/A,#N/A,FALSE,"EA EO";#N/A,#N/A,FALSE,"EA EO (3)";#N/A,#N/A,FALSE,"EA EO (4)";#N/A,#N/A,FALSE,"KA EO  (2)";#N/A,#N/A,FALSE,"KA EO";#N/A,#N/A,FALSE,"KA EO  (3)";#N/A,#N/A,FALSE,"KA EO (4)"}</definedName>
    <definedName name="ghjhj_3" localSheetId="6" hidden="1">{#N/A,#N/A,FALSE,"Umsatz EO BP";#N/A,#N/A,FALSE,"Umsatz EO OP";#N/A,#N/A,FALSE,"ER EO BP";#N/A,#N/A,FALSE,"ER EO OP";#N/A,#N/A,FALSE,"EA EO (2)";#N/A,#N/A,FALSE,"EA EO";#N/A,#N/A,FALSE,"EA EO (3)";#N/A,#N/A,FALSE,"EA EO (4)";#N/A,#N/A,FALSE,"KA EO  (2)";#N/A,#N/A,FALSE,"KA EO";#N/A,#N/A,FALSE,"KA EO  (3)";#N/A,#N/A,FALSE,"KA EO (4)"}</definedName>
    <definedName name="ghjhj_3" hidden="1">{#N/A,#N/A,FALSE,"Umsatz EO BP";#N/A,#N/A,FALSE,"Umsatz EO OP";#N/A,#N/A,FALSE,"ER EO BP";#N/A,#N/A,FALSE,"ER EO OP";#N/A,#N/A,FALSE,"EA EO (2)";#N/A,#N/A,FALSE,"EA EO";#N/A,#N/A,FALSE,"EA EO (3)";#N/A,#N/A,FALSE,"EA EO (4)";#N/A,#N/A,FALSE,"KA EO  (2)";#N/A,#N/A,FALSE,"KA EO";#N/A,#N/A,FALSE,"KA EO  (3)";#N/A,#N/A,FALSE,"KA EO (4)"}</definedName>
    <definedName name="ghjhj_4" localSheetId="0" hidden="1">{#N/A,#N/A,FALSE,"Umsatz EO BP";#N/A,#N/A,FALSE,"Umsatz EO OP";#N/A,#N/A,FALSE,"ER EO BP";#N/A,#N/A,FALSE,"ER EO OP";#N/A,#N/A,FALSE,"EA EO (2)";#N/A,#N/A,FALSE,"EA EO";#N/A,#N/A,FALSE,"EA EO (3)";#N/A,#N/A,FALSE,"EA EO (4)";#N/A,#N/A,FALSE,"KA EO  (2)";#N/A,#N/A,FALSE,"KA EO";#N/A,#N/A,FALSE,"KA EO  (3)";#N/A,#N/A,FALSE,"KA EO (4)"}</definedName>
    <definedName name="ghjhj_4" localSheetId="6" hidden="1">{#N/A,#N/A,FALSE,"Umsatz EO BP";#N/A,#N/A,FALSE,"Umsatz EO OP";#N/A,#N/A,FALSE,"ER EO BP";#N/A,#N/A,FALSE,"ER EO OP";#N/A,#N/A,FALSE,"EA EO (2)";#N/A,#N/A,FALSE,"EA EO";#N/A,#N/A,FALSE,"EA EO (3)";#N/A,#N/A,FALSE,"EA EO (4)";#N/A,#N/A,FALSE,"KA EO  (2)";#N/A,#N/A,FALSE,"KA EO";#N/A,#N/A,FALSE,"KA EO  (3)";#N/A,#N/A,FALSE,"KA EO (4)"}</definedName>
    <definedName name="ghjhj_4" hidden="1">{#N/A,#N/A,FALSE,"Umsatz EO BP";#N/A,#N/A,FALSE,"Umsatz EO OP";#N/A,#N/A,FALSE,"ER EO BP";#N/A,#N/A,FALSE,"ER EO OP";#N/A,#N/A,FALSE,"EA EO (2)";#N/A,#N/A,FALSE,"EA EO";#N/A,#N/A,FALSE,"EA EO (3)";#N/A,#N/A,FALSE,"EA EO (4)";#N/A,#N/A,FALSE,"KA EO  (2)";#N/A,#N/A,FALSE,"KA EO";#N/A,#N/A,FALSE,"KA EO  (3)";#N/A,#N/A,FALSE,"KA EO (4)"}</definedName>
    <definedName name="ghjhj_5" localSheetId="0" hidden="1">{#N/A,#N/A,FALSE,"Umsatz EO BP";#N/A,#N/A,FALSE,"Umsatz EO OP";#N/A,#N/A,FALSE,"ER EO BP";#N/A,#N/A,FALSE,"ER EO OP";#N/A,#N/A,FALSE,"EA EO (2)";#N/A,#N/A,FALSE,"EA EO";#N/A,#N/A,FALSE,"EA EO (3)";#N/A,#N/A,FALSE,"EA EO (4)";#N/A,#N/A,FALSE,"KA EO  (2)";#N/A,#N/A,FALSE,"KA EO";#N/A,#N/A,FALSE,"KA EO  (3)";#N/A,#N/A,FALSE,"KA EO (4)"}</definedName>
    <definedName name="ghjhj_5" localSheetId="6" hidden="1">{#N/A,#N/A,FALSE,"Umsatz EO BP";#N/A,#N/A,FALSE,"Umsatz EO OP";#N/A,#N/A,FALSE,"ER EO BP";#N/A,#N/A,FALSE,"ER EO OP";#N/A,#N/A,FALSE,"EA EO (2)";#N/A,#N/A,FALSE,"EA EO";#N/A,#N/A,FALSE,"EA EO (3)";#N/A,#N/A,FALSE,"EA EO (4)";#N/A,#N/A,FALSE,"KA EO  (2)";#N/A,#N/A,FALSE,"KA EO";#N/A,#N/A,FALSE,"KA EO  (3)";#N/A,#N/A,FALSE,"KA EO (4)"}</definedName>
    <definedName name="ghjhj_5" hidden="1">{#N/A,#N/A,FALSE,"Umsatz EO BP";#N/A,#N/A,FALSE,"Umsatz EO OP";#N/A,#N/A,FALSE,"ER EO BP";#N/A,#N/A,FALSE,"ER EO OP";#N/A,#N/A,FALSE,"EA EO (2)";#N/A,#N/A,FALSE,"EA EO";#N/A,#N/A,FALSE,"EA EO (3)";#N/A,#N/A,FALSE,"EA EO (4)";#N/A,#N/A,FALSE,"KA EO  (2)";#N/A,#N/A,FALSE,"KA EO";#N/A,#N/A,FALSE,"KA EO  (3)";#N/A,#N/A,FALSE,"KA EO (4)"}</definedName>
    <definedName name="ghjkfgdch" localSheetId="6" hidden="1">{"VIEW1",#N/A,FALSE,"P&amp;L Account 2001-2002";"VIEW2",#N/A,FALSE,"P&amp;L Account 2001-2002";"VIEW3",#N/A,FALSE,"P&amp;L Account 2001-2002";"VIEW4",#N/A,FALSE,"P&amp;L Account 2001-2002"}</definedName>
    <definedName name="ghjkfgdch" hidden="1">{"VIEW1",#N/A,FALSE,"P&amp;L Account 2001-2002";"VIEW2",#N/A,FALSE,"P&amp;L Account 2001-2002";"VIEW3",#N/A,FALSE,"P&amp;L Account 2001-2002";"VIEW4",#N/A,FALSE,"P&amp;L Account 2001-2002"}</definedName>
    <definedName name="ghk" localSheetId="0" hidden="1">{#N/A,#N/A,FALSE,"PMW Gruppe 99_98";#N/A,#N/A,FALSE,"PMW KG 98_99";#N/A,#N/A,FALSE,"PMW Inc. 99_98";#N/A,#N/A,FALSE,"PMW VTECH 99_98";#N/A,#N/A,FALSE,"PMW Thail. 99_98";#N/A,#N/A,FALSE,"PMW Canada 99_98";#N/A,#N/A,FALSE,"Währungsabw. 99_98"}</definedName>
    <definedName name="ghk" localSheetId="6" hidden="1">{#N/A,#N/A,FALSE,"PMW Gruppe 99_98";#N/A,#N/A,FALSE,"PMW KG 98_99";#N/A,#N/A,FALSE,"PMW Inc. 99_98";#N/A,#N/A,FALSE,"PMW VTECH 99_98";#N/A,#N/A,FALSE,"PMW Thail. 99_98";#N/A,#N/A,FALSE,"PMW Canada 99_98";#N/A,#N/A,FALSE,"Währungsabw. 99_98"}</definedName>
    <definedName name="ghk" hidden="1">{#N/A,#N/A,FALSE,"PMW Gruppe 99_98";#N/A,#N/A,FALSE,"PMW KG 98_99";#N/A,#N/A,FALSE,"PMW Inc. 99_98";#N/A,#N/A,FALSE,"PMW VTECH 99_98";#N/A,#N/A,FALSE,"PMW Thail. 99_98";#N/A,#N/A,FALSE,"PMW Canada 99_98";#N/A,#N/A,FALSE,"Währungsabw. 99_98"}</definedName>
    <definedName name="ghk_1" localSheetId="0" hidden="1">{#N/A,#N/A,FALSE,"PMW Gruppe 99_98";#N/A,#N/A,FALSE,"PMW KG 98_99";#N/A,#N/A,FALSE,"PMW Inc. 99_98";#N/A,#N/A,FALSE,"PMW VTECH 99_98";#N/A,#N/A,FALSE,"PMW Thail. 99_98";#N/A,#N/A,FALSE,"PMW Canada 99_98";#N/A,#N/A,FALSE,"Währungsabw. 99_98"}</definedName>
    <definedName name="ghk_1" localSheetId="6" hidden="1">{#N/A,#N/A,FALSE,"PMW Gruppe 99_98";#N/A,#N/A,FALSE,"PMW KG 98_99";#N/A,#N/A,FALSE,"PMW Inc. 99_98";#N/A,#N/A,FALSE,"PMW VTECH 99_98";#N/A,#N/A,FALSE,"PMW Thail. 99_98";#N/A,#N/A,FALSE,"PMW Canada 99_98";#N/A,#N/A,FALSE,"Währungsabw. 99_98"}</definedName>
    <definedName name="ghk_1" hidden="1">{#N/A,#N/A,FALSE,"PMW Gruppe 99_98";#N/A,#N/A,FALSE,"PMW KG 98_99";#N/A,#N/A,FALSE,"PMW Inc. 99_98";#N/A,#N/A,FALSE,"PMW VTECH 99_98";#N/A,#N/A,FALSE,"PMW Thail. 99_98";#N/A,#N/A,FALSE,"PMW Canada 99_98";#N/A,#N/A,FALSE,"Währungsabw. 99_98"}</definedName>
    <definedName name="ghk_1_1" localSheetId="0" hidden="1">{#N/A,#N/A,FALSE,"PMW Gruppe 99_98";#N/A,#N/A,FALSE,"PMW KG 98_99";#N/A,#N/A,FALSE,"PMW Inc. 99_98";#N/A,#N/A,FALSE,"PMW VTECH 99_98";#N/A,#N/A,FALSE,"PMW Thail. 99_98";#N/A,#N/A,FALSE,"PMW Canada 99_98";#N/A,#N/A,FALSE,"Währungsabw. 99_98"}</definedName>
    <definedName name="ghk_1_1" localSheetId="6" hidden="1">{#N/A,#N/A,FALSE,"PMW Gruppe 99_98";#N/A,#N/A,FALSE,"PMW KG 98_99";#N/A,#N/A,FALSE,"PMW Inc. 99_98";#N/A,#N/A,FALSE,"PMW VTECH 99_98";#N/A,#N/A,FALSE,"PMW Thail. 99_98";#N/A,#N/A,FALSE,"PMW Canada 99_98";#N/A,#N/A,FALSE,"Währungsabw. 99_98"}</definedName>
    <definedName name="ghk_1_1" hidden="1">{#N/A,#N/A,FALSE,"PMW Gruppe 99_98";#N/A,#N/A,FALSE,"PMW KG 98_99";#N/A,#N/A,FALSE,"PMW Inc. 99_98";#N/A,#N/A,FALSE,"PMW VTECH 99_98";#N/A,#N/A,FALSE,"PMW Thail. 99_98";#N/A,#N/A,FALSE,"PMW Canada 99_98";#N/A,#N/A,FALSE,"Währungsabw. 99_98"}</definedName>
    <definedName name="ghk_2" localSheetId="0" hidden="1">{#N/A,#N/A,FALSE,"PMW Gruppe 99_98";#N/A,#N/A,FALSE,"PMW KG 98_99";#N/A,#N/A,FALSE,"PMW Inc. 99_98";#N/A,#N/A,FALSE,"PMW VTECH 99_98";#N/A,#N/A,FALSE,"PMW Thail. 99_98";#N/A,#N/A,FALSE,"PMW Canada 99_98";#N/A,#N/A,FALSE,"Währungsabw. 99_98"}</definedName>
    <definedName name="ghk_2" localSheetId="6" hidden="1">{#N/A,#N/A,FALSE,"PMW Gruppe 99_98";#N/A,#N/A,FALSE,"PMW KG 98_99";#N/A,#N/A,FALSE,"PMW Inc. 99_98";#N/A,#N/A,FALSE,"PMW VTECH 99_98";#N/A,#N/A,FALSE,"PMW Thail. 99_98";#N/A,#N/A,FALSE,"PMW Canada 99_98";#N/A,#N/A,FALSE,"Währungsabw. 99_98"}</definedName>
    <definedName name="ghk_2" hidden="1">{#N/A,#N/A,FALSE,"PMW Gruppe 99_98";#N/A,#N/A,FALSE,"PMW KG 98_99";#N/A,#N/A,FALSE,"PMW Inc. 99_98";#N/A,#N/A,FALSE,"PMW VTECH 99_98";#N/A,#N/A,FALSE,"PMW Thail. 99_98";#N/A,#N/A,FALSE,"PMW Canada 99_98";#N/A,#N/A,FALSE,"Währungsabw. 99_98"}</definedName>
    <definedName name="ghk_3" localSheetId="0" hidden="1">{#N/A,#N/A,FALSE,"PMW Gruppe 99_98";#N/A,#N/A,FALSE,"PMW KG 98_99";#N/A,#N/A,FALSE,"PMW Inc. 99_98";#N/A,#N/A,FALSE,"PMW VTECH 99_98";#N/A,#N/A,FALSE,"PMW Thail. 99_98";#N/A,#N/A,FALSE,"PMW Canada 99_98";#N/A,#N/A,FALSE,"Währungsabw. 99_98"}</definedName>
    <definedName name="ghk_3" localSheetId="6" hidden="1">{#N/A,#N/A,FALSE,"PMW Gruppe 99_98";#N/A,#N/A,FALSE,"PMW KG 98_99";#N/A,#N/A,FALSE,"PMW Inc. 99_98";#N/A,#N/A,FALSE,"PMW VTECH 99_98";#N/A,#N/A,FALSE,"PMW Thail. 99_98";#N/A,#N/A,FALSE,"PMW Canada 99_98";#N/A,#N/A,FALSE,"Währungsabw. 99_98"}</definedName>
    <definedName name="ghk_3" hidden="1">{#N/A,#N/A,FALSE,"PMW Gruppe 99_98";#N/A,#N/A,FALSE,"PMW KG 98_99";#N/A,#N/A,FALSE,"PMW Inc. 99_98";#N/A,#N/A,FALSE,"PMW VTECH 99_98";#N/A,#N/A,FALSE,"PMW Thail. 99_98";#N/A,#N/A,FALSE,"PMW Canada 99_98";#N/A,#N/A,FALSE,"Währungsabw. 99_98"}</definedName>
    <definedName name="ghk_4" localSheetId="0" hidden="1">{#N/A,#N/A,FALSE,"PMW Gruppe 99_98";#N/A,#N/A,FALSE,"PMW KG 98_99";#N/A,#N/A,FALSE,"PMW Inc. 99_98";#N/A,#N/A,FALSE,"PMW VTECH 99_98";#N/A,#N/A,FALSE,"PMW Thail. 99_98";#N/A,#N/A,FALSE,"PMW Canada 99_98";#N/A,#N/A,FALSE,"Währungsabw. 99_98"}</definedName>
    <definedName name="ghk_4" localSheetId="6" hidden="1">{#N/A,#N/A,FALSE,"PMW Gruppe 99_98";#N/A,#N/A,FALSE,"PMW KG 98_99";#N/A,#N/A,FALSE,"PMW Inc. 99_98";#N/A,#N/A,FALSE,"PMW VTECH 99_98";#N/A,#N/A,FALSE,"PMW Thail. 99_98";#N/A,#N/A,FALSE,"PMW Canada 99_98";#N/A,#N/A,FALSE,"Währungsabw. 99_98"}</definedName>
    <definedName name="ghk_4" hidden="1">{#N/A,#N/A,FALSE,"PMW Gruppe 99_98";#N/A,#N/A,FALSE,"PMW KG 98_99";#N/A,#N/A,FALSE,"PMW Inc. 99_98";#N/A,#N/A,FALSE,"PMW VTECH 99_98";#N/A,#N/A,FALSE,"PMW Thail. 99_98";#N/A,#N/A,FALSE,"PMW Canada 99_98";#N/A,#N/A,FALSE,"Währungsabw. 99_98"}</definedName>
    <definedName name="ghk_5" localSheetId="0" hidden="1">{#N/A,#N/A,FALSE,"PMW Gruppe 99_98";#N/A,#N/A,FALSE,"PMW KG 98_99";#N/A,#N/A,FALSE,"PMW Inc. 99_98";#N/A,#N/A,FALSE,"PMW VTECH 99_98";#N/A,#N/A,FALSE,"PMW Thail. 99_98";#N/A,#N/A,FALSE,"PMW Canada 99_98";#N/A,#N/A,FALSE,"Währungsabw. 99_98"}</definedName>
    <definedName name="ghk_5" localSheetId="6" hidden="1">{#N/A,#N/A,FALSE,"PMW Gruppe 99_98";#N/A,#N/A,FALSE,"PMW KG 98_99";#N/A,#N/A,FALSE,"PMW Inc. 99_98";#N/A,#N/A,FALSE,"PMW VTECH 99_98";#N/A,#N/A,FALSE,"PMW Thail. 99_98";#N/A,#N/A,FALSE,"PMW Canada 99_98";#N/A,#N/A,FALSE,"Währungsabw. 99_98"}</definedName>
    <definedName name="ghk_5" hidden="1">{#N/A,#N/A,FALSE,"PMW Gruppe 99_98";#N/A,#N/A,FALSE,"PMW KG 98_99";#N/A,#N/A,FALSE,"PMW Inc. 99_98";#N/A,#N/A,FALSE,"PMW VTECH 99_98";#N/A,#N/A,FALSE,"PMW Thail. 99_98";#N/A,#N/A,FALSE,"PMW Canada 99_98";#N/A,#N/A,FALSE,"Währungsabw. 99_98"}</definedName>
    <definedName name="ghmtymk" localSheetId="6" hidden="1">{#N/A,#N/A,FALSE,"INPUTS";#N/A,#N/A,FALSE,"PROFORMA BSHEET";#N/A,#N/A,FALSE,"COMBINED";#N/A,#N/A,FALSE,"ACQUIROR";#N/A,#N/A,FALSE,"TARGET 1";#N/A,#N/A,FALSE,"TARGET 2";#N/A,#N/A,FALSE,"HIGH YIELD";#N/A,#N/A,FALSE,"OVERFUND"}</definedName>
    <definedName name="ghmtymk" hidden="1">{#N/A,#N/A,FALSE,"INPUTS";#N/A,#N/A,FALSE,"PROFORMA BSHEET";#N/A,#N/A,FALSE,"COMBINED";#N/A,#N/A,FALSE,"ACQUIROR";#N/A,#N/A,FALSE,"TARGET 1";#N/A,#N/A,FALSE,"TARGET 2";#N/A,#N/A,FALSE,"HIGH YIELD";#N/A,#N/A,FALSE,"OVERFUND"}</definedName>
    <definedName name="ghtj" localSheetId="6" hidden="1">{#N/A,#N/A,FALSE,"ACQ_GRAPHS";#N/A,#N/A,FALSE,"T_1 GRAPHS";#N/A,#N/A,FALSE,"T_2 GRAPHS";#N/A,#N/A,FALSE,"COMB_GRAPHS"}</definedName>
    <definedName name="ghtj" hidden="1">{#N/A,#N/A,FALSE,"ACQ_GRAPHS";#N/A,#N/A,FALSE,"T_1 GRAPHS";#N/A,#N/A,FALSE,"T_2 GRAPHS";#N/A,#N/A,FALSE,"COMB_GRAPHS"}</definedName>
    <definedName name="gi" localSheetId="0" hidden="1">{#N/A,#N/A,FALSE,"Work progress mensile";#N/A,#N/A,FALSE,"Work progress mensile IE1"}</definedName>
    <definedName name="gi" localSheetId="6" hidden="1">{#N/A,#N/A,FALSE,"Work progress mensile";#N/A,#N/A,FALSE,"Work progress mensile IE1"}</definedName>
    <definedName name="gi" hidden="1">{#N/A,#N/A,FALSE,"Work progress mensile";#N/A,#N/A,FALSE,"Work progress mensile IE1"}</definedName>
    <definedName name="GIGI" localSheetId="0" hidden="1">{"'INDICE'!$A$1:$K$13","'1'!$A$1:$CC$78","'2'!$A$1:$P$78","'3'!$A$1:$CI$78","'4'!$A$1:$Q$78"}</definedName>
    <definedName name="GIGI" localSheetId="6" hidden="1">{"'INDICE'!$A$1:$K$13","'1'!$A$1:$CC$78","'2'!$A$1:$P$78","'3'!$A$1:$CI$78","'4'!$A$1:$Q$78"}</definedName>
    <definedName name="GIGI" hidden="1">{"'INDICE'!$A$1:$K$13","'1'!$A$1:$CC$78","'2'!$A$1:$P$78","'3'!$A$1:$CI$78","'4'!$A$1:$Q$78"}</definedName>
    <definedName name="GIGI_1" localSheetId="0" hidden="1">{"'INDICE'!$A$1:$K$13","'1'!$A$1:$CC$78","'2'!$A$1:$P$78","'3'!$A$1:$CI$78","'4'!$A$1:$Q$78"}</definedName>
    <definedName name="GIGI_1" localSheetId="6" hidden="1">{"'INDICE'!$A$1:$K$13","'1'!$A$1:$CC$78","'2'!$A$1:$P$78","'3'!$A$1:$CI$78","'4'!$A$1:$Q$78"}</definedName>
    <definedName name="GIGI_1" hidden="1">{"'INDICE'!$A$1:$K$13","'1'!$A$1:$CC$78","'2'!$A$1:$P$78","'3'!$A$1:$CI$78","'4'!$A$1:$Q$78"}</definedName>
    <definedName name="GITAC">#REF!</definedName>
    <definedName name="GITOTHER">#REF!</definedName>
    <definedName name="GITRADIOS">#REF!</definedName>
    <definedName name="gjgjg"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gjgjg"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gjgjg" hidden="1">{#N/A,#N/A,TRUE,"COVER2";#N/A,#N/A,TRUE,"AGENDA";#N/A,#N/A,TRUE,"Cover";#N/A,#N/A,TRUE,"4M";#N/A,#N/A,TRUE,"FLP&amp;L4M";#N/A,#N/A,TRUE,"4MMC";#N/A,#N/A,TRUE,"Shp4M";#N/A,#N/A,TRUE,"M5";#N/A,#N/A,TRUE,"Q2";#N/A,#N/A,TRUE,"Q1vsQ2";#N/A,#N/A,TRUE,"M6";#N/A,#N/A,TRUE,"TY";#N/A,#N/A,TRUE,"FLP&amp;LTY";#N/A,#N/A,TRUE,"TYMC";#N/A,#N/A,TRUE,"ShpTY";#N/A,#N/A,TRUE,"8M";#N/A,#N/A,TRUE,"FLP&amp;L8M";#N/A,#N/A,TRUE,"8MMC";#N/A,#N/A,TRUE,"Shp8M"}</definedName>
    <definedName name="gjh" localSheetId="0" hidden="1">{#N/A,#N/A,FALSE,"Umsatz 99";#N/A,#N/A,FALSE,"ER 99 "}</definedName>
    <definedName name="gjh" localSheetId="6" hidden="1">{#N/A,#N/A,FALSE,"Umsatz 99";#N/A,#N/A,FALSE,"ER 99 "}</definedName>
    <definedName name="gjh" hidden="1">{#N/A,#N/A,FALSE,"Umsatz 99";#N/A,#N/A,FALSE,"ER 99 "}</definedName>
    <definedName name="gjh_1" localSheetId="0" hidden="1">{#N/A,#N/A,FALSE,"Umsatz 99";#N/A,#N/A,FALSE,"ER 99 "}</definedName>
    <definedName name="gjh_1" localSheetId="6" hidden="1">{#N/A,#N/A,FALSE,"Umsatz 99";#N/A,#N/A,FALSE,"ER 99 "}</definedName>
    <definedName name="gjh_1" hidden="1">{#N/A,#N/A,FALSE,"Umsatz 99";#N/A,#N/A,FALSE,"ER 99 "}</definedName>
    <definedName name="gjh_1_1" localSheetId="0" hidden="1">{#N/A,#N/A,FALSE,"Umsatz 99";#N/A,#N/A,FALSE,"ER 99 "}</definedName>
    <definedName name="gjh_1_1" localSheetId="6" hidden="1">{#N/A,#N/A,FALSE,"Umsatz 99";#N/A,#N/A,FALSE,"ER 99 "}</definedName>
    <definedName name="gjh_1_1" hidden="1">{#N/A,#N/A,FALSE,"Umsatz 99";#N/A,#N/A,FALSE,"ER 99 "}</definedName>
    <definedName name="gjh_2" localSheetId="0" hidden="1">{#N/A,#N/A,FALSE,"Umsatz 99";#N/A,#N/A,FALSE,"ER 99 "}</definedName>
    <definedName name="gjh_2" localSheetId="6" hidden="1">{#N/A,#N/A,FALSE,"Umsatz 99";#N/A,#N/A,FALSE,"ER 99 "}</definedName>
    <definedName name="gjh_2" hidden="1">{#N/A,#N/A,FALSE,"Umsatz 99";#N/A,#N/A,FALSE,"ER 99 "}</definedName>
    <definedName name="gjh_3" localSheetId="0" hidden="1">{#N/A,#N/A,FALSE,"Umsatz 99";#N/A,#N/A,FALSE,"ER 99 "}</definedName>
    <definedName name="gjh_3" localSheetId="6" hidden="1">{#N/A,#N/A,FALSE,"Umsatz 99";#N/A,#N/A,FALSE,"ER 99 "}</definedName>
    <definedName name="gjh_3" hidden="1">{#N/A,#N/A,FALSE,"Umsatz 99";#N/A,#N/A,FALSE,"ER 99 "}</definedName>
    <definedName name="gjh_4" localSheetId="0" hidden="1">{#N/A,#N/A,FALSE,"Umsatz 99";#N/A,#N/A,FALSE,"ER 99 "}</definedName>
    <definedName name="gjh_4" localSheetId="6" hidden="1">{#N/A,#N/A,FALSE,"Umsatz 99";#N/A,#N/A,FALSE,"ER 99 "}</definedName>
    <definedName name="gjh_4" hidden="1">{#N/A,#N/A,FALSE,"Umsatz 99";#N/A,#N/A,FALSE,"ER 99 "}</definedName>
    <definedName name="gjh_5" localSheetId="0" hidden="1">{#N/A,#N/A,FALSE,"Umsatz 99";#N/A,#N/A,FALSE,"ER 99 "}</definedName>
    <definedName name="gjh_5" localSheetId="6" hidden="1">{#N/A,#N/A,FALSE,"Umsatz 99";#N/A,#N/A,FALSE,"ER 99 "}</definedName>
    <definedName name="gjh_5" hidden="1">{#N/A,#N/A,FALSE,"Umsatz 99";#N/A,#N/A,FALSE,"ER 99 "}</definedName>
    <definedName name="GJHGH">#REF!</definedName>
    <definedName name="gjk" localSheetId="0" hidden="1">{#N/A,#N/A,FALSE,"Umsatz HM";#N/A,#N/A,FALSE,"ER HM";#N/A,#N/A,FALSE,"EA HM  (2)";#N/A,#N/A,FALSE,"EA HM ";#N/A,#N/A,FALSE,"EA HM  (4)";#N/A,#N/A,FALSE,"EA HM  (3)";#N/A,#N/A,FALSE,"KA HM  (2)";#N/A,#N/A,FALSE,"KA HM";#N/A,#N/A,FALSE,"KA HM  (3)";#N/A,#N/A,FALSE,"KA HM (4)"}</definedName>
    <definedName name="gjk" localSheetId="6" hidden="1">{#N/A,#N/A,FALSE,"Umsatz HM";#N/A,#N/A,FALSE,"ER HM";#N/A,#N/A,FALSE,"EA HM  (2)";#N/A,#N/A,FALSE,"EA HM ";#N/A,#N/A,FALSE,"EA HM  (4)";#N/A,#N/A,FALSE,"EA HM  (3)";#N/A,#N/A,FALSE,"KA HM  (2)";#N/A,#N/A,FALSE,"KA HM";#N/A,#N/A,FALSE,"KA HM  (3)";#N/A,#N/A,FALSE,"KA HM (4)"}</definedName>
    <definedName name="gjk" hidden="1">{#N/A,#N/A,FALSE,"Umsatz HM";#N/A,#N/A,FALSE,"ER HM";#N/A,#N/A,FALSE,"EA HM  (2)";#N/A,#N/A,FALSE,"EA HM ";#N/A,#N/A,FALSE,"EA HM  (4)";#N/A,#N/A,FALSE,"EA HM  (3)";#N/A,#N/A,FALSE,"KA HM  (2)";#N/A,#N/A,FALSE,"KA HM";#N/A,#N/A,FALSE,"KA HM  (3)";#N/A,#N/A,FALSE,"KA HM (4)"}</definedName>
    <definedName name="gjk_1" localSheetId="0" hidden="1">{#N/A,#N/A,FALSE,"Umsatz HM";#N/A,#N/A,FALSE,"ER HM";#N/A,#N/A,FALSE,"EA HM  (2)";#N/A,#N/A,FALSE,"EA HM ";#N/A,#N/A,FALSE,"EA HM  (4)";#N/A,#N/A,FALSE,"EA HM  (3)";#N/A,#N/A,FALSE,"KA HM  (2)";#N/A,#N/A,FALSE,"KA HM";#N/A,#N/A,FALSE,"KA HM  (3)";#N/A,#N/A,FALSE,"KA HM (4)"}</definedName>
    <definedName name="gjk_1" localSheetId="6" hidden="1">{#N/A,#N/A,FALSE,"Umsatz HM";#N/A,#N/A,FALSE,"ER HM";#N/A,#N/A,FALSE,"EA HM  (2)";#N/A,#N/A,FALSE,"EA HM ";#N/A,#N/A,FALSE,"EA HM  (4)";#N/A,#N/A,FALSE,"EA HM  (3)";#N/A,#N/A,FALSE,"KA HM  (2)";#N/A,#N/A,FALSE,"KA HM";#N/A,#N/A,FALSE,"KA HM  (3)";#N/A,#N/A,FALSE,"KA HM (4)"}</definedName>
    <definedName name="gjk_1" hidden="1">{#N/A,#N/A,FALSE,"Umsatz HM";#N/A,#N/A,FALSE,"ER HM";#N/A,#N/A,FALSE,"EA HM  (2)";#N/A,#N/A,FALSE,"EA HM ";#N/A,#N/A,FALSE,"EA HM  (4)";#N/A,#N/A,FALSE,"EA HM  (3)";#N/A,#N/A,FALSE,"KA HM  (2)";#N/A,#N/A,FALSE,"KA HM";#N/A,#N/A,FALSE,"KA HM  (3)";#N/A,#N/A,FALSE,"KA HM (4)"}</definedName>
    <definedName name="gjk_1_1" localSheetId="0" hidden="1">{#N/A,#N/A,FALSE,"Umsatz HM";#N/A,#N/A,FALSE,"ER HM";#N/A,#N/A,FALSE,"EA HM  (2)";#N/A,#N/A,FALSE,"EA HM ";#N/A,#N/A,FALSE,"EA HM  (4)";#N/A,#N/A,FALSE,"EA HM  (3)";#N/A,#N/A,FALSE,"KA HM  (2)";#N/A,#N/A,FALSE,"KA HM";#N/A,#N/A,FALSE,"KA HM  (3)";#N/A,#N/A,FALSE,"KA HM (4)"}</definedName>
    <definedName name="gjk_1_1" localSheetId="6" hidden="1">{#N/A,#N/A,FALSE,"Umsatz HM";#N/A,#N/A,FALSE,"ER HM";#N/A,#N/A,FALSE,"EA HM  (2)";#N/A,#N/A,FALSE,"EA HM ";#N/A,#N/A,FALSE,"EA HM  (4)";#N/A,#N/A,FALSE,"EA HM  (3)";#N/A,#N/A,FALSE,"KA HM  (2)";#N/A,#N/A,FALSE,"KA HM";#N/A,#N/A,FALSE,"KA HM  (3)";#N/A,#N/A,FALSE,"KA HM (4)"}</definedName>
    <definedName name="gjk_1_1" hidden="1">{#N/A,#N/A,FALSE,"Umsatz HM";#N/A,#N/A,FALSE,"ER HM";#N/A,#N/A,FALSE,"EA HM  (2)";#N/A,#N/A,FALSE,"EA HM ";#N/A,#N/A,FALSE,"EA HM  (4)";#N/A,#N/A,FALSE,"EA HM  (3)";#N/A,#N/A,FALSE,"KA HM  (2)";#N/A,#N/A,FALSE,"KA HM";#N/A,#N/A,FALSE,"KA HM  (3)";#N/A,#N/A,FALSE,"KA HM (4)"}</definedName>
    <definedName name="gjk_2" localSheetId="0" hidden="1">{#N/A,#N/A,FALSE,"Umsatz HM";#N/A,#N/A,FALSE,"ER HM";#N/A,#N/A,FALSE,"EA HM  (2)";#N/A,#N/A,FALSE,"EA HM ";#N/A,#N/A,FALSE,"EA HM  (4)";#N/A,#N/A,FALSE,"EA HM  (3)";#N/A,#N/A,FALSE,"KA HM  (2)";#N/A,#N/A,FALSE,"KA HM";#N/A,#N/A,FALSE,"KA HM  (3)";#N/A,#N/A,FALSE,"KA HM (4)"}</definedName>
    <definedName name="gjk_2" localSheetId="6" hidden="1">{#N/A,#N/A,FALSE,"Umsatz HM";#N/A,#N/A,FALSE,"ER HM";#N/A,#N/A,FALSE,"EA HM  (2)";#N/A,#N/A,FALSE,"EA HM ";#N/A,#N/A,FALSE,"EA HM  (4)";#N/A,#N/A,FALSE,"EA HM  (3)";#N/A,#N/A,FALSE,"KA HM  (2)";#N/A,#N/A,FALSE,"KA HM";#N/A,#N/A,FALSE,"KA HM  (3)";#N/A,#N/A,FALSE,"KA HM (4)"}</definedName>
    <definedName name="gjk_2" hidden="1">{#N/A,#N/A,FALSE,"Umsatz HM";#N/A,#N/A,FALSE,"ER HM";#N/A,#N/A,FALSE,"EA HM  (2)";#N/A,#N/A,FALSE,"EA HM ";#N/A,#N/A,FALSE,"EA HM  (4)";#N/A,#N/A,FALSE,"EA HM  (3)";#N/A,#N/A,FALSE,"KA HM  (2)";#N/A,#N/A,FALSE,"KA HM";#N/A,#N/A,FALSE,"KA HM  (3)";#N/A,#N/A,FALSE,"KA HM (4)"}</definedName>
    <definedName name="gjk_3" localSheetId="0" hidden="1">{#N/A,#N/A,FALSE,"Umsatz HM";#N/A,#N/A,FALSE,"ER HM";#N/A,#N/A,FALSE,"EA HM  (2)";#N/A,#N/A,FALSE,"EA HM ";#N/A,#N/A,FALSE,"EA HM  (4)";#N/A,#N/A,FALSE,"EA HM  (3)";#N/A,#N/A,FALSE,"KA HM  (2)";#N/A,#N/A,FALSE,"KA HM";#N/A,#N/A,FALSE,"KA HM  (3)";#N/A,#N/A,FALSE,"KA HM (4)"}</definedName>
    <definedName name="gjk_3" localSheetId="6" hidden="1">{#N/A,#N/A,FALSE,"Umsatz HM";#N/A,#N/A,FALSE,"ER HM";#N/A,#N/A,FALSE,"EA HM  (2)";#N/A,#N/A,FALSE,"EA HM ";#N/A,#N/A,FALSE,"EA HM  (4)";#N/A,#N/A,FALSE,"EA HM  (3)";#N/A,#N/A,FALSE,"KA HM  (2)";#N/A,#N/A,FALSE,"KA HM";#N/A,#N/A,FALSE,"KA HM  (3)";#N/A,#N/A,FALSE,"KA HM (4)"}</definedName>
    <definedName name="gjk_3" hidden="1">{#N/A,#N/A,FALSE,"Umsatz HM";#N/A,#N/A,FALSE,"ER HM";#N/A,#N/A,FALSE,"EA HM  (2)";#N/A,#N/A,FALSE,"EA HM ";#N/A,#N/A,FALSE,"EA HM  (4)";#N/A,#N/A,FALSE,"EA HM  (3)";#N/A,#N/A,FALSE,"KA HM  (2)";#N/A,#N/A,FALSE,"KA HM";#N/A,#N/A,FALSE,"KA HM  (3)";#N/A,#N/A,FALSE,"KA HM (4)"}</definedName>
    <definedName name="gjk_4" localSheetId="0" hidden="1">{#N/A,#N/A,FALSE,"Umsatz HM";#N/A,#N/A,FALSE,"ER HM";#N/A,#N/A,FALSE,"EA HM  (2)";#N/A,#N/A,FALSE,"EA HM ";#N/A,#N/A,FALSE,"EA HM  (4)";#N/A,#N/A,FALSE,"EA HM  (3)";#N/A,#N/A,FALSE,"KA HM  (2)";#N/A,#N/A,FALSE,"KA HM";#N/A,#N/A,FALSE,"KA HM  (3)";#N/A,#N/A,FALSE,"KA HM (4)"}</definedName>
    <definedName name="gjk_4" localSheetId="6" hidden="1">{#N/A,#N/A,FALSE,"Umsatz HM";#N/A,#N/A,FALSE,"ER HM";#N/A,#N/A,FALSE,"EA HM  (2)";#N/A,#N/A,FALSE,"EA HM ";#N/A,#N/A,FALSE,"EA HM  (4)";#N/A,#N/A,FALSE,"EA HM  (3)";#N/A,#N/A,FALSE,"KA HM  (2)";#N/A,#N/A,FALSE,"KA HM";#N/A,#N/A,FALSE,"KA HM  (3)";#N/A,#N/A,FALSE,"KA HM (4)"}</definedName>
    <definedName name="gjk_4" hidden="1">{#N/A,#N/A,FALSE,"Umsatz HM";#N/A,#N/A,FALSE,"ER HM";#N/A,#N/A,FALSE,"EA HM  (2)";#N/A,#N/A,FALSE,"EA HM ";#N/A,#N/A,FALSE,"EA HM  (4)";#N/A,#N/A,FALSE,"EA HM  (3)";#N/A,#N/A,FALSE,"KA HM  (2)";#N/A,#N/A,FALSE,"KA HM";#N/A,#N/A,FALSE,"KA HM  (3)";#N/A,#N/A,FALSE,"KA HM (4)"}</definedName>
    <definedName name="gjk_5" localSheetId="0" hidden="1">{#N/A,#N/A,FALSE,"Umsatz HM";#N/A,#N/A,FALSE,"ER HM";#N/A,#N/A,FALSE,"EA HM  (2)";#N/A,#N/A,FALSE,"EA HM ";#N/A,#N/A,FALSE,"EA HM  (4)";#N/A,#N/A,FALSE,"EA HM  (3)";#N/A,#N/A,FALSE,"KA HM  (2)";#N/A,#N/A,FALSE,"KA HM";#N/A,#N/A,FALSE,"KA HM  (3)";#N/A,#N/A,FALSE,"KA HM (4)"}</definedName>
    <definedName name="gjk_5" localSheetId="6" hidden="1">{#N/A,#N/A,FALSE,"Umsatz HM";#N/A,#N/A,FALSE,"ER HM";#N/A,#N/A,FALSE,"EA HM  (2)";#N/A,#N/A,FALSE,"EA HM ";#N/A,#N/A,FALSE,"EA HM  (4)";#N/A,#N/A,FALSE,"EA HM  (3)";#N/A,#N/A,FALSE,"KA HM  (2)";#N/A,#N/A,FALSE,"KA HM";#N/A,#N/A,FALSE,"KA HM  (3)";#N/A,#N/A,FALSE,"KA HM (4)"}</definedName>
    <definedName name="gjk_5" hidden="1">{#N/A,#N/A,FALSE,"Umsatz HM";#N/A,#N/A,FALSE,"ER HM";#N/A,#N/A,FALSE,"EA HM  (2)";#N/A,#N/A,FALSE,"EA HM ";#N/A,#N/A,FALSE,"EA HM  (4)";#N/A,#N/A,FALSE,"EA HM  (3)";#N/A,#N/A,FALSE,"KA HM  (2)";#N/A,#N/A,FALSE,"KA HM";#N/A,#N/A,FALSE,"KA HM  (3)";#N/A,#N/A,FALSE,"KA HM (4)"}</definedName>
    <definedName name="gjygj" localSheetId="0" hidden="1">{#N/A,#N/A,FALSE,"COMP"}</definedName>
    <definedName name="gjygj" localSheetId="6" hidden="1">{#N/A,#N/A,FALSE,"COMP"}</definedName>
    <definedName name="gjygj" hidden="1">{#N/A,#N/A,FALSE,"COMP"}</definedName>
    <definedName name="gkjjk" localSheetId="0" hidden="1">{#N/A,#N/A,FALSE,"Umsatz CH";#N/A,#N/A,FALSE,"ER CH";#N/A,#N/A,FALSE,"EA CH (2) ";#N/A,#N/A,FALSE,"EA CH";#N/A,#N/A,FALSE,"EA CH (3) ";#N/A,#N/A,FALSE,"EA CH (4)";#N/A,#N/A,FALSE,"KA CH";#N/A,#N/A,FALSE,"KA CH  (2)";#N/A,#N/A,FALSE,"KA CH  (3)";#N/A,#N/A,FALSE,"KA CH (4)"}</definedName>
    <definedName name="gkjjk" localSheetId="6" hidden="1">{#N/A,#N/A,FALSE,"Umsatz CH";#N/A,#N/A,FALSE,"ER CH";#N/A,#N/A,FALSE,"EA CH (2) ";#N/A,#N/A,FALSE,"EA CH";#N/A,#N/A,FALSE,"EA CH (3) ";#N/A,#N/A,FALSE,"EA CH (4)";#N/A,#N/A,FALSE,"KA CH";#N/A,#N/A,FALSE,"KA CH  (2)";#N/A,#N/A,FALSE,"KA CH  (3)";#N/A,#N/A,FALSE,"KA CH (4)"}</definedName>
    <definedName name="gkjjk" hidden="1">{#N/A,#N/A,FALSE,"Umsatz CH";#N/A,#N/A,FALSE,"ER CH";#N/A,#N/A,FALSE,"EA CH (2) ";#N/A,#N/A,FALSE,"EA CH";#N/A,#N/A,FALSE,"EA CH (3) ";#N/A,#N/A,FALSE,"EA CH (4)";#N/A,#N/A,FALSE,"KA CH";#N/A,#N/A,FALSE,"KA CH  (2)";#N/A,#N/A,FALSE,"KA CH  (3)";#N/A,#N/A,FALSE,"KA CH (4)"}</definedName>
    <definedName name="gkjjk_1" localSheetId="0" hidden="1">{#N/A,#N/A,FALSE,"Umsatz CH";#N/A,#N/A,FALSE,"ER CH";#N/A,#N/A,FALSE,"EA CH (2) ";#N/A,#N/A,FALSE,"EA CH";#N/A,#N/A,FALSE,"EA CH (3) ";#N/A,#N/A,FALSE,"EA CH (4)";#N/A,#N/A,FALSE,"KA CH";#N/A,#N/A,FALSE,"KA CH  (2)";#N/A,#N/A,FALSE,"KA CH  (3)";#N/A,#N/A,FALSE,"KA CH (4)"}</definedName>
    <definedName name="gkjjk_1" localSheetId="6" hidden="1">{#N/A,#N/A,FALSE,"Umsatz CH";#N/A,#N/A,FALSE,"ER CH";#N/A,#N/A,FALSE,"EA CH (2) ";#N/A,#N/A,FALSE,"EA CH";#N/A,#N/A,FALSE,"EA CH (3) ";#N/A,#N/A,FALSE,"EA CH (4)";#N/A,#N/A,FALSE,"KA CH";#N/A,#N/A,FALSE,"KA CH  (2)";#N/A,#N/A,FALSE,"KA CH  (3)";#N/A,#N/A,FALSE,"KA CH (4)"}</definedName>
    <definedName name="gkjjk_1" hidden="1">{#N/A,#N/A,FALSE,"Umsatz CH";#N/A,#N/A,FALSE,"ER CH";#N/A,#N/A,FALSE,"EA CH (2) ";#N/A,#N/A,FALSE,"EA CH";#N/A,#N/A,FALSE,"EA CH (3) ";#N/A,#N/A,FALSE,"EA CH (4)";#N/A,#N/A,FALSE,"KA CH";#N/A,#N/A,FALSE,"KA CH  (2)";#N/A,#N/A,FALSE,"KA CH  (3)";#N/A,#N/A,FALSE,"KA CH (4)"}</definedName>
    <definedName name="gkjjk_1_1" localSheetId="0" hidden="1">{#N/A,#N/A,FALSE,"Umsatz CH";#N/A,#N/A,FALSE,"ER CH";#N/A,#N/A,FALSE,"EA CH (2) ";#N/A,#N/A,FALSE,"EA CH";#N/A,#N/A,FALSE,"EA CH (3) ";#N/A,#N/A,FALSE,"EA CH (4)";#N/A,#N/A,FALSE,"KA CH";#N/A,#N/A,FALSE,"KA CH  (2)";#N/A,#N/A,FALSE,"KA CH  (3)";#N/A,#N/A,FALSE,"KA CH (4)"}</definedName>
    <definedName name="gkjjk_1_1" localSheetId="6" hidden="1">{#N/A,#N/A,FALSE,"Umsatz CH";#N/A,#N/A,FALSE,"ER CH";#N/A,#N/A,FALSE,"EA CH (2) ";#N/A,#N/A,FALSE,"EA CH";#N/A,#N/A,FALSE,"EA CH (3) ";#N/A,#N/A,FALSE,"EA CH (4)";#N/A,#N/A,FALSE,"KA CH";#N/A,#N/A,FALSE,"KA CH  (2)";#N/A,#N/A,FALSE,"KA CH  (3)";#N/A,#N/A,FALSE,"KA CH (4)"}</definedName>
    <definedName name="gkjjk_1_1" hidden="1">{#N/A,#N/A,FALSE,"Umsatz CH";#N/A,#N/A,FALSE,"ER CH";#N/A,#N/A,FALSE,"EA CH (2) ";#N/A,#N/A,FALSE,"EA CH";#N/A,#N/A,FALSE,"EA CH (3) ";#N/A,#N/A,FALSE,"EA CH (4)";#N/A,#N/A,FALSE,"KA CH";#N/A,#N/A,FALSE,"KA CH  (2)";#N/A,#N/A,FALSE,"KA CH  (3)";#N/A,#N/A,FALSE,"KA CH (4)"}</definedName>
    <definedName name="gkjjk_2" localSheetId="0" hidden="1">{#N/A,#N/A,FALSE,"Umsatz CH";#N/A,#N/A,FALSE,"ER CH";#N/A,#N/A,FALSE,"EA CH (2) ";#N/A,#N/A,FALSE,"EA CH";#N/A,#N/A,FALSE,"EA CH (3) ";#N/A,#N/A,FALSE,"EA CH (4)";#N/A,#N/A,FALSE,"KA CH";#N/A,#N/A,FALSE,"KA CH  (2)";#N/A,#N/A,FALSE,"KA CH  (3)";#N/A,#N/A,FALSE,"KA CH (4)"}</definedName>
    <definedName name="gkjjk_2" localSheetId="6" hidden="1">{#N/A,#N/A,FALSE,"Umsatz CH";#N/A,#N/A,FALSE,"ER CH";#N/A,#N/A,FALSE,"EA CH (2) ";#N/A,#N/A,FALSE,"EA CH";#N/A,#N/A,FALSE,"EA CH (3) ";#N/A,#N/A,FALSE,"EA CH (4)";#N/A,#N/A,FALSE,"KA CH";#N/A,#N/A,FALSE,"KA CH  (2)";#N/A,#N/A,FALSE,"KA CH  (3)";#N/A,#N/A,FALSE,"KA CH (4)"}</definedName>
    <definedName name="gkjjk_2" hidden="1">{#N/A,#N/A,FALSE,"Umsatz CH";#N/A,#N/A,FALSE,"ER CH";#N/A,#N/A,FALSE,"EA CH (2) ";#N/A,#N/A,FALSE,"EA CH";#N/A,#N/A,FALSE,"EA CH (3) ";#N/A,#N/A,FALSE,"EA CH (4)";#N/A,#N/A,FALSE,"KA CH";#N/A,#N/A,FALSE,"KA CH  (2)";#N/A,#N/A,FALSE,"KA CH  (3)";#N/A,#N/A,FALSE,"KA CH (4)"}</definedName>
    <definedName name="gkjjk_3" localSheetId="0" hidden="1">{#N/A,#N/A,FALSE,"Umsatz CH";#N/A,#N/A,FALSE,"ER CH";#N/A,#N/A,FALSE,"EA CH (2) ";#N/A,#N/A,FALSE,"EA CH";#N/A,#N/A,FALSE,"EA CH (3) ";#N/A,#N/A,FALSE,"EA CH (4)";#N/A,#N/A,FALSE,"KA CH";#N/A,#N/A,FALSE,"KA CH  (2)";#N/A,#N/A,FALSE,"KA CH  (3)";#N/A,#N/A,FALSE,"KA CH (4)"}</definedName>
    <definedName name="gkjjk_3" localSheetId="6" hidden="1">{#N/A,#N/A,FALSE,"Umsatz CH";#N/A,#N/A,FALSE,"ER CH";#N/A,#N/A,FALSE,"EA CH (2) ";#N/A,#N/A,FALSE,"EA CH";#N/A,#N/A,FALSE,"EA CH (3) ";#N/A,#N/A,FALSE,"EA CH (4)";#N/A,#N/A,FALSE,"KA CH";#N/A,#N/A,FALSE,"KA CH  (2)";#N/A,#N/A,FALSE,"KA CH  (3)";#N/A,#N/A,FALSE,"KA CH (4)"}</definedName>
    <definedName name="gkjjk_3" hidden="1">{#N/A,#N/A,FALSE,"Umsatz CH";#N/A,#N/A,FALSE,"ER CH";#N/A,#N/A,FALSE,"EA CH (2) ";#N/A,#N/A,FALSE,"EA CH";#N/A,#N/A,FALSE,"EA CH (3) ";#N/A,#N/A,FALSE,"EA CH (4)";#N/A,#N/A,FALSE,"KA CH";#N/A,#N/A,FALSE,"KA CH  (2)";#N/A,#N/A,FALSE,"KA CH  (3)";#N/A,#N/A,FALSE,"KA CH (4)"}</definedName>
    <definedName name="gkjjk_4" localSheetId="0" hidden="1">{#N/A,#N/A,FALSE,"Umsatz CH";#N/A,#N/A,FALSE,"ER CH";#N/A,#N/A,FALSE,"EA CH (2) ";#N/A,#N/A,FALSE,"EA CH";#N/A,#N/A,FALSE,"EA CH (3) ";#N/A,#N/A,FALSE,"EA CH (4)";#N/A,#N/A,FALSE,"KA CH";#N/A,#N/A,FALSE,"KA CH  (2)";#N/A,#N/A,FALSE,"KA CH  (3)";#N/A,#N/A,FALSE,"KA CH (4)"}</definedName>
    <definedName name="gkjjk_4" localSheetId="6" hidden="1">{#N/A,#N/A,FALSE,"Umsatz CH";#N/A,#N/A,FALSE,"ER CH";#N/A,#N/A,FALSE,"EA CH (2) ";#N/A,#N/A,FALSE,"EA CH";#N/A,#N/A,FALSE,"EA CH (3) ";#N/A,#N/A,FALSE,"EA CH (4)";#N/A,#N/A,FALSE,"KA CH";#N/A,#N/A,FALSE,"KA CH  (2)";#N/A,#N/A,FALSE,"KA CH  (3)";#N/A,#N/A,FALSE,"KA CH (4)"}</definedName>
    <definedName name="gkjjk_4" hidden="1">{#N/A,#N/A,FALSE,"Umsatz CH";#N/A,#N/A,FALSE,"ER CH";#N/A,#N/A,FALSE,"EA CH (2) ";#N/A,#N/A,FALSE,"EA CH";#N/A,#N/A,FALSE,"EA CH (3) ";#N/A,#N/A,FALSE,"EA CH (4)";#N/A,#N/A,FALSE,"KA CH";#N/A,#N/A,FALSE,"KA CH  (2)";#N/A,#N/A,FALSE,"KA CH  (3)";#N/A,#N/A,FALSE,"KA CH (4)"}</definedName>
    <definedName name="gkjjk_5" localSheetId="0" hidden="1">{#N/A,#N/A,FALSE,"Umsatz CH";#N/A,#N/A,FALSE,"ER CH";#N/A,#N/A,FALSE,"EA CH (2) ";#N/A,#N/A,FALSE,"EA CH";#N/A,#N/A,FALSE,"EA CH (3) ";#N/A,#N/A,FALSE,"EA CH (4)";#N/A,#N/A,FALSE,"KA CH";#N/A,#N/A,FALSE,"KA CH  (2)";#N/A,#N/A,FALSE,"KA CH  (3)";#N/A,#N/A,FALSE,"KA CH (4)"}</definedName>
    <definedName name="gkjjk_5" localSheetId="6" hidden="1">{#N/A,#N/A,FALSE,"Umsatz CH";#N/A,#N/A,FALSE,"ER CH";#N/A,#N/A,FALSE,"EA CH (2) ";#N/A,#N/A,FALSE,"EA CH";#N/A,#N/A,FALSE,"EA CH (3) ";#N/A,#N/A,FALSE,"EA CH (4)";#N/A,#N/A,FALSE,"KA CH";#N/A,#N/A,FALSE,"KA CH  (2)";#N/A,#N/A,FALSE,"KA CH  (3)";#N/A,#N/A,FALSE,"KA CH (4)"}</definedName>
    <definedName name="gkjjk_5" hidden="1">{#N/A,#N/A,FALSE,"Umsatz CH";#N/A,#N/A,FALSE,"ER CH";#N/A,#N/A,FALSE,"EA CH (2) ";#N/A,#N/A,FALSE,"EA CH";#N/A,#N/A,FALSE,"EA CH (3) ";#N/A,#N/A,FALSE,"EA CH (4)";#N/A,#N/A,FALSE,"KA CH";#N/A,#N/A,FALSE,"KA CH  (2)";#N/A,#N/A,FALSE,"KA CH  (3)";#N/A,#N/A,FALSE,"KA CH (4)"}</definedName>
    <definedName name="gkn" localSheetId="0" hidden="1">{#N/A,#N/A,FALSE,"COVER PAGE";#N/A,#N/A,FALSE,"Page 2";#N/A,#N/A,FALSE,"Page 2";#N/A,#N/A,FALSE,"Page 4";#N/A,#N/A,FALSE,"Page5";#N/A,#N/A,FALSE,"Page 6";#N/A,#N/A,FALSE,"Page 7";#N/A,#N/A,FALSE,"Page 8";#N/A,#N/A,FALSE,"Page 10";#N/A,#N/A,FALSE,"Long-Term OCF Mult.";#N/A,#N/A,FALSE,"PCS Comp";#N/A,#N/A,FALSE,"OCS-CAPEX";#N/A,#N/A,FALSE,"Blank"}</definedName>
    <definedName name="gkn" localSheetId="6" hidden="1">{#N/A,#N/A,FALSE,"COVER PAGE";#N/A,#N/A,FALSE,"Page 2";#N/A,#N/A,FALSE,"Page 2";#N/A,#N/A,FALSE,"Page 4";#N/A,#N/A,FALSE,"Page5";#N/A,#N/A,FALSE,"Page 6";#N/A,#N/A,FALSE,"Page 7";#N/A,#N/A,FALSE,"Page 8";#N/A,#N/A,FALSE,"Page 10";#N/A,#N/A,FALSE,"Long-Term OCF Mult.";#N/A,#N/A,FALSE,"PCS Comp";#N/A,#N/A,FALSE,"OCS-CAPEX";#N/A,#N/A,FALSE,"Blank"}</definedName>
    <definedName name="gkn" hidden="1">{#N/A,#N/A,FALSE,"COVER PAGE";#N/A,#N/A,FALSE,"Page 2";#N/A,#N/A,FALSE,"Page 2";#N/A,#N/A,FALSE,"Page 4";#N/A,#N/A,FALSE,"Page5";#N/A,#N/A,FALSE,"Page 6";#N/A,#N/A,FALSE,"Page 7";#N/A,#N/A,FALSE,"Page 8";#N/A,#N/A,FALSE,"Page 10";#N/A,#N/A,FALSE,"Long-Term OCF Mult.";#N/A,#N/A,FALSE,"PCS Comp";#N/A,#N/A,FALSE,"OCS-CAPEX";#N/A,#N/A,FALSE,"Blank"}</definedName>
    <definedName name="Global1" localSheetId="0" hidden="1">{#N/A,#N/A,FALSE,"Pharm";#N/A,#N/A,FALSE,"WWCM"}</definedName>
    <definedName name="Global1" localSheetId="6" hidden="1">{#N/A,#N/A,FALSE,"Pharm";#N/A,#N/A,FALSE,"WWCM"}</definedName>
    <definedName name="Global1" hidden="1">{#N/A,#N/A,FALSE,"Pharm";#N/A,#N/A,FALSE,"WWCM"}</definedName>
    <definedName name="Global1_1" localSheetId="0" hidden="1">{#N/A,#N/A,FALSE,"Pharm";#N/A,#N/A,FALSE,"WWCM"}</definedName>
    <definedName name="Global1_1" localSheetId="6" hidden="1">{#N/A,#N/A,FALSE,"Pharm";#N/A,#N/A,FALSE,"WWCM"}</definedName>
    <definedName name="Global1_1" hidden="1">{#N/A,#N/A,FALSE,"Pharm";#N/A,#N/A,FALSE,"WWCM"}</definedName>
    <definedName name="Global1_1_1" localSheetId="0" hidden="1">{#N/A,#N/A,FALSE,"Pharm";#N/A,#N/A,FALSE,"WWCM"}</definedName>
    <definedName name="Global1_1_1" localSheetId="6" hidden="1">{#N/A,#N/A,FALSE,"Pharm";#N/A,#N/A,FALSE,"WWCM"}</definedName>
    <definedName name="Global1_1_1" hidden="1">{#N/A,#N/A,FALSE,"Pharm";#N/A,#N/A,FALSE,"WWCM"}</definedName>
    <definedName name="Global1_2" localSheetId="0" hidden="1">{#N/A,#N/A,FALSE,"Pharm";#N/A,#N/A,FALSE,"WWCM"}</definedName>
    <definedName name="Global1_2" localSheetId="6" hidden="1">{#N/A,#N/A,FALSE,"Pharm";#N/A,#N/A,FALSE,"WWCM"}</definedName>
    <definedName name="Global1_2" hidden="1">{#N/A,#N/A,FALSE,"Pharm";#N/A,#N/A,FALSE,"WWCM"}</definedName>
    <definedName name="Global1_3" localSheetId="0" hidden="1">{#N/A,#N/A,FALSE,"Pharm";#N/A,#N/A,FALSE,"WWCM"}</definedName>
    <definedName name="Global1_3" localSheetId="6" hidden="1">{#N/A,#N/A,FALSE,"Pharm";#N/A,#N/A,FALSE,"WWCM"}</definedName>
    <definedName name="Global1_3" hidden="1">{#N/A,#N/A,FALSE,"Pharm";#N/A,#N/A,FALSE,"WWCM"}</definedName>
    <definedName name="Global1_4" localSheetId="0" hidden="1">{#N/A,#N/A,FALSE,"Pharm";#N/A,#N/A,FALSE,"WWCM"}</definedName>
    <definedName name="Global1_4" localSheetId="6" hidden="1">{#N/A,#N/A,FALSE,"Pharm";#N/A,#N/A,FALSE,"WWCM"}</definedName>
    <definedName name="Global1_4" hidden="1">{#N/A,#N/A,FALSE,"Pharm";#N/A,#N/A,FALSE,"WWCM"}</definedName>
    <definedName name="Global1_5" localSheetId="0" hidden="1">{#N/A,#N/A,FALSE,"Pharm";#N/A,#N/A,FALSE,"WWCM"}</definedName>
    <definedName name="Global1_5" localSheetId="6" hidden="1">{#N/A,#N/A,FALSE,"Pharm";#N/A,#N/A,FALSE,"WWCM"}</definedName>
    <definedName name="Global1_5" hidden="1">{#N/A,#N/A,FALSE,"Pharm";#N/A,#N/A,FALSE,"WWCM"}</definedName>
    <definedName name="glosa" localSheetId="6" hidden="1">{"'IM V02'!$A$1:$W$57"}</definedName>
    <definedName name="glosa" hidden="1">{"'IM V02'!$A$1:$W$57"}</definedName>
    <definedName name="Glossary" localSheetId="6" hidden="1">{"'IM V02'!$A$1:$W$57"}</definedName>
    <definedName name="Glossary" hidden="1">{"'IM V02'!$A$1:$W$57"}</definedName>
    <definedName name="gls_ACT_EST_ROW" localSheetId="0" hidden="1">#REF!</definedName>
    <definedName name="gls_ACT_EST_ROW" hidden="1">#REF!</definedName>
    <definedName name="gls_ACT_FORM_OFFSET" localSheetId="0" hidden="1">#REF!</definedName>
    <definedName name="gls_ACT_FORM_OFFSET" hidden="1">#REF!</definedName>
    <definedName name="gls_AnalystEmpNoHeading" localSheetId="0" hidden="1">#REF!</definedName>
    <definedName name="gls_AnalystEmpNoHeading" hidden="1">#REF!</definedName>
    <definedName name="gls_AnalystNameHeading" hidden="1">#REF!</definedName>
    <definedName name="gls_EST_FORM_OFFSET" hidden="1">#REF!</definedName>
    <definedName name="gls_EXTERNAL_COL_REF" hidden="1">#REF!</definedName>
    <definedName name="gls_FIRST_ITEM" hidden="1">#REF!</definedName>
    <definedName name="gls_FIRST_PK" hidden="1">#REF!</definedName>
    <definedName name="gls_FIRST_ROWMULT" hidden="1">#REF!</definedName>
    <definedName name="gls_FIRST_UNITS" hidden="1">#REF!</definedName>
    <definedName name="gls_FIXED_NAMES" hidden="1">#REF!</definedName>
    <definedName name="gls_FONT_STATUS" hidden="1">#REF!</definedName>
    <definedName name="gls_GenAccountingConvention" hidden="1">#REF!</definedName>
    <definedName name="gls_GenAdditionalInfo" hidden="1">#REF!</definedName>
    <definedName name="gls_GenComments" hidden="1">#REF!</definedName>
    <definedName name="gls_GenCompany" hidden="1">#REF!</definedName>
    <definedName name="gls_GenCompanyInfo" hidden="1">#REF!</definedName>
    <definedName name="gls_GenCountry" hidden="1">#REF!</definedName>
    <definedName name="gls_GenCurrency" hidden="1">#REF!</definedName>
    <definedName name="gls_GenCurrencyMultiplier" hidden="1">#REF!</definedName>
    <definedName name="gls_GenEnterCompInfo" hidden="1">#REF!</definedName>
    <definedName name="gls_GenEPSComment" hidden="1">#REF!</definedName>
    <definedName name="gls_genFAQ" hidden="1">#REF!</definedName>
    <definedName name="gls_GenHomeRegion" hidden="1">#REF!</definedName>
    <definedName name="gls_GenLastPriceTargetRevised" hidden="1">#REF!</definedName>
    <definedName name="gls_GenLastPublished" hidden="1">#REF!</definedName>
    <definedName name="gls_GenLastRecRevised" hidden="1">#REF!</definedName>
    <definedName name="gls_GenMainInfo" hidden="1">#REF!</definedName>
    <definedName name="gls_GenNoteComment" hidden="1">#REF!</definedName>
    <definedName name="gls_GenProfile" hidden="1">#REF!</definedName>
    <definedName name="gls_GenRecComment" hidden="1">#REF!</definedName>
    <definedName name="gls_GenSaleslineInfo" hidden="1">#REF!</definedName>
    <definedName name="gls_GenSalesSplitByRegion" hidden="1">#REF!</definedName>
    <definedName name="gls_GenSalesSplitHeading" hidden="1">#REF!</definedName>
    <definedName name="gls_GenSheetVersion" hidden="1">#REF!</definedName>
    <definedName name="gls_genStockCore" hidden="1">#REF!</definedName>
    <definedName name="gls_genStockRec" hidden="1">#REF!</definedName>
    <definedName name="gls_GenTargetCurrency" hidden="1">#REF!</definedName>
    <definedName name="gls_IssuedStockClassHeading" hidden="1">#REF!</definedName>
    <definedName name="gls_IssuedStockCodeHeading" hidden="1">#REF!</definedName>
    <definedName name="gls_IssuedStockFreeFloatHeading" hidden="1">#REF!</definedName>
    <definedName name="gls_KEY_DATA" hidden="1">#REF!</definedName>
    <definedName name="gls_KEY_VALUE" hidden="1">#REF!</definedName>
    <definedName name="gls_PERIOD_CODE" hidden="1">#REF!</definedName>
    <definedName name="gls_PERIOD_INDICATOR" hidden="1">#REF!</definedName>
    <definedName name="gls_PERIOD_PARENT_OR_CONSOL" hidden="1">#REF!</definedName>
    <definedName name="gls_PERIOD_TOTAL" hidden="1">#REF!</definedName>
    <definedName name="gls_PERIOD_TYPE" hidden="1">#REF!</definedName>
    <definedName name="gls_PrincipalStockClass" hidden="1">#REF!</definedName>
    <definedName name="gls_Recommendations" hidden="1">#REF!</definedName>
    <definedName name="gls_SASS5HistEPSGrowth" hidden="1">#REF!</definedName>
    <definedName name="gls_SASS5ProjEPSGrowth" hidden="1">#REF!</definedName>
    <definedName name="gls_SASSDirectorHoldings" hidden="1">#REF!</definedName>
    <definedName name="gls_SASSEPS45AGR" hidden="1">#REF!</definedName>
    <definedName name="gls_SASSIsInterimLastAnnounce" hidden="1">#REF!</definedName>
    <definedName name="gls_SASSLastAnnounce" hidden="1">#REF!</definedName>
    <definedName name="gls_SASSNETDIV45AGR" hidden="1">#REF!</definedName>
    <definedName name="gls_ShareholderClassHeading" hidden="1">#REF!</definedName>
    <definedName name="gls_ShareholderHolding" hidden="1">#REF!</definedName>
    <definedName name="gls_ShareholderHoldingHeading" hidden="1">#REF!</definedName>
    <definedName name="gls_ShareholderName" hidden="1">#REF!</definedName>
    <definedName name="gls_ShareholderNameHeading" hidden="1">#REF!</definedName>
    <definedName name="gls_ShareholdingName" hidden="1">#REF!</definedName>
    <definedName name="gls_SPARE_YEARS" hidden="1">#REF!</definedName>
    <definedName name="gls_START_FORMULA_OVERRIDEABLE" hidden="1">#REF!</definedName>
    <definedName name="gls_START_LOCAL_NAMES" hidden="1">#REF!</definedName>
    <definedName name="gls_START_PERIOD_CURRENCY" hidden="1">#REF!</definedName>
    <definedName name="gls_START_STATUS" hidden="1">#REF!</definedName>
    <definedName name="gls_START_USER_REQ" hidden="1">#REF!</definedName>
    <definedName name="gls_START_USER_STATUS" hidden="1">#REF!</definedName>
    <definedName name="gls_START_VALIDATION" hidden="1">#REF!</definedName>
    <definedName name="gls_START_WHAT" hidden="1">#REF!</definedName>
    <definedName name="gls_START_YEAR" hidden="1">#REF!</definedName>
    <definedName name="gls_TEMP_PERIOD_CODE" hidden="1">#REF!</definedName>
    <definedName name="gls_YEAR_AE_CONTROL" hidden="1">#REF!</definedName>
    <definedName name="gls_YEAR_END_ROW" hidden="1">#REF!</definedName>
    <definedName name="gmgfm" localSheetId="0" hidden="1">{#N/A,#N/A,FALSE,"Assessment";#N/A,#N/A,FALSE,"Staffing";#N/A,#N/A,FALSE,"Hires";#N/A,#N/A,FALSE,"Assumptions"}</definedName>
    <definedName name="gmgfm" localSheetId="6" hidden="1">{#N/A,#N/A,FALSE,"Assessment";#N/A,#N/A,FALSE,"Staffing";#N/A,#N/A,FALSE,"Hires";#N/A,#N/A,FALSE,"Assumptions"}</definedName>
    <definedName name="gmgfm" hidden="1">{#N/A,#N/A,FALSE,"Assessment";#N/A,#N/A,FALSE,"Staffing";#N/A,#N/A,FALSE,"Hires";#N/A,#N/A,FALSE,"Assumptions"}</definedName>
    <definedName name="gmgfm_1" localSheetId="0" hidden="1">{#N/A,#N/A,FALSE,"Assessment";#N/A,#N/A,FALSE,"Staffing";#N/A,#N/A,FALSE,"Hires";#N/A,#N/A,FALSE,"Assumptions"}</definedName>
    <definedName name="gmgfm_1" localSheetId="6" hidden="1">{#N/A,#N/A,FALSE,"Assessment";#N/A,#N/A,FALSE,"Staffing";#N/A,#N/A,FALSE,"Hires";#N/A,#N/A,FALSE,"Assumptions"}</definedName>
    <definedName name="gmgfm_1" hidden="1">{#N/A,#N/A,FALSE,"Assessment";#N/A,#N/A,FALSE,"Staffing";#N/A,#N/A,FALSE,"Hires";#N/A,#N/A,FALSE,"Assumptions"}</definedName>
    <definedName name="gmghm"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gmghm"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gnfgngf" localSheetId="0" hidden="1">{#N/A,#N/A,FALSE,"Assessment";#N/A,#N/A,FALSE,"Staffing";#N/A,#N/A,FALSE,"Hires";#N/A,#N/A,FALSE,"Assumptions"}</definedName>
    <definedName name="gnfgngf" localSheetId="6" hidden="1">{#N/A,#N/A,FALSE,"Assessment";#N/A,#N/A,FALSE,"Staffing";#N/A,#N/A,FALSE,"Hires";#N/A,#N/A,FALSE,"Assumptions"}</definedName>
    <definedName name="gnfgngf" hidden="1">{#N/A,#N/A,FALSE,"Assessment";#N/A,#N/A,FALSE,"Staffing";#N/A,#N/A,FALSE,"Hires";#N/A,#N/A,FALSE,"Assumptions"}</definedName>
    <definedName name="gnfgngf_1" localSheetId="0" hidden="1">{#N/A,#N/A,FALSE,"Assessment";#N/A,#N/A,FALSE,"Staffing";#N/A,#N/A,FALSE,"Hires";#N/A,#N/A,FALSE,"Assumptions"}</definedName>
    <definedName name="gnfgngf_1" localSheetId="6" hidden="1">{#N/A,#N/A,FALSE,"Assessment";#N/A,#N/A,FALSE,"Staffing";#N/A,#N/A,FALSE,"Hires";#N/A,#N/A,FALSE,"Assumptions"}</definedName>
    <definedName name="gnfgngf_1" hidden="1">{#N/A,#N/A,FALSE,"Assessment";#N/A,#N/A,FALSE,"Staffing";#N/A,#N/A,FALSE,"Hires";#N/A,#N/A,FALSE,"Assumptions"}</definedName>
    <definedName name="GNP">#REF!</definedName>
    <definedName name="gogo" localSheetId="0" hidden="1">{#N/A,#N/A,TRUE,"Cover sheet";#N/A,#N/A,TRUE,"INPUTS";#N/A,#N/A,TRUE,"OUTPUTS";#N/A,#N/A,TRUE,"VALUATION"}</definedName>
    <definedName name="gogo" localSheetId="6" hidden="1">{#N/A,#N/A,TRUE,"Cover sheet";#N/A,#N/A,TRUE,"INPUTS";#N/A,#N/A,TRUE,"OUTPUTS";#N/A,#N/A,TRUE,"VALUATION"}</definedName>
    <definedName name="gogo" hidden="1">{#N/A,#N/A,TRUE,"Cover sheet";#N/A,#N/A,TRUE,"INPUTS";#N/A,#N/A,TRUE,"OUTPUTS";#N/A,#N/A,TRUE,"VALUATION"}</definedName>
    <definedName name="goodbye" localSheetId="0" hidden="1">{#N/A,#N/A,FALSE,"Cover";"Short outputs",#N/A,FALSE,"Outputs";#N/A,#N/A,FALSE,"Control (In)";"tesco summary",#N/A,FALSE,"Tesco";"Outputs and Co summaries",#N/A,FALSE,"Sainsbury";"Outputs and Co Summaries",#N/A,FALSE,"Carrefour";"Outputs and Co summaries",#N/A,FALSE,"Co D";"Outputs and Co summaries",#N/A,FALSE,"Co E"}</definedName>
    <definedName name="goodbye" localSheetId="6" hidden="1">{#N/A,#N/A,FALSE,"Cover";"Short outputs",#N/A,FALSE,"Outputs";#N/A,#N/A,FALSE,"Control (In)";"tesco summary",#N/A,FALSE,"Tesco";"Outputs and Co summaries",#N/A,FALSE,"Sainsbury";"Outputs and Co Summaries",#N/A,FALSE,"Carrefour";"Outputs and Co summaries",#N/A,FALSE,"Co D";"Outputs and Co summaries",#N/A,FALSE,"Co E"}</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rich" localSheetId="0" hidden="1">{"comp1",#N/A,FALSE,"COMPS";"footnotes",#N/A,FALSE,"COMPS"}</definedName>
    <definedName name="Goodrich" localSheetId="6" hidden="1">{"comp1",#N/A,FALSE,"COMPS";"footnotes",#N/A,FALSE,"COMPS"}</definedName>
    <definedName name="Goodrich" hidden="1">{"comp1",#N/A,FALSE,"COMPS";"footnotes",#N/A,FALSE,"COMPS"}</definedName>
    <definedName name="GOODWILL_NET" hidden="1">"GOODWILL_NET"</definedName>
    <definedName name="GoodwillTaxDed">#REF!</definedName>
    <definedName name="GP">#REF!</definedName>
    <definedName name="GPC" hidden="1">#REF!</definedName>
    <definedName name="graph" localSheetId="0" hidden="1">{"monthly",#N/A,FALSE,"GASODEM";"qtr to yr",#N/A,FALSE,"GASODEM"}</definedName>
    <definedName name="graph" localSheetId="6" hidden="1">{"monthly",#N/A,FALSE,"GASODEM";"qtr to yr",#N/A,FALSE,"GASODEM"}</definedName>
    <definedName name="graph" hidden="1">{"monthly",#N/A,FALSE,"GASODEM";"qtr to yr",#N/A,FALSE,"GASODEM"}</definedName>
    <definedName name="graph_1" localSheetId="0" hidden="1">{#N/A,#N/A,FALSE,"REPORT"}</definedName>
    <definedName name="graph_1" localSheetId="6" hidden="1">{#N/A,#N/A,FALSE,"REPORT"}</definedName>
    <definedName name="graph_1" hidden="1">{#N/A,#N/A,FALSE,"REPORT"}</definedName>
    <definedName name="graph_1_1" localSheetId="0" hidden="1">{#N/A,#N/A,FALSE,"REPORT"}</definedName>
    <definedName name="graph_1_1" localSheetId="6" hidden="1">{#N/A,#N/A,FALSE,"REPORT"}</definedName>
    <definedName name="graph_1_1" hidden="1">{#N/A,#N/A,FALSE,"REPORT"}</definedName>
    <definedName name="graph_2" localSheetId="0" hidden="1">{#N/A,#N/A,FALSE,"REPORT"}</definedName>
    <definedName name="graph_2" localSheetId="6" hidden="1">{#N/A,#N/A,FALSE,"REPORT"}</definedName>
    <definedName name="graph_2" hidden="1">{#N/A,#N/A,FALSE,"REPORT"}</definedName>
    <definedName name="graph_3" localSheetId="0" hidden="1">{#N/A,#N/A,FALSE,"REPORT"}</definedName>
    <definedName name="graph_3" localSheetId="6" hidden="1">{#N/A,#N/A,FALSE,"REPORT"}</definedName>
    <definedName name="graph_3" hidden="1">{#N/A,#N/A,FALSE,"REPORT"}</definedName>
    <definedName name="graph_4" localSheetId="0" hidden="1">{#N/A,#N/A,FALSE,"REPORT"}</definedName>
    <definedName name="graph_4" localSheetId="6" hidden="1">{#N/A,#N/A,FALSE,"REPORT"}</definedName>
    <definedName name="graph_4" hidden="1">{#N/A,#N/A,FALSE,"REPORT"}</definedName>
    <definedName name="graph_5" localSheetId="0" hidden="1">{#N/A,#N/A,FALSE,"REPORT"}</definedName>
    <definedName name="graph_5" localSheetId="6" hidden="1">{#N/A,#N/A,FALSE,"REPORT"}</definedName>
    <definedName name="graph_5" hidden="1">{#N/A,#N/A,FALSE,"REPORT"}</definedName>
    <definedName name="graph_bincome2" hidden="1">#N/A</definedName>
    <definedName name="Graph_Xdriver" hidden="1">#N/A</definedName>
    <definedName name="graph10" hidden="1">#REF!</definedName>
    <definedName name="graph11" hidden="1">#REF!</definedName>
    <definedName name="graph12" hidden="1">#REF!</definedName>
    <definedName name="graph13" hidden="1">#REF!</definedName>
    <definedName name="graph14" hidden="1">#REF!</definedName>
    <definedName name="graph15" hidden="1">#REF!</definedName>
    <definedName name="graph16" hidden="1">#REF!</definedName>
    <definedName name="graph17" hidden="1">#REF!</definedName>
    <definedName name="graph18" hidden="1">#REF!</definedName>
    <definedName name="graph19" hidden="1">#REF!</definedName>
    <definedName name="graph20" hidden="1">#REF!</definedName>
    <definedName name="graph21" hidden="1">#REF!</definedName>
    <definedName name="graph22" hidden="1">#REF!</definedName>
    <definedName name="graph23" hidden="1">#REF!</definedName>
    <definedName name="graph24" hidden="1">#REF!</definedName>
    <definedName name="graph25" hidden="1">#REF!</definedName>
    <definedName name="graph5" hidden="1">#REF!</definedName>
    <definedName name="graph6" hidden="1">#REF!</definedName>
    <definedName name="graph7" hidden="1">#REF!</definedName>
    <definedName name="graph8" hidden="1">#REF!</definedName>
    <definedName name="graph9" hidden="1">#REF!</definedName>
    <definedName name="graZ" localSheetId="0" hidden="1">{#N/A,#N/A,TRUE,"Proposal";#N/A,#N/A,TRUE,"Assumptions";#N/A,#N/A,TRUE,"Net Income";#N/A,#N/A,TRUE,"Balsheet";#N/A,#N/A,TRUE,"Capex";#N/A,#N/A,TRUE,"Volumes";#N/A,#N/A,TRUE,"Revenues";#N/A,#N/A,TRUE,"Var.Costs";#N/A,#N/A,TRUE,"Personnel";#N/A,#N/A,TRUE,"Other costs";#N/A,#N/A,TRUE,"MKTG and G&amp;A"}</definedName>
    <definedName name="graZ" localSheetId="6" hidden="1">{#N/A,#N/A,TRUE,"Proposal";#N/A,#N/A,TRUE,"Assumptions";#N/A,#N/A,TRUE,"Net Income";#N/A,#N/A,TRUE,"Balsheet";#N/A,#N/A,TRUE,"Capex";#N/A,#N/A,TRUE,"Volumes";#N/A,#N/A,TRUE,"Revenues";#N/A,#N/A,TRUE,"Var.Costs";#N/A,#N/A,TRUE,"Personnel";#N/A,#N/A,TRUE,"Other costs";#N/A,#N/A,TRUE,"MKTG and G&amp;A"}</definedName>
    <definedName name="graZ" hidden="1">{#N/A,#N/A,TRUE,"Proposal";#N/A,#N/A,TRUE,"Assumptions";#N/A,#N/A,TRUE,"Net Income";#N/A,#N/A,TRUE,"Balsheet";#N/A,#N/A,TRUE,"Capex";#N/A,#N/A,TRUE,"Volumes";#N/A,#N/A,TRUE,"Revenues";#N/A,#N/A,TRUE,"Var.Costs";#N/A,#N/A,TRUE,"Personnel";#N/A,#N/A,TRUE,"Other costs";#N/A,#N/A,TRUE,"MKTG and G&amp;A"}</definedName>
    <definedName name="greger" hidden="1">#REF!</definedName>
    <definedName name="grghfgfg" localSheetId="0" hidden="1">{#N/A,#N/A,FALSE,"Umsatz CH";#N/A,#N/A,FALSE,"ER CH";#N/A,#N/A,FALSE,"EA CH (2) ";#N/A,#N/A,FALSE,"EA CH";#N/A,#N/A,FALSE,"EA CH (3) ";#N/A,#N/A,FALSE,"EA CH (4)";#N/A,#N/A,FALSE,"KA CH";#N/A,#N/A,FALSE,"KA CH  (2)";#N/A,#N/A,FALSE,"KA CH  (3)";#N/A,#N/A,FALSE,"KA CH (4)"}</definedName>
    <definedName name="grghfgfg" localSheetId="6" hidden="1">{#N/A,#N/A,FALSE,"Umsatz CH";#N/A,#N/A,FALSE,"ER CH";#N/A,#N/A,FALSE,"EA CH (2) ";#N/A,#N/A,FALSE,"EA CH";#N/A,#N/A,FALSE,"EA CH (3) ";#N/A,#N/A,FALSE,"EA CH (4)";#N/A,#N/A,FALSE,"KA CH";#N/A,#N/A,FALSE,"KA CH  (2)";#N/A,#N/A,FALSE,"KA CH  (3)";#N/A,#N/A,FALSE,"KA CH (4)"}</definedName>
    <definedName name="grghfgfg" hidden="1">{#N/A,#N/A,FALSE,"Umsatz CH";#N/A,#N/A,FALSE,"ER CH";#N/A,#N/A,FALSE,"EA CH (2) ";#N/A,#N/A,FALSE,"EA CH";#N/A,#N/A,FALSE,"EA CH (3) ";#N/A,#N/A,FALSE,"EA CH (4)";#N/A,#N/A,FALSE,"KA CH";#N/A,#N/A,FALSE,"KA CH  (2)";#N/A,#N/A,FALSE,"KA CH  (3)";#N/A,#N/A,FALSE,"KA CH (4)"}</definedName>
    <definedName name="grghfgfg_1" localSheetId="0" hidden="1">{#N/A,#N/A,FALSE,"Umsatz CH";#N/A,#N/A,FALSE,"ER CH";#N/A,#N/A,FALSE,"EA CH (2) ";#N/A,#N/A,FALSE,"EA CH";#N/A,#N/A,FALSE,"EA CH (3) ";#N/A,#N/A,FALSE,"EA CH (4)";#N/A,#N/A,FALSE,"KA CH";#N/A,#N/A,FALSE,"KA CH  (2)";#N/A,#N/A,FALSE,"KA CH  (3)";#N/A,#N/A,FALSE,"KA CH (4)"}</definedName>
    <definedName name="grghfgfg_1" localSheetId="6" hidden="1">{#N/A,#N/A,FALSE,"Umsatz CH";#N/A,#N/A,FALSE,"ER CH";#N/A,#N/A,FALSE,"EA CH (2) ";#N/A,#N/A,FALSE,"EA CH";#N/A,#N/A,FALSE,"EA CH (3) ";#N/A,#N/A,FALSE,"EA CH (4)";#N/A,#N/A,FALSE,"KA CH";#N/A,#N/A,FALSE,"KA CH  (2)";#N/A,#N/A,FALSE,"KA CH  (3)";#N/A,#N/A,FALSE,"KA CH (4)"}</definedName>
    <definedName name="grghfgfg_1" hidden="1">{#N/A,#N/A,FALSE,"Umsatz CH";#N/A,#N/A,FALSE,"ER CH";#N/A,#N/A,FALSE,"EA CH (2) ";#N/A,#N/A,FALSE,"EA CH";#N/A,#N/A,FALSE,"EA CH (3) ";#N/A,#N/A,FALSE,"EA CH (4)";#N/A,#N/A,FALSE,"KA CH";#N/A,#N/A,FALSE,"KA CH  (2)";#N/A,#N/A,FALSE,"KA CH  (3)";#N/A,#N/A,FALSE,"KA CH (4)"}</definedName>
    <definedName name="grghfgfg_1_1" localSheetId="0" hidden="1">{#N/A,#N/A,FALSE,"Umsatz CH";#N/A,#N/A,FALSE,"ER CH";#N/A,#N/A,FALSE,"EA CH (2) ";#N/A,#N/A,FALSE,"EA CH";#N/A,#N/A,FALSE,"EA CH (3) ";#N/A,#N/A,FALSE,"EA CH (4)";#N/A,#N/A,FALSE,"KA CH";#N/A,#N/A,FALSE,"KA CH  (2)";#N/A,#N/A,FALSE,"KA CH  (3)";#N/A,#N/A,FALSE,"KA CH (4)"}</definedName>
    <definedName name="grghfgfg_1_1" localSheetId="6" hidden="1">{#N/A,#N/A,FALSE,"Umsatz CH";#N/A,#N/A,FALSE,"ER CH";#N/A,#N/A,FALSE,"EA CH (2) ";#N/A,#N/A,FALSE,"EA CH";#N/A,#N/A,FALSE,"EA CH (3) ";#N/A,#N/A,FALSE,"EA CH (4)";#N/A,#N/A,FALSE,"KA CH";#N/A,#N/A,FALSE,"KA CH  (2)";#N/A,#N/A,FALSE,"KA CH  (3)";#N/A,#N/A,FALSE,"KA CH (4)"}</definedName>
    <definedName name="grghfgfg_1_1" hidden="1">{#N/A,#N/A,FALSE,"Umsatz CH";#N/A,#N/A,FALSE,"ER CH";#N/A,#N/A,FALSE,"EA CH (2) ";#N/A,#N/A,FALSE,"EA CH";#N/A,#N/A,FALSE,"EA CH (3) ";#N/A,#N/A,FALSE,"EA CH (4)";#N/A,#N/A,FALSE,"KA CH";#N/A,#N/A,FALSE,"KA CH  (2)";#N/A,#N/A,FALSE,"KA CH  (3)";#N/A,#N/A,FALSE,"KA CH (4)"}</definedName>
    <definedName name="grghfgfg_2" localSheetId="0" hidden="1">{#N/A,#N/A,FALSE,"Umsatz CH";#N/A,#N/A,FALSE,"ER CH";#N/A,#N/A,FALSE,"EA CH (2) ";#N/A,#N/A,FALSE,"EA CH";#N/A,#N/A,FALSE,"EA CH (3) ";#N/A,#N/A,FALSE,"EA CH (4)";#N/A,#N/A,FALSE,"KA CH";#N/A,#N/A,FALSE,"KA CH  (2)";#N/A,#N/A,FALSE,"KA CH  (3)";#N/A,#N/A,FALSE,"KA CH (4)"}</definedName>
    <definedName name="grghfgfg_2" localSheetId="6" hidden="1">{#N/A,#N/A,FALSE,"Umsatz CH";#N/A,#N/A,FALSE,"ER CH";#N/A,#N/A,FALSE,"EA CH (2) ";#N/A,#N/A,FALSE,"EA CH";#N/A,#N/A,FALSE,"EA CH (3) ";#N/A,#N/A,FALSE,"EA CH (4)";#N/A,#N/A,FALSE,"KA CH";#N/A,#N/A,FALSE,"KA CH  (2)";#N/A,#N/A,FALSE,"KA CH  (3)";#N/A,#N/A,FALSE,"KA CH (4)"}</definedName>
    <definedName name="grghfgfg_2" hidden="1">{#N/A,#N/A,FALSE,"Umsatz CH";#N/A,#N/A,FALSE,"ER CH";#N/A,#N/A,FALSE,"EA CH (2) ";#N/A,#N/A,FALSE,"EA CH";#N/A,#N/A,FALSE,"EA CH (3) ";#N/A,#N/A,FALSE,"EA CH (4)";#N/A,#N/A,FALSE,"KA CH";#N/A,#N/A,FALSE,"KA CH  (2)";#N/A,#N/A,FALSE,"KA CH  (3)";#N/A,#N/A,FALSE,"KA CH (4)"}</definedName>
    <definedName name="grghfgfg_3" localSheetId="0" hidden="1">{#N/A,#N/A,FALSE,"Umsatz CH";#N/A,#N/A,FALSE,"ER CH";#N/A,#N/A,FALSE,"EA CH (2) ";#N/A,#N/A,FALSE,"EA CH";#N/A,#N/A,FALSE,"EA CH (3) ";#N/A,#N/A,FALSE,"EA CH (4)";#N/A,#N/A,FALSE,"KA CH";#N/A,#N/A,FALSE,"KA CH  (2)";#N/A,#N/A,FALSE,"KA CH  (3)";#N/A,#N/A,FALSE,"KA CH (4)"}</definedName>
    <definedName name="grghfgfg_3" localSheetId="6" hidden="1">{#N/A,#N/A,FALSE,"Umsatz CH";#N/A,#N/A,FALSE,"ER CH";#N/A,#N/A,FALSE,"EA CH (2) ";#N/A,#N/A,FALSE,"EA CH";#N/A,#N/A,FALSE,"EA CH (3) ";#N/A,#N/A,FALSE,"EA CH (4)";#N/A,#N/A,FALSE,"KA CH";#N/A,#N/A,FALSE,"KA CH  (2)";#N/A,#N/A,FALSE,"KA CH  (3)";#N/A,#N/A,FALSE,"KA CH (4)"}</definedName>
    <definedName name="grghfgfg_3" hidden="1">{#N/A,#N/A,FALSE,"Umsatz CH";#N/A,#N/A,FALSE,"ER CH";#N/A,#N/A,FALSE,"EA CH (2) ";#N/A,#N/A,FALSE,"EA CH";#N/A,#N/A,FALSE,"EA CH (3) ";#N/A,#N/A,FALSE,"EA CH (4)";#N/A,#N/A,FALSE,"KA CH";#N/A,#N/A,FALSE,"KA CH  (2)";#N/A,#N/A,FALSE,"KA CH  (3)";#N/A,#N/A,FALSE,"KA CH (4)"}</definedName>
    <definedName name="grghfgfg_4" localSheetId="0" hidden="1">{#N/A,#N/A,FALSE,"Umsatz CH";#N/A,#N/A,FALSE,"ER CH";#N/A,#N/A,FALSE,"EA CH (2) ";#N/A,#N/A,FALSE,"EA CH";#N/A,#N/A,FALSE,"EA CH (3) ";#N/A,#N/A,FALSE,"EA CH (4)";#N/A,#N/A,FALSE,"KA CH";#N/A,#N/A,FALSE,"KA CH  (2)";#N/A,#N/A,FALSE,"KA CH  (3)";#N/A,#N/A,FALSE,"KA CH (4)"}</definedName>
    <definedName name="grghfgfg_4" localSheetId="6" hidden="1">{#N/A,#N/A,FALSE,"Umsatz CH";#N/A,#N/A,FALSE,"ER CH";#N/A,#N/A,FALSE,"EA CH (2) ";#N/A,#N/A,FALSE,"EA CH";#N/A,#N/A,FALSE,"EA CH (3) ";#N/A,#N/A,FALSE,"EA CH (4)";#N/A,#N/A,FALSE,"KA CH";#N/A,#N/A,FALSE,"KA CH  (2)";#N/A,#N/A,FALSE,"KA CH  (3)";#N/A,#N/A,FALSE,"KA CH (4)"}</definedName>
    <definedName name="grghfgfg_4" hidden="1">{#N/A,#N/A,FALSE,"Umsatz CH";#N/A,#N/A,FALSE,"ER CH";#N/A,#N/A,FALSE,"EA CH (2) ";#N/A,#N/A,FALSE,"EA CH";#N/A,#N/A,FALSE,"EA CH (3) ";#N/A,#N/A,FALSE,"EA CH (4)";#N/A,#N/A,FALSE,"KA CH";#N/A,#N/A,FALSE,"KA CH  (2)";#N/A,#N/A,FALSE,"KA CH  (3)";#N/A,#N/A,FALSE,"KA CH (4)"}</definedName>
    <definedName name="grghfgfg_5" localSheetId="0" hidden="1">{#N/A,#N/A,FALSE,"Umsatz CH";#N/A,#N/A,FALSE,"ER CH";#N/A,#N/A,FALSE,"EA CH (2) ";#N/A,#N/A,FALSE,"EA CH";#N/A,#N/A,FALSE,"EA CH (3) ";#N/A,#N/A,FALSE,"EA CH (4)";#N/A,#N/A,FALSE,"KA CH";#N/A,#N/A,FALSE,"KA CH  (2)";#N/A,#N/A,FALSE,"KA CH  (3)";#N/A,#N/A,FALSE,"KA CH (4)"}</definedName>
    <definedName name="grghfgfg_5" localSheetId="6" hidden="1">{#N/A,#N/A,FALSE,"Umsatz CH";#N/A,#N/A,FALSE,"ER CH";#N/A,#N/A,FALSE,"EA CH (2) ";#N/A,#N/A,FALSE,"EA CH";#N/A,#N/A,FALSE,"EA CH (3) ";#N/A,#N/A,FALSE,"EA CH (4)";#N/A,#N/A,FALSE,"KA CH";#N/A,#N/A,FALSE,"KA CH  (2)";#N/A,#N/A,FALSE,"KA CH  (3)";#N/A,#N/A,FALSE,"KA CH (4)"}</definedName>
    <definedName name="grghfgfg_5" hidden="1">{#N/A,#N/A,FALSE,"Umsatz CH";#N/A,#N/A,FALSE,"ER CH";#N/A,#N/A,FALSE,"EA CH (2) ";#N/A,#N/A,FALSE,"EA CH";#N/A,#N/A,FALSE,"EA CH (3) ";#N/A,#N/A,FALSE,"EA CH (4)";#N/A,#N/A,FALSE,"KA CH";#N/A,#N/A,FALSE,"KA CH  (2)";#N/A,#N/A,FALSE,"KA CH  (3)";#N/A,#N/A,FALSE,"KA CH (4)"}</definedName>
    <definedName name="GROSS_DIVID" hidden="1">"GROSS_DIVID"</definedName>
    <definedName name="GROSS_MARGIN" hidden="1">"GROSS_MARGIN"</definedName>
    <definedName name="Gross_Profit">#REF!</definedName>
    <definedName name="GROSS_SALES">#REF!</definedName>
    <definedName name="GrossProfit">#REF!</definedName>
    <definedName name="GROUP" hidden="1">"bissql"</definedName>
    <definedName name="growth">#REF!</definedName>
    <definedName name="Growth_Rate">#REF!</definedName>
    <definedName name="Growth_Rate_CB">#REF!</definedName>
    <definedName name="grqtr2" localSheetId="0" hidden="1">{"'INDICE'!$A$1:$K$13","'1'!$A$1:$CC$78","'2'!$A$1:$P$78","'3'!$A$1:$CI$78","'4'!$A$1:$Q$78"}</definedName>
    <definedName name="grqtr2" localSheetId="6" hidden="1">{"'INDICE'!$A$1:$K$13","'1'!$A$1:$CC$78","'2'!$A$1:$P$78","'3'!$A$1:$CI$78","'4'!$A$1:$Q$78"}</definedName>
    <definedName name="grqtr2" hidden="1">{"'INDICE'!$A$1:$K$13","'1'!$A$1:$CC$78","'2'!$A$1:$P$78","'3'!$A$1:$CI$78","'4'!$A$1:$Q$78"}</definedName>
    <definedName name="grqtr2_1" localSheetId="0" hidden="1">{"'INDICE'!$A$1:$K$13","'1'!$A$1:$CC$78","'2'!$A$1:$P$78","'3'!$A$1:$CI$78","'4'!$A$1:$Q$78"}</definedName>
    <definedName name="grqtr2_1" localSheetId="6" hidden="1">{"'INDICE'!$A$1:$K$13","'1'!$A$1:$CC$78","'2'!$A$1:$P$78","'3'!$A$1:$CI$78","'4'!$A$1:$Q$78"}</definedName>
    <definedName name="grqtr2_1" hidden="1">{"'INDICE'!$A$1:$K$13","'1'!$A$1:$CC$78","'2'!$A$1:$P$78","'3'!$A$1:$CI$78","'4'!$A$1:$Q$78"}</definedName>
    <definedName name="GSI.000.001" hidden="1">"64D6144FBFF2C1A67C9BBDDFE88F95D70372DC430AC364687CC71F89B8C39F46D9B3DDA8911D23A68F31A0ED95E3D0DF676F715C5A7A1CCDB7FB7396D6BA253518E2AD13F61361A1DF4B8A9F4A406188F0E70DA119F64D954FA660C2897AB0D1"</definedName>
    <definedName name="GSTSYAEYAEYEYET" localSheetId="6" hidden="1">{"'Break down'!$A$4"}</definedName>
    <definedName name="GSTSYAEYAEYEYET" hidden="1">{"'Break down'!$A$4"}</definedName>
    <definedName name="gtr" localSheetId="6" hidden="1">{"year1",#N/A,FALSE,"IZT";"year2",#N/A,FALSE,"IZT"}</definedName>
    <definedName name="gtr" hidden="1">{"year1",#N/A,FALSE,"IZT";"year2",#N/A,FALSE,"IZT"}</definedName>
    <definedName name="gtryt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tryt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tryt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tu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tu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tu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UILLAU" localSheetId="0" hidden="1">{#N/A,#N/A,FALSE,"Tabl. D1";#N/A,#N/A,FALSE,"Tabl. D1 b";#N/A,#N/A,FALSE,"Tabl. D2";#N/A,#N/A,FALSE,"Tabl. D2 b";#N/A,#N/A,FALSE,"Tabl. D3";#N/A,#N/A,FALSE,"Tabl. D4";#N/A,#N/A,FALSE,"Tabl. D5"}</definedName>
    <definedName name="GUILLAU" localSheetId="6" hidden="1">{#N/A,#N/A,FALSE,"Tabl. D1";#N/A,#N/A,FALSE,"Tabl. D1 b";#N/A,#N/A,FALSE,"Tabl. D2";#N/A,#N/A,FALSE,"Tabl. D2 b";#N/A,#N/A,FALSE,"Tabl. D3";#N/A,#N/A,FALSE,"Tabl. D4";#N/A,#N/A,FALSE,"Tabl. D5"}</definedName>
    <definedName name="GUILLAU" hidden="1">{#N/A,#N/A,FALSE,"Tabl. D1";#N/A,#N/A,FALSE,"Tabl. D1 b";#N/A,#N/A,FALSE,"Tabl. D2";#N/A,#N/A,FALSE,"Tabl. D2 b";#N/A,#N/A,FALSE,"Tabl. D3";#N/A,#N/A,FALSE,"Tabl. D4";#N/A,#N/A,FALSE,"Tabl. D5"}</definedName>
    <definedName name="Gulf">#REF!</definedName>
    <definedName name="gut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ut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ut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ｇｖｂｒ" hidden="1">#REF!</definedName>
    <definedName name="gwerg" localSheetId="6" hidden="1">{#N/A,#N/A,FALSE,"BE";#N/A,#N/A,FALSE,"Bia";#N/A,#N/A,FALSE,"By";#N/A,#N/A,FALSE,"Bor";#N/A,#N/A,FALSE,"Gab";#N/A,#N/A,FALSE,"Gar";#N/A,#N/A,FALSE,"Lov";#N/A,#N/A,FALSE,"SJ";#N/A,#N/A,FALSE,"SM";#N/A,#N/A,FALSE,"Wb";#N/A,#N/A,FALSE,"Yok"}</definedName>
    <definedName name="gwerg" hidden="1">{#N/A,#N/A,FALSE,"BE";#N/A,#N/A,FALSE,"Bia";#N/A,#N/A,FALSE,"By";#N/A,#N/A,FALSE,"Bor";#N/A,#N/A,FALSE,"Gab";#N/A,#N/A,FALSE,"Gar";#N/A,#N/A,FALSE,"Lov";#N/A,#N/A,FALSE,"SJ";#N/A,#N/A,FALSE,"SM";#N/A,#N/A,FALSE,"Wb";#N/A,#N/A,FALSE,"Yok"}</definedName>
    <definedName name="gwrgr" localSheetId="6" hidden="1">{#N/A,#N/A,FALSE,"BE";#N/A,#N/A,FALSE,"Bia";#N/A,#N/A,FALSE,"By";#N/A,#N/A,FALSE,"Bor";#N/A,#N/A,FALSE,"Gab";#N/A,#N/A,FALSE,"Gar";#N/A,#N/A,FALSE,"Lov";#N/A,#N/A,FALSE,"SJ";#N/A,#N/A,FALSE,"SM";#N/A,#N/A,FALSE,"Wb";#N/A,#N/A,FALSE,"Yok"}</definedName>
    <definedName name="gwrgr" hidden="1">{#N/A,#N/A,FALSE,"BE";#N/A,#N/A,FALSE,"Bia";#N/A,#N/A,FALSE,"By";#N/A,#N/A,FALSE,"Bor";#N/A,#N/A,FALSE,"Gab";#N/A,#N/A,FALSE,"Gar";#N/A,#N/A,FALSE,"Lov";#N/A,#N/A,FALSE,"SJ";#N/A,#N/A,FALSE,"SM";#N/A,#N/A,FALSE,"Wb";#N/A,#N/A,FALSE,"Yok"}</definedName>
    <definedName name="gytu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ytu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gytu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 localSheetId="0" hidden="1">#REF!</definedName>
    <definedName name="H" localSheetId="6" hidden="1">{#N/A,#N/A,TRUE,"0 Deckbl.";#N/A,#N/A,TRUE,"S 1 Komm";#N/A,#N/A,TRUE,"S 1a Komm";#N/A,#N/A,TRUE,"S 1b Komm";#N/A,#N/A,TRUE,"S  2 DBR";#N/A,#N/A,TRUE,"S  3 Sparten";#N/A,#N/A,TRUE,"S 4  Betr. K.";#N/A,#N/A,TRUE,"6 Bilanz";#N/A,#N/A,TRUE,"6a Bilanz ";#N/A,#N/A,TRUE,"6b Bilanz ";#N/A,#N/A,TRUE,"7 GS I";#N/A,#N/A,TRUE,"S 8 EQ-GuV"}</definedName>
    <definedName name="H" hidden="1">{#N/A,#N/A,TRUE,"0 Deckbl.";#N/A,#N/A,TRUE,"S 1 Komm";#N/A,#N/A,TRUE,"S 1a Komm";#N/A,#N/A,TRUE,"S 1b Komm";#N/A,#N/A,TRUE,"S  2 DBR";#N/A,#N/A,TRUE,"S  3 Sparten";#N/A,#N/A,TRUE,"S 4  Betr. K.";#N/A,#N/A,TRUE,"6 Bilanz";#N/A,#N/A,TRUE,"6a Bilanz ";#N/A,#N/A,TRUE,"6b Bilanz ";#N/A,#N/A,TRUE,"7 GS I";#N/A,#N/A,TRUE,"S 8 EQ-GuV"}</definedName>
    <definedName name="h.ll" localSheetId="0" hidden="1">{#N/A,#N/A,FALSE,"PMW Gruppe 99_98";#N/A,#N/A,FALSE,"PMW KG 98_99";#N/A,#N/A,FALSE,"PMW Inc. 99_98";#N/A,#N/A,FALSE,"PMW VTECH 99_98";#N/A,#N/A,FALSE,"PMW Thail. 99_98";#N/A,#N/A,FALSE,"PMW Canada 99_98";#N/A,#N/A,FALSE,"Währungsabw. 99_98"}</definedName>
    <definedName name="h.ll" localSheetId="6" hidden="1">{#N/A,#N/A,FALSE,"PMW Gruppe 99_98";#N/A,#N/A,FALSE,"PMW KG 98_99";#N/A,#N/A,FALSE,"PMW Inc. 99_98";#N/A,#N/A,FALSE,"PMW VTECH 99_98";#N/A,#N/A,FALSE,"PMW Thail. 99_98";#N/A,#N/A,FALSE,"PMW Canada 99_98";#N/A,#N/A,FALSE,"Währungsabw. 99_98"}</definedName>
    <definedName name="h.ll" hidden="1">{#N/A,#N/A,FALSE,"PMW Gruppe 99_98";#N/A,#N/A,FALSE,"PMW KG 98_99";#N/A,#N/A,FALSE,"PMW Inc. 99_98";#N/A,#N/A,FALSE,"PMW VTECH 99_98";#N/A,#N/A,FALSE,"PMW Thail. 99_98";#N/A,#N/A,FALSE,"PMW Canada 99_98";#N/A,#N/A,FALSE,"Währungsabw. 99_98"}</definedName>
    <definedName name="h.ll_1" localSheetId="0" hidden="1">{#N/A,#N/A,FALSE,"PMW Gruppe 99_98";#N/A,#N/A,FALSE,"PMW KG 98_99";#N/A,#N/A,FALSE,"PMW Inc. 99_98";#N/A,#N/A,FALSE,"PMW VTECH 99_98";#N/A,#N/A,FALSE,"PMW Thail. 99_98";#N/A,#N/A,FALSE,"PMW Canada 99_98";#N/A,#N/A,FALSE,"Währungsabw. 99_98"}</definedName>
    <definedName name="h.ll_1" localSheetId="6" hidden="1">{#N/A,#N/A,FALSE,"PMW Gruppe 99_98";#N/A,#N/A,FALSE,"PMW KG 98_99";#N/A,#N/A,FALSE,"PMW Inc. 99_98";#N/A,#N/A,FALSE,"PMW VTECH 99_98";#N/A,#N/A,FALSE,"PMW Thail. 99_98";#N/A,#N/A,FALSE,"PMW Canada 99_98";#N/A,#N/A,FALSE,"Währungsabw. 99_98"}</definedName>
    <definedName name="h.ll_1" hidden="1">{#N/A,#N/A,FALSE,"PMW Gruppe 99_98";#N/A,#N/A,FALSE,"PMW KG 98_99";#N/A,#N/A,FALSE,"PMW Inc. 99_98";#N/A,#N/A,FALSE,"PMW VTECH 99_98";#N/A,#N/A,FALSE,"PMW Thail. 99_98";#N/A,#N/A,FALSE,"PMW Canada 99_98";#N/A,#N/A,FALSE,"Währungsabw. 99_98"}</definedName>
    <definedName name="h.ll_1_1" localSheetId="0" hidden="1">{#N/A,#N/A,FALSE,"PMW Gruppe 99_98";#N/A,#N/A,FALSE,"PMW KG 98_99";#N/A,#N/A,FALSE,"PMW Inc. 99_98";#N/A,#N/A,FALSE,"PMW VTECH 99_98";#N/A,#N/A,FALSE,"PMW Thail. 99_98";#N/A,#N/A,FALSE,"PMW Canada 99_98";#N/A,#N/A,FALSE,"Währungsabw. 99_98"}</definedName>
    <definedName name="h.ll_1_1" localSheetId="6" hidden="1">{#N/A,#N/A,FALSE,"PMW Gruppe 99_98";#N/A,#N/A,FALSE,"PMW KG 98_99";#N/A,#N/A,FALSE,"PMW Inc. 99_98";#N/A,#N/A,FALSE,"PMW VTECH 99_98";#N/A,#N/A,FALSE,"PMW Thail. 99_98";#N/A,#N/A,FALSE,"PMW Canada 99_98";#N/A,#N/A,FALSE,"Währungsabw. 99_98"}</definedName>
    <definedName name="h.ll_1_1" hidden="1">{#N/A,#N/A,FALSE,"PMW Gruppe 99_98";#N/A,#N/A,FALSE,"PMW KG 98_99";#N/A,#N/A,FALSE,"PMW Inc. 99_98";#N/A,#N/A,FALSE,"PMW VTECH 99_98";#N/A,#N/A,FALSE,"PMW Thail. 99_98";#N/A,#N/A,FALSE,"PMW Canada 99_98";#N/A,#N/A,FALSE,"Währungsabw. 99_98"}</definedName>
    <definedName name="h.ll_2" localSheetId="0" hidden="1">{#N/A,#N/A,FALSE,"PMW Gruppe 99_98";#N/A,#N/A,FALSE,"PMW KG 98_99";#N/A,#N/A,FALSE,"PMW Inc. 99_98";#N/A,#N/A,FALSE,"PMW VTECH 99_98";#N/A,#N/A,FALSE,"PMW Thail. 99_98";#N/A,#N/A,FALSE,"PMW Canada 99_98";#N/A,#N/A,FALSE,"Währungsabw. 99_98"}</definedName>
    <definedName name="h.ll_2" localSheetId="6" hidden="1">{#N/A,#N/A,FALSE,"PMW Gruppe 99_98";#N/A,#N/A,FALSE,"PMW KG 98_99";#N/A,#N/A,FALSE,"PMW Inc. 99_98";#N/A,#N/A,FALSE,"PMW VTECH 99_98";#N/A,#N/A,FALSE,"PMW Thail. 99_98";#N/A,#N/A,FALSE,"PMW Canada 99_98";#N/A,#N/A,FALSE,"Währungsabw. 99_98"}</definedName>
    <definedName name="h.ll_2" hidden="1">{#N/A,#N/A,FALSE,"PMW Gruppe 99_98";#N/A,#N/A,FALSE,"PMW KG 98_99";#N/A,#N/A,FALSE,"PMW Inc. 99_98";#N/A,#N/A,FALSE,"PMW VTECH 99_98";#N/A,#N/A,FALSE,"PMW Thail. 99_98";#N/A,#N/A,FALSE,"PMW Canada 99_98";#N/A,#N/A,FALSE,"Währungsabw. 99_98"}</definedName>
    <definedName name="h.ll_3" localSheetId="0" hidden="1">{#N/A,#N/A,FALSE,"PMW Gruppe 99_98";#N/A,#N/A,FALSE,"PMW KG 98_99";#N/A,#N/A,FALSE,"PMW Inc. 99_98";#N/A,#N/A,FALSE,"PMW VTECH 99_98";#N/A,#N/A,FALSE,"PMW Thail. 99_98";#N/A,#N/A,FALSE,"PMW Canada 99_98";#N/A,#N/A,FALSE,"Währungsabw. 99_98"}</definedName>
    <definedName name="h.ll_3" localSheetId="6" hidden="1">{#N/A,#N/A,FALSE,"PMW Gruppe 99_98";#N/A,#N/A,FALSE,"PMW KG 98_99";#N/A,#N/A,FALSE,"PMW Inc. 99_98";#N/A,#N/A,FALSE,"PMW VTECH 99_98";#N/A,#N/A,FALSE,"PMW Thail. 99_98";#N/A,#N/A,FALSE,"PMW Canada 99_98";#N/A,#N/A,FALSE,"Währungsabw. 99_98"}</definedName>
    <definedName name="h.ll_3" hidden="1">{#N/A,#N/A,FALSE,"PMW Gruppe 99_98";#N/A,#N/A,FALSE,"PMW KG 98_99";#N/A,#N/A,FALSE,"PMW Inc. 99_98";#N/A,#N/A,FALSE,"PMW VTECH 99_98";#N/A,#N/A,FALSE,"PMW Thail. 99_98";#N/A,#N/A,FALSE,"PMW Canada 99_98";#N/A,#N/A,FALSE,"Währungsabw. 99_98"}</definedName>
    <definedName name="h.ll_4" localSheetId="0" hidden="1">{#N/A,#N/A,FALSE,"PMW Gruppe 99_98";#N/A,#N/A,FALSE,"PMW KG 98_99";#N/A,#N/A,FALSE,"PMW Inc. 99_98";#N/A,#N/A,FALSE,"PMW VTECH 99_98";#N/A,#N/A,FALSE,"PMW Thail. 99_98";#N/A,#N/A,FALSE,"PMW Canada 99_98";#N/A,#N/A,FALSE,"Währungsabw. 99_98"}</definedName>
    <definedName name="h.ll_4" localSheetId="6" hidden="1">{#N/A,#N/A,FALSE,"PMW Gruppe 99_98";#N/A,#N/A,FALSE,"PMW KG 98_99";#N/A,#N/A,FALSE,"PMW Inc. 99_98";#N/A,#N/A,FALSE,"PMW VTECH 99_98";#N/A,#N/A,FALSE,"PMW Thail. 99_98";#N/A,#N/A,FALSE,"PMW Canada 99_98";#N/A,#N/A,FALSE,"Währungsabw. 99_98"}</definedName>
    <definedName name="h.ll_4" hidden="1">{#N/A,#N/A,FALSE,"PMW Gruppe 99_98";#N/A,#N/A,FALSE,"PMW KG 98_99";#N/A,#N/A,FALSE,"PMW Inc. 99_98";#N/A,#N/A,FALSE,"PMW VTECH 99_98";#N/A,#N/A,FALSE,"PMW Thail. 99_98";#N/A,#N/A,FALSE,"PMW Canada 99_98";#N/A,#N/A,FALSE,"Währungsabw. 99_98"}</definedName>
    <definedName name="h.ll_5" localSheetId="0" hidden="1">{#N/A,#N/A,FALSE,"PMW Gruppe 99_98";#N/A,#N/A,FALSE,"PMW KG 98_99";#N/A,#N/A,FALSE,"PMW Inc. 99_98";#N/A,#N/A,FALSE,"PMW VTECH 99_98";#N/A,#N/A,FALSE,"PMW Thail. 99_98";#N/A,#N/A,FALSE,"PMW Canada 99_98";#N/A,#N/A,FALSE,"Währungsabw. 99_98"}</definedName>
    <definedName name="h.ll_5" localSheetId="6" hidden="1">{#N/A,#N/A,FALSE,"PMW Gruppe 99_98";#N/A,#N/A,FALSE,"PMW KG 98_99";#N/A,#N/A,FALSE,"PMW Inc. 99_98";#N/A,#N/A,FALSE,"PMW VTECH 99_98";#N/A,#N/A,FALSE,"PMW Thail. 99_98";#N/A,#N/A,FALSE,"PMW Canada 99_98";#N/A,#N/A,FALSE,"Währungsabw. 99_98"}</definedName>
    <definedName name="h.ll_5" hidden="1">{#N/A,#N/A,FALSE,"PMW Gruppe 99_98";#N/A,#N/A,FALSE,"PMW KG 98_99";#N/A,#N/A,FALSE,"PMW Inc. 99_98";#N/A,#N/A,FALSE,"PMW VTECH 99_98";#N/A,#N/A,FALSE,"PMW Thail. 99_98";#N/A,#N/A,FALSE,"PMW Canada 99_98";#N/A,#N/A,FALSE,"Währungsabw. 99_98"}</definedName>
    <definedName name="h_1" localSheetId="0" hidden="1">{#N/A,#N/A,FALSE,"REPORT"}</definedName>
    <definedName name="h_1" localSheetId="6" hidden="1">{#N/A,#N/A,FALSE,"REPORT"}</definedName>
    <definedName name="h_1" hidden="1">{#N/A,#N/A,FALSE,"REPORT"}</definedName>
    <definedName name="h_1_1" localSheetId="0" hidden="1">{#N/A,#N/A,FALSE,"REPORT"}</definedName>
    <definedName name="h_1_1" localSheetId="6" hidden="1">{#N/A,#N/A,FALSE,"REPORT"}</definedName>
    <definedName name="h_1_1" hidden="1">{#N/A,#N/A,FALSE,"REPORT"}</definedName>
    <definedName name="h_2" localSheetId="0" hidden="1">{#N/A,#N/A,FALSE,"REPORT"}</definedName>
    <definedName name="h_2" localSheetId="6" hidden="1">{#N/A,#N/A,FALSE,"REPORT"}</definedName>
    <definedName name="h_2" hidden="1">{#N/A,#N/A,FALSE,"REPORT"}</definedName>
    <definedName name="h_3" localSheetId="0" hidden="1">{#N/A,#N/A,FALSE,"REPORT"}</definedName>
    <definedName name="h_3" localSheetId="6" hidden="1">{#N/A,#N/A,FALSE,"REPORT"}</definedName>
    <definedName name="h_3" hidden="1">{#N/A,#N/A,FALSE,"REPORT"}</definedName>
    <definedName name="h_4" localSheetId="0" hidden="1">{#N/A,#N/A,FALSE,"REPORT"}</definedName>
    <definedName name="h_4" localSheetId="6" hidden="1">{#N/A,#N/A,FALSE,"REPORT"}</definedName>
    <definedName name="h_4" hidden="1">{#N/A,#N/A,FALSE,"REPORT"}</definedName>
    <definedName name="h_5" localSheetId="0" hidden="1">{#N/A,#N/A,FALSE,"REPORT"}</definedName>
    <definedName name="h_5" localSheetId="6" hidden="1">{#N/A,#N/A,FALSE,"REPORT"}</definedName>
    <definedName name="h_5" hidden="1">{#N/A,#N/A,FALSE,"REPORT"}</definedName>
    <definedName name="Haj"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Haj"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HAJJ"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HAJJ"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hallo" hidden="1">#REF!</definedName>
    <definedName name="HApp">#REF!</definedName>
    <definedName name="HAS_BEEN_UPDATED" hidden="1">#REF!</definedName>
    <definedName name="HASSAN" localSheetId="0" hidden="1">{#N/A,#N/A,FALSE,"PROFIT 11-95"}</definedName>
    <definedName name="HASSAN" localSheetId="6" hidden="1">{#N/A,#N/A,FALSE,"PROFIT 11-95"}</definedName>
    <definedName name="HASSAN" hidden="1">{#N/A,#N/A,FALSE,"PROFIT 11-95"}</definedName>
    <definedName name="hb"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1" localSheetId="6" hidden="1">{#N/A,#N/A,TRUE,"Cover";#N/A,#N/A,TRUE,"Conts";#N/A,#N/A,TRUE,"VOS";#N/A,#N/A,TRUE,"Warrington";#N/A,#N/A,TRUE,"Widnes"}</definedName>
    <definedName name="hb_1" hidden="1">{#N/A,#N/A,TRUE,"Cover";#N/A,#N/A,TRUE,"Conts";#N/A,#N/A,TRUE,"VOS";#N/A,#N/A,TRUE,"Warrington";#N/A,#N/A,TRUE,"Widnes"}</definedName>
    <definedName name="hb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3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3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3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b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DHFH" localSheetId="0"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HDHFH" localSheetId="6"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HDHFH"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HDHNN" localSheetId="6" hidden="1">{"year1",#N/A,FALSE,"IZT";"year2",#N/A,FALSE,"IZT"}</definedName>
    <definedName name="HDHNN" hidden="1">{"year1",#N/A,FALSE,"IZT";"year2",#N/A,FALSE,"IZT"}</definedName>
    <definedName name="Head1T2F">#REF!</definedName>
    <definedName name="Header" hidden="1">IF(COUNTA(#REF!)=0,0,INDEX(#REF!,MATCH(ROW(#REF!),#REF!,TRUE)))+1</definedName>
    <definedName name="Header_Row">ROW(#REF!)</definedName>
    <definedName name="Header1" hidden="1">IF(COUNTA(#REF!)=0,0,INDEX(#REF!,MATCH(ROW(#REF!),#REF!,TRUE)))+1</definedName>
    <definedName name="Header2" localSheetId="0" hidden="1">#REF!-1 &amp; "." &amp; MAX(1,COUNTA(INDEX(#REF!,MATCH(#REF!-1,#REF!,FALSE)):#REF!))</definedName>
    <definedName name="Header2" localSheetId="6" hidden="1">[0]!Header1-1 &amp; "." &amp; MAX(1,COUNTA(INDEX(#REF!,MATCH([0]!Header1-1,#REF!,FALSE)):#REF!))</definedName>
    <definedName name="Header2" hidden="1">[0]!Header1-1 &amp; "." &amp; MAX(1,COUNTA(INDEX(#REF!,MATCH([0]!Header1-1,#REF!,FALSE)):#REF!))</definedName>
    <definedName name="Header2_EU" hidden="1">#N/A</definedName>
    <definedName name="Header22" hidden="1">#N/A</definedName>
    <definedName name="Header3" hidden="1">#N/A</definedName>
    <definedName name="Header3_EU" hidden="1">#N/A</definedName>
    <definedName name="Header3Find" hidden="1">MID(#REF!,1,FIND(".",#REF!,1))&amp;MID(#REF!,FIND(".",#REF!,1)+1,LEN(#REF!))-1</definedName>
    <definedName name="Headers" hidden="1">IF(COUNTA(#REF!)=0,0,INDEX(#REF!,MATCH(ROW(#REF!),#REF!,TRUE)))+1</definedName>
    <definedName name="Headers2" localSheetId="6" hidden="1">[0]!Headers-1 &amp; "." &amp; MAX(1,COUNTA(INDEX(#REF!,MATCH([0]!Headers-1,#REF!,FALSE)):#REF!))</definedName>
    <definedName name="Headers2" hidden="1">[0]!Headers-1 &amp; "." &amp; MAX(1,COUNTA(INDEX(#REF!,MATCH([0]!Headers-1,#REF!,FALSE)):#REF!))</definedName>
    <definedName name="HeadInterim">#REF!</definedName>
    <definedName name="Headoffice">#REF!</definedName>
    <definedName name="HEKIE?." localSheetId="0" hidden="1">{#N/A,#N/A,FALSE,"Tabl. FB300";#N/A,#N/A,FALSE,"Tabl. FB350";#N/A,#N/A,FALSE,"Tabl. FB400";#N/A,#N/A,FALSE,"Tabl. FB500";#N/A,#N/A,FALSE,"Tabl. FS090"}</definedName>
    <definedName name="HEKIE?." localSheetId="6" hidden="1">{#N/A,#N/A,FALSE,"Tabl. FB300";#N/A,#N/A,FALSE,"Tabl. FB350";#N/A,#N/A,FALSE,"Tabl. FB400";#N/A,#N/A,FALSE,"Tabl. FB500";#N/A,#N/A,FALSE,"Tabl. FS090"}</definedName>
    <definedName name="HEKIE?." hidden="1">{#N/A,#N/A,FALSE,"Tabl. FB300";#N/A,#N/A,FALSE,"Tabl. FB350";#N/A,#N/A,FALSE,"Tabl. FB400";#N/A,#N/A,FALSE,"Tabl. FB500";#N/A,#N/A,FALSE,"Tabl. FS090"}</definedName>
    <definedName name="hell" hidden="1">#N/A</definedName>
    <definedName name="hello" localSheetId="0" hidden="1">{#N/A,#N/A,FALSE,"Cover";"outputs total",#N/A,FALSE,"Outputs"}</definedName>
    <definedName name="hello" localSheetId="6" hidden="1">{#N/A,#N/A,FALSE,"Cover";"outputs total",#N/A,FALSE,"Outputs"}</definedName>
    <definedName name="hello" hidden="1">{#N/A,#N/A,FALSE,"Cover";"outputs total",#N/A,FALSE,"Outputs"}</definedName>
    <definedName name="Help" localSheetId="0" hidden="1">{#N/A,#N/A,FALSE,"COVER PAGE";#N/A,#N/A,FALSE,"Page 2";#N/A,#N/A,FALSE,"Page 2";#N/A,#N/A,FALSE,"Page 4";#N/A,#N/A,FALSE,"Page5";#N/A,#N/A,FALSE,"Page 6";#N/A,#N/A,FALSE,"Page 7";#N/A,#N/A,FALSE,"Page 8";#N/A,#N/A,FALSE,"Page 10";#N/A,#N/A,FALSE,"Long-Term OCF Mult.";#N/A,#N/A,FALSE,"PCS Comp";#N/A,#N/A,FALSE,"OCS-CAPEX";#N/A,#N/A,FALSE,"Blank"}</definedName>
    <definedName name="Help" localSheetId="6" hidden="1">{#N/A,#N/A,FALSE,"COVER PAGE";#N/A,#N/A,FALSE,"Page 2";#N/A,#N/A,FALSE,"Page 2";#N/A,#N/A,FALSE,"Page 4";#N/A,#N/A,FALSE,"Page5";#N/A,#N/A,FALSE,"Page 6";#N/A,#N/A,FALSE,"Page 7";#N/A,#N/A,FALSE,"Page 8";#N/A,#N/A,FALSE,"Page 10";#N/A,#N/A,FALSE,"Long-Term OCF Mult.";#N/A,#N/A,FALSE,"PCS Comp";#N/A,#N/A,FALSE,"OCS-CAPEX";#N/A,#N/A,FALSE,"Blank"}</definedName>
    <definedName name="Help" hidden="1">{#N/A,#N/A,FALSE,"COVER PAGE";#N/A,#N/A,FALSE,"Page 2";#N/A,#N/A,FALSE,"Page 2";#N/A,#N/A,FALSE,"Page 4";#N/A,#N/A,FALSE,"Page5";#N/A,#N/A,FALSE,"Page 6";#N/A,#N/A,FALSE,"Page 7";#N/A,#N/A,FALSE,"Page 8";#N/A,#N/A,FALSE,"Page 10";#N/A,#N/A,FALSE,"Long-Term OCF Mult.";#N/A,#N/A,FALSE,"PCS Comp";#N/A,#N/A,FALSE,"OCS-CAPEX";#N/A,#N/A,FALSE,"Blank"}</definedName>
    <definedName name="HFinGraph" localSheetId="0" hidden="1">{#N/A,#N/A,FALSE,"Pharm";#N/A,#N/A,FALSE,"WWCM"}</definedName>
    <definedName name="HFinGraph" localSheetId="6" hidden="1">{#N/A,#N/A,FALSE,"Pharm";#N/A,#N/A,FALSE,"WWCM"}</definedName>
    <definedName name="HFinGraph" hidden="1">{#N/A,#N/A,FALSE,"Pharm";#N/A,#N/A,FALSE,"WWCM"}</definedName>
    <definedName name="HFinGraph_1" localSheetId="0" hidden="1">{#N/A,#N/A,FALSE,"Pharm";#N/A,#N/A,FALSE,"WWCM"}</definedName>
    <definedName name="HFinGraph_1" localSheetId="6" hidden="1">{#N/A,#N/A,FALSE,"Pharm";#N/A,#N/A,FALSE,"WWCM"}</definedName>
    <definedName name="HFinGraph_1" hidden="1">{#N/A,#N/A,FALSE,"Pharm";#N/A,#N/A,FALSE,"WWCM"}</definedName>
    <definedName name="HFinGraph_1_1" localSheetId="0" hidden="1">{#N/A,#N/A,FALSE,"Pharm";#N/A,#N/A,FALSE,"WWCM"}</definedName>
    <definedName name="HFinGraph_1_1" localSheetId="6" hidden="1">{#N/A,#N/A,FALSE,"Pharm";#N/A,#N/A,FALSE,"WWCM"}</definedName>
    <definedName name="HFinGraph_1_1" hidden="1">{#N/A,#N/A,FALSE,"Pharm";#N/A,#N/A,FALSE,"WWCM"}</definedName>
    <definedName name="HFinGraph_2" localSheetId="0" hidden="1">{#N/A,#N/A,FALSE,"Pharm";#N/A,#N/A,FALSE,"WWCM"}</definedName>
    <definedName name="HFinGraph_2" localSheetId="6" hidden="1">{#N/A,#N/A,FALSE,"Pharm";#N/A,#N/A,FALSE,"WWCM"}</definedName>
    <definedName name="HFinGraph_2" hidden="1">{#N/A,#N/A,FALSE,"Pharm";#N/A,#N/A,FALSE,"WWCM"}</definedName>
    <definedName name="HFinGraph_3" localSheetId="0" hidden="1">{#N/A,#N/A,FALSE,"Pharm";#N/A,#N/A,FALSE,"WWCM"}</definedName>
    <definedName name="HFinGraph_3" localSheetId="6" hidden="1">{#N/A,#N/A,FALSE,"Pharm";#N/A,#N/A,FALSE,"WWCM"}</definedName>
    <definedName name="HFinGraph_3" hidden="1">{#N/A,#N/A,FALSE,"Pharm";#N/A,#N/A,FALSE,"WWCM"}</definedName>
    <definedName name="HFinGraph_4" localSheetId="0" hidden="1">{#N/A,#N/A,FALSE,"Pharm";#N/A,#N/A,FALSE,"WWCM"}</definedName>
    <definedName name="HFinGraph_4" localSheetId="6" hidden="1">{#N/A,#N/A,FALSE,"Pharm";#N/A,#N/A,FALSE,"WWCM"}</definedName>
    <definedName name="HFinGraph_4" hidden="1">{#N/A,#N/A,FALSE,"Pharm";#N/A,#N/A,FALSE,"WWCM"}</definedName>
    <definedName name="HFinGraph_5" localSheetId="0" hidden="1">{#N/A,#N/A,FALSE,"Pharm";#N/A,#N/A,FALSE,"WWCM"}</definedName>
    <definedName name="HFinGraph_5" localSheetId="6" hidden="1">{#N/A,#N/A,FALSE,"Pharm";#N/A,#N/A,FALSE,"WWCM"}</definedName>
    <definedName name="HFinGraph_5" hidden="1">{#N/A,#N/A,FALSE,"Pharm";#N/A,#N/A,FALSE,"WWCM"}</definedName>
    <definedName name="hgdf" localSheetId="6" hidden="1">{#N/A,#N/A,FALSE,"HCA";#N/A,#N/A,FALSE,"Revenue";#N/A,#N/A,FALSE,"Opex";#N/A,#N/A,FALSE,"AMP"}</definedName>
    <definedName name="hgdf" hidden="1">{#N/A,#N/A,FALSE,"HCA";#N/A,#N/A,FALSE,"Revenue";#N/A,#N/A,FALSE,"Opex";#N/A,#N/A,FALSE,"AMP"}</definedName>
    <definedName name="hgf" localSheetId="0" hidden="1">{#N/A,#N/A,TRUE,"Proposal";#N/A,#N/A,TRUE,"Assumptions";#N/A,#N/A,TRUE,"Net Income";#N/A,#N/A,TRUE,"Balsheet";#N/A,#N/A,TRUE,"Capex";#N/A,#N/A,TRUE,"Volumes";#N/A,#N/A,TRUE,"Revenues";#N/A,#N/A,TRUE,"Var.Costs";#N/A,#N/A,TRUE,"Personnel";#N/A,#N/A,TRUE,"Other costs";#N/A,#N/A,TRUE,"MKTG and G&amp;A"}</definedName>
    <definedName name="hgf" localSheetId="6" hidden="1">{#N/A,#N/A,TRUE,"Proposal";#N/A,#N/A,TRUE,"Assumptions";#N/A,#N/A,TRUE,"Net Income";#N/A,#N/A,TRUE,"Balsheet";#N/A,#N/A,TRUE,"Capex";#N/A,#N/A,TRUE,"Volumes";#N/A,#N/A,TRUE,"Revenues";#N/A,#N/A,TRUE,"Var.Costs";#N/A,#N/A,TRUE,"Personnel";#N/A,#N/A,TRUE,"Other costs";#N/A,#N/A,TRUE,"MKTG and G&amp;A"}</definedName>
    <definedName name="hgf" hidden="1">{#N/A,#N/A,TRUE,"Proposal";#N/A,#N/A,TRUE,"Assumptions";#N/A,#N/A,TRUE,"Net Income";#N/A,#N/A,TRUE,"Balsheet";#N/A,#N/A,TRUE,"Capex";#N/A,#N/A,TRUE,"Volumes";#N/A,#N/A,TRUE,"Revenues";#N/A,#N/A,TRUE,"Var.Costs";#N/A,#N/A,TRUE,"Personnel";#N/A,#N/A,TRUE,"Other costs";#N/A,#N/A,TRUE,"MKTG and G&amp;A"}</definedName>
    <definedName name="hghj" hidden="1">#REF!</definedName>
    <definedName name="hgjghjhhg" localSheetId="0" hidden="1">{#N/A,#N/A,FALSE,"Produkte Erw.";#N/A,#N/A,FALSE,"Produkte Plan";#N/A,#N/A,FALSE,"Leistungen Erw.";#N/A,#N/A,FALSE,"Leistungen Plan";#N/A,#N/A,FALSE,"KA Allg.Kosten (2)";#N/A,#N/A,FALSE,"KA All.Kosten"}</definedName>
    <definedName name="hgjghjhhg" localSheetId="6" hidden="1">{#N/A,#N/A,FALSE,"Produkte Erw.";#N/A,#N/A,FALSE,"Produkte Plan";#N/A,#N/A,FALSE,"Leistungen Erw.";#N/A,#N/A,FALSE,"Leistungen Plan";#N/A,#N/A,FALSE,"KA Allg.Kosten (2)";#N/A,#N/A,FALSE,"KA All.Kosten"}</definedName>
    <definedName name="hgjghjhhg" hidden="1">{#N/A,#N/A,FALSE,"Produkte Erw.";#N/A,#N/A,FALSE,"Produkte Plan";#N/A,#N/A,FALSE,"Leistungen Erw.";#N/A,#N/A,FALSE,"Leistungen Plan";#N/A,#N/A,FALSE,"KA Allg.Kosten (2)";#N/A,#N/A,FALSE,"KA All.Kosten"}</definedName>
    <definedName name="hgjghjhhg_1" localSheetId="0" hidden="1">{#N/A,#N/A,FALSE,"Produkte Erw.";#N/A,#N/A,FALSE,"Produkte Plan";#N/A,#N/A,FALSE,"Leistungen Erw.";#N/A,#N/A,FALSE,"Leistungen Plan";#N/A,#N/A,FALSE,"KA Allg.Kosten (2)";#N/A,#N/A,FALSE,"KA All.Kosten"}</definedName>
    <definedName name="hgjghjhhg_1" localSheetId="6" hidden="1">{#N/A,#N/A,FALSE,"Produkte Erw.";#N/A,#N/A,FALSE,"Produkte Plan";#N/A,#N/A,FALSE,"Leistungen Erw.";#N/A,#N/A,FALSE,"Leistungen Plan";#N/A,#N/A,FALSE,"KA Allg.Kosten (2)";#N/A,#N/A,FALSE,"KA All.Kosten"}</definedName>
    <definedName name="hgjghjhhg_1" hidden="1">{#N/A,#N/A,FALSE,"Produkte Erw.";#N/A,#N/A,FALSE,"Produkte Plan";#N/A,#N/A,FALSE,"Leistungen Erw.";#N/A,#N/A,FALSE,"Leistungen Plan";#N/A,#N/A,FALSE,"KA Allg.Kosten (2)";#N/A,#N/A,FALSE,"KA All.Kosten"}</definedName>
    <definedName name="hgjghjhhg_1_1" localSheetId="0" hidden="1">{#N/A,#N/A,FALSE,"Produkte Erw.";#N/A,#N/A,FALSE,"Produkte Plan";#N/A,#N/A,FALSE,"Leistungen Erw.";#N/A,#N/A,FALSE,"Leistungen Plan";#N/A,#N/A,FALSE,"KA Allg.Kosten (2)";#N/A,#N/A,FALSE,"KA All.Kosten"}</definedName>
    <definedName name="hgjghjhhg_1_1" localSheetId="6" hidden="1">{#N/A,#N/A,FALSE,"Produkte Erw.";#N/A,#N/A,FALSE,"Produkte Plan";#N/A,#N/A,FALSE,"Leistungen Erw.";#N/A,#N/A,FALSE,"Leistungen Plan";#N/A,#N/A,FALSE,"KA Allg.Kosten (2)";#N/A,#N/A,FALSE,"KA All.Kosten"}</definedName>
    <definedName name="hgjghjhhg_1_1" hidden="1">{#N/A,#N/A,FALSE,"Produkte Erw.";#N/A,#N/A,FALSE,"Produkte Plan";#N/A,#N/A,FALSE,"Leistungen Erw.";#N/A,#N/A,FALSE,"Leistungen Plan";#N/A,#N/A,FALSE,"KA Allg.Kosten (2)";#N/A,#N/A,FALSE,"KA All.Kosten"}</definedName>
    <definedName name="hgjghjhhg_2" localSheetId="0" hidden="1">{#N/A,#N/A,FALSE,"Produkte Erw.";#N/A,#N/A,FALSE,"Produkte Plan";#N/A,#N/A,FALSE,"Leistungen Erw.";#N/A,#N/A,FALSE,"Leistungen Plan";#N/A,#N/A,FALSE,"KA Allg.Kosten (2)";#N/A,#N/A,FALSE,"KA All.Kosten"}</definedName>
    <definedName name="hgjghjhhg_2" localSheetId="6" hidden="1">{#N/A,#N/A,FALSE,"Produkte Erw.";#N/A,#N/A,FALSE,"Produkte Plan";#N/A,#N/A,FALSE,"Leistungen Erw.";#N/A,#N/A,FALSE,"Leistungen Plan";#N/A,#N/A,FALSE,"KA Allg.Kosten (2)";#N/A,#N/A,FALSE,"KA All.Kosten"}</definedName>
    <definedName name="hgjghjhhg_2" hidden="1">{#N/A,#N/A,FALSE,"Produkte Erw.";#N/A,#N/A,FALSE,"Produkte Plan";#N/A,#N/A,FALSE,"Leistungen Erw.";#N/A,#N/A,FALSE,"Leistungen Plan";#N/A,#N/A,FALSE,"KA Allg.Kosten (2)";#N/A,#N/A,FALSE,"KA All.Kosten"}</definedName>
    <definedName name="hgjghjhhg_3" localSheetId="0" hidden="1">{#N/A,#N/A,FALSE,"Produkte Erw.";#N/A,#N/A,FALSE,"Produkte Plan";#N/A,#N/A,FALSE,"Leistungen Erw.";#N/A,#N/A,FALSE,"Leistungen Plan";#N/A,#N/A,FALSE,"KA Allg.Kosten (2)";#N/A,#N/A,FALSE,"KA All.Kosten"}</definedName>
    <definedName name="hgjghjhhg_3" localSheetId="6" hidden="1">{#N/A,#N/A,FALSE,"Produkte Erw.";#N/A,#N/A,FALSE,"Produkte Plan";#N/A,#N/A,FALSE,"Leistungen Erw.";#N/A,#N/A,FALSE,"Leistungen Plan";#N/A,#N/A,FALSE,"KA Allg.Kosten (2)";#N/A,#N/A,FALSE,"KA All.Kosten"}</definedName>
    <definedName name="hgjghjhhg_3" hidden="1">{#N/A,#N/A,FALSE,"Produkte Erw.";#N/A,#N/A,FALSE,"Produkte Plan";#N/A,#N/A,FALSE,"Leistungen Erw.";#N/A,#N/A,FALSE,"Leistungen Plan";#N/A,#N/A,FALSE,"KA Allg.Kosten (2)";#N/A,#N/A,FALSE,"KA All.Kosten"}</definedName>
    <definedName name="hgjghjhhg_4" localSheetId="0" hidden="1">{#N/A,#N/A,FALSE,"Produkte Erw.";#N/A,#N/A,FALSE,"Produkte Plan";#N/A,#N/A,FALSE,"Leistungen Erw.";#N/A,#N/A,FALSE,"Leistungen Plan";#N/A,#N/A,FALSE,"KA Allg.Kosten (2)";#N/A,#N/A,FALSE,"KA All.Kosten"}</definedName>
    <definedName name="hgjghjhhg_4" localSheetId="6" hidden="1">{#N/A,#N/A,FALSE,"Produkte Erw.";#N/A,#N/A,FALSE,"Produkte Plan";#N/A,#N/A,FALSE,"Leistungen Erw.";#N/A,#N/A,FALSE,"Leistungen Plan";#N/A,#N/A,FALSE,"KA Allg.Kosten (2)";#N/A,#N/A,FALSE,"KA All.Kosten"}</definedName>
    <definedName name="hgjghjhhg_4" hidden="1">{#N/A,#N/A,FALSE,"Produkte Erw.";#N/A,#N/A,FALSE,"Produkte Plan";#N/A,#N/A,FALSE,"Leistungen Erw.";#N/A,#N/A,FALSE,"Leistungen Plan";#N/A,#N/A,FALSE,"KA Allg.Kosten (2)";#N/A,#N/A,FALSE,"KA All.Kosten"}</definedName>
    <definedName name="hgjghjhhg_5" localSheetId="0" hidden="1">{#N/A,#N/A,FALSE,"Produkte Erw.";#N/A,#N/A,FALSE,"Produkte Plan";#N/A,#N/A,FALSE,"Leistungen Erw.";#N/A,#N/A,FALSE,"Leistungen Plan";#N/A,#N/A,FALSE,"KA Allg.Kosten (2)";#N/A,#N/A,FALSE,"KA All.Kosten"}</definedName>
    <definedName name="hgjghjhhg_5" localSheetId="6" hidden="1">{#N/A,#N/A,FALSE,"Produkte Erw.";#N/A,#N/A,FALSE,"Produkte Plan";#N/A,#N/A,FALSE,"Leistungen Erw.";#N/A,#N/A,FALSE,"Leistungen Plan";#N/A,#N/A,FALSE,"KA Allg.Kosten (2)";#N/A,#N/A,FALSE,"KA All.Kosten"}</definedName>
    <definedName name="hgjghjhhg_5" hidden="1">{#N/A,#N/A,FALSE,"Produkte Erw.";#N/A,#N/A,FALSE,"Produkte Plan";#N/A,#N/A,FALSE,"Leistungen Erw.";#N/A,#N/A,FALSE,"Leistungen Plan";#N/A,#N/A,FALSE,"KA Allg.Kosten (2)";#N/A,#N/A,FALSE,"KA All.Kosten"}</definedName>
    <definedName name="hgkhkg" localSheetId="6" hidden="1">{#N/A,#N/A,TRUE,"Cover";#N/A,#N/A,TRUE,"Conts";#N/A,#N/A,TRUE,"VOS";#N/A,#N/A,TRUE,"Warrington";#N/A,#N/A,TRUE,"Widnes"}</definedName>
    <definedName name="hgkhkg" hidden="1">{#N/A,#N/A,TRUE,"Cover";#N/A,#N/A,TRUE,"Conts";#N/A,#N/A,TRUE,"VOS";#N/A,#N/A,TRUE,"Warrington";#N/A,#N/A,TRUE,"Widnes"}</definedName>
    <definedName name="hgkhkg_1" localSheetId="6" hidden="1">{#N/A,#N/A,TRUE,"Cover";#N/A,#N/A,TRUE,"Conts";#N/A,#N/A,TRUE,"VOS";#N/A,#N/A,TRUE,"Warrington";#N/A,#N/A,TRUE,"Widnes"}</definedName>
    <definedName name="hgkhkg_1" hidden="1">{#N/A,#N/A,TRUE,"Cover";#N/A,#N/A,TRUE,"Conts";#N/A,#N/A,TRUE,"VOS";#N/A,#N/A,TRUE,"Warrington";#N/A,#N/A,TRUE,"Widnes"}</definedName>
    <definedName name="hgnjgh" localSheetId="6" hidden="1">{#N/A,#N/A,FALSE,"Results_1997"}</definedName>
    <definedName name="hgnjgh" hidden="1">{#N/A,#N/A,FALSE,"Results_1997"}</definedName>
    <definedName name="hgrth" localSheetId="0" hidden="1">{"orixcsc",#N/A,FALSE,"ORIX CSC";"orixcsc2",#N/A,FALSE,"ORIX CSC"}</definedName>
    <definedName name="hgrth" localSheetId="6" hidden="1">{"orixcsc",#N/A,FALSE,"ORIX CSC";"orixcsc2",#N/A,FALSE,"ORIX CSC"}</definedName>
    <definedName name="hgrth" hidden="1">{"orixcsc",#N/A,FALSE,"ORIX CSC";"orixcsc2",#N/A,FALSE,"ORIX CSC"}</definedName>
    <definedName name="hgt" hidden="1">#REF!</definedName>
    <definedName name="HGTR" localSheetId="0" hidden="1">{"up stand alones",#N/A,FALSE,"Acquiror"}</definedName>
    <definedName name="HGTR" localSheetId="6" hidden="1">{"up stand alones",#N/A,FALSE,"Acquiror"}</definedName>
    <definedName name="HGTR" hidden="1">{"up stand alones",#N/A,FALSE,"Acquiror"}</definedName>
    <definedName name="hgtyyi"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gtyyi"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gtyyi"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h">#REF!</definedName>
    <definedName name="hh.k" localSheetId="0" hidden="1">{#N/A,#N/A,FALSE,"KA CH  (2)"}</definedName>
    <definedName name="hh.k" localSheetId="6" hidden="1">{#N/A,#N/A,FALSE,"KA CH  (2)"}</definedName>
    <definedName name="hh.k" hidden="1">{#N/A,#N/A,FALSE,"KA CH  (2)"}</definedName>
    <definedName name="hh.k_1" localSheetId="0" hidden="1">{#N/A,#N/A,FALSE,"KA CH  (2)"}</definedName>
    <definedName name="hh.k_1" localSheetId="6" hidden="1">{#N/A,#N/A,FALSE,"KA CH  (2)"}</definedName>
    <definedName name="hh.k_1" hidden="1">{#N/A,#N/A,FALSE,"KA CH  (2)"}</definedName>
    <definedName name="hh.k_1_1" localSheetId="0" hidden="1">{#N/A,#N/A,FALSE,"KA CH  (2)"}</definedName>
    <definedName name="hh.k_1_1" localSheetId="6" hidden="1">{#N/A,#N/A,FALSE,"KA CH  (2)"}</definedName>
    <definedName name="hh.k_1_1" hidden="1">{#N/A,#N/A,FALSE,"KA CH  (2)"}</definedName>
    <definedName name="hh.k_2" localSheetId="0" hidden="1">{#N/A,#N/A,FALSE,"KA CH  (2)"}</definedName>
    <definedName name="hh.k_2" localSheetId="6" hidden="1">{#N/A,#N/A,FALSE,"KA CH  (2)"}</definedName>
    <definedName name="hh.k_2" hidden="1">{#N/A,#N/A,FALSE,"KA CH  (2)"}</definedName>
    <definedName name="hh.k_3" localSheetId="0" hidden="1">{#N/A,#N/A,FALSE,"KA CH  (2)"}</definedName>
    <definedName name="hh.k_3" localSheetId="6" hidden="1">{#N/A,#N/A,FALSE,"KA CH  (2)"}</definedName>
    <definedName name="hh.k_3" hidden="1">{#N/A,#N/A,FALSE,"KA CH  (2)"}</definedName>
    <definedName name="hh.k_4" localSheetId="0" hidden="1">{#N/A,#N/A,FALSE,"KA CH  (2)"}</definedName>
    <definedName name="hh.k_4" localSheetId="6" hidden="1">{#N/A,#N/A,FALSE,"KA CH  (2)"}</definedName>
    <definedName name="hh.k_4" hidden="1">{#N/A,#N/A,FALSE,"KA CH  (2)"}</definedName>
    <definedName name="hh.k_5" localSheetId="0" hidden="1">{#N/A,#N/A,FALSE,"KA CH  (2)"}</definedName>
    <definedName name="hh.k_5" localSheetId="6" hidden="1">{#N/A,#N/A,FALSE,"KA CH  (2)"}</definedName>
    <definedName name="hh.k_5" hidden="1">{#N/A,#N/A,FALSE,"KA CH  (2)"}</definedName>
    <definedName name="hh_1" localSheetId="6" hidden="1">{#N/A,#N/A,TRUE,"Cover";#N/A,#N/A,TRUE,"Conts";#N/A,#N/A,TRUE,"VOS";#N/A,#N/A,TRUE,"Warrington";#N/A,#N/A,TRUE,"Widnes"}</definedName>
    <definedName name="hh_1" hidden="1">{#N/A,#N/A,TRUE,"Cover";#N/A,#N/A,TRUE,"Conts";#N/A,#N/A,TRUE,"VOS";#N/A,#N/A,TRUE,"Warrington";#N/A,#N/A,TRUE,"Widnes"}</definedName>
    <definedName name="hhh" localSheetId="0" hidden="1">{#N/A,#N/A,FALSE,"PROFIT 11-95"}</definedName>
    <definedName name="hhh" localSheetId="6" hidden="1">{#N/A,#N/A,FALSE,"PROFIT 11-95"}</definedName>
    <definedName name="hhh" hidden="1">{#N/A,#N/A,FALSE,"PROFIT 11-95"}</definedName>
    <definedName name="HHHH">#REF!</definedName>
    <definedName name="hhhsdf" localSheetId="0" hidden="1">{"up stand alones",#N/A,FALSE,"Acquiror"}</definedName>
    <definedName name="hhhsdf" localSheetId="6" hidden="1">{"up stand alones",#N/A,FALSE,"Acquiror"}</definedName>
    <definedName name="hhhsdf" hidden="1">{"up stand alones",#N/A,FALSE,"Acquiror"}</definedName>
    <definedName name="hhhsdf1" localSheetId="0" hidden="1">{"up stand alones",#N/A,FALSE,"Acquiror"}</definedName>
    <definedName name="hhhsdf1" localSheetId="6" hidden="1">{"up stand alones",#N/A,FALSE,"Acquiror"}</definedName>
    <definedName name="hhhsdf1" hidden="1">{"up stand alones",#N/A,FALSE,"Acquiror"}</definedName>
    <definedName name="hhj" hidden="1">#REF!</definedName>
    <definedName name="hhj.ls" localSheetId="0" hidden="1">{#N/A,#N/A,FALSE,"Produkte Erw.";#N/A,#N/A,FALSE,"Produkte Plan";#N/A,#N/A,FALSE,"Leistungen Erw.";#N/A,#N/A,FALSE,"Leistungen Plan";#N/A,#N/A,FALSE,"KA Allg.Kosten (2)";#N/A,#N/A,FALSE,"KA All.Kosten"}</definedName>
    <definedName name="hhj.ls" localSheetId="6" hidden="1">{#N/A,#N/A,FALSE,"Produkte Erw.";#N/A,#N/A,FALSE,"Produkte Plan";#N/A,#N/A,FALSE,"Leistungen Erw.";#N/A,#N/A,FALSE,"Leistungen Plan";#N/A,#N/A,FALSE,"KA Allg.Kosten (2)";#N/A,#N/A,FALSE,"KA All.Kosten"}</definedName>
    <definedName name="hhj.ls" hidden="1">{#N/A,#N/A,FALSE,"Produkte Erw.";#N/A,#N/A,FALSE,"Produkte Plan";#N/A,#N/A,FALSE,"Leistungen Erw.";#N/A,#N/A,FALSE,"Leistungen Plan";#N/A,#N/A,FALSE,"KA Allg.Kosten (2)";#N/A,#N/A,FALSE,"KA All.Kosten"}</definedName>
    <definedName name="hhj.ls_1" localSheetId="0" hidden="1">{#N/A,#N/A,FALSE,"Produkte Erw.";#N/A,#N/A,FALSE,"Produkte Plan";#N/A,#N/A,FALSE,"Leistungen Erw.";#N/A,#N/A,FALSE,"Leistungen Plan";#N/A,#N/A,FALSE,"KA Allg.Kosten (2)";#N/A,#N/A,FALSE,"KA All.Kosten"}</definedName>
    <definedName name="hhj.ls_1" localSheetId="6" hidden="1">{#N/A,#N/A,FALSE,"Produkte Erw.";#N/A,#N/A,FALSE,"Produkte Plan";#N/A,#N/A,FALSE,"Leistungen Erw.";#N/A,#N/A,FALSE,"Leistungen Plan";#N/A,#N/A,FALSE,"KA Allg.Kosten (2)";#N/A,#N/A,FALSE,"KA All.Kosten"}</definedName>
    <definedName name="hhj.ls_1" hidden="1">{#N/A,#N/A,FALSE,"Produkte Erw.";#N/A,#N/A,FALSE,"Produkte Plan";#N/A,#N/A,FALSE,"Leistungen Erw.";#N/A,#N/A,FALSE,"Leistungen Plan";#N/A,#N/A,FALSE,"KA Allg.Kosten (2)";#N/A,#N/A,FALSE,"KA All.Kosten"}</definedName>
    <definedName name="hhj.ls_1_1" localSheetId="0" hidden="1">{#N/A,#N/A,FALSE,"Produkte Erw.";#N/A,#N/A,FALSE,"Produkte Plan";#N/A,#N/A,FALSE,"Leistungen Erw.";#N/A,#N/A,FALSE,"Leistungen Plan";#N/A,#N/A,FALSE,"KA Allg.Kosten (2)";#N/A,#N/A,FALSE,"KA All.Kosten"}</definedName>
    <definedName name="hhj.ls_1_1" localSheetId="6" hidden="1">{#N/A,#N/A,FALSE,"Produkte Erw.";#N/A,#N/A,FALSE,"Produkte Plan";#N/A,#N/A,FALSE,"Leistungen Erw.";#N/A,#N/A,FALSE,"Leistungen Plan";#N/A,#N/A,FALSE,"KA Allg.Kosten (2)";#N/A,#N/A,FALSE,"KA All.Kosten"}</definedName>
    <definedName name="hhj.ls_1_1" hidden="1">{#N/A,#N/A,FALSE,"Produkte Erw.";#N/A,#N/A,FALSE,"Produkte Plan";#N/A,#N/A,FALSE,"Leistungen Erw.";#N/A,#N/A,FALSE,"Leistungen Plan";#N/A,#N/A,FALSE,"KA Allg.Kosten (2)";#N/A,#N/A,FALSE,"KA All.Kosten"}</definedName>
    <definedName name="hhj.ls_2" localSheetId="0" hidden="1">{#N/A,#N/A,FALSE,"Produkte Erw.";#N/A,#N/A,FALSE,"Produkte Plan";#N/A,#N/A,FALSE,"Leistungen Erw.";#N/A,#N/A,FALSE,"Leistungen Plan";#N/A,#N/A,FALSE,"KA Allg.Kosten (2)";#N/A,#N/A,FALSE,"KA All.Kosten"}</definedName>
    <definedName name="hhj.ls_2" localSheetId="6" hidden="1">{#N/A,#N/A,FALSE,"Produkte Erw.";#N/A,#N/A,FALSE,"Produkte Plan";#N/A,#N/A,FALSE,"Leistungen Erw.";#N/A,#N/A,FALSE,"Leistungen Plan";#N/A,#N/A,FALSE,"KA Allg.Kosten (2)";#N/A,#N/A,FALSE,"KA All.Kosten"}</definedName>
    <definedName name="hhj.ls_2" hidden="1">{#N/A,#N/A,FALSE,"Produkte Erw.";#N/A,#N/A,FALSE,"Produkte Plan";#N/A,#N/A,FALSE,"Leistungen Erw.";#N/A,#N/A,FALSE,"Leistungen Plan";#N/A,#N/A,FALSE,"KA Allg.Kosten (2)";#N/A,#N/A,FALSE,"KA All.Kosten"}</definedName>
    <definedName name="hhj.ls_3" localSheetId="0" hidden="1">{#N/A,#N/A,FALSE,"Produkte Erw.";#N/A,#N/A,FALSE,"Produkte Plan";#N/A,#N/A,FALSE,"Leistungen Erw.";#N/A,#N/A,FALSE,"Leistungen Plan";#N/A,#N/A,FALSE,"KA Allg.Kosten (2)";#N/A,#N/A,FALSE,"KA All.Kosten"}</definedName>
    <definedName name="hhj.ls_3" localSheetId="6" hidden="1">{#N/A,#N/A,FALSE,"Produkte Erw.";#N/A,#N/A,FALSE,"Produkte Plan";#N/A,#N/A,FALSE,"Leistungen Erw.";#N/A,#N/A,FALSE,"Leistungen Plan";#N/A,#N/A,FALSE,"KA Allg.Kosten (2)";#N/A,#N/A,FALSE,"KA All.Kosten"}</definedName>
    <definedName name="hhj.ls_3" hidden="1">{#N/A,#N/A,FALSE,"Produkte Erw.";#N/A,#N/A,FALSE,"Produkte Plan";#N/A,#N/A,FALSE,"Leistungen Erw.";#N/A,#N/A,FALSE,"Leistungen Plan";#N/A,#N/A,FALSE,"KA Allg.Kosten (2)";#N/A,#N/A,FALSE,"KA All.Kosten"}</definedName>
    <definedName name="hhj.ls_4" localSheetId="0" hidden="1">{#N/A,#N/A,FALSE,"Produkte Erw.";#N/A,#N/A,FALSE,"Produkte Plan";#N/A,#N/A,FALSE,"Leistungen Erw.";#N/A,#N/A,FALSE,"Leistungen Plan";#N/A,#N/A,FALSE,"KA Allg.Kosten (2)";#N/A,#N/A,FALSE,"KA All.Kosten"}</definedName>
    <definedName name="hhj.ls_4" localSheetId="6" hidden="1">{#N/A,#N/A,FALSE,"Produkte Erw.";#N/A,#N/A,FALSE,"Produkte Plan";#N/A,#N/A,FALSE,"Leistungen Erw.";#N/A,#N/A,FALSE,"Leistungen Plan";#N/A,#N/A,FALSE,"KA Allg.Kosten (2)";#N/A,#N/A,FALSE,"KA All.Kosten"}</definedName>
    <definedName name="hhj.ls_4" hidden="1">{#N/A,#N/A,FALSE,"Produkte Erw.";#N/A,#N/A,FALSE,"Produkte Plan";#N/A,#N/A,FALSE,"Leistungen Erw.";#N/A,#N/A,FALSE,"Leistungen Plan";#N/A,#N/A,FALSE,"KA Allg.Kosten (2)";#N/A,#N/A,FALSE,"KA All.Kosten"}</definedName>
    <definedName name="hhj.ls_5" localSheetId="0" hidden="1">{#N/A,#N/A,FALSE,"Produkte Erw.";#N/A,#N/A,FALSE,"Produkte Plan";#N/A,#N/A,FALSE,"Leistungen Erw.";#N/A,#N/A,FALSE,"Leistungen Plan";#N/A,#N/A,FALSE,"KA Allg.Kosten (2)";#N/A,#N/A,FALSE,"KA All.Kosten"}</definedName>
    <definedName name="hhj.ls_5" localSheetId="6" hidden="1">{#N/A,#N/A,FALSE,"Produkte Erw.";#N/A,#N/A,FALSE,"Produkte Plan";#N/A,#N/A,FALSE,"Leistungen Erw.";#N/A,#N/A,FALSE,"Leistungen Plan";#N/A,#N/A,FALSE,"KA Allg.Kosten (2)";#N/A,#N/A,FALSE,"KA All.Kosten"}</definedName>
    <definedName name="hhj.ls_5" hidden="1">{#N/A,#N/A,FALSE,"Produkte Erw.";#N/A,#N/A,FALSE,"Produkte Plan";#N/A,#N/A,FALSE,"Leistungen Erw.";#N/A,#N/A,FALSE,"Leistungen Plan";#N/A,#N/A,FALSE,"KA Allg.Kosten (2)";#N/A,#N/A,FALSE,"KA All.Kosten"}</definedName>
    <definedName name="hi12m">#REF!</definedName>
    <definedName name="Hibh" localSheetId="0" hidden="1">{#N/A,#N/A,FALSE,"Pharm";#N/A,#N/A,FALSE,"WWCM"}</definedName>
    <definedName name="Hibh" localSheetId="6" hidden="1">{#N/A,#N/A,FALSE,"Pharm";#N/A,#N/A,FALSE,"WWCM"}</definedName>
    <definedName name="Hibh" hidden="1">{#N/A,#N/A,FALSE,"Pharm";#N/A,#N/A,FALSE,"WWCM"}</definedName>
    <definedName name="Hibh_1" localSheetId="0" hidden="1">{#N/A,#N/A,FALSE,"Pharm";#N/A,#N/A,FALSE,"WWCM"}</definedName>
    <definedName name="Hibh_1" localSheetId="6" hidden="1">{#N/A,#N/A,FALSE,"Pharm";#N/A,#N/A,FALSE,"WWCM"}</definedName>
    <definedName name="Hibh_1" hidden="1">{#N/A,#N/A,FALSE,"Pharm";#N/A,#N/A,FALSE,"WWCM"}</definedName>
    <definedName name="Hibh_1_1" localSheetId="0" hidden="1">{#N/A,#N/A,FALSE,"Pharm";#N/A,#N/A,FALSE,"WWCM"}</definedName>
    <definedName name="Hibh_1_1" localSheetId="6" hidden="1">{#N/A,#N/A,FALSE,"Pharm";#N/A,#N/A,FALSE,"WWCM"}</definedName>
    <definedName name="Hibh_1_1" hidden="1">{#N/A,#N/A,FALSE,"Pharm";#N/A,#N/A,FALSE,"WWCM"}</definedName>
    <definedName name="Hibh_2" localSheetId="0" hidden="1">{#N/A,#N/A,FALSE,"Pharm";#N/A,#N/A,FALSE,"WWCM"}</definedName>
    <definedName name="Hibh_2" localSheetId="6" hidden="1">{#N/A,#N/A,FALSE,"Pharm";#N/A,#N/A,FALSE,"WWCM"}</definedName>
    <definedName name="Hibh_2" hidden="1">{#N/A,#N/A,FALSE,"Pharm";#N/A,#N/A,FALSE,"WWCM"}</definedName>
    <definedName name="Hibh_3" localSheetId="0" hidden="1">{#N/A,#N/A,FALSE,"Pharm";#N/A,#N/A,FALSE,"WWCM"}</definedName>
    <definedName name="Hibh_3" localSheetId="6" hidden="1">{#N/A,#N/A,FALSE,"Pharm";#N/A,#N/A,FALSE,"WWCM"}</definedName>
    <definedName name="Hibh_3" hidden="1">{#N/A,#N/A,FALSE,"Pharm";#N/A,#N/A,FALSE,"WWCM"}</definedName>
    <definedName name="Hibh_4" localSheetId="0" hidden="1">{#N/A,#N/A,FALSE,"Pharm";#N/A,#N/A,FALSE,"WWCM"}</definedName>
    <definedName name="Hibh_4" localSheetId="6" hidden="1">{#N/A,#N/A,FALSE,"Pharm";#N/A,#N/A,FALSE,"WWCM"}</definedName>
    <definedName name="Hibh_4" hidden="1">{#N/A,#N/A,FALSE,"Pharm";#N/A,#N/A,FALSE,"WWCM"}</definedName>
    <definedName name="Hibh_5" localSheetId="0" hidden="1">{#N/A,#N/A,FALSE,"Pharm";#N/A,#N/A,FALSE,"WWCM"}</definedName>
    <definedName name="Hibh_5" localSheetId="6" hidden="1">{#N/A,#N/A,FALSE,"Pharm";#N/A,#N/A,FALSE,"WWCM"}</definedName>
    <definedName name="Hibh_5" hidden="1">{#N/A,#N/A,FALSE,"Pharm";#N/A,#N/A,FALSE,"WWCM"}</definedName>
    <definedName name="HiddenRows" hidden="1">#REF!</definedName>
    <definedName name="High" localSheetId="0" hidden="1">{#N/A,#N/A,FALSE,"Pharm";#N/A,#N/A,FALSE,"WWCM"}</definedName>
    <definedName name="High" localSheetId="6" hidden="1">{#N/A,#N/A,FALSE,"Pharm";#N/A,#N/A,FALSE,"WWCM"}</definedName>
    <definedName name="High" hidden="1">{#N/A,#N/A,FALSE,"Pharm";#N/A,#N/A,FALSE,"WWCM"}</definedName>
    <definedName name="High_1" localSheetId="0" hidden="1">{#N/A,#N/A,FALSE,"Pharm";#N/A,#N/A,FALSE,"WWCM"}</definedName>
    <definedName name="High_1" localSheetId="6" hidden="1">{#N/A,#N/A,FALSE,"Pharm";#N/A,#N/A,FALSE,"WWCM"}</definedName>
    <definedName name="High_1" hidden="1">{#N/A,#N/A,FALSE,"Pharm";#N/A,#N/A,FALSE,"WWCM"}</definedName>
    <definedName name="High_1_1" localSheetId="0" hidden="1">{#N/A,#N/A,FALSE,"Pharm";#N/A,#N/A,FALSE,"WWCM"}</definedName>
    <definedName name="High_1_1" localSheetId="6" hidden="1">{#N/A,#N/A,FALSE,"Pharm";#N/A,#N/A,FALSE,"WWCM"}</definedName>
    <definedName name="High_1_1" hidden="1">{#N/A,#N/A,FALSE,"Pharm";#N/A,#N/A,FALSE,"WWCM"}</definedName>
    <definedName name="High_2" localSheetId="0" hidden="1">{#N/A,#N/A,FALSE,"Pharm";#N/A,#N/A,FALSE,"WWCM"}</definedName>
    <definedName name="High_2" localSheetId="6" hidden="1">{#N/A,#N/A,FALSE,"Pharm";#N/A,#N/A,FALSE,"WWCM"}</definedName>
    <definedName name="High_2" hidden="1">{#N/A,#N/A,FALSE,"Pharm";#N/A,#N/A,FALSE,"WWCM"}</definedName>
    <definedName name="High_3" localSheetId="0" hidden="1">{#N/A,#N/A,FALSE,"Pharm";#N/A,#N/A,FALSE,"WWCM"}</definedName>
    <definedName name="High_3" localSheetId="6" hidden="1">{#N/A,#N/A,FALSE,"Pharm";#N/A,#N/A,FALSE,"WWCM"}</definedName>
    <definedName name="High_3" hidden="1">{#N/A,#N/A,FALSE,"Pharm";#N/A,#N/A,FALSE,"WWCM"}</definedName>
    <definedName name="High_4" localSheetId="0" hidden="1">{#N/A,#N/A,FALSE,"Pharm";#N/A,#N/A,FALSE,"WWCM"}</definedName>
    <definedName name="High_4" localSheetId="6" hidden="1">{#N/A,#N/A,FALSE,"Pharm";#N/A,#N/A,FALSE,"WWCM"}</definedName>
    <definedName name="High_4" hidden="1">{#N/A,#N/A,FALSE,"Pharm";#N/A,#N/A,FALSE,"WWCM"}</definedName>
    <definedName name="High_5" localSheetId="0" hidden="1">{#N/A,#N/A,FALSE,"Pharm";#N/A,#N/A,FALSE,"WWCM"}</definedName>
    <definedName name="High_5" localSheetId="6" hidden="1">{#N/A,#N/A,FALSE,"Pharm";#N/A,#N/A,FALSE,"WWCM"}</definedName>
    <definedName name="High_5" hidden="1">{#N/A,#N/A,FALSE,"Pharm";#N/A,#N/A,FALSE,"WWCM"}</definedName>
    <definedName name="HIGHPRICE" hidden="1">"HIGHPRICE"</definedName>
    <definedName name="HIS">#REF!</definedName>
    <definedName name="historical">#REF!</definedName>
    <definedName name="HisYear_0" hidden="1">#REF!</definedName>
    <definedName name="HisYear_1" hidden="1">#REF!</definedName>
    <definedName name="HisYear_2" hidden="1">#REF!</definedName>
    <definedName name="HisYear_3" hidden="1">#REF!</definedName>
    <definedName name="hiulj" localSheetId="0" hidden="1">{"EVA",#N/A,FALSE,"EVA";"WACC",#N/A,FALSE,"WACC"}</definedName>
    <definedName name="hiulj" localSheetId="6" hidden="1">{"EVA",#N/A,FALSE,"EVA";"WACC",#N/A,FALSE,"WACC"}</definedName>
    <definedName name="hiulj" hidden="1">{"EVA",#N/A,FALSE,"EVA";"WACC",#N/A,FALSE,"WACC"}</definedName>
    <definedName name="hj" localSheetId="0" hidden="1">{#N/A,#N/A,FALSE,"PMW Gruppe 99_98";#N/A,#N/A,FALSE,"PMW KG 98_99";#N/A,#N/A,FALSE,"PMW Inc. 99_98";#N/A,#N/A,FALSE,"PMW VTECH 99_98";#N/A,#N/A,FALSE,"PMW Thail. 99_98";#N/A,#N/A,FALSE,"PMW Canada 99_98";#N/A,#N/A,FALSE,"Währungsabw. 99_98"}</definedName>
    <definedName name="hj" localSheetId="6" hidden="1">{#N/A,#N/A,FALSE,"PMW Gruppe 99_98";#N/A,#N/A,FALSE,"PMW KG 98_99";#N/A,#N/A,FALSE,"PMW Inc. 99_98";#N/A,#N/A,FALSE,"PMW VTECH 99_98";#N/A,#N/A,FALSE,"PMW Thail. 99_98";#N/A,#N/A,FALSE,"PMW Canada 99_98";#N/A,#N/A,FALSE,"Währungsabw. 99_98"}</definedName>
    <definedName name="hj" hidden="1">{#N/A,#N/A,FALSE,"PMW Gruppe 99_98";#N/A,#N/A,FALSE,"PMW KG 98_99";#N/A,#N/A,FALSE,"PMW Inc. 99_98";#N/A,#N/A,FALSE,"PMW VTECH 99_98";#N/A,#N/A,FALSE,"PMW Thail. 99_98";#N/A,#N/A,FALSE,"PMW Canada 99_98";#N/A,#N/A,FALSE,"Währungsabw. 99_98"}</definedName>
    <definedName name="hj.k" localSheetId="0" hidden="1">{#N/A,#N/A,FALSE,"Produkte Erw.";#N/A,#N/A,FALSE,"Produkte Plan";#N/A,#N/A,FALSE,"Leistungen Erw.";#N/A,#N/A,FALSE,"Leistungen Plan";#N/A,#N/A,FALSE,"KA Allg.Kosten (2)";#N/A,#N/A,FALSE,"KA All.Kosten"}</definedName>
    <definedName name="hj.k" localSheetId="6" hidden="1">{#N/A,#N/A,FALSE,"Produkte Erw.";#N/A,#N/A,FALSE,"Produkte Plan";#N/A,#N/A,FALSE,"Leistungen Erw.";#N/A,#N/A,FALSE,"Leistungen Plan";#N/A,#N/A,FALSE,"KA Allg.Kosten (2)";#N/A,#N/A,FALSE,"KA All.Kosten"}</definedName>
    <definedName name="hj.k" hidden="1">{#N/A,#N/A,FALSE,"Produkte Erw.";#N/A,#N/A,FALSE,"Produkte Plan";#N/A,#N/A,FALSE,"Leistungen Erw.";#N/A,#N/A,FALSE,"Leistungen Plan";#N/A,#N/A,FALSE,"KA Allg.Kosten (2)";#N/A,#N/A,FALSE,"KA All.Kosten"}</definedName>
    <definedName name="hj.k_1" localSheetId="0" hidden="1">{#N/A,#N/A,FALSE,"Produkte Erw.";#N/A,#N/A,FALSE,"Produkte Plan";#N/A,#N/A,FALSE,"Leistungen Erw.";#N/A,#N/A,FALSE,"Leistungen Plan";#N/A,#N/A,FALSE,"KA Allg.Kosten (2)";#N/A,#N/A,FALSE,"KA All.Kosten"}</definedName>
    <definedName name="hj.k_1" localSheetId="6" hidden="1">{#N/A,#N/A,FALSE,"Produkte Erw.";#N/A,#N/A,FALSE,"Produkte Plan";#N/A,#N/A,FALSE,"Leistungen Erw.";#N/A,#N/A,FALSE,"Leistungen Plan";#N/A,#N/A,FALSE,"KA Allg.Kosten (2)";#N/A,#N/A,FALSE,"KA All.Kosten"}</definedName>
    <definedName name="hj.k_1" hidden="1">{#N/A,#N/A,FALSE,"Produkte Erw.";#N/A,#N/A,FALSE,"Produkte Plan";#N/A,#N/A,FALSE,"Leistungen Erw.";#N/A,#N/A,FALSE,"Leistungen Plan";#N/A,#N/A,FALSE,"KA Allg.Kosten (2)";#N/A,#N/A,FALSE,"KA All.Kosten"}</definedName>
    <definedName name="hj.k_1_1" localSheetId="0" hidden="1">{#N/A,#N/A,FALSE,"Produkte Erw.";#N/A,#N/A,FALSE,"Produkte Plan";#N/A,#N/A,FALSE,"Leistungen Erw.";#N/A,#N/A,FALSE,"Leistungen Plan";#N/A,#N/A,FALSE,"KA Allg.Kosten (2)";#N/A,#N/A,FALSE,"KA All.Kosten"}</definedName>
    <definedName name="hj.k_1_1" localSheetId="6" hidden="1">{#N/A,#N/A,FALSE,"Produkte Erw.";#N/A,#N/A,FALSE,"Produkte Plan";#N/A,#N/A,FALSE,"Leistungen Erw.";#N/A,#N/A,FALSE,"Leistungen Plan";#N/A,#N/A,FALSE,"KA Allg.Kosten (2)";#N/A,#N/A,FALSE,"KA All.Kosten"}</definedName>
    <definedName name="hj.k_1_1" hidden="1">{#N/A,#N/A,FALSE,"Produkte Erw.";#N/A,#N/A,FALSE,"Produkte Plan";#N/A,#N/A,FALSE,"Leistungen Erw.";#N/A,#N/A,FALSE,"Leistungen Plan";#N/A,#N/A,FALSE,"KA Allg.Kosten (2)";#N/A,#N/A,FALSE,"KA All.Kosten"}</definedName>
    <definedName name="hj.k_2" localSheetId="0" hidden="1">{#N/A,#N/A,FALSE,"Produkte Erw.";#N/A,#N/A,FALSE,"Produkte Plan";#N/A,#N/A,FALSE,"Leistungen Erw.";#N/A,#N/A,FALSE,"Leistungen Plan";#N/A,#N/A,FALSE,"KA Allg.Kosten (2)";#N/A,#N/A,FALSE,"KA All.Kosten"}</definedName>
    <definedName name="hj.k_2" localSheetId="6" hidden="1">{#N/A,#N/A,FALSE,"Produkte Erw.";#N/A,#N/A,FALSE,"Produkte Plan";#N/A,#N/A,FALSE,"Leistungen Erw.";#N/A,#N/A,FALSE,"Leistungen Plan";#N/A,#N/A,FALSE,"KA Allg.Kosten (2)";#N/A,#N/A,FALSE,"KA All.Kosten"}</definedName>
    <definedName name="hj.k_2" hidden="1">{#N/A,#N/A,FALSE,"Produkte Erw.";#N/A,#N/A,FALSE,"Produkte Plan";#N/A,#N/A,FALSE,"Leistungen Erw.";#N/A,#N/A,FALSE,"Leistungen Plan";#N/A,#N/A,FALSE,"KA Allg.Kosten (2)";#N/A,#N/A,FALSE,"KA All.Kosten"}</definedName>
    <definedName name="hj.k_3" localSheetId="0" hidden="1">{#N/A,#N/A,FALSE,"Produkte Erw.";#N/A,#N/A,FALSE,"Produkte Plan";#N/A,#N/A,FALSE,"Leistungen Erw.";#N/A,#N/A,FALSE,"Leistungen Plan";#N/A,#N/A,FALSE,"KA Allg.Kosten (2)";#N/A,#N/A,FALSE,"KA All.Kosten"}</definedName>
    <definedName name="hj.k_3" localSheetId="6" hidden="1">{#N/A,#N/A,FALSE,"Produkte Erw.";#N/A,#N/A,FALSE,"Produkte Plan";#N/A,#N/A,FALSE,"Leistungen Erw.";#N/A,#N/A,FALSE,"Leistungen Plan";#N/A,#N/A,FALSE,"KA Allg.Kosten (2)";#N/A,#N/A,FALSE,"KA All.Kosten"}</definedName>
    <definedName name="hj.k_3" hidden="1">{#N/A,#N/A,FALSE,"Produkte Erw.";#N/A,#N/A,FALSE,"Produkte Plan";#N/A,#N/A,FALSE,"Leistungen Erw.";#N/A,#N/A,FALSE,"Leistungen Plan";#N/A,#N/A,FALSE,"KA Allg.Kosten (2)";#N/A,#N/A,FALSE,"KA All.Kosten"}</definedName>
    <definedName name="hj.k_4" localSheetId="0" hidden="1">{#N/A,#N/A,FALSE,"Produkte Erw.";#N/A,#N/A,FALSE,"Produkte Plan";#N/A,#N/A,FALSE,"Leistungen Erw.";#N/A,#N/A,FALSE,"Leistungen Plan";#N/A,#N/A,FALSE,"KA Allg.Kosten (2)";#N/A,#N/A,FALSE,"KA All.Kosten"}</definedName>
    <definedName name="hj.k_4" localSheetId="6" hidden="1">{#N/A,#N/A,FALSE,"Produkte Erw.";#N/A,#N/A,FALSE,"Produkte Plan";#N/A,#N/A,FALSE,"Leistungen Erw.";#N/A,#N/A,FALSE,"Leistungen Plan";#N/A,#N/A,FALSE,"KA Allg.Kosten (2)";#N/A,#N/A,FALSE,"KA All.Kosten"}</definedName>
    <definedName name="hj.k_4" hidden="1">{#N/A,#N/A,FALSE,"Produkte Erw.";#N/A,#N/A,FALSE,"Produkte Plan";#N/A,#N/A,FALSE,"Leistungen Erw.";#N/A,#N/A,FALSE,"Leistungen Plan";#N/A,#N/A,FALSE,"KA Allg.Kosten (2)";#N/A,#N/A,FALSE,"KA All.Kosten"}</definedName>
    <definedName name="hj.k_5" localSheetId="0" hidden="1">{#N/A,#N/A,FALSE,"Produkte Erw.";#N/A,#N/A,FALSE,"Produkte Plan";#N/A,#N/A,FALSE,"Leistungen Erw.";#N/A,#N/A,FALSE,"Leistungen Plan";#N/A,#N/A,FALSE,"KA Allg.Kosten (2)";#N/A,#N/A,FALSE,"KA All.Kosten"}</definedName>
    <definedName name="hj.k_5" localSheetId="6" hidden="1">{#N/A,#N/A,FALSE,"Produkte Erw.";#N/A,#N/A,FALSE,"Produkte Plan";#N/A,#N/A,FALSE,"Leistungen Erw.";#N/A,#N/A,FALSE,"Leistungen Plan";#N/A,#N/A,FALSE,"KA Allg.Kosten (2)";#N/A,#N/A,FALSE,"KA All.Kosten"}</definedName>
    <definedName name="hj.k_5" hidden="1">{#N/A,#N/A,FALSE,"Produkte Erw.";#N/A,#N/A,FALSE,"Produkte Plan";#N/A,#N/A,FALSE,"Leistungen Erw.";#N/A,#N/A,FALSE,"Leistungen Plan";#N/A,#N/A,FALSE,"KA Allg.Kosten (2)";#N/A,#N/A,FALSE,"KA All.Kosten"}</definedName>
    <definedName name="hj_1" localSheetId="0" hidden="1">{#N/A,#N/A,FALSE,"PMW Gruppe 99_98";#N/A,#N/A,FALSE,"PMW KG 98_99";#N/A,#N/A,FALSE,"PMW Inc. 99_98";#N/A,#N/A,FALSE,"PMW VTECH 99_98";#N/A,#N/A,FALSE,"PMW Thail. 99_98";#N/A,#N/A,FALSE,"PMW Canada 99_98";#N/A,#N/A,FALSE,"Währungsabw. 99_98"}</definedName>
    <definedName name="hj_1" localSheetId="6" hidden="1">{#N/A,#N/A,FALSE,"PMW Gruppe 99_98";#N/A,#N/A,FALSE,"PMW KG 98_99";#N/A,#N/A,FALSE,"PMW Inc. 99_98";#N/A,#N/A,FALSE,"PMW VTECH 99_98";#N/A,#N/A,FALSE,"PMW Thail. 99_98";#N/A,#N/A,FALSE,"PMW Canada 99_98";#N/A,#N/A,FALSE,"Währungsabw. 99_98"}</definedName>
    <definedName name="hj_1" hidden="1">{#N/A,#N/A,FALSE,"PMW Gruppe 99_98";#N/A,#N/A,FALSE,"PMW KG 98_99";#N/A,#N/A,FALSE,"PMW Inc. 99_98";#N/A,#N/A,FALSE,"PMW VTECH 99_98";#N/A,#N/A,FALSE,"PMW Thail. 99_98";#N/A,#N/A,FALSE,"PMW Canada 99_98";#N/A,#N/A,FALSE,"Währungsabw. 99_98"}</definedName>
    <definedName name="hj_1_1" localSheetId="0" hidden="1">{#N/A,#N/A,FALSE,"PMW Gruppe 99_98";#N/A,#N/A,FALSE,"PMW KG 98_99";#N/A,#N/A,FALSE,"PMW Inc. 99_98";#N/A,#N/A,FALSE,"PMW VTECH 99_98";#N/A,#N/A,FALSE,"PMW Thail. 99_98";#N/A,#N/A,FALSE,"PMW Canada 99_98";#N/A,#N/A,FALSE,"Währungsabw. 99_98"}</definedName>
    <definedName name="hj_1_1" localSheetId="6" hidden="1">{#N/A,#N/A,FALSE,"PMW Gruppe 99_98";#N/A,#N/A,FALSE,"PMW KG 98_99";#N/A,#N/A,FALSE,"PMW Inc. 99_98";#N/A,#N/A,FALSE,"PMW VTECH 99_98";#N/A,#N/A,FALSE,"PMW Thail. 99_98";#N/A,#N/A,FALSE,"PMW Canada 99_98";#N/A,#N/A,FALSE,"Währungsabw. 99_98"}</definedName>
    <definedName name="hj_1_1" hidden="1">{#N/A,#N/A,FALSE,"PMW Gruppe 99_98";#N/A,#N/A,FALSE,"PMW KG 98_99";#N/A,#N/A,FALSE,"PMW Inc. 99_98";#N/A,#N/A,FALSE,"PMW VTECH 99_98";#N/A,#N/A,FALSE,"PMW Thail. 99_98";#N/A,#N/A,FALSE,"PMW Canada 99_98";#N/A,#N/A,FALSE,"Währungsabw. 99_98"}</definedName>
    <definedName name="hj_2" localSheetId="0" hidden="1">{#N/A,#N/A,FALSE,"PMW Gruppe 99_98";#N/A,#N/A,FALSE,"PMW KG 98_99";#N/A,#N/A,FALSE,"PMW Inc. 99_98";#N/A,#N/A,FALSE,"PMW VTECH 99_98";#N/A,#N/A,FALSE,"PMW Thail. 99_98";#N/A,#N/A,FALSE,"PMW Canada 99_98";#N/A,#N/A,FALSE,"Währungsabw. 99_98"}</definedName>
    <definedName name="hj_2" localSheetId="6" hidden="1">{#N/A,#N/A,FALSE,"PMW Gruppe 99_98";#N/A,#N/A,FALSE,"PMW KG 98_99";#N/A,#N/A,FALSE,"PMW Inc. 99_98";#N/A,#N/A,FALSE,"PMW VTECH 99_98";#N/A,#N/A,FALSE,"PMW Thail. 99_98";#N/A,#N/A,FALSE,"PMW Canada 99_98";#N/A,#N/A,FALSE,"Währungsabw. 99_98"}</definedName>
    <definedName name="hj_2" hidden="1">{#N/A,#N/A,FALSE,"PMW Gruppe 99_98";#N/A,#N/A,FALSE,"PMW KG 98_99";#N/A,#N/A,FALSE,"PMW Inc. 99_98";#N/A,#N/A,FALSE,"PMW VTECH 99_98";#N/A,#N/A,FALSE,"PMW Thail. 99_98";#N/A,#N/A,FALSE,"PMW Canada 99_98";#N/A,#N/A,FALSE,"Währungsabw. 99_98"}</definedName>
    <definedName name="hj_3" localSheetId="0" hidden="1">{#N/A,#N/A,FALSE,"PMW Gruppe 99_98";#N/A,#N/A,FALSE,"PMW KG 98_99";#N/A,#N/A,FALSE,"PMW Inc. 99_98";#N/A,#N/A,FALSE,"PMW VTECH 99_98";#N/A,#N/A,FALSE,"PMW Thail. 99_98";#N/A,#N/A,FALSE,"PMW Canada 99_98";#N/A,#N/A,FALSE,"Währungsabw. 99_98"}</definedName>
    <definedName name="hj_3" localSheetId="6" hidden="1">{#N/A,#N/A,FALSE,"PMW Gruppe 99_98";#N/A,#N/A,FALSE,"PMW KG 98_99";#N/A,#N/A,FALSE,"PMW Inc. 99_98";#N/A,#N/A,FALSE,"PMW VTECH 99_98";#N/A,#N/A,FALSE,"PMW Thail. 99_98";#N/A,#N/A,FALSE,"PMW Canada 99_98";#N/A,#N/A,FALSE,"Währungsabw. 99_98"}</definedName>
    <definedName name="hj_3" hidden="1">{#N/A,#N/A,FALSE,"PMW Gruppe 99_98";#N/A,#N/A,FALSE,"PMW KG 98_99";#N/A,#N/A,FALSE,"PMW Inc. 99_98";#N/A,#N/A,FALSE,"PMW VTECH 99_98";#N/A,#N/A,FALSE,"PMW Thail. 99_98";#N/A,#N/A,FALSE,"PMW Canada 99_98";#N/A,#N/A,FALSE,"Währungsabw. 99_98"}</definedName>
    <definedName name="hj_4" localSheetId="0" hidden="1">{#N/A,#N/A,FALSE,"PMW Gruppe 99_98";#N/A,#N/A,FALSE,"PMW KG 98_99";#N/A,#N/A,FALSE,"PMW Inc. 99_98";#N/A,#N/A,FALSE,"PMW VTECH 99_98";#N/A,#N/A,FALSE,"PMW Thail. 99_98";#N/A,#N/A,FALSE,"PMW Canada 99_98";#N/A,#N/A,FALSE,"Währungsabw. 99_98"}</definedName>
    <definedName name="hj_4" localSheetId="6" hidden="1">{#N/A,#N/A,FALSE,"PMW Gruppe 99_98";#N/A,#N/A,FALSE,"PMW KG 98_99";#N/A,#N/A,FALSE,"PMW Inc. 99_98";#N/A,#N/A,FALSE,"PMW VTECH 99_98";#N/A,#N/A,FALSE,"PMW Thail. 99_98";#N/A,#N/A,FALSE,"PMW Canada 99_98";#N/A,#N/A,FALSE,"Währungsabw. 99_98"}</definedName>
    <definedName name="hj_4" hidden="1">{#N/A,#N/A,FALSE,"PMW Gruppe 99_98";#N/A,#N/A,FALSE,"PMW KG 98_99";#N/A,#N/A,FALSE,"PMW Inc. 99_98";#N/A,#N/A,FALSE,"PMW VTECH 99_98";#N/A,#N/A,FALSE,"PMW Thail. 99_98";#N/A,#N/A,FALSE,"PMW Canada 99_98";#N/A,#N/A,FALSE,"Währungsabw. 99_98"}</definedName>
    <definedName name="hj_5" localSheetId="0" hidden="1">{#N/A,#N/A,FALSE,"PMW Gruppe 99_98";#N/A,#N/A,FALSE,"PMW KG 98_99";#N/A,#N/A,FALSE,"PMW Inc. 99_98";#N/A,#N/A,FALSE,"PMW VTECH 99_98";#N/A,#N/A,FALSE,"PMW Thail. 99_98";#N/A,#N/A,FALSE,"PMW Canada 99_98";#N/A,#N/A,FALSE,"Währungsabw. 99_98"}</definedName>
    <definedName name="hj_5" localSheetId="6" hidden="1">{#N/A,#N/A,FALSE,"PMW Gruppe 99_98";#N/A,#N/A,FALSE,"PMW KG 98_99";#N/A,#N/A,FALSE,"PMW Inc. 99_98";#N/A,#N/A,FALSE,"PMW VTECH 99_98";#N/A,#N/A,FALSE,"PMW Thail. 99_98";#N/A,#N/A,FALSE,"PMW Canada 99_98";#N/A,#N/A,FALSE,"Währungsabw. 99_98"}</definedName>
    <definedName name="hj_5" hidden="1">{#N/A,#N/A,FALSE,"PMW Gruppe 99_98";#N/A,#N/A,FALSE,"PMW KG 98_99";#N/A,#N/A,FALSE,"PMW Inc. 99_98";#N/A,#N/A,FALSE,"PMW VTECH 99_98";#N/A,#N/A,FALSE,"PMW Thail. 99_98";#N/A,#N/A,FALSE,"PMW Canada 99_98";#N/A,#N/A,FALSE,"Währungsabw. 99_98"}</definedName>
    <definedName name="hjakhfkshdfkh" hidden="1">#REF!</definedName>
    <definedName name="hjfgjghj" localSheetId="0" hidden="1">{"up stand alones",#N/A,FALSE,"Acquiror"}</definedName>
    <definedName name="hjfgjghj" localSheetId="6" hidden="1">{"up stand alones",#N/A,FALSE,"Acquiror"}</definedName>
    <definedName name="hjfgjghj" hidden="1">{"up stand alones",#N/A,FALSE,"Acquiror"}</definedName>
    <definedName name="hjghjhgj" localSheetId="0" hidden="1">{#N/A,#N/A,FALSE,"Produkte Erw.";#N/A,#N/A,FALSE,"Produkte Plan";#N/A,#N/A,FALSE,"Leistungen Erw.";#N/A,#N/A,FALSE,"Leistungen Plan";#N/A,#N/A,FALSE,"KA Allg.Kosten (2)";#N/A,#N/A,FALSE,"KA All.Kosten"}</definedName>
    <definedName name="hjghjhgj" localSheetId="6" hidden="1">{#N/A,#N/A,FALSE,"Produkte Erw.";#N/A,#N/A,FALSE,"Produkte Plan";#N/A,#N/A,FALSE,"Leistungen Erw.";#N/A,#N/A,FALSE,"Leistungen Plan";#N/A,#N/A,FALSE,"KA Allg.Kosten (2)";#N/A,#N/A,FALSE,"KA All.Kosten"}</definedName>
    <definedName name="hjghjhgj" hidden="1">{#N/A,#N/A,FALSE,"Produkte Erw.";#N/A,#N/A,FALSE,"Produkte Plan";#N/A,#N/A,FALSE,"Leistungen Erw.";#N/A,#N/A,FALSE,"Leistungen Plan";#N/A,#N/A,FALSE,"KA Allg.Kosten (2)";#N/A,#N/A,FALSE,"KA All.Kosten"}</definedName>
    <definedName name="hjghjhgj_1" localSheetId="0" hidden="1">{#N/A,#N/A,FALSE,"Produkte Erw.";#N/A,#N/A,FALSE,"Produkte Plan";#N/A,#N/A,FALSE,"Leistungen Erw.";#N/A,#N/A,FALSE,"Leistungen Plan";#N/A,#N/A,FALSE,"KA Allg.Kosten (2)";#N/A,#N/A,FALSE,"KA All.Kosten"}</definedName>
    <definedName name="hjghjhgj_1" localSheetId="6" hidden="1">{#N/A,#N/A,FALSE,"Produkte Erw.";#N/A,#N/A,FALSE,"Produkte Plan";#N/A,#N/A,FALSE,"Leistungen Erw.";#N/A,#N/A,FALSE,"Leistungen Plan";#N/A,#N/A,FALSE,"KA Allg.Kosten (2)";#N/A,#N/A,FALSE,"KA All.Kosten"}</definedName>
    <definedName name="hjghjhgj_1" hidden="1">{#N/A,#N/A,FALSE,"Produkte Erw.";#N/A,#N/A,FALSE,"Produkte Plan";#N/A,#N/A,FALSE,"Leistungen Erw.";#N/A,#N/A,FALSE,"Leistungen Plan";#N/A,#N/A,FALSE,"KA Allg.Kosten (2)";#N/A,#N/A,FALSE,"KA All.Kosten"}</definedName>
    <definedName name="hjghjhgj_1_1" localSheetId="0" hidden="1">{#N/A,#N/A,FALSE,"Produkte Erw.";#N/A,#N/A,FALSE,"Produkte Plan";#N/A,#N/A,FALSE,"Leistungen Erw.";#N/A,#N/A,FALSE,"Leistungen Plan";#N/A,#N/A,FALSE,"KA Allg.Kosten (2)";#N/A,#N/A,FALSE,"KA All.Kosten"}</definedName>
    <definedName name="hjghjhgj_1_1" localSheetId="6" hidden="1">{#N/A,#N/A,FALSE,"Produkte Erw.";#N/A,#N/A,FALSE,"Produkte Plan";#N/A,#N/A,FALSE,"Leistungen Erw.";#N/A,#N/A,FALSE,"Leistungen Plan";#N/A,#N/A,FALSE,"KA Allg.Kosten (2)";#N/A,#N/A,FALSE,"KA All.Kosten"}</definedName>
    <definedName name="hjghjhgj_1_1" hidden="1">{#N/A,#N/A,FALSE,"Produkte Erw.";#N/A,#N/A,FALSE,"Produkte Plan";#N/A,#N/A,FALSE,"Leistungen Erw.";#N/A,#N/A,FALSE,"Leistungen Plan";#N/A,#N/A,FALSE,"KA Allg.Kosten (2)";#N/A,#N/A,FALSE,"KA All.Kosten"}</definedName>
    <definedName name="hjghjhgj_2" localSheetId="0" hidden="1">{#N/A,#N/A,FALSE,"Produkte Erw.";#N/A,#N/A,FALSE,"Produkte Plan";#N/A,#N/A,FALSE,"Leistungen Erw.";#N/A,#N/A,FALSE,"Leistungen Plan";#N/A,#N/A,FALSE,"KA Allg.Kosten (2)";#N/A,#N/A,FALSE,"KA All.Kosten"}</definedName>
    <definedName name="hjghjhgj_2" localSheetId="6" hidden="1">{#N/A,#N/A,FALSE,"Produkte Erw.";#N/A,#N/A,FALSE,"Produkte Plan";#N/A,#N/A,FALSE,"Leistungen Erw.";#N/A,#N/A,FALSE,"Leistungen Plan";#N/A,#N/A,FALSE,"KA Allg.Kosten (2)";#N/A,#N/A,FALSE,"KA All.Kosten"}</definedName>
    <definedName name="hjghjhgj_2" hidden="1">{#N/A,#N/A,FALSE,"Produkte Erw.";#N/A,#N/A,FALSE,"Produkte Plan";#N/A,#N/A,FALSE,"Leistungen Erw.";#N/A,#N/A,FALSE,"Leistungen Plan";#N/A,#N/A,FALSE,"KA Allg.Kosten (2)";#N/A,#N/A,FALSE,"KA All.Kosten"}</definedName>
    <definedName name="hjghjhgj_3" localSheetId="0" hidden="1">{#N/A,#N/A,FALSE,"Produkte Erw.";#N/A,#N/A,FALSE,"Produkte Plan";#N/A,#N/A,FALSE,"Leistungen Erw.";#N/A,#N/A,FALSE,"Leistungen Plan";#N/A,#N/A,FALSE,"KA Allg.Kosten (2)";#N/A,#N/A,FALSE,"KA All.Kosten"}</definedName>
    <definedName name="hjghjhgj_3" localSheetId="6" hidden="1">{#N/A,#N/A,FALSE,"Produkte Erw.";#N/A,#N/A,FALSE,"Produkte Plan";#N/A,#N/A,FALSE,"Leistungen Erw.";#N/A,#N/A,FALSE,"Leistungen Plan";#N/A,#N/A,FALSE,"KA Allg.Kosten (2)";#N/A,#N/A,FALSE,"KA All.Kosten"}</definedName>
    <definedName name="hjghjhgj_3" hidden="1">{#N/A,#N/A,FALSE,"Produkte Erw.";#N/A,#N/A,FALSE,"Produkte Plan";#N/A,#N/A,FALSE,"Leistungen Erw.";#N/A,#N/A,FALSE,"Leistungen Plan";#N/A,#N/A,FALSE,"KA Allg.Kosten (2)";#N/A,#N/A,FALSE,"KA All.Kosten"}</definedName>
    <definedName name="hjghjhgj_4" localSheetId="0" hidden="1">{#N/A,#N/A,FALSE,"Produkte Erw.";#N/A,#N/A,FALSE,"Produkte Plan";#N/A,#N/A,FALSE,"Leistungen Erw.";#N/A,#N/A,FALSE,"Leistungen Plan";#N/A,#N/A,FALSE,"KA Allg.Kosten (2)";#N/A,#N/A,FALSE,"KA All.Kosten"}</definedName>
    <definedName name="hjghjhgj_4" localSheetId="6" hidden="1">{#N/A,#N/A,FALSE,"Produkte Erw.";#N/A,#N/A,FALSE,"Produkte Plan";#N/A,#N/A,FALSE,"Leistungen Erw.";#N/A,#N/A,FALSE,"Leistungen Plan";#N/A,#N/A,FALSE,"KA Allg.Kosten (2)";#N/A,#N/A,FALSE,"KA All.Kosten"}</definedName>
    <definedName name="hjghjhgj_4" hidden="1">{#N/A,#N/A,FALSE,"Produkte Erw.";#N/A,#N/A,FALSE,"Produkte Plan";#N/A,#N/A,FALSE,"Leistungen Erw.";#N/A,#N/A,FALSE,"Leistungen Plan";#N/A,#N/A,FALSE,"KA Allg.Kosten (2)";#N/A,#N/A,FALSE,"KA All.Kosten"}</definedName>
    <definedName name="hjghjhgj_5" localSheetId="0" hidden="1">{#N/A,#N/A,FALSE,"Produkte Erw.";#N/A,#N/A,FALSE,"Produkte Plan";#N/A,#N/A,FALSE,"Leistungen Erw.";#N/A,#N/A,FALSE,"Leistungen Plan";#N/A,#N/A,FALSE,"KA Allg.Kosten (2)";#N/A,#N/A,FALSE,"KA All.Kosten"}</definedName>
    <definedName name="hjghjhgj_5" localSheetId="6" hidden="1">{#N/A,#N/A,FALSE,"Produkte Erw.";#N/A,#N/A,FALSE,"Produkte Plan";#N/A,#N/A,FALSE,"Leistungen Erw.";#N/A,#N/A,FALSE,"Leistungen Plan";#N/A,#N/A,FALSE,"KA Allg.Kosten (2)";#N/A,#N/A,FALSE,"KA All.Kosten"}</definedName>
    <definedName name="hjghjhgj_5" hidden="1">{#N/A,#N/A,FALSE,"Produkte Erw.";#N/A,#N/A,FALSE,"Produkte Plan";#N/A,#N/A,FALSE,"Leistungen Erw.";#N/A,#N/A,FALSE,"Leistungen Plan";#N/A,#N/A,FALSE,"KA Allg.Kosten (2)";#N/A,#N/A,FALSE,"KA All.Kosten"}</definedName>
    <definedName name="hjh" localSheetId="0" hidden="1">{#N/A,#N/A,FALSE,"Produkte Erw.";#N/A,#N/A,FALSE,"Produkte Plan";#N/A,#N/A,FALSE,"Leistungen Erw.";#N/A,#N/A,FALSE,"Leistungen Plan";#N/A,#N/A,FALSE,"KA Allg.Kosten (2)";#N/A,#N/A,FALSE,"KA All.Kosten"}</definedName>
    <definedName name="hjh" localSheetId="6" hidden="1">{#N/A,#N/A,FALSE,"Produkte Erw.";#N/A,#N/A,FALSE,"Produkte Plan";#N/A,#N/A,FALSE,"Leistungen Erw.";#N/A,#N/A,FALSE,"Leistungen Plan";#N/A,#N/A,FALSE,"KA Allg.Kosten (2)";#N/A,#N/A,FALSE,"KA All.Kosten"}</definedName>
    <definedName name="hjh" hidden="1">{#N/A,#N/A,FALSE,"Produkte Erw.";#N/A,#N/A,FALSE,"Produkte Plan";#N/A,#N/A,FALSE,"Leistungen Erw.";#N/A,#N/A,FALSE,"Leistungen Plan";#N/A,#N/A,FALSE,"KA Allg.Kosten (2)";#N/A,#N/A,FALSE,"KA All.Kosten"}</definedName>
    <definedName name="hjh_1" localSheetId="0" hidden="1">{#N/A,#N/A,FALSE,"Produkte Erw.";#N/A,#N/A,FALSE,"Produkte Plan";#N/A,#N/A,FALSE,"Leistungen Erw.";#N/A,#N/A,FALSE,"Leistungen Plan";#N/A,#N/A,FALSE,"KA Allg.Kosten (2)";#N/A,#N/A,FALSE,"KA All.Kosten"}</definedName>
    <definedName name="hjh_1" localSheetId="6" hidden="1">{#N/A,#N/A,FALSE,"Produkte Erw.";#N/A,#N/A,FALSE,"Produkte Plan";#N/A,#N/A,FALSE,"Leistungen Erw.";#N/A,#N/A,FALSE,"Leistungen Plan";#N/A,#N/A,FALSE,"KA Allg.Kosten (2)";#N/A,#N/A,FALSE,"KA All.Kosten"}</definedName>
    <definedName name="hjh_1" hidden="1">{#N/A,#N/A,FALSE,"Produkte Erw.";#N/A,#N/A,FALSE,"Produkte Plan";#N/A,#N/A,FALSE,"Leistungen Erw.";#N/A,#N/A,FALSE,"Leistungen Plan";#N/A,#N/A,FALSE,"KA Allg.Kosten (2)";#N/A,#N/A,FALSE,"KA All.Kosten"}</definedName>
    <definedName name="hjh_1_1" localSheetId="0" hidden="1">{#N/A,#N/A,FALSE,"Produkte Erw.";#N/A,#N/A,FALSE,"Produkte Plan";#N/A,#N/A,FALSE,"Leistungen Erw.";#N/A,#N/A,FALSE,"Leistungen Plan";#N/A,#N/A,FALSE,"KA Allg.Kosten (2)";#N/A,#N/A,FALSE,"KA All.Kosten"}</definedName>
    <definedName name="hjh_1_1" localSheetId="6" hidden="1">{#N/A,#N/A,FALSE,"Produkte Erw.";#N/A,#N/A,FALSE,"Produkte Plan";#N/A,#N/A,FALSE,"Leistungen Erw.";#N/A,#N/A,FALSE,"Leistungen Plan";#N/A,#N/A,FALSE,"KA Allg.Kosten (2)";#N/A,#N/A,FALSE,"KA All.Kosten"}</definedName>
    <definedName name="hjh_1_1" hidden="1">{#N/A,#N/A,FALSE,"Produkte Erw.";#N/A,#N/A,FALSE,"Produkte Plan";#N/A,#N/A,FALSE,"Leistungen Erw.";#N/A,#N/A,FALSE,"Leistungen Plan";#N/A,#N/A,FALSE,"KA Allg.Kosten (2)";#N/A,#N/A,FALSE,"KA All.Kosten"}</definedName>
    <definedName name="hjh_2" localSheetId="0" hidden="1">{#N/A,#N/A,FALSE,"Produkte Erw.";#N/A,#N/A,FALSE,"Produkte Plan";#N/A,#N/A,FALSE,"Leistungen Erw.";#N/A,#N/A,FALSE,"Leistungen Plan";#N/A,#N/A,FALSE,"KA Allg.Kosten (2)";#N/A,#N/A,FALSE,"KA All.Kosten"}</definedName>
    <definedName name="hjh_2" localSheetId="6" hidden="1">{#N/A,#N/A,FALSE,"Produkte Erw.";#N/A,#N/A,FALSE,"Produkte Plan";#N/A,#N/A,FALSE,"Leistungen Erw.";#N/A,#N/A,FALSE,"Leistungen Plan";#N/A,#N/A,FALSE,"KA Allg.Kosten (2)";#N/A,#N/A,FALSE,"KA All.Kosten"}</definedName>
    <definedName name="hjh_2" hidden="1">{#N/A,#N/A,FALSE,"Produkte Erw.";#N/A,#N/A,FALSE,"Produkte Plan";#N/A,#N/A,FALSE,"Leistungen Erw.";#N/A,#N/A,FALSE,"Leistungen Plan";#N/A,#N/A,FALSE,"KA Allg.Kosten (2)";#N/A,#N/A,FALSE,"KA All.Kosten"}</definedName>
    <definedName name="hjh_3" localSheetId="0" hidden="1">{#N/A,#N/A,FALSE,"Produkte Erw.";#N/A,#N/A,FALSE,"Produkte Plan";#N/A,#N/A,FALSE,"Leistungen Erw.";#N/A,#N/A,FALSE,"Leistungen Plan";#N/A,#N/A,FALSE,"KA Allg.Kosten (2)";#N/A,#N/A,FALSE,"KA All.Kosten"}</definedName>
    <definedName name="hjh_3" localSheetId="6" hidden="1">{#N/A,#N/A,FALSE,"Produkte Erw.";#N/A,#N/A,FALSE,"Produkte Plan";#N/A,#N/A,FALSE,"Leistungen Erw.";#N/A,#N/A,FALSE,"Leistungen Plan";#N/A,#N/A,FALSE,"KA Allg.Kosten (2)";#N/A,#N/A,FALSE,"KA All.Kosten"}</definedName>
    <definedName name="hjh_3" hidden="1">{#N/A,#N/A,FALSE,"Produkte Erw.";#N/A,#N/A,FALSE,"Produkte Plan";#N/A,#N/A,FALSE,"Leistungen Erw.";#N/A,#N/A,FALSE,"Leistungen Plan";#N/A,#N/A,FALSE,"KA Allg.Kosten (2)";#N/A,#N/A,FALSE,"KA All.Kosten"}</definedName>
    <definedName name="hjh_4" localSheetId="0" hidden="1">{#N/A,#N/A,FALSE,"Produkte Erw.";#N/A,#N/A,FALSE,"Produkte Plan";#N/A,#N/A,FALSE,"Leistungen Erw.";#N/A,#N/A,FALSE,"Leistungen Plan";#N/A,#N/A,FALSE,"KA Allg.Kosten (2)";#N/A,#N/A,FALSE,"KA All.Kosten"}</definedName>
    <definedName name="hjh_4" localSheetId="6" hidden="1">{#N/A,#N/A,FALSE,"Produkte Erw.";#N/A,#N/A,FALSE,"Produkte Plan";#N/A,#N/A,FALSE,"Leistungen Erw.";#N/A,#N/A,FALSE,"Leistungen Plan";#N/A,#N/A,FALSE,"KA Allg.Kosten (2)";#N/A,#N/A,FALSE,"KA All.Kosten"}</definedName>
    <definedName name="hjh_4" hidden="1">{#N/A,#N/A,FALSE,"Produkte Erw.";#N/A,#N/A,FALSE,"Produkte Plan";#N/A,#N/A,FALSE,"Leistungen Erw.";#N/A,#N/A,FALSE,"Leistungen Plan";#N/A,#N/A,FALSE,"KA Allg.Kosten (2)";#N/A,#N/A,FALSE,"KA All.Kosten"}</definedName>
    <definedName name="hjh_5" localSheetId="0" hidden="1">{#N/A,#N/A,FALSE,"Produkte Erw.";#N/A,#N/A,FALSE,"Produkte Plan";#N/A,#N/A,FALSE,"Leistungen Erw.";#N/A,#N/A,FALSE,"Leistungen Plan";#N/A,#N/A,FALSE,"KA Allg.Kosten (2)";#N/A,#N/A,FALSE,"KA All.Kosten"}</definedName>
    <definedName name="hjh_5" localSheetId="6" hidden="1">{#N/A,#N/A,FALSE,"Produkte Erw.";#N/A,#N/A,FALSE,"Produkte Plan";#N/A,#N/A,FALSE,"Leistungen Erw.";#N/A,#N/A,FALSE,"Leistungen Plan";#N/A,#N/A,FALSE,"KA Allg.Kosten (2)";#N/A,#N/A,FALSE,"KA All.Kosten"}</definedName>
    <definedName name="hjh_5" hidden="1">{#N/A,#N/A,FALSE,"Produkte Erw.";#N/A,#N/A,FALSE,"Produkte Plan";#N/A,#N/A,FALSE,"Leistungen Erw.";#N/A,#N/A,FALSE,"Leistungen Plan";#N/A,#N/A,FALSE,"KA Allg.Kosten (2)";#N/A,#N/A,FALSE,"KA All.Kosten"}</definedName>
    <definedName name="hjhjffukfuk" localSheetId="0" hidden="1">{#N/A,#N/A,FALSE,"Pharm";#N/A,#N/A,FALSE,"WWCM"}</definedName>
    <definedName name="hjhjffukfuk" localSheetId="6" hidden="1">{#N/A,#N/A,FALSE,"Pharm";#N/A,#N/A,FALSE,"WWCM"}</definedName>
    <definedName name="hjhjffukfuk" hidden="1">{#N/A,#N/A,FALSE,"Pharm";#N/A,#N/A,FALSE,"WWCM"}</definedName>
    <definedName name="hjhjffukfuk_1" localSheetId="0" hidden="1">{#N/A,#N/A,FALSE,"Pharm";#N/A,#N/A,FALSE,"WWCM"}</definedName>
    <definedName name="hjhjffukfuk_1" localSheetId="6" hidden="1">{#N/A,#N/A,FALSE,"Pharm";#N/A,#N/A,FALSE,"WWCM"}</definedName>
    <definedName name="hjhjffukfuk_1" hidden="1">{#N/A,#N/A,FALSE,"Pharm";#N/A,#N/A,FALSE,"WWCM"}</definedName>
    <definedName name="hjhjffukfuk_1_1" localSheetId="0" hidden="1">{#N/A,#N/A,FALSE,"Pharm";#N/A,#N/A,FALSE,"WWCM"}</definedName>
    <definedName name="hjhjffukfuk_1_1" localSheetId="6" hidden="1">{#N/A,#N/A,FALSE,"Pharm";#N/A,#N/A,FALSE,"WWCM"}</definedName>
    <definedName name="hjhjffukfuk_1_1" hidden="1">{#N/A,#N/A,FALSE,"Pharm";#N/A,#N/A,FALSE,"WWCM"}</definedName>
    <definedName name="hjhjffukfuk_2" localSheetId="0" hidden="1">{#N/A,#N/A,FALSE,"Pharm";#N/A,#N/A,FALSE,"WWCM"}</definedName>
    <definedName name="hjhjffukfuk_2" localSheetId="6" hidden="1">{#N/A,#N/A,FALSE,"Pharm";#N/A,#N/A,FALSE,"WWCM"}</definedName>
    <definedName name="hjhjffukfuk_2" hidden="1">{#N/A,#N/A,FALSE,"Pharm";#N/A,#N/A,FALSE,"WWCM"}</definedName>
    <definedName name="hjhjffukfuk_3" localSheetId="0" hidden="1">{#N/A,#N/A,FALSE,"Pharm";#N/A,#N/A,FALSE,"WWCM"}</definedName>
    <definedName name="hjhjffukfuk_3" localSheetId="6" hidden="1">{#N/A,#N/A,FALSE,"Pharm";#N/A,#N/A,FALSE,"WWCM"}</definedName>
    <definedName name="hjhjffukfuk_3" hidden="1">{#N/A,#N/A,FALSE,"Pharm";#N/A,#N/A,FALSE,"WWCM"}</definedName>
    <definedName name="hjhjffukfuk_4" localSheetId="0" hidden="1">{#N/A,#N/A,FALSE,"Pharm";#N/A,#N/A,FALSE,"WWCM"}</definedName>
    <definedName name="hjhjffukfuk_4" localSheetId="6" hidden="1">{#N/A,#N/A,FALSE,"Pharm";#N/A,#N/A,FALSE,"WWCM"}</definedName>
    <definedName name="hjhjffukfuk_4" hidden="1">{#N/A,#N/A,FALSE,"Pharm";#N/A,#N/A,FALSE,"WWCM"}</definedName>
    <definedName name="hjhjffukfuk_5" localSheetId="0" hidden="1">{#N/A,#N/A,FALSE,"Pharm";#N/A,#N/A,FALSE,"WWCM"}</definedName>
    <definedName name="hjhjffukfuk_5" localSheetId="6" hidden="1">{#N/A,#N/A,FALSE,"Pharm";#N/A,#N/A,FALSE,"WWCM"}</definedName>
    <definedName name="hjhjffukfuk_5" hidden="1">{#N/A,#N/A,FALSE,"Pharm";#N/A,#N/A,FALSE,"WWCM"}</definedName>
    <definedName name="hjhjfkfukywrte" localSheetId="0" hidden="1">{#N/A,#N/A,FALSE,"Pharm";#N/A,#N/A,FALSE,"WWCM"}</definedName>
    <definedName name="hjhjfkfukywrte" localSheetId="6" hidden="1">{#N/A,#N/A,FALSE,"Pharm";#N/A,#N/A,FALSE,"WWCM"}</definedName>
    <definedName name="hjhjfkfukywrte" hidden="1">{#N/A,#N/A,FALSE,"Pharm";#N/A,#N/A,FALSE,"WWCM"}</definedName>
    <definedName name="hjhjfkfukywrte_1" localSheetId="0" hidden="1">{#N/A,#N/A,FALSE,"Pharm";#N/A,#N/A,FALSE,"WWCM"}</definedName>
    <definedName name="hjhjfkfukywrte_1" localSheetId="6" hidden="1">{#N/A,#N/A,FALSE,"Pharm";#N/A,#N/A,FALSE,"WWCM"}</definedName>
    <definedName name="hjhjfkfukywrte_1" hidden="1">{#N/A,#N/A,FALSE,"Pharm";#N/A,#N/A,FALSE,"WWCM"}</definedName>
    <definedName name="hjhjfkfukywrte_1_1" localSheetId="0" hidden="1">{#N/A,#N/A,FALSE,"Pharm";#N/A,#N/A,FALSE,"WWCM"}</definedName>
    <definedName name="hjhjfkfukywrte_1_1" localSheetId="6" hidden="1">{#N/A,#N/A,FALSE,"Pharm";#N/A,#N/A,FALSE,"WWCM"}</definedName>
    <definedName name="hjhjfkfukywrte_1_1" hidden="1">{#N/A,#N/A,FALSE,"Pharm";#N/A,#N/A,FALSE,"WWCM"}</definedName>
    <definedName name="hjhjfkfukywrte_2" localSheetId="0" hidden="1">{#N/A,#N/A,FALSE,"Pharm";#N/A,#N/A,FALSE,"WWCM"}</definedName>
    <definedName name="hjhjfkfukywrte_2" localSheetId="6" hidden="1">{#N/A,#N/A,FALSE,"Pharm";#N/A,#N/A,FALSE,"WWCM"}</definedName>
    <definedName name="hjhjfkfukywrte_2" hidden="1">{#N/A,#N/A,FALSE,"Pharm";#N/A,#N/A,FALSE,"WWCM"}</definedName>
    <definedName name="hjhjfkfukywrte_3" localSheetId="0" hidden="1">{#N/A,#N/A,FALSE,"Pharm";#N/A,#N/A,FALSE,"WWCM"}</definedName>
    <definedName name="hjhjfkfukywrte_3" localSheetId="6" hidden="1">{#N/A,#N/A,FALSE,"Pharm";#N/A,#N/A,FALSE,"WWCM"}</definedName>
    <definedName name="hjhjfkfukywrte_3" hidden="1">{#N/A,#N/A,FALSE,"Pharm";#N/A,#N/A,FALSE,"WWCM"}</definedName>
    <definedName name="hjhjfkfukywrte_4" localSheetId="0" hidden="1">{#N/A,#N/A,FALSE,"Pharm";#N/A,#N/A,FALSE,"WWCM"}</definedName>
    <definedName name="hjhjfkfukywrte_4" localSheetId="6" hidden="1">{#N/A,#N/A,FALSE,"Pharm";#N/A,#N/A,FALSE,"WWCM"}</definedName>
    <definedName name="hjhjfkfukywrte_4" hidden="1">{#N/A,#N/A,FALSE,"Pharm";#N/A,#N/A,FALSE,"WWCM"}</definedName>
    <definedName name="hjhjfkfukywrte_5" localSheetId="0" hidden="1">{#N/A,#N/A,FALSE,"Pharm";#N/A,#N/A,FALSE,"WWCM"}</definedName>
    <definedName name="hjhjfkfukywrte_5" localSheetId="6" hidden="1">{#N/A,#N/A,FALSE,"Pharm";#N/A,#N/A,FALSE,"WWCM"}</definedName>
    <definedName name="hjhjfkfukywrte_5" hidden="1">{#N/A,#N/A,FALSE,"Pharm";#N/A,#N/A,FALSE,"WWCM"}</definedName>
    <definedName name="hjhjj" localSheetId="0" hidden="1">{#N/A,#N/A,FALSE,"ORIX CSC"}</definedName>
    <definedName name="hjhjj" localSheetId="6" hidden="1">{#N/A,#N/A,FALSE,"ORIX CSC"}</definedName>
    <definedName name="hjhjj" hidden="1">{#N/A,#N/A,FALSE,"ORIX CSC"}</definedName>
    <definedName name="hjhkjkl" localSheetId="0" hidden="1">{#N/A,#N/A,FALSE,"Pharm";#N/A,#N/A,FALSE,"WWCM"}</definedName>
    <definedName name="hjhkjkl" localSheetId="6" hidden="1">{#N/A,#N/A,FALSE,"Pharm";#N/A,#N/A,FALSE,"WWCM"}</definedName>
    <definedName name="hjhkjkl" hidden="1">{#N/A,#N/A,FALSE,"Pharm";#N/A,#N/A,FALSE,"WWCM"}</definedName>
    <definedName name="hjhkjkl_1" localSheetId="0" hidden="1">{#N/A,#N/A,FALSE,"Pharm";#N/A,#N/A,FALSE,"WWCM"}</definedName>
    <definedName name="hjhkjkl_1" localSheetId="6" hidden="1">{#N/A,#N/A,FALSE,"Pharm";#N/A,#N/A,FALSE,"WWCM"}</definedName>
    <definedName name="hjhkjkl_1" hidden="1">{#N/A,#N/A,FALSE,"Pharm";#N/A,#N/A,FALSE,"WWCM"}</definedName>
    <definedName name="hjhkjkl_1_1" localSheetId="0" hidden="1">{#N/A,#N/A,FALSE,"Pharm";#N/A,#N/A,FALSE,"WWCM"}</definedName>
    <definedName name="hjhkjkl_1_1" localSheetId="6" hidden="1">{#N/A,#N/A,FALSE,"Pharm";#N/A,#N/A,FALSE,"WWCM"}</definedName>
    <definedName name="hjhkjkl_1_1" hidden="1">{#N/A,#N/A,FALSE,"Pharm";#N/A,#N/A,FALSE,"WWCM"}</definedName>
    <definedName name="hjhkjkl_2" localSheetId="0" hidden="1">{#N/A,#N/A,FALSE,"Pharm";#N/A,#N/A,FALSE,"WWCM"}</definedName>
    <definedName name="hjhkjkl_2" localSheetId="6" hidden="1">{#N/A,#N/A,FALSE,"Pharm";#N/A,#N/A,FALSE,"WWCM"}</definedName>
    <definedName name="hjhkjkl_2" hidden="1">{#N/A,#N/A,FALSE,"Pharm";#N/A,#N/A,FALSE,"WWCM"}</definedName>
    <definedName name="hjhkjkl_3" localSheetId="0" hidden="1">{#N/A,#N/A,FALSE,"Pharm";#N/A,#N/A,FALSE,"WWCM"}</definedName>
    <definedName name="hjhkjkl_3" localSheetId="6" hidden="1">{#N/A,#N/A,FALSE,"Pharm";#N/A,#N/A,FALSE,"WWCM"}</definedName>
    <definedName name="hjhkjkl_3" hidden="1">{#N/A,#N/A,FALSE,"Pharm";#N/A,#N/A,FALSE,"WWCM"}</definedName>
    <definedName name="hjhkjkl_4" localSheetId="0" hidden="1">{#N/A,#N/A,FALSE,"Pharm";#N/A,#N/A,FALSE,"WWCM"}</definedName>
    <definedName name="hjhkjkl_4" localSheetId="6" hidden="1">{#N/A,#N/A,FALSE,"Pharm";#N/A,#N/A,FALSE,"WWCM"}</definedName>
    <definedName name="hjhkjkl_4" hidden="1">{#N/A,#N/A,FALSE,"Pharm";#N/A,#N/A,FALSE,"WWCM"}</definedName>
    <definedName name="hjhkjkl_5" localSheetId="0" hidden="1">{#N/A,#N/A,FALSE,"Pharm";#N/A,#N/A,FALSE,"WWCM"}</definedName>
    <definedName name="hjhkjkl_5" localSheetId="6" hidden="1">{#N/A,#N/A,FALSE,"Pharm";#N/A,#N/A,FALSE,"WWCM"}</definedName>
    <definedName name="hjhkjkl_5" hidden="1">{#N/A,#N/A,FALSE,"Pharm";#N/A,#N/A,FALSE,"WWCM"}</definedName>
    <definedName name="hjhuyg" localSheetId="6" hidden="1">{"VIEW1",#N/A,FALSE,"P&amp;L Account 2001-2002";"VIEW2",#N/A,FALSE,"P&amp;L Account 2001-2002";"VIEW3",#N/A,FALSE,"P&amp;L Account 2001-2002";"VIEW4",#N/A,FALSE,"P&amp;L Account 2001-2002"}</definedName>
    <definedName name="hjhuyg" hidden="1">{"VIEW1",#N/A,FALSE,"P&amp;L Account 2001-2002";"VIEW2",#N/A,FALSE,"P&amp;L Account 2001-2002";"VIEW3",#N/A,FALSE,"P&amp;L Account 2001-2002";"VIEW4",#N/A,FALSE,"P&amp;L Account 2001-2002"}</definedName>
    <definedName name="hjjjkk" localSheetId="0" hidden="1">{#N/A,#N/A,FALSE,"REPORT"}</definedName>
    <definedName name="hjjjkk" localSheetId="6" hidden="1">{#N/A,#N/A,FALSE,"REPORT"}</definedName>
    <definedName name="hjjjkk" hidden="1">{#N/A,#N/A,FALSE,"REPORT"}</definedName>
    <definedName name="hjjjkk_1" localSheetId="0" hidden="1">{#N/A,#N/A,FALSE,"REPORT"}</definedName>
    <definedName name="hjjjkk_1" localSheetId="6" hidden="1">{#N/A,#N/A,FALSE,"REPORT"}</definedName>
    <definedName name="hjjjkk_1" hidden="1">{#N/A,#N/A,FALSE,"REPORT"}</definedName>
    <definedName name="hjjjkk_1_1" localSheetId="0" hidden="1">{#N/A,#N/A,FALSE,"REPORT"}</definedName>
    <definedName name="hjjjkk_1_1" localSheetId="6" hidden="1">{#N/A,#N/A,FALSE,"REPORT"}</definedName>
    <definedName name="hjjjkk_1_1" hidden="1">{#N/A,#N/A,FALSE,"REPORT"}</definedName>
    <definedName name="hjjjkk_2" localSheetId="0" hidden="1">{#N/A,#N/A,FALSE,"REPORT"}</definedName>
    <definedName name="hjjjkk_2" localSheetId="6" hidden="1">{#N/A,#N/A,FALSE,"REPORT"}</definedName>
    <definedName name="hjjjkk_2" hidden="1">{#N/A,#N/A,FALSE,"REPORT"}</definedName>
    <definedName name="hjjjkk_3" localSheetId="0" hidden="1">{#N/A,#N/A,FALSE,"REPORT"}</definedName>
    <definedName name="hjjjkk_3" localSheetId="6" hidden="1">{#N/A,#N/A,FALSE,"REPORT"}</definedName>
    <definedName name="hjjjkk_3" hidden="1">{#N/A,#N/A,FALSE,"REPORT"}</definedName>
    <definedName name="hjjjkk_4" localSheetId="0" hidden="1">{#N/A,#N/A,FALSE,"REPORT"}</definedName>
    <definedName name="hjjjkk_4" localSheetId="6" hidden="1">{#N/A,#N/A,FALSE,"REPORT"}</definedName>
    <definedName name="hjjjkk_4" hidden="1">{#N/A,#N/A,FALSE,"REPORT"}</definedName>
    <definedName name="hjjjkk_5" localSheetId="0" hidden="1">{#N/A,#N/A,FALSE,"REPORT"}</definedName>
    <definedName name="hjjjkk_5" localSheetId="6" hidden="1">{#N/A,#N/A,FALSE,"REPORT"}</definedName>
    <definedName name="hjjjkk_5" hidden="1">{#N/A,#N/A,FALSE,"REPORT"}</definedName>
    <definedName name="hjjkk" localSheetId="0" hidden="1">{#N/A,#N/A,FALSE,"Pharm";#N/A,#N/A,FALSE,"WWCM"}</definedName>
    <definedName name="hjjkk" localSheetId="6" hidden="1">{#N/A,#N/A,FALSE,"Pharm";#N/A,#N/A,FALSE,"WWCM"}</definedName>
    <definedName name="hjjkk" hidden="1">{#N/A,#N/A,FALSE,"Pharm";#N/A,#N/A,FALSE,"WWCM"}</definedName>
    <definedName name="hjjkk_1" localSheetId="0" hidden="1">{#N/A,#N/A,FALSE,"Pharm";#N/A,#N/A,FALSE,"WWCM"}</definedName>
    <definedName name="hjjkk_1" localSheetId="6" hidden="1">{#N/A,#N/A,FALSE,"Pharm";#N/A,#N/A,FALSE,"WWCM"}</definedName>
    <definedName name="hjjkk_1" hidden="1">{#N/A,#N/A,FALSE,"Pharm";#N/A,#N/A,FALSE,"WWCM"}</definedName>
    <definedName name="hjjkk_1_1" localSheetId="0" hidden="1">{#N/A,#N/A,FALSE,"Pharm";#N/A,#N/A,FALSE,"WWCM"}</definedName>
    <definedName name="hjjkk_1_1" localSheetId="6" hidden="1">{#N/A,#N/A,FALSE,"Pharm";#N/A,#N/A,FALSE,"WWCM"}</definedName>
    <definedName name="hjjkk_1_1" hidden="1">{#N/A,#N/A,FALSE,"Pharm";#N/A,#N/A,FALSE,"WWCM"}</definedName>
    <definedName name="hjjkk_2" localSheetId="0" hidden="1">{#N/A,#N/A,FALSE,"Pharm";#N/A,#N/A,FALSE,"WWCM"}</definedName>
    <definedName name="hjjkk_2" localSheetId="6" hidden="1">{#N/A,#N/A,FALSE,"Pharm";#N/A,#N/A,FALSE,"WWCM"}</definedName>
    <definedName name="hjjkk_2" hidden="1">{#N/A,#N/A,FALSE,"Pharm";#N/A,#N/A,FALSE,"WWCM"}</definedName>
    <definedName name="hjjkk_3" localSheetId="0" hidden="1">{#N/A,#N/A,FALSE,"Pharm";#N/A,#N/A,FALSE,"WWCM"}</definedName>
    <definedName name="hjjkk_3" localSheetId="6" hidden="1">{#N/A,#N/A,FALSE,"Pharm";#N/A,#N/A,FALSE,"WWCM"}</definedName>
    <definedName name="hjjkk_3" hidden="1">{#N/A,#N/A,FALSE,"Pharm";#N/A,#N/A,FALSE,"WWCM"}</definedName>
    <definedName name="hjjkk_4" localSheetId="0" hidden="1">{#N/A,#N/A,FALSE,"Pharm";#N/A,#N/A,FALSE,"WWCM"}</definedName>
    <definedName name="hjjkk_4" localSheetId="6" hidden="1">{#N/A,#N/A,FALSE,"Pharm";#N/A,#N/A,FALSE,"WWCM"}</definedName>
    <definedName name="hjjkk_4" hidden="1">{#N/A,#N/A,FALSE,"Pharm";#N/A,#N/A,FALSE,"WWCM"}</definedName>
    <definedName name="hjjkk_5" localSheetId="0" hidden="1">{#N/A,#N/A,FALSE,"Pharm";#N/A,#N/A,FALSE,"WWCM"}</definedName>
    <definedName name="hjjkk_5" localSheetId="6" hidden="1">{#N/A,#N/A,FALSE,"Pharm";#N/A,#N/A,FALSE,"WWCM"}</definedName>
    <definedName name="hjjkk_5" hidden="1">{#N/A,#N/A,FALSE,"Pharm";#N/A,#N/A,FALSE,"WWCM"}</definedName>
    <definedName name="hjk" localSheetId="0" hidden="1">{#N/A,#N/A,FALSE,"Umsatz 99";#N/A,#N/A,FALSE,"ER 99 "}</definedName>
    <definedName name="hjk" localSheetId="6" hidden="1">{#N/A,#N/A,FALSE,"Umsatz 99";#N/A,#N/A,FALSE,"ER 99 "}</definedName>
    <definedName name="hjk" hidden="1">{#N/A,#N/A,FALSE,"Umsatz 99";#N/A,#N/A,FALSE,"ER 99 "}</definedName>
    <definedName name="hjk.l" localSheetId="0" hidden="1">{#N/A,#N/A,FALSE,"Produkte Erw.";#N/A,#N/A,FALSE,"Produkte Plan";#N/A,#N/A,FALSE,"Leistungen Erw.";#N/A,#N/A,FALSE,"Leistungen Plan";#N/A,#N/A,FALSE,"KA Allg.Kosten (2)";#N/A,#N/A,FALSE,"KA All.Kosten"}</definedName>
    <definedName name="hjk.l" localSheetId="6" hidden="1">{#N/A,#N/A,FALSE,"Produkte Erw.";#N/A,#N/A,FALSE,"Produkte Plan";#N/A,#N/A,FALSE,"Leistungen Erw.";#N/A,#N/A,FALSE,"Leistungen Plan";#N/A,#N/A,FALSE,"KA Allg.Kosten (2)";#N/A,#N/A,FALSE,"KA All.Kosten"}</definedName>
    <definedName name="hjk.l" hidden="1">{#N/A,#N/A,FALSE,"Produkte Erw.";#N/A,#N/A,FALSE,"Produkte Plan";#N/A,#N/A,FALSE,"Leistungen Erw.";#N/A,#N/A,FALSE,"Leistungen Plan";#N/A,#N/A,FALSE,"KA Allg.Kosten (2)";#N/A,#N/A,FALSE,"KA All.Kosten"}</definedName>
    <definedName name="hjk.l_1" localSheetId="0" hidden="1">{#N/A,#N/A,FALSE,"Produkte Erw.";#N/A,#N/A,FALSE,"Produkte Plan";#N/A,#N/A,FALSE,"Leistungen Erw.";#N/A,#N/A,FALSE,"Leistungen Plan";#N/A,#N/A,FALSE,"KA Allg.Kosten (2)";#N/A,#N/A,FALSE,"KA All.Kosten"}</definedName>
    <definedName name="hjk.l_1" localSheetId="6" hidden="1">{#N/A,#N/A,FALSE,"Produkte Erw.";#N/A,#N/A,FALSE,"Produkte Plan";#N/A,#N/A,FALSE,"Leistungen Erw.";#N/A,#N/A,FALSE,"Leistungen Plan";#N/A,#N/A,FALSE,"KA Allg.Kosten (2)";#N/A,#N/A,FALSE,"KA All.Kosten"}</definedName>
    <definedName name="hjk.l_1" hidden="1">{#N/A,#N/A,FALSE,"Produkte Erw.";#N/A,#N/A,FALSE,"Produkte Plan";#N/A,#N/A,FALSE,"Leistungen Erw.";#N/A,#N/A,FALSE,"Leistungen Plan";#N/A,#N/A,FALSE,"KA Allg.Kosten (2)";#N/A,#N/A,FALSE,"KA All.Kosten"}</definedName>
    <definedName name="hjk.l_1_1" localSheetId="0" hidden="1">{#N/A,#N/A,FALSE,"Produkte Erw.";#N/A,#N/A,FALSE,"Produkte Plan";#N/A,#N/A,FALSE,"Leistungen Erw.";#N/A,#N/A,FALSE,"Leistungen Plan";#N/A,#N/A,FALSE,"KA Allg.Kosten (2)";#N/A,#N/A,FALSE,"KA All.Kosten"}</definedName>
    <definedName name="hjk.l_1_1" localSheetId="6" hidden="1">{#N/A,#N/A,FALSE,"Produkte Erw.";#N/A,#N/A,FALSE,"Produkte Plan";#N/A,#N/A,FALSE,"Leistungen Erw.";#N/A,#N/A,FALSE,"Leistungen Plan";#N/A,#N/A,FALSE,"KA Allg.Kosten (2)";#N/A,#N/A,FALSE,"KA All.Kosten"}</definedName>
    <definedName name="hjk.l_1_1" hidden="1">{#N/A,#N/A,FALSE,"Produkte Erw.";#N/A,#N/A,FALSE,"Produkte Plan";#N/A,#N/A,FALSE,"Leistungen Erw.";#N/A,#N/A,FALSE,"Leistungen Plan";#N/A,#N/A,FALSE,"KA Allg.Kosten (2)";#N/A,#N/A,FALSE,"KA All.Kosten"}</definedName>
    <definedName name="hjk.l_2" localSheetId="0" hidden="1">{#N/A,#N/A,FALSE,"Produkte Erw.";#N/A,#N/A,FALSE,"Produkte Plan";#N/A,#N/A,FALSE,"Leistungen Erw.";#N/A,#N/A,FALSE,"Leistungen Plan";#N/A,#N/A,FALSE,"KA Allg.Kosten (2)";#N/A,#N/A,FALSE,"KA All.Kosten"}</definedName>
    <definedName name="hjk.l_2" localSheetId="6" hidden="1">{#N/A,#N/A,FALSE,"Produkte Erw.";#N/A,#N/A,FALSE,"Produkte Plan";#N/A,#N/A,FALSE,"Leistungen Erw.";#N/A,#N/A,FALSE,"Leistungen Plan";#N/A,#N/A,FALSE,"KA Allg.Kosten (2)";#N/A,#N/A,FALSE,"KA All.Kosten"}</definedName>
    <definedName name="hjk.l_2" hidden="1">{#N/A,#N/A,FALSE,"Produkte Erw.";#N/A,#N/A,FALSE,"Produkte Plan";#N/A,#N/A,FALSE,"Leistungen Erw.";#N/A,#N/A,FALSE,"Leistungen Plan";#N/A,#N/A,FALSE,"KA Allg.Kosten (2)";#N/A,#N/A,FALSE,"KA All.Kosten"}</definedName>
    <definedName name="hjk.l_3" localSheetId="0" hidden="1">{#N/A,#N/A,FALSE,"Produkte Erw.";#N/A,#N/A,FALSE,"Produkte Plan";#N/A,#N/A,FALSE,"Leistungen Erw.";#N/A,#N/A,FALSE,"Leistungen Plan";#N/A,#N/A,FALSE,"KA Allg.Kosten (2)";#N/A,#N/A,FALSE,"KA All.Kosten"}</definedName>
    <definedName name="hjk.l_3" localSheetId="6" hidden="1">{#N/A,#N/A,FALSE,"Produkte Erw.";#N/A,#N/A,FALSE,"Produkte Plan";#N/A,#N/A,FALSE,"Leistungen Erw.";#N/A,#N/A,FALSE,"Leistungen Plan";#N/A,#N/A,FALSE,"KA Allg.Kosten (2)";#N/A,#N/A,FALSE,"KA All.Kosten"}</definedName>
    <definedName name="hjk.l_3" hidden="1">{#N/A,#N/A,FALSE,"Produkte Erw.";#N/A,#N/A,FALSE,"Produkte Plan";#N/A,#N/A,FALSE,"Leistungen Erw.";#N/A,#N/A,FALSE,"Leistungen Plan";#N/A,#N/A,FALSE,"KA Allg.Kosten (2)";#N/A,#N/A,FALSE,"KA All.Kosten"}</definedName>
    <definedName name="hjk.l_4" localSheetId="0" hidden="1">{#N/A,#N/A,FALSE,"Produkte Erw.";#N/A,#N/A,FALSE,"Produkte Plan";#N/A,#N/A,FALSE,"Leistungen Erw.";#N/A,#N/A,FALSE,"Leistungen Plan";#N/A,#N/A,FALSE,"KA Allg.Kosten (2)";#N/A,#N/A,FALSE,"KA All.Kosten"}</definedName>
    <definedName name="hjk.l_4" localSheetId="6" hidden="1">{#N/A,#N/A,FALSE,"Produkte Erw.";#N/A,#N/A,FALSE,"Produkte Plan";#N/A,#N/A,FALSE,"Leistungen Erw.";#N/A,#N/A,FALSE,"Leistungen Plan";#N/A,#N/A,FALSE,"KA Allg.Kosten (2)";#N/A,#N/A,FALSE,"KA All.Kosten"}</definedName>
    <definedName name="hjk.l_4" hidden="1">{#N/A,#N/A,FALSE,"Produkte Erw.";#N/A,#N/A,FALSE,"Produkte Plan";#N/A,#N/A,FALSE,"Leistungen Erw.";#N/A,#N/A,FALSE,"Leistungen Plan";#N/A,#N/A,FALSE,"KA Allg.Kosten (2)";#N/A,#N/A,FALSE,"KA All.Kosten"}</definedName>
    <definedName name="hjk.l_5" localSheetId="0" hidden="1">{#N/A,#N/A,FALSE,"Produkte Erw.";#N/A,#N/A,FALSE,"Produkte Plan";#N/A,#N/A,FALSE,"Leistungen Erw.";#N/A,#N/A,FALSE,"Leistungen Plan";#N/A,#N/A,FALSE,"KA Allg.Kosten (2)";#N/A,#N/A,FALSE,"KA All.Kosten"}</definedName>
    <definedName name="hjk.l_5" localSheetId="6" hidden="1">{#N/A,#N/A,FALSE,"Produkte Erw.";#N/A,#N/A,FALSE,"Produkte Plan";#N/A,#N/A,FALSE,"Leistungen Erw.";#N/A,#N/A,FALSE,"Leistungen Plan";#N/A,#N/A,FALSE,"KA Allg.Kosten (2)";#N/A,#N/A,FALSE,"KA All.Kosten"}</definedName>
    <definedName name="hjk.l_5" hidden="1">{#N/A,#N/A,FALSE,"Produkte Erw.";#N/A,#N/A,FALSE,"Produkte Plan";#N/A,#N/A,FALSE,"Leistungen Erw.";#N/A,#N/A,FALSE,"Leistungen Plan";#N/A,#N/A,FALSE,"KA Allg.Kosten (2)";#N/A,#N/A,FALSE,"KA All.Kosten"}</definedName>
    <definedName name="hjk_1" localSheetId="0" hidden="1">{#N/A,#N/A,FALSE,"Umsatz 99";#N/A,#N/A,FALSE,"ER 99 "}</definedName>
    <definedName name="hjk_1" localSheetId="6" hidden="1">{#N/A,#N/A,FALSE,"Umsatz 99";#N/A,#N/A,FALSE,"ER 99 "}</definedName>
    <definedName name="hjk_1" hidden="1">{#N/A,#N/A,FALSE,"Umsatz 99";#N/A,#N/A,FALSE,"ER 99 "}</definedName>
    <definedName name="hjk_1_1" localSheetId="0" hidden="1">{#N/A,#N/A,FALSE,"Umsatz 99";#N/A,#N/A,FALSE,"ER 99 "}</definedName>
    <definedName name="hjk_1_1" localSheetId="6" hidden="1">{#N/A,#N/A,FALSE,"Umsatz 99";#N/A,#N/A,FALSE,"ER 99 "}</definedName>
    <definedName name="hjk_1_1" hidden="1">{#N/A,#N/A,FALSE,"Umsatz 99";#N/A,#N/A,FALSE,"ER 99 "}</definedName>
    <definedName name="hjk_2" localSheetId="0" hidden="1">{#N/A,#N/A,FALSE,"Umsatz 99";#N/A,#N/A,FALSE,"ER 99 "}</definedName>
    <definedName name="hjk_2" localSheetId="6" hidden="1">{#N/A,#N/A,FALSE,"Umsatz 99";#N/A,#N/A,FALSE,"ER 99 "}</definedName>
    <definedName name="hjk_2" hidden="1">{#N/A,#N/A,FALSE,"Umsatz 99";#N/A,#N/A,FALSE,"ER 99 "}</definedName>
    <definedName name="hjk_3" localSheetId="0" hidden="1">{#N/A,#N/A,FALSE,"Umsatz 99";#N/A,#N/A,FALSE,"ER 99 "}</definedName>
    <definedName name="hjk_3" localSheetId="6" hidden="1">{#N/A,#N/A,FALSE,"Umsatz 99";#N/A,#N/A,FALSE,"ER 99 "}</definedName>
    <definedName name="hjk_3" hidden="1">{#N/A,#N/A,FALSE,"Umsatz 99";#N/A,#N/A,FALSE,"ER 99 "}</definedName>
    <definedName name="hjk_4" localSheetId="0" hidden="1">{#N/A,#N/A,FALSE,"Umsatz 99";#N/A,#N/A,FALSE,"ER 99 "}</definedName>
    <definedName name="hjk_4" localSheetId="6" hidden="1">{#N/A,#N/A,FALSE,"Umsatz 99";#N/A,#N/A,FALSE,"ER 99 "}</definedName>
    <definedName name="hjk_4" hidden="1">{#N/A,#N/A,FALSE,"Umsatz 99";#N/A,#N/A,FALSE,"ER 99 "}</definedName>
    <definedName name="hjk_5" localSheetId="0" hidden="1">{#N/A,#N/A,FALSE,"Umsatz 99";#N/A,#N/A,FALSE,"ER 99 "}</definedName>
    <definedName name="hjk_5" localSheetId="6" hidden="1">{#N/A,#N/A,FALSE,"Umsatz 99";#N/A,#N/A,FALSE,"ER 99 "}</definedName>
    <definedName name="hjk_5" hidden="1">{#N/A,#N/A,FALSE,"Umsatz 99";#N/A,#N/A,FALSE,"ER 99 "}</definedName>
    <definedName name="hjkh" localSheetId="0" hidden="1">{"assumption 50 50",#N/A,TRUE,"Merger";"has gets cash",#N/A,TRUE,"Merger";"accretion dilution",#N/A,TRUE,"Merger";"comparison credit stats",#N/A,TRUE,"Merger";"pf credit stats",#N/A,TRUE,"Merger";"pf sheets",#N/A,TRUE,"Merger"}</definedName>
    <definedName name="hjkh" localSheetId="6" hidden="1">{"assumption 50 50",#N/A,TRUE,"Merger";"has gets cash",#N/A,TRUE,"Merger";"accretion dilution",#N/A,TRUE,"Merger";"comparison credit stats",#N/A,TRUE,"Merger";"pf credit stats",#N/A,TRUE,"Merger";"pf sheets",#N/A,TRUE,"Merger"}</definedName>
    <definedName name="hjkh" hidden="1">{"assumption 50 50",#N/A,TRUE,"Merger";"has gets cash",#N/A,TRUE,"Merger";"accretion dilution",#N/A,TRUE,"Merger";"comparison credit stats",#N/A,TRUE,"Merger";"pf credit stats",#N/A,TRUE,"Merger";"pf sheets",#N/A,TRUE,"Merger"}</definedName>
    <definedName name="hjkhjk" localSheetId="0" hidden="1">{#N/A,#N/A,FALSE,"KA CH  (2)"}</definedName>
    <definedName name="hjkhjk" localSheetId="6" hidden="1">{#N/A,#N/A,FALSE,"KA CH  (2)"}</definedName>
    <definedName name="hjkhjk" hidden="1">{#N/A,#N/A,FALSE,"KA CH  (2)"}</definedName>
    <definedName name="hjkhjk_1" localSheetId="0" hidden="1">{#N/A,#N/A,FALSE,"KA CH  (2)"}</definedName>
    <definedName name="hjkhjk_1" localSheetId="6" hidden="1">{#N/A,#N/A,FALSE,"KA CH  (2)"}</definedName>
    <definedName name="hjkhjk_1" hidden="1">{#N/A,#N/A,FALSE,"KA CH  (2)"}</definedName>
    <definedName name="hjkhjk_1_1" localSheetId="0" hidden="1">{#N/A,#N/A,FALSE,"KA CH  (2)"}</definedName>
    <definedName name="hjkhjk_1_1" localSheetId="6" hidden="1">{#N/A,#N/A,FALSE,"KA CH  (2)"}</definedName>
    <definedName name="hjkhjk_1_1" hidden="1">{#N/A,#N/A,FALSE,"KA CH  (2)"}</definedName>
    <definedName name="hjkhjk_2" localSheetId="0" hidden="1">{#N/A,#N/A,FALSE,"KA CH  (2)"}</definedName>
    <definedName name="hjkhjk_2" localSheetId="6" hidden="1">{#N/A,#N/A,FALSE,"KA CH  (2)"}</definedName>
    <definedName name="hjkhjk_2" hidden="1">{#N/A,#N/A,FALSE,"KA CH  (2)"}</definedName>
    <definedName name="hjkhjk_3" localSheetId="0" hidden="1">{#N/A,#N/A,FALSE,"KA CH  (2)"}</definedName>
    <definedName name="hjkhjk_3" localSheetId="6" hidden="1">{#N/A,#N/A,FALSE,"KA CH  (2)"}</definedName>
    <definedName name="hjkhjk_3" hidden="1">{#N/A,#N/A,FALSE,"KA CH  (2)"}</definedName>
    <definedName name="hjkhjk_4" localSheetId="0" hidden="1">{#N/A,#N/A,FALSE,"KA CH  (2)"}</definedName>
    <definedName name="hjkhjk_4" localSheetId="6" hidden="1">{#N/A,#N/A,FALSE,"KA CH  (2)"}</definedName>
    <definedName name="hjkhjk_4" hidden="1">{#N/A,#N/A,FALSE,"KA CH  (2)"}</definedName>
    <definedName name="hjkhjk_5" localSheetId="0" hidden="1">{#N/A,#N/A,FALSE,"KA CH  (2)"}</definedName>
    <definedName name="hjkhjk_5" localSheetId="6" hidden="1">{#N/A,#N/A,FALSE,"KA CH  (2)"}</definedName>
    <definedName name="hjkhjk_5" hidden="1">{#N/A,#N/A,FALSE,"KA CH  (2)"}</definedName>
    <definedName name="hjkhjkhjk" localSheetId="0" hidden="1">{"equity comps",#N/A,FALSE,"CS Comps";"equity comps",#N/A,FALSE,"PS Comps";"equity comps",#N/A,FALSE,"GIC_Comps";"equity comps",#N/A,FALSE,"GIC2_Comps";"debt comps",#N/A,FALSE,"CS Comps";"debt comps",#N/A,FALSE,"PS Comps";"debt comps",#N/A,FALSE,"GIC_Comps";"debt comps",#N/A,FALSE,"GIC2_Comps"}</definedName>
    <definedName name="hjkhjkhjk" localSheetId="6" hidden="1">{"equity comps",#N/A,FALSE,"CS Comps";"equity comps",#N/A,FALSE,"PS Comps";"equity comps",#N/A,FALSE,"GIC_Comps";"equity comps",#N/A,FALSE,"GIC2_Comps";"debt comps",#N/A,FALSE,"CS Comps";"debt comps",#N/A,FALSE,"PS Comps";"debt comps",#N/A,FALSE,"GIC_Comps";"debt comps",#N/A,FALSE,"GIC2_Comps"}</definedName>
    <definedName name="hjkhjkhjk" hidden="1">{"equity comps",#N/A,FALSE,"CS Comps";"equity comps",#N/A,FALSE,"PS Comps";"equity comps",#N/A,FALSE,"GIC_Comps";"equity comps",#N/A,FALSE,"GIC2_Comps";"debt comps",#N/A,FALSE,"CS Comps";"debt comps",#N/A,FALSE,"PS Comps";"debt comps",#N/A,FALSE,"GIC_Comps";"debt comps",#N/A,FALSE,"GIC2_Comps"}</definedName>
    <definedName name="hjkjhk" localSheetId="0" hidden="1">{#N/A,#N/A,FALSE,"Calc";#N/A,#N/A,FALSE,"Sensitivity";#N/A,#N/A,FALSE,"LT Earn.Dil.";#N/A,#N/A,FALSE,"Dil. AVP"}</definedName>
    <definedName name="hjkjhk" localSheetId="6" hidden="1">{#N/A,#N/A,FALSE,"Calc";#N/A,#N/A,FALSE,"Sensitivity";#N/A,#N/A,FALSE,"LT Earn.Dil.";#N/A,#N/A,FALSE,"Dil. AVP"}</definedName>
    <definedName name="hjkjhk" hidden="1">{#N/A,#N/A,FALSE,"Calc";#N/A,#N/A,FALSE,"Sensitivity";#N/A,#N/A,FALSE,"LT Earn.Dil.";#N/A,#N/A,FALSE,"Dil. AVP"}</definedName>
    <definedName name="hjkjhk_1" localSheetId="0" hidden="1">{#N/A,#N/A,FALSE,"Umsatz HM";#N/A,#N/A,FALSE,"ER HM";#N/A,#N/A,FALSE,"EA HM  (2)";#N/A,#N/A,FALSE,"EA HM ";#N/A,#N/A,FALSE,"EA HM  (4)";#N/A,#N/A,FALSE,"EA HM  (3)";#N/A,#N/A,FALSE,"KA HM  (2)";#N/A,#N/A,FALSE,"KA HM";#N/A,#N/A,FALSE,"KA HM  (3)";#N/A,#N/A,FALSE,"KA HM (4)"}</definedName>
    <definedName name="hjkjhk_1" localSheetId="6" hidden="1">{#N/A,#N/A,FALSE,"Umsatz HM";#N/A,#N/A,FALSE,"ER HM";#N/A,#N/A,FALSE,"EA HM  (2)";#N/A,#N/A,FALSE,"EA HM ";#N/A,#N/A,FALSE,"EA HM  (4)";#N/A,#N/A,FALSE,"EA HM  (3)";#N/A,#N/A,FALSE,"KA HM  (2)";#N/A,#N/A,FALSE,"KA HM";#N/A,#N/A,FALSE,"KA HM  (3)";#N/A,#N/A,FALSE,"KA HM (4)"}</definedName>
    <definedName name="hjkjhk_1" hidden="1">{#N/A,#N/A,FALSE,"Umsatz HM";#N/A,#N/A,FALSE,"ER HM";#N/A,#N/A,FALSE,"EA HM  (2)";#N/A,#N/A,FALSE,"EA HM ";#N/A,#N/A,FALSE,"EA HM  (4)";#N/A,#N/A,FALSE,"EA HM  (3)";#N/A,#N/A,FALSE,"KA HM  (2)";#N/A,#N/A,FALSE,"KA HM";#N/A,#N/A,FALSE,"KA HM  (3)";#N/A,#N/A,FALSE,"KA HM (4)"}</definedName>
    <definedName name="hjkjhk_1_1" localSheetId="0" hidden="1">{#N/A,#N/A,FALSE,"Umsatz HM";#N/A,#N/A,FALSE,"ER HM";#N/A,#N/A,FALSE,"EA HM  (2)";#N/A,#N/A,FALSE,"EA HM ";#N/A,#N/A,FALSE,"EA HM  (4)";#N/A,#N/A,FALSE,"EA HM  (3)";#N/A,#N/A,FALSE,"KA HM  (2)";#N/A,#N/A,FALSE,"KA HM";#N/A,#N/A,FALSE,"KA HM  (3)";#N/A,#N/A,FALSE,"KA HM (4)"}</definedName>
    <definedName name="hjkjhk_1_1" localSheetId="6" hidden="1">{#N/A,#N/A,FALSE,"Umsatz HM";#N/A,#N/A,FALSE,"ER HM";#N/A,#N/A,FALSE,"EA HM  (2)";#N/A,#N/A,FALSE,"EA HM ";#N/A,#N/A,FALSE,"EA HM  (4)";#N/A,#N/A,FALSE,"EA HM  (3)";#N/A,#N/A,FALSE,"KA HM  (2)";#N/A,#N/A,FALSE,"KA HM";#N/A,#N/A,FALSE,"KA HM  (3)";#N/A,#N/A,FALSE,"KA HM (4)"}</definedName>
    <definedName name="hjkjhk_1_1" hidden="1">{#N/A,#N/A,FALSE,"Umsatz HM";#N/A,#N/A,FALSE,"ER HM";#N/A,#N/A,FALSE,"EA HM  (2)";#N/A,#N/A,FALSE,"EA HM ";#N/A,#N/A,FALSE,"EA HM  (4)";#N/A,#N/A,FALSE,"EA HM  (3)";#N/A,#N/A,FALSE,"KA HM  (2)";#N/A,#N/A,FALSE,"KA HM";#N/A,#N/A,FALSE,"KA HM  (3)";#N/A,#N/A,FALSE,"KA HM (4)"}</definedName>
    <definedName name="hjkjhk_2" localSheetId="0" hidden="1">{#N/A,#N/A,FALSE,"Umsatz HM";#N/A,#N/A,FALSE,"ER HM";#N/A,#N/A,FALSE,"EA HM  (2)";#N/A,#N/A,FALSE,"EA HM ";#N/A,#N/A,FALSE,"EA HM  (4)";#N/A,#N/A,FALSE,"EA HM  (3)";#N/A,#N/A,FALSE,"KA HM  (2)";#N/A,#N/A,FALSE,"KA HM";#N/A,#N/A,FALSE,"KA HM  (3)";#N/A,#N/A,FALSE,"KA HM (4)"}</definedName>
    <definedName name="hjkjhk_2" localSheetId="6" hidden="1">{#N/A,#N/A,FALSE,"Umsatz HM";#N/A,#N/A,FALSE,"ER HM";#N/A,#N/A,FALSE,"EA HM  (2)";#N/A,#N/A,FALSE,"EA HM ";#N/A,#N/A,FALSE,"EA HM  (4)";#N/A,#N/A,FALSE,"EA HM  (3)";#N/A,#N/A,FALSE,"KA HM  (2)";#N/A,#N/A,FALSE,"KA HM";#N/A,#N/A,FALSE,"KA HM  (3)";#N/A,#N/A,FALSE,"KA HM (4)"}</definedName>
    <definedName name="hjkjhk_2" hidden="1">{#N/A,#N/A,FALSE,"Umsatz HM";#N/A,#N/A,FALSE,"ER HM";#N/A,#N/A,FALSE,"EA HM  (2)";#N/A,#N/A,FALSE,"EA HM ";#N/A,#N/A,FALSE,"EA HM  (4)";#N/A,#N/A,FALSE,"EA HM  (3)";#N/A,#N/A,FALSE,"KA HM  (2)";#N/A,#N/A,FALSE,"KA HM";#N/A,#N/A,FALSE,"KA HM  (3)";#N/A,#N/A,FALSE,"KA HM (4)"}</definedName>
    <definedName name="hjkjhk_3" localSheetId="0" hidden="1">{#N/A,#N/A,FALSE,"Umsatz HM";#N/A,#N/A,FALSE,"ER HM";#N/A,#N/A,FALSE,"EA HM  (2)";#N/A,#N/A,FALSE,"EA HM ";#N/A,#N/A,FALSE,"EA HM  (4)";#N/A,#N/A,FALSE,"EA HM  (3)";#N/A,#N/A,FALSE,"KA HM  (2)";#N/A,#N/A,FALSE,"KA HM";#N/A,#N/A,FALSE,"KA HM  (3)";#N/A,#N/A,FALSE,"KA HM (4)"}</definedName>
    <definedName name="hjkjhk_3" localSheetId="6" hidden="1">{#N/A,#N/A,FALSE,"Umsatz HM";#N/A,#N/A,FALSE,"ER HM";#N/A,#N/A,FALSE,"EA HM  (2)";#N/A,#N/A,FALSE,"EA HM ";#N/A,#N/A,FALSE,"EA HM  (4)";#N/A,#N/A,FALSE,"EA HM  (3)";#N/A,#N/A,FALSE,"KA HM  (2)";#N/A,#N/A,FALSE,"KA HM";#N/A,#N/A,FALSE,"KA HM  (3)";#N/A,#N/A,FALSE,"KA HM (4)"}</definedName>
    <definedName name="hjkjhk_3" hidden="1">{#N/A,#N/A,FALSE,"Umsatz HM";#N/A,#N/A,FALSE,"ER HM";#N/A,#N/A,FALSE,"EA HM  (2)";#N/A,#N/A,FALSE,"EA HM ";#N/A,#N/A,FALSE,"EA HM  (4)";#N/A,#N/A,FALSE,"EA HM  (3)";#N/A,#N/A,FALSE,"KA HM  (2)";#N/A,#N/A,FALSE,"KA HM";#N/A,#N/A,FALSE,"KA HM  (3)";#N/A,#N/A,FALSE,"KA HM (4)"}</definedName>
    <definedName name="hjkjhk_4" localSheetId="0" hidden="1">{#N/A,#N/A,FALSE,"Umsatz HM";#N/A,#N/A,FALSE,"ER HM";#N/A,#N/A,FALSE,"EA HM  (2)";#N/A,#N/A,FALSE,"EA HM ";#N/A,#N/A,FALSE,"EA HM  (4)";#N/A,#N/A,FALSE,"EA HM  (3)";#N/A,#N/A,FALSE,"KA HM  (2)";#N/A,#N/A,FALSE,"KA HM";#N/A,#N/A,FALSE,"KA HM  (3)";#N/A,#N/A,FALSE,"KA HM (4)"}</definedName>
    <definedName name="hjkjhk_4" localSheetId="6" hidden="1">{#N/A,#N/A,FALSE,"Umsatz HM";#N/A,#N/A,FALSE,"ER HM";#N/A,#N/A,FALSE,"EA HM  (2)";#N/A,#N/A,FALSE,"EA HM ";#N/A,#N/A,FALSE,"EA HM  (4)";#N/A,#N/A,FALSE,"EA HM  (3)";#N/A,#N/A,FALSE,"KA HM  (2)";#N/A,#N/A,FALSE,"KA HM";#N/A,#N/A,FALSE,"KA HM  (3)";#N/A,#N/A,FALSE,"KA HM (4)"}</definedName>
    <definedName name="hjkjhk_4" hidden="1">{#N/A,#N/A,FALSE,"Umsatz HM";#N/A,#N/A,FALSE,"ER HM";#N/A,#N/A,FALSE,"EA HM  (2)";#N/A,#N/A,FALSE,"EA HM ";#N/A,#N/A,FALSE,"EA HM  (4)";#N/A,#N/A,FALSE,"EA HM  (3)";#N/A,#N/A,FALSE,"KA HM  (2)";#N/A,#N/A,FALSE,"KA HM";#N/A,#N/A,FALSE,"KA HM  (3)";#N/A,#N/A,FALSE,"KA HM (4)"}</definedName>
    <definedName name="hjkjhk_5" localSheetId="0" hidden="1">{#N/A,#N/A,FALSE,"Umsatz HM";#N/A,#N/A,FALSE,"ER HM";#N/A,#N/A,FALSE,"EA HM  (2)";#N/A,#N/A,FALSE,"EA HM ";#N/A,#N/A,FALSE,"EA HM  (4)";#N/A,#N/A,FALSE,"EA HM  (3)";#N/A,#N/A,FALSE,"KA HM  (2)";#N/A,#N/A,FALSE,"KA HM";#N/A,#N/A,FALSE,"KA HM  (3)";#N/A,#N/A,FALSE,"KA HM (4)"}</definedName>
    <definedName name="hjkjhk_5" localSheetId="6" hidden="1">{#N/A,#N/A,FALSE,"Umsatz HM";#N/A,#N/A,FALSE,"ER HM";#N/A,#N/A,FALSE,"EA HM  (2)";#N/A,#N/A,FALSE,"EA HM ";#N/A,#N/A,FALSE,"EA HM  (4)";#N/A,#N/A,FALSE,"EA HM  (3)";#N/A,#N/A,FALSE,"KA HM  (2)";#N/A,#N/A,FALSE,"KA HM";#N/A,#N/A,FALSE,"KA HM  (3)";#N/A,#N/A,FALSE,"KA HM (4)"}</definedName>
    <definedName name="hjkjhk_5" hidden="1">{#N/A,#N/A,FALSE,"Umsatz HM";#N/A,#N/A,FALSE,"ER HM";#N/A,#N/A,FALSE,"EA HM  (2)";#N/A,#N/A,FALSE,"EA HM ";#N/A,#N/A,FALSE,"EA HM  (4)";#N/A,#N/A,FALSE,"EA HM  (3)";#N/A,#N/A,FALSE,"KA HM  (2)";#N/A,#N/A,FALSE,"KA HM";#N/A,#N/A,FALSE,"KA HM  (3)";#N/A,#N/A,FALSE,"KA HM (4)"}</definedName>
    <definedName name="hjkk" localSheetId="0" hidden="1">{#N/A,#N/A,FALSE,"PMW Gruppe 00_99";#N/A,#N/A,FALSE,"PMW KG 00_99";#N/A,#N/A,FALSE,"PMW Inc. 00_99";#N/A,#N/A,FALSE,"PMW VTECH 00_99";#N/A,#N/A,FALSE,"PMW Thail. 00_99";#N/A,#N/A,FALSE,"PMW Canada 00_99";#N/A,#N/A,FALSE,"Währungsabw. 00_99"}</definedName>
    <definedName name="hjkk" localSheetId="6" hidden="1">{#N/A,#N/A,FALSE,"PMW Gruppe 00_99";#N/A,#N/A,FALSE,"PMW KG 00_99";#N/A,#N/A,FALSE,"PMW Inc. 00_99";#N/A,#N/A,FALSE,"PMW VTECH 00_99";#N/A,#N/A,FALSE,"PMW Thail. 00_99";#N/A,#N/A,FALSE,"PMW Canada 00_99";#N/A,#N/A,FALSE,"Währungsabw. 00_99"}</definedName>
    <definedName name="hjkk" hidden="1">{#N/A,#N/A,FALSE,"PMW Gruppe 00_99";#N/A,#N/A,FALSE,"PMW KG 00_99";#N/A,#N/A,FALSE,"PMW Inc. 00_99";#N/A,#N/A,FALSE,"PMW VTECH 00_99";#N/A,#N/A,FALSE,"PMW Thail. 00_99";#N/A,#N/A,FALSE,"PMW Canada 00_99";#N/A,#N/A,FALSE,"Währungsabw. 00_99"}</definedName>
    <definedName name="hjkk_1" localSheetId="0" hidden="1">{#N/A,#N/A,FALSE,"Pharm";#N/A,#N/A,FALSE,"WWCM"}</definedName>
    <definedName name="hjkk_1" localSheetId="6" hidden="1">{#N/A,#N/A,FALSE,"Pharm";#N/A,#N/A,FALSE,"WWCM"}</definedName>
    <definedName name="hjkk_1" hidden="1">{#N/A,#N/A,FALSE,"Pharm";#N/A,#N/A,FALSE,"WWCM"}</definedName>
    <definedName name="hjkk_1_1" localSheetId="0" hidden="1">{#N/A,#N/A,FALSE,"Pharm";#N/A,#N/A,FALSE,"WWCM"}</definedName>
    <definedName name="hjkk_1_1" localSheetId="6" hidden="1">{#N/A,#N/A,FALSE,"Pharm";#N/A,#N/A,FALSE,"WWCM"}</definedName>
    <definedName name="hjkk_1_1" hidden="1">{#N/A,#N/A,FALSE,"Pharm";#N/A,#N/A,FALSE,"WWCM"}</definedName>
    <definedName name="hjkk_2" localSheetId="0" hidden="1">{#N/A,#N/A,FALSE,"Pharm";#N/A,#N/A,FALSE,"WWCM"}</definedName>
    <definedName name="hjkk_2" localSheetId="6" hidden="1">{#N/A,#N/A,FALSE,"Pharm";#N/A,#N/A,FALSE,"WWCM"}</definedName>
    <definedName name="hjkk_2" hidden="1">{#N/A,#N/A,FALSE,"Pharm";#N/A,#N/A,FALSE,"WWCM"}</definedName>
    <definedName name="hjkk_3" localSheetId="0" hidden="1">{#N/A,#N/A,FALSE,"Pharm";#N/A,#N/A,FALSE,"WWCM"}</definedName>
    <definedName name="hjkk_3" localSheetId="6" hidden="1">{#N/A,#N/A,FALSE,"Pharm";#N/A,#N/A,FALSE,"WWCM"}</definedName>
    <definedName name="hjkk_3" hidden="1">{#N/A,#N/A,FALSE,"Pharm";#N/A,#N/A,FALSE,"WWCM"}</definedName>
    <definedName name="hjkk_4" localSheetId="0" hidden="1">{#N/A,#N/A,FALSE,"Pharm";#N/A,#N/A,FALSE,"WWCM"}</definedName>
    <definedName name="hjkk_4" localSheetId="6" hidden="1">{#N/A,#N/A,FALSE,"Pharm";#N/A,#N/A,FALSE,"WWCM"}</definedName>
    <definedName name="hjkk_4" hidden="1">{#N/A,#N/A,FALSE,"Pharm";#N/A,#N/A,FALSE,"WWCM"}</definedName>
    <definedName name="hjkk_5" localSheetId="0" hidden="1">{#N/A,#N/A,FALSE,"Pharm";#N/A,#N/A,FALSE,"WWCM"}</definedName>
    <definedName name="hjkk_5" localSheetId="6" hidden="1">{#N/A,#N/A,FALSE,"Pharm";#N/A,#N/A,FALSE,"WWCM"}</definedName>
    <definedName name="hjkk_5" hidden="1">{#N/A,#N/A,FALSE,"Pharm";#N/A,#N/A,FALSE,"WWCM"}</definedName>
    <definedName name="hkhjk" localSheetId="0" hidden="1">{#N/A,#N/A,FALSE,"Operations";#N/A,#N/A,FALSE,"Financials"}</definedName>
    <definedName name="hkhjk" localSheetId="6" hidden="1">{#N/A,#N/A,FALSE,"Operations";#N/A,#N/A,FALSE,"Financials"}</definedName>
    <definedName name="hkhjk" hidden="1">{#N/A,#N/A,FALSE,"Operations";#N/A,#N/A,FALSE,"Financials"}</definedName>
    <definedName name="hkjkh"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jkh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HKSH" localSheetId="0" hidden="1">{#N/A,#N/A,FALSE,"REPORT"}</definedName>
    <definedName name="HKSH" localSheetId="6" hidden="1">{#N/A,#N/A,FALSE,"REPORT"}</definedName>
    <definedName name="HKSH" hidden="1">{#N/A,#N/A,FALSE,"REPORT"}</definedName>
    <definedName name="HKSH_1" localSheetId="0" hidden="1">{#N/A,#N/A,FALSE,"REPORT"}</definedName>
    <definedName name="HKSH_1" localSheetId="6" hidden="1">{#N/A,#N/A,FALSE,"REPORT"}</definedName>
    <definedName name="HKSH_1" hidden="1">{#N/A,#N/A,FALSE,"REPORT"}</definedName>
    <definedName name="HKSH_1_1" localSheetId="0" hidden="1">{#N/A,#N/A,FALSE,"REPORT"}</definedName>
    <definedName name="HKSH_1_1" localSheetId="6" hidden="1">{#N/A,#N/A,FALSE,"REPORT"}</definedName>
    <definedName name="HKSH_1_1" hidden="1">{#N/A,#N/A,FALSE,"REPORT"}</definedName>
    <definedName name="HKSH_2" localSheetId="0" hidden="1">{#N/A,#N/A,FALSE,"REPORT"}</definedName>
    <definedName name="HKSH_2" localSheetId="6" hidden="1">{#N/A,#N/A,FALSE,"REPORT"}</definedName>
    <definedName name="HKSH_2" hidden="1">{#N/A,#N/A,FALSE,"REPORT"}</definedName>
    <definedName name="HKSH_3" localSheetId="0" hidden="1">{#N/A,#N/A,FALSE,"REPORT"}</definedName>
    <definedName name="HKSH_3" localSheetId="6" hidden="1">{#N/A,#N/A,FALSE,"REPORT"}</definedName>
    <definedName name="HKSH_3" hidden="1">{#N/A,#N/A,FALSE,"REPORT"}</definedName>
    <definedName name="HKSH_4" localSheetId="0" hidden="1">{#N/A,#N/A,FALSE,"REPORT"}</definedName>
    <definedName name="HKSH_4" localSheetId="6" hidden="1">{#N/A,#N/A,FALSE,"REPORT"}</definedName>
    <definedName name="HKSH_4" hidden="1">{#N/A,#N/A,FALSE,"REPORT"}</definedName>
    <definedName name="HKSH_5" localSheetId="0" hidden="1">{#N/A,#N/A,FALSE,"REPORT"}</definedName>
    <definedName name="HKSH_5" localSheetId="6" hidden="1">{#N/A,#N/A,FALSE,"REPORT"}</definedName>
    <definedName name="HKSH_5" hidden="1">{#N/A,#N/A,FALSE,"REPORT"}</definedName>
    <definedName name="hlp" hidden="1">#REF!</definedName>
    <definedName name="HMG" localSheetId="0" hidden="1">{#N/A,#N/A,FALSE,"REPORT"}</definedName>
    <definedName name="HMG" localSheetId="6" hidden="1">{#N/A,#N/A,FALSE,"REPORT"}</definedName>
    <definedName name="HMG" hidden="1">{#N/A,#N/A,FALSE,"REPORT"}</definedName>
    <definedName name="HMG_1" localSheetId="0" hidden="1">{#N/A,#N/A,FALSE,"REPORT"}</definedName>
    <definedName name="HMG_1" localSheetId="6" hidden="1">{#N/A,#N/A,FALSE,"REPORT"}</definedName>
    <definedName name="HMG_1" hidden="1">{#N/A,#N/A,FALSE,"REPORT"}</definedName>
    <definedName name="HMG_1_1" localSheetId="0" hidden="1">{#N/A,#N/A,FALSE,"REPORT"}</definedName>
    <definedName name="HMG_1_1" localSheetId="6" hidden="1">{#N/A,#N/A,FALSE,"REPORT"}</definedName>
    <definedName name="HMG_1_1" hidden="1">{#N/A,#N/A,FALSE,"REPORT"}</definedName>
    <definedName name="HMG_2" localSheetId="0" hidden="1">{#N/A,#N/A,FALSE,"REPORT"}</definedName>
    <definedName name="HMG_2" localSheetId="6" hidden="1">{#N/A,#N/A,FALSE,"REPORT"}</definedName>
    <definedName name="HMG_2" hidden="1">{#N/A,#N/A,FALSE,"REPORT"}</definedName>
    <definedName name="HMG_3" localSheetId="0" hidden="1">{#N/A,#N/A,FALSE,"REPORT"}</definedName>
    <definedName name="HMG_3" localSheetId="6" hidden="1">{#N/A,#N/A,FALSE,"REPORT"}</definedName>
    <definedName name="HMG_3" hidden="1">{#N/A,#N/A,FALSE,"REPORT"}</definedName>
    <definedName name="HMG_4" localSheetId="0" hidden="1">{#N/A,#N/A,FALSE,"REPORT"}</definedName>
    <definedName name="HMG_4" localSheetId="6" hidden="1">{#N/A,#N/A,FALSE,"REPORT"}</definedName>
    <definedName name="HMG_4" hidden="1">{#N/A,#N/A,FALSE,"REPORT"}</definedName>
    <definedName name="HMG_5" localSheetId="0" hidden="1">{#N/A,#N/A,FALSE,"REPORT"}</definedName>
    <definedName name="HMG_5" localSheetId="6" hidden="1">{#N/A,#N/A,FALSE,"REPORT"}</definedName>
    <definedName name="HMG_5" hidden="1">{#N/A,#N/A,FALSE,"REPORT"}</definedName>
    <definedName name="hn._I006" hidden="1">#REF!</definedName>
    <definedName name="hn._I018" hidden="1">#REF!</definedName>
    <definedName name="hn._I024" hidden="1">#REF!</definedName>
    <definedName name="hn._I028" hidden="1">#REF!</definedName>
    <definedName name="hn._I029" hidden="1">#REF!</definedName>
    <definedName name="hn._I030" hidden="1">#REF!</definedName>
    <definedName name="hn._I031" hidden="1">#REF!</definedName>
    <definedName name="hn._I044" hidden="1">#REF!</definedName>
    <definedName name="hn._I051" hidden="1">#REF!</definedName>
    <definedName name="hn._I059" hidden="1">#REF!</definedName>
    <definedName name="hn._I062" hidden="1">#REF!</definedName>
    <definedName name="hn._I070" hidden="1">#REF!</definedName>
    <definedName name="hn._I071" hidden="1">#REF!</definedName>
    <definedName name="hn._I075" hidden="1">#REF!</definedName>
    <definedName name="hn._I077" hidden="1">#REF!</definedName>
    <definedName name="hn._I083" hidden="1">#REF!</definedName>
    <definedName name="hn._I085" hidden="1">#REF!</definedName>
    <definedName name="hn._P001" hidden="1">#REF!</definedName>
    <definedName name="hn._P002" hidden="1">#REF!</definedName>
    <definedName name="hn._P004" hidden="1">#REF!</definedName>
    <definedName name="hn._P014" hidden="1">#REF!</definedName>
    <definedName name="hn._P016" hidden="1">#REF!</definedName>
    <definedName name="hn._P017" hidden="1">#REF!</definedName>
    <definedName name="hn._P017g" hidden="1">#REF!</definedName>
    <definedName name="hn._P021" hidden="1">#REF!</definedName>
    <definedName name="hn._P024" hidden="1">#REF!</definedName>
    <definedName name="hn.Add015" hidden="1">#REF!</definedName>
    <definedName name="hn.ConvertVal1" hidden="1">#REF!</definedName>
    <definedName name="hn.ConvertZero1" hidden="1">#REF!,#REF!,#REF!,#REF!,#REF!,#REF!,#REF!,#REF!,#REF!,#REF!</definedName>
    <definedName name="hn.ConvertZero2" hidden="1">#REF!,#REF!,#REF!,#REF!,#REF!,#REF!,#REF!,#REF!</definedName>
    <definedName name="hn.ConvertZero3" hidden="1">#REF!,#REF!,#REF!,#REF!,#REF!</definedName>
    <definedName name="hn.ConvertZero4" hidden="1">#REF!,#REF!,#REF!,#REF!,#REF!,#REF!,#REF!,#REF!</definedName>
    <definedName name="hn.ConvertZeroUnhide1" hidden="1">#REF!,#REF!,#REF!</definedName>
    <definedName name="hn.CopyforPR" hidden="1">#REF!</definedName>
    <definedName name="hn.Delete015" hidden="1">#REF!,#REF!,#REF!,#REF!</definedName>
    <definedName name="hn.domestic" hidden="1">#REF!</definedName>
    <definedName name="hn.DZ_MultByFXRates" hidden="1">#REF!,#REF!,#REF!,#REF!</definedName>
    <definedName name="hn.ExtDb" hidden="1">FALSE</definedName>
    <definedName name="hn.FromMain" hidden="1">#REF!</definedName>
    <definedName name="hn.FromMain1" hidden="1">#REF!</definedName>
    <definedName name="hn.FromMain2" hidden="1">#REF!</definedName>
    <definedName name="hn.FromMain3" hidden="1">#REF!</definedName>
    <definedName name="hn.FromMain4" hidden="1">#REF!</definedName>
    <definedName name="hn.FromMain5" hidden="1">#REF!</definedName>
    <definedName name="hn.Global" hidden="1">#REF!</definedName>
    <definedName name="hn.LTM_MultByFXRates" hidden="1">#REF!,#REF!,#REF!,#REF!,#REF!,#REF!,#REF!</definedName>
    <definedName name="hn.LTMData" hidden="1">#REF!</definedName>
    <definedName name="hn.ModelType" hidden="1">"DEAL"</definedName>
    <definedName name="hn.ModelVersion" hidden="1">1</definedName>
    <definedName name="hn.MultbyFXRates" hidden="1">#REF!,#REF!,#REF!,#REF!,#REF!,#REF!,#REF!</definedName>
    <definedName name="hn.MultByFXRates1" hidden="1">#REF!,#REF!,#REF!,#REF!,#REF!</definedName>
    <definedName name="hn.MultByFXRates2" hidden="1">#REF!,#REF!,#REF!,#REF!,#REF!</definedName>
    <definedName name="hn.MultByFXRates3" hidden="1">#REF!,#REF!,#REF!,#REF!,#REF!</definedName>
    <definedName name="hn.MultbyFxrates4" hidden="1">#REF!,#REF!,#REF!,#REF!,#REF!,#REF!,#REF!</definedName>
    <definedName name="hn.multbyfxrates5" hidden="1">#REF!,#REF!,#REF!,#REF!,#REF!</definedName>
    <definedName name="hn.multbyfxrates6" hidden="1">#REF!,#REF!,#REF!,#REF!,#REF!</definedName>
    <definedName name="hn.multbyfxrates7" hidden="1">#REF!,#REF!,#REF!,#REF!,#REF!</definedName>
    <definedName name="hn.MultByFXRatesBot1" hidden="1">#REF!,#REF!,#REF!,#REF!,#REF!,#REF!,#REF!,#REF!,#REF!,#REF!,#REF!,#REF!</definedName>
    <definedName name="hn.MultByFXRatesBot2" hidden="1">#REF!,#REF!,#REF!,#REF!,#REF!,#REF!,#REF!,#REF!,#REF!,#REF!,#REF!,#REF!</definedName>
    <definedName name="hn.MultByFXRatesBot3" hidden="1">#REF!,#REF!,#REF!,#REF!,#REF!,#REF!,#REF!,#REF!,#REF!,#REF!,#REF!,#REF!</definedName>
    <definedName name="hn.MultByFXRatesBot4" hidden="1">#REF!,#REF!,#REF!,#REF!,#REF!,#REF!,#REF!,#REF!,#REF!,#REF!,#REF!,#REF!,#REF!</definedName>
    <definedName name="hn.MultByFXRatesBot5" hidden="1">#REF!,#REF!,#REF!,#REF!,#REF!,#REF!,#REF!,#REF!,#REF!,#REF!,#REF!</definedName>
    <definedName name="hn.MultByFXRatesBot6" hidden="1">#REF!,#REF!,#REF!,#REF!,#REF!,#REF!,#REF!,#REF!,#REF!,#REF!,#REF!</definedName>
    <definedName name="hn.MultByFXRatesBot7" hidden="1">#REF!,#REF!,#REF!,#REF!,#REF!,#REF!,#REF!,#REF!,#REF!,#REF!,#REF!</definedName>
    <definedName name="hn.MultByFXRatesTop1" hidden="1">#REF!,#REF!,#REF!,#REF!,#REF!,#REF!,#REF!,#REF!,#REF!,#REF!,#REF!,#REF!</definedName>
    <definedName name="hn.MultByFXRatesTop2" hidden="1">#REF!,#REF!,#REF!,#REF!,#REF!,#REF!,#REF!,#REF!,#REF!,#REF!,#REF!,#REF!,#REF!,#REF!,#REF!</definedName>
    <definedName name="hn.MultByFXRatesTop3" hidden="1">#REF!,#REF!,#REF!,#REF!,#REF!,#REF!,#REF!,#REF!,#REF!,#REF!,#REF!,#REF!,#REF!,#REF!,#REF!</definedName>
    <definedName name="hn.MultByFXRatesTop4" hidden="1">#REF!,#REF!,#REF!,#REF!,#REF!,#REF!,#REF!,#REF!,#REF!,#REF!,#REF!,#REF!,#REF!,#REF!,#REF!</definedName>
    <definedName name="hn.MultByFXRatesTop5" hidden="1">#REF!,#REF!,#REF!,#REF!,#REF!,#REF!,#REF!,#REF!,#REF!,#REF!,#REF!,#REF!</definedName>
    <definedName name="hn.MultByFXRatesTop6" hidden="1">#REF!,#REF!,#REF!,#REF!,#REF!,#REF!,#REF!,#REF!,#REF!,#REF!,#REF!,#REF!,#REF!,#REF!,#REF!</definedName>
    <definedName name="hn.MultByFXRatesTop7" hidden="1">#REF!,#REF!,#REF!,#REF!,#REF!,#REF!,#REF!,#REF!,#REF!,#REF!,#REF!,#REF!,#REF!,#REF!,#REF!</definedName>
    <definedName name="hn.NoUpload" hidden="1">0</definedName>
    <definedName name="hn.ParityCheck" hidden="1">#REF!</definedName>
    <definedName name="hn.PrivateLTMYear" hidden="1">#REF!</definedName>
    <definedName name="hn.RolledForward" hidden="1">FALSE</definedName>
    <definedName name="hn.USLast" hidden="1">#REF!</definedName>
    <definedName name="hn.YearLabel" hidden="1">#REF!</definedName>
    <definedName name="HNJ" localSheetId="0" hidden="1">{#N/A,#N/A,FALSE,"Calc";#N/A,#N/A,FALSE,"Sensitivity";#N/A,#N/A,FALSE,"LT Earn.Dil.";#N/A,#N/A,FALSE,"Dil. AVP"}</definedName>
    <definedName name="HNJ" localSheetId="6" hidden="1">{#N/A,#N/A,FALSE,"Calc";#N/A,#N/A,FALSE,"Sensitivity";#N/A,#N/A,FALSE,"LT Earn.Dil.";#N/A,#N/A,FALSE,"Dil. AVP"}</definedName>
    <definedName name="HNJ" hidden="1">{#N/A,#N/A,FALSE,"Calc";#N/A,#N/A,FALSE,"Sensitivity";#N/A,#N/A,FALSE,"LT Earn.Dil.";#N/A,#N/A,FALSE,"Dil. AVP"}</definedName>
    <definedName name="hod" localSheetId="6"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FUF">#REF!</definedName>
    <definedName name="HoldingCompany">#REF!</definedName>
    <definedName name="Holiday_type">#REF!</definedName>
    <definedName name="HOMFE" localSheetId="0" hidden="1">{#N/A,#N/A,FALSE,"Assessment";#N/A,#N/A,FALSE,"Staffing";#N/A,#N/A,FALSE,"Hires";#N/A,#N/A,FALSE,"Assumptions"}</definedName>
    <definedName name="HOMFE" localSheetId="6" hidden="1">{#N/A,#N/A,FALSE,"Assessment";#N/A,#N/A,FALSE,"Staffing";#N/A,#N/A,FALSE,"Hires";#N/A,#N/A,FALSE,"Assumptions"}</definedName>
    <definedName name="HOMFE" hidden="1">{#N/A,#N/A,FALSE,"Assessment";#N/A,#N/A,FALSE,"Staffing";#N/A,#N/A,FALSE,"Hires";#N/A,#N/A,FALSE,"Assumptions"}</definedName>
    <definedName name="HOMFE_1" localSheetId="0" hidden="1">{#N/A,#N/A,FALSE,"Assessment";#N/A,#N/A,FALSE,"Staffing";#N/A,#N/A,FALSE,"Hires";#N/A,#N/A,FALSE,"Assumptions"}</definedName>
    <definedName name="HOMFE_1" localSheetId="6" hidden="1">{#N/A,#N/A,FALSE,"Assessment";#N/A,#N/A,FALSE,"Staffing";#N/A,#N/A,FALSE,"Hires";#N/A,#N/A,FALSE,"Assumptions"}</definedName>
    <definedName name="HOMFE_1" hidden="1">{#N/A,#N/A,FALSE,"Assessment";#N/A,#N/A,FALSE,"Staffing";#N/A,#N/A,FALSE,"Hires";#N/A,#N/A,FALSE,"Assumptions"}</definedName>
    <definedName name="HOS" localSheetId="0" hidden="1">{#N/A,#N/A,TRUE,"PROFIT 11-95"}</definedName>
    <definedName name="HOS" localSheetId="6" hidden="1">{#N/A,#N/A,TRUE,"PROFIT 11-95"}</definedName>
    <definedName name="HOS" hidden="1">{#N/A,#N/A,TRUE,"PROFIT 11-95"}</definedName>
    <definedName name="houy" localSheetId="6" hidden="1">{#N/A,#N/A,FALSE,"AD_Purchase";#N/A,#N/A,FALSE,"Credit";#N/A,#N/A,FALSE,"PF Acquisition";#N/A,#N/A,FALSE,"PF Offering"}</definedName>
    <definedName name="houy" hidden="1">{#N/A,#N/A,FALSE,"AD_Purchase";#N/A,#N/A,FALSE,"Credit";#N/A,#N/A,FALSE,"PF Acquisition";#N/A,#N/A,FALSE,"PF Offering"}</definedName>
    <definedName name="HR_No">#REF!</definedName>
    <definedName name="htl">#REF!</definedName>
    <definedName name="HTML_CodePage" hidden="1">1252</definedName>
    <definedName name="HTML_Control" localSheetId="0" hidden="1">{"'Leverage'!$B$2:$M$418"}</definedName>
    <definedName name="HTML_Control" localSheetId="6" hidden="1">{"'Leverage'!$B$2:$M$418"}</definedName>
    <definedName name="HTML_Control" hidden="1">{"'Leverage'!$B$2:$M$418"}</definedName>
    <definedName name="HTML_Control_1" localSheetId="0" hidden="1">{"'INDICE'!$A$1:$K$13","'1'!$A$1:$CC$78","'2'!$A$1:$P$78","'3'!$A$1:$CI$78","'4'!$A$1:$Q$78"}</definedName>
    <definedName name="HTML_Control_1" localSheetId="6" hidden="1">{"'INDICE'!$A$1:$K$13","'1'!$A$1:$CC$78","'2'!$A$1:$P$78","'3'!$A$1:$CI$78","'4'!$A$1:$Q$78"}</definedName>
    <definedName name="HTML_Control_1" hidden="1">{"'INDICE'!$A$1:$K$13","'1'!$A$1:$CC$78","'2'!$A$1:$P$78","'3'!$A$1:$CI$78","'4'!$A$1:$Q$78"}</definedName>
    <definedName name="HTML_Control_1_1" localSheetId="0" hidden="1">{"'A'!$CL$1:$DB$170"}</definedName>
    <definedName name="HTML_Control_1_1" localSheetId="6" hidden="1">{"'A'!$CL$1:$DB$170"}</definedName>
    <definedName name="HTML_Control_1_1" hidden="1">{"'A'!$CL$1:$DB$170"}</definedName>
    <definedName name="HTML_Control_2" localSheetId="0" hidden="1">{"'A'!$CL$1:$DB$170"}</definedName>
    <definedName name="HTML_Control_2" localSheetId="6" hidden="1">{"'A'!$CL$1:$DB$170"}</definedName>
    <definedName name="HTML_Control_2" hidden="1">{"'A'!$CL$1:$DB$170"}</definedName>
    <definedName name="HTML_Control_3" localSheetId="0" hidden="1">{"'A'!$CL$1:$DB$170"}</definedName>
    <definedName name="HTML_Control_3" localSheetId="6" hidden="1">{"'A'!$CL$1:$DB$170"}</definedName>
    <definedName name="HTML_Control_3" hidden="1">{"'A'!$CL$1:$DB$170"}</definedName>
    <definedName name="HTML_Control_4" localSheetId="0" hidden="1">{"'A'!$CL$1:$DB$170"}</definedName>
    <definedName name="HTML_Control_4" localSheetId="6" hidden="1">{"'A'!$CL$1:$DB$170"}</definedName>
    <definedName name="HTML_Control_4" hidden="1">{"'A'!$CL$1:$DB$170"}</definedName>
    <definedName name="HTML_Control_5" localSheetId="0" hidden="1">{"'A'!$CL$1:$DB$170"}</definedName>
    <definedName name="HTML_Control_5" localSheetId="6" hidden="1">{"'A'!$CL$1:$DB$170"}</definedName>
    <definedName name="HTML_Control_5" hidden="1">{"'A'!$CL$1:$DB$170"}</definedName>
    <definedName name="HTML_Control1" localSheetId="0" hidden="1">{"'Sheet1'!$E$65:$L$100"}</definedName>
    <definedName name="HTML_Control1" localSheetId="6" hidden="1">{"'Sheet1'!$E$65:$L$100"}</definedName>
    <definedName name="HTML_Control1" hidden="1">{"'Sheet1'!$E$65:$L$100"}</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3"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PathTemplate" hidden="1">"C:\Mes documents\HTMLTemp.htm"</definedName>
    <definedName name="HTML_Title" hidden="1">"leverage"</definedName>
    <definedName name="HTML1_1" hidden="1">"[Book1]PrintoutAll!$B$3:$F$51"</definedName>
    <definedName name="HTML1_10" hidden="1">""</definedName>
    <definedName name="HTML1_11" hidden="1">1</definedName>
    <definedName name="HTML1_12" hidden="1">"T:\IAF\DPR\MyHTML.htm"</definedName>
    <definedName name="HTML1_13" hidden="1">#N/A</definedName>
    <definedName name="HTML1_14" hidden="1">#N/A</definedName>
    <definedName name="HTML1_15" hidden="1">#N/A</definedName>
    <definedName name="HTML1_2" hidden="1">1</definedName>
    <definedName name="HTML1_3" hidden="1">""</definedName>
    <definedName name="HTML1_4" hidden="1">"GRM"</definedName>
    <definedName name="HTML1_5" hidden="1">""</definedName>
    <definedName name="HTML1_6" hidden="1">-4146</definedName>
    <definedName name="HTML1_7" hidden="1">-4146</definedName>
    <definedName name="HTML1_8" hidden="1">"24/07/97"</definedName>
    <definedName name="HTML1_9" hidden="1">"Authorised User"</definedName>
    <definedName name="HTML2_1" hidden="1">"[TESTDPRINTERNET.xls]PrintoutAll!$B$4:$F$51"</definedName>
    <definedName name="HTML2_10" hidden="1">""</definedName>
    <definedName name="HTML2_11" hidden="1">1</definedName>
    <definedName name="HTML2_12" hidden="1">"T:\IAF\DPR\Daily.htm"</definedName>
    <definedName name="HTML2_13" hidden="1">#N/A</definedName>
    <definedName name="HTML2_14" hidden="1">#N/A</definedName>
    <definedName name="HTML2_15" hidden="1">#N/A</definedName>
    <definedName name="HTML2_2" hidden="1">1</definedName>
    <definedName name="HTML2_3" hidden="1">""</definedName>
    <definedName name="HTML2_4" hidden="1">"Daily Price Report"</definedName>
    <definedName name="HTML2_5" hidden="1">""</definedName>
    <definedName name="HTML2_6" hidden="1">-4146</definedName>
    <definedName name="HTML2_7" hidden="1">-4146</definedName>
    <definedName name="HTML2_8" hidden="1">"25/07/97"</definedName>
    <definedName name="HTML2_9" hidden="1">"Authorised User"</definedName>
    <definedName name="HTML3_1" hidden="1">"[Per022000FinStats.xls]Financials!$M$2:$X$352"</definedName>
    <definedName name="HTML3_10" hidden="1">""</definedName>
    <definedName name="HTML3_11" hidden="1">1</definedName>
    <definedName name="HTML3_12" hidden="1">"\\Boris\finplan\cytd022000"</definedName>
    <definedName name="HTML3_13" hidden="1">#N/A</definedName>
    <definedName name="HTML3_14" hidden="1">#N/A</definedName>
    <definedName name="HTML3_15" hidden="1">#N/A</definedName>
    <definedName name="HTML3_2" hidden="1">1</definedName>
    <definedName name="HTML3_3" hidden="1">"Per022000FinStats.xls"</definedName>
    <definedName name="HTML3_4" hidden="1">"Period 2, 2000 Financials"</definedName>
    <definedName name="HTML3_5" hidden="1">""</definedName>
    <definedName name="HTML3_6" hidden="1">-4146</definedName>
    <definedName name="HTML3_7" hidden="1">1</definedName>
    <definedName name="HTML3_8" hidden="1">"3/6/2000"</definedName>
    <definedName name="HTML3_9" hidden="1">"Mark Galla"</definedName>
    <definedName name="HTMLControl" localSheetId="0" hidden="1">{"'Projection USA'!$A$2:$M$191"}</definedName>
    <definedName name="HTMLControl" localSheetId="6" hidden="1">{"'Projection USA'!$A$2:$M$191"}</definedName>
    <definedName name="HTMLControl" hidden="1">{"'Projection USA'!$A$2:$M$191"}</definedName>
    <definedName name="HTMLCount" hidden="1">2</definedName>
    <definedName name="httt" localSheetId="0"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httt" localSheetId="6"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httt"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htyuityuiotio" localSheetId="0" hidden="1">{#N/A,#N/A,FALSE,"REPORT"}</definedName>
    <definedName name="htyuityuiotio" localSheetId="6" hidden="1">{#N/A,#N/A,FALSE,"REPORT"}</definedName>
    <definedName name="htyuityuiotio" hidden="1">{#N/A,#N/A,FALSE,"REPORT"}</definedName>
    <definedName name="htyuityuiotio_1" localSheetId="0" hidden="1">{#N/A,#N/A,FALSE,"REPORT"}</definedName>
    <definedName name="htyuityuiotio_1" localSheetId="6" hidden="1">{#N/A,#N/A,FALSE,"REPORT"}</definedName>
    <definedName name="htyuityuiotio_1" hidden="1">{#N/A,#N/A,FALSE,"REPORT"}</definedName>
    <definedName name="htyuityuiotio_1_1" localSheetId="0" hidden="1">{#N/A,#N/A,FALSE,"REPORT"}</definedName>
    <definedName name="htyuityuiotio_1_1" localSheetId="6" hidden="1">{#N/A,#N/A,FALSE,"REPORT"}</definedName>
    <definedName name="htyuityuiotio_1_1" hidden="1">{#N/A,#N/A,FALSE,"REPORT"}</definedName>
    <definedName name="htyuityuiotio_2" localSheetId="0" hidden="1">{#N/A,#N/A,FALSE,"REPORT"}</definedName>
    <definedName name="htyuityuiotio_2" localSheetId="6" hidden="1">{#N/A,#N/A,FALSE,"REPORT"}</definedName>
    <definedName name="htyuityuiotio_2" hidden="1">{#N/A,#N/A,FALSE,"REPORT"}</definedName>
    <definedName name="htyuityuiotio_3" localSheetId="0" hidden="1">{#N/A,#N/A,FALSE,"REPORT"}</definedName>
    <definedName name="htyuityuiotio_3" localSheetId="6" hidden="1">{#N/A,#N/A,FALSE,"REPORT"}</definedName>
    <definedName name="htyuityuiotio_3" hidden="1">{#N/A,#N/A,FALSE,"REPORT"}</definedName>
    <definedName name="htyuityuiotio_4" localSheetId="0" hidden="1">{#N/A,#N/A,FALSE,"REPORT"}</definedName>
    <definedName name="htyuityuiotio_4" localSheetId="6" hidden="1">{#N/A,#N/A,FALSE,"REPORT"}</definedName>
    <definedName name="htyuityuiotio_4" hidden="1">{#N/A,#N/A,FALSE,"REPORT"}</definedName>
    <definedName name="htyuityuiotio_5" localSheetId="0" hidden="1">{#N/A,#N/A,FALSE,"REPORT"}</definedName>
    <definedName name="htyuityuiotio_5" localSheetId="6" hidden="1">{#N/A,#N/A,FALSE,"REPORT"}</definedName>
    <definedName name="htyuityuiotio_5" hidden="1">{#N/A,#N/A,FALSE,"REPORT"}</definedName>
    <definedName name="htyu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tyu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tyu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tyyi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tyyi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tyyi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ubco">#REF!</definedName>
    <definedName name="hubert" localSheetId="6" hidden="1">{#N/A,#N/A,FALSE,"ASSUM"}</definedName>
    <definedName name="hubert" hidden="1">{#N/A,#N/A,FALSE,"ASSUM"}</definedName>
    <definedName name="huh?????"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uh?????"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huy" localSheetId="0" hidden="1">{"'Sheet1'!$L$16"}</definedName>
    <definedName name="huy" localSheetId="6" hidden="1">{"'Sheet1'!$L$16"}</definedName>
    <definedName name="huy" hidden="1">{"'Sheet1'!$L$16"}</definedName>
    <definedName name="huyi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uyi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uyi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yg" localSheetId="6" hidden="1">{#N/A,#N/A,FALSE,"Eastern";#N/A,#N/A,FALSE,"Western"}</definedName>
    <definedName name="hyg" hidden="1">{#N/A,#N/A,FALSE,"Eastern";#N/A,#N/A,FALSE,"Western"}</definedName>
    <definedName name="Hypertention" localSheetId="0" hidden="1">{#N/A,#N/A,FALSE,"Pharm";#N/A,#N/A,FALSE,"WWCM"}</definedName>
    <definedName name="Hypertention" localSheetId="6" hidden="1">{#N/A,#N/A,FALSE,"Pharm";#N/A,#N/A,FALSE,"WWCM"}</definedName>
    <definedName name="Hypertention" hidden="1">{#N/A,#N/A,FALSE,"Pharm";#N/A,#N/A,FALSE,"WWCM"}</definedName>
    <definedName name="Hypertention_1" localSheetId="0" hidden="1">{#N/A,#N/A,FALSE,"Pharm";#N/A,#N/A,FALSE,"WWCM"}</definedName>
    <definedName name="Hypertention_1" localSheetId="6" hidden="1">{#N/A,#N/A,FALSE,"Pharm";#N/A,#N/A,FALSE,"WWCM"}</definedName>
    <definedName name="Hypertention_1" hidden="1">{#N/A,#N/A,FALSE,"Pharm";#N/A,#N/A,FALSE,"WWCM"}</definedName>
    <definedName name="Hypertention_1_1" localSheetId="0" hidden="1">{#N/A,#N/A,FALSE,"Pharm";#N/A,#N/A,FALSE,"WWCM"}</definedName>
    <definedName name="Hypertention_1_1" localSheetId="6" hidden="1">{#N/A,#N/A,FALSE,"Pharm";#N/A,#N/A,FALSE,"WWCM"}</definedName>
    <definedName name="Hypertention_1_1" hidden="1">{#N/A,#N/A,FALSE,"Pharm";#N/A,#N/A,FALSE,"WWCM"}</definedName>
    <definedName name="Hypertention_2" localSheetId="0" hidden="1">{#N/A,#N/A,FALSE,"Pharm";#N/A,#N/A,FALSE,"WWCM"}</definedName>
    <definedName name="Hypertention_2" localSheetId="6" hidden="1">{#N/A,#N/A,FALSE,"Pharm";#N/A,#N/A,FALSE,"WWCM"}</definedName>
    <definedName name="Hypertention_2" hidden="1">{#N/A,#N/A,FALSE,"Pharm";#N/A,#N/A,FALSE,"WWCM"}</definedName>
    <definedName name="Hypertention_3" localSheetId="0" hidden="1">{#N/A,#N/A,FALSE,"Pharm";#N/A,#N/A,FALSE,"WWCM"}</definedName>
    <definedName name="Hypertention_3" localSheetId="6" hidden="1">{#N/A,#N/A,FALSE,"Pharm";#N/A,#N/A,FALSE,"WWCM"}</definedName>
    <definedName name="Hypertention_3" hidden="1">{#N/A,#N/A,FALSE,"Pharm";#N/A,#N/A,FALSE,"WWCM"}</definedName>
    <definedName name="Hypertention_4" localSheetId="0" hidden="1">{#N/A,#N/A,FALSE,"Pharm";#N/A,#N/A,FALSE,"WWCM"}</definedName>
    <definedName name="Hypertention_4" localSheetId="6" hidden="1">{#N/A,#N/A,FALSE,"Pharm";#N/A,#N/A,FALSE,"WWCM"}</definedName>
    <definedName name="Hypertention_4" hidden="1">{#N/A,#N/A,FALSE,"Pharm";#N/A,#N/A,FALSE,"WWCM"}</definedName>
    <definedName name="Hypertention_5" localSheetId="0" hidden="1">{#N/A,#N/A,FALSE,"Pharm";#N/A,#N/A,FALSE,"WWCM"}</definedName>
    <definedName name="Hypertention_5" localSheetId="6" hidden="1">{#N/A,#N/A,FALSE,"Pharm";#N/A,#N/A,FALSE,"WWCM"}</definedName>
    <definedName name="Hypertention_5" hidden="1">{#N/A,#N/A,FALSE,"Pharm";#N/A,#N/A,FALSE,"WWCM"}</definedName>
    <definedName name="hypo" localSheetId="0" hidden="1">{#N/A,#N/A,FALSE,"Pharm";#N/A,#N/A,FALSE,"WWCM"}</definedName>
    <definedName name="hypo" localSheetId="6" hidden="1">{#N/A,#N/A,FALSE,"Pharm";#N/A,#N/A,FALSE,"WWCM"}</definedName>
    <definedName name="hypo" hidden="1">{#N/A,#N/A,FALSE,"Pharm";#N/A,#N/A,FALSE,"WWCM"}</definedName>
    <definedName name="hypo_1" localSheetId="0" hidden="1">{#N/A,#N/A,FALSE,"Pharm";#N/A,#N/A,FALSE,"WWCM"}</definedName>
    <definedName name="hypo_1" localSheetId="6" hidden="1">{#N/A,#N/A,FALSE,"Pharm";#N/A,#N/A,FALSE,"WWCM"}</definedName>
    <definedName name="hypo_1" hidden="1">{#N/A,#N/A,FALSE,"Pharm";#N/A,#N/A,FALSE,"WWCM"}</definedName>
    <definedName name="hypo_1_1" localSheetId="0" hidden="1">{#N/A,#N/A,FALSE,"Pharm";#N/A,#N/A,FALSE,"WWCM"}</definedName>
    <definedName name="hypo_1_1" localSheetId="6" hidden="1">{#N/A,#N/A,FALSE,"Pharm";#N/A,#N/A,FALSE,"WWCM"}</definedName>
    <definedName name="hypo_1_1" hidden="1">{#N/A,#N/A,FALSE,"Pharm";#N/A,#N/A,FALSE,"WWCM"}</definedName>
    <definedName name="hypo_2" localSheetId="0" hidden="1">{#N/A,#N/A,FALSE,"Pharm";#N/A,#N/A,FALSE,"WWCM"}</definedName>
    <definedName name="hypo_2" localSheetId="6" hidden="1">{#N/A,#N/A,FALSE,"Pharm";#N/A,#N/A,FALSE,"WWCM"}</definedName>
    <definedName name="hypo_2" hidden="1">{#N/A,#N/A,FALSE,"Pharm";#N/A,#N/A,FALSE,"WWCM"}</definedName>
    <definedName name="hypo_3" localSheetId="0" hidden="1">{#N/A,#N/A,FALSE,"Pharm";#N/A,#N/A,FALSE,"WWCM"}</definedName>
    <definedName name="hypo_3" localSheetId="6" hidden="1">{#N/A,#N/A,FALSE,"Pharm";#N/A,#N/A,FALSE,"WWCM"}</definedName>
    <definedName name="hypo_3" hidden="1">{#N/A,#N/A,FALSE,"Pharm";#N/A,#N/A,FALSE,"WWCM"}</definedName>
    <definedName name="hypo_4" localSheetId="0" hidden="1">{#N/A,#N/A,FALSE,"Pharm";#N/A,#N/A,FALSE,"WWCM"}</definedName>
    <definedName name="hypo_4" localSheetId="6" hidden="1">{#N/A,#N/A,FALSE,"Pharm";#N/A,#N/A,FALSE,"WWCM"}</definedName>
    <definedName name="hypo_4" hidden="1">{#N/A,#N/A,FALSE,"Pharm";#N/A,#N/A,FALSE,"WWCM"}</definedName>
    <definedName name="hypo_5" localSheetId="0" hidden="1">{#N/A,#N/A,FALSE,"Pharm";#N/A,#N/A,FALSE,"WWCM"}</definedName>
    <definedName name="hypo_5" localSheetId="6" hidden="1">{#N/A,#N/A,FALSE,"Pharm";#N/A,#N/A,FALSE,"WWCM"}</definedName>
    <definedName name="hypo_5" hidden="1">{#N/A,#N/A,FALSE,"Pharm";#N/A,#N/A,FALSE,"WWCM"}</definedName>
    <definedName name="hyutih"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yutih"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hyutih"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i" localSheetId="6" hidden="1">{#N/A,#N/A,TRUE,"0 Deckbl.";#N/A,#N/A,TRUE,"S 1 Komm";#N/A,#N/A,TRUE,"S 1a Komm";#N/A,#N/A,TRUE,"S 1b Komm";#N/A,#N/A,TRUE,"S  2 DBR";#N/A,#N/A,TRUE,"S  3 Sparten";#N/A,#N/A,TRUE,"S 4  Betr. K.";#N/A,#N/A,TRUE,"6 Bilanz";#N/A,#N/A,TRUE,"6a Bilanz ";#N/A,#N/A,TRUE,"6b Bilanz ";#N/A,#N/A,TRUE,"7 GS I";#N/A,#N/A,TRUE,"S 8 EQ-GuV"}</definedName>
    <definedName name="i" hidden="1">{#N/A,#N/A,TRUE,"0 Deckbl.";#N/A,#N/A,TRUE,"S 1 Komm";#N/A,#N/A,TRUE,"S 1a Komm";#N/A,#N/A,TRUE,"S 1b Komm";#N/A,#N/A,TRUE,"S  2 DBR";#N/A,#N/A,TRUE,"S  3 Sparten";#N/A,#N/A,TRUE,"S 4  Betr. K.";#N/A,#N/A,TRUE,"6 Bilanz";#N/A,#N/A,TRUE,"6a Bilanz ";#N/A,#N/A,TRUE,"6b Bilanz ";#N/A,#N/A,TRUE,"7 GS I";#N/A,#N/A,TRUE,"S 8 EQ-GuV"}</definedName>
    <definedName name="ian">#REF!</definedName>
    <definedName name="ibc">#REF!</definedName>
    <definedName name="ibd">#REF!</definedName>
    <definedName name="IC_Cost_Direct_Periods">#REF!</definedName>
    <definedName name="IC_Cost_Direct_RD_Accounts">#REF!</definedName>
    <definedName name="IC_Cost_Direct_RD_Array">#REF!</definedName>
    <definedName name="IC_Cost_Direct_Trad_Accounts">#REF!</definedName>
    <definedName name="IC_Cost_Direct_Trad_Array">#REF!</definedName>
    <definedName name="IC_Cost_Interest_Accounts">#REF!</definedName>
    <definedName name="IC_Cost_Interest_Array">#REF!</definedName>
    <definedName name="IC_Cost_Interest_Periods">#REF!</definedName>
    <definedName name="IC_Cost_ManChg_Periods">#REF!</definedName>
    <definedName name="IC_Cost_ManChg_RD_Accounts">#REF!</definedName>
    <definedName name="IC_Cost_ManChg_RD_Array">#REF!</definedName>
    <definedName name="IC_Cost_ManChg_Trad_Accounts">#REF!</definedName>
    <definedName name="IC_Cost_ManChg_Trad_Array">#REF!</definedName>
    <definedName name="IC_Cost_Marketing_Periods">#REF!</definedName>
    <definedName name="IC_Cost_Marketing_RD_Accounts">#REF!</definedName>
    <definedName name="IC_Cost_Marketing_RD_Array">#REF!</definedName>
    <definedName name="IC_Cost_Marketing_Trad_Accounts">#REF!</definedName>
    <definedName name="IC_Cost_Marketing_Trad_Array">#REF!</definedName>
    <definedName name="IC_Entities">#REF!</definedName>
    <definedName name="IC_Sales_Direct_Periods">#REF!</definedName>
    <definedName name="IC_Sales_Direct_RD_Accounts">#REF!</definedName>
    <definedName name="IC_Sales_Direct_RD_Array">#REF!</definedName>
    <definedName name="IC_Sales_Direct_Trad_Accounts">#REF!</definedName>
    <definedName name="IC_Sales_Direct_Trad_Array">#REF!</definedName>
    <definedName name="IC_Sales_Interest_Accounts">#REF!</definedName>
    <definedName name="IC_Sales_Interest_Array">#REF!</definedName>
    <definedName name="IC_Sales_Interest_Periods">#REF!</definedName>
    <definedName name="IC_Sales_ManChg_Periods">#REF!</definedName>
    <definedName name="IC_Sales_ManChg_RD_Accounts">#REF!</definedName>
    <definedName name="IC_Sales_ManChg_RD_Array">#REF!</definedName>
    <definedName name="IC_Sales_ManChg_Trad_Accounts">#REF!</definedName>
    <definedName name="IC_Sales_ManChg_Trad_Array">#REF!</definedName>
    <definedName name="IC_Sales_Marketing_Periods">#REF!</definedName>
    <definedName name="IC_Sales_Marketing_RD_Accounts">#REF!</definedName>
    <definedName name="IC_Sales_Marketing_RD_Array">#REF!</definedName>
    <definedName name="IC_Sales_Marketing_Trad_Accounts">#REF!</definedName>
    <definedName name="IC_Sales_Marketing_Trad_Array">#REF!</definedName>
    <definedName name="icd">#REF!</definedName>
    <definedName name="ICO" localSheetId="6" hidden="1">{#N/A,#N/A,FALSE,"Header";"JBB_IS",#N/A,FALSE,"IS";"JBB_BS",#N/A,FALSE,"BS";"JBB_CF",#N/A,FALSE,"CF";"JBB_FA",#N/A,FALSE,"FA";"JBB_IC",#N/A,FALSE,"Interco"}</definedName>
    <definedName name="ICO" hidden="1">{#N/A,#N/A,FALSE,"Header";"JBB_IS",#N/A,FALSE,"IS";"JBB_BS",#N/A,FALSE,"BS";"JBB_CF",#N/A,FALSE,"CF";"JBB_FA",#N/A,FALSE,"FA";"JBB_IC",#N/A,FALSE,"Interco"}</definedName>
    <definedName name="ict">#REF!</definedName>
    <definedName name="icu">#REF!</definedName>
    <definedName name="icuRate">#REF!</definedName>
    <definedName name="ICUWGEFIGWEVFB" hidden="1">#REF!</definedName>
    <definedName name="icvqwiueyvf" hidden="1">#REF!</definedName>
    <definedName name="IDL.Connector.UDF" hidden="1">0</definedName>
    <definedName name="IDL.Connector.Version" hidden="1">"10.0.0.4"</definedName>
    <definedName name="iff">#REF!</definedName>
    <definedName name="ifo">#REF!</definedName>
    <definedName name="ihb" localSheetId="0" hidden="1">{#N/A,#N/A,FALSE,"Tabl. D1";#N/A,#N/A,FALSE,"Tabl. D1 b";#N/A,#N/A,FALSE,"Tabl. D2";#N/A,#N/A,FALSE,"Tabl. D2 b";#N/A,#N/A,FALSE,"Tabl. D3";#N/A,#N/A,FALSE,"Tabl. D4";#N/A,#N/A,FALSE,"Tabl. D5"}</definedName>
    <definedName name="ihb" localSheetId="6" hidden="1">{#N/A,#N/A,FALSE,"Tabl. D1";#N/A,#N/A,FALSE,"Tabl. D1 b";#N/A,#N/A,FALSE,"Tabl. D2";#N/A,#N/A,FALSE,"Tabl. D2 b";#N/A,#N/A,FALSE,"Tabl. D3";#N/A,#N/A,FALSE,"Tabl. D4";#N/A,#N/A,FALSE,"Tabl. D5"}</definedName>
    <definedName name="ihb" hidden="1">{#N/A,#N/A,FALSE,"Tabl. D1";#N/A,#N/A,FALSE,"Tabl. D1 b";#N/A,#N/A,FALSE,"Tabl. D2";#N/A,#N/A,FALSE,"Tabl. D2 b";#N/A,#N/A,FALSE,"Tabl. D3";#N/A,#N/A,FALSE,"Tabl. D4";#N/A,#N/A,FALSE,"Tabl. D5"}</definedName>
    <definedName name="ihg" localSheetId="6" hidden="1">{#N/A,#N/A,TRUE,"Cover";#N/A,#N/A,TRUE,"Conts";#N/A,#N/A,TRUE,"VOS";#N/A,#N/A,TRUE,"Warrington";#N/A,#N/A,TRUE,"Widnes"}</definedName>
    <definedName name="ihg" hidden="1">{#N/A,#N/A,TRUE,"Cover";#N/A,#N/A,TRUE,"Conts";#N/A,#N/A,TRUE,"VOS";#N/A,#N/A,TRUE,"Warrington";#N/A,#N/A,TRUE,"Widnes"}</definedName>
    <definedName name="ihg_1" localSheetId="6" hidden="1">{#N/A,#N/A,TRUE,"Cover";#N/A,#N/A,TRUE,"Conts";#N/A,#N/A,TRUE,"VOS";#N/A,#N/A,TRUE,"Warrington";#N/A,#N/A,TRUE,"Widnes"}</definedName>
    <definedName name="ihg_1" hidden="1">{#N/A,#N/A,TRUE,"Cover";#N/A,#N/A,TRUE,"Conts";#N/A,#N/A,TRUE,"VOS";#N/A,#N/A,TRUE,"Warrington";#N/A,#N/A,TRUE,"Widnes"}</definedName>
    <definedName name="ihihoi" localSheetId="0"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ihihoi" localSheetId="6"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ihihoi"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iho" localSheetId="6" hidden="1">{#N/A,#N/A,TRUE,"Cover";#N/A,#N/A,TRUE,"Conts";#N/A,#N/A,TRUE,"VOS";#N/A,#N/A,TRUE,"Warrington";#N/A,#N/A,TRUE,"Widnes"}</definedName>
    <definedName name="iho" hidden="1">{#N/A,#N/A,TRUE,"Cover";#N/A,#N/A,TRUE,"Conts";#N/A,#N/A,TRUE,"VOS";#N/A,#N/A,TRUE,"Warrington";#N/A,#N/A,TRUE,"Widnes"}</definedName>
    <definedName name="iho_1" localSheetId="6" hidden="1">{#N/A,#N/A,TRUE,"Cover";#N/A,#N/A,TRUE,"Conts";#N/A,#N/A,TRUE,"VOS";#N/A,#N/A,TRUE,"Warrington";#N/A,#N/A,TRUE,"Widnes"}</definedName>
    <definedName name="iho_1" hidden="1">{#N/A,#N/A,TRUE,"Cover";#N/A,#N/A,TRUE,"Conts";#N/A,#N/A,TRUE,"VOS";#N/A,#N/A,TRUE,"Warrington";#N/A,#N/A,TRUE,"Widnes"}</definedName>
    <definedName name="IHVUCYWVEFYV" hidden="1">#REF!</definedName>
    <definedName name="ii"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i"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i"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i.oo" localSheetId="0" hidden="1">{#N/A,#N/A,FALSE,"Umsatz EO BP";#N/A,#N/A,FALSE,"Umsatz EO OP";#N/A,#N/A,FALSE,"ER EO BP";#N/A,#N/A,FALSE,"ER EO OP";#N/A,#N/A,FALSE,"EA EO (2)";#N/A,#N/A,FALSE,"EA EO";#N/A,#N/A,FALSE,"EA EO (3)";#N/A,#N/A,FALSE,"EA EO (4)";#N/A,#N/A,FALSE,"KA EO  (2)";#N/A,#N/A,FALSE,"KA EO";#N/A,#N/A,FALSE,"KA EO  (3)";#N/A,#N/A,FALSE,"KA EO (4)"}</definedName>
    <definedName name="ii.oo" localSheetId="6" hidden="1">{#N/A,#N/A,FALSE,"Umsatz EO BP";#N/A,#N/A,FALSE,"Umsatz EO OP";#N/A,#N/A,FALSE,"ER EO BP";#N/A,#N/A,FALSE,"ER EO OP";#N/A,#N/A,FALSE,"EA EO (2)";#N/A,#N/A,FALSE,"EA EO";#N/A,#N/A,FALSE,"EA EO (3)";#N/A,#N/A,FALSE,"EA EO (4)";#N/A,#N/A,FALSE,"KA EO  (2)";#N/A,#N/A,FALSE,"KA EO";#N/A,#N/A,FALSE,"KA EO  (3)";#N/A,#N/A,FALSE,"KA EO (4)"}</definedName>
    <definedName name="ii.oo" hidden="1">{#N/A,#N/A,FALSE,"Umsatz EO BP";#N/A,#N/A,FALSE,"Umsatz EO OP";#N/A,#N/A,FALSE,"ER EO BP";#N/A,#N/A,FALSE,"ER EO OP";#N/A,#N/A,FALSE,"EA EO (2)";#N/A,#N/A,FALSE,"EA EO";#N/A,#N/A,FALSE,"EA EO (3)";#N/A,#N/A,FALSE,"EA EO (4)";#N/A,#N/A,FALSE,"KA EO  (2)";#N/A,#N/A,FALSE,"KA EO";#N/A,#N/A,FALSE,"KA EO  (3)";#N/A,#N/A,FALSE,"KA EO (4)"}</definedName>
    <definedName name="ii.oo_1" localSheetId="0" hidden="1">{#N/A,#N/A,FALSE,"Umsatz EO BP";#N/A,#N/A,FALSE,"Umsatz EO OP";#N/A,#N/A,FALSE,"ER EO BP";#N/A,#N/A,FALSE,"ER EO OP";#N/A,#N/A,FALSE,"EA EO (2)";#N/A,#N/A,FALSE,"EA EO";#N/A,#N/A,FALSE,"EA EO (3)";#N/A,#N/A,FALSE,"EA EO (4)";#N/A,#N/A,FALSE,"KA EO  (2)";#N/A,#N/A,FALSE,"KA EO";#N/A,#N/A,FALSE,"KA EO  (3)";#N/A,#N/A,FALSE,"KA EO (4)"}</definedName>
    <definedName name="ii.oo_1" localSheetId="6" hidden="1">{#N/A,#N/A,FALSE,"Umsatz EO BP";#N/A,#N/A,FALSE,"Umsatz EO OP";#N/A,#N/A,FALSE,"ER EO BP";#N/A,#N/A,FALSE,"ER EO OP";#N/A,#N/A,FALSE,"EA EO (2)";#N/A,#N/A,FALSE,"EA EO";#N/A,#N/A,FALSE,"EA EO (3)";#N/A,#N/A,FALSE,"EA EO (4)";#N/A,#N/A,FALSE,"KA EO  (2)";#N/A,#N/A,FALSE,"KA EO";#N/A,#N/A,FALSE,"KA EO  (3)";#N/A,#N/A,FALSE,"KA EO (4)"}</definedName>
    <definedName name="ii.oo_1" hidden="1">{#N/A,#N/A,FALSE,"Umsatz EO BP";#N/A,#N/A,FALSE,"Umsatz EO OP";#N/A,#N/A,FALSE,"ER EO BP";#N/A,#N/A,FALSE,"ER EO OP";#N/A,#N/A,FALSE,"EA EO (2)";#N/A,#N/A,FALSE,"EA EO";#N/A,#N/A,FALSE,"EA EO (3)";#N/A,#N/A,FALSE,"EA EO (4)";#N/A,#N/A,FALSE,"KA EO  (2)";#N/A,#N/A,FALSE,"KA EO";#N/A,#N/A,FALSE,"KA EO  (3)";#N/A,#N/A,FALSE,"KA EO (4)"}</definedName>
    <definedName name="ii.oo_1_1" localSheetId="0" hidden="1">{#N/A,#N/A,FALSE,"Umsatz EO BP";#N/A,#N/A,FALSE,"Umsatz EO OP";#N/A,#N/A,FALSE,"ER EO BP";#N/A,#N/A,FALSE,"ER EO OP";#N/A,#N/A,FALSE,"EA EO (2)";#N/A,#N/A,FALSE,"EA EO";#N/A,#N/A,FALSE,"EA EO (3)";#N/A,#N/A,FALSE,"EA EO (4)";#N/A,#N/A,FALSE,"KA EO  (2)";#N/A,#N/A,FALSE,"KA EO";#N/A,#N/A,FALSE,"KA EO  (3)";#N/A,#N/A,FALSE,"KA EO (4)"}</definedName>
    <definedName name="ii.oo_1_1" localSheetId="6" hidden="1">{#N/A,#N/A,FALSE,"Umsatz EO BP";#N/A,#N/A,FALSE,"Umsatz EO OP";#N/A,#N/A,FALSE,"ER EO BP";#N/A,#N/A,FALSE,"ER EO OP";#N/A,#N/A,FALSE,"EA EO (2)";#N/A,#N/A,FALSE,"EA EO";#N/A,#N/A,FALSE,"EA EO (3)";#N/A,#N/A,FALSE,"EA EO (4)";#N/A,#N/A,FALSE,"KA EO  (2)";#N/A,#N/A,FALSE,"KA EO";#N/A,#N/A,FALSE,"KA EO  (3)";#N/A,#N/A,FALSE,"KA EO (4)"}</definedName>
    <definedName name="ii.oo_1_1" hidden="1">{#N/A,#N/A,FALSE,"Umsatz EO BP";#N/A,#N/A,FALSE,"Umsatz EO OP";#N/A,#N/A,FALSE,"ER EO BP";#N/A,#N/A,FALSE,"ER EO OP";#N/A,#N/A,FALSE,"EA EO (2)";#N/A,#N/A,FALSE,"EA EO";#N/A,#N/A,FALSE,"EA EO (3)";#N/A,#N/A,FALSE,"EA EO (4)";#N/A,#N/A,FALSE,"KA EO  (2)";#N/A,#N/A,FALSE,"KA EO";#N/A,#N/A,FALSE,"KA EO  (3)";#N/A,#N/A,FALSE,"KA EO (4)"}</definedName>
    <definedName name="ii.oo_2" localSheetId="0" hidden="1">{#N/A,#N/A,FALSE,"Umsatz EO BP";#N/A,#N/A,FALSE,"Umsatz EO OP";#N/A,#N/A,FALSE,"ER EO BP";#N/A,#N/A,FALSE,"ER EO OP";#N/A,#N/A,FALSE,"EA EO (2)";#N/A,#N/A,FALSE,"EA EO";#N/A,#N/A,FALSE,"EA EO (3)";#N/A,#N/A,FALSE,"EA EO (4)";#N/A,#N/A,FALSE,"KA EO  (2)";#N/A,#N/A,FALSE,"KA EO";#N/A,#N/A,FALSE,"KA EO  (3)";#N/A,#N/A,FALSE,"KA EO (4)"}</definedName>
    <definedName name="ii.oo_2" localSheetId="6" hidden="1">{#N/A,#N/A,FALSE,"Umsatz EO BP";#N/A,#N/A,FALSE,"Umsatz EO OP";#N/A,#N/A,FALSE,"ER EO BP";#N/A,#N/A,FALSE,"ER EO OP";#N/A,#N/A,FALSE,"EA EO (2)";#N/A,#N/A,FALSE,"EA EO";#N/A,#N/A,FALSE,"EA EO (3)";#N/A,#N/A,FALSE,"EA EO (4)";#N/A,#N/A,FALSE,"KA EO  (2)";#N/A,#N/A,FALSE,"KA EO";#N/A,#N/A,FALSE,"KA EO  (3)";#N/A,#N/A,FALSE,"KA EO (4)"}</definedName>
    <definedName name="ii.oo_2" hidden="1">{#N/A,#N/A,FALSE,"Umsatz EO BP";#N/A,#N/A,FALSE,"Umsatz EO OP";#N/A,#N/A,FALSE,"ER EO BP";#N/A,#N/A,FALSE,"ER EO OP";#N/A,#N/A,FALSE,"EA EO (2)";#N/A,#N/A,FALSE,"EA EO";#N/A,#N/A,FALSE,"EA EO (3)";#N/A,#N/A,FALSE,"EA EO (4)";#N/A,#N/A,FALSE,"KA EO  (2)";#N/A,#N/A,FALSE,"KA EO";#N/A,#N/A,FALSE,"KA EO  (3)";#N/A,#N/A,FALSE,"KA EO (4)"}</definedName>
    <definedName name="ii.oo_3" localSheetId="0" hidden="1">{#N/A,#N/A,FALSE,"Umsatz EO BP";#N/A,#N/A,FALSE,"Umsatz EO OP";#N/A,#N/A,FALSE,"ER EO BP";#N/A,#N/A,FALSE,"ER EO OP";#N/A,#N/A,FALSE,"EA EO (2)";#N/A,#N/A,FALSE,"EA EO";#N/A,#N/A,FALSE,"EA EO (3)";#N/A,#N/A,FALSE,"EA EO (4)";#N/A,#N/A,FALSE,"KA EO  (2)";#N/A,#N/A,FALSE,"KA EO";#N/A,#N/A,FALSE,"KA EO  (3)";#N/A,#N/A,FALSE,"KA EO (4)"}</definedName>
    <definedName name="ii.oo_3" localSheetId="6" hidden="1">{#N/A,#N/A,FALSE,"Umsatz EO BP";#N/A,#N/A,FALSE,"Umsatz EO OP";#N/A,#N/A,FALSE,"ER EO BP";#N/A,#N/A,FALSE,"ER EO OP";#N/A,#N/A,FALSE,"EA EO (2)";#N/A,#N/A,FALSE,"EA EO";#N/A,#N/A,FALSE,"EA EO (3)";#N/A,#N/A,FALSE,"EA EO (4)";#N/A,#N/A,FALSE,"KA EO  (2)";#N/A,#N/A,FALSE,"KA EO";#N/A,#N/A,FALSE,"KA EO  (3)";#N/A,#N/A,FALSE,"KA EO (4)"}</definedName>
    <definedName name="ii.oo_3" hidden="1">{#N/A,#N/A,FALSE,"Umsatz EO BP";#N/A,#N/A,FALSE,"Umsatz EO OP";#N/A,#N/A,FALSE,"ER EO BP";#N/A,#N/A,FALSE,"ER EO OP";#N/A,#N/A,FALSE,"EA EO (2)";#N/A,#N/A,FALSE,"EA EO";#N/A,#N/A,FALSE,"EA EO (3)";#N/A,#N/A,FALSE,"EA EO (4)";#N/A,#N/A,FALSE,"KA EO  (2)";#N/A,#N/A,FALSE,"KA EO";#N/A,#N/A,FALSE,"KA EO  (3)";#N/A,#N/A,FALSE,"KA EO (4)"}</definedName>
    <definedName name="ii.oo_4" localSheetId="0" hidden="1">{#N/A,#N/A,FALSE,"Umsatz EO BP";#N/A,#N/A,FALSE,"Umsatz EO OP";#N/A,#N/A,FALSE,"ER EO BP";#N/A,#N/A,FALSE,"ER EO OP";#N/A,#N/A,FALSE,"EA EO (2)";#N/A,#N/A,FALSE,"EA EO";#N/A,#N/A,FALSE,"EA EO (3)";#N/A,#N/A,FALSE,"EA EO (4)";#N/A,#N/A,FALSE,"KA EO  (2)";#N/A,#N/A,FALSE,"KA EO";#N/A,#N/A,FALSE,"KA EO  (3)";#N/A,#N/A,FALSE,"KA EO (4)"}</definedName>
    <definedName name="ii.oo_4" localSheetId="6" hidden="1">{#N/A,#N/A,FALSE,"Umsatz EO BP";#N/A,#N/A,FALSE,"Umsatz EO OP";#N/A,#N/A,FALSE,"ER EO BP";#N/A,#N/A,FALSE,"ER EO OP";#N/A,#N/A,FALSE,"EA EO (2)";#N/A,#N/A,FALSE,"EA EO";#N/A,#N/A,FALSE,"EA EO (3)";#N/A,#N/A,FALSE,"EA EO (4)";#N/A,#N/A,FALSE,"KA EO  (2)";#N/A,#N/A,FALSE,"KA EO";#N/A,#N/A,FALSE,"KA EO  (3)";#N/A,#N/A,FALSE,"KA EO (4)"}</definedName>
    <definedName name="ii.oo_4" hidden="1">{#N/A,#N/A,FALSE,"Umsatz EO BP";#N/A,#N/A,FALSE,"Umsatz EO OP";#N/A,#N/A,FALSE,"ER EO BP";#N/A,#N/A,FALSE,"ER EO OP";#N/A,#N/A,FALSE,"EA EO (2)";#N/A,#N/A,FALSE,"EA EO";#N/A,#N/A,FALSE,"EA EO (3)";#N/A,#N/A,FALSE,"EA EO (4)";#N/A,#N/A,FALSE,"KA EO  (2)";#N/A,#N/A,FALSE,"KA EO";#N/A,#N/A,FALSE,"KA EO  (3)";#N/A,#N/A,FALSE,"KA EO (4)"}</definedName>
    <definedName name="ii.oo_5" localSheetId="0" hidden="1">{#N/A,#N/A,FALSE,"Umsatz EO BP";#N/A,#N/A,FALSE,"Umsatz EO OP";#N/A,#N/A,FALSE,"ER EO BP";#N/A,#N/A,FALSE,"ER EO OP";#N/A,#N/A,FALSE,"EA EO (2)";#N/A,#N/A,FALSE,"EA EO";#N/A,#N/A,FALSE,"EA EO (3)";#N/A,#N/A,FALSE,"EA EO (4)";#N/A,#N/A,FALSE,"KA EO  (2)";#N/A,#N/A,FALSE,"KA EO";#N/A,#N/A,FALSE,"KA EO  (3)";#N/A,#N/A,FALSE,"KA EO (4)"}</definedName>
    <definedName name="ii.oo_5" localSheetId="6" hidden="1">{#N/A,#N/A,FALSE,"Umsatz EO BP";#N/A,#N/A,FALSE,"Umsatz EO OP";#N/A,#N/A,FALSE,"ER EO BP";#N/A,#N/A,FALSE,"ER EO OP";#N/A,#N/A,FALSE,"EA EO (2)";#N/A,#N/A,FALSE,"EA EO";#N/A,#N/A,FALSE,"EA EO (3)";#N/A,#N/A,FALSE,"EA EO (4)";#N/A,#N/A,FALSE,"KA EO  (2)";#N/A,#N/A,FALSE,"KA EO";#N/A,#N/A,FALSE,"KA EO  (3)";#N/A,#N/A,FALSE,"KA EO (4)"}</definedName>
    <definedName name="ii.oo_5" hidden="1">{#N/A,#N/A,FALSE,"Umsatz EO BP";#N/A,#N/A,FALSE,"Umsatz EO OP";#N/A,#N/A,FALSE,"ER EO BP";#N/A,#N/A,FALSE,"ER EO OP";#N/A,#N/A,FALSE,"EA EO (2)";#N/A,#N/A,FALSE,"EA EO";#N/A,#N/A,FALSE,"EA EO (3)";#N/A,#N/A,FALSE,"EA EO (4)";#N/A,#N/A,FALSE,"KA EO  (2)";#N/A,#N/A,FALSE,"KA EO";#N/A,#N/A,FALSE,"KA EO  (3)";#N/A,#N/A,FALSE,"KA EO (4)"}</definedName>
    <definedName name="ijfojyo" localSheetId="0" hidden="1">{"'Sheet1'!$A$1:$M$38"}</definedName>
    <definedName name="ijfojyo" localSheetId="6" hidden="1">{"'Sheet1'!$A$1:$M$38"}</definedName>
    <definedName name="ijfojyo" hidden="1">{"'Sheet1'!$A$1:$M$38"}</definedName>
    <definedName name="ijoi" localSheetId="0" hidden="1">{#N/A,#N/A,FALSE,"Produkte Erw.";#N/A,#N/A,FALSE,"Produkte Plan";#N/A,#N/A,FALSE,"Leistungen Erw.";#N/A,#N/A,FALSE,"Leistungen Plan";#N/A,#N/A,FALSE,"KA Allg.Kosten (2)";#N/A,#N/A,FALSE,"KA All.Kosten"}</definedName>
    <definedName name="ijoi" localSheetId="6" hidden="1">{#N/A,#N/A,FALSE,"Produkte Erw.";#N/A,#N/A,FALSE,"Produkte Plan";#N/A,#N/A,FALSE,"Leistungen Erw.";#N/A,#N/A,FALSE,"Leistungen Plan";#N/A,#N/A,FALSE,"KA Allg.Kosten (2)";#N/A,#N/A,FALSE,"KA All.Kosten"}</definedName>
    <definedName name="ijoi" hidden="1">{#N/A,#N/A,FALSE,"Produkte Erw.";#N/A,#N/A,FALSE,"Produkte Plan";#N/A,#N/A,FALSE,"Leistungen Erw.";#N/A,#N/A,FALSE,"Leistungen Plan";#N/A,#N/A,FALSE,"KA Allg.Kosten (2)";#N/A,#N/A,FALSE,"KA All.Kosten"}</definedName>
    <definedName name="ijoi_1" localSheetId="0" hidden="1">{#N/A,#N/A,FALSE,"Produkte Erw.";#N/A,#N/A,FALSE,"Produkte Plan";#N/A,#N/A,FALSE,"Leistungen Erw.";#N/A,#N/A,FALSE,"Leistungen Plan";#N/A,#N/A,FALSE,"KA Allg.Kosten (2)";#N/A,#N/A,FALSE,"KA All.Kosten"}</definedName>
    <definedName name="ijoi_1" localSheetId="6" hidden="1">{#N/A,#N/A,FALSE,"Produkte Erw.";#N/A,#N/A,FALSE,"Produkte Plan";#N/A,#N/A,FALSE,"Leistungen Erw.";#N/A,#N/A,FALSE,"Leistungen Plan";#N/A,#N/A,FALSE,"KA Allg.Kosten (2)";#N/A,#N/A,FALSE,"KA All.Kosten"}</definedName>
    <definedName name="ijoi_1" hidden="1">{#N/A,#N/A,FALSE,"Produkte Erw.";#N/A,#N/A,FALSE,"Produkte Plan";#N/A,#N/A,FALSE,"Leistungen Erw.";#N/A,#N/A,FALSE,"Leistungen Plan";#N/A,#N/A,FALSE,"KA Allg.Kosten (2)";#N/A,#N/A,FALSE,"KA All.Kosten"}</definedName>
    <definedName name="ijoi_1_1" localSheetId="0" hidden="1">{#N/A,#N/A,FALSE,"Produkte Erw.";#N/A,#N/A,FALSE,"Produkte Plan";#N/A,#N/A,FALSE,"Leistungen Erw.";#N/A,#N/A,FALSE,"Leistungen Plan";#N/A,#N/A,FALSE,"KA Allg.Kosten (2)";#N/A,#N/A,FALSE,"KA All.Kosten"}</definedName>
    <definedName name="ijoi_1_1" localSheetId="6" hidden="1">{#N/A,#N/A,FALSE,"Produkte Erw.";#N/A,#N/A,FALSE,"Produkte Plan";#N/A,#N/A,FALSE,"Leistungen Erw.";#N/A,#N/A,FALSE,"Leistungen Plan";#N/A,#N/A,FALSE,"KA Allg.Kosten (2)";#N/A,#N/A,FALSE,"KA All.Kosten"}</definedName>
    <definedName name="ijoi_1_1" hidden="1">{#N/A,#N/A,FALSE,"Produkte Erw.";#N/A,#N/A,FALSE,"Produkte Plan";#N/A,#N/A,FALSE,"Leistungen Erw.";#N/A,#N/A,FALSE,"Leistungen Plan";#N/A,#N/A,FALSE,"KA Allg.Kosten (2)";#N/A,#N/A,FALSE,"KA All.Kosten"}</definedName>
    <definedName name="ijoi_2" localSheetId="0" hidden="1">{#N/A,#N/A,FALSE,"Produkte Erw.";#N/A,#N/A,FALSE,"Produkte Plan";#N/A,#N/A,FALSE,"Leistungen Erw.";#N/A,#N/A,FALSE,"Leistungen Plan";#N/A,#N/A,FALSE,"KA Allg.Kosten (2)";#N/A,#N/A,FALSE,"KA All.Kosten"}</definedName>
    <definedName name="ijoi_2" localSheetId="6" hidden="1">{#N/A,#N/A,FALSE,"Produkte Erw.";#N/A,#N/A,FALSE,"Produkte Plan";#N/A,#N/A,FALSE,"Leistungen Erw.";#N/A,#N/A,FALSE,"Leistungen Plan";#N/A,#N/A,FALSE,"KA Allg.Kosten (2)";#N/A,#N/A,FALSE,"KA All.Kosten"}</definedName>
    <definedName name="ijoi_2" hidden="1">{#N/A,#N/A,FALSE,"Produkte Erw.";#N/A,#N/A,FALSE,"Produkte Plan";#N/A,#N/A,FALSE,"Leistungen Erw.";#N/A,#N/A,FALSE,"Leistungen Plan";#N/A,#N/A,FALSE,"KA Allg.Kosten (2)";#N/A,#N/A,FALSE,"KA All.Kosten"}</definedName>
    <definedName name="ijoi_3" localSheetId="0" hidden="1">{#N/A,#N/A,FALSE,"Produkte Erw.";#N/A,#N/A,FALSE,"Produkte Plan";#N/A,#N/A,FALSE,"Leistungen Erw.";#N/A,#N/A,FALSE,"Leistungen Plan";#N/A,#N/A,FALSE,"KA Allg.Kosten (2)";#N/A,#N/A,FALSE,"KA All.Kosten"}</definedName>
    <definedName name="ijoi_3" localSheetId="6" hidden="1">{#N/A,#N/A,FALSE,"Produkte Erw.";#N/A,#N/A,FALSE,"Produkte Plan";#N/A,#N/A,FALSE,"Leistungen Erw.";#N/A,#N/A,FALSE,"Leistungen Plan";#N/A,#N/A,FALSE,"KA Allg.Kosten (2)";#N/A,#N/A,FALSE,"KA All.Kosten"}</definedName>
    <definedName name="ijoi_3" hidden="1">{#N/A,#N/A,FALSE,"Produkte Erw.";#N/A,#N/A,FALSE,"Produkte Plan";#N/A,#N/A,FALSE,"Leistungen Erw.";#N/A,#N/A,FALSE,"Leistungen Plan";#N/A,#N/A,FALSE,"KA Allg.Kosten (2)";#N/A,#N/A,FALSE,"KA All.Kosten"}</definedName>
    <definedName name="ijoi_4" localSheetId="0" hidden="1">{#N/A,#N/A,FALSE,"Produkte Erw.";#N/A,#N/A,FALSE,"Produkte Plan";#N/A,#N/A,FALSE,"Leistungen Erw.";#N/A,#N/A,FALSE,"Leistungen Plan";#N/A,#N/A,FALSE,"KA Allg.Kosten (2)";#N/A,#N/A,FALSE,"KA All.Kosten"}</definedName>
    <definedName name="ijoi_4" localSheetId="6" hidden="1">{#N/A,#N/A,FALSE,"Produkte Erw.";#N/A,#N/A,FALSE,"Produkte Plan";#N/A,#N/A,FALSE,"Leistungen Erw.";#N/A,#N/A,FALSE,"Leistungen Plan";#N/A,#N/A,FALSE,"KA Allg.Kosten (2)";#N/A,#N/A,FALSE,"KA All.Kosten"}</definedName>
    <definedName name="ijoi_4" hidden="1">{#N/A,#N/A,FALSE,"Produkte Erw.";#N/A,#N/A,FALSE,"Produkte Plan";#N/A,#N/A,FALSE,"Leistungen Erw.";#N/A,#N/A,FALSE,"Leistungen Plan";#N/A,#N/A,FALSE,"KA Allg.Kosten (2)";#N/A,#N/A,FALSE,"KA All.Kosten"}</definedName>
    <definedName name="ijoi_5" localSheetId="0" hidden="1">{#N/A,#N/A,FALSE,"Produkte Erw.";#N/A,#N/A,FALSE,"Produkte Plan";#N/A,#N/A,FALSE,"Leistungen Erw.";#N/A,#N/A,FALSE,"Leistungen Plan";#N/A,#N/A,FALSE,"KA Allg.Kosten (2)";#N/A,#N/A,FALSE,"KA All.Kosten"}</definedName>
    <definedName name="ijoi_5" localSheetId="6" hidden="1">{#N/A,#N/A,FALSE,"Produkte Erw.";#N/A,#N/A,FALSE,"Produkte Plan";#N/A,#N/A,FALSE,"Leistungen Erw.";#N/A,#N/A,FALSE,"Leistungen Plan";#N/A,#N/A,FALSE,"KA Allg.Kosten (2)";#N/A,#N/A,FALSE,"KA All.Kosten"}</definedName>
    <definedName name="ijoi_5" hidden="1">{#N/A,#N/A,FALSE,"Produkte Erw.";#N/A,#N/A,FALSE,"Produkte Plan";#N/A,#N/A,FALSE,"Leistungen Erw.";#N/A,#N/A,FALSE,"Leistungen Plan";#N/A,#N/A,FALSE,"KA Allg.Kosten (2)";#N/A,#N/A,FALSE,"KA All.Kosten"}</definedName>
    <definedName name="ik" localSheetId="0" hidden="1">{"casespecific",#N/A,FALSE,"Assumptions"}</definedName>
    <definedName name="ik" localSheetId="6" hidden="1">{"casespecific",#N/A,FALSE,"Assumptions"}</definedName>
    <definedName name="ik" hidden="1">{"casespecific",#N/A,FALSE,"Assumptions"}</definedName>
    <definedName name="IKASHJ" localSheetId="6" hidden="1">{#N/A,#N/A,TRUE,"FA 1 &amp; 2";#N/A,#N/A,TRUE,"FA 3 &amp; 4";#N/A,#N/A,TRUE,"FA 5 &amp; 6";#N/A,#N/A,TRUE,"FA 7 &amp; 8";#N/A,#N/A,TRUE,"FA 9 &amp; 10";#N/A,#N/A,TRUE,"FA 11";#N/A,#N/A,TRUE,"FA 12";#N/A,#N/A,TRUE,"FA 13";#N/A,#N/A,TRUE,"FA 14 &amp; 15"}</definedName>
    <definedName name="IKASHJ" hidden="1">{#N/A,#N/A,TRUE,"FA 1 &amp; 2";#N/A,#N/A,TRUE,"FA 3 &amp; 4";#N/A,#N/A,TRUE,"FA 5 &amp; 6";#N/A,#N/A,TRUE,"FA 7 &amp; 8";#N/A,#N/A,TRUE,"FA 9 &amp; 10";#N/A,#N/A,TRUE,"FA 11";#N/A,#N/A,TRUE,"FA 12";#N/A,#N/A,TRUE,"FA 13";#N/A,#N/A,TRUE,"FA 14 &amp; 15"}</definedName>
    <definedName name="imfee">#REF!</definedName>
    <definedName name="Img_ML_1y7a6c1t" hidden="1">"IMG_18"</definedName>
    <definedName name="Img_ML_3b3j3x9k" hidden="1">"IMG_17"</definedName>
    <definedName name="Img_ML_3e2q4k7i" hidden="1">"IMG_12"</definedName>
    <definedName name="Img_ML_5h6q3g8u" hidden="1">"IMG_12"</definedName>
    <definedName name="Img_ML_6y9f7y3n" hidden="1">"IMG_12"</definedName>
    <definedName name="Img_ML_7n6h3t1t" hidden="1">"IMG_18"</definedName>
    <definedName name="Img_ML_8b9j5t1p" hidden="1">"IMG_12"</definedName>
    <definedName name="Img_ML_8r1k8t4y" hidden="1">"IMG_18"</definedName>
    <definedName name="Impp_Qtr1_Amt9" hidden="1">#REF!</definedName>
    <definedName name="Impp_Qtr2_Amt9" hidden="1">#REF!</definedName>
    <definedName name="Impp_Qtr3_Amt9" hidden="1">#REF!</definedName>
    <definedName name="Impp_Qtr4_Amt9" hidden="1">#REF!</definedName>
    <definedName name="Impp_Ye_Amt9" hidden="1">#REF!</definedName>
    <definedName name="Inad" hidden="1">49</definedName>
    <definedName name="INC_AFTER_TAX" hidden="1">"INC_AFTER_TAX"</definedName>
    <definedName name="INC_AVAIL_EXCL" hidden="1">"INC_AVAIL_EXCL"</definedName>
    <definedName name="INC_AVAIL_INCL" hidden="1">"INC_AVAIL_INCL"</definedName>
    <definedName name="INC_BEFORE_TAX" hidden="1">"INC_BEFORE_TAX"</definedName>
    <definedName name="INC_TAX" hidden="1">"INC_TAX"</definedName>
    <definedName name="INC_TAX_EXCL" hidden="1">"INC_TAX_EXCL"</definedName>
    <definedName name="incassi" localSheetId="0" hidden="1">{#N/A,#N/A,FALSE,"Work progress mensile";#N/A,#N/A,FALSE,"Work progress mensile IE1"}</definedName>
    <definedName name="incassi" localSheetId="6" hidden="1">{#N/A,#N/A,FALSE,"Work progress mensile";#N/A,#N/A,FALSE,"Work progress mensile IE1"}</definedName>
    <definedName name="incassi" hidden="1">{#N/A,#N/A,FALSE,"Work progress mensile";#N/A,#N/A,FALSE,"Work progress mensile IE1"}</definedName>
    <definedName name="incasso" localSheetId="0" hidden="1">{#N/A,#N/A,FALSE,"Work progress mensile";#N/A,#N/A,FALSE,"Work progress mensile IE1"}</definedName>
    <definedName name="incasso" localSheetId="6" hidden="1">{#N/A,#N/A,FALSE,"Work progress mensile";#N/A,#N/A,FALSE,"Work progress mensile IE1"}</definedName>
    <definedName name="incasso" hidden="1">{#N/A,#N/A,FALSE,"Work progress mensile";#N/A,#N/A,FALSE,"Work progress mensile IE1"}</definedName>
    <definedName name="Incentivewarehousestaff">#REF!</definedName>
    <definedName name="Income_before_zakat">#REF!</definedName>
    <definedName name="Incomepb" hidden="1">#REF!</definedName>
    <definedName name="Incumbent_Comp_Data_FooterType" hidden="1">"NONE"</definedName>
    <definedName name="IndDays">#REF!</definedName>
    <definedName name="index">#REF!</definedName>
    <definedName name="index1m">#REF!</definedName>
    <definedName name="index1y">#REF!</definedName>
    <definedName name="index3m">#REF!</definedName>
    <definedName name="Indexation">#REF!</definedName>
    <definedName name="IndexName">#REF!</definedName>
    <definedName name="IndexRIC">#REF!</definedName>
    <definedName name="iNDEXX">#REF!</definedName>
    <definedName name="inf">#REF!</definedName>
    <definedName name="Inflation">#REF!</definedName>
    <definedName name="InflationA">#REF!</definedName>
    <definedName name="infldiff">#REF!</definedName>
    <definedName name="inflList" hidden="1">"10000000000000000000000000000000000000000000000000000000000000000000000000000000000000000000000000000000000000000000000000000000000000000000000000000000000000000000000000000000000000000000000000000000"</definedName>
    <definedName name="InflnG">#REF!</definedName>
    <definedName name="InflnGro">#REF!</definedName>
    <definedName name="INFO_BI_EXE_NAME" hidden="1">"BICORE.EXE"</definedName>
    <definedName name="INFO_EXE_SERVER_PATH" hidden="1">"C:\Program Files (x86)\Sage\SMI450\BICORE.EXE"</definedName>
    <definedName name="INFO_INSTANCE_ID" hidden="1">"0"</definedName>
    <definedName name="INFO_INSTANCE_NAME" hidden="1">"Balance Sheet_20141223_13_48_57_4848.xls"</definedName>
    <definedName name="INFO_REPORT_CODE" hidden="1">""</definedName>
    <definedName name="INFO_REPORT_ID" hidden="1">"8"</definedName>
    <definedName name="INFO_REPORT_NAME" hidden="1">"Balance Sheet"</definedName>
    <definedName name="INFO_RUN_USER" hidden="1">""</definedName>
    <definedName name="INFO_RUN_WORKSTATION" hidden="1">"TROLLINS1"</definedName>
    <definedName name="info9198" hidden="1">#REF!</definedName>
    <definedName name="Initial_Dividend_of_freely_Tradable_Value">#REF!</definedName>
    <definedName name="Inp_CF_Debt_Advsry_Avg._Trnsctn_Exec_Prd">#REF!</definedName>
    <definedName name="Inp_CF_Debt_Advsry_Avg_Trnsctn_Size">#REF!</definedName>
    <definedName name="Inp_CF_Debt_Advsry_Avg_Upfrnt_Fees">#REF!</definedName>
    <definedName name="Inp_CF_Debt_Advsry_Mndts_Exec">#REF!</definedName>
    <definedName name="Inp_CF_Debt_Advsry_Mndts_New">#REF!</definedName>
    <definedName name="Inp_CF_Debt_Advsry_Mnthly_Rtnr_Fees">#REF!</definedName>
    <definedName name="Inp_CF_Debt_Advsry_Success_Fees">#REF!</definedName>
    <definedName name="Inp_CF_Debt_Arrngng_PPD_Avg._Trnsctn_Exec_Prd">#REF!</definedName>
    <definedName name="Inp_CF_Debt_Arrngng_PPD_Avg_Trnsctn_Size">#REF!</definedName>
    <definedName name="Inp_CF_Debt_Arrngng_PPD_Avg_Upfrnt_Fees">#REF!</definedName>
    <definedName name="Inp_CF_Debt_Arrngng_PPD_Mndts_Exec">#REF!</definedName>
    <definedName name="Inp_CF_Debt_Arrngng_PPD_Mndts_New">#REF!</definedName>
    <definedName name="Inp_CF_Debt_Arrngng_PPD_Mnthly_Rtnr_Fees">#REF!</definedName>
    <definedName name="Inp_CF_Debt_Arrngng_PPD_Success_Fees">#REF!</definedName>
    <definedName name="Inp_CF_Debt_Arrngng_Skk_CBs_Avg._Trnsctn_Exec_Prd">#REF!</definedName>
    <definedName name="Inp_CF_Debt_Arrngng_Skk_CBs_Avg_Trnsctn_Size">#REF!</definedName>
    <definedName name="Inp_CF_Debt_Arrngng_Skk_CBs_Avg_Upfrnt_Fees">#REF!</definedName>
    <definedName name="Inp_CF_Debt_Arrngng_Skk_CBs_Mndts_Exec">#REF!</definedName>
    <definedName name="Inp_CF_Debt_Arrngng_Skk_CBs_Mndts_New">#REF!</definedName>
    <definedName name="Inp_CF_Debt_Arrngng_Skk_CBs_Mnthly_Rtnr_Fees">#REF!</definedName>
    <definedName name="Inp_CF_Debt_Arrngng_Skk_CBs_Success_Fees">#REF!</definedName>
    <definedName name="Inp_CF_Debt_Undrwrtng_Lead_Avg_Rtn">#REF!</definedName>
    <definedName name="Inp_CF_Debt_Undrwrtng_Lead_Avg_Trnsctn_Size">#REF!</definedName>
    <definedName name="Inp_CF_Debt_Undrwrtng_Lead_Cmt_Fees">#REF!</definedName>
    <definedName name="Inp_CF_Debt_Undrwrtng_Lead_Mndts_Exec">#REF!</definedName>
    <definedName name="Inp_CF_Eq_Advsry_Avg_Trnsctn_Size">#REF!</definedName>
    <definedName name="Inp_CF_Eq_Advsry_Mndts_Exec">#REF!</definedName>
    <definedName name="Inp_CF_Eq_Advsry_Mnthly_Rtnr_Fees">#REF!</definedName>
    <definedName name="Inp_CF_Eq_Advsry_Success_Fees">#REF!</definedName>
    <definedName name="Inp_CF_Eq_Arrngng_IPO_Avg._Trnsctn_Exec_Prd">#REF!</definedName>
    <definedName name="Inp_CF_Eq_Arrngng_IPO_Avg_Trnsctn_Size">#REF!</definedName>
    <definedName name="Inp_CF_Eq_Arrngng_IPO_Avg_Upfrnt_Fees">#REF!</definedName>
    <definedName name="Inp_CF_Eq_Arrngng_IPO_Mnthly_Rtnr_Fees">#REF!</definedName>
    <definedName name="Inp_CF_Eq_Arrngng_IPO_Success_Fees">#REF!</definedName>
    <definedName name="Inp_CF_Eq_Arrngng_PP_Avg._Trnsctn_Exec_Prd">#REF!</definedName>
    <definedName name="Inp_CF_Eq_Arrngng_PP_Avg_Trnsctn_Size">#REF!</definedName>
    <definedName name="Inp_CF_Eq_Arrngng_PP_Avg_Upfrnt_Fees">#REF!</definedName>
    <definedName name="Inp_CF_Eq_Arrngng_PP_Mndts_Exec">#REF!</definedName>
    <definedName name="Inp_CF_Eq_Arrngng_PP_Mndts_New">#REF!</definedName>
    <definedName name="Inp_CF_Eq_Arrngng_PP_Mnthly_Rtnr_Fees">#REF!</definedName>
    <definedName name="Inp_CF_Eq_Arrngng_PP_Success_Fees">#REF!</definedName>
    <definedName name="Inp_CF_Eq_Arrngng_SO_Avg._Trnsctn_Exec_Prd">#REF!</definedName>
    <definedName name="Inp_CF_Eq_Arrngng_SO_Avg_Trnsctn_Size">#REF!</definedName>
    <definedName name="Inp_CF_Eq_Arrngng_SO_Avg_Upfrnt_Fees">#REF!</definedName>
    <definedName name="Inp_CF_Eq_Arrngng_SO_Mndts_Exec">#REF!</definedName>
    <definedName name="Inp_CF_Eq_Arrngng_SO_Mndts_New">#REF!</definedName>
    <definedName name="Inp_CF_Eq_Arrngng_SO_Mnthly_Rtnr_Fees">#REF!</definedName>
    <definedName name="Inp_CF_Eq_Arrngng_SO_Success_Fees">#REF!</definedName>
    <definedName name="Inp_CF_Eq_Undrwrtng_Lead_Avg_Rtn">#REF!</definedName>
    <definedName name="Inp_CF_Eq_Undrwrtng_Lead_Avg_Trnsctn_Size">#REF!</definedName>
    <definedName name="Inp_CF_Eq_Undrwrtng_Lead_Cmt_Fees">#REF!</definedName>
    <definedName name="Inp_CF_Eq_Undrwrtng_Lead_Mndts_Exec">#REF!</definedName>
    <definedName name="Inp_CF_Eq_Undrwrtng_Synd_Avg_Rtn">#REF!</definedName>
    <definedName name="Inp_CF_Eq_Undrwrtng_Synd_Avg_Trnsctn_Size">#REF!</definedName>
    <definedName name="Inp_CF_Eq_Undrwrtng_Synd_Cmt_Fees">#REF!</definedName>
    <definedName name="Inp_CF_Eq_Undrwrtng_Synd_Mndts_Exec">#REF!</definedName>
    <definedName name="Inp_WC_AP_Days_Op_Costs">#REF!</definedName>
    <definedName name="input2" localSheetId="6" hidden="1">{"InpCR",#N/A,FALSE,"InpCR";"InpPE",#N/A,FALSE,"InpPE";"InpPP",#N/A,FALSE,"InpPP";"InpPC",#N/A,FALSE,"InpPC"}</definedName>
    <definedName name="input2" hidden="1">{"InpCR",#N/A,FALSE,"InpCR";"InpPE",#N/A,FALSE,"InpPE";"InpPP",#N/A,FALSE,"InpPP";"InpPC",#N/A,FALSE,"InpPC"}</definedName>
    <definedName name="input3" localSheetId="6" hidden="1">{"InpCR",#N/A,FALSE,"InpCR";"InpPE",#N/A,FALSE,"InpPE";"InpPP",#N/A,FALSE,"InpPP";"InpPC",#N/A,FALSE,"InpPC"}</definedName>
    <definedName name="input3" hidden="1">{"InpCR",#N/A,FALSE,"InpCR";"InpPE",#N/A,FALSE,"InpPE";"InpPP",#N/A,FALSE,"InpPP";"InpPC",#N/A,FALSE,"InpPC"}</definedName>
    <definedName name="Insights" localSheetId="0" hidden="1">{"'INDICE'!$A$1:$K$13","'1'!$A$1:$CC$78","'2'!$A$1:$P$78","'3'!$A$1:$CI$78","'4'!$A$1:$Q$78"}</definedName>
    <definedName name="Insights" localSheetId="6" hidden="1">{"'INDICE'!$A$1:$K$13","'1'!$A$1:$CC$78","'2'!$A$1:$P$78","'3'!$A$1:$CI$78","'4'!$A$1:$Q$78"}</definedName>
    <definedName name="Insights" hidden="1">{"'INDICE'!$A$1:$K$13","'1'!$A$1:$CC$78","'2'!$A$1:$P$78","'3'!$A$1:$CI$78","'4'!$A$1:$Q$78"}</definedName>
    <definedName name="Insights_1" localSheetId="0" hidden="1">{"'INDICE'!$A$1:$K$13","'1'!$A$1:$CC$78","'2'!$A$1:$P$78","'3'!$A$1:$CI$78","'4'!$A$1:$Q$78"}</definedName>
    <definedName name="Insights_1" localSheetId="6" hidden="1">{"'INDICE'!$A$1:$K$13","'1'!$A$1:$CC$78","'2'!$A$1:$P$78","'3'!$A$1:$CI$78","'4'!$A$1:$Q$78"}</definedName>
    <definedName name="Insights_1" hidden="1">{"'INDICE'!$A$1:$K$13","'1'!$A$1:$CC$78","'2'!$A$1:$P$78","'3'!$A$1:$CI$78","'4'!$A$1:$Q$78"}</definedName>
    <definedName name="Int">#REF!</definedName>
    <definedName name="int_ext_sel" hidden="1">2</definedName>
    <definedName name="IntAddCon">#REF!</definedName>
    <definedName name="IntAddPre">#REF!</definedName>
    <definedName name="intang_rr">#REF!</definedName>
    <definedName name="intangible_assets">#REF!</definedName>
    <definedName name="INTANGIBLES_NET" hidden="1">"INTANGIBLES_NET"</definedName>
    <definedName name="IntCase">#REF!</definedName>
    <definedName name="IntCaseName">#REF!</definedName>
    <definedName name="INTER">#REF!</definedName>
    <definedName name="INTER2_SA" localSheetId="0" hidden="1">{#N/A,#N/A,FALSE,"Aging Summary";#N/A,#N/A,FALSE,"Ratio Analysis";#N/A,#N/A,FALSE,"Test 120 Day Accts";#N/A,#N/A,FALSE,"Tickmarks"}</definedName>
    <definedName name="INTER2_SA" localSheetId="6" hidden="1">{#N/A,#N/A,FALSE,"Aging Summary";#N/A,#N/A,FALSE,"Ratio Analysis";#N/A,#N/A,FALSE,"Test 120 Day Accts";#N/A,#N/A,FALSE,"Tickmarks"}</definedName>
    <definedName name="INTER2_SA" hidden="1">{#N/A,#N/A,FALSE,"Aging Summary";#N/A,#N/A,FALSE,"Ratio Analysis";#N/A,#N/A,FALSE,"Test 120 Day Accts";#N/A,#N/A,FALSE,"Tickmarks"}</definedName>
    <definedName name="INTER2_SA_1" localSheetId="0" hidden="1">{#N/A,#N/A,FALSE,"Aging Summary";#N/A,#N/A,FALSE,"Ratio Analysis";#N/A,#N/A,FALSE,"Test 120 Day Accts";#N/A,#N/A,FALSE,"Tickmarks"}</definedName>
    <definedName name="INTER2_SA_1" localSheetId="6" hidden="1">{#N/A,#N/A,FALSE,"Aging Summary";#N/A,#N/A,FALSE,"Ratio Analysis";#N/A,#N/A,FALSE,"Test 120 Day Accts";#N/A,#N/A,FALSE,"Tickmarks"}</definedName>
    <definedName name="INTER2_SA_1" hidden="1">{#N/A,#N/A,FALSE,"Aging Summary";#N/A,#N/A,FALSE,"Ratio Analysis";#N/A,#N/A,FALSE,"Test 120 Day Accts";#N/A,#N/A,FALSE,"Tickmarks"}</definedName>
    <definedName name="INTER3" localSheetId="0" hidden="1">{#N/A,#N/A,FALSE,"Aging Summary";#N/A,#N/A,FALSE,"Ratio Analysis";#N/A,#N/A,FALSE,"Test 120 Day Accts";#N/A,#N/A,FALSE,"Tickmarks"}</definedName>
    <definedName name="INTER3" localSheetId="6" hidden="1">{#N/A,#N/A,FALSE,"Aging Summary";#N/A,#N/A,FALSE,"Ratio Analysis";#N/A,#N/A,FALSE,"Test 120 Day Accts";#N/A,#N/A,FALSE,"Tickmarks"}</definedName>
    <definedName name="INTER3" hidden="1">{#N/A,#N/A,FALSE,"Aging Summary";#N/A,#N/A,FALSE,"Ratio Analysis";#N/A,#N/A,FALSE,"Test 120 Day Accts";#N/A,#N/A,FALSE,"Tickmarks"}</definedName>
    <definedName name="INTER3_1" localSheetId="0" hidden="1">{#N/A,#N/A,FALSE,"Aging Summary";#N/A,#N/A,FALSE,"Ratio Analysis";#N/A,#N/A,FALSE,"Test 120 Day Accts";#N/A,#N/A,FALSE,"Tickmarks"}</definedName>
    <definedName name="INTER3_1" localSheetId="6" hidden="1">{#N/A,#N/A,FALSE,"Aging Summary";#N/A,#N/A,FALSE,"Ratio Analysis";#N/A,#N/A,FALSE,"Test 120 Day Accts";#N/A,#N/A,FALSE,"Tickmarks"}</definedName>
    <definedName name="INTER3_1" hidden="1">{#N/A,#N/A,FALSE,"Aging Summary";#N/A,#N/A,FALSE,"Ratio Analysis";#N/A,#N/A,FALSE,"Test 120 Day Accts";#N/A,#N/A,FALSE,"Tickmarks"}</definedName>
    <definedName name="INTER4" localSheetId="0" hidden="1">{#N/A,#N/A,FALSE,"Aging Summary";#N/A,#N/A,FALSE,"Ratio Analysis";#N/A,#N/A,FALSE,"Test 120 Day Accts";#N/A,#N/A,FALSE,"Tickmarks"}</definedName>
    <definedName name="INTER4" localSheetId="6" hidden="1">{#N/A,#N/A,FALSE,"Aging Summary";#N/A,#N/A,FALSE,"Ratio Analysis";#N/A,#N/A,FALSE,"Test 120 Day Accts";#N/A,#N/A,FALSE,"Tickmarks"}</definedName>
    <definedName name="INTER4" hidden="1">{#N/A,#N/A,FALSE,"Aging Summary";#N/A,#N/A,FALSE,"Ratio Analysis";#N/A,#N/A,FALSE,"Test 120 Day Accts";#N/A,#N/A,FALSE,"Tickmarks"}</definedName>
    <definedName name="INTER4_1" localSheetId="0" hidden="1">{#N/A,#N/A,FALSE,"Aging Summary";#N/A,#N/A,FALSE,"Ratio Analysis";#N/A,#N/A,FALSE,"Test 120 Day Accts";#N/A,#N/A,FALSE,"Tickmarks"}</definedName>
    <definedName name="INTER4_1" localSheetId="6" hidden="1">{#N/A,#N/A,FALSE,"Aging Summary";#N/A,#N/A,FALSE,"Ratio Analysis";#N/A,#N/A,FALSE,"Test 120 Day Accts";#N/A,#N/A,FALSE,"Tickmarks"}</definedName>
    <definedName name="INTER4_1" hidden="1">{#N/A,#N/A,FALSE,"Aging Summary";#N/A,#N/A,FALSE,"Ratio Analysis";#N/A,#N/A,FALSE,"Test 120 Day Accts";#N/A,#N/A,FALSE,"Tickmarks"}</definedName>
    <definedName name="interest" localSheetId="0" hidden="1">{#N/A,#N/A,FALSE,"F-Trade debtors";#N/A,#N/A,FALSE,"F-Jnls by type";#N/A,#N/A,FALSE,"F-B sheet";#N/A,#N/A,FALSE,"F-Billings phasing";#N/A,#N/A,FALSE,"F-Vat";#N/A,#N/A,FALSE,"F-Cost split";#N/A,#N/A,FALSE,"F-Stock";#N/A,#N/A,FALSE,"F-Crs 30";#N/A,#N/A,FALSE,"F-Acc &amp; pre";#N/A,#N/A,FALSE,"F-Wages";#N/A,#N/A,FALSE,"F-Recharges";#N/A,#N/A,FALSE,"F-Fix assets";#N/A,#N/A,FALSE,"F-Int co";#N/A,#N/A,FALSE,"F-Man res";#N/A,#N/A,FALSE,"F-MR wages";#N/A,#N/A,FALSE,"F-Crs 45";#N/A,#N/A,FALSE,"vs MB"}</definedName>
    <definedName name="interest" localSheetId="6" hidden="1">{#N/A,#N/A,FALSE,"F-Trade debtors";#N/A,#N/A,FALSE,"F-Jnls by type";#N/A,#N/A,FALSE,"F-B sheet";#N/A,#N/A,FALSE,"F-Billings phasing";#N/A,#N/A,FALSE,"F-Vat";#N/A,#N/A,FALSE,"F-Cost split";#N/A,#N/A,FALSE,"F-Stock";#N/A,#N/A,FALSE,"F-Crs 30";#N/A,#N/A,FALSE,"F-Acc &amp; pre";#N/A,#N/A,FALSE,"F-Wages";#N/A,#N/A,FALSE,"F-Recharges";#N/A,#N/A,FALSE,"F-Fix assets";#N/A,#N/A,FALSE,"F-Int co";#N/A,#N/A,FALSE,"F-Man res";#N/A,#N/A,FALSE,"F-MR wages";#N/A,#N/A,FALSE,"F-Crs 45";#N/A,#N/A,FALSE,"vs MB"}</definedName>
    <definedName name="interest" hidden="1">{#N/A,#N/A,FALSE,"F-Trade debtors";#N/A,#N/A,FALSE,"F-Jnls by type";#N/A,#N/A,FALSE,"F-B sheet";#N/A,#N/A,FALSE,"F-Billings phasing";#N/A,#N/A,FALSE,"F-Vat";#N/A,#N/A,FALSE,"F-Cost split";#N/A,#N/A,FALSE,"F-Stock";#N/A,#N/A,FALSE,"F-Crs 30";#N/A,#N/A,FALSE,"F-Acc &amp; pre";#N/A,#N/A,FALSE,"F-Wages";#N/A,#N/A,FALSE,"F-Recharges";#N/A,#N/A,FALSE,"F-Fix assets";#N/A,#N/A,FALSE,"F-Int co";#N/A,#N/A,FALSE,"F-Man res";#N/A,#N/A,FALSE,"F-MR wages";#N/A,#N/A,FALSE,"F-Crs 45";#N/A,#N/A,FALSE,"vs MB"}</definedName>
    <definedName name="INTEREST_EXP_NET" hidden="1">"INTEREST_EXP_NET"</definedName>
    <definedName name="INTEREST_EXP_NON" hidden="1">"INTEREST_EXP_NON"</definedName>
    <definedName name="INTEREST_EXP_SUPPL" hidden="1">"INTEREST_EXP_SUPPL"</definedName>
    <definedName name="INTEREST_INC" hidden="1">"INTEREST_INC"</definedName>
    <definedName name="INTEREST_INC_10K" hidden="1">"INTEREST_INC_10K"</definedName>
    <definedName name="INTEREST_INC_10Q" hidden="1">"INTEREST_INC_10Q"</definedName>
    <definedName name="INTEREST_INC_10Q1" hidden="1">"INTEREST_INC_10Q1"</definedName>
    <definedName name="INTEREST_INC_NON" hidden="1">"INTEREST_INC_NON"</definedName>
    <definedName name="Interest_Rate">#REF!</definedName>
    <definedName name="Interest_Rate_CB">#REF!</definedName>
    <definedName name="InterestRate">#REF!</definedName>
    <definedName name="Internal">#REF!</definedName>
    <definedName name="Internet">#REF!</definedName>
    <definedName name="IntPmt" hidden="1">#REF!</definedName>
    <definedName name="Intro1">#REF!</definedName>
    <definedName name="Intro2">#REF!</definedName>
    <definedName name="IntroPrintArea" hidden="1">#REF!</definedName>
    <definedName name="INV" hidden="1">#REF!</definedName>
    <definedName name="Inv.Date">#REF!</definedName>
    <definedName name="InvAna">#REF!</definedName>
    <definedName name="invcap" hidden="1">#REF!</definedName>
    <definedName name="invcap2" hidden="1">#REF!</definedName>
    <definedName name="Inventories">#REF!</definedName>
    <definedName name="Invoice_Amount">#REF!</definedName>
    <definedName name="io" localSheetId="6" hidden="1">{#N/A,#N/A,TRUE,"Cover";#N/A,#N/A,TRUE,"Conts";#N/A,#N/A,TRUE,"VOS";#N/A,#N/A,TRUE,"Warrington";#N/A,#N/A,TRUE,"Widnes"}</definedName>
    <definedName name="io" hidden="1">{#N/A,#N/A,TRUE,"Cover";#N/A,#N/A,TRUE,"Conts";#N/A,#N/A,TRUE,"VOS";#N/A,#N/A,TRUE,"Warrington";#N/A,#N/A,TRUE,"Widnes"}</definedName>
    <definedName name="io_1" localSheetId="6" hidden="1">{#N/A,#N/A,TRUE,"Cover";#N/A,#N/A,TRUE,"Conts";#N/A,#N/A,TRUE,"VOS";#N/A,#N/A,TRUE,"Warrington";#N/A,#N/A,TRUE,"Widnes"}</definedName>
    <definedName name="io_1" hidden="1">{#N/A,#N/A,TRUE,"Cover";#N/A,#N/A,TRUE,"Conts";#N/A,#N/A,TRUE,"VOS";#N/A,#N/A,TRUE,"Warrington";#N/A,#N/A,TRUE,"Widnes"}</definedName>
    <definedName name="ioiiio" localSheetId="0" hidden="1">{"'INDICE'!$A$1:$K$13","'1'!$A$1:$CC$78","'2'!$A$1:$P$78","'3'!$A$1:$CI$78","'4'!$A$1:$Q$78"}</definedName>
    <definedName name="ioiiio" localSheetId="6" hidden="1">{"'INDICE'!$A$1:$K$13","'1'!$A$1:$CC$78","'2'!$A$1:$P$78","'3'!$A$1:$CI$78","'4'!$A$1:$Q$78"}</definedName>
    <definedName name="ioiiio" hidden="1">{"'INDICE'!$A$1:$K$13","'1'!$A$1:$CC$78","'2'!$A$1:$P$78","'3'!$A$1:$CI$78","'4'!$A$1:$Q$78"}</definedName>
    <definedName name="ioiiio_1" localSheetId="0" hidden="1">{"'INDICE'!$A$1:$K$13","'1'!$A$1:$CC$78","'2'!$A$1:$P$78","'3'!$A$1:$CI$78","'4'!$A$1:$Q$78"}</definedName>
    <definedName name="ioiiio_1" localSheetId="6" hidden="1">{"'INDICE'!$A$1:$K$13","'1'!$A$1:$CC$78","'2'!$A$1:$P$78","'3'!$A$1:$CI$78","'4'!$A$1:$Q$78"}</definedName>
    <definedName name="ioiiio_1" hidden="1">{"'INDICE'!$A$1:$K$13","'1'!$A$1:$CC$78","'2'!$A$1:$P$78","'3'!$A$1:$CI$78","'4'!$A$1:$Q$78"}</definedName>
    <definedName name="ioioo"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 hidden="1">{#N/A,#N/A,FALSE,"Rohstoffnotierungen";#N/A,#N/A,FALSE,"ER HCST Erw. 99";#N/A,#N/A,FALSE,"ER HCST Plan 00";#N/A,#N/A,FALSE,"Umsatz KG";#N/A,#N/A,FALSE,"ER HCST";#N/A,#N/A,FALSE,"EA ST (2)";#N/A,#N/A,FALSE,"EA ST";#N/A,#N/A,FALSE,"EA ST (3)";#N/A,#N/A,FALSE,"EA ST (4)";#N/A,#N/A,FALSE,"KA ST  (2)";#N/A,#N/A,FALSE,"KA ST";#N/A,#N/A,FALSE,"KA ST  (3)";#N/A,#N/A,FALSE,"KA ST (4)"}</definedName>
    <definedName name="ioioo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_1" hidden="1">{#N/A,#N/A,FALSE,"Rohstoffnotierungen";#N/A,#N/A,FALSE,"ER HCST Erw. 99";#N/A,#N/A,FALSE,"ER HCST Plan 00";#N/A,#N/A,FALSE,"Umsatz KG";#N/A,#N/A,FALSE,"ER HCST";#N/A,#N/A,FALSE,"EA ST (2)";#N/A,#N/A,FALSE,"EA ST";#N/A,#N/A,FALSE,"EA ST (3)";#N/A,#N/A,FALSE,"EA ST (4)";#N/A,#N/A,FALSE,"KA ST  (2)";#N/A,#N/A,FALSE,"KA ST";#N/A,#N/A,FALSE,"KA ST  (3)";#N/A,#N/A,FALSE,"KA ST (4)"}</definedName>
    <definedName name="ioioo_1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_1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_1_1" hidden="1">{#N/A,#N/A,FALSE,"Rohstoffnotierungen";#N/A,#N/A,FALSE,"ER HCST Erw. 99";#N/A,#N/A,FALSE,"ER HCST Plan 00";#N/A,#N/A,FALSE,"Umsatz KG";#N/A,#N/A,FALSE,"ER HCST";#N/A,#N/A,FALSE,"EA ST (2)";#N/A,#N/A,FALSE,"EA ST";#N/A,#N/A,FALSE,"EA ST (3)";#N/A,#N/A,FALSE,"EA ST (4)";#N/A,#N/A,FALSE,"KA ST  (2)";#N/A,#N/A,FALSE,"KA ST";#N/A,#N/A,FALSE,"KA ST  (3)";#N/A,#N/A,FALSE,"KA ST (4)"}</definedName>
    <definedName name="ioioo_2"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_2"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_2" hidden="1">{#N/A,#N/A,FALSE,"Rohstoffnotierungen";#N/A,#N/A,FALSE,"ER HCST Erw. 99";#N/A,#N/A,FALSE,"ER HCST Plan 00";#N/A,#N/A,FALSE,"Umsatz KG";#N/A,#N/A,FALSE,"ER HCST";#N/A,#N/A,FALSE,"EA ST (2)";#N/A,#N/A,FALSE,"EA ST";#N/A,#N/A,FALSE,"EA ST (3)";#N/A,#N/A,FALSE,"EA ST (4)";#N/A,#N/A,FALSE,"KA ST  (2)";#N/A,#N/A,FALSE,"KA ST";#N/A,#N/A,FALSE,"KA ST  (3)";#N/A,#N/A,FALSE,"KA ST (4)"}</definedName>
    <definedName name="ioioo_3"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_3"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_3" hidden="1">{#N/A,#N/A,FALSE,"Rohstoffnotierungen";#N/A,#N/A,FALSE,"ER HCST Erw. 99";#N/A,#N/A,FALSE,"ER HCST Plan 00";#N/A,#N/A,FALSE,"Umsatz KG";#N/A,#N/A,FALSE,"ER HCST";#N/A,#N/A,FALSE,"EA ST (2)";#N/A,#N/A,FALSE,"EA ST";#N/A,#N/A,FALSE,"EA ST (3)";#N/A,#N/A,FALSE,"EA ST (4)";#N/A,#N/A,FALSE,"KA ST  (2)";#N/A,#N/A,FALSE,"KA ST";#N/A,#N/A,FALSE,"KA ST  (3)";#N/A,#N/A,FALSE,"KA ST (4)"}</definedName>
    <definedName name="ioioo_4"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_4"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_4" hidden="1">{#N/A,#N/A,FALSE,"Rohstoffnotierungen";#N/A,#N/A,FALSE,"ER HCST Erw. 99";#N/A,#N/A,FALSE,"ER HCST Plan 00";#N/A,#N/A,FALSE,"Umsatz KG";#N/A,#N/A,FALSE,"ER HCST";#N/A,#N/A,FALSE,"EA ST (2)";#N/A,#N/A,FALSE,"EA ST";#N/A,#N/A,FALSE,"EA ST (3)";#N/A,#N/A,FALSE,"EA ST (4)";#N/A,#N/A,FALSE,"KA ST  (2)";#N/A,#N/A,FALSE,"KA ST";#N/A,#N/A,FALSE,"KA ST  (3)";#N/A,#N/A,FALSE,"KA ST (4)"}</definedName>
    <definedName name="ioioo_5"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ioioo_5"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ioioo_5" hidden="1">{#N/A,#N/A,FALSE,"Rohstoffnotierungen";#N/A,#N/A,FALSE,"ER HCST Erw. 99";#N/A,#N/A,FALSE,"ER HCST Plan 00";#N/A,#N/A,FALSE,"Umsatz KG";#N/A,#N/A,FALSE,"ER HCST";#N/A,#N/A,FALSE,"EA ST (2)";#N/A,#N/A,FALSE,"EA ST";#N/A,#N/A,FALSE,"EA ST (3)";#N/A,#N/A,FALSE,"EA ST (4)";#N/A,#N/A,FALSE,"KA ST  (2)";#N/A,#N/A,FALSE,"KA ST";#N/A,#N/A,FALSE,"KA ST  (3)";#N/A,#N/A,FALSE,"KA ST (4)"}</definedName>
    <definedName name="iol" localSheetId="6" hidden="1">{#N/A,#N/A,TRUE,"Cover";#N/A,#N/A,TRUE,"Conts";#N/A,#N/A,TRUE,"VOS";#N/A,#N/A,TRUE,"Warrington";#N/A,#N/A,TRUE,"Widnes"}</definedName>
    <definedName name="iol" hidden="1">{#N/A,#N/A,TRUE,"Cover";#N/A,#N/A,TRUE,"Conts";#N/A,#N/A,TRUE,"VOS";#N/A,#N/A,TRUE,"Warrington";#N/A,#N/A,TRUE,"Widnes"}</definedName>
    <definedName name="iol_1" localSheetId="6" hidden="1">{#N/A,#N/A,TRUE,"Cover";#N/A,#N/A,TRUE,"Conts";#N/A,#N/A,TRUE,"VOS";#N/A,#N/A,TRUE,"Warrington";#N/A,#N/A,TRUE,"Widnes"}</definedName>
    <definedName name="iol_1" hidden="1">{#N/A,#N/A,TRUE,"Cover";#N/A,#N/A,TRUE,"Conts";#N/A,#N/A,TRUE,"VOS";#N/A,#N/A,TRUE,"Warrington";#N/A,#N/A,TRUE,"Widnes"}</definedName>
    <definedName name="IP" localSheetId="0" hidden="1">{#N/A,#N/A,FALSE,"Pharm";#N/A,#N/A,FALSE,"WWCM"}</definedName>
    <definedName name="IP" localSheetId="6" hidden="1">{#N/A,#N/A,FALSE,"Pharm";#N/A,#N/A,FALSE,"WWCM"}</definedName>
    <definedName name="IP" hidden="1">{#N/A,#N/A,FALSE,"Pharm";#N/A,#N/A,FALSE,"WWCM"}</definedName>
    <definedName name="IP_1" localSheetId="0" hidden="1">{#N/A,#N/A,FALSE,"Pharm";#N/A,#N/A,FALSE,"WWCM"}</definedName>
    <definedName name="IP_1" localSheetId="6" hidden="1">{#N/A,#N/A,FALSE,"Pharm";#N/A,#N/A,FALSE,"WWCM"}</definedName>
    <definedName name="IP_1" hidden="1">{#N/A,#N/A,FALSE,"Pharm";#N/A,#N/A,FALSE,"WWCM"}</definedName>
    <definedName name="IP_1_1" localSheetId="0" hidden="1">{#N/A,#N/A,FALSE,"Pharm";#N/A,#N/A,FALSE,"WWCM"}</definedName>
    <definedName name="IP_1_1" localSheetId="6" hidden="1">{#N/A,#N/A,FALSE,"Pharm";#N/A,#N/A,FALSE,"WWCM"}</definedName>
    <definedName name="IP_1_1" hidden="1">{#N/A,#N/A,FALSE,"Pharm";#N/A,#N/A,FALSE,"WWCM"}</definedName>
    <definedName name="IP_2" localSheetId="0" hidden="1">{#N/A,#N/A,FALSE,"Pharm";#N/A,#N/A,FALSE,"WWCM"}</definedName>
    <definedName name="IP_2" localSheetId="6" hidden="1">{#N/A,#N/A,FALSE,"Pharm";#N/A,#N/A,FALSE,"WWCM"}</definedName>
    <definedName name="IP_2" hidden="1">{#N/A,#N/A,FALSE,"Pharm";#N/A,#N/A,FALSE,"WWCM"}</definedName>
    <definedName name="IP_3" localSheetId="0" hidden="1">{#N/A,#N/A,FALSE,"Pharm";#N/A,#N/A,FALSE,"WWCM"}</definedName>
    <definedName name="IP_3" localSheetId="6" hidden="1">{#N/A,#N/A,FALSE,"Pharm";#N/A,#N/A,FALSE,"WWCM"}</definedName>
    <definedName name="IP_3" hidden="1">{#N/A,#N/A,FALSE,"Pharm";#N/A,#N/A,FALSE,"WWCM"}</definedName>
    <definedName name="IP_4" localSheetId="0" hidden="1">{#N/A,#N/A,FALSE,"Pharm";#N/A,#N/A,FALSE,"WWCM"}</definedName>
    <definedName name="IP_4" localSheetId="6" hidden="1">{#N/A,#N/A,FALSE,"Pharm";#N/A,#N/A,FALSE,"WWCM"}</definedName>
    <definedName name="IP_4" hidden="1">{#N/A,#N/A,FALSE,"Pharm";#N/A,#N/A,FALSE,"WWCM"}</definedName>
    <definedName name="IP_5" localSheetId="0" hidden="1">{#N/A,#N/A,FALSE,"Pharm";#N/A,#N/A,FALSE,"WWCM"}</definedName>
    <definedName name="IP_5" localSheetId="6" hidden="1">{#N/A,#N/A,FALSE,"Pharm";#N/A,#N/A,FALSE,"WWCM"}</definedName>
    <definedName name="IP_5" hidden="1">{#N/A,#N/A,FALSE,"Pharm";#N/A,#N/A,FALSE,"WWCM"}</definedName>
    <definedName name="ip1_">#REF!</definedName>
    <definedName name="IPI" localSheetId="0"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IPI"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IPI"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IPO">#REF!</definedName>
    <definedName name="IQ" hidden="1">39716.3965393519</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localSheetId="0" hidden="1">"c413"</definedName>
    <definedName name="IQ_ACCOUNT_CHANGE" hidden="1">"c36"</definedName>
    <definedName name="IQ_ACCOUNT_CHANGE2" hidden="1">"c413"</definedName>
    <definedName name="IQ_ACCOUNT_CODE_INTEREST_PENALTIES" hidden="1">"c15741"</definedName>
    <definedName name="IQ_ACCOUNTING_FFIEC" hidden="1">"c13054"</definedName>
    <definedName name="IQ_ACCOUNTING_STANDARD_CIQ_COL" hidden="1">"c11739"</definedName>
    <definedName name="IQ_ACCOUNTS_PAY" localSheetId="0" hidden="1">"c32"</definedName>
    <definedName name="IQ_ACCOUNTS_PAY" hidden="1">"c91"</definedName>
    <definedName name="IQ_ACCOUNTS_PAY2" hidden="1">"c32"</definedName>
    <definedName name="IQ_ACCR_INT_PAY" hidden="1">"c1"</definedName>
    <definedName name="IQ_ACCR_INT_PAY_CF" hidden="1">"c2"</definedName>
    <definedName name="IQ_ACCR_INT_RECEIV" hidden="1">"c3"</definedName>
    <definedName name="IQ_ACCR_INT_RECEIV_CF" hidden="1">"c4"</definedName>
    <definedName name="IQ_ACCRUED_EXP" localSheetId="0" hidden="1">"c8"</definedName>
    <definedName name="IQ_ACCRUED_EXP" hidden="1">"c93"</definedName>
    <definedName name="IQ_ACCRUED_EXP2" hidden="1">"c8"</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localSheetId="0" hidden="1">"c7"</definedName>
    <definedName name="IQ_ACCUM_DEP" hidden="1">"c282"</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localSheetId="0" hidden="1">"c39"</definedName>
    <definedName name="IQ_ADD_PAID_IN" hidden="1">"c109"</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localSheetId="0" hidden="1">"c16"</definedName>
    <definedName name="IQ_ALLOW_CONST" hidden="1">"c292"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localSheetId="0" hidden="1">"c1471"</definedName>
    <definedName name="IQ_AMORTIZATION" hidden="1">"c121"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DIVIDEND" hidden="1">"c229"</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localSheetId="0" hidden="1">"c47"</definedName>
    <definedName name="IQ_ASSET_TURNS" hidden="1">"c148"</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localSheetId="0" hidden="1">"c63"</definedName>
    <definedName name="IQ_AVG_BROKER_REC" hidden="1">"c278"</definedName>
    <definedName name="IQ_AVG_BROKER_REC_CIQ" hidden="1">"c3612"</definedName>
    <definedName name="IQ_AVG_BROKER_REC_NO" localSheetId="0" hidden="1">"c64"</definedName>
    <definedName name="IQ_AVG_BROKER_REC_NO" hidden="1">"c279"</definedName>
    <definedName name="IQ_AVG_BROKER_REC_NO_CIQ" hidden="1">"c4657"</definedName>
    <definedName name="IQ_AVG_BROKER_REC_NO_REUT" hidden="1">"c5315"</definedName>
    <definedName name="IQ_AVG_BROKER_REC_REUT" hidden="1">"c3630"</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localSheetId="0" hidden="1">"c81"</definedName>
    <definedName name="IQ_AVG_PRICE" hidden="1">"c253"</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localSheetId="0" hidden="1">"c65"</definedName>
    <definedName name="IQ_AVG_VOLUME" hidden="1">"c254"</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localSheetId="0" hidden="1">"c85"</definedName>
    <definedName name="IQ_BASIC_EPS_EXCL" hidden="1">"c45"</definedName>
    <definedName name="IQ_BASIC_EPS_INCL" localSheetId="0" hidden="1">"c86"</definedName>
    <definedName name="IQ_BASIC_EPS_INCL" hidden="1">"c46"</definedName>
    <definedName name="IQ_BASIC_NAV_SHARES" hidden="1">"c16012"</definedName>
    <definedName name="IQ_BASIC_NORMAL_EPS" localSheetId="0" hidden="1">"c1592"</definedName>
    <definedName name="IQ_BASIC_NORMAL_EPS" hidden="1">"c65"</definedName>
    <definedName name="IQ_BASIC_WEIGHT" localSheetId="0" hidden="1">"c87"</definedName>
    <definedName name="IQ_BASIC_WEIGHT" hidden="1">"c44"</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localSheetId="0" hidden="1">"c88"</definedName>
    <definedName name="IQ_BETA" hidden="1">"c226"</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localSheetId="0" hidden="1">"c96"</definedName>
    <definedName name="IQ_BOARD_MEMBER" hidden="1">"c233"</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localSheetId="0" hidden="1">"c97"</definedName>
    <definedName name="IQ_BOARD_MEMBER_TITLE" hidden="1">"c234"</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MOODYS" hidden="1">"IQ_BONDRATING_MOODYS"</definedName>
    <definedName name="IQ_BONDRATING_SP" hidden="1">"c224"</definedName>
    <definedName name="IQ_BONDRATING_SP_DATE" hidden="1">"c242"</definedName>
    <definedName name="IQ_BOOK_VALUE" hidden="1">"c68"</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localSheetId="0" hidden="1">"c100"</definedName>
    <definedName name="IQ_BV_OVER_SHARES" hidden="1">"c177"</definedName>
    <definedName name="IQ_BV_SHARE" hidden="1">"c100"</definedName>
    <definedName name="IQ_BV_SHARE_ACT_OR_EST_CIQ_COL" hidden="1">"c11719"</definedName>
    <definedName name="IQ_BV_SHARE_ACT_OR_EST_REUT" hidden="1">"c5477"</definedName>
    <definedName name="IQ_BV_SHARE_EST_REUT" hidden="1">"c5439"</definedName>
    <definedName name="IQ_BV_SHARE_HIGH_EST_REUT" hidden="1">"c5441"</definedName>
    <definedName name="IQ_BV_SHARE_LOW_EST_REUT" hidden="1">"c5442"</definedName>
    <definedName name="IQ_BV_SHARE_MEDIAN_EST_REUT" hidden="1">"c5440"</definedName>
    <definedName name="IQ_BV_SHARE_NUM_EST_REUT" hidden="1">"c5443"</definedName>
    <definedName name="IQ_BV_SHARE_STDDEV_EST_REUT" hidden="1">"c5444"</definedName>
    <definedName name="IQ_BV_STDDEV_EST_REUT" hidden="1">"c5408"</definedName>
    <definedName name="IQ_BV_STDDEV_EST_THOM" hidden="1">"c5152"</definedName>
    <definedName name="IQ_CA_AP" hidden="1">"c8881"</definedName>
    <definedName name="IQ_CA_AP_ABS" hidden="1">"c8900"</definedName>
    <definedName name="IQ_CA_NAME_AP" hidden="1">"c8919"</definedName>
    <definedName name="IQ_CA_NAME_AP_ABS" hidden="1">"c8938"</definedName>
    <definedName name="IQ_CABLE_ARPU" localSheetId="0" hidden="1">"c2869"</definedName>
    <definedName name="IQ_CABLE_ARPU" hidden="1">"c2869"</definedName>
    <definedName name="IQ_CABLE_ARPU_ANALOG" localSheetId="0" hidden="1">"c2864"</definedName>
    <definedName name="IQ_CABLE_ARPU_ANALOG" hidden="1">"c2864"</definedName>
    <definedName name="IQ_CABLE_ARPU_BASIC" localSheetId="0" hidden="1">"c2866"</definedName>
    <definedName name="IQ_CABLE_ARPU_BASIC" hidden="1">"c2866"</definedName>
    <definedName name="IQ_CABLE_ARPU_BBAND" localSheetId="0" hidden="1">"c2867"</definedName>
    <definedName name="IQ_CABLE_ARPU_BBAND" hidden="1">"c2867"</definedName>
    <definedName name="IQ_CABLE_ARPU_DIG" localSheetId="0" hidden="1">"c2865"</definedName>
    <definedName name="IQ_CABLE_ARPU_DIG" hidden="1">"c2865"</definedName>
    <definedName name="IQ_CABLE_ARPU_PHONE" localSheetId="0" hidden="1">"c2868"</definedName>
    <definedName name="IQ_CABLE_ARPU_PHONE" hidden="1">"c2868"</definedName>
    <definedName name="IQ_CABLE_BASIC_PENETRATION" localSheetId="0" hidden="1">"c2850"</definedName>
    <definedName name="IQ_CABLE_BASIC_PENETRATION" hidden="1">"c2850"</definedName>
    <definedName name="IQ_CABLE_BBAND_PENETRATION" localSheetId="0" hidden="1">"c2852"</definedName>
    <definedName name="IQ_CABLE_BBAND_PENETRATION" hidden="1">"c2852"</definedName>
    <definedName name="IQ_CABLE_BBAND_PENETRATION_THP" localSheetId="0" hidden="1">"c2851"</definedName>
    <definedName name="IQ_CABLE_BBAND_PENETRATION_THP" hidden="1">"c2851"</definedName>
    <definedName name="IQ_CABLE_CHURN" localSheetId="0" hidden="1">"c2874"</definedName>
    <definedName name="IQ_CABLE_CHURN" hidden="1">"c2874"</definedName>
    <definedName name="IQ_CABLE_CHURN_BASIC" localSheetId="0" hidden="1">"c2871"</definedName>
    <definedName name="IQ_CABLE_CHURN_BASIC" hidden="1">"c2871"</definedName>
    <definedName name="IQ_CABLE_CHURN_BBAND" localSheetId="0" hidden="1">"c2872"</definedName>
    <definedName name="IQ_CABLE_CHURN_BBAND" hidden="1">"c2872"</definedName>
    <definedName name="IQ_CABLE_CHURN_DIG" localSheetId="0" hidden="1">"c2870"</definedName>
    <definedName name="IQ_CABLE_CHURN_DIG" hidden="1">"c2870"</definedName>
    <definedName name="IQ_CABLE_CHURN_PHONE" localSheetId="0" hidden="1">"c2873"</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localSheetId="0" hidden="1">"c2848"</definedName>
    <definedName name="IQ_CABLE_MILES_PASSED" hidden="1">"c2848"</definedName>
    <definedName name="IQ_CABLE_OTHER_REV" localSheetId="0" hidden="1">"c2882"</definedName>
    <definedName name="IQ_CABLE_OTHER_REV" hidden="1">"c2882"</definedName>
    <definedName name="IQ_CABLE_PHONE_PENETRATION" localSheetId="0" hidden="1">"c2853"</definedName>
    <definedName name="IQ_CABLE_PHONE_PENETRATION" hidden="1">"c2853"</definedName>
    <definedName name="IQ_CABLE_PROGRAMMING_COSTS" localSheetId="0" hidden="1">"c2884"</definedName>
    <definedName name="IQ_CABLE_PROGRAMMING_COSTS" hidden="1">"c2884"</definedName>
    <definedName name="IQ_CABLE_REV_ADVERT" localSheetId="0" hidden="1">"c2880"</definedName>
    <definedName name="IQ_CABLE_REV_ADVERT" hidden="1">"c2880"</definedName>
    <definedName name="IQ_CABLE_REV_ANALOG" localSheetId="0" hidden="1">"c2875"</definedName>
    <definedName name="IQ_CABLE_REV_ANALOG" hidden="1">"c2875"</definedName>
    <definedName name="IQ_CABLE_REV_BASIC" localSheetId="0" hidden="1">"c2877"</definedName>
    <definedName name="IQ_CABLE_REV_BASIC" hidden="1">"c2877"</definedName>
    <definedName name="IQ_CABLE_REV_BBAND" localSheetId="0" hidden="1">"c2878"</definedName>
    <definedName name="IQ_CABLE_REV_BBAND" hidden="1">"c2878"</definedName>
    <definedName name="IQ_CABLE_REV_COMMERCIAL" localSheetId="0" hidden="1">"c2881"</definedName>
    <definedName name="IQ_CABLE_REV_COMMERCIAL" hidden="1">"c2881"</definedName>
    <definedName name="IQ_CABLE_REV_DIG" localSheetId="0" hidden="1">"c2876"</definedName>
    <definedName name="IQ_CABLE_REV_DIG" hidden="1">"c2876"</definedName>
    <definedName name="IQ_CABLE_REV_PHONE" localSheetId="0" hidden="1">"c2879"</definedName>
    <definedName name="IQ_CABLE_REV_PHONE" hidden="1">"c2879"</definedName>
    <definedName name="IQ_CABLE_RGU" localSheetId="0" hidden="1">"c2863"</definedName>
    <definedName name="IQ_CABLE_RGU" hidden="1">"c2863"</definedName>
    <definedName name="IQ_CABLE_SUBS_ANALOG" localSheetId="0" hidden="1">"c2855"</definedName>
    <definedName name="IQ_CABLE_SUBS_ANALOG" hidden="1">"c2855"</definedName>
    <definedName name="IQ_CABLE_SUBS_BASIC" localSheetId="0" hidden="1">"c2857"</definedName>
    <definedName name="IQ_CABLE_SUBS_BASIC" hidden="1">"c2857"</definedName>
    <definedName name="IQ_CABLE_SUBS_BBAND" localSheetId="0" hidden="1">"c2858"</definedName>
    <definedName name="IQ_CABLE_SUBS_BBAND" hidden="1">"c2858"</definedName>
    <definedName name="IQ_CABLE_SUBS_BUNDLED" localSheetId="0" hidden="1">"c2861"</definedName>
    <definedName name="IQ_CABLE_SUBS_BUNDLED" hidden="1">"c2861"</definedName>
    <definedName name="IQ_CABLE_SUBS_BUS_PHONE" hidden="1">"c15773"</definedName>
    <definedName name="IQ_CABLE_SUBS_DIG" localSheetId="0" hidden="1">"c2856"</definedName>
    <definedName name="IQ_CABLE_SUBS_DIG" hidden="1">"c2856"</definedName>
    <definedName name="IQ_CABLE_SUBS_LONG_DIST_PHONE" hidden="1">"c15775"</definedName>
    <definedName name="IQ_CABLE_SUBS_NON_VIDEO" localSheetId="0" hidden="1">"c2860"</definedName>
    <definedName name="IQ_CABLE_SUBS_NON_VIDEO" hidden="1">"c2860"</definedName>
    <definedName name="IQ_CABLE_SUBS_PHONE" localSheetId="0" hidden="1">"c2859"</definedName>
    <definedName name="IQ_CABLE_SUBS_PHONE" hidden="1">"c2859"</definedName>
    <definedName name="IQ_CABLE_SUBS_RES_PHONE" hidden="1">"c15772"</definedName>
    <definedName name="IQ_CABLE_SUBS_SATELITE" hidden="1">"c15771"</definedName>
    <definedName name="IQ_CABLE_SUBS_TOTAL" localSheetId="0" hidden="1">"c2862"</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localSheetId="0" hidden="1">"c2883"</definedName>
    <definedName name="IQ_CABLE_TOTAL_REV" hidden="1">"c2883"</definedName>
    <definedName name="IQ_CAL_Q" localSheetId="0" hidden="1">"c101"</definedName>
    <definedName name="IQ_CAL_Q" hidden="1">"c246"</definedName>
    <definedName name="IQ_CAL_Q_EST" hidden="1">"c6796"</definedName>
    <definedName name="IQ_CAL_Q_EST_CIQ" hidden="1">"c6808"</definedName>
    <definedName name="IQ_CAL_Q_EST_CIQ_COL" hidden="1">"c11743"</definedName>
    <definedName name="IQ_CAL_Q_EST_REUT" hidden="1">"c6800"</definedName>
    <definedName name="IQ_CAL_Y" localSheetId="0" hidden="1">"c102"</definedName>
    <definedName name="IQ_CAL_Y" hidden="1">"c248"</definedName>
    <definedName name="IQ_CAL_Y_EST" hidden="1">"c6797"</definedName>
    <definedName name="IQ_CAL_Y_EST_CIQ" hidden="1">"c6809"</definedName>
    <definedName name="IQ_CAL_Y_EST_CIQ_COL" hidden="1">"c11744"</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localSheetId="0" hidden="1">"c103"</definedName>
    <definedName name="IQ_CAPEX" hidden="1">"c126"</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ACT_OR_EST_REUT" hidden="1">"c5474"</definedName>
    <definedName name="IQ_CAPEX_BNK" hidden="1">"c110"</definedName>
    <definedName name="IQ_CAPEX_BR" hidden="1">"c111"</definedName>
    <definedName name="IQ_CAPEX_EST_REUT" hidden="1">"c3969"</definedName>
    <definedName name="IQ_CAPEX_FIN" hidden="1">"c112"</definedName>
    <definedName name="IQ_CAPEX_GUIDANCE_CIQ" hidden="1">"c4562"</definedName>
    <definedName name="IQ_CAPEX_GUIDANCE_CIQ_COL" hidden="1">"c11211"</definedName>
    <definedName name="IQ_CAPEX_HIGH_EST_REUT" hidden="1">"c3971"</definedName>
    <definedName name="IQ_CAPEX_HIGH_GUIDANCE_CIQ" hidden="1">"c4592"</definedName>
    <definedName name="IQ_CAPEX_HIGH_GUIDANCE_CIQ_COL" hidden="1">"c11241"</definedName>
    <definedName name="IQ_CAPEX_INS" hidden="1">"c113"</definedName>
    <definedName name="IQ_CAPEX_LOW_EST_REUT" hidden="1">"c3972"</definedName>
    <definedName name="IQ_CAPEX_LOW_GUIDANCE_CIQ" hidden="1">"c4632"</definedName>
    <definedName name="IQ_CAPEX_LOW_GUIDANCE_CIQ_COL" hidden="1">"c11281"</definedName>
    <definedName name="IQ_CAPEX_MEDIAN_EST_REUT" hidden="1">"c3970"</definedName>
    <definedName name="IQ_CAPEX_NUM_EST_REUT" hidden="1">"c3973"</definedName>
    <definedName name="IQ_CAPEX_PCT_REV" hidden="1">"c19144"</definedName>
    <definedName name="IQ_CAPEX_STDDEV_EST_REUT" hidden="1">"c3974"</definedName>
    <definedName name="IQ_CAPEX_UTI" hidden="1">"c114"</definedName>
    <definedName name="IQ_CAPITAL_ALLOCATION_ADJUSTMENT_FOREIGN_FFIEC" hidden="1">"c15389"</definedName>
    <definedName name="IQ_CAPITAL_LEASE" localSheetId="0" hidden="1">"c115"</definedName>
    <definedName name="IQ_CAPITAL_LEASE" hidden="1">"c99"</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localSheetId="0" hidden="1">"c3460"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localSheetId="0" hidden="1">"c118"</definedName>
    <definedName name="IQ_CASH" hidden="1">"c69"</definedName>
    <definedName name="IQ_CASH_ACQUIRE_CF" localSheetId="0" hidden="1">"c1630"</definedName>
    <definedName name="IQ_CASH_ACQUIRE_CF" hidden="1">"c116"</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localSheetId="0" hidden="1">"c118"</definedName>
    <definedName name="IQ_CASH_DUE_BANKS" hidden="1">"c71"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localSheetId="0" hidden="1">"c118"</definedName>
    <definedName name="IQ_CASH_EQUIV" hidden="1">"c70"</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localSheetId="0" hidden="1">"c120"</definedName>
    <definedName name="IQ_CASH_INTEREST" hidden="1">"c137"</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EST" hidden="1">"c4163"</definedName>
    <definedName name="IQ_CASH_OPER_GUIDANCE_CIQ" hidden="1">"c4577"</definedName>
    <definedName name="IQ_CASH_OPER_GUIDANCE_CIQ_COL" hidden="1">"c11226"</definedName>
    <definedName name="IQ_CASH_OPER_HIGH_EST" hidden="1">"c4166"</definedName>
    <definedName name="IQ_CASH_OPER_HIGH_GUIDANCE_CIQ" hidden="1">"c4597"</definedName>
    <definedName name="IQ_CASH_OPER_HIGH_GUIDANCE_CIQ_COL" hidden="1">"c11246"</definedName>
    <definedName name="IQ_CASH_OPER_LOW_EST" hidden="1">"c4244"</definedName>
    <definedName name="IQ_CASH_OPER_LOW_GUIDANCE_CIQ" hidden="1">"c4637"</definedName>
    <definedName name="IQ_CASH_OPER_LOW_GUIDANCE_CIQ_COL" hidden="1">"c11286"</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localSheetId="0" hidden="1">"c124"</definedName>
    <definedName name="IQ_CASH_ST" hidden="1">"c73"</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localSheetId="0" hidden="1">"c125"</definedName>
    <definedName name="IQ_CASH_TAXES" hidden="1">"c138"</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ACT_OR_EST_REUT" hidden="1">"c5463"</definedName>
    <definedName name="IQ_CFPS_EST" hidden="1">"c1667"</definedName>
    <definedName name="IQ_CFPS_EST_REUT" hidden="1">"c3844"</definedName>
    <definedName name="IQ_CFPS_GUIDANCE_CIQ" hidden="1">"c4782"</definedName>
    <definedName name="IQ_CFPS_GUIDANCE_CIQ_COL" hidden="1">"c11429"</definedName>
    <definedName name="IQ_CFPS_HIGH_EST" hidden="1">"c1669"</definedName>
    <definedName name="IQ_CFPS_HIGH_EST_REUT" hidden="1">"c3846"</definedName>
    <definedName name="IQ_CFPS_HIGH_GUIDANCE_CIQ" hidden="1">"c4579"</definedName>
    <definedName name="IQ_CFPS_HIGH_GUIDANCE_CIQ_COL" hidden="1">"c11228"</definedName>
    <definedName name="IQ_CFPS_LOW_EST" hidden="1">"c1670"</definedName>
    <definedName name="IQ_CFPS_LOW_EST_REUT" hidden="1">"c3847"</definedName>
    <definedName name="IQ_CFPS_LOW_GUIDANCE_CIQ" hidden="1">"c4619"</definedName>
    <definedName name="IQ_CFPS_LOW_GUIDANCE_CIQ_COL" hidden="1">"c11268"</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localSheetId="0" hidden="1">"c161"</definedName>
    <definedName name="IQ_CHANGES_WORK_CAP" hidden="1">"c124"</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localSheetId="0" hidden="1">"c166"</definedName>
    <definedName name="IQ_CITY" hidden="1">"c216"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localSheetId="0" hidden="1">"c174"</definedName>
    <definedName name="IQ_CLOSEPRICE" hidden="1">"c206"</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localSheetId="0" hidden="1">"c182"</definedName>
    <definedName name="IQ_COMMON_STOCK" hidden="1">"c108"</definedName>
    <definedName name="IQ_COMMON_STOCK_FFIEC" hidden="1">"c12876"</definedName>
    <definedName name="IQ_COMP_BENEFITS" hidden="1">"c213"</definedName>
    <definedName name="IQ_COMPANY_ADDRESS" localSheetId="0" hidden="1">"c214"</definedName>
    <definedName name="IQ_COMPANY_ADDRESS" hidden="1">"c213"</definedName>
    <definedName name="IQ_COMPANY_ID" hidden="1">"c3513"</definedName>
    <definedName name="IQ_COMPANY_ID_QUICK_MATCH" hidden="1">"c16227"</definedName>
    <definedName name="IQ_COMPANY_NAME" localSheetId="0" hidden="1">"c215"</definedName>
    <definedName name="IQ_COMPANY_NAME" hidden="1">"c208"</definedName>
    <definedName name="IQ_COMPANY_NAME_LONG" hidden="1">"c1585"</definedName>
    <definedName name="IQ_COMPANY_NAME_QUICK_MATCH" hidden="1">"c16228"</definedName>
    <definedName name="IQ_COMPANY_NOTE" hidden="1">"c6792"</definedName>
    <definedName name="IQ_COMPANY_PHONE" localSheetId="0" hidden="1">"c216"</definedName>
    <definedName name="IQ_COMPANY_PHONE" hidden="1">"c219"</definedName>
    <definedName name="IQ_COMPANY_STATUS" hidden="1">"c2097"</definedName>
    <definedName name="IQ_COMPANY_STREET1" localSheetId="0" hidden="1">"c217"</definedName>
    <definedName name="IQ_COMPANY_STREET1" hidden="1">"c214"</definedName>
    <definedName name="IQ_COMPANY_STREET2" localSheetId="0" hidden="1">"c218"</definedName>
    <definedName name="IQ_COMPANY_STREET2" hidden="1">"c215"</definedName>
    <definedName name="IQ_COMPANY_TICKER" localSheetId="0" hidden="1">"c219"</definedName>
    <definedName name="IQ_COMPANY_TICKER" hidden="1">"c209"</definedName>
    <definedName name="IQ_COMPANY_TICKER_NO_EXCH" hidden="1">"c15490"</definedName>
    <definedName name="IQ_COMPANY_TYPE" hidden="1">"c2096"</definedName>
    <definedName name="IQ_COMPANY_WEBSITE" localSheetId="0" hidden="1">"c220"</definedName>
    <definedName name="IQ_COMPANY_WEBSITE" hidden="1">"c212"</definedName>
    <definedName name="IQ_COMPANY_ZIP" localSheetId="0" hidden="1">"c221"</definedName>
    <definedName name="IQ_COMPANY_ZIP" hidden="1">"c218"</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localSheetId="0" hidden="1">"c226"</definedName>
    <definedName name="IQ_COST_REVENUE" hidden="1">"c6"</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localSheetId="0" hidden="1">"c230"</definedName>
    <definedName name="IQ_COUNTRY_NAME" hidden="1">"c220"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localSheetId="0" hidden="1">"c241"</definedName>
    <definedName name="IQ_CURRENT_PORT" hidden="1">"c95"</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localSheetId="0" hidden="1">"c246"</definedName>
    <definedName name="IQ_CURRENT_RATIO" hidden="1">"c164"</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localSheetId="0" hidden="1">"c274"</definedName>
    <definedName name="IQ_DAYS_PAY_OUTST" hidden="1">"c154"</definedName>
    <definedName name="IQ_DAYS_PAYABLE_OUT" hidden="1">"c274"</definedName>
    <definedName name="IQ_DAYS_SALES_OUT" hidden="1">"c275"</definedName>
    <definedName name="IQ_DAYS_SALES_OUTST" localSheetId="0" hidden="1">"c275"</definedName>
    <definedName name="IQ_DAYS_SALES_OUTST" hidden="1">"c153"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localSheetId="0" hidden="1">"c301"</definedName>
    <definedName name="IQ_DEF_ACQ_CST" hidden="1">"c290"</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localSheetId="0" hidden="1">"c313"</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localSheetId="0" hidden="1">"c315"</definedName>
    <definedName name="IQ_DEFERRED_INC_TAX" hidden="1">"c102"</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localSheetId="0" hidden="1">"c147"</definedName>
    <definedName name="IQ_DEFERRED_TAXES" hidden="1">"c122"</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localSheetId="0" hidden="1">"c247"</definedName>
    <definedName name="IQ_DEPRE_AMORT" hidden="1">"c10"</definedName>
    <definedName name="IQ_DEPRE_AMORT_SUPPL" localSheetId="0" hidden="1">"c1593"</definedName>
    <definedName name="IQ_DEPRE_AMORT_SUPPL" hidden="1">"c54"</definedName>
    <definedName name="IQ_DEPRE_DEPLE" localSheetId="0" hidden="1">"c261"</definedName>
    <definedName name="IQ_DEPRE_DEPLE" hidden="1">"c120"</definedName>
    <definedName name="IQ_DEPRE_SUPP" localSheetId="0" hidden="1">"c1443"</definedName>
    <definedName name="IQ_DEPRE_SUPP" hidden="1">"c136"</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localSheetId="0" hidden="1">"c322"</definedName>
    <definedName name="IQ_DESCRIPTION_LONG" hidden="1">"c211"</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FF_LASTCLOSE_TARGET_PRICE_REUT" hidden="1">"c5436"</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localSheetId="0" hidden="1">"c1621"</definedName>
    <definedName name="IQ_DILUT_ADJUST" hidden="1">"c47"</definedName>
    <definedName name="IQ_DILUT_EPS_EXCL" localSheetId="0" hidden="1">"c324"</definedName>
    <definedName name="IQ_DILUT_EPS_EXCL" hidden="1">"c49"</definedName>
    <definedName name="IQ_DILUT_EPS_INCL" localSheetId="0" hidden="1">"c325"</definedName>
    <definedName name="IQ_DILUT_EPS_INCL" hidden="1">"c50"</definedName>
    <definedName name="IQ_DILUT_EPS_NORM" hidden="1">"c1903"</definedName>
    <definedName name="IQ_DILUT_NI" hidden="1">"c2079"</definedName>
    <definedName name="IQ_DILUT_NORMAL_EPS" localSheetId="0" hidden="1">"c1594"</definedName>
    <definedName name="IQ_DILUT_NORMAL_EPS" hidden="1">"c66"</definedName>
    <definedName name="IQ_DILUT_WEIGHT" localSheetId="0" hidden="1">"c326"</definedName>
    <definedName name="IQ_DILUT_WEIGHT" hidden="1">"c48"</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localSheetId="0" hidden="1">"c333"</definedName>
    <definedName name="IQ_DISCONT_OPER" hidden="1">"c37"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localSheetId="0" hidden="1">"c330"</definedName>
    <definedName name="IQ_DIVID_SHARE" hidden="1">"c51"</definedName>
    <definedName name="IQ_DIVIDEND_YIELD" localSheetId="0" hidden="1">"c332"</definedName>
    <definedName name="IQ_DIVIDEND_YIELD" hidden="1">"c230"</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ACT_OR_EST_REUT" hidden="1">"c5464"</definedName>
    <definedName name="IQ_DPS_EST" hidden="1">"c1674"</definedName>
    <definedName name="IQ_DPS_EST_BOTTOM_UP_REUT" hidden="1">"c5501"</definedName>
    <definedName name="IQ_DPS_EST_REUT" hidden="1">"c3851"</definedName>
    <definedName name="IQ_DPS_GUIDANCE_CIQ" hidden="1">"c4827"</definedName>
    <definedName name="IQ_DPS_GUIDANCE_CIQ_COL" hidden="1">"c11474"</definedName>
    <definedName name="IQ_DPS_HIGH_EST" hidden="1">"c1676"</definedName>
    <definedName name="IQ_DPS_HIGH_EST_REUT" hidden="1">"c3853"</definedName>
    <definedName name="IQ_DPS_HIGH_GUIDANCE_CIQ" hidden="1">"c4580"</definedName>
    <definedName name="IQ_DPS_HIGH_GUIDANCE_CIQ_COL" hidden="1">"c11229"</definedName>
    <definedName name="IQ_DPS_LOW_EST" hidden="1">"c1677"</definedName>
    <definedName name="IQ_DPS_LOW_EST_REUT" hidden="1">"c3854"</definedName>
    <definedName name="IQ_DPS_LOW_GUIDANCE_CIQ" hidden="1">"c4620"</definedName>
    <definedName name="IQ_DPS_LOW_GUIDANCE_CIQ_COL" hidden="1">"c11269"</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localSheetId="0" hidden="1">"c352"</definedName>
    <definedName name="IQ_EBIT" hidden="1">"c22"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 hidden="1">"c4306"</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EST_REUT" hidden="1">"c5335"</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EST_REUT" hidden="1">"c5336"</definedName>
    <definedName name="IQ_EBIT_LOW_GUIDANCE_CIQ" hidden="1">"c4624"</definedName>
    <definedName name="IQ_EBIT_LOW_GUIDANCE_CIQ_COL" hidden="1">"c11273"</definedName>
    <definedName name="IQ_EBIT_MARGIN" localSheetId="0" hidden="1">"c359"</definedName>
    <definedName name="IQ_EBIT_MARGIN" hidden="1">"c141"</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localSheetId="0" hidden="1">"c360"</definedName>
    <definedName name="IQ_EBIT_OVER_IE" hidden="1">"c184"</definedName>
    <definedName name="IQ_EBIT_SBC_ACT_OR_EST" hidden="1">"c4316"</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 hidden="1">"c4320"</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localSheetId="0" hidden="1">"c361"</definedName>
    <definedName name="IQ_EBITDA" hidden="1">"c23"</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ACT_OR_EST_REUT" hidden="1">"c5462"</definedName>
    <definedName name="IQ_EBITDA_CAPEX" hidden="1">"c19143"</definedName>
    <definedName name="IQ_EBITDA_CAPEX_INT" hidden="1">"c368"</definedName>
    <definedName name="IQ_EBITDA_CAPEX_OVER_TOTAL_IE" localSheetId="0" hidden="1">"c368"</definedName>
    <definedName name="IQ_EBITDA_CAPEX_OVER_TOTAL_IE" hidden="1">"c186"</definedName>
    <definedName name="IQ_EBITDA_EQ_INC" hidden="1">"c3496"</definedName>
    <definedName name="IQ_EBITDA_EQ_INC_EXCL_SBC" hidden="1">"c3500"</definedName>
    <definedName name="IQ_EBITDA_EST" localSheetId="0" hidden="1">"c369"</definedName>
    <definedName name="IQ_EBITDA_EST" hidden="1">"c252"</definedName>
    <definedName name="IQ_EBITDA_EST_CIQ" hidden="1">"c3622"</definedName>
    <definedName name="IQ_EBITDA_EST_REUT" hidden="1">"c3640"</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localSheetId="0" hidden="1">"c370"</definedName>
    <definedName name="IQ_EBITDA_HIGH_EST" hidden="1">"c265"</definedName>
    <definedName name="IQ_EBITDA_HIGH_EST_CIQ" hidden="1">"c3624"</definedName>
    <definedName name="IQ_EBITDA_HIGH_EST_REUT" hidden="1">"c3642"</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localSheetId="0" hidden="1">"c371"</definedName>
    <definedName name="IQ_EBITDA_LOW_EST" hidden="1">"c266"</definedName>
    <definedName name="IQ_EBITDA_LOW_EST_CIQ" hidden="1">"c3625"</definedName>
    <definedName name="IQ_EBITDA_LOW_EST_REUT" hidden="1">"c3643"</definedName>
    <definedName name="IQ_EBITDA_LOW_GUIDANCE_CIQ" hidden="1">"c4622"</definedName>
    <definedName name="IQ_EBITDA_LOW_GUIDANCE_CIQ_COL" hidden="1">"c11271"</definedName>
    <definedName name="IQ_EBITDA_MARGIN" localSheetId="0" hidden="1">"c372"</definedName>
    <definedName name="IQ_EBITDA_MARGIN" hidden="1">"c140"</definedName>
    <definedName name="IQ_EBITDA_MEDIAN_EST" hidden="1">"c1663"</definedName>
    <definedName name="IQ_EBITDA_MEDIAN_EST_CIQ" hidden="1">"c3623"</definedName>
    <definedName name="IQ_EBITDA_MEDIAN_EST_REUT" hidden="1">"c3641"</definedName>
    <definedName name="IQ_EBITDA_NO_EST" hidden="1">"c267"</definedName>
    <definedName name="IQ_EBITDA_NUM_EST" localSheetId="0" hidden="1">"c374"</definedName>
    <definedName name="IQ_EBITDA_NUM_EST" hidden="1">"c267"</definedName>
    <definedName name="IQ_EBITDA_NUM_EST_CIQ" hidden="1">"c3626"</definedName>
    <definedName name="IQ_EBITDA_NUM_EST_REUT" hidden="1">"c3644"</definedName>
    <definedName name="IQ_EBITDA_OVER_TOTAL_IE" localSheetId="0" hidden="1">"c373"</definedName>
    <definedName name="IQ_EBITDA_OVER_TOTAL_IE" hidden="1">"c185"</definedName>
    <definedName name="IQ_EBITDA_SBC_ACT_OR_EST" hidden="1">"c4337"</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localSheetId="0" hidden="1">"c375"</definedName>
    <definedName name="IQ_EBITDA_STDDEV_EST" hidden="1">"c268"</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 hidden="1">"c4350"</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 hidden="1">"c4354"</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localSheetId="0" hidden="1">"c5584"</definedName>
    <definedName name="IQ_ECS_NUM_SHAREHOLDERS" hidden="1">"c5584"</definedName>
    <definedName name="IQ_ECS_NUM_SHAREHOLDERS_ABS" localSheetId="0" hidden="1">"c5598"</definedName>
    <definedName name="IQ_ECS_NUM_SHAREHOLDERS_ABS" hidden="1">"c5598"</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localSheetId="0" hidden="1">"c1595"</definedName>
    <definedName name="IQ_EFFECT_SPECIAL_CHARGE" hidden="1">"c61"</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localSheetId="0" hidden="1">"c392"</definedName>
    <definedName name="IQ_EMPLOYEES" hidden="1">"c221"</definedName>
    <definedName name="IQ_EMPLOYEES_FFIEC" hidden="1">"c13035"</definedName>
    <definedName name="IQ_EMPLOYEES_UNDER_UNION_CONTRACTS" hidden="1">"c16109"</definedName>
    <definedName name="IQ_ENTERPRISE_VALUE" localSheetId="0" hidden="1">"c84"</definedName>
    <definedName name="IQ_ENTERPRISE_VALUE" hidden="1">"c2"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CT_OR_EST_REUT" hidden="1">"c5460"</definedName>
    <definedName name="IQ_EPS_AP" hidden="1">"c8880"</definedName>
    <definedName name="IQ_EPS_AP_ABS" hidden="1">"c8899"</definedName>
    <definedName name="IQ_EPS_EST" localSheetId="0" hidden="1">"c399"</definedName>
    <definedName name="IQ_EPS_EST" hidden="1">"c187"</definedName>
    <definedName name="IQ_EPS_EST_1" hidden="1">"c189"</definedName>
    <definedName name="IQ_EPS_EST_BOTTOM_UP_CIQ" hidden="1">"c12026"</definedName>
    <definedName name="IQ_EPS_EST_BOTTOM_UP_REUT" hidden="1">"c5497"</definedName>
    <definedName name="IQ_EPS_EST_CIQ" hidden="1">"c4994"</definedName>
    <definedName name="IQ_EPS_EST_REUT" hidden="1">"c5453"</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ACT_OR_EST_REUT" hidden="1">"c5469"</definedName>
    <definedName name="IQ_EPS_GW_EST" hidden="1">"c1737"</definedName>
    <definedName name="IQ_EPS_GW_EST_BOTTOM_UP_CIQ" hidden="1">"c12028"</definedName>
    <definedName name="IQ_EPS_GW_EST_BOTTOM_UP_REUT" hidden="1">"c5499"</definedName>
    <definedName name="IQ_EPS_GW_EST_CIQ" hidden="1">"c4723"</definedName>
    <definedName name="IQ_EPS_GW_EST_REUT" hidden="1">"c5389"</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EST_REUT" hidden="1">"c5391"</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EST_REUT" hidden="1">"c5392"</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localSheetId="0" hidden="1">"c400"</definedName>
    <definedName name="IQ_EPS_HIGH_EST" hidden="1">"c269"</definedName>
    <definedName name="IQ_EPS_HIGH_EST_CIQ" hidden="1">"c4995"</definedName>
    <definedName name="IQ_EPS_HIGH_EST_REUT" hidden="1">"c5454"</definedName>
    <definedName name="IQ_EPS_LOW_EST" localSheetId="0" hidden="1">"c401"</definedName>
    <definedName name="IQ_EPS_LOW_EST" hidden="1">"c270"</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BOTTOM_UP_REUT" hidden="1">"c5498"</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localSheetId="0" hidden="1">"c402"</definedName>
    <definedName name="IQ_EPS_NUM_EST" hidden="1">"c271"</definedName>
    <definedName name="IQ_EPS_NUM_EST_CIQ" hidden="1">"c4992"</definedName>
    <definedName name="IQ_EPS_NUM_EST_REUT" hidden="1">"c5451"</definedName>
    <definedName name="IQ_EPS_REPORT_ACT_OR_EST" hidden="1">"c2224"</definedName>
    <definedName name="IQ_EPS_REPORT_ACT_OR_EST_CIQ" hidden="1">"c5067"</definedName>
    <definedName name="IQ_EPS_REPORT_ACT_OR_EST_REUT" hidden="1">"c5470"</definedName>
    <definedName name="IQ_EPS_REPORTED_EST" hidden="1">"c1744"</definedName>
    <definedName name="IQ_EPS_REPORTED_EST_BOTTOM_UP_CIQ" hidden="1">"c12029"</definedName>
    <definedName name="IQ_EPS_REPORTED_EST_BOTTOM_UP_REUT" hidden="1">"c5500"</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 hidden="1">"c4380"</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localSheetId="0" hidden="1">"c403"</definedName>
    <definedName name="IQ_EPS_STDDEV_EST" hidden="1">"c272"</definedName>
    <definedName name="IQ_EPS_STDDEV_EST_CIQ" hidden="1">"c4993"</definedName>
    <definedName name="IQ_EPS_STDDEV_EST_REUT" hidden="1">"c5452"</definedName>
    <definedName name="IQ_EQUITY_AFFIL" localSheetId="0" hidden="1">"c552"</definedName>
    <definedName name="IQ_EQUITY_AFFIL" hidden="1">"c33"</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localSheetId="0" hidden="1">"c1596"</definedName>
    <definedName name="IQ_EQV_OVER_BV" hidden="1">"c173"</definedName>
    <definedName name="IQ_EQV_OVER_LTM_PRETAX_INC" localSheetId="0" hidden="1">"c739"</definedName>
    <definedName name="IQ_EQV_OVER_LTM_PRETAX_INC" hidden="1">"c178"</definedName>
    <definedName name="IQ_ESOP_DEBT" localSheetId="0" hidden="1">"c1597"</definedName>
    <definedName name="IQ_ESOP_DEBT" hidden="1">"c112"</definedName>
    <definedName name="IQ_ESOP_DEBT_GUARANTEED_FFIEC" hidden="1">"c12971"</definedName>
    <definedName name="IQ_ESOP_OVER_TOTAL" hidden="1">"c13768"</definedName>
    <definedName name="IQ_EST_ACT_BV_REUT" hidden="1">"c5409"</definedName>
    <definedName name="IQ_EST_ACT_BV_SHARE_REUT" hidden="1">"c5445"</definedName>
    <definedName name="IQ_EST_ACT_BV_THOM" hidden="1">"c5153"</definedName>
    <definedName name="IQ_EST_ACT_CAPEX_REUT" hidden="1">"c3975"</definedName>
    <definedName name="IQ_EST_ACT_CFPS" hidden="1">"c1673"</definedName>
    <definedName name="IQ_EST_ACT_CFPS_REUT" hidden="1">"c3850"</definedName>
    <definedName name="IQ_EST_ACT_DISTRIBUTABLE_CASH_CIQ_COL" hidden="1">"c11568"</definedName>
    <definedName name="IQ_EST_ACT_DPS" hidden="1">"c1680"</definedName>
    <definedName name="IQ_EST_ACT_DPS_REUT" hidden="1">"c3857"</definedName>
    <definedName name="IQ_EST_ACT_EBIT" hidden="1">"c1687"</definedName>
    <definedName name="IQ_EST_ACT_EBIT_REUT" hidden="1">"c5339"</definedName>
    <definedName name="IQ_EST_ACT_EBITDA" hidden="1">"c1664"</definedName>
    <definedName name="IQ_EST_ACT_EBITDA_CIQ" hidden="1">"c3667"</definedName>
    <definedName name="IQ_EST_ACT_EBITDA_REUT" hidden="1">"c3836"</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UT" hidden="1">"c5457"</definedName>
    <definedName name="IQ_EST_ACT_FFO" hidden="1">"c1666"</definedName>
    <definedName name="IQ_EST_ACT_FFO_CIQ_COL" hidden="1">"c11579"</definedName>
    <definedName name="IQ_EST_ACT_FFO_REUT" hidden="1">"c3843"</definedName>
    <definedName name="IQ_EST_ACT_FFO_SHARE_REUT" hidden="1">"c3843"</definedName>
    <definedName name="IQ_EST_ACT_FFO_SHARE_SHARE_REUT" hidden="1">"c3843"</definedName>
    <definedName name="IQ_EST_ACT_FFO_SHARE_SHARE_THOM" hidden="1">"c4005"</definedName>
    <definedName name="IQ_EST_ACT_FFO_THOM" hidden="1">"c4005"</definedName>
    <definedName name="IQ_EST_ACT_NAV" hidden="1">"c1757"</definedName>
    <definedName name="IQ_EST_ACT_NAV_SHARE_REUT" hidden="1">"c5616"</definedName>
    <definedName name="IQ_EST_ACT_NET_DEBT_REUT" hidden="1">"c5446"</definedName>
    <definedName name="IQ_EST_ACT_NI" hidden="1">"c1722"</definedName>
    <definedName name="IQ_EST_ACT_NI_GW" hidden="1">"c1729"</definedName>
    <definedName name="IQ_EST_ACT_NI_GW_REUT" hidden="1">"c5381"</definedName>
    <definedName name="IQ_EST_ACT_NI_GW_THOM" hidden="1">"c5139"</definedName>
    <definedName name="IQ_EST_ACT_NI_REPORTED" hidden="1">"c1736"</definedName>
    <definedName name="IQ_EST_ACT_NI_REPORTED_REUT" hidden="1">"c5388"</definedName>
    <definedName name="IQ_EST_ACT_NI_REUT" hidden="1">"c5374"</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TURN_ASSETS_REUT" hidden="1">"c3996"</definedName>
    <definedName name="IQ_EST_ACT_RETURN_EQUITY_REUT" hidden="1">"c3989"</definedName>
    <definedName name="IQ_EST_ACT_REV" hidden="1">"c2113"</definedName>
    <definedName name="IQ_EST_ACT_REV_CIQ" hidden="1">"c3666"</definedName>
    <definedName name="IQ_EST_ACT_REV_REUT" hidden="1">"c3835"</definedName>
    <definedName name="IQ_EST_BV_DIFF_CIQ" hidden="1">"c4765"</definedName>
    <definedName name="IQ_EST_BV_DIFF_REUT" hidden="1">"c5433"</definedName>
    <definedName name="IQ_EST_BV_DIFF_THOM" hidden="1">"c5204"</definedName>
    <definedName name="IQ_EST_BV_SURPRISE_PERCENT_CIQ" hidden="1">"c4766"</definedName>
    <definedName name="IQ_EST_BV_SURPRISE_PERCENT_REUT" hidden="1">"c5434"</definedName>
    <definedName name="IQ_EST_BV_SURPRISE_PERCENT_THOM" hidden="1">"c5205"</definedName>
    <definedName name="IQ_EST_CAPEX_GROWTH_1YR_REUT" hidden="1">"c5447"</definedName>
    <definedName name="IQ_EST_CAPEX_GROWTH_2YR_REUT" hidden="1">"c5448"</definedName>
    <definedName name="IQ_EST_CAPEX_GROWTH_Q_1YR_REUT" hidden="1">"c5449"</definedName>
    <definedName name="IQ_EST_CAPEX_SEQ_GROWTH_Q_REUT" hidden="1">"c5450"</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_SURPRISE_PERCENT_REUT" hidden="1">"c5414"</definedName>
    <definedName name="IQ_EST_EBITDA_DIFF" hidden="1">"c1867"</definedName>
    <definedName name="IQ_EST_EBITDA_DIFF_CIQ" hidden="1">"c3719"</definedName>
    <definedName name="IQ_EST_EBITDA_DIFF_REUT" hidden="1">"c3888"</definedName>
    <definedName name="IQ_EST_EBITDA_GROWTH_1YR" hidden="1">"c1766"</definedName>
    <definedName name="IQ_EST_EBITDA_GROWTH_1YR_CIQ" hidden="1">"c3695"</definedName>
    <definedName name="IQ_EST_EBITDA_GROWTH_1YR_REUT" hidden="1">"c3864"</definedName>
    <definedName name="IQ_EST_EBITDA_GROWTH_2YR" hidden="1">"c1767"</definedName>
    <definedName name="IQ_EST_EBITDA_GROWTH_2YR_CIQ" hidden="1">"c3696"</definedName>
    <definedName name="IQ_EST_EBITDA_GROWTH_2YR_REUT" hidden="1">"c3865"</definedName>
    <definedName name="IQ_EST_EBITDA_GROWTH_Q_1YR" hidden="1">"c1768"</definedName>
    <definedName name="IQ_EST_EBITDA_GROWTH_Q_1YR_CIQ" hidden="1">"c3697"</definedName>
    <definedName name="IQ_EST_EBITDA_GROWTH_Q_1YR_REUT" hidden="1">"c3866"</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EQ_GROWTH_Q_REUT" hidden="1">"c3867"</definedName>
    <definedName name="IQ_EST_EBITDA_SURPRISE_PERCENT" hidden="1">"c1868"</definedName>
    <definedName name="IQ_EST_EBITDA_SURPRISE_PERCENT_CIQ" hidden="1">"c3720"</definedName>
    <definedName name="IQ_EST_EBITDA_SURPRISE_PERCENT_REUT" hidden="1">"c3889"</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DIFF_REUT" hidden="1">"c5458"</definedName>
    <definedName name="IQ_EST_EPS_GROWTH_1YR" hidden="1">"c1636"</definedName>
    <definedName name="IQ_EST_EPS_GROWTH_1YR_CIQ" hidden="1">"c3628"</definedName>
    <definedName name="IQ_EST_EPS_GROWTH_1YR_REUT" hidden="1">"c3646"</definedName>
    <definedName name="IQ_EST_EPS_GROWTH_2YR" hidden="1">"c1637"</definedName>
    <definedName name="IQ_EST_EPS_GROWTH_2YR_CIQ" hidden="1">"c3689"</definedName>
    <definedName name="IQ_EST_EPS_GROWTH_2YR_REUT" hidden="1">"c3858"</definedName>
    <definedName name="IQ_EST_EPS_GROWTH_5YR" hidden="1">"c1655"</definedName>
    <definedName name="IQ_EST_EPS_GROWTH_5YR_BOTTOM_UP_CIQ" hidden="1">"c12024"</definedName>
    <definedName name="IQ_EST_EPS_GROWTH_5YR_BOTTOM_UP_REUT" hidden="1">"c5495"</definedName>
    <definedName name="IQ_EST_EPS_GROWTH_5YR_CIQ" hidden="1">"c3615"</definedName>
    <definedName name="IQ_EST_EPS_GROWTH_5YR_HIGH" hidden="1">"c1657"</definedName>
    <definedName name="IQ_EST_EPS_GROWTH_5YR_HIGH_CIQ" hidden="1">"c4663"</definedName>
    <definedName name="IQ_EST_EPS_GROWTH_5YR_HIGH_REUT" hidden="1">"c5322"</definedName>
    <definedName name="IQ_EST_EPS_GROWTH_5YR_LOW" hidden="1">"c1658"</definedName>
    <definedName name="IQ_EST_EPS_GROWTH_5YR_LOW_CIQ" hidden="1">"c4664"</definedName>
    <definedName name="IQ_EST_EPS_GROWTH_5YR_LOW_REUT" hidden="1">"c5323"</definedName>
    <definedName name="IQ_EST_EPS_GROWTH_5YR_MEDIAN" hidden="1">"c1656"</definedName>
    <definedName name="IQ_EST_EPS_GROWTH_5YR_MEDIAN_CIQ" hidden="1">"c5480"</definedName>
    <definedName name="IQ_EST_EPS_GROWTH_5YR_MEDIAN_REUT" hidden="1">"c5321"</definedName>
    <definedName name="IQ_EST_EPS_GROWTH_5YR_NUM" hidden="1">"c1659"</definedName>
    <definedName name="IQ_EST_EPS_GROWTH_5YR_NUM_CIQ" hidden="1">"c4665"</definedName>
    <definedName name="IQ_EST_EPS_GROWTH_5YR_NUM_REUT" hidden="1">"c5324"</definedName>
    <definedName name="IQ_EST_EPS_GROWTH_5YR_REUT" hidden="1">"c3633"</definedName>
    <definedName name="IQ_EST_EPS_GROWTH_5YR_STDDEV" hidden="1">"c1660"</definedName>
    <definedName name="IQ_EST_EPS_GROWTH_5YR_STDDEV_CIQ" hidden="1">"c4666"</definedName>
    <definedName name="IQ_EST_EPS_GROWTH_5YR_STDDEV_REUT" hidden="1">"c5325"</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EQ_GROWTH_Q_REUT" hidden="1">"c3859"</definedName>
    <definedName name="IQ_EST_EPS_SURPRISE" hidden="1">"c1635"</definedName>
    <definedName name="IQ_EST_EPS_SURPRISE_PERCENT" hidden="1">"c1635"</definedName>
    <definedName name="IQ_EST_EPS_SURPRISE_PERCENT_CIQ" hidden="1">"c5000"</definedName>
    <definedName name="IQ_EST_EPS_SURPRISE_PERCENT_REUT" hidden="1">"c5459"</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DIFF_REUT" hidden="1">"c3890"</definedName>
    <definedName name="IQ_EST_FFO_DIFF_THOM" hidden="1">"c5186"</definedName>
    <definedName name="IQ_EST_FFO_GROWTH_1YR" hidden="1">"c1770"</definedName>
    <definedName name="IQ_EST_FFO_GROWTH_1YR_CIQ_COL" hidden="1">"c11597"</definedName>
    <definedName name="IQ_EST_FFO_GROWTH_1YR_REUT" hidden="1">"c3874"</definedName>
    <definedName name="IQ_EST_FFO_GROWTH_2YR" hidden="1">"c1771"</definedName>
    <definedName name="IQ_EST_FFO_GROWTH_2YR_CIQ_COL" hidden="1">"c11598"</definedName>
    <definedName name="IQ_EST_FFO_GROWTH_2YR_REUT" hidden="1">"c3875"</definedName>
    <definedName name="IQ_EST_FFO_GROWTH_Q_1YR" hidden="1">"c1772"</definedName>
    <definedName name="IQ_EST_FFO_GROWTH_Q_1YR_CIQ_COL" hidden="1">"c11599"</definedName>
    <definedName name="IQ_EST_FFO_GROWTH_Q_1YR_REUT" hidden="1">"c3876"</definedName>
    <definedName name="IQ_EST_FFO_SEQ_GROWTH_Q" hidden="1">"c1773"</definedName>
    <definedName name="IQ_EST_FFO_SEQ_GROWTH_Q_CIQ_COL" hidden="1">"c11600"</definedName>
    <definedName name="IQ_EST_FFO_SEQ_GROWTH_Q_REUT" hidden="1">"c3877"</definedName>
    <definedName name="IQ_EST_FFO_SHARE_DIFF_REUT" hidden="1">"c3890"</definedName>
    <definedName name="IQ_EST_FFO_SHARE_SHARE_DIFF_REUT" hidden="1">"c3890"</definedName>
    <definedName name="IQ_EST_FFO_SHARE_SHARE_DIFF_THOM" hidden="1">"c5186"</definedName>
    <definedName name="IQ_EST_FFO_SHARE_SHARE_SURPRISE_PERCENT_REUT" hidden="1">"c3891"</definedName>
    <definedName name="IQ_EST_FFO_SHARE_SHARE_SURPRISE_PERCENT_THOM" hidden="1">"c5187"</definedName>
    <definedName name="IQ_EST_FFO_SHARE_SURPRISE_PERCENT_REUT" hidden="1">"c3891"</definedName>
    <definedName name="IQ_EST_FFO_SURPRISE_PERCENT" hidden="1">"c1870"</definedName>
    <definedName name="IQ_EST_FFO_SURPRISE_PERCENT_CIQ_COL" hidden="1">"c11629"</definedName>
    <definedName name="IQ_EST_FFO_SURPRISE_PERCENT_REUT" hidden="1">"c3891"</definedName>
    <definedName name="IQ_EST_FFO_SURPRISE_PERCENT_THOM" hidden="1">"c5187"</definedName>
    <definedName name="IQ_EST_FOOTNOTE" hidden="1">"c4540"</definedName>
    <definedName name="IQ_EST_FOOTNOTE_CIQ" hidden="1">"c12022"</definedName>
    <definedName name="IQ_EST_FOOTNOTE_REUT" hidden="1">"c5478"</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DIFF_REUT" hidden="1">"c5423"</definedName>
    <definedName name="IQ_EST_NI_GW_DIFF" hidden="1">"c1887"</definedName>
    <definedName name="IQ_EST_NI_GW_DIFF_REUT" hidden="1">"c5425"</definedName>
    <definedName name="IQ_EST_NI_GW_DIFF_THOM" hidden="1">"c5200"</definedName>
    <definedName name="IQ_EST_NI_GW_SURPRISE_PERCENT" hidden="1">"c1888"</definedName>
    <definedName name="IQ_EST_NI_GW_SURPRISE_PERCENT_REUT" hidden="1">"c5426"</definedName>
    <definedName name="IQ_EST_NI_GW_SURPRISE_PERCENT_THOM" hidden="1">"c5201"</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I_SURPRISE_PERCENT_REUT" hidden="1">"c5424"</definedName>
    <definedName name="IQ_EST_NUM_BUY" hidden="1">"c1759"</definedName>
    <definedName name="IQ_EST_NUM_BUY_CIQ" hidden="1">"c3700"</definedName>
    <definedName name="IQ_EST_NUM_BUY_REUT" hidden="1">"c3869"</definedName>
    <definedName name="IQ_EST_NUM_BUY_THOM" hidden="1">"c5165"</definedName>
    <definedName name="IQ_EST_NUM_HIGH_REC" hidden="1">"c5649"</definedName>
    <definedName name="IQ_EST_NUM_HIGH_REC_CIQ" hidden="1">"c3701"</definedName>
    <definedName name="IQ_EST_NUM_HIGH_REC_REUT" hidden="1">"c3870"</definedName>
    <definedName name="IQ_EST_NUM_HIGHEST_REC" hidden="1">"c5648"</definedName>
    <definedName name="IQ_EST_NUM_HIGHEST_REC_CIQ" hidden="1">"c3700"</definedName>
    <definedName name="IQ_EST_NUM_HIGHEST_REC_REUT" hidden="1">"c3869"</definedName>
    <definedName name="IQ_EST_NUM_HOLD" hidden="1">"c1761"</definedName>
    <definedName name="IQ_EST_NUM_HOLD_CIQ" hidden="1">"c3702"</definedName>
    <definedName name="IQ_EST_NUM_HOLD_REUT" hidden="1">"c3871"</definedName>
    <definedName name="IQ_EST_NUM_HOLD_THOM" hidden="1">"c5167"</definedName>
    <definedName name="IQ_EST_NUM_LOW_REC" hidden="1">"c5651"</definedName>
    <definedName name="IQ_EST_NUM_LOW_REC_CIQ" hidden="1">"c3703"</definedName>
    <definedName name="IQ_EST_NUM_LOW_REC_REUT" hidden="1">"c3872"</definedName>
    <definedName name="IQ_EST_NUM_LOWEST_REC" hidden="1">"c5652"</definedName>
    <definedName name="IQ_EST_NUM_LOWEST_REC_CIQ" hidden="1">"c3704"</definedName>
    <definedName name="IQ_EST_NUM_LOWEST_REC_REUT" hidden="1">"c3873"</definedName>
    <definedName name="IQ_EST_NUM_NEUTRAL_REC" hidden="1">"c5650"</definedName>
    <definedName name="IQ_EST_NUM_NEUTRAL_REC_CIQ" hidden="1">"c3702"</definedName>
    <definedName name="IQ_EST_NUM_NEUTRAL_REC_REUT" hidden="1">"c3871"</definedName>
    <definedName name="IQ_EST_NUM_NO_OPINION" hidden="1">"c1758"</definedName>
    <definedName name="IQ_EST_NUM_NO_OPINION_CIQ" hidden="1">"c3699"</definedName>
    <definedName name="IQ_EST_NUM_NO_OPINION_REUT" hidden="1">"c3868"</definedName>
    <definedName name="IQ_EST_NUM_OUTPERFORM" hidden="1">"c1760"</definedName>
    <definedName name="IQ_EST_NUM_OUTPERFORM_CIQ" hidden="1">"c3701"</definedName>
    <definedName name="IQ_EST_NUM_OUTPERFORM_REUT" hidden="1">"c3870"</definedName>
    <definedName name="IQ_EST_NUM_OUTPERFORM_THOM" hidden="1">"c5166"</definedName>
    <definedName name="IQ_EST_NUM_SELL" hidden="1">"c1763"</definedName>
    <definedName name="IQ_EST_NUM_SELL_CIQ" hidden="1">"c3704"</definedName>
    <definedName name="IQ_EST_NUM_SELL_REUT" hidden="1">"c3873"</definedName>
    <definedName name="IQ_EST_NUM_SELL_THOM" hidden="1">"c5169"</definedName>
    <definedName name="IQ_EST_NUM_UNDERPERFORM" hidden="1">"c1762"</definedName>
    <definedName name="IQ_EST_NUM_UNDERPERFORM_CIQ" hidden="1">"c3703"</definedName>
    <definedName name="IQ_EST_NUM_UNDERPERFORM_REUT" hidden="1">"c3872"</definedName>
    <definedName name="IQ_EST_NUM_UNDERPERFORM_THOM" hidden="1">"c5168"</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ERIOD_ID" hidden="1">"c13923"</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DIFF_REUT" hidden="1">"c3886"</definedName>
    <definedName name="IQ_EST_REV_GROWTH_1YR" hidden="1">"c1638"</definedName>
    <definedName name="IQ_EST_REV_GROWTH_1YR_CIQ" hidden="1">"c3691"</definedName>
    <definedName name="IQ_EST_REV_GROWTH_1YR_REUT" hidden="1">"c3860"</definedName>
    <definedName name="IQ_EST_REV_GROWTH_2YR" hidden="1">"c1639"</definedName>
    <definedName name="IQ_EST_REV_GROWTH_2YR_CIQ" hidden="1">"c3692"</definedName>
    <definedName name="IQ_EST_REV_GROWTH_2YR_REUT" hidden="1">"c3861"</definedName>
    <definedName name="IQ_EST_REV_GROWTH_Q_1YR" hidden="1">"c1640"</definedName>
    <definedName name="IQ_EST_REV_GROWTH_Q_1YR_CIQ" hidden="1">"c3693"</definedName>
    <definedName name="IQ_EST_REV_GROWTH_Q_1YR_REUT" hidden="1">"c3862"</definedName>
    <definedName name="IQ_EST_REV_SEQ_GROWTH_Q" hidden="1">"c1765"</definedName>
    <definedName name="IQ_EST_REV_SEQ_GROWTH_Q_CIQ" hidden="1">"c3694"</definedName>
    <definedName name="IQ_EST_REV_SEQ_GROWTH_Q_REUT" hidden="1">"c3863"</definedName>
    <definedName name="IQ_EST_REV_SURPRISE_PERCENT" hidden="1">"c1866"</definedName>
    <definedName name="IQ_EST_REV_SURPRISE_PERCENT_CIQ" hidden="1">"c3718"</definedName>
    <definedName name="IQ_EST_REV_SURPRISE_PERCENT_REUT" hidden="1">"c3887"</definedName>
    <definedName name="IQ_EST_VENDOR" hidden="1">"c5564"</definedName>
    <definedName name="IQ_ESTIMATED_ASSESSABLE_DEPOSITS_FDIC" hidden="1">"c6490"</definedName>
    <definedName name="IQ_ESTIMATED_INSURED_DEPOSITS_FDIC" hidden="1">"c6491"</definedName>
    <definedName name="IQ_EV_OVER_EMPLOYEE" localSheetId="0" hidden="1">"c1225"</definedName>
    <definedName name="IQ_EV_OVER_EMPLOYEE" hidden="1">"c172"</definedName>
    <definedName name="IQ_EV_OVER_LTM_EBIT" localSheetId="0" hidden="1">"c1221"</definedName>
    <definedName name="IQ_EV_OVER_LTM_EBIT" hidden="1">"c167"</definedName>
    <definedName name="IQ_EV_OVER_LTM_EBITDA" localSheetId="0" hidden="1">"c1223"</definedName>
    <definedName name="IQ_EV_OVER_LTM_EBITDA" hidden="1">"c168"</definedName>
    <definedName name="IQ_EV_OVER_LTM_REVENUE" localSheetId="0" hidden="1">"c1227"</definedName>
    <definedName name="IQ_EV_OVER_LTM_REVENUE" hidden="1">"c169"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localSheetId="0" hidden="1">"c405"</definedName>
    <definedName name="IQ_EXCHANGE" hidden="1">"c210"</definedName>
    <definedName name="IQ_EXCISE_TAXES_EXCL_SALES" hidden="1">"c5515"</definedName>
    <definedName name="IQ_EXCISE_TAXES_INCL_SALES" hidden="1">"c5514"</definedName>
    <definedName name="IQ_EXERCISE_PRICE" localSheetId="0" hidden="1">"c406"</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CODE_" hidden="1">90000213001</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localSheetId="0" hidden="1">"c413"</definedName>
    <definedName name="IQ_EXTRA_ITEMS" hidden="1">"c38"</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 hidden="1">"c4435"</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localSheetId="0" hidden="1">"c418"</definedName>
    <definedName name="IQ_FFO_EST" hidden="1">"c273"</definedName>
    <definedName name="IQ_FFO_EST_CIQ_COL" hidden="1">"c11617"</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THOM" hidden="1">"c12487"</definedName>
    <definedName name="IQ_FFO_EST_DET_EST_DATE" hidden="1">"c12212"</definedName>
    <definedName name="IQ_FFO_EST_DET_EST_DATE_CIQ" hidden="1">"c12267"</definedName>
    <definedName name="IQ_FFO_EST_DET_EST_DATE_THOM" hidden="1">"c12238"</definedName>
    <definedName name="IQ_FFO_EST_DET_EST_INCL" hidden="1">"c12349"</definedName>
    <definedName name="IQ_FFO_EST_DET_EST_INCL_CIQ" hidden="1">"c12395"</definedName>
    <definedName name="IQ_FFO_EST_DET_EST_INCL_THOM" hidden="1">"c12370"</definedName>
    <definedName name="IQ_FFO_EST_DET_EST_ORIGIN" hidden="1">"c12722"</definedName>
    <definedName name="IQ_FFO_EST_DET_EST_ORIGIN_CIQ" hidden="1">"c12720"</definedName>
    <definedName name="IQ_FFO_EST_DET_EST_ORIGIN_THOM" hidden="1">"c12608"</definedName>
    <definedName name="IQ_FFO_EST_DET_EST_THOM" hidden="1">"c12088"</definedName>
    <definedName name="IQ_FFO_EST_REUT" hidden="1">"c3837"</definedName>
    <definedName name="IQ_FFO_EST_THOM" hidden="1">"c3999"</definedName>
    <definedName name="IQ_FFO_GUIDANCE_CIQ" hidden="1">"c4968"</definedName>
    <definedName name="IQ_FFO_GUIDANCE_CIQ_COL" hidden="1">"c11615"</definedName>
    <definedName name="IQ_FFO_HIGH_EST" localSheetId="0" hidden="1">"c419"</definedName>
    <definedName name="IQ_FFO_HIGH_EST" hidden="1">"c274"</definedName>
    <definedName name="IQ_FFO_HIGH_EST_CIQ_COL" hidden="1">"c11624"</definedName>
    <definedName name="IQ_FFO_HIGH_EST_REUT" hidden="1">"c3839"</definedName>
    <definedName name="IQ_FFO_HIGH_EST_THOM" hidden="1">"c4001"</definedName>
    <definedName name="IQ_FFO_HIGH_GUIDANCE_CIQ" hidden="1">"c4596"</definedName>
    <definedName name="IQ_FFO_HIGH_GUIDANCE_CIQ_COL" hidden="1">"c11245"</definedName>
    <definedName name="IQ_FFO_LOW_EST" localSheetId="0" hidden="1">"c420"</definedName>
    <definedName name="IQ_FFO_LOW_EST" hidden="1">"c275"</definedName>
    <definedName name="IQ_FFO_LOW_EST_CIQ_COL" hidden="1">"c11625"</definedName>
    <definedName name="IQ_FFO_LOW_EST_REUT" hidden="1">"c3840"</definedName>
    <definedName name="IQ_FFO_LOW_EST_THOM" hidden="1">"c4002"</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MEDIAN_EST_REUT" hidden="1">"c3838"</definedName>
    <definedName name="IQ_FFO_MEDIAN_EST_THOM" hidden="1">"c4000"</definedName>
    <definedName name="IQ_FFO_NO_EST" hidden="1">"c276"</definedName>
    <definedName name="IQ_FFO_NUM_EST" localSheetId="0" hidden="1">"c421"</definedName>
    <definedName name="IQ_FFO_NUM_EST" hidden="1">"c276"</definedName>
    <definedName name="IQ_FFO_NUM_EST_CIQ_COL" hidden="1">"c11627"</definedName>
    <definedName name="IQ_FFO_NUM_EST_REUT" hidden="1">"c3841"</definedName>
    <definedName name="IQ_FFO_NUM_EST_THOM" hidden="1">"c4003"</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ACT_OR_EST_CIQ_COL" hidden="1">"c11618"</definedName>
    <definedName name="IQ_FFO_SHARE_EST_REUT" hidden="1">"c3837"</definedName>
    <definedName name="IQ_FFO_SHARE_GUIDANCE_CIQ" hidden="1">"c4976"</definedName>
    <definedName name="IQ_FFO_SHARE_GUIDANCE_CIQ_COL" hidden="1">"c11623"</definedName>
    <definedName name="IQ_FFO_SHARE_HIGH_EST_REUT" hidden="1">"c3839"</definedName>
    <definedName name="IQ_FFO_SHARE_HIGH_GUIDANCE_CIQ" hidden="1">"c4615"</definedName>
    <definedName name="IQ_FFO_SHARE_HIGH_GUIDANCE_CIQ_COL" hidden="1">"c11264"</definedName>
    <definedName name="IQ_FFO_SHARE_LOW_EST_REUT" hidden="1">"c3840"</definedName>
    <definedName name="IQ_FFO_SHARE_LOW_GUIDANCE_CIQ" hidden="1">"c4655"</definedName>
    <definedName name="IQ_FFO_SHARE_LOW_GUIDANCE_CIQ_COL" hidden="1">"c11304"</definedName>
    <definedName name="IQ_FFO_SHARE_MEDIAN_EST_REUT" hidden="1">"c3838"</definedName>
    <definedName name="IQ_FFO_SHARE_NUM_EST_REUT" hidden="1">"c3841"</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REUT" hidden="1">"c3837"</definedName>
    <definedName name="IQ_FFO_SHARE_SHARE_EST_THOM" hidden="1">"c3999"</definedName>
    <definedName name="IQ_FFO_SHARE_SHARE_HIGH_EST_REUT" hidden="1">"c3839"</definedName>
    <definedName name="IQ_FFO_SHARE_SHARE_HIGH_EST_THOM" hidden="1">"c4001"</definedName>
    <definedName name="IQ_FFO_SHARE_SHARE_LOW_EST_REUT" hidden="1">"c3840"</definedName>
    <definedName name="IQ_FFO_SHARE_SHARE_LOW_EST_THOM" hidden="1">"c4002"</definedName>
    <definedName name="IQ_FFO_SHARE_SHARE_MEDIAN_EST_REUT" hidden="1">"c3838"</definedName>
    <definedName name="IQ_FFO_SHARE_SHARE_MEDIAN_EST_THOM" hidden="1">"c4000"</definedName>
    <definedName name="IQ_FFO_SHARE_SHARE_NUM_EST_REUT" hidden="1">"c3841"</definedName>
    <definedName name="IQ_FFO_SHARE_SHARE_NUM_EST_THOM" hidden="1">"c4003"</definedName>
    <definedName name="IQ_FFO_SHARE_SHARE_STDDEV_EST_REUT" hidden="1">"c3842"</definedName>
    <definedName name="IQ_FFO_SHARE_SHARE_STDDEV_EST_THOM" hidden="1">"c4004"</definedName>
    <definedName name="IQ_FFO_SHARE_STDDEV_EST_REUT" hidden="1">"c3842"</definedName>
    <definedName name="IQ_FFO_SHARES_BASIC" hidden="1">"c16185"</definedName>
    <definedName name="IQ_FFO_SHARES_DILUTED" hidden="1">"c16187"</definedName>
    <definedName name="IQ_FFO_STDDEV_EST" localSheetId="0" hidden="1">"c422"</definedName>
    <definedName name="IQ_FFO_STDDEV_EST" hidden="1">"c277"</definedName>
    <definedName name="IQ_FFO_STDDEV_EST_CIQ_COL" hidden="1">"c11628"</definedName>
    <definedName name="IQ_FFO_STDDEV_EST_REUT" hidden="1">"c3842"</definedName>
    <definedName name="IQ_FFO_STDDEV_EST_THOM" hidden="1">"c4004"</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localSheetId="0" hidden="1">"c893"</definedName>
    <definedName name="IQ_FINANCING_CASH" hidden="1">"c129"</definedName>
    <definedName name="IQ_FINANCING_CASH_SUPPL" localSheetId="0" hidden="1">"c899"</definedName>
    <definedName name="IQ_FINANCING_CASH_SUPPL" hidden="1">"c1406"</definedName>
    <definedName name="IQ_FINANCING_OBLIG_CURRENT" localSheetId="0" hidden="1">"c6190"</definedName>
    <definedName name="IQ_FINANCING_OBLIG_CURRENT" hidden="1">"c6190"</definedName>
    <definedName name="IQ_FINANCING_OBLIG_NON_CURRENT" localSheetId="0" hidden="1">"c6191"</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localSheetId="0" hidden="1">"c440"</definedName>
    <definedName name="IQ_FISCAL_Q" hidden="1">"c245"</definedName>
    <definedName name="IQ_FISCAL_Q_EST" hidden="1">"c6794"</definedName>
    <definedName name="IQ_FISCAL_Q_EST_CIQ" hidden="1">"c6806"</definedName>
    <definedName name="IQ_FISCAL_Q_EST_CIQ_COL" hidden="1">"c11741"</definedName>
    <definedName name="IQ_FISCAL_Q_EST_REUT" hidden="1">"c6798"</definedName>
    <definedName name="IQ_FISCAL_Y" localSheetId="0" hidden="1">"c441"</definedName>
    <definedName name="IQ_FISCAL_Y" hidden="1">"c247"</definedName>
    <definedName name="IQ_FISCAL_Y_EST" hidden="1">"c6795"</definedName>
    <definedName name="IQ_FISCAL_Y_EST_CIQ" hidden="1">"c6807"</definedName>
    <definedName name="IQ_FISCAL_Y_EST_CIQ_COL" hidden="1">"c11742"</definedName>
    <definedName name="IQ_FISCAL_Y_EST_REUT" hidden="1">"c6799"</definedName>
    <definedName name="IQ_FIVE_PERCENT_AMOUNT" hidden="1">"c240"</definedName>
    <definedName name="IQ_FIVE_PERCENT_CIQID" hidden="1">"c19094"</definedName>
    <definedName name="IQ_FIVE_PERCENT_DERIVATIVES" hidden="1">"c19096"</definedName>
    <definedName name="IQ_FIVE_PERCENT_NAME" hidden="1">"c19093"</definedName>
    <definedName name="IQ_FIVE_PERCENT_OWNER" localSheetId="0" hidden="1">"c442"</definedName>
    <definedName name="IQ_FIVE_PERCENT_OWNER" hidden="1">"c239"</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OWNER" hidden="1">"c239"</definedName>
    <definedName name="IQ_FIVEPERCENT_PERCENT" localSheetId="0" hidden="1">"c443"</definedName>
    <definedName name="IQ_FIVEPERCENT_PERCENT" hidden="1">"c240"</definedName>
    <definedName name="IQ_FIVEPERCENT_SHARES" localSheetId="0" hidden="1">"c444"</definedName>
    <definedName name="IQ_FIVEPERCENT_SHARES" hidden="1">"c251"</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 hidden="1">"c225"</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localSheetId="0" hidden="1">"c451"</definedName>
    <definedName name="IQ_FOREIGN_EXCHANGE" hidden="1">"c134"</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localSheetId="0" hidden="1">"c452"</definedName>
    <definedName name="IQ_GAIN_SALE_ASSETS" hidden="1">"c27"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CP_CDS_MDS_DATE" hidden="1">"c27273"</definedName>
    <definedName name="IQ_GCP_CDS_MDS_SCORE" hidden="1">"c27272"</definedName>
    <definedName name="IQ_GCP_CDS_MDS_Z_SCORE" hidden="1">"c27274"</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localSheetId="0" hidden="1">"c530"</definedName>
    <definedName name="IQ_GOODWILL_NET" hidden="1">"c85"</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localSheetId="0" hidden="1">"c192"</definedName>
    <definedName name="IQ_GROSS_DIVID" hidden="1">"c52"</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localSheetId="0" hidden="1">"c529"</definedName>
    <definedName name="IQ_GROSS_MARGIN" hidden="1">"c139"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localSheetId="0" hidden="1">"c511"</definedName>
    <definedName name="IQ_GROSS_PROFIT" hidden="1">"c7"</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_TARGET_PRICE_REUT" hidden="1">"c5317"</definedName>
    <definedName name="IQ_HIGHPRICE" localSheetId="0" hidden="1">"c545"</definedName>
    <definedName name="IQ_HIGHPRICE" hidden="1">"c193"</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localSheetId="0" hidden="1">"c1598"</definedName>
    <definedName name="IQ_INC_AFTER_TAX" hidden="1">"c31"</definedName>
    <definedName name="IQ_INC_AVAIL_EXCL" localSheetId="0" hidden="1">"c789"</definedName>
    <definedName name="IQ_INC_AVAIL_EXCL" hidden="1">"c42"</definedName>
    <definedName name="IQ_INC_AVAIL_INCL" localSheetId="0" hidden="1">"c791"</definedName>
    <definedName name="IQ_INC_AVAIL_INCL" hidden="1">"c43"</definedName>
    <definedName name="IQ_INC_BEFORE_TAX" localSheetId="0" hidden="1">"c386"</definedName>
    <definedName name="IQ_INC_BEFORE_TAX" hidden="1">"c29"</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localSheetId="0" hidden="1">"c560"</definedName>
    <definedName name="IQ_INC_TAX" hidden="1">"c30"</definedName>
    <definedName name="IQ_INC_TAX_EXCL" localSheetId="0" hidden="1">"c1599"</definedName>
    <definedName name="IQ_INC_TAX_EXCL" hidden="1">"c62"</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PROVIDED_DIVIDEND" hidden="1">"c19252"</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AMOUNT" hidden="1">"c238"</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localSheetId="0" hidden="1">"c577"</definedName>
    <definedName name="IQ_INSIDER_OWNER" hidden="1">"c237"</definedName>
    <definedName name="IQ_INSIDER_PERCENT" localSheetId="0" hidden="1">"c578"</definedName>
    <definedName name="IQ_INSIDER_PERCENT" hidden="1">"c238"</definedName>
    <definedName name="IQ_INSIDER_POSITION_DATE" hidden="1">"c19104"</definedName>
    <definedName name="IQ_INSIDER_SHARES" localSheetId="0" hidden="1">"c579"</definedName>
    <definedName name="IQ_INSIDER_SHARES" hidden="1">"c250"</definedName>
    <definedName name="IQ_INSIDER_VALUE" hidden="1">"c19103"</definedName>
    <definedName name="IQ_INST_DEPOSITS" hidden="1">"c89"</definedName>
    <definedName name="IQ_INSTITUTIONAL_AMOUNT" hidden="1">"c236"</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localSheetId="0" hidden="1">"c580"</definedName>
    <definedName name="IQ_INSTITUTIONAL_OWNER" hidden="1">"c235"</definedName>
    <definedName name="IQ_INSTITUTIONAL_PERCENT" localSheetId="0" hidden="1">"c581"</definedName>
    <definedName name="IQ_INSTITUTIONAL_PERCENT" hidden="1">"c236"</definedName>
    <definedName name="IQ_INSTITUTIONAL_POSITION_DATE" hidden="1">"c19109"</definedName>
    <definedName name="IQ_INSTITUTIONAL_SHARES" localSheetId="0" hidden="1">"c582"</definedName>
    <definedName name="IQ_INSTITUTIONAL_SHARES" hidden="1">"c249"</definedName>
    <definedName name="IQ_INSTITUTIONAL_VALUE" hidden="1">"c19108"</definedName>
    <definedName name="IQ_INSTITUTIONS_EARNINGS_GAINS_FDIC" hidden="1">"c6723"</definedName>
    <definedName name="IQ_INSUR_RECEIV" localSheetId="0" hidden="1">"c1600"</definedName>
    <definedName name="IQ_INSUR_RECEIV" hidden="1">"c288"</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localSheetId="0" hidden="1">"c907"</definedName>
    <definedName name="IQ_INTANGIBLES_NET" hidden="1">"c86"</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localSheetId="0" hidden="1">"c1450"</definedName>
    <definedName name="IQ_INTEREST_EXP_NET" hidden="1">"c17"</definedName>
    <definedName name="IQ_INTEREST_EXP_NON" localSheetId="0" hidden="1">"c618"</definedName>
    <definedName name="IQ_INTEREST_EXP_NON" hidden="1">"c24"</definedName>
    <definedName name="IQ_INTEREST_EXP_SUPPL" localSheetId="0" hidden="1">"c1460"</definedName>
    <definedName name="IQ_INTEREST_EXP_SUPPL" hidden="1">"c53"</definedName>
    <definedName name="IQ_INTEREST_INC" localSheetId="0" hidden="1">"c769"</definedName>
    <definedName name="IQ_INTEREST_INC" hidden="1">"c26"</definedName>
    <definedName name="IQ_INTEREST_INC_10K" hidden="1">"IQ_INTEREST_INC_10K"</definedName>
    <definedName name="IQ_INTEREST_INC_10Q" hidden="1">"IQ_INTEREST_INC_10Q"</definedName>
    <definedName name="IQ_INTEREST_INC_10Q1" hidden="1">"IQ_INTEREST_INC_10Q1"</definedName>
    <definedName name="IQ_INTEREST_INC_NON" localSheetId="0" hidden="1">"c619"</definedName>
    <definedName name="IQ_INTEREST_INC_NON" hidden="1">"c25"</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localSheetId="0" hidden="1">"c623"</definedName>
    <definedName name="IQ_INVENTORY_TURNS" hidden="1">"c147"</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localSheetId="0" hidden="1">"c751"</definedName>
    <definedName name="IQ_ISS_DEBT_NET" hidden="1">"c132"</definedName>
    <definedName name="IQ_ISS_STOCK_NET" localSheetId="0" hidden="1">"c1601"</definedName>
    <definedName name="IQ_ISS_STOCK_NET" hidden="1">"c131"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EBIT_MARGIN" hidden="1">"c151"</definedName>
    <definedName name="IQ_LAST_EBITDA_MARGIN" hidden="1">"c150"</definedName>
    <definedName name="IQ_LAST_GROSS_MARGIN" hidden="1">"c149"</definedName>
    <definedName name="IQ_LAST_NET_INC_MARGIN" hidden="1">"c152"</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localSheetId="0" hidden="1">"c646"</definedName>
    <definedName name="IQ_LASTSALEPRICE" hidden="1">"c191"</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localSheetId="0" hidden="1">"c656"</definedName>
    <definedName name="IQ_LOAN_LOSS" hidden="1">"c12"</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localSheetId="0" hidden="1">"c674"</definedName>
    <definedName name="IQ_LONG_TERM_DEBT" hidden="1">"c98"</definedName>
    <definedName name="IQ_LONG_TERM_DEBT_OVER_TOTAL_CAP" localSheetId="0" hidden="1">"c677"</definedName>
    <definedName name="IQ_LONG_TERM_DEBT_OVER_TOTAL_CAP" hidden="1">"c181"</definedName>
    <definedName name="IQ_LONG_TERM_GROWTH" localSheetId="0" hidden="1">"c671"</definedName>
    <definedName name="IQ_LONG_TERM_GROWTH" hidden="1">"c143"</definedName>
    <definedName name="IQ_LONG_TERM_INV" localSheetId="0" hidden="1">"c697"</definedName>
    <definedName name="IQ_LONG_TERM_INV" hidden="1">"c87"</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_TARGET_PRICE_REUT" hidden="1">"c5318"</definedName>
    <definedName name="IQ_LOWPRICE" localSheetId="0" hidden="1">"c673"</definedName>
    <definedName name="IQ_LOWPRICE" hidden="1">"c194"</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localSheetId="0" hidden="1">"c1602"</definedName>
    <definedName name="IQ_LT_NOTE_RECEIV" hidden="1">"c289"</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localSheetId="0" hidden="1">"c1304"</definedName>
    <definedName name="IQ_LTM_REVENUE_OVER_EMPLOYEES" hidden="1">"c179"</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ACT_OR_EST_CIQ_COL" hidden="1">"c11634"</definedName>
    <definedName name="IQ_MAINT_CAPEX_EST" hidden="1">"c4457"</definedName>
    <definedName name="IQ_MAINT_CAPEX_GUIDANCE_CIQ" hidden="1">"c4988"</definedName>
    <definedName name="IQ_MAINT_CAPEX_GUIDANCE_CIQ_COL" hidden="1">"c11635"</definedName>
    <definedName name="IQ_MAINT_CAPEX_HIGH_EST" hidden="1">"c4460"</definedName>
    <definedName name="IQ_MAINT_CAPEX_HIGH_GUIDANCE_CIQ" hidden="1">"c4609"</definedName>
    <definedName name="IQ_MAINT_CAPEX_HIGH_GUIDANCE_CIQ_COL" hidden="1">"c11258"</definedName>
    <definedName name="IQ_MAINT_CAPEX_LOW_EST" hidden="1">"c4461"</definedName>
    <definedName name="IQ_MAINT_CAPEX_LOW_GUIDANCE_CIQ" hidden="1">"c4649"</definedName>
    <definedName name="IQ_MAINT_CAPEX_LOW_GUIDANCE_CIQ_COL" hidden="1">"c11298"</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localSheetId="0" hidden="1">"c712"</definedName>
    <definedName name="IQ_MARKETCAP" hidden="1">"c200"</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localSheetId="0" hidden="1">"c727"</definedName>
    <definedName name="IQ_MINORITY_INTEREST" hidden="1">"c103"</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localSheetId="0" hidden="1">"c733"</definedName>
    <definedName name="IQ_MINORITY_INTEREST_IS" hidden="1">"c32"</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localSheetId="0" hidden="1">"c1603"</definedName>
    <definedName name="IQ_MISC_EARN_ADJ" hidden="1">"c41"</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localSheetId="0" hidden="1">40070.5420486111</definedName>
    <definedName name="IQ_NAMES_REVISION_DATE_" hidden="1">41666.7099189815</definedName>
    <definedName name="IQ_NAMES_REVISION_DATE__1" hidden="1">41709.6269212963</definedName>
    <definedName name="IQ_NAMES_REVISION_DATE__1_1" hidden="1">41570.7863888889</definedName>
    <definedName name="IQ_NAMES_REVISION_DATE__2" hidden="1">41570.7892013889</definedName>
    <definedName name="IQ_NAMES_REVISION_DATE__2_1" hidden="1">41570.7892013889</definedName>
    <definedName name="IQ_NAMES_REVISION_DATE__3" hidden="1">41571.4154976852</definedName>
    <definedName name="IQ_NAMES_REVISION_DATE__4" hidden="1">41610.7679050926</definedName>
    <definedName name="IQ_NAMES_REVISION_DATE__5" hidden="1">42786.4214699074</definedName>
    <definedName name="IQ_NAMES_REVISION_DATE__5_1" hidden="1">42982.6495023148</definedName>
    <definedName name="iq_names_revision_date_2" hidden="1">42935.7265162037</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ACT_OR_EST_REUT" hidden="1">"c5623"</definedName>
    <definedName name="IQ_NAV_SHARE_EST_REUT" hidden="1">"c5617"</definedName>
    <definedName name="IQ_NAV_SHARE_HIGH_EST_REUT" hidden="1">"c5620"</definedName>
    <definedName name="IQ_NAV_SHARE_LOW_EST_REUT" hidden="1">"c5621"</definedName>
    <definedName name="IQ_NAV_SHARE_MEDIAN_EST_REUT" hidden="1">"c5618"</definedName>
    <definedName name="IQ_NAV_SHARE_NUM_EST_REUT" hidden="1">"c5622"</definedName>
    <definedName name="IQ_NAV_SHARE_RE" hidden="1">"c16011"</definedName>
    <definedName name="IQ_NAV_SHARE_STDDEV_EST_REUT" hidden="1">"c5619"</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localSheetId="0" hidden="1">"c749"</definedName>
    <definedName name="IQ_NET_CHANGE" hidden="1">"c135"</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localSheetId="0" hidden="1">"c1584"</definedName>
    <definedName name="IQ_NET_DEBT" hidden="1">"c118"</definedName>
    <definedName name="IQ_NET_DEBT_ACT_OR_EST_CIQ_COL" hidden="1">"c11717"</definedName>
    <definedName name="IQ_NET_DEBT_ACT_OR_EST_REUT" hidden="1">"c5473"</definedName>
    <definedName name="IQ_NET_DEBT_EBITDA" hidden="1">"c750"</definedName>
    <definedName name="IQ_NET_DEBT_EBITDA_CAPEX" hidden="1">"c2949"</definedName>
    <definedName name="IQ_NET_DEBT_EST_REUT" hidden="1">"c3976"</definedName>
    <definedName name="IQ_NET_DEBT_GUIDANCE_CIQ" hidden="1">"c5005"</definedName>
    <definedName name="IQ_NET_DEBT_GUIDANCE_CIQ_COL" hidden="1">"c11652"</definedName>
    <definedName name="IQ_NET_DEBT_HIGH_EST_REUT" hidden="1">"c3978"</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_REUT" hidden="1">"c3979"</definedName>
    <definedName name="IQ_NET_DEBT_LOW_GUIDANCE_CIQ" hidden="1">"c4633"</definedName>
    <definedName name="IQ_NET_DEBT_LOW_GUIDANCE_CIQ_COL" hidden="1">"c11282"</definedName>
    <definedName name="IQ_NET_DEBT_MEDIAN_EST_REUT" hidden="1">"c3977"</definedName>
    <definedName name="IQ_NET_DEBT_NUM_EST_REUT" hidden="1">"c3980"</definedName>
    <definedName name="IQ_NET_DEBT_STDDEV_EST_REUT" hidden="1">"c3981"</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localSheetId="0" hidden="1">"c781"</definedName>
    <definedName name="IQ_NET_INC" hidden="1">"c39"</definedName>
    <definedName name="IQ_NET_INC_10K" hidden="1">"IQ_NET_INC_10K"</definedName>
    <definedName name="IQ_NET_INC_10Q" hidden="1">"IQ_NET_INC_10Q"</definedName>
    <definedName name="IQ_NET_INC_10Q1" hidden="1">"IQ_NET_INC_10Q1"</definedName>
    <definedName name="IQ_NET_INC_BEFORE" localSheetId="0" hidden="1">"c344"</definedName>
    <definedName name="IQ_NET_INC_BEFORE" hidden="1">"c35"</definedName>
    <definedName name="IQ_NET_INC_CF" localSheetId="0" hidden="1">"c793"</definedName>
    <definedName name="IQ_NET_INC_CF" hidden="1">"c119"</definedName>
    <definedName name="IQ_NET_INC_GROWTH_1" hidden="1">"c158"</definedName>
    <definedName name="IQ_NET_INC_GROWTH_2" hidden="1">"c162"</definedName>
    <definedName name="IQ_NET_INC_MARGIN" localSheetId="0" hidden="1">"c794"</definedName>
    <definedName name="IQ_NET_INC_MARGIN" hidden="1">"c142"</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localSheetId="0" hidden="1">"c764"</definedName>
    <definedName name="IQ_NET_INTEREST_INC" hidden="1">"c11"</definedName>
    <definedName name="IQ_NET_INTEREST_INC_AFTER_LL" localSheetId="0" hidden="1">"c1604"</definedName>
    <definedName name="IQ_NET_INTEREST_INC_AFTER_LL" hidden="1">"c13"</definedName>
    <definedName name="IQ_NET_INTEREST_INC_INTERNATIONAL_OPS_FFIEC" hidden="1">"c15375"</definedName>
    <definedName name="IQ_NET_INTEREST_MARGIN_FDIC" hidden="1">"c6726"</definedName>
    <definedName name="IQ_NET_LIFE_INS_IN_FORCE" hidden="1">"c2769"</definedName>
    <definedName name="IQ_NET_LOANS" localSheetId="0" hidden="1">"c772"</definedName>
    <definedName name="IQ_NET_LOANS" hidden="1">"c75"</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REUT" hidden="1">"c5368"</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EST_REUT" hidden="1">"c5375"</definedName>
    <definedName name="IQ_NI_GW_EST_THOM" hidden="1">"c5133"</definedName>
    <definedName name="IQ_NI_GW_GUIDANCE_CIQ" hidden="1">"c5009"</definedName>
    <definedName name="IQ_NI_GW_GUIDANCE_CIQ_COL" hidden="1">"c11656"</definedName>
    <definedName name="IQ_NI_GW_HIGH_EST" hidden="1">"c1725"</definedName>
    <definedName name="IQ_NI_GW_HIGH_EST_REUT" hidden="1">"c5377"</definedName>
    <definedName name="IQ_NI_GW_HIGH_EST_THOM" hidden="1">"c5135"</definedName>
    <definedName name="IQ_NI_GW_HIGH_GUIDANCE_CIQ" hidden="1">"c4590"</definedName>
    <definedName name="IQ_NI_GW_HIGH_GUIDANCE_CIQ_COL" hidden="1">"c11239"</definedName>
    <definedName name="IQ_NI_GW_LOW_EST" hidden="1">"c1726"</definedName>
    <definedName name="IQ_NI_GW_LOW_EST_REUT" hidden="1">"c5378"</definedName>
    <definedName name="IQ_NI_GW_LOW_EST_THOM" hidden="1">"c5136"</definedName>
    <definedName name="IQ_NI_GW_LOW_GUIDANCE_CIQ" hidden="1">"c4630"</definedName>
    <definedName name="IQ_NI_GW_LOW_GUIDANCE_CIQ_COL" hidden="1">"c11279"</definedName>
    <definedName name="IQ_NI_GW_MEDIAN_EST" hidden="1">"c1724"</definedName>
    <definedName name="IQ_NI_GW_MEDIAN_EST_REUT" hidden="1">"c5376"</definedName>
    <definedName name="IQ_NI_GW_MEDIAN_EST_THOM" hidden="1">"c5134"</definedName>
    <definedName name="IQ_NI_GW_NUM_EST" hidden="1">"c1727"</definedName>
    <definedName name="IQ_NI_GW_NUM_EST_REUT" hidden="1">"c5379"</definedName>
    <definedName name="IQ_NI_GW_NUM_EST_THOM" hidden="1">"c5137"</definedName>
    <definedName name="IQ_NI_GW_STDDEV_EST" hidden="1">"c1728"</definedName>
    <definedName name="IQ_NI_GW_STDDEV_EST_REUT" hidden="1">"c5380"</definedName>
    <definedName name="IQ_NI_GW_STDDEV_EST_THOM" hidden="1">"c5138"</definedName>
    <definedName name="IQ_NI_HIGH_EST" hidden="1">"c1718"</definedName>
    <definedName name="IQ_NI_HIGH_EST_REUT" hidden="1">"c5370"</definedName>
    <definedName name="IQ_NI_HIGH_GUIDANCE_CIQ" hidden="1">"c4588"</definedName>
    <definedName name="IQ_NI_HIGH_GUIDANCE_CIQ_COL" hidden="1">"c11237"</definedName>
    <definedName name="IQ_NI_LOW_EST" hidden="1">"c1719"</definedName>
    <definedName name="IQ_NI_LOW_EST_REUT" hidden="1">"c5371"</definedName>
    <definedName name="IQ_NI_LOW_GUIDANCE_CIQ" hidden="1">"c4628"</definedName>
    <definedName name="IQ_NI_LOW_GUIDANCE_CIQ_COL" hidden="1">"c11277"</definedName>
    <definedName name="IQ_NI_MARGIN" hidden="1">"c794"</definedName>
    <definedName name="IQ_NI_MEDIAN_EST" hidden="1">"c1717"</definedName>
    <definedName name="IQ_NI_MEDIAN_EST_REUT" hidden="1">"c5369"</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 hidden="1">"c4478"</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TDDEV_EST_REUT" hidden="1">"c5373"</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localSheetId="0" hidden="1">"c797"</definedName>
    <definedName name="IQ_NON_CASH" hidden="1">"c123"</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localSheetId="0" hidden="1">"c801"</definedName>
    <definedName name="IQ_NON_INTEREST_EXP" hidden="1">"c15"</definedName>
    <definedName name="IQ_NON_INTEREST_INC" localSheetId="0" hidden="1">"c802"</definedName>
    <definedName name="IQ_NON_INTEREST_INC" hidden="1">"c14"</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_EPS_ACT_OR_EST_REUT" hidden="1">"c5472"</definedName>
    <definedName name="IQ_NORMAL_INC_AFTER" localSheetId="0" hidden="1">"c1605"</definedName>
    <definedName name="IQ_NORMAL_INC_AFTER" hidden="1">"c63"</definedName>
    <definedName name="IQ_NORMAL_INC_AVAIL" localSheetId="0" hidden="1">"c1606"</definedName>
    <definedName name="IQ_NORMAL_INC_AVAIL" hidden="1">"c64"</definedName>
    <definedName name="IQ_NORMAL_INC_BEFORE" localSheetId="0" hidden="1">"c1607"</definedName>
    <definedName name="IQ_NORMAL_INC_BEFORE" hidden="1">"c60"</definedName>
    <definedName name="IQ_NOTES_PAY" localSheetId="0" hidden="1">"c1176"</definedName>
    <definedName name="IQ_NOTES_PAY" hidden="1">"c94"</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localSheetId="0" hidden="1">"c12732"</definedName>
    <definedName name="IQ_OG_DAILY_PRDUCTION_GROWTH_GAS" hidden="1">"c10073"</definedName>
    <definedName name="IQ_OG_DAILY_PRDUCTION_GROWTH_GAS_EQUIVALENT" localSheetId="0" hidden="1">"c12733"</definedName>
    <definedName name="IQ_OG_DAILY_PRDUCTION_GROWTH_GAS_EQUIVALENT" hidden="1">"c10076"</definedName>
    <definedName name="IQ_OG_DAILY_PRDUCTION_GROWTH_NGL" localSheetId="0" hidden="1">"c12734"</definedName>
    <definedName name="IQ_OG_DAILY_PRDUCTION_GROWTH_NGL" hidden="1">"c10074"</definedName>
    <definedName name="IQ_OG_DAILY_PRDUCTION_GROWTH_OIL" localSheetId="0" hidden="1">"c12735"</definedName>
    <definedName name="IQ_OG_DAILY_PRDUCTION_GROWTH_OIL" hidden="1">"c10072"</definedName>
    <definedName name="IQ_OG_DAILY_PRDUCTION_GROWTH_OIL_EQUIVALENT" localSheetId="0" hidden="1">"c12736"</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localSheetId="0" hidden="1">"c12737"</definedName>
    <definedName name="IQ_OG_PRDUCTION_GROWTH_GAS" hidden="1">"c10067"</definedName>
    <definedName name="IQ_OG_PRDUCTION_GROWTH_GAS_EQUIVALENT" localSheetId="0" hidden="1">"c12738"</definedName>
    <definedName name="IQ_OG_PRDUCTION_GROWTH_GAS_EQUIVALENT" hidden="1">"c10070"</definedName>
    <definedName name="IQ_OG_PRDUCTION_GROWTH_NGL" localSheetId="0" hidden="1">"c12739"</definedName>
    <definedName name="IQ_OG_PRDUCTION_GROWTH_NGL" hidden="1">"c10068"</definedName>
    <definedName name="IQ_OG_PRDUCTION_GROWTH_OIL" localSheetId="0" hidden="1">"c12740"</definedName>
    <definedName name="IQ_OG_PRDUCTION_GROWTH_OIL" hidden="1">"c10066"</definedName>
    <definedName name="IQ_OG_PRDUCTION_GROWTH_OIL_EQUIVALENT" localSheetId="0" hidden="1">"c12741"</definedName>
    <definedName name="IQ_OG_PRDUCTION_GROWTH_OIL_EQUIVALENT" hidden="1">"c10069"</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localSheetId="0" hidden="1">"c848"</definedName>
    <definedName name="IQ_OPENPRICE" hidden="1">"c195"</definedName>
    <definedName name="IQ_OPER_INC" localSheetId="0" hidden="1">"c849"</definedName>
    <definedName name="IQ_OPER_INC" hidden="1">"c21"</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localSheetId="0" hidden="1">"c362"</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localSheetId="0" hidden="1">"c860"</definedName>
    <definedName name="IQ_OTHER_ASSETS" hidden="1">"c89"</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localSheetId="0" hidden="1">"c1608"</definedName>
    <definedName name="IQ_OTHER_BEARING_LIAB" hidden="1">"c285"</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localSheetId="0" hidden="1">"C6021"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localSheetId="0" hidden="1">"c868"</definedName>
    <definedName name="IQ_OTHER_CURRENT_ASSETS" hidden="1">"c80"</definedName>
    <definedName name="IQ_OTHER_CURRENT_LIAB" localSheetId="0" hidden="1">"c877"</definedName>
    <definedName name="IQ_OTHER_CURRENT_LIAB" hidden="1">"c96"</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localSheetId="0" hidden="1">"c1609"</definedName>
    <definedName name="IQ_OTHER_EARNING" hidden="1">"c74"</definedName>
    <definedName name="IQ_OTHER_EPRA_NAV_ADJ" hidden="1">"c16004"</definedName>
    <definedName name="IQ_OTHER_EPRA_NNAV_ADJ" hidden="1">"c16009"</definedName>
    <definedName name="IQ_OTHER_EQUITY" localSheetId="0" hidden="1">"c886"</definedName>
    <definedName name="IQ_OTHER_EQUITY" hidden="1">"c113"</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localSheetId="0" hidden="1">"c916"</definedName>
    <definedName name="IQ_OTHER_INVESTING" hidden="1">"c127"</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localSheetId="0" hidden="1">"c930"</definedName>
    <definedName name="IQ_OTHER_LIAB" hidden="1">"c104"</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localSheetId="0" hidden="1">"c946"</definedName>
    <definedName name="IQ_OTHER_LONG_TERM" hidden="1">"c88"</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localSheetId="0" hidden="1">"c959"</definedName>
    <definedName name="IQ_OTHER_NET" hidden="1">"c28"</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localSheetId="0" hidden="1">"c982"</definedName>
    <definedName name="IQ_OTHER_OPER" hidden="1">"c19"</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localSheetId="0" hidden="1">"c1008"</definedName>
    <definedName name="IQ_OTHER_RECEIV" hidden="1">"c77"</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localSheetId="0" hidden="1">"c1010"</definedName>
    <definedName name="IQ_OTHER_REVENUE" hidden="1">"c4"</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localSheetId="0" hidden="1">"c1022"</definedName>
    <definedName name="IQ_OUTSTANDING_BS_DATE" hidden="1">"c2128"</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localSheetId="0" hidden="1">"c8"</definedName>
    <definedName name="IQ_PAY_ACCRUED" hidden="1">"c92"</definedName>
    <definedName name="IQ_PAYOUT_RATIO" hidden="1">"c1900"</definedName>
    <definedName name="IQ_PBV" hidden="1">"c1025"</definedName>
    <definedName name="IQ_PBV_AVG" hidden="1">"c1026"</definedName>
    <definedName name="IQ_PBV_FWD_REUT" hidden="1">"c15238"</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REUT" hidden="1">"c3959"</definedName>
    <definedName name="IQ_PERCENT_CHANGE_EST_5YR_GROWTH_RATE_18MONTHS" hidden="1">"c1853"</definedName>
    <definedName name="IQ_PERCENT_CHANGE_EST_5YR_GROWTH_RATE_18MONTHS_CIQ" hidden="1">"c3791"</definedName>
    <definedName name="IQ_PERCENT_CHANGE_EST_5YR_GROWTH_RATE_18MONTHS_REUT" hidden="1">"c3960"</definedName>
    <definedName name="IQ_PERCENT_CHANGE_EST_5YR_GROWTH_RATE_3MONTHS" hidden="1">"c1849"</definedName>
    <definedName name="IQ_PERCENT_CHANGE_EST_5YR_GROWTH_RATE_3MONTHS_CIQ" hidden="1">"c3787"</definedName>
    <definedName name="IQ_PERCENT_CHANGE_EST_5YR_GROWTH_RATE_3MONTHS_REUT" hidden="1">"c3956"</definedName>
    <definedName name="IQ_PERCENT_CHANGE_EST_5YR_GROWTH_RATE_6MONTHS" hidden="1">"c1850"</definedName>
    <definedName name="IQ_PERCENT_CHANGE_EST_5YR_GROWTH_RATE_6MONTHS_CIQ" hidden="1">"c3788"</definedName>
    <definedName name="IQ_PERCENT_CHANGE_EST_5YR_GROWTH_RATE_6MONTHS_REUT" hidden="1">"c3957"</definedName>
    <definedName name="IQ_PERCENT_CHANGE_EST_5YR_GROWTH_RATE_9MONTHS" hidden="1">"c1851"</definedName>
    <definedName name="IQ_PERCENT_CHANGE_EST_5YR_GROWTH_RATE_9MONTHS_CIQ" hidden="1">"c3789"</definedName>
    <definedName name="IQ_PERCENT_CHANGE_EST_5YR_GROWTH_RATE_9MONTHS_REUT" hidden="1">"c3958"</definedName>
    <definedName name="IQ_PERCENT_CHANGE_EST_5YR_GROWTH_RATE_DAY" hidden="1">"c1846"</definedName>
    <definedName name="IQ_PERCENT_CHANGE_EST_5YR_GROWTH_RATE_DAY_CIQ" hidden="1">"c3785"</definedName>
    <definedName name="IQ_PERCENT_CHANGE_EST_5YR_GROWTH_RATE_DAY_REUT" hidden="1">"c3954"</definedName>
    <definedName name="IQ_PERCENT_CHANGE_EST_5YR_GROWTH_RATE_MONTH" hidden="1">"c1848"</definedName>
    <definedName name="IQ_PERCENT_CHANGE_EST_5YR_GROWTH_RATE_MONTH_CIQ" hidden="1">"c3786"</definedName>
    <definedName name="IQ_PERCENT_CHANGE_EST_5YR_GROWTH_RATE_MONTH_REUT" hidden="1">"c3955"</definedName>
    <definedName name="IQ_PERCENT_CHANGE_EST_5YR_GROWTH_RATE_WEEK" hidden="1">"c1847"</definedName>
    <definedName name="IQ_PERCENT_CHANGE_EST_5YR_GROWTH_RATE_WEEK_CIQ" hidden="1">"c3797"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CIQ" hidden="1">"c3748"</definedName>
    <definedName name="IQ_PERCENT_CHANGE_EST_EBITDA_12MONTHS_REUT" hidden="1">"c3917"</definedName>
    <definedName name="IQ_PERCENT_CHANGE_EST_EBITDA_18MONTHS" hidden="1">"c1805"</definedName>
    <definedName name="IQ_PERCENT_CHANGE_EST_EBITDA_18MONTHS_CIQ" hidden="1">"c3749"</definedName>
    <definedName name="IQ_PERCENT_CHANGE_EST_EBITDA_18MONTHS_REUT" hidden="1">"c3918"</definedName>
    <definedName name="IQ_PERCENT_CHANGE_EST_EBITDA_3MONTHS" hidden="1">"c1801"</definedName>
    <definedName name="IQ_PERCENT_CHANGE_EST_EBITDA_3MONTHS_CIQ" hidden="1">"c3745"</definedName>
    <definedName name="IQ_PERCENT_CHANGE_EST_EBITDA_3MONTHS_REUT" hidden="1">"c3914"</definedName>
    <definedName name="IQ_PERCENT_CHANGE_EST_EBITDA_6MONTHS" hidden="1">"c1802"</definedName>
    <definedName name="IQ_PERCENT_CHANGE_EST_EBITDA_6MONTHS_CIQ" hidden="1">"c3746"</definedName>
    <definedName name="IQ_PERCENT_CHANGE_EST_EBITDA_6MONTHS_REUT" hidden="1">"c3915"</definedName>
    <definedName name="IQ_PERCENT_CHANGE_EST_EBITDA_9MONTHS" hidden="1">"c1803"</definedName>
    <definedName name="IQ_PERCENT_CHANGE_EST_EBITDA_9MONTHS_CIQ" hidden="1">"c3747"</definedName>
    <definedName name="IQ_PERCENT_CHANGE_EST_EBITDA_9MONTHS_REUT" hidden="1">"c3916"</definedName>
    <definedName name="IQ_PERCENT_CHANGE_EST_EBITDA_DAY" hidden="1">"c1798"</definedName>
    <definedName name="IQ_PERCENT_CHANGE_EST_EBITDA_DAY_CIQ" hidden="1">"c3743"</definedName>
    <definedName name="IQ_PERCENT_CHANGE_EST_EBITDA_DAY_REUT" hidden="1">"c3912"</definedName>
    <definedName name="IQ_PERCENT_CHANGE_EST_EBITDA_MONTH" hidden="1">"c1800"</definedName>
    <definedName name="IQ_PERCENT_CHANGE_EST_EBITDA_MONTH_CIQ" hidden="1">"c3744"</definedName>
    <definedName name="IQ_PERCENT_CHANGE_EST_EBITDA_MONTH_REUT" hidden="1">"c3913"</definedName>
    <definedName name="IQ_PERCENT_CHANGE_EST_EBITDA_WEEK" hidden="1">"c1799"</definedName>
    <definedName name="IQ_PERCENT_CHANGE_EST_EBITDA_WEEK_CIQ" hidden="1">"c3792"</definedName>
    <definedName name="IQ_PERCENT_CHANGE_EST_EBITDA_WEEK_REUT" hidden="1">"c3961"</definedName>
    <definedName name="IQ_PERCENT_CHANGE_EST_EPS_12MONTHS" hidden="1">"c1788"</definedName>
    <definedName name="IQ_PERCENT_CHANGE_EST_EPS_12MONTHS_CIQ" hidden="1">"c3733"</definedName>
    <definedName name="IQ_PERCENT_CHANGE_EST_EPS_12MONTHS_REUT" hidden="1">"c3902"</definedName>
    <definedName name="IQ_PERCENT_CHANGE_EST_EPS_18MONTHS" hidden="1">"c1789"</definedName>
    <definedName name="IQ_PERCENT_CHANGE_EST_EPS_18MONTHS_CIQ" hidden="1">"c3734"</definedName>
    <definedName name="IQ_PERCENT_CHANGE_EST_EPS_18MONTHS_REUT" hidden="1">"c3903"</definedName>
    <definedName name="IQ_PERCENT_CHANGE_EST_EPS_3MONTHS" hidden="1">"c1785"</definedName>
    <definedName name="IQ_PERCENT_CHANGE_EST_EPS_3MONTHS_CIQ" hidden="1">"c3730"</definedName>
    <definedName name="IQ_PERCENT_CHANGE_EST_EPS_3MONTHS_REUT" hidden="1">"c3899"</definedName>
    <definedName name="IQ_PERCENT_CHANGE_EST_EPS_6MONTHS" hidden="1">"c1786"</definedName>
    <definedName name="IQ_PERCENT_CHANGE_EST_EPS_6MONTHS_CIQ" hidden="1">"c3731"</definedName>
    <definedName name="IQ_PERCENT_CHANGE_EST_EPS_6MONTHS_REUT" hidden="1">"c3900"</definedName>
    <definedName name="IQ_PERCENT_CHANGE_EST_EPS_9MONTHS" hidden="1">"c1787"</definedName>
    <definedName name="IQ_PERCENT_CHANGE_EST_EPS_9MONTHS_CIQ" hidden="1">"c3732"</definedName>
    <definedName name="IQ_PERCENT_CHANGE_EST_EPS_9MONTHS_REUT" hidden="1">"c3901"</definedName>
    <definedName name="IQ_PERCENT_CHANGE_EST_EPS_DAY" hidden="1">"c1782"</definedName>
    <definedName name="IQ_PERCENT_CHANGE_EST_EPS_DAY_CIQ" hidden="1">"c3727"</definedName>
    <definedName name="IQ_PERCENT_CHANGE_EST_EPS_DAY_REUT" hidden="1">"c3896"</definedName>
    <definedName name="IQ_PERCENT_CHANGE_EST_EPS_MONTH" hidden="1">"c1784"</definedName>
    <definedName name="IQ_PERCENT_CHANGE_EST_EPS_MONTH_CIQ" hidden="1">"c3729"</definedName>
    <definedName name="IQ_PERCENT_CHANGE_EST_EPS_MONTH_REUT" hidden="1">"c3898"</definedName>
    <definedName name="IQ_PERCENT_CHANGE_EST_EPS_WEEK" hidden="1">"c1783"</definedName>
    <definedName name="IQ_PERCENT_CHANGE_EST_EPS_WEEK_CIQ" hidden="1">"c3728"</definedName>
    <definedName name="IQ_PERCENT_CHANGE_EST_EPS_WEEK_REUT" hidden="1">"c3897"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12MONTHS_REUT" hidden="1">"c3938"</definedName>
    <definedName name="IQ_PERCENT_CHANGE_EST_FFO_SHARE_18MONTHS_REUT" hidden="1">"c3939"</definedName>
    <definedName name="IQ_PERCENT_CHANGE_EST_FFO_SHARE_3MONTHS_REUT" hidden="1">"c3935"</definedName>
    <definedName name="IQ_PERCENT_CHANGE_EST_FFO_SHARE_6MONTHS_REUT" hidden="1">"c3936"</definedName>
    <definedName name="IQ_PERCENT_CHANGE_EST_FFO_SHARE_9MONTHS_REUT" hidden="1">"c3937"</definedName>
    <definedName name="IQ_PERCENT_CHANGE_EST_FFO_SHARE_DAY_REUT" hidden="1">"c3933"</definedName>
    <definedName name="IQ_PERCENT_CHANGE_EST_FFO_SHARE_MONTH_REUT" hidden="1">"c3934"</definedName>
    <definedName name="IQ_PERCENT_CHANGE_EST_FFO_SHARE_SHARE_12MONTHS" hidden="1">"c1828"</definedName>
    <definedName name="IQ_PERCENT_CHANGE_EST_FFO_SHARE_SHARE_12MONTHS_CIQ" hidden="1">"c3769"</definedName>
    <definedName name="IQ_PERCENT_CHANGE_EST_FFO_SHARE_SHARE_12MONTHS_REUT" hidden="1">"c3938"</definedName>
    <definedName name="IQ_PERCENT_CHANGE_EST_FFO_SHARE_SHARE_12MONTHS_THOM" hidden="1">"c5248"</definedName>
    <definedName name="IQ_PERCENT_CHANGE_EST_FFO_SHARE_SHARE_18MONTHS" hidden="1">"c1829"</definedName>
    <definedName name="IQ_PERCENT_CHANGE_EST_FFO_SHARE_SHARE_18MONTHS_CIQ" hidden="1">"c3770"</definedName>
    <definedName name="IQ_PERCENT_CHANGE_EST_FFO_SHARE_SHARE_18MONTHS_REUT" hidden="1">"c3939"</definedName>
    <definedName name="IQ_PERCENT_CHANGE_EST_FFO_SHARE_SHARE_18MONTHS_THOM" hidden="1">"c5249"</definedName>
    <definedName name="IQ_PERCENT_CHANGE_EST_FFO_SHARE_SHARE_3MONTHS" hidden="1">"c1825"</definedName>
    <definedName name="IQ_PERCENT_CHANGE_EST_FFO_SHARE_SHARE_3MONTHS_CIQ" hidden="1">"c3766"</definedName>
    <definedName name="IQ_PERCENT_CHANGE_EST_FFO_SHARE_SHARE_3MONTHS_REUT" hidden="1">"c3935"</definedName>
    <definedName name="IQ_PERCENT_CHANGE_EST_FFO_SHARE_SHARE_3MONTHS_THOM" hidden="1">"c5245"</definedName>
    <definedName name="IQ_PERCENT_CHANGE_EST_FFO_SHARE_SHARE_6MONTHS" hidden="1">"c1826"</definedName>
    <definedName name="IQ_PERCENT_CHANGE_EST_FFO_SHARE_SHARE_6MONTHS_CIQ" hidden="1">"c3767"</definedName>
    <definedName name="IQ_PERCENT_CHANGE_EST_FFO_SHARE_SHARE_6MONTHS_REUT" hidden="1">"c3936"</definedName>
    <definedName name="IQ_PERCENT_CHANGE_EST_FFO_SHARE_SHARE_6MONTHS_THOM" hidden="1">"c5246"</definedName>
    <definedName name="IQ_PERCENT_CHANGE_EST_FFO_SHARE_SHARE_9MONTHS" hidden="1">"c1827"</definedName>
    <definedName name="IQ_PERCENT_CHANGE_EST_FFO_SHARE_SHARE_9MONTHS_CIQ" hidden="1">"c3768"</definedName>
    <definedName name="IQ_PERCENT_CHANGE_EST_FFO_SHARE_SHARE_9MONTHS_REUT" hidden="1">"c3937"</definedName>
    <definedName name="IQ_PERCENT_CHANGE_EST_FFO_SHARE_SHARE_9MONTHS_THOM" hidden="1">"c5247"</definedName>
    <definedName name="IQ_PERCENT_CHANGE_EST_FFO_SHARE_SHARE_DAY" hidden="1">"c1822"</definedName>
    <definedName name="IQ_PERCENT_CHANGE_EST_FFO_SHARE_SHARE_DAY_CIQ" hidden="1">"c3764"</definedName>
    <definedName name="IQ_PERCENT_CHANGE_EST_FFO_SHARE_SHARE_DAY_REUT" hidden="1">"c3933"</definedName>
    <definedName name="IQ_PERCENT_CHANGE_EST_FFO_SHARE_SHARE_DAY_THOM" hidden="1">"c5243"</definedName>
    <definedName name="IQ_PERCENT_CHANGE_EST_FFO_SHARE_SHARE_MONTH" hidden="1">"c1824"</definedName>
    <definedName name="IQ_PERCENT_CHANGE_EST_FFO_SHARE_SHARE_MONTH_CIQ" hidden="1">"c3765"</definedName>
    <definedName name="IQ_PERCENT_CHANGE_EST_FFO_SHARE_SHARE_MONTH_REUT" hidden="1">"c3934"</definedName>
    <definedName name="IQ_PERCENT_CHANGE_EST_FFO_SHARE_SHARE_MONTH_THOM" hidden="1">"c5244"</definedName>
    <definedName name="IQ_PERCENT_CHANGE_EST_FFO_SHARE_SHARE_WEEK" hidden="1">"c1823"</definedName>
    <definedName name="IQ_PERCENT_CHANGE_EST_FFO_SHARE_SHARE_WEEK_CIQ" hidden="1">"c3795"</definedName>
    <definedName name="IQ_PERCENT_CHANGE_EST_FFO_SHARE_SHARE_WEEK_REUT" hidden="1">"c3964"</definedName>
    <definedName name="IQ_PERCENT_CHANGE_EST_FFO_SHARE_SHARE_WEEK_THOM" hidden="1">"c5274"</definedName>
    <definedName name="IQ_PERCENT_CHANGE_EST_FFO_SHARE_WEEK_REUT" hidden="1">"c3964"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CHANGE_EST_PRICE_TARGET_12MONTHS" hidden="1">"c1844"</definedName>
    <definedName name="IQ_PERCENT_CHANGE_EST_PRICE_TARGET_12MONTHS_CIQ" hidden="1">"c3783"</definedName>
    <definedName name="IQ_PERCENT_CHANGE_EST_PRICE_TARGET_12MONTHS_REUT" hidden="1">"c3952"</definedName>
    <definedName name="IQ_PERCENT_CHANGE_EST_PRICE_TARGET_18MONTHS" hidden="1">"c1845"</definedName>
    <definedName name="IQ_PERCENT_CHANGE_EST_PRICE_TARGET_18MONTHS_CIQ" hidden="1">"c3784"</definedName>
    <definedName name="IQ_PERCENT_CHANGE_EST_PRICE_TARGET_18MONTHS_REUT" hidden="1">"c3953"</definedName>
    <definedName name="IQ_PERCENT_CHANGE_EST_PRICE_TARGET_3MONTHS" hidden="1">"c1841"</definedName>
    <definedName name="IQ_PERCENT_CHANGE_EST_PRICE_TARGET_3MONTHS_CIQ" hidden="1">"c3780"</definedName>
    <definedName name="IQ_PERCENT_CHANGE_EST_PRICE_TARGET_3MONTHS_REUT" hidden="1">"c3949"</definedName>
    <definedName name="IQ_PERCENT_CHANGE_EST_PRICE_TARGET_6MONTHS" hidden="1">"c1842"</definedName>
    <definedName name="IQ_PERCENT_CHANGE_EST_PRICE_TARGET_6MONTHS_CIQ" hidden="1">"c3781"</definedName>
    <definedName name="IQ_PERCENT_CHANGE_EST_PRICE_TARGET_6MONTHS_REUT" hidden="1">"c3950"</definedName>
    <definedName name="IQ_PERCENT_CHANGE_EST_PRICE_TARGET_9MONTHS" hidden="1">"c1843"</definedName>
    <definedName name="IQ_PERCENT_CHANGE_EST_PRICE_TARGET_9MONTHS_CIQ" hidden="1">"c3782"</definedName>
    <definedName name="IQ_PERCENT_CHANGE_EST_PRICE_TARGET_9MONTHS_REUT" hidden="1">"c3951"</definedName>
    <definedName name="IQ_PERCENT_CHANGE_EST_PRICE_TARGET_DAY" hidden="1">"c1838"</definedName>
    <definedName name="IQ_PERCENT_CHANGE_EST_PRICE_TARGET_DAY_CIQ" hidden="1">"c3778"</definedName>
    <definedName name="IQ_PERCENT_CHANGE_EST_PRICE_TARGET_DAY_REUT" hidden="1">"c3947"</definedName>
    <definedName name="IQ_PERCENT_CHANGE_EST_PRICE_TARGET_MONTH" hidden="1">"c1840"</definedName>
    <definedName name="IQ_PERCENT_CHANGE_EST_PRICE_TARGET_MONTH_CIQ" hidden="1">"c3779"</definedName>
    <definedName name="IQ_PERCENT_CHANGE_EST_PRICE_TARGET_MONTH_REUT" hidden="1">"c3948"</definedName>
    <definedName name="IQ_PERCENT_CHANGE_EST_PRICE_TARGET_WEEK" hidden="1">"c1839"</definedName>
    <definedName name="IQ_PERCENT_CHANGE_EST_PRICE_TARGET_WEEK_CIQ" hidden="1">"c3798"</definedName>
    <definedName name="IQ_PERCENT_CHANGE_EST_PRICE_TARGET_WEEK_REUT" hidden="1">"c3967"</definedName>
    <definedName name="IQ_PERCENT_CHANGE_EST_RECO_12MONTHS" hidden="1">"c1836"</definedName>
    <definedName name="IQ_PERCENT_CHANGE_EST_RECO_12MONTHS_CIQ" hidden="1">"c3776"</definedName>
    <definedName name="IQ_PERCENT_CHANGE_EST_RECO_12MONTHS_REUT" hidden="1">"c3945"</definedName>
    <definedName name="IQ_PERCENT_CHANGE_EST_RECO_18MONTHS" hidden="1">"c1837"</definedName>
    <definedName name="IQ_PERCENT_CHANGE_EST_RECO_18MONTHS_CIQ" hidden="1">"c3777"</definedName>
    <definedName name="IQ_PERCENT_CHANGE_EST_RECO_18MONTHS_REUT" hidden="1">"c3946"</definedName>
    <definedName name="IQ_PERCENT_CHANGE_EST_RECO_3MONTHS" hidden="1">"c1833"</definedName>
    <definedName name="IQ_PERCENT_CHANGE_EST_RECO_3MONTHS_CIQ" hidden="1">"c3773"</definedName>
    <definedName name="IQ_PERCENT_CHANGE_EST_RECO_3MONTHS_REUT" hidden="1">"c3942"</definedName>
    <definedName name="IQ_PERCENT_CHANGE_EST_RECO_6MONTHS" hidden="1">"c1834"</definedName>
    <definedName name="IQ_PERCENT_CHANGE_EST_RECO_6MONTHS_CIQ" hidden="1">"c3774"</definedName>
    <definedName name="IQ_PERCENT_CHANGE_EST_RECO_6MONTHS_REUT" hidden="1">"c3943"</definedName>
    <definedName name="IQ_PERCENT_CHANGE_EST_RECO_9MONTHS" hidden="1">"c1835"</definedName>
    <definedName name="IQ_PERCENT_CHANGE_EST_RECO_9MONTHS_CIQ" hidden="1">"c3775"</definedName>
    <definedName name="IQ_PERCENT_CHANGE_EST_RECO_9MONTHS_REUT" hidden="1">"c3944"</definedName>
    <definedName name="IQ_PERCENT_CHANGE_EST_RECO_DAY" hidden="1">"c1830"</definedName>
    <definedName name="IQ_PERCENT_CHANGE_EST_RECO_DAY_CIQ" hidden="1">"c3771"</definedName>
    <definedName name="IQ_PERCENT_CHANGE_EST_RECO_DAY_REUT" hidden="1">"c3940"</definedName>
    <definedName name="IQ_PERCENT_CHANGE_EST_RECO_MONTH" hidden="1">"c1832"</definedName>
    <definedName name="IQ_PERCENT_CHANGE_EST_RECO_MONTH_CIQ" hidden="1">"c3772"</definedName>
    <definedName name="IQ_PERCENT_CHANGE_EST_RECO_MONTH_REUT" hidden="1">"c3941"</definedName>
    <definedName name="IQ_PERCENT_CHANGE_EST_RECO_WEEK" hidden="1">"c1831"</definedName>
    <definedName name="IQ_PERCENT_CHANGE_EST_RECO_WEEK_CIQ" hidden="1">"c3796"</definedName>
    <definedName name="IQ_PERCENT_CHANGE_EST_RECO_WEEK_REUT" hidden="1">"c3966"</definedName>
    <definedName name="IQ_PERCENT_CHANGE_EST_REV_12MONTHS" hidden="1">"c1796"</definedName>
    <definedName name="IQ_PERCENT_CHANGE_EST_REV_12MONTHS_CIQ" hidden="1">"c3741"</definedName>
    <definedName name="IQ_PERCENT_CHANGE_EST_REV_12MONTHS_REUT" hidden="1">"c3910"</definedName>
    <definedName name="IQ_PERCENT_CHANGE_EST_REV_18MONTHS" hidden="1">"c1797"</definedName>
    <definedName name="IQ_PERCENT_CHANGE_EST_REV_18MONTHS_CIQ" hidden="1">"c3742"</definedName>
    <definedName name="IQ_PERCENT_CHANGE_EST_REV_18MONTHS_REUT" hidden="1">"c3911"</definedName>
    <definedName name="IQ_PERCENT_CHANGE_EST_REV_3MONTHS" hidden="1">"c1793"</definedName>
    <definedName name="IQ_PERCENT_CHANGE_EST_REV_3MONTHS_CIQ" hidden="1">"c3738"</definedName>
    <definedName name="IQ_PERCENT_CHANGE_EST_REV_3MONTHS_REUT" hidden="1">"c3907"</definedName>
    <definedName name="IQ_PERCENT_CHANGE_EST_REV_6MONTHS" hidden="1">"c1794"</definedName>
    <definedName name="IQ_PERCENT_CHANGE_EST_REV_6MONTHS_CIQ" hidden="1">"c3739"</definedName>
    <definedName name="IQ_PERCENT_CHANGE_EST_REV_6MONTHS_REUT" hidden="1">"c3908"</definedName>
    <definedName name="IQ_PERCENT_CHANGE_EST_REV_9MONTHS" hidden="1">"c1795"</definedName>
    <definedName name="IQ_PERCENT_CHANGE_EST_REV_9MONTHS_CIQ" hidden="1">"c3740"</definedName>
    <definedName name="IQ_PERCENT_CHANGE_EST_REV_9MONTHS_REUT" hidden="1">"c3909"</definedName>
    <definedName name="IQ_PERCENT_CHANGE_EST_REV_DAY" hidden="1">"c1790"</definedName>
    <definedName name="IQ_PERCENT_CHANGE_EST_REV_DAY_CIQ" hidden="1">"c3735"</definedName>
    <definedName name="IQ_PERCENT_CHANGE_EST_REV_DAY_REUT" hidden="1">"c3904"</definedName>
    <definedName name="IQ_PERCENT_CHANGE_EST_REV_MONTH" hidden="1">"c1792"</definedName>
    <definedName name="IQ_PERCENT_CHANGE_EST_REV_MONTH_CIQ" hidden="1">"c3737"</definedName>
    <definedName name="IQ_PERCENT_CHANGE_EST_REV_MONTH_REUT" hidden="1">"c3906"</definedName>
    <definedName name="IQ_PERCENT_CHANGE_EST_REV_WEEK" hidden="1">"c1791"</definedName>
    <definedName name="IQ_PERCENT_CHANGE_EST_REV_WEEK_CIQ" hidden="1">"c3736"</definedName>
    <definedName name="IQ_PERCENT_CHANGE_EST_REV_WEEK_REUT" hidden="1">"c3905"</definedName>
    <definedName name="IQ_PERCENT_FLOAT" hidden="1">"c227"</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localSheetId="0" hidden="1">"c1034"</definedName>
    <definedName name="IQ_PERIODDATE" hidden="1">"c1"</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localSheetId="0" hidden="1">"c1611"</definedName>
    <definedName name="IQ_PERTYPE" hidden="1">"c244"</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localSheetId="0" hidden="1">"c1612"</definedName>
    <definedName name="IQ_POLICY_LIAB" hidden="1">"c291"</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REUT" hidden="1">"c3968"</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localSheetId="0" hidden="1">"c1461"</definedName>
    <definedName name="IQ_PREF_DIVID" hidden="1">"c40"</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localSheetId="0" hidden="1">"C6022"</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localSheetId="0" hidden="1">"c1052"</definedName>
    <definedName name="IQ_PREF_STOCK" hidden="1">"c107"</definedName>
    <definedName name="IQ_PREF_STOCK_FFIEC" hidden="1">"c12875"</definedName>
    <definedName name="IQ_PREF_TOT" localSheetId="0" hidden="1">"c1044"</definedName>
    <definedName name="IQ_PREF_TOT" hidden="1">"c294"</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localSheetId="0" hidden="1">"c1068"</definedName>
    <definedName name="IQ_PREPAID_EXPEN" hidden="1">"c81"</definedName>
    <definedName name="IQ_PREPAID_SUBS" hidden="1">"c2117"</definedName>
    <definedName name="IQ_PRESIDENT_ID" hidden="1">"c15216"</definedName>
    <definedName name="IQ_PRESIDENT_NAME" hidden="1">"c15215"</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OPERATING_INC_AVG_ASSETS_FFIEC" hidden="1">"c13365"</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CFPS_FWD_REUT" hidden="1">"c4053"</definedName>
    <definedName name="IQ_PRICE_OVER_BVPS" localSheetId="0" hidden="1">"c1026"</definedName>
    <definedName name="IQ_PRICE_OVER_BVPS" hidden="1">"c171"</definedName>
    <definedName name="IQ_PRICE_OVER_EPS_EST" hidden="1">"c174"</definedName>
    <definedName name="IQ_PRICE_OVER_EPS_EST_1" hidden="1">"c175"</definedName>
    <definedName name="IQ_PRICE_OVER_LTM_EPS" localSheetId="0" hidden="1">"c1029"</definedName>
    <definedName name="IQ_PRICE_OVER_LTM_EPS" hidden="1">"c176"</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BOTTOM_UP_REUT" hidden="1">"c5494"</definedName>
    <definedName name="IQ_PRICE_TARGET_CIQ" hidden="1">"c3613"</definedName>
    <definedName name="IQ_PRICE_TARGET_REUT" hidden="1">"c3631"</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localSheetId="0" hidden="1">"c1069"</definedName>
    <definedName name="IQ_PRICEDATE" hidden="1">"c207"</definedName>
    <definedName name="IQ_PRICEDATETIME" hidden="1">"IQ_PRICEDATETIME"</definedName>
    <definedName name="IQ_PRICING_DATE" localSheetId="0" hidden="1">"c1613"</definedName>
    <definedName name="IQ_PRICING_DATE" hidden="1">"c260"</definedName>
    <definedName name="IQ_PRIMARY_EPS_TYPE" hidden="1">"c4498"</definedName>
    <definedName name="IQ_PRIMARY_EPS_TYPE_CIQ" hidden="1">"c5036"</definedName>
    <definedName name="IQ_PRIMARY_EPS_TYPE_REUT" hidden="1">"c5481"</definedName>
    <definedName name="IQ_PRIMARY_EPS_TYPE_THOM" hidden="1">"c5297"</definedName>
    <definedName name="IQ_PRIMARY_EST_CONSOLIDATION" hidden="1">"c16246"</definedName>
    <definedName name="IQ_PRIMARY_EST_CONSOLIDATION_CIQ" hidden="1">"c16247"</definedName>
    <definedName name="IQ_PRIMARY_INDUSTRY" localSheetId="0" hidden="1">"c1070"</definedName>
    <definedName name="IQ_PRIMARY_INDUSTRY" hidden="1">"c222"</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localSheetId="0" hidden="1">"c1614"</definedName>
    <definedName name="IQ_PRO_FORMA_BASIC_EPS" hidden="1">"c57"</definedName>
    <definedName name="IQ_PRO_FORMA_DILUT_EPS" localSheetId="0" hidden="1">"c1615"</definedName>
    <definedName name="IQ_PRO_FORMA_DILUT_EPS" hidden="1">"c58"</definedName>
    <definedName name="IQ_PRO_FORMA_NET_INC" localSheetId="0" hidden="1">"c795"</definedName>
    <definedName name="IQ_PRO_FORMA_NET_INC" hidden="1">"c56"</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localSheetId="0" hidden="1">"c1071"</definedName>
    <definedName name="IQ_PROFESSIONAL" hidden="1">"c231"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localSheetId="0" hidden="1">"c1072"</definedName>
    <definedName name="IQ_PROFESSIONAL_TITLE" hidden="1">"c232"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localSheetId="0" hidden="1">"c518"</definedName>
    <definedName name="IQ_PROPERTY_GROSS" hidden="1">"c84"</definedName>
    <definedName name="IQ_PROPERTY_MGMT_FEE" hidden="1">"c1074"</definedName>
    <definedName name="IQ_PROPERTY_NET" localSheetId="0" hidden="1">"c829"</definedName>
    <definedName name="IQ_PROPERTY_NET" hidden="1">"c83"</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localSheetId="0" hidden="1">"c1086"</definedName>
    <definedName name="IQ_QUICK_RATIO" hidden="1">"c163"</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 hidden="1">"c4508"</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localSheetId="0" hidden="1">"c1059"</definedName>
    <definedName name="IQ_REDEEM_PREF_STOCK" hidden="1">"c106"</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localSheetId="0" hidden="1">"c1090"</definedName>
    <definedName name="IQ_RESEARCH_DEV" hidden="1">"c9"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localSheetId="0" hidden="1">"c1092"</definedName>
    <definedName name="IQ_RETAINED_EARN" hidden="1">"c110"</definedName>
    <definedName name="IQ_RETAINED_EARNINGS_AVERAGE_EQUITY_FDIC" hidden="1">"c6733"</definedName>
    <definedName name="IQ_RETAINED_EARNINGS_EQUITY_FFIEC" hidden="1">"c13348"</definedName>
    <definedName name="IQ_RETAINED_EARNINGS_FFIEC" hidden="1">"c12878"</definedName>
    <definedName name="IQ_RETURN_ASSETS" localSheetId="0" hidden="1">"c1113"</definedName>
    <definedName name="IQ_RETURN_ASSETS" hidden="1">"c145"</definedName>
    <definedName name="IQ_RETURN_ASSETS_ACT_OR_EST_REUT" hidden="1">"c5475"</definedName>
    <definedName name="IQ_RETURN_ASSETS_BANK" hidden="1">"c1114"</definedName>
    <definedName name="IQ_RETURN_ASSETS_BROK" hidden="1">"c1115"</definedName>
    <definedName name="IQ_RETURN_ASSETS_EST_REUT" hidden="1">"c3990"</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EST_REUT" hidden="1">"c3992"</definedName>
    <definedName name="IQ_RETURN_ASSETS_HIGH_GUIDANCE_CIQ" hidden="1">"c4595"</definedName>
    <definedName name="IQ_RETURN_ASSETS_HIGH_GUIDANCE_CIQ_COL" hidden="1">"c11244"</definedName>
    <definedName name="IQ_RETURN_ASSETS_LOW_EST_REUT" hidden="1">"c3993"</definedName>
    <definedName name="IQ_RETURN_ASSETS_LOW_GUIDANCE_CIQ" hidden="1">"c4635"</definedName>
    <definedName name="IQ_RETURN_ASSETS_LOW_GUIDANCE_CIQ_COL" hidden="1">"c11284"</definedName>
    <definedName name="IQ_RETURN_ASSETS_MEDIAN_EST_REUT" hidden="1">"c3991"</definedName>
    <definedName name="IQ_RETURN_ASSETS_NUM_EST_REUT" hidden="1">"c3994"</definedName>
    <definedName name="IQ_RETURN_ASSETS_STDDEV_EST_REUT" hidden="1">"c3995"</definedName>
    <definedName name="IQ_RETURN_CAPITAL" hidden="1">"c1117"</definedName>
    <definedName name="IQ_RETURN_COMMON_EQUITY" hidden="1">"c13838"</definedName>
    <definedName name="IQ_RETURN_EMBEDDED_VALUE" hidden="1">"c9974"</definedName>
    <definedName name="IQ_RETURN_EQUITY" localSheetId="0" hidden="1">"c1118"</definedName>
    <definedName name="IQ_RETURN_EQUITY" hidden="1">"c146"</definedName>
    <definedName name="IQ_RETURN_EQUITY_ACT_OR_EST_REUT" hidden="1">"c5476"</definedName>
    <definedName name="IQ_RETURN_EQUITY_BANK" hidden="1">"c1119"</definedName>
    <definedName name="IQ_RETURN_EQUITY_BROK" hidden="1">"c1120"</definedName>
    <definedName name="IQ_RETURN_EQUITY_EST_REUT" hidden="1">"c3983"</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EST_REUT" hidden="1">"c3985"</definedName>
    <definedName name="IQ_RETURN_EQUITY_HIGH_GUIDANCE_CIQ" hidden="1">"c4594"</definedName>
    <definedName name="IQ_RETURN_EQUITY_HIGH_GUIDANCE_CIQ_COL" hidden="1">"c11243"</definedName>
    <definedName name="IQ_RETURN_EQUITY_LOW_EST_REUT" hidden="1">"c3986"</definedName>
    <definedName name="IQ_RETURN_EQUITY_LOW_GUIDANCE_CIQ" hidden="1">"c4634"</definedName>
    <definedName name="IQ_RETURN_EQUITY_LOW_GUIDANCE_CIQ_COL" hidden="1">"c11283"</definedName>
    <definedName name="IQ_RETURN_EQUITY_MEDIAN_EST_REUT" hidden="1">"c3984"</definedName>
    <definedName name="IQ_RETURN_EQUITY_NUM_EST_REUT" hidden="1">"c3987"</definedName>
    <definedName name="IQ_RETURN_EQUITY_STDDEV_EST_REUT" hidden="1">"c3988"</definedName>
    <definedName name="IQ_RETURN_INVESTMENT" localSheetId="0" hidden="1">"c1117"</definedName>
    <definedName name="IQ_RETURN_INVESTMENT" hidden="1">"c144"</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localSheetId="0" hidden="1">"c1124"</definedName>
    <definedName name="IQ_REV_STDDEV_EST" hidden="1">"c264"</definedName>
    <definedName name="IQ_REV_STDDEV_EST_CIQ" hidden="1">"c3621"</definedName>
    <definedName name="IQ_REV_STDDEV_EST_REUT" hidden="1">"c3639"</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localSheetId="0" hidden="1">"c1122"</definedName>
    <definedName name="IQ_REVENUE" hidden="1">"c3"</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CT_OR_EST_REUT" hidden="1">"c5461"</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localSheetId="0" hidden="1">"c1126"</definedName>
    <definedName name="IQ_REVENUE_EST" hidden="1">"c188"</definedName>
    <definedName name="IQ_REVENUE_EST_1" hidden="1">"c190"</definedName>
    <definedName name="IQ_REVENUE_EST_BOTTOM_UP_CIQ" hidden="1">"c12025"</definedName>
    <definedName name="IQ_REVENUE_EST_BOTTOM_UP_REUT" hidden="1">"c5496"</definedName>
    <definedName name="IQ_REVENUE_EST_CIQ" hidden="1">"c3616"</definedName>
    <definedName name="IQ_REVENUE_EST_REUT" hidden="1">"c3634"</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localSheetId="0" hidden="1">"c1127"</definedName>
    <definedName name="IQ_REVENUE_HIGH_EST" hidden="1">"c261"</definedName>
    <definedName name="IQ_REVENUE_HIGH_EST_CIQ" hidden="1">"c3618"</definedName>
    <definedName name="IQ_REVENUE_HIGH_EST_REUT" hidden="1">"c3636"</definedName>
    <definedName name="IQ_REVENUE_HIGH_GUIDANCE_CIQ" hidden="1">"c4581"</definedName>
    <definedName name="IQ_REVENUE_HIGH_GUIDANCE_CIQ_COL" hidden="1">"c11230"</definedName>
    <definedName name="IQ_REVENUE_LOW_EST" localSheetId="0" hidden="1">"c1128"</definedName>
    <definedName name="IQ_REVENUE_LOW_EST" hidden="1">"c262"</definedName>
    <definedName name="IQ_REVENUE_LOW_EST_CIQ" hidden="1">"c3619"</definedName>
    <definedName name="IQ_REVENUE_LOW_EST_REUT" hidden="1">"c3637"</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MEDIAN_EST_REUT" hidden="1">"c3635"</definedName>
    <definedName name="IQ_REVENUE_NO_EST" hidden="1">"c263"</definedName>
    <definedName name="IQ_REVENUE_NUM_EST" localSheetId="0" hidden="1">"c1129"</definedName>
    <definedName name="IQ_REVENUE_NUM_EST" hidden="1">"c263"</definedName>
    <definedName name="IQ_REVENUE_NUM_EST_CIQ" hidden="1">"c3620"</definedName>
    <definedName name="IQ_REVENUE_NUM_EST_REUT" hidden="1">"c3638"</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 hidden="1">38938.4095486111</definedName>
    <definedName name="IQ_REVISION_DATE_" localSheetId="0" hidden="1">39423.4650810185</definedName>
    <definedName name="IQ_REVISION_DATE_" hidden="1">39629.6052199074</definedName>
    <definedName name="IQ_REVISION_DATE__1" hidden="1">39850.5814814815</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EVOLVING_SECURED_1_–4_NON_ACCRUAL_FFIEC" hidden="1">"c15565"</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localSheetId="0" hidden="1">"c1158"</definedName>
    <definedName name="IQ_SGA" hidden="1">"c8"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"c83"</definedName>
    <definedName name="IQ_SHARES_PER_DR" hidden="1">"c204"</definedName>
    <definedName name="IQ_SHARES_PURCHASED_AVERAGE_PRICE" hidden="1">"c5821"</definedName>
    <definedName name="IQ_SHARES_PURCHASED_QUARTER" hidden="1">"c5820"</definedName>
    <definedName name="IQ_SHARESOUTSTANDING" localSheetId="0" hidden="1">"c1164"</definedName>
    <definedName name="IQ_SHARESOUTSTANDING" hidden="1">"c201"</definedName>
    <definedName name="IQ_SHORT_INTEREST" hidden="1">"c1165"</definedName>
    <definedName name="IQ_SHORT_INTEREST_OVER_FLOAT" hidden="1">"c1577"</definedName>
    <definedName name="IQ_SHORT_INTEREST_PERCENT" hidden="1">"c1576"</definedName>
    <definedName name="IQ_SHORT_INTEREST_VOLUME" hidden="1">"c228"</definedName>
    <definedName name="IQ_SHORT_POSITIONS_FFIEC" hidden="1">"c12859"</definedName>
    <definedName name="IQ_SHORT_TERM_INVEST" localSheetId="0" hidden="1">"c1197"</definedName>
    <definedName name="IQ_SHORT_TERM_INVEST" hidden="1">"c72"</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localSheetId="0" hidden="1">"c1168"</definedName>
    <definedName name="IQ_SOURCE" hidden="1">"c281"</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C_ACTION" hidden="1">"c2644"</definedName>
    <definedName name="IQ_SP_ISSUE_LC_DATE" hidden="1">"c2643"</definedName>
    <definedName name="IQ_SP_ISSUE_LC_LT" hidden="1">"c2645"</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localSheetId="0" hidden="1">"c1200"</definedName>
    <definedName name="IQ_STATE" hidden="1">"c217"</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localSheetId="0" hidden="1">"c1202"</definedName>
    <definedName name="IQ_STOCK_BASED" hidden="1">"c55"</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localSheetId="0" hidden="1">"c1616"</definedName>
    <definedName name="IQ_TOT_ADJ_INC" hidden="1">"c287"</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localSheetId="0" hidden="1">"c1234"</definedName>
    <definedName name="IQ_TOTAL_ASSETS" hidden="1">"c90"</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localSheetId="0" hidden="1">"c1266"</definedName>
    <definedName name="IQ_TOTAL_CASH_DIVID" hidden="1">"c130"</definedName>
    <definedName name="IQ_TOTAL_CASH_DUE_DEPOSITORY_INSTIT_DOM_FFIEC" hidden="1">"c15291"</definedName>
    <definedName name="IQ_TOTAL_CASH_DUE_DEPOSITORY_INSTIT_FFIEC" hidden="1">"c15285"</definedName>
    <definedName name="IQ_TOTAL_CASH_FINAN" localSheetId="0" hidden="1">"c119"</definedName>
    <definedName name="IQ_TOTAL_CASH_FINAN" hidden="1">"c133"</definedName>
    <definedName name="IQ_TOTAL_CASH_INVEST" localSheetId="0" hidden="1">"c121"</definedName>
    <definedName name="IQ_TOTAL_CASH_INVEST" hidden="1">"c128"</definedName>
    <definedName name="IQ_TOTAL_CASH_OPER" localSheetId="0" hidden="1">"c122"</definedName>
    <definedName name="IQ_TOTAL_CASH_OPER" hidden="1">"c125"</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localSheetId="0" hidden="1">"c1022"</definedName>
    <definedName name="IQ_TOTAL_COMMON" hidden="1">"c116"</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localSheetId="0" hidden="1">"c1243"</definedName>
    <definedName name="IQ_TOTAL_CURRENT_ASSETS" hidden="1">"c82"</definedName>
    <definedName name="IQ_TOTAL_CURRENT_LIAB" localSheetId="0" hidden="1">"c1245"</definedName>
    <definedName name="IQ_TOTAL_CURRENT_LIAB" hidden="1">"c97"</definedName>
    <definedName name="IQ_TOTAL_DEBT" localSheetId="0" hidden="1">"c1247"</definedName>
    <definedName name="IQ_TOTAL_DEBT" hidden="1">"c101"</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localSheetId="0" hidden="1">"c1249"</definedName>
    <definedName name="IQ_TOTAL_DEBT_OVER_EBITDA" hidden="1">"c183"</definedName>
    <definedName name="IQ_TOTAL_DEBT_OVER_TOTAL_BV" localSheetId="0" hidden="1">"c1250"</definedName>
    <definedName name="IQ_TOTAL_DEBT_OVER_TOTAL_BV" hidden="1">"c180"</definedName>
    <definedName name="IQ_TOTAL_DEBT_OVER_TOTAL_CAP" localSheetId="0" hidden="1">"c1248"</definedName>
    <definedName name="IQ_TOTAL_DEBT_OVER_TOTAL_CAP" hidden="1">"c182"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localSheetId="0" hidden="1">"c1265"</definedName>
    <definedName name="IQ_TOTAL_DEPOSITS" hidden="1">"c284"</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localSheetId="0" hidden="1">"c1522"</definedName>
    <definedName name="IQ_TOTAL_EMPLOYEE" hidden="1">"c2141"</definedName>
    <definedName name="IQ_TOTAL_EMPLOYEES" hidden="1">"c1522"</definedName>
    <definedName name="IQ_TOTAL_EMPLOYEES_FDIC" hidden="1">"c6355"</definedName>
    <definedName name="IQ_TOTAL_EQUITY" localSheetId="0" hidden="1">"c1267"</definedName>
    <definedName name="IQ_TOTAL_EQUITY" hidden="1">"c114"</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localSheetId="0" hidden="1">"c591"</definedName>
    <definedName name="IQ_TOTAL_INTEREST_EXP" hidden="1">"c67"</definedName>
    <definedName name="IQ_TOTAL_INTEREST_EXP_FOREIGN_FFIEC" hidden="1">"c15374"</definedName>
    <definedName name="IQ_TOTAL_INTEREST_INC_FOREIGN_FFIEC" hidden="1">"c15373"</definedName>
    <definedName name="IQ_TOTAL_INVENTORY" localSheetId="0" hidden="1">"c622"</definedName>
    <definedName name="IQ_TOTAL_INVENTORY" hidden="1">"c79"</definedName>
    <definedName name="IQ_TOTAL_INVEST" hidden="1">"c1275"</definedName>
    <definedName name="IQ_TOTAL_IRA_KEOGH_PLAN_ACCOUNTS_FFIEC" hidden="1">"c15303"</definedName>
    <definedName name="IQ_TOTAL_LIAB" localSheetId="0" hidden="1">"c1276"</definedName>
    <definedName name="IQ_TOTAL_LIAB" hidden="1">"c105"</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localSheetId="0" hidden="1">"c1279"</definedName>
    <definedName name="IQ_TOTAL_LIAB_SHAREHOLD" hidden="1">"c115"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localSheetId="0" hidden="1">"c1617"</definedName>
    <definedName name="IQ_TOTAL_LONG_DEBT" hidden="1">"c100"</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localSheetId="0" hidden="1">"c1445"</definedName>
    <definedName name="IQ_TOTAL_OPER_EXPEN" hidden="1">"c20"</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localSheetId="0" hidden="1">"c1293"</definedName>
    <definedName name="IQ_TOTAL_RECEIV" hidden="1">"c78"</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localSheetId="0" hidden="1">"c1294"</definedName>
    <definedName name="IQ_TOTAL_REVENUE" hidden="1">"c5"</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localSheetId="0" hidden="1">"c1618"</definedName>
    <definedName name="IQ_TOTAL_SPECIAL" hidden="1">"c59"</definedName>
    <definedName name="IQ_TOTAL_SQ_FT" hidden="1">"c8781"</definedName>
    <definedName name="IQ_TOTAL_ST_BORROW" localSheetId="0" hidden="1">"c1177"</definedName>
    <definedName name="IQ_TOTAL_ST_BORROW" hidden="1">"c286"</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localSheetId="0" hidden="1">"c2274"</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localSheetId="0" hidden="1">"c2298"</definedName>
    <definedName name="IQ_TR_TERM_FEE" hidden="1">"c2298"</definedName>
    <definedName name="IQ_TR_TERM_FEE_PCT" localSheetId="0" hidden="1">"c2297"</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localSheetId="0" hidden="1">"c40"</definedName>
    <definedName name="IQ_TRADE_AR" hidden="1">"c76"</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localSheetId="0" hidden="1">"c1311"</definedName>
    <definedName name="IQ_TREASURY_STOCK" hidden="1">"c111"</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localSheetId="0" hidden="1">"c1619"</definedName>
    <definedName name="IQ_UNREALIZED_GAIN" hidden="1">"c117"</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localSheetId="0" hidden="1">"c1456"</definedName>
    <definedName name="IQ_UNUSUAL_EXP" hidden="1">"c18"</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localSheetId="0" hidden="1">"c1331"</definedName>
    <definedName name="IQ_US_GAAP" hidden="1">"c34"</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localSheetId="0" hidden="1">"c1620"</definedName>
    <definedName name="IQ_UTIL_PPE_NET" hidden="1">"c293"</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localSheetId="0" hidden="1">"c1333"</definedName>
    <definedName name="IQ_VOLUME" hidden="1">"c199"</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localSheetId="0" hidden="1">"c1334"</definedName>
    <definedName name="IQ_WEIGHTED_AVG_PRICE" hidden="1">"c255"</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localSheetId="0" hidden="1">"c2203"</definedName>
    <definedName name="IQ_XDIV_DATE" hidden="1">"c2104"</definedName>
    <definedName name="IQ_YEAR_FOUNDED" hidden="1">"c6793"</definedName>
    <definedName name="IQ_YEARHIGH" localSheetId="0" hidden="1">"c1337"</definedName>
    <definedName name="IQ_YEARHIGH" hidden="1">"c197"</definedName>
    <definedName name="IQ_YEARHIGH_DATE" hidden="1">"c2250"</definedName>
    <definedName name="IQ_YEARHIGH_RT" hidden="1">"YEARHIGH"</definedName>
    <definedName name="IQ_YEARLOW" localSheetId="0" hidden="1">"c1338"</definedName>
    <definedName name="IQ_YEARLOW" hidden="1">"c198"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localSheetId="0" hidden="1">"c1339"</definedName>
    <definedName name="IQ_Z_SCORE" hidden="1">"c243"</definedName>
    <definedName name="IQB_BOOKMARK_COUNT" hidden="1">0</definedName>
    <definedName name="IQB_BOOKMARK_COUNT_1" hidden="1">2</definedName>
    <definedName name="IQB_BOOKMARK_LOCATION_0" hidden="1">#REF!</definedName>
    <definedName name="IQB_BOOKMARK_LOCATION_1" hidden="1">#REF!</definedName>
    <definedName name="IQB_BOOKMARK_LOCATION_10" hidden="1">#REF!</definedName>
    <definedName name="IQB_BOOKMARK_LOCATION_11" hidden="1">#REF!</definedName>
    <definedName name="IQB_BOOKMARK_LOCATION_12" hidden="1">#REF!</definedName>
    <definedName name="IQB_BOOKMARK_LOCATION_13" hidden="1">#REF!</definedName>
    <definedName name="IQB_BOOKMARK_LOCATION_14" hidden="1">#REF!</definedName>
    <definedName name="IQB_BOOKMARK_LOCATION_15" hidden="1">#REF!</definedName>
    <definedName name="IQB_BOOKMARK_LOCATION_16" hidden="1">#REF!</definedName>
    <definedName name="IQB_BOOKMARK_LOCATION_17" hidden="1">#REF!</definedName>
    <definedName name="IQB_BOOKMARK_LOCATION_18" hidden="1">#REF!</definedName>
    <definedName name="IQB_BOOKMARK_LOCATION_19" hidden="1">#REF!</definedName>
    <definedName name="IQB_BOOKMARK_LOCATION_2" hidden="1">#REF!</definedName>
    <definedName name="IQB_BOOKMARK_LOCATION_20" hidden="1">#REF!</definedName>
    <definedName name="IQB_BOOKMARK_LOCATION_25" hidden="1">#REF!</definedName>
    <definedName name="IQB_BOOKMARK_LOCATION_26" hidden="1">#REF!</definedName>
    <definedName name="IQB_BOOKMARK_LOCATION_27" hidden="1">#REF!</definedName>
    <definedName name="IQB_BOOKMARK_LOCATION_28" hidden="1">#REF!</definedName>
    <definedName name="IQB_BOOKMARK_LOCATION_29" hidden="1">#REF!</definedName>
    <definedName name="IQB_BOOKMARK_LOCATION_3" hidden="1">#REF!</definedName>
    <definedName name="IQB_BOOKMARK_LOCATION_30" hidden="1">#REF!</definedName>
    <definedName name="IQB_BOOKMARK_LOCATION_31" hidden="1">#REF!</definedName>
    <definedName name="IQB_BOOKMARK_LOCATION_32" hidden="1">#REF!</definedName>
    <definedName name="IQB_BOOKMARK_LOCATION_33" hidden="1">#REF!</definedName>
    <definedName name="IQB_BOOKMARK_LOCATION_34" hidden="1">#REF!</definedName>
    <definedName name="IQB_BOOKMARK_LOCATION_4" hidden="1">#REF!</definedName>
    <definedName name="IQB_BOOKMARK_LOCATION_5" hidden="1">#REF!</definedName>
    <definedName name="IQB_BOOKMARK_LOCATION_6" hidden="1">#REF!</definedName>
    <definedName name="IQB_BOOKMARK_LOCATION_7" hidden="1">#REF!</definedName>
    <definedName name="IQB_BOOKMARK_LOCATION_8" hidden="1">#REF!</definedName>
    <definedName name="IQB_BOOKMARK_LOCATION_9" hidden="1">#REF!</definedName>
    <definedName name="IQB_CURRENT_BOOKMARK" hidden="1">2</definedName>
    <definedName name="IQRA10" hidden="1">"$A$11:$A$262"</definedName>
    <definedName name="IQRA13" hidden="1">"$A$14:$A$113"</definedName>
    <definedName name="IQRA14" hidden="1">"$A$15:$A$114"</definedName>
    <definedName name="IQRA15" hidden="1">"$A$16:$A$515"</definedName>
    <definedName name="IQRA4" hidden="1">"$A$5:$A$15"</definedName>
    <definedName name="IQRA7" hidden="1">"$A$8:$A$11"</definedName>
    <definedName name="IQRA8" hidden="1">"$A$9:$A$261"</definedName>
    <definedName name="IQRAA14" hidden="1">"$AA$15:$AA$114"</definedName>
    <definedName name="IQRAA5" hidden="1">"$AA$6:$AA$8"</definedName>
    <definedName name="IQRAAPLremovetillossgraphA3" hidden="1">#REF!</definedName>
    <definedName name="IQRAAPLremovetillossgraphB3" hidden="1">#REF!</definedName>
    <definedName name="IQRAB5" hidden="1">"$AB$6:$AB$8"</definedName>
    <definedName name="IQRAC5" hidden="1">"$AC$6:$AC$8"</definedName>
    <definedName name="IQRAD5" hidden="1">"$AD$6:$AD$8"</definedName>
    <definedName name="IQRAD53" hidden="1">"$AD$54:$AD$63"</definedName>
    <definedName name="IQRAD54" hidden="1">"$AE$54:$AG$54"</definedName>
    <definedName name="IQRAD55" hidden="1">"$AE$55:$AH$55"</definedName>
    <definedName name="IQRAD56" hidden="1">"$AE$56:$AO$56"</definedName>
    <definedName name="IQRAD57" hidden="1">"$AE$57:$AH$57"</definedName>
    <definedName name="IQRAE5" hidden="1">"$AE$6:$AE$8"</definedName>
    <definedName name="IQRAE53" hidden="1">"$AE$54:$AE$56"</definedName>
    <definedName name="IQRAF5" hidden="1">"$AF$6:$AF$8"</definedName>
    <definedName name="IQRAF53" hidden="1">"$AF$54:$AF$57"</definedName>
    <definedName name="IQRAG5" hidden="1">"$AG$6:$AG$8"</definedName>
    <definedName name="IQRAG53" hidden="1">"$AG$54:$AG$64"</definedName>
    <definedName name="IQRAH5" hidden="1">"$AH$6:$AH$8"</definedName>
    <definedName name="IQRAH53" hidden="1">"$AH$54:$AH$56"</definedName>
    <definedName name="IQRAI5" hidden="1">"$AI$6:$AI$8"</definedName>
    <definedName name="IQRAJ5" hidden="1">"$AJ$6:$AJ$8"</definedName>
    <definedName name="IQRAJ53" hidden="1">"$AJ$54:$AJ$61"</definedName>
    <definedName name="IQRAK5" hidden="1">"$AK$6:$AK$8"</definedName>
    <definedName name="IQRAK53" hidden="1">"$AK$54:$AK$57"</definedName>
    <definedName name="IQRAL5" hidden="1">"$AL$6:$AL$8"</definedName>
    <definedName name="IQRAL53" hidden="1">"$AL$54:$AL$64"</definedName>
    <definedName name="IQRAM5" hidden="1">"$AM$6:$AM$8"</definedName>
    <definedName name="IQRAM53" hidden="1">"$AM$54:$AM$61"</definedName>
    <definedName name="IQRAN5" hidden="1">"$AN$6:$AN$8"</definedName>
    <definedName name="IQRAN53" hidden="1">"$AN$54:$AN$64"</definedName>
    <definedName name="IQRAO5" hidden="1">"$AO$6:$AO$8"</definedName>
    <definedName name="IQRAP5" hidden="1">"$AP$6:$AP$8"</definedName>
    <definedName name="IQRAP53" hidden="1">"$AP$54:$AP$61"</definedName>
    <definedName name="IQRAQ5" hidden="1">"$AQ$6:$AQ$8"</definedName>
    <definedName name="IQRAQ53" hidden="1">"$AQ$54:$AQ$57"</definedName>
    <definedName name="IQRAR5" hidden="1">"$AR$6:$AR$7"</definedName>
    <definedName name="IQRAS5" hidden="1">"$AS$6:$AS$8"</definedName>
    <definedName name="IQRAS53" hidden="1">"$AS$54:$AS$61"</definedName>
    <definedName name="IQRAT5" hidden="1">"$AT$6:$AT$8"</definedName>
    <definedName name="IQRAU5" hidden="1">"$AU$6:$AU$8"</definedName>
    <definedName name="IQRAV5" hidden="1">"$AV$6:$AV$8"</definedName>
    <definedName name="IQRAV53" hidden="1">"$AV$54:$AV$118"</definedName>
    <definedName name="IQRAW5" hidden="1">"$AW$6:$AW$8"</definedName>
    <definedName name="IQRAW53" hidden="1">"$AW$54:$AW$66"</definedName>
    <definedName name="IQRAX5" hidden="1">"$AX$6:$AX$8"</definedName>
    <definedName name="IQRAX53" hidden="1">"$AX$54:$AX$182"</definedName>
    <definedName name="IQRAY5" hidden="1">"$AY$6:$AY$8"</definedName>
    <definedName name="IQRAZ5" hidden="1">"$AZ$6:$AZ$8"</definedName>
    <definedName name="IQRB13" hidden="1">"$B$14:$B$113"</definedName>
    <definedName name="IQRB14" hidden="1">"$B$15:$B$114"</definedName>
    <definedName name="IQRB15" hidden="1">"$B$16:$B$17"</definedName>
    <definedName name="IQRB17" hidden="1">"$B$18:$B$22"</definedName>
    <definedName name="IQRB18" hidden="1">"$B$19:$B$23"</definedName>
    <definedName name="IQRB19" hidden="1">"$B$20:$B$24"</definedName>
    <definedName name="IQRB20" hidden="1">"$B$21:$B$25"</definedName>
    <definedName name="IQRB21" hidden="1">"$B$22:$B$26"</definedName>
    <definedName name="IQRB22" hidden="1">"$B$23:$B$27"</definedName>
    <definedName name="IQRB23" hidden="1">"$B$24:$B$28"</definedName>
    <definedName name="IQRB24" hidden="1">"$B$25:$B$29"</definedName>
    <definedName name="IQRB26" hidden="1">"$B$27:$B$280"</definedName>
    <definedName name="IQRB27" hidden="1">"$B$28:$B$281"</definedName>
    <definedName name="IQRB28" hidden="1">"$B$29:$B$280"</definedName>
    <definedName name="IQRB29" hidden="1">"$B$30:$B$1051"</definedName>
    <definedName name="IQRB32" hidden="1">"$B$33:$B$37"</definedName>
    <definedName name="IQRB33" hidden="1">"$B$34:$B$38"</definedName>
    <definedName name="IQRB34" hidden="1">"$B$35:$B$39"</definedName>
    <definedName name="IQRB5" hidden="1">"$B$6:$B$27"</definedName>
    <definedName name="IQRB7" hidden="1">"$B$8:$B$11"</definedName>
    <definedName name="IQRB8" hidden="1">"$B$9:$B$261"</definedName>
    <definedName name="IQRBA5" hidden="1">"$BA$6:$BA$8"</definedName>
    <definedName name="IQRBB5" hidden="1">"$BB$6:$BB$8"</definedName>
    <definedName name="IQRBC5" hidden="1">"$BC$6:$BC$8"</definedName>
    <definedName name="IQRBD5" hidden="1">"$BD$6:$BD$8"</definedName>
    <definedName name="IQRBE5" hidden="1">"$BE$6:$BE$8"</definedName>
    <definedName name="IQRBetaDATASHEETB17" hidden="1">#REF!</definedName>
    <definedName name="IQRBF5" hidden="1">"$BF$6:$BF$8"</definedName>
    <definedName name="IQRBG5" hidden="1">"$BG$6:$BG$8"</definedName>
    <definedName name="IQRBH5" hidden="1">"$BH$6:$BH$8"</definedName>
    <definedName name="IQRBI5" hidden="1">"$BI$6:$BI$8"</definedName>
    <definedName name="IQRBJ5" hidden="1">"$BJ$6:$BJ$8"</definedName>
    <definedName name="IQRBK5" hidden="1">"$BK$6:$BK$8"</definedName>
    <definedName name="IQRBL5" hidden="1">"$BL$6:$BL$8"</definedName>
    <definedName name="IQRBM5" hidden="1">"$BM$6:$BM$8"</definedName>
    <definedName name="IQRBN5" hidden="1">"$BN$6:$BN$8"</definedName>
    <definedName name="IQRBO5" hidden="1">"$BO$6:$BO$8"</definedName>
    <definedName name="IQRBP5" hidden="1">"$BP$6:$BP$8"</definedName>
    <definedName name="IQRBQ5" hidden="1">"$BQ$6:$BQ$8"</definedName>
    <definedName name="IQRBR5" hidden="1">"$BR$6:$BR$8"</definedName>
    <definedName name="IQRBS5" hidden="1">"$BS$6:$BS$8"</definedName>
    <definedName name="IQRBSharesPricesAD34" hidden="1">#REF!</definedName>
    <definedName name="IQRBSharesPricesAE34" hidden="1">#REF!</definedName>
    <definedName name="IQRBSharesPricesAF34" hidden="1">#REF!</definedName>
    <definedName name="IQRBSharesPricesAH34" hidden="1">#REF!</definedName>
    <definedName name="IQRBSharesPricesAI34" hidden="1">#REF!</definedName>
    <definedName name="IQRBSharesPricesAJ34" hidden="1">#REF!</definedName>
    <definedName name="IQRBT5" hidden="1">"$BT$6:$BT$8"</definedName>
    <definedName name="IQRBU5" hidden="1">"$BU$6:$BU$8"</definedName>
    <definedName name="IQRBV5" hidden="1">"$BV$6:$BV$8"</definedName>
    <definedName name="IQRBW5" hidden="1">"$BW$6:$BW$8"</definedName>
    <definedName name="IQRBX5" hidden="1">"$BX$6:$BX$8"</definedName>
    <definedName name="IQRBY5" hidden="1">"$BY$6:$BY$8"</definedName>
    <definedName name="IQRBZ5" hidden="1">"$BZ$6:$BZ$8"</definedName>
    <definedName name="IQRC15" hidden="1">"$C$16:$C$20"</definedName>
    <definedName name="IQRC2" hidden="1">"$C$3:$C$13"</definedName>
    <definedName name="IQRC24" hidden="1">"$C$25:$C$29"</definedName>
    <definedName name="IQRC5" hidden="1">"$C$6:$C$27"</definedName>
    <definedName name="IQRC7" hidden="1">"$C$8:$C$11"</definedName>
    <definedName name="IQRC8" hidden="1">"$C$9:$C$261"</definedName>
    <definedName name="IQRCA5" hidden="1">"$CA$6:$CA$8"</definedName>
    <definedName name="IQRCB5" hidden="1">"$CB$6:$CB$8"</definedName>
    <definedName name="IQRCC5" hidden="1">"$CC$6:$CC$8"</definedName>
    <definedName name="IQRCD5" hidden="1">"$CD$6:$CD$8"</definedName>
    <definedName name="IQRCE5" hidden="1">"$CE$6:$CE$8"</definedName>
    <definedName name="IQRCF5" hidden="1">"$CF$6:$CF$8"</definedName>
    <definedName name="IQRCG5" hidden="1">"$CG$6:$CG$8"</definedName>
    <definedName name="IQRCH5" hidden="1">"$CH$6:$CH$8"</definedName>
    <definedName name="IQRChartsAG53" hidden="1">#REF!</definedName>
    <definedName name="IQRChartsAJ53" hidden="1">#REF!</definedName>
    <definedName name="IQRChartsAM53" hidden="1">#REF!</definedName>
    <definedName name="IQRChartsAX53" hidden="1">#REF!</definedName>
    <definedName name="IQRCI5" hidden="1">"$CI$6:$CI$8"</definedName>
    <definedName name="IQRCJ5" hidden="1">"$CJ$6:$CJ$8"</definedName>
    <definedName name="IQRCK5" hidden="1">"$CK$6:$CK$8"</definedName>
    <definedName name="IQRCL5" hidden="1">"$CL$6:$CL$8"</definedName>
    <definedName name="IQRClusteranalysisAB15" hidden="1">#REF!</definedName>
    <definedName name="IQRClusteranalysisAB28" hidden="1">#REF!</definedName>
    <definedName name="IQRClusteranalysisAD15" hidden="1">#REF!</definedName>
    <definedName name="IQRClusteranalysisAD28" hidden="1">#REF!</definedName>
    <definedName name="IQRClusteranalysisAF15" hidden="1">#REF!</definedName>
    <definedName name="IQRClusteranalysisAF28" hidden="1">#REF!</definedName>
    <definedName name="IQRClusteranalysisAH15" hidden="1">#REF!</definedName>
    <definedName name="IQRClusteranalysisAH28" hidden="1">#REF!</definedName>
    <definedName name="IQRClusteranalysisD15" hidden="1">#REF!</definedName>
    <definedName name="IQRClusteranalysisD28" hidden="1">#REF!</definedName>
    <definedName name="IQRClusteranalysisE15" hidden="1">#REF!</definedName>
    <definedName name="IQRClusteranalysisE28" hidden="1">#REF!</definedName>
    <definedName name="IQRClusteranalysisF15" hidden="1">#REF!</definedName>
    <definedName name="IQRClusteranalysisF28" hidden="1">#REF!</definedName>
    <definedName name="IQRClusteranalysisG15" hidden="1">#REF!</definedName>
    <definedName name="IQRClusteranalysisG28" hidden="1">#REF!</definedName>
    <definedName name="IQRClusteranalysisH15" hidden="1">#REF!</definedName>
    <definedName name="IQRClusteranalysisH28" hidden="1">#REF!</definedName>
    <definedName name="IQRClusteranalysisI15" hidden="1">#REF!</definedName>
    <definedName name="IQRClusteranalysisI28" hidden="1">#REF!</definedName>
    <definedName name="IQRClusteranalysisJ15" hidden="1">#REF!</definedName>
    <definedName name="IQRClusteranalysisJ28" hidden="1">#REF!</definedName>
    <definedName name="IQRClusteranalysisK15" hidden="1">#REF!</definedName>
    <definedName name="IQRClusteranalysisK28" hidden="1">#REF!</definedName>
    <definedName name="IQRClusteranalysisL15" hidden="1">#REF!</definedName>
    <definedName name="IQRClusteranalysisL28" hidden="1">#REF!</definedName>
    <definedName name="IQRClusteranalysisM15" hidden="1">#REF!</definedName>
    <definedName name="IQRClusteranalysisM28" hidden="1">#REF!</definedName>
    <definedName name="IQRClusteranalysisN15" hidden="1">#REF!</definedName>
    <definedName name="IQRClusteranalysisN28" hidden="1">#REF!</definedName>
    <definedName name="IQRClusteranalysisO15" hidden="1">#REF!</definedName>
    <definedName name="IQRClusteranalysisO28" hidden="1">#REF!</definedName>
    <definedName name="IQRClusteranalysisP15" hidden="1">#REF!</definedName>
    <definedName name="IQRClusteranalysisP28" hidden="1">#REF!</definedName>
    <definedName name="IQRClusteranalysisQ15" hidden="1">#REF!</definedName>
    <definedName name="IQRClusteranalysisQ28" hidden="1">#REF!</definedName>
    <definedName name="IQRClusteranalysisR15" hidden="1">#REF!</definedName>
    <definedName name="IQRClusteranalysisR28" hidden="1">#REF!</definedName>
    <definedName name="IQRClusteranalysisS15" hidden="1">#REF!</definedName>
    <definedName name="IQRClusteranalysisS28" hidden="1">#REF!</definedName>
    <definedName name="IQRClusteranalysisT15" hidden="1">#REF!</definedName>
    <definedName name="IQRClusteranalysisT28" hidden="1">#REF!</definedName>
    <definedName name="IQRClusteranalysisU15" hidden="1">#REF!</definedName>
    <definedName name="IQRClusteranalysisU28" hidden="1">#REF!</definedName>
    <definedName name="IQRClusteranalysisV15" hidden="1">#REF!</definedName>
    <definedName name="IQRClusteranalysisV28" hidden="1">#REF!</definedName>
    <definedName name="IQRClusteranalysisW15" hidden="1">#REF!</definedName>
    <definedName name="IQRClusteranalysisW28" hidden="1">#REF!</definedName>
    <definedName name="IQRClusteranalysisX15" hidden="1">#REF!</definedName>
    <definedName name="IQRClusteranalysisX28" hidden="1">#REF!</definedName>
    <definedName name="IQRClusteranalysisZ15" hidden="1">#REF!</definedName>
    <definedName name="IQRClusteranalysisZ28" hidden="1">#REF!</definedName>
    <definedName name="IQRCM5" hidden="1">"$CM$6:$CM$8"</definedName>
    <definedName name="IQRCN5" hidden="1">"$CN$6:$CN$8"</definedName>
    <definedName name="IQRCO5" hidden="1">"$CO$6:$CO$8"</definedName>
    <definedName name="IQRCommonSharesPricesAA34" hidden="1">#REF!</definedName>
    <definedName name="IQRCommonSharesPricesAB34" hidden="1">#REF!</definedName>
    <definedName name="IQRCommonSharesPricesAD34" hidden="1">#REF!</definedName>
    <definedName name="IQRCommonSharesPricesAE34" hidden="1">#REF!</definedName>
    <definedName name="IQRCommonSharesPricesAF34" hidden="1">#REF!</definedName>
    <definedName name="IQRCommonSharesPricesAH34" hidden="1">#REF!</definedName>
    <definedName name="IQRCommonSharesPricesAI34" hidden="1">#REF!</definedName>
    <definedName name="IQRCommonSharesPricesAJ34" hidden="1">#REF!</definedName>
    <definedName name="IQRCommonSharesPricesAL34" hidden="1">#REF!</definedName>
    <definedName name="IQRCommonSharesPricesAM34" hidden="1">#REF!</definedName>
    <definedName name="IQRCommonSharesPricesAN34" hidden="1">#REF!</definedName>
    <definedName name="IQRCommonSharesPricesAP34" hidden="1">#REF!</definedName>
    <definedName name="IQRCommonSharesPricesAQ34" hidden="1">#REF!</definedName>
    <definedName name="IQRCommonSharesPricesAR34" hidden="1">#REF!</definedName>
    <definedName name="IQRCommonSharesPricesAT34" hidden="1">#REF!</definedName>
    <definedName name="IQRCommonSharesPricesAU34" hidden="1">#REF!</definedName>
    <definedName name="IQRCommonSharesPricesAV34" hidden="1">#REF!</definedName>
    <definedName name="IQRCommonSharesPricesAX34" hidden="1">#REF!</definedName>
    <definedName name="IQRCommonSharesPricesAY34" hidden="1">#REF!</definedName>
    <definedName name="IQRCommonSharesPricesAZ34" hidden="1">#REF!</definedName>
    <definedName name="IQRCommonSharesPricesBB34" hidden="1">#REF!</definedName>
    <definedName name="IQRCommonSharesPricesBC34" hidden="1">#REF!</definedName>
    <definedName name="IQRCommonSharesPricesBD34" hidden="1">#REF!</definedName>
    <definedName name="IQRCommonSharesPricesBF34" hidden="1">#REF!</definedName>
    <definedName name="IQRCommonSharesPricesBG34" hidden="1">#REF!</definedName>
    <definedName name="IQRCommonSharesPricesBH34" hidden="1">#REF!</definedName>
    <definedName name="IQRCommonSharesPricesBJ34" hidden="1">#REF!</definedName>
    <definedName name="IQRCommonSharesPricesBK34" hidden="1">#REF!</definedName>
    <definedName name="IQRCommonSharesPricesBL34" hidden="1">#REF!</definedName>
    <definedName name="IQRCommonSharesPricesBN34" hidden="1">#REF!</definedName>
    <definedName name="IQRCommonSharesPricesBO34" hidden="1">#REF!</definedName>
    <definedName name="IQRCommonSharesPricesBP34" hidden="1">#REF!</definedName>
    <definedName name="IQRCommonSharesPricesBR34" hidden="1">#REF!</definedName>
    <definedName name="IQRCommonSharesPricesBS34" hidden="1">#REF!</definedName>
    <definedName name="IQRCommonSharesPricesBT34" hidden="1">#REF!</definedName>
    <definedName name="IQRCommonSharesPricesF34" hidden="1">#REF!</definedName>
    <definedName name="IQRCommonSharesPricesG34" hidden="1">#REF!</definedName>
    <definedName name="IQRCommonSharesPricesH34" hidden="1">#REF!</definedName>
    <definedName name="IQRCommonSharesPricesJ34" hidden="1">#REF!</definedName>
    <definedName name="IQRCommonSharesPricesK34" hidden="1">#REF!</definedName>
    <definedName name="IQRCommonSharesPricesL34" hidden="1">#REF!</definedName>
    <definedName name="IQRCommonSharesPricesM8" hidden="1">#REF!</definedName>
    <definedName name="IQRCommonSharesPricesN34" hidden="1">#REF!</definedName>
    <definedName name="IQRCommonSharesPricesO34" hidden="1">#REF!</definedName>
    <definedName name="IQRCommonSharesPricesP34" hidden="1">#REF!</definedName>
    <definedName name="IQRCommonSharesPricesR34" hidden="1">#REF!</definedName>
    <definedName name="IQRCommonSharesPricesS34" hidden="1">#REF!</definedName>
    <definedName name="IQRCommonSharesPricesT34" hidden="1">#REF!</definedName>
    <definedName name="IQRCommonSharesPricesV34" hidden="1">#REF!</definedName>
    <definedName name="IQRCommonSharesPricesW34" hidden="1">#REF!</definedName>
    <definedName name="IQRCommonSharesPricesX34" hidden="1">#REF!</definedName>
    <definedName name="IQRCommonSharesPricesZ34" hidden="1">#REF!</definedName>
    <definedName name="IQRCompaniesH100" hidden="1">#REF!</definedName>
    <definedName name="IQRCompaniesH102" hidden="1">#REF!</definedName>
    <definedName name="IQRCompaniesH103" hidden="1">#REF!</definedName>
    <definedName name="IQRCompaniesH104" hidden="1">#REF!</definedName>
    <definedName name="IQRCompaniesH105" hidden="1">#REF!</definedName>
    <definedName name="IQRCompaniesH106" hidden="1">#REF!</definedName>
    <definedName name="IQRCompaniesH107" hidden="1">#REF!</definedName>
    <definedName name="IQRCompaniesH108" hidden="1">#REF!</definedName>
    <definedName name="IQRCompaniesH109" hidden="1">#REF!</definedName>
    <definedName name="IQRCompaniesH110" hidden="1">#REF!</definedName>
    <definedName name="IQRCompaniesH111" hidden="1">#REF!</definedName>
    <definedName name="IQRCompaniesH112" hidden="1">#REF!</definedName>
    <definedName name="IQRCompaniesH113" hidden="1">#REF!</definedName>
    <definedName name="IQRCompaniesH114" hidden="1">#REF!</definedName>
    <definedName name="IQRCompaniesH115" hidden="1">#REF!</definedName>
    <definedName name="IQRCompaniesH12" hidden="1">#REF!</definedName>
    <definedName name="IQRCompaniesH13" hidden="1">#REF!</definedName>
    <definedName name="IQRCompaniesH14" hidden="1">#REF!</definedName>
    <definedName name="IQRCompaniesH15" hidden="1">#REF!</definedName>
    <definedName name="IQRCompaniesH16" hidden="1">#REF!</definedName>
    <definedName name="IQRCompaniesH17" hidden="1">#REF!</definedName>
    <definedName name="IQRCompaniesH18" hidden="1">#REF!</definedName>
    <definedName name="IQRCompaniesH19" hidden="1">#REF!</definedName>
    <definedName name="IQRCompaniesH20" hidden="1">#REF!</definedName>
    <definedName name="IQRCompaniesH21" hidden="1">#REF!</definedName>
    <definedName name="IQRCompaniesH22" hidden="1">#REF!</definedName>
    <definedName name="IQRCompaniesH23" hidden="1">#REF!</definedName>
    <definedName name="IQRCompaniesH24" hidden="1">#REF!</definedName>
    <definedName name="IQRCompaniesH25" hidden="1">#REF!</definedName>
    <definedName name="IQRCompaniesH26" hidden="1">#REF!</definedName>
    <definedName name="IQRCompaniesH27" hidden="1">#REF!</definedName>
    <definedName name="IQRCompaniesH28" hidden="1">#REF!</definedName>
    <definedName name="IQRCompaniesH29" hidden="1">#REF!</definedName>
    <definedName name="IQRCompaniesH30" hidden="1">#REF!</definedName>
    <definedName name="IQRCompaniesH31" hidden="1">#REF!</definedName>
    <definedName name="IQRCompaniesH32" hidden="1">#REF!</definedName>
    <definedName name="IQRCompaniesH33" hidden="1">#REF!</definedName>
    <definedName name="IQRCompaniesH34" hidden="1">#REF!</definedName>
    <definedName name="IQRCompaniesH35" hidden="1">#REF!</definedName>
    <definedName name="IQRCompaniesH36" hidden="1">#REF!</definedName>
    <definedName name="IQRCompaniesH37" hidden="1">#REF!</definedName>
    <definedName name="IQRCompaniesH38" hidden="1">#REF!</definedName>
    <definedName name="IQRCompaniesH39" hidden="1">#REF!</definedName>
    <definedName name="IQRCompaniesH40" hidden="1">#REF!</definedName>
    <definedName name="IQRCompaniesH41" hidden="1">#REF!</definedName>
    <definedName name="IQRCompaniesH42" hidden="1">#REF!</definedName>
    <definedName name="IQRCompaniesH43" hidden="1">#REF!</definedName>
    <definedName name="IQRCompaniesH44" hidden="1">#REF!</definedName>
    <definedName name="IQRCompaniesH45" hidden="1">#REF!</definedName>
    <definedName name="IQRCompaniesH46" hidden="1">#REF!</definedName>
    <definedName name="IQRCompaniesH47" hidden="1">#REF!</definedName>
    <definedName name="IQRCompaniesH48" hidden="1">#REF!</definedName>
    <definedName name="IQRCompaniesH49" hidden="1">#REF!</definedName>
    <definedName name="IQRCompaniesH50" hidden="1">#REF!</definedName>
    <definedName name="IQRCompaniesH51" hidden="1">#REF!</definedName>
    <definedName name="IQRCompaniesH53" hidden="1">#REF!</definedName>
    <definedName name="IQRCompaniesH54" hidden="1">#REF!</definedName>
    <definedName name="IQRCompaniesH55" hidden="1">#REF!</definedName>
    <definedName name="IQRCompaniesH56" hidden="1">#REF!</definedName>
    <definedName name="IQRCompaniesH57" hidden="1">#REF!</definedName>
    <definedName name="IQRCompaniesH58" hidden="1">#REF!</definedName>
    <definedName name="IQRCompaniesH59" hidden="1">#REF!</definedName>
    <definedName name="IQRCompaniesH60" hidden="1">#REF!</definedName>
    <definedName name="IQRCompaniesH61" hidden="1">#REF!</definedName>
    <definedName name="IQRCompaniesH62" hidden="1">#REF!</definedName>
    <definedName name="IQRCompaniesH63" hidden="1">#REF!</definedName>
    <definedName name="IQRCompaniesH64" hidden="1">#REF!</definedName>
    <definedName name="IQRCompaniesH65" hidden="1">#REF!</definedName>
    <definedName name="IQRCompaniesH66" hidden="1">#REF!</definedName>
    <definedName name="IQRCompaniesH67" hidden="1">#REF!</definedName>
    <definedName name="IQRCompaniesH68" hidden="1">#REF!</definedName>
    <definedName name="IQRCompaniesH69" hidden="1">#REF!</definedName>
    <definedName name="IQRCompaniesH70" hidden="1">#REF!</definedName>
    <definedName name="IQRCompaniesH71" hidden="1">#REF!</definedName>
    <definedName name="IQRCompaniesH72" hidden="1">#REF!</definedName>
    <definedName name="IQRCompaniesH73" hidden="1">#REF!</definedName>
    <definedName name="IQRCompaniesH74" hidden="1">#REF!</definedName>
    <definedName name="IQRCompaniesH75" hidden="1">#REF!</definedName>
    <definedName name="IQRCompaniesH76" hidden="1">#REF!</definedName>
    <definedName name="IQRCompaniesH77" hidden="1">#REF!</definedName>
    <definedName name="IQRCompaniesH78" hidden="1">#REF!</definedName>
    <definedName name="IQRCompaniesH79" hidden="1">#REF!</definedName>
    <definedName name="IQRCompaniesH80" hidden="1">#REF!</definedName>
    <definedName name="IQRCompaniesH81" hidden="1">#REF!</definedName>
    <definedName name="IQRCompaniesH82" hidden="1">#REF!</definedName>
    <definedName name="IQRCompaniesH85" hidden="1">#REF!</definedName>
    <definedName name="IQRCompaniesH86" hidden="1">#REF!</definedName>
    <definedName name="IQRCompaniesH87" hidden="1">#REF!</definedName>
    <definedName name="IQRCompaniesH88" hidden="1">#REF!</definedName>
    <definedName name="IQRCompaniesH89" hidden="1">#REF!</definedName>
    <definedName name="IQRCompaniesH90" hidden="1">#REF!</definedName>
    <definedName name="IQRCompaniesH91" hidden="1">#REF!</definedName>
    <definedName name="IQRCompaniesH92" hidden="1">#REF!</definedName>
    <definedName name="IQRCompaniesH93" hidden="1">#REF!</definedName>
    <definedName name="IQRCompaniesH94" hidden="1">#REF!</definedName>
    <definedName name="IQRCompaniesH95" hidden="1">#REF!</definedName>
    <definedName name="IQRCompaniesH96" hidden="1">#REF!</definedName>
    <definedName name="IQRCompaniesH97" hidden="1">#REF!</definedName>
    <definedName name="IQRCompaniesH99" hidden="1">#REF!</definedName>
    <definedName name="IQRCompaniesI100" hidden="1">#REF!</definedName>
    <definedName name="IQRCompaniesI101" hidden="1">#REF!</definedName>
    <definedName name="IQRCompaniesI102" hidden="1">#REF!</definedName>
    <definedName name="IQRCompaniesI103" hidden="1">#REF!</definedName>
    <definedName name="IQRCompaniesI104" hidden="1">#REF!</definedName>
    <definedName name="IQRCompaniesI105" hidden="1">#REF!</definedName>
    <definedName name="IQRCompaniesI107" hidden="1">#REF!</definedName>
    <definedName name="IQRCompaniesI108" hidden="1">#REF!</definedName>
    <definedName name="IQRCompaniesI109" hidden="1">#REF!</definedName>
    <definedName name="IQRCompaniesI110" hidden="1">#REF!</definedName>
    <definedName name="IQRCompaniesI111" hidden="1">#REF!</definedName>
    <definedName name="IQRCompaniesI112" hidden="1">#REF!</definedName>
    <definedName name="IQRCompaniesI113" hidden="1">#REF!</definedName>
    <definedName name="IQRCompaniesI114" hidden="1">#REF!</definedName>
    <definedName name="IQRCompaniesI115" hidden="1">#REF!</definedName>
    <definedName name="IQRCompaniesI116" hidden="1">#REF!</definedName>
    <definedName name="IQRCompaniesI117" hidden="1">#REF!</definedName>
    <definedName name="IQRCompaniesI118" hidden="1">#REF!</definedName>
    <definedName name="IQRCompaniesI12" hidden="1">#REF!</definedName>
    <definedName name="IQRCompaniesI120" hidden="1">#REF!</definedName>
    <definedName name="IQRCompaniesI121" hidden="1">#REF!</definedName>
    <definedName name="IQRCompaniesI122" hidden="1">#REF!</definedName>
    <definedName name="IQRCompaniesI123" hidden="1">#REF!</definedName>
    <definedName name="IQRCompaniesI124" hidden="1">#REF!</definedName>
    <definedName name="IQRCompaniesI125" hidden="1">#REF!</definedName>
    <definedName name="IQRCompaniesI126" hidden="1">#REF!</definedName>
    <definedName name="IQRCompaniesI127" hidden="1">#REF!</definedName>
    <definedName name="IQRCompaniesI128" hidden="1">#REF!</definedName>
    <definedName name="IQRCompaniesI129" hidden="1">#REF!</definedName>
    <definedName name="IQRCompaniesI13" hidden="1">#REF!</definedName>
    <definedName name="IQRCompaniesI130" hidden="1">#REF!</definedName>
    <definedName name="IQRCompaniesI131" hidden="1">#REF!</definedName>
    <definedName name="IQRCompaniesI132" hidden="1">#REF!</definedName>
    <definedName name="IQRCompaniesI133" hidden="1">#REF!</definedName>
    <definedName name="IQRCompaniesI134" hidden="1">#REF!</definedName>
    <definedName name="IQRCompaniesI135" hidden="1">#REF!</definedName>
    <definedName name="IQRCompaniesI136" hidden="1">#REF!</definedName>
    <definedName name="IQRCompaniesI137" hidden="1">#REF!</definedName>
    <definedName name="IQRCompaniesI138" hidden="1">#REF!</definedName>
    <definedName name="IQRCompaniesI139" hidden="1">#REF!</definedName>
    <definedName name="IQRCompaniesI140" hidden="1">#REF!</definedName>
    <definedName name="IQRCompaniesI141" hidden="1">#REF!</definedName>
    <definedName name="IQRCompaniesI142" hidden="1">#REF!</definedName>
    <definedName name="IQRCompaniesI143" hidden="1">#REF!</definedName>
    <definedName name="IQRCompaniesI144" hidden="1">#REF!</definedName>
    <definedName name="IQRCompaniesI145" hidden="1">#REF!</definedName>
    <definedName name="IQRCompaniesI146" hidden="1">#REF!</definedName>
    <definedName name="IQRCompaniesI147" hidden="1">#REF!</definedName>
    <definedName name="IQRCompaniesI148" hidden="1">#REF!</definedName>
    <definedName name="IQRCompaniesI15" hidden="1">#REF!</definedName>
    <definedName name="IQRCompaniesI150" hidden="1">#REF!</definedName>
    <definedName name="IQRCompaniesI151" hidden="1">#REF!</definedName>
    <definedName name="IQRCompaniesI152" hidden="1">#REF!</definedName>
    <definedName name="IQRCompaniesI153" hidden="1">#REF!</definedName>
    <definedName name="IQRCompaniesI154" hidden="1">#REF!</definedName>
    <definedName name="IQRCompaniesI155" hidden="1">#REF!</definedName>
    <definedName name="IQRCompaniesI156" hidden="1">#REF!</definedName>
    <definedName name="IQRCompaniesI157" hidden="1">#REF!</definedName>
    <definedName name="IQRCompaniesI158" hidden="1">#REF!</definedName>
    <definedName name="IQRCompaniesI159" hidden="1">#REF!</definedName>
    <definedName name="IQRCompaniesI16" hidden="1">#REF!</definedName>
    <definedName name="IQRCompaniesI160" hidden="1">#REF!</definedName>
    <definedName name="IQRCompaniesI161" hidden="1">#REF!</definedName>
    <definedName name="IQRCompaniesI162" hidden="1">#REF!</definedName>
    <definedName name="IQRCompaniesI163" hidden="1">#REF!</definedName>
    <definedName name="IQRCompaniesI164" hidden="1">#REF!</definedName>
    <definedName name="IQRCompaniesI165" hidden="1">#REF!</definedName>
    <definedName name="IQRCompaniesI166" hidden="1">#REF!</definedName>
    <definedName name="IQRCompaniesI168" hidden="1">#REF!</definedName>
    <definedName name="IQRCompaniesI169" hidden="1">#REF!</definedName>
    <definedName name="IQRCompaniesI17" hidden="1">#REF!</definedName>
    <definedName name="IQRCompaniesI170" hidden="1">#REF!</definedName>
    <definedName name="IQRCompaniesI171" hidden="1">#REF!</definedName>
    <definedName name="IQRCompaniesI172" hidden="1">#REF!</definedName>
    <definedName name="IQRCompaniesI173" hidden="1">#REF!</definedName>
    <definedName name="IQRCompaniesI174" hidden="1">#REF!</definedName>
    <definedName name="IQRCompaniesI175" hidden="1">#REF!</definedName>
    <definedName name="IQRCompaniesI176" hidden="1">#REF!</definedName>
    <definedName name="IQRCompaniesI177" hidden="1">#REF!</definedName>
    <definedName name="IQRCompaniesI178" hidden="1">#REF!</definedName>
    <definedName name="IQRCompaniesI179" hidden="1">#REF!</definedName>
    <definedName name="IQRCompaniesI18" hidden="1">#REF!</definedName>
    <definedName name="IQRCompaniesI180" hidden="1">#REF!</definedName>
    <definedName name="IQRCompaniesI181" hidden="1">#REF!</definedName>
    <definedName name="IQRCompaniesI182" hidden="1">#REF!</definedName>
    <definedName name="IQRCompaniesI183" hidden="1">#REF!</definedName>
    <definedName name="IQRCompaniesI184" hidden="1">#REF!</definedName>
    <definedName name="IQRCompaniesI185" hidden="1">#REF!</definedName>
    <definedName name="IQRCompaniesI186" hidden="1">#REF!</definedName>
    <definedName name="IQRCompaniesI187" hidden="1">#REF!</definedName>
    <definedName name="IQRCompaniesI188" hidden="1">#REF!</definedName>
    <definedName name="IQRCompaniesI189" hidden="1">#REF!</definedName>
    <definedName name="IQRCompaniesI19" hidden="1">#REF!</definedName>
    <definedName name="IQRCompaniesI190" hidden="1">#REF!</definedName>
    <definedName name="IQRCompaniesI191" hidden="1">#REF!</definedName>
    <definedName name="IQRCompaniesI192" hidden="1">#REF!</definedName>
    <definedName name="IQRCompaniesI193" hidden="1">#REF!</definedName>
    <definedName name="IQRCompaniesI194" hidden="1">#REF!</definedName>
    <definedName name="IQRCompaniesI195" hidden="1">#REF!</definedName>
    <definedName name="IQRCompaniesI196" hidden="1">#REF!</definedName>
    <definedName name="IQRCompaniesI197" hidden="1">#REF!</definedName>
    <definedName name="IQRCompaniesI198" hidden="1">#REF!</definedName>
    <definedName name="IQRCompaniesI199" hidden="1">#REF!</definedName>
    <definedName name="IQRCompaniesI20" hidden="1">#REF!</definedName>
    <definedName name="IQRCompaniesI200" hidden="1">#REF!</definedName>
    <definedName name="IQRCompaniesI201" hidden="1">#REF!</definedName>
    <definedName name="IQRCompaniesI202" hidden="1">#REF!</definedName>
    <definedName name="IQRCompaniesI203" hidden="1">#REF!</definedName>
    <definedName name="IQRCompaniesI204" hidden="1">#REF!</definedName>
    <definedName name="IQRCompaniesI205" hidden="1">#REF!</definedName>
    <definedName name="IQRCompaniesI206" hidden="1">#REF!</definedName>
    <definedName name="IQRCompaniesI207" hidden="1">#REF!</definedName>
    <definedName name="IQRCompaniesI208" hidden="1">#REF!</definedName>
    <definedName name="IQRCompaniesI209" hidden="1">#REF!</definedName>
    <definedName name="IQRCompaniesI21" hidden="1">#REF!</definedName>
    <definedName name="IQRCompaniesI210" hidden="1">#REF!</definedName>
    <definedName name="IQRCompaniesI211" hidden="1">#REF!</definedName>
    <definedName name="IQRCompaniesI212" hidden="1">#REF!</definedName>
    <definedName name="IQRCompaniesI213" hidden="1">#REF!</definedName>
    <definedName name="IQRCompaniesI214" hidden="1">#REF!</definedName>
    <definedName name="IQRCompaniesI215" hidden="1">#REF!</definedName>
    <definedName name="IQRCompaniesI216" hidden="1">#REF!</definedName>
    <definedName name="IQRCompaniesI217" hidden="1">#REF!</definedName>
    <definedName name="IQRCompaniesI218" hidden="1">#REF!</definedName>
    <definedName name="IQRCompaniesI219" hidden="1">#REF!</definedName>
    <definedName name="IQRCompaniesI22" hidden="1">#REF!</definedName>
    <definedName name="IQRCompaniesI220" hidden="1">#REF!</definedName>
    <definedName name="IQRCompaniesI221" hidden="1">#REF!</definedName>
    <definedName name="IQRCompaniesI222" hidden="1">#REF!</definedName>
    <definedName name="IQRCompaniesI224" hidden="1">#REF!</definedName>
    <definedName name="IQRCompaniesI226" hidden="1">#REF!</definedName>
    <definedName name="IQRCompaniesI227" hidden="1">#REF!</definedName>
    <definedName name="IQRCompaniesI228" hidden="1">#REF!</definedName>
    <definedName name="IQRCompaniesI229" hidden="1">#REF!</definedName>
    <definedName name="IQRCompaniesI23" hidden="1">#REF!</definedName>
    <definedName name="IQRCompaniesI230" hidden="1">#REF!</definedName>
    <definedName name="IQRCompaniesI231" hidden="1">#REF!</definedName>
    <definedName name="IQRCompaniesI232" hidden="1">#REF!</definedName>
    <definedName name="IQRCompaniesI233" hidden="1">#REF!</definedName>
    <definedName name="IQRCompaniesI234" hidden="1">#REF!</definedName>
    <definedName name="IQRCompaniesI235" hidden="1">#REF!</definedName>
    <definedName name="IQRCompaniesI236" hidden="1">#REF!</definedName>
    <definedName name="IQRCompaniesI238" hidden="1">#REF!</definedName>
    <definedName name="IQRCompaniesI239" hidden="1">#REF!</definedName>
    <definedName name="IQRCompaniesI24" hidden="1">#REF!</definedName>
    <definedName name="IQRCompaniesI240" hidden="1">#REF!</definedName>
    <definedName name="IQRCompaniesI241" hidden="1">#REF!</definedName>
    <definedName name="IQRCompaniesI242" hidden="1">#REF!</definedName>
    <definedName name="IQRCompaniesI243" hidden="1">#REF!</definedName>
    <definedName name="IQRCompaniesI244" hidden="1">#REF!</definedName>
    <definedName name="IQRCompaniesI245" hidden="1">#REF!</definedName>
    <definedName name="IQRCompaniesI246" hidden="1">#REF!</definedName>
    <definedName name="IQRCompaniesI248" hidden="1">#REF!</definedName>
    <definedName name="IQRCompaniesI249" hidden="1">#REF!</definedName>
    <definedName name="IQRCompaniesI25" hidden="1">#REF!</definedName>
    <definedName name="IQRCompaniesI250" hidden="1">#REF!</definedName>
    <definedName name="IQRCompaniesI251" hidden="1">#REF!</definedName>
    <definedName name="IQRCompaniesI252" hidden="1">#REF!</definedName>
    <definedName name="IQRCompaniesI253" hidden="1">#REF!</definedName>
    <definedName name="IQRCompaniesI254" hidden="1">#REF!</definedName>
    <definedName name="IQRCompaniesI255" hidden="1">#REF!</definedName>
    <definedName name="IQRCompaniesI256" hidden="1">#REF!</definedName>
    <definedName name="IQRCompaniesI257" hidden="1">#REF!</definedName>
    <definedName name="IQRCompaniesI258" hidden="1">#REF!</definedName>
    <definedName name="IQRCompaniesI259" hidden="1">#REF!</definedName>
    <definedName name="IQRCompaniesI26" hidden="1">#REF!</definedName>
    <definedName name="IQRCompaniesI260" hidden="1">#REF!</definedName>
    <definedName name="IQRCompaniesI261" hidden="1">#REF!</definedName>
    <definedName name="IQRCompaniesI262" hidden="1">#REF!</definedName>
    <definedName name="IQRCompaniesI263" hidden="1">#REF!</definedName>
    <definedName name="IQRCompaniesI264" hidden="1">#REF!</definedName>
    <definedName name="IQRCompaniesI265" hidden="1">#REF!</definedName>
    <definedName name="IQRCompaniesI266" hidden="1">#REF!</definedName>
    <definedName name="IQRCompaniesI267" hidden="1">#REF!</definedName>
    <definedName name="IQRCompaniesI268" hidden="1">#REF!</definedName>
    <definedName name="IQRCompaniesI269" hidden="1">#REF!</definedName>
    <definedName name="IQRCompaniesI27" hidden="1">#REF!</definedName>
    <definedName name="IQRCompaniesI270" hidden="1">#REF!</definedName>
    <definedName name="IQRCompaniesI271" hidden="1">#REF!</definedName>
    <definedName name="IQRCompaniesI272" hidden="1">#REF!</definedName>
    <definedName name="IQRCompaniesI273" hidden="1">#REF!</definedName>
    <definedName name="IQRCompaniesI274" hidden="1">#REF!</definedName>
    <definedName name="IQRCompaniesI275" hidden="1">#REF!</definedName>
    <definedName name="IQRCompaniesI276" hidden="1">#REF!</definedName>
    <definedName name="IQRCompaniesI277" hidden="1">#REF!</definedName>
    <definedName name="IQRCompaniesI278" hidden="1">#REF!</definedName>
    <definedName name="IQRCompaniesI279" hidden="1">#REF!</definedName>
    <definedName name="IQRCompaniesI28" hidden="1">#REF!</definedName>
    <definedName name="IQRCompaniesI280" hidden="1">#REF!</definedName>
    <definedName name="IQRCompaniesI281" hidden="1">#REF!</definedName>
    <definedName name="IQRCompaniesI282" hidden="1">#REF!</definedName>
    <definedName name="IQRCompaniesI283" hidden="1">#REF!</definedName>
    <definedName name="IQRCompaniesI284" hidden="1">#REF!</definedName>
    <definedName name="IQRCompaniesI285" hidden="1">#REF!</definedName>
    <definedName name="IQRCompaniesI286" hidden="1">#REF!</definedName>
    <definedName name="IQRCompaniesI288" hidden="1">#REF!</definedName>
    <definedName name="IQRCompaniesI289" hidden="1">#REF!</definedName>
    <definedName name="IQRCompaniesI29" hidden="1">#REF!</definedName>
    <definedName name="IQRCompaniesI290" hidden="1">#REF!</definedName>
    <definedName name="IQRCompaniesI291" hidden="1">#REF!</definedName>
    <definedName name="IQRCompaniesI292" hidden="1">#REF!</definedName>
    <definedName name="IQRCompaniesI293" hidden="1">#REF!</definedName>
    <definedName name="IQRCompaniesI294" hidden="1">#REF!</definedName>
    <definedName name="IQRCompaniesI295" hidden="1">#REF!</definedName>
    <definedName name="IQRCompaniesI296" hidden="1">#REF!</definedName>
    <definedName name="IQRCompaniesI297" hidden="1">#REF!</definedName>
    <definedName name="IQRCompaniesI298" hidden="1">#REF!</definedName>
    <definedName name="IQRCompaniesI299" hidden="1">#REF!</definedName>
    <definedName name="IQRCompaniesI30" hidden="1">#REF!</definedName>
    <definedName name="IQRCompaniesI300" hidden="1">#REF!</definedName>
    <definedName name="IQRCompaniesI301" hidden="1">#REF!</definedName>
    <definedName name="IQRCompaniesI302" hidden="1">#REF!</definedName>
    <definedName name="IQRCompaniesI303" hidden="1">#REF!</definedName>
    <definedName name="IQRCompaniesI304" hidden="1">#REF!</definedName>
    <definedName name="IQRCompaniesI305" hidden="1">#REF!</definedName>
    <definedName name="IQRCompaniesI307" hidden="1">#REF!</definedName>
    <definedName name="IQRCompaniesI308" hidden="1">#REF!</definedName>
    <definedName name="IQRCompaniesI309" hidden="1">#REF!</definedName>
    <definedName name="IQRCompaniesI31" hidden="1">#REF!</definedName>
    <definedName name="IQRCompaniesI32" hidden="1">#REF!</definedName>
    <definedName name="IQRCompaniesI33" hidden="1">#REF!</definedName>
    <definedName name="IQRCompaniesI34" hidden="1">#REF!</definedName>
    <definedName name="IQRCompaniesI36" hidden="1">#REF!</definedName>
    <definedName name="IQRCompaniesI37" hidden="1">#REF!</definedName>
    <definedName name="IQRCompaniesI38" hidden="1">#REF!</definedName>
    <definedName name="IQRCompaniesI39" hidden="1">#REF!</definedName>
    <definedName name="IQRCompaniesI40" hidden="1">#REF!</definedName>
    <definedName name="IQRCompaniesI41" hidden="1">#REF!</definedName>
    <definedName name="IQRCompaniesI42" hidden="1">#REF!</definedName>
    <definedName name="IQRCompaniesI43" hidden="1">#REF!</definedName>
    <definedName name="IQRCompaniesI44" hidden="1">#REF!</definedName>
    <definedName name="IQRCompaniesI45" hidden="1">#REF!</definedName>
    <definedName name="IQRCompaniesI46" hidden="1">#REF!</definedName>
    <definedName name="IQRCompaniesI47" hidden="1">#REF!</definedName>
    <definedName name="IQRCompaniesI48" hidden="1">#REF!</definedName>
    <definedName name="IQRCompaniesI49" hidden="1">#REF!</definedName>
    <definedName name="IQRCompaniesI50" hidden="1">#REF!</definedName>
    <definedName name="IQRCompaniesI51" hidden="1">#REF!</definedName>
    <definedName name="IQRCompaniesI52" hidden="1">#REF!</definedName>
    <definedName name="IQRCompaniesI53" hidden="1">#REF!</definedName>
    <definedName name="IQRCompaniesI55" hidden="1">#REF!</definedName>
    <definedName name="IQRCompaniesI56" hidden="1">#REF!</definedName>
    <definedName name="IQRCompaniesI57" hidden="1">#REF!</definedName>
    <definedName name="IQRCompaniesI58" hidden="1">#REF!</definedName>
    <definedName name="IQRCompaniesI59" hidden="1">#REF!</definedName>
    <definedName name="IQRCompaniesI60" hidden="1">#REF!</definedName>
    <definedName name="IQRCompaniesI61" hidden="1">#REF!</definedName>
    <definedName name="IQRCompaniesI62" hidden="1">#REF!</definedName>
    <definedName name="IQRCompaniesI65" hidden="1">#REF!</definedName>
    <definedName name="IQRCompaniesI66" hidden="1">#REF!</definedName>
    <definedName name="IQRCompaniesI67" hidden="1">#REF!</definedName>
    <definedName name="IQRCompaniesI68" hidden="1">#REF!</definedName>
    <definedName name="IQRCompaniesI69" hidden="1">#REF!</definedName>
    <definedName name="IQRCompaniesI70" hidden="1">#REF!</definedName>
    <definedName name="IQRCompaniesI71" hidden="1">#REF!</definedName>
    <definedName name="IQRCompaniesI72" hidden="1">#REF!</definedName>
    <definedName name="IQRCompaniesI73" hidden="1">#REF!</definedName>
    <definedName name="IQRCompaniesI74" hidden="1">#REF!</definedName>
    <definedName name="IQRCompaniesI75" hidden="1">#REF!</definedName>
    <definedName name="IQRCompaniesI76" hidden="1">#REF!</definedName>
    <definedName name="IQRCompaniesI77" hidden="1">#REF!</definedName>
    <definedName name="IQRCompaniesI78" hidden="1">#REF!</definedName>
    <definedName name="IQRCompaniesI79" hidden="1">#REF!</definedName>
    <definedName name="IQRCompaniesI80" hidden="1">#REF!</definedName>
    <definedName name="IQRCompaniesI81" hidden="1">#REF!</definedName>
    <definedName name="IQRCompaniesI84" hidden="1">#REF!</definedName>
    <definedName name="IQRCompaniesI87" hidden="1">#REF!</definedName>
    <definedName name="IQRCompaniesI88" hidden="1">#REF!</definedName>
    <definedName name="IQRCompaniesI89" hidden="1">#REF!</definedName>
    <definedName name="IQRCompaniesI90" hidden="1">#REF!</definedName>
    <definedName name="IQRCompaniesI91" hidden="1">#REF!</definedName>
    <definedName name="IQRCompaniesI92" hidden="1">#REF!</definedName>
    <definedName name="IQRCompaniesI93" hidden="1">#REF!</definedName>
    <definedName name="IQRCompaniesI94" hidden="1">#REF!</definedName>
    <definedName name="IQRCompaniesI95" hidden="1">#REF!</definedName>
    <definedName name="IQRCompaniesI96" hidden="1">#REF!</definedName>
    <definedName name="IQRCompaniesI97" hidden="1">#REF!</definedName>
    <definedName name="IQRCompaniesI98" hidden="1">#REF!</definedName>
    <definedName name="IQRCompaniesI99" hidden="1">#REF!</definedName>
    <definedName name="IQRCompaniesN100" hidden="1">#REF!</definedName>
    <definedName name="IQRCompaniesN102" hidden="1">#REF!</definedName>
    <definedName name="IQRCompaniesN103" hidden="1">#REF!</definedName>
    <definedName name="IQRCompaniesN104" hidden="1">#REF!</definedName>
    <definedName name="IQRCompaniesN105" hidden="1">#REF!</definedName>
    <definedName name="IQRCompaniesN106" hidden="1">#REF!</definedName>
    <definedName name="IQRCompaniesN107" hidden="1">#REF!</definedName>
    <definedName name="IQRCompaniesN108" hidden="1">#REF!</definedName>
    <definedName name="IQRCompaniesN109" hidden="1">#REF!</definedName>
    <definedName name="IQRCompaniesN110" hidden="1">#REF!</definedName>
    <definedName name="IQRCompaniesN111" hidden="1">#REF!</definedName>
    <definedName name="IQRCompaniesN112" hidden="1">#REF!</definedName>
    <definedName name="IQRCompaniesN113" hidden="1">#REF!</definedName>
    <definedName name="IQRCompaniesN114" hidden="1">#REF!</definedName>
    <definedName name="IQRCompaniesN115" hidden="1">#REF!</definedName>
    <definedName name="IQRCompaniesN12" hidden="1">#REF!</definedName>
    <definedName name="IQRCompaniesN13" hidden="1">#REF!</definedName>
    <definedName name="IQRCompaniesN14" hidden="1">#REF!</definedName>
    <definedName name="IQRCompaniesN15" hidden="1">#REF!</definedName>
    <definedName name="IQRCompaniesN16" hidden="1">#REF!</definedName>
    <definedName name="IQRCompaniesN17" hidden="1">#REF!</definedName>
    <definedName name="IQRCompaniesN18" hidden="1">#REF!</definedName>
    <definedName name="IQRCompaniesN19" hidden="1">#REF!</definedName>
    <definedName name="IQRCompaniesN20" hidden="1">#REF!</definedName>
    <definedName name="IQRCompaniesN21" hidden="1">#REF!</definedName>
    <definedName name="IQRCompaniesN22" hidden="1">#REF!</definedName>
    <definedName name="IQRCompaniesN23" hidden="1">#REF!</definedName>
    <definedName name="IQRCompaniesN24" hidden="1">#REF!</definedName>
    <definedName name="IQRCompaniesN25" hidden="1">#REF!</definedName>
    <definedName name="IQRCompaniesN26" hidden="1">#REF!</definedName>
    <definedName name="IQRCompaniesN27" hidden="1">#REF!</definedName>
    <definedName name="IQRCompaniesN28" hidden="1">#REF!</definedName>
    <definedName name="IQRCompaniesN29" hidden="1">#REF!</definedName>
    <definedName name="IQRCompaniesN30" hidden="1">#REF!</definedName>
    <definedName name="IQRCompaniesN31" hidden="1">#REF!</definedName>
    <definedName name="IQRCompaniesN32" hidden="1">#REF!</definedName>
    <definedName name="IQRCompaniesN33" hidden="1">#REF!</definedName>
    <definedName name="IQRCompaniesN34" hidden="1">#REF!</definedName>
    <definedName name="IQRCompaniesN35" hidden="1">#REF!</definedName>
    <definedName name="IQRCompaniesN36" hidden="1">#REF!</definedName>
    <definedName name="IQRCompaniesN37" hidden="1">#REF!</definedName>
    <definedName name="IQRCompaniesN38" hidden="1">#REF!</definedName>
    <definedName name="IQRCompaniesN39" hidden="1">#REF!</definedName>
    <definedName name="IQRCompaniesN40" hidden="1">#REF!</definedName>
    <definedName name="IQRCompaniesN41" hidden="1">#REF!</definedName>
    <definedName name="IQRCompaniesN42" hidden="1">#REF!</definedName>
    <definedName name="IQRCompaniesN43" hidden="1">#REF!</definedName>
    <definedName name="IQRCompaniesN44" hidden="1">#REF!</definedName>
    <definedName name="IQRCompaniesN45" hidden="1">#REF!</definedName>
    <definedName name="IQRCompaniesN46" hidden="1">#REF!</definedName>
    <definedName name="IQRCompaniesN47" hidden="1">#REF!</definedName>
    <definedName name="IQRCompaniesN48" hidden="1">#REF!</definedName>
    <definedName name="IQRCompaniesN49" hidden="1">#REF!</definedName>
    <definedName name="IQRCompaniesN50" hidden="1">#REF!</definedName>
    <definedName name="IQRCompaniesN51" hidden="1">#REF!</definedName>
    <definedName name="IQRCompaniesN53" hidden="1">#REF!</definedName>
    <definedName name="IQRCompaniesN54" hidden="1">#REF!</definedName>
    <definedName name="IQRCompaniesN55" hidden="1">#REF!</definedName>
    <definedName name="IQRCompaniesN56" hidden="1">#REF!</definedName>
    <definedName name="IQRCompaniesN57" hidden="1">#REF!</definedName>
    <definedName name="IQRCompaniesN58" hidden="1">#REF!</definedName>
    <definedName name="IQRCompaniesN59" hidden="1">#REF!</definedName>
    <definedName name="IQRCompaniesN60" hidden="1">#REF!</definedName>
    <definedName name="IQRCompaniesN61" hidden="1">#REF!</definedName>
    <definedName name="IQRCompaniesN62" hidden="1">#REF!</definedName>
    <definedName name="IQRCompaniesN63" hidden="1">#REF!</definedName>
    <definedName name="IQRCompaniesN64" hidden="1">#REF!</definedName>
    <definedName name="IQRCompaniesN65" hidden="1">#REF!</definedName>
    <definedName name="IQRCompaniesN66" hidden="1">#REF!</definedName>
    <definedName name="IQRCompaniesN67" hidden="1">#REF!</definedName>
    <definedName name="IQRCompaniesN68" hidden="1">#REF!</definedName>
    <definedName name="IQRCompaniesN69" hidden="1">#REF!</definedName>
    <definedName name="IQRCompaniesN70" hidden="1">#REF!</definedName>
    <definedName name="IQRCompaniesN71" hidden="1">#REF!</definedName>
    <definedName name="IQRCompaniesN72" hidden="1">#REF!</definedName>
    <definedName name="IQRCompaniesN73" hidden="1">#REF!</definedName>
    <definedName name="IQRCompaniesN74" hidden="1">#REF!</definedName>
    <definedName name="IQRCompaniesN75" hidden="1">#REF!</definedName>
    <definedName name="IQRCompaniesN76" hidden="1">#REF!</definedName>
    <definedName name="IQRCompaniesN77" hidden="1">#REF!</definedName>
    <definedName name="IQRCompaniesN78" hidden="1">#REF!</definedName>
    <definedName name="IQRCompaniesN79" hidden="1">#REF!</definedName>
    <definedName name="IQRCompaniesN80" hidden="1">#REF!</definedName>
    <definedName name="IQRCompaniesN81" hidden="1">#REF!</definedName>
    <definedName name="IQRCompaniesN82" hidden="1">#REF!</definedName>
    <definedName name="IQRCompaniesN85" hidden="1">#REF!</definedName>
    <definedName name="IQRCompaniesN86" hidden="1">#REF!</definedName>
    <definedName name="IQRCompaniesN87" hidden="1">#REF!</definedName>
    <definedName name="IQRCompaniesN88" hidden="1">#REF!</definedName>
    <definedName name="IQRCompaniesN89" hidden="1">#REF!</definedName>
    <definedName name="IQRCompaniesN90" hidden="1">#REF!</definedName>
    <definedName name="IQRCompaniesN91" hidden="1">#REF!</definedName>
    <definedName name="IQRCompaniesN92" hidden="1">#REF!</definedName>
    <definedName name="IQRCompaniesN93" hidden="1">#REF!</definedName>
    <definedName name="IQRCompaniesN94" hidden="1">#REF!</definedName>
    <definedName name="IQRCompaniesN95" hidden="1">#REF!</definedName>
    <definedName name="IQRCompaniesN96" hidden="1">#REF!</definedName>
    <definedName name="IQRCompaniesN97" hidden="1">#REF!</definedName>
    <definedName name="IQRCompaniesN99" hidden="1">#REF!</definedName>
    <definedName name="IQRCompaniesO100" hidden="1">#REF!</definedName>
    <definedName name="IQRCompaniesO101" hidden="1">#REF!</definedName>
    <definedName name="IQRCompaniesO102" hidden="1">#REF!</definedName>
    <definedName name="IQRCompaniesO103" hidden="1">#REF!</definedName>
    <definedName name="IQRCompaniesO104" hidden="1">#REF!</definedName>
    <definedName name="IQRCompaniesO105" hidden="1">#REF!</definedName>
    <definedName name="IQRCompaniesO107" hidden="1">#REF!</definedName>
    <definedName name="IQRCompaniesO108" hidden="1">#REF!</definedName>
    <definedName name="IQRCompaniesO109" hidden="1">#REF!</definedName>
    <definedName name="IQRCompaniesO110" hidden="1">#REF!</definedName>
    <definedName name="IQRCompaniesO111" hidden="1">#REF!</definedName>
    <definedName name="IQRCompaniesO112" hidden="1">#REF!</definedName>
    <definedName name="IQRCompaniesO113" hidden="1">#REF!</definedName>
    <definedName name="IQRCompaniesO114" hidden="1">#REF!</definedName>
    <definedName name="IQRCompaniesO115" hidden="1">#REF!</definedName>
    <definedName name="IQRCompaniesO116" hidden="1">#REF!</definedName>
    <definedName name="IQRCompaniesO117" hidden="1">#REF!</definedName>
    <definedName name="IQRCompaniesO118" hidden="1">#REF!</definedName>
    <definedName name="IQRCompaniesO12" hidden="1">#REF!</definedName>
    <definedName name="IQRCompaniesO120" hidden="1">#REF!</definedName>
    <definedName name="IQRCompaniesO121" hidden="1">#REF!</definedName>
    <definedName name="IQRCompaniesO122" hidden="1">#REF!</definedName>
    <definedName name="IQRCompaniesO123" hidden="1">#REF!</definedName>
    <definedName name="IQRCompaniesO124" hidden="1">#REF!</definedName>
    <definedName name="IQRCompaniesO125" hidden="1">#REF!</definedName>
    <definedName name="IQRCompaniesO126" hidden="1">#REF!</definedName>
    <definedName name="IQRCompaniesO127" hidden="1">#REF!</definedName>
    <definedName name="IQRCompaniesO128" hidden="1">#REF!</definedName>
    <definedName name="IQRCompaniesO129" hidden="1">#REF!</definedName>
    <definedName name="IQRCompaniesO13" hidden="1">#REF!</definedName>
    <definedName name="IQRCompaniesO130" hidden="1">#REF!</definedName>
    <definedName name="IQRCompaniesO131" hidden="1">#REF!</definedName>
    <definedName name="IQRCompaniesO132" hidden="1">#REF!</definedName>
    <definedName name="IQRCompaniesO133" hidden="1">#REF!</definedName>
    <definedName name="IQRCompaniesO134" hidden="1">#REF!</definedName>
    <definedName name="IQRCompaniesO135" hidden="1">#REF!</definedName>
    <definedName name="IQRCompaniesO136" hidden="1">#REF!</definedName>
    <definedName name="IQRCompaniesO137" hidden="1">#REF!</definedName>
    <definedName name="IQRCompaniesO138" hidden="1">#REF!</definedName>
    <definedName name="IQRCompaniesO139" hidden="1">#REF!</definedName>
    <definedName name="IQRCompaniesO140" hidden="1">#REF!</definedName>
    <definedName name="IQRCompaniesO141" hidden="1">#REF!</definedName>
    <definedName name="IQRCompaniesO142" hidden="1">#REF!</definedName>
    <definedName name="IQRCompaniesO143" hidden="1">#REF!</definedName>
    <definedName name="IQRCompaniesO144" hidden="1">#REF!</definedName>
    <definedName name="IQRCompaniesO145" hidden="1">#REF!</definedName>
    <definedName name="IQRCompaniesO146" hidden="1">#REF!</definedName>
    <definedName name="IQRCompaniesO147" hidden="1">#REF!</definedName>
    <definedName name="IQRCompaniesO148" hidden="1">#REF!</definedName>
    <definedName name="IQRCompaniesO15" hidden="1">#REF!</definedName>
    <definedName name="IQRCompaniesO150" hidden="1">#REF!</definedName>
    <definedName name="IQRCompaniesO151" hidden="1">#REF!</definedName>
    <definedName name="IQRCompaniesO152" hidden="1">#REF!</definedName>
    <definedName name="IQRCompaniesO153" hidden="1">#REF!</definedName>
    <definedName name="IQRCompaniesO154" hidden="1">#REF!</definedName>
    <definedName name="IQRCompaniesO155" hidden="1">#REF!</definedName>
    <definedName name="IQRCompaniesO156" hidden="1">#REF!</definedName>
    <definedName name="IQRCompaniesO157" hidden="1">#REF!</definedName>
    <definedName name="IQRCompaniesO158" hidden="1">#REF!</definedName>
    <definedName name="IQRCompaniesO159" hidden="1">#REF!</definedName>
    <definedName name="IQRCompaniesO16" hidden="1">#REF!</definedName>
    <definedName name="IQRCompaniesO160" hidden="1">#REF!</definedName>
    <definedName name="IQRCompaniesO161" hidden="1">#REF!</definedName>
    <definedName name="IQRCompaniesO162" hidden="1">#REF!</definedName>
    <definedName name="IQRCompaniesO163" hidden="1">#REF!</definedName>
    <definedName name="IQRCompaniesO164" hidden="1">#REF!</definedName>
    <definedName name="IQRCompaniesO165" hidden="1">#REF!</definedName>
    <definedName name="IQRCompaniesO166" hidden="1">#REF!</definedName>
    <definedName name="IQRCompaniesO168" hidden="1">#REF!</definedName>
    <definedName name="IQRCompaniesO169" hidden="1">#REF!</definedName>
    <definedName name="IQRCompaniesO17" hidden="1">#REF!</definedName>
    <definedName name="IQRCompaniesO170" hidden="1">#REF!</definedName>
    <definedName name="IQRCompaniesO171" hidden="1">#REF!</definedName>
    <definedName name="IQRCompaniesO172" hidden="1">#REF!</definedName>
    <definedName name="IQRCompaniesO173" hidden="1">#REF!</definedName>
    <definedName name="IQRCompaniesO174" hidden="1">#REF!</definedName>
    <definedName name="IQRCompaniesO175" hidden="1">#REF!</definedName>
    <definedName name="IQRCompaniesO176" hidden="1">#REF!</definedName>
    <definedName name="IQRCompaniesO177" hidden="1">#REF!</definedName>
    <definedName name="IQRCompaniesO178" hidden="1">#REF!</definedName>
    <definedName name="IQRCompaniesO179" hidden="1">#REF!</definedName>
    <definedName name="IQRCompaniesO18" hidden="1">#REF!</definedName>
    <definedName name="IQRCompaniesO180" hidden="1">#REF!</definedName>
    <definedName name="IQRCompaniesO181" hidden="1">#REF!</definedName>
    <definedName name="IQRCompaniesO182" hidden="1">#REF!</definedName>
    <definedName name="IQRCompaniesO183" hidden="1">#REF!</definedName>
    <definedName name="IQRCompaniesO184" hidden="1">#REF!</definedName>
    <definedName name="IQRCompaniesO185" hidden="1">#REF!</definedName>
    <definedName name="IQRCompaniesO186" hidden="1">#REF!</definedName>
    <definedName name="IQRCompaniesO187" hidden="1">#REF!</definedName>
    <definedName name="IQRCompaniesO188" hidden="1">#REF!</definedName>
    <definedName name="IQRCompaniesO189" hidden="1">#REF!</definedName>
    <definedName name="IQRCompaniesO19" hidden="1">#REF!</definedName>
    <definedName name="IQRCompaniesO190" hidden="1">#REF!</definedName>
    <definedName name="IQRCompaniesO191" hidden="1">#REF!</definedName>
    <definedName name="IQRCompaniesO192" hidden="1">#REF!</definedName>
    <definedName name="IQRCompaniesO193" hidden="1">#REF!</definedName>
    <definedName name="IQRCompaniesO194" hidden="1">#REF!</definedName>
    <definedName name="IQRCompaniesO195" hidden="1">#REF!</definedName>
    <definedName name="IQRCompaniesO196" hidden="1">#REF!</definedName>
    <definedName name="IQRCompaniesO197" hidden="1">#REF!</definedName>
    <definedName name="IQRCompaniesO198" hidden="1">#REF!</definedName>
    <definedName name="IQRCompaniesO199" hidden="1">#REF!</definedName>
    <definedName name="IQRCompaniesO20" hidden="1">#REF!</definedName>
    <definedName name="IQRCompaniesO200" hidden="1">#REF!</definedName>
    <definedName name="IQRCompaniesO201" hidden="1">#REF!</definedName>
    <definedName name="IQRCompaniesO202" hidden="1">#REF!</definedName>
    <definedName name="IQRCompaniesO203" hidden="1">#REF!</definedName>
    <definedName name="IQRCompaniesO204" hidden="1">#REF!</definedName>
    <definedName name="IQRCompaniesO205" hidden="1">#REF!</definedName>
    <definedName name="IQRCompaniesO206" hidden="1">#REF!</definedName>
    <definedName name="IQRCompaniesO207" hidden="1">#REF!</definedName>
    <definedName name="IQRCompaniesO208" hidden="1">#REF!</definedName>
    <definedName name="IQRCompaniesO209" hidden="1">#REF!</definedName>
    <definedName name="IQRCompaniesO21" hidden="1">#REF!</definedName>
    <definedName name="IQRCompaniesO210" hidden="1">#REF!</definedName>
    <definedName name="IQRCompaniesO211" hidden="1">#REF!</definedName>
    <definedName name="IQRCompaniesO212" hidden="1">#REF!</definedName>
    <definedName name="IQRCompaniesO213" hidden="1">#REF!</definedName>
    <definedName name="IQRCompaniesO214" hidden="1">#REF!</definedName>
    <definedName name="IQRCompaniesO215" hidden="1">#REF!</definedName>
    <definedName name="IQRCompaniesO216" hidden="1">#REF!</definedName>
    <definedName name="IQRCompaniesO217" hidden="1">#REF!</definedName>
    <definedName name="IQRCompaniesO218" hidden="1">#REF!</definedName>
    <definedName name="IQRCompaniesO219" hidden="1">#REF!</definedName>
    <definedName name="IQRCompaniesO22" hidden="1">#REF!</definedName>
    <definedName name="IQRCompaniesO220" hidden="1">#REF!</definedName>
    <definedName name="IQRCompaniesO221" hidden="1">#REF!</definedName>
    <definedName name="IQRCompaniesO222" hidden="1">#REF!</definedName>
    <definedName name="IQRCompaniesO224" hidden="1">#REF!</definedName>
    <definedName name="IQRCompaniesO226" hidden="1">#REF!</definedName>
    <definedName name="IQRCompaniesO227" hidden="1">#REF!</definedName>
    <definedName name="IQRCompaniesO228" hidden="1">#REF!</definedName>
    <definedName name="IQRCompaniesO229" hidden="1">#REF!</definedName>
    <definedName name="IQRCompaniesO23" hidden="1">#REF!</definedName>
    <definedName name="IQRCompaniesO230" hidden="1">#REF!</definedName>
    <definedName name="IQRCompaniesO231" hidden="1">#REF!</definedName>
    <definedName name="IQRCompaniesO232" hidden="1">#REF!</definedName>
    <definedName name="IQRCompaniesO233" hidden="1">#REF!</definedName>
    <definedName name="IQRCompaniesO234" hidden="1">#REF!</definedName>
    <definedName name="IQRCompaniesO235" hidden="1">#REF!</definedName>
    <definedName name="IQRCompaniesO236" hidden="1">#REF!</definedName>
    <definedName name="IQRCompaniesO238" hidden="1">#REF!</definedName>
    <definedName name="IQRCompaniesO239" hidden="1">#REF!</definedName>
    <definedName name="IQRCompaniesO24" hidden="1">#REF!</definedName>
    <definedName name="IQRCompaniesO240" hidden="1">#REF!</definedName>
    <definedName name="IQRCompaniesO241" hidden="1">#REF!</definedName>
    <definedName name="IQRCompaniesO242" hidden="1">#REF!</definedName>
    <definedName name="IQRCompaniesO243" hidden="1">#REF!</definedName>
    <definedName name="IQRCompaniesO244" hidden="1">#REF!</definedName>
    <definedName name="IQRCompaniesO245" hidden="1">#REF!</definedName>
    <definedName name="IQRCompaniesO246" hidden="1">#REF!</definedName>
    <definedName name="IQRCompaniesO248" hidden="1">#REF!</definedName>
    <definedName name="IQRCompaniesO249" hidden="1">#REF!</definedName>
    <definedName name="IQRCompaniesO25" hidden="1">#REF!</definedName>
    <definedName name="IQRCompaniesO250" hidden="1">#REF!</definedName>
    <definedName name="IQRCompaniesO251" hidden="1">#REF!</definedName>
    <definedName name="IQRCompaniesO252" hidden="1">#REF!</definedName>
    <definedName name="IQRCompaniesO253" hidden="1">#REF!</definedName>
    <definedName name="IQRCompaniesO254" hidden="1">#REF!</definedName>
    <definedName name="IQRCompaniesO255" hidden="1">#REF!</definedName>
    <definedName name="IQRCompaniesO256" hidden="1">#REF!</definedName>
    <definedName name="IQRCompaniesO257" hidden="1">#REF!</definedName>
    <definedName name="IQRCompaniesO258" hidden="1">#REF!</definedName>
    <definedName name="IQRCompaniesO259" hidden="1">#REF!</definedName>
    <definedName name="IQRCompaniesO26" hidden="1">#REF!</definedName>
    <definedName name="IQRCompaniesO260" hidden="1">#REF!</definedName>
    <definedName name="IQRCompaniesO261" hidden="1">#REF!</definedName>
    <definedName name="IQRCompaniesO262" hidden="1">#REF!</definedName>
    <definedName name="IQRCompaniesO263" hidden="1">#REF!</definedName>
    <definedName name="IQRCompaniesO264" hidden="1">#REF!</definedName>
    <definedName name="IQRCompaniesO265" hidden="1">#REF!</definedName>
    <definedName name="IQRCompaniesO266" hidden="1">#REF!</definedName>
    <definedName name="IQRCompaniesO267" hidden="1">#REF!</definedName>
    <definedName name="IQRCompaniesO268" hidden="1">#REF!</definedName>
    <definedName name="IQRCompaniesO269" hidden="1">#REF!</definedName>
    <definedName name="IQRCompaniesO27" hidden="1">#REF!</definedName>
    <definedName name="IQRCompaniesO270" hidden="1">#REF!</definedName>
    <definedName name="IQRCompaniesO271" hidden="1">#REF!</definedName>
    <definedName name="IQRCompaniesO272" hidden="1">#REF!</definedName>
    <definedName name="IQRCompaniesO273" hidden="1">#REF!</definedName>
    <definedName name="IQRCompaniesO274" hidden="1">#REF!</definedName>
    <definedName name="IQRCompaniesO275" hidden="1">#REF!</definedName>
    <definedName name="IQRCompaniesO276" hidden="1">#REF!</definedName>
    <definedName name="IQRCompaniesO277" hidden="1">#REF!</definedName>
    <definedName name="IQRCompaniesO278" hidden="1">#REF!</definedName>
    <definedName name="IQRCompaniesO279" hidden="1">#REF!</definedName>
    <definedName name="IQRCompaniesO28" hidden="1">#REF!</definedName>
    <definedName name="IQRCompaniesO280" hidden="1">#REF!</definedName>
    <definedName name="IQRCompaniesO281" hidden="1">#REF!</definedName>
    <definedName name="IQRCompaniesO282" hidden="1">#REF!</definedName>
    <definedName name="IQRCompaniesO283" hidden="1">#REF!</definedName>
    <definedName name="IQRCompaniesO284" hidden="1">#REF!</definedName>
    <definedName name="IQRCompaniesO285" hidden="1">#REF!</definedName>
    <definedName name="IQRCompaniesO286" hidden="1">#REF!</definedName>
    <definedName name="IQRCompaniesO288" hidden="1">#REF!</definedName>
    <definedName name="IQRCompaniesO289" hidden="1">#REF!</definedName>
    <definedName name="IQRCompaniesO29" hidden="1">#REF!</definedName>
    <definedName name="IQRCompaniesO290" hidden="1">#REF!</definedName>
    <definedName name="IQRCompaniesO291" hidden="1">#REF!</definedName>
    <definedName name="IQRCompaniesO292" hidden="1">#REF!</definedName>
    <definedName name="IQRCompaniesO293" hidden="1">#REF!</definedName>
    <definedName name="IQRCompaniesO294" hidden="1">#REF!</definedName>
    <definedName name="IQRCompaniesO295" hidden="1">#REF!</definedName>
    <definedName name="IQRCompaniesO296" hidden="1">#REF!</definedName>
    <definedName name="IQRCompaniesO297" hidden="1">#REF!</definedName>
    <definedName name="IQRCompaniesO298" hidden="1">#REF!</definedName>
    <definedName name="IQRCompaniesO299" hidden="1">#REF!</definedName>
    <definedName name="IQRCompaniesO30" hidden="1">#REF!</definedName>
    <definedName name="IQRCompaniesO300" hidden="1">#REF!</definedName>
    <definedName name="IQRCompaniesO301" hidden="1">#REF!</definedName>
    <definedName name="IQRCompaniesO302" hidden="1">#REF!</definedName>
    <definedName name="IQRCompaniesO303" hidden="1">#REF!</definedName>
    <definedName name="IQRCompaniesO304" hidden="1">#REF!</definedName>
    <definedName name="IQRCompaniesO305" hidden="1">#REF!</definedName>
    <definedName name="IQRCompaniesO307" hidden="1">#REF!</definedName>
    <definedName name="IQRCompaniesO308" hidden="1">#REF!</definedName>
    <definedName name="IQRCompaniesO309" hidden="1">#REF!</definedName>
    <definedName name="IQRCompaniesO31" hidden="1">#REF!</definedName>
    <definedName name="IQRCompaniesO32" hidden="1">#REF!</definedName>
    <definedName name="IQRCompaniesO33" hidden="1">#REF!</definedName>
    <definedName name="IQRCompaniesO34" hidden="1">#REF!</definedName>
    <definedName name="IQRCompaniesO36" hidden="1">#REF!</definedName>
    <definedName name="IQRCompaniesO37" hidden="1">#REF!</definedName>
    <definedName name="IQRCompaniesO38" hidden="1">#REF!</definedName>
    <definedName name="IQRCompaniesO39" hidden="1">#REF!</definedName>
    <definedName name="IQRCompaniesO40" hidden="1">#REF!</definedName>
    <definedName name="IQRCompaniesO41" hidden="1">#REF!</definedName>
    <definedName name="IQRCompaniesO42" hidden="1">#REF!</definedName>
    <definedName name="IQRCompaniesO43" hidden="1">#REF!</definedName>
    <definedName name="IQRCompaniesO44" hidden="1">#REF!</definedName>
    <definedName name="IQRCompaniesO45" hidden="1">#REF!</definedName>
    <definedName name="IQRCompaniesO46" hidden="1">#REF!</definedName>
    <definedName name="IQRCompaniesO47" hidden="1">#REF!</definedName>
    <definedName name="IQRCompaniesO48" hidden="1">#REF!</definedName>
    <definedName name="IQRCompaniesO49" hidden="1">#REF!</definedName>
    <definedName name="IQRCompaniesO50" hidden="1">#REF!</definedName>
    <definedName name="IQRCompaniesO51" hidden="1">#REF!</definedName>
    <definedName name="IQRCompaniesO52" hidden="1">#REF!</definedName>
    <definedName name="IQRCompaniesO53" hidden="1">#REF!</definedName>
    <definedName name="IQRCompaniesO55" hidden="1">#REF!</definedName>
    <definedName name="IQRCompaniesO56" hidden="1">#REF!</definedName>
    <definedName name="IQRCompaniesO57" hidden="1">#REF!</definedName>
    <definedName name="IQRCompaniesO58" hidden="1">#REF!</definedName>
    <definedName name="IQRCompaniesO59" hidden="1">#REF!</definedName>
    <definedName name="IQRCompaniesO60" hidden="1">#REF!</definedName>
    <definedName name="IQRCompaniesO61" hidden="1">#REF!</definedName>
    <definedName name="IQRCompaniesO62" hidden="1">#REF!</definedName>
    <definedName name="IQRCompaniesO65" hidden="1">#REF!</definedName>
    <definedName name="IQRCompaniesO66" hidden="1">#REF!</definedName>
    <definedName name="IQRCompaniesO67" hidden="1">#REF!</definedName>
    <definedName name="IQRCompaniesO68" hidden="1">#REF!</definedName>
    <definedName name="IQRCompaniesO69" hidden="1">#REF!</definedName>
    <definedName name="IQRCompaniesO70" hidden="1">#REF!</definedName>
    <definedName name="IQRCompaniesO71" hidden="1">#REF!</definedName>
    <definedName name="IQRCompaniesO72" hidden="1">#REF!</definedName>
    <definedName name="IQRCompaniesO73" hidden="1">#REF!</definedName>
    <definedName name="IQRCompaniesO74" hidden="1">#REF!</definedName>
    <definedName name="IQRCompaniesO75" hidden="1">#REF!</definedName>
    <definedName name="IQRCompaniesO76" hidden="1">#REF!</definedName>
    <definedName name="IQRCompaniesO77" hidden="1">#REF!</definedName>
    <definedName name="IQRCompaniesO78" hidden="1">#REF!</definedName>
    <definedName name="IQRCompaniesO79" hidden="1">#REF!</definedName>
    <definedName name="IQRCompaniesO80" hidden="1">#REF!</definedName>
    <definedName name="IQRCompaniesO81" hidden="1">#REF!</definedName>
    <definedName name="IQRCompaniesO84" hidden="1">#REF!</definedName>
    <definedName name="IQRCompaniesO87" hidden="1">#REF!</definedName>
    <definedName name="IQRCompaniesO88" hidden="1">#REF!</definedName>
    <definedName name="IQRCompaniesO89" hidden="1">#REF!</definedName>
    <definedName name="IQRCompaniesO90" hidden="1">#REF!</definedName>
    <definedName name="IQRCompaniesO91" hidden="1">#REF!</definedName>
    <definedName name="IQRCompaniesO92" hidden="1">#REF!</definedName>
    <definedName name="IQRCompaniesO93" hidden="1">#REF!</definedName>
    <definedName name="IQRCompaniesO94" hidden="1">#REF!</definedName>
    <definedName name="IQRCompaniesO95" hidden="1">#REF!</definedName>
    <definedName name="IQRCompaniesO96" hidden="1">#REF!</definedName>
    <definedName name="IQRCompaniesO97" hidden="1">#REF!</definedName>
    <definedName name="IQRCompaniesO98" hidden="1">#REF!</definedName>
    <definedName name="IQRCompaniesO99" hidden="1">#REF!</definedName>
    <definedName name="IQRCP5" hidden="1">"$CP$6:$CP$8"</definedName>
    <definedName name="IQRCQ5" hidden="1">"$CQ$6:$CQ$8"</definedName>
    <definedName name="IQRCR5" hidden="1">"$CR$6:$CR$8"</definedName>
    <definedName name="IQRCreditSpreadsA12" hidden="1">#REF!</definedName>
    <definedName name="IQRCS5" hidden="1">"$CS$6:$CS$8"</definedName>
    <definedName name="IQRCT5" hidden="1">"$CT$6:$CT$8"</definedName>
    <definedName name="IQRCU5" hidden="1">"$CU$6:$CU$8"</definedName>
    <definedName name="IQRCV5" hidden="1">"$CV$6:$CV$8"</definedName>
    <definedName name="IQRCW5" hidden="1">"$CW$6:$CW$8"</definedName>
    <definedName name="IQRCX5" hidden="1">"$CX$6:$CX$8"</definedName>
    <definedName name="IQRCY5" hidden="1">"$CY$6:$CY$8"</definedName>
    <definedName name="IQRCZ5" hidden="1">"$CZ$6:$CZ$8"</definedName>
    <definedName name="IQRD15" hidden="1">"$D$16:$D$17"</definedName>
    <definedName name="IQRD2" hidden="1">"$D$3"</definedName>
    <definedName name="IQRD24" hidden="1">"$D$25:$D$29"</definedName>
    <definedName name="IQRD5" hidden="1">"$D$6:$D$27"</definedName>
    <definedName name="IQRD7" hidden="1">"$D$8:$D$11"</definedName>
    <definedName name="IQRDA5" hidden="1">"$DA$6:$DA$8"</definedName>
    <definedName name="IQRDataA4" hidden="1">#REF!</definedName>
    <definedName name="IQRDatabaseN283" hidden="1">#REF!</definedName>
    <definedName name="IQRDatabaseN7" hidden="1">#REF!</definedName>
    <definedName name="IQRDB5" hidden="1">"$DB$6:$DB$8"</definedName>
    <definedName name="IQRDC5" hidden="1">"$DC$6:$DC$8"</definedName>
    <definedName name="IQRDD5" hidden="1">"$DD$6:$DD$8"</definedName>
    <definedName name="IQRDE5" hidden="1">"$DE$6:$DE$8"</definedName>
    <definedName name="IQRDF5" hidden="1">"$DF$6:$DF$8"</definedName>
    <definedName name="IQRDG5" hidden="1">"$DG$6:$DG$8"</definedName>
    <definedName name="IQRDH5" hidden="1">"$DH$6:$DH$8"</definedName>
    <definedName name="IQRDI5" hidden="1">"$DI$6:$DI$8"</definedName>
    <definedName name="IQRDJ5" hidden="1">"$DJ$6:$DJ$8"</definedName>
    <definedName name="IQRDK5" hidden="1">"$DK$6:$DK$8"</definedName>
    <definedName name="IQRDL5" hidden="1">"$DL$6:$DL$8"</definedName>
    <definedName name="IQRDM5" hidden="1">"$DM$6:$DM$8"</definedName>
    <definedName name="IQRDN5" hidden="1">"$DN$6:$DN$8"</definedName>
    <definedName name="IQRDO5" hidden="1">"$DO$6:$DO$8"</definedName>
    <definedName name="IQRDP5" hidden="1">"$DP$6:$DP$8"</definedName>
    <definedName name="IQRDQ5" hidden="1">"$DQ$6:$DQ$8"</definedName>
    <definedName name="IQRDR5" hidden="1">"$DR$6:$DR$8"</definedName>
    <definedName name="IQRDS5" hidden="1">"$DS$6:$DS$8"</definedName>
    <definedName name="IQRDT5" hidden="1">"$DT$6:$DT$8"</definedName>
    <definedName name="IQRDU5" hidden="1">"$DU$6:$DU$8"</definedName>
    <definedName name="IQRDV5" hidden="1">"$DV$6:$DV$8"</definedName>
    <definedName name="IQRDW5" hidden="1">"$DW$6:$DW$8"</definedName>
    <definedName name="IQRDX5" hidden="1">"$DX$6:$DX$8"</definedName>
    <definedName name="IQRDY5" hidden="1">"$DY$6:$DY$8"</definedName>
    <definedName name="IQRDZ5" hidden="1">"$DZ$6:$DZ$8"</definedName>
    <definedName name="IQRE14" hidden="1">"$E$15:$E$114"</definedName>
    <definedName name="IQRE15" hidden="1">"$E$16:$E$515"</definedName>
    <definedName name="IQRE24" hidden="1">"$E$25:$E$29"</definedName>
    <definedName name="IQRE5" hidden="1">"$E$6:$E$27"</definedName>
    <definedName name="IQRE7" hidden="1">"$E$8:$E$11"</definedName>
    <definedName name="IQREA5" hidden="1">"$EA$6:$EA$8"</definedName>
    <definedName name="IQREB5" hidden="1">"$EB$6:$EB$8"</definedName>
    <definedName name="IQREC5" hidden="1">"$EC$6:$EC$8"</definedName>
    <definedName name="IQRED5" hidden="1">"$ED$6:$ED$8"</definedName>
    <definedName name="IQREE5" hidden="1">"$EE$6:$EE$8"</definedName>
    <definedName name="IQREF5" hidden="1">"$EF$6:$EF$8"</definedName>
    <definedName name="IQREG5" hidden="1">"$EG$6:$EG$8"</definedName>
    <definedName name="IQREH5" hidden="1">"$EH$6:$EH$8"</definedName>
    <definedName name="IQREJ5" hidden="1">"$EJ$6:$EJ$8"</definedName>
    <definedName name="IQREK5" hidden="1">"$EK$6:$EK$8"</definedName>
    <definedName name="IQREL5" hidden="1">"$EL$6:$EL$8"</definedName>
    <definedName name="IQREM5" hidden="1">"$EM$6:$EM$8"</definedName>
    <definedName name="IQREO5" hidden="1">"$EO$6:$EO$8"</definedName>
    <definedName name="IQREP5" hidden="1">"$EP$6:$EP$8"</definedName>
    <definedName name="IQREQ5" hidden="1">"$EQ$6:$EQ$8"</definedName>
    <definedName name="IQRER5" hidden="1">"$ER$6:$ER$8"</definedName>
    <definedName name="IQRES5" hidden="1">"$ES$6:$ES$8"</definedName>
    <definedName name="IQRET5" hidden="1">"$ET$6:$ET$8"</definedName>
    <definedName name="IQREU5" hidden="1">"$EU$6:$EU$8"</definedName>
    <definedName name="IQREV5" hidden="1">"$EV$6:$EV$8"</definedName>
    <definedName name="IQREW5" hidden="1">"$EW$6:$EW$8"</definedName>
    <definedName name="IQREX5" hidden="1">"$EX$6:$EX$8"</definedName>
    <definedName name="IQRF29" hidden="1">"$F$30:$F$283"</definedName>
    <definedName name="IQRF5" hidden="1">"$F$6:$F$68"</definedName>
    <definedName name="IQRF7" hidden="1">"$F$8:$F$11"</definedName>
    <definedName name="IQRG14" hidden="1">"$G$15:$G$114"</definedName>
    <definedName name="IQRG15" hidden="1">"$G$16:$G$515"</definedName>
    <definedName name="IQRG5" hidden="1">"$G$6:$G$68"</definedName>
    <definedName name="IQRG7" hidden="1">"$G$8:$G$11"</definedName>
    <definedName name="IQRGRAPH5ReturnBasedAnalysisW3" hidden="1">#REF!</definedName>
    <definedName name="IQRGraph5W3" hidden="1">#REF!</definedName>
    <definedName name="IQRGWIvsTSXQ4" hidden="1">#REF!</definedName>
    <definedName name="IQRGWIvsTSXR65" hidden="1">#REF!</definedName>
    <definedName name="IQRGWIvsTSXR7" hidden="1">#REF!</definedName>
    <definedName name="IQRGWIvsTSXT2" hidden="1">#REF!</definedName>
    <definedName name="IQRGWIvsTSXT4" hidden="1">#REF!</definedName>
    <definedName name="IQRH5" hidden="1">"$H$6:$H$68"</definedName>
    <definedName name="IQRH7" hidden="1">"$H$8:$H$11"</definedName>
    <definedName name="IQRHistmultAC22" hidden="1">#REF!</definedName>
    <definedName name="IQRHistmultAC53" hidden="1">#REF!</definedName>
    <definedName name="IQRHistmultAC54" hidden="1">#REF!</definedName>
    <definedName name="IQRHistmultAC58" hidden="1">#REF!</definedName>
    <definedName name="IQRHistmultAG22" hidden="1">#REF!</definedName>
    <definedName name="IQRHistmultAG53" hidden="1">#REF!</definedName>
    <definedName name="IQRHistmultAG54" hidden="1">#REF!</definedName>
    <definedName name="IQRHistmultAG58" hidden="1">#REF!</definedName>
    <definedName name="IQRHistmultAK22" hidden="1">#REF!</definedName>
    <definedName name="IQRHistmultAK53" hidden="1">#REF!</definedName>
    <definedName name="IQRHistmultAK54" hidden="1">#REF!</definedName>
    <definedName name="IQRHistmultAK58" hidden="1">#REF!</definedName>
    <definedName name="IQRHistmultAO22" hidden="1">#REF!</definedName>
    <definedName name="IQRHistmultAO53" hidden="1">#REF!</definedName>
    <definedName name="IQRHistmultAO54" hidden="1">#REF!</definedName>
    <definedName name="IQRHistmultAO58" hidden="1">#REF!</definedName>
    <definedName name="IQRHistmultAS22" hidden="1">#REF!</definedName>
    <definedName name="IQRHistmultAS53" hidden="1">#REF!</definedName>
    <definedName name="IQRHistmultAS54" hidden="1">#REF!</definedName>
    <definedName name="IQRHistmultAS58" hidden="1">#REF!</definedName>
    <definedName name="IQRHistmultAW22" hidden="1">#REF!</definedName>
    <definedName name="IQRHistmultAW53" hidden="1">#REF!</definedName>
    <definedName name="IQRHistmultAW54" hidden="1">#REF!</definedName>
    <definedName name="IQRHistmultAW58" hidden="1">#REF!</definedName>
    <definedName name="IQRHistmultBA22" hidden="1">#REF!</definedName>
    <definedName name="IQRHistmultBA53" hidden="1">#REF!</definedName>
    <definedName name="IQRHistmultBA54" hidden="1">#REF!</definedName>
    <definedName name="IQRHistmultBA58" hidden="1">#REF!</definedName>
    <definedName name="IQRHistmultBE22" hidden="1">#REF!</definedName>
    <definedName name="IQRHistmultBE53" hidden="1">#REF!</definedName>
    <definedName name="IQRHistmultBE54" hidden="1">#REF!</definedName>
    <definedName name="IQRHistmultBE58" hidden="1">#REF!</definedName>
    <definedName name="IQRHistmultBI22" hidden="1">#REF!</definedName>
    <definedName name="IQRHistmultBI53" hidden="1">#REF!</definedName>
    <definedName name="IQRHistmultBI54" hidden="1">#REF!</definedName>
    <definedName name="IQRHistmultBI58" hidden="1">#REF!</definedName>
    <definedName name="IQRHistmultBM22" hidden="1">#REF!</definedName>
    <definedName name="IQRHistmultBM53" hidden="1">#REF!</definedName>
    <definedName name="IQRHistmultBM54" hidden="1">#REF!</definedName>
    <definedName name="IQRHistmultBM58" hidden="1">#REF!</definedName>
    <definedName name="IQRHistmultBQ22" hidden="1">#REF!</definedName>
    <definedName name="IQRHistmultBQ53" hidden="1">#REF!</definedName>
    <definedName name="IQRHistmultBQ54" hidden="1">#REF!</definedName>
    <definedName name="IQRHistmultBQ58" hidden="1">#REF!</definedName>
    <definedName name="IQRHistmultBU22" hidden="1">#REF!</definedName>
    <definedName name="IQRHistmultBU53" hidden="1">#REF!</definedName>
    <definedName name="IQRHistmultBU54" hidden="1">#REF!</definedName>
    <definedName name="IQRHistmultBU58" hidden="1">#REF!</definedName>
    <definedName name="IQRHistmultBY22" hidden="1">#REF!</definedName>
    <definedName name="IQRHistmultBY53" hidden="1">#REF!</definedName>
    <definedName name="IQRHistmultBY54" hidden="1">#REF!</definedName>
    <definedName name="IQRHistmultBY58" hidden="1">#REF!</definedName>
    <definedName name="IQRHistmultC22" hidden="1">#REF!</definedName>
    <definedName name="IQRHistmultC53" hidden="1">#REF!</definedName>
    <definedName name="IQRHistmultC54" hidden="1">#REF!</definedName>
    <definedName name="IQRHistmultC58" hidden="1">#REF!</definedName>
    <definedName name="IQRHistmultCC22" hidden="1">#REF!</definedName>
    <definedName name="IQRHistmultCC53" hidden="1">#REF!</definedName>
    <definedName name="IQRHistmultCC54" hidden="1">#REF!</definedName>
    <definedName name="IQRHistmultCC58" hidden="1">#REF!</definedName>
    <definedName name="IQRHistmultCG22" hidden="1">#REF!</definedName>
    <definedName name="IQRHistmultCG53" hidden="1">#REF!</definedName>
    <definedName name="IQRHistmultCG54" hidden="1">#REF!</definedName>
    <definedName name="IQRHistmultCG58" hidden="1">#REF!</definedName>
    <definedName name="IQRHistmultCK22" hidden="1">#REF!</definedName>
    <definedName name="IQRHistmultCK53" hidden="1">#REF!</definedName>
    <definedName name="IQRHistmultCK54" hidden="1">#REF!</definedName>
    <definedName name="IQRHistmultCK58" hidden="1">#REF!</definedName>
    <definedName name="IQRHistmultY22" hidden="1">#REF!</definedName>
    <definedName name="IQRHistmultY53" hidden="1">#REF!</definedName>
    <definedName name="IQRHistmultY54" hidden="1">#REF!</definedName>
    <definedName name="IQRHistmultY58" hidden="1">#REF!</definedName>
    <definedName name="IQRHistoricalmultiplesAA55" hidden="1">#REF!</definedName>
    <definedName name="IQRHistoricalmultiplesAA56" hidden="1">#REF!</definedName>
    <definedName name="IQRHistoricalmultiplesAC54" hidden="1">#REF!</definedName>
    <definedName name="IQRHistoricalmultiplesAE55" hidden="1">#REF!</definedName>
    <definedName name="IQRHistoricalmultiplesAE56" hidden="1">#REF!</definedName>
    <definedName name="IQRHistoricalmultiplesAG54" hidden="1">#REF!</definedName>
    <definedName name="IQRHistoricalmultiplesAI55" hidden="1">#REF!</definedName>
    <definedName name="IQRHistoricalmultiplesAI56" hidden="1">#REF!</definedName>
    <definedName name="IQRHistoricalmultiplesAK54" hidden="1">#REF!</definedName>
    <definedName name="IQRHistoricalmultiplesAM55" hidden="1">#REF!</definedName>
    <definedName name="IQRHistoricalmultiplesAM56" hidden="1">#REF!</definedName>
    <definedName name="IQRHistoricalmultiplesAO54" hidden="1">#REF!</definedName>
    <definedName name="IQRHistoricalmultiplesAQ55" hidden="1">#REF!</definedName>
    <definedName name="IQRHistoricalmultiplesAQ56" hidden="1">#REF!</definedName>
    <definedName name="IQRHistoricalmultiplesAS54" hidden="1">#REF!</definedName>
    <definedName name="IQRHistoricalmultiplesAU55" hidden="1">#REF!</definedName>
    <definedName name="IQRHistoricalmultiplesAU56" hidden="1">#REF!</definedName>
    <definedName name="IQRHistoricalmultiplesAW54" hidden="1">#REF!</definedName>
    <definedName name="IQRHistoricalmultiplesAY55" hidden="1">#REF!</definedName>
    <definedName name="IQRHistoricalmultiplesAY56" hidden="1">#REF!</definedName>
    <definedName name="IQRHistoricalmultiplesBA54" hidden="1">#REF!</definedName>
    <definedName name="IQRHistoricalmultiplesBC55" hidden="1">#REF!</definedName>
    <definedName name="IQRHistoricalmultiplesBC56" hidden="1">#REF!</definedName>
    <definedName name="IQRHistoricalmultiplesBE54" hidden="1">#REF!</definedName>
    <definedName name="IQRHistoricalmultiplesBG55" hidden="1">#REF!</definedName>
    <definedName name="IQRHistoricalmultiplesBG56" hidden="1">#REF!</definedName>
    <definedName name="IQRHistoricalmultiplesBI54" hidden="1">#REF!</definedName>
    <definedName name="IQRHistoricalmultiplesBK55" hidden="1">#REF!</definedName>
    <definedName name="IQRHistoricalmultiplesBK56" hidden="1">#REF!</definedName>
    <definedName name="IQRHistoricalmultiplesBM54" hidden="1">#REF!</definedName>
    <definedName name="IQRHistoricalmultiplesBO55" hidden="1">#REF!</definedName>
    <definedName name="IQRHistoricalmultiplesBO56" hidden="1">#REF!</definedName>
    <definedName name="IQRHistoricalmultiplesBQ54" hidden="1">#REF!</definedName>
    <definedName name="IQRHistoricalmultiplesBS55" hidden="1">#REF!</definedName>
    <definedName name="IQRHistoricalmultiplesBS56" hidden="1">#REF!</definedName>
    <definedName name="IQRHistoricalmultiplesBU54" hidden="1">#REF!</definedName>
    <definedName name="IQRHistoricalmultiplesBW55" hidden="1">#REF!</definedName>
    <definedName name="IQRHistoricalmultiplesBW56" hidden="1">#REF!</definedName>
    <definedName name="IQRHistoricalmultiplesBY54" hidden="1">#REF!</definedName>
    <definedName name="IQRHistoricalmultiplesC54" hidden="1">#REF!</definedName>
    <definedName name="IQRHistoricalmultiplesC55" hidden="1">#REF!</definedName>
    <definedName name="IQRHistoricalmultiplesC56" hidden="1">#REF!</definedName>
    <definedName name="IQRHistoricalmultiplesCA55" hidden="1">#REF!</definedName>
    <definedName name="IQRHistoricalmultiplesCA56" hidden="1">#REF!</definedName>
    <definedName name="IQRHistoricalmultiplesCC54" hidden="1">#REF!</definedName>
    <definedName name="IQRHistoricalmultiplesCE55" hidden="1">#REF!</definedName>
    <definedName name="IQRHistoricalmultiplesCE56" hidden="1">#REF!</definedName>
    <definedName name="IQRHistoricalmultiplesCG54" hidden="1">#REF!</definedName>
    <definedName name="IQRHistoricalmultiplesCI55" hidden="1">#REF!</definedName>
    <definedName name="IQRHistoricalmultiplesCI56" hidden="1">#REF!</definedName>
    <definedName name="IQRHistoricalmultiplesCK54" hidden="1">#REF!</definedName>
    <definedName name="IQRHistoricalmultiplesCM55" hidden="1">#REF!</definedName>
    <definedName name="IQRHistoricalmultiplesCM56" hidden="1">#REF!</definedName>
    <definedName name="IQRHistoricalmultiplesCQ55" hidden="1">#REF!</definedName>
    <definedName name="IQRHistoricalmultiplesCQ56" hidden="1">#REF!</definedName>
    <definedName name="IQRHistoricalmultiplesCU55" hidden="1">#REF!</definedName>
    <definedName name="IQRHistoricalmultiplesCU56" hidden="1">#REF!</definedName>
    <definedName name="IQRHistoricalmultiplesCY55" hidden="1">#REF!</definedName>
    <definedName name="IQRHistoricalmultiplesCY56" hidden="1">#REF!</definedName>
    <definedName name="IQRHistoricalmultiplesY54" hidden="1">#REF!</definedName>
    <definedName name="IQRI12" hidden="1">"$I$13"</definedName>
    <definedName name="IQRI14" hidden="1">"$I$15:$I$114"</definedName>
    <definedName name="IQRI15" hidden="1">"$I$16:$I$515"</definedName>
    <definedName name="IQRI5" hidden="1">"$I$6:$I$68"</definedName>
    <definedName name="IQRI7" hidden="1">"$I$8:$I$11"</definedName>
    <definedName name="IQRI9" hidden="1">"$I$10"</definedName>
    <definedName name="IQRJ11" hidden="1">"$J$12:$J$111"</definedName>
    <definedName name="IQRJ13" hidden="1">"$J$14:$J$18"</definedName>
    <definedName name="IQRJ14" hidden="1">"$J$15:$J$19"</definedName>
    <definedName name="IQRJ15" hidden="1">"$J$16:$J$20"</definedName>
    <definedName name="IQRJ16" hidden="1">"$J$17:$J$21"</definedName>
    <definedName name="IQRJ17" hidden="1">"$J$18:$J$22"</definedName>
    <definedName name="IQRJ18" hidden="1">"$J$19:$J$23"</definedName>
    <definedName name="IQRJ20" hidden="1">"$J$21"</definedName>
    <definedName name="IQRJ22" hidden="1">"$J$23:$J$27"</definedName>
    <definedName name="IQRJ23" hidden="1">"$J$24:$J$28"</definedName>
    <definedName name="IQRJ24" hidden="1">"$J$25"</definedName>
    <definedName name="IQRJ25" hidden="1">"$J$26"</definedName>
    <definedName name="IQRJ26" hidden="1">"$J$27"</definedName>
    <definedName name="IQRJ27" hidden="1">"$J$28"</definedName>
    <definedName name="IQRJ28" hidden="1">"$J$29"</definedName>
    <definedName name="IQRJ29" hidden="1">"$J$30"</definedName>
    <definedName name="IQRJ30" hidden="1">"$J$31"</definedName>
    <definedName name="IQRJ31" hidden="1">"$J$32"</definedName>
    <definedName name="IQRJ32" hidden="1">"$J$33"</definedName>
    <definedName name="IQRJ33" hidden="1">"$J$34"</definedName>
    <definedName name="IQRJ34" hidden="1">"$J$35"</definedName>
    <definedName name="IQRJ35" hidden="1">"$J$36"</definedName>
    <definedName name="IQRJ36" hidden="1">"$J$37"</definedName>
    <definedName name="IQRJ37" hidden="1">"$J$38"</definedName>
    <definedName name="IQRJ38" hidden="1">"$J$39"</definedName>
    <definedName name="IQRJ39" hidden="1">"$J$40"</definedName>
    <definedName name="IQRJ40" hidden="1">"$J$41"</definedName>
    <definedName name="IQRJ41" hidden="1">"$J$42"</definedName>
    <definedName name="IQRJ42" hidden="1">"$J$43"</definedName>
    <definedName name="IQRJ43" hidden="1">"$J$44"</definedName>
    <definedName name="IQRJ44" hidden="1">"$J$45"</definedName>
    <definedName name="IQRJ45" hidden="1">"$J$46"</definedName>
    <definedName name="IQRJ46" hidden="1">"$J$47"</definedName>
    <definedName name="IQRJ47" hidden="1">"$J$48"</definedName>
    <definedName name="IQRJ48" hidden="1">"$J$49"</definedName>
    <definedName name="IQRJ49" hidden="1">"$J$50"</definedName>
    <definedName name="IQRJ5" hidden="1">"$J$6:$J$258"</definedName>
    <definedName name="IQRJ50" hidden="1">"$J$51"</definedName>
    <definedName name="IQRJ51" hidden="1">"$J$52"</definedName>
    <definedName name="IQRJ52" hidden="1">"$J$53"</definedName>
    <definedName name="IQRJ53" hidden="1">"$J$54"</definedName>
    <definedName name="IQRJ54" hidden="1">"$J$55"</definedName>
    <definedName name="IQRJ55" hidden="1">"$J$56"</definedName>
    <definedName name="IQRJ56" hidden="1">"$J$57"</definedName>
    <definedName name="IQRJ57" hidden="1">"$J$58"</definedName>
    <definedName name="IQRJ58" hidden="1">"$J$59"</definedName>
    <definedName name="IQRJ59" hidden="1">"$J$60"</definedName>
    <definedName name="IQRJ60" hidden="1">"$J$61"</definedName>
    <definedName name="IQRJ61" hidden="1">"$J$62"</definedName>
    <definedName name="IQRJ62" hidden="1">"$J$63"</definedName>
    <definedName name="IQRJ63" hidden="1">"$J$64"</definedName>
    <definedName name="IQRJ64" hidden="1">"$J$65"</definedName>
    <definedName name="IQRJ65" hidden="1">"$J$66"</definedName>
    <definedName name="IQRJ66" hidden="1">"$J$67"</definedName>
    <definedName name="IQRJ67" hidden="1">"$J$68"</definedName>
    <definedName name="IQRJ68" hidden="1">"$J$69"</definedName>
    <definedName name="IQRJ69" hidden="1">"$J$70"</definedName>
    <definedName name="IQRJ7" hidden="1">"$J$8:$J$11"</definedName>
    <definedName name="IQRJ70" hidden="1">"$J$71"</definedName>
    <definedName name="IQRK11" hidden="1">"$K$12:$K$111"</definedName>
    <definedName name="IQRK13" hidden="1">"$K$14:$K$18"</definedName>
    <definedName name="IQRK14" hidden="1">"$K$15:$K$114"</definedName>
    <definedName name="IQRK5" hidden="1">"$K$6:$K$258"</definedName>
    <definedName name="IQRL11" hidden="1">"$L$12:$L$27"</definedName>
    <definedName name="IQRL13" hidden="1">"$L$14:$L$77"</definedName>
    <definedName name="IQRL5" hidden="1">"$L$6:$L$258"</definedName>
    <definedName name="IQRLaborPayrollConsumerA19" hidden="1">#REF!</definedName>
    <definedName name="IQRLiveFormulasD1048569" hidden="1">#REF!</definedName>
    <definedName name="IQRM11" hidden="1">"$M$12:$M$27"</definedName>
    <definedName name="IQRM14" hidden="1">"$M$15:$M$114"</definedName>
    <definedName name="IQRM5" hidden="1">"$M$6:$M$258"</definedName>
    <definedName name="IQRMultiplesQ11" hidden="1">#REF!</definedName>
    <definedName name="IQRN11" hidden="1">"$N$12:$N$13"</definedName>
    <definedName name="IQRN5" hidden="1">"$N$6:$N$8"</definedName>
    <definedName name="IQRO11" hidden="1">"$O$12:$O$13"</definedName>
    <definedName name="IQRO12" hidden="1">"$O$13"</definedName>
    <definedName name="IQRO13" hidden="1">"$O$14"</definedName>
    <definedName name="IQRO14" hidden="1">"$O$15"</definedName>
    <definedName name="IQRO15" hidden="1">"$O$16"</definedName>
    <definedName name="IQRO16" hidden="1">"$O$17"</definedName>
    <definedName name="IQRO17" hidden="1">"$O$18"</definedName>
    <definedName name="IQRO18" hidden="1">"$O$19"</definedName>
    <definedName name="IQRO19" hidden="1">"$O$20"</definedName>
    <definedName name="IQRO20" hidden="1">"$O$21"</definedName>
    <definedName name="IQRO21" hidden="1">"$O$22"</definedName>
    <definedName name="IQRO22" hidden="1">"$O$23"</definedName>
    <definedName name="IQRO23" hidden="1">"$O$24"</definedName>
    <definedName name="IQRO5" hidden="1">"$O$6:$O$8"</definedName>
    <definedName name="IQRP13" hidden="1">"$P$14:$P$18"</definedName>
    <definedName name="IQRP5" hidden="1">"$P$6:$P$8"</definedName>
    <definedName name="IQRPeopleH12" hidden="1">#REF!</definedName>
    <definedName name="IQRPeopleH13" hidden="1">#REF!</definedName>
    <definedName name="IQRPeopleH14" hidden="1">#REF!</definedName>
    <definedName name="IQRPeopleH15" hidden="1">#REF!</definedName>
    <definedName name="IQRPeopleN12" hidden="1">#REF!</definedName>
    <definedName name="IQRPeopleN13" hidden="1">#REF!</definedName>
    <definedName name="IQRPeopleN14" hidden="1">#REF!</definedName>
    <definedName name="IQRPeopleN15" hidden="1">#REF!</definedName>
    <definedName name="IQRPriceI47" hidden="1">#REF!</definedName>
    <definedName name="IQRQ14" hidden="1">"$Q$15:$Q$114"</definedName>
    <definedName name="IQRQ5" hidden="1">"$Q$6:$Q$8"</definedName>
    <definedName name="IQRR30" hidden="1">"$R$31"</definedName>
    <definedName name="IQRR5" hidden="1">"$R$6:$R$8"</definedName>
    <definedName name="IQRResults2D3" hidden="1">#REF!</definedName>
    <definedName name="IQRResults2G3" hidden="1">#REF!</definedName>
    <definedName name="IQRResults2I3" hidden="1">#REF!</definedName>
    <definedName name="IQRResultsI3" hidden="1">#REF!</definedName>
    <definedName name="IQRResultsM3" hidden="1">#REF!</definedName>
    <definedName name="IQRResultsQ3" hidden="1">#REF!</definedName>
    <definedName name="IQRReturnBasedAnalysisZ3" hidden="1">#REF!</definedName>
    <definedName name="IQRS14" hidden="1">"$S$15:$S$114"</definedName>
    <definedName name="IQRS5" hidden="1">"$S$6:$S$8"</definedName>
    <definedName name="IQRSharePriceB15" hidden="1">#REF!</definedName>
    <definedName name="IQRSheet13A5" hidden="1">#REF!</definedName>
    <definedName name="IQRSheet13A6" hidden="1">#REF!</definedName>
    <definedName name="IQRSheet1A3" hidden="1">#REF!</definedName>
    <definedName name="IQRSheet1A508" hidden="1">#REF!</definedName>
    <definedName name="IQRSheet1AB22" hidden="1">#REF!</definedName>
    <definedName name="IQRSheet1AC22" hidden="1">#REF!</definedName>
    <definedName name="IQRSheet1AF22" hidden="1">#REF!</definedName>
    <definedName name="IQRSheet1AG22" hidden="1">#REF!</definedName>
    <definedName name="IQRSheet1AJ22" hidden="1">#REF!</definedName>
    <definedName name="IQRSheet1AK22" hidden="1">#REF!</definedName>
    <definedName name="IQRSheet1AN22" hidden="1">#REF!</definedName>
    <definedName name="IQRSheet1AO22" hidden="1">#REF!</definedName>
    <definedName name="IQRSheet1AR22" hidden="1">#REF!</definedName>
    <definedName name="IQRSheet1AS22" hidden="1">#REF!</definedName>
    <definedName name="IQRSheet1AV22" hidden="1">#REF!</definedName>
    <definedName name="IQRSheet1AW22" hidden="1">#REF!</definedName>
    <definedName name="IQRSheet1AZ22" hidden="1">#REF!</definedName>
    <definedName name="IQRSheet1B606" hidden="1">#REF!</definedName>
    <definedName name="IQRSheet1BA22" hidden="1">#REF!</definedName>
    <definedName name="IQRSheet1BD22" hidden="1">#REF!</definedName>
    <definedName name="IQRSheet1BE22" hidden="1">#REF!</definedName>
    <definedName name="IQRSheet1BH22" hidden="1">#REF!</definedName>
    <definedName name="IQRSheet1BI22" hidden="1">#REF!</definedName>
    <definedName name="IQRSheet1BL22" hidden="1">#REF!</definedName>
    <definedName name="IQRSheet1BM22" hidden="1">#REF!</definedName>
    <definedName name="IQRSheet1BP22" hidden="1">#REF!</definedName>
    <definedName name="IQRSheet1BQ22" hidden="1">#REF!</definedName>
    <definedName name="IQRSheet1BT22" hidden="1">#REF!</definedName>
    <definedName name="IQRSheet1BU22" hidden="1">#REF!</definedName>
    <definedName name="IQRSheet1BY22" hidden="1">#REF!</definedName>
    <definedName name="IQRSheet1C22" hidden="1">#REF!</definedName>
    <definedName name="IQRSheet1C8" hidden="1">#REF!</definedName>
    <definedName name="IQRSheet1CC22" hidden="1">#REF!</definedName>
    <definedName name="IQRSheet1CG22" hidden="1">#REF!</definedName>
    <definedName name="IQRSheet1CK22" hidden="1">#REF!</definedName>
    <definedName name="IQRSheet1D4" hidden="1">#REF!</definedName>
    <definedName name="IQRSheet1E3" hidden="1">#REF!</definedName>
    <definedName name="IQRSheet1H22" hidden="1">#REF!</definedName>
    <definedName name="IQRSheet1L22" hidden="1">#REF!</definedName>
    <definedName name="IQRSheet1P22" hidden="1">#REF!</definedName>
    <definedName name="IQRSheet1T22" hidden="1">#REF!</definedName>
    <definedName name="IQRSheet1U15" hidden="1">#REF!</definedName>
    <definedName name="IQRSheet1X22" hidden="1">#REF!</definedName>
    <definedName name="IQRSheet1Y22" hidden="1">#REF!</definedName>
    <definedName name="IQRSheet2E10" hidden="1">#REF!</definedName>
    <definedName name="IQRSheet2E11" hidden="1">#REF!</definedName>
    <definedName name="IQRSheet2E12" hidden="1">#REF!</definedName>
    <definedName name="IQRSheet2E13" hidden="1">#REF!</definedName>
    <definedName name="IQRSheet2E14" hidden="1">#REF!</definedName>
    <definedName name="IQRSheet2E15" hidden="1">#REF!</definedName>
    <definedName name="IQRSheet2E16" hidden="1">#REF!</definedName>
    <definedName name="IQRSheet2E17" hidden="1">#REF!</definedName>
    <definedName name="IQRSheet2E18" hidden="1">#REF!</definedName>
    <definedName name="IQRSheet2E19" hidden="1">#REF!</definedName>
    <definedName name="IQRSheet2E20" hidden="1">#REF!</definedName>
    <definedName name="IQRSheet2E21" hidden="1">#REF!</definedName>
    <definedName name="IQRSheet2E22" hidden="1">#REF!</definedName>
    <definedName name="IQRSheet2E23" hidden="1">#REF!</definedName>
    <definedName name="IQRSheet2E24" hidden="1">#REF!</definedName>
    <definedName name="IQRSheet2E25" hidden="1">#REF!</definedName>
    <definedName name="IQRSheet2E26" hidden="1">#REF!</definedName>
    <definedName name="IQRSheet2E27" hidden="1">#REF!</definedName>
    <definedName name="IQRSheet2E28" hidden="1">#REF!</definedName>
    <definedName name="IQRSheet2E29" hidden="1">#REF!</definedName>
    <definedName name="IQRSheet2E30" hidden="1">#REF!</definedName>
    <definedName name="IQRSheet2E31" hidden="1">#REF!</definedName>
    <definedName name="IQRSheet2E32" hidden="1">#REF!</definedName>
    <definedName name="IQRSheet2E33" hidden="1">#REF!</definedName>
    <definedName name="IQRSheet2E34" hidden="1">#REF!</definedName>
    <definedName name="IQRSheet2E35" hidden="1">#REF!</definedName>
    <definedName name="IQRSheet2E36" hidden="1">#REF!</definedName>
    <definedName name="IQRSheet2E37" hidden="1">#REF!</definedName>
    <definedName name="IQRSheet2E38" hidden="1">#REF!</definedName>
    <definedName name="IQRSheet2E39" hidden="1">#REF!</definedName>
    <definedName name="IQRSheet2E40" hidden="1">#REF!</definedName>
    <definedName name="IQRSheet2E41" hidden="1">#REF!</definedName>
    <definedName name="IQRSheet2E42" hidden="1">#REF!</definedName>
    <definedName name="IQRSheet2E43" hidden="1">#REF!</definedName>
    <definedName name="IQRSheet2E9" hidden="1">#REF!</definedName>
    <definedName name="IQRSheet4B3" hidden="1">#REF!</definedName>
    <definedName name="IQRSheet8A3" hidden="1">#REF!</definedName>
    <definedName name="IQRSP500ConstituentsA15" hidden="1">#REF!</definedName>
    <definedName name="IQRSP500ConstituentsA6" hidden="1">#REF!</definedName>
    <definedName name="IQRSP500ConstituentsB6" hidden="1">#REF!</definedName>
    <definedName name="IQRSP500ConstituentsC15" hidden="1">#REF!</definedName>
    <definedName name="IQRSP500ConstituentsC6" hidden="1">#REF!</definedName>
    <definedName name="IQRSP500ConstituentsD6" hidden="1">#REF!</definedName>
    <definedName name="IQRSP500ConstituentsE15" hidden="1">#REF!</definedName>
    <definedName name="IQRSP500ConstituentsE6" hidden="1">#REF!</definedName>
    <definedName name="IQRSP500ConstituentsF6" hidden="1">#REF!</definedName>
    <definedName name="IQRSP500ConstituentsG15" hidden="1">#REF!</definedName>
    <definedName name="IQRSP500ConstituentsG6" hidden="1">#REF!</definedName>
    <definedName name="IQRSP500ConstituentsH6" hidden="1">#REF!</definedName>
    <definedName name="IQRSP500ConstituentsI15" hidden="1">#REF!</definedName>
    <definedName name="IQRSP500ConstituentsI6" hidden="1">#REF!</definedName>
    <definedName name="IQRSP500ConstituentsJ6" hidden="1">#REF!</definedName>
    <definedName name="IQRT5" hidden="1">"$T$6:$T$8"</definedName>
    <definedName name="IQRTestC15" hidden="1">#REF!</definedName>
    <definedName name="IQRTEXT7Graph4B3" hidden="1">#REF!</definedName>
    <definedName name="IQRU13" hidden="1">"$U$14:$U$63"</definedName>
    <definedName name="IQRU14" hidden="1">"$U$15:$U$114"</definedName>
    <definedName name="IQRU33" hidden="1">"$U$34:$U$285"</definedName>
    <definedName name="IQRU5" hidden="1">"$U$6:$U$8"</definedName>
    <definedName name="IQRV5" hidden="1">"$V$6:$V$8"</definedName>
    <definedName name="IQRVIXA16" hidden="1">#REF!</definedName>
    <definedName name="IQRVIXK6" hidden="1">#REF!</definedName>
    <definedName name="IQRVolatilitySP500IndexVIXA16" hidden="1">#REF!</definedName>
    <definedName name="IQRW14" hidden="1">"$W$15:$W$114"</definedName>
    <definedName name="IQRW5" hidden="1">"$W$6:$W$8"</definedName>
    <definedName name="IQRX5" hidden="1">"$X$6:$X$8"</definedName>
    <definedName name="IQRY14" hidden="1">"$Y$15:$Y$114"</definedName>
    <definedName name="IQRY5" hidden="1">"$Y$6:$Y$8"</definedName>
    <definedName name="IQRYieldCurve2M7" hidden="1">#REF!</definedName>
    <definedName name="IQRYieldCurveM7" hidden="1">#REF!</definedName>
    <definedName name="IQRZ5" hidden="1">"$Z$6:$Z$8"</definedName>
    <definedName name="IQSDealsB19" hidden="1">"$B$20:$B$191"</definedName>
    <definedName name="iQShowHideColumns" localSheetId="0" hidden="1">"iQShowQuarterlyAnnualAorE"</definedName>
    <definedName name="iQShowHideColumns" hidden="1">"iQShowQuarterlyAnnual"</definedName>
    <definedName name="Irbe" localSheetId="0" hidden="1">{#N/A,#N/A,FALSE,"Pharm";#N/A,#N/A,FALSE,"WWCM"}</definedName>
    <definedName name="Irbe" localSheetId="6" hidden="1">{#N/A,#N/A,FALSE,"Pharm";#N/A,#N/A,FALSE,"WWCM"}</definedName>
    <definedName name="Irbe" hidden="1">{#N/A,#N/A,FALSE,"Pharm";#N/A,#N/A,FALSE,"WWCM"}</definedName>
    <definedName name="Irbe_1" localSheetId="0" hidden="1">{#N/A,#N/A,FALSE,"Pharm";#N/A,#N/A,FALSE,"WWCM"}</definedName>
    <definedName name="Irbe_1" localSheetId="6" hidden="1">{#N/A,#N/A,FALSE,"Pharm";#N/A,#N/A,FALSE,"WWCM"}</definedName>
    <definedName name="Irbe_1" hidden="1">{#N/A,#N/A,FALSE,"Pharm";#N/A,#N/A,FALSE,"WWCM"}</definedName>
    <definedName name="Irbe_1_1" localSheetId="0" hidden="1">{#N/A,#N/A,FALSE,"Pharm";#N/A,#N/A,FALSE,"WWCM"}</definedName>
    <definedName name="Irbe_1_1" localSheetId="6" hidden="1">{#N/A,#N/A,FALSE,"Pharm";#N/A,#N/A,FALSE,"WWCM"}</definedName>
    <definedName name="Irbe_1_1" hidden="1">{#N/A,#N/A,FALSE,"Pharm";#N/A,#N/A,FALSE,"WWCM"}</definedName>
    <definedName name="Irbe_2" localSheetId="0" hidden="1">{#N/A,#N/A,FALSE,"Pharm";#N/A,#N/A,FALSE,"WWCM"}</definedName>
    <definedName name="Irbe_2" localSheetId="6" hidden="1">{#N/A,#N/A,FALSE,"Pharm";#N/A,#N/A,FALSE,"WWCM"}</definedName>
    <definedName name="Irbe_2" hidden="1">{#N/A,#N/A,FALSE,"Pharm";#N/A,#N/A,FALSE,"WWCM"}</definedName>
    <definedName name="Irbe_3" localSheetId="0" hidden="1">{#N/A,#N/A,FALSE,"Pharm";#N/A,#N/A,FALSE,"WWCM"}</definedName>
    <definedName name="Irbe_3" localSheetId="6" hidden="1">{#N/A,#N/A,FALSE,"Pharm";#N/A,#N/A,FALSE,"WWCM"}</definedName>
    <definedName name="Irbe_3" hidden="1">{#N/A,#N/A,FALSE,"Pharm";#N/A,#N/A,FALSE,"WWCM"}</definedName>
    <definedName name="Irbe_4" localSheetId="0" hidden="1">{#N/A,#N/A,FALSE,"Pharm";#N/A,#N/A,FALSE,"WWCM"}</definedName>
    <definedName name="Irbe_4" localSheetId="6" hidden="1">{#N/A,#N/A,FALSE,"Pharm";#N/A,#N/A,FALSE,"WWCM"}</definedName>
    <definedName name="Irbe_4" hidden="1">{#N/A,#N/A,FALSE,"Pharm";#N/A,#N/A,FALSE,"WWCM"}</definedName>
    <definedName name="Irbe_5" localSheetId="0" hidden="1">{#N/A,#N/A,FALSE,"Pharm";#N/A,#N/A,FALSE,"WWCM"}</definedName>
    <definedName name="Irbe_5" localSheetId="6" hidden="1">{#N/A,#N/A,FALSE,"Pharm";#N/A,#N/A,FALSE,"WWCM"}</definedName>
    <definedName name="Irbe_5" hidden="1">{#N/A,#N/A,FALSE,"Pharm";#N/A,#N/A,FALSE,"WWCM"}</definedName>
    <definedName name="ire">#REF!</definedName>
    <definedName name="irf">#REF!</definedName>
    <definedName name="IRI_WorkspaceId" hidden="1">"07c359273e96404da083ec4ed72d00bc"</definedName>
    <definedName name="iroi1">#REF!</definedName>
    <definedName name="iroi10">#REF!</definedName>
    <definedName name="iroi11">#REF!</definedName>
    <definedName name="iroi12">#REF!</definedName>
    <definedName name="iroi13">#REF!</definedName>
    <definedName name="iroi14">#REF!</definedName>
    <definedName name="iroi15">#REF!</definedName>
    <definedName name="iroi2">#REF!</definedName>
    <definedName name="iroi3">#REF!</definedName>
    <definedName name="iroi4">#REF!</definedName>
    <definedName name="iroi5">#REF!</definedName>
    <definedName name="iroi6">#REF!</definedName>
    <definedName name="iroi7">#REF!</definedName>
    <definedName name="iroi8">#REF!</definedName>
    <definedName name="iroi9">#REF!</definedName>
    <definedName name="IRR">#REF!</definedName>
    <definedName name="IRR_9">#REF!</definedName>
    <definedName name="IS_Accounts">#REF!</definedName>
    <definedName name="IS_Array">#REF!</definedName>
    <definedName name="IS_EBT">#REF!</definedName>
    <definedName name="IS_Periods">#REF!</definedName>
    <definedName name="IS_Zakat">#REF!</definedName>
    <definedName name="is1_">#REF!</definedName>
    <definedName name="isc">#REF!</definedName>
    <definedName name="IsColHidden" hidden="1">FALSE</definedName>
    <definedName name="ishideend" hidden="1">#REF!</definedName>
    <definedName name="ishidestart" hidden="1">#REF!</definedName>
    <definedName name="isi">#REF!</definedName>
    <definedName name="IsLTMColHidden" hidden="1">FALSE</definedName>
    <definedName name="ISS_DEBT_NET" hidden="1">"ISS_DEBT_NET"</definedName>
    <definedName name="ISS_STOCK_NET" hidden="1">"ISS_STOCK_NET"</definedName>
    <definedName name="IsSecureRevolver" hidden="1">#REF!</definedName>
    <definedName name="IsSecureSenior1" hidden="1">#REF!</definedName>
    <definedName name="IsSecureSenior2" hidden="1">#REF!</definedName>
    <definedName name="IsSecureSenior3" hidden="1">#REF!</definedName>
    <definedName name="IsSecureSenior4" hidden="1">#REF!</definedName>
    <definedName name="IsSecureSenior5" hidden="1">#REF!</definedName>
    <definedName name="IsSecureSenior6" hidden="1">#REF!</definedName>
    <definedName name="IsSecureSenior7" hidden="1">#REF!</definedName>
    <definedName name="IssueAge">#REF!</definedName>
    <definedName name="isto2" localSheetId="0" hidden="1">{"up stand alones",#N/A,FALSE,"Acquiror"}</definedName>
    <definedName name="isto2" localSheetId="6" hidden="1">{"up stand alones",#N/A,FALSE,"Acquiror"}</definedName>
    <definedName name="isto2" hidden="1">{"up stand alones",#N/A,FALSE,"Acquiror"}</definedName>
    <definedName name="iu" localSheetId="6" hidden="1">{#N/A,#N/A,TRUE,"Cover";#N/A,#N/A,TRUE,"Conts";#N/A,#N/A,TRUE,"VOS";#N/A,#N/A,TRUE,"Warrington";#N/A,#N/A,TRUE,"Widnes"}</definedName>
    <definedName name="iu" hidden="1">{#N/A,#N/A,TRUE,"Cover";#N/A,#N/A,TRUE,"Conts";#N/A,#N/A,TRUE,"VOS";#N/A,#N/A,TRUE,"Warrington";#N/A,#N/A,TRUE,"Widnes"}</definedName>
    <definedName name="iu_1" localSheetId="6" hidden="1">{#N/A,#N/A,TRUE,"Cover";#N/A,#N/A,TRUE,"Conts";#N/A,#N/A,TRUE,"VOS";#N/A,#N/A,TRUE,"Warrington";#N/A,#N/A,TRUE,"Widnes"}</definedName>
    <definedName name="iu_1" hidden="1">{#N/A,#N/A,TRUE,"Cover";#N/A,#N/A,TRUE,"Conts";#N/A,#N/A,TRUE,"VOS";#N/A,#N/A,TRUE,"Warrington";#N/A,#N/A,TRUE,"Widnes"}</definedName>
    <definedName name="IUBWEVIUBW" hidden="1">#REF!</definedName>
    <definedName name="iuh" localSheetId="6" hidden="1">{#N/A,#N/A,TRUE,"Cover";#N/A,#N/A,TRUE,"Conts";#N/A,#N/A,TRUE,"VOS";#N/A,#N/A,TRUE,"Warrington";#N/A,#N/A,TRUE,"Widnes"}</definedName>
    <definedName name="iuh" hidden="1">{#N/A,#N/A,TRUE,"Cover";#N/A,#N/A,TRUE,"Conts";#N/A,#N/A,TRUE,"VOS";#N/A,#N/A,TRUE,"Warrington";#N/A,#N/A,TRUE,"Widnes"}</definedName>
    <definedName name="iuh_1" localSheetId="6" hidden="1">{#N/A,#N/A,TRUE,"Cover";#N/A,#N/A,TRUE,"Conts";#N/A,#N/A,TRUE,"VOS";#N/A,#N/A,TRUE,"Warrington";#N/A,#N/A,TRUE,"Widnes"}</definedName>
    <definedName name="iuh_1" hidden="1">{#N/A,#N/A,TRUE,"Cover";#N/A,#N/A,TRUE,"Conts";#N/A,#N/A,TRUE,"VOS";#N/A,#N/A,TRUE,"Warrington";#N/A,#N/A,TRUE,"Widnes"}</definedName>
    <definedName name="iuhiliu" localSheetId="0" hidden="1">{#N/A,#N/A,FALSE,"Sheet1"}</definedName>
    <definedName name="iuhiliu" localSheetId="6" hidden="1">{#N/A,#N/A,FALSE,"Sheet1"}</definedName>
    <definedName name="iuhiliu" hidden="1">{#N/A,#N/A,FALSE,"Sheet1"}</definedName>
    <definedName name="iuij" hidden="1">#REF!</definedName>
    <definedName name="iukh" localSheetId="6" hidden="1">{#N/A,#N/A,TRUE,"Cover";#N/A,#N/A,TRUE,"Conts";#N/A,#N/A,TRUE,"VOS";#N/A,#N/A,TRUE,"Warrington";#N/A,#N/A,TRUE,"Widnes"}</definedName>
    <definedName name="iukh" hidden="1">{#N/A,#N/A,TRUE,"Cover";#N/A,#N/A,TRUE,"Conts";#N/A,#N/A,TRUE,"VOS";#N/A,#N/A,TRUE,"Warrington";#N/A,#N/A,TRUE,"Widnes"}</definedName>
    <definedName name="iukh_1" localSheetId="6" hidden="1">{#N/A,#N/A,TRUE,"Cover";#N/A,#N/A,TRUE,"Conts";#N/A,#N/A,TRUE,"VOS";#N/A,#N/A,TRUE,"Warrington";#N/A,#N/A,TRUE,"Widnes"}</definedName>
    <definedName name="iukh_1" hidden="1">{#N/A,#N/A,TRUE,"Cover";#N/A,#N/A,TRUE,"Conts";#N/A,#N/A,TRUE,"VOS";#N/A,#N/A,TRUE,"Warrington";#N/A,#N/A,TRUE,"Widnes"}</definedName>
    <definedName name="IUWQVBEIFUCVW" hidden="1">#REF!</definedName>
    <definedName name="iwbAIVFUB" hidden="1">#REF!</definedName>
    <definedName name="iyktl"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yktl"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yktl"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iytuy"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ytuy"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iytuy"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J" localSheetId="0" hidden="1">{#N/A,#N/A,FALSE,"COMP"}</definedName>
    <definedName name="J" localSheetId="6" hidden="1">{#N/A,#N/A,FALSE,"COMP"}</definedName>
    <definedName name="J" hidden="1">{#N/A,#N/A,FALSE,"COMP"}</definedName>
    <definedName name="j_1" localSheetId="0" hidden="1">{#N/A,#N/A,FALSE,"REPORT"}</definedName>
    <definedName name="j_1" localSheetId="6" hidden="1">{#N/A,#N/A,FALSE,"REPORT"}</definedName>
    <definedName name="j_1" hidden="1">{#N/A,#N/A,FALSE,"REPORT"}</definedName>
    <definedName name="j_1_1" localSheetId="0" hidden="1">{#N/A,#N/A,FALSE,"REPORT"}</definedName>
    <definedName name="j_1_1" localSheetId="6" hidden="1">{#N/A,#N/A,FALSE,"REPORT"}</definedName>
    <definedName name="j_1_1" hidden="1">{#N/A,#N/A,FALSE,"REPORT"}</definedName>
    <definedName name="j_2" localSheetId="0" hidden="1">{#N/A,#N/A,FALSE,"REPORT"}</definedName>
    <definedName name="j_2" localSheetId="6" hidden="1">{#N/A,#N/A,FALSE,"REPORT"}</definedName>
    <definedName name="j_2" hidden="1">{#N/A,#N/A,FALSE,"REPORT"}</definedName>
    <definedName name="j_3" localSheetId="0" hidden="1">{#N/A,#N/A,FALSE,"REPORT"}</definedName>
    <definedName name="j_3" localSheetId="6" hidden="1">{#N/A,#N/A,FALSE,"REPORT"}</definedName>
    <definedName name="j_3" hidden="1">{#N/A,#N/A,FALSE,"REPORT"}</definedName>
    <definedName name="j_4" localSheetId="0" hidden="1">{#N/A,#N/A,FALSE,"REPORT"}</definedName>
    <definedName name="j_4" localSheetId="6" hidden="1">{#N/A,#N/A,FALSE,"REPORT"}</definedName>
    <definedName name="j_4" hidden="1">{#N/A,#N/A,FALSE,"REPORT"}</definedName>
    <definedName name="j_5" localSheetId="0" hidden="1">{#N/A,#N/A,FALSE,"REPORT"}</definedName>
    <definedName name="j_5" localSheetId="6" hidden="1">{#N/A,#N/A,FALSE,"REPORT"}</definedName>
    <definedName name="j_5" hidden="1">{#N/A,#N/A,FALSE,"REPORT"}</definedName>
    <definedName name="ja" localSheetId="0" hidden="1">{"bs",#N/A,FALSE,"BS";"pl",#N/A,FALSE,"PL";"res",#N/A,FALSE,"S.CAP,RES";"loans",#N/A,FALSE,"Loans";"inv",#N/A,FALSE,"C.Assets";"fa",#N/A,FALSE,"F.Assets";"ca",#N/A,FALSE,"C.Assets";"cl",#N/A,FALSE,"CL,Sales,Income";"ovh",#N/A,FALSE,"OVH"}</definedName>
    <definedName name="ja" localSheetId="6" hidden="1">{"bs",#N/A,FALSE,"BS";"pl",#N/A,FALSE,"PL";"res",#N/A,FALSE,"S.CAP,RES";"loans",#N/A,FALSE,"Loans";"inv",#N/A,FALSE,"C.Assets";"fa",#N/A,FALSE,"F.Assets";"ca",#N/A,FALSE,"C.Assets";"cl",#N/A,FALSE,"CL,Sales,Income";"ovh",#N/A,FALSE,"OVH"}</definedName>
    <definedName name="ja" hidden="1">{"bs",#N/A,FALSE,"BS";"pl",#N/A,FALSE,"PL";"res",#N/A,FALSE,"S.CAP,RES";"loans",#N/A,FALSE,"Loans";"inv",#N/A,FALSE,"C.Assets";"fa",#N/A,FALSE,"F.Assets";"ca",#N/A,FALSE,"C.Assets";"cl",#N/A,FALSE,"CL,Sales,Income";"ovh",#N/A,FALSE,"OVH"}</definedName>
    <definedName name="Jan_6_196">#REF!</definedName>
    <definedName name="janis" localSheetId="0" hidden="1">{#N/A,#N/A,TRUE,"0 Deckbl.";#N/A,#N/A,TRUE,"S 1 Komm";#N/A,#N/A,TRUE,"S 1a Komm";#N/A,#N/A,TRUE,"S 1b Komm";#N/A,#N/A,TRUE,"S  2 DBR";#N/A,#N/A,TRUE,"S  3 Sparten";#N/A,#N/A,TRUE,"S 4  Betr. K.";#N/A,#N/A,TRUE,"6 Bilanz";#N/A,#N/A,TRUE,"6a Bilanz ";#N/A,#N/A,TRUE,"6b Bilanz ";#N/A,#N/A,TRUE,"7 GS I";#N/A,#N/A,TRUE,"S 8 EQ-GuV"}</definedName>
    <definedName name="janis" localSheetId="6" hidden="1">{#N/A,#N/A,TRUE,"0 Deckbl.";#N/A,#N/A,TRUE,"S 1 Komm";#N/A,#N/A,TRUE,"S 1a Komm";#N/A,#N/A,TRUE,"S 1b Komm";#N/A,#N/A,TRUE,"S  2 DBR";#N/A,#N/A,TRUE,"S  3 Sparten";#N/A,#N/A,TRUE,"S 4  Betr. K.";#N/A,#N/A,TRUE,"6 Bilanz";#N/A,#N/A,TRUE,"6a Bilanz ";#N/A,#N/A,TRUE,"6b Bilanz ";#N/A,#N/A,TRUE,"7 GS I";#N/A,#N/A,TRUE,"S 8 EQ-GuV"}</definedName>
    <definedName name="janis" hidden="1">{#N/A,#N/A,TRUE,"0 Deckbl.";#N/A,#N/A,TRUE,"S 1 Komm";#N/A,#N/A,TRUE,"S 1a Komm";#N/A,#N/A,TRUE,"S 1b Komm";#N/A,#N/A,TRUE,"S  2 DBR";#N/A,#N/A,TRUE,"S  3 Sparten";#N/A,#N/A,TRUE,"S 4  Betr. K.";#N/A,#N/A,TRUE,"6 Bilanz";#N/A,#N/A,TRUE,"6a Bilanz ";#N/A,#N/A,TRUE,"6b Bilanz ";#N/A,#N/A,TRUE,"7 GS I";#N/A,#N/A,TRUE,"S 8 EQ-GuV"}</definedName>
    <definedName name="Jantotal">#REF!</definedName>
    <definedName name="JANTotals">#REF!</definedName>
    <definedName name="JANV" localSheetId="0" hidden="1">{#N/A,#N/A,FALSE,"Tabl. H1";#N/A,#N/A,FALSE,"Tabl. H2"}</definedName>
    <definedName name="JANV" localSheetId="6" hidden="1">{#N/A,#N/A,FALSE,"Tabl. H1";#N/A,#N/A,FALSE,"Tabl. H2"}</definedName>
    <definedName name="JANV" hidden="1">{#N/A,#N/A,FALSE,"Tabl. H1";#N/A,#N/A,FALSE,"Tabl. H2"}</definedName>
    <definedName name="jatin" localSheetId="0" hidden="1">{"'Sheet1'!$L$16"}</definedName>
    <definedName name="jatin" localSheetId="6" hidden="1">{"'Sheet1'!$L$16"}</definedName>
    <definedName name="jatin" hidden="1">{"'Sheet1'!$L$16"}</definedName>
    <definedName name="jdak">#REF!</definedName>
    <definedName name="jdhw" localSheetId="0" hidden="1">{"Graphic",#N/A,TRUE,"Graphic"}</definedName>
    <definedName name="jdhw" localSheetId="6" hidden="1">{"Graphic",#N/A,TRUE,"Graphic"}</definedName>
    <definedName name="jdhw" hidden="1">{"Graphic",#N/A,TRUE,"Graphic"}</definedName>
    <definedName name="jdhw_1" localSheetId="0" hidden="1">{"Graphic",#N/A,TRUE,"Graphic"}</definedName>
    <definedName name="jdhw_1" localSheetId="6" hidden="1">{"Graphic",#N/A,TRUE,"Graphic"}</definedName>
    <definedName name="jdhw_1" hidden="1">{"Graphic",#N/A,TRUE,"Graphic"}</definedName>
    <definedName name="jdk" hidden="1">0</definedName>
    <definedName name="jeanne" localSheetId="6" hidden="1">{#N/A,#N/A,FALSE,"Eastern";#N/A,#N/A,FALSE,"Western"}</definedName>
    <definedName name="jeanne" hidden="1">{#N/A,#N/A,FALSE,"Eastern";#N/A,#N/A,FALSE,"Western"}</definedName>
    <definedName name="jeudi" localSheetId="0" hidden="1">{#N/A,#N/A,FALSE,"Tabl. A1";#N/A,#N/A,FALSE,"Tabl. A1 b";#N/A,#N/A,FALSE,"Tabl. A2";#N/A,#N/A,FALSE,"Tabl. A2-1";#N/A,#N/A,FALSE,"Tabl. A2-2"}</definedName>
    <definedName name="jeudi" localSheetId="6" hidden="1">{#N/A,#N/A,FALSE,"Tabl. A1";#N/A,#N/A,FALSE,"Tabl. A1 b";#N/A,#N/A,FALSE,"Tabl. A2";#N/A,#N/A,FALSE,"Tabl. A2-1";#N/A,#N/A,FALSE,"Tabl. A2-2"}</definedName>
    <definedName name="jeudi" hidden="1">{#N/A,#N/A,FALSE,"Tabl. A1";#N/A,#N/A,FALSE,"Tabl. A1 b";#N/A,#N/A,FALSE,"Tabl. A2";#N/A,#N/A,FALSE,"Tabl. A2-1";#N/A,#N/A,FALSE,"Tabl. A2-2"}</definedName>
    <definedName name="jfjfj" localSheetId="0" hidden="1">{#N/A,#N/A,TRUE,"Cover sheet";#N/A,#N/A,TRUE,"DCF analysis";#N/A,#N/A,TRUE,"WACC calculation"}</definedName>
    <definedName name="jfjfj" localSheetId="6" hidden="1">{#N/A,#N/A,TRUE,"Cover sheet";#N/A,#N/A,TRUE,"DCF analysis";#N/A,#N/A,TRUE,"WACC calculation"}</definedName>
    <definedName name="jfjfj" hidden="1">{#N/A,#N/A,TRUE,"Cover sheet";#N/A,#N/A,TRUE,"DCF analysis";#N/A,#N/A,TRUE,"WACC calculation"}</definedName>
    <definedName name="jfndkl" localSheetId="6" hidden="1">{"year1",#N/A,FALSE,"IZT";"year2",#N/A,FALSE,"IZT"}</definedName>
    <definedName name="jfndkl" hidden="1">{"year1",#N/A,FALSE,"IZT";"year2",#N/A,FALSE,"IZT"}</definedName>
    <definedName name="jg" localSheetId="6" hidden="1">{#N/A,#N/A,TRUE,"Cover";#N/A,#N/A,TRUE,"Conts";#N/A,#N/A,TRUE,"VOS";#N/A,#N/A,TRUE,"Warrington";#N/A,#N/A,TRUE,"Widnes"}</definedName>
    <definedName name="jg" hidden="1">{#N/A,#N/A,TRUE,"Cover";#N/A,#N/A,TRUE,"Conts";#N/A,#N/A,TRUE,"VOS";#N/A,#N/A,TRUE,"Warrington";#N/A,#N/A,TRUE,"Widnes"}</definedName>
    <definedName name="jg_1" localSheetId="6" hidden="1">{#N/A,#N/A,TRUE,"Cover";#N/A,#N/A,TRUE,"Conts";#N/A,#N/A,TRUE,"VOS";#N/A,#N/A,TRUE,"Warrington";#N/A,#N/A,TRUE,"Widnes"}</definedName>
    <definedName name="jg_1" hidden="1">{#N/A,#N/A,TRUE,"Cover";#N/A,#N/A,TRUE,"Conts";#N/A,#N/A,TRUE,"VOS";#N/A,#N/A,TRUE,"Warrington";#N/A,#N/A,TRUE,"Widnes"}</definedName>
    <definedName name="jgbIEVGF" hidden="1">#REF!</definedName>
    <definedName name="jghak">#REF!</definedName>
    <definedName name="jghjg" localSheetId="0" hidden="1">{#N/A,#N/A,FALSE,"Produkte Erw.";#N/A,#N/A,FALSE,"Produkte Plan";#N/A,#N/A,FALSE,"Leistungen Erw.";#N/A,#N/A,FALSE,"Leistungen Plan";#N/A,#N/A,FALSE,"KA Allg.Kosten (2)";#N/A,#N/A,FALSE,"KA All.Kosten"}</definedName>
    <definedName name="jghjg" localSheetId="6" hidden="1">{#N/A,#N/A,FALSE,"Produkte Erw.";#N/A,#N/A,FALSE,"Produkte Plan";#N/A,#N/A,FALSE,"Leistungen Erw.";#N/A,#N/A,FALSE,"Leistungen Plan";#N/A,#N/A,FALSE,"KA Allg.Kosten (2)";#N/A,#N/A,FALSE,"KA All.Kosten"}</definedName>
    <definedName name="jghjg" hidden="1">{#N/A,#N/A,FALSE,"Produkte Erw.";#N/A,#N/A,FALSE,"Produkte Plan";#N/A,#N/A,FALSE,"Leistungen Erw.";#N/A,#N/A,FALSE,"Leistungen Plan";#N/A,#N/A,FALSE,"KA Allg.Kosten (2)";#N/A,#N/A,FALSE,"KA All.Kosten"}</definedName>
    <definedName name="jghjg_1" localSheetId="0" hidden="1">{#N/A,#N/A,FALSE,"Produkte Erw.";#N/A,#N/A,FALSE,"Produkte Plan";#N/A,#N/A,FALSE,"Leistungen Erw.";#N/A,#N/A,FALSE,"Leistungen Plan";#N/A,#N/A,FALSE,"KA Allg.Kosten (2)";#N/A,#N/A,FALSE,"KA All.Kosten"}</definedName>
    <definedName name="jghjg_1" localSheetId="6" hidden="1">{#N/A,#N/A,FALSE,"Produkte Erw.";#N/A,#N/A,FALSE,"Produkte Plan";#N/A,#N/A,FALSE,"Leistungen Erw.";#N/A,#N/A,FALSE,"Leistungen Plan";#N/A,#N/A,FALSE,"KA Allg.Kosten (2)";#N/A,#N/A,FALSE,"KA All.Kosten"}</definedName>
    <definedName name="jghjg_1" hidden="1">{#N/A,#N/A,FALSE,"Produkte Erw.";#N/A,#N/A,FALSE,"Produkte Plan";#N/A,#N/A,FALSE,"Leistungen Erw.";#N/A,#N/A,FALSE,"Leistungen Plan";#N/A,#N/A,FALSE,"KA Allg.Kosten (2)";#N/A,#N/A,FALSE,"KA All.Kosten"}</definedName>
    <definedName name="jghjg_1_1" localSheetId="0" hidden="1">{#N/A,#N/A,FALSE,"Produkte Erw.";#N/A,#N/A,FALSE,"Produkte Plan";#N/A,#N/A,FALSE,"Leistungen Erw.";#N/A,#N/A,FALSE,"Leistungen Plan";#N/A,#N/A,FALSE,"KA Allg.Kosten (2)";#N/A,#N/A,FALSE,"KA All.Kosten"}</definedName>
    <definedName name="jghjg_1_1" localSheetId="6" hidden="1">{#N/A,#N/A,FALSE,"Produkte Erw.";#N/A,#N/A,FALSE,"Produkte Plan";#N/A,#N/A,FALSE,"Leistungen Erw.";#N/A,#N/A,FALSE,"Leistungen Plan";#N/A,#N/A,FALSE,"KA Allg.Kosten (2)";#N/A,#N/A,FALSE,"KA All.Kosten"}</definedName>
    <definedName name="jghjg_1_1" hidden="1">{#N/A,#N/A,FALSE,"Produkte Erw.";#N/A,#N/A,FALSE,"Produkte Plan";#N/A,#N/A,FALSE,"Leistungen Erw.";#N/A,#N/A,FALSE,"Leistungen Plan";#N/A,#N/A,FALSE,"KA Allg.Kosten (2)";#N/A,#N/A,FALSE,"KA All.Kosten"}</definedName>
    <definedName name="jghjg_2" localSheetId="0" hidden="1">{#N/A,#N/A,FALSE,"Produkte Erw.";#N/A,#N/A,FALSE,"Produkte Plan";#N/A,#N/A,FALSE,"Leistungen Erw.";#N/A,#N/A,FALSE,"Leistungen Plan";#N/A,#N/A,FALSE,"KA Allg.Kosten (2)";#N/A,#N/A,FALSE,"KA All.Kosten"}</definedName>
    <definedName name="jghjg_2" localSheetId="6" hidden="1">{#N/A,#N/A,FALSE,"Produkte Erw.";#N/A,#N/A,FALSE,"Produkte Plan";#N/A,#N/A,FALSE,"Leistungen Erw.";#N/A,#N/A,FALSE,"Leistungen Plan";#N/A,#N/A,FALSE,"KA Allg.Kosten (2)";#N/A,#N/A,FALSE,"KA All.Kosten"}</definedName>
    <definedName name="jghjg_2" hidden="1">{#N/A,#N/A,FALSE,"Produkte Erw.";#N/A,#N/A,FALSE,"Produkte Plan";#N/A,#N/A,FALSE,"Leistungen Erw.";#N/A,#N/A,FALSE,"Leistungen Plan";#N/A,#N/A,FALSE,"KA Allg.Kosten (2)";#N/A,#N/A,FALSE,"KA All.Kosten"}</definedName>
    <definedName name="jghjg_3" localSheetId="0" hidden="1">{#N/A,#N/A,FALSE,"Produkte Erw.";#N/A,#N/A,FALSE,"Produkte Plan";#N/A,#N/A,FALSE,"Leistungen Erw.";#N/A,#N/A,FALSE,"Leistungen Plan";#N/A,#N/A,FALSE,"KA Allg.Kosten (2)";#N/A,#N/A,FALSE,"KA All.Kosten"}</definedName>
    <definedName name="jghjg_3" localSheetId="6" hidden="1">{#N/A,#N/A,FALSE,"Produkte Erw.";#N/A,#N/A,FALSE,"Produkte Plan";#N/A,#N/A,FALSE,"Leistungen Erw.";#N/A,#N/A,FALSE,"Leistungen Plan";#N/A,#N/A,FALSE,"KA Allg.Kosten (2)";#N/A,#N/A,FALSE,"KA All.Kosten"}</definedName>
    <definedName name="jghjg_3" hidden="1">{#N/A,#N/A,FALSE,"Produkte Erw.";#N/A,#N/A,FALSE,"Produkte Plan";#N/A,#N/A,FALSE,"Leistungen Erw.";#N/A,#N/A,FALSE,"Leistungen Plan";#N/A,#N/A,FALSE,"KA Allg.Kosten (2)";#N/A,#N/A,FALSE,"KA All.Kosten"}</definedName>
    <definedName name="jghjg_4" localSheetId="0" hidden="1">{#N/A,#N/A,FALSE,"Produkte Erw.";#N/A,#N/A,FALSE,"Produkte Plan";#N/A,#N/A,FALSE,"Leistungen Erw.";#N/A,#N/A,FALSE,"Leistungen Plan";#N/A,#N/A,FALSE,"KA Allg.Kosten (2)";#N/A,#N/A,FALSE,"KA All.Kosten"}</definedName>
    <definedName name="jghjg_4" localSheetId="6" hidden="1">{#N/A,#N/A,FALSE,"Produkte Erw.";#N/A,#N/A,FALSE,"Produkte Plan";#N/A,#N/A,FALSE,"Leistungen Erw.";#N/A,#N/A,FALSE,"Leistungen Plan";#N/A,#N/A,FALSE,"KA Allg.Kosten (2)";#N/A,#N/A,FALSE,"KA All.Kosten"}</definedName>
    <definedName name="jghjg_4" hidden="1">{#N/A,#N/A,FALSE,"Produkte Erw.";#N/A,#N/A,FALSE,"Produkte Plan";#N/A,#N/A,FALSE,"Leistungen Erw.";#N/A,#N/A,FALSE,"Leistungen Plan";#N/A,#N/A,FALSE,"KA Allg.Kosten (2)";#N/A,#N/A,FALSE,"KA All.Kosten"}</definedName>
    <definedName name="jghjg_5" localSheetId="0" hidden="1">{#N/A,#N/A,FALSE,"Produkte Erw.";#N/A,#N/A,FALSE,"Produkte Plan";#N/A,#N/A,FALSE,"Leistungen Erw.";#N/A,#N/A,FALSE,"Leistungen Plan";#N/A,#N/A,FALSE,"KA Allg.Kosten (2)";#N/A,#N/A,FALSE,"KA All.Kosten"}</definedName>
    <definedName name="jghjg_5" localSheetId="6" hidden="1">{#N/A,#N/A,FALSE,"Produkte Erw.";#N/A,#N/A,FALSE,"Produkte Plan";#N/A,#N/A,FALSE,"Leistungen Erw.";#N/A,#N/A,FALSE,"Leistungen Plan";#N/A,#N/A,FALSE,"KA Allg.Kosten (2)";#N/A,#N/A,FALSE,"KA All.Kosten"}</definedName>
    <definedName name="jghjg_5" hidden="1">{#N/A,#N/A,FALSE,"Produkte Erw.";#N/A,#N/A,FALSE,"Produkte Plan";#N/A,#N/A,FALSE,"Leistungen Erw.";#N/A,#N/A,FALSE,"Leistungen Plan";#N/A,#N/A,FALSE,"KA Allg.Kosten (2)";#N/A,#N/A,FALSE,"KA All.Kosten"}</definedName>
    <definedName name="jghjhlldc" localSheetId="0" hidden="1">{#N/A,#N/A,FALSE,"Umsatz CH";#N/A,#N/A,FALSE,"ER CH";#N/A,#N/A,FALSE,"EA CH (2) ";#N/A,#N/A,FALSE,"EA CH";#N/A,#N/A,FALSE,"EA CH (3) ";#N/A,#N/A,FALSE,"EA CH (4)";#N/A,#N/A,FALSE,"KA CH";#N/A,#N/A,FALSE,"KA CH  (2)";#N/A,#N/A,FALSE,"KA CH  (3)";#N/A,#N/A,FALSE,"KA CH (4)"}</definedName>
    <definedName name="jghjhlldc" localSheetId="6" hidden="1">{#N/A,#N/A,FALSE,"Umsatz CH";#N/A,#N/A,FALSE,"ER CH";#N/A,#N/A,FALSE,"EA CH (2) ";#N/A,#N/A,FALSE,"EA CH";#N/A,#N/A,FALSE,"EA CH (3) ";#N/A,#N/A,FALSE,"EA CH (4)";#N/A,#N/A,FALSE,"KA CH";#N/A,#N/A,FALSE,"KA CH  (2)";#N/A,#N/A,FALSE,"KA CH  (3)";#N/A,#N/A,FALSE,"KA CH (4)"}</definedName>
    <definedName name="jghjhlldc" hidden="1">{#N/A,#N/A,FALSE,"Umsatz CH";#N/A,#N/A,FALSE,"ER CH";#N/A,#N/A,FALSE,"EA CH (2) ";#N/A,#N/A,FALSE,"EA CH";#N/A,#N/A,FALSE,"EA CH (3) ";#N/A,#N/A,FALSE,"EA CH (4)";#N/A,#N/A,FALSE,"KA CH";#N/A,#N/A,FALSE,"KA CH  (2)";#N/A,#N/A,FALSE,"KA CH  (3)";#N/A,#N/A,FALSE,"KA CH (4)"}</definedName>
    <definedName name="jghjhlldc_1" localSheetId="0" hidden="1">{#N/A,#N/A,FALSE,"Umsatz CH";#N/A,#N/A,FALSE,"ER CH";#N/A,#N/A,FALSE,"EA CH (2) ";#N/A,#N/A,FALSE,"EA CH";#N/A,#N/A,FALSE,"EA CH (3) ";#N/A,#N/A,FALSE,"EA CH (4)";#N/A,#N/A,FALSE,"KA CH";#N/A,#N/A,FALSE,"KA CH  (2)";#N/A,#N/A,FALSE,"KA CH  (3)";#N/A,#N/A,FALSE,"KA CH (4)"}</definedName>
    <definedName name="jghjhlldc_1" localSheetId="6" hidden="1">{#N/A,#N/A,FALSE,"Umsatz CH";#N/A,#N/A,FALSE,"ER CH";#N/A,#N/A,FALSE,"EA CH (2) ";#N/A,#N/A,FALSE,"EA CH";#N/A,#N/A,FALSE,"EA CH (3) ";#N/A,#N/A,FALSE,"EA CH (4)";#N/A,#N/A,FALSE,"KA CH";#N/A,#N/A,FALSE,"KA CH  (2)";#N/A,#N/A,FALSE,"KA CH  (3)";#N/A,#N/A,FALSE,"KA CH (4)"}</definedName>
    <definedName name="jghjhlldc_1" hidden="1">{#N/A,#N/A,FALSE,"Umsatz CH";#N/A,#N/A,FALSE,"ER CH";#N/A,#N/A,FALSE,"EA CH (2) ";#N/A,#N/A,FALSE,"EA CH";#N/A,#N/A,FALSE,"EA CH (3) ";#N/A,#N/A,FALSE,"EA CH (4)";#N/A,#N/A,FALSE,"KA CH";#N/A,#N/A,FALSE,"KA CH  (2)";#N/A,#N/A,FALSE,"KA CH  (3)";#N/A,#N/A,FALSE,"KA CH (4)"}</definedName>
    <definedName name="jghjhlldc_1_1" localSheetId="0" hidden="1">{#N/A,#N/A,FALSE,"Umsatz CH";#N/A,#N/A,FALSE,"ER CH";#N/A,#N/A,FALSE,"EA CH (2) ";#N/A,#N/A,FALSE,"EA CH";#N/A,#N/A,FALSE,"EA CH (3) ";#N/A,#N/A,FALSE,"EA CH (4)";#N/A,#N/A,FALSE,"KA CH";#N/A,#N/A,FALSE,"KA CH  (2)";#N/A,#N/A,FALSE,"KA CH  (3)";#N/A,#N/A,FALSE,"KA CH (4)"}</definedName>
    <definedName name="jghjhlldc_1_1" localSheetId="6" hidden="1">{#N/A,#N/A,FALSE,"Umsatz CH";#N/A,#N/A,FALSE,"ER CH";#N/A,#N/A,FALSE,"EA CH (2) ";#N/A,#N/A,FALSE,"EA CH";#N/A,#N/A,FALSE,"EA CH (3) ";#N/A,#N/A,FALSE,"EA CH (4)";#N/A,#N/A,FALSE,"KA CH";#N/A,#N/A,FALSE,"KA CH  (2)";#N/A,#N/A,FALSE,"KA CH  (3)";#N/A,#N/A,FALSE,"KA CH (4)"}</definedName>
    <definedName name="jghjhlldc_1_1" hidden="1">{#N/A,#N/A,FALSE,"Umsatz CH";#N/A,#N/A,FALSE,"ER CH";#N/A,#N/A,FALSE,"EA CH (2) ";#N/A,#N/A,FALSE,"EA CH";#N/A,#N/A,FALSE,"EA CH (3) ";#N/A,#N/A,FALSE,"EA CH (4)";#N/A,#N/A,FALSE,"KA CH";#N/A,#N/A,FALSE,"KA CH  (2)";#N/A,#N/A,FALSE,"KA CH  (3)";#N/A,#N/A,FALSE,"KA CH (4)"}</definedName>
    <definedName name="jghjhlldc_2" localSheetId="0" hidden="1">{#N/A,#N/A,FALSE,"Umsatz CH";#N/A,#N/A,FALSE,"ER CH";#N/A,#N/A,FALSE,"EA CH (2) ";#N/A,#N/A,FALSE,"EA CH";#N/A,#N/A,FALSE,"EA CH (3) ";#N/A,#N/A,FALSE,"EA CH (4)";#N/A,#N/A,FALSE,"KA CH";#N/A,#N/A,FALSE,"KA CH  (2)";#N/A,#N/A,FALSE,"KA CH  (3)";#N/A,#N/A,FALSE,"KA CH (4)"}</definedName>
    <definedName name="jghjhlldc_2" localSheetId="6" hidden="1">{#N/A,#N/A,FALSE,"Umsatz CH";#N/A,#N/A,FALSE,"ER CH";#N/A,#N/A,FALSE,"EA CH (2) ";#N/A,#N/A,FALSE,"EA CH";#N/A,#N/A,FALSE,"EA CH (3) ";#N/A,#N/A,FALSE,"EA CH (4)";#N/A,#N/A,FALSE,"KA CH";#N/A,#N/A,FALSE,"KA CH  (2)";#N/A,#N/A,FALSE,"KA CH  (3)";#N/A,#N/A,FALSE,"KA CH (4)"}</definedName>
    <definedName name="jghjhlldc_2" hidden="1">{#N/A,#N/A,FALSE,"Umsatz CH";#N/A,#N/A,FALSE,"ER CH";#N/A,#N/A,FALSE,"EA CH (2) ";#N/A,#N/A,FALSE,"EA CH";#N/A,#N/A,FALSE,"EA CH (3) ";#N/A,#N/A,FALSE,"EA CH (4)";#N/A,#N/A,FALSE,"KA CH";#N/A,#N/A,FALSE,"KA CH  (2)";#N/A,#N/A,FALSE,"KA CH  (3)";#N/A,#N/A,FALSE,"KA CH (4)"}</definedName>
    <definedName name="jghjhlldc_3" localSheetId="0" hidden="1">{#N/A,#N/A,FALSE,"Umsatz CH";#N/A,#N/A,FALSE,"ER CH";#N/A,#N/A,FALSE,"EA CH (2) ";#N/A,#N/A,FALSE,"EA CH";#N/A,#N/A,FALSE,"EA CH (3) ";#N/A,#N/A,FALSE,"EA CH (4)";#N/A,#N/A,FALSE,"KA CH";#N/A,#N/A,FALSE,"KA CH  (2)";#N/A,#N/A,FALSE,"KA CH  (3)";#N/A,#N/A,FALSE,"KA CH (4)"}</definedName>
    <definedName name="jghjhlldc_3" localSheetId="6" hidden="1">{#N/A,#N/A,FALSE,"Umsatz CH";#N/A,#N/A,FALSE,"ER CH";#N/A,#N/A,FALSE,"EA CH (2) ";#N/A,#N/A,FALSE,"EA CH";#N/A,#N/A,FALSE,"EA CH (3) ";#N/A,#N/A,FALSE,"EA CH (4)";#N/A,#N/A,FALSE,"KA CH";#N/A,#N/A,FALSE,"KA CH  (2)";#N/A,#N/A,FALSE,"KA CH  (3)";#N/A,#N/A,FALSE,"KA CH (4)"}</definedName>
    <definedName name="jghjhlldc_3" hidden="1">{#N/A,#N/A,FALSE,"Umsatz CH";#N/A,#N/A,FALSE,"ER CH";#N/A,#N/A,FALSE,"EA CH (2) ";#N/A,#N/A,FALSE,"EA CH";#N/A,#N/A,FALSE,"EA CH (3) ";#N/A,#N/A,FALSE,"EA CH (4)";#N/A,#N/A,FALSE,"KA CH";#N/A,#N/A,FALSE,"KA CH  (2)";#N/A,#N/A,FALSE,"KA CH  (3)";#N/A,#N/A,FALSE,"KA CH (4)"}</definedName>
    <definedName name="jghjhlldc_4" localSheetId="0" hidden="1">{#N/A,#N/A,FALSE,"Umsatz CH";#N/A,#N/A,FALSE,"ER CH";#N/A,#N/A,FALSE,"EA CH (2) ";#N/A,#N/A,FALSE,"EA CH";#N/A,#N/A,FALSE,"EA CH (3) ";#N/A,#N/A,FALSE,"EA CH (4)";#N/A,#N/A,FALSE,"KA CH";#N/A,#N/A,FALSE,"KA CH  (2)";#N/A,#N/A,FALSE,"KA CH  (3)";#N/A,#N/A,FALSE,"KA CH (4)"}</definedName>
    <definedName name="jghjhlldc_4" localSheetId="6" hidden="1">{#N/A,#N/A,FALSE,"Umsatz CH";#N/A,#N/A,FALSE,"ER CH";#N/A,#N/A,FALSE,"EA CH (2) ";#N/A,#N/A,FALSE,"EA CH";#N/A,#N/A,FALSE,"EA CH (3) ";#N/A,#N/A,FALSE,"EA CH (4)";#N/A,#N/A,FALSE,"KA CH";#N/A,#N/A,FALSE,"KA CH  (2)";#N/A,#N/A,FALSE,"KA CH  (3)";#N/A,#N/A,FALSE,"KA CH (4)"}</definedName>
    <definedName name="jghjhlldc_4" hidden="1">{#N/A,#N/A,FALSE,"Umsatz CH";#N/A,#N/A,FALSE,"ER CH";#N/A,#N/A,FALSE,"EA CH (2) ";#N/A,#N/A,FALSE,"EA CH";#N/A,#N/A,FALSE,"EA CH (3) ";#N/A,#N/A,FALSE,"EA CH (4)";#N/A,#N/A,FALSE,"KA CH";#N/A,#N/A,FALSE,"KA CH  (2)";#N/A,#N/A,FALSE,"KA CH  (3)";#N/A,#N/A,FALSE,"KA CH (4)"}</definedName>
    <definedName name="jghjhlldc_5" localSheetId="0" hidden="1">{#N/A,#N/A,FALSE,"Umsatz CH";#N/A,#N/A,FALSE,"ER CH";#N/A,#N/A,FALSE,"EA CH (2) ";#N/A,#N/A,FALSE,"EA CH";#N/A,#N/A,FALSE,"EA CH (3) ";#N/A,#N/A,FALSE,"EA CH (4)";#N/A,#N/A,FALSE,"KA CH";#N/A,#N/A,FALSE,"KA CH  (2)";#N/A,#N/A,FALSE,"KA CH  (3)";#N/A,#N/A,FALSE,"KA CH (4)"}</definedName>
    <definedName name="jghjhlldc_5" localSheetId="6" hidden="1">{#N/A,#N/A,FALSE,"Umsatz CH";#N/A,#N/A,FALSE,"ER CH";#N/A,#N/A,FALSE,"EA CH (2) ";#N/A,#N/A,FALSE,"EA CH";#N/A,#N/A,FALSE,"EA CH (3) ";#N/A,#N/A,FALSE,"EA CH (4)";#N/A,#N/A,FALSE,"KA CH";#N/A,#N/A,FALSE,"KA CH  (2)";#N/A,#N/A,FALSE,"KA CH  (3)";#N/A,#N/A,FALSE,"KA CH (4)"}</definedName>
    <definedName name="jghjhlldc_5" hidden="1">{#N/A,#N/A,FALSE,"Umsatz CH";#N/A,#N/A,FALSE,"ER CH";#N/A,#N/A,FALSE,"EA CH (2) ";#N/A,#N/A,FALSE,"EA CH";#N/A,#N/A,FALSE,"EA CH (3) ";#N/A,#N/A,FALSE,"EA CH (4)";#N/A,#N/A,FALSE,"KA CH";#N/A,#N/A,FALSE,"KA CH  (2)";#N/A,#N/A,FALSE,"KA CH  (3)";#N/A,#N/A,FALSE,"KA CH (4)"}</definedName>
    <definedName name="jh" localSheetId="6"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localSheetId="6" hidden="1">{#N/A,#N/A,FALSE,"SumG";#N/A,#N/A,FALSE,"ElecG";#N/A,#N/A,FALSE,"MechG";#N/A,#N/A,FALSE,"GeotG";#N/A,#N/A,FALSE,"PrcsG";#N/A,#N/A,FALSE,"TunnG";#N/A,#N/A,FALSE,"CivlG";#N/A,#N/A,FALSE,"NtwkG";#N/A,#N/A,FALSE,"EstgG";#N/A,#N/A,FALSE,"PEngG"}</definedName>
    <definedName name="jh_1" hidden="1">{#N/A,#N/A,FALSE,"SumG";#N/A,#N/A,FALSE,"ElecG";#N/A,#N/A,FALSE,"MechG";#N/A,#N/A,FALSE,"GeotG";#N/A,#N/A,FALSE,"PrcsG";#N/A,#N/A,FALSE,"TunnG";#N/A,#N/A,FALSE,"CivlG";#N/A,#N/A,FALSE,"NtwkG";#N/A,#N/A,FALSE,"EstgG";#N/A,#N/A,FALSE,"PEngG"}</definedName>
    <definedName name="jhagd"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jhagd"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jhagd"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JHDSJ"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JHDSJ"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jhg" localSheetId="0" hidden="1">{"'INDICE'!$A$1:$K$13","'1'!$A$1:$CC$78","'2'!$A$1:$P$78","'3'!$A$1:$CI$78","'4'!$A$1:$Q$78"}</definedName>
    <definedName name="jhg" localSheetId="6" hidden="1">{"'INDICE'!$A$1:$K$13","'1'!$A$1:$CC$78","'2'!$A$1:$P$78","'3'!$A$1:$CI$78","'4'!$A$1:$Q$78"}</definedName>
    <definedName name="jhg" hidden="1">{"'INDICE'!$A$1:$K$13","'1'!$A$1:$CC$78","'2'!$A$1:$P$78","'3'!$A$1:$CI$78","'4'!$A$1:$Q$78"}</definedName>
    <definedName name="jhg_1" localSheetId="0" hidden="1">{"'INDICE'!$A$1:$K$13","'1'!$A$1:$CC$78","'2'!$A$1:$P$78","'3'!$A$1:$CI$78","'4'!$A$1:$Q$78"}</definedName>
    <definedName name="jhg_1" localSheetId="6" hidden="1">{"'INDICE'!$A$1:$K$13","'1'!$A$1:$CC$78","'2'!$A$1:$P$78","'3'!$A$1:$CI$78","'4'!$A$1:$Q$78"}</definedName>
    <definedName name="jhg_1" hidden="1">{"'INDICE'!$A$1:$K$13","'1'!$A$1:$CC$78","'2'!$A$1:$P$78","'3'!$A$1:$CI$78","'4'!$A$1:$Q$78"}</definedName>
    <definedName name="JHGF" localSheetId="0" hidden="1">{#N/A,#N/A,FALSE,"Tabl. A1";#N/A,#N/A,FALSE,"Tabl. A1 b";#N/A,#N/A,FALSE,"Tabl. A2";#N/A,#N/A,FALSE,"Tabl. A2-1";#N/A,#N/A,FALSE,"Tabl. A2-2"}</definedName>
    <definedName name="JHGF" localSheetId="6" hidden="1">{#N/A,#N/A,FALSE,"Tabl. A1";#N/A,#N/A,FALSE,"Tabl. A1 b";#N/A,#N/A,FALSE,"Tabl. A2";#N/A,#N/A,FALSE,"Tabl. A2-1";#N/A,#N/A,FALSE,"Tabl. A2-2"}</definedName>
    <definedName name="JHGF" hidden="1">{#N/A,#N/A,FALSE,"Tabl. A1";#N/A,#N/A,FALSE,"Tabl. A1 b";#N/A,#N/A,FALSE,"Tabl. A2";#N/A,#N/A,FALSE,"Tabl. A2-1";#N/A,#N/A,FALSE,"Tabl. A2-2"}</definedName>
    <definedName name="JHGFDS" localSheetId="0" hidden="1">{#N/A,#N/A,FALSE,"Tabl. G1";#N/A,#N/A,FALSE,"Tabl. G2"}</definedName>
    <definedName name="JHGFDS" localSheetId="6" hidden="1">{#N/A,#N/A,FALSE,"Tabl. G1";#N/A,#N/A,FALSE,"Tabl. G2"}</definedName>
    <definedName name="JHGFDS" hidden="1">{#N/A,#N/A,FALSE,"Tabl. G1";#N/A,#N/A,FALSE,"Tabl. G2"}</definedName>
    <definedName name="jhgjhgjghj" localSheetId="0" hidden="1">{"mgmt forecast",#N/A,FALSE,"Mgmt Forecast";"dcf table",#N/A,FALSE,"Mgmt Forecast";"sensitivity",#N/A,FALSE,"Mgmt Forecast";"table inputs",#N/A,FALSE,"Mgmt Forecast";"calculations",#N/A,FALSE,"Mgmt Forecast"}</definedName>
    <definedName name="jhgjhgjghj" localSheetId="6" hidden="1">{"mgmt forecast",#N/A,FALSE,"Mgmt Forecast";"dcf table",#N/A,FALSE,"Mgmt Forecast";"sensitivity",#N/A,FALSE,"Mgmt Forecast";"table inputs",#N/A,FALSE,"Mgmt Forecast";"calculations",#N/A,FALSE,"Mgmt Forecast"}</definedName>
    <definedName name="jhgjhgjghj" hidden="1">{"mgmt forecast",#N/A,FALSE,"Mgmt Forecast";"dcf table",#N/A,FALSE,"Mgmt Forecast";"sensitivity",#N/A,FALSE,"Mgmt Forecast";"table inputs",#N/A,FALSE,"Mgmt Forecast";"calculations",#N/A,FALSE,"Mgmt Forecast"}</definedName>
    <definedName name="jhHC" localSheetId="6" hidden="1">{#N/A,#N/A,FALSE,"Other OT Diffs ";#N/A,#N/A,FALSE,"AMP OT DIFFS";#N/A,#N/A,FALSE,"Spend Diffs"}</definedName>
    <definedName name="jhHC" hidden="1">{#N/A,#N/A,FALSE,"Other OT Diffs ";#N/A,#N/A,FALSE,"AMP OT DIFFS";#N/A,#N/A,FALSE,"Spend Diffs"}</definedName>
    <definedName name="jhhgjh" localSheetId="0" hidden="1">{#N/A,#N/A,FALSE,"KA CH  (2)"}</definedName>
    <definedName name="jhhgjh" localSheetId="6" hidden="1">{#N/A,#N/A,FALSE,"KA CH  (2)"}</definedName>
    <definedName name="jhhgjh" hidden="1">{#N/A,#N/A,FALSE,"KA CH  (2)"}</definedName>
    <definedName name="jhhgjh_1" localSheetId="0" hidden="1">{#N/A,#N/A,FALSE,"KA CH  (2)"}</definedName>
    <definedName name="jhhgjh_1" localSheetId="6" hidden="1">{#N/A,#N/A,FALSE,"KA CH  (2)"}</definedName>
    <definedName name="jhhgjh_1" hidden="1">{#N/A,#N/A,FALSE,"KA CH  (2)"}</definedName>
    <definedName name="jhhgjh_1_1" localSheetId="0" hidden="1">{#N/A,#N/A,FALSE,"KA CH  (2)"}</definedName>
    <definedName name="jhhgjh_1_1" localSheetId="6" hidden="1">{#N/A,#N/A,FALSE,"KA CH  (2)"}</definedName>
    <definedName name="jhhgjh_1_1" hidden="1">{#N/A,#N/A,FALSE,"KA CH  (2)"}</definedName>
    <definedName name="jhhgjh_2" localSheetId="0" hidden="1">{#N/A,#N/A,FALSE,"KA CH  (2)"}</definedName>
    <definedName name="jhhgjh_2" localSheetId="6" hidden="1">{#N/A,#N/A,FALSE,"KA CH  (2)"}</definedName>
    <definedName name="jhhgjh_2" hidden="1">{#N/A,#N/A,FALSE,"KA CH  (2)"}</definedName>
    <definedName name="jhhgjh_3" localSheetId="0" hidden="1">{#N/A,#N/A,FALSE,"KA CH  (2)"}</definedName>
    <definedName name="jhhgjh_3" localSheetId="6" hidden="1">{#N/A,#N/A,FALSE,"KA CH  (2)"}</definedName>
    <definedName name="jhhgjh_3" hidden="1">{#N/A,#N/A,FALSE,"KA CH  (2)"}</definedName>
    <definedName name="jhhgjh_4" localSheetId="0" hidden="1">{#N/A,#N/A,FALSE,"KA CH  (2)"}</definedName>
    <definedName name="jhhgjh_4" localSheetId="6" hidden="1">{#N/A,#N/A,FALSE,"KA CH  (2)"}</definedName>
    <definedName name="jhhgjh_4" hidden="1">{#N/A,#N/A,FALSE,"KA CH  (2)"}</definedName>
    <definedName name="jhhgjh_5" localSheetId="0" hidden="1">{#N/A,#N/A,FALSE,"KA CH  (2)"}</definedName>
    <definedName name="jhhgjh_5" localSheetId="6" hidden="1">{#N/A,#N/A,FALSE,"KA CH  (2)"}</definedName>
    <definedName name="jhhgjh_5" hidden="1">{#N/A,#N/A,FALSE,"KA CH  (2)"}</definedName>
    <definedName name="jhj"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jhgj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hkjh" localSheetId="4" hidden="1">OFFSET([0]!Data.Top.Left,1,0)</definedName>
    <definedName name="jhkjh" localSheetId="0" hidden="1">OFFSET(#REF!,1,0)</definedName>
    <definedName name="jhkjh" localSheetId="2" hidden="1">OFFSET([0]!Data.Top.Left,1,0)</definedName>
    <definedName name="jhkjh" localSheetId="6" hidden="1">OFFSET([0]!Data.Top.Left,1,0)</definedName>
    <definedName name="jhkjh" hidden="1">OFFSET([0]!Data.Top.Left,1,0)</definedName>
    <definedName name="jhkkjk" localSheetId="0" hidden="1">{"mgmt forecast",#N/A,FALSE,"Mgmt Forecast";"dcf table",#N/A,FALSE,"Mgmt Forecast";"sensitivity",#N/A,FALSE,"Mgmt Forecast";"table inputs",#N/A,FALSE,"Mgmt Forecast";"calculations",#N/A,FALSE,"Mgmt Forecast"}</definedName>
    <definedName name="jhkkjk" localSheetId="6" hidden="1">{"mgmt forecast",#N/A,FALSE,"Mgmt Forecast";"dcf table",#N/A,FALSE,"Mgmt Forecast";"sensitivity",#N/A,FALSE,"Mgmt Forecast";"table inputs",#N/A,FALSE,"Mgmt Forecast";"calculations",#N/A,FALSE,"Mgmt Forecast"}</definedName>
    <definedName name="jhkkjk" hidden="1">{"mgmt forecast",#N/A,FALSE,"Mgmt Forecast";"dcf table",#N/A,FALSE,"Mgmt Forecast";"sensitivity",#N/A,FALSE,"Mgmt Forecast";"table inputs",#N/A,FALSE,"Mgmt Forecast";"calculations",#N/A,FALSE,"Mgmt Forecast"}</definedName>
    <definedName name="jhl" localSheetId="0" hidden="1">{#N/A,#N/A,FALSE,"Sheet1"}</definedName>
    <definedName name="jhl" localSheetId="6" hidden="1">{#N/A,#N/A,FALSE,"Sheet1"}</definedName>
    <definedName name="jhl" hidden="1">{#N/A,#N/A,FALSE,"Sheet1"}</definedName>
    <definedName name="jhll" localSheetId="0" hidden="1">{#N/A,#N/A,FALSE,"PMW Gruppe 99_98";#N/A,#N/A,FALSE,"PMW KG 98_99";#N/A,#N/A,FALSE,"PMW Inc. 99_98";#N/A,#N/A,FALSE,"PMW VTECH 99_98";#N/A,#N/A,FALSE,"PMW Thail. 99_98";#N/A,#N/A,FALSE,"PMW Canada 99_98";#N/A,#N/A,FALSE,"Währungsabw. 99_98"}</definedName>
    <definedName name="jhll" localSheetId="6" hidden="1">{#N/A,#N/A,FALSE,"PMW Gruppe 99_98";#N/A,#N/A,FALSE,"PMW KG 98_99";#N/A,#N/A,FALSE,"PMW Inc. 99_98";#N/A,#N/A,FALSE,"PMW VTECH 99_98";#N/A,#N/A,FALSE,"PMW Thail. 99_98";#N/A,#N/A,FALSE,"PMW Canada 99_98";#N/A,#N/A,FALSE,"Währungsabw. 99_98"}</definedName>
    <definedName name="jhll" hidden="1">{#N/A,#N/A,FALSE,"PMW Gruppe 99_98";#N/A,#N/A,FALSE,"PMW KG 98_99";#N/A,#N/A,FALSE,"PMW Inc. 99_98";#N/A,#N/A,FALSE,"PMW VTECH 99_98";#N/A,#N/A,FALSE,"PMW Thail. 99_98";#N/A,#N/A,FALSE,"PMW Canada 99_98";#N/A,#N/A,FALSE,"Währungsabw. 99_98"}</definedName>
    <definedName name="jhll_1" localSheetId="0" hidden="1">{#N/A,#N/A,FALSE,"PMW Gruppe 99_98";#N/A,#N/A,FALSE,"PMW KG 98_99";#N/A,#N/A,FALSE,"PMW Inc. 99_98";#N/A,#N/A,FALSE,"PMW VTECH 99_98";#N/A,#N/A,FALSE,"PMW Thail. 99_98";#N/A,#N/A,FALSE,"PMW Canada 99_98";#N/A,#N/A,FALSE,"Währungsabw. 99_98"}</definedName>
    <definedName name="jhll_1" localSheetId="6" hidden="1">{#N/A,#N/A,FALSE,"PMW Gruppe 99_98";#N/A,#N/A,FALSE,"PMW KG 98_99";#N/A,#N/A,FALSE,"PMW Inc. 99_98";#N/A,#N/A,FALSE,"PMW VTECH 99_98";#N/A,#N/A,FALSE,"PMW Thail. 99_98";#N/A,#N/A,FALSE,"PMW Canada 99_98";#N/A,#N/A,FALSE,"Währungsabw. 99_98"}</definedName>
    <definedName name="jhll_1" hidden="1">{#N/A,#N/A,FALSE,"PMW Gruppe 99_98";#N/A,#N/A,FALSE,"PMW KG 98_99";#N/A,#N/A,FALSE,"PMW Inc. 99_98";#N/A,#N/A,FALSE,"PMW VTECH 99_98";#N/A,#N/A,FALSE,"PMW Thail. 99_98";#N/A,#N/A,FALSE,"PMW Canada 99_98";#N/A,#N/A,FALSE,"Währungsabw. 99_98"}</definedName>
    <definedName name="jhll_1_1" localSheetId="0" hidden="1">{#N/A,#N/A,FALSE,"PMW Gruppe 99_98";#N/A,#N/A,FALSE,"PMW KG 98_99";#N/A,#N/A,FALSE,"PMW Inc. 99_98";#N/A,#N/A,FALSE,"PMW VTECH 99_98";#N/A,#N/A,FALSE,"PMW Thail. 99_98";#N/A,#N/A,FALSE,"PMW Canada 99_98";#N/A,#N/A,FALSE,"Währungsabw. 99_98"}</definedName>
    <definedName name="jhll_1_1" localSheetId="6" hidden="1">{#N/A,#N/A,FALSE,"PMW Gruppe 99_98";#N/A,#N/A,FALSE,"PMW KG 98_99";#N/A,#N/A,FALSE,"PMW Inc. 99_98";#N/A,#N/A,FALSE,"PMW VTECH 99_98";#N/A,#N/A,FALSE,"PMW Thail. 99_98";#N/A,#N/A,FALSE,"PMW Canada 99_98";#N/A,#N/A,FALSE,"Währungsabw. 99_98"}</definedName>
    <definedName name="jhll_1_1" hidden="1">{#N/A,#N/A,FALSE,"PMW Gruppe 99_98";#N/A,#N/A,FALSE,"PMW KG 98_99";#N/A,#N/A,FALSE,"PMW Inc. 99_98";#N/A,#N/A,FALSE,"PMW VTECH 99_98";#N/A,#N/A,FALSE,"PMW Thail. 99_98";#N/A,#N/A,FALSE,"PMW Canada 99_98";#N/A,#N/A,FALSE,"Währungsabw. 99_98"}</definedName>
    <definedName name="jhll_2" localSheetId="0" hidden="1">{#N/A,#N/A,FALSE,"PMW Gruppe 99_98";#N/A,#N/A,FALSE,"PMW KG 98_99";#N/A,#N/A,FALSE,"PMW Inc. 99_98";#N/A,#N/A,FALSE,"PMW VTECH 99_98";#N/A,#N/A,FALSE,"PMW Thail. 99_98";#N/A,#N/A,FALSE,"PMW Canada 99_98";#N/A,#N/A,FALSE,"Währungsabw. 99_98"}</definedName>
    <definedName name="jhll_2" localSheetId="6" hidden="1">{#N/A,#N/A,FALSE,"PMW Gruppe 99_98";#N/A,#N/A,FALSE,"PMW KG 98_99";#N/A,#N/A,FALSE,"PMW Inc. 99_98";#N/A,#N/A,FALSE,"PMW VTECH 99_98";#N/A,#N/A,FALSE,"PMW Thail. 99_98";#N/A,#N/A,FALSE,"PMW Canada 99_98";#N/A,#N/A,FALSE,"Währungsabw. 99_98"}</definedName>
    <definedName name="jhll_2" hidden="1">{#N/A,#N/A,FALSE,"PMW Gruppe 99_98";#N/A,#N/A,FALSE,"PMW KG 98_99";#N/A,#N/A,FALSE,"PMW Inc. 99_98";#N/A,#N/A,FALSE,"PMW VTECH 99_98";#N/A,#N/A,FALSE,"PMW Thail. 99_98";#N/A,#N/A,FALSE,"PMW Canada 99_98";#N/A,#N/A,FALSE,"Währungsabw. 99_98"}</definedName>
    <definedName name="jhll_3" localSheetId="0" hidden="1">{#N/A,#N/A,FALSE,"PMW Gruppe 99_98";#N/A,#N/A,FALSE,"PMW KG 98_99";#N/A,#N/A,FALSE,"PMW Inc. 99_98";#N/A,#N/A,FALSE,"PMW VTECH 99_98";#N/A,#N/A,FALSE,"PMW Thail. 99_98";#N/A,#N/A,FALSE,"PMW Canada 99_98";#N/A,#N/A,FALSE,"Währungsabw. 99_98"}</definedName>
    <definedName name="jhll_3" localSheetId="6" hidden="1">{#N/A,#N/A,FALSE,"PMW Gruppe 99_98";#N/A,#N/A,FALSE,"PMW KG 98_99";#N/A,#N/A,FALSE,"PMW Inc. 99_98";#N/A,#N/A,FALSE,"PMW VTECH 99_98";#N/A,#N/A,FALSE,"PMW Thail. 99_98";#N/A,#N/A,FALSE,"PMW Canada 99_98";#N/A,#N/A,FALSE,"Währungsabw. 99_98"}</definedName>
    <definedName name="jhll_3" hidden="1">{#N/A,#N/A,FALSE,"PMW Gruppe 99_98";#N/A,#N/A,FALSE,"PMW KG 98_99";#N/A,#N/A,FALSE,"PMW Inc. 99_98";#N/A,#N/A,FALSE,"PMW VTECH 99_98";#N/A,#N/A,FALSE,"PMW Thail. 99_98";#N/A,#N/A,FALSE,"PMW Canada 99_98";#N/A,#N/A,FALSE,"Währungsabw. 99_98"}</definedName>
    <definedName name="jhll_4" localSheetId="0" hidden="1">{#N/A,#N/A,FALSE,"PMW Gruppe 99_98";#N/A,#N/A,FALSE,"PMW KG 98_99";#N/A,#N/A,FALSE,"PMW Inc. 99_98";#N/A,#N/A,FALSE,"PMW VTECH 99_98";#N/A,#N/A,FALSE,"PMW Thail. 99_98";#N/A,#N/A,FALSE,"PMW Canada 99_98";#N/A,#N/A,FALSE,"Währungsabw. 99_98"}</definedName>
    <definedName name="jhll_4" localSheetId="6" hidden="1">{#N/A,#N/A,FALSE,"PMW Gruppe 99_98";#N/A,#N/A,FALSE,"PMW KG 98_99";#N/A,#N/A,FALSE,"PMW Inc. 99_98";#N/A,#N/A,FALSE,"PMW VTECH 99_98";#N/A,#N/A,FALSE,"PMW Thail. 99_98";#N/A,#N/A,FALSE,"PMW Canada 99_98";#N/A,#N/A,FALSE,"Währungsabw. 99_98"}</definedName>
    <definedName name="jhll_4" hidden="1">{#N/A,#N/A,FALSE,"PMW Gruppe 99_98";#N/A,#N/A,FALSE,"PMW KG 98_99";#N/A,#N/A,FALSE,"PMW Inc. 99_98";#N/A,#N/A,FALSE,"PMW VTECH 99_98";#N/A,#N/A,FALSE,"PMW Thail. 99_98";#N/A,#N/A,FALSE,"PMW Canada 99_98";#N/A,#N/A,FALSE,"Währungsabw. 99_98"}</definedName>
    <definedName name="jhll_5" localSheetId="0" hidden="1">{#N/A,#N/A,FALSE,"PMW Gruppe 99_98";#N/A,#N/A,FALSE,"PMW KG 98_99";#N/A,#N/A,FALSE,"PMW Inc. 99_98";#N/A,#N/A,FALSE,"PMW VTECH 99_98";#N/A,#N/A,FALSE,"PMW Thail. 99_98";#N/A,#N/A,FALSE,"PMW Canada 99_98";#N/A,#N/A,FALSE,"Währungsabw. 99_98"}</definedName>
    <definedName name="jhll_5" localSheetId="6" hidden="1">{#N/A,#N/A,FALSE,"PMW Gruppe 99_98";#N/A,#N/A,FALSE,"PMW KG 98_99";#N/A,#N/A,FALSE,"PMW Inc. 99_98";#N/A,#N/A,FALSE,"PMW VTECH 99_98";#N/A,#N/A,FALSE,"PMW Thail. 99_98";#N/A,#N/A,FALSE,"PMW Canada 99_98";#N/A,#N/A,FALSE,"Währungsabw. 99_98"}</definedName>
    <definedName name="jhll_5" hidden="1">{#N/A,#N/A,FALSE,"PMW Gruppe 99_98";#N/A,#N/A,FALSE,"PMW KG 98_99";#N/A,#N/A,FALSE,"PMW Inc. 99_98";#N/A,#N/A,FALSE,"PMW VTECH 99_98";#N/A,#N/A,FALSE,"PMW Thail. 99_98";#N/A,#N/A,FALSE,"PMW Canada 99_98";#N/A,#N/A,FALSE,"Währungsabw. 99_98"}</definedName>
    <definedName name="ji" localSheetId="0" hidden="1">{#N/A,#N/A,FALSE,"Sheet1"}</definedName>
    <definedName name="ji" localSheetId="6" hidden="1">{#N/A,#N/A,FALSE,"Sheet1"}</definedName>
    <definedName name="ji" hidden="1">{#N/A,#N/A,FALSE,"Sheet1"}</definedName>
    <definedName name="jihn" localSheetId="6" hidden="1">{#N/A,#N/A,TRUE,"Contents";#N/A,#N/A,TRUE,"Subs";#N/A,#N/A,TRUE,"Usage";#N/A,#N/A,TRUE,"Tariffs";#N/A,#N/A,TRUE,"Interconnect";#N/A,#N/A,TRUE,"ARPUs";#N/A,#N/A,TRUE,"Rev summary";#N/A,#N/A,TRUE,"Opex";#N/A,#N/A,TRUE,"Capex";#N/A,#N/A,TRUE,"Full Financials";#N/A,#N/A,TRUE,"Valuation";#N/A,#N/A,TRUE,"Indicators"}</definedName>
    <definedName name="jihn" hidden="1">{#N/A,#N/A,TRUE,"Contents";#N/A,#N/A,TRUE,"Subs";#N/A,#N/A,TRUE,"Usage";#N/A,#N/A,TRUE,"Tariffs";#N/A,#N/A,TRUE,"Interconnect";#N/A,#N/A,TRUE,"ARPUs";#N/A,#N/A,TRUE,"Rev summary";#N/A,#N/A,TRUE,"Opex";#N/A,#N/A,TRUE,"Capex";#N/A,#N/A,TRUE,"Full Financials";#N/A,#N/A,TRUE,"Valuation";#N/A,#N/A,TRUE,"Indicators"}</definedName>
    <definedName name="jim" localSheetId="0" hidden="1">{#N/A,#N/A,FALSE,"ORFORM";#N/A,#N/A,FALSE,"MULTIPLE";#N/A,#N/A,FALSE,"RFFO Form";#N/A,#N/A,FALSE,"Estimate Sheet";#N/A,#N/A,FALSE,"MAC4843";#N/A,#N/A,FALSE,"M4843-2";#N/A,#N/A,FALSE,"M4843-2B";#N/A,#N/A,FALSE,"BCA "}</definedName>
    <definedName name="jim" localSheetId="6" hidden="1">{#N/A,#N/A,FALSE,"ORFORM";#N/A,#N/A,FALSE,"MULTIPLE";#N/A,#N/A,FALSE,"RFFO Form";#N/A,#N/A,FALSE,"Estimate Sheet";#N/A,#N/A,FALSE,"MAC4843";#N/A,#N/A,FALSE,"M4843-2";#N/A,#N/A,FALSE,"M4843-2B";#N/A,#N/A,FALSE,"BCA "}</definedName>
    <definedName name="jim" hidden="1">{#N/A,#N/A,FALSE,"ORFORM";#N/A,#N/A,FALSE,"MULTIPLE";#N/A,#N/A,FALSE,"RFFO Form";#N/A,#N/A,FALSE,"Estimate Sheet";#N/A,#N/A,FALSE,"MAC4843";#N/A,#N/A,FALSE,"M4843-2";#N/A,#N/A,FALSE,"M4843-2B";#N/A,#N/A,FALSE,"BCA "}</definedName>
    <definedName name="jj">#REF!</definedName>
    <definedName name="jj.l" localSheetId="0" hidden="1">{#N/A,#N/A,FALSE,"Umsatz EO BP";#N/A,#N/A,FALSE,"Umsatz EO OP";#N/A,#N/A,FALSE,"ER EO BP";#N/A,#N/A,FALSE,"ER EO OP";#N/A,#N/A,FALSE,"EA EO (2)";#N/A,#N/A,FALSE,"EA EO";#N/A,#N/A,FALSE,"EA EO (3)";#N/A,#N/A,FALSE,"EA EO (4)";#N/A,#N/A,FALSE,"KA EO  (2)";#N/A,#N/A,FALSE,"KA EO";#N/A,#N/A,FALSE,"KA EO  (3)";#N/A,#N/A,FALSE,"KA EO (4)"}</definedName>
    <definedName name="jj.l" localSheetId="6" hidden="1">{#N/A,#N/A,FALSE,"Umsatz EO BP";#N/A,#N/A,FALSE,"Umsatz EO OP";#N/A,#N/A,FALSE,"ER EO BP";#N/A,#N/A,FALSE,"ER EO OP";#N/A,#N/A,FALSE,"EA EO (2)";#N/A,#N/A,FALSE,"EA EO";#N/A,#N/A,FALSE,"EA EO (3)";#N/A,#N/A,FALSE,"EA EO (4)";#N/A,#N/A,FALSE,"KA EO  (2)";#N/A,#N/A,FALSE,"KA EO";#N/A,#N/A,FALSE,"KA EO  (3)";#N/A,#N/A,FALSE,"KA EO (4)"}</definedName>
    <definedName name="jj.l" hidden="1">{#N/A,#N/A,FALSE,"Umsatz EO BP";#N/A,#N/A,FALSE,"Umsatz EO OP";#N/A,#N/A,FALSE,"ER EO BP";#N/A,#N/A,FALSE,"ER EO OP";#N/A,#N/A,FALSE,"EA EO (2)";#N/A,#N/A,FALSE,"EA EO";#N/A,#N/A,FALSE,"EA EO (3)";#N/A,#N/A,FALSE,"EA EO (4)";#N/A,#N/A,FALSE,"KA EO  (2)";#N/A,#N/A,FALSE,"KA EO";#N/A,#N/A,FALSE,"KA EO  (3)";#N/A,#N/A,FALSE,"KA EO (4)"}</definedName>
    <definedName name="jj.l_1" localSheetId="0" hidden="1">{#N/A,#N/A,FALSE,"Umsatz EO BP";#N/A,#N/A,FALSE,"Umsatz EO OP";#N/A,#N/A,FALSE,"ER EO BP";#N/A,#N/A,FALSE,"ER EO OP";#N/A,#N/A,FALSE,"EA EO (2)";#N/A,#N/A,FALSE,"EA EO";#N/A,#N/A,FALSE,"EA EO (3)";#N/A,#N/A,FALSE,"EA EO (4)";#N/A,#N/A,FALSE,"KA EO  (2)";#N/A,#N/A,FALSE,"KA EO";#N/A,#N/A,FALSE,"KA EO  (3)";#N/A,#N/A,FALSE,"KA EO (4)"}</definedName>
    <definedName name="jj.l_1" localSheetId="6" hidden="1">{#N/A,#N/A,FALSE,"Umsatz EO BP";#N/A,#N/A,FALSE,"Umsatz EO OP";#N/A,#N/A,FALSE,"ER EO BP";#N/A,#N/A,FALSE,"ER EO OP";#N/A,#N/A,FALSE,"EA EO (2)";#N/A,#N/A,FALSE,"EA EO";#N/A,#N/A,FALSE,"EA EO (3)";#N/A,#N/A,FALSE,"EA EO (4)";#N/A,#N/A,FALSE,"KA EO  (2)";#N/A,#N/A,FALSE,"KA EO";#N/A,#N/A,FALSE,"KA EO  (3)";#N/A,#N/A,FALSE,"KA EO (4)"}</definedName>
    <definedName name="jj.l_1" hidden="1">{#N/A,#N/A,FALSE,"Umsatz EO BP";#N/A,#N/A,FALSE,"Umsatz EO OP";#N/A,#N/A,FALSE,"ER EO BP";#N/A,#N/A,FALSE,"ER EO OP";#N/A,#N/A,FALSE,"EA EO (2)";#N/A,#N/A,FALSE,"EA EO";#N/A,#N/A,FALSE,"EA EO (3)";#N/A,#N/A,FALSE,"EA EO (4)";#N/A,#N/A,FALSE,"KA EO  (2)";#N/A,#N/A,FALSE,"KA EO";#N/A,#N/A,FALSE,"KA EO  (3)";#N/A,#N/A,FALSE,"KA EO (4)"}</definedName>
    <definedName name="jj.l_1_1" localSheetId="0" hidden="1">{#N/A,#N/A,FALSE,"Umsatz EO BP";#N/A,#N/A,FALSE,"Umsatz EO OP";#N/A,#N/A,FALSE,"ER EO BP";#N/A,#N/A,FALSE,"ER EO OP";#N/A,#N/A,FALSE,"EA EO (2)";#N/A,#N/A,FALSE,"EA EO";#N/A,#N/A,FALSE,"EA EO (3)";#N/A,#N/A,FALSE,"EA EO (4)";#N/A,#N/A,FALSE,"KA EO  (2)";#N/A,#N/A,FALSE,"KA EO";#N/A,#N/A,FALSE,"KA EO  (3)";#N/A,#N/A,FALSE,"KA EO (4)"}</definedName>
    <definedName name="jj.l_1_1" localSheetId="6" hidden="1">{#N/A,#N/A,FALSE,"Umsatz EO BP";#N/A,#N/A,FALSE,"Umsatz EO OP";#N/A,#N/A,FALSE,"ER EO BP";#N/A,#N/A,FALSE,"ER EO OP";#N/A,#N/A,FALSE,"EA EO (2)";#N/A,#N/A,FALSE,"EA EO";#N/A,#N/A,FALSE,"EA EO (3)";#N/A,#N/A,FALSE,"EA EO (4)";#N/A,#N/A,FALSE,"KA EO  (2)";#N/A,#N/A,FALSE,"KA EO";#N/A,#N/A,FALSE,"KA EO  (3)";#N/A,#N/A,FALSE,"KA EO (4)"}</definedName>
    <definedName name="jj.l_1_1" hidden="1">{#N/A,#N/A,FALSE,"Umsatz EO BP";#N/A,#N/A,FALSE,"Umsatz EO OP";#N/A,#N/A,FALSE,"ER EO BP";#N/A,#N/A,FALSE,"ER EO OP";#N/A,#N/A,FALSE,"EA EO (2)";#N/A,#N/A,FALSE,"EA EO";#N/A,#N/A,FALSE,"EA EO (3)";#N/A,#N/A,FALSE,"EA EO (4)";#N/A,#N/A,FALSE,"KA EO  (2)";#N/A,#N/A,FALSE,"KA EO";#N/A,#N/A,FALSE,"KA EO  (3)";#N/A,#N/A,FALSE,"KA EO (4)"}</definedName>
    <definedName name="jj.l_2" localSheetId="0" hidden="1">{#N/A,#N/A,FALSE,"Umsatz EO BP";#N/A,#N/A,FALSE,"Umsatz EO OP";#N/A,#N/A,FALSE,"ER EO BP";#N/A,#N/A,FALSE,"ER EO OP";#N/A,#N/A,FALSE,"EA EO (2)";#N/A,#N/A,FALSE,"EA EO";#N/A,#N/A,FALSE,"EA EO (3)";#N/A,#N/A,FALSE,"EA EO (4)";#N/A,#N/A,FALSE,"KA EO  (2)";#N/A,#N/A,FALSE,"KA EO";#N/A,#N/A,FALSE,"KA EO  (3)";#N/A,#N/A,FALSE,"KA EO (4)"}</definedName>
    <definedName name="jj.l_2" localSheetId="6" hidden="1">{#N/A,#N/A,FALSE,"Umsatz EO BP";#N/A,#N/A,FALSE,"Umsatz EO OP";#N/A,#N/A,FALSE,"ER EO BP";#N/A,#N/A,FALSE,"ER EO OP";#N/A,#N/A,FALSE,"EA EO (2)";#N/A,#N/A,FALSE,"EA EO";#N/A,#N/A,FALSE,"EA EO (3)";#N/A,#N/A,FALSE,"EA EO (4)";#N/A,#N/A,FALSE,"KA EO  (2)";#N/A,#N/A,FALSE,"KA EO";#N/A,#N/A,FALSE,"KA EO  (3)";#N/A,#N/A,FALSE,"KA EO (4)"}</definedName>
    <definedName name="jj.l_2" hidden="1">{#N/A,#N/A,FALSE,"Umsatz EO BP";#N/A,#N/A,FALSE,"Umsatz EO OP";#N/A,#N/A,FALSE,"ER EO BP";#N/A,#N/A,FALSE,"ER EO OP";#N/A,#N/A,FALSE,"EA EO (2)";#N/A,#N/A,FALSE,"EA EO";#N/A,#N/A,FALSE,"EA EO (3)";#N/A,#N/A,FALSE,"EA EO (4)";#N/A,#N/A,FALSE,"KA EO  (2)";#N/A,#N/A,FALSE,"KA EO";#N/A,#N/A,FALSE,"KA EO  (3)";#N/A,#N/A,FALSE,"KA EO (4)"}</definedName>
    <definedName name="jj.l_3" localSheetId="0" hidden="1">{#N/A,#N/A,FALSE,"Umsatz EO BP";#N/A,#N/A,FALSE,"Umsatz EO OP";#N/A,#N/A,FALSE,"ER EO BP";#N/A,#N/A,FALSE,"ER EO OP";#N/A,#N/A,FALSE,"EA EO (2)";#N/A,#N/A,FALSE,"EA EO";#N/A,#N/A,FALSE,"EA EO (3)";#N/A,#N/A,FALSE,"EA EO (4)";#N/A,#N/A,FALSE,"KA EO  (2)";#N/A,#N/A,FALSE,"KA EO";#N/A,#N/A,FALSE,"KA EO  (3)";#N/A,#N/A,FALSE,"KA EO (4)"}</definedName>
    <definedName name="jj.l_3" localSheetId="6" hidden="1">{#N/A,#N/A,FALSE,"Umsatz EO BP";#N/A,#N/A,FALSE,"Umsatz EO OP";#N/A,#N/A,FALSE,"ER EO BP";#N/A,#N/A,FALSE,"ER EO OP";#N/A,#N/A,FALSE,"EA EO (2)";#N/A,#N/A,FALSE,"EA EO";#N/A,#N/A,FALSE,"EA EO (3)";#N/A,#N/A,FALSE,"EA EO (4)";#N/A,#N/A,FALSE,"KA EO  (2)";#N/A,#N/A,FALSE,"KA EO";#N/A,#N/A,FALSE,"KA EO  (3)";#N/A,#N/A,FALSE,"KA EO (4)"}</definedName>
    <definedName name="jj.l_3" hidden="1">{#N/A,#N/A,FALSE,"Umsatz EO BP";#N/A,#N/A,FALSE,"Umsatz EO OP";#N/A,#N/A,FALSE,"ER EO BP";#N/A,#N/A,FALSE,"ER EO OP";#N/A,#N/A,FALSE,"EA EO (2)";#N/A,#N/A,FALSE,"EA EO";#N/A,#N/A,FALSE,"EA EO (3)";#N/A,#N/A,FALSE,"EA EO (4)";#N/A,#N/A,FALSE,"KA EO  (2)";#N/A,#N/A,FALSE,"KA EO";#N/A,#N/A,FALSE,"KA EO  (3)";#N/A,#N/A,FALSE,"KA EO (4)"}</definedName>
    <definedName name="jj.l_4" localSheetId="0" hidden="1">{#N/A,#N/A,FALSE,"Umsatz EO BP";#N/A,#N/A,FALSE,"Umsatz EO OP";#N/A,#N/A,FALSE,"ER EO BP";#N/A,#N/A,FALSE,"ER EO OP";#N/A,#N/A,FALSE,"EA EO (2)";#N/A,#N/A,FALSE,"EA EO";#N/A,#N/A,FALSE,"EA EO (3)";#N/A,#N/A,FALSE,"EA EO (4)";#N/A,#N/A,FALSE,"KA EO  (2)";#N/A,#N/A,FALSE,"KA EO";#N/A,#N/A,FALSE,"KA EO  (3)";#N/A,#N/A,FALSE,"KA EO (4)"}</definedName>
    <definedName name="jj.l_4" localSheetId="6" hidden="1">{#N/A,#N/A,FALSE,"Umsatz EO BP";#N/A,#N/A,FALSE,"Umsatz EO OP";#N/A,#N/A,FALSE,"ER EO BP";#N/A,#N/A,FALSE,"ER EO OP";#N/A,#N/A,FALSE,"EA EO (2)";#N/A,#N/A,FALSE,"EA EO";#N/A,#N/A,FALSE,"EA EO (3)";#N/A,#N/A,FALSE,"EA EO (4)";#N/A,#N/A,FALSE,"KA EO  (2)";#N/A,#N/A,FALSE,"KA EO";#N/A,#N/A,FALSE,"KA EO  (3)";#N/A,#N/A,FALSE,"KA EO (4)"}</definedName>
    <definedName name="jj.l_4" hidden="1">{#N/A,#N/A,FALSE,"Umsatz EO BP";#N/A,#N/A,FALSE,"Umsatz EO OP";#N/A,#N/A,FALSE,"ER EO BP";#N/A,#N/A,FALSE,"ER EO OP";#N/A,#N/A,FALSE,"EA EO (2)";#N/A,#N/A,FALSE,"EA EO";#N/A,#N/A,FALSE,"EA EO (3)";#N/A,#N/A,FALSE,"EA EO (4)";#N/A,#N/A,FALSE,"KA EO  (2)";#N/A,#N/A,FALSE,"KA EO";#N/A,#N/A,FALSE,"KA EO  (3)";#N/A,#N/A,FALSE,"KA EO (4)"}</definedName>
    <definedName name="jj.l_5" localSheetId="0" hidden="1">{#N/A,#N/A,FALSE,"Umsatz EO BP";#N/A,#N/A,FALSE,"Umsatz EO OP";#N/A,#N/A,FALSE,"ER EO BP";#N/A,#N/A,FALSE,"ER EO OP";#N/A,#N/A,FALSE,"EA EO (2)";#N/A,#N/A,FALSE,"EA EO";#N/A,#N/A,FALSE,"EA EO (3)";#N/A,#N/A,FALSE,"EA EO (4)";#N/A,#N/A,FALSE,"KA EO  (2)";#N/A,#N/A,FALSE,"KA EO";#N/A,#N/A,FALSE,"KA EO  (3)";#N/A,#N/A,FALSE,"KA EO (4)"}</definedName>
    <definedName name="jj.l_5" localSheetId="6" hidden="1">{#N/A,#N/A,FALSE,"Umsatz EO BP";#N/A,#N/A,FALSE,"Umsatz EO OP";#N/A,#N/A,FALSE,"ER EO BP";#N/A,#N/A,FALSE,"ER EO OP";#N/A,#N/A,FALSE,"EA EO (2)";#N/A,#N/A,FALSE,"EA EO";#N/A,#N/A,FALSE,"EA EO (3)";#N/A,#N/A,FALSE,"EA EO (4)";#N/A,#N/A,FALSE,"KA EO  (2)";#N/A,#N/A,FALSE,"KA EO";#N/A,#N/A,FALSE,"KA EO  (3)";#N/A,#N/A,FALSE,"KA EO (4)"}</definedName>
    <definedName name="jj.l_5" hidden="1">{#N/A,#N/A,FALSE,"Umsatz EO BP";#N/A,#N/A,FALSE,"Umsatz EO OP";#N/A,#N/A,FALSE,"ER EO BP";#N/A,#N/A,FALSE,"ER EO OP";#N/A,#N/A,FALSE,"EA EO (2)";#N/A,#N/A,FALSE,"EA EO";#N/A,#N/A,FALSE,"EA EO (3)";#N/A,#N/A,FALSE,"EA EO (4)";#N/A,#N/A,FALSE,"KA EO  (2)";#N/A,#N/A,FALSE,"KA EO";#N/A,#N/A,FALSE,"KA EO  (3)";#N/A,#N/A,FALSE,"KA EO (4)"}</definedName>
    <definedName name="jj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jj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jj_1" hidden="1">{#N/A,#N/A,FALSE,"Rohstoffnotierungen";#N/A,#N/A,FALSE,"ER HCST Erw. 99";#N/A,#N/A,FALSE,"ER HCST Plan 00";#N/A,#N/A,FALSE,"Umsatz KG";#N/A,#N/A,FALSE,"ER HCST";#N/A,#N/A,FALSE,"EA ST (2)";#N/A,#N/A,FALSE,"EA ST";#N/A,#N/A,FALSE,"EA ST (3)";#N/A,#N/A,FALSE,"EA ST (4)";#N/A,#N/A,FALSE,"KA ST  (2)";#N/A,#N/A,FALSE,"KA ST";#N/A,#N/A,FALSE,"KA ST  (3)";#N/A,#N/A,FALSE,"KA ST (4)"}</definedName>
    <definedName name="jj_1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jj_1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jj_1_1" hidden="1">{#N/A,#N/A,FALSE,"Rohstoffnotierungen";#N/A,#N/A,FALSE,"ER HCST Erw. 99";#N/A,#N/A,FALSE,"ER HCST Plan 00";#N/A,#N/A,FALSE,"Umsatz KG";#N/A,#N/A,FALSE,"ER HCST";#N/A,#N/A,FALSE,"EA ST (2)";#N/A,#N/A,FALSE,"EA ST";#N/A,#N/A,FALSE,"EA ST (3)";#N/A,#N/A,FALSE,"EA ST (4)";#N/A,#N/A,FALSE,"KA ST  (2)";#N/A,#N/A,FALSE,"KA ST";#N/A,#N/A,FALSE,"KA ST  (3)";#N/A,#N/A,FALSE,"KA ST (4)"}</definedName>
    <definedName name="jj_2"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jj_2"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jj_2" hidden="1">{#N/A,#N/A,FALSE,"Rohstoffnotierungen";#N/A,#N/A,FALSE,"ER HCST Erw. 99";#N/A,#N/A,FALSE,"ER HCST Plan 00";#N/A,#N/A,FALSE,"Umsatz KG";#N/A,#N/A,FALSE,"ER HCST";#N/A,#N/A,FALSE,"EA ST (2)";#N/A,#N/A,FALSE,"EA ST";#N/A,#N/A,FALSE,"EA ST (3)";#N/A,#N/A,FALSE,"EA ST (4)";#N/A,#N/A,FALSE,"KA ST  (2)";#N/A,#N/A,FALSE,"KA ST";#N/A,#N/A,FALSE,"KA ST  (3)";#N/A,#N/A,FALSE,"KA ST (4)"}</definedName>
    <definedName name="jj_3"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jj_3"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jj_3" hidden="1">{#N/A,#N/A,FALSE,"Rohstoffnotierungen";#N/A,#N/A,FALSE,"ER HCST Erw. 99";#N/A,#N/A,FALSE,"ER HCST Plan 00";#N/A,#N/A,FALSE,"Umsatz KG";#N/A,#N/A,FALSE,"ER HCST";#N/A,#N/A,FALSE,"EA ST (2)";#N/A,#N/A,FALSE,"EA ST";#N/A,#N/A,FALSE,"EA ST (3)";#N/A,#N/A,FALSE,"EA ST (4)";#N/A,#N/A,FALSE,"KA ST  (2)";#N/A,#N/A,FALSE,"KA ST";#N/A,#N/A,FALSE,"KA ST  (3)";#N/A,#N/A,FALSE,"KA ST (4)"}</definedName>
    <definedName name="jj_4"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jj_4"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jj_4" hidden="1">{#N/A,#N/A,FALSE,"Rohstoffnotierungen";#N/A,#N/A,FALSE,"ER HCST Erw. 99";#N/A,#N/A,FALSE,"ER HCST Plan 00";#N/A,#N/A,FALSE,"Umsatz KG";#N/A,#N/A,FALSE,"ER HCST";#N/A,#N/A,FALSE,"EA ST (2)";#N/A,#N/A,FALSE,"EA ST";#N/A,#N/A,FALSE,"EA ST (3)";#N/A,#N/A,FALSE,"EA ST (4)";#N/A,#N/A,FALSE,"KA ST  (2)";#N/A,#N/A,FALSE,"KA ST";#N/A,#N/A,FALSE,"KA ST  (3)";#N/A,#N/A,FALSE,"KA ST (4)"}</definedName>
    <definedName name="jj_5"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jj_5"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jj_5" hidden="1">{#N/A,#N/A,FALSE,"Rohstoffnotierungen";#N/A,#N/A,FALSE,"ER HCST Erw. 99";#N/A,#N/A,FALSE,"ER HCST Plan 00";#N/A,#N/A,FALSE,"Umsatz KG";#N/A,#N/A,FALSE,"ER HCST";#N/A,#N/A,FALSE,"EA ST (2)";#N/A,#N/A,FALSE,"EA ST";#N/A,#N/A,FALSE,"EA ST (3)";#N/A,#N/A,FALSE,"EA ST (4)";#N/A,#N/A,FALSE,"KA ST  (2)";#N/A,#N/A,FALSE,"KA ST";#N/A,#N/A,FALSE,"KA ST  (3)";#N/A,#N/A,FALSE,"KA ST (4)"}</definedName>
    <definedName name="jjdfo" localSheetId="6" hidden="1">{"year1",#N/A,FALSE,"IZT";"year2",#N/A,FALSE,"IZT"}</definedName>
    <definedName name="jjdfo" hidden="1">{"year1",#N/A,FALSE,"IZT";"year2",#N/A,FALSE,"IZT"}</definedName>
    <definedName name="jjh">#REF!</definedName>
    <definedName name="jjhg.lllll" localSheetId="0" hidden="1">{#N/A,#N/A,FALSE,"Umsatz HM";#N/A,#N/A,FALSE,"ER HM";#N/A,#N/A,FALSE,"EA HM  (2)";#N/A,#N/A,FALSE,"EA HM ";#N/A,#N/A,FALSE,"EA HM  (4)";#N/A,#N/A,FALSE,"EA HM  (3)";#N/A,#N/A,FALSE,"KA HM  (2)";#N/A,#N/A,FALSE,"KA HM";#N/A,#N/A,FALSE,"KA HM  (3)";#N/A,#N/A,FALSE,"KA HM (4)"}</definedName>
    <definedName name="jjhg.lllll" localSheetId="6" hidden="1">{#N/A,#N/A,FALSE,"Umsatz HM";#N/A,#N/A,FALSE,"ER HM";#N/A,#N/A,FALSE,"EA HM  (2)";#N/A,#N/A,FALSE,"EA HM ";#N/A,#N/A,FALSE,"EA HM  (4)";#N/A,#N/A,FALSE,"EA HM  (3)";#N/A,#N/A,FALSE,"KA HM  (2)";#N/A,#N/A,FALSE,"KA HM";#N/A,#N/A,FALSE,"KA HM  (3)";#N/A,#N/A,FALSE,"KA HM (4)"}</definedName>
    <definedName name="jjhg.lllll" hidden="1">{#N/A,#N/A,FALSE,"Umsatz HM";#N/A,#N/A,FALSE,"ER HM";#N/A,#N/A,FALSE,"EA HM  (2)";#N/A,#N/A,FALSE,"EA HM ";#N/A,#N/A,FALSE,"EA HM  (4)";#N/A,#N/A,FALSE,"EA HM  (3)";#N/A,#N/A,FALSE,"KA HM  (2)";#N/A,#N/A,FALSE,"KA HM";#N/A,#N/A,FALSE,"KA HM  (3)";#N/A,#N/A,FALSE,"KA HM (4)"}</definedName>
    <definedName name="jjhg.lllll_1" localSheetId="0" hidden="1">{#N/A,#N/A,FALSE,"Umsatz HM";#N/A,#N/A,FALSE,"ER HM";#N/A,#N/A,FALSE,"EA HM  (2)";#N/A,#N/A,FALSE,"EA HM ";#N/A,#N/A,FALSE,"EA HM  (4)";#N/A,#N/A,FALSE,"EA HM  (3)";#N/A,#N/A,FALSE,"KA HM  (2)";#N/A,#N/A,FALSE,"KA HM";#N/A,#N/A,FALSE,"KA HM  (3)";#N/A,#N/A,FALSE,"KA HM (4)"}</definedName>
    <definedName name="jjhg.lllll_1" localSheetId="6" hidden="1">{#N/A,#N/A,FALSE,"Umsatz HM";#N/A,#N/A,FALSE,"ER HM";#N/A,#N/A,FALSE,"EA HM  (2)";#N/A,#N/A,FALSE,"EA HM ";#N/A,#N/A,FALSE,"EA HM  (4)";#N/A,#N/A,FALSE,"EA HM  (3)";#N/A,#N/A,FALSE,"KA HM  (2)";#N/A,#N/A,FALSE,"KA HM";#N/A,#N/A,FALSE,"KA HM  (3)";#N/A,#N/A,FALSE,"KA HM (4)"}</definedName>
    <definedName name="jjhg.lllll_1" hidden="1">{#N/A,#N/A,FALSE,"Umsatz HM";#N/A,#N/A,FALSE,"ER HM";#N/A,#N/A,FALSE,"EA HM  (2)";#N/A,#N/A,FALSE,"EA HM ";#N/A,#N/A,FALSE,"EA HM  (4)";#N/A,#N/A,FALSE,"EA HM  (3)";#N/A,#N/A,FALSE,"KA HM  (2)";#N/A,#N/A,FALSE,"KA HM";#N/A,#N/A,FALSE,"KA HM  (3)";#N/A,#N/A,FALSE,"KA HM (4)"}</definedName>
    <definedName name="jjhg.lllll_1_1" localSheetId="0" hidden="1">{#N/A,#N/A,FALSE,"Umsatz HM";#N/A,#N/A,FALSE,"ER HM";#N/A,#N/A,FALSE,"EA HM  (2)";#N/A,#N/A,FALSE,"EA HM ";#N/A,#N/A,FALSE,"EA HM  (4)";#N/A,#N/A,FALSE,"EA HM  (3)";#N/A,#N/A,FALSE,"KA HM  (2)";#N/A,#N/A,FALSE,"KA HM";#N/A,#N/A,FALSE,"KA HM  (3)";#N/A,#N/A,FALSE,"KA HM (4)"}</definedName>
    <definedName name="jjhg.lllll_1_1" localSheetId="6" hidden="1">{#N/A,#N/A,FALSE,"Umsatz HM";#N/A,#N/A,FALSE,"ER HM";#N/A,#N/A,FALSE,"EA HM  (2)";#N/A,#N/A,FALSE,"EA HM ";#N/A,#N/A,FALSE,"EA HM  (4)";#N/A,#N/A,FALSE,"EA HM  (3)";#N/A,#N/A,FALSE,"KA HM  (2)";#N/A,#N/A,FALSE,"KA HM";#N/A,#N/A,FALSE,"KA HM  (3)";#N/A,#N/A,FALSE,"KA HM (4)"}</definedName>
    <definedName name="jjhg.lllll_1_1" hidden="1">{#N/A,#N/A,FALSE,"Umsatz HM";#N/A,#N/A,FALSE,"ER HM";#N/A,#N/A,FALSE,"EA HM  (2)";#N/A,#N/A,FALSE,"EA HM ";#N/A,#N/A,FALSE,"EA HM  (4)";#N/A,#N/A,FALSE,"EA HM  (3)";#N/A,#N/A,FALSE,"KA HM  (2)";#N/A,#N/A,FALSE,"KA HM";#N/A,#N/A,FALSE,"KA HM  (3)";#N/A,#N/A,FALSE,"KA HM (4)"}</definedName>
    <definedName name="jjhg.lllll_2" localSheetId="0" hidden="1">{#N/A,#N/A,FALSE,"Umsatz HM";#N/A,#N/A,FALSE,"ER HM";#N/A,#N/A,FALSE,"EA HM  (2)";#N/A,#N/A,FALSE,"EA HM ";#N/A,#N/A,FALSE,"EA HM  (4)";#N/A,#N/A,FALSE,"EA HM  (3)";#N/A,#N/A,FALSE,"KA HM  (2)";#N/A,#N/A,FALSE,"KA HM";#N/A,#N/A,FALSE,"KA HM  (3)";#N/A,#N/A,FALSE,"KA HM (4)"}</definedName>
    <definedName name="jjhg.lllll_2" localSheetId="6" hidden="1">{#N/A,#N/A,FALSE,"Umsatz HM";#N/A,#N/A,FALSE,"ER HM";#N/A,#N/A,FALSE,"EA HM  (2)";#N/A,#N/A,FALSE,"EA HM ";#N/A,#N/A,FALSE,"EA HM  (4)";#N/A,#N/A,FALSE,"EA HM  (3)";#N/A,#N/A,FALSE,"KA HM  (2)";#N/A,#N/A,FALSE,"KA HM";#N/A,#N/A,FALSE,"KA HM  (3)";#N/A,#N/A,FALSE,"KA HM (4)"}</definedName>
    <definedName name="jjhg.lllll_2" hidden="1">{#N/A,#N/A,FALSE,"Umsatz HM";#N/A,#N/A,FALSE,"ER HM";#N/A,#N/A,FALSE,"EA HM  (2)";#N/A,#N/A,FALSE,"EA HM ";#N/A,#N/A,FALSE,"EA HM  (4)";#N/A,#N/A,FALSE,"EA HM  (3)";#N/A,#N/A,FALSE,"KA HM  (2)";#N/A,#N/A,FALSE,"KA HM";#N/A,#N/A,FALSE,"KA HM  (3)";#N/A,#N/A,FALSE,"KA HM (4)"}</definedName>
    <definedName name="jjhg.lllll_3" localSheetId="0" hidden="1">{#N/A,#N/A,FALSE,"Umsatz HM";#N/A,#N/A,FALSE,"ER HM";#N/A,#N/A,FALSE,"EA HM  (2)";#N/A,#N/A,FALSE,"EA HM ";#N/A,#N/A,FALSE,"EA HM  (4)";#N/A,#N/A,FALSE,"EA HM  (3)";#N/A,#N/A,FALSE,"KA HM  (2)";#N/A,#N/A,FALSE,"KA HM";#N/A,#N/A,FALSE,"KA HM  (3)";#N/A,#N/A,FALSE,"KA HM (4)"}</definedName>
    <definedName name="jjhg.lllll_3" localSheetId="6" hidden="1">{#N/A,#N/A,FALSE,"Umsatz HM";#N/A,#N/A,FALSE,"ER HM";#N/A,#N/A,FALSE,"EA HM  (2)";#N/A,#N/A,FALSE,"EA HM ";#N/A,#N/A,FALSE,"EA HM  (4)";#N/A,#N/A,FALSE,"EA HM  (3)";#N/A,#N/A,FALSE,"KA HM  (2)";#N/A,#N/A,FALSE,"KA HM";#N/A,#N/A,FALSE,"KA HM  (3)";#N/A,#N/A,FALSE,"KA HM (4)"}</definedName>
    <definedName name="jjhg.lllll_3" hidden="1">{#N/A,#N/A,FALSE,"Umsatz HM";#N/A,#N/A,FALSE,"ER HM";#N/A,#N/A,FALSE,"EA HM  (2)";#N/A,#N/A,FALSE,"EA HM ";#N/A,#N/A,FALSE,"EA HM  (4)";#N/A,#N/A,FALSE,"EA HM  (3)";#N/A,#N/A,FALSE,"KA HM  (2)";#N/A,#N/A,FALSE,"KA HM";#N/A,#N/A,FALSE,"KA HM  (3)";#N/A,#N/A,FALSE,"KA HM (4)"}</definedName>
    <definedName name="jjhg.lllll_4" localSheetId="0" hidden="1">{#N/A,#N/A,FALSE,"Umsatz HM";#N/A,#N/A,FALSE,"ER HM";#N/A,#N/A,FALSE,"EA HM  (2)";#N/A,#N/A,FALSE,"EA HM ";#N/A,#N/A,FALSE,"EA HM  (4)";#N/A,#N/A,FALSE,"EA HM  (3)";#N/A,#N/A,FALSE,"KA HM  (2)";#N/A,#N/A,FALSE,"KA HM";#N/A,#N/A,FALSE,"KA HM  (3)";#N/A,#N/A,FALSE,"KA HM (4)"}</definedName>
    <definedName name="jjhg.lllll_4" localSheetId="6" hidden="1">{#N/A,#N/A,FALSE,"Umsatz HM";#N/A,#N/A,FALSE,"ER HM";#N/A,#N/A,FALSE,"EA HM  (2)";#N/A,#N/A,FALSE,"EA HM ";#N/A,#N/A,FALSE,"EA HM  (4)";#N/A,#N/A,FALSE,"EA HM  (3)";#N/A,#N/A,FALSE,"KA HM  (2)";#N/A,#N/A,FALSE,"KA HM";#N/A,#N/A,FALSE,"KA HM  (3)";#N/A,#N/A,FALSE,"KA HM (4)"}</definedName>
    <definedName name="jjhg.lllll_4" hidden="1">{#N/A,#N/A,FALSE,"Umsatz HM";#N/A,#N/A,FALSE,"ER HM";#N/A,#N/A,FALSE,"EA HM  (2)";#N/A,#N/A,FALSE,"EA HM ";#N/A,#N/A,FALSE,"EA HM  (4)";#N/A,#N/A,FALSE,"EA HM  (3)";#N/A,#N/A,FALSE,"KA HM  (2)";#N/A,#N/A,FALSE,"KA HM";#N/A,#N/A,FALSE,"KA HM  (3)";#N/A,#N/A,FALSE,"KA HM (4)"}</definedName>
    <definedName name="jjhg.lllll_5" localSheetId="0" hidden="1">{#N/A,#N/A,FALSE,"Umsatz HM";#N/A,#N/A,FALSE,"ER HM";#N/A,#N/A,FALSE,"EA HM  (2)";#N/A,#N/A,FALSE,"EA HM ";#N/A,#N/A,FALSE,"EA HM  (4)";#N/A,#N/A,FALSE,"EA HM  (3)";#N/A,#N/A,FALSE,"KA HM  (2)";#N/A,#N/A,FALSE,"KA HM";#N/A,#N/A,FALSE,"KA HM  (3)";#N/A,#N/A,FALSE,"KA HM (4)"}</definedName>
    <definedName name="jjhg.lllll_5" localSheetId="6" hidden="1">{#N/A,#N/A,FALSE,"Umsatz HM";#N/A,#N/A,FALSE,"ER HM";#N/A,#N/A,FALSE,"EA HM  (2)";#N/A,#N/A,FALSE,"EA HM ";#N/A,#N/A,FALSE,"EA HM  (4)";#N/A,#N/A,FALSE,"EA HM  (3)";#N/A,#N/A,FALSE,"KA HM  (2)";#N/A,#N/A,FALSE,"KA HM";#N/A,#N/A,FALSE,"KA HM  (3)";#N/A,#N/A,FALSE,"KA HM (4)"}</definedName>
    <definedName name="jjhg.lllll_5" hidden="1">{#N/A,#N/A,FALSE,"Umsatz HM";#N/A,#N/A,FALSE,"ER HM";#N/A,#N/A,FALSE,"EA HM  (2)";#N/A,#N/A,FALSE,"EA HM ";#N/A,#N/A,FALSE,"EA HM  (4)";#N/A,#N/A,FALSE,"EA HM  (3)";#N/A,#N/A,FALSE,"KA HM  (2)";#N/A,#N/A,FALSE,"KA HM";#N/A,#N/A,FALSE,"KA HM  (3)";#N/A,#N/A,FALSE,"KA HM (4)"}</definedName>
    <definedName name="JJJ" localSheetId="0" hidden="1">{"CAT",#N/A,FALSE,"Title Page"}</definedName>
    <definedName name="JJJ" localSheetId="6" hidden="1">{"CAT",#N/A,FALSE,"Title Page"}</definedName>
    <definedName name="JJJ" hidden="1">{"CAT",#N/A,FALSE,"Title Page"}</definedName>
    <definedName name="jjj_1" localSheetId="0" hidden="1">{#N/A,#N/A,FALSE,"REPORT"}</definedName>
    <definedName name="jjj_1" localSheetId="6" hidden="1">{#N/A,#N/A,FALSE,"REPORT"}</definedName>
    <definedName name="jjj_1" hidden="1">{#N/A,#N/A,FALSE,"REPORT"}</definedName>
    <definedName name="jjj_1_1" localSheetId="0" hidden="1">{#N/A,#N/A,FALSE,"REPORT"}</definedName>
    <definedName name="jjj_1_1" localSheetId="6" hidden="1">{#N/A,#N/A,FALSE,"REPORT"}</definedName>
    <definedName name="jjj_1_1" hidden="1">{#N/A,#N/A,FALSE,"REPORT"}</definedName>
    <definedName name="jjj_2" localSheetId="0" hidden="1">{#N/A,#N/A,FALSE,"REPORT"}</definedName>
    <definedName name="jjj_2" localSheetId="6" hidden="1">{#N/A,#N/A,FALSE,"REPORT"}</definedName>
    <definedName name="jjj_2" hidden="1">{#N/A,#N/A,FALSE,"REPORT"}</definedName>
    <definedName name="jjj_2_1" localSheetId="6" hidden="1">{#N/A,#N/A,FALSE,"Scenario PivotTable"}</definedName>
    <definedName name="jjj_2_1" hidden="1">{#N/A,#N/A,FALSE,"Scenario PivotTable"}</definedName>
    <definedName name="jjj_2_1_1" localSheetId="6" hidden="1">{#N/A,#N/A,FALSE,"Scenario PivotTable"}</definedName>
    <definedName name="jjj_2_1_1" hidden="1">{#N/A,#N/A,FALSE,"Scenario PivotTable"}</definedName>
    <definedName name="jjj_2_1_1_1" localSheetId="6" hidden="1">{#N/A,#N/A,FALSE,"Scenario PivotTable"}</definedName>
    <definedName name="jjj_2_1_1_1" hidden="1">{#N/A,#N/A,FALSE,"Scenario PivotTable"}</definedName>
    <definedName name="jjj_2_1_2" localSheetId="6" hidden="1">{#N/A,#N/A,FALSE,"Scenario PivotTable"}</definedName>
    <definedName name="jjj_2_1_2" hidden="1">{#N/A,#N/A,FALSE,"Scenario PivotTable"}</definedName>
    <definedName name="jjj_2_1_2_1" localSheetId="6" hidden="1">{#N/A,#N/A,FALSE,"Scenario PivotTable"}</definedName>
    <definedName name="jjj_2_1_2_1" hidden="1">{#N/A,#N/A,FALSE,"Scenario PivotTable"}</definedName>
    <definedName name="jjj_2_1_3" localSheetId="6" hidden="1">{#N/A,#N/A,FALSE,"Scenario PivotTable"}</definedName>
    <definedName name="jjj_2_1_3" hidden="1">{#N/A,#N/A,FALSE,"Scenario PivotTable"}</definedName>
    <definedName name="jjj_2_2" localSheetId="6" hidden="1">{#N/A,#N/A,FALSE,"Scenario PivotTable"}</definedName>
    <definedName name="jjj_2_2" hidden="1">{#N/A,#N/A,FALSE,"Scenario PivotTable"}</definedName>
    <definedName name="jjj_2_2_1" localSheetId="6" hidden="1">{#N/A,#N/A,FALSE,"Scenario PivotTable"}</definedName>
    <definedName name="jjj_2_2_1" hidden="1">{#N/A,#N/A,FALSE,"Scenario PivotTable"}</definedName>
    <definedName name="jjj_2_2_1_1" localSheetId="6" hidden="1">{#N/A,#N/A,FALSE,"Scenario PivotTable"}</definedName>
    <definedName name="jjj_2_2_1_1" hidden="1">{#N/A,#N/A,FALSE,"Scenario PivotTable"}</definedName>
    <definedName name="jjj_2_2_2" localSheetId="6" hidden="1">{#N/A,#N/A,FALSE,"Scenario PivotTable"}</definedName>
    <definedName name="jjj_2_2_2" hidden="1">{#N/A,#N/A,FALSE,"Scenario PivotTable"}</definedName>
    <definedName name="jjj_2_3" localSheetId="6" hidden="1">{#N/A,#N/A,FALSE,"Scenario PivotTable"}</definedName>
    <definedName name="jjj_2_3" hidden="1">{#N/A,#N/A,FALSE,"Scenario PivotTable"}</definedName>
    <definedName name="jjj_2_3_1" localSheetId="6" hidden="1">{#N/A,#N/A,FALSE,"Scenario PivotTable"}</definedName>
    <definedName name="jjj_2_3_1" hidden="1">{#N/A,#N/A,FALSE,"Scenario PivotTable"}</definedName>
    <definedName name="jjj_2_4" localSheetId="6" hidden="1">{#N/A,#N/A,FALSE,"Scenario PivotTable"}</definedName>
    <definedName name="jjj_2_4" hidden="1">{#N/A,#N/A,FALSE,"Scenario PivotTable"}</definedName>
    <definedName name="jjj_3" localSheetId="0" hidden="1">{#N/A,#N/A,FALSE,"REPORT"}</definedName>
    <definedName name="jjj_3" localSheetId="6" hidden="1">{#N/A,#N/A,FALSE,"REPORT"}</definedName>
    <definedName name="jjj_3" hidden="1">{#N/A,#N/A,FALSE,"REPORT"}</definedName>
    <definedName name="jjj_3_1" localSheetId="6" hidden="1">{#N/A,#N/A,FALSE,"Scenario PivotTable"}</definedName>
    <definedName name="jjj_3_1" hidden="1">{#N/A,#N/A,FALSE,"Scenario PivotTable"}</definedName>
    <definedName name="jjj_3_1_1" localSheetId="6" hidden="1">{#N/A,#N/A,FALSE,"Scenario PivotTable"}</definedName>
    <definedName name="jjj_3_1_1" hidden="1">{#N/A,#N/A,FALSE,"Scenario PivotTable"}</definedName>
    <definedName name="jjj_3_1_1_1" localSheetId="6" hidden="1">{#N/A,#N/A,FALSE,"Scenario PivotTable"}</definedName>
    <definedName name="jjj_3_1_1_1" hidden="1">{#N/A,#N/A,FALSE,"Scenario PivotTable"}</definedName>
    <definedName name="jjj_3_1_2" localSheetId="6" hidden="1">{#N/A,#N/A,FALSE,"Scenario PivotTable"}</definedName>
    <definedName name="jjj_3_1_2" hidden="1">{#N/A,#N/A,FALSE,"Scenario PivotTable"}</definedName>
    <definedName name="jjj_3_1_2_1" localSheetId="6" hidden="1">{#N/A,#N/A,FALSE,"Scenario PivotTable"}</definedName>
    <definedName name="jjj_3_1_2_1" hidden="1">{#N/A,#N/A,FALSE,"Scenario PivotTable"}</definedName>
    <definedName name="jjj_3_1_3" localSheetId="6" hidden="1">{#N/A,#N/A,FALSE,"Scenario PivotTable"}</definedName>
    <definedName name="jjj_3_1_3" hidden="1">{#N/A,#N/A,FALSE,"Scenario PivotTable"}</definedName>
    <definedName name="jjj_3_2" localSheetId="6" hidden="1">{#N/A,#N/A,FALSE,"Scenario PivotTable"}</definedName>
    <definedName name="jjj_3_2" hidden="1">{#N/A,#N/A,FALSE,"Scenario PivotTable"}</definedName>
    <definedName name="jjj_3_2_1" localSheetId="6" hidden="1">{#N/A,#N/A,FALSE,"Scenario PivotTable"}</definedName>
    <definedName name="jjj_3_2_1" hidden="1">{#N/A,#N/A,FALSE,"Scenario PivotTable"}</definedName>
    <definedName name="jjj_3_2_1_1" localSheetId="6" hidden="1">{#N/A,#N/A,FALSE,"Scenario PivotTable"}</definedName>
    <definedName name="jjj_3_2_1_1" hidden="1">{#N/A,#N/A,FALSE,"Scenario PivotTable"}</definedName>
    <definedName name="jjj_3_2_2" localSheetId="6" hidden="1">{#N/A,#N/A,FALSE,"Scenario PivotTable"}</definedName>
    <definedName name="jjj_3_2_2" hidden="1">{#N/A,#N/A,FALSE,"Scenario PivotTable"}</definedName>
    <definedName name="jjj_3_3" localSheetId="6" hidden="1">{#N/A,#N/A,FALSE,"Scenario PivotTable"}</definedName>
    <definedName name="jjj_3_3" hidden="1">{#N/A,#N/A,FALSE,"Scenario PivotTable"}</definedName>
    <definedName name="jjj_3_3_1" localSheetId="6" hidden="1">{#N/A,#N/A,FALSE,"Scenario PivotTable"}</definedName>
    <definedName name="jjj_3_3_1" hidden="1">{#N/A,#N/A,FALSE,"Scenario PivotTable"}</definedName>
    <definedName name="jjj_3_4" localSheetId="6" hidden="1">{#N/A,#N/A,FALSE,"Scenario PivotTable"}</definedName>
    <definedName name="jjj_3_4" hidden="1">{#N/A,#N/A,FALSE,"Scenario PivotTable"}</definedName>
    <definedName name="jjj_4" localSheetId="0" hidden="1">{#N/A,#N/A,FALSE,"REPORT"}</definedName>
    <definedName name="jjj_4" localSheetId="6" hidden="1">{#N/A,#N/A,FALSE,"REPORT"}</definedName>
    <definedName name="jjj_4" hidden="1">{#N/A,#N/A,FALSE,"REPORT"}</definedName>
    <definedName name="jjj_4_1" localSheetId="6" hidden="1">{#N/A,#N/A,FALSE,"Scenario PivotTable"}</definedName>
    <definedName name="jjj_4_1" hidden="1">{#N/A,#N/A,FALSE,"Scenario PivotTable"}</definedName>
    <definedName name="jjj_4_1_1" localSheetId="6" hidden="1">{#N/A,#N/A,FALSE,"Scenario PivotTable"}</definedName>
    <definedName name="jjj_4_1_1" hidden="1">{#N/A,#N/A,FALSE,"Scenario PivotTable"}</definedName>
    <definedName name="jjj_4_1_1_1" localSheetId="6" hidden="1">{#N/A,#N/A,FALSE,"Scenario PivotTable"}</definedName>
    <definedName name="jjj_4_1_1_1" hidden="1">{#N/A,#N/A,FALSE,"Scenario PivotTable"}</definedName>
    <definedName name="jjj_4_1_2" localSheetId="6" hidden="1">{#N/A,#N/A,FALSE,"Scenario PivotTable"}</definedName>
    <definedName name="jjj_4_1_2" hidden="1">{#N/A,#N/A,FALSE,"Scenario PivotTable"}</definedName>
    <definedName name="jjj_4_1_2_1" localSheetId="6" hidden="1">{#N/A,#N/A,FALSE,"Scenario PivotTable"}</definedName>
    <definedName name="jjj_4_1_2_1" hidden="1">{#N/A,#N/A,FALSE,"Scenario PivotTable"}</definedName>
    <definedName name="jjj_4_1_3" localSheetId="6" hidden="1">{#N/A,#N/A,FALSE,"Scenario PivotTable"}</definedName>
    <definedName name="jjj_4_1_3" hidden="1">{#N/A,#N/A,FALSE,"Scenario PivotTable"}</definedName>
    <definedName name="jjj_4_2" localSheetId="6" hidden="1">{#N/A,#N/A,FALSE,"Scenario PivotTable"}</definedName>
    <definedName name="jjj_4_2" hidden="1">{#N/A,#N/A,FALSE,"Scenario PivotTable"}</definedName>
    <definedName name="jjj_4_2_1" localSheetId="6" hidden="1">{#N/A,#N/A,FALSE,"Scenario PivotTable"}</definedName>
    <definedName name="jjj_4_2_1" hidden="1">{#N/A,#N/A,FALSE,"Scenario PivotTable"}</definedName>
    <definedName name="jjj_4_2_1_1" localSheetId="6" hidden="1">{#N/A,#N/A,FALSE,"Scenario PivotTable"}</definedName>
    <definedName name="jjj_4_2_1_1" hidden="1">{#N/A,#N/A,FALSE,"Scenario PivotTable"}</definedName>
    <definedName name="jjj_4_2_2" localSheetId="6" hidden="1">{#N/A,#N/A,FALSE,"Scenario PivotTable"}</definedName>
    <definedName name="jjj_4_2_2" hidden="1">{#N/A,#N/A,FALSE,"Scenario PivotTable"}</definedName>
    <definedName name="jjj_4_3" localSheetId="6" hidden="1">{#N/A,#N/A,FALSE,"Scenario PivotTable"}</definedName>
    <definedName name="jjj_4_3" hidden="1">{#N/A,#N/A,FALSE,"Scenario PivotTable"}</definedName>
    <definedName name="jjj_4_3_1" localSheetId="6" hidden="1">{#N/A,#N/A,FALSE,"Scenario PivotTable"}</definedName>
    <definedName name="jjj_4_3_1" hidden="1">{#N/A,#N/A,FALSE,"Scenario PivotTable"}</definedName>
    <definedName name="jjj_4_4" localSheetId="6" hidden="1">{#N/A,#N/A,FALSE,"Scenario PivotTable"}</definedName>
    <definedName name="jjj_4_4" hidden="1">{#N/A,#N/A,FALSE,"Scenario PivotTable"}</definedName>
    <definedName name="jjj_5" localSheetId="0" hidden="1">{#N/A,#N/A,FALSE,"REPORT"}</definedName>
    <definedName name="jjj_5" localSheetId="6" hidden="1">{#N/A,#N/A,FALSE,"REPORT"}</definedName>
    <definedName name="jjj_5" hidden="1">{#N/A,#N/A,FALSE,"REPORT"}</definedName>
    <definedName name="jjj_5_1" localSheetId="6" hidden="1">{#N/A,#N/A,FALSE,"Scenario PivotTable"}</definedName>
    <definedName name="jjj_5_1" hidden="1">{#N/A,#N/A,FALSE,"Scenario PivotTable"}</definedName>
    <definedName name="jjj_5_1_1" localSheetId="6" hidden="1">{#N/A,#N/A,FALSE,"Scenario PivotTable"}</definedName>
    <definedName name="jjj_5_1_1" hidden="1">{#N/A,#N/A,FALSE,"Scenario PivotTable"}</definedName>
    <definedName name="jjj_5_1_1_1" localSheetId="6" hidden="1">{#N/A,#N/A,FALSE,"Scenario PivotTable"}</definedName>
    <definedName name="jjj_5_1_1_1" hidden="1">{#N/A,#N/A,FALSE,"Scenario PivotTable"}</definedName>
    <definedName name="jjj_5_1_2" localSheetId="6" hidden="1">{#N/A,#N/A,FALSE,"Scenario PivotTable"}</definedName>
    <definedName name="jjj_5_1_2" hidden="1">{#N/A,#N/A,FALSE,"Scenario PivotTable"}</definedName>
    <definedName name="jjj_5_1_2_1" localSheetId="6" hidden="1">{#N/A,#N/A,FALSE,"Scenario PivotTable"}</definedName>
    <definedName name="jjj_5_1_2_1" hidden="1">{#N/A,#N/A,FALSE,"Scenario PivotTable"}</definedName>
    <definedName name="jjj_5_1_3" localSheetId="6" hidden="1">{#N/A,#N/A,FALSE,"Scenario PivotTable"}</definedName>
    <definedName name="jjj_5_1_3" hidden="1">{#N/A,#N/A,FALSE,"Scenario PivotTable"}</definedName>
    <definedName name="jjj_5_2" localSheetId="6" hidden="1">{#N/A,#N/A,FALSE,"Scenario PivotTable"}</definedName>
    <definedName name="jjj_5_2" hidden="1">{#N/A,#N/A,FALSE,"Scenario PivotTable"}</definedName>
    <definedName name="jjj_5_2_1" localSheetId="6" hidden="1">{#N/A,#N/A,FALSE,"Scenario PivotTable"}</definedName>
    <definedName name="jjj_5_2_1" hidden="1">{#N/A,#N/A,FALSE,"Scenario PivotTable"}</definedName>
    <definedName name="jjj_5_2_1_1" localSheetId="6" hidden="1">{#N/A,#N/A,FALSE,"Scenario PivotTable"}</definedName>
    <definedName name="jjj_5_2_1_1" hidden="1">{#N/A,#N/A,FALSE,"Scenario PivotTable"}</definedName>
    <definedName name="jjj_5_2_2" localSheetId="6" hidden="1">{#N/A,#N/A,FALSE,"Scenario PivotTable"}</definedName>
    <definedName name="jjj_5_2_2" hidden="1">{#N/A,#N/A,FALSE,"Scenario PivotTable"}</definedName>
    <definedName name="jjj_5_3" localSheetId="6" hidden="1">{#N/A,#N/A,FALSE,"Scenario PivotTable"}</definedName>
    <definedName name="jjj_5_3" hidden="1">{#N/A,#N/A,FALSE,"Scenario PivotTable"}</definedName>
    <definedName name="jjj_5_3_1" localSheetId="6" hidden="1">{#N/A,#N/A,FALSE,"Scenario PivotTable"}</definedName>
    <definedName name="jjj_5_3_1" hidden="1">{#N/A,#N/A,FALSE,"Scenario PivotTable"}</definedName>
    <definedName name="jjj_5_4" localSheetId="6" hidden="1">{#N/A,#N/A,FALSE,"Scenario PivotTable"}</definedName>
    <definedName name="jjj_5_4" hidden="1">{#N/A,#N/A,FALSE,"Scenario PivotTable"}</definedName>
    <definedName name="JJJJ">#REF!</definedName>
    <definedName name="JJJJJ" localSheetId="0" hidden="1">{"DECIMAL",#N/A,FALSE,"02"}</definedName>
    <definedName name="JJJJJ" localSheetId="6" hidden="1">{"DECIMAL",#N/A,FALSE,"02"}</definedName>
    <definedName name="JJJJJ" hidden="1">{"DECIMAL",#N/A,FALSE,"02"}</definedName>
    <definedName name="JJJJJJJJJ" localSheetId="0" hidden="1">{#N/A,#N/A,FALSE,"Work progress mensile";#N/A,#N/A,FALSE,"Work progress mensile IE1"}</definedName>
    <definedName name="JJJJJJJJJ" localSheetId="6" hidden="1">{#N/A,#N/A,FALSE,"Work progress mensile";#N/A,#N/A,FALSE,"Work progress mensile IE1"}</definedName>
    <definedName name="JJJJJJJJJ" hidden="1">{#N/A,#N/A,FALSE,"Work progress mensile";#N/A,#N/A,FALSE,"Work progress mensile IE1"}</definedName>
    <definedName name="JJJJJJJJJJJJ" localSheetId="0" hidden="1">{#N/A,#N/A,FALSE,"Work progress mensile";#N/A,#N/A,FALSE,"Work progress mensile IE1"}</definedName>
    <definedName name="JJJJJJJJJJJJ" localSheetId="6" hidden="1">{#N/A,#N/A,FALSE,"Work progress mensile";#N/A,#N/A,FALSE,"Work progress mensile IE1"}</definedName>
    <definedName name="JJJJJJJJJJJJ" hidden="1">{#N/A,#N/A,FALSE,"Work progress mensile";#N/A,#N/A,FALSE,"Work progress mensile IE1"}</definedName>
    <definedName name="jjutyu" localSheetId="6" hidden="1">{"VIEW1",#N/A,FALSE,"P&amp;L Account 2001-2002";"VIEW2",#N/A,FALSE,"P&amp;L Account 2001-2002";"VIEW3",#N/A,FALSE,"P&amp;L Account 2001-2002";"VIEW4",#N/A,FALSE,"P&amp;L Account 2001-2002"}</definedName>
    <definedName name="jjutyu" hidden="1">{"VIEW1",#N/A,FALSE,"P&amp;L Account 2001-2002";"VIEW2",#N/A,FALSE,"P&amp;L Account 2001-2002";"VIEW3",#N/A,FALSE,"P&amp;L Account 2001-2002";"VIEW4",#N/A,FALSE,"P&amp;L Account 2001-2002"}</definedName>
    <definedName name="JK" localSheetId="0" hidden="1">{#N/A,#N/A,TRUE,"0 Deckbl.";#N/A,#N/A,TRUE,"S 1 Komm";#N/A,#N/A,TRUE,"S 1a Komm";#N/A,#N/A,TRUE,"S 1b Komm";#N/A,#N/A,TRUE,"S  2 DBR";#N/A,#N/A,TRUE,"S  3 Sparten";#N/A,#N/A,TRUE,"S 4  Betr. K.";#N/A,#N/A,TRUE,"6 Bilanz";#N/A,#N/A,TRUE,"6a Bilanz ";#N/A,#N/A,TRUE,"6b Bilanz ";#N/A,#N/A,TRUE,"7 GS I";#N/A,#N/A,TRUE,"S 8 EQ-GuV"}</definedName>
    <definedName name="JK" localSheetId="6" hidden="1">{#N/A,#N/A,TRUE,"0 Deckbl.";#N/A,#N/A,TRUE,"S 1 Komm";#N/A,#N/A,TRUE,"S 1a Komm";#N/A,#N/A,TRUE,"S 1b Komm";#N/A,#N/A,TRUE,"S  2 DBR";#N/A,#N/A,TRUE,"S  3 Sparten";#N/A,#N/A,TRUE,"S 4  Betr. K.";#N/A,#N/A,TRUE,"6 Bilanz";#N/A,#N/A,TRUE,"6a Bilanz ";#N/A,#N/A,TRUE,"6b Bilanz ";#N/A,#N/A,TRUE,"7 GS I";#N/A,#N/A,TRUE,"S 8 EQ-GuV"}</definedName>
    <definedName name="JK" hidden="1">{#N/A,#N/A,TRUE,"0 Deckbl.";#N/A,#N/A,TRUE,"S 1 Komm";#N/A,#N/A,TRUE,"S 1a Komm";#N/A,#N/A,TRUE,"S 1b Komm";#N/A,#N/A,TRUE,"S  2 DBR";#N/A,#N/A,TRUE,"S  3 Sparten";#N/A,#N/A,TRUE,"S 4  Betr. K.";#N/A,#N/A,TRUE,"6 Bilanz";#N/A,#N/A,TRUE,"6a Bilanz ";#N/A,#N/A,TRUE,"6b Bilanz ";#N/A,#N/A,TRUE,"7 GS I";#N/A,#N/A,TRUE,"S 8 EQ-GuV"}</definedName>
    <definedName name="jk_1" localSheetId="6" hidden="1">{#N/A,#N/A,TRUE,"Cover";#N/A,#N/A,TRUE,"Conts";#N/A,#N/A,TRUE,"VOS";#N/A,#N/A,TRUE,"Warrington";#N/A,#N/A,TRUE,"Widnes"}</definedName>
    <definedName name="jk_1" hidden="1">{#N/A,#N/A,TRUE,"Cover";#N/A,#N/A,TRUE,"Conts";#N/A,#N/A,TRUE,"VOS";#N/A,#N/A,TRUE,"Warrington";#N/A,#N/A,TRUE,"Widnes"}</definedName>
    <definedName name="jkh" hidden="1">#REF!</definedName>
    <definedName name="jkjhk" localSheetId="0" hidden="1">{#N/A,#N/A,FALSE,"Produkte Erw.";#N/A,#N/A,FALSE,"Produkte Plan";#N/A,#N/A,FALSE,"Leistungen Erw.";#N/A,#N/A,FALSE,"Leistungen Plan";#N/A,#N/A,FALSE,"KA Allg.Kosten (2)";#N/A,#N/A,FALSE,"KA All.Kosten"}</definedName>
    <definedName name="jkjhk" localSheetId="6" hidden="1">{#N/A,#N/A,FALSE,"Produkte Erw.";#N/A,#N/A,FALSE,"Produkte Plan";#N/A,#N/A,FALSE,"Leistungen Erw.";#N/A,#N/A,FALSE,"Leistungen Plan";#N/A,#N/A,FALSE,"KA Allg.Kosten (2)";#N/A,#N/A,FALSE,"KA All.Kosten"}</definedName>
    <definedName name="jkjhk" hidden="1">{#N/A,#N/A,FALSE,"Produkte Erw.";#N/A,#N/A,FALSE,"Produkte Plan";#N/A,#N/A,FALSE,"Leistungen Erw.";#N/A,#N/A,FALSE,"Leistungen Plan";#N/A,#N/A,FALSE,"KA Allg.Kosten (2)";#N/A,#N/A,FALSE,"KA All.Kosten"}</definedName>
    <definedName name="jkjhk_1" localSheetId="0" hidden="1">{#N/A,#N/A,FALSE,"Produkte Erw.";#N/A,#N/A,FALSE,"Produkte Plan";#N/A,#N/A,FALSE,"Leistungen Erw.";#N/A,#N/A,FALSE,"Leistungen Plan";#N/A,#N/A,FALSE,"KA Allg.Kosten (2)";#N/A,#N/A,FALSE,"KA All.Kosten"}</definedName>
    <definedName name="jkjhk_1" localSheetId="6" hidden="1">{#N/A,#N/A,FALSE,"Produkte Erw.";#N/A,#N/A,FALSE,"Produkte Plan";#N/A,#N/A,FALSE,"Leistungen Erw.";#N/A,#N/A,FALSE,"Leistungen Plan";#N/A,#N/A,FALSE,"KA Allg.Kosten (2)";#N/A,#N/A,FALSE,"KA All.Kosten"}</definedName>
    <definedName name="jkjhk_1" hidden="1">{#N/A,#N/A,FALSE,"Produkte Erw.";#N/A,#N/A,FALSE,"Produkte Plan";#N/A,#N/A,FALSE,"Leistungen Erw.";#N/A,#N/A,FALSE,"Leistungen Plan";#N/A,#N/A,FALSE,"KA Allg.Kosten (2)";#N/A,#N/A,FALSE,"KA All.Kosten"}</definedName>
    <definedName name="jkjhk_1_1" localSheetId="0" hidden="1">{#N/A,#N/A,FALSE,"Produkte Erw.";#N/A,#N/A,FALSE,"Produkte Plan";#N/A,#N/A,FALSE,"Leistungen Erw.";#N/A,#N/A,FALSE,"Leistungen Plan";#N/A,#N/A,FALSE,"KA Allg.Kosten (2)";#N/A,#N/A,FALSE,"KA All.Kosten"}</definedName>
    <definedName name="jkjhk_1_1" localSheetId="6" hidden="1">{#N/A,#N/A,FALSE,"Produkte Erw.";#N/A,#N/A,FALSE,"Produkte Plan";#N/A,#N/A,FALSE,"Leistungen Erw.";#N/A,#N/A,FALSE,"Leistungen Plan";#N/A,#N/A,FALSE,"KA Allg.Kosten (2)";#N/A,#N/A,FALSE,"KA All.Kosten"}</definedName>
    <definedName name="jkjhk_1_1" hidden="1">{#N/A,#N/A,FALSE,"Produkte Erw.";#N/A,#N/A,FALSE,"Produkte Plan";#N/A,#N/A,FALSE,"Leistungen Erw.";#N/A,#N/A,FALSE,"Leistungen Plan";#N/A,#N/A,FALSE,"KA Allg.Kosten (2)";#N/A,#N/A,FALSE,"KA All.Kosten"}</definedName>
    <definedName name="jkjhk_2" localSheetId="0" hidden="1">{#N/A,#N/A,FALSE,"Produkte Erw.";#N/A,#N/A,FALSE,"Produkte Plan";#N/A,#N/A,FALSE,"Leistungen Erw.";#N/A,#N/A,FALSE,"Leistungen Plan";#N/A,#N/A,FALSE,"KA Allg.Kosten (2)";#N/A,#N/A,FALSE,"KA All.Kosten"}</definedName>
    <definedName name="jkjhk_2" localSheetId="6" hidden="1">{#N/A,#N/A,FALSE,"Produkte Erw.";#N/A,#N/A,FALSE,"Produkte Plan";#N/A,#N/A,FALSE,"Leistungen Erw.";#N/A,#N/A,FALSE,"Leistungen Plan";#N/A,#N/A,FALSE,"KA Allg.Kosten (2)";#N/A,#N/A,FALSE,"KA All.Kosten"}</definedName>
    <definedName name="jkjhk_2" hidden="1">{#N/A,#N/A,FALSE,"Produkte Erw.";#N/A,#N/A,FALSE,"Produkte Plan";#N/A,#N/A,FALSE,"Leistungen Erw.";#N/A,#N/A,FALSE,"Leistungen Plan";#N/A,#N/A,FALSE,"KA Allg.Kosten (2)";#N/A,#N/A,FALSE,"KA All.Kosten"}</definedName>
    <definedName name="jkjhk_3" localSheetId="0" hidden="1">{#N/A,#N/A,FALSE,"Produkte Erw.";#N/A,#N/A,FALSE,"Produkte Plan";#N/A,#N/A,FALSE,"Leistungen Erw.";#N/A,#N/A,FALSE,"Leistungen Plan";#N/A,#N/A,FALSE,"KA Allg.Kosten (2)";#N/A,#N/A,FALSE,"KA All.Kosten"}</definedName>
    <definedName name="jkjhk_3" localSheetId="6" hidden="1">{#N/A,#N/A,FALSE,"Produkte Erw.";#N/A,#N/A,FALSE,"Produkte Plan";#N/A,#N/A,FALSE,"Leistungen Erw.";#N/A,#N/A,FALSE,"Leistungen Plan";#N/A,#N/A,FALSE,"KA Allg.Kosten (2)";#N/A,#N/A,FALSE,"KA All.Kosten"}</definedName>
    <definedName name="jkjhk_3" hidden="1">{#N/A,#N/A,FALSE,"Produkte Erw.";#N/A,#N/A,FALSE,"Produkte Plan";#N/A,#N/A,FALSE,"Leistungen Erw.";#N/A,#N/A,FALSE,"Leistungen Plan";#N/A,#N/A,FALSE,"KA Allg.Kosten (2)";#N/A,#N/A,FALSE,"KA All.Kosten"}</definedName>
    <definedName name="jkjhk_4" localSheetId="0" hidden="1">{#N/A,#N/A,FALSE,"Produkte Erw.";#N/A,#N/A,FALSE,"Produkte Plan";#N/A,#N/A,FALSE,"Leistungen Erw.";#N/A,#N/A,FALSE,"Leistungen Plan";#N/A,#N/A,FALSE,"KA Allg.Kosten (2)";#N/A,#N/A,FALSE,"KA All.Kosten"}</definedName>
    <definedName name="jkjhk_4" localSheetId="6" hidden="1">{#N/A,#N/A,FALSE,"Produkte Erw.";#N/A,#N/A,FALSE,"Produkte Plan";#N/A,#N/A,FALSE,"Leistungen Erw.";#N/A,#N/A,FALSE,"Leistungen Plan";#N/A,#N/A,FALSE,"KA Allg.Kosten (2)";#N/A,#N/A,FALSE,"KA All.Kosten"}</definedName>
    <definedName name="jkjhk_4" hidden="1">{#N/A,#N/A,FALSE,"Produkte Erw.";#N/A,#N/A,FALSE,"Produkte Plan";#N/A,#N/A,FALSE,"Leistungen Erw.";#N/A,#N/A,FALSE,"Leistungen Plan";#N/A,#N/A,FALSE,"KA Allg.Kosten (2)";#N/A,#N/A,FALSE,"KA All.Kosten"}</definedName>
    <definedName name="jkjhk_5" localSheetId="0" hidden="1">{#N/A,#N/A,FALSE,"Produkte Erw.";#N/A,#N/A,FALSE,"Produkte Plan";#N/A,#N/A,FALSE,"Leistungen Erw.";#N/A,#N/A,FALSE,"Leistungen Plan";#N/A,#N/A,FALSE,"KA Allg.Kosten (2)";#N/A,#N/A,FALSE,"KA All.Kosten"}</definedName>
    <definedName name="jkjhk_5" localSheetId="6" hidden="1">{#N/A,#N/A,FALSE,"Produkte Erw.";#N/A,#N/A,FALSE,"Produkte Plan";#N/A,#N/A,FALSE,"Leistungen Erw.";#N/A,#N/A,FALSE,"Leistungen Plan";#N/A,#N/A,FALSE,"KA Allg.Kosten (2)";#N/A,#N/A,FALSE,"KA All.Kosten"}</definedName>
    <definedName name="jkjhk_5" hidden="1">{#N/A,#N/A,FALSE,"Produkte Erw.";#N/A,#N/A,FALSE,"Produkte Plan";#N/A,#N/A,FALSE,"Leistungen Erw.";#N/A,#N/A,FALSE,"Leistungen Plan";#N/A,#N/A,FALSE,"KA Allg.Kosten (2)";#N/A,#N/A,FALSE,"KA All.Kosten"}</definedName>
    <definedName name="jkjk"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jkj" hidden="1">#REF!</definedName>
    <definedName name="jkkjhkj"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kjhkj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jkl" localSheetId="0" hidden="1">{#N/A,#N/A,FALSE,"Tabl. G1";#N/A,#N/A,FALSE,"Tabl. G2"}</definedName>
    <definedName name="jkl" localSheetId="6" hidden="1">{#N/A,#N/A,FALSE,"Tabl. G1";#N/A,#N/A,FALSE,"Tabl. G2"}</definedName>
    <definedName name="jkl" hidden="1">{#N/A,#N/A,FALSE,"Tabl. G1";#N/A,#N/A,FALSE,"Tabl. G2"}</definedName>
    <definedName name="jkl_1" localSheetId="0" hidden="1">{#N/A,#N/A,FALSE,"REPORT"}</definedName>
    <definedName name="jkl_1" localSheetId="6" hidden="1">{#N/A,#N/A,FALSE,"REPORT"}</definedName>
    <definedName name="jkl_1" hidden="1">{#N/A,#N/A,FALSE,"REPORT"}</definedName>
    <definedName name="jkl_1_1" localSheetId="0" hidden="1">{#N/A,#N/A,FALSE,"REPORT"}</definedName>
    <definedName name="jkl_1_1" localSheetId="6" hidden="1">{#N/A,#N/A,FALSE,"REPORT"}</definedName>
    <definedName name="jkl_1_1" hidden="1">{#N/A,#N/A,FALSE,"REPORT"}</definedName>
    <definedName name="jkl_2" localSheetId="0" hidden="1">{#N/A,#N/A,FALSE,"REPORT"}</definedName>
    <definedName name="jkl_2" localSheetId="6" hidden="1">{#N/A,#N/A,FALSE,"REPORT"}</definedName>
    <definedName name="jkl_2" hidden="1">{#N/A,#N/A,FALSE,"REPORT"}</definedName>
    <definedName name="jkl_3" localSheetId="0" hidden="1">{#N/A,#N/A,FALSE,"REPORT"}</definedName>
    <definedName name="jkl_3" localSheetId="6" hidden="1">{#N/A,#N/A,FALSE,"REPORT"}</definedName>
    <definedName name="jkl_3" hidden="1">{#N/A,#N/A,FALSE,"REPORT"}</definedName>
    <definedName name="jkl_4" localSheetId="0" hidden="1">{#N/A,#N/A,FALSE,"REPORT"}</definedName>
    <definedName name="jkl_4" localSheetId="6" hidden="1">{#N/A,#N/A,FALSE,"REPORT"}</definedName>
    <definedName name="jkl_4" hidden="1">{#N/A,#N/A,FALSE,"REPORT"}</definedName>
    <definedName name="jkl_5" localSheetId="0" hidden="1">{#N/A,#N/A,FALSE,"REPORT"}</definedName>
    <definedName name="jkl_5" localSheetId="6" hidden="1">{#N/A,#N/A,FALSE,"REPORT"}</definedName>
    <definedName name="jkl_5" hidden="1">{#N/A,#N/A,FALSE,"REPORT"}</definedName>
    <definedName name="jklk" localSheetId="0" hidden="1">{#N/A,#N/A,FALSE,"Umsatz OK";#N/A,#N/A,FALSE,"ER OK ";#N/A,#N/A,FALSE,"EA OK (2)";#N/A,#N/A,FALSE,"EA OK";#N/A,#N/A,FALSE,"EA OK (3)";#N/A,#N/A,FALSE,"EA OK (4)";#N/A,#N/A,FALSE,"KA OK  (2)";#N/A,#N/A,FALSE,"KA OK";#N/A,#N/A,FALSE,"KA OK  (3)";#N/A,#N/A,FALSE,"KA OK (4)"}</definedName>
    <definedName name="jklk" localSheetId="6" hidden="1">{#N/A,#N/A,FALSE,"Umsatz OK";#N/A,#N/A,FALSE,"ER OK ";#N/A,#N/A,FALSE,"EA OK (2)";#N/A,#N/A,FALSE,"EA OK";#N/A,#N/A,FALSE,"EA OK (3)";#N/A,#N/A,FALSE,"EA OK (4)";#N/A,#N/A,FALSE,"KA OK  (2)";#N/A,#N/A,FALSE,"KA OK";#N/A,#N/A,FALSE,"KA OK  (3)";#N/A,#N/A,FALSE,"KA OK (4)"}</definedName>
    <definedName name="jklk" hidden="1">{#N/A,#N/A,FALSE,"Umsatz OK";#N/A,#N/A,FALSE,"ER OK ";#N/A,#N/A,FALSE,"EA OK (2)";#N/A,#N/A,FALSE,"EA OK";#N/A,#N/A,FALSE,"EA OK (3)";#N/A,#N/A,FALSE,"EA OK (4)";#N/A,#N/A,FALSE,"KA OK  (2)";#N/A,#N/A,FALSE,"KA OK";#N/A,#N/A,FALSE,"KA OK  (3)";#N/A,#N/A,FALSE,"KA OK (4)"}</definedName>
    <definedName name="jklk_1" localSheetId="0" hidden="1">{#N/A,#N/A,FALSE,"Umsatz OK";#N/A,#N/A,FALSE,"ER OK ";#N/A,#N/A,FALSE,"EA OK (2)";#N/A,#N/A,FALSE,"EA OK";#N/A,#N/A,FALSE,"EA OK (3)";#N/A,#N/A,FALSE,"EA OK (4)";#N/A,#N/A,FALSE,"KA OK  (2)";#N/A,#N/A,FALSE,"KA OK";#N/A,#N/A,FALSE,"KA OK  (3)";#N/A,#N/A,FALSE,"KA OK (4)"}</definedName>
    <definedName name="jklk_1" localSheetId="6" hidden="1">{#N/A,#N/A,FALSE,"Umsatz OK";#N/A,#N/A,FALSE,"ER OK ";#N/A,#N/A,FALSE,"EA OK (2)";#N/A,#N/A,FALSE,"EA OK";#N/A,#N/A,FALSE,"EA OK (3)";#N/A,#N/A,FALSE,"EA OK (4)";#N/A,#N/A,FALSE,"KA OK  (2)";#N/A,#N/A,FALSE,"KA OK";#N/A,#N/A,FALSE,"KA OK  (3)";#N/A,#N/A,FALSE,"KA OK (4)"}</definedName>
    <definedName name="jklk_1" hidden="1">{#N/A,#N/A,FALSE,"Umsatz OK";#N/A,#N/A,FALSE,"ER OK ";#N/A,#N/A,FALSE,"EA OK (2)";#N/A,#N/A,FALSE,"EA OK";#N/A,#N/A,FALSE,"EA OK (3)";#N/A,#N/A,FALSE,"EA OK (4)";#N/A,#N/A,FALSE,"KA OK  (2)";#N/A,#N/A,FALSE,"KA OK";#N/A,#N/A,FALSE,"KA OK  (3)";#N/A,#N/A,FALSE,"KA OK (4)"}</definedName>
    <definedName name="jklk_1_1" localSheetId="0" hidden="1">{#N/A,#N/A,FALSE,"Umsatz OK";#N/A,#N/A,FALSE,"ER OK ";#N/A,#N/A,FALSE,"EA OK (2)";#N/A,#N/A,FALSE,"EA OK";#N/A,#N/A,FALSE,"EA OK (3)";#N/A,#N/A,FALSE,"EA OK (4)";#N/A,#N/A,FALSE,"KA OK  (2)";#N/A,#N/A,FALSE,"KA OK";#N/A,#N/A,FALSE,"KA OK  (3)";#N/A,#N/A,FALSE,"KA OK (4)"}</definedName>
    <definedName name="jklk_1_1" localSheetId="6" hidden="1">{#N/A,#N/A,FALSE,"Umsatz OK";#N/A,#N/A,FALSE,"ER OK ";#N/A,#N/A,FALSE,"EA OK (2)";#N/A,#N/A,FALSE,"EA OK";#N/A,#N/A,FALSE,"EA OK (3)";#N/A,#N/A,FALSE,"EA OK (4)";#N/A,#N/A,FALSE,"KA OK  (2)";#N/A,#N/A,FALSE,"KA OK";#N/A,#N/A,FALSE,"KA OK  (3)";#N/A,#N/A,FALSE,"KA OK (4)"}</definedName>
    <definedName name="jklk_1_1" hidden="1">{#N/A,#N/A,FALSE,"Umsatz OK";#N/A,#N/A,FALSE,"ER OK ";#N/A,#N/A,FALSE,"EA OK (2)";#N/A,#N/A,FALSE,"EA OK";#N/A,#N/A,FALSE,"EA OK (3)";#N/A,#N/A,FALSE,"EA OK (4)";#N/A,#N/A,FALSE,"KA OK  (2)";#N/A,#N/A,FALSE,"KA OK";#N/A,#N/A,FALSE,"KA OK  (3)";#N/A,#N/A,FALSE,"KA OK (4)"}</definedName>
    <definedName name="jklk_2" localSheetId="0" hidden="1">{#N/A,#N/A,FALSE,"Umsatz OK";#N/A,#N/A,FALSE,"ER OK ";#N/A,#N/A,FALSE,"EA OK (2)";#N/A,#N/A,FALSE,"EA OK";#N/A,#N/A,FALSE,"EA OK (3)";#N/A,#N/A,FALSE,"EA OK (4)";#N/A,#N/A,FALSE,"KA OK  (2)";#N/A,#N/A,FALSE,"KA OK";#N/A,#N/A,FALSE,"KA OK  (3)";#N/A,#N/A,FALSE,"KA OK (4)"}</definedName>
    <definedName name="jklk_2" localSheetId="6" hidden="1">{#N/A,#N/A,FALSE,"Umsatz OK";#N/A,#N/A,FALSE,"ER OK ";#N/A,#N/A,FALSE,"EA OK (2)";#N/A,#N/A,FALSE,"EA OK";#N/A,#N/A,FALSE,"EA OK (3)";#N/A,#N/A,FALSE,"EA OK (4)";#N/A,#N/A,FALSE,"KA OK  (2)";#N/A,#N/A,FALSE,"KA OK";#N/A,#N/A,FALSE,"KA OK  (3)";#N/A,#N/A,FALSE,"KA OK (4)"}</definedName>
    <definedName name="jklk_2" hidden="1">{#N/A,#N/A,FALSE,"Umsatz OK";#N/A,#N/A,FALSE,"ER OK ";#N/A,#N/A,FALSE,"EA OK (2)";#N/A,#N/A,FALSE,"EA OK";#N/A,#N/A,FALSE,"EA OK (3)";#N/A,#N/A,FALSE,"EA OK (4)";#N/A,#N/A,FALSE,"KA OK  (2)";#N/A,#N/A,FALSE,"KA OK";#N/A,#N/A,FALSE,"KA OK  (3)";#N/A,#N/A,FALSE,"KA OK (4)"}</definedName>
    <definedName name="jklk_3" localSheetId="0" hidden="1">{#N/A,#N/A,FALSE,"Umsatz OK";#N/A,#N/A,FALSE,"ER OK ";#N/A,#N/A,FALSE,"EA OK (2)";#N/A,#N/A,FALSE,"EA OK";#N/A,#N/A,FALSE,"EA OK (3)";#N/A,#N/A,FALSE,"EA OK (4)";#N/A,#N/A,FALSE,"KA OK  (2)";#N/A,#N/A,FALSE,"KA OK";#N/A,#N/A,FALSE,"KA OK  (3)";#N/A,#N/A,FALSE,"KA OK (4)"}</definedName>
    <definedName name="jklk_3" localSheetId="6" hidden="1">{#N/A,#N/A,FALSE,"Umsatz OK";#N/A,#N/A,FALSE,"ER OK ";#N/A,#N/A,FALSE,"EA OK (2)";#N/A,#N/A,FALSE,"EA OK";#N/A,#N/A,FALSE,"EA OK (3)";#N/A,#N/A,FALSE,"EA OK (4)";#N/A,#N/A,FALSE,"KA OK  (2)";#N/A,#N/A,FALSE,"KA OK";#N/A,#N/A,FALSE,"KA OK  (3)";#N/A,#N/A,FALSE,"KA OK (4)"}</definedName>
    <definedName name="jklk_3" hidden="1">{#N/A,#N/A,FALSE,"Umsatz OK";#N/A,#N/A,FALSE,"ER OK ";#N/A,#N/A,FALSE,"EA OK (2)";#N/A,#N/A,FALSE,"EA OK";#N/A,#N/A,FALSE,"EA OK (3)";#N/A,#N/A,FALSE,"EA OK (4)";#N/A,#N/A,FALSE,"KA OK  (2)";#N/A,#N/A,FALSE,"KA OK";#N/A,#N/A,FALSE,"KA OK  (3)";#N/A,#N/A,FALSE,"KA OK (4)"}</definedName>
    <definedName name="jklk_4" localSheetId="0" hidden="1">{#N/A,#N/A,FALSE,"Umsatz OK";#N/A,#N/A,FALSE,"ER OK ";#N/A,#N/A,FALSE,"EA OK (2)";#N/A,#N/A,FALSE,"EA OK";#N/A,#N/A,FALSE,"EA OK (3)";#N/A,#N/A,FALSE,"EA OK (4)";#N/A,#N/A,FALSE,"KA OK  (2)";#N/A,#N/A,FALSE,"KA OK";#N/A,#N/A,FALSE,"KA OK  (3)";#N/A,#N/A,FALSE,"KA OK (4)"}</definedName>
    <definedName name="jklk_4" localSheetId="6" hidden="1">{#N/A,#N/A,FALSE,"Umsatz OK";#N/A,#N/A,FALSE,"ER OK ";#N/A,#N/A,FALSE,"EA OK (2)";#N/A,#N/A,FALSE,"EA OK";#N/A,#N/A,FALSE,"EA OK (3)";#N/A,#N/A,FALSE,"EA OK (4)";#N/A,#N/A,FALSE,"KA OK  (2)";#N/A,#N/A,FALSE,"KA OK";#N/A,#N/A,FALSE,"KA OK  (3)";#N/A,#N/A,FALSE,"KA OK (4)"}</definedName>
    <definedName name="jklk_4" hidden="1">{#N/A,#N/A,FALSE,"Umsatz OK";#N/A,#N/A,FALSE,"ER OK ";#N/A,#N/A,FALSE,"EA OK (2)";#N/A,#N/A,FALSE,"EA OK";#N/A,#N/A,FALSE,"EA OK (3)";#N/A,#N/A,FALSE,"EA OK (4)";#N/A,#N/A,FALSE,"KA OK  (2)";#N/A,#N/A,FALSE,"KA OK";#N/A,#N/A,FALSE,"KA OK  (3)";#N/A,#N/A,FALSE,"KA OK (4)"}</definedName>
    <definedName name="jklk_5" localSheetId="0" hidden="1">{#N/A,#N/A,FALSE,"Umsatz OK";#N/A,#N/A,FALSE,"ER OK ";#N/A,#N/A,FALSE,"EA OK (2)";#N/A,#N/A,FALSE,"EA OK";#N/A,#N/A,FALSE,"EA OK (3)";#N/A,#N/A,FALSE,"EA OK (4)";#N/A,#N/A,FALSE,"KA OK  (2)";#N/A,#N/A,FALSE,"KA OK";#N/A,#N/A,FALSE,"KA OK  (3)";#N/A,#N/A,FALSE,"KA OK (4)"}</definedName>
    <definedName name="jklk_5" localSheetId="6" hidden="1">{#N/A,#N/A,FALSE,"Umsatz OK";#N/A,#N/A,FALSE,"ER OK ";#N/A,#N/A,FALSE,"EA OK (2)";#N/A,#N/A,FALSE,"EA OK";#N/A,#N/A,FALSE,"EA OK (3)";#N/A,#N/A,FALSE,"EA OK (4)";#N/A,#N/A,FALSE,"KA OK  (2)";#N/A,#N/A,FALSE,"KA OK";#N/A,#N/A,FALSE,"KA OK  (3)";#N/A,#N/A,FALSE,"KA OK (4)"}</definedName>
    <definedName name="jklk_5" hidden="1">{#N/A,#N/A,FALSE,"Umsatz OK";#N/A,#N/A,FALSE,"ER OK ";#N/A,#N/A,FALSE,"EA OK (2)";#N/A,#N/A,FALSE,"EA OK";#N/A,#N/A,FALSE,"EA OK (3)";#N/A,#N/A,FALSE,"EA OK (4)";#N/A,#N/A,FALSE,"KA OK  (2)";#N/A,#N/A,FALSE,"KA OK";#N/A,#N/A,FALSE,"KA OK  (3)";#N/A,#N/A,FALSE,"KA OK (4)"}</definedName>
    <definedName name="jksdfajkl" hidden="1">#REF!</definedName>
    <definedName name="JL"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JL"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Jmob">#REF!</definedName>
    <definedName name="JNSCXNSXCNN" localSheetId="6" hidden="1">{#N/A,#N/A,FALSE,"HCA";#N/A,#N/A,FALSE,"Revenue";#N/A,#N/A,FALSE,"Opex";#N/A,#N/A,FALSE,"AMP"}</definedName>
    <definedName name="JNSCXNSXCNN" hidden="1">{#N/A,#N/A,FALSE,"HCA";#N/A,#N/A,FALSE,"Revenue";#N/A,#N/A,FALSE,"Opex";#N/A,#N/A,FALSE,"AMP"}</definedName>
    <definedName name="Job">#REF!</definedName>
    <definedName name="JoinDate">#REF!</definedName>
    <definedName name="joindate1">#REF!</definedName>
    <definedName name="joo" hidden="1">#REF!</definedName>
    <definedName name="Joost"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Joost"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Jose" localSheetId="0" hidden="1">{"vi1",#N/A,FALSE,"Financial Statements";"vi2",#N/A,FALSE,"Financial Statements";#N/A,#N/A,FALSE,"DCF"}</definedName>
    <definedName name="Jose" localSheetId="6" hidden="1">{"vi1",#N/A,FALSE,"Financial Statements";"vi2",#N/A,FALSE,"Financial Statements";#N/A,#N/A,FALSE,"DCF"}</definedName>
    <definedName name="Jose" hidden="1">{"vi1",#N/A,FALSE,"Financial Statements";"vi2",#N/A,FALSE,"Financial Statements";#N/A,#N/A,FALSE,"DCF"}</definedName>
    <definedName name="Josh" hidden="1">0</definedName>
    <definedName name="Josh2" hidden="1">"43KZS2G93IHH0HNTT3EZ6WLXZ"</definedName>
    <definedName name="JOUF">#REF!</definedName>
    <definedName name="jöuiuiuzi" localSheetId="0" hidden="1">{#N/A,#N/A,FALSE,"Umsatz 99";#N/A,#N/A,FALSE,"ER 99 "}</definedName>
    <definedName name="jöuiuiuzi" localSheetId="6" hidden="1">{#N/A,#N/A,FALSE,"Umsatz 99";#N/A,#N/A,FALSE,"ER 99 "}</definedName>
    <definedName name="jöuiuiuzi" hidden="1">{#N/A,#N/A,FALSE,"Umsatz 99";#N/A,#N/A,FALSE,"ER 99 "}</definedName>
    <definedName name="jöuiuiuzi_1" localSheetId="0" hidden="1">{#N/A,#N/A,FALSE,"Umsatz 99";#N/A,#N/A,FALSE,"ER 99 "}</definedName>
    <definedName name="jöuiuiuzi_1" localSheetId="6" hidden="1">{#N/A,#N/A,FALSE,"Umsatz 99";#N/A,#N/A,FALSE,"ER 99 "}</definedName>
    <definedName name="jöuiuiuzi_1" hidden="1">{#N/A,#N/A,FALSE,"Umsatz 99";#N/A,#N/A,FALSE,"ER 99 "}</definedName>
    <definedName name="jöuiuiuzi_1_1" localSheetId="0" hidden="1">{#N/A,#N/A,FALSE,"Umsatz 99";#N/A,#N/A,FALSE,"ER 99 "}</definedName>
    <definedName name="jöuiuiuzi_1_1" localSheetId="6" hidden="1">{#N/A,#N/A,FALSE,"Umsatz 99";#N/A,#N/A,FALSE,"ER 99 "}</definedName>
    <definedName name="jöuiuiuzi_1_1" hidden="1">{#N/A,#N/A,FALSE,"Umsatz 99";#N/A,#N/A,FALSE,"ER 99 "}</definedName>
    <definedName name="jöuiuiuzi_2" localSheetId="0" hidden="1">{#N/A,#N/A,FALSE,"Umsatz 99";#N/A,#N/A,FALSE,"ER 99 "}</definedName>
    <definedName name="jöuiuiuzi_2" localSheetId="6" hidden="1">{#N/A,#N/A,FALSE,"Umsatz 99";#N/A,#N/A,FALSE,"ER 99 "}</definedName>
    <definedName name="jöuiuiuzi_2" hidden="1">{#N/A,#N/A,FALSE,"Umsatz 99";#N/A,#N/A,FALSE,"ER 99 "}</definedName>
    <definedName name="jöuiuiuzi_3" localSheetId="0" hidden="1">{#N/A,#N/A,FALSE,"Umsatz 99";#N/A,#N/A,FALSE,"ER 99 "}</definedName>
    <definedName name="jöuiuiuzi_3" localSheetId="6" hidden="1">{#N/A,#N/A,FALSE,"Umsatz 99";#N/A,#N/A,FALSE,"ER 99 "}</definedName>
    <definedName name="jöuiuiuzi_3" hidden="1">{#N/A,#N/A,FALSE,"Umsatz 99";#N/A,#N/A,FALSE,"ER 99 "}</definedName>
    <definedName name="jöuiuiuzi_4" localSheetId="0" hidden="1">{#N/A,#N/A,FALSE,"Umsatz 99";#N/A,#N/A,FALSE,"ER 99 "}</definedName>
    <definedName name="jöuiuiuzi_4" localSheetId="6" hidden="1">{#N/A,#N/A,FALSE,"Umsatz 99";#N/A,#N/A,FALSE,"ER 99 "}</definedName>
    <definedName name="jöuiuiuzi_4" hidden="1">{#N/A,#N/A,FALSE,"Umsatz 99";#N/A,#N/A,FALSE,"ER 99 "}</definedName>
    <definedName name="jöuiuiuzi_5" localSheetId="0" hidden="1">{#N/A,#N/A,FALSE,"Umsatz 99";#N/A,#N/A,FALSE,"ER 99 "}</definedName>
    <definedName name="jöuiuiuzi_5" localSheetId="6" hidden="1">{#N/A,#N/A,FALSE,"Umsatz 99";#N/A,#N/A,FALSE,"ER 99 "}</definedName>
    <definedName name="jöuiuiuzi_5" hidden="1">{#N/A,#N/A,FALSE,"Umsatz 99";#N/A,#N/A,FALSE,"ER 99 "}</definedName>
    <definedName name="JRN" localSheetId="0" hidden="1">{#N/A,#N/A,FALSE,"Tabl. FB300";#N/A,#N/A,FALSE,"Tabl. FB350";#N/A,#N/A,FALSE,"Tabl. FB400";#N/A,#N/A,FALSE,"Tabl. FB500";#N/A,#N/A,FALSE,"Tabl. FS090"}</definedName>
    <definedName name="JRN" localSheetId="6" hidden="1">{#N/A,#N/A,FALSE,"Tabl. FB300";#N/A,#N/A,FALSE,"Tabl. FB350";#N/A,#N/A,FALSE,"Tabl. FB400";#N/A,#N/A,FALSE,"Tabl. FB500";#N/A,#N/A,FALSE,"Tabl. FS090"}</definedName>
    <definedName name="JRN" hidden="1">{#N/A,#N/A,FALSE,"Tabl. FB300";#N/A,#N/A,FALSE,"Tabl. FB350";#N/A,#N/A,FALSE,"Tabl. FB400";#N/A,#N/A,FALSE,"Tabl. FB500";#N/A,#N/A,FALSE,"Tabl. FS090"}</definedName>
    <definedName name="jrtjtjtr" localSheetId="0" hidden="1">{#N/A,#N/A,FALSE,"Assessment";#N/A,#N/A,FALSE,"Staffing";#N/A,#N/A,FALSE,"Hires";#N/A,#N/A,FALSE,"Assumptions"}</definedName>
    <definedName name="jrtjtjtr" localSheetId="6" hidden="1">{#N/A,#N/A,FALSE,"Assessment";#N/A,#N/A,FALSE,"Staffing";#N/A,#N/A,FALSE,"Hires";#N/A,#N/A,FALSE,"Assumptions"}</definedName>
    <definedName name="jrtjtjtr" hidden="1">{#N/A,#N/A,FALSE,"Assessment";#N/A,#N/A,FALSE,"Staffing";#N/A,#N/A,FALSE,"Hires";#N/A,#N/A,FALSE,"Assumptions"}</definedName>
    <definedName name="jrtjtjtr_1" localSheetId="0" hidden="1">{#N/A,#N/A,FALSE,"Assessment";#N/A,#N/A,FALSE,"Staffing";#N/A,#N/A,FALSE,"Hires";#N/A,#N/A,FALSE,"Assumptions"}</definedName>
    <definedName name="jrtjtjtr_1" localSheetId="6" hidden="1">{#N/A,#N/A,FALSE,"Assessment";#N/A,#N/A,FALSE,"Staffing";#N/A,#N/A,FALSE,"Hires";#N/A,#N/A,FALSE,"Assumptions"}</definedName>
    <definedName name="jrtjtjtr_1" hidden="1">{#N/A,#N/A,FALSE,"Assessment";#N/A,#N/A,FALSE,"Staffing";#N/A,#N/A,FALSE,"Hires";#N/A,#N/A,FALSE,"Assumptions"}</definedName>
    <definedName name="jtrjrt" localSheetId="0" hidden="1">{#N/A,#N/A,FALSE,"Assessment";#N/A,#N/A,FALSE,"Staffing";#N/A,#N/A,FALSE,"Hires";#N/A,#N/A,FALSE,"Assumptions"}</definedName>
    <definedName name="jtrjrt" localSheetId="6" hidden="1">{#N/A,#N/A,FALSE,"Assessment";#N/A,#N/A,FALSE,"Staffing";#N/A,#N/A,FALSE,"Hires";#N/A,#N/A,FALSE,"Assumptions"}</definedName>
    <definedName name="jtrjrt" hidden="1">{#N/A,#N/A,FALSE,"Assessment";#N/A,#N/A,FALSE,"Staffing";#N/A,#N/A,FALSE,"Hires";#N/A,#N/A,FALSE,"Assumptions"}</definedName>
    <definedName name="jtrjrt_1" localSheetId="0" hidden="1">{#N/A,#N/A,FALSE,"Assessment";#N/A,#N/A,FALSE,"Staffing";#N/A,#N/A,FALSE,"Hires";#N/A,#N/A,FALSE,"Assumptions"}</definedName>
    <definedName name="jtrjrt_1" localSheetId="6" hidden="1">{#N/A,#N/A,FALSE,"Assessment";#N/A,#N/A,FALSE,"Staffing";#N/A,#N/A,FALSE,"Hires";#N/A,#N/A,FALSE,"Assumptions"}</definedName>
    <definedName name="jtrjrt_1" hidden="1">{#N/A,#N/A,FALSE,"Assessment";#N/A,#N/A,FALSE,"Staffing";#N/A,#N/A,FALSE,"Hires";#N/A,#N/A,FALSE,"Assumptions"}</definedName>
    <definedName name="jttrkj" localSheetId="0" hidden="1">{#N/A,#N/A,FALSE,"Assessment";#N/A,#N/A,FALSE,"Staffing";#N/A,#N/A,FALSE,"Hires";#N/A,#N/A,FALSE,"Assumptions"}</definedName>
    <definedName name="jttrkj" localSheetId="6" hidden="1">{#N/A,#N/A,FALSE,"Assessment";#N/A,#N/A,FALSE,"Staffing";#N/A,#N/A,FALSE,"Hires";#N/A,#N/A,FALSE,"Assumptions"}</definedName>
    <definedName name="jttrkj" hidden="1">{#N/A,#N/A,FALSE,"Assessment";#N/A,#N/A,FALSE,"Staffing";#N/A,#N/A,FALSE,"Hires";#N/A,#N/A,FALSE,"Assumptions"}</definedName>
    <definedName name="jttrkj_1" localSheetId="0" hidden="1">{#N/A,#N/A,FALSE,"Assessment";#N/A,#N/A,FALSE,"Staffing";#N/A,#N/A,FALSE,"Hires";#N/A,#N/A,FALSE,"Assumptions"}</definedName>
    <definedName name="jttrkj_1" localSheetId="6" hidden="1">{#N/A,#N/A,FALSE,"Assessment";#N/A,#N/A,FALSE,"Staffing";#N/A,#N/A,FALSE,"Hires";#N/A,#N/A,FALSE,"Assumptions"}</definedName>
    <definedName name="jttrkj_1" hidden="1">{#N/A,#N/A,FALSE,"Assessment";#N/A,#N/A,FALSE,"Staffing";#N/A,#N/A,FALSE,"Hires";#N/A,#N/A,FALSE,"Assumptions"}</definedName>
    <definedName name="ju" localSheetId="0" hidden="1">{#N/A,#N/A,FALSE,"Calc";#N/A,#N/A,FALSE,"Sensitivity";#N/A,#N/A,FALSE,"LT Earn.Dil.";#N/A,#N/A,FALSE,"Dil. AVP"}</definedName>
    <definedName name="ju" localSheetId="6" hidden="1">{#N/A,#N/A,FALSE,"Calc";#N/A,#N/A,FALSE,"Sensitivity";#N/A,#N/A,FALSE,"LT Earn.Dil.";#N/A,#N/A,FALSE,"Dil. AVP"}</definedName>
    <definedName name="ju" hidden="1">{#N/A,#N/A,FALSE,"Calc";#N/A,#N/A,FALSE,"Sensitivity";#N/A,#N/A,FALSE,"LT Earn.Dil.";#N/A,#N/A,FALSE,"Dil. AVP"}</definedName>
    <definedName name="JUBAIL">#REF!</definedName>
    <definedName name="JUCHVQUYVFUW" hidden="1">#REF!</definedName>
    <definedName name="judy" localSheetId="0" hidden="1">{#N/A,#N/A,FALSE,"Pharm";#N/A,#N/A,FALSE,"WWCM"}</definedName>
    <definedName name="judy" localSheetId="6" hidden="1">{#N/A,#N/A,FALSE,"Pharm";#N/A,#N/A,FALSE,"WWCM"}</definedName>
    <definedName name="judy" hidden="1">{#N/A,#N/A,FALSE,"Pharm";#N/A,#N/A,FALSE,"WWCM"}</definedName>
    <definedName name="judy_1" localSheetId="0" hidden="1">{#N/A,#N/A,FALSE,"Pharm";#N/A,#N/A,FALSE,"WWCM"}</definedName>
    <definedName name="judy_1" localSheetId="6" hidden="1">{#N/A,#N/A,FALSE,"Pharm";#N/A,#N/A,FALSE,"WWCM"}</definedName>
    <definedName name="judy_1" hidden="1">{#N/A,#N/A,FALSE,"Pharm";#N/A,#N/A,FALSE,"WWCM"}</definedName>
    <definedName name="judy_1_1" localSheetId="0" hidden="1">{#N/A,#N/A,FALSE,"Pharm";#N/A,#N/A,FALSE,"WWCM"}</definedName>
    <definedName name="judy_1_1" localSheetId="6" hidden="1">{#N/A,#N/A,FALSE,"Pharm";#N/A,#N/A,FALSE,"WWCM"}</definedName>
    <definedName name="judy_1_1" hidden="1">{#N/A,#N/A,FALSE,"Pharm";#N/A,#N/A,FALSE,"WWCM"}</definedName>
    <definedName name="judy_2" localSheetId="0" hidden="1">{#N/A,#N/A,FALSE,"Pharm";#N/A,#N/A,FALSE,"WWCM"}</definedName>
    <definedName name="judy_2" localSheetId="6" hidden="1">{#N/A,#N/A,FALSE,"Pharm";#N/A,#N/A,FALSE,"WWCM"}</definedName>
    <definedName name="judy_2" hidden="1">{#N/A,#N/A,FALSE,"Pharm";#N/A,#N/A,FALSE,"WWCM"}</definedName>
    <definedName name="judy_3" localSheetId="0" hidden="1">{#N/A,#N/A,FALSE,"Pharm";#N/A,#N/A,FALSE,"WWCM"}</definedName>
    <definedName name="judy_3" localSheetId="6" hidden="1">{#N/A,#N/A,FALSE,"Pharm";#N/A,#N/A,FALSE,"WWCM"}</definedName>
    <definedName name="judy_3" hidden="1">{#N/A,#N/A,FALSE,"Pharm";#N/A,#N/A,FALSE,"WWCM"}</definedName>
    <definedName name="judy_4" localSheetId="0" hidden="1">{#N/A,#N/A,FALSE,"Pharm";#N/A,#N/A,FALSE,"WWCM"}</definedName>
    <definedName name="judy_4" localSheetId="6" hidden="1">{#N/A,#N/A,FALSE,"Pharm";#N/A,#N/A,FALSE,"WWCM"}</definedName>
    <definedName name="judy_4" hidden="1">{#N/A,#N/A,FALSE,"Pharm";#N/A,#N/A,FALSE,"WWCM"}</definedName>
    <definedName name="judy_5" localSheetId="0" hidden="1">{#N/A,#N/A,FALSE,"Pharm";#N/A,#N/A,FALSE,"WWCM"}</definedName>
    <definedName name="judy_5" localSheetId="6" hidden="1">{#N/A,#N/A,FALSE,"Pharm";#N/A,#N/A,FALSE,"WWCM"}</definedName>
    <definedName name="judy_5" hidden="1">{#N/A,#N/A,FALSE,"Pharm";#N/A,#N/A,FALSE,"WWCM"}</definedName>
    <definedName name="judy1" localSheetId="0" hidden="1">{#N/A,#N/A,FALSE,"Pharm";#N/A,#N/A,FALSE,"WWCM"}</definedName>
    <definedName name="judy1" localSheetId="6" hidden="1">{#N/A,#N/A,FALSE,"Pharm";#N/A,#N/A,FALSE,"WWCM"}</definedName>
    <definedName name="judy1" hidden="1">{#N/A,#N/A,FALSE,"Pharm";#N/A,#N/A,FALSE,"WWCM"}</definedName>
    <definedName name="judy1_1" localSheetId="0" hidden="1">{#N/A,#N/A,FALSE,"Pharm";#N/A,#N/A,FALSE,"WWCM"}</definedName>
    <definedName name="judy1_1" localSheetId="6" hidden="1">{#N/A,#N/A,FALSE,"Pharm";#N/A,#N/A,FALSE,"WWCM"}</definedName>
    <definedName name="judy1_1" hidden="1">{#N/A,#N/A,FALSE,"Pharm";#N/A,#N/A,FALSE,"WWCM"}</definedName>
    <definedName name="judy1_1_1" localSheetId="0" hidden="1">{#N/A,#N/A,FALSE,"Pharm";#N/A,#N/A,FALSE,"WWCM"}</definedName>
    <definedName name="judy1_1_1" localSheetId="6" hidden="1">{#N/A,#N/A,FALSE,"Pharm";#N/A,#N/A,FALSE,"WWCM"}</definedName>
    <definedName name="judy1_1_1" hidden="1">{#N/A,#N/A,FALSE,"Pharm";#N/A,#N/A,FALSE,"WWCM"}</definedName>
    <definedName name="judy1_2" localSheetId="0" hidden="1">{#N/A,#N/A,FALSE,"Pharm";#N/A,#N/A,FALSE,"WWCM"}</definedName>
    <definedName name="judy1_2" localSheetId="6" hidden="1">{#N/A,#N/A,FALSE,"Pharm";#N/A,#N/A,FALSE,"WWCM"}</definedName>
    <definedName name="judy1_2" hidden="1">{#N/A,#N/A,FALSE,"Pharm";#N/A,#N/A,FALSE,"WWCM"}</definedName>
    <definedName name="judy1_3" localSheetId="0" hidden="1">{#N/A,#N/A,FALSE,"Pharm";#N/A,#N/A,FALSE,"WWCM"}</definedName>
    <definedName name="judy1_3" localSheetId="6" hidden="1">{#N/A,#N/A,FALSE,"Pharm";#N/A,#N/A,FALSE,"WWCM"}</definedName>
    <definedName name="judy1_3" hidden="1">{#N/A,#N/A,FALSE,"Pharm";#N/A,#N/A,FALSE,"WWCM"}</definedName>
    <definedName name="judy1_4" localSheetId="0" hidden="1">{#N/A,#N/A,FALSE,"Pharm";#N/A,#N/A,FALSE,"WWCM"}</definedName>
    <definedName name="judy1_4" localSheetId="6" hidden="1">{#N/A,#N/A,FALSE,"Pharm";#N/A,#N/A,FALSE,"WWCM"}</definedName>
    <definedName name="judy1_4" hidden="1">{#N/A,#N/A,FALSE,"Pharm";#N/A,#N/A,FALSE,"WWCM"}</definedName>
    <definedName name="judy1_5" localSheetId="0" hidden="1">{#N/A,#N/A,FALSE,"Pharm";#N/A,#N/A,FALSE,"WWCM"}</definedName>
    <definedName name="judy1_5" localSheetId="6" hidden="1">{#N/A,#N/A,FALSE,"Pharm";#N/A,#N/A,FALSE,"WWCM"}</definedName>
    <definedName name="judy1_5" hidden="1">{#N/A,#N/A,FALSE,"Pharm";#N/A,#N/A,FALSE,"WWCM"}</definedName>
    <definedName name="jui" hidden="1">#REF!</definedName>
    <definedName name="Jultotal">#REF!</definedName>
    <definedName name="July_126">#REF!</definedName>
    <definedName name="JUM" localSheetId="6" hidden="1">{"'IM V02'!$A$1:$W$57"}</definedName>
    <definedName name="JUM" hidden="1">{"'IM V02'!$A$1:$W$57"}</definedName>
    <definedName name="Juntotal">#REF!</definedName>
    <definedName name="JV">#REF!</definedName>
    <definedName name="jyg" localSheetId="0"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jyg" localSheetId="6"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jyg"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k">#REF!</definedName>
    <definedName name="k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1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1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1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2"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2"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3"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3"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3"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4"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4"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4"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5"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5"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_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K2__LOCKEDCVW__" hidden="1">"MAIN,OTHERREV,ACTUAL,USD,E.2990,ALL_JOBS,ALL_ORGS,ALL_PROD,2004.JAN,PERIODIC,;"</definedName>
    <definedName name="K2__LOCKSTATUS__" hidden="1">2</definedName>
    <definedName name="K2__MAXEXPCOLS__" hidden="1">100</definedName>
    <definedName name="K2__MAXEXPROWS__" hidden="1">1000</definedName>
    <definedName name="K2__WBEVMODE__" hidden="1">0</definedName>
    <definedName name="K2__WBREFOPTIONS__" hidden="1">134217728</definedName>
    <definedName name="K2_WBEVMODE" hidden="1">0</definedName>
    <definedName name="kapadruck">#REF!</definedName>
    <definedName name="Kapakopf">#REF!</definedName>
    <definedName name="Kapaneu">#REF!</definedName>
    <definedName name="kd">#REF!</definedName>
    <definedName name="kdfn"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kdfn"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kdkd">#REF!,#REF!,#REF!,#REF!</definedName>
    <definedName name="KDNFCVKLSDN" localSheetId="6" hidden="1">{#N/A,#N/A,TRUE,"FA 1 &amp; 2";#N/A,#N/A,TRUE,"FA 3 &amp; 4";#N/A,#N/A,TRUE,"FA 5 &amp; 6";#N/A,#N/A,TRUE,"FA 7 &amp; 8";#N/A,#N/A,TRUE,"FA 9 &amp; 10";#N/A,#N/A,TRUE,"FA 11";#N/A,#N/A,TRUE,"FA 12";#N/A,#N/A,TRUE,"FA 13";#N/A,#N/A,TRUE,"FA 14 &amp; 15"}</definedName>
    <definedName name="KDNFCVKLSDN" hidden="1">{#N/A,#N/A,TRUE,"FA 1 &amp; 2";#N/A,#N/A,TRUE,"FA 3 &amp; 4";#N/A,#N/A,TRUE,"FA 5 &amp; 6";#N/A,#N/A,TRUE,"FA 7 &amp; 8";#N/A,#N/A,TRUE,"FA 9 &amp; 10";#N/A,#N/A,TRUE,"FA 11";#N/A,#N/A,TRUE,"FA 12";#N/A,#N/A,TRUE,"FA 13";#N/A,#N/A,TRUE,"FA 14 &amp; 15"}</definedName>
    <definedName name="ke">#REF!</definedName>
    <definedName name="KECKS" localSheetId="4" hidden="1">Main.SAPF4Help()</definedName>
    <definedName name="KECKS" localSheetId="0" hidden="1">Main.SAPF4Help()</definedName>
    <definedName name="KECKS" localSheetId="2" hidden="1">Main.SAPF4Help()</definedName>
    <definedName name="KECKS" localSheetId="6" hidden="1">Main.SAPF4Help()</definedName>
    <definedName name="KECKS" hidden="1">Main.SAPF4Help()</definedName>
    <definedName name="Kem" localSheetId="0" hidden="1">{#N/A,#N/A,FALSE,"Overview";#N/A,#N/A,FALSE,"ProfitAnalysis";#N/A,#N/A,FALSE,"Cashflow";#N/A,#N/A,FALSE,"Capital";#N/A,#N/A,FALSE,"CapDelta";#N/A,#N/A,FALSE,"Grad&amp;Pric"}</definedName>
    <definedName name="Kem" localSheetId="6" hidden="1">{#N/A,#N/A,FALSE,"Overview";#N/A,#N/A,FALSE,"ProfitAnalysis";#N/A,#N/A,FALSE,"Cashflow";#N/A,#N/A,FALSE,"Capital";#N/A,#N/A,FALSE,"CapDelta";#N/A,#N/A,FALSE,"Grad&amp;Pric"}</definedName>
    <definedName name="Kem" hidden="1">{#N/A,#N/A,FALSE,"Overview";#N/A,#N/A,FALSE,"ProfitAnalysis";#N/A,#N/A,FALSE,"Cashflow";#N/A,#N/A,FALSE,"Capital";#N/A,#N/A,FALSE,"CapDelta";#N/A,#N/A,FALSE,"Grad&amp;Pric"}</definedName>
    <definedName name="KEY_RATIOS">#REF!</definedName>
    <definedName name="kfk" localSheetId="0" hidden="1">{#N/A,#N/A,FALSE,"Assessment";#N/A,#N/A,FALSE,"Staffing";#N/A,#N/A,FALSE,"Hires";#N/A,#N/A,FALSE,"Assumptions"}</definedName>
    <definedName name="kfk" localSheetId="6" hidden="1">{#N/A,#N/A,FALSE,"Assessment";#N/A,#N/A,FALSE,"Staffing";#N/A,#N/A,FALSE,"Hires";#N/A,#N/A,FALSE,"Assumptions"}</definedName>
    <definedName name="kfk" hidden="1">{#N/A,#N/A,FALSE,"Assessment";#N/A,#N/A,FALSE,"Staffing";#N/A,#N/A,FALSE,"Hires";#N/A,#N/A,FALSE,"Assumptions"}</definedName>
    <definedName name="kfk_1" localSheetId="0" hidden="1">{#N/A,#N/A,FALSE,"Assessment";#N/A,#N/A,FALSE,"Staffing";#N/A,#N/A,FALSE,"Hires";#N/A,#N/A,FALSE,"Assumptions"}</definedName>
    <definedName name="kfk_1" localSheetId="6" hidden="1">{#N/A,#N/A,FALSE,"Assessment";#N/A,#N/A,FALSE,"Staffing";#N/A,#N/A,FALSE,"Hires";#N/A,#N/A,FALSE,"Assumptions"}</definedName>
    <definedName name="kfk_1" hidden="1">{#N/A,#N/A,FALSE,"Assessment";#N/A,#N/A,FALSE,"Staffing";#N/A,#N/A,FALSE,"Hires";#N/A,#N/A,FALSE,"Assumptions"}</definedName>
    <definedName name="kfkfkf" localSheetId="0" hidden="1">{#N/A,#N/A,FALSE,"Assessment";#N/A,#N/A,FALSE,"Staffing";#N/A,#N/A,FALSE,"Hires";#N/A,#N/A,FALSE,"Assumptions"}</definedName>
    <definedName name="kfkfkf" localSheetId="6" hidden="1">{#N/A,#N/A,FALSE,"Assessment";#N/A,#N/A,FALSE,"Staffing";#N/A,#N/A,FALSE,"Hires";#N/A,#N/A,FALSE,"Assumptions"}</definedName>
    <definedName name="kfkfkf" hidden="1">{#N/A,#N/A,FALSE,"Assessment";#N/A,#N/A,FALSE,"Staffing";#N/A,#N/A,FALSE,"Hires";#N/A,#N/A,FALSE,"Assumptions"}</definedName>
    <definedName name="kfkfkf_1" localSheetId="0" hidden="1">{#N/A,#N/A,FALSE,"Assessment";#N/A,#N/A,FALSE,"Staffing";#N/A,#N/A,FALSE,"Hires";#N/A,#N/A,FALSE,"Assumptions"}</definedName>
    <definedName name="kfkfkf_1" localSheetId="6" hidden="1">{#N/A,#N/A,FALSE,"Assessment";#N/A,#N/A,FALSE,"Staffing";#N/A,#N/A,FALSE,"Hires";#N/A,#N/A,FALSE,"Assumptions"}</definedName>
    <definedName name="kfkfkf_1" hidden="1">{#N/A,#N/A,FALSE,"Assessment";#N/A,#N/A,FALSE,"Staffing";#N/A,#N/A,FALSE,"Hires";#N/A,#N/A,FALSE,"Assumptions"}</definedName>
    <definedName name="kfn"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kfn"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kgkgk" localSheetId="0" hidden="1">{#N/A,#N/A,TRUE,"Cover sheet";#N/A,#N/A,TRUE,"DCF analysis";#N/A,#N/A,TRUE,"WACC calculation"}</definedName>
    <definedName name="kgkgk" localSheetId="6" hidden="1">{#N/A,#N/A,TRUE,"Cover sheet";#N/A,#N/A,TRUE,"DCF analysis";#N/A,#N/A,TRUE,"WACC calculation"}</definedName>
    <definedName name="kgkgk" hidden="1">{#N/A,#N/A,TRUE,"Cover sheet";#N/A,#N/A,TRUE,"DCF analysis";#N/A,#N/A,TRUE,"WACC calculation"}</definedName>
    <definedName name="KGS_15" hidden="1">#REF!</definedName>
    <definedName name="khgfkhgf" localSheetId="6" hidden="1">{#N/A,#N/A,TRUE,"Cover";#N/A,#N/A,TRUE,"Conts";#N/A,#N/A,TRUE,"VOS";#N/A,#N/A,TRUE,"Warrington";#N/A,#N/A,TRUE,"Widnes"}</definedName>
    <definedName name="khgfkhgf" hidden="1">{#N/A,#N/A,TRUE,"Cover";#N/A,#N/A,TRUE,"Conts";#N/A,#N/A,TRUE,"VOS";#N/A,#N/A,TRUE,"Warrington";#N/A,#N/A,TRUE,"Widnes"}</definedName>
    <definedName name="khgfkhgf_1" localSheetId="6" hidden="1">{#N/A,#N/A,TRUE,"Cover";#N/A,#N/A,TRUE,"Conts";#N/A,#N/A,TRUE,"VOS";#N/A,#N/A,TRUE,"Warrington";#N/A,#N/A,TRUE,"Widnes"}</definedName>
    <definedName name="khgfkhgf_1" hidden="1">{#N/A,#N/A,TRUE,"Cover";#N/A,#N/A,TRUE,"Conts";#N/A,#N/A,TRUE,"VOS";#N/A,#N/A,TRUE,"Warrington";#N/A,#N/A,TRUE,"Widnes"}</definedName>
    <definedName name="KHGKH" localSheetId="6" hidden="1">{#N/A,#N/A,FALSE,"Aging Summary";#N/A,#N/A,FALSE,"Ratio Analysis";#N/A,#N/A,FALSE,"Test 120 Day Accts";#N/A,#N/A,FALSE,"Tickmarks"}</definedName>
    <definedName name="KHGKH" hidden="1">{#N/A,#N/A,FALSE,"Aging Summary";#N/A,#N/A,FALSE,"Ratio Analysis";#N/A,#N/A,FALSE,"Test 120 Day Accts";#N/A,#N/A,FALSE,"Tickmarks"}</definedName>
    <definedName name="khhvqguydvwq" hidden="1">#REF!</definedName>
    <definedName name="khj" localSheetId="0" hidden="1">{#N/A,#N/A,FALSE,"Sheet1"}</definedName>
    <definedName name="khj" localSheetId="6" hidden="1">{#N/A,#N/A,FALSE,"Sheet1"}</definedName>
    <definedName name="khj" hidden="1">{#N/A,#N/A,FALSE,"Sheet1"}</definedName>
    <definedName name="KHOBER">#REF!</definedName>
    <definedName name="khsdfkj" localSheetId="0" hidden="1">{#N/A,#N/A,TRUE,"Cover";#N/A,#N/A,TRUE,"Sum";#N/A,#N/A,TRUE,"SubsRev";#N/A,#N/A,TRUE,"CapEx";#N/A,#N/A,TRUE,"OpEx";#N/A,#N/A,TRUE,"SUs";#N/A,#N/A,TRUE,"OrgChart";#N/A,#N/A,TRUE,"Staff";#N/A,#N/A,TRUE,"P&amp;L";#N/A,#N/A,TRUE,"Cash";#N/A,#N/A,TRUE,"BS";#N/A,#N/A,TRUE,"Valuation";#N/A,#N/A,TRUE,"CapEx-Assumptions";#N/A,#N/A,TRUE,"OpEx-Assumptions"}</definedName>
    <definedName name="khsdfkj" localSheetId="6" hidden="1">{#N/A,#N/A,TRUE,"Cover";#N/A,#N/A,TRUE,"Sum";#N/A,#N/A,TRUE,"SubsRev";#N/A,#N/A,TRUE,"CapEx";#N/A,#N/A,TRUE,"OpEx";#N/A,#N/A,TRUE,"SUs";#N/A,#N/A,TRUE,"OrgChart";#N/A,#N/A,TRUE,"Staff";#N/A,#N/A,TRUE,"P&amp;L";#N/A,#N/A,TRUE,"Cash";#N/A,#N/A,TRUE,"BS";#N/A,#N/A,TRUE,"Valuation";#N/A,#N/A,TRUE,"CapEx-Assumptions";#N/A,#N/A,TRUE,"OpEx-Assumptions"}</definedName>
    <definedName name="khsdfkj" hidden="1">{#N/A,#N/A,TRUE,"Cover";#N/A,#N/A,TRUE,"Sum";#N/A,#N/A,TRUE,"SubsRev";#N/A,#N/A,TRUE,"CapEx";#N/A,#N/A,TRUE,"OpEx";#N/A,#N/A,TRUE,"SUs";#N/A,#N/A,TRUE,"OrgChart";#N/A,#N/A,TRUE,"Staff";#N/A,#N/A,TRUE,"P&amp;L";#N/A,#N/A,TRUE,"Cash";#N/A,#N/A,TRUE,"BS";#N/A,#N/A,TRUE,"Valuation";#N/A,#N/A,TRUE,"CapEx-Assumptions";#N/A,#N/A,TRUE,"OpEx-Assumptions"}</definedName>
    <definedName name="KHURAIS">#REF!</definedName>
    <definedName name="ki" localSheetId="0" hidden="1">{#N/A,#N/A,TRUE,"Cover sheet";#N/A,#N/A,TRUE,"Summary";#N/A,#N/A,TRUE,"Key Assumptions";#N/A,#N/A,TRUE,"Profit &amp; Loss";#N/A,#N/A,TRUE,"Balance Sheet";#N/A,#N/A,TRUE,"Cashflow";#N/A,#N/A,TRUE,"IRR";#N/A,#N/A,TRUE,"Ratios";#N/A,#N/A,TRUE,"Debt analysis"}</definedName>
    <definedName name="ki" localSheetId="6" hidden="1">{#N/A,#N/A,TRUE,"Cover sheet";#N/A,#N/A,TRUE,"Summary";#N/A,#N/A,TRUE,"Key Assumptions";#N/A,#N/A,TRUE,"Profit &amp; Loss";#N/A,#N/A,TRUE,"Balance Sheet";#N/A,#N/A,TRUE,"Cashflow";#N/A,#N/A,TRUE,"IRR";#N/A,#N/A,TRUE,"Ratios";#N/A,#N/A,TRUE,"Debt analysis"}</definedName>
    <definedName name="ki" hidden="1">{#N/A,#N/A,TRUE,"Cover sheet";#N/A,#N/A,TRUE,"Summary";#N/A,#N/A,TRUE,"Key Assumptions";#N/A,#N/A,TRUE,"Profit &amp; Loss";#N/A,#N/A,TRUE,"Balance Sheet";#N/A,#N/A,TRUE,"Cashflow";#N/A,#N/A,TRUE,"IRR";#N/A,#N/A,TRUE,"Ratios";#N/A,#N/A,TRUE,"Debt analysis"}</definedName>
    <definedName name="KIJbweifyv" hidden="1">#REF!</definedName>
    <definedName name="Kind_of_Works">#REF!</definedName>
    <definedName name="KIT" localSheetId="0" hidden="1">{"equity comps",#N/A,FALSE,"CS Comps";"equity comps",#N/A,FALSE,"PS Comps";"equity comps",#N/A,FALSE,"GIC_Comps";"equity comps",#N/A,FALSE,"GIC2_Comps"}</definedName>
    <definedName name="KIT" localSheetId="6" hidden="1">{"equity comps",#N/A,FALSE,"CS Comps";"equity comps",#N/A,FALSE,"PS Comps";"equity comps",#N/A,FALSE,"GIC_Comps";"equity comps",#N/A,FALSE,"GIC2_Comps"}</definedName>
    <definedName name="KIT" hidden="1">{"equity comps",#N/A,FALSE,"CS Comps";"equity comps",#N/A,FALSE,"PS Comps";"equity comps",#N/A,FALSE,"GIC_Comps";"equity comps",#N/A,FALSE,"GIC2_Comps"}</definedName>
    <definedName name="kj" localSheetId="0" hidden="1">{#N/A,#N/A,FALSE,"Cover";#N/A,#N/A,FALSE,"Sensit";#N/A,#N/A,FALSE,"HEW";#N/A,#N/A,FALSE,"Bilanz";#N/A,#N/A,FALSE,"Aufbringung";#N/A,#N/A,FALSE,"Absatz";#N/A,#N/A,FALSE,"Durchleitung";#N/A,#N/A,FALSE,"Konzession";#N/A,#N/A,FALSE,"Personal";#N/A,#N/A,FALSE,"WC ";#N/A,#N/A,FALSE,"Capex Deprec ";#N/A,#N/A,FALSE,"Steuern";#N/A,#N/A,FALSE," Rente";#N/A,#N/A,FALSE," EBITDA"}</definedName>
    <definedName name="kj" localSheetId="6" hidden="1">{#N/A,#N/A,FALSE,"Cover";#N/A,#N/A,FALSE,"Sensit";#N/A,#N/A,FALSE,"HEW";#N/A,#N/A,FALSE,"Bilanz";#N/A,#N/A,FALSE,"Aufbringung";#N/A,#N/A,FALSE,"Absatz";#N/A,#N/A,FALSE,"Durchleitung";#N/A,#N/A,FALSE,"Konzession";#N/A,#N/A,FALSE,"Personal";#N/A,#N/A,FALSE,"WC ";#N/A,#N/A,FALSE,"Capex Deprec ";#N/A,#N/A,FALSE,"Steuern";#N/A,#N/A,FALSE," Rente";#N/A,#N/A,FALSE," EBITDA"}</definedName>
    <definedName name="kj" hidden="1">{#N/A,#N/A,FALSE,"Cover";#N/A,#N/A,FALSE,"Sensit";#N/A,#N/A,FALSE,"HEW";#N/A,#N/A,FALSE,"Bilanz";#N/A,#N/A,FALSE,"Aufbringung";#N/A,#N/A,FALSE,"Absatz";#N/A,#N/A,FALSE,"Durchleitung";#N/A,#N/A,FALSE,"Konzession";#N/A,#N/A,FALSE,"Personal";#N/A,#N/A,FALSE,"WC ";#N/A,#N/A,FALSE,"Capex Deprec ";#N/A,#N/A,FALSE,"Steuern";#N/A,#N/A,FALSE," Rente";#N/A,#N/A,FALSE," EBITDA"}</definedName>
    <definedName name="kj_1" localSheetId="6" hidden="1">{#N/A,#N/A,TRUE,"Cover";#N/A,#N/A,TRUE,"Conts";#N/A,#N/A,TRUE,"VOS";#N/A,#N/A,TRUE,"Warrington";#N/A,#N/A,TRUE,"Widnes"}</definedName>
    <definedName name="kj_1" hidden="1">{#N/A,#N/A,TRUE,"Cover";#N/A,#N/A,TRUE,"Conts";#N/A,#N/A,TRUE,"VOS";#N/A,#N/A,TRUE,"Warrington";#N/A,#N/A,TRUE,"Widnes"}</definedName>
    <definedName name="kjashf"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kjashf"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kjashf"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kjbn"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kjbn"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kjbn" hidden="1">{#N/A,#N/A,TRUE,"COVER2";#N/A,#N/A,TRUE,"AGENDA";#N/A,#N/A,TRUE,"Cover";#N/A,#N/A,TRUE,"4M";#N/A,#N/A,TRUE,"FLP&amp;L4M";#N/A,#N/A,TRUE,"4MMC";#N/A,#N/A,TRUE,"Shp4M";#N/A,#N/A,TRUE,"M5";#N/A,#N/A,TRUE,"Q2";#N/A,#N/A,TRUE,"Q1vsQ2";#N/A,#N/A,TRUE,"M6";#N/A,#N/A,TRUE,"TY";#N/A,#N/A,TRUE,"FLP&amp;LTY";#N/A,#N/A,TRUE,"TYMC";#N/A,#N/A,TRUE,"ShpTY";#N/A,#N/A,TRUE,"8M";#N/A,#N/A,TRUE,"FLP&amp;L8M";#N/A,#N/A,TRUE,"8MMC";#N/A,#N/A,TRUE,"Shp8M"}</definedName>
    <definedName name="kjdjdjd" localSheetId="0" hidden="1">{#N/A,#N/A,FALSE,"Sheet1"}</definedName>
    <definedName name="kjdjdjd" localSheetId="6" hidden="1">{#N/A,#N/A,FALSE,"Sheet1"}</definedName>
    <definedName name="kjdjdjd" hidden="1">{#N/A,#N/A,FALSE,"Sheet1"}</definedName>
    <definedName name="kjdslf" localSheetId="0" hidden="1">{#N/A,#N/A,FALSE,"Sheet1"}</definedName>
    <definedName name="kjdslf" localSheetId="6" hidden="1">{#N/A,#N/A,FALSE,"Sheet1"}</definedName>
    <definedName name="kjdslf" hidden="1">{#N/A,#N/A,FALSE,"Sheet1"}</definedName>
    <definedName name="KJDSNCKJSD" localSheetId="6" hidden="1">{#N/A,#N/A,TRUE,"Inflation";#N/A,#N/A,TRUE,"HCA Summary";#N/A,#N/A,TRUE,"Operating ratio graphs";#N/A,#N/A,TRUE,"HCA";#N/A,#N/A,TRUE,"Revenue";#N/A,#N/A,TRUE,"Opex";#N/A,#N/A,TRUE,"Fixed assets";#N/A,#N/A,TRUE,"Reserves"}</definedName>
    <definedName name="KJDSNCKJSD" hidden="1">{#N/A,#N/A,TRUE,"Inflation";#N/A,#N/A,TRUE,"HCA Summary";#N/A,#N/A,TRUE,"Operating ratio graphs";#N/A,#N/A,TRUE,"HCA";#N/A,#N/A,TRUE,"Revenue";#N/A,#N/A,TRUE,"Opex";#N/A,#N/A,TRUE,"Fixed assets";#N/A,#N/A,TRUE,"Reserves"}</definedName>
    <definedName name="KJGQJIYDV" hidden="1">#REF!</definedName>
    <definedName name="KJH" localSheetId="0" hidden="1">{#N/A,#N/A,FALSE,"Tabl. FB300";#N/A,#N/A,FALSE,"Tabl. FB350";#N/A,#N/A,FALSE,"Tabl. FB400";#N/A,#N/A,FALSE,"Tabl. FB500";#N/A,#N/A,FALSE,"Tabl. FS090"}</definedName>
    <definedName name="KJH" localSheetId="6" hidden="1">{#N/A,#N/A,FALSE,"Tabl. FB300";#N/A,#N/A,FALSE,"Tabl. FB350";#N/A,#N/A,FALSE,"Tabl. FB400";#N/A,#N/A,FALSE,"Tabl. FB500";#N/A,#N/A,FALSE,"Tabl. FS090"}</definedName>
    <definedName name="KJH" hidden="1">{#N/A,#N/A,FALSE,"Tabl. FB300";#N/A,#N/A,FALSE,"Tabl. FB350";#N/A,#N/A,FALSE,"Tabl. FB400";#N/A,#N/A,FALSE,"Tabl. FB500";#N/A,#N/A,FALSE,"Tabl. FS090"}</definedName>
    <definedName name="kjhkj" localSheetId="6"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kj_1" localSheetId="6" hidden="1">{#N/A,#N/A,FALSE,"SumG";#N/A,#N/A,FALSE,"ElecG";#N/A,#N/A,FALSE,"MechG";#N/A,#N/A,FALSE,"GeotG";#N/A,#N/A,FALSE,"PrcsG";#N/A,#N/A,FALSE,"TunnG";#N/A,#N/A,FALSE,"CivlG";#N/A,#N/A,FALSE,"NtwkG";#N/A,#N/A,FALSE,"EstgG";#N/A,#N/A,FALSE,"PEngG"}</definedName>
    <definedName name="kjhkj_1" hidden="1">{#N/A,#N/A,FALSE,"SumG";#N/A,#N/A,FALSE,"ElecG";#N/A,#N/A,FALSE,"MechG";#N/A,#N/A,FALSE,"GeotG";#N/A,#N/A,FALSE,"PrcsG";#N/A,#N/A,FALSE,"TunnG";#N/A,#N/A,FALSE,"CivlG";#N/A,#N/A,FALSE,"NtwkG";#N/A,#N/A,FALSE,"EstgG";#N/A,#N/A,FALSE,"PEngG"}</definedName>
    <definedName name="kjhkl" localSheetId="0" hidden="1">{#N/A,#N/A,FALSE,"Sheet1"}</definedName>
    <definedName name="kjhkl" localSheetId="6" hidden="1">{#N/A,#N/A,FALSE,"Sheet1"}</definedName>
    <definedName name="kjhkl" hidden="1">{#N/A,#N/A,FALSE,"Sheet1"}</definedName>
    <definedName name="kjjedj" localSheetId="6" hidden="1">{"year1",#N/A,FALSE,"IZT";"year2",#N/A,FALSE,"IZT"}</definedName>
    <definedName name="kjjedj" hidden="1">{"year1",#N/A,FALSE,"IZT";"year2",#N/A,FALSE,"IZT"}</definedName>
    <definedName name="KJK" localSheetId="0" hidden="1">#REF!</definedName>
    <definedName name="KJK" hidden="1">#REF!</definedName>
    <definedName name="kjk.l" localSheetId="0" hidden="1">{#N/A,#N/A,FALSE,"Produkte Erw.";#N/A,#N/A,FALSE,"Produkte Plan";#N/A,#N/A,FALSE,"Leistungen Erw.";#N/A,#N/A,FALSE,"Leistungen Plan";#N/A,#N/A,FALSE,"KA Allg.Kosten (2)";#N/A,#N/A,FALSE,"KA All.Kosten"}</definedName>
    <definedName name="kjk.l" localSheetId="6" hidden="1">{#N/A,#N/A,FALSE,"Produkte Erw.";#N/A,#N/A,FALSE,"Produkte Plan";#N/A,#N/A,FALSE,"Leistungen Erw.";#N/A,#N/A,FALSE,"Leistungen Plan";#N/A,#N/A,FALSE,"KA Allg.Kosten (2)";#N/A,#N/A,FALSE,"KA All.Kosten"}</definedName>
    <definedName name="kjk.l" hidden="1">{#N/A,#N/A,FALSE,"Produkte Erw.";#N/A,#N/A,FALSE,"Produkte Plan";#N/A,#N/A,FALSE,"Leistungen Erw.";#N/A,#N/A,FALSE,"Leistungen Plan";#N/A,#N/A,FALSE,"KA Allg.Kosten (2)";#N/A,#N/A,FALSE,"KA All.Kosten"}</definedName>
    <definedName name="kjk.l_1" localSheetId="0" hidden="1">{#N/A,#N/A,FALSE,"Produkte Erw.";#N/A,#N/A,FALSE,"Produkte Plan";#N/A,#N/A,FALSE,"Leistungen Erw.";#N/A,#N/A,FALSE,"Leistungen Plan";#N/A,#N/A,FALSE,"KA Allg.Kosten (2)";#N/A,#N/A,FALSE,"KA All.Kosten"}</definedName>
    <definedName name="kjk.l_1" localSheetId="6" hidden="1">{#N/A,#N/A,FALSE,"Produkte Erw.";#N/A,#N/A,FALSE,"Produkte Plan";#N/A,#N/A,FALSE,"Leistungen Erw.";#N/A,#N/A,FALSE,"Leistungen Plan";#N/A,#N/A,FALSE,"KA Allg.Kosten (2)";#N/A,#N/A,FALSE,"KA All.Kosten"}</definedName>
    <definedName name="kjk.l_1" hidden="1">{#N/A,#N/A,FALSE,"Produkte Erw.";#N/A,#N/A,FALSE,"Produkte Plan";#N/A,#N/A,FALSE,"Leistungen Erw.";#N/A,#N/A,FALSE,"Leistungen Plan";#N/A,#N/A,FALSE,"KA Allg.Kosten (2)";#N/A,#N/A,FALSE,"KA All.Kosten"}</definedName>
    <definedName name="kjk.l_1_1" localSheetId="0" hidden="1">{#N/A,#N/A,FALSE,"Produkte Erw.";#N/A,#N/A,FALSE,"Produkte Plan";#N/A,#N/A,FALSE,"Leistungen Erw.";#N/A,#N/A,FALSE,"Leistungen Plan";#N/A,#N/A,FALSE,"KA Allg.Kosten (2)";#N/A,#N/A,FALSE,"KA All.Kosten"}</definedName>
    <definedName name="kjk.l_1_1" localSheetId="6" hidden="1">{#N/A,#N/A,FALSE,"Produkte Erw.";#N/A,#N/A,FALSE,"Produkte Plan";#N/A,#N/A,FALSE,"Leistungen Erw.";#N/A,#N/A,FALSE,"Leistungen Plan";#N/A,#N/A,FALSE,"KA Allg.Kosten (2)";#N/A,#N/A,FALSE,"KA All.Kosten"}</definedName>
    <definedName name="kjk.l_1_1" hidden="1">{#N/A,#N/A,FALSE,"Produkte Erw.";#N/A,#N/A,FALSE,"Produkte Plan";#N/A,#N/A,FALSE,"Leistungen Erw.";#N/A,#N/A,FALSE,"Leistungen Plan";#N/A,#N/A,FALSE,"KA Allg.Kosten (2)";#N/A,#N/A,FALSE,"KA All.Kosten"}</definedName>
    <definedName name="kjk.l_2" localSheetId="0" hidden="1">{#N/A,#N/A,FALSE,"Produkte Erw.";#N/A,#N/A,FALSE,"Produkte Plan";#N/A,#N/A,FALSE,"Leistungen Erw.";#N/A,#N/A,FALSE,"Leistungen Plan";#N/A,#N/A,FALSE,"KA Allg.Kosten (2)";#N/A,#N/A,FALSE,"KA All.Kosten"}</definedName>
    <definedName name="kjk.l_2" localSheetId="6" hidden="1">{#N/A,#N/A,FALSE,"Produkte Erw.";#N/A,#N/A,FALSE,"Produkte Plan";#N/A,#N/A,FALSE,"Leistungen Erw.";#N/A,#N/A,FALSE,"Leistungen Plan";#N/A,#N/A,FALSE,"KA Allg.Kosten (2)";#N/A,#N/A,FALSE,"KA All.Kosten"}</definedName>
    <definedName name="kjk.l_2" hidden="1">{#N/A,#N/A,FALSE,"Produkte Erw.";#N/A,#N/A,FALSE,"Produkte Plan";#N/A,#N/A,FALSE,"Leistungen Erw.";#N/A,#N/A,FALSE,"Leistungen Plan";#N/A,#N/A,FALSE,"KA Allg.Kosten (2)";#N/A,#N/A,FALSE,"KA All.Kosten"}</definedName>
    <definedName name="kjk.l_3" localSheetId="0" hidden="1">{#N/A,#N/A,FALSE,"Produkte Erw.";#N/A,#N/A,FALSE,"Produkte Plan";#N/A,#N/A,FALSE,"Leistungen Erw.";#N/A,#N/A,FALSE,"Leistungen Plan";#N/A,#N/A,FALSE,"KA Allg.Kosten (2)";#N/A,#N/A,FALSE,"KA All.Kosten"}</definedName>
    <definedName name="kjk.l_3" localSheetId="6" hidden="1">{#N/A,#N/A,FALSE,"Produkte Erw.";#N/A,#N/A,FALSE,"Produkte Plan";#N/A,#N/A,FALSE,"Leistungen Erw.";#N/A,#N/A,FALSE,"Leistungen Plan";#N/A,#N/A,FALSE,"KA Allg.Kosten (2)";#N/A,#N/A,FALSE,"KA All.Kosten"}</definedName>
    <definedName name="kjk.l_3" hidden="1">{#N/A,#N/A,FALSE,"Produkte Erw.";#N/A,#N/A,FALSE,"Produkte Plan";#N/A,#N/A,FALSE,"Leistungen Erw.";#N/A,#N/A,FALSE,"Leistungen Plan";#N/A,#N/A,FALSE,"KA Allg.Kosten (2)";#N/A,#N/A,FALSE,"KA All.Kosten"}</definedName>
    <definedName name="kjk.l_4" localSheetId="0" hidden="1">{#N/A,#N/A,FALSE,"Produkte Erw.";#N/A,#N/A,FALSE,"Produkte Plan";#N/A,#N/A,FALSE,"Leistungen Erw.";#N/A,#N/A,FALSE,"Leistungen Plan";#N/A,#N/A,FALSE,"KA Allg.Kosten (2)";#N/A,#N/A,FALSE,"KA All.Kosten"}</definedName>
    <definedName name="kjk.l_4" localSheetId="6" hidden="1">{#N/A,#N/A,FALSE,"Produkte Erw.";#N/A,#N/A,FALSE,"Produkte Plan";#N/A,#N/A,FALSE,"Leistungen Erw.";#N/A,#N/A,FALSE,"Leistungen Plan";#N/A,#N/A,FALSE,"KA Allg.Kosten (2)";#N/A,#N/A,FALSE,"KA All.Kosten"}</definedName>
    <definedName name="kjk.l_4" hidden="1">{#N/A,#N/A,FALSE,"Produkte Erw.";#N/A,#N/A,FALSE,"Produkte Plan";#N/A,#N/A,FALSE,"Leistungen Erw.";#N/A,#N/A,FALSE,"Leistungen Plan";#N/A,#N/A,FALSE,"KA Allg.Kosten (2)";#N/A,#N/A,FALSE,"KA All.Kosten"}</definedName>
    <definedName name="kjk.l_5" localSheetId="0" hidden="1">{#N/A,#N/A,FALSE,"Produkte Erw.";#N/A,#N/A,FALSE,"Produkte Plan";#N/A,#N/A,FALSE,"Leistungen Erw.";#N/A,#N/A,FALSE,"Leistungen Plan";#N/A,#N/A,FALSE,"KA Allg.Kosten (2)";#N/A,#N/A,FALSE,"KA All.Kosten"}</definedName>
    <definedName name="kjk.l_5" localSheetId="6" hidden="1">{#N/A,#N/A,FALSE,"Produkte Erw.";#N/A,#N/A,FALSE,"Produkte Plan";#N/A,#N/A,FALSE,"Leistungen Erw.";#N/A,#N/A,FALSE,"Leistungen Plan";#N/A,#N/A,FALSE,"KA Allg.Kosten (2)";#N/A,#N/A,FALSE,"KA All.Kosten"}</definedName>
    <definedName name="kjk.l_5" hidden="1">{#N/A,#N/A,FALSE,"Produkte Erw.";#N/A,#N/A,FALSE,"Produkte Plan";#N/A,#N/A,FALSE,"Leistungen Erw.";#N/A,#N/A,FALSE,"Leistungen Plan";#N/A,#N/A,FALSE,"KA Allg.Kosten (2)";#N/A,#N/A,FALSE,"KA All.Kosten"}</definedName>
    <definedName name="kjljkölhklh" localSheetId="0" hidden="1">{#N/A,#N/A,FALSE,"Produkte Erw.";#N/A,#N/A,FALSE,"Produkte Plan";#N/A,#N/A,FALSE,"Leistungen Erw.";#N/A,#N/A,FALSE,"Leistungen Plan";#N/A,#N/A,FALSE,"KA Allg.Kosten (2)";#N/A,#N/A,FALSE,"KA All.Kosten"}</definedName>
    <definedName name="kjljkölhklh" localSheetId="6" hidden="1">{#N/A,#N/A,FALSE,"Produkte Erw.";#N/A,#N/A,FALSE,"Produkte Plan";#N/A,#N/A,FALSE,"Leistungen Erw.";#N/A,#N/A,FALSE,"Leistungen Plan";#N/A,#N/A,FALSE,"KA Allg.Kosten (2)";#N/A,#N/A,FALSE,"KA All.Kosten"}</definedName>
    <definedName name="kjljkölhklh" hidden="1">{#N/A,#N/A,FALSE,"Produkte Erw.";#N/A,#N/A,FALSE,"Produkte Plan";#N/A,#N/A,FALSE,"Leistungen Erw.";#N/A,#N/A,FALSE,"Leistungen Plan";#N/A,#N/A,FALSE,"KA Allg.Kosten (2)";#N/A,#N/A,FALSE,"KA All.Kosten"}</definedName>
    <definedName name="kjljkölhklh_1" localSheetId="0" hidden="1">{#N/A,#N/A,FALSE,"Produkte Erw.";#N/A,#N/A,FALSE,"Produkte Plan";#N/A,#N/A,FALSE,"Leistungen Erw.";#N/A,#N/A,FALSE,"Leistungen Plan";#N/A,#N/A,FALSE,"KA Allg.Kosten (2)";#N/A,#N/A,FALSE,"KA All.Kosten"}</definedName>
    <definedName name="kjljkölhklh_1" localSheetId="6" hidden="1">{#N/A,#N/A,FALSE,"Produkte Erw.";#N/A,#N/A,FALSE,"Produkte Plan";#N/A,#N/A,FALSE,"Leistungen Erw.";#N/A,#N/A,FALSE,"Leistungen Plan";#N/A,#N/A,FALSE,"KA Allg.Kosten (2)";#N/A,#N/A,FALSE,"KA All.Kosten"}</definedName>
    <definedName name="kjljkölhklh_1" hidden="1">{#N/A,#N/A,FALSE,"Produkte Erw.";#N/A,#N/A,FALSE,"Produkte Plan";#N/A,#N/A,FALSE,"Leistungen Erw.";#N/A,#N/A,FALSE,"Leistungen Plan";#N/A,#N/A,FALSE,"KA Allg.Kosten (2)";#N/A,#N/A,FALSE,"KA All.Kosten"}</definedName>
    <definedName name="kjljkölhklh_1_1" localSheetId="0" hidden="1">{#N/A,#N/A,FALSE,"Produkte Erw.";#N/A,#N/A,FALSE,"Produkte Plan";#N/A,#N/A,FALSE,"Leistungen Erw.";#N/A,#N/A,FALSE,"Leistungen Plan";#N/A,#N/A,FALSE,"KA Allg.Kosten (2)";#N/A,#N/A,FALSE,"KA All.Kosten"}</definedName>
    <definedName name="kjljkölhklh_1_1" localSheetId="6" hidden="1">{#N/A,#N/A,FALSE,"Produkte Erw.";#N/A,#N/A,FALSE,"Produkte Plan";#N/A,#N/A,FALSE,"Leistungen Erw.";#N/A,#N/A,FALSE,"Leistungen Plan";#N/A,#N/A,FALSE,"KA Allg.Kosten (2)";#N/A,#N/A,FALSE,"KA All.Kosten"}</definedName>
    <definedName name="kjljkölhklh_1_1" hidden="1">{#N/A,#N/A,FALSE,"Produkte Erw.";#N/A,#N/A,FALSE,"Produkte Plan";#N/A,#N/A,FALSE,"Leistungen Erw.";#N/A,#N/A,FALSE,"Leistungen Plan";#N/A,#N/A,FALSE,"KA Allg.Kosten (2)";#N/A,#N/A,FALSE,"KA All.Kosten"}</definedName>
    <definedName name="kjljkölhklh_2" localSheetId="0" hidden="1">{#N/A,#N/A,FALSE,"Produkte Erw.";#N/A,#N/A,FALSE,"Produkte Plan";#N/A,#N/A,FALSE,"Leistungen Erw.";#N/A,#N/A,FALSE,"Leistungen Plan";#N/A,#N/A,FALSE,"KA Allg.Kosten (2)";#N/A,#N/A,FALSE,"KA All.Kosten"}</definedName>
    <definedName name="kjljkölhklh_2" localSheetId="6" hidden="1">{#N/A,#N/A,FALSE,"Produkte Erw.";#N/A,#N/A,FALSE,"Produkte Plan";#N/A,#N/A,FALSE,"Leistungen Erw.";#N/A,#N/A,FALSE,"Leistungen Plan";#N/A,#N/A,FALSE,"KA Allg.Kosten (2)";#N/A,#N/A,FALSE,"KA All.Kosten"}</definedName>
    <definedName name="kjljkölhklh_2" hidden="1">{#N/A,#N/A,FALSE,"Produkte Erw.";#N/A,#N/A,FALSE,"Produkte Plan";#N/A,#N/A,FALSE,"Leistungen Erw.";#N/A,#N/A,FALSE,"Leistungen Plan";#N/A,#N/A,FALSE,"KA Allg.Kosten (2)";#N/A,#N/A,FALSE,"KA All.Kosten"}</definedName>
    <definedName name="kjljkölhklh_3" localSheetId="0" hidden="1">{#N/A,#N/A,FALSE,"Produkte Erw.";#N/A,#N/A,FALSE,"Produkte Plan";#N/A,#N/A,FALSE,"Leistungen Erw.";#N/A,#N/A,FALSE,"Leistungen Plan";#N/A,#N/A,FALSE,"KA Allg.Kosten (2)";#N/A,#N/A,FALSE,"KA All.Kosten"}</definedName>
    <definedName name="kjljkölhklh_3" localSheetId="6" hidden="1">{#N/A,#N/A,FALSE,"Produkte Erw.";#N/A,#N/A,FALSE,"Produkte Plan";#N/A,#N/A,FALSE,"Leistungen Erw.";#N/A,#N/A,FALSE,"Leistungen Plan";#N/A,#N/A,FALSE,"KA Allg.Kosten (2)";#N/A,#N/A,FALSE,"KA All.Kosten"}</definedName>
    <definedName name="kjljkölhklh_3" hidden="1">{#N/A,#N/A,FALSE,"Produkte Erw.";#N/A,#N/A,FALSE,"Produkte Plan";#N/A,#N/A,FALSE,"Leistungen Erw.";#N/A,#N/A,FALSE,"Leistungen Plan";#N/A,#N/A,FALSE,"KA Allg.Kosten (2)";#N/A,#N/A,FALSE,"KA All.Kosten"}</definedName>
    <definedName name="kjljkölhklh_4" localSheetId="0" hidden="1">{#N/A,#N/A,FALSE,"Produkte Erw.";#N/A,#N/A,FALSE,"Produkte Plan";#N/A,#N/A,FALSE,"Leistungen Erw.";#N/A,#N/A,FALSE,"Leistungen Plan";#N/A,#N/A,FALSE,"KA Allg.Kosten (2)";#N/A,#N/A,FALSE,"KA All.Kosten"}</definedName>
    <definedName name="kjljkölhklh_4" localSheetId="6" hidden="1">{#N/A,#N/A,FALSE,"Produkte Erw.";#N/A,#N/A,FALSE,"Produkte Plan";#N/A,#N/A,FALSE,"Leistungen Erw.";#N/A,#N/A,FALSE,"Leistungen Plan";#N/A,#N/A,FALSE,"KA Allg.Kosten (2)";#N/A,#N/A,FALSE,"KA All.Kosten"}</definedName>
    <definedName name="kjljkölhklh_4" hidden="1">{#N/A,#N/A,FALSE,"Produkte Erw.";#N/A,#N/A,FALSE,"Produkte Plan";#N/A,#N/A,FALSE,"Leistungen Erw.";#N/A,#N/A,FALSE,"Leistungen Plan";#N/A,#N/A,FALSE,"KA Allg.Kosten (2)";#N/A,#N/A,FALSE,"KA All.Kosten"}</definedName>
    <definedName name="kjljkölhklh_5" localSheetId="0" hidden="1">{#N/A,#N/A,FALSE,"Produkte Erw.";#N/A,#N/A,FALSE,"Produkte Plan";#N/A,#N/A,FALSE,"Leistungen Erw.";#N/A,#N/A,FALSE,"Leistungen Plan";#N/A,#N/A,FALSE,"KA Allg.Kosten (2)";#N/A,#N/A,FALSE,"KA All.Kosten"}</definedName>
    <definedName name="kjljkölhklh_5" localSheetId="6" hidden="1">{#N/A,#N/A,FALSE,"Produkte Erw.";#N/A,#N/A,FALSE,"Produkte Plan";#N/A,#N/A,FALSE,"Leistungen Erw.";#N/A,#N/A,FALSE,"Leistungen Plan";#N/A,#N/A,FALSE,"KA Allg.Kosten (2)";#N/A,#N/A,FALSE,"KA All.Kosten"}</definedName>
    <definedName name="kjljkölhklh_5" hidden="1">{#N/A,#N/A,FALSE,"Produkte Erw.";#N/A,#N/A,FALSE,"Produkte Plan";#N/A,#N/A,FALSE,"Leistungen Erw.";#N/A,#N/A,FALSE,"Leistungen Plan";#N/A,#N/A,FALSE,"KA Allg.Kosten (2)";#N/A,#N/A,FALSE,"KA All.Kosten"}</definedName>
    <definedName name="kjvwbevkbwqe" hidden="1">#REF!</definedName>
    <definedName name="kk" localSheetId="0" hidden="1">{"sch17",#N/A,FALSE,"Oth Inv";"sch17a",#N/A,FALSE,"Oth Inv";"sch17b",#N/A,FALSE,"Oth Inv"}</definedName>
    <definedName name="kk" localSheetId="6" hidden="1">{"sch17",#N/A,FALSE,"Oth Inv";"sch17a",#N/A,FALSE,"Oth Inv";"sch17b",#N/A,FALSE,"Oth Inv"}</definedName>
    <definedName name="kk" hidden="1">{"sch17",#N/A,FALSE,"Oth Inv";"sch17a",#N/A,FALSE,"Oth Inv";"sch17b",#N/A,FALSE,"Oth Inv"}</definedName>
    <definedName name="kk.l" localSheetId="0" hidden="1">{#N/A,#N/A,FALSE,"Produkte Erw.";#N/A,#N/A,FALSE,"Produkte Plan";#N/A,#N/A,FALSE,"Leistungen Erw.";#N/A,#N/A,FALSE,"Leistungen Plan";#N/A,#N/A,FALSE,"KA Allg.Kosten (2)";#N/A,#N/A,FALSE,"KA All.Kosten"}</definedName>
    <definedName name="kk.l" localSheetId="6" hidden="1">{#N/A,#N/A,FALSE,"Produkte Erw.";#N/A,#N/A,FALSE,"Produkte Plan";#N/A,#N/A,FALSE,"Leistungen Erw.";#N/A,#N/A,FALSE,"Leistungen Plan";#N/A,#N/A,FALSE,"KA Allg.Kosten (2)";#N/A,#N/A,FALSE,"KA All.Kosten"}</definedName>
    <definedName name="kk.l" hidden="1">{#N/A,#N/A,FALSE,"Produkte Erw.";#N/A,#N/A,FALSE,"Produkte Plan";#N/A,#N/A,FALSE,"Leistungen Erw.";#N/A,#N/A,FALSE,"Leistungen Plan";#N/A,#N/A,FALSE,"KA Allg.Kosten (2)";#N/A,#N/A,FALSE,"KA All.Kosten"}</definedName>
    <definedName name="kk.l_1" localSheetId="0" hidden="1">{#N/A,#N/A,FALSE,"Produkte Erw.";#N/A,#N/A,FALSE,"Produkte Plan";#N/A,#N/A,FALSE,"Leistungen Erw.";#N/A,#N/A,FALSE,"Leistungen Plan";#N/A,#N/A,FALSE,"KA Allg.Kosten (2)";#N/A,#N/A,FALSE,"KA All.Kosten"}</definedName>
    <definedName name="kk.l_1" localSheetId="6" hidden="1">{#N/A,#N/A,FALSE,"Produkte Erw.";#N/A,#N/A,FALSE,"Produkte Plan";#N/A,#N/A,FALSE,"Leistungen Erw.";#N/A,#N/A,FALSE,"Leistungen Plan";#N/A,#N/A,FALSE,"KA Allg.Kosten (2)";#N/A,#N/A,FALSE,"KA All.Kosten"}</definedName>
    <definedName name="kk.l_1" hidden="1">{#N/A,#N/A,FALSE,"Produkte Erw.";#N/A,#N/A,FALSE,"Produkte Plan";#N/A,#N/A,FALSE,"Leistungen Erw.";#N/A,#N/A,FALSE,"Leistungen Plan";#N/A,#N/A,FALSE,"KA Allg.Kosten (2)";#N/A,#N/A,FALSE,"KA All.Kosten"}</definedName>
    <definedName name="kk.l_1_1" localSheetId="0" hidden="1">{#N/A,#N/A,FALSE,"Produkte Erw.";#N/A,#N/A,FALSE,"Produkte Plan";#N/A,#N/A,FALSE,"Leistungen Erw.";#N/A,#N/A,FALSE,"Leistungen Plan";#N/A,#N/A,FALSE,"KA Allg.Kosten (2)";#N/A,#N/A,FALSE,"KA All.Kosten"}</definedName>
    <definedName name="kk.l_1_1" localSheetId="6" hidden="1">{#N/A,#N/A,FALSE,"Produkte Erw.";#N/A,#N/A,FALSE,"Produkte Plan";#N/A,#N/A,FALSE,"Leistungen Erw.";#N/A,#N/A,FALSE,"Leistungen Plan";#N/A,#N/A,FALSE,"KA Allg.Kosten (2)";#N/A,#N/A,FALSE,"KA All.Kosten"}</definedName>
    <definedName name="kk.l_1_1" hidden="1">{#N/A,#N/A,FALSE,"Produkte Erw.";#N/A,#N/A,FALSE,"Produkte Plan";#N/A,#N/A,FALSE,"Leistungen Erw.";#N/A,#N/A,FALSE,"Leistungen Plan";#N/A,#N/A,FALSE,"KA Allg.Kosten (2)";#N/A,#N/A,FALSE,"KA All.Kosten"}</definedName>
    <definedName name="kk.l_2" localSheetId="0" hidden="1">{#N/A,#N/A,FALSE,"Produkte Erw.";#N/A,#N/A,FALSE,"Produkte Plan";#N/A,#N/A,FALSE,"Leistungen Erw.";#N/A,#N/A,FALSE,"Leistungen Plan";#N/A,#N/A,FALSE,"KA Allg.Kosten (2)";#N/A,#N/A,FALSE,"KA All.Kosten"}</definedName>
    <definedName name="kk.l_2" localSheetId="6" hidden="1">{#N/A,#N/A,FALSE,"Produkte Erw.";#N/A,#N/A,FALSE,"Produkte Plan";#N/A,#N/A,FALSE,"Leistungen Erw.";#N/A,#N/A,FALSE,"Leistungen Plan";#N/A,#N/A,FALSE,"KA Allg.Kosten (2)";#N/A,#N/A,FALSE,"KA All.Kosten"}</definedName>
    <definedName name="kk.l_2" hidden="1">{#N/A,#N/A,FALSE,"Produkte Erw.";#N/A,#N/A,FALSE,"Produkte Plan";#N/A,#N/A,FALSE,"Leistungen Erw.";#N/A,#N/A,FALSE,"Leistungen Plan";#N/A,#N/A,FALSE,"KA Allg.Kosten (2)";#N/A,#N/A,FALSE,"KA All.Kosten"}</definedName>
    <definedName name="kk.l_3" localSheetId="0" hidden="1">{#N/A,#N/A,FALSE,"Produkte Erw.";#N/A,#N/A,FALSE,"Produkte Plan";#N/A,#N/A,FALSE,"Leistungen Erw.";#N/A,#N/A,FALSE,"Leistungen Plan";#N/A,#N/A,FALSE,"KA Allg.Kosten (2)";#N/A,#N/A,FALSE,"KA All.Kosten"}</definedName>
    <definedName name="kk.l_3" localSheetId="6" hidden="1">{#N/A,#N/A,FALSE,"Produkte Erw.";#N/A,#N/A,FALSE,"Produkte Plan";#N/A,#N/A,FALSE,"Leistungen Erw.";#N/A,#N/A,FALSE,"Leistungen Plan";#N/A,#N/A,FALSE,"KA Allg.Kosten (2)";#N/A,#N/A,FALSE,"KA All.Kosten"}</definedName>
    <definedName name="kk.l_3" hidden="1">{#N/A,#N/A,FALSE,"Produkte Erw.";#N/A,#N/A,FALSE,"Produkte Plan";#N/A,#N/A,FALSE,"Leistungen Erw.";#N/A,#N/A,FALSE,"Leistungen Plan";#N/A,#N/A,FALSE,"KA Allg.Kosten (2)";#N/A,#N/A,FALSE,"KA All.Kosten"}</definedName>
    <definedName name="kk.l_4" localSheetId="0" hidden="1">{#N/A,#N/A,FALSE,"Produkte Erw.";#N/A,#N/A,FALSE,"Produkte Plan";#N/A,#N/A,FALSE,"Leistungen Erw.";#N/A,#N/A,FALSE,"Leistungen Plan";#N/A,#N/A,FALSE,"KA Allg.Kosten (2)";#N/A,#N/A,FALSE,"KA All.Kosten"}</definedName>
    <definedName name="kk.l_4" localSheetId="6" hidden="1">{#N/A,#N/A,FALSE,"Produkte Erw.";#N/A,#N/A,FALSE,"Produkte Plan";#N/A,#N/A,FALSE,"Leistungen Erw.";#N/A,#N/A,FALSE,"Leistungen Plan";#N/A,#N/A,FALSE,"KA Allg.Kosten (2)";#N/A,#N/A,FALSE,"KA All.Kosten"}</definedName>
    <definedName name="kk.l_4" hidden="1">{#N/A,#N/A,FALSE,"Produkte Erw.";#N/A,#N/A,FALSE,"Produkte Plan";#N/A,#N/A,FALSE,"Leistungen Erw.";#N/A,#N/A,FALSE,"Leistungen Plan";#N/A,#N/A,FALSE,"KA Allg.Kosten (2)";#N/A,#N/A,FALSE,"KA All.Kosten"}</definedName>
    <definedName name="kk.l_5" localSheetId="0" hidden="1">{#N/A,#N/A,FALSE,"Produkte Erw.";#N/A,#N/A,FALSE,"Produkte Plan";#N/A,#N/A,FALSE,"Leistungen Erw.";#N/A,#N/A,FALSE,"Leistungen Plan";#N/A,#N/A,FALSE,"KA Allg.Kosten (2)";#N/A,#N/A,FALSE,"KA All.Kosten"}</definedName>
    <definedName name="kk.l_5" localSheetId="6" hidden="1">{#N/A,#N/A,FALSE,"Produkte Erw.";#N/A,#N/A,FALSE,"Produkte Plan";#N/A,#N/A,FALSE,"Leistungen Erw.";#N/A,#N/A,FALSE,"Leistungen Plan";#N/A,#N/A,FALSE,"KA Allg.Kosten (2)";#N/A,#N/A,FALSE,"KA All.Kosten"}</definedName>
    <definedName name="kk.l_5" hidden="1">{#N/A,#N/A,FALSE,"Produkte Erw.";#N/A,#N/A,FALSE,"Produkte Plan";#N/A,#N/A,FALSE,"Leistungen Erw.";#N/A,#N/A,FALSE,"Leistungen Plan";#N/A,#N/A,FALSE,"KA Allg.Kosten (2)";#N/A,#N/A,FALSE,"KA All.Kosten"}</definedName>
    <definedName name="kk_1" localSheetId="0" hidden="1">{"sch17",#N/A,FALSE,"Oth Inv";"sch17a",#N/A,FALSE,"Oth Inv";"sch17b",#N/A,FALSE,"Oth Inv"}</definedName>
    <definedName name="kk_1" localSheetId="6" hidden="1">{"sch17",#N/A,FALSE,"Oth Inv";"sch17a",#N/A,FALSE,"Oth Inv";"sch17b",#N/A,FALSE,"Oth Inv"}</definedName>
    <definedName name="kk_1" hidden="1">{"sch17",#N/A,FALSE,"Oth Inv";"sch17a",#N/A,FALSE,"Oth Inv";"sch17b",#N/A,FALSE,"Oth Inv"}</definedName>
    <definedName name="KKK" hidden="1">#REF!</definedName>
    <definedName name="kkk.llll" localSheetId="0" hidden="1">{#N/A,#N/A,FALSE,"Umsatz CH";#N/A,#N/A,FALSE,"ER CH";#N/A,#N/A,FALSE,"EA CH (2) ";#N/A,#N/A,FALSE,"EA CH";#N/A,#N/A,FALSE,"EA CH (3) ";#N/A,#N/A,FALSE,"EA CH (4)";#N/A,#N/A,FALSE,"KA CH";#N/A,#N/A,FALSE,"KA CH  (2)";#N/A,#N/A,FALSE,"KA CH  (3)";#N/A,#N/A,FALSE,"KA CH (4)"}</definedName>
    <definedName name="kkk.llll" localSheetId="6" hidden="1">{#N/A,#N/A,FALSE,"Umsatz CH";#N/A,#N/A,FALSE,"ER CH";#N/A,#N/A,FALSE,"EA CH (2) ";#N/A,#N/A,FALSE,"EA CH";#N/A,#N/A,FALSE,"EA CH (3) ";#N/A,#N/A,FALSE,"EA CH (4)";#N/A,#N/A,FALSE,"KA CH";#N/A,#N/A,FALSE,"KA CH  (2)";#N/A,#N/A,FALSE,"KA CH  (3)";#N/A,#N/A,FALSE,"KA CH (4)"}</definedName>
    <definedName name="kkk.llll" hidden="1">{#N/A,#N/A,FALSE,"Umsatz CH";#N/A,#N/A,FALSE,"ER CH";#N/A,#N/A,FALSE,"EA CH (2) ";#N/A,#N/A,FALSE,"EA CH";#N/A,#N/A,FALSE,"EA CH (3) ";#N/A,#N/A,FALSE,"EA CH (4)";#N/A,#N/A,FALSE,"KA CH";#N/A,#N/A,FALSE,"KA CH  (2)";#N/A,#N/A,FALSE,"KA CH  (3)";#N/A,#N/A,FALSE,"KA CH (4)"}</definedName>
    <definedName name="kkk.llll_1" localSheetId="0" hidden="1">{#N/A,#N/A,FALSE,"Umsatz CH";#N/A,#N/A,FALSE,"ER CH";#N/A,#N/A,FALSE,"EA CH (2) ";#N/A,#N/A,FALSE,"EA CH";#N/A,#N/A,FALSE,"EA CH (3) ";#N/A,#N/A,FALSE,"EA CH (4)";#N/A,#N/A,FALSE,"KA CH";#N/A,#N/A,FALSE,"KA CH  (2)";#N/A,#N/A,FALSE,"KA CH  (3)";#N/A,#N/A,FALSE,"KA CH (4)"}</definedName>
    <definedName name="kkk.llll_1" localSheetId="6" hidden="1">{#N/A,#N/A,FALSE,"Umsatz CH";#N/A,#N/A,FALSE,"ER CH";#N/A,#N/A,FALSE,"EA CH (2) ";#N/A,#N/A,FALSE,"EA CH";#N/A,#N/A,FALSE,"EA CH (3) ";#N/A,#N/A,FALSE,"EA CH (4)";#N/A,#N/A,FALSE,"KA CH";#N/A,#N/A,FALSE,"KA CH  (2)";#N/A,#N/A,FALSE,"KA CH  (3)";#N/A,#N/A,FALSE,"KA CH (4)"}</definedName>
    <definedName name="kkk.llll_1" hidden="1">{#N/A,#N/A,FALSE,"Umsatz CH";#N/A,#N/A,FALSE,"ER CH";#N/A,#N/A,FALSE,"EA CH (2) ";#N/A,#N/A,FALSE,"EA CH";#N/A,#N/A,FALSE,"EA CH (3) ";#N/A,#N/A,FALSE,"EA CH (4)";#N/A,#N/A,FALSE,"KA CH";#N/A,#N/A,FALSE,"KA CH  (2)";#N/A,#N/A,FALSE,"KA CH  (3)";#N/A,#N/A,FALSE,"KA CH (4)"}</definedName>
    <definedName name="kkk.llll_1_1" localSheetId="0" hidden="1">{#N/A,#N/A,FALSE,"Umsatz CH";#N/A,#N/A,FALSE,"ER CH";#N/A,#N/A,FALSE,"EA CH (2) ";#N/A,#N/A,FALSE,"EA CH";#N/A,#N/A,FALSE,"EA CH (3) ";#N/A,#N/A,FALSE,"EA CH (4)";#N/A,#N/A,FALSE,"KA CH";#N/A,#N/A,FALSE,"KA CH  (2)";#N/A,#N/A,FALSE,"KA CH  (3)";#N/A,#N/A,FALSE,"KA CH (4)"}</definedName>
    <definedName name="kkk.llll_1_1" localSheetId="6" hidden="1">{#N/A,#N/A,FALSE,"Umsatz CH";#N/A,#N/A,FALSE,"ER CH";#N/A,#N/A,FALSE,"EA CH (2) ";#N/A,#N/A,FALSE,"EA CH";#N/A,#N/A,FALSE,"EA CH (3) ";#N/A,#N/A,FALSE,"EA CH (4)";#N/A,#N/A,FALSE,"KA CH";#N/A,#N/A,FALSE,"KA CH  (2)";#N/A,#N/A,FALSE,"KA CH  (3)";#N/A,#N/A,FALSE,"KA CH (4)"}</definedName>
    <definedName name="kkk.llll_1_1" hidden="1">{#N/A,#N/A,FALSE,"Umsatz CH";#N/A,#N/A,FALSE,"ER CH";#N/A,#N/A,FALSE,"EA CH (2) ";#N/A,#N/A,FALSE,"EA CH";#N/A,#N/A,FALSE,"EA CH (3) ";#N/A,#N/A,FALSE,"EA CH (4)";#N/A,#N/A,FALSE,"KA CH";#N/A,#N/A,FALSE,"KA CH  (2)";#N/A,#N/A,FALSE,"KA CH  (3)";#N/A,#N/A,FALSE,"KA CH (4)"}</definedName>
    <definedName name="kkk.llll_2" localSheetId="0" hidden="1">{#N/A,#N/A,FALSE,"Umsatz CH";#N/A,#N/A,FALSE,"ER CH";#N/A,#N/A,FALSE,"EA CH (2) ";#N/A,#N/A,FALSE,"EA CH";#N/A,#N/A,FALSE,"EA CH (3) ";#N/A,#N/A,FALSE,"EA CH (4)";#N/A,#N/A,FALSE,"KA CH";#N/A,#N/A,FALSE,"KA CH  (2)";#N/A,#N/A,FALSE,"KA CH  (3)";#N/A,#N/A,FALSE,"KA CH (4)"}</definedName>
    <definedName name="kkk.llll_2" localSheetId="6" hidden="1">{#N/A,#N/A,FALSE,"Umsatz CH";#N/A,#N/A,FALSE,"ER CH";#N/A,#N/A,FALSE,"EA CH (2) ";#N/A,#N/A,FALSE,"EA CH";#N/A,#N/A,FALSE,"EA CH (3) ";#N/A,#N/A,FALSE,"EA CH (4)";#N/A,#N/A,FALSE,"KA CH";#N/A,#N/A,FALSE,"KA CH  (2)";#N/A,#N/A,FALSE,"KA CH  (3)";#N/A,#N/A,FALSE,"KA CH (4)"}</definedName>
    <definedName name="kkk.llll_2" hidden="1">{#N/A,#N/A,FALSE,"Umsatz CH";#N/A,#N/A,FALSE,"ER CH";#N/A,#N/A,FALSE,"EA CH (2) ";#N/A,#N/A,FALSE,"EA CH";#N/A,#N/A,FALSE,"EA CH (3) ";#N/A,#N/A,FALSE,"EA CH (4)";#N/A,#N/A,FALSE,"KA CH";#N/A,#N/A,FALSE,"KA CH  (2)";#N/A,#N/A,FALSE,"KA CH  (3)";#N/A,#N/A,FALSE,"KA CH (4)"}</definedName>
    <definedName name="kkk.llll_3" localSheetId="0" hidden="1">{#N/A,#N/A,FALSE,"Umsatz CH";#N/A,#N/A,FALSE,"ER CH";#N/A,#N/A,FALSE,"EA CH (2) ";#N/A,#N/A,FALSE,"EA CH";#N/A,#N/A,FALSE,"EA CH (3) ";#N/A,#N/A,FALSE,"EA CH (4)";#N/A,#N/A,FALSE,"KA CH";#N/A,#N/A,FALSE,"KA CH  (2)";#N/A,#N/A,FALSE,"KA CH  (3)";#N/A,#N/A,FALSE,"KA CH (4)"}</definedName>
    <definedName name="kkk.llll_3" localSheetId="6" hidden="1">{#N/A,#N/A,FALSE,"Umsatz CH";#N/A,#N/A,FALSE,"ER CH";#N/A,#N/A,FALSE,"EA CH (2) ";#N/A,#N/A,FALSE,"EA CH";#N/A,#N/A,FALSE,"EA CH (3) ";#N/A,#N/A,FALSE,"EA CH (4)";#N/A,#N/A,FALSE,"KA CH";#N/A,#N/A,FALSE,"KA CH  (2)";#N/A,#N/A,FALSE,"KA CH  (3)";#N/A,#N/A,FALSE,"KA CH (4)"}</definedName>
    <definedName name="kkk.llll_3" hidden="1">{#N/A,#N/A,FALSE,"Umsatz CH";#N/A,#N/A,FALSE,"ER CH";#N/A,#N/A,FALSE,"EA CH (2) ";#N/A,#N/A,FALSE,"EA CH";#N/A,#N/A,FALSE,"EA CH (3) ";#N/A,#N/A,FALSE,"EA CH (4)";#N/A,#N/A,FALSE,"KA CH";#N/A,#N/A,FALSE,"KA CH  (2)";#N/A,#N/A,FALSE,"KA CH  (3)";#N/A,#N/A,FALSE,"KA CH (4)"}</definedName>
    <definedName name="kkk.llll_4" localSheetId="0" hidden="1">{#N/A,#N/A,FALSE,"Umsatz CH";#N/A,#N/A,FALSE,"ER CH";#N/A,#N/A,FALSE,"EA CH (2) ";#N/A,#N/A,FALSE,"EA CH";#N/A,#N/A,FALSE,"EA CH (3) ";#N/A,#N/A,FALSE,"EA CH (4)";#N/A,#N/A,FALSE,"KA CH";#N/A,#N/A,FALSE,"KA CH  (2)";#N/A,#N/A,FALSE,"KA CH  (3)";#N/A,#N/A,FALSE,"KA CH (4)"}</definedName>
    <definedName name="kkk.llll_4" localSheetId="6" hidden="1">{#N/A,#N/A,FALSE,"Umsatz CH";#N/A,#N/A,FALSE,"ER CH";#N/A,#N/A,FALSE,"EA CH (2) ";#N/A,#N/A,FALSE,"EA CH";#N/A,#N/A,FALSE,"EA CH (3) ";#N/A,#N/A,FALSE,"EA CH (4)";#N/A,#N/A,FALSE,"KA CH";#N/A,#N/A,FALSE,"KA CH  (2)";#N/A,#N/A,FALSE,"KA CH  (3)";#N/A,#N/A,FALSE,"KA CH (4)"}</definedName>
    <definedName name="kkk.llll_4" hidden="1">{#N/A,#N/A,FALSE,"Umsatz CH";#N/A,#N/A,FALSE,"ER CH";#N/A,#N/A,FALSE,"EA CH (2) ";#N/A,#N/A,FALSE,"EA CH";#N/A,#N/A,FALSE,"EA CH (3) ";#N/A,#N/A,FALSE,"EA CH (4)";#N/A,#N/A,FALSE,"KA CH";#N/A,#N/A,FALSE,"KA CH  (2)";#N/A,#N/A,FALSE,"KA CH  (3)";#N/A,#N/A,FALSE,"KA CH (4)"}</definedName>
    <definedName name="kkk.llll_5" localSheetId="0" hidden="1">{#N/A,#N/A,FALSE,"Umsatz CH";#N/A,#N/A,FALSE,"ER CH";#N/A,#N/A,FALSE,"EA CH (2) ";#N/A,#N/A,FALSE,"EA CH";#N/A,#N/A,FALSE,"EA CH (3) ";#N/A,#N/A,FALSE,"EA CH (4)";#N/A,#N/A,FALSE,"KA CH";#N/A,#N/A,FALSE,"KA CH  (2)";#N/A,#N/A,FALSE,"KA CH  (3)";#N/A,#N/A,FALSE,"KA CH (4)"}</definedName>
    <definedName name="kkk.llll_5" localSheetId="6" hidden="1">{#N/A,#N/A,FALSE,"Umsatz CH";#N/A,#N/A,FALSE,"ER CH";#N/A,#N/A,FALSE,"EA CH (2) ";#N/A,#N/A,FALSE,"EA CH";#N/A,#N/A,FALSE,"EA CH (3) ";#N/A,#N/A,FALSE,"EA CH (4)";#N/A,#N/A,FALSE,"KA CH";#N/A,#N/A,FALSE,"KA CH  (2)";#N/A,#N/A,FALSE,"KA CH  (3)";#N/A,#N/A,FALSE,"KA CH (4)"}</definedName>
    <definedName name="kkk.llll_5" hidden="1">{#N/A,#N/A,FALSE,"Umsatz CH";#N/A,#N/A,FALSE,"ER CH";#N/A,#N/A,FALSE,"EA CH (2) ";#N/A,#N/A,FALSE,"EA CH";#N/A,#N/A,FALSE,"EA CH (3) ";#N/A,#N/A,FALSE,"EA CH (4)";#N/A,#N/A,FALSE,"KA CH";#N/A,#N/A,FALSE,"KA CH  (2)";#N/A,#N/A,FALSE,"KA CH  (3)";#N/A,#N/A,FALSE,"KA CH (4)"}</definedName>
    <definedName name="kkk_1" localSheetId="0" hidden="1">{#N/A,#N/A,FALSE,"Pharm";#N/A,#N/A,FALSE,"WWCM"}</definedName>
    <definedName name="kkk_1" localSheetId="6" hidden="1">{#N/A,#N/A,FALSE,"Pharm";#N/A,#N/A,FALSE,"WWCM"}</definedName>
    <definedName name="kkk_1" hidden="1">{#N/A,#N/A,FALSE,"Pharm";#N/A,#N/A,FALSE,"WWCM"}</definedName>
    <definedName name="kkk_1_1" localSheetId="0" hidden="1">{#N/A,#N/A,FALSE,"Pharm";#N/A,#N/A,FALSE,"WWCM"}</definedName>
    <definedName name="kkk_1_1" localSheetId="6" hidden="1">{#N/A,#N/A,FALSE,"Pharm";#N/A,#N/A,FALSE,"WWCM"}</definedName>
    <definedName name="kkk_1_1" hidden="1">{#N/A,#N/A,FALSE,"Pharm";#N/A,#N/A,FALSE,"WWCM"}</definedName>
    <definedName name="kkk_2" localSheetId="0" hidden="1">{#N/A,#N/A,FALSE,"Pharm";#N/A,#N/A,FALSE,"WWCM"}</definedName>
    <definedName name="kkk_2" localSheetId="6" hidden="1">{#N/A,#N/A,FALSE,"Pharm";#N/A,#N/A,FALSE,"WWCM"}</definedName>
    <definedName name="kkk_2" hidden="1">{#N/A,#N/A,FALSE,"Pharm";#N/A,#N/A,FALSE,"WWCM"}</definedName>
    <definedName name="kkk_3" localSheetId="0" hidden="1">{#N/A,#N/A,FALSE,"Pharm";#N/A,#N/A,FALSE,"WWCM"}</definedName>
    <definedName name="kkk_3" localSheetId="6" hidden="1">{#N/A,#N/A,FALSE,"Pharm";#N/A,#N/A,FALSE,"WWCM"}</definedName>
    <definedName name="kkk_3" hidden="1">{#N/A,#N/A,FALSE,"Pharm";#N/A,#N/A,FALSE,"WWCM"}</definedName>
    <definedName name="kkk_4" localSheetId="0" hidden="1">{#N/A,#N/A,FALSE,"Pharm";#N/A,#N/A,FALSE,"WWCM"}</definedName>
    <definedName name="kkk_4" localSheetId="6" hidden="1">{#N/A,#N/A,FALSE,"Pharm";#N/A,#N/A,FALSE,"WWCM"}</definedName>
    <definedName name="kkk_4" hidden="1">{#N/A,#N/A,FALSE,"Pharm";#N/A,#N/A,FALSE,"WWCM"}</definedName>
    <definedName name="kkk_5" localSheetId="0" hidden="1">{#N/A,#N/A,FALSE,"Pharm";#N/A,#N/A,FALSE,"WWCM"}</definedName>
    <definedName name="kkk_5" localSheetId="6" hidden="1">{#N/A,#N/A,FALSE,"Pharm";#N/A,#N/A,FALSE,"WWCM"}</definedName>
    <definedName name="kkk_5" hidden="1">{#N/A,#N/A,FALSE,"Pharm";#N/A,#N/A,FALSE,"WWCM"}</definedName>
    <definedName name="kkkk" hidden="1">#REF!</definedName>
    <definedName name="kkkk.llll" localSheetId="0" hidden="1">{#N/A,#N/A,FALSE,"Umsatz 99";#N/A,#N/A,FALSE,"ER 99 "}</definedName>
    <definedName name="kkkk.llll" localSheetId="6" hidden="1">{#N/A,#N/A,FALSE,"Umsatz 99";#N/A,#N/A,FALSE,"ER 99 "}</definedName>
    <definedName name="kkkk.llll" hidden="1">{#N/A,#N/A,FALSE,"Umsatz 99";#N/A,#N/A,FALSE,"ER 99 "}</definedName>
    <definedName name="kkkk.llll_1" localSheetId="0" hidden="1">{#N/A,#N/A,FALSE,"Umsatz 99";#N/A,#N/A,FALSE,"ER 99 "}</definedName>
    <definedName name="kkkk.llll_1" localSheetId="6" hidden="1">{#N/A,#N/A,FALSE,"Umsatz 99";#N/A,#N/A,FALSE,"ER 99 "}</definedName>
    <definedName name="kkkk.llll_1" hidden="1">{#N/A,#N/A,FALSE,"Umsatz 99";#N/A,#N/A,FALSE,"ER 99 "}</definedName>
    <definedName name="kkkk.llll_1_1" localSheetId="0" hidden="1">{#N/A,#N/A,FALSE,"Umsatz 99";#N/A,#N/A,FALSE,"ER 99 "}</definedName>
    <definedName name="kkkk.llll_1_1" localSheetId="6" hidden="1">{#N/A,#N/A,FALSE,"Umsatz 99";#N/A,#N/A,FALSE,"ER 99 "}</definedName>
    <definedName name="kkkk.llll_1_1" hidden="1">{#N/A,#N/A,FALSE,"Umsatz 99";#N/A,#N/A,FALSE,"ER 99 "}</definedName>
    <definedName name="kkkk.llll_2" localSheetId="0" hidden="1">{#N/A,#N/A,FALSE,"Umsatz 99";#N/A,#N/A,FALSE,"ER 99 "}</definedName>
    <definedName name="kkkk.llll_2" localSheetId="6" hidden="1">{#N/A,#N/A,FALSE,"Umsatz 99";#N/A,#N/A,FALSE,"ER 99 "}</definedName>
    <definedName name="kkkk.llll_2" hidden="1">{#N/A,#N/A,FALSE,"Umsatz 99";#N/A,#N/A,FALSE,"ER 99 "}</definedName>
    <definedName name="kkkk.llll_3" localSheetId="0" hidden="1">{#N/A,#N/A,FALSE,"Umsatz 99";#N/A,#N/A,FALSE,"ER 99 "}</definedName>
    <definedName name="kkkk.llll_3" localSheetId="6" hidden="1">{#N/A,#N/A,FALSE,"Umsatz 99";#N/A,#N/A,FALSE,"ER 99 "}</definedName>
    <definedName name="kkkk.llll_3" hidden="1">{#N/A,#N/A,FALSE,"Umsatz 99";#N/A,#N/A,FALSE,"ER 99 "}</definedName>
    <definedName name="kkkk.llll_4" localSheetId="0" hidden="1">{#N/A,#N/A,FALSE,"Umsatz 99";#N/A,#N/A,FALSE,"ER 99 "}</definedName>
    <definedName name="kkkk.llll_4" localSheetId="6" hidden="1">{#N/A,#N/A,FALSE,"Umsatz 99";#N/A,#N/A,FALSE,"ER 99 "}</definedName>
    <definedName name="kkkk.llll_4" hidden="1">{#N/A,#N/A,FALSE,"Umsatz 99";#N/A,#N/A,FALSE,"ER 99 "}</definedName>
    <definedName name="kkkk.llll_5" localSheetId="0" hidden="1">{#N/A,#N/A,FALSE,"Umsatz 99";#N/A,#N/A,FALSE,"ER 99 "}</definedName>
    <definedName name="kkkk.llll_5" localSheetId="6" hidden="1">{#N/A,#N/A,FALSE,"Umsatz 99";#N/A,#N/A,FALSE,"ER 99 "}</definedName>
    <definedName name="kkkk.llll_5" hidden="1">{#N/A,#N/A,FALSE,"Umsatz 99";#N/A,#N/A,FALSE,"ER 99 "}</definedName>
    <definedName name="kklmlk" localSheetId="6" hidden="1">{#N/A,#N/A,TRUE,"Cover";#N/A,#N/A,TRUE,"Conts";#N/A,#N/A,TRUE,"VOS";#N/A,#N/A,TRUE,"Warrington";#N/A,#N/A,TRUE,"Widnes"}</definedName>
    <definedName name="kklmlk" hidden="1">{#N/A,#N/A,TRUE,"Cover";#N/A,#N/A,TRUE,"Conts";#N/A,#N/A,TRUE,"VOS";#N/A,#N/A,TRUE,"Warrington";#N/A,#N/A,TRUE,"Widnes"}</definedName>
    <definedName name="kklmlk_1" localSheetId="6" hidden="1">{#N/A,#N/A,TRUE,"Cover";#N/A,#N/A,TRUE,"Conts";#N/A,#N/A,TRUE,"VOS";#N/A,#N/A,TRUE,"Warrington";#N/A,#N/A,TRUE,"Widnes"}</definedName>
    <definedName name="kklmlk_1" hidden="1">{#N/A,#N/A,TRUE,"Cover";#N/A,#N/A,TRUE,"Conts";#N/A,#N/A,TRUE,"VOS";#N/A,#N/A,TRUE,"Warrington";#N/A,#N/A,TRUE,"Widnes"}</definedName>
    <definedName name="kl" localSheetId="0" hidden="1">{#N/A,#N/A,FALSE,"FY97";#N/A,#N/A,FALSE,"FY98";#N/A,#N/A,FALSE,"FY99";#N/A,#N/A,FALSE,"FY00";#N/A,#N/A,FALSE,"FY01"}</definedName>
    <definedName name="kl" localSheetId="6" hidden="1">{#N/A,#N/A,FALSE,"FY97";#N/A,#N/A,FALSE,"FY98";#N/A,#N/A,FALSE,"FY99";#N/A,#N/A,FALSE,"FY00";#N/A,#N/A,FALSE,"FY01"}</definedName>
    <definedName name="kl" hidden="1">{#N/A,#N/A,FALSE,"FY97";#N/A,#N/A,FALSE,"FY98";#N/A,#N/A,FALSE,"FY99";#N/A,#N/A,FALSE,"FY00";#N/A,#N/A,FALSE,"FY01"}</definedName>
    <definedName name="KLD" localSheetId="0" hidden="1">{#N/A,#N/A,FALSE,"Tabl. A1";#N/A,#N/A,FALSE,"Tabl. A1 b";#N/A,#N/A,FALSE,"Tabl. A2";#N/A,#N/A,FALSE,"Tabl. A2-1";#N/A,#N/A,FALSE,"Tabl. A2-2"}</definedName>
    <definedName name="KLD" localSheetId="6" hidden="1">{#N/A,#N/A,FALSE,"Tabl. A1";#N/A,#N/A,FALSE,"Tabl. A1 b";#N/A,#N/A,FALSE,"Tabl. A2";#N/A,#N/A,FALSE,"Tabl. A2-1";#N/A,#N/A,FALSE,"Tabl. A2-2"}</definedName>
    <definedName name="KLD" hidden="1">{#N/A,#N/A,FALSE,"Tabl. A1";#N/A,#N/A,FALSE,"Tabl. A1 b";#N/A,#N/A,FALSE,"Tabl. A2";#N/A,#N/A,FALSE,"Tabl. A2-1";#N/A,#N/A,FALSE,"Tabl. A2-2"}</definedName>
    <definedName name="KLDCVKLDSN" localSheetId="6" hidden="1">{#N/A,#N/A,FALSE,"Other OT Diffs ";#N/A,#N/A,FALSE,"AMP OT DIFFS";#N/A,#N/A,FALSE,"Spend Diffs"}</definedName>
    <definedName name="KLDCVKLDSN" hidden="1">{#N/A,#N/A,FALSE,"Other OT Diffs ";#N/A,#N/A,FALSE,"AMP OT DIFFS";#N/A,#N/A,FALSE,"Spend Diffs"}</definedName>
    <definedName name="KLE" localSheetId="0" hidden="1">{#N/A,#N/A,FALSE,"Tabl. H1";#N/A,#N/A,FALSE,"Tabl. H2"}</definedName>
    <definedName name="KLE" localSheetId="6" hidden="1">{#N/A,#N/A,FALSE,"Tabl. H1";#N/A,#N/A,FALSE,"Tabl. H2"}</definedName>
    <definedName name="KLE" hidden="1">{#N/A,#N/A,FALSE,"Tabl. H1";#N/A,#N/A,FALSE,"Tabl. H2"}</definedName>
    <definedName name="klinsi" localSheetId="0" hidden="1">{#N/A,#N/A,FALSE,"Mittelherkunft";#N/A,#N/A,FALSE,"Mittelverwendung"}</definedName>
    <definedName name="klinsi" localSheetId="6" hidden="1">{#N/A,#N/A,FALSE,"Mittelherkunft";#N/A,#N/A,FALSE,"Mittelverwendung"}</definedName>
    <definedName name="klinsi" hidden="1">{#N/A,#N/A,FALSE,"Mittelherkunft";#N/A,#N/A,FALSE,"Mittelverwendung"}</definedName>
    <definedName name="kljk" localSheetId="0" hidden="1">{#N/A,#N/A,FALSE,"Umsatz CH";#N/A,#N/A,FALSE,"ER CH";#N/A,#N/A,FALSE,"EA CH (2) ";#N/A,#N/A,FALSE,"EA CH";#N/A,#N/A,FALSE,"EA CH (3) ";#N/A,#N/A,FALSE,"EA CH (4)";#N/A,#N/A,FALSE,"KA CH";#N/A,#N/A,FALSE,"KA CH  (2)";#N/A,#N/A,FALSE,"KA CH  (3)";#N/A,#N/A,FALSE,"KA CH (4)"}</definedName>
    <definedName name="kljk" localSheetId="6" hidden="1">{#N/A,#N/A,FALSE,"Umsatz CH";#N/A,#N/A,FALSE,"ER CH";#N/A,#N/A,FALSE,"EA CH (2) ";#N/A,#N/A,FALSE,"EA CH";#N/A,#N/A,FALSE,"EA CH (3) ";#N/A,#N/A,FALSE,"EA CH (4)";#N/A,#N/A,FALSE,"KA CH";#N/A,#N/A,FALSE,"KA CH  (2)";#N/A,#N/A,FALSE,"KA CH  (3)";#N/A,#N/A,FALSE,"KA CH (4)"}</definedName>
    <definedName name="kljk" hidden="1">{#N/A,#N/A,FALSE,"Umsatz CH";#N/A,#N/A,FALSE,"ER CH";#N/A,#N/A,FALSE,"EA CH (2) ";#N/A,#N/A,FALSE,"EA CH";#N/A,#N/A,FALSE,"EA CH (3) ";#N/A,#N/A,FALSE,"EA CH (4)";#N/A,#N/A,FALSE,"KA CH";#N/A,#N/A,FALSE,"KA CH  (2)";#N/A,#N/A,FALSE,"KA CH  (3)";#N/A,#N/A,FALSE,"KA CH (4)"}</definedName>
    <definedName name="kljk_1" localSheetId="0" hidden="1">{#N/A,#N/A,FALSE,"Umsatz CH";#N/A,#N/A,FALSE,"ER CH";#N/A,#N/A,FALSE,"EA CH (2) ";#N/A,#N/A,FALSE,"EA CH";#N/A,#N/A,FALSE,"EA CH (3) ";#N/A,#N/A,FALSE,"EA CH (4)";#N/A,#N/A,FALSE,"KA CH";#N/A,#N/A,FALSE,"KA CH  (2)";#N/A,#N/A,FALSE,"KA CH  (3)";#N/A,#N/A,FALSE,"KA CH (4)"}</definedName>
    <definedName name="kljk_1" localSheetId="6" hidden="1">{#N/A,#N/A,FALSE,"Umsatz CH";#N/A,#N/A,FALSE,"ER CH";#N/A,#N/A,FALSE,"EA CH (2) ";#N/A,#N/A,FALSE,"EA CH";#N/A,#N/A,FALSE,"EA CH (3) ";#N/A,#N/A,FALSE,"EA CH (4)";#N/A,#N/A,FALSE,"KA CH";#N/A,#N/A,FALSE,"KA CH  (2)";#N/A,#N/A,FALSE,"KA CH  (3)";#N/A,#N/A,FALSE,"KA CH (4)"}</definedName>
    <definedName name="kljk_1" hidden="1">{#N/A,#N/A,FALSE,"Umsatz CH";#N/A,#N/A,FALSE,"ER CH";#N/A,#N/A,FALSE,"EA CH (2) ";#N/A,#N/A,FALSE,"EA CH";#N/A,#N/A,FALSE,"EA CH (3) ";#N/A,#N/A,FALSE,"EA CH (4)";#N/A,#N/A,FALSE,"KA CH";#N/A,#N/A,FALSE,"KA CH  (2)";#N/A,#N/A,FALSE,"KA CH  (3)";#N/A,#N/A,FALSE,"KA CH (4)"}</definedName>
    <definedName name="kljk_1_1" localSheetId="0" hidden="1">{#N/A,#N/A,FALSE,"Umsatz CH";#N/A,#N/A,FALSE,"ER CH";#N/A,#N/A,FALSE,"EA CH (2) ";#N/A,#N/A,FALSE,"EA CH";#N/A,#N/A,FALSE,"EA CH (3) ";#N/A,#N/A,FALSE,"EA CH (4)";#N/A,#N/A,FALSE,"KA CH";#N/A,#N/A,FALSE,"KA CH  (2)";#N/A,#N/A,FALSE,"KA CH  (3)";#N/A,#N/A,FALSE,"KA CH (4)"}</definedName>
    <definedName name="kljk_1_1" localSheetId="6" hidden="1">{#N/A,#N/A,FALSE,"Umsatz CH";#N/A,#N/A,FALSE,"ER CH";#N/A,#N/A,FALSE,"EA CH (2) ";#N/A,#N/A,FALSE,"EA CH";#N/A,#N/A,FALSE,"EA CH (3) ";#N/A,#N/A,FALSE,"EA CH (4)";#N/A,#N/A,FALSE,"KA CH";#N/A,#N/A,FALSE,"KA CH  (2)";#N/A,#N/A,FALSE,"KA CH  (3)";#N/A,#N/A,FALSE,"KA CH (4)"}</definedName>
    <definedName name="kljk_1_1" hidden="1">{#N/A,#N/A,FALSE,"Umsatz CH";#N/A,#N/A,FALSE,"ER CH";#N/A,#N/A,FALSE,"EA CH (2) ";#N/A,#N/A,FALSE,"EA CH";#N/A,#N/A,FALSE,"EA CH (3) ";#N/A,#N/A,FALSE,"EA CH (4)";#N/A,#N/A,FALSE,"KA CH";#N/A,#N/A,FALSE,"KA CH  (2)";#N/A,#N/A,FALSE,"KA CH  (3)";#N/A,#N/A,FALSE,"KA CH (4)"}</definedName>
    <definedName name="kljk_2" localSheetId="0" hidden="1">{#N/A,#N/A,FALSE,"Umsatz CH";#N/A,#N/A,FALSE,"ER CH";#N/A,#N/A,FALSE,"EA CH (2) ";#N/A,#N/A,FALSE,"EA CH";#N/A,#N/A,FALSE,"EA CH (3) ";#N/A,#N/A,FALSE,"EA CH (4)";#N/A,#N/A,FALSE,"KA CH";#N/A,#N/A,FALSE,"KA CH  (2)";#N/A,#N/A,FALSE,"KA CH  (3)";#N/A,#N/A,FALSE,"KA CH (4)"}</definedName>
    <definedName name="kljk_2" localSheetId="6" hidden="1">{#N/A,#N/A,FALSE,"Umsatz CH";#N/A,#N/A,FALSE,"ER CH";#N/A,#N/A,FALSE,"EA CH (2) ";#N/A,#N/A,FALSE,"EA CH";#N/A,#N/A,FALSE,"EA CH (3) ";#N/A,#N/A,FALSE,"EA CH (4)";#N/A,#N/A,FALSE,"KA CH";#N/A,#N/A,FALSE,"KA CH  (2)";#N/A,#N/A,FALSE,"KA CH  (3)";#N/A,#N/A,FALSE,"KA CH (4)"}</definedName>
    <definedName name="kljk_2" hidden="1">{#N/A,#N/A,FALSE,"Umsatz CH";#N/A,#N/A,FALSE,"ER CH";#N/A,#N/A,FALSE,"EA CH (2) ";#N/A,#N/A,FALSE,"EA CH";#N/A,#N/A,FALSE,"EA CH (3) ";#N/A,#N/A,FALSE,"EA CH (4)";#N/A,#N/A,FALSE,"KA CH";#N/A,#N/A,FALSE,"KA CH  (2)";#N/A,#N/A,FALSE,"KA CH  (3)";#N/A,#N/A,FALSE,"KA CH (4)"}</definedName>
    <definedName name="kljk_3" localSheetId="0" hidden="1">{#N/A,#N/A,FALSE,"Umsatz CH";#N/A,#N/A,FALSE,"ER CH";#N/A,#N/A,FALSE,"EA CH (2) ";#N/A,#N/A,FALSE,"EA CH";#N/A,#N/A,FALSE,"EA CH (3) ";#N/A,#N/A,FALSE,"EA CH (4)";#N/A,#N/A,FALSE,"KA CH";#N/A,#N/A,FALSE,"KA CH  (2)";#N/A,#N/A,FALSE,"KA CH  (3)";#N/A,#N/A,FALSE,"KA CH (4)"}</definedName>
    <definedName name="kljk_3" localSheetId="6" hidden="1">{#N/A,#N/A,FALSE,"Umsatz CH";#N/A,#N/A,FALSE,"ER CH";#N/A,#N/A,FALSE,"EA CH (2) ";#N/A,#N/A,FALSE,"EA CH";#N/A,#N/A,FALSE,"EA CH (3) ";#N/A,#N/A,FALSE,"EA CH (4)";#N/A,#N/A,FALSE,"KA CH";#N/A,#N/A,FALSE,"KA CH  (2)";#N/A,#N/A,FALSE,"KA CH  (3)";#N/A,#N/A,FALSE,"KA CH (4)"}</definedName>
    <definedName name="kljk_3" hidden="1">{#N/A,#N/A,FALSE,"Umsatz CH";#N/A,#N/A,FALSE,"ER CH";#N/A,#N/A,FALSE,"EA CH (2) ";#N/A,#N/A,FALSE,"EA CH";#N/A,#N/A,FALSE,"EA CH (3) ";#N/A,#N/A,FALSE,"EA CH (4)";#N/A,#N/A,FALSE,"KA CH";#N/A,#N/A,FALSE,"KA CH  (2)";#N/A,#N/A,FALSE,"KA CH  (3)";#N/A,#N/A,FALSE,"KA CH (4)"}</definedName>
    <definedName name="kljk_4" localSheetId="0" hidden="1">{#N/A,#N/A,FALSE,"Umsatz CH";#N/A,#N/A,FALSE,"ER CH";#N/A,#N/A,FALSE,"EA CH (2) ";#N/A,#N/A,FALSE,"EA CH";#N/A,#N/A,FALSE,"EA CH (3) ";#N/A,#N/A,FALSE,"EA CH (4)";#N/A,#N/A,FALSE,"KA CH";#N/A,#N/A,FALSE,"KA CH  (2)";#N/A,#N/A,FALSE,"KA CH  (3)";#N/A,#N/A,FALSE,"KA CH (4)"}</definedName>
    <definedName name="kljk_4" localSheetId="6" hidden="1">{#N/A,#N/A,FALSE,"Umsatz CH";#N/A,#N/A,FALSE,"ER CH";#N/A,#N/A,FALSE,"EA CH (2) ";#N/A,#N/A,FALSE,"EA CH";#N/A,#N/A,FALSE,"EA CH (3) ";#N/A,#N/A,FALSE,"EA CH (4)";#N/A,#N/A,FALSE,"KA CH";#N/A,#N/A,FALSE,"KA CH  (2)";#N/A,#N/A,FALSE,"KA CH  (3)";#N/A,#N/A,FALSE,"KA CH (4)"}</definedName>
    <definedName name="kljk_4" hidden="1">{#N/A,#N/A,FALSE,"Umsatz CH";#N/A,#N/A,FALSE,"ER CH";#N/A,#N/A,FALSE,"EA CH (2) ";#N/A,#N/A,FALSE,"EA CH";#N/A,#N/A,FALSE,"EA CH (3) ";#N/A,#N/A,FALSE,"EA CH (4)";#N/A,#N/A,FALSE,"KA CH";#N/A,#N/A,FALSE,"KA CH  (2)";#N/A,#N/A,FALSE,"KA CH  (3)";#N/A,#N/A,FALSE,"KA CH (4)"}</definedName>
    <definedName name="kljk_5" localSheetId="0" hidden="1">{#N/A,#N/A,FALSE,"Umsatz CH";#N/A,#N/A,FALSE,"ER CH";#N/A,#N/A,FALSE,"EA CH (2) ";#N/A,#N/A,FALSE,"EA CH";#N/A,#N/A,FALSE,"EA CH (3) ";#N/A,#N/A,FALSE,"EA CH (4)";#N/A,#N/A,FALSE,"KA CH";#N/A,#N/A,FALSE,"KA CH  (2)";#N/A,#N/A,FALSE,"KA CH  (3)";#N/A,#N/A,FALSE,"KA CH (4)"}</definedName>
    <definedName name="kljk_5" localSheetId="6" hidden="1">{#N/A,#N/A,FALSE,"Umsatz CH";#N/A,#N/A,FALSE,"ER CH";#N/A,#N/A,FALSE,"EA CH (2) ";#N/A,#N/A,FALSE,"EA CH";#N/A,#N/A,FALSE,"EA CH (3) ";#N/A,#N/A,FALSE,"EA CH (4)";#N/A,#N/A,FALSE,"KA CH";#N/A,#N/A,FALSE,"KA CH  (2)";#N/A,#N/A,FALSE,"KA CH  (3)";#N/A,#N/A,FALSE,"KA CH (4)"}</definedName>
    <definedName name="kljk_5" hidden="1">{#N/A,#N/A,FALSE,"Umsatz CH";#N/A,#N/A,FALSE,"ER CH";#N/A,#N/A,FALSE,"EA CH (2) ";#N/A,#N/A,FALSE,"EA CH";#N/A,#N/A,FALSE,"EA CH (3) ";#N/A,#N/A,FALSE,"EA CH (4)";#N/A,#N/A,FALSE,"KA CH";#N/A,#N/A,FALSE,"KA CH  (2)";#N/A,#N/A,FALSE,"KA CH  (3)";#N/A,#N/A,FALSE,"KA CH (4)"}</definedName>
    <definedName name="kljklkj" localSheetId="0" hidden="1">{#N/A,#N/A,FALSE,"KA CH  (2)"}</definedName>
    <definedName name="kljklkj" localSheetId="6" hidden="1">{#N/A,#N/A,FALSE,"KA CH  (2)"}</definedName>
    <definedName name="kljklkj" hidden="1">{#N/A,#N/A,FALSE,"KA CH  (2)"}</definedName>
    <definedName name="kljklkj_1" localSheetId="0" hidden="1">{#N/A,#N/A,FALSE,"KA CH  (2)"}</definedName>
    <definedName name="kljklkj_1" localSheetId="6" hidden="1">{#N/A,#N/A,FALSE,"KA CH  (2)"}</definedName>
    <definedName name="kljklkj_1" hidden="1">{#N/A,#N/A,FALSE,"KA CH  (2)"}</definedName>
    <definedName name="kljklkj_1_1" localSheetId="0" hidden="1">{#N/A,#N/A,FALSE,"KA CH  (2)"}</definedName>
    <definedName name="kljklkj_1_1" localSheetId="6" hidden="1">{#N/A,#N/A,FALSE,"KA CH  (2)"}</definedName>
    <definedName name="kljklkj_1_1" hidden="1">{#N/A,#N/A,FALSE,"KA CH  (2)"}</definedName>
    <definedName name="kljklkj_2" localSheetId="0" hidden="1">{#N/A,#N/A,FALSE,"KA CH  (2)"}</definedName>
    <definedName name="kljklkj_2" localSheetId="6" hidden="1">{#N/A,#N/A,FALSE,"KA CH  (2)"}</definedName>
    <definedName name="kljklkj_2" hidden="1">{#N/A,#N/A,FALSE,"KA CH  (2)"}</definedName>
    <definedName name="kljklkj_3" localSheetId="0" hidden="1">{#N/A,#N/A,FALSE,"KA CH  (2)"}</definedName>
    <definedName name="kljklkj_3" localSheetId="6" hidden="1">{#N/A,#N/A,FALSE,"KA CH  (2)"}</definedName>
    <definedName name="kljklkj_3" hidden="1">{#N/A,#N/A,FALSE,"KA CH  (2)"}</definedName>
    <definedName name="kljklkj_4" localSheetId="0" hidden="1">{#N/A,#N/A,FALSE,"KA CH  (2)"}</definedName>
    <definedName name="kljklkj_4" localSheetId="6" hidden="1">{#N/A,#N/A,FALSE,"KA CH  (2)"}</definedName>
    <definedName name="kljklkj_4" hidden="1">{#N/A,#N/A,FALSE,"KA CH  (2)"}</definedName>
    <definedName name="kljklkj_5" localSheetId="0" hidden="1">{#N/A,#N/A,FALSE,"KA CH  (2)"}</definedName>
    <definedName name="kljklkj_5" localSheetId="6" hidden="1">{#N/A,#N/A,FALSE,"KA CH  (2)"}</definedName>
    <definedName name="kljklkj_5" hidden="1">{#N/A,#N/A,FALSE,"KA CH  (2)"}</definedName>
    <definedName name="klk" localSheetId="0" hidden="1">{#N/A,#N/A,FALSE,"Umsatz CH";#N/A,#N/A,FALSE,"ER CH";#N/A,#N/A,FALSE,"EA CH (2) ";#N/A,#N/A,FALSE,"EA CH";#N/A,#N/A,FALSE,"EA CH (3) ";#N/A,#N/A,FALSE,"EA CH (4)";#N/A,#N/A,FALSE,"KA CH";#N/A,#N/A,FALSE,"KA CH  (2)";#N/A,#N/A,FALSE,"KA CH  (3)";#N/A,#N/A,FALSE,"KA CH (4)"}</definedName>
    <definedName name="klk" localSheetId="6" hidden="1">{#N/A,#N/A,FALSE,"Umsatz CH";#N/A,#N/A,FALSE,"ER CH";#N/A,#N/A,FALSE,"EA CH (2) ";#N/A,#N/A,FALSE,"EA CH";#N/A,#N/A,FALSE,"EA CH (3) ";#N/A,#N/A,FALSE,"EA CH (4)";#N/A,#N/A,FALSE,"KA CH";#N/A,#N/A,FALSE,"KA CH  (2)";#N/A,#N/A,FALSE,"KA CH  (3)";#N/A,#N/A,FALSE,"KA CH (4)"}</definedName>
    <definedName name="klk" hidden="1">{#N/A,#N/A,FALSE,"Umsatz CH";#N/A,#N/A,FALSE,"ER CH";#N/A,#N/A,FALSE,"EA CH (2) ";#N/A,#N/A,FALSE,"EA CH";#N/A,#N/A,FALSE,"EA CH (3) ";#N/A,#N/A,FALSE,"EA CH (4)";#N/A,#N/A,FALSE,"KA CH";#N/A,#N/A,FALSE,"KA CH  (2)";#N/A,#N/A,FALSE,"KA CH  (3)";#N/A,#N/A,FALSE,"KA CH (4)"}</definedName>
    <definedName name="klk_1" localSheetId="0" hidden="1">{#N/A,#N/A,FALSE,"Umsatz CH";#N/A,#N/A,FALSE,"ER CH";#N/A,#N/A,FALSE,"EA CH (2) ";#N/A,#N/A,FALSE,"EA CH";#N/A,#N/A,FALSE,"EA CH (3) ";#N/A,#N/A,FALSE,"EA CH (4)";#N/A,#N/A,FALSE,"KA CH";#N/A,#N/A,FALSE,"KA CH  (2)";#N/A,#N/A,FALSE,"KA CH  (3)";#N/A,#N/A,FALSE,"KA CH (4)"}</definedName>
    <definedName name="klk_1" localSheetId="6" hidden="1">{#N/A,#N/A,FALSE,"Umsatz CH";#N/A,#N/A,FALSE,"ER CH";#N/A,#N/A,FALSE,"EA CH (2) ";#N/A,#N/A,FALSE,"EA CH";#N/A,#N/A,FALSE,"EA CH (3) ";#N/A,#N/A,FALSE,"EA CH (4)";#N/A,#N/A,FALSE,"KA CH";#N/A,#N/A,FALSE,"KA CH  (2)";#N/A,#N/A,FALSE,"KA CH  (3)";#N/A,#N/A,FALSE,"KA CH (4)"}</definedName>
    <definedName name="klk_1" hidden="1">{#N/A,#N/A,FALSE,"Umsatz CH";#N/A,#N/A,FALSE,"ER CH";#N/A,#N/A,FALSE,"EA CH (2) ";#N/A,#N/A,FALSE,"EA CH";#N/A,#N/A,FALSE,"EA CH (3) ";#N/A,#N/A,FALSE,"EA CH (4)";#N/A,#N/A,FALSE,"KA CH";#N/A,#N/A,FALSE,"KA CH  (2)";#N/A,#N/A,FALSE,"KA CH  (3)";#N/A,#N/A,FALSE,"KA CH (4)"}</definedName>
    <definedName name="klk_1_1" localSheetId="0" hidden="1">{#N/A,#N/A,FALSE,"Umsatz CH";#N/A,#N/A,FALSE,"ER CH";#N/A,#N/A,FALSE,"EA CH (2) ";#N/A,#N/A,FALSE,"EA CH";#N/A,#N/A,FALSE,"EA CH (3) ";#N/A,#N/A,FALSE,"EA CH (4)";#N/A,#N/A,FALSE,"KA CH";#N/A,#N/A,FALSE,"KA CH  (2)";#N/A,#N/A,FALSE,"KA CH  (3)";#N/A,#N/A,FALSE,"KA CH (4)"}</definedName>
    <definedName name="klk_1_1" localSheetId="6" hidden="1">{#N/A,#N/A,FALSE,"Umsatz CH";#N/A,#N/A,FALSE,"ER CH";#N/A,#N/A,FALSE,"EA CH (2) ";#N/A,#N/A,FALSE,"EA CH";#N/A,#N/A,FALSE,"EA CH (3) ";#N/A,#N/A,FALSE,"EA CH (4)";#N/A,#N/A,FALSE,"KA CH";#N/A,#N/A,FALSE,"KA CH  (2)";#N/A,#N/A,FALSE,"KA CH  (3)";#N/A,#N/A,FALSE,"KA CH (4)"}</definedName>
    <definedName name="klk_1_1" hidden="1">{#N/A,#N/A,FALSE,"Umsatz CH";#N/A,#N/A,FALSE,"ER CH";#N/A,#N/A,FALSE,"EA CH (2) ";#N/A,#N/A,FALSE,"EA CH";#N/A,#N/A,FALSE,"EA CH (3) ";#N/A,#N/A,FALSE,"EA CH (4)";#N/A,#N/A,FALSE,"KA CH";#N/A,#N/A,FALSE,"KA CH  (2)";#N/A,#N/A,FALSE,"KA CH  (3)";#N/A,#N/A,FALSE,"KA CH (4)"}</definedName>
    <definedName name="klk_2" localSheetId="0" hidden="1">{#N/A,#N/A,FALSE,"Umsatz CH";#N/A,#N/A,FALSE,"ER CH";#N/A,#N/A,FALSE,"EA CH (2) ";#N/A,#N/A,FALSE,"EA CH";#N/A,#N/A,FALSE,"EA CH (3) ";#N/A,#N/A,FALSE,"EA CH (4)";#N/A,#N/A,FALSE,"KA CH";#N/A,#N/A,FALSE,"KA CH  (2)";#N/A,#N/A,FALSE,"KA CH  (3)";#N/A,#N/A,FALSE,"KA CH (4)"}</definedName>
    <definedName name="klk_2" localSheetId="6" hidden="1">{#N/A,#N/A,FALSE,"Umsatz CH";#N/A,#N/A,FALSE,"ER CH";#N/A,#N/A,FALSE,"EA CH (2) ";#N/A,#N/A,FALSE,"EA CH";#N/A,#N/A,FALSE,"EA CH (3) ";#N/A,#N/A,FALSE,"EA CH (4)";#N/A,#N/A,FALSE,"KA CH";#N/A,#N/A,FALSE,"KA CH  (2)";#N/A,#N/A,FALSE,"KA CH  (3)";#N/A,#N/A,FALSE,"KA CH (4)"}</definedName>
    <definedName name="klk_2" hidden="1">{#N/A,#N/A,FALSE,"Umsatz CH";#N/A,#N/A,FALSE,"ER CH";#N/A,#N/A,FALSE,"EA CH (2) ";#N/A,#N/A,FALSE,"EA CH";#N/A,#N/A,FALSE,"EA CH (3) ";#N/A,#N/A,FALSE,"EA CH (4)";#N/A,#N/A,FALSE,"KA CH";#N/A,#N/A,FALSE,"KA CH  (2)";#N/A,#N/A,FALSE,"KA CH  (3)";#N/A,#N/A,FALSE,"KA CH (4)"}</definedName>
    <definedName name="klk_3" localSheetId="0" hidden="1">{#N/A,#N/A,FALSE,"Umsatz CH";#N/A,#N/A,FALSE,"ER CH";#N/A,#N/A,FALSE,"EA CH (2) ";#N/A,#N/A,FALSE,"EA CH";#N/A,#N/A,FALSE,"EA CH (3) ";#N/A,#N/A,FALSE,"EA CH (4)";#N/A,#N/A,FALSE,"KA CH";#N/A,#N/A,FALSE,"KA CH  (2)";#N/A,#N/A,FALSE,"KA CH  (3)";#N/A,#N/A,FALSE,"KA CH (4)"}</definedName>
    <definedName name="klk_3" localSheetId="6" hidden="1">{#N/A,#N/A,FALSE,"Umsatz CH";#N/A,#N/A,FALSE,"ER CH";#N/A,#N/A,FALSE,"EA CH (2) ";#N/A,#N/A,FALSE,"EA CH";#N/A,#N/A,FALSE,"EA CH (3) ";#N/A,#N/A,FALSE,"EA CH (4)";#N/A,#N/A,FALSE,"KA CH";#N/A,#N/A,FALSE,"KA CH  (2)";#N/A,#N/A,FALSE,"KA CH  (3)";#N/A,#N/A,FALSE,"KA CH (4)"}</definedName>
    <definedName name="klk_3" hidden="1">{#N/A,#N/A,FALSE,"Umsatz CH";#N/A,#N/A,FALSE,"ER CH";#N/A,#N/A,FALSE,"EA CH (2) ";#N/A,#N/A,FALSE,"EA CH";#N/A,#N/A,FALSE,"EA CH (3) ";#N/A,#N/A,FALSE,"EA CH (4)";#N/A,#N/A,FALSE,"KA CH";#N/A,#N/A,FALSE,"KA CH  (2)";#N/A,#N/A,FALSE,"KA CH  (3)";#N/A,#N/A,FALSE,"KA CH (4)"}</definedName>
    <definedName name="klk_4" localSheetId="0" hidden="1">{#N/A,#N/A,FALSE,"Umsatz CH";#N/A,#N/A,FALSE,"ER CH";#N/A,#N/A,FALSE,"EA CH (2) ";#N/A,#N/A,FALSE,"EA CH";#N/A,#N/A,FALSE,"EA CH (3) ";#N/A,#N/A,FALSE,"EA CH (4)";#N/A,#N/A,FALSE,"KA CH";#N/A,#N/A,FALSE,"KA CH  (2)";#N/A,#N/A,FALSE,"KA CH  (3)";#N/A,#N/A,FALSE,"KA CH (4)"}</definedName>
    <definedName name="klk_4" localSheetId="6" hidden="1">{#N/A,#N/A,FALSE,"Umsatz CH";#N/A,#N/A,FALSE,"ER CH";#N/A,#N/A,FALSE,"EA CH (2) ";#N/A,#N/A,FALSE,"EA CH";#N/A,#N/A,FALSE,"EA CH (3) ";#N/A,#N/A,FALSE,"EA CH (4)";#N/A,#N/A,FALSE,"KA CH";#N/A,#N/A,FALSE,"KA CH  (2)";#N/A,#N/A,FALSE,"KA CH  (3)";#N/A,#N/A,FALSE,"KA CH (4)"}</definedName>
    <definedName name="klk_4" hidden="1">{#N/A,#N/A,FALSE,"Umsatz CH";#N/A,#N/A,FALSE,"ER CH";#N/A,#N/A,FALSE,"EA CH (2) ";#N/A,#N/A,FALSE,"EA CH";#N/A,#N/A,FALSE,"EA CH (3) ";#N/A,#N/A,FALSE,"EA CH (4)";#N/A,#N/A,FALSE,"KA CH";#N/A,#N/A,FALSE,"KA CH  (2)";#N/A,#N/A,FALSE,"KA CH  (3)";#N/A,#N/A,FALSE,"KA CH (4)"}</definedName>
    <definedName name="klk_5" localSheetId="0" hidden="1">{#N/A,#N/A,FALSE,"Umsatz CH";#N/A,#N/A,FALSE,"ER CH";#N/A,#N/A,FALSE,"EA CH (2) ";#N/A,#N/A,FALSE,"EA CH";#N/A,#N/A,FALSE,"EA CH (3) ";#N/A,#N/A,FALSE,"EA CH (4)";#N/A,#N/A,FALSE,"KA CH";#N/A,#N/A,FALSE,"KA CH  (2)";#N/A,#N/A,FALSE,"KA CH  (3)";#N/A,#N/A,FALSE,"KA CH (4)"}</definedName>
    <definedName name="klk_5" localSheetId="6" hidden="1">{#N/A,#N/A,FALSE,"Umsatz CH";#N/A,#N/A,FALSE,"ER CH";#N/A,#N/A,FALSE,"EA CH (2) ";#N/A,#N/A,FALSE,"EA CH";#N/A,#N/A,FALSE,"EA CH (3) ";#N/A,#N/A,FALSE,"EA CH (4)";#N/A,#N/A,FALSE,"KA CH";#N/A,#N/A,FALSE,"KA CH  (2)";#N/A,#N/A,FALSE,"KA CH  (3)";#N/A,#N/A,FALSE,"KA CH (4)"}</definedName>
    <definedName name="klk_5" hidden="1">{#N/A,#N/A,FALSE,"Umsatz CH";#N/A,#N/A,FALSE,"ER CH";#N/A,#N/A,FALSE,"EA CH (2) ";#N/A,#N/A,FALSE,"EA CH";#N/A,#N/A,FALSE,"EA CH (3) ";#N/A,#N/A,FALSE,"EA CH (4)";#N/A,#N/A,FALSE,"KA CH";#N/A,#N/A,FALSE,"KA CH  (2)";#N/A,#N/A,FALSE,"KA CH  (3)";#N/A,#N/A,FALSE,"KA CH (4)"}</definedName>
    <definedName name="klklkl" localSheetId="0" hidden="1">{#N/A,#N/A,FALSE,"Umsatz 99";#N/A,#N/A,FALSE,"ER 99 "}</definedName>
    <definedName name="klklkl" localSheetId="6" hidden="1">{#N/A,#N/A,FALSE,"Umsatz 99";#N/A,#N/A,FALSE,"ER 99 "}</definedName>
    <definedName name="klklkl" hidden="1">{#N/A,#N/A,FALSE,"Umsatz 99";#N/A,#N/A,FALSE,"ER 99 "}</definedName>
    <definedName name="klklkl_1" localSheetId="0" hidden="1">{#N/A,#N/A,FALSE,"Umsatz 99";#N/A,#N/A,FALSE,"ER 99 "}</definedName>
    <definedName name="klklkl_1" localSheetId="6" hidden="1">{#N/A,#N/A,FALSE,"Umsatz 99";#N/A,#N/A,FALSE,"ER 99 "}</definedName>
    <definedName name="klklkl_1" hidden="1">{#N/A,#N/A,FALSE,"Umsatz 99";#N/A,#N/A,FALSE,"ER 99 "}</definedName>
    <definedName name="klklkl_1_1" localSheetId="0" hidden="1">{#N/A,#N/A,FALSE,"Umsatz 99";#N/A,#N/A,FALSE,"ER 99 "}</definedName>
    <definedName name="klklkl_1_1" localSheetId="6" hidden="1">{#N/A,#N/A,FALSE,"Umsatz 99";#N/A,#N/A,FALSE,"ER 99 "}</definedName>
    <definedName name="klklkl_1_1" hidden="1">{#N/A,#N/A,FALSE,"Umsatz 99";#N/A,#N/A,FALSE,"ER 99 "}</definedName>
    <definedName name="klklkl_2" localSheetId="0" hidden="1">{#N/A,#N/A,FALSE,"Umsatz 99";#N/A,#N/A,FALSE,"ER 99 "}</definedName>
    <definedName name="klklkl_2" localSheetId="6" hidden="1">{#N/A,#N/A,FALSE,"Umsatz 99";#N/A,#N/A,FALSE,"ER 99 "}</definedName>
    <definedName name="klklkl_2" hidden="1">{#N/A,#N/A,FALSE,"Umsatz 99";#N/A,#N/A,FALSE,"ER 99 "}</definedName>
    <definedName name="klklkl_3" localSheetId="0" hidden="1">{#N/A,#N/A,FALSE,"Umsatz 99";#N/A,#N/A,FALSE,"ER 99 "}</definedName>
    <definedName name="klklkl_3" localSheetId="6" hidden="1">{#N/A,#N/A,FALSE,"Umsatz 99";#N/A,#N/A,FALSE,"ER 99 "}</definedName>
    <definedName name="klklkl_3" hidden="1">{#N/A,#N/A,FALSE,"Umsatz 99";#N/A,#N/A,FALSE,"ER 99 "}</definedName>
    <definedName name="klklkl_4" localSheetId="0" hidden="1">{#N/A,#N/A,FALSE,"Umsatz 99";#N/A,#N/A,FALSE,"ER 99 "}</definedName>
    <definedName name="klklkl_4" localSheetId="6" hidden="1">{#N/A,#N/A,FALSE,"Umsatz 99";#N/A,#N/A,FALSE,"ER 99 "}</definedName>
    <definedName name="klklkl_4" hidden="1">{#N/A,#N/A,FALSE,"Umsatz 99";#N/A,#N/A,FALSE,"ER 99 "}</definedName>
    <definedName name="klklkl_5" localSheetId="0" hidden="1">{#N/A,#N/A,FALSE,"Umsatz 99";#N/A,#N/A,FALSE,"ER 99 "}</definedName>
    <definedName name="klklkl_5" localSheetId="6" hidden="1">{#N/A,#N/A,FALSE,"Umsatz 99";#N/A,#N/A,FALSE,"ER 99 "}</definedName>
    <definedName name="klklkl_5" hidden="1">{#N/A,#N/A,FALSE,"Umsatz 99";#N/A,#N/A,FALSE,"ER 99 "}</definedName>
    <definedName name="klo" localSheetId="0" hidden="1">{#N/A,#N/A,TRUE,"PROFIT 11-95"}</definedName>
    <definedName name="klo" localSheetId="6" hidden="1">{#N/A,#N/A,TRUE,"PROFIT 11-95"}</definedName>
    <definedName name="klo" hidden="1">{#N/A,#N/A,TRUE,"PROFIT 11-95"}</definedName>
    <definedName name="kmh" localSheetId="0" hidden="1">{#N/A,#N/A,TRUE,"Cover sheet";#N/A,#N/A,TRUE,"DCF analysis";#N/A,#N/A,TRUE,"WACC calculation"}</definedName>
    <definedName name="kmh" localSheetId="6" hidden="1">{#N/A,#N/A,TRUE,"Cover sheet";#N/A,#N/A,TRUE,"DCF analysis";#N/A,#N/A,TRUE,"WACC calculation"}</definedName>
    <definedName name="kmh" hidden="1">{#N/A,#N/A,TRUE,"Cover sheet";#N/A,#N/A,TRUE,"DCF analysis";#N/A,#N/A,TRUE,"WACC calculation"}</definedName>
    <definedName name="KMR">#REF!</definedName>
    <definedName name="KNKDCNN" localSheetId="6" hidden="1">{"year1",#N/A,FALSE,"IZT";"year2",#N/A,FALSE,"IZT"}</definedName>
    <definedName name="KNKDCNN" hidden="1">{"year1",#N/A,FALSE,"IZT";"year2",#N/A,FALSE,"IZT"}</definedName>
    <definedName name="köäklöl"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öäklöl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kol" localSheetId="0" hidden="1">{"away stand alones",#N/A,FALSE,"Target"}</definedName>
    <definedName name="kol" localSheetId="6" hidden="1">{"away stand alones",#N/A,FALSE,"Target"}</definedName>
    <definedName name="kol" hidden="1">{"away stand alones",#N/A,FALSE,"Target"}</definedName>
    <definedName name="kostas" localSheetId="0" hidden="1">{#N/A,#N/A,FALSE,"Summary";#N/A,#N/A,FALSE,"CF";#N/A,#N/A,FALSE,"P&amp;L";#N/A,#N/A,FALSE,"BS";#N/A,#N/A,FALSE,"Returns";#N/A,#N/A,FALSE,"Assumptions";#N/A,#N/A,FALSE,"Analysis"}</definedName>
    <definedName name="kostas" localSheetId="6" hidden="1">{#N/A,#N/A,FALSE,"Summary";#N/A,#N/A,FALSE,"CF";#N/A,#N/A,FALSE,"P&amp;L";#N/A,#N/A,FALSE,"BS";#N/A,#N/A,FALSE,"Returns";#N/A,#N/A,FALSE,"Assumptions";#N/A,#N/A,FALSE,"Analysis"}</definedName>
    <definedName name="kostas" hidden="1">{#N/A,#N/A,FALSE,"Summary";#N/A,#N/A,FALSE,"CF";#N/A,#N/A,FALSE,"P&amp;L";#N/A,#N/A,FALSE,"BS";#N/A,#N/A,FALSE,"Returns";#N/A,#N/A,FALSE,"Assumptions";#N/A,#N/A,FALSE,"Analysis"}</definedName>
    <definedName name="KR">#REF!</definedName>
    <definedName name="Kraft" localSheetId="0" hidden="1">{#N/A,#N/A,FALSE,"changes";#N/A,#N/A,FALSE,"Assumptions";"view1",#N/A,FALSE,"BE Analysis";"view2",#N/A,FALSE,"BE Analysis";#N/A,#N/A,FALSE,"DCF Calculation - Scenario 1";"Dollar",#N/A,FALSE,"Consolidated - Scenario 1";"CS",#N/A,FALSE,"Consolidated - Scenario 1"}</definedName>
    <definedName name="Kraft" localSheetId="6" hidden="1">{#N/A,#N/A,FALSE,"changes";#N/A,#N/A,FALSE,"Assumptions";"view1",#N/A,FALSE,"BE Analysis";"view2",#N/A,FALSE,"BE Analysis";#N/A,#N/A,FALSE,"DCF Calculation - Scenario 1";"Dollar",#N/A,FALSE,"Consolidated - Scenario 1";"CS",#N/A,FALSE,"Consolidated - Scenario 1"}</definedName>
    <definedName name="Kraft" hidden="1">{#N/A,#N/A,FALSE,"changes";#N/A,#N/A,FALSE,"Assumptions";"view1",#N/A,FALSE,"BE Analysis";"view2",#N/A,FALSE,"BE Analysis";#N/A,#N/A,FALSE,"DCF Calculation - Scenario 1";"Dollar",#N/A,FALSE,"Consolidated - Scenario 1";"CS",#N/A,FALSE,"Consolidated - Scenario 1"}</definedName>
    <definedName name="ksdana"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ksdana"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ksdvksdvlk">#REF!</definedName>
    <definedName name="kslkjkjlkjd" localSheetId="0" hidden="1">{#N/A,#N/A,FALSE,"REPORT"}</definedName>
    <definedName name="kslkjkjlkjd" localSheetId="6" hidden="1">{#N/A,#N/A,FALSE,"REPORT"}</definedName>
    <definedName name="kslkjkjlkjd" hidden="1">{#N/A,#N/A,FALSE,"REPORT"}</definedName>
    <definedName name="kslkjkjlkjd_1" localSheetId="0" hidden="1">{#N/A,#N/A,FALSE,"REPORT"}</definedName>
    <definedName name="kslkjkjlkjd_1" localSheetId="6" hidden="1">{#N/A,#N/A,FALSE,"REPORT"}</definedName>
    <definedName name="kslkjkjlkjd_1" hidden="1">{#N/A,#N/A,FALSE,"REPORT"}</definedName>
    <definedName name="kslkjkjlkjd_1_1" localSheetId="0" hidden="1">{#N/A,#N/A,FALSE,"REPORT"}</definedName>
    <definedName name="kslkjkjlkjd_1_1" localSheetId="6" hidden="1">{#N/A,#N/A,FALSE,"REPORT"}</definedName>
    <definedName name="kslkjkjlkjd_1_1" hidden="1">{#N/A,#N/A,FALSE,"REPORT"}</definedName>
    <definedName name="kslkjkjlkjd_2" localSheetId="0" hidden="1">{#N/A,#N/A,FALSE,"REPORT"}</definedName>
    <definedName name="kslkjkjlkjd_2" localSheetId="6" hidden="1">{#N/A,#N/A,FALSE,"REPORT"}</definedName>
    <definedName name="kslkjkjlkjd_2" hidden="1">{#N/A,#N/A,FALSE,"REPORT"}</definedName>
    <definedName name="kslkjkjlkjd_3" localSheetId="0" hidden="1">{#N/A,#N/A,FALSE,"REPORT"}</definedName>
    <definedName name="kslkjkjlkjd_3" localSheetId="6" hidden="1">{#N/A,#N/A,FALSE,"REPORT"}</definedName>
    <definedName name="kslkjkjlkjd_3" hidden="1">{#N/A,#N/A,FALSE,"REPORT"}</definedName>
    <definedName name="kslkjkjlkjd_4" localSheetId="0" hidden="1">{#N/A,#N/A,FALSE,"REPORT"}</definedName>
    <definedName name="kslkjkjlkjd_4" localSheetId="6" hidden="1">{#N/A,#N/A,FALSE,"REPORT"}</definedName>
    <definedName name="kslkjkjlkjd_4" hidden="1">{#N/A,#N/A,FALSE,"REPORT"}</definedName>
    <definedName name="kslkjkjlkjd_5" localSheetId="0" hidden="1">{#N/A,#N/A,FALSE,"REPORT"}</definedName>
    <definedName name="kslkjkjlkjd_5" localSheetId="6" hidden="1">{#N/A,#N/A,FALSE,"REPORT"}</definedName>
    <definedName name="kslkjkjlkjd_5" hidden="1">{#N/A,#N/A,FALSE,"REPORT"}</definedName>
    <definedName name="Kuwait">#REF!</definedName>
    <definedName name="kyd.ChngCell.01." hidden="1">#REF!</definedName>
    <definedName name="kyd.CounterLimitCell.01." hidden="1">"x"</definedName>
    <definedName name="kyd.Dim.01." hidden="1">"prt_ovhd"</definedName>
    <definedName name="kyd.ElementList.01." hidden="1">"x"</definedName>
    <definedName name="kyd.ElementType.01." hidden="1">3</definedName>
    <definedName name="kyd.FileSaveDir." hidden="1">"G:\Budget Reporting\"</definedName>
    <definedName name="kyd.GroupFileName." hidden="1">""</definedName>
    <definedName name="kyd.GroupFiles." hidden="1">-4146</definedName>
    <definedName name="kyd.ItemType.01." hidden="1">1</definedName>
    <definedName name="kyd.KillLinks." hidden="1">1</definedName>
    <definedName name="kyd.MacroAfterMemoRow." hidden="1">""</definedName>
    <definedName name="kyd.MacroAfterZap." hidden="1">""</definedName>
    <definedName name="kyd.MacroAtEnd." hidden="1">""</definedName>
    <definedName name="kyd.MacroEachCycle." hidden="1">""</definedName>
    <definedName name="kyd.MacroEndOfEachCycle." hidden="1">""</definedName>
    <definedName name="kyd.MacroStartOfProc." hidden="1">""</definedName>
    <definedName name="kyd.MemKillRows." hidden="1">-4146</definedName>
    <definedName name="kyd.MemoSortHide." hidden="1">FALSE</definedName>
    <definedName name="kyd.NumLevels.01." hidden="1">999</definedName>
    <definedName name="kyd.PanicStop." hidden="1">FALSE</definedName>
    <definedName name="kyd.PanicStopCell." hidden="1">#REF!</definedName>
    <definedName name="kyd.ParentName.01." hidden="1">"total"</definedName>
    <definedName name="kyd.Password." hidden="1">""</definedName>
    <definedName name="kyd.PreScreenData." hidden="1">FALSE</definedName>
    <definedName name="kyd.PrintMemo." hidden="1">FALSE</definedName>
    <definedName name="kyd.PrintParent.01." hidden="1">FALSE</definedName>
    <definedName name="kyd.PrintStdWhen." hidden="1">1</definedName>
    <definedName name="kyd.PrintToWbk." hidden="1">FALSE</definedName>
    <definedName name="kyd.ProtWbkStruct." hidden="1">-4146</definedName>
    <definedName name="kyd.ProtWbkWin." hidden="1">-4146</definedName>
    <definedName name="kyd.ReplaceFile." hidden="1">1</definedName>
    <definedName name="kyd.SaveAsFile." hidden="1">FALSE</definedName>
    <definedName name="kyd.SaveCopy." hidden="1">1</definedName>
    <definedName name="kyd.SaveMemo." hidden="1">FALSE</definedName>
    <definedName name="kyd.SelectString.01." hidden="1">"*"</definedName>
    <definedName name="kyd.Shortcut." hidden="1">FALSE</definedName>
    <definedName name="kyd.StdHasFooterRow." hidden="1">-4146</definedName>
    <definedName name="kyd.StdHasHeaderRow." hidden="1">-4146</definedName>
    <definedName name="kyd.StdHideRowRange." hidden="1">#REF!</definedName>
    <definedName name="kyd.StdKillRows." hidden="1">-4146</definedName>
    <definedName name="kyd.StdKillSheets." hidden="1">-4146</definedName>
    <definedName name="kyd.StdRecalcAfterSort." hidden="1">-4146</definedName>
    <definedName name="kyd.StdSortHide." hidden="1">TRUE</definedName>
    <definedName name="kyd.StdSortRpt1." hidden="1">1</definedName>
    <definedName name="kyd.StdSortRpt2." hidden="1">1</definedName>
    <definedName name="kyd.StdSortRpt3." hidden="1">1</definedName>
    <definedName name="kyd.StdSortRptList1." hidden="1">""</definedName>
    <definedName name="kyd.StdSortRptList2." hidden="1">""</definedName>
    <definedName name="kyd.StdSortRptList3." hidden="1">""</definedName>
    <definedName name="kyd.StopRow." hidden="1">65536</definedName>
    <definedName name="kyd.SuspendEmail." hidden="1">-4146</definedName>
    <definedName name="kyd.WriteMemWhenOptn." hidden="1">3</definedName>
    <definedName name="KZ">#REF!</definedName>
    <definedName name="l" localSheetId="4">Assumptions</definedName>
    <definedName name="l" localSheetId="0">Assumptions</definedName>
    <definedName name="l" localSheetId="2">Assumptions</definedName>
    <definedName name="l" localSheetId="6">Assumptions</definedName>
    <definedName name="l">Assumptions</definedName>
    <definedName name="l_1" localSheetId="0" hidden="1">{#N/A,#N/A,FALSE,"Aging Summary";#N/A,#N/A,FALSE,"Ratio Analysis";#N/A,#N/A,FALSE,"Test 120 Day Accts";#N/A,#N/A,FALSE,"Tickmarks"}</definedName>
    <definedName name="l_1" localSheetId="6" hidden="1">{#N/A,#N/A,FALSE,"Aging Summary";#N/A,#N/A,FALSE,"Ratio Analysis";#N/A,#N/A,FALSE,"Test 120 Day Accts";#N/A,#N/A,FALSE,"Tickmarks"}</definedName>
    <definedName name="l_1" hidden="1">{#N/A,#N/A,FALSE,"Aging Summary";#N/A,#N/A,FALSE,"Ratio Analysis";#N/A,#N/A,FALSE,"Test 120 Day Accts";#N/A,#N/A,FALSE,"Tickmarks"}</definedName>
    <definedName name="l_1_1" localSheetId="0" hidden="1">{#N/A,#N/A,FALSE,"Aging Summary";#N/A,#N/A,FALSE,"Ratio Analysis";#N/A,#N/A,FALSE,"Test 120 Day Accts";#N/A,#N/A,FALSE,"Tickmarks"}</definedName>
    <definedName name="l_1_1" localSheetId="6" hidden="1">{#N/A,#N/A,FALSE,"Aging Summary";#N/A,#N/A,FALSE,"Ratio Analysis";#N/A,#N/A,FALSE,"Test 120 Day Accts";#N/A,#N/A,FALSE,"Tickmarks"}</definedName>
    <definedName name="l_1_1" hidden="1">{#N/A,#N/A,FALSE,"Aging Summary";#N/A,#N/A,FALSE,"Ratio Analysis";#N/A,#N/A,FALSE,"Test 120 Day Accts";#N/A,#N/A,FALSE,"Tickmarks"}</definedName>
    <definedName name="l_1_1_1" localSheetId="0" hidden="1">{#N/A,#N/A,FALSE,"Aging Summary";#N/A,#N/A,FALSE,"Ratio Analysis";#N/A,#N/A,FALSE,"Test 120 Day Accts";#N/A,#N/A,FALSE,"Tickmarks"}</definedName>
    <definedName name="l_1_1_1" localSheetId="6" hidden="1">{#N/A,#N/A,FALSE,"Aging Summary";#N/A,#N/A,FALSE,"Ratio Analysis";#N/A,#N/A,FALSE,"Test 120 Day Accts";#N/A,#N/A,FALSE,"Tickmarks"}</definedName>
    <definedName name="l_1_1_1" hidden="1">{#N/A,#N/A,FALSE,"Aging Summary";#N/A,#N/A,FALSE,"Ratio Analysis";#N/A,#N/A,FALSE,"Test 120 Day Accts";#N/A,#N/A,FALSE,"Tickmarks"}</definedName>
    <definedName name="l_1_1_1_1" localSheetId="0" hidden="1">{#N/A,#N/A,FALSE,"Aging Summary";#N/A,#N/A,FALSE,"Ratio Analysis";#N/A,#N/A,FALSE,"Test 120 Day Accts";#N/A,#N/A,FALSE,"Tickmarks"}</definedName>
    <definedName name="l_1_1_1_1" localSheetId="6" hidden="1">{#N/A,#N/A,FALSE,"Aging Summary";#N/A,#N/A,FALSE,"Ratio Analysis";#N/A,#N/A,FALSE,"Test 120 Day Accts";#N/A,#N/A,FALSE,"Tickmarks"}</definedName>
    <definedName name="l_1_1_1_1" hidden="1">{#N/A,#N/A,FALSE,"Aging Summary";#N/A,#N/A,FALSE,"Ratio Analysis";#N/A,#N/A,FALSE,"Test 120 Day Accts";#N/A,#N/A,FALSE,"Tickmarks"}</definedName>
    <definedName name="l_1_1_1_1_1" localSheetId="0" hidden="1">{#N/A,#N/A,FALSE,"Aging Summary";#N/A,#N/A,FALSE,"Ratio Analysis";#N/A,#N/A,FALSE,"Test 120 Day Accts";#N/A,#N/A,FALSE,"Tickmarks"}</definedName>
    <definedName name="l_1_1_1_1_1" localSheetId="6" hidden="1">{#N/A,#N/A,FALSE,"Aging Summary";#N/A,#N/A,FALSE,"Ratio Analysis";#N/A,#N/A,FALSE,"Test 120 Day Accts";#N/A,#N/A,FALSE,"Tickmarks"}</definedName>
    <definedName name="l_1_1_1_1_1" hidden="1">{#N/A,#N/A,FALSE,"Aging Summary";#N/A,#N/A,FALSE,"Ratio Analysis";#N/A,#N/A,FALSE,"Test 120 Day Accts";#N/A,#N/A,FALSE,"Tickmarks"}</definedName>
    <definedName name="l_1_1_1_1_2" localSheetId="0" hidden="1">{#N/A,#N/A,FALSE,"Aging Summary";#N/A,#N/A,FALSE,"Ratio Analysis";#N/A,#N/A,FALSE,"Test 120 Day Accts";#N/A,#N/A,FALSE,"Tickmarks"}</definedName>
    <definedName name="l_1_1_1_1_2" localSheetId="6" hidden="1">{#N/A,#N/A,FALSE,"Aging Summary";#N/A,#N/A,FALSE,"Ratio Analysis";#N/A,#N/A,FALSE,"Test 120 Day Accts";#N/A,#N/A,FALSE,"Tickmarks"}</definedName>
    <definedName name="l_1_1_1_1_2" hidden="1">{#N/A,#N/A,FALSE,"Aging Summary";#N/A,#N/A,FALSE,"Ratio Analysis";#N/A,#N/A,FALSE,"Test 120 Day Accts";#N/A,#N/A,FALSE,"Tickmarks"}</definedName>
    <definedName name="l_1_1_1_1_3" localSheetId="0" hidden="1">{#N/A,#N/A,FALSE,"Aging Summary";#N/A,#N/A,FALSE,"Ratio Analysis";#N/A,#N/A,FALSE,"Test 120 Day Accts";#N/A,#N/A,FALSE,"Tickmarks"}</definedName>
    <definedName name="l_1_1_1_1_3" localSheetId="6" hidden="1">{#N/A,#N/A,FALSE,"Aging Summary";#N/A,#N/A,FALSE,"Ratio Analysis";#N/A,#N/A,FALSE,"Test 120 Day Accts";#N/A,#N/A,FALSE,"Tickmarks"}</definedName>
    <definedName name="l_1_1_1_1_3" hidden="1">{#N/A,#N/A,FALSE,"Aging Summary";#N/A,#N/A,FALSE,"Ratio Analysis";#N/A,#N/A,FALSE,"Test 120 Day Accts";#N/A,#N/A,FALSE,"Tickmarks"}</definedName>
    <definedName name="l_1_1_1_1_4" localSheetId="0" hidden="1">{#N/A,#N/A,FALSE,"Aging Summary";#N/A,#N/A,FALSE,"Ratio Analysis";#N/A,#N/A,FALSE,"Test 120 Day Accts";#N/A,#N/A,FALSE,"Tickmarks"}</definedName>
    <definedName name="l_1_1_1_1_4" localSheetId="6" hidden="1">{#N/A,#N/A,FALSE,"Aging Summary";#N/A,#N/A,FALSE,"Ratio Analysis";#N/A,#N/A,FALSE,"Test 120 Day Accts";#N/A,#N/A,FALSE,"Tickmarks"}</definedName>
    <definedName name="l_1_1_1_1_4" hidden="1">{#N/A,#N/A,FALSE,"Aging Summary";#N/A,#N/A,FALSE,"Ratio Analysis";#N/A,#N/A,FALSE,"Test 120 Day Accts";#N/A,#N/A,FALSE,"Tickmarks"}</definedName>
    <definedName name="l_1_1_1_1_5" localSheetId="0" hidden="1">{#N/A,#N/A,FALSE,"Aging Summary";#N/A,#N/A,FALSE,"Ratio Analysis";#N/A,#N/A,FALSE,"Test 120 Day Accts";#N/A,#N/A,FALSE,"Tickmarks"}</definedName>
    <definedName name="l_1_1_1_1_5" localSheetId="6" hidden="1">{#N/A,#N/A,FALSE,"Aging Summary";#N/A,#N/A,FALSE,"Ratio Analysis";#N/A,#N/A,FALSE,"Test 120 Day Accts";#N/A,#N/A,FALSE,"Tickmarks"}</definedName>
    <definedName name="l_1_1_1_1_5" hidden="1">{#N/A,#N/A,FALSE,"Aging Summary";#N/A,#N/A,FALSE,"Ratio Analysis";#N/A,#N/A,FALSE,"Test 120 Day Accts";#N/A,#N/A,FALSE,"Tickmarks"}</definedName>
    <definedName name="l_1_1_1_2" localSheetId="0" hidden="1">{#N/A,#N/A,FALSE,"Aging Summary";#N/A,#N/A,FALSE,"Ratio Analysis";#N/A,#N/A,FALSE,"Test 120 Day Accts";#N/A,#N/A,FALSE,"Tickmarks"}</definedName>
    <definedName name="l_1_1_1_2" localSheetId="6" hidden="1">{#N/A,#N/A,FALSE,"Aging Summary";#N/A,#N/A,FALSE,"Ratio Analysis";#N/A,#N/A,FALSE,"Test 120 Day Accts";#N/A,#N/A,FALSE,"Tickmarks"}</definedName>
    <definedName name="l_1_1_1_2" hidden="1">{#N/A,#N/A,FALSE,"Aging Summary";#N/A,#N/A,FALSE,"Ratio Analysis";#N/A,#N/A,FALSE,"Test 120 Day Accts";#N/A,#N/A,FALSE,"Tickmarks"}</definedName>
    <definedName name="l_1_1_1_2_1" localSheetId="0" hidden="1">{#N/A,#N/A,FALSE,"Aging Summary";#N/A,#N/A,FALSE,"Ratio Analysis";#N/A,#N/A,FALSE,"Test 120 Day Accts";#N/A,#N/A,FALSE,"Tickmarks"}</definedName>
    <definedName name="l_1_1_1_2_1" localSheetId="6" hidden="1">{#N/A,#N/A,FALSE,"Aging Summary";#N/A,#N/A,FALSE,"Ratio Analysis";#N/A,#N/A,FALSE,"Test 120 Day Accts";#N/A,#N/A,FALSE,"Tickmarks"}</definedName>
    <definedName name="l_1_1_1_2_1" hidden="1">{#N/A,#N/A,FALSE,"Aging Summary";#N/A,#N/A,FALSE,"Ratio Analysis";#N/A,#N/A,FALSE,"Test 120 Day Accts";#N/A,#N/A,FALSE,"Tickmarks"}</definedName>
    <definedName name="l_1_1_1_2_2" localSheetId="0" hidden="1">{#N/A,#N/A,FALSE,"Aging Summary";#N/A,#N/A,FALSE,"Ratio Analysis";#N/A,#N/A,FALSE,"Test 120 Day Accts";#N/A,#N/A,FALSE,"Tickmarks"}</definedName>
    <definedName name="l_1_1_1_2_2" localSheetId="6" hidden="1">{#N/A,#N/A,FALSE,"Aging Summary";#N/A,#N/A,FALSE,"Ratio Analysis";#N/A,#N/A,FALSE,"Test 120 Day Accts";#N/A,#N/A,FALSE,"Tickmarks"}</definedName>
    <definedName name="l_1_1_1_2_2" hidden="1">{#N/A,#N/A,FALSE,"Aging Summary";#N/A,#N/A,FALSE,"Ratio Analysis";#N/A,#N/A,FALSE,"Test 120 Day Accts";#N/A,#N/A,FALSE,"Tickmarks"}</definedName>
    <definedName name="l_1_1_1_2_3" localSheetId="0" hidden="1">{#N/A,#N/A,FALSE,"Aging Summary";#N/A,#N/A,FALSE,"Ratio Analysis";#N/A,#N/A,FALSE,"Test 120 Day Accts";#N/A,#N/A,FALSE,"Tickmarks"}</definedName>
    <definedName name="l_1_1_1_2_3" localSheetId="6" hidden="1">{#N/A,#N/A,FALSE,"Aging Summary";#N/A,#N/A,FALSE,"Ratio Analysis";#N/A,#N/A,FALSE,"Test 120 Day Accts";#N/A,#N/A,FALSE,"Tickmarks"}</definedName>
    <definedName name="l_1_1_1_2_3" hidden="1">{#N/A,#N/A,FALSE,"Aging Summary";#N/A,#N/A,FALSE,"Ratio Analysis";#N/A,#N/A,FALSE,"Test 120 Day Accts";#N/A,#N/A,FALSE,"Tickmarks"}</definedName>
    <definedName name="l_1_1_1_2_4" localSheetId="0" hidden="1">{#N/A,#N/A,FALSE,"Aging Summary";#N/A,#N/A,FALSE,"Ratio Analysis";#N/A,#N/A,FALSE,"Test 120 Day Accts";#N/A,#N/A,FALSE,"Tickmarks"}</definedName>
    <definedName name="l_1_1_1_2_4" localSheetId="6" hidden="1">{#N/A,#N/A,FALSE,"Aging Summary";#N/A,#N/A,FALSE,"Ratio Analysis";#N/A,#N/A,FALSE,"Test 120 Day Accts";#N/A,#N/A,FALSE,"Tickmarks"}</definedName>
    <definedName name="l_1_1_1_2_4" hidden="1">{#N/A,#N/A,FALSE,"Aging Summary";#N/A,#N/A,FALSE,"Ratio Analysis";#N/A,#N/A,FALSE,"Test 120 Day Accts";#N/A,#N/A,FALSE,"Tickmarks"}</definedName>
    <definedName name="l_1_1_1_2_5" localSheetId="0" hidden="1">{#N/A,#N/A,FALSE,"Aging Summary";#N/A,#N/A,FALSE,"Ratio Analysis";#N/A,#N/A,FALSE,"Test 120 Day Accts";#N/A,#N/A,FALSE,"Tickmarks"}</definedName>
    <definedName name="l_1_1_1_2_5" localSheetId="6" hidden="1">{#N/A,#N/A,FALSE,"Aging Summary";#N/A,#N/A,FALSE,"Ratio Analysis";#N/A,#N/A,FALSE,"Test 120 Day Accts";#N/A,#N/A,FALSE,"Tickmarks"}</definedName>
    <definedName name="l_1_1_1_2_5" hidden="1">{#N/A,#N/A,FALSE,"Aging Summary";#N/A,#N/A,FALSE,"Ratio Analysis";#N/A,#N/A,FALSE,"Test 120 Day Accts";#N/A,#N/A,FALSE,"Tickmarks"}</definedName>
    <definedName name="l_1_1_1_3" localSheetId="0" hidden="1">{#N/A,#N/A,FALSE,"Aging Summary";#N/A,#N/A,FALSE,"Ratio Analysis";#N/A,#N/A,FALSE,"Test 120 Day Accts";#N/A,#N/A,FALSE,"Tickmarks"}</definedName>
    <definedName name="l_1_1_1_3" localSheetId="6" hidden="1">{#N/A,#N/A,FALSE,"Aging Summary";#N/A,#N/A,FALSE,"Ratio Analysis";#N/A,#N/A,FALSE,"Test 120 Day Accts";#N/A,#N/A,FALSE,"Tickmarks"}</definedName>
    <definedName name="l_1_1_1_3" hidden="1">{#N/A,#N/A,FALSE,"Aging Summary";#N/A,#N/A,FALSE,"Ratio Analysis";#N/A,#N/A,FALSE,"Test 120 Day Accts";#N/A,#N/A,FALSE,"Tickmarks"}</definedName>
    <definedName name="l_1_1_1_3_1" localSheetId="0" hidden="1">{#N/A,#N/A,FALSE,"Aging Summary";#N/A,#N/A,FALSE,"Ratio Analysis";#N/A,#N/A,FALSE,"Test 120 Day Accts";#N/A,#N/A,FALSE,"Tickmarks"}</definedName>
    <definedName name="l_1_1_1_3_1" localSheetId="6" hidden="1">{#N/A,#N/A,FALSE,"Aging Summary";#N/A,#N/A,FALSE,"Ratio Analysis";#N/A,#N/A,FALSE,"Test 120 Day Accts";#N/A,#N/A,FALSE,"Tickmarks"}</definedName>
    <definedName name="l_1_1_1_3_1" hidden="1">{#N/A,#N/A,FALSE,"Aging Summary";#N/A,#N/A,FALSE,"Ratio Analysis";#N/A,#N/A,FALSE,"Test 120 Day Accts";#N/A,#N/A,FALSE,"Tickmarks"}</definedName>
    <definedName name="l_1_1_1_3_2" localSheetId="0" hidden="1">{#N/A,#N/A,FALSE,"Aging Summary";#N/A,#N/A,FALSE,"Ratio Analysis";#N/A,#N/A,FALSE,"Test 120 Day Accts";#N/A,#N/A,FALSE,"Tickmarks"}</definedName>
    <definedName name="l_1_1_1_3_2" localSheetId="6" hidden="1">{#N/A,#N/A,FALSE,"Aging Summary";#N/A,#N/A,FALSE,"Ratio Analysis";#N/A,#N/A,FALSE,"Test 120 Day Accts";#N/A,#N/A,FALSE,"Tickmarks"}</definedName>
    <definedName name="l_1_1_1_3_2" hidden="1">{#N/A,#N/A,FALSE,"Aging Summary";#N/A,#N/A,FALSE,"Ratio Analysis";#N/A,#N/A,FALSE,"Test 120 Day Accts";#N/A,#N/A,FALSE,"Tickmarks"}</definedName>
    <definedName name="l_1_1_1_3_3" localSheetId="0" hidden="1">{#N/A,#N/A,FALSE,"Aging Summary";#N/A,#N/A,FALSE,"Ratio Analysis";#N/A,#N/A,FALSE,"Test 120 Day Accts";#N/A,#N/A,FALSE,"Tickmarks"}</definedName>
    <definedName name="l_1_1_1_3_3" localSheetId="6" hidden="1">{#N/A,#N/A,FALSE,"Aging Summary";#N/A,#N/A,FALSE,"Ratio Analysis";#N/A,#N/A,FALSE,"Test 120 Day Accts";#N/A,#N/A,FALSE,"Tickmarks"}</definedName>
    <definedName name="l_1_1_1_3_3" hidden="1">{#N/A,#N/A,FALSE,"Aging Summary";#N/A,#N/A,FALSE,"Ratio Analysis";#N/A,#N/A,FALSE,"Test 120 Day Accts";#N/A,#N/A,FALSE,"Tickmarks"}</definedName>
    <definedName name="l_1_1_1_3_4" localSheetId="0" hidden="1">{#N/A,#N/A,FALSE,"Aging Summary";#N/A,#N/A,FALSE,"Ratio Analysis";#N/A,#N/A,FALSE,"Test 120 Day Accts";#N/A,#N/A,FALSE,"Tickmarks"}</definedName>
    <definedName name="l_1_1_1_3_4" localSheetId="6" hidden="1">{#N/A,#N/A,FALSE,"Aging Summary";#N/A,#N/A,FALSE,"Ratio Analysis";#N/A,#N/A,FALSE,"Test 120 Day Accts";#N/A,#N/A,FALSE,"Tickmarks"}</definedName>
    <definedName name="l_1_1_1_3_4" hidden="1">{#N/A,#N/A,FALSE,"Aging Summary";#N/A,#N/A,FALSE,"Ratio Analysis";#N/A,#N/A,FALSE,"Test 120 Day Accts";#N/A,#N/A,FALSE,"Tickmarks"}</definedName>
    <definedName name="l_1_1_1_3_5" localSheetId="0" hidden="1">{#N/A,#N/A,FALSE,"Aging Summary";#N/A,#N/A,FALSE,"Ratio Analysis";#N/A,#N/A,FALSE,"Test 120 Day Accts";#N/A,#N/A,FALSE,"Tickmarks"}</definedName>
    <definedName name="l_1_1_1_3_5" localSheetId="6" hidden="1">{#N/A,#N/A,FALSE,"Aging Summary";#N/A,#N/A,FALSE,"Ratio Analysis";#N/A,#N/A,FALSE,"Test 120 Day Accts";#N/A,#N/A,FALSE,"Tickmarks"}</definedName>
    <definedName name="l_1_1_1_3_5" hidden="1">{#N/A,#N/A,FALSE,"Aging Summary";#N/A,#N/A,FALSE,"Ratio Analysis";#N/A,#N/A,FALSE,"Test 120 Day Accts";#N/A,#N/A,FALSE,"Tickmarks"}</definedName>
    <definedName name="l_1_1_1_4" localSheetId="0" hidden="1">{#N/A,#N/A,FALSE,"Aging Summary";#N/A,#N/A,FALSE,"Ratio Analysis";#N/A,#N/A,FALSE,"Test 120 Day Accts";#N/A,#N/A,FALSE,"Tickmarks"}</definedName>
    <definedName name="l_1_1_1_4" localSheetId="6" hidden="1">{#N/A,#N/A,FALSE,"Aging Summary";#N/A,#N/A,FALSE,"Ratio Analysis";#N/A,#N/A,FALSE,"Test 120 Day Accts";#N/A,#N/A,FALSE,"Tickmarks"}</definedName>
    <definedName name="l_1_1_1_4" hidden="1">{#N/A,#N/A,FALSE,"Aging Summary";#N/A,#N/A,FALSE,"Ratio Analysis";#N/A,#N/A,FALSE,"Test 120 Day Accts";#N/A,#N/A,FALSE,"Tickmarks"}</definedName>
    <definedName name="l_1_1_1_4_1" localSheetId="0" hidden="1">{#N/A,#N/A,FALSE,"Aging Summary";#N/A,#N/A,FALSE,"Ratio Analysis";#N/A,#N/A,FALSE,"Test 120 Day Accts";#N/A,#N/A,FALSE,"Tickmarks"}</definedName>
    <definedName name="l_1_1_1_4_1" localSheetId="6" hidden="1">{#N/A,#N/A,FALSE,"Aging Summary";#N/A,#N/A,FALSE,"Ratio Analysis";#N/A,#N/A,FALSE,"Test 120 Day Accts";#N/A,#N/A,FALSE,"Tickmarks"}</definedName>
    <definedName name="l_1_1_1_4_1" hidden="1">{#N/A,#N/A,FALSE,"Aging Summary";#N/A,#N/A,FALSE,"Ratio Analysis";#N/A,#N/A,FALSE,"Test 120 Day Accts";#N/A,#N/A,FALSE,"Tickmarks"}</definedName>
    <definedName name="l_1_1_1_4_2" localSheetId="0" hidden="1">{#N/A,#N/A,FALSE,"Aging Summary";#N/A,#N/A,FALSE,"Ratio Analysis";#N/A,#N/A,FALSE,"Test 120 Day Accts";#N/A,#N/A,FALSE,"Tickmarks"}</definedName>
    <definedName name="l_1_1_1_4_2" localSheetId="6" hidden="1">{#N/A,#N/A,FALSE,"Aging Summary";#N/A,#N/A,FALSE,"Ratio Analysis";#N/A,#N/A,FALSE,"Test 120 Day Accts";#N/A,#N/A,FALSE,"Tickmarks"}</definedName>
    <definedName name="l_1_1_1_4_2" hidden="1">{#N/A,#N/A,FALSE,"Aging Summary";#N/A,#N/A,FALSE,"Ratio Analysis";#N/A,#N/A,FALSE,"Test 120 Day Accts";#N/A,#N/A,FALSE,"Tickmarks"}</definedName>
    <definedName name="l_1_1_1_4_3" localSheetId="0" hidden="1">{#N/A,#N/A,FALSE,"Aging Summary";#N/A,#N/A,FALSE,"Ratio Analysis";#N/A,#N/A,FALSE,"Test 120 Day Accts";#N/A,#N/A,FALSE,"Tickmarks"}</definedName>
    <definedName name="l_1_1_1_4_3" localSheetId="6" hidden="1">{#N/A,#N/A,FALSE,"Aging Summary";#N/A,#N/A,FALSE,"Ratio Analysis";#N/A,#N/A,FALSE,"Test 120 Day Accts";#N/A,#N/A,FALSE,"Tickmarks"}</definedName>
    <definedName name="l_1_1_1_4_3" hidden="1">{#N/A,#N/A,FALSE,"Aging Summary";#N/A,#N/A,FALSE,"Ratio Analysis";#N/A,#N/A,FALSE,"Test 120 Day Accts";#N/A,#N/A,FALSE,"Tickmarks"}</definedName>
    <definedName name="l_1_1_1_4_4" localSheetId="0" hidden="1">{#N/A,#N/A,FALSE,"Aging Summary";#N/A,#N/A,FALSE,"Ratio Analysis";#N/A,#N/A,FALSE,"Test 120 Day Accts";#N/A,#N/A,FALSE,"Tickmarks"}</definedName>
    <definedName name="l_1_1_1_4_4" localSheetId="6" hidden="1">{#N/A,#N/A,FALSE,"Aging Summary";#N/A,#N/A,FALSE,"Ratio Analysis";#N/A,#N/A,FALSE,"Test 120 Day Accts";#N/A,#N/A,FALSE,"Tickmarks"}</definedName>
    <definedName name="l_1_1_1_4_4" hidden="1">{#N/A,#N/A,FALSE,"Aging Summary";#N/A,#N/A,FALSE,"Ratio Analysis";#N/A,#N/A,FALSE,"Test 120 Day Accts";#N/A,#N/A,FALSE,"Tickmarks"}</definedName>
    <definedName name="l_1_1_1_4_5" localSheetId="0" hidden="1">{#N/A,#N/A,FALSE,"Aging Summary";#N/A,#N/A,FALSE,"Ratio Analysis";#N/A,#N/A,FALSE,"Test 120 Day Accts";#N/A,#N/A,FALSE,"Tickmarks"}</definedName>
    <definedName name="l_1_1_1_4_5" localSheetId="6" hidden="1">{#N/A,#N/A,FALSE,"Aging Summary";#N/A,#N/A,FALSE,"Ratio Analysis";#N/A,#N/A,FALSE,"Test 120 Day Accts";#N/A,#N/A,FALSE,"Tickmarks"}</definedName>
    <definedName name="l_1_1_1_4_5" hidden="1">{#N/A,#N/A,FALSE,"Aging Summary";#N/A,#N/A,FALSE,"Ratio Analysis";#N/A,#N/A,FALSE,"Test 120 Day Accts";#N/A,#N/A,FALSE,"Tickmarks"}</definedName>
    <definedName name="l_1_1_1_5" localSheetId="0" hidden="1">{#N/A,#N/A,FALSE,"Aging Summary";#N/A,#N/A,FALSE,"Ratio Analysis";#N/A,#N/A,FALSE,"Test 120 Day Accts";#N/A,#N/A,FALSE,"Tickmarks"}</definedName>
    <definedName name="l_1_1_1_5" localSheetId="6" hidden="1">{#N/A,#N/A,FALSE,"Aging Summary";#N/A,#N/A,FALSE,"Ratio Analysis";#N/A,#N/A,FALSE,"Test 120 Day Accts";#N/A,#N/A,FALSE,"Tickmarks"}</definedName>
    <definedName name="l_1_1_1_5" hidden="1">{#N/A,#N/A,FALSE,"Aging Summary";#N/A,#N/A,FALSE,"Ratio Analysis";#N/A,#N/A,FALSE,"Test 120 Day Accts";#N/A,#N/A,FALSE,"Tickmarks"}</definedName>
    <definedName name="l_1_1_1_5_1" localSheetId="0" hidden="1">{#N/A,#N/A,FALSE,"Aging Summary";#N/A,#N/A,FALSE,"Ratio Analysis";#N/A,#N/A,FALSE,"Test 120 Day Accts";#N/A,#N/A,FALSE,"Tickmarks"}</definedName>
    <definedName name="l_1_1_1_5_1" localSheetId="6" hidden="1">{#N/A,#N/A,FALSE,"Aging Summary";#N/A,#N/A,FALSE,"Ratio Analysis";#N/A,#N/A,FALSE,"Test 120 Day Accts";#N/A,#N/A,FALSE,"Tickmarks"}</definedName>
    <definedName name="l_1_1_1_5_1" hidden="1">{#N/A,#N/A,FALSE,"Aging Summary";#N/A,#N/A,FALSE,"Ratio Analysis";#N/A,#N/A,FALSE,"Test 120 Day Accts";#N/A,#N/A,FALSE,"Tickmarks"}</definedName>
    <definedName name="l_1_1_1_5_2" localSheetId="0" hidden="1">{#N/A,#N/A,FALSE,"Aging Summary";#N/A,#N/A,FALSE,"Ratio Analysis";#N/A,#N/A,FALSE,"Test 120 Day Accts";#N/A,#N/A,FALSE,"Tickmarks"}</definedName>
    <definedName name="l_1_1_1_5_2" localSheetId="6" hidden="1">{#N/A,#N/A,FALSE,"Aging Summary";#N/A,#N/A,FALSE,"Ratio Analysis";#N/A,#N/A,FALSE,"Test 120 Day Accts";#N/A,#N/A,FALSE,"Tickmarks"}</definedName>
    <definedName name="l_1_1_1_5_2" hidden="1">{#N/A,#N/A,FALSE,"Aging Summary";#N/A,#N/A,FALSE,"Ratio Analysis";#N/A,#N/A,FALSE,"Test 120 Day Accts";#N/A,#N/A,FALSE,"Tickmarks"}</definedName>
    <definedName name="l_1_1_1_5_3" localSheetId="0" hidden="1">{#N/A,#N/A,FALSE,"Aging Summary";#N/A,#N/A,FALSE,"Ratio Analysis";#N/A,#N/A,FALSE,"Test 120 Day Accts";#N/A,#N/A,FALSE,"Tickmarks"}</definedName>
    <definedName name="l_1_1_1_5_3" localSheetId="6" hidden="1">{#N/A,#N/A,FALSE,"Aging Summary";#N/A,#N/A,FALSE,"Ratio Analysis";#N/A,#N/A,FALSE,"Test 120 Day Accts";#N/A,#N/A,FALSE,"Tickmarks"}</definedName>
    <definedName name="l_1_1_1_5_3" hidden="1">{#N/A,#N/A,FALSE,"Aging Summary";#N/A,#N/A,FALSE,"Ratio Analysis";#N/A,#N/A,FALSE,"Test 120 Day Accts";#N/A,#N/A,FALSE,"Tickmarks"}</definedName>
    <definedName name="l_1_1_1_5_4" localSheetId="0" hidden="1">{#N/A,#N/A,FALSE,"Aging Summary";#N/A,#N/A,FALSE,"Ratio Analysis";#N/A,#N/A,FALSE,"Test 120 Day Accts";#N/A,#N/A,FALSE,"Tickmarks"}</definedName>
    <definedName name="l_1_1_1_5_4" localSheetId="6" hidden="1">{#N/A,#N/A,FALSE,"Aging Summary";#N/A,#N/A,FALSE,"Ratio Analysis";#N/A,#N/A,FALSE,"Test 120 Day Accts";#N/A,#N/A,FALSE,"Tickmarks"}</definedName>
    <definedName name="l_1_1_1_5_4" hidden="1">{#N/A,#N/A,FALSE,"Aging Summary";#N/A,#N/A,FALSE,"Ratio Analysis";#N/A,#N/A,FALSE,"Test 120 Day Accts";#N/A,#N/A,FALSE,"Tickmarks"}</definedName>
    <definedName name="l_1_1_1_5_5" localSheetId="0" hidden="1">{#N/A,#N/A,FALSE,"Aging Summary";#N/A,#N/A,FALSE,"Ratio Analysis";#N/A,#N/A,FALSE,"Test 120 Day Accts";#N/A,#N/A,FALSE,"Tickmarks"}</definedName>
    <definedName name="l_1_1_1_5_5" localSheetId="6" hidden="1">{#N/A,#N/A,FALSE,"Aging Summary";#N/A,#N/A,FALSE,"Ratio Analysis";#N/A,#N/A,FALSE,"Test 120 Day Accts";#N/A,#N/A,FALSE,"Tickmarks"}</definedName>
    <definedName name="l_1_1_1_5_5" hidden="1">{#N/A,#N/A,FALSE,"Aging Summary";#N/A,#N/A,FALSE,"Ratio Analysis";#N/A,#N/A,FALSE,"Test 120 Day Accts";#N/A,#N/A,FALSE,"Tickmarks"}</definedName>
    <definedName name="l_1_1_2" localSheetId="0" hidden="1">{#N/A,#N/A,FALSE,"Aging Summary";#N/A,#N/A,FALSE,"Ratio Analysis";#N/A,#N/A,FALSE,"Test 120 Day Accts";#N/A,#N/A,FALSE,"Tickmarks"}</definedName>
    <definedName name="l_1_1_2" localSheetId="6" hidden="1">{#N/A,#N/A,FALSE,"Aging Summary";#N/A,#N/A,FALSE,"Ratio Analysis";#N/A,#N/A,FALSE,"Test 120 Day Accts";#N/A,#N/A,FALSE,"Tickmarks"}</definedName>
    <definedName name="l_1_1_2" hidden="1">{#N/A,#N/A,FALSE,"Aging Summary";#N/A,#N/A,FALSE,"Ratio Analysis";#N/A,#N/A,FALSE,"Test 120 Day Accts";#N/A,#N/A,FALSE,"Tickmarks"}</definedName>
    <definedName name="l_1_1_2_1" localSheetId="0" hidden="1">{#N/A,#N/A,FALSE,"Aging Summary";#N/A,#N/A,FALSE,"Ratio Analysis";#N/A,#N/A,FALSE,"Test 120 Day Accts";#N/A,#N/A,FALSE,"Tickmarks"}</definedName>
    <definedName name="l_1_1_2_1" localSheetId="6" hidden="1">{#N/A,#N/A,FALSE,"Aging Summary";#N/A,#N/A,FALSE,"Ratio Analysis";#N/A,#N/A,FALSE,"Test 120 Day Accts";#N/A,#N/A,FALSE,"Tickmarks"}</definedName>
    <definedName name="l_1_1_2_1" hidden="1">{#N/A,#N/A,FALSE,"Aging Summary";#N/A,#N/A,FALSE,"Ratio Analysis";#N/A,#N/A,FALSE,"Test 120 Day Accts";#N/A,#N/A,FALSE,"Tickmarks"}</definedName>
    <definedName name="l_1_1_2_1_1" localSheetId="0" hidden="1">{#N/A,#N/A,FALSE,"Aging Summary";#N/A,#N/A,FALSE,"Ratio Analysis";#N/A,#N/A,FALSE,"Test 120 Day Accts";#N/A,#N/A,FALSE,"Tickmarks"}</definedName>
    <definedName name="l_1_1_2_1_1" localSheetId="6" hidden="1">{#N/A,#N/A,FALSE,"Aging Summary";#N/A,#N/A,FALSE,"Ratio Analysis";#N/A,#N/A,FALSE,"Test 120 Day Accts";#N/A,#N/A,FALSE,"Tickmarks"}</definedName>
    <definedName name="l_1_1_2_1_1" hidden="1">{#N/A,#N/A,FALSE,"Aging Summary";#N/A,#N/A,FALSE,"Ratio Analysis";#N/A,#N/A,FALSE,"Test 120 Day Accts";#N/A,#N/A,FALSE,"Tickmarks"}</definedName>
    <definedName name="l_1_1_2_1_2" localSheetId="0" hidden="1">{#N/A,#N/A,FALSE,"Aging Summary";#N/A,#N/A,FALSE,"Ratio Analysis";#N/A,#N/A,FALSE,"Test 120 Day Accts";#N/A,#N/A,FALSE,"Tickmarks"}</definedName>
    <definedName name="l_1_1_2_1_2" localSheetId="6" hidden="1">{#N/A,#N/A,FALSE,"Aging Summary";#N/A,#N/A,FALSE,"Ratio Analysis";#N/A,#N/A,FALSE,"Test 120 Day Accts";#N/A,#N/A,FALSE,"Tickmarks"}</definedName>
    <definedName name="l_1_1_2_1_2" hidden="1">{#N/A,#N/A,FALSE,"Aging Summary";#N/A,#N/A,FALSE,"Ratio Analysis";#N/A,#N/A,FALSE,"Test 120 Day Accts";#N/A,#N/A,FALSE,"Tickmarks"}</definedName>
    <definedName name="l_1_1_2_1_3" localSheetId="0" hidden="1">{#N/A,#N/A,FALSE,"Aging Summary";#N/A,#N/A,FALSE,"Ratio Analysis";#N/A,#N/A,FALSE,"Test 120 Day Accts";#N/A,#N/A,FALSE,"Tickmarks"}</definedName>
    <definedName name="l_1_1_2_1_3" localSheetId="6" hidden="1">{#N/A,#N/A,FALSE,"Aging Summary";#N/A,#N/A,FALSE,"Ratio Analysis";#N/A,#N/A,FALSE,"Test 120 Day Accts";#N/A,#N/A,FALSE,"Tickmarks"}</definedName>
    <definedName name="l_1_1_2_1_3" hidden="1">{#N/A,#N/A,FALSE,"Aging Summary";#N/A,#N/A,FALSE,"Ratio Analysis";#N/A,#N/A,FALSE,"Test 120 Day Accts";#N/A,#N/A,FALSE,"Tickmarks"}</definedName>
    <definedName name="l_1_1_2_1_4" localSheetId="0" hidden="1">{#N/A,#N/A,FALSE,"Aging Summary";#N/A,#N/A,FALSE,"Ratio Analysis";#N/A,#N/A,FALSE,"Test 120 Day Accts";#N/A,#N/A,FALSE,"Tickmarks"}</definedName>
    <definedName name="l_1_1_2_1_4" localSheetId="6" hidden="1">{#N/A,#N/A,FALSE,"Aging Summary";#N/A,#N/A,FALSE,"Ratio Analysis";#N/A,#N/A,FALSE,"Test 120 Day Accts";#N/A,#N/A,FALSE,"Tickmarks"}</definedName>
    <definedName name="l_1_1_2_1_4" hidden="1">{#N/A,#N/A,FALSE,"Aging Summary";#N/A,#N/A,FALSE,"Ratio Analysis";#N/A,#N/A,FALSE,"Test 120 Day Accts";#N/A,#N/A,FALSE,"Tickmarks"}</definedName>
    <definedName name="l_1_1_2_1_5" localSheetId="0" hidden="1">{#N/A,#N/A,FALSE,"Aging Summary";#N/A,#N/A,FALSE,"Ratio Analysis";#N/A,#N/A,FALSE,"Test 120 Day Accts";#N/A,#N/A,FALSE,"Tickmarks"}</definedName>
    <definedName name="l_1_1_2_1_5" localSheetId="6" hidden="1">{#N/A,#N/A,FALSE,"Aging Summary";#N/A,#N/A,FALSE,"Ratio Analysis";#N/A,#N/A,FALSE,"Test 120 Day Accts";#N/A,#N/A,FALSE,"Tickmarks"}</definedName>
    <definedName name="l_1_1_2_1_5" hidden="1">{#N/A,#N/A,FALSE,"Aging Summary";#N/A,#N/A,FALSE,"Ratio Analysis";#N/A,#N/A,FALSE,"Test 120 Day Accts";#N/A,#N/A,FALSE,"Tickmarks"}</definedName>
    <definedName name="l_1_1_2_2" localSheetId="0" hidden="1">{#N/A,#N/A,FALSE,"Aging Summary";#N/A,#N/A,FALSE,"Ratio Analysis";#N/A,#N/A,FALSE,"Test 120 Day Accts";#N/A,#N/A,FALSE,"Tickmarks"}</definedName>
    <definedName name="l_1_1_2_2" localSheetId="6" hidden="1">{#N/A,#N/A,FALSE,"Aging Summary";#N/A,#N/A,FALSE,"Ratio Analysis";#N/A,#N/A,FALSE,"Test 120 Day Accts";#N/A,#N/A,FALSE,"Tickmarks"}</definedName>
    <definedName name="l_1_1_2_2" hidden="1">{#N/A,#N/A,FALSE,"Aging Summary";#N/A,#N/A,FALSE,"Ratio Analysis";#N/A,#N/A,FALSE,"Test 120 Day Accts";#N/A,#N/A,FALSE,"Tickmarks"}</definedName>
    <definedName name="l_1_1_2_2_1" localSheetId="0" hidden="1">{#N/A,#N/A,FALSE,"Aging Summary";#N/A,#N/A,FALSE,"Ratio Analysis";#N/A,#N/A,FALSE,"Test 120 Day Accts";#N/A,#N/A,FALSE,"Tickmarks"}</definedName>
    <definedName name="l_1_1_2_2_1" localSheetId="6" hidden="1">{#N/A,#N/A,FALSE,"Aging Summary";#N/A,#N/A,FALSE,"Ratio Analysis";#N/A,#N/A,FALSE,"Test 120 Day Accts";#N/A,#N/A,FALSE,"Tickmarks"}</definedName>
    <definedName name="l_1_1_2_2_1" hidden="1">{#N/A,#N/A,FALSE,"Aging Summary";#N/A,#N/A,FALSE,"Ratio Analysis";#N/A,#N/A,FALSE,"Test 120 Day Accts";#N/A,#N/A,FALSE,"Tickmarks"}</definedName>
    <definedName name="l_1_1_2_2_2" localSheetId="0" hidden="1">{#N/A,#N/A,FALSE,"Aging Summary";#N/A,#N/A,FALSE,"Ratio Analysis";#N/A,#N/A,FALSE,"Test 120 Day Accts";#N/A,#N/A,FALSE,"Tickmarks"}</definedName>
    <definedName name="l_1_1_2_2_2" localSheetId="6" hidden="1">{#N/A,#N/A,FALSE,"Aging Summary";#N/A,#N/A,FALSE,"Ratio Analysis";#N/A,#N/A,FALSE,"Test 120 Day Accts";#N/A,#N/A,FALSE,"Tickmarks"}</definedName>
    <definedName name="l_1_1_2_2_2" hidden="1">{#N/A,#N/A,FALSE,"Aging Summary";#N/A,#N/A,FALSE,"Ratio Analysis";#N/A,#N/A,FALSE,"Test 120 Day Accts";#N/A,#N/A,FALSE,"Tickmarks"}</definedName>
    <definedName name="l_1_1_2_2_3" localSheetId="0" hidden="1">{#N/A,#N/A,FALSE,"Aging Summary";#N/A,#N/A,FALSE,"Ratio Analysis";#N/A,#N/A,FALSE,"Test 120 Day Accts";#N/A,#N/A,FALSE,"Tickmarks"}</definedName>
    <definedName name="l_1_1_2_2_3" localSheetId="6" hidden="1">{#N/A,#N/A,FALSE,"Aging Summary";#N/A,#N/A,FALSE,"Ratio Analysis";#N/A,#N/A,FALSE,"Test 120 Day Accts";#N/A,#N/A,FALSE,"Tickmarks"}</definedName>
    <definedName name="l_1_1_2_2_3" hidden="1">{#N/A,#N/A,FALSE,"Aging Summary";#N/A,#N/A,FALSE,"Ratio Analysis";#N/A,#N/A,FALSE,"Test 120 Day Accts";#N/A,#N/A,FALSE,"Tickmarks"}</definedName>
    <definedName name="l_1_1_2_2_4" localSheetId="0" hidden="1">{#N/A,#N/A,FALSE,"Aging Summary";#N/A,#N/A,FALSE,"Ratio Analysis";#N/A,#N/A,FALSE,"Test 120 Day Accts";#N/A,#N/A,FALSE,"Tickmarks"}</definedName>
    <definedName name="l_1_1_2_2_4" localSheetId="6" hidden="1">{#N/A,#N/A,FALSE,"Aging Summary";#N/A,#N/A,FALSE,"Ratio Analysis";#N/A,#N/A,FALSE,"Test 120 Day Accts";#N/A,#N/A,FALSE,"Tickmarks"}</definedName>
    <definedName name="l_1_1_2_2_4" hidden="1">{#N/A,#N/A,FALSE,"Aging Summary";#N/A,#N/A,FALSE,"Ratio Analysis";#N/A,#N/A,FALSE,"Test 120 Day Accts";#N/A,#N/A,FALSE,"Tickmarks"}</definedName>
    <definedName name="l_1_1_2_2_5" localSheetId="0" hidden="1">{#N/A,#N/A,FALSE,"Aging Summary";#N/A,#N/A,FALSE,"Ratio Analysis";#N/A,#N/A,FALSE,"Test 120 Day Accts";#N/A,#N/A,FALSE,"Tickmarks"}</definedName>
    <definedName name="l_1_1_2_2_5" localSheetId="6" hidden="1">{#N/A,#N/A,FALSE,"Aging Summary";#N/A,#N/A,FALSE,"Ratio Analysis";#N/A,#N/A,FALSE,"Test 120 Day Accts";#N/A,#N/A,FALSE,"Tickmarks"}</definedName>
    <definedName name="l_1_1_2_2_5" hidden="1">{#N/A,#N/A,FALSE,"Aging Summary";#N/A,#N/A,FALSE,"Ratio Analysis";#N/A,#N/A,FALSE,"Test 120 Day Accts";#N/A,#N/A,FALSE,"Tickmarks"}</definedName>
    <definedName name="l_1_1_2_3" localSheetId="0" hidden="1">{#N/A,#N/A,FALSE,"Aging Summary";#N/A,#N/A,FALSE,"Ratio Analysis";#N/A,#N/A,FALSE,"Test 120 Day Accts";#N/A,#N/A,FALSE,"Tickmarks"}</definedName>
    <definedName name="l_1_1_2_3" localSheetId="6" hidden="1">{#N/A,#N/A,FALSE,"Aging Summary";#N/A,#N/A,FALSE,"Ratio Analysis";#N/A,#N/A,FALSE,"Test 120 Day Accts";#N/A,#N/A,FALSE,"Tickmarks"}</definedName>
    <definedName name="l_1_1_2_3" hidden="1">{#N/A,#N/A,FALSE,"Aging Summary";#N/A,#N/A,FALSE,"Ratio Analysis";#N/A,#N/A,FALSE,"Test 120 Day Accts";#N/A,#N/A,FALSE,"Tickmarks"}</definedName>
    <definedName name="l_1_1_2_3_1" localSheetId="0" hidden="1">{#N/A,#N/A,FALSE,"Aging Summary";#N/A,#N/A,FALSE,"Ratio Analysis";#N/A,#N/A,FALSE,"Test 120 Day Accts";#N/A,#N/A,FALSE,"Tickmarks"}</definedName>
    <definedName name="l_1_1_2_3_1" localSheetId="6" hidden="1">{#N/A,#N/A,FALSE,"Aging Summary";#N/A,#N/A,FALSE,"Ratio Analysis";#N/A,#N/A,FALSE,"Test 120 Day Accts";#N/A,#N/A,FALSE,"Tickmarks"}</definedName>
    <definedName name="l_1_1_2_3_1" hidden="1">{#N/A,#N/A,FALSE,"Aging Summary";#N/A,#N/A,FALSE,"Ratio Analysis";#N/A,#N/A,FALSE,"Test 120 Day Accts";#N/A,#N/A,FALSE,"Tickmarks"}</definedName>
    <definedName name="l_1_1_2_3_2" localSheetId="0" hidden="1">{#N/A,#N/A,FALSE,"Aging Summary";#N/A,#N/A,FALSE,"Ratio Analysis";#N/A,#N/A,FALSE,"Test 120 Day Accts";#N/A,#N/A,FALSE,"Tickmarks"}</definedName>
    <definedName name="l_1_1_2_3_2" localSheetId="6" hidden="1">{#N/A,#N/A,FALSE,"Aging Summary";#N/A,#N/A,FALSE,"Ratio Analysis";#N/A,#N/A,FALSE,"Test 120 Day Accts";#N/A,#N/A,FALSE,"Tickmarks"}</definedName>
    <definedName name="l_1_1_2_3_2" hidden="1">{#N/A,#N/A,FALSE,"Aging Summary";#N/A,#N/A,FALSE,"Ratio Analysis";#N/A,#N/A,FALSE,"Test 120 Day Accts";#N/A,#N/A,FALSE,"Tickmarks"}</definedName>
    <definedName name="l_1_1_2_3_3" localSheetId="0" hidden="1">{#N/A,#N/A,FALSE,"Aging Summary";#N/A,#N/A,FALSE,"Ratio Analysis";#N/A,#N/A,FALSE,"Test 120 Day Accts";#N/A,#N/A,FALSE,"Tickmarks"}</definedName>
    <definedName name="l_1_1_2_3_3" localSheetId="6" hidden="1">{#N/A,#N/A,FALSE,"Aging Summary";#N/A,#N/A,FALSE,"Ratio Analysis";#N/A,#N/A,FALSE,"Test 120 Day Accts";#N/A,#N/A,FALSE,"Tickmarks"}</definedName>
    <definedName name="l_1_1_2_3_3" hidden="1">{#N/A,#N/A,FALSE,"Aging Summary";#N/A,#N/A,FALSE,"Ratio Analysis";#N/A,#N/A,FALSE,"Test 120 Day Accts";#N/A,#N/A,FALSE,"Tickmarks"}</definedName>
    <definedName name="l_1_1_2_3_4" localSheetId="0" hidden="1">{#N/A,#N/A,FALSE,"Aging Summary";#N/A,#N/A,FALSE,"Ratio Analysis";#N/A,#N/A,FALSE,"Test 120 Day Accts";#N/A,#N/A,FALSE,"Tickmarks"}</definedName>
    <definedName name="l_1_1_2_3_4" localSheetId="6" hidden="1">{#N/A,#N/A,FALSE,"Aging Summary";#N/A,#N/A,FALSE,"Ratio Analysis";#N/A,#N/A,FALSE,"Test 120 Day Accts";#N/A,#N/A,FALSE,"Tickmarks"}</definedName>
    <definedName name="l_1_1_2_3_4" hidden="1">{#N/A,#N/A,FALSE,"Aging Summary";#N/A,#N/A,FALSE,"Ratio Analysis";#N/A,#N/A,FALSE,"Test 120 Day Accts";#N/A,#N/A,FALSE,"Tickmarks"}</definedName>
    <definedName name="l_1_1_2_3_5" localSheetId="0" hidden="1">{#N/A,#N/A,FALSE,"Aging Summary";#N/A,#N/A,FALSE,"Ratio Analysis";#N/A,#N/A,FALSE,"Test 120 Day Accts";#N/A,#N/A,FALSE,"Tickmarks"}</definedName>
    <definedName name="l_1_1_2_3_5" localSheetId="6" hidden="1">{#N/A,#N/A,FALSE,"Aging Summary";#N/A,#N/A,FALSE,"Ratio Analysis";#N/A,#N/A,FALSE,"Test 120 Day Accts";#N/A,#N/A,FALSE,"Tickmarks"}</definedName>
    <definedName name="l_1_1_2_3_5" hidden="1">{#N/A,#N/A,FALSE,"Aging Summary";#N/A,#N/A,FALSE,"Ratio Analysis";#N/A,#N/A,FALSE,"Test 120 Day Accts";#N/A,#N/A,FALSE,"Tickmarks"}</definedName>
    <definedName name="l_1_1_2_4" localSheetId="0" hidden="1">{#N/A,#N/A,FALSE,"Aging Summary";#N/A,#N/A,FALSE,"Ratio Analysis";#N/A,#N/A,FALSE,"Test 120 Day Accts";#N/A,#N/A,FALSE,"Tickmarks"}</definedName>
    <definedName name="l_1_1_2_4" localSheetId="6" hidden="1">{#N/A,#N/A,FALSE,"Aging Summary";#N/A,#N/A,FALSE,"Ratio Analysis";#N/A,#N/A,FALSE,"Test 120 Day Accts";#N/A,#N/A,FALSE,"Tickmarks"}</definedName>
    <definedName name="l_1_1_2_4" hidden="1">{#N/A,#N/A,FALSE,"Aging Summary";#N/A,#N/A,FALSE,"Ratio Analysis";#N/A,#N/A,FALSE,"Test 120 Day Accts";#N/A,#N/A,FALSE,"Tickmarks"}</definedName>
    <definedName name="l_1_1_2_4_1" localSheetId="0" hidden="1">{#N/A,#N/A,FALSE,"Aging Summary";#N/A,#N/A,FALSE,"Ratio Analysis";#N/A,#N/A,FALSE,"Test 120 Day Accts";#N/A,#N/A,FALSE,"Tickmarks"}</definedName>
    <definedName name="l_1_1_2_4_1" localSheetId="6" hidden="1">{#N/A,#N/A,FALSE,"Aging Summary";#N/A,#N/A,FALSE,"Ratio Analysis";#N/A,#N/A,FALSE,"Test 120 Day Accts";#N/A,#N/A,FALSE,"Tickmarks"}</definedName>
    <definedName name="l_1_1_2_4_1" hidden="1">{#N/A,#N/A,FALSE,"Aging Summary";#N/A,#N/A,FALSE,"Ratio Analysis";#N/A,#N/A,FALSE,"Test 120 Day Accts";#N/A,#N/A,FALSE,"Tickmarks"}</definedName>
    <definedName name="l_1_1_2_4_2" localSheetId="0" hidden="1">{#N/A,#N/A,FALSE,"Aging Summary";#N/A,#N/A,FALSE,"Ratio Analysis";#N/A,#N/A,FALSE,"Test 120 Day Accts";#N/A,#N/A,FALSE,"Tickmarks"}</definedName>
    <definedName name="l_1_1_2_4_2" localSheetId="6" hidden="1">{#N/A,#N/A,FALSE,"Aging Summary";#N/A,#N/A,FALSE,"Ratio Analysis";#N/A,#N/A,FALSE,"Test 120 Day Accts";#N/A,#N/A,FALSE,"Tickmarks"}</definedName>
    <definedName name="l_1_1_2_4_2" hidden="1">{#N/A,#N/A,FALSE,"Aging Summary";#N/A,#N/A,FALSE,"Ratio Analysis";#N/A,#N/A,FALSE,"Test 120 Day Accts";#N/A,#N/A,FALSE,"Tickmarks"}</definedName>
    <definedName name="l_1_1_2_4_3" localSheetId="0" hidden="1">{#N/A,#N/A,FALSE,"Aging Summary";#N/A,#N/A,FALSE,"Ratio Analysis";#N/A,#N/A,FALSE,"Test 120 Day Accts";#N/A,#N/A,FALSE,"Tickmarks"}</definedName>
    <definedName name="l_1_1_2_4_3" localSheetId="6" hidden="1">{#N/A,#N/A,FALSE,"Aging Summary";#N/A,#N/A,FALSE,"Ratio Analysis";#N/A,#N/A,FALSE,"Test 120 Day Accts";#N/A,#N/A,FALSE,"Tickmarks"}</definedName>
    <definedName name="l_1_1_2_4_3" hidden="1">{#N/A,#N/A,FALSE,"Aging Summary";#N/A,#N/A,FALSE,"Ratio Analysis";#N/A,#N/A,FALSE,"Test 120 Day Accts";#N/A,#N/A,FALSE,"Tickmarks"}</definedName>
    <definedName name="l_1_1_2_4_4" localSheetId="0" hidden="1">{#N/A,#N/A,FALSE,"Aging Summary";#N/A,#N/A,FALSE,"Ratio Analysis";#N/A,#N/A,FALSE,"Test 120 Day Accts";#N/A,#N/A,FALSE,"Tickmarks"}</definedName>
    <definedName name="l_1_1_2_4_4" localSheetId="6" hidden="1">{#N/A,#N/A,FALSE,"Aging Summary";#N/A,#N/A,FALSE,"Ratio Analysis";#N/A,#N/A,FALSE,"Test 120 Day Accts";#N/A,#N/A,FALSE,"Tickmarks"}</definedName>
    <definedName name="l_1_1_2_4_4" hidden="1">{#N/A,#N/A,FALSE,"Aging Summary";#N/A,#N/A,FALSE,"Ratio Analysis";#N/A,#N/A,FALSE,"Test 120 Day Accts";#N/A,#N/A,FALSE,"Tickmarks"}</definedName>
    <definedName name="l_1_1_2_4_5" localSheetId="0" hidden="1">{#N/A,#N/A,FALSE,"Aging Summary";#N/A,#N/A,FALSE,"Ratio Analysis";#N/A,#N/A,FALSE,"Test 120 Day Accts";#N/A,#N/A,FALSE,"Tickmarks"}</definedName>
    <definedName name="l_1_1_2_4_5" localSheetId="6" hidden="1">{#N/A,#N/A,FALSE,"Aging Summary";#N/A,#N/A,FALSE,"Ratio Analysis";#N/A,#N/A,FALSE,"Test 120 Day Accts";#N/A,#N/A,FALSE,"Tickmarks"}</definedName>
    <definedName name="l_1_1_2_4_5" hidden="1">{#N/A,#N/A,FALSE,"Aging Summary";#N/A,#N/A,FALSE,"Ratio Analysis";#N/A,#N/A,FALSE,"Test 120 Day Accts";#N/A,#N/A,FALSE,"Tickmarks"}</definedName>
    <definedName name="l_1_1_2_5" localSheetId="0" hidden="1">{#N/A,#N/A,FALSE,"Aging Summary";#N/A,#N/A,FALSE,"Ratio Analysis";#N/A,#N/A,FALSE,"Test 120 Day Accts";#N/A,#N/A,FALSE,"Tickmarks"}</definedName>
    <definedName name="l_1_1_2_5" localSheetId="6" hidden="1">{#N/A,#N/A,FALSE,"Aging Summary";#N/A,#N/A,FALSE,"Ratio Analysis";#N/A,#N/A,FALSE,"Test 120 Day Accts";#N/A,#N/A,FALSE,"Tickmarks"}</definedName>
    <definedName name="l_1_1_2_5" hidden="1">{#N/A,#N/A,FALSE,"Aging Summary";#N/A,#N/A,FALSE,"Ratio Analysis";#N/A,#N/A,FALSE,"Test 120 Day Accts";#N/A,#N/A,FALSE,"Tickmarks"}</definedName>
    <definedName name="l_1_1_2_5_1" localSheetId="0" hidden="1">{#N/A,#N/A,FALSE,"Aging Summary";#N/A,#N/A,FALSE,"Ratio Analysis";#N/A,#N/A,FALSE,"Test 120 Day Accts";#N/A,#N/A,FALSE,"Tickmarks"}</definedName>
    <definedName name="l_1_1_2_5_1" localSheetId="6" hidden="1">{#N/A,#N/A,FALSE,"Aging Summary";#N/A,#N/A,FALSE,"Ratio Analysis";#N/A,#N/A,FALSE,"Test 120 Day Accts";#N/A,#N/A,FALSE,"Tickmarks"}</definedName>
    <definedName name="l_1_1_2_5_1" hidden="1">{#N/A,#N/A,FALSE,"Aging Summary";#N/A,#N/A,FALSE,"Ratio Analysis";#N/A,#N/A,FALSE,"Test 120 Day Accts";#N/A,#N/A,FALSE,"Tickmarks"}</definedName>
    <definedName name="l_1_1_2_5_2" localSheetId="0" hidden="1">{#N/A,#N/A,FALSE,"Aging Summary";#N/A,#N/A,FALSE,"Ratio Analysis";#N/A,#N/A,FALSE,"Test 120 Day Accts";#N/A,#N/A,FALSE,"Tickmarks"}</definedName>
    <definedName name="l_1_1_2_5_2" localSheetId="6" hidden="1">{#N/A,#N/A,FALSE,"Aging Summary";#N/A,#N/A,FALSE,"Ratio Analysis";#N/A,#N/A,FALSE,"Test 120 Day Accts";#N/A,#N/A,FALSE,"Tickmarks"}</definedName>
    <definedName name="l_1_1_2_5_2" hidden="1">{#N/A,#N/A,FALSE,"Aging Summary";#N/A,#N/A,FALSE,"Ratio Analysis";#N/A,#N/A,FALSE,"Test 120 Day Accts";#N/A,#N/A,FALSE,"Tickmarks"}</definedName>
    <definedName name="l_1_1_2_5_3" localSheetId="0" hidden="1">{#N/A,#N/A,FALSE,"Aging Summary";#N/A,#N/A,FALSE,"Ratio Analysis";#N/A,#N/A,FALSE,"Test 120 Day Accts";#N/A,#N/A,FALSE,"Tickmarks"}</definedName>
    <definedName name="l_1_1_2_5_3" localSheetId="6" hidden="1">{#N/A,#N/A,FALSE,"Aging Summary";#N/A,#N/A,FALSE,"Ratio Analysis";#N/A,#N/A,FALSE,"Test 120 Day Accts";#N/A,#N/A,FALSE,"Tickmarks"}</definedName>
    <definedName name="l_1_1_2_5_3" hidden="1">{#N/A,#N/A,FALSE,"Aging Summary";#N/A,#N/A,FALSE,"Ratio Analysis";#N/A,#N/A,FALSE,"Test 120 Day Accts";#N/A,#N/A,FALSE,"Tickmarks"}</definedName>
    <definedName name="l_1_1_2_5_4" localSheetId="0" hidden="1">{#N/A,#N/A,FALSE,"Aging Summary";#N/A,#N/A,FALSE,"Ratio Analysis";#N/A,#N/A,FALSE,"Test 120 Day Accts";#N/A,#N/A,FALSE,"Tickmarks"}</definedName>
    <definedName name="l_1_1_2_5_4" localSheetId="6" hidden="1">{#N/A,#N/A,FALSE,"Aging Summary";#N/A,#N/A,FALSE,"Ratio Analysis";#N/A,#N/A,FALSE,"Test 120 Day Accts";#N/A,#N/A,FALSE,"Tickmarks"}</definedName>
    <definedName name="l_1_1_2_5_4" hidden="1">{#N/A,#N/A,FALSE,"Aging Summary";#N/A,#N/A,FALSE,"Ratio Analysis";#N/A,#N/A,FALSE,"Test 120 Day Accts";#N/A,#N/A,FALSE,"Tickmarks"}</definedName>
    <definedName name="l_1_1_2_5_5" localSheetId="0" hidden="1">{#N/A,#N/A,FALSE,"Aging Summary";#N/A,#N/A,FALSE,"Ratio Analysis";#N/A,#N/A,FALSE,"Test 120 Day Accts";#N/A,#N/A,FALSE,"Tickmarks"}</definedName>
    <definedName name="l_1_1_2_5_5" localSheetId="6" hidden="1">{#N/A,#N/A,FALSE,"Aging Summary";#N/A,#N/A,FALSE,"Ratio Analysis";#N/A,#N/A,FALSE,"Test 120 Day Accts";#N/A,#N/A,FALSE,"Tickmarks"}</definedName>
    <definedName name="l_1_1_2_5_5" hidden="1">{#N/A,#N/A,FALSE,"Aging Summary";#N/A,#N/A,FALSE,"Ratio Analysis";#N/A,#N/A,FALSE,"Test 120 Day Accts";#N/A,#N/A,FALSE,"Tickmarks"}</definedName>
    <definedName name="l_1_1_3" localSheetId="0" hidden="1">{#N/A,#N/A,FALSE,"Aging Summary";#N/A,#N/A,FALSE,"Ratio Analysis";#N/A,#N/A,FALSE,"Test 120 Day Accts";#N/A,#N/A,FALSE,"Tickmarks"}</definedName>
    <definedName name="l_1_1_3" localSheetId="6" hidden="1">{#N/A,#N/A,FALSE,"Aging Summary";#N/A,#N/A,FALSE,"Ratio Analysis";#N/A,#N/A,FALSE,"Test 120 Day Accts";#N/A,#N/A,FALSE,"Tickmarks"}</definedName>
    <definedName name="l_1_1_3" hidden="1">{#N/A,#N/A,FALSE,"Aging Summary";#N/A,#N/A,FALSE,"Ratio Analysis";#N/A,#N/A,FALSE,"Test 120 Day Accts";#N/A,#N/A,FALSE,"Tickmarks"}</definedName>
    <definedName name="l_1_1_3_1" localSheetId="0" hidden="1">{#N/A,#N/A,FALSE,"Aging Summary";#N/A,#N/A,FALSE,"Ratio Analysis";#N/A,#N/A,FALSE,"Test 120 Day Accts";#N/A,#N/A,FALSE,"Tickmarks"}</definedName>
    <definedName name="l_1_1_3_1" localSheetId="6" hidden="1">{#N/A,#N/A,FALSE,"Aging Summary";#N/A,#N/A,FALSE,"Ratio Analysis";#N/A,#N/A,FALSE,"Test 120 Day Accts";#N/A,#N/A,FALSE,"Tickmarks"}</definedName>
    <definedName name="l_1_1_3_1" hidden="1">{#N/A,#N/A,FALSE,"Aging Summary";#N/A,#N/A,FALSE,"Ratio Analysis";#N/A,#N/A,FALSE,"Test 120 Day Accts";#N/A,#N/A,FALSE,"Tickmarks"}</definedName>
    <definedName name="l_1_1_3_1_1" localSheetId="0" hidden="1">{#N/A,#N/A,FALSE,"Aging Summary";#N/A,#N/A,FALSE,"Ratio Analysis";#N/A,#N/A,FALSE,"Test 120 Day Accts";#N/A,#N/A,FALSE,"Tickmarks"}</definedName>
    <definedName name="l_1_1_3_1_1" localSheetId="6" hidden="1">{#N/A,#N/A,FALSE,"Aging Summary";#N/A,#N/A,FALSE,"Ratio Analysis";#N/A,#N/A,FALSE,"Test 120 Day Accts";#N/A,#N/A,FALSE,"Tickmarks"}</definedName>
    <definedName name="l_1_1_3_1_1" hidden="1">{#N/A,#N/A,FALSE,"Aging Summary";#N/A,#N/A,FALSE,"Ratio Analysis";#N/A,#N/A,FALSE,"Test 120 Day Accts";#N/A,#N/A,FALSE,"Tickmarks"}</definedName>
    <definedName name="l_1_1_3_1_2" localSheetId="0" hidden="1">{#N/A,#N/A,FALSE,"Aging Summary";#N/A,#N/A,FALSE,"Ratio Analysis";#N/A,#N/A,FALSE,"Test 120 Day Accts";#N/A,#N/A,FALSE,"Tickmarks"}</definedName>
    <definedName name="l_1_1_3_1_2" localSheetId="6" hidden="1">{#N/A,#N/A,FALSE,"Aging Summary";#N/A,#N/A,FALSE,"Ratio Analysis";#N/A,#N/A,FALSE,"Test 120 Day Accts";#N/A,#N/A,FALSE,"Tickmarks"}</definedName>
    <definedName name="l_1_1_3_1_2" hidden="1">{#N/A,#N/A,FALSE,"Aging Summary";#N/A,#N/A,FALSE,"Ratio Analysis";#N/A,#N/A,FALSE,"Test 120 Day Accts";#N/A,#N/A,FALSE,"Tickmarks"}</definedName>
    <definedName name="l_1_1_3_1_3" localSheetId="0" hidden="1">{#N/A,#N/A,FALSE,"Aging Summary";#N/A,#N/A,FALSE,"Ratio Analysis";#N/A,#N/A,FALSE,"Test 120 Day Accts";#N/A,#N/A,FALSE,"Tickmarks"}</definedName>
    <definedName name="l_1_1_3_1_3" localSheetId="6" hidden="1">{#N/A,#N/A,FALSE,"Aging Summary";#N/A,#N/A,FALSE,"Ratio Analysis";#N/A,#N/A,FALSE,"Test 120 Day Accts";#N/A,#N/A,FALSE,"Tickmarks"}</definedName>
    <definedName name="l_1_1_3_1_3" hidden="1">{#N/A,#N/A,FALSE,"Aging Summary";#N/A,#N/A,FALSE,"Ratio Analysis";#N/A,#N/A,FALSE,"Test 120 Day Accts";#N/A,#N/A,FALSE,"Tickmarks"}</definedName>
    <definedName name="l_1_1_3_1_4" localSheetId="0" hidden="1">{#N/A,#N/A,FALSE,"Aging Summary";#N/A,#N/A,FALSE,"Ratio Analysis";#N/A,#N/A,FALSE,"Test 120 Day Accts";#N/A,#N/A,FALSE,"Tickmarks"}</definedName>
    <definedName name="l_1_1_3_1_4" localSheetId="6" hidden="1">{#N/A,#N/A,FALSE,"Aging Summary";#N/A,#N/A,FALSE,"Ratio Analysis";#N/A,#N/A,FALSE,"Test 120 Day Accts";#N/A,#N/A,FALSE,"Tickmarks"}</definedName>
    <definedName name="l_1_1_3_1_4" hidden="1">{#N/A,#N/A,FALSE,"Aging Summary";#N/A,#N/A,FALSE,"Ratio Analysis";#N/A,#N/A,FALSE,"Test 120 Day Accts";#N/A,#N/A,FALSE,"Tickmarks"}</definedName>
    <definedName name="l_1_1_3_1_5" localSheetId="0" hidden="1">{#N/A,#N/A,FALSE,"Aging Summary";#N/A,#N/A,FALSE,"Ratio Analysis";#N/A,#N/A,FALSE,"Test 120 Day Accts";#N/A,#N/A,FALSE,"Tickmarks"}</definedName>
    <definedName name="l_1_1_3_1_5" localSheetId="6" hidden="1">{#N/A,#N/A,FALSE,"Aging Summary";#N/A,#N/A,FALSE,"Ratio Analysis";#N/A,#N/A,FALSE,"Test 120 Day Accts";#N/A,#N/A,FALSE,"Tickmarks"}</definedName>
    <definedName name="l_1_1_3_1_5" hidden="1">{#N/A,#N/A,FALSE,"Aging Summary";#N/A,#N/A,FALSE,"Ratio Analysis";#N/A,#N/A,FALSE,"Test 120 Day Accts";#N/A,#N/A,FALSE,"Tickmarks"}</definedName>
    <definedName name="l_1_1_3_2" localSheetId="0" hidden="1">{#N/A,#N/A,FALSE,"Aging Summary";#N/A,#N/A,FALSE,"Ratio Analysis";#N/A,#N/A,FALSE,"Test 120 Day Accts";#N/A,#N/A,FALSE,"Tickmarks"}</definedName>
    <definedName name="l_1_1_3_2" localSheetId="6" hidden="1">{#N/A,#N/A,FALSE,"Aging Summary";#N/A,#N/A,FALSE,"Ratio Analysis";#N/A,#N/A,FALSE,"Test 120 Day Accts";#N/A,#N/A,FALSE,"Tickmarks"}</definedName>
    <definedName name="l_1_1_3_2" hidden="1">{#N/A,#N/A,FALSE,"Aging Summary";#N/A,#N/A,FALSE,"Ratio Analysis";#N/A,#N/A,FALSE,"Test 120 Day Accts";#N/A,#N/A,FALSE,"Tickmarks"}</definedName>
    <definedName name="l_1_1_3_2_1" localSheetId="0" hidden="1">{#N/A,#N/A,FALSE,"Aging Summary";#N/A,#N/A,FALSE,"Ratio Analysis";#N/A,#N/A,FALSE,"Test 120 Day Accts";#N/A,#N/A,FALSE,"Tickmarks"}</definedName>
    <definedName name="l_1_1_3_2_1" localSheetId="6" hidden="1">{#N/A,#N/A,FALSE,"Aging Summary";#N/A,#N/A,FALSE,"Ratio Analysis";#N/A,#N/A,FALSE,"Test 120 Day Accts";#N/A,#N/A,FALSE,"Tickmarks"}</definedName>
    <definedName name="l_1_1_3_2_1" hidden="1">{#N/A,#N/A,FALSE,"Aging Summary";#N/A,#N/A,FALSE,"Ratio Analysis";#N/A,#N/A,FALSE,"Test 120 Day Accts";#N/A,#N/A,FALSE,"Tickmarks"}</definedName>
    <definedName name="l_1_1_3_2_2" localSheetId="0" hidden="1">{#N/A,#N/A,FALSE,"Aging Summary";#N/A,#N/A,FALSE,"Ratio Analysis";#N/A,#N/A,FALSE,"Test 120 Day Accts";#N/A,#N/A,FALSE,"Tickmarks"}</definedName>
    <definedName name="l_1_1_3_2_2" localSheetId="6" hidden="1">{#N/A,#N/A,FALSE,"Aging Summary";#N/A,#N/A,FALSE,"Ratio Analysis";#N/A,#N/A,FALSE,"Test 120 Day Accts";#N/A,#N/A,FALSE,"Tickmarks"}</definedName>
    <definedName name="l_1_1_3_2_2" hidden="1">{#N/A,#N/A,FALSE,"Aging Summary";#N/A,#N/A,FALSE,"Ratio Analysis";#N/A,#N/A,FALSE,"Test 120 Day Accts";#N/A,#N/A,FALSE,"Tickmarks"}</definedName>
    <definedName name="l_1_1_3_2_3" localSheetId="0" hidden="1">{#N/A,#N/A,FALSE,"Aging Summary";#N/A,#N/A,FALSE,"Ratio Analysis";#N/A,#N/A,FALSE,"Test 120 Day Accts";#N/A,#N/A,FALSE,"Tickmarks"}</definedName>
    <definedName name="l_1_1_3_2_3" localSheetId="6" hidden="1">{#N/A,#N/A,FALSE,"Aging Summary";#N/A,#N/A,FALSE,"Ratio Analysis";#N/A,#N/A,FALSE,"Test 120 Day Accts";#N/A,#N/A,FALSE,"Tickmarks"}</definedName>
    <definedName name="l_1_1_3_2_3" hidden="1">{#N/A,#N/A,FALSE,"Aging Summary";#N/A,#N/A,FALSE,"Ratio Analysis";#N/A,#N/A,FALSE,"Test 120 Day Accts";#N/A,#N/A,FALSE,"Tickmarks"}</definedName>
    <definedName name="l_1_1_3_2_4" localSheetId="0" hidden="1">{#N/A,#N/A,FALSE,"Aging Summary";#N/A,#N/A,FALSE,"Ratio Analysis";#N/A,#N/A,FALSE,"Test 120 Day Accts";#N/A,#N/A,FALSE,"Tickmarks"}</definedName>
    <definedName name="l_1_1_3_2_4" localSheetId="6" hidden="1">{#N/A,#N/A,FALSE,"Aging Summary";#N/A,#N/A,FALSE,"Ratio Analysis";#N/A,#N/A,FALSE,"Test 120 Day Accts";#N/A,#N/A,FALSE,"Tickmarks"}</definedName>
    <definedName name="l_1_1_3_2_4" hidden="1">{#N/A,#N/A,FALSE,"Aging Summary";#N/A,#N/A,FALSE,"Ratio Analysis";#N/A,#N/A,FALSE,"Test 120 Day Accts";#N/A,#N/A,FALSE,"Tickmarks"}</definedName>
    <definedName name="l_1_1_3_2_5" localSheetId="0" hidden="1">{#N/A,#N/A,FALSE,"Aging Summary";#N/A,#N/A,FALSE,"Ratio Analysis";#N/A,#N/A,FALSE,"Test 120 Day Accts";#N/A,#N/A,FALSE,"Tickmarks"}</definedName>
    <definedName name="l_1_1_3_2_5" localSheetId="6" hidden="1">{#N/A,#N/A,FALSE,"Aging Summary";#N/A,#N/A,FALSE,"Ratio Analysis";#N/A,#N/A,FALSE,"Test 120 Day Accts";#N/A,#N/A,FALSE,"Tickmarks"}</definedName>
    <definedName name="l_1_1_3_2_5" hidden="1">{#N/A,#N/A,FALSE,"Aging Summary";#N/A,#N/A,FALSE,"Ratio Analysis";#N/A,#N/A,FALSE,"Test 120 Day Accts";#N/A,#N/A,FALSE,"Tickmarks"}</definedName>
    <definedName name="l_1_1_3_3" localSheetId="0" hidden="1">{#N/A,#N/A,FALSE,"Aging Summary";#N/A,#N/A,FALSE,"Ratio Analysis";#N/A,#N/A,FALSE,"Test 120 Day Accts";#N/A,#N/A,FALSE,"Tickmarks"}</definedName>
    <definedName name="l_1_1_3_3" localSheetId="6" hidden="1">{#N/A,#N/A,FALSE,"Aging Summary";#N/A,#N/A,FALSE,"Ratio Analysis";#N/A,#N/A,FALSE,"Test 120 Day Accts";#N/A,#N/A,FALSE,"Tickmarks"}</definedName>
    <definedName name="l_1_1_3_3" hidden="1">{#N/A,#N/A,FALSE,"Aging Summary";#N/A,#N/A,FALSE,"Ratio Analysis";#N/A,#N/A,FALSE,"Test 120 Day Accts";#N/A,#N/A,FALSE,"Tickmarks"}</definedName>
    <definedName name="l_1_1_3_3_1" localSheetId="0" hidden="1">{#N/A,#N/A,FALSE,"Aging Summary";#N/A,#N/A,FALSE,"Ratio Analysis";#N/A,#N/A,FALSE,"Test 120 Day Accts";#N/A,#N/A,FALSE,"Tickmarks"}</definedName>
    <definedName name="l_1_1_3_3_1" localSheetId="6" hidden="1">{#N/A,#N/A,FALSE,"Aging Summary";#N/A,#N/A,FALSE,"Ratio Analysis";#N/A,#N/A,FALSE,"Test 120 Day Accts";#N/A,#N/A,FALSE,"Tickmarks"}</definedName>
    <definedName name="l_1_1_3_3_1" hidden="1">{#N/A,#N/A,FALSE,"Aging Summary";#N/A,#N/A,FALSE,"Ratio Analysis";#N/A,#N/A,FALSE,"Test 120 Day Accts";#N/A,#N/A,FALSE,"Tickmarks"}</definedName>
    <definedName name="l_1_1_3_3_2" localSheetId="0" hidden="1">{#N/A,#N/A,FALSE,"Aging Summary";#N/A,#N/A,FALSE,"Ratio Analysis";#N/A,#N/A,FALSE,"Test 120 Day Accts";#N/A,#N/A,FALSE,"Tickmarks"}</definedName>
    <definedName name="l_1_1_3_3_2" localSheetId="6" hidden="1">{#N/A,#N/A,FALSE,"Aging Summary";#N/A,#N/A,FALSE,"Ratio Analysis";#N/A,#N/A,FALSE,"Test 120 Day Accts";#N/A,#N/A,FALSE,"Tickmarks"}</definedName>
    <definedName name="l_1_1_3_3_2" hidden="1">{#N/A,#N/A,FALSE,"Aging Summary";#N/A,#N/A,FALSE,"Ratio Analysis";#N/A,#N/A,FALSE,"Test 120 Day Accts";#N/A,#N/A,FALSE,"Tickmarks"}</definedName>
    <definedName name="l_1_1_3_3_3" localSheetId="0" hidden="1">{#N/A,#N/A,FALSE,"Aging Summary";#N/A,#N/A,FALSE,"Ratio Analysis";#N/A,#N/A,FALSE,"Test 120 Day Accts";#N/A,#N/A,FALSE,"Tickmarks"}</definedName>
    <definedName name="l_1_1_3_3_3" localSheetId="6" hidden="1">{#N/A,#N/A,FALSE,"Aging Summary";#N/A,#N/A,FALSE,"Ratio Analysis";#N/A,#N/A,FALSE,"Test 120 Day Accts";#N/A,#N/A,FALSE,"Tickmarks"}</definedName>
    <definedName name="l_1_1_3_3_3" hidden="1">{#N/A,#N/A,FALSE,"Aging Summary";#N/A,#N/A,FALSE,"Ratio Analysis";#N/A,#N/A,FALSE,"Test 120 Day Accts";#N/A,#N/A,FALSE,"Tickmarks"}</definedName>
    <definedName name="l_1_1_3_3_4" localSheetId="0" hidden="1">{#N/A,#N/A,FALSE,"Aging Summary";#N/A,#N/A,FALSE,"Ratio Analysis";#N/A,#N/A,FALSE,"Test 120 Day Accts";#N/A,#N/A,FALSE,"Tickmarks"}</definedName>
    <definedName name="l_1_1_3_3_4" localSheetId="6" hidden="1">{#N/A,#N/A,FALSE,"Aging Summary";#N/A,#N/A,FALSE,"Ratio Analysis";#N/A,#N/A,FALSE,"Test 120 Day Accts";#N/A,#N/A,FALSE,"Tickmarks"}</definedName>
    <definedName name="l_1_1_3_3_4" hidden="1">{#N/A,#N/A,FALSE,"Aging Summary";#N/A,#N/A,FALSE,"Ratio Analysis";#N/A,#N/A,FALSE,"Test 120 Day Accts";#N/A,#N/A,FALSE,"Tickmarks"}</definedName>
    <definedName name="l_1_1_3_3_5" localSheetId="0" hidden="1">{#N/A,#N/A,FALSE,"Aging Summary";#N/A,#N/A,FALSE,"Ratio Analysis";#N/A,#N/A,FALSE,"Test 120 Day Accts";#N/A,#N/A,FALSE,"Tickmarks"}</definedName>
    <definedName name="l_1_1_3_3_5" localSheetId="6" hidden="1">{#N/A,#N/A,FALSE,"Aging Summary";#N/A,#N/A,FALSE,"Ratio Analysis";#N/A,#N/A,FALSE,"Test 120 Day Accts";#N/A,#N/A,FALSE,"Tickmarks"}</definedName>
    <definedName name="l_1_1_3_3_5" hidden="1">{#N/A,#N/A,FALSE,"Aging Summary";#N/A,#N/A,FALSE,"Ratio Analysis";#N/A,#N/A,FALSE,"Test 120 Day Accts";#N/A,#N/A,FALSE,"Tickmarks"}</definedName>
    <definedName name="l_1_1_3_4" localSheetId="0" hidden="1">{#N/A,#N/A,FALSE,"Aging Summary";#N/A,#N/A,FALSE,"Ratio Analysis";#N/A,#N/A,FALSE,"Test 120 Day Accts";#N/A,#N/A,FALSE,"Tickmarks"}</definedName>
    <definedName name="l_1_1_3_4" localSheetId="6" hidden="1">{#N/A,#N/A,FALSE,"Aging Summary";#N/A,#N/A,FALSE,"Ratio Analysis";#N/A,#N/A,FALSE,"Test 120 Day Accts";#N/A,#N/A,FALSE,"Tickmarks"}</definedName>
    <definedName name="l_1_1_3_4" hidden="1">{#N/A,#N/A,FALSE,"Aging Summary";#N/A,#N/A,FALSE,"Ratio Analysis";#N/A,#N/A,FALSE,"Test 120 Day Accts";#N/A,#N/A,FALSE,"Tickmarks"}</definedName>
    <definedName name="l_1_1_3_4_1" localSheetId="0" hidden="1">{#N/A,#N/A,FALSE,"Aging Summary";#N/A,#N/A,FALSE,"Ratio Analysis";#N/A,#N/A,FALSE,"Test 120 Day Accts";#N/A,#N/A,FALSE,"Tickmarks"}</definedName>
    <definedName name="l_1_1_3_4_1" localSheetId="6" hidden="1">{#N/A,#N/A,FALSE,"Aging Summary";#N/A,#N/A,FALSE,"Ratio Analysis";#N/A,#N/A,FALSE,"Test 120 Day Accts";#N/A,#N/A,FALSE,"Tickmarks"}</definedName>
    <definedName name="l_1_1_3_4_1" hidden="1">{#N/A,#N/A,FALSE,"Aging Summary";#N/A,#N/A,FALSE,"Ratio Analysis";#N/A,#N/A,FALSE,"Test 120 Day Accts";#N/A,#N/A,FALSE,"Tickmarks"}</definedName>
    <definedName name="l_1_1_3_4_2" localSheetId="0" hidden="1">{#N/A,#N/A,FALSE,"Aging Summary";#N/A,#N/A,FALSE,"Ratio Analysis";#N/A,#N/A,FALSE,"Test 120 Day Accts";#N/A,#N/A,FALSE,"Tickmarks"}</definedName>
    <definedName name="l_1_1_3_4_2" localSheetId="6" hidden="1">{#N/A,#N/A,FALSE,"Aging Summary";#N/A,#N/A,FALSE,"Ratio Analysis";#N/A,#N/A,FALSE,"Test 120 Day Accts";#N/A,#N/A,FALSE,"Tickmarks"}</definedName>
    <definedName name="l_1_1_3_4_2" hidden="1">{#N/A,#N/A,FALSE,"Aging Summary";#N/A,#N/A,FALSE,"Ratio Analysis";#N/A,#N/A,FALSE,"Test 120 Day Accts";#N/A,#N/A,FALSE,"Tickmarks"}</definedName>
    <definedName name="l_1_1_3_4_3" localSheetId="0" hidden="1">{#N/A,#N/A,FALSE,"Aging Summary";#N/A,#N/A,FALSE,"Ratio Analysis";#N/A,#N/A,FALSE,"Test 120 Day Accts";#N/A,#N/A,FALSE,"Tickmarks"}</definedName>
    <definedName name="l_1_1_3_4_3" localSheetId="6" hidden="1">{#N/A,#N/A,FALSE,"Aging Summary";#N/A,#N/A,FALSE,"Ratio Analysis";#N/A,#N/A,FALSE,"Test 120 Day Accts";#N/A,#N/A,FALSE,"Tickmarks"}</definedName>
    <definedName name="l_1_1_3_4_3" hidden="1">{#N/A,#N/A,FALSE,"Aging Summary";#N/A,#N/A,FALSE,"Ratio Analysis";#N/A,#N/A,FALSE,"Test 120 Day Accts";#N/A,#N/A,FALSE,"Tickmarks"}</definedName>
    <definedName name="l_1_1_3_4_4" localSheetId="0" hidden="1">{#N/A,#N/A,FALSE,"Aging Summary";#N/A,#N/A,FALSE,"Ratio Analysis";#N/A,#N/A,FALSE,"Test 120 Day Accts";#N/A,#N/A,FALSE,"Tickmarks"}</definedName>
    <definedName name="l_1_1_3_4_4" localSheetId="6" hidden="1">{#N/A,#N/A,FALSE,"Aging Summary";#N/A,#N/A,FALSE,"Ratio Analysis";#N/A,#N/A,FALSE,"Test 120 Day Accts";#N/A,#N/A,FALSE,"Tickmarks"}</definedName>
    <definedName name="l_1_1_3_4_4" hidden="1">{#N/A,#N/A,FALSE,"Aging Summary";#N/A,#N/A,FALSE,"Ratio Analysis";#N/A,#N/A,FALSE,"Test 120 Day Accts";#N/A,#N/A,FALSE,"Tickmarks"}</definedName>
    <definedName name="l_1_1_3_4_5" localSheetId="0" hidden="1">{#N/A,#N/A,FALSE,"Aging Summary";#N/A,#N/A,FALSE,"Ratio Analysis";#N/A,#N/A,FALSE,"Test 120 Day Accts";#N/A,#N/A,FALSE,"Tickmarks"}</definedName>
    <definedName name="l_1_1_3_4_5" localSheetId="6" hidden="1">{#N/A,#N/A,FALSE,"Aging Summary";#N/A,#N/A,FALSE,"Ratio Analysis";#N/A,#N/A,FALSE,"Test 120 Day Accts";#N/A,#N/A,FALSE,"Tickmarks"}</definedName>
    <definedName name="l_1_1_3_4_5" hidden="1">{#N/A,#N/A,FALSE,"Aging Summary";#N/A,#N/A,FALSE,"Ratio Analysis";#N/A,#N/A,FALSE,"Test 120 Day Accts";#N/A,#N/A,FALSE,"Tickmarks"}</definedName>
    <definedName name="l_1_1_3_5" localSheetId="0" hidden="1">{#N/A,#N/A,FALSE,"Aging Summary";#N/A,#N/A,FALSE,"Ratio Analysis";#N/A,#N/A,FALSE,"Test 120 Day Accts";#N/A,#N/A,FALSE,"Tickmarks"}</definedName>
    <definedName name="l_1_1_3_5" localSheetId="6" hidden="1">{#N/A,#N/A,FALSE,"Aging Summary";#N/A,#N/A,FALSE,"Ratio Analysis";#N/A,#N/A,FALSE,"Test 120 Day Accts";#N/A,#N/A,FALSE,"Tickmarks"}</definedName>
    <definedName name="l_1_1_3_5" hidden="1">{#N/A,#N/A,FALSE,"Aging Summary";#N/A,#N/A,FALSE,"Ratio Analysis";#N/A,#N/A,FALSE,"Test 120 Day Accts";#N/A,#N/A,FALSE,"Tickmarks"}</definedName>
    <definedName name="l_1_1_3_5_1" localSheetId="0" hidden="1">{#N/A,#N/A,FALSE,"Aging Summary";#N/A,#N/A,FALSE,"Ratio Analysis";#N/A,#N/A,FALSE,"Test 120 Day Accts";#N/A,#N/A,FALSE,"Tickmarks"}</definedName>
    <definedName name="l_1_1_3_5_1" localSheetId="6" hidden="1">{#N/A,#N/A,FALSE,"Aging Summary";#N/A,#N/A,FALSE,"Ratio Analysis";#N/A,#N/A,FALSE,"Test 120 Day Accts";#N/A,#N/A,FALSE,"Tickmarks"}</definedName>
    <definedName name="l_1_1_3_5_1" hidden="1">{#N/A,#N/A,FALSE,"Aging Summary";#N/A,#N/A,FALSE,"Ratio Analysis";#N/A,#N/A,FALSE,"Test 120 Day Accts";#N/A,#N/A,FALSE,"Tickmarks"}</definedName>
    <definedName name="l_1_1_3_5_2" localSheetId="0" hidden="1">{#N/A,#N/A,FALSE,"Aging Summary";#N/A,#N/A,FALSE,"Ratio Analysis";#N/A,#N/A,FALSE,"Test 120 Day Accts";#N/A,#N/A,FALSE,"Tickmarks"}</definedName>
    <definedName name="l_1_1_3_5_2" localSheetId="6" hidden="1">{#N/A,#N/A,FALSE,"Aging Summary";#N/A,#N/A,FALSE,"Ratio Analysis";#N/A,#N/A,FALSE,"Test 120 Day Accts";#N/A,#N/A,FALSE,"Tickmarks"}</definedName>
    <definedName name="l_1_1_3_5_2" hidden="1">{#N/A,#N/A,FALSE,"Aging Summary";#N/A,#N/A,FALSE,"Ratio Analysis";#N/A,#N/A,FALSE,"Test 120 Day Accts";#N/A,#N/A,FALSE,"Tickmarks"}</definedName>
    <definedName name="l_1_1_3_5_3" localSheetId="0" hidden="1">{#N/A,#N/A,FALSE,"Aging Summary";#N/A,#N/A,FALSE,"Ratio Analysis";#N/A,#N/A,FALSE,"Test 120 Day Accts";#N/A,#N/A,FALSE,"Tickmarks"}</definedName>
    <definedName name="l_1_1_3_5_3" localSheetId="6" hidden="1">{#N/A,#N/A,FALSE,"Aging Summary";#N/A,#N/A,FALSE,"Ratio Analysis";#N/A,#N/A,FALSE,"Test 120 Day Accts";#N/A,#N/A,FALSE,"Tickmarks"}</definedName>
    <definedName name="l_1_1_3_5_3" hidden="1">{#N/A,#N/A,FALSE,"Aging Summary";#N/A,#N/A,FALSE,"Ratio Analysis";#N/A,#N/A,FALSE,"Test 120 Day Accts";#N/A,#N/A,FALSE,"Tickmarks"}</definedName>
    <definedName name="l_1_1_3_5_4" localSheetId="0" hidden="1">{#N/A,#N/A,FALSE,"Aging Summary";#N/A,#N/A,FALSE,"Ratio Analysis";#N/A,#N/A,FALSE,"Test 120 Day Accts";#N/A,#N/A,FALSE,"Tickmarks"}</definedName>
    <definedName name="l_1_1_3_5_4" localSheetId="6" hidden="1">{#N/A,#N/A,FALSE,"Aging Summary";#N/A,#N/A,FALSE,"Ratio Analysis";#N/A,#N/A,FALSE,"Test 120 Day Accts";#N/A,#N/A,FALSE,"Tickmarks"}</definedName>
    <definedName name="l_1_1_3_5_4" hidden="1">{#N/A,#N/A,FALSE,"Aging Summary";#N/A,#N/A,FALSE,"Ratio Analysis";#N/A,#N/A,FALSE,"Test 120 Day Accts";#N/A,#N/A,FALSE,"Tickmarks"}</definedName>
    <definedName name="l_1_1_3_5_5" localSheetId="0" hidden="1">{#N/A,#N/A,FALSE,"Aging Summary";#N/A,#N/A,FALSE,"Ratio Analysis";#N/A,#N/A,FALSE,"Test 120 Day Accts";#N/A,#N/A,FALSE,"Tickmarks"}</definedName>
    <definedName name="l_1_1_3_5_5" localSheetId="6" hidden="1">{#N/A,#N/A,FALSE,"Aging Summary";#N/A,#N/A,FALSE,"Ratio Analysis";#N/A,#N/A,FALSE,"Test 120 Day Accts";#N/A,#N/A,FALSE,"Tickmarks"}</definedName>
    <definedName name="l_1_1_3_5_5" hidden="1">{#N/A,#N/A,FALSE,"Aging Summary";#N/A,#N/A,FALSE,"Ratio Analysis";#N/A,#N/A,FALSE,"Test 120 Day Accts";#N/A,#N/A,FALSE,"Tickmarks"}</definedName>
    <definedName name="l_1_1_4" localSheetId="0" hidden="1">{#N/A,#N/A,FALSE,"Aging Summary";#N/A,#N/A,FALSE,"Ratio Analysis";#N/A,#N/A,FALSE,"Test 120 Day Accts";#N/A,#N/A,FALSE,"Tickmarks"}</definedName>
    <definedName name="l_1_1_4" localSheetId="6" hidden="1">{#N/A,#N/A,FALSE,"Aging Summary";#N/A,#N/A,FALSE,"Ratio Analysis";#N/A,#N/A,FALSE,"Test 120 Day Accts";#N/A,#N/A,FALSE,"Tickmarks"}</definedName>
    <definedName name="l_1_1_4" hidden="1">{#N/A,#N/A,FALSE,"Aging Summary";#N/A,#N/A,FALSE,"Ratio Analysis";#N/A,#N/A,FALSE,"Test 120 Day Accts";#N/A,#N/A,FALSE,"Tickmarks"}</definedName>
    <definedName name="l_1_1_4_1" localSheetId="0" hidden="1">{#N/A,#N/A,FALSE,"Aging Summary";#N/A,#N/A,FALSE,"Ratio Analysis";#N/A,#N/A,FALSE,"Test 120 Day Accts";#N/A,#N/A,FALSE,"Tickmarks"}</definedName>
    <definedName name="l_1_1_4_1" localSheetId="6" hidden="1">{#N/A,#N/A,FALSE,"Aging Summary";#N/A,#N/A,FALSE,"Ratio Analysis";#N/A,#N/A,FALSE,"Test 120 Day Accts";#N/A,#N/A,FALSE,"Tickmarks"}</definedName>
    <definedName name="l_1_1_4_1" hidden="1">{#N/A,#N/A,FALSE,"Aging Summary";#N/A,#N/A,FALSE,"Ratio Analysis";#N/A,#N/A,FALSE,"Test 120 Day Accts";#N/A,#N/A,FALSE,"Tickmarks"}</definedName>
    <definedName name="l_1_1_4_1_1" localSheetId="0" hidden="1">{#N/A,#N/A,FALSE,"Aging Summary";#N/A,#N/A,FALSE,"Ratio Analysis";#N/A,#N/A,FALSE,"Test 120 Day Accts";#N/A,#N/A,FALSE,"Tickmarks"}</definedName>
    <definedName name="l_1_1_4_1_1" localSheetId="6" hidden="1">{#N/A,#N/A,FALSE,"Aging Summary";#N/A,#N/A,FALSE,"Ratio Analysis";#N/A,#N/A,FALSE,"Test 120 Day Accts";#N/A,#N/A,FALSE,"Tickmarks"}</definedName>
    <definedName name="l_1_1_4_1_1" hidden="1">{#N/A,#N/A,FALSE,"Aging Summary";#N/A,#N/A,FALSE,"Ratio Analysis";#N/A,#N/A,FALSE,"Test 120 Day Accts";#N/A,#N/A,FALSE,"Tickmarks"}</definedName>
    <definedName name="l_1_1_4_1_2" localSheetId="0" hidden="1">{#N/A,#N/A,FALSE,"Aging Summary";#N/A,#N/A,FALSE,"Ratio Analysis";#N/A,#N/A,FALSE,"Test 120 Day Accts";#N/A,#N/A,FALSE,"Tickmarks"}</definedName>
    <definedName name="l_1_1_4_1_2" localSheetId="6" hidden="1">{#N/A,#N/A,FALSE,"Aging Summary";#N/A,#N/A,FALSE,"Ratio Analysis";#N/A,#N/A,FALSE,"Test 120 Day Accts";#N/A,#N/A,FALSE,"Tickmarks"}</definedName>
    <definedName name="l_1_1_4_1_2" hidden="1">{#N/A,#N/A,FALSE,"Aging Summary";#N/A,#N/A,FALSE,"Ratio Analysis";#N/A,#N/A,FALSE,"Test 120 Day Accts";#N/A,#N/A,FALSE,"Tickmarks"}</definedName>
    <definedName name="l_1_1_4_1_3" localSheetId="0" hidden="1">{#N/A,#N/A,FALSE,"Aging Summary";#N/A,#N/A,FALSE,"Ratio Analysis";#N/A,#N/A,FALSE,"Test 120 Day Accts";#N/A,#N/A,FALSE,"Tickmarks"}</definedName>
    <definedName name="l_1_1_4_1_3" localSheetId="6" hidden="1">{#N/A,#N/A,FALSE,"Aging Summary";#N/A,#N/A,FALSE,"Ratio Analysis";#N/A,#N/A,FALSE,"Test 120 Day Accts";#N/A,#N/A,FALSE,"Tickmarks"}</definedName>
    <definedName name="l_1_1_4_1_3" hidden="1">{#N/A,#N/A,FALSE,"Aging Summary";#N/A,#N/A,FALSE,"Ratio Analysis";#N/A,#N/A,FALSE,"Test 120 Day Accts";#N/A,#N/A,FALSE,"Tickmarks"}</definedName>
    <definedName name="l_1_1_4_1_4" localSheetId="0" hidden="1">{#N/A,#N/A,FALSE,"Aging Summary";#N/A,#N/A,FALSE,"Ratio Analysis";#N/A,#N/A,FALSE,"Test 120 Day Accts";#N/A,#N/A,FALSE,"Tickmarks"}</definedName>
    <definedName name="l_1_1_4_1_4" localSheetId="6" hidden="1">{#N/A,#N/A,FALSE,"Aging Summary";#N/A,#N/A,FALSE,"Ratio Analysis";#N/A,#N/A,FALSE,"Test 120 Day Accts";#N/A,#N/A,FALSE,"Tickmarks"}</definedName>
    <definedName name="l_1_1_4_1_4" hidden="1">{#N/A,#N/A,FALSE,"Aging Summary";#N/A,#N/A,FALSE,"Ratio Analysis";#N/A,#N/A,FALSE,"Test 120 Day Accts";#N/A,#N/A,FALSE,"Tickmarks"}</definedName>
    <definedName name="l_1_1_4_1_5" localSheetId="0" hidden="1">{#N/A,#N/A,FALSE,"Aging Summary";#N/A,#N/A,FALSE,"Ratio Analysis";#N/A,#N/A,FALSE,"Test 120 Day Accts";#N/A,#N/A,FALSE,"Tickmarks"}</definedName>
    <definedName name="l_1_1_4_1_5" localSheetId="6" hidden="1">{#N/A,#N/A,FALSE,"Aging Summary";#N/A,#N/A,FALSE,"Ratio Analysis";#N/A,#N/A,FALSE,"Test 120 Day Accts";#N/A,#N/A,FALSE,"Tickmarks"}</definedName>
    <definedName name="l_1_1_4_1_5" hidden="1">{#N/A,#N/A,FALSE,"Aging Summary";#N/A,#N/A,FALSE,"Ratio Analysis";#N/A,#N/A,FALSE,"Test 120 Day Accts";#N/A,#N/A,FALSE,"Tickmarks"}</definedName>
    <definedName name="l_1_1_4_2" localSheetId="0" hidden="1">{#N/A,#N/A,FALSE,"Aging Summary";#N/A,#N/A,FALSE,"Ratio Analysis";#N/A,#N/A,FALSE,"Test 120 Day Accts";#N/A,#N/A,FALSE,"Tickmarks"}</definedName>
    <definedName name="l_1_1_4_2" localSheetId="6" hidden="1">{#N/A,#N/A,FALSE,"Aging Summary";#N/A,#N/A,FALSE,"Ratio Analysis";#N/A,#N/A,FALSE,"Test 120 Day Accts";#N/A,#N/A,FALSE,"Tickmarks"}</definedName>
    <definedName name="l_1_1_4_2" hidden="1">{#N/A,#N/A,FALSE,"Aging Summary";#N/A,#N/A,FALSE,"Ratio Analysis";#N/A,#N/A,FALSE,"Test 120 Day Accts";#N/A,#N/A,FALSE,"Tickmarks"}</definedName>
    <definedName name="l_1_1_4_2_1" localSheetId="0" hidden="1">{#N/A,#N/A,FALSE,"Aging Summary";#N/A,#N/A,FALSE,"Ratio Analysis";#N/A,#N/A,FALSE,"Test 120 Day Accts";#N/A,#N/A,FALSE,"Tickmarks"}</definedName>
    <definedName name="l_1_1_4_2_1" localSheetId="6" hidden="1">{#N/A,#N/A,FALSE,"Aging Summary";#N/A,#N/A,FALSE,"Ratio Analysis";#N/A,#N/A,FALSE,"Test 120 Day Accts";#N/A,#N/A,FALSE,"Tickmarks"}</definedName>
    <definedName name="l_1_1_4_2_1" hidden="1">{#N/A,#N/A,FALSE,"Aging Summary";#N/A,#N/A,FALSE,"Ratio Analysis";#N/A,#N/A,FALSE,"Test 120 Day Accts";#N/A,#N/A,FALSE,"Tickmarks"}</definedName>
    <definedName name="l_1_1_4_2_2" localSheetId="0" hidden="1">{#N/A,#N/A,FALSE,"Aging Summary";#N/A,#N/A,FALSE,"Ratio Analysis";#N/A,#N/A,FALSE,"Test 120 Day Accts";#N/A,#N/A,FALSE,"Tickmarks"}</definedName>
    <definedName name="l_1_1_4_2_2" localSheetId="6" hidden="1">{#N/A,#N/A,FALSE,"Aging Summary";#N/A,#N/A,FALSE,"Ratio Analysis";#N/A,#N/A,FALSE,"Test 120 Day Accts";#N/A,#N/A,FALSE,"Tickmarks"}</definedName>
    <definedName name="l_1_1_4_2_2" hidden="1">{#N/A,#N/A,FALSE,"Aging Summary";#N/A,#N/A,FALSE,"Ratio Analysis";#N/A,#N/A,FALSE,"Test 120 Day Accts";#N/A,#N/A,FALSE,"Tickmarks"}</definedName>
    <definedName name="l_1_1_4_2_3" localSheetId="0" hidden="1">{#N/A,#N/A,FALSE,"Aging Summary";#N/A,#N/A,FALSE,"Ratio Analysis";#N/A,#N/A,FALSE,"Test 120 Day Accts";#N/A,#N/A,FALSE,"Tickmarks"}</definedName>
    <definedName name="l_1_1_4_2_3" localSheetId="6" hidden="1">{#N/A,#N/A,FALSE,"Aging Summary";#N/A,#N/A,FALSE,"Ratio Analysis";#N/A,#N/A,FALSE,"Test 120 Day Accts";#N/A,#N/A,FALSE,"Tickmarks"}</definedName>
    <definedName name="l_1_1_4_2_3" hidden="1">{#N/A,#N/A,FALSE,"Aging Summary";#N/A,#N/A,FALSE,"Ratio Analysis";#N/A,#N/A,FALSE,"Test 120 Day Accts";#N/A,#N/A,FALSE,"Tickmarks"}</definedName>
    <definedName name="l_1_1_4_2_4" localSheetId="0" hidden="1">{#N/A,#N/A,FALSE,"Aging Summary";#N/A,#N/A,FALSE,"Ratio Analysis";#N/A,#N/A,FALSE,"Test 120 Day Accts";#N/A,#N/A,FALSE,"Tickmarks"}</definedName>
    <definedName name="l_1_1_4_2_4" localSheetId="6" hidden="1">{#N/A,#N/A,FALSE,"Aging Summary";#N/A,#N/A,FALSE,"Ratio Analysis";#N/A,#N/A,FALSE,"Test 120 Day Accts";#N/A,#N/A,FALSE,"Tickmarks"}</definedName>
    <definedName name="l_1_1_4_2_4" hidden="1">{#N/A,#N/A,FALSE,"Aging Summary";#N/A,#N/A,FALSE,"Ratio Analysis";#N/A,#N/A,FALSE,"Test 120 Day Accts";#N/A,#N/A,FALSE,"Tickmarks"}</definedName>
    <definedName name="l_1_1_4_2_5" localSheetId="0" hidden="1">{#N/A,#N/A,FALSE,"Aging Summary";#N/A,#N/A,FALSE,"Ratio Analysis";#N/A,#N/A,FALSE,"Test 120 Day Accts";#N/A,#N/A,FALSE,"Tickmarks"}</definedName>
    <definedName name="l_1_1_4_2_5" localSheetId="6" hidden="1">{#N/A,#N/A,FALSE,"Aging Summary";#N/A,#N/A,FALSE,"Ratio Analysis";#N/A,#N/A,FALSE,"Test 120 Day Accts";#N/A,#N/A,FALSE,"Tickmarks"}</definedName>
    <definedName name="l_1_1_4_2_5" hidden="1">{#N/A,#N/A,FALSE,"Aging Summary";#N/A,#N/A,FALSE,"Ratio Analysis";#N/A,#N/A,FALSE,"Test 120 Day Accts";#N/A,#N/A,FALSE,"Tickmarks"}</definedName>
    <definedName name="l_1_1_4_3" localSheetId="0" hidden="1">{#N/A,#N/A,FALSE,"Aging Summary";#N/A,#N/A,FALSE,"Ratio Analysis";#N/A,#N/A,FALSE,"Test 120 Day Accts";#N/A,#N/A,FALSE,"Tickmarks"}</definedName>
    <definedName name="l_1_1_4_3" localSheetId="6" hidden="1">{#N/A,#N/A,FALSE,"Aging Summary";#N/A,#N/A,FALSE,"Ratio Analysis";#N/A,#N/A,FALSE,"Test 120 Day Accts";#N/A,#N/A,FALSE,"Tickmarks"}</definedName>
    <definedName name="l_1_1_4_3" hidden="1">{#N/A,#N/A,FALSE,"Aging Summary";#N/A,#N/A,FALSE,"Ratio Analysis";#N/A,#N/A,FALSE,"Test 120 Day Accts";#N/A,#N/A,FALSE,"Tickmarks"}</definedName>
    <definedName name="l_1_1_4_3_1" localSheetId="0" hidden="1">{#N/A,#N/A,FALSE,"Aging Summary";#N/A,#N/A,FALSE,"Ratio Analysis";#N/A,#N/A,FALSE,"Test 120 Day Accts";#N/A,#N/A,FALSE,"Tickmarks"}</definedName>
    <definedName name="l_1_1_4_3_1" localSheetId="6" hidden="1">{#N/A,#N/A,FALSE,"Aging Summary";#N/A,#N/A,FALSE,"Ratio Analysis";#N/A,#N/A,FALSE,"Test 120 Day Accts";#N/A,#N/A,FALSE,"Tickmarks"}</definedName>
    <definedName name="l_1_1_4_3_1" hidden="1">{#N/A,#N/A,FALSE,"Aging Summary";#N/A,#N/A,FALSE,"Ratio Analysis";#N/A,#N/A,FALSE,"Test 120 Day Accts";#N/A,#N/A,FALSE,"Tickmarks"}</definedName>
    <definedName name="l_1_1_4_3_2" localSheetId="0" hidden="1">{#N/A,#N/A,FALSE,"Aging Summary";#N/A,#N/A,FALSE,"Ratio Analysis";#N/A,#N/A,FALSE,"Test 120 Day Accts";#N/A,#N/A,FALSE,"Tickmarks"}</definedName>
    <definedName name="l_1_1_4_3_2" localSheetId="6" hidden="1">{#N/A,#N/A,FALSE,"Aging Summary";#N/A,#N/A,FALSE,"Ratio Analysis";#N/A,#N/A,FALSE,"Test 120 Day Accts";#N/A,#N/A,FALSE,"Tickmarks"}</definedName>
    <definedName name="l_1_1_4_3_2" hidden="1">{#N/A,#N/A,FALSE,"Aging Summary";#N/A,#N/A,FALSE,"Ratio Analysis";#N/A,#N/A,FALSE,"Test 120 Day Accts";#N/A,#N/A,FALSE,"Tickmarks"}</definedName>
    <definedName name="l_1_1_4_3_3" localSheetId="0" hidden="1">{#N/A,#N/A,FALSE,"Aging Summary";#N/A,#N/A,FALSE,"Ratio Analysis";#N/A,#N/A,FALSE,"Test 120 Day Accts";#N/A,#N/A,FALSE,"Tickmarks"}</definedName>
    <definedName name="l_1_1_4_3_3" localSheetId="6" hidden="1">{#N/A,#N/A,FALSE,"Aging Summary";#N/A,#N/A,FALSE,"Ratio Analysis";#N/A,#N/A,FALSE,"Test 120 Day Accts";#N/A,#N/A,FALSE,"Tickmarks"}</definedName>
    <definedName name="l_1_1_4_3_3" hidden="1">{#N/A,#N/A,FALSE,"Aging Summary";#N/A,#N/A,FALSE,"Ratio Analysis";#N/A,#N/A,FALSE,"Test 120 Day Accts";#N/A,#N/A,FALSE,"Tickmarks"}</definedName>
    <definedName name="l_1_1_4_3_4" localSheetId="0" hidden="1">{#N/A,#N/A,FALSE,"Aging Summary";#N/A,#N/A,FALSE,"Ratio Analysis";#N/A,#N/A,FALSE,"Test 120 Day Accts";#N/A,#N/A,FALSE,"Tickmarks"}</definedName>
    <definedName name="l_1_1_4_3_4" localSheetId="6" hidden="1">{#N/A,#N/A,FALSE,"Aging Summary";#N/A,#N/A,FALSE,"Ratio Analysis";#N/A,#N/A,FALSE,"Test 120 Day Accts";#N/A,#N/A,FALSE,"Tickmarks"}</definedName>
    <definedName name="l_1_1_4_3_4" hidden="1">{#N/A,#N/A,FALSE,"Aging Summary";#N/A,#N/A,FALSE,"Ratio Analysis";#N/A,#N/A,FALSE,"Test 120 Day Accts";#N/A,#N/A,FALSE,"Tickmarks"}</definedName>
    <definedName name="l_1_1_4_3_5" localSheetId="0" hidden="1">{#N/A,#N/A,FALSE,"Aging Summary";#N/A,#N/A,FALSE,"Ratio Analysis";#N/A,#N/A,FALSE,"Test 120 Day Accts";#N/A,#N/A,FALSE,"Tickmarks"}</definedName>
    <definedName name="l_1_1_4_3_5" localSheetId="6" hidden="1">{#N/A,#N/A,FALSE,"Aging Summary";#N/A,#N/A,FALSE,"Ratio Analysis";#N/A,#N/A,FALSE,"Test 120 Day Accts";#N/A,#N/A,FALSE,"Tickmarks"}</definedName>
    <definedName name="l_1_1_4_3_5" hidden="1">{#N/A,#N/A,FALSE,"Aging Summary";#N/A,#N/A,FALSE,"Ratio Analysis";#N/A,#N/A,FALSE,"Test 120 Day Accts";#N/A,#N/A,FALSE,"Tickmarks"}</definedName>
    <definedName name="l_1_1_4_4" localSheetId="0" hidden="1">{#N/A,#N/A,FALSE,"Aging Summary";#N/A,#N/A,FALSE,"Ratio Analysis";#N/A,#N/A,FALSE,"Test 120 Day Accts";#N/A,#N/A,FALSE,"Tickmarks"}</definedName>
    <definedName name="l_1_1_4_4" localSheetId="6" hidden="1">{#N/A,#N/A,FALSE,"Aging Summary";#N/A,#N/A,FALSE,"Ratio Analysis";#N/A,#N/A,FALSE,"Test 120 Day Accts";#N/A,#N/A,FALSE,"Tickmarks"}</definedName>
    <definedName name="l_1_1_4_4" hidden="1">{#N/A,#N/A,FALSE,"Aging Summary";#N/A,#N/A,FALSE,"Ratio Analysis";#N/A,#N/A,FALSE,"Test 120 Day Accts";#N/A,#N/A,FALSE,"Tickmarks"}</definedName>
    <definedName name="l_1_1_4_4_1" localSheetId="0" hidden="1">{#N/A,#N/A,FALSE,"Aging Summary";#N/A,#N/A,FALSE,"Ratio Analysis";#N/A,#N/A,FALSE,"Test 120 Day Accts";#N/A,#N/A,FALSE,"Tickmarks"}</definedName>
    <definedName name="l_1_1_4_4_1" localSheetId="6" hidden="1">{#N/A,#N/A,FALSE,"Aging Summary";#N/A,#N/A,FALSE,"Ratio Analysis";#N/A,#N/A,FALSE,"Test 120 Day Accts";#N/A,#N/A,FALSE,"Tickmarks"}</definedName>
    <definedName name="l_1_1_4_4_1" hidden="1">{#N/A,#N/A,FALSE,"Aging Summary";#N/A,#N/A,FALSE,"Ratio Analysis";#N/A,#N/A,FALSE,"Test 120 Day Accts";#N/A,#N/A,FALSE,"Tickmarks"}</definedName>
    <definedName name="l_1_1_4_4_2" localSheetId="0" hidden="1">{#N/A,#N/A,FALSE,"Aging Summary";#N/A,#N/A,FALSE,"Ratio Analysis";#N/A,#N/A,FALSE,"Test 120 Day Accts";#N/A,#N/A,FALSE,"Tickmarks"}</definedName>
    <definedName name="l_1_1_4_4_2" localSheetId="6" hidden="1">{#N/A,#N/A,FALSE,"Aging Summary";#N/A,#N/A,FALSE,"Ratio Analysis";#N/A,#N/A,FALSE,"Test 120 Day Accts";#N/A,#N/A,FALSE,"Tickmarks"}</definedName>
    <definedName name="l_1_1_4_4_2" hidden="1">{#N/A,#N/A,FALSE,"Aging Summary";#N/A,#N/A,FALSE,"Ratio Analysis";#N/A,#N/A,FALSE,"Test 120 Day Accts";#N/A,#N/A,FALSE,"Tickmarks"}</definedName>
    <definedName name="l_1_1_4_4_3" localSheetId="0" hidden="1">{#N/A,#N/A,FALSE,"Aging Summary";#N/A,#N/A,FALSE,"Ratio Analysis";#N/A,#N/A,FALSE,"Test 120 Day Accts";#N/A,#N/A,FALSE,"Tickmarks"}</definedName>
    <definedName name="l_1_1_4_4_3" localSheetId="6" hidden="1">{#N/A,#N/A,FALSE,"Aging Summary";#N/A,#N/A,FALSE,"Ratio Analysis";#N/A,#N/A,FALSE,"Test 120 Day Accts";#N/A,#N/A,FALSE,"Tickmarks"}</definedName>
    <definedName name="l_1_1_4_4_3" hidden="1">{#N/A,#N/A,FALSE,"Aging Summary";#N/A,#N/A,FALSE,"Ratio Analysis";#N/A,#N/A,FALSE,"Test 120 Day Accts";#N/A,#N/A,FALSE,"Tickmarks"}</definedName>
    <definedName name="l_1_1_4_4_4" localSheetId="0" hidden="1">{#N/A,#N/A,FALSE,"Aging Summary";#N/A,#N/A,FALSE,"Ratio Analysis";#N/A,#N/A,FALSE,"Test 120 Day Accts";#N/A,#N/A,FALSE,"Tickmarks"}</definedName>
    <definedName name="l_1_1_4_4_4" localSheetId="6" hidden="1">{#N/A,#N/A,FALSE,"Aging Summary";#N/A,#N/A,FALSE,"Ratio Analysis";#N/A,#N/A,FALSE,"Test 120 Day Accts";#N/A,#N/A,FALSE,"Tickmarks"}</definedName>
    <definedName name="l_1_1_4_4_4" hidden="1">{#N/A,#N/A,FALSE,"Aging Summary";#N/A,#N/A,FALSE,"Ratio Analysis";#N/A,#N/A,FALSE,"Test 120 Day Accts";#N/A,#N/A,FALSE,"Tickmarks"}</definedName>
    <definedName name="l_1_1_4_4_5" localSheetId="0" hidden="1">{#N/A,#N/A,FALSE,"Aging Summary";#N/A,#N/A,FALSE,"Ratio Analysis";#N/A,#N/A,FALSE,"Test 120 Day Accts";#N/A,#N/A,FALSE,"Tickmarks"}</definedName>
    <definedName name="l_1_1_4_4_5" localSheetId="6" hidden="1">{#N/A,#N/A,FALSE,"Aging Summary";#N/A,#N/A,FALSE,"Ratio Analysis";#N/A,#N/A,FALSE,"Test 120 Day Accts";#N/A,#N/A,FALSE,"Tickmarks"}</definedName>
    <definedName name="l_1_1_4_4_5" hidden="1">{#N/A,#N/A,FALSE,"Aging Summary";#N/A,#N/A,FALSE,"Ratio Analysis";#N/A,#N/A,FALSE,"Test 120 Day Accts";#N/A,#N/A,FALSE,"Tickmarks"}</definedName>
    <definedName name="l_1_1_4_5" localSheetId="0" hidden="1">{#N/A,#N/A,FALSE,"Aging Summary";#N/A,#N/A,FALSE,"Ratio Analysis";#N/A,#N/A,FALSE,"Test 120 Day Accts";#N/A,#N/A,FALSE,"Tickmarks"}</definedName>
    <definedName name="l_1_1_4_5" localSheetId="6" hidden="1">{#N/A,#N/A,FALSE,"Aging Summary";#N/A,#N/A,FALSE,"Ratio Analysis";#N/A,#N/A,FALSE,"Test 120 Day Accts";#N/A,#N/A,FALSE,"Tickmarks"}</definedName>
    <definedName name="l_1_1_4_5" hidden="1">{#N/A,#N/A,FALSE,"Aging Summary";#N/A,#N/A,FALSE,"Ratio Analysis";#N/A,#N/A,FALSE,"Test 120 Day Accts";#N/A,#N/A,FALSE,"Tickmarks"}</definedName>
    <definedName name="l_1_1_4_5_1" localSheetId="0" hidden="1">{#N/A,#N/A,FALSE,"Aging Summary";#N/A,#N/A,FALSE,"Ratio Analysis";#N/A,#N/A,FALSE,"Test 120 Day Accts";#N/A,#N/A,FALSE,"Tickmarks"}</definedName>
    <definedName name="l_1_1_4_5_1" localSheetId="6" hidden="1">{#N/A,#N/A,FALSE,"Aging Summary";#N/A,#N/A,FALSE,"Ratio Analysis";#N/A,#N/A,FALSE,"Test 120 Day Accts";#N/A,#N/A,FALSE,"Tickmarks"}</definedName>
    <definedName name="l_1_1_4_5_1" hidden="1">{#N/A,#N/A,FALSE,"Aging Summary";#N/A,#N/A,FALSE,"Ratio Analysis";#N/A,#N/A,FALSE,"Test 120 Day Accts";#N/A,#N/A,FALSE,"Tickmarks"}</definedName>
    <definedName name="l_1_1_4_5_2" localSheetId="0" hidden="1">{#N/A,#N/A,FALSE,"Aging Summary";#N/A,#N/A,FALSE,"Ratio Analysis";#N/A,#N/A,FALSE,"Test 120 Day Accts";#N/A,#N/A,FALSE,"Tickmarks"}</definedName>
    <definedName name="l_1_1_4_5_2" localSheetId="6" hidden="1">{#N/A,#N/A,FALSE,"Aging Summary";#N/A,#N/A,FALSE,"Ratio Analysis";#N/A,#N/A,FALSE,"Test 120 Day Accts";#N/A,#N/A,FALSE,"Tickmarks"}</definedName>
    <definedName name="l_1_1_4_5_2" hidden="1">{#N/A,#N/A,FALSE,"Aging Summary";#N/A,#N/A,FALSE,"Ratio Analysis";#N/A,#N/A,FALSE,"Test 120 Day Accts";#N/A,#N/A,FALSE,"Tickmarks"}</definedName>
    <definedName name="l_1_1_4_5_3" localSheetId="0" hidden="1">{#N/A,#N/A,FALSE,"Aging Summary";#N/A,#N/A,FALSE,"Ratio Analysis";#N/A,#N/A,FALSE,"Test 120 Day Accts";#N/A,#N/A,FALSE,"Tickmarks"}</definedName>
    <definedName name="l_1_1_4_5_3" localSheetId="6" hidden="1">{#N/A,#N/A,FALSE,"Aging Summary";#N/A,#N/A,FALSE,"Ratio Analysis";#N/A,#N/A,FALSE,"Test 120 Day Accts";#N/A,#N/A,FALSE,"Tickmarks"}</definedName>
    <definedName name="l_1_1_4_5_3" hidden="1">{#N/A,#N/A,FALSE,"Aging Summary";#N/A,#N/A,FALSE,"Ratio Analysis";#N/A,#N/A,FALSE,"Test 120 Day Accts";#N/A,#N/A,FALSE,"Tickmarks"}</definedName>
    <definedName name="l_1_1_4_5_4" localSheetId="0" hidden="1">{#N/A,#N/A,FALSE,"Aging Summary";#N/A,#N/A,FALSE,"Ratio Analysis";#N/A,#N/A,FALSE,"Test 120 Day Accts";#N/A,#N/A,FALSE,"Tickmarks"}</definedName>
    <definedName name="l_1_1_4_5_4" localSheetId="6" hidden="1">{#N/A,#N/A,FALSE,"Aging Summary";#N/A,#N/A,FALSE,"Ratio Analysis";#N/A,#N/A,FALSE,"Test 120 Day Accts";#N/A,#N/A,FALSE,"Tickmarks"}</definedName>
    <definedName name="l_1_1_4_5_4" hidden="1">{#N/A,#N/A,FALSE,"Aging Summary";#N/A,#N/A,FALSE,"Ratio Analysis";#N/A,#N/A,FALSE,"Test 120 Day Accts";#N/A,#N/A,FALSE,"Tickmarks"}</definedName>
    <definedName name="l_1_1_4_5_5" localSheetId="0" hidden="1">{#N/A,#N/A,FALSE,"Aging Summary";#N/A,#N/A,FALSE,"Ratio Analysis";#N/A,#N/A,FALSE,"Test 120 Day Accts";#N/A,#N/A,FALSE,"Tickmarks"}</definedName>
    <definedName name="l_1_1_4_5_5" localSheetId="6" hidden="1">{#N/A,#N/A,FALSE,"Aging Summary";#N/A,#N/A,FALSE,"Ratio Analysis";#N/A,#N/A,FALSE,"Test 120 Day Accts";#N/A,#N/A,FALSE,"Tickmarks"}</definedName>
    <definedName name="l_1_1_4_5_5" hidden="1">{#N/A,#N/A,FALSE,"Aging Summary";#N/A,#N/A,FALSE,"Ratio Analysis";#N/A,#N/A,FALSE,"Test 120 Day Accts";#N/A,#N/A,FALSE,"Tickmarks"}</definedName>
    <definedName name="l_1_1_5" localSheetId="0" hidden="1">{#N/A,#N/A,FALSE,"Aging Summary";#N/A,#N/A,FALSE,"Ratio Analysis";#N/A,#N/A,FALSE,"Test 120 Day Accts";#N/A,#N/A,FALSE,"Tickmarks"}</definedName>
    <definedName name="l_1_1_5" localSheetId="6" hidden="1">{#N/A,#N/A,FALSE,"Aging Summary";#N/A,#N/A,FALSE,"Ratio Analysis";#N/A,#N/A,FALSE,"Test 120 Day Accts";#N/A,#N/A,FALSE,"Tickmarks"}</definedName>
    <definedName name="l_1_1_5" hidden="1">{#N/A,#N/A,FALSE,"Aging Summary";#N/A,#N/A,FALSE,"Ratio Analysis";#N/A,#N/A,FALSE,"Test 120 Day Accts";#N/A,#N/A,FALSE,"Tickmarks"}</definedName>
    <definedName name="l_1_1_5_1" localSheetId="0" hidden="1">{#N/A,#N/A,FALSE,"Aging Summary";#N/A,#N/A,FALSE,"Ratio Analysis";#N/A,#N/A,FALSE,"Test 120 Day Accts";#N/A,#N/A,FALSE,"Tickmarks"}</definedName>
    <definedName name="l_1_1_5_1" localSheetId="6" hidden="1">{#N/A,#N/A,FALSE,"Aging Summary";#N/A,#N/A,FALSE,"Ratio Analysis";#N/A,#N/A,FALSE,"Test 120 Day Accts";#N/A,#N/A,FALSE,"Tickmarks"}</definedName>
    <definedName name="l_1_1_5_1" hidden="1">{#N/A,#N/A,FALSE,"Aging Summary";#N/A,#N/A,FALSE,"Ratio Analysis";#N/A,#N/A,FALSE,"Test 120 Day Accts";#N/A,#N/A,FALSE,"Tickmarks"}</definedName>
    <definedName name="l_1_1_5_1_1" localSheetId="0" hidden="1">{#N/A,#N/A,FALSE,"Aging Summary";#N/A,#N/A,FALSE,"Ratio Analysis";#N/A,#N/A,FALSE,"Test 120 Day Accts";#N/A,#N/A,FALSE,"Tickmarks"}</definedName>
    <definedName name="l_1_1_5_1_1" localSheetId="6" hidden="1">{#N/A,#N/A,FALSE,"Aging Summary";#N/A,#N/A,FALSE,"Ratio Analysis";#N/A,#N/A,FALSE,"Test 120 Day Accts";#N/A,#N/A,FALSE,"Tickmarks"}</definedName>
    <definedName name="l_1_1_5_1_1" hidden="1">{#N/A,#N/A,FALSE,"Aging Summary";#N/A,#N/A,FALSE,"Ratio Analysis";#N/A,#N/A,FALSE,"Test 120 Day Accts";#N/A,#N/A,FALSE,"Tickmarks"}</definedName>
    <definedName name="l_1_1_5_1_2" localSheetId="0" hidden="1">{#N/A,#N/A,FALSE,"Aging Summary";#N/A,#N/A,FALSE,"Ratio Analysis";#N/A,#N/A,FALSE,"Test 120 Day Accts";#N/A,#N/A,FALSE,"Tickmarks"}</definedName>
    <definedName name="l_1_1_5_1_2" localSheetId="6" hidden="1">{#N/A,#N/A,FALSE,"Aging Summary";#N/A,#N/A,FALSE,"Ratio Analysis";#N/A,#N/A,FALSE,"Test 120 Day Accts";#N/A,#N/A,FALSE,"Tickmarks"}</definedName>
    <definedName name="l_1_1_5_1_2" hidden="1">{#N/A,#N/A,FALSE,"Aging Summary";#N/A,#N/A,FALSE,"Ratio Analysis";#N/A,#N/A,FALSE,"Test 120 Day Accts";#N/A,#N/A,FALSE,"Tickmarks"}</definedName>
    <definedName name="l_1_1_5_1_3" localSheetId="0" hidden="1">{#N/A,#N/A,FALSE,"Aging Summary";#N/A,#N/A,FALSE,"Ratio Analysis";#N/A,#N/A,FALSE,"Test 120 Day Accts";#N/A,#N/A,FALSE,"Tickmarks"}</definedName>
    <definedName name="l_1_1_5_1_3" localSheetId="6" hidden="1">{#N/A,#N/A,FALSE,"Aging Summary";#N/A,#N/A,FALSE,"Ratio Analysis";#N/A,#N/A,FALSE,"Test 120 Day Accts";#N/A,#N/A,FALSE,"Tickmarks"}</definedName>
    <definedName name="l_1_1_5_1_3" hidden="1">{#N/A,#N/A,FALSE,"Aging Summary";#N/A,#N/A,FALSE,"Ratio Analysis";#N/A,#N/A,FALSE,"Test 120 Day Accts";#N/A,#N/A,FALSE,"Tickmarks"}</definedName>
    <definedName name="l_1_1_5_1_4" localSheetId="0" hidden="1">{#N/A,#N/A,FALSE,"Aging Summary";#N/A,#N/A,FALSE,"Ratio Analysis";#N/A,#N/A,FALSE,"Test 120 Day Accts";#N/A,#N/A,FALSE,"Tickmarks"}</definedName>
    <definedName name="l_1_1_5_1_4" localSheetId="6" hidden="1">{#N/A,#N/A,FALSE,"Aging Summary";#N/A,#N/A,FALSE,"Ratio Analysis";#N/A,#N/A,FALSE,"Test 120 Day Accts";#N/A,#N/A,FALSE,"Tickmarks"}</definedName>
    <definedName name="l_1_1_5_1_4" hidden="1">{#N/A,#N/A,FALSE,"Aging Summary";#N/A,#N/A,FALSE,"Ratio Analysis";#N/A,#N/A,FALSE,"Test 120 Day Accts";#N/A,#N/A,FALSE,"Tickmarks"}</definedName>
    <definedName name="l_1_1_5_1_5" localSheetId="0" hidden="1">{#N/A,#N/A,FALSE,"Aging Summary";#N/A,#N/A,FALSE,"Ratio Analysis";#N/A,#N/A,FALSE,"Test 120 Day Accts";#N/A,#N/A,FALSE,"Tickmarks"}</definedName>
    <definedName name="l_1_1_5_1_5" localSheetId="6" hidden="1">{#N/A,#N/A,FALSE,"Aging Summary";#N/A,#N/A,FALSE,"Ratio Analysis";#N/A,#N/A,FALSE,"Test 120 Day Accts";#N/A,#N/A,FALSE,"Tickmarks"}</definedName>
    <definedName name="l_1_1_5_1_5" hidden="1">{#N/A,#N/A,FALSE,"Aging Summary";#N/A,#N/A,FALSE,"Ratio Analysis";#N/A,#N/A,FALSE,"Test 120 Day Accts";#N/A,#N/A,FALSE,"Tickmarks"}</definedName>
    <definedName name="l_1_1_5_2" localSheetId="0" hidden="1">{#N/A,#N/A,FALSE,"Aging Summary";#N/A,#N/A,FALSE,"Ratio Analysis";#N/A,#N/A,FALSE,"Test 120 Day Accts";#N/A,#N/A,FALSE,"Tickmarks"}</definedName>
    <definedName name="l_1_1_5_2" localSheetId="6" hidden="1">{#N/A,#N/A,FALSE,"Aging Summary";#N/A,#N/A,FALSE,"Ratio Analysis";#N/A,#N/A,FALSE,"Test 120 Day Accts";#N/A,#N/A,FALSE,"Tickmarks"}</definedName>
    <definedName name="l_1_1_5_2" hidden="1">{#N/A,#N/A,FALSE,"Aging Summary";#N/A,#N/A,FALSE,"Ratio Analysis";#N/A,#N/A,FALSE,"Test 120 Day Accts";#N/A,#N/A,FALSE,"Tickmarks"}</definedName>
    <definedName name="l_1_1_5_2_1" localSheetId="0" hidden="1">{#N/A,#N/A,FALSE,"Aging Summary";#N/A,#N/A,FALSE,"Ratio Analysis";#N/A,#N/A,FALSE,"Test 120 Day Accts";#N/A,#N/A,FALSE,"Tickmarks"}</definedName>
    <definedName name="l_1_1_5_2_1" localSheetId="6" hidden="1">{#N/A,#N/A,FALSE,"Aging Summary";#N/A,#N/A,FALSE,"Ratio Analysis";#N/A,#N/A,FALSE,"Test 120 Day Accts";#N/A,#N/A,FALSE,"Tickmarks"}</definedName>
    <definedName name="l_1_1_5_2_1" hidden="1">{#N/A,#N/A,FALSE,"Aging Summary";#N/A,#N/A,FALSE,"Ratio Analysis";#N/A,#N/A,FALSE,"Test 120 Day Accts";#N/A,#N/A,FALSE,"Tickmarks"}</definedName>
    <definedName name="l_1_1_5_2_2" localSheetId="0" hidden="1">{#N/A,#N/A,FALSE,"Aging Summary";#N/A,#N/A,FALSE,"Ratio Analysis";#N/A,#N/A,FALSE,"Test 120 Day Accts";#N/A,#N/A,FALSE,"Tickmarks"}</definedName>
    <definedName name="l_1_1_5_2_2" localSheetId="6" hidden="1">{#N/A,#N/A,FALSE,"Aging Summary";#N/A,#N/A,FALSE,"Ratio Analysis";#N/A,#N/A,FALSE,"Test 120 Day Accts";#N/A,#N/A,FALSE,"Tickmarks"}</definedName>
    <definedName name="l_1_1_5_2_2" hidden="1">{#N/A,#N/A,FALSE,"Aging Summary";#N/A,#N/A,FALSE,"Ratio Analysis";#N/A,#N/A,FALSE,"Test 120 Day Accts";#N/A,#N/A,FALSE,"Tickmarks"}</definedName>
    <definedName name="l_1_1_5_2_3" localSheetId="0" hidden="1">{#N/A,#N/A,FALSE,"Aging Summary";#N/A,#N/A,FALSE,"Ratio Analysis";#N/A,#N/A,FALSE,"Test 120 Day Accts";#N/A,#N/A,FALSE,"Tickmarks"}</definedName>
    <definedName name="l_1_1_5_2_3" localSheetId="6" hidden="1">{#N/A,#N/A,FALSE,"Aging Summary";#N/A,#N/A,FALSE,"Ratio Analysis";#N/A,#N/A,FALSE,"Test 120 Day Accts";#N/A,#N/A,FALSE,"Tickmarks"}</definedName>
    <definedName name="l_1_1_5_2_3" hidden="1">{#N/A,#N/A,FALSE,"Aging Summary";#N/A,#N/A,FALSE,"Ratio Analysis";#N/A,#N/A,FALSE,"Test 120 Day Accts";#N/A,#N/A,FALSE,"Tickmarks"}</definedName>
    <definedName name="l_1_1_5_2_4" localSheetId="0" hidden="1">{#N/A,#N/A,FALSE,"Aging Summary";#N/A,#N/A,FALSE,"Ratio Analysis";#N/A,#N/A,FALSE,"Test 120 Day Accts";#N/A,#N/A,FALSE,"Tickmarks"}</definedName>
    <definedName name="l_1_1_5_2_4" localSheetId="6" hidden="1">{#N/A,#N/A,FALSE,"Aging Summary";#N/A,#N/A,FALSE,"Ratio Analysis";#N/A,#N/A,FALSE,"Test 120 Day Accts";#N/A,#N/A,FALSE,"Tickmarks"}</definedName>
    <definedName name="l_1_1_5_2_4" hidden="1">{#N/A,#N/A,FALSE,"Aging Summary";#N/A,#N/A,FALSE,"Ratio Analysis";#N/A,#N/A,FALSE,"Test 120 Day Accts";#N/A,#N/A,FALSE,"Tickmarks"}</definedName>
    <definedName name="l_1_1_5_2_5" localSheetId="0" hidden="1">{#N/A,#N/A,FALSE,"Aging Summary";#N/A,#N/A,FALSE,"Ratio Analysis";#N/A,#N/A,FALSE,"Test 120 Day Accts";#N/A,#N/A,FALSE,"Tickmarks"}</definedName>
    <definedName name="l_1_1_5_2_5" localSheetId="6" hidden="1">{#N/A,#N/A,FALSE,"Aging Summary";#N/A,#N/A,FALSE,"Ratio Analysis";#N/A,#N/A,FALSE,"Test 120 Day Accts";#N/A,#N/A,FALSE,"Tickmarks"}</definedName>
    <definedName name="l_1_1_5_2_5" hidden="1">{#N/A,#N/A,FALSE,"Aging Summary";#N/A,#N/A,FALSE,"Ratio Analysis";#N/A,#N/A,FALSE,"Test 120 Day Accts";#N/A,#N/A,FALSE,"Tickmarks"}</definedName>
    <definedName name="l_1_1_5_3" localSheetId="0" hidden="1">{#N/A,#N/A,FALSE,"Aging Summary";#N/A,#N/A,FALSE,"Ratio Analysis";#N/A,#N/A,FALSE,"Test 120 Day Accts";#N/A,#N/A,FALSE,"Tickmarks"}</definedName>
    <definedName name="l_1_1_5_3" localSheetId="6" hidden="1">{#N/A,#N/A,FALSE,"Aging Summary";#N/A,#N/A,FALSE,"Ratio Analysis";#N/A,#N/A,FALSE,"Test 120 Day Accts";#N/A,#N/A,FALSE,"Tickmarks"}</definedName>
    <definedName name="l_1_1_5_3" hidden="1">{#N/A,#N/A,FALSE,"Aging Summary";#N/A,#N/A,FALSE,"Ratio Analysis";#N/A,#N/A,FALSE,"Test 120 Day Accts";#N/A,#N/A,FALSE,"Tickmarks"}</definedName>
    <definedName name="l_1_1_5_3_1" localSheetId="0" hidden="1">{#N/A,#N/A,FALSE,"Aging Summary";#N/A,#N/A,FALSE,"Ratio Analysis";#N/A,#N/A,FALSE,"Test 120 Day Accts";#N/A,#N/A,FALSE,"Tickmarks"}</definedName>
    <definedName name="l_1_1_5_3_1" localSheetId="6" hidden="1">{#N/A,#N/A,FALSE,"Aging Summary";#N/A,#N/A,FALSE,"Ratio Analysis";#N/A,#N/A,FALSE,"Test 120 Day Accts";#N/A,#N/A,FALSE,"Tickmarks"}</definedName>
    <definedName name="l_1_1_5_3_1" hidden="1">{#N/A,#N/A,FALSE,"Aging Summary";#N/A,#N/A,FALSE,"Ratio Analysis";#N/A,#N/A,FALSE,"Test 120 Day Accts";#N/A,#N/A,FALSE,"Tickmarks"}</definedName>
    <definedName name="l_1_1_5_3_2" localSheetId="0" hidden="1">{#N/A,#N/A,FALSE,"Aging Summary";#N/A,#N/A,FALSE,"Ratio Analysis";#N/A,#N/A,FALSE,"Test 120 Day Accts";#N/A,#N/A,FALSE,"Tickmarks"}</definedName>
    <definedName name="l_1_1_5_3_2" localSheetId="6" hidden="1">{#N/A,#N/A,FALSE,"Aging Summary";#N/A,#N/A,FALSE,"Ratio Analysis";#N/A,#N/A,FALSE,"Test 120 Day Accts";#N/A,#N/A,FALSE,"Tickmarks"}</definedName>
    <definedName name="l_1_1_5_3_2" hidden="1">{#N/A,#N/A,FALSE,"Aging Summary";#N/A,#N/A,FALSE,"Ratio Analysis";#N/A,#N/A,FALSE,"Test 120 Day Accts";#N/A,#N/A,FALSE,"Tickmarks"}</definedName>
    <definedName name="l_1_1_5_3_3" localSheetId="0" hidden="1">{#N/A,#N/A,FALSE,"Aging Summary";#N/A,#N/A,FALSE,"Ratio Analysis";#N/A,#N/A,FALSE,"Test 120 Day Accts";#N/A,#N/A,FALSE,"Tickmarks"}</definedName>
    <definedName name="l_1_1_5_3_3" localSheetId="6" hidden="1">{#N/A,#N/A,FALSE,"Aging Summary";#N/A,#N/A,FALSE,"Ratio Analysis";#N/A,#N/A,FALSE,"Test 120 Day Accts";#N/A,#N/A,FALSE,"Tickmarks"}</definedName>
    <definedName name="l_1_1_5_3_3" hidden="1">{#N/A,#N/A,FALSE,"Aging Summary";#N/A,#N/A,FALSE,"Ratio Analysis";#N/A,#N/A,FALSE,"Test 120 Day Accts";#N/A,#N/A,FALSE,"Tickmarks"}</definedName>
    <definedName name="l_1_1_5_3_4" localSheetId="0" hidden="1">{#N/A,#N/A,FALSE,"Aging Summary";#N/A,#N/A,FALSE,"Ratio Analysis";#N/A,#N/A,FALSE,"Test 120 Day Accts";#N/A,#N/A,FALSE,"Tickmarks"}</definedName>
    <definedName name="l_1_1_5_3_4" localSheetId="6" hidden="1">{#N/A,#N/A,FALSE,"Aging Summary";#N/A,#N/A,FALSE,"Ratio Analysis";#N/A,#N/A,FALSE,"Test 120 Day Accts";#N/A,#N/A,FALSE,"Tickmarks"}</definedName>
    <definedName name="l_1_1_5_3_4" hidden="1">{#N/A,#N/A,FALSE,"Aging Summary";#N/A,#N/A,FALSE,"Ratio Analysis";#N/A,#N/A,FALSE,"Test 120 Day Accts";#N/A,#N/A,FALSE,"Tickmarks"}</definedName>
    <definedName name="l_1_1_5_3_5" localSheetId="0" hidden="1">{#N/A,#N/A,FALSE,"Aging Summary";#N/A,#N/A,FALSE,"Ratio Analysis";#N/A,#N/A,FALSE,"Test 120 Day Accts";#N/A,#N/A,FALSE,"Tickmarks"}</definedName>
    <definedName name="l_1_1_5_3_5" localSheetId="6" hidden="1">{#N/A,#N/A,FALSE,"Aging Summary";#N/A,#N/A,FALSE,"Ratio Analysis";#N/A,#N/A,FALSE,"Test 120 Day Accts";#N/A,#N/A,FALSE,"Tickmarks"}</definedName>
    <definedName name="l_1_1_5_3_5" hidden="1">{#N/A,#N/A,FALSE,"Aging Summary";#N/A,#N/A,FALSE,"Ratio Analysis";#N/A,#N/A,FALSE,"Test 120 Day Accts";#N/A,#N/A,FALSE,"Tickmarks"}</definedName>
    <definedName name="l_1_1_5_4" localSheetId="0" hidden="1">{#N/A,#N/A,FALSE,"Aging Summary";#N/A,#N/A,FALSE,"Ratio Analysis";#N/A,#N/A,FALSE,"Test 120 Day Accts";#N/A,#N/A,FALSE,"Tickmarks"}</definedName>
    <definedName name="l_1_1_5_4" localSheetId="6" hidden="1">{#N/A,#N/A,FALSE,"Aging Summary";#N/A,#N/A,FALSE,"Ratio Analysis";#N/A,#N/A,FALSE,"Test 120 Day Accts";#N/A,#N/A,FALSE,"Tickmarks"}</definedName>
    <definedName name="l_1_1_5_4" hidden="1">{#N/A,#N/A,FALSE,"Aging Summary";#N/A,#N/A,FALSE,"Ratio Analysis";#N/A,#N/A,FALSE,"Test 120 Day Accts";#N/A,#N/A,FALSE,"Tickmarks"}</definedName>
    <definedName name="l_1_1_5_4_1" localSheetId="0" hidden="1">{#N/A,#N/A,FALSE,"Aging Summary";#N/A,#N/A,FALSE,"Ratio Analysis";#N/A,#N/A,FALSE,"Test 120 Day Accts";#N/A,#N/A,FALSE,"Tickmarks"}</definedName>
    <definedName name="l_1_1_5_4_1" localSheetId="6" hidden="1">{#N/A,#N/A,FALSE,"Aging Summary";#N/A,#N/A,FALSE,"Ratio Analysis";#N/A,#N/A,FALSE,"Test 120 Day Accts";#N/A,#N/A,FALSE,"Tickmarks"}</definedName>
    <definedName name="l_1_1_5_4_1" hidden="1">{#N/A,#N/A,FALSE,"Aging Summary";#N/A,#N/A,FALSE,"Ratio Analysis";#N/A,#N/A,FALSE,"Test 120 Day Accts";#N/A,#N/A,FALSE,"Tickmarks"}</definedName>
    <definedName name="l_1_1_5_4_2" localSheetId="0" hidden="1">{#N/A,#N/A,FALSE,"Aging Summary";#N/A,#N/A,FALSE,"Ratio Analysis";#N/A,#N/A,FALSE,"Test 120 Day Accts";#N/A,#N/A,FALSE,"Tickmarks"}</definedName>
    <definedName name="l_1_1_5_4_2" localSheetId="6" hidden="1">{#N/A,#N/A,FALSE,"Aging Summary";#N/A,#N/A,FALSE,"Ratio Analysis";#N/A,#N/A,FALSE,"Test 120 Day Accts";#N/A,#N/A,FALSE,"Tickmarks"}</definedName>
    <definedName name="l_1_1_5_4_2" hidden="1">{#N/A,#N/A,FALSE,"Aging Summary";#N/A,#N/A,FALSE,"Ratio Analysis";#N/A,#N/A,FALSE,"Test 120 Day Accts";#N/A,#N/A,FALSE,"Tickmarks"}</definedName>
    <definedName name="l_1_1_5_4_3" localSheetId="0" hidden="1">{#N/A,#N/A,FALSE,"Aging Summary";#N/A,#N/A,FALSE,"Ratio Analysis";#N/A,#N/A,FALSE,"Test 120 Day Accts";#N/A,#N/A,FALSE,"Tickmarks"}</definedName>
    <definedName name="l_1_1_5_4_3" localSheetId="6" hidden="1">{#N/A,#N/A,FALSE,"Aging Summary";#N/A,#N/A,FALSE,"Ratio Analysis";#N/A,#N/A,FALSE,"Test 120 Day Accts";#N/A,#N/A,FALSE,"Tickmarks"}</definedName>
    <definedName name="l_1_1_5_4_3" hidden="1">{#N/A,#N/A,FALSE,"Aging Summary";#N/A,#N/A,FALSE,"Ratio Analysis";#N/A,#N/A,FALSE,"Test 120 Day Accts";#N/A,#N/A,FALSE,"Tickmarks"}</definedName>
    <definedName name="l_1_1_5_4_4" localSheetId="0" hidden="1">{#N/A,#N/A,FALSE,"Aging Summary";#N/A,#N/A,FALSE,"Ratio Analysis";#N/A,#N/A,FALSE,"Test 120 Day Accts";#N/A,#N/A,FALSE,"Tickmarks"}</definedName>
    <definedName name="l_1_1_5_4_4" localSheetId="6" hidden="1">{#N/A,#N/A,FALSE,"Aging Summary";#N/A,#N/A,FALSE,"Ratio Analysis";#N/A,#N/A,FALSE,"Test 120 Day Accts";#N/A,#N/A,FALSE,"Tickmarks"}</definedName>
    <definedName name="l_1_1_5_4_4" hidden="1">{#N/A,#N/A,FALSE,"Aging Summary";#N/A,#N/A,FALSE,"Ratio Analysis";#N/A,#N/A,FALSE,"Test 120 Day Accts";#N/A,#N/A,FALSE,"Tickmarks"}</definedName>
    <definedName name="l_1_1_5_4_5" localSheetId="0" hidden="1">{#N/A,#N/A,FALSE,"Aging Summary";#N/A,#N/A,FALSE,"Ratio Analysis";#N/A,#N/A,FALSE,"Test 120 Day Accts";#N/A,#N/A,FALSE,"Tickmarks"}</definedName>
    <definedName name="l_1_1_5_4_5" localSheetId="6" hidden="1">{#N/A,#N/A,FALSE,"Aging Summary";#N/A,#N/A,FALSE,"Ratio Analysis";#N/A,#N/A,FALSE,"Test 120 Day Accts";#N/A,#N/A,FALSE,"Tickmarks"}</definedName>
    <definedName name="l_1_1_5_4_5" hidden="1">{#N/A,#N/A,FALSE,"Aging Summary";#N/A,#N/A,FALSE,"Ratio Analysis";#N/A,#N/A,FALSE,"Test 120 Day Accts";#N/A,#N/A,FALSE,"Tickmarks"}</definedName>
    <definedName name="l_1_1_5_5" localSheetId="0" hidden="1">{#N/A,#N/A,FALSE,"Aging Summary";#N/A,#N/A,FALSE,"Ratio Analysis";#N/A,#N/A,FALSE,"Test 120 Day Accts";#N/A,#N/A,FALSE,"Tickmarks"}</definedName>
    <definedName name="l_1_1_5_5" localSheetId="6" hidden="1">{#N/A,#N/A,FALSE,"Aging Summary";#N/A,#N/A,FALSE,"Ratio Analysis";#N/A,#N/A,FALSE,"Test 120 Day Accts";#N/A,#N/A,FALSE,"Tickmarks"}</definedName>
    <definedName name="l_1_1_5_5" hidden="1">{#N/A,#N/A,FALSE,"Aging Summary";#N/A,#N/A,FALSE,"Ratio Analysis";#N/A,#N/A,FALSE,"Test 120 Day Accts";#N/A,#N/A,FALSE,"Tickmarks"}</definedName>
    <definedName name="l_1_1_5_5_1" localSheetId="0" hidden="1">{#N/A,#N/A,FALSE,"Aging Summary";#N/A,#N/A,FALSE,"Ratio Analysis";#N/A,#N/A,FALSE,"Test 120 Day Accts";#N/A,#N/A,FALSE,"Tickmarks"}</definedName>
    <definedName name="l_1_1_5_5_1" localSheetId="6" hidden="1">{#N/A,#N/A,FALSE,"Aging Summary";#N/A,#N/A,FALSE,"Ratio Analysis";#N/A,#N/A,FALSE,"Test 120 Day Accts";#N/A,#N/A,FALSE,"Tickmarks"}</definedName>
    <definedName name="l_1_1_5_5_1" hidden="1">{#N/A,#N/A,FALSE,"Aging Summary";#N/A,#N/A,FALSE,"Ratio Analysis";#N/A,#N/A,FALSE,"Test 120 Day Accts";#N/A,#N/A,FALSE,"Tickmarks"}</definedName>
    <definedName name="l_1_1_5_5_2" localSheetId="0" hidden="1">{#N/A,#N/A,FALSE,"Aging Summary";#N/A,#N/A,FALSE,"Ratio Analysis";#N/A,#N/A,FALSE,"Test 120 Day Accts";#N/A,#N/A,FALSE,"Tickmarks"}</definedName>
    <definedName name="l_1_1_5_5_2" localSheetId="6" hidden="1">{#N/A,#N/A,FALSE,"Aging Summary";#N/A,#N/A,FALSE,"Ratio Analysis";#N/A,#N/A,FALSE,"Test 120 Day Accts";#N/A,#N/A,FALSE,"Tickmarks"}</definedName>
    <definedName name="l_1_1_5_5_2" hidden="1">{#N/A,#N/A,FALSE,"Aging Summary";#N/A,#N/A,FALSE,"Ratio Analysis";#N/A,#N/A,FALSE,"Test 120 Day Accts";#N/A,#N/A,FALSE,"Tickmarks"}</definedName>
    <definedName name="l_1_1_5_5_3" localSheetId="0" hidden="1">{#N/A,#N/A,FALSE,"Aging Summary";#N/A,#N/A,FALSE,"Ratio Analysis";#N/A,#N/A,FALSE,"Test 120 Day Accts";#N/A,#N/A,FALSE,"Tickmarks"}</definedName>
    <definedName name="l_1_1_5_5_3" localSheetId="6" hidden="1">{#N/A,#N/A,FALSE,"Aging Summary";#N/A,#N/A,FALSE,"Ratio Analysis";#N/A,#N/A,FALSE,"Test 120 Day Accts";#N/A,#N/A,FALSE,"Tickmarks"}</definedName>
    <definedName name="l_1_1_5_5_3" hidden="1">{#N/A,#N/A,FALSE,"Aging Summary";#N/A,#N/A,FALSE,"Ratio Analysis";#N/A,#N/A,FALSE,"Test 120 Day Accts";#N/A,#N/A,FALSE,"Tickmarks"}</definedName>
    <definedName name="l_1_1_5_5_4" localSheetId="0" hidden="1">{#N/A,#N/A,FALSE,"Aging Summary";#N/A,#N/A,FALSE,"Ratio Analysis";#N/A,#N/A,FALSE,"Test 120 Day Accts";#N/A,#N/A,FALSE,"Tickmarks"}</definedName>
    <definedName name="l_1_1_5_5_4" localSheetId="6" hidden="1">{#N/A,#N/A,FALSE,"Aging Summary";#N/A,#N/A,FALSE,"Ratio Analysis";#N/A,#N/A,FALSE,"Test 120 Day Accts";#N/A,#N/A,FALSE,"Tickmarks"}</definedName>
    <definedName name="l_1_1_5_5_4" hidden="1">{#N/A,#N/A,FALSE,"Aging Summary";#N/A,#N/A,FALSE,"Ratio Analysis";#N/A,#N/A,FALSE,"Test 120 Day Accts";#N/A,#N/A,FALSE,"Tickmarks"}</definedName>
    <definedName name="l_1_1_5_5_5" localSheetId="0" hidden="1">{#N/A,#N/A,FALSE,"Aging Summary";#N/A,#N/A,FALSE,"Ratio Analysis";#N/A,#N/A,FALSE,"Test 120 Day Accts";#N/A,#N/A,FALSE,"Tickmarks"}</definedName>
    <definedName name="l_1_1_5_5_5" localSheetId="6" hidden="1">{#N/A,#N/A,FALSE,"Aging Summary";#N/A,#N/A,FALSE,"Ratio Analysis";#N/A,#N/A,FALSE,"Test 120 Day Accts";#N/A,#N/A,FALSE,"Tickmarks"}</definedName>
    <definedName name="l_1_1_5_5_5" hidden="1">{#N/A,#N/A,FALSE,"Aging Summary";#N/A,#N/A,FALSE,"Ratio Analysis";#N/A,#N/A,FALSE,"Test 120 Day Accts";#N/A,#N/A,FALSE,"Tickmarks"}</definedName>
    <definedName name="l_1_2" localSheetId="0" hidden="1">{#N/A,#N/A,FALSE,"Aging Summary";#N/A,#N/A,FALSE,"Ratio Analysis";#N/A,#N/A,FALSE,"Test 120 Day Accts";#N/A,#N/A,FALSE,"Tickmarks"}</definedName>
    <definedName name="l_1_2" localSheetId="6" hidden="1">{#N/A,#N/A,FALSE,"Aging Summary";#N/A,#N/A,FALSE,"Ratio Analysis";#N/A,#N/A,FALSE,"Test 120 Day Accts";#N/A,#N/A,FALSE,"Tickmarks"}</definedName>
    <definedName name="l_1_2" hidden="1">{#N/A,#N/A,FALSE,"Aging Summary";#N/A,#N/A,FALSE,"Ratio Analysis";#N/A,#N/A,FALSE,"Test 120 Day Accts";#N/A,#N/A,FALSE,"Tickmarks"}</definedName>
    <definedName name="l_1_2_1" localSheetId="0" hidden="1">{#N/A,#N/A,FALSE,"Aging Summary";#N/A,#N/A,FALSE,"Ratio Analysis";#N/A,#N/A,FALSE,"Test 120 Day Accts";#N/A,#N/A,FALSE,"Tickmarks"}</definedName>
    <definedName name="l_1_2_1" localSheetId="6" hidden="1">{#N/A,#N/A,FALSE,"Aging Summary";#N/A,#N/A,FALSE,"Ratio Analysis";#N/A,#N/A,FALSE,"Test 120 Day Accts";#N/A,#N/A,FALSE,"Tickmarks"}</definedName>
    <definedName name="l_1_2_1" hidden="1">{#N/A,#N/A,FALSE,"Aging Summary";#N/A,#N/A,FALSE,"Ratio Analysis";#N/A,#N/A,FALSE,"Test 120 Day Accts";#N/A,#N/A,FALSE,"Tickmarks"}</definedName>
    <definedName name="l_1_2_1_1" localSheetId="0" hidden="1">{#N/A,#N/A,FALSE,"Aging Summary";#N/A,#N/A,FALSE,"Ratio Analysis";#N/A,#N/A,FALSE,"Test 120 Day Accts";#N/A,#N/A,FALSE,"Tickmarks"}</definedName>
    <definedName name="l_1_2_1_1" localSheetId="6" hidden="1">{#N/A,#N/A,FALSE,"Aging Summary";#N/A,#N/A,FALSE,"Ratio Analysis";#N/A,#N/A,FALSE,"Test 120 Day Accts";#N/A,#N/A,FALSE,"Tickmarks"}</definedName>
    <definedName name="l_1_2_1_1" hidden="1">{#N/A,#N/A,FALSE,"Aging Summary";#N/A,#N/A,FALSE,"Ratio Analysis";#N/A,#N/A,FALSE,"Test 120 Day Accts";#N/A,#N/A,FALSE,"Tickmarks"}</definedName>
    <definedName name="l_1_2_1_2" localSheetId="0" hidden="1">{#N/A,#N/A,FALSE,"Aging Summary";#N/A,#N/A,FALSE,"Ratio Analysis";#N/A,#N/A,FALSE,"Test 120 Day Accts";#N/A,#N/A,FALSE,"Tickmarks"}</definedName>
    <definedName name="l_1_2_1_2" localSheetId="6" hidden="1">{#N/A,#N/A,FALSE,"Aging Summary";#N/A,#N/A,FALSE,"Ratio Analysis";#N/A,#N/A,FALSE,"Test 120 Day Accts";#N/A,#N/A,FALSE,"Tickmarks"}</definedName>
    <definedName name="l_1_2_1_2" hidden="1">{#N/A,#N/A,FALSE,"Aging Summary";#N/A,#N/A,FALSE,"Ratio Analysis";#N/A,#N/A,FALSE,"Test 120 Day Accts";#N/A,#N/A,FALSE,"Tickmarks"}</definedName>
    <definedName name="l_1_2_1_3" localSheetId="0" hidden="1">{#N/A,#N/A,FALSE,"Aging Summary";#N/A,#N/A,FALSE,"Ratio Analysis";#N/A,#N/A,FALSE,"Test 120 Day Accts";#N/A,#N/A,FALSE,"Tickmarks"}</definedName>
    <definedName name="l_1_2_1_3" localSheetId="6" hidden="1">{#N/A,#N/A,FALSE,"Aging Summary";#N/A,#N/A,FALSE,"Ratio Analysis";#N/A,#N/A,FALSE,"Test 120 Day Accts";#N/A,#N/A,FALSE,"Tickmarks"}</definedName>
    <definedName name="l_1_2_1_3" hidden="1">{#N/A,#N/A,FALSE,"Aging Summary";#N/A,#N/A,FALSE,"Ratio Analysis";#N/A,#N/A,FALSE,"Test 120 Day Accts";#N/A,#N/A,FALSE,"Tickmarks"}</definedName>
    <definedName name="l_1_2_1_4" localSheetId="0" hidden="1">{#N/A,#N/A,FALSE,"Aging Summary";#N/A,#N/A,FALSE,"Ratio Analysis";#N/A,#N/A,FALSE,"Test 120 Day Accts";#N/A,#N/A,FALSE,"Tickmarks"}</definedName>
    <definedName name="l_1_2_1_4" localSheetId="6" hidden="1">{#N/A,#N/A,FALSE,"Aging Summary";#N/A,#N/A,FALSE,"Ratio Analysis";#N/A,#N/A,FALSE,"Test 120 Day Accts";#N/A,#N/A,FALSE,"Tickmarks"}</definedName>
    <definedName name="l_1_2_1_4" hidden="1">{#N/A,#N/A,FALSE,"Aging Summary";#N/A,#N/A,FALSE,"Ratio Analysis";#N/A,#N/A,FALSE,"Test 120 Day Accts";#N/A,#N/A,FALSE,"Tickmarks"}</definedName>
    <definedName name="l_1_2_1_5" localSheetId="0" hidden="1">{#N/A,#N/A,FALSE,"Aging Summary";#N/A,#N/A,FALSE,"Ratio Analysis";#N/A,#N/A,FALSE,"Test 120 Day Accts";#N/A,#N/A,FALSE,"Tickmarks"}</definedName>
    <definedName name="l_1_2_1_5" localSheetId="6" hidden="1">{#N/A,#N/A,FALSE,"Aging Summary";#N/A,#N/A,FALSE,"Ratio Analysis";#N/A,#N/A,FALSE,"Test 120 Day Accts";#N/A,#N/A,FALSE,"Tickmarks"}</definedName>
    <definedName name="l_1_2_1_5" hidden="1">{#N/A,#N/A,FALSE,"Aging Summary";#N/A,#N/A,FALSE,"Ratio Analysis";#N/A,#N/A,FALSE,"Test 120 Day Accts";#N/A,#N/A,FALSE,"Tickmarks"}</definedName>
    <definedName name="l_1_2_2" localSheetId="0" hidden="1">{#N/A,#N/A,FALSE,"Aging Summary";#N/A,#N/A,FALSE,"Ratio Analysis";#N/A,#N/A,FALSE,"Test 120 Day Accts";#N/A,#N/A,FALSE,"Tickmarks"}</definedName>
    <definedName name="l_1_2_2" localSheetId="6" hidden="1">{#N/A,#N/A,FALSE,"Aging Summary";#N/A,#N/A,FALSE,"Ratio Analysis";#N/A,#N/A,FALSE,"Test 120 Day Accts";#N/A,#N/A,FALSE,"Tickmarks"}</definedName>
    <definedName name="l_1_2_2" hidden="1">{#N/A,#N/A,FALSE,"Aging Summary";#N/A,#N/A,FALSE,"Ratio Analysis";#N/A,#N/A,FALSE,"Test 120 Day Accts";#N/A,#N/A,FALSE,"Tickmarks"}</definedName>
    <definedName name="l_1_2_2_1" localSheetId="0" hidden="1">{#N/A,#N/A,FALSE,"Aging Summary";#N/A,#N/A,FALSE,"Ratio Analysis";#N/A,#N/A,FALSE,"Test 120 Day Accts";#N/A,#N/A,FALSE,"Tickmarks"}</definedName>
    <definedName name="l_1_2_2_1" localSheetId="6" hidden="1">{#N/A,#N/A,FALSE,"Aging Summary";#N/A,#N/A,FALSE,"Ratio Analysis";#N/A,#N/A,FALSE,"Test 120 Day Accts";#N/A,#N/A,FALSE,"Tickmarks"}</definedName>
    <definedName name="l_1_2_2_1" hidden="1">{#N/A,#N/A,FALSE,"Aging Summary";#N/A,#N/A,FALSE,"Ratio Analysis";#N/A,#N/A,FALSE,"Test 120 Day Accts";#N/A,#N/A,FALSE,"Tickmarks"}</definedName>
    <definedName name="l_1_2_2_2" localSheetId="0" hidden="1">{#N/A,#N/A,FALSE,"Aging Summary";#N/A,#N/A,FALSE,"Ratio Analysis";#N/A,#N/A,FALSE,"Test 120 Day Accts";#N/A,#N/A,FALSE,"Tickmarks"}</definedName>
    <definedName name="l_1_2_2_2" localSheetId="6" hidden="1">{#N/A,#N/A,FALSE,"Aging Summary";#N/A,#N/A,FALSE,"Ratio Analysis";#N/A,#N/A,FALSE,"Test 120 Day Accts";#N/A,#N/A,FALSE,"Tickmarks"}</definedName>
    <definedName name="l_1_2_2_2" hidden="1">{#N/A,#N/A,FALSE,"Aging Summary";#N/A,#N/A,FALSE,"Ratio Analysis";#N/A,#N/A,FALSE,"Test 120 Day Accts";#N/A,#N/A,FALSE,"Tickmarks"}</definedName>
    <definedName name="l_1_2_2_3" localSheetId="0" hidden="1">{#N/A,#N/A,FALSE,"Aging Summary";#N/A,#N/A,FALSE,"Ratio Analysis";#N/A,#N/A,FALSE,"Test 120 Day Accts";#N/A,#N/A,FALSE,"Tickmarks"}</definedName>
    <definedName name="l_1_2_2_3" localSheetId="6" hidden="1">{#N/A,#N/A,FALSE,"Aging Summary";#N/A,#N/A,FALSE,"Ratio Analysis";#N/A,#N/A,FALSE,"Test 120 Day Accts";#N/A,#N/A,FALSE,"Tickmarks"}</definedName>
    <definedName name="l_1_2_2_3" hidden="1">{#N/A,#N/A,FALSE,"Aging Summary";#N/A,#N/A,FALSE,"Ratio Analysis";#N/A,#N/A,FALSE,"Test 120 Day Accts";#N/A,#N/A,FALSE,"Tickmarks"}</definedName>
    <definedName name="l_1_2_2_4" localSheetId="0" hidden="1">{#N/A,#N/A,FALSE,"Aging Summary";#N/A,#N/A,FALSE,"Ratio Analysis";#N/A,#N/A,FALSE,"Test 120 Day Accts";#N/A,#N/A,FALSE,"Tickmarks"}</definedName>
    <definedName name="l_1_2_2_4" localSheetId="6" hidden="1">{#N/A,#N/A,FALSE,"Aging Summary";#N/A,#N/A,FALSE,"Ratio Analysis";#N/A,#N/A,FALSE,"Test 120 Day Accts";#N/A,#N/A,FALSE,"Tickmarks"}</definedName>
    <definedName name="l_1_2_2_4" hidden="1">{#N/A,#N/A,FALSE,"Aging Summary";#N/A,#N/A,FALSE,"Ratio Analysis";#N/A,#N/A,FALSE,"Test 120 Day Accts";#N/A,#N/A,FALSE,"Tickmarks"}</definedName>
    <definedName name="l_1_2_2_5" localSheetId="0" hidden="1">{#N/A,#N/A,FALSE,"Aging Summary";#N/A,#N/A,FALSE,"Ratio Analysis";#N/A,#N/A,FALSE,"Test 120 Day Accts";#N/A,#N/A,FALSE,"Tickmarks"}</definedName>
    <definedName name="l_1_2_2_5" localSheetId="6" hidden="1">{#N/A,#N/A,FALSE,"Aging Summary";#N/A,#N/A,FALSE,"Ratio Analysis";#N/A,#N/A,FALSE,"Test 120 Day Accts";#N/A,#N/A,FALSE,"Tickmarks"}</definedName>
    <definedName name="l_1_2_2_5" hidden="1">{#N/A,#N/A,FALSE,"Aging Summary";#N/A,#N/A,FALSE,"Ratio Analysis";#N/A,#N/A,FALSE,"Test 120 Day Accts";#N/A,#N/A,FALSE,"Tickmarks"}</definedName>
    <definedName name="l_1_2_3" localSheetId="0" hidden="1">{#N/A,#N/A,FALSE,"Aging Summary";#N/A,#N/A,FALSE,"Ratio Analysis";#N/A,#N/A,FALSE,"Test 120 Day Accts";#N/A,#N/A,FALSE,"Tickmarks"}</definedName>
    <definedName name="l_1_2_3" localSheetId="6" hidden="1">{#N/A,#N/A,FALSE,"Aging Summary";#N/A,#N/A,FALSE,"Ratio Analysis";#N/A,#N/A,FALSE,"Test 120 Day Accts";#N/A,#N/A,FALSE,"Tickmarks"}</definedName>
    <definedName name="l_1_2_3" hidden="1">{#N/A,#N/A,FALSE,"Aging Summary";#N/A,#N/A,FALSE,"Ratio Analysis";#N/A,#N/A,FALSE,"Test 120 Day Accts";#N/A,#N/A,FALSE,"Tickmarks"}</definedName>
    <definedName name="l_1_2_3_1" localSheetId="0" hidden="1">{#N/A,#N/A,FALSE,"Aging Summary";#N/A,#N/A,FALSE,"Ratio Analysis";#N/A,#N/A,FALSE,"Test 120 Day Accts";#N/A,#N/A,FALSE,"Tickmarks"}</definedName>
    <definedName name="l_1_2_3_1" localSheetId="6" hidden="1">{#N/A,#N/A,FALSE,"Aging Summary";#N/A,#N/A,FALSE,"Ratio Analysis";#N/A,#N/A,FALSE,"Test 120 Day Accts";#N/A,#N/A,FALSE,"Tickmarks"}</definedName>
    <definedName name="l_1_2_3_1" hidden="1">{#N/A,#N/A,FALSE,"Aging Summary";#N/A,#N/A,FALSE,"Ratio Analysis";#N/A,#N/A,FALSE,"Test 120 Day Accts";#N/A,#N/A,FALSE,"Tickmarks"}</definedName>
    <definedName name="l_1_2_3_2" localSheetId="0" hidden="1">{#N/A,#N/A,FALSE,"Aging Summary";#N/A,#N/A,FALSE,"Ratio Analysis";#N/A,#N/A,FALSE,"Test 120 Day Accts";#N/A,#N/A,FALSE,"Tickmarks"}</definedName>
    <definedName name="l_1_2_3_2" localSheetId="6" hidden="1">{#N/A,#N/A,FALSE,"Aging Summary";#N/A,#N/A,FALSE,"Ratio Analysis";#N/A,#N/A,FALSE,"Test 120 Day Accts";#N/A,#N/A,FALSE,"Tickmarks"}</definedName>
    <definedName name="l_1_2_3_2" hidden="1">{#N/A,#N/A,FALSE,"Aging Summary";#N/A,#N/A,FALSE,"Ratio Analysis";#N/A,#N/A,FALSE,"Test 120 Day Accts";#N/A,#N/A,FALSE,"Tickmarks"}</definedName>
    <definedName name="l_1_2_3_3" localSheetId="0" hidden="1">{#N/A,#N/A,FALSE,"Aging Summary";#N/A,#N/A,FALSE,"Ratio Analysis";#N/A,#N/A,FALSE,"Test 120 Day Accts";#N/A,#N/A,FALSE,"Tickmarks"}</definedName>
    <definedName name="l_1_2_3_3" localSheetId="6" hidden="1">{#N/A,#N/A,FALSE,"Aging Summary";#N/A,#N/A,FALSE,"Ratio Analysis";#N/A,#N/A,FALSE,"Test 120 Day Accts";#N/A,#N/A,FALSE,"Tickmarks"}</definedName>
    <definedName name="l_1_2_3_3" hidden="1">{#N/A,#N/A,FALSE,"Aging Summary";#N/A,#N/A,FALSE,"Ratio Analysis";#N/A,#N/A,FALSE,"Test 120 Day Accts";#N/A,#N/A,FALSE,"Tickmarks"}</definedName>
    <definedName name="l_1_2_3_4" localSheetId="0" hidden="1">{#N/A,#N/A,FALSE,"Aging Summary";#N/A,#N/A,FALSE,"Ratio Analysis";#N/A,#N/A,FALSE,"Test 120 Day Accts";#N/A,#N/A,FALSE,"Tickmarks"}</definedName>
    <definedName name="l_1_2_3_4" localSheetId="6" hidden="1">{#N/A,#N/A,FALSE,"Aging Summary";#N/A,#N/A,FALSE,"Ratio Analysis";#N/A,#N/A,FALSE,"Test 120 Day Accts";#N/A,#N/A,FALSE,"Tickmarks"}</definedName>
    <definedName name="l_1_2_3_4" hidden="1">{#N/A,#N/A,FALSE,"Aging Summary";#N/A,#N/A,FALSE,"Ratio Analysis";#N/A,#N/A,FALSE,"Test 120 Day Accts";#N/A,#N/A,FALSE,"Tickmarks"}</definedName>
    <definedName name="l_1_2_3_5" localSheetId="0" hidden="1">{#N/A,#N/A,FALSE,"Aging Summary";#N/A,#N/A,FALSE,"Ratio Analysis";#N/A,#N/A,FALSE,"Test 120 Day Accts";#N/A,#N/A,FALSE,"Tickmarks"}</definedName>
    <definedName name="l_1_2_3_5" localSheetId="6" hidden="1">{#N/A,#N/A,FALSE,"Aging Summary";#N/A,#N/A,FALSE,"Ratio Analysis";#N/A,#N/A,FALSE,"Test 120 Day Accts";#N/A,#N/A,FALSE,"Tickmarks"}</definedName>
    <definedName name="l_1_2_3_5" hidden="1">{#N/A,#N/A,FALSE,"Aging Summary";#N/A,#N/A,FALSE,"Ratio Analysis";#N/A,#N/A,FALSE,"Test 120 Day Accts";#N/A,#N/A,FALSE,"Tickmarks"}</definedName>
    <definedName name="l_1_2_4" localSheetId="0" hidden="1">{#N/A,#N/A,FALSE,"Aging Summary";#N/A,#N/A,FALSE,"Ratio Analysis";#N/A,#N/A,FALSE,"Test 120 Day Accts";#N/A,#N/A,FALSE,"Tickmarks"}</definedName>
    <definedName name="l_1_2_4" localSheetId="6" hidden="1">{#N/A,#N/A,FALSE,"Aging Summary";#N/A,#N/A,FALSE,"Ratio Analysis";#N/A,#N/A,FALSE,"Test 120 Day Accts";#N/A,#N/A,FALSE,"Tickmarks"}</definedName>
    <definedName name="l_1_2_4" hidden="1">{#N/A,#N/A,FALSE,"Aging Summary";#N/A,#N/A,FALSE,"Ratio Analysis";#N/A,#N/A,FALSE,"Test 120 Day Accts";#N/A,#N/A,FALSE,"Tickmarks"}</definedName>
    <definedName name="l_1_2_4_1" localSheetId="0" hidden="1">{#N/A,#N/A,FALSE,"Aging Summary";#N/A,#N/A,FALSE,"Ratio Analysis";#N/A,#N/A,FALSE,"Test 120 Day Accts";#N/A,#N/A,FALSE,"Tickmarks"}</definedName>
    <definedName name="l_1_2_4_1" localSheetId="6" hidden="1">{#N/A,#N/A,FALSE,"Aging Summary";#N/A,#N/A,FALSE,"Ratio Analysis";#N/A,#N/A,FALSE,"Test 120 Day Accts";#N/A,#N/A,FALSE,"Tickmarks"}</definedName>
    <definedName name="l_1_2_4_1" hidden="1">{#N/A,#N/A,FALSE,"Aging Summary";#N/A,#N/A,FALSE,"Ratio Analysis";#N/A,#N/A,FALSE,"Test 120 Day Accts";#N/A,#N/A,FALSE,"Tickmarks"}</definedName>
    <definedName name="l_1_2_4_2" localSheetId="0" hidden="1">{#N/A,#N/A,FALSE,"Aging Summary";#N/A,#N/A,FALSE,"Ratio Analysis";#N/A,#N/A,FALSE,"Test 120 Day Accts";#N/A,#N/A,FALSE,"Tickmarks"}</definedName>
    <definedName name="l_1_2_4_2" localSheetId="6" hidden="1">{#N/A,#N/A,FALSE,"Aging Summary";#N/A,#N/A,FALSE,"Ratio Analysis";#N/A,#N/A,FALSE,"Test 120 Day Accts";#N/A,#N/A,FALSE,"Tickmarks"}</definedName>
    <definedName name="l_1_2_4_2" hidden="1">{#N/A,#N/A,FALSE,"Aging Summary";#N/A,#N/A,FALSE,"Ratio Analysis";#N/A,#N/A,FALSE,"Test 120 Day Accts";#N/A,#N/A,FALSE,"Tickmarks"}</definedName>
    <definedName name="l_1_2_4_3" localSheetId="0" hidden="1">{#N/A,#N/A,FALSE,"Aging Summary";#N/A,#N/A,FALSE,"Ratio Analysis";#N/A,#N/A,FALSE,"Test 120 Day Accts";#N/A,#N/A,FALSE,"Tickmarks"}</definedName>
    <definedName name="l_1_2_4_3" localSheetId="6" hidden="1">{#N/A,#N/A,FALSE,"Aging Summary";#N/A,#N/A,FALSE,"Ratio Analysis";#N/A,#N/A,FALSE,"Test 120 Day Accts";#N/A,#N/A,FALSE,"Tickmarks"}</definedName>
    <definedName name="l_1_2_4_3" hidden="1">{#N/A,#N/A,FALSE,"Aging Summary";#N/A,#N/A,FALSE,"Ratio Analysis";#N/A,#N/A,FALSE,"Test 120 Day Accts";#N/A,#N/A,FALSE,"Tickmarks"}</definedName>
    <definedName name="l_1_2_4_4" localSheetId="0" hidden="1">{#N/A,#N/A,FALSE,"Aging Summary";#N/A,#N/A,FALSE,"Ratio Analysis";#N/A,#N/A,FALSE,"Test 120 Day Accts";#N/A,#N/A,FALSE,"Tickmarks"}</definedName>
    <definedName name="l_1_2_4_4" localSheetId="6" hidden="1">{#N/A,#N/A,FALSE,"Aging Summary";#N/A,#N/A,FALSE,"Ratio Analysis";#N/A,#N/A,FALSE,"Test 120 Day Accts";#N/A,#N/A,FALSE,"Tickmarks"}</definedName>
    <definedName name="l_1_2_4_4" hidden="1">{#N/A,#N/A,FALSE,"Aging Summary";#N/A,#N/A,FALSE,"Ratio Analysis";#N/A,#N/A,FALSE,"Test 120 Day Accts";#N/A,#N/A,FALSE,"Tickmarks"}</definedName>
    <definedName name="l_1_2_4_5" localSheetId="0" hidden="1">{#N/A,#N/A,FALSE,"Aging Summary";#N/A,#N/A,FALSE,"Ratio Analysis";#N/A,#N/A,FALSE,"Test 120 Day Accts";#N/A,#N/A,FALSE,"Tickmarks"}</definedName>
    <definedName name="l_1_2_4_5" localSheetId="6" hidden="1">{#N/A,#N/A,FALSE,"Aging Summary";#N/A,#N/A,FALSE,"Ratio Analysis";#N/A,#N/A,FALSE,"Test 120 Day Accts";#N/A,#N/A,FALSE,"Tickmarks"}</definedName>
    <definedName name="l_1_2_4_5" hidden="1">{#N/A,#N/A,FALSE,"Aging Summary";#N/A,#N/A,FALSE,"Ratio Analysis";#N/A,#N/A,FALSE,"Test 120 Day Accts";#N/A,#N/A,FALSE,"Tickmarks"}</definedName>
    <definedName name="l_1_2_5" localSheetId="0" hidden="1">{#N/A,#N/A,FALSE,"Aging Summary";#N/A,#N/A,FALSE,"Ratio Analysis";#N/A,#N/A,FALSE,"Test 120 Day Accts";#N/A,#N/A,FALSE,"Tickmarks"}</definedName>
    <definedName name="l_1_2_5" localSheetId="6" hidden="1">{#N/A,#N/A,FALSE,"Aging Summary";#N/A,#N/A,FALSE,"Ratio Analysis";#N/A,#N/A,FALSE,"Test 120 Day Accts";#N/A,#N/A,FALSE,"Tickmarks"}</definedName>
    <definedName name="l_1_2_5" hidden="1">{#N/A,#N/A,FALSE,"Aging Summary";#N/A,#N/A,FALSE,"Ratio Analysis";#N/A,#N/A,FALSE,"Test 120 Day Accts";#N/A,#N/A,FALSE,"Tickmarks"}</definedName>
    <definedName name="l_1_2_5_1" localSheetId="0" hidden="1">{#N/A,#N/A,FALSE,"Aging Summary";#N/A,#N/A,FALSE,"Ratio Analysis";#N/A,#N/A,FALSE,"Test 120 Day Accts";#N/A,#N/A,FALSE,"Tickmarks"}</definedName>
    <definedName name="l_1_2_5_1" localSheetId="6" hidden="1">{#N/A,#N/A,FALSE,"Aging Summary";#N/A,#N/A,FALSE,"Ratio Analysis";#N/A,#N/A,FALSE,"Test 120 Day Accts";#N/A,#N/A,FALSE,"Tickmarks"}</definedName>
    <definedName name="l_1_2_5_1" hidden="1">{#N/A,#N/A,FALSE,"Aging Summary";#N/A,#N/A,FALSE,"Ratio Analysis";#N/A,#N/A,FALSE,"Test 120 Day Accts";#N/A,#N/A,FALSE,"Tickmarks"}</definedName>
    <definedName name="l_1_2_5_2" localSheetId="0" hidden="1">{#N/A,#N/A,FALSE,"Aging Summary";#N/A,#N/A,FALSE,"Ratio Analysis";#N/A,#N/A,FALSE,"Test 120 Day Accts";#N/A,#N/A,FALSE,"Tickmarks"}</definedName>
    <definedName name="l_1_2_5_2" localSheetId="6" hidden="1">{#N/A,#N/A,FALSE,"Aging Summary";#N/A,#N/A,FALSE,"Ratio Analysis";#N/A,#N/A,FALSE,"Test 120 Day Accts";#N/A,#N/A,FALSE,"Tickmarks"}</definedName>
    <definedName name="l_1_2_5_2" hidden="1">{#N/A,#N/A,FALSE,"Aging Summary";#N/A,#N/A,FALSE,"Ratio Analysis";#N/A,#N/A,FALSE,"Test 120 Day Accts";#N/A,#N/A,FALSE,"Tickmarks"}</definedName>
    <definedName name="l_1_2_5_3" localSheetId="0" hidden="1">{#N/A,#N/A,FALSE,"Aging Summary";#N/A,#N/A,FALSE,"Ratio Analysis";#N/A,#N/A,FALSE,"Test 120 Day Accts";#N/A,#N/A,FALSE,"Tickmarks"}</definedName>
    <definedName name="l_1_2_5_3" localSheetId="6" hidden="1">{#N/A,#N/A,FALSE,"Aging Summary";#N/A,#N/A,FALSE,"Ratio Analysis";#N/A,#N/A,FALSE,"Test 120 Day Accts";#N/A,#N/A,FALSE,"Tickmarks"}</definedName>
    <definedName name="l_1_2_5_3" hidden="1">{#N/A,#N/A,FALSE,"Aging Summary";#N/A,#N/A,FALSE,"Ratio Analysis";#N/A,#N/A,FALSE,"Test 120 Day Accts";#N/A,#N/A,FALSE,"Tickmarks"}</definedName>
    <definedName name="l_1_2_5_4" localSheetId="0" hidden="1">{#N/A,#N/A,FALSE,"Aging Summary";#N/A,#N/A,FALSE,"Ratio Analysis";#N/A,#N/A,FALSE,"Test 120 Day Accts";#N/A,#N/A,FALSE,"Tickmarks"}</definedName>
    <definedName name="l_1_2_5_4" localSheetId="6" hidden="1">{#N/A,#N/A,FALSE,"Aging Summary";#N/A,#N/A,FALSE,"Ratio Analysis";#N/A,#N/A,FALSE,"Test 120 Day Accts";#N/A,#N/A,FALSE,"Tickmarks"}</definedName>
    <definedName name="l_1_2_5_4" hidden="1">{#N/A,#N/A,FALSE,"Aging Summary";#N/A,#N/A,FALSE,"Ratio Analysis";#N/A,#N/A,FALSE,"Test 120 Day Accts";#N/A,#N/A,FALSE,"Tickmarks"}</definedName>
    <definedName name="l_1_2_5_5" localSheetId="0" hidden="1">{#N/A,#N/A,FALSE,"Aging Summary";#N/A,#N/A,FALSE,"Ratio Analysis";#N/A,#N/A,FALSE,"Test 120 Day Accts";#N/A,#N/A,FALSE,"Tickmarks"}</definedName>
    <definedName name="l_1_2_5_5" localSheetId="6" hidden="1">{#N/A,#N/A,FALSE,"Aging Summary";#N/A,#N/A,FALSE,"Ratio Analysis";#N/A,#N/A,FALSE,"Test 120 Day Accts";#N/A,#N/A,FALSE,"Tickmarks"}</definedName>
    <definedName name="l_1_2_5_5" hidden="1">{#N/A,#N/A,FALSE,"Aging Summary";#N/A,#N/A,FALSE,"Ratio Analysis";#N/A,#N/A,FALSE,"Test 120 Day Accts";#N/A,#N/A,FALSE,"Tickmarks"}</definedName>
    <definedName name="l_1_3" localSheetId="0" hidden="1">{#N/A,#N/A,FALSE,"Aging Summary";#N/A,#N/A,FALSE,"Ratio Analysis";#N/A,#N/A,FALSE,"Test 120 Day Accts";#N/A,#N/A,FALSE,"Tickmarks"}</definedName>
    <definedName name="l_1_3" localSheetId="6" hidden="1">{#N/A,#N/A,FALSE,"Aging Summary";#N/A,#N/A,FALSE,"Ratio Analysis";#N/A,#N/A,FALSE,"Test 120 Day Accts";#N/A,#N/A,FALSE,"Tickmarks"}</definedName>
    <definedName name="l_1_3" hidden="1">{#N/A,#N/A,FALSE,"Aging Summary";#N/A,#N/A,FALSE,"Ratio Analysis";#N/A,#N/A,FALSE,"Test 120 Day Accts";#N/A,#N/A,FALSE,"Tickmarks"}</definedName>
    <definedName name="l_1_3_1" localSheetId="0" hidden="1">{#N/A,#N/A,FALSE,"Aging Summary";#N/A,#N/A,FALSE,"Ratio Analysis";#N/A,#N/A,FALSE,"Test 120 Day Accts";#N/A,#N/A,FALSE,"Tickmarks"}</definedName>
    <definedName name="l_1_3_1" localSheetId="6" hidden="1">{#N/A,#N/A,FALSE,"Aging Summary";#N/A,#N/A,FALSE,"Ratio Analysis";#N/A,#N/A,FALSE,"Test 120 Day Accts";#N/A,#N/A,FALSE,"Tickmarks"}</definedName>
    <definedName name="l_1_3_1" hidden="1">{#N/A,#N/A,FALSE,"Aging Summary";#N/A,#N/A,FALSE,"Ratio Analysis";#N/A,#N/A,FALSE,"Test 120 Day Accts";#N/A,#N/A,FALSE,"Tickmarks"}</definedName>
    <definedName name="l_1_3_1_1" localSheetId="0" hidden="1">{#N/A,#N/A,FALSE,"Aging Summary";#N/A,#N/A,FALSE,"Ratio Analysis";#N/A,#N/A,FALSE,"Test 120 Day Accts";#N/A,#N/A,FALSE,"Tickmarks"}</definedName>
    <definedName name="l_1_3_1_1" localSheetId="6" hidden="1">{#N/A,#N/A,FALSE,"Aging Summary";#N/A,#N/A,FALSE,"Ratio Analysis";#N/A,#N/A,FALSE,"Test 120 Day Accts";#N/A,#N/A,FALSE,"Tickmarks"}</definedName>
    <definedName name="l_1_3_1_1" hidden="1">{#N/A,#N/A,FALSE,"Aging Summary";#N/A,#N/A,FALSE,"Ratio Analysis";#N/A,#N/A,FALSE,"Test 120 Day Accts";#N/A,#N/A,FALSE,"Tickmarks"}</definedName>
    <definedName name="l_1_3_1_2" localSheetId="0" hidden="1">{#N/A,#N/A,FALSE,"Aging Summary";#N/A,#N/A,FALSE,"Ratio Analysis";#N/A,#N/A,FALSE,"Test 120 Day Accts";#N/A,#N/A,FALSE,"Tickmarks"}</definedName>
    <definedName name="l_1_3_1_2" localSheetId="6" hidden="1">{#N/A,#N/A,FALSE,"Aging Summary";#N/A,#N/A,FALSE,"Ratio Analysis";#N/A,#N/A,FALSE,"Test 120 Day Accts";#N/A,#N/A,FALSE,"Tickmarks"}</definedName>
    <definedName name="l_1_3_1_2" hidden="1">{#N/A,#N/A,FALSE,"Aging Summary";#N/A,#N/A,FALSE,"Ratio Analysis";#N/A,#N/A,FALSE,"Test 120 Day Accts";#N/A,#N/A,FALSE,"Tickmarks"}</definedName>
    <definedName name="l_1_3_1_3" localSheetId="0" hidden="1">{#N/A,#N/A,FALSE,"Aging Summary";#N/A,#N/A,FALSE,"Ratio Analysis";#N/A,#N/A,FALSE,"Test 120 Day Accts";#N/A,#N/A,FALSE,"Tickmarks"}</definedName>
    <definedName name="l_1_3_1_3" localSheetId="6" hidden="1">{#N/A,#N/A,FALSE,"Aging Summary";#N/A,#N/A,FALSE,"Ratio Analysis";#N/A,#N/A,FALSE,"Test 120 Day Accts";#N/A,#N/A,FALSE,"Tickmarks"}</definedName>
    <definedName name="l_1_3_1_3" hidden="1">{#N/A,#N/A,FALSE,"Aging Summary";#N/A,#N/A,FALSE,"Ratio Analysis";#N/A,#N/A,FALSE,"Test 120 Day Accts";#N/A,#N/A,FALSE,"Tickmarks"}</definedName>
    <definedName name="l_1_3_1_4" localSheetId="0" hidden="1">{#N/A,#N/A,FALSE,"Aging Summary";#N/A,#N/A,FALSE,"Ratio Analysis";#N/A,#N/A,FALSE,"Test 120 Day Accts";#N/A,#N/A,FALSE,"Tickmarks"}</definedName>
    <definedName name="l_1_3_1_4" localSheetId="6" hidden="1">{#N/A,#N/A,FALSE,"Aging Summary";#N/A,#N/A,FALSE,"Ratio Analysis";#N/A,#N/A,FALSE,"Test 120 Day Accts";#N/A,#N/A,FALSE,"Tickmarks"}</definedName>
    <definedName name="l_1_3_1_4" hidden="1">{#N/A,#N/A,FALSE,"Aging Summary";#N/A,#N/A,FALSE,"Ratio Analysis";#N/A,#N/A,FALSE,"Test 120 Day Accts";#N/A,#N/A,FALSE,"Tickmarks"}</definedName>
    <definedName name="l_1_3_1_5" localSheetId="0" hidden="1">{#N/A,#N/A,FALSE,"Aging Summary";#N/A,#N/A,FALSE,"Ratio Analysis";#N/A,#N/A,FALSE,"Test 120 Day Accts";#N/A,#N/A,FALSE,"Tickmarks"}</definedName>
    <definedName name="l_1_3_1_5" localSheetId="6" hidden="1">{#N/A,#N/A,FALSE,"Aging Summary";#N/A,#N/A,FALSE,"Ratio Analysis";#N/A,#N/A,FALSE,"Test 120 Day Accts";#N/A,#N/A,FALSE,"Tickmarks"}</definedName>
    <definedName name="l_1_3_1_5" hidden="1">{#N/A,#N/A,FALSE,"Aging Summary";#N/A,#N/A,FALSE,"Ratio Analysis";#N/A,#N/A,FALSE,"Test 120 Day Accts";#N/A,#N/A,FALSE,"Tickmarks"}</definedName>
    <definedName name="l_1_3_2" localSheetId="0" hidden="1">{#N/A,#N/A,FALSE,"Aging Summary";#N/A,#N/A,FALSE,"Ratio Analysis";#N/A,#N/A,FALSE,"Test 120 Day Accts";#N/A,#N/A,FALSE,"Tickmarks"}</definedName>
    <definedName name="l_1_3_2" localSheetId="6" hidden="1">{#N/A,#N/A,FALSE,"Aging Summary";#N/A,#N/A,FALSE,"Ratio Analysis";#N/A,#N/A,FALSE,"Test 120 Day Accts";#N/A,#N/A,FALSE,"Tickmarks"}</definedName>
    <definedName name="l_1_3_2" hidden="1">{#N/A,#N/A,FALSE,"Aging Summary";#N/A,#N/A,FALSE,"Ratio Analysis";#N/A,#N/A,FALSE,"Test 120 Day Accts";#N/A,#N/A,FALSE,"Tickmarks"}</definedName>
    <definedName name="l_1_3_2_1" localSheetId="0" hidden="1">{#N/A,#N/A,FALSE,"Aging Summary";#N/A,#N/A,FALSE,"Ratio Analysis";#N/A,#N/A,FALSE,"Test 120 Day Accts";#N/A,#N/A,FALSE,"Tickmarks"}</definedName>
    <definedName name="l_1_3_2_1" localSheetId="6" hidden="1">{#N/A,#N/A,FALSE,"Aging Summary";#N/A,#N/A,FALSE,"Ratio Analysis";#N/A,#N/A,FALSE,"Test 120 Day Accts";#N/A,#N/A,FALSE,"Tickmarks"}</definedName>
    <definedName name="l_1_3_2_1" hidden="1">{#N/A,#N/A,FALSE,"Aging Summary";#N/A,#N/A,FALSE,"Ratio Analysis";#N/A,#N/A,FALSE,"Test 120 Day Accts";#N/A,#N/A,FALSE,"Tickmarks"}</definedName>
    <definedName name="l_1_3_2_2" localSheetId="0" hidden="1">{#N/A,#N/A,FALSE,"Aging Summary";#N/A,#N/A,FALSE,"Ratio Analysis";#N/A,#N/A,FALSE,"Test 120 Day Accts";#N/A,#N/A,FALSE,"Tickmarks"}</definedName>
    <definedName name="l_1_3_2_2" localSheetId="6" hidden="1">{#N/A,#N/A,FALSE,"Aging Summary";#N/A,#N/A,FALSE,"Ratio Analysis";#N/A,#N/A,FALSE,"Test 120 Day Accts";#N/A,#N/A,FALSE,"Tickmarks"}</definedName>
    <definedName name="l_1_3_2_2" hidden="1">{#N/A,#N/A,FALSE,"Aging Summary";#N/A,#N/A,FALSE,"Ratio Analysis";#N/A,#N/A,FALSE,"Test 120 Day Accts";#N/A,#N/A,FALSE,"Tickmarks"}</definedName>
    <definedName name="l_1_3_2_3" localSheetId="0" hidden="1">{#N/A,#N/A,FALSE,"Aging Summary";#N/A,#N/A,FALSE,"Ratio Analysis";#N/A,#N/A,FALSE,"Test 120 Day Accts";#N/A,#N/A,FALSE,"Tickmarks"}</definedName>
    <definedName name="l_1_3_2_3" localSheetId="6" hidden="1">{#N/A,#N/A,FALSE,"Aging Summary";#N/A,#N/A,FALSE,"Ratio Analysis";#N/A,#N/A,FALSE,"Test 120 Day Accts";#N/A,#N/A,FALSE,"Tickmarks"}</definedName>
    <definedName name="l_1_3_2_3" hidden="1">{#N/A,#N/A,FALSE,"Aging Summary";#N/A,#N/A,FALSE,"Ratio Analysis";#N/A,#N/A,FALSE,"Test 120 Day Accts";#N/A,#N/A,FALSE,"Tickmarks"}</definedName>
    <definedName name="l_1_3_2_4" localSheetId="0" hidden="1">{#N/A,#N/A,FALSE,"Aging Summary";#N/A,#N/A,FALSE,"Ratio Analysis";#N/A,#N/A,FALSE,"Test 120 Day Accts";#N/A,#N/A,FALSE,"Tickmarks"}</definedName>
    <definedName name="l_1_3_2_4" localSheetId="6" hidden="1">{#N/A,#N/A,FALSE,"Aging Summary";#N/A,#N/A,FALSE,"Ratio Analysis";#N/A,#N/A,FALSE,"Test 120 Day Accts";#N/A,#N/A,FALSE,"Tickmarks"}</definedName>
    <definedName name="l_1_3_2_4" hidden="1">{#N/A,#N/A,FALSE,"Aging Summary";#N/A,#N/A,FALSE,"Ratio Analysis";#N/A,#N/A,FALSE,"Test 120 Day Accts";#N/A,#N/A,FALSE,"Tickmarks"}</definedName>
    <definedName name="l_1_3_2_5" localSheetId="0" hidden="1">{#N/A,#N/A,FALSE,"Aging Summary";#N/A,#N/A,FALSE,"Ratio Analysis";#N/A,#N/A,FALSE,"Test 120 Day Accts";#N/A,#N/A,FALSE,"Tickmarks"}</definedName>
    <definedName name="l_1_3_2_5" localSheetId="6" hidden="1">{#N/A,#N/A,FALSE,"Aging Summary";#N/A,#N/A,FALSE,"Ratio Analysis";#N/A,#N/A,FALSE,"Test 120 Day Accts";#N/A,#N/A,FALSE,"Tickmarks"}</definedName>
    <definedName name="l_1_3_2_5" hidden="1">{#N/A,#N/A,FALSE,"Aging Summary";#N/A,#N/A,FALSE,"Ratio Analysis";#N/A,#N/A,FALSE,"Test 120 Day Accts";#N/A,#N/A,FALSE,"Tickmarks"}</definedName>
    <definedName name="l_1_3_3" localSheetId="0" hidden="1">{#N/A,#N/A,FALSE,"Aging Summary";#N/A,#N/A,FALSE,"Ratio Analysis";#N/A,#N/A,FALSE,"Test 120 Day Accts";#N/A,#N/A,FALSE,"Tickmarks"}</definedName>
    <definedName name="l_1_3_3" localSheetId="6" hidden="1">{#N/A,#N/A,FALSE,"Aging Summary";#N/A,#N/A,FALSE,"Ratio Analysis";#N/A,#N/A,FALSE,"Test 120 Day Accts";#N/A,#N/A,FALSE,"Tickmarks"}</definedName>
    <definedName name="l_1_3_3" hidden="1">{#N/A,#N/A,FALSE,"Aging Summary";#N/A,#N/A,FALSE,"Ratio Analysis";#N/A,#N/A,FALSE,"Test 120 Day Accts";#N/A,#N/A,FALSE,"Tickmarks"}</definedName>
    <definedName name="l_1_3_3_1" localSheetId="0" hidden="1">{#N/A,#N/A,FALSE,"Aging Summary";#N/A,#N/A,FALSE,"Ratio Analysis";#N/A,#N/A,FALSE,"Test 120 Day Accts";#N/A,#N/A,FALSE,"Tickmarks"}</definedName>
    <definedName name="l_1_3_3_1" localSheetId="6" hidden="1">{#N/A,#N/A,FALSE,"Aging Summary";#N/A,#N/A,FALSE,"Ratio Analysis";#N/A,#N/A,FALSE,"Test 120 Day Accts";#N/A,#N/A,FALSE,"Tickmarks"}</definedName>
    <definedName name="l_1_3_3_1" hidden="1">{#N/A,#N/A,FALSE,"Aging Summary";#N/A,#N/A,FALSE,"Ratio Analysis";#N/A,#N/A,FALSE,"Test 120 Day Accts";#N/A,#N/A,FALSE,"Tickmarks"}</definedName>
    <definedName name="l_1_3_3_2" localSheetId="0" hidden="1">{#N/A,#N/A,FALSE,"Aging Summary";#N/A,#N/A,FALSE,"Ratio Analysis";#N/A,#N/A,FALSE,"Test 120 Day Accts";#N/A,#N/A,FALSE,"Tickmarks"}</definedName>
    <definedName name="l_1_3_3_2" localSheetId="6" hidden="1">{#N/A,#N/A,FALSE,"Aging Summary";#N/A,#N/A,FALSE,"Ratio Analysis";#N/A,#N/A,FALSE,"Test 120 Day Accts";#N/A,#N/A,FALSE,"Tickmarks"}</definedName>
    <definedName name="l_1_3_3_2" hidden="1">{#N/A,#N/A,FALSE,"Aging Summary";#N/A,#N/A,FALSE,"Ratio Analysis";#N/A,#N/A,FALSE,"Test 120 Day Accts";#N/A,#N/A,FALSE,"Tickmarks"}</definedName>
    <definedName name="l_1_3_3_3" localSheetId="0" hidden="1">{#N/A,#N/A,FALSE,"Aging Summary";#N/A,#N/A,FALSE,"Ratio Analysis";#N/A,#N/A,FALSE,"Test 120 Day Accts";#N/A,#N/A,FALSE,"Tickmarks"}</definedName>
    <definedName name="l_1_3_3_3" localSheetId="6" hidden="1">{#N/A,#N/A,FALSE,"Aging Summary";#N/A,#N/A,FALSE,"Ratio Analysis";#N/A,#N/A,FALSE,"Test 120 Day Accts";#N/A,#N/A,FALSE,"Tickmarks"}</definedName>
    <definedName name="l_1_3_3_3" hidden="1">{#N/A,#N/A,FALSE,"Aging Summary";#N/A,#N/A,FALSE,"Ratio Analysis";#N/A,#N/A,FALSE,"Test 120 Day Accts";#N/A,#N/A,FALSE,"Tickmarks"}</definedName>
    <definedName name="l_1_3_3_4" localSheetId="0" hidden="1">{#N/A,#N/A,FALSE,"Aging Summary";#N/A,#N/A,FALSE,"Ratio Analysis";#N/A,#N/A,FALSE,"Test 120 Day Accts";#N/A,#N/A,FALSE,"Tickmarks"}</definedName>
    <definedName name="l_1_3_3_4" localSheetId="6" hidden="1">{#N/A,#N/A,FALSE,"Aging Summary";#N/A,#N/A,FALSE,"Ratio Analysis";#N/A,#N/A,FALSE,"Test 120 Day Accts";#N/A,#N/A,FALSE,"Tickmarks"}</definedName>
    <definedName name="l_1_3_3_4" hidden="1">{#N/A,#N/A,FALSE,"Aging Summary";#N/A,#N/A,FALSE,"Ratio Analysis";#N/A,#N/A,FALSE,"Test 120 Day Accts";#N/A,#N/A,FALSE,"Tickmarks"}</definedName>
    <definedName name="l_1_3_3_5" localSheetId="0" hidden="1">{#N/A,#N/A,FALSE,"Aging Summary";#N/A,#N/A,FALSE,"Ratio Analysis";#N/A,#N/A,FALSE,"Test 120 Day Accts";#N/A,#N/A,FALSE,"Tickmarks"}</definedName>
    <definedName name="l_1_3_3_5" localSheetId="6" hidden="1">{#N/A,#N/A,FALSE,"Aging Summary";#N/A,#N/A,FALSE,"Ratio Analysis";#N/A,#N/A,FALSE,"Test 120 Day Accts";#N/A,#N/A,FALSE,"Tickmarks"}</definedName>
    <definedName name="l_1_3_3_5" hidden="1">{#N/A,#N/A,FALSE,"Aging Summary";#N/A,#N/A,FALSE,"Ratio Analysis";#N/A,#N/A,FALSE,"Test 120 Day Accts";#N/A,#N/A,FALSE,"Tickmarks"}</definedName>
    <definedName name="l_1_3_4" localSheetId="0" hidden="1">{#N/A,#N/A,FALSE,"Aging Summary";#N/A,#N/A,FALSE,"Ratio Analysis";#N/A,#N/A,FALSE,"Test 120 Day Accts";#N/A,#N/A,FALSE,"Tickmarks"}</definedName>
    <definedName name="l_1_3_4" localSheetId="6" hidden="1">{#N/A,#N/A,FALSE,"Aging Summary";#N/A,#N/A,FALSE,"Ratio Analysis";#N/A,#N/A,FALSE,"Test 120 Day Accts";#N/A,#N/A,FALSE,"Tickmarks"}</definedName>
    <definedName name="l_1_3_4" hidden="1">{#N/A,#N/A,FALSE,"Aging Summary";#N/A,#N/A,FALSE,"Ratio Analysis";#N/A,#N/A,FALSE,"Test 120 Day Accts";#N/A,#N/A,FALSE,"Tickmarks"}</definedName>
    <definedName name="l_1_3_4_1" localSheetId="0" hidden="1">{#N/A,#N/A,FALSE,"Aging Summary";#N/A,#N/A,FALSE,"Ratio Analysis";#N/A,#N/A,FALSE,"Test 120 Day Accts";#N/A,#N/A,FALSE,"Tickmarks"}</definedName>
    <definedName name="l_1_3_4_1" localSheetId="6" hidden="1">{#N/A,#N/A,FALSE,"Aging Summary";#N/A,#N/A,FALSE,"Ratio Analysis";#N/A,#N/A,FALSE,"Test 120 Day Accts";#N/A,#N/A,FALSE,"Tickmarks"}</definedName>
    <definedName name="l_1_3_4_1" hidden="1">{#N/A,#N/A,FALSE,"Aging Summary";#N/A,#N/A,FALSE,"Ratio Analysis";#N/A,#N/A,FALSE,"Test 120 Day Accts";#N/A,#N/A,FALSE,"Tickmarks"}</definedName>
    <definedName name="l_1_3_4_2" localSheetId="0" hidden="1">{#N/A,#N/A,FALSE,"Aging Summary";#N/A,#N/A,FALSE,"Ratio Analysis";#N/A,#N/A,FALSE,"Test 120 Day Accts";#N/A,#N/A,FALSE,"Tickmarks"}</definedName>
    <definedName name="l_1_3_4_2" localSheetId="6" hidden="1">{#N/A,#N/A,FALSE,"Aging Summary";#N/A,#N/A,FALSE,"Ratio Analysis";#N/A,#N/A,FALSE,"Test 120 Day Accts";#N/A,#N/A,FALSE,"Tickmarks"}</definedName>
    <definedName name="l_1_3_4_2" hidden="1">{#N/A,#N/A,FALSE,"Aging Summary";#N/A,#N/A,FALSE,"Ratio Analysis";#N/A,#N/A,FALSE,"Test 120 Day Accts";#N/A,#N/A,FALSE,"Tickmarks"}</definedName>
    <definedName name="l_1_3_4_3" localSheetId="0" hidden="1">{#N/A,#N/A,FALSE,"Aging Summary";#N/A,#N/A,FALSE,"Ratio Analysis";#N/A,#N/A,FALSE,"Test 120 Day Accts";#N/A,#N/A,FALSE,"Tickmarks"}</definedName>
    <definedName name="l_1_3_4_3" localSheetId="6" hidden="1">{#N/A,#N/A,FALSE,"Aging Summary";#N/A,#N/A,FALSE,"Ratio Analysis";#N/A,#N/A,FALSE,"Test 120 Day Accts";#N/A,#N/A,FALSE,"Tickmarks"}</definedName>
    <definedName name="l_1_3_4_3" hidden="1">{#N/A,#N/A,FALSE,"Aging Summary";#N/A,#N/A,FALSE,"Ratio Analysis";#N/A,#N/A,FALSE,"Test 120 Day Accts";#N/A,#N/A,FALSE,"Tickmarks"}</definedName>
    <definedName name="l_1_3_4_4" localSheetId="0" hidden="1">{#N/A,#N/A,FALSE,"Aging Summary";#N/A,#N/A,FALSE,"Ratio Analysis";#N/A,#N/A,FALSE,"Test 120 Day Accts";#N/A,#N/A,FALSE,"Tickmarks"}</definedName>
    <definedName name="l_1_3_4_4" localSheetId="6" hidden="1">{#N/A,#N/A,FALSE,"Aging Summary";#N/A,#N/A,FALSE,"Ratio Analysis";#N/A,#N/A,FALSE,"Test 120 Day Accts";#N/A,#N/A,FALSE,"Tickmarks"}</definedName>
    <definedName name="l_1_3_4_4" hidden="1">{#N/A,#N/A,FALSE,"Aging Summary";#N/A,#N/A,FALSE,"Ratio Analysis";#N/A,#N/A,FALSE,"Test 120 Day Accts";#N/A,#N/A,FALSE,"Tickmarks"}</definedName>
    <definedName name="l_1_3_4_5" localSheetId="0" hidden="1">{#N/A,#N/A,FALSE,"Aging Summary";#N/A,#N/A,FALSE,"Ratio Analysis";#N/A,#N/A,FALSE,"Test 120 Day Accts";#N/A,#N/A,FALSE,"Tickmarks"}</definedName>
    <definedName name="l_1_3_4_5" localSheetId="6" hidden="1">{#N/A,#N/A,FALSE,"Aging Summary";#N/A,#N/A,FALSE,"Ratio Analysis";#N/A,#N/A,FALSE,"Test 120 Day Accts";#N/A,#N/A,FALSE,"Tickmarks"}</definedName>
    <definedName name="l_1_3_4_5" hidden="1">{#N/A,#N/A,FALSE,"Aging Summary";#N/A,#N/A,FALSE,"Ratio Analysis";#N/A,#N/A,FALSE,"Test 120 Day Accts";#N/A,#N/A,FALSE,"Tickmarks"}</definedName>
    <definedName name="l_1_3_5" localSheetId="0" hidden="1">{#N/A,#N/A,FALSE,"Aging Summary";#N/A,#N/A,FALSE,"Ratio Analysis";#N/A,#N/A,FALSE,"Test 120 Day Accts";#N/A,#N/A,FALSE,"Tickmarks"}</definedName>
    <definedName name="l_1_3_5" localSheetId="6" hidden="1">{#N/A,#N/A,FALSE,"Aging Summary";#N/A,#N/A,FALSE,"Ratio Analysis";#N/A,#N/A,FALSE,"Test 120 Day Accts";#N/A,#N/A,FALSE,"Tickmarks"}</definedName>
    <definedName name="l_1_3_5" hidden="1">{#N/A,#N/A,FALSE,"Aging Summary";#N/A,#N/A,FALSE,"Ratio Analysis";#N/A,#N/A,FALSE,"Test 120 Day Accts";#N/A,#N/A,FALSE,"Tickmarks"}</definedName>
    <definedName name="l_1_3_5_1" localSheetId="0" hidden="1">{#N/A,#N/A,FALSE,"Aging Summary";#N/A,#N/A,FALSE,"Ratio Analysis";#N/A,#N/A,FALSE,"Test 120 Day Accts";#N/A,#N/A,FALSE,"Tickmarks"}</definedName>
    <definedName name="l_1_3_5_1" localSheetId="6" hidden="1">{#N/A,#N/A,FALSE,"Aging Summary";#N/A,#N/A,FALSE,"Ratio Analysis";#N/A,#N/A,FALSE,"Test 120 Day Accts";#N/A,#N/A,FALSE,"Tickmarks"}</definedName>
    <definedName name="l_1_3_5_1" hidden="1">{#N/A,#N/A,FALSE,"Aging Summary";#N/A,#N/A,FALSE,"Ratio Analysis";#N/A,#N/A,FALSE,"Test 120 Day Accts";#N/A,#N/A,FALSE,"Tickmarks"}</definedName>
    <definedName name="l_1_3_5_2" localSheetId="0" hidden="1">{#N/A,#N/A,FALSE,"Aging Summary";#N/A,#N/A,FALSE,"Ratio Analysis";#N/A,#N/A,FALSE,"Test 120 Day Accts";#N/A,#N/A,FALSE,"Tickmarks"}</definedName>
    <definedName name="l_1_3_5_2" localSheetId="6" hidden="1">{#N/A,#N/A,FALSE,"Aging Summary";#N/A,#N/A,FALSE,"Ratio Analysis";#N/A,#N/A,FALSE,"Test 120 Day Accts";#N/A,#N/A,FALSE,"Tickmarks"}</definedName>
    <definedName name="l_1_3_5_2" hidden="1">{#N/A,#N/A,FALSE,"Aging Summary";#N/A,#N/A,FALSE,"Ratio Analysis";#N/A,#N/A,FALSE,"Test 120 Day Accts";#N/A,#N/A,FALSE,"Tickmarks"}</definedName>
    <definedName name="l_1_3_5_3" localSheetId="0" hidden="1">{#N/A,#N/A,FALSE,"Aging Summary";#N/A,#N/A,FALSE,"Ratio Analysis";#N/A,#N/A,FALSE,"Test 120 Day Accts";#N/A,#N/A,FALSE,"Tickmarks"}</definedName>
    <definedName name="l_1_3_5_3" localSheetId="6" hidden="1">{#N/A,#N/A,FALSE,"Aging Summary";#N/A,#N/A,FALSE,"Ratio Analysis";#N/A,#N/A,FALSE,"Test 120 Day Accts";#N/A,#N/A,FALSE,"Tickmarks"}</definedName>
    <definedName name="l_1_3_5_3" hidden="1">{#N/A,#N/A,FALSE,"Aging Summary";#N/A,#N/A,FALSE,"Ratio Analysis";#N/A,#N/A,FALSE,"Test 120 Day Accts";#N/A,#N/A,FALSE,"Tickmarks"}</definedName>
    <definedName name="l_1_3_5_4" localSheetId="0" hidden="1">{#N/A,#N/A,FALSE,"Aging Summary";#N/A,#N/A,FALSE,"Ratio Analysis";#N/A,#N/A,FALSE,"Test 120 Day Accts";#N/A,#N/A,FALSE,"Tickmarks"}</definedName>
    <definedName name="l_1_3_5_4" localSheetId="6" hidden="1">{#N/A,#N/A,FALSE,"Aging Summary";#N/A,#N/A,FALSE,"Ratio Analysis";#N/A,#N/A,FALSE,"Test 120 Day Accts";#N/A,#N/A,FALSE,"Tickmarks"}</definedName>
    <definedName name="l_1_3_5_4" hidden="1">{#N/A,#N/A,FALSE,"Aging Summary";#N/A,#N/A,FALSE,"Ratio Analysis";#N/A,#N/A,FALSE,"Test 120 Day Accts";#N/A,#N/A,FALSE,"Tickmarks"}</definedName>
    <definedName name="l_1_3_5_5" localSheetId="0" hidden="1">{#N/A,#N/A,FALSE,"Aging Summary";#N/A,#N/A,FALSE,"Ratio Analysis";#N/A,#N/A,FALSE,"Test 120 Day Accts";#N/A,#N/A,FALSE,"Tickmarks"}</definedName>
    <definedName name="l_1_3_5_5" localSheetId="6" hidden="1">{#N/A,#N/A,FALSE,"Aging Summary";#N/A,#N/A,FALSE,"Ratio Analysis";#N/A,#N/A,FALSE,"Test 120 Day Accts";#N/A,#N/A,FALSE,"Tickmarks"}</definedName>
    <definedName name="l_1_3_5_5" hidden="1">{#N/A,#N/A,FALSE,"Aging Summary";#N/A,#N/A,FALSE,"Ratio Analysis";#N/A,#N/A,FALSE,"Test 120 Day Accts";#N/A,#N/A,FALSE,"Tickmarks"}</definedName>
    <definedName name="l_1_4" localSheetId="0" hidden="1">{#N/A,#N/A,FALSE,"Aging Summary";#N/A,#N/A,FALSE,"Ratio Analysis";#N/A,#N/A,FALSE,"Test 120 Day Accts";#N/A,#N/A,FALSE,"Tickmarks"}</definedName>
    <definedName name="l_1_4" localSheetId="6" hidden="1">{#N/A,#N/A,FALSE,"Aging Summary";#N/A,#N/A,FALSE,"Ratio Analysis";#N/A,#N/A,FALSE,"Test 120 Day Accts";#N/A,#N/A,FALSE,"Tickmarks"}</definedName>
    <definedName name="l_1_4" hidden="1">{#N/A,#N/A,FALSE,"Aging Summary";#N/A,#N/A,FALSE,"Ratio Analysis";#N/A,#N/A,FALSE,"Test 120 Day Accts";#N/A,#N/A,FALSE,"Tickmarks"}</definedName>
    <definedName name="l_1_4_1" localSheetId="0" hidden="1">{#N/A,#N/A,FALSE,"Aging Summary";#N/A,#N/A,FALSE,"Ratio Analysis";#N/A,#N/A,FALSE,"Test 120 Day Accts";#N/A,#N/A,FALSE,"Tickmarks"}</definedName>
    <definedName name="l_1_4_1" localSheetId="6" hidden="1">{#N/A,#N/A,FALSE,"Aging Summary";#N/A,#N/A,FALSE,"Ratio Analysis";#N/A,#N/A,FALSE,"Test 120 Day Accts";#N/A,#N/A,FALSE,"Tickmarks"}</definedName>
    <definedName name="l_1_4_1" hidden="1">{#N/A,#N/A,FALSE,"Aging Summary";#N/A,#N/A,FALSE,"Ratio Analysis";#N/A,#N/A,FALSE,"Test 120 Day Accts";#N/A,#N/A,FALSE,"Tickmarks"}</definedName>
    <definedName name="l_1_4_1_1" localSheetId="0" hidden="1">{#N/A,#N/A,FALSE,"Aging Summary";#N/A,#N/A,FALSE,"Ratio Analysis";#N/A,#N/A,FALSE,"Test 120 Day Accts";#N/A,#N/A,FALSE,"Tickmarks"}</definedName>
    <definedName name="l_1_4_1_1" localSheetId="6" hidden="1">{#N/A,#N/A,FALSE,"Aging Summary";#N/A,#N/A,FALSE,"Ratio Analysis";#N/A,#N/A,FALSE,"Test 120 Day Accts";#N/A,#N/A,FALSE,"Tickmarks"}</definedName>
    <definedName name="l_1_4_1_1" hidden="1">{#N/A,#N/A,FALSE,"Aging Summary";#N/A,#N/A,FALSE,"Ratio Analysis";#N/A,#N/A,FALSE,"Test 120 Day Accts";#N/A,#N/A,FALSE,"Tickmarks"}</definedName>
    <definedName name="l_1_4_1_2" localSheetId="0" hidden="1">{#N/A,#N/A,FALSE,"Aging Summary";#N/A,#N/A,FALSE,"Ratio Analysis";#N/A,#N/A,FALSE,"Test 120 Day Accts";#N/A,#N/A,FALSE,"Tickmarks"}</definedName>
    <definedName name="l_1_4_1_2" localSheetId="6" hidden="1">{#N/A,#N/A,FALSE,"Aging Summary";#N/A,#N/A,FALSE,"Ratio Analysis";#N/A,#N/A,FALSE,"Test 120 Day Accts";#N/A,#N/A,FALSE,"Tickmarks"}</definedName>
    <definedName name="l_1_4_1_2" hidden="1">{#N/A,#N/A,FALSE,"Aging Summary";#N/A,#N/A,FALSE,"Ratio Analysis";#N/A,#N/A,FALSE,"Test 120 Day Accts";#N/A,#N/A,FALSE,"Tickmarks"}</definedName>
    <definedName name="l_1_4_1_3" localSheetId="0" hidden="1">{#N/A,#N/A,FALSE,"Aging Summary";#N/A,#N/A,FALSE,"Ratio Analysis";#N/A,#N/A,FALSE,"Test 120 Day Accts";#N/A,#N/A,FALSE,"Tickmarks"}</definedName>
    <definedName name="l_1_4_1_3" localSheetId="6" hidden="1">{#N/A,#N/A,FALSE,"Aging Summary";#N/A,#N/A,FALSE,"Ratio Analysis";#N/A,#N/A,FALSE,"Test 120 Day Accts";#N/A,#N/A,FALSE,"Tickmarks"}</definedName>
    <definedName name="l_1_4_1_3" hidden="1">{#N/A,#N/A,FALSE,"Aging Summary";#N/A,#N/A,FALSE,"Ratio Analysis";#N/A,#N/A,FALSE,"Test 120 Day Accts";#N/A,#N/A,FALSE,"Tickmarks"}</definedName>
    <definedName name="l_1_4_1_4" localSheetId="0" hidden="1">{#N/A,#N/A,FALSE,"Aging Summary";#N/A,#N/A,FALSE,"Ratio Analysis";#N/A,#N/A,FALSE,"Test 120 Day Accts";#N/A,#N/A,FALSE,"Tickmarks"}</definedName>
    <definedName name="l_1_4_1_4" localSheetId="6" hidden="1">{#N/A,#N/A,FALSE,"Aging Summary";#N/A,#N/A,FALSE,"Ratio Analysis";#N/A,#N/A,FALSE,"Test 120 Day Accts";#N/A,#N/A,FALSE,"Tickmarks"}</definedName>
    <definedName name="l_1_4_1_4" hidden="1">{#N/A,#N/A,FALSE,"Aging Summary";#N/A,#N/A,FALSE,"Ratio Analysis";#N/A,#N/A,FALSE,"Test 120 Day Accts";#N/A,#N/A,FALSE,"Tickmarks"}</definedName>
    <definedName name="l_1_4_1_5" localSheetId="0" hidden="1">{#N/A,#N/A,FALSE,"Aging Summary";#N/A,#N/A,FALSE,"Ratio Analysis";#N/A,#N/A,FALSE,"Test 120 Day Accts";#N/A,#N/A,FALSE,"Tickmarks"}</definedName>
    <definedName name="l_1_4_1_5" localSheetId="6" hidden="1">{#N/A,#N/A,FALSE,"Aging Summary";#N/A,#N/A,FALSE,"Ratio Analysis";#N/A,#N/A,FALSE,"Test 120 Day Accts";#N/A,#N/A,FALSE,"Tickmarks"}</definedName>
    <definedName name="l_1_4_1_5" hidden="1">{#N/A,#N/A,FALSE,"Aging Summary";#N/A,#N/A,FALSE,"Ratio Analysis";#N/A,#N/A,FALSE,"Test 120 Day Accts";#N/A,#N/A,FALSE,"Tickmarks"}</definedName>
    <definedName name="l_1_4_2" localSheetId="0" hidden="1">{#N/A,#N/A,FALSE,"Aging Summary";#N/A,#N/A,FALSE,"Ratio Analysis";#N/A,#N/A,FALSE,"Test 120 Day Accts";#N/A,#N/A,FALSE,"Tickmarks"}</definedName>
    <definedName name="l_1_4_2" localSheetId="6" hidden="1">{#N/A,#N/A,FALSE,"Aging Summary";#N/A,#N/A,FALSE,"Ratio Analysis";#N/A,#N/A,FALSE,"Test 120 Day Accts";#N/A,#N/A,FALSE,"Tickmarks"}</definedName>
    <definedName name="l_1_4_2" hidden="1">{#N/A,#N/A,FALSE,"Aging Summary";#N/A,#N/A,FALSE,"Ratio Analysis";#N/A,#N/A,FALSE,"Test 120 Day Accts";#N/A,#N/A,FALSE,"Tickmarks"}</definedName>
    <definedName name="l_1_4_2_1" localSheetId="0" hidden="1">{#N/A,#N/A,FALSE,"Aging Summary";#N/A,#N/A,FALSE,"Ratio Analysis";#N/A,#N/A,FALSE,"Test 120 Day Accts";#N/A,#N/A,FALSE,"Tickmarks"}</definedName>
    <definedName name="l_1_4_2_1" localSheetId="6" hidden="1">{#N/A,#N/A,FALSE,"Aging Summary";#N/A,#N/A,FALSE,"Ratio Analysis";#N/A,#N/A,FALSE,"Test 120 Day Accts";#N/A,#N/A,FALSE,"Tickmarks"}</definedName>
    <definedName name="l_1_4_2_1" hidden="1">{#N/A,#N/A,FALSE,"Aging Summary";#N/A,#N/A,FALSE,"Ratio Analysis";#N/A,#N/A,FALSE,"Test 120 Day Accts";#N/A,#N/A,FALSE,"Tickmarks"}</definedName>
    <definedName name="l_1_4_2_2" localSheetId="0" hidden="1">{#N/A,#N/A,FALSE,"Aging Summary";#N/A,#N/A,FALSE,"Ratio Analysis";#N/A,#N/A,FALSE,"Test 120 Day Accts";#N/A,#N/A,FALSE,"Tickmarks"}</definedName>
    <definedName name="l_1_4_2_2" localSheetId="6" hidden="1">{#N/A,#N/A,FALSE,"Aging Summary";#N/A,#N/A,FALSE,"Ratio Analysis";#N/A,#N/A,FALSE,"Test 120 Day Accts";#N/A,#N/A,FALSE,"Tickmarks"}</definedName>
    <definedName name="l_1_4_2_2" hidden="1">{#N/A,#N/A,FALSE,"Aging Summary";#N/A,#N/A,FALSE,"Ratio Analysis";#N/A,#N/A,FALSE,"Test 120 Day Accts";#N/A,#N/A,FALSE,"Tickmarks"}</definedName>
    <definedName name="l_1_4_2_3" localSheetId="0" hidden="1">{#N/A,#N/A,FALSE,"Aging Summary";#N/A,#N/A,FALSE,"Ratio Analysis";#N/A,#N/A,FALSE,"Test 120 Day Accts";#N/A,#N/A,FALSE,"Tickmarks"}</definedName>
    <definedName name="l_1_4_2_3" localSheetId="6" hidden="1">{#N/A,#N/A,FALSE,"Aging Summary";#N/A,#N/A,FALSE,"Ratio Analysis";#N/A,#N/A,FALSE,"Test 120 Day Accts";#N/A,#N/A,FALSE,"Tickmarks"}</definedName>
    <definedName name="l_1_4_2_3" hidden="1">{#N/A,#N/A,FALSE,"Aging Summary";#N/A,#N/A,FALSE,"Ratio Analysis";#N/A,#N/A,FALSE,"Test 120 Day Accts";#N/A,#N/A,FALSE,"Tickmarks"}</definedName>
    <definedName name="l_1_4_2_4" localSheetId="0" hidden="1">{#N/A,#N/A,FALSE,"Aging Summary";#N/A,#N/A,FALSE,"Ratio Analysis";#N/A,#N/A,FALSE,"Test 120 Day Accts";#N/A,#N/A,FALSE,"Tickmarks"}</definedName>
    <definedName name="l_1_4_2_4" localSheetId="6" hidden="1">{#N/A,#N/A,FALSE,"Aging Summary";#N/A,#N/A,FALSE,"Ratio Analysis";#N/A,#N/A,FALSE,"Test 120 Day Accts";#N/A,#N/A,FALSE,"Tickmarks"}</definedName>
    <definedName name="l_1_4_2_4" hidden="1">{#N/A,#N/A,FALSE,"Aging Summary";#N/A,#N/A,FALSE,"Ratio Analysis";#N/A,#N/A,FALSE,"Test 120 Day Accts";#N/A,#N/A,FALSE,"Tickmarks"}</definedName>
    <definedName name="l_1_4_2_5" localSheetId="0" hidden="1">{#N/A,#N/A,FALSE,"Aging Summary";#N/A,#N/A,FALSE,"Ratio Analysis";#N/A,#N/A,FALSE,"Test 120 Day Accts";#N/A,#N/A,FALSE,"Tickmarks"}</definedName>
    <definedName name="l_1_4_2_5" localSheetId="6" hidden="1">{#N/A,#N/A,FALSE,"Aging Summary";#N/A,#N/A,FALSE,"Ratio Analysis";#N/A,#N/A,FALSE,"Test 120 Day Accts";#N/A,#N/A,FALSE,"Tickmarks"}</definedName>
    <definedName name="l_1_4_2_5" hidden="1">{#N/A,#N/A,FALSE,"Aging Summary";#N/A,#N/A,FALSE,"Ratio Analysis";#N/A,#N/A,FALSE,"Test 120 Day Accts";#N/A,#N/A,FALSE,"Tickmarks"}</definedName>
    <definedName name="l_1_4_3" localSheetId="0" hidden="1">{#N/A,#N/A,FALSE,"Aging Summary";#N/A,#N/A,FALSE,"Ratio Analysis";#N/A,#N/A,FALSE,"Test 120 Day Accts";#N/A,#N/A,FALSE,"Tickmarks"}</definedName>
    <definedName name="l_1_4_3" localSheetId="6" hidden="1">{#N/A,#N/A,FALSE,"Aging Summary";#N/A,#N/A,FALSE,"Ratio Analysis";#N/A,#N/A,FALSE,"Test 120 Day Accts";#N/A,#N/A,FALSE,"Tickmarks"}</definedName>
    <definedName name="l_1_4_3" hidden="1">{#N/A,#N/A,FALSE,"Aging Summary";#N/A,#N/A,FALSE,"Ratio Analysis";#N/A,#N/A,FALSE,"Test 120 Day Accts";#N/A,#N/A,FALSE,"Tickmarks"}</definedName>
    <definedName name="l_1_4_3_1" localSheetId="0" hidden="1">{#N/A,#N/A,FALSE,"Aging Summary";#N/A,#N/A,FALSE,"Ratio Analysis";#N/A,#N/A,FALSE,"Test 120 Day Accts";#N/A,#N/A,FALSE,"Tickmarks"}</definedName>
    <definedName name="l_1_4_3_1" localSheetId="6" hidden="1">{#N/A,#N/A,FALSE,"Aging Summary";#N/A,#N/A,FALSE,"Ratio Analysis";#N/A,#N/A,FALSE,"Test 120 Day Accts";#N/A,#N/A,FALSE,"Tickmarks"}</definedName>
    <definedName name="l_1_4_3_1" hidden="1">{#N/A,#N/A,FALSE,"Aging Summary";#N/A,#N/A,FALSE,"Ratio Analysis";#N/A,#N/A,FALSE,"Test 120 Day Accts";#N/A,#N/A,FALSE,"Tickmarks"}</definedName>
    <definedName name="l_1_4_3_2" localSheetId="0" hidden="1">{#N/A,#N/A,FALSE,"Aging Summary";#N/A,#N/A,FALSE,"Ratio Analysis";#N/A,#N/A,FALSE,"Test 120 Day Accts";#N/A,#N/A,FALSE,"Tickmarks"}</definedName>
    <definedName name="l_1_4_3_2" localSheetId="6" hidden="1">{#N/A,#N/A,FALSE,"Aging Summary";#N/A,#N/A,FALSE,"Ratio Analysis";#N/A,#N/A,FALSE,"Test 120 Day Accts";#N/A,#N/A,FALSE,"Tickmarks"}</definedName>
    <definedName name="l_1_4_3_2" hidden="1">{#N/A,#N/A,FALSE,"Aging Summary";#N/A,#N/A,FALSE,"Ratio Analysis";#N/A,#N/A,FALSE,"Test 120 Day Accts";#N/A,#N/A,FALSE,"Tickmarks"}</definedName>
    <definedName name="l_1_4_3_3" localSheetId="0" hidden="1">{#N/A,#N/A,FALSE,"Aging Summary";#N/A,#N/A,FALSE,"Ratio Analysis";#N/A,#N/A,FALSE,"Test 120 Day Accts";#N/A,#N/A,FALSE,"Tickmarks"}</definedName>
    <definedName name="l_1_4_3_3" localSheetId="6" hidden="1">{#N/A,#N/A,FALSE,"Aging Summary";#N/A,#N/A,FALSE,"Ratio Analysis";#N/A,#N/A,FALSE,"Test 120 Day Accts";#N/A,#N/A,FALSE,"Tickmarks"}</definedName>
    <definedName name="l_1_4_3_3" hidden="1">{#N/A,#N/A,FALSE,"Aging Summary";#N/A,#N/A,FALSE,"Ratio Analysis";#N/A,#N/A,FALSE,"Test 120 Day Accts";#N/A,#N/A,FALSE,"Tickmarks"}</definedName>
    <definedName name="l_1_4_3_4" localSheetId="0" hidden="1">{#N/A,#N/A,FALSE,"Aging Summary";#N/A,#N/A,FALSE,"Ratio Analysis";#N/A,#N/A,FALSE,"Test 120 Day Accts";#N/A,#N/A,FALSE,"Tickmarks"}</definedName>
    <definedName name="l_1_4_3_4" localSheetId="6" hidden="1">{#N/A,#N/A,FALSE,"Aging Summary";#N/A,#N/A,FALSE,"Ratio Analysis";#N/A,#N/A,FALSE,"Test 120 Day Accts";#N/A,#N/A,FALSE,"Tickmarks"}</definedName>
    <definedName name="l_1_4_3_4" hidden="1">{#N/A,#N/A,FALSE,"Aging Summary";#N/A,#N/A,FALSE,"Ratio Analysis";#N/A,#N/A,FALSE,"Test 120 Day Accts";#N/A,#N/A,FALSE,"Tickmarks"}</definedName>
    <definedName name="l_1_4_3_5" localSheetId="0" hidden="1">{#N/A,#N/A,FALSE,"Aging Summary";#N/A,#N/A,FALSE,"Ratio Analysis";#N/A,#N/A,FALSE,"Test 120 Day Accts";#N/A,#N/A,FALSE,"Tickmarks"}</definedName>
    <definedName name="l_1_4_3_5" localSheetId="6" hidden="1">{#N/A,#N/A,FALSE,"Aging Summary";#N/A,#N/A,FALSE,"Ratio Analysis";#N/A,#N/A,FALSE,"Test 120 Day Accts";#N/A,#N/A,FALSE,"Tickmarks"}</definedName>
    <definedName name="l_1_4_3_5" hidden="1">{#N/A,#N/A,FALSE,"Aging Summary";#N/A,#N/A,FALSE,"Ratio Analysis";#N/A,#N/A,FALSE,"Test 120 Day Accts";#N/A,#N/A,FALSE,"Tickmarks"}</definedName>
    <definedName name="l_1_4_4" localSheetId="0" hidden="1">{#N/A,#N/A,FALSE,"Aging Summary";#N/A,#N/A,FALSE,"Ratio Analysis";#N/A,#N/A,FALSE,"Test 120 Day Accts";#N/A,#N/A,FALSE,"Tickmarks"}</definedName>
    <definedName name="l_1_4_4" localSheetId="6" hidden="1">{#N/A,#N/A,FALSE,"Aging Summary";#N/A,#N/A,FALSE,"Ratio Analysis";#N/A,#N/A,FALSE,"Test 120 Day Accts";#N/A,#N/A,FALSE,"Tickmarks"}</definedName>
    <definedName name="l_1_4_4" hidden="1">{#N/A,#N/A,FALSE,"Aging Summary";#N/A,#N/A,FALSE,"Ratio Analysis";#N/A,#N/A,FALSE,"Test 120 Day Accts";#N/A,#N/A,FALSE,"Tickmarks"}</definedName>
    <definedName name="l_1_4_4_1" localSheetId="0" hidden="1">{#N/A,#N/A,FALSE,"Aging Summary";#N/A,#N/A,FALSE,"Ratio Analysis";#N/A,#N/A,FALSE,"Test 120 Day Accts";#N/A,#N/A,FALSE,"Tickmarks"}</definedName>
    <definedName name="l_1_4_4_1" localSheetId="6" hidden="1">{#N/A,#N/A,FALSE,"Aging Summary";#N/A,#N/A,FALSE,"Ratio Analysis";#N/A,#N/A,FALSE,"Test 120 Day Accts";#N/A,#N/A,FALSE,"Tickmarks"}</definedName>
    <definedName name="l_1_4_4_1" hidden="1">{#N/A,#N/A,FALSE,"Aging Summary";#N/A,#N/A,FALSE,"Ratio Analysis";#N/A,#N/A,FALSE,"Test 120 Day Accts";#N/A,#N/A,FALSE,"Tickmarks"}</definedName>
    <definedName name="l_1_4_4_2" localSheetId="0" hidden="1">{#N/A,#N/A,FALSE,"Aging Summary";#N/A,#N/A,FALSE,"Ratio Analysis";#N/A,#N/A,FALSE,"Test 120 Day Accts";#N/A,#N/A,FALSE,"Tickmarks"}</definedName>
    <definedName name="l_1_4_4_2" localSheetId="6" hidden="1">{#N/A,#N/A,FALSE,"Aging Summary";#N/A,#N/A,FALSE,"Ratio Analysis";#N/A,#N/A,FALSE,"Test 120 Day Accts";#N/A,#N/A,FALSE,"Tickmarks"}</definedName>
    <definedName name="l_1_4_4_2" hidden="1">{#N/A,#N/A,FALSE,"Aging Summary";#N/A,#N/A,FALSE,"Ratio Analysis";#N/A,#N/A,FALSE,"Test 120 Day Accts";#N/A,#N/A,FALSE,"Tickmarks"}</definedName>
    <definedName name="l_1_4_4_3" localSheetId="0" hidden="1">{#N/A,#N/A,FALSE,"Aging Summary";#N/A,#N/A,FALSE,"Ratio Analysis";#N/A,#N/A,FALSE,"Test 120 Day Accts";#N/A,#N/A,FALSE,"Tickmarks"}</definedName>
    <definedName name="l_1_4_4_3" localSheetId="6" hidden="1">{#N/A,#N/A,FALSE,"Aging Summary";#N/A,#N/A,FALSE,"Ratio Analysis";#N/A,#N/A,FALSE,"Test 120 Day Accts";#N/A,#N/A,FALSE,"Tickmarks"}</definedName>
    <definedName name="l_1_4_4_3" hidden="1">{#N/A,#N/A,FALSE,"Aging Summary";#N/A,#N/A,FALSE,"Ratio Analysis";#N/A,#N/A,FALSE,"Test 120 Day Accts";#N/A,#N/A,FALSE,"Tickmarks"}</definedName>
    <definedName name="l_1_4_4_4" localSheetId="0" hidden="1">{#N/A,#N/A,FALSE,"Aging Summary";#N/A,#N/A,FALSE,"Ratio Analysis";#N/A,#N/A,FALSE,"Test 120 Day Accts";#N/A,#N/A,FALSE,"Tickmarks"}</definedName>
    <definedName name="l_1_4_4_4" localSheetId="6" hidden="1">{#N/A,#N/A,FALSE,"Aging Summary";#N/A,#N/A,FALSE,"Ratio Analysis";#N/A,#N/A,FALSE,"Test 120 Day Accts";#N/A,#N/A,FALSE,"Tickmarks"}</definedName>
    <definedName name="l_1_4_4_4" hidden="1">{#N/A,#N/A,FALSE,"Aging Summary";#N/A,#N/A,FALSE,"Ratio Analysis";#N/A,#N/A,FALSE,"Test 120 Day Accts";#N/A,#N/A,FALSE,"Tickmarks"}</definedName>
    <definedName name="l_1_4_4_5" localSheetId="0" hidden="1">{#N/A,#N/A,FALSE,"Aging Summary";#N/A,#N/A,FALSE,"Ratio Analysis";#N/A,#N/A,FALSE,"Test 120 Day Accts";#N/A,#N/A,FALSE,"Tickmarks"}</definedName>
    <definedName name="l_1_4_4_5" localSheetId="6" hidden="1">{#N/A,#N/A,FALSE,"Aging Summary";#N/A,#N/A,FALSE,"Ratio Analysis";#N/A,#N/A,FALSE,"Test 120 Day Accts";#N/A,#N/A,FALSE,"Tickmarks"}</definedName>
    <definedName name="l_1_4_4_5" hidden="1">{#N/A,#N/A,FALSE,"Aging Summary";#N/A,#N/A,FALSE,"Ratio Analysis";#N/A,#N/A,FALSE,"Test 120 Day Accts";#N/A,#N/A,FALSE,"Tickmarks"}</definedName>
    <definedName name="l_1_4_5" localSheetId="0" hidden="1">{#N/A,#N/A,FALSE,"Aging Summary";#N/A,#N/A,FALSE,"Ratio Analysis";#N/A,#N/A,FALSE,"Test 120 Day Accts";#N/A,#N/A,FALSE,"Tickmarks"}</definedName>
    <definedName name="l_1_4_5" localSheetId="6" hidden="1">{#N/A,#N/A,FALSE,"Aging Summary";#N/A,#N/A,FALSE,"Ratio Analysis";#N/A,#N/A,FALSE,"Test 120 Day Accts";#N/A,#N/A,FALSE,"Tickmarks"}</definedName>
    <definedName name="l_1_4_5" hidden="1">{#N/A,#N/A,FALSE,"Aging Summary";#N/A,#N/A,FALSE,"Ratio Analysis";#N/A,#N/A,FALSE,"Test 120 Day Accts";#N/A,#N/A,FALSE,"Tickmarks"}</definedName>
    <definedName name="l_1_4_5_1" localSheetId="0" hidden="1">{#N/A,#N/A,FALSE,"Aging Summary";#N/A,#N/A,FALSE,"Ratio Analysis";#N/A,#N/A,FALSE,"Test 120 Day Accts";#N/A,#N/A,FALSE,"Tickmarks"}</definedName>
    <definedName name="l_1_4_5_1" localSheetId="6" hidden="1">{#N/A,#N/A,FALSE,"Aging Summary";#N/A,#N/A,FALSE,"Ratio Analysis";#N/A,#N/A,FALSE,"Test 120 Day Accts";#N/A,#N/A,FALSE,"Tickmarks"}</definedName>
    <definedName name="l_1_4_5_1" hidden="1">{#N/A,#N/A,FALSE,"Aging Summary";#N/A,#N/A,FALSE,"Ratio Analysis";#N/A,#N/A,FALSE,"Test 120 Day Accts";#N/A,#N/A,FALSE,"Tickmarks"}</definedName>
    <definedName name="l_1_4_5_2" localSheetId="0" hidden="1">{#N/A,#N/A,FALSE,"Aging Summary";#N/A,#N/A,FALSE,"Ratio Analysis";#N/A,#N/A,FALSE,"Test 120 Day Accts";#N/A,#N/A,FALSE,"Tickmarks"}</definedName>
    <definedName name="l_1_4_5_2" localSheetId="6" hidden="1">{#N/A,#N/A,FALSE,"Aging Summary";#N/A,#N/A,FALSE,"Ratio Analysis";#N/A,#N/A,FALSE,"Test 120 Day Accts";#N/A,#N/A,FALSE,"Tickmarks"}</definedName>
    <definedName name="l_1_4_5_2" hidden="1">{#N/A,#N/A,FALSE,"Aging Summary";#N/A,#N/A,FALSE,"Ratio Analysis";#N/A,#N/A,FALSE,"Test 120 Day Accts";#N/A,#N/A,FALSE,"Tickmarks"}</definedName>
    <definedName name="l_1_4_5_3" localSheetId="0" hidden="1">{#N/A,#N/A,FALSE,"Aging Summary";#N/A,#N/A,FALSE,"Ratio Analysis";#N/A,#N/A,FALSE,"Test 120 Day Accts";#N/A,#N/A,FALSE,"Tickmarks"}</definedName>
    <definedName name="l_1_4_5_3" localSheetId="6" hidden="1">{#N/A,#N/A,FALSE,"Aging Summary";#N/A,#N/A,FALSE,"Ratio Analysis";#N/A,#N/A,FALSE,"Test 120 Day Accts";#N/A,#N/A,FALSE,"Tickmarks"}</definedName>
    <definedName name="l_1_4_5_3" hidden="1">{#N/A,#N/A,FALSE,"Aging Summary";#N/A,#N/A,FALSE,"Ratio Analysis";#N/A,#N/A,FALSE,"Test 120 Day Accts";#N/A,#N/A,FALSE,"Tickmarks"}</definedName>
    <definedName name="l_1_4_5_4" localSheetId="0" hidden="1">{#N/A,#N/A,FALSE,"Aging Summary";#N/A,#N/A,FALSE,"Ratio Analysis";#N/A,#N/A,FALSE,"Test 120 Day Accts";#N/A,#N/A,FALSE,"Tickmarks"}</definedName>
    <definedName name="l_1_4_5_4" localSheetId="6" hidden="1">{#N/A,#N/A,FALSE,"Aging Summary";#N/A,#N/A,FALSE,"Ratio Analysis";#N/A,#N/A,FALSE,"Test 120 Day Accts";#N/A,#N/A,FALSE,"Tickmarks"}</definedName>
    <definedName name="l_1_4_5_4" hidden="1">{#N/A,#N/A,FALSE,"Aging Summary";#N/A,#N/A,FALSE,"Ratio Analysis";#N/A,#N/A,FALSE,"Test 120 Day Accts";#N/A,#N/A,FALSE,"Tickmarks"}</definedName>
    <definedName name="l_1_4_5_5" localSheetId="0" hidden="1">{#N/A,#N/A,FALSE,"Aging Summary";#N/A,#N/A,FALSE,"Ratio Analysis";#N/A,#N/A,FALSE,"Test 120 Day Accts";#N/A,#N/A,FALSE,"Tickmarks"}</definedName>
    <definedName name="l_1_4_5_5" localSheetId="6" hidden="1">{#N/A,#N/A,FALSE,"Aging Summary";#N/A,#N/A,FALSE,"Ratio Analysis";#N/A,#N/A,FALSE,"Test 120 Day Accts";#N/A,#N/A,FALSE,"Tickmarks"}</definedName>
    <definedName name="l_1_4_5_5" hidden="1">{#N/A,#N/A,FALSE,"Aging Summary";#N/A,#N/A,FALSE,"Ratio Analysis";#N/A,#N/A,FALSE,"Test 120 Day Accts";#N/A,#N/A,FALSE,"Tickmarks"}</definedName>
    <definedName name="l_1_5" localSheetId="0" hidden="1">{#N/A,#N/A,FALSE,"Aging Summary";#N/A,#N/A,FALSE,"Ratio Analysis";#N/A,#N/A,FALSE,"Test 120 Day Accts";#N/A,#N/A,FALSE,"Tickmarks"}</definedName>
    <definedName name="l_1_5" localSheetId="6" hidden="1">{#N/A,#N/A,FALSE,"Aging Summary";#N/A,#N/A,FALSE,"Ratio Analysis";#N/A,#N/A,FALSE,"Test 120 Day Accts";#N/A,#N/A,FALSE,"Tickmarks"}</definedName>
    <definedName name="l_1_5" hidden="1">{#N/A,#N/A,FALSE,"Aging Summary";#N/A,#N/A,FALSE,"Ratio Analysis";#N/A,#N/A,FALSE,"Test 120 Day Accts";#N/A,#N/A,FALSE,"Tickmarks"}</definedName>
    <definedName name="l_1_5_1" localSheetId="0" hidden="1">{#N/A,#N/A,FALSE,"Aging Summary";#N/A,#N/A,FALSE,"Ratio Analysis";#N/A,#N/A,FALSE,"Test 120 Day Accts";#N/A,#N/A,FALSE,"Tickmarks"}</definedName>
    <definedName name="l_1_5_1" localSheetId="6" hidden="1">{#N/A,#N/A,FALSE,"Aging Summary";#N/A,#N/A,FALSE,"Ratio Analysis";#N/A,#N/A,FALSE,"Test 120 Day Accts";#N/A,#N/A,FALSE,"Tickmarks"}</definedName>
    <definedName name="l_1_5_1" hidden="1">{#N/A,#N/A,FALSE,"Aging Summary";#N/A,#N/A,FALSE,"Ratio Analysis";#N/A,#N/A,FALSE,"Test 120 Day Accts";#N/A,#N/A,FALSE,"Tickmarks"}</definedName>
    <definedName name="l_1_5_1_1" localSheetId="0" hidden="1">{#N/A,#N/A,FALSE,"Aging Summary";#N/A,#N/A,FALSE,"Ratio Analysis";#N/A,#N/A,FALSE,"Test 120 Day Accts";#N/A,#N/A,FALSE,"Tickmarks"}</definedName>
    <definedName name="l_1_5_1_1" localSheetId="6" hidden="1">{#N/A,#N/A,FALSE,"Aging Summary";#N/A,#N/A,FALSE,"Ratio Analysis";#N/A,#N/A,FALSE,"Test 120 Day Accts";#N/A,#N/A,FALSE,"Tickmarks"}</definedName>
    <definedName name="l_1_5_1_1" hidden="1">{#N/A,#N/A,FALSE,"Aging Summary";#N/A,#N/A,FALSE,"Ratio Analysis";#N/A,#N/A,FALSE,"Test 120 Day Accts";#N/A,#N/A,FALSE,"Tickmarks"}</definedName>
    <definedName name="l_1_5_1_2" localSheetId="0" hidden="1">{#N/A,#N/A,FALSE,"Aging Summary";#N/A,#N/A,FALSE,"Ratio Analysis";#N/A,#N/A,FALSE,"Test 120 Day Accts";#N/A,#N/A,FALSE,"Tickmarks"}</definedName>
    <definedName name="l_1_5_1_2" localSheetId="6" hidden="1">{#N/A,#N/A,FALSE,"Aging Summary";#N/A,#N/A,FALSE,"Ratio Analysis";#N/A,#N/A,FALSE,"Test 120 Day Accts";#N/A,#N/A,FALSE,"Tickmarks"}</definedName>
    <definedName name="l_1_5_1_2" hidden="1">{#N/A,#N/A,FALSE,"Aging Summary";#N/A,#N/A,FALSE,"Ratio Analysis";#N/A,#N/A,FALSE,"Test 120 Day Accts";#N/A,#N/A,FALSE,"Tickmarks"}</definedName>
    <definedName name="l_1_5_1_3" localSheetId="0" hidden="1">{#N/A,#N/A,FALSE,"Aging Summary";#N/A,#N/A,FALSE,"Ratio Analysis";#N/A,#N/A,FALSE,"Test 120 Day Accts";#N/A,#N/A,FALSE,"Tickmarks"}</definedName>
    <definedName name="l_1_5_1_3" localSheetId="6" hidden="1">{#N/A,#N/A,FALSE,"Aging Summary";#N/A,#N/A,FALSE,"Ratio Analysis";#N/A,#N/A,FALSE,"Test 120 Day Accts";#N/A,#N/A,FALSE,"Tickmarks"}</definedName>
    <definedName name="l_1_5_1_3" hidden="1">{#N/A,#N/A,FALSE,"Aging Summary";#N/A,#N/A,FALSE,"Ratio Analysis";#N/A,#N/A,FALSE,"Test 120 Day Accts";#N/A,#N/A,FALSE,"Tickmarks"}</definedName>
    <definedName name="l_1_5_1_4" localSheetId="0" hidden="1">{#N/A,#N/A,FALSE,"Aging Summary";#N/A,#N/A,FALSE,"Ratio Analysis";#N/A,#N/A,FALSE,"Test 120 Day Accts";#N/A,#N/A,FALSE,"Tickmarks"}</definedName>
    <definedName name="l_1_5_1_4" localSheetId="6" hidden="1">{#N/A,#N/A,FALSE,"Aging Summary";#N/A,#N/A,FALSE,"Ratio Analysis";#N/A,#N/A,FALSE,"Test 120 Day Accts";#N/A,#N/A,FALSE,"Tickmarks"}</definedName>
    <definedName name="l_1_5_1_4" hidden="1">{#N/A,#N/A,FALSE,"Aging Summary";#N/A,#N/A,FALSE,"Ratio Analysis";#N/A,#N/A,FALSE,"Test 120 Day Accts";#N/A,#N/A,FALSE,"Tickmarks"}</definedName>
    <definedName name="l_1_5_1_5" localSheetId="0" hidden="1">{#N/A,#N/A,FALSE,"Aging Summary";#N/A,#N/A,FALSE,"Ratio Analysis";#N/A,#N/A,FALSE,"Test 120 Day Accts";#N/A,#N/A,FALSE,"Tickmarks"}</definedName>
    <definedName name="l_1_5_1_5" localSheetId="6" hidden="1">{#N/A,#N/A,FALSE,"Aging Summary";#N/A,#N/A,FALSE,"Ratio Analysis";#N/A,#N/A,FALSE,"Test 120 Day Accts";#N/A,#N/A,FALSE,"Tickmarks"}</definedName>
    <definedName name="l_1_5_1_5" hidden="1">{#N/A,#N/A,FALSE,"Aging Summary";#N/A,#N/A,FALSE,"Ratio Analysis";#N/A,#N/A,FALSE,"Test 120 Day Accts";#N/A,#N/A,FALSE,"Tickmarks"}</definedName>
    <definedName name="l_1_5_2" localSheetId="0" hidden="1">{#N/A,#N/A,FALSE,"Aging Summary";#N/A,#N/A,FALSE,"Ratio Analysis";#N/A,#N/A,FALSE,"Test 120 Day Accts";#N/A,#N/A,FALSE,"Tickmarks"}</definedName>
    <definedName name="l_1_5_2" localSheetId="6" hidden="1">{#N/A,#N/A,FALSE,"Aging Summary";#N/A,#N/A,FALSE,"Ratio Analysis";#N/A,#N/A,FALSE,"Test 120 Day Accts";#N/A,#N/A,FALSE,"Tickmarks"}</definedName>
    <definedName name="l_1_5_2" hidden="1">{#N/A,#N/A,FALSE,"Aging Summary";#N/A,#N/A,FALSE,"Ratio Analysis";#N/A,#N/A,FALSE,"Test 120 Day Accts";#N/A,#N/A,FALSE,"Tickmarks"}</definedName>
    <definedName name="l_1_5_2_1" localSheetId="0" hidden="1">{#N/A,#N/A,FALSE,"Aging Summary";#N/A,#N/A,FALSE,"Ratio Analysis";#N/A,#N/A,FALSE,"Test 120 Day Accts";#N/A,#N/A,FALSE,"Tickmarks"}</definedName>
    <definedName name="l_1_5_2_1" localSheetId="6" hidden="1">{#N/A,#N/A,FALSE,"Aging Summary";#N/A,#N/A,FALSE,"Ratio Analysis";#N/A,#N/A,FALSE,"Test 120 Day Accts";#N/A,#N/A,FALSE,"Tickmarks"}</definedName>
    <definedName name="l_1_5_2_1" hidden="1">{#N/A,#N/A,FALSE,"Aging Summary";#N/A,#N/A,FALSE,"Ratio Analysis";#N/A,#N/A,FALSE,"Test 120 Day Accts";#N/A,#N/A,FALSE,"Tickmarks"}</definedName>
    <definedName name="l_1_5_2_2" localSheetId="0" hidden="1">{#N/A,#N/A,FALSE,"Aging Summary";#N/A,#N/A,FALSE,"Ratio Analysis";#N/A,#N/A,FALSE,"Test 120 Day Accts";#N/A,#N/A,FALSE,"Tickmarks"}</definedName>
    <definedName name="l_1_5_2_2" localSheetId="6" hidden="1">{#N/A,#N/A,FALSE,"Aging Summary";#N/A,#N/A,FALSE,"Ratio Analysis";#N/A,#N/A,FALSE,"Test 120 Day Accts";#N/A,#N/A,FALSE,"Tickmarks"}</definedName>
    <definedName name="l_1_5_2_2" hidden="1">{#N/A,#N/A,FALSE,"Aging Summary";#N/A,#N/A,FALSE,"Ratio Analysis";#N/A,#N/A,FALSE,"Test 120 Day Accts";#N/A,#N/A,FALSE,"Tickmarks"}</definedName>
    <definedName name="l_1_5_2_3" localSheetId="0" hidden="1">{#N/A,#N/A,FALSE,"Aging Summary";#N/A,#N/A,FALSE,"Ratio Analysis";#N/A,#N/A,FALSE,"Test 120 Day Accts";#N/A,#N/A,FALSE,"Tickmarks"}</definedName>
    <definedName name="l_1_5_2_3" localSheetId="6" hidden="1">{#N/A,#N/A,FALSE,"Aging Summary";#N/A,#N/A,FALSE,"Ratio Analysis";#N/A,#N/A,FALSE,"Test 120 Day Accts";#N/A,#N/A,FALSE,"Tickmarks"}</definedName>
    <definedName name="l_1_5_2_3" hidden="1">{#N/A,#N/A,FALSE,"Aging Summary";#N/A,#N/A,FALSE,"Ratio Analysis";#N/A,#N/A,FALSE,"Test 120 Day Accts";#N/A,#N/A,FALSE,"Tickmarks"}</definedName>
    <definedName name="l_1_5_2_4" localSheetId="0" hidden="1">{#N/A,#N/A,FALSE,"Aging Summary";#N/A,#N/A,FALSE,"Ratio Analysis";#N/A,#N/A,FALSE,"Test 120 Day Accts";#N/A,#N/A,FALSE,"Tickmarks"}</definedName>
    <definedName name="l_1_5_2_4" localSheetId="6" hidden="1">{#N/A,#N/A,FALSE,"Aging Summary";#N/A,#N/A,FALSE,"Ratio Analysis";#N/A,#N/A,FALSE,"Test 120 Day Accts";#N/A,#N/A,FALSE,"Tickmarks"}</definedName>
    <definedName name="l_1_5_2_4" hidden="1">{#N/A,#N/A,FALSE,"Aging Summary";#N/A,#N/A,FALSE,"Ratio Analysis";#N/A,#N/A,FALSE,"Test 120 Day Accts";#N/A,#N/A,FALSE,"Tickmarks"}</definedName>
    <definedName name="l_1_5_2_5" localSheetId="0" hidden="1">{#N/A,#N/A,FALSE,"Aging Summary";#N/A,#N/A,FALSE,"Ratio Analysis";#N/A,#N/A,FALSE,"Test 120 Day Accts";#N/A,#N/A,FALSE,"Tickmarks"}</definedName>
    <definedName name="l_1_5_2_5" localSheetId="6" hidden="1">{#N/A,#N/A,FALSE,"Aging Summary";#N/A,#N/A,FALSE,"Ratio Analysis";#N/A,#N/A,FALSE,"Test 120 Day Accts";#N/A,#N/A,FALSE,"Tickmarks"}</definedName>
    <definedName name="l_1_5_2_5" hidden="1">{#N/A,#N/A,FALSE,"Aging Summary";#N/A,#N/A,FALSE,"Ratio Analysis";#N/A,#N/A,FALSE,"Test 120 Day Accts";#N/A,#N/A,FALSE,"Tickmarks"}</definedName>
    <definedName name="l_1_5_3" localSheetId="0" hidden="1">{#N/A,#N/A,FALSE,"Aging Summary";#N/A,#N/A,FALSE,"Ratio Analysis";#N/A,#N/A,FALSE,"Test 120 Day Accts";#N/A,#N/A,FALSE,"Tickmarks"}</definedName>
    <definedName name="l_1_5_3" localSheetId="6" hidden="1">{#N/A,#N/A,FALSE,"Aging Summary";#N/A,#N/A,FALSE,"Ratio Analysis";#N/A,#N/A,FALSE,"Test 120 Day Accts";#N/A,#N/A,FALSE,"Tickmarks"}</definedName>
    <definedName name="l_1_5_3" hidden="1">{#N/A,#N/A,FALSE,"Aging Summary";#N/A,#N/A,FALSE,"Ratio Analysis";#N/A,#N/A,FALSE,"Test 120 Day Accts";#N/A,#N/A,FALSE,"Tickmarks"}</definedName>
    <definedName name="l_1_5_3_1" localSheetId="0" hidden="1">{#N/A,#N/A,FALSE,"Aging Summary";#N/A,#N/A,FALSE,"Ratio Analysis";#N/A,#N/A,FALSE,"Test 120 Day Accts";#N/A,#N/A,FALSE,"Tickmarks"}</definedName>
    <definedName name="l_1_5_3_1" localSheetId="6" hidden="1">{#N/A,#N/A,FALSE,"Aging Summary";#N/A,#N/A,FALSE,"Ratio Analysis";#N/A,#N/A,FALSE,"Test 120 Day Accts";#N/A,#N/A,FALSE,"Tickmarks"}</definedName>
    <definedName name="l_1_5_3_1" hidden="1">{#N/A,#N/A,FALSE,"Aging Summary";#N/A,#N/A,FALSE,"Ratio Analysis";#N/A,#N/A,FALSE,"Test 120 Day Accts";#N/A,#N/A,FALSE,"Tickmarks"}</definedName>
    <definedName name="l_1_5_3_2" localSheetId="0" hidden="1">{#N/A,#N/A,FALSE,"Aging Summary";#N/A,#N/A,FALSE,"Ratio Analysis";#N/A,#N/A,FALSE,"Test 120 Day Accts";#N/A,#N/A,FALSE,"Tickmarks"}</definedName>
    <definedName name="l_1_5_3_2" localSheetId="6" hidden="1">{#N/A,#N/A,FALSE,"Aging Summary";#N/A,#N/A,FALSE,"Ratio Analysis";#N/A,#N/A,FALSE,"Test 120 Day Accts";#N/A,#N/A,FALSE,"Tickmarks"}</definedName>
    <definedName name="l_1_5_3_2" hidden="1">{#N/A,#N/A,FALSE,"Aging Summary";#N/A,#N/A,FALSE,"Ratio Analysis";#N/A,#N/A,FALSE,"Test 120 Day Accts";#N/A,#N/A,FALSE,"Tickmarks"}</definedName>
    <definedName name="l_1_5_3_3" localSheetId="0" hidden="1">{#N/A,#N/A,FALSE,"Aging Summary";#N/A,#N/A,FALSE,"Ratio Analysis";#N/A,#N/A,FALSE,"Test 120 Day Accts";#N/A,#N/A,FALSE,"Tickmarks"}</definedName>
    <definedName name="l_1_5_3_3" localSheetId="6" hidden="1">{#N/A,#N/A,FALSE,"Aging Summary";#N/A,#N/A,FALSE,"Ratio Analysis";#N/A,#N/A,FALSE,"Test 120 Day Accts";#N/A,#N/A,FALSE,"Tickmarks"}</definedName>
    <definedName name="l_1_5_3_3" hidden="1">{#N/A,#N/A,FALSE,"Aging Summary";#N/A,#N/A,FALSE,"Ratio Analysis";#N/A,#N/A,FALSE,"Test 120 Day Accts";#N/A,#N/A,FALSE,"Tickmarks"}</definedName>
    <definedName name="l_1_5_3_4" localSheetId="0" hidden="1">{#N/A,#N/A,FALSE,"Aging Summary";#N/A,#N/A,FALSE,"Ratio Analysis";#N/A,#N/A,FALSE,"Test 120 Day Accts";#N/A,#N/A,FALSE,"Tickmarks"}</definedName>
    <definedName name="l_1_5_3_4" localSheetId="6" hidden="1">{#N/A,#N/A,FALSE,"Aging Summary";#N/A,#N/A,FALSE,"Ratio Analysis";#N/A,#N/A,FALSE,"Test 120 Day Accts";#N/A,#N/A,FALSE,"Tickmarks"}</definedName>
    <definedName name="l_1_5_3_4" hidden="1">{#N/A,#N/A,FALSE,"Aging Summary";#N/A,#N/A,FALSE,"Ratio Analysis";#N/A,#N/A,FALSE,"Test 120 Day Accts";#N/A,#N/A,FALSE,"Tickmarks"}</definedName>
    <definedName name="l_1_5_3_5" localSheetId="0" hidden="1">{#N/A,#N/A,FALSE,"Aging Summary";#N/A,#N/A,FALSE,"Ratio Analysis";#N/A,#N/A,FALSE,"Test 120 Day Accts";#N/A,#N/A,FALSE,"Tickmarks"}</definedName>
    <definedName name="l_1_5_3_5" localSheetId="6" hidden="1">{#N/A,#N/A,FALSE,"Aging Summary";#N/A,#N/A,FALSE,"Ratio Analysis";#N/A,#N/A,FALSE,"Test 120 Day Accts";#N/A,#N/A,FALSE,"Tickmarks"}</definedName>
    <definedName name="l_1_5_3_5" hidden="1">{#N/A,#N/A,FALSE,"Aging Summary";#N/A,#N/A,FALSE,"Ratio Analysis";#N/A,#N/A,FALSE,"Test 120 Day Accts";#N/A,#N/A,FALSE,"Tickmarks"}</definedName>
    <definedName name="l_1_5_4" localSheetId="0" hidden="1">{#N/A,#N/A,FALSE,"Aging Summary";#N/A,#N/A,FALSE,"Ratio Analysis";#N/A,#N/A,FALSE,"Test 120 Day Accts";#N/A,#N/A,FALSE,"Tickmarks"}</definedName>
    <definedName name="l_1_5_4" localSheetId="6" hidden="1">{#N/A,#N/A,FALSE,"Aging Summary";#N/A,#N/A,FALSE,"Ratio Analysis";#N/A,#N/A,FALSE,"Test 120 Day Accts";#N/A,#N/A,FALSE,"Tickmarks"}</definedName>
    <definedName name="l_1_5_4" hidden="1">{#N/A,#N/A,FALSE,"Aging Summary";#N/A,#N/A,FALSE,"Ratio Analysis";#N/A,#N/A,FALSE,"Test 120 Day Accts";#N/A,#N/A,FALSE,"Tickmarks"}</definedName>
    <definedName name="l_1_5_4_1" localSheetId="0" hidden="1">{#N/A,#N/A,FALSE,"Aging Summary";#N/A,#N/A,FALSE,"Ratio Analysis";#N/A,#N/A,FALSE,"Test 120 Day Accts";#N/A,#N/A,FALSE,"Tickmarks"}</definedName>
    <definedName name="l_1_5_4_1" localSheetId="6" hidden="1">{#N/A,#N/A,FALSE,"Aging Summary";#N/A,#N/A,FALSE,"Ratio Analysis";#N/A,#N/A,FALSE,"Test 120 Day Accts";#N/A,#N/A,FALSE,"Tickmarks"}</definedName>
    <definedName name="l_1_5_4_1" hidden="1">{#N/A,#N/A,FALSE,"Aging Summary";#N/A,#N/A,FALSE,"Ratio Analysis";#N/A,#N/A,FALSE,"Test 120 Day Accts";#N/A,#N/A,FALSE,"Tickmarks"}</definedName>
    <definedName name="l_1_5_4_2" localSheetId="0" hidden="1">{#N/A,#N/A,FALSE,"Aging Summary";#N/A,#N/A,FALSE,"Ratio Analysis";#N/A,#N/A,FALSE,"Test 120 Day Accts";#N/A,#N/A,FALSE,"Tickmarks"}</definedName>
    <definedName name="l_1_5_4_2" localSheetId="6" hidden="1">{#N/A,#N/A,FALSE,"Aging Summary";#N/A,#N/A,FALSE,"Ratio Analysis";#N/A,#N/A,FALSE,"Test 120 Day Accts";#N/A,#N/A,FALSE,"Tickmarks"}</definedName>
    <definedName name="l_1_5_4_2" hidden="1">{#N/A,#N/A,FALSE,"Aging Summary";#N/A,#N/A,FALSE,"Ratio Analysis";#N/A,#N/A,FALSE,"Test 120 Day Accts";#N/A,#N/A,FALSE,"Tickmarks"}</definedName>
    <definedName name="l_1_5_4_3" localSheetId="0" hidden="1">{#N/A,#N/A,FALSE,"Aging Summary";#N/A,#N/A,FALSE,"Ratio Analysis";#N/A,#N/A,FALSE,"Test 120 Day Accts";#N/A,#N/A,FALSE,"Tickmarks"}</definedName>
    <definedName name="l_1_5_4_3" localSheetId="6" hidden="1">{#N/A,#N/A,FALSE,"Aging Summary";#N/A,#N/A,FALSE,"Ratio Analysis";#N/A,#N/A,FALSE,"Test 120 Day Accts";#N/A,#N/A,FALSE,"Tickmarks"}</definedName>
    <definedName name="l_1_5_4_3" hidden="1">{#N/A,#N/A,FALSE,"Aging Summary";#N/A,#N/A,FALSE,"Ratio Analysis";#N/A,#N/A,FALSE,"Test 120 Day Accts";#N/A,#N/A,FALSE,"Tickmarks"}</definedName>
    <definedName name="l_1_5_4_4" localSheetId="0" hidden="1">{#N/A,#N/A,FALSE,"Aging Summary";#N/A,#N/A,FALSE,"Ratio Analysis";#N/A,#N/A,FALSE,"Test 120 Day Accts";#N/A,#N/A,FALSE,"Tickmarks"}</definedName>
    <definedName name="l_1_5_4_4" localSheetId="6" hidden="1">{#N/A,#N/A,FALSE,"Aging Summary";#N/A,#N/A,FALSE,"Ratio Analysis";#N/A,#N/A,FALSE,"Test 120 Day Accts";#N/A,#N/A,FALSE,"Tickmarks"}</definedName>
    <definedName name="l_1_5_4_4" hidden="1">{#N/A,#N/A,FALSE,"Aging Summary";#N/A,#N/A,FALSE,"Ratio Analysis";#N/A,#N/A,FALSE,"Test 120 Day Accts";#N/A,#N/A,FALSE,"Tickmarks"}</definedName>
    <definedName name="l_1_5_4_5" localSheetId="0" hidden="1">{#N/A,#N/A,FALSE,"Aging Summary";#N/A,#N/A,FALSE,"Ratio Analysis";#N/A,#N/A,FALSE,"Test 120 Day Accts";#N/A,#N/A,FALSE,"Tickmarks"}</definedName>
    <definedName name="l_1_5_4_5" localSheetId="6" hidden="1">{#N/A,#N/A,FALSE,"Aging Summary";#N/A,#N/A,FALSE,"Ratio Analysis";#N/A,#N/A,FALSE,"Test 120 Day Accts";#N/A,#N/A,FALSE,"Tickmarks"}</definedName>
    <definedName name="l_1_5_4_5" hidden="1">{#N/A,#N/A,FALSE,"Aging Summary";#N/A,#N/A,FALSE,"Ratio Analysis";#N/A,#N/A,FALSE,"Test 120 Day Accts";#N/A,#N/A,FALSE,"Tickmarks"}</definedName>
    <definedName name="l_1_5_5" localSheetId="0" hidden="1">{#N/A,#N/A,FALSE,"Aging Summary";#N/A,#N/A,FALSE,"Ratio Analysis";#N/A,#N/A,FALSE,"Test 120 Day Accts";#N/A,#N/A,FALSE,"Tickmarks"}</definedName>
    <definedName name="l_1_5_5" localSheetId="6" hidden="1">{#N/A,#N/A,FALSE,"Aging Summary";#N/A,#N/A,FALSE,"Ratio Analysis";#N/A,#N/A,FALSE,"Test 120 Day Accts";#N/A,#N/A,FALSE,"Tickmarks"}</definedName>
    <definedName name="l_1_5_5" hidden="1">{#N/A,#N/A,FALSE,"Aging Summary";#N/A,#N/A,FALSE,"Ratio Analysis";#N/A,#N/A,FALSE,"Test 120 Day Accts";#N/A,#N/A,FALSE,"Tickmarks"}</definedName>
    <definedName name="l_1_5_5_1" localSheetId="0" hidden="1">{#N/A,#N/A,FALSE,"Aging Summary";#N/A,#N/A,FALSE,"Ratio Analysis";#N/A,#N/A,FALSE,"Test 120 Day Accts";#N/A,#N/A,FALSE,"Tickmarks"}</definedName>
    <definedName name="l_1_5_5_1" localSheetId="6" hidden="1">{#N/A,#N/A,FALSE,"Aging Summary";#N/A,#N/A,FALSE,"Ratio Analysis";#N/A,#N/A,FALSE,"Test 120 Day Accts";#N/A,#N/A,FALSE,"Tickmarks"}</definedName>
    <definedName name="l_1_5_5_1" hidden="1">{#N/A,#N/A,FALSE,"Aging Summary";#N/A,#N/A,FALSE,"Ratio Analysis";#N/A,#N/A,FALSE,"Test 120 Day Accts";#N/A,#N/A,FALSE,"Tickmarks"}</definedName>
    <definedName name="l_1_5_5_2" localSheetId="0" hidden="1">{#N/A,#N/A,FALSE,"Aging Summary";#N/A,#N/A,FALSE,"Ratio Analysis";#N/A,#N/A,FALSE,"Test 120 Day Accts";#N/A,#N/A,FALSE,"Tickmarks"}</definedName>
    <definedName name="l_1_5_5_2" localSheetId="6" hidden="1">{#N/A,#N/A,FALSE,"Aging Summary";#N/A,#N/A,FALSE,"Ratio Analysis";#N/A,#N/A,FALSE,"Test 120 Day Accts";#N/A,#N/A,FALSE,"Tickmarks"}</definedName>
    <definedName name="l_1_5_5_2" hidden="1">{#N/A,#N/A,FALSE,"Aging Summary";#N/A,#N/A,FALSE,"Ratio Analysis";#N/A,#N/A,FALSE,"Test 120 Day Accts";#N/A,#N/A,FALSE,"Tickmarks"}</definedName>
    <definedName name="l_1_5_5_3" localSheetId="0" hidden="1">{#N/A,#N/A,FALSE,"Aging Summary";#N/A,#N/A,FALSE,"Ratio Analysis";#N/A,#N/A,FALSE,"Test 120 Day Accts";#N/A,#N/A,FALSE,"Tickmarks"}</definedName>
    <definedName name="l_1_5_5_3" localSheetId="6" hidden="1">{#N/A,#N/A,FALSE,"Aging Summary";#N/A,#N/A,FALSE,"Ratio Analysis";#N/A,#N/A,FALSE,"Test 120 Day Accts";#N/A,#N/A,FALSE,"Tickmarks"}</definedName>
    <definedName name="l_1_5_5_3" hidden="1">{#N/A,#N/A,FALSE,"Aging Summary";#N/A,#N/A,FALSE,"Ratio Analysis";#N/A,#N/A,FALSE,"Test 120 Day Accts";#N/A,#N/A,FALSE,"Tickmarks"}</definedName>
    <definedName name="l_1_5_5_4" localSheetId="0" hidden="1">{#N/A,#N/A,FALSE,"Aging Summary";#N/A,#N/A,FALSE,"Ratio Analysis";#N/A,#N/A,FALSE,"Test 120 Day Accts";#N/A,#N/A,FALSE,"Tickmarks"}</definedName>
    <definedName name="l_1_5_5_4" localSheetId="6" hidden="1">{#N/A,#N/A,FALSE,"Aging Summary";#N/A,#N/A,FALSE,"Ratio Analysis";#N/A,#N/A,FALSE,"Test 120 Day Accts";#N/A,#N/A,FALSE,"Tickmarks"}</definedName>
    <definedName name="l_1_5_5_4" hidden="1">{#N/A,#N/A,FALSE,"Aging Summary";#N/A,#N/A,FALSE,"Ratio Analysis";#N/A,#N/A,FALSE,"Test 120 Day Accts";#N/A,#N/A,FALSE,"Tickmarks"}</definedName>
    <definedName name="l_1_5_5_5" localSheetId="0" hidden="1">{#N/A,#N/A,FALSE,"Aging Summary";#N/A,#N/A,FALSE,"Ratio Analysis";#N/A,#N/A,FALSE,"Test 120 Day Accts";#N/A,#N/A,FALSE,"Tickmarks"}</definedName>
    <definedName name="l_1_5_5_5" localSheetId="6" hidden="1">{#N/A,#N/A,FALSE,"Aging Summary";#N/A,#N/A,FALSE,"Ratio Analysis";#N/A,#N/A,FALSE,"Test 120 Day Accts";#N/A,#N/A,FALSE,"Tickmarks"}</definedName>
    <definedName name="l_1_5_5_5" hidden="1">{#N/A,#N/A,FALSE,"Aging Summary";#N/A,#N/A,FALSE,"Ratio Analysis";#N/A,#N/A,FALSE,"Test 120 Day Accts";#N/A,#N/A,FALSE,"Tickmarks"}</definedName>
    <definedName name="l_2" localSheetId="0" hidden="1">{#N/A,#N/A,FALSE,"Aging Summary";#N/A,#N/A,FALSE,"Ratio Analysis";#N/A,#N/A,FALSE,"Test 120 Day Accts";#N/A,#N/A,FALSE,"Tickmarks"}</definedName>
    <definedName name="l_2" localSheetId="6" hidden="1">{#N/A,#N/A,FALSE,"Aging Summary";#N/A,#N/A,FALSE,"Ratio Analysis";#N/A,#N/A,FALSE,"Test 120 Day Accts";#N/A,#N/A,FALSE,"Tickmarks"}</definedName>
    <definedName name="l_2" hidden="1">{#N/A,#N/A,FALSE,"Aging Summary";#N/A,#N/A,FALSE,"Ratio Analysis";#N/A,#N/A,FALSE,"Test 120 Day Accts";#N/A,#N/A,FALSE,"Tickmarks"}</definedName>
    <definedName name="l_2_1" localSheetId="0" hidden="1">{#N/A,#N/A,FALSE,"Aging Summary";#N/A,#N/A,FALSE,"Ratio Analysis";#N/A,#N/A,FALSE,"Test 120 Day Accts";#N/A,#N/A,FALSE,"Tickmarks"}</definedName>
    <definedName name="l_2_1" localSheetId="6" hidden="1">{#N/A,#N/A,FALSE,"Aging Summary";#N/A,#N/A,FALSE,"Ratio Analysis";#N/A,#N/A,FALSE,"Test 120 Day Accts";#N/A,#N/A,FALSE,"Tickmarks"}</definedName>
    <definedName name="l_2_1" hidden="1">{#N/A,#N/A,FALSE,"Aging Summary";#N/A,#N/A,FALSE,"Ratio Analysis";#N/A,#N/A,FALSE,"Test 120 Day Accts";#N/A,#N/A,FALSE,"Tickmarks"}</definedName>
    <definedName name="l_2_1_1" localSheetId="0" hidden="1">{#N/A,#N/A,FALSE,"Aging Summary";#N/A,#N/A,FALSE,"Ratio Analysis";#N/A,#N/A,FALSE,"Test 120 Day Accts";#N/A,#N/A,FALSE,"Tickmarks"}</definedName>
    <definedName name="l_2_1_1" localSheetId="6" hidden="1">{#N/A,#N/A,FALSE,"Aging Summary";#N/A,#N/A,FALSE,"Ratio Analysis";#N/A,#N/A,FALSE,"Test 120 Day Accts";#N/A,#N/A,FALSE,"Tickmarks"}</definedName>
    <definedName name="l_2_1_1" hidden="1">{#N/A,#N/A,FALSE,"Aging Summary";#N/A,#N/A,FALSE,"Ratio Analysis";#N/A,#N/A,FALSE,"Test 120 Day Accts";#N/A,#N/A,FALSE,"Tickmarks"}</definedName>
    <definedName name="l_2_1_1_1" localSheetId="0" hidden="1">{#N/A,#N/A,FALSE,"Aging Summary";#N/A,#N/A,FALSE,"Ratio Analysis";#N/A,#N/A,FALSE,"Test 120 Day Accts";#N/A,#N/A,FALSE,"Tickmarks"}</definedName>
    <definedName name="l_2_1_1_1" localSheetId="6" hidden="1">{#N/A,#N/A,FALSE,"Aging Summary";#N/A,#N/A,FALSE,"Ratio Analysis";#N/A,#N/A,FALSE,"Test 120 Day Accts";#N/A,#N/A,FALSE,"Tickmarks"}</definedName>
    <definedName name="l_2_1_1_1" hidden="1">{#N/A,#N/A,FALSE,"Aging Summary";#N/A,#N/A,FALSE,"Ratio Analysis";#N/A,#N/A,FALSE,"Test 120 Day Accts";#N/A,#N/A,FALSE,"Tickmarks"}</definedName>
    <definedName name="l_2_1_1_2" localSheetId="0" hidden="1">{#N/A,#N/A,FALSE,"Aging Summary";#N/A,#N/A,FALSE,"Ratio Analysis";#N/A,#N/A,FALSE,"Test 120 Day Accts";#N/A,#N/A,FALSE,"Tickmarks"}</definedName>
    <definedName name="l_2_1_1_2" localSheetId="6" hidden="1">{#N/A,#N/A,FALSE,"Aging Summary";#N/A,#N/A,FALSE,"Ratio Analysis";#N/A,#N/A,FALSE,"Test 120 Day Accts";#N/A,#N/A,FALSE,"Tickmarks"}</definedName>
    <definedName name="l_2_1_1_2" hidden="1">{#N/A,#N/A,FALSE,"Aging Summary";#N/A,#N/A,FALSE,"Ratio Analysis";#N/A,#N/A,FALSE,"Test 120 Day Accts";#N/A,#N/A,FALSE,"Tickmarks"}</definedName>
    <definedName name="l_2_1_1_3" localSheetId="0" hidden="1">{#N/A,#N/A,FALSE,"Aging Summary";#N/A,#N/A,FALSE,"Ratio Analysis";#N/A,#N/A,FALSE,"Test 120 Day Accts";#N/A,#N/A,FALSE,"Tickmarks"}</definedName>
    <definedName name="l_2_1_1_3" localSheetId="6" hidden="1">{#N/A,#N/A,FALSE,"Aging Summary";#N/A,#N/A,FALSE,"Ratio Analysis";#N/A,#N/A,FALSE,"Test 120 Day Accts";#N/A,#N/A,FALSE,"Tickmarks"}</definedName>
    <definedName name="l_2_1_1_3" hidden="1">{#N/A,#N/A,FALSE,"Aging Summary";#N/A,#N/A,FALSE,"Ratio Analysis";#N/A,#N/A,FALSE,"Test 120 Day Accts";#N/A,#N/A,FALSE,"Tickmarks"}</definedName>
    <definedName name="l_2_1_1_4" localSheetId="0" hidden="1">{#N/A,#N/A,FALSE,"Aging Summary";#N/A,#N/A,FALSE,"Ratio Analysis";#N/A,#N/A,FALSE,"Test 120 Day Accts";#N/A,#N/A,FALSE,"Tickmarks"}</definedName>
    <definedName name="l_2_1_1_4" localSheetId="6" hidden="1">{#N/A,#N/A,FALSE,"Aging Summary";#N/A,#N/A,FALSE,"Ratio Analysis";#N/A,#N/A,FALSE,"Test 120 Day Accts";#N/A,#N/A,FALSE,"Tickmarks"}</definedName>
    <definedName name="l_2_1_1_4" hidden="1">{#N/A,#N/A,FALSE,"Aging Summary";#N/A,#N/A,FALSE,"Ratio Analysis";#N/A,#N/A,FALSE,"Test 120 Day Accts";#N/A,#N/A,FALSE,"Tickmarks"}</definedName>
    <definedName name="l_2_1_1_5" localSheetId="0" hidden="1">{#N/A,#N/A,FALSE,"Aging Summary";#N/A,#N/A,FALSE,"Ratio Analysis";#N/A,#N/A,FALSE,"Test 120 Day Accts";#N/A,#N/A,FALSE,"Tickmarks"}</definedName>
    <definedName name="l_2_1_1_5" localSheetId="6" hidden="1">{#N/A,#N/A,FALSE,"Aging Summary";#N/A,#N/A,FALSE,"Ratio Analysis";#N/A,#N/A,FALSE,"Test 120 Day Accts";#N/A,#N/A,FALSE,"Tickmarks"}</definedName>
    <definedName name="l_2_1_1_5" hidden="1">{#N/A,#N/A,FALSE,"Aging Summary";#N/A,#N/A,FALSE,"Ratio Analysis";#N/A,#N/A,FALSE,"Test 120 Day Accts";#N/A,#N/A,FALSE,"Tickmarks"}</definedName>
    <definedName name="l_2_1_2" localSheetId="0" hidden="1">{#N/A,#N/A,FALSE,"Aging Summary";#N/A,#N/A,FALSE,"Ratio Analysis";#N/A,#N/A,FALSE,"Test 120 Day Accts";#N/A,#N/A,FALSE,"Tickmarks"}</definedName>
    <definedName name="l_2_1_2" localSheetId="6" hidden="1">{#N/A,#N/A,FALSE,"Aging Summary";#N/A,#N/A,FALSE,"Ratio Analysis";#N/A,#N/A,FALSE,"Test 120 Day Accts";#N/A,#N/A,FALSE,"Tickmarks"}</definedName>
    <definedName name="l_2_1_2" hidden="1">{#N/A,#N/A,FALSE,"Aging Summary";#N/A,#N/A,FALSE,"Ratio Analysis";#N/A,#N/A,FALSE,"Test 120 Day Accts";#N/A,#N/A,FALSE,"Tickmarks"}</definedName>
    <definedName name="l_2_1_2_1" localSheetId="0" hidden="1">{#N/A,#N/A,FALSE,"Aging Summary";#N/A,#N/A,FALSE,"Ratio Analysis";#N/A,#N/A,FALSE,"Test 120 Day Accts";#N/A,#N/A,FALSE,"Tickmarks"}</definedName>
    <definedName name="l_2_1_2_1" localSheetId="6" hidden="1">{#N/A,#N/A,FALSE,"Aging Summary";#N/A,#N/A,FALSE,"Ratio Analysis";#N/A,#N/A,FALSE,"Test 120 Day Accts";#N/A,#N/A,FALSE,"Tickmarks"}</definedName>
    <definedName name="l_2_1_2_1" hidden="1">{#N/A,#N/A,FALSE,"Aging Summary";#N/A,#N/A,FALSE,"Ratio Analysis";#N/A,#N/A,FALSE,"Test 120 Day Accts";#N/A,#N/A,FALSE,"Tickmarks"}</definedName>
    <definedName name="l_2_1_2_2" localSheetId="0" hidden="1">{#N/A,#N/A,FALSE,"Aging Summary";#N/A,#N/A,FALSE,"Ratio Analysis";#N/A,#N/A,FALSE,"Test 120 Day Accts";#N/A,#N/A,FALSE,"Tickmarks"}</definedName>
    <definedName name="l_2_1_2_2" localSheetId="6" hidden="1">{#N/A,#N/A,FALSE,"Aging Summary";#N/A,#N/A,FALSE,"Ratio Analysis";#N/A,#N/A,FALSE,"Test 120 Day Accts";#N/A,#N/A,FALSE,"Tickmarks"}</definedName>
    <definedName name="l_2_1_2_2" hidden="1">{#N/A,#N/A,FALSE,"Aging Summary";#N/A,#N/A,FALSE,"Ratio Analysis";#N/A,#N/A,FALSE,"Test 120 Day Accts";#N/A,#N/A,FALSE,"Tickmarks"}</definedName>
    <definedName name="l_2_1_2_3" localSheetId="0" hidden="1">{#N/A,#N/A,FALSE,"Aging Summary";#N/A,#N/A,FALSE,"Ratio Analysis";#N/A,#N/A,FALSE,"Test 120 Day Accts";#N/A,#N/A,FALSE,"Tickmarks"}</definedName>
    <definedName name="l_2_1_2_3" localSheetId="6" hidden="1">{#N/A,#N/A,FALSE,"Aging Summary";#N/A,#N/A,FALSE,"Ratio Analysis";#N/A,#N/A,FALSE,"Test 120 Day Accts";#N/A,#N/A,FALSE,"Tickmarks"}</definedName>
    <definedName name="l_2_1_2_3" hidden="1">{#N/A,#N/A,FALSE,"Aging Summary";#N/A,#N/A,FALSE,"Ratio Analysis";#N/A,#N/A,FALSE,"Test 120 Day Accts";#N/A,#N/A,FALSE,"Tickmarks"}</definedName>
    <definedName name="l_2_1_2_4" localSheetId="0" hidden="1">{#N/A,#N/A,FALSE,"Aging Summary";#N/A,#N/A,FALSE,"Ratio Analysis";#N/A,#N/A,FALSE,"Test 120 Day Accts";#N/A,#N/A,FALSE,"Tickmarks"}</definedName>
    <definedName name="l_2_1_2_4" localSheetId="6" hidden="1">{#N/A,#N/A,FALSE,"Aging Summary";#N/A,#N/A,FALSE,"Ratio Analysis";#N/A,#N/A,FALSE,"Test 120 Day Accts";#N/A,#N/A,FALSE,"Tickmarks"}</definedName>
    <definedName name="l_2_1_2_4" hidden="1">{#N/A,#N/A,FALSE,"Aging Summary";#N/A,#N/A,FALSE,"Ratio Analysis";#N/A,#N/A,FALSE,"Test 120 Day Accts";#N/A,#N/A,FALSE,"Tickmarks"}</definedName>
    <definedName name="l_2_1_2_5" localSheetId="0" hidden="1">{#N/A,#N/A,FALSE,"Aging Summary";#N/A,#N/A,FALSE,"Ratio Analysis";#N/A,#N/A,FALSE,"Test 120 Day Accts";#N/A,#N/A,FALSE,"Tickmarks"}</definedName>
    <definedName name="l_2_1_2_5" localSheetId="6" hidden="1">{#N/A,#N/A,FALSE,"Aging Summary";#N/A,#N/A,FALSE,"Ratio Analysis";#N/A,#N/A,FALSE,"Test 120 Day Accts";#N/A,#N/A,FALSE,"Tickmarks"}</definedName>
    <definedName name="l_2_1_2_5" hidden="1">{#N/A,#N/A,FALSE,"Aging Summary";#N/A,#N/A,FALSE,"Ratio Analysis";#N/A,#N/A,FALSE,"Test 120 Day Accts";#N/A,#N/A,FALSE,"Tickmarks"}</definedName>
    <definedName name="l_2_1_3" localSheetId="0" hidden="1">{#N/A,#N/A,FALSE,"Aging Summary";#N/A,#N/A,FALSE,"Ratio Analysis";#N/A,#N/A,FALSE,"Test 120 Day Accts";#N/A,#N/A,FALSE,"Tickmarks"}</definedName>
    <definedName name="l_2_1_3" localSheetId="6" hidden="1">{#N/A,#N/A,FALSE,"Aging Summary";#N/A,#N/A,FALSE,"Ratio Analysis";#N/A,#N/A,FALSE,"Test 120 Day Accts";#N/A,#N/A,FALSE,"Tickmarks"}</definedName>
    <definedName name="l_2_1_3" hidden="1">{#N/A,#N/A,FALSE,"Aging Summary";#N/A,#N/A,FALSE,"Ratio Analysis";#N/A,#N/A,FALSE,"Test 120 Day Accts";#N/A,#N/A,FALSE,"Tickmarks"}</definedName>
    <definedName name="l_2_1_3_1" localSheetId="0" hidden="1">{#N/A,#N/A,FALSE,"Aging Summary";#N/A,#N/A,FALSE,"Ratio Analysis";#N/A,#N/A,FALSE,"Test 120 Day Accts";#N/A,#N/A,FALSE,"Tickmarks"}</definedName>
    <definedName name="l_2_1_3_1" localSheetId="6" hidden="1">{#N/A,#N/A,FALSE,"Aging Summary";#N/A,#N/A,FALSE,"Ratio Analysis";#N/A,#N/A,FALSE,"Test 120 Day Accts";#N/A,#N/A,FALSE,"Tickmarks"}</definedName>
    <definedName name="l_2_1_3_1" hidden="1">{#N/A,#N/A,FALSE,"Aging Summary";#N/A,#N/A,FALSE,"Ratio Analysis";#N/A,#N/A,FALSE,"Test 120 Day Accts";#N/A,#N/A,FALSE,"Tickmarks"}</definedName>
    <definedName name="l_2_1_3_2" localSheetId="0" hidden="1">{#N/A,#N/A,FALSE,"Aging Summary";#N/A,#N/A,FALSE,"Ratio Analysis";#N/A,#N/A,FALSE,"Test 120 Day Accts";#N/A,#N/A,FALSE,"Tickmarks"}</definedName>
    <definedName name="l_2_1_3_2" localSheetId="6" hidden="1">{#N/A,#N/A,FALSE,"Aging Summary";#N/A,#N/A,FALSE,"Ratio Analysis";#N/A,#N/A,FALSE,"Test 120 Day Accts";#N/A,#N/A,FALSE,"Tickmarks"}</definedName>
    <definedName name="l_2_1_3_2" hidden="1">{#N/A,#N/A,FALSE,"Aging Summary";#N/A,#N/A,FALSE,"Ratio Analysis";#N/A,#N/A,FALSE,"Test 120 Day Accts";#N/A,#N/A,FALSE,"Tickmarks"}</definedName>
    <definedName name="l_2_1_3_3" localSheetId="0" hidden="1">{#N/A,#N/A,FALSE,"Aging Summary";#N/A,#N/A,FALSE,"Ratio Analysis";#N/A,#N/A,FALSE,"Test 120 Day Accts";#N/A,#N/A,FALSE,"Tickmarks"}</definedName>
    <definedName name="l_2_1_3_3" localSheetId="6" hidden="1">{#N/A,#N/A,FALSE,"Aging Summary";#N/A,#N/A,FALSE,"Ratio Analysis";#N/A,#N/A,FALSE,"Test 120 Day Accts";#N/A,#N/A,FALSE,"Tickmarks"}</definedName>
    <definedName name="l_2_1_3_3" hidden="1">{#N/A,#N/A,FALSE,"Aging Summary";#N/A,#N/A,FALSE,"Ratio Analysis";#N/A,#N/A,FALSE,"Test 120 Day Accts";#N/A,#N/A,FALSE,"Tickmarks"}</definedName>
    <definedName name="l_2_1_3_4" localSheetId="0" hidden="1">{#N/A,#N/A,FALSE,"Aging Summary";#N/A,#N/A,FALSE,"Ratio Analysis";#N/A,#N/A,FALSE,"Test 120 Day Accts";#N/A,#N/A,FALSE,"Tickmarks"}</definedName>
    <definedName name="l_2_1_3_4" localSheetId="6" hidden="1">{#N/A,#N/A,FALSE,"Aging Summary";#N/A,#N/A,FALSE,"Ratio Analysis";#N/A,#N/A,FALSE,"Test 120 Day Accts";#N/A,#N/A,FALSE,"Tickmarks"}</definedName>
    <definedName name="l_2_1_3_4" hidden="1">{#N/A,#N/A,FALSE,"Aging Summary";#N/A,#N/A,FALSE,"Ratio Analysis";#N/A,#N/A,FALSE,"Test 120 Day Accts";#N/A,#N/A,FALSE,"Tickmarks"}</definedName>
    <definedName name="l_2_1_3_5" localSheetId="0" hidden="1">{#N/A,#N/A,FALSE,"Aging Summary";#N/A,#N/A,FALSE,"Ratio Analysis";#N/A,#N/A,FALSE,"Test 120 Day Accts";#N/A,#N/A,FALSE,"Tickmarks"}</definedName>
    <definedName name="l_2_1_3_5" localSheetId="6" hidden="1">{#N/A,#N/A,FALSE,"Aging Summary";#N/A,#N/A,FALSE,"Ratio Analysis";#N/A,#N/A,FALSE,"Test 120 Day Accts";#N/A,#N/A,FALSE,"Tickmarks"}</definedName>
    <definedName name="l_2_1_3_5" hidden="1">{#N/A,#N/A,FALSE,"Aging Summary";#N/A,#N/A,FALSE,"Ratio Analysis";#N/A,#N/A,FALSE,"Test 120 Day Accts";#N/A,#N/A,FALSE,"Tickmarks"}</definedName>
    <definedName name="l_2_1_4" localSheetId="0" hidden="1">{#N/A,#N/A,FALSE,"Aging Summary";#N/A,#N/A,FALSE,"Ratio Analysis";#N/A,#N/A,FALSE,"Test 120 Day Accts";#N/A,#N/A,FALSE,"Tickmarks"}</definedName>
    <definedName name="l_2_1_4" localSheetId="6" hidden="1">{#N/A,#N/A,FALSE,"Aging Summary";#N/A,#N/A,FALSE,"Ratio Analysis";#N/A,#N/A,FALSE,"Test 120 Day Accts";#N/A,#N/A,FALSE,"Tickmarks"}</definedName>
    <definedName name="l_2_1_4" hidden="1">{#N/A,#N/A,FALSE,"Aging Summary";#N/A,#N/A,FALSE,"Ratio Analysis";#N/A,#N/A,FALSE,"Test 120 Day Accts";#N/A,#N/A,FALSE,"Tickmarks"}</definedName>
    <definedName name="l_2_1_4_1" localSheetId="0" hidden="1">{#N/A,#N/A,FALSE,"Aging Summary";#N/A,#N/A,FALSE,"Ratio Analysis";#N/A,#N/A,FALSE,"Test 120 Day Accts";#N/A,#N/A,FALSE,"Tickmarks"}</definedName>
    <definedName name="l_2_1_4_1" localSheetId="6" hidden="1">{#N/A,#N/A,FALSE,"Aging Summary";#N/A,#N/A,FALSE,"Ratio Analysis";#N/A,#N/A,FALSE,"Test 120 Day Accts";#N/A,#N/A,FALSE,"Tickmarks"}</definedName>
    <definedName name="l_2_1_4_1" hidden="1">{#N/A,#N/A,FALSE,"Aging Summary";#N/A,#N/A,FALSE,"Ratio Analysis";#N/A,#N/A,FALSE,"Test 120 Day Accts";#N/A,#N/A,FALSE,"Tickmarks"}</definedName>
    <definedName name="l_2_1_4_2" localSheetId="0" hidden="1">{#N/A,#N/A,FALSE,"Aging Summary";#N/A,#N/A,FALSE,"Ratio Analysis";#N/A,#N/A,FALSE,"Test 120 Day Accts";#N/A,#N/A,FALSE,"Tickmarks"}</definedName>
    <definedName name="l_2_1_4_2" localSheetId="6" hidden="1">{#N/A,#N/A,FALSE,"Aging Summary";#N/A,#N/A,FALSE,"Ratio Analysis";#N/A,#N/A,FALSE,"Test 120 Day Accts";#N/A,#N/A,FALSE,"Tickmarks"}</definedName>
    <definedName name="l_2_1_4_2" hidden="1">{#N/A,#N/A,FALSE,"Aging Summary";#N/A,#N/A,FALSE,"Ratio Analysis";#N/A,#N/A,FALSE,"Test 120 Day Accts";#N/A,#N/A,FALSE,"Tickmarks"}</definedName>
    <definedName name="l_2_1_4_3" localSheetId="0" hidden="1">{#N/A,#N/A,FALSE,"Aging Summary";#N/A,#N/A,FALSE,"Ratio Analysis";#N/A,#N/A,FALSE,"Test 120 Day Accts";#N/A,#N/A,FALSE,"Tickmarks"}</definedName>
    <definedName name="l_2_1_4_3" localSheetId="6" hidden="1">{#N/A,#N/A,FALSE,"Aging Summary";#N/A,#N/A,FALSE,"Ratio Analysis";#N/A,#N/A,FALSE,"Test 120 Day Accts";#N/A,#N/A,FALSE,"Tickmarks"}</definedName>
    <definedName name="l_2_1_4_3" hidden="1">{#N/A,#N/A,FALSE,"Aging Summary";#N/A,#N/A,FALSE,"Ratio Analysis";#N/A,#N/A,FALSE,"Test 120 Day Accts";#N/A,#N/A,FALSE,"Tickmarks"}</definedName>
    <definedName name="l_2_1_4_4" localSheetId="0" hidden="1">{#N/A,#N/A,FALSE,"Aging Summary";#N/A,#N/A,FALSE,"Ratio Analysis";#N/A,#N/A,FALSE,"Test 120 Day Accts";#N/A,#N/A,FALSE,"Tickmarks"}</definedName>
    <definedName name="l_2_1_4_4" localSheetId="6" hidden="1">{#N/A,#N/A,FALSE,"Aging Summary";#N/A,#N/A,FALSE,"Ratio Analysis";#N/A,#N/A,FALSE,"Test 120 Day Accts";#N/A,#N/A,FALSE,"Tickmarks"}</definedName>
    <definedName name="l_2_1_4_4" hidden="1">{#N/A,#N/A,FALSE,"Aging Summary";#N/A,#N/A,FALSE,"Ratio Analysis";#N/A,#N/A,FALSE,"Test 120 Day Accts";#N/A,#N/A,FALSE,"Tickmarks"}</definedName>
    <definedName name="l_2_1_4_5" localSheetId="0" hidden="1">{#N/A,#N/A,FALSE,"Aging Summary";#N/A,#N/A,FALSE,"Ratio Analysis";#N/A,#N/A,FALSE,"Test 120 Day Accts";#N/A,#N/A,FALSE,"Tickmarks"}</definedName>
    <definedName name="l_2_1_4_5" localSheetId="6" hidden="1">{#N/A,#N/A,FALSE,"Aging Summary";#N/A,#N/A,FALSE,"Ratio Analysis";#N/A,#N/A,FALSE,"Test 120 Day Accts";#N/A,#N/A,FALSE,"Tickmarks"}</definedName>
    <definedName name="l_2_1_4_5" hidden="1">{#N/A,#N/A,FALSE,"Aging Summary";#N/A,#N/A,FALSE,"Ratio Analysis";#N/A,#N/A,FALSE,"Test 120 Day Accts";#N/A,#N/A,FALSE,"Tickmarks"}</definedName>
    <definedName name="l_2_1_5" localSheetId="0" hidden="1">{#N/A,#N/A,FALSE,"Aging Summary";#N/A,#N/A,FALSE,"Ratio Analysis";#N/A,#N/A,FALSE,"Test 120 Day Accts";#N/A,#N/A,FALSE,"Tickmarks"}</definedName>
    <definedName name="l_2_1_5" localSheetId="6" hidden="1">{#N/A,#N/A,FALSE,"Aging Summary";#N/A,#N/A,FALSE,"Ratio Analysis";#N/A,#N/A,FALSE,"Test 120 Day Accts";#N/A,#N/A,FALSE,"Tickmarks"}</definedName>
    <definedName name="l_2_1_5" hidden="1">{#N/A,#N/A,FALSE,"Aging Summary";#N/A,#N/A,FALSE,"Ratio Analysis";#N/A,#N/A,FALSE,"Test 120 Day Accts";#N/A,#N/A,FALSE,"Tickmarks"}</definedName>
    <definedName name="l_2_1_5_1" localSheetId="0" hidden="1">{#N/A,#N/A,FALSE,"Aging Summary";#N/A,#N/A,FALSE,"Ratio Analysis";#N/A,#N/A,FALSE,"Test 120 Day Accts";#N/A,#N/A,FALSE,"Tickmarks"}</definedName>
    <definedName name="l_2_1_5_1" localSheetId="6" hidden="1">{#N/A,#N/A,FALSE,"Aging Summary";#N/A,#N/A,FALSE,"Ratio Analysis";#N/A,#N/A,FALSE,"Test 120 Day Accts";#N/A,#N/A,FALSE,"Tickmarks"}</definedName>
    <definedName name="l_2_1_5_1" hidden="1">{#N/A,#N/A,FALSE,"Aging Summary";#N/A,#N/A,FALSE,"Ratio Analysis";#N/A,#N/A,FALSE,"Test 120 Day Accts";#N/A,#N/A,FALSE,"Tickmarks"}</definedName>
    <definedName name="l_2_1_5_2" localSheetId="0" hidden="1">{#N/A,#N/A,FALSE,"Aging Summary";#N/A,#N/A,FALSE,"Ratio Analysis";#N/A,#N/A,FALSE,"Test 120 Day Accts";#N/A,#N/A,FALSE,"Tickmarks"}</definedName>
    <definedName name="l_2_1_5_2" localSheetId="6" hidden="1">{#N/A,#N/A,FALSE,"Aging Summary";#N/A,#N/A,FALSE,"Ratio Analysis";#N/A,#N/A,FALSE,"Test 120 Day Accts";#N/A,#N/A,FALSE,"Tickmarks"}</definedName>
    <definedName name="l_2_1_5_2" hidden="1">{#N/A,#N/A,FALSE,"Aging Summary";#N/A,#N/A,FALSE,"Ratio Analysis";#N/A,#N/A,FALSE,"Test 120 Day Accts";#N/A,#N/A,FALSE,"Tickmarks"}</definedName>
    <definedName name="l_2_1_5_3" localSheetId="0" hidden="1">{#N/A,#N/A,FALSE,"Aging Summary";#N/A,#N/A,FALSE,"Ratio Analysis";#N/A,#N/A,FALSE,"Test 120 Day Accts";#N/A,#N/A,FALSE,"Tickmarks"}</definedName>
    <definedName name="l_2_1_5_3" localSheetId="6" hidden="1">{#N/A,#N/A,FALSE,"Aging Summary";#N/A,#N/A,FALSE,"Ratio Analysis";#N/A,#N/A,FALSE,"Test 120 Day Accts";#N/A,#N/A,FALSE,"Tickmarks"}</definedName>
    <definedName name="l_2_1_5_3" hidden="1">{#N/A,#N/A,FALSE,"Aging Summary";#N/A,#N/A,FALSE,"Ratio Analysis";#N/A,#N/A,FALSE,"Test 120 Day Accts";#N/A,#N/A,FALSE,"Tickmarks"}</definedName>
    <definedName name="l_2_1_5_4" localSheetId="0" hidden="1">{#N/A,#N/A,FALSE,"Aging Summary";#N/A,#N/A,FALSE,"Ratio Analysis";#N/A,#N/A,FALSE,"Test 120 Day Accts";#N/A,#N/A,FALSE,"Tickmarks"}</definedName>
    <definedName name="l_2_1_5_4" localSheetId="6" hidden="1">{#N/A,#N/A,FALSE,"Aging Summary";#N/A,#N/A,FALSE,"Ratio Analysis";#N/A,#N/A,FALSE,"Test 120 Day Accts";#N/A,#N/A,FALSE,"Tickmarks"}</definedName>
    <definedName name="l_2_1_5_4" hidden="1">{#N/A,#N/A,FALSE,"Aging Summary";#N/A,#N/A,FALSE,"Ratio Analysis";#N/A,#N/A,FALSE,"Test 120 Day Accts";#N/A,#N/A,FALSE,"Tickmarks"}</definedName>
    <definedName name="l_2_1_5_5" localSheetId="0" hidden="1">{#N/A,#N/A,FALSE,"Aging Summary";#N/A,#N/A,FALSE,"Ratio Analysis";#N/A,#N/A,FALSE,"Test 120 Day Accts";#N/A,#N/A,FALSE,"Tickmarks"}</definedName>
    <definedName name="l_2_1_5_5" localSheetId="6" hidden="1">{#N/A,#N/A,FALSE,"Aging Summary";#N/A,#N/A,FALSE,"Ratio Analysis";#N/A,#N/A,FALSE,"Test 120 Day Accts";#N/A,#N/A,FALSE,"Tickmarks"}</definedName>
    <definedName name="l_2_1_5_5" hidden="1">{#N/A,#N/A,FALSE,"Aging Summary";#N/A,#N/A,FALSE,"Ratio Analysis";#N/A,#N/A,FALSE,"Test 120 Day Accts";#N/A,#N/A,FALSE,"Tickmarks"}</definedName>
    <definedName name="l_2_2" localSheetId="0" hidden="1">{#N/A,#N/A,FALSE,"Aging Summary";#N/A,#N/A,FALSE,"Ratio Analysis";#N/A,#N/A,FALSE,"Test 120 Day Accts";#N/A,#N/A,FALSE,"Tickmarks"}</definedName>
    <definedName name="l_2_2" localSheetId="6" hidden="1">{#N/A,#N/A,FALSE,"Aging Summary";#N/A,#N/A,FALSE,"Ratio Analysis";#N/A,#N/A,FALSE,"Test 120 Day Accts";#N/A,#N/A,FALSE,"Tickmarks"}</definedName>
    <definedName name="l_2_2" hidden="1">{#N/A,#N/A,FALSE,"Aging Summary";#N/A,#N/A,FALSE,"Ratio Analysis";#N/A,#N/A,FALSE,"Test 120 Day Accts";#N/A,#N/A,FALSE,"Tickmarks"}</definedName>
    <definedName name="l_2_2_1" localSheetId="0" hidden="1">{#N/A,#N/A,FALSE,"Aging Summary";#N/A,#N/A,FALSE,"Ratio Analysis";#N/A,#N/A,FALSE,"Test 120 Day Accts";#N/A,#N/A,FALSE,"Tickmarks"}</definedName>
    <definedName name="l_2_2_1" localSheetId="6" hidden="1">{#N/A,#N/A,FALSE,"Aging Summary";#N/A,#N/A,FALSE,"Ratio Analysis";#N/A,#N/A,FALSE,"Test 120 Day Accts";#N/A,#N/A,FALSE,"Tickmarks"}</definedName>
    <definedName name="l_2_2_1" hidden="1">{#N/A,#N/A,FALSE,"Aging Summary";#N/A,#N/A,FALSE,"Ratio Analysis";#N/A,#N/A,FALSE,"Test 120 Day Accts";#N/A,#N/A,FALSE,"Tickmarks"}</definedName>
    <definedName name="l_2_2_1_1" localSheetId="0" hidden="1">{#N/A,#N/A,FALSE,"Aging Summary";#N/A,#N/A,FALSE,"Ratio Analysis";#N/A,#N/A,FALSE,"Test 120 Day Accts";#N/A,#N/A,FALSE,"Tickmarks"}</definedName>
    <definedName name="l_2_2_1_1" localSheetId="6" hidden="1">{#N/A,#N/A,FALSE,"Aging Summary";#N/A,#N/A,FALSE,"Ratio Analysis";#N/A,#N/A,FALSE,"Test 120 Day Accts";#N/A,#N/A,FALSE,"Tickmarks"}</definedName>
    <definedName name="l_2_2_1_1" hidden="1">{#N/A,#N/A,FALSE,"Aging Summary";#N/A,#N/A,FALSE,"Ratio Analysis";#N/A,#N/A,FALSE,"Test 120 Day Accts";#N/A,#N/A,FALSE,"Tickmarks"}</definedName>
    <definedName name="l_2_2_1_2" localSheetId="0" hidden="1">{#N/A,#N/A,FALSE,"Aging Summary";#N/A,#N/A,FALSE,"Ratio Analysis";#N/A,#N/A,FALSE,"Test 120 Day Accts";#N/A,#N/A,FALSE,"Tickmarks"}</definedName>
    <definedName name="l_2_2_1_2" localSheetId="6" hidden="1">{#N/A,#N/A,FALSE,"Aging Summary";#N/A,#N/A,FALSE,"Ratio Analysis";#N/A,#N/A,FALSE,"Test 120 Day Accts";#N/A,#N/A,FALSE,"Tickmarks"}</definedName>
    <definedName name="l_2_2_1_2" hidden="1">{#N/A,#N/A,FALSE,"Aging Summary";#N/A,#N/A,FALSE,"Ratio Analysis";#N/A,#N/A,FALSE,"Test 120 Day Accts";#N/A,#N/A,FALSE,"Tickmarks"}</definedName>
    <definedName name="l_2_2_1_3" localSheetId="0" hidden="1">{#N/A,#N/A,FALSE,"Aging Summary";#N/A,#N/A,FALSE,"Ratio Analysis";#N/A,#N/A,FALSE,"Test 120 Day Accts";#N/A,#N/A,FALSE,"Tickmarks"}</definedName>
    <definedName name="l_2_2_1_3" localSheetId="6" hidden="1">{#N/A,#N/A,FALSE,"Aging Summary";#N/A,#N/A,FALSE,"Ratio Analysis";#N/A,#N/A,FALSE,"Test 120 Day Accts";#N/A,#N/A,FALSE,"Tickmarks"}</definedName>
    <definedName name="l_2_2_1_3" hidden="1">{#N/A,#N/A,FALSE,"Aging Summary";#N/A,#N/A,FALSE,"Ratio Analysis";#N/A,#N/A,FALSE,"Test 120 Day Accts";#N/A,#N/A,FALSE,"Tickmarks"}</definedName>
    <definedName name="l_2_2_1_4" localSheetId="0" hidden="1">{#N/A,#N/A,FALSE,"Aging Summary";#N/A,#N/A,FALSE,"Ratio Analysis";#N/A,#N/A,FALSE,"Test 120 Day Accts";#N/A,#N/A,FALSE,"Tickmarks"}</definedName>
    <definedName name="l_2_2_1_4" localSheetId="6" hidden="1">{#N/A,#N/A,FALSE,"Aging Summary";#N/A,#N/A,FALSE,"Ratio Analysis";#N/A,#N/A,FALSE,"Test 120 Day Accts";#N/A,#N/A,FALSE,"Tickmarks"}</definedName>
    <definedName name="l_2_2_1_4" hidden="1">{#N/A,#N/A,FALSE,"Aging Summary";#N/A,#N/A,FALSE,"Ratio Analysis";#N/A,#N/A,FALSE,"Test 120 Day Accts";#N/A,#N/A,FALSE,"Tickmarks"}</definedName>
    <definedName name="l_2_2_1_5" localSheetId="0" hidden="1">{#N/A,#N/A,FALSE,"Aging Summary";#N/A,#N/A,FALSE,"Ratio Analysis";#N/A,#N/A,FALSE,"Test 120 Day Accts";#N/A,#N/A,FALSE,"Tickmarks"}</definedName>
    <definedName name="l_2_2_1_5" localSheetId="6" hidden="1">{#N/A,#N/A,FALSE,"Aging Summary";#N/A,#N/A,FALSE,"Ratio Analysis";#N/A,#N/A,FALSE,"Test 120 Day Accts";#N/A,#N/A,FALSE,"Tickmarks"}</definedName>
    <definedName name="l_2_2_1_5" hidden="1">{#N/A,#N/A,FALSE,"Aging Summary";#N/A,#N/A,FALSE,"Ratio Analysis";#N/A,#N/A,FALSE,"Test 120 Day Accts";#N/A,#N/A,FALSE,"Tickmarks"}</definedName>
    <definedName name="l_2_2_2" localSheetId="0" hidden="1">{#N/A,#N/A,FALSE,"Aging Summary";#N/A,#N/A,FALSE,"Ratio Analysis";#N/A,#N/A,FALSE,"Test 120 Day Accts";#N/A,#N/A,FALSE,"Tickmarks"}</definedName>
    <definedName name="l_2_2_2" localSheetId="6" hidden="1">{#N/A,#N/A,FALSE,"Aging Summary";#N/A,#N/A,FALSE,"Ratio Analysis";#N/A,#N/A,FALSE,"Test 120 Day Accts";#N/A,#N/A,FALSE,"Tickmarks"}</definedName>
    <definedName name="l_2_2_2" hidden="1">{#N/A,#N/A,FALSE,"Aging Summary";#N/A,#N/A,FALSE,"Ratio Analysis";#N/A,#N/A,FALSE,"Test 120 Day Accts";#N/A,#N/A,FALSE,"Tickmarks"}</definedName>
    <definedName name="l_2_2_2_1" localSheetId="0" hidden="1">{#N/A,#N/A,FALSE,"Aging Summary";#N/A,#N/A,FALSE,"Ratio Analysis";#N/A,#N/A,FALSE,"Test 120 Day Accts";#N/A,#N/A,FALSE,"Tickmarks"}</definedName>
    <definedName name="l_2_2_2_1" localSheetId="6" hidden="1">{#N/A,#N/A,FALSE,"Aging Summary";#N/A,#N/A,FALSE,"Ratio Analysis";#N/A,#N/A,FALSE,"Test 120 Day Accts";#N/A,#N/A,FALSE,"Tickmarks"}</definedName>
    <definedName name="l_2_2_2_1" hidden="1">{#N/A,#N/A,FALSE,"Aging Summary";#N/A,#N/A,FALSE,"Ratio Analysis";#N/A,#N/A,FALSE,"Test 120 Day Accts";#N/A,#N/A,FALSE,"Tickmarks"}</definedName>
    <definedName name="l_2_2_2_2" localSheetId="0" hidden="1">{#N/A,#N/A,FALSE,"Aging Summary";#N/A,#N/A,FALSE,"Ratio Analysis";#N/A,#N/A,FALSE,"Test 120 Day Accts";#N/A,#N/A,FALSE,"Tickmarks"}</definedName>
    <definedName name="l_2_2_2_2" localSheetId="6" hidden="1">{#N/A,#N/A,FALSE,"Aging Summary";#N/A,#N/A,FALSE,"Ratio Analysis";#N/A,#N/A,FALSE,"Test 120 Day Accts";#N/A,#N/A,FALSE,"Tickmarks"}</definedName>
    <definedName name="l_2_2_2_2" hidden="1">{#N/A,#N/A,FALSE,"Aging Summary";#N/A,#N/A,FALSE,"Ratio Analysis";#N/A,#N/A,FALSE,"Test 120 Day Accts";#N/A,#N/A,FALSE,"Tickmarks"}</definedName>
    <definedName name="l_2_2_2_3" localSheetId="0" hidden="1">{#N/A,#N/A,FALSE,"Aging Summary";#N/A,#N/A,FALSE,"Ratio Analysis";#N/A,#N/A,FALSE,"Test 120 Day Accts";#N/A,#N/A,FALSE,"Tickmarks"}</definedName>
    <definedName name="l_2_2_2_3" localSheetId="6" hidden="1">{#N/A,#N/A,FALSE,"Aging Summary";#N/A,#N/A,FALSE,"Ratio Analysis";#N/A,#N/A,FALSE,"Test 120 Day Accts";#N/A,#N/A,FALSE,"Tickmarks"}</definedName>
    <definedName name="l_2_2_2_3" hidden="1">{#N/A,#N/A,FALSE,"Aging Summary";#N/A,#N/A,FALSE,"Ratio Analysis";#N/A,#N/A,FALSE,"Test 120 Day Accts";#N/A,#N/A,FALSE,"Tickmarks"}</definedName>
    <definedName name="l_2_2_2_4" localSheetId="0" hidden="1">{#N/A,#N/A,FALSE,"Aging Summary";#N/A,#N/A,FALSE,"Ratio Analysis";#N/A,#N/A,FALSE,"Test 120 Day Accts";#N/A,#N/A,FALSE,"Tickmarks"}</definedName>
    <definedName name="l_2_2_2_4" localSheetId="6" hidden="1">{#N/A,#N/A,FALSE,"Aging Summary";#N/A,#N/A,FALSE,"Ratio Analysis";#N/A,#N/A,FALSE,"Test 120 Day Accts";#N/A,#N/A,FALSE,"Tickmarks"}</definedName>
    <definedName name="l_2_2_2_4" hidden="1">{#N/A,#N/A,FALSE,"Aging Summary";#N/A,#N/A,FALSE,"Ratio Analysis";#N/A,#N/A,FALSE,"Test 120 Day Accts";#N/A,#N/A,FALSE,"Tickmarks"}</definedName>
    <definedName name="l_2_2_2_5" localSheetId="0" hidden="1">{#N/A,#N/A,FALSE,"Aging Summary";#N/A,#N/A,FALSE,"Ratio Analysis";#N/A,#N/A,FALSE,"Test 120 Day Accts";#N/A,#N/A,FALSE,"Tickmarks"}</definedName>
    <definedName name="l_2_2_2_5" localSheetId="6" hidden="1">{#N/A,#N/A,FALSE,"Aging Summary";#N/A,#N/A,FALSE,"Ratio Analysis";#N/A,#N/A,FALSE,"Test 120 Day Accts";#N/A,#N/A,FALSE,"Tickmarks"}</definedName>
    <definedName name="l_2_2_2_5" hidden="1">{#N/A,#N/A,FALSE,"Aging Summary";#N/A,#N/A,FALSE,"Ratio Analysis";#N/A,#N/A,FALSE,"Test 120 Day Accts";#N/A,#N/A,FALSE,"Tickmarks"}</definedName>
    <definedName name="l_2_2_3" localSheetId="0" hidden="1">{#N/A,#N/A,FALSE,"Aging Summary";#N/A,#N/A,FALSE,"Ratio Analysis";#N/A,#N/A,FALSE,"Test 120 Day Accts";#N/A,#N/A,FALSE,"Tickmarks"}</definedName>
    <definedName name="l_2_2_3" localSheetId="6" hidden="1">{#N/A,#N/A,FALSE,"Aging Summary";#N/A,#N/A,FALSE,"Ratio Analysis";#N/A,#N/A,FALSE,"Test 120 Day Accts";#N/A,#N/A,FALSE,"Tickmarks"}</definedName>
    <definedName name="l_2_2_3" hidden="1">{#N/A,#N/A,FALSE,"Aging Summary";#N/A,#N/A,FALSE,"Ratio Analysis";#N/A,#N/A,FALSE,"Test 120 Day Accts";#N/A,#N/A,FALSE,"Tickmarks"}</definedName>
    <definedName name="l_2_2_3_1" localSheetId="0" hidden="1">{#N/A,#N/A,FALSE,"Aging Summary";#N/A,#N/A,FALSE,"Ratio Analysis";#N/A,#N/A,FALSE,"Test 120 Day Accts";#N/A,#N/A,FALSE,"Tickmarks"}</definedName>
    <definedName name="l_2_2_3_1" localSheetId="6" hidden="1">{#N/A,#N/A,FALSE,"Aging Summary";#N/A,#N/A,FALSE,"Ratio Analysis";#N/A,#N/A,FALSE,"Test 120 Day Accts";#N/A,#N/A,FALSE,"Tickmarks"}</definedName>
    <definedName name="l_2_2_3_1" hidden="1">{#N/A,#N/A,FALSE,"Aging Summary";#N/A,#N/A,FALSE,"Ratio Analysis";#N/A,#N/A,FALSE,"Test 120 Day Accts";#N/A,#N/A,FALSE,"Tickmarks"}</definedName>
    <definedName name="l_2_2_3_2" localSheetId="0" hidden="1">{#N/A,#N/A,FALSE,"Aging Summary";#N/A,#N/A,FALSE,"Ratio Analysis";#N/A,#N/A,FALSE,"Test 120 Day Accts";#N/A,#N/A,FALSE,"Tickmarks"}</definedName>
    <definedName name="l_2_2_3_2" localSheetId="6" hidden="1">{#N/A,#N/A,FALSE,"Aging Summary";#N/A,#N/A,FALSE,"Ratio Analysis";#N/A,#N/A,FALSE,"Test 120 Day Accts";#N/A,#N/A,FALSE,"Tickmarks"}</definedName>
    <definedName name="l_2_2_3_2" hidden="1">{#N/A,#N/A,FALSE,"Aging Summary";#N/A,#N/A,FALSE,"Ratio Analysis";#N/A,#N/A,FALSE,"Test 120 Day Accts";#N/A,#N/A,FALSE,"Tickmarks"}</definedName>
    <definedName name="l_2_2_3_3" localSheetId="0" hidden="1">{#N/A,#N/A,FALSE,"Aging Summary";#N/A,#N/A,FALSE,"Ratio Analysis";#N/A,#N/A,FALSE,"Test 120 Day Accts";#N/A,#N/A,FALSE,"Tickmarks"}</definedName>
    <definedName name="l_2_2_3_3" localSheetId="6" hidden="1">{#N/A,#N/A,FALSE,"Aging Summary";#N/A,#N/A,FALSE,"Ratio Analysis";#N/A,#N/A,FALSE,"Test 120 Day Accts";#N/A,#N/A,FALSE,"Tickmarks"}</definedName>
    <definedName name="l_2_2_3_3" hidden="1">{#N/A,#N/A,FALSE,"Aging Summary";#N/A,#N/A,FALSE,"Ratio Analysis";#N/A,#N/A,FALSE,"Test 120 Day Accts";#N/A,#N/A,FALSE,"Tickmarks"}</definedName>
    <definedName name="l_2_2_3_4" localSheetId="0" hidden="1">{#N/A,#N/A,FALSE,"Aging Summary";#N/A,#N/A,FALSE,"Ratio Analysis";#N/A,#N/A,FALSE,"Test 120 Day Accts";#N/A,#N/A,FALSE,"Tickmarks"}</definedName>
    <definedName name="l_2_2_3_4" localSheetId="6" hidden="1">{#N/A,#N/A,FALSE,"Aging Summary";#N/A,#N/A,FALSE,"Ratio Analysis";#N/A,#N/A,FALSE,"Test 120 Day Accts";#N/A,#N/A,FALSE,"Tickmarks"}</definedName>
    <definedName name="l_2_2_3_4" hidden="1">{#N/A,#N/A,FALSE,"Aging Summary";#N/A,#N/A,FALSE,"Ratio Analysis";#N/A,#N/A,FALSE,"Test 120 Day Accts";#N/A,#N/A,FALSE,"Tickmarks"}</definedName>
    <definedName name="l_2_2_3_5" localSheetId="0" hidden="1">{#N/A,#N/A,FALSE,"Aging Summary";#N/A,#N/A,FALSE,"Ratio Analysis";#N/A,#N/A,FALSE,"Test 120 Day Accts";#N/A,#N/A,FALSE,"Tickmarks"}</definedName>
    <definedName name="l_2_2_3_5" localSheetId="6" hidden="1">{#N/A,#N/A,FALSE,"Aging Summary";#N/A,#N/A,FALSE,"Ratio Analysis";#N/A,#N/A,FALSE,"Test 120 Day Accts";#N/A,#N/A,FALSE,"Tickmarks"}</definedName>
    <definedName name="l_2_2_3_5" hidden="1">{#N/A,#N/A,FALSE,"Aging Summary";#N/A,#N/A,FALSE,"Ratio Analysis";#N/A,#N/A,FALSE,"Test 120 Day Accts";#N/A,#N/A,FALSE,"Tickmarks"}</definedName>
    <definedName name="l_2_2_4" localSheetId="0" hidden="1">{#N/A,#N/A,FALSE,"Aging Summary";#N/A,#N/A,FALSE,"Ratio Analysis";#N/A,#N/A,FALSE,"Test 120 Day Accts";#N/A,#N/A,FALSE,"Tickmarks"}</definedName>
    <definedName name="l_2_2_4" localSheetId="6" hidden="1">{#N/A,#N/A,FALSE,"Aging Summary";#N/A,#N/A,FALSE,"Ratio Analysis";#N/A,#N/A,FALSE,"Test 120 Day Accts";#N/A,#N/A,FALSE,"Tickmarks"}</definedName>
    <definedName name="l_2_2_4" hidden="1">{#N/A,#N/A,FALSE,"Aging Summary";#N/A,#N/A,FALSE,"Ratio Analysis";#N/A,#N/A,FALSE,"Test 120 Day Accts";#N/A,#N/A,FALSE,"Tickmarks"}</definedName>
    <definedName name="l_2_2_4_1" localSheetId="0" hidden="1">{#N/A,#N/A,FALSE,"Aging Summary";#N/A,#N/A,FALSE,"Ratio Analysis";#N/A,#N/A,FALSE,"Test 120 Day Accts";#N/A,#N/A,FALSE,"Tickmarks"}</definedName>
    <definedName name="l_2_2_4_1" localSheetId="6" hidden="1">{#N/A,#N/A,FALSE,"Aging Summary";#N/A,#N/A,FALSE,"Ratio Analysis";#N/A,#N/A,FALSE,"Test 120 Day Accts";#N/A,#N/A,FALSE,"Tickmarks"}</definedName>
    <definedName name="l_2_2_4_1" hidden="1">{#N/A,#N/A,FALSE,"Aging Summary";#N/A,#N/A,FALSE,"Ratio Analysis";#N/A,#N/A,FALSE,"Test 120 Day Accts";#N/A,#N/A,FALSE,"Tickmarks"}</definedName>
    <definedName name="l_2_2_4_2" localSheetId="0" hidden="1">{#N/A,#N/A,FALSE,"Aging Summary";#N/A,#N/A,FALSE,"Ratio Analysis";#N/A,#N/A,FALSE,"Test 120 Day Accts";#N/A,#N/A,FALSE,"Tickmarks"}</definedName>
    <definedName name="l_2_2_4_2" localSheetId="6" hidden="1">{#N/A,#N/A,FALSE,"Aging Summary";#N/A,#N/A,FALSE,"Ratio Analysis";#N/A,#N/A,FALSE,"Test 120 Day Accts";#N/A,#N/A,FALSE,"Tickmarks"}</definedName>
    <definedName name="l_2_2_4_2" hidden="1">{#N/A,#N/A,FALSE,"Aging Summary";#N/A,#N/A,FALSE,"Ratio Analysis";#N/A,#N/A,FALSE,"Test 120 Day Accts";#N/A,#N/A,FALSE,"Tickmarks"}</definedName>
    <definedName name="l_2_2_4_3" localSheetId="0" hidden="1">{#N/A,#N/A,FALSE,"Aging Summary";#N/A,#N/A,FALSE,"Ratio Analysis";#N/A,#N/A,FALSE,"Test 120 Day Accts";#N/A,#N/A,FALSE,"Tickmarks"}</definedName>
    <definedName name="l_2_2_4_3" localSheetId="6" hidden="1">{#N/A,#N/A,FALSE,"Aging Summary";#N/A,#N/A,FALSE,"Ratio Analysis";#N/A,#N/A,FALSE,"Test 120 Day Accts";#N/A,#N/A,FALSE,"Tickmarks"}</definedName>
    <definedName name="l_2_2_4_3" hidden="1">{#N/A,#N/A,FALSE,"Aging Summary";#N/A,#N/A,FALSE,"Ratio Analysis";#N/A,#N/A,FALSE,"Test 120 Day Accts";#N/A,#N/A,FALSE,"Tickmarks"}</definedName>
    <definedName name="l_2_2_4_4" localSheetId="0" hidden="1">{#N/A,#N/A,FALSE,"Aging Summary";#N/A,#N/A,FALSE,"Ratio Analysis";#N/A,#N/A,FALSE,"Test 120 Day Accts";#N/A,#N/A,FALSE,"Tickmarks"}</definedName>
    <definedName name="l_2_2_4_4" localSheetId="6" hidden="1">{#N/A,#N/A,FALSE,"Aging Summary";#N/A,#N/A,FALSE,"Ratio Analysis";#N/A,#N/A,FALSE,"Test 120 Day Accts";#N/A,#N/A,FALSE,"Tickmarks"}</definedName>
    <definedName name="l_2_2_4_4" hidden="1">{#N/A,#N/A,FALSE,"Aging Summary";#N/A,#N/A,FALSE,"Ratio Analysis";#N/A,#N/A,FALSE,"Test 120 Day Accts";#N/A,#N/A,FALSE,"Tickmarks"}</definedName>
    <definedName name="l_2_2_4_5" localSheetId="0" hidden="1">{#N/A,#N/A,FALSE,"Aging Summary";#N/A,#N/A,FALSE,"Ratio Analysis";#N/A,#N/A,FALSE,"Test 120 Day Accts";#N/A,#N/A,FALSE,"Tickmarks"}</definedName>
    <definedName name="l_2_2_4_5" localSheetId="6" hidden="1">{#N/A,#N/A,FALSE,"Aging Summary";#N/A,#N/A,FALSE,"Ratio Analysis";#N/A,#N/A,FALSE,"Test 120 Day Accts";#N/A,#N/A,FALSE,"Tickmarks"}</definedName>
    <definedName name="l_2_2_4_5" hidden="1">{#N/A,#N/A,FALSE,"Aging Summary";#N/A,#N/A,FALSE,"Ratio Analysis";#N/A,#N/A,FALSE,"Test 120 Day Accts";#N/A,#N/A,FALSE,"Tickmarks"}</definedName>
    <definedName name="l_2_2_5" localSheetId="0" hidden="1">{#N/A,#N/A,FALSE,"Aging Summary";#N/A,#N/A,FALSE,"Ratio Analysis";#N/A,#N/A,FALSE,"Test 120 Day Accts";#N/A,#N/A,FALSE,"Tickmarks"}</definedName>
    <definedName name="l_2_2_5" localSheetId="6" hidden="1">{#N/A,#N/A,FALSE,"Aging Summary";#N/A,#N/A,FALSE,"Ratio Analysis";#N/A,#N/A,FALSE,"Test 120 Day Accts";#N/A,#N/A,FALSE,"Tickmarks"}</definedName>
    <definedName name="l_2_2_5" hidden="1">{#N/A,#N/A,FALSE,"Aging Summary";#N/A,#N/A,FALSE,"Ratio Analysis";#N/A,#N/A,FALSE,"Test 120 Day Accts";#N/A,#N/A,FALSE,"Tickmarks"}</definedName>
    <definedName name="l_2_2_5_1" localSheetId="0" hidden="1">{#N/A,#N/A,FALSE,"Aging Summary";#N/A,#N/A,FALSE,"Ratio Analysis";#N/A,#N/A,FALSE,"Test 120 Day Accts";#N/A,#N/A,FALSE,"Tickmarks"}</definedName>
    <definedName name="l_2_2_5_1" localSheetId="6" hidden="1">{#N/A,#N/A,FALSE,"Aging Summary";#N/A,#N/A,FALSE,"Ratio Analysis";#N/A,#N/A,FALSE,"Test 120 Day Accts";#N/A,#N/A,FALSE,"Tickmarks"}</definedName>
    <definedName name="l_2_2_5_1" hidden="1">{#N/A,#N/A,FALSE,"Aging Summary";#N/A,#N/A,FALSE,"Ratio Analysis";#N/A,#N/A,FALSE,"Test 120 Day Accts";#N/A,#N/A,FALSE,"Tickmarks"}</definedName>
    <definedName name="l_2_2_5_2" localSheetId="0" hidden="1">{#N/A,#N/A,FALSE,"Aging Summary";#N/A,#N/A,FALSE,"Ratio Analysis";#N/A,#N/A,FALSE,"Test 120 Day Accts";#N/A,#N/A,FALSE,"Tickmarks"}</definedName>
    <definedName name="l_2_2_5_2" localSheetId="6" hidden="1">{#N/A,#N/A,FALSE,"Aging Summary";#N/A,#N/A,FALSE,"Ratio Analysis";#N/A,#N/A,FALSE,"Test 120 Day Accts";#N/A,#N/A,FALSE,"Tickmarks"}</definedName>
    <definedName name="l_2_2_5_2" hidden="1">{#N/A,#N/A,FALSE,"Aging Summary";#N/A,#N/A,FALSE,"Ratio Analysis";#N/A,#N/A,FALSE,"Test 120 Day Accts";#N/A,#N/A,FALSE,"Tickmarks"}</definedName>
    <definedName name="l_2_2_5_3" localSheetId="0" hidden="1">{#N/A,#N/A,FALSE,"Aging Summary";#N/A,#N/A,FALSE,"Ratio Analysis";#N/A,#N/A,FALSE,"Test 120 Day Accts";#N/A,#N/A,FALSE,"Tickmarks"}</definedName>
    <definedName name="l_2_2_5_3" localSheetId="6" hidden="1">{#N/A,#N/A,FALSE,"Aging Summary";#N/A,#N/A,FALSE,"Ratio Analysis";#N/A,#N/A,FALSE,"Test 120 Day Accts";#N/A,#N/A,FALSE,"Tickmarks"}</definedName>
    <definedName name="l_2_2_5_3" hidden="1">{#N/A,#N/A,FALSE,"Aging Summary";#N/A,#N/A,FALSE,"Ratio Analysis";#N/A,#N/A,FALSE,"Test 120 Day Accts";#N/A,#N/A,FALSE,"Tickmarks"}</definedName>
    <definedName name="l_2_2_5_4" localSheetId="0" hidden="1">{#N/A,#N/A,FALSE,"Aging Summary";#N/A,#N/A,FALSE,"Ratio Analysis";#N/A,#N/A,FALSE,"Test 120 Day Accts";#N/A,#N/A,FALSE,"Tickmarks"}</definedName>
    <definedName name="l_2_2_5_4" localSheetId="6" hidden="1">{#N/A,#N/A,FALSE,"Aging Summary";#N/A,#N/A,FALSE,"Ratio Analysis";#N/A,#N/A,FALSE,"Test 120 Day Accts";#N/A,#N/A,FALSE,"Tickmarks"}</definedName>
    <definedName name="l_2_2_5_4" hidden="1">{#N/A,#N/A,FALSE,"Aging Summary";#N/A,#N/A,FALSE,"Ratio Analysis";#N/A,#N/A,FALSE,"Test 120 Day Accts";#N/A,#N/A,FALSE,"Tickmarks"}</definedName>
    <definedName name="l_2_2_5_5" localSheetId="0" hidden="1">{#N/A,#N/A,FALSE,"Aging Summary";#N/A,#N/A,FALSE,"Ratio Analysis";#N/A,#N/A,FALSE,"Test 120 Day Accts";#N/A,#N/A,FALSE,"Tickmarks"}</definedName>
    <definedName name="l_2_2_5_5" localSheetId="6" hidden="1">{#N/A,#N/A,FALSE,"Aging Summary";#N/A,#N/A,FALSE,"Ratio Analysis";#N/A,#N/A,FALSE,"Test 120 Day Accts";#N/A,#N/A,FALSE,"Tickmarks"}</definedName>
    <definedName name="l_2_2_5_5" hidden="1">{#N/A,#N/A,FALSE,"Aging Summary";#N/A,#N/A,FALSE,"Ratio Analysis";#N/A,#N/A,FALSE,"Test 120 Day Accts";#N/A,#N/A,FALSE,"Tickmarks"}</definedName>
    <definedName name="l_2_3" localSheetId="0" hidden="1">{#N/A,#N/A,FALSE,"Aging Summary";#N/A,#N/A,FALSE,"Ratio Analysis";#N/A,#N/A,FALSE,"Test 120 Day Accts";#N/A,#N/A,FALSE,"Tickmarks"}</definedName>
    <definedName name="l_2_3" localSheetId="6" hidden="1">{#N/A,#N/A,FALSE,"Aging Summary";#N/A,#N/A,FALSE,"Ratio Analysis";#N/A,#N/A,FALSE,"Test 120 Day Accts";#N/A,#N/A,FALSE,"Tickmarks"}</definedName>
    <definedName name="l_2_3" hidden="1">{#N/A,#N/A,FALSE,"Aging Summary";#N/A,#N/A,FALSE,"Ratio Analysis";#N/A,#N/A,FALSE,"Test 120 Day Accts";#N/A,#N/A,FALSE,"Tickmarks"}</definedName>
    <definedName name="l_2_3_1" localSheetId="0" hidden="1">{#N/A,#N/A,FALSE,"Aging Summary";#N/A,#N/A,FALSE,"Ratio Analysis";#N/A,#N/A,FALSE,"Test 120 Day Accts";#N/A,#N/A,FALSE,"Tickmarks"}</definedName>
    <definedName name="l_2_3_1" localSheetId="6" hidden="1">{#N/A,#N/A,FALSE,"Aging Summary";#N/A,#N/A,FALSE,"Ratio Analysis";#N/A,#N/A,FALSE,"Test 120 Day Accts";#N/A,#N/A,FALSE,"Tickmarks"}</definedName>
    <definedName name="l_2_3_1" hidden="1">{#N/A,#N/A,FALSE,"Aging Summary";#N/A,#N/A,FALSE,"Ratio Analysis";#N/A,#N/A,FALSE,"Test 120 Day Accts";#N/A,#N/A,FALSE,"Tickmarks"}</definedName>
    <definedName name="l_2_3_1_1" localSheetId="0" hidden="1">{#N/A,#N/A,FALSE,"Aging Summary";#N/A,#N/A,FALSE,"Ratio Analysis";#N/A,#N/A,FALSE,"Test 120 Day Accts";#N/A,#N/A,FALSE,"Tickmarks"}</definedName>
    <definedName name="l_2_3_1_1" localSheetId="6" hidden="1">{#N/A,#N/A,FALSE,"Aging Summary";#N/A,#N/A,FALSE,"Ratio Analysis";#N/A,#N/A,FALSE,"Test 120 Day Accts";#N/A,#N/A,FALSE,"Tickmarks"}</definedName>
    <definedName name="l_2_3_1_1" hidden="1">{#N/A,#N/A,FALSE,"Aging Summary";#N/A,#N/A,FALSE,"Ratio Analysis";#N/A,#N/A,FALSE,"Test 120 Day Accts";#N/A,#N/A,FALSE,"Tickmarks"}</definedName>
    <definedName name="l_2_3_1_2" localSheetId="0" hidden="1">{#N/A,#N/A,FALSE,"Aging Summary";#N/A,#N/A,FALSE,"Ratio Analysis";#N/A,#N/A,FALSE,"Test 120 Day Accts";#N/A,#N/A,FALSE,"Tickmarks"}</definedName>
    <definedName name="l_2_3_1_2" localSheetId="6" hidden="1">{#N/A,#N/A,FALSE,"Aging Summary";#N/A,#N/A,FALSE,"Ratio Analysis";#N/A,#N/A,FALSE,"Test 120 Day Accts";#N/A,#N/A,FALSE,"Tickmarks"}</definedName>
    <definedName name="l_2_3_1_2" hidden="1">{#N/A,#N/A,FALSE,"Aging Summary";#N/A,#N/A,FALSE,"Ratio Analysis";#N/A,#N/A,FALSE,"Test 120 Day Accts";#N/A,#N/A,FALSE,"Tickmarks"}</definedName>
    <definedName name="l_2_3_1_3" localSheetId="0" hidden="1">{#N/A,#N/A,FALSE,"Aging Summary";#N/A,#N/A,FALSE,"Ratio Analysis";#N/A,#N/A,FALSE,"Test 120 Day Accts";#N/A,#N/A,FALSE,"Tickmarks"}</definedName>
    <definedName name="l_2_3_1_3" localSheetId="6" hidden="1">{#N/A,#N/A,FALSE,"Aging Summary";#N/A,#N/A,FALSE,"Ratio Analysis";#N/A,#N/A,FALSE,"Test 120 Day Accts";#N/A,#N/A,FALSE,"Tickmarks"}</definedName>
    <definedName name="l_2_3_1_3" hidden="1">{#N/A,#N/A,FALSE,"Aging Summary";#N/A,#N/A,FALSE,"Ratio Analysis";#N/A,#N/A,FALSE,"Test 120 Day Accts";#N/A,#N/A,FALSE,"Tickmarks"}</definedName>
    <definedName name="l_2_3_1_4" localSheetId="0" hidden="1">{#N/A,#N/A,FALSE,"Aging Summary";#N/A,#N/A,FALSE,"Ratio Analysis";#N/A,#N/A,FALSE,"Test 120 Day Accts";#N/A,#N/A,FALSE,"Tickmarks"}</definedName>
    <definedName name="l_2_3_1_4" localSheetId="6" hidden="1">{#N/A,#N/A,FALSE,"Aging Summary";#N/A,#N/A,FALSE,"Ratio Analysis";#N/A,#N/A,FALSE,"Test 120 Day Accts";#N/A,#N/A,FALSE,"Tickmarks"}</definedName>
    <definedName name="l_2_3_1_4" hidden="1">{#N/A,#N/A,FALSE,"Aging Summary";#N/A,#N/A,FALSE,"Ratio Analysis";#N/A,#N/A,FALSE,"Test 120 Day Accts";#N/A,#N/A,FALSE,"Tickmarks"}</definedName>
    <definedName name="l_2_3_1_5" localSheetId="0" hidden="1">{#N/A,#N/A,FALSE,"Aging Summary";#N/A,#N/A,FALSE,"Ratio Analysis";#N/A,#N/A,FALSE,"Test 120 Day Accts";#N/A,#N/A,FALSE,"Tickmarks"}</definedName>
    <definedName name="l_2_3_1_5" localSheetId="6" hidden="1">{#N/A,#N/A,FALSE,"Aging Summary";#N/A,#N/A,FALSE,"Ratio Analysis";#N/A,#N/A,FALSE,"Test 120 Day Accts";#N/A,#N/A,FALSE,"Tickmarks"}</definedName>
    <definedName name="l_2_3_1_5" hidden="1">{#N/A,#N/A,FALSE,"Aging Summary";#N/A,#N/A,FALSE,"Ratio Analysis";#N/A,#N/A,FALSE,"Test 120 Day Accts";#N/A,#N/A,FALSE,"Tickmarks"}</definedName>
    <definedName name="l_2_3_2" localSheetId="0" hidden="1">{#N/A,#N/A,FALSE,"Aging Summary";#N/A,#N/A,FALSE,"Ratio Analysis";#N/A,#N/A,FALSE,"Test 120 Day Accts";#N/A,#N/A,FALSE,"Tickmarks"}</definedName>
    <definedName name="l_2_3_2" localSheetId="6" hidden="1">{#N/A,#N/A,FALSE,"Aging Summary";#N/A,#N/A,FALSE,"Ratio Analysis";#N/A,#N/A,FALSE,"Test 120 Day Accts";#N/A,#N/A,FALSE,"Tickmarks"}</definedName>
    <definedName name="l_2_3_2" hidden="1">{#N/A,#N/A,FALSE,"Aging Summary";#N/A,#N/A,FALSE,"Ratio Analysis";#N/A,#N/A,FALSE,"Test 120 Day Accts";#N/A,#N/A,FALSE,"Tickmarks"}</definedName>
    <definedName name="l_2_3_2_1" localSheetId="0" hidden="1">{#N/A,#N/A,FALSE,"Aging Summary";#N/A,#N/A,FALSE,"Ratio Analysis";#N/A,#N/A,FALSE,"Test 120 Day Accts";#N/A,#N/A,FALSE,"Tickmarks"}</definedName>
    <definedName name="l_2_3_2_1" localSheetId="6" hidden="1">{#N/A,#N/A,FALSE,"Aging Summary";#N/A,#N/A,FALSE,"Ratio Analysis";#N/A,#N/A,FALSE,"Test 120 Day Accts";#N/A,#N/A,FALSE,"Tickmarks"}</definedName>
    <definedName name="l_2_3_2_1" hidden="1">{#N/A,#N/A,FALSE,"Aging Summary";#N/A,#N/A,FALSE,"Ratio Analysis";#N/A,#N/A,FALSE,"Test 120 Day Accts";#N/A,#N/A,FALSE,"Tickmarks"}</definedName>
    <definedName name="l_2_3_2_2" localSheetId="0" hidden="1">{#N/A,#N/A,FALSE,"Aging Summary";#N/A,#N/A,FALSE,"Ratio Analysis";#N/A,#N/A,FALSE,"Test 120 Day Accts";#N/A,#N/A,FALSE,"Tickmarks"}</definedName>
    <definedName name="l_2_3_2_2" localSheetId="6" hidden="1">{#N/A,#N/A,FALSE,"Aging Summary";#N/A,#N/A,FALSE,"Ratio Analysis";#N/A,#N/A,FALSE,"Test 120 Day Accts";#N/A,#N/A,FALSE,"Tickmarks"}</definedName>
    <definedName name="l_2_3_2_2" hidden="1">{#N/A,#N/A,FALSE,"Aging Summary";#N/A,#N/A,FALSE,"Ratio Analysis";#N/A,#N/A,FALSE,"Test 120 Day Accts";#N/A,#N/A,FALSE,"Tickmarks"}</definedName>
    <definedName name="l_2_3_2_3" localSheetId="0" hidden="1">{#N/A,#N/A,FALSE,"Aging Summary";#N/A,#N/A,FALSE,"Ratio Analysis";#N/A,#N/A,FALSE,"Test 120 Day Accts";#N/A,#N/A,FALSE,"Tickmarks"}</definedName>
    <definedName name="l_2_3_2_3" localSheetId="6" hidden="1">{#N/A,#N/A,FALSE,"Aging Summary";#N/A,#N/A,FALSE,"Ratio Analysis";#N/A,#N/A,FALSE,"Test 120 Day Accts";#N/A,#N/A,FALSE,"Tickmarks"}</definedName>
    <definedName name="l_2_3_2_3" hidden="1">{#N/A,#N/A,FALSE,"Aging Summary";#N/A,#N/A,FALSE,"Ratio Analysis";#N/A,#N/A,FALSE,"Test 120 Day Accts";#N/A,#N/A,FALSE,"Tickmarks"}</definedName>
    <definedName name="l_2_3_2_4" localSheetId="0" hidden="1">{#N/A,#N/A,FALSE,"Aging Summary";#N/A,#N/A,FALSE,"Ratio Analysis";#N/A,#N/A,FALSE,"Test 120 Day Accts";#N/A,#N/A,FALSE,"Tickmarks"}</definedName>
    <definedName name="l_2_3_2_4" localSheetId="6" hidden="1">{#N/A,#N/A,FALSE,"Aging Summary";#N/A,#N/A,FALSE,"Ratio Analysis";#N/A,#N/A,FALSE,"Test 120 Day Accts";#N/A,#N/A,FALSE,"Tickmarks"}</definedName>
    <definedName name="l_2_3_2_4" hidden="1">{#N/A,#N/A,FALSE,"Aging Summary";#N/A,#N/A,FALSE,"Ratio Analysis";#N/A,#N/A,FALSE,"Test 120 Day Accts";#N/A,#N/A,FALSE,"Tickmarks"}</definedName>
    <definedName name="l_2_3_2_5" localSheetId="0" hidden="1">{#N/A,#N/A,FALSE,"Aging Summary";#N/A,#N/A,FALSE,"Ratio Analysis";#N/A,#N/A,FALSE,"Test 120 Day Accts";#N/A,#N/A,FALSE,"Tickmarks"}</definedName>
    <definedName name="l_2_3_2_5" localSheetId="6" hidden="1">{#N/A,#N/A,FALSE,"Aging Summary";#N/A,#N/A,FALSE,"Ratio Analysis";#N/A,#N/A,FALSE,"Test 120 Day Accts";#N/A,#N/A,FALSE,"Tickmarks"}</definedName>
    <definedName name="l_2_3_2_5" hidden="1">{#N/A,#N/A,FALSE,"Aging Summary";#N/A,#N/A,FALSE,"Ratio Analysis";#N/A,#N/A,FALSE,"Test 120 Day Accts";#N/A,#N/A,FALSE,"Tickmarks"}</definedName>
    <definedName name="l_2_3_3" localSheetId="0" hidden="1">{#N/A,#N/A,FALSE,"Aging Summary";#N/A,#N/A,FALSE,"Ratio Analysis";#N/A,#N/A,FALSE,"Test 120 Day Accts";#N/A,#N/A,FALSE,"Tickmarks"}</definedName>
    <definedName name="l_2_3_3" localSheetId="6" hidden="1">{#N/A,#N/A,FALSE,"Aging Summary";#N/A,#N/A,FALSE,"Ratio Analysis";#N/A,#N/A,FALSE,"Test 120 Day Accts";#N/A,#N/A,FALSE,"Tickmarks"}</definedName>
    <definedName name="l_2_3_3" hidden="1">{#N/A,#N/A,FALSE,"Aging Summary";#N/A,#N/A,FALSE,"Ratio Analysis";#N/A,#N/A,FALSE,"Test 120 Day Accts";#N/A,#N/A,FALSE,"Tickmarks"}</definedName>
    <definedName name="l_2_3_3_1" localSheetId="0" hidden="1">{#N/A,#N/A,FALSE,"Aging Summary";#N/A,#N/A,FALSE,"Ratio Analysis";#N/A,#N/A,FALSE,"Test 120 Day Accts";#N/A,#N/A,FALSE,"Tickmarks"}</definedName>
    <definedName name="l_2_3_3_1" localSheetId="6" hidden="1">{#N/A,#N/A,FALSE,"Aging Summary";#N/A,#N/A,FALSE,"Ratio Analysis";#N/A,#N/A,FALSE,"Test 120 Day Accts";#N/A,#N/A,FALSE,"Tickmarks"}</definedName>
    <definedName name="l_2_3_3_1" hidden="1">{#N/A,#N/A,FALSE,"Aging Summary";#N/A,#N/A,FALSE,"Ratio Analysis";#N/A,#N/A,FALSE,"Test 120 Day Accts";#N/A,#N/A,FALSE,"Tickmarks"}</definedName>
    <definedName name="l_2_3_3_2" localSheetId="0" hidden="1">{#N/A,#N/A,FALSE,"Aging Summary";#N/A,#N/A,FALSE,"Ratio Analysis";#N/A,#N/A,FALSE,"Test 120 Day Accts";#N/A,#N/A,FALSE,"Tickmarks"}</definedName>
    <definedName name="l_2_3_3_2" localSheetId="6" hidden="1">{#N/A,#N/A,FALSE,"Aging Summary";#N/A,#N/A,FALSE,"Ratio Analysis";#N/A,#N/A,FALSE,"Test 120 Day Accts";#N/A,#N/A,FALSE,"Tickmarks"}</definedName>
    <definedName name="l_2_3_3_2" hidden="1">{#N/A,#N/A,FALSE,"Aging Summary";#N/A,#N/A,FALSE,"Ratio Analysis";#N/A,#N/A,FALSE,"Test 120 Day Accts";#N/A,#N/A,FALSE,"Tickmarks"}</definedName>
    <definedName name="l_2_3_3_3" localSheetId="0" hidden="1">{#N/A,#N/A,FALSE,"Aging Summary";#N/A,#N/A,FALSE,"Ratio Analysis";#N/A,#N/A,FALSE,"Test 120 Day Accts";#N/A,#N/A,FALSE,"Tickmarks"}</definedName>
    <definedName name="l_2_3_3_3" localSheetId="6" hidden="1">{#N/A,#N/A,FALSE,"Aging Summary";#N/A,#N/A,FALSE,"Ratio Analysis";#N/A,#N/A,FALSE,"Test 120 Day Accts";#N/A,#N/A,FALSE,"Tickmarks"}</definedName>
    <definedName name="l_2_3_3_3" hidden="1">{#N/A,#N/A,FALSE,"Aging Summary";#N/A,#N/A,FALSE,"Ratio Analysis";#N/A,#N/A,FALSE,"Test 120 Day Accts";#N/A,#N/A,FALSE,"Tickmarks"}</definedName>
    <definedName name="l_2_3_3_4" localSheetId="0" hidden="1">{#N/A,#N/A,FALSE,"Aging Summary";#N/A,#N/A,FALSE,"Ratio Analysis";#N/A,#N/A,FALSE,"Test 120 Day Accts";#N/A,#N/A,FALSE,"Tickmarks"}</definedName>
    <definedName name="l_2_3_3_4" localSheetId="6" hidden="1">{#N/A,#N/A,FALSE,"Aging Summary";#N/A,#N/A,FALSE,"Ratio Analysis";#N/A,#N/A,FALSE,"Test 120 Day Accts";#N/A,#N/A,FALSE,"Tickmarks"}</definedName>
    <definedName name="l_2_3_3_4" hidden="1">{#N/A,#N/A,FALSE,"Aging Summary";#N/A,#N/A,FALSE,"Ratio Analysis";#N/A,#N/A,FALSE,"Test 120 Day Accts";#N/A,#N/A,FALSE,"Tickmarks"}</definedName>
    <definedName name="l_2_3_3_5" localSheetId="0" hidden="1">{#N/A,#N/A,FALSE,"Aging Summary";#N/A,#N/A,FALSE,"Ratio Analysis";#N/A,#N/A,FALSE,"Test 120 Day Accts";#N/A,#N/A,FALSE,"Tickmarks"}</definedName>
    <definedName name="l_2_3_3_5" localSheetId="6" hidden="1">{#N/A,#N/A,FALSE,"Aging Summary";#N/A,#N/A,FALSE,"Ratio Analysis";#N/A,#N/A,FALSE,"Test 120 Day Accts";#N/A,#N/A,FALSE,"Tickmarks"}</definedName>
    <definedName name="l_2_3_3_5" hidden="1">{#N/A,#N/A,FALSE,"Aging Summary";#N/A,#N/A,FALSE,"Ratio Analysis";#N/A,#N/A,FALSE,"Test 120 Day Accts";#N/A,#N/A,FALSE,"Tickmarks"}</definedName>
    <definedName name="l_2_3_4" localSheetId="0" hidden="1">{#N/A,#N/A,FALSE,"Aging Summary";#N/A,#N/A,FALSE,"Ratio Analysis";#N/A,#N/A,FALSE,"Test 120 Day Accts";#N/A,#N/A,FALSE,"Tickmarks"}</definedName>
    <definedName name="l_2_3_4" localSheetId="6" hidden="1">{#N/A,#N/A,FALSE,"Aging Summary";#N/A,#N/A,FALSE,"Ratio Analysis";#N/A,#N/A,FALSE,"Test 120 Day Accts";#N/A,#N/A,FALSE,"Tickmarks"}</definedName>
    <definedName name="l_2_3_4" hidden="1">{#N/A,#N/A,FALSE,"Aging Summary";#N/A,#N/A,FALSE,"Ratio Analysis";#N/A,#N/A,FALSE,"Test 120 Day Accts";#N/A,#N/A,FALSE,"Tickmarks"}</definedName>
    <definedName name="l_2_3_4_1" localSheetId="0" hidden="1">{#N/A,#N/A,FALSE,"Aging Summary";#N/A,#N/A,FALSE,"Ratio Analysis";#N/A,#N/A,FALSE,"Test 120 Day Accts";#N/A,#N/A,FALSE,"Tickmarks"}</definedName>
    <definedName name="l_2_3_4_1" localSheetId="6" hidden="1">{#N/A,#N/A,FALSE,"Aging Summary";#N/A,#N/A,FALSE,"Ratio Analysis";#N/A,#N/A,FALSE,"Test 120 Day Accts";#N/A,#N/A,FALSE,"Tickmarks"}</definedName>
    <definedName name="l_2_3_4_1" hidden="1">{#N/A,#N/A,FALSE,"Aging Summary";#N/A,#N/A,FALSE,"Ratio Analysis";#N/A,#N/A,FALSE,"Test 120 Day Accts";#N/A,#N/A,FALSE,"Tickmarks"}</definedName>
    <definedName name="l_2_3_4_2" localSheetId="0" hidden="1">{#N/A,#N/A,FALSE,"Aging Summary";#N/A,#N/A,FALSE,"Ratio Analysis";#N/A,#N/A,FALSE,"Test 120 Day Accts";#N/A,#N/A,FALSE,"Tickmarks"}</definedName>
    <definedName name="l_2_3_4_2" localSheetId="6" hidden="1">{#N/A,#N/A,FALSE,"Aging Summary";#N/A,#N/A,FALSE,"Ratio Analysis";#N/A,#N/A,FALSE,"Test 120 Day Accts";#N/A,#N/A,FALSE,"Tickmarks"}</definedName>
    <definedName name="l_2_3_4_2" hidden="1">{#N/A,#N/A,FALSE,"Aging Summary";#N/A,#N/A,FALSE,"Ratio Analysis";#N/A,#N/A,FALSE,"Test 120 Day Accts";#N/A,#N/A,FALSE,"Tickmarks"}</definedName>
    <definedName name="l_2_3_4_3" localSheetId="0" hidden="1">{#N/A,#N/A,FALSE,"Aging Summary";#N/A,#N/A,FALSE,"Ratio Analysis";#N/A,#N/A,FALSE,"Test 120 Day Accts";#N/A,#N/A,FALSE,"Tickmarks"}</definedName>
    <definedName name="l_2_3_4_3" localSheetId="6" hidden="1">{#N/A,#N/A,FALSE,"Aging Summary";#N/A,#N/A,FALSE,"Ratio Analysis";#N/A,#N/A,FALSE,"Test 120 Day Accts";#N/A,#N/A,FALSE,"Tickmarks"}</definedName>
    <definedName name="l_2_3_4_3" hidden="1">{#N/A,#N/A,FALSE,"Aging Summary";#N/A,#N/A,FALSE,"Ratio Analysis";#N/A,#N/A,FALSE,"Test 120 Day Accts";#N/A,#N/A,FALSE,"Tickmarks"}</definedName>
    <definedName name="l_2_3_4_4" localSheetId="0" hidden="1">{#N/A,#N/A,FALSE,"Aging Summary";#N/A,#N/A,FALSE,"Ratio Analysis";#N/A,#N/A,FALSE,"Test 120 Day Accts";#N/A,#N/A,FALSE,"Tickmarks"}</definedName>
    <definedName name="l_2_3_4_4" localSheetId="6" hidden="1">{#N/A,#N/A,FALSE,"Aging Summary";#N/A,#N/A,FALSE,"Ratio Analysis";#N/A,#N/A,FALSE,"Test 120 Day Accts";#N/A,#N/A,FALSE,"Tickmarks"}</definedName>
    <definedName name="l_2_3_4_4" hidden="1">{#N/A,#N/A,FALSE,"Aging Summary";#N/A,#N/A,FALSE,"Ratio Analysis";#N/A,#N/A,FALSE,"Test 120 Day Accts";#N/A,#N/A,FALSE,"Tickmarks"}</definedName>
    <definedName name="l_2_3_4_5" localSheetId="0" hidden="1">{#N/A,#N/A,FALSE,"Aging Summary";#N/A,#N/A,FALSE,"Ratio Analysis";#N/A,#N/A,FALSE,"Test 120 Day Accts";#N/A,#N/A,FALSE,"Tickmarks"}</definedName>
    <definedName name="l_2_3_4_5" localSheetId="6" hidden="1">{#N/A,#N/A,FALSE,"Aging Summary";#N/A,#N/A,FALSE,"Ratio Analysis";#N/A,#N/A,FALSE,"Test 120 Day Accts";#N/A,#N/A,FALSE,"Tickmarks"}</definedName>
    <definedName name="l_2_3_4_5" hidden="1">{#N/A,#N/A,FALSE,"Aging Summary";#N/A,#N/A,FALSE,"Ratio Analysis";#N/A,#N/A,FALSE,"Test 120 Day Accts";#N/A,#N/A,FALSE,"Tickmarks"}</definedName>
    <definedName name="l_2_3_5" localSheetId="0" hidden="1">{#N/A,#N/A,FALSE,"Aging Summary";#N/A,#N/A,FALSE,"Ratio Analysis";#N/A,#N/A,FALSE,"Test 120 Day Accts";#N/A,#N/A,FALSE,"Tickmarks"}</definedName>
    <definedName name="l_2_3_5" localSheetId="6" hidden="1">{#N/A,#N/A,FALSE,"Aging Summary";#N/A,#N/A,FALSE,"Ratio Analysis";#N/A,#N/A,FALSE,"Test 120 Day Accts";#N/A,#N/A,FALSE,"Tickmarks"}</definedName>
    <definedName name="l_2_3_5" hidden="1">{#N/A,#N/A,FALSE,"Aging Summary";#N/A,#N/A,FALSE,"Ratio Analysis";#N/A,#N/A,FALSE,"Test 120 Day Accts";#N/A,#N/A,FALSE,"Tickmarks"}</definedName>
    <definedName name="l_2_3_5_1" localSheetId="0" hidden="1">{#N/A,#N/A,FALSE,"Aging Summary";#N/A,#N/A,FALSE,"Ratio Analysis";#N/A,#N/A,FALSE,"Test 120 Day Accts";#N/A,#N/A,FALSE,"Tickmarks"}</definedName>
    <definedName name="l_2_3_5_1" localSheetId="6" hidden="1">{#N/A,#N/A,FALSE,"Aging Summary";#N/A,#N/A,FALSE,"Ratio Analysis";#N/A,#N/A,FALSE,"Test 120 Day Accts";#N/A,#N/A,FALSE,"Tickmarks"}</definedName>
    <definedName name="l_2_3_5_1" hidden="1">{#N/A,#N/A,FALSE,"Aging Summary";#N/A,#N/A,FALSE,"Ratio Analysis";#N/A,#N/A,FALSE,"Test 120 Day Accts";#N/A,#N/A,FALSE,"Tickmarks"}</definedName>
    <definedName name="l_2_3_5_2" localSheetId="0" hidden="1">{#N/A,#N/A,FALSE,"Aging Summary";#N/A,#N/A,FALSE,"Ratio Analysis";#N/A,#N/A,FALSE,"Test 120 Day Accts";#N/A,#N/A,FALSE,"Tickmarks"}</definedName>
    <definedName name="l_2_3_5_2" localSheetId="6" hidden="1">{#N/A,#N/A,FALSE,"Aging Summary";#N/A,#N/A,FALSE,"Ratio Analysis";#N/A,#N/A,FALSE,"Test 120 Day Accts";#N/A,#N/A,FALSE,"Tickmarks"}</definedName>
    <definedName name="l_2_3_5_2" hidden="1">{#N/A,#N/A,FALSE,"Aging Summary";#N/A,#N/A,FALSE,"Ratio Analysis";#N/A,#N/A,FALSE,"Test 120 Day Accts";#N/A,#N/A,FALSE,"Tickmarks"}</definedName>
    <definedName name="l_2_3_5_3" localSheetId="0" hidden="1">{#N/A,#N/A,FALSE,"Aging Summary";#N/A,#N/A,FALSE,"Ratio Analysis";#N/A,#N/A,FALSE,"Test 120 Day Accts";#N/A,#N/A,FALSE,"Tickmarks"}</definedName>
    <definedName name="l_2_3_5_3" localSheetId="6" hidden="1">{#N/A,#N/A,FALSE,"Aging Summary";#N/A,#N/A,FALSE,"Ratio Analysis";#N/A,#N/A,FALSE,"Test 120 Day Accts";#N/A,#N/A,FALSE,"Tickmarks"}</definedName>
    <definedName name="l_2_3_5_3" hidden="1">{#N/A,#N/A,FALSE,"Aging Summary";#N/A,#N/A,FALSE,"Ratio Analysis";#N/A,#N/A,FALSE,"Test 120 Day Accts";#N/A,#N/A,FALSE,"Tickmarks"}</definedName>
    <definedName name="l_2_3_5_4" localSheetId="0" hidden="1">{#N/A,#N/A,FALSE,"Aging Summary";#N/A,#N/A,FALSE,"Ratio Analysis";#N/A,#N/A,FALSE,"Test 120 Day Accts";#N/A,#N/A,FALSE,"Tickmarks"}</definedName>
    <definedName name="l_2_3_5_4" localSheetId="6" hidden="1">{#N/A,#N/A,FALSE,"Aging Summary";#N/A,#N/A,FALSE,"Ratio Analysis";#N/A,#N/A,FALSE,"Test 120 Day Accts";#N/A,#N/A,FALSE,"Tickmarks"}</definedName>
    <definedName name="l_2_3_5_4" hidden="1">{#N/A,#N/A,FALSE,"Aging Summary";#N/A,#N/A,FALSE,"Ratio Analysis";#N/A,#N/A,FALSE,"Test 120 Day Accts";#N/A,#N/A,FALSE,"Tickmarks"}</definedName>
    <definedName name="l_2_3_5_5" localSheetId="0" hidden="1">{#N/A,#N/A,FALSE,"Aging Summary";#N/A,#N/A,FALSE,"Ratio Analysis";#N/A,#N/A,FALSE,"Test 120 Day Accts";#N/A,#N/A,FALSE,"Tickmarks"}</definedName>
    <definedName name="l_2_3_5_5" localSheetId="6" hidden="1">{#N/A,#N/A,FALSE,"Aging Summary";#N/A,#N/A,FALSE,"Ratio Analysis";#N/A,#N/A,FALSE,"Test 120 Day Accts";#N/A,#N/A,FALSE,"Tickmarks"}</definedName>
    <definedName name="l_2_3_5_5" hidden="1">{#N/A,#N/A,FALSE,"Aging Summary";#N/A,#N/A,FALSE,"Ratio Analysis";#N/A,#N/A,FALSE,"Test 120 Day Accts";#N/A,#N/A,FALSE,"Tickmarks"}</definedName>
    <definedName name="l_2_4" localSheetId="0" hidden="1">{#N/A,#N/A,FALSE,"Aging Summary";#N/A,#N/A,FALSE,"Ratio Analysis";#N/A,#N/A,FALSE,"Test 120 Day Accts";#N/A,#N/A,FALSE,"Tickmarks"}</definedName>
    <definedName name="l_2_4" localSheetId="6" hidden="1">{#N/A,#N/A,FALSE,"Aging Summary";#N/A,#N/A,FALSE,"Ratio Analysis";#N/A,#N/A,FALSE,"Test 120 Day Accts";#N/A,#N/A,FALSE,"Tickmarks"}</definedName>
    <definedName name="l_2_4" hidden="1">{#N/A,#N/A,FALSE,"Aging Summary";#N/A,#N/A,FALSE,"Ratio Analysis";#N/A,#N/A,FALSE,"Test 120 Day Accts";#N/A,#N/A,FALSE,"Tickmarks"}</definedName>
    <definedName name="l_2_4_1" localSheetId="0" hidden="1">{#N/A,#N/A,FALSE,"Aging Summary";#N/A,#N/A,FALSE,"Ratio Analysis";#N/A,#N/A,FALSE,"Test 120 Day Accts";#N/A,#N/A,FALSE,"Tickmarks"}</definedName>
    <definedName name="l_2_4_1" localSheetId="6" hidden="1">{#N/A,#N/A,FALSE,"Aging Summary";#N/A,#N/A,FALSE,"Ratio Analysis";#N/A,#N/A,FALSE,"Test 120 Day Accts";#N/A,#N/A,FALSE,"Tickmarks"}</definedName>
    <definedName name="l_2_4_1" hidden="1">{#N/A,#N/A,FALSE,"Aging Summary";#N/A,#N/A,FALSE,"Ratio Analysis";#N/A,#N/A,FALSE,"Test 120 Day Accts";#N/A,#N/A,FALSE,"Tickmarks"}</definedName>
    <definedName name="l_2_4_1_1" localSheetId="0" hidden="1">{#N/A,#N/A,FALSE,"Aging Summary";#N/A,#N/A,FALSE,"Ratio Analysis";#N/A,#N/A,FALSE,"Test 120 Day Accts";#N/A,#N/A,FALSE,"Tickmarks"}</definedName>
    <definedName name="l_2_4_1_1" localSheetId="6" hidden="1">{#N/A,#N/A,FALSE,"Aging Summary";#N/A,#N/A,FALSE,"Ratio Analysis";#N/A,#N/A,FALSE,"Test 120 Day Accts";#N/A,#N/A,FALSE,"Tickmarks"}</definedName>
    <definedName name="l_2_4_1_1" hidden="1">{#N/A,#N/A,FALSE,"Aging Summary";#N/A,#N/A,FALSE,"Ratio Analysis";#N/A,#N/A,FALSE,"Test 120 Day Accts";#N/A,#N/A,FALSE,"Tickmarks"}</definedName>
    <definedName name="l_2_4_1_2" localSheetId="0" hidden="1">{#N/A,#N/A,FALSE,"Aging Summary";#N/A,#N/A,FALSE,"Ratio Analysis";#N/A,#N/A,FALSE,"Test 120 Day Accts";#N/A,#N/A,FALSE,"Tickmarks"}</definedName>
    <definedName name="l_2_4_1_2" localSheetId="6" hidden="1">{#N/A,#N/A,FALSE,"Aging Summary";#N/A,#N/A,FALSE,"Ratio Analysis";#N/A,#N/A,FALSE,"Test 120 Day Accts";#N/A,#N/A,FALSE,"Tickmarks"}</definedName>
    <definedName name="l_2_4_1_2" hidden="1">{#N/A,#N/A,FALSE,"Aging Summary";#N/A,#N/A,FALSE,"Ratio Analysis";#N/A,#N/A,FALSE,"Test 120 Day Accts";#N/A,#N/A,FALSE,"Tickmarks"}</definedName>
    <definedName name="l_2_4_1_3" localSheetId="0" hidden="1">{#N/A,#N/A,FALSE,"Aging Summary";#N/A,#N/A,FALSE,"Ratio Analysis";#N/A,#N/A,FALSE,"Test 120 Day Accts";#N/A,#N/A,FALSE,"Tickmarks"}</definedName>
    <definedName name="l_2_4_1_3" localSheetId="6" hidden="1">{#N/A,#N/A,FALSE,"Aging Summary";#N/A,#N/A,FALSE,"Ratio Analysis";#N/A,#N/A,FALSE,"Test 120 Day Accts";#N/A,#N/A,FALSE,"Tickmarks"}</definedName>
    <definedName name="l_2_4_1_3" hidden="1">{#N/A,#N/A,FALSE,"Aging Summary";#N/A,#N/A,FALSE,"Ratio Analysis";#N/A,#N/A,FALSE,"Test 120 Day Accts";#N/A,#N/A,FALSE,"Tickmarks"}</definedName>
    <definedName name="l_2_4_1_4" localSheetId="0" hidden="1">{#N/A,#N/A,FALSE,"Aging Summary";#N/A,#N/A,FALSE,"Ratio Analysis";#N/A,#N/A,FALSE,"Test 120 Day Accts";#N/A,#N/A,FALSE,"Tickmarks"}</definedName>
    <definedName name="l_2_4_1_4" localSheetId="6" hidden="1">{#N/A,#N/A,FALSE,"Aging Summary";#N/A,#N/A,FALSE,"Ratio Analysis";#N/A,#N/A,FALSE,"Test 120 Day Accts";#N/A,#N/A,FALSE,"Tickmarks"}</definedName>
    <definedName name="l_2_4_1_4" hidden="1">{#N/A,#N/A,FALSE,"Aging Summary";#N/A,#N/A,FALSE,"Ratio Analysis";#N/A,#N/A,FALSE,"Test 120 Day Accts";#N/A,#N/A,FALSE,"Tickmarks"}</definedName>
    <definedName name="l_2_4_1_5" localSheetId="0" hidden="1">{#N/A,#N/A,FALSE,"Aging Summary";#N/A,#N/A,FALSE,"Ratio Analysis";#N/A,#N/A,FALSE,"Test 120 Day Accts";#N/A,#N/A,FALSE,"Tickmarks"}</definedName>
    <definedName name="l_2_4_1_5" localSheetId="6" hidden="1">{#N/A,#N/A,FALSE,"Aging Summary";#N/A,#N/A,FALSE,"Ratio Analysis";#N/A,#N/A,FALSE,"Test 120 Day Accts";#N/A,#N/A,FALSE,"Tickmarks"}</definedName>
    <definedName name="l_2_4_1_5" hidden="1">{#N/A,#N/A,FALSE,"Aging Summary";#N/A,#N/A,FALSE,"Ratio Analysis";#N/A,#N/A,FALSE,"Test 120 Day Accts";#N/A,#N/A,FALSE,"Tickmarks"}</definedName>
    <definedName name="l_2_4_2" localSheetId="0" hidden="1">{#N/A,#N/A,FALSE,"Aging Summary";#N/A,#N/A,FALSE,"Ratio Analysis";#N/A,#N/A,FALSE,"Test 120 Day Accts";#N/A,#N/A,FALSE,"Tickmarks"}</definedName>
    <definedName name="l_2_4_2" localSheetId="6" hidden="1">{#N/A,#N/A,FALSE,"Aging Summary";#N/A,#N/A,FALSE,"Ratio Analysis";#N/A,#N/A,FALSE,"Test 120 Day Accts";#N/A,#N/A,FALSE,"Tickmarks"}</definedName>
    <definedName name="l_2_4_2" hidden="1">{#N/A,#N/A,FALSE,"Aging Summary";#N/A,#N/A,FALSE,"Ratio Analysis";#N/A,#N/A,FALSE,"Test 120 Day Accts";#N/A,#N/A,FALSE,"Tickmarks"}</definedName>
    <definedName name="l_2_4_2_1" localSheetId="0" hidden="1">{#N/A,#N/A,FALSE,"Aging Summary";#N/A,#N/A,FALSE,"Ratio Analysis";#N/A,#N/A,FALSE,"Test 120 Day Accts";#N/A,#N/A,FALSE,"Tickmarks"}</definedName>
    <definedName name="l_2_4_2_1" localSheetId="6" hidden="1">{#N/A,#N/A,FALSE,"Aging Summary";#N/A,#N/A,FALSE,"Ratio Analysis";#N/A,#N/A,FALSE,"Test 120 Day Accts";#N/A,#N/A,FALSE,"Tickmarks"}</definedName>
    <definedName name="l_2_4_2_1" hidden="1">{#N/A,#N/A,FALSE,"Aging Summary";#N/A,#N/A,FALSE,"Ratio Analysis";#N/A,#N/A,FALSE,"Test 120 Day Accts";#N/A,#N/A,FALSE,"Tickmarks"}</definedName>
    <definedName name="l_2_4_2_2" localSheetId="0" hidden="1">{#N/A,#N/A,FALSE,"Aging Summary";#N/A,#N/A,FALSE,"Ratio Analysis";#N/A,#N/A,FALSE,"Test 120 Day Accts";#N/A,#N/A,FALSE,"Tickmarks"}</definedName>
    <definedName name="l_2_4_2_2" localSheetId="6" hidden="1">{#N/A,#N/A,FALSE,"Aging Summary";#N/A,#N/A,FALSE,"Ratio Analysis";#N/A,#N/A,FALSE,"Test 120 Day Accts";#N/A,#N/A,FALSE,"Tickmarks"}</definedName>
    <definedName name="l_2_4_2_2" hidden="1">{#N/A,#N/A,FALSE,"Aging Summary";#N/A,#N/A,FALSE,"Ratio Analysis";#N/A,#N/A,FALSE,"Test 120 Day Accts";#N/A,#N/A,FALSE,"Tickmarks"}</definedName>
    <definedName name="l_2_4_2_3" localSheetId="0" hidden="1">{#N/A,#N/A,FALSE,"Aging Summary";#N/A,#N/A,FALSE,"Ratio Analysis";#N/A,#N/A,FALSE,"Test 120 Day Accts";#N/A,#N/A,FALSE,"Tickmarks"}</definedName>
    <definedName name="l_2_4_2_3" localSheetId="6" hidden="1">{#N/A,#N/A,FALSE,"Aging Summary";#N/A,#N/A,FALSE,"Ratio Analysis";#N/A,#N/A,FALSE,"Test 120 Day Accts";#N/A,#N/A,FALSE,"Tickmarks"}</definedName>
    <definedName name="l_2_4_2_3" hidden="1">{#N/A,#N/A,FALSE,"Aging Summary";#N/A,#N/A,FALSE,"Ratio Analysis";#N/A,#N/A,FALSE,"Test 120 Day Accts";#N/A,#N/A,FALSE,"Tickmarks"}</definedName>
    <definedName name="l_2_4_2_4" localSheetId="0" hidden="1">{#N/A,#N/A,FALSE,"Aging Summary";#N/A,#N/A,FALSE,"Ratio Analysis";#N/A,#N/A,FALSE,"Test 120 Day Accts";#N/A,#N/A,FALSE,"Tickmarks"}</definedName>
    <definedName name="l_2_4_2_4" localSheetId="6" hidden="1">{#N/A,#N/A,FALSE,"Aging Summary";#N/A,#N/A,FALSE,"Ratio Analysis";#N/A,#N/A,FALSE,"Test 120 Day Accts";#N/A,#N/A,FALSE,"Tickmarks"}</definedName>
    <definedName name="l_2_4_2_4" hidden="1">{#N/A,#N/A,FALSE,"Aging Summary";#N/A,#N/A,FALSE,"Ratio Analysis";#N/A,#N/A,FALSE,"Test 120 Day Accts";#N/A,#N/A,FALSE,"Tickmarks"}</definedName>
    <definedName name="l_2_4_2_5" localSheetId="0" hidden="1">{#N/A,#N/A,FALSE,"Aging Summary";#N/A,#N/A,FALSE,"Ratio Analysis";#N/A,#N/A,FALSE,"Test 120 Day Accts";#N/A,#N/A,FALSE,"Tickmarks"}</definedName>
    <definedName name="l_2_4_2_5" localSheetId="6" hidden="1">{#N/A,#N/A,FALSE,"Aging Summary";#N/A,#N/A,FALSE,"Ratio Analysis";#N/A,#N/A,FALSE,"Test 120 Day Accts";#N/A,#N/A,FALSE,"Tickmarks"}</definedName>
    <definedName name="l_2_4_2_5" hidden="1">{#N/A,#N/A,FALSE,"Aging Summary";#N/A,#N/A,FALSE,"Ratio Analysis";#N/A,#N/A,FALSE,"Test 120 Day Accts";#N/A,#N/A,FALSE,"Tickmarks"}</definedName>
    <definedName name="l_2_4_3" localSheetId="0" hidden="1">{#N/A,#N/A,FALSE,"Aging Summary";#N/A,#N/A,FALSE,"Ratio Analysis";#N/A,#N/A,FALSE,"Test 120 Day Accts";#N/A,#N/A,FALSE,"Tickmarks"}</definedName>
    <definedName name="l_2_4_3" localSheetId="6" hidden="1">{#N/A,#N/A,FALSE,"Aging Summary";#N/A,#N/A,FALSE,"Ratio Analysis";#N/A,#N/A,FALSE,"Test 120 Day Accts";#N/A,#N/A,FALSE,"Tickmarks"}</definedName>
    <definedName name="l_2_4_3" hidden="1">{#N/A,#N/A,FALSE,"Aging Summary";#N/A,#N/A,FALSE,"Ratio Analysis";#N/A,#N/A,FALSE,"Test 120 Day Accts";#N/A,#N/A,FALSE,"Tickmarks"}</definedName>
    <definedName name="l_2_4_3_1" localSheetId="0" hidden="1">{#N/A,#N/A,FALSE,"Aging Summary";#N/A,#N/A,FALSE,"Ratio Analysis";#N/A,#N/A,FALSE,"Test 120 Day Accts";#N/A,#N/A,FALSE,"Tickmarks"}</definedName>
    <definedName name="l_2_4_3_1" localSheetId="6" hidden="1">{#N/A,#N/A,FALSE,"Aging Summary";#N/A,#N/A,FALSE,"Ratio Analysis";#N/A,#N/A,FALSE,"Test 120 Day Accts";#N/A,#N/A,FALSE,"Tickmarks"}</definedName>
    <definedName name="l_2_4_3_1" hidden="1">{#N/A,#N/A,FALSE,"Aging Summary";#N/A,#N/A,FALSE,"Ratio Analysis";#N/A,#N/A,FALSE,"Test 120 Day Accts";#N/A,#N/A,FALSE,"Tickmarks"}</definedName>
    <definedName name="l_2_4_3_2" localSheetId="0" hidden="1">{#N/A,#N/A,FALSE,"Aging Summary";#N/A,#N/A,FALSE,"Ratio Analysis";#N/A,#N/A,FALSE,"Test 120 Day Accts";#N/A,#N/A,FALSE,"Tickmarks"}</definedName>
    <definedName name="l_2_4_3_2" localSheetId="6" hidden="1">{#N/A,#N/A,FALSE,"Aging Summary";#N/A,#N/A,FALSE,"Ratio Analysis";#N/A,#N/A,FALSE,"Test 120 Day Accts";#N/A,#N/A,FALSE,"Tickmarks"}</definedName>
    <definedName name="l_2_4_3_2" hidden="1">{#N/A,#N/A,FALSE,"Aging Summary";#N/A,#N/A,FALSE,"Ratio Analysis";#N/A,#N/A,FALSE,"Test 120 Day Accts";#N/A,#N/A,FALSE,"Tickmarks"}</definedName>
    <definedName name="l_2_4_3_3" localSheetId="0" hidden="1">{#N/A,#N/A,FALSE,"Aging Summary";#N/A,#N/A,FALSE,"Ratio Analysis";#N/A,#N/A,FALSE,"Test 120 Day Accts";#N/A,#N/A,FALSE,"Tickmarks"}</definedName>
    <definedName name="l_2_4_3_3" localSheetId="6" hidden="1">{#N/A,#N/A,FALSE,"Aging Summary";#N/A,#N/A,FALSE,"Ratio Analysis";#N/A,#N/A,FALSE,"Test 120 Day Accts";#N/A,#N/A,FALSE,"Tickmarks"}</definedName>
    <definedName name="l_2_4_3_3" hidden="1">{#N/A,#N/A,FALSE,"Aging Summary";#N/A,#N/A,FALSE,"Ratio Analysis";#N/A,#N/A,FALSE,"Test 120 Day Accts";#N/A,#N/A,FALSE,"Tickmarks"}</definedName>
    <definedName name="l_2_4_3_4" localSheetId="0" hidden="1">{#N/A,#N/A,FALSE,"Aging Summary";#N/A,#N/A,FALSE,"Ratio Analysis";#N/A,#N/A,FALSE,"Test 120 Day Accts";#N/A,#N/A,FALSE,"Tickmarks"}</definedName>
    <definedName name="l_2_4_3_4" localSheetId="6" hidden="1">{#N/A,#N/A,FALSE,"Aging Summary";#N/A,#N/A,FALSE,"Ratio Analysis";#N/A,#N/A,FALSE,"Test 120 Day Accts";#N/A,#N/A,FALSE,"Tickmarks"}</definedName>
    <definedName name="l_2_4_3_4" hidden="1">{#N/A,#N/A,FALSE,"Aging Summary";#N/A,#N/A,FALSE,"Ratio Analysis";#N/A,#N/A,FALSE,"Test 120 Day Accts";#N/A,#N/A,FALSE,"Tickmarks"}</definedName>
    <definedName name="l_2_4_3_5" localSheetId="0" hidden="1">{#N/A,#N/A,FALSE,"Aging Summary";#N/A,#N/A,FALSE,"Ratio Analysis";#N/A,#N/A,FALSE,"Test 120 Day Accts";#N/A,#N/A,FALSE,"Tickmarks"}</definedName>
    <definedName name="l_2_4_3_5" localSheetId="6" hidden="1">{#N/A,#N/A,FALSE,"Aging Summary";#N/A,#N/A,FALSE,"Ratio Analysis";#N/A,#N/A,FALSE,"Test 120 Day Accts";#N/A,#N/A,FALSE,"Tickmarks"}</definedName>
    <definedName name="l_2_4_3_5" hidden="1">{#N/A,#N/A,FALSE,"Aging Summary";#N/A,#N/A,FALSE,"Ratio Analysis";#N/A,#N/A,FALSE,"Test 120 Day Accts";#N/A,#N/A,FALSE,"Tickmarks"}</definedName>
    <definedName name="l_2_4_4" localSheetId="0" hidden="1">{#N/A,#N/A,FALSE,"Aging Summary";#N/A,#N/A,FALSE,"Ratio Analysis";#N/A,#N/A,FALSE,"Test 120 Day Accts";#N/A,#N/A,FALSE,"Tickmarks"}</definedName>
    <definedName name="l_2_4_4" localSheetId="6" hidden="1">{#N/A,#N/A,FALSE,"Aging Summary";#N/A,#N/A,FALSE,"Ratio Analysis";#N/A,#N/A,FALSE,"Test 120 Day Accts";#N/A,#N/A,FALSE,"Tickmarks"}</definedName>
    <definedName name="l_2_4_4" hidden="1">{#N/A,#N/A,FALSE,"Aging Summary";#N/A,#N/A,FALSE,"Ratio Analysis";#N/A,#N/A,FALSE,"Test 120 Day Accts";#N/A,#N/A,FALSE,"Tickmarks"}</definedName>
    <definedName name="l_2_4_4_1" localSheetId="0" hidden="1">{#N/A,#N/A,FALSE,"Aging Summary";#N/A,#N/A,FALSE,"Ratio Analysis";#N/A,#N/A,FALSE,"Test 120 Day Accts";#N/A,#N/A,FALSE,"Tickmarks"}</definedName>
    <definedName name="l_2_4_4_1" localSheetId="6" hidden="1">{#N/A,#N/A,FALSE,"Aging Summary";#N/A,#N/A,FALSE,"Ratio Analysis";#N/A,#N/A,FALSE,"Test 120 Day Accts";#N/A,#N/A,FALSE,"Tickmarks"}</definedName>
    <definedName name="l_2_4_4_1" hidden="1">{#N/A,#N/A,FALSE,"Aging Summary";#N/A,#N/A,FALSE,"Ratio Analysis";#N/A,#N/A,FALSE,"Test 120 Day Accts";#N/A,#N/A,FALSE,"Tickmarks"}</definedName>
    <definedName name="l_2_4_4_2" localSheetId="0" hidden="1">{#N/A,#N/A,FALSE,"Aging Summary";#N/A,#N/A,FALSE,"Ratio Analysis";#N/A,#N/A,FALSE,"Test 120 Day Accts";#N/A,#N/A,FALSE,"Tickmarks"}</definedName>
    <definedName name="l_2_4_4_2" localSheetId="6" hidden="1">{#N/A,#N/A,FALSE,"Aging Summary";#N/A,#N/A,FALSE,"Ratio Analysis";#N/A,#N/A,FALSE,"Test 120 Day Accts";#N/A,#N/A,FALSE,"Tickmarks"}</definedName>
    <definedName name="l_2_4_4_2" hidden="1">{#N/A,#N/A,FALSE,"Aging Summary";#N/A,#N/A,FALSE,"Ratio Analysis";#N/A,#N/A,FALSE,"Test 120 Day Accts";#N/A,#N/A,FALSE,"Tickmarks"}</definedName>
    <definedName name="l_2_4_4_3" localSheetId="0" hidden="1">{#N/A,#N/A,FALSE,"Aging Summary";#N/A,#N/A,FALSE,"Ratio Analysis";#N/A,#N/A,FALSE,"Test 120 Day Accts";#N/A,#N/A,FALSE,"Tickmarks"}</definedName>
    <definedName name="l_2_4_4_3" localSheetId="6" hidden="1">{#N/A,#N/A,FALSE,"Aging Summary";#N/A,#N/A,FALSE,"Ratio Analysis";#N/A,#N/A,FALSE,"Test 120 Day Accts";#N/A,#N/A,FALSE,"Tickmarks"}</definedName>
    <definedName name="l_2_4_4_3" hidden="1">{#N/A,#N/A,FALSE,"Aging Summary";#N/A,#N/A,FALSE,"Ratio Analysis";#N/A,#N/A,FALSE,"Test 120 Day Accts";#N/A,#N/A,FALSE,"Tickmarks"}</definedName>
    <definedName name="l_2_4_4_4" localSheetId="0" hidden="1">{#N/A,#N/A,FALSE,"Aging Summary";#N/A,#N/A,FALSE,"Ratio Analysis";#N/A,#N/A,FALSE,"Test 120 Day Accts";#N/A,#N/A,FALSE,"Tickmarks"}</definedName>
    <definedName name="l_2_4_4_4" localSheetId="6" hidden="1">{#N/A,#N/A,FALSE,"Aging Summary";#N/A,#N/A,FALSE,"Ratio Analysis";#N/A,#N/A,FALSE,"Test 120 Day Accts";#N/A,#N/A,FALSE,"Tickmarks"}</definedName>
    <definedName name="l_2_4_4_4" hidden="1">{#N/A,#N/A,FALSE,"Aging Summary";#N/A,#N/A,FALSE,"Ratio Analysis";#N/A,#N/A,FALSE,"Test 120 Day Accts";#N/A,#N/A,FALSE,"Tickmarks"}</definedName>
    <definedName name="l_2_4_4_5" localSheetId="0" hidden="1">{#N/A,#N/A,FALSE,"Aging Summary";#N/A,#N/A,FALSE,"Ratio Analysis";#N/A,#N/A,FALSE,"Test 120 Day Accts";#N/A,#N/A,FALSE,"Tickmarks"}</definedName>
    <definedName name="l_2_4_4_5" localSheetId="6" hidden="1">{#N/A,#N/A,FALSE,"Aging Summary";#N/A,#N/A,FALSE,"Ratio Analysis";#N/A,#N/A,FALSE,"Test 120 Day Accts";#N/A,#N/A,FALSE,"Tickmarks"}</definedName>
    <definedName name="l_2_4_4_5" hidden="1">{#N/A,#N/A,FALSE,"Aging Summary";#N/A,#N/A,FALSE,"Ratio Analysis";#N/A,#N/A,FALSE,"Test 120 Day Accts";#N/A,#N/A,FALSE,"Tickmarks"}</definedName>
    <definedName name="l_2_4_5" localSheetId="0" hidden="1">{#N/A,#N/A,FALSE,"Aging Summary";#N/A,#N/A,FALSE,"Ratio Analysis";#N/A,#N/A,FALSE,"Test 120 Day Accts";#N/A,#N/A,FALSE,"Tickmarks"}</definedName>
    <definedName name="l_2_4_5" localSheetId="6" hidden="1">{#N/A,#N/A,FALSE,"Aging Summary";#N/A,#N/A,FALSE,"Ratio Analysis";#N/A,#N/A,FALSE,"Test 120 Day Accts";#N/A,#N/A,FALSE,"Tickmarks"}</definedName>
    <definedName name="l_2_4_5" hidden="1">{#N/A,#N/A,FALSE,"Aging Summary";#N/A,#N/A,FALSE,"Ratio Analysis";#N/A,#N/A,FALSE,"Test 120 Day Accts";#N/A,#N/A,FALSE,"Tickmarks"}</definedName>
    <definedName name="l_2_4_5_1" localSheetId="0" hidden="1">{#N/A,#N/A,FALSE,"Aging Summary";#N/A,#N/A,FALSE,"Ratio Analysis";#N/A,#N/A,FALSE,"Test 120 Day Accts";#N/A,#N/A,FALSE,"Tickmarks"}</definedName>
    <definedName name="l_2_4_5_1" localSheetId="6" hidden="1">{#N/A,#N/A,FALSE,"Aging Summary";#N/A,#N/A,FALSE,"Ratio Analysis";#N/A,#N/A,FALSE,"Test 120 Day Accts";#N/A,#N/A,FALSE,"Tickmarks"}</definedName>
    <definedName name="l_2_4_5_1" hidden="1">{#N/A,#N/A,FALSE,"Aging Summary";#N/A,#N/A,FALSE,"Ratio Analysis";#N/A,#N/A,FALSE,"Test 120 Day Accts";#N/A,#N/A,FALSE,"Tickmarks"}</definedName>
    <definedName name="l_2_4_5_2" localSheetId="0" hidden="1">{#N/A,#N/A,FALSE,"Aging Summary";#N/A,#N/A,FALSE,"Ratio Analysis";#N/A,#N/A,FALSE,"Test 120 Day Accts";#N/A,#N/A,FALSE,"Tickmarks"}</definedName>
    <definedName name="l_2_4_5_2" localSheetId="6" hidden="1">{#N/A,#N/A,FALSE,"Aging Summary";#N/A,#N/A,FALSE,"Ratio Analysis";#N/A,#N/A,FALSE,"Test 120 Day Accts";#N/A,#N/A,FALSE,"Tickmarks"}</definedName>
    <definedName name="l_2_4_5_2" hidden="1">{#N/A,#N/A,FALSE,"Aging Summary";#N/A,#N/A,FALSE,"Ratio Analysis";#N/A,#N/A,FALSE,"Test 120 Day Accts";#N/A,#N/A,FALSE,"Tickmarks"}</definedName>
    <definedName name="l_2_4_5_3" localSheetId="0" hidden="1">{#N/A,#N/A,FALSE,"Aging Summary";#N/A,#N/A,FALSE,"Ratio Analysis";#N/A,#N/A,FALSE,"Test 120 Day Accts";#N/A,#N/A,FALSE,"Tickmarks"}</definedName>
    <definedName name="l_2_4_5_3" localSheetId="6" hidden="1">{#N/A,#N/A,FALSE,"Aging Summary";#N/A,#N/A,FALSE,"Ratio Analysis";#N/A,#N/A,FALSE,"Test 120 Day Accts";#N/A,#N/A,FALSE,"Tickmarks"}</definedName>
    <definedName name="l_2_4_5_3" hidden="1">{#N/A,#N/A,FALSE,"Aging Summary";#N/A,#N/A,FALSE,"Ratio Analysis";#N/A,#N/A,FALSE,"Test 120 Day Accts";#N/A,#N/A,FALSE,"Tickmarks"}</definedName>
    <definedName name="l_2_4_5_4" localSheetId="0" hidden="1">{#N/A,#N/A,FALSE,"Aging Summary";#N/A,#N/A,FALSE,"Ratio Analysis";#N/A,#N/A,FALSE,"Test 120 Day Accts";#N/A,#N/A,FALSE,"Tickmarks"}</definedName>
    <definedName name="l_2_4_5_4" localSheetId="6" hidden="1">{#N/A,#N/A,FALSE,"Aging Summary";#N/A,#N/A,FALSE,"Ratio Analysis";#N/A,#N/A,FALSE,"Test 120 Day Accts";#N/A,#N/A,FALSE,"Tickmarks"}</definedName>
    <definedName name="l_2_4_5_4" hidden="1">{#N/A,#N/A,FALSE,"Aging Summary";#N/A,#N/A,FALSE,"Ratio Analysis";#N/A,#N/A,FALSE,"Test 120 Day Accts";#N/A,#N/A,FALSE,"Tickmarks"}</definedName>
    <definedName name="l_2_4_5_5" localSheetId="0" hidden="1">{#N/A,#N/A,FALSE,"Aging Summary";#N/A,#N/A,FALSE,"Ratio Analysis";#N/A,#N/A,FALSE,"Test 120 Day Accts";#N/A,#N/A,FALSE,"Tickmarks"}</definedName>
    <definedName name="l_2_4_5_5" localSheetId="6" hidden="1">{#N/A,#N/A,FALSE,"Aging Summary";#N/A,#N/A,FALSE,"Ratio Analysis";#N/A,#N/A,FALSE,"Test 120 Day Accts";#N/A,#N/A,FALSE,"Tickmarks"}</definedName>
    <definedName name="l_2_4_5_5" hidden="1">{#N/A,#N/A,FALSE,"Aging Summary";#N/A,#N/A,FALSE,"Ratio Analysis";#N/A,#N/A,FALSE,"Test 120 Day Accts";#N/A,#N/A,FALSE,"Tickmarks"}</definedName>
    <definedName name="l_2_5" localSheetId="0" hidden="1">{#N/A,#N/A,FALSE,"Aging Summary";#N/A,#N/A,FALSE,"Ratio Analysis";#N/A,#N/A,FALSE,"Test 120 Day Accts";#N/A,#N/A,FALSE,"Tickmarks"}</definedName>
    <definedName name="l_2_5" localSheetId="6" hidden="1">{#N/A,#N/A,FALSE,"Aging Summary";#N/A,#N/A,FALSE,"Ratio Analysis";#N/A,#N/A,FALSE,"Test 120 Day Accts";#N/A,#N/A,FALSE,"Tickmarks"}</definedName>
    <definedName name="l_2_5" hidden="1">{#N/A,#N/A,FALSE,"Aging Summary";#N/A,#N/A,FALSE,"Ratio Analysis";#N/A,#N/A,FALSE,"Test 120 Day Accts";#N/A,#N/A,FALSE,"Tickmarks"}</definedName>
    <definedName name="l_2_5_1" localSheetId="0" hidden="1">{#N/A,#N/A,FALSE,"Aging Summary";#N/A,#N/A,FALSE,"Ratio Analysis";#N/A,#N/A,FALSE,"Test 120 Day Accts";#N/A,#N/A,FALSE,"Tickmarks"}</definedName>
    <definedName name="l_2_5_1" localSheetId="6" hidden="1">{#N/A,#N/A,FALSE,"Aging Summary";#N/A,#N/A,FALSE,"Ratio Analysis";#N/A,#N/A,FALSE,"Test 120 Day Accts";#N/A,#N/A,FALSE,"Tickmarks"}</definedName>
    <definedName name="l_2_5_1" hidden="1">{#N/A,#N/A,FALSE,"Aging Summary";#N/A,#N/A,FALSE,"Ratio Analysis";#N/A,#N/A,FALSE,"Test 120 Day Accts";#N/A,#N/A,FALSE,"Tickmarks"}</definedName>
    <definedName name="l_2_5_1_1" localSheetId="0" hidden="1">{#N/A,#N/A,FALSE,"Aging Summary";#N/A,#N/A,FALSE,"Ratio Analysis";#N/A,#N/A,FALSE,"Test 120 Day Accts";#N/A,#N/A,FALSE,"Tickmarks"}</definedName>
    <definedName name="l_2_5_1_1" localSheetId="6" hidden="1">{#N/A,#N/A,FALSE,"Aging Summary";#N/A,#N/A,FALSE,"Ratio Analysis";#N/A,#N/A,FALSE,"Test 120 Day Accts";#N/A,#N/A,FALSE,"Tickmarks"}</definedName>
    <definedName name="l_2_5_1_1" hidden="1">{#N/A,#N/A,FALSE,"Aging Summary";#N/A,#N/A,FALSE,"Ratio Analysis";#N/A,#N/A,FALSE,"Test 120 Day Accts";#N/A,#N/A,FALSE,"Tickmarks"}</definedName>
    <definedName name="l_2_5_1_2" localSheetId="0" hidden="1">{#N/A,#N/A,FALSE,"Aging Summary";#N/A,#N/A,FALSE,"Ratio Analysis";#N/A,#N/A,FALSE,"Test 120 Day Accts";#N/A,#N/A,FALSE,"Tickmarks"}</definedName>
    <definedName name="l_2_5_1_2" localSheetId="6" hidden="1">{#N/A,#N/A,FALSE,"Aging Summary";#N/A,#N/A,FALSE,"Ratio Analysis";#N/A,#N/A,FALSE,"Test 120 Day Accts";#N/A,#N/A,FALSE,"Tickmarks"}</definedName>
    <definedName name="l_2_5_1_2" hidden="1">{#N/A,#N/A,FALSE,"Aging Summary";#N/A,#N/A,FALSE,"Ratio Analysis";#N/A,#N/A,FALSE,"Test 120 Day Accts";#N/A,#N/A,FALSE,"Tickmarks"}</definedName>
    <definedName name="l_2_5_1_3" localSheetId="0" hidden="1">{#N/A,#N/A,FALSE,"Aging Summary";#N/A,#N/A,FALSE,"Ratio Analysis";#N/A,#N/A,FALSE,"Test 120 Day Accts";#N/A,#N/A,FALSE,"Tickmarks"}</definedName>
    <definedName name="l_2_5_1_3" localSheetId="6" hidden="1">{#N/A,#N/A,FALSE,"Aging Summary";#N/A,#N/A,FALSE,"Ratio Analysis";#N/A,#N/A,FALSE,"Test 120 Day Accts";#N/A,#N/A,FALSE,"Tickmarks"}</definedName>
    <definedName name="l_2_5_1_3" hidden="1">{#N/A,#N/A,FALSE,"Aging Summary";#N/A,#N/A,FALSE,"Ratio Analysis";#N/A,#N/A,FALSE,"Test 120 Day Accts";#N/A,#N/A,FALSE,"Tickmarks"}</definedName>
    <definedName name="l_2_5_1_4" localSheetId="0" hidden="1">{#N/A,#N/A,FALSE,"Aging Summary";#N/A,#N/A,FALSE,"Ratio Analysis";#N/A,#N/A,FALSE,"Test 120 Day Accts";#N/A,#N/A,FALSE,"Tickmarks"}</definedName>
    <definedName name="l_2_5_1_4" localSheetId="6" hidden="1">{#N/A,#N/A,FALSE,"Aging Summary";#N/A,#N/A,FALSE,"Ratio Analysis";#N/A,#N/A,FALSE,"Test 120 Day Accts";#N/A,#N/A,FALSE,"Tickmarks"}</definedName>
    <definedName name="l_2_5_1_4" hidden="1">{#N/A,#N/A,FALSE,"Aging Summary";#N/A,#N/A,FALSE,"Ratio Analysis";#N/A,#N/A,FALSE,"Test 120 Day Accts";#N/A,#N/A,FALSE,"Tickmarks"}</definedName>
    <definedName name="l_2_5_1_5" localSheetId="0" hidden="1">{#N/A,#N/A,FALSE,"Aging Summary";#N/A,#N/A,FALSE,"Ratio Analysis";#N/A,#N/A,FALSE,"Test 120 Day Accts";#N/A,#N/A,FALSE,"Tickmarks"}</definedName>
    <definedName name="l_2_5_1_5" localSheetId="6" hidden="1">{#N/A,#N/A,FALSE,"Aging Summary";#N/A,#N/A,FALSE,"Ratio Analysis";#N/A,#N/A,FALSE,"Test 120 Day Accts";#N/A,#N/A,FALSE,"Tickmarks"}</definedName>
    <definedName name="l_2_5_1_5" hidden="1">{#N/A,#N/A,FALSE,"Aging Summary";#N/A,#N/A,FALSE,"Ratio Analysis";#N/A,#N/A,FALSE,"Test 120 Day Accts";#N/A,#N/A,FALSE,"Tickmarks"}</definedName>
    <definedName name="l_2_5_2" localSheetId="0" hidden="1">{#N/A,#N/A,FALSE,"Aging Summary";#N/A,#N/A,FALSE,"Ratio Analysis";#N/A,#N/A,FALSE,"Test 120 Day Accts";#N/A,#N/A,FALSE,"Tickmarks"}</definedName>
    <definedName name="l_2_5_2" localSheetId="6" hidden="1">{#N/A,#N/A,FALSE,"Aging Summary";#N/A,#N/A,FALSE,"Ratio Analysis";#N/A,#N/A,FALSE,"Test 120 Day Accts";#N/A,#N/A,FALSE,"Tickmarks"}</definedName>
    <definedName name="l_2_5_2" hidden="1">{#N/A,#N/A,FALSE,"Aging Summary";#N/A,#N/A,FALSE,"Ratio Analysis";#N/A,#N/A,FALSE,"Test 120 Day Accts";#N/A,#N/A,FALSE,"Tickmarks"}</definedName>
    <definedName name="l_2_5_2_1" localSheetId="0" hidden="1">{#N/A,#N/A,FALSE,"Aging Summary";#N/A,#N/A,FALSE,"Ratio Analysis";#N/A,#N/A,FALSE,"Test 120 Day Accts";#N/A,#N/A,FALSE,"Tickmarks"}</definedName>
    <definedName name="l_2_5_2_1" localSheetId="6" hidden="1">{#N/A,#N/A,FALSE,"Aging Summary";#N/A,#N/A,FALSE,"Ratio Analysis";#N/A,#N/A,FALSE,"Test 120 Day Accts";#N/A,#N/A,FALSE,"Tickmarks"}</definedName>
    <definedName name="l_2_5_2_1" hidden="1">{#N/A,#N/A,FALSE,"Aging Summary";#N/A,#N/A,FALSE,"Ratio Analysis";#N/A,#N/A,FALSE,"Test 120 Day Accts";#N/A,#N/A,FALSE,"Tickmarks"}</definedName>
    <definedName name="l_2_5_2_2" localSheetId="0" hidden="1">{#N/A,#N/A,FALSE,"Aging Summary";#N/A,#N/A,FALSE,"Ratio Analysis";#N/A,#N/A,FALSE,"Test 120 Day Accts";#N/A,#N/A,FALSE,"Tickmarks"}</definedName>
    <definedName name="l_2_5_2_2" localSheetId="6" hidden="1">{#N/A,#N/A,FALSE,"Aging Summary";#N/A,#N/A,FALSE,"Ratio Analysis";#N/A,#N/A,FALSE,"Test 120 Day Accts";#N/A,#N/A,FALSE,"Tickmarks"}</definedName>
    <definedName name="l_2_5_2_2" hidden="1">{#N/A,#N/A,FALSE,"Aging Summary";#N/A,#N/A,FALSE,"Ratio Analysis";#N/A,#N/A,FALSE,"Test 120 Day Accts";#N/A,#N/A,FALSE,"Tickmarks"}</definedName>
    <definedName name="l_2_5_2_3" localSheetId="0" hidden="1">{#N/A,#N/A,FALSE,"Aging Summary";#N/A,#N/A,FALSE,"Ratio Analysis";#N/A,#N/A,FALSE,"Test 120 Day Accts";#N/A,#N/A,FALSE,"Tickmarks"}</definedName>
    <definedName name="l_2_5_2_3" localSheetId="6" hidden="1">{#N/A,#N/A,FALSE,"Aging Summary";#N/A,#N/A,FALSE,"Ratio Analysis";#N/A,#N/A,FALSE,"Test 120 Day Accts";#N/A,#N/A,FALSE,"Tickmarks"}</definedName>
    <definedName name="l_2_5_2_3" hidden="1">{#N/A,#N/A,FALSE,"Aging Summary";#N/A,#N/A,FALSE,"Ratio Analysis";#N/A,#N/A,FALSE,"Test 120 Day Accts";#N/A,#N/A,FALSE,"Tickmarks"}</definedName>
    <definedName name="l_2_5_2_4" localSheetId="0" hidden="1">{#N/A,#N/A,FALSE,"Aging Summary";#N/A,#N/A,FALSE,"Ratio Analysis";#N/A,#N/A,FALSE,"Test 120 Day Accts";#N/A,#N/A,FALSE,"Tickmarks"}</definedName>
    <definedName name="l_2_5_2_4" localSheetId="6" hidden="1">{#N/A,#N/A,FALSE,"Aging Summary";#N/A,#N/A,FALSE,"Ratio Analysis";#N/A,#N/A,FALSE,"Test 120 Day Accts";#N/A,#N/A,FALSE,"Tickmarks"}</definedName>
    <definedName name="l_2_5_2_4" hidden="1">{#N/A,#N/A,FALSE,"Aging Summary";#N/A,#N/A,FALSE,"Ratio Analysis";#N/A,#N/A,FALSE,"Test 120 Day Accts";#N/A,#N/A,FALSE,"Tickmarks"}</definedName>
    <definedName name="l_2_5_2_5" localSheetId="0" hidden="1">{#N/A,#N/A,FALSE,"Aging Summary";#N/A,#N/A,FALSE,"Ratio Analysis";#N/A,#N/A,FALSE,"Test 120 Day Accts";#N/A,#N/A,FALSE,"Tickmarks"}</definedName>
    <definedName name="l_2_5_2_5" localSheetId="6" hidden="1">{#N/A,#N/A,FALSE,"Aging Summary";#N/A,#N/A,FALSE,"Ratio Analysis";#N/A,#N/A,FALSE,"Test 120 Day Accts";#N/A,#N/A,FALSE,"Tickmarks"}</definedName>
    <definedName name="l_2_5_2_5" hidden="1">{#N/A,#N/A,FALSE,"Aging Summary";#N/A,#N/A,FALSE,"Ratio Analysis";#N/A,#N/A,FALSE,"Test 120 Day Accts";#N/A,#N/A,FALSE,"Tickmarks"}</definedName>
    <definedName name="l_2_5_3" localSheetId="0" hidden="1">{#N/A,#N/A,FALSE,"Aging Summary";#N/A,#N/A,FALSE,"Ratio Analysis";#N/A,#N/A,FALSE,"Test 120 Day Accts";#N/A,#N/A,FALSE,"Tickmarks"}</definedName>
    <definedName name="l_2_5_3" localSheetId="6" hidden="1">{#N/A,#N/A,FALSE,"Aging Summary";#N/A,#N/A,FALSE,"Ratio Analysis";#N/A,#N/A,FALSE,"Test 120 Day Accts";#N/A,#N/A,FALSE,"Tickmarks"}</definedName>
    <definedName name="l_2_5_3" hidden="1">{#N/A,#N/A,FALSE,"Aging Summary";#N/A,#N/A,FALSE,"Ratio Analysis";#N/A,#N/A,FALSE,"Test 120 Day Accts";#N/A,#N/A,FALSE,"Tickmarks"}</definedName>
    <definedName name="l_2_5_3_1" localSheetId="0" hidden="1">{#N/A,#N/A,FALSE,"Aging Summary";#N/A,#N/A,FALSE,"Ratio Analysis";#N/A,#N/A,FALSE,"Test 120 Day Accts";#N/A,#N/A,FALSE,"Tickmarks"}</definedName>
    <definedName name="l_2_5_3_1" localSheetId="6" hidden="1">{#N/A,#N/A,FALSE,"Aging Summary";#N/A,#N/A,FALSE,"Ratio Analysis";#N/A,#N/A,FALSE,"Test 120 Day Accts";#N/A,#N/A,FALSE,"Tickmarks"}</definedName>
    <definedName name="l_2_5_3_1" hidden="1">{#N/A,#N/A,FALSE,"Aging Summary";#N/A,#N/A,FALSE,"Ratio Analysis";#N/A,#N/A,FALSE,"Test 120 Day Accts";#N/A,#N/A,FALSE,"Tickmarks"}</definedName>
    <definedName name="l_2_5_3_2" localSheetId="0" hidden="1">{#N/A,#N/A,FALSE,"Aging Summary";#N/A,#N/A,FALSE,"Ratio Analysis";#N/A,#N/A,FALSE,"Test 120 Day Accts";#N/A,#N/A,FALSE,"Tickmarks"}</definedName>
    <definedName name="l_2_5_3_2" localSheetId="6" hidden="1">{#N/A,#N/A,FALSE,"Aging Summary";#N/A,#N/A,FALSE,"Ratio Analysis";#N/A,#N/A,FALSE,"Test 120 Day Accts";#N/A,#N/A,FALSE,"Tickmarks"}</definedName>
    <definedName name="l_2_5_3_2" hidden="1">{#N/A,#N/A,FALSE,"Aging Summary";#N/A,#N/A,FALSE,"Ratio Analysis";#N/A,#N/A,FALSE,"Test 120 Day Accts";#N/A,#N/A,FALSE,"Tickmarks"}</definedName>
    <definedName name="l_2_5_3_3" localSheetId="0" hidden="1">{#N/A,#N/A,FALSE,"Aging Summary";#N/A,#N/A,FALSE,"Ratio Analysis";#N/A,#N/A,FALSE,"Test 120 Day Accts";#N/A,#N/A,FALSE,"Tickmarks"}</definedName>
    <definedName name="l_2_5_3_3" localSheetId="6" hidden="1">{#N/A,#N/A,FALSE,"Aging Summary";#N/A,#N/A,FALSE,"Ratio Analysis";#N/A,#N/A,FALSE,"Test 120 Day Accts";#N/A,#N/A,FALSE,"Tickmarks"}</definedName>
    <definedName name="l_2_5_3_3" hidden="1">{#N/A,#N/A,FALSE,"Aging Summary";#N/A,#N/A,FALSE,"Ratio Analysis";#N/A,#N/A,FALSE,"Test 120 Day Accts";#N/A,#N/A,FALSE,"Tickmarks"}</definedName>
    <definedName name="l_2_5_3_4" localSheetId="0" hidden="1">{#N/A,#N/A,FALSE,"Aging Summary";#N/A,#N/A,FALSE,"Ratio Analysis";#N/A,#N/A,FALSE,"Test 120 Day Accts";#N/A,#N/A,FALSE,"Tickmarks"}</definedName>
    <definedName name="l_2_5_3_4" localSheetId="6" hidden="1">{#N/A,#N/A,FALSE,"Aging Summary";#N/A,#N/A,FALSE,"Ratio Analysis";#N/A,#N/A,FALSE,"Test 120 Day Accts";#N/A,#N/A,FALSE,"Tickmarks"}</definedName>
    <definedName name="l_2_5_3_4" hidden="1">{#N/A,#N/A,FALSE,"Aging Summary";#N/A,#N/A,FALSE,"Ratio Analysis";#N/A,#N/A,FALSE,"Test 120 Day Accts";#N/A,#N/A,FALSE,"Tickmarks"}</definedName>
    <definedName name="l_2_5_3_5" localSheetId="0" hidden="1">{#N/A,#N/A,FALSE,"Aging Summary";#N/A,#N/A,FALSE,"Ratio Analysis";#N/A,#N/A,FALSE,"Test 120 Day Accts";#N/A,#N/A,FALSE,"Tickmarks"}</definedName>
    <definedName name="l_2_5_3_5" localSheetId="6" hidden="1">{#N/A,#N/A,FALSE,"Aging Summary";#N/A,#N/A,FALSE,"Ratio Analysis";#N/A,#N/A,FALSE,"Test 120 Day Accts";#N/A,#N/A,FALSE,"Tickmarks"}</definedName>
    <definedName name="l_2_5_3_5" hidden="1">{#N/A,#N/A,FALSE,"Aging Summary";#N/A,#N/A,FALSE,"Ratio Analysis";#N/A,#N/A,FALSE,"Test 120 Day Accts";#N/A,#N/A,FALSE,"Tickmarks"}</definedName>
    <definedName name="l_2_5_4" localSheetId="0" hidden="1">{#N/A,#N/A,FALSE,"Aging Summary";#N/A,#N/A,FALSE,"Ratio Analysis";#N/A,#N/A,FALSE,"Test 120 Day Accts";#N/A,#N/A,FALSE,"Tickmarks"}</definedName>
    <definedName name="l_2_5_4" localSheetId="6" hidden="1">{#N/A,#N/A,FALSE,"Aging Summary";#N/A,#N/A,FALSE,"Ratio Analysis";#N/A,#N/A,FALSE,"Test 120 Day Accts";#N/A,#N/A,FALSE,"Tickmarks"}</definedName>
    <definedName name="l_2_5_4" hidden="1">{#N/A,#N/A,FALSE,"Aging Summary";#N/A,#N/A,FALSE,"Ratio Analysis";#N/A,#N/A,FALSE,"Test 120 Day Accts";#N/A,#N/A,FALSE,"Tickmarks"}</definedName>
    <definedName name="l_2_5_4_1" localSheetId="0" hidden="1">{#N/A,#N/A,FALSE,"Aging Summary";#N/A,#N/A,FALSE,"Ratio Analysis";#N/A,#N/A,FALSE,"Test 120 Day Accts";#N/A,#N/A,FALSE,"Tickmarks"}</definedName>
    <definedName name="l_2_5_4_1" localSheetId="6" hidden="1">{#N/A,#N/A,FALSE,"Aging Summary";#N/A,#N/A,FALSE,"Ratio Analysis";#N/A,#N/A,FALSE,"Test 120 Day Accts";#N/A,#N/A,FALSE,"Tickmarks"}</definedName>
    <definedName name="l_2_5_4_1" hidden="1">{#N/A,#N/A,FALSE,"Aging Summary";#N/A,#N/A,FALSE,"Ratio Analysis";#N/A,#N/A,FALSE,"Test 120 Day Accts";#N/A,#N/A,FALSE,"Tickmarks"}</definedName>
    <definedName name="l_2_5_4_2" localSheetId="0" hidden="1">{#N/A,#N/A,FALSE,"Aging Summary";#N/A,#N/A,FALSE,"Ratio Analysis";#N/A,#N/A,FALSE,"Test 120 Day Accts";#N/A,#N/A,FALSE,"Tickmarks"}</definedName>
    <definedName name="l_2_5_4_2" localSheetId="6" hidden="1">{#N/A,#N/A,FALSE,"Aging Summary";#N/A,#N/A,FALSE,"Ratio Analysis";#N/A,#N/A,FALSE,"Test 120 Day Accts";#N/A,#N/A,FALSE,"Tickmarks"}</definedName>
    <definedName name="l_2_5_4_2" hidden="1">{#N/A,#N/A,FALSE,"Aging Summary";#N/A,#N/A,FALSE,"Ratio Analysis";#N/A,#N/A,FALSE,"Test 120 Day Accts";#N/A,#N/A,FALSE,"Tickmarks"}</definedName>
    <definedName name="l_2_5_4_3" localSheetId="0" hidden="1">{#N/A,#N/A,FALSE,"Aging Summary";#N/A,#N/A,FALSE,"Ratio Analysis";#N/A,#N/A,FALSE,"Test 120 Day Accts";#N/A,#N/A,FALSE,"Tickmarks"}</definedName>
    <definedName name="l_2_5_4_3" localSheetId="6" hidden="1">{#N/A,#N/A,FALSE,"Aging Summary";#N/A,#N/A,FALSE,"Ratio Analysis";#N/A,#N/A,FALSE,"Test 120 Day Accts";#N/A,#N/A,FALSE,"Tickmarks"}</definedName>
    <definedName name="l_2_5_4_3" hidden="1">{#N/A,#N/A,FALSE,"Aging Summary";#N/A,#N/A,FALSE,"Ratio Analysis";#N/A,#N/A,FALSE,"Test 120 Day Accts";#N/A,#N/A,FALSE,"Tickmarks"}</definedName>
    <definedName name="l_2_5_4_4" localSheetId="0" hidden="1">{#N/A,#N/A,FALSE,"Aging Summary";#N/A,#N/A,FALSE,"Ratio Analysis";#N/A,#N/A,FALSE,"Test 120 Day Accts";#N/A,#N/A,FALSE,"Tickmarks"}</definedName>
    <definedName name="l_2_5_4_4" localSheetId="6" hidden="1">{#N/A,#N/A,FALSE,"Aging Summary";#N/A,#N/A,FALSE,"Ratio Analysis";#N/A,#N/A,FALSE,"Test 120 Day Accts";#N/A,#N/A,FALSE,"Tickmarks"}</definedName>
    <definedName name="l_2_5_4_4" hidden="1">{#N/A,#N/A,FALSE,"Aging Summary";#N/A,#N/A,FALSE,"Ratio Analysis";#N/A,#N/A,FALSE,"Test 120 Day Accts";#N/A,#N/A,FALSE,"Tickmarks"}</definedName>
    <definedName name="l_2_5_4_5" localSheetId="0" hidden="1">{#N/A,#N/A,FALSE,"Aging Summary";#N/A,#N/A,FALSE,"Ratio Analysis";#N/A,#N/A,FALSE,"Test 120 Day Accts";#N/A,#N/A,FALSE,"Tickmarks"}</definedName>
    <definedName name="l_2_5_4_5" localSheetId="6" hidden="1">{#N/A,#N/A,FALSE,"Aging Summary";#N/A,#N/A,FALSE,"Ratio Analysis";#N/A,#N/A,FALSE,"Test 120 Day Accts";#N/A,#N/A,FALSE,"Tickmarks"}</definedName>
    <definedName name="l_2_5_4_5" hidden="1">{#N/A,#N/A,FALSE,"Aging Summary";#N/A,#N/A,FALSE,"Ratio Analysis";#N/A,#N/A,FALSE,"Test 120 Day Accts";#N/A,#N/A,FALSE,"Tickmarks"}</definedName>
    <definedName name="l_2_5_5" localSheetId="0" hidden="1">{#N/A,#N/A,FALSE,"Aging Summary";#N/A,#N/A,FALSE,"Ratio Analysis";#N/A,#N/A,FALSE,"Test 120 Day Accts";#N/A,#N/A,FALSE,"Tickmarks"}</definedName>
    <definedName name="l_2_5_5" localSheetId="6" hidden="1">{#N/A,#N/A,FALSE,"Aging Summary";#N/A,#N/A,FALSE,"Ratio Analysis";#N/A,#N/A,FALSE,"Test 120 Day Accts";#N/A,#N/A,FALSE,"Tickmarks"}</definedName>
    <definedName name="l_2_5_5" hidden="1">{#N/A,#N/A,FALSE,"Aging Summary";#N/A,#N/A,FALSE,"Ratio Analysis";#N/A,#N/A,FALSE,"Test 120 Day Accts";#N/A,#N/A,FALSE,"Tickmarks"}</definedName>
    <definedName name="l_2_5_5_1" localSheetId="0" hidden="1">{#N/A,#N/A,FALSE,"Aging Summary";#N/A,#N/A,FALSE,"Ratio Analysis";#N/A,#N/A,FALSE,"Test 120 Day Accts";#N/A,#N/A,FALSE,"Tickmarks"}</definedName>
    <definedName name="l_2_5_5_1" localSheetId="6" hidden="1">{#N/A,#N/A,FALSE,"Aging Summary";#N/A,#N/A,FALSE,"Ratio Analysis";#N/A,#N/A,FALSE,"Test 120 Day Accts";#N/A,#N/A,FALSE,"Tickmarks"}</definedName>
    <definedName name="l_2_5_5_1" hidden="1">{#N/A,#N/A,FALSE,"Aging Summary";#N/A,#N/A,FALSE,"Ratio Analysis";#N/A,#N/A,FALSE,"Test 120 Day Accts";#N/A,#N/A,FALSE,"Tickmarks"}</definedName>
    <definedName name="l_2_5_5_2" localSheetId="0" hidden="1">{#N/A,#N/A,FALSE,"Aging Summary";#N/A,#N/A,FALSE,"Ratio Analysis";#N/A,#N/A,FALSE,"Test 120 Day Accts";#N/A,#N/A,FALSE,"Tickmarks"}</definedName>
    <definedName name="l_2_5_5_2" localSheetId="6" hidden="1">{#N/A,#N/A,FALSE,"Aging Summary";#N/A,#N/A,FALSE,"Ratio Analysis";#N/A,#N/A,FALSE,"Test 120 Day Accts";#N/A,#N/A,FALSE,"Tickmarks"}</definedName>
    <definedName name="l_2_5_5_2" hidden="1">{#N/A,#N/A,FALSE,"Aging Summary";#N/A,#N/A,FALSE,"Ratio Analysis";#N/A,#N/A,FALSE,"Test 120 Day Accts";#N/A,#N/A,FALSE,"Tickmarks"}</definedName>
    <definedName name="l_2_5_5_3" localSheetId="0" hidden="1">{#N/A,#N/A,FALSE,"Aging Summary";#N/A,#N/A,FALSE,"Ratio Analysis";#N/A,#N/A,FALSE,"Test 120 Day Accts";#N/A,#N/A,FALSE,"Tickmarks"}</definedName>
    <definedName name="l_2_5_5_3" localSheetId="6" hidden="1">{#N/A,#N/A,FALSE,"Aging Summary";#N/A,#N/A,FALSE,"Ratio Analysis";#N/A,#N/A,FALSE,"Test 120 Day Accts";#N/A,#N/A,FALSE,"Tickmarks"}</definedName>
    <definedName name="l_2_5_5_3" hidden="1">{#N/A,#N/A,FALSE,"Aging Summary";#N/A,#N/A,FALSE,"Ratio Analysis";#N/A,#N/A,FALSE,"Test 120 Day Accts";#N/A,#N/A,FALSE,"Tickmarks"}</definedName>
    <definedName name="l_2_5_5_4" localSheetId="0" hidden="1">{#N/A,#N/A,FALSE,"Aging Summary";#N/A,#N/A,FALSE,"Ratio Analysis";#N/A,#N/A,FALSE,"Test 120 Day Accts";#N/A,#N/A,FALSE,"Tickmarks"}</definedName>
    <definedName name="l_2_5_5_4" localSheetId="6" hidden="1">{#N/A,#N/A,FALSE,"Aging Summary";#N/A,#N/A,FALSE,"Ratio Analysis";#N/A,#N/A,FALSE,"Test 120 Day Accts";#N/A,#N/A,FALSE,"Tickmarks"}</definedName>
    <definedName name="l_2_5_5_4" hidden="1">{#N/A,#N/A,FALSE,"Aging Summary";#N/A,#N/A,FALSE,"Ratio Analysis";#N/A,#N/A,FALSE,"Test 120 Day Accts";#N/A,#N/A,FALSE,"Tickmarks"}</definedName>
    <definedName name="l_2_5_5_5" localSheetId="0" hidden="1">{#N/A,#N/A,FALSE,"Aging Summary";#N/A,#N/A,FALSE,"Ratio Analysis";#N/A,#N/A,FALSE,"Test 120 Day Accts";#N/A,#N/A,FALSE,"Tickmarks"}</definedName>
    <definedName name="l_2_5_5_5" localSheetId="6" hidden="1">{#N/A,#N/A,FALSE,"Aging Summary";#N/A,#N/A,FALSE,"Ratio Analysis";#N/A,#N/A,FALSE,"Test 120 Day Accts";#N/A,#N/A,FALSE,"Tickmarks"}</definedName>
    <definedName name="l_2_5_5_5" hidden="1">{#N/A,#N/A,FALSE,"Aging Summary";#N/A,#N/A,FALSE,"Ratio Analysis";#N/A,#N/A,FALSE,"Test 120 Day Accts";#N/A,#N/A,FALSE,"Tickmarks"}</definedName>
    <definedName name="l_3" localSheetId="0" hidden="1">{#N/A,#N/A,FALSE,"Aging Summary";#N/A,#N/A,FALSE,"Ratio Analysis";#N/A,#N/A,FALSE,"Test 120 Day Accts";#N/A,#N/A,FALSE,"Tickmarks"}</definedName>
    <definedName name="l_3" localSheetId="6" hidden="1">{#N/A,#N/A,FALSE,"Aging Summary";#N/A,#N/A,FALSE,"Ratio Analysis";#N/A,#N/A,FALSE,"Test 120 Day Accts";#N/A,#N/A,FALSE,"Tickmarks"}</definedName>
    <definedName name="l_3" hidden="1">{#N/A,#N/A,FALSE,"Aging Summary";#N/A,#N/A,FALSE,"Ratio Analysis";#N/A,#N/A,FALSE,"Test 120 Day Accts";#N/A,#N/A,FALSE,"Tickmarks"}</definedName>
    <definedName name="l_3_1" localSheetId="0" hidden="1">{#N/A,#N/A,FALSE,"Aging Summary";#N/A,#N/A,FALSE,"Ratio Analysis";#N/A,#N/A,FALSE,"Test 120 Day Accts";#N/A,#N/A,FALSE,"Tickmarks"}</definedName>
    <definedName name="l_3_1" localSheetId="6" hidden="1">{#N/A,#N/A,FALSE,"Aging Summary";#N/A,#N/A,FALSE,"Ratio Analysis";#N/A,#N/A,FALSE,"Test 120 Day Accts";#N/A,#N/A,FALSE,"Tickmarks"}</definedName>
    <definedName name="l_3_1" hidden="1">{#N/A,#N/A,FALSE,"Aging Summary";#N/A,#N/A,FALSE,"Ratio Analysis";#N/A,#N/A,FALSE,"Test 120 Day Accts";#N/A,#N/A,FALSE,"Tickmarks"}</definedName>
    <definedName name="l_3_1_1" localSheetId="0" hidden="1">{#N/A,#N/A,FALSE,"Aging Summary";#N/A,#N/A,FALSE,"Ratio Analysis";#N/A,#N/A,FALSE,"Test 120 Day Accts";#N/A,#N/A,FALSE,"Tickmarks"}</definedName>
    <definedName name="l_3_1_1" localSheetId="6" hidden="1">{#N/A,#N/A,FALSE,"Aging Summary";#N/A,#N/A,FALSE,"Ratio Analysis";#N/A,#N/A,FALSE,"Test 120 Day Accts";#N/A,#N/A,FALSE,"Tickmarks"}</definedName>
    <definedName name="l_3_1_1" hidden="1">{#N/A,#N/A,FALSE,"Aging Summary";#N/A,#N/A,FALSE,"Ratio Analysis";#N/A,#N/A,FALSE,"Test 120 Day Accts";#N/A,#N/A,FALSE,"Tickmarks"}</definedName>
    <definedName name="l_3_1_2" localSheetId="0" hidden="1">{#N/A,#N/A,FALSE,"Aging Summary";#N/A,#N/A,FALSE,"Ratio Analysis";#N/A,#N/A,FALSE,"Test 120 Day Accts";#N/A,#N/A,FALSE,"Tickmarks"}</definedName>
    <definedName name="l_3_1_2" localSheetId="6" hidden="1">{#N/A,#N/A,FALSE,"Aging Summary";#N/A,#N/A,FALSE,"Ratio Analysis";#N/A,#N/A,FALSE,"Test 120 Day Accts";#N/A,#N/A,FALSE,"Tickmarks"}</definedName>
    <definedName name="l_3_1_2" hidden="1">{#N/A,#N/A,FALSE,"Aging Summary";#N/A,#N/A,FALSE,"Ratio Analysis";#N/A,#N/A,FALSE,"Test 120 Day Accts";#N/A,#N/A,FALSE,"Tickmarks"}</definedName>
    <definedName name="l_3_1_3" localSheetId="0" hidden="1">{#N/A,#N/A,FALSE,"Aging Summary";#N/A,#N/A,FALSE,"Ratio Analysis";#N/A,#N/A,FALSE,"Test 120 Day Accts";#N/A,#N/A,FALSE,"Tickmarks"}</definedName>
    <definedName name="l_3_1_3" localSheetId="6" hidden="1">{#N/A,#N/A,FALSE,"Aging Summary";#N/A,#N/A,FALSE,"Ratio Analysis";#N/A,#N/A,FALSE,"Test 120 Day Accts";#N/A,#N/A,FALSE,"Tickmarks"}</definedName>
    <definedName name="l_3_1_3" hidden="1">{#N/A,#N/A,FALSE,"Aging Summary";#N/A,#N/A,FALSE,"Ratio Analysis";#N/A,#N/A,FALSE,"Test 120 Day Accts";#N/A,#N/A,FALSE,"Tickmarks"}</definedName>
    <definedName name="l_3_1_4" localSheetId="0" hidden="1">{#N/A,#N/A,FALSE,"Aging Summary";#N/A,#N/A,FALSE,"Ratio Analysis";#N/A,#N/A,FALSE,"Test 120 Day Accts";#N/A,#N/A,FALSE,"Tickmarks"}</definedName>
    <definedName name="l_3_1_4" localSheetId="6" hidden="1">{#N/A,#N/A,FALSE,"Aging Summary";#N/A,#N/A,FALSE,"Ratio Analysis";#N/A,#N/A,FALSE,"Test 120 Day Accts";#N/A,#N/A,FALSE,"Tickmarks"}</definedName>
    <definedName name="l_3_1_4" hidden="1">{#N/A,#N/A,FALSE,"Aging Summary";#N/A,#N/A,FALSE,"Ratio Analysis";#N/A,#N/A,FALSE,"Test 120 Day Accts";#N/A,#N/A,FALSE,"Tickmarks"}</definedName>
    <definedName name="l_3_1_5" localSheetId="0" hidden="1">{#N/A,#N/A,FALSE,"Aging Summary";#N/A,#N/A,FALSE,"Ratio Analysis";#N/A,#N/A,FALSE,"Test 120 Day Accts";#N/A,#N/A,FALSE,"Tickmarks"}</definedName>
    <definedName name="l_3_1_5" localSheetId="6" hidden="1">{#N/A,#N/A,FALSE,"Aging Summary";#N/A,#N/A,FALSE,"Ratio Analysis";#N/A,#N/A,FALSE,"Test 120 Day Accts";#N/A,#N/A,FALSE,"Tickmarks"}</definedName>
    <definedName name="l_3_1_5" hidden="1">{#N/A,#N/A,FALSE,"Aging Summary";#N/A,#N/A,FALSE,"Ratio Analysis";#N/A,#N/A,FALSE,"Test 120 Day Accts";#N/A,#N/A,FALSE,"Tickmarks"}</definedName>
    <definedName name="l_3_2" localSheetId="0" hidden="1">{#N/A,#N/A,FALSE,"Aging Summary";#N/A,#N/A,FALSE,"Ratio Analysis";#N/A,#N/A,FALSE,"Test 120 Day Accts";#N/A,#N/A,FALSE,"Tickmarks"}</definedName>
    <definedName name="l_3_2" localSheetId="6" hidden="1">{#N/A,#N/A,FALSE,"Aging Summary";#N/A,#N/A,FALSE,"Ratio Analysis";#N/A,#N/A,FALSE,"Test 120 Day Accts";#N/A,#N/A,FALSE,"Tickmarks"}</definedName>
    <definedName name="l_3_2" hidden="1">{#N/A,#N/A,FALSE,"Aging Summary";#N/A,#N/A,FALSE,"Ratio Analysis";#N/A,#N/A,FALSE,"Test 120 Day Accts";#N/A,#N/A,FALSE,"Tickmarks"}</definedName>
    <definedName name="l_3_2_1" localSheetId="0" hidden="1">{#N/A,#N/A,FALSE,"Aging Summary";#N/A,#N/A,FALSE,"Ratio Analysis";#N/A,#N/A,FALSE,"Test 120 Day Accts";#N/A,#N/A,FALSE,"Tickmarks"}</definedName>
    <definedName name="l_3_2_1" localSheetId="6" hidden="1">{#N/A,#N/A,FALSE,"Aging Summary";#N/A,#N/A,FALSE,"Ratio Analysis";#N/A,#N/A,FALSE,"Test 120 Day Accts";#N/A,#N/A,FALSE,"Tickmarks"}</definedName>
    <definedName name="l_3_2_1" hidden="1">{#N/A,#N/A,FALSE,"Aging Summary";#N/A,#N/A,FALSE,"Ratio Analysis";#N/A,#N/A,FALSE,"Test 120 Day Accts";#N/A,#N/A,FALSE,"Tickmarks"}</definedName>
    <definedName name="l_3_2_2" localSheetId="0" hidden="1">{#N/A,#N/A,FALSE,"Aging Summary";#N/A,#N/A,FALSE,"Ratio Analysis";#N/A,#N/A,FALSE,"Test 120 Day Accts";#N/A,#N/A,FALSE,"Tickmarks"}</definedName>
    <definedName name="l_3_2_2" localSheetId="6" hidden="1">{#N/A,#N/A,FALSE,"Aging Summary";#N/A,#N/A,FALSE,"Ratio Analysis";#N/A,#N/A,FALSE,"Test 120 Day Accts";#N/A,#N/A,FALSE,"Tickmarks"}</definedName>
    <definedName name="l_3_2_2" hidden="1">{#N/A,#N/A,FALSE,"Aging Summary";#N/A,#N/A,FALSE,"Ratio Analysis";#N/A,#N/A,FALSE,"Test 120 Day Accts";#N/A,#N/A,FALSE,"Tickmarks"}</definedName>
    <definedName name="l_3_2_3" localSheetId="0" hidden="1">{#N/A,#N/A,FALSE,"Aging Summary";#N/A,#N/A,FALSE,"Ratio Analysis";#N/A,#N/A,FALSE,"Test 120 Day Accts";#N/A,#N/A,FALSE,"Tickmarks"}</definedName>
    <definedName name="l_3_2_3" localSheetId="6" hidden="1">{#N/A,#N/A,FALSE,"Aging Summary";#N/A,#N/A,FALSE,"Ratio Analysis";#N/A,#N/A,FALSE,"Test 120 Day Accts";#N/A,#N/A,FALSE,"Tickmarks"}</definedName>
    <definedName name="l_3_2_3" hidden="1">{#N/A,#N/A,FALSE,"Aging Summary";#N/A,#N/A,FALSE,"Ratio Analysis";#N/A,#N/A,FALSE,"Test 120 Day Accts";#N/A,#N/A,FALSE,"Tickmarks"}</definedName>
    <definedName name="l_3_2_4" localSheetId="0" hidden="1">{#N/A,#N/A,FALSE,"Aging Summary";#N/A,#N/A,FALSE,"Ratio Analysis";#N/A,#N/A,FALSE,"Test 120 Day Accts";#N/A,#N/A,FALSE,"Tickmarks"}</definedName>
    <definedName name="l_3_2_4" localSheetId="6" hidden="1">{#N/A,#N/A,FALSE,"Aging Summary";#N/A,#N/A,FALSE,"Ratio Analysis";#N/A,#N/A,FALSE,"Test 120 Day Accts";#N/A,#N/A,FALSE,"Tickmarks"}</definedName>
    <definedName name="l_3_2_4" hidden="1">{#N/A,#N/A,FALSE,"Aging Summary";#N/A,#N/A,FALSE,"Ratio Analysis";#N/A,#N/A,FALSE,"Test 120 Day Accts";#N/A,#N/A,FALSE,"Tickmarks"}</definedName>
    <definedName name="l_3_2_5" localSheetId="0" hidden="1">{#N/A,#N/A,FALSE,"Aging Summary";#N/A,#N/A,FALSE,"Ratio Analysis";#N/A,#N/A,FALSE,"Test 120 Day Accts";#N/A,#N/A,FALSE,"Tickmarks"}</definedName>
    <definedName name="l_3_2_5" localSheetId="6" hidden="1">{#N/A,#N/A,FALSE,"Aging Summary";#N/A,#N/A,FALSE,"Ratio Analysis";#N/A,#N/A,FALSE,"Test 120 Day Accts";#N/A,#N/A,FALSE,"Tickmarks"}</definedName>
    <definedName name="l_3_2_5" hidden="1">{#N/A,#N/A,FALSE,"Aging Summary";#N/A,#N/A,FALSE,"Ratio Analysis";#N/A,#N/A,FALSE,"Test 120 Day Accts";#N/A,#N/A,FALSE,"Tickmarks"}</definedName>
    <definedName name="l_3_3" localSheetId="0" hidden="1">{#N/A,#N/A,FALSE,"Aging Summary";#N/A,#N/A,FALSE,"Ratio Analysis";#N/A,#N/A,FALSE,"Test 120 Day Accts";#N/A,#N/A,FALSE,"Tickmarks"}</definedName>
    <definedName name="l_3_3" localSheetId="6" hidden="1">{#N/A,#N/A,FALSE,"Aging Summary";#N/A,#N/A,FALSE,"Ratio Analysis";#N/A,#N/A,FALSE,"Test 120 Day Accts";#N/A,#N/A,FALSE,"Tickmarks"}</definedName>
    <definedName name="l_3_3" hidden="1">{#N/A,#N/A,FALSE,"Aging Summary";#N/A,#N/A,FALSE,"Ratio Analysis";#N/A,#N/A,FALSE,"Test 120 Day Accts";#N/A,#N/A,FALSE,"Tickmarks"}</definedName>
    <definedName name="l_3_3_1" localSheetId="0" hidden="1">{#N/A,#N/A,FALSE,"Aging Summary";#N/A,#N/A,FALSE,"Ratio Analysis";#N/A,#N/A,FALSE,"Test 120 Day Accts";#N/A,#N/A,FALSE,"Tickmarks"}</definedName>
    <definedName name="l_3_3_1" localSheetId="6" hidden="1">{#N/A,#N/A,FALSE,"Aging Summary";#N/A,#N/A,FALSE,"Ratio Analysis";#N/A,#N/A,FALSE,"Test 120 Day Accts";#N/A,#N/A,FALSE,"Tickmarks"}</definedName>
    <definedName name="l_3_3_1" hidden="1">{#N/A,#N/A,FALSE,"Aging Summary";#N/A,#N/A,FALSE,"Ratio Analysis";#N/A,#N/A,FALSE,"Test 120 Day Accts";#N/A,#N/A,FALSE,"Tickmarks"}</definedName>
    <definedName name="l_3_3_2" localSheetId="0" hidden="1">{#N/A,#N/A,FALSE,"Aging Summary";#N/A,#N/A,FALSE,"Ratio Analysis";#N/A,#N/A,FALSE,"Test 120 Day Accts";#N/A,#N/A,FALSE,"Tickmarks"}</definedName>
    <definedName name="l_3_3_2" localSheetId="6" hidden="1">{#N/A,#N/A,FALSE,"Aging Summary";#N/A,#N/A,FALSE,"Ratio Analysis";#N/A,#N/A,FALSE,"Test 120 Day Accts";#N/A,#N/A,FALSE,"Tickmarks"}</definedName>
    <definedName name="l_3_3_2" hidden="1">{#N/A,#N/A,FALSE,"Aging Summary";#N/A,#N/A,FALSE,"Ratio Analysis";#N/A,#N/A,FALSE,"Test 120 Day Accts";#N/A,#N/A,FALSE,"Tickmarks"}</definedName>
    <definedName name="l_3_3_3" localSheetId="0" hidden="1">{#N/A,#N/A,FALSE,"Aging Summary";#N/A,#N/A,FALSE,"Ratio Analysis";#N/A,#N/A,FALSE,"Test 120 Day Accts";#N/A,#N/A,FALSE,"Tickmarks"}</definedName>
    <definedName name="l_3_3_3" localSheetId="6" hidden="1">{#N/A,#N/A,FALSE,"Aging Summary";#N/A,#N/A,FALSE,"Ratio Analysis";#N/A,#N/A,FALSE,"Test 120 Day Accts";#N/A,#N/A,FALSE,"Tickmarks"}</definedName>
    <definedName name="l_3_3_3" hidden="1">{#N/A,#N/A,FALSE,"Aging Summary";#N/A,#N/A,FALSE,"Ratio Analysis";#N/A,#N/A,FALSE,"Test 120 Day Accts";#N/A,#N/A,FALSE,"Tickmarks"}</definedName>
    <definedName name="l_3_3_4" localSheetId="0" hidden="1">{#N/A,#N/A,FALSE,"Aging Summary";#N/A,#N/A,FALSE,"Ratio Analysis";#N/A,#N/A,FALSE,"Test 120 Day Accts";#N/A,#N/A,FALSE,"Tickmarks"}</definedName>
    <definedName name="l_3_3_4" localSheetId="6" hidden="1">{#N/A,#N/A,FALSE,"Aging Summary";#N/A,#N/A,FALSE,"Ratio Analysis";#N/A,#N/A,FALSE,"Test 120 Day Accts";#N/A,#N/A,FALSE,"Tickmarks"}</definedName>
    <definedName name="l_3_3_4" hidden="1">{#N/A,#N/A,FALSE,"Aging Summary";#N/A,#N/A,FALSE,"Ratio Analysis";#N/A,#N/A,FALSE,"Test 120 Day Accts";#N/A,#N/A,FALSE,"Tickmarks"}</definedName>
    <definedName name="l_3_3_5" localSheetId="0" hidden="1">{#N/A,#N/A,FALSE,"Aging Summary";#N/A,#N/A,FALSE,"Ratio Analysis";#N/A,#N/A,FALSE,"Test 120 Day Accts";#N/A,#N/A,FALSE,"Tickmarks"}</definedName>
    <definedName name="l_3_3_5" localSheetId="6" hidden="1">{#N/A,#N/A,FALSE,"Aging Summary";#N/A,#N/A,FALSE,"Ratio Analysis";#N/A,#N/A,FALSE,"Test 120 Day Accts";#N/A,#N/A,FALSE,"Tickmarks"}</definedName>
    <definedName name="l_3_3_5" hidden="1">{#N/A,#N/A,FALSE,"Aging Summary";#N/A,#N/A,FALSE,"Ratio Analysis";#N/A,#N/A,FALSE,"Test 120 Day Accts";#N/A,#N/A,FALSE,"Tickmarks"}</definedName>
    <definedName name="l_3_4" localSheetId="0" hidden="1">{#N/A,#N/A,FALSE,"Aging Summary";#N/A,#N/A,FALSE,"Ratio Analysis";#N/A,#N/A,FALSE,"Test 120 Day Accts";#N/A,#N/A,FALSE,"Tickmarks"}</definedName>
    <definedName name="l_3_4" localSheetId="6" hidden="1">{#N/A,#N/A,FALSE,"Aging Summary";#N/A,#N/A,FALSE,"Ratio Analysis";#N/A,#N/A,FALSE,"Test 120 Day Accts";#N/A,#N/A,FALSE,"Tickmarks"}</definedName>
    <definedName name="l_3_4" hidden="1">{#N/A,#N/A,FALSE,"Aging Summary";#N/A,#N/A,FALSE,"Ratio Analysis";#N/A,#N/A,FALSE,"Test 120 Day Accts";#N/A,#N/A,FALSE,"Tickmarks"}</definedName>
    <definedName name="l_3_4_1" localSheetId="0" hidden="1">{#N/A,#N/A,FALSE,"Aging Summary";#N/A,#N/A,FALSE,"Ratio Analysis";#N/A,#N/A,FALSE,"Test 120 Day Accts";#N/A,#N/A,FALSE,"Tickmarks"}</definedName>
    <definedName name="l_3_4_1" localSheetId="6" hidden="1">{#N/A,#N/A,FALSE,"Aging Summary";#N/A,#N/A,FALSE,"Ratio Analysis";#N/A,#N/A,FALSE,"Test 120 Day Accts";#N/A,#N/A,FALSE,"Tickmarks"}</definedName>
    <definedName name="l_3_4_1" hidden="1">{#N/A,#N/A,FALSE,"Aging Summary";#N/A,#N/A,FALSE,"Ratio Analysis";#N/A,#N/A,FALSE,"Test 120 Day Accts";#N/A,#N/A,FALSE,"Tickmarks"}</definedName>
    <definedName name="l_3_4_2" localSheetId="0" hidden="1">{#N/A,#N/A,FALSE,"Aging Summary";#N/A,#N/A,FALSE,"Ratio Analysis";#N/A,#N/A,FALSE,"Test 120 Day Accts";#N/A,#N/A,FALSE,"Tickmarks"}</definedName>
    <definedName name="l_3_4_2" localSheetId="6" hidden="1">{#N/A,#N/A,FALSE,"Aging Summary";#N/A,#N/A,FALSE,"Ratio Analysis";#N/A,#N/A,FALSE,"Test 120 Day Accts";#N/A,#N/A,FALSE,"Tickmarks"}</definedName>
    <definedName name="l_3_4_2" hidden="1">{#N/A,#N/A,FALSE,"Aging Summary";#N/A,#N/A,FALSE,"Ratio Analysis";#N/A,#N/A,FALSE,"Test 120 Day Accts";#N/A,#N/A,FALSE,"Tickmarks"}</definedName>
    <definedName name="l_3_4_3" localSheetId="0" hidden="1">{#N/A,#N/A,FALSE,"Aging Summary";#N/A,#N/A,FALSE,"Ratio Analysis";#N/A,#N/A,FALSE,"Test 120 Day Accts";#N/A,#N/A,FALSE,"Tickmarks"}</definedName>
    <definedName name="l_3_4_3" localSheetId="6" hidden="1">{#N/A,#N/A,FALSE,"Aging Summary";#N/A,#N/A,FALSE,"Ratio Analysis";#N/A,#N/A,FALSE,"Test 120 Day Accts";#N/A,#N/A,FALSE,"Tickmarks"}</definedName>
    <definedName name="l_3_4_3" hidden="1">{#N/A,#N/A,FALSE,"Aging Summary";#N/A,#N/A,FALSE,"Ratio Analysis";#N/A,#N/A,FALSE,"Test 120 Day Accts";#N/A,#N/A,FALSE,"Tickmarks"}</definedName>
    <definedName name="l_3_4_4" localSheetId="0" hidden="1">{#N/A,#N/A,FALSE,"Aging Summary";#N/A,#N/A,FALSE,"Ratio Analysis";#N/A,#N/A,FALSE,"Test 120 Day Accts";#N/A,#N/A,FALSE,"Tickmarks"}</definedName>
    <definedName name="l_3_4_4" localSheetId="6" hidden="1">{#N/A,#N/A,FALSE,"Aging Summary";#N/A,#N/A,FALSE,"Ratio Analysis";#N/A,#N/A,FALSE,"Test 120 Day Accts";#N/A,#N/A,FALSE,"Tickmarks"}</definedName>
    <definedName name="l_3_4_4" hidden="1">{#N/A,#N/A,FALSE,"Aging Summary";#N/A,#N/A,FALSE,"Ratio Analysis";#N/A,#N/A,FALSE,"Test 120 Day Accts";#N/A,#N/A,FALSE,"Tickmarks"}</definedName>
    <definedName name="l_3_4_5" localSheetId="0" hidden="1">{#N/A,#N/A,FALSE,"Aging Summary";#N/A,#N/A,FALSE,"Ratio Analysis";#N/A,#N/A,FALSE,"Test 120 Day Accts";#N/A,#N/A,FALSE,"Tickmarks"}</definedName>
    <definedName name="l_3_4_5" localSheetId="6" hidden="1">{#N/A,#N/A,FALSE,"Aging Summary";#N/A,#N/A,FALSE,"Ratio Analysis";#N/A,#N/A,FALSE,"Test 120 Day Accts";#N/A,#N/A,FALSE,"Tickmarks"}</definedName>
    <definedName name="l_3_4_5" hidden="1">{#N/A,#N/A,FALSE,"Aging Summary";#N/A,#N/A,FALSE,"Ratio Analysis";#N/A,#N/A,FALSE,"Test 120 Day Accts";#N/A,#N/A,FALSE,"Tickmarks"}</definedName>
    <definedName name="l_3_5" localSheetId="0" hidden="1">{#N/A,#N/A,FALSE,"Aging Summary";#N/A,#N/A,FALSE,"Ratio Analysis";#N/A,#N/A,FALSE,"Test 120 Day Accts";#N/A,#N/A,FALSE,"Tickmarks"}</definedName>
    <definedName name="l_3_5" localSheetId="6" hidden="1">{#N/A,#N/A,FALSE,"Aging Summary";#N/A,#N/A,FALSE,"Ratio Analysis";#N/A,#N/A,FALSE,"Test 120 Day Accts";#N/A,#N/A,FALSE,"Tickmarks"}</definedName>
    <definedName name="l_3_5" hidden="1">{#N/A,#N/A,FALSE,"Aging Summary";#N/A,#N/A,FALSE,"Ratio Analysis";#N/A,#N/A,FALSE,"Test 120 Day Accts";#N/A,#N/A,FALSE,"Tickmarks"}</definedName>
    <definedName name="l_3_5_1" localSheetId="0" hidden="1">{#N/A,#N/A,FALSE,"Aging Summary";#N/A,#N/A,FALSE,"Ratio Analysis";#N/A,#N/A,FALSE,"Test 120 Day Accts";#N/A,#N/A,FALSE,"Tickmarks"}</definedName>
    <definedName name="l_3_5_1" localSheetId="6" hidden="1">{#N/A,#N/A,FALSE,"Aging Summary";#N/A,#N/A,FALSE,"Ratio Analysis";#N/A,#N/A,FALSE,"Test 120 Day Accts";#N/A,#N/A,FALSE,"Tickmarks"}</definedName>
    <definedName name="l_3_5_1" hidden="1">{#N/A,#N/A,FALSE,"Aging Summary";#N/A,#N/A,FALSE,"Ratio Analysis";#N/A,#N/A,FALSE,"Test 120 Day Accts";#N/A,#N/A,FALSE,"Tickmarks"}</definedName>
    <definedName name="l_3_5_2" localSheetId="0" hidden="1">{#N/A,#N/A,FALSE,"Aging Summary";#N/A,#N/A,FALSE,"Ratio Analysis";#N/A,#N/A,FALSE,"Test 120 Day Accts";#N/A,#N/A,FALSE,"Tickmarks"}</definedName>
    <definedName name="l_3_5_2" localSheetId="6" hidden="1">{#N/A,#N/A,FALSE,"Aging Summary";#N/A,#N/A,FALSE,"Ratio Analysis";#N/A,#N/A,FALSE,"Test 120 Day Accts";#N/A,#N/A,FALSE,"Tickmarks"}</definedName>
    <definedName name="l_3_5_2" hidden="1">{#N/A,#N/A,FALSE,"Aging Summary";#N/A,#N/A,FALSE,"Ratio Analysis";#N/A,#N/A,FALSE,"Test 120 Day Accts";#N/A,#N/A,FALSE,"Tickmarks"}</definedName>
    <definedName name="l_3_5_3" localSheetId="0" hidden="1">{#N/A,#N/A,FALSE,"Aging Summary";#N/A,#N/A,FALSE,"Ratio Analysis";#N/A,#N/A,FALSE,"Test 120 Day Accts";#N/A,#N/A,FALSE,"Tickmarks"}</definedName>
    <definedName name="l_3_5_3" localSheetId="6" hidden="1">{#N/A,#N/A,FALSE,"Aging Summary";#N/A,#N/A,FALSE,"Ratio Analysis";#N/A,#N/A,FALSE,"Test 120 Day Accts";#N/A,#N/A,FALSE,"Tickmarks"}</definedName>
    <definedName name="l_3_5_3" hidden="1">{#N/A,#N/A,FALSE,"Aging Summary";#N/A,#N/A,FALSE,"Ratio Analysis";#N/A,#N/A,FALSE,"Test 120 Day Accts";#N/A,#N/A,FALSE,"Tickmarks"}</definedName>
    <definedName name="l_3_5_4" localSheetId="0" hidden="1">{#N/A,#N/A,FALSE,"Aging Summary";#N/A,#N/A,FALSE,"Ratio Analysis";#N/A,#N/A,FALSE,"Test 120 Day Accts";#N/A,#N/A,FALSE,"Tickmarks"}</definedName>
    <definedName name="l_3_5_4" localSheetId="6" hidden="1">{#N/A,#N/A,FALSE,"Aging Summary";#N/A,#N/A,FALSE,"Ratio Analysis";#N/A,#N/A,FALSE,"Test 120 Day Accts";#N/A,#N/A,FALSE,"Tickmarks"}</definedName>
    <definedName name="l_3_5_4" hidden="1">{#N/A,#N/A,FALSE,"Aging Summary";#N/A,#N/A,FALSE,"Ratio Analysis";#N/A,#N/A,FALSE,"Test 120 Day Accts";#N/A,#N/A,FALSE,"Tickmarks"}</definedName>
    <definedName name="l_3_5_5" localSheetId="0" hidden="1">{#N/A,#N/A,FALSE,"Aging Summary";#N/A,#N/A,FALSE,"Ratio Analysis";#N/A,#N/A,FALSE,"Test 120 Day Accts";#N/A,#N/A,FALSE,"Tickmarks"}</definedName>
    <definedName name="l_3_5_5" localSheetId="6" hidden="1">{#N/A,#N/A,FALSE,"Aging Summary";#N/A,#N/A,FALSE,"Ratio Analysis";#N/A,#N/A,FALSE,"Test 120 Day Accts";#N/A,#N/A,FALSE,"Tickmarks"}</definedName>
    <definedName name="l_3_5_5" hidden="1">{#N/A,#N/A,FALSE,"Aging Summary";#N/A,#N/A,FALSE,"Ratio Analysis";#N/A,#N/A,FALSE,"Test 120 Day Accts";#N/A,#N/A,FALSE,"Tickmarks"}</definedName>
    <definedName name="l_4" localSheetId="0" hidden="1">{#N/A,#N/A,FALSE,"Aging Summary";#N/A,#N/A,FALSE,"Ratio Analysis";#N/A,#N/A,FALSE,"Test 120 Day Accts";#N/A,#N/A,FALSE,"Tickmarks"}</definedName>
    <definedName name="l_4" localSheetId="6" hidden="1">{#N/A,#N/A,FALSE,"Aging Summary";#N/A,#N/A,FALSE,"Ratio Analysis";#N/A,#N/A,FALSE,"Test 120 Day Accts";#N/A,#N/A,FALSE,"Tickmarks"}</definedName>
    <definedName name="l_4" hidden="1">{#N/A,#N/A,FALSE,"Aging Summary";#N/A,#N/A,FALSE,"Ratio Analysis";#N/A,#N/A,FALSE,"Test 120 Day Accts";#N/A,#N/A,FALSE,"Tickmarks"}</definedName>
    <definedName name="l_4_1" localSheetId="0" hidden="1">{#N/A,#N/A,FALSE,"Aging Summary";#N/A,#N/A,FALSE,"Ratio Analysis";#N/A,#N/A,FALSE,"Test 120 Day Accts";#N/A,#N/A,FALSE,"Tickmarks"}</definedName>
    <definedName name="l_4_1" localSheetId="6" hidden="1">{#N/A,#N/A,FALSE,"Aging Summary";#N/A,#N/A,FALSE,"Ratio Analysis";#N/A,#N/A,FALSE,"Test 120 Day Accts";#N/A,#N/A,FALSE,"Tickmarks"}</definedName>
    <definedName name="l_4_1" hidden="1">{#N/A,#N/A,FALSE,"Aging Summary";#N/A,#N/A,FALSE,"Ratio Analysis";#N/A,#N/A,FALSE,"Test 120 Day Accts";#N/A,#N/A,FALSE,"Tickmarks"}</definedName>
    <definedName name="l_4_1_1" localSheetId="0" hidden="1">{#N/A,#N/A,FALSE,"Aging Summary";#N/A,#N/A,FALSE,"Ratio Analysis";#N/A,#N/A,FALSE,"Test 120 Day Accts";#N/A,#N/A,FALSE,"Tickmarks"}</definedName>
    <definedName name="l_4_1_1" localSheetId="6" hidden="1">{#N/A,#N/A,FALSE,"Aging Summary";#N/A,#N/A,FALSE,"Ratio Analysis";#N/A,#N/A,FALSE,"Test 120 Day Accts";#N/A,#N/A,FALSE,"Tickmarks"}</definedName>
    <definedName name="l_4_1_1" hidden="1">{#N/A,#N/A,FALSE,"Aging Summary";#N/A,#N/A,FALSE,"Ratio Analysis";#N/A,#N/A,FALSE,"Test 120 Day Accts";#N/A,#N/A,FALSE,"Tickmarks"}</definedName>
    <definedName name="l_4_1_2" localSheetId="0" hidden="1">{#N/A,#N/A,FALSE,"Aging Summary";#N/A,#N/A,FALSE,"Ratio Analysis";#N/A,#N/A,FALSE,"Test 120 Day Accts";#N/A,#N/A,FALSE,"Tickmarks"}</definedName>
    <definedName name="l_4_1_2" localSheetId="6" hidden="1">{#N/A,#N/A,FALSE,"Aging Summary";#N/A,#N/A,FALSE,"Ratio Analysis";#N/A,#N/A,FALSE,"Test 120 Day Accts";#N/A,#N/A,FALSE,"Tickmarks"}</definedName>
    <definedName name="l_4_1_2" hidden="1">{#N/A,#N/A,FALSE,"Aging Summary";#N/A,#N/A,FALSE,"Ratio Analysis";#N/A,#N/A,FALSE,"Test 120 Day Accts";#N/A,#N/A,FALSE,"Tickmarks"}</definedName>
    <definedName name="l_4_1_3" localSheetId="0" hidden="1">{#N/A,#N/A,FALSE,"Aging Summary";#N/A,#N/A,FALSE,"Ratio Analysis";#N/A,#N/A,FALSE,"Test 120 Day Accts";#N/A,#N/A,FALSE,"Tickmarks"}</definedName>
    <definedName name="l_4_1_3" localSheetId="6" hidden="1">{#N/A,#N/A,FALSE,"Aging Summary";#N/A,#N/A,FALSE,"Ratio Analysis";#N/A,#N/A,FALSE,"Test 120 Day Accts";#N/A,#N/A,FALSE,"Tickmarks"}</definedName>
    <definedName name="l_4_1_3" hidden="1">{#N/A,#N/A,FALSE,"Aging Summary";#N/A,#N/A,FALSE,"Ratio Analysis";#N/A,#N/A,FALSE,"Test 120 Day Accts";#N/A,#N/A,FALSE,"Tickmarks"}</definedName>
    <definedName name="l_4_1_4" localSheetId="0" hidden="1">{#N/A,#N/A,FALSE,"Aging Summary";#N/A,#N/A,FALSE,"Ratio Analysis";#N/A,#N/A,FALSE,"Test 120 Day Accts";#N/A,#N/A,FALSE,"Tickmarks"}</definedName>
    <definedName name="l_4_1_4" localSheetId="6" hidden="1">{#N/A,#N/A,FALSE,"Aging Summary";#N/A,#N/A,FALSE,"Ratio Analysis";#N/A,#N/A,FALSE,"Test 120 Day Accts";#N/A,#N/A,FALSE,"Tickmarks"}</definedName>
    <definedName name="l_4_1_4" hidden="1">{#N/A,#N/A,FALSE,"Aging Summary";#N/A,#N/A,FALSE,"Ratio Analysis";#N/A,#N/A,FALSE,"Test 120 Day Accts";#N/A,#N/A,FALSE,"Tickmarks"}</definedName>
    <definedName name="l_4_1_5" localSheetId="0" hidden="1">{#N/A,#N/A,FALSE,"Aging Summary";#N/A,#N/A,FALSE,"Ratio Analysis";#N/A,#N/A,FALSE,"Test 120 Day Accts";#N/A,#N/A,FALSE,"Tickmarks"}</definedName>
    <definedName name="l_4_1_5" localSheetId="6" hidden="1">{#N/A,#N/A,FALSE,"Aging Summary";#N/A,#N/A,FALSE,"Ratio Analysis";#N/A,#N/A,FALSE,"Test 120 Day Accts";#N/A,#N/A,FALSE,"Tickmarks"}</definedName>
    <definedName name="l_4_1_5" hidden="1">{#N/A,#N/A,FALSE,"Aging Summary";#N/A,#N/A,FALSE,"Ratio Analysis";#N/A,#N/A,FALSE,"Test 120 Day Accts";#N/A,#N/A,FALSE,"Tickmarks"}</definedName>
    <definedName name="l_4_2" localSheetId="0" hidden="1">{#N/A,#N/A,FALSE,"Aging Summary";#N/A,#N/A,FALSE,"Ratio Analysis";#N/A,#N/A,FALSE,"Test 120 Day Accts";#N/A,#N/A,FALSE,"Tickmarks"}</definedName>
    <definedName name="l_4_2" localSheetId="6" hidden="1">{#N/A,#N/A,FALSE,"Aging Summary";#N/A,#N/A,FALSE,"Ratio Analysis";#N/A,#N/A,FALSE,"Test 120 Day Accts";#N/A,#N/A,FALSE,"Tickmarks"}</definedName>
    <definedName name="l_4_2" hidden="1">{#N/A,#N/A,FALSE,"Aging Summary";#N/A,#N/A,FALSE,"Ratio Analysis";#N/A,#N/A,FALSE,"Test 120 Day Accts";#N/A,#N/A,FALSE,"Tickmarks"}</definedName>
    <definedName name="l_4_2_1" localSheetId="0" hidden="1">{#N/A,#N/A,FALSE,"Aging Summary";#N/A,#N/A,FALSE,"Ratio Analysis";#N/A,#N/A,FALSE,"Test 120 Day Accts";#N/A,#N/A,FALSE,"Tickmarks"}</definedName>
    <definedName name="l_4_2_1" localSheetId="6" hidden="1">{#N/A,#N/A,FALSE,"Aging Summary";#N/A,#N/A,FALSE,"Ratio Analysis";#N/A,#N/A,FALSE,"Test 120 Day Accts";#N/A,#N/A,FALSE,"Tickmarks"}</definedName>
    <definedName name="l_4_2_1" hidden="1">{#N/A,#N/A,FALSE,"Aging Summary";#N/A,#N/A,FALSE,"Ratio Analysis";#N/A,#N/A,FALSE,"Test 120 Day Accts";#N/A,#N/A,FALSE,"Tickmarks"}</definedName>
    <definedName name="l_4_2_2" localSheetId="0" hidden="1">{#N/A,#N/A,FALSE,"Aging Summary";#N/A,#N/A,FALSE,"Ratio Analysis";#N/A,#N/A,FALSE,"Test 120 Day Accts";#N/A,#N/A,FALSE,"Tickmarks"}</definedName>
    <definedName name="l_4_2_2" localSheetId="6" hidden="1">{#N/A,#N/A,FALSE,"Aging Summary";#N/A,#N/A,FALSE,"Ratio Analysis";#N/A,#N/A,FALSE,"Test 120 Day Accts";#N/A,#N/A,FALSE,"Tickmarks"}</definedName>
    <definedName name="l_4_2_2" hidden="1">{#N/A,#N/A,FALSE,"Aging Summary";#N/A,#N/A,FALSE,"Ratio Analysis";#N/A,#N/A,FALSE,"Test 120 Day Accts";#N/A,#N/A,FALSE,"Tickmarks"}</definedName>
    <definedName name="l_4_2_3" localSheetId="0" hidden="1">{#N/A,#N/A,FALSE,"Aging Summary";#N/A,#N/A,FALSE,"Ratio Analysis";#N/A,#N/A,FALSE,"Test 120 Day Accts";#N/A,#N/A,FALSE,"Tickmarks"}</definedName>
    <definedName name="l_4_2_3" localSheetId="6" hidden="1">{#N/A,#N/A,FALSE,"Aging Summary";#N/A,#N/A,FALSE,"Ratio Analysis";#N/A,#N/A,FALSE,"Test 120 Day Accts";#N/A,#N/A,FALSE,"Tickmarks"}</definedName>
    <definedName name="l_4_2_3" hidden="1">{#N/A,#N/A,FALSE,"Aging Summary";#N/A,#N/A,FALSE,"Ratio Analysis";#N/A,#N/A,FALSE,"Test 120 Day Accts";#N/A,#N/A,FALSE,"Tickmarks"}</definedName>
    <definedName name="l_4_2_4" localSheetId="0" hidden="1">{#N/A,#N/A,FALSE,"Aging Summary";#N/A,#N/A,FALSE,"Ratio Analysis";#N/A,#N/A,FALSE,"Test 120 Day Accts";#N/A,#N/A,FALSE,"Tickmarks"}</definedName>
    <definedName name="l_4_2_4" localSheetId="6" hidden="1">{#N/A,#N/A,FALSE,"Aging Summary";#N/A,#N/A,FALSE,"Ratio Analysis";#N/A,#N/A,FALSE,"Test 120 Day Accts";#N/A,#N/A,FALSE,"Tickmarks"}</definedName>
    <definedName name="l_4_2_4" hidden="1">{#N/A,#N/A,FALSE,"Aging Summary";#N/A,#N/A,FALSE,"Ratio Analysis";#N/A,#N/A,FALSE,"Test 120 Day Accts";#N/A,#N/A,FALSE,"Tickmarks"}</definedName>
    <definedName name="l_4_2_5" localSheetId="0" hidden="1">{#N/A,#N/A,FALSE,"Aging Summary";#N/A,#N/A,FALSE,"Ratio Analysis";#N/A,#N/A,FALSE,"Test 120 Day Accts";#N/A,#N/A,FALSE,"Tickmarks"}</definedName>
    <definedName name="l_4_2_5" localSheetId="6" hidden="1">{#N/A,#N/A,FALSE,"Aging Summary";#N/A,#N/A,FALSE,"Ratio Analysis";#N/A,#N/A,FALSE,"Test 120 Day Accts";#N/A,#N/A,FALSE,"Tickmarks"}</definedName>
    <definedName name="l_4_2_5" hidden="1">{#N/A,#N/A,FALSE,"Aging Summary";#N/A,#N/A,FALSE,"Ratio Analysis";#N/A,#N/A,FALSE,"Test 120 Day Accts";#N/A,#N/A,FALSE,"Tickmarks"}</definedName>
    <definedName name="l_4_3" localSheetId="0" hidden="1">{#N/A,#N/A,FALSE,"Aging Summary";#N/A,#N/A,FALSE,"Ratio Analysis";#N/A,#N/A,FALSE,"Test 120 Day Accts";#N/A,#N/A,FALSE,"Tickmarks"}</definedName>
    <definedName name="l_4_3" localSheetId="6" hidden="1">{#N/A,#N/A,FALSE,"Aging Summary";#N/A,#N/A,FALSE,"Ratio Analysis";#N/A,#N/A,FALSE,"Test 120 Day Accts";#N/A,#N/A,FALSE,"Tickmarks"}</definedName>
    <definedName name="l_4_3" hidden="1">{#N/A,#N/A,FALSE,"Aging Summary";#N/A,#N/A,FALSE,"Ratio Analysis";#N/A,#N/A,FALSE,"Test 120 Day Accts";#N/A,#N/A,FALSE,"Tickmarks"}</definedName>
    <definedName name="l_4_3_1" localSheetId="0" hidden="1">{#N/A,#N/A,FALSE,"Aging Summary";#N/A,#N/A,FALSE,"Ratio Analysis";#N/A,#N/A,FALSE,"Test 120 Day Accts";#N/A,#N/A,FALSE,"Tickmarks"}</definedName>
    <definedName name="l_4_3_1" localSheetId="6" hidden="1">{#N/A,#N/A,FALSE,"Aging Summary";#N/A,#N/A,FALSE,"Ratio Analysis";#N/A,#N/A,FALSE,"Test 120 Day Accts";#N/A,#N/A,FALSE,"Tickmarks"}</definedName>
    <definedName name="l_4_3_1" hidden="1">{#N/A,#N/A,FALSE,"Aging Summary";#N/A,#N/A,FALSE,"Ratio Analysis";#N/A,#N/A,FALSE,"Test 120 Day Accts";#N/A,#N/A,FALSE,"Tickmarks"}</definedName>
    <definedName name="l_4_3_2" localSheetId="0" hidden="1">{#N/A,#N/A,FALSE,"Aging Summary";#N/A,#N/A,FALSE,"Ratio Analysis";#N/A,#N/A,FALSE,"Test 120 Day Accts";#N/A,#N/A,FALSE,"Tickmarks"}</definedName>
    <definedName name="l_4_3_2" localSheetId="6" hidden="1">{#N/A,#N/A,FALSE,"Aging Summary";#N/A,#N/A,FALSE,"Ratio Analysis";#N/A,#N/A,FALSE,"Test 120 Day Accts";#N/A,#N/A,FALSE,"Tickmarks"}</definedName>
    <definedName name="l_4_3_2" hidden="1">{#N/A,#N/A,FALSE,"Aging Summary";#N/A,#N/A,FALSE,"Ratio Analysis";#N/A,#N/A,FALSE,"Test 120 Day Accts";#N/A,#N/A,FALSE,"Tickmarks"}</definedName>
    <definedName name="l_4_3_3" localSheetId="0" hidden="1">{#N/A,#N/A,FALSE,"Aging Summary";#N/A,#N/A,FALSE,"Ratio Analysis";#N/A,#N/A,FALSE,"Test 120 Day Accts";#N/A,#N/A,FALSE,"Tickmarks"}</definedName>
    <definedName name="l_4_3_3" localSheetId="6" hidden="1">{#N/A,#N/A,FALSE,"Aging Summary";#N/A,#N/A,FALSE,"Ratio Analysis";#N/A,#N/A,FALSE,"Test 120 Day Accts";#N/A,#N/A,FALSE,"Tickmarks"}</definedName>
    <definedName name="l_4_3_3" hidden="1">{#N/A,#N/A,FALSE,"Aging Summary";#N/A,#N/A,FALSE,"Ratio Analysis";#N/A,#N/A,FALSE,"Test 120 Day Accts";#N/A,#N/A,FALSE,"Tickmarks"}</definedName>
    <definedName name="l_4_3_4" localSheetId="0" hidden="1">{#N/A,#N/A,FALSE,"Aging Summary";#N/A,#N/A,FALSE,"Ratio Analysis";#N/A,#N/A,FALSE,"Test 120 Day Accts";#N/A,#N/A,FALSE,"Tickmarks"}</definedName>
    <definedName name="l_4_3_4" localSheetId="6" hidden="1">{#N/A,#N/A,FALSE,"Aging Summary";#N/A,#N/A,FALSE,"Ratio Analysis";#N/A,#N/A,FALSE,"Test 120 Day Accts";#N/A,#N/A,FALSE,"Tickmarks"}</definedName>
    <definedName name="l_4_3_4" hidden="1">{#N/A,#N/A,FALSE,"Aging Summary";#N/A,#N/A,FALSE,"Ratio Analysis";#N/A,#N/A,FALSE,"Test 120 Day Accts";#N/A,#N/A,FALSE,"Tickmarks"}</definedName>
    <definedName name="l_4_3_5" localSheetId="0" hidden="1">{#N/A,#N/A,FALSE,"Aging Summary";#N/A,#N/A,FALSE,"Ratio Analysis";#N/A,#N/A,FALSE,"Test 120 Day Accts";#N/A,#N/A,FALSE,"Tickmarks"}</definedName>
    <definedName name="l_4_3_5" localSheetId="6" hidden="1">{#N/A,#N/A,FALSE,"Aging Summary";#N/A,#N/A,FALSE,"Ratio Analysis";#N/A,#N/A,FALSE,"Test 120 Day Accts";#N/A,#N/A,FALSE,"Tickmarks"}</definedName>
    <definedName name="l_4_3_5" hidden="1">{#N/A,#N/A,FALSE,"Aging Summary";#N/A,#N/A,FALSE,"Ratio Analysis";#N/A,#N/A,FALSE,"Test 120 Day Accts";#N/A,#N/A,FALSE,"Tickmarks"}</definedName>
    <definedName name="l_4_4" localSheetId="0" hidden="1">{#N/A,#N/A,FALSE,"Aging Summary";#N/A,#N/A,FALSE,"Ratio Analysis";#N/A,#N/A,FALSE,"Test 120 Day Accts";#N/A,#N/A,FALSE,"Tickmarks"}</definedName>
    <definedName name="l_4_4" localSheetId="6" hidden="1">{#N/A,#N/A,FALSE,"Aging Summary";#N/A,#N/A,FALSE,"Ratio Analysis";#N/A,#N/A,FALSE,"Test 120 Day Accts";#N/A,#N/A,FALSE,"Tickmarks"}</definedName>
    <definedName name="l_4_4" hidden="1">{#N/A,#N/A,FALSE,"Aging Summary";#N/A,#N/A,FALSE,"Ratio Analysis";#N/A,#N/A,FALSE,"Test 120 Day Accts";#N/A,#N/A,FALSE,"Tickmarks"}</definedName>
    <definedName name="l_4_4_1" localSheetId="0" hidden="1">{#N/A,#N/A,FALSE,"Aging Summary";#N/A,#N/A,FALSE,"Ratio Analysis";#N/A,#N/A,FALSE,"Test 120 Day Accts";#N/A,#N/A,FALSE,"Tickmarks"}</definedName>
    <definedName name="l_4_4_1" localSheetId="6" hidden="1">{#N/A,#N/A,FALSE,"Aging Summary";#N/A,#N/A,FALSE,"Ratio Analysis";#N/A,#N/A,FALSE,"Test 120 Day Accts";#N/A,#N/A,FALSE,"Tickmarks"}</definedName>
    <definedName name="l_4_4_1" hidden="1">{#N/A,#N/A,FALSE,"Aging Summary";#N/A,#N/A,FALSE,"Ratio Analysis";#N/A,#N/A,FALSE,"Test 120 Day Accts";#N/A,#N/A,FALSE,"Tickmarks"}</definedName>
    <definedName name="l_4_4_2" localSheetId="0" hidden="1">{#N/A,#N/A,FALSE,"Aging Summary";#N/A,#N/A,FALSE,"Ratio Analysis";#N/A,#N/A,FALSE,"Test 120 Day Accts";#N/A,#N/A,FALSE,"Tickmarks"}</definedName>
    <definedName name="l_4_4_2" localSheetId="6" hidden="1">{#N/A,#N/A,FALSE,"Aging Summary";#N/A,#N/A,FALSE,"Ratio Analysis";#N/A,#N/A,FALSE,"Test 120 Day Accts";#N/A,#N/A,FALSE,"Tickmarks"}</definedName>
    <definedName name="l_4_4_2" hidden="1">{#N/A,#N/A,FALSE,"Aging Summary";#N/A,#N/A,FALSE,"Ratio Analysis";#N/A,#N/A,FALSE,"Test 120 Day Accts";#N/A,#N/A,FALSE,"Tickmarks"}</definedName>
    <definedName name="l_4_4_3" localSheetId="0" hidden="1">{#N/A,#N/A,FALSE,"Aging Summary";#N/A,#N/A,FALSE,"Ratio Analysis";#N/A,#N/A,FALSE,"Test 120 Day Accts";#N/A,#N/A,FALSE,"Tickmarks"}</definedName>
    <definedName name="l_4_4_3" localSheetId="6" hidden="1">{#N/A,#N/A,FALSE,"Aging Summary";#N/A,#N/A,FALSE,"Ratio Analysis";#N/A,#N/A,FALSE,"Test 120 Day Accts";#N/A,#N/A,FALSE,"Tickmarks"}</definedName>
    <definedName name="l_4_4_3" hidden="1">{#N/A,#N/A,FALSE,"Aging Summary";#N/A,#N/A,FALSE,"Ratio Analysis";#N/A,#N/A,FALSE,"Test 120 Day Accts";#N/A,#N/A,FALSE,"Tickmarks"}</definedName>
    <definedName name="l_4_4_4" localSheetId="0" hidden="1">{#N/A,#N/A,FALSE,"Aging Summary";#N/A,#N/A,FALSE,"Ratio Analysis";#N/A,#N/A,FALSE,"Test 120 Day Accts";#N/A,#N/A,FALSE,"Tickmarks"}</definedName>
    <definedName name="l_4_4_4" localSheetId="6" hidden="1">{#N/A,#N/A,FALSE,"Aging Summary";#N/A,#N/A,FALSE,"Ratio Analysis";#N/A,#N/A,FALSE,"Test 120 Day Accts";#N/A,#N/A,FALSE,"Tickmarks"}</definedName>
    <definedName name="l_4_4_4" hidden="1">{#N/A,#N/A,FALSE,"Aging Summary";#N/A,#N/A,FALSE,"Ratio Analysis";#N/A,#N/A,FALSE,"Test 120 Day Accts";#N/A,#N/A,FALSE,"Tickmarks"}</definedName>
    <definedName name="l_4_4_5" localSheetId="0" hidden="1">{#N/A,#N/A,FALSE,"Aging Summary";#N/A,#N/A,FALSE,"Ratio Analysis";#N/A,#N/A,FALSE,"Test 120 Day Accts";#N/A,#N/A,FALSE,"Tickmarks"}</definedName>
    <definedName name="l_4_4_5" localSheetId="6" hidden="1">{#N/A,#N/A,FALSE,"Aging Summary";#N/A,#N/A,FALSE,"Ratio Analysis";#N/A,#N/A,FALSE,"Test 120 Day Accts";#N/A,#N/A,FALSE,"Tickmarks"}</definedName>
    <definedName name="l_4_4_5" hidden="1">{#N/A,#N/A,FALSE,"Aging Summary";#N/A,#N/A,FALSE,"Ratio Analysis";#N/A,#N/A,FALSE,"Test 120 Day Accts";#N/A,#N/A,FALSE,"Tickmarks"}</definedName>
    <definedName name="l_4_5" localSheetId="0" hidden="1">{#N/A,#N/A,FALSE,"Aging Summary";#N/A,#N/A,FALSE,"Ratio Analysis";#N/A,#N/A,FALSE,"Test 120 Day Accts";#N/A,#N/A,FALSE,"Tickmarks"}</definedName>
    <definedName name="l_4_5" localSheetId="6" hidden="1">{#N/A,#N/A,FALSE,"Aging Summary";#N/A,#N/A,FALSE,"Ratio Analysis";#N/A,#N/A,FALSE,"Test 120 Day Accts";#N/A,#N/A,FALSE,"Tickmarks"}</definedName>
    <definedName name="l_4_5" hidden="1">{#N/A,#N/A,FALSE,"Aging Summary";#N/A,#N/A,FALSE,"Ratio Analysis";#N/A,#N/A,FALSE,"Test 120 Day Accts";#N/A,#N/A,FALSE,"Tickmarks"}</definedName>
    <definedName name="l_4_5_1" localSheetId="0" hidden="1">{#N/A,#N/A,FALSE,"Aging Summary";#N/A,#N/A,FALSE,"Ratio Analysis";#N/A,#N/A,FALSE,"Test 120 Day Accts";#N/A,#N/A,FALSE,"Tickmarks"}</definedName>
    <definedName name="l_4_5_1" localSheetId="6" hidden="1">{#N/A,#N/A,FALSE,"Aging Summary";#N/A,#N/A,FALSE,"Ratio Analysis";#N/A,#N/A,FALSE,"Test 120 Day Accts";#N/A,#N/A,FALSE,"Tickmarks"}</definedName>
    <definedName name="l_4_5_1" hidden="1">{#N/A,#N/A,FALSE,"Aging Summary";#N/A,#N/A,FALSE,"Ratio Analysis";#N/A,#N/A,FALSE,"Test 120 Day Accts";#N/A,#N/A,FALSE,"Tickmarks"}</definedName>
    <definedName name="l_4_5_2" localSheetId="0" hidden="1">{#N/A,#N/A,FALSE,"Aging Summary";#N/A,#N/A,FALSE,"Ratio Analysis";#N/A,#N/A,FALSE,"Test 120 Day Accts";#N/A,#N/A,FALSE,"Tickmarks"}</definedName>
    <definedName name="l_4_5_2" localSheetId="6" hidden="1">{#N/A,#N/A,FALSE,"Aging Summary";#N/A,#N/A,FALSE,"Ratio Analysis";#N/A,#N/A,FALSE,"Test 120 Day Accts";#N/A,#N/A,FALSE,"Tickmarks"}</definedName>
    <definedName name="l_4_5_2" hidden="1">{#N/A,#N/A,FALSE,"Aging Summary";#N/A,#N/A,FALSE,"Ratio Analysis";#N/A,#N/A,FALSE,"Test 120 Day Accts";#N/A,#N/A,FALSE,"Tickmarks"}</definedName>
    <definedName name="l_4_5_3" localSheetId="0" hidden="1">{#N/A,#N/A,FALSE,"Aging Summary";#N/A,#N/A,FALSE,"Ratio Analysis";#N/A,#N/A,FALSE,"Test 120 Day Accts";#N/A,#N/A,FALSE,"Tickmarks"}</definedName>
    <definedName name="l_4_5_3" localSheetId="6" hidden="1">{#N/A,#N/A,FALSE,"Aging Summary";#N/A,#N/A,FALSE,"Ratio Analysis";#N/A,#N/A,FALSE,"Test 120 Day Accts";#N/A,#N/A,FALSE,"Tickmarks"}</definedName>
    <definedName name="l_4_5_3" hidden="1">{#N/A,#N/A,FALSE,"Aging Summary";#N/A,#N/A,FALSE,"Ratio Analysis";#N/A,#N/A,FALSE,"Test 120 Day Accts";#N/A,#N/A,FALSE,"Tickmarks"}</definedName>
    <definedName name="l_4_5_4" localSheetId="0" hidden="1">{#N/A,#N/A,FALSE,"Aging Summary";#N/A,#N/A,FALSE,"Ratio Analysis";#N/A,#N/A,FALSE,"Test 120 Day Accts";#N/A,#N/A,FALSE,"Tickmarks"}</definedName>
    <definedName name="l_4_5_4" localSheetId="6" hidden="1">{#N/A,#N/A,FALSE,"Aging Summary";#N/A,#N/A,FALSE,"Ratio Analysis";#N/A,#N/A,FALSE,"Test 120 Day Accts";#N/A,#N/A,FALSE,"Tickmarks"}</definedName>
    <definedName name="l_4_5_4" hidden="1">{#N/A,#N/A,FALSE,"Aging Summary";#N/A,#N/A,FALSE,"Ratio Analysis";#N/A,#N/A,FALSE,"Test 120 Day Accts";#N/A,#N/A,FALSE,"Tickmarks"}</definedName>
    <definedName name="l_4_5_5" localSheetId="0" hidden="1">{#N/A,#N/A,FALSE,"Aging Summary";#N/A,#N/A,FALSE,"Ratio Analysis";#N/A,#N/A,FALSE,"Test 120 Day Accts";#N/A,#N/A,FALSE,"Tickmarks"}</definedName>
    <definedName name="l_4_5_5" localSheetId="6" hidden="1">{#N/A,#N/A,FALSE,"Aging Summary";#N/A,#N/A,FALSE,"Ratio Analysis";#N/A,#N/A,FALSE,"Test 120 Day Accts";#N/A,#N/A,FALSE,"Tickmarks"}</definedName>
    <definedName name="l_4_5_5" hidden="1">{#N/A,#N/A,FALSE,"Aging Summary";#N/A,#N/A,FALSE,"Ratio Analysis";#N/A,#N/A,FALSE,"Test 120 Day Accts";#N/A,#N/A,FALSE,"Tickmarks"}</definedName>
    <definedName name="l_5" localSheetId="0" hidden="1">{#N/A,#N/A,FALSE,"Aging Summary";#N/A,#N/A,FALSE,"Ratio Analysis";#N/A,#N/A,FALSE,"Test 120 Day Accts";#N/A,#N/A,FALSE,"Tickmarks"}</definedName>
    <definedName name="l_5" localSheetId="6" hidden="1">{#N/A,#N/A,FALSE,"Aging Summary";#N/A,#N/A,FALSE,"Ratio Analysis";#N/A,#N/A,FALSE,"Test 120 Day Accts";#N/A,#N/A,FALSE,"Tickmarks"}</definedName>
    <definedName name="l_5" hidden="1">{#N/A,#N/A,FALSE,"Aging Summary";#N/A,#N/A,FALSE,"Ratio Analysis";#N/A,#N/A,FALSE,"Test 120 Day Accts";#N/A,#N/A,FALSE,"Tickmarks"}</definedName>
    <definedName name="l_5_1" localSheetId="0" hidden="1">{#N/A,#N/A,FALSE,"Aging Summary";#N/A,#N/A,FALSE,"Ratio Analysis";#N/A,#N/A,FALSE,"Test 120 Day Accts";#N/A,#N/A,FALSE,"Tickmarks"}</definedName>
    <definedName name="l_5_1" localSheetId="6" hidden="1">{#N/A,#N/A,FALSE,"Aging Summary";#N/A,#N/A,FALSE,"Ratio Analysis";#N/A,#N/A,FALSE,"Test 120 Day Accts";#N/A,#N/A,FALSE,"Tickmarks"}</definedName>
    <definedName name="l_5_1" hidden="1">{#N/A,#N/A,FALSE,"Aging Summary";#N/A,#N/A,FALSE,"Ratio Analysis";#N/A,#N/A,FALSE,"Test 120 Day Accts";#N/A,#N/A,FALSE,"Tickmarks"}</definedName>
    <definedName name="l_5_1_1" localSheetId="0" hidden="1">{#N/A,#N/A,FALSE,"Aging Summary";#N/A,#N/A,FALSE,"Ratio Analysis";#N/A,#N/A,FALSE,"Test 120 Day Accts";#N/A,#N/A,FALSE,"Tickmarks"}</definedName>
    <definedName name="l_5_1_1" localSheetId="6" hidden="1">{#N/A,#N/A,FALSE,"Aging Summary";#N/A,#N/A,FALSE,"Ratio Analysis";#N/A,#N/A,FALSE,"Test 120 Day Accts";#N/A,#N/A,FALSE,"Tickmarks"}</definedName>
    <definedName name="l_5_1_1" hidden="1">{#N/A,#N/A,FALSE,"Aging Summary";#N/A,#N/A,FALSE,"Ratio Analysis";#N/A,#N/A,FALSE,"Test 120 Day Accts";#N/A,#N/A,FALSE,"Tickmarks"}</definedName>
    <definedName name="l_5_1_2" localSheetId="0" hidden="1">{#N/A,#N/A,FALSE,"Aging Summary";#N/A,#N/A,FALSE,"Ratio Analysis";#N/A,#N/A,FALSE,"Test 120 Day Accts";#N/A,#N/A,FALSE,"Tickmarks"}</definedName>
    <definedName name="l_5_1_2" localSheetId="6" hidden="1">{#N/A,#N/A,FALSE,"Aging Summary";#N/A,#N/A,FALSE,"Ratio Analysis";#N/A,#N/A,FALSE,"Test 120 Day Accts";#N/A,#N/A,FALSE,"Tickmarks"}</definedName>
    <definedName name="l_5_1_2" hidden="1">{#N/A,#N/A,FALSE,"Aging Summary";#N/A,#N/A,FALSE,"Ratio Analysis";#N/A,#N/A,FALSE,"Test 120 Day Accts";#N/A,#N/A,FALSE,"Tickmarks"}</definedName>
    <definedName name="l_5_1_3" localSheetId="0" hidden="1">{#N/A,#N/A,FALSE,"Aging Summary";#N/A,#N/A,FALSE,"Ratio Analysis";#N/A,#N/A,FALSE,"Test 120 Day Accts";#N/A,#N/A,FALSE,"Tickmarks"}</definedName>
    <definedName name="l_5_1_3" localSheetId="6" hidden="1">{#N/A,#N/A,FALSE,"Aging Summary";#N/A,#N/A,FALSE,"Ratio Analysis";#N/A,#N/A,FALSE,"Test 120 Day Accts";#N/A,#N/A,FALSE,"Tickmarks"}</definedName>
    <definedName name="l_5_1_3" hidden="1">{#N/A,#N/A,FALSE,"Aging Summary";#N/A,#N/A,FALSE,"Ratio Analysis";#N/A,#N/A,FALSE,"Test 120 Day Accts";#N/A,#N/A,FALSE,"Tickmarks"}</definedName>
    <definedName name="l_5_1_4" localSheetId="0" hidden="1">{#N/A,#N/A,FALSE,"Aging Summary";#N/A,#N/A,FALSE,"Ratio Analysis";#N/A,#N/A,FALSE,"Test 120 Day Accts";#N/A,#N/A,FALSE,"Tickmarks"}</definedName>
    <definedName name="l_5_1_4" localSheetId="6" hidden="1">{#N/A,#N/A,FALSE,"Aging Summary";#N/A,#N/A,FALSE,"Ratio Analysis";#N/A,#N/A,FALSE,"Test 120 Day Accts";#N/A,#N/A,FALSE,"Tickmarks"}</definedName>
    <definedName name="l_5_1_4" hidden="1">{#N/A,#N/A,FALSE,"Aging Summary";#N/A,#N/A,FALSE,"Ratio Analysis";#N/A,#N/A,FALSE,"Test 120 Day Accts";#N/A,#N/A,FALSE,"Tickmarks"}</definedName>
    <definedName name="l_5_1_5" localSheetId="0" hidden="1">{#N/A,#N/A,FALSE,"Aging Summary";#N/A,#N/A,FALSE,"Ratio Analysis";#N/A,#N/A,FALSE,"Test 120 Day Accts";#N/A,#N/A,FALSE,"Tickmarks"}</definedName>
    <definedName name="l_5_1_5" localSheetId="6" hidden="1">{#N/A,#N/A,FALSE,"Aging Summary";#N/A,#N/A,FALSE,"Ratio Analysis";#N/A,#N/A,FALSE,"Test 120 Day Accts";#N/A,#N/A,FALSE,"Tickmarks"}</definedName>
    <definedName name="l_5_1_5" hidden="1">{#N/A,#N/A,FALSE,"Aging Summary";#N/A,#N/A,FALSE,"Ratio Analysis";#N/A,#N/A,FALSE,"Test 120 Day Accts";#N/A,#N/A,FALSE,"Tickmarks"}</definedName>
    <definedName name="l_5_2" localSheetId="0" hidden="1">{#N/A,#N/A,FALSE,"Aging Summary";#N/A,#N/A,FALSE,"Ratio Analysis";#N/A,#N/A,FALSE,"Test 120 Day Accts";#N/A,#N/A,FALSE,"Tickmarks"}</definedName>
    <definedName name="l_5_2" localSheetId="6" hidden="1">{#N/A,#N/A,FALSE,"Aging Summary";#N/A,#N/A,FALSE,"Ratio Analysis";#N/A,#N/A,FALSE,"Test 120 Day Accts";#N/A,#N/A,FALSE,"Tickmarks"}</definedName>
    <definedName name="l_5_2" hidden="1">{#N/A,#N/A,FALSE,"Aging Summary";#N/A,#N/A,FALSE,"Ratio Analysis";#N/A,#N/A,FALSE,"Test 120 Day Accts";#N/A,#N/A,FALSE,"Tickmarks"}</definedName>
    <definedName name="l_5_2_1" localSheetId="0" hidden="1">{#N/A,#N/A,FALSE,"Aging Summary";#N/A,#N/A,FALSE,"Ratio Analysis";#N/A,#N/A,FALSE,"Test 120 Day Accts";#N/A,#N/A,FALSE,"Tickmarks"}</definedName>
    <definedName name="l_5_2_1" localSheetId="6" hidden="1">{#N/A,#N/A,FALSE,"Aging Summary";#N/A,#N/A,FALSE,"Ratio Analysis";#N/A,#N/A,FALSE,"Test 120 Day Accts";#N/A,#N/A,FALSE,"Tickmarks"}</definedName>
    <definedName name="l_5_2_1" hidden="1">{#N/A,#N/A,FALSE,"Aging Summary";#N/A,#N/A,FALSE,"Ratio Analysis";#N/A,#N/A,FALSE,"Test 120 Day Accts";#N/A,#N/A,FALSE,"Tickmarks"}</definedName>
    <definedName name="l_5_2_2" localSheetId="0" hidden="1">{#N/A,#N/A,FALSE,"Aging Summary";#N/A,#N/A,FALSE,"Ratio Analysis";#N/A,#N/A,FALSE,"Test 120 Day Accts";#N/A,#N/A,FALSE,"Tickmarks"}</definedName>
    <definedName name="l_5_2_2" localSheetId="6" hidden="1">{#N/A,#N/A,FALSE,"Aging Summary";#N/A,#N/A,FALSE,"Ratio Analysis";#N/A,#N/A,FALSE,"Test 120 Day Accts";#N/A,#N/A,FALSE,"Tickmarks"}</definedName>
    <definedName name="l_5_2_2" hidden="1">{#N/A,#N/A,FALSE,"Aging Summary";#N/A,#N/A,FALSE,"Ratio Analysis";#N/A,#N/A,FALSE,"Test 120 Day Accts";#N/A,#N/A,FALSE,"Tickmarks"}</definedName>
    <definedName name="l_5_2_3" localSheetId="0" hidden="1">{#N/A,#N/A,FALSE,"Aging Summary";#N/A,#N/A,FALSE,"Ratio Analysis";#N/A,#N/A,FALSE,"Test 120 Day Accts";#N/A,#N/A,FALSE,"Tickmarks"}</definedName>
    <definedName name="l_5_2_3" localSheetId="6" hidden="1">{#N/A,#N/A,FALSE,"Aging Summary";#N/A,#N/A,FALSE,"Ratio Analysis";#N/A,#N/A,FALSE,"Test 120 Day Accts";#N/A,#N/A,FALSE,"Tickmarks"}</definedName>
    <definedName name="l_5_2_3" hidden="1">{#N/A,#N/A,FALSE,"Aging Summary";#N/A,#N/A,FALSE,"Ratio Analysis";#N/A,#N/A,FALSE,"Test 120 Day Accts";#N/A,#N/A,FALSE,"Tickmarks"}</definedName>
    <definedName name="l_5_2_4" localSheetId="0" hidden="1">{#N/A,#N/A,FALSE,"Aging Summary";#N/A,#N/A,FALSE,"Ratio Analysis";#N/A,#N/A,FALSE,"Test 120 Day Accts";#N/A,#N/A,FALSE,"Tickmarks"}</definedName>
    <definedName name="l_5_2_4" localSheetId="6" hidden="1">{#N/A,#N/A,FALSE,"Aging Summary";#N/A,#N/A,FALSE,"Ratio Analysis";#N/A,#N/A,FALSE,"Test 120 Day Accts";#N/A,#N/A,FALSE,"Tickmarks"}</definedName>
    <definedName name="l_5_2_4" hidden="1">{#N/A,#N/A,FALSE,"Aging Summary";#N/A,#N/A,FALSE,"Ratio Analysis";#N/A,#N/A,FALSE,"Test 120 Day Accts";#N/A,#N/A,FALSE,"Tickmarks"}</definedName>
    <definedName name="l_5_2_5" localSheetId="0" hidden="1">{#N/A,#N/A,FALSE,"Aging Summary";#N/A,#N/A,FALSE,"Ratio Analysis";#N/A,#N/A,FALSE,"Test 120 Day Accts";#N/A,#N/A,FALSE,"Tickmarks"}</definedName>
    <definedName name="l_5_2_5" localSheetId="6" hidden="1">{#N/A,#N/A,FALSE,"Aging Summary";#N/A,#N/A,FALSE,"Ratio Analysis";#N/A,#N/A,FALSE,"Test 120 Day Accts";#N/A,#N/A,FALSE,"Tickmarks"}</definedName>
    <definedName name="l_5_2_5" hidden="1">{#N/A,#N/A,FALSE,"Aging Summary";#N/A,#N/A,FALSE,"Ratio Analysis";#N/A,#N/A,FALSE,"Test 120 Day Accts";#N/A,#N/A,FALSE,"Tickmarks"}</definedName>
    <definedName name="l_5_3" localSheetId="0" hidden="1">{#N/A,#N/A,FALSE,"Aging Summary";#N/A,#N/A,FALSE,"Ratio Analysis";#N/A,#N/A,FALSE,"Test 120 Day Accts";#N/A,#N/A,FALSE,"Tickmarks"}</definedName>
    <definedName name="l_5_3" localSheetId="6" hidden="1">{#N/A,#N/A,FALSE,"Aging Summary";#N/A,#N/A,FALSE,"Ratio Analysis";#N/A,#N/A,FALSE,"Test 120 Day Accts";#N/A,#N/A,FALSE,"Tickmarks"}</definedName>
    <definedName name="l_5_3" hidden="1">{#N/A,#N/A,FALSE,"Aging Summary";#N/A,#N/A,FALSE,"Ratio Analysis";#N/A,#N/A,FALSE,"Test 120 Day Accts";#N/A,#N/A,FALSE,"Tickmarks"}</definedName>
    <definedName name="l_5_3_1" localSheetId="0" hidden="1">{#N/A,#N/A,FALSE,"Aging Summary";#N/A,#N/A,FALSE,"Ratio Analysis";#N/A,#N/A,FALSE,"Test 120 Day Accts";#N/A,#N/A,FALSE,"Tickmarks"}</definedName>
    <definedName name="l_5_3_1" localSheetId="6" hidden="1">{#N/A,#N/A,FALSE,"Aging Summary";#N/A,#N/A,FALSE,"Ratio Analysis";#N/A,#N/A,FALSE,"Test 120 Day Accts";#N/A,#N/A,FALSE,"Tickmarks"}</definedName>
    <definedName name="l_5_3_1" hidden="1">{#N/A,#N/A,FALSE,"Aging Summary";#N/A,#N/A,FALSE,"Ratio Analysis";#N/A,#N/A,FALSE,"Test 120 Day Accts";#N/A,#N/A,FALSE,"Tickmarks"}</definedName>
    <definedName name="l_5_3_2" localSheetId="0" hidden="1">{#N/A,#N/A,FALSE,"Aging Summary";#N/A,#N/A,FALSE,"Ratio Analysis";#N/A,#N/A,FALSE,"Test 120 Day Accts";#N/A,#N/A,FALSE,"Tickmarks"}</definedName>
    <definedName name="l_5_3_2" localSheetId="6" hidden="1">{#N/A,#N/A,FALSE,"Aging Summary";#N/A,#N/A,FALSE,"Ratio Analysis";#N/A,#N/A,FALSE,"Test 120 Day Accts";#N/A,#N/A,FALSE,"Tickmarks"}</definedName>
    <definedName name="l_5_3_2" hidden="1">{#N/A,#N/A,FALSE,"Aging Summary";#N/A,#N/A,FALSE,"Ratio Analysis";#N/A,#N/A,FALSE,"Test 120 Day Accts";#N/A,#N/A,FALSE,"Tickmarks"}</definedName>
    <definedName name="l_5_3_3" localSheetId="0" hidden="1">{#N/A,#N/A,FALSE,"Aging Summary";#N/A,#N/A,FALSE,"Ratio Analysis";#N/A,#N/A,FALSE,"Test 120 Day Accts";#N/A,#N/A,FALSE,"Tickmarks"}</definedName>
    <definedName name="l_5_3_3" localSheetId="6" hidden="1">{#N/A,#N/A,FALSE,"Aging Summary";#N/A,#N/A,FALSE,"Ratio Analysis";#N/A,#N/A,FALSE,"Test 120 Day Accts";#N/A,#N/A,FALSE,"Tickmarks"}</definedName>
    <definedName name="l_5_3_3" hidden="1">{#N/A,#N/A,FALSE,"Aging Summary";#N/A,#N/A,FALSE,"Ratio Analysis";#N/A,#N/A,FALSE,"Test 120 Day Accts";#N/A,#N/A,FALSE,"Tickmarks"}</definedName>
    <definedName name="l_5_3_4" localSheetId="0" hidden="1">{#N/A,#N/A,FALSE,"Aging Summary";#N/A,#N/A,FALSE,"Ratio Analysis";#N/A,#N/A,FALSE,"Test 120 Day Accts";#N/A,#N/A,FALSE,"Tickmarks"}</definedName>
    <definedName name="l_5_3_4" localSheetId="6" hidden="1">{#N/A,#N/A,FALSE,"Aging Summary";#N/A,#N/A,FALSE,"Ratio Analysis";#N/A,#N/A,FALSE,"Test 120 Day Accts";#N/A,#N/A,FALSE,"Tickmarks"}</definedName>
    <definedName name="l_5_3_4" hidden="1">{#N/A,#N/A,FALSE,"Aging Summary";#N/A,#N/A,FALSE,"Ratio Analysis";#N/A,#N/A,FALSE,"Test 120 Day Accts";#N/A,#N/A,FALSE,"Tickmarks"}</definedName>
    <definedName name="l_5_3_5" localSheetId="0" hidden="1">{#N/A,#N/A,FALSE,"Aging Summary";#N/A,#N/A,FALSE,"Ratio Analysis";#N/A,#N/A,FALSE,"Test 120 Day Accts";#N/A,#N/A,FALSE,"Tickmarks"}</definedName>
    <definedName name="l_5_3_5" localSheetId="6" hidden="1">{#N/A,#N/A,FALSE,"Aging Summary";#N/A,#N/A,FALSE,"Ratio Analysis";#N/A,#N/A,FALSE,"Test 120 Day Accts";#N/A,#N/A,FALSE,"Tickmarks"}</definedName>
    <definedName name="l_5_3_5" hidden="1">{#N/A,#N/A,FALSE,"Aging Summary";#N/A,#N/A,FALSE,"Ratio Analysis";#N/A,#N/A,FALSE,"Test 120 Day Accts";#N/A,#N/A,FALSE,"Tickmarks"}</definedName>
    <definedName name="l_5_4" localSheetId="0" hidden="1">{#N/A,#N/A,FALSE,"Aging Summary";#N/A,#N/A,FALSE,"Ratio Analysis";#N/A,#N/A,FALSE,"Test 120 Day Accts";#N/A,#N/A,FALSE,"Tickmarks"}</definedName>
    <definedName name="l_5_4" localSheetId="6" hidden="1">{#N/A,#N/A,FALSE,"Aging Summary";#N/A,#N/A,FALSE,"Ratio Analysis";#N/A,#N/A,FALSE,"Test 120 Day Accts";#N/A,#N/A,FALSE,"Tickmarks"}</definedName>
    <definedName name="l_5_4" hidden="1">{#N/A,#N/A,FALSE,"Aging Summary";#N/A,#N/A,FALSE,"Ratio Analysis";#N/A,#N/A,FALSE,"Test 120 Day Accts";#N/A,#N/A,FALSE,"Tickmarks"}</definedName>
    <definedName name="l_5_4_1" localSheetId="0" hidden="1">{#N/A,#N/A,FALSE,"Aging Summary";#N/A,#N/A,FALSE,"Ratio Analysis";#N/A,#N/A,FALSE,"Test 120 Day Accts";#N/A,#N/A,FALSE,"Tickmarks"}</definedName>
    <definedName name="l_5_4_1" localSheetId="6" hidden="1">{#N/A,#N/A,FALSE,"Aging Summary";#N/A,#N/A,FALSE,"Ratio Analysis";#N/A,#N/A,FALSE,"Test 120 Day Accts";#N/A,#N/A,FALSE,"Tickmarks"}</definedName>
    <definedName name="l_5_4_1" hidden="1">{#N/A,#N/A,FALSE,"Aging Summary";#N/A,#N/A,FALSE,"Ratio Analysis";#N/A,#N/A,FALSE,"Test 120 Day Accts";#N/A,#N/A,FALSE,"Tickmarks"}</definedName>
    <definedName name="l_5_4_2" localSheetId="0" hidden="1">{#N/A,#N/A,FALSE,"Aging Summary";#N/A,#N/A,FALSE,"Ratio Analysis";#N/A,#N/A,FALSE,"Test 120 Day Accts";#N/A,#N/A,FALSE,"Tickmarks"}</definedName>
    <definedName name="l_5_4_2" localSheetId="6" hidden="1">{#N/A,#N/A,FALSE,"Aging Summary";#N/A,#N/A,FALSE,"Ratio Analysis";#N/A,#N/A,FALSE,"Test 120 Day Accts";#N/A,#N/A,FALSE,"Tickmarks"}</definedName>
    <definedName name="l_5_4_2" hidden="1">{#N/A,#N/A,FALSE,"Aging Summary";#N/A,#N/A,FALSE,"Ratio Analysis";#N/A,#N/A,FALSE,"Test 120 Day Accts";#N/A,#N/A,FALSE,"Tickmarks"}</definedName>
    <definedName name="l_5_4_3" localSheetId="0" hidden="1">{#N/A,#N/A,FALSE,"Aging Summary";#N/A,#N/A,FALSE,"Ratio Analysis";#N/A,#N/A,FALSE,"Test 120 Day Accts";#N/A,#N/A,FALSE,"Tickmarks"}</definedName>
    <definedName name="l_5_4_3" localSheetId="6" hidden="1">{#N/A,#N/A,FALSE,"Aging Summary";#N/A,#N/A,FALSE,"Ratio Analysis";#N/A,#N/A,FALSE,"Test 120 Day Accts";#N/A,#N/A,FALSE,"Tickmarks"}</definedName>
    <definedName name="l_5_4_3" hidden="1">{#N/A,#N/A,FALSE,"Aging Summary";#N/A,#N/A,FALSE,"Ratio Analysis";#N/A,#N/A,FALSE,"Test 120 Day Accts";#N/A,#N/A,FALSE,"Tickmarks"}</definedName>
    <definedName name="l_5_4_4" localSheetId="0" hidden="1">{#N/A,#N/A,FALSE,"Aging Summary";#N/A,#N/A,FALSE,"Ratio Analysis";#N/A,#N/A,FALSE,"Test 120 Day Accts";#N/A,#N/A,FALSE,"Tickmarks"}</definedName>
    <definedName name="l_5_4_4" localSheetId="6" hidden="1">{#N/A,#N/A,FALSE,"Aging Summary";#N/A,#N/A,FALSE,"Ratio Analysis";#N/A,#N/A,FALSE,"Test 120 Day Accts";#N/A,#N/A,FALSE,"Tickmarks"}</definedName>
    <definedName name="l_5_4_4" hidden="1">{#N/A,#N/A,FALSE,"Aging Summary";#N/A,#N/A,FALSE,"Ratio Analysis";#N/A,#N/A,FALSE,"Test 120 Day Accts";#N/A,#N/A,FALSE,"Tickmarks"}</definedName>
    <definedName name="l_5_4_5" localSheetId="0" hidden="1">{#N/A,#N/A,FALSE,"Aging Summary";#N/A,#N/A,FALSE,"Ratio Analysis";#N/A,#N/A,FALSE,"Test 120 Day Accts";#N/A,#N/A,FALSE,"Tickmarks"}</definedName>
    <definedName name="l_5_4_5" localSheetId="6" hidden="1">{#N/A,#N/A,FALSE,"Aging Summary";#N/A,#N/A,FALSE,"Ratio Analysis";#N/A,#N/A,FALSE,"Test 120 Day Accts";#N/A,#N/A,FALSE,"Tickmarks"}</definedName>
    <definedName name="l_5_4_5" hidden="1">{#N/A,#N/A,FALSE,"Aging Summary";#N/A,#N/A,FALSE,"Ratio Analysis";#N/A,#N/A,FALSE,"Test 120 Day Accts";#N/A,#N/A,FALSE,"Tickmarks"}</definedName>
    <definedName name="l_5_5" localSheetId="0" hidden="1">{#N/A,#N/A,FALSE,"Aging Summary";#N/A,#N/A,FALSE,"Ratio Analysis";#N/A,#N/A,FALSE,"Test 120 Day Accts";#N/A,#N/A,FALSE,"Tickmarks"}</definedName>
    <definedName name="l_5_5" localSheetId="6" hidden="1">{#N/A,#N/A,FALSE,"Aging Summary";#N/A,#N/A,FALSE,"Ratio Analysis";#N/A,#N/A,FALSE,"Test 120 Day Accts";#N/A,#N/A,FALSE,"Tickmarks"}</definedName>
    <definedName name="l_5_5" hidden="1">{#N/A,#N/A,FALSE,"Aging Summary";#N/A,#N/A,FALSE,"Ratio Analysis";#N/A,#N/A,FALSE,"Test 120 Day Accts";#N/A,#N/A,FALSE,"Tickmarks"}</definedName>
    <definedName name="l_5_5_1" localSheetId="0" hidden="1">{#N/A,#N/A,FALSE,"Aging Summary";#N/A,#N/A,FALSE,"Ratio Analysis";#N/A,#N/A,FALSE,"Test 120 Day Accts";#N/A,#N/A,FALSE,"Tickmarks"}</definedName>
    <definedName name="l_5_5_1" localSheetId="6" hidden="1">{#N/A,#N/A,FALSE,"Aging Summary";#N/A,#N/A,FALSE,"Ratio Analysis";#N/A,#N/A,FALSE,"Test 120 Day Accts";#N/A,#N/A,FALSE,"Tickmarks"}</definedName>
    <definedName name="l_5_5_1" hidden="1">{#N/A,#N/A,FALSE,"Aging Summary";#N/A,#N/A,FALSE,"Ratio Analysis";#N/A,#N/A,FALSE,"Test 120 Day Accts";#N/A,#N/A,FALSE,"Tickmarks"}</definedName>
    <definedName name="l_5_5_2" localSheetId="0" hidden="1">{#N/A,#N/A,FALSE,"Aging Summary";#N/A,#N/A,FALSE,"Ratio Analysis";#N/A,#N/A,FALSE,"Test 120 Day Accts";#N/A,#N/A,FALSE,"Tickmarks"}</definedName>
    <definedName name="l_5_5_2" localSheetId="6" hidden="1">{#N/A,#N/A,FALSE,"Aging Summary";#N/A,#N/A,FALSE,"Ratio Analysis";#N/A,#N/A,FALSE,"Test 120 Day Accts";#N/A,#N/A,FALSE,"Tickmarks"}</definedName>
    <definedName name="l_5_5_2" hidden="1">{#N/A,#N/A,FALSE,"Aging Summary";#N/A,#N/A,FALSE,"Ratio Analysis";#N/A,#N/A,FALSE,"Test 120 Day Accts";#N/A,#N/A,FALSE,"Tickmarks"}</definedName>
    <definedName name="l_5_5_3" localSheetId="0" hidden="1">{#N/A,#N/A,FALSE,"Aging Summary";#N/A,#N/A,FALSE,"Ratio Analysis";#N/A,#N/A,FALSE,"Test 120 Day Accts";#N/A,#N/A,FALSE,"Tickmarks"}</definedName>
    <definedName name="l_5_5_3" localSheetId="6" hidden="1">{#N/A,#N/A,FALSE,"Aging Summary";#N/A,#N/A,FALSE,"Ratio Analysis";#N/A,#N/A,FALSE,"Test 120 Day Accts";#N/A,#N/A,FALSE,"Tickmarks"}</definedName>
    <definedName name="l_5_5_3" hidden="1">{#N/A,#N/A,FALSE,"Aging Summary";#N/A,#N/A,FALSE,"Ratio Analysis";#N/A,#N/A,FALSE,"Test 120 Day Accts";#N/A,#N/A,FALSE,"Tickmarks"}</definedName>
    <definedName name="l_5_5_4" localSheetId="0" hidden="1">{#N/A,#N/A,FALSE,"Aging Summary";#N/A,#N/A,FALSE,"Ratio Analysis";#N/A,#N/A,FALSE,"Test 120 Day Accts";#N/A,#N/A,FALSE,"Tickmarks"}</definedName>
    <definedName name="l_5_5_4" localSheetId="6" hidden="1">{#N/A,#N/A,FALSE,"Aging Summary";#N/A,#N/A,FALSE,"Ratio Analysis";#N/A,#N/A,FALSE,"Test 120 Day Accts";#N/A,#N/A,FALSE,"Tickmarks"}</definedName>
    <definedName name="l_5_5_4" hidden="1">{#N/A,#N/A,FALSE,"Aging Summary";#N/A,#N/A,FALSE,"Ratio Analysis";#N/A,#N/A,FALSE,"Test 120 Day Accts";#N/A,#N/A,FALSE,"Tickmarks"}</definedName>
    <definedName name="l_5_5_5" localSheetId="0" hidden="1">{#N/A,#N/A,FALSE,"Aging Summary";#N/A,#N/A,FALSE,"Ratio Analysis";#N/A,#N/A,FALSE,"Test 120 Day Accts";#N/A,#N/A,FALSE,"Tickmarks"}</definedName>
    <definedName name="l_5_5_5" localSheetId="6" hidden="1">{#N/A,#N/A,FALSE,"Aging Summary";#N/A,#N/A,FALSE,"Ratio Analysis";#N/A,#N/A,FALSE,"Test 120 Day Accts";#N/A,#N/A,FALSE,"Tickmarks"}</definedName>
    <definedName name="l_5_5_5" hidden="1">{#N/A,#N/A,FALSE,"Aging Summary";#N/A,#N/A,FALSE,"Ratio Analysis";#N/A,#N/A,FALSE,"Test 120 Day Accts";#N/A,#N/A,FALSE,"Tickmarks"}</definedName>
    <definedName name="L_Adjust">#REF!</definedName>
    <definedName name="L_AJE_Tot">#REF!</definedName>
    <definedName name="L_CY_Beg">#REF!</definedName>
    <definedName name="L_CY_End">#REF!</definedName>
    <definedName name="L_PY_End">#REF!</definedName>
    <definedName name="L_RJE_Tot">#REF!</definedName>
    <definedName name="Labour_total">#REF!</definedName>
    <definedName name="lajrevglbv" localSheetId="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lajrevglbv"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lajrevglbv"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LAM" hidden="1">#REF!</definedName>
    <definedName name="Land_Unit_Cost">#REF!</definedName>
    <definedName name="language">#REF!</definedName>
    <definedName name="Lapse1">#REF!</definedName>
    <definedName name="Lapse2">#REF!</definedName>
    <definedName name="Lapse3">#REF!</definedName>
    <definedName name="Lapse4">#REF!</definedName>
    <definedName name="Lapse5">#REF!</definedName>
    <definedName name="Lapse6">#REF!</definedName>
    <definedName name="Lapse7">#REF!</definedName>
    <definedName name="Lars" localSheetId="6" hidden="1">{#N/A,#N/A,FALSE,"ACQ_GRAPHS";#N/A,#N/A,FALSE,"T_1 GRAPHS";#N/A,#N/A,FALSE,"T_2 GRAPHS";#N/A,#N/A,FALSE,"COMB_GRAPHS"}</definedName>
    <definedName name="Lars" hidden="1">{#N/A,#N/A,FALSE,"ACQ_GRAPHS";#N/A,#N/A,FALSE,"T_1 GRAPHS";#N/A,#N/A,FALSE,"T_2 GRAPHS";#N/A,#N/A,FALSE,"COMB_GRAPHS"}</definedName>
    <definedName name="LAST_EBIT_MARGIN" hidden="1">"LAST_EBIT_MARGIN"</definedName>
    <definedName name="LAST_EBITDA_MARGIN" hidden="1">"LAST_EBITDA_MARGIN"</definedName>
    <definedName name="LAST_GROSS_MARGIN" hidden="1">"LAST_GROSS_MARGIN"</definedName>
    <definedName name="LAST_NET_INC_MARGIN" hidden="1">"LAST_NET_INC_MARGIN"</definedName>
    <definedName name="Last_Row" hidden="1">#N/A</definedName>
    <definedName name="LastCol">MATCH(REPT("z",255),#REF!)</definedName>
    <definedName name="LastRow">MATCH(9.99E+307,#REF!)</definedName>
    <definedName name="LASTSALEPRICE" hidden="1">"LASTSALEPRICE"</definedName>
    <definedName name="LATESTK" hidden="1">1000</definedName>
    <definedName name="LATESTKNONPRESS" hidden="1">50</definedName>
    <definedName name="LATESTQ" hidden="1">500</definedName>
    <definedName name="LATESTQNONPRESS" hidden="1">100</definedName>
    <definedName name="LatestResult">#REF!</definedName>
    <definedName name="lavda" localSheetId="6" hidden="1">{"VIEW1",#N/A,FALSE,"P&amp;L Account 2001-2002";"VIEW2",#N/A,FALSE,"P&amp;L Account 2001-2002";"VIEW3",#N/A,FALSE,"P&amp;L Account 2001-2002";"VIEW4",#N/A,FALSE,"P&amp;L Account 2001-2002"}</definedName>
    <definedName name="lavda" hidden="1">{"VIEW1",#N/A,FALSE,"P&amp;L Account 2001-2002";"VIEW2",#N/A,FALSE,"P&amp;L Account 2001-2002";"VIEW3",#N/A,FALSE,"P&amp;L Account 2001-2002";"VIEW4",#N/A,FALSE,"P&amp;L Account 2001-2002"}</definedName>
    <definedName name="LBL" hidden="1">#REF!</definedName>
    <definedName name="LBO">#REF!</definedName>
    <definedName name="LBOIPOExit1">#REF!</definedName>
    <definedName name="LBOIPOExit2">#REF!</definedName>
    <definedName name="LBOMinCash">#REF!</definedName>
    <definedName name="LBOSaleExit1">#REF!</definedName>
    <definedName name="LBOSaleExit2">#REF!</definedName>
    <definedName name="LEAS_JV_CA_7__2__List">#REF!</definedName>
    <definedName name="LEASING" localSheetId="0" hidden="1">{#N/A,#N/A,TRUE,"Attivo";#N/A,#N/A,TRUE,"Passivo";#N/A,#N/A,TRUE,"Conto Economico"}</definedName>
    <definedName name="LEASING" localSheetId="6" hidden="1">{#N/A,#N/A,TRUE,"Attivo";#N/A,#N/A,TRUE,"Passivo";#N/A,#N/A,TRUE,"Conto Economico"}</definedName>
    <definedName name="LEASING" hidden="1">{#N/A,#N/A,TRUE,"Attivo";#N/A,#N/A,TRUE,"Passivo";#N/A,#N/A,TRUE,"Conto Economico"}</definedName>
    <definedName name="Leatemp" localSheetId="0" hidden="1">{#N/A,#N/A,FALSE,"Sheet1";#N/A,#N/A,FALSE,"기평9607"}</definedName>
    <definedName name="Leatemp" localSheetId="6" hidden="1">{#N/A,#N/A,FALSE,"Sheet1";#N/A,#N/A,FALSE,"기평9607"}</definedName>
    <definedName name="Leatemp" hidden="1">{#N/A,#N/A,FALSE,"Sheet1";#N/A,#N/A,FALSE,"기평9607"}</definedName>
    <definedName name="lee" localSheetId="0" hidden="1">{#N/A,#N/A,FALSE,"Pharm";#N/A,#N/A,FALSE,"WWCM"}</definedName>
    <definedName name="lee" localSheetId="6" hidden="1">{#N/A,#N/A,FALSE,"Pharm";#N/A,#N/A,FALSE,"WWCM"}</definedName>
    <definedName name="lee" hidden="1">{#N/A,#N/A,FALSE,"Pharm";#N/A,#N/A,FALSE,"WWCM"}</definedName>
    <definedName name="lee_1" localSheetId="0" hidden="1">{#N/A,#N/A,FALSE,"Pharm";#N/A,#N/A,FALSE,"WWCM"}</definedName>
    <definedName name="lee_1" localSheetId="6" hidden="1">{#N/A,#N/A,FALSE,"Pharm";#N/A,#N/A,FALSE,"WWCM"}</definedName>
    <definedName name="lee_1" hidden="1">{#N/A,#N/A,FALSE,"Pharm";#N/A,#N/A,FALSE,"WWCM"}</definedName>
    <definedName name="lee_1_1" localSheetId="0" hidden="1">{#N/A,#N/A,FALSE,"Pharm";#N/A,#N/A,FALSE,"WWCM"}</definedName>
    <definedName name="lee_1_1" localSheetId="6" hidden="1">{#N/A,#N/A,FALSE,"Pharm";#N/A,#N/A,FALSE,"WWCM"}</definedName>
    <definedName name="lee_1_1" hidden="1">{#N/A,#N/A,FALSE,"Pharm";#N/A,#N/A,FALSE,"WWCM"}</definedName>
    <definedName name="lee_2" localSheetId="0" hidden="1">{#N/A,#N/A,FALSE,"Pharm";#N/A,#N/A,FALSE,"WWCM"}</definedName>
    <definedName name="lee_2" localSheetId="6" hidden="1">{#N/A,#N/A,FALSE,"Pharm";#N/A,#N/A,FALSE,"WWCM"}</definedName>
    <definedName name="lee_2" hidden="1">{#N/A,#N/A,FALSE,"Pharm";#N/A,#N/A,FALSE,"WWCM"}</definedName>
    <definedName name="lee_3" localSheetId="0" hidden="1">{#N/A,#N/A,FALSE,"Pharm";#N/A,#N/A,FALSE,"WWCM"}</definedName>
    <definedName name="lee_3" localSheetId="6" hidden="1">{#N/A,#N/A,FALSE,"Pharm";#N/A,#N/A,FALSE,"WWCM"}</definedName>
    <definedName name="lee_3" hidden="1">{#N/A,#N/A,FALSE,"Pharm";#N/A,#N/A,FALSE,"WWCM"}</definedName>
    <definedName name="lee_4" localSheetId="0" hidden="1">{#N/A,#N/A,FALSE,"Pharm";#N/A,#N/A,FALSE,"WWCM"}</definedName>
    <definedName name="lee_4" localSheetId="6" hidden="1">{#N/A,#N/A,FALSE,"Pharm";#N/A,#N/A,FALSE,"WWCM"}</definedName>
    <definedName name="lee_4" hidden="1">{#N/A,#N/A,FALSE,"Pharm";#N/A,#N/A,FALSE,"WWCM"}</definedName>
    <definedName name="lee_5" localSheetId="0" hidden="1">{#N/A,#N/A,FALSE,"Pharm";#N/A,#N/A,FALSE,"WWCM"}</definedName>
    <definedName name="lee_5" localSheetId="6" hidden="1">{#N/A,#N/A,FALSE,"Pharm";#N/A,#N/A,FALSE,"WWCM"}</definedName>
    <definedName name="lee_5" hidden="1">{#N/A,#N/A,FALSE,"Pharm";#N/A,#N/A,FALSE,"WWCM"}</definedName>
    <definedName name="Left_Header" hidden="1">#REF!</definedName>
    <definedName name="LevDays">#REF!</definedName>
    <definedName name="LEXUS">#REF!</definedName>
    <definedName name="lfjlf" localSheetId="0" hidden="1">{"Fcst by Qtr Full",#N/A,FALSE,"Tot PalmPalm";"Fcst by Qtr Full",#N/A,FALSE,"Tot Device";"Fcst by Qtr Full",#N/A,FALSE,"Platform";"Fcst by Qtr Full",#N/A,FALSE,"Palm.Net";"Fcst by Qtr Full",#N/A,FALSE,"Elim"}</definedName>
    <definedName name="lfjlf" localSheetId="6" hidden="1">{"Fcst by Qtr Full",#N/A,FALSE,"Tot PalmPalm";"Fcst by Qtr Full",#N/A,FALSE,"Tot Device";"Fcst by Qtr Full",#N/A,FALSE,"Platform";"Fcst by Qtr Full",#N/A,FALSE,"Palm.Net";"Fcst by Qtr Full",#N/A,FALSE,"Elim"}</definedName>
    <definedName name="lfjlf" hidden="1">{"Fcst by Qtr Full",#N/A,FALSE,"Tot PalmPalm";"Fcst by Qtr Full",#N/A,FALSE,"Tot Device";"Fcst by Qtr Full",#N/A,FALSE,"Platform";"Fcst by Qtr Full",#N/A,FALSE,"Palm.Net";"Fcst by Qtr Full",#N/A,FALSE,"Elim"}</definedName>
    <definedName name="lhjlkjlhklhljl" localSheetId="0" hidden="1">{#N/A,#N/A,FALSE,"PMW Gruppe 99_98";#N/A,#N/A,FALSE,"PMW KG 98_99";#N/A,#N/A,FALSE,"PMW Inc. 99_98";#N/A,#N/A,FALSE,"PMW VTECH 99_98";#N/A,#N/A,FALSE,"PMW Thail. 99_98";#N/A,#N/A,FALSE,"PMW Canada 99_98";#N/A,#N/A,FALSE,"Währungsabw. 99_98"}</definedName>
    <definedName name="lhjlkjlhklhljl" localSheetId="6" hidden="1">{#N/A,#N/A,FALSE,"PMW Gruppe 99_98";#N/A,#N/A,FALSE,"PMW KG 98_99";#N/A,#N/A,FALSE,"PMW Inc. 99_98";#N/A,#N/A,FALSE,"PMW VTECH 99_98";#N/A,#N/A,FALSE,"PMW Thail. 99_98";#N/A,#N/A,FALSE,"PMW Canada 99_98";#N/A,#N/A,FALSE,"Währungsabw. 99_98"}</definedName>
    <definedName name="lhjlkjlhklhljl" hidden="1">{#N/A,#N/A,FALSE,"PMW Gruppe 99_98";#N/A,#N/A,FALSE,"PMW KG 98_99";#N/A,#N/A,FALSE,"PMW Inc. 99_98";#N/A,#N/A,FALSE,"PMW VTECH 99_98";#N/A,#N/A,FALSE,"PMW Thail. 99_98";#N/A,#N/A,FALSE,"PMW Canada 99_98";#N/A,#N/A,FALSE,"Währungsabw. 99_98"}</definedName>
    <definedName name="lhjlkjlhklhljl_1" localSheetId="0" hidden="1">{#N/A,#N/A,FALSE,"PMW Gruppe 99_98";#N/A,#N/A,FALSE,"PMW KG 98_99";#N/A,#N/A,FALSE,"PMW Inc. 99_98";#N/A,#N/A,FALSE,"PMW VTECH 99_98";#N/A,#N/A,FALSE,"PMW Thail. 99_98";#N/A,#N/A,FALSE,"PMW Canada 99_98";#N/A,#N/A,FALSE,"Währungsabw. 99_98"}</definedName>
    <definedName name="lhjlkjlhklhljl_1" localSheetId="6" hidden="1">{#N/A,#N/A,FALSE,"PMW Gruppe 99_98";#N/A,#N/A,FALSE,"PMW KG 98_99";#N/A,#N/A,FALSE,"PMW Inc. 99_98";#N/A,#N/A,FALSE,"PMW VTECH 99_98";#N/A,#N/A,FALSE,"PMW Thail. 99_98";#N/A,#N/A,FALSE,"PMW Canada 99_98";#N/A,#N/A,FALSE,"Währungsabw. 99_98"}</definedName>
    <definedName name="lhjlkjlhklhljl_1" hidden="1">{#N/A,#N/A,FALSE,"PMW Gruppe 99_98";#N/A,#N/A,FALSE,"PMW KG 98_99";#N/A,#N/A,FALSE,"PMW Inc. 99_98";#N/A,#N/A,FALSE,"PMW VTECH 99_98";#N/A,#N/A,FALSE,"PMW Thail. 99_98";#N/A,#N/A,FALSE,"PMW Canada 99_98";#N/A,#N/A,FALSE,"Währungsabw. 99_98"}</definedName>
    <definedName name="lhjlkjlhklhljl_1_1" localSheetId="0" hidden="1">{#N/A,#N/A,FALSE,"PMW Gruppe 99_98";#N/A,#N/A,FALSE,"PMW KG 98_99";#N/A,#N/A,FALSE,"PMW Inc. 99_98";#N/A,#N/A,FALSE,"PMW VTECH 99_98";#N/A,#N/A,FALSE,"PMW Thail. 99_98";#N/A,#N/A,FALSE,"PMW Canada 99_98";#N/A,#N/A,FALSE,"Währungsabw. 99_98"}</definedName>
    <definedName name="lhjlkjlhklhljl_1_1" localSheetId="6" hidden="1">{#N/A,#N/A,FALSE,"PMW Gruppe 99_98";#N/A,#N/A,FALSE,"PMW KG 98_99";#N/A,#N/A,FALSE,"PMW Inc. 99_98";#N/A,#N/A,FALSE,"PMW VTECH 99_98";#N/A,#N/A,FALSE,"PMW Thail. 99_98";#N/A,#N/A,FALSE,"PMW Canada 99_98";#N/A,#N/A,FALSE,"Währungsabw. 99_98"}</definedName>
    <definedName name="lhjlkjlhklhljl_1_1" hidden="1">{#N/A,#N/A,FALSE,"PMW Gruppe 99_98";#N/A,#N/A,FALSE,"PMW KG 98_99";#N/A,#N/A,FALSE,"PMW Inc. 99_98";#N/A,#N/A,FALSE,"PMW VTECH 99_98";#N/A,#N/A,FALSE,"PMW Thail. 99_98";#N/A,#N/A,FALSE,"PMW Canada 99_98";#N/A,#N/A,FALSE,"Währungsabw. 99_98"}</definedName>
    <definedName name="lhjlkjlhklhljl_2" localSheetId="0" hidden="1">{#N/A,#N/A,FALSE,"PMW Gruppe 99_98";#N/A,#N/A,FALSE,"PMW KG 98_99";#N/A,#N/A,FALSE,"PMW Inc. 99_98";#N/A,#N/A,FALSE,"PMW VTECH 99_98";#N/A,#N/A,FALSE,"PMW Thail. 99_98";#N/A,#N/A,FALSE,"PMW Canada 99_98";#N/A,#N/A,FALSE,"Währungsabw. 99_98"}</definedName>
    <definedName name="lhjlkjlhklhljl_2" localSheetId="6" hidden="1">{#N/A,#N/A,FALSE,"PMW Gruppe 99_98";#N/A,#N/A,FALSE,"PMW KG 98_99";#N/A,#N/A,FALSE,"PMW Inc. 99_98";#N/A,#N/A,FALSE,"PMW VTECH 99_98";#N/A,#N/A,FALSE,"PMW Thail. 99_98";#N/A,#N/A,FALSE,"PMW Canada 99_98";#N/A,#N/A,FALSE,"Währungsabw. 99_98"}</definedName>
    <definedName name="lhjlkjlhklhljl_2" hidden="1">{#N/A,#N/A,FALSE,"PMW Gruppe 99_98";#N/A,#N/A,FALSE,"PMW KG 98_99";#N/A,#N/A,FALSE,"PMW Inc. 99_98";#N/A,#N/A,FALSE,"PMW VTECH 99_98";#N/A,#N/A,FALSE,"PMW Thail. 99_98";#N/A,#N/A,FALSE,"PMW Canada 99_98";#N/A,#N/A,FALSE,"Währungsabw. 99_98"}</definedName>
    <definedName name="lhjlkjlhklhljl_3" localSheetId="0" hidden="1">{#N/A,#N/A,FALSE,"PMW Gruppe 99_98";#N/A,#N/A,FALSE,"PMW KG 98_99";#N/A,#N/A,FALSE,"PMW Inc. 99_98";#N/A,#N/A,FALSE,"PMW VTECH 99_98";#N/A,#N/A,FALSE,"PMW Thail. 99_98";#N/A,#N/A,FALSE,"PMW Canada 99_98";#N/A,#N/A,FALSE,"Währungsabw. 99_98"}</definedName>
    <definedName name="lhjlkjlhklhljl_3" localSheetId="6" hidden="1">{#N/A,#N/A,FALSE,"PMW Gruppe 99_98";#N/A,#N/A,FALSE,"PMW KG 98_99";#N/A,#N/A,FALSE,"PMW Inc. 99_98";#N/A,#N/A,FALSE,"PMW VTECH 99_98";#N/A,#N/A,FALSE,"PMW Thail. 99_98";#N/A,#N/A,FALSE,"PMW Canada 99_98";#N/A,#N/A,FALSE,"Währungsabw. 99_98"}</definedName>
    <definedName name="lhjlkjlhklhljl_3" hidden="1">{#N/A,#N/A,FALSE,"PMW Gruppe 99_98";#N/A,#N/A,FALSE,"PMW KG 98_99";#N/A,#N/A,FALSE,"PMW Inc. 99_98";#N/A,#N/A,FALSE,"PMW VTECH 99_98";#N/A,#N/A,FALSE,"PMW Thail. 99_98";#N/A,#N/A,FALSE,"PMW Canada 99_98";#N/A,#N/A,FALSE,"Währungsabw. 99_98"}</definedName>
    <definedName name="lhjlkjlhklhljl_4" localSheetId="0" hidden="1">{#N/A,#N/A,FALSE,"PMW Gruppe 99_98";#N/A,#N/A,FALSE,"PMW KG 98_99";#N/A,#N/A,FALSE,"PMW Inc. 99_98";#N/A,#N/A,FALSE,"PMW VTECH 99_98";#N/A,#N/A,FALSE,"PMW Thail. 99_98";#N/A,#N/A,FALSE,"PMW Canada 99_98";#N/A,#N/A,FALSE,"Währungsabw. 99_98"}</definedName>
    <definedName name="lhjlkjlhklhljl_4" localSheetId="6" hidden="1">{#N/A,#N/A,FALSE,"PMW Gruppe 99_98";#N/A,#N/A,FALSE,"PMW KG 98_99";#N/A,#N/A,FALSE,"PMW Inc. 99_98";#N/A,#N/A,FALSE,"PMW VTECH 99_98";#N/A,#N/A,FALSE,"PMW Thail. 99_98";#N/A,#N/A,FALSE,"PMW Canada 99_98";#N/A,#N/A,FALSE,"Währungsabw. 99_98"}</definedName>
    <definedName name="lhjlkjlhklhljl_4" hidden="1">{#N/A,#N/A,FALSE,"PMW Gruppe 99_98";#N/A,#N/A,FALSE,"PMW KG 98_99";#N/A,#N/A,FALSE,"PMW Inc. 99_98";#N/A,#N/A,FALSE,"PMW VTECH 99_98";#N/A,#N/A,FALSE,"PMW Thail. 99_98";#N/A,#N/A,FALSE,"PMW Canada 99_98";#N/A,#N/A,FALSE,"Währungsabw. 99_98"}</definedName>
    <definedName name="lhjlkjlhklhljl_5" localSheetId="0" hidden="1">{#N/A,#N/A,FALSE,"PMW Gruppe 99_98";#N/A,#N/A,FALSE,"PMW KG 98_99";#N/A,#N/A,FALSE,"PMW Inc. 99_98";#N/A,#N/A,FALSE,"PMW VTECH 99_98";#N/A,#N/A,FALSE,"PMW Thail. 99_98";#N/A,#N/A,FALSE,"PMW Canada 99_98";#N/A,#N/A,FALSE,"Währungsabw. 99_98"}</definedName>
    <definedName name="lhjlkjlhklhljl_5" localSheetId="6" hidden="1">{#N/A,#N/A,FALSE,"PMW Gruppe 99_98";#N/A,#N/A,FALSE,"PMW KG 98_99";#N/A,#N/A,FALSE,"PMW Inc. 99_98";#N/A,#N/A,FALSE,"PMW VTECH 99_98";#N/A,#N/A,FALSE,"PMW Thail. 99_98";#N/A,#N/A,FALSE,"PMW Canada 99_98";#N/A,#N/A,FALSE,"Währungsabw. 99_98"}</definedName>
    <definedName name="lhjlkjlhklhljl_5" hidden="1">{#N/A,#N/A,FALSE,"PMW Gruppe 99_98";#N/A,#N/A,FALSE,"PMW KG 98_99";#N/A,#N/A,FALSE,"PMW Inc. 99_98";#N/A,#N/A,FALSE,"PMW VTECH 99_98";#N/A,#N/A,FALSE,"PMW Thail. 99_98";#N/A,#N/A,FALSE,"PMW Canada 99_98";#N/A,#N/A,FALSE,"Währungsabw. 99_98"}</definedName>
    <definedName name="Liabilities">#REF!</definedName>
    <definedName name="Libet" localSheetId="6" hidden="1">{#N/A,#N/A,FALSE,"EARNINGS";#N/A,#N/A,FALSE,"FINANCIAL";#N/A,#N/A,FALSE,"OPERATIONAL"}</definedName>
    <definedName name="Libet" hidden="1">{#N/A,#N/A,FALSE,"EARNINGS";#N/A,#N/A,FALSE,"FINANCIAL";#N/A,#N/A,FALSE,"OPERATIONAL"}</definedName>
    <definedName name="licence"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licence"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licence"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LIDate">#REF!</definedName>
    <definedName name="life_amort">#REF!</definedName>
    <definedName name="LIFE_EXIST_FA">#REF!</definedName>
    <definedName name="LIFE_NEW_FA">#REF!</definedName>
    <definedName name="lii">#REF!</definedName>
    <definedName name="limcount" hidden="1">1</definedName>
    <definedName name="LinkedTemplate" localSheetId="4" hidden="1">Industrial</definedName>
    <definedName name="LinkedTemplate" localSheetId="2" hidden="1">Industrial</definedName>
    <definedName name="LinkedTemplate" localSheetId="6" hidden="1">Industrial</definedName>
    <definedName name="LinkedTemplate" hidden="1">Industrial</definedName>
    <definedName name="ListOffset" hidden="1">1</definedName>
    <definedName name="lj" hidden="1">#REF!</definedName>
    <definedName name="ljkl" localSheetId="0" hidden="1">{#N/A,#N/A,FALSE,"Umsatz HM";#N/A,#N/A,FALSE,"ER HM";#N/A,#N/A,FALSE,"EA HM  (2)";#N/A,#N/A,FALSE,"EA HM ";#N/A,#N/A,FALSE,"EA HM  (4)";#N/A,#N/A,FALSE,"EA HM  (3)";#N/A,#N/A,FALSE,"KA HM  (2)";#N/A,#N/A,FALSE,"KA HM";#N/A,#N/A,FALSE,"KA HM  (3)";#N/A,#N/A,FALSE,"KA HM (4)"}</definedName>
    <definedName name="ljkl" localSheetId="6" hidden="1">{#N/A,#N/A,FALSE,"Umsatz HM";#N/A,#N/A,FALSE,"ER HM";#N/A,#N/A,FALSE,"EA HM  (2)";#N/A,#N/A,FALSE,"EA HM ";#N/A,#N/A,FALSE,"EA HM  (4)";#N/A,#N/A,FALSE,"EA HM  (3)";#N/A,#N/A,FALSE,"KA HM  (2)";#N/A,#N/A,FALSE,"KA HM";#N/A,#N/A,FALSE,"KA HM  (3)";#N/A,#N/A,FALSE,"KA HM (4)"}</definedName>
    <definedName name="ljkl" hidden="1">{#N/A,#N/A,FALSE,"Umsatz HM";#N/A,#N/A,FALSE,"ER HM";#N/A,#N/A,FALSE,"EA HM  (2)";#N/A,#N/A,FALSE,"EA HM ";#N/A,#N/A,FALSE,"EA HM  (4)";#N/A,#N/A,FALSE,"EA HM  (3)";#N/A,#N/A,FALSE,"KA HM  (2)";#N/A,#N/A,FALSE,"KA HM";#N/A,#N/A,FALSE,"KA HM  (3)";#N/A,#N/A,FALSE,"KA HM (4)"}</definedName>
    <definedName name="ljkl_1" localSheetId="0" hidden="1">{#N/A,#N/A,FALSE,"Umsatz HM";#N/A,#N/A,FALSE,"ER HM";#N/A,#N/A,FALSE,"EA HM  (2)";#N/A,#N/A,FALSE,"EA HM ";#N/A,#N/A,FALSE,"EA HM  (4)";#N/A,#N/A,FALSE,"EA HM  (3)";#N/A,#N/A,FALSE,"KA HM  (2)";#N/A,#N/A,FALSE,"KA HM";#N/A,#N/A,FALSE,"KA HM  (3)";#N/A,#N/A,FALSE,"KA HM (4)"}</definedName>
    <definedName name="ljkl_1" localSheetId="6" hidden="1">{#N/A,#N/A,FALSE,"Umsatz HM";#N/A,#N/A,FALSE,"ER HM";#N/A,#N/A,FALSE,"EA HM  (2)";#N/A,#N/A,FALSE,"EA HM ";#N/A,#N/A,FALSE,"EA HM  (4)";#N/A,#N/A,FALSE,"EA HM  (3)";#N/A,#N/A,FALSE,"KA HM  (2)";#N/A,#N/A,FALSE,"KA HM";#N/A,#N/A,FALSE,"KA HM  (3)";#N/A,#N/A,FALSE,"KA HM (4)"}</definedName>
    <definedName name="ljkl_1" hidden="1">{#N/A,#N/A,FALSE,"Umsatz HM";#N/A,#N/A,FALSE,"ER HM";#N/A,#N/A,FALSE,"EA HM  (2)";#N/A,#N/A,FALSE,"EA HM ";#N/A,#N/A,FALSE,"EA HM  (4)";#N/A,#N/A,FALSE,"EA HM  (3)";#N/A,#N/A,FALSE,"KA HM  (2)";#N/A,#N/A,FALSE,"KA HM";#N/A,#N/A,FALSE,"KA HM  (3)";#N/A,#N/A,FALSE,"KA HM (4)"}</definedName>
    <definedName name="ljkl_1_1" localSheetId="0" hidden="1">{#N/A,#N/A,FALSE,"Umsatz HM";#N/A,#N/A,FALSE,"ER HM";#N/A,#N/A,FALSE,"EA HM  (2)";#N/A,#N/A,FALSE,"EA HM ";#N/A,#N/A,FALSE,"EA HM  (4)";#N/A,#N/A,FALSE,"EA HM  (3)";#N/A,#N/A,FALSE,"KA HM  (2)";#N/A,#N/A,FALSE,"KA HM";#N/A,#N/A,FALSE,"KA HM  (3)";#N/A,#N/A,FALSE,"KA HM (4)"}</definedName>
    <definedName name="ljkl_1_1" localSheetId="6" hidden="1">{#N/A,#N/A,FALSE,"Umsatz HM";#N/A,#N/A,FALSE,"ER HM";#N/A,#N/A,FALSE,"EA HM  (2)";#N/A,#N/A,FALSE,"EA HM ";#N/A,#N/A,FALSE,"EA HM  (4)";#N/A,#N/A,FALSE,"EA HM  (3)";#N/A,#N/A,FALSE,"KA HM  (2)";#N/A,#N/A,FALSE,"KA HM";#N/A,#N/A,FALSE,"KA HM  (3)";#N/A,#N/A,FALSE,"KA HM (4)"}</definedName>
    <definedName name="ljkl_1_1" hidden="1">{#N/A,#N/A,FALSE,"Umsatz HM";#N/A,#N/A,FALSE,"ER HM";#N/A,#N/A,FALSE,"EA HM  (2)";#N/A,#N/A,FALSE,"EA HM ";#N/A,#N/A,FALSE,"EA HM  (4)";#N/A,#N/A,FALSE,"EA HM  (3)";#N/A,#N/A,FALSE,"KA HM  (2)";#N/A,#N/A,FALSE,"KA HM";#N/A,#N/A,FALSE,"KA HM  (3)";#N/A,#N/A,FALSE,"KA HM (4)"}</definedName>
    <definedName name="ljkl_2" localSheetId="0" hidden="1">{#N/A,#N/A,FALSE,"Umsatz HM";#N/A,#N/A,FALSE,"ER HM";#N/A,#N/A,FALSE,"EA HM  (2)";#N/A,#N/A,FALSE,"EA HM ";#N/A,#N/A,FALSE,"EA HM  (4)";#N/A,#N/A,FALSE,"EA HM  (3)";#N/A,#N/A,FALSE,"KA HM  (2)";#N/A,#N/A,FALSE,"KA HM";#N/A,#N/A,FALSE,"KA HM  (3)";#N/A,#N/A,FALSE,"KA HM (4)"}</definedName>
    <definedName name="ljkl_2" localSheetId="6" hidden="1">{#N/A,#N/A,FALSE,"Umsatz HM";#N/A,#N/A,FALSE,"ER HM";#N/A,#N/A,FALSE,"EA HM  (2)";#N/A,#N/A,FALSE,"EA HM ";#N/A,#N/A,FALSE,"EA HM  (4)";#N/A,#N/A,FALSE,"EA HM  (3)";#N/A,#N/A,FALSE,"KA HM  (2)";#N/A,#N/A,FALSE,"KA HM";#N/A,#N/A,FALSE,"KA HM  (3)";#N/A,#N/A,FALSE,"KA HM (4)"}</definedName>
    <definedName name="ljkl_2" hidden="1">{#N/A,#N/A,FALSE,"Umsatz HM";#N/A,#N/A,FALSE,"ER HM";#N/A,#N/A,FALSE,"EA HM  (2)";#N/A,#N/A,FALSE,"EA HM ";#N/A,#N/A,FALSE,"EA HM  (4)";#N/A,#N/A,FALSE,"EA HM  (3)";#N/A,#N/A,FALSE,"KA HM  (2)";#N/A,#N/A,FALSE,"KA HM";#N/A,#N/A,FALSE,"KA HM  (3)";#N/A,#N/A,FALSE,"KA HM (4)"}</definedName>
    <definedName name="ljkl_3" localSheetId="0" hidden="1">{#N/A,#N/A,FALSE,"Umsatz HM";#N/A,#N/A,FALSE,"ER HM";#N/A,#N/A,FALSE,"EA HM  (2)";#N/A,#N/A,FALSE,"EA HM ";#N/A,#N/A,FALSE,"EA HM  (4)";#N/A,#N/A,FALSE,"EA HM  (3)";#N/A,#N/A,FALSE,"KA HM  (2)";#N/A,#N/A,FALSE,"KA HM";#N/A,#N/A,FALSE,"KA HM  (3)";#N/A,#N/A,FALSE,"KA HM (4)"}</definedName>
    <definedName name="ljkl_3" localSheetId="6" hidden="1">{#N/A,#N/A,FALSE,"Umsatz HM";#N/A,#N/A,FALSE,"ER HM";#N/A,#N/A,FALSE,"EA HM  (2)";#N/A,#N/A,FALSE,"EA HM ";#N/A,#N/A,FALSE,"EA HM  (4)";#N/A,#N/A,FALSE,"EA HM  (3)";#N/A,#N/A,FALSE,"KA HM  (2)";#N/A,#N/A,FALSE,"KA HM";#N/A,#N/A,FALSE,"KA HM  (3)";#N/A,#N/A,FALSE,"KA HM (4)"}</definedName>
    <definedName name="ljkl_3" hidden="1">{#N/A,#N/A,FALSE,"Umsatz HM";#N/A,#N/A,FALSE,"ER HM";#N/A,#N/A,FALSE,"EA HM  (2)";#N/A,#N/A,FALSE,"EA HM ";#N/A,#N/A,FALSE,"EA HM  (4)";#N/A,#N/A,FALSE,"EA HM  (3)";#N/A,#N/A,FALSE,"KA HM  (2)";#N/A,#N/A,FALSE,"KA HM";#N/A,#N/A,FALSE,"KA HM  (3)";#N/A,#N/A,FALSE,"KA HM (4)"}</definedName>
    <definedName name="ljkl_4" localSheetId="0" hidden="1">{#N/A,#N/A,FALSE,"Umsatz HM";#N/A,#N/A,FALSE,"ER HM";#N/A,#N/A,FALSE,"EA HM  (2)";#N/A,#N/A,FALSE,"EA HM ";#N/A,#N/A,FALSE,"EA HM  (4)";#N/A,#N/A,FALSE,"EA HM  (3)";#N/A,#N/A,FALSE,"KA HM  (2)";#N/A,#N/A,FALSE,"KA HM";#N/A,#N/A,FALSE,"KA HM  (3)";#N/A,#N/A,FALSE,"KA HM (4)"}</definedName>
    <definedName name="ljkl_4" localSheetId="6" hidden="1">{#N/A,#N/A,FALSE,"Umsatz HM";#N/A,#N/A,FALSE,"ER HM";#N/A,#N/A,FALSE,"EA HM  (2)";#N/A,#N/A,FALSE,"EA HM ";#N/A,#N/A,FALSE,"EA HM  (4)";#N/A,#N/A,FALSE,"EA HM  (3)";#N/A,#N/A,FALSE,"KA HM  (2)";#N/A,#N/A,FALSE,"KA HM";#N/A,#N/A,FALSE,"KA HM  (3)";#N/A,#N/A,FALSE,"KA HM (4)"}</definedName>
    <definedName name="ljkl_4" hidden="1">{#N/A,#N/A,FALSE,"Umsatz HM";#N/A,#N/A,FALSE,"ER HM";#N/A,#N/A,FALSE,"EA HM  (2)";#N/A,#N/A,FALSE,"EA HM ";#N/A,#N/A,FALSE,"EA HM  (4)";#N/A,#N/A,FALSE,"EA HM  (3)";#N/A,#N/A,FALSE,"KA HM  (2)";#N/A,#N/A,FALSE,"KA HM";#N/A,#N/A,FALSE,"KA HM  (3)";#N/A,#N/A,FALSE,"KA HM (4)"}</definedName>
    <definedName name="ljkl_5" localSheetId="0" hidden="1">{#N/A,#N/A,FALSE,"Umsatz HM";#N/A,#N/A,FALSE,"ER HM";#N/A,#N/A,FALSE,"EA HM  (2)";#N/A,#N/A,FALSE,"EA HM ";#N/A,#N/A,FALSE,"EA HM  (4)";#N/A,#N/A,FALSE,"EA HM  (3)";#N/A,#N/A,FALSE,"KA HM  (2)";#N/A,#N/A,FALSE,"KA HM";#N/A,#N/A,FALSE,"KA HM  (3)";#N/A,#N/A,FALSE,"KA HM (4)"}</definedName>
    <definedName name="ljkl_5" localSheetId="6" hidden="1">{#N/A,#N/A,FALSE,"Umsatz HM";#N/A,#N/A,FALSE,"ER HM";#N/A,#N/A,FALSE,"EA HM  (2)";#N/A,#N/A,FALSE,"EA HM ";#N/A,#N/A,FALSE,"EA HM  (4)";#N/A,#N/A,FALSE,"EA HM  (3)";#N/A,#N/A,FALSE,"KA HM  (2)";#N/A,#N/A,FALSE,"KA HM";#N/A,#N/A,FALSE,"KA HM  (3)";#N/A,#N/A,FALSE,"KA HM (4)"}</definedName>
    <definedName name="ljkl_5" hidden="1">{#N/A,#N/A,FALSE,"Umsatz HM";#N/A,#N/A,FALSE,"ER HM";#N/A,#N/A,FALSE,"EA HM  (2)";#N/A,#N/A,FALSE,"EA HM ";#N/A,#N/A,FALSE,"EA HM  (4)";#N/A,#N/A,FALSE,"EA HM  (3)";#N/A,#N/A,FALSE,"KA HM  (2)";#N/A,#N/A,FALSE,"KA HM";#N/A,#N/A,FALSE,"KA HM  (3)";#N/A,#N/A,FALSE,"KA HM (4)"}</definedName>
    <definedName name="ljklk"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lk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ljksdh" localSheetId="0" hidden="1">{"Olk by Qtr Full",#N/A,FALSE,"Tot PalmPalm";"Olk by Qtr Full",#N/A,FALSE,"Tot Device";"Olk by Qtr Full",#N/A,FALSE,"Platform";"Olk by Qtr Full",#N/A,FALSE,"Palm.Net";"Olk by Qtr Full",#N/A,FALSE,"Elim"}</definedName>
    <definedName name="ljksdh" localSheetId="6" hidden="1">{"Olk by Qtr Full",#N/A,FALSE,"Tot PalmPalm";"Olk by Qtr Full",#N/A,FALSE,"Tot Device";"Olk by Qtr Full",#N/A,FALSE,"Platform";"Olk by Qtr Full",#N/A,FALSE,"Palm.Net";"Olk by Qtr Full",#N/A,FALSE,"Elim"}</definedName>
    <definedName name="ljksdh" hidden="1">{"Olk by Qtr Full",#N/A,FALSE,"Tot PalmPalm";"Olk by Qtr Full",#N/A,FALSE,"Tot Device";"Olk by Qtr Full",#N/A,FALSE,"Platform";"Olk by Qtr Full",#N/A,FALSE,"Palm.Net";"Olk by Qtr Full",#N/A,FALSE,"Elim"}</definedName>
    <definedName name="LKG" localSheetId="0" hidden="1">{#N/A,#N/A,FALSE,"Tabl. G1";#N/A,#N/A,FALSE,"Tabl. G2"}</definedName>
    <definedName name="LKG" localSheetId="6" hidden="1">{#N/A,#N/A,FALSE,"Tabl. G1";#N/A,#N/A,FALSE,"Tabl. G2"}</definedName>
    <definedName name="LKG" hidden="1">{#N/A,#N/A,FALSE,"Tabl. G1";#N/A,#N/A,FALSE,"Tabl. G2"}</definedName>
    <definedName name="lkj" localSheetId="0" hidden="1">{#N/A,#N/A,TRUE,"PROFIT 11-95"}</definedName>
    <definedName name="lkj" localSheetId="6" hidden="1">{#N/A,#N/A,TRUE,"PROFIT 11-95"}</definedName>
    <definedName name="lkj" hidden="1">{#N/A,#N/A,TRUE,"PROFIT 11-95"}</definedName>
    <definedName name="lkjh" localSheetId="0"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lkjh" localSheetId="6"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lkjh" hidden="1">{#N/A,#N/A,FALSE,"Assumptions";#N/A,#N/A,FALSE,"Switches";#N/A,#N/A,FALSE,"Bidder P&amp;L";#N/A,#N/A,FALSE,"Bidder BS";#N/A,#N/A,FALSE,"Bidder Ratios";#N/A,#N/A,FALSE,"Target P&amp;L";#N/A,#N/A,FALSE,"Target BS";#N/A,#N/A,FALSE,"Target Ratios";#N/A,#N/A,FALSE,"Target Options";#N/A,#N/A,FALSE,"Comb P&amp;L Acq Yr";#N/A,#N/A,FALSE,"Comb P&amp;L Acq Yr + 1";#N/A,#N/A,FALSE,"Comb P&amp;L Acq Yr + 2";#N/A,#N/A,FALSE,"Comb P&amp;L Acq Yr + 3";#N/A,#N/A,FALSE,"Comb P&amp;L Acq Yr + 4";#N/A,#N/A,FALSE,"Comb P&amp;L Acq Yr + 5";#N/A,#N/A,FALSE,"Comb BS";#N/A,#N/A,FALSE,"Synergies";#N/A,#N/A,FALSE,"Share of the cake";#N/A,#N/A,FALSE,"Consid Mix"}</definedName>
    <definedName name="lkjikjoi" localSheetId="6" hidden="1">{#N/A,#N/A,TRUE,"Cover";#N/A,#N/A,TRUE,"Conts";#N/A,#N/A,TRUE,"VOS";#N/A,#N/A,TRUE,"Warrington";#N/A,#N/A,TRUE,"Widnes"}</definedName>
    <definedName name="lkjikjoi" hidden="1">{#N/A,#N/A,TRUE,"Cover";#N/A,#N/A,TRUE,"Conts";#N/A,#N/A,TRUE,"VOS";#N/A,#N/A,TRUE,"Warrington";#N/A,#N/A,TRUE,"Widnes"}</definedName>
    <definedName name="lkjikjoi_1" localSheetId="6" hidden="1">{#N/A,#N/A,TRUE,"Cover";#N/A,#N/A,TRUE,"Conts";#N/A,#N/A,TRUE,"VOS";#N/A,#N/A,TRUE,"Warrington";#N/A,#N/A,TRUE,"Widnes"}</definedName>
    <definedName name="lkjikjoi_1" hidden="1">{#N/A,#N/A,TRUE,"Cover";#N/A,#N/A,TRUE,"Conts";#N/A,#N/A,TRUE,"VOS";#N/A,#N/A,TRUE,"Warrington";#N/A,#N/A,TRUE,"Widnes"}</definedName>
    <definedName name="lkjlk" localSheetId="0" hidden="1">{#N/A,#N/A,TRUE,"Cover";#N/A,#N/A,TRUE,"Sum";#N/A,#N/A,TRUE,"SubsRev";#N/A,#N/A,TRUE,"CapEx";#N/A,#N/A,TRUE,"OpEx";#N/A,#N/A,TRUE,"SUs";#N/A,#N/A,TRUE,"OrgChart";#N/A,#N/A,TRUE,"Staff";#N/A,#N/A,TRUE,"P&amp;L";#N/A,#N/A,TRUE,"Cash";#N/A,#N/A,TRUE,"BS";#N/A,#N/A,TRUE,"Valuation";#N/A,#N/A,TRUE,"CapEx-Assumptions";#N/A,#N/A,TRUE,"OpEx-Assumptions"}</definedName>
    <definedName name="lkjlk" localSheetId="6" hidden="1">{#N/A,#N/A,TRUE,"Cover";#N/A,#N/A,TRUE,"Sum";#N/A,#N/A,TRUE,"SubsRev";#N/A,#N/A,TRUE,"CapEx";#N/A,#N/A,TRUE,"OpEx";#N/A,#N/A,TRUE,"SUs";#N/A,#N/A,TRUE,"OrgChart";#N/A,#N/A,TRUE,"Staff";#N/A,#N/A,TRUE,"P&amp;L";#N/A,#N/A,TRUE,"Cash";#N/A,#N/A,TRUE,"BS";#N/A,#N/A,TRUE,"Valuation";#N/A,#N/A,TRUE,"CapEx-Assumptions";#N/A,#N/A,TRUE,"OpEx-Assumptions"}</definedName>
    <definedName name="lkjlk" hidden="1">{#N/A,#N/A,TRUE,"Cover";#N/A,#N/A,TRUE,"Sum";#N/A,#N/A,TRUE,"SubsRev";#N/A,#N/A,TRUE,"CapEx";#N/A,#N/A,TRUE,"OpEx";#N/A,#N/A,TRUE,"SUs";#N/A,#N/A,TRUE,"OrgChart";#N/A,#N/A,TRUE,"Staff";#N/A,#N/A,TRUE,"P&amp;L";#N/A,#N/A,TRUE,"Cash";#N/A,#N/A,TRUE,"BS";#N/A,#N/A,TRUE,"Valuation";#N/A,#N/A,TRUE,"CapEx-Assumptions";#N/A,#N/A,TRUE,"OpEx-Assumptions"}</definedName>
    <definedName name="lkl" localSheetId="0" hidden="1">{#N/A,#N/A,FALSE,"Umsatz EO BP";#N/A,#N/A,FALSE,"Umsatz EO OP";#N/A,#N/A,FALSE,"ER EO BP";#N/A,#N/A,FALSE,"ER EO OP";#N/A,#N/A,FALSE,"EA EO (2)";#N/A,#N/A,FALSE,"EA EO";#N/A,#N/A,FALSE,"EA EO (3)";#N/A,#N/A,FALSE,"EA EO (4)";#N/A,#N/A,FALSE,"KA EO  (2)";#N/A,#N/A,FALSE,"KA EO";#N/A,#N/A,FALSE,"KA EO  (3)";#N/A,#N/A,FALSE,"KA EO (4)"}</definedName>
    <definedName name="lkl" localSheetId="6" hidden="1">{#N/A,#N/A,FALSE,"Umsatz EO BP";#N/A,#N/A,FALSE,"Umsatz EO OP";#N/A,#N/A,FALSE,"ER EO BP";#N/A,#N/A,FALSE,"ER EO OP";#N/A,#N/A,FALSE,"EA EO (2)";#N/A,#N/A,FALSE,"EA EO";#N/A,#N/A,FALSE,"EA EO (3)";#N/A,#N/A,FALSE,"EA EO (4)";#N/A,#N/A,FALSE,"KA EO  (2)";#N/A,#N/A,FALSE,"KA EO";#N/A,#N/A,FALSE,"KA EO  (3)";#N/A,#N/A,FALSE,"KA EO (4)"}</definedName>
    <definedName name="lkl" hidden="1">{#N/A,#N/A,FALSE,"Umsatz EO BP";#N/A,#N/A,FALSE,"Umsatz EO OP";#N/A,#N/A,FALSE,"ER EO BP";#N/A,#N/A,FALSE,"ER EO OP";#N/A,#N/A,FALSE,"EA EO (2)";#N/A,#N/A,FALSE,"EA EO";#N/A,#N/A,FALSE,"EA EO (3)";#N/A,#N/A,FALSE,"EA EO (4)";#N/A,#N/A,FALSE,"KA EO  (2)";#N/A,#N/A,FALSE,"KA EO";#N/A,#N/A,FALSE,"KA EO  (3)";#N/A,#N/A,FALSE,"KA EO (4)"}</definedName>
    <definedName name="lkl_1" localSheetId="0" hidden="1">{#N/A,#N/A,FALSE,"Umsatz EO BP";#N/A,#N/A,FALSE,"Umsatz EO OP";#N/A,#N/A,FALSE,"ER EO BP";#N/A,#N/A,FALSE,"ER EO OP";#N/A,#N/A,FALSE,"EA EO (2)";#N/A,#N/A,FALSE,"EA EO";#N/A,#N/A,FALSE,"EA EO (3)";#N/A,#N/A,FALSE,"EA EO (4)";#N/A,#N/A,FALSE,"KA EO  (2)";#N/A,#N/A,FALSE,"KA EO";#N/A,#N/A,FALSE,"KA EO  (3)";#N/A,#N/A,FALSE,"KA EO (4)"}</definedName>
    <definedName name="lkl_1" localSheetId="6" hidden="1">{#N/A,#N/A,FALSE,"Umsatz EO BP";#N/A,#N/A,FALSE,"Umsatz EO OP";#N/A,#N/A,FALSE,"ER EO BP";#N/A,#N/A,FALSE,"ER EO OP";#N/A,#N/A,FALSE,"EA EO (2)";#N/A,#N/A,FALSE,"EA EO";#N/A,#N/A,FALSE,"EA EO (3)";#N/A,#N/A,FALSE,"EA EO (4)";#N/A,#N/A,FALSE,"KA EO  (2)";#N/A,#N/A,FALSE,"KA EO";#N/A,#N/A,FALSE,"KA EO  (3)";#N/A,#N/A,FALSE,"KA EO (4)"}</definedName>
    <definedName name="lkl_1" hidden="1">{#N/A,#N/A,FALSE,"Umsatz EO BP";#N/A,#N/A,FALSE,"Umsatz EO OP";#N/A,#N/A,FALSE,"ER EO BP";#N/A,#N/A,FALSE,"ER EO OP";#N/A,#N/A,FALSE,"EA EO (2)";#N/A,#N/A,FALSE,"EA EO";#N/A,#N/A,FALSE,"EA EO (3)";#N/A,#N/A,FALSE,"EA EO (4)";#N/A,#N/A,FALSE,"KA EO  (2)";#N/A,#N/A,FALSE,"KA EO";#N/A,#N/A,FALSE,"KA EO  (3)";#N/A,#N/A,FALSE,"KA EO (4)"}</definedName>
    <definedName name="lkl_1_1" localSheetId="0" hidden="1">{#N/A,#N/A,FALSE,"Umsatz EO BP";#N/A,#N/A,FALSE,"Umsatz EO OP";#N/A,#N/A,FALSE,"ER EO BP";#N/A,#N/A,FALSE,"ER EO OP";#N/A,#N/A,FALSE,"EA EO (2)";#N/A,#N/A,FALSE,"EA EO";#N/A,#N/A,FALSE,"EA EO (3)";#N/A,#N/A,FALSE,"EA EO (4)";#N/A,#N/A,FALSE,"KA EO  (2)";#N/A,#N/A,FALSE,"KA EO";#N/A,#N/A,FALSE,"KA EO  (3)";#N/A,#N/A,FALSE,"KA EO (4)"}</definedName>
    <definedName name="lkl_1_1" localSheetId="6" hidden="1">{#N/A,#N/A,FALSE,"Umsatz EO BP";#N/A,#N/A,FALSE,"Umsatz EO OP";#N/A,#N/A,FALSE,"ER EO BP";#N/A,#N/A,FALSE,"ER EO OP";#N/A,#N/A,FALSE,"EA EO (2)";#N/A,#N/A,FALSE,"EA EO";#N/A,#N/A,FALSE,"EA EO (3)";#N/A,#N/A,FALSE,"EA EO (4)";#N/A,#N/A,FALSE,"KA EO  (2)";#N/A,#N/A,FALSE,"KA EO";#N/A,#N/A,FALSE,"KA EO  (3)";#N/A,#N/A,FALSE,"KA EO (4)"}</definedName>
    <definedName name="lkl_1_1" hidden="1">{#N/A,#N/A,FALSE,"Umsatz EO BP";#N/A,#N/A,FALSE,"Umsatz EO OP";#N/A,#N/A,FALSE,"ER EO BP";#N/A,#N/A,FALSE,"ER EO OP";#N/A,#N/A,FALSE,"EA EO (2)";#N/A,#N/A,FALSE,"EA EO";#N/A,#N/A,FALSE,"EA EO (3)";#N/A,#N/A,FALSE,"EA EO (4)";#N/A,#N/A,FALSE,"KA EO  (2)";#N/A,#N/A,FALSE,"KA EO";#N/A,#N/A,FALSE,"KA EO  (3)";#N/A,#N/A,FALSE,"KA EO (4)"}</definedName>
    <definedName name="lkl_2" localSheetId="0" hidden="1">{#N/A,#N/A,FALSE,"Umsatz EO BP";#N/A,#N/A,FALSE,"Umsatz EO OP";#N/A,#N/A,FALSE,"ER EO BP";#N/A,#N/A,FALSE,"ER EO OP";#N/A,#N/A,FALSE,"EA EO (2)";#N/A,#N/A,FALSE,"EA EO";#N/A,#N/A,FALSE,"EA EO (3)";#N/A,#N/A,FALSE,"EA EO (4)";#N/A,#N/A,FALSE,"KA EO  (2)";#N/A,#N/A,FALSE,"KA EO";#N/A,#N/A,FALSE,"KA EO  (3)";#N/A,#N/A,FALSE,"KA EO (4)"}</definedName>
    <definedName name="lkl_2" localSheetId="6" hidden="1">{#N/A,#N/A,FALSE,"Umsatz EO BP";#N/A,#N/A,FALSE,"Umsatz EO OP";#N/A,#N/A,FALSE,"ER EO BP";#N/A,#N/A,FALSE,"ER EO OP";#N/A,#N/A,FALSE,"EA EO (2)";#N/A,#N/A,FALSE,"EA EO";#N/A,#N/A,FALSE,"EA EO (3)";#N/A,#N/A,FALSE,"EA EO (4)";#N/A,#N/A,FALSE,"KA EO  (2)";#N/A,#N/A,FALSE,"KA EO";#N/A,#N/A,FALSE,"KA EO  (3)";#N/A,#N/A,FALSE,"KA EO (4)"}</definedName>
    <definedName name="lkl_2" hidden="1">{#N/A,#N/A,FALSE,"Umsatz EO BP";#N/A,#N/A,FALSE,"Umsatz EO OP";#N/A,#N/A,FALSE,"ER EO BP";#N/A,#N/A,FALSE,"ER EO OP";#N/A,#N/A,FALSE,"EA EO (2)";#N/A,#N/A,FALSE,"EA EO";#N/A,#N/A,FALSE,"EA EO (3)";#N/A,#N/A,FALSE,"EA EO (4)";#N/A,#N/A,FALSE,"KA EO  (2)";#N/A,#N/A,FALSE,"KA EO";#N/A,#N/A,FALSE,"KA EO  (3)";#N/A,#N/A,FALSE,"KA EO (4)"}</definedName>
    <definedName name="lkl_3" localSheetId="0" hidden="1">{#N/A,#N/A,FALSE,"Umsatz EO BP";#N/A,#N/A,FALSE,"Umsatz EO OP";#N/A,#N/A,FALSE,"ER EO BP";#N/A,#N/A,FALSE,"ER EO OP";#N/A,#N/A,FALSE,"EA EO (2)";#N/A,#N/A,FALSE,"EA EO";#N/A,#N/A,FALSE,"EA EO (3)";#N/A,#N/A,FALSE,"EA EO (4)";#N/A,#N/A,FALSE,"KA EO  (2)";#N/A,#N/A,FALSE,"KA EO";#N/A,#N/A,FALSE,"KA EO  (3)";#N/A,#N/A,FALSE,"KA EO (4)"}</definedName>
    <definedName name="lkl_3" localSheetId="6" hidden="1">{#N/A,#N/A,FALSE,"Umsatz EO BP";#N/A,#N/A,FALSE,"Umsatz EO OP";#N/A,#N/A,FALSE,"ER EO BP";#N/A,#N/A,FALSE,"ER EO OP";#N/A,#N/A,FALSE,"EA EO (2)";#N/A,#N/A,FALSE,"EA EO";#N/A,#N/A,FALSE,"EA EO (3)";#N/A,#N/A,FALSE,"EA EO (4)";#N/A,#N/A,FALSE,"KA EO  (2)";#N/A,#N/A,FALSE,"KA EO";#N/A,#N/A,FALSE,"KA EO  (3)";#N/A,#N/A,FALSE,"KA EO (4)"}</definedName>
    <definedName name="lkl_3" hidden="1">{#N/A,#N/A,FALSE,"Umsatz EO BP";#N/A,#N/A,FALSE,"Umsatz EO OP";#N/A,#N/A,FALSE,"ER EO BP";#N/A,#N/A,FALSE,"ER EO OP";#N/A,#N/A,FALSE,"EA EO (2)";#N/A,#N/A,FALSE,"EA EO";#N/A,#N/A,FALSE,"EA EO (3)";#N/A,#N/A,FALSE,"EA EO (4)";#N/A,#N/A,FALSE,"KA EO  (2)";#N/A,#N/A,FALSE,"KA EO";#N/A,#N/A,FALSE,"KA EO  (3)";#N/A,#N/A,FALSE,"KA EO (4)"}</definedName>
    <definedName name="lkl_4" localSheetId="0" hidden="1">{#N/A,#N/A,FALSE,"Umsatz EO BP";#N/A,#N/A,FALSE,"Umsatz EO OP";#N/A,#N/A,FALSE,"ER EO BP";#N/A,#N/A,FALSE,"ER EO OP";#N/A,#N/A,FALSE,"EA EO (2)";#N/A,#N/A,FALSE,"EA EO";#N/A,#N/A,FALSE,"EA EO (3)";#N/A,#N/A,FALSE,"EA EO (4)";#N/A,#N/A,FALSE,"KA EO  (2)";#N/A,#N/A,FALSE,"KA EO";#N/A,#N/A,FALSE,"KA EO  (3)";#N/A,#N/A,FALSE,"KA EO (4)"}</definedName>
    <definedName name="lkl_4" localSheetId="6" hidden="1">{#N/A,#N/A,FALSE,"Umsatz EO BP";#N/A,#N/A,FALSE,"Umsatz EO OP";#N/A,#N/A,FALSE,"ER EO BP";#N/A,#N/A,FALSE,"ER EO OP";#N/A,#N/A,FALSE,"EA EO (2)";#N/A,#N/A,FALSE,"EA EO";#N/A,#N/A,FALSE,"EA EO (3)";#N/A,#N/A,FALSE,"EA EO (4)";#N/A,#N/A,FALSE,"KA EO  (2)";#N/A,#N/A,FALSE,"KA EO";#N/A,#N/A,FALSE,"KA EO  (3)";#N/A,#N/A,FALSE,"KA EO (4)"}</definedName>
    <definedName name="lkl_4" hidden="1">{#N/A,#N/A,FALSE,"Umsatz EO BP";#N/A,#N/A,FALSE,"Umsatz EO OP";#N/A,#N/A,FALSE,"ER EO BP";#N/A,#N/A,FALSE,"ER EO OP";#N/A,#N/A,FALSE,"EA EO (2)";#N/A,#N/A,FALSE,"EA EO";#N/A,#N/A,FALSE,"EA EO (3)";#N/A,#N/A,FALSE,"EA EO (4)";#N/A,#N/A,FALSE,"KA EO  (2)";#N/A,#N/A,FALSE,"KA EO";#N/A,#N/A,FALSE,"KA EO  (3)";#N/A,#N/A,FALSE,"KA EO (4)"}</definedName>
    <definedName name="lkl_5" localSheetId="0" hidden="1">{#N/A,#N/A,FALSE,"Umsatz EO BP";#N/A,#N/A,FALSE,"Umsatz EO OP";#N/A,#N/A,FALSE,"ER EO BP";#N/A,#N/A,FALSE,"ER EO OP";#N/A,#N/A,FALSE,"EA EO (2)";#N/A,#N/A,FALSE,"EA EO";#N/A,#N/A,FALSE,"EA EO (3)";#N/A,#N/A,FALSE,"EA EO (4)";#N/A,#N/A,FALSE,"KA EO  (2)";#N/A,#N/A,FALSE,"KA EO";#N/A,#N/A,FALSE,"KA EO  (3)";#N/A,#N/A,FALSE,"KA EO (4)"}</definedName>
    <definedName name="lkl_5" localSheetId="6" hidden="1">{#N/A,#N/A,FALSE,"Umsatz EO BP";#N/A,#N/A,FALSE,"Umsatz EO OP";#N/A,#N/A,FALSE,"ER EO BP";#N/A,#N/A,FALSE,"ER EO OP";#N/A,#N/A,FALSE,"EA EO (2)";#N/A,#N/A,FALSE,"EA EO";#N/A,#N/A,FALSE,"EA EO (3)";#N/A,#N/A,FALSE,"EA EO (4)";#N/A,#N/A,FALSE,"KA EO  (2)";#N/A,#N/A,FALSE,"KA EO";#N/A,#N/A,FALSE,"KA EO  (3)";#N/A,#N/A,FALSE,"KA EO (4)"}</definedName>
    <definedName name="lkl_5" hidden="1">{#N/A,#N/A,FALSE,"Umsatz EO BP";#N/A,#N/A,FALSE,"Umsatz EO OP";#N/A,#N/A,FALSE,"ER EO BP";#N/A,#N/A,FALSE,"ER EO OP";#N/A,#N/A,FALSE,"EA EO (2)";#N/A,#N/A,FALSE,"EA EO";#N/A,#N/A,FALSE,"EA EO (3)";#N/A,#N/A,FALSE,"EA EO (4)";#N/A,#N/A,FALSE,"KA EO  (2)";#N/A,#N/A,FALSE,"KA EO";#N/A,#N/A,FALSE,"KA EO  (3)";#N/A,#N/A,FALSE,"KA EO (4)"}</definedName>
    <definedName name="lklkl" localSheetId="0" hidden="1">{"consolidated",#N/A,FALSE,"Sheet1";"cms",#N/A,FALSE,"Sheet1";"fse",#N/A,FALSE,"Sheet1"}</definedName>
    <definedName name="lklkl" localSheetId="6" hidden="1">{"consolidated",#N/A,FALSE,"Sheet1";"cms",#N/A,FALSE,"Sheet1";"fse",#N/A,FALSE,"Sheet1"}</definedName>
    <definedName name="lklkl" hidden="1">{"consolidated",#N/A,FALSE,"Sheet1";"cms",#N/A,FALSE,"Sheet1";"fse",#N/A,FALSE,"Sheet1"}</definedName>
    <definedName name="lklklklk" localSheetId="0" hidden="1">{"Presentation",#N/A,FALSE,"Feb96 - ALL"}</definedName>
    <definedName name="lklklklk" localSheetId="6" hidden="1">{"Presentation",#N/A,FALSE,"Feb96 - ALL"}</definedName>
    <definedName name="lklklklk" hidden="1">{"Presentation",#N/A,FALSE,"Feb96 - ALL"}</definedName>
    <definedName name="lkll">#REF!</definedName>
    <definedName name="LKNDCNSKL" localSheetId="6" hidden="1">{#N/A,#N/A,FALSE,"Others AMP";#N/A,#N/A,FALSE,"S4 AMP";#N/A,#N/A,FALSE,"S5 Amp Tunnels"}</definedName>
    <definedName name="LKNDCNSKL" hidden="1">{#N/A,#N/A,FALSE,"Others AMP";#N/A,#N/A,FALSE,"S4 AMP";#N/A,#N/A,FALSE,"S5 Amp Tunnels"}</definedName>
    <definedName name="lko0" localSheetId="0" hidden="1">{#N/A,#N/A,FALSE,"PMW Gruppe 99_98";#N/A,#N/A,FALSE,"PMW KG 98_99";#N/A,#N/A,FALSE,"PMW Inc. 99_98";#N/A,#N/A,FALSE,"PMW VTECH 99_98";#N/A,#N/A,FALSE,"PMW Thail. 99_98";#N/A,#N/A,FALSE,"PMW Canada 99_98";#N/A,#N/A,FALSE,"Währungsabw. 99_98"}</definedName>
    <definedName name="lko0" localSheetId="6" hidden="1">{#N/A,#N/A,FALSE,"PMW Gruppe 99_98";#N/A,#N/A,FALSE,"PMW KG 98_99";#N/A,#N/A,FALSE,"PMW Inc. 99_98";#N/A,#N/A,FALSE,"PMW VTECH 99_98";#N/A,#N/A,FALSE,"PMW Thail. 99_98";#N/A,#N/A,FALSE,"PMW Canada 99_98";#N/A,#N/A,FALSE,"Währungsabw. 99_98"}</definedName>
    <definedName name="lko0" hidden="1">{#N/A,#N/A,FALSE,"PMW Gruppe 99_98";#N/A,#N/A,FALSE,"PMW KG 98_99";#N/A,#N/A,FALSE,"PMW Inc. 99_98";#N/A,#N/A,FALSE,"PMW VTECH 99_98";#N/A,#N/A,FALSE,"PMW Thail. 99_98";#N/A,#N/A,FALSE,"PMW Canada 99_98";#N/A,#N/A,FALSE,"Währungsabw. 99_98"}</definedName>
    <definedName name="lko0_1" localSheetId="0" hidden="1">{#N/A,#N/A,FALSE,"PMW Gruppe 99_98";#N/A,#N/A,FALSE,"PMW KG 98_99";#N/A,#N/A,FALSE,"PMW Inc. 99_98";#N/A,#N/A,FALSE,"PMW VTECH 99_98";#N/A,#N/A,FALSE,"PMW Thail. 99_98";#N/A,#N/A,FALSE,"PMW Canada 99_98";#N/A,#N/A,FALSE,"Währungsabw. 99_98"}</definedName>
    <definedName name="lko0_1" localSheetId="6" hidden="1">{#N/A,#N/A,FALSE,"PMW Gruppe 99_98";#N/A,#N/A,FALSE,"PMW KG 98_99";#N/A,#N/A,FALSE,"PMW Inc. 99_98";#N/A,#N/A,FALSE,"PMW VTECH 99_98";#N/A,#N/A,FALSE,"PMW Thail. 99_98";#N/A,#N/A,FALSE,"PMW Canada 99_98";#N/A,#N/A,FALSE,"Währungsabw. 99_98"}</definedName>
    <definedName name="lko0_1" hidden="1">{#N/A,#N/A,FALSE,"PMW Gruppe 99_98";#N/A,#N/A,FALSE,"PMW KG 98_99";#N/A,#N/A,FALSE,"PMW Inc. 99_98";#N/A,#N/A,FALSE,"PMW VTECH 99_98";#N/A,#N/A,FALSE,"PMW Thail. 99_98";#N/A,#N/A,FALSE,"PMW Canada 99_98";#N/A,#N/A,FALSE,"Währungsabw. 99_98"}</definedName>
    <definedName name="lko0_1_1" localSheetId="0" hidden="1">{#N/A,#N/A,FALSE,"PMW Gruppe 99_98";#N/A,#N/A,FALSE,"PMW KG 98_99";#N/A,#N/A,FALSE,"PMW Inc. 99_98";#N/A,#N/A,FALSE,"PMW VTECH 99_98";#N/A,#N/A,FALSE,"PMW Thail. 99_98";#N/A,#N/A,FALSE,"PMW Canada 99_98";#N/A,#N/A,FALSE,"Währungsabw. 99_98"}</definedName>
    <definedName name="lko0_1_1" localSheetId="6" hidden="1">{#N/A,#N/A,FALSE,"PMW Gruppe 99_98";#N/A,#N/A,FALSE,"PMW KG 98_99";#N/A,#N/A,FALSE,"PMW Inc. 99_98";#N/A,#N/A,FALSE,"PMW VTECH 99_98";#N/A,#N/A,FALSE,"PMW Thail. 99_98";#N/A,#N/A,FALSE,"PMW Canada 99_98";#N/A,#N/A,FALSE,"Währungsabw. 99_98"}</definedName>
    <definedName name="lko0_1_1" hidden="1">{#N/A,#N/A,FALSE,"PMW Gruppe 99_98";#N/A,#N/A,FALSE,"PMW KG 98_99";#N/A,#N/A,FALSE,"PMW Inc. 99_98";#N/A,#N/A,FALSE,"PMW VTECH 99_98";#N/A,#N/A,FALSE,"PMW Thail. 99_98";#N/A,#N/A,FALSE,"PMW Canada 99_98";#N/A,#N/A,FALSE,"Währungsabw. 99_98"}</definedName>
    <definedName name="lko0_2" localSheetId="0" hidden="1">{#N/A,#N/A,FALSE,"PMW Gruppe 99_98";#N/A,#N/A,FALSE,"PMW KG 98_99";#N/A,#N/A,FALSE,"PMW Inc. 99_98";#N/A,#N/A,FALSE,"PMW VTECH 99_98";#N/A,#N/A,FALSE,"PMW Thail. 99_98";#N/A,#N/A,FALSE,"PMW Canada 99_98";#N/A,#N/A,FALSE,"Währungsabw. 99_98"}</definedName>
    <definedName name="lko0_2" localSheetId="6" hidden="1">{#N/A,#N/A,FALSE,"PMW Gruppe 99_98";#N/A,#N/A,FALSE,"PMW KG 98_99";#N/A,#N/A,FALSE,"PMW Inc. 99_98";#N/A,#N/A,FALSE,"PMW VTECH 99_98";#N/A,#N/A,FALSE,"PMW Thail. 99_98";#N/A,#N/A,FALSE,"PMW Canada 99_98";#N/A,#N/A,FALSE,"Währungsabw. 99_98"}</definedName>
    <definedName name="lko0_2" hidden="1">{#N/A,#N/A,FALSE,"PMW Gruppe 99_98";#N/A,#N/A,FALSE,"PMW KG 98_99";#N/A,#N/A,FALSE,"PMW Inc. 99_98";#N/A,#N/A,FALSE,"PMW VTECH 99_98";#N/A,#N/A,FALSE,"PMW Thail. 99_98";#N/A,#N/A,FALSE,"PMW Canada 99_98";#N/A,#N/A,FALSE,"Währungsabw. 99_98"}</definedName>
    <definedName name="lko0_3" localSheetId="0" hidden="1">{#N/A,#N/A,FALSE,"PMW Gruppe 99_98";#N/A,#N/A,FALSE,"PMW KG 98_99";#N/A,#N/A,FALSE,"PMW Inc. 99_98";#N/A,#N/A,FALSE,"PMW VTECH 99_98";#N/A,#N/A,FALSE,"PMW Thail. 99_98";#N/A,#N/A,FALSE,"PMW Canada 99_98";#N/A,#N/A,FALSE,"Währungsabw. 99_98"}</definedName>
    <definedName name="lko0_3" localSheetId="6" hidden="1">{#N/A,#N/A,FALSE,"PMW Gruppe 99_98";#N/A,#N/A,FALSE,"PMW KG 98_99";#N/A,#N/A,FALSE,"PMW Inc. 99_98";#N/A,#N/A,FALSE,"PMW VTECH 99_98";#N/A,#N/A,FALSE,"PMW Thail. 99_98";#N/A,#N/A,FALSE,"PMW Canada 99_98";#N/A,#N/A,FALSE,"Währungsabw. 99_98"}</definedName>
    <definedName name="lko0_3" hidden="1">{#N/A,#N/A,FALSE,"PMW Gruppe 99_98";#N/A,#N/A,FALSE,"PMW KG 98_99";#N/A,#N/A,FALSE,"PMW Inc. 99_98";#N/A,#N/A,FALSE,"PMW VTECH 99_98";#N/A,#N/A,FALSE,"PMW Thail. 99_98";#N/A,#N/A,FALSE,"PMW Canada 99_98";#N/A,#N/A,FALSE,"Währungsabw. 99_98"}</definedName>
    <definedName name="lko0_4" localSheetId="0" hidden="1">{#N/A,#N/A,FALSE,"PMW Gruppe 99_98";#N/A,#N/A,FALSE,"PMW KG 98_99";#N/A,#N/A,FALSE,"PMW Inc. 99_98";#N/A,#N/A,FALSE,"PMW VTECH 99_98";#N/A,#N/A,FALSE,"PMW Thail. 99_98";#N/A,#N/A,FALSE,"PMW Canada 99_98";#N/A,#N/A,FALSE,"Währungsabw. 99_98"}</definedName>
    <definedName name="lko0_4" localSheetId="6" hidden="1">{#N/A,#N/A,FALSE,"PMW Gruppe 99_98";#N/A,#N/A,FALSE,"PMW KG 98_99";#N/A,#N/A,FALSE,"PMW Inc. 99_98";#N/A,#N/A,FALSE,"PMW VTECH 99_98";#N/A,#N/A,FALSE,"PMW Thail. 99_98";#N/A,#N/A,FALSE,"PMW Canada 99_98";#N/A,#N/A,FALSE,"Währungsabw. 99_98"}</definedName>
    <definedName name="lko0_4" hidden="1">{#N/A,#N/A,FALSE,"PMW Gruppe 99_98";#N/A,#N/A,FALSE,"PMW KG 98_99";#N/A,#N/A,FALSE,"PMW Inc. 99_98";#N/A,#N/A,FALSE,"PMW VTECH 99_98";#N/A,#N/A,FALSE,"PMW Thail. 99_98";#N/A,#N/A,FALSE,"PMW Canada 99_98";#N/A,#N/A,FALSE,"Währungsabw. 99_98"}</definedName>
    <definedName name="lko0_5" localSheetId="0" hidden="1">{#N/A,#N/A,FALSE,"PMW Gruppe 99_98";#N/A,#N/A,FALSE,"PMW KG 98_99";#N/A,#N/A,FALSE,"PMW Inc. 99_98";#N/A,#N/A,FALSE,"PMW VTECH 99_98";#N/A,#N/A,FALSE,"PMW Thail. 99_98";#N/A,#N/A,FALSE,"PMW Canada 99_98";#N/A,#N/A,FALSE,"Währungsabw. 99_98"}</definedName>
    <definedName name="lko0_5" localSheetId="6" hidden="1">{#N/A,#N/A,FALSE,"PMW Gruppe 99_98";#N/A,#N/A,FALSE,"PMW KG 98_99";#N/A,#N/A,FALSE,"PMW Inc. 99_98";#N/A,#N/A,FALSE,"PMW VTECH 99_98";#N/A,#N/A,FALSE,"PMW Thail. 99_98";#N/A,#N/A,FALSE,"PMW Canada 99_98";#N/A,#N/A,FALSE,"Währungsabw. 99_98"}</definedName>
    <definedName name="lko0_5" hidden="1">{#N/A,#N/A,FALSE,"PMW Gruppe 99_98";#N/A,#N/A,FALSE,"PMW KG 98_99";#N/A,#N/A,FALSE,"PMW Inc. 99_98";#N/A,#N/A,FALSE,"PMW VTECH 99_98";#N/A,#N/A,FALSE,"PMW Thail. 99_98";#N/A,#N/A,FALSE,"PMW Canada 99_98";#N/A,#N/A,FALSE,"Währungsabw. 99_98"}</definedName>
    <definedName name="LL" localSheetId="0" hidden="1">#REF!</definedName>
    <definedName name="ll" localSheetId="6" hidden="1">{#N/A,#N/A,TRUE,"Cover sheet";#N/A,#N/A,TRUE,"Summary";#N/A,#N/A,TRUE,"Key Assumptions";#N/A,#N/A,TRUE,"Profit &amp; Loss";#N/A,#N/A,TRUE,"Balance Sheet";#N/A,#N/A,TRUE,"Cashflow";#N/A,#N/A,TRUE,"IRR";#N/A,#N/A,TRUE,"Ratios";#N/A,#N/A,TRUE,"Debt analysis"}</definedName>
    <definedName name="ll" hidden="1">{#N/A,#N/A,TRUE,"Cover sheet";#N/A,#N/A,TRUE,"Summary";#N/A,#N/A,TRUE,"Key Assumptions";#N/A,#N/A,TRUE,"Profit &amp; Loss";#N/A,#N/A,TRUE,"Balance Sheet";#N/A,#N/A,TRUE,"Cashflow";#N/A,#N/A,TRUE,"IRR";#N/A,#N/A,TRUE,"Ratios";#N/A,#N/A,TRUE,"Debt analysis"}</definedName>
    <definedName name="ll.l" localSheetId="0" hidden="1">{#N/A,#N/A,FALSE,"Produkte Erw.";#N/A,#N/A,FALSE,"Produkte Plan";#N/A,#N/A,FALSE,"Leistungen Erw.";#N/A,#N/A,FALSE,"Leistungen Plan";#N/A,#N/A,FALSE,"KA Allg.Kosten (2)";#N/A,#N/A,FALSE,"KA All.Kosten"}</definedName>
    <definedName name="ll.l" localSheetId="6" hidden="1">{#N/A,#N/A,FALSE,"Produkte Erw.";#N/A,#N/A,FALSE,"Produkte Plan";#N/A,#N/A,FALSE,"Leistungen Erw.";#N/A,#N/A,FALSE,"Leistungen Plan";#N/A,#N/A,FALSE,"KA Allg.Kosten (2)";#N/A,#N/A,FALSE,"KA All.Kosten"}</definedName>
    <definedName name="ll.l" hidden="1">{#N/A,#N/A,FALSE,"Produkte Erw.";#N/A,#N/A,FALSE,"Produkte Plan";#N/A,#N/A,FALSE,"Leistungen Erw.";#N/A,#N/A,FALSE,"Leistungen Plan";#N/A,#N/A,FALSE,"KA Allg.Kosten (2)";#N/A,#N/A,FALSE,"KA All.Kosten"}</definedName>
    <definedName name="ll.l_1" localSheetId="0" hidden="1">{#N/A,#N/A,FALSE,"Produkte Erw.";#N/A,#N/A,FALSE,"Produkte Plan";#N/A,#N/A,FALSE,"Leistungen Erw.";#N/A,#N/A,FALSE,"Leistungen Plan";#N/A,#N/A,FALSE,"KA Allg.Kosten (2)";#N/A,#N/A,FALSE,"KA All.Kosten"}</definedName>
    <definedName name="ll.l_1" localSheetId="6" hidden="1">{#N/A,#N/A,FALSE,"Produkte Erw.";#N/A,#N/A,FALSE,"Produkte Plan";#N/A,#N/A,FALSE,"Leistungen Erw.";#N/A,#N/A,FALSE,"Leistungen Plan";#N/A,#N/A,FALSE,"KA Allg.Kosten (2)";#N/A,#N/A,FALSE,"KA All.Kosten"}</definedName>
    <definedName name="ll.l_1" hidden="1">{#N/A,#N/A,FALSE,"Produkte Erw.";#N/A,#N/A,FALSE,"Produkte Plan";#N/A,#N/A,FALSE,"Leistungen Erw.";#N/A,#N/A,FALSE,"Leistungen Plan";#N/A,#N/A,FALSE,"KA Allg.Kosten (2)";#N/A,#N/A,FALSE,"KA All.Kosten"}</definedName>
    <definedName name="ll.l_1_1" localSheetId="0" hidden="1">{#N/A,#N/A,FALSE,"Produkte Erw.";#N/A,#N/A,FALSE,"Produkte Plan";#N/A,#N/A,FALSE,"Leistungen Erw.";#N/A,#N/A,FALSE,"Leistungen Plan";#N/A,#N/A,FALSE,"KA Allg.Kosten (2)";#N/A,#N/A,FALSE,"KA All.Kosten"}</definedName>
    <definedName name="ll.l_1_1" localSheetId="6" hidden="1">{#N/A,#N/A,FALSE,"Produkte Erw.";#N/A,#N/A,FALSE,"Produkte Plan";#N/A,#N/A,FALSE,"Leistungen Erw.";#N/A,#N/A,FALSE,"Leistungen Plan";#N/A,#N/A,FALSE,"KA Allg.Kosten (2)";#N/A,#N/A,FALSE,"KA All.Kosten"}</definedName>
    <definedName name="ll.l_1_1" hidden="1">{#N/A,#N/A,FALSE,"Produkte Erw.";#N/A,#N/A,FALSE,"Produkte Plan";#N/A,#N/A,FALSE,"Leistungen Erw.";#N/A,#N/A,FALSE,"Leistungen Plan";#N/A,#N/A,FALSE,"KA Allg.Kosten (2)";#N/A,#N/A,FALSE,"KA All.Kosten"}</definedName>
    <definedName name="ll.l_2" localSheetId="0" hidden="1">{#N/A,#N/A,FALSE,"Produkte Erw.";#N/A,#N/A,FALSE,"Produkte Plan";#N/A,#N/A,FALSE,"Leistungen Erw.";#N/A,#N/A,FALSE,"Leistungen Plan";#N/A,#N/A,FALSE,"KA Allg.Kosten (2)";#N/A,#N/A,FALSE,"KA All.Kosten"}</definedName>
    <definedName name="ll.l_2" localSheetId="6" hidden="1">{#N/A,#N/A,FALSE,"Produkte Erw.";#N/A,#N/A,FALSE,"Produkte Plan";#N/A,#N/A,FALSE,"Leistungen Erw.";#N/A,#N/A,FALSE,"Leistungen Plan";#N/A,#N/A,FALSE,"KA Allg.Kosten (2)";#N/A,#N/A,FALSE,"KA All.Kosten"}</definedName>
    <definedName name="ll.l_2" hidden="1">{#N/A,#N/A,FALSE,"Produkte Erw.";#N/A,#N/A,FALSE,"Produkte Plan";#N/A,#N/A,FALSE,"Leistungen Erw.";#N/A,#N/A,FALSE,"Leistungen Plan";#N/A,#N/A,FALSE,"KA Allg.Kosten (2)";#N/A,#N/A,FALSE,"KA All.Kosten"}</definedName>
    <definedName name="ll.l_3" localSheetId="0" hidden="1">{#N/A,#N/A,FALSE,"Produkte Erw.";#N/A,#N/A,FALSE,"Produkte Plan";#N/A,#N/A,FALSE,"Leistungen Erw.";#N/A,#N/A,FALSE,"Leistungen Plan";#N/A,#N/A,FALSE,"KA Allg.Kosten (2)";#N/A,#N/A,FALSE,"KA All.Kosten"}</definedName>
    <definedName name="ll.l_3" localSheetId="6" hidden="1">{#N/A,#N/A,FALSE,"Produkte Erw.";#N/A,#N/A,FALSE,"Produkte Plan";#N/A,#N/A,FALSE,"Leistungen Erw.";#N/A,#N/A,FALSE,"Leistungen Plan";#N/A,#N/A,FALSE,"KA Allg.Kosten (2)";#N/A,#N/A,FALSE,"KA All.Kosten"}</definedName>
    <definedName name="ll.l_3" hidden="1">{#N/A,#N/A,FALSE,"Produkte Erw.";#N/A,#N/A,FALSE,"Produkte Plan";#N/A,#N/A,FALSE,"Leistungen Erw.";#N/A,#N/A,FALSE,"Leistungen Plan";#N/A,#N/A,FALSE,"KA Allg.Kosten (2)";#N/A,#N/A,FALSE,"KA All.Kosten"}</definedName>
    <definedName name="ll.l_4" localSheetId="0" hidden="1">{#N/A,#N/A,FALSE,"Produkte Erw.";#N/A,#N/A,FALSE,"Produkte Plan";#N/A,#N/A,FALSE,"Leistungen Erw.";#N/A,#N/A,FALSE,"Leistungen Plan";#N/A,#N/A,FALSE,"KA Allg.Kosten (2)";#N/A,#N/A,FALSE,"KA All.Kosten"}</definedName>
    <definedName name="ll.l_4" localSheetId="6" hidden="1">{#N/A,#N/A,FALSE,"Produkte Erw.";#N/A,#N/A,FALSE,"Produkte Plan";#N/A,#N/A,FALSE,"Leistungen Erw.";#N/A,#N/A,FALSE,"Leistungen Plan";#N/A,#N/A,FALSE,"KA Allg.Kosten (2)";#N/A,#N/A,FALSE,"KA All.Kosten"}</definedName>
    <definedName name="ll.l_4" hidden="1">{#N/A,#N/A,FALSE,"Produkte Erw.";#N/A,#N/A,FALSE,"Produkte Plan";#N/A,#N/A,FALSE,"Leistungen Erw.";#N/A,#N/A,FALSE,"Leistungen Plan";#N/A,#N/A,FALSE,"KA Allg.Kosten (2)";#N/A,#N/A,FALSE,"KA All.Kosten"}</definedName>
    <definedName name="ll.l_5" localSheetId="0" hidden="1">{#N/A,#N/A,FALSE,"Produkte Erw.";#N/A,#N/A,FALSE,"Produkte Plan";#N/A,#N/A,FALSE,"Leistungen Erw.";#N/A,#N/A,FALSE,"Leistungen Plan";#N/A,#N/A,FALSE,"KA Allg.Kosten (2)";#N/A,#N/A,FALSE,"KA All.Kosten"}</definedName>
    <definedName name="ll.l_5" localSheetId="6" hidden="1">{#N/A,#N/A,FALSE,"Produkte Erw.";#N/A,#N/A,FALSE,"Produkte Plan";#N/A,#N/A,FALSE,"Leistungen Erw.";#N/A,#N/A,FALSE,"Leistungen Plan";#N/A,#N/A,FALSE,"KA Allg.Kosten (2)";#N/A,#N/A,FALSE,"KA All.Kosten"}</definedName>
    <definedName name="ll.l_5" hidden="1">{#N/A,#N/A,FALSE,"Produkte Erw.";#N/A,#N/A,FALSE,"Produkte Plan";#N/A,#N/A,FALSE,"Leistungen Erw.";#N/A,#N/A,FALSE,"Leistungen Plan";#N/A,#N/A,FALSE,"KA Allg.Kosten (2)";#N/A,#N/A,FALSE,"KA All.Kosten"}</definedName>
    <definedName name="lll">#REF!</definedName>
    <definedName name="lll_1" localSheetId="0" hidden="1">{#N/A,#N/A,FALSE,"Umsatz CH";#N/A,#N/A,FALSE,"ER CH";#N/A,#N/A,FALSE,"EA CH (2) ";#N/A,#N/A,FALSE,"EA CH";#N/A,#N/A,FALSE,"EA CH (3) ";#N/A,#N/A,FALSE,"EA CH (4)";#N/A,#N/A,FALSE,"KA CH";#N/A,#N/A,FALSE,"KA CH  (2)";#N/A,#N/A,FALSE,"KA CH  (3)";#N/A,#N/A,FALSE,"KA CH (4)"}</definedName>
    <definedName name="lll_1" localSheetId="6" hidden="1">{#N/A,#N/A,FALSE,"Umsatz CH";#N/A,#N/A,FALSE,"ER CH";#N/A,#N/A,FALSE,"EA CH (2) ";#N/A,#N/A,FALSE,"EA CH";#N/A,#N/A,FALSE,"EA CH (3) ";#N/A,#N/A,FALSE,"EA CH (4)";#N/A,#N/A,FALSE,"KA CH";#N/A,#N/A,FALSE,"KA CH  (2)";#N/A,#N/A,FALSE,"KA CH  (3)";#N/A,#N/A,FALSE,"KA CH (4)"}</definedName>
    <definedName name="lll_1" hidden="1">{#N/A,#N/A,FALSE,"Umsatz CH";#N/A,#N/A,FALSE,"ER CH";#N/A,#N/A,FALSE,"EA CH (2) ";#N/A,#N/A,FALSE,"EA CH";#N/A,#N/A,FALSE,"EA CH (3) ";#N/A,#N/A,FALSE,"EA CH (4)";#N/A,#N/A,FALSE,"KA CH";#N/A,#N/A,FALSE,"KA CH  (2)";#N/A,#N/A,FALSE,"KA CH  (3)";#N/A,#N/A,FALSE,"KA CH (4)"}</definedName>
    <definedName name="lll_1_1" localSheetId="0" hidden="1">{#N/A,#N/A,FALSE,"Umsatz CH";#N/A,#N/A,FALSE,"ER CH";#N/A,#N/A,FALSE,"EA CH (2) ";#N/A,#N/A,FALSE,"EA CH";#N/A,#N/A,FALSE,"EA CH (3) ";#N/A,#N/A,FALSE,"EA CH (4)";#N/A,#N/A,FALSE,"KA CH";#N/A,#N/A,FALSE,"KA CH  (2)";#N/A,#N/A,FALSE,"KA CH  (3)";#N/A,#N/A,FALSE,"KA CH (4)"}</definedName>
    <definedName name="lll_1_1" localSheetId="6" hidden="1">{#N/A,#N/A,FALSE,"Umsatz CH";#N/A,#N/A,FALSE,"ER CH";#N/A,#N/A,FALSE,"EA CH (2) ";#N/A,#N/A,FALSE,"EA CH";#N/A,#N/A,FALSE,"EA CH (3) ";#N/A,#N/A,FALSE,"EA CH (4)";#N/A,#N/A,FALSE,"KA CH";#N/A,#N/A,FALSE,"KA CH  (2)";#N/A,#N/A,FALSE,"KA CH  (3)";#N/A,#N/A,FALSE,"KA CH (4)"}</definedName>
    <definedName name="lll_1_1" hidden="1">{#N/A,#N/A,FALSE,"Umsatz CH";#N/A,#N/A,FALSE,"ER CH";#N/A,#N/A,FALSE,"EA CH (2) ";#N/A,#N/A,FALSE,"EA CH";#N/A,#N/A,FALSE,"EA CH (3) ";#N/A,#N/A,FALSE,"EA CH (4)";#N/A,#N/A,FALSE,"KA CH";#N/A,#N/A,FALSE,"KA CH  (2)";#N/A,#N/A,FALSE,"KA CH  (3)";#N/A,#N/A,FALSE,"KA CH (4)"}</definedName>
    <definedName name="lll_2" localSheetId="0" hidden="1">{#N/A,#N/A,FALSE,"Umsatz CH";#N/A,#N/A,FALSE,"ER CH";#N/A,#N/A,FALSE,"EA CH (2) ";#N/A,#N/A,FALSE,"EA CH";#N/A,#N/A,FALSE,"EA CH (3) ";#N/A,#N/A,FALSE,"EA CH (4)";#N/A,#N/A,FALSE,"KA CH";#N/A,#N/A,FALSE,"KA CH  (2)";#N/A,#N/A,FALSE,"KA CH  (3)";#N/A,#N/A,FALSE,"KA CH (4)"}</definedName>
    <definedName name="lll_2" localSheetId="6" hidden="1">{#N/A,#N/A,FALSE,"Umsatz CH";#N/A,#N/A,FALSE,"ER CH";#N/A,#N/A,FALSE,"EA CH (2) ";#N/A,#N/A,FALSE,"EA CH";#N/A,#N/A,FALSE,"EA CH (3) ";#N/A,#N/A,FALSE,"EA CH (4)";#N/A,#N/A,FALSE,"KA CH";#N/A,#N/A,FALSE,"KA CH  (2)";#N/A,#N/A,FALSE,"KA CH  (3)";#N/A,#N/A,FALSE,"KA CH (4)"}</definedName>
    <definedName name="lll_2" hidden="1">{#N/A,#N/A,FALSE,"Umsatz CH";#N/A,#N/A,FALSE,"ER CH";#N/A,#N/A,FALSE,"EA CH (2) ";#N/A,#N/A,FALSE,"EA CH";#N/A,#N/A,FALSE,"EA CH (3) ";#N/A,#N/A,FALSE,"EA CH (4)";#N/A,#N/A,FALSE,"KA CH";#N/A,#N/A,FALSE,"KA CH  (2)";#N/A,#N/A,FALSE,"KA CH  (3)";#N/A,#N/A,FALSE,"KA CH (4)"}</definedName>
    <definedName name="lll_3" localSheetId="0" hidden="1">{#N/A,#N/A,FALSE,"Umsatz CH";#N/A,#N/A,FALSE,"ER CH";#N/A,#N/A,FALSE,"EA CH (2) ";#N/A,#N/A,FALSE,"EA CH";#N/A,#N/A,FALSE,"EA CH (3) ";#N/A,#N/A,FALSE,"EA CH (4)";#N/A,#N/A,FALSE,"KA CH";#N/A,#N/A,FALSE,"KA CH  (2)";#N/A,#N/A,FALSE,"KA CH  (3)";#N/A,#N/A,FALSE,"KA CH (4)"}</definedName>
    <definedName name="lll_3" localSheetId="6" hidden="1">{#N/A,#N/A,FALSE,"Umsatz CH";#N/A,#N/A,FALSE,"ER CH";#N/A,#N/A,FALSE,"EA CH (2) ";#N/A,#N/A,FALSE,"EA CH";#N/A,#N/A,FALSE,"EA CH (3) ";#N/A,#N/A,FALSE,"EA CH (4)";#N/A,#N/A,FALSE,"KA CH";#N/A,#N/A,FALSE,"KA CH  (2)";#N/A,#N/A,FALSE,"KA CH  (3)";#N/A,#N/A,FALSE,"KA CH (4)"}</definedName>
    <definedName name="lll_3" hidden="1">{#N/A,#N/A,FALSE,"Umsatz CH";#N/A,#N/A,FALSE,"ER CH";#N/A,#N/A,FALSE,"EA CH (2) ";#N/A,#N/A,FALSE,"EA CH";#N/A,#N/A,FALSE,"EA CH (3) ";#N/A,#N/A,FALSE,"EA CH (4)";#N/A,#N/A,FALSE,"KA CH";#N/A,#N/A,FALSE,"KA CH  (2)";#N/A,#N/A,FALSE,"KA CH  (3)";#N/A,#N/A,FALSE,"KA CH (4)"}</definedName>
    <definedName name="lll_4" localSheetId="0" hidden="1">{#N/A,#N/A,FALSE,"Umsatz CH";#N/A,#N/A,FALSE,"ER CH";#N/A,#N/A,FALSE,"EA CH (2) ";#N/A,#N/A,FALSE,"EA CH";#N/A,#N/A,FALSE,"EA CH (3) ";#N/A,#N/A,FALSE,"EA CH (4)";#N/A,#N/A,FALSE,"KA CH";#N/A,#N/A,FALSE,"KA CH  (2)";#N/A,#N/A,FALSE,"KA CH  (3)";#N/A,#N/A,FALSE,"KA CH (4)"}</definedName>
    <definedName name="lll_4" localSheetId="6" hidden="1">{#N/A,#N/A,FALSE,"Umsatz CH";#N/A,#N/A,FALSE,"ER CH";#N/A,#N/A,FALSE,"EA CH (2) ";#N/A,#N/A,FALSE,"EA CH";#N/A,#N/A,FALSE,"EA CH (3) ";#N/A,#N/A,FALSE,"EA CH (4)";#N/A,#N/A,FALSE,"KA CH";#N/A,#N/A,FALSE,"KA CH  (2)";#N/A,#N/A,FALSE,"KA CH  (3)";#N/A,#N/A,FALSE,"KA CH (4)"}</definedName>
    <definedName name="lll_4" hidden="1">{#N/A,#N/A,FALSE,"Umsatz CH";#N/A,#N/A,FALSE,"ER CH";#N/A,#N/A,FALSE,"EA CH (2) ";#N/A,#N/A,FALSE,"EA CH";#N/A,#N/A,FALSE,"EA CH (3) ";#N/A,#N/A,FALSE,"EA CH (4)";#N/A,#N/A,FALSE,"KA CH";#N/A,#N/A,FALSE,"KA CH  (2)";#N/A,#N/A,FALSE,"KA CH  (3)";#N/A,#N/A,FALSE,"KA CH (4)"}</definedName>
    <definedName name="lll_5" localSheetId="0" hidden="1">{#N/A,#N/A,FALSE,"Umsatz CH";#N/A,#N/A,FALSE,"ER CH";#N/A,#N/A,FALSE,"EA CH (2) ";#N/A,#N/A,FALSE,"EA CH";#N/A,#N/A,FALSE,"EA CH (3) ";#N/A,#N/A,FALSE,"EA CH (4)";#N/A,#N/A,FALSE,"KA CH";#N/A,#N/A,FALSE,"KA CH  (2)";#N/A,#N/A,FALSE,"KA CH  (3)";#N/A,#N/A,FALSE,"KA CH (4)"}</definedName>
    <definedName name="lll_5" localSheetId="6" hidden="1">{#N/A,#N/A,FALSE,"Umsatz CH";#N/A,#N/A,FALSE,"ER CH";#N/A,#N/A,FALSE,"EA CH (2) ";#N/A,#N/A,FALSE,"EA CH";#N/A,#N/A,FALSE,"EA CH (3) ";#N/A,#N/A,FALSE,"EA CH (4)";#N/A,#N/A,FALSE,"KA CH";#N/A,#N/A,FALSE,"KA CH  (2)";#N/A,#N/A,FALSE,"KA CH  (3)";#N/A,#N/A,FALSE,"KA CH (4)"}</definedName>
    <definedName name="lll_5" hidden="1">{#N/A,#N/A,FALSE,"Umsatz CH";#N/A,#N/A,FALSE,"ER CH";#N/A,#N/A,FALSE,"EA CH (2) ";#N/A,#N/A,FALSE,"EA CH";#N/A,#N/A,FALSE,"EA CH (3) ";#N/A,#N/A,FALSE,"EA CH (4)";#N/A,#N/A,FALSE,"KA CH";#N/A,#N/A,FALSE,"KA CH  (2)";#N/A,#N/A,FALSE,"KA CH  (3)";#N/A,#N/A,FALSE,"KA CH (4)"}</definedName>
    <definedName name="lllj" hidden="1">#REF!</definedName>
    <definedName name="llll" localSheetId="6" hidden="1">{#N/A,#N/A,FALSE,"Other OT Diffs ";#N/A,#N/A,FALSE,"AMP OT DIFFS";#N/A,#N/A,FALSE,"Spend Diffs"}</definedName>
    <definedName name="llll" hidden="1">{#N/A,#N/A,FALSE,"Other OT Diffs ";#N/A,#N/A,FALSE,"AMP OT DIFFS";#N/A,#N/A,FALSE,"Spend Diffs"}</definedName>
    <definedName name="lllll" localSheetId="6" hidden="1">{#N/A,#N/A,TRUE,"FA 1 &amp; 2";#N/A,#N/A,TRUE,"FA 3 &amp; 4";#N/A,#N/A,TRUE,"FA 5 &amp; 6";#N/A,#N/A,TRUE,"FA 7 &amp; 8";#N/A,#N/A,TRUE,"FA 9 &amp; 10";#N/A,#N/A,TRUE,"FA 11";#N/A,#N/A,TRUE,"FA 12";#N/A,#N/A,TRUE,"FA 13";#N/A,#N/A,TRUE,"FA 14 &amp; 15"}</definedName>
    <definedName name="lllll" hidden="1">{#N/A,#N/A,TRUE,"FA 1 &amp; 2";#N/A,#N/A,TRUE,"FA 3 &amp; 4";#N/A,#N/A,TRUE,"FA 5 &amp; 6";#N/A,#N/A,TRUE,"FA 7 &amp; 8";#N/A,#N/A,TRUE,"FA 9 &amp; 10";#N/A,#N/A,TRUE,"FA 11";#N/A,#N/A,TRUE,"FA 12";#N/A,#N/A,TRUE,"FA 13";#N/A,#N/A,TRUE,"FA 14 &amp; 15"}</definedName>
    <definedName name="lnk_CoName" hidden="1">#REF!</definedName>
    <definedName name="lnk_countryID" hidden="1">#REF!</definedName>
    <definedName name="lnk_cpyID" hidden="1">#REF!</definedName>
    <definedName name="lnk_display_Currency" hidden="1">#REF!</definedName>
    <definedName name="lnk_IndustryType" hidden="1">#REF!</definedName>
    <definedName name="lnk_LastFiscalYear" hidden="1">#REF!</definedName>
    <definedName name="lnk_numForecastYears" hidden="1">#REF!</definedName>
    <definedName name="lnk_numHistoricalYears" hidden="1">#REF!</definedName>
    <definedName name="lnk_Print_Area" hidden="1">#REF!</definedName>
    <definedName name="lnk_rData_Start_Driver" hidden="1">#REF!</definedName>
    <definedName name="lnk_rData_Start_Result" hidden="1">#REF!</definedName>
    <definedName name="lnk_rDataStart" hidden="1">#REF!</definedName>
    <definedName name="lnk_rSourceFore" hidden="1">#REF!</definedName>
    <definedName name="lnk_rSourceFore1st" hidden="1">#REF!</definedName>
    <definedName name="lnk_rSourceHist" hidden="1">#REF!</definedName>
    <definedName name="lnk_rYearRow" hidden="1">#REF!</definedName>
    <definedName name="lnk_rYearRow_Driver" hidden="1">#REF!</definedName>
    <definedName name="lnk_rYearRow_Result" hidden="1">#REF!</definedName>
    <definedName name="lnk_ScenarioName" hidden="1">#REF!</definedName>
    <definedName name="lnk_TICK" hidden="1">#REF!</definedName>
    <definedName name="lnk_update" hidden="1">#REF!</definedName>
    <definedName name="lnk_version" hidden="1">#REF!</definedName>
    <definedName name="lo" localSheetId="0" hidden="1">{#N/A,#N/A,FALSE,"Sheet1"}</definedName>
    <definedName name="lo" localSheetId="6" hidden="1">{#N/A,#N/A,FALSE,"Sheet1"}</definedName>
    <definedName name="lo" hidden="1">{#N/A,#N/A,FALSE,"Sheet1"}</definedName>
    <definedName name="lo12m">#REF!</definedName>
    <definedName name="Loan_Amount">#REF!</definedName>
    <definedName name="Loan_interest">#REF!</definedName>
    <definedName name="LOAN_LOSS" hidden="1">"LOAN_LOSS"</definedName>
    <definedName name="Loan_outstanding_loan">#REF!</definedName>
    <definedName name="Loan_Start">#REF!</definedName>
    <definedName name="Loan_Years">#REF!</definedName>
    <definedName name="LoanAmount">#REF!</definedName>
    <definedName name="LoanIntMethod" hidden="1">#REF!</definedName>
    <definedName name="LoanIsGood">(#REF!*#REF!*#REF!*#REF!)&gt;0</definedName>
    <definedName name="LoanPeriod">#REF!</definedName>
    <definedName name="LOANS1">#REF!</definedName>
    <definedName name="LOANS2">#REF!</definedName>
    <definedName name="LoanStartDate">#REF!</definedName>
    <definedName name="LoanTo" hidden="1">#REF!</definedName>
    <definedName name="LoanType" hidden="1">#REF!</definedName>
    <definedName name="local" localSheetId="4" hidden="1">Main.SAPF4Help()</definedName>
    <definedName name="local" localSheetId="0" hidden="1">Main.SAPF4Help()</definedName>
    <definedName name="local" localSheetId="2" hidden="1">Main.SAPF4Help()</definedName>
    <definedName name="local" localSheetId="6" hidden="1">Main.SAPF4Help()</definedName>
    <definedName name="local" hidden="1">Main.SAPF4Help()</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gistik" localSheetId="0" hidden="1">{#N/A,#N/A,TRUE,"Sensonic";#N/A,#N/A,TRUE,"Combimeter";#N/A,#N/A,TRUE,"HKV";#N/A,#N/A,TRUE,"TV";#N/A,#N/A,TRUE,"WZ";#N/A,#N/A,TRUE,"PrepHeatCon";#N/A,#N/A,TRUE,"Sonstiges";#N/A,#N/A,TRUE,"Abrechnung";#N/A,#N/A,TRUE,"Investitionen";#N/A,#N/A,TRUE,"Personal";#N/A,#N/A,TRUE,"sonstige Kosten u. Erträge";#N/A,#N/A,TRUE,"BER";#N/A,#N/A,TRUE,"Monatsaufteilung Budget 1997"}</definedName>
    <definedName name="logistik"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logistik" hidden="1">{#N/A,#N/A,TRUE,"Sensonic";#N/A,#N/A,TRUE,"Combimeter";#N/A,#N/A,TRUE,"HKV";#N/A,#N/A,TRUE,"TV";#N/A,#N/A,TRUE,"WZ";#N/A,#N/A,TRUE,"PrepHeatCon";#N/A,#N/A,TRUE,"Sonstiges";#N/A,#N/A,TRUE,"Abrechnung";#N/A,#N/A,TRUE,"Investitionen";#N/A,#N/A,TRUE,"Personal";#N/A,#N/A,TRUE,"sonstige Kosten u. Erträge";#N/A,#N/A,TRUE,"BER";#N/A,#N/A,TRUE,"Monatsaufteilung Budget 1997"}</definedName>
    <definedName name="LONG_TERM_DEBT" hidden="1">"LONG_TERM_DEBT"</definedName>
    <definedName name="LONG_TERM_GROWTH" hidden="1">"LONG_TERM_GROWTH"</definedName>
    <definedName name="LONG_TERM_INV" hidden="1">"LONG_TERM_INV"</definedName>
    <definedName name="longh" localSheetId="0" hidden="1">{"GTI monthly IS",#N/A,FALSE,"gti";#N/A,#N/A,FALSE,"gti"}</definedName>
    <definedName name="longh" localSheetId="6" hidden="1">{"GTI monthly IS",#N/A,FALSE,"gti";#N/A,#N/A,FALSE,"gti"}</definedName>
    <definedName name="longh" hidden="1">{"GTI monthly IS",#N/A,FALSE,"gti";#N/A,#N/A,FALSE,"gti"}</definedName>
    <definedName name="Look1Area">#REF!</definedName>
    <definedName name="Look2Area">#REF!</definedName>
    <definedName name="Look3Area">#REF!</definedName>
    <definedName name="Look4Area">#REF!</definedName>
    <definedName name="Look5Area">#REF!</definedName>
    <definedName name="LookUpRange">#REF!</definedName>
    <definedName name="Loop">#REF!</definedName>
    <definedName name="lop"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lop"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lost" hidden="1">#REF!</definedName>
    <definedName name="louis" localSheetId="0" hidden="1">{"vue1",#N/A,FALSE,"synthese";"vue2",#N/A,FALSE,"synthese"}</definedName>
    <definedName name="louis" localSheetId="6" hidden="1">{"vue1",#N/A,FALSE,"synthese";"vue2",#N/A,FALSE,"synthese"}</definedName>
    <definedName name="louis" hidden="1">{"vue1",#N/A,FALSE,"synthese";"vue2",#N/A,FALSE,"synthese"}</definedName>
    <definedName name="Low">#REF!</definedName>
    <definedName name="LOWPRICE" hidden="1">"LOWPRICE"</definedName>
    <definedName name="lowsulfurdiesel" localSheetId="0" hidden="1">{"PAGE1",#N/A,FALSE,"YIELDS";"PAGE2",#N/A,FALSE,"YIELDS";"PAGE3",#N/A,FALSE,"YIELDS"}</definedName>
    <definedName name="lowsulfurdiesel" localSheetId="6" hidden="1">{"PAGE1",#N/A,FALSE,"YIELDS";"PAGE2",#N/A,FALSE,"YIELDS";"PAGE3",#N/A,FALSE,"YIELDS"}</definedName>
    <definedName name="lowsulfurdiesel" hidden="1">{"PAGE1",#N/A,FALSE,"YIELDS";"PAGE2",#N/A,FALSE,"YIELDS";"PAGE3",#N/A,FALSE,"YIELDS"}</definedName>
    <definedName name="lowsulphurdiesel" localSheetId="0" hidden="1">{"PAGE1",#N/A,FALSE,"YIELDS";"PAGE2",#N/A,FALSE,"YIELDS";"PAGE3",#N/A,FALSE,"YIELDS"}</definedName>
    <definedName name="lowsulphurdiesel" localSheetId="6" hidden="1">{"PAGE1",#N/A,FALSE,"YIELDS";"PAGE2",#N/A,FALSE,"YIELDS";"PAGE3",#N/A,FALSE,"YIELDS"}</definedName>
    <definedName name="lowsulphurdiesel" hidden="1">{"PAGE1",#N/A,FALSE,"YIELDS";"PAGE2",#N/A,FALSE,"YIELDS";"PAGE3",#N/A,FALSE,"YIELDS"}</definedName>
    <definedName name="LPS" localSheetId="0" hidden="1">{#N/A,#N/A,TRUE,"Cover";#N/A,#N/A,TRUE,"Sum";#N/A,#N/A,TRUE,"SubsRev";#N/A,#N/A,TRUE,"CapEx";#N/A,#N/A,TRUE,"OpEx";#N/A,#N/A,TRUE,"SUs";#N/A,#N/A,TRUE,"OrgChart";#N/A,#N/A,TRUE,"Staff";#N/A,#N/A,TRUE,"P&amp;L";#N/A,#N/A,TRUE,"Cash";#N/A,#N/A,TRUE,"BS";#N/A,#N/A,TRUE,"Valuation";#N/A,#N/A,TRUE,"CapEx-Assumptions";#N/A,#N/A,TRUE,"OpEx-Assumptions"}</definedName>
    <definedName name="LPS" localSheetId="6" hidden="1">{#N/A,#N/A,TRUE,"Cover";#N/A,#N/A,TRUE,"Sum";#N/A,#N/A,TRUE,"SubsRev";#N/A,#N/A,TRUE,"CapEx";#N/A,#N/A,TRUE,"OpEx";#N/A,#N/A,TRUE,"SUs";#N/A,#N/A,TRUE,"OrgChart";#N/A,#N/A,TRUE,"Staff";#N/A,#N/A,TRUE,"P&amp;L";#N/A,#N/A,TRUE,"Cash";#N/A,#N/A,TRUE,"BS";#N/A,#N/A,TRUE,"Valuation";#N/A,#N/A,TRUE,"CapEx-Assumptions";#N/A,#N/A,TRUE,"OpEx-Assumptions"}</definedName>
    <definedName name="LPS" hidden="1">{#N/A,#N/A,TRUE,"Cover";#N/A,#N/A,TRUE,"Sum";#N/A,#N/A,TRUE,"SubsRev";#N/A,#N/A,TRUE,"CapEx";#N/A,#N/A,TRUE,"OpEx";#N/A,#N/A,TRUE,"SUs";#N/A,#N/A,TRUE,"OrgChart";#N/A,#N/A,TRUE,"Staff";#N/A,#N/A,TRUE,"P&amp;L";#N/A,#N/A,TRUE,"Cash";#N/A,#N/A,TRUE,"BS";#N/A,#N/A,TRUE,"Valuation";#N/A,#N/A,TRUE,"CapEx-Assumptions";#N/A,#N/A,TRUE,"OpEx-Assumptions"}</definedName>
    <definedName name="lsfsfsafslka" localSheetId="0" hidden="1">{#N/A,#N/A,TRUE,"Cover";#N/A,#N/A,TRUE,"Sum";#N/A,#N/A,TRUE,"SubsRev";#N/A,#N/A,TRUE,"CapEx";#N/A,#N/A,TRUE,"OpEx";#N/A,#N/A,TRUE,"SUs";#N/A,#N/A,TRUE,"OrgChart";#N/A,#N/A,TRUE,"Staff";#N/A,#N/A,TRUE,"P&amp;L";#N/A,#N/A,TRUE,"Cash";#N/A,#N/A,TRUE,"BS";#N/A,#N/A,TRUE,"Valuation";#N/A,#N/A,TRUE,"CapEx-Assumptions";#N/A,#N/A,TRUE,"OpEx-Assumptions"}</definedName>
    <definedName name="lsfsfsafslka" localSheetId="6" hidden="1">{#N/A,#N/A,TRUE,"Cover";#N/A,#N/A,TRUE,"Sum";#N/A,#N/A,TRUE,"SubsRev";#N/A,#N/A,TRUE,"CapEx";#N/A,#N/A,TRUE,"OpEx";#N/A,#N/A,TRUE,"SUs";#N/A,#N/A,TRUE,"OrgChart";#N/A,#N/A,TRUE,"Staff";#N/A,#N/A,TRUE,"P&amp;L";#N/A,#N/A,TRUE,"Cash";#N/A,#N/A,TRUE,"BS";#N/A,#N/A,TRUE,"Valuation";#N/A,#N/A,TRUE,"CapEx-Assumptions";#N/A,#N/A,TRUE,"OpEx-Assumptions"}</definedName>
    <definedName name="lsfsfsafslka" hidden="1">{#N/A,#N/A,TRUE,"Cover";#N/A,#N/A,TRUE,"Sum";#N/A,#N/A,TRUE,"SubsRev";#N/A,#N/A,TRUE,"CapEx";#N/A,#N/A,TRUE,"OpEx";#N/A,#N/A,TRUE,"SUs";#N/A,#N/A,TRUE,"OrgChart";#N/A,#N/A,TRUE,"Staff";#N/A,#N/A,TRUE,"P&amp;L";#N/A,#N/A,TRUE,"Cash";#N/A,#N/A,TRUE,"BS";#N/A,#N/A,TRUE,"Valuation";#N/A,#N/A,TRUE,"CapEx-Assumptions";#N/A,#N/A,TRUE,"OpEx-Assumptions"}</definedName>
    <definedName name="LT">#REF!</definedName>
    <definedName name="lt_growth">#REF!</definedName>
    <definedName name="LTM">#REF!</definedName>
    <definedName name="LTM_DATE">#REF!</definedName>
    <definedName name="LTM_REVENUE_OVER_EMPLOYEES" hidden="1">"LTM_REVENUE_OVER_EMPLOYEES"</definedName>
    <definedName name="ltmnonasset1" hidden="1">#REF!</definedName>
    <definedName name="ltmnonliab1" hidden="1">#REF!</definedName>
    <definedName name="lumina" localSheetId="6" hidden="1">{"ROCE Summ",#N/A,FALSE,"Property Management Exps"}</definedName>
    <definedName name="lumina" hidden="1">{"ROCE Summ",#N/A,FALSE,"Property Management Exps"}</definedName>
    <definedName name="lundi" localSheetId="0" hidden="1">{#N/A,#N/A,FALSE,"Tabl. G1";#N/A,#N/A,FALSE,"Tabl. G2"}</definedName>
    <definedName name="lundi" localSheetId="6" hidden="1">{#N/A,#N/A,FALSE,"Tabl. G1";#N/A,#N/A,FALSE,"Tabl. G2"}</definedName>
    <definedName name="lundi" hidden="1">{#N/A,#N/A,FALSE,"Tabl. G1";#N/A,#N/A,FALSE,"Tabl. G2"}</definedName>
    <definedName name="LYRBM">#REF!</definedName>
    <definedName name="M" localSheetId="0" hidden="1">{#N/A,#N/A,TRUE,"0 Deckbl.";#N/A,#N/A,TRUE,"S 1 Komm";#N/A,#N/A,TRUE,"S 1a Komm";#N/A,#N/A,TRUE,"S 1b Komm";#N/A,#N/A,TRUE,"S  2 DBR";#N/A,#N/A,TRUE,"S  3 Sparten";#N/A,#N/A,TRUE,"S 4  Betr. K.";#N/A,#N/A,TRUE,"6 Bilanz";#N/A,#N/A,TRUE,"6a Bilanz ";#N/A,#N/A,TRUE,"6b Bilanz ";#N/A,#N/A,TRUE,"7 GS I";#N/A,#N/A,TRUE,"S 8 EQ-GuV"}</definedName>
    <definedName name="M" localSheetId="6" hidden="1">{#N/A,#N/A,TRUE,"0 Deckbl.";#N/A,#N/A,TRUE,"S 1 Komm";#N/A,#N/A,TRUE,"S 1a Komm";#N/A,#N/A,TRUE,"S 1b Komm";#N/A,#N/A,TRUE,"S  2 DBR";#N/A,#N/A,TRUE,"S  3 Sparten";#N/A,#N/A,TRUE,"S 4  Betr. K.";#N/A,#N/A,TRUE,"6 Bilanz";#N/A,#N/A,TRUE,"6a Bilanz ";#N/A,#N/A,TRUE,"6b Bilanz ";#N/A,#N/A,TRUE,"7 GS I";#N/A,#N/A,TRUE,"S 8 EQ-GuV"}</definedName>
    <definedName name="M" hidden="1">{#N/A,#N/A,TRUE,"0 Deckbl.";#N/A,#N/A,TRUE,"S 1 Komm";#N/A,#N/A,TRUE,"S 1a Komm";#N/A,#N/A,TRUE,"S 1b Komm";#N/A,#N/A,TRUE,"S  2 DBR";#N/A,#N/A,TRUE,"S  3 Sparten";#N/A,#N/A,TRUE,"S 4  Betr. K.";#N/A,#N/A,TRUE,"6 Bilanz";#N/A,#N/A,TRUE,"6a Bilanz ";#N/A,#N/A,TRUE,"6b Bilanz ";#N/A,#N/A,TRUE,"7 GS I";#N/A,#N/A,TRUE,"S 8 EQ-GuV"}</definedName>
    <definedName name="m_1" localSheetId="0" hidden="1">{#N/A,#N/A,FALSE,"CNS";#N/A,#N/A,FALSE,"Serz";#N/A,#N/A,FALSE,"Ace"}</definedName>
    <definedName name="m_1" localSheetId="6" hidden="1">{#N/A,#N/A,FALSE,"CNS";#N/A,#N/A,FALSE,"Serz";#N/A,#N/A,FALSE,"Ace"}</definedName>
    <definedName name="m_1" hidden="1">{#N/A,#N/A,FALSE,"CNS";#N/A,#N/A,FALSE,"Serz";#N/A,#N/A,FALSE,"Ace"}</definedName>
    <definedName name="m_1_1" localSheetId="0" hidden="1">{#N/A,#N/A,FALSE,"CNS";#N/A,#N/A,FALSE,"Serz";#N/A,#N/A,FALSE,"Ace"}</definedName>
    <definedName name="m_1_1" localSheetId="6" hidden="1">{#N/A,#N/A,FALSE,"CNS";#N/A,#N/A,FALSE,"Serz";#N/A,#N/A,FALSE,"Ace"}</definedName>
    <definedName name="m_1_1" hidden="1">{#N/A,#N/A,FALSE,"CNS";#N/A,#N/A,FALSE,"Serz";#N/A,#N/A,FALSE,"Ace"}</definedName>
    <definedName name="m_2" localSheetId="0" hidden="1">{#N/A,#N/A,FALSE,"CNS";#N/A,#N/A,FALSE,"Serz";#N/A,#N/A,FALSE,"Ace"}</definedName>
    <definedName name="m_2" localSheetId="6" hidden="1">{#N/A,#N/A,FALSE,"CNS";#N/A,#N/A,FALSE,"Serz";#N/A,#N/A,FALSE,"Ace"}</definedName>
    <definedName name="m_2" hidden="1">{#N/A,#N/A,FALSE,"CNS";#N/A,#N/A,FALSE,"Serz";#N/A,#N/A,FALSE,"Ace"}</definedName>
    <definedName name="m_3" localSheetId="0" hidden="1">{#N/A,#N/A,FALSE,"CNS";#N/A,#N/A,FALSE,"Serz";#N/A,#N/A,FALSE,"Ace"}</definedName>
    <definedName name="m_3" localSheetId="6" hidden="1">{#N/A,#N/A,FALSE,"CNS";#N/A,#N/A,FALSE,"Serz";#N/A,#N/A,FALSE,"Ace"}</definedName>
    <definedName name="m_3" hidden="1">{#N/A,#N/A,FALSE,"CNS";#N/A,#N/A,FALSE,"Serz";#N/A,#N/A,FALSE,"Ace"}</definedName>
    <definedName name="m_4" localSheetId="0" hidden="1">{#N/A,#N/A,FALSE,"CNS";#N/A,#N/A,FALSE,"Serz";#N/A,#N/A,FALSE,"Ace"}</definedName>
    <definedName name="m_4" localSheetId="6" hidden="1">{#N/A,#N/A,FALSE,"CNS";#N/A,#N/A,FALSE,"Serz";#N/A,#N/A,FALSE,"Ace"}</definedName>
    <definedName name="m_4" hidden="1">{#N/A,#N/A,FALSE,"CNS";#N/A,#N/A,FALSE,"Serz";#N/A,#N/A,FALSE,"Ace"}</definedName>
    <definedName name="m_5" localSheetId="0" hidden="1">{#N/A,#N/A,FALSE,"CNS";#N/A,#N/A,FALSE,"Serz";#N/A,#N/A,FALSE,"Ace"}</definedName>
    <definedName name="m_5" localSheetId="6" hidden="1">{#N/A,#N/A,FALSE,"CNS";#N/A,#N/A,FALSE,"Serz";#N/A,#N/A,FALSE,"Ace"}</definedName>
    <definedName name="m_5" hidden="1">{#N/A,#N/A,FALSE,"CNS";#N/A,#N/A,FALSE,"Serz";#N/A,#N/A,FALSE,"Ace"}</definedName>
    <definedName name="M_PlaceofPath" localSheetId="0" hidden="1">"\\SNYCEQT0300\HOME\DBEGLEIT\excel\FULL\FULL_VDF.XLS"</definedName>
    <definedName name="M_PlaceofPath" hidden="1">"F:\CMOTZ\excel\ati\ATI_VDF.XLS"</definedName>
    <definedName name="M371Q2">#REF!</definedName>
    <definedName name="MA" hidden="1">#REF!</definedName>
    <definedName name="Macro2">#N/A</definedName>
    <definedName name="Macro2_1">#N/A</definedName>
    <definedName name="Macro3">#N/A</definedName>
    <definedName name="Macro3_1">#N/A</definedName>
    <definedName name="MADINA_MUNAWARA">#REF!</definedName>
    <definedName name="Main2">#REF!</definedName>
    <definedName name="Main3">#REF!</definedName>
    <definedName name="Maint_COGS">#REF!</definedName>
    <definedName name="MAKKA_KAKIA">#REF!</definedName>
    <definedName name="MAKKA_OMRA">#REF!</definedName>
    <definedName name="MAKKAH" localSheetId="6" hidden="1">1/EUReXToFRF</definedName>
    <definedName name="MAKKAH" hidden="1">1/EUReXToFRF</definedName>
    <definedName name="Malik" hidden="1">OFFSET(#REF!,1,0)</definedName>
    <definedName name="Manpower_DL">#REF!</definedName>
    <definedName name="March" localSheetId="0" hidden="1">{#N/A,#N/A,FALSE,"PROFIT 11-95"}</definedName>
    <definedName name="March" localSheetId="6" hidden="1">{#N/A,#N/A,FALSE,"PROFIT 11-95"}</definedName>
    <definedName name="March" hidden="1">{#N/A,#N/A,FALSE,"PROFIT 11-95"}</definedName>
    <definedName name="March_6_183">#REF!</definedName>
    <definedName name="mardi" localSheetId="0" hidden="1">{#N/A,#N/A,FALSE,"Tabl. H1";#N/A,#N/A,FALSE,"Tabl. H2"}</definedName>
    <definedName name="mardi" localSheetId="6" hidden="1">{#N/A,#N/A,FALSE,"Tabl. H1";#N/A,#N/A,FALSE,"Tabl. H2"}</definedName>
    <definedName name="mardi" hidden="1">{#N/A,#N/A,FALSE,"Tabl. H1";#N/A,#N/A,FALSE,"Tabl. H2"}</definedName>
    <definedName name="margin">#REF!</definedName>
    <definedName name="marino" localSheetId="0" hidden="1">{#N/A,#N/A,FALSE,"Work progress mensile";#N/A,#N/A,FALSE,"Work progress mensile IE1"}</definedName>
    <definedName name="marino" localSheetId="6" hidden="1">{#N/A,#N/A,FALSE,"Work progress mensile";#N/A,#N/A,FALSE,"Work progress mensile IE1"}</definedName>
    <definedName name="marino" hidden="1">{#N/A,#N/A,FALSE,"Work progress mensile";#N/A,#N/A,FALSE,"Work progress mensile IE1"}</definedName>
    <definedName name="market" localSheetId="0" hidden="1">{#N/A,#N/A,TRUE,"0 Deckbl.";#N/A,#N/A,TRUE,"S 1 Komm";#N/A,#N/A,TRUE,"S 1a Komm";#N/A,#N/A,TRUE,"S 1b Komm";#N/A,#N/A,TRUE,"S  2 DBR";#N/A,#N/A,TRUE,"S  3 Sparten";#N/A,#N/A,TRUE,"S 4  Betr. K.";#N/A,#N/A,TRUE,"6 Bilanz";#N/A,#N/A,TRUE,"6a Bilanz ";#N/A,#N/A,TRUE,"6b Bilanz ";#N/A,#N/A,TRUE,"7 GS I";#N/A,#N/A,TRUE,"S 8 EQ-GuV"}</definedName>
    <definedName name="market" localSheetId="6" hidden="1">{#N/A,#N/A,TRUE,"0 Deckbl.";#N/A,#N/A,TRUE,"S 1 Komm";#N/A,#N/A,TRUE,"S 1a Komm";#N/A,#N/A,TRUE,"S 1b Komm";#N/A,#N/A,TRUE,"S  2 DBR";#N/A,#N/A,TRUE,"S  3 Sparten";#N/A,#N/A,TRUE,"S 4  Betr. K.";#N/A,#N/A,TRUE,"6 Bilanz";#N/A,#N/A,TRUE,"6a Bilanz ";#N/A,#N/A,TRUE,"6b Bilanz ";#N/A,#N/A,TRUE,"7 GS I";#N/A,#N/A,TRUE,"S 8 EQ-GuV"}</definedName>
    <definedName name="market" hidden="1">{#N/A,#N/A,TRUE,"0 Deckbl.";#N/A,#N/A,TRUE,"S 1 Komm";#N/A,#N/A,TRUE,"S 1a Komm";#N/A,#N/A,TRUE,"S 1b Komm";#N/A,#N/A,TRUE,"S  2 DBR";#N/A,#N/A,TRUE,"S  3 Sparten";#N/A,#N/A,TRUE,"S 4  Betr. K.";#N/A,#N/A,TRUE,"6 Bilanz";#N/A,#N/A,TRUE,"6a Bilanz ";#N/A,#N/A,TRUE,"6b Bilanz ";#N/A,#N/A,TRUE,"7 GS I";#N/A,#N/A,TRUE,"S 8 EQ-GuV"}</definedName>
    <definedName name="Market_Name9" hidden="1">#REF!</definedName>
    <definedName name="marketability_discount">#REF!</definedName>
    <definedName name="MARKETCAP" hidden="1">"MARKETCAP"</definedName>
    <definedName name="MarketPrice">#REF!</definedName>
    <definedName name="Martotal">#REF!</definedName>
    <definedName name="mat" localSheetId="0" hidden="1">{#N/A,#N/A,FALSE,"PROFIT 11-95"}</definedName>
    <definedName name="mat" localSheetId="6" hidden="1">{#N/A,#N/A,FALSE,"PROFIT 11-95"}</definedName>
    <definedName name="mat" hidden="1">{#N/A,#N/A,FALSE,"PROFIT 11-95"}</definedName>
    <definedName name="MATT" localSheetId="0" hidden="1">{#N/A,#N/A,TRUE,"Main Issues";#N/A,#N/A,TRUE,"Income statement ($)"}</definedName>
    <definedName name="MATT" localSheetId="6" hidden="1">{#N/A,#N/A,TRUE,"Main Issues";#N/A,#N/A,TRUE,"Income statement ($)"}</definedName>
    <definedName name="MATT" hidden="1">{#N/A,#N/A,TRUE,"Main Issues";#N/A,#N/A,TRUE,"Income statement ($)"}</definedName>
    <definedName name="may" localSheetId="6" hidden="1">{"IPO1",#N/A,FALSE,"LBO2";"IPO2",#N/A,FALSE,"LBO2";"IPO3",#N/A,FALSE,"LBO2";"IPO4",#N/A,FALSE,"LBO2";"IPO5",#N/A,FALSE,"LBO2";"IPO6",#N/A,FALSE,"LBO2";"IPO7",#N/A,FALSE,"LBO2";"IPO8",#N/A,FALSE,"LBO2";"IPO9",#N/A,FALSE,"LBO2";"IPO10",#N/A,FALSE,"LBO2"}</definedName>
    <definedName name="may" hidden="1">{"IPO1",#N/A,FALSE,"LBO2";"IPO2",#N/A,FALSE,"LBO2";"IPO3",#N/A,FALSE,"LBO2";"IPO4",#N/A,FALSE,"LBO2";"IPO5",#N/A,FALSE,"LBO2";"IPO6",#N/A,FALSE,"LBO2";"IPO7",#N/A,FALSE,"LBO2";"IPO8",#N/A,FALSE,"LBO2";"IPO9",#N/A,FALSE,"LBO2";"IPO10",#N/A,FALSE,"LBO2"}</definedName>
    <definedName name="May_142">#REF!</definedName>
    <definedName name="Maytotal">#REF!</definedName>
    <definedName name="mayy" localSheetId="6" hidden="1">{"red1",#N/A,FALSE,"LBO2";"red2",#N/A,FALSE,"LBO2";"red3",#N/A,FALSE,"LBO2";"red4",#N/A,FALSE,"LBO2";"red5",#N/A,FALSE,"LBO2";"red6",#N/A,FALSE,"LBO2";"red7",#N/A,FALSE,"LBO2";"red8",#N/A,FALSE,"LBO2";"red9",#N/A,FALSE,"LBO2";"IPO10",#N/A,FALSE,"LBO2"}</definedName>
    <definedName name="mayy" hidden="1">{"red1",#N/A,FALSE,"LBO2";"red2",#N/A,FALSE,"LBO2";"red3",#N/A,FALSE,"LBO2";"red4",#N/A,FALSE,"LBO2";"red5",#N/A,FALSE,"LBO2";"red6",#N/A,FALSE,"LBO2";"red7",#N/A,FALSE,"LBO2";"red8",#N/A,FALSE,"LBO2";"red9",#N/A,FALSE,"LBO2";"IPO10",#N/A,FALSE,"LBO2"}</definedName>
    <definedName name="MBKH" localSheetId="6" hidden="1">{#N/A,#N/A,FALSE,"Aging Summary";#N/A,#N/A,FALSE,"Ratio Analysis";#N/A,#N/A,FALSE,"Test 120 Day Accts";#N/A,#N/A,FALSE,"Tickmarks"}</definedName>
    <definedName name="MBKH" hidden="1">{#N/A,#N/A,FALSE,"Aging Summary";#N/A,#N/A,FALSE,"Ratio Analysis";#N/A,#N/A,FALSE,"Test 120 Day Accts";#N/A,#N/A,FALSE,"Tickmarks"}</definedName>
    <definedName name="MbuscntRP">#REF!</definedName>
    <definedName name="MCDuration">#REF!</definedName>
    <definedName name="mcw"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mcw"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MDCDCM" localSheetId="6" hidden="1">{"AMP Property",#N/A,FALSE,"Summary";"AMP Track",#N/A,FALSE,"Summary";"Backlog 1 and 2",#N/A,FALSE,"Summary";"Backlog 3",#N/A,FALSE,"Summary";"AMP Structures",#N/A,FALSE,"Summary";"Stready State",#N/A,FALSE,"Summary";"Improvement",#N/A,FALSE,"Summary";"Enhancement",#N/A,FALSE,"Summary"}</definedName>
    <definedName name="MDCDCM" hidden="1">{"AMP Property",#N/A,FALSE,"Summary";"AMP Track",#N/A,FALSE,"Summary";"Backlog 1 and 2",#N/A,FALSE,"Summary";"Backlog 3",#N/A,FALSE,"Summary";"AMP Structures",#N/A,FALSE,"Summary";"Stready State",#N/A,FALSE,"Summary";"Improvement",#N/A,FALSE,"Summary";"Enhancement",#N/A,FALSE,"Summary"}</definedName>
    <definedName name="MDCMCM" localSheetId="6" hidden="1">{"ECML Programme",#N/A,TRUE,"Summary";"Leeds 1st Programme",#N/A,TRUE,"Summary";"Sunderland Direct",#N/A,TRUE,"Summary";"Customer driven",#N/A,TRUE,"Summary";"Safety",#N/A,TRUE,"Summary";"Legal requirement",#N/A,TRUE,"Summary";"Performance",#N/A,TRUE,"Summary";"Renewal of failed asset",#N/A,TRUE,"Summary";"Signalling renewals",#N/A,TRUE,"Summary";"Track renewals",#N/A,TRUE,"Summary";"SRP",#N/A,TRUE,"Summary";"Structures renewals",#N/A,TRUE,"Summary";"Scheme completion",#N/A,TRUE,"Summary"}</definedName>
    <definedName name="MDCMCM" hidden="1">{"ECML Programme",#N/A,TRUE,"Summary";"Leeds 1st Programme",#N/A,TRUE,"Summary";"Sunderland Direct",#N/A,TRUE,"Summary";"Customer driven",#N/A,TRUE,"Summary";"Safety",#N/A,TRUE,"Summary";"Legal requirement",#N/A,TRUE,"Summary";"Performance",#N/A,TRUE,"Summary";"Renewal of failed asset",#N/A,TRUE,"Summary";"Signalling renewals",#N/A,TRUE,"Summary";"Track renewals",#N/A,TRUE,"Summary";"SRP",#N/A,TRUE,"Summary";"Structures renewals",#N/A,TRUE,"Summary";"Scheme completion",#N/A,TRUE,"Summary"}</definedName>
    <definedName name="mdlm" localSheetId="0" hidden="1">{#N/A,#N/A,TRUE,"financial";#N/A,#N/A,TRUE,"plants"}</definedName>
    <definedName name="mdlm" localSheetId="6" hidden="1">{#N/A,#N/A,TRUE,"financial";#N/A,#N/A,TRUE,"plants"}</definedName>
    <definedName name="mdlm" hidden="1">{#N/A,#N/A,TRUE,"financial";#N/A,#N/A,TRUE,"plants"}</definedName>
    <definedName name="MED" hidden="1">#REF!</definedName>
    <definedName name="medmult" hidden="1">#REF!</definedName>
    <definedName name="melani1" localSheetId="6" hidden="1">{#N/A,#N/A,FALSE,"K_DRIV"}</definedName>
    <definedName name="melani1" hidden="1">{#N/A,#N/A,FALSE,"K_DRIV"}</definedName>
    <definedName name="melanie" localSheetId="6" hidden="1">{#N/A,#N/A,FALSE,"K_DRIV"}</definedName>
    <definedName name="melanie" hidden="1">{#N/A,#N/A,FALSE,"K_DRIV"}</definedName>
    <definedName name="mem">#REF!</definedName>
    <definedName name="MerrillPrintIt" hidden="1">#REF!</definedName>
    <definedName name="MEWarning" hidden="1">0</definedName>
    <definedName name="mey" localSheetId="6" hidden="1">{"FlashP1",#N/A,FALSE,"Flash p 1";"FlashKInd",#N/A,FALSE,"Flash K Ind";"FlashOpProf",#N/A,FALSE,"Flash Op prof";"Market",#N/A,FALSE,"Market"}</definedName>
    <definedName name="mey" hidden="1">{"FlashP1",#N/A,FALSE,"Flash p 1";"FlashKInd",#N/A,FALSE,"Flash K Ind";"FlashOpProf",#N/A,FALSE,"Flash Op prof";"Market",#N/A,FALSE,"Market"}</definedName>
    <definedName name="MF">#REF!</definedName>
    <definedName name="mgmg" localSheetId="0" hidden="1">{#N/A,#N/A,FALSE,"ORFORM";#N/A,#N/A,FALSE,"MULTIPLE";#N/A,#N/A,FALSE,"RFFO Form";#N/A,#N/A,FALSE,"Estimate Sheet";#N/A,#N/A,FALSE,"MAC4843";#N/A,#N/A,FALSE,"M4843-2";#N/A,#N/A,FALSE,"M4843-2B";#N/A,#N/A,FALSE,"BCA "}</definedName>
    <definedName name="mgmg" localSheetId="6" hidden="1">{#N/A,#N/A,FALSE,"ORFORM";#N/A,#N/A,FALSE,"MULTIPLE";#N/A,#N/A,FALSE,"RFFO Form";#N/A,#N/A,FALSE,"Estimate Sheet";#N/A,#N/A,FALSE,"MAC4843";#N/A,#N/A,FALSE,"M4843-2";#N/A,#N/A,FALSE,"M4843-2B";#N/A,#N/A,FALSE,"BCA "}</definedName>
    <definedName name="mgmg" hidden="1">{#N/A,#N/A,FALSE,"ORFORM";#N/A,#N/A,FALSE,"MULTIPLE";#N/A,#N/A,FALSE,"RFFO Form";#N/A,#N/A,FALSE,"Estimate Sheet";#N/A,#N/A,FALSE,"MAC4843";#N/A,#N/A,FALSE,"M4843-2";#N/A,#N/A,FALSE,"M4843-2B";#N/A,#N/A,FALSE,"BCA "}</definedName>
    <definedName name="MGMT1" hidden="1">#REF!</definedName>
    <definedName name="mhil2" localSheetId="0" hidden="1">{"bs",#N/A,FALSE,"BS";"pl",#N/A,FALSE,"PL"}</definedName>
    <definedName name="mhil2" localSheetId="6" hidden="1">{"bs",#N/A,FALSE,"BS";"pl",#N/A,FALSE,"PL"}</definedName>
    <definedName name="mhil2" hidden="1">{"bs",#N/A,FALSE,"BS";"pl",#N/A,FALSE,"PL"}</definedName>
    <definedName name="mhilmhil" localSheetId="0" hidden="1">{"bs",#N/A,FALSE,"BS";"pl",#N/A,FALSE,"PL";"res",#N/A,FALSE,"S.CAP,RES";"loans",#N/A,FALSE,"Loans";"inv",#N/A,FALSE,"C.Assets";"fa",#N/A,FALSE,"F.Assets";"ca",#N/A,FALSE,"C.Assets";"cl",#N/A,FALSE,"CL,Sales,Income";"ovh",#N/A,FALSE,"OVH"}</definedName>
    <definedName name="mhilmhil" localSheetId="6" hidden="1">{"bs",#N/A,FALSE,"BS";"pl",#N/A,FALSE,"PL";"res",#N/A,FALSE,"S.CAP,RES";"loans",#N/A,FALSE,"Loans";"inv",#N/A,FALSE,"C.Assets";"fa",#N/A,FALSE,"F.Assets";"ca",#N/A,FALSE,"C.Assets";"cl",#N/A,FALSE,"CL,Sales,Income";"ovh",#N/A,FALSE,"OVH"}</definedName>
    <definedName name="mhilmhil" hidden="1">{"bs",#N/A,FALSE,"BS";"pl",#N/A,FALSE,"PL";"res",#N/A,FALSE,"S.CAP,RES";"loans",#N/A,FALSE,"Loans";"inv",#N/A,FALSE,"C.Assets";"fa",#N/A,FALSE,"F.Assets";"ca",#N/A,FALSE,"C.Assets";"cl",#N/A,FALSE,"CL,Sales,Income";"ovh",#N/A,FALSE,"OVH"}</definedName>
    <definedName name="mhilmhil2" localSheetId="0" hidden="1">{"bs",#N/A,FALSE,"BS";"pl",#N/A,FALSE,"PL";"res",#N/A,FALSE,"S.CAP,RES";"loans",#N/A,FALSE,"Loans";"inv",#N/A,FALSE,"C.Assets";"fa",#N/A,FALSE,"F.Assets";"ca",#N/A,FALSE,"C.Assets";"cl",#N/A,FALSE,"CL,Sales,Income";"ovh",#N/A,FALSE,"OVH"}</definedName>
    <definedName name="mhilmhil2" localSheetId="6" hidden="1">{"bs",#N/A,FALSE,"BS";"pl",#N/A,FALSE,"PL";"res",#N/A,FALSE,"S.CAP,RES";"loans",#N/A,FALSE,"Loans";"inv",#N/A,FALSE,"C.Assets";"fa",#N/A,FALSE,"F.Assets";"ca",#N/A,FALSE,"C.Assets";"cl",#N/A,FALSE,"CL,Sales,Income";"ovh",#N/A,FALSE,"OVH"}</definedName>
    <definedName name="mhilmhil2" hidden="1">{"bs",#N/A,FALSE,"BS";"pl",#N/A,FALSE,"PL";"res",#N/A,FALSE,"S.CAP,RES";"loans",#N/A,FALSE,"Loans";"inv",#N/A,FALSE,"C.Assets";"fa",#N/A,FALSE,"F.Assets";"ca",#N/A,FALSE,"C.Assets";"cl",#N/A,FALSE,"CL,Sales,Income";"ovh",#N/A,FALSE,"OVH"}</definedName>
    <definedName name="michel" hidden="1">7</definedName>
    <definedName name="MICHELE" localSheetId="0" hidden="1">{#N/A,#N/A,FALSE,"Tabl. FB300";#N/A,#N/A,FALSE,"Tabl. FB350";#N/A,#N/A,FALSE,"Tabl. FB400";#N/A,#N/A,FALSE,"Tabl. FB500";#N/A,#N/A,FALSE,"Tabl. FS090"}</definedName>
    <definedName name="MICHELE" localSheetId="6" hidden="1">{#N/A,#N/A,FALSE,"Tabl. FB300";#N/A,#N/A,FALSE,"Tabl. FB350";#N/A,#N/A,FALSE,"Tabl. FB400";#N/A,#N/A,FALSE,"Tabl. FB500";#N/A,#N/A,FALSE,"Tabl. FS090"}</definedName>
    <definedName name="MICHELE" hidden="1">{#N/A,#N/A,FALSE,"Tabl. FB300";#N/A,#N/A,FALSE,"Tabl. FB350";#N/A,#N/A,FALSE,"Tabl. FB400";#N/A,#N/A,FALSE,"Tabl. FB500";#N/A,#N/A,FALSE,"Tabl. FS090"}</definedName>
    <definedName name="microtome" localSheetId="6" hidden="1">{"VIEW1",#N/A,FALSE,"P&amp;L Account 2001-2002";"VIEW2",#N/A,FALSE,"P&amp;L Account 2001-2002";"VIEW3",#N/A,FALSE,"P&amp;L Account 2001-2002";"VIEW4",#N/A,FALSE,"P&amp;L Account 2001-2002"}</definedName>
    <definedName name="microtome" hidden="1">{"VIEW1",#N/A,FALSE,"P&amp;L Account 2001-2002";"VIEW2",#N/A,FALSE,"P&amp;L Account 2001-2002";"VIEW3",#N/A,FALSE,"P&amp;L Account 2001-2002";"VIEW4",#N/A,FALSE,"P&amp;L Account 2001-2002"}</definedName>
    <definedName name="mike" localSheetId="0" hidden="1">{#N/A,#N/A,TRUE,"PROFIT 11-95"}</definedName>
    <definedName name="mike" localSheetId="6" hidden="1">{#N/A,#N/A,TRUE,"PROFIT 11-95"}</definedName>
    <definedName name="mike" hidden="1">{#N/A,#N/A,TRUE,"PROFIT 11-95"}</definedName>
    <definedName name="Millions_to_Thousands">#REF!</definedName>
    <definedName name="min_1" localSheetId="0" hidden="1">{#N/A,#N/A,FALSE,"REPORT"}</definedName>
    <definedName name="min_1" localSheetId="6" hidden="1">{#N/A,#N/A,FALSE,"REPORT"}</definedName>
    <definedName name="min_1" hidden="1">{#N/A,#N/A,FALSE,"REPORT"}</definedName>
    <definedName name="min_1_1" localSheetId="0" hidden="1">{#N/A,#N/A,FALSE,"REPORT"}</definedName>
    <definedName name="min_1_1" localSheetId="6" hidden="1">{#N/A,#N/A,FALSE,"REPORT"}</definedName>
    <definedName name="min_1_1" hidden="1">{#N/A,#N/A,FALSE,"REPORT"}</definedName>
    <definedName name="min_2" localSheetId="0" hidden="1">{#N/A,#N/A,FALSE,"REPORT"}</definedName>
    <definedName name="min_2" localSheetId="6" hidden="1">{#N/A,#N/A,FALSE,"REPORT"}</definedName>
    <definedName name="min_2" hidden="1">{#N/A,#N/A,FALSE,"REPORT"}</definedName>
    <definedName name="min_3" localSheetId="0" hidden="1">{#N/A,#N/A,FALSE,"REPORT"}</definedName>
    <definedName name="min_3" localSheetId="6" hidden="1">{#N/A,#N/A,FALSE,"REPORT"}</definedName>
    <definedName name="min_3" hidden="1">{#N/A,#N/A,FALSE,"REPORT"}</definedName>
    <definedName name="min_4" localSheetId="0" hidden="1">{#N/A,#N/A,FALSE,"REPORT"}</definedName>
    <definedName name="min_4" localSheetId="6" hidden="1">{#N/A,#N/A,FALSE,"REPORT"}</definedName>
    <definedName name="min_4" hidden="1">{#N/A,#N/A,FALSE,"REPORT"}</definedName>
    <definedName name="min_5" localSheetId="0" hidden="1">{#N/A,#N/A,FALSE,"REPORT"}</definedName>
    <definedName name="min_5" localSheetId="6" hidden="1">{#N/A,#N/A,FALSE,"REPORT"}</definedName>
    <definedName name="min_5" hidden="1">{#N/A,#N/A,FALSE,"REPORT"}</definedName>
    <definedName name="mina" localSheetId="0" hidden="1">{#N/A,#N/A,FALSE,"REPORT"}</definedName>
    <definedName name="mina" localSheetId="6" hidden="1">{#N/A,#N/A,FALSE,"REPORT"}</definedName>
    <definedName name="mina" hidden="1">{#N/A,#N/A,FALSE,"REPORT"}</definedName>
    <definedName name="mina_1" localSheetId="0" hidden="1">{#N/A,#N/A,FALSE,"REPORT"}</definedName>
    <definedName name="mina_1" localSheetId="6" hidden="1">{#N/A,#N/A,FALSE,"REPORT"}</definedName>
    <definedName name="mina_1" hidden="1">{#N/A,#N/A,FALSE,"REPORT"}</definedName>
    <definedName name="mina_1_1" localSheetId="0" hidden="1">{#N/A,#N/A,FALSE,"REPORT"}</definedName>
    <definedName name="mina_1_1" localSheetId="6" hidden="1">{#N/A,#N/A,FALSE,"REPORT"}</definedName>
    <definedName name="mina_1_1" hidden="1">{#N/A,#N/A,FALSE,"REPORT"}</definedName>
    <definedName name="mina_2" localSheetId="0" hidden="1">{#N/A,#N/A,FALSE,"REPORT"}</definedName>
    <definedName name="mina_2" localSheetId="6" hidden="1">{#N/A,#N/A,FALSE,"REPORT"}</definedName>
    <definedName name="mina_2" hidden="1">{#N/A,#N/A,FALSE,"REPORT"}</definedName>
    <definedName name="mina_3" localSheetId="0" hidden="1">{#N/A,#N/A,FALSE,"REPORT"}</definedName>
    <definedName name="mina_3" localSheetId="6" hidden="1">{#N/A,#N/A,FALSE,"REPORT"}</definedName>
    <definedName name="mina_3" hidden="1">{#N/A,#N/A,FALSE,"REPORT"}</definedName>
    <definedName name="mina_4" localSheetId="0" hidden="1">{#N/A,#N/A,FALSE,"REPORT"}</definedName>
    <definedName name="mina_4" localSheetId="6" hidden="1">{#N/A,#N/A,FALSE,"REPORT"}</definedName>
    <definedName name="mina_4" hidden="1">{#N/A,#N/A,FALSE,"REPORT"}</definedName>
    <definedName name="mina_5" localSheetId="0" hidden="1">{#N/A,#N/A,FALSE,"REPORT"}</definedName>
    <definedName name="mina_5" localSheetId="6" hidden="1">{#N/A,#N/A,FALSE,"REPORT"}</definedName>
    <definedName name="mina_5" hidden="1">{#N/A,#N/A,FALSE,"REPORT"}</definedName>
    <definedName name="minadj" hidden="1">#REF!</definedName>
    <definedName name="minadj2" hidden="1">#REF!</definedName>
    <definedName name="minority_discount">#REF!</definedName>
    <definedName name="MINORITY_INTEREST" hidden="1">"MINORITY_INTEREST"</definedName>
    <definedName name="MISC_EARN_ADJ" hidden="1">"MISC_EARN_ADJ"</definedName>
    <definedName name="Misc_Info">#REF!</definedName>
    <definedName name="misc1" hidden="1">#REF!</definedName>
    <definedName name="misc3" hidden="1">#REF!</definedName>
    <definedName name="mj" localSheetId="0" hidden="1">{#N/A,#N/A,FALSE,"FY97";#N/A,#N/A,FALSE,"FY98";#N/A,#N/A,FALSE,"FY99";#N/A,#N/A,FALSE,"FY00";#N/A,#N/A,FALSE,"FY01"}</definedName>
    <definedName name="mj" localSheetId="6" hidden="1">{#N/A,#N/A,FALSE,"FY97";#N/A,#N/A,FALSE,"FY98";#N/A,#N/A,FALSE,"FY99";#N/A,#N/A,FALSE,"FY00";#N/A,#N/A,FALSE,"FY01"}</definedName>
    <definedName name="mj" hidden="1">{#N/A,#N/A,FALSE,"FY97";#N/A,#N/A,FALSE,"FY98";#N/A,#N/A,FALSE,"FY99";#N/A,#N/A,FALSE,"FY00";#N/A,#N/A,FALSE,"FY01"}</definedName>
    <definedName name="mkmk" localSheetId="6" hidden="1">{"IS",#N/A,FALSE,"IS";"RPTIS",#N/A,FALSE,"RPTIS";"STATS",#N/A,FALSE,"STATS";"CELL",#N/A,FALSE,"CELL";"BS",#N/A,FALSE,"BS"}</definedName>
    <definedName name="mkmk" hidden="1">{"IS",#N/A,FALSE,"IS";"RPTIS",#N/A,FALSE,"RPTIS";"STATS",#N/A,FALSE,"STATS";"CELL",#N/A,FALSE,"CELL";"BS",#N/A,FALSE,"BS"}</definedName>
    <definedName name="mktdisc" hidden="1">#REF!</definedName>
    <definedName name="mktdisc2" hidden="1">#REF!</definedName>
    <definedName name="mktformat" hidden="1">#REF!</definedName>
    <definedName name="mktformat2" hidden="1">#REF!</definedName>
    <definedName name="MktingExpPct">#REF!</definedName>
    <definedName name="MLKJH" localSheetId="0" hidden="1">{#N/A,#N/A,FALSE,"Tabl. G1";#N/A,#N/A,FALSE,"Tabl. G2"}</definedName>
    <definedName name="MLKJH" localSheetId="6" hidden="1">{#N/A,#N/A,FALSE,"Tabl. G1";#N/A,#N/A,FALSE,"Tabl. G2"}</definedName>
    <definedName name="MLKJH" hidden="1">{#N/A,#N/A,FALSE,"Tabl. G1";#N/A,#N/A,FALSE,"Tabl. G2"}</definedName>
    <definedName name="MLNK24efc14621734959942f1ca2c057fc2d" hidden="1">#REF!</definedName>
    <definedName name="MLNK3cf5d997663e44309a4fc26eb7238ba2" hidden="1">#REF!</definedName>
    <definedName name="MLNK3e12cc0613324fd5a0292e2ee29e25d3" hidden="1">#REF!</definedName>
    <definedName name="MLNK492e70c5dd234ed594db56ea2e306863" hidden="1">#REF!</definedName>
    <definedName name="MLNK64234f5bb06c4b05a38ae0b0bf7ad924" hidden="1">#REF!</definedName>
    <definedName name="MLNK658af6c004524b02bda2c595b05d43fc" hidden="1">#REF!</definedName>
    <definedName name="MLNK65eeda423404497f8487a64a1481334d" hidden="1">#REF!</definedName>
    <definedName name="MLNK80932e85b89b414485f8d1801ec270fc" hidden="1">#REF!</definedName>
    <definedName name="MLNK9f96cadc11fe4f67baabb2944c6d5427" hidden="1">#REF!</definedName>
    <definedName name="MLNKbef193a20d364c9fb6f44c2bdf00bc47" hidden="1">#REF!</definedName>
    <definedName name="MLNKed41ea73709c4fdb9c005daea990abb3" hidden="1">#REF!</definedName>
    <definedName name="MLNKf869dfb926804d02b009666d8fc6eafa" hidden="1">#REF!</definedName>
    <definedName name="mlw" localSheetId="0" hidden="1">{#N/A,#N/A,FALSE,"Pharm";#N/A,#N/A,FALSE,"WWCM"}</definedName>
    <definedName name="mlw" localSheetId="6" hidden="1">{#N/A,#N/A,FALSE,"Pharm";#N/A,#N/A,FALSE,"WWCM"}</definedName>
    <definedName name="mlw" hidden="1">{#N/A,#N/A,FALSE,"Pharm";#N/A,#N/A,FALSE,"WWCM"}</definedName>
    <definedName name="mlw_1" localSheetId="0" hidden="1">{#N/A,#N/A,FALSE,"Pharm";#N/A,#N/A,FALSE,"WWCM"}</definedName>
    <definedName name="mlw_1" localSheetId="6" hidden="1">{#N/A,#N/A,FALSE,"Pharm";#N/A,#N/A,FALSE,"WWCM"}</definedName>
    <definedName name="mlw_1" hidden="1">{#N/A,#N/A,FALSE,"Pharm";#N/A,#N/A,FALSE,"WWCM"}</definedName>
    <definedName name="mlw_1_1" localSheetId="0" hidden="1">{#N/A,#N/A,FALSE,"Pharm";#N/A,#N/A,FALSE,"WWCM"}</definedName>
    <definedName name="mlw_1_1" localSheetId="6" hidden="1">{#N/A,#N/A,FALSE,"Pharm";#N/A,#N/A,FALSE,"WWCM"}</definedName>
    <definedName name="mlw_1_1" hidden="1">{#N/A,#N/A,FALSE,"Pharm";#N/A,#N/A,FALSE,"WWCM"}</definedName>
    <definedName name="mlw_2" localSheetId="0" hidden="1">{#N/A,#N/A,FALSE,"Pharm";#N/A,#N/A,FALSE,"WWCM"}</definedName>
    <definedName name="mlw_2" localSheetId="6" hidden="1">{#N/A,#N/A,FALSE,"Pharm";#N/A,#N/A,FALSE,"WWCM"}</definedName>
    <definedName name="mlw_2" hidden="1">{#N/A,#N/A,FALSE,"Pharm";#N/A,#N/A,FALSE,"WWCM"}</definedName>
    <definedName name="mlw_3" localSheetId="0" hidden="1">{#N/A,#N/A,FALSE,"Pharm";#N/A,#N/A,FALSE,"WWCM"}</definedName>
    <definedName name="mlw_3" localSheetId="6" hidden="1">{#N/A,#N/A,FALSE,"Pharm";#N/A,#N/A,FALSE,"WWCM"}</definedName>
    <definedName name="mlw_3" hidden="1">{#N/A,#N/A,FALSE,"Pharm";#N/A,#N/A,FALSE,"WWCM"}</definedName>
    <definedName name="mlw_4" localSheetId="0" hidden="1">{#N/A,#N/A,FALSE,"Pharm";#N/A,#N/A,FALSE,"WWCM"}</definedName>
    <definedName name="mlw_4" localSheetId="6" hidden="1">{#N/A,#N/A,FALSE,"Pharm";#N/A,#N/A,FALSE,"WWCM"}</definedName>
    <definedName name="mlw_4" hidden="1">{#N/A,#N/A,FALSE,"Pharm";#N/A,#N/A,FALSE,"WWCM"}</definedName>
    <definedName name="mlw_5" localSheetId="0" hidden="1">{#N/A,#N/A,FALSE,"Pharm";#N/A,#N/A,FALSE,"WWCM"}</definedName>
    <definedName name="mlw_5" localSheetId="6" hidden="1">{#N/A,#N/A,FALSE,"Pharm";#N/A,#N/A,FALSE,"WWCM"}</definedName>
    <definedName name="mlw_5" hidden="1">{#N/A,#N/A,FALSE,"Pharm";#N/A,#N/A,FALSE,"WWCM"}</definedName>
    <definedName name="mm" localSheetId="0" hidden="1">{"CAT",#N/A,FALSE,"Title Page"}</definedName>
    <definedName name="mm" localSheetId="6" hidden="1">{"CAT",#N/A,FALSE,"Title Page"}</definedName>
    <definedName name="mm" hidden="1">{"CAT",#N/A,FALSE,"Title Page"}</definedName>
    <definedName name="mmm" localSheetId="0" hidden="1">{"orixcsc",#N/A,FALSE,"ORIX CSC";"orixcsc2",#N/A,FALSE,"ORIX CSC"}</definedName>
    <definedName name="mmm" localSheetId="6" hidden="1">{"orixcsc",#N/A,FALSE,"ORIX CSC";"orixcsc2",#N/A,FALSE,"ORIX CSC"}</definedName>
    <definedName name="mmm" hidden="1">{"orixcsc",#N/A,FALSE,"ORIX CSC";"orixcsc2",#N/A,FALSE,"ORIX CSC"}</definedName>
    <definedName name="mmmm" localSheetId="0" hidden="1">{"Graphic",#N/A,TRUE,"Graphic"}</definedName>
    <definedName name="mmmm" localSheetId="6" hidden="1">{"Graphic",#N/A,TRUE,"Graphic"}</definedName>
    <definedName name="mmmm" hidden="1">{"Graphic",#N/A,TRUE,"Graphic"}</definedName>
    <definedName name="mmmm_1" localSheetId="0" hidden="1">{"Graphic",#N/A,TRUE,"Graphic"}</definedName>
    <definedName name="mmmm_1" localSheetId="6" hidden="1">{"Graphic",#N/A,TRUE,"Graphic"}</definedName>
    <definedName name="mmmm_1" hidden="1">{"Graphic",#N/A,TRUE,"Graphic"}</definedName>
    <definedName name="mmmmm" localSheetId="0" hidden="1">{"mgmt forecast",#N/A,FALSE,"Mgmt Forecast";"dcf table",#N/A,FALSE,"Mgmt Forecast";"sensitivity",#N/A,FALSE,"Mgmt Forecast";"table inputs",#N/A,FALSE,"Mgmt Forecast";"calculations",#N/A,FALSE,"Mgmt Forecast"}</definedName>
    <definedName name="mmmmm" localSheetId="6" hidden="1">{"mgmt forecast",#N/A,FALSE,"Mgmt Forecast";"dcf table",#N/A,FALSE,"Mgmt Forecast";"sensitivity",#N/A,FALSE,"Mgmt Forecast";"table inputs",#N/A,FALSE,"Mgmt Forecast";"calculations",#N/A,FALSE,"Mgmt Forecast"}</definedName>
    <definedName name="mmmmm" hidden="1">{"mgmt forecast",#N/A,FALSE,"Mgmt Forecast";"dcf table",#N/A,FALSE,"Mgmt Forecast";"sensitivity",#N/A,FALSE,"Mgmt Forecast";"table inputs",#N/A,FALSE,"Mgmt Forecast";"calculations",#N/A,FALSE,"Mgmt Forecast"}</definedName>
    <definedName name="mmmmmm" localSheetId="0" hidden="1">{#N/A,#N/A,FALSE,"Contribution Analysis"}</definedName>
    <definedName name="mmmmmm" localSheetId="6" hidden="1">{#N/A,#N/A,FALSE,"Contribution Analysis"}</definedName>
    <definedName name="mmmmmm" hidden="1">{#N/A,#N/A,FALSE,"Contribution Analysis"}</definedName>
    <definedName name="mmmmmmmhm" localSheetId="0" hidden="1">{"mgmt forecast",#N/A,FALSE,"Mgmt Forecast";"dcf table",#N/A,FALSE,"Mgmt Forecast";"sensitivity",#N/A,FALSE,"Mgmt Forecast";"table inputs",#N/A,FALSE,"Mgmt Forecast";"calculations",#N/A,FALSE,"Mgmt Forecast"}</definedName>
    <definedName name="mmmmmmmhm" localSheetId="6" hidden="1">{"mgmt forecast",#N/A,FALSE,"Mgmt Forecast";"dcf table",#N/A,FALSE,"Mgmt Forecast";"sensitivity",#N/A,FALSE,"Mgmt Forecast";"table inputs",#N/A,FALSE,"Mgmt Forecast";"calculations",#N/A,FALSE,"Mgmt Forecast"}</definedName>
    <definedName name="mmmmmmmhm" hidden="1">{"mgmt forecast",#N/A,FALSE,"Mgmt Forecast";"dcf table",#N/A,FALSE,"Mgmt Forecast";"sensitivity",#N/A,FALSE,"Mgmt Forecast";"table inputs",#N/A,FALSE,"Mgmt Forecast";"calculations",#N/A,FALSE,"Mgmt Forecast"}</definedName>
    <definedName name="mmmmmmmm" localSheetId="0" hidden="1">{#N/A,#N/A,FALSE,"ORIX CSC"}</definedName>
    <definedName name="mmmmmmmm" localSheetId="6" hidden="1">{#N/A,#N/A,FALSE,"ORIX CSC"}</definedName>
    <definedName name="mmmmmmmm" hidden="1">{#N/A,#N/A,FALSE,"ORIX CSC"}</definedName>
    <definedName name="mms" localSheetId="0" hidden="1">{"bs",#N/A,FALSE,"BS";"pl",#N/A,FALSE,"PL";"res",#N/A,FALSE,"S.CAP,RES";"loans",#N/A,FALSE,"Loans";"inv",#N/A,FALSE,"C.Assets";"fa",#N/A,FALSE,"F.Assets";"ca",#N/A,FALSE,"C.Assets";"cl",#N/A,FALSE,"CL,Sales,Income";"ovh",#N/A,FALSE,"OVH"}</definedName>
    <definedName name="mms" localSheetId="6" hidden="1">{"bs",#N/A,FALSE,"BS";"pl",#N/A,FALSE,"PL";"res",#N/A,FALSE,"S.CAP,RES";"loans",#N/A,FALSE,"Loans";"inv",#N/A,FALSE,"C.Assets";"fa",#N/A,FALSE,"F.Assets";"ca",#N/A,FALSE,"C.Assets";"cl",#N/A,FALSE,"CL,Sales,Income";"ovh",#N/A,FALSE,"OVH"}</definedName>
    <definedName name="mms" hidden="1">{"bs",#N/A,FALSE,"BS";"pl",#N/A,FALSE,"PL";"res",#N/A,FALSE,"S.CAP,RES";"loans",#N/A,FALSE,"Loans";"inv",#N/A,FALSE,"C.Assets";"fa",#N/A,FALSE,"F.Assets";"ca",#N/A,FALSE,"C.Assets";"cl",#N/A,FALSE,"CL,Sales,Income";"ovh",#N/A,FALSE,"OVH"}</definedName>
    <definedName name="mnb" localSheetId="0" hidden="1">{#N/A,#N/A,FALSE,"PROFIT 11-95"}</definedName>
    <definedName name="mnb" localSheetId="6" hidden="1">{#N/A,#N/A,FALSE,"PROFIT 11-95"}</definedName>
    <definedName name="mnb" hidden="1">{#N/A,#N/A,FALSE,"PROFIT 11-95"}</definedName>
    <definedName name="mnnb" localSheetId="0" hidden="1">{#N/A,#N/A,FALSE,"PMW Gruppe 99_98";#N/A,#N/A,FALSE,"PMW KG 98_99";#N/A,#N/A,FALSE,"PMW Inc. 99_98";#N/A,#N/A,FALSE,"PMW VTECH 99_98";#N/A,#N/A,FALSE,"PMW Thail. 99_98";#N/A,#N/A,FALSE,"PMW Canada 99_98";#N/A,#N/A,FALSE,"Währungsabw. 99_98"}</definedName>
    <definedName name="mnnb" localSheetId="6" hidden="1">{#N/A,#N/A,FALSE,"PMW Gruppe 99_98";#N/A,#N/A,FALSE,"PMW KG 98_99";#N/A,#N/A,FALSE,"PMW Inc. 99_98";#N/A,#N/A,FALSE,"PMW VTECH 99_98";#N/A,#N/A,FALSE,"PMW Thail. 99_98";#N/A,#N/A,FALSE,"PMW Canada 99_98";#N/A,#N/A,FALSE,"Währungsabw. 99_98"}</definedName>
    <definedName name="mnnb" hidden="1">{#N/A,#N/A,FALSE,"PMW Gruppe 99_98";#N/A,#N/A,FALSE,"PMW KG 98_99";#N/A,#N/A,FALSE,"PMW Inc. 99_98";#N/A,#N/A,FALSE,"PMW VTECH 99_98";#N/A,#N/A,FALSE,"PMW Thail. 99_98";#N/A,#N/A,FALSE,"PMW Canada 99_98";#N/A,#N/A,FALSE,"Währungsabw. 99_98"}</definedName>
    <definedName name="mnnb_1" localSheetId="0" hidden="1">{#N/A,#N/A,FALSE,"PMW Gruppe 99_98";#N/A,#N/A,FALSE,"PMW KG 98_99";#N/A,#N/A,FALSE,"PMW Inc. 99_98";#N/A,#N/A,FALSE,"PMW VTECH 99_98";#N/A,#N/A,FALSE,"PMW Thail. 99_98";#N/A,#N/A,FALSE,"PMW Canada 99_98";#N/A,#N/A,FALSE,"Währungsabw. 99_98"}</definedName>
    <definedName name="mnnb_1" localSheetId="6" hidden="1">{#N/A,#N/A,FALSE,"PMW Gruppe 99_98";#N/A,#N/A,FALSE,"PMW KG 98_99";#N/A,#N/A,FALSE,"PMW Inc. 99_98";#N/A,#N/A,FALSE,"PMW VTECH 99_98";#N/A,#N/A,FALSE,"PMW Thail. 99_98";#N/A,#N/A,FALSE,"PMW Canada 99_98";#N/A,#N/A,FALSE,"Währungsabw. 99_98"}</definedName>
    <definedName name="mnnb_1" hidden="1">{#N/A,#N/A,FALSE,"PMW Gruppe 99_98";#N/A,#N/A,FALSE,"PMW KG 98_99";#N/A,#N/A,FALSE,"PMW Inc. 99_98";#N/A,#N/A,FALSE,"PMW VTECH 99_98";#N/A,#N/A,FALSE,"PMW Thail. 99_98";#N/A,#N/A,FALSE,"PMW Canada 99_98";#N/A,#N/A,FALSE,"Währungsabw. 99_98"}</definedName>
    <definedName name="mnnb_1_1" localSheetId="0" hidden="1">{#N/A,#N/A,FALSE,"PMW Gruppe 99_98";#N/A,#N/A,FALSE,"PMW KG 98_99";#N/A,#N/A,FALSE,"PMW Inc. 99_98";#N/A,#N/A,FALSE,"PMW VTECH 99_98";#N/A,#N/A,FALSE,"PMW Thail. 99_98";#N/A,#N/A,FALSE,"PMW Canada 99_98";#N/A,#N/A,FALSE,"Währungsabw. 99_98"}</definedName>
    <definedName name="mnnb_1_1" localSheetId="6" hidden="1">{#N/A,#N/A,FALSE,"PMW Gruppe 99_98";#N/A,#N/A,FALSE,"PMW KG 98_99";#N/A,#N/A,FALSE,"PMW Inc. 99_98";#N/A,#N/A,FALSE,"PMW VTECH 99_98";#N/A,#N/A,FALSE,"PMW Thail. 99_98";#N/A,#N/A,FALSE,"PMW Canada 99_98";#N/A,#N/A,FALSE,"Währungsabw. 99_98"}</definedName>
    <definedName name="mnnb_1_1" hidden="1">{#N/A,#N/A,FALSE,"PMW Gruppe 99_98";#N/A,#N/A,FALSE,"PMW KG 98_99";#N/A,#N/A,FALSE,"PMW Inc. 99_98";#N/A,#N/A,FALSE,"PMW VTECH 99_98";#N/A,#N/A,FALSE,"PMW Thail. 99_98";#N/A,#N/A,FALSE,"PMW Canada 99_98";#N/A,#N/A,FALSE,"Währungsabw. 99_98"}</definedName>
    <definedName name="mnnb_2" localSheetId="0" hidden="1">{#N/A,#N/A,FALSE,"PMW Gruppe 99_98";#N/A,#N/A,FALSE,"PMW KG 98_99";#N/A,#N/A,FALSE,"PMW Inc. 99_98";#N/A,#N/A,FALSE,"PMW VTECH 99_98";#N/A,#N/A,FALSE,"PMW Thail. 99_98";#N/A,#N/A,FALSE,"PMW Canada 99_98";#N/A,#N/A,FALSE,"Währungsabw. 99_98"}</definedName>
    <definedName name="mnnb_2" localSheetId="6" hidden="1">{#N/A,#N/A,FALSE,"PMW Gruppe 99_98";#N/A,#N/A,FALSE,"PMW KG 98_99";#N/A,#N/A,FALSE,"PMW Inc. 99_98";#N/A,#N/A,FALSE,"PMW VTECH 99_98";#N/A,#N/A,FALSE,"PMW Thail. 99_98";#N/A,#N/A,FALSE,"PMW Canada 99_98";#N/A,#N/A,FALSE,"Währungsabw. 99_98"}</definedName>
    <definedName name="mnnb_2" hidden="1">{#N/A,#N/A,FALSE,"PMW Gruppe 99_98";#N/A,#N/A,FALSE,"PMW KG 98_99";#N/A,#N/A,FALSE,"PMW Inc. 99_98";#N/A,#N/A,FALSE,"PMW VTECH 99_98";#N/A,#N/A,FALSE,"PMW Thail. 99_98";#N/A,#N/A,FALSE,"PMW Canada 99_98";#N/A,#N/A,FALSE,"Währungsabw. 99_98"}</definedName>
    <definedName name="mnnb_3" localSheetId="0" hidden="1">{#N/A,#N/A,FALSE,"PMW Gruppe 99_98";#N/A,#N/A,FALSE,"PMW KG 98_99";#N/A,#N/A,FALSE,"PMW Inc. 99_98";#N/A,#N/A,FALSE,"PMW VTECH 99_98";#N/A,#N/A,FALSE,"PMW Thail. 99_98";#N/A,#N/A,FALSE,"PMW Canada 99_98";#N/A,#N/A,FALSE,"Währungsabw. 99_98"}</definedName>
    <definedName name="mnnb_3" localSheetId="6" hidden="1">{#N/A,#N/A,FALSE,"PMW Gruppe 99_98";#N/A,#N/A,FALSE,"PMW KG 98_99";#N/A,#N/A,FALSE,"PMW Inc. 99_98";#N/A,#N/A,FALSE,"PMW VTECH 99_98";#N/A,#N/A,FALSE,"PMW Thail. 99_98";#N/A,#N/A,FALSE,"PMW Canada 99_98";#N/A,#N/A,FALSE,"Währungsabw. 99_98"}</definedName>
    <definedName name="mnnb_3" hidden="1">{#N/A,#N/A,FALSE,"PMW Gruppe 99_98";#N/A,#N/A,FALSE,"PMW KG 98_99";#N/A,#N/A,FALSE,"PMW Inc. 99_98";#N/A,#N/A,FALSE,"PMW VTECH 99_98";#N/A,#N/A,FALSE,"PMW Thail. 99_98";#N/A,#N/A,FALSE,"PMW Canada 99_98";#N/A,#N/A,FALSE,"Währungsabw. 99_98"}</definedName>
    <definedName name="mnnb_4" localSheetId="0" hidden="1">{#N/A,#N/A,FALSE,"PMW Gruppe 99_98";#N/A,#N/A,FALSE,"PMW KG 98_99";#N/A,#N/A,FALSE,"PMW Inc. 99_98";#N/A,#N/A,FALSE,"PMW VTECH 99_98";#N/A,#N/A,FALSE,"PMW Thail. 99_98";#N/A,#N/A,FALSE,"PMW Canada 99_98";#N/A,#N/A,FALSE,"Währungsabw. 99_98"}</definedName>
    <definedName name="mnnb_4" localSheetId="6" hidden="1">{#N/A,#N/A,FALSE,"PMW Gruppe 99_98";#N/A,#N/A,FALSE,"PMW KG 98_99";#N/A,#N/A,FALSE,"PMW Inc. 99_98";#N/A,#N/A,FALSE,"PMW VTECH 99_98";#N/A,#N/A,FALSE,"PMW Thail. 99_98";#N/A,#N/A,FALSE,"PMW Canada 99_98";#N/A,#N/A,FALSE,"Währungsabw. 99_98"}</definedName>
    <definedName name="mnnb_4" hidden="1">{#N/A,#N/A,FALSE,"PMW Gruppe 99_98";#N/A,#N/A,FALSE,"PMW KG 98_99";#N/A,#N/A,FALSE,"PMW Inc. 99_98";#N/A,#N/A,FALSE,"PMW VTECH 99_98";#N/A,#N/A,FALSE,"PMW Thail. 99_98";#N/A,#N/A,FALSE,"PMW Canada 99_98";#N/A,#N/A,FALSE,"Währungsabw. 99_98"}</definedName>
    <definedName name="mnnb_5" localSheetId="0" hidden="1">{#N/A,#N/A,FALSE,"PMW Gruppe 99_98";#N/A,#N/A,FALSE,"PMW KG 98_99";#N/A,#N/A,FALSE,"PMW Inc. 99_98";#N/A,#N/A,FALSE,"PMW VTECH 99_98";#N/A,#N/A,FALSE,"PMW Thail. 99_98";#N/A,#N/A,FALSE,"PMW Canada 99_98";#N/A,#N/A,FALSE,"Währungsabw. 99_98"}</definedName>
    <definedName name="mnnb_5" localSheetId="6" hidden="1">{#N/A,#N/A,FALSE,"PMW Gruppe 99_98";#N/A,#N/A,FALSE,"PMW KG 98_99";#N/A,#N/A,FALSE,"PMW Inc. 99_98";#N/A,#N/A,FALSE,"PMW VTECH 99_98";#N/A,#N/A,FALSE,"PMW Thail. 99_98";#N/A,#N/A,FALSE,"PMW Canada 99_98";#N/A,#N/A,FALSE,"Währungsabw. 99_98"}</definedName>
    <definedName name="mnnb_5" hidden="1">{#N/A,#N/A,FALSE,"PMW Gruppe 99_98";#N/A,#N/A,FALSE,"PMW KG 98_99";#N/A,#N/A,FALSE,"PMW Inc. 99_98";#N/A,#N/A,FALSE,"PMW VTECH 99_98";#N/A,#N/A,FALSE,"PMW Thail. 99_98";#N/A,#N/A,FALSE,"PMW Canada 99_98";#N/A,#N/A,FALSE,"Währungsabw. 99_98"}</definedName>
    <definedName name="mno" localSheetId="0" hidden="1">{#N/A,#N/A,FALSE,"Tabl. H1";#N/A,#N/A,FALSE,"Tabl. H2"}</definedName>
    <definedName name="mno" localSheetId="6" hidden="1">{#N/A,#N/A,FALSE,"Tabl. H1";#N/A,#N/A,FALSE,"Tabl. H2"}</definedName>
    <definedName name="mno" hidden="1">{#N/A,#N/A,FALSE,"Tabl. H1";#N/A,#N/A,FALSE,"Tabl. H2"}</definedName>
    <definedName name="mnz"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mnz"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MODEL_db_ORIGINATOR" hidden="1">"1"</definedName>
    <definedName name="MODEL_db_TICKER" hidden="1">"BHP"</definedName>
    <definedName name="Model_Name">#REF!</definedName>
    <definedName name="Model_Start_Date" localSheetId="0">#REF!</definedName>
    <definedName name="Model_Start_Date">#REF!</definedName>
    <definedName name="Model_Starting_Year">#REF!</definedName>
    <definedName name="ModelHdr">#REF!</definedName>
    <definedName name="mohamed" hidden="1">#REF!</definedName>
    <definedName name="MoisNomEN" hidden="1">#REF!</definedName>
    <definedName name="Mon_Yr_Name1" hidden="1">#REF!</definedName>
    <definedName name="Mon_Yr_Name2" hidden="1">#REF!</definedName>
    <definedName name="Mon_Yr_Name3" hidden="1">#REF!</definedName>
    <definedName name="Mon_Yr_Name4" hidden="1">#REF!</definedName>
    <definedName name="Mon_Yr_Name5" hidden="1">#REF!</definedName>
    <definedName name="Mon_Yr_Name6" hidden="1">#REF!</definedName>
    <definedName name="Month" localSheetId="0">#REF!</definedName>
    <definedName name="month" localSheetId="6" hidden="1">{#N/A,#N/A,TRUE,"PROFIT 11-95"}</definedName>
    <definedName name="month" hidden="1">{#N/A,#N/A,TRUE,"PROFIT 11-95"}</definedName>
    <definedName name="month1">#REF!</definedName>
    <definedName name="MonthEnd">#REF!</definedName>
    <definedName name="monthly" localSheetId="0" hidden="1">{#N/A,#N/A,TRUE,"PROFIT 11-95"}</definedName>
    <definedName name="monthly" localSheetId="6" hidden="1">{#N/A,#N/A,TRUE,"PROFIT 11-95"}</definedName>
    <definedName name="monthly" hidden="1">{#N/A,#N/A,TRUE,"PROFIT 11-95"}</definedName>
    <definedName name="monthlyreport" localSheetId="6" hidden="1">{#N/A,#N/A,FALSE,"1st page";#N/A,#N/A,FALSE,"BSC";#N/A,#N/A,FALSE,"Financial report";#N/A,#N/A,FALSE,"Sales"}</definedName>
    <definedName name="monthlyreport" hidden="1">{#N/A,#N/A,FALSE,"1st page";#N/A,#N/A,FALSE,"BSC";#N/A,#N/A,FALSE,"Financial report";#N/A,#N/A,FALSE,"Sales"}</definedName>
    <definedName name="monthlyreport1" localSheetId="6" hidden="1">{"Page 1",#N/A,FALSE,"Page1";"Overw",#N/A,FALSE,"Overw";"OvW2",#N/A,FALSE,"Overw (2)";"Op Prof YTD",#N/A,FALSE,"Op Prof YTD";"Key ind",#N/A,FALSE,"Key-ind";"Market",#N/A,FALSE,"Market";"K fig 1",#N/A,FALSE,"K-fig 1";"K fig 2",#N/A,FALSE,"K-fig 2"}</definedName>
    <definedName name="monthlyreport1" hidden="1">{"Page 1",#N/A,FALSE,"Page1";"Overw",#N/A,FALSE,"Overw";"OvW2",#N/A,FALSE,"Overw (2)";"Op Prof YTD",#N/A,FALSE,"Op Prof YTD";"Key ind",#N/A,FALSE,"Key-ind";"Market",#N/A,FALSE,"Market";"K fig 1",#N/A,FALSE,"K-fig 1";"K fig 2",#N/A,FALSE,"K-fig 2"}</definedName>
    <definedName name="MonthNr">#REF!</definedName>
    <definedName name="Months" localSheetId="0">#REF!</definedName>
    <definedName name="Months">#REF!</definedName>
    <definedName name="months_year1">#REF!</definedName>
    <definedName name="months1">#REF!</definedName>
    <definedName name="MOO">#REF!</definedName>
    <definedName name="Morocco">#REF!</definedName>
    <definedName name="MoroccoBS">#REF!</definedName>
    <definedName name="Morrt">#REF!</definedName>
    <definedName name="Mort">#REF!</definedName>
    <definedName name="Mortality">#REF!</definedName>
    <definedName name="MortResAssum">#REF!</definedName>
    <definedName name="Motorola_Label_2" hidden="1">#REF!</definedName>
    <definedName name="mp" localSheetId="0" hidden="1">#REF!</definedName>
    <definedName name="MP" localSheetId="6" hidden="1">{"VIEW1",#N/A,FALSE,"P&amp;L Account 2001-2002";"VIEW2",#N/A,FALSE,"P&amp;L Account 2001-2002";"VIEW3",#N/A,FALSE,"P&amp;L Account 2001-2002";"VIEW4",#N/A,FALSE,"P&amp;L Account 2001-2002"}</definedName>
    <definedName name="MP" hidden="1">{"VIEW1",#N/A,FALSE,"P&amp;L Account 2001-2002";"VIEW2",#N/A,FALSE,"P&amp;L Account 2001-2002";"VIEW3",#N/A,FALSE,"P&amp;L Account 2001-2002";"VIEW4",#N/A,FALSE,"P&amp;L Account 2001-2002"}</definedName>
    <definedName name="mqg" localSheetId="0" hidden="1">{#N/A,#N/A,FALSE,"Tabl. H1";#N/A,#N/A,FALSE,"Tabl. H2"}</definedName>
    <definedName name="mqg" localSheetId="6" hidden="1">{#N/A,#N/A,FALSE,"Tabl. H1";#N/A,#N/A,FALSE,"Tabl. H2"}</definedName>
    <definedName name="mqg" hidden="1">{#N/A,#N/A,FALSE,"Tabl. H1";#N/A,#N/A,FALSE,"Tabl. H2"}</definedName>
    <definedName name="MR">#REF!</definedName>
    <definedName name="mrkdmfc" hidden="1">#REF!</definedName>
    <definedName name="mrne">#REF!</definedName>
    <definedName name="Mroi01">#REF!</definedName>
    <definedName name="Mroi02">#REF!</definedName>
    <definedName name="Mroi03">#REF!</definedName>
    <definedName name="Mroi04">#REF!</definedName>
    <definedName name="Mroi05">#REF!</definedName>
    <definedName name="Mroi06">#REF!</definedName>
    <definedName name="Mroi07">#REF!</definedName>
    <definedName name="Mroi08">#REF!</definedName>
    <definedName name="Mroi09">#REF!</definedName>
    <definedName name="Mroi10">#REF!</definedName>
    <definedName name="MS">#REF!</definedName>
    <definedName name="mtk" localSheetId="0" hidden="1">{#N/A,#N/A,FALSE,"Tabl. FB300";#N/A,#N/A,FALSE,"Tabl. FB350";#N/A,#N/A,FALSE,"Tabl. FB400";#N/A,#N/A,FALSE,"Tabl. FB500";#N/A,#N/A,FALSE,"Tabl. FS090"}</definedName>
    <definedName name="mtk" localSheetId="6" hidden="1">{#N/A,#N/A,FALSE,"Tabl. FB300";#N/A,#N/A,FALSE,"Tabl. FB350";#N/A,#N/A,FALSE,"Tabl. FB400";#N/A,#N/A,FALSE,"Tabl. FB500";#N/A,#N/A,FALSE,"Tabl. FS090"}</definedName>
    <definedName name="mtk" hidden="1">{#N/A,#N/A,FALSE,"Tabl. FB300";#N/A,#N/A,FALSE,"Tabl. FB350";#N/A,#N/A,FALSE,"Tabl. FB400";#N/A,#N/A,FALSE,"Tabl. FB500";#N/A,#N/A,FALSE,"Tabl. FS090"}</definedName>
    <definedName name="mtrk" localSheetId="0" hidden="1">{#N/A,#N/A,FALSE,"Tabl. FB300";#N/A,#N/A,FALSE,"Tabl. FB350";#N/A,#N/A,FALSE,"Tabl. FB400";#N/A,#N/A,FALSE,"Tabl. FB500";#N/A,#N/A,FALSE,"Tabl. FS090"}</definedName>
    <definedName name="mtrk" localSheetId="6" hidden="1">{#N/A,#N/A,FALSE,"Tabl. FB300";#N/A,#N/A,FALSE,"Tabl. FB350";#N/A,#N/A,FALSE,"Tabl. FB400";#N/A,#N/A,FALSE,"Tabl. FB500";#N/A,#N/A,FALSE,"Tabl. FS090"}</definedName>
    <definedName name="mtrk" hidden="1">{#N/A,#N/A,FALSE,"Tabl. FB300";#N/A,#N/A,FALSE,"Tabl. FB350";#N/A,#N/A,FALSE,"Tabl. FB400";#N/A,#N/A,FALSE,"Tabl. FB500";#N/A,#N/A,FALSE,"Tabl. FS090"}</definedName>
    <definedName name="mu6m6u" localSheetId="0" hidden="1">{#N/A,#N/A,FALSE,"Assessment";#N/A,#N/A,FALSE,"Staffing";#N/A,#N/A,FALSE,"Hires";#N/A,#N/A,FALSE,"Assumptions"}</definedName>
    <definedName name="mu6m6u" localSheetId="6" hidden="1">{#N/A,#N/A,FALSE,"Assessment";#N/A,#N/A,FALSE,"Staffing";#N/A,#N/A,FALSE,"Hires";#N/A,#N/A,FALSE,"Assumptions"}</definedName>
    <definedName name="mu6m6u" hidden="1">{#N/A,#N/A,FALSE,"Assessment";#N/A,#N/A,FALSE,"Staffing";#N/A,#N/A,FALSE,"Hires";#N/A,#N/A,FALSE,"Assumptions"}</definedName>
    <definedName name="mu6m6u_1" localSheetId="0" hidden="1">{#N/A,#N/A,FALSE,"Assessment";#N/A,#N/A,FALSE,"Staffing";#N/A,#N/A,FALSE,"Hires";#N/A,#N/A,FALSE,"Assumptions"}</definedName>
    <definedName name="mu6m6u_1" localSheetId="6" hidden="1">{#N/A,#N/A,FALSE,"Assessment";#N/A,#N/A,FALSE,"Staffing";#N/A,#N/A,FALSE,"Hires";#N/A,#N/A,FALSE,"Assumptions"}</definedName>
    <definedName name="mu6m6u_1" hidden="1">{#N/A,#N/A,FALSE,"Assessment";#N/A,#N/A,FALSE,"Staffing";#N/A,#N/A,FALSE,"Hires";#N/A,#N/A,FALSE,"Assumptions"}</definedName>
    <definedName name="MUFFIGRAPH" hidden="1">#REF!</definedName>
    <definedName name="multformrow" hidden="1">#REF!</definedName>
    <definedName name="Multi" hidden="1">#REF!</definedName>
    <definedName name="Multiples"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Multiples"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multiples1"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multiples1"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multiples1"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multtable" hidden="1">#REF!</definedName>
    <definedName name="musheer" hidden="1">#REF!</definedName>
    <definedName name="MVE_Book">#REF!</definedName>
    <definedName name="MVE_ECF">#REF!</definedName>
    <definedName name="MVE_NI">#REF!</definedName>
    <definedName name="MVIC_EBIT">#REF!</definedName>
    <definedName name="MVIC_EBITDA">#REF!</definedName>
    <definedName name="MVIC_Sales">#REF!</definedName>
    <definedName name="mvicebit_col" hidden="1">#REF!</definedName>
    <definedName name="mvicebitda_col" hidden="1">#REF!</definedName>
    <definedName name="mvicprojebitda_col" hidden="1">#REF!</definedName>
    <definedName name="mvicrev_col" hidden="1">#REF!</definedName>
    <definedName name="mw" localSheetId="0" hidden="1">{#N/A,#N/A,FALSE,"Pharm";#N/A,#N/A,FALSE,"WWCM"}</definedName>
    <definedName name="mw" localSheetId="6" hidden="1">{#N/A,#N/A,FALSE,"Pharm";#N/A,#N/A,FALSE,"WWCM"}</definedName>
    <definedName name="mw" hidden="1">{#N/A,#N/A,FALSE,"Pharm";#N/A,#N/A,FALSE,"WWCM"}</definedName>
    <definedName name="mw_1" localSheetId="0" hidden="1">{#N/A,#N/A,FALSE,"Pharm";#N/A,#N/A,FALSE,"WWCM"}</definedName>
    <definedName name="mw_1" localSheetId="6" hidden="1">{#N/A,#N/A,FALSE,"Pharm";#N/A,#N/A,FALSE,"WWCM"}</definedName>
    <definedName name="mw_1" hidden="1">{#N/A,#N/A,FALSE,"Pharm";#N/A,#N/A,FALSE,"WWCM"}</definedName>
    <definedName name="mw_1_1" localSheetId="0" hidden="1">{#N/A,#N/A,FALSE,"Pharm";#N/A,#N/A,FALSE,"WWCM"}</definedName>
    <definedName name="mw_1_1" localSheetId="6" hidden="1">{#N/A,#N/A,FALSE,"Pharm";#N/A,#N/A,FALSE,"WWCM"}</definedName>
    <definedName name="mw_1_1" hidden="1">{#N/A,#N/A,FALSE,"Pharm";#N/A,#N/A,FALSE,"WWCM"}</definedName>
    <definedName name="mw_2" localSheetId="0" hidden="1">{#N/A,#N/A,FALSE,"Pharm";#N/A,#N/A,FALSE,"WWCM"}</definedName>
    <definedName name="mw_2" localSheetId="6" hidden="1">{#N/A,#N/A,FALSE,"Pharm";#N/A,#N/A,FALSE,"WWCM"}</definedName>
    <definedName name="mw_2" hidden="1">{#N/A,#N/A,FALSE,"Pharm";#N/A,#N/A,FALSE,"WWCM"}</definedName>
    <definedName name="mw_3" localSheetId="0" hidden="1">{#N/A,#N/A,FALSE,"Pharm";#N/A,#N/A,FALSE,"WWCM"}</definedName>
    <definedName name="mw_3" localSheetId="6" hidden="1">{#N/A,#N/A,FALSE,"Pharm";#N/A,#N/A,FALSE,"WWCM"}</definedName>
    <definedName name="mw_3" hidden="1">{#N/A,#N/A,FALSE,"Pharm";#N/A,#N/A,FALSE,"WWCM"}</definedName>
    <definedName name="mw_4" localSheetId="0" hidden="1">{#N/A,#N/A,FALSE,"Pharm";#N/A,#N/A,FALSE,"WWCM"}</definedName>
    <definedName name="mw_4" localSheetId="6" hidden="1">{#N/A,#N/A,FALSE,"Pharm";#N/A,#N/A,FALSE,"WWCM"}</definedName>
    <definedName name="mw_4" hidden="1">{#N/A,#N/A,FALSE,"Pharm";#N/A,#N/A,FALSE,"WWCM"}</definedName>
    <definedName name="mw_5" localSheetId="0" hidden="1">{#N/A,#N/A,FALSE,"Pharm";#N/A,#N/A,FALSE,"WWCM"}</definedName>
    <definedName name="mw_5" localSheetId="6" hidden="1">{#N/A,#N/A,FALSE,"Pharm";#N/A,#N/A,FALSE,"WWCM"}</definedName>
    <definedName name="mw_5" hidden="1">{#N/A,#N/A,FALSE,"Pharm";#N/A,#N/A,FALSE,"WWCM"}</definedName>
    <definedName name="mYearStart" hidden="1">#REF!</definedName>
    <definedName name="MZ">#REF!</definedName>
    <definedName name="mzb" localSheetId="0" hidden="1">{#N/A,#N/A,FALSE,"Tabl. D1";#N/A,#N/A,FALSE,"Tabl. D1 b";#N/A,#N/A,FALSE,"Tabl. D2";#N/A,#N/A,FALSE,"Tabl. D2 b";#N/A,#N/A,FALSE,"Tabl. D3";#N/A,#N/A,FALSE,"Tabl. D4";#N/A,#N/A,FALSE,"Tabl. D5"}</definedName>
    <definedName name="mzb" localSheetId="6" hidden="1">{#N/A,#N/A,FALSE,"Tabl. D1";#N/A,#N/A,FALSE,"Tabl. D1 b";#N/A,#N/A,FALSE,"Tabl. D2";#N/A,#N/A,FALSE,"Tabl. D2 b";#N/A,#N/A,FALSE,"Tabl. D3";#N/A,#N/A,FALSE,"Tabl. D4";#N/A,#N/A,FALSE,"Tabl. D5"}</definedName>
    <definedName name="mzb" hidden="1">{#N/A,#N/A,FALSE,"Tabl. D1";#N/A,#N/A,FALSE,"Tabl. D1 b";#N/A,#N/A,FALSE,"Tabl. D2";#N/A,#N/A,FALSE,"Tabl. D2 b";#N/A,#N/A,FALSE,"Tabl. D3";#N/A,#N/A,FALSE,"Tabl. D4";#N/A,#N/A,FALSE,"Tabl. D5"}</definedName>
    <definedName name="M행">#REF!</definedName>
    <definedName name="n" hidden="1">#REF!</definedName>
    <definedName name="n6n6" localSheetId="0" hidden="1">{#N/A,#N/A,FALSE,"Assessment";#N/A,#N/A,FALSE,"Staffing";#N/A,#N/A,FALSE,"Hires";#N/A,#N/A,FALSE,"Assumptions"}</definedName>
    <definedName name="n6n6" localSheetId="6" hidden="1">{#N/A,#N/A,FALSE,"Assessment";#N/A,#N/A,FALSE,"Staffing";#N/A,#N/A,FALSE,"Hires";#N/A,#N/A,FALSE,"Assumptions"}</definedName>
    <definedName name="n6n6" hidden="1">{#N/A,#N/A,FALSE,"Assessment";#N/A,#N/A,FALSE,"Staffing";#N/A,#N/A,FALSE,"Hires";#N/A,#N/A,FALSE,"Assumptions"}</definedName>
    <definedName name="n6n6_1" localSheetId="0" hidden="1">{#N/A,#N/A,FALSE,"Assessment";#N/A,#N/A,FALSE,"Staffing";#N/A,#N/A,FALSE,"Hires";#N/A,#N/A,FALSE,"Assumptions"}</definedName>
    <definedName name="n6n6_1" localSheetId="6" hidden="1">{#N/A,#N/A,FALSE,"Assessment";#N/A,#N/A,FALSE,"Staffing";#N/A,#N/A,FALSE,"Hires";#N/A,#N/A,FALSE,"Assumptions"}</definedName>
    <definedName name="n6n6_1" hidden="1">{#N/A,#N/A,FALSE,"Assessment";#N/A,#N/A,FALSE,"Staffing";#N/A,#N/A,FALSE,"Hires";#N/A,#N/A,FALSE,"Assumptions"}</definedName>
    <definedName name="name">#REF!</definedName>
    <definedName name="Name_of_Supplier">#REF!</definedName>
    <definedName name="Name_of_the_Client">#REF!</definedName>
    <definedName name="Name1" hidden="1">#REF!</definedName>
    <definedName name="name2" hidden="1">#REF!</definedName>
    <definedName name="name3" hidden="1">#REF!</definedName>
    <definedName name="name4" hidden="1">#REF!</definedName>
    <definedName name="name5" hidden="1">#REF!</definedName>
    <definedName name="name6" hidden="1">#REF!</definedName>
    <definedName name="name7" hidden="1">#REF!</definedName>
    <definedName name="name8" hidden="1">#REF!</definedName>
    <definedName name="name9" hidden="1">#REF!</definedName>
    <definedName name="NameVersion" hidden="1">#REF!</definedName>
    <definedName name="nation_code">#REF!</definedName>
    <definedName name="navn" localSheetId="6" hidden="1">{"FlashP1",#N/A,FALSE,"Flash p 1";"FlashKInd",#N/A,FALSE,"Flash K Ind";"FlashOpProf",#N/A,FALSE,"Flash Op prof";"Market",#N/A,FALSE,"Market"}</definedName>
    <definedName name="navn" hidden="1">{"FlashP1",#N/A,FALSE,"Flash p 1";"FlashKInd",#N/A,FALSE,"Flash K Ind";"FlashOpProf",#N/A,FALSE,"Flash Op prof";"Market",#N/A,FALSE,"Market"}</definedName>
    <definedName name="navn2" localSheetId="6" hidden="1">{#N/A,#N/A,FALSE,"1st page";#N/A,#N/A,FALSE,"BSC";#N/A,#N/A,FALSE,"Financial report";#N/A,#N/A,FALSE,"Sales"}</definedName>
    <definedName name="navn2" hidden="1">{#N/A,#N/A,FALSE,"1st page";#N/A,#N/A,FALSE,"BSC";#N/A,#N/A,FALSE,"Financial report";#N/A,#N/A,FALSE,"Sales"}</definedName>
    <definedName name="navn3" localSheetId="6" hidden="1">{"Page 1",#N/A,FALSE,"Page1";"Overw",#N/A,FALSE,"Overw";"OvW2",#N/A,FALSE,"Overw (2)";"Op Prof YTD",#N/A,FALSE,"Op Prof YTD";"Key ind",#N/A,FALSE,"Key-ind";"Market",#N/A,FALSE,"Market";"K fig 1",#N/A,FALSE,"K-fig 1";"K fig 2",#N/A,FALSE,"K-fig 2"}</definedName>
    <definedName name="navn3" hidden="1">{"Page 1",#N/A,FALSE,"Page1";"Overw",#N/A,FALSE,"Overw";"OvW2",#N/A,FALSE,"Overw (2)";"Op Prof YTD",#N/A,FALSE,"Op Prof YTD";"Key ind",#N/A,FALSE,"Key-ind";"Market",#N/A,FALSE,"Market";"K fig 1",#N/A,FALSE,"K-fig 1";"K fig 2",#N/A,FALSE,"K-fig 2"}</definedName>
    <definedName name="navn4" localSheetId="6" hidden="1">{"Page 1",#N/A,FALSE,"Page1";"Overw",#N/A,FALSE,"Overw";"OvW2",#N/A,FALSE,"Overw (2)";"Op Prof YTD",#N/A,FALSE,"Op Prof YTD";"Key ind",#N/A,FALSE,"Key-ind";"Market",#N/A,FALSE,"Market";"K fig 1",#N/A,FALSE,"K-fig 1";"K fig 2",#N/A,FALSE,"K-fig 2"}</definedName>
    <definedName name="navn4" hidden="1">{"Page 1",#N/A,FALSE,"Page1";"Overw",#N/A,FALSE,"Overw";"OvW2",#N/A,FALSE,"Overw (2)";"Op Prof YTD",#N/A,FALSE,"Op Prof YTD";"Key ind",#N/A,FALSE,"Key-ind";"Market",#N/A,FALSE,"Market";"K fig 1",#N/A,FALSE,"K-fig 1";"K fig 2",#N/A,FALSE,"K-fig 2"}</definedName>
    <definedName name="NBCMN" localSheetId="6" hidden="1">{"year1",#N/A,FALSE,"IZT";"year2",#N/A,FALSE,"IZT"}</definedName>
    <definedName name="NBCMN" hidden="1">{"year1",#N/A,FALSE,"IZT";"year2",#N/A,FALSE,"IZT"}</definedName>
    <definedName name="ncasual" localSheetId="0" hidden="1">{"'Projection USA'!$A$2:$M$191"}</definedName>
    <definedName name="ncasual" localSheetId="6" hidden="1">{"'Projection USA'!$A$2:$M$191"}</definedName>
    <definedName name="ncasual" hidden="1">{"'Projection USA'!$A$2:$M$191"}</definedName>
    <definedName name="ncc74656A" hidden="1">#REF!</definedName>
    <definedName name="NDCNDN" localSheetId="6" hidden="1">{#N/A,#N/A,TRUE,"Provisions and pensions";#N/A,#N/A,TRUE,"AMP";#N/A,#N/A,TRUE,"Debt";#N/A,#N/A,TRUE,"WC";#N/A,#N/A,TRUE,"Cash";#N/A,#N/A,TRUE,"Divis";#N/A,#N/A,TRUE,"Tax";#N/A,#N/A,TRUE,"Losses and ACT";#N/A,#N/A,TRUE,"Profit uplifts";#N/A,#N/A,TRUE,"Enhancement data"}</definedName>
    <definedName name="NDCNDN" hidden="1">{#N/A,#N/A,TRUE,"Provisions and pensions";#N/A,#N/A,TRUE,"AMP";#N/A,#N/A,TRUE,"Debt";#N/A,#N/A,TRUE,"WC";#N/A,#N/A,TRUE,"Cash";#N/A,#N/A,TRUE,"Divis";#N/A,#N/A,TRUE,"Tax";#N/A,#N/A,TRUE,"Losses and ACT";#N/A,#N/A,TRUE,"Profit uplifts";#N/A,#N/A,TRUE,"Enhancement data"}</definedName>
    <definedName name="nddf" localSheetId="0" hidden="1">{#N/A,#N/A,FALSE,"Assessment";#N/A,#N/A,FALSE,"Staffing";#N/A,#N/A,FALSE,"Hires";#N/A,#N/A,FALSE,"Assumptions"}</definedName>
    <definedName name="nddf" localSheetId="6" hidden="1">{#N/A,#N/A,FALSE,"Assessment";#N/A,#N/A,FALSE,"Staffing";#N/A,#N/A,FALSE,"Hires";#N/A,#N/A,FALSE,"Assumptions"}</definedName>
    <definedName name="nddf" hidden="1">{#N/A,#N/A,FALSE,"Assessment";#N/A,#N/A,FALSE,"Staffing";#N/A,#N/A,FALSE,"Hires";#N/A,#N/A,FALSE,"Assumptions"}</definedName>
    <definedName name="nddf_1" localSheetId="0" hidden="1">{#N/A,#N/A,FALSE,"Assessment";#N/A,#N/A,FALSE,"Staffing";#N/A,#N/A,FALSE,"Hires";#N/A,#N/A,FALSE,"Assumptions"}</definedName>
    <definedName name="nddf_1" localSheetId="6" hidden="1">{#N/A,#N/A,FALSE,"Assessment";#N/A,#N/A,FALSE,"Staffing";#N/A,#N/A,FALSE,"Hires";#N/A,#N/A,FALSE,"Assumptions"}</definedName>
    <definedName name="nddf_1" hidden="1">{#N/A,#N/A,FALSE,"Assessment";#N/A,#N/A,FALSE,"Staffing";#N/A,#N/A,FALSE,"Hires";#N/A,#N/A,FALSE,"Assumptions"}</definedName>
    <definedName name="NELP" localSheetId="0" hidden="1">{#N/A,#N/A,FALSE,"incmo";#N/A,#N/A,FALSE,"incqtr";#N/A,#N/A,FALSE,"incytd"}</definedName>
    <definedName name="NELP" localSheetId="6" hidden="1">{#N/A,#N/A,FALSE,"incmo";#N/A,#N/A,FALSE,"incqtr";#N/A,#N/A,FALSE,"incytd"}</definedName>
    <definedName name="NELP" hidden="1">{#N/A,#N/A,FALSE,"incmo";#N/A,#N/A,FALSE,"incqtr";#N/A,#N/A,FALSE,"incytd"}</definedName>
    <definedName name="net">#REF!</definedName>
    <definedName name="NET_CHANGE" hidden="1">"NET_CHANGE"</definedName>
    <definedName name="NET_DEBT" hidden="1">"NET_DEBT"</definedName>
    <definedName name="net_fixed_assets">#REF!</definedName>
    <definedName name="NET_INC" hidden="1">"NET_INC"</definedName>
    <definedName name="NET_INC_10K" hidden="1">"NET_INC_10K"</definedName>
    <definedName name="NET_INC_10Q" hidden="1">"NET_INC_10Q"</definedName>
    <definedName name="NET_INC_10Q1" hidden="1">"NET_INC_10Q1"</definedName>
    <definedName name="NET_INC_BEFORE" hidden="1">"NET_INC_BEFORE"</definedName>
    <definedName name="NET_INC_GROWTH_1" hidden="1">"NET_INC_GROWTH_1"</definedName>
    <definedName name="NET_INC_GROWTH_2" hidden="1">"NET_INC_GROWTH_2"</definedName>
    <definedName name="NET_INC_MARGIN" hidden="1">"NET_INC_MARGIN"</definedName>
    <definedName name="Net_Income">#REF!</definedName>
    <definedName name="NET_INTEREST_INC" hidden="1">"NET_INTEREST_INC"</definedName>
    <definedName name="NET_INTEREST_INC_AFTER_LL" hidden="1">"NET_INTEREST_INC_AFTER_LL"</definedName>
    <definedName name="NET_LOANS" hidden="1">"NET_LOANS"</definedName>
    <definedName name="NetDebt">#REF!</definedName>
    <definedName name="neu"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neu" hidden="1">{#N/A,#N/A,TRUE,"Sensonic";#N/A,#N/A,TRUE,"Combimeter";#N/A,#N/A,TRUE,"HKV";#N/A,#N/A,TRUE,"TV";#N/A,#N/A,TRUE,"WZ";#N/A,#N/A,TRUE,"PrepHeatCon";#N/A,#N/A,TRUE,"Sonstiges";#N/A,#N/A,TRUE,"Abrechnung";#N/A,#N/A,TRUE,"Investitionen";#N/A,#N/A,TRUE,"Personal";#N/A,#N/A,TRUE,"sonstige Kosten u. Erträge";#N/A,#N/A,TRUE,"BER";#N/A,#N/A,TRUE,"Monatsaufteilung Budget 1997"}</definedName>
    <definedName name="new" hidden="1">#REF!</definedName>
    <definedName name="new_1" localSheetId="0" hidden="1">{#N/A,#N/A,FALSE,"Pharm";#N/A,#N/A,FALSE,"WWCM"}</definedName>
    <definedName name="new_1" localSheetId="6" hidden="1">{#N/A,#N/A,FALSE,"Pharm";#N/A,#N/A,FALSE,"WWCM"}</definedName>
    <definedName name="new_1" hidden="1">{#N/A,#N/A,FALSE,"Pharm";#N/A,#N/A,FALSE,"WWCM"}</definedName>
    <definedName name="new_1_1" localSheetId="0" hidden="1">{#N/A,#N/A,FALSE,"Pharm";#N/A,#N/A,FALSE,"WWCM"}</definedName>
    <definedName name="new_1_1" localSheetId="6" hidden="1">{#N/A,#N/A,FALSE,"Pharm";#N/A,#N/A,FALSE,"WWCM"}</definedName>
    <definedName name="new_1_1" hidden="1">{#N/A,#N/A,FALSE,"Pharm";#N/A,#N/A,FALSE,"WWCM"}</definedName>
    <definedName name="new_2" localSheetId="0" hidden="1">{#N/A,#N/A,FALSE,"Pharm";#N/A,#N/A,FALSE,"WWCM"}</definedName>
    <definedName name="new_2" localSheetId="6" hidden="1">{#N/A,#N/A,FALSE,"Pharm";#N/A,#N/A,FALSE,"WWCM"}</definedName>
    <definedName name="new_2" hidden="1">{#N/A,#N/A,FALSE,"Pharm";#N/A,#N/A,FALSE,"WWCM"}</definedName>
    <definedName name="new_2_1" localSheetId="6" hidden="1">{#N/A,#N/A,FALSE,"Scenario PivotTable"}</definedName>
    <definedName name="new_2_1" hidden="1">{#N/A,#N/A,FALSE,"Scenario PivotTable"}</definedName>
    <definedName name="new_2_1_1" localSheetId="6" hidden="1">{#N/A,#N/A,FALSE,"Scenario PivotTable"}</definedName>
    <definedName name="new_2_1_1" hidden="1">{#N/A,#N/A,FALSE,"Scenario PivotTable"}</definedName>
    <definedName name="new_2_1_1_1" localSheetId="6" hidden="1">{#N/A,#N/A,FALSE,"Scenario PivotTable"}</definedName>
    <definedName name="new_2_1_1_1" hidden="1">{#N/A,#N/A,FALSE,"Scenario PivotTable"}</definedName>
    <definedName name="new_2_1_2" localSheetId="6" hidden="1">{#N/A,#N/A,FALSE,"Scenario PivotTable"}</definedName>
    <definedName name="new_2_1_2" hidden="1">{#N/A,#N/A,FALSE,"Scenario PivotTable"}</definedName>
    <definedName name="new_2_1_2_1" localSheetId="6" hidden="1">{#N/A,#N/A,FALSE,"Scenario PivotTable"}</definedName>
    <definedName name="new_2_1_2_1" hidden="1">{#N/A,#N/A,FALSE,"Scenario PivotTable"}</definedName>
    <definedName name="new_2_1_3" localSheetId="6" hidden="1">{#N/A,#N/A,FALSE,"Scenario PivotTable"}</definedName>
    <definedName name="new_2_1_3" hidden="1">{#N/A,#N/A,FALSE,"Scenario PivotTable"}</definedName>
    <definedName name="new_2_2" localSheetId="6" hidden="1">{#N/A,#N/A,FALSE,"Scenario PivotTable"}</definedName>
    <definedName name="new_2_2" hidden="1">{#N/A,#N/A,FALSE,"Scenario PivotTable"}</definedName>
    <definedName name="new_2_2_1" localSheetId="6" hidden="1">{#N/A,#N/A,FALSE,"Scenario PivotTable"}</definedName>
    <definedName name="new_2_2_1" hidden="1">{#N/A,#N/A,FALSE,"Scenario PivotTable"}</definedName>
    <definedName name="new_2_2_1_1" localSheetId="6" hidden="1">{#N/A,#N/A,FALSE,"Scenario PivotTable"}</definedName>
    <definedName name="new_2_2_1_1" hidden="1">{#N/A,#N/A,FALSE,"Scenario PivotTable"}</definedName>
    <definedName name="new_2_2_2" localSheetId="6" hidden="1">{#N/A,#N/A,FALSE,"Scenario PivotTable"}</definedName>
    <definedName name="new_2_2_2" hidden="1">{#N/A,#N/A,FALSE,"Scenario PivotTable"}</definedName>
    <definedName name="new_2_3" localSheetId="6" hidden="1">{#N/A,#N/A,FALSE,"Scenario PivotTable"}</definedName>
    <definedName name="new_2_3" hidden="1">{#N/A,#N/A,FALSE,"Scenario PivotTable"}</definedName>
    <definedName name="new_2_3_1" localSheetId="6" hidden="1">{#N/A,#N/A,FALSE,"Scenario PivotTable"}</definedName>
    <definedName name="new_2_3_1" hidden="1">{#N/A,#N/A,FALSE,"Scenario PivotTable"}</definedName>
    <definedName name="new_2_4" localSheetId="6" hidden="1">{#N/A,#N/A,FALSE,"Scenario PivotTable"}</definedName>
    <definedName name="new_2_4" hidden="1">{#N/A,#N/A,FALSE,"Scenario PivotTable"}</definedName>
    <definedName name="new_3" localSheetId="0" hidden="1">{#N/A,#N/A,FALSE,"Pharm";#N/A,#N/A,FALSE,"WWCM"}</definedName>
    <definedName name="new_3" localSheetId="6" hidden="1">{#N/A,#N/A,FALSE,"Pharm";#N/A,#N/A,FALSE,"WWCM"}</definedName>
    <definedName name="new_3" hidden="1">{#N/A,#N/A,FALSE,"Pharm";#N/A,#N/A,FALSE,"WWCM"}</definedName>
    <definedName name="new_3_1" localSheetId="6" hidden="1">{#N/A,#N/A,FALSE,"Scenario PivotTable"}</definedName>
    <definedName name="new_3_1" hidden="1">{#N/A,#N/A,FALSE,"Scenario PivotTable"}</definedName>
    <definedName name="new_3_1_1" localSheetId="6" hidden="1">{#N/A,#N/A,FALSE,"Scenario PivotTable"}</definedName>
    <definedName name="new_3_1_1" hidden="1">{#N/A,#N/A,FALSE,"Scenario PivotTable"}</definedName>
    <definedName name="new_3_1_1_1" localSheetId="6" hidden="1">{#N/A,#N/A,FALSE,"Scenario PivotTable"}</definedName>
    <definedName name="new_3_1_1_1" hidden="1">{#N/A,#N/A,FALSE,"Scenario PivotTable"}</definedName>
    <definedName name="new_3_1_2" localSheetId="6" hidden="1">{#N/A,#N/A,FALSE,"Scenario PivotTable"}</definedName>
    <definedName name="new_3_1_2" hidden="1">{#N/A,#N/A,FALSE,"Scenario PivotTable"}</definedName>
    <definedName name="new_3_1_2_1" localSheetId="6" hidden="1">{#N/A,#N/A,FALSE,"Scenario PivotTable"}</definedName>
    <definedName name="new_3_1_2_1" hidden="1">{#N/A,#N/A,FALSE,"Scenario PivotTable"}</definedName>
    <definedName name="new_3_1_3" localSheetId="6" hidden="1">{#N/A,#N/A,FALSE,"Scenario PivotTable"}</definedName>
    <definedName name="new_3_1_3" hidden="1">{#N/A,#N/A,FALSE,"Scenario PivotTable"}</definedName>
    <definedName name="new_3_2" localSheetId="6" hidden="1">{#N/A,#N/A,FALSE,"Scenario PivotTable"}</definedName>
    <definedName name="new_3_2" hidden="1">{#N/A,#N/A,FALSE,"Scenario PivotTable"}</definedName>
    <definedName name="new_3_2_1" localSheetId="6" hidden="1">{#N/A,#N/A,FALSE,"Scenario PivotTable"}</definedName>
    <definedName name="new_3_2_1" hidden="1">{#N/A,#N/A,FALSE,"Scenario PivotTable"}</definedName>
    <definedName name="new_3_2_1_1" localSheetId="6" hidden="1">{#N/A,#N/A,FALSE,"Scenario PivotTable"}</definedName>
    <definedName name="new_3_2_1_1" hidden="1">{#N/A,#N/A,FALSE,"Scenario PivotTable"}</definedName>
    <definedName name="new_3_2_2" localSheetId="6" hidden="1">{#N/A,#N/A,FALSE,"Scenario PivotTable"}</definedName>
    <definedName name="new_3_2_2" hidden="1">{#N/A,#N/A,FALSE,"Scenario PivotTable"}</definedName>
    <definedName name="new_3_3" localSheetId="6" hidden="1">{#N/A,#N/A,FALSE,"Scenario PivotTable"}</definedName>
    <definedName name="new_3_3" hidden="1">{#N/A,#N/A,FALSE,"Scenario PivotTable"}</definedName>
    <definedName name="new_3_3_1" localSheetId="6" hidden="1">{#N/A,#N/A,FALSE,"Scenario PivotTable"}</definedName>
    <definedName name="new_3_3_1" hidden="1">{#N/A,#N/A,FALSE,"Scenario PivotTable"}</definedName>
    <definedName name="new_3_4" localSheetId="6" hidden="1">{#N/A,#N/A,FALSE,"Scenario PivotTable"}</definedName>
    <definedName name="new_3_4" hidden="1">{#N/A,#N/A,FALSE,"Scenario PivotTable"}</definedName>
    <definedName name="new_4" localSheetId="0" hidden="1">{#N/A,#N/A,FALSE,"Pharm";#N/A,#N/A,FALSE,"WWCM"}</definedName>
    <definedName name="new_4" localSheetId="6" hidden="1">{#N/A,#N/A,FALSE,"Pharm";#N/A,#N/A,FALSE,"WWCM"}</definedName>
    <definedName name="new_4" hidden="1">{#N/A,#N/A,FALSE,"Pharm";#N/A,#N/A,FALSE,"WWCM"}</definedName>
    <definedName name="new_4_1" localSheetId="6" hidden="1">{#N/A,#N/A,FALSE,"Scenario PivotTable"}</definedName>
    <definedName name="new_4_1" hidden="1">{#N/A,#N/A,FALSE,"Scenario PivotTable"}</definedName>
    <definedName name="new_4_1_1" localSheetId="6" hidden="1">{#N/A,#N/A,FALSE,"Scenario PivotTable"}</definedName>
    <definedName name="new_4_1_1" hidden="1">{#N/A,#N/A,FALSE,"Scenario PivotTable"}</definedName>
    <definedName name="new_4_1_1_1" localSheetId="6" hidden="1">{#N/A,#N/A,FALSE,"Scenario PivotTable"}</definedName>
    <definedName name="new_4_1_1_1" hidden="1">{#N/A,#N/A,FALSE,"Scenario PivotTable"}</definedName>
    <definedName name="new_4_1_2" localSheetId="6" hidden="1">{#N/A,#N/A,FALSE,"Scenario PivotTable"}</definedName>
    <definedName name="new_4_1_2" hidden="1">{#N/A,#N/A,FALSE,"Scenario PivotTable"}</definedName>
    <definedName name="new_4_1_2_1" localSheetId="6" hidden="1">{#N/A,#N/A,FALSE,"Scenario PivotTable"}</definedName>
    <definedName name="new_4_1_2_1" hidden="1">{#N/A,#N/A,FALSE,"Scenario PivotTable"}</definedName>
    <definedName name="new_4_1_3" localSheetId="6" hidden="1">{#N/A,#N/A,FALSE,"Scenario PivotTable"}</definedName>
    <definedName name="new_4_1_3" hidden="1">{#N/A,#N/A,FALSE,"Scenario PivotTable"}</definedName>
    <definedName name="new_4_2" localSheetId="6" hidden="1">{#N/A,#N/A,FALSE,"Scenario PivotTable"}</definedName>
    <definedName name="new_4_2" hidden="1">{#N/A,#N/A,FALSE,"Scenario PivotTable"}</definedName>
    <definedName name="new_4_2_1" localSheetId="6" hidden="1">{#N/A,#N/A,FALSE,"Scenario PivotTable"}</definedName>
    <definedName name="new_4_2_1" hidden="1">{#N/A,#N/A,FALSE,"Scenario PivotTable"}</definedName>
    <definedName name="new_4_2_1_1" localSheetId="6" hidden="1">{#N/A,#N/A,FALSE,"Scenario PivotTable"}</definedName>
    <definedName name="new_4_2_1_1" hidden="1">{#N/A,#N/A,FALSE,"Scenario PivotTable"}</definedName>
    <definedName name="new_4_2_2" localSheetId="6" hidden="1">{#N/A,#N/A,FALSE,"Scenario PivotTable"}</definedName>
    <definedName name="new_4_2_2" hidden="1">{#N/A,#N/A,FALSE,"Scenario PivotTable"}</definedName>
    <definedName name="new_4_3" localSheetId="6" hidden="1">{#N/A,#N/A,FALSE,"Scenario PivotTable"}</definedName>
    <definedName name="new_4_3" hidden="1">{#N/A,#N/A,FALSE,"Scenario PivotTable"}</definedName>
    <definedName name="new_4_3_1" localSheetId="6" hidden="1">{#N/A,#N/A,FALSE,"Scenario PivotTable"}</definedName>
    <definedName name="new_4_3_1" hidden="1">{#N/A,#N/A,FALSE,"Scenario PivotTable"}</definedName>
    <definedName name="new_4_4" localSheetId="6" hidden="1">{#N/A,#N/A,FALSE,"Scenario PivotTable"}</definedName>
    <definedName name="new_4_4" hidden="1">{#N/A,#N/A,FALSE,"Scenario PivotTable"}</definedName>
    <definedName name="new_5" localSheetId="0" hidden="1">{#N/A,#N/A,FALSE,"Pharm";#N/A,#N/A,FALSE,"WWCM"}</definedName>
    <definedName name="new_5" localSheetId="6" hidden="1">{#N/A,#N/A,FALSE,"Pharm";#N/A,#N/A,FALSE,"WWCM"}</definedName>
    <definedName name="new_5" hidden="1">{#N/A,#N/A,FALSE,"Pharm";#N/A,#N/A,FALSE,"WWCM"}</definedName>
    <definedName name="new_5_1" localSheetId="6" hidden="1">{#N/A,#N/A,FALSE,"Scenario PivotTable"}</definedName>
    <definedName name="new_5_1" hidden="1">{#N/A,#N/A,FALSE,"Scenario PivotTable"}</definedName>
    <definedName name="new_5_1_1" localSheetId="6" hidden="1">{#N/A,#N/A,FALSE,"Scenario PivotTable"}</definedName>
    <definedName name="new_5_1_1" hidden="1">{#N/A,#N/A,FALSE,"Scenario PivotTable"}</definedName>
    <definedName name="new_5_1_1_1" localSheetId="6" hidden="1">{#N/A,#N/A,FALSE,"Scenario PivotTable"}</definedName>
    <definedName name="new_5_1_1_1" hidden="1">{#N/A,#N/A,FALSE,"Scenario PivotTable"}</definedName>
    <definedName name="new_5_1_2" localSheetId="6" hidden="1">{#N/A,#N/A,FALSE,"Scenario PivotTable"}</definedName>
    <definedName name="new_5_1_2" hidden="1">{#N/A,#N/A,FALSE,"Scenario PivotTable"}</definedName>
    <definedName name="new_5_1_2_1" localSheetId="6" hidden="1">{#N/A,#N/A,FALSE,"Scenario PivotTable"}</definedName>
    <definedName name="new_5_1_2_1" hidden="1">{#N/A,#N/A,FALSE,"Scenario PivotTable"}</definedName>
    <definedName name="new_5_1_3" localSheetId="6" hidden="1">{#N/A,#N/A,FALSE,"Scenario PivotTable"}</definedName>
    <definedName name="new_5_1_3" hidden="1">{#N/A,#N/A,FALSE,"Scenario PivotTable"}</definedName>
    <definedName name="new_5_2" localSheetId="6" hidden="1">{#N/A,#N/A,FALSE,"Scenario PivotTable"}</definedName>
    <definedName name="new_5_2" hidden="1">{#N/A,#N/A,FALSE,"Scenario PivotTable"}</definedName>
    <definedName name="new_5_2_1" localSheetId="6" hidden="1">{#N/A,#N/A,FALSE,"Scenario PivotTable"}</definedName>
    <definedName name="new_5_2_1" hidden="1">{#N/A,#N/A,FALSE,"Scenario PivotTable"}</definedName>
    <definedName name="new_5_2_1_1" localSheetId="6" hidden="1">{#N/A,#N/A,FALSE,"Scenario PivotTable"}</definedName>
    <definedName name="new_5_2_1_1" hidden="1">{#N/A,#N/A,FALSE,"Scenario PivotTable"}</definedName>
    <definedName name="new_5_2_2" localSheetId="6" hidden="1">{#N/A,#N/A,FALSE,"Scenario PivotTable"}</definedName>
    <definedName name="new_5_2_2" hidden="1">{#N/A,#N/A,FALSE,"Scenario PivotTable"}</definedName>
    <definedName name="new_5_3" localSheetId="6" hidden="1">{#N/A,#N/A,FALSE,"Scenario PivotTable"}</definedName>
    <definedName name="new_5_3" hidden="1">{#N/A,#N/A,FALSE,"Scenario PivotTable"}</definedName>
    <definedName name="new_5_3_1" localSheetId="6" hidden="1">{#N/A,#N/A,FALSE,"Scenario PivotTable"}</definedName>
    <definedName name="new_5_3_1" hidden="1">{#N/A,#N/A,FALSE,"Scenario PivotTable"}</definedName>
    <definedName name="new_5_4" localSheetId="6" hidden="1">{#N/A,#N/A,FALSE,"Scenario PivotTable"}</definedName>
    <definedName name="new_5_4" hidden="1">{#N/A,#N/A,FALSE,"Scenario PivotTable"}</definedName>
    <definedName name="new_w" localSheetId="0" hidden="1">{"comps1_1",#N/A,FALSE,"Comps1";"comps1_2",#N/A,FALSE,"Comps1";"comps1_3",#N/A,FALSE,"Comps1";"comps1_4",#N/A,FALSE,"Comps1";"comps1_5",#N/A,FALSE,"Comps1"}</definedName>
    <definedName name="new_w" localSheetId="6" hidden="1">{"comps1_1",#N/A,FALSE,"Comps1";"comps1_2",#N/A,FALSE,"Comps1";"comps1_3",#N/A,FALSE,"Comps1";"comps1_4",#N/A,FALSE,"Comps1";"comps1_5",#N/A,FALSE,"Comps1"}</definedName>
    <definedName name="new_w" hidden="1">{"comps1_1",#N/A,FALSE,"Comps1";"comps1_2",#N/A,FALSE,"Comps1";"comps1_3",#N/A,FALSE,"Comps1";"comps1_4",#N/A,FALSE,"Comps1";"comps1_5",#N/A,FALSE,"Comps1"}</definedName>
    <definedName name="newbel" localSheetId="0" hidden="1">{"IS",#N/A,FALSE,"IS";"RPTIS",#N/A,FALSE,"RPTIS";"STATS",#N/A,FALSE,"STATS";"CELL",#N/A,FALSE,"CELL";"BS",#N/A,FALSE,"BS"}</definedName>
    <definedName name="newbel" localSheetId="6" hidden="1">{"IS",#N/A,FALSE,"IS";"RPTIS",#N/A,FALSE,"RPTIS";"STATS",#N/A,FALSE,"STATS";"CELL",#N/A,FALSE,"CELL";"BS",#N/A,FALSE,"BS"}</definedName>
    <definedName name="newbel" hidden="1">{"IS",#N/A,FALSE,"IS";"RPTIS",#N/A,FALSE,"RPTIS";"STATS",#N/A,FALSE,"STATS";"CELL",#N/A,FALSE,"CELL";"BS",#N/A,FALSE,"BS"}</definedName>
    <definedName name="NewcoName">#REF!</definedName>
    <definedName name="newDC" localSheetId="0" hidden="1">{#N/A,#N/A,TRUE,"Cover sheet";#N/A,#N/A,TRUE,"DCF analysis";#N/A,#N/A,TRUE,"WACC calculation"}</definedName>
    <definedName name="newDC" localSheetId="6" hidden="1">{#N/A,#N/A,TRUE,"Cover sheet";#N/A,#N/A,TRUE,"DCF analysis";#N/A,#N/A,TRUE,"WACC calculation"}</definedName>
    <definedName name="newDC" hidden="1">{#N/A,#N/A,TRUE,"Cover sheet";#N/A,#N/A,TRUE,"DCF analysis";#N/A,#N/A,TRUE,"WACC calculation"}</definedName>
    <definedName name="NewDisE1M2">#REF!</definedName>
    <definedName name="newer" hidden="1">#REF!</definedName>
    <definedName name="newkhsdfkj" localSheetId="0" hidden="1">{#N/A,#N/A,TRUE,"Cover";#N/A,#N/A,TRUE,"Sum";#N/A,#N/A,TRUE,"SubsRev";#N/A,#N/A,TRUE,"CapEx";#N/A,#N/A,TRUE,"OpEx";#N/A,#N/A,TRUE,"SUs";#N/A,#N/A,TRUE,"OrgChart";#N/A,#N/A,TRUE,"Staff";#N/A,#N/A,TRUE,"P&amp;L";#N/A,#N/A,TRUE,"Cash";#N/A,#N/A,TRUE,"BS";#N/A,#N/A,TRUE,"Valuation";#N/A,#N/A,TRUE,"CapEx-Assumptions";#N/A,#N/A,TRUE,"OpEx-Assumptions"}</definedName>
    <definedName name="newkhsdfkj" localSheetId="6" hidden="1">{#N/A,#N/A,TRUE,"Cover";#N/A,#N/A,TRUE,"Sum";#N/A,#N/A,TRUE,"SubsRev";#N/A,#N/A,TRUE,"CapEx";#N/A,#N/A,TRUE,"OpEx";#N/A,#N/A,TRUE,"SUs";#N/A,#N/A,TRUE,"OrgChart";#N/A,#N/A,TRUE,"Staff";#N/A,#N/A,TRUE,"P&amp;L";#N/A,#N/A,TRUE,"Cash";#N/A,#N/A,TRUE,"BS";#N/A,#N/A,TRUE,"Valuation";#N/A,#N/A,TRUE,"CapEx-Assumptions";#N/A,#N/A,TRUE,"OpEx-Assumptions"}</definedName>
    <definedName name="newkhsdfkj" hidden="1">{#N/A,#N/A,TRUE,"Cover";#N/A,#N/A,TRUE,"Sum";#N/A,#N/A,TRUE,"SubsRev";#N/A,#N/A,TRUE,"CapEx";#N/A,#N/A,TRUE,"OpEx";#N/A,#N/A,TRUE,"SUs";#N/A,#N/A,TRUE,"OrgChart";#N/A,#N/A,TRUE,"Staff";#N/A,#N/A,TRUE,"P&amp;L";#N/A,#N/A,TRUE,"Cash";#N/A,#N/A,TRUE,"BS";#N/A,#N/A,TRUE,"Valuation";#N/A,#N/A,TRUE,"CapEx-Assumptions";#N/A,#N/A,TRUE,"OpEx-Assumptions"}</definedName>
    <definedName name="newname" hidden="1">#REF!</definedName>
    <definedName name="newnewnew" localSheetId="0" hidden="1">{#N/A,#N/A,FALSE,"Pharm";#N/A,#N/A,FALSE,"WWCM"}</definedName>
    <definedName name="newnewnew" localSheetId="6" hidden="1">{#N/A,#N/A,FALSE,"Pharm";#N/A,#N/A,FALSE,"WWCM"}</definedName>
    <definedName name="newnewnew" hidden="1">{#N/A,#N/A,FALSE,"Pharm";#N/A,#N/A,FALSE,"WWCM"}</definedName>
    <definedName name="newnewnew_1" localSheetId="0" hidden="1">{#N/A,#N/A,FALSE,"Pharm";#N/A,#N/A,FALSE,"WWCM"}</definedName>
    <definedName name="newnewnew_1" localSheetId="6" hidden="1">{#N/A,#N/A,FALSE,"Pharm";#N/A,#N/A,FALSE,"WWCM"}</definedName>
    <definedName name="newnewnew_1" hidden="1">{#N/A,#N/A,FALSE,"Pharm";#N/A,#N/A,FALSE,"WWCM"}</definedName>
    <definedName name="newnewnew_1_1" localSheetId="0" hidden="1">{#N/A,#N/A,FALSE,"Pharm";#N/A,#N/A,FALSE,"WWCM"}</definedName>
    <definedName name="newnewnew_1_1" localSheetId="6" hidden="1">{#N/A,#N/A,FALSE,"Pharm";#N/A,#N/A,FALSE,"WWCM"}</definedName>
    <definedName name="newnewnew_1_1" hidden="1">{#N/A,#N/A,FALSE,"Pharm";#N/A,#N/A,FALSE,"WWCM"}</definedName>
    <definedName name="newnewnew_2" localSheetId="0" hidden="1">{#N/A,#N/A,FALSE,"Pharm";#N/A,#N/A,FALSE,"WWCM"}</definedName>
    <definedName name="newnewnew_2" localSheetId="6" hidden="1">{#N/A,#N/A,FALSE,"Pharm";#N/A,#N/A,FALSE,"WWCM"}</definedName>
    <definedName name="newnewnew_2" hidden="1">{#N/A,#N/A,FALSE,"Pharm";#N/A,#N/A,FALSE,"WWCM"}</definedName>
    <definedName name="newnewnew_3" localSheetId="0" hidden="1">{#N/A,#N/A,FALSE,"Pharm";#N/A,#N/A,FALSE,"WWCM"}</definedName>
    <definedName name="newnewnew_3" localSheetId="6" hidden="1">{#N/A,#N/A,FALSE,"Pharm";#N/A,#N/A,FALSE,"WWCM"}</definedName>
    <definedName name="newnewnew_3" hidden="1">{#N/A,#N/A,FALSE,"Pharm";#N/A,#N/A,FALSE,"WWCM"}</definedName>
    <definedName name="newnewnew_4" localSheetId="0" hidden="1">{#N/A,#N/A,FALSE,"Pharm";#N/A,#N/A,FALSE,"WWCM"}</definedName>
    <definedName name="newnewnew_4" localSheetId="6" hidden="1">{#N/A,#N/A,FALSE,"Pharm";#N/A,#N/A,FALSE,"WWCM"}</definedName>
    <definedName name="newnewnew_4" hidden="1">{#N/A,#N/A,FALSE,"Pharm";#N/A,#N/A,FALSE,"WWCM"}</definedName>
    <definedName name="newnewnew_5" localSheetId="0" hidden="1">{#N/A,#N/A,FALSE,"Pharm";#N/A,#N/A,FALSE,"WWCM"}</definedName>
    <definedName name="newnewnew_5" localSheetId="6" hidden="1">{#N/A,#N/A,FALSE,"Pharm";#N/A,#N/A,FALSE,"WWCM"}</definedName>
    <definedName name="newnewnew_5" hidden="1">{#N/A,#N/A,FALSE,"Pharm";#N/A,#N/A,FALSE,"WWCM"}</definedName>
    <definedName name="newp" localSheetId="6" hidden="1">{"VIEW1",#N/A,FALSE,"P&amp;L Account 2001-2002";"VIEW2",#N/A,FALSE,"P&amp;L Account 2001-2002";"VIEW3",#N/A,FALSE,"P&amp;L Account 2001-2002";"VIEW4",#N/A,FALSE,"P&amp;L Account 2001-2002"}</definedName>
    <definedName name="newp" hidden="1">{"VIEW1",#N/A,FALSE,"P&amp;L Account 2001-2002";"VIEW2",#N/A,FALSE,"P&amp;L Account 2001-2002";"VIEW3",#N/A,FALSE,"P&amp;L Account 2001-2002";"VIEW4",#N/A,FALSE,"P&amp;L Account 2001-2002"}</definedName>
    <definedName name="NewPlant" localSheetId="6" hidden="1">{"ROCE Summ",#N/A,FALSE,"Property Management Exps"}</definedName>
    <definedName name="NewPlant" hidden="1">{"ROCE Summ",#N/A,FALSE,"Property Management Exps"}</definedName>
    <definedName name="NewPlant_1" localSheetId="6" hidden="1">{"ROCE Summ",#N/A,FALSE,"Property Management Exps"}</definedName>
    <definedName name="NewPlant_1" hidden="1">{"ROCE Summ",#N/A,FALSE,"Property Management Exps"}</definedName>
    <definedName name="NewPlant_1_1" localSheetId="6" hidden="1">{"ROCE Summ",#N/A,FALSE,"Property Management Exps"}</definedName>
    <definedName name="NewPlant_1_1" hidden="1">{"ROCE Summ",#N/A,FALSE,"Property Management Exps"}</definedName>
    <definedName name="NewPlant_1_1_1" localSheetId="6" hidden="1">{"ROCE Summ",#N/A,FALSE,"Property Management Exps"}</definedName>
    <definedName name="NewPlant_1_1_1" hidden="1">{"ROCE Summ",#N/A,FALSE,"Property Management Exps"}</definedName>
    <definedName name="NewPlant_1_1_1_1" localSheetId="6" hidden="1">{"ROCE Summ",#N/A,FALSE,"Property Management Exps"}</definedName>
    <definedName name="NewPlant_1_1_1_1" hidden="1">{"ROCE Summ",#N/A,FALSE,"Property Management Exps"}</definedName>
    <definedName name="NewPlant_1_1_2" localSheetId="6" hidden="1">{"ROCE Summ",#N/A,FALSE,"Property Management Exps"}</definedName>
    <definedName name="NewPlant_1_1_2" hidden="1">{"ROCE Summ",#N/A,FALSE,"Property Management Exps"}</definedName>
    <definedName name="NewPlant_1_1_2_1" localSheetId="6" hidden="1">{"ROCE Summ",#N/A,FALSE,"Property Management Exps"}</definedName>
    <definedName name="NewPlant_1_1_2_1" hidden="1">{"ROCE Summ",#N/A,FALSE,"Property Management Exps"}</definedName>
    <definedName name="NewPlant_1_1_3" localSheetId="6" hidden="1">{"ROCE Summ",#N/A,FALSE,"Property Management Exps"}</definedName>
    <definedName name="NewPlant_1_1_3" hidden="1">{"ROCE Summ",#N/A,FALSE,"Property Management Exps"}</definedName>
    <definedName name="NewPlant_1_2" localSheetId="6" hidden="1">{"ROCE Summ",#N/A,FALSE,"Property Management Exps"}</definedName>
    <definedName name="NewPlant_1_2" hidden="1">{"ROCE Summ",#N/A,FALSE,"Property Management Exps"}</definedName>
    <definedName name="NewPlant_1_2_1" localSheetId="6" hidden="1">{"ROCE Summ",#N/A,FALSE,"Property Management Exps"}</definedName>
    <definedName name="NewPlant_1_2_1" hidden="1">{"ROCE Summ",#N/A,FALSE,"Property Management Exps"}</definedName>
    <definedName name="NewPlant_1_2_1_1" localSheetId="6" hidden="1">{"ROCE Summ",#N/A,FALSE,"Property Management Exps"}</definedName>
    <definedName name="NewPlant_1_2_1_1" hidden="1">{"ROCE Summ",#N/A,FALSE,"Property Management Exps"}</definedName>
    <definedName name="NewPlant_1_2_2" localSheetId="6" hidden="1">{"ROCE Summ",#N/A,FALSE,"Property Management Exps"}</definedName>
    <definedName name="NewPlant_1_2_2" hidden="1">{"ROCE Summ",#N/A,FALSE,"Property Management Exps"}</definedName>
    <definedName name="NewPlant_1_3" localSheetId="6" hidden="1">{"ROCE Summ",#N/A,FALSE,"Property Management Exps"}</definedName>
    <definedName name="NewPlant_1_3" hidden="1">{"ROCE Summ",#N/A,FALSE,"Property Management Exps"}</definedName>
    <definedName name="NewPlant_1_3_1" localSheetId="6" hidden="1">{"ROCE Summ",#N/A,FALSE,"Property Management Exps"}</definedName>
    <definedName name="NewPlant_1_3_1" hidden="1">{"ROCE Summ",#N/A,FALSE,"Property Management Exps"}</definedName>
    <definedName name="NewPlant_1_4" localSheetId="6" hidden="1">{"ROCE Summ",#N/A,FALSE,"Property Management Exps"}</definedName>
    <definedName name="NewPlant_1_4" hidden="1">{"ROCE Summ",#N/A,FALSE,"Property Management Exps"}</definedName>
    <definedName name="NewPlant_2" localSheetId="6" hidden="1">{"ROCE Summ",#N/A,FALSE,"Property Management Exps"}</definedName>
    <definedName name="NewPlant_2" hidden="1">{"ROCE Summ",#N/A,FALSE,"Property Management Exps"}</definedName>
    <definedName name="NewPlant_2_1" localSheetId="6" hidden="1">{"ROCE Summ",#N/A,FALSE,"Property Management Exps"}</definedName>
    <definedName name="NewPlant_2_1" hidden="1">{"ROCE Summ",#N/A,FALSE,"Property Management Exps"}</definedName>
    <definedName name="NewPlant_2_1_1" localSheetId="6" hidden="1">{"ROCE Summ",#N/A,FALSE,"Property Management Exps"}</definedName>
    <definedName name="NewPlant_2_1_1" hidden="1">{"ROCE Summ",#N/A,FALSE,"Property Management Exps"}</definedName>
    <definedName name="NewPlant_2_1_1_1" localSheetId="6" hidden="1">{"ROCE Summ",#N/A,FALSE,"Property Management Exps"}</definedName>
    <definedName name="NewPlant_2_1_1_1" hidden="1">{"ROCE Summ",#N/A,FALSE,"Property Management Exps"}</definedName>
    <definedName name="NewPlant_2_1_2" localSheetId="6" hidden="1">{"ROCE Summ",#N/A,FALSE,"Property Management Exps"}</definedName>
    <definedName name="NewPlant_2_1_2" hidden="1">{"ROCE Summ",#N/A,FALSE,"Property Management Exps"}</definedName>
    <definedName name="NewPlant_2_1_2_1" localSheetId="6" hidden="1">{"ROCE Summ",#N/A,FALSE,"Property Management Exps"}</definedName>
    <definedName name="NewPlant_2_1_2_1" hidden="1">{"ROCE Summ",#N/A,FALSE,"Property Management Exps"}</definedName>
    <definedName name="NewPlant_2_1_3" localSheetId="6" hidden="1">{"ROCE Summ",#N/A,FALSE,"Property Management Exps"}</definedName>
    <definedName name="NewPlant_2_1_3" hidden="1">{"ROCE Summ",#N/A,FALSE,"Property Management Exps"}</definedName>
    <definedName name="NewPlant_2_2" localSheetId="6" hidden="1">{"ROCE Summ",#N/A,FALSE,"Property Management Exps"}</definedName>
    <definedName name="NewPlant_2_2" hidden="1">{"ROCE Summ",#N/A,FALSE,"Property Management Exps"}</definedName>
    <definedName name="NewPlant_2_2_1" localSheetId="6" hidden="1">{"ROCE Summ",#N/A,FALSE,"Property Management Exps"}</definedName>
    <definedName name="NewPlant_2_2_1" hidden="1">{"ROCE Summ",#N/A,FALSE,"Property Management Exps"}</definedName>
    <definedName name="NewPlant_2_2_1_1" localSheetId="6" hidden="1">{"ROCE Summ",#N/A,FALSE,"Property Management Exps"}</definedName>
    <definedName name="NewPlant_2_2_1_1" hidden="1">{"ROCE Summ",#N/A,FALSE,"Property Management Exps"}</definedName>
    <definedName name="NewPlant_2_2_2" localSheetId="6" hidden="1">{"ROCE Summ",#N/A,FALSE,"Property Management Exps"}</definedName>
    <definedName name="NewPlant_2_2_2" hidden="1">{"ROCE Summ",#N/A,FALSE,"Property Management Exps"}</definedName>
    <definedName name="NewPlant_2_3" localSheetId="6" hidden="1">{"ROCE Summ",#N/A,FALSE,"Property Management Exps"}</definedName>
    <definedName name="NewPlant_2_3" hidden="1">{"ROCE Summ",#N/A,FALSE,"Property Management Exps"}</definedName>
    <definedName name="NewPlant_2_3_1" localSheetId="6" hidden="1">{"ROCE Summ",#N/A,FALSE,"Property Management Exps"}</definedName>
    <definedName name="NewPlant_2_3_1" hidden="1">{"ROCE Summ",#N/A,FALSE,"Property Management Exps"}</definedName>
    <definedName name="NewPlant_2_4" localSheetId="6" hidden="1">{"ROCE Summ",#N/A,FALSE,"Property Management Exps"}</definedName>
    <definedName name="NewPlant_2_4" hidden="1">{"ROCE Summ",#N/A,FALSE,"Property Management Exps"}</definedName>
    <definedName name="NewPlant_3" localSheetId="6" hidden="1">{"ROCE Summ",#N/A,FALSE,"Property Management Exps"}</definedName>
    <definedName name="NewPlant_3" hidden="1">{"ROCE Summ",#N/A,FALSE,"Property Management Exps"}</definedName>
    <definedName name="NewPlant_3_1" localSheetId="6" hidden="1">{"ROCE Summ",#N/A,FALSE,"Property Management Exps"}</definedName>
    <definedName name="NewPlant_3_1" hidden="1">{"ROCE Summ",#N/A,FALSE,"Property Management Exps"}</definedName>
    <definedName name="NewPlant_3_1_1" localSheetId="6" hidden="1">{"ROCE Summ",#N/A,FALSE,"Property Management Exps"}</definedName>
    <definedName name="NewPlant_3_1_1" hidden="1">{"ROCE Summ",#N/A,FALSE,"Property Management Exps"}</definedName>
    <definedName name="NewPlant_3_1_1_1" localSheetId="6" hidden="1">{"ROCE Summ",#N/A,FALSE,"Property Management Exps"}</definedName>
    <definedName name="NewPlant_3_1_1_1" hidden="1">{"ROCE Summ",#N/A,FALSE,"Property Management Exps"}</definedName>
    <definedName name="NewPlant_3_1_2" localSheetId="6" hidden="1">{"ROCE Summ",#N/A,FALSE,"Property Management Exps"}</definedName>
    <definedName name="NewPlant_3_1_2" hidden="1">{"ROCE Summ",#N/A,FALSE,"Property Management Exps"}</definedName>
    <definedName name="NewPlant_3_1_2_1" localSheetId="6" hidden="1">{"ROCE Summ",#N/A,FALSE,"Property Management Exps"}</definedName>
    <definedName name="NewPlant_3_1_2_1" hidden="1">{"ROCE Summ",#N/A,FALSE,"Property Management Exps"}</definedName>
    <definedName name="NewPlant_3_1_3" localSheetId="6" hidden="1">{"ROCE Summ",#N/A,FALSE,"Property Management Exps"}</definedName>
    <definedName name="NewPlant_3_1_3" hidden="1">{"ROCE Summ",#N/A,FALSE,"Property Management Exps"}</definedName>
    <definedName name="NewPlant_3_2" localSheetId="6" hidden="1">{"ROCE Summ",#N/A,FALSE,"Property Management Exps"}</definedName>
    <definedName name="NewPlant_3_2" hidden="1">{"ROCE Summ",#N/A,FALSE,"Property Management Exps"}</definedName>
    <definedName name="NewPlant_3_2_1" localSheetId="6" hidden="1">{"ROCE Summ",#N/A,FALSE,"Property Management Exps"}</definedName>
    <definedName name="NewPlant_3_2_1" hidden="1">{"ROCE Summ",#N/A,FALSE,"Property Management Exps"}</definedName>
    <definedName name="NewPlant_3_2_1_1" localSheetId="6" hidden="1">{"ROCE Summ",#N/A,FALSE,"Property Management Exps"}</definedName>
    <definedName name="NewPlant_3_2_1_1" hidden="1">{"ROCE Summ",#N/A,FALSE,"Property Management Exps"}</definedName>
    <definedName name="NewPlant_3_2_2" localSheetId="6" hidden="1">{"ROCE Summ",#N/A,FALSE,"Property Management Exps"}</definedName>
    <definedName name="NewPlant_3_2_2" hidden="1">{"ROCE Summ",#N/A,FALSE,"Property Management Exps"}</definedName>
    <definedName name="NewPlant_3_3" localSheetId="6" hidden="1">{"ROCE Summ",#N/A,FALSE,"Property Management Exps"}</definedName>
    <definedName name="NewPlant_3_3" hidden="1">{"ROCE Summ",#N/A,FALSE,"Property Management Exps"}</definedName>
    <definedName name="NewPlant_3_3_1" localSheetId="6" hidden="1">{"ROCE Summ",#N/A,FALSE,"Property Management Exps"}</definedName>
    <definedName name="NewPlant_3_3_1" hidden="1">{"ROCE Summ",#N/A,FALSE,"Property Management Exps"}</definedName>
    <definedName name="NewPlant_3_4" localSheetId="6" hidden="1">{"ROCE Summ",#N/A,FALSE,"Property Management Exps"}</definedName>
    <definedName name="NewPlant_3_4" hidden="1">{"ROCE Summ",#N/A,FALSE,"Property Management Exps"}</definedName>
    <definedName name="NewPlant_4" localSheetId="6" hidden="1">{"ROCE Summ",#N/A,FALSE,"Property Management Exps"}</definedName>
    <definedName name="NewPlant_4" hidden="1">{"ROCE Summ",#N/A,FALSE,"Property Management Exps"}</definedName>
    <definedName name="NewPlant_4_1" localSheetId="6" hidden="1">{"ROCE Summ",#N/A,FALSE,"Property Management Exps"}</definedName>
    <definedName name="NewPlant_4_1" hidden="1">{"ROCE Summ",#N/A,FALSE,"Property Management Exps"}</definedName>
    <definedName name="NewPlant_4_1_1" localSheetId="6" hidden="1">{"ROCE Summ",#N/A,FALSE,"Property Management Exps"}</definedName>
    <definedName name="NewPlant_4_1_1" hidden="1">{"ROCE Summ",#N/A,FALSE,"Property Management Exps"}</definedName>
    <definedName name="NewPlant_4_1_1_1" localSheetId="6" hidden="1">{"ROCE Summ",#N/A,FALSE,"Property Management Exps"}</definedName>
    <definedName name="NewPlant_4_1_1_1" hidden="1">{"ROCE Summ",#N/A,FALSE,"Property Management Exps"}</definedName>
    <definedName name="NewPlant_4_1_2" localSheetId="6" hidden="1">{"ROCE Summ",#N/A,FALSE,"Property Management Exps"}</definedName>
    <definedName name="NewPlant_4_1_2" hidden="1">{"ROCE Summ",#N/A,FALSE,"Property Management Exps"}</definedName>
    <definedName name="NewPlant_4_1_2_1" localSheetId="6" hidden="1">{"ROCE Summ",#N/A,FALSE,"Property Management Exps"}</definedName>
    <definedName name="NewPlant_4_1_2_1" hidden="1">{"ROCE Summ",#N/A,FALSE,"Property Management Exps"}</definedName>
    <definedName name="NewPlant_4_1_3" localSheetId="6" hidden="1">{"ROCE Summ",#N/A,FALSE,"Property Management Exps"}</definedName>
    <definedName name="NewPlant_4_1_3" hidden="1">{"ROCE Summ",#N/A,FALSE,"Property Management Exps"}</definedName>
    <definedName name="NewPlant_4_2" localSheetId="6" hidden="1">{"ROCE Summ",#N/A,FALSE,"Property Management Exps"}</definedName>
    <definedName name="NewPlant_4_2" hidden="1">{"ROCE Summ",#N/A,FALSE,"Property Management Exps"}</definedName>
    <definedName name="NewPlant_4_2_1" localSheetId="6" hidden="1">{"ROCE Summ",#N/A,FALSE,"Property Management Exps"}</definedName>
    <definedName name="NewPlant_4_2_1" hidden="1">{"ROCE Summ",#N/A,FALSE,"Property Management Exps"}</definedName>
    <definedName name="NewPlant_4_2_1_1" localSheetId="6" hidden="1">{"ROCE Summ",#N/A,FALSE,"Property Management Exps"}</definedName>
    <definedName name="NewPlant_4_2_1_1" hidden="1">{"ROCE Summ",#N/A,FALSE,"Property Management Exps"}</definedName>
    <definedName name="NewPlant_4_2_2" localSheetId="6" hidden="1">{"ROCE Summ",#N/A,FALSE,"Property Management Exps"}</definedName>
    <definedName name="NewPlant_4_2_2" hidden="1">{"ROCE Summ",#N/A,FALSE,"Property Management Exps"}</definedName>
    <definedName name="NewPlant_4_3" localSheetId="6" hidden="1">{"ROCE Summ",#N/A,FALSE,"Property Management Exps"}</definedName>
    <definedName name="NewPlant_4_3" hidden="1">{"ROCE Summ",#N/A,FALSE,"Property Management Exps"}</definedName>
    <definedName name="NewPlant_4_3_1" localSheetId="6" hidden="1">{"ROCE Summ",#N/A,FALSE,"Property Management Exps"}</definedName>
    <definedName name="NewPlant_4_3_1" hidden="1">{"ROCE Summ",#N/A,FALSE,"Property Management Exps"}</definedName>
    <definedName name="NewPlant_4_4" localSheetId="6" hidden="1">{"ROCE Summ",#N/A,FALSE,"Property Management Exps"}</definedName>
    <definedName name="NewPlant_4_4" hidden="1">{"ROCE Summ",#N/A,FALSE,"Property Management Exps"}</definedName>
    <definedName name="NewPlant_5" localSheetId="6" hidden="1">{"ROCE Summ",#N/A,FALSE,"Property Management Exps"}</definedName>
    <definedName name="NewPlant_5" hidden="1">{"ROCE Summ",#N/A,FALSE,"Property Management Exps"}</definedName>
    <definedName name="NewPlant_5_1" localSheetId="6" hidden="1">{"ROCE Summ",#N/A,FALSE,"Property Management Exps"}</definedName>
    <definedName name="NewPlant_5_1" hidden="1">{"ROCE Summ",#N/A,FALSE,"Property Management Exps"}</definedName>
    <definedName name="NewPlant_5_1_1" localSheetId="6" hidden="1">{"ROCE Summ",#N/A,FALSE,"Property Management Exps"}</definedName>
    <definedName name="NewPlant_5_1_1" hidden="1">{"ROCE Summ",#N/A,FALSE,"Property Management Exps"}</definedName>
    <definedName name="NewPlant_5_1_1_1" localSheetId="6" hidden="1">{"ROCE Summ",#N/A,FALSE,"Property Management Exps"}</definedName>
    <definedName name="NewPlant_5_1_1_1" hidden="1">{"ROCE Summ",#N/A,FALSE,"Property Management Exps"}</definedName>
    <definedName name="NewPlant_5_1_2" localSheetId="6" hidden="1">{"ROCE Summ",#N/A,FALSE,"Property Management Exps"}</definedName>
    <definedName name="NewPlant_5_1_2" hidden="1">{"ROCE Summ",#N/A,FALSE,"Property Management Exps"}</definedName>
    <definedName name="NewPlant_5_1_2_1" localSheetId="6" hidden="1">{"ROCE Summ",#N/A,FALSE,"Property Management Exps"}</definedName>
    <definedName name="NewPlant_5_1_2_1" hidden="1">{"ROCE Summ",#N/A,FALSE,"Property Management Exps"}</definedName>
    <definedName name="NewPlant_5_1_3" localSheetId="6" hidden="1">{"ROCE Summ",#N/A,FALSE,"Property Management Exps"}</definedName>
    <definedName name="NewPlant_5_1_3" hidden="1">{"ROCE Summ",#N/A,FALSE,"Property Management Exps"}</definedName>
    <definedName name="NewPlant_5_2" localSheetId="6" hidden="1">{"ROCE Summ",#N/A,FALSE,"Property Management Exps"}</definedName>
    <definedName name="NewPlant_5_2" hidden="1">{"ROCE Summ",#N/A,FALSE,"Property Management Exps"}</definedName>
    <definedName name="NewPlant_5_2_1" localSheetId="6" hidden="1">{"ROCE Summ",#N/A,FALSE,"Property Management Exps"}</definedName>
    <definedName name="NewPlant_5_2_1" hidden="1">{"ROCE Summ",#N/A,FALSE,"Property Management Exps"}</definedName>
    <definedName name="NewPlant_5_2_1_1" localSheetId="6" hidden="1">{"ROCE Summ",#N/A,FALSE,"Property Management Exps"}</definedName>
    <definedName name="NewPlant_5_2_1_1" hidden="1">{"ROCE Summ",#N/A,FALSE,"Property Management Exps"}</definedName>
    <definedName name="NewPlant_5_2_2" localSheetId="6" hidden="1">{"ROCE Summ",#N/A,FALSE,"Property Management Exps"}</definedName>
    <definedName name="NewPlant_5_2_2" hidden="1">{"ROCE Summ",#N/A,FALSE,"Property Management Exps"}</definedName>
    <definedName name="NewPlant_5_3" localSheetId="6" hidden="1">{"ROCE Summ",#N/A,FALSE,"Property Management Exps"}</definedName>
    <definedName name="NewPlant_5_3" hidden="1">{"ROCE Summ",#N/A,FALSE,"Property Management Exps"}</definedName>
    <definedName name="NewPlant_5_3_1" localSheetId="6" hidden="1">{"ROCE Summ",#N/A,FALSE,"Property Management Exps"}</definedName>
    <definedName name="NewPlant_5_3_1" hidden="1">{"ROCE Summ",#N/A,FALSE,"Property Management Exps"}</definedName>
    <definedName name="NewPlant_5_4" localSheetId="6" hidden="1">{"ROCE Summ",#N/A,FALSE,"Property Management Exps"}</definedName>
    <definedName name="NewPlant_5_4" hidden="1">{"ROCE Summ",#N/A,FALSE,"Property Management Exps"}</definedName>
    <definedName name="NewRange" hidden="1">#REF!</definedName>
    <definedName name="NewRules">#REF!</definedName>
    <definedName name="NewSales">#REF!</definedName>
    <definedName name="newwrn.presentation" localSheetId="0" hidden="1">{#N/A,#N/A,TRUE,"Cover";#N/A,#N/A,TRUE,"Sum";#N/A,#N/A,TRUE,"SubsRev";#N/A,#N/A,TRUE,"CapEx";#N/A,#N/A,TRUE,"OpEx";#N/A,#N/A,TRUE,"SUs";#N/A,#N/A,TRUE,"OrgChart";#N/A,#N/A,TRUE,"Staff";#N/A,#N/A,TRUE,"P&amp;L";#N/A,#N/A,TRUE,"Cash";#N/A,#N/A,TRUE,"BS";#N/A,#N/A,TRUE,"Valuation";#N/A,#N/A,TRUE,"CapEx-Assumptions";#N/A,#N/A,TRUE,"OpEx-Assumptions"}</definedName>
    <definedName name="newwrn.presentation" localSheetId="6" hidden="1">{#N/A,#N/A,TRUE,"Cover";#N/A,#N/A,TRUE,"Sum";#N/A,#N/A,TRUE,"SubsRev";#N/A,#N/A,TRUE,"CapEx";#N/A,#N/A,TRUE,"OpEx";#N/A,#N/A,TRUE,"SUs";#N/A,#N/A,TRUE,"OrgChart";#N/A,#N/A,TRUE,"Staff";#N/A,#N/A,TRUE,"P&amp;L";#N/A,#N/A,TRUE,"Cash";#N/A,#N/A,TRUE,"BS";#N/A,#N/A,TRUE,"Valuation";#N/A,#N/A,TRUE,"CapEx-Assumptions";#N/A,#N/A,TRUE,"OpEx-Assumptions"}</definedName>
    <definedName name="newwrn.presentation" hidden="1">{#N/A,#N/A,TRUE,"Cover";#N/A,#N/A,TRUE,"Sum";#N/A,#N/A,TRUE,"SubsRev";#N/A,#N/A,TRUE,"CapEx";#N/A,#N/A,TRUE,"OpEx";#N/A,#N/A,TRUE,"SUs";#N/A,#N/A,TRUE,"OrgChart";#N/A,#N/A,TRUE,"Staff";#N/A,#N/A,TRUE,"P&amp;L";#N/A,#N/A,TRUE,"Cash";#N/A,#N/A,TRUE,"BS";#N/A,#N/A,TRUE,"Valuation";#N/A,#N/A,TRUE,"CapEx-Assumptions";#N/A,#N/A,TRUE,"OpEx-Assumptions"}</definedName>
    <definedName name="NewYTD" localSheetId="0" hidden="1">{#N/A,#N/A,FALSE,"PROFIT 11-95"}</definedName>
    <definedName name="NewYTD" localSheetId="6" hidden="1">{#N/A,#N/A,FALSE,"PROFIT 11-95"}</definedName>
    <definedName name="NewYTD" hidden="1">{#N/A,#N/A,FALSE,"PROFIT 11-95"}</definedName>
    <definedName name="nfdnf" localSheetId="0" hidden="1">{#N/A,#N/A,FALSE,"Assessment";#N/A,#N/A,FALSE,"Staffing";#N/A,#N/A,FALSE,"Hires";#N/A,#N/A,FALSE,"Assumptions"}</definedName>
    <definedName name="nfdnf" localSheetId="6" hidden="1">{#N/A,#N/A,FALSE,"Assessment";#N/A,#N/A,FALSE,"Staffing";#N/A,#N/A,FALSE,"Hires";#N/A,#N/A,FALSE,"Assumptions"}</definedName>
    <definedName name="nfdnf" hidden="1">{#N/A,#N/A,FALSE,"Assessment";#N/A,#N/A,FALSE,"Staffing";#N/A,#N/A,FALSE,"Hires";#N/A,#N/A,FALSE,"Assumptions"}</definedName>
    <definedName name="nfdnf_1" localSheetId="0" hidden="1">{#N/A,#N/A,FALSE,"Assessment";#N/A,#N/A,FALSE,"Staffing";#N/A,#N/A,FALSE,"Hires";#N/A,#N/A,FALSE,"Assumptions"}</definedName>
    <definedName name="nfdnf_1" localSheetId="6" hidden="1">{#N/A,#N/A,FALSE,"Assessment";#N/A,#N/A,FALSE,"Staffing";#N/A,#N/A,FALSE,"Hires";#N/A,#N/A,FALSE,"Assumptions"}</definedName>
    <definedName name="nfdnf_1" hidden="1">{#N/A,#N/A,FALSE,"Assessment";#N/A,#N/A,FALSE,"Staffing";#N/A,#N/A,FALSE,"Hires";#N/A,#N/A,FALSE,"Assumptions"}</definedName>
    <definedName name="nfdnfd" localSheetId="0" hidden="1">{"Five Year",#N/A,FALSE,"Summary (2)";"Month 1 and Years",#N/A,FALSE,"Cash Budget"}</definedName>
    <definedName name="nfdnfd" localSheetId="6" hidden="1">{"Five Year",#N/A,FALSE,"Summary (2)";"Month 1 and Years",#N/A,FALSE,"Cash Budget"}</definedName>
    <definedName name="nfdnfd" hidden="1">{"Five Year",#N/A,FALSE,"Summary (2)";"Month 1 and Years",#N/A,FALSE,"Cash Budget"}</definedName>
    <definedName name="nfdnfd_1" localSheetId="0" hidden="1">{"Five Year",#N/A,FALSE,"Summary (2)";"Month 1 and Years",#N/A,FALSE,"Cash Budget"}</definedName>
    <definedName name="nfdnfd_1" localSheetId="6" hidden="1">{"Five Year",#N/A,FALSE,"Summary (2)";"Month 1 and Years",#N/A,FALSE,"Cash Budget"}</definedName>
    <definedName name="nfdnfd_1" hidden="1">{"Five Year",#N/A,FALSE,"Summary (2)";"Month 1 and Years",#N/A,FALSE,"Cash Budget"}</definedName>
    <definedName name="nfdnm" localSheetId="0" hidden="1">{#N/A,#N/A,FALSE,"Assessment";#N/A,#N/A,FALSE,"Staffing";#N/A,#N/A,FALSE,"Hires";#N/A,#N/A,FALSE,"Assumptions"}</definedName>
    <definedName name="nfdnm" localSheetId="6" hidden="1">{#N/A,#N/A,FALSE,"Assessment";#N/A,#N/A,FALSE,"Staffing";#N/A,#N/A,FALSE,"Hires";#N/A,#N/A,FALSE,"Assumptions"}</definedName>
    <definedName name="nfdnm" hidden="1">{#N/A,#N/A,FALSE,"Assessment";#N/A,#N/A,FALSE,"Staffing";#N/A,#N/A,FALSE,"Hires";#N/A,#N/A,FALSE,"Assumptions"}</definedName>
    <definedName name="nfdnm_1" localSheetId="0" hidden="1">{#N/A,#N/A,FALSE,"Assessment";#N/A,#N/A,FALSE,"Staffing";#N/A,#N/A,FALSE,"Hires";#N/A,#N/A,FALSE,"Assumptions"}</definedName>
    <definedName name="nfdnm_1" localSheetId="6" hidden="1">{#N/A,#N/A,FALSE,"Assessment";#N/A,#N/A,FALSE,"Staffing";#N/A,#N/A,FALSE,"Hires";#N/A,#N/A,FALSE,"Assumptions"}</definedName>
    <definedName name="nfdnm_1" hidden="1">{#N/A,#N/A,FALSE,"Assessment";#N/A,#N/A,FALSE,"Staffing";#N/A,#N/A,FALSE,"Hires";#N/A,#N/A,FALSE,"Assumptions"}</definedName>
    <definedName name="nff_array" hidden="1">#REF!</definedName>
    <definedName name="nff_col" hidden="1">#REF!</definedName>
    <definedName name="nff_hlookup" hidden="1">#REF!</definedName>
    <definedName name="nff_row" hidden="1">#REF!</definedName>
    <definedName name="nffdn" localSheetId="0" hidden="1">{#N/A,#N/A,FALSE,"Assessment";#N/A,#N/A,FALSE,"Staffing";#N/A,#N/A,FALSE,"Hires";#N/A,#N/A,FALSE,"Assumptions"}</definedName>
    <definedName name="nffdn" localSheetId="6" hidden="1">{#N/A,#N/A,FALSE,"Assessment";#N/A,#N/A,FALSE,"Staffing";#N/A,#N/A,FALSE,"Hires";#N/A,#N/A,FALSE,"Assumptions"}</definedName>
    <definedName name="nffdn" hidden="1">{#N/A,#N/A,FALSE,"Assessment";#N/A,#N/A,FALSE,"Staffing";#N/A,#N/A,FALSE,"Hires";#N/A,#N/A,FALSE,"Assumptions"}</definedName>
    <definedName name="nffdn_1" localSheetId="0" hidden="1">{#N/A,#N/A,FALSE,"Assessment";#N/A,#N/A,FALSE,"Staffing";#N/A,#N/A,FALSE,"Hires";#N/A,#N/A,FALSE,"Assumptions"}</definedName>
    <definedName name="nffdn_1" localSheetId="6" hidden="1">{#N/A,#N/A,FALSE,"Assessment";#N/A,#N/A,FALSE,"Staffing";#N/A,#N/A,FALSE,"Hires";#N/A,#N/A,FALSE,"Assumptions"}</definedName>
    <definedName name="nffdn_1" hidden="1">{#N/A,#N/A,FALSE,"Assessment";#N/A,#N/A,FALSE,"Staffing";#N/A,#N/A,FALSE,"Hires";#N/A,#N/A,FALSE,"Assumptions"}</definedName>
    <definedName name="nffsdn" localSheetId="0" hidden="1">{#N/A,#N/A,FALSE,"Assessment";#N/A,#N/A,FALSE,"Staffing";#N/A,#N/A,FALSE,"Hires";#N/A,#N/A,FALSE,"Assumptions"}</definedName>
    <definedName name="nffsdn" localSheetId="6" hidden="1">{#N/A,#N/A,FALSE,"Assessment";#N/A,#N/A,FALSE,"Staffing";#N/A,#N/A,FALSE,"Hires";#N/A,#N/A,FALSE,"Assumptions"}</definedName>
    <definedName name="nffsdn" hidden="1">{#N/A,#N/A,FALSE,"Assessment";#N/A,#N/A,FALSE,"Staffing";#N/A,#N/A,FALSE,"Hires";#N/A,#N/A,FALSE,"Assumptions"}</definedName>
    <definedName name="nffsdn_1" localSheetId="0" hidden="1">{#N/A,#N/A,FALSE,"Assessment";#N/A,#N/A,FALSE,"Staffing";#N/A,#N/A,FALSE,"Hires";#N/A,#N/A,FALSE,"Assumptions"}</definedName>
    <definedName name="nffsdn_1" localSheetId="6" hidden="1">{#N/A,#N/A,FALSE,"Assessment";#N/A,#N/A,FALSE,"Staffing";#N/A,#N/A,FALSE,"Hires";#N/A,#N/A,FALSE,"Assumptions"}</definedName>
    <definedName name="nffsdn_1" hidden="1">{#N/A,#N/A,FALSE,"Assessment";#N/A,#N/A,FALSE,"Staffing";#N/A,#N/A,FALSE,"Hires";#N/A,#N/A,FALSE,"Assumptions"}</definedName>
    <definedName name="nggfnf" localSheetId="0" hidden="1">{#N/A,#N/A,FALSE,"Assessment";#N/A,#N/A,FALSE,"Staffing";#N/A,#N/A,FALSE,"Hires";#N/A,#N/A,FALSE,"Assumptions"}</definedName>
    <definedName name="nggfnf" localSheetId="6" hidden="1">{#N/A,#N/A,FALSE,"Assessment";#N/A,#N/A,FALSE,"Staffing";#N/A,#N/A,FALSE,"Hires";#N/A,#N/A,FALSE,"Assumptions"}</definedName>
    <definedName name="nggfnf" hidden="1">{#N/A,#N/A,FALSE,"Assessment";#N/A,#N/A,FALSE,"Staffing";#N/A,#N/A,FALSE,"Hires";#N/A,#N/A,FALSE,"Assumptions"}</definedName>
    <definedName name="nggfnf_1" localSheetId="0" hidden="1">{#N/A,#N/A,FALSE,"Assessment";#N/A,#N/A,FALSE,"Staffing";#N/A,#N/A,FALSE,"Hires";#N/A,#N/A,FALSE,"Assumptions"}</definedName>
    <definedName name="nggfnf_1" localSheetId="6" hidden="1">{#N/A,#N/A,FALSE,"Assessment";#N/A,#N/A,FALSE,"Staffing";#N/A,#N/A,FALSE,"Hires";#N/A,#N/A,FALSE,"Assumptions"}</definedName>
    <definedName name="nggfnf_1" hidden="1">{#N/A,#N/A,FALSE,"Assessment";#N/A,#N/A,FALSE,"Staffing";#N/A,#N/A,FALSE,"Hires";#N/A,#N/A,FALSE,"Assumptions"}</definedName>
    <definedName name="NGN" hidden="1">#REF!</definedName>
    <definedName name="NHTMLcontrol" localSheetId="0" hidden="1">{"'Projection USA'!$A$2:$M$191"}</definedName>
    <definedName name="NHTMLcontrol" localSheetId="6" hidden="1">{"'Projection USA'!$A$2:$M$191"}</definedName>
    <definedName name="NHTMLcontrol" hidden="1">{"'Projection USA'!$A$2:$M$191"}</definedName>
    <definedName name="Nicholas" localSheetId="6" hidden="1">{#N/A,#N/A,FALSE,"Results_1995"}</definedName>
    <definedName name="Nicholas" hidden="1">{#N/A,#N/A,FALSE,"Results_1995"}</definedName>
    <definedName name="niklas" hidden="1">#REF!</definedName>
    <definedName name="nit" localSheetId="0" hidden="1">{#N/A,#N/A,FALSE,"Tabl. D1";#N/A,#N/A,FALSE,"Tabl. D1 b";#N/A,#N/A,FALSE,"Tabl. D2";#N/A,#N/A,FALSE,"Tabl. D2 b";#N/A,#N/A,FALSE,"Tabl. D3";#N/A,#N/A,FALSE,"Tabl. D4";#N/A,#N/A,FALSE,"Tabl. D5"}</definedName>
    <definedName name="nit" localSheetId="6" hidden="1">{#N/A,#N/A,FALSE,"Tabl. D1";#N/A,#N/A,FALSE,"Tabl. D1 b";#N/A,#N/A,FALSE,"Tabl. D2";#N/A,#N/A,FALSE,"Tabl. D2 b";#N/A,#N/A,FALSE,"Tabl. D3";#N/A,#N/A,FALSE,"Tabl. D4";#N/A,#N/A,FALSE,"Tabl. D5"}</definedName>
    <definedName name="nit" hidden="1">{#N/A,#N/A,FALSE,"Tabl. D1";#N/A,#N/A,FALSE,"Tabl. D1 b";#N/A,#N/A,FALSE,"Tabl. D2";#N/A,#N/A,FALSE,"Tabl. D2 b";#N/A,#N/A,FALSE,"Tabl. D3";#N/A,#N/A,FALSE,"Tabl. D4";#N/A,#N/A,FALSE,"Tabl. D5"}</definedName>
    <definedName name="nitru" localSheetId="0" hidden="1">{#N/A,#N/A,FALSE,"Tabl. G1";#N/A,#N/A,FALSE,"Tabl. G2"}</definedName>
    <definedName name="nitru" localSheetId="6" hidden="1">{#N/A,#N/A,FALSE,"Tabl. G1";#N/A,#N/A,FALSE,"Tabl. G2"}</definedName>
    <definedName name="nitru" hidden="1">{#N/A,#N/A,FALSE,"Tabl. G1";#N/A,#N/A,FALSE,"Tabl. G2"}</definedName>
    <definedName name="NLBO">#REF!</definedName>
    <definedName name="NMCMNCF" localSheetId="6" hidden="1">{#N/A,#N/A,FALSE,"Spo Ole";#N/A,#N/A,FALSE,"Spool";#N/A,#N/A,FALSE,"AMP OT Diffs";#N/A,#N/A,FALSE,"Other OT Diffs ";#N/A,#N/A,FALSE,"Spend Diffs"}</definedName>
    <definedName name="NMCMNCF" hidden="1">{#N/A,#N/A,FALSE,"Spo Ole";#N/A,#N/A,FALSE,"Spool";#N/A,#N/A,FALSE,"AMP OT Diffs";#N/A,#N/A,FALSE,"Other OT Diffs ";#N/A,#N/A,FALSE,"Spend Diffs"}</definedName>
    <definedName name="NMDCCNNM" localSheetId="6" hidden="1">{"outturn",#N/A,TRUE,"HCA";#N/A,#N/A,TRUE,"HCA Summary";#N/A,#N/A,TRUE,"Operating ratio graphs";"Profit and loss",#N/A,TRUE,"HCA"}</definedName>
    <definedName name="NMDCCNNM" hidden="1">{"outturn",#N/A,TRUE,"HCA";#N/A,#N/A,TRUE,"HCA Summary";#N/A,#N/A,TRUE,"Operating ratio graphs";"Profit and loss",#N/A,TRUE,"HCA"}</definedName>
    <definedName name="nn"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nn"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nn"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nnn" localSheetId="0" hidden="1">{"sch31",#N/A,FALSE,"MI";"sch31a",#N/A,FALSE,"MI"}</definedName>
    <definedName name="nnn" localSheetId="6" hidden="1">{"sch31",#N/A,FALSE,"MI";"sch31a",#N/A,FALSE,"MI"}</definedName>
    <definedName name="nnn" hidden="1">{"sch31",#N/A,FALSE,"MI";"sch31a",#N/A,FALSE,"MI"}</definedName>
    <definedName name="nnn_1" localSheetId="0" hidden="1">{"sch31",#N/A,FALSE,"MI";"sch31a",#N/A,FALSE,"MI"}</definedName>
    <definedName name="nnn_1" localSheetId="6" hidden="1">{"sch31",#N/A,FALSE,"MI";"sch31a",#N/A,FALSE,"MI"}</definedName>
    <definedName name="nnn_1" hidden="1">{"sch31",#N/A,FALSE,"MI";"sch31a",#N/A,FALSE,"MI"}</definedName>
    <definedName name="nnnn" localSheetId="0" hidden="1">{"Graphic",#N/A,TRUE,"Graphic"}</definedName>
    <definedName name="nnnn" localSheetId="6" hidden="1">{"Graphic",#N/A,TRUE,"Graphic"}</definedName>
    <definedName name="nnnn" hidden="1">{"Graphic",#N/A,TRUE,"Graphic"}</definedName>
    <definedName name="nnnn_1" localSheetId="0" hidden="1">{"Graphic",#N/A,TRUE,"Graphic"}</definedName>
    <definedName name="nnnn_1" localSheetId="6" hidden="1">{"Graphic",#N/A,TRUE,"Graphic"}</definedName>
    <definedName name="nnnn_1" hidden="1">{"Graphic",#N/A,TRUE,"Graphic"}</definedName>
    <definedName name="nnnnn_1" localSheetId="6" hidden="1">{#N/A,#N/A,FALSE,"SumG";#N/A,#N/A,FALSE,"ElecG";#N/A,#N/A,FALSE,"MechG";#N/A,#N/A,FALSE,"GeotG";#N/A,#N/A,FALSE,"PrcsG";#N/A,#N/A,FALSE,"TunnG";#N/A,#N/A,FALSE,"CivlG";#N/A,#N/A,FALSE,"NtwkG";#N/A,#N/A,FALSE,"EstgG";#N/A,#N/A,FALSE,"PEngG"}</definedName>
    <definedName name="nnnnn_1" hidden="1">{#N/A,#N/A,FALSE,"SumG";#N/A,#N/A,FALSE,"ElecG";#N/A,#N/A,FALSE,"MechG";#N/A,#N/A,FALSE,"GeotG";#N/A,#N/A,FALSE,"PrcsG";#N/A,#N/A,FALSE,"TunnG";#N/A,#N/A,FALSE,"CivlG";#N/A,#N/A,FALSE,"NtwkG";#N/A,#N/A,FALSE,"EstgG";#N/A,#N/A,FALSE,"PEngG"}</definedName>
    <definedName name="nnnnnnnnnnnnn" localSheetId="0" hidden="1">{#N/A,#N/A,FALSE,"Assessment";#N/A,#N/A,FALSE,"Staffing";#N/A,#N/A,FALSE,"Hires";#N/A,#N/A,FALSE,"Assumptions"}</definedName>
    <definedName name="nnnnnnnnnnnnn" localSheetId="6" hidden="1">{#N/A,#N/A,FALSE,"Assessment";#N/A,#N/A,FALSE,"Staffing";#N/A,#N/A,FALSE,"Hires";#N/A,#N/A,FALSE,"Assumptions"}</definedName>
    <definedName name="nnnnnnnnnnnnn" hidden="1">{#N/A,#N/A,FALSE,"Assessment";#N/A,#N/A,FALSE,"Staffing";#N/A,#N/A,FALSE,"Hires";#N/A,#N/A,FALSE,"Assumptions"}</definedName>
    <definedName name="nnnnnnnnnnnnn_1" localSheetId="0" hidden="1">{#N/A,#N/A,FALSE,"Assessment";#N/A,#N/A,FALSE,"Staffing";#N/A,#N/A,FALSE,"Hires";#N/A,#N/A,FALSE,"Assumptions"}</definedName>
    <definedName name="nnnnnnnnnnnnn_1" localSheetId="6" hidden="1">{#N/A,#N/A,FALSE,"Assessment";#N/A,#N/A,FALSE,"Staffing";#N/A,#N/A,FALSE,"Hires";#N/A,#N/A,FALSE,"Assumptions"}</definedName>
    <definedName name="nnnnnnnnnnnnn_1" hidden="1">{#N/A,#N/A,FALSE,"Assessment";#N/A,#N/A,FALSE,"Staffing";#N/A,#N/A,FALSE,"Hires";#N/A,#N/A,FALSE,"Assumptions"}</definedName>
    <definedName name="nnnnnnnnnnnnnnnn" localSheetId="0" hidden="1">{#N/A,#N/A,FALSE,"Assessment";#N/A,#N/A,FALSE,"Staffing";#N/A,#N/A,FALSE,"Hires";#N/A,#N/A,FALSE,"Assumptions"}</definedName>
    <definedName name="nnnnnnnnnnnnnnnn" localSheetId="6" hidden="1">{#N/A,#N/A,FALSE,"Assessment";#N/A,#N/A,FALSE,"Staffing";#N/A,#N/A,FALSE,"Hires";#N/A,#N/A,FALSE,"Assumptions"}</definedName>
    <definedName name="nnnnnnnnnnnnnnnn" hidden="1">{#N/A,#N/A,FALSE,"Assessment";#N/A,#N/A,FALSE,"Staffing";#N/A,#N/A,FALSE,"Hires";#N/A,#N/A,FALSE,"Assumptions"}</definedName>
    <definedName name="nnnnnnnnnnnnnnnn_1" localSheetId="0" hidden="1">{#N/A,#N/A,FALSE,"Assessment";#N/A,#N/A,FALSE,"Staffing";#N/A,#N/A,FALSE,"Hires";#N/A,#N/A,FALSE,"Assumptions"}</definedName>
    <definedName name="nnnnnnnnnnnnnnnn_1" localSheetId="6" hidden="1">{#N/A,#N/A,FALSE,"Assessment";#N/A,#N/A,FALSE,"Staffing";#N/A,#N/A,FALSE,"Hires";#N/A,#N/A,FALSE,"Assumptions"}</definedName>
    <definedName name="nnnnnnnnnnnnnnnn_1" hidden="1">{#N/A,#N/A,FALSE,"Assessment";#N/A,#N/A,FALSE,"Staffing";#N/A,#N/A,FALSE,"Hires";#N/A,#N/A,FALSE,"Assumptions"}</definedName>
    <definedName name="nnnnnnnnnnnnnnnnhy" localSheetId="0" hidden="1">{#N/A,#N/A,FALSE,"Assessment";#N/A,#N/A,FALSE,"Staffing";#N/A,#N/A,FALSE,"Hires";#N/A,#N/A,FALSE,"Assumptions"}</definedName>
    <definedName name="nnnnnnnnnnnnnnnnhy" localSheetId="6" hidden="1">{#N/A,#N/A,FALSE,"Assessment";#N/A,#N/A,FALSE,"Staffing";#N/A,#N/A,FALSE,"Hires";#N/A,#N/A,FALSE,"Assumptions"}</definedName>
    <definedName name="nnnnnnnnnnnnnnnnhy" hidden="1">{#N/A,#N/A,FALSE,"Assessment";#N/A,#N/A,FALSE,"Staffing";#N/A,#N/A,FALSE,"Hires";#N/A,#N/A,FALSE,"Assumptions"}</definedName>
    <definedName name="nnnnnnnnnnnnnnnnhy_1" localSheetId="0" hidden="1">{#N/A,#N/A,FALSE,"Assessment";#N/A,#N/A,FALSE,"Staffing";#N/A,#N/A,FALSE,"Hires";#N/A,#N/A,FALSE,"Assumptions"}</definedName>
    <definedName name="nnnnnnnnnnnnnnnnhy_1" localSheetId="6" hidden="1">{#N/A,#N/A,FALSE,"Assessment";#N/A,#N/A,FALSE,"Staffing";#N/A,#N/A,FALSE,"Hires";#N/A,#N/A,FALSE,"Assumptions"}</definedName>
    <definedName name="nnnnnnnnnnnnnnnnhy_1" hidden="1">{#N/A,#N/A,FALSE,"Assessment";#N/A,#N/A,FALSE,"Staffing";#N/A,#N/A,FALSE,"Hires";#N/A,#N/A,FALSE,"Assumptions"}</definedName>
    <definedName name="nnnnnnnnnnnnnnnnn" localSheetId="0" hidden="1">{#N/A,#N/A,FALSE,"Assessment";#N/A,#N/A,FALSE,"Staffing";#N/A,#N/A,FALSE,"Hires";#N/A,#N/A,FALSE,"Assumptions"}</definedName>
    <definedName name="nnnnnnnnnnnnnnnnn" localSheetId="6" hidden="1">{#N/A,#N/A,FALSE,"Assessment";#N/A,#N/A,FALSE,"Staffing";#N/A,#N/A,FALSE,"Hires";#N/A,#N/A,FALSE,"Assumptions"}</definedName>
    <definedName name="nnnnnnnnnnnnnnnnn" hidden="1">{#N/A,#N/A,FALSE,"Assessment";#N/A,#N/A,FALSE,"Staffing";#N/A,#N/A,FALSE,"Hires";#N/A,#N/A,FALSE,"Assumptions"}</definedName>
    <definedName name="nnnnnnnnnnnnnnnnn_1" localSheetId="0" hidden="1">{#N/A,#N/A,FALSE,"Assessment";#N/A,#N/A,FALSE,"Staffing";#N/A,#N/A,FALSE,"Hires";#N/A,#N/A,FALSE,"Assumptions"}</definedName>
    <definedName name="nnnnnnnnnnnnnnnnn_1" localSheetId="6" hidden="1">{#N/A,#N/A,FALSE,"Assessment";#N/A,#N/A,FALSE,"Staffing";#N/A,#N/A,FALSE,"Hires";#N/A,#N/A,FALSE,"Assumptions"}</definedName>
    <definedName name="nnnnnnnnnnnnnnnnn_1" hidden="1">{#N/A,#N/A,FALSE,"Assessment";#N/A,#N/A,FALSE,"Staffing";#N/A,#N/A,FALSE,"Hires";#N/A,#N/A,FALSE,"Assumptions"}</definedName>
    <definedName name="nnnnnnnnnnnnnnnnnn" localSheetId="0" hidden="1">{#N/A,#N/A,FALSE,"Assessment";#N/A,#N/A,FALSE,"Staffing";#N/A,#N/A,FALSE,"Hires";#N/A,#N/A,FALSE,"Assumptions"}</definedName>
    <definedName name="nnnnnnnnnnnnnnnnnn" localSheetId="6" hidden="1">{#N/A,#N/A,FALSE,"Assessment";#N/A,#N/A,FALSE,"Staffing";#N/A,#N/A,FALSE,"Hires";#N/A,#N/A,FALSE,"Assumptions"}</definedName>
    <definedName name="nnnnnnnnnnnnnnnnnn" hidden="1">{#N/A,#N/A,FALSE,"Assessment";#N/A,#N/A,FALSE,"Staffing";#N/A,#N/A,FALSE,"Hires";#N/A,#N/A,FALSE,"Assumptions"}</definedName>
    <definedName name="nnnnnnnnnnnnnnnnnn_1" localSheetId="0" hidden="1">{#N/A,#N/A,FALSE,"Assessment";#N/A,#N/A,FALSE,"Staffing";#N/A,#N/A,FALSE,"Hires";#N/A,#N/A,FALSE,"Assumptions"}</definedName>
    <definedName name="nnnnnnnnnnnnnnnnnn_1" localSheetId="6" hidden="1">{#N/A,#N/A,FALSE,"Assessment";#N/A,#N/A,FALSE,"Staffing";#N/A,#N/A,FALSE,"Hires";#N/A,#N/A,FALSE,"Assumptions"}</definedName>
    <definedName name="nnnnnnnnnnnnnnnnnn_1" hidden="1">{#N/A,#N/A,FALSE,"Assessment";#N/A,#N/A,FALSE,"Staffing";#N/A,#N/A,FALSE,"Hires";#N/A,#N/A,FALSE,"Assumptions"}</definedName>
    <definedName name="nnnnnnnnnnnnnnnnnnj" localSheetId="0" hidden="1">{#N/A,#N/A,FALSE,"Assessment";#N/A,#N/A,FALSE,"Staffing";#N/A,#N/A,FALSE,"Hires";#N/A,#N/A,FALSE,"Assumptions"}</definedName>
    <definedName name="nnnnnnnnnnnnnnnnnnj" localSheetId="6" hidden="1">{#N/A,#N/A,FALSE,"Assessment";#N/A,#N/A,FALSE,"Staffing";#N/A,#N/A,FALSE,"Hires";#N/A,#N/A,FALSE,"Assumptions"}</definedName>
    <definedName name="nnnnnnnnnnnnnnnnnnj" hidden="1">{#N/A,#N/A,FALSE,"Assessment";#N/A,#N/A,FALSE,"Staffing";#N/A,#N/A,FALSE,"Hires";#N/A,#N/A,FALSE,"Assumptions"}</definedName>
    <definedName name="nnnnnnnnnnnnnnnnnnj_1" localSheetId="0" hidden="1">{#N/A,#N/A,FALSE,"Assessment";#N/A,#N/A,FALSE,"Staffing";#N/A,#N/A,FALSE,"Hires";#N/A,#N/A,FALSE,"Assumptions"}</definedName>
    <definedName name="nnnnnnnnnnnnnnnnnnj_1" localSheetId="6" hidden="1">{#N/A,#N/A,FALSE,"Assessment";#N/A,#N/A,FALSE,"Staffing";#N/A,#N/A,FALSE,"Hires";#N/A,#N/A,FALSE,"Assumptions"}</definedName>
    <definedName name="nnnnnnnnnnnnnnnnnnj_1" hidden="1">{#N/A,#N/A,FALSE,"Assessment";#N/A,#N/A,FALSE,"Staffing";#N/A,#N/A,FALSE,"Hires";#N/A,#N/A,FALSE,"Assumptions"}</definedName>
    <definedName name="nnnnnnnnnnnnnnnnnnnnnnnnnnn" localSheetId="0" hidden="1">{"Five Year",#N/A,FALSE,"Summary (2)";"Month 1 and Years",#N/A,FALSE,"Cash Budget"}</definedName>
    <definedName name="nnnnnnnnnnnnnnnnnnnnnnnnnnn" localSheetId="6" hidden="1">{"Five Year",#N/A,FALSE,"Summary (2)";"Month 1 and Years",#N/A,FALSE,"Cash Budget"}</definedName>
    <definedName name="nnnnnnnnnnnnnnnnnnnnnnnnnnn" hidden="1">{"Five Year",#N/A,FALSE,"Summary (2)";"Month 1 and Years",#N/A,FALSE,"Cash Budget"}</definedName>
    <definedName name="nnnnnnnnnnnnnnnnnnnnnnnnnnn_1" localSheetId="0" hidden="1">{"Five Year",#N/A,FALSE,"Summary (2)";"Month 1 and Years",#N/A,FALSE,"Cash Budget"}</definedName>
    <definedName name="nnnnnnnnnnnnnnnnnnnnnnnnnnn_1" localSheetId="6" hidden="1">{"Five Year",#N/A,FALSE,"Summary (2)";"Month 1 and Years",#N/A,FALSE,"Cash Budget"}</definedName>
    <definedName name="nnnnnnnnnnnnnnnnnnnnnnnnnnn_1" hidden="1">{"Five Year",#N/A,FALSE,"Summary (2)";"Month 1 and Years",#N/A,FALSE,"Cash Budget"}</definedName>
    <definedName name="nnnnnnnnnnnnnnnnnnnnnnnnnnnnn" localSheetId="0" hidden="1">{#N/A,#N/A,FALSE,"Assessment";#N/A,#N/A,FALSE,"Staffing";#N/A,#N/A,FALSE,"Hires";#N/A,#N/A,FALSE,"Assumptions"}</definedName>
    <definedName name="nnnnnnnnnnnnnnnnnnnnnnnnnnnnn" localSheetId="6" hidden="1">{#N/A,#N/A,FALSE,"Assessment";#N/A,#N/A,FALSE,"Staffing";#N/A,#N/A,FALSE,"Hires";#N/A,#N/A,FALSE,"Assumptions"}</definedName>
    <definedName name="nnnnnnnnnnnnnnnnnnnnnnnnnnnnn" hidden="1">{#N/A,#N/A,FALSE,"Assessment";#N/A,#N/A,FALSE,"Staffing";#N/A,#N/A,FALSE,"Hires";#N/A,#N/A,FALSE,"Assumptions"}</definedName>
    <definedName name="nnnnnnnnnnnnnnnnnnnnnnnnnnnnn_1" localSheetId="0" hidden="1">{#N/A,#N/A,FALSE,"Assessment";#N/A,#N/A,FALSE,"Staffing";#N/A,#N/A,FALSE,"Hires";#N/A,#N/A,FALSE,"Assumptions"}</definedName>
    <definedName name="nnnnnnnnnnnnnnnnnnnnnnnnnnnnn_1" localSheetId="6" hidden="1">{#N/A,#N/A,FALSE,"Assessment";#N/A,#N/A,FALSE,"Staffing";#N/A,#N/A,FALSE,"Hires";#N/A,#N/A,FALSE,"Assumptions"}</definedName>
    <definedName name="nnnnnnnnnnnnnnnnnnnnnnnnnnnnn_1" hidden="1">{#N/A,#N/A,FALSE,"Assessment";#N/A,#N/A,FALSE,"Staffing";#N/A,#N/A,FALSE,"Hires";#N/A,#N/A,FALSE,"Assumptions"}</definedName>
    <definedName name="nnnnnnnnnnnnnnnnnnnnnnnnnnnnnn" localSheetId="0" hidden="1">{#N/A,#N/A,FALSE,"Assessment";#N/A,#N/A,FALSE,"Staffing";#N/A,#N/A,FALSE,"Hires";#N/A,#N/A,FALSE,"Assumptions"}</definedName>
    <definedName name="nnnnnnnnnnnnnnnnnnnnnnnnnnnnnn" localSheetId="6" hidden="1">{#N/A,#N/A,FALSE,"Assessment";#N/A,#N/A,FALSE,"Staffing";#N/A,#N/A,FALSE,"Hires";#N/A,#N/A,FALSE,"Assumptions"}</definedName>
    <definedName name="nnnnnnnnnnnnnnnnnnnnnnnnnnnnnn" hidden="1">{#N/A,#N/A,FALSE,"Assessment";#N/A,#N/A,FALSE,"Staffing";#N/A,#N/A,FALSE,"Hires";#N/A,#N/A,FALSE,"Assumptions"}</definedName>
    <definedName name="nnnnnnnnnnnnnnnnnnnnnnnnnnnnnn_1" localSheetId="0" hidden="1">{#N/A,#N/A,FALSE,"Assessment";#N/A,#N/A,FALSE,"Staffing";#N/A,#N/A,FALSE,"Hires";#N/A,#N/A,FALSE,"Assumptions"}</definedName>
    <definedName name="nnnnnnnnnnnnnnnnnnnnnnnnnnnnnn_1" localSheetId="6" hidden="1">{#N/A,#N/A,FALSE,"Assessment";#N/A,#N/A,FALSE,"Staffing";#N/A,#N/A,FALSE,"Hires";#N/A,#N/A,FALSE,"Assumptions"}</definedName>
    <definedName name="nnnnnnnnnnnnnnnnnnnnnnnnnnnnnn_1" hidden="1">{#N/A,#N/A,FALSE,"Assessment";#N/A,#N/A,FALSE,"Staffing";#N/A,#N/A,FALSE,"Hires";#N/A,#N/A,FALSE,"Assumptions"}</definedName>
    <definedName name="nnnnnnnnnnnnnnnnnnnnnnnnnnnnnnnn" localSheetId="0" hidden="1">{#N/A,#N/A,FALSE,"Assessment";#N/A,#N/A,FALSE,"Staffing";#N/A,#N/A,FALSE,"Hires";#N/A,#N/A,FALSE,"Assumptions"}</definedName>
    <definedName name="nnnnnnnnnnnnnnnnnnnnnnnnnnnnnnnn" localSheetId="6" hidden="1">{#N/A,#N/A,FALSE,"Assessment";#N/A,#N/A,FALSE,"Staffing";#N/A,#N/A,FALSE,"Hires";#N/A,#N/A,FALSE,"Assumptions"}</definedName>
    <definedName name="nnnnnnnnnnnnnnnnnnnnnnnnnnnnnnnn" hidden="1">{#N/A,#N/A,FALSE,"Assessment";#N/A,#N/A,FALSE,"Staffing";#N/A,#N/A,FALSE,"Hires";#N/A,#N/A,FALSE,"Assumptions"}</definedName>
    <definedName name="nnnnnnnnnnnnnnnnnnnnnnnnnnnnnnnn_1" localSheetId="0" hidden="1">{#N/A,#N/A,FALSE,"Assessment";#N/A,#N/A,FALSE,"Staffing";#N/A,#N/A,FALSE,"Hires";#N/A,#N/A,FALSE,"Assumptions"}</definedName>
    <definedName name="nnnnnnnnnnnnnnnnnnnnnnnnnnnnnnnn_1" localSheetId="6" hidden="1">{#N/A,#N/A,FALSE,"Assessment";#N/A,#N/A,FALSE,"Staffing";#N/A,#N/A,FALSE,"Hires";#N/A,#N/A,FALSE,"Assumptions"}</definedName>
    <definedName name="nnnnnnnnnnnnnnnnnnnnnnnnnnnnnnnn_1" hidden="1">{#N/A,#N/A,FALSE,"Assessment";#N/A,#N/A,FALSE,"Staffing";#N/A,#N/A,FALSE,"Hires";#N/A,#N/A,FALSE,"Assumptions"}</definedName>
    <definedName name="nnnnnnnnnnnnnnnnnnnnnnnnnnnnt" localSheetId="0" hidden="1">{#N/A,#N/A,FALSE,"Assessment";#N/A,#N/A,FALSE,"Staffing";#N/A,#N/A,FALSE,"Hires";#N/A,#N/A,FALSE,"Assumptions"}</definedName>
    <definedName name="nnnnnnnnnnnnnnnnnnnnnnnnnnnnt" localSheetId="6" hidden="1">{#N/A,#N/A,FALSE,"Assessment";#N/A,#N/A,FALSE,"Staffing";#N/A,#N/A,FALSE,"Hires";#N/A,#N/A,FALSE,"Assumptions"}</definedName>
    <definedName name="nnnnnnnnnnnnnnnnnnnnnnnnnnnnt" hidden="1">{#N/A,#N/A,FALSE,"Assessment";#N/A,#N/A,FALSE,"Staffing";#N/A,#N/A,FALSE,"Hires";#N/A,#N/A,FALSE,"Assumptions"}</definedName>
    <definedName name="nnnnnnnnnnnnnnnnnnnnnnnnnnnnt_1" localSheetId="0" hidden="1">{#N/A,#N/A,FALSE,"Assessment";#N/A,#N/A,FALSE,"Staffing";#N/A,#N/A,FALSE,"Hires";#N/A,#N/A,FALSE,"Assumptions"}</definedName>
    <definedName name="nnnnnnnnnnnnnnnnnnnnnnnnnnnnt_1" localSheetId="6" hidden="1">{#N/A,#N/A,FALSE,"Assessment";#N/A,#N/A,FALSE,"Staffing";#N/A,#N/A,FALSE,"Hires";#N/A,#N/A,FALSE,"Assumptions"}</definedName>
    <definedName name="nnnnnnnnnnnnnnnnnnnnnnnnnnnnt_1" hidden="1">{#N/A,#N/A,FALSE,"Assessment";#N/A,#N/A,FALSE,"Staffing";#N/A,#N/A,FALSE,"Hires";#N/A,#N/A,FALSE,"Assumptions"}</definedName>
    <definedName name="nnnnnnnnnnnnnnnnnnnnnnnnnt" localSheetId="0" hidden="1">{#N/A,#N/A,FALSE,"Assessment";#N/A,#N/A,FALSE,"Staffing";#N/A,#N/A,FALSE,"Hires";#N/A,#N/A,FALSE,"Assumptions"}</definedName>
    <definedName name="nnnnnnnnnnnnnnnnnnnnnnnnnt" localSheetId="6" hidden="1">{#N/A,#N/A,FALSE,"Assessment";#N/A,#N/A,FALSE,"Staffing";#N/A,#N/A,FALSE,"Hires";#N/A,#N/A,FALSE,"Assumptions"}</definedName>
    <definedName name="nnnnnnnnnnnnnnnnnnnnnnnnnt" hidden="1">{#N/A,#N/A,FALSE,"Assessment";#N/A,#N/A,FALSE,"Staffing";#N/A,#N/A,FALSE,"Hires";#N/A,#N/A,FALSE,"Assumptions"}</definedName>
    <definedName name="nnnnnnnnnnnnnnnnnnnnnnnnnt_1" localSheetId="0" hidden="1">{#N/A,#N/A,FALSE,"Assessment";#N/A,#N/A,FALSE,"Staffing";#N/A,#N/A,FALSE,"Hires";#N/A,#N/A,FALSE,"Assumptions"}</definedName>
    <definedName name="nnnnnnnnnnnnnnnnnnnnnnnnnt_1" localSheetId="6" hidden="1">{#N/A,#N/A,FALSE,"Assessment";#N/A,#N/A,FALSE,"Staffing";#N/A,#N/A,FALSE,"Hires";#N/A,#N/A,FALSE,"Assumptions"}</definedName>
    <definedName name="nnnnnnnnnnnnnnnnnnnnnnnnnt_1" hidden="1">{#N/A,#N/A,FALSE,"Assessment";#N/A,#N/A,FALSE,"Staffing";#N/A,#N/A,FALSE,"Hires";#N/A,#N/A,FALSE,"Assumptions"}</definedName>
    <definedName name="nnnnnnnnnnnnnnnnnnnnnnnnt" localSheetId="0" hidden="1">{#N/A,#N/A,FALSE,"Assessment";#N/A,#N/A,FALSE,"Staffing";#N/A,#N/A,FALSE,"Hires";#N/A,#N/A,FALSE,"Assumptions"}</definedName>
    <definedName name="nnnnnnnnnnnnnnnnnnnnnnnnt" localSheetId="6" hidden="1">{#N/A,#N/A,FALSE,"Assessment";#N/A,#N/A,FALSE,"Staffing";#N/A,#N/A,FALSE,"Hires";#N/A,#N/A,FALSE,"Assumptions"}</definedName>
    <definedName name="nnnnnnnnnnnnnnnnnnnnnnnnt" hidden="1">{#N/A,#N/A,FALSE,"Assessment";#N/A,#N/A,FALSE,"Staffing";#N/A,#N/A,FALSE,"Hires";#N/A,#N/A,FALSE,"Assumptions"}</definedName>
    <definedName name="nnnnnnnnnnnnnnnnnnnnnnnnt_1" localSheetId="0" hidden="1">{#N/A,#N/A,FALSE,"Assessment";#N/A,#N/A,FALSE,"Staffing";#N/A,#N/A,FALSE,"Hires";#N/A,#N/A,FALSE,"Assumptions"}</definedName>
    <definedName name="nnnnnnnnnnnnnnnnnnnnnnnnt_1" localSheetId="6" hidden="1">{#N/A,#N/A,FALSE,"Assessment";#N/A,#N/A,FALSE,"Staffing";#N/A,#N/A,FALSE,"Hires";#N/A,#N/A,FALSE,"Assumptions"}</definedName>
    <definedName name="nnnnnnnnnnnnnnnnnnnnnnnnt_1" hidden="1">{#N/A,#N/A,FALSE,"Assessment";#N/A,#N/A,FALSE,"Staffing";#N/A,#N/A,FALSE,"Hires";#N/A,#N/A,FALSE,"Assumptions"}</definedName>
    <definedName name="nnnnnnnnnnnnnnnnnnnnnnt" localSheetId="0" hidden="1">{"Five Year",#N/A,FALSE,"Summary (2)";"Month 1 and Years",#N/A,FALSE,"Cash Budget"}</definedName>
    <definedName name="nnnnnnnnnnnnnnnnnnnnnnt" localSheetId="6" hidden="1">{"Five Year",#N/A,FALSE,"Summary (2)";"Month 1 and Years",#N/A,FALSE,"Cash Budget"}</definedName>
    <definedName name="nnnnnnnnnnnnnnnnnnnnnnt" hidden="1">{"Five Year",#N/A,FALSE,"Summary (2)";"Month 1 and Years",#N/A,FALSE,"Cash Budget"}</definedName>
    <definedName name="nnnnnnnnnnnnnnnnnnnnnnt_1" localSheetId="0" hidden="1">{"Five Year",#N/A,FALSE,"Summary (2)";"Month 1 and Years",#N/A,FALSE,"Cash Budget"}</definedName>
    <definedName name="nnnnnnnnnnnnnnnnnnnnnnt_1" localSheetId="6" hidden="1">{"Five Year",#N/A,FALSE,"Summary (2)";"Month 1 and Years",#N/A,FALSE,"Cash Budget"}</definedName>
    <definedName name="nnnnnnnnnnnnnnnnnnnnnnt_1" hidden="1">{"Five Year",#N/A,FALSE,"Summary (2)";"Month 1 and Years",#N/A,FALSE,"Cash Budget"}</definedName>
    <definedName name="nnnntn" localSheetId="0" hidden="1">{#N/A,#N/A,FALSE,"Assessment";#N/A,#N/A,FALSE,"Staffing";#N/A,#N/A,FALSE,"Hires";#N/A,#N/A,FALSE,"Assumptions"}</definedName>
    <definedName name="nnnntn" localSheetId="6" hidden="1">{#N/A,#N/A,FALSE,"Assessment";#N/A,#N/A,FALSE,"Staffing";#N/A,#N/A,FALSE,"Hires";#N/A,#N/A,FALSE,"Assumptions"}</definedName>
    <definedName name="nnnntn" hidden="1">{#N/A,#N/A,FALSE,"Assessment";#N/A,#N/A,FALSE,"Staffing";#N/A,#N/A,FALSE,"Hires";#N/A,#N/A,FALSE,"Assumptions"}</definedName>
    <definedName name="nnnntn_1" localSheetId="0" hidden="1">{#N/A,#N/A,FALSE,"Assessment";#N/A,#N/A,FALSE,"Staffing";#N/A,#N/A,FALSE,"Hires";#N/A,#N/A,FALSE,"Assumptions"}</definedName>
    <definedName name="nnnntn_1" localSheetId="6" hidden="1">{#N/A,#N/A,FALSE,"Assessment";#N/A,#N/A,FALSE,"Staffing";#N/A,#N/A,FALSE,"Hires";#N/A,#N/A,FALSE,"Assumptions"}</definedName>
    <definedName name="nnnntn_1" hidden="1">{#N/A,#N/A,FALSE,"Assessment";#N/A,#N/A,FALSE,"Staffing";#N/A,#N/A,FALSE,"Hires";#N/A,#N/A,FALSE,"Assumptions"}</definedName>
    <definedName name="no" localSheetId="6" hidden="1">{"PR1","pr1",TRUE,"Sch PR-1"}</definedName>
    <definedName name="no" hidden="1">{"PR1","pr1",TRUE,"Sch PR-1"}</definedName>
    <definedName name="no_1" localSheetId="6" hidden="1">{#N/A,#N/A,FALSE,"Scenario PivotTable"}</definedName>
    <definedName name="no_1" hidden="1">{#N/A,#N/A,FALSE,"Scenario PivotTable"}</definedName>
    <definedName name="no_1_1" localSheetId="6" hidden="1">{#N/A,#N/A,FALSE,"Scenario PivotTable"}</definedName>
    <definedName name="no_1_1" hidden="1">{#N/A,#N/A,FALSE,"Scenario PivotTable"}</definedName>
    <definedName name="no_2" localSheetId="6" hidden="1">{#N/A,#N/A,FALSE,"Scenario PivotTable"}</definedName>
    <definedName name="no_2" hidden="1">{#N/A,#N/A,FALSE,"Scenario PivotTable"}</definedName>
    <definedName name="no_2_1" localSheetId="6" hidden="1">{#N/A,#N/A,FALSE,"Scenario PivotTable"}</definedName>
    <definedName name="no_2_1" hidden="1">{#N/A,#N/A,FALSE,"Scenario PivotTable"}</definedName>
    <definedName name="no_2_1_1" localSheetId="6" hidden="1">{#N/A,#N/A,FALSE,"Scenario PivotTable"}</definedName>
    <definedName name="no_2_1_1" hidden="1">{#N/A,#N/A,FALSE,"Scenario PivotTable"}</definedName>
    <definedName name="no_2_1_1_1" localSheetId="6" hidden="1">{#N/A,#N/A,FALSE,"Scenario PivotTable"}</definedName>
    <definedName name="no_2_1_1_1" hidden="1">{#N/A,#N/A,FALSE,"Scenario PivotTable"}</definedName>
    <definedName name="no_2_1_2" localSheetId="6" hidden="1">{#N/A,#N/A,FALSE,"Scenario PivotTable"}</definedName>
    <definedName name="no_2_1_2" hidden="1">{#N/A,#N/A,FALSE,"Scenario PivotTable"}</definedName>
    <definedName name="no_2_1_2_1" localSheetId="6" hidden="1">{#N/A,#N/A,FALSE,"Scenario PivotTable"}</definedName>
    <definedName name="no_2_1_2_1" hidden="1">{#N/A,#N/A,FALSE,"Scenario PivotTable"}</definedName>
    <definedName name="no_2_1_3" localSheetId="6" hidden="1">{#N/A,#N/A,FALSE,"Scenario PivotTable"}</definedName>
    <definedName name="no_2_1_3" hidden="1">{#N/A,#N/A,FALSE,"Scenario PivotTable"}</definedName>
    <definedName name="no_2_2" localSheetId="6" hidden="1">{#N/A,#N/A,FALSE,"Scenario PivotTable"}</definedName>
    <definedName name="no_2_2" hidden="1">{#N/A,#N/A,FALSE,"Scenario PivotTable"}</definedName>
    <definedName name="no_2_2_1" localSheetId="6" hidden="1">{#N/A,#N/A,FALSE,"Scenario PivotTable"}</definedName>
    <definedName name="no_2_2_1" hidden="1">{#N/A,#N/A,FALSE,"Scenario PivotTable"}</definedName>
    <definedName name="no_2_2_1_1" localSheetId="6" hidden="1">{#N/A,#N/A,FALSE,"Scenario PivotTable"}</definedName>
    <definedName name="no_2_2_1_1" hidden="1">{#N/A,#N/A,FALSE,"Scenario PivotTable"}</definedName>
    <definedName name="no_2_2_2" localSheetId="6" hidden="1">{#N/A,#N/A,FALSE,"Scenario PivotTable"}</definedName>
    <definedName name="no_2_2_2" hidden="1">{#N/A,#N/A,FALSE,"Scenario PivotTable"}</definedName>
    <definedName name="no_2_3" localSheetId="6" hidden="1">{#N/A,#N/A,FALSE,"Scenario PivotTable"}</definedName>
    <definedName name="no_2_3" hidden="1">{#N/A,#N/A,FALSE,"Scenario PivotTable"}</definedName>
    <definedName name="no_2_3_1" localSheetId="6" hidden="1">{#N/A,#N/A,FALSE,"Scenario PivotTable"}</definedName>
    <definedName name="no_2_3_1" hidden="1">{#N/A,#N/A,FALSE,"Scenario PivotTable"}</definedName>
    <definedName name="no_2_4" localSheetId="6" hidden="1">{#N/A,#N/A,FALSE,"Scenario PivotTable"}</definedName>
    <definedName name="no_2_4" hidden="1">{#N/A,#N/A,FALSE,"Scenario PivotTable"}</definedName>
    <definedName name="no_3" localSheetId="6" hidden="1">{#N/A,#N/A,FALSE,"Scenario PivotTable"}</definedName>
    <definedName name="no_3" hidden="1">{#N/A,#N/A,FALSE,"Scenario PivotTable"}</definedName>
    <definedName name="no_3_1" localSheetId="6" hidden="1">{#N/A,#N/A,FALSE,"Scenario PivotTable"}</definedName>
    <definedName name="no_3_1" hidden="1">{#N/A,#N/A,FALSE,"Scenario PivotTable"}</definedName>
    <definedName name="no_3_1_1" localSheetId="6" hidden="1">{#N/A,#N/A,FALSE,"Scenario PivotTable"}</definedName>
    <definedName name="no_3_1_1" hidden="1">{#N/A,#N/A,FALSE,"Scenario PivotTable"}</definedName>
    <definedName name="no_3_1_1_1" localSheetId="6" hidden="1">{#N/A,#N/A,FALSE,"Scenario PivotTable"}</definedName>
    <definedName name="no_3_1_1_1" hidden="1">{#N/A,#N/A,FALSE,"Scenario PivotTable"}</definedName>
    <definedName name="no_3_1_2" localSheetId="6" hidden="1">{#N/A,#N/A,FALSE,"Scenario PivotTable"}</definedName>
    <definedName name="no_3_1_2" hidden="1">{#N/A,#N/A,FALSE,"Scenario PivotTable"}</definedName>
    <definedName name="no_3_1_2_1" localSheetId="6" hidden="1">{#N/A,#N/A,FALSE,"Scenario PivotTable"}</definedName>
    <definedName name="no_3_1_2_1" hidden="1">{#N/A,#N/A,FALSE,"Scenario PivotTable"}</definedName>
    <definedName name="no_3_1_3" localSheetId="6" hidden="1">{#N/A,#N/A,FALSE,"Scenario PivotTable"}</definedName>
    <definedName name="no_3_1_3" hidden="1">{#N/A,#N/A,FALSE,"Scenario PivotTable"}</definedName>
    <definedName name="no_3_2" localSheetId="6" hidden="1">{#N/A,#N/A,FALSE,"Scenario PivotTable"}</definedName>
    <definedName name="no_3_2" hidden="1">{#N/A,#N/A,FALSE,"Scenario PivotTable"}</definedName>
    <definedName name="no_3_2_1" localSheetId="6" hidden="1">{#N/A,#N/A,FALSE,"Scenario PivotTable"}</definedName>
    <definedName name="no_3_2_1" hidden="1">{#N/A,#N/A,FALSE,"Scenario PivotTable"}</definedName>
    <definedName name="no_3_2_1_1" localSheetId="6" hidden="1">{#N/A,#N/A,FALSE,"Scenario PivotTable"}</definedName>
    <definedName name="no_3_2_1_1" hidden="1">{#N/A,#N/A,FALSE,"Scenario PivotTable"}</definedName>
    <definedName name="no_3_2_2" localSheetId="6" hidden="1">{#N/A,#N/A,FALSE,"Scenario PivotTable"}</definedName>
    <definedName name="no_3_2_2" hidden="1">{#N/A,#N/A,FALSE,"Scenario PivotTable"}</definedName>
    <definedName name="no_3_3" localSheetId="6" hidden="1">{#N/A,#N/A,FALSE,"Scenario PivotTable"}</definedName>
    <definedName name="no_3_3" hidden="1">{#N/A,#N/A,FALSE,"Scenario PivotTable"}</definedName>
    <definedName name="no_3_3_1" localSheetId="6" hidden="1">{#N/A,#N/A,FALSE,"Scenario PivotTable"}</definedName>
    <definedName name="no_3_3_1" hidden="1">{#N/A,#N/A,FALSE,"Scenario PivotTable"}</definedName>
    <definedName name="no_3_4" localSheetId="6" hidden="1">{#N/A,#N/A,FALSE,"Scenario PivotTable"}</definedName>
    <definedName name="no_3_4" hidden="1">{#N/A,#N/A,FALSE,"Scenario PivotTable"}</definedName>
    <definedName name="no_4" localSheetId="6" hidden="1">{#N/A,#N/A,FALSE,"Scenario PivotTable"}</definedName>
    <definedName name="no_4" hidden="1">{#N/A,#N/A,FALSE,"Scenario PivotTable"}</definedName>
    <definedName name="no_4_1" localSheetId="6" hidden="1">{#N/A,#N/A,FALSE,"Scenario PivotTable"}</definedName>
    <definedName name="no_4_1" hidden="1">{#N/A,#N/A,FALSE,"Scenario PivotTable"}</definedName>
    <definedName name="no_4_1_1" localSheetId="6" hidden="1">{#N/A,#N/A,FALSE,"Scenario PivotTable"}</definedName>
    <definedName name="no_4_1_1" hidden="1">{#N/A,#N/A,FALSE,"Scenario PivotTable"}</definedName>
    <definedName name="no_4_1_1_1" localSheetId="6" hidden="1">{#N/A,#N/A,FALSE,"Scenario PivotTable"}</definedName>
    <definedName name="no_4_1_1_1" hidden="1">{#N/A,#N/A,FALSE,"Scenario PivotTable"}</definedName>
    <definedName name="no_4_1_2" localSheetId="6" hidden="1">{#N/A,#N/A,FALSE,"Scenario PivotTable"}</definedName>
    <definedName name="no_4_1_2" hidden="1">{#N/A,#N/A,FALSE,"Scenario PivotTable"}</definedName>
    <definedName name="no_4_1_2_1" localSheetId="6" hidden="1">{#N/A,#N/A,FALSE,"Scenario PivotTable"}</definedName>
    <definedName name="no_4_1_2_1" hidden="1">{#N/A,#N/A,FALSE,"Scenario PivotTable"}</definedName>
    <definedName name="no_4_1_3" localSheetId="6" hidden="1">{#N/A,#N/A,FALSE,"Scenario PivotTable"}</definedName>
    <definedName name="no_4_1_3" hidden="1">{#N/A,#N/A,FALSE,"Scenario PivotTable"}</definedName>
    <definedName name="no_4_2" localSheetId="6" hidden="1">{#N/A,#N/A,FALSE,"Scenario PivotTable"}</definedName>
    <definedName name="no_4_2" hidden="1">{#N/A,#N/A,FALSE,"Scenario PivotTable"}</definedName>
    <definedName name="no_4_2_1" localSheetId="6" hidden="1">{#N/A,#N/A,FALSE,"Scenario PivotTable"}</definedName>
    <definedName name="no_4_2_1" hidden="1">{#N/A,#N/A,FALSE,"Scenario PivotTable"}</definedName>
    <definedName name="no_4_2_1_1" localSheetId="6" hidden="1">{#N/A,#N/A,FALSE,"Scenario PivotTable"}</definedName>
    <definedName name="no_4_2_1_1" hidden="1">{#N/A,#N/A,FALSE,"Scenario PivotTable"}</definedName>
    <definedName name="no_4_2_2" localSheetId="6" hidden="1">{#N/A,#N/A,FALSE,"Scenario PivotTable"}</definedName>
    <definedName name="no_4_2_2" hidden="1">{#N/A,#N/A,FALSE,"Scenario PivotTable"}</definedName>
    <definedName name="no_4_3" localSheetId="6" hidden="1">{#N/A,#N/A,FALSE,"Scenario PivotTable"}</definedName>
    <definedName name="no_4_3" hidden="1">{#N/A,#N/A,FALSE,"Scenario PivotTable"}</definedName>
    <definedName name="no_4_3_1" localSheetId="6" hidden="1">{#N/A,#N/A,FALSE,"Scenario PivotTable"}</definedName>
    <definedName name="no_4_3_1" hidden="1">{#N/A,#N/A,FALSE,"Scenario PivotTable"}</definedName>
    <definedName name="no_4_4" localSheetId="6" hidden="1">{#N/A,#N/A,FALSE,"Scenario PivotTable"}</definedName>
    <definedName name="no_4_4" hidden="1">{#N/A,#N/A,FALSE,"Scenario PivotTable"}</definedName>
    <definedName name="no_5" localSheetId="6" hidden="1">{#N/A,#N/A,FALSE,"Scenario PivotTable"}</definedName>
    <definedName name="no_5" hidden="1">{#N/A,#N/A,FALSE,"Scenario PivotTable"}</definedName>
    <definedName name="no_5_1" localSheetId="6" hidden="1">{#N/A,#N/A,FALSE,"Scenario PivotTable"}</definedName>
    <definedName name="no_5_1" hidden="1">{#N/A,#N/A,FALSE,"Scenario PivotTable"}</definedName>
    <definedName name="no_5_1_1" localSheetId="6" hidden="1">{#N/A,#N/A,FALSE,"Scenario PivotTable"}</definedName>
    <definedName name="no_5_1_1" hidden="1">{#N/A,#N/A,FALSE,"Scenario PivotTable"}</definedName>
    <definedName name="no_5_1_1_1" localSheetId="6" hidden="1">{#N/A,#N/A,FALSE,"Scenario PivotTable"}</definedName>
    <definedName name="no_5_1_1_1" hidden="1">{#N/A,#N/A,FALSE,"Scenario PivotTable"}</definedName>
    <definedName name="no_5_1_2" localSheetId="6" hidden="1">{#N/A,#N/A,FALSE,"Scenario PivotTable"}</definedName>
    <definedName name="no_5_1_2" hidden="1">{#N/A,#N/A,FALSE,"Scenario PivotTable"}</definedName>
    <definedName name="no_5_1_2_1" localSheetId="6" hidden="1">{#N/A,#N/A,FALSE,"Scenario PivotTable"}</definedName>
    <definedName name="no_5_1_2_1" hidden="1">{#N/A,#N/A,FALSE,"Scenario PivotTable"}</definedName>
    <definedName name="no_5_1_3" localSheetId="6" hidden="1">{#N/A,#N/A,FALSE,"Scenario PivotTable"}</definedName>
    <definedName name="no_5_1_3" hidden="1">{#N/A,#N/A,FALSE,"Scenario PivotTable"}</definedName>
    <definedName name="no_5_2" localSheetId="6" hidden="1">{#N/A,#N/A,FALSE,"Scenario PivotTable"}</definedName>
    <definedName name="no_5_2" hidden="1">{#N/A,#N/A,FALSE,"Scenario PivotTable"}</definedName>
    <definedName name="no_5_2_1" localSheetId="6" hidden="1">{#N/A,#N/A,FALSE,"Scenario PivotTable"}</definedName>
    <definedName name="no_5_2_1" hidden="1">{#N/A,#N/A,FALSE,"Scenario PivotTable"}</definedName>
    <definedName name="no_5_2_1_1" localSheetId="6" hidden="1">{#N/A,#N/A,FALSE,"Scenario PivotTable"}</definedName>
    <definedName name="no_5_2_1_1" hidden="1">{#N/A,#N/A,FALSE,"Scenario PivotTable"}</definedName>
    <definedName name="no_5_2_2" localSheetId="6" hidden="1">{#N/A,#N/A,FALSE,"Scenario PivotTable"}</definedName>
    <definedName name="no_5_2_2" hidden="1">{#N/A,#N/A,FALSE,"Scenario PivotTable"}</definedName>
    <definedName name="no_5_3" localSheetId="6" hidden="1">{#N/A,#N/A,FALSE,"Scenario PivotTable"}</definedName>
    <definedName name="no_5_3" hidden="1">{#N/A,#N/A,FALSE,"Scenario PivotTable"}</definedName>
    <definedName name="no_5_3_1" localSheetId="6" hidden="1">{#N/A,#N/A,FALSE,"Scenario PivotTable"}</definedName>
    <definedName name="no_5_3_1" hidden="1">{#N/A,#N/A,FALSE,"Scenario PivotTable"}</definedName>
    <definedName name="no_5_4" localSheetId="6" hidden="1">{#N/A,#N/A,FALSE,"Scenario PivotTable"}</definedName>
    <definedName name="no_5_4" hidden="1">{#N/A,#N/A,FALSE,"Scenario PivotTable"}</definedName>
    <definedName name="NoContract">#REF!</definedName>
    <definedName name="noidea" localSheetId="0" hidden="1">{#N/A,#N/A,FALSE,"Calc";#N/A,#N/A,FALSE,"Sensitivity";#N/A,#N/A,FALSE,"LT Earn.Dil.";#N/A,#N/A,FALSE,"Dil. AVP"}</definedName>
    <definedName name="noidea" localSheetId="6" hidden="1">{#N/A,#N/A,FALSE,"Calc";#N/A,#N/A,FALSE,"Sensitivity";#N/A,#N/A,FALSE,"LT Earn.Dil.";#N/A,#N/A,FALSE,"Dil. AVP"}</definedName>
    <definedName name="noidea" hidden="1">{#N/A,#N/A,FALSE,"Calc";#N/A,#N/A,FALSE,"Sensitivity";#N/A,#N/A,FALSE,"LT Earn.Dil.";#N/A,#N/A,FALSE,"Dil. AVP"}</definedName>
    <definedName name="noidea1" localSheetId="0" hidden="1">{#N/A,#N/A,FALSE,"Calc";#N/A,#N/A,FALSE,"Sensitivity";#N/A,#N/A,FALSE,"LT Earn.Dil.";#N/A,#N/A,FALSE,"Dil. AVP"}</definedName>
    <definedName name="noidea1" localSheetId="6" hidden="1">{#N/A,#N/A,FALSE,"Calc";#N/A,#N/A,FALSE,"Sensitivity";#N/A,#N/A,FALSE,"LT Earn.Dil.";#N/A,#N/A,FALSE,"Dil. AVP"}</definedName>
    <definedName name="noidea1" hidden="1">{#N/A,#N/A,FALSE,"Calc";#N/A,#N/A,FALSE,"Sensitivity";#N/A,#N/A,FALSE,"LT Earn.Dil.";#N/A,#N/A,FALSE,"Dil. AVP"}</definedName>
    <definedName name="noidea10" localSheetId="0" hidden="1">{#N/A,#N/A,FALSE,"Calc";#N/A,#N/A,FALSE,"Sensitivity";#N/A,#N/A,FALSE,"LT Earn.Dil.";#N/A,#N/A,FALSE,"Dil. AVP"}</definedName>
    <definedName name="noidea10" localSheetId="6" hidden="1">{#N/A,#N/A,FALSE,"Calc";#N/A,#N/A,FALSE,"Sensitivity";#N/A,#N/A,FALSE,"LT Earn.Dil.";#N/A,#N/A,FALSE,"Dil. AVP"}</definedName>
    <definedName name="noidea10" hidden="1">{#N/A,#N/A,FALSE,"Calc";#N/A,#N/A,FALSE,"Sensitivity";#N/A,#N/A,FALSE,"LT Earn.Dil.";#N/A,#N/A,FALSE,"Dil. AVP"}</definedName>
    <definedName name="NOIDEA2" localSheetId="0" hidden="1">{#N/A,#N/A,FALSE,"Calc";#N/A,#N/A,FALSE,"Sensitivity";#N/A,#N/A,FALSE,"LT Earn.Dil.";#N/A,#N/A,FALSE,"Dil. AVP"}</definedName>
    <definedName name="NOIDEA2" localSheetId="6" hidden="1">{#N/A,#N/A,FALSE,"Calc";#N/A,#N/A,FALSE,"Sensitivity";#N/A,#N/A,FALSE,"LT Earn.Dil.";#N/A,#N/A,FALSE,"Dil. AVP"}</definedName>
    <definedName name="NOIDEA2" hidden="1">{#N/A,#N/A,FALSE,"Calc";#N/A,#N/A,FALSE,"Sensitivity";#N/A,#N/A,FALSE,"LT Earn.Dil.";#N/A,#N/A,FALSE,"Dil. AVP"}</definedName>
    <definedName name="noidea20" localSheetId="0" hidden="1">{#N/A,#N/A,FALSE,"Calc";#N/A,#N/A,FALSE,"Sensitivity";#N/A,#N/A,FALSE,"LT Earn.Dil.";#N/A,#N/A,FALSE,"Dil. AVP"}</definedName>
    <definedName name="noidea20" localSheetId="6" hidden="1">{#N/A,#N/A,FALSE,"Calc";#N/A,#N/A,FALSE,"Sensitivity";#N/A,#N/A,FALSE,"LT Earn.Dil.";#N/A,#N/A,FALSE,"Dil. AVP"}</definedName>
    <definedName name="noidea20" hidden="1">{#N/A,#N/A,FALSE,"Calc";#N/A,#N/A,FALSE,"Sensitivity";#N/A,#N/A,FALSE,"LT Earn.Dil.";#N/A,#N/A,FALSE,"Dil. AVP"}</definedName>
    <definedName name="noidea3" localSheetId="0" hidden="1">{#N/A,#N/A,FALSE,"Calc";#N/A,#N/A,FALSE,"Sensitivity";#N/A,#N/A,FALSE,"LT Earn.Dil.";#N/A,#N/A,FALSE,"Dil. AVP"}</definedName>
    <definedName name="noidea3" localSheetId="6" hidden="1">{#N/A,#N/A,FALSE,"Calc";#N/A,#N/A,FALSE,"Sensitivity";#N/A,#N/A,FALSE,"LT Earn.Dil.";#N/A,#N/A,FALSE,"Dil. AVP"}</definedName>
    <definedName name="noidea3" hidden="1">{#N/A,#N/A,FALSE,"Calc";#N/A,#N/A,FALSE,"Sensitivity";#N/A,#N/A,FALSE,"LT Earn.Dil.";#N/A,#N/A,FALSE,"Dil. AVP"}</definedName>
    <definedName name="noidea4" localSheetId="0" hidden="1">{#N/A,#N/A,FALSE,"Calc";#N/A,#N/A,FALSE,"Sensitivity";#N/A,#N/A,FALSE,"LT Earn.Dil.";#N/A,#N/A,FALSE,"Dil. AVP"}</definedName>
    <definedName name="noidea4" localSheetId="6" hidden="1">{#N/A,#N/A,FALSE,"Calc";#N/A,#N/A,FALSE,"Sensitivity";#N/A,#N/A,FALSE,"LT Earn.Dil.";#N/A,#N/A,FALSE,"Dil. AVP"}</definedName>
    <definedName name="noidea4" hidden="1">{#N/A,#N/A,FALSE,"Calc";#N/A,#N/A,FALSE,"Sensitivity";#N/A,#N/A,FALSE,"LT Earn.Dil.";#N/A,#N/A,FALSE,"Dil. AVP"}</definedName>
    <definedName name="noidea5" localSheetId="0" hidden="1">{#N/A,#N/A,FALSE,"Calc";#N/A,#N/A,FALSE,"Sensitivity";#N/A,#N/A,FALSE,"LT Earn.Dil.";#N/A,#N/A,FALSE,"Dil. AVP"}</definedName>
    <definedName name="noidea5" localSheetId="6" hidden="1">{#N/A,#N/A,FALSE,"Calc";#N/A,#N/A,FALSE,"Sensitivity";#N/A,#N/A,FALSE,"LT Earn.Dil.";#N/A,#N/A,FALSE,"Dil. AVP"}</definedName>
    <definedName name="noidea5" hidden="1">{#N/A,#N/A,FALSE,"Calc";#N/A,#N/A,FALSE,"Sensitivity";#N/A,#N/A,FALSE,"LT Earn.Dil.";#N/A,#N/A,FALSE,"Dil. AVP"}</definedName>
    <definedName name="noidea6" localSheetId="0" hidden="1">{#N/A,#N/A,FALSE,"Calc";#N/A,#N/A,FALSE,"Sensitivity";#N/A,#N/A,FALSE,"LT Earn.Dil.";#N/A,#N/A,FALSE,"Dil. AVP"}</definedName>
    <definedName name="noidea6" localSheetId="6" hidden="1">{#N/A,#N/A,FALSE,"Calc";#N/A,#N/A,FALSE,"Sensitivity";#N/A,#N/A,FALSE,"LT Earn.Dil.";#N/A,#N/A,FALSE,"Dil. AVP"}</definedName>
    <definedName name="noidea6" hidden="1">{#N/A,#N/A,FALSE,"Calc";#N/A,#N/A,FALSE,"Sensitivity";#N/A,#N/A,FALSE,"LT Earn.Dil.";#N/A,#N/A,FALSE,"Dil. AVP"}</definedName>
    <definedName name="noidea7" localSheetId="0" hidden="1">{#N/A,#N/A,FALSE,"Calc";#N/A,#N/A,FALSE,"Sensitivity";#N/A,#N/A,FALSE,"LT Earn.Dil.";#N/A,#N/A,FALSE,"Dil. AVP"}</definedName>
    <definedName name="noidea7" localSheetId="6" hidden="1">{#N/A,#N/A,FALSE,"Calc";#N/A,#N/A,FALSE,"Sensitivity";#N/A,#N/A,FALSE,"LT Earn.Dil.";#N/A,#N/A,FALSE,"Dil. AVP"}</definedName>
    <definedName name="noidea7" hidden="1">{#N/A,#N/A,FALSE,"Calc";#N/A,#N/A,FALSE,"Sensitivity";#N/A,#N/A,FALSE,"LT Earn.Dil.";#N/A,#N/A,FALSE,"Dil. AVP"}</definedName>
    <definedName name="NON_CASH" hidden="1">"NON_CASH"</definedName>
    <definedName name="non_dep_assets">#REF!</definedName>
    <definedName name="NON_INTEREST_EXP" hidden="1">"NON_INTEREST_EXP"</definedName>
    <definedName name="NON_INTEREST_INC" hidden="1">"NON_INTEREST_INC"</definedName>
    <definedName name="Non_operating_income">#REF!</definedName>
    <definedName name="noname">#REF!</definedName>
    <definedName name="noname1">#REF!</definedName>
    <definedName name="noname2">#REF!</definedName>
    <definedName name="noname3">#REF!</definedName>
    <definedName name="nonno" localSheetId="6" hidden="1">{#N/A,#N/A,FALSE,"Assessment";#N/A,#N/A,FALSE,"Staffing";#N/A,#N/A,FALSE,"Hires";#N/A,#N/A,FALSE,"Assumptions"}</definedName>
    <definedName name="nonno" hidden="1">{#N/A,#N/A,FALSE,"Assessment";#N/A,#N/A,FALSE,"Staffing";#N/A,#N/A,FALSE,"Hires";#N/A,#N/A,FALSE,"Assumptions"}</definedName>
    <definedName name="NONTRADEDEBTOR">#REF!</definedName>
    <definedName name="NONTRADEDEBTORS">#REF!</definedName>
    <definedName name="NoOfPeriods">#REF!</definedName>
    <definedName name="NORMAL_INC_AFTER" hidden="1">"NORMAL_INC_AFTER"</definedName>
    <definedName name="NORMAL_INC_AVAIL" hidden="1">"NORMAL_INC_AVAIL"</definedName>
    <definedName name="NORMAL_INC_BEFORE" hidden="1">"NORMAL_INC_BEFORE"</definedName>
    <definedName name="Normal0FX1">#REF!</definedName>
    <definedName name="NORTH">#REF!</definedName>
    <definedName name="North04ymSales">#REF!</definedName>
    <definedName name="North05ymSales">#REF!</definedName>
    <definedName name="not" localSheetId="0" hidden="1">{"International Total",#N/A,FALSE,"Sheet1";"Mexico (5)",#N/A,FALSE,"Sheet1";"Mexico (37)",#N/A,FALSE,"Sheet1";"Puerto Rico (10)",#N/A,FALSE,"Sheet1"}</definedName>
    <definedName name="not" localSheetId="6" hidden="1">{"International Total",#N/A,FALSE,"Sheet1";"Mexico (5)",#N/A,FALSE,"Sheet1";"Mexico (37)",#N/A,FALSE,"Sheet1";"Puerto Rico (10)",#N/A,FALSE,"Sheet1"}</definedName>
    <definedName name="not" hidden="1">{"International Total",#N/A,FALSE,"Sheet1";"Mexico (5)",#N/A,FALSE,"Sheet1";"Mexico (37)",#N/A,FALSE,"Sheet1";"Puerto Rico (10)",#N/A,FALSE,"Sheet1"}</definedName>
    <definedName name="Note3"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Note3"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Note3"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NOTES_PAY" hidden="1">"NOTES_PAY"</definedName>
    <definedName name="nothing">#REF!</definedName>
    <definedName name="nouv" localSheetId="0" hidden="1">{#N/A,#N/A,FALSE,"Pharm";#N/A,#N/A,FALSE,"WWCM"}</definedName>
    <definedName name="nouv" localSheetId="6" hidden="1">{#N/A,#N/A,FALSE,"Pharm";#N/A,#N/A,FALSE,"WWCM"}</definedName>
    <definedName name="nouv" hidden="1">{#N/A,#N/A,FALSE,"Pharm";#N/A,#N/A,FALSE,"WWCM"}</definedName>
    <definedName name="nouv_1" localSheetId="0" hidden="1">{#N/A,#N/A,FALSE,"Pharm";#N/A,#N/A,FALSE,"WWCM"}</definedName>
    <definedName name="nouv_1" localSheetId="6" hidden="1">{#N/A,#N/A,FALSE,"Pharm";#N/A,#N/A,FALSE,"WWCM"}</definedName>
    <definedName name="nouv_1" hidden="1">{#N/A,#N/A,FALSE,"Pharm";#N/A,#N/A,FALSE,"WWCM"}</definedName>
    <definedName name="nouv_1_1" localSheetId="0" hidden="1">{#N/A,#N/A,FALSE,"Pharm";#N/A,#N/A,FALSE,"WWCM"}</definedName>
    <definedName name="nouv_1_1" localSheetId="6" hidden="1">{#N/A,#N/A,FALSE,"Pharm";#N/A,#N/A,FALSE,"WWCM"}</definedName>
    <definedName name="nouv_1_1" hidden="1">{#N/A,#N/A,FALSE,"Pharm";#N/A,#N/A,FALSE,"WWCM"}</definedName>
    <definedName name="nouv_2" localSheetId="0" hidden="1">{#N/A,#N/A,FALSE,"Pharm";#N/A,#N/A,FALSE,"WWCM"}</definedName>
    <definedName name="nouv_2" localSheetId="6" hidden="1">{#N/A,#N/A,FALSE,"Pharm";#N/A,#N/A,FALSE,"WWCM"}</definedName>
    <definedName name="nouv_2" hidden="1">{#N/A,#N/A,FALSE,"Pharm";#N/A,#N/A,FALSE,"WWCM"}</definedName>
    <definedName name="nouv_3" localSheetId="0" hidden="1">{#N/A,#N/A,FALSE,"Pharm";#N/A,#N/A,FALSE,"WWCM"}</definedName>
    <definedName name="nouv_3" localSheetId="6" hidden="1">{#N/A,#N/A,FALSE,"Pharm";#N/A,#N/A,FALSE,"WWCM"}</definedName>
    <definedName name="nouv_3" hidden="1">{#N/A,#N/A,FALSE,"Pharm";#N/A,#N/A,FALSE,"WWCM"}</definedName>
    <definedName name="nouv_4" localSheetId="0" hidden="1">{#N/A,#N/A,FALSE,"Pharm";#N/A,#N/A,FALSE,"WWCM"}</definedName>
    <definedName name="nouv_4" localSheetId="6" hidden="1">{#N/A,#N/A,FALSE,"Pharm";#N/A,#N/A,FALSE,"WWCM"}</definedName>
    <definedName name="nouv_4" hidden="1">{#N/A,#N/A,FALSE,"Pharm";#N/A,#N/A,FALSE,"WWCM"}</definedName>
    <definedName name="nouv_5" localSheetId="0" hidden="1">{#N/A,#N/A,FALSE,"Pharm";#N/A,#N/A,FALSE,"WWCM"}</definedName>
    <definedName name="nouv_5" localSheetId="6" hidden="1">{#N/A,#N/A,FALSE,"Pharm";#N/A,#N/A,FALSE,"WWCM"}</definedName>
    <definedName name="nouv_5" hidden="1">{#N/A,#N/A,FALSE,"Pharm";#N/A,#N/A,FALSE,"WWCM"}</definedName>
    <definedName name="Nouveau" hidden="1">#REF!</definedName>
    <definedName name="Nov_199_Q">#REF!</definedName>
    <definedName name="Novtotal">#REF!</definedName>
    <definedName name="NPooling">#REF!</definedName>
    <definedName name="NPurchase">#REF!</definedName>
    <definedName name="NPV_INR">#REF!</definedName>
    <definedName name="NPV_INR_9">#REF!</definedName>
    <definedName name="NPV_USD">#REF!</definedName>
    <definedName name="NPV_USD_9">#REF!</definedName>
    <definedName name="nre" localSheetId="0" hidden="1">{#N/A,#N/A,FALSE,"Assessment";#N/A,#N/A,FALSE,"Staffing";#N/A,#N/A,FALSE,"Hires";#N/A,#N/A,FALSE,"Assumptions"}</definedName>
    <definedName name="nre" localSheetId="6" hidden="1">{#N/A,#N/A,FALSE,"Assessment";#N/A,#N/A,FALSE,"Staffing";#N/A,#N/A,FALSE,"Hires";#N/A,#N/A,FALSE,"Assumptions"}</definedName>
    <definedName name="nre" hidden="1">{#N/A,#N/A,FALSE,"Assessment";#N/A,#N/A,FALSE,"Staffing";#N/A,#N/A,FALSE,"Hires";#N/A,#N/A,FALSE,"Assumptions"}</definedName>
    <definedName name="nre_1" localSheetId="0" hidden="1">{#N/A,#N/A,FALSE,"Assessment";#N/A,#N/A,FALSE,"Staffing";#N/A,#N/A,FALSE,"Hires";#N/A,#N/A,FALSE,"Assumptions"}</definedName>
    <definedName name="nre_1" localSheetId="6" hidden="1">{#N/A,#N/A,FALSE,"Assessment";#N/A,#N/A,FALSE,"Staffing";#N/A,#N/A,FALSE,"Hires";#N/A,#N/A,FALSE,"Assumptions"}</definedName>
    <definedName name="nre_1" hidden="1">{#N/A,#N/A,FALSE,"Assessment";#N/A,#N/A,FALSE,"Staffing";#N/A,#N/A,FALSE,"Hires";#N/A,#N/A,FALSE,"Assumptions"}</definedName>
    <definedName name="NReCap">#REF!</definedName>
    <definedName name="nsapi01">#REF!</definedName>
    <definedName name="nsapi02">#REF!</definedName>
    <definedName name="nsapi03">#REF!</definedName>
    <definedName name="nsapi04">#REF!</definedName>
    <definedName name="nsapi05">#REF!</definedName>
    <definedName name="nsapi06">#REF!</definedName>
    <definedName name="nsapi07">#REF!</definedName>
    <definedName name="nsapi08">#REF!</definedName>
    <definedName name="nsapi09">#REF!</definedName>
    <definedName name="nsapi10">#REF!</definedName>
    <definedName name="NSBvsLY"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NSBvsLY"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NSBvsLY" hidden="1">{#N/A,#N/A,TRUE,"COVER2";#N/A,#N/A,TRUE,"AGENDA";#N/A,#N/A,TRUE,"Cover";#N/A,#N/A,TRUE,"4M";#N/A,#N/A,TRUE,"FLP&amp;L4M";#N/A,#N/A,TRUE,"4MMC";#N/A,#N/A,TRUE,"Shp4M";#N/A,#N/A,TRUE,"M5";#N/A,#N/A,TRUE,"Q2";#N/A,#N/A,TRUE,"Q1vsQ2";#N/A,#N/A,TRUE,"M6";#N/A,#N/A,TRUE,"TY";#N/A,#N/A,TRUE,"FLP&amp;LTY";#N/A,#N/A,TRUE,"TYMC";#N/A,#N/A,TRUE,"ShpTY";#N/A,#N/A,TRUE,"8M";#N/A,#N/A,TRUE,"FLP&amp;L8M";#N/A,#N/A,TRUE,"8MMC";#N/A,#N/A,TRUE,"Shp8M"}</definedName>
    <definedName name="NSBvsLY2"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NSBvsLY2"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NSBvsLY2" hidden="1">{#N/A,#N/A,TRUE,"COVER2";#N/A,#N/A,TRUE,"AGENDA";#N/A,#N/A,TRUE,"Cover";#N/A,#N/A,TRUE,"4M";#N/A,#N/A,TRUE,"FLP&amp;L4M";#N/A,#N/A,TRUE,"4MMC";#N/A,#N/A,TRUE,"Shp4M";#N/A,#N/A,TRUE,"M5";#N/A,#N/A,TRUE,"Q2";#N/A,#N/A,TRUE,"Q1vsQ2";#N/A,#N/A,TRUE,"M6";#N/A,#N/A,TRUE,"TY";#N/A,#N/A,TRUE,"FLP&amp;LTY";#N/A,#N/A,TRUE,"TYMC";#N/A,#N/A,TRUE,"ShpTY";#N/A,#N/A,TRUE,"8M";#N/A,#N/A,TRUE,"FLP&amp;L8M";#N/A,#N/A,TRUE,"8MMC";#N/A,#N/A,TRUE,"Shp8M"}</definedName>
    <definedName name="NSCSNNNN" localSheetId="6" hidden="1">{#N/A,#N/A,TRUE,"FA 1 &amp; 2";#N/A,#N/A,TRUE,"FA 3 &amp; 4";#N/A,#N/A,TRUE,"FA 5 &amp; 6";#N/A,#N/A,TRUE,"FA 7 &amp; 8";#N/A,#N/A,TRUE,"FA 9 &amp; 10";#N/A,#N/A,TRUE,"FA 11";#N/A,#N/A,TRUE,"FA 12";#N/A,#N/A,TRUE,"FA 13";#N/A,#N/A,TRUE,"FA 14 &amp; 15"}</definedName>
    <definedName name="NSCSNNNN" hidden="1">{#N/A,#N/A,TRUE,"FA 1 &amp; 2";#N/A,#N/A,TRUE,"FA 3 &amp; 4";#N/A,#N/A,TRUE,"FA 5 &amp; 6";#N/A,#N/A,TRUE,"FA 7 &amp; 8";#N/A,#N/A,TRUE,"FA 9 &amp; 10";#N/A,#N/A,TRUE,"FA 11";#N/A,#N/A,TRUE,"FA 12";#N/A,#N/A,TRUE,"FA 13";#N/A,#N/A,TRUE,"FA 14 &amp; 15"}</definedName>
    <definedName name="NSMCM" localSheetId="6" hidden="1">{#N/A,#N/A,FALSE,"Cover";#N/A,#N/A,FALSE,"Index";#N/A,#N/A,FALSE,"Spec";#N/A,#N/A,FALSE,"Breakdown";#N/A,#N/A,FALSE,"Cost Plan"}</definedName>
    <definedName name="NSMCM" hidden="1">{#N/A,#N/A,FALSE,"Cover";#N/A,#N/A,FALSE,"Index";#N/A,#N/A,FALSE,"Spec";#N/A,#N/A,FALSE,"Breakdown";#N/A,#N/A,FALSE,"Cost Plan"}</definedName>
    <definedName name="nssa01">#REF!</definedName>
    <definedName name="nssa02">#REF!</definedName>
    <definedName name="nssa03">#REF!</definedName>
    <definedName name="nssa04">#REF!</definedName>
    <definedName name="nssa05">#REF!</definedName>
    <definedName name="nssa06">#REF!</definedName>
    <definedName name="nssa07">#REF!</definedName>
    <definedName name="nssa08">#REF!</definedName>
    <definedName name="nssa09">#REF!</definedName>
    <definedName name="nssa10">#REF!</definedName>
    <definedName name="NStandAlone">#REF!</definedName>
    <definedName name="ntrntrnt" localSheetId="0" hidden="1">{#N/A,#N/A,FALSE,"Assessment";#N/A,#N/A,FALSE,"Staffing";#N/A,#N/A,FALSE,"Hires";#N/A,#N/A,FALSE,"Assumptions"}</definedName>
    <definedName name="ntrntrnt" localSheetId="6" hidden="1">{#N/A,#N/A,FALSE,"Assessment";#N/A,#N/A,FALSE,"Staffing";#N/A,#N/A,FALSE,"Hires";#N/A,#N/A,FALSE,"Assumptions"}</definedName>
    <definedName name="ntrntrnt" hidden="1">{#N/A,#N/A,FALSE,"Assessment";#N/A,#N/A,FALSE,"Staffing";#N/A,#N/A,FALSE,"Hires";#N/A,#N/A,FALSE,"Assumptions"}</definedName>
    <definedName name="ntrntrnt_1" localSheetId="0" hidden="1">{#N/A,#N/A,FALSE,"Assessment";#N/A,#N/A,FALSE,"Staffing";#N/A,#N/A,FALSE,"Hires";#N/A,#N/A,FALSE,"Assumptions"}</definedName>
    <definedName name="ntrntrnt_1" localSheetId="6" hidden="1">{#N/A,#N/A,FALSE,"Assessment";#N/A,#N/A,FALSE,"Staffing";#N/A,#N/A,FALSE,"Hires";#N/A,#N/A,FALSE,"Assumptions"}</definedName>
    <definedName name="ntrntrnt_1" hidden="1">{#N/A,#N/A,FALSE,"Assessment";#N/A,#N/A,FALSE,"Staffing";#N/A,#N/A,FALSE,"Hires";#N/A,#N/A,FALSE,"Assumptions"}</definedName>
    <definedName name="nttrntr" localSheetId="0" hidden="1">{#N/A,#N/A,FALSE,"Assessment";#N/A,#N/A,FALSE,"Staffing";#N/A,#N/A,FALSE,"Hires";#N/A,#N/A,FALSE,"Assumptions"}</definedName>
    <definedName name="nttrntr" localSheetId="6" hidden="1">{#N/A,#N/A,FALSE,"Assessment";#N/A,#N/A,FALSE,"Staffing";#N/A,#N/A,FALSE,"Hires";#N/A,#N/A,FALSE,"Assumptions"}</definedName>
    <definedName name="nttrntr" hidden="1">{#N/A,#N/A,FALSE,"Assessment";#N/A,#N/A,FALSE,"Staffing";#N/A,#N/A,FALSE,"Hires";#N/A,#N/A,FALSE,"Assumptions"}</definedName>
    <definedName name="nttrntr_1" localSheetId="0" hidden="1">{#N/A,#N/A,FALSE,"Assessment";#N/A,#N/A,FALSE,"Staffing";#N/A,#N/A,FALSE,"Hires";#N/A,#N/A,FALSE,"Assumptions"}</definedName>
    <definedName name="nttrntr_1" localSheetId="6" hidden="1">{#N/A,#N/A,FALSE,"Assessment";#N/A,#N/A,FALSE,"Staffing";#N/A,#N/A,FALSE,"Hires";#N/A,#N/A,FALSE,"Assumptions"}</definedName>
    <definedName name="nttrntr_1" hidden="1">{#N/A,#N/A,FALSE,"Assessment";#N/A,#N/A,FALSE,"Staffing";#N/A,#N/A,FALSE,"Hires";#N/A,#N/A,FALSE,"Assumptions"}</definedName>
    <definedName name="NU" hidden="1">#REF!</definedName>
    <definedName name="Nuevo" localSheetId="0"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Nuevo" localSheetId="6"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Nuevo" hidden="1">{"Resumen",#N/A,TRUE,"Proyección 1998-2007";#N/A,#N/A,TRUE,"Proyección 1998-2007 %";"Temáticos",#N/A,TRUE,"Proyección 1998-2007";"Events Media Park",#N/A,TRUE,"Proyección 1998-2007";"Producción Audiovisual",#N/A,TRUE,"Proyección 1998-2007";#N/A,#N/A,TRUE,"Hipótesis";"Servicios a la Producción",#N/A,TRUE,"Proyección 1998-2007"}</definedName>
    <definedName name="Num_Pmt_Per_Year">#REF!</definedName>
    <definedName name="Number_of_Days_in_Year">#REF!</definedName>
    <definedName name="Number_of_months">#REF!</definedName>
    <definedName name="Number_of_Months_in_Year">#REF!</definedName>
    <definedName name="Number_of_Payments" localSheetId="6">MATCH(0.01,End_Bal,-1)+1</definedName>
    <definedName name="Number_of_Payments">MATCH(0.01,End_Bal,-1)+1</definedName>
    <definedName name="Number_of_Working_Days_in_Year">#REF!</definedName>
    <definedName name="nuovo" localSheetId="0" hidden="1">{#N/A,#N/A,TRUE,"Proposal";#N/A,#N/A,TRUE,"Assumptions";#N/A,#N/A,TRUE,"Net Income";#N/A,#N/A,TRUE,"Balsheet";#N/A,#N/A,TRUE,"Capex";#N/A,#N/A,TRUE,"Volumes";#N/A,#N/A,TRUE,"Revenues";#N/A,#N/A,TRUE,"Var.Costs";#N/A,#N/A,TRUE,"Personnel";#N/A,#N/A,TRUE,"Other costs";#N/A,#N/A,TRUE,"MKTG and G&amp;A"}</definedName>
    <definedName name="nuovo" localSheetId="6" hidden="1">{#N/A,#N/A,TRUE,"Proposal";#N/A,#N/A,TRUE,"Assumptions";#N/A,#N/A,TRUE,"Net Income";#N/A,#N/A,TRUE,"Balsheet";#N/A,#N/A,TRUE,"Capex";#N/A,#N/A,TRUE,"Volumes";#N/A,#N/A,TRUE,"Revenues";#N/A,#N/A,TRUE,"Var.Costs";#N/A,#N/A,TRUE,"Personnel";#N/A,#N/A,TRUE,"Other costs";#N/A,#N/A,TRUE,"MKTG and G&amp;A"}</definedName>
    <definedName name="nuovo" hidden="1">{#N/A,#N/A,TRUE,"Proposal";#N/A,#N/A,TRUE,"Assumptions";#N/A,#N/A,TRUE,"Net Income";#N/A,#N/A,TRUE,"Balsheet";#N/A,#N/A,TRUE,"Capex";#N/A,#N/A,TRUE,"Volumes";#N/A,#N/A,TRUE,"Revenues";#N/A,#N/A,TRUE,"Var.Costs";#N/A,#N/A,TRUE,"Personnel";#N/A,#N/A,TRUE,"Other costs";#N/A,#N/A,TRUE,"MKTG and G&amp;A"}</definedName>
    <definedName name="NVB" localSheetId="6" hidden="1">{"VIEW1",#N/A,FALSE,"P&amp;L Account 2001-2002";"VIEW2",#N/A,FALSE,"P&amp;L Account 2001-2002";"VIEW3",#N/A,FALSE,"P&amp;L Account 2001-2002";"VIEW4",#N/A,FALSE,"P&amp;L Account 2001-2002"}</definedName>
    <definedName name="NVB" hidden="1">{"VIEW1",#N/A,FALSE,"P&amp;L Account 2001-2002";"VIEW2",#N/A,FALSE,"P&amp;L Account 2001-2002";"VIEW3",#N/A,FALSE,"P&amp;L Account 2001-2002";"VIEW4",#N/A,FALSE,"P&amp;L Account 2001-2002"}</definedName>
    <definedName name="NVBxyz" localSheetId="6" hidden="1">{"VIEW1",#N/A,FALSE,"P&amp;L Account 2001-2002";"VIEW2",#N/A,FALSE,"P&amp;L Account 2001-2002";"VIEW3",#N/A,FALSE,"P&amp;L Account 2001-2002";"VIEW4",#N/A,FALSE,"P&amp;L Account 2001-2002"}</definedName>
    <definedName name="NVBxyz" hidden="1">{"VIEW1",#N/A,FALSE,"P&amp;L Account 2001-2002";"VIEW2",#N/A,FALSE,"P&amp;L Account 2001-2002";"VIEW3",#N/A,FALSE,"P&amp;L Account 2001-2002";"VIEW4",#N/A,FALSE,"P&amp;L Account 2001-2002"}</definedName>
    <definedName name="NvsEndTime">37069.3164047454</definedName>
    <definedName name="nwc">#REF!</definedName>
    <definedName name="nwc_toggle">#REF!</definedName>
    <definedName name="NwsLtr">#REF!</definedName>
    <definedName name="nyuy" localSheetId="0" hidden="1">{"vue1",#N/A,FALSE,"synthese";"vue2",#N/A,FALSE,"synthese"}</definedName>
    <definedName name="nyuy" localSheetId="6" hidden="1">{"vue1",#N/A,FALSE,"synthese";"vue2",#N/A,FALSE,"synthese"}</definedName>
    <definedName name="nyuy" hidden="1">{"vue1",#N/A,FALSE,"synthese";"vue2",#N/A,FALSE,"synthese"}</definedName>
    <definedName name="N행">#REF!</definedName>
    <definedName name="O" localSheetId="0" hidden="1">{#N/A,#N/A,TRUE,"0 Deckbl.";#N/A,#N/A,TRUE,"S 1 Komm";#N/A,#N/A,TRUE,"S 1a Komm";#N/A,#N/A,TRUE,"S 1b Komm";#N/A,#N/A,TRUE,"S  2 DBR";#N/A,#N/A,TRUE,"S  3 Sparten";#N/A,#N/A,TRUE,"S 4  Betr. K.";#N/A,#N/A,TRUE,"6 Bilanz";#N/A,#N/A,TRUE,"6a Bilanz ";#N/A,#N/A,TRUE,"6b Bilanz ";#N/A,#N/A,TRUE,"7 GS I";#N/A,#N/A,TRUE,"S 8 EQ-GuV"}</definedName>
    <definedName name="O" localSheetId="6" hidden="1">{#N/A,#N/A,TRUE,"0 Deckbl.";#N/A,#N/A,TRUE,"S 1 Komm";#N/A,#N/A,TRUE,"S 1a Komm";#N/A,#N/A,TRUE,"S 1b Komm";#N/A,#N/A,TRUE,"S  2 DBR";#N/A,#N/A,TRUE,"S  3 Sparten";#N/A,#N/A,TRUE,"S 4  Betr. K.";#N/A,#N/A,TRUE,"6 Bilanz";#N/A,#N/A,TRUE,"6a Bilanz ";#N/A,#N/A,TRUE,"6b Bilanz ";#N/A,#N/A,TRUE,"7 GS I";#N/A,#N/A,TRUE,"S 8 EQ-GuV"}</definedName>
    <definedName name="O" hidden="1">{#N/A,#N/A,TRUE,"0 Deckbl.";#N/A,#N/A,TRUE,"S 1 Komm";#N/A,#N/A,TRUE,"S 1a Komm";#N/A,#N/A,TRUE,"S 1b Komm";#N/A,#N/A,TRUE,"S  2 DBR";#N/A,#N/A,TRUE,"S  3 Sparten";#N/A,#N/A,TRUE,"S 4  Betr. K.";#N/A,#N/A,TRUE,"6 Bilanz";#N/A,#N/A,TRUE,"6a Bilanz ";#N/A,#N/A,TRUE,"6b Bilanz ";#N/A,#N/A,TRUE,"7 GS I";#N/A,#N/A,TRUE,"S 8 EQ-GuV"}</definedName>
    <definedName name="Oasda" localSheetId="0" hidden="1">{"Operating Data",#N/A,TRUE,"Sheet1";"Valuation Matrix",#N/A,TRUE,"Sheet1";"Sales Analysis",#N/A,TRUE,"Sheet1";"Closed Remodelled New",#N/A,TRUE,"Sheet1";"Competitive and FSP",#N/A,TRUE,"Sheet1";"Working Capital and Capex",#N/A,TRUE,"Sheet1";"depreciation",#N/A,TRUE,"Sheet1"}</definedName>
    <definedName name="Oasda" localSheetId="6" hidden="1">{"Operating Data",#N/A,TRUE,"Sheet1";"Valuation Matrix",#N/A,TRUE,"Sheet1";"Sales Analysis",#N/A,TRUE,"Sheet1";"Closed Remodelled New",#N/A,TRUE,"Sheet1";"Competitive and FSP",#N/A,TRUE,"Sheet1";"Working Capital and Capex",#N/A,TRUE,"Sheet1";"depreciation",#N/A,TRUE,"Sheet1"}</definedName>
    <definedName name="Oasda" hidden="1">{"Operating Data",#N/A,TRUE,"Sheet1";"Valuation Matrix",#N/A,TRUE,"Sheet1";"Sales Analysis",#N/A,TRUE,"Sheet1";"Closed Remodelled New",#N/A,TRUE,"Sheet1";"Competitive and FSP",#N/A,TRUE,"Sheet1";"Working Capital and Capex",#N/A,TRUE,"Sheet1";"depreciation",#N/A,TRUE,"Sheet1"}</definedName>
    <definedName name="oaw" localSheetId="6" hidden="1">{"year1",#N/A,FALSE,"IZT";"year2",#N/A,FALSE,"IZT"}</definedName>
    <definedName name="oaw" hidden="1">{"year1",#N/A,FALSE,"IZT";"year2",#N/A,FALSE,"IZT"}</definedName>
    <definedName name="oaweirue" localSheetId="0" hidden="1">{"vue1",#N/A,FALSE,"synthese";"vue2",#N/A,FALSE,"synthese"}</definedName>
    <definedName name="oaweirue" localSheetId="6" hidden="1">{"vue1",#N/A,FALSE,"synthese";"vue2",#N/A,FALSE,"synthese"}</definedName>
    <definedName name="oaweirue" hidden="1">{"vue1",#N/A,FALSE,"synthese";"vue2",#N/A,FALSE,"synthese"}</definedName>
    <definedName name="OBS_Data_Col" hidden="1">#REF!</definedName>
    <definedName name="ocbqwefjb" hidden="1">#REF!</definedName>
    <definedName name="OCBQWIOFEB" hidden="1">#REF!</definedName>
    <definedName name="OCT" localSheetId="0" hidden="1">{#N/A,#N/A,FALSE,"Tabl. G1";#N/A,#N/A,FALSE,"Tabl. G2"}</definedName>
    <definedName name="OCT" localSheetId="6" hidden="1">{#N/A,#N/A,FALSE,"Tabl. G1";#N/A,#N/A,FALSE,"Tabl. G2"}</definedName>
    <definedName name="OCT" hidden="1">{#N/A,#N/A,FALSE,"Tabl. G1";#N/A,#N/A,FALSE,"Tabl. G2"}</definedName>
    <definedName name="Oct_188">#REF!</definedName>
    <definedName name="Oct_188_Q">#REF!</definedName>
    <definedName name="Octtotal">#REF!</definedName>
    <definedName name="Odid" localSheetId="6" hidden="1">{"'IM V02'!$A$1:$W$57"}</definedName>
    <definedName name="Odid" hidden="1">{"'IM V02'!$A$1:$W$57"}</definedName>
    <definedName name="odsh" localSheetId="6" hidden="1">{"year1",#N/A,FALSE,"IZT";"year2",#N/A,FALSE,"IZT"}</definedName>
    <definedName name="odsh" hidden="1">{"year1",#N/A,FALSE,"IZT";"year2",#N/A,FALSE,"IZT"}</definedName>
    <definedName name="offer.sell" localSheetId="6" hidden="1">ROUND(quote.total.sell.1,2)</definedName>
    <definedName name="offer.sell" hidden="1">ROUND(quote.total.sell.1,2)</definedName>
    <definedName name="ofo" localSheetId="6" hidden="1">{#N/A,#N/A,TRUE,"Production &amp; Sales";#N/A,#N/A,TRUE,"Variable cost details";#N/A,#N/A,TRUE,"Variable cost sammary";#N/A,#N/A,TRUE,"Depreciation";#N/A,#N/A,TRUE,"Fixed cost details";#N/A,#N/A,TRUE,"Fixed cost sammary";#N/A,#N/A,TRUE,"Budget Sammary"}</definedName>
    <definedName name="ofo" hidden="1">{#N/A,#N/A,TRUE,"Production &amp; Sales";#N/A,#N/A,TRUE,"Variable cost details";#N/A,#N/A,TRUE,"Variable cost sammary";#N/A,#N/A,TRUE,"Depreciation";#N/A,#N/A,TRUE,"Fixed cost details";#N/A,#N/A,TRUE,"Fixed cost sammary";#N/A,#N/A,TRUE,"Budget Sammary"}</definedName>
    <definedName name="oi_1" localSheetId="6" hidden="1">{#N/A,#N/A,TRUE,"Cover";#N/A,#N/A,TRUE,"Conts";#N/A,#N/A,TRUE,"VOS";#N/A,#N/A,TRUE,"Warrington";#N/A,#N/A,TRUE,"Widnes"}</definedName>
    <definedName name="oi_1" hidden="1">{#N/A,#N/A,TRUE,"Cover";#N/A,#N/A,TRUE,"Conts";#N/A,#N/A,TRUE,"VOS";#N/A,#N/A,TRUE,"Warrington";#N/A,#N/A,TRUE,"Widnes"}</definedName>
    <definedName name="OICBWQIUBEF" hidden="1">#REF!</definedName>
    <definedName name="oil"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oil"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oil"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OILK"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OILK"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OILK"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oir" localSheetId="0" hidden="1">{#N/A,#N/A,FALSE,"COVER PAGE";#N/A,#N/A,FALSE,"Page 2";#N/A,#N/A,FALSE,"Page 2";#N/A,#N/A,FALSE,"Page 4";#N/A,#N/A,FALSE,"Page5";#N/A,#N/A,FALSE,"Page 6";#N/A,#N/A,FALSE,"Page 7";#N/A,#N/A,FALSE,"Page 8";#N/A,#N/A,FALSE,"Page 10";#N/A,#N/A,FALSE,"Long-Term OCF Mult.";#N/A,#N/A,FALSE,"PCS Comp";#N/A,#N/A,FALSE,"OCS-CAPEX";#N/A,#N/A,FALSE,"Blank"}</definedName>
    <definedName name="oir" localSheetId="6" hidden="1">{#N/A,#N/A,FALSE,"COVER PAGE";#N/A,#N/A,FALSE,"Page 2";#N/A,#N/A,FALSE,"Page 2";#N/A,#N/A,FALSE,"Page 4";#N/A,#N/A,FALSE,"Page5";#N/A,#N/A,FALSE,"Page 6";#N/A,#N/A,FALSE,"Page 7";#N/A,#N/A,FALSE,"Page 8";#N/A,#N/A,FALSE,"Page 10";#N/A,#N/A,FALSE,"Long-Term OCF Mult.";#N/A,#N/A,FALSE,"PCS Comp";#N/A,#N/A,FALSE,"OCS-CAPEX";#N/A,#N/A,FALSE,"Blank"}</definedName>
    <definedName name="oir" hidden="1">{#N/A,#N/A,FALSE,"COVER PAGE";#N/A,#N/A,FALSE,"Page 2";#N/A,#N/A,FALSE,"Page 2";#N/A,#N/A,FALSE,"Page 4";#N/A,#N/A,FALSE,"Page5";#N/A,#N/A,FALSE,"Page 6";#N/A,#N/A,FALSE,"Page 7";#N/A,#N/A,FALSE,"Page 8";#N/A,#N/A,FALSE,"Page 10";#N/A,#N/A,FALSE,"Long-Term OCF Mult.";#N/A,#N/A,FALSE,"PCS Comp";#N/A,#N/A,FALSE,"OCS-CAPEX";#N/A,#N/A,FALSE,"Blank"}</definedName>
    <definedName name="OIUOUY" localSheetId="6" hidden="1">{"VIEW1",#N/A,FALSE,"P&amp;L Account 2001-2002";"VIEW2",#N/A,FALSE,"P&amp;L Account 2001-2002";"VIEW3",#N/A,FALSE,"P&amp;L Account 2001-2002";"VIEW4",#N/A,FALSE,"P&amp;L Account 2001-2002"}</definedName>
    <definedName name="OIUOUY" hidden="1">{"VIEW1",#N/A,FALSE,"P&amp;L Account 2001-2002";"VIEW2",#N/A,FALSE,"P&amp;L Account 2001-2002";"VIEW3",#N/A,FALSE,"P&amp;L Account 2001-2002";"VIEW4",#N/A,FALSE,"P&amp;L Account 2001-2002"}</definedName>
    <definedName name="OJBWQIBEUFV" hidden="1">#REF!</definedName>
    <definedName name="ok" localSheetId="0" hidden="1">{"Valuation - Letter",#N/A,TRUE,"Valuation Summary";"Financial Statements - Letter",#N/A,TRUE,"Results";"Results - Letter",#N/A,TRUE,"Results";"Ratios - Letter",#N/A,TRUE,"Results";"P2 Summary - Letter",#N/A,TRUE,"Results"}</definedName>
    <definedName name="OK" localSheetId="6" hidden="1">{#N/A,#N/A,FALSE,"Cover";#N/A,#N/A,FALSE,"LUMI";#N/A,#N/A,FALSE,"COMD";#N/A,#N/A,FALSE,"Valuation";#N/A,#N/A,FALSE,"Assumptions";#N/A,#N/A,FALSE,"Pooling";#N/A,#N/A,FALSE,"BalanceSheet"}</definedName>
    <definedName name="OK" hidden="1">{#N/A,#N/A,FALSE,"Cover";#N/A,#N/A,FALSE,"LUMI";#N/A,#N/A,FALSE,"COMD";#N/A,#N/A,FALSE,"Valuation";#N/A,#N/A,FALSE,"Assumptions";#N/A,#N/A,FALSE,"Pooling";#N/A,#N/A,FALSE,"BalanceSheet"}</definedName>
    <definedName name="OK_1" localSheetId="0" hidden="1">{#N/A,#N/A,FALSE,"REPORT"}</definedName>
    <definedName name="OK_1" localSheetId="6" hidden="1">{#N/A,#N/A,FALSE,"REPORT"}</definedName>
    <definedName name="OK_1" hidden="1">{#N/A,#N/A,FALSE,"REPORT"}</definedName>
    <definedName name="OK_1_1" localSheetId="0" hidden="1">{#N/A,#N/A,FALSE,"REPORT"}</definedName>
    <definedName name="OK_1_1" localSheetId="6" hidden="1">{#N/A,#N/A,FALSE,"REPORT"}</definedName>
    <definedName name="OK_1_1" hidden="1">{#N/A,#N/A,FALSE,"REPORT"}</definedName>
    <definedName name="OK_2" localSheetId="0" hidden="1">{#N/A,#N/A,FALSE,"REPORT"}</definedName>
    <definedName name="OK_2" localSheetId="6" hidden="1">{#N/A,#N/A,FALSE,"REPORT"}</definedName>
    <definedName name="OK_2" hidden="1">{#N/A,#N/A,FALSE,"REPORT"}</definedName>
    <definedName name="OK_3" localSheetId="0" hidden="1">{#N/A,#N/A,FALSE,"REPORT"}</definedName>
    <definedName name="OK_3" localSheetId="6" hidden="1">{#N/A,#N/A,FALSE,"REPORT"}</definedName>
    <definedName name="OK_3" hidden="1">{#N/A,#N/A,FALSE,"REPORT"}</definedName>
    <definedName name="OK_4" localSheetId="0" hidden="1">{#N/A,#N/A,FALSE,"REPORT"}</definedName>
    <definedName name="OK_4" localSheetId="6" hidden="1">{#N/A,#N/A,FALSE,"REPORT"}</definedName>
    <definedName name="OK_4" hidden="1">{#N/A,#N/A,FALSE,"REPORT"}</definedName>
    <definedName name="OK_5" localSheetId="0" hidden="1">{#N/A,#N/A,FALSE,"REPORT"}</definedName>
    <definedName name="OK_5" localSheetId="6" hidden="1">{#N/A,#N/A,FALSE,"REPORT"}</definedName>
    <definedName name="OK_5" hidden="1">{#N/A,#N/A,FALSE,"REPORT"}</definedName>
    <definedName name="oknweobvf" hidden="1">#REF!</definedName>
    <definedName name="oku" localSheetId="0" hidden="1">{"equity comps",#N/A,FALSE,"CS Comps";"equity comps",#N/A,FALSE,"PS Comps";"equity comps",#N/A,FALSE,"GIC_Comps";"equity comps",#N/A,FALSE,"GIC2_Comps";"debt comps",#N/A,FALSE,"CS Comps";"debt comps",#N/A,FALSE,"PS Comps";"debt comps",#N/A,FALSE,"GIC_Comps";"debt comps",#N/A,FALSE,"GIC2_Comps"}</definedName>
    <definedName name="oku" localSheetId="6" hidden="1">{"equity comps",#N/A,FALSE,"CS Comps";"equity comps",#N/A,FALSE,"PS Comps";"equity comps",#N/A,FALSE,"GIC_Comps";"equity comps",#N/A,FALSE,"GIC2_Comps";"debt comps",#N/A,FALSE,"CS Comps";"debt comps",#N/A,FALSE,"PS Comps";"debt comps",#N/A,FALSE,"GIC_Comps";"debt comps",#N/A,FALSE,"GIC2_Comps"}</definedName>
    <definedName name="oku" hidden="1">{"equity comps",#N/A,FALSE,"CS Comps";"equity comps",#N/A,FALSE,"PS Comps";"equity comps",#N/A,FALSE,"GIC_Comps";"equity comps",#N/A,FALSE,"GIC2_Comps";"debt comps",#N/A,FALSE,"CS Comps";"debt comps",#N/A,FALSE,"PS Comps";"debt comps",#N/A,FALSE,"GIC_Comps";"debt comps",#N/A,FALSE,"GIC2_Comps"}</definedName>
    <definedName name="OL" localSheetId="0" hidden="1">{#N/A,#N/A,TRUE,"0 Deckbl.";#N/A,#N/A,TRUE,"S 1 Komm";#N/A,#N/A,TRUE,"S 1a Komm";#N/A,#N/A,TRUE,"S 1b Komm";#N/A,#N/A,TRUE,"S  2 DBR";#N/A,#N/A,TRUE,"S  3 Sparten";#N/A,#N/A,TRUE,"S 4  Betr. K.";#N/A,#N/A,TRUE,"6 Bilanz";#N/A,#N/A,TRUE,"6a Bilanz ";#N/A,#N/A,TRUE,"6b Bilanz ";#N/A,#N/A,TRUE,"7 GS I";#N/A,#N/A,TRUE,"S 8 EQ-GuV"}</definedName>
    <definedName name="OL" localSheetId="6" hidden="1">{#N/A,#N/A,TRUE,"0 Deckbl.";#N/A,#N/A,TRUE,"S 1 Komm";#N/A,#N/A,TRUE,"S 1a Komm";#N/A,#N/A,TRUE,"S 1b Komm";#N/A,#N/A,TRUE,"S  2 DBR";#N/A,#N/A,TRUE,"S  3 Sparten";#N/A,#N/A,TRUE,"S 4  Betr. K.";#N/A,#N/A,TRUE,"6 Bilanz";#N/A,#N/A,TRUE,"6a Bilanz ";#N/A,#N/A,TRUE,"6b Bilanz ";#N/A,#N/A,TRUE,"7 GS I";#N/A,#N/A,TRUE,"S 8 EQ-GuV"}</definedName>
    <definedName name="OL" hidden="1">{#N/A,#N/A,TRUE,"0 Deckbl.";#N/A,#N/A,TRUE,"S 1 Komm";#N/A,#N/A,TRUE,"S 1a Komm";#N/A,#N/A,TRUE,"S 1b Komm";#N/A,#N/A,TRUE,"S  2 DBR";#N/A,#N/A,TRUE,"S  3 Sparten";#N/A,#N/A,TRUE,"S 4  Betr. K.";#N/A,#N/A,TRUE,"6 Bilanz";#N/A,#N/A,TRUE,"6a Bilanz ";#N/A,#N/A,TRUE,"6b Bilanz ";#N/A,#N/A,TRUE,"7 GS I";#N/A,#N/A,TRUE,"S 8 EQ-GuV"}</definedName>
    <definedName name="OLAYA">#REF!</definedName>
    <definedName name="olet">#REF!</definedName>
    <definedName name="oli" localSheetId="0" hidden="1">{"'INDICE'!$A$1:$K$13","'1'!$A$1:$CC$78","'2'!$A$1:$P$78","'3'!$A$1:$CI$78","'4'!$A$1:$Q$78"}</definedName>
    <definedName name="oli" localSheetId="6" hidden="1">{"'INDICE'!$A$1:$K$13","'1'!$A$1:$CC$78","'2'!$A$1:$P$78","'3'!$A$1:$CI$78","'4'!$A$1:$Q$78"}</definedName>
    <definedName name="oli" hidden="1">{"'INDICE'!$A$1:$K$13","'1'!$A$1:$CC$78","'2'!$A$1:$P$78","'3'!$A$1:$CI$78","'4'!$A$1:$Q$78"}</definedName>
    <definedName name="oli_1" localSheetId="0" hidden="1">{"'INDICE'!$A$1:$K$13","'1'!$A$1:$CC$78","'2'!$A$1:$P$78","'3'!$A$1:$CI$78","'4'!$A$1:$Q$78"}</definedName>
    <definedName name="oli_1" localSheetId="6" hidden="1">{"'INDICE'!$A$1:$K$13","'1'!$A$1:$CC$78","'2'!$A$1:$P$78","'3'!$A$1:$CI$78","'4'!$A$1:$Q$78"}</definedName>
    <definedName name="oli_1" hidden="1">{"'INDICE'!$A$1:$K$13","'1'!$A$1:$CC$78","'2'!$A$1:$P$78","'3'!$A$1:$CI$78","'4'!$A$1:$Q$78"}</definedName>
    <definedName name="Oman">#REF!</definedName>
    <definedName name="omar" localSheetId="0" hidden="1">{#N/A,#N/A,TRUE,"PROFIT 11-95"}</definedName>
    <definedName name="omar" localSheetId="6" hidden="1">{#N/A,#N/A,TRUE,"PROFIT 11-95"}</definedName>
    <definedName name="omar" hidden="1">{#N/A,#N/A,TRUE,"PROFIT 11-95"}</definedName>
    <definedName name="Omissions" localSheetId="6" hidden="1">{#N/A,#N/A,TRUE,"Cover";#N/A,#N/A,TRUE,"Conts";#N/A,#N/A,TRUE,"VOS";#N/A,#N/A,TRUE,"Warrington";#N/A,#N/A,TRUE,"Widnes"}</definedName>
    <definedName name="Omissions" hidden="1">{#N/A,#N/A,TRUE,"Cover";#N/A,#N/A,TRUE,"Conts";#N/A,#N/A,TRUE,"VOS";#N/A,#N/A,TRUE,"Warrington";#N/A,#N/A,TRUE,"Widnes"}</definedName>
    <definedName name="Omissions_1" localSheetId="6" hidden="1">{#N/A,#N/A,TRUE,"Cover";#N/A,#N/A,TRUE,"Conts";#N/A,#N/A,TRUE,"VOS";#N/A,#N/A,TRUE,"Warrington";#N/A,#N/A,TRUE,"Widnes"}</definedName>
    <definedName name="Omissions_1" hidden="1">{#N/A,#N/A,TRUE,"Cover";#N/A,#N/A,TRUE,"Conts";#N/A,#N/A,TRUE,"VOS";#N/A,#N/A,TRUE,"Warrington";#N/A,#N/A,TRUE,"Widnes"}</definedName>
    <definedName name="ONAIZA">#REF!</definedName>
    <definedName name="one" localSheetId="6" hidden="1">{"'IM V02'!$A$1:$W$57"}</definedName>
    <definedName name="one" hidden="1">{"'IM V02'!$A$1:$W$57"}</definedName>
    <definedName name="onon" localSheetId="0" hidden="1">{#N/A,#N/A,FALSE,"Tabl. D1";#N/A,#N/A,FALSE,"Tabl. D1 b";#N/A,#N/A,FALSE,"Tabl. D2";#N/A,#N/A,FALSE,"Tabl. D2 b";#N/A,#N/A,FALSE,"Tabl. D3";#N/A,#N/A,FALSE,"Tabl. D4";#N/A,#N/A,FALSE,"Tabl. D5"}</definedName>
    <definedName name="onon" localSheetId="6" hidden="1">{#N/A,#N/A,FALSE,"Tabl. D1";#N/A,#N/A,FALSE,"Tabl. D1 b";#N/A,#N/A,FALSE,"Tabl. D2";#N/A,#N/A,FALSE,"Tabl. D2 b";#N/A,#N/A,FALSE,"Tabl. D3";#N/A,#N/A,FALSE,"Tabl. D4";#N/A,#N/A,FALSE,"Tabl. D5"}</definedName>
    <definedName name="onon" hidden="1">{#N/A,#N/A,FALSE,"Tabl. D1";#N/A,#N/A,FALSE,"Tabl. D1 b";#N/A,#N/A,FALSE,"Tabl. D2";#N/A,#N/A,FALSE,"Tabl. D2 b";#N/A,#N/A,FALSE,"Tabl. D3";#N/A,#N/A,FALSE,"Tabl. D4";#N/A,#N/A,FALSE,"Tabl. D5"}</definedName>
    <definedName name="oo" localSheetId="0" hidden="1">{#N/A,#N/A,TRUE,"Cover sheet";#N/A,#N/A,TRUE,"Summary";#N/A,#N/A,TRUE,"Key Assumptions";#N/A,#N/A,TRUE,"Profit &amp; Loss";#N/A,#N/A,TRUE,"Balance Sheet";#N/A,#N/A,TRUE,"Cashflow";#N/A,#N/A,TRUE,"IRR";#N/A,#N/A,TRUE,"Ratios";#N/A,#N/A,TRUE,"Debt analysis"}</definedName>
    <definedName name="oo" localSheetId="6" hidden="1">{#N/A,#N/A,TRUE,"Cover sheet";#N/A,#N/A,TRUE,"Summary";#N/A,#N/A,TRUE,"Key Assumptions";#N/A,#N/A,TRUE,"Profit &amp; Loss";#N/A,#N/A,TRUE,"Balance Sheet";#N/A,#N/A,TRUE,"Cashflow";#N/A,#N/A,TRUE,"IRR";#N/A,#N/A,TRUE,"Ratios";#N/A,#N/A,TRUE,"Debt analysis"}</definedName>
    <definedName name="oo" hidden="1">{#N/A,#N/A,TRUE,"Cover sheet";#N/A,#N/A,TRUE,"Summary";#N/A,#N/A,TRUE,"Key Assumptions";#N/A,#N/A,TRUE,"Profit &amp; Loss";#N/A,#N/A,TRUE,"Balance Sheet";#N/A,#N/A,TRUE,"Cashflow";#N/A,#N/A,TRUE,"IRR";#N/A,#N/A,TRUE,"Ratios";#N/A,#N/A,TRUE,"Debt analysis"}</definedName>
    <definedName name="oo.ll" localSheetId="0" hidden="1">{#N/A,#N/A,FALSE,"Umsatz HM";#N/A,#N/A,FALSE,"ER HM";#N/A,#N/A,FALSE,"EA HM  (2)";#N/A,#N/A,FALSE,"EA HM ";#N/A,#N/A,FALSE,"EA HM  (4)";#N/A,#N/A,FALSE,"EA HM  (3)";#N/A,#N/A,FALSE,"KA HM  (2)";#N/A,#N/A,FALSE,"KA HM";#N/A,#N/A,FALSE,"KA HM  (3)";#N/A,#N/A,FALSE,"KA HM (4)"}</definedName>
    <definedName name="oo.ll" localSheetId="6" hidden="1">{#N/A,#N/A,FALSE,"Umsatz HM";#N/A,#N/A,FALSE,"ER HM";#N/A,#N/A,FALSE,"EA HM  (2)";#N/A,#N/A,FALSE,"EA HM ";#N/A,#N/A,FALSE,"EA HM  (4)";#N/A,#N/A,FALSE,"EA HM  (3)";#N/A,#N/A,FALSE,"KA HM  (2)";#N/A,#N/A,FALSE,"KA HM";#N/A,#N/A,FALSE,"KA HM  (3)";#N/A,#N/A,FALSE,"KA HM (4)"}</definedName>
    <definedName name="oo.ll" hidden="1">{#N/A,#N/A,FALSE,"Umsatz HM";#N/A,#N/A,FALSE,"ER HM";#N/A,#N/A,FALSE,"EA HM  (2)";#N/A,#N/A,FALSE,"EA HM ";#N/A,#N/A,FALSE,"EA HM  (4)";#N/A,#N/A,FALSE,"EA HM  (3)";#N/A,#N/A,FALSE,"KA HM  (2)";#N/A,#N/A,FALSE,"KA HM";#N/A,#N/A,FALSE,"KA HM  (3)";#N/A,#N/A,FALSE,"KA HM (4)"}</definedName>
    <definedName name="oo.ll_1" localSheetId="0" hidden="1">{#N/A,#N/A,FALSE,"Umsatz HM";#N/A,#N/A,FALSE,"ER HM";#N/A,#N/A,FALSE,"EA HM  (2)";#N/A,#N/A,FALSE,"EA HM ";#N/A,#N/A,FALSE,"EA HM  (4)";#N/A,#N/A,FALSE,"EA HM  (3)";#N/A,#N/A,FALSE,"KA HM  (2)";#N/A,#N/A,FALSE,"KA HM";#N/A,#N/A,FALSE,"KA HM  (3)";#N/A,#N/A,FALSE,"KA HM (4)"}</definedName>
    <definedName name="oo.ll_1" localSheetId="6" hidden="1">{#N/A,#N/A,FALSE,"Umsatz HM";#N/A,#N/A,FALSE,"ER HM";#N/A,#N/A,FALSE,"EA HM  (2)";#N/A,#N/A,FALSE,"EA HM ";#N/A,#N/A,FALSE,"EA HM  (4)";#N/A,#N/A,FALSE,"EA HM  (3)";#N/A,#N/A,FALSE,"KA HM  (2)";#N/A,#N/A,FALSE,"KA HM";#N/A,#N/A,FALSE,"KA HM  (3)";#N/A,#N/A,FALSE,"KA HM (4)"}</definedName>
    <definedName name="oo.ll_1" hidden="1">{#N/A,#N/A,FALSE,"Umsatz HM";#N/A,#N/A,FALSE,"ER HM";#N/A,#N/A,FALSE,"EA HM  (2)";#N/A,#N/A,FALSE,"EA HM ";#N/A,#N/A,FALSE,"EA HM  (4)";#N/A,#N/A,FALSE,"EA HM  (3)";#N/A,#N/A,FALSE,"KA HM  (2)";#N/A,#N/A,FALSE,"KA HM";#N/A,#N/A,FALSE,"KA HM  (3)";#N/A,#N/A,FALSE,"KA HM (4)"}</definedName>
    <definedName name="oo.ll_1_1" localSheetId="0" hidden="1">{#N/A,#N/A,FALSE,"Umsatz HM";#N/A,#N/A,FALSE,"ER HM";#N/A,#N/A,FALSE,"EA HM  (2)";#N/A,#N/A,FALSE,"EA HM ";#N/A,#N/A,FALSE,"EA HM  (4)";#N/A,#N/A,FALSE,"EA HM  (3)";#N/A,#N/A,FALSE,"KA HM  (2)";#N/A,#N/A,FALSE,"KA HM";#N/A,#N/A,FALSE,"KA HM  (3)";#N/A,#N/A,FALSE,"KA HM (4)"}</definedName>
    <definedName name="oo.ll_1_1" localSheetId="6" hidden="1">{#N/A,#N/A,FALSE,"Umsatz HM";#N/A,#N/A,FALSE,"ER HM";#N/A,#N/A,FALSE,"EA HM  (2)";#N/A,#N/A,FALSE,"EA HM ";#N/A,#N/A,FALSE,"EA HM  (4)";#N/A,#N/A,FALSE,"EA HM  (3)";#N/A,#N/A,FALSE,"KA HM  (2)";#N/A,#N/A,FALSE,"KA HM";#N/A,#N/A,FALSE,"KA HM  (3)";#N/A,#N/A,FALSE,"KA HM (4)"}</definedName>
    <definedName name="oo.ll_1_1" hidden="1">{#N/A,#N/A,FALSE,"Umsatz HM";#N/A,#N/A,FALSE,"ER HM";#N/A,#N/A,FALSE,"EA HM  (2)";#N/A,#N/A,FALSE,"EA HM ";#N/A,#N/A,FALSE,"EA HM  (4)";#N/A,#N/A,FALSE,"EA HM  (3)";#N/A,#N/A,FALSE,"KA HM  (2)";#N/A,#N/A,FALSE,"KA HM";#N/A,#N/A,FALSE,"KA HM  (3)";#N/A,#N/A,FALSE,"KA HM (4)"}</definedName>
    <definedName name="oo.ll_2" localSheetId="0" hidden="1">{#N/A,#N/A,FALSE,"Umsatz HM";#N/A,#N/A,FALSE,"ER HM";#N/A,#N/A,FALSE,"EA HM  (2)";#N/A,#N/A,FALSE,"EA HM ";#N/A,#N/A,FALSE,"EA HM  (4)";#N/A,#N/A,FALSE,"EA HM  (3)";#N/A,#N/A,FALSE,"KA HM  (2)";#N/A,#N/A,FALSE,"KA HM";#N/A,#N/A,FALSE,"KA HM  (3)";#N/A,#N/A,FALSE,"KA HM (4)"}</definedName>
    <definedName name="oo.ll_2" localSheetId="6" hidden="1">{#N/A,#N/A,FALSE,"Umsatz HM";#N/A,#N/A,FALSE,"ER HM";#N/A,#N/A,FALSE,"EA HM  (2)";#N/A,#N/A,FALSE,"EA HM ";#N/A,#N/A,FALSE,"EA HM  (4)";#N/A,#N/A,FALSE,"EA HM  (3)";#N/A,#N/A,FALSE,"KA HM  (2)";#N/A,#N/A,FALSE,"KA HM";#N/A,#N/A,FALSE,"KA HM  (3)";#N/A,#N/A,FALSE,"KA HM (4)"}</definedName>
    <definedName name="oo.ll_2" hidden="1">{#N/A,#N/A,FALSE,"Umsatz HM";#N/A,#N/A,FALSE,"ER HM";#N/A,#N/A,FALSE,"EA HM  (2)";#N/A,#N/A,FALSE,"EA HM ";#N/A,#N/A,FALSE,"EA HM  (4)";#N/A,#N/A,FALSE,"EA HM  (3)";#N/A,#N/A,FALSE,"KA HM  (2)";#N/A,#N/A,FALSE,"KA HM";#N/A,#N/A,FALSE,"KA HM  (3)";#N/A,#N/A,FALSE,"KA HM (4)"}</definedName>
    <definedName name="oo.ll_3" localSheetId="0" hidden="1">{#N/A,#N/A,FALSE,"Umsatz HM";#N/A,#N/A,FALSE,"ER HM";#N/A,#N/A,FALSE,"EA HM  (2)";#N/A,#N/A,FALSE,"EA HM ";#N/A,#N/A,FALSE,"EA HM  (4)";#N/A,#N/A,FALSE,"EA HM  (3)";#N/A,#N/A,FALSE,"KA HM  (2)";#N/A,#N/A,FALSE,"KA HM";#N/A,#N/A,FALSE,"KA HM  (3)";#N/A,#N/A,FALSE,"KA HM (4)"}</definedName>
    <definedName name="oo.ll_3" localSheetId="6" hidden="1">{#N/A,#N/A,FALSE,"Umsatz HM";#N/A,#N/A,FALSE,"ER HM";#N/A,#N/A,FALSE,"EA HM  (2)";#N/A,#N/A,FALSE,"EA HM ";#N/A,#N/A,FALSE,"EA HM  (4)";#N/A,#N/A,FALSE,"EA HM  (3)";#N/A,#N/A,FALSE,"KA HM  (2)";#N/A,#N/A,FALSE,"KA HM";#N/A,#N/A,FALSE,"KA HM  (3)";#N/A,#N/A,FALSE,"KA HM (4)"}</definedName>
    <definedName name="oo.ll_3" hidden="1">{#N/A,#N/A,FALSE,"Umsatz HM";#N/A,#N/A,FALSE,"ER HM";#N/A,#N/A,FALSE,"EA HM  (2)";#N/A,#N/A,FALSE,"EA HM ";#N/A,#N/A,FALSE,"EA HM  (4)";#N/A,#N/A,FALSE,"EA HM  (3)";#N/A,#N/A,FALSE,"KA HM  (2)";#N/A,#N/A,FALSE,"KA HM";#N/A,#N/A,FALSE,"KA HM  (3)";#N/A,#N/A,FALSE,"KA HM (4)"}</definedName>
    <definedName name="oo.ll_4" localSheetId="0" hidden="1">{#N/A,#N/A,FALSE,"Umsatz HM";#N/A,#N/A,FALSE,"ER HM";#N/A,#N/A,FALSE,"EA HM  (2)";#N/A,#N/A,FALSE,"EA HM ";#N/A,#N/A,FALSE,"EA HM  (4)";#N/A,#N/A,FALSE,"EA HM  (3)";#N/A,#N/A,FALSE,"KA HM  (2)";#N/A,#N/A,FALSE,"KA HM";#N/A,#N/A,FALSE,"KA HM  (3)";#N/A,#N/A,FALSE,"KA HM (4)"}</definedName>
    <definedName name="oo.ll_4" localSheetId="6" hidden="1">{#N/A,#N/A,FALSE,"Umsatz HM";#N/A,#N/A,FALSE,"ER HM";#N/A,#N/A,FALSE,"EA HM  (2)";#N/A,#N/A,FALSE,"EA HM ";#N/A,#N/A,FALSE,"EA HM  (4)";#N/A,#N/A,FALSE,"EA HM  (3)";#N/A,#N/A,FALSE,"KA HM  (2)";#N/A,#N/A,FALSE,"KA HM";#N/A,#N/A,FALSE,"KA HM  (3)";#N/A,#N/A,FALSE,"KA HM (4)"}</definedName>
    <definedName name="oo.ll_4" hidden="1">{#N/A,#N/A,FALSE,"Umsatz HM";#N/A,#N/A,FALSE,"ER HM";#N/A,#N/A,FALSE,"EA HM  (2)";#N/A,#N/A,FALSE,"EA HM ";#N/A,#N/A,FALSE,"EA HM  (4)";#N/A,#N/A,FALSE,"EA HM  (3)";#N/A,#N/A,FALSE,"KA HM  (2)";#N/A,#N/A,FALSE,"KA HM";#N/A,#N/A,FALSE,"KA HM  (3)";#N/A,#N/A,FALSE,"KA HM (4)"}</definedName>
    <definedName name="oo.ll_5" localSheetId="0" hidden="1">{#N/A,#N/A,FALSE,"Umsatz HM";#N/A,#N/A,FALSE,"ER HM";#N/A,#N/A,FALSE,"EA HM  (2)";#N/A,#N/A,FALSE,"EA HM ";#N/A,#N/A,FALSE,"EA HM  (4)";#N/A,#N/A,FALSE,"EA HM  (3)";#N/A,#N/A,FALSE,"KA HM  (2)";#N/A,#N/A,FALSE,"KA HM";#N/A,#N/A,FALSE,"KA HM  (3)";#N/A,#N/A,FALSE,"KA HM (4)"}</definedName>
    <definedName name="oo.ll_5" localSheetId="6" hidden="1">{#N/A,#N/A,FALSE,"Umsatz HM";#N/A,#N/A,FALSE,"ER HM";#N/A,#N/A,FALSE,"EA HM  (2)";#N/A,#N/A,FALSE,"EA HM ";#N/A,#N/A,FALSE,"EA HM  (4)";#N/A,#N/A,FALSE,"EA HM  (3)";#N/A,#N/A,FALSE,"KA HM  (2)";#N/A,#N/A,FALSE,"KA HM";#N/A,#N/A,FALSE,"KA HM  (3)";#N/A,#N/A,FALSE,"KA HM (4)"}</definedName>
    <definedName name="oo.ll_5" hidden="1">{#N/A,#N/A,FALSE,"Umsatz HM";#N/A,#N/A,FALSE,"ER HM";#N/A,#N/A,FALSE,"EA HM  (2)";#N/A,#N/A,FALSE,"EA HM ";#N/A,#N/A,FALSE,"EA HM  (4)";#N/A,#N/A,FALSE,"EA HM  (3)";#N/A,#N/A,FALSE,"KA HM  (2)";#N/A,#N/A,FALSE,"KA HM";#N/A,#N/A,FALSE,"KA HM  (3)";#N/A,#N/A,FALSE,"KA HM (4)"}</definedName>
    <definedName name="ööl" localSheetId="0" hidden="1">{#N/A,#N/A,FALSE,"KA CH  (2)"}</definedName>
    <definedName name="ööl" localSheetId="6" hidden="1">{#N/A,#N/A,FALSE,"KA CH  (2)"}</definedName>
    <definedName name="ööl" hidden="1">{#N/A,#N/A,FALSE,"KA CH  (2)"}</definedName>
    <definedName name="ööl_1" localSheetId="0" hidden="1">{#N/A,#N/A,FALSE,"KA CH  (2)"}</definedName>
    <definedName name="ööl_1" localSheetId="6" hidden="1">{#N/A,#N/A,FALSE,"KA CH  (2)"}</definedName>
    <definedName name="ööl_1" hidden="1">{#N/A,#N/A,FALSE,"KA CH  (2)"}</definedName>
    <definedName name="ööl_1_1" localSheetId="0" hidden="1">{#N/A,#N/A,FALSE,"KA CH  (2)"}</definedName>
    <definedName name="ööl_1_1" localSheetId="6" hidden="1">{#N/A,#N/A,FALSE,"KA CH  (2)"}</definedName>
    <definedName name="ööl_1_1" hidden="1">{#N/A,#N/A,FALSE,"KA CH  (2)"}</definedName>
    <definedName name="ööl_2" localSheetId="0" hidden="1">{#N/A,#N/A,FALSE,"KA CH  (2)"}</definedName>
    <definedName name="ööl_2" localSheetId="6" hidden="1">{#N/A,#N/A,FALSE,"KA CH  (2)"}</definedName>
    <definedName name="ööl_2" hidden="1">{#N/A,#N/A,FALSE,"KA CH  (2)"}</definedName>
    <definedName name="ööl_3" localSheetId="0" hidden="1">{#N/A,#N/A,FALSE,"KA CH  (2)"}</definedName>
    <definedName name="ööl_3" localSheetId="6" hidden="1">{#N/A,#N/A,FALSE,"KA CH  (2)"}</definedName>
    <definedName name="ööl_3" hidden="1">{#N/A,#N/A,FALSE,"KA CH  (2)"}</definedName>
    <definedName name="ööl_4" localSheetId="0" hidden="1">{#N/A,#N/A,FALSE,"KA CH  (2)"}</definedName>
    <definedName name="ööl_4" localSheetId="6" hidden="1">{#N/A,#N/A,FALSE,"KA CH  (2)"}</definedName>
    <definedName name="ööl_4" hidden="1">{#N/A,#N/A,FALSE,"KA CH  (2)"}</definedName>
    <definedName name="ööl_5" localSheetId="0" hidden="1">{#N/A,#N/A,FALSE,"KA CH  (2)"}</definedName>
    <definedName name="ööl_5" localSheetId="6" hidden="1">{#N/A,#N/A,FALSE,"KA CH  (2)"}</definedName>
    <definedName name="ööl_5" hidden="1">{#N/A,#N/A,FALSE,"KA CH  (2)"}</definedName>
    <definedName name="öölälkk" localSheetId="0" hidden="1">{#N/A,#N/A,FALSE,"Umsatz 99";#N/A,#N/A,FALSE,"ER 99 "}</definedName>
    <definedName name="öölälkk" localSheetId="6" hidden="1">{#N/A,#N/A,FALSE,"Umsatz 99";#N/A,#N/A,FALSE,"ER 99 "}</definedName>
    <definedName name="öölälkk" hidden="1">{#N/A,#N/A,FALSE,"Umsatz 99";#N/A,#N/A,FALSE,"ER 99 "}</definedName>
    <definedName name="öölälkk_1" localSheetId="0" hidden="1">{#N/A,#N/A,FALSE,"Umsatz 99";#N/A,#N/A,FALSE,"ER 99 "}</definedName>
    <definedName name="öölälkk_1" localSheetId="6" hidden="1">{#N/A,#N/A,FALSE,"Umsatz 99";#N/A,#N/A,FALSE,"ER 99 "}</definedName>
    <definedName name="öölälkk_1" hidden="1">{#N/A,#N/A,FALSE,"Umsatz 99";#N/A,#N/A,FALSE,"ER 99 "}</definedName>
    <definedName name="öölälkk_1_1" localSheetId="0" hidden="1">{#N/A,#N/A,FALSE,"Umsatz 99";#N/A,#N/A,FALSE,"ER 99 "}</definedName>
    <definedName name="öölälkk_1_1" localSheetId="6" hidden="1">{#N/A,#N/A,FALSE,"Umsatz 99";#N/A,#N/A,FALSE,"ER 99 "}</definedName>
    <definedName name="öölälkk_1_1" hidden="1">{#N/A,#N/A,FALSE,"Umsatz 99";#N/A,#N/A,FALSE,"ER 99 "}</definedName>
    <definedName name="öölälkk_2" localSheetId="0" hidden="1">{#N/A,#N/A,FALSE,"Umsatz 99";#N/A,#N/A,FALSE,"ER 99 "}</definedName>
    <definedName name="öölälkk_2" localSheetId="6" hidden="1">{#N/A,#N/A,FALSE,"Umsatz 99";#N/A,#N/A,FALSE,"ER 99 "}</definedName>
    <definedName name="öölälkk_2" hidden="1">{#N/A,#N/A,FALSE,"Umsatz 99";#N/A,#N/A,FALSE,"ER 99 "}</definedName>
    <definedName name="öölälkk_3" localSheetId="0" hidden="1">{#N/A,#N/A,FALSE,"Umsatz 99";#N/A,#N/A,FALSE,"ER 99 "}</definedName>
    <definedName name="öölälkk_3" localSheetId="6" hidden="1">{#N/A,#N/A,FALSE,"Umsatz 99";#N/A,#N/A,FALSE,"ER 99 "}</definedName>
    <definedName name="öölälkk_3" hidden="1">{#N/A,#N/A,FALSE,"Umsatz 99";#N/A,#N/A,FALSE,"ER 99 "}</definedName>
    <definedName name="öölälkk_4" localSheetId="0" hidden="1">{#N/A,#N/A,FALSE,"Umsatz 99";#N/A,#N/A,FALSE,"ER 99 "}</definedName>
    <definedName name="öölälkk_4" localSheetId="6" hidden="1">{#N/A,#N/A,FALSE,"Umsatz 99";#N/A,#N/A,FALSE,"ER 99 "}</definedName>
    <definedName name="öölälkk_4" hidden="1">{#N/A,#N/A,FALSE,"Umsatz 99";#N/A,#N/A,FALSE,"ER 99 "}</definedName>
    <definedName name="öölälkk_5" localSheetId="0" hidden="1">{#N/A,#N/A,FALSE,"Umsatz 99";#N/A,#N/A,FALSE,"ER 99 "}</definedName>
    <definedName name="öölälkk_5" localSheetId="6" hidden="1">{#N/A,#N/A,FALSE,"Umsatz 99";#N/A,#N/A,FALSE,"ER 99 "}</definedName>
    <definedName name="öölälkk_5" hidden="1">{#N/A,#N/A,FALSE,"Umsatz 99";#N/A,#N/A,FALSE,"ER 99 "}</definedName>
    <definedName name="öölkk" localSheetId="0" hidden="1">{#N/A,#N/A,FALSE,"Umsatz CH";#N/A,#N/A,FALSE,"ER CH";#N/A,#N/A,FALSE,"EA CH (2) ";#N/A,#N/A,FALSE,"EA CH";#N/A,#N/A,FALSE,"EA CH (3) ";#N/A,#N/A,FALSE,"EA CH (4)";#N/A,#N/A,FALSE,"KA CH";#N/A,#N/A,FALSE,"KA CH  (2)";#N/A,#N/A,FALSE,"KA CH  (3)";#N/A,#N/A,FALSE,"KA CH (4)"}</definedName>
    <definedName name="öölkk" localSheetId="6" hidden="1">{#N/A,#N/A,FALSE,"Umsatz CH";#N/A,#N/A,FALSE,"ER CH";#N/A,#N/A,FALSE,"EA CH (2) ";#N/A,#N/A,FALSE,"EA CH";#N/A,#N/A,FALSE,"EA CH (3) ";#N/A,#N/A,FALSE,"EA CH (4)";#N/A,#N/A,FALSE,"KA CH";#N/A,#N/A,FALSE,"KA CH  (2)";#N/A,#N/A,FALSE,"KA CH  (3)";#N/A,#N/A,FALSE,"KA CH (4)"}</definedName>
    <definedName name="öölkk" hidden="1">{#N/A,#N/A,FALSE,"Umsatz CH";#N/A,#N/A,FALSE,"ER CH";#N/A,#N/A,FALSE,"EA CH (2) ";#N/A,#N/A,FALSE,"EA CH";#N/A,#N/A,FALSE,"EA CH (3) ";#N/A,#N/A,FALSE,"EA CH (4)";#N/A,#N/A,FALSE,"KA CH";#N/A,#N/A,FALSE,"KA CH  (2)";#N/A,#N/A,FALSE,"KA CH  (3)";#N/A,#N/A,FALSE,"KA CH (4)"}</definedName>
    <definedName name="öölkk_1" localSheetId="0" hidden="1">{#N/A,#N/A,FALSE,"Umsatz CH";#N/A,#N/A,FALSE,"ER CH";#N/A,#N/A,FALSE,"EA CH (2) ";#N/A,#N/A,FALSE,"EA CH";#N/A,#N/A,FALSE,"EA CH (3) ";#N/A,#N/A,FALSE,"EA CH (4)";#N/A,#N/A,FALSE,"KA CH";#N/A,#N/A,FALSE,"KA CH  (2)";#N/A,#N/A,FALSE,"KA CH  (3)";#N/A,#N/A,FALSE,"KA CH (4)"}</definedName>
    <definedName name="öölkk_1" localSheetId="6" hidden="1">{#N/A,#N/A,FALSE,"Umsatz CH";#N/A,#N/A,FALSE,"ER CH";#N/A,#N/A,FALSE,"EA CH (2) ";#N/A,#N/A,FALSE,"EA CH";#N/A,#N/A,FALSE,"EA CH (3) ";#N/A,#N/A,FALSE,"EA CH (4)";#N/A,#N/A,FALSE,"KA CH";#N/A,#N/A,FALSE,"KA CH  (2)";#N/A,#N/A,FALSE,"KA CH  (3)";#N/A,#N/A,FALSE,"KA CH (4)"}</definedName>
    <definedName name="öölkk_1" hidden="1">{#N/A,#N/A,FALSE,"Umsatz CH";#N/A,#N/A,FALSE,"ER CH";#N/A,#N/A,FALSE,"EA CH (2) ";#N/A,#N/A,FALSE,"EA CH";#N/A,#N/A,FALSE,"EA CH (3) ";#N/A,#N/A,FALSE,"EA CH (4)";#N/A,#N/A,FALSE,"KA CH";#N/A,#N/A,FALSE,"KA CH  (2)";#N/A,#N/A,FALSE,"KA CH  (3)";#N/A,#N/A,FALSE,"KA CH (4)"}</definedName>
    <definedName name="öölkk_1_1" localSheetId="0" hidden="1">{#N/A,#N/A,FALSE,"Umsatz CH";#N/A,#N/A,FALSE,"ER CH";#N/A,#N/A,FALSE,"EA CH (2) ";#N/A,#N/A,FALSE,"EA CH";#N/A,#N/A,FALSE,"EA CH (3) ";#N/A,#N/A,FALSE,"EA CH (4)";#N/A,#N/A,FALSE,"KA CH";#N/A,#N/A,FALSE,"KA CH  (2)";#N/A,#N/A,FALSE,"KA CH  (3)";#N/A,#N/A,FALSE,"KA CH (4)"}</definedName>
    <definedName name="öölkk_1_1" localSheetId="6" hidden="1">{#N/A,#N/A,FALSE,"Umsatz CH";#N/A,#N/A,FALSE,"ER CH";#N/A,#N/A,FALSE,"EA CH (2) ";#N/A,#N/A,FALSE,"EA CH";#N/A,#N/A,FALSE,"EA CH (3) ";#N/A,#N/A,FALSE,"EA CH (4)";#N/A,#N/A,FALSE,"KA CH";#N/A,#N/A,FALSE,"KA CH  (2)";#N/A,#N/A,FALSE,"KA CH  (3)";#N/A,#N/A,FALSE,"KA CH (4)"}</definedName>
    <definedName name="öölkk_1_1" hidden="1">{#N/A,#N/A,FALSE,"Umsatz CH";#N/A,#N/A,FALSE,"ER CH";#N/A,#N/A,FALSE,"EA CH (2) ";#N/A,#N/A,FALSE,"EA CH";#N/A,#N/A,FALSE,"EA CH (3) ";#N/A,#N/A,FALSE,"EA CH (4)";#N/A,#N/A,FALSE,"KA CH";#N/A,#N/A,FALSE,"KA CH  (2)";#N/A,#N/A,FALSE,"KA CH  (3)";#N/A,#N/A,FALSE,"KA CH (4)"}</definedName>
    <definedName name="öölkk_2" localSheetId="0" hidden="1">{#N/A,#N/A,FALSE,"Umsatz CH";#N/A,#N/A,FALSE,"ER CH";#N/A,#N/A,FALSE,"EA CH (2) ";#N/A,#N/A,FALSE,"EA CH";#N/A,#N/A,FALSE,"EA CH (3) ";#N/A,#N/A,FALSE,"EA CH (4)";#N/A,#N/A,FALSE,"KA CH";#N/A,#N/A,FALSE,"KA CH  (2)";#N/A,#N/A,FALSE,"KA CH  (3)";#N/A,#N/A,FALSE,"KA CH (4)"}</definedName>
    <definedName name="öölkk_2" localSheetId="6" hidden="1">{#N/A,#N/A,FALSE,"Umsatz CH";#N/A,#N/A,FALSE,"ER CH";#N/A,#N/A,FALSE,"EA CH (2) ";#N/A,#N/A,FALSE,"EA CH";#N/A,#N/A,FALSE,"EA CH (3) ";#N/A,#N/A,FALSE,"EA CH (4)";#N/A,#N/A,FALSE,"KA CH";#N/A,#N/A,FALSE,"KA CH  (2)";#N/A,#N/A,FALSE,"KA CH  (3)";#N/A,#N/A,FALSE,"KA CH (4)"}</definedName>
    <definedName name="öölkk_2" hidden="1">{#N/A,#N/A,FALSE,"Umsatz CH";#N/A,#N/A,FALSE,"ER CH";#N/A,#N/A,FALSE,"EA CH (2) ";#N/A,#N/A,FALSE,"EA CH";#N/A,#N/A,FALSE,"EA CH (3) ";#N/A,#N/A,FALSE,"EA CH (4)";#N/A,#N/A,FALSE,"KA CH";#N/A,#N/A,FALSE,"KA CH  (2)";#N/A,#N/A,FALSE,"KA CH  (3)";#N/A,#N/A,FALSE,"KA CH (4)"}</definedName>
    <definedName name="öölkk_3" localSheetId="0" hidden="1">{#N/A,#N/A,FALSE,"Umsatz CH";#N/A,#N/A,FALSE,"ER CH";#N/A,#N/A,FALSE,"EA CH (2) ";#N/A,#N/A,FALSE,"EA CH";#N/A,#N/A,FALSE,"EA CH (3) ";#N/A,#N/A,FALSE,"EA CH (4)";#N/A,#N/A,FALSE,"KA CH";#N/A,#N/A,FALSE,"KA CH  (2)";#N/A,#N/A,FALSE,"KA CH  (3)";#N/A,#N/A,FALSE,"KA CH (4)"}</definedName>
    <definedName name="öölkk_3" localSheetId="6" hidden="1">{#N/A,#N/A,FALSE,"Umsatz CH";#N/A,#N/A,FALSE,"ER CH";#N/A,#N/A,FALSE,"EA CH (2) ";#N/A,#N/A,FALSE,"EA CH";#N/A,#N/A,FALSE,"EA CH (3) ";#N/A,#N/A,FALSE,"EA CH (4)";#N/A,#N/A,FALSE,"KA CH";#N/A,#N/A,FALSE,"KA CH  (2)";#N/A,#N/A,FALSE,"KA CH  (3)";#N/A,#N/A,FALSE,"KA CH (4)"}</definedName>
    <definedName name="öölkk_3" hidden="1">{#N/A,#N/A,FALSE,"Umsatz CH";#N/A,#N/A,FALSE,"ER CH";#N/A,#N/A,FALSE,"EA CH (2) ";#N/A,#N/A,FALSE,"EA CH";#N/A,#N/A,FALSE,"EA CH (3) ";#N/A,#N/A,FALSE,"EA CH (4)";#N/A,#N/A,FALSE,"KA CH";#N/A,#N/A,FALSE,"KA CH  (2)";#N/A,#N/A,FALSE,"KA CH  (3)";#N/A,#N/A,FALSE,"KA CH (4)"}</definedName>
    <definedName name="öölkk_4" localSheetId="0" hidden="1">{#N/A,#N/A,FALSE,"Umsatz CH";#N/A,#N/A,FALSE,"ER CH";#N/A,#N/A,FALSE,"EA CH (2) ";#N/A,#N/A,FALSE,"EA CH";#N/A,#N/A,FALSE,"EA CH (3) ";#N/A,#N/A,FALSE,"EA CH (4)";#N/A,#N/A,FALSE,"KA CH";#N/A,#N/A,FALSE,"KA CH  (2)";#N/A,#N/A,FALSE,"KA CH  (3)";#N/A,#N/A,FALSE,"KA CH (4)"}</definedName>
    <definedName name="öölkk_4" localSheetId="6" hidden="1">{#N/A,#N/A,FALSE,"Umsatz CH";#N/A,#N/A,FALSE,"ER CH";#N/A,#N/A,FALSE,"EA CH (2) ";#N/A,#N/A,FALSE,"EA CH";#N/A,#N/A,FALSE,"EA CH (3) ";#N/A,#N/A,FALSE,"EA CH (4)";#N/A,#N/A,FALSE,"KA CH";#N/A,#N/A,FALSE,"KA CH  (2)";#N/A,#N/A,FALSE,"KA CH  (3)";#N/A,#N/A,FALSE,"KA CH (4)"}</definedName>
    <definedName name="öölkk_4" hidden="1">{#N/A,#N/A,FALSE,"Umsatz CH";#N/A,#N/A,FALSE,"ER CH";#N/A,#N/A,FALSE,"EA CH (2) ";#N/A,#N/A,FALSE,"EA CH";#N/A,#N/A,FALSE,"EA CH (3) ";#N/A,#N/A,FALSE,"EA CH (4)";#N/A,#N/A,FALSE,"KA CH";#N/A,#N/A,FALSE,"KA CH  (2)";#N/A,#N/A,FALSE,"KA CH  (3)";#N/A,#N/A,FALSE,"KA CH (4)"}</definedName>
    <definedName name="öölkk_5" localSheetId="0" hidden="1">{#N/A,#N/A,FALSE,"Umsatz CH";#N/A,#N/A,FALSE,"ER CH";#N/A,#N/A,FALSE,"EA CH (2) ";#N/A,#N/A,FALSE,"EA CH";#N/A,#N/A,FALSE,"EA CH (3) ";#N/A,#N/A,FALSE,"EA CH (4)";#N/A,#N/A,FALSE,"KA CH";#N/A,#N/A,FALSE,"KA CH  (2)";#N/A,#N/A,FALSE,"KA CH  (3)";#N/A,#N/A,FALSE,"KA CH (4)"}</definedName>
    <definedName name="öölkk_5" localSheetId="6" hidden="1">{#N/A,#N/A,FALSE,"Umsatz CH";#N/A,#N/A,FALSE,"ER CH";#N/A,#N/A,FALSE,"EA CH (2) ";#N/A,#N/A,FALSE,"EA CH";#N/A,#N/A,FALSE,"EA CH (3) ";#N/A,#N/A,FALSE,"EA CH (4)";#N/A,#N/A,FALSE,"KA CH";#N/A,#N/A,FALSE,"KA CH  (2)";#N/A,#N/A,FALSE,"KA CH  (3)";#N/A,#N/A,FALSE,"KA CH (4)"}</definedName>
    <definedName name="öölkk_5" hidden="1">{#N/A,#N/A,FALSE,"Umsatz CH";#N/A,#N/A,FALSE,"ER CH";#N/A,#N/A,FALSE,"EA CH (2) ";#N/A,#N/A,FALSE,"EA CH";#N/A,#N/A,FALSE,"EA CH (3) ";#N/A,#N/A,FALSE,"EA CH (4)";#N/A,#N/A,FALSE,"KA CH";#N/A,#N/A,FALSE,"KA CH  (2)";#N/A,#N/A,FALSE,"KA CH  (3)";#N/A,#N/A,FALSE,"KA CH (4)"}</definedName>
    <definedName name="oolo.lll" localSheetId="0" hidden="1">{#N/A,#N/A,FALSE,"Umsatz 99";#N/A,#N/A,FALSE,"ER 99 "}</definedName>
    <definedName name="oolo.lll" localSheetId="6" hidden="1">{#N/A,#N/A,FALSE,"Umsatz 99";#N/A,#N/A,FALSE,"ER 99 "}</definedName>
    <definedName name="oolo.lll" hidden="1">{#N/A,#N/A,FALSE,"Umsatz 99";#N/A,#N/A,FALSE,"ER 99 "}</definedName>
    <definedName name="oolo.lll_1" localSheetId="0" hidden="1">{#N/A,#N/A,FALSE,"Umsatz 99";#N/A,#N/A,FALSE,"ER 99 "}</definedName>
    <definedName name="oolo.lll_1" localSheetId="6" hidden="1">{#N/A,#N/A,FALSE,"Umsatz 99";#N/A,#N/A,FALSE,"ER 99 "}</definedName>
    <definedName name="oolo.lll_1" hidden="1">{#N/A,#N/A,FALSE,"Umsatz 99";#N/A,#N/A,FALSE,"ER 99 "}</definedName>
    <definedName name="oolo.lll_1_1" localSheetId="0" hidden="1">{#N/A,#N/A,FALSE,"Umsatz 99";#N/A,#N/A,FALSE,"ER 99 "}</definedName>
    <definedName name="oolo.lll_1_1" localSheetId="6" hidden="1">{#N/A,#N/A,FALSE,"Umsatz 99";#N/A,#N/A,FALSE,"ER 99 "}</definedName>
    <definedName name="oolo.lll_1_1" hidden="1">{#N/A,#N/A,FALSE,"Umsatz 99";#N/A,#N/A,FALSE,"ER 99 "}</definedName>
    <definedName name="oolo.lll_2" localSheetId="0" hidden="1">{#N/A,#N/A,FALSE,"Umsatz 99";#N/A,#N/A,FALSE,"ER 99 "}</definedName>
    <definedName name="oolo.lll_2" localSheetId="6" hidden="1">{#N/A,#N/A,FALSE,"Umsatz 99";#N/A,#N/A,FALSE,"ER 99 "}</definedName>
    <definedName name="oolo.lll_2" hidden="1">{#N/A,#N/A,FALSE,"Umsatz 99";#N/A,#N/A,FALSE,"ER 99 "}</definedName>
    <definedName name="oolo.lll_3" localSheetId="0" hidden="1">{#N/A,#N/A,FALSE,"Umsatz 99";#N/A,#N/A,FALSE,"ER 99 "}</definedName>
    <definedName name="oolo.lll_3" localSheetId="6" hidden="1">{#N/A,#N/A,FALSE,"Umsatz 99";#N/A,#N/A,FALSE,"ER 99 "}</definedName>
    <definedName name="oolo.lll_3" hidden="1">{#N/A,#N/A,FALSE,"Umsatz 99";#N/A,#N/A,FALSE,"ER 99 "}</definedName>
    <definedName name="oolo.lll_4" localSheetId="0" hidden="1">{#N/A,#N/A,FALSE,"Umsatz 99";#N/A,#N/A,FALSE,"ER 99 "}</definedName>
    <definedName name="oolo.lll_4" localSheetId="6" hidden="1">{#N/A,#N/A,FALSE,"Umsatz 99";#N/A,#N/A,FALSE,"ER 99 "}</definedName>
    <definedName name="oolo.lll_4" hidden="1">{#N/A,#N/A,FALSE,"Umsatz 99";#N/A,#N/A,FALSE,"ER 99 "}</definedName>
    <definedName name="oolo.lll_5" localSheetId="0" hidden="1">{#N/A,#N/A,FALSE,"Umsatz 99";#N/A,#N/A,FALSE,"ER 99 "}</definedName>
    <definedName name="oolo.lll_5" localSheetId="6" hidden="1">{#N/A,#N/A,FALSE,"Umsatz 99";#N/A,#N/A,FALSE,"ER 99 "}</definedName>
    <definedName name="oolo.lll_5" hidden="1">{#N/A,#N/A,FALSE,"Umsatz 99";#N/A,#N/A,FALSE,"ER 99 "}</definedName>
    <definedName name="ooo" localSheetId="0" hidden="1">{#N/A,#N/A,FALSE,"REPORT"}</definedName>
    <definedName name="ooo" localSheetId="6" hidden="1">{#N/A,#N/A,FALSE,"REPORT"}</definedName>
    <definedName name="ooo" hidden="1">{#N/A,#N/A,FALSE,"REPORT"}</definedName>
    <definedName name="ööö" localSheetId="0" hidden="1">{#N/A,#N/A,FALSE,"Produkte Erw.";#N/A,#N/A,FALSE,"Produkte Plan";#N/A,#N/A,FALSE,"Leistungen Erw.";#N/A,#N/A,FALSE,"Leistungen Plan";#N/A,#N/A,FALSE,"KA Allg.Kosten (2)";#N/A,#N/A,FALSE,"KA All.Kosten"}</definedName>
    <definedName name="ööö" localSheetId="6" hidden="1">{#N/A,#N/A,FALSE,"Produkte Erw.";#N/A,#N/A,FALSE,"Produkte Plan";#N/A,#N/A,FALSE,"Leistungen Erw.";#N/A,#N/A,FALSE,"Leistungen Plan";#N/A,#N/A,FALSE,"KA Allg.Kosten (2)";#N/A,#N/A,FALSE,"KA All.Kosten"}</definedName>
    <definedName name="ööö" hidden="1">{#N/A,#N/A,FALSE,"Produkte Erw.";#N/A,#N/A,FALSE,"Produkte Plan";#N/A,#N/A,FALSE,"Leistungen Erw.";#N/A,#N/A,FALSE,"Leistungen Plan";#N/A,#N/A,FALSE,"KA Allg.Kosten (2)";#N/A,#N/A,FALSE,"KA All.Kosten"}</definedName>
    <definedName name="ooo_1" localSheetId="0" hidden="1">{#N/A,#N/A,FALSE,"REPORT"}</definedName>
    <definedName name="ooo_1" localSheetId="6" hidden="1">{#N/A,#N/A,FALSE,"REPORT"}</definedName>
    <definedName name="ooo_1" hidden="1">{#N/A,#N/A,FALSE,"REPORT"}</definedName>
    <definedName name="ööö_1" localSheetId="0" hidden="1">{#N/A,#N/A,FALSE,"Produkte Erw.";#N/A,#N/A,FALSE,"Produkte Plan";#N/A,#N/A,FALSE,"Leistungen Erw.";#N/A,#N/A,FALSE,"Leistungen Plan";#N/A,#N/A,FALSE,"KA Allg.Kosten (2)";#N/A,#N/A,FALSE,"KA All.Kosten"}</definedName>
    <definedName name="ööö_1" localSheetId="6" hidden="1">{#N/A,#N/A,FALSE,"Produkte Erw.";#N/A,#N/A,FALSE,"Produkte Plan";#N/A,#N/A,FALSE,"Leistungen Erw.";#N/A,#N/A,FALSE,"Leistungen Plan";#N/A,#N/A,FALSE,"KA Allg.Kosten (2)";#N/A,#N/A,FALSE,"KA All.Kosten"}</definedName>
    <definedName name="ööö_1" hidden="1">{#N/A,#N/A,FALSE,"Produkte Erw.";#N/A,#N/A,FALSE,"Produkte Plan";#N/A,#N/A,FALSE,"Leistungen Erw.";#N/A,#N/A,FALSE,"Leistungen Plan";#N/A,#N/A,FALSE,"KA Allg.Kosten (2)";#N/A,#N/A,FALSE,"KA All.Kosten"}</definedName>
    <definedName name="ooo_1_1" localSheetId="0" hidden="1">{#N/A,#N/A,FALSE,"REPORT"}</definedName>
    <definedName name="ooo_1_1" localSheetId="6" hidden="1">{#N/A,#N/A,FALSE,"REPORT"}</definedName>
    <definedName name="ooo_1_1" hidden="1">{#N/A,#N/A,FALSE,"REPORT"}</definedName>
    <definedName name="ööö_1_1" localSheetId="0" hidden="1">{#N/A,#N/A,FALSE,"Produkte Erw.";#N/A,#N/A,FALSE,"Produkte Plan";#N/A,#N/A,FALSE,"Leistungen Erw.";#N/A,#N/A,FALSE,"Leistungen Plan";#N/A,#N/A,FALSE,"KA Allg.Kosten (2)";#N/A,#N/A,FALSE,"KA All.Kosten"}</definedName>
    <definedName name="ööö_1_1" localSheetId="6" hidden="1">{#N/A,#N/A,FALSE,"Produkte Erw.";#N/A,#N/A,FALSE,"Produkte Plan";#N/A,#N/A,FALSE,"Leistungen Erw.";#N/A,#N/A,FALSE,"Leistungen Plan";#N/A,#N/A,FALSE,"KA Allg.Kosten (2)";#N/A,#N/A,FALSE,"KA All.Kosten"}</definedName>
    <definedName name="ööö_1_1" hidden="1">{#N/A,#N/A,FALSE,"Produkte Erw.";#N/A,#N/A,FALSE,"Produkte Plan";#N/A,#N/A,FALSE,"Leistungen Erw.";#N/A,#N/A,FALSE,"Leistungen Plan";#N/A,#N/A,FALSE,"KA Allg.Kosten (2)";#N/A,#N/A,FALSE,"KA All.Kosten"}</definedName>
    <definedName name="ooo_2" localSheetId="0" hidden="1">{#N/A,#N/A,FALSE,"REPORT"}</definedName>
    <definedName name="ooo_2" localSheetId="6" hidden="1">{#N/A,#N/A,FALSE,"REPORT"}</definedName>
    <definedName name="ooo_2" hidden="1">{#N/A,#N/A,FALSE,"REPORT"}</definedName>
    <definedName name="ööö_2" localSheetId="0" hidden="1">{#N/A,#N/A,FALSE,"Produkte Erw.";#N/A,#N/A,FALSE,"Produkte Plan";#N/A,#N/A,FALSE,"Leistungen Erw.";#N/A,#N/A,FALSE,"Leistungen Plan";#N/A,#N/A,FALSE,"KA Allg.Kosten (2)";#N/A,#N/A,FALSE,"KA All.Kosten"}</definedName>
    <definedName name="ööö_2" localSheetId="6" hidden="1">{#N/A,#N/A,FALSE,"Produkte Erw.";#N/A,#N/A,FALSE,"Produkte Plan";#N/A,#N/A,FALSE,"Leistungen Erw.";#N/A,#N/A,FALSE,"Leistungen Plan";#N/A,#N/A,FALSE,"KA Allg.Kosten (2)";#N/A,#N/A,FALSE,"KA All.Kosten"}</definedName>
    <definedName name="ööö_2" hidden="1">{#N/A,#N/A,FALSE,"Produkte Erw.";#N/A,#N/A,FALSE,"Produkte Plan";#N/A,#N/A,FALSE,"Leistungen Erw.";#N/A,#N/A,FALSE,"Leistungen Plan";#N/A,#N/A,FALSE,"KA Allg.Kosten (2)";#N/A,#N/A,FALSE,"KA All.Kosten"}</definedName>
    <definedName name="ooo_3" localSheetId="0" hidden="1">{#N/A,#N/A,FALSE,"REPORT"}</definedName>
    <definedName name="ooo_3" localSheetId="6" hidden="1">{#N/A,#N/A,FALSE,"REPORT"}</definedName>
    <definedName name="ooo_3" hidden="1">{#N/A,#N/A,FALSE,"REPORT"}</definedName>
    <definedName name="ööö_3" localSheetId="0" hidden="1">{#N/A,#N/A,FALSE,"Produkte Erw.";#N/A,#N/A,FALSE,"Produkte Plan";#N/A,#N/A,FALSE,"Leistungen Erw.";#N/A,#N/A,FALSE,"Leistungen Plan";#N/A,#N/A,FALSE,"KA Allg.Kosten (2)";#N/A,#N/A,FALSE,"KA All.Kosten"}</definedName>
    <definedName name="ööö_3" localSheetId="6" hidden="1">{#N/A,#N/A,FALSE,"Produkte Erw.";#N/A,#N/A,FALSE,"Produkte Plan";#N/A,#N/A,FALSE,"Leistungen Erw.";#N/A,#N/A,FALSE,"Leistungen Plan";#N/A,#N/A,FALSE,"KA Allg.Kosten (2)";#N/A,#N/A,FALSE,"KA All.Kosten"}</definedName>
    <definedName name="ööö_3" hidden="1">{#N/A,#N/A,FALSE,"Produkte Erw.";#N/A,#N/A,FALSE,"Produkte Plan";#N/A,#N/A,FALSE,"Leistungen Erw.";#N/A,#N/A,FALSE,"Leistungen Plan";#N/A,#N/A,FALSE,"KA Allg.Kosten (2)";#N/A,#N/A,FALSE,"KA All.Kosten"}</definedName>
    <definedName name="ooo_4" localSheetId="0" hidden="1">{#N/A,#N/A,FALSE,"REPORT"}</definedName>
    <definedName name="ooo_4" localSheetId="6" hidden="1">{#N/A,#N/A,FALSE,"REPORT"}</definedName>
    <definedName name="ooo_4" hidden="1">{#N/A,#N/A,FALSE,"REPORT"}</definedName>
    <definedName name="ööö_4" localSheetId="0" hidden="1">{#N/A,#N/A,FALSE,"Produkte Erw.";#N/A,#N/A,FALSE,"Produkte Plan";#N/A,#N/A,FALSE,"Leistungen Erw.";#N/A,#N/A,FALSE,"Leistungen Plan";#N/A,#N/A,FALSE,"KA Allg.Kosten (2)";#N/A,#N/A,FALSE,"KA All.Kosten"}</definedName>
    <definedName name="ööö_4" localSheetId="6" hidden="1">{#N/A,#N/A,FALSE,"Produkte Erw.";#N/A,#N/A,FALSE,"Produkte Plan";#N/A,#N/A,FALSE,"Leistungen Erw.";#N/A,#N/A,FALSE,"Leistungen Plan";#N/A,#N/A,FALSE,"KA Allg.Kosten (2)";#N/A,#N/A,FALSE,"KA All.Kosten"}</definedName>
    <definedName name="ööö_4" hidden="1">{#N/A,#N/A,FALSE,"Produkte Erw.";#N/A,#N/A,FALSE,"Produkte Plan";#N/A,#N/A,FALSE,"Leistungen Erw.";#N/A,#N/A,FALSE,"Leistungen Plan";#N/A,#N/A,FALSE,"KA Allg.Kosten (2)";#N/A,#N/A,FALSE,"KA All.Kosten"}</definedName>
    <definedName name="ooo_5" localSheetId="0" hidden="1">{#N/A,#N/A,FALSE,"REPORT"}</definedName>
    <definedName name="ooo_5" localSheetId="6" hidden="1">{#N/A,#N/A,FALSE,"REPORT"}</definedName>
    <definedName name="ooo_5" hidden="1">{#N/A,#N/A,FALSE,"REPORT"}</definedName>
    <definedName name="ööö_5" localSheetId="0" hidden="1">{#N/A,#N/A,FALSE,"Produkte Erw.";#N/A,#N/A,FALSE,"Produkte Plan";#N/A,#N/A,FALSE,"Leistungen Erw.";#N/A,#N/A,FALSE,"Leistungen Plan";#N/A,#N/A,FALSE,"KA Allg.Kosten (2)";#N/A,#N/A,FALSE,"KA All.Kosten"}</definedName>
    <definedName name="ööö_5" localSheetId="6" hidden="1">{#N/A,#N/A,FALSE,"Produkte Erw.";#N/A,#N/A,FALSE,"Produkte Plan";#N/A,#N/A,FALSE,"Leistungen Erw.";#N/A,#N/A,FALSE,"Leistungen Plan";#N/A,#N/A,FALSE,"KA Allg.Kosten (2)";#N/A,#N/A,FALSE,"KA All.Kosten"}</definedName>
    <definedName name="ööö_5" hidden="1">{#N/A,#N/A,FALSE,"Produkte Erw.";#N/A,#N/A,FALSE,"Produkte Plan";#N/A,#N/A,FALSE,"Leistungen Erw.";#N/A,#N/A,FALSE,"Leistungen Plan";#N/A,#N/A,FALSE,"KA Allg.Kosten (2)";#N/A,#N/A,FALSE,"KA All.Kosten"}</definedName>
    <definedName name="oooo" localSheetId="0" hidden="1">{#N/A,#N/A,TRUE,"Cover sheet";#N/A,#N/A,TRUE,"Summary";#N/A,#N/A,TRUE,"Key Assumptions";#N/A,#N/A,TRUE,"Profit &amp; Loss";#N/A,#N/A,TRUE,"Balance Sheet";#N/A,#N/A,TRUE,"Cashflow";#N/A,#N/A,TRUE,"IRR";#N/A,#N/A,TRUE,"Ratios";#N/A,#N/A,TRUE,"Debt analysis"}</definedName>
    <definedName name="oooo" localSheetId="6" hidden="1">{#N/A,#N/A,TRUE,"Cover sheet";#N/A,#N/A,TRUE,"Summary";#N/A,#N/A,TRUE,"Key Assumptions";#N/A,#N/A,TRUE,"Profit &amp; Loss";#N/A,#N/A,TRUE,"Balance Sheet";#N/A,#N/A,TRUE,"Cashflow";#N/A,#N/A,TRUE,"IRR";#N/A,#N/A,TRUE,"Ratios";#N/A,#N/A,TRUE,"Debt analysis"}</definedName>
    <definedName name="oooo" hidden="1">{#N/A,#N/A,TRUE,"Cover sheet";#N/A,#N/A,TRUE,"Summary";#N/A,#N/A,TRUE,"Key Assumptions";#N/A,#N/A,TRUE,"Profit &amp; Loss";#N/A,#N/A,TRUE,"Balance Sheet";#N/A,#N/A,TRUE,"Cashflow";#N/A,#N/A,TRUE,"IRR";#N/A,#N/A,TRUE,"Ratios";#N/A,#N/A,TRUE,"Debt analysis"}</definedName>
    <definedName name="oooo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oooo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oooo_1" hidden="1">{#N/A,#N/A,FALSE,"Rohstoffnotierungen";#N/A,#N/A,FALSE,"ER HCST Erw. 99";#N/A,#N/A,FALSE,"ER HCST Plan 00";#N/A,#N/A,FALSE,"Umsatz KG";#N/A,#N/A,FALSE,"ER HCST";#N/A,#N/A,FALSE,"EA ST (2)";#N/A,#N/A,FALSE,"EA ST";#N/A,#N/A,FALSE,"EA ST (3)";#N/A,#N/A,FALSE,"EA ST (4)";#N/A,#N/A,FALSE,"KA ST  (2)";#N/A,#N/A,FALSE,"KA ST";#N/A,#N/A,FALSE,"KA ST  (3)";#N/A,#N/A,FALSE,"KA ST (4)"}</definedName>
    <definedName name="oooo_1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oooo_1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oooo_1_1" hidden="1">{#N/A,#N/A,FALSE,"Rohstoffnotierungen";#N/A,#N/A,FALSE,"ER HCST Erw. 99";#N/A,#N/A,FALSE,"ER HCST Plan 00";#N/A,#N/A,FALSE,"Umsatz KG";#N/A,#N/A,FALSE,"ER HCST";#N/A,#N/A,FALSE,"EA ST (2)";#N/A,#N/A,FALSE,"EA ST";#N/A,#N/A,FALSE,"EA ST (3)";#N/A,#N/A,FALSE,"EA ST (4)";#N/A,#N/A,FALSE,"KA ST  (2)";#N/A,#N/A,FALSE,"KA ST";#N/A,#N/A,FALSE,"KA ST  (3)";#N/A,#N/A,FALSE,"KA ST (4)"}</definedName>
    <definedName name="oooo_2"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oooo_2"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oooo_2" hidden="1">{#N/A,#N/A,FALSE,"Rohstoffnotierungen";#N/A,#N/A,FALSE,"ER HCST Erw. 99";#N/A,#N/A,FALSE,"ER HCST Plan 00";#N/A,#N/A,FALSE,"Umsatz KG";#N/A,#N/A,FALSE,"ER HCST";#N/A,#N/A,FALSE,"EA ST (2)";#N/A,#N/A,FALSE,"EA ST";#N/A,#N/A,FALSE,"EA ST (3)";#N/A,#N/A,FALSE,"EA ST (4)";#N/A,#N/A,FALSE,"KA ST  (2)";#N/A,#N/A,FALSE,"KA ST";#N/A,#N/A,FALSE,"KA ST  (3)";#N/A,#N/A,FALSE,"KA ST (4)"}</definedName>
    <definedName name="oooo_3"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oooo_3"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oooo_3" hidden="1">{#N/A,#N/A,FALSE,"Rohstoffnotierungen";#N/A,#N/A,FALSE,"ER HCST Erw. 99";#N/A,#N/A,FALSE,"ER HCST Plan 00";#N/A,#N/A,FALSE,"Umsatz KG";#N/A,#N/A,FALSE,"ER HCST";#N/A,#N/A,FALSE,"EA ST (2)";#N/A,#N/A,FALSE,"EA ST";#N/A,#N/A,FALSE,"EA ST (3)";#N/A,#N/A,FALSE,"EA ST (4)";#N/A,#N/A,FALSE,"KA ST  (2)";#N/A,#N/A,FALSE,"KA ST";#N/A,#N/A,FALSE,"KA ST  (3)";#N/A,#N/A,FALSE,"KA ST (4)"}</definedName>
    <definedName name="oooo_4"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oooo_4"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oooo_4" hidden="1">{#N/A,#N/A,FALSE,"Rohstoffnotierungen";#N/A,#N/A,FALSE,"ER HCST Erw. 99";#N/A,#N/A,FALSE,"ER HCST Plan 00";#N/A,#N/A,FALSE,"Umsatz KG";#N/A,#N/A,FALSE,"ER HCST";#N/A,#N/A,FALSE,"EA ST (2)";#N/A,#N/A,FALSE,"EA ST";#N/A,#N/A,FALSE,"EA ST (3)";#N/A,#N/A,FALSE,"EA ST (4)";#N/A,#N/A,FALSE,"KA ST  (2)";#N/A,#N/A,FALSE,"KA ST";#N/A,#N/A,FALSE,"KA ST  (3)";#N/A,#N/A,FALSE,"KA ST (4)"}</definedName>
    <definedName name="oooo_5"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oooo_5"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oooo_5" hidden="1">{#N/A,#N/A,FALSE,"Rohstoffnotierungen";#N/A,#N/A,FALSE,"ER HCST Erw. 99";#N/A,#N/A,FALSE,"ER HCST Plan 00";#N/A,#N/A,FALSE,"Umsatz KG";#N/A,#N/A,FALSE,"ER HCST";#N/A,#N/A,FALSE,"EA ST (2)";#N/A,#N/A,FALSE,"EA ST";#N/A,#N/A,FALSE,"EA ST (3)";#N/A,#N/A,FALSE,"EA ST (4)";#N/A,#N/A,FALSE,"KA ST  (2)";#N/A,#N/A,FALSE,"KA ST";#N/A,#N/A,FALSE,"KA ST  (3)";#N/A,#N/A,FALSE,"KA ST (4)"}</definedName>
    <definedName name="ooooo" localSheetId="0" hidden="1">{#N/A,#N/A,FALSE,"Calc";#N/A,#N/A,FALSE,"Sensitivity";#N/A,#N/A,FALSE,"LT Earn.Dil.";#N/A,#N/A,FALSE,"Dil. AVP"}</definedName>
    <definedName name="ooooo" localSheetId="6" hidden="1">{#N/A,#N/A,FALSE,"Calc";#N/A,#N/A,FALSE,"Sensitivity";#N/A,#N/A,FALSE,"LT Earn.Dil.";#N/A,#N/A,FALSE,"Dil. AVP"}</definedName>
    <definedName name="ooooo" hidden="1">{#N/A,#N/A,FALSE,"Calc";#N/A,#N/A,FALSE,"Sensitivity";#N/A,#N/A,FALSE,"LT Earn.Dil.";#N/A,#N/A,FALSE,"Dil. AVP"}</definedName>
    <definedName name="oooooooo" localSheetId="0" hidden="1">{#N/A,#N/A,FALSE,"Umsatz 99";#N/A,#N/A,FALSE,"ER 99 "}</definedName>
    <definedName name="oooooooo" localSheetId="6" hidden="1">{#N/A,#N/A,FALSE,"Umsatz 99";#N/A,#N/A,FALSE,"ER 99 "}</definedName>
    <definedName name="oooooooo" hidden="1">{#N/A,#N/A,FALSE,"Umsatz 99";#N/A,#N/A,FALSE,"ER 99 "}</definedName>
    <definedName name="oooooooo_1" localSheetId="0" hidden="1">{#N/A,#N/A,FALSE,"Umsatz 99";#N/A,#N/A,FALSE,"ER 99 "}</definedName>
    <definedName name="oooooooo_1" localSheetId="6" hidden="1">{#N/A,#N/A,FALSE,"Umsatz 99";#N/A,#N/A,FALSE,"ER 99 "}</definedName>
    <definedName name="oooooooo_1" hidden="1">{#N/A,#N/A,FALSE,"Umsatz 99";#N/A,#N/A,FALSE,"ER 99 "}</definedName>
    <definedName name="oooooooo_1_1" localSheetId="0" hidden="1">{#N/A,#N/A,FALSE,"Umsatz 99";#N/A,#N/A,FALSE,"ER 99 "}</definedName>
    <definedName name="oooooooo_1_1" localSheetId="6" hidden="1">{#N/A,#N/A,FALSE,"Umsatz 99";#N/A,#N/A,FALSE,"ER 99 "}</definedName>
    <definedName name="oooooooo_1_1" hidden="1">{#N/A,#N/A,FALSE,"Umsatz 99";#N/A,#N/A,FALSE,"ER 99 "}</definedName>
    <definedName name="oooooooo_2" localSheetId="0" hidden="1">{#N/A,#N/A,FALSE,"Umsatz 99";#N/A,#N/A,FALSE,"ER 99 "}</definedName>
    <definedName name="oooooooo_2" localSheetId="6" hidden="1">{#N/A,#N/A,FALSE,"Umsatz 99";#N/A,#N/A,FALSE,"ER 99 "}</definedName>
    <definedName name="oooooooo_2" hidden="1">{#N/A,#N/A,FALSE,"Umsatz 99";#N/A,#N/A,FALSE,"ER 99 "}</definedName>
    <definedName name="oooooooo_3" localSheetId="0" hidden="1">{#N/A,#N/A,FALSE,"Umsatz 99";#N/A,#N/A,FALSE,"ER 99 "}</definedName>
    <definedName name="oooooooo_3" localSheetId="6" hidden="1">{#N/A,#N/A,FALSE,"Umsatz 99";#N/A,#N/A,FALSE,"ER 99 "}</definedName>
    <definedName name="oooooooo_3" hidden="1">{#N/A,#N/A,FALSE,"Umsatz 99";#N/A,#N/A,FALSE,"ER 99 "}</definedName>
    <definedName name="oooooooo_4" localSheetId="0" hidden="1">{#N/A,#N/A,FALSE,"Umsatz 99";#N/A,#N/A,FALSE,"ER 99 "}</definedName>
    <definedName name="oooooooo_4" localSheetId="6" hidden="1">{#N/A,#N/A,FALSE,"Umsatz 99";#N/A,#N/A,FALSE,"ER 99 "}</definedName>
    <definedName name="oooooooo_4" hidden="1">{#N/A,#N/A,FALSE,"Umsatz 99";#N/A,#N/A,FALSE,"ER 99 "}</definedName>
    <definedName name="oooooooo_5" localSheetId="0" hidden="1">{#N/A,#N/A,FALSE,"Umsatz 99";#N/A,#N/A,FALSE,"ER 99 "}</definedName>
    <definedName name="oooooooo_5" localSheetId="6" hidden="1">{#N/A,#N/A,FALSE,"Umsatz 99";#N/A,#N/A,FALSE,"ER 99 "}</definedName>
    <definedName name="oooooooo_5" hidden="1">{#N/A,#N/A,FALSE,"Umsatz 99";#N/A,#N/A,FALSE,"ER 99 "}</definedName>
    <definedName name="oooooooooooo" localSheetId="0" hidden="1">{#N/A,#N/A,TRUE,"Cover sheet";#N/A,#N/A,TRUE,"Summary";#N/A,#N/A,TRUE,"Key Assumptions";#N/A,#N/A,TRUE,"Profit &amp; Loss";#N/A,#N/A,TRUE,"Balance Sheet";#N/A,#N/A,TRUE,"Cashflow";#N/A,#N/A,TRUE,"IRR";#N/A,#N/A,TRUE,"Ratios";#N/A,#N/A,TRUE,"Debt analysis"}</definedName>
    <definedName name="oooooooooooo" localSheetId="6" hidden="1">{#N/A,#N/A,TRUE,"Cover sheet";#N/A,#N/A,TRUE,"Summary";#N/A,#N/A,TRUE,"Key Assumptions";#N/A,#N/A,TRUE,"Profit &amp; Loss";#N/A,#N/A,TRUE,"Balance Sheet";#N/A,#N/A,TRUE,"Cashflow";#N/A,#N/A,TRUE,"IRR";#N/A,#N/A,TRUE,"Ratios";#N/A,#N/A,TRUE,"Debt analysis"}</definedName>
    <definedName name="oooooooooooo" hidden="1">{#N/A,#N/A,TRUE,"Cover sheet";#N/A,#N/A,TRUE,"Summary";#N/A,#N/A,TRUE,"Key Assumptions";#N/A,#N/A,TRUE,"Profit &amp; Loss";#N/A,#N/A,TRUE,"Balance Sheet";#N/A,#N/A,TRUE,"Cashflow";#N/A,#N/A,TRUE,"IRR";#N/A,#N/A,TRUE,"Ratios";#N/A,#N/A,TRUE,"Debt analysis"}</definedName>
    <definedName name="OP"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OP"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Op_Cost_FB_Direct_Salaries">#REF!</definedName>
    <definedName name="Op_Cost_FB_Total">#REF!</definedName>
    <definedName name="Op_Costs_Total">#REF!</definedName>
    <definedName name="opcase">#REF!</definedName>
    <definedName name="opening_years">#REF!</definedName>
    <definedName name="Openingpb" hidden="1">#REF!</definedName>
    <definedName name="OPENPRICE" hidden="1">"OPENPRICE"</definedName>
    <definedName name="OPER_INC" hidden="1">"OPER_INC"</definedName>
    <definedName name="opop" localSheetId="0" hidden="1">{"Graphic",#N/A,TRUE,"Graphic"}</definedName>
    <definedName name="opop" localSheetId="6" hidden="1">{"Graphic",#N/A,TRUE,"Graphic"}</definedName>
    <definedName name="opop" hidden="1">{"Graphic",#N/A,TRUE,"Graphic"}</definedName>
    <definedName name="opop_1" localSheetId="0" hidden="1">{"Graphic",#N/A,TRUE,"Graphic"}</definedName>
    <definedName name="opop_1" localSheetId="6" hidden="1">{"Graphic",#N/A,TRUE,"Graphic"}</definedName>
    <definedName name="opop_1" hidden="1">{"Graphic",#N/A,TRUE,"Graphic"}</definedName>
    <definedName name="OpReserves">#REF!</definedName>
    <definedName name="Order2" hidden="1">1</definedName>
    <definedName name="orders_array" hidden="1">#REF!</definedName>
    <definedName name="orders_col" hidden="1">#REF!</definedName>
    <definedName name="orders_hlookup" hidden="1">#REF!</definedName>
    <definedName name="orders_row" hidden="1">#REF!</definedName>
    <definedName name="OrderTable" hidden="1">#REF!</definedName>
    <definedName name="Origin_List">#REF!</definedName>
    <definedName name="os" hidden="1">#REF!</definedName>
    <definedName name="OSClaimsPCt">#REF!</definedName>
    <definedName name="OTHER_CURRENT_ASSETS" hidden="1">"OTHER_CURRENT_ASSETS"</definedName>
    <definedName name="OTHER_CURRENT_LIAB" hidden="1">"OTHER_CURRENT_LIAB"</definedName>
    <definedName name="OTHER_EARNING" hidden="1">"OTHER_EARNING"</definedName>
    <definedName name="OTHER_EQUITY" hidden="1">"OTHER_EQUITY"</definedName>
    <definedName name="Other_Income_Percentage">#REF!</definedName>
    <definedName name="OTHER_INVESTING" hidden="1">"OTHER_INVESTING"</definedName>
    <definedName name="OTHER_LIAB" hidden="1">"OTHER_LIAB"</definedName>
    <definedName name="OTHER_LONG_TERM" hidden="1">"OTHER_LONG_TERM"</definedName>
    <definedName name="OTHER_NET" hidden="1">"OTHER_NET"</definedName>
    <definedName name="OTHER_OPER" hidden="1">"OTHER_OPER"</definedName>
    <definedName name="OTHER_RECEIV" hidden="1">"OTHER_RECEIV"</definedName>
    <definedName name="OTHER_REVENUE" hidden="1">"OTHER_REVENUE"</definedName>
    <definedName name="other33" localSheetId="0" hidden="1">{#N/A,#N/A,FALSE,"Pharm";#N/A,#N/A,FALSE,"WWCM"}</definedName>
    <definedName name="other33" localSheetId="6" hidden="1">{#N/A,#N/A,FALSE,"Pharm";#N/A,#N/A,FALSE,"WWCM"}</definedName>
    <definedName name="other33" hidden="1">{#N/A,#N/A,FALSE,"Pharm";#N/A,#N/A,FALSE,"WWCM"}</definedName>
    <definedName name="other33_1" localSheetId="0" hidden="1">{#N/A,#N/A,FALSE,"Pharm";#N/A,#N/A,FALSE,"WWCM"}</definedName>
    <definedName name="other33_1" localSheetId="6" hidden="1">{#N/A,#N/A,FALSE,"Pharm";#N/A,#N/A,FALSE,"WWCM"}</definedName>
    <definedName name="other33_1" hidden="1">{#N/A,#N/A,FALSE,"Pharm";#N/A,#N/A,FALSE,"WWCM"}</definedName>
    <definedName name="other33_1_1" localSheetId="0" hidden="1">{#N/A,#N/A,FALSE,"Pharm";#N/A,#N/A,FALSE,"WWCM"}</definedName>
    <definedName name="other33_1_1" localSheetId="6" hidden="1">{#N/A,#N/A,FALSE,"Pharm";#N/A,#N/A,FALSE,"WWCM"}</definedName>
    <definedName name="other33_1_1" hidden="1">{#N/A,#N/A,FALSE,"Pharm";#N/A,#N/A,FALSE,"WWCM"}</definedName>
    <definedName name="other33_2" localSheetId="0" hidden="1">{#N/A,#N/A,FALSE,"Pharm";#N/A,#N/A,FALSE,"WWCM"}</definedName>
    <definedName name="other33_2" localSheetId="6" hidden="1">{#N/A,#N/A,FALSE,"Pharm";#N/A,#N/A,FALSE,"WWCM"}</definedName>
    <definedName name="other33_2" hidden="1">{#N/A,#N/A,FALSE,"Pharm";#N/A,#N/A,FALSE,"WWCM"}</definedName>
    <definedName name="other33_3" localSheetId="0" hidden="1">{#N/A,#N/A,FALSE,"Pharm";#N/A,#N/A,FALSE,"WWCM"}</definedName>
    <definedName name="other33_3" localSheetId="6" hidden="1">{#N/A,#N/A,FALSE,"Pharm";#N/A,#N/A,FALSE,"WWCM"}</definedName>
    <definedName name="other33_3" hidden="1">{#N/A,#N/A,FALSE,"Pharm";#N/A,#N/A,FALSE,"WWCM"}</definedName>
    <definedName name="other33_4" localSheetId="0" hidden="1">{#N/A,#N/A,FALSE,"Pharm";#N/A,#N/A,FALSE,"WWCM"}</definedName>
    <definedName name="other33_4" localSheetId="6" hidden="1">{#N/A,#N/A,FALSE,"Pharm";#N/A,#N/A,FALSE,"WWCM"}</definedName>
    <definedName name="other33_4" hidden="1">{#N/A,#N/A,FALSE,"Pharm";#N/A,#N/A,FALSE,"WWCM"}</definedName>
    <definedName name="other33_5" localSheetId="0" hidden="1">{#N/A,#N/A,FALSE,"Pharm";#N/A,#N/A,FALSE,"WWCM"}</definedName>
    <definedName name="other33_5" localSheetId="6" hidden="1">{#N/A,#N/A,FALSE,"Pharm";#N/A,#N/A,FALSE,"WWCM"}</definedName>
    <definedName name="other33_5" hidden="1">{#N/A,#N/A,FALSE,"Pharm";#N/A,#N/A,FALSE,"WWCM"}</definedName>
    <definedName name="othermar" localSheetId="0" hidden="1">{#N/A,#N/A,FALSE,"Pharm";#N/A,#N/A,FALSE,"WWCM"}</definedName>
    <definedName name="othermar" localSheetId="6" hidden="1">{#N/A,#N/A,FALSE,"Pharm";#N/A,#N/A,FALSE,"WWCM"}</definedName>
    <definedName name="othermar" hidden="1">{#N/A,#N/A,FALSE,"Pharm";#N/A,#N/A,FALSE,"WWCM"}</definedName>
    <definedName name="othermar_1" localSheetId="0" hidden="1">{#N/A,#N/A,FALSE,"Pharm";#N/A,#N/A,FALSE,"WWCM"}</definedName>
    <definedName name="othermar_1" localSheetId="6" hidden="1">{#N/A,#N/A,FALSE,"Pharm";#N/A,#N/A,FALSE,"WWCM"}</definedName>
    <definedName name="othermar_1" hidden="1">{#N/A,#N/A,FALSE,"Pharm";#N/A,#N/A,FALSE,"WWCM"}</definedName>
    <definedName name="othermar_1_1" localSheetId="0" hidden="1">{#N/A,#N/A,FALSE,"Pharm";#N/A,#N/A,FALSE,"WWCM"}</definedName>
    <definedName name="othermar_1_1" localSheetId="6" hidden="1">{#N/A,#N/A,FALSE,"Pharm";#N/A,#N/A,FALSE,"WWCM"}</definedName>
    <definedName name="othermar_1_1" hidden="1">{#N/A,#N/A,FALSE,"Pharm";#N/A,#N/A,FALSE,"WWCM"}</definedName>
    <definedName name="othermar_2" localSheetId="0" hidden="1">{#N/A,#N/A,FALSE,"Pharm";#N/A,#N/A,FALSE,"WWCM"}</definedName>
    <definedName name="othermar_2" localSheetId="6" hidden="1">{#N/A,#N/A,FALSE,"Pharm";#N/A,#N/A,FALSE,"WWCM"}</definedName>
    <definedName name="othermar_2" hidden="1">{#N/A,#N/A,FALSE,"Pharm";#N/A,#N/A,FALSE,"WWCM"}</definedName>
    <definedName name="othermar_3" localSheetId="0" hidden="1">{#N/A,#N/A,FALSE,"Pharm";#N/A,#N/A,FALSE,"WWCM"}</definedName>
    <definedName name="othermar_3" localSheetId="6" hidden="1">{#N/A,#N/A,FALSE,"Pharm";#N/A,#N/A,FALSE,"WWCM"}</definedName>
    <definedName name="othermar_3" hidden="1">{#N/A,#N/A,FALSE,"Pharm";#N/A,#N/A,FALSE,"WWCM"}</definedName>
    <definedName name="othermar_4" localSheetId="0" hidden="1">{#N/A,#N/A,FALSE,"Pharm";#N/A,#N/A,FALSE,"WWCM"}</definedName>
    <definedName name="othermar_4" localSheetId="6" hidden="1">{#N/A,#N/A,FALSE,"Pharm";#N/A,#N/A,FALSE,"WWCM"}</definedName>
    <definedName name="othermar_4" hidden="1">{#N/A,#N/A,FALSE,"Pharm";#N/A,#N/A,FALSE,"WWCM"}</definedName>
    <definedName name="othermar_5" localSheetId="0" hidden="1">{#N/A,#N/A,FALSE,"Pharm";#N/A,#N/A,FALSE,"WWCM"}</definedName>
    <definedName name="othermar_5" localSheetId="6" hidden="1">{#N/A,#N/A,FALSE,"Pharm";#N/A,#N/A,FALSE,"WWCM"}</definedName>
    <definedName name="othermar_5" hidden="1">{#N/A,#N/A,FALSE,"Pharm";#N/A,#N/A,FALSE,"WWCM"}</definedName>
    <definedName name="OTHERSTOCK">#REF!</definedName>
    <definedName name="oui" hidden="1">#REF!</definedName>
    <definedName name="Outputnew" localSheetId="6" hidden="1">{#N/A,#N/A,FALSE,"monthly";#N/A,#N/A,FALSE,"fcst detail"}</definedName>
    <definedName name="Outputnew" hidden="1">{#N/A,#N/A,FALSE,"monthly";#N/A,#N/A,FALSE,"fcst detail"}</definedName>
    <definedName name="ouwqgbeifugvwq" hidden="1">#REF!</definedName>
    <definedName name="OVERHEAD" localSheetId="0" hidden="1">{#N/A,#N/A,FALSE,"PROFIT 11-95"}</definedName>
    <definedName name="OVERHEAD" localSheetId="6" hidden="1">{#N/A,#N/A,FALSE,"PROFIT 11-95"}</definedName>
    <definedName name="OVERHEAD" hidden="1">{#N/A,#N/A,FALSE,"PROFIT 11-95"}</definedName>
    <definedName name="OVJBWQEVB" hidden="1">#REF!</definedName>
    <definedName name="OWNER" hidden="1">#REF!</definedName>
    <definedName name="Ownership" hidden="1">OFFSET(#REF!,1,0)</definedName>
    <definedName name="O행">#REF!</definedName>
    <definedName name="p">#REF!</definedName>
    <definedName name="p.BS" hidden="1">#REF!</definedName>
    <definedName name="p.BSAssumptions" hidden="1">#REF!</definedName>
    <definedName name="p.CapStructure" hidden="1">#REF!</definedName>
    <definedName name="p.CashFlow" hidden="1">#REF!</definedName>
    <definedName name="p.Cover" hidden="1">#REF!</definedName>
    <definedName name="p.Depreciation" hidden="1">#REF!</definedName>
    <definedName name="p.DivisionA" hidden="1">#REF!</definedName>
    <definedName name="p.DivisionB" hidden="1">#REF!</definedName>
    <definedName name="p.DivisionC" hidden="1">#REF!</definedName>
    <definedName name="p.DivisionD" hidden="1">#REF!</definedName>
    <definedName name="p.DivisionE" hidden="1">#REF!</definedName>
    <definedName name="p.DivisionF" hidden="1">#REF!</definedName>
    <definedName name="p.DivisionG" hidden="1">#REF!</definedName>
    <definedName name="p.DivisionH" hidden="1">#REF!</definedName>
    <definedName name="p.Executive" hidden="1">#REF!</definedName>
    <definedName name="p.FactSheet" hidden="1">#REF!</definedName>
    <definedName name="p.IRR" hidden="1">#REF!</definedName>
    <definedName name="p.IRR_Titles" hidden="1">#REF!</definedName>
    <definedName name="p.IS" hidden="1">#REF!</definedName>
    <definedName name="p.ISAssumptions" hidden="1">#REF!</definedName>
    <definedName name="p.OpeningBS" hidden="1">#REF!</definedName>
    <definedName name="p.TaxCalculation" hidden="1">#REF!</definedName>
    <definedName name="P?HG" localSheetId="0" hidden="1">{#N/A,#N/A,FALSE,"Tabl. D1";#N/A,#N/A,FALSE,"Tabl. D1 b";#N/A,#N/A,FALSE,"Tabl. D2";#N/A,#N/A,FALSE,"Tabl. D2 b";#N/A,#N/A,FALSE,"Tabl. D3";#N/A,#N/A,FALSE,"Tabl. D4";#N/A,#N/A,FALSE,"Tabl. D5"}</definedName>
    <definedName name="P?HG" localSheetId="6" hidden="1">{#N/A,#N/A,FALSE,"Tabl. D1";#N/A,#N/A,FALSE,"Tabl. D1 b";#N/A,#N/A,FALSE,"Tabl. D2";#N/A,#N/A,FALSE,"Tabl. D2 b";#N/A,#N/A,FALSE,"Tabl. D3";#N/A,#N/A,FALSE,"Tabl. D4";#N/A,#N/A,FALSE,"Tabl. D5"}</definedName>
    <definedName name="P?HG" hidden="1">{#N/A,#N/A,FALSE,"Tabl. D1";#N/A,#N/A,FALSE,"Tabl. D1 b";#N/A,#N/A,FALSE,"Tabl. D2";#N/A,#N/A,FALSE,"Tabl. D2 b";#N/A,#N/A,FALSE,"Tabl. D3";#N/A,#N/A,FALSE,"Tabl. D4";#N/A,#N/A,FALSE,"Tabl. D5"}</definedName>
    <definedName name="p_">#REF!</definedName>
    <definedName name="P1_Actv_Amt1" hidden="1">#REF!</definedName>
    <definedName name="P1_Actv_Amt2" hidden="1">#REF!</definedName>
    <definedName name="P1_Actv_Amt3" hidden="1">#REF!</definedName>
    <definedName name="P1_Actv_Amt4" hidden="1">#REF!</definedName>
    <definedName name="P1_Actv_Amt5" hidden="1">#REF!</definedName>
    <definedName name="P1_Actv_Amt6" hidden="1">#REF!</definedName>
    <definedName name="P1_Bal_Amt1" hidden="1">#REF!</definedName>
    <definedName name="P1_Bal_Amt2" hidden="1">#REF!</definedName>
    <definedName name="P1_OP_Amt1" hidden="1">#REF!</definedName>
    <definedName name="P1_OP_Amt2" hidden="1">#REF!</definedName>
    <definedName name="P1_OP_Amt3" hidden="1">#REF!</definedName>
    <definedName name="P1_OP_Amt4" hidden="1">#REF!</definedName>
    <definedName name="P1_OP_Amt5" hidden="1">#REF!</definedName>
    <definedName name="P1_OP_Amt6" hidden="1">#REF!</definedName>
    <definedName name="P10_Actv_Amt1" hidden="1">#REF!</definedName>
    <definedName name="P10_Actv_Amt2" hidden="1">#REF!</definedName>
    <definedName name="P10_Actv_Amt3" hidden="1">#REF!</definedName>
    <definedName name="P10_Actv_Amt4" hidden="1">#REF!</definedName>
    <definedName name="P10_Actv_Amt5" hidden="1">#REF!</definedName>
    <definedName name="P10_Actv_Amt6" hidden="1">#REF!</definedName>
    <definedName name="P10_Bal_Amt1" hidden="1">#REF!</definedName>
    <definedName name="P10_Bal_Amt2" hidden="1">#REF!</definedName>
    <definedName name="P10_OP_Amt1" hidden="1">#REF!</definedName>
    <definedName name="P10_OP_Amt2" hidden="1">#REF!</definedName>
    <definedName name="P10_OP_Amt3" hidden="1">#REF!</definedName>
    <definedName name="P10_OP_Amt4" hidden="1">#REF!</definedName>
    <definedName name="P10_OP_Amt5" hidden="1">#REF!</definedName>
    <definedName name="P10_OP_Amt6" hidden="1">#REF!</definedName>
    <definedName name="P11_Actv_Amt1" hidden="1">#REF!</definedName>
    <definedName name="P11_Actv_Amt2" hidden="1">#REF!</definedName>
    <definedName name="P11_Actv_Amt3" hidden="1">#REF!</definedName>
    <definedName name="P11_Actv_Amt4" hidden="1">#REF!</definedName>
    <definedName name="P11_Actv_Amt5" hidden="1">#REF!</definedName>
    <definedName name="P11_Actv_Amt6" hidden="1">#REF!</definedName>
    <definedName name="P11_Bal_Amt1" hidden="1">#REF!</definedName>
    <definedName name="P11_Bal_Amt2" hidden="1">#REF!</definedName>
    <definedName name="P11_OP_Amt1" hidden="1">#REF!</definedName>
    <definedName name="P11_OP_Amt2" hidden="1">#REF!</definedName>
    <definedName name="P11_OP_Amt3" hidden="1">#REF!</definedName>
    <definedName name="P11_OP_Amt4" hidden="1">#REF!</definedName>
    <definedName name="P11_OP_Amt5" hidden="1">#REF!</definedName>
    <definedName name="P11_OP_Amt6" hidden="1">#REF!</definedName>
    <definedName name="P12_Actv_Amt1" hidden="1">#REF!</definedName>
    <definedName name="P12_Actv_Amt2" hidden="1">#REF!</definedName>
    <definedName name="P12_Actv_Amt3" hidden="1">#REF!</definedName>
    <definedName name="P12_Actv_Amt4" hidden="1">#REF!</definedName>
    <definedName name="P12_Actv_Amt5" hidden="1">#REF!</definedName>
    <definedName name="P12_Actv_Amt6" hidden="1">#REF!</definedName>
    <definedName name="P12_Bal_Amt1" hidden="1">#REF!</definedName>
    <definedName name="P12_Bal_Amt2" hidden="1">#REF!</definedName>
    <definedName name="P12_OP_Amt1" hidden="1">#REF!</definedName>
    <definedName name="P12_OP_Amt2" hidden="1">#REF!</definedName>
    <definedName name="P12_OP_Amt3" hidden="1">#REF!</definedName>
    <definedName name="P12_OP_Amt4" hidden="1">#REF!</definedName>
    <definedName name="P12_OP_Amt5" hidden="1">#REF!</definedName>
    <definedName name="P12_OP_Amt6" hidden="1">#REF!</definedName>
    <definedName name="P2_Actv_Amt1" hidden="1">#REF!</definedName>
    <definedName name="P2_Actv_Amt2" hidden="1">#REF!</definedName>
    <definedName name="P2_Actv_Amt3" hidden="1">#REF!</definedName>
    <definedName name="P2_Actv_Amt4" hidden="1">#REF!</definedName>
    <definedName name="P2_Actv_Amt5" hidden="1">#REF!</definedName>
    <definedName name="P2_Actv_Amt6" hidden="1">#REF!</definedName>
    <definedName name="P2_Bal_Amt1" hidden="1">#REF!</definedName>
    <definedName name="P2_Bal_Amt2" hidden="1">#REF!</definedName>
    <definedName name="P2_OP_Amt1" hidden="1">#REF!</definedName>
    <definedName name="P2_OP_Amt2" hidden="1">#REF!</definedName>
    <definedName name="P2_OP_Amt3" hidden="1">#REF!</definedName>
    <definedName name="P2_OP_Amt4" hidden="1">#REF!</definedName>
    <definedName name="P2_OP_Amt5" hidden="1">#REF!</definedName>
    <definedName name="P2_OP_Amt6" hidden="1">#REF!</definedName>
    <definedName name="P3_Actv_Amt1" hidden="1">#REF!</definedName>
    <definedName name="P3_Actv_Amt2" hidden="1">#REF!</definedName>
    <definedName name="P3_Actv_Amt3" hidden="1">#REF!</definedName>
    <definedName name="P3_Actv_Amt4" hidden="1">#REF!</definedName>
    <definedName name="P3_Actv_Amt5" hidden="1">#REF!</definedName>
    <definedName name="P3_Actv_Amt6" hidden="1">#REF!</definedName>
    <definedName name="P3_Bal_Amt1" hidden="1">#REF!</definedName>
    <definedName name="P3_Bal_Amt2" hidden="1">#REF!</definedName>
    <definedName name="P3_OP_Amt1" hidden="1">#REF!</definedName>
    <definedName name="P3_OP_Amt2" hidden="1">#REF!</definedName>
    <definedName name="P3_OP_Amt3" hidden="1">#REF!</definedName>
    <definedName name="P3_OP_Amt4" hidden="1">#REF!</definedName>
    <definedName name="P3_OP_Amt5" hidden="1">#REF!</definedName>
    <definedName name="P3_OP_Amt6" hidden="1">#REF!</definedName>
    <definedName name="P4_Actv_Amt1" hidden="1">#REF!</definedName>
    <definedName name="P4_Actv_Amt2" hidden="1">#REF!</definedName>
    <definedName name="P4_Actv_Amt3" hidden="1">#REF!</definedName>
    <definedName name="P4_Actv_Amt4" hidden="1">#REF!</definedName>
    <definedName name="P4_Actv_Amt5" hidden="1">#REF!</definedName>
    <definedName name="P4_Actv_Amt6" hidden="1">#REF!</definedName>
    <definedName name="P4_Bal_Amt1" hidden="1">#REF!</definedName>
    <definedName name="P4_Bal_Amt2" hidden="1">#REF!</definedName>
    <definedName name="P4_OP_Amt1" hidden="1">#REF!</definedName>
    <definedName name="P4_OP_Amt2" hidden="1">#REF!</definedName>
    <definedName name="P4_OP_Amt3" hidden="1">#REF!</definedName>
    <definedName name="P4_OP_Amt4" hidden="1">#REF!</definedName>
    <definedName name="P4_OP_Amt5" hidden="1">#REF!</definedName>
    <definedName name="P4_OP_Amt6" hidden="1">#REF!</definedName>
    <definedName name="P5_Actv_Amt1" hidden="1">#REF!</definedName>
    <definedName name="P5_Actv_Amt2" hidden="1">#REF!</definedName>
    <definedName name="P5_Actv_Amt3" hidden="1">#REF!</definedName>
    <definedName name="P5_Actv_Amt4" hidden="1">#REF!</definedName>
    <definedName name="P5_Actv_Amt5" hidden="1">#REF!</definedName>
    <definedName name="P5_Actv_Amt6" hidden="1">#REF!</definedName>
    <definedName name="P5_Bal_Amt1" hidden="1">#REF!</definedName>
    <definedName name="P5_Bal_Amt2" hidden="1">#REF!</definedName>
    <definedName name="P5_OP_Amt1" hidden="1">#REF!</definedName>
    <definedName name="P5_OP_Amt2" hidden="1">#REF!</definedName>
    <definedName name="P5_OP_Amt3" hidden="1">#REF!</definedName>
    <definedName name="P5_OP_Amt4" hidden="1">#REF!</definedName>
    <definedName name="P5_OP_Amt5" hidden="1">#REF!</definedName>
    <definedName name="P5_OP_Amt6" hidden="1">#REF!</definedName>
    <definedName name="P6_Actv_Amt1" hidden="1">#REF!</definedName>
    <definedName name="P6_Actv_Amt2" hidden="1">#REF!</definedName>
    <definedName name="P6_Actv_Amt3" hidden="1">#REF!</definedName>
    <definedName name="P6_Actv_Amt4" hidden="1">#REF!</definedName>
    <definedName name="P6_Actv_Amt5" hidden="1">#REF!</definedName>
    <definedName name="P6_Actv_Amt6" hidden="1">#REF!</definedName>
    <definedName name="P6_Bal_Amt1" hidden="1">#REF!</definedName>
    <definedName name="P6_Bal_Amt2" hidden="1">#REF!</definedName>
    <definedName name="P6_OP_Amt1" hidden="1">#REF!</definedName>
    <definedName name="P6_OP_Amt2" hidden="1">#REF!</definedName>
    <definedName name="P6_OP_Amt3" hidden="1">#REF!</definedName>
    <definedName name="P6_OP_Amt4" hidden="1">#REF!</definedName>
    <definedName name="P6_OP_Amt5" hidden="1">#REF!</definedName>
    <definedName name="P6_OP_Amt6" hidden="1">#REF!</definedName>
    <definedName name="P7_Actv_Amt1" hidden="1">#REF!</definedName>
    <definedName name="P7_Actv_Amt2" hidden="1">#REF!</definedName>
    <definedName name="P7_Actv_Amt3" hidden="1">#REF!</definedName>
    <definedName name="P7_Actv_Amt4" hidden="1">#REF!</definedName>
    <definedName name="P7_Actv_Amt5" hidden="1">#REF!</definedName>
    <definedName name="P7_Actv_Amt6" hidden="1">#REF!</definedName>
    <definedName name="P7_Bal_Amt1" hidden="1">#REF!</definedName>
    <definedName name="P7_Bal_Amt2" hidden="1">#REF!</definedName>
    <definedName name="P7_OP_Amt1" hidden="1">#REF!</definedName>
    <definedName name="P7_OP_Amt2" hidden="1">#REF!</definedName>
    <definedName name="P7_OP_Amt3" hidden="1">#REF!</definedName>
    <definedName name="P7_OP_Amt4" hidden="1">#REF!</definedName>
    <definedName name="P7_OP_Amt5" hidden="1">#REF!</definedName>
    <definedName name="P7_OP_Amt6" hidden="1">#REF!</definedName>
    <definedName name="p7y" localSheetId="6" hidden="1">{#N/A,#N/A,TRUE,"Cover";#N/A,#N/A,TRUE,"Conts";#N/A,#N/A,TRUE,"VOS";#N/A,#N/A,TRUE,"Warrington";#N/A,#N/A,TRUE,"Widnes"}</definedName>
    <definedName name="p7y" hidden="1">{#N/A,#N/A,TRUE,"Cover";#N/A,#N/A,TRUE,"Conts";#N/A,#N/A,TRUE,"VOS";#N/A,#N/A,TRUE,"Warrington";#N/A,#N/A,TRUE,"Widnes"}</definedName>
    <definedName name="p7y_1" localSheetId="6" hidden="1">{#N/A,#N/A,TRUE,"Cover";#N/A,#N/A,TRUE,"Conts";#N/A,#N/A,TRUE,"VOS";#N/A,#N/A,TRUE,"Warrington";#N/A,#N/A,TRUE,"Widnes"}</definedName>
    <definedName name="p7y_1" hidden="1">{#N/A,#N/A,TRUE,"Cover";#N/A,#N/A,TRUE,"Conts";#N/A,#N/A,TRUE,"VOS";#N/A,#N/A,TRUE,"Warrington";#N/A,#N/A,TRUE,"Widnes"}</definedName>
    <definedName name="P8_Actv_Amt1" hidden="1">#REF!</definedName>
    <definedName name="P8_Actv_Amt2" hidden="1">#REF!</definedName>
    <definedName name="P8_Actv_Amt3" hidden="1">#REF!</definedName>
    <definedName name="P8_Actv_Amt4" hidden="1">#REF!</definedName>
    <definedName name="P8_Actv_Amt5" hidden="1">#REF!</definedName>
    <definedName name="P8_Actv_Amt6" hidden="1">#REF!</definedName>
    <definedName name="P8_Bal_Amt1" hidden="1">#REF!</definedName>
    <definedName name="P8_Bal_Amt2" hidden="1">#REF!</definedName>
    <definedName name="P8_OP_Amt1" hidden="1">#REF!</definedName>
    <definedName name="P8_OP_Amt2" hidden="1">#REF!</definedName>
    <definedName name="P8_OP_Amt3" hidden="1">#REF!</definedName>
    <definedName name="P8_OP_Amt4" hidden="1">#REF!</definedName>
    <definedName name="P8_OP_Amt5" hidden="1">#REF!</definedName>
    <definedName name="P8_OP_Amt6" hidden="1">#REF!</definedName>
    <definedName name="P9_Actv_Amt1" hidden="1">#REF!</definedName>
    <definedName name="P9_Actv_Amt2" hidden="1">#REF!</definedName>
    <definedName name="P9_Actv_Amt3" hidden="1">#REF!</definedName>
    <definedName name="P9_Actv_Amt4" hidden="1">#REF!</definedName>
    <definedName name="P9_Actv_Amt5" hidden="1">#REF!</definedName>
    <definedName name="P9_Actv_Amt6" hidden="1">#REF!</definedName>
    <definedName name="P9_Bal_Amt1" hidden="1">#REF!</definedName>
    <definedName name="P9_Bal_Amt2" hidden="1">#REF!</definedName>
    <definedName name="P9_OP_Amt1" hidden="1">#REF!</definedName>
    <definedName name="P9_OP_Amt2" hidden="1">#REF!</definedName>
    <definedName name="P9_OP_Amt3" hidden="1">#REF!</definedName>
    <definedName name="P9_OP_Amt4" hidden="1">#REF!</definedName>
    <definedName name="P9_OP_Amt5" hidden="1">#REF!</definedName>
    <definedName name="P9_OP_Amt6" hidden="1">#REF!</definedName>
    <definedName name="pa" localSheetId="0" hidden="1">{"Graphic",#N/A,TRUE,"Graphic"}</definedName>
    <definedName name="pa" localSheetId="6" hidden="1">{"Graphic",#N/A,TRUE,"Graphic"}</definedName>
    <definedName name="pa" hidden="1">{"Graphic",#N/A,TRUE,"Graphic"}</definedName>
    <definedName name="pa_1" localSheetId="0" hidden="1">{"Graphic",#N/A,TRUE,"Graphic"}</definedName>
    <definedName name="pa_1" localSheetId="6" hidden="1">{"Graphic",#N/A,TRUE,"Graphic"}</definedName>
    <definedName name="pa_1" hidden="1">{"Graphic",#N/A,TRUE,"Graphic"}</definedName>
    <definedName name="Page_1">#REF!</definedName>
    <definedName name="Page_2">#REF!</definedName>
    <definedName name="page_number">#REF!</definedName>
    <definedName name="page1">#REF!</definedName>
    <definedName name="page2">#REF!</definedName>
    <definedName name="page3">#REF!</definedName>
    <definedName name="page4">#REF!</definedName>
    <definedName name="Pal_Workbook_GUID" hidden="1">"4WA9D7PPTZU3F7Z8MN8I6BG1"</definedName>
    <definedName name="Parag" hidden="1">#REF!</definedName>
    <definedName name="Parags" hidden="1">#REF!</definedName>
    <definedName name="Parte1a." localSheetId="6" hidden="1">{"PARTE1",#N/A,FALSE,"Plan1"}</definedName>
    <definedName name="Parte1a." hidden="1">{"PARTE1",#N/A,FALSE,"Plan1"}</definedName>
    <definedName name="Parte2" localSheetId="6" hidden="1">{"PARTE1",#N/A,FALSE,"Plan1"}</definedName>
    <definedName name="Parte2" hidden="1">{"PARTE1",#N/A,FALSE,"Plan1"}</definedName>
    <definedName name="parvendra" localSheetId="0" hidden="1">{"'INVOICE'!$A$2793:$D$2815"}</definedName>
    <definedName name="parvendra" localSheetId="6" hidden="1">{"'INVOICE'!$A$2793:$D$2815"}</definedName>
    <definedName name="parvendra" hidden="1">{"'INVOICE'!$A$2793:$D$2815"}</definedName>
    <definedName name="PASS" hidden="1">"pepe"</definedName>
    <definedName name="Passages" localSheetId="0" hidden="1">{#N/A,#N/A,FALSE,"Tabl. A1";#N/A,#N/A,FALSE,"Tabl. A1 b";#N/A,#N/A,FALSE,"Tabl. A2";#N/A,#N/A,FALSE,"Tabl. A2-1";#N/A,#N/A,FALSE,"Tabl. A2-2"}</definedName>
    <definedName name="Passages" localSheetId="6" hidden="1">{#N/A,#N/A,FALSE,"Tabl. A1";#N/A,#N/A,FALSE,"Tabl. A1 b";#N/A,#N/A,FALSE,"Tabl. A2";#N/A,#N/A,FALSE,"Tabl. A2-1";#N/A,#N/A,FALSE,"Tabl. A2-2"}</definedName>
    <definedName name="Passages" hidden="1">{#N/A,#N/A,FALSE,"Tabl. A1";#N/A,#N/A,FALSE,"Tabl. A1 b";#N/A,#N/A,FALSE,"Tabl. A2";#N/A,#N/A,FALSE,"Tabl. A2-1";#N/A,#N/A,FALSE,"Tabl. A2-2"}</definedName>
    <definedName name="Paste">#REF!</definedName>
    <definedName name="paste_NPV">#REF!</definedName>
    <definedName name="paste_NPV1">#REF!</definedName>
    <definedName name="paste_NPV2">#REF!</definedName>
    <definedName name="paste_NPV3">#REF!</definedName>
    <definedName name="paste_NPV4">#REF!</definedName>
    <definedName name="paste_this">#REF!</definedName>
    <definedName name="paste_this1">#REF!</definedName>
    <definedName name="paste_this2">#REF!</definedName>
    <definedName name="paste_this3">#REF!</definedName>
    <definedName name="paste_this4">#REF!</definedName>
    <definedName name="PAY_ACCRUED" hidden="1">"PAY_ACCRUED"</definedName>
    <definedName name="Pay_Date">#REF!</definedName>
    <definedName name="Pay_Num">#REF!</definedName>
    <definedName name="Payables_3" localSheetId="0" hidden="1">{"CECons",#N/A,FALSE,"CE"}</definedName>
    <definedName name="Payables_3" localSheetId="6" hidden="1">{"CECons",#N/A,FALSE,"CE"}</definedName>
    <definedName name="Payables_3" hidden="1">{"CECons",#N/A,FALSE,"CE"}</definedName>
    <definedName name="Payables_4" localSheetId="0" hidden="1">{"CECons",#N/A,FALSE,"CE"}</definedName>
    <definedName name="Payables_4" localSheetId="6" hidden="1">{"CECons",#N/A,FALSE,"CE"}</definedName>
    <definedName name="Payables_4" hidden="1">{"CECons",#N/A,FALSE,"CE"}</definedName>
    <definedName name="Payment">#REF!</definedName>
    <definedName name="Payment_Date" localSheetId="4">DATE(YEAR([0]!Loan_Start),MONTH([0]!Loan_Start)+Payment_Number,DAY([0]!Loan_Start))</definedName>
    <definedName name="Payment_Date" localSheetId="2">DATE(YEAR([0]!Loan_Start),MONTH([0]!Loan_Start)+Payment_Number,DAY([0]!Loan_Start))</definedName>
    <definedName name="Payment_Date" localSheetId="6">DATE(YEAR(Loan_Start),MONTH(Loan_Start)+Payment_Number,DAY(Loan_Start))</definedName>
    <definedName name="Payment_Date">DATE(YEAR(Loan_Start),MONTH(Loan_Start)+Payment_Number,DAY(Loan_Start))</definedName>
    <definedName name="PaymentsPerYear">#REF!</definedName>
    <definedName name="PB1_">#REF!</definedName>
    <definedName name="PB2_">#REF!</definedName>
    <definedName name="PB3_">#REF!</definedName>
    <definedName name="PB4_">#REF!</definedName>
    <definedName name="pc">#REF!</definedName>
    <definedName name="PctNTFDebt">#REF!</definedName>
    <definedName name="PD.chart" hidden="1">#REF!</definedName>
    <definedName name="PD.chart1" hidden="1">#REF!</definedName>
    <definedName name="PD.chart1A" hidden="1">#REF!</definedName>
    <definedName name="PD.chart2" hidden="1">#REF!</definedName>
    <definedName name="PD.chart2A" hidden="1">#REF!</definedName>
    <definedName name="Pd.chart3" hidden="1">#REF!</definedName>
    <definedName name="PE">#REF!</definedName>
    <definedName name="pè" localSheetId="0" hidden="1">{"DJH3",#N/A,FALSE,"PFL00805";"PJB3",#N/A,FALSE,"PFL00805";"JMD3",#N/A,FALSE,"PFL00805";"DNB3",#N/A,FALSE,"PFL00805";"MJP3",#N/A,FALSE,"PFL00805";"RAB3",#N/A,FALSE,"PFL00805";"GJW3",#N/A,FALSE,"PFL00805";"MASTER3",#N/A,FALSE,"PFL00805"}</definedName>
    <definedName name="pè" localSheetId="6" hidden="1">{"DJH3",#N/A,FALSE,"PFL00805";"PJB3",#N/A,FALSE,"PFL00805";"JMD3",#N/A,FALSE,"PFL00805";"DNB3",#N/A,FALSE,"PFL00805";"MJP3",#N/A,FALSE,"PFL00805";"RAB3",#N/A,FALSE,"PFL00805";"GJW3",#N/A,FALSE,"PFL00805";"MASTER3",#N/A,FALSE,"PFL00805"}</definedName>
    <definedName name="pè" hidden="1">{"DJH3",#N/A,FALSE,"PFL00805";"PJB3",#N/A,FALSE,"PFL00805";"JMD3",#N/A,FALSE,"PFL00805";"DNB3",#N/A,FALSE,"PFL00805";"MJP3",#N/A,FALSE,"PFL00805";"RAB3",#N/A,FALSE,"PFL00805";"GJW3",#N/A,FALSE,"PFL00805";"MASTER3",#N/A,FALSE,"PFL00805"}</definedName>
    <definedName name="pè_1" localSheetId="0" hidden="1">{"DJH3",#N/A,FALSE,"PFL00805";"PJB3",#N/A,FALSE,"PFL00805";"JMD3",#N/A,FALSE,"PFL00805";"DNB3",#N/A,FALSE,"PFL00805";"MJP3",#N/A,FALSE,"PFL00805";"RAB3",#N/A,FALSE,"PFL00805";"GJW3",#N/A,FALSE,"PFL00805";"MASTER3",#N/A,FALSE,"PFL00805"}</definedName>
    <definedName name="pè_1" localSheetId="6" hidden="1">{"DJH3",#N/A,FALSE,"PFL00805";"PJB3",#N/A,FALSE,"PFL00805";"JMD3",#N/A,FALSE,"PFL00805";"DNB3",#N/A,FALSE,"PFL00805";"MJP3",#N/A,FALSE,"PFL00805";"RAB3",#N/A,FALSE,"PFL00805";"GJW3",#N/A,FALSE,"PFL00805";"MASTER3",#N/A,FALSE,"PFL00805"}</definedName>
    <definedName name="pè_1" hidden="1">{"DJH3",#N/A,FALSE,"PFL00805";"PJB3",#N/A,FALSE,"PFL00805";"JMD3",#N/A,FALSE,"PFL00805";"DNB3",#N/A,FALSE,"PFL00805";"MJP3",#N/A,FALSE,"PFL00805";"RAB3",#N/A,FALSE,"PFL00805";"GJW3",#N/A,FALSE,"PFL00805";"MASTER3",#N/A,FALSE,"PFL00805"}</definedName>
    <definedName name="PE_CB">#REF!</definedName>
    <definedName name="PE1_">#REF!</definedName>
    <definedName name="PE2_">#REF!</definedName>
    <definedName name="PE3_">#REF!</definedName>
    <definedName name="PE4_">#REF!</definedName>
    <definedName name="PEOne">#REF!</definedName>
    <definedName name="pepe" localSheetId="0" hidden="1">{#N/A,#N/A,FALSE,"Pharm";#N/A,#N/A,FALSE,"WWCM"}</definedName>
    <definedName name="pepe" localSheetId="6" hidden="1">{#N/A,#N/A,FALSE,"Pharm";#N/A,#N/A,FALSE,"WWCM"}</definedName>
    <definedName name="pepe" hidden="1">{#N/A,#N/A,FALSE,"Pharm";#N/A,#N/A,FALSE,"WWCM"}</definedName>
    <definedName name="pepe_1" localSheetId="0" hidden="1">{#N/A,#N/A,FALSE,"Pharm";#N/A,#N/A,FALSE,"WWCM"}</definedName>
    <definedName name="pepe_1" localSheetId="6" hidden="1">{#N/A,#N/A,FALSE,"Pharm";#N/A,#N/A,FALSE,"WWCM"}</definedName>
    <definedName name="pepe_1" hidden="1">{#N/A,#N/A,FALSE,"Pharm";#N/A,#N/A,FALSE,"WWCM"}</definedName>
    <definedName name="pepe_1_1" localSheetId="0" hidden="1">{#N/A,#N/A,FALSE,"Pharm";#N/A,#N/A,FALSE,"WWCM"}</definedName>
    <definedName name="pepe_1_1" localSheetId="6" hidden="1">{#N/A,#N/A,FALSE,"Pharm";#N/A,#N/A,FALSE,"WWCM"}</definedName>
    <definedName name="pepe_1_1" hidden="1">{#N/A,#N/A,FALSE,"Pharm";#N/A,#N/A,FALSE,"WWCM"}</definedName>
    <definedName name="pepe_2" localSheetId="0" hidden="1">{#N/A,#N/A,FALSE,"Pharm";#N/A,#N/A,FALSE,"WWCM"}</definedName>
    <definedName name="pepe_2" localSheetId="6" hidden="1">{#N/A,#N/A,FALSE,"Pharm";#N/A,#N/A,FALSE,"WWCM"}</definedName>
    <definedName name="pepe_2" hidden="1">{#N/A,#N/A,FALSE,"Pharm";#N/A,#N/A,FALSE,"WWCM"}</definedName>
    <definedName name="pepe_3" localSheetId="0" hidden="1">{#N/A,#N/A,FALSE,"Pharm";#N/A,#N/A,FALSE,"WWCM"}</definedName>
    <definedName name="pepe_3" localSheetId="6" hidden="1">{#N/A,#N/A,FALSE,"Pharm";#N/A,#N/A,FALSE,"WWCM"}</definedName>
    <definedName name="pepe_3" hidden="1">{#N/A,#N/A,FALSE,"Pharm";#N/A,#N/A,FALSE,"WWCM"}</definedName>
    <definedName name="pepe_4" localSheetId="0" hidden="1">{#N/A,#N/A,FALSE,"Pharm";#N/A,#N/A,FALSE,"WWCM"}</definedName>
    <definedName name="pepe_4" localSheetId="6" hidden="1">{#N/A,#N/A,FALSE,"Pharm";#N/A,#N/A,FALSE,"WWCM"}</definedName>
    <definedName name="pepe_4" hidden="1">{#N/A,#N/A,FALSE,"Pharm";#N/A,#N/A,FALSE,"WWCM"}</definedName>
    <definedName name="pepe_5" localSheetId="0" hidden="1">{#N/A,#N/A,FALSE,"Pharm";#N/A,#N/A,FALSE,"WWCM"}</definedName>
    <definedName name="pepe_5" localSheetId="6" hidden="1">{#N/A,#N/A,FALSE,"Pharm";#N/A,#N/A,FALSE,"WWCM"}</definedName>
    <definedName name="pepe_5" hidden="1">{#N/A,#N/A,FALSE,"Pharm";#N/A,#N/A,FALSE,"WWCM"}</definedName>
    <definedName name="PEPE4" localSheetId="0" hidden="1">{#N/A,#N/A,FALSE,"Pharm";#N/A,#N/A,FALSE,"WWCM"}</definedName>
    <definedName name="PEPE4" localSheetId="6" hidden="1">{#N/A,#N/A,FALSE,"Pharm";#N/A,#N/A,FALSE,"WWCM"}</definedName>
    <definedName name="PEPE4" hidden="1">{#N/A,#N/A,FALSE,"Pharm";#N/A,#N/A,FALSE,"WWCM"}</definedName>
    <definedName name="PEPE4_1" localSheetId="0" hidden="1">{#N/A,#N/A,FALSE,"Pharm";#N/A,#N/A,FALSE,"WWCM"}</definedName>
    <definedName name="PEPE4_1" localSheetId="6" hidden="1">{#N/A,#N/A,FALSE,"Pharm";#N/A,#N/A,FALSE,"WWCM"}</definedName>
    <definedName name="PEPE4_1" hidden="1">{#N/A,#N/A,FALSE,"Pharm";#N/A,#N/A,FALSE,"WWCM"}</definedName>
    <definedName name="PEPE4_1_1" localSheetId="0" hidden="1">{#N/A,#N/A,FALSE,"Pharm";#N/A,#N/A,FALSE,"WWCM"}</definedName>
    <definedName name="PEPE4_1_1" localSheetId="6" hidden="1">{#N/A,#N/A,FALSE,"Pharm";#N/A,#N/A,FALSE,"WWCM"}</definedName>
    <definedName name="PEPE4_1_1" hidden="1">{#N/A,#N/A,FALSE,"Pharm";#N/A,#N/A,FALSE,"WWCM"}</definedName>
    <definedName name="PEPE4_2" localSheetId="0" hidden="1">{#N/A,#N/A,FALSE,"Pharm";#N/A,#N/A,FALSE,"WWCM"}</definedName>
    <definedName name="PEPE4_2" localSheetId="6" hidden="1">{#N/A,#N/A,FALSE,"Pharm";#N/A,#N/A,FALSE,"WWCM"}</definedName>
    <definedName name="PEPE4_2" hidden="1">{#N/A,#N/A,FALSE,"Pharm";#N/A,#N/A,FALSE,"WWCM"}</definedName>
    <definedName name="PEPE4_3" localSheetId="0" hidden="1">{#N/A,#N/A,FALSE,"Pharm";#N/A,#N/A,FALSE,"WWCM"}</definedName>
    <definedName name="PEPE4_3" localSheetId="6" hidden="1">{#N/A,#N/A,FALSE,"Pharm";#N/A,#N/A,FALSE,"WWCM"}</definedName>
    <definedName name="PEPE4_3" hidden="1">{#N/A,#N/A,FALSE,"Pharm";#N/A,#N/A,FALSE,"WWCM"}</definedName>
    <definedName name="PEPE4_4" localSheetId="0" hidden="1">{#N/A,#N/A,FALSE,"Pharm";#N/A,#N/A,FALSE,"WWCM"}</definedName>
    <definedName name="PEPE4_4" localSheetId="6" hidden="1">{#N/A,#N/A,FALSE,"Pharm";#N/A,#N/A,FALSE,"WWCM"}</definedName>
    <definedName name="PEPE4_4" hidden="1">{#N/A,#N/A,FALSE,"Pharm";#N/A,#N/A,FALSE,"WWCM"}</definedName>
    <definedName name="PEPE4_5" localSheetId="0" hidden="1">{#N/A,#N/A,FALSE,"Pharm";#N/A,#N/A,FALSE,"WWCM"}</definedName>
    <definedName name="PEPE4_5" localSheetId="6" hidden="1">{#N/A,#N/A,FALSE,"Pharm";#N/A,#N/A,FALSE,"WWCM"}</definedName>
    <definedName name="PEPE4_5" hidden="1">{#N/A,#N/A,FALSE,"Pharm";#N/A,#N/A,FALSE,"WWCM"}</definedName>
    <definedName name="PEPE5" localSheetId="0" hidden="1">{#N/A,#N/A,FALSE,"Pharm";#N/A,#N/A,FALSE,"WWCM"}</definedName>
    <definedName name="PEPE5" localSheetId="6" hidden="1">{#N/A,#N/A,FALSE,"Pharm";#N/A,#N/A,FALSE,"WWCM"}</definedName>
    <definedName name="PEPE5" hidden="1">{#N/A,#N/A,FALSE,"Pharm";#N/A,#N/A,FALSE,"WWCM"}</definedName>
    <definedName name="PEPE5_1" localSheetId="0" hidden="1">{#N/A,#N/A,FALSE,"Pharm";#N/A,#N/A,FALSE,"WWCM"}</definedName>
    <definedName name="PEPE5_1" localSheetId="6" hidden="1">{#N/A,#N/A,FALSE,"Pharm";#N/A,#N/A,FALSE,"WWCM"}</definedName>
    <definedName name="PEPE5_1" hidden="1">{#N/A,#N/A,FALSE,"Pharm";#N/A,#N/A,FALSE,"WWCM"}</definedName>
    <definedName name="PEPE5_1_1" localSheetId="0" hidden="1">{#N/A,#N/A,FALSE,"Pharm";#N/A,#N/A,FALSE,"WWCM"}</definedName>
    <definedName name="PEPE5_1_1" localSheetId="6" hidden="1">{#N/A,#N/A,FALSE,"Pharm";#N/A,#N/A,FALSE,"WWCM"}</definedName>
    <definedName name="PEPE5_1_1" hidden="1">{#N/A,#N/A,FALSE,"Pharm";#N/A,#N/A,FALSE,"WWCM"}</definedName>
    <definedName name="PEPE5_2" localSheetId="0" hidden="1">{#N/A,#N/A,FALSE,"Pharm";#N/A,#N/A,FALSE,"WWCM"}</definedName>
    <definedName name="PEPE5_2" localSheetId="6" hidden="1">{#N/A,#N/A,FALSE,"Pharm";#N/A,#N/A,FALSE,"WWCM"}</definedName>
    <definedName name="PEPE5_2" hidden="1">{#N/A,#N/A,FALSE,"Pharm";#N/A,#N/A,FALSE,"WWCM"}</definedName>
    <definedName name="PEPE5_3" localSheetId="0" hidden="1">{#N/A,#N/A,FALSE,"Pharm";#N/A,#N/A,FALSE,"WWCM"}</definedName>
    <definedName name="PEPE5_3" localSheetId="6" hidden="1">{#N/A,#N/A,FALSE,"Pharm";#N/A,#N/A,FALSE,"WWCM"}</definedName>
    <definedName name="PEPE5_3" hidden="1">{#N/A,#N/A,FALSE,"Pharm";#N/A,#N/A,FALSE,"WWCM"}</definedName>
    <definedName name="PEPE5_4" localSheetId="0" hidden="1">{#N/A,#N/A,FALSE,"Pharm";#N/A,#N/A,FALSE,"WWCM"}</definedName>
    <definedName name="PEPE5_4" localSheetId="6" hidden="1">{#N/A,#N/A,FALSE,"Pharm";#N/A,#N/A,FALSE,"WWCM"}</definedName>
    <definedName name="PEPE5_4" hidden="1">{#N/A,#N/A,FALSE,"Pharm";#N/A,#N/A,FALSE,"WWCM"}</definedName>
    <definedName name="PEPE5_5" localSheetId="0" hidden="1">{#N/A,#N/A,FALSE,"Pharm";#N/A,#N/A,FALSE,"WWCM"}</definedName>
    <definedName name="PEPE5_5" localSheetId="6" hidden="1">{#N/A,#N/A,FALSE,"Pharm";#N/A,#N/A,FALSE,"WWCM"}</definedName>
    <definedName name="PEPE5_5" hidden="1">{#N/A,#N/A,FALSE,"Pharm";#N/A,#N/A,FALSE,"WWCM"}</definedName>
    <definedName name="perbolag" localSheetId="6" hidden="1">{#N/A,#N/A,FALSE,"intag";#N/A,#N/A,FALSE,"budg";#N/A,#N/A,FALSE,"samtl"}</definedName>
    <definedName name="perbolag" hidden="1">{#N/A,#N/A,FALSE,"intag";#N/A,#N/A,FALSE,"budg";#N/A,#N/A,FALSE,"samtl"}</definedName>
    <definedName name="perbolagneu" localSheetId="6" hidden="1">{#N/A,#N/A,FALSE,"intag";#N/A,#N/A,FALSE,"budg";#N/A,#N/A,FALSE,"samtl"}</definedName>
    <definedName name="perbolagneu" hidden="1">{#N/A,#N/A,FALSE,"intag";#N/A,#N/A,FALSE,"budg";#N/A,#N/A,FALSE,"samtl"}</definedName>
    <definedName name="percent">#REF!</definedName>
    <definedName name="PerfModel">#REF!</definedName>
    <definedName name="PerfModelHdr">#REF!</definedName>
    <definedName name="period" hidden="1">#REF!</definedName>
    <definedName name="period1">#REF!</definedName>
    <definedName name="period10">#REF!</definedName>
    <definedName name="period2">#REF!</definedName>
    <definedName name="period3">#REF!</definedName>
    <definedName name="period4">#REF!</definedName>
    <definedName name="period5">#REF!</definedName>
    <definedName name="period6">#REF!</definedName>
    <definedName name="period7">#REF!</definedName>
    <definedName name="period8">#REF!</definedName>
    <definedName name="period9">#REF!</definedName>
    <definedName name="PERIODDATE" hidden="1">"PERIODDATE"</definedName>
    <definedName name="PeriodsInYear">#REF!</definedName>
    <definedName name="PERSONAL_FINANCIAL">#REF!</definedName>
    <definedName name="personnel"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personnel" hidden="1">{#N/A,#N/A,TRUE,"Sensonic";#N/A,#N/A,TRUE,"Combimeter";#N/A,#N/A,TRUE,"HKV";#N/A,#N/A,TRUE,"TV";#N/A,#N/A,TRUE,"WZ";#N/A,#N/A,TRUE,"PrepHeatCon";#N/A,#N/A,TRUE,"Sonstiges";#N/A,#N/A,TRUE,"Abrechnung";#N/A,#N/A,TRUE,"Investitionen";#N/A,#N/A,TRUE,"Personal";#N/A,#N/A,TRUE,"sonstige Kosten u. Erträge";#N/A,#N/A,TRUE,"BER";#N/A,#N/A,TRUE,"Monatsaufteilung Budget 1997"}</definedName>
    <definedName name="PF_EBITDA" hidden="1">#REF!</definedName>
    <definedName name="PFZ" localSheetId="0" hidden="1">{#N/A,#N/A,FALSE,"CE-Build";#N/A,#N/A,FALSE,"CE-Equ.";#N/A,#N/A,FALSE,"CE-Computer";#N/A,#N/A,FALSE,"CE-BFurn.";#N/A,#N/A,FALSE,"CE-Accom.";#N/A,#N/A,FALSE,"CE-Vehicle";#N/A,#N/A,FALSE,"CE-Total"}</definedName>
    <definedName name="PFZ" localSheetId="6" hidden="1">{#N/A,#N/A,FALSE,"CE-Build";#N/A,#N/A,FALSE,"CE-Equ.";#N/A,#N/A,FALSE,"CE-Computer";#N/A,#N/A,FALSE,"CE-BFurn.";#N/A,#N/A,FALSE,"CE-Accom.";#N/A,#N/A,FALSE,"CE-Vehicle";#N/A,#N/A,FALSE,"CE-Total"}</definedName>
    <definedName name="PFZ" hidden="1">{#N/A,#N/A,FALSE,"CE-Build";#N/A,#N/A,FALSE,"CE-Equ.";#N/A,#N/A,FALSE,"CE-Computer";#N/A,#N/A,FALSE,"CE-BFurn.";#N/A,#N/A,FALSE,"CE-Accom.";#N/A,#N/A,FALSE,"CE-Vehicle";#N/A,#N/A,FALSE,"CE-Total"}</definedName>
    <definedName name="PGE_1">#REF!</definedName>
    <definedName name="pgz" localSheetId="0" hidden="1">{#N/A,#N/A,FALSE,"PROFIT 11-95"}</definedName>
    <definedName name="pgz" localSheetId="6" hidden="1">{#N/A,#N/A,FALSE,"PROFIT 11-95"}</definedName>
    <definedName name="pgz" hidden="1">{#N/A,#N/A,FALSE,"PROFIT 11-95"}</definedName>
    <definedName name="pharma" localSheetId="0" hidden="1">{#N/A,#N/A,FALSE,"Sales Graph";#N/A,#N/A,FALSE,"PSBM";#N/A,#N/A,FALSE,"BUC Graph";#N/A,#N/A,FALSE,"P&amp;L - YTD"}</definedName>
    <definedName name="pharma" localSheetId="6" hidden="1">{#N/A,#N/A,FALSE,"Sales Graph";#N/A,#N/A,FALSE,"PSBM";#N/A,#N/A,FALSE,"BUC Graph";#N/A,#N/A,FALSE,"P&amp;L - YTD"}</definedName>
    <definedName name="pharma" hidden="1">{#N/A,#N/A,FALSE,"Sales Graph";#N/A,#N/A,FALSE,"PSBM";#N/A,#N/A,FALSE,"BUC Graph";#N/A,#N/A,FALSE,"P&amp;L - YTD"}</definedName>
    <definedName name="pharma_1" localSheetId="0" hidden="1">{#N/A,#N/A,FALSE,"Sales Graph";#N/A,#N/A,FALSE,"PSBM";#N/A,#N/A,FALSE,"BUC Graph";#N/A,#N/A,FALSE,"P&amp;L - YTD"}</definedName>
    <definedName name="pharma_1" localSheetId="6" hidden="1">{#N/A,#N/A,FALSE,"Sales Graph";#N/A,#N/A,FALSE,"PSBM";#N/A,#N/A,FALSE,"BUC Graph";#N/A,#N/A,FALSE,"P&amp;L - YTD"}</definedName>
    <definedName name="pharma_1" hidden="1">{#N/A,#N/A,FALSE,"Sales Graph";#N/A,#N/A,FALSE,"PSBM";#N/A,#N/A,FALSE,"BUC Graph";#N/A,#N/A,FALSE,"P&amp;L - YTD"}</definedName>
    <definedName name="pharma_1_1" localSheetId="0" hidden="1">{#N/A,#N/A,FALSE,"Sales Graph";#N/A,#N/A,FALSE,"PSBM";#N/A,#N/A,FALSE,"BUC Graph";#N/A,#N/A,FALSE,"P&amp;L - YTD"}</definedName>
    <definedName name="pharma_1_1" localSheetId="6" hidden="1">{#N/A,#N/A,FALSE,"Sales Graph";#N/A,#N/A,FALSE,"PSBM";#N/A,#N/A,FALSE,"BUC Graph";#N/A,#N/A,FALSE,"P&amp;L - YTD"}</definedName>
    <definedName name="pharma_1_1" hidden="1">{#N/A,#N/A,FALSE,"Sales Graph";#N/A,#N/A,FALSE,"PSBM";#N/A,#N/A,FALSE,"BUC Graph";#N/A,#N/A,FALSE,"P&amp;L - YTD"}</definedName>
    <definedName name="pharma_2" localSheetId="0" hidden="1">{#N/A,#N/A,FALSE,"Sales Graph";#N/A,#N/A,FALSE,"PSBM";#N/A,#N/A,FALSE,"BUC Graph";#N/A,#N/A,FALSE,"P&amp;L - YTD"}</definedName>
    <definedName name="pharma_2" localSheetId="6" hidden="1">{#N/A,#N/A,FALSE,"Sales Graph";#N/A,#N/A,FALSE,"PSBM";#N/A,#N/A,FALSE,"BUC Graph";#N/A,#N/A,FALSE,"P&amp;L - YTD"}</definedName>
    <definedName name="pharma_2" hidden="1">{#N/A,#N/A,FALSE,"Sales Graph";#N/A,#N/A,FALSE,"PSBM";#N/A,#N/A,FALSE,"BUC Graph";#N/A,#N/A,FALSE,"P&amp;L - YTD"}</definedName>
    <definedName name="pharma_3" localSheetId="0" hidden="1">{#N/A,#N/A,FALSE,"Sales Graph";#N/A,#N/A,FALSE,"PSBM";#N/A,#N/A,FALSE,"BUC Graph";#N/A,#N/A,FALSE,"P&amp;L - YTD"}</definedName>
    <definedName name="pharma_3" localSheetId="6" hidden="1">{#N/A,#N/A,FALSE,"Sales Graph";#N/A,#N/A,FALSE,"PSBM";#N/A,#N/A,FALSE,"BUC Graph";#N/A,#N/A,FALSE,"P&amp;L - YTD"}</definedName>
    <definedName name="pharma_3" hidden="1">{#N/A,#N/A,FALSE,"Sales Graph";#N/A,#N/A,FALSE,"PSBM";#N/A,#N/A,FALSE,"BUC Graph";#N/A,#N/A,FALSE,"P&amp;L - YTD"}</definedName>
    <definedName name="pharma_4" localSheetId="0" hidden="1">{#N/A,#N/A,FALSE,"Sales Graph";#N/A,#N/A,FALSE,"PSBM";#N/A,#N/A,FALSE,"BUC Graph";#N/A,#N/A,FALSE,"P&amp;L - YTD"}</definedName>
    <definedName name="pharma_4" localSheetId="6" hidden="1">{#N/A,#N/A,FALSE,"Sales Graph";#N/A,#N/A,FALSE,"PSBM";#N/A,#N/A,FALSE,"BUC Graph";#N/A,#N/A,FALSE,"P&amp;L - YTD"}</definedName>
    <definedName name="pharma_4" hidden="1">{#N/A,#N/A,FALSE,"Sales Graph";#N/A,#N/A,FALSE,"PSBM";#N/A,#N/A,FALSE,"BUC Graph";#N/A,#N/A,FALSE,"P&amp;L - YTD"}</definedName>
    <definedName name="pharma_5" localSheetId="0" hidden="1">{#N/A,#N/A,FALSE,"Sales Graph";#N/A,#N/A,FALSE,"PSBM";#N/A,#N/A,FALSE,"BUC Graph";#N/A,#N/A,FALSE,"P&amp;L - YTD"}</definedName>
    <definedName name="pharma_5" localSheetId="6" hidden="1">{#N/A,#N/A,FALSE,"Sales Graph";#N/A,#N/A,FALSE,"PSBM";#N/A,#N/A,FALSE,"BUC Graph";#N/A,#N/A,FALSE,"P&amp;L - YTD"}</definedName>
    <definedName name="pharma_5" hidden="1">{#N/A,#N/A,FALSE,"Sales Graph";#N/A,#N/A,FALSE,"PSBM";#N/A,#N/A,FALSE,"BUC Graph";#N/A,#N/A,FALSE,"P&amp;L - YTD"}</definedName>
    <definedName name="Phase" hidden="1">#REF!</definedName>
    <definedName name="Phases" hidden="1">#REF!</definedName>
    <definedName name="PietjePuk" hidden="1">#N/A</definedName>
    <definedName name="PIONEERWARRANTY">#REF!</definedName>
    <definedName name="pipo" localSheetId="0" hidden="1">{#N/A,#N/A,TRUE,"financial";#N/A,#N/A,TRUE,"plants"}</definedName>
    <definedName name="pipo" localSheetId="6" hidden="1">{#N/A,#N/A,TRUE,"financial";#N/A,#N/A,TRUE,"plants"}</definedName>
    <definedName name="pipo" hidden="1">{#N/A,#N/A,TRUE,"financial";#N/A,#N/A,TRUE,"plants"}</definedName>
    <definedName name="pippo" localSheetId="0" hidden="1">{"scha",#N/A,FALSE,"Turnover";"schb",#N/A,FALSE,"Turnover";"schc",#N/A,FALSE,"Turnover";"schd",#N/A,FALSE,"Turnover"}</definedName>
    <definedName name="pippo" localSheetId="6" hidden="1">{"scha",#N/A,FALSE,"Turnover";"schb",#N/A,FALSE,"Turnover";"schc",#N/A,FALSE,"Turnover";"schd",#N/A,FALSE,"Turnover"}</definedName>
    <definedName name="pippo" hidden="1">{"scha",#N/A,FALSE,"Turnover";"schb",#N/A,FALSE,"Turnover";"schc",#N/A,FALSE,"Turnover";"schd",#N/A,FALSE,"Turnover"}</definedName>
    <definedName name="pippo_1" localSheetId="0" hidden="1">{"scha",#N/A,FALSE,"Turnover";"schb",#N/A,FALSE,"Turnover";"schc",#N/A,FALSE,"Turnover";"schd",#N/A,FALSE,"Turnover"}</definedName>
    <definedName name="pippo_1" localSheetId="6" hidden="1">{"scha",#N/A,FALSE,"Turnover";"schb",#N/A,FALSE,"Turnover";"schc",#N/A,FALSE,"Turnover";"schd",#N/A,FALSE,"Turnover"}</definedName>
    <definedName name="pippo_1" hidden="1">{"scha",#N/A,FALSE,"Turnover";"schb",#N/A,FALSE,"Turnover";"schc",#N/A,FALSE,"Turnover";"schd",#N/A,FALSE,"Turnover"}</definedName>
    <definedName name="pippo2" localSheetId="0" hidden="1">{#N/A,#N/A,FALSE,"Table of Contents";#N/A,#N/A,FALSE,"Overview";#N/A,#N/A,FALSE,"Data"}</definedName>
    <definedName name="pippo2" localSheetId="6" hidden="1">{#N/A,#N/A,FALSE,"Table of Contents";#N/A,#N/A,FALSE,"Overview";#N/A,#N/A,FALSE,"Data"}</definedName>
    <definedName name="pippo2" hidden="1">{#N/A,#N/A,FALSE,"Table of Contents";#N/A,#N/A,FALSE,"Overview";#N/A,#N/A,FALSE,"Data"}</definedName>
    <definedName name="PIPPO3" localSheetId="0" hidden="1">{#N/A,#N/A,FALSE,"Work progress mensile";#N/A,#N/A,FALSE,"Work progress mensile IE1"}</definedName>
    <definedName name="PIPPO3" localSheetId="6" hidden="1">{#N/A,#N/A,FALSE,"Work progress mensile";#N/A,#N/A,FALSE,"Work progress mensile IE1"}</definedName>
    <definedName name="PIPPO3" hidden="1">{#N/A,#N/A,FALSE,"Work progress mensile";#N/A,#N/A,FALSE,"Work progress mensile IE1"}</definedName>
    <definedName name="PIPPO4" localSheetId="0" hidden="1">{#N/A,#N/A,FALSE,"Work progress mensile";#N/A,#N/A,FALSE,"Work progress mensile IE1"}</definedName>
    <definedName name="PIPPO4" localSheetId="6" hidden="1">{#N/A,#N/A,FALSE,"Work progress mensile";#N/A,#N/A,FALSE,"Work progress mensile IE1"}</definedName>
    <definedName name="PIPPO4" hidden="1">{#N/A,#N/A,FALSE,"Work progress mensile";#N/A,#N/A,FALSE,"Work progress mensile IE1"}</definedName>
    <definedName name="pipponio" localSheetId="0" hidden="1">{"CECons",#N/A,FALSE,"CE"}</definedName>
    <definedName name="pipponio" localSheetId="6" hidden="1">{"CECons",#N/A,FALSE,"CE"}</definedName>
    <definedName name="pipponio" hidden="1">{"CECons",#N/A,FALSE,"CE"}</definedName>
    <definedName name="pippop" localSheetId="0" hidden="1">{"'INDICE'!$A$1:$K$13","'1'!$A$1:$CC$78","'2'!$A$1:$P$78","'3'!$A$1:$CI$78","'4'!$A$1:$Q$78"}</definedName>
    <definedName name="pippop" localSheetId="6" hidden="1">{"'INDICE'!$A$1:$K$13","'1'!$A$1:$CC$78","'2'!$A$1:$P$78","'3'!$A$1:$CI$78","'4'!$A$1:$Q$78"}</definedName>
    <definedName name="pippop" hidden="1">{"'INDICE'!$A$1:$K$13","'1'!$A$1:$CC$78","'2'!$A$1:$P$78","'3'!$A$1:$CI$78","'4'!$A$1:$Q$78"}</definedName>
    <definedName name="pippop_1" localSheetId="0" hidden="1">{"'INDICE'!$A$1:$K$13","'1'!$A$1:$CC$78","'2'!$A$1:$P$78","'3'!$A$1:$CI$78","'4'!$A$1:$Q$78"}</definedName>
    <definedName name="pippop_1" localSheetId="6" hidden="1">{"'INDICE'!$A$1:$K$13","'1'!$A$1:$CC$78","'2'!$A$1:$P$78","'3'!$A$1:$CI$78","'4'!$A$1:$Q$78"}</definedName>
    <definedName name="pippop_1" hidden="1">{"'INDICE'!$A$1:$K$13","'1'!$A$1:$CC$78","'2'!$A$1:$P$78","'3'!$A$1:$CI$78","'4'!$A$1:$Q$78"}</definedName>
    <definedName name="PIPPOP1" localSheetId="0" hidden="1">{"'INDICE'!$A$1:$K$13","'1'!$A$1:$CC$78","'2'!$A$1:$P$78","'3'!$A$1:$CI$78","'4'!$A$1:$Q$78"}</definedName>
    <definedName name="PIPPOP1" localSheetId="6" hidden="1">{"'INDICE'!$A$1:$K$13","'1'!$A$1:$CC$78","'2'!$A$1:$P$78","'3'!$A$1:$CI$78","'4'!$A$1:$Q$78"}</definedName>
    <definedName name="PIPPOP1" hidden="1">{"'INDICE'!$A$1:$K$13","'1'!$A$1:$CC$78","'2'!$A$1:$P$78","'3'!$A$1:$CI$78","'4'!$A$1:$Q$78"}</definedName>
    <definedName name="PIPPOP1_1" localSheetId="0" hidden="1">{"'INDICE'!$A$1:$K$13","'1'!$A$1:$CC$78","'2'!$A$1:$P$78","'3'!$A$1:$CI$78","'4'!$A$1:$Q$78"}</definedName>
    <definedName name="PIPPOP1_1" localSheetId="6" hidden="1">{"'INDICE'!$A$1:$K$13","'1'!$A$1:$CC$78","'2'!$A$1:$P$78","'3'!$A$1:$CI$78","'4'!$A$1:$Q$78"}</definedName>
    <definedName name="PIPPOP1_1" hidden="1">{"'INDICE'!$A$1:$K$13","'1'!$A$1:$CC$78","'2'!$A$1:$P$78","'3'!$A$1:$CI$78","'4'!$A$1:$Q$78"}</definedName>
    <definedName name="Pitchbook" localSheetId="0" hidden="1">{#N/A,#N/A,TRUE,"Sheet16"}</definedName>
    <definedName name="Pitchbook" localSheetId="6" hidden="1">{#N/A,#N/A,TRUE,"Sheet16"}</definedName>
    <definedName name="Pitchbook" hidden="1">{#N/A,#N/A,TRUE,"Sheet16"}</definedName>
    <definedName name="PJC" localSheetId="0" hidden="1">{#N/A,#N/A,FALSE,"PROFIT 11-95"}</definedName>
    <definedName name="PJC" localSheetId="6" hidden="1">{#N/A,#N/A,FALSE,"PROFIT 11-95"}</definedName>
    <definedName name="PJC" hidden="1">{#N/A,#N/A,FALSE,"PROFIT 11-95"}</definedName>
    <definedName name="PKCSPNMKL"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PKCSPNMKL"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pkml" localSheetId="6" hidden="1">{#N/A,#N/A,TRUE,"Cover";#N/A,#N/A,TRUE,"Conts";#N/A,#N/A,TRUE,"VOS";#N/A,#N/A,TRUE,"Warrington";#N/A,#N/A,TRUE,"Widnes"}</definedName>
    <definedName name="pkml" hidden="1">{#N/A,#N/A,TRUE,"Cover";#N/A,#N/A,TRUE,"Conts";#N/A,#N/A,TRUE,"VOS";#N/A,#N/A,TRUE,"Warrington";#N/A,#N/A,TRUE,"Widnes"}</definedName>
    <definedName name="pkml_1" localSheetId="6" hidden="1">{#N/A,#N/A,TRUE,"Cover";#N/A,#N/A,TRUE,"Conts";#N/A,#N/A,TRUE,"VOS";#N/A,#N/A,TRUE,"Warrington";#N/A,#N/A,TRUE,"Widnes"}</definedName>
    <definedName name="pkml_1" hidden="1">{#N/A,#N/A,TRUE,"Cover";#N/A,#N/A,TRUE,"Conts";#N/A,#N/A,TRUE,"VOS";#N/A,#N/A,TRUE,"Warrington";#N/A,#N/A,TRUE,"Widnes"}</definedName>
    <definedName name="pl" localSheetId="6" hidden="1">{#N/A,#N/A,TRUE,"Cover sheet";#N/A,#N/A,TRUE,"Summary";#N/A,#N/A,TRUE,"Key Assumptions";#N/A,#N/A,TRUE,"Profit &amp; Loss";#N/A,#N/A,TRUE,"Balance Sheet";#N/A,#N/A,TRUE,"Cashflow";#N/A,#N/A,TRUE,"IRR";#N/A,#N/A,TRUE,"Ratios";#N/A,#N/A,TRUE,"Debt analysis"}</definedName>
    <definedName name="pl" hidden="1">{#N/A,#N/A,TRUE,"Cover sheet";#N/A,#N/A,TRUE,"Summary";#N/A,#N/A,TRUE,"Key Assumptions";#N/A,#N/A,TRUE,"Profit &amp; Loss";#N/A,#N/A,TRUE,"Balance Sheet";#N/A,#N/A,TRUE,"Cashflow";#N/A,#N/A,TRUE,"IRR";#N/A,#N/A,TRUE,"Ratios";#N/A,#N/A,TRUE,"Debt analysis"}</definedName>
    <definedName name="pl_1" localSheetId="0" hidden="1">{#N/A,#N/A,FALSE,"REPORT"}</definedName>
    <definedName name="pl_1" localSheetId="6" hidden="1">{#N/A,#N/A,FALSE,"REPORT"}</definedName>
    <definedName name="pl_1" hidden="1">{#N/A,#N/A,FALSE,"REPORT"}</definedName>
    <definedName name="pl_1_1" localSheetId="0" hidden="1">{#N/A,#N/A,FALSE,"REPORT"}</definedName>
    <definedName name="pl_1_1" localSheetId="6" hidden="1">{#N/A,#N/A,FALSE,"REPORT"}</definedName>
    <definedName name="pl_1_1" hidden="1">{#N/A,#N/A,FALSE,"REPORT"}</definedName>
    <definedName name="pl_2" localSheetId="0" hidden="1">{#N/A,#N/A,FALSE,"REPORT"}</definedName>
    <definedName name="pl_2" localSheetId="6" hidden="1">{#N/A,#N/A,FALSE,"REPORT"}</definedName>
    <definedName name="pl_2" hidden="1">{#N/A,#N/A,FALSE,"REPORT"}</definedName>
    <definedName name="pl_3" localSheetId="0" hidden="1">{#N/A,#N/A,FALSE,"REPORT"}</definedName>
    <definedName name="pl_3" localSheetId="6" hidden="1">{#N/A,#N/A,FALSE,"REPORT"}</definedName>
    <definedName name="pl_3" hidden="1">{#N/A,#N/A,FALSE,"REPORT"}</definedName>
    <definedName name="pl_4" localSheetId="0" hidden="1">{#N/A,#N/A,FALSE,"REPORT"}</definedName>
    <definedName name="pl_4" localSheetId="6" hidden="1">{#N/A,#N/A,FALSE,"REPORT"}</definedName>
    <definedName name="pl_4" hidden="1">{#N/A,#N/A,FALSE,"REPORT"}</definedName>
    <definedName name="pl_5" localSheetId="0" hidden="1">{#N/A,#N/A,FALSE,"REPORT"}</definedName>
    <definedName name="pl_5" localSheetId="6" hidden="1">{#N/A,#N/A,FALSE,"REPORT"}</definedName>
    <definedName name="pl_5" hidden="1">{#N/A,#N/A,FALSE,"REPORT"}</definedName>
    <definedName name="PL_Line_Nbr3" hidden="1">#REF!</definedName>
    <definedName name="PL_Line_Nbr4" hidden="1">#REF!</definedName>
    <definedName name="PL_Line_Nbr6" hidden="1">#REF!</definedName>
    <definedName name="Placements">#REF!</definedName>
    <definedName name="PLALJ">#REF!</definedName>
    <definedName name="Plan">#REF!</definedName>
    <definedName name="PLANTS" localSheetId="0" hidden="1">{"ORIG",#N/A,FALSE,"5101";"ORIG",#N/A,FALSE,"5120";"ORIG",#N/A,FALSE,"5130";"ORIG",#N/A,FALSE,"5140";"ORIG",#N/A,FALSE,"5150";"ORIG",#N/A,FALSE,"5160";"ORIG",#N/A,FALSE,"5170"}</definedName>
    <definedName name="PLANTS" localSheetId="6" hidden="1">{"ORIG",#N/A,FALSE,"5101";"ORIG",#N/A,FALSE,"5120";"ORIG",#N/A,FALSE,"5130";"ORIG",#N/A,FALSE,"5140";"ORIG",#N/A,FALSE,"5150";"ORIG",#N/A,FALSE,"5160";"ORIG",#N/A,FALSE,"5170"}</definedName>
    <definedName name="PLANTS" hidden="1">{"ORIG",#N/A,FALSE,"5101";"ORIG",#N/A,FALSE,"5120";"ORIG",#N/A,FALSE,"5130";"ORIG",#N/A,FALSE,"5140";"ORIG",#N/A,FALSE,"5150";"ORIG",#N/A,FALSE,"5160";"ORIG",#N/A,FALSE,"5170"}</definedName>
    <definedName name="planttt">#REF!</definedName>
    <definedName name="PlanYear">#REF!</definedName>
    <definedName name="platano"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platano" localSheetId="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platano"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plbudget04" localSheetId="6" hidden="1">{#N/A,#N/A,FALSE,"INPUTS";#N/A,#N/A,FALSE,"PROFORMA BSHEET";#N/A,#N/A,FALSE,"COMBINED";#N/A,#N/A,FALSE,"ACQUIROR";#N/A,#N/A,FALSE,"TARGET 1";#N/A,#N/A,FALSE,"TARGET 2";#N/A,#N/A,FALSE,"HIGH YIELD";#N/A,#N/A,FALSE,"OVERFUND"}</definedName>
    <definedName name="plbudget04" hidden="1">{#N/A,#N/A,FALSE,"INPUTS";#N/A,#N/A,FALSE,"PROFORMA BSHEET";#N/A,#N/A,FALSE,"COMBINED";#N/A,#N/A,FALSE,"ACQUIROR";#N/A,#N/A,FALSE,"TARGET 1";#N/A,#N/A,FALSE,"TARGET 2";#N/A,#N/A,FALSE,"HIGH YIELD";#N/A,#N/A,FALSE,"OVERFUND"}</definedName>
    <definedName name="PLCepi" localSheetId="0" hidden="1">{#N/A,#N/A,FALSE,"REPORT"}</definedName>
    <definedName name="PLCepi" localSheetId="6" hidden="1">{#N/A,#N/A,FALSE,"REPORT"}</definedName>
    <definedName name="PLCepi" hidden="1">{#N/A,#N/A,FALSE,"REPORT"}</definedName>
    <definedName name="PLCepi_1" localSheetId="0" hidden="1">{#N/A,#N/A,FALSE,"REPORT"}</definedName>
    <definedName name="PLCepi_1" localSheetId="6" hidden="1">{#N/A,#N/A,FALSE,"REPORT"}</definedName>
    <definedName name="PLCepi_1" hidden="1">{#N/A,#N/A,FALSE,"REPORT"}</definedName>
    <definedName name="PLCepi_1_1" localSheetId="0" hidden="1">{#N/A,#N/A,FALSE,"REPORT"}</definedName>
    <definedName name="PLCepi_1_1" localSheetId="6" hidden="1">{#N/A,#N/A,FALSE,"REPORT"}</definedName>
    <definedName name="PLCepi_1_1" hidden="1">{#N/A,#N/A,FALSE,"REPORT"}</definedName>
    <definedName name="PLCepi_2" localSheetId="0" hidden="1">{#N/A,#N/A,FALSE,"REPORT"}</definedName>
    <definedName name="PLCepi_2" localSheetId="6" hidden="1">{#N/A,#N/A,FALSE,"REPORT"}</definedName>
    <definedName name="PLCepi_2" hidden="1">{#N/A,#N/A,FALSE,"REPORT"}</definedName>
    <definedName name="PLCepi_3" localSheetId="0" hidden="1">{#N/A,#N/A,FALSE,"REPORT"}</definedName>
    <definedName name="PLCepi_3" localSheetId="6" hidden="1">{#N/A,#N/A,FALSE,"REPORT"}</definedName>
    <definedName name="PLCepi_3" hidden="1">{#N/A,#N/A,FALSE,"REPORT"}</definedName>
    <definedName name="PLCepi_4" localSheetId="0" hidden="1">{#N/A,#N/A,FALSE,"REPORT"}</definedName>
    <definedName name="PLCepi_4" localSheetId="6" hidden="1">{#N/A,#N/A,FALSE,"REPORT"}</definedName>
    <definedName name="PLCepi_4" hidden="1">{#N/A,#N/A,FALSE,"REPORT"}</definedName>
    <definedName name="PLCepi_5" localSheetId="0" hidden="1">{#N/A,#N/A,FALSE,"REPORT"}</definedName>
    <definedName name="PLCepi_5" localSheetId="6" hidden="1">{#N/A,#N/A,FALSE,"REPORT"}</definedName>
    <definedName name="PLCepi_5" hidden="1">{#N/A,#N/A,FALSE,"REPORT"}</definedName>
    <definedName name="PLCode" hidden="1">#REF!</definedName>
    <definedName name="PLProcef" localSheetId="0" hidden="1">{#N/A,#N/A,FALSE,"REPORT"}</definedName>
    <definedName name="PLProcef" localSheetId="6" hidden="1">{#N/A,#N/A,FALSE,"REPORT"}</definedName>
    <definedName name="PLProcef" hidden="1">{#N/A,#N/A,FALSE,"REPORT"}</definedName>
    <definedName name="PLProcef_1" localSheetId="0" hidden="1">{#N/A,#N/A,FALSE,"REPORT"}</definedName>
    <definedName name="PLProcef_1" localSheetId="6" hidden="1">{#N/A,#N/A,FALSE,"REPORT"}</definedName>
    <definedName name="PLProcef_1" hidden="1">{#N/A,#N/A,FALSE,"REPORT"}</definedName>
    <definedName name="PLProcef_1_1" localSheetId="0" hidden="1">{#N/A,#N/A,FALSE,"REPORT"}</definedName>
    <definedName name="PLProcef_1_1" localSheetId="6" hidden="1">{#N/A,#N/A,FALSE,"REPORT"}</definedName>
    <definedName name="PLProcef_1_1" hidden="1">{#N/A,#N/A,FALSE,"REPORT"}</definedName>
    <definedName name="PLProcef_2" localSheetId="0" hidden="1">{#N/A,#N/A,FALSE,"REPORT"}</definedName>
    <definedName name="PLProcef_2" localSheetId="6" hidden="1">{#N/A,#N/A,FALSE,"REPORT"}</definedName>
    <definedName name="PLProcef_2" hidden="1">{#N/A,#N/A,FALSE,"REPORT"}</definedName>
    <definedName name="PLProcef_3" localSheetId="0" hidden="1">{#N/A,#N/A,FALSE,"REPORT"}</definedName>
    <definedName name="PLProcef_3" localSheetId="6" hidden="1">{#N/A,#N/A,FALSE,"REPORT"}</definedName>
    <definedName name="PLProcef_3" hidden="1">{#N/A,#N/A,FALSE,"REPORT"}</definedName>
    <definedName name="PLProcef_4" localSheetId="0" hidden="1">{#N/A,#N/A,FALSE,"REPORT"}</definedName>
    <definedName name="PLProcef_4" localSheetId="6" hidden="1">{#N/A,#N/A,FALSE,"REPORT"}</definedName>
    <definedName name="PLProcef_4" hidden="1">{#N/A,#N/A,FALSE,"REPORT"}</definedName>
    <definedName name="PLProcef_5" localSheetId="0" hidden="1">{#N/A,#N/A,FALSE,"REPORT"}</definedName>
    <definedName name="PLProcef_5" localSheetId="6" hidden="1">{#N/A,#N/A,FALSE,"REPORT"}</definedName>
    <definedName name="PLProcef_5" hidden="1">{#N/A,#N/A,FALSE,"REPORT"}</definedName>
    <definedName name="PLTaxol" localSheetId="0" hidden="1">{#N/A,#N/A,FALSE,"REPORT"}</definedName>
    <definedName name="PLTaxol" localSheetId="6" hidden="1">{#N/A,#N/A,FALSE,"REPORT"}</definedName>
    <definedName name="PLTaxol" hidden="1">{#N/A,#N/A,FALSE,"REPORT"}</definedName>
    <definedName name="PLTaxol_1" localSheetId="0" hidden="1">{#N/A,#N/A,FALSE,"REPORT"}</definedName>
    <definedName name="PLTaxol_1" localSheetId="6" hidden="1">{#N/A,#N/A,FALSE,"REPORT"}</definedName>
    <definedName name="PLTaxol_1" hidden="1">{#N/A,#N/A,FALSE,"REPORT"}</definedName>
    <definedName name="PLTaxol_1_1" localSheetId="0" hidden="1">{#N/A,#N/A,FALSE,"REPORT"}</definedName>
    <definedName name="PLTaxol_1_1" localSheetId="6" hidden="1">{#N/A,#N/A,FALSE,"REPORT"}</definedName>
    <definedName name="PLTaxol_1_1" hidden="1">{#N/A,#N/A,FALSE,"REPORT"}</definedName>
    <definedName name="PLTaxol_2" localSheetId="0" hidden="1">{#N/A,#N/A,FALSE,"REPORT"}</definedName>
    <definedName name="PLTaxol_2" localSheetId="6" hidden="1">{#N/A,#N/A,FALSE,"REPORT"}</definedName>
    <definedName name="PLTaxol_2" hidden="1">{#N/A,#N/A,FALSE,"REPORT"}</definedName>
    <definedName name="PLTaxol_3" localSheetId="0" hidden="1">{#N/A,#N/A,FALSE,"REPORT"}</definedName>
    <definedName name="PLTaxol_3" localSheetId="6" hidden="1">{#N/A,#N/A,FALSE,"REPORT"}</definedName>
    <definedName name="PLTaxol_3" hidden="1">{#N/A,#N/A,FALSE,"REPORT"}</definedName>
    <definedName name="PLTaxol_4" localSheetId="0" hidden="1">{#N/A,#N/A,FALSE,"REPORT"}</definedName>
    <definedName name="PLTaxol_4" localSheetId="6" hidden="1">{#N/A,#N/A,FALSE,"REPORT"}</definedName>
    <definedName name="PLTaxol_4" hidden="1">{#N/A,#N/A,FALSE,"REPORT"}</definedName>
    <definedName name="PLTaxol_5" localSheetId="0" hidden="1">{#N/A,#N/A,FALSE,"REPORT"}</definedName>
    <definedName name="PLTaxol_5" localSheetId="6" hidden="1">{#N/A,#N/A,FALSE,"REPORT"}</definedName>
    <definedName name="PLTaxol_5" hidden="1">{#N/A,#N/A,FALSE,"REPORT"}</definedName>
    <definedName name="PLUG" hidden="1">#REF!</definedName>
    <definedName name="PLyrs">#REF!</definedName>
    <definedName name="pmd" localSheetId="6" hidden="1">{"year1",#N/A,FALSE,"IZT";"year2",#N/A,FALSE,"IZT"}</definedName>
    <definedName name="pmd" hidden="1">{"year1",#N/A,FALSE,"IZT";"year2",#N/A,FALSE,"IZT"}</definedName>
    <definedName name="PMPK">#REF!</definedName>
    <definedName name="PMRM">#REF!</definedName>
    <definedName name="pmser" localSheetId="6" hidden="1">{#N/A,#N/A,FALSE,"Eastern";#N/A,#N/A,FALSE,"Western"}</definedName>
    <definedName name="pmser" hidden="1">{#N/A,#N/A,FALSE,"Eastern";#N/A,#N/A,FALSE,"Western"}</definedName>
    <definedName name="Pnl" localSheetId="0" hidden="1">{#N/A,#N/A,FALSE,"Pharm";#N/A,#N/A,FALSE,"WWCM"}</definedName>
    <definedName name="Pnl" localSheetId="6" hidden="1">{#N/A,#N/A,FALSE,"Pharm";#N/A,#N/A,FALSE,"WWCM"}</definedName>
    <definedName name="Pnl" hidden="1">{#N/A,#N/A,FALSE,"Pharm";#N/A,#N/A,FALSE,"WWCM"}</definedName>
    <definedName name="Pnl_1" localSheetId="0" hidden="1">{#N/A,#N/A,FALSE,"Pharm";#N/A,#N/A,FALSE,"WWCM"}</definedName>
    <definedName name="Pnl_1" localSheetId="6" hidden="1">{#N/A,#N/A,FALSE,"Pharm";#N/A,#N/A,FALSE,"WWCM"}</definedName>
    <definedName name="Pnl_1" hidden="1">{#N/A,#N/A,FALSE,"Pharm";#N/A,#N/A,FALSE,"WWCM"}</definedName>
    <definedName name="Pnl_1_1" localSheetId="0" hidden="1">{#N/A,#N/A,FALSE,"Pharm";#N/A,#N/A,FALSE,"WWCM"}</definedName>
    <definedName name="Pnl_1_1" localSheetId="6" hidden="1">{#N/A,#N/A,FALSE,"Pharm";#N/A,#N/A,FALSE,"WWCM"}</definedName>
    <definedName name="Pnl_1_1" hidden="1">{#N/A,#N/A,FALSE,"Pharm";#N/A,#N/A,FALSE,"WWCM"}</definedName>
    <definedName name="Pnl_2" localSheetId="0" hidden="1">{#N/A,#N/A,FALSE,"Pharm";#N/A,#N/A,FALSE,"WWCM"}</definedName>
    <definedName name="Pnl_2" localSheetId="6" hidden="1">{#N/A,#N/A,FALSE,"Pharm";#N/A,#N/A,FALSE,"WWCM"}</definedName>
    <definedName name="Pnl_2" hidden="1">{#N/A,#N/A,FALSE,"Pharm";#N/A,#N/A,FALSE,"WWCM"}</definedName>
    <definedName name="Pnl_3" localSheetId="0" hidden="1">{#N/A,#N/A,FALSE,"Pharm";#N/A,#N/A,FALSE,"WWCM"}</definedName>
    <definedName name="Pnl_3" localSheetId="6" hidden="1">{#N/A,#N/A,FALSE,"Pharm";#N/A,#N/A,FALSE,"WWCM"}</definedName>
    <definedName name="Pnl_3" hidden="1">{#N/A,#N/A,FALSE,"Pharm";#N/A,#N/A,FALSE,"WWCM"}</definedName>
    <definedName name="Pnl_4" localSheetId="0" hidden="1">{#N/A,#N/A,FALSE,"Pharm";#N/A,#N/A,FALSE,"WWCM"}</definedName>
    <definedName name="Pnl_4" localSheetId="6" hidden="1">{#N/A,#N/A,FALSE,"Pharm";#N/A,#N/A,FALSE,"WWCM"}</definedName>
    <definedName name="Pnl_4" hidden="1">{#N/A,#N/A,FALSE,"Pharm";#N/A,#N/A,FALSE,"WWCM"}</definedName>
    <definedName name="Pnl_5" localSheetId="0" hidden="1">{#N/A,#N/A,FALSE,"Pharm";#N/A,#N/A,FALSE,"WWCM"}</definedName>
    <definedName name="Pnl_5" localSheetId="6" hidden="1">{#N/A,#N/A,FALSE,"Pharm";#N/A,#N/A,FALSE,"WWCM"}</definedName>
    <definedName name="Pnl_5" hidden="1">{#N/A,#N/A,FALSE,"Pharm";#N/A,#N/A,FALSE,"WWCM"}</definedName>
    <definedName name="po" localSheetId="0" hidden="1">{"sch31",#N/A,FALSE,"MI";"sch31a",#N/A,FALSE,"MI"}</definedName>
    <definedName name="po" localSheetId="6" hidden="1">{"sch31",#N/A,FALSE,"MI";"sch31a",#N/A,FALSE,"MI"}</definedName>
    <definedName name="po" hidden="1">{"sch31",#N/A,FALSE,"MI";"sch31a",#N/A,FALSE,"MI"}</definedName>
    <definedName name="po_1" localSheetId="0" hidden="1">{"sch31",#N/A,FALSE,"MI";"sch31a",#N/A,FALSE,"MI"}</definedName>
    <definedName name="po_1" localSheetId="6" hidden="1">{"sch31",#N/A,FALSE,"MI";"sch31a",#N/A,FALSE,"MI"}</definedName>
    <definedName name="po_1" hidden="1">{"sch31",#N/A,FALSE,"MI";"sch31a",#N/A,FALSE,"MI"}</definedName>
    <definedName name="poi" localSheetId="0" hidden="1">{#N/A,#N/A,FALSE,"PROFIT 11-95"}</definedName>
    <definedName name="poi" localSheetId="6" hidden="1">{#N/A,#N/A,FALSE,"PROFIT 11-95"}</definedName>
    <definedName name="poi" hidden="1">{#N/A,#N/A,FALSE,"PROFIT 11-95"}</definedName>
    <definedName name="poiuer" localSheetId="0" hidden="1">{#N/A,#N/A,FALSE,"main";#N/A,#N/A,FALSE,"100% Cash";#N/A,#N/A,FALSE,"100% Stock"}</definedName>
    <definedName name="poiuer" localSheetId="6" hidden="1">{#N/A,#N/A,FALSE,"main";#N/A,#N/A,FALSE,"100% Cash";#N/A,#N/A,FALSE,"100% Stock"}</definedName>
    <definedName name="poiuer" hidden="1">{#N/A,#N/A,FALSE,"main";#N/A,#N/A,FALSE,"100% Cash";#N/A,#N/A,FALSE,"100% Stock"}</definedName>
    <definedName name="poiwer" localSheetId="0" hidden="1">{#N/A,#N/A,FALSE,"TradeSumm";#N/A,#N/A,FALSE,"StatsSumm"}</definedName>
    <definedName name="poiwer" localSheetId="6" hidden="1">{#N/A,#N/A,FALSE,"TradeSumm";#N/A,#N/A,FALSE,"StatsSumm"}</definedName>
    <definedName name="poiwer" hidden="1">{#N/A,#N/A,FALSE,"TradeSumm";#N/A,#N/A,FALSE,"StatsSumm"}</definedName>
    <definedName name="pojboijioljn" localSheetId="6" hidden="1">{#N/A,#N/A,TRUE,"Cover";#N/A,#N/A,TRUE,"Conts";#N/A,#N/A,TRUE,"VOS";#N/A,#N/A,TRUE,"Warrington";#N/A,#N/A,TRUE,"Widnes"}</definedName>
    <definedName name="pojboijioljn" hidden="1">{#N/A,#N/A,TRUE,"Cover";#N/A,#N/A,TRUE,"Conts";#N/A,#N/A,TRUE,"VOS";#N/A,#N/A,TRUE,"Warrington";#N/A,#N/A,TRUE,"Widnes"}</definedName>
    <definedName name="pojboijioljn_1" localSheetId="6" hidden="1">{#N/A,#N/A,TRUE,"Cover";#N/A,#N/A,TRUE,"Conts";#N/A,#N/A,TRUE,"VOS";#N/A,#N/A,TRUE,"Warrington";#N/A,#N/A,TRUE,"Widnes"}</definedName>
    <definedName name="pojboijioljn_1" hidden="1">{#N/A,#N/A,TRUE,"Cover";#N/A,#N/A,TRUE,"Conts";#N/A,#N/A,TRUE,"VOS";#N/A,#N/A,TRUE,"Warrington";#N/A,#N/A,TRUE,"Widnes"}</definedName>
    <definedName name="POK?ZEFIFVXVW" localSheetId="0" hidden="1">{#N/A,#N/A,FALSE,"Tabl. H1";#N/A,#N/A,FALSE,"Tabl. H2"}</definedName>
    <definedName name="POK?ZEFIFVXVW" localSheetId="6" hidden="1">{#N/A,#N/A,FALSE,"Tabl. H1";#N/A,#N/A,FALSE,"Tabl. H2"}</definedName>
    <definedName name="POK?ZEFIFVXVW" hidden="1">{#N/A,#N/A,FALSE,"Tabl. H1";#N/A,#N/A,FALSE,"Tabl. H2"}</definedName>
    <definedName name="Policy_and_Practice_FooterType" hidden="1">"NONE"</definedName>
    <definedName name="polycompm1" localSheetId="6" hidden="1">{"Page1",#N/A,FALSE,"Page1";"Overview",#N/A,FALSE,"Overview";"result",#N/A,FALSE,"Result";"Charts1",#N/A,FALSE,"Charts1";"Charts2",#N/A,FALSE,"Charts2"}</definedName>
    <definedName name="polycompm1" hidden="1">{"Page1",#N/A,FALSE,"Page1";"Overview",#N/A,FALSE,"Overview";"result",#N/A,FALSE,"Result";"Charts1",#N/A,FALSE,"Charts1";"Charts2",#N/A,FALSE,"Charts2"}</definedName>
    <definedName name="Pooling">#REF!</definedName>
    <definedName name="popo" localSheetId="0" hidden="1">{"'INDICE'!$A$1:$K$13","'1'!$A$1:$CC$78","'2'!$A$1:$P$78","'3'!$A$1:$CI$78","'4'!$A$1:$Q$78"}</definedName>
    <definedName name="popo" localSheetId="6" hidden="1">{"'INDICE'!$A$1:$K$13","'1'!$A$1:$CC$78","'2'!$A$1:$P$78","'3'!$A$1:$CI$78","'4'!$A$1:$Q$78"}</definedName>
    <definedName name="popo" hidden="1">{"'INDICE'!$A$1:$K$13","'1'!$A$1:$CC$78","'2'!$A$1:$P$78","'3'!$A$1:$CI$78","'4'!$A$1:$Q$78"}</definedName>
    <definedName name="popo_1" localSheetId="0" hidden="1">{"'INDICE'!$A$1:$K$13","'1'!$A$1:$CC$78","'2'!$A$1:$P$78","'3'!$A$1:$CI$78","'4'!$A$1:$Q$78"}</definedName>
    <definedName name="popo_1" localSheetId="6" hidden="1">{"'INDICE'!$A$1:$K$13","'1'!$A$1:$CC$78","'2'!$A$1:$P$78","'3'!$A$1:$CI$78","'4'!$A$1:$Q$78"}</definedName>
    <definedName name="popo_1" hidden="1">{"'INDICE'!$A$1:$K$13","'1'!$A$1:$CC$78","'2'!$A$1:$P$78","'3'!$A$1:$CI$78","'4'!$A$1:$Q$78"}</definedName>
    <definedName name="port29" localSheetId="0" hidden="1">{#N/A,#N/A,FALSE,"Pharm";#N/A,#N/A,FALSE,"WWCM"}</definedName>
    <definedName name="port29" localSheetId="6" hidden="1">{#N/A,#N/A,FALSE,"Pharm";#N/A,#N/A,FALSE,"WWCM"}</definedName>
    <definedName name="port29" hidden="1">{#N/A,#N/A,FALSE,"Pharm";#N/A,#N/A,FALSE,"WWCM"}</definedName>
    <definedName name="port29_1" localSheetId="0" hidden="1">{#N/A,#N/A,FALSE,"Pharm";#N/A,#N/A,FALSE,"WWCM"}</definedName>
    <definedName name="port29_1" localSheetId="6" hidden="1">{#N/A,#N/A,FALSE,"Pharm";#N/A,#N/A,FALSE,"WWCM"}</definedName>
    <definedName name="port29_1" hidden="1">{#N/A,#N/A,FALSE,"Pharm";#N/A,#N/A,FALSE,"WWCM"}</definedName>
    <definedName name="port29_1_1" localSheetId="0" hidden="1">{#N/A,#N/A,FALSE,"Pharm";#N/A,#N/A,FALSE,"WWCM"}</definedName>
    <definedName name="port29_1_1" localSheetId="6" hidden="1">{#N/A,#N/A,FALSE,"Pharm";#N/A,#N/A,FALSE,"WWCM"}</definedName>
    <definedName name="port29_1_1" hidden="1">{#N/A,#N/A,FALSE,"Pharm";#N/A,#N/A,FALSE,"WWCM"}</definedName>
    <definedName name="port29_2" localSheetId="0" hidden="1">{#N/A,#N/A,FALSE,"Pharm";#N/A,#N/A,FALSE,"WWCM"}</definedName>
    <definedName name="port29_2" localSheetId="6" hidden="1">{#N/A,#N/A,FALSE,"Pharm";#N/A,#N/A,FALSE,"WWCM"}</definedName>
    <definedName name="port29_2" hidden="1">{#N/A,#N/A,FALSE,"Pharm";#N/A,#N/A,FALSE,"WWCM"}</definedName>
    <definedName name="port29_3" localSheetId="0" hidden="1">{#N/A,#N/A,FALSE,"Pharm";#N/A,#N/A,FALSE,"WWCM"}</definedName>
    <definedName name="port29_3" localSheetId="6" hidden="1">{#N/A,#N/A,FALSE,"Pharm";#N/A,#N/A,FALSE,"WWCM"}</definedName>
    <definedName name="port29_3" hidden="1">{#N/A,#N/A,FALSE,"Pharm";#N/A,#N/A,FALSE,"WWCM"}</definedName>
    <definedName name="port29_4" localSheetId="0" hidden="1">{#N/A,#N/A,FALSE,"Pharm";#N/A,#N/A,FALSE,"WWCM"}</definedName>
    <definedName name="port29_4" localSheetId="6" hidden="1">{#N/A,#N/A,FALSE,"Pharm";#N/A,#N/A,FALSE,"WWCM"}</definedName>
    <definedName name="port29_4" hidden="1">{#N/A,#N/A,FALSE,"Pharm";#N/A,#N/A,FALSE,"WWCM"}</definedName>
    <definedName name="port29_5" localSheetId="0" hidden="1">{#N/A,#N/A,FALSE,"Pharm";#N/A,#N/A,FALSE,"WWCM"}</definedName>
    <definedName name="port29_5" localSheetId="6" hidden="1">{#N/A,#N/A,FALSE,"Pharm";#N/A,#N/A,FALSE,"WWCM"}</definedName>
    <definedName name="port29_5" hidden="1">{#N/A,#N/A,FALSE,"Pharm";#N/A,#N/A,FALSE,"WWCM"}</definedName>
    <definedName name="pp">#REF!</definedName>
    <definedName name="PPCustoms">#REF!</definedName>
    <definedName name="PPE_Capex">#REF!</definedName>
    <definedName name="PPE_Depreciation">#REF!</definedName>
    <definedName name="PPE_NBV">#REF!</definedName>
    <definedName name="PPEAna">#REF!</definedName>
    <definedName name="ppok" localSheetId="6" hidden="1">{#N/A,#N/A,TRUE,"Cover";#N/A,#N/A,TRUE,"Conts";#N/A,#N/A,TRUE,"VOS";#N/A,#N/A,TRUE,"Warrington";#N/A,#N/A,TRUE,"Widnes"}</definedName>
    <definedName name="ppok" hidden="1">{#N/A,#N/A,TRUE,"Cover";#N/A,#N/A,TRUE,"Conts";#N/A,#N/A,TRUE,"VOS";#N/A,#N/A,TRUE,"Warrington";#N/A,#N/A,TRUE,"Widnes"}</definedName>
    <definedName name="ppok_1" localSheetId="6" hidden="1">{#N/A,#N/A,TRUE,"Cover";#N/A,#N/A,TRUE,"Conts";#N/A,#N/A,TRUE,"VOS";#N/A,#N/A,TRUE,"Warrington";#N/A,#N/A,TRUE,"Widnes"}</definedName>
    <definedName name="ppok_1" hidden="1">{#N/A,#N/A,TRUE,"Cover";#N/A,#N/A,TRUE,"Conts";#N/A,#N/A,TRUE,"VOS";#N/A,#N/A,TRUE,"Warrington";#N/A,#N/A,TRUE,"Widnes"}</definedName>
    <definedName name="ppp" localSheetId="0" hidden="1">{"'INDICE'!$A$1:$K$13","'1'!$A$1:$CC$78","'2'!$A$1:$P$78","'3'!$A$1:$CI$78","'4'!$A$1:$Q$78"}</definedName>
    <definedName name="ppp" localSheetId="6" hidden="1">{"'INDICE'!$A$1:$K$13","'1'!$A$1:$CC$78","'2'!$A$1:$P$78","'3'!$A$1:$CI$78","'4'!$A$1:$Q$78"}</definedName>
    <definedName name="ppp" hidden="1">{"'INDICE'!$A$1:$K$13","'1'!$A$1:$CC$78","'2'!$A$1:$P$78","'3'!$A$1:$CI$78","'4'!$A$1:$Q$78"}</definedName>
    <definedName name="ppp_1" localSheetId="0" hidden="1">{"'INDICE'!$A$1:$K$13","'1'!$A$1:$CC$78","'2'!$A$1:$P$78","'3'!$A$1:$CI$78","'4'!$A$1:$Q$78"}</definedName>
    <definedName name="ppp_1" localSheetId="6" hidden="1">{"'INDICE'!$A$1:$K$13","'1'!$A$1:$CC$78","'2'!$A$1:$P$78","'3'!$A$1:$CI$78","'4'!$A$1:$Q$78"}</definedName>
    <definedName name="ppp_1" hidden="1">{"'INDICE'!$A$1:$K$13","'1'!$A$1:$CC$78","'2'!$A$1:$P$78","'3'!$A$1:$CI$78","'4'!$A$1:$Q$78"}</definedName>
    <definedName name="ppp_1_1" localSheetId="0" hidden="1">{#N/A,#N/A,FALSE,"Umsatz CH";#N/A,#N/A,FALSE,"ER CH";#N/A,#N/A,FALSE,"EA CH (2) ";#N/A,#N/A,FALSE,"EA CH";#N/A,#N/A,FALSE,"EA CH (3) ";#N/A,#N/A,FALSE,"EA CH (4)";#N/A,#N/A,FALSE,"KA CH";#N/A,#N/A,FALSE,"KA CH  (2)";#N/A,#N/A,FALSE,"KA CH  (3)";#N/A,#N/A,FALSE,"KA CH (4)"}</definedName>
    <definedName name="ppp_1_1" localSheetId="6" hidden="1">{#N/A,#N/A,FALSE,"Umsatz CH";#N/A,#N/A,FALSE,"ER CH";#N/A,#N/A,FALSE,"EA CH (2) ";#N/A,#N/A,FALSE,"EA CH";#N/A,#N/A,FALSE,"EA CH (3) ";#N/A,#N/A,FALSE,"EA CH (4)";#N/A,#N/A,FALSE,"KA CH";#N/A,#N/A,FALSE,"KA CH  (2)";#N/A,#N/A,FALSE,"KA CH  (3)";#N/A,#N/A,FALSE,"KA CH (4)"}</definedName>
    <definedName name="ppp_1_1" hidden="1">{#N/A,#N/A,FALSE,"Umsatz CH";#N/A,#N/A,FALSE,"ER CH";#N/A,#N/A,FALSE,"EA CH (2) ";#N/A,#N/A,FALSE,"EA CH";#N/A,#N/A,FALSE,"EA CH (3) ";#N/A,#N/A,FALSE,"EA CH (4)";#N/A,#N/A,FALSE,"KA CH";#N/A,#N/A,FALSE,"KA CH  (2)";#N/A,#N/A,FALSE,"KA CH  (3)";#N/A,#N/A,FALSE,"KA CH (4)"}</definedName>
    <definedName name="ppp_2" localSheetId="0" hidden="1">{#N/A,#N/A,FALSE,"Umsatz CH";#N/A,#N/A,FALSE,"ER CH";#N/A,#N/A,FALSE,"EA CH (2) ";#N/A,#N/A,FALSE,"EA CH";#N/A,#N/A,FALSE,"EA CH (3) ";#N/A,#N/A,FALSE,"EA CH (4)";#N/A,#N/A,FALSE,"KA CH";#N/A,#N/A,FALSE,"KA CH  (2)";#N/A,#N/A,FALSE,"KA CH  (3)";#N/A,#N/A,FALSE,"KA CH (4)"}</definedName>
    <definedName name="ppp_2" localSheetId="6" hidden="1">{#N/A,#N/A,FALSE,"Umsatz CH";#N/A,#N/A,FALSE,"ER CH";#N/A,#N/A,FALSE,"EA CH (2) ";#N/A,#N/A,FALSE,"EA CH";#N/A,#N/A,FALSE,"EA CH (3) ";#N/A,#N/A,FALSE,"EA CH (4)";#N/A,#N/A,FALSE,"KA CH";#N/A,#N/A,FALSE,"KA CH  (2)";#N/A,#N/A,FALSE,"KA CH  (3)";#N/A,#N/A,FALSE,"KA CH (4)"}</definedName>
    <definedName name="ppp_2" hidden="1">{#N/A,#N/A,FALSE,"Umsatz CH";#N/A,#N/A,FALSE,"ER CH";#N/A,#N/A,FALSE,"EA CH (2) ";#N/A,#N/A,FALSE,"EA CH";#N/A,#N/A,FALSE,"EA CH (3) ";#N/A,#N/A,FALSE,"EA CH (4)";#N/A,#N/A,FALSE,"KA CH";#N/A,#N/A,FALSE,"KA CH  (2)";#N/A,#N/A,FALSE,"KA CH  (3)";#N/A,#N/A,FALSE,"KA CH (4)"}</definedName>
    <definedName name="ppp_3" localSheetId="0" hidden="1">{#N/A,#N/A,FALSE,"Umsatz CH";#N/A,#N/A,FALSE,"ER CH";#N/A,#N/A,FALSE,"EA CH (2) ";#N/A,#N/A,FALSE,"EA CH";#N/A,#N/A,FALSE,"EA CH (3) ";#N/A,#N/A,FALSE,"EA CH (4)";#N/A,#N/A,FALSE,"KA CH";#N/A,#N/A,FALSE,"KA CH  (2)";#N/A,#N/A,FALSE,"KA CH  (3)";#N/A,#N/A,FALSE,"KA CH (4)"}</definedName>
    <definedName name="ppp_3" localSheetId="6" hidden="1">{#N/A,#N/A,FALSE,"Umsatz CH";#N/A,#N/A,FALSE,"ER CH";#N/A,#N/A,FALSE,"EA CH (2) ";#N/A,#N/A,FALSE,"EA CH";#N/A,#N/A,FALSE,"EA CH (3) ";#N/A,#N/A,FALSE,"EA CH (4)";#N/A,#N/A,FALSE,"KA CH";#N/A,#N/A,FALSE,"KA CH  (2)";#N/A,#N/A,FALSE,"KA CH  (3)";#N/A,#N/A,FALSE,"KA CH (4)"}</definedName>
    <definedName name="ppp_3" hidden="1">{#N/A,#N/A,FALSE,"Umsatz CH";#N/A,#N/A,FALSE,"ER CH";#N/A,#N/A,FALSE,"EA CH (2) ";#N/A,#N/A,FALSE,"EA CH";#N/A,#N/A,FALSE,"EA CH (3) ";#N/A,#N/A,FALSE,"EA CH (4)";#N/A,#N/A,FALSE,"KA CH";#N/A,#N/A,FALSE,"KA CH  (2)";#N/A,#N/A,FALSE,"KA CH  (3)";#N/A,#N/A,FALSE,"KA CH (4)"}</definedName>
    <definedName name="ppp_4" localSheetId="0" hidden="1">{#N/A,#N/A,FALSE,"Umsatz CH";#N/A,#N/A,FALSE,"ER CH";#N/A,#N/A,FALSE,"EA CH (2) ";#N/A,#N/A,FALSE,"EA CH";#N/A,#N/A,FALSE,"EA CH (3) ";#N/A,#N/A,FALSE,"EA CH (4)";#N/A,#N/A,FALSE,"KA CH";#N/A,#N/A,FALSE,"KA CH  (2)";#N/A,#N/A,FALSE,"KA CH  (3)";#N/A,#N/A,FALSE,"KA CH (4)"}</definedName>
    <definedName name="ppp_4" localSheetId="6" hidden="1">{#N/A,#N/A,FALSE,"Umsatz CH";#N/A,#N/A,FALSE,"ER CH";#N/A,#N/A,FALSE,"EA CH (2) ";#N/A,#N/A,FALSE,"EA CH";#N/A,#N/A,FALSE,"EA CH (3) ";#N/A,#N/A,FALSE,"EA CH (4)";#N/A,#N/A,FALSE,"KA CH";#N/A,#N/A,FALSE,"KA CH  (2)";#N/A,#N/A,FALSE,"KA CH  (3)";#N/A,#N/A,FALSE,"KA CH (4)"}</definedName>
    <definedName name="ppp_4" hidden="1">{#N/A,#N/A,FALSE,"Umsatz CH";#N/A,#N/A,FALSE,"ER CH";#N/A,#N/A,FALSE,"EA CH (2) ";#N/A,#N/A,FALSE,"EA CH";#N/A,#N/A,FALSE,"EA CH (3) ";#N/A,#N/A,FALSE,"EA CH (4)";#N/A,#N/A,FALSE,"KA CH";#N/A,#N/A,FALSE,"KA CH  (2)";#N/A,#N/A,FALSE,"KA CH  (3)";#N/A,#N/A,FALSE,"KA CH (4)"}</definedName>
    <definedName name="ppp_5" localSheetId="0" hidden="1">{#N/A,#N/A,FALSE,"Umsatz CH";#N/A,#N/A,FALSE,"ER CH";#N/A,#N/A,FALSE,"EA CH (2) ";#N/A,#N/A,FALSE,"EA CH";#N/A,#N/A,FALSE,"EA CH (3) ";#N/A,#N/A,FALSE,"EA CH (4)";#N/A,#N/A,FALSE,"KA CH";#N/A,#N/A,FALSE,"KA CH  (2)";#N/A,#N/A,FALSE,"KA CH  (3)";#N/A,#N/A,FALSE,"KA CH (4)"}</definedName>
    <definedName name="ppp_5" localSheetId="6" hidden="1">{#N/A,#N/A,FALSE,"Umsatz CH";#N/A,#N/A,FALSE,"ER CH";#N/A,#N/A,FALSE,"EA CH (2) ";#N/A,#N/A,FALSE,"EA CH";#N/A,#N/A,FALSE,"EA CH (3) ";#N/A,#N/A,FALSE,"EA CH (4)";#N/A,#N/A,FALSE,"KA CH";#N/A,#N/A,FALSE,"KA CH  (2)";#N/A,#N/A,FALSE,"KA CH  (3)";#N/A,#N/A,FALSE,"KA CH (4)"}</definedName>
    <definedName name="ppp_5" hidden="1">{#N/A,#N/A,FALSE,"Umsatz CH";#N/A,#N/A,FALSE,"ER CH";#N/A,#N/A,FALSE,"EA CH (2) ";#N/A,#N/A,FALSE,"EA CH";#N/A,#N/A,FALSE,"EA CH (3) ";#N/A,#N/A,FALSE,"EA CH (4)";#N/A,#N/A,FALSE,"KA CH";#N/A,#N/A,FALSE,"KA CH  (2)";#N/A,#N/A,FALSE,"KA CH  (3)";#N/A,#N/A,FALSE,"KA CH (4)"}</definedName>
    <definedName name="pppp" localSheetId="6" hidden="1">{#N/A,#N/A,FALSE,"ASSUM"}</definedName>
    <definedName name="pppp" hidden="1">{#N/A,#N/A,FALSE,"ASSUM"}</definedName>
    <definedName name="pppp1" localSheetId="6" hidden="1">{#N/A,#N/A,FALSE,"ASSUM"}</definedName>
    <definedName name="pppp1" hidden="1">{#N/A,#N/A,FALSE,"ASSUM"}</definedName>
    <definedName name="ppppp" localSheetId="0"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ppppp" localSheetId="6"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ppppp"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pppppppp" localSheetId="0" hidden="1">{"'INDICE'!$A$1:$K$13","'1'!$A$1:$CC$78","'2'!$A$1:$P$78","'3'!$A$1:$CI$78","'4'!$A$1:$Q$78"}</definedName>
    <definedName name="pppppppp" localSheetId="6" hidden="1">{"'INDICE'!$A$1:$K$13","'1'!$A$1:$CC$78","'2'!$A$1:$P$78","'3'!$A$1:$CI$78","'4'!$A$1:$Q$78"}</definedName>
    <definedName name="pppppppp" hidden="1">{"'INDICE'!$A$1:$K$13","'1'!$A$1:$CC$78","'2'!$A$1:$P$78","'3'!$A$1:$CI$78","'4'!$A$1:$Q$78"}</definedName>
    <definedName name="pppppppp_1" localSheetId="0" hidden="1">{"'INDICE'!$A$1:$K$13","'1'!$A$1:$CC$78","'2'!$A$1:$P$78","'3'!$A$1:$CI$78","'4'!$A$1:$Q$78"}</definedName>
    <definedName name="pppppppp_1" localSheetId="6" hidden="1">{"'INDICE'!$A$1:$K$13","'1'!$A$1:$CC$78","'2'!$A$1:$P$78","'3'!$A$1:$CI$78","'4'!$A$1:$Q$78"}</definedName>
    <definedName name="pppppppp_1" hidden="1">{"'INDICE'!$A$1:$K$13","'1'!$A$1:$CC$78","'2'!$A$1:$P$78","'3'!$A$1:$CI$78","'4'!$A$1:$Q$78"}</definedName>
    <definedName name="pppppppppp" localSheetId="0" hidden="1">{"'INDICE'!$A$1:$K$13","'1'!$A$1:$CC$78","'2'!$A$1:$P$78","'3'!$A$1:$CI$78","'4'!$A$1:$Q$78"}</definedName>
    <definedName name="pppppppppp" localSheetId="6" hidden="1">{"'INDICE'!$A$1:$K$13","'1'!$A$1:$CC$78","'2'!$A$1:$P$78","'3'!$A$1:$CI$78","'4'!$A$1:$Q$78"}</definedName>
    <definedName name="pppppppppp" hidden="1">{"'INDICE'!$A$1:$K$13","'1'!$A$1:$CC$78","'2'!$A$1:$P$78","'3'!$A$1:$CI$78","'4'!$A$1:$Q$78"}</definedName>
    <definedName name="pppppppppp_1" localSheetId="0" hidden="1">{"'INDICE'!$A$1:$K$13","'1'!$A$1:$CC$78","'2'!$A$1:$P$78","'3'!$A$1:$CI$78","'4'!$A$1:$Q$78"}</definedName>
    <definedName name="pppppppppp_1" localSheetId="6" hidden="1">{"'INDICE'!$A$1:$K$13","'1'!$A$1:$CC$78","'2'!$A$1:$P$78","'3'!$A$1:$CI$78","'4'!$A$1:$Q$78"}</definedName>
    <definedName name="pppppppppp_1" hidden="1">{"'INDICE'!$A$1:$K$13","'1'!$A$1:$CC$78","'2'!$A$1:$P$78","'3'!$A$1:$CI$78","'4'!$A$1:$Q$78"}</definedName>
    <definedName name="ppppppppppppp" localSheetId="0" hidden="1">{"'INDICE'!$A$1:$K$13","'1'!$A$1:$CC$78","'2'!$A$1:$P$78","'3'!$A$1:$CI$78","'4'!$A$1:$Q$78"}</definedName>
    <definedName name="ppppppppppppp" localSheetId="6" hidden="1">{"'INDICE'!$A$1:$K$13","'1'!$A$1:$CC$78","'2'!$A$1:$P$78","'3'!$A$1:$CI$78","'4'!$A$1:$Q$78"}</definedName>
    <definedName name="ppppppppppppp" hidden="1">{"'INDICE'!$A$1:$K$13","'1'!$A$1:$CC$78","'2'!$A$1:$P$78","'3'!$A$1:$CI$78","'4'!$A$1:$Q$78"}</definedName>
    <definedName name="ppppppppppppp_1" localSheetId="0" hidden="1">{"'INDICE'!$A$1:$K$13","'1'!$A$1:$CC$78","'2'!$A$1:$P$78","'3'!$A$1:$CI$78","'4'!$A$1:$Q$78"}</definedName>
    <definedName name="ppppppppppppp_1" localSheetId="6" hidden="1">{"'INDICE'!$A$1:$K$13","'1'!$A$1:$CC$78","'2'!$A$1:$P$78","'3'!$A$1:$CI$78","'4'!$A$1:$Q$78"}</definedName>
    <definedName name="ppppppppppppp_1" hidden="1">{"'INDICE'!$A$1:$K$13","'1'!$A$1:$CC$78","'2'!$A$1:$P$78","'3'!$A$1:$CI$78","'4'!$A$1:$Q$78"}</definedName>
    <definedName name="ppppppppppppppppppp" localSheetId="0" hidden="1">{"'INDICE'!$A$1:$K$13","'1'!$A$1:$CC$78","'2'!$A$1:$P$78","'3'!$A$1:$CI$78","'4'!$A$1:$Q$78"}</definedName>
    <definedName name="ppppppppppppppppppp" localSheetId="6" hidden="1">{"'INDICE'!$A$1:$K$13","'1'!$A$1:$CC$78","'2'!$A$1:$P$78","'3'!$A$1:$CI$78","'4'!$A$1:$Q$78"}</definedName>
    <definedName name="ppppppppppppppppppp" hidden="1">{"'INDICE'!$A$1:$K$13","'1'!$A$1:$CC$78","'2'!$A$1:$P$78","'3'!$A$1:$CI$78","'4'!$A$1:$Q$78"}</definedName>
    <definedName name="ppppppppppppppppppp_1" localSheetId="0" hidden="1">{"'INDICE'!$A$1:$K$13","'1'!$A$1:$CC$78","'2'!$A$1:$P$78","'3'!$A$1:$CI$78","'4'!$A$1:$Q$78"}</definedName>
    <definedName name="ppppppppppppppppppp_1" localSheetId="6" hidden="1">{"'INDICE'!$A$1:$K$13","'1'!$A$1:$CC$78","'2'!$A$1:$P$78","'3'!$A$1:$CI$78","'4'!$A$1:$Q$78"}</definedName>
    <definedName name="ppppppppppppppppppp_1" hidden="1">{"'INDICE'!$A$1:$K$13","'1'!$A$1:$CC$78","'2'!$A$1:$P$78","'3'!$A$1:$CI$78","'4'!$A$1:$Q$78"}</definedName>
    <definedName name="ppppppppppppppppppppppppp" localSheetId="0" hidden="1">{"'INDICE'!$A$1:$K$13","'1'!$A$1:$CC$78","'2'!$A$1:$P$78","'3'!$A$1:$CI$78","'4'!$A$1:$Q$78"}</definedName>
    <definedName name="ppppppppppppppppppppppppp" localSheetId="6" hidden="1">{"'INDICE'!$A$1:$K$13","'1'!$A$1:$CC$78","'2'!$A$1:$P$78","'3'!$A$1:$CI$78","'4'!$A$1:$Q$78"}</definedName>
    <definedName name="ppppppppppppppppppppppppp" hidden="1">{"'INDICE'!$A$1:$K$13","'1'!$A$1:$CC$78","'2'!$A$1:$P$78","'3'!$A$1:$CI$78","'4'!$A$1:$Q$78"}</definedName>
    <definedName name="ppppppppppppppppppppppppp_1" localSheetId="0" hidden="1">{"'INDICE'!$A$1:$K$13","'1'!$A$1:$CC$78","'2'!$A$1:$P$78","'3'!$A$1:$CI$78","'4'!$A$1:$Q$78"}</definedName>
    <definedName name="ppppppppppppppppppppppppp_1" localSheetId="6" hidden="1">{"'INDICE'!$A$1:$K$13","'1'!$A$1:$CC$78","'2'!$A$1:$P$78","'3'!$A$1:$CI$78","'4'!$A$1:$Q$78"}</definedName>
    <definedName name="ppppppppppppppppppppppppp_1" hidden="1">{"'INDICE'!$A$1:$K$13","'1'!$A$1:$CC$78","'2'!$A$1:$P$78","'3'!$A$1:$CI$78","'4'!$A$1:$Q$78"}</definedName>
    <definedName name="pqr" localSheetId="0" hidden="1">{#N/A,#N/A,FALSE,"Tabl. A1";#N/A,#N/A,FALSE,"Tabl. A1 b";#N/A,#N/A,FALSE,"Tabl. A2";#N/A,#N/A,FALSE,"Tabl. A2-1";#N/A,#N/A,FALSE,"Tabl. A2-2"}</definedName>
    <definedName name="pqr" localSheetId="6" hidden="1">{#N/A,#N/A,FALSE,"Tabl. A1";#N/A,#N/A,FALSE,"Tabl. A1 b";#N/A,#N/A,FALSE,"Tabl. A2";#N/A,#N/A,FALSE,"Tabl. A2-1";#N/A,#N/A,FALSE,"Tabl. A2-2"}</definedName>
    <definedName name="pqr" hidden="1">{#N/A,#N/A,FALSE,"Tabl. A1";#N/A,#N/A,FALSE,"Tabl. A1 b";#N/A,#N/A,FALSE,"Tabl. A2";#N/A,#N/A,FALSE,"Tabl. A2-1";#N/A,#N/A,FALSE,"Tabl. A2-2"}</definedName>
    <definedName name="PR00BG01" localSheetId="0" hidden="1">{#N/A,#N/A,FALSE,"Tabl. D1";#N/A,#N/A,FALSE,"Tabl. D1 b";#N/A,#N/A,FALSE,"Tabl. D2";#N/A,#N/A,FALSE,"Tabl. D2 b";#N/A,#N/A,FALSE,"Tabl. D3";#N/A,#N/A,FALSE,"Tabl. D4";#N/A,#N/A,FALSE,"Tabl. D5"}</definedName>
    <definedName name="PR00BG01" localSheetId="6" hidden="1">{#N/A,#N/A,FALSE,"Tabl. D1";#N/A,#N/A,FALSE,"Tabl. D1 b";#N/A,#N/A,FALSE,"Tabl. D2";#N/A,#N/A,FALSE,"Tabl. D2 b";#N/A,#N/A,FALSE,"Tabl. D3";#N/A,#N/A,FALSE,"Tabl. D4";#N/A,#N/A,FALSE,"Tabl. D5"}</definedName>
    <definedName name="PR00BG01" hidden="1">{#N/A,#N/A,FALSE,"Tabl. D1";#N/A,#N/A,FALSE,"Tabl. D1 b";#N/A,#N/A,FALSE,"Tabl. D2";#N/A,#N/A,FALSE,"Tabl. D2 b";#N/A,#N/A,FALSE,"Tabl. D3";#N/A,#N/A,FALSE,"Tabl. D4";#N/A,#N/A,FALSE,"Tabl. D5"}</definedName>
    <definedName name="PRACTICE" localSheetId="6" hidden="1">{#N/A,#N/A,FALSE,"CoverPage";#N/A,#N/A,FALSE,"Objective";#N/A,#N/A,FALSE,"TeamNorm";#N/A,#N/A,FALSE,"PAE";#N/A,#N/A,FALSE,"PBE";#N/A,#N/A,FALSE,"PSE";#N/A,#N/A,FALSE,"PME";#N/A,#N/A,FALSE,"HSE"}</definedName>
    <definedName name="PRACTICE" hidden="1">{#N/A,#N/A,FALSE,"CoverPage";#N/A,#N/A,FALSE,"Objective";#N/A,#N/A,FALSE,"TeamNorm";#N/A,#N/A,FALSE,"PAE";#N/A,#N/A,FALSE,"PBE";#N/A,#N/A,FALSE,"PSE";#N/A,#N/A,FALSE,"PME";#N/A,#N/A,FALSE,"HSE"}</definedName>
    <definedName name="Prd_Exp_Bud_07" localSheetId="6" hidden="1">{"ROCE Summ",#N/A,FALSE,"Property Management Exps"}</definedName>
    <definedName name="Prd_Exp_Bud_07" hidden="1">{"ROCE Summ",#N/A,FALSE,"Property Management Exps"}</definedName>
    <definedName name="Prd_Exp_Bud_07_1" localSheetId="6" hidden="1">{"ROCE Summ",#N/A,FALSE,"Property Management Exps"}</definedName>
    <definedName name="Prd_Exp_Bud_07_1" hidden="1">{"ROCE Summ",#N/A,FALSE,"Property Management Exps"}</definedName>
    <definedName name="Prd_Exp_Bud_07_1_1" localSheetId="6" hidden="1">{"ROCE Summ",#N/A,FALSE,"Property Management Exps"}</definedName>
    <definedName name="Prd_Exp_Bud_07_1_1" hidden="1">{"ROCE Summ",#N/A,FALSE,"Property Management Exps"}</definedName>
    <definedName name="Prd_Exp_Bud_07_1_1_1" localSheetId="6" hidden="1">{"ROCE Summ",#N/A,FALSE,"Property Management Exps"}</definedName>
    <definedName name="Prd_Exp_Bud_07_1_1_1" hidden="1">{"ROCE Summ",#N/A,FALSE,"Property Management Exps"}</definedName>
    <definedName name="Prd_Exp_Bud_07_1_1_1_1" localSheetId="6" hidden="1">{"ROCE Summ",#N/A,FALSE,"Property Management Exps"}</definedName>
    <definedName name="Prd_Exp_Bud_07_1_1_1_1" hidden="1">{"ROCE Summ",#N/A,FALSE,"Property Management Exps"}</definedName>
    <definedName name="Prd_Exp_Bud_07_1_1_2" localSheetId="6" hidden="1">{"ROCE Summ",#N/A,FALSE,"Property Management Exps"}</definedName>
    <definedName name="Prd_Exp_Bud_07_1_1_2" hidden="1">{"ROCE Summ",#N/A,FALSE,"Property Management Exps"}</definedName>
    <definedName name="Prd_Exp_Bud_07_1_1_2_1" localSheetId="6" hidden="1">{"ROCE Summ",#N/A,FALSE,"Property Management Exps"}</definedName>
    <definedName name="Prd_Exp_Bud_07_1_1_2_1" hidden="1">{"ROCE Summ",#N/A,FALSE,"Property Management Exps"}</definedName>
    <definedName name="Prd_Exp_Bud_07_1_1_3" localSheetId="6" hidden="1">{"ROCE Summ",#N/A,FALSE,"Property Management Exps"}</definedName>
    <definedName name="Prd_Exp_Bud_07_1_1_3" hidden="1">{"ROCE Summ",#N/A,FALSE,"Property Management Exps"}</definedName>
    <definedName name="Prd_Exp_Bud_07_1_2" localSheetId="6" hidden="1">{"ROCE Summ",#N/A,FALSE,"Property Management Exps"}</definedName>
    <definedName name="Prd_Exp_Bud_07_1_2" hidden="1">{"ROCE Summ",#N/A,FALSE,"Property Management Exps"}</definedName>
    <definedName name="Prd_Exp_Bud_07_1_2_1" localSheetId="6" hidden="1">{"ROCE Summ",#N/A,FALSE,"Property Management Exps"}</definedName>
    <definedName name="Prd_Exp_Bud_07_1_2_1" hidden="1">{"ROCE Summ",#N/A,FALSE,"Property Management Exps"}</definedName>
    <definedName name="Prd_Exp_Bud_07_1_2_1_1" localSheetId="6" hidden="1">{"ROCE Summ",#N/A,FALSE,"Property Management Exps"}</definedName>
    <definedName name="Prd_Exp_Bud_07_1_2_1_1" hidden="1">{"ROCE Summ",#N/A,FALSE,"Property Management Exps"}</definedName>
    <definedName name="Prd_Exp_Bud_07_1_2_2" localSheetId="6" hidden="1">{"ROCE Summ",#N/A,FALSE,"Property Management Exps"}</definedName>
    <definedName name="Prd_Exp_Bud_07_1_2_2" hidden="1">{"ROCE Summ",#N/A,FALSE,"Property Management Exps"}</definedName>
    <definedName name="Prd_Exp_Bud_07_1_3" localSheetId="6" hidden="1">{"ROCE Summ",#N/A,FALSE,"Property Management Exps"}</definedName>
    <definedName name="Prd_Exp_Bud_07_1_3" hidden="1">{"ROCE Summ",#N/A,FALSE,"Property Management Exps"}</definedName>
    <definedName name="Prd_Exp_Bud_07_1_3_1" localSheetId="6" hidden="1">{"ROCE Summ",#N/A,FALSE,"Property Management Exps"}</definedName>
    <definedName name="Prd_Exp_Bud_07_1_3_1" hidden="1">{"ROCE Summ",#N/A,FALSE,"Property Management Exps"}</definedName>
    <definedName name="Prd_Exp_Bud_07_1_4" localSheetId="6" hidden="1">{"ROCE Summ",#N/A,FALSE,"Property Management Exps"}</definedName>
    <definedName name="Prd_Exp_Bud_07_1_4" hidden="1">{"ROCE Summ",#N/A,FALSE,"Property Management Exps"}</definedName>
    <definedName name="Prd_Exp_Bud_07_2" localSheetId="6" hidden="1">{"ROCE Summ",#N/A,FALSE,"Property Management Exps"}</definedName>
    <definedName name="Prd_Exp_Bud_07_2" hidden="1">{"ROCE Summ",#N/A,FALSE,"Property Management Exps"}</definedName>
    <definedName name="Prd_Exp_Bud_07_2_1" localSheetId="6" hidden="1">{"ROCE Summ",#N/A,FALSE,"Property Management Exps"}</definedName>
    <definedName name="Prd_Exp_Bud_07_2_1" hidden="1">{"ROCE Summ",#N/A,FALSE,"Property Management Exps"}</definedName>
    <definedName name="Prd_Exp_Bud_07_2_1_1" localSheetId="6" hidden="1">{"ROCE Summ",#N/A,FALSE,"Property Management Exps"}</definedName>
    <definedName name="Prd_Exp_Bud_07_2_1_1" hidden="1">{"ROCE Summ",#N/A,FALSE,"Property Management Exps"}</definedName>
    <definedName name="Prd_Exp_Bud_07_2_1_1_1" localSheetId="6" hidden="1">{"ROCE Summ",#N/A,FALSE,"Property Management Exps"}</definedName>
    <definedName name="Prd_Exp_Bud_07_2_1_1_1" hidden="1">{"ROCE Summ",#N/A,FALSE,"Property Management Exps"}</definedName>
    <definedName name="Prd_Exp_Bud_07_2_1_2" localSheetId="6" hidden="1">{"ROCE Summ",#N/A,FALSE,"Property Management Exps"}</definedName>
    <definedName name="Prd_Exp_Bud_07_2_1_2" hidden="1">{"ROCE Summ",#N/A,FALSE,"Property Management Exps"}</definedName>
    <definedName name="Prd_Exp_Bud_07_2_1_2_1" localSheetId="6" hidden="1">{"ROCE Summ",#N/A,FALSE,"Property Management Exps"}</definedName>
    <definedName name="Prd_Exp_Bud_07_2_1_2_1" hidden="1">{"ROCE Summ",#N/A,FALSE,"Property Management Exps"}</definedName>
    <definedName name="Prd_Exp_Bud_07_2_1_3" localSheetId="6" hidden="1">{"ROCE Summ",#N/A,FALSE,"Property Management Exps"}</definedName>
    <definedName name="Prd_Exp_Bud_07_2_1_3" hidden="1">{"ROCE Summ",#N/A,FALSE,"Property Management Exps"}</definedName>
    <definedName name="Prd_Exp_Bud_07_2_2" localSheetId="6" hidden="1">{"ROCE Summ",#N/A,FALSE,"Property Management Exps"}</definedName>
    <definedName name="Prd_Exp_Bud_07_2_2" hidden="1">{"ROCE Summ",#N/A,FALSE,"Property Management Exps"}</definedName>
    <definedName name="Prd_Exp_Bud_07_2_2_1" localSheetId="6" hidden="1">{"ROCE Summ",#N/A,FALSE,"Property Management Exps"}</definedName>
    <definedName name="Prd_Exp_Bud_07_2_2_1" hidden="1">{"ROCE Summ",#N/A,FALSE,"Property Management Exps"}</definedName>
    <definedName name="Prd_Exp_Bud_07_2_2_1_1" localSheetId="6" hidden="1">{"ROCE Summ",#N/A,FALSE,"Property Management Exps"}</definedName>
    <definedName name="Prd_Exp_Bud_07_2_2_1_1" hidden="1">{"ROCE Summ",#N/A,FALSE,"Property Management Exps"}</definedName>
    <definedName name="Prd_Exp_Bud_07_2_2_2" localSheetId="6" hidden="1">{"ROCE Summ",#N/A,FALSE,"Property Management Exps"}</definedName>
    <definedName name="Prd_Exp_Bud_07_2_2_2" hidden="1">{"ROCE Summ",#N/A,FALSE,"Property Management Exps"}</definedName>
    <definedName name="Prd_Exp_Bud_07_2_3" localSheetId="6" hidden="1">{"ROCE Summ",#N/A,FALSE,"Property Management Exps"}</definedName>
    <definedName name="Prd_Exp_Bud_07_2_3" hidden="1">{"ROCE Summ",#N/A,FALSE,"Property Management Exps"}</definedName>
    <definedName name="Prd_Exp_Bud_07_2_3_1" localSheetId="6" hidden="1">{"ROCE Summ",#N/A,FALSE,"Property Management Exps"}</definedName>
    <definedName name="Prd_Exp_Bud_07_2_3_1" hidden="1">{"ROCE Summ",#N/A,FALSE,"Property Management Exps"}</definedName>
    <definedName name="Prd_Exp_Bud_07_2_4" localSheetId="6" hidden="1">{"ROCE Summ",#N/A,FALSE,"Property Management Exps"}</definedName>
    <definedName name="Prd_Exp_Bud_07_2_4" hidden="1">{"ROCE Summ",#N/A,FALSE,"Property Management Exps"}</definedName>
    <definedName name="Prd_Exp_Bud_07_3" localSheetId="6" hidden="1">{"ROCE Summ",#N/A,FALSE,"Property Management Exps"}</definedName>
    <definedName name="Prd_Exp_Bud_07_3" hidden="1">{"ROCE Summ",#N/A,FALSE,"Property Management Exps"}</definedName>
    <definedName name="Prd_Exp_Bud_07_3_1" localSheetId="6" hidden="1">{"ROCE Summ",#N/A,FALSE,"Property Management Exps"}</definedName>
    <definedName name="Prd_Exp_Bud_07_3_1" hidden="1">{"ROCE Summ",#N/A,FALSE,"Property Management Exps"}</definedName>
    <definedName name="Prd_Exp_Bud_07_3_1_1" localSheetId="6" hidden="1">{"ROCE Summ",#N/A,FALSE,"Property Management Exps"}</definedName>
    <definedName name="Prd_Exp_Bud_07_3_1_1" hidden="1">{"ROCE Summ",#N/A,FALSE,"Property Management Exps"}</definedName>
    <definedName name="Prd_Exp_Bud_07_3_1_1_1" localSheetId="6" hidden="1">{"ROCE Summ",#N/A,FALSE,"Property Management Exps"}</definedName>
    <definedName name="Prd_Exp_Bud_07_3_1_1_1" hidden="1">{"ROCE Summ",#N/A,FALSE,"Property Management Exps"}</definedName>
    <definedName name="Prd_Exp_Bud_07_3_1_2" localSheetId="6" hidden="1">{"ROCE Summ",#N/A,FALSE,"Property Management Exps"}</definedName>
    <definedName name="Prd_Exp_Bud_07_3_1_2" hidden="1">{"ROCE Summ",#N/A,FALSE,"Property Management Exps"}</definedName>
    <definedName name="Prd_Exp_Bud_07_3_1_2_1" localSheetId="6" hidden="1">{"ROCE Summ",#N/A,FALSE,"Property Management Exps"}</definedName>
    <definedName name="Prd_Exp_Bud_07_3_1_2_1" hidden="1">{"ROCE Summ",#N/A,FALSE,"Property Management Exps"}</definedName>
    <definedName name="Prd_Exp_Bud_07_3_1_3" localSheetId="6" hidden="1">{"ROCE Summ",#N/A,FALSE,"Property Management Exps"}</definedName>
    <definedName name="Prd_Exp_Bud_07_3_1_3" hidden="1">{"ROCE Summ",#N/A,FALSE,"Property Management Exps"}</definedName>
    <definedName name="Prd_Exp_Bud_07_3_2" localSheetId="6" hidden="1">{"ROCE Summ",#N/A,FALSE,"Property Management Exps"}</definedName>
    <definedName name="Prd_Exp_Bud_07_3_2" hidden="1">{"ROCE Summ",#N/A,FALSE,"Property Management Exps"}</definedName>
    <definedName name="Prd_Exp_Bud_07_3_2_1" localSheetId="6" hidden="1">{"ROCE Summ",#N/A,FALSE,"Property Management Exps"}</definedName>
    <definedName name="Prd_Exp_Bud_07_3_2_1" hidden="1">{"ROCE Summ",#N/A,FALSE,"Property Management Exps"}</definedName>
    <definedName name="Prd_Exp_Bud_07_3_2_1_1" localSheetId="6" hidden="1">{"ROCE Summ",#N/A,FALSE,"Property Management Exps"}</definedName>
    <definedName name="Prd_Exp_Bud_07_3_2_1_1" hidden="1">{"ROCE Summ",#N/A,FALSE,"Property Management Exps"}</definedName>
    <definedName name="Prd_Exp_Bud_07_3_2_2" localSheetId="6" hidden="1">{"ROCE Summ",#N/A,FALSE,"Property Management Exps"}</definedName>
    <definedName name="Prd_Exp_Bud_07_3_2_2" hidden="1">{"ROCE Summ",#N/A,FALSE,"Property Management Exps"}</definedName>
    <definedName name="Prd_Exp_Bud_07_3_3" localSheetId="6" hidden="1">{"ROCE Summ",#N/A,FALSE,"Property Management Exps"}</definedName>
    <definedName name="Prd_Exp_Bud_07_3_3" hidden="1">{"ROCE Summ",#N/A,FALSE,"Property Management Exps"}</definedName>
    <definedName name="Prd_Exp_Bud_07_3_3_1" localSheetId="6" hidden="1">{"ROCE Summ",#N/A,FALSE,"Property Management Exps"}</definedName>
    <definedName name="Prd_Exp_Bud_07_3_3_1" hidden="1">{"ROCE Summ",#N/A,FALSE,"Property Management Exps"}</definedName>
    <definedName name="Prd_Exp_Bud_07_3_4" localSheetId="6" hidden="1">{"ROCE Summ",#N/A,FALSE,"Property Management Exps"}</definedName>
    <definedName name="Prd_Exp_Bud_07_3_4" hidden="1">{"ROCE Summ",#N/A,FALSE,"Property Management Exps"}</definedName>
    <definedName name="Prd_Exp_Bud_07_4" localSheetId="6" hidden="1">{"ROCE Summ",#N/A,FALSE,"Property Management Exps"}</definedName>
    <definedName name="Prd_Exp_Bud_07_4" hidden="1">{"ROCE Summ",#N/A,FALSE,"Property Management Exps"}</definedName>
    <definedName name="Prd_Exp_Bud_07_4_1" localSheetId="6" hidden="1">{"ROCE Summ",#N/A,FALSE,"Property Management Exps"}</definedName>
    <definedName name="Prd_Exp_Bud_07_4_1" hidden="1">{"ROCE Summ",#N/A,FALSE,"Property Management Exps"}</definedName>
    <definedName name="Prd_Exp_Bud_07_4_1_1" localSheetId="6" hidden="1">{"ROCE Summ",#N/A,FALSE,"Property Management Exps"}</definedName>
    <definedName name="Prd_Exp_Bud_07_4_1_1" hidden="1">{"ROCE Summ",#N/A,FALSE,"Property Management Exps"}</definedName>
    <definedName name="Prd_Exp_Bud_07_4_1_1_1" localSheetId="6" hidden="1">{"ROCE Summ",#N/A,FALSE,"Property Management Exps"}</definedName>
    <definedName name="Prd_Exp_Bud_07_4_1_1_1" hidden="1">{"ROCE Summ",#N/A,FALSE,"Property Management Exps"}</definedName>
    <definedName name="Prd_Exp_Bud_07_4_1_2" localSheetId="6" hidden="1">{"ROCE Summ",#N/A,FALSE,"Property Management Exps"}</definedName>
    <definedName name="Prd_Exp_Bud_07_4_1_2" hidden="1">{"ROCE Summ",#N/A,FALSE,"Property Management Exps"}</definedName>
    <definedName name="Prd_Exp_Bud_07_4_1_2_1" localSheetId="6" hidden="1">{"ROCE Summ",#N/A,FALSE,"Property Management Exps"}</definedName>
    <definedName name="Prd_Exp_Bud_07_4_1_2_1" hidden="1">{"ROCE Summ",#N/A,FALSE,"Property Management Exps"}</definedName>
    <definedName name="Prd_Exp_Bud_07_4_1_3" localSheetId="6" hidden="1">{"ROCE Summ",#N/A,FALSE,"Property Management Exps"}</definedName>
    <definedName name="Prd_Exp_Bud_07_4_1_3" hidden="1">{"ROCE Summ",#N/A,FALSE,"Property Management Exps"}</definedName>
    <definedName name="Prd_Exp_Bud_07_4_2" localSheetId="6" hidden="1">{"ROCE Summ",#N/A,FALSE,"Property Management Exps"}</definedName>
    <definedName name="Prd_Exp_Bud_07_4_2" hidden="1">{"ROCE Summ",#N/A,FALSE,"Property Management Exps"}</definedName>
    <definedName name="Prd_Exp_Bud_07_4_2_1" localSheetId="6" hidden="1">{"ROCE Summ",#N/A,FALSE,"Property Management Exps"}</definedName>
    <definedName name="Prd_Exp_Bud_07_4_2_1" hidden="1">{"ROCE Summ",#N/A,FALSE,"Property Management Exps"}</definedName>
    <definedName name="Prd_Exp_Bud_07_4_2_1_1" localSheetId="6" hidden="1">{"ROCE Summ",#N/A,FALSE,"Property Management Exps"}</definedName>
    <definedName name="Prd_Exp_Bud_07_4_2_1_1" hidden="1">{"ROCE Summ",#N/A,FALSE,"Property Management Exps"}</definedName>
    <definedName name="Prd_Exp_Bud_07_4_2_2" localSheetId="6" hidden="1">{"ROCE Summ",#N/A,FALSE,"Property Management Exps"}</definedName>
    <definedName name="Prd_Exp_Bud_07_4_2_2" hidden="1">{"ROCE Summ",#N/A,FALSE,"Property Management Exps"}</definedName>
    <definedName name="Prd_Exp_Bud_07_4_3" localSheetId="6" hidden="1">{"ROCE Summ",#N/A,FALSE,"Property Management Exps"}</definedName>
    <definedName name="Prd_Exp_Bud_07_4_3" hidden="1">{"ROCE Summ",#N/A,FALSE,"Property Management Exps"}</definedName>
    <definedName name="Prd_Exp_Bud_07_4_3_1" localSheetId="6" hidden="1">{"ROCE Summ",#N/A,FALSE,"Property Management Exps"}</definedName>
    <definedName name="Prd_Exp_Bud_07_4_3_1" hidden="1">{"ROCE Summ",#N/A,FALSE,"Property Management Exps"}</definedName>
    <definedName name="Prd_Exp_Bud_07_4_4" localSheetId="6" hidden="1">{"ROCE Summ",#N/A,FALSE,"Property Management Exps"}</definedName>
    <definedName name="Prd_Exp_Bud_07_4_4" hidden="1">{"ROCE Summ",#N/A,FALSE,"Property Management Exps"}</definedName>
    <definedName name="Prd_Exp_Bud_07_5" localSheetId="6" hidden="1">{"ROCE Summ",#N/A,FALSE,"Property Management Exps"}</definedName>
    <definedName name="Prd_Exp_Bud_07_5" hidden="1">{"ROCE Summ",#N/A,FALSE,"Property Management Exps"}</definedName>
    <definedName name="Prd_Exp_Bud_07_5_1" localSheetId="6" hidden="1">{"ROCE Summ",#N/A,FALSE,"Property Management Exps"}</definedName>
    <definedName name="Prd_Exp_Bud_07_5_1" hidden="1">{"ROCE Summ",#N/A,FALSE,"Property Management Exps"}</definedName>
    <definedName name="Prd_Exp_Bud_07_5_1_1" localSheetId="6" hidden="1">{"ROCE Summ",#N/A,FALSE,"Property Management Exps"}</definedName>
    <definedName name="Prd_Exp_Bud_07_5_1_1" hidden="1">{"ROCE Summ",#N/A,FALSE,"Property Management Exps"}</definedName>
    <definedName name="Prd_Exp_Bud_07_5_1_1_1" localSheetId="6" hidden="1">{"ROCE Summ",#N/A,FALSE,"Property Management Exps"}</definedName>
    <definedName name="Prd_Exp_Bud_07_5_1_1_1" hidden="1">{"ROCE Summ",#N/A,FALSE,"Property Management Exps"}</definedName>
    <definedName name="Prd_Exp_Bud_07_5_1_2" localSheetId="6" hidden="1">{"ROCE Summ",#N/A,FALSE,"Property Management Exps"}</definedName>
    <definedName name="Prd_Exp_Bud_07_5_1_2" hidden="1">{"ROCE Summ",#N/A,FALSE,"Property Management Exps"}</definedName>
    <definedName name="Prd_Exp_Bud_07_5_1_2_1" localSheetId="6" hidden="1">{"ROCE Summ",#N/A,FALSE,"Property Management Exps"}</definedName>
    <definedName name="Prd_Exp_Bud_07_5_1_2_1" hidden="1">{"ROCE Summ",#N/A,FALSE,"Property Management Exps"}</definedName>
    <definedName name="Prd_Exp_Bud_07_5_1_3" localSheetId="6" hidden="1">{"ROCE Summ",#N/A,FALSE,"Property Management Exps"}</definedName>
    <definedName name="Prd_Exp_Bud_07_5_1_3" hidden="1">{"ROCE Summ",#N/A,FALSE,"Property Management Exps"}</definedName>
    <definedName name="Prd_Exp_Bud_07_5_2" localSheetId="6" hidden="1">{"ROCE Summ",#N/A,FALSE,"Property Management Exps"}</definedName>
    <definedName name="Prd_Exp_Bud_07_5_2" hidden="1">{"ROCE Summ",#N/A,FALSE,"Property Management Exps"}</definedName>
    <definedName name="Prd_Exp_Bud_07_5_2_1" localSheetId="6" hidden="1">{"ROCE Summ",#N/A,FALSE,"Property Management Exps"}</definedName>
    <definedName name="Prd_Exp_Bud_07_5_2_1" hidden="1">{"ROCE Summ",#N/A,FALSE,"Property Management Exps"}</definedName>
    <definedName name="Prd_Exp_Bud_07_5_2_1_1" localSheetId="6" hidden="1">{"ROCE Summ",#N/A,FALSE,"Property Management Exps"}</definedName>
    <definedName name="Prd_Exp_Bud_07_5_2_1_1" hidden="1">{"ROCE Summ",#N/A,FALSE,"Property Management Exps"}</definedName>
    <definedName name="Prd_Exp_Bud_07_5_2_2" localSheetId="6" hidden="1">{"ROCE Summ",#N/A,FALSE,"Property Management Exps"}</definedName>
    <definedName name="Prd_Exp_Bud_07_5_2_2" hidden="1">{"ROCE Summ",#N/A,FALSE,"Property Management Exps"}</definedName>
    <definedName name="Prd_Exp_Bud_07_5_3" localSheetId="6" hidden="1">{"ROCE Summ",#N/A,FALSE,"Property Management Exps"}</definedName>
    <definedName name="Prd_Exp_Bud_07_5_3" hidden="1">{"ROCE Summ",#N/A,FALSE,"Property Management Exps"}</definedName>
    <definedName name="Prd_Exp_Bud_07_5_3_1" localSheetId="6" hidden="1">{"ROCE Summ",#N/A,FALSE,"Property Management Exps"}</definedName>
    <definedName name="Prd_Exp_Bud_07_5_3_1" hidden="1">{"ROCE Summ",#N/A,FALSE,"Property Management Exps"}</definedName>
    <definedName name="Prd_Exp_Bud_07_5_4" localSheetId="6" hidden="1">{"ROCE Summ",#N/A,FALSE,"Property Management Exps"}</definedName>
    <definedName name="Prd_Exp_Bud_07_5_4" hidden="1">{"ROCE Summ",#N/A,FALSE,"Property Management Exps"}</definedName>
    <definedName name="PREF_DIVID" hidden="1">"PREF_DIVID"</definedName>
    <definedName name="PREF_STOCK" hidden="1">"PREF_STOCK"</definedName>
    <definedName name="Premium">#REF!</definedName>
    <definedName name="PreoperatingExp">#REF!</definedName>
    <definedName name="PREPAID_EXPEN" hidden="1">"PREPAID_EXPEN"</definedName>
    <definedName name="Pres" localSheetId="0" hidden="1">{#N/A,#N/A,TRUE,"Cover sheet";#N/A,#N/A,TRUE,"Summary";#N/A,#N/A,TRUE,"Key Assumptions";#N/A,#N/A,TRUE,"Profit &amp; Loss";#N/A,#N/A,TRUE,"Balance Sheet";#N/A,#N/A,TRUE,"Cashflow";#N/A,#N/A,TRUE,"IRR";#N/A,#N/A,TRUE,"Ratios";#N/A,#N/A,TRUE,"Debt analysis"}</definedName>
    <definedName name="Pres" localSheetId="6" hidden="1">{#N/A,#N/A,TRUE,"Cover sheet";#N/A,#N/A,TRUE,"Summary";#N/A,#N/A,TRUE,"Key Assumptions";#N/A,#N/A,TRUE,"Profit &amp; Loss";#N/A,#N/A,TRUE,"Balance Sheet";#N/A,#N/A,TRUE,"Cashflow";#N/A,#N/A,TRUE,"IRR";#N/A,#N/A,TRUE,"Ratios";#N/A,#N/A,TRUE,"Debt analysis"}</definedName>
    <definedName name="Pres" hidden="1">{#N/A,#N/A,TRUE,"Cover sheet";#N/A,#N/A,TRUE,"Summary";#N/A,#N/A,TRUE,"Key Assumptions";#N/A,#N/A,TRUE,"Profit &amp; Loss";#N/A,#N/A,TRUE,"Balance Sheet";#N/A,#N/A,TRUE,"Cashflow";#N/A,#N/A,TRUE,"IRR";#N/A,#N/A,TRUE,"Ratios";#N/A,#N/A,TRUE,"Debt analysis"}</definedName>
    <definedName name="Pres1" localSheetId="0" hidden="1">{#N/A,#N/A,TRUE,"Cover sheet";#N/A,#N/A,TRUE,"Summary";#N/A,#N/A,TRUE,"Key Assumptions";#N/A,#N/A,TRUE,"Profit &amp; Loss";#N/A,#N/A,TRUE,"Balance Sheet";#N/A,#N/A,TRUE,"Cashflow";#N/A,#N/A,TRUE,"IRR";#N/A,#N/A,TRUE,"Ratios";#N/A,#N/A,TRUE,"Debt analysis"}</definedName>
    <definedName name="Pres1" localSheetId="6" hidden="1">{#N/A,#N/A,TRUE,"Cover sheet";#N/A,#N/A,TRUE,"Summary";#N/A,#N/A,TRUE,"Key Assumptions";#N/A,#N/A,TRUE,"Profit &amp; Loss";#N/A,#N/A,TRUE,"Balance Sheet";#N/A,#N/A,TRUE,"Cashflow";#N/A,#N/A,TRUE,"IRR";#N/A,#N/A,TRUE,"Ratios";#N/A,#N/A,TRUE,"Debt analysis"}</definedName>
    <definedName name="Pres1" hidden="1">{#N/A,#N/A,TRUE,"Cover sheet";#N/A,#N/A,TRUE,"Summary";#N/A,#N/A,TRUE,"Key Assumptions";#N/A,#N/A,TRUE,"Profit &amp; Loss";#N/A,#N/A,TRUE,"Balance Sheet";#N/A,#N/A,TRUE,"Cashflow";#N/A,#N/A,TRUE,"IRR";#N/A,#N/A,TRUE,"Ratios";#N/A,#N/A,TRUE,"Debt analysis"}</definedName>
    <definedName name="PRESA" localSheetId="0" hidden="1">{#N/A,#N/A,TRUE,"Cover sheet";#N/A,#N/A,TRUE,"Summary";#N/A,#N/A,TRUE,"Key Assumptions";#N/A,#N/A,TRUE,"Profit &amp; Loss";#N/A,#N/A,TRUE,"Balance Sheet";#N/A,#N/A,TRUE,"Cashflow";#N/A,#N/A,TRUE,"IRR";#N/A,#N/A,TRUE,"Ratios";#N/A,#N/A,TRUE,"Debt analysis"}</definedName>
    <definedName name="PRESA" localSheetId="6" hidden="1">{#N/A,#N/A,TRUE,"Cover sheet";#N/A,#N/A,TRUE,"Summary";#N/A,#N/A,TRUE,"Key Assumptions";#N/A,#N/A,TRUE,"Profit &amp; Loss";#N/A,#N/A,TRUE,"Balance Sheet";#N/A,#N/A,TRUE,"Cashflow";#N/A,#N/A,TRUE,"IRR";#N/A,#N/A,TRUE,"Ratios";#N/A,#N/A,TRUE,"Debt analysis"}</definedName>
    <definedName name="PRESA" hidden="1">{#N/A,#N/A,TRUE,"Cover sheet";#N/A,#N/A,TRUE,"Summary";#N/A,#N/A,TRUE,"Key Assumptions";#N/A,#N/A,TRUE,"Profit &amp; Loss";#N/A,#N/A,TRUE,"Balance Sheet";#N/A,#N/A,TRUE,"Cashflow";#N/A,#N/A,TRUE,"IRR";#N/A,#N/A,TRUE,"Ratios";#N/A,#N/A,TRUE,"Debt analysis"}</definedName>
    <definedName name="Presentation" localSheetId="0"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 localSheetId="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Presentation2" localSheetId="0" hidden="1">{#N/A,#N/A,FALSE,"Eastern";#N/A,#N/A,FALSE,"Western"}</definedName>
    <definedName name="Presentation2" localSheetId="6" hidden="1">{#N/A,#N/A,FALSE,"Eastern";#N/A,#N/A,FALSE,"Western"}</definedName>
    <definedName name="Presentation2" hidden="1">{#N/A,#N/A,FALSE,"Eastern";#N/A,#N/A,FALSE,"Western"}</definedName>
    <definedName name="PRETAX_INC" hidden="1">"PRETAX_INC"</definedName>
    <definedName name="PRETAX_INC_10K" hidden="1">"PRETAX_INC_10K"</definedName>
    <definedName name="PRETAX_INC_10Q" hidden="1">"PRETAX_INC_10Q"</definedName>
    <definedName name="PRETAX_INC_10Q1" hidden="1">"PRETAX_INC_10Q1"</definedName>
    <definedName name="PREV" localSheetId="0" hidden="1">{"GTI monthly IS",#N/A,FALSE,"gti";#N/A,#N/A,FALSE,"gti"}</definedName>
    <definedName name="PREV" localSheetId="6" hidden="1">{"GTI monthly IS",#N/A,FALSE,"gti";#N/A,#N/A,FALSE,"gti"}</definedName>
    <definedName name="PREV" hidden="1">{"GTI monthly IS",#N/A,FALSE,"gti";#N/A,#N/A,FALSE,"gti"}</definedName>
    <definedName name="Prezzovolumi2" localSheetId="0" hidden="1">{#N/A,#N/A,FALSE,"Calc";#N/A,#N/A,FALSE,"Sensitivity";#N/A,#N/A,FALSE,"LT Earn.Dil.";#N/A,#N/A,FALSE,"Dil. AVP"}</definedName>
    <definedName name="Prezzovolumi2" localSheetId="6" hidden="1">{#N/A,#N/A,FALSE,"Calc";#N/A,#N/A,FALSE,"Sensitivity";#N/A,#N/A,FALSE,"LT Earn.Dil.";#N/A,#N/A,FALSE,"Dil. AVP"}</definedName>
    <definedName name="Prezzovolumi2" hidden="1">{#N/A,#N/A,FALSE,"Calc";#N/A,#N/A,FALSE,"Sensitivity";#N/A,#N/A,FALSE,"LT Earn.Dil.";#N/A,#N/A,FALSE,"Dil. AVP"}</definedName>
    <definedName name="price">#REF!</definedName>
    <definedName name="PRICE_OVER_EPS_EST" hidden="1">"PRICE_OVER_EPS_EST"</definedName>
    <definedName name="PRICE_OVER_EPS_EST_1" hidden="1">"PRICE_OVER_EPS_EST_1"</definedName>
    <definedName name="PRICE_OVER_LTM_EPS" hidden="1">"PRICE_OVER_LTM_EPS"</definedName>
    <definedName name="price1m">#REF!</definedName>
    <definedName name="price1y">#REF!</definedName>
    <definedName name="price3m">#REF!</definedName>
    <definedName name="pricebook_col" hidden="1">#REF!</definedName>
    <definedName name="PriceCase">#REF!</definedName>
    <definedName name="PriceChartDate">#REF!</definedName>
    <definedName name="priceearnings_col" hidden="1">#REF!</definedName>
    <definedName name="PriceRange" hidden="1">#N/A</definedName>
    <definedName name="prinallnew" localSheetId="0" hidden="1">{"sterling",#N/A,FALSE,"£";"USdollar",#N/A,FALSE,"USA$";"mark",#N/A,FALSE,"DM";"peseta",#N/A,FALSE,"Pta";"lira",#N/A,FALSE,"LIRA";"euro",#N/A,FALSE,"Euro";"Ausdollar",#N/A,FALSE,"Aus$";"other",#N/A,FALSE,"Other"}</definedName>
    <definedName name="prinallnew" localSheetId="6" hidden="1">{"sterling",#N/A,FALSE,"£";"USdollar",#N/A,FALSE,"USA$";"mark",#N/A,FALSE,"DM";"peseta",#N/A,FALSE,"Pta";"lira",#N/A,FALSE,"LIRA";"euro",#N/A,FALSE,"Euro";"Ausdollar",#N/A,FALSE,"Aus$";"other",#N/A,FALSE,"Other"}</definedName>
    <definedName name="prinallnew" hidden="1">{"sterling",#N/A,FALSE,"£";"USdollar",#N/A,FALSE,"USA$";"mark",#N/A,FALSE,"DM";"peseta",#N/A,FALSE,"Pta";"lira",#N/A,FALSE,"LIRA";"euro",#N/A,FALSE,"Euro";"Ausdollar",#N/A,FALSE,"Aus$";"other",#N/A,FALSE,"Other"}</definedName>
    <definedName name="Princ">#REF!</definedName>
    <definedName name="_xlnm.Print_Area" localSheetId="0">Cover!$B$2:$N$15</definedName>
    <definedName name="_xlnm.Print_Area">#REF!</definedName>
    <definedName name="PRINT_AREA_MI">#REF!</definedName>
    <definedName name="PRINT_AREA_MI1">#REF!</definedName>
    <definedName name="Print_Area_Reset" localSheetId="6">OFFSET(Full_Print,0,0,Last_Row)</definedName>
    <definedName name="Print_Area_Reset">OFFSET(Full_Print,0,0,Last_Row)</definedName>
    <definedName name="Print_Main2">#REF!</definedName>
    <definedName name="Print_Main3">#REF!</definedName>
    <definedName name="print_range_warning">#REF!</definedName>
    <definedName name="_xlnm.Print_Titles">#REF!,#REF!</definedName>
    <definedName name="Print_Titles_MI">#REF!,#REF!</definedName>
    <definedName name="Print1" localSheetId="6" hidden="1">{"Wellhead",#N/A,FALSE,"Sheet4";"Casing",#N/A,FALSE,"Sheet4"}</definedName>
    <definedName name="Print1" hidden="1">{"Wellhead",#N/A,FALSE,"Sheet4";"Casing",#N/A,FALSE,"Sheet4"}</definedName>
    <definedName name="print2">#REF!</definedName>
    <definedName name="PrintArea_SET" localSheetId="6">OFFSET(#REF!,,,LastRow,LastCol)</definedName>
    <definedName name="PrintArea_SET">OFFSET(#REF!,,,LastRow,LastCol)</definedName>
    <definedName name="PrintEnd" hidden="1">#REF!</definedName>
    <definedName name="Printing">#REF!</definedName>
    <definedName name="PrintInt1" localSheetId="6" hidden="1">{"Wellhead",#N/A,FALSE,"Sheet4";"Casing",#N/A,FALSE,"Sheet4"}</definedName>
    <definedName name="PrintInt1" hidden="1">{"Wellhead",#N/A,FALSE,"Sheet4";"Casing",#N/A,FALSE,"Sheet4"}</definedName>
    <definedName name="PrintIntang" localSheetId="6" hidden="1">{"Wellhead",#N/A,FALSE,"Sheet4";"Casing",#N/A,FALSE,"Sheet4"}</definedName>
    <definedName name="PrintIntang" hidden="1">{"Wellhead",#N/A,FALSE,"Sheet4";"Casing",#N/A,FALSE,"Sheet4"}</definedName>
    <definedName name="PrintStart" hidden="1">#REF!</definedName>
    <definedName name="Prior_LTM">#REF!</definedName>
    <definedName name="Private">#REF!</definedName>
    <definedName name="pro_exp_bud08" localSheetId="6" hidden="1">{"ROCE Summ",#N/A,FALSE,"Property Management Exps"}</definedName>
    <definedName name="pro_exp_bud08" hidden="1">{"ROCE Summ",#N/A,FALSE,"Property Management Exps"}</definedName>
    <definedName name="pro_exp_bud08_1" localSheetId="6" hidden="1">{"ROCE Summ",#N/A,FALSE,"Property Management Exps"}</definedName>
    <definedName name="pro_exp_bud08_1" hidden="1">{"ROCE Summ",#N/A,FALSE,"Property Management Exps"}</definedName>
    <definedName name="pro_exp_bud08_1_1" localSheetId="6" hidden="1">{"ROCE Summ",#N/A,FALSE,"Property Management Exps"}</definedName>
    <definedName name="pro_exp_bud08_1_1" hidden="1">{"ROCE Summ",#N/A,FALSE,"Property Management Exps"}</definedName>
    <definedName name="pro_exp_bud08_1_1_1" localSheetId="6" hidden="1">{"ROCE Summ",#N/A,FALSE,"Property Management Exps"}</definedName>
    <definedName name="pro_exp_bud08_1_1_1" hidden="1">{"ROCE Summ",#N/A,FALSE,"Property Management Exps"}</definedName>
    <definedName name="pro_exp_bud08_1_1_1_1" localSheetId="6" hidden="1">{"ROCE Summ",#N/A,FALSE,"Property Management Exps"}</definedName>
    <definedName name="pro_exp_bud08_1_1_1_1" hidden="1">{"ROCE Summ",#N/A,FALSE,"Property Management Exps"}</definedName>
    <definedName name="pro_exp_bud08_1_1_2" localSheetId="6" hidden="1">{"ROCE Summ",#N/A,FALSE,"Property Management Exps"}</definedName>
    <definedName name="pro_exp_bud08_1_1_2" hidden="1">{"ROCE Summ",#N/A,FALSE,"Property Management Exps"}</definedName>
    <definedName name="pro_exp_bud08_1_1_2_1" localSheetId="6" hidden="1">{"ROCE Summ",#N/A,FALSE,"Property Management Exps"}</definedName>
    <definedName name="pro_exp_bud08_1_1_2_1" hidden="1">{"ROCE Summ",#N/A,FALSE,"Property Management Exps"}</definedName>
    <definedName name="pro_exp_bud08_1_1_3" localSheetId="6" hidden="1">{"ROCE Summ",#N/A,FALSE,"Property Management Exps"}</definedName>
    <definedName name="pro_exp_bud08_1_1_3" hidden="1">{"ROCE Summ",#N/A,FALSE,"Property Management Exps"}</definedName>
    <definedName name="pro_exp_bud08_1_2" localSheetId="6" hidden="1">{"ROCE Summ",#N/A,FALSE,"Property Management Exps"}</definedName>
    <definedName name="pro_exp_bud08_1_2" hidden="1">{"ROCE Summ",#N/A,FALSE,"Property Management Exps"}</definedName>
    <definedName name="pro_exp_bud08_1_2_1" localSheetId="6" hidden="1">{"ROCE Summ",#N/A,FALSE,"Property Management Exps"}</definedName>
    <definedName name="pro_exp_bud08_1_2_1" hidden="1">{"ROCE Summ",#N/A,FALSE,"Property Management Exps"}</definedName>
    <definedName name="pro_exp_bud08_1_2_1_1" localSheetId="6" hidden="1">{"ROCE Summ",#N/A,FALSE,"Property Management Exps"}</definedName>
    <definedName name="pro_exp_bud08_1_2_1_1" hidden="1">{"ROCE Summ",#N/A,FALSE,"Property Management Exps"}</definedName>
    <definedName name="pro_exp_bud08_1_2_2" localSheetId="6" hidden="1">{"ROCE Summ",#N/A,FALSE,"Property Management Exps"}</definedName>
    <definedName name="pro_exp_bud08_1_2_2" hidden="1">{"ROCE Summ",#N/A,FALSE,"Property Management Exps"}</definedName>
    <definedName name="pro_exp_bud08_1_3" localSheetId="6" hidden="1">{"ROCE Summ",#N/A,FALSE,"Property Management Exps"}</definedName>
    <definedName name="pro_exp_bud08_1_3" hidden="1">{"ROCE Summ",#N/A,FALSE,"Property Management Exps"}</definedName>
    <definedName name="pro_exp_bud08_1_3_1" localSheetId="6" hidden="1">{"ROCE Summ",#N/A,FALSE,"Property Management Exps"}</definedName>
    <definedName name="pro_exp_bud08_1_3_1" hidden="1">{"ROCE Summ",#N/A,FALSE,"Property Management Exps"}</definedName>
    <definedName name="pro_exp_bud08_1_4" localSheetId="6" hidden="1">{"ROCE Summ",#N/A,FALSE,"Property Management Exps"}</definedName>
    <definedName name="pro_exp_bud08_1_4" hidden="1">{"ROCE Summ",#N/A,FALSE,"Property Management Exps"}</definedName>
    <definedName name="pro_exp_bud08_2" localSheetId="6" hidden="1">{"ROCE Summ",#N/A,FALSE,"Property Management Exps"}</definedName>
    <definedName name="pro_exp_bud08_2" hidden="1">{"ROCE Summ",#N/A,FALSE,"Property Management Exps"}</definedName>
    <definedName name="pro_exp_bud08_2_1" localSheetId="6" hidden="1">{"ROCE Summ",#N/A,FALSE,"Property Management Exps"}</definedName>
    <definedName name="pro_exp_bud08_2_1" hidden="1">{"ROCE Summ",#N/A,FALSE,"Property Management Exps"}</definedName>
    <definedName name="pro_exp_bud08_2_1_1" localSheetId="6" hidden="1">{"ROCE Summ",#N/A,FALSE,"Property Management Exps"}</definedName>
    <definedName name="pro_exp_bud08_2_1_1" hidden="1">{"ROCE Summ",#N/A,FALSE,"Property Management Exps"}</definedName>
    <definedName name="pro_exp_bud08_2_1_1_1" localSheetId="6" hidden="1">{"ROCE Summ",#N/A,FALSE,"Property Management Exps"}</definedName>
    <definedName name="pro_exp_bud08_2_1_1_1" hidden="1">{"ROCE Summ",#N/A,FALSE,"Property Management Exps"}</definedName>
    <definedName name="pro_exp_bud08_2_1_2" localSheetId="6" hidden="1">{"ROCE Summ",#N/A,FALSE,"Property Management Exps"}</definedName>
    <definedName name="pro_exp_bud08_2_1_2" hidden="1">{"ROCE Summ",#N/A,FALSE,"Property Management Exps"}</definedName>
    <definedName name="pro_exp_bud08_2_1_2_1" localSheetId="6" hidden="1">{"ROCE Summ",#N/A,FALSE,"Property Management Exps"}</definedName>
    <definedName name="pro_exp_bud08_2_1_2_1" hidden="1">{"ROCE Summ",#N/A,FALSE,"Property Management Exps"}</definedName>
    <definedName name="pro_exp_bud08_2_1_3" localSheetId="6" hidden="1">{"ROCE Summ",#N/A,FALSE,"Property Management Exps"}</definedName>
    <definedName name="pro_exp_bud08_2_1_3" hidden="1">{"ROCE Summ",#N/A,FALSE,"Property Management Exps"}</definedName>
    <definedName name="pro_exp_bud08_2_2" localSheetId="6" hidden="1">{"ROCE Summ",#N/A,FALSE,"Property Management Exps"}</definedName>
    <definedName name="pro_exp_bud08_2_2" hidden="1">{"ROCE Summ",#N/A,FALSE,"Property Management Exps"}</definedName>
    <definedName name="pro_exp_bud08_2_2_1" localSheetId="6" hidden="1">{"ROCE Summ",#N/A,FALSE,"Property Management Exps"}</definedName>
    <definedName name="pro_exp_bud08_2_2_1" hidden="1">{"ROCE Summ",#N/A,FALSE,"Property Management Exps"}</definedName>
    <definedName name="pro_exp_bud08_2_2_1_1" localSheetId="6" hidden="1">{"ROCE Summ",#N/A,FALSE,"Property Management Exps"}</definedName>
    <definedName name="pro_exp_bud08_2_2_1_1" hidden="1">{"ROCE Summ",#N/A,FALSE,"Property Management Exps"}</definedName>
    <definedName name="pro_exp_bud08_2_2_2" localSheetId="6" hidden="1">{"ROCE Summ",#N/A,FALSE,"Property Management Exps"}</definedName>
    <definedName name="pro_exp_bud08_2_2_2" hidden="1">{"ROCE Summ",#N/A,FALSE,"Property Management Exps"}</definedName>
    <definedName name="pro_exp_bud08_2_3" localSheetId="6" hidden="1">{"ROCE Summ",#N/A,FALSE,"Property Management Exps"}</definedName>
    <definedName name="pro_exp_bud08_2_3" hidden="1">{"ROCE Summ",#N/A,FALSE,"Property Management Exps"}</definedName>
    <definedName name="pro_exp_bud08_2_3_1" localSheetId="6" hidden="1">{"ROCE Summ",#N/A,FALSE,"Property Management Exps"}</definedName>
    <definedName name="pro_exp_bud08_2_3_1" hidden="1">{"ROCE Summ",#N/A,FALSE,"Property Management Exps"}</definedName>
    <definedName name="pro_exp_bud08_2_4" localSheetId="6" hidden="1">{"ROCE Summ",#N/A,FALSE,"Property Management Exps"}</definedName>
    <definedName name="pro_exp_bud08_2_4" hidden="1">{"ROCE Summ",#N/A,FALSE,"Property Management Exps"}</definedName>
    <definedName name="pro_exp_bud08_3" localSheetId="6" hidden="1">{"ROCE Summ",#N/A,FALSE,"Property Management Exps"}</definedName>
    <definedName name="pro_exp_bud08_3" hidden="1">{"ROCE Summ",#N/A,FALSE,"Property Management Exps"}</definedName>
    <definedName name="pro_exp_bud08_3_1" localSheetId="6" hidden="1">{"ROCE Summ",#N/A,FALSE,"Property Management Exps"}</definedName>
    <definedName name="pro_exp_bud08_3_1" hidden="1">{"ROCE Summ",#N/A,FALSE,"Property Management Exps"}</definedName>
    <definedName name="pro_exp_bud08_3_1_1" localSheetId="6" hidden="1">{"ROCE Summ",#N/A,FALSE,"Property Management Exps"}</definedName>
    <definedName name="pro_exp_bud08_3_1_1" hidden="1">{"ROCE Summ",#N/A,FALSE,"Property Management Exps"}</definedName>
    <definedName name="pro_exp_bud08_3_1_1_1" localSheetId="6" hidden="1">{"ROCE Summ",#N/A,FALSE,"Property Management Exps"}</definedName>
    <definedName name="pro_exp_bud08_3_1_1_1" hidden="1">{"ROCE Summ",#N/A,FALSE,"Property Management Exps"}</definedName>
    <definedName name="pro_exp_bud08_3_1_2" localSheetId="6" hidden="1">{"ROCE Summ",#N/A,FALSE,"Property Management Exps"}</definedName>
    <definedName name="pro_exp_bud08_3_1_2" hidden="1">{"ROCE Summ",#N/A,FALSE,"Property Management Exps"}</definedName>
    <definedName name="pro_exp_bud08_3_1_2_1" localSheetId="6" hidden="1">{"ROCE Summ",#N/A,FALSE,"Property Management Exps"}</definedName>
    <definedName name="pro_exp_bud08_3_1_2_1" hidden="1">{"ROCE Summ",#N/A,FALSE,"Property Management Exps"}</definedName>
    <definedName name="pro_exp_bud08_3_1_3" localSheetId="6" hidden="1">{"ROCE Summ",#N/A,FALSE,"Property Management Exps"}</definedName>
    <definedName name="pro_exp_bud08_3_1_3" hidden="1">{"ROCE Summ",#N/A,FALSE,"Property Management Exps"}</definedName>
    <definedName name="pro_exp_bud08_3_2" localSheetId="6" hidden="1">{"ROCE Summ",#N/A,FALSE,"Property Management Exps"}</definedName>
    <definedName name="pro_exp_bud08_3_2" hidden="1">{"ROCE Summ",#N/A,FALSE,"Property Management Exps"}</definedName>
    <definedName name="pro_exp_bud08_3_2_1" localSheetId="6" hidden="1">{"ROCE Summ",#N/A,FALSE,"Property Management Exps"}</definedName>
    <definedName name="pro_exp_bud08_3_2_1" hidden="1">{"ROCE Summ",#N/A,FALSE,"Property Management Exps"}</definedName>
    <definedName name="pro_exp_bud08_3_2_1_1" localSheetId="6" hidden="1">{"ROCE Summ",#N/A,FALSE,"Property Management Exps"}</definedName>
    <definedName name="pro_exp_bud08_3_2_1_1" hidden="1">{"ROCE Summ",#N/A,FALSE,"Property Management Exps"}</definedName>
    <definedName name="pro_exp_bud08_3_2_2" localSheetId="6" hidden="1">{"ROCE Summ",#N/A,FALSE,"Property Management Exps"}</definedName>
    <definedName name="pro_exp_bud08_3_2_2" hidden="1">{"ROCE Summ",#N/A,FALSE,"Property Management Exps"}</definedName>
    <definedName name="pro_exp_bud08_3_3" localSheetId="6" hidden="1">{"ROCE Summ",#N/A,FALSE,"Property Management Exps"}</definedName>
    <definedName name="pro_exp_bud08_3_3" hidden="1">{"ROCE Summ",#N/A,FALSE,"Property Management Exps"}</definedName>
    <definedName name="pro_exp_bud08_3_3_1" localSheetId="6" hidden="1">{"ROCE Summ",#N/A,FALSE,"Property Management Exps"}</definedName>
    <definedName name="pro_exp_bud08_3_3_1" hidden="1">{"ROCE Summ",#N/A,FALSE,"Property Management Exps"}</definedName>
    <definedName name="pro_exp_bud08_3_4" localSheetId="6" hidden="1">{"ROCE Summ",#N/A,FALSE,"Property Management Exps"}</definedName>
    <definedName name="pro_exp_bud08_3_4" hidden="1">{"ROCE Summ",#N/A,FALSE,"Property Management Exps"}</definedName>
    <definedName name="pro_exp_bud08_4" localSheetId="6" hidden="1">{"ROCE Summ",#N/A,FALSE,"Property Management Exps"}</definedName>
    <definedName name="pro_exp_bud08_4" hidden="1">{"ROCE Summ",#N/A,FALSE,"Property Management Exps"}</definedName>
    <definedName name="pro_exp_bud08_4_1" localSheetId="6" hidden="1">{"ROCE Summ",#N/A,FALSE,"Property Management Exps"}</definedName>
    <definedName name="pro_exp_bud08_4_1" hidden="1">{"ROCE Summ",#N/A,FALSE,"Property Management Exps"}</definedName>
    <definedName name="pro_exp_bud08_4_1_1" localSheetId="6" hidden="1">{"ROCE Summ",#N/A,FALSE,"Property Management Exps"}</definedName>
    <definedName name="pro_exp_bud08_4_1_1" hidden="1">{"ROCE Summ",#N/A,FALSE,"Property Management Exps"}</definedName>
    <definedName name="pro_exp_bud08_4_1_1_1" localSheetId="6" hidden="1">{"ROCE Summ",#N/A,FALSE,"Property Management Exps"}</definedName>
    <definedName name="pro_exp_bud08_4_1_1_1" hidden="1">{"ROCE Summ",#N/A,FALSE,"Property Management Exps"}</definedName>
    <definedName name="pro_exp_bud08_4_1_2" localSheetId="6" hidden="1">{"ROCE Summ",#N/A,FALSE,"Property Management Exps"}</definedName>
    <definedName name="pro_exp_bud08_4_1_2" hidden="1">{"ROCE Summ",#N/A,FALSE,"Property Management Exps"}</definedName>
    <definedName name="pro_exp_bud08_4_1_2_1" localSheetId="6" hidden="1">{"ROCE Summ",#N/A,FALSE,"Property Management Exps"}</definedName>
    <definedName name="pro_exp_bud08_4_1_2_1" hidden="1">{"ROCE Summ",#N/A,FALSE,"Property Management Exps"}</definedName>
    <definedName name="pro_exp_bud08_4_1_3" localSheetId="6" hidden="1">{"ROCE Summ",#N/A,FALSE,"Property Management Exps"}</definedName>
    <definedName name="pro_exp_bud08_4_1_3" hidden="1">{"ROCE Summ",#N/A,FALSE,"Property Management Exps"}</definedName>
    <definedName name="pro_exp_bud08_4_2" localSheetId="6" hidden="1">{"ROCE Summ",#N/A,FALSE,"Property Management Exps"}</definedName>
    <definedName name="pro_exp_bud08_4_2" hidden="1">{"ROCE Summ",#N/A,FALSE,"Property Management Exps"}</definedName>
    <definedName name="pro_exp_bud08_4_2_1" localSheetId="6" hidden="1">{"ROCE Summ",#N/A,FALSE,"Property Management Exps"}</definedName>
    <definedName name="pro_exp_bud08_4_2_1" hidden="1">{"ROCE Summ",#N/A,FALSE,"Property Management Exps"}</definedName>
    <definedName name="pro_exp_bud08_4_2_1_1" localSheetId="6" hidden="1">{"ROCE Summ",#N/A,FALSE,"Property Management Exps"}</definedName>
    <definedName name="pro_exp_bud08_4_2_1_1" hidden="1">{"ROCE Summ",#N/A,FALSE,"Property Management Exps"}</definedName>
    <definedName name="pro_exp_bud08_4_2_2" localSheetId="6" hidden="1">{"ROCE Summ",#N/A,FALSE,"Property Management Exps"}</definedName>
    <definedName name="pro_exp_bud08_4_2_2" hidden="1">{"ROCE Summ",#N/A,FALSE,"Property Management Exps"}</definedName>
    <definedName name="pro_exp_bud08_4_3" localSheetId="6" hidden="1">{"ROCE Summ",#N/A,FALSE,"Property Management Exps"}</definedName>
    <definedName name="pro_exp_bud08_4_3" hidden="1">{"ROCE Summ",#N/A,FALSE,"Property Management Exps"}</definedName>
    <definedName name="pro_exp_bud08_4_3_1" localSheetId="6" hidden="1">{"ROCE Summ",#N/A,FALSE,"Property Management Exps"}</definedName>
    <definedName name="pro_exp_bud08_4_3_1" hidden="1">{"ROCE Summ",#N/A,FALSE,"Property Management Exps"}</definedName>
    <definedName name="pro_exp_bud08_4_4" localSheetId="6" hidden="1">{"ROCE Summ",#N/A,FALSE,"Property Management Exps"}</definedName>
    <definedName name="pro_exp_bud08_4_4" hidden="1">{"ROCE Summ",#N/A,FALSE,"Property Management Exps"}</definedName>
    <definedName name="pro_exp_bud08_5" localSheetId="6" hidden="1">{"ROCE Summ",#N/A,FALSE,"Property Management Exps"}</definedName>
    <definedName name="pro_exp_bud08_5" hidden="1">{"ROCE Summ",#N/A,FALSE,"Property Management Exps"}</definedName>
    <definedName name="pro_exp_bud08_5_1" localSheetId="6" hidden="1">{"ROCE Summ",#N/A,FALSE,"Property Management Exps"}</definedName>
    <definedName name="pro_exp_bud08_5_1" hidden="1">{"ROCE Summ",#N/A,FALSE,"Property Management Exps"}</definedName>
    <definedName name="pro_exp_bud08_5_1_1" localSheetId="6" hidden="1">{"ROCE Summ",#N/A,FALSE,"Property Management Exps"}</definedName>
    <definedName name="pro_exp_bud08_5_1_1" hidden="1">{"ROCE Summ",#N/A,FALSE,"Property Management Exps"}</definedName>
    <definedName name="pro_exp_bud08_5_1_1_1" localSheetId="6" hidden="1">{"ROCE Summ",#N/A,FALSE,"Property Management Exps"}</definedName>
    <definedName name="pro_exp_bud08_5_1_1_1" hidden="1">{"ROCE Summ",#N/A,FALSE,"Property Management Exps"}</definedName>
    <definedName name="pro_exp_bud08_5_1_2" localSheetId="6" hidden="1">{"ROCE Summ",#N/A,FALSE,"Property Management Exps"}</definedName>
    <definedName name="pro_exp_bud08_5_1_2" hidden="1">{"ROCE Summ",#N/A,FALSE,"Property Management Exps"}</definedName>
    <definedName name="pro_exp_bud08_5_1_2_1" localSheetId="6" hidden="1">{"ROCE Summ",#N/A,FALSE,"Property Management Exps"}</definedName>
    <definedName name="pro_exp_bud08_5_1_2_1" hidden="1">{"ROCE Summ",#N/A,FALSE,"Property Management Exps"}</definedName>
    <definedName name="pro_exp_bud08_5_1_3" localSheetId="6" hidden="1">{"ROCE Summ",#N/A,FALSE,"Property Management Exps"}</definedName>
    <definedName name="pro_exp_bud08_5_1_3" hidden="1">{"ROCE Summ",#N/A,FALSE,"Property Management Exps"}</definedName>
    <definedName name="pro_exp_bud08_5_2" localSheetId="6" hidden="1">{"ROCE Summ",#N/A,FALSE,"Property Management Exps"}</definedName>
    <definedName name="pro_exp_bud08_5_2" hidden="1">{"ROCE Summ",#N/A,FALSE,"Property Management Exps"}</definedName>
    <definedName name="pro_exp_bud08_5_2_1" localSheetId="6" hidden="1">{"ROCE Summ",#N/A,FALSE,"Property Management Exps"}</definedName>
    <definedName name="pro_exp_bud08_5_2_1" hidden="1">{"ROCE Summ",#N/A,FALSE,"Property Management Exps"}</definedName>
    <definedName name="pro_exp_bud08_5_2_1_1" localSheetId="6" hidden="1">{"ROCE Summ",#N/A,FALSE,"Property Management Exps"}</definedName>
    <definedName name="pro_exp_bud08_5_2_1_1" hidden="1">{"ROCE Summ",#N/A,FALSE,"Property Management Exps"}</definedName>
    <definedName name="pro_exp_bud08_5_2_2" localSheetId="6" hidden="1">{"ROCE Summ",#N/A,FALSE,"Property Management Exps"}</definedName>
    <definedName name="pro_exp_bud08_5_2_2" hidden="1">{"ROCE Summ",#N/A,FALSE,"Property Management Exps"}</definedName>
    <definedName name="pro_exp_bud08_5_3" localSheetId="6" hidden="1">{"ROCE Summ",#N/A,FALSE,"Property Management Exps"}</definedName>
    <definedName name="pro_exp_bud08_5_3" hidden="1">{"ROCE Summ",#N/A,FALSE,"Property Management Exps"}</definedName>
    <definedName name="pro_exp_bud08_5_3_1" localSheetId="6" hidden="1">{"ROCE Summ",#N/A,FALSE,"Property Management Exps"}</definedName>
    <definedName name="pro_exp_bud08_5_3_1" hidden="1">{"ROCE Summ",#N/A,FALSE,"Property Management Exps"}</definedName>
    <definedName name="pro_exp_bud08_5_4" localSheetId="6" hidden="1">{"ROCE Summ",#N/A,FALSE,"Property Management Exps"}</definedName>
    <definedName name="pro_exp_bud08_5_4" hidden="1">{"ROCE Summ",#N/A,FALSE,"Property Management Exps"}</definedName>
    <definedName name="PRO_FORMA_BASIC_EPS" hidden="1">"PRO_FORMA_BASIC_EPS"</definedName>
    <definedName name="PRO_FORMA_DILUT_EPS" hidden="1">"PRO_FORMA_DILUT_EPS"</definedName>
    <definedName name="PRO_FORMA_NET_INC" hidden="1">"PRO_FORMA_NET_INC"</definedName>
    <definedName name="Procef" localSheetId="0" hidden="1">{#N/A,#N/A,FALSE,"Pharm";#N/A,#N/A,FALSE,"WWCM"}</definedName>
    <definedName name="Procef" localSheetId="6" hidden="1">{#N/A,#N/A,FALSE,"Pharm";#N/A,#N/A,FALSE,"WWCM"}</definedName>
    <definedName name="Procef" hidden="1">{#N/A,#N/A,FALSE,"Pharm";#N/A,#N/A,FALSE,"WWCM"}</definedName>
    <definedName name="Procef_1" localSheetId="0" hidden="1">{#N/A,#N/A,FALSE,"Pharm";#N/A,#N/A,FALSE,"WWCM"}</definedName>
    <definedName name="Procef_1" localSheetId="6" hidden="1">{#N/A,#N/A,FALSE,"Pharm";#N/A,#N/A,FALSE,"WWCM"}</definedName>
    <definedName name="Procef_1" hidden="1">{#N/A,#N/A,FALSE,"Pharm";#N/A,#N/A,FALSE,"WWCM"}</definedName>
    <definedName name="Procef_1_1" localSheetId="0" hidden="1">{#N/A,#N/A,FALSE,"Pharm";#N/A,#N/A,FALSE,"WWCM"}</definedName>
    <definedName name="Procef_1_1" localSheetId="6" hidden="1">{#N/A,#N/A,FALSE,"Pharm";#N/A,#N/A,FALSE,"WWCM"}</definedName>
    <definedName name="Procef_1_1" hidden="1">{#N/A,#N/A,FALSE,"Pharm";#N/A,#N/A,FALSE,"WWCM"}</definedName>
    <definedName name="Procef_2" localSheetId="0" hidden="1">{#N/A,#N/A,FALSE,"Pharm";#N/A,#N/A,FALSE,"WWCM"}</definedName>
    <definedName name="Procef_2" localSheetId="6" hidden="1">{#N/A,#N/A,FALSE,"Pharm";#N/A,#N/A,FALSE,"WWCM"}</definedName>
    <definedName name="Procef_2" hidden="1">{#N/A,#N/A,FALSE,"Pharm";#N/A,#N/A,FALSE,"WWCM"}</definedName>
    <definedName name="Procef_3" localSheetId="0" hidden="1">{#N/A,#N/A,FALSE,"Pharm";#N/A,#N/A,FALSE,"WWCM"}</definedName>
    <definedName name="Procef_3" localSheetId="6" hidden="1">{#N/A,#N/A,FALSE,"Pharm";#N/A,#N/A,FALSE,"WWCM"}</definedName>
    <definedName name="Procef_3" hidden="1">{#N/A,#N/A,FALSE,"Pharm";#N/A,#N/A,FALSE,"WWCM"}</definedName>
    <definedName name="Procef_4" localSheetId="0" hidden="1">{#N/A,#N/A,FALSE,"Pharm";#N/A,#N/A,FALSE,"WWCM"}</definedName>
    <definedName name="Procef_4" localSheetId="6" hidden="1">{#N/A,#N/A,FALSE,"Pharm";#N/A,#N/A,FALSE,"WWCM"}</definedName>
    <definedName name="Procef_4" hidden="1">{#N/A,#N/A,FALSE,"Pharm";#N/A,#N/A,FALSE,"WWCM"}</definedName>
    <definedName name="Procef_5" localSheetId="0" hidden="1">{#N/A,#N/A,FALSE,"Pharm";#N/A,#N/A,FALSE,"WWCM"}</definedName>
    <definedName name="Procef_5" localSheetId="6" hidden="1">{#N/A,#N/A,FALSE,"Pharm";#N/A,#N/A,FALSE,"WWCM"}</definedName>
    <definedName name="Procef_5" hidden="1">{#N/A,#N/A,FALSE,"Pharm";#N/A,#N/A,FALSE,"WWCM"}</definedName>
    <definedName name="prod" localSheetId="0" hidden="1">{#N/A,#N/A,FALSE,"Pharm";#N/A,#N/A,FALSE,"WWCM"}</definedName>
    <definedName name="prod" localSheetId="6" hidden="1">{#N/A,#N/A,FALSE,"Pharm";#N/A,#N/A,FALSE,"WWCM"}</definedName>
    <definedName name="prod" hidden="1">{#N/A,#N/A,FALSE,"Pharm";#N/A,#N/A,FALSE,"WWCM"}</definedName>
    <definedName name="prod_1" localSheetId="0" hidden="1">{#N/A,#N/A,FALSE,"Pharm";#N/A,#N/A,FALSE,"WWCM"}</definedName>
    <definedName name="prod_1" localSheetId="6" hidden="1">{#N/A,#N/A,FALSE,"Pharm";#N/A,#N/A,FALSE,"WWCM"}</definedName>
    <definedName name="prod_1" hidden="1">{#N/A,#N/A,FALSE,"Pharm";#N/A,#N/A,FALSE,"WWCM"}</definedName>
    <definedName name="prod_1_1" localSheetId="0" hidden="1">{#N/A,#N/A,FALSE,"Pharm";#N/A,#N/A,FALSE,"WWCM"}</definedName>
    <definedName name="prod_1_1" localSheetId="6" hidden="1">{#N/A,#N/A,FALSE,"Pharm";#N/A,#N/A,FALSE,"WWCM"}</definedName>
    <definedName name="prod_1_1" hidden="1">{#N/A,#N/A,FALSE,"Pharm";#N/A,#N/A,FALSE,"WWCM"}</definedName>
    <definedName name="prod_2" localSheetId="0" hidden="1">{#N/A,#N/A,FALSE,"Pharm";#N/A,#N/A,FALSE,"WWCM"}</definedName>
    <definedName name="prod_2" localSheetId="6" hidden="1">{#N/A,#N/A,FALSE,"Pharm";#N/A,#N/A,FALSE,"WWCM"}</definedName>
    <definedName name="prod_2" hidden="1">{#N/A,#N/A,FALSE,"Pharm";#N/A,#N/A,FALSE,"WWCM"}</definedName>
    <definedName name="prod_3" localSheetId="0" hidden="1">{#N/A,#N/A,FALSE,"Pharm";#N/A,#N/A,FALSE,"WWCM"}</definedName>
    <definedName name="prod_3" localSheetId="6" hidden="1">{#N/A,#N/A,FALSE,"Pharm";#N/A,#N/A,FALSE,"WWCM"}</definedName>
    <definedName name="prod_3" hidden="1">{#N/A,#N/A,FALSE,"Pharm";#N/A,#N/A,FALSE,"WWCM"}</definedName>
    <definedName name="prod_4" localSheetId="0" hidden="1">{#N/A,#N/A,FALSE,"Pharm";#N/A,#N/A,FALSE,"WWCM"}</definedName>
    <definedName name="prod_4" localSheetId="6" hidden="1">{#N/A,#N/A,FALSE,"Pharm";#N/A,#N/A,FALSE,"WWCM"}</definedName>
    <definedName name="prod_4" hidden="1">{#N/A,#N/A,FALSE,"Pharm";#N/A,#N/A,FALSE,"WWCM"}</definedName>
    <definedName name="prod_5" localSheetId="0" hidden="1">{#N/A,#N/A,FALSE,"Pharm";#N/A,#N/A,FALSE,"WWCM"}</definedName>
    <definedName name="prod_5" localSheetId="6" hidden="1">{#N/A,#N/A,FALSE,"Pharm";#N/A,#N/A,FALSE,"WWCM"}</definedName>
    <definedName name="prod_5" hidden="1">{#N/A,#N/A,FALSE,"Pharm";#N/A,#N/A,FALSE,"WWCM"}</definedName>
    <definedName name="ProdForm" hidden="1">#REF!</definedName>
    <definedName name="product">OFFSET(#REF!,0,0,COUNTA(#REF!)-COUNTA(#REF!),1)</definedName>
    <definedName name="Product_Code1" hidden="1">#REF!</definedName>
    <definedName name="Product_Code2" hidden="1">#REF!</definedName>
    <definedName name="Product_Code3" hidden="1">#REF!</definedName>
    <definedName name="Product_Code4" hidden="1">#REF!</definedName>
    <definedName name="Product_Code5" hidden="1">#REF!</definedName>
    <definedName name="Product_Code6" hidden="1">#REF!</definedName>
    <definedName name="Product_Desc2" hidden="1">#REF!</definedName>
    <definedName name="proformrow" hidden="1">#REF!</definedName>
    <definedName name="Proj_Exp_Bud_07" localSheetId="6" hidden="1">{#N/A,#N/A,FALSE,"Scenario PivotTable"}</definedName>
    <definedName name="Proj_Exp_Bud_07" hidden="1">{#N/A,#N/A,FALSE,"Scenario PivotTable"}</definedName>
    <definedName name="Proj_Exp_Bud_07_1" localSheetId="6" hidden="1">{#N/A,#N/A,FALSE,"Scenario PivotTable"}</definedName>
    <definedName name="Proj_Exp_Bud_07_1" hidden="1">{#N/A,#N/A,FALSE,"Scenario PivotTable"}</definedName>
    <definedName name="Proj_Exp_Bud_07_1_1" localSheetId="6" hidden="1">{#N/A,#N/A,FALSE,"Scenario PivotTable"}</definedName>
    <definedName name="Proj_Exp_Bud_07_1_1" hidden="1">{#N/A,#N/A,FALSE,"Scenario PivotTable"}</definedName>
    <definedName name="Proj_Exp_Bud_07_1_1_1" localSheetId="6" hidden="1">{#N/A,#N/A,FALSE,"Scenario PivotTable"}</definedName>
    <definedName name="Proj_Exp_Bud_07_1_1_1" hidden="1">{#N/A,#N/A,FALSE,"Scenario PivotTable"}</definedName>
    <definedName name="Proj_Exp_Bud_07_1_1_1_1" localSheetId="6" hidden="1">{#N/A,#N/A,FALSE,"Scenario PivotTable"}</definedName>
    <definedName name="Proj_Exp_Bud_07_1_1_1_1" hidden="1">{#N/A,#N/A,FALSE,"Scenario PivotTable"}</definedName>
    <definedName name="Proj_Exp_Bud_07_1_1_2" localSheetId="6" hidden="1">{#N/A,#N/A,FALSE,"Scenario PivotTable"}</definedName>
    <definedName name="Proj_Exp_Bud_07_1_1_2" hidden="1">{#N/A,#N/A,FALSE,"Scenario PivotTable"}</definedName>
    <definedName name="Proj_Exp_Bud_07_1_1_2_1" localSheetId="6" hidden="1">{#N/A,#N/A,FALSE,"Scenario PivotTable"}</definedName>
    <definedName name="Proj_Exp_Bud_07_1_1_2_1" hidden="1">{#N/A,#N/A,FALSE,"Scenario PivotTable"}</definedName>
    <definedName name="Proj_Exp_Bud_07_1_1_3" localSheetId="6" hidden="1">{#N/A,#N/A,FALSE,"Scenario PivotTable"}</definedName>
    <definedName name="Proj_Exp_Bud_07_1_1_3" hidden="1">{#N/A,#N/A,FALSE,"Scenario PivotTable"}</definedName>
    <definedName name="Proj_Exp_Bud_07_1_2" localSheetId="6" hidden="1">{#N/A,#N/A,FALSE,"Scenario PivotTable"}</definedName>
    <definedName name="Proj_Exp_Bud_07_1_2" hidden="1">{#N/A,#N/A,FALSE,"Scenario PivotTable"}</definedName>
    <definedName name="Proj_Exp_Bud_07_1_2_1" localSheetId="6" hidden="1">{#N/A,#N/A,FALSE,"Scenario PivotTable"}</definedName>
    <definedName name="Proj_Exp_Bud_07_1_2_1" hidden="1">{#N/A,#N/A,FALSE,"Scenario PivotTable"}</definedName>
    <definedName name="Proj_Exp_Bud_07_1_2_1_1" localSheetId="6" hidden="1">{#N/A,#N/A,FALSE,"Scenario PivotTable"}</definedName>
    <definedName name="Proj_Exp_Bud_07_1_2_1_1" hidden="1">{#N/A,#N/A,FALSE,"Scenario PivotTable"}</definedName>
    <definedName name="Proj_Exp_Bud_07_1_2_2" localSheetId="6" hidden="1">{#N/A,#N/A,FALSE,"Scenario PivotTable"}</definedName>
    <definedName name="Proj_Exp_Bud_07_1_2_2" hidden="1">{#N/A,#N/A,FALSE,"Scenario PivotTable"}</definedName>
    <definedName name="Proj_Exp_Bud_07_1_3" localSheetId="6" hidden="1">{#N/A,#N/A,FALSE,"Scenario PivotTable"}</definedName>
    <definedName name="Proj_Exp_Bud_07_1_3" hidden="1">{#N/A,#N/A,FALSE,"Scenario PivotTable"}</definedName>
    <definedName name="Proj_Exp_Bud_07_1_3_1" localSheetId="6" hidden="1">{#N/A,#N/A,FALSE,"Scenario PivotTable"}</definedName>
    <definedName name="Proj_Exp_Bud_07_1_3_1" hidden="1">{#N/A,#N/A,FALSE,"Scenario PivotTable"}</definedName>
    <definedName name="Proj_Exp_Bud_07_1_4" localSheetId="6" hidden="1">{#N/A,#N/A,FALSE,"Scenario PivotTable"}</definedName>
    <definedName name="Proj_Exp_Bud_07_1_4" hidden="1">{#N/A,#N/A,FALSE,"Scenario PivotTable"}</definedName>
    <definedName name="Proj_Exp_Bud_07_2" localSheetId="6" hidden="1">{#N/A,#N/A,FALSE,"Scenario PivotTable"}</definedName>
    <definedName name="Proj_Exp_Bud_07_2" hidden="1">{#N/A,#N/A,FALSE,"Scenario PivotTable"}</definedName>
    <definedName name="Proj_Exp_Bud_07_2_1" localSheetId="6" hidden="1">{#N/A,#N/A,FALSE,"Scenario PivotTable"}</definedName>
    <definedName name="Proj_Exp_Bud_07_2_1" hidden="1">{#N/A,#N/A,FALSE,"Scenario PivotTable"}</definedName>
    <definedName name="Proj_Exp_Bud_07_2_1_1" localSheetId="6" hidden="1">{#N/A,#N/A,FALSE,"Scenario PivotTable"}</definedName>
    <definedName name="Proj_Exp_Bud_07_2_1_1" hidden="1">{#N/A,#N/A,FALSE,"Scenario PivotTable"}</definedName>
    <definedName name="Proj_Exp_Bud_07_2_1_1_1" localSheetId="6" hidden="1">{#N/A,#N/A,FALSE,"Scenario PivotTable"}</definedName>
    <definedName name="Proj_Exp_Bud_07_2_1_1_1" hidden="1">{#N/A,#N/A,FALSE,"Scenario PivotTable"}</definedName>
    <definedName name="Proj_Exp_Bud_07_2_1_2" localSheetId="6" hidden="1">{#N/A,#N/A,FALSE,"Scenario PivotTable"}</definedName>
    <definedName name="Proj_Exp_Bud_07_2_1_2" hidden="1">{#N/A,#N/A,FALSE,"Scenario PivotTable"}</definedName>
    <definedName name="Proj_Exp_Bud_07_2_1_2_1" localSheetId="6" hidden="1">{#N/A,#N/A,FALSE,"Scenario PivotTable"}</definedName>
    <definedName name="Proj_Exp_Bud_07_2_1_2_1" hidden="1">{#N/A,#N/A,FALSE,"Scenario PivotTable"}</definedName>
    <definedName name="Proj_Exp_Bud_07_2_1_3" localSheetId="6" hidden="1">{#N/A,#N/A,FALSE,"Scenario PivotTable"}</definedName>
    <definedName name="Proj_Exp_Bud_07_2_1_3" hidden="1">{#N/A,#N/A,FALSE,"Scenario PivotTable"}</definedName>
    <definedName name="Proj_Exp_Bud_07_2_2" localSheetId="6" hidden="1">{#N/A,#N/A,FALSE,"Scenario PivotTable"}</definedName>
    <definedName name="Proj_Exp_Bud_07_2_2" hidden="1">{#N/A,#N/A,FALSE,"Scenario PivotTable"}</definedName>
    <definedName name="Proj_Exp_Bud_07_2_2_1" localSheetId="6" hidden="1">{#N/A,#N/A,FALSE,"Scenario PivotTable"}</definedName>
    <definedName name="Proj_Exp_Bud_07_2_2_1" hidden="1">{#N/A,#N/A,FALSE,"Scenario PivotTable"}</definedName>
    <definedName name="Proj_Exp_Bud_07_2_2_1_1" localSheetId="6" hidden="1">{#N/A,#N/A,FALSE,"Scenario PivotTable"}</definedName>
    <definedName name="Proj_Exp_Bud_07_2_2_1_1" hidden="1">{#N/A,#N/A,FALSE,"Scenario PivotTable"}</definedName>
    <definedName name="Proj_Exp_Bud_07_2_2_2" localSheetId="6" hidden="1">{#N/A,#N/A,FALSE,"Scenario PivotTable"}</definedName>
    <definedName name="Proj_Exp_Bud_07_2_2_2" hidden="1">{#N/A,#N/A,FALSE,"Scenario PivotTable"}</definedName>
    <definedName name="Proj_Exp_Bud_07_2_3" localSheetId="6" hidden="1">{#N/A,#N/A,FALSE,"Scenario PivotTable"}</definedName>
    <definedName name="Proj_Exp_Bud_07_2_3" hidden="1">{#N/A,#N/A,FALSE,"Scenario PivotTable"}</definedName>
    <definedName name="Proj_Exp_Bud_07_2_3_1" localSheetId="6" hidden="1">{#N/A,#N/A,FALSE,"Scenario PivotTable"}</definedName>
    <definedName name="Proj_Exp_Bud_07_2_3_1" hidden="1">{#N/A,#N/A,FALSE,"Scenario PivotTable"}</definedName>
    <definedName name="Proj_Exp_Bud_07_2_4" localSheetId="6" hidden="1">{#N/A,#N/A,FALSE,"Scenario PivotTable"}</definedName>
    <definedName name="Proj_Exp_Bud_07_2_4" hidden="1">{#N/A,#N/A,FALSE,"Scenario PivotTable"}</definedName>
    <definedName name="Proj_Exp_Bud_07_3" localSheetId="6" hidden="1">{#N/A,#N/A,FALSE,"Scenario PivotTable"}</definedName>
    <definedName name="Proj_Exp_Bud_07_3" hidden="1">{#N/A,#N/A,FALSE,"Scenario PivotTable"}</definedName>
    <definedName name="Proj_Exp_Bud_07_3_1" localSheetId="6" hidden="1">{#N/A,#N/A,FALSE,"Scenario PivotTable"}</definedName>
    <definedName name="Proj_Exp_Bud_07_3_1" hidden="1">{#N/A,#N/A,FALSE,"Scenario PivotTable"}</definedName>
    <definedName name="Proj_Exp_Bud_07_3_1_1" localSheetId="6" hidden="1">{#N/A,#N/A,FALSE,"Scenario PivotTable"}</definedName>
    <definedName name="Proj_Exp_Bud_07_3_1_1" hidden="1">{#N/A,#N/A,FALSE,"Scenario PivotTable"}</definedName>
    <definedName name="Proj_Exp_Bud_07_3_1_1_1" localSheetId="6" hidden="1">{#N/A,#N/A,FALSE,"Scenario PivotTable"}</definedName>
    <definedName name="Proj_Exp_Bud_07_3_1_1_1" hidden="1">{#N/A,#N/A,FALSE,"Scenario PivotTable"}</definedName>
    <definedName name="Proj_Exp_Bud_07_3_1_2" localSheetId="6" hidden="1">{#N/A,#N/A,FALSE,"Scenario PivotTable"}</definedName>
    <definedName name="Proj_Exp_Bud_07_3_1_2" hidden="1">{#N/A,#N/A,FALSE,"Scenario PivotTable"}</definedName>
    <definedName name="Proj_Exp_Bud_07_3_1_2_1" localSheetId="6" hidden="1">{#N/A,#N/A,FALSE,"Scenario PivotTable"}</definedName>
    <definedName name="Proj_Exp_Bud_07_3_1_2_1" hidden="1">{#N/A,#N/A,FALSE,"Scenario PivotTable"}</definedName>
    <definedName name="Proj_Exp_Bud_07_3_1_3" localSheetId="6" hidden="1">{#N/A,#N/A,FALSE,"Scenario PivotTable"}</definedName>
    <definedName name="Proj_Exp_Bud_07_3_1_3" hidden="1">{#N/A,#N/A,FALSE,"Scenario PivotTable"}</definedName>
    <definedName name="Proj_Exp_Bud_07_3_2" localSheetId="6" hidden="1">{#N/A,#N/A,FALSE,"Scenario PivotTable"}</definedName>
    <definedName name="Proj_Exp_Bud_07_3_2" hidden="1">{#N/A,#N/A,FALSE,"Scenario PivotTable"}</definedName>
    <definedName name="Proj_Exp_Bud_07_3_2_1" localSheetId="6" hidden="1">{#N/A,#N/A,FALSE,"Scenario PivotTable"}</definedName>
    <definedName name="Proj_Exp_Bud_07_3_2_1" hidden="1">{#N/A,#N/A,FALSE,"Scenario PivotTable"}</definedName>
    <definedName name="Proj_Exp_Bud_07_3_2_1_1" localSheetId="6" hidden="1">{#N/A,#N/A,FALSE,"Scenario PivotTable"}</definedName>
    <definedName name="Proj_Exp_Bud_07_3_2_1_1" hidden="1">{#N/A,#N/A,FALSE,"Scenario PivotTable"}</definedName>
    <definedName name="Proj_Exp_Bud_07_3_2_2" localSheetId="6" hidden="1">{#N/A,#N/A,FALSE,"Scenario PivotTable"}</definedName>
    <definedName name="Proj_Exp_Bud_07_3_2_2" hidden="1">{#N/A,#N/A,FALSE,"Scenario PivotTable"}</definedName>
    <definedName name="Proj_Exp_Bud_07_3_3" localSheetId="6" hidden="1">{#N/A,#N/A,FALSE,"Scenario PivotTable"}</definedName>
    <definedName name="Proj_Exp_Bud_07_3_3" hidden="1">{#N/A,#N/A,FALSE,"Scenario PivotTable"}</definedName>
    <definedName name="Proj_Exp_Bud_07_3_3_1" localSheetId="6" hidden="1">{#N/A,#N/A,FALSE,"Scenario PivotTable"}</definedName>
    <definedName name="Proj_Exp_Bud_07_3_3_1" hidden="1">{#N/A,#N/A,FALSE,"Scenario PivotTable"}</definedName>
    <definedName name="Proj_Exp_Bud_07_3_4" localSheetId="6" hidden="1">{#N/A,#N/A,FALSE,"Scenario PivotTable"}</definedName>
    <definedName name="Proj_Exp_Bud_07_3_4" hidden="1">{#N/A,#N/A,FALSE,"Scenario PivotTable"}</definedName>
    <definedName name="Proj_Exp_Bud_07_4" localSheetId="6" hidden="1">{#N/A,#N/A,FALSE,"Scenario PivotTable"}</definedName>
    <definedName name="Proj_Exp_Bud_07_4" hidden="1">{#N/A,#N/A,FALSE,"Scenario PivotTable"}</definedName>
    <definedName name="Proj_Exp_Bud_07_4_1" localSheetId="6" hidden="1">{#N/A,#N/A,FALSE,"Scenario PivotTable"}</definedName>
    <definedName name="Proj_Exp_Bud_07_4_1" hidden="1">{#N/A,#N/A,FALSE,"Scenario PivotTable"}</definedName>
    <definedName name="Proj_Exp_Bud_07_4_1_1" localSheetId="6" hidden="1">{#N/A,#N/A,FALSE,"Scenario PivotTable"}</definedName>
    <definedName name="Proj_Exp_Bud_07_4_1_1" hidden="1">{#N/A,#N/A,FALSE,"Scenario PivotTable"}</definedName>
    <definedName name="Proj_Exp_Bud_07_4_1_1_1" localSheetId="6" hidden="1">{#N/A,#N/A,FALSE,"Scenario PivotTable"}</definedName>
    <definedName name="Proj_Exp_Bud_07_4_1_1_1" hidden="1">{#N/A,#N/A,FALSE,"Scenario PivotTable"}</definedName>
    <definedName name="Proj_Exp_Bud_07_4_1_2" localSheetId="6" hidden="1">{#N/A,#N/A,FALSE,"Scenario PivotTable"}</definedName>
    <definedName name="Proj_Exp_Bud_07_4_1_2" hidden="1">{#N/A,#N/A,FALSE,"Scenario PivotTable"}</definedName>
    <definedName name="Proj_Exp_Bud_07_4_1_2_1" localSheetId="6" hidden="1">{#N/A,#N/A,FALSE,"Scenario PivotTable"}</definedName>
    <definedName name="Proj_Exp_Bud_07_4_1_2_1" hidden="1">{#N/A,#N/A,FALSE,"Scenario PivotTable"}</definedName>
    <definedName name="Proj_Exp_Bud_07_4_1_3" localSheetId="6" hidden="1">{#N/A,#N/A,FALSE,"Scenario PivotTable"}</definedName>
    <definedName name="Proj_Exp_Bud_07_4_1_3" hidden="1">{#N/A,#N/A,FALSE,"Scenario PivotTable"}</definedName>
    <definedName name="Proj_Exp_Bud_07_4_2" localSheetId="6" hidden="1">{#N/A,#N/A,FALSE,"Scenario PivotTable"}</definedName>
    <definedName name="Proj_Exp_Bud_07_4_2" hidden="1">{#N/A,#N/A,FALSE,"Scenario PivotTable"}</definedName>
    <definedName name="Proj_Exp_Bud_07_4_2_1" localSheetId="6" hidden="1">{#N/A,#N/A,FALSE,"Scenario PivotTable"}</definedName>
    <definedName name="Proj_Exp_Bud_07_4_2_1" hidden="1">{#N/A,#N/A,FALSE,"Scenario PivotTable"}</definedName>
    <definedName name="Proj_Exp_Bud_07_4_2_1_1" localSheetId="6" hidden="1">{#N/A,#N/A,FALSE,"Scenario PivotTable"}</definedName>
    <definedName name="Proj_Exp_Bud_07_4_2_1_1" hidden="1">{#N/A,#N/A,FALSE,"Scenario PivotTable"}</definedName>
    <definedName name="Proj_Exp_Bud_07_4_2_2" localSheetId="6" hidden="1">{#N/A,#N/A,FALSE,"Scenario PivotTable"}</definedName>
    <definedName name="Proj_Exp_Bud_07_4_2_2" hidden="1">{#N/A,#N/A,FALSE,"Scenario PivotTable"}</definedName>
    <definedName name="Proj_Exp_Bud_07_4_3" localSheetId="6" hidden="1">{#N/A,#N/A,FALSE,"Scenario PivotTable"}</definedName>
    <definedName name="Proj_Exp_Bud_07_4_3" hidden="1">{#N/A,#N/A,FALSE,"Scenario PivotTable"}</definedName>
    <definedName name="Proj_Exp_Bud_07_4_3_1" localSheetId="6" hidden="1">{#N/A,#N/A,FALSE,"Scenario PivotTable"}</definedName>
    <definedName name="Proj_Exp_Bud_07_4_3_1" hidden="1">{#N/A,#N/A,FALSE,"Scenario PivotTable"}</definedName>
    <definedName name="Proj_Exp_Bud_07_4_4" localSheetId="6" hidden="1">{#N/A,#N/A,FALSE,"Scenario PivotTable"}</definedName>
    <definedName name="Proj_Exp_Bud_07_4_4" hidden="1">{#N/A,#N/A,FALSE,"Scenario PivotTable"}</definedName>
    <definedName name="Proj_Exp_Bud_07_5" localSheetId="6" hidden="1">{#N/A,#N/A,FALSE,"Scenario PivotTable"}</definedName>
    <definedName name="Proj_Exp_Bud_07_5" hidden="1">{#N/A,#N/A,FALSE,"Scenario PivotTable"}</definedName>
    <definedName name="Proj_Exp_Bud_07_5_1" localSheetId="6" hidden="1">{#N/A,#N/A,FALSE,"Scenario PivotTable"}</definedName>
    <definedName name="Proj_Exp_Bud_07_5_1" hidden="1">{#N/A,#N/A,FALSE,"Scenario PivotTable"}</definedName>
    <definedName name="Proj_Exp_Bud_07_5_1_1" localSheetId="6" hidden="1">{#N/A,#N/A,FALSE,"Scenario PivotTable"}</definedName>
    <definedName name="Proj_Exp_Bud_07_5_1_1" hidden="1">{#N/A,#N/A,FALSE,"Scenario PivotTable"}</definedName>
    <definedName name="Proj_Exp_Bud_07_5_1_1_1" localSheetId="6" hidden="1">{#N/A,#N/A,FALSE,"Scenario PivotTable"}</definedName>
    <definedName name="Proj_Exp_Bud_07_5_1_1_1" hidden="1">{#N/A,#N/A,FALSE,"Scenario PivotTable"}</definedName>
    <definedName name="Proj_Exp_Bud_07_5_1_2" localSheetId="6" hidden="1">{#N/A,#N/A,FALSE,"Scenario PivotTable"}</definedName>
    <definedName name="Proj_Exp_Bud_07_5_1_2" hidden="1">{#N/A,#N/A,FALSE,"Scenario PivotTable"}</definedName>
    <definedName name="Proj_Exp_Bud_07_5_1_2_1" localSheetId="6" hidden="1">{#N/A,#N/A,FALSE,"Scenario PivotTable"}</definedName>
    <definedName name="Proj_Exp_Bud_07_5_1_2_1" hidden="1">{#N/A,#N/A,FALSE,"Scenario PivotTable"}</definedName>
    <definedName name="Proj_Exp_Bud_07_5_1_3" localSheetId="6" hidden="1">{#N/A,#N/A,FALSE,"Scenario PivotTable"}</definedName>
    <definedName name="Proj_Exp_Bud_07_5_1_3" hidden="1">{#N/A,#N/A,FALSE,"Scenario PivotTable"}</definedName>
    <definedName name="Proj_Exp_Bud_07_5_2" localSheetId="6" hidden="1">{#N/A,#N/A,FALSE,"Scenario PivotTable"}</definedName>
    <definedName name="Proj_Exp_Bud_07_5_2" hidden="1">{#N/A,#N/A,FALSE,"Scenario PivotTable"}</definedName>
    <definedName name="Proj_Exp_Bud_07_5_2_1" localSheetId="6" hidden="1">{#N/A,#N/A,FALSE,"Scenario PivotTable"}</definedName>
    <definedName name="Proj_Exp_Bud_07_5_2_1" hidden="1">{#N/A,#N/A,FALSE,"Scenario PivotTable"}</definedName>
    <definedName name="Proj_Exp_Bud_07_5_2_1_1" localSheetId="6" hidden="1">{#N/A,#N/A,FALSE,"Scenario PivotTable"}</definedName>
    <definedName name="Proj_Exp_Bud_07_5_2_1_1" hidden="1">{#N/A,#N/A,FALSE,"Scenario PivotTable"}</definedName>
    <definedName name="Proj_Exp_Bud_07_5_2_2" localSheetId="6" hidden="1">{#N/A,#N/A,FALSE,"Scenario PivotTable"}</definedName>
    <definedName name="Proj_Exp_Bud_07_5_2_2" hidden="1">{#N/A,#N/A,FALSE,"Scenario PivotTable"}</definedName>
    <definedName name="Proj_Exp_Bud_07_5_3" localSheetId="6" hidden="1">{#N/A,#N/A,FALSE,"Scenario PivotTable"}</definedName>
    <definedName name="Proj_Exp_Bud_07_5_3" hidden="1">{#N/A,#N/A,FALSE,"Scenario PivotTable"}</definedName>
    <definedName name="Proj_Exp_Bud_07_5_3_1" localSheetId="6" hidden="1">{#N/A,#N/A,FALSE,"Scenario PivotTable"}</definedName>
    <definedName name="Proj_Exp_Bud_07_5_3_1" hidden="1">{#N/A,#N/A,FALSE,"Scenario PivotTable"}</definedName>
    <definedName name="Proj_Exp_Bud_07_5_4" localSheetId="6" hidden="1">{#N/A,#N/A,FALSE,"Scenario PivotTable"}</definedName>
    <definedName name="Proj_Exp_Bud_07_5_4" hidden="1">{#N/A,#N/A,FALSE,"Scenario PivotTable"}</definedName>
    <definedName name="proj_name">#REF!</definedName>
    <definedName name="Proj_Sensitivity_Constrcution_Cost">#REF!</definedName>
    <definedName name="Proj_Sensitivity_Construction_Cost_1">#REF!</definedName>
    <definedName name="Proj_Sensitivity_Construction_Cost_2">#REF!</definedName>
    <definedName name="Proj_Sensitivity_Construction_Cost_3">#REF!</definedName>
    <definedName name="Proj_Sensitivity_No_of_Floors_Resd_Spc">#REF!</definedName>
    <definedName name="Proj_Sensitivity_No_of_Floors_Resd_Spc_1">#REF!</definedName>
    <definedName name="Proj_Sensitivity_No_of_Floors_Resd_Spc_2">#REF!</definedName>
    <definedName name="Proj_Sensitivity_No_of_Floors_Resd_Spc_3">#REF!</definedName>
    <definedName name="Proj_Sensitivity_NPV_Discount_Rates">#REF!</definedName>
    <definedName name="projdate">#REF!</definedName>
    <definedName name="projdepamort" hidden="1">#REF!</definedName>
    <definedName name="Project_Construction_Start_Date">#REF!</definedName>
    <definedName name="Project_Name">#REF!</definedName>
    <definedName name="Project_Starting_Date">#REF!</definedName>
    <definedName name="projection_start">#REF!</definedName>
    <definedName name="projedate">#REF!</definedName>
    <definedName name="projepsstart" hidden="1">#REF!</definedName>
    <definedName name="projint" hidden="1">#REF!</definedName>
    <definedName name="projrev" hidden="1">#REF!</definedName>
    <definedName name="projtax" hidden="1">#REF!</definedName>
    <definedName name="prolinks_0057a90cf7134398ad2f066c1ed87580" hidden="1">#REF!</definedName>
    <definedName name="prolinks_01b7cc6a45f642da93dae97c7fe7a6e9" hidden="1">#REF!</definedName>
    <definedName name="prolinks_01d1f8d6ad5147a6bbec2306f65fdcbb" hidden="1">#REF!</definedName>
    <definedName name="prolinks_02eb6a5f95e34f818452ea6385107aa8" hidden="1">#REF!</definedName>
    <definedName name="prolinks_0488808a7ee34db2ad7acab69f5dc3a6" hidden="1">#REF!</definedName>
    <definedName name="prolinks_051d792670834c3197998ac8b69b365b" hidden="1">#REF!</definedName>
    <definedName name="prolinks_05c4b41146274d77950e313854739d46" hidden="1">#REF!</definedName>
    <definedName name="prolinks_0625ae1bee4646068e9f7d558e073da2" hidden="1">#REF!</definedName>
    <definedName name="prolinks_07454bfb21b647d68a5a74f7f364a7b6" hidden="1">#REF!</definedName>
    <definedName name="prolinks_07ae317bb0f6438abd448093791bd0bf" hidden="1">#REF!</definedName>
    <definedName name="prolinks_095234ad156646fc973e39888e93c0a6" hidden="1">#REF!</definedName>
    <definedName name="prolinks_09c45e1257864adca8c429bf179be389" hidden="1">#REF!</definedName>
    <definedName name="prolinks_09d6c0380a444ad19910824ef8dd3f72" hidden="1">#REF!</definedName>
    <definedName name="prolinks_0a367da1520b40ff93fa843c4d9eae96" hidden="1">#REF!</definedName>
    <definedName name="prolinks_0a9117df9c0f4386bc508f634ac7c1dc" hidden="1">#REF!</definedName>
    <definedName name="prolinks_0c45dcd2c5ab43839358dad9fe563814" hidden="1">#REF!</definedName>
    <definedName name="prolinks_0c4a2165927a4bd39cd1e94eb41d4a95" hidden="1">#REF!</definedName>
    <definedName name="prolinks_0cae81cf0b5940729de431206c060b0e" hidden="1">#REF!</definedName>
    <definedName name="prolinks_0d226f6667664ff9b6f44a9aed7c4c51" hidden="1">#REF!</definedName>
    <definedName name="prolinks_0dc371c96eb14dea8653769238c1f4a8" hidden="1">#REF!</definedName>
    <definedName name="prolinks_0f285665cc824bd39e1e86ec66040aeb" hidden="1">#REF!</definedName>
    <definedName name="prolinks_0f54f5f5a7924595bc75eb1824f81a45" hidden="1">#REF!</definedName>
    <definedName name="prolinks_104a2122c8904c90aa749b265c433cf9" hidden="1">#REF!</definedName>
    <definedName name="prolinks_107e6b4334fe422386226e574f255aad" hidden="1">#REF!</definedName>
    <definedName name="prolinks_10d9508cdc1a4835a1fd398f8cd3c9b3" hidden="1">#REF!</definedName>
    <definedName name="prolinks_127f546198fb4b00af86253a6a39381f" hidden="1">#REF!</definedName>
    <definedName name="prolinks_13a98a77a07940049c2c0156a8bf7af5" hidden="1">#REF!</definedName>
    <definedName name="prolinks_161f2b2505164b13a54ea559d8747c1f" hidden="1">#REF!</definedName>
    <definedName name="prolinks_1632df0773964d589d51bf7e6c27b772" hidden="1">#REF!</definedName>
    <definedName name="prolinks_16d10e3d41db469588696a0a6c061183" hidden="1">#REF!</definedName>
    <definedName name="prolinks_18837248ebab420ab87bcd498de90359" hidden="1">#REF!</definedName>
    <definedName name="prolinks_1926eefa96ce44559b31ff3d68b3a5cb" hidden="1">#REF!</definedName>
    <definedName name="prolinks_1932a4c1cbbd44859fea374d8a668939" hidden="1">#REF!</definedName>
    <definedName name="prolinks_195934df754243dfac39bc5c952803d8" hidden="1">#REF!</definedName>
    <definedName name="prolinks_1a00fa6ece4f4d578e8f977925b4f990" hidden="1">#REF!</definedName>
    <definedName name="prolinks_1a91eeb0251644bd80f1867a4b72ba6c" hidden="1">#REF!</definedName>
    <definedName name="prolinks_1adc2cb849bc4d569c3254e443f49add" hidden="1">#REF!</definedName>
    <definedName name="prolinks_1bc0bd159ec645e1afb153bc1f9dba67" hidden="1">#REF!</definedName>
    <definedName name="prolinks_1bd7444315874b4396bfe8a56b44faef" hidden="1">#REF!</definedName>
    <definedName name="prolinks_1cade949a80448669743fd5dc08d1e4e" hidden="1">#REF!</definedName>
    <definedName name="prolinks_1cc4b4fa0bc14707907dd81fc47654bf" hidden="1">#REF!</definedName>
    <definedName name="prolinks_1cd9613e968346a3a09c083c81bf9cc4" hidden="1">#REF!</definedName>
    <definedName name="prolinks_1d719517ebdd4399b90931a60b0bd25a" hidden="1">#REF!</definedName>
    <definedName name="prolinks_1f4828050e6c4b029b6dce714593fd4b" hidden="1">#REF!</definedName>
    <definedName name="prolinks_1f844d2874cc4879948ac0bbb818309a" hidden="1">#REF!</definedName>
    <definedName name="prolinks_20394526da5f491a978d8331ca5a495c" hidden="1">#REF!</definedName>
    <definedName name="prolinks_208bc04b6c9c486e92948a4e28cd8f2a" hidden="1">#REF!</definedName>
    <definedName name="prolinks_216c6c6d24b740909c627e1bab839148" hidden="1">#REF!</definedName>
    <definedName name="prolinks_21e7518c40c240eeab4a5a85cee38640" hidden="1">#REF!</definedName>
    <definedName name="prolinks_2295626bd6c24938a8bba6cac35514ba" hidden="1">#REF!</definedName>
    <definedName name="prolinks_232efe3307124753b1374fb8eb644e18" hidden="1">#REF!</definedName>
    <definedName name="prolinks_244e2f36b45e4dae9cee2419d17f0cf1" hidden="1">#REF!</definedName>
    <definedName name="prolinks_2881d1462bb448a383e8216698ab4f96" hidden="1">#REF!</definedName>
    <definedName name="prolinks_2889b8e818a042b0bc5b6d9b51e3361c" hidden="1">#REF!</definedName>
    <definedName name="prolinks_2b150b45f4d94ef4b70d84c58933e8ca" hidden="1">#REF!</definedName>
    <definedName name="prolinks_2b6d5e4df2a0468896fc94eb057fd820" hidden="1">#REF!</definedName>
    <definedName name="prolinks_2b88af1b2ed64c88a0424915d54188a0" hidden="1">#REF!</definedName>
    <definedName name="prolinks_2bb2ebf978e944619368eefa7bc43c7d" hidden="1">#REF!</definedName>
    <definedName name="prolinks_2dc67e69c6204a88ae773757ebf981f8" hidden="1">#REF!</definedName>
    <definedName name="prolinks_2ddbdaa8f3284c24816e42aa626871a0" hidden="1">#REF!</definedName>
    <definedName name="prolinks_2f0ac91b6132457fa606b157ed2ef79c" hidden="1">#REF!</definedName>
    <definedName name="prolinks_2f7b00dc3e854c6e8379ec1d343059d4" hidden="1">#REF!</definedName>
    <definedName name="prolinks_2fb6d07e85be47668da4b95e44cb1d26" hidden="1">#REF!</definedName>
    <definedName name="prolinks_2ffcd8824aa24aa18ab19e663f933de9" hidden="1">#REF!</definedName>
    <definedName name="prolinks_305f6fef62f940fd998f1e57c4c948ff" hidden="1">#REF!</definedName>
    <definedName name="prolinks_3081052eedf44d0a9f7c01ac96e4b30c" hidden="1">#REF!</definedName>
    <definedName name="prolinks_30a4b92075a9404c96084dafc1fcaa0f" hidden="1">#REF!</definedName>
    <definedName name="prolinks_30c6be0ef3204ac3979d182ecd1cfdac" hidden="1">#REF!</definedName>
    <definedName name="prolinks_322a39882eee468aae298af9f7944fdc" hidden="1">#REF!</definedName>
    <definedName name="prolinks_327e7be91c9a474ea433fa8fc23ea58c" hidden="1">#REF!</definedName>
    <definedName name="prolinks_32a68730142e49e0b59173ceadebcb70" hidden="1">#REF!</definedName>
    <definedName name="prolinks_340c4609a1b4487d80741d96d0fb84e7" hidden="1">#REF!</definedName>
    <definedName name="prolinks_34318c89cdbb42e2949dfb3b3793a12b" hidden="1">#REF!</definedName>
    <definedName name="prolinks_3547501afc5749c988b104cb1222c231" hidden="1">#REF!</definedName>
    <definedName name="prolinks_35f98c4ecfff4a26a84c2902fb2b2094" hidden="1">#REF!</definedName>
    <definedName name="prolinks_360a4d09f88d4b7c8bad71ccd11d1368" hidden="1">#REF!</definedName>
    <definedName name="prolinks_360aa3a4fb9e4b86952e0acae789e125" hidden="1">#REF!</definedName>
    <definedName name="prolinks_362d4972655e4f809836bdd4a189a427" hidden="1">#REF!</definedName>
    <definedName name="prolinks_371394ab076344c9b2c09c3c66d94543" hidden="1">#REF!</definedName>
    <definedName name="prolinks_37f5d489cbfc4aa5851b9ef4860b37e1" hidden="1">#REF!</definedName>
    <definedName name="prolinks_38aac25f6e54417dad6c7fd4ab380658" hidden="1">#REF!</definedName>
    <definedName name="prolinks_3a8137f9e22445568a87cdedee61c18e" hidden="1">#REF!</definedName>
    <definedName name="prolinks_3a8febd2a5e949f1966b20995e638cfc" hidden="1">#REF!</definedName>
    <definedName name="prolinks_3aa7f3fa8a48452e9c788baf5b2e26b3" hidden="1">#REF!</definedName>
    <definedName name="prolinks_3b0dbeee42b048b8aaf7d7f5154a2ae8" hidden="1">#REF!</definedName>
    <definedName name="prolinks_3c0416100cce44f48bd11cbef98d32e4" hidden="1">#REF!</definedName>
    <definedName name="prolinks_3c5c835cbd074410a85db12a49c8ea6a" hidden="1">#REF!</definedName>
    <definedName name="prolinks_3f9404409e4644db8f25d5405fe38d1c" hidden="1">#REF!</definedName>
    <definedName name="prolinks_3feb2399180c4dda915ffa7191d07cb4" hidden="1">#REF!</definedName>
    <definedName name="prolinks_3ff048b1d6d7491abd92a37ecd6fd56c" hidden="1">#REF!</definedName>
    <definedName name="prolinks_404df77aca0947d5aeab9f8ed69476ae" hidden="1">#REF!</definedName>
    <definedName name="prolinks_40d69bc0f1024d96b1b5bcfeae726aa2" hidden="1">#REF!</definedName>
    <definedName name="prolinks_4172ee7d899d4e8da155773b4e3da16f" hidden="1">#REF!</definedName>
    <definedName name="prolinks_419b0a0f81e843b29643b3b5a2e673b4" hidden="1">#REF!</definedName>
    <definedName name="prolinks_421aeafbaee3416f88077ef43b06b243" hidden="1">#REF!</definedName>
    <definedName name="prolinks_4238c815f84345b49787a423bb6524ca" hidden="1">#REF!</definedName>
    <definedName name="prolinks_43aee10431b542f5b98cbde8018c8116" hidden="1">#REF!</definedName>
    <definedName name="prolinks_43b901d4b23c44378490589004c8404c" hidden="1">#REF!</definedName>
    <definedName name="prolinks_43bc95a1d73b411a9ce18076ceff7f9e" hidden="1">#REF!</definedName>
    <definedName name="prolinks_4487799770f047ddbb98720eaf9b4951" hidden="1">#REF!</definedName>
    <definedName name="prolinks_455210638fde4ba5823486e2da0344c4" hidden="1">#REF!</definedName>
    <definedName name="prolinks_459e310102f04140a6cfcb71646a359c" hidden="1">#REF!</definedName>
    <definedName name="prolinks_45a61ac91c604e3db4f47fd0d053d2a1" hidden="1">#REF!</definedName>
    <definedName name="prolinks_462fd7354829467abd29b845b58aad96" hidden="1">#REF!</definedName>
    <definedName name="prolinks_46d3480cd22e4e83bb24c73011bca2d5" hidden="1">#REF!</definedName>
    <definedName name="prolinks_475c6fe61e014faebd2fbcf6eb0e5934" hidden="1">#REF!</definedName>
    <definedName name="prolinks_482afbfbcc424a8dba1c1ec480d916d3" hidden="1">#REF!</definedName>
    <definedName name="prolinks_4842faf8af0e4bb69d2f8885708a6598" hidden="1">#REF!</definedName>
    <definedName name="prolinks_484be020d0bd4065bb89804b6644f469" hidden="1">#REF!</definedName>
    <definedName name="prolinks_48a2de54eea74f8bba4dab50d97a56e9" hidden="1">#REF!</definedName>
    <definedName name="prolinks_48eddf7d19cb42b683e52de6626eb27d" hidden="1">#REF!</definedName>
    <definedName name="prolinks_496762cc116743eeb69034567f7bd647" hidden="1">#REF!</definedName>
    <definedName name="prolinks_4a090a456bc946b69c8595ce17c8082a" hidden="1">#REF!</definedName>
    <definedName name="prolinks_4c2edfe4911d4de2aa01ad72e16b0f03" hidden="1">#REF!</definedName>
    <definedName name="prolinks_4ce70cacf2644343a9222f994e9a4cd3" hidden="1">#REF!</definedName>
    <definedName name="prolinks_4cfa4bc60a8a458d8da8667e6a4ffc33" hidden="1">#REF!</definedName>
    <definedName name="prolinks_4d380e4dbd444e4eb96c777ce87f911a" hidden="1">#REF!</definedName>
    <definedName name="prolinks_4e58b6234322458a88ce0f73eb53cbdd" hidden="1">#REF!</definedName>
    <definedName name="prolinks_4ebc51acd03340b0ae7f83e0afcca91b" hidden="1">#REF!</definedName>
    <definedName name="prolinks_4ef1dd5bdec74097ba43807ed5747f15" hidden="1">#REF!</definedName>
    <definedName name="prolinks_4f9662956f2b4d17adef481befbc9a92" hidden="1">#REF!</definedName>
    <definedName name="prolinks_4fd64565724e4ea6b1872a097746c368" hidden="1">#REF!</definedName>
    <definedName name="prolinks_50cd4ee444124f1899498234109c6716" hidden="1">#REF!</definedName>
    <definedName name="prolinks_510c8a9c26bf45a3a671ac6c0e942dbd" hidden="1">#REF!</definedName>
    <definedName name="prolinks_51359261e4634eac8666bbe4c7445e4c" hidden="1">#REF!</definedName>
    <definedName name="prolinks_51d289953478433ea8a9f16a2d55b941" hidden="1">#REF!</definedName>
    <definedName name="prolinks_52d398e4fc4d4f77b46cd44932b225f4" hidden="1">#REF!</definedName>
    <definedName name="prolinks_534fac64784b459e807ddbd043c777b7" hidden="1">#REF!</definedName>
    <definedName name="prolinks_53ad253e9e174fe28fb1abe964882a53" hidden="1">#REF!</definedName>
    <definedName name="prolinks_53d0bdca27554dab81ebb3cce1d2d062" hidden="1">#REF!</definedName>
    <definedName name="prolinks_5410e0d62e8c4f9d86eb746b2f94481e" hidden="1">#REF!</definedName>
    <definedName name="prolinks_545acca8da6944c88025c3b642f2fb5c" hidden="1">#REF!</definedName>
    <definedName name="prolinks_55a351086a1e4c4a98451b8262ffd127" hidden="1">#REF!</definedName>
    <definedName name="prolinks_569e5e9bedf04a96bc573a21ff7b0657" hidden="1">#REF!</definedName>
    <definedName name="prolinks_5863397bd80e4d638ee0b4094f92361c" hidden="1">#REF!</definedName>
    <definedName name="prolinks_598e98e5d9364e908eed4e97c3a3c7a7" hidden="1">#REF!</definedName>
    <definedName name="prolinks_5a2c053b8cd14e82aa201aca77f569fb" hidden="1">#REF!</definedName>
    <definedName name="prolinks_5a375dc2f3bd46fdbd53a6d5c2dc5d25" hidden="1">#REF!</definedName>
    <definedName name="prolinks_5a8644bb4d7b4c08b63b25555c78f32e" hidden="1">#REF!</definedName>
    <definedName name="prolinks_5bd77b975e8240f2af9e7cfa1c1f2f4d" hidden="1">#REF!</definedName>
    <definedName name="prolinks_5bd8162212c347d1a672eedf804a7288" hidden="1">#REF!</definedName>
    <definedName name="prolinks_5c8ab9e5614643aeb38f748f1e831ba5" hidden="1">#REF!</definedName>
    <definedName name="prolinks_5d0fd08df7b34ab98a3d54687afebde8" hidden="1">#REF!</definedName>
    <definedName name="prolinks_5e2dbe259e004eab8e0543d40892bf98" hidden="1">#REF!</definedName>
    <definedName name="prolinks_5e945b8e94be44d7906b3cee30f40cb6" hidden="1">#REF!</definedName>
    <definedName name="prolinks_5f1c72ab3377483596b3c2e21e12b3d2" hidden="1">#REF!</definedName>
    <definedName name="prolinks_5fe09ae3534f461abd2c223e32ee1215" hidden="1">#REF!</definedName>
    <definedName name="prolinks_603785370d58418885dbbb977ea18603" hidden="1">#REF!</definedName>
    <definedName name="prolinks_61c9cc1ecf8d4333a9eb01f19bfed3a4" hidden="1">#REF!</definedName>
    <definedName name="prolinks_62b95db78a3a40f898a263332d40d7fb" hidden="1">#REF!</definedName>
    <definedName name="prolinks_6384161851724816afaeceb3fda6a298" hidden="1">#REF!</definedName>
    <definedName name="prolinks_644d3704282e4a7c94f149d683ace9d8" hidden="1">#REF!</definedName>
    <definedName name="prolinks_64d801a5786f43e78fb4314f390f33ae" hidden="1">#REF!</definedName>
    <definedName name="prolinks_669928bef256426cb12ca20f18b9a28b" hidden="1">#REF!</definedName>
    <definedName name="prolinks_669a8cdf9c8b49f0ae4c248a5638e4ab" hidden="1">#REF!</definedName>
    <definedName name="prolinks_66f6e81345024ba38b1bd0e78bf8e5fa" hidden="1">#REF!</definedName>
    <definedName name="prolinks_6941c49b73454832bc9ab86d068e1f3f" hidden="1">#REF!</definedName>
    <definedName name="prolinks_6a3ddf64bef7484483fe96251d96e6fe" hidden="1">#REF!</definedName>
    <definedName name="prolinks_6c1b992009c34858b3df70cc0592f0f0" hidden="1">#REF!</definedName>
    <definedName name="prolinks_6c5d468c3296443b91c3d09d3ba5cb55" hidden="1">#REF!</definedName>
    <definedName name="prolinks_6c6fd1c4f272408987d6eafdcbc6d7eb" hidden="1">#REF!</definedName>
    <definedName name="prolinks_6d2faaf99a484cf5a974a9ad7744bde7" hidden="1">#REF!</definedName>
    <definedName name="prolinks_6d7840cfa9c44eb09243ade6351a7835" hidden="1">#REF!</definedName>
    <definedName name="prolinks_6e82ffb3ecbb4b2b896b402391e730d0" hidden="1">#REF!</definedName>
    <definedName name="prolinks_6f81e64012b3414eb98ef0e65e95a538" hidden="1">#REF!</definedName>
    <definedName name="prolinks_6f8b1d098be2403393f04143f3c4aee7" hidden="1">#REF!</definedName>
    <definedName name="prolinks_7021966ff5b045c0b987cff9127c0519" hidden="1">#REF!</definedName>
    <definedName name="prolinks_70c1961452a540bb8dc7a6a412d34b88" hidden="1">#REF!</definedName>
    <definedName name="prolinks_7119294da534493490a0098d1d1b24e5" hidden="1">#REF!</definedName>
    <definedName name="prolinks_7121c1b2f605495f8452a0925b8a4227" hidden="1">#REF!</definedName>
    <definedName name="prolinks_71a3fcf9de4843769cc8f3933544c3a9" hidden="1">#REF!</definedName>
    <definedName name="prolinks_724c1724cd4e4627b1a5e99fd0c1130c" hidden="1">#REF!</definedName>
    <definedName name="prolinks_73977225267e44d798f484a28d2d4258" hidden="1">#REF!</definedName>
    <definedName name="prolinks_770b192bc875479d89e0130e2a1919cb" hidden="1">#REF!</definedName>
    <definedName name="prolinks_776b333d6bfd4b17a05016c0b41eba33" hidden="1">#REF!</definedName>
    <definedName name="prolinks_798a01da04ec4d96bf2e768277e6e6c7" hidden="1">#REF!</definedName>
    <definedName name="prolinks_79f64638f1e547cda96502f313f74f5e" hidden="1">#REF!</definedName>
    <definedName name="prolinks_7a7af510d86f41ef9a6f4f145d1f9fb9" hidden="1">#REF!</definedName>
    <definedName name="prolinks_7a8e8be9add74e44acf1735b68a31a42" hidden="1">#REF!</definedName>
    <definedName name="prolinks_7b0b04218e9c495fa879c6e18f9c5d71" hidden="1">#REF!</definedName>
    <definedName name="prolinks_7b4f3c7440af4f0aa1d8afc437c8f463" hidden="1">#REF!</definedName>
    <definedName name="prolinks_7b8b0528cd904896bbceaa02c2ee5050" hidden="1">#REF!</definedName>
    <definedName name="prolinks_7b9213d2870f4b2ebba97ad729ed3cc2" hidden="1">#REF!</definedName>
    <definedName name="prolinks_7c2294777dc64f7a856a9c685af6a2df" hidden="1">#REF!</definedName>
    <definedName name="prolinks_7ef0303aa4d448c8b1f283dd9be786e7" hidden="1">#REF!</definedName>
    <definedName name="prolinks_7f68003efb1c4a61bf87521666ebcc23" hidden="1">#REF!</definedName>
    <definedName name="prolinks_7fabd15053bd486d872c073eafe0ddec" hidden="1">#REF!</definedName>
    <definedName name="prolinks_8004b5348c1744228389230b7663732d" hidden="1">#REF!</definedName>
    <definedName name="prolinks_805e0a521fdf4b0086582ca7cd97bbf5" hidden="1">#REF!</definedName>
    <definedName name="prolinks_8060a3aa25e9492695e1804bac39732e" hidden="1">#REF!</definedName>
    <definedName name="prolinks_80f1ad065ac5437bac5693f48144647f" hidden="1">#REF!</definedName>
    <definedName name="prolinks_8105e92ddb5a47b79caf848c60d4210e" hidden="1">#REF!</definedName>
    <definedName name="prolinks_81d559ca233641ef957c58db28189691" hidden="1">#REF!</definedName>
    <definedName name="prolinks_8211da757a7a418a80f6dae4d414e508" hidden="1">#REF!</definedName>
    <definedName name="prolinks_82ab5eabf68546699463bd0cfba129cd" hidden="1">#REF!</definedName>
    <definedName name="prolinks_831113ded36b4bebaff690fd4d951061" hidden="1">#REF!</definedName>
    <definedName name="prolinks_840e40164fd54693aff070b1fbd8cc06" hidden="1">#REF!</definedName>
    <definedName name="prolinks_856d79c204e146cc8761654d11186a0d" hidden="1">#REF!</definedName>
    <definedName name="prolinks_868704e9b7934a1f8a9ab77defcacee8" hidden="1">#REF!</definedName>
    <definedName name="prolinks_87bd2242e7464ed38c88017946c05299" hidden="1">#REF!</definedName>
    <definedName name="prolinks_88d7941a1a0642ddb558f9e847715f73" hidden="1">#REF!</definedName>
    <definedName name="prolinks_890a3049356e4db3baed3ff0e6638adc" hidden="1">#REF!</definedName>
    <definedName name="prolinks_89892e0291ce4f5ab297490770937309" hidden="1">#REF!</definedName>
    <definedName name="prolinks_8aab516daf134447a86dbc2c4e9279fb" hidden="1">#REF!</definedName>
    <definedName name="prolinks_8ac4c5b916bf4e3aa2bab7fb52a763c4" hidden="1">#REF!</definedName>
    <definedName name="prolinks_8b459d0e4c3c4ca2976ec826167a17e5" hidden="1">#REF!</definedName>
    <definedName name="prolinks_8ba33c4b4a0c4c0a8dc1464246504a67" hidden="1">#REF!</definedName>
    <definedName name="prolinks_8cbca7d90b564575ad5b828e82060e60" hidden="1">#REF!</definedName>
    <definedName name="prolinks_8d61836589164530ba61927742e7a05c" hidden="1">#REF!</definedName>
    <definedName name="prolinks_8dc8af0bef094666a61e0775f6fc57a2" hidden="1">#REF!</definedName>
    <definedName name="prolinks_8e4fbd7d8aa94a04be17c3df74a32d68" hidden="1">#REF!</definedName>
    <definedName name="prolinks_90dbd0259b7e405b97174561e84037ed" hidden="1">#REF!</definedName>
    <definedName name="prolinks_90dd6f897f59449096f701e5bfec42d4" hidden="1">#REF!</definedName>
    <definedName name="prolinks_93685d95aaad429d93a0d7d580ac193e" hidden="1">#REF!</definedName>
    <definedName name="prolinks_93829bf4cee04ccf873302963bd090af" hidden="1">#REF!</definedName>
    <definedName name="prolinks_954340e8589f4410b4a49e81c952311d" hidden="1">#REF!</definedName>
    <definedName name="prolinks_956e53a2f9884706ae66241e54d0a073" hidden="1">#REF!</definedName>
    <definedName name="prolinks_95d0892238ba457baf03f58d04292d0c" hidden="1">#REF!</definedName>
    <definedName name="prolinks_9672015bf27242ae84fe9940255df885" hidden="1">#REF!</definedName>
    <definedName name="prolinks_9687a91242ae48c8afaf4a4836ea8545" hidden="1">#REF!</definedName>
    <definedName name="prolinks_96ab8c0479974e789864d2b61581b702" hidden="1">#REF!</definedName>
    <definedName name="prolinks_9720c7bba7bb41d6acb043387663248d" hidden="1">#REF!</definedName>
    <definedName name="prolinks_976d2015481c4c9694741202068fa132" hidden="1">#REF!</definedName>
    <definedName name="prolinks_985b531503704691ae367b1f7b8b6d41" hidden="1">#REF!</definedName>
    <definedName name="prolinks_99776846072c4156b3aaa9a99fc59c78" hidden="1">#REF!</definedName>
    <definedName name="prolinks_9b93780ac5434fa980550fbc611d3893" hidden="1">#REF!</definedName>
    <definedName name="prolinks_9bbec60d80f94cdc966823acc80ee561" hidden="1">#REF!</definedName>
    <definedName name="prolinks_9c59be116cc949fb9b68b1fc16afe67f" hidden="1">#REF!</definedName>
    <definedName name="prolinks_9c6307514ad6434e9bc279134cb0fae4" hidden="1">#REF!</definedName>
    <definedName name="prolinks_9e2b80d044c0414ab4459a90141f0811" hidden="1">#REF!</definedName>
    <definedName name="prolinks_9eb20a2412044cd78660092b8323c634" hidden="1">#REF!</definedName>
    <definedName name="prolinks_9ee90143a32f489090d69d01a24289ac" hidden="1">#REF!</definedName>
    <definedName name="prolinks_9fd90a7c971c4fbfa22f835d72e35cc3" hidden="1">#REF!</definedName>
    <definedName name="prolinks_a045a8e467354a2a99b9d6a49c5e7c2f" hidden="1">#REF!</definedName>
    <definedName name="prolinks_a12726b9af794ed39d3d0540ba51835b" hidden="1">#REF!</definedName>
    <definedName name="prolinks_a23dad4ffcfa46a6b8a73877608233f4" hidden="1">#REF!</definedName>
    <definedName name="prolinks_a254baa4732d4687b7e63061c945bcf1" hidden="1">#REF!</definedName>
    <definedName name="prolinks_a2f16bc37303441eab8fe26d0d13b8fb" hidden="1">#REF!</definedName>
    <definedName name="prolinks_a415c2515a7d41d682521a733e9ade83" hidden="1">#REF!</definedName>
    <definedName name="prolinks_a41cba1edcbb4ae19a236c5797a90221" hidden="1">#REF!</definedName>
    <definedName name="prolinks_a44dece959464a14b53871e5c8b06a7b" hidden="1">#REF!</definedName>
    <definedName name="prolinks_a4c2d49d8a754b4d81dfad6c752016a3" hidden="1">#REF!</definedName>
    <definedName name="prolinks_a4cdb2a787524ecb92136fae0b618f1c" hidden="1">#REF!</definedName>
    <definedName name="prolinks_a6206299304d4b139d5a49b298a83623" hidden="1">#REF!</definedName>
    <definedName name="prolinks_a69008edc1004b0bbeef5ea15adf9c39" hidden="1">#REF!</definedName>
    <definedName name="prolinks_a773c6b8283943c6acaf94a94ab15a5a" hidden="1">#REF!</definedName>
    <definedName name="prolinks_a7bd714f49824e0ebf22b2f36c8b537d" hidden="1">#REF!</definedName>
    <definedName name="prolinks_a7e1782bdabc4918bb5f7688da35eae7" hidden="1">#REF!</definedName>
    <definedName name="prolinks_a9b9d4e44d764974895602969cccded8" hidden="1">#REF!</definedName>
    <definedName name="prolinks_a9c88c84a2bf4c9a8a160b5ed01a7286" hidden="1">#REF!</definedName>
    <definedName name="prolinks_aa84c90501534762b0b4fcb3ce8e2f86" hidden="1">#REF!</definedName>
    <definedName name="prolinks_ab5b68f6534c44cf8662087cd297f983" hidden="1">#REF!</definedName>
    <definedName name="prolinks_ab7b78bc6e67417f85b71ce955bd81c6" hidden="1">#REF!</definedName>
    <definedName name="prolinks_abc63c2d8e86424cbce1ed07aa19e64b" hidden="1">#REF!</definedName>
    <definedName name="prolinks_abe8a7d4d98646209073f801a7f95a43" hidden="1">#REF!</definedName>
    <definedName name="prolinks_ad7e3d4d0f514398b9d81dd36831451d" hidden="1">#REF!</definedName>
    <definedName name="prolinks_ae534f3ba05e4afa81e8c643aa9590c1" hidden="1">#REF!</definedName>
    <definedName name="prolinks_af5a11be4a1c482995e5f23cd8179ca2" hidden="1">#REF!</definedName>
    <definedName name="prolinks_afb0a018f09744ccb622412ebe3665a8" hidden="1">#REF!</definedName>
    <definedName name="prolinks_b0a17e858fb04a138d55bb486f9f37e7" hidden="1">#REF!</definedName>
    <definedName name="prolinks_b17f5459252a40399fc665c6837cdd5d" hidden="1">#REF!</definedName>
    <definedName name="prolinks_b19108c99feb4da8afd28b28f7eb234e" hidden="1">#REF!</definedName>
    <definedName name="prolinks_b2a92cbc68904c3eaef185a970f84bfd" hidden="1">#REF!</definedName>
    <definedName name="prolinks_b2ff02371abc4c67aa115349bcc35ca9" hidden="1">#REF!</definedName>
    <definedName name="prolinks_b54fdec267cd471ca2c4f0549e9d11d6" hidden="1">#REF!</definedName>
    <definedName name="prolinks_b599f7b6144b41688698144d07d66a13" hidden="1">#REF!</definedName>
    <definedName name="prolinks_b6b9ecb5cd134497991cb23bbb16cfc2" hidden="1">#REF!</definedName>
    <definedName name="prolinks_b776b0fceb0248c0a4e1972196bae7d3" hidden="1">#REF!</definedName>
    <definedName name="prolinks_ba1b6f447f044f4f916b96b0d61b0239" hidden="1">#REF!</definedName>
    <definedName name="prolinks_bb062236e1ab41089b7bb9f22c0a043b" hidden="1">#REF!</definedName>
    <definedName name="prolinks_bbfc251bdcd0454b839bace6921e034b" hidden="1">#REF!</definedName>
    <definedName name="prolinks_bcc96437d5fd4c229380db4e13e6db18" hidden="1">#REF!</definedName>
    <definedName name="prolinks_bd93f098feff4345b084b1d5700aac7d" hidden="1">#REF!</definedName>
    <definedName name="prolinks_be27259bb78f42da8737d5af6fff7679" hidden="1">#REF!</definedName>
    <definedName name="prolinks_bec2252b35684fd28a52310a20b0614f" hidden="1">#REF!</definedName>
    <definedName name="prolinks_bed1f123d07c46548eecd06fef25d5f6" hidden="1">#REF!</definedName>
    <definedName name="prolinks_bf04ba35230a4c8e9667c44046a5be47" hidden="1">#REF!</definedName>
    <definedName name="prolinks_c06945f6a1064176a4aa46f623d7bd6f" hidden="1">#REF!</definedName>
    <definedName name="prolinks_c192ebd535174d61aec43cfa1d8fc1c3" hidden="1">#REF!</definedName>
    <definedName name="prolinks_c28fc00d7aca4ce9823566c98654e39d" hidden="1">#REF!</definedName>
    <definedName name="prolinks_c2c75fa9434443cfb64d151ea3c3f7da" hidden="1">#REF!</definedName>
    <definedName name="prolinks_c31c4752a85f44d48c97f22828fb9eb3" hidden="1">#REF!</definedName>
    <definedName name="prolinks_c368422ac3b748989a987ee75552eef0" hidden="1">#REF!</definedName>
    <definedName name="prolinks_c3b436c54fc748049d571b00f52c864d" hidden="1">#REF!</definedName>
    <definedName name="prolinks_c3f853a18adc4660993217e83f6d74bb" hidden="1">#REF!</definedName>
    <definedName name="prolinks_c423238cc5c2417d8da1f652454ad0bf" hidden="1">#REF!</definedName>
    <definedName name="prolinks_c4a5f31e0d1b4820a7a65613075993a1" hidden="1">#REF!</definedName>
    <definedName name="prolinks_c5280675d2854ae8b51e885a0cf07257" hidden="1">#REF!</definedName>
    <definedName name="prolinks_c5dca88554d54c0e88e5bf68ff585998" hidden="1">#REF!</definedName>
    <definedName name="prolinks_c74d6e0cfd9c4b7fa551f513367369ba" hidden="1">#REF!</definedName>
    <definedName name="prolinks_c75a2bde15344f8b99332c170de78ef8" hidden="1">#REF!</definedName>
    <definedName name="prolinks_c76fd18c9aca41aeaaf19ef429c4482e" hidden="1">#REF!</definedName>
    <definedName name="prolinks_c8deb0b7b6714fff90f3f511cd6fa9fe" hidden="1">#REF!</definedName>
    <definedName name="prolinks_ca177d3adfe1496d97041d35c7ffdf0c" hidden="1">#REF!</definedName>
    <definedName name="prolinks_cbabda819a9449b3a9c618407ad36c61" hidden="1">#REF!</definedName>
    <definedName name="prolinks_cbf358bdff7d43d1bc721b8c0982f64d" hidden="1">#REF!</definedName>
    <definedName name="prolinks_cc065f53a49e46ae8f1bbee309387dbd" hidden="1">#REF!</definedName>
    <definedName name="prolinks_cce5f020594d46259d4f2aa1cda05bd3" hidden="1">#REF!</definedName>
    <definedName name="prolinks_cd0ad57322ce457a8ea04b7e1c8ecfeb" hidden="1">#REF!</definedName>
    <definedName name="prolinks_ce65919b58fb4cf782e1acd9c1b26edd" hidden="1">#REF!</definedName>
    <definedName name="prolinks_ce9d74d173c8486b9b641144a40df4d8" hidden="1">#REF!</definedName>
    <definedName name="prolinks_ced6ed6505964e73935c4873adb3dece" hidden="1">#REF!</definedName>
    <definedName name="prolinks_cf1f46e5b1394784be17659716ace37c" hidden="1">#REF!</definedName>
    <definedName name="prolinks_cffdb1112cc24a598239f5029081d970" hidden="1">#REF!</definedName>
    <definedName name="prolinks_d1776711b3fe47d4a18e94647c48a7b0" hidden="1">#REF!</definedName>
    <definedName name="prolinks_d1a3e45d38d144bab2e7566a9c4c60a0" hidden="1">#REF!</definedName>
    <definedName name="prolinks_d3002b40a40b4f88bf426d6583bf080f" hidden="1">#REF!</definedName>
    <definedName name="prolinks_d335167b576f443a888724af95324329" hidden="1">#REF!</definedName>
    <definedName name="prolinks_d5599c3e4b3141a2bb96cf275c910b38" hidden="1">#REF!</definedName>
    <definedName name="prolinks_d55a4b00dcd64d0897ac442b6866cd82" hidden="1">#REF!</definedName>
    <definedName name="prolinks_d7232643f8c64f2e9b799f73f8b05e46" hidden="1">#REF!</definedName>
    <definedName name="prolinks_d77a9e704489453ebf5a999ba4f2b814" hidden="1">#REF!</definedName>
    <definedName name="prolinks_d79f089b661c47f4ae82f509d3cc7f19" hidden="1">#REF!</definedName>
    <definedName name="prolinks_d9acfe7c58a0419caa7f0cfdf3215a71" hidden="1">#REF!</definedName>
    <definedName name="prolinks_d9e6d50c27904341a49d9f79b31dfff7" hidden="1">#REF!</definedName>
    <definedName name="prolinks_dac291f4fe614bf795eda077d8e01343" hidden="1">#REF!</definedName>
    <definedName name="prolinks_db6b5fb2982d4713bb064f466247fd1a" hidden="1">#REF!</definedName>
    <definedName name="prolinks_db7b66ff798d45ae9537423ea493cb5f" hidden="1">#REF!</definedName>
    <definedName name="prolinks_dbba2ea48ab14106bfc5df07c2115634" hidden="1">#REF!</definedName>
    <definedName name="prolinks_dd8e639cf05841769f96bd2f42edb790" hidden="1">#REF!</definedName>
    <definedName name="prolinks_de1ddfe52beb4bb28f2a4168c6561aff" hidden="1">#REF!</definedName>
    <definedName name="prolinks_de48837f846b40b9bc1770cca431ad77" hidden="1">#REF!</definedName>
    <definedName name="prolinks_dfb0f807a69249c8a70d986b79333f15" hidden="1">#REF!</definedName>
    <definedName name="prolinks_e23571ad742e43eab70a1d368980ac63" hidden="1">#REF!</definedName>
    <definedName name="prolinks_e247162fc39e4f6385858cfcfab78f27" hidden="1">#REF!</definedName>
    <definedName name="prolinks_e29820f3d1604803bcbfded13b1ecd9a" hidden="1">#REF!</definedName>
    <definedName name="prolinks_e32115a29a934ce48db6b661b5d87536" hidden="1">#REF!</definedName>
    <definedName name="prolinks_e39994433d4744ba9d429835b06a0cc9" hidden="1">#REF!</definedName>
    <definedName name="prolinks_e3b1a9e938194b38825dfb1f4773dfdf" hidden="1">#REF!</definedName>
    <definedName name="prolinks_e3e4672eddb64cf184048fde29ce3250" hidden="1">#REF!</definedName>
    <definedName name="prolinks_e5476df6e7354e4ba4c691ede806735b" hidden="1">#REF!</definedName>
    <definedName name="prolinks_e557ecafac024ab499d1142dc00f8f60" hidden="1">#REF!</definedName>
    <definedName name="prolinks_e6bfcbb26b8a4ad296af2026c13d00e2" hidden="1">#REF!</definedName>
    <definedName name="prolinks_e91a2d26187b4c999b1f9b86dbf0b1a0" hidden="1">#REF!</definedName>
    <definedName name="prolinks_ea88ac4e02734e4fa713f8f7f21d5679" hidden="1">#REF!</definedName>
    <definedName name="prolinks_eadac6a9fd61428dacb14c6063864cd8" hidden="1">#REF!</definedName>
    <definedName name="prolinks_ec15222e6c564e149cb473e7fc317f98" hidden="1">#REF!</definedName>
    <definedName name="prolinks_ecb32afca30b4e80aff3f9331e8beb8d" hidden="1">#REF!</definedName>
    <definedName name="prolinks_ed4d438934bc4e95858f3241528f6db7" hidden="1">#REF!</definedName>
    <definedName name="prolinks_edbe935b5a924798a5743f3f21c4cfdb" hidden="1">#REF!</definedName>
    <definedName name="prolinks_ee38f739df7443a9b8cc2da038cae0d4" hidden="1">#REF!</definedName>
    <definedName name="prolinks_ef0e3fa5cb94403685340e8f7993942b" hidden="1">#REF!</definedName>
    <definedName name="prolinks_ef1d8492468549699693bdc9654db016" hidden="1">#REF!</definedName>
    <definedName name="prolinks_ef52478cd087449baafacaafb8d553f0" hidden="1">#REF!</definedName>
    <definedName name="prolinks_ef742c95c96b435f85c4960c935edfcb" hidden="1">#REF!</definedName>
    <definedName name="prolinks_f018fe971e8e4c3c98aa4a68e356628f" hidden="1">#REF!</definedName>
    <definedName name="prolinks_f13181fa765c4378b88d46c9c8ed7cc0" hidden="1">#REF!</definedName>
    <definedName name="prolinks_f1b368da8e29412faab841bde8515c37" hidden="1">#REF!</definedName>
    <definedName name="prolinks_f20819bbf566482fbfcf99f047db05e5" hidden="1">#REF!</definedName>
    <definedName name="prolinks_f2587e086a404b35b78797809b46a3da" hidden="1">#REF!</definedName>
    <definedName name="prolinks_f311468c7018431c8df5e7913b335f2a" hidden="1">#REF!</definedName>
    <definedName name="prolinks_f3cb123b97914bbc8b4668d55dcbbee4" hidden="1">#REF!</definedName>
    <definedName name="prolinks_f436454b4801417fa9923900e0faabe0" hidden="1">#REF!</definedName>
    <definedName name="prolinks_f44b3d7e49c74bbeab69f8cd0a639a8c" hidden="1">#REF!</definedName>
    <definedName name="prolinks_f687c3375da94d1cb772c18eaca27ab7" hidden="1">#REF!</definedName>
    <definedName name="prolinks_f747a01ece88457583d2e31e1a738f0c" hidden="1">#REF!</definedName>
    <definedName name="prolinks_f7704ce0dc2145caa9334294bde0330f" hidden="1">#REF!</definedName>
    <definedName name="prolinks_f7f9ae2732824142a6fcf9e0bae03fe3" hidden="1">#REF!</definedName>
    <definedName name="prolinks_f8072b49f9874ea4b4a988a4daf38d8e" hidden="1">#REF!</definedName>
    <definedName name="prolinks_f835b1689efa42068391c4ee65228bae" hidden="1">#REF!</definedName>
    <definedName name="prolinks_fab048e4006a484f97de51d602d6618a" hidden="1">#REF!</definedName>
    <definedName name="prolinks_fad92dba7c344d44b9e251db7852a7f1" hidden="1">#REF!</definedName>
    <definedName name="prolinks_fc058f6167cd4c1caaf90291af6d42bc" hidden="1">#REF!</definedName>
    <definedName name="prolinks_fc9e65fcd9a14ca6b201b033fd35e1a3" hidden="1">#REF!</definedName>
    <definedName name="prolinks_fda482b349ba41e39166d2cde24c03b3" hidden="1">#REF!</definedName>
    <definedName name="prolinks_fdd23d82929a499c9b79b61a4d2cd743" hidden="1">#REF!</definedName>
    <definedName name="prolinks_fed31349bb1d4dbb98e289f3797ac143" hidden="1">#REF!</definedName>
    <definedName name="prolinks_ffcead544da54ae794939df72f32bde8" hidden="1">#REF!</definedName>
    <definedName name="prolinks_ffe2cab4cac5482ab5a77c85778de00e" hidden="1">#REF!</definedName>
    <definedName name="PROPERTY_GROSS" hidden="1">"PROPERTY_GROSS"</definedName>
    <definedName name="PROPERTY_NET" hidden="1">"PROPERTY_NET"</definedName>
    <definedName name="Property_Plant_Equipment">#REF!</definedName>
    <definedName name="prorata_interest">#REF!</definedName>
    <definedName name="prout" localSheetId="0" hidden="1">{"comp1",#N/A,FALSE,"COMPS";"footnotes",#N/A,FALSE,"COMPS"}</definedName>
    <definedName name="prout" localSheetId="6" hidden="1">{"comp1",#N/A,FALSE,"COMPS";"footnotes",#N/A,FALSE,"COMPS"}</definedName>
    <definedName name="prout" hidden="1">{"comp1",#N/A,FALSE,"COMPS";"footnotes",#N/A,FALSE,"COMPS"}</definedName>
    <definedName name="prout1" localSheetId="0" hidden="1">{"comp1",#N/A,FALSE,"COMPS";"footnotes",#N/A,FALSE,"COMPS"}</definedName>
    <definedName name="prout1" localSheetId="6" hidden="1">{"comp1",#N/A,FALSE,"COMPS";"footnotes",#N/A,FALSE,"COMPS"}</definedName>
    <definedName name="prout1" hidden="1">{"comp1",#N/A,FALSE,"COMPS";"footnotes",#N/A,FALSE,"COMPS"}</definedName>
    <definedName name="prova" localSheetId="0"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prova" localSheetId="6"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prova"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psCurrency">#REF!</definedName>
    <definedName name="psUnits">#REF!</definedName>
    <definedName name="Pt._Status">#REF!</definedName>
    <definedName name="PUB_FileID" hidden="1">"L10003363.xls"</definedName>
    <definedName name="PUB_UserID" hidden="1">"MAYERX"</definedName>
    <definedName name="püpoüpoüpo" localSheetId="0" hidden="1">{#N/A,#N/A,FALSE,"PMW Gruppe 99_98";#N/A,#N/A,FALSE,"PMW KG 98_99";#N/A,#N/A,FALSE,"PMW Inc. 99_98";#N/A,#N/A,FALSE,"PMW VTECH 99_98";#N/A,#N/A,FALSE,"PMW Thail. 99_98";#N/A,#N/A,FALSE,"PMW Canada 99_98";#N/A,#N/A,FALSE,"Währungsabw. 99_98"}</definedName>
    <definedName name="püpoüpoüpo" localSheetId="6" hidden="1">{#N/A,#N/A,FALSE,"PMW Gruppe 99_98";#N/A,#N/A,FALSE,"PMW KG 98_99";#N/A,#N/A,FALSE,"PMW Inc. 99_98";#N/A,#N/A,FALSE,"PMW VTECH 99_98";#N/A,#N/A,FALSE,"PMW Thail. 99_98";#N/A,#N/A,FALSE,"PMW Canada 99_98";#N/A,#N/A,FALSE,"Währungsabw. 99_98"}</definedName>
    <definedName name="püpoüpoüpo" hidden="1">{#N/A,#N/A,FALSE,"PMW Gruppe 99_98";#N/A,#N/A,FALSE,"PMW KG 98_99";#N/A,#N/A,FALSE,"PMW Inc. 99_98";#N/A,#N/A,FALSE,"PMW VTECH 99_98";#N/A,#N/A,FALSE,"PMW Thail. 99_98";#N/A,#N/A,FALSE,"PMW Canada 99_98";#N/A,#N/A,FALSE,"Währungsabw. 99_98"}</definedName>
    <definedName name="püpoüpoüpo_1" localSheetId="0" hidden="1">{#N/A,#N/A,FALSE,"PMW Gruppe 99_98";#N/A,#N/A,FALSE,"PMW KG 98_99";#N/A,#N/A,FALSE,"PMW Inc. 99_98";#N/A,#N/A,FALSE,"PMW VTECH 99_98";#N/A,#N/A,FALSE,"PMW Thail. 99_98";#N/A,#N/A,FALSE,"PMW Canada 99_98";#N/A,#N/A,FALSE,"Währungsabw. 99_98"}</definedName>
    <definedName name="püpoüpoüpo_1" localSheetId="6" hidden="1">{#N/A,#N/A,FALSE,"PMW Gruppe 99_98";#N/A,#N/A,FALSE,"PMW KG 98_99";#N/A,#N/A,FALSE,"PMW Inc. 99_98";#N/A,#N/A,FALSE,"PMW VTECH 99_98";#N/A,#N/A,FALSE,"PMW Thail. 99_98";#N/A,#N/A,FALSE,"PMW Canada 99_98";#N/A,#N/A,FALSE,"Währungsabw. 99_98"}</definedName>
    <definedName name="püpoüpoüpo_1" hidden="1">{#N/A,#N/A,FALSE,"PMW Gruppe 99_98";#N/A,#N/A,FALSE,"PMW KG 98_99";#N/A,#N/A,FALSE,"PMW Inc. 99_98";#N/A,#N/A,FALSE,"PMW VTECH 99_98";#N/A,#N/A,FALSE,"PMW Thail. 99_98";#N/A,#N/A,FALSE,"PMW Canada 99_98";#N/A,#N/A,FALSE,"Währungsabw. 99_98"}</definedName>
    <definedName name="püpoüpoüpo_1_1" localSheetId="0" hidden="1">{#N/A,#N/A,FALSE,"PMW Gruppe 99_98";#N/A,#N/A,FALSE,"PMW KG 98_99";#N/A,#N/A,FALSE,"PMW Inc. 99_98";#N/A,#N/A,FALSE,"PMW VTECH 99_98";#N/A,#N/A,FALSE,"PMW Thail. 99_98";#N/A,#N/A,FALSE,"PMW Canada 99_98";#N/A,#N/A,FALSE,"Währungsabw. 99_98"}</definedName>
    <definedName name="püpoüpoüpo_1_1" localSheetId="6" hidden="1">{#N/A,#N/A,FALSE,"PMW Gruppe 99_98";#N/A,#N/A,FALSE,"PMW KG 98_99";#N/A,#N/A,FALSE,"PMW Inc. 99_98";#N/A,#N/A,FALSE,"PMW VTECH 99_98";#N/A,#N/A,FALSE,"PMW Thail. 99_98";#N/A,#N/A,FALSE,"PMW Canada 99_98";#N/A,#N/A,FALSE,"Währungsabw. 99_98"}</definedName>
    <definedName name="püpoüpoüpo_1_1" hidden="1">{#N/A,#N/A,FALSE,"PMW Gruppe 99_98";#N/A,#N/A,FALSE,"PMW KG 98_99";#N/A,#N/A,FALSE,"PMW Inc. 99_98";#N/A,#N/A,FALSE,"PMW VTECH 99_98";#N/A,#N/A,FALSE,"PMW Thail. 99_98";#N/A,#N/A,FALSE,"PMW Canada 99_98";#N/A,#N/A,FALSE,"Währungsabw. 99_98"}</definedName>
    <definedName name="püpoüpoüpo_2" localSheetId="0" hidden="1">{#N/A,#N/A,FALSE,"PMW Gruppe 99_98";#N/A,#N/A,FALSE,"PMW KG 98_99";#N/A,#N/A,FALSE,"PMW Inc. 99_98";#N/A,#N/A,FALSE,"PMW VTECH 99_98";#N/A,#N/A,FALSE,"PMW Thail. 99_98";#N/A,#N/A,FALSE,"PMW Canada 99_98";#N/A,#N/A,FALSE,"Währungsabw. 99_98"}</definedName>
    <definedName name="püpoüpoüpo_2" localSheetId="6" hidden="1">{#N/A,#N/A,FALSE,"PMW Gruppe 99_98";#N/A,#N/A,FALSE,"PMW KG 98_99";#N/A,#N/A,FALSE,"PMW Inc. 99_98";#N/A,#N/A,FALSE,"PMW VTECH 99_98";#N/A,#N/A,FALSE,"PMW Thail. 99_98";#N/A,#N/A,FALSE,"PMW Canada 99_98";#N/A,#N/A,FALSE,"Währungsabw. 99_98"}</definedName>
    <definedName name="püpoüpoüpo_2" hidden="1">{#N/A,#N/A,FALSE,"PMW Gruppe 99_98";#N/A,#N/A,FALSE,"PMW KG 98_99";#N/A,#N/A,FALSE,"PMW Inc. 99_98";#N/A,#N/A,FALSE,"PMW VTECH 99_98";#N/A,#N/A,FALSE,"PMW Thail. 99_98";#N/A,#N/A,FALSE,"PMW Canada 99_98";#N/A,#N/A,FALSE,"Währungsabw. 99_98"}</definedName>
    <definedName name="püpoüpoüpo_3" localSheetId="0" hidden="1">{#N/A,#N/A,FALSE,"PMW Gruppe 99_98";#N/A,#N/A,FALSE,"PMW KG 98_99";#N/A,#N/A,FALSE,"PMW Inc. 99_98";#N/A,#N/A,FALSE,"PMW VTECH 99_98";#N/A,#N/A,FALSE,"PMW Thail. 99_98";#N/A,#N/A,FALSE,"PMW Canada 99_98";#N/A,#N/A,FALSE,"Währungsabw. 99_98"}</definedName>
    <definedName name="püpoüpoüpo_3" localSheetId="6" hidden="1">{#N/A,#N/A,FALSE,"PMW Gruppe 99_98";#N/A,#N/A,FALSE,"PMW KG 98_99";#N/A,#N/A,FALSE,"PMW Inc. 99_98";#N/A,#N/A,FALSE,"PMW VTECH 99_98";#N/A,#N/A,FALSE,"PMW Thail. 99_98";#N/A,#N/A,FALSE,"PMW Canada 99_98";#N/A,#N/A,FALSE,"Währungsabw. 99_98"}</definedName>
    <definedName name="püpoüpoüpo_3" hidden="1">{#N/A,#N/A,FALSE,"PMW Gruppe 99_98";#N/A,#N/A,FALSE,"PMW KG 98_99";#N/A,#N/A,FALSE,"PMW Inc. 99_98";#N/A,#N/A,FALSE,"PMW VTECH 99_98";#N/A,#N/A,FALSE,"PMW Thail. 99_98";#N/A,#N/A,FALSE,"PMW Canada 99_98";#N/A,#N/A,FALSE,"Währungsabw. 99_98"}</definedName>
    <definedName name="püpoüpoüpo_4" localSheetId="0" hidden="1">{#N/A,#N/A,FALSE,"PMW Gruppe 99_98";#N/A,#N/A,FALSE,"PMW KG 98_99";#N/A,#N/A,FALSE,"PMW Inc. 99_98";#N/A,#N/A,FALSE,"PMW VTECH 99_98";#N/A,#N/A,FALSE,"PMW Thail. 99_98";#N/A,#N/A,FALSE,"PMW Canada 99_98";#N/A,#N/A,FALSE,"Währungsabw. 99_98"}</definedName>
    <definedName name="püpoüpoüpo_4" localSheetId="6" hidden="1">{#N/A,#N/A,FALSE,"PMW Gruppe 99_98";#N/A,#N/A,FALSE,"PMW KG 98_99";#N/A,#N/A,FALSE,"PMW Inc. 99_98";#N/A,#N/A,FALSE,"PMW VTECH 99_98";#N/A,#N/A,FALSE,"PMW Thail. 99_98";#N/A,#N/A,FALSE,"PMW Canada 99_98";#N/A,#N/A,FALSE,"Währungsabw. 99_98"}</definedName>
    <definedName name="püpoüpoüpo_4" hidden="1">{#N/A,#N/A,FALSE,"PMW Gruppe 99_98";#N/A,#N/A,FALSE,"PMW KG 98_99";#N/A,#N/A,FALSE,"PMW Inc. 99_98";#N/A,#N/A,FALSE,"PMW VTECH 99_98";#N/A,#N/A,FALSE,"PMW Thail. 99_98";#N/A,#N/A,FALSE,"PMW Canada 99_98";#N/A,#N/A,FALSE,"Währungsabw. 99_98"}</definedName>
    <definedName name="püpoüpoüpo_5" localSheetId="0" hidden="1">{#N/A,#N/A,FALSE,"PMW Gruppe 99_98";#N/A,#N/A,FALSE,"PMW KG 98_99";#N/A,#N/A,FALSE,"PMW Inc. 99_98";#N/A,#N/A,FALSE,"PMW VTECH 99_98";#N/A,#N/A,FALSE,"PMW Thail. 99_98";#N/A,#N/A,FALSE,"PMW Canada 99_98";#N/A,#N/A,FALSE,"Währungsabw. 99_98"}</definedName>
    <definedName name="püpoüpoüpo_5" localSheetId="6" hidden="1">{#N/A,#N/A,FALSE,"PMW Gruppe 99_98";#N/A,#N/A,FALSE,"PMW KG 98_99";#N/A,#N/A,FALSE,"PMW Inc. 99_98";#N/A,#N/A,FALSE,"PMW VTECH 99_98";#N/A,#N/A,FALSE,"PMW Thail. 99_98";#N/A,#N/A,FALSE,"PMW Canada 99_98";#N/A,#N/A,FALSE,"Währungsabw. 99_98"}</definedName>
    <definedName name="püpoüpoüpo_5" hidden="1">{#N/A,#N/A,FALSE,"PMW Gruppe 99_98";#N/A,#N/A,FALSE,"PMW KG 98_99";#N/A,#N/A,FALSE,"PMW Inc. 99_98";#N/A,#N/A,FALSE,"PMW VTECH 99_98";#N/A,#N/A,FALSE,"PMW Thail. 99_98";#N/A,#N/A,FALSE,"PMW Canada 99_98";#N/A,#N/A,FALSE,"Währungsabw. 99_98"}</definedName>
    <definedName name="püpü" localSheetId="0" hidden="1">{#N/A,#N/A,FALSE,"Umsatz 99";#N/A,#N/A,FALSE,"ER 99 "}</definedName>
    <definedName name="püpü" localSheetId="6" hidden="1">{#N/A,#N/A,FALSE,"Umsatz 99";#N/A,#N/A,FALSE,"ER 99 "}</definedName>
    <definedName name="püpü" hidden="1">{#N/A,#N/A,FALSE,"Umsatz 99";#N/A,#N/A,FALSE,"ER 99 "}</definedName>
    <definedName name="püpü_1" localSheetId="0" hidden="1">{#N/A,#N/A,FALSE,"Umsatz 99";#N/A,#N/A,FALSE,"ER 99 "}</definedName>
    <definedName name="püpü_1" localSheetId="6" hidden="1">{#N/A,#N/A,FALSE,"Umsatz 99";#N/A,#N/A,FALSE,"ER 99 "}</definedName>
    <definedName name="püpü_1" hidden="1">{#N/A,#N/A,FALSE,"Umsatz 99";#N/A,#N/A,FALSE,"ER 99 "}</definedName>
    <definedName name="püpü_1_1" localSheetId="0" hidden="1">{#N/A,#N/A,FALSE,"Umsatz 99";#N/A,#N/A,FALSE,"ER 99 "}</definedName>
    <definedName name="püpü_1_1" localSheetId="6" hidden="1">{#N/A,#N/A,FALSE,"Umsatz 99";#N/A,#N/A,FALSE,"ER 99 "}</definedName>
    <definedName name="püpü_1_1" hidden="1">{#N/A,#N/A,FALSE,"Umsatz 99";#N/A,#N/A,FALSE,"ER 99 "}</definedName>
    <definedName name="püpü_2" localSheetId="0" hidden="1">{#N/A,#N/A,FALSE,"Umsatz 99";#N/A,#N/A,FALSE,"ER 99 "}</definedName>
    <definedName name="püpü_2" localSheetId="6" hidden="1">{#N/A,#N/A,FALSE,"Umsatz 99";#N/A,#N/A,FALSE,"ER 99 "}</definedName>
    <definedName name="püpü_2" hidden="1">{#N/A,#N/A,FALSE,"Umsatz 99";#N/A,#N/A,FALSE,"ER 99 "}</definedName>
    <definedName name="püpü_3" localSheetId="0" hidden="1">{#N/A,#N/A,FALSE,"Umsatz 99";#N/A,#N/A,FALSE,"ER 99 "}</definedName>
    <definedName name="püpü_3" localSheetId="6" hidden="1">{#N/A,#N/A,FALSE,"Umsatz 99";#N/A,#N/A,FALSE,"ER 99 "}</definedName>
    <definedName name="püpü_3" hidden="1">{#N/A,#N/A,FALSE,"Umsatz 99";#N/A,#N/A,FALSE,"ER 99 "}</definedName>
    <definedName name="püpü_4" localSheetId="0" hidden="1">{#N/A,#N/A,FALSE,"Umsatz 99";#N/A,#N/A,FALSE,"ER 99 "}</definedName>
    <definedName name="püpü_4" localSheetId="6" hidden="1">{#N/A,#N/A,FALSE,"Umsatz 99";#N/A,#N/A,FALSE,"ER 99 "}</definedName>
    <definedName name="püpü_4" hidden="1">{#N/A,#N/A,FALSE,"Umsatz 99";#N/A,#N/A,FALSE,"ER 99 "}</definedName>
    <definedName name="püpü_5" localSheetId="0" hidden="1">{#N/A,#N/A,FALSE,"Umsatz 99";#N/A,#N/A,FALSE,"ER 99 "}</definedName>
    <definedName name="püpü_5" localSheetId="6" hidden="1">{#N/A,#N/A,FALSE,"Umsatz 99";#N/A,#N/A,FALSE,"ER 99 "}</definedName>
    <definedName name="püpü_5" hidden="1">{#N/A,#N/A,FALSE,"Umsatz 99";#N/A,#N/A,FALSE,"ER 99 "}</definedName>
    <definedName name="Purchase">#REF!</definedName>
    <definedName name="puy" localSheetId="6" hidden="1">{#N/A,#N/A,TRUE,"Cover";#N/A,#N/A,TRUE,"Conts";#N/A,#N/A,TRUE,"VOS";#N/A,#N/A,TRUE,"Warrington";#N/A,#N/A,TRUE,"Widnes"}</definedName>
    <definedName name="puy" hidden="1">{#N/A,#N/A,TRUE,"Cover";#N/A,#N/A,TRUE,"Conts";#N/A,#N/A,TRUE,"VOS";#N/A,#N/A,TRUE,"Warrington";#N/A,#N/A,TRUE,"Widnes"}</definedName>
    <definedName name="puy_1" localSheetId="6" hidden="1">{#N/A,#N/A,TRUE,"Cover";#N/A,#N/A,TRUE,"Conts";#N/A,#N/A,TRUE,"VOS";#N/A,#N/A,TRUE,"Warrington";#N/A,#N/A,TRUE,"Widnes"}</definedName>
    <definedName name="puy_1" hidden="1">{#N/A,#N/A,TRUE,"Cover";#N/A,#N/A,TRUE,"Conts";#N/A,#N/A,TRUE,"VOS";#N/A,#N/A,TRUE,"Warrington";#N/A,#N/A,TRUE,"Widnes"}</definedName>
    <definedName name="PV_detail">#REF!</definedName>
    <definedName name="pv_factor1">#REF!</definedName>
    <definedName name="pv_factor2">#REF!</definedName>
    <definedName name="pv_factor3">#REF!</definedName>
    <definedName name="pv_factor4">#REF!</definedName>
    <definedName name="pv_factor5">#REF!</definedName>
    <definedName name="pv_factor6">#REF!</definedName>
    <definedName name="pvl"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pvl"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pwoefù" localSheetId="0" hidden="1">{#N/A,#N/A,TRUE,"Proposal";#N/A,#N/A,TRUE,"Assumptions";#N/A,#N/A,TRUE,"Net Income";#N/A,#N/A,TRUE,"Balsheet";#N/A,#N/A,TRUE,"Capex";#N/A,#N/A,TRUE,"Volumes";#N/A,#N/A,TRUE,"Revenues";#N/A,#N/A,TRUE,"Var.Costs";#N/A,#N/A,TRUE,"Personnel";#N/A,#N/A,TRUE,"Other costs";#N/A,#N/A,TRUE,"MKTG and G&amp;A"}</definedName>
    <definedName name="pwoefù" localSheetId="6" hidden="1">{#N/A,#N/A,TRUE,"Proposal";#N/A,#N/A,TRUE,"Assumptions";#N/A,#N/A,TRUE,"Net Income";#N/A,#N/A,TRUE,"Balsheet";#N/A,#N/A,TRUE,"Capex";#N/A,#N/A,TRUE,"Volumes";#N/A,#N/A,TRUE,"Revenues";#N/A,#N/A,TRUE,"Var.Costs";#N/A,#N/A,TRUE,"Personnel";#N/A,#N/A,TRUE,"Other costs";#N/A,#N/A,TRUE,"MKTG and G&amp;A"}</definedName>
    <definedName name="pwoefù" hidden="1">{#N/A,#N/A,TRUE,"Proposal";#N/A,#N/A,TRUE,"Assumptions";#N/A,#N/A,TRUE,"Net Income";#N/A,#N/A,TRUE,"Balsheet";#N/A,#N/A,TRUE,"Capex";#N/A,#N/A,TRUE,"Volumes";#N/A,#N/A,TRUE,"Revenues";#N/A,#N/A,TRUE,"Var.Costs";#N/A,#N/A,TRUE,"Personnel";#N/A,#N/A,TRUE,"Other costs";#N/A,#N/A,TRUE,"MKTG and G&amp;A"}</definedName>
    <definedName name="PY_Market_Value_of_Equity">#REF!</definedName>
    <definedName name="PY_Tangible_Net_Worth">#REF!</definedName>
    <definedName name="PY_Working_Capital">#REF!</definedName>
    <definedName name="PY2_Tangible_Net_Worth">#REF!</definedName>
    <definedName name="PY2_Working_Capital">#REF!</definedName>
    <definedName name="PYrEnd">#REF!</definedName>
    <definedName name="PZO" localSheetId="0" hidden="1">{#N/A,#N/A,FALSE,"Tabl. D1";#N/A,#N/A,FALSE,"Tabl. D1 b";#N/A,#N/A,FALSE,"Tabl. D2";#N/A,#N/A,FALSE,"Tabl. D2 b";#N/A,#N/A,FALSE,"Tabl. D3";#N/A,#N/A,FALSE,"Tabl. D4";#N/A,#N/A,FALSE,"Tabl. D5"}</definedName>
    <definedName name="PZO" localSheetId="6" hidden="1">{#N/A,#N/A,FALSE,"Tabl. D1";#N/A,#N/A,FALSE,"Tabl. D1 b";#N/A,#N/A,FALSE,"Tabl. D2";#N/A,#N/A,FALSE,"Tabl. D2 b";#N/A,#N/A,FALSE,"Tabl. D3";#N/A,#N/A,FALSE,"Tabl. D4";#N/A,#N/A,FALSE,"Tabl. D5"}</definedName>
    <definedName name="PZO" hidden="1">{#N/A,#N/A,FALSE,"Tabl. D1";#N/A,#N/A,FALSE,"Tabl. D1 b";#N/A,#N/A,FALSE,"Tabl. D2";#N/A,#N/A,FALSE,"Tabl. D2 b";#N/A,#N/A,FALSE,"Tabl. D3";#N/A,#N/A,FALSE,"Tabl. D4";#N/A,#N/A,FALSE,"Tabl. D5"}</definedName>
    <definedName name="P행">#REF!</definedName>
    <definedName name="q">#REF!</definedName>
    <definedName name="Q3_FILE" localSheetId="0" hidden="1">{"Graphic",#N/A,TRUE,"Graphic"}</definedName>
    <definedName name="Q3_FILE" localSheetId="6" hidden="1">{"Graphic",#N/A,TRUE,"Graphic"}</definedName>
    <definedName name="Q3_FILE" hidden="1">{"Graphic",#N/A,TRUE,"Graphic"}</definedName>
    <definedName name="Q3_FILE_1" localSheetId="0" hidden="1">{"Graphic",#N/A,TRUE,"Graphic"}</definedName>
    <definedName name="Q3_FILE_1" localSheetId="6" hidden="1">{"Graphic",#N/A,TRUE,"Graphic"}</definedName>
    <definedName name="Q3_FILE_1" hidden="1">{"Graphic",#N/A,TRUE,"Graphic"}</definedName>
    <definedName name="qaecdaze" localSheetId="0" hidden="1">{"First Page",#N/A,FALSE,"Surfactants LBO";"Second Page",#N/A,FALSE,"Surfactants LBO"}</definedName>
    <definedName name="qaecdaze" localSheetId="6" hidden="1">{"First Page",#N/A,FALSE,"Surfactants LBO";"Second Page",#N/A,FALSE,"Surfactants LBO"}</definedName>
    <definedName name="qaecdaze" hidden="1">{"First Page",#N/A,FALSE,"Surfactants LBO";"Second Page",#N/A,FALSE,"Surfactants LBO"}</definedName>
    <definedName name="Qatar">#REF!</definedName>
    <definedName name="qaz" localSheetId="0" hidden="1">{"V_sh1_01",#N/A,TRUE,"Sh1_"}</definedName>
    <definedName name="qaz" localSheetId="6" hidden="1">{"V_sh1_01",#N/A,TRUE,"Sh1_"}</definedName>
    <definedName name="qaz" hidden="1">{"V_sh1_01",#N/A,TRUE,"Sh1_"}</definedName>
    <definedName name="qaz_1" localSheetId="0" hidden="1">{#N/A,#N/A,FALSE,"Pharm";#N/A,#N/A,FALSE,"WWCM"}</definedName>
    <definedName name="qaz_1" localSheetId="6" hidden="1">{#N/A,#N/A,FALSE,"Pharm";#N/A,#N/A,FALSE,"WWCM"}</definedName>
    <definedName name="qaz_1" hidden="1">{#N/A,#N/A,FALSE,"Pharm";#N/A,#N/A,FALSE,"WWCM"}</definedName>
    <definedName name="qaz_1_1" localSheetId="0" hidden="1">{#N/A,#N/A,FALSE,"Pharm";#N/A,#N/A,FALSE,"WWCM"}</definedName>
    <definedName name="qaz_1_1" localSheetId="6" hidden="1">{#N/A,#N/A,FALSE,"Pharm";#N/A,#N/A,FALSE,"WWCM"}</definedName>
    <definedName name="qaz_1_1" hidden="1">{#N/A,#N/A,FALSE,"Pharm";#N/A,#N/A,FALSE,"WWCM"}</definedName>
    <definedName name="qaz_2" localSheetId="0" hidden="1">{#N/A,#N/A,FALSE,"Pharm";#N/A,#N/A,FALSE,"WWCM"}</definedName>
    <definedName name="qaz_2" localSheetId="6" hidden="1">{#N/A,#N/A,FALSE,"Pharm";#N/A,#N/A,FALSE,"WWCM"}</definedName>
    <definedName name="qaz_2" hidden="1">{#N/A,#N/A,FALSE,"Pharm";#N/A,#N/A,FALSE,"WWCM"}</definedName>
    <definedName name="qaz_3" localSheetId="0" hidden="1">{#N/A,#N/A,FALSE,"Pharm";#N/A,#N/A,FALSE,"WWCM"}</definedName>
    <definedName name="qaz_3" localSheetId="6" hidden="1">{#N/A,#N/A,FALSE,"Pharm";#N/A,#N/A,FALSE,"WWCM"}</definedName>
    <definedName name="qaz_3" hidden="1">{#N/A,#N/A,FALSE,"Pharm";#N/A,#N/A,FALSE,"WWCM"}</definedName>
    <definedName name="qaz_4" localSheetId="0" hidden="1">{#N/A,#N/A,FALSE,"Pharm";#N/A,#N/A,FALSE,"WWCM"}</definedName>
    <definedName name="qaz_4" localSheetId="6" hidden="1">{#N/A,#N/A,FALSE,"Pharm";#N/A,#N/A,FALSE,"WWCM"}</definedName>
    <definedName name="qaz_4" hidden="1">{#N/A,#N/A,FALSE,"Pharm";#N/A,#N/A,FALSE,"WWCM"}</definedName>
    <definedName name="qaz_5" localSheetId="0" hidden="1">{#N/A,#N/A,FALSE,"Pharm";#N/A,#N/A,FALSE,"WWCM"}</definedName>
    <definedName name="qaz_5" localSheetId="6" hidden="1">{#N/A,#N/A,FALSE,"Pharm";#N/A,#N/A,FALSE,"WWCM"}</definedName>
    <definedName name="qaz_5" hidden="1">{#N/A,#N/A,FALSE,"Pharm";#N/A,#N/A,FALSE,"WWCM"}</definedName>
    <definedName name="qazs"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qazs"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QCover" localSheetId="6" hidden="1">{"Charts1",#N/A,FALSE,"Charts1";"Charts2",#N/A,FALSE,"Charts2"}</definedName>
    <definedName name="QCover" hidden="1">{"Charts1",#N/A,FALSE,"Charts1";"Charts2",#N/A,FALSE,"Charts2"}</definedName>
    <definedName name="qdd" localSheetId="6" hidden="1">{"VIEW1",#N/A,FALSE,"P&amp;L Account 2001-2002";"VIEW2",#N/A,FALSE,"P&amp;L Account 2001-2002";"VIEW3",#N/A,FALSE,"P&amp;L Account 2001-2002";"VIEW4",#N/A,FALSE,"P&amp;L Account 2001-2002"}</definedName>
    <definedName name="qdd" hidden="1">{"VIEW1",#N/A,FALSE,"P&amp;L Account 2001-2002";"VIEW2",#N/A,FALSE,"P&amp;L Account 2001-2002";"VIEW3",#N/A,FALSE,"P&amp;L Account 2001-2002";"VIEW4",#N/A,FALSE,"P&amp;L Account 2001-2002"}</definedName>
    <definedName name="QDFZRN" hidden="1">#REF!</definedName>
    <definedName name="qeazr" localSheetId="6" hidden="1">{#N/A,#N/A,FALSE,"Eastern";#N/A,#N/A,FALSE,"Western"}</definedName>
    <definedName name="qeazr" hidden="1">{#N/A,#N/A,FALSE,"Eastern";#N/A,#N/A,FALSE,"Western"}</definedName>
    <definedName name="qegg" localSheetId="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gg"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gg"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ggqeg" localSheetId="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ggqeg"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ggqeg"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qee" localSheetId="0" hidden="1">{#N/A,#N/A,FALSE,"Produkte Erw.";#N/A,#N/A,FALSE,"Produkte Plan";#N/A,#N/A,FALSE,"Leistungen Erw.";#N/A,#N/A,FALSE,"Leistungen Plan";#N/A,#N/A,FALSE,"KA Allg.Kosten (2)";#N/A,#N/A,FALSE,"KA All.Kosten"}</definedName>
    <definedName name="qeqee" localSheetId="6" hidden="1">{#N/A,#N/A,FALSE,"Produkte Erw.";#N/A,#N/A,FALSE,"Produkte Plan";#N/A,#N/A,FALSE,"Leistungen Erw.";#N/A,#N/A,FALSE,"Leistungen Plan";#N/A,#N/A,FALSE,"KA Allg.Kosten (2)";#N/A,#N/A,FALSE,"KA All.Kosten"}</definedName>
    <definedName name="qeqee" hidden="1">{#N/A,#N/A,FALSE,"Produkte Erw.";#N/A,#N/A,FALSE,"Produkte Plan";#N/A,#N/A,FALSE,"Leistungen Erw.";#N/A,#N/A,FALSE,"Leistungen Plan";#N/A,#N/A,FALSE,"KA Allg.Kosten (2)";#N/A,#N/A,FALSE,"KA All.Kosten"}</definedName>
    <definedName name="qeqee_1" localSheetId="0" hidden="1">{#N/A,#N/A,FALSE,"Produkte Erw.";#N/A,#N/A,FALSE,"Produkte Plan";#N/A,#N/A,FALSE,"Leistungen Erw.";#N/A,#N/A,FALSE,"Leistungen Plan";#N/A,#N/A,FALSE,"KA Allg.Kosten (2)";#N/A,#N/A,FALSE,"KA All.Kosten"}</definedName>
    <definedName name="qeqee_1" localSheetId="6" hidden="1">{#N/A,#N/A,FALSE,"Produkte Erw.";#N/A,#N/A,FALSE,"Produkte Plan";#N/A,#N/A,FALSE,"Leistungen Erw.";#N/A,#N/A,FALSE,"Leistungen Plan";#N/A,#N/A,FALSE,"KA Allg.Kosten (2)";#N/A,#N/A,FALSE,"KA All.Kosten"}</definedName>
    <definedName name="qeqee_1" hidden="1">{#N/A,#N/A,FALSE,"Produkte Erw.";#N/A,#N/A,FALSE,"Produkte Plan";#N/A,#N/A,FALSE,"Leistungen Erw.";#N/A,#N/A,FALSE,"Leistungen Plan";#N/A,#N/A,FALSE,"KA Allg.Kosten (2)";#N/A,#N/A,FALSE,"KA All.Kosten"}</definedName>
    <definedName name="qeqee_1_1" localSheetId="0" hidden="1">{#N/A,#N/A,FALSE,"Produkte Erw.";#N/A,#N/A,FALSE,"Produkte Plan";#N/A,#N/A,FALSE,"Leistungen Erw.";#N/A,#N/A,FALSE,"Leistungen Plan";#N/A,#N/A,FALSE,"KA Allg.Kosten (2)";#N/A,#N/A,FALSE,"KA All.Kosten"}</definedName>
    <definedName name="qeqee_1_1" localSheetId="6" hidden="1">{#N/A,#N/A,FALSE,"Produkte Erw.";#N/A,#N/A,FALSE,"Produkte Plan";#N/A,#N/A,FALSE,"Leistungen Erw.";#N/A,#N/A,FALSE,"Leistungen Plan";#N/A,#N/A,FALSE,"KA Allg.Kosten (2)";#N/A,#N/A,FALSE,"KA All.Kosten"}</definedName>
    <definedName name="qeqee_1_1" hidden="1">{#N/A,#N/A,FALSE,"Produkte Erw.";#N/A,#N/A,FALSE,"Produkte Plan";#N/A,#N/A,FALSE,"Leistungen Erw.";#N/A,#N/A,FALSE,"Leistungen Plan";#N/A,#N/A,FALSE,"KA Allg.Kosten (2)";#N/A,#N/A,FALSE,"KA All.Kosten"}</definedName>
    <definedName name="qeqee_2" localSheetId="0" hidden="1">{#N/A,#N/A,FALSE,"Produkte Erw.";#N/A,#N/A,FALSE,"Produkte Plan";#N/A,#N/A,FALSE,"Leistungen Erw.";#N/A,#N/A,FALSE,"Leistungen Plan";#N/A,#N/A,FALSE,"KA Allg.Kosten (2)";#N/A,#N/A,FALSE,"KA All.Kosten"}</definedName>
    <definedName name="qeqee_2" localSheetId="6" hidden="1">{#N/A,#N/A,FALSE,"Produkte Erw.";#N/A,#N/A,FALSE,"Produkte Plan";#N/A,#N/A,FALSE,"Leistungen Erw.";#N/A,#N/A,FALSE,"Leistungen Plan";#N/A,#N/A,FALSE,"KA Allg.Kosten (2)";#N/A,#N/A,FALSE,"KA All.Kosten"}</definedName>
    <definedName name="qeqee_2" hidden="1">{#N/A,#N/A,FALSE,"Produkte Erw.";#N/A,#N/A,FALSE,"Produkte Plan";#N/A,#N/A,FALSE,"Leistungen Erw.";#N/A,#N/A,FALSE,"Leistungen Plan";#N/A,#N/A,FALSE,"KA Allg.Kosten (2)";#N/A,#N/A,FALSE,"KA All.Kosten"}</definedName>
    <definedName name="qeqee_3" localSheetId="0" hidden="1">{#N/A,#N/A,FALSE,"Produkte Erw.";#N/A,#N/A,FALSE,"Produkte Plan";#N/A,#N/A,FALSE,"Leistungen Erw.";#N/A,#N/A,FALSE,"Leistungen Plan";#N/A,#N/A,FALSE,"KA Allg.Kosten (2)";#N/A,#N/A,FALSE,"KA All.Kosten"}</definedName>
    <definedName name="qeqee_3" localSheetId="6" hidden="1">{#N/A,#N/A,FALSE,"Produkte Erw.";#N/A,#N/A,FALSE,"Produkte Plan";#N/A,#N/A,FALSE,"Leistungen Erw.";#N/A,#N/A,FALSE,"Leistungen Plan";#N/A,#N/A,FALSE,"KA Allg.Kosten (2)";#N/A,#N/A,FALSE,"KA All.Kosten"}</definedName>
    <definedName name="qeqee_3" hidden="1">{#N/A,#N/A,FALSE,"Produkte Erw.";#N/A,#N/A,FALSE,"Produkte Plan";#N/A,#N/A,FALSE,"Leistungen Erw.";#N/A,#N/A,FALSE,"Leistungen Plan";#N/A,#N/A,FALSE,"KA Allg.Kosten (2)";#N/A,#N/A,FALSE,"KA All.Kosten"}</definedName>
    <definedName name="qeqee_4" localSheetId="0" hidden="1">{#N/A,#N/A,FALSE,"Produkte Erw.";#N/A,#N/A,FALSE,"Produkte Plan";#N/A,#N/A,FALSE,"Leistungen Erw.";#N/A,#N/A,FALSE,"Leistungen Plan";#N/A,#N/A,FALSE,"KA Allg.Kosten (2)";#N/A,#N/A,FALSE,"KA All.Kosten"}</definedName>
    <definedName name="qeqee_4" localSheetId="6" hidden="1">{#N/A,#N/A,FALSE,"Produkte Erw.";#N/A,#N/A,FALSE,"Produkte Plan";#N/A,#N/A,FALSE,"Leistungen Erw.";#N/A,#N/A,FALSE,"Leistungen Plan";#N/A,#N/A,FALSE,"KA Allg.Kosten (2)";#N/A,#N/A,FALSE,"KA All.Kosten"}</definedName>
    <definedName name="qeqee_4" hidden="1">{#N/A,#N/A,FALSE,"Produkte Erw.";#N/A,#N/A,FALSE,"Produkte Plan";#N/A,#N/A,FALSE,"Leistungen Erw.";#N/A,#N/A,FALSE,"Leistungen Plan";#N/A,#N/A,FALSE,"KA Allg.Kosten (2)";#N/A,#N/A,FALSE,"KA All.Kosten"}</definedName>
    <definedName name="qeqee_5" localSheetId="0" hidden="1">{#N/A,#N/A,FALSE,"Produkte Erw.";#N/A,#N/A,FALSE,"Produkte Plan";#N/A,#N/A,FALSE,"Leistungen Erw.";#N/A,#N/A,FALSE,"Leistungen Plan";#N/A,#N/A,FALSE,"KA Allg.Kosten (2)";#N/A,#N/A,FALSE,"KA All.Kosten"}</definedName>
    <definedName name="qeqee_5" localSheetId="6" hidden="1">{#N/A,#N/A,FALSE,"Produkte Erw.";#N/A,#N/A,FALSE,"Produkte Plan";#N/A,#N/A,FALSE,"Leistungen Erw.";#N/A,#N/A,FALSE,"Leistungen Plan";#N/A,#N/A,FALSE,"KA Allg.Kosten (2)";#N/A,#N/A,FALSE,"KA All.Kosten"}</definedName>
    <definedName name="qeqee_5" hidden="1">{#N/A,#N/A,FALSE,"Produkte Erw.";#N/A,#N/A,FALSE,"Produkte Plan";#N/A,#N/A,FALSE,"Leistungen Erw.";#N/A,#N/A,FALSE,"Leistungen Plan";#N/A,#N/A,FALSE,"KA Allg.Kosten (2)";#N/A,#N/A,FALSE,"KA All.Kosten"}</definedName>
    <definedName name="qer" localSheetId="0" hidden="1">{"mgmt forecast",#N/A,FALSE,"Mgmt Forecast";"dcf table",#N/A,FALSE,"Mgmt Forecast";"sensitivity",#N/A,FALSE,"Mgmt Forecast";"table inputs",#N/A,FALSE,"Mgmt Forecast";"calculations",#N/A,FALSE,"Mgmt Forecast"}</definedName>
    <definedName name="qer" localSheetId="6" hidden="1">{"mgmt forecast",#N/A,FALSE,"Mgmt Forecast";"dcf table",#N/A,FALSE,"Mgmt Forecast";"sensitivity",#N/A,FALSE,"Mgmt Forecast";"table inputs",#N/A,FALSE,"Mgmt Forecast";"calculations",#N/A,FALSE,"Mgmt Forecast"}</definedName>
    <definedName name="qer" hidden="1">{"mgmt forecast",#N/A,FALSE,"Mgmt Forecast";"dcf table",#N/A,FALSE,"Mgmt Forecast";"sensitivity",#N/A,FALSE,"Mgmt Forecast";"table inputs",#N/A,FALSE,"Mgmt Forecast";"calculations",#N/A,FALSE,"Mgmt Forecast"}</definedName>
    <definedName name="qerg" localSheetId="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rg"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rg"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rgqeg" localSheetId="0" hidden="1">{"sales",#N/A,FALSE,"Sales";"sales existing",#N/A,FALSE,"Sales";"sales rd1",#N/A,FALSE,"Sales";"sales rd2",#N/A,FALSE,"Sales"}</definedName>
    <definedName name="qergqeg" localSheetId="6" hidden="1">{"sales",#N/A,FALSE,"Sales";"sales existing",#N/A,FALSE,"Sales";"sales rd1",#N/A,FALSE,"Sales";"sales rd2",#N/A,FALSE,"Sales"}</definedName>
    <definedName name="qergqeg" hidden="1">{"sales",#N/A,FALSE,"Sales";"sales existing",#N/A,FALSE,"Sales";"sales rd1",#N/A,FALSE,"Sales";"sales rd2",#N/A,FALSE,"Sales"}</definedName>
    <definedName name="qergqg" localSheetId="0"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rgqg" localSheetId="6"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rgqg" hidden="1">{"summary",#N/A,FALSE,"Summary";"transaction",#N/A,FALSE,"Transaction";"sales",#N/A,FALSE,"Sales";"sales existing",#N/A,FALSE,"Sales";"sales rd1",#N/A,FALSE,"Sales";"sales rd2",#N/A,FALSE,"Sales";"costs",#N/A,FALSE,"Costs";"income statement",#N/A,FALSE,"Financials";"cash flow statement",#N/A,FALSE,"Financials";"balance sheet",#N/A,FALSE,"Financials";"consolidated capitalization",#N/A,FALSE,"Financials";"op co. capitalization",#N/A,FALSE,"Financials";"ebitda",#N/A,FALSE,"EBITDA";"profit imp opps",#N/A,FALSE,"EBITDA";"returns",#N/A,FALSE,"Equity &amp; Sub Valuation"}</definedName>
    <definedName name="qertweyu" localSheetId="0" hidden="1">{#N/A,#N/A,FALSE,"REPORT"}</definedName>
    <definedName name="qertweyu" localSheetId="6" hidden="1">{#N/A,#N/A,FALSE,"REPORT"}</definedName>
    <definedName name="qertweyu" hidden="1">{#N/A,#N/A,FALSE,"REPORT"}</definedName>
    <definedName name="qertweyu_1" localSheetId="0" hidden="1">{#N/A,#N/A,FALSE,"REPORT"}</definedName>
    <definedName name="qertweyu_1" localSheetId="6" hidden="1">{#N/A,#N/A,FALSE,"REPORT"}</definedName>
    <definedName name="qertweyu_1" hidden="1">{#N/A,#N/A,FALSE,"REPORT"}</definedName>
    <definedName name="qertweyu_1_1" localSheetId="0" hidden="1">{#N/A,#N/A,FALSE,"REPORT"}</definedName>
    <definedName name="qertweyu_1_1" localSheetId="6" hidden="1">{#N/A,#N/A,FALSE,"REPORT"}</definedName>
    <definedName name="qertweyu_1_1" hidden="1">{#N/A,#N/A,FALSE,"REPORT"}</definedName>
    <definedName name="qertweyu_2" localSheetId="0" hidden="1">{#N/A,#N/A,FALSE,"REPORT"}</definedName>
    <definedName name="qertweyu_2" localSheetId="6" hidden="1">{#N/A,#N/A,FALSE,"REPORT"}</definedName>
    <definedName name="qertweyu_2" hidden="1">{#N/A,#N/A,FALSE,"REPORT"}</definedName>
    <definedName name="qertweyu_3" localSheetId="0" hidden="1">{#N/A,#N/A,FALSE,"REPORT"}</definedName>
    <definedName name="qertweyu_3" localSheetId="6" hidden="1">{#N/A,#N/A,FALSE,"REPORT"}</definedName>
    <definedName name="qertweyu_3" hidden="1">{#N/A,#N/A,FALSE,"REPORT"}</definedName>
    <definedName name="qertweyu_4" localSheetId="0" hidden="1">{#N/A,#N/A,FALSE,"REPORT"}</definedName>
    <definedName name="qertweyu_4" localSheetId="6" hidden="1">{#N/A,#N/A,FALSE,"REPORT"}</definedName>
    <definedName name="qertweyu_4" hidden="1">{#N/A,#N/A,FALSE,"REPORT"}</definedName>
    <definedName name="qertweyu_5" localSheetId="0" hidden="1">{#N/A,#N/A,FALSE,"REPORT"}</definedName>
    <definedName name="qertweyu_5" localSheetId="6" hidden="1">{#N/A,#N/A,FALSE,"REPORT"}</definedName>
    <definedName name="qertweyu_5" hidden="1">{#N/A,#N/A,FALSE,"REPORT"}</definedName>
    <definedName name="qetryywt" localSheetId="0" hidden="1">{#N/A,#N/A,FALSE,"REPORT"}</definedName>
    <definedName name="qetryywt" localSheetId="6" hidden="1">{#N/A,#N/A,FALSE,"REPORT"}</definedName>
    <definedName name="qetryywt" hidden="1">{#N/A,#N/A,FALSE,"REPORT"}</definedName>
    <definedName name="qetryywt_1" localSheetId="0" hidden="1">{#N/A,#N/A,FALSE,"REPORT"}</definedName>
    <definedName name="qetryywt_1" localSheetId="6" hidden="1">{#N/A,#N/A,FALSE,"REPORT"}</definedName>
    <definedName name="qetryywt_1" hidden="1">{#N/A,#N/A,FALSE,"REPORT"}</definedName>
    <definedName name="qetryywt_1_1" localSheetId="0" hidden="1">{#N/A,#N/A,FALSE,"REPORT"}</definedName>
    <definedName name="qetryywt_1_1" localSheetId="6" hidden="1">{#N/A,#N/A,FALSE,"REPORT"}</definedName>
    <definedName name="qetryywt_1_1" hidden="1">{#N/A,#N/A,FALSE,"REPORT"}</definedName>
    <definedName name="qetryywt_2" localSheetId="0" hidden="1">{#N/A,#N/A,FALSE,"REPORT"}</definedName>
    <definedName name="qetryywt_2" localSheetId="6" hidden="1">{#N/A,#N/A,FALSE,"REPORT"}</definedName>
    <definedName name="qetryywt_2" hidden="1">{#N/A,#N/A,FALSE,"REPORT"}</definedName>
    <definedName name="qetryywt_3" localSheetId="0" hidden="1">{#N/A,#N/A,FALSE,"REPORT"}</definedName>
    <definedName name="qetryywt_3" localSheetId="6" hidden="1">{#N/A,#N/A,FALSE,"REPORT"}</definedName>
    <definedName name="qetryywt_3" hidden="1">{#N/A,#N/A,FALSE,"REPORT"}</definedName>
    <definedName name="qetryywt_4" localSheetId="0" hidden="1">{#N/A,#N/A,FALSE,"REPORT"}</definedName>
    <definedName name="qetryywt_4" localSheetId="6" hidden="1">{#N/A,#N/A,FALSE,"REPORT"}</definedName>
    <definedName name="qetryywt_4" hidden="1">{#N/A,#N/A,FALSE,"REPORT"}</definedName>
    <definedName name="qetryywt_5" localSheetId="0" hidden="1">{#N/A,#N/A,FALSE,"REPORT"}</definedName>
    <definedName name="qetryywt_5" localSheetId="6" hidden="1">{#N/A,#N/A,FALSE,"REPORT"}</definedName>
    <definedName name="qetryywt_5" hidden="1">{#N/A,#N/A,FALSE,"REPORT"}</definedName>
    <definedName name="qFQ3F" hidden="1">#REF!</definedName>
    <definedName name="QFWv" hidden="1">#REF!</definedName>
    <definedName name="qgg" localSheetId="0" hidden="1">{#N/A,#N/A,FALSE,"Cover";"outputs total",#N/A,FALSE,"Outputs"}</definedName>
    <definedName name="qgg" localSheetId="6" hidden="1">{#N/A,#N/A,FALSE,"Cover";"outputs total",#N/A,FALSE,"Outputs"}</definedName>
    <definedName name="qgg" hidden="1">{#N/A,#N/A,FALSE,"Cover";"outputs total",#N/A,FALSE,"Outputs"}</definedName>
    <definedName name="qlx" localSheetId="6" hidden="1">{#N/A,#N/A,TRUE,"FA 1 &amp; 2";#N/A,#N/A,TRUE,"FA 3 &amp; 4";#N/A,#N/A,TRUE,"FA 5 &amp; 6";#N/A,#N/A,TRUE,"FA 7 &amp; 8";#N/A,#N/A,TRUE,"FA 9 &amp; 10";#N/A,#N/A,TRUE,"FA 11";#N/A,#N/A,TRUE,"FA 12";#N/A,#N/A,TRUE,"FA 13";#N/A,#N/A,TRUE,"FA 14 &amp; 15"}</definedName>
    <definedName name="qlx" hidden="1">{#N/A,#N/A,TRUE,"FA 1 &amp; 2";#N/A,#N/A,TRUE,"FA 3 &amp; 4";#N/A,#N/A,TRUE,"FA 5 &amp; 6";#N/A,#N/A,TRUE,"FA 7 &amp; 8";#N/A,#N/A,TRUE,"FA 9 &amp; 10";#N/A,#N/A,TRUE,"FA 11";#N/A,#N/A,TRUE,"FA 12";#N/A,#N/A,TRUE,"FA 13";#N/A,#N/A,TRUE,"FA 14 &amp; 15"}</definedName>
    <definedName name="qpr"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qpr"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qq" localSheetId="0" hidden="1">{#N/A,#N/A,TRUE,"PROFIT 11-95"}</definedName>
    <definedName name="qq" localSheetId="6" hidden="1">{#N/A,#N/A,TRUE,"PROFIT 11-95"}</definedName>
    <definedName name="qq" hidden="1">{#N/A,#N/A,TRUE,"PROFIT 11-95"}</definedName>
    <definedName name="QQQ">#REF!</definedName>
    <definedName name="qqq_1" localSheetId="0" hidden="1">{#N/A,#N/A,FALSE,"Pharm";#N/A,#N/A,FALSE,"WWCM"}</definedName>
    <definedName name="qqq_1" localSheetId="6" hidden="1">{#N/A,#N/A,FALSE,"Pharm";#N/A,#N/A,FALSE,"WWCM"}</definedName>
    <definedName name="qqq_1" hidden="1">{#N/A,#N/A,FALSE,"Pharm";#N/A,#N/A,FALSE,"WWCM"}</definedName>
    <definedName name="qqq_1_1" localSheetId="0" hidden="1">{#N/A,#N/A,FALSE,"Pharm";#N/A,#N/A,FALSE,"WWCM"}</definedName>
    <definedName name="qqq_1_1" localSheetId="6" hidden="1">{#N/A,#N/A,FALSE,"Pharm";#N/A,#N/A,FALSE,"WWCM"}</definedName>
    <definedName name="qqq_1_1" hidden="1">{#N/A,#N/A,FALSE,"Pharm";#N/A,#N/A,FALSE,"WWCM"}</definedName>
    <definedName name="qqq_2" localSheetId="0" hidden="1">{#N/A,#N/A,FALSE,"Pharm";#N/A,#N/A,FALSE,"WWCM"}</definedName>
    <definedName name="qqq_2" localSheetId="6" hidden="1">{#N/A,#N/A,FALSE,"Pharm";#N/A,#N/A,FALSE,"WWCM"}</definedName>
    <definedName name="qqq_2" hidden="1">{#N/A,#N/A,FALSE,"Pharm";#N/A,#N/A,FALSE,"WWCM"}</definedName>
    <definedName name="qqq_3" localSheetId="0" hidden="1">{#N/A,#N/A,FALSE,"Pharm";#N/A,#N/A,FALSE,"WWCM"}</definedName>
    <definedName name="qqq_3" localSheetId="6" hidden="1">{#N/A,#N/A,FALSE,"Pharm";#N/A,#N/A,FALSE,"WWCM"}</definedName>
    <definedName name="qqq_3" hidden="1">{#N/A,#N/A,FALSE,"Pharm";#N/A,#N/A,FALSE,"WWCM"}</definedName>
    <definedName name="qqq_4" localSheetId="0" hidden="1">{#N/A,#N/A,FALSE,"Pharm";#N/A,#N/A,FALSE,"WWCM"}</definedName>
    <definedName name="qqq_4" localSheetId="6" hidden="1">{#N/A,#N/A,FALSE,"Pharm";#N/A,#N/A,FALSE,"WWCM"}</definedName>
    <definedName name="qqq_4" hidden="1">{#N/A,#N/A,FALSE,"Pharm";#N/A,#N/A,FALSE,"WWCM"}</definedName>
    <definedName name="qqq_5" localSheetId="0" hidden="1">{#N/A,#N/A,FALSE,"Pharm";#N/A,#N/A,FALSE,"WWCM"}</definedName>
    <definedName name="qqq_5" localSheetId="6" hidden="1">{#N/A,#N/A,FALSE,"Pharm";#N/A,#N/A,FALSE,"WWCM"}</definedName>
    <definedName name="qqq_5" hidden="1">{#N/A,#N/A,FALSE,"Pharm";#N/A,#N/A,FALSE,"WWCM"}</definedName>
    <definedName name="QQQQ" localSheetId="0" hidden="1">{"'INDICE'!$A$1:$K$13","'1'!$A$1:$CC$78","'2'!$A$1:$P$78","'3'!$A$1:$CI$78","'4'!$A$1:$Q$78"}</definedName>
    <definedName name="QQQQ" localSheetId="6" hidden="1">{"'INDICE'!$A$1:$K$13","'1'!$A$1:$CC$78","'2'!$A$1:$P$78","'3'!$A$1:$CI$78","'4'!$A$1:$Q$78"}</definedName>
    <definedName name="QQQQ" hidden="1">{"'INDICE'!$A$1:$K$13","'1'!$A$1:$CC$78","'2'!$A$1:$P$78","'3'!$A$1:$CI$78","'4'!$A$1:$Q$78"}</definedName>
    <definedName name="QQQQ_1" localSheetId="0" hidden="1">{"'INDICE'!$A$1:$K$13","'1'!$A$1:$CC$78","'2'!$A$1:$P$78","'3'!$A$1:$CI$78","'4'!$A$1:$Q$78"}</definedName>
    <definedName name="QQQQ_1" localSheetId="6" hidden="1">{"'INDICE'!$A$1:$K$13","'1'!$A$1:$CC$78","'2'!$A$1:$P$78","'3'!$A$1:$CI$78","'4'!$A$1:$Q$78"}</definedName>
    <definedName name="QQQQ_1" hidden="1">{"'INDICE'!$A$1:$K$13","'1'!$A$1:$CC$78","'2'!$A$1:$P$78","'3'!$A$1:$CI$78","'4'!$A$1:$Q$78"}</definedName>
    <definedName name="qqqq_1_1" localSheetId="0" hidden="1">{#N/A,#N/A,FALSE,"Umsatz EO BP";#N/A,#N/A,FALSE,"Umsatz EO OP";#N/A,#N/A,FALSE,"ER EO BP";#N/A,#N/A,FALSE,"ER EO OP";#N/A,#N/A,FALSE,"EA EO (2)";#N/A,#N/A,FALSE,"EA EO";#N/A,#N/A,FALSE,"EA EO (3)";#N/A,#N/A,FALSE,"EA EO (4)";#N/A,#N/A,FALSE,"KA EO  (2)";#N/A,#N/A,FALSE,"KA EO";#N/A,#N/A,FALSE,"KA EO  (3)";#N/A,#N/A,FALSE,"KA EO (4)"}</definedName>
    <definedName name="qqqq_1_1" localSheetId="6" hidden="1">{#N/A,#N/A,FALSE,"Umsatz EO BP";#N/A,#N/A,FALSE,"Umsatz EO OP";#N/A,#N/A,FALSE,"ER EO BP";#N/A,#N/A,FALSE,"ER EO OP";#N/A,#N/A,FALSE,"EA EO (2)";#N/A,#N/A,FALSE,"EA EO";#N/A,#N/A,FALSE,"EA EO (3)";#N/A,#N/A,FALSE,"EA EO (4)";#N/A,#N/A,FALSE,"KA EO  (2)";#N/A,#N/A,FALSE,"KA EO";#N/A,#N/A,FALSE,"KA EO  (3)";#N/A,#N/A,FALSE,"KA EO (4)"}</definedName>
    <definedName name="qqqq_1_1" hidden="1">{#N/A,#N/A,FALSE,"Umsatz EO BP";#N/A,#N/A,FALSE,"Umsatz EO OP";#N/A,#N/A,FALSE,"ER EO BP";#N/A,#N/A,FALSE,"ER EO OP";#N/A,#N/A,FALSE,"EA EO (2)";#N/A,#N/A,FALSE,"EA EO";#N/A,#N/A,FALSE,"EA EO (3)";#N/A,#N/A,FALSE,"EA EO (4)";#N/A,#N/A,FALSE,"KA EO  (2)";#N/A,#N/A,FALSE,"KA EO";#N/A,#N/A,FALSE,"KA EO  (3)";#N/A,#N/A,FALSE,"KA EO (4)"}</definedName>
    <definedName name="qqqq_2" localSheetId="0" hidden="1">{#N/A,#N/A,FALSE,"Umsatz EO BP";#N/A,#N/A,FALSE,"Umsatz EO OP";#N/A,#N/A,FALSE,"ER EO BP";#N/A,#N/A,FALSE,"ER EO OP";#N/A,#N/A,FALSE,"EA EO (2)";#N/A,#N/A,FALSE,"EA EO";#N/A,#N/A,FALSE,"EA EO (3)";#N/A,#N/A,FALSE,"EA EO (4)";#N/A,#N/A,FALSE,"KA EO  (2)";#N/A,#N/A,FALSE,"KA EO";#N/A,#N/A,FALSE,"KA EO  (3)";#N/A,#N/A,FALSE,"KA EO (4)"}</definedName>
    <definedName name="qqqq_2" localSheetId="6" hidden="1">{#N/A,#N/A,FALSE,"Umsatz EO BP";#N/A,#N/A,FALSE,"Umsatz EO OP";#N/A,#N/A,FALSE,"ER EO BP";#N/A,#N/A,FALSE,"ER EO OP";#N/A,#N/A,FALSE,"EA EO (2)";#N/A,#N/A,FALSE,"EA EO";#N/A,#N/A,FALSE,"EA EO (3)";#N/A,#N/A,FALSE,"EA EO (4)";#N/A,#N/A,FALSE,"KA EO  (2)";#N/A,#N/A,FALSE,"KA EO";#N/A,#N/A,FALSE,"KA EO  (3)";#N/A,#N/A,FALSE,"KA EO (4)"}</definedName>
    <definedName name="qqqq_2" hidden="1">{#N/A,#N/A,FALSE,"Umsatz EO BP";#N/A,#N/A,FALSE,"Umsatz EO OP";#N/A,#N/A,FALSE,"ER EO BP";#N/A,#N/A,FALSE,"ER EO OP";#N/A,#N/A,FALSE,"EA EO (2)";#N/A,#N/A,FALSE,"EA EO";#N/A,#N/A,FALSE,"EA EO (3)";#N/A,#N/A,FALSE,"EA EO (4)";#N/A,#N/A,FALSE,"KA EO  (2)";#N/A,#N/A,FALSE,"KA EO";#N/A,#N/A,FALSE,"KA EO  (3)";#N/A,#N/A,FALSE,"KA EO (4)"}</definedName>
    <definedName name="qqqq_3" localSheetId="0" hidden="1">{#N/A,#N/A,FALSE,"Umsatz EO BP";#N/A,#N/A,FALSE,"Umsatz EO OP";#N/A,#N/A,FALSE,"ER EO BP";#N/A,#N/A,FALSE,"ER EO OP";#N/A,#N/A,FALSE,"EA EO (2)";#N/A,#N/A,FALSE,"EA EO";#N/A,#N/A,FALSE,"EA EO (3)";#N/A,#N/A,FALSE,"EA EO (4)";#N/A,#N/A,FALSE,"KA EO  (2)";#N/A,#N/A,FALSE,"KA EO";#N/A,#N/A,FALSE,"KA EO  (3)";#N/A,#N/A,FALSE,"KA EO (4)"}</definedName>
    <definedName name="qqqq_3" localSheetId="6" hidden="1">{#N/A,#N/A,FALSE,"Umsatz EO BP";#N/A,#N/A,FALSE,"Umsatz EO OP";#N/A,#N/A,FALSE,"ER EO BP";#N/A,#N/A,FALSE,"ER EO OP";#N/A,#N/A,FALSE,"EA EO (2)";#N/A,#N/A,FALSE,"EA EO";#N/A,#N/A,FALSE,"EA EO (3)";#N/A,#N/A,FALSE,"EA EO (4)";#N/A,#N/A,FALSE,"KA EO  (2)";#N/A,#N/A,FALSE,"KA EO";#N/A,#N/A,FALSE,"KA EO  (3)";#N/A,#N/A,FALSE,"KA EO (4)"}</definedName>
    <definedName name="qqqq_3" hidden="1">{#N/A,#N/A,FALSE,"Umsatz EO BP";#N/A,#N/A,FALSE,"Umsatz EO OP";#N/A,#N/A,FALSE,"ER EO BP";#N/A,#N/A,FALSE,"ER EO OP";#N/A,#N/A,FALSE,"EA EO (2)";#N/A,#N/A,FALSE,"EA EO";#N/A,#N/A,FALSE,"EA EO (3)";#N/A,#N/A,FALSE,"EA EO (4)";#N/A,#N/A,FALSE,"KA EO  (2)";#N/A,#N/A,FALSE,"KA EO";#N/A,#N/A,FALSE,"KA EO  (3)";#N/A,#N/A,FALSE,"KA EO (4)"}</definedName>
    <definedName name="qqqq_4" localSheetId="0" hidden="1">{#N/A,#N/A,FALSE,"Umsatz EO BP";#N/A,#N/A,FALSE,"Umsatz EO OP";#N/A,#N/A,FALSE,"ER EO BP";#N/A,#N/A,FALSE,"ER EO OP";#N/A,#N/A,FALSE,"EA EO (2)";#N/A,#N/A,FALSE,"EA EO";#N/A,#N/A,FALSE,"EA EO (3)";#N/A,#N/A,FALSE,"EA EO (4)";#N/A,#N/A,FALSE,"KA EO  (2)";#N/A,#N/A,FALSE,"KA EO";#N/A,#N/A,FALSE,"KA EO  (3)";#N/A,#N/A,FALSE,"KA EO (4)"}</definedName>
    <definedName name="qqqq_4" localSheetId="6" hidden="1">{#N/A,#N/A,FALSE,"Umsatz EO BP";#N/A,#N/A,FALSE,"Umsatz EO OP";#N/A,#N/A,FALSE,"ER EO BP";#N/A,#N/A,FALSE,"ER EO OP";#N/A,#N/A,FALSE,"EA EO (2)";#N/A,#N/A,FALSE,"EA EO";#N/A,#N/A,FALSE,"EA EO (3)";#N/A,#N/A,FALSE,"EA EO (4)";#N/A,#N/A,FALSE,"KA EO  (2)";#N/A,#N/A,FALSE,"KA EO";#N/A,#N/A,FALSE,"KA EO  (3)";#N/A,#N/A,FALSE,"KA EO (4)"}</definedName>
    <definedName name="qqqq_4" hidden="1">{#N/A,#N/A,FALSE,"Umsatz EO BP";#N/A,#N/A,FALSE,"Umsatz EO OP";#N/A,#N/A,FALSE,"ER EO BP";#N/A,#N/A,FALSE,"ER EO OP";#N/A,#N/A,FALSE,"EA EO (2)";#N/A,#N/A,FALSE,"EA EO";#N/A,#N/A,FALSE,"EA EO (3)";#N/A,#N/A,FALSE,"EA EO (4)";#N/A,#N/A,FALSE,"KA EO  (2)";#N/A,#N/A,FALSE,"KA EO";#N/A,#N/A,FALSE,"KA EO  (3)";#N/A,#N/A,FALSE,"KA EO (4)"}</definedName>
    <definedName name="qqqq_5" localSheetId="0" hidden="1">{#N/A,#N/A,FALSE,"Umsatz EO BP";#N/A,#N/A,FALSE,"Umsatz EO OP";#N/A,#N/A,FALSE,"ER EO BP";#N/A,#N/A,FALSE,"ER EO OP";#N/A,#N/A,FALSE,"EA EO (2)";#N/A,#N/A,FALSE,"EA EO";#N/A,#N/A,FALSE,"EA EO (3)";#N/A,#N/A,FALSE,"EA EO (4)";#N/A,#N/A,FALSE,"KA EO  (2)";#N/A,#N/A,FALSE,"KA EO";#N/A,#N/A,FALSE,"KA EO  (3)";#N/A,#N/A,FALSE,"KA EO (4)"}</definedName>
    <definedName name="qqqq_5" localSheetId="6" hidden="1">{#N/A,#N/A,FALSE,"Umsatz EO BP";#N/A,#N/A,FALSE,"Umsatz EO OP";#N/A,#N/A,FALSE,"ER EO BP";#N/A,#N/A,FALSE,"ER EO OP";#N/A,#N/A,FALSE,"EA EO (2)";#N/A,#N/A,FALSE,"EA EO";#N/A,#N/A,FALSE,"EA EO (3)";#N/A,#N/A,FALSE,"EA EO (4)";#N/A,#N/A,FALSE,"KA EO  (2)";#N/A,#N/A,FALSE,"KA EO";#N/A,#N/A,FALSE,"KA EO  (3)";#N/A,#N/A,FALSE,"KA EO (4)"}</definedName>
    <definedName name="qqqq_5" hidden="1">{#N/A,#N/A,FALSE,"Umsatz EO BP";#N/A,#N/A,FALSE,"Umsatz EO OP";#N/A,#N/A,FALSE,"ER EO BP";#N/A,#N/A,FALSE,"ER EO OP";#N/A,#N/A,FALSE,"EA EO (2)";#N/A,#N/A,FALSE,"EA EO";#N/A,#N/A,FALSE,"EA EO (3)";#N/A,#N/A,FALSE,"EA EO (4)";#N/A,#N/A,FALSE,"KA EO  (2)";#N/A,#N/A,FALSE,"KA EO";#N/A,#N/A,FALSE,"KA EO  (3)";#N/A,#N/A,FALSE,"KA EO (4)"}</definedName>
    <definedName name="QQQQQ"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QQQQQ"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QQQQQ"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qqqqqq" localSheetId="0" hidden="1">{"'INDICE'!$A$1:$K$13","'1'!$A$1:$CC$78","'2'!$A$1:$P$78","'3'!$A$1:$CI$78","'4'!$A$1:$Q$78"}</definedName>
    <definedName name="qqqqqq" localSheetId="6" hidden="1">{"'INDICE'!$A$1:$K$13","'1'!$A$1:$CC$78","'2'!$A$1:$P$78","'3'!$A$1:$CI$78","'4'!$A$1:$Q$78"}</definedName>
    <definedName name="qqqqqq" hidden="1">{"'INDICE'!$A$1:$K$13","'1'!$A$1:$CC$78","'2'!$A$1:$P$78","'3'!$A$1:$CI$78","'4'!$A$1:$Q$78"}</definedName>
    <definedName name="qqqqqq_1" localSheetId="0" hidden="1">{"'INDICE'!$A$1:$K$13","'1'!$A$1:$CC$78","'2'!$A$1:$P$78","'3'!$A$1:$CI$78","'4'!$A$1:$Q$78"}</definedName>
    <definedName name="qqqqqq_1" localSheetId="6" hidden="1">{"'INDICE'!$A$1:$K$13","'1'!$A$1:$CC$78","'2'!$A$1:$P$78","'3'!$A$1:$CI$78","'4'!$A$1:$Q$78"}</definedName>
    <definedName name="qqqqqq_1" hidden="1">{"'INDICE'!$A$1:$K$13","'1'!$A$1:$CC$78","'2'!$A$1:$P$78","'3'!$A$1:$CI$78","'4'!$A$1:$Q$78"}</definedName>
    <definedName name="qqqqqqq" localSheetId="6" hidden="1">{#N/A,#N/A,TRUE,"FA 1 &amp; 2";#N/A,#N/A,TRUE,"FA 3 &amp; 4";#N/A,#N/A,TRUE,"FA 5 &amp; 6";#N/A,#N/A,TRUE,"FA 7 &amp; 8";#N/A,#N/A,TRUE,"FA 9 &amp; 10";#N/A,#N/A,TRUE,"FA 11";#N/A,#N/A,TRUE,"FA 12";#N/A,#N/A,TRUE,"FA 13";#N/A,#N/A,TRUE,"FA 14 &amp; 15"}</definedName>
    <definedName name="qqqqqqq" hidden="1">{#N/A,#N/A,TRUE,"FA 1 &amp; 2";#N/A,#N/A,TRUE,"FA 3 &amp; 4";#N/A,#N/A,TRUE,"FA 5 &amp; 6";#N/A,#N/A,TRUE,"FA 7 &amp; 8";#N/A,#N/A,TRUE,"FA 9 &amp; 10";#N/A,#N/A,TRUE,"FA 11";#N/A,#N/A,TRUE,"FA 12";#N/A,#N/A,TRUE,"FA 13";#N/A,#N/A,TRUE,"FA 14 &amp; 15"}</definedName>
    <definedName name="qqqqqqqq" localSheetId="6" hidden="1">{"year1",#N/A,FALSE,"IZT";"year2",#N/A,FALSE,"IZT"}</definedName>
    <definedName name="qqqqqqqq" hidden="1">{"year1",#N/A,FALSE,"IZT";"year2",#N/A,FALSE,"IZT"}</definedName>
    <definedName name="qqqqqqqqq" localSheetId="6" hidden="1">{#N/A,#N/A,FALSE,"Spo Ole";#N/A,#N/A,FALSE,"Spool";#N/A,#N/A,FALSE,"AMP OT Diffs";#N/A,#N/A,FALSE,"Other OT Diffs ";#N/A,#N/A,FALSE,"Spend Diffs"}</definedName>
    <definedName name="qqqqqqqqq" hidden="1">{#N/A,#N/A,FALSE,"Spo Ole";#N/A,#N/A,FALSE,"Spool";#N/A,#N/A,FALSE,"AMP OT Diffs";#N/A,#N/A,FALSE,"Other OT Diffs ";#N/A,#N/A,FALSE,"Spend Diffs"}</definedName>
    <definedName name="QQQQSDD" localSheetId="0" hidden="1">{"Graphic",#N/A,TRUE,"Graphic"}</definedName>
    <definedName name="QQQQSDD" localSheetId="6" hidden="1">{"Graphic",#N/A,TRUE,"Graphic"}</definedName>
    <definedName name="QQQQSDD" hidden="1">{"Graphic",#N/A,TRUE,"Graphic"}</definedName>
    <definedName name="QQQQSDD_1" localSheetId="0" hidden="1">{"Graphic",#N/A,TRUE,"Graphic"}</definedName>
    <definedName name="QQQQSDD_1" localSheetId="6" hidden="1">{"Graphic",#N/A,TRUE,"Graphic"}</definedName>
    <definedName name="QQQQSDD_1" hidden="1">{"Graphic",#N/A,TRUE,"Graphic"}</definedName>
    <definedName name="qqwtweryey" localSheetId="0" hidden="1">{#N/A,#N/A,FALSE,"REPORT"}</definedName>
    <definedName name="qqwtweryey" localSheetId="6" hidden="1">{#N/A,#N/A,FALSE,"REPORT"}</definedName>
    <definedName name="qqwtweryey" hidden="1">{#N/A,#N/A,FALSE,"REPORT"}</definedName>
    <definedName name="qqwtweryey_1" localSheetId="0" hidden="1">{#N/A,#N/A,FALSE,"REPORT"}</definedName>
    <definedName name="qqwtweryey_1" localSheetId="6" hidden="1">{#N/A,#N/A,FALSE,"REPORT"}</definedName>
    <definedName name="qqwtweryey_1" hidden="1">{#N/A,#N/A,FALSE,"REPORT"}</definedName>
    <definedName name="qqwtweryey_1_1" localSheetId="0" hidden="1">{#N/A,#N/A,FALSE,"REPORT"}</definedName>
    <definedName name="qqwtweryey_1_1" localSheetId="6" hidden="1">{#N/A,#N/A,FALSE,"REPORT"}</definedName>
    <definedName name="qqwtweryey_1_1" hidden="1">{#N/A,#N/A,FALSE,"REPORT"}</definedName>
    <definedName name="qqwtweryey_2" localSheetId="0" hidden="1">{#N/A,#N/A,FALSE,"REPORT"}</definedName>
    <definedName name="qqwtweryey_2" localSheetId="6" hidden="1">{#N/A,#N/A,FALSE,"REPORT"}</definedName>
    <definedName name="qqwtweryey_2" hidden="1">{#N/A,#N/A,FALSE,"REPORT"}</definedName>
    <definedName name="qqwtweryey_3" localSheetId="0" hidden="1">{#N/A,#N/A,FALSE,"REPORT"}</definedName>
    <definedName name="qqwtweryey_3" localSheetId="6" hidden="1">{#N/A,#N/A,FALSE,"REPORT"}</definedName>
    <definedName name="qqwtweryey_3" hidden="1">{#N/A,#N/A,FALSE,"REPORT"}</definedName>
    <definedName name="qqwtweryey_4" localSheetId="0" hidden="1">{#N/A,#N/A,FALSE,"REPORT"}</definedName>
    <definedName name="qqwtweryey_4" localSheetId="6" hidden="1">{#N/A,#N/A,FALSE,"REPORT"}</definedName>
    <definedName name="qqwtweryey_4" hidden="1">{#N/A,#N/A,FALSE,"REPORT"}</definedName>
    <definedName name="qqwtweryey_5" localSheetId="0" hidden="1">{#N/A,#N/A,FALSE,"REPORT"}</definedName>
    <definedName name="qqwtweryey_5" localSheetId="6" hidden="1">{#N/A,#N/A,FALSE,"REPORT"}</definedName>
    <definedName name="qqwtweryey_5" hidden="1">{#N/A,#N/A,FALSE,"REPORT"}</definedName>
    <definedName name="QRYCOLS1" hidden="1">#REF!</definedName>
    <definedName name="QRYCOLS2" hidden="1">#REF!</definedName>
    <definedName name="QRYCOLS3" hidden="1">#REF!</definedName>
    <definedName name="QRYCOLS4" hidden="1">#REF!</definedName>
    <definedName name="QRYCOLS5" hidden="1">#REF!</definedName>
    <definedName name="QRYCOLS6" hidden="1">#REF!</definedName>
    <definedName name="QRYCOLS9" hidden="1">#REF!</definedName>
    <definedName name="QRYCOUNT" hidden="1">1</definedName>
    <definedName name="QRYDATA1" hidden="1">#REF!</definedName>
    <definedName name="QRYDATA2" hidden="1">#REF!</definedName>
    <definedName name="QRYDATA3" hidden="1">#REF!</definedName>
    <definedName name="QRYDATA4" hidden="1">#REF!</definedName>
    <definedName name="QRYDATA5" hidden="1">#REF!</definedName>
    <definedName name="QRYDATA6" hidden="1">#REF!</definedName>
    <definedName name="QRYDATA9" hidden="1">#REF!</definedName>
    <definedName name="QRYNAME1" hidden="1">"LAA_CPL_by_Country"</definedName>
    <definedName name="QRYNAME2" hidden="1">"Mexico CPL 4640"</definedName>
    <definedName name="QRYNAME3" hidden="1">"Mexico CPL Excl 4640"</definedName>
    <definedName name="QRYNAME4" hidden="1">"PR CPL Excl 2370"</definedName>
    <definedName name="QRYNAME5" hidden="1">"MexicoDataFile"</definedName>
    <definedName name="QRYNAME6" hidden="1">"LAA_CPL_by_Country excl 4640_2370"</definedName>
    <definedName name="QRYNAME7" hidden="1">"Balance_Sheet_PR 2370"</definedName>
    <definedName name="QRYNAME8" hidden="1">"APAC Bubble"</definedName>
    <definedName name="QRYNEXT" hidden="1">7</definedName>
    <definedName name="QRYSOURCE1" hidden="1">"EXCELRANGE-EXPAND-BQ"</definedName>
    <definedName name="QRYSOURCE2" hidden="1">"EXCELRANGE-EXPAND-BQ"</definedName>
    <definedName name="QRYSOURCE3" hidden="1">"EXCELRANGE-EXPAND-BQ"</definedName>
    <definedName name="QRYSOURCE4" hidden="1">"EXCELRANGE-EXPAND-BQ"</definedName>
    <definedName name="QRYSOURCE5" hidden="1">"EXCELRANGE-EXPAND-BQ"</definedName>
    <definedName name="QRYSOURCE6" hidden="1">"EXCELRANGE-EXPAND-BQ"</definedName>
    <definedName name="QRYSOURCE7" hidden="1">"EXCELRANGE-EXPAND-BQ"</definedName>
    <definedName name="QRYSOURCE8" hidden="1">"EXCELRANGE-EXPAND-BQ"</definedName>
    <definedName name="QRYWKS1" hidden="1">#REF!</definedName>
    <definedName name="QRYWKS2" hidden="1">#REF!</definedName>
    <definedName name="QRYWKS3" hidden="1">#REF!</definedName>
    <definedName name="QRYWKS4" hidden="1">#REF!</definedName>
    <definedName name="QRYWKS5" hidden="1">#REF!</definedName>
    <definedName name="QRYWKS6" hidden="1">#REF!</definedName>
    <definedName name="QRYWKS9" hidden="1">#REF!</definedName>
    <definedName name="qsad" localSheetId="0"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qsad" localSheetId="6"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qsad"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qscfaq" localSheetId="0" hidden="1">{"First Page",#N/A,FALSE,"Surfactants LBO";"Second Page",#N/A,FALSE,"Surfactants LBO"}</definedName>
    <definedName name="qscfaq" localSheetId="6" hidden="1">{"First Page",#N/A,FALSE,"Surfactants LBO";"Second Page",#N/A,FALSE,"Surfactants LBO"}</definedName>
    <definedName name="qscfaq" hidden="1">{"First Page",#N/A,FALSE,"Surfactants LBO";"Second Page",#N/A,FALSE,"Surfactants LBO"}</definedName>
    <definedName name="qsd" hidden="1">#REF!</definedName>
    <definedName name="qsdf" hidden="1">#REF!</definedName>
    <definedName name="QSDQS" hidden="1">#REF!</definedName>
    <definedName name="qsdvsv" hidden="1">#REF!</definedName>
    <definedName name="qsfd" localSheetId="0" hidden="1">{#N/A,#N/A,TRUE,"Cover sheet";#N/A,#N/A,TRUE,"INPUTS";#N/A,#N/A,TRUE,"OUTPUTS";#N/A,#N/A,TRUE,"VALUATION"}</definedName>
    <definedName name="qsfd" localSheetId="6" hidden="1">{#N/A,#N/A,TRUE,"Cover sheet";#N/A,#N/A,TRUE,"INPUTS";#N/A,#N/A,TRUE,"OUTPUTS";#N/A,#N/A,TRUE,"VALUATION"}</definedName>
    <definedName name="qsfd" hidden="1">{#N/A,#N/A,TRUE,"Cover sheet";#N/A,#N/A,TRUE,"INPUTS";#N/A,#N/A,TRUE,"OUTPUTS";#N/A,#N/A,TRUE,"VALUATION"}</definedName>
    <definedName name="qsqs" localSheetId="0" hidden="1">{"vue1",#N/A,FALSE,"synthese";"vue2",#N/A,FALSE,"synthese"}</definedName>
    <definedName name="qsqs" localSheetId="6" hidden="1">{"vue1",#N/A,FALSE,"synthese";"vue2",#N/A,FALSE,"synthese"}</definedName>
    <definedName name="qsqs" hidden="1">{"vue1",#N/A,FALSE,"synthese";"vue2",#N/A,FALSE,"synthese"}</definedName>
    <definedName name="Qtr1_Actv_Amt1" hidden="1">#REF!</definedName>
    <definedName name="Qtr1_Actv_Amt2" hidden="1">#REF!</definedName>
    <definedName name="Qtr1_Actv_Amt3" hidden="1">#REF!</definedName>
    <definedName name="Qtr1_Actv_Amt4" hidden="1">#REF!</definedName>
    <definedName name="Qtr1_Actv_Amt5" hidden="1">#REF!</definedName>
    <definedName name="Qtr1_Actv_Amt6" hidden="1">#REF!</definedName>
    <definedName name="Qtr1_OP_Amt1" hidden="1">#REF!</definedName>
    <definedName name="Qtr1_OP_Amt2" hidden="1">#REF!</definedName>
    <definedName name="Qtr1_OP_Amt3" hidden="1">#REF!</definedName>
    <definedName name="Qtr1_OP_Amt4" hidden="1">#REF!</definedName>
    <definedName name="Qtr1_OP_Amt5" hidden="1">#REF!</definedName>
    <definedName name="Qtr1_OP_Amt6" hidden="1">#REF!</definedName>
    <definedName name="Qtr2_Actv_Amt1" hidden="1">#REF!</definedName>
    <definedName name="Qtr2_Actv_Amt2" hidden="1">#REF!</definedName>
    <definedName name="Qtr2_Actv_Amt3" hidden="1">#REF!</definedName>
    <definedName name="Qtr2_Actv_Amt4" hidden="1">#REF!</definedName>
    <definedName name="Qtr2_Actv_Amt5" hidden="1">#REF!</definedName>
    <definedName name="Qtr2_Actv_Amt6" hidden="1">#REF!</definedName>
    <definedName name="Qtr2_OP_Amt1" hidden="1">#REF!</definedName>
    <definedName name="Qtr2_OP_Amt2" hidden="1">#REF!</definedName>
    <definedName name="Qtr2_OP_Amt3" hidden="1">#REF!</definedName>
    <definedName name="Qtr2_OP_Amt4" hidden="1">#REF!</definedName>
    <definedName name="Qtr2_OP_Amt5" hidden="1">#REF!</definedName>
    <definedName name="Qtr2_OP_Amt6" hidden="1">#REF!</definedName>
    <definedName name="Qtr3_Actv_Amt1" hidden="1">#REF!</definedName>
    <definedName name="Qtr3_Actv_Amt2" hidden="1">#REF!</definedName>
    <definedName name="Qtr3_Actv_Amt3" hidden="1">#REF!</definedName>
    <definedName name="Qtr3_Actv_Amt4" hidden="1">#REF!</definedName>
    <definedName name="Qtr3_Actv_Amt5" hidden="1">#REF!</definedName>
    <definedName name="Qtr3_Actv_Amt6" hidden="1">#REF!</definedName>
    <definedName name="Qtr3_OP_Amt1" hidden="1">#REF!</definedName>
    <definedName name="Qtr3_OP_Amt2" hidden="1">#REF!</definedName>
    <definedName name="Qtr3_OP_Amt3" hidden="1">#REF!</definedName>
    <definedName name="Qtr3_OP_Amt4" hidden="1">#REF!</definedName>
    <definedName name="Qtr3_OP_Amt5" hidden="1">#REF!</definedName>
    <definedName name="Qtr3_OP_Amt6" hidden="1">#REF!</definedName>
    <definedName name="Qtr4_Actv_Amt1" hidden="1">#REF!</definedName>
    <definedName name="Qtr4_Actv_Amt2" hidden="1">#REF!</definedName>
    <definedName name="Qtr4_Actv_Amt3" hidden="1">#REF!</definedName>
    <definedName name="Qtr4_Actv_Amt4" hidden="1">#REF!</definedName>
    <definedName name="Qtr4_Actv_Amt5" hidden="1">#REF!</definedName>
    <definedName name="Qtr4_Actv_Amt6" hidden="1">#REF!</definedName>
    <definedName name="Qtr4_OP_Amt1" hidden="1">#REF!</definedName>
    <definedName name="Qtr4_OP_Amt2" hidden="1">#REF!</definedName>
    <definedName name="Qtr4_OP_Amt3" hidden="1">#REF!</definedName>
    <definedName name="Qtr4_OP_Amt4" hidden="1">#REF!</definedName>
    <definedName name="Qtr4_OP_Amt5" hidden="1">#REF!</definedName>
    <definedName name="Qtr4_OP_Amt6" hidden="1">#REF!</definedName>
    <definedName name="QU" localSheetId="0" hidden="1">{"'INDICE'!$A$1:$K$13","'1'!$A$1:$CC$78","'2'!$A$1:$P$78","'3'!$A$1:$CI$78","'4'!$A$1:$Q$78"}</definedName>
    <definedName name="QU" localSheetId="6" hidden="1">{"'INDICE'!$A$1:$K$13","'1'!$A$1:$CC$78","'2'!$A$1:$P$78","'3'!$A$1:$CI$78","'4'!$A$1:$Q$78"}</definedName>
    <definedName name="QU" hidden="1">{"'INDICE'!$A$1:$K$13","'1'!$A$1:$CC$78","'2'!$A$1:$P$78","'3'!$A$1:$CI$78","'4'!$A$1:$Q$78"}</definedName>
    <definedName name="QU_1" localSheetId="0" hidden="1">{"'INDICE'!$A$1:$K$13","'1'!$A$1:$CC$78","'2'!$A$1:$P$78","'3'!$A$1:$CI$78","'4'!$A$1:$Q$78"}</definedName>
    <definedName name="QU_1" localSheetId="6" hidden="1">{"'INDICE'!$A$1:$K$13","'1'!$A$1:$CC$78","'2'!$A$1:$P$78","'3'!$A$1:$CI$78","'4'!$A$1:$Q$78"}</definedName>
    <definedName name="QU_1" hidden="1">{"'INDICE'!$A$1:$K$13","'1'!$A$1:$CC$78","'2'!$A$1:$P$78","'3'!$A$1:$CI$78","'4'!$A$1:$Q$78"}</definedName>
    <definedName name="QUA" localSheetId="0" hidden="1">{"Graphic",#N/A,TRUE,"Graphic"}</definedName>
    <definedName name="QUA" localSheetId="6" hidden="1">{"Graphic",#N/A,TRUE,"Graphic"}</definedName>
    <definedName name="QUA" hidden="1">{"Graphic",#N/A,TRUE,"Graphic"}</definedName>
    <definedName name="QUA_1" localSheetId="0" hidden="1">{"Graphic",#N/A,TRUE,"Graphic"}</definedName>
    <definedName name="QUA_1" localSheetId="6" hidden="1">{"Graphic",#N/A,TRUE,"Graphic"}</definedName>
    <definedName name="QUA_1" hidden="1">{"Graphic",#N/A,TRUE,"Graphic"}</definedName>
    <definedName name="question" localSheetId="0" hidden="1">{#N/A,#N/A,TRUE,"Assumptions";#N/A,#N/A,TRUE,"Op Projection";#N/A,#N/A,TRUE,"Capital";#N/A,#N/A,TRUE,"Income";#N/A,#N/A,TRUE,"Balance";#N/A,#N/A,TRUE,"Sources&amp;Uses"}</definedName>
    <definedName name="question" localSheetId="6" hidden="1">{#N/A,#N/A,TRUE,"Assumptions";#N/A,#N/A,TRUE,"Op Projection";#N/A,#N/A,TRUE,"Capital";#N/A,#N/A,TRUE,"Income";#N/A,#N/A,TRUE,"Balance";#N/A,#N/A,TRUE,"Sources&amp;Uses"}</definedName>
    <definedName name="question" hidden="1">{#N/A,#N/A,TRUE,"Assumptions";#N/A,#N/A,TRUE,"Op Projection";#N/A,#N/A,TRUE,"Capital";#N/A,#N/A,TRUE,"Income";#N/A,#N/A,TRUE,"Balance";#N/A,#N/A,TRUE,"Sources&amp;Uses"}</definedName>
    <definedName name="QUICK_RATIO" hidden="1">"QUICK_RATIO"</definedName>
    <definedName name="quote.total.sell.1" hidden="1">IFERROR(#REF!,0)+IFERROR(#REF!,0)+IFERROR(#REF!,0)+IFERROR(#REF!,0)+IFERROR(#REF!,0)+IFERROR(#REF!,0)</definedName>
    <definedName name="QUOTE_241_DoNotDeleteThisName_1" hidden="1">#REF!</definedName>
    <definedName name="QUOTE_242_DoNotDeleteThisName_1" hidden="1">#REF!</definedName>
    <definedName name="QUOTE_243_DoNotDeleteThisName_1" hidden="1">#REF!</definedName>
    <definedName name="QUOTE_244_DoNotDeleteThisName_1" hidden="1">#REF!</definedName>
    <definedName name="QUOTE_245_DoNotDeleteThisName_1" hidden="1">#REF!</definedName>
    <definedName name="QUOTE_246_DoNotDeleteThisName_1" hidden="1">#REF!</definedName>
    <definedName name="QUOTE_247_DoNotDeleteThisName_1" hidden="1">#REF!</definedName>
    <definedName name="QUOTE_248_DoNotDeleteThisName_1" hidden="1">#REF!</definedName>
    <definedName name="QUOTE_249_DoNotDeleteThisName_1" hidden="1">#REF!</definedName>
    <definedName name="QUOTE_250_DoNotDeleteThisName_1" hidden="1">#REF!</definedName>
    <definedName name="QUOTE_251_DoNotDeleteThisName_1" hidden="1">#REF!</definedName>
    <definedName name="QUOTE_252_DoNotDeleteThisName_1" hidden="1">#REF!</definedName>
    <definedName name="QUOTE_253_DoNotDeleteThisName_1" hidden="1">#REF!</definedName>
    <definedName name="QUOTE_254_DoNotDeleteThisName_1" hidden="1">#REF!</definedName>
    <definedName name="QUOTE_255_DoNotDeleteThisName_1" hidden="1">#REF!</definedName>
    <definedName name="QUOTE_257_DoNotDeleteThisName_1" hidden="1">#REF!</definedName>
    <definedName name="QUOTE_258_DoNotDeleteThisName_1" hidden="1">#REF!</definedName>
    <definedName name="QUOTE_259_DoNotDeleteThisName_1" hidden="1">#REF!</definedName>
    <definedName name="QUOTE_260_DoNotDeleteThisName_1" hidden="1">#REF!</definedName>
    <definedName name="QUOTE_261_DoNotDeleteThisName_1" hidden="1">#REF!</definedName>
    <definedName name="QUOTE_262_DoNotDeleteThisName_1" hidden="1">#REF!</definedName>
    <definedName name="QUOTE_263_DoNotDeleteThisName_1" hidden="1">#REF!</definedName>
    <definedName name="QUOTE_264_DoNotDeleteThisName_1" hidden="1">#REF!</definedName>
    <definedName name="QUOTE_265_DoNotDeleteThisName_1" hidden="1">#REF!</definedName>
    <definedName name="QUOTE_266_DoNotDeleteThisName_1" hidden="1">#REF!</definedName>
    <definedName name="QUOTE_267_DoNotDeleteThisName_1" hidden="1">#REF!</definedName>
    <definedName name="QUOTE_268_DoNotDeleteThisName_1" hidden="1">#REF!</definedName>
    <definedName name="QUOTE_269_DoNotDeleteThisName_1" hidden="1">#REF!</definedName>
    <definedName name="QUOTE_270_DoNotDeleteThisName_1" hidden="1">#REF!</definedName>
    <definedName name="QUOTE_271_DoNotDeleteThisName_1" hidden="1">#REF!</definedName>
    <definedName name="QUOTE_272_DoNotDeleteThisName_1" hidden="1">#REF!</definedName>
    <definedName name="QUOTE_273_DoNotDeleteThisName_1" hidden="1">#REF!</definedName>
    <definedName name="QUOTE_274_DoNotDeleteThisName_1" hidden="1">#REF!</definedName>
    <definedName name="QUOTE_275_DoNotDeleteThisName_1" hidden="1">#REF!</definedName>
    <definedName name="QUOTE_277_DoNotDeleteThisName_1" hidden="1">#REF!</definedName>
    <definedName name="QUOTE_278_DoNotDeleteThisName_1" hidden="1">#REF!</definedName>
    <definedName name="QUOTE_279_DoNotDeleteThisName_1" hidden="1">#REF!</definedName>
    <definedName name="QUOTE_280_DoNotDeleteThisName_1" hidden="1">#REF!</definedName>
    <definedName name="QUOTE_281_DoNotDeleteThisName_1" hidden="1">#REF!</definedName>
    <definedName name="QUOTE_283_DoNotDeleteThisName_1" hidden="1">#REF!</definedName>
    <definedName name="QUOTE_284_DoNotDeleteThisName_1" hidden="1">#REF!</definedName>
    <definedName name="QUOTE_285_DoNotDeleteThisName_1" hidden="1">#REF!</definedName>
    <definedName name="QUOTE_286_DoNotDeleteThisName_1" hidden="1">#REF!</definedName>
    <definedName name="QUOTE_287_DoNotDeleteThisName_1" hidden="1">#REF!</definedName>
    <definedName name="QUOTE_288_DoNotDeleteThisName_1" hidden="1">#REF!</definedName>
    <definedName name="QUOTE_289_DoNotDeleteThisName_1" hidden="1">#REF!</definedName>
    <definedName name="QUOTE_290_DoNotDeleteThisName_1" hidden="1">#REF!</definedName>
    <definedName name="QUOTE_291_DoNotDeleteThisName_1" hidden="1">#REF!</definedName>
    <definedName name="QUOTE_292_DoNotDeleteThisName_1" hidden="1">#REF!</definedName>
    <definedName name="QUOTE_293_DoNotDeleteThisName_1" hidden="1">#REF!</definedName>
    <definedName name="QUOTE_294_DoNotDeleteThisName_1" hidden="1">#REF!</definedName>
    <definedName name="QUOTE_295_DoNotDeleteThisName_1" hidden="1">#REF!</definedName>
    <definedName name="QUOTE_296_DoNotDeleteThisName_1" hidden="1">#REF!</definedName>
    <definedName name="QUOTE_297_DoNotDeleteThisName_1" hidden="1">#REF!</definedName>
    <definedName name="QUOTE_300_DoNotDeleteThisName_1" hidden="1">#REF!</definedName>
    <definedName name="QUOTE_301_DoNotDeleteThisName_1" hidden="1">#REF!</definedName>
    <definedName name="QUOTE_302_DoNotDeleteThisName_1" hidden="1">#REF!</definedName>
    <definedName name="QUOTE_303_DoNotDeleteThisName_1" hidden="1">#REF!</definedName>
    <definedName name="QUOTE_304_DoNotDeleteThisName_1" hidden="1">#REF!</definedName>
    <definedName name="QUOTE_305_DoNotDeleteThisName_1" hidden="1">#REF!</definedName>
    <definedName name="QUOTE_306_DoNotDeleteThisName_1" hidden="1">#REF!</definedName>
    <definedName name="QUOTE_307_DoNotDeleteThisName_1" hidden="1">#REF!</definedName>
    <definedName name="QUOTE_308_DoNotDeleteThisName_1" hidden="1">#REF!</definedName>
    <definedName name="QUOTE_309_DoNotDeleteThisName_1" hidden="1">#REF!</definedName>
    <definedName name="QUOTE_310_DoNotDeleteThisName_1" hidden="1">#REF!</definedName>
    <definedName name="QUOTE_311_DoNotDeleteThisName_1" hidden="1">#REF!</definedName>
    <definedName name="QUOTE_312_DoNotDeleteThisName_1" hidden="1">#REF!</definedName>
    <definedName name="QUOTE_313_DoNotDeleteThisName_1" hidden="1">#REF!</definedName>
    <definedName name="QUOTE_314_DoNotDeleteThisName_1" hidden="1">#REF!</definedName>
    <definedName name="QUOTE_315_DoNotDeleteThisName_1" hidden="1">#REF!</definedName>
    <definedName name="QUOTE_316_DoNotDeleteThisName_1" hidden="1">#REF!</definedName>
    <definedName name="QUOTE_317_DoNotDeleteThisName_1" hidden="1">#REF!</definedName>
    <definedName name="QUOTE_318_DoNotDeleteThisName_1" hidden="1">#REF!</definedName>
    <definedName name="QUOTE_319_DoNotDeleteThisName_1" hidden="1">#REF!</definedName>
    <definedName name="QUOTE_320_DoNotDeleteThisName_1" hidden="1">#REF!</definedName>
    <definedName name="QUOTE_321_DoNotDeleteThisName_1" hidden="1">#REF!</definedName>
    <definedName name="QUOTE_322_DoNotDeleteThisName_1" hidden="1">#REF!</definedName>
    <definedName name="QUOTE_323_DoNotDeleteThisName_1" hidden="1">#REF!</definedName>
    <definedName name="QUOTE_324_DoNotDeleteThisName_1" hidden="1">#REF!</definedName>
    <definedName name="QUOTE_325_DoNotDeleteThisName_1" hidden="1">#REF!</definedName>
    <definedName name="QUOTE_326_DoNotDeleteThisName_1" hidden="1">#REF!</definedName>
    <definedName name="QUOTE_327_DoNotDeleteThisName_1" hidden="1">#REF!</definedName>
    <definedName name="QUOTE_328_DoNotDeleteThisName_1" hidden="1">#REF!</definedName>
    <definedName name="QUOTE_330_DoNotDeleteThisName_1" hidden="1">#REF!</definedName>
    <definedName name="QUOTE_331_DoNotDeleteThisName_1" hidden="1">#REF!</definedName>
    <definedName name="QUOTE_332_DoNotDeleteThisName_1" hidden="1">#REF!</definedName>
    <definedName name="QUOTE_333_DoNotDeleteThisName_1" hidden="1">#REF!</definedName>
    <definedName name="QUOTE_334_DoNotDeleteThisName_1" hidden="1">#REF!</definedName>
    <definedName name="QUOTE_335_DoNotDeleteThisName_1" hidden="1">#REF!</definedName>
    <definedName name="QUOTE_336_DoNotDeleteThisName_1" hidden="1">#REF!</definedName>
    <definedName name="QUOTE_337_DoNotDeleteThisName_1" hidden="1">#REF!</definedName>
    <definedName name="QUOTE_338_DoNotDeleteThisName_1" hidden="1">#REF!</definedName>
    <definedName name="QUOTE_339_DoNotDeleteThisName_1" hidden="1">#REF!</definedName>
    <definedName name="QUOTE_340_DoNotDeleteThisName_1" hidden="1">#REF!</definedName>
    <definedName name="QUOTE_341_DoNotDeleteThisName_1" hidden="1">#REF!</definedName>
    <definedName name="QUOTE_342_DoNotDeleteThisName_1" hidden="1">#REF!</definedName>
    <definedName name="QUOTE_343_DoNotDeleteThisName_1" hidden="1">#REF!</definedName>
    <definedName name="QUOTE_344_DoNotDeleteThisName_1" hidden="1">#REF!</definedName>
    <definedName name="QUOTE_345_DoNotDeleteThisName_1" hidden="1">#REF!</definedName>
    <definedName name="QUOTE_347_DoNotDeleteThisName_1" hidden="1">#REF!</definedName>
    <definedName name="QUOTE_348_DoNotDeleteThisName_1" hidden="1">#REF!</definedName>
    <definedName name="QUOTE_349_DoNotDeleteThisName_1" hidden="1">#REF!</definedName>
    <definedName name="QUOTE_350_DoNotDeleteThisName_1" hidden="1">#REF!</definedName>
    <definedName name="QUOTE_351_DoNotDeleteThisName_1" hidden="1">#REF!</definedName>
    <definedName name="QUOTE_352_DoNotDeleteThisName_1" hidden="1">#REF!</definedName>
    <definedName name="QUOTE_353_DoNotDeleteThisName_1" hidden="1">#REF!</definedName>
    <definedName name="QUOTE_354_DoNotDeleteThisName_1" hidden="1">#REF!</definedName>
    <definedName name="QUOTE_355_DoNotDeleteThisName_1" hidden="1">#REF!</definedName>
    <definedName name="QUOTE_356_DoNotDeleteThisName_1" hidden="1">#REF!</definedName>
    <definedName name="QUOTE_357_DoNotDeleteThisName_1" hidden="1">#REF!</definedName>
    <definedName name="QUOTE_358_DoNotDeleteThisName_1" hidden="1">#REF!</definedName>
    <definedName name="QUOTE_363_DoNotDeleteThisName_1" hidden="1">#REF!</definedName>
    <definedName name="QUOTE_364_DoNotDeleteThisName_1" hidden="1">#REF!</definedName>
    <definedName name="QUOTE_365_DoNotDeleteThisName_1" hidden="1">#REF!</definedName>
    <definedName name="QUOTE_369_DoNotDeleteThisName_1" hidden="1">#REF!</definedName>
    <definedName name="QUOTE_370_DoNotDeleteThisName_1" hidden="1">#REF!</definedName>
    <definedName name="QUOTE_371_DoNotDeleteThisName_1" hidden="1">#REF!</definedName>
    <definedName name="QUOTE_372_DoNotDeleteThisName_1" hidden="1">#REF!</definedName>
    <definedName name="QUOTE_379_DoNotDeleteThisName_1" hidden="1">#REF!</definedName>
    <definedName name="QUOTE_381_DoNotDeleteThisName_1" hidden="1">#REF!</definedName>
    <definedName name="QUOTE_384_DoNotDeleteThisName_1" hidden="1">#REF!</definedName>
    <definedName name="qw" localSheetId="0" hidden="1">{#N/A,#N/A,FALSE,"REPORT"}</definedName>
    <definedName name="qw" localSheetId="6" hidden="1">{#N/A,#N/A,FALSE,"REPORT"}</definedName>
    <definedName name="qw" hidden="1">{#N/A,#N/A,FALSE,"REPORT"}</definedName>
    <definedName name="qw_1" localSheetId="0" hidden="1">{#N/A,#N/A,FALSE,"REPORT"}</definedName>
    <definedName name="qw_1" localSheetId="6" hidden="1">{#N/A,#N/A,FALSE,"REPORT"}</definedName>
    <definedName name="qw_1" hidden="1">{#N/A,#N/A,FALSE,"REPORT"}</definedName>
    <definedName name="qw_1_1" localSheetId="0" hidden="1">{#N/A,#N/A,FALSE,"REPORT"}</definedName>
    <definedName name="qw_1_1" localSheetId="6" hidden="1">{#N/A,#N/A,FALSE,"REPORT"}</definedName>
    <definedName name="qw_1_1" hidden="1">{#N/A,#N/A,FALSE,"REPORT"}</definedName>
    <definedName name="qw_2" localSheetId="0" hidden="1">{#N/A,#N/A,FALSE,"REPORT"}</definedName>
    <definedName name="qw_2" localSheetId="6" hidden="1">{#N/A,#N/A,FALSE,"REPORT"}</definedName>
    <definedName name="qw_2" hidden="1">{#N/A,#N/A,FALSE,"REPORT"}</definedName>
    <definedName name="qw_3" localSheetId="0" hidden="1">{#N/A,#N/A,FALSE,"REPORT"}</definedName>
    <definedName name="qw_3" localSheetId="6" hidden="1">{#N/A,#N/A,FALSE,"REPORT"}</definedName>
    <definedName name="qw_3" hidden="1">{#N/A,#N/A,FALSE,"REPORT"}</definedName>
    <definedName name="qw_4" localSheetId="0" hidden="1">{#N/A,#N/A,FALSE,"REPORT"}</definedName>
    <definedName name="qw_4" localSheetId="6" hidden="1">{#N/A,#N/A,FALSE,"REPORT"}</definedName>
    <definedName name="qw_4" hidden="1">{#N/A,#N/A,FALSE,"REPORT"}</definedName>
    <definedName name="qw_5" localSheetId="0" hidden="1">{#N/A,#N/A,FALSE,"REPORT"}</definedName>
    <definedName name="qw_5" localSheetId="6" hidden="1">{#N/A,#N/A,FALSE,"REPORT"}</definedName>
    <definedName name="qw_5" hidden="1">{#N/A,#N/A,FALSE,"REPORT"}</definedName>
    <definedName name="qw2fkgur" localSheetId="6" hidden="1">{#N/A,#N/A,FALSE,"Valuation Assumptions";#N/A,#N/A,FALSE,"Summary";#N/A,#N/A,FALSE,"DCF";#N/A,#N/A,FALSE,"Valuation";#N/A,#N/A,FALSE,"WACC";#N/A,#N/A,FALSE,"UBVH";#N/A,#N/A,FALSE,"Free Cash Flow"}</definedName>
    <definedName name="qw2fkgur" hidden="1">{#N/A,#N/A,FALSE,"Valuation Assumptions";#N/A,#N/A,FALSE,"Summary";#N/A,#N/A,FALSE,"DCF";#N/A,#N/A,FALSE,"Valuation";#N/A,#N/A,FALSE,"WACC";#N/A,#N/A,FALSE,"UBVH";#N/A,#N/A,FALSE,"Free Cash Flow"}</definedName>
    <definedName name="qwaqa">#REF!</definedName>
    <definedName name="qwe" localSheetId="0" hidden="1">{#N/A,#N/A,TRUE,"Proposal";#N/A,#N/A,TRUE,"Assumptions";#N/A,#N/A,TRUE,"Net Income";#N/A,#N/A,TRUE,"Balsheet";#N/A,#N/A,TRUE,"Capex";#N/A,#N/A,TRUE,"Volumes";#N/A,#N/A,TRUE,"Revenues";#N/A,#N/A,TRUE,"Var.Costs";#N/A,#N/A,TRUE,"Personnel";#N/A,#N/A,TRUE,"Other costs";#N/A,#N/A,TRUE,"MKTG and G&amp;A"}</definedName>
    <definedName name="qwe" localSheetId="6" hidden="1">{#N/A,#N/A,TRUE,"Proposal";#N/A,#N/A,TRUE,"Assumptions";#N/A,#N/A,TRUE,"Net Income";#N/A,#N/A,TRUE,"Balsheet";#N/A,#N/A,TRUE,"Capex";#N/A,#N/A,TRUE,"Volumes";#N/A,#N/A,TRUE,"Revenues";#N/A,#N/A,TRUE,"Var.Costs";#N/A,#N/A,TRUE,"Personnel";#N/A,#N/A,TRUE,"Other costs";#N/A,#N/A,TRUE,"MKTG and G&amp;A"}</definedName>
    <definedName name="qwe" hidden="1">{#N/A,#N/A,TRUE,"Proposal";#N/A,#N/A,TRUE,"Assumptions";#N/A,#N/A,TRUE,"Net Income";#N/A,#N/A,TRUE,"Balsheet";#N/A,#N/A,TRUE,"Capex";#N/A,#N/A,TRUE,"Volumes";#N/A,#N/A,TRUE,"Revenues";#N/A,#N/A,TRUE,"Var.Costs";#N/A,#N/A,TRUE,"Personnel";#N/A,#N/A,TRUE,"Other costs";#N/A,#N/A,TRUE,"MKTG and G&amp;A"}</definedName>
    <definedName name="QWEEE"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QWEEE"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qweqweqwe" localSheetId="0" hidden="1">{#N/A,#N/A,TRUE,"0 Deckbl.";#N/A,#N/A,TRUE,"S 1 Komm";#N/A,#N/A,TRUE,"S 1a Komm";#N/A,#N/A,TRUE,"S 1b Komm";#N/A,#N/A,TRUE,"S  2 DBR";#N/A,#N/A,TRUE,"S  3 Sparten";#N/A,#N/A,TRUE,"S 4  Betr. K.";#N/A,#N/A,TRUE,"6 Bilanz";#N/A,#N/A,TRUE,"6a Bilanz ";#N/A,#N/A,TRUE,"6b Bilanz ";#N/A,#N/A,TRUE,"7 GS I";#N/A,#N/A,TRUE,"S 8 EQ-GuV"}</definedName>
    <definedName name="qweqweqwe" localSheetId="6" hidden="1">{#N/A,#N/A,TRUE,"0 Deckbl.";#N/A,#N/A,TRUE,"S 1 Komm";#N/A,#N/A,TRUE,"S 1a Komm";#N/A,#N/A,TRUE,"S 1b Komm";#N/A,#N/A,TRUE,"S  2 DBR";#N/A,#N/A,TRUE,"S  3 Sparten";#N/A,#N/A,TRUE,"S 4  Betr. K.";#N/A,#N/A,TRUE,"6 Bilanz";#N/A,#N/A,TRUE,"6a Bilanz ";#N/A,#N/A,TRUE,"6b Bilanz ";#N/A,#N/A,TRUE,"7 GS I";#N/A,#N/A,TRUE,"S 8 EQ-GuV"}</definedName>
    <definedName name="qweqweqwe" hidden="1">{#N/A,#N/A,TRUE,"0 Deckbl.";#N/A,#N/A,TRUE,"S 1 Komm";#N/A,#N/A,TRUE,"S 1a Komm";#N/A,#N/A,TRUE,"S 1b Komm";#N/A,#N/A,TRUE,"S  2 DBR";#N/A,#N/A,TRUE,"S  3 Sparten";#N/A,#N/A,TRUE,"S 4  Betr. K.";#N/A,#N/A,TRUE,"6 Bilanz";#N/A,#N/A,TRUE,"6a Bilanz ";#N/A,#N/A,TRUE,"6b Bilanz ";#N/A,#N/A,TRUE,"7 GS I";#N/A,#N/A,TRUE,"S 8 EQ-GuV"}</definedName>
    <definedName name="qweqwesg" localSheetId="0" hidden="1">{#N/A,#N/A,FALSE,"Umsatz CH";#N/A,#N/A,FALSE,"ER CH";#N/A,#N/A,FALSE,"EA CH (2) ";#N/A,#N/A,FALSE,"EA CH";#N/A,#N/A,FALSE,"EA CH (3) ";#N/A,#N/A,FALSE,"EA CH (4)";#N/A,#N/A,FALSE,"KA CH";#N/A,#N/A,FALSE,"KA CH  (2)";#N/A,#N/A,FALSE,"KA CH  (3)";#N/A,#N/A,FALSE,"KA CH (4)"}</definedName>
    <definedName name="qweqwesg" localSheetId="6" hidden="1">{#N/A,#N/A,FALSE,"Umsatz CH";#N/A,#N/A,FALSE,"ER CH";#N/A,#N/A,FALSE,"EA CH (2) ";#N/A,#N/A,FALSE,"EA CH";#N/A,#N/A,FALSE,"EA CH (3) ";#N/A,#N/A,FALSE,"EA CH (4)";#N/A,#N/A,FALSE,"KA CH";#N/A,#N/A,FALSE,"KA CH  (2)";#N/A,#N/A,FALSE,"KA CH  (3)";#N/A,#N/A,FALSE,"KA CH (4)"}</definedName>
    <definedName name="qweqwesg" hidden="1">{#N/A,#N/A,FALSE,"Umsatz CH";#N/A,#N/A,FALSE,"ER CH";#N/A,#N/A,FALSE,"EA CH (2) ";#N/A,#N/A,FALSE,"EA CH";#N/A,#N/A,FALSE,"EA CH (3) ";#N/A,#N/A,FALSE,"EA CH (4)";#N/A,#N/A,FALSE,"KA CH";#N/A,#N/A,FALSE,"KA CH  (2)";#N/A,#N/A,FALSE,"KA CH  (3)";#N/A,#N/A,FALSE,"KA CH (4)"}</definedName>
    <definedName name="qweqwesg_1" localSheetId="0" hidden="1">{#N/A,#N/A,FALSE,"Umsatz CH";#N/A,#N/A,FALSE,"ER CH";#N/A,#N/A,FALSE,"EA CH (2) ";#N/A,#N/A,FALSE,"EA CH";#N/A,#N/A,FALSE,"EA CH (3) ";#N/A,#N/A,FALSE,"EA CH (4)";#N/A,#N/A,FALSE,"KA CH";#N/A,#N/A,FALSE,"KA CH  (2)";#N/A,#N/A,FALSE,"KA CH  (3)";#N/A,#N/A,FALSE,"KA CH (4)"}</definedName>
    <definedName name="qweqwesg_1" localSheetId="6" hidden="1">{#N/A,#N/A,FALSE,"Umsatz CH";#N/A,#N/A,FALSE,"ER CH";#N/A,#N/A,FALSE,"EA CH (2) ";#N/A,#N/A,FALSE,"EA CH";#N/A,#N/A,FALSE,"EA CH (3) ";#N/A,#N/A,FALSE,"EA CH (4)";#N/A,#N/A,FALSE,"KA CH";#N/A,#N/A,FALSE,"KA CH  (2)";#N/A,#N/A,FALSE,"KA CH  (3)";#N/A,#N/A,FALSE,"KA CH (4)"}</definedName>
    <definedName name="qweqwesg_1" hidden="1">{#N/A,#N/A,FALSE,"Umsatz CH";#N/A,#N/A,FALSE,"ER CH";#N/A,#N/A,FALSE,"EA CH (2) ";#N/A,#N/A,FALSE,"EA CH";#N/A,#N/A,FALSE,"EA CH (3) ";#N/A,#N/A,FALSE,"EA CH (4)";#N/A,#N/A,FALSE,"KA CH";#N/A,#N/A,FALSE,"KA CH  (2)";#N/A,#N/A,FALSE,"KA CH  (3)";#N/A,#N/A,FALSE,"KA CH (4)"}</definedName>
    <definedName name="qweqwesg_1_1" localSheetId="0" hidden="1">{#N/A,#N/A,FALSE,"Umsatz CH";#N/A,#N/A,FALSE,"ER CH";#N/A,#N/A,FALSE,"EA CH (2) ";#N/A,#N/A,FALSE,"EA CH";#N/A,#N/A,FALSE,"EA CH (3) ";#N/A,#N/A,FALSE,"EA CH (4)";#N/A,#N/A,FALSE,"KA CH";#N/A,#N/A,FALSE,"KA CH  (2)";#N/A,#N/A,FALSE,"KA CH  (3)";#N/A,#N/A,FALSE,"KA CH (4)"}</definedName>
    <definedName name="qweqwesg_1_1" localSheetId="6" hidden="1">{#N/A,#N/A,FALSE,"Umsatz CH";#N/A,#N/A,FALSE,"ER CH";#N/A,#N/A,FALSE,"EA CH (2) ";#N/A,#N/A,FALSE,"EA CH";#N/A,#N/A,FALSE,"EA CH (3) ";#N/A,#N/A,FALSE,"EA CH (4)";#N/A,#N/A,FALSE,"KA CH";#N/A,#N/A,FALSE,"KA CH  (2)";#N/A,#N/A,FALSE,"KA CH  (3)";#N/A,#N/A,FALSE,"KA CH (4)"}</definedName>
    <definedName name="qweqwesg_1_1" hidden="1">{#N/A,#N/A,FALSE,"Umsatz CH";#N/A,#N/A,FALSE,"ER CH";#N/A,#N/A,FALSE,"EA CH (2) ";#N/A,#N/A,FALSE,"EA CH";#N/A,#N/A,FALSE,"EA CH (3) ";#N/A,#N/A,FALSE,"EA CH (4)";#N/A,#N/A,FALSE,"KA CH";#N/A,#N/A,FALSE,"KA CH  (2)";#N/A,#N/A,FALSE,"KA CH  (3)";#N/A,#N/A,FALSE,"KA CH (4)"}</definedName>
    <definedName name="qweqwesg_2" localSheetId="0" hidden="1">{#N/A,#N/A,FALSE,"Umsatz CH";#N/A,#N/A,FALSE,"ER CH";#N/A,#N/A,FALSE,"EA CH (2) ";#N/A,#N/A,FALSE,"EA CH";#N/A,#N/A,FALSE,"EA CH (3) ";#N/A,#N/A,FALSE,"EA CH (4)";#N/A,#N/A,FALSE,"KA CH";#N/A,#N/A,FALSE,"KA CH  (2)";#N/A,#N/A,FALSE,"KA CH  (3)";#N/A,#N/A,FALSE,"KA CH (4)"}</definedName>
    <definedName name="qweqwesg_2" localSheetId="6" hidden="1">{#N/A,#N/A,FALSE,"Umsatz CH";#N/A,#N/A,FALSE,"ER CH";#N/A,#N/A,FALSE,"EA CH (2) ";#N/A,#N/A,FALSE,"EA CH";#N/A,#N/A,FALSE,"EA CH (3) ";#N/A,#N/A,FALSE,"EA CH (4)";#N/A,#N/A,FALSE,"KA CH";#N/A,#N/A,FALSE,"KA CH  (2)";#N/A,#N/A,FALSE,"KA CH  (3)";#N/A,#N/A,FALSE,"KA CH (4)"}</definedName>
    <definedName name="qweqwesg_2" hidden="1">{#N/A,#N/A,FALSE,"Umsatz CH";#N/A,#N/A,FALSE,"ER CH";#N/A,#N/A,FALSE,"EA CH (2) ";#N/A,#N/A,FALSE,"EA CH";#N/A,#N/A,FALSE,"EA CH (3) ";#N/A,#N/A,FALSE,"EA CH (4)";#N/A,#N/A,FALSE,"KA CH";#N/A,#N/A,FALSE,"KA CH  (2)";#N/A,#N/A,FALSE,"KA CH  (3)";#N/A,#N/A,FALSE,"KA CH (4)"}</definedName>
    <definedName name="qweqwesg_3" localSheetId="0" hidden="1">{#N/A,#N/A,FALSE,"Umsatz CH";#N/A,#N/A,FALSE,"ER CH";#N/A,#N/A,FALSE,"EA CH (2) ";#N/A,#N/A,FALSE,"EA CH";#N/A,#N/A,FALSE,"EA CH (3) ";#N/A,#N/A,FALSE,"EA CH (4)";#N/A,#N/A,FALSE,"KA CH";#N/A,#N/A,FALSE,"KA CH  (2)";#N/A,#N/A,FALSE,"KA CH  (3)";#N/A,#N/A,FALSE,"KA CH (4)"}</definedName>
    <definedName name="qweqwesg_3" localSheetId="6" hidden="1">{#N/A,#N/A,FALSE,"Umsatz CH";#N/A,#N/A,FALSE,"ER CH";#N/A,#N/A,FALSE,"EA CH (2) ";#N/A,#N/A,FALSE,"EA CH";#N/A,#N/A,FALSE,"EA CH (3) ";#N/A,#N/A,FALSE,"EA CH (4)";#N/A,#N/A,FALSE,"KA CH";#N/A,#N/A,FALSE,"KA CH  (2)";#N/A,#N/A,FALSE,"KA CH  (3)";#N/A,#N/A,FALSE,"KA CH (4)"}</definedName>
    <definedName name="qweqwesg_3" hidden="1">{#N/A,#N/A,FALSE,"Umsatz CH";#N/A,#N/A,FALSE,"ER CH";#N/A,#N/A,FALSE,"EA CH (2) ";#N/A,#N/A,FALSE,"EA CH";#N/A,#N/A,FALSE,"EA CH (3) ";#N/A,#N/A,FALSE,"EA CH (4)";#N/A,#N/A,FALSE,"KA CH";#N/A,#N/A,FALSE,"KA CH  (2)";#N/A,#N/A,FALSE,"KA CH  (3)";#N/A,#N/A,FALSE,"KA CH (4)"}</definedName>
    <definedName name="qweqwesg_4" localSheetId="0" hidden="1">{#N/A,#N/A,FALSE,"Umsatz CH";#N/A,#N/A,FALSE,"ER CH";#N/A,#N/A,FALSE,"EA CH (2) ";#N/A,#N/A,FALSE,"EA CH";#N/A,#N/A,FALSE,"EA CH (3) ";#N/A,#N/A,FALSE,"EA CH (4)";#N/A,#N/A,FALSE,"KA CH";#N/A,#N/A,FALSE,"KA CH  (2)";#N/A,#N/A,FALSE,"KA CH  (3)";#N/A,#N/A,FALSE,"KA CH (4)"}</definedName>
    <definedName name="qweqwesg_4" localSheetId="6" hidden="1">{#N/A,#N/A,FALSE,"Umsatz CH";#N/A,#N/A,FALSE,"ER CH";#N/A,#N/A,FALSE,"EA CH (2) ";#N/A,#N/A,FALSE,"EA CH";#N/A,#N/A,FALSE,"EA CH (3) ";#N/A,#N/A,FALSE,"EA CH (4)";#N/A,#N/A,FALSE,"KA CH";#N/A,#N/A,FALSE,"KA CH  (2)";#N/A,#N/A,FALSE,"KA CH  (3)";#N/A,#N/A,FALSE,"KA CH (4)"}</definedName>
    <definedName name="qweqwesg_4" hidden="1">{#N/A,#N/A,FALSE,"Umsatz CH";#N/A,#N/A,FALSE,"ER CH";#N/A,#N/A,FALSE,"EA CH (2) ";#N/A,#N/A,FALSE,"EA CH";#N/A,#N/A,FALSE,"EA CH (3) ";#N/A,#N/A,FALSE,"EA CH (4)";#N/A,#N/A,FALSE,"KA CH";#N/A,#N/A,FALSE,"KA CH  (2)";#N/A,#N/A,FALSE,"KA CH  (3)";#N/A,#N/A,FALSE,"KA CH (4)"}</definedName>
    <definedName name="qweqwesg_5" localSheetId="0" hidden="1">{#N/A,#N/A,FALSE,"Umsatz CH";#N/A,#N/A,FALSE,"ER CH";#N/A,#N/A,FALSE,"EA CH (2) ";#N/A,#N/A,FALSE,"EA CH";#N/A,#N/A,FALSE,"EA CH (3) ";#N/A,#N/A,FALSE,"EA CH (4)";#N/A,#N/A,FALSE,"KA CH";#N/A,#N/A,FALSE,"KA CH  (2)";#N/A,#N/A,FALSE,"KA CH  (3)";#N/A,#N/A,FALSE,"KA CH (4)"}</definedName>
    <definedName name="qweqwesg_5" localSheetId="6" hidden="1">{#N/A,#N/A,FALSE,"Umsatz CH";#N/A,#N/A,FALSE,"ER CH";#N/A,#N/A,FALSE,"EA CH (2) ";#N/A,#N/A,FALSE,"EA CH";#N/A,#N/A,FALSE,"EA CH (3) ";#N/A,#N/A,FALSE,"EA CH (4)";#N/A,#N/A,FALSE,"KA CH";#N/A,#N/A,FALSE,"KA CH  (2)";#N/A,#N/A,FALSE,"KA CH  (3)";#N/A,#N/A,FALSE,"KA CH (4)"}</definedName>
    <definedName name="qweqwesg_5" hidden="1">{#N/A,#N/A,FALSE,"Umsatz CH";#N/A,#N/A,FALSE,"ER CH";#N/A,#N/A,FALSE,"EA CH (2) ";#N/A,#N/A,FALSE,"EA CH";#N/A,#N/A,FALSE,"EA CH (3) ";#N/A,#N/A,FALSE,"EA CH (4)";#N/A,#N/A,FALSE,"KA CH";#N/A,#N/A,FALSE,"KA CH  (2)";#N/A,#N/A,FALSE,"KA CH  (3)";#N/A,#N/A,FALSE,"KA CH (4)"}</definedName>
    <definedName name="qwer">#REF!</definedName>
    <definedName name="QWERDASC" hidden="1">#REF!</definedName>
    <definedName name="qwere" localSheetId="0"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qwere" localSheetId="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qwere"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qwerqew" localSheetId="0" hidden="1">{"mgmt forecast",#N/A,FALSE,"Mgmt Forecast";"dcf table",#N/A,FALSE,"Mgmt Forecast";"sensitivity",#N/A,FALSE,"Mgmt Forecast";"table inputs",#N/A,FALSE,"Mgmt Forecast";"calculations",#N/A,FALSE,"Mgmt Forecast"}</definedName>
    <definedName name="qwerqew" localSheetId="6" hidden="1">{"mgmt forecast",#N/A,FALSE,"Mgmt Forecast";"dcf table",#N/A,FALSE,"Mgmt Forecast";"sensitivity",#N/A,FALSE,"Mgmt Forecast";"table inputs",#N/A,FALSE,"Mgmt Forecast";"calculations",#N/A,FALSE,"Mgmt Forecast"}</definedName>
    <definedName name="qwerqew" hidden="1">{"mgmt forecast",#N/A,FALSE,"Mgmt Forecast";"dcf table",#N/A,FALSE,"Mgmt Forecast";"sensitivity",#N/A,FALSE,"Mgmt Forecast";"table inputs",#N/A,FALSE,"Mgmt Forecast";"calculations",#N/A,FALSE,"Mgmt Forecast"}</definedName>
    <definedName name="qwerqwerqwe" localSheetId="0" hidden="1">{"orixcsc",#N/A,FALSE,"ORIX CSC";"orixcsc2",#N/A,FALSE,"ORIX CSC"}</definedName>
    <definedName name="qwerqwerqwe" localSheetId="6" hidden="1">{"orixcsc",#N/A,FALSE,"ORIX CSC";"orixcsc2",#N/A,FALSE,"ORIX CSC"}</definedName>
    <definedName name="qwerqwerqwe" hidden="1">{"orixcsc",#N/A,FALSE,"ORIX CSC";"orixcsc2",#N/A,FALSE,"ORIX CSC"}</definedName>
    <definedName name="qwertqry" localSheetId="0" hidden="1">{#N/A,#N/A,FALSE,"REPORT"}</definedName>
    <definedName name="qwertqry" localSheetId="6" hidden="1">{#N/A,#N/A,FALSE,"REPORT"}</definedName>
    <definedName name="qwertqry" hidden="1">{#N/A,#N/A,FALSE,"REPORT"}</definedName>
    <definedName name="qwertqry_1" localSheetId="0" hidden="1">{#N/A,#N/A,FALSE,"REPORT"}</definedName>
    <definedName name="qwertqry_1" localSheetId="6" hidden="1">{#N/A,#N/A,FALSE,"REPORT"}</definedName>
    <definedName name="qwertqry_1" hidden="1">{#N/A,#N/A,FALSE,"REPORT"}</definedName>
    <definedName name="qwertqry_1_1" localSheetId="0" hidden="1">{#N/A,#N/A,FALSE,"REPORT"}</definedName>
    <definedName name="qwertqry_1_1" localSheetId="6" hidden="1">{#N/A,#N/A,FALSE,"REPORT"}</definedName>
    <definedName name="qwertqry_1_1" hidden="1">{#N/A,#N/A,FALSE,"REPORT"}</definedName>
    <definedName name="qwertqry_2" localSheetId="0" hidden="1">{#N/A,#N/A,FALSE,"REPORT"}</definedName>
    <definedName name="qwertqry_2" localSheetId="6" hidden="1">{#N/A,#N/A,FALSE,"REPORT"}</definedName>
    <definedName name="qwertqry_2" hidden="1">{#N/A,#N/A,FALSE,"REPORT"}</definedName>
    <definedName name="qwertqry_3" localSheetId="0" hidden="1">{#N/A,#N/A,FALSE,"REPORT"}</definedName>
    <definedName name="qwertqry_3" localSheetId="6" hidden="1">{#N/A,#N/A,FALSE,"REPORT"}</definedName>
    <definedName name="qwertqry_3" hidden="1">{#N/A,#N/A,FALSE,"REPORT"}</definedName>
    <definedName name="qwertqry_4" localSheetId="0" hidden="1">{#N/A,#N/A,FALSE,"REPORT"}</definedName>
    <definedName name="qwertqry_4" localSheetId="6" hidden="1">{#N/A,#N/A,FALSE,"REPORT"}</definedName>
    <definedName name="qwertqry_4" hidden="1">{#N/A,#N/A,FALSE,"REPORT"}</definedName>
    <definedName name="qwertqry_5" localSheetId="0" hidden="1">{#N/A,#N/A,FALSE,"REPORT"}</definedName>
    <definedName name="qwertqry_5" localSheetId="6" hidden="1">{#N/A,#N/A,FALSE,"REPORT"}</definedName>
    <definedName name="qwertqry_5" hidden="1">{#N/A,#N/A,FALSE,"REPORT"}</definedName>
    <definedName name="qwerty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qwerty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qwerty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qwerw" localSheetId="0" hidden="1">{#N/A,#N/A,FALSE,"Hip.Bas";#N/A,#N/A,FALSE,"ventas";#N/A,#N/A,FALSE,"ingre-Año";#N/A,#N/A,FALSE,"ventas-Año";#N/A,#N/A,FALSE,"Costepro";#N/A,#N/A,FALSE,"inversion";#N/A,#N/A,FALSE,"personal";#N/A,#N/A,FALSE,"Gastos-V";#N/A,#N/A,FALSE,"Circulante";#N/A,#N/A,FALSE,"CONSOLI";#N/A,#N/A,FALSE,"Es-Fin";#N/A,#N/A,FALSE,"Margen-P"}</definedName>
    <definedName name="qwerw" localSheetId="6" hidden="1">{#N/A,#N/A,FALSE,"Hip.Bas";#N/A,#N/A,FALSE,"ventas";#N/A,#N/A,FALSE,"ingre-Año";#N/A,#N/A,FALSE,"ventas-Año";#N/A,#N/A,FALSE,"Costepro";#N/A,#N/A,FALSE,"inversion";#N/A,#N/A,FALSE,"personal";#N/A,#N/A,FALSE,"Gastos-V";#N/A,#N/A,FALSE,"Circulante";#N/A,#N/A,FALSE,"CONSOLI";#N/A,#N/A,FALSE,"Es-Fin";#N/A,#N/A,FALSE,"Margen-P"}</definedName>
    <definedName name="qwerw" hidden="1">{#N/A,#N/A,FALSE,"Hip.Bas";#N/A,#N/A,FALSE,"ventas";#N/A,#N/A,FALSE,"ingre-Año";#N/A,#N/A,FALSE,"ventas-Año";#N/A,#N/A,FALSE,"Costepro";#N/A,#N/A,FALSE,"inversion";#N/A,#N/A,FALSE,"personal";#N/A,#N/A,FALSE,"Gastos-V";#N/A,#N/A,FALSE,"Circulante";#N/A,#N/A,FALSE,"CONSOLI";#N/A,#N/A,FALSE,"Es-Fin";#N/A,#N/A,FALSE,"Margen-P"}</definedName>
    <definedName name="qwetqryetytu" localSheetId="0" hidden="1">{#N/A,#N/A,FALSE,"Pharm";#N/A,#N/A,FALSE,"WWCM"}</definedName>
    <definedName name="qwetqryetytu" localSheetId="6" hidden="1">{#N/A,#N/A,FALSE,"Pharm";#N/A,#N/A,FALSE,"WWCM"}</definedName>
    <definedName name="qwetqryetytu" hidden="1">{#N/A,#N/A,FALSE,"Pharm";#N/A,#N/A,FALSE,"WWCM"}</definedName>
    <definedName name="qwetqryetytu_1" localSheetId="0" hidden="1">{#N/A,#N/A,FALSE,"Pharm";#N/A,#N/A,FALSE,"WWCM"}</definedName>
    <definedName name="qwetqryetytu_1" localSheetId="6" hidden="1">{#N/A,#N/A,FALSE,"Pharm";#N/A,#N/A,FALSE,"WWCM"}</definedName>
    <definedName name="qwetqryetytu_1" hidden="1">{#N/A,#N/A,FALSE,"Pharm";#N/A,#N/A,FALSE,"WWCM"}</definedName>
    <definedName name="qwetqryetytu_1_1" localSheetId="0" hidden="1">{#N/A,#N/A,FALSE,"Pharm";#N/A,#N/A,FALSE,"WWCM"}</definedName>
    <definedName name="qwetqryetytu_1_1" localSheetId="6" hidden="1">{#N/A,#N/A,FALSE,"Pharm";#N/A,#N/A,FALSE,"WWCM"}</definedName>
    <definedName name="qwetqryetytu_1_1" hidden="1">{#N/A,#N/A,FALSE,"Pharm";#N/A,#N/A,FALSE,"WWCM"}</definedName>
    <definedName name="qwetqryetytu_2" localSheetId="0" hidden="1">{#N/A,#N/A,FALSE,"Pharm";#N/A,#N/A,FALSE,"WWCM"}</definedName>
    <definedName name="qwetqryetytu_2" localSheetId="6" hidden="1">{#N/A,#N/A,FALSE,"Pharm";#N/A,#N/A,FALSE,"WWCM"}</definedName>
    <definedName name="qwetqryetytu_2" hidden="1">{#N/A,#N/A,FALSE,"Pharm";#N/A,#N/A,FALSE,"WWCM"}</definedName>
    <definedName name="qwetqryetytu_3" localSheetId="0" hidden="1">{#N/A,#N/A,FALSE,"Pharm";#N/A,#N/A,FALSE,"WWCM"}</definedName>
    <definedName name="qwetqryetytu_3" localSheetId="6" hidden="1">{#N/A,#N/A,FALSE,"Pharm";#N/A,#N/A,FALSE,"WWCM"}</definedName>
    <definedName name="qwetqryetytu_3" hidden="1">{#N/A,#N/A,FALSE,"Pharm";#N/A,#N/A,FALSE,"WWCM"}</definedName>
    <definedName name="qwetqryetytu_4" localSheetId="0" hidden="1">{#N/A,#N/A,FALSE,"Pharm";#N/A,#N/A,FALSE,"WWCM"}</definedName>
    <definedName name="qwetqryetytu_4" localSheetId="6" hidden="1">{#N/A,#N/A,FALSE,"Pharm";#N/A,#N/A,FALSE,"WWCM"}</definedName>
    <definedName name="qwetqryetytu_4" hidden="1">{#N/A,#N/A,FALSE,"Pharm";#N/A,#N/A,FALSE,"WWCM"}</definedName>
    <definedName name="qwetqryetytu_5" localSheetId="0" hidden="1">{#N/A,#N/A,FALSE,"Pharm";#N/A,#N/A,FALSE,"WWCM"}</definedName>
    <definedName name="qwetqryetytu_5" localSheetId="6" hidden="1">{#N/A,#N/A,FALSE,"Pharm";#N/A,#N/A,FALSE,"WWCM"}</definedName>
    <definedName name="qwetqryetytu_5" hidden="1">{#N/A,#N/A,FALSE,"Pharm";#N/A,#N/A,FALSE,"WWCM"}</definedName>
    <definedName name="qwew" localSheetId="0" hidden="1">{"vue1",#N/A,FALSE,"synthese";"vue2",#N/A,FALSE,"synthese"}</definedName>
    <definedName name="qwew" localSheetId="6" hidden="1">{"vue1",#N/A,FALSE,"synthese";"vue2",#N/A,FALSE,"synthese"}</definedName>
    <definedName name="qwew" hidden="1">{"vue1",#N/A,FALSE,"synthese";"vue2",#N/A,FALSE,"synthese"}</definedName>
    <definedName name="qwewq" localSheetId="0" hidden="1">{#N/A,#N/A,FALSE,"Hip.Bas";#N/A,#N/A,FALSE,"ventas";#N/A,#N/A,FALSE,"ingre-Año";#N/A,#N/A,FALSE,"ventas-Año";#N/A,#N/A,FALSE,"Costepro";#N/A,#N/A,FALSE,"inversion";#N/A,#N/A,FALSE,"personal";#N/A,#N/A,FALSE,"Gastos-V";#N/A,#N/A,FALSE,"Circulante";#N/A,#N/A,FALSE,"CONSOLI";#N/A,#N/A,FALSE,"Es-Fin";#N/A,#N/A,FALSE,"Margen-P"}</definedName>
    <definedName name="qwewq" localSheetId="6" hidden="1">{#N/A,#N/A,FALSE,"Hip.Bas";#N/A,#N/A,FALSE,"ventas";#N/A,#N/A,FALSE,"ingre-Año";#N/A,#N/A,FALSE,"ventas-Año";#N/A,#N/A,FALSE,"Costepro";#N/A,#N/A,FALSE,"inversion";#N/A,#N/A,FALSE,"personal";#N/A,#N/A,FALSE,"Gastos-V";#N/A,#N/A,FALSE,"Circulante";#N/A,#N/A,FALSE,"CONSOLI";#N/A,#N/A,FALSE,"Es-Fin";#N/A,#N/A,FALSE,"Margen-P"}</definedName>
    <definedName name="qwewq" hidden="1">{#N/A,#N/A,FALSE,"Hip.Bas";#N/A,#N/A,FALSE,"ventas";#N/A,#N/A,FALSE,"ingre-Año";#N/A,#N/A,FALSE,"ventas-Año";#N/A,#N/A,FALSE,"Costepro";#N/A,#N/A,FALSE,"inversion";#N/A,#N/A,FALSE,"personal";#N/A,#N/A,FALSE,"Gastos-V";#N/A,#N/A,FALSE,"Circulante";#N/A,#N/A,FALSE,"CONSOLI";#N/A,#N/A,FALSE,"Es-Fin";#N/A,#N/A,FALSE,"Margen-P"}</definedName>
    <definedName name="qwf" localSheetId="0" hidden="1">{#N/A,#N/A,FALSE,"Umsatz 99";#N/A,#N/A,FALSE,"ER 99 "}</definedName>
    <definedName name="qwf" localSheetId="6" hidden="1">{#N/A,#N/A,FALSE,"Umsatz 99";#N/A,#N/A,FALSE,"ER 99 "}</definedName>
    <definedName name="qwf" hidden="1">{#N/A,#N/A,FALSE,"Umsatz 99";#N/A,#N/A,FALSE,"ER 99 "}</definedName>
    <definedName name="qwf_1" localSheetId="0" hidden="1">{#N/A,#N/A,FALSE,"Umsatz 99";#N/A,#N/A,FALSE,"ER 99 "}</definedName>
    <definedName name="qwf_1" localSheetId="6" hidden="1">{#N/A,#N/A,FALSE,"Umsatz 99";#N/A,#N/A,FALSE,"ER 99 "}</definedName>
    <definedName name="qwf_1" hidden="1">{#N/A,#N/A,FALSE,"Umsatz 99";#N/A,#N/A,FALSE,"ER 99 "}</definedName>
    <definedName name="qwf_1_1" localSheetId="0" hidden="1">{#N/A,#N/A,FALSE,"Umsatz 99";#N/A,#N/A,FALSE,"ER 99 "}</definedName>
    <definedName name="qwf_1_1" localSheetId="6" hidden="1">{#N/A,#N/A,FALSE,"Umsatz 99";#N/A,#N/A,FALSE,"ER 99 "}</definedName>
    <definedName name="qwf_1_1" hidden="1">{#N/A,#N/A,FALSE,"Umsatz 99";#N/A,#N/A,FALSE,"ER 99 "}</definedName>
    <definedName name="qwf_2" localSheetId="0" hidden="1">{#N/A,#N/A,FALSE,"Umsatz 99";#N/A,#N/A,FALSE,"ER 99 "}</definedName>
    <definedName name="qwf_2" localSheetId="6" hidden="1">{#N/A,#N/A,FALSE,"Umsatz 99";#N/A,#N/A,FALSE,"ER 99 "}</definedName>
    <definedName name="qwf_2" hidden="1">{#N/A,#N/A,FALSE,"Umsatz 99";#N/A,#N/A,FALSE,"ER 99 "}</definedName>
    <definedName name="qwf_3" localSheetId="0" hidden="1">{#N/A,#N/A,FALSE,"Umsatz 99";#N/A,#N/A,FALSE,"ER 99 "}</definedName>
    <definedName name="qwf_3" localSheetId="6" hidden="1">{#N/A,#N/A,FALSE,"Umsatz 99";#N/A,#N/A,FALSE,"ER 99 "}</definedName>
    <definedName name="qwf_3" hidden="1">{#N/A,#N/A,FALSE,"Umsatz 99";#N/A,#N/A,FALSE,"ER 99 "}</definedName>
    <definedName name="qwf_4" localSheetId="0" hidden="1">{#N/A,#N/A,FALSE,"Umsatz 99";#N/A,#N/A,FALSE,"ER 99 "}</definedName>
    <definedName name="qwf_4" localSheetId="6" hidden="1">{#N/A,#N/A,FALSE,"Umsatz 99";#N/A,#N/A,FALSE,"ER 99 "}</definedName>
    <definedName name="qwf_4" hidden="1">{#N/A,#N/A,FALSE,"Umsatz 99";#N/A,#N/A,FALSE,"ER 99 "}</definedName>
    <definedName name="qwf_5" localSheetId="0" hidden="1">{#N/A,#N/A,FALSE,"Umsatz 99";#N/A,#N/A,FALSE,"ER 99 "}</definedName>
    <definedName name="qwf_5" localSheetId="6" hidden="1">{#N/A,#N/A,FALSE,"Umsatz 99";#N/A,#N/A,FALSE,"ER 99 "}</definedName>
    <definedName name="qwf_5" hidden="1">{#N/A,#N/A,FALSE,"Umsatz 99";#N/A,#N/A,FALSE,"ER 99 "}</definedName>
    <definedName name="qwq" localSheetId="6" hidden="1">{"AT","COMPANIES",TRUE}</definedName>
    <definedName name="qwq" hidden="1">{"AT","COMPANIES",TRUE}</definedName>
    <definedName name="qwqasddf" localSheetId="0" hidden="1">{"'INDICE'!$A$1:$K$13","'1'!$A$1:$CC$78","'2'!$A$1:$P$78","'3'!$A$1:$CI$78","'4'!$A$1:$Q$78"}</definedName>
    <definedName name="qwqasddf" localSheetId="6" hidden="1">{"'INDICE'!$A$1:$K$13","'1'!$A$1:$CC$78","'2'!$A$1:$P$78","'3'!$A$1:$CI$78","'4'!$A$1:$Q$78"}</definedName>
    <definedName name="qwqasddf" hidden="1">{"'INDICE'!$A$1:$K$13","'1'!$A$1:$CC$78","'2'!$A$1:$P$78","'3'!$A$1:$CI$78","'4'!$A$1:$Q$78"}</definedName>
    <definedName name="qwqasddf_1" localSheetId="0" hidden="1">{"'INDICE'!$A$1:$K$13","'1'!$A$1:$CC$78","'2'!$A$1:$P$78","'3'!$A$1:$CI$78","'4'!$A$1:$Q$78"}</definedName>
    <definedName name="qwqasddf_1" localSheetId="6" hidden="1">{"'INDICE'!$A$1:$K$13","'1'!$A$1:$CC$78","'2'!$A$1:$P$78","'3'!$A$1:$CI$78","'4'!$A$1:$Q$78"}</definedName>
    <definedName name="qwqasddf_1" hidden="1">{"'INDICE'!$A$1:$K$13","'1'!$A$1:$CC$78","'2'!$A$1:$P$78","'3'!$A$1:$CI$78","'4'!$A$1:$Q$78"}</definedName>
    <definedName name="qwqw" localSheetId="6" hidden="1">{#N/A,#N/A,FALSE,"Banksum";#N/A,#N/A,FALSE,"Banksum"}</definedName>
    <definedName name="qwqw" hidden="1">{#N/A,#N/A,FALSE,"Banksum";#N/A,#N/A,FALSE,"Banksum"}</definedName>
    <definedName name="qwqwqw" localSheetId="6" hidden="1">{"AT","COMPANIES",TRUE}</definedName>
    <definedName name="qwqwqw" hidden="1">{"AT","COMPANIES",TRUE}</definedName>
    <definedName name="qws" localSheetId="0" hidden="1">{#N/A,#N/A,FALSE,"PROFIT 11-95"}</definedName>
    <definedName name="qws" localSheetId="6" hidden="1">{#N/A,#N/A,FALSE,"PROFIT 11-95"}</definedName>
    <definedName name="qws" hidden="1">{#N/A,#N/A,FALSE,"PROFIT 11-95"}</definedName>
    <definedName name="qwwq">#REF!</definedName>
    <definedName name="QXC" localSheetId="0" hidden="1">{#N/A,#N/A,FALSE,"Tabl. H1";#N/A,#N/A,FALSE,"Tabl. H2"}</definedName>
    <definedName name="QXC" localSheetId="6" hidden="1">{#N/A,#N/A,FALSE,"Tabl. H1";#N/A,#N/A,FALSE,"Tabl. H2"}</definedName>
    <definedName name="QXC" hidden="1">{#N/A,#N/A,FALSE,"Tabl. H1";#N/A,#N/A,FALSE,"Tabl. H2"}</definedName>
    <definedName name="qzh" localSheetId="6" hidden="1">{#N/A,#N/A,TRUE,"FA 1 &amp; 2";#N/A,#N/A,TRUE,"FA 3 &amp; 4";#N/A,#N/A,TRUE,"FA 5 &amp; 6";#N/A,#N/A,TRUE,"FA 7 &amp; 8";#N/A,#N/A,TRUE,"FA 9 &amp; 10";#N/A,#N/A,TRUE,"FA 11";#N/A,#N/A,TRUE,"FA 12";#N/A,#N/A,TRUE,"FA 13";#N/A,#N/A,TRUE,"FA 14 &amp; 15"}</definedName>
    <definedName name="qzh" hidden="1">{#N/A,#N/A,TRUE,"FA 1 &amp; 2";#N/A,#N/A,TRUE,"FA 3 &amp; 4";#N/A,#N/A,TRUE,"FA 5 &amp; 6";#N/A,#N/A,TRUE,"FA 7 &amp; 8";#N/A,#N/A,TRUE,"FA 9 &amp; 10";#N/A,#N/A,TRUE,"FA 11";#N/A,#N/A,TRUE,"FA 12";#N/A,#N/A,TRUE,"FA 13";#N/A,#N/A,TRUE,"FA 14 &amp; 15"}</definedName>
    <definedName name="Q행">#REF!</definedName>
    <definedName name="r.CashFlow" hidden="1">#REF!</definedName>
    <definedName name="r.Leverage" hidden="1">#REF!</definedName>
    <definedName name="r.Liquidity" hidden="1">#REF!</definedName>
    <definedName name="r.LTMInterim" hidden="1">#REF!</definedName>
    <definedName name="r.Market" hidden="1">#REF!</definedName>
    <definedName name="r.Profitability" hidden="1">#REF!</definedName>
    <definedName name="r.Summary" hidden="1">#REF!</definedName>
    <definedName name="ra">#REF!</definedName>
    <definedName name="RABEIGH">#REF!</definedName>
    <definedName name="rabota" localSheetId="0" hidden="1">{#N/A,#N/A,TRUE,"0 Deckbl.";#N/A,#N/A,TRUE,"S 1 Komm";#N/A,#N/A,TRUE,"S 1a Komm";#N/A,#N/A,TRUE,"S 1b Komm";#N/A,#N/A,TRUE,"S  2 DBR";#N/A,#N/A,TRUE,"S  3 Sparten";#N/A,#N/A,TRUE,"S 4  Betr. K.";#N/A,#N/A,TRUE,"6 Bilanz";#N/A,#N/A,TRUE,"6a Bilanz ";#N/A,#N/A,TRUE,"6b Bilanz ";#N/A,#N/A,TRUE,"7 GS I";#N/A,#N/A,TRUE,"S 8 EQ-GuV"}</definedName>
    <definedName name="rabota" localSheetId="6" hidden="1">{#N/A,#N/A,TRUE,"0 Deckbl.";#N/A,#N/A,TRUE,"S 1 Komm";#N/A,#N/A,TRUE,"S 1a Komm";#N/A,#N/A,TRUE,"S 1b Komm";#N/A,#N/A,TRUE,"S  2 DBR";#N/A,#N/A,TRUE,"S  3 Sparten";#N/A,#N/A,TRUE,"S 4  Betr. K.";#N/A,#N/A,TRUE,"6 Bilanz";#N/A,#N/A,TRUE,"6a Bilanz ";#N/A,#N/A,TRUE,"6b Bilanz ";#N/A,#N/A,TRUE,"7 GS I";#N/A,#N/A,TRUE,"S 8 EQ-GuV"}</definedName>
    <definedName name="rabota" hidden="1">{#N/A,#N/A,TRUE,"0 Deckbl.";#N/A,#N/A,TRUE,"S 1 Komm";#N/A,#N/A,TRUE,"S 1a Komm";#N/A,#N/A,TRUE,"S 1b Komm";#N/A,#N/A,TRUE,"S  2 DBR";#N/A,#N/A,TRUE,"S  3 Sparten";#N/A,#N/A,TRUE,"S 4  Betr. K.";#N/A,#N/A,TRUE,"6 Bilanz";#N/A,#N/A,TRUE,"6a Bilanz ";#N/A,#N/A,TRUE,"6b Bilanz ";#N/A,#N/A,TRUE,"7 GS I";#N/A,#N/A,TRUE,"S 8 EQ-GuV"}</definedName>
    <definedName name="RADIOSTOCK">#REF!</definedName>
    <definedName name="raf">#REF!</definedName>
    <definedName name="rafa" localSheetId="0" hidden="1">{"FS`s",#N/A,TRUE,"FS's";"Icome St",#N/A,TRUE,"Income St.";"Balance Sh",#N/A,TRUE,"Balance Sh.";"Gross Margin",#N/A,TRUE,"Gross Margin"}</definedName>
    <definedName name="rafa" localSheetId="6" hidden="1">{"FS`s",#N/A,TRUE,"FS's";"Icome St",#N/A,TRUE,"Income St.";"Balance Sh",#N/A,TRUE,"Balance Sh.";"Gross Margin",#N/A,TRUE,"Gross Margin"}</definedName>
    <definedName name="rafa" hidden="1">{"FS`s",#N/A,TRUE,"FS's";"Icome St",#N/A,TRUE,"Income St.";"Balance Sh",#N/A,TRUE,"Balance Sh.";"Gross Margin",#N/A,TRUE,"Gross Margin"}</definedName>
    <definedName name="RAJ" localSheetId="0" hidden="1">{#N/A,#N/A,FALSE,"PROFIT 11-95"}</definedName>
    <definedName name="RAJ" localSheetId="6" hidden="1">{#N/A,#N/A,FALSE,"PROFIT 11-95"}</definedName>
    <definedName name="RAJ" hidden="1">{#N/A,#N/A,FALSE,"PROFIT 11-95"}</definedName>
    <definedName name="ram" localSheetId="0" hidden="1">{"Fcst by Qtr Full",#N/A,FALSE,"Tot PalmPalm";"Fcst by Qtr Full",#N/A,FALSE,"Tot Device";"Fcst by Qtr Full",#N/A,FALSE,"Platform";"Fcst by Qtr Full",#N/A,FALSE,"Palm.Net";"Fcst by Qtr Full",#N/A,FALSE,"Elim"}</definedName>
    <definedName name="ram" localSheetId="6" hidden="1">{"Fcst by Qtr Full",#N/A,FALSE,"Tot PalmPalm";"Fcst by Qtr Full",#N/A,FALSE,"Tot Device";"Fcst by Qtr Full",#N/A,FALSE,"Platform";"Fcst by Qtr Full",#N/A,FALSE,"Palm.Net";"Fcst by Qtr Full",#N/A,FALSE,"Elim"}</definedName>
    <definedName name="ram" hidden="1">{"Fcst by Qtr Full",#N/A,FALSE,"Tot PalmPalm";"Fcst by Qtr Full",#N/A,FALSE,"Tot Device";"Fcst by Qtr Full",#N/A,FALSE,"Platform";"Fcst by Qtr Full",#N/A,FALSE,"Palm.Net";"Fcst by Qtr Full",#N/A,FALSE,"Elim"}</definedName>
    <definedName name="RangeChange" hidden="1">#N/A</definedName>
    <definedName name="rara" localSheetId="0" hidden="1">{"FS`s",#N/A,TRUE,"FS's";"Icome St",#N/A,TRUE,"Income St.";"Balance Sh",#N/A,TRUE,"Balance Sh.";"Gross Margin",#N/A,TRUE,"Gross Margin"}</definedName>
    <definedName name="rara" localSheetId="6" hidden="1">{"FS`s",#N/A,TRUE,"FS's";"Icome St",#N/A,TRUE,"Income St.";"Balance Sh",#N/A,TRUE,"Balance Sh.";"Gross Margin",#N/A,TRUE,"Gross Margin"}</definedName>
    <definedName name="rara" hidden="1">{"FS`s",#N/A,TRUE,"FS's";"Icome St",#N/A,TRUE,"Income St.";"Balance Sh",#N/A,TRUE,"Balance Sh.";"Gross Margin",#N/A,TRUE,"Gross Margin"}</definedName>
    <definedName name="RATE">#REF!</definedName>
    <definedName name="Rate_A" hidden="1">#REF!</definedName>
    <definedName name="Rate_B" hidden="1">#REF!</definedName>
    <definedName name="Rate_C" hidden="1">#REF!</definedName>
    <definedName name="Rate_D" hidden="1">#REF!</definedName>
    <definedName name="Rate_E" hidden="1">#REF!</definedName>
    <definedName name="Rate_F" hidden="1">#REF!</definedName>
    <definedName name="Rate_G" hidden="1">#REF!</definedName>
    <definedName name="Rate_H" hidden="1">#REF!</definedName>
    <definedName name="Ratio">#REF!</definedName>
    <definedName name="RATIOS" localSheetId="0">#REF!</definedName>
    <definedName name="ratios" localSheetId="6" hidden="1">{#N/A,#N/A,FALSE,"Cover Sheet";#N/A,#N/A,FALSE,"Instructions";#N/A,#N/A,FALSE,"Exchange Rates";#N/A,#N/A,FALSE,"Cash Detail";#N/A,#N/A,FALSE,"Receivables Detail";#N/A,#N/A,FALSE,"Inventory Detail";#N/A,#N/A,FALSE,"Accrued Tax Detail";#N/A,#N/A,FALSE,"Income Statement";#N/A,#N/A,FALSE,"Balance Sheet";#N/A,#N/A,FALSE,"Cash Flow";#N/A,#N/A,FALSE,"Investment";#N/A,#N/A,FALSE,"Summary"}</definedName>
    <definedName name="ratios" hidden="1">{#N/A,#N/A,FALSE,"Cover Sheet";#N/A,#N/A,FALSE,"Instructions";#N/A,#N/A,FALSE,"Exchange Rates";#N/A,#N/A,FALSE,"Cash Detail";#N/A,#N/A,FALSE,"Receivables Detail";#N/A,#N/A,FALSE,"Inventory Detail";#N/A,#N/A,FALSE,"Accrued Tax Detail";#N/A,#N/A,FALSE,"Income Statement";#N/A,#N/A,FALSE,"Balance Sheet";#N/A,#N/A,FALSE,"Cash Flow";#N/A,#N/A,FALSE,"Investment";#N/A,#N/A,FALSE,"Summary"}</definedName>
    <definedName name="Raw_Mat">#REF!</definedName>
    <definedName name="RBG" localSheetId="0" hidden="1">{#N/A,#N/A,FALSE,"Tabl. D1";#N/A,#N/A,FALSE,"Tabl. D1 b";#N/A,#N/A,FALSE,"Tabl. D2";#N/A,#N/A,FALSE,"Tabl. D2 b";#N/A,#N/A,FALSE,"Tabl. D3";#N/A,#N/A,FALSE,"Tabl. D4";#N/A,#N/A,FALSE,"Tabl. D5"}</definedName>
    <definedName name="RBG" localSheetId="6" hidden="1">{#N/A,#N/A,FALSE,"Tabl. D1";#N/A,#N/A,FALSE,"Tabl. D1 b";#N/A,#N/A,FALSE,"Tabl. D2";#N/A,#N/A,FALSE,"Tabl. D2 b";#N/A,#N/A,FALSE,"Tabl. D3";#N/A,#N/A,FALSE,"Tabl. D4";#N/A,#N/A,FALSE,"Tabl. D5"}</definedName>
    <definedName name="RBG" hidden="1">{#N/A,#N/A,FALSE,"Tabl. D1";#N/A,#N/A,FALSE,"Tabl. D1 b";#N/A,#N/A,FALSE,"Tabl. D2";#N/A,#N/A,FALSE,"Tabl. D2 b";#N/A,#N/A,FALSE,"Tabl. D3";#N/A,#N/A,FALSE,"Tabl. D4";#N/A,#N/A,FALSE,"Tabl. D5"}</definedName>
    <definedName name="rbudget" localSheetId="6" hidden="1">{#N/A,#N/A,FALSE,"Scenario PivotTable"}</definedName>
    <definedName name="rbudget" hidden="1">{#N/A,#N/A,FALSE,"Scenario PivotTable"}</definedName>
    <definedName name="rbudget_1" localSheetId="6" hidden="1">{#N/A,#N/A,FALSE,"Scenario PivotTable"}</definedName>
    <definedName name="rbudget_1" hidden="1">{#N/A,#N/A,FALSE,"Scenario PivotTable"}</definedName>
    <definedName name="rbudget_1_1" localSheetId="6" hidden="1">{#N/A,#N/A,FALSE,"Scenario PivotTable"}</definedName>
    <definedName name="rbudget_1_1" hidden="1">{#N/A,#N/A,FALSE,"Scenario PivotTable"}</definedName>
    <definedName name="rbudget_2" localSheetId="6" hidden="1">{#N/A,#N/A,FALSE,"Scenario PivotTable"}</definedName>
    <definedName name="rbudget_2" hidden="1">{#N/A,#N/A,FALSE,"Scenario PivotTable"}</definedName>
    <definedName name="rbudget_2_1" localSheetId="6" hidden="1">{#N/A,#N/A,FALSE,"Scenario PivotTable"}</definedName>
    <definedName name="rbudget_2_1" hidden="1">{#N/A,#N/A,FALSE,"Scenario PivotTable"}</definedName>
    <definedName name="rbudget_2_1_1" localSheetId="6" hidden="1">{#N/A,#N/A,FALSE,"Scenario PivotTable"}</definedName>
    <definedName name="rbudget_2_1_1" hidden="1">{#N/A,#N/A,FALSE,"Scenario PivotTable"}</definedName>
    <definedName name="rbudget_2_1_1_1" localSheetId="6" hidden="1">{#N/A,#N/A,FALSE,"Scenario PivotTable"}</definedName>
    <definedName name="rbudget_2_1_1_1" hidden="1">{#N/A,#N/A,FALSE,"Scenario PivotTable"}</definedName>
    <definedName name="rbudget_2_1_2" localSheetId="6" hidden="1">{#N/A,#N/A,FALSE,"Scenario PivotTable"}</definedName>
    <definedName name="rbudget_2_1_2" hidden="1">{#N/A,#N/A,FALSE,"Scenario PivotTable"}</definedName>
    <definedName name="rbudget_2_1_2_1" localSheetId="6" hidden="1">{#N/A,#N/A,FALSE,"Scenario PivotTable"}</definedName>
    <definedName name="rbudget_2_1_2_1" hidden="1">{#N/A,#N/A,FALSE,"Scenario PivotTable"}</definedName>
    <definedName name="rbudget_2_1_3" localSheetId="6" hidden="1">{#N/A,#N/A,FALSE,"Scenario PivotTable"}</definedName>
    <definedName name="rbudget_2_1_3" hidden="1">{#N/A,#N/A,FALSE,"Scenario PivotTable"}</definedName>
    <definedName name="rbudget_2_2" localSheetId="6" hidden="1">{#N/A,#N/A,FALSE,"Scenario PivotTable"}</definedName>
    <definedName name="rbudget_2_2" hidden="1">{#N/A,#N/A,FALSE,"Scenario PivotTable"}</definedName>
    <definedName name="rbudget_2_2_1" localSheetId="6" hidden="1">{#N/A,#N/A,FALSE,"Scenario PivotTable"}</definedName>
    <definedName name="rbudget_2_2_1" hidden="1">{#N/A,#N/A,FALSE,"Scenario PivotTable"}</definedName>
    <definedName name="rbudget_2_2_1_1" localSheetId="6" hidden="1">{#N/A,#N/A,FALSE,"Scenario PivotTable"}</definedName>
    <definedName name="rbudget_2_2_1_1" hidden="1">{#N/A,#N/A,FALSE,"Scenario PivotTable"}</definedName>
    <definedName name="rbudget_2_2_2" localSheetId="6" hidden="1">{#N/A,#N/A,FALSE,"Scenario PivotTable"}</definedName>
    <definedName name="rbudget_2_2_2" hidden="1">{#N/A,#N/A,FALSE,"Scenario PivotTable"}</definedName>
    <definedName name="rbudget_2_3" localSheetId="6" hidden="1">{#N/A,#N/A,FALSE,"Scenario PivotTable"}</definedName>
    <definedName name="rbudget_2_3" hidden="1">{#N/A,#N/A,FALSE,"Scenario PivotTable"}</definedName>
    <definedName name="rbudget_2_3_1" localSheetId="6" hidden="1">{#N/A,#N/A,FALSE,"Scenario PivotTable"}</definedName>
    <definedName name="rbudget_2_3_1" hidden="1">{#N/A,#N/A,FALSE,"Scenario PivotTable"}</definedName>
    <definedName name="rbudget_2_4" localSheetId="6" hidden="1">{#N/A,#N/A,FALSE,"Scenario PivotTable"}</definedName>
    <definedName name="rbudget_2_4" hidden="1">{#N/A,#N/A,FALSE,"Scenario PivotTable"}</definedName>
    <definedName name="rbudget_3" localSheetId="6" hidden="1">{#N/A,#N/A,FALSE,"Scenario PivotTable"}</definedName>
    <definedName name="rbudget_3" hidden="1">{#N/A,#N/A,FALSE,"Scenario PivotTable"}</definedName>
    <definedName name="rbudget_3_1" localSheetId="6" hidden="1">{#N/A,#N/A,FALSE,"Scenario PivotTable"}</definedName>
    <definedName name="rbudget_3_1" hidden="1">{#N/A,#N/A,FALSE,"Scenario PivotTable"}</definedName>
    <definedName name="rbudget_3_1_1" localSheetId="6" hidden="1">{#N/A,#N/A,FALSE,"Scenario PivotTable"}</definedName>
    <definedName name="rbudget_3_1_1" hidden="1">{#N/A,#N/A,FALSE,"Scenario PivotTable"}</definedName>
    <definedName name="rbudget_3_1_1_1" localSheetId="6" hidden="1">{#N/A,#N/A,FALSE,"Scenario PivotTable"}</definedName>
    <definedName name="rbudget_3_1_1_1" hidden="1">{#N/A,#N/A,FALSE,"Scenario PivotTable"}</definedName>
    <definedName name="rbudget_3_1_2" localSheetId="6" hidden="1">{#N/A,#N/A,FALSE,"Scenario PivotTable"}</definedName>
    <definedName name="rbudget_3_1_2" hidden="1">{#N/A,#N/A,FALSE,"Scenario PivotTable"}</definedName>
    <definedName name="rbudget_3_1_2_1" localSheetId="6" hidden="1">{#N/A,#N/A,FALSE,"Scenario PivotTable"}</definedName>
    <definedName name="rbudget_3_1_2_1" hidden="1">{#N/A,#N/A,FALSE,"Scenario PivotTable"}</definedName>
    <definedName name="rbudget_3_1_3" localSheetId="6" hidden="1">{#N/A,#N/A,FALSE,"Scenario PivotTable"}</definedName>
    <definedName name="rbudget_3_1_3" hidden="1">{#N/A,#N/A,FALSE,"Scenario PivotTable"}</definedName>
    <definedName name="rbudget_3_2" localSheetId="6" hidden="1">{#N/A,#N/A,FALSE,"Scenario PivotTable"}</definedName>
    <definedName name="rbudget_3_2" hidden="1">{#N/A,#N/A,FALSE,"Scenario PivotTable"}</definedName>
    <definedName name="rbudget_3_2_1" localSheetId="6" hidden="1">{#N/A,#N/A,FALSE,"Scenario PivotTable"}</definedName>
    <definedName name="rbudget_3_2_1" hidden="1">{#N/A,#N/A,FALSE,"Scenario PivotTable"}</definedName>
    <definedName name="rbudget_3_2_1_1" localSheetId="6" hidden="1">{#N/A,#N/A,FALSE,"Scenario PivotTable"}</definedName>
    <definedName name="rbudget_3_2_1_1" hidden="1">{#N/A,#N/A,FALSE,"Scenario PivotTable"}</definedName>
    <definedName name="rbudget_3_2_2" localSheetId="6" hidden="1">{#N/A,#N/A,FALSE,"Scenario PivotTable"}</definedName>
    <definedName name="rbudget_3_2_2" hidden="1">{#N/A,#N/A,FALSE,"Scenario PivotTable"}</definedName>
    <definedName name="rbudget_3_3" localSheetId="6" hidden="1">{#N/A,#N/A,FALSE,"Scenario PivotTable"}</definedName>
    <definedName name="rbudget_3_3" hidden="1">{#N/A,#N/A,FALSE,"Scenario PivotTable"}</definedName>
    <definedName name="rbudget_3_3_1" localSheetId="6" hidden="1">{#N/A,#N/A,FALSE,"Scenario PivotTable"}</definedName>
    <definedName name="rbudget_3_3_1" hidden="1">{#N/A,#N/A,FALSE,"Scenario PivotTable"}</definedName>
    <definedName name="rbudget_3_4" localSheetId="6" hidden="1">{#N/A,#N/A,FALSE,"Scenario PivotTable"}</definedName>
    <definedName name="rbudget_3_4" hidden="1">{#N/A,#N/A,FALSE,"Scenario PivotTable"}</definedName>
    <definedName name="rbudget_4" localSheetId="6" hidden="1">{#N/A,#N/A,FALSE,"Scenario PivotTable"}</definedName>
    <definedName name="rbudget_4" hidden="1">{#N/A,#N/A,FALSE,"Scenario PivotTable"}</definedName>
    <definedName name="rbudget_4_1" localSheetId="6" hidden="1">{#N/A,#N/A,FALSE,"Scenario PivotTable"}</definedName>
    <definedName name="rbudget_4_1" hidden="1">{#N/A,#N/A,FALSE,"Scenario PivotTable"}</definedName>
    <definedName name="rbudget_4_1_1" localSheetId="6" hidden="1">{#N/A,#N/A,FALSE,"Scenario PivotTable"}</definedName>
    <definedName name="rbudget_4_1_1" hidden="1">{#N/A,#N/A,FALSE,"Scenario PivotTable"}</definedName>
    <definedName name="rbudget_4_1_1_1" localSheetId="6" hidden="1">{#N/A,#N/A,FALSE,"Scenario PivotTable"}</definedName>
    <definedName name="rbudget_4_1_1_1" hidden="1">{#N/A,#N/A,FALSE,"Scenario PivotTable"}</definedName>
    <definedName name="rbudget_4_1_2" localSheetId="6" hidden="1">{#N/A,#N/A,FALSE,"Scenario PivotTable"}</definedName>
    <definedName name="rbudget_4_1_2" hidden="1">{#N/A,#N/A,FALSE,"Scenario PivotTable"}</definedName>
    <definedName name="rbudget_4_1_2_1" localSheetId="6" hidden="1">{#N/A,#N/A,FALSE,"Scenario PivotTable"}</definedName>
    <definedName name="rbudget_4_1_2_1" hidden="1">{#N/A,#N/A,FALSE,"Scenario PivotTable"}</definedName>
    <definedName name="rbudget_4_1_3" localSheetId="6" hidden="1">{#N/A,#N/A,FALSE,"Scenario PivotTable"}</definedName>
    <definedName name="rbudget_4_1_3" hidden="1">{#N/A,#N/A,FALSE,"Scenario PivotTable"}</definedName>
    <definedName name="rbudget_4_2" localSheetId="6" hidden="1">{#N/A,#N/A,FALSE,"Scenario PivotTable"}</definedName>
    <definedName name="rbudget_4_2" hidden="1">{#N/A,#N/A,FALSE,"Scenario PivotTable"}</definedName>
    <definedName name="rbudget_4_2_1" localSheetId="6" hidden="1">{#N/A,#N/A,FALSE,"Scenario PivotTable"}</definedName>
    <definedName name="rbudget_4_2_1" hidden="1">{#N/A,#N/A,FALSE,"Scenario PivotTable"}</definedName>
    <definedName name="rbudget_4_2_1_1" localSheetId="6" hidden="1">{#N/A,#N/A,FALSE,"Scenario PivotTable"}</definedName>
    <definedName name="rbudget_4_2_1_1" hidden="1">{#N/A,#N/A,FALSE,"Scenario PivotTable"}</definedName>
    <definedName name="rbudget_4_2_2" localSheetId="6" hidden="1">{#N/A,#N/A,FALSE,"Scenario PivotTable"}</definedName>
    <definedName name="rbudget_4_2_2" hidden="1">{#N/A,#N/A,FALSE,"Scenario PivotTable"}</definedName>
    <definedName name="rbudget_4_3" localSheetId="6" hidden="1">{#N/A,#N/A,FALSE,"Scenario PivotTable"}</definedName>
    <definedName name="rbudget_4_3" hidden="1">{#N/A,#N/A,FALSE,"Scenario PivotTable"}</definedName>
    <definedName name="rbudget_4_3_1" localSheetId="6" hidden="1">{#N/A,#N/A,FALSE,"Scenario PivotTable"}</definedName>
    <definedName name="rbudget_4_3_1" hidden="1">{#N/A,#N/A,FALSE,"Scenario PivotTable"}</definedName>
    <definedName name="rbudget_4_4" localSheetId="6" hidden="1">{#N/A,#N/A,FALSE,"Scenario PivotTable"}</definedName>
    <definedName name="rbudget_4_4" hidden="1">{#N/A,#N/A,FALSE,"Scenario PivotTable"}</definedName>
    <definedName name="rbudget_5" localSheetId="6" hidden="1">{#N/A,#N/A,FALSE,"Scenario PivotTable"}</definedName>
    <definedName name="rbudget_5" hidden="1">{#N/A,#N/A,FALSE,"Scenario PivotTable"}</definedName>
    <definedName name="rbudget_5_1" localSheetId="6" hidden="1">{#N/A,#N/A,FALSE,"Scenario PivotTable"}</definedName>
    <definedName name="rbudget_5_1" hidden="1">{#N/A,#N/A,FALSE,"Scenario PivotTable"}</definedName>
    <definedName name="rbudget_5_1_1" localSheetId="6" hidden="1">{#N/A,#N/A,FALSE,"Scenario PivotTable"}</definedName>
    <definedName name="rbudget_5_1_1" hidden="1">{#N/A,#N/A,FALSE,"Scenario PivotTable"}</definedName>
    <definedName name="rbudget_5_1_1_1" localSheetId="6" hidden="1">{#N/A,#N/A,FALSE,"Scenario PivotTable"}</definedName>
    <definedName name="rbudget_5_1_1_1" hidden="1">{#N/A,#N/A,FALSE,"Scenario PivotTable"}</definedName>
    <definedName name="rbudget_5_1_2" localSheetId="6" hidden="1">{#N/A,#N/A,FALSE,"Scenario PivotTable"}</definedName>
    <definedName name="rbudget_5_1_2" hidden="1">{#N/A,#N/A,FALSE,"Scenario PivotTable"}</definedName>
    <definedName name="rbudget_5_1_2_1" localSheetId="6" hidden="1">{#N/A,#N/A,FALSE,"Scenario PivotTable"}</definedName>
    <definedName name="rbudget_5_1_2_1" hidden="1">{#N/A,#N/A,FALSE,"Scenario PivotTable"}</definedName>
    <definedName name="rbudget_5_1_3" localSheetId="6" hidden="1">{#N/A,#N/A,FALSE,"Scenario PivotTable"}</definedName>
    <definedName name="rbudget_5_1_3" hidden="1">{#N/A,#N/A,FALSE,"Scenario PivotTable"}</definedName>
    <definedName name="rbudget_5_2" localSheetId="6" hidden="1">{#N/A,#N/A,FALSE,"Scenario PivotTable"}</definedName>
    <definedName name="rbudget_5_2" hidden="1">{#N/A,#N/A,FALSE,"Scenario PivotTable"}</definedName>
    <definedName name="rbudget_5_2_1" localSheetId="6" hidden="1">{#N/A,#N/A,FALSE,"Scenario PivotTable"}</definedName>
    <definedName name="rbudget_5_2_1" hidden="1">{#N/A,#N/A,FALSE,"Scenario PivotTable"}</definedName>
    <definedName name="rbudget_5_2_1_1" localSheetId="6" hidden="1">{#N/A,#N/A,FALSE,"Scenario PivotTable"}</definedName>
    <definedName name="rbudget_5_2_1_1" hidden="1">{#N/A,#N/A,FALSE,"Scenario PivotTable"}</definedName>
    <definedName name="rbudget_5_2_2" localSheetId="6" hidden="1">{#N/A,#N/A,FALSE,"Scenario PivotTable"}</definedName>
    <definedName name="rbudget_5_2_2" hidden="1">{#N/A,#N/A,FALSE,"Scenario PivotTable"}</definedName>
    <definedName name="rbudget_5_3" localSheetId="6" hidden="1">{#N/A,#N/A,FALSE,"Scenario PivotTable"}</definedName>
    <definedName name="rbudget_5_3" hidden="1">{#N/A,#N/A,FALSE,"Scenario PivotTable"}</definedName>
    <definedName name="rbudget_5_3_1" localSheetId="6" hidden="1">{#N/A,#N/A,FALSE,"Scenario PivotTable"}</definedName>
    <definedName name="rbudget_5_3_1" hidden="1">{#N/A,#N/A,FALSE,"Scenario PivotTable"}</definedName>
    <definedName name="rbudget_5_4" localSheetId="6" hidden="1">{#N/A,#N/A,FALSE,"Scenario PivotTable"}</definedName>
    <definedName name="rbudget_5_4" hidden="1">{#N/A,#N/A,FALSE,"Scenario PivotTable"}</definedName>
    <definedName name="RCard" hidden="1">#REF!</definedName>
    <definedName name="RCArea" hidden="1">#REF!</definedName>
    <definedName name="RD_Accounts">#REF!</definedName>
    <definedName name="RD_Array">#REF!</definedName>
    <definedName name="RD_Periods">#REF!</definedName>
    <definedName name="RDBcode">#REF!</definedName>
    <definedName name="RDBdata">#REF!</definedName>
    <definedName name="RDBf1col">#REF!</definedName>
    <definedName name="RDByear">#REF!</definedName>
    <definedName name="rdtrw"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rdtrw"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rdtrw"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RE">#REF!</definedName>
    <definedName name="READ" hidden="1">FALSE</definedName>
    <definedName name="rec">#REF!</definedName>
    <definedName name="ReCap">#REF!</definedName>
    <definedName name="RecHsng">#REF!</definedName>
    <definedName name="RecIndm">#REF!</definedName>
    <definedName name="RecLeav">#REF!</definedName>
    <definedName name="RecLfIns">#REF!</definedName>
    <definedName name="RecMdIns">#REF!</definedName>
    <definedName name="RecProll">#REF!</definedName>
    <definedName name="RecSS">#REF!</definedName>
    <definedName name="RecTrans">#REF!</definedName>
    <definedName name="REDEEM_PREF_STOCK" hidden="1">"REDEEM_PREF_STOCK"</definedName>
    <definedName name="RedefinePrintTableRange" hidden="1">#REF!</definedName>
    <definedName name="redo" localSheetId="0" hidden="1">{#N/A,#N/A,FALSE,"ACQ_GRAPHS";#N/A,#N/A,FALSE,"T_1 GRAPHS";#N/A,#N/A,FALSE,"T_2 GRAPHS";#N/A,#N/A,FALSE,"COMB_GRAPHS"}</definedName>
    <definedName name="redo" localSheetId="6" hidden="1">{#N/A,#N/A,FALSE,"ACQ_GRAPHS";#N/A,#N/A,FALSE,"T_1 GRAPHS";#N/A,#N/A,FALSE,"T_2 GRAPHS";#N/A,#N/A,FALSE,"COMB_GRAPHS"}</definedName>
    <definedName name="redo" hidden="1">{#N/A,#N/A,FALSE,"ACQ_GRAPHS";#N/A,#N/A,FALSE,"T_1 GRAPHS";#N/A,#N/A,FALSE,"T_2 GRAPHS";#N/A,#N/A,FALSE,"COMB_GRAPHS"}</definedName>
    <definedName name="redruck">#REF!</definedName>
    <definedName name="REF" localSheetId="0" hidden="1">{#N/A,#N/A,FALSE,"Tabl. A1";#N/A,#N/A,FALSE,"Tabl. A1 b";#N/A,#N/A,FALSE,"Tabl. A2";#N/A,#N/A,FALSE,"Tabl. A2-1";#N/A,#N/A,FALSE,"Tabl. A2-2"}</definedName>
    <definedName name="REF" localSheetId="6" hidden="1">{#N/A,#N/A,FALSE,"Tabl. A1";#N/A,#N/A,FALSE,"Tabl. A1 b";#N/A,#N/A,FALSE,"Tabl. A2";#N/A,#N/A,FALSE,"Tabl. A2-1";#N/A,#N/A,FALSE,"Tabl. A2-2"}</definedName>
    <definedName name="REF" hidden="1">{#N/A,#N/A,FALSE,"Tabl. A1";#N/A,#N/A,FALSE,"Tabl. A1 b";#N/A,#N/A,FALSE,"Tabl. A2";#N/A,#N/A,FALSE,"Tabl. A2-1";#N/A,#N/A,FALSE,"Tabl. A2-2"}</definedName>
    <definedName name="Reg.No.">#REF!</definedName>
    <definedName name="reggie" localSheetId="0" hidden="1">{#N/A,#N/A,FALSE,"Pharm";#N/A,#N/A,FALSE,"WWCM"}</definedName>
    <definedName name="reggie" localSheetId="6" hidden="1">{#N/A,#N/A,FALSE,"Pharm";#N/A,#N/A,FALSE,"WWCM"}</definedName>
    <definedName name="reggie" hidden="1">{#N/A,#N/A,FALSE,"Pharm";#N/A,#N/A,FALSE,"WWCM"}</definedName>
    <definedName name="reggie_1" localSheetId="0" hidden="1">{#N/A,#N/A,FALSE,"Pharm";#N/A,#N/A,FALSE,"WWCM"}</definedName>
    <definedName name="reggie_1" localSheetId="6" hidden="1">{#N/A,#N/A,FALSE,"Pharm";#N/A,#N/A,FALSE,"WWCM"}</definedName>
    <definedName name="reggie_1" hidden="1">{#N/A,#N/A,FALSE,"Pharm";#N/A,#N/A,FALSE,"WWCM"}</definedName>
    <definedName name="reggie_1_1" localSheetId="0" hidden="1">{#N/A,#N/A,FALSE,"Pharm";#N/A,#N/A,FALSE,"WWCM"}</definedName>
    <definedName name="reggie_1_1" localSheetId="6" hidden="1">{#N/A,#N/A,FALSE,"Pharm";#N/A,#N/A,FALSE,"WWCM"}</definedName>
    <definedName name="reggie_1_1" hidden="1">{#N/A,#N/A,FALSE,"Pharm";#N/A,#N/A,FALSE,"WWCM"}</definedName>
    <definedName name="reggie_2" localSheetId="0" hidden="1">{#N/A,#N/A,FALSE,"Pharm";#N/A,#N/A,FALSE,"WWCM"}</definedName>
    <definedName name="reggie_2" localSheetId="6" hidden="1">{#N/A,#N/A,FALSE,"Pharm";#N/A,#N/A,FALSE,"WWCM"}</definedName>
    <definedName name="reggie_2" hidden="1">{#N/A,#N/A,FALSE,"Pharm";#N/A,#N/A,FALSE,"WWCM"}</definedName>
    <definedName name="reggie_3" localSheetId="0" hidden="1">{#N/A,#N/A,FALSE,"Pharm";#N/A,#N/A,FALSE,"WWCM"}</definedName>
    <definedName name="reggie_3" localSheetId="6" hidden="1">{#N/A,#N/A,FALSE,"Pharm";#N/A,#N/A,FALSE,"WWCM"}</definedName>
    <definedName name="reggie_3" hidden="1">{#N/A,#N/A,FALSE,"Pharm";#N/A,#N/A,FALSE,"WWCM"}</definedName>
    <definedName name="reggie_4" localSheetId="0" hidden="1">{#N/A,#N/A,FALSE,"Pharm";#N/A,#N/A,FALSE,"WWCM"}</definedName>
    <definedName name="reggie_4" localSheetId="6" hidden="1">{#N/A,#N/A,FALSE,"Pharm";#N/A,#N/A,FALSE,"WWCM"}</definedName>
    <definedName name="reggie_4" hidden="1">{#N/A,#N/A,FALSE,"Pharm";#N/A,#N/A,FALSE,"WWCM"}</definedName>
    <definedName name="reggie_5" localSheetId="0" hidden="1">{#N/A,#N/A,FALSE,"Pharm";#N/A,#N/A,FALSE,"WWCM"}</definedName>
    <definedName name="reggie_5" localSheetId="6" hidden="1">{#N/A,#N/A,FALSE,"Pharm";#N/A,#N/A,FALSE,"WWCM"}</definedName>
    <definedName name="reggie_5" hidden="1">{#N/A,#N/A,FALSE,"Pharm";#N/A,#N/A,FALSE,"WWCM"}</definedName>
    <definedName name="Region_Name1" hidden="1">#REF!</definedName>
    <definedName name="Region_Name2" hidden="1">#REF!</definedName>
    <definedName name="Region_Name4" hidden="1">#REF!</definedName>
    <definedName name="Region_Name6" hidden="1">#REF!</definedName>
    <definedName name="regmult" hidden="1">#REF!</definedName>
    <definedName name="Regression" hidden="1">#REF!</definedName>
    <definedName name="RegY" hidden="1">#REF!</definedName>
    <definedName name="ReinsClaimsExp">#REF!</definedName>
    <definedName name="ReinsRiskRate">#REF!</definedName>
    <definedName name="ReinsRiskRateRider">#REF!</definedName>
    <definedName name="Related_Party_Transactions">#REF!</definedName>
    <definedName name="REP" hidden="1">#REF!</definedName>
    <definedName name="REPORT" localSheetId="0" hidden="1">{#N/A,#N/A,FALSE,"CE-Build";#N/A,#N/A,FALSE,"CE-Equ.";#N/A,#N/A,FALSE,"CE-Computer";#N/A,#N/A,FALSE,"CE-BFurn.";#N/A,#N/A,FALSE,"CE-Accom.";#N/A,#N/A,FALSE,"CE-Vehicle";#N/A,#N/A,FALSE,"CE-Total"}</definedName>
    <definedName name="REPORT" localSheetId="6" hidden="1">{#N/A,#N/A,FALSE,"CE-Build";#N/A,#N/A,FALSE,"CE-Equ.";#N/A,#N/A,FALSE,"CE-Computer";#N/A,#N/A,FALSE,"CE-BFurn.";#N/A,#N/A,FALSE,"CE-Accom.";#N/A,#N/A,FALSE,"CE-Vehicle";#N/A,#N/A,FALSE,"CE-Total"}</definedName>
    <definedName name="REPORT" hidden="1">{#N/A,#N/A,FALSE,"CE-Build";#N/A,#N/A,FALSE,"CE-Equ.";#N/A,#N/A,FALSE,"CE-Computer";#N/A,#N/A,FALSE,"CE-BFurn.";#N/A,#N/A,FALSE,"CE-Accom.";#N/A,#N/A,FALSE,"CE-Vehicle";#N/A,#N/A,FALSE,"CE-Total"}</definedName>
    <definedName name="ReportCreated">TRUE</definedName>
    <definedName name="ReportGroup" hidden="1">0</definedName>
    <definedName name="reporting" localSheetId="0" hidden="1">{#N/A,#N/A,FALSE,"Tabl. FB300";#N/A,#N/A,FALSE,"Tabl. FB350";#N/A,#N/A,FALSE,"Tabl. FB400";#N/A,#N/A,FALSE,"Tabl. FB500";#N/A,#N/A,FALSE,"Tabl. FS090"}</definedName>
    <definedName name="reporting" localSheetId="6" hidden="1">{#N/A,#N/A,FALSE,"Tabl. FB300";#N/A,#N/A,FALSE,"Tabl. FB350";#N/A,#N/A,FALSE,"Tabl. FB400";#N/A,#N/A,FALSE,"Tabl. FB500";#N/A,#N/A,FALSE,"Tabl. FS090"}</definedName>
    <definedName name="reporting" hidden="1">{#N/A,#N/A,FALSE,"Tabl. FB300";#N/A,#N/A,FALSE,"Tabl. FB350";#N/A,#N/A,FALSE,"Tabl. FB400";#N/A,#N/A,FALSE,"Tabl. FB500";#N/A,#N/A,FALSE,"Tabl. FS090"}</definedName>
    <definedName name="rere" localSheetId="0" hidden="1">{#N/A,#N/A,FALSE,"ORIX CSC"}</definedName>
    <definedName name="rere" localSheetId="6" hidden="1">{#N/A,#N/A,FALSE,"ORIX CSC"}</definedName>
    <definedName name="rere" hidden="1">{#N/A,#N/A,FALSE,"ORIX CSC"}</definedName>
    <definedName name="rerere" localSheetId="0" hidden="1">{"mgmt forecast",#N/A,FALSE,"Mgmt Forecast";"dcf table",#N/A,FALSE,"Mgmt Forecast";"sensitivity",#N/A,FALSE,"Mgmt Forecast";"table inputs",#N/A,FALSE,"Mgmt Forecast";"calculations",#N/A,FALSE,"Mgmt Forecast"}</definedName>
    <definedName name="rerere" localSheetId="6" hidden="1">{"mgmt forecast",#N/A,FALSE,"Mgmt Forecast";"dcf table",#N/A,FALSE,"Mgmt Forecast";"sensitivity",#N/A,FALSE,"Mgmt Forecast";"table inputs",#N/A,FALSE,"Mgmt Forecast";"calculations",#N/A,FALSE,"Mgmt Forecast"}</definedName>
    <definedName name="rerere" hidden="1">{"mgmt forecast",#N/A,FALSE,"Mgmt Forecast";"dcf table",#N/A,FALSE,"Mgmt Forecast";"sensitivity",#N/A,FALSE,"Mgmt Forecast";"table inputs",#N/A,FALSE,"Mgmt Forecast";"calculations",#N/A,FALSE,"Mgmt Forecast"}</definedName>
    <definedName name="res" localSheetId="0" hidden="1">{#N/A,#N/A,FALSE,"Tabl. FB300";#N/A,#N/A,FALSE,"Tabl. FB350";#N/A,#N/A,FALSE,"Tabl. FB400";#N/A,#N/A,FALSE,"Tabl. FB500";#N/A,#N/A,FALSE,"Tabl. FS090"}</definedName>
    <definedName name="res" localSheetId="6" hidden="1">{#N/A,#N/A,FALSE,"Tabl. FB300";#N/A,#N/A,FALSE,"Tabl. FB350";#N/A,#N/A,FALSE,"Tabl. FB400";#N/A,#N/A,FALSE,"Tabl. FB500";#N/A,#N/A,FALSE,"Tabl. FS090"}</definedName>
    <definedName name="res" hidden="1">{#N/A,#N/A,FALSE,"Tabl. FB300";#N/A,#N/A,FALSE,"Tabl. FB350";#N/A,#N/A,FALSE,"Tabl. FB400";#N/A,#N/A,FALSE,"Tabl. FB500";#N/A,#N/A,FALSE,"Tabl. FS090"}</definedName>
    <definedName name="RESEARCH_DEV" hidden="1">"RESEARCH_DEV"</definedName>
    <definedName name="RESERVED_DATA" hidden="1">#REF!</definedName>
    <definedName name="Residual_difference">#REF!</definedName>
    <definedName name="residualgrowth">#REF!</definedName>
    <definedName name="resources" localSheetId="0" hidden="1">{#N/A,#N/A,FALSE,"Assessment";#N/A,#N/A,FALSE,"Staffing";#N/A,#N/A,FALSE,"Hires";#N/A,#N/A,FALSE,"Assumptions"}</definedName>
    <definedName name="resources" localSheetId="6" hidden="1">{#N/A,#N/A,FALSE,"Assessment";#N/A,#N/A,FALSE,"Staffing";#N/A,#N/A,FALSE,"Hires";#N/A,#N/A,FALSE,"Assumptions"}</definedName>
    <definedName name="resources" hidden="1">{#N/A,#N/A,FALSE,"Assessment";#N/A,#N/A,FALSE,"Staffing";#N/A,#N/A,FALSE,"Hires";#N/A,#N/A,FALSE,"Assumptions"}</definedName>
    <definedName name="resources_1" localSheetId="0" hidden="1">{#N/A,#N/A,FALSE,"Assessment";#N/A,#N/A,FALSE,"Staffing";#N/A,#N/A,FALSE,"Hires";#N/A,#N/A,FALSE,"Assumptions"}</definedName>
    <definedName name="resources_1" localSheetId="6" hidden="1">{#N/A,#N/A,FALSE,"Assessment";#N/A,#N/A,FALSE,"Staffing";#N/A,#N/A,FALSE,"Hires";#N/A,#N/A,FALSE,"Assumptions"}</definedName>
    <definedName name="resources_1" hidden="1">{#N/A,#N/A,FALSE,"Assessment";#N/A,#N/A,FALSE,"Staffing";#N/A,#N/A,FALSE,"Hires";#N/A,#N/A,FALSE,"Assumptions"}</definedName>
    <definedName name="resp." localSheetId="0" hidden="1">{#N/A,#N/A,FALSE,"Pharm";#N/A,#N/A,FALSE,"WWCM"}</definedName>
    <definedName name="resp." localSheetId="6" hidden="1">{#N/A,#N/A,FALSE,"Pharm";#N/A,#N/A,FALSE,"WWCM"}</definedName>
    <definedName name="resp." hidden="1">{#N/A,#N/A,FALSE,"Pharm";#N/A,#N/A,FALSE,"WWCM"}</definedName>
    <definedName name="resp._1" localSheetId="0" hidden="1">{#N/A,#N/A,FALSE,"Pharm";#N/A,#N/A,FALSE,"WWCM"}</definedName>
    <definedName name="resp._1" localSheetId="6" hidden="1">{#N/A,#N/A,FALSE,"Pharm";#N/A,#N/A,FALSE,"WWCM"}</definedName>
    <definedName name="resp._1" hidden="1">{#N/A,#N/A,FALSE,"Pharm";#N/A,#N/A,FALSE,"WWCM"}</definedName>
    <definedName name="resp._1_1" localSheetId="0" hidden="1">{#N/A,#N/A,FALSE,"Pharm";#N/A,#N/A,FALSE,"WWCM"}</definedName>
    <definedName name="resp._1_1" localSheetId="6" hidden="1">{#N/A,#N/A,FALSE,"Pharm";#N/A,#N/A,FALSE,"WWCM"}</definedName>
    <definedName name="resp._1_1" hidden="1">{#N/A,#N/A,FALSE,"Pharm";#N/A,#N/A,FALSE,"WWCM"}</definedName>
    <definedName name="resp._2" localSheetId="0" hidden="1">{#N/A,#N/A,FALSE,"Pharm";#N/A,#N/A,FALSE,"WWCM"}</definedName>
    <definedName name="resp._2" localSheetId="6" hidden="1">{#N/A,#N/A,FALSE,"Pharm";#N/A,#N/A,FALSE,"WWCM"}</definedName>
    <definedName name="resp._2" hidden="1">{#N/A,#N/A,FALSE,"Pharm";#N/A,#N/A,FALSE,"WWCM"}</definedName>
    <definedName name="resp._3" localSheetId="0" hidden="1">{#N/A,#N/A,FALSE,"Pharm";#N/A,#N/A,FALSE,"WWCM"}</definedName>
    <definedName name="resp._3" localSheetId="6" hidden="1">{#N/A,#N/A,FALSE,"Pharm";#N/A,#N/A,FALSE,"WWCM"}</definedName>
    <definedName name="resp._3" hidden="1">{#N/A,#N/A,FALSE,"Pharm";#N/A,#N/A,FALSE,"WWCM"}</definedName>
    <definedName name="resp._4" localSheetId="0" hidden="1">{#N/A,#N/A,FALSE,"Pharm";#N/A,#N/A,FALSE,"WWCM"}</definedName>
    <definedName name="resp._4" localSheetId="6" hidden="1">{#N/A,#N/A,FALSE,"Pharm";#N/A,#N/A,FALSE,"WWCM"}</definedName>
    <definedName name="resp._4" hidden="1">{#N/A,#N/A,FALSE,"Pharm";#N/A,#N/A,FALSE,"WWCM"}</definedName>
    <definedName name="resp._5" localSheetId="0" hidden="1">{#N/A,#N/A,FALSE,"Pharm";#N/A,#N/A,FALSE,"WWCM"}</definedName>
    <definedName name="resp._5" localSheetId="6" hidden="1">{#N/A,#N/A,FALSE,"Pharm";#N/A,#N/A,FALSE,"WWCM"}</definedName>
    <definedName name="resp._5" hidden="1">{#N/A,#N/A,FALSE,"Pharm";#N/A,#N/A,FALSE,"WWCM"}</definedName>
    <definedName name="result" localSheetId="0" hidden="1">{#N/A,#N/A,FALSE,"Tabl. G1";#N/A,#N/A,FALSE,"Tabl. G2"}</definedName>
    <definedName name="result" localSheetId="6" hidden="1">{#N/A,#N/A,FALSE,"Tabl. G1";#N/A,#N/A,FALSE,"Tabl. G2"}</definedName>
    <definedName name="result" hidden="1">{#N/A,#N/A,FALSE,"Tabl. G1";#N/A,#N/A,FALSE,"Tabl. G2"}</definedName>
    <definedName name="results" localSheetId="0" hidden="1">{"FCB_ALL",#N/A,FALSE,"FCB"}</definedName>
    <definedName name="results" localSheetId="6" hidden="1">{"FCB_ALL",#N/A,FALSE,"FCB"}</definedName>
    <definedName name="results" hidden="1">{"FCB_ALL",#N/A,FALSE,"FCB"}</definedName>
    <definedName name="resultscomp" localSheetId="0" hidden="1">{"FCB_ALL",#N/A,FALSE,"FCB"}</definedName>
    <definedName name="resultscomp" localSheetId="6" hidden="1">{"FCB_ALL",#N/A,FALSE,"FCB"}</definedName>
    <definedName name="resultscomp" hidden="1">{"FCB_ALL",#N/A,FALSE,"FCB"}</definedName>
    <definedName name="RESUSMO1" localSheetId="6" hidden="1">{#N/A,#N/A,FALSE,"DEMPROV IR";#N/A,#N/A,FALSE,"INC.FISC";#N/A,#N/A,FALSE,"LUCRO REAL";#N/A,#N/A,FALSE,"L.LIQ.M";#N/A,#N/A,FALSE,"PROV96";#N/A,#N/A,FALSE,"L.LIQU.";#N/A,#N/A,FALSE,"ADIEXCL";#N/A,#N/A,FALSE,"PAT-VT96";#N/A,#N/A,FALSE,"DPO.INC."}</definedName>
    <definedName name="RESUSMO1" hidden="1">{#N/A,#N/A,FALSE,"DEMPROV IR";#N/A,#N/A,FALSE,"INC.FISC";#N/A,#N/A,FALSE,"LUCRO REAL";#N/A,#N/A,FALSE,"L.LIQ.M";#N/A,#N/A,FALSE,"PROV96";#N/A,#N/A,FALSE,"L.LIQU.";#N/A,#N/A,FALSE,"ADIEXCL";#N/A,#N/A,FALSE,"PAT-VT96";#N/A,#N/A,FALSE,"DPO.INC."}</definedName>
    <definedName name="RETAINED_EARN" hidden="1">"RETAINED_EARN"</definedName>
    <definedName name="Retained_Earnings">#REF!</definedName>
    <definedName name="Retention_Compl.">#REF!</definedName>
    <definedName name="Retention_Hand_over">#REF!</definedName>
    <definedName name="reti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eti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eti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ETURN_ASSETS" hidden="1">"RETURN_ASSETS"</definedName>
    <definedName name="RETURN_EQUITY" hidden="1">"RETURN_EQUITY"</definedName>
    <definedName name="RETURN_INVESTMENT" hidden="1">"RETURN_INVESTMENT"</definedName>
    <definedName name="ReutersCode">#REF!</definedName>
    <definedName name="ReutersCodeGDR">#REF!</definedName>
    <definedName name="Rev_Total">#REF!</definedName>
    <definedName name="Revenue" localSheetId="0" hidden="1">{#N/A,#N/A,FALSE,"PROFIT 11-95"}</definedName>
    <definedName name="Revenue" localSheetId="6" hidden="1">{#N/A,#N/A,FALSE,"PROFIT 11-95"}</definedName>
    <definedName name="Revenue" hidden="1">{#N/A,#N/A,FALSE,"PROFIT 11-95"}</definedName>
    <definedName name="REVENUE_10K" hidden="1">"REVENUE_10K"</definedName>
    <definedName name="REVENUE_10Q" hidden="1">"REVENUE_10Q"</definedName>
    <definedName name="REVENUE_10Q1" hidden="1">"REVENUE_10Q1"</definedName>
    <definedName name="REVENUE_EST" hidden="1">"REVENUE_EST"</definedName>
    <definedName name="REVENUE_EST_1" hidden="1">"REVENUE_EST_1"</definedName>
    <definedName name="REVENUE_GROWTH_1" hidden="1">"REVENUE_GROWTH_1"</definedName>
    <definedName name="REVENUE_GROWTH_2" hidden="1">"REVENUE_GROWTH_2"</definedName>
    <definedName name="revenue_ltm">#REF!</definedName>
    <definedName name="Revenue_total">#REF!</definedName>
    <definedName name="revenue_year1">#REF!</definedName>
    <definedName name="revenue_year2">#REF!</definedName>
    <definedName name="revenue_year3">#REF!</definedName>
    <definedName name="revenue_year4">#REF!</definedName>
    <definedName name="revenue_year5">#REF!</definedName>
    <definedName name="revenue_year6">#REF!</definedName>
    <definedName name="Revenues">#REF!</definedName>
    <definedName name="revo">#REF!</definedName>
    <definedName name="rewtet" localSheetId="0" hidden="1">{#N/A,#N/A,FALSE,"Umsatz 99";#N/A,#N/A,FALSE,"ER 99 "}</definedName>
    <definedName name="rewtet" localSheetId="6" hidden="1">{#N/A,#N/A,FALSE,"Umsatz 99";#N/A,#N/A,FALSE,"ER 99 "}</definedName>
    <definedName name="rewtet" hidden="1">{#N/A,#N/A,FALSE,"Umsatz 99";#N/A,#N/A,FALSE,"ER 99 "}</definedName>
    <definedName name="rewtet_1" localSheetId="0" hidden="1">{#N/A,#N/A,FALSE,"Umsatz 99";#N/A,#N/A,FALSE,"ER 99 "}</definedName>
    <definedName name="rewtet_1" localSheetId="6" hidden="1">{#N/A,#N/A,FALSE,"Umsatz 99";#N/A,#N/A,FALSE,"ER 99 "}</definedName>
    <definedName name="rewtet_1" hidden="1">{#N/A,#N/A,FALSE,"Umsatz 99";#N/A,#N/A,FALSE,"ER 99 "}</definedName>
    <definedName name="rewtet_1_1" localSheetId="0" hidden="1">{#N/A,#N/A,FALSE,"Umsatz 99";#N/A,#N/A,FALSE,"ER 99 "}</definedName>
    <definedName name="rewtet_1_1" localSheetId="6" hidden="1">{#N/A,#N/A,FALSE,"Umsatz 99";#N/A,#N/A,FALSE,"ER 99 "}</definedName>
    <definedName name="rewtet_1_1" hidden="1">{#N/A,#N/A,FALSE,"Umsatz 99";#N/A,#N/A,FALSE,"ER 99 "}</definedName>
    <definedName name="rewtet_2" localSheetId="0" hidden="1">{#N/A,#N/A,FALSE,"Umsatz 99";#N/A,#N/A,FALSE,"ER 99 "}</definedName>
    <definedName name="rewtet_2" localSheetId="6" hidden="1">{#N/A,#N/A,FALSE,"Umsatz 99";#N/A,#N/A,FALSE,"ER 99 "}</definedName>
    <definedName name="rewtet_2" hidden="1">{#N/A,#N/A,FALSE,"Umsatz 99";#N/A,#N/A,FALSE,"ER 99 "}</definedName>
    <definedName name="rewtet_3" localSheetId="0" hidden="1">{#N/A,#N/A,FALSE,"Umsatz 99";#N/A,#N/A,FALSE,"ER 99 "}</definedName>
    <definedName name="rewtet_3" localSheetId="6" hidden="1">{#N/A,#N/A,FALSE,"Umsatz 99";#N/A,#N/A,FALSE,"ER 99 "}</definedName>
    <definedName name="rewtet_3" hidden="1">{#N/A,#N/A,FALSE,"Umsatz 99";#N/A,#N/A,FALSE,"ER 99 "}</definedName>
    <definedName name="rewtet_4" localSheetId="0" hidden="1">{#N/A,#N/A,FALSE,"Umsatz 99";#N/A,#N/A,FALSE,"ER 99 "}</definedName>
    <definedName name="rewtet_4" localSheetId="6" hidden="1">{#N/A,#N/A,FALSE,"Umsatz 99";#N/A,#N/A,FALSE,"ER 99 "}</definedName>
    <definedName name="rewtet_4" hidden="1">{#N/A,#N/A,FALSE,"Umsatz 99";#N/A,#N/A,FALSE,"ER 99 "}</definedName>
    <definedName name="rewtet_5" localSheetId="0" hidden="1">{#N/A,#N/A,FALSE,"Umsatz 99";#N/A,#N/A,FALSE,"ER 99 "}</definedName>
    <definedName name="rewtet_5" localSheetId="6" hidden="1">{#N/A,#N/A,FALSE,"Umsatz 99";#N/A,#N/A,FALSE,"ER 99 "}</definedName>
    <definedName name="rewtet_5" hidden="1">{#N/A,#N/A,FALSE,"Umsatz 99";#N/A,#N/A,FALSE,"ER 99 "}</definedName>
    <definedName name="rewtwe" localSheetId="0" hidden="1">{#N/A,#N/A,FALSE,"COMP"}</definedName>
    <definedName name="rewtwe" localSheetId="6" hidden="1">{#N/A,#N/A,FALSE,"COMP"}</definedName>
    <definedName name="rewtwe" hidden="1">{#N/A,#N/A,FALSE,"COMP"}</definedName>
    <definedName name="rezq" localSheetId="0" hidden="1">{"vue1",#N/A,FALSE,"synthese";"vue2",#N/A,FALSE,"synthese"}</definedName>
    <definedName name="rezq" localSheetId="6" hidden="1">{"vue1",#N/A,FALSE,"synthese";"vue2",#N/A,FALSE,"synthese"}</definedName>
    <definedName name="rezq" hidden="1">{"vue1",#N/A,FALSE,"synthese";"vue2",#N/A,FALSE,"synthese"}</definedName>
    <definedName name="reztetrert" localSheetId="0" hidden="1">{"comps",#N/A,FALSE,"HANDPACK";"footnotes",#N/A,FALSE,"HANDPACK"}</definedName>
    <definedName name="reztetrert" localSheetId="6" hidden="1">{"comps",#N/A,FALSE,"HANDPACK";"footnotes",#N/A,FALSE,"HANDPACK"}</definedName>
    <definedName name="reztetrert" hidden="1">{"comps",#N/A,FALSE,"HANDPACK";"footnotes",#N/A,FALSE,"HANDPACK"}</definedName>
    <definedName name="REZTEZRT" hidden="1">#REF!</definedName>
    <definedName name="rf2e" localSheetId="0" hidden="1">{#N/A,#N/A,FALSE,"Pharm";#N/A,#N/A,FALSE,"WWCM"}</definedName>
    <definedName name="rf2e" localSheetId="6" hidden="1">{#N/A,#N/A,FALSE,"Pharm";#N/A,#N/A,FALSE,"WWCM"}</definedName>
    <definedName name="rf2e" hidden="1">{#N/A,#N/A,FALSE,"Pharm";#N/A,#N/A,FALSE,"WWCM"}</definedName>
    <definedName name="rf2e_1" localSheetId="0" hidden="1">{#N/A,#N/A,FALSE,"Pharm";#N/A,#N/A,FALSE,"WWCM"}</definedName>
    <definedName name="rf2e_1" localSheetId="6" hidden="1">{#N/A,#N/A,FALSE,"Pharm";#N/A,#N/A,FALSE,"WWCM"}</definedName>
    <definedName name="rf2e_1" hidden="1">{#N/A,#N/A,FALSE,"Pharm";#N/A,#N/A,FALSE,"WWCM"}</definedName>
    <definedName name="rf2e_1_1" localSheetId="0" hidden="1">{#N/A,#N/A,FALSE,"Pharm";#N/A,#N/A,FALSE,"WWCM"}</definedName>
    <definedName name="rf2e_1_1" localSheetId="6" hidden="1">{#N/A,#N/A,FALSE,"Pharm";#N/A,#N/A,FALSE,"WWCM"}</definedName>
    <definedName name="rf2e_1_1" hidden="1">{#N/A,#N/A,FALSE,"Pharm";#N/A,#N/A,FALSE,"WWCM"}</definedName>
    <definedName name="rf2e_2" localSheetId="0" hidden="1">{#N/A,#N/A,FALSE,"Pharm";#N/A,#N/A,FALSE,"WWCM"}</definedName>
    <definedName name="rf2e_2" localSheetId="6" hidden="1">{#N/A,#N/A,FALSE,"Pharm";#N/A,#N/A,FALSE,"WWCM"}</definedName>
    <definedName name="rf2e_2" hidden="1">{#N/A,#N/A,FALSE,"Pharm";#N/A,#N/A,FALSE,"WWCM"}</definedName>
    <definedName name="rf2e_3" localSheetId="0" hidden="1">{#N/A,#N/A,FALSE,"Pharm";#N/A,#N/A,FALSE,"WWCM"}</definedName>
    <definedName name="rf2e_3" localSheetId="6" hidden="1">{#N/A,#N/A,FALSE,"Pharm";#N/A,#N/A,FALSE,"WWCM"}</definedName>
    <definedName name="rf2e_3" hidden="1">{#N/A,#N/A,FALSE,"Pharm";#N/A,#N/A,FALSE,"WWCM"}</definedName>
    <definedName name="rf2e_4" localSheetId="0" hidden="1">{#N/A,#N/A,FALSE,"Pharm";#N/A,#N/A,FALSE,"WWCM"}</definedName>
    <definedName name="rf2e_4" localSheetId="6" hidden="1">{#N/A,#N/A,FALSE,"Pharm";#N/A,#N/A,FALSE,"WWCM"}</definedName>
    <definedName name="rf2e_4" hidden="1">{#N/A,#N/A,FALSE,"Pharm";#N/A,#N/A,FALSE,"WWCM"}</definedName>
    <definedName name="rf2e_5" localSheetId="0" hidden="1">{#N/A,#N/A,FALSE,"Pharm";#N/A,#N/A,FALSE,"WWCM"}</definedName>
    <definedName name="rf2e_5" localSheetId="6" hidden="1">{#N/A,#N/A,FALSE,"Pharm";#N/A,#N/A,FALSE,"WWCM"}</definedName>
    <definedName name="rf2e_5" hidden="1">{#N/A,#N/A,FALSE,"Pharm";#N/A,#N/A,FALSE,"WWCM"}</definedName>
    <definedName name="RFDC" localSheetId="0" hidden="1">{"comp1",#N/A,FALSE,"COMPS";"footnotes",#N/A,FALSE,"COMPS"}</definedName>
    <definedName name="RFDC" localSheetId="6" hidden="1">{"comp1",#N/A,FALSE,"COMPS";"footnotes",#N/A,FALSE,"COMPS"}</definedName>
    <definedName name="RFDC" hidden="1">{"comp1",#N/A,FALSE,"COMPS";"footnotes",#N/A,FALSE,"COMPS"}</definedName>
    <definedName name="rfehneberen" localSheetId="0" hidden="1">{#N/A,#N/A,FALSE,"Assessment";#N/A,#N/A,FALSE,"Staffing";#N/A,#N/A,FALSE,"Hires";#N/A,#N/A,FALSE,"Assumptions"}</definedName>
    <definedName name="rfehneberen" localSheetId="6" hidden="1">{#N/A,#N/A,FALSE,"Assessment";#N/A,#N/A,FALSE,"Staffing";#N/A,#N/A,FALSE,"Hires";#N/A,#N/A,FALSE,"Assumptions"}</definedName>
    <definedName name="rfehneberen" hidden="1">{#N/A,#N/A,FALSE,"Assessment";#N/A,#N/A,FALSE,"Staffing";#N/A,#N/A,FALSE,"Hires";#N/A,#N/A,FALSE,"Assumptions"}</definedName>
    <definedName name="rfehneberen_1" localSheetId="0" hidden="1">{#N/A,#N/A,FALSE,"Assessment";#N/A,#N/A,FALSE,"Staffing";#N/A,#N/A,FALSE,"Hires";#N/A,#N/A,FALSE,"Assumptions"}</definedName>
    <definedName name="rfehneberen_1" localSheetId="6" hidden="1">{#N/A,#N/A,FALSE,"Assessment";#N/A,#N/A,FALSE,"Staffing";#N/A,#N/A,FALSE,"Hires";#N/A,#N/A,FALSE,"Assumptions"}</definedName>
    <definedName name="rfehneberen_1" hidden="1">{#N/A,#N/A,FALSE,"Assessment";#N/A,#N/A,FALSE,"Staffing";#N/A,#N/A,FALSE,"Hires";#N/A,#N/A,FALSE,"Assumptions"}</definedName>
    <definedName name="rfr"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rfr"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rfv" localSheetId="0" hidden="1">{#N/A,#N/A,FALSE,"PROFIT 11-95"}</definedName>
    <definedName name="rfv" localSheetId="6" hidden="1">{#N/A,#N/A,FALSE,"PROFIT 11-95"}</definedName>
    <definedName name="rfv" hidden="1">{#N/A,#N/A,FALSE,"PROFIT 11-95"}</definedName>
    <definedName name="RGD" localSheetId="6" hidden="1">{#N/A,#N/A,FALSE,"Übersicht";#N/A,#N/A,FALSE,"Umsatz";#N/A,#N/A,FALSE,"Rohertrag";#N/A,#N/A,FALSE,"Kosten";#N/A,#N/A,FALSE,"Ergebnis";#N/A,#N/A,FALSE,"Abrech.best.";#N/A,#N/A,FALSE,"PC-Ergebnisse";#N/A,#N/A,FALSE,"Mitarbeiter";#N/A,#N/A,FALSE,"Marktdaten";#N/A,#N/A,FALSE,"Mittelbind."}</definedName>
    <definedName name="RGD" hidden="1">{#N/A,#N/A,FALSE,"Übersicht";#N/A,#N/A,FALSE,"Umsatz";#N/A,#N/A,FALSE,"Rohertrag";#N/A,#N/A,FALSE,"Kosten";#N/A,#N/A,FALSE,"Ergebnis";#N/A,#N/A,FALSE,"Abrech.best.";#N/A,#N/A,FALSE,"PC-Ergebnisse";#N/A,#N/A,FALSE,"Mitarbeiter";#N/A,#N/A,FALSE,"Marktdaten";#N/A,#N/A,FALSE,"Mittelbind."}</definedName>
    <definedName name="RGK">#REF!</definedName>
    <definedName name="rgrg" hidden="1">#REF!</definedName>
    <definedName name="rgs"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rgs"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rgwer" hidden="1">#REF!</definedName>
    <definedName name="rhh" hidden="1">#REF!</definedName>
    <definedName name="rhs" hidden="1">#REF!</definedName>
    <definedName name="rick" hidden="1">#REF!</definedName>
    <definedName name="RICKY" localSheetId="0" hidden="1">{#N/A,#N/A,FALSE,"PROFIT 11-95"}</definedName>
    <definedName name="RICKY" localSheetId="6" hidden="1">{#N/A,#N/A,FALSE,"PROFIT 11-95"}</definedName>
    <definedName name="RICKY" hidden="1">{#N/A,#N/A,FALSE,"PROFIT 11-95"}</definedName>
    <definedName name="riderclratio">#REF!</definedName>
    <definedName name="RiderExpRatio">#REF!</definedName>
    <definedName name="riderprempct">#REF!</definedName>
    <definedName name="RiderReinsComm">#REF!</definedName>
    <definedName name="riderrespct">#REF!</definedName>
    <definedName name="RiM_A.AccrualRatio" hidden="1">#REF!</definedName>
    <definedName name="RiM_A.BVPS" hidden="1">#REF!</definedName>
    <definedName name="RiM_A.CFPS" hidden="1">#REF!</definedName>
    <definedName name="RiM_A.CRR" hidden="1">#REF!</definedName>
    <definedName name="RiM_A.CurrentRatio" hidden="1">#REF!</definedName>
    <definedName name="RiM_A.DPS" hidden="1">#REF!</definedName>
    <definedName name="RiM_A.DPS.Gross" hidden="1">#REF!</definedName>
    <definedName name="RiM_A.EBITDAMargin" hidden="1">#REF!</definedName>
    <definedName name="RiM_A.EBITDARMargin" hidden="1">#REF!</definedName>
    <definedName name="RiM_A.EBITMargin" hidden="1">#REF!</definedName>
    <definedName name="RiM_A.EffectTaxRate" hidden="1">#REF!</definedName>
    <definedName name="RiM_A.EPS" hidden="1">#REF!</definedName>
    <definedName name="RiM_A.EPS.Norm" hidden="1">#REF!</definedName>
    <definedName name="RiM_A.EPS.PreNRI" hidden="1">#REF!</definedName>
    <definedName name="RiM_A.FCFPS" hidden="1">#REF!</definedName>
    <definedName name="RiM_A.FrankPercent" hidden="1">#REF!</definedName>
    <definedName name="RiM_A.FrankTaxRate" hidden="1">#REF!</definedName>
    <definedName name="RiM_A.NetDebt_DebtEquity" hidden="1">#REF!</definedName>
    <definedName name="RiM_A.NetDebt_DebtTangEquity" hidden="1">#REF!</definedName>
    <definedName name="RiM_A.NetDebt_EBIT" hidden="1">#REF!</definedName>
    <definedName name="RiM_A.NetDebt_EBITDA" hidden="1">#REF!</definedName>
    <definedName name="RiM_A.NetIntCover" hidden="1">#REF!</definedName>
    <definedName name="RiM_A.NPATMargin" hidden="1">#REF!</definedName>
    <definedName name="RiM_A.NTAPS" hidden="1">#REF!</definedName>
    <definedName name="RiM_A.ROA" hidden="1">#REF!</definedName>
    <definedName name="RiM_A.ROCE" hidden="1">#REF!</definedName>
    <definedName name="RiM_A.ROCEPreIntang" hidden="1">#REF!</definedName>
    <definedName name="RiM_A.ROCEPreIntangAssoc" hidden="1">#REF!</definedName>
    <definedName name="RiM_A.ROCEPreTaxIntangAssoc" hidden="1">#REF!</definedName>
    <definedName name="RiM_A.ROE" hidden="1">#REF!</definedName>
    <definedName name="RiM_AEFlag" hidden="1">#REF!</definedName>
    <definedName name="RiM_BS.CA.Cash" hidden="1">#REF!</definedName>
    <definedName name="RiM_BS.CA.Invent" hidden="1">#REF!</definedName>
    <definedName name="RiM_BS.CA.Invest" hidden="1">#REF!</definedName>
    <definedName name="RiM_BS.CA.Other" hidden="1">#REF!</definedName>
    <definedName name="RiM_BS.CA.Rec" hidden="1">#REF!</definedName>
    <definedName name="RiM_BS.CA.Total" hidden="1">#REF!</definedName>
    <definedName name="RiM_BS.CL.AcctPayable" hidden="1">#REF!</definedName>
    <definedName name="RiM_BS.CL.Borrow" hidden="1">#REF!</definedName>
    <definedName name="RiM_BS.CL.Other" hidden="1">#REF!</definedName>
    <definedName name="RiM_BS.CL.Provisions" hidden="1">#REF!</definedName>
    <definedName name="RiM_BS.CL.Total" hidden="1">#REF!</definedName>
    <definedName name="RiM_BS.NCA.FutureTaxBen" hidden="1">#REF!</definedName>
    <definedName name="RiM_BS.NCA.Intang" hidden="1">#REF!</definedName>
    <definedName name="RiM_BS.NCA.Invest" hidden="1">#REF!</definedName>
    <definedName name="RiM_BS.NCA.Other" hidden="1">#REF!</definedName>
    <definedName name="RiM_BS.NCA.PPE" hidden="1">#REF!</definedName>
    <definedName name="RiM_BS.NCA.Total" hidden="1">#REF!</definedName>
    <definedName name="RiM_BS.NCL.BorrCNV" hidden="1">#REF!</definedName>
    <definedName name="RiM_BS.NCL.Borrow" hidden="1">#REF!</definedName>
    <definedName name="RiM_BS.NCL.BorrPF" hidden="1">#REF!</definedName>
    <definedName name="RiM_BS.NCL.DefTaxPay" hidden="1">#REF!</definedName>
    <definedName name="RiM_BS.NCL.Other" hidden="1">#REF!</definedName>
    <definedName name="RiM_BS.NCL.Provisions" hidden="1">#REF!</definedName>
    <definedName name="RiM_BS.NCL.Total" hidden="1">#REF!</definedName>
    <definedName name="RiM_BS.NetAssets" hidden="1">#REF!</definedName>
    <definedName name="RiM_BS.NetDebt" hidden="1">#REF!</definedName>
    <definedName name="RiM_BS.NTA" hidden="1">#REF!</definedName>
    <definedName name="RiM_BS.SE.Capital" hidden="1">#REF!</definedName>
    <definedName name="RiM_BS.SE.Common" hidden="1">#REF!</definedName>
    <definedName name="RiM_BS.SE.Conv" hidden="1">#REF!</definedName>
    <definedName name="RiM_BS.SE.OEMinEq" hidden="1">#REF!</definedName>
    <definedName name="RiM_BS.SE.OthNonConv" hidden="1">#REF!</definedName>
    <definedName name="RiM_BS.SE.RetEarnings" hidden="1">#REF!</definedName>
    <definedName name="RiM_BS.SE.Total" hidden="1">#REF!</definedName>
    <definedName name="RiM_BS.SE.TotReserves" hidden="1">#REF!</definedName>
    <definedName name="RiM_BS.TotAssets" hidden="1">#REF!</definedName>
    <definedName name="RiM_BS.TotLiabs" hidden="1">#REF!</definedName>
    <definedName name="RiM_CD.DivEBIT..SD_1" hidden="1">#REF!</definedName>
    <definedName name="RiM_CD.DivEBIT..SD_10" hidden="1">#REF!</definedName>
    <definedName name="RiM_CD.DivEBIT..SD_2" hidden="1">#REF!</definedName>
    <definedName name="RiM_CD.DivEBIT..SD_3" hidden="1">#REF!</definedName>
    <definedName name="RiM_CD.DivEBIT..SD_4" hidden="1">#REF!</definedName>
    <definedName name="RiM_CD.DivEBIT..SD_5" hidden="1">#REF!</definedName>
    <definedName name="RiM_CD.DivEBIT..SD_6" hidden="1">#REF!</definedName>
    <definedName name="RiM_CD.DivEBIT..SD_7" hidden="1">#REF!</definedName>
    <definedName name="RiM_CD.DivEBIT..SD_8" hidden="1">#REF!</definedName>
    <definedName name="RiM_CD.DivEBIT..SD_9" hidden="1">#REF!</definedName>
    <definedName name="RiM_CD.DivEBITDA..SD_1" hidden="1">#REF!</definedName>
    <definedName name="RiM_CD.DivEBITDA..SD_10" hidden="1">#REF!</definedName>
    <definedName name="RiM_CD.DivEBITDA..SD_2" hidden="1">#REF!</definedName>
    <definedName name="RiM_CD.DivEBITDA..SD_3" hidden="1">#REF!</definedName>
    <definedName name="RiM_CD.DivEBITDA..SD_4" hidden="1">#REF!</definedName>
    <definedName name="RiM_CD.DivEBITDA..SD_5" hidden="1">#REF!</definedName>
    <definedName name="RiM_CD.DivEBITDA..SD_6" hidden="1">#REF!</definedName>
    <definedName name="RiM_CD.DivEBITDA..SD_7" hidden="1">#REF!</definedName>
    <definedName name="RiM_CD.DivEBITDA..SD_8" hidden="1">#REF!</definedName>
    <definedName name="RiM_CD.DivEBITDA..SD_9" hidden="1">#REF!</definedName>
    <definedName name="RiM_CD.DivName..SD_1" hidden="1">#REF!</definedName>
    <definedName name="RiM_CD.DivName..SD_10" hidden="1">#REF!</definedName>
    <definedName name="RiM_CD.DivName..SD_2" hidden="1">#REF!</definedName>
    <definedName name="RiM_CD.DivName..SD_3" hidden="1">#REF!</definedName>
    <definedName name="RiM_CD.DivName..SD_4" hidden="1">#REF!</definedName>
    <definedName name="RiM_CD.DivName..SD_5" hidden="1">#REF!</definedName>
    <definedName name="RiM_CD.DivName..SD_6" hidden="1">#REF!</definedName>
    <definedName name="RiM_CD.DivName..SD_7" hidden="1">#REF!</definedName>
    <definedName name="RiM_CD.DivName..SD_8" hidden="1">#REF!</definedName>
    <definedName name="RiM_CD.DivName..SD_9" hidden="1">#REF!</definedName>
    <definedName name="RiM_CD.DivRevenue..SD_1" hidden="1">#REF!</definedName>
    <definedName name="RiM_CD.DivRevenue..SD_10" hidden="1">#REF!</definedName>
    <definedName name="RiM_CD.DivRevenue..SD_2" hidden="1">#REF!</definedName>
    <definedName name="RiM_CD.DivRevenue..SD_3" hidden="1">#REF!</definedName>
    <definedName name="RiM_CD.DivRevenue..SD_4" hidden="1">#REF!</definedName>
    <definedName name="RiM_CD.DivRevenue..SD_5" hidden="1">#REF!</definedName>
    <definedName name="RiM_CD.DivRevenue..SD_6" hidden="1">#REF!</definedName>
    <definedName name="RiM_CD.DivRevenue..SD_7" hidden="1">#REF!</definedName>
    <definedName name="RiM_CD.DivRevenue..SD_8" hidden="1">#REF!</definedName>
    <definedName name="RiM_CD.DivRevenue..SD_9" hidden="1">#REF!</definedName>
    <definedName name="RiM_CF.Acquis" hidden="1">#REF!</definedName>
    <definedName name="RiM_CF.BorrInc" hidden="1">#REF!</definedName>
    <definedName name="RiM_CF.CashEnd" hidden="1">#REF!</definedName>
    <definedName name="RiM_CF.CashNetChg" hidden="1">#REF!</definedName>
    <definedName name="RiM_CF.CashStart" hidden="1">#REF!</definedName>
    <definedName name="RiM_CF.Divest" hidden="1">#REF!</definedName>
    <definedName name="RiM_CF.DivPaid" hidden="1">#REF!</definedName>
    <definedName name="RiM_CF.EBITDA" hidden="1">#REF!</definedName>
    <definedName name="RiM_CF.EquityRaised" hidden="1">#REF!</definedName>
    <definedName name="RiM_CF.FCF" hidden="1">#REF!</definedName>
    <definedName name="RiM_CF.FCFAcquisDisp" hidden="1">#REF!</definedName>
    <definedName name="RiM_CF.FCFOth" hidden="1">#REF!</definedName>
    <definedName name="RiM_CF.FCFTax" hidden="1">#REF!</definedName>
    <definedName name="RiM_CF.FinanceCF" hidden="1">#REF!</definedName>
    <definedName name="RiM_CF.FXAdj" hidden="1">#REF!</definedName>
    <definedName name="RiM_CF.Invest" hidden="1">#REF!</definedName>
    <definedName name="RiM_CF.InvestCF" hidden="1">#REF!</definedName>
    <definedName name="RiM_CF.NetCapex" hidden="1">#REF!</definedName>
    <definedName name="RiM_CF.NetInt" hidden="1">#REF!</definedName>
    <definedName name="RiM_CF.OperCF" hidden="1">#REF!</definedName>
    <definedName name="RiM_CF.OthFinanceCF" hidden="1">#REF!</definedName>
    <definedName name="RiM_CF.OthInvestCF" hidden="1">#REF!</definedName>
    <definedName name="RiM_CF.OthOperCF" hidden="1">#REF!</definedName>
    <definedName name="RiM_CF.Payments" hidden="1">#REF!</definedName>
    <definedName name="RiM_CF.PPE" hidden="1">#REF!</definedName>
    <definedName name="RiM_CF.Receipts" hidden="1">#REF!</definedName>
    <definedName name="RiM_CF.TaxPaid" hidden="1">#REF!</definedName>
    <definedName name="RiM_CF.WCC" hidden="1">#REF!</definedName>
    <definedName name="RiM_CI.Leases" hidden="1">#REF!</definedName>
    <definedName name="RiM_CI.PVCapOpLeases" hidden="1">#REF!</definedName>
    <definedName name="RiM_CoverageDetail" hidden="1">#REF!</definedName>
    <definedName name="RiM_FinYearEnd" hidden="1">#REF!</definedName>
    <definedName name="RiM_FX_Px.PeriodAvg" hidden="1">#REF!</definedName>
    <definedName name="RiM_FX_Px.PeriodEnd" hidden="1">#REF!</definedName>
    <definedName name="RiM_ModelPath" hidden="1">#REF!</definedName>
    <definedName name="RiM_PL.AmortGW" hidden="1">#REF!</definedName>
    <definedName name="RiM_PL.Assoc" hidden="1">#REF!</definedName>
    <definedName name="RiM_PL.CorpTaxRate" hidden="1">#REF!</definedName>
    <definedName name="RiM_PL.Depn" hidden="1">#REF!</definedName>
    <definedName name="RiM_PL.EBIT" hidden="1">#REF!</definedName>
    <definedName name="RiM_PL.EBITDA" hidden="1">#REF!</definedName>
    <definedName name="RiM_PL.LocalEarnPercent" hidden="1">#REF!</definedName>
    <definedName name="RiM_PL.Minorities" hidden="1">#REF!</definedName>
    <definedName name="RiM_PL.NetInt" hidden="1">#REF!</definedName>
    <definedName name="RiM_PL.NPAT" hidden="1">#REF!</definedName>
    <definedName name="RiM_PL.NPAT.Norm" hidden="1">#REF!</definedName>
    <definedName name="RiM_PL.NRI" hidden="1">#REF!</definedName>
    <definedName name="RiM_PL.OthNormAdjustment" hidden="1">#REF!</definedName>
    <definedName name="RiM_PL.OthPreTax" hidden="1">#REF!</definedName>
    <definedName name="RiM_PL.PBT" hidden="1">#REF!</definedName>
    <definedName name="RiM_PL.PrefDiv.Paid" hidden="1">#REF!</definedName>
    <definedName name="RiM_PL.TaxExp" hidden="1">#REF!</definedName>
    <definedName name="RiM_PL.TotOperExp" hidden="1">#REF!</definedName>
    <definedName name="RiM_PL.TotRev" hidden="1">#REF!</definedName>
    <definedName name="RiM_R.KeyRisks" hidden="1">#REF!</definedName>
    <definedName name="RiM_Reason" hidden="1">#REF!</definedName>
    <definedName name="RiM_ReasonComment" hidden="1">#REF!</definedName>
    <definedName name="RiM_SC.C.BuyerBargPwr" hidden="1">#REF!</definedName>
    <definedName name="RiM_SC.C.ChangeAbility" hidden="1">#REF!</definedName>
    <definedName name="RiM_SC.C.CompSubst" hidden="1">#REF!</definedName>
    <definedName name="RiM_SC.C.EmergCompAdv" hidden="1">#REF!</definedName>
    <definedName name="RiM_SC.C.EstabComp" hidden="1">#REF!</definedName>
    <definedName name="RiM_SC.C.ExecuteCapcty" hidden="1">#REF!</definedName>
    <definedName name="RiM_SC.C.ExistCompAdv" hidden="1">#REF!</definedName>
    <definedName name="RiM_SC.C.ROCapSHFocus" hidden="1">#REF!</definedName>
    <definedName name="RiM_SC.C.SupplierBargPwr" hidden="1">#REF!</definedName>
    <definedName name="RiM_SC.C.Sustainability" hidden="1">#REF!</definedName>
    <definedName name="RiM_SC.C.SustCompAdv" hidden="1">#REF!</definedName>
    <definedName name="RiM_SC.C.ThreatEntry" hidden="1">#REF!</definedName>
    <definedName name="RiM_SC.S.BuyerBargPwr" hidden="1">#REF!</definedName>
    <definedName name="RiM_SC.S.ChangeAbility" hidden="1">#REF!</definedName>
    <definedName name="RiM_SC.S.CompSubst" hidden="1">#REF!</definedName>
    <definedName name="RiM_SC.S.EmergCompAdv" hidden="1">#REF!</definedName>
    <definedName name="RiM_SC.S.EstabComp" hidden="1">#REF!</definedName>
    <definedName name="RiM_SC.S.ExecuteCapcty" hidden="1">#REF!</definedName>
    <definedName name="RiM_SC.S.ExistCompAdv" hidden="1">#REF!</definedName>
    <definedName name="RiM_SC.S.ROCapSHFocus" hidden="1">#REF!</definedName>
    <definedName name="RiM_SC.S.SupplierBargPwr" hidden="1">#REF!</definedName>
    <definedName name="RiM_SC.S.Sustainability" hidden="1">#REF!</definedName>
    <definedName name="RiM_SC.S.SustCompAdv" hidden="1">#REF!</definedName>
    <definedName name="RiM_SC.S.ThreatEntry" hidden="1">#REF!</definedName>
    <definedName name="RiM_SD.EFPO" hidden="1">#REF!</definedName>
    <definedName name="RiM_SD.EFPOWA" hidden="1">#REF!</definedName>
    <definedName name="RiM_SD.FPO" hidden="1">#REF!</definedName>
    <definedName name="RiM_SD.KFactor" hidden="1">#REF!</definedName>
    <definedName name="RiM_ShareUnits" hidden="1">#REF!</definedName>
    <definedName name="RiM_Units" hidden="1">#REF!</definedName>
    <definedName name="RiM_V.AnalystConviction" hidden="1">#REF!</definedName>
    <definedName name="RiM_V.CorpTaxRate" hidden="1">#REF!</definedName>
    <definedName name="RiM_V.CostDebt" hidden="1">#REF!</definedName>
    <definedName name="RiM_V.CostDebtPreTax" hidden="1">#REF!</definedName>
    <definedName name="RiM_V.CostEquity" hidden="1">#REF!</definedName>
    <definedName name="RiM_V.DiscEqValPS" hidden="1">#REF!</definedName>
    <definedName name="RiM_V.DiscEqValPSAUD" hidden="1">#REF!</definedName>
    <definedName name="RiM_V.EquityBeta" hidden="1">#REF!</definedName>
    <definedName name="RiM_V.EqVal" hidden="1">#REF!</definedName>
    <definedName name="RiM_V.EV" hidden="1">#REF!</definedName>
    <definedName name="RiM_V.FrankCredit" hidden="1">#REF!</definedName>
    <definedName name="RiM_V.FXConv" hidden="1">#REF!</definedName>
    <definedName name="RiM_V.LocalEarnPercent" hidden="1">#REF!</definedName>
    <definedName name="RiM_V.MktRiskPremium" hidden="1">#REF!</definedName>
    <definedName name="RiM_V.MktVariance" hidden="1">#REF!</definedName>
    <definedName name="RiM_V.NetDebt" hidden="1">#REF!</definedName>
    <definedName name="RiM_V.NonOperatingAssets" hidden="1">#REF!</definedName>
    <definedName name="RiM_V.OrdShare" hidden="1">#REF!</definedName>
    <definedName name="RiM_V.PVForecastCF" hidden="1">#REF!</definedName>
    <definedName name="RiM_V.PVTerminalCF" hidden="1">#REF!</definedName>
    <definedName name="RiM_V.RFRate" hidden="1">#REF!</definedName>
    <definedName name="RiM_V.TermGrthRate" hidden="1">#REF!</definedName>
    <definedName name="RiM_V.TermGrthYear" hidden="1">#REF!</definedName>
    <definedName name="RiM_V.TerminalFCF" hidden="1">#REF!</definedName>
    <definedName name="RiM_V.TerminalVal" hidden="1">#REF!</definedName>
    <definedName name="RiM_V.TgtDebtEV" hidden="1">#REF!</definedName>
    <definedName name="RiM_V.ValMethod" hidden="1">#REF!</definedName>
    <definedName name="RiM_V.Valuation" hidden="1">#REF!</definedName>
    <definedName name="RiM_V.ValuationComment" hidden="1">#REF!</definedName>
    <definedName name="RiM_V.WACC" hidden="1">#REF!</definedName>
    <definedName name="RIR" localSheetId="6" hidden="1">{#N/A,#N/A,FALSE,"DEMPROV IR";#N/A,#N/A,FALSE,"INC.FISC";#N/A,#N/A,FALSE,"LUCRO REAL";#N/A,#N/A,FALSE,"L.LIQ.M";#N/A,#N/A,FALSE,"PROV96";#N/A,#N/A,FALSE,"L.LIQU.";#N/A,#N/A,FALSE,"ADIEXCL";#N/A,#N/A,FALSE,"PAT-VT96";#N/A,#N/A,FALSE,"DPO.INC."}</definedName>
    <definedName name="RIR" hidden="1">{#N/A,#N/A,FALSE,"DEMPROV IR";#N/A,#N/A,FALSE,"INC.FISC";#N/A,#N/A,FALSE,"LUCRO REAL";#N/A,#N/A,FALSE,"L.LIQ.M";#N/A,#N/A,FALSE,"PROV96";#N/A,#N/A,FALSE,"L.LIQU.";#N/A,#N/A,FALSE,"ADIEXCL";#N/A,#N/A,FALSE,"PAT-VT96";#N/A,#N/A,FALSE,"DPO.INC."}</definedName>
    <definedName name="Risk_Level" hidden="1">#REF!</definedName>
    <definedName name="RiskAfterRecalcMacro" hidden="1">"CriticalPathProbAfterIteration"</definedName>
    <definedName name="RiskAfterSimMacro" hidden="1">""</definedName>
    <definedName name="RiskBeforeRecalcMacro" hidden="1">""</definedName>
    <definedName name="RiskBeforeSimMacro" hidden="1">"CriticalPathProbBeforeSimulation"</definedName>
    <definedName name="RiskCollectDistributionSamples" hidden="1">2</definedName>
    <definedName name="RiskFixedSeed" hidden="1">1917</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FALSE</definedName>
    <definedName name="RiskNumIterations" hidden="1">3000</definedName>
    <definedName name="RiskNumSimulations" hidden="1">8</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"$L$7"</definedName>
    <definedName name="RiskSelectedNameCell1" hidden="1">"$B$7"</definedName>
    <definedName name="RiskSelectedNameCell2" hidden="1">"$L$1"</definedName>
    <definedName name="RiskStandardRecalc" hidden="1">0</definedName>
    <definedName name="RiskUpdateDisplay" hidden="1">FALSE</definedName>
    <definedName name="RiskUseDifferentSeedForEachSim" hidden="1">FALSE</definedName>
    <definedName name="RiskUseFixedSeed" hidden="1">TRUE</definedName>
    <definedName name="RiskUseMultipleCPUs" hidden="1">FALSE</definedName>
    <definedName name="rk" localSheetId="0" hidden="1">{"bs",#N/A,FALSE,"BS";"pl",#N/A,FALSE,"PL";"res",#N/A,FALSE,"S.CAP,RES";"loans",#N/A,FALSE,"Loans";"inv",#N/A,FALSE,"C.Assets";"fa",#N/A,FALSE,"F.Assets";"ca",#N/A,FALSE,"C.Assets";"cl",#N/A,FALSE,"CL,Sales,Income";"ovh",#N/A,FALSE,"OVH"}</definedName>
    <definedName name="rk" localSheetId="6" hidden="1">{"bs",#N/A,FALSE,"BS";"pl",#N/A,FALSE,"PL";"res",#N/A,FALSE,"S.CAP,RES";"loans",#N/A,FALSE,"Loans";"inv",#N/A,FALSE,"C.Assets";"fa",#N/A,FALSE,"F.Assets";"ca",#N/A,FALSE,"C.Assets";"cl",#N/A,FALSE,"CL,Sales,Income";"ovh",#N/A,FALSE,"OVH"}</definedName>
    <definedName name="rk" hidden="1">{"bs",#N/A,FALSE,"BS";"pl",#N/A,FALSE,"PL";"res",#N/A,FALSE,"S.CAP,RES";"loans",#N/A,FALSE,"Loans";"inv",#N/A,FALSE,"C.Assets";"fa",#N/A,FALSE,"F.Assets";"ca",#N/A,FALSE,"C.Assets";"cl",#N/A,FALSE,"CL,Sales,Income";"ovh",#N/A,FALSE,"OVH"}</definedName>
    <definedName name="rkpandey" localSheetId="0" hidden="1">{"bs",#N/A,FALSE,"BS";"pl",#N/A,FALSE,"PL"}</definedName>
    <definedName name="rkpandey" localSheetId="6" hidden="1">{"bs",#N/A,FALSE,"BS";"pl",#N/A,FALSE,"PL"}</definedName>
    <definedName name="rkpandey" hidden="1">{"bs",#N/A,FALSE,"BS";"pl",#N/A,FALSE,"PL"}</definedName>
    <definedName name="rkpandey111" localSheetId="0" hidden="1">{"bs",#N/A,FALSE,"BS";"pl",#N/A,FALSE,"PL"}</definedName>
    <definedName name="rkpandey111" localSheetId="6" hidden="1">{"bs",#N/A,FALSE,"BS";"pl",#N/A,FALSE,"PL"}</definedName>
    <definedName name="rkpandey111" hidden="1">{"bs",#N/A,FALSE,"BS";"pl",#N/A,FALSE,"PL"}</definedName>
    <definedName name="rn" localSheetId="0" hidden="1">{#N/A,#N/A,FALSE,"Assessment";#N/A,#N/A,FALSE,"Staffing";#N/A,#N/A,FALSE,"Hires";#N/A,#N/A,FALSE,"Assumptions"}</definedName>
    <definedName name="rn" localSheetId="6" hidden="1">{#N/A,#N/A,FALSE,"Assessment";#N/A,#N/A,FALSE,"Staffing";#N/A,#N/A,FALSE,"Hires";#N/A,#N/A,FALSE,"Assumptions"}</definedName>
    <definedName name="rn" hidden="1">{#N/A,#N/A,FALSE,"Assessment";#N/A,#N/A,FALSE,"Staffing";#N/A,#N/A,FALSE,"Hires";#N/A,#N/A,FALSE,"Assumptions"}</definedName>
    <definedName name="rn_1" localSheetId="0" hidden="1">{#N/A,#N/A,FALSE,"Assessment";#N/A,#N/A,FALSE,"Staffing";#N/A,#N/A,FALSE,"Hires";#N/A,#N/A,FALSE,"Assumptions"}</definedName>
    <definedName name="rn_1" localSheetId="6" hidden="1">{#N/A,#N/A,FALSE,"Assessment";#N/A,#N/A,FALSE,"Staffing";#N/A,#N/A,FALSE,"Hires";#N/A,#N/A,FALSE,"Assumptions"}</definedName>
    <definedName name="rn_1" hidden="1">{#N/A,#N/A,FALSE,"Assessment";#N/A,#N/A,FALSE,"Staffing";#N/A,#N/A,FALSE,"Hires";#N/A,#N/A,FALSE,"Assumptions"}</definedName>
    <definedName name="rngBodyText">#REF!</definedName>
    <definedName name="RngBottomRight">#REF!</definedName>
    <definedName name="rngColDelChars">#REF!</definedName>
    <definedName name="rngColumnDelete">#REF!</definedName>
    <definedName name="rngDeleteColumns">#REF!</definedName>
    <definedName name="rngDeleteRows">#REF!</definedName>
    <definedName name="rngEmail">#REF!</definedName>
    <definedName name="rngFileDir">#REF!</definedName>
    <definedName name="rngFileFormat">#REF!</definedName>
    <definedName name="rngFileName">#REF!</definedName>
    <definedName name="rngPassword">#REF!</definedName>
    <definedName name="rngPasswordProtect">#REF!</definedName>
    <definedName name="rngPrint">#REF!</definedName>
    <definedName name="rngRetainFormulas">#REF!</definedName>
    <definedName name="rngSaveFile">#REF!</definedName>
    <definedName name="rngSubjectLine">#REF!</definedName>
    <definedName name="rngTabName">#REF!</definedName>
    <definedName name="rngTopLeft">#REF!</definedName>
    <definedName name="rnrn" localSheetId="0" hidden="1">{#N/A,#N/A,FALSE,"Assessment";#N/A,#N/A,FALSE,"Staffing";#N/A,#N/A,FALSE,"Hires";#N/A,#N/A,FALSE,"Assumptions"}</definedName>
    <definedName name="rnrn" localSheetId="6" hidden="1">{#N/A,#N/A,FALSE,"Assessment";#N/A,#N/A,FALSE,"Staffing";#N/A,#N/A,FALSE,"Hires";#N/A,#N/A,FALSE,"Assumptions"}</definedName>
    <definedName name="rnrn" hidden="1">{#N/A,#N/A,FALSE,"Assessment";#N/A,#N/A,FALSE,"Staffing";#N/A,#N/A,FALSE,"Hires";#N/A,#N/A,FALSE,"Assumptions"}</definedName>
    <definedName name="rnrn_1" localSheetId="0" hidden="1">{#N/A,#N/A,FALSE,"Assessment";#N/A,#N/A,FALSE,"Staffing";#N/A,#N/A,FALSE,"Hires";#N/A,#N/A,FALSE,"Assumptions"}</definedName>
    <definedName name="rnrn_1" localSheetId="6" hidden="1">{#N/A,#N/A,FALSE,"Assessment";#N/A,#N/A,FALSE,"Staffing";#N/A,#N/A,FALSE,"Hires";#N/A,#N/A,FALSE,"Assumptions"}</definedName>
    <definedName name="rnrn_1" hidden="1">{#N/A,#N/A,FALSE,"Assessment";#N/A,#N/A,FALSE,"Staffing";#N/A,#N/A,FALSE,"Hires";#N/A,#N/A,FALSE,"Assumptions"}</definedName>
    <definedName name="rnrny" localSheetId="0" hidden="1">{#N/A,#N/A,FALSE,"Assessment";#N/A,#N/A,FALSE,"Staffing";#N/A,#N/A,FALSE,"Hires";#N/A,#N/A,FALSE,"Assumptions"}</definedName>
    <definedName name="rnrny" localSheetId="6" hidden="1">{#N/A,#N/A,FALSE,"Assessment";#N/A,#N/A,FALSE,"Staffing";#N/A,#N/A,FALSE,"Hires";#N/A,#N/A,FALSE,"Assumptions"}</definedName>
    <definedName name="rnrny" hidden="1">{#N/A,#N/A,FALSE,"Assessment";#N/A,#N/A,FALSE,"Staffing";#N/A,#N/A,FALSE,"Hires";#N/A,#N/A,FALSE,"Assumptions"}</definedName>
    <definedName name="rnrny_1" localSheetId="0" hidden="1">{#N/A,#N/A,FALSE,"Assessment";#N/A,#N/A,FALSE,"Staffing";#N/A,#N/A,FALSE,"Hires";#N/A,#N/A,FALSE,"Assumptions"}</definedName>
    <definedName name="rnrny_1" localSheetId="6" hidden="1">{#N/A,#N/A,FALSE,"Assessment";#N/A,#N/A,FALSE,"Staffing";#N/A,#N/A,FALSE,"Hires";#N/A,#N/A,FALSE,"Assumptions"}</definedName>
    <definedName name="rnrny_1" hidden="1">{#N/A,#N/A,FALSE,"Assessment";#N/A,#N/A,FALSE,"Staffing";#N/A,#N/A,FALSE,"Hires";#N/A,#N/A,FALSE,"Assumptions"}</definedName>
    <definedName name="RO">#REF!</definedName>
    <definedName name="ro_array" hidden="1">#REF!</definedName>
    <definedName name="ro_col" hidden="1">#REF!</definedName>
    <definedName name="ro_hlookup" hidden="1">#REF!</definedName>
    <definedName name="ro_row" hidden="1">#REF!</definedName>
    <definedName name="ROA" localSheetId="0" hidden="1">{#N/A,#N/A,FALSE,"P&amp;L"}</definedName>
    <definedName name="ROA" localSheetId="6" hidden="1">{#N/A,#N/A,FALSE,"P&amp;L"}</definedName>
    <definedName name="ROA" hidden="1">{#N/A,#N/A,FALSE,"P&amp;L"}</definedName>
    <definedName name="road"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road"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Roass" localSheetId="0" hidden="1">{#N/A,#N/A,FALSE,"P&amp;L"}</definedName>
    <definedName name="Roass" localSheetId="6" hidden="1">{#N/A,#N/A,FALSE,"P&amp;L"}</definedName>
    <definedName name="Roass" hidden="1">{#N/A,#N/A,FALSE,"P&amp;L"}</definedName>
    <definedName name="rob" localSheetId="0" hidden="1">{"GLI-Income Statement",#N/A,FALSE,"gli";"GLI - Balance Sheet Wksht",#N/A,FALSE,"gli";"GLI-Cash Flow",#N/A,FALSE,"gli";"GLI Qtrly Stats",#N/A,FALSE,"gli"}</definedName>
    <definedName name="rob" localSheetId="6" hidden="1">{"GLI-Income Statement",#N/A,FALSE,"gli";"GLI - Balance Sheet Wksht",#N/A,FALSE,"gli";"GLI-Cash Flow",#N/A,FALSE,"gli";"GLI Qtrly Stats",#N/A,FALSE,"gli"}</definedName>
    <definedName name="rob" hidden="1">{"GLI-Income Statement",#N/A,FALSE,"gli";"GLI - Balance Sheet Wksht",#N/A,FALSE,"gli";"GLI-Cash Flow",#N/A,FALSE,"gli";"GLI Qtrly Stats",#N/A,FALSE,"gli"}</definedName>
    <definedName name="Robert2" localSheetId="0" hidden="1">{"DCF",#N/A,FALSE,"CF"}</definedName>
    <definedName name="Robert2" localSheetId="6" hidden="1">{"DCF",#N/A,FALSE,"CF"}</definedName>
    <definedName name="Robert2" hidden="1">{"DCF",#N/A,FALSE,"CF"}</definedName>
    <definedName name="ROEReg">#REF!</definedName>
    <definedName name="Rollforward" localSheetId="6" hidden="1">{#N/A,#N/A,FALSE,"K_DRIV"}</definedName>
    <definedName name="Rollforward" hidden="1">{#N/A,#N/A,FALSE,"K_DRIV"}</definedName>
    <definedName name="Rollover">#REF!</definedName>
    <definedName name="RON">#REF!</definedName>
    <definedName name="rona1">#REF!</definedName>
    <definedName name="rona2">#REF!</definedName>
    <definedName name="room_1">#REF!</definedName>
    <definedName name="roundOpt">#REF!</definedName>
    <definedName name="Rows2Unhide" hidden="1">#REF!</definedName>
    <definedName name="rps"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rps"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RPTCOUNT" hidden="1">6</definedName>
    <definedName name="RPTDATACELL1" hidden="1">#REF!</definedName>
    <definedName name="RPTDATACELL11" hidden="1">#REF!</definedName>
    <definedName name="RPTDATACELL12" hidden="1">#REF!</definedName>
    <definedName name="RPTDATACELL13" hidden="1">#REF!</definedName>
    <definedName name="RPTDATACELL14" hidden="1">#REF!</definedName>
    <definedName name="RPTDATACELL15" hidden="1">#REF!</definedName>
    <definedName name="RPTDATACELL16" hidden="1">#REF!</definedName>
    <definedName name="RPTDATACELL17" hidden="1">#REF!</definedName>
    <definedName name="RPTDATACELL18" hidden="1">#REF!</definedName>
    <definedName name="RPTDATACELL19" hidden="1">#REF!</definedName>
    <definedName name="RPTDATACELL2" hidden="1">#REF!</definedName>
    <definedName name="RPTDATACELL20" hidden="1">#REF!</definedName>
    <definedName name="RPTDATACELL21" hidden="1">#REF!</definedName>
    <definedName name="RPTDATACELL22" hidden="1">#REF!</definedName>
    <definedName name="RPTDATACELL23" hidden="1">#REF!</definedName>
    <definedName name="RPTDATACELL24" hidden="1">#REF!</definedName>
    <definedName name="RPTDATACELL25" hidden="1">#REF!</definedName>
    <definedName name="RPTDATACELL26" hidden="1">#REF!</definedName>
    <definedName name="RPTDATACELL27" hidden="1">#REF!</definedName>
    <definedName name="RPTDATACELL28" hidden="1">#REF!</definedName>
    <definedName name="RPTDATACELL29" hidden="1">#REF!</definedName>
    <definedName name="RPTDATACELL3" hidden="1">#REF!</definedName>
    <definedName name="RPTDATACELL33" hidden="1">#REF!</definedName>
    <definedName name="RPTDATACELL35" hidden="1">#REF!</definedName>
    <definedName name="RPTDATACELL36" hidden="1">#REF!</definedName>
    <definedName name="RPTDATACELL37" hidden="1">#REF!</definedName>
    <definedName name="RPTDATACELL38" hidden="1">#REF!</definedName>
    <definedName name="RPTDATACELL39" hidden="1">#REF!</definedName>
    <definedName name="RPTDATACELL4" hidden="1">#REF!</definedName>
    <definedName name="RPTDATACELL40" hidden="1">#REF!</definedName>
    <definedName name="RPTDATACELL42" hidden="1">#REF!</definedName>
    <definedName name="RPTDATACELL43" hidden="1">#REF!</definedName>
    <definedName name="RPTDATACELL44" hidden="1">#REF!</definedName>
    <definedName name="RPTDATACELL45" hidden="1">#REF!</definedName>
    <definedName name="RPTDATACELL46" hidden="1">#REF!</definedName>
    <definedName name="RPTDATACELL47" hidden="1">#REF!</definedName>
    <definedName name="RPTDATACELL5" hidden="1">#REF!</definedName>
    <definedName name="RPTDATACELL51" hidden="1">#REF!</definedName>
    <definedName name="RPTDATACELL57" hidden="1">#REF!</definedName>
    <definedName name="RPTDATACELL6" hidden="1">#REF!</definedName>
    <definedName name="RPTDATACELL61" hidden="1">#REF!</definedName>
    <definedName name="RPTDATACELL8" hidden="1">#REF!</definedName>
    <definedName name="RPTDATACELL9" hidden="1">#REF!</definedName>
    <definedName name="RptEmailAddress">#REF!</definedName>
    <definedName name="RPTID" hidden="1">99999</definedName>
    <definedName name="RPTNEXT" hidden="1">7</definedName>
    <definedName name="RPTQRY1" hidden="1">1</definedName>
    <definedName name="RPTQRY10" hidden="1">8</definedName>
    <definedName name="RPTQRY11" hidden="1">8</definedName>
    <definedName name="RPTQRY12" hidden="1">8</definedName>
    <definedName name="RPTQRY13" hidden="1">8</definedName>
    <definedName name="RPTQRY14" hidden="1">8</definedName>
    <definedName name="RPTQRY15" hidden="1">8</definedName>
    <definedName name="RPTQRY16" hidden="1">8</definedName>
    <definedName name="RPTQRY17" hidden="1">8</definedName>
    <definedName name="RPTQRY18" hidden="1">8</definedName>
    <definedName name="RPTQRY19" hidden="1">8</definedName>
    <definedName name="RPTQRY2" hidden="1">2</definedName>
    <definedName name="RPTQRY20" hidden="1">8</definedName>
    <definedName name="RPTQRY21" hidden="1">8</definedName>
    <definedName name="RPTQRY22" hidden="1">8</definedName>
    <definedName name="RPTQRY23" hidden="1">8</definedName>
    <definedName name="RPTQRY24" hidden="1">8</definedName>
    <definedName name="RPTQRY25" hidden="1">8</definedName>
    <definedName name="RPTQRY26" hidden="1">8</definedName>
    <definedName name="RPTQRY27" hidden="1">8</definedName>
    <definedName name="RPTQRY28" hidden="1">8</definedName>
    <definedName name="RPTQRY29" hidden="1">8</definedName>
    <definedName name="RPTQRY3" hidden="1">5</definedName>
    <definedName name="RPTQRY30" hidden="1">8</definedName>
    <definedName name="RPTQRY31" hidden="1">8</definedName>
    <definedName name="RPTQRY32" hidden="1">8</definedName>
    <definedName name="RPTQRY33" hidden="1">8</definedName>
    <definedName name="RPTQRY34" hidden="1">8</definedName>
    <definedName name="RPTQRY35" hidden="1">8</definedName>
    <definedName name="RPTQRY36" hidden="1">8</definedName>
    <definedName name="RPTQRY37" hidden="1">8</definedName>
    <definedName name="RPTQRY38" hidden="1">8</definedName>
    <definedName name="RPTQRY39" hidden="1">8</definedName>
    <definedName name="RPTQRY4" hidden="1">4</definedName>
    <definedName name="RPTQRY40" hidden="1">8</definedName>
    <definedName name="RPTQRY41" hidden="1">8</definedName>
    <definedName name="RPTQRY42" hidden="1">8</definedName>
    <definedName name="RPTQRY43" hidden="1">8</definedName>
    <definedName name="RPTQRY44" hidden="1">8</definedName>
    <definedName name="RPTQRY45" hidden="1">8</definedName>
    <definedName name="RPTQRY46" hidden="1">8</definedName>
    <definedName name="RPTQRY47" hidden="1">8</definedName>
    <definedName name="RPTQRY48" hidden="1">8</definedName>
    <definedName name="RPTQRY49" hidden="1">8</definedName>
    <definedName name="RPTQRY5" hidden="1">6</definedName>
    <definedName name="RPTQRY50" hidden="1">8</definedName>
    <definedName name="RPTQRY51" hidden="1">8</definedName>
    <definedName name="RPTQRY52" hidden="1">8</definedName>
    <definedName name="RPTQRY53" hidden="1">8</definedName>
    <definedName name="RPTQRY54" hidden="1">8</definedName>
    <definedName name="RPTQRY55" hidden="1">8</definedName>
    <definedName name="RPTQRY56" hidden="1">8</definedName>
    <definedName name="RPTQRY57" hidden="1">8</definedName>
    <definedName name="RPTQRY58" hidden="1">8</definedName>
    <definedName name="RPTQRY59" hidden="1">8</definedName>
    <definedName name="RPTQRY6" hidden="1">5</definedName>
    <definedName name="RPTQRY60" hidden="1">8</definedName>
    <definedName name="RPTQRY61" hidden="1">8</definedName>
    <definedName name="RPTQRY62" hidden="1">8</definedName>
    <definedName name="RPTQRY63" hidden="1">8</definedName>
    <definedName name="RPTQRY64" hidden="1">8</definedName>
    <definedName name="RPTQRY65" hidden="1">8</definedName>
    <definedName name="RPTQRY66" hidden="1">8</definedName>
    <definedName name="RPTQRY67" hidden="1">8</definedName>
    <definedName name="RPTQRY68" hidden="1">8</definedName>
    <definedName name="RPTQRY69" hidden="1">8</definedName>
    <definedName name="RPTQRY7" hidden="1">7</definedName>
    <definedName name="RPTQRY70" hidden="1">8</definedName>
    <definedName name="RPTQRY71" hidden="1">8</definedName>
    <definedName name="RPTQRY8" hidden="1">8</definedName>
    <definedName name="RPTQRY9" hidden="1">9</definedName>
    <definedName name="RPTWKS1" hidden="1">#REF!</definedName>
    <definedName name="RPTWKS11" hidden="1">#REF!</definedName>
    <definedName name="RPTWKS12" hidden="1">#REF!</definedName>
    <definedName name="RPTWKS13" hidden="1">#REF!</definedName>
    <definedName name="RPTWKS14" hidden="1">#REF!</definedName>
    <definedName name="RPTWKS15" hidden="1">#REF!</definedName>
    <definedName name="RPTWKS16" hidden="1">#REF!</definedName>
    <definedName name="RPTWKS17" hidden="1">#REF!</definedName>
    <definedName name="RPTWKS18" hidden="1">#REF!</definedName>
    <definedName name="RPTWKS19" hidden="1">#REF!</definedName>
    <definedName name="RPTWKS2" hidden="1">#REF!</definedName>
    <definedName name="RPTWKS20" hidden="1">#REF!</definedName>
    <definedName name="RPTWKS21" hidden="1">#REF!</definedName>
    <definedName name="RPTWKS22" hidden="1">#REF!</definedName>
    <definedName name="RPTWKS23" hidden="1">#REF!</definedName>
    <definedName name="RPTWKS24" hidden="1">#REF!</definedName>
    <definedName name="RPTWKS25" hidden="1">#REF!</definedName>
    <definedName name="RPTWKS26" hidden="1">#REF!</definedName>
    <definedName name="RPTWKS27" hidden="1">#REF!</definedName>
    <definedName name="RPTWKS28" hidden="1">#REF!</definedName>
    <definedName name="RPTWKS29" hidden="1">#REF!</definedName>
    <definedName name="RPTWKS3" hidden="1">#REF!</definedName>
    <definedName name="RPTWKS33" hidden="1">#REF!</definedName>
    <definedName name="RPTWKS35" hidden="1">#REF!</definedName>
    <definedName name="RPTWKS36" hidden="1">#REF!</definedName>
    <definedName name="RPTWKS37" hidden="1">#REF!</definedName>
    <definedName name="RPTWKS38" hidden="1">#REF!</definedName>
    <definedName name="RPTWKS39" hidden="1">#REF!</definedName>
    <definedName name="RPTWKS4" hidden="1">#REF!</definedName>
    <definedName name="RPTWKS40" hidden="1">#REF!</definedName>
    <definedName name="RPTWKS42" hidden="1">#REF!</definedName>
    <definedName name="RPTWKS43" hidden="1">#REF!</definedName>
    <definedName name="RPTWKS44" hidden="1">#REF!</definedName>
    <definedName name="RPTWKS45" hidden="1">#REF!</definedName>
    <definedName name="RPTWKS46" hidden="1">#REF!</definedName>
    <definedName name="RPTWKS47" hidden="1">#REF!</definedName>
    <definedName name="RPTWKS5" hidden="1">#REF!</definedName>
    <definedName name="RPTWKS51" hidden="1">#REF!</definedName>
    <definedName name="RPTWKS57" hidden="1">#REF!</definedName>
    <definedName name="RPTWKS6" hidden="1">#REF!</definedName>
    <definedName name="RPTWKS61" hidden="1">#REF!</definedName>
    <definedName name="RPTWKS8" hidden="1">#REF!</definedName>
    <definedName name="RPTWKS9" hidden="1">#REF!</definedName>
    <definedName name="rr" localSheetId="0" hidden="1">{"FS`s",#N/A,TRUE,"FS's";"Icome St",#N/A,TRUE,"Income St.";"Balance Sh",#N/A,TRUE,"Balance Sh.";"Gross Margin",#N/A,TRUE,"Gross Margin"}</definedName>
    <definedName name="rr" localSheetId="6" hidden="1">{"FS`s",#N/A,TRUE,"FS's";"Icome St",#N/A,TRUE,"Income St.";"Balance Sh",#N/A,TRUE,"Balance Sh.";"Gross Margin",#N/A,TRUE,"Gross Margin"}</definedName>
    <definedName name="rr" hidden="1">{"FS`s",#N/A,TRUE,"FS's";"Icome St",#N/A,TRUE,"Income St.";"Balance Sh",#N/A,TRUE,"Balance Sh.";"Gross Margin",#N/A,TRUE,"Gross Margin"}</definedName>
    <definedName name="rr.kk" localSheetId="0" hidden="1">{#N/A,#N/A,FALSE,"Umsatz CH";#N/A,#N/A,FALSE,"ER CH";#N/A,#N/A,FALSE,"EA CH (2) ";#N/A,#N/A,FALSE,"EA CH";#N/A,#N/A,FALSE,"EA CH (3) ";#N/A,#N/A,FALSE,"EA CH (4)";#N/A,#N/A,FALSE,"KA CH";#N/A,#N/A,FALSE,"KA CH  (2)";#N/A,#N/A,FALSE,"KA CH  (3)";#N/A,#N/A,FALSE,"KA CH (4)"}</definedName>
    <definedName name="rr.kk" localSheetId="6" hidden="1">{#N/A,#N/A,FALSE,"Umsatz CH";#N/A,#N/A,FALSE,"ER CH";#N/A,#N/A,FALSE,"EA CH (2) ";#N/A,#N/A,FALSE,"EA CH";#N/A,#N/A,FALSE,"EA CH (3) ";#N/A,#N/A,FALSE,"EA CH (4)";#N/A,#N/A,FALSE,"KA CH";#N/A,#N/A,FALSE,"KA CH  (2)";#N/A,#N/A,FALSE,"KA CH  (3)";#N/A,#N/A,FALSE,"KA CH (4)"}</definedName>
    <definedName name="rr.kk" hidden="1">{#N/A,#N/A,FALSE,"Umsatz CH";#N/A,#N/A,FALSE,"ER CH";#N/A,#N/A,FALSE,"EA CH (2) ";#N/A,#N/A,FALSE,"EA CH";#N/A,#N/A,FALSE,"EA CH (3) ";#N/A,#N/A,FALSE,"EA CH (4)";#N/A,#N/A,FALSE,"KA CH";#N/A,#N/A,FALSE,"KA CH  (2)";#N/A,#N/A,FALSE,"KA CH  (3)";#N/A,#N/A,FALSE,"KA CH (4)"}</definedName>
    <definedName name="rr.kk_1" localSheetId="0" hidden="1">{#N/A,#N/A,FALSE,"Umsatz CH";#N/A,#N/A,FALSE,"ER CH";#N/A,#N/A,FALSE,"EA CH (2) ";#N/A,#N/A,FALSE,"EA CH";#N/A,#N/A,FALSE,"EA CH (3) ";#N/A,#N/A,FALSE,"EA CH (4)";#N/A,#N/A,FALSE,"KA CH";#N/A,#N/A,FALSE,"KA CH  (2)";#N/A,#N/A,FALSE,"KA CH  (3)";#N/A,#N/A,FALSE,"KA CH (4)"}</definedName>
    <definedName name="rr.kk_1" localSheetId="6" hidden="1">{#N/A,#N/A,FALSE,"Umsatz CH";#N/A,#N/A,FALSE,"ER CH";#N/A,#N/A,FALSE,"EA CH (2) ";#N/A,#N/A,FALSE,"EA CH";#N/A,#N/A,FALSE,"EA CH (3) ";#N/A,#N/A,FALSE,"EA CH (4)";#N/A,#N/A,FALSE,"KA CH";#N/A,#N/A,FALSE,"KA CH  (2)";#N/A,#N/A,FALSE,"KA CH  (3)";#N/A,#N/A,FALSE,"KA CH (4)"}</definedName>
    <definedName name="rr.kk_1" hidden="1">{#N/A,#N/A,FALSE,"Umsatz CH";#N/A,#N/A,FALSE,"ER CH";#N/A,#N/A,FALSE,"EA CH (2) ";#N/A,#N/A,FALSE,"EA CH";#N/A,#N/A,FALSE,"EA CH (3) ";#N/A,#N/A,FALSE,"EA CH (4)";#N/A,#N/A,FALSE,"KA CH";#N/A,#N/A,FALSE,"KA CH  (2)";#N/A,#N/A,FALSE,"KA CH  (3)";#N/A,#N/A,FALSE,"KA CH (4)"}</definedName>
    <definedName name="rr.kk_1_1" localSheetId="0" hidden="1">{#N/A,#N/A,FALSE,"Umsatz CH";#N/A,#N/A,FALSE,"ER CH";#N/A,#N/A,FALSE,"EA CH (2) ";#N/A,#N/A,FALSE,"EA CH";#N/A,#N/A,FALSE,"EA CH (3) ";#N/A,#N/A,FALSE,"EA CH (4)";#N/A,#N/A,FALSE,"KA CH";#N/A,#N/A,FALSE,"KA CH  (2)";#N/A,#N/A,FALSE,"KA CH  (3)";#N/A,#N/A,FALSE,"KA CH (4)"}</definedName>
    <definedName name="rr.kk_1_1" localSheetId="6" hidden="1">{#N/A,#N/A,FALSE,"Umsatz CH";#N/A,#N/A,FALSE,"ER CH";#N/A,#N/A,FALSE,"EA CH (2) ";#N/A,#N/A,FALSE,"EA CH";#N/A,#N/A,FALSE,"EA CH (3) ";#N/A,#N/A,FALSE,"EA CH (4)";#N/A,#N/A,FALSE,"KA CH";#N/A,#N/A,FALSE,"KA CH  (2)";#N/A,#N/A,FALSE,"KA CH  (3)";#N/A,#N/A,FALSE,"KA CH (4)"}</definedName>
    <definedName name="rr.kk_1_1" hidden="1">{#N/A,#N/A,FALSE,"Umsatz CH";#N/A,#N/A,FALSE,"ER CH";#N/A,#N/A,FALSE,"EA CH (2) ";#N/A,#N/A,FALSE,"EA CH";#N/A,#N/A,FALSE,"EA CH (3) ";#N/A,#N/A,FALSE,"EA CH (4)";#N/A,#N/A,FALSE,"KA CH";#N/A,#N/A,FALSE,"KA CH  (2)";#N/A,#N/A,FALSE,"KA CH  (3)";#N/A,#N/A,FALSE,"KA CH (4)"}</definedName>
    <definedName name="rr.kk_2" localSheetId="0" hidden="1">{#N/A,#N/A,FALSE,"Umsatz CH";#N/A,#N/A,FALSE,"ER CH";#N/A,#N/A,FALSE,"EA CH (2) ";#N/A,#N/A,FALSE,"EA CH";#N/A,#N/A,FALSE,"EA CH (3) ";#N/A,#N/A,FALSE,"EA CH (4)";#N/A,#N/A,FALSE,"KA CH";#N/A,#N/A,FALSE,"KA CH  (2)";#N/A,#N/A,FALSE,"KA CH  (3)";#N/A,#N/A,FALSE,"KA CH (4)"}</definedName>
    <definedName name="rr.kk_2" localSheetId="6" hidden="1">{#N/A,#N/A,FALSE,"Umsatz CH";#N/A,#N/A,FALSE,"ER CH";#N/A,#N/A,FALSE,"EA CH (2) ";#N/A,#N/A,FALSE,"EA CH";#N/A,#N/A,FALSE,"EA CH (3) ";#N/A,#N/A,FALSE,"EA CH (4)";#N/A,#N/A,FALSE,"KA CH";#N/A,#N/A,FALSE,"KA CH  (2)";#N/A,#N/A,FALSE,"KA CH  (3)";#N/A,#N/A,FALSE,"KA CH (4)"}</definedName>
    <definedName name="rr.kk_2" hidden="1">{#N/A,#N/A,FALSE,"Umsatz CH";#N/A,#N/A,FALSE,"ER CH";#N/A,#N/A,FALSE,"EA CH (2) ";#N/A,#N/A,FALSE,"EA CH";#N/A,#N/A,FALSE,"EA CH (3) ";#N/A,#N/A,FALSE,"EA CH (4)";#N/A,#N/A,FALSE,"KA CH";#N/A,#N/A,FALSE,"KA CH  (2)";#N/A,#N/A,FALSE,"KA CH  (3)";#N/A,#N/A,FALSE,"KA CH (4)"}</definedName>
    <definedName name="rr.kk_3" localSheetId="0" hidden="1">{#N/A,#N/A,FALSE,"Umsatz CH";#N/A,#N/A,FALSE,"ER CH";#N/A,#N/A,FALSE,"EA CH (2) ";#N/A,#N/A,FALSE,"EA CH";#N/A,#N/A,FALSE,"EA CH (3) ";#N/A,#N/A,FALSE,"EA CH (4)";#N/A,#N/A,FALSE,"KA CH";#N/A,#N/A,FALSE,"KA CH  (2)";#N/A,#N/A,FALSE,"KA CH  (3)";#N/A,#N/A,FALSE,"KA CH (4)"}</definedName>
    <definedName name="rr.kk_3" localSheetId="6" hidden="1">{#N/A,#N/A,FALSE,"Umsatz CH";#N/A,#N/A,FALSE,"ER CH";#N/A,#N/A,FALSE,"EA CH (2) ";#N/A,#N/A,FALSE,"EA CH";#N/A,#N/A,FALSE,"EA CH (3) ";#N/A,#N/A,FALSE,"EA CH (4)";#N/A,#N/A,FALSE,"KA CH";#N/A,#N/A,FALSE,"KA CH  (2)";#N/A,#N/A,FALSE,"KA CH  (3)";#N/A,#N/A,FALSE,"KA CH (4)"}</definedName>
    <definedName name="rr.kk_3" hidden="1">{#N/A,#N/A,FALSE,"Umsatz CH";#N/A,#N/A,FALSE,"ER CH";#N/A,#N/A,FALSE,"EA CH (2) ";#N/A,#N/A,FALSE,"EA CH";#N/A,#N/A,FALSE,"EA CH (3) ";#N/A,#N/A,FALSE,"EA CH (4)";#N/A,#N/A,FALSE,"KA CH";#N/A,#N/A,FALSE,"KA CH  (2)";#N/A,#N/A,FALSE,"KA CH  (3)";#N/A,#N/A,FALSE,"KA CH (4)"}</definedName>
    <definedName name="rr.kk_4" localSheetId="0" hidden="1">{#N/A,#N/A,FALSE,"Umsatz CH";#N/A,#N/A,FALSE,"ER CH";#N/A,#N/A,FALSE,"EA CH (2) ";#N/A,#N/A,FALSE,"EA CH";#N/A,#N/A,FALSE,"EA CH (3) ";#N/A,#N/A,FALSE,"EA CH (4)";#N/A,#N/A,FALSE,"KA CH";#N/A,#N/A,FALSE,"KA CH  (2)";#N/A,#N/A,FALSE,"KA CH  (3)";#N/A,#N/A,FALSE,"KA CH (4)"}</definedName>
    <definedName name="rr.kk_4" localSheetId="6" hidden="1">{#N/A,#N/A,FALSE,"Umsatz CH";#N/A,#N/A,FALSE,"ER CH";#N/A,#N/A,FALSE,"EA CH (2) ";#N/A,#N/A,FALSE,"EA CH";#N/A,#N/A,FALSE,"EA CH (3) ";#N/A,#N/A,FALSE,"EA CH (4)";#N/A,#N/A,FALSE,"KA CH";#N/A,#N/A,FALSE,"KA CH  (2)";#N/A,#N/A,FALSE,"KA CH  (3)";#N/A,#N/A,FALSE,"KA CH (4)"}</definedName>
    <definedName name="rr.kk_4" hidden="1">{#N/A,#N/A,FALSE,"Umsatz CH";#N/A,#N/A,FALSE,"ER CH";#N/A,#N/A,FALSE,"EA CH (2) ";#N/A,#N/A,FALSE,"EA CH";#N/A,#N/A,FALSE,"EA CH (3) ";#N/A,#N/A,FALSE,"EA CH (4)";#N/A,#N/A,FALSE,"KA CH";#N/A,#N/A,FALSE,"KA CH  (2)";#N/A,#N/A,FALSE,"KA CH  (3)";#N/A,#N/A,FALSE,"KA CH (4)"}</definedName>
    <definedName name="rr.kk_5" localSheetId="0" hidden="1">{#N/A,#N/A,FALSE,"Umsatz CH";#N/A,#N/A,FALSE,"ER CH";#N/A,#N/A,FALSE,"EA CH (2) ";#N/A,#N/A,FALSE,"EA CH";#N/A,#N/A,FALSE,"EA CH (3) ";#N/A,#N/A,FALSE,"EA CH (4)";#N/A,#N/A,FALSE,"KA CH";#N/A,#N/A,FALSE,"KA CH  (2)";#N/A,#N/A,FALSE,"KA CH  (3)";#N/A,#N/A,FALSE,"KA CH (4)"}</definedName>
    <definedName name="rr.kk_5" localSheetId="6" hidden="1">{#N/A,#N/A,FALSE,"Umsatz CH";#N/A,#N/A,FALSE,"ER CH";#N/A,#N/A,FALSE,"EA CH (2) ";#N/A,#N/A,FALSE,"EA CH";#N/A,#N/A,FALSE,"EA CH (3) ";#N/A,#N/A,FALSE,"EA CH (4)";#N/A,#N/A,FALSE,"KA CH";#N/A,#N/A,FALSE,"KA CH  (2)";#N/A,#N/A,FALSE,"KA CH  (3)";#N/A,#N/A,FALSE,"KA CH (4)"}</definedName>
    <definedName name="rr.kk_5" hidden="1">{#N/A,#N/A,FALSE,"Umsatz CH";#N/A,#N/A,FALSE,"ER CH";#N/A,#N/A,FALSE,"EA CH (2) ";#N/A,#N/A,FALSE,"EA CH";#N/A,#N/A,FALSE,"EA CH (3) ";#N/A,#N/A,FALSE,"EA CH (4)";#N/A,#N/A,FALSE,"KA CH";#N/A,#N/A,FALSE,"KA CH  (2)";#N/A,#N/A,FALSE,"KA CH  (3)";#N/A,#N/A,FALSE,"KA CH (4)"}</definedName>
    <definedName name="rr_1" localSheetId="6" hidden="1">{#N/A,#N/A,FALSE,"Scenario PivotTable"}</definedName>
    <definedName name="rr_1" hidden="1">{#N/A,#N/A,FALSE,"Scenario PivotTable"}</definedName>
    <definedName name="rr_1_1" localSheetId="6" hidden="1">{#N/A,#N/A,FALSE,"Scenario PivotTable"}</definedName>
    <definedName name="rr_1_1" hidden="1">{#N/A,#N/A,FALSE,"Scenario PivotTable"}</definedName>
    <definedName name="rr_1_1_1" localSheetId="6" hidden="1">{#N/A,#N/A,FALSE,"Scenario PivotTable"}</definedName>
    <definedName name="rr_1_1_1" hidden="1">{#N/A,#N/A,FALSE,"Scenario PivotTable"}</definedName>
    <definedName name="rr_1_1_1_1" localSheetId="6" hidden="1">{#N/A,#N/A,FALSE,"Scenario PivotTable"}</definedName>
    <definedName name="rr_1_1_1_1" hidden="1">{#N/A,#N/A,FALSE,"Scenario PivotTable"}</definedName>
    <definedName name="rr_1_1_2" localSheetId="6" hidden="1">{#N/A,#N/A,FALSE,"Scenario PivotTable"}</definedName>
    <definedName name="rr_1_1_2" hidden="1">{#N/A,#N/A,FALSE,"Scenario PivotTable"}</definedName>
    <definedName name="rr_1_1_2_1" localSheetId="6" hidden="1">{#N/A,#N/A,FALSE,"Scenario PivotTable"}</definedName>
    <definedName name="rr_1_1_2_1" hidden="1">{#N/A,#N/A,FALSE,"Scenario PivotTable"}</definedName>
    <definedName name="rr_1_1_3" localSheetId="6" hidden="1">{#N/A,#N/A,FALSE,"Scenario PivotTable"}</definedName>
    <definedName name="rr_1_1_3" hidden="1">{#N/A,#N/A,FALSE,"Scenario PivotTable"}</definedName>
    <definedName name="rr_1_2" localSheetId="6" hidden="1">{#N/A,#N/A,FALSE,"Scenario PivotTable"}</definedName>
    <definedName name="rr_1_2" hidden="1">{#N/A,#N/A,FALSE,"Scenario PivotTable"}</definedName>
    <definedName name="rr_1_2_1" localSheetId="6" hidden="1">{#N/A,#N/A,FALSE,"Scenario PivotTable"}</definedName>
    <definedName name="rr_1_2_1" hidden="1">{#N/A,#N/A,FALSE,"Scenario PivotTable"}</definedName>
    <definedName name="rr_1_2_1_1" localSheetId="6" hidden="1">{#N/A,#N/A,FALSE,"Scenario PivotTable"}</definedName>
    <definedName name="rr_1_2_1_1" hidden="1">{#N/A,#N/A,FALSE,"Scenario PivotTable"}</definedName>
    <definedName name="rr_1_2_2" localSheetId="6" hidden="1">{#N/A,#N/A,FALSE,"Scenario PivotTable"}</definedName>
    <definedName name="rr_1_2_2" hidden="1">{#N/A,#N/A,FALSE,"Scenario PivotTable"}</definedName>
    <definedName name="rr_1_3" localSheetId="6" hidden="1">{#N/A,#N/A,FALSE,"Scenario PivotTable"}</definedName>
    <definedName name="rr_1_3" hidden="1">{#N/A,#N/A,FALSE,"Scenario PivotTable"}</definedName>
    <definedName name="rr_1_3_1" localSheetId="6" hidden="1">{#N/A,#N/A,FALSE,"Scenario PivotTable"}</definedName>
    <definedName name="rr_1_3_1" hidden="1">{#N/A,#N/A,FALSE,"Scenario PivotTable"}</definedName>
    <definedName name="rr_1_4" localSheetId="6" hidden="1">{#N/A,#N/A,FALSE,"Scenario PivotTable"}</definedName>
    <definedName name="rr_1_4" hidden="1">{#N/A,#N/A,FALSE,"Scenario PivotTable"}</definedName>
    <definedName name="rr_2" localSheetId="6" hidden="1">{#N/A,#N/A,FALSE,"Scenario PivotTable"}</definedName>
    <definedName name="rr_2" hidden="1">{#N/A,#N/A,FALSE,"Scenario PivotTable"}</definedName>
    <definedName name="rr_2_1" localSheetId="6" hidden="1">{#N/A,#N/A,FALSE,"Scenario PivotTable"}</definedName>
    <definedName name="rr_2_1" hidden="1">{#N/A,#N/A,FALSE,"Scenario PivotTable"}</definedName>
    <definedName name="rr_2_1_1" localSheetId="6" hidden="1">{#N/A,#N/A,FALSE,"Scenario PivotTable"}</definedName>
    <definedName name="rr_2_1_1" hidden="1">{#N/A,#N/A,FALSE,"Scenario PivotTable"}</definedName>
    <definedName name="rr_2_1_1_1" localSheetId="6" hidden="1">{#N/A,#N/A,FALSE,"Scenario PivotTable"}</definedName>
    <definedName name="rr_2_1_1_1" hidden="1">{#N/A,#N/A,FALSE,"Scenario PivotTable"}</definedName>
    <definedName name="rr_2_1_2" localSheetId="6" hidden="1">{#N/A,#N/A,FALSE,"Scenario PivotTable"}</definedName>
    <definedName name="rr_2_1_2" hidden="1">{#N/A,#N/A,FALSE,"Scenario PivotTable"}</definedName>
    <definedName name="rr_2_1_2_1" localSheetId="6" hidden="1">{#N/A,#N/A,FALSE,"Scenario PivotTable"}</definedName>
    <definedName name="rr_2_1_2_1" hidden="1">{#N/A,#N/A,FALSE,"Scenario PivotTable"}</definedName>
    <definedName name="rr_2_1_3" localSheetId="6" hidden="1">{#N/A,#N/A,FALSE,"Scenario PivotTable"}</definedName>
    <definedName name="rr_2_1_3" hidden="1">{#N/A,#N/A,FALSE,"Scenario PivotTable"}</definedName>
    <definedName name="rr_2_2" localSheetId="6" hidden="1">{#N/A,#N/A,FALSE,"Scenario PivotTable"}</definedName>
    <definedName name="rr_2_2" hidden="1">{#N/A,#N/A,FALSE,"Scenario PivotTable"}</definedName>
    <definedName name="rr_2_2_1" localSheetId="6" hidden="1">{#N/A,#N/A,FALSE,"Scenario PivotTable"}</definedName>
    <definedName name="rr_2_2_1" hidden="1">{#N/A,#N/A,FALSE,"Scenario PivotTable"}</definedName>
    <definedName name="rr_2_2_1_1" localSheetId="6" hidden="1">{#N/A,#N/A,FALSE,"Scenario PivotTable"}</definedName>
    <definedName name="rr_2_2_1_1" hidden="1">{#N/A,#N/A,FALSE,"Scenario PivotTable"}</definedName>
    <definedName name="rr_2_2_2" localSheetId="6" hidden="1">{#N/A,#N/A,FALSE,"Scenario PivotTable"}</definedName>
    <definedName name="rr_2_2_2" hidden="1">{#N/A,#N/A,FALSE,"Scenario PivotTable"}</definedName>
    <definedName name="rr_2_3" localSheetId="6" hidden="1">{#N/A,#N/A,FALSE,"Scenario PivotTable"}</definedName>
    <definedName name="rr_2_3" hidden="1">{#N/A,#N/A,FALSE,"Scenario PivotTable"}</definedName>
    <definedName name="rr_2_3_1" localSheetId="6" hidden="1">{#N/A,#N/A,FALSE,"Scenario PivotTable"}</definedName>
    <definedName name="rr_2_3_1" hidden="1">{#N/A,#N/A,FALSE,"Scenario PivotTable"}</definedName>
    <definedName name="rr_2_4" localSheetId="6" hidden="1">{#N/A,#N/A,FALSE,"Scenario PivotTable"}</definedName>
    <definedName name="rr_2_4" hidden="1">{#N/A,#N/A,FALSE,"Scenario PivotTable"}</definedName>
    <definedName name="rr_3" localSheetId="6" hidden="1">{#N/A,#N/A,FALSE,"Scenario PivotTable"}</definedName>
    <definedName name="rr_3" hidden="1">{#N/A,#N/A,FALSE,"Scenario PivotTable"}</definedName>
    <definedName name="rr_3_1" localSheetId="6" hidden="1">{#N/A,#N/A,FALSE,"Scenario PivotTable"}</definedName>
    <definedName name="rr_3_1" hidden="1">{#N/A,#N/A,FALSE,"Scenario PivotTable"}</definedName>
    <definedName name="rr_3_1_1" localSheetId="6" hidden="1">{#N/A,#N/A,FALSE,"Scenario PivotTable"}</definedName>
    <definedName name="rr_3_1_1" hidden="1">{#N/A,#N/A,FALSE,"Scenario PivotTable"}</definedName>
    <definedName name="rr_3_1_1_1" localSheetId="6" hidden="1">{#N/A,#N/A,FALSE,"Scenario PivotTable"}</definedName>
    <definedName name="rr_3_1_1_1" hidden="1">{#N/A,#N/A,FALSE,"Scenario PivotTable"}</definedName>
    <definedName name="rr_3_1_2" localSheetId="6" hidden="1">{#N/A,#N/A,FALSE,"Scenario PivotTable"}</definedName>
    <definedName name="rr_3_1_2" hidden="1">{#N/A,#N/A,FALSE,"Scenario PivotTable"}</definedName>
    <definedName name="rr_3_1_2_1" localSheetId="6" hidden="1">{#N/A,#N/A,FALSE,"Scenario PivotTable"}</definedName>
    <definedName name="rr_3_1_2_1" hidden="1">{#N/A,#N/A,FALSE,"Scenario PivotTable"}</definedName>
    <definedName name="rr_3_1_3" localSheetId="6" hidden="1">{#N/A,#N/A,FALSE,"Scenario PivotTable"}</definedName>
    <definedName name="rr_3_1_3" hidden="1">{#N/A,#N/A,FALSE,"Scenario PivotTable"}</definedName>
    <definedName name="rr_3_2" localSheetId="6" hidden="1">{#N/A,#N/A,FALSE,"Scenario PivotTable"}</definedName>
    <definedName name="rr_3_2" hidden="1">{#N/A,#N/A,FALSE,"Scenario PivotTable"}</definedName>
    <definedName name="rr_3_2_1" localSheetId="6" hidden="1">{#N/A,#N/A,FALSE,"Scenario PivotTable"}</definedName>
    <definedName name="rr_3_2_1" hidden="1">{#N/A,#N/A,FALSE,"Scenario PivotTable"}</definedName>
    <definedName name="rr_3_2_1_1" localSheetId="6" hidden="1">{#N/A,#N/A,FALSE,"Scenario PivotTable"}</definedName>
    <definedName name="rr_3_2_1_1" hidden="1">{#N/A,#N/A,FALSE,"Scenario PivotTable"}</definedName>
    <definedName name="rr_3_2_2" localSheetId="6" hidden="1">{#N/A,#N/A,FALSE,"Scenario PivotTable"}</definedName>
    <definedName name="rr_3_2_2" hidden="1">{#N/A,#N/A,FALSE,"Scenario PivotTable"}</definedName>
    <definedName name="rr_3_3" localSheetId="6" hidden="1">{#N/A,#N/A,FALSE,"Scenario PivotTable"}</definedName>
    <definedName name="rr_3_3" hidden="1">{#N/A,#N/A,FALSE,"Scenario PivotTable"}</definedName>
    <definedName name="rr_3_3_1" localSheetId="6" hidden="1">{#N/A,#N/A,FALSE,"Scenario PivotTable"}</definedName>
    <definedName name="rr_3_3_1" hidden="1">{#N/A,#N/A,FALSE,"Scenario PivotTable"}</definedName>
    <definedName name="rr_3_4" localSheetId="6" hidden="1">{#N/A,#N/A,FALSE,"Scenario PivotTable"}</definedName>
    <definedName name="rr_3_4" hidden="1">{#N/A,#N/A,FALSE,"Scenario PivotTable"}</definedName>
    <definedName name="rr_4" localSheetId="6" hidden="1">{#N/A,#N/A,FALSE,"Scenario PivotTable"}</definedName>
    <definedName name="rr_4" hidden="1">{#N/A,#N/A,FALSE,"Scenario PivotTable"}</definedName>
    <definedName name="rr_4_1" localSheetId="6" hidden="1">{#N/A,#N/A,FALSE,"Scenario PivotTable"}</definedName>
    <definedName name="rr_4_1" hidden="1">{#N/A,#N/A,FALSE,"Scenario PivotTable"}</definedName>
    <definedName name="rr_4_1_1" localSheetId="6" hidden="1">{#N/A,#N/A,FALSE,"Scenario PivotTable"}</definedName>
    <definedName name="rr_4_1_1" hidden="1">{#N/A,#N/A,FALSE,"Scenario PivotTable"}</definedName>
    <definedName name="rr_4_1_1_1" localSheetId="6" hidden="1">{#N/A,#N/A,FALSE,"Scenario PivotTable"}</definedName>
    <definedName name="rr_4_1_1_1" hidden="1">{#N/A,#N/A,FALSE,"Scenario PivotTable"}</definedName>
    <definedName name="rr_4_1_2" localSheetId="6" hidden="1">{#N/A,#N/A,FALSE,"Scenario PivotTable"}</definedName>
    <definedName name="rr_4_1_2" hidden="1">{#N/A,#N/A,FALSE,"Scenario PivotTable"}</definedName>
    <definedName name="rr_4_1_2_1" localSheetId="6" hidden="1">{#N/A,#N/A,FALSE,"Scenario PivotTable"}</definedName>
    <definedName name="rr_4_1_2_1" hidden="1">{#N/A,#N/A,FALSE,"Scenario PivotTable"}</definedName>
    <definedName name="rr_4_1_3" localSheetId="6" hidden="1">{#N/A,#N/A,FALSE,"Scenario PivotTable"}</definedName>
    <definedName name="rr_4_1_3" hidden="1">{#N/A,#N/A,FALSE,"Scenario PivotTable"}</definedName>
    <definedName name="rr_4_2" localSheetId="6" hidden="1">{#N/A,#N/A,FALSE,"Scenario PivotTable"}</definedName>
    <definedName name="rr_4_2" hidden="1">{#N/A,#N/A,FALSE,"Scenario PivotTable"}</definedName>
    <definedName name="rr_4_2_1" localSheetId="6" hidden="1">{#N/A,#N/A,FALSE,"Scenario PivotTable"}</definedName>
    <definedName name="rr_4_2_1" hidden="1">{#N/A,#N/A,FALSE,"Scenario PivotTable"}</definedName>
    <definedName name="rr_4_2_1_1" localSheetId="6" hidden="1">{#N/A,#N/A,FALSE,"Scenario PivotTable"}</definedName>
    <definedName name="rr_4_2_1_1" hidden="1">{#N/A,#N/A,FALSE,"Scenario PivotTable"}</definedName>
    <definedName name="rr_4_2_2" localSheetId="6" hidden="1">{#N/A,#N/A,FALSE,"Scenario PivotTable"}</definedName>
    <definedName name="rr_4_2_2" hidden="1">{#N/A,#N/A,FALSE,"Scenario PivotTable"}</definedName>
    <definedName name="rr_4_3" localSheetId="6" hidden="1">{#N/A,#N/A,FALSE,"Scenario PivotTable"}</definedName>
    <definedName name="rr_4_3" hidden="1">{#N/A,#N/A,FALSE,"Scenario PivotTable"}</definedName>
    <definedName name="rr_4_3_1" localSheetId="6" hidden="1">{#N/A,#N/A,FALSE,"Scenario PivotTable"}</definedName>
    <definedName name="rr_4_3_1" hidden="1">{#N/A,#N/A,FALSE,"Scenario PivotTable"}</definedName>
    <definedName name="rr_4_4" localSheetId="6" hidden="1">{#N/A,#N/A,FALSE,"Scenario PivotTable"}</definedName>
    <definedName name="rr_4_4" hidden="1">{#N/A,#N/A,FALSE,"Scenario PivotTable"}</definedName>
    <definedName name="rr_5" localSheetId="6" hidden="1">{#N/A,#N/A,FALSE,"Scenario PivotTable"}</definedName>
    <definedName name="rr_5" hidden="1">{#N/A,#N/A,FALSE,"Scenario PivotTable"}</definedName>
    <definedName name="rr_5_1" localSheetId="6" hidden="1">{#N/A,#N/A,FALSE,"Scenario PivotTable"}</definedName>
    <definedName name="rr_5_1" hidden="1">{#N/A,#N/A,FALSE,"Scenario PivotTable"}</definedName>
    <definedName name="rr_5_1_1" localSheetId="6" hidden="1">{#N/A,#N/A,FALSE,"Scenario PivotTable"}</definedName>
    <definedName name="rr_5_1_1" hidden="1">{#N/A,#N/A,FALSE,"Scenario PivotTable"}</definedName>
    <definedName name="rr_5_1_1_1" localSheetId="6" hidden="1">{#N/A,#N/A,FALSE,"Scenario PivotTable"}</definedName>
    <definedName name="rr_5_1_1_1" hidden="1">{#N/A,#N/A,FALSE,"Scenario PivotTable"}</definedName>
    <definedName name="rr_5_1_2" localSheetId="6" hidden="1">{#N/A,#N/A,FALSE,"Scenario PivotTable"}</definedName>
    <definedName name="rr_5_1_2" hidden="1">{#N/A,#N/A,FALSE,"Scenario PivotTable"}</definedName>
    <definedName name="rr_5_1_2_1" localSheetId="6" hidden="1">{#N/A,#N/A,FALSE,"Scenario PivotTable"}</definedName>
    <definedName name="rr_5_1_2_1" hidden="1">{#N/A,#N/A,FALSE,"Scenario PivotTable"}</definedName>
    <definedName name="rr_5_1_3" localSheetId="6" hidden="1">{#N/A,#N/A,FALSE,"Scenario PivotTable"}</definedName>
    <definedName name="rr_5_1_3" hidden="1">{#N/A,#N/A,FALSE,"Scenario PivotTable"}</definedName>
    <definedName name="rr_5_2" localSheetId="6" hidden="1">{#N/A,#N/A,FALSE,"Scenario PivotTable"}</definedName>
    <definedName name="rr_5_2" hidden="1">{#N/A,#N/A,FALSE,"Scenario PivotTable"}</definedName>
    <definedName name="rr_5_2_1" localSheetId="6" hidden="1">{#N/A,#N/A,FALSE,"Scenario PivotTable"}</definedName>
    <definedName name="rr_5_2_1" hidden="1">{#N/A,#N/A,FALSE,"Scenario PivotTable"}</definedName>
    <definedName name="rr_5_2_1_1" localSheetId="6" hidden="1">{#N/A,#N/A,FALSE,"Scenario PivotTable"}</definedName>
    <definedName name="rr_5_2_1_1" hidden="1">{#N/A,#N/A,FALSE,"Scenario PivotTable"}</definedName>
    <definedName name="rr_5_2_2" localSheetId="6" hidden="1">{#N/A,#N/A,FALSE,"Scenario PivotTable"}</definedName>
    <definedName name="rr_5_2_2" hidden="1">{#N/A,#N/A,FALSE,"Scenario PivotTable"}</definedName>
    <definedName name="rr_5_3" localSheetId="6" hidden="1">{#N/A,#N/A,FALSE,"Scenario PivotTable"}</definedName>
    <definedName name="rr_5_3" hidden="1">{#N/A,#N/A,FALSE,"Scenario PivotTable"}</definedName>
    <definedName name="rr_5_3_1" localSheetId="6" hidden="1">{#N/A,#N/A,FALSE,"Scenario PivotTable"}</definedName>
    <definedName name="rr_5_3_1" hidden="1">{#N/A,#N/A,FALSE,"Scenario PivotTable"}</definedName>
    <definedName name="rr_5_4" localSheetId="6" hidden="1">{#N/A,#N/A,FALSE,"Scenario PivotTable"}</definedName>
    <definedName name="rr_5_4" hidden="1">{#N/A,#N/A,FALSE,"Scenario PivotTable"}</definedName>
    <definedName name="RRdruck">#REF!</definedName>
    <definedName name="rrg" localSheetId="0" hidden="1">{#N/A,#N/A,TRUE,"PROFIT 11-95"}</definedName>
    <definedName name="rrg" localSheetId="6" hidden="1">{#N/A,#N/A,TRUE,"PROFIT 11-95"}</definedName>
    <definedName name="rrg" hidden="1">{#N/A,#N/A,TRUE,"PROFIT 11-95"}</definedName>
    <definedName name="rrr" localSheetId="0" hidden="1">{"sch19",#N/A,FALSE,"Debtors &lt; 1 yr";"sch19a",#N/A,FALSE,"Debtors &lt; 1 yr";"sch19b",#N/A,FALSE,"Debtors &lt; 1 yr"}</definedName>
    <definedName name="rrr" localSheetId="6" hidden="1">{"sch19",#N/A,FALSE,"Debtors &lt; 1 yr";"sch19a",#N/A,FALSE,"Debtors &lt; 1 yr";"sch19b",#N/A,FALSE,"Debtors &lt; 1 yr"}</definedName>
    <definedName name="rrr" hidden="1">{"sch19",#N/A,FALSE,"Debtors &lt; 1 yr";"sch19a",#N/A,FALSE,"Debtors &lt; 1 yr";"sch19b",#N/A,FALSE,"Debtors &lt; 1 yr"}</definedName>
    <definedName name="rrr_1" localSheetId="0" hidden="1">{"sch19",#N/A,FALSE,"Debtors &lt; 1 yr";"sch19a",#N/A,FALSE,"Debtors &lt; 1 yr";"sch19b",#N/A,FALSE,"Debtors &lt; 1 yr"}</definedName>
    <definedName name="rrr_1" localSheetId="6" hidden="1">{"sch19",#N/A,FALSE,"Debtors &lt; 1 yr";"sch19a",#N/A,FALSE,"Debtors &lt; 1 yr";"sch19b",#N/A,FALSE,"Debtors &lt; 1 yr"}</definedName>
    <definedName name="rrr_1" hidden="1">{"sch19",#N/A,FALSE,"Debtors &lt; 1 yr";"sch19a",#N/A,FALSE,"Debtors &lt; 1 yr";"sch19b",#N/A,FALSE,"Debtors &lt; 1 yr"}</definedName>
    <definedName name="rrrr"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rrr"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rrr"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rrr_1" localSheetId="6" hidden="1">{#N/A,#N/A,TRUE,"Cover";#N/A,#N/A,TRUE,"Conts";#N/A,#N/A,TRUE,"VOS";#N/A,#N/A,TRUE,"Warrington";#N/A,#N/A,TRUE,"Widnes"}</definedName>
    <definedName name="rrrr_1" hidden="1">{#N/A,#N/A,TRUE,"Cover";#N/A,#N/A,TRUE,"Conts";#N/A,#N/A,TRUE,"VOS";#N/A,#N/A,TRUE,"Warrington";#N/A,#N/A,TRUE,"Widnes"}</definedName>
    <definedName name="rrrrr" localSheetId="0" hidden="1">{"Graphic",#N/A,TRUE,"Graphic"}</definedName>
    <definedName name="rrrrr" localSheetId="6" hidden="1">{"Graphic",#N/A,TRUE,"Graphic"}</definedName>
    <definedName name="rrrrr" hidden="1">{"Graphic",#N/A,TRUE,"Graphic"}</definedName>
    <definedName name="rrrrr_1" localSheetId="0" hidden="1">{"Graphic",#N/A,TRUE,"Graphic"}</definedName>
    <definedName name="rrrrr_1" localSheetId="6" hidden="1">{"Graphic",#N/A,TRUE,"Graphic"}</definedName>
    <definedName name="rrrrr_1" hidden="1">{"Graphic",#N/A,TRUE,"Graphic"}</definedName>
    <definedName name="rrrrr_1_1" localSheetId="0" hidden="1">{#N/A,#N/A,FALSE,"Pharm";#N/A,#N/A,FALSE,"WWCM"}</definedName>
    <definedName name="rrrrr_1_1" localSheetId="6" hidden="1">{#N/A,#N/A,FALSE,"Pharm";#N/A,#N/A,FALSE,"WWCM"}</definedName>
    <definedName name="rrrrr_1_1" hidden="1">{#N/A,#N/A,FALSE,"Pharm";#N/A,#N/A,FALSE,"WWCM"}</definedName>
    <definedName name="rrrrr_2" localSheetId="0" hidden="1">{#N/A,#N/A,FALSE,"Pharm";#N/A,#N/A,FALSE,"WWCM"}</definedName>
    <definedName name="rrrrr_2" localSheetId="6" hidden="1">{#N/A,#N/A,FALSE,"Pharm";#N/A,#N/A,FALSE,"WWCM"}</definedName>
    <definedName name="rrrrr_2" hidden="1">{#N/A,#N/A,FALSE,"Pharm";#N/A,#N/A,FALSE,"WWCM"}</definedName>
    <definedName name="rrrrr_3" localSheetId="0" hidden="1">{#N/A,#N/A,FALSE,"Pharm";#N/A,#N/A,FALSE,"WWCM"}</definedName>
    <definedName name="rrrrr_3" localSheetId="6" hidden="1">{#N/A,#N/A,FALSE,"Pharm";#N/A,#N/A,FALSE,"WWCM"}</definedName>
    <definedName name="rrrrr_3" hidden="1">{#N/A,#N/A,FALSE,"Pharm";#N/A,#N/A,FALSE,"WWCM"}</definedName>
    <definedName name="rrrrr_4" localSheetId="0" hidden="1">{#N/A,#N/A,FALSE,"Pharm";#N/A,#N/A,FALSE,"WWCM"}</definedName>
    <definedName name="rrrrr_4" localSheetId="6" hidden="1">{#N/A,#N/A,FALSE,"Pharm";#N/A,#N/A,FALSE,"WWCM"}</definedName>
    <definedName name="rrrrr_4" hidden="1">{#N/A,#N/A,FALSE,"Pharm";#N/A,#N/A,FALSE,"WWCM"}</definedName>
    <definedName name="rrrrr_5" localSheetId="0" hidden="1">{#N/A,#N/A,FALSE,"Pharm";#N/A,#N/A,FALSE,"WWCM"}</definedName>
    <definedName name="rrrrr_5" localSheetId="6" hidden="1">{#N/A,#N/A,FALSE,"Pharm";#N/A,#N/A,FALSE,"WWCM"}</definedName>
    <definedName name="rrrrr_5" hidden="1">{#N/A,#N/A,FALSE,"Pharm";#N/A,#N/A,FALSE,"WWCM"}</definedName>
    <definedName name="rrrrrr" localSheetId="0" hidden="1">{#N/A,#N/A,FALSE,"Valuation Assumptions";#N/A,#N/A,FALSE,"Summary";#N/A,#N/A,FALSE,"DCF";#N/A,#N/A,FALSE,"Valuation";#N/A,#N/A,FALSE,"WACC";#N/A,#N/A,FALSE,"UBVH";#N/A,#N/A,FALSE,"Free Cash Flow"}</definedName>
    <definedName name="rrrrrr" localSheetId="6" hidden="1">{#N/A,#N/A,FALSE,"Valuation Assumptions";#N/A,#N/A,FALSE,"Summary";#N/A,#N/A,FALSE,"DCF";#N/A,#N/A,FALSE,"Valuation";#N/A,#N/A,FALSE,"WACC";#N/A,#N/A,FALSE,"UBVH";#N/A,#N/A,FALSE,"Free Cash Flow"}</definedName>
    <definedName name="rrrrrr" hidden="1">{#N/A,#N/A,FALSE,"Valuation Assumptions";#N/A,#N/A,FALSE,"Summary";#N/A,#N/A,FALSE,"DCF";#N/A,#N/A,FALSE,"Valuation";#N/A,#N/A,FALSE,"WACC";#N/A,#N/A,FALSE,"UBVH";#N/A,#N/A,FALSE,"Free Cash Flow"}</definedName>
    <definedName name="rrrrrrr" localSheetId="0" hidden="1">{"Graphic",#N/A,TRUE,"Graphic"}</definedName>
    <definedName name="rrrrrrr" localSheetId="6" hidden="1">{"Graphic",#N/A,TRUE,"Graphic"}</definedName>
    <definedName name="rrrrrrr" hidden="1">{"Graphic",#N/A,TRUE,"Graphic"}</definedName>
    <definedName name="rrrrrrr_1" localSheetId="0" hidden="1">{"Graphic",#N/A,TRUE,"Graphic"}</definedName>
    <definedName name="rrrrrrr_1" localSheetId="6" hidden="1">{"Graphic",#N/A,TRUE,"Graphic"}</definedName>
    <definedName name="rrrrrrr_1" hidden="1">{"Graphic",#N/A,TRUE,"Graphic"}</definedName>
    <definedName name="rrrrrrrr"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rrrrrrrr"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rrrrrrrrrrrrrrrrrg" localSheetId="0" hidden="1">{#N/A,#N/A,FALSE,"Assessment";#N/A,#N/A,FALSE,"Staffing";#N/A,#N/A,FALSE,"Hires";#N/A,#N/A,FALSE,"Assumptions"}</definedName>
    <definedName name="rrrrrrrrrrrrrrrrrg" localSheetId="6" hidden="1">{#N/A,#N/A,FALSE,"Assessment";#N/A,#N/A,FALSE,"Staffing";#N/A,#N/A,FALSE,"Hires";#N/A,#N/A,FALSE,"Assumptions"}</definedName>
    <definedName name="rrrrrrrrrrrrrrrrrg" hidden="1">{#N/A,#N/A,FALSE,"Assessment";#N/A,#N/A,FALSE,"Staffing";#N/A,#N/A,FALSE,"Hires";#N/A,#N/A,FALSE,"Assumptions"}</definedName>
    <definedName name="rrrrrrrrrrrrrrrrrg_1" localSheetId="0" hidden="1">{#N/A,#N/A,FALSE,"Assessment";#N/A,#N/A,FALSE,"Staffing";#N/A,#N/A,FALSE,"Hires";#N/A,#N/A,FALSE,"Assumptions"}</definedName>
    <definedName name="rrrrrrrrrrrrrrrrrg_1" localSheetId="6" hidden="1">{#N/A,#N/A,FALSE,"Assessment";#N/A,#N/A,FALSE,"Staffing";#N/A,#N/A,FALSE,"Hires";#N/A,#N/A,FALSE,"Assumptions"}</definedName>
    <definedName name="rrrrrrrrrrrrrrrrrg_1" hidden="1">{#N/A,#N/A,FALSE,"Assessment";#N/A,#N/A,FALSE,"Staffing";#N/A,#N/A,FALSE,"Hires";#N/A,#N/A,FALSE,"Assumptions"}</definedName>
    <definedName name="rt" localSheetId="6" hidden="1">{#N/A,#N/A,TRUE,"Cover";#N/A,#N/A,TRUE,"Conts";#N/A,#N/A,TRUE,"VOS";#N/A,#N/A,TRUE,"Warrington";#N/A,#N/A,TRUE,"Widnes"}</definedName>
    <definedName name="rt" hidden="1">{#N/A,#N/A,TRUE,"Cover";#N/A,#N/A,TRUE,"Conts";#N/A,#N/A,TRUE,"VOS";#N/A,#N/A,TRUE,"Warrington";#N/A,#N/A,TRUE,"Widnes"}</definedName>
    <definedName name="rt_1" localSheetId="6" hidden="1">{#N/A,#N/A,TRUE,"Cover";#N/A,#N/A,TRUE,"Conts";#N/A,#N/A,TRUE,"VOS";#N/A,#N/A,TRUE,"Warrington";#N/A,#N/A,TRUE,"Widnes"}</definedName>
    <definedName name="rt_1" hidden="1">{#N/A,#N/A,TRUE,"Cover";#N/A,#N/A,TRUE,"Conts";#N/A,#N/A,TRUE,"VOS";#N/A,#N/A,TRUE,"Warrington";#N/A,#N/A,TRUE,"Widnes"}</definedName>
    <definedName name="RTA" localSheetId="0" hidden="1">{#N/A,#N/A,FALSE,"Tabl. G1";#N/A,#N/A,FALSE,"Tabl. G2"}</definedName>
    <definedName name="RTA" localSheetId="6" hidden="1">{#N/A,#N/A,FALSE,"Tabl. G1";#N/A,#N/A,FALSE,"Tabl. G2"}</definedName>
    <definedName name="RTA" hidden="1">{#N/A,#N/A,FALSE,"Tabl. G1";#N/A,#N/A,FALSE,"Tabl. G2"}</definedName>
    <definedName name="rtewtyer" localSheetId="6" hidden="1">{#N/A,#N/A,FALSE,"Banksum";#N/A,#N/A,FALSE,"Banksum"}</definedName>
    <definedName name="rtewtyer" hidden="1">{#N/A,#N/A,FALSE,"Banksum";#N/A,#N/A,FALSE,"Banksum"}</definedName>
    <definedName name="rtjjjj" hidden="1">#REF!</definedName>
    <definedName name="rtjtrj" localSheetId="0" hidden="1">{#N/A,#N/A,FALSE,"Assessment";#N/A,#N/A,FALSE,"Staffing";#N/A,#N/A,FALSE,"Hires";#N/A,#N/A,FALSE,"Assumptions"}</definedName>
    <definedName name="rtjtrj" localSheetId="6" hidden="1">{#N/A,#N/A,FALSE,"Assessment";#N/A,#N/A,FALSE,"Staffing";#N/A,#N/A,FALSE,"Hires";#N/A,#N/A,FALSE,"Assumptions"}</definedName>
    <definedName name="rtjtrj" hidden="1">{#N/A,#N/A,FALSE,"Assessment";#N/A,#N/A,FALSE,"Staffing";#N/A,#N/A,FALSE,"Hires";#N/A,#N/A,FALSE,"Assumptions"}</definedName>
    <definedName name="rtjtrj_1" localSheetId="0" hidden="1">{#N/A,#N/A,FALSE,"Assessment";#N/A,#N/A,FALSE,"Staffing";#N/A,#N/A,FALSE,"Hires";#N/A,#N/A,FALSE,"Assumptions"}</definedName>
    <definedName name="rtjtrj_1" localSheetId="6" hidden="1">{#N/A,#N/A,FALSE,"Assessment";#N/A,#N/A,FALSE,"Staffing";#N/A,#N/A,FALSE,"Hires";#N/A,#N/A,FALSE,"Assumptions"}</definedName>
    <definedName name="rtjtrj_1" hidden="1">{#N/A,#N/A,FALSE,"Assessment";#N/A,#N/A,FALSE,"Staffing";#N/A,#N/A,FALSE,"Hires";#N/A,#N/A,FALSE,"Assumptions"}</definedName>
    <definedName name="rtn" localSheetId="0" hidden="1">{#N/A,#N/A,FALSE,"Assessment";#N/A,#N/A,FALSE,"Staffing";#N/A,#N/A,FALSE,"Hires";#N/A,#N/A,FALSE,"Assumptions"}</definedName>
    <definedName name="rtn" localSheetId="6" hidden="1">{#N/A,#N/A,FALSE,"Assessment";#N/A,#N/A,FALSE,"Staffing";#N/A,#N/A,FALSE,"Hires";#N/A,#N/A,FALSE,"Assumptions"}</definedName>
    <definedName name="rtn" hidden="1">{#N/A,#N/A,FALSE,"Assessment";#N/A,#N/A,FALSE,"Staffing";#N/A,#N/A,FALSE,"Hires";#N/A,#N/A,FALSE,"Assumptions"}</definedName>
    <definedName name="rtn_1" localSheetId="0" hidden="1">{#N/A,#N/A,FALSE,"Assessment";#N/A,#N/A,FALSE,"Staffing";#N/A,#N/A,FALSE,"Hires";#N/A,#N/A,FALSE,"Assumptions"}</definedName>
    <definedName name="rtn_1" localSheetId="6" hidden="1">{#N/A,#N/A,FALSE,"Assessment";#N/A,#N/A,FALSE,"Staffing";#N/A,#N/A,FALSE,"Hires";#N/A,#N/A,FALSE,"Assumptions"}</definedName>
    <definedName name="rtn_1" hidden="1">{#N/A,#N/A,FALSE,"Assessment";#N/A,#N/A,FALSE,"Staffing";#N/A,#N/A,FALSE,"Hires";#N/A,#N/A,FALSE,"Assumptions"}</definedName>
    <definedName name="rtnrt" localSheetId="0" hidden="1">{#N/A,#N/A,FALSE,"Assessment";#N/A,#N/A,FALSE,"Staffing";#N/A,#N/A,FALSE,"Hires";#N/A,#N/A,FALSE,"Assumptions"}</definedName>
    <definedName name="rtnrt" localSheetId="6" hidden="1">{#N/A,#N/A,FALSE,"Assessment";#N/A,#N/A,FALSE,"Staffing";#N/A,#N/A,FALSE,"Hires";#N/A,#N/A,FALSE,"Assumptions"}</definedName>
    <definedName name="rtnrt" hidden="1">{#N/A,#N/A,FALSE,"Assessment";#N/A,#N/A,FALSE,"Staffing";#N/A,#N/A,FALSE,"Hires";#N/A,#N/A,FALSE,"Assumptions"}</definedName>
    <definedName name="rtnrt_1" localSheetId="0" hidden="1">{#N/A,#N/A,FALSE,"Assessment";#N/A,#N/A,FALSE,"Staffing";#N/A,#N/A,FALSE,"Hires";#N/A,#N/A,FALSE,"Assumptions"}</definedName>
    <definedName name="rtnrt_1" localSheetId="6" hidden="1">{#N/A,#N/A,FALSE,"Assessment";#N/A,#N/A,FALSE,"Staffing";#N/A,#N/A,FALSE,"Hires";#N/A,#N/A,FALSE,"Assumptions"}</definedName>
    <definedName name="rtnrt_1" hidden="1">{#N/A,#N/A,FALSE,"Assessment";#N/A,#N/A,FALSE,"Staffing";#N/A,#N/A,FALSE,"Hires";#N/A,#N/A,FALSE,"Assumptions"}</definedName>
    <definedName name="rtre" localSheetId="0" hidden="1">{#N/A,#N/A,FALSE,"Umsatz CH";#N/A,#N/A,FALSE,"ER CH";#N/A,#N/A,FALSE,"EA CH (2) ";#N/A,#N/A,FALSE,"EA CH";#N/A,#N/A,FALSE,"EA CH (3) ";#N/A,#N/A,FALSE,"EA CH (4)";#N/A,#N/A,FALSE,"KA CH";#N/A,#N/A,FALSE,"KA CH  (2)";#N/A,#N/A,FALSE,"KA CH  (3)";#N/A,#N/A,FALSE,"KA CH (4)"}</definedName>
    <definedName name="rtre" localSheetId="6" hidden="1">{#N/A,#N/A,FALSE,"Umsatz CH";#N/A,#N/A,FALSE,"ER CH";#N/A,#N/A,FALSE,"EA CH (2) ";#N/A,#N/A,FALSE,"EA CH";#N/A,#N/A,FALSE,"EA CH (3) ";#N/A,#N/A,FALSE,"EA CH (4)";#N/A,#N/A,FALSE,"KA CH";#N/A,#N/A,FALSE,"KA CH  (2)";#N/A,#N/A,FALSE,"KA CH  (3)";#N/A,#N/A,FALSE,"KA CH (4)"}</definedName>
    <definedName name="rtre" hidden="1">{#N/A,#N/A,FALSE,"Umsatz CH";#N/A,#N/A,FALSE,"ER CH";#N/A,#N/A,FALSE,"EA CH (2) ";#N/A,#N/A,FALSE,"EA CH";#N/A,#N/A,FALSE,"EA CH (3) ";#N/A,#N/A,FALSE,"EA CH (4)";#N/A,#N/A,FALSE,"KA CH";#N/A,#N/A,FALSE,"KA CH  (2)";#N/A,#N/A,FALSE,"KA CH  (3)";#N/A,#N/A,FALSE,"KA CH (4)"}</definedName>
    <definedName name="rtre_1" localSheetId="0" hidden="1">{#N/A,#N/A,FALSE,"Umsatz CH";#N/A,#N/A,FALSE,"ER CH";#N/A,#N/A,FALSE,"EA CH (2) ";#N/A,#N/A,FALSE,"EA CH";#N/A,#N/A,FALSE,"EA CH (3) ";#N/A,#N/A,FALSE,"EA CH (4)";#N/A,#N/A,FALSE,"KA CH";#N/A,#N/A,FALSE,"KA CH  (2)";#N/A,#N/A,FALSE,"KA CH  (3)";#N/A,#N/A,FALSE,"KA CH (4)"}</definedName>
    <definedName name="rtre_1" localSheetId="6" hidden="1">{#N/A,#N/A,FALSE,"Umsatz CH";#N/A,#N/A,FALSE,"ER CH";#N/A,#N/A,FALSE,"EA CH (2) ";#N/A,#N/A,FALSE,"EA CH";#N/A,#N/A,FALSE,"EA CH (3) ";#N/A,#N/A,FALSE,"EA CH (4)";#N/A,#N/A,FALSE,"KA CH";#N/A,#N/A,FALSE,"KA CH  (2)";#N/A,#N/A,FALSE,"KA CH  (3)";#N/A,#N/A,FALSE,"KA CH (4)"}</definedName>
    <definedName name="rtre_1" hidden="1">{#N/A,#N/A,FALSE,"Umsatz CH";#N/A,#N/A,FALSE,"ER CH";#N/A,#N/A,FALSE,"EA CH (2) ";#N/A,#N/A,FALSE,"EA CH";#N/A,#N/A,FALSE,"EA CH (3) ";#N/A,#N/A,FALSE,"EA CH (4)";#N/A,#N/A,FALSE,"KA CH";#N/A,#N/A,FALSE,"KA CH  (2)";#N/A,#N/A,FALSE,"KA CH  (3)";#N/A,#N/A,FALSE,"KA CH (4)"}</definedName>
    <definedName name="rtre_1_1" localSheetId="0" hidden="1">{#N/A,#N/A,FALSE,"Umsatz CH";#N/A,#N/A,FALSE,"ER CH";#N/A,#N/A,FALSE,"EA CH (2) ";#N/A,#N/A,FALSE,"EA CH";#N/A,#N/A,FALSE,"EA CH (3) ";#N/A,#N/A,FALSE,"EA CH (4)";#N/A,#N/A,FALSE,"KA CH";#N/A,#N/A,FALSE,"KA CH  (2)";#N/A,#N/A,FALSE,"KA CH  (3)";#N/A,#N/A,FALSE,"KA CH (4)"}</definedName>
    <definedName name="rtre_1_1" localSheetId="6" hidden="1">{#N/A,#N/A,FALSE,"Umsatz CH";#N/A,#N/A,FALSE,"ER CH";#N/A,#N/A,FALSE,"EA CH (2) ";#N/A,#N/A,FALSE,"EA CH";#N/A,#N/A,FALSE,"EA CH (3) ";#N/A,#N/A,FALSE,"EA CH (4)";#N/A,#N/A,FALSE,"KA CH";#N/A,#N/A,FALSE,"KA CH  (2)";#N/A,#N/A,FALSE,"KA CH  (3)";#N/A,#N/A,FALSE,"KA CH (4)"}</definedName>
    <definedName name="rtre_1_1" hidden="1">{#N/A,#N/A,FALSE,"Umsatz CH";#N/A,#N/A,FALSE,"ER CH";#N/A,#N/A,FALSE,"EA CH (2) ";#N/A,#N/A,FALSE,"EA CH";#N/A,#N/A,FALSE,"EA CH (3) ";#N/A,#N/A,FALSE,"EA CH (4)";#N/A,#N/A,FALSE,"KA CH";#N/A,#N/A,FALSE,"KA CH  (2)";#N/A,#N/A,FALSE,"KA CH  (3)";#N/A,#N/A,FALSE,"KA CH (4)"}</definedName>
    <definedName name="rtre_2" localSheetId="0" hidden="1">{#N/A,#N/A,FALSE,"Umsatz CH";#N/A,#N/A,FALSE,"ER CH";#N/A,#N/A,FALSE,"EA CH (2) ";#N/A,#N/A,FALSE,"EA CH";#N/A,#N/A,FALSE,"EA CH (3) ";#N/A,#N/A,FALSE,"EA CH (4)";#N/A,#N/A,FALSE,"KA CH";#N/A,#N/A,FALSE,"KA CH  (2)";#N/A,#N/A,FALSE,"KA CH  (3)";#N/A,#N/A,FALSE,"KA CH (4)"}</definedName>
    <definedName name="rtre_2" localSheetId="6" hidden="1">{#N/A,#N/A,FALSE,"Umsatz CH";#N/A,#N/A,FALSE,"ER CH";#N/A,#N/A,FALSE,"EA CH (2) ";#N/A,#N/A,FALSE,"EA CH";#N/A,#N/A,FALSE,"EA CH (3) ";#N/A,#N/A,FALSE,"EA CH (4)";#N/A,#N/A,FALSE,"KA CH";#N/A,#N/A,FALSE,"KA CH  (2)";#N/A,#N/A,FALSE,"KA CH  (3)";#N/A,#N/A,FALSE,"KA CH (4)"}</definedName>
    <definedName name="rtre_2" hidden="1">{#N/A,#N/A,FALSE,"Umsatz CH";#N/A,#N/A,FALSE,"ER CH";#N/A,#N/A,FALSE,"EA CH (2) ";#N/A,#N/A,FALSE,"EA CH";#N/A,#N/A,FALSE,"EA CH (3) ";#N/A,#N/A,FALSE,"EA CH (4)";#N/A,#N/A,FALSE,"KA CH";#N/A,#N/A,FALSE,"KA CH  (2)";#N/A,#N/A,FALSE,"KA CH  (3)";#N/A,#N/A,FALSE,"KA CH (4)"}</definedName>
    <definedName name="rtre_3" localSheetId="0" hidden="1">{#N/A,#N/A,FALSE,"Umsatz CH";#N/A,#N/A,FALSE,"ER CH";#N/A,#N/A,FALSE,"EA CH (2) ";#N/A,#N/A,FALSE,"EA CH";#N/A,#N/A,FALSE,"EA CH (3) ";#N/A,#N/A,FALSE,"EA CH (4)";#N/A,#N/A,FALSE,"KA CH";#N/A,#N/A,FALSE,"KA CH  (2)";#N/A,#N/A,FALSE,"KA CH  (3)";#N/A,#N/A,FALSE,"KA CH (4)"}</definedName>
    <definedName name="rtre_3" localSheetId="6" hidden="1">{#N/A,#N/A,FALSE,"Umsatz CH";#N/A,#N/A,FALSE,"ER CH";#N/A,#N/A,FALSE,"EA CH (2) ";#N/A,#N/A,FALSE,"EA CH";#N/A,#N/A,FALSE,"EA CH (3) ";#N/A,#N/A,FALSE,"EA CH (4)";#N/A,#N/A,FALSE,"KA CH";#N/A,#N/A,FALSE,"KA CH  (2)";#N/A,#N/A,FALSE,"KA CH  (3)";#N/A,#N/A,FALSE,"KA CH (4)"}</definedName>
    <definedName name="rtre_3" hidden="1">{#N/A,#N/A,FALSE,"Umsatz CH";#N/A,#N/A,FALSE,"ER CH";#N/A,#N/A,FALSE,"EA CH (2) ";#N/A,#N/A,FALSE,"EA CH";#N/A,#N/A,FALSE,"EA CH (3) ";#N/A,#N/A,FALSE,"EA CH (4)";#N/A,#N/A,FALSE,"KA CH";#N/A,#N/A,FALSE,"KA CH  (2)";#N/A,#N/A,FALSE,"KA CH  (3)";#N/A,#N/A,FALSE,"KA CH (4)"}</definedName>
    <definedName name="rtre_4" localSheetId="0" hidden="1">{#N/A,#N/A,FALSE,"Umsatz CH";#N/A,#N/A,FALSE,"ER CH";#N/A,#N/A,FALSE,"EA CH (2) ";#N/A,#N/A,FALSE,"EA CH";#N/A,#N/A,FALSE,"EA CH (3) ";#N/A,#N/A,FALSE,"EA CH (4)";#N/A,#N/A,FALSE,"KA CH";#N/A,#N/A,FALSE,"KA CH  (2)";#N/A,#N/A,FALSE,"KA CH  (3)";#N/A,#N/A,FALSE,"KA CH (4)"}</definedName>
    <definedName name="rtre_4" localSheetId="6" hidden="1">{#N/A,#N/A,FALSE,"Umsatz CH";#N/A,#N/A,FALSE,"ER CH";#N/A,#N/A,FALSE,"EA CH (2) ";#N/A,#N/A,FALSE,"EA CH";#N/A,#N/A,FALSE,"EA CH (3) ";#N/A,#N/A,FALSE,"EA CH (4)";#N/A,#N/A,FALSE,"KA CH";#N/A,#N/A,FALSE,"KA CH  (2)";#N/A,#N/A,FALSE,"KA CH  (3)";#N/A,#N/A,FALSE,"KA CH (4)"}</definedName>
    <definedName name="rtre_4" hidden="1">{#N/A,#N/A,FALSE,"Umsatz CH";#N/A,#N/A,FALSE,"ER CH";#N/A,#N/A,FALSE,"EA CH (2) ";#N/A,#N/A,FALSE,"EA CH";#N/A,#N/A,FALSE,"EA CH (3) ";#N/A,#N/A,FALSE,"EA CH (4)";#N/A,#N/A,FALSE,"KA CH";#N/A,#N/A,FALSE,"KA CH  (2)";#N/A,#N/A,FALSE,"KA CH  (3)";#N/A,#N/A,FALSE,"KA CH (4)"}</definedName>
    <definedName name="rtre_5" localSheetId="0" hidden="1">{#N/A,#N/A,FALSE,"Umsatz CH";#N/A,#N/A,FALSE,"ER CH";#N/A,#N/A,FALSE,"EA CH (2) ";#N/A,#N/A,FALSE,"EA CH";#N/A,#N/A,FALSE,"EA CH (3) ";#N/A,#N/A,FALSE,"EA CH (4)";#N/A,#N/A,FALSE,"KA CH";#N/A,#N/A,FALSE,"KA CH  (2)";#N/A,#N/A,FALSE,"KA CH  (3)";#N/A,#N/A,FALSE,"KA CH (4)"}</definedName>
    <definedName name="rtre_5" localSheetId="6" hidden="1">{#N/A,#N/A,FALSE,"Umsatz CH";#N/A,#N/A,FALSE,"ER CH";#N/A,#N/A,FALSE,"EA CH (2) ";#N/A,#N/A,FALSE,"EA CH";#N/A,#N/A,FALSE,"EA CH (3) ";#N/A,#N/A,FALSE,"EA CH (4)";#N/A,#N/A,FALSE,"KA CH";#N/A,#N/A,FALSE,"KA CH  (2)";#N/A,#N/A,FALSE,"KA CH  (3)";#N/A,#N/A,FALSE,"KA CH (4)"}</definedName>
    <definedName name="rtre_5" hidden="1">{#N/A,#N/A,FALSE,"Umsatz CH";#N/A,#N/A,FALSE,"ER CH";#N/A,#N/A,FALSE,"EA CH (2) ";#N/A,#N/A,FALSE,"EA CH";#N/A,#N/A,FALSE,"EA CH (3) ";#N/A,#N/A,FALSE,"EA CH (4)";#N/A,#N/A,FALSE,"KA CH";#N/A,#N/A,FALSE,"KA CH  (2)";#N/A,#N/A,FALSE,"KA CH  (3)";#N/A,#N/A,FALSE,"KA CH (4)"}</definedName>
    <definedName name="rtret" localSheetId="0" hidden="1">{"cap_structure",#N/A,FALSE,"Graph-Mkt Cap";"price",#N/A,FALSE,"Graph-Price";"ebit",#N/A,FALSE,"Graph-EBITDA";"ebitda",#N/A,FALSE,"Graph-EBITDA"}</definedName>
    <definedName name="rtret" localSheetId="6" hidden="1">{"cap_structure",#N/A,FALSE,"Graph-Mkt Cap";"price",#N/A,FALSE,"Graph-Price";"ebit",#N/A,FALSE,"Graph-EBITDA";"ebitda",#N/A,FALSE,"Graph-EBITDA"}</definedName>
    <definedName name="rtret" hidden="1">{"cap_structure",#N/A,FALSE,"Graph-Mkt Cap";"price",#N/A,FALSE,"Graph-Price";"ebit",#N/A,FALSE,"Graph-EBITDA";"ebitda",#N/A,FALSE,"Graph-EBITDA"}</definedName>
    <definedName name="rtrrtrt" localSheetId="6" hidden="1">{#N/A,#N/A,FALSE,"Assessment";#N/A,#N/A,FALSE,"Staffing";#N/A,#N/A,FALSE,"Hires";#N/A,#N/A,FALSE,"Assumptions"}</definedName>
    <definedName name="rtrrtrt" hidden="1">{#N/A,#N/A,FALSE,"Assessment";#N/A,#N/A,FALSE,"Staffing";#N/A,#N/A,FALSE,"Hires";#N/A,#N/A,FALSE,"Assumptions"}</definedName>
    <definedName name="rtrytui"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trytui"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trytui"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rty" localSheetId="0" hidden="1">{#N/A,#N/A,TRUE,"Pro Forma";#N/A,#N/A,TRUE,"PF_Bal";#N/A,#N/A,TRUE,"PF_INC";#N/A,#N/A,TRUE,"CBE";#N/A,#N/A,TRUE,"SWK"}</definedName>
    <definedName name="rty" localSheetId="6" hidden="1">{#N/A,#N/A,TRUE,"Pro Forma";#N/A,#N/A,TRUE,"PF_Bal";#N/A,#N/A,TRUE,"PF_INC";#N/A,#N/A,TRUE,"CBE";#N/A,#N/A,TRUE,"SWK"}</definedName>
    <definedName name="rty" hidden="1">{#N/A,#N/A,TRUE,"Pro Forma";#N/A,#N/A,TRUE,"PF_Bal";#N/A,#N/A,TRUE,"PF_INC";#N/A,#N/A,TRUE,"CBE";#N/A,#N/A,TRUE,"SWK"}</definedName>
    <definedName name="rtyt"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rtyt"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run_date">#REF!</definedName>
    <definedName name="rwert" localSheetId="0" hidden="1">{#N/A,#N/A,FALSE,"Pharm";#N/A,#N/A,FALSE,"WWCM"}</definedName>
    <definedName name="rwert" localSheetId="6" hidden="1">{#N/A,#N/A,FALSE,"Pharm";#N/A,#N/A,FALSE,"WWCM"}</definedName>
    <definedName name="rwert" hidden="1">{#N/A,#N/A,FALSE,"Pharm";#N/A,#N/A,FALSE,"WWCM"}</definedName>
    <definedName name="rwert_1" localSheetId="0" hidden="1">{#N/A,#N/A,FALSE,"Pharm";#N/A,#N/A,FALSE,"WWCM"}</definedName>
    <definedName name="rwert_1" localSheetId="6" hidden="1">{#N/A,#N/A,FALSE,"Pharm";#N/A,#N/A,FALSE,"WWCM"}</definedName>
    <definedName name="rwert_1" hidden="1">{#N/A,#N/A,FALSE,"Pharm";#N/A,#N/A,FALSE,"WWCM"}</definedName>
    <definedName name="rwert_1_1" localSheetId="0" hidden="1">{#N/A,#N/A,FALSE,"Pharm";#N/A,#N/A,FALSE,"WWCM"}</definedName>
    <definedName name="rwert_1_1" localSheetId="6" hidden="1">{#N/A,#N/A,FALSE,"Pharm";#N/A,#N/A,FALSE,"WWCM"}</definedName>
    <definedName name="rwert_1_1" hidden="1">{#N/A,#N/A,FALSE,"Pharm";#N/A,#N/A,FALSE,"WWCM"}</definedName>
    <definedName name="rwert_2" localSheetId="0" hidden="1">{#N/A,#N/A,FALSE,"Pharm";#N/A,#N/A,FALSE,"WWCM"}</definedName>
    <definedName name="rwert_2" localSheetId="6" hidden="1">{#N/A,#N/A,FALSE,"Pharm";#N/A,#N/A,FALSE,"WWCM"}</definedName>
    <definedName name="rwert_2" hidden="1">{#N/A,#N/A,FALSE,"Pharm";#N/A,#N/A,FALSE,"WWCM"}</definedName>
    <definedName name="rwert_3" localSheetId="0" hidden="1">{#N/A,#N/A,FALSE,"Pharm";#N/A,#N/A,FALSE,"WWCM"}</definedName>
    <definedName name="rwert_3" localSheetId="6" hidden="1">{#N/A,#N/A,FALSE,"Pharm";#N/A,#N/A,FALSE,"WWCM"}</definedName>
    <definedName name="rwert_3" hidden="1">{#N/A,#N/A,FALSE,"Pharm";#N/A,#N/A,FALSE,"WWCM"}</definedName>
    <definedName name="rwert_4" localSheetId="0" hidden="1">{#N/A,#N/A,FALSE,"Pharm";#N/A,#N/A,FALSE,"WWCM"}</definedName>
    <definedName name="rwert_4" localSheetId="6" hidden="1">{#N/A,#N/A,FALSE,"Pharm";#N/A,#N/A,FALSE,"WWCM"}</definedName>
    <definedName name="rwert_4" hidden="1">{#N/A,#N/A,FALSE,"Pharm";#N/A,#N/A,FALSE,"WWCM"}</definedName>
    <definedName name="rwert_5" localSheetId="0" hidden="1">{#N/A,#N/A,FALSE,"Pharm";#N/A,#N/A,FALSE,"WWCM"}</definedName>
    <definedName name="rwert_5" localSheetId="6" hidden="1">{#N/A,#N/A,FALSE,"Pharm";#N/A,#N/A,FALSE,"WWCM"}</definedName>
    <definedName name="rwert_5" hidden="1">{#N/A,#N/A,FALSE,"Pharm";#N/A,#N/A,FALSE,"WWCM"}</definedName>
    <definedName name="rwgr" localSheetId="6" hidden="1">{#N/A,#N/A,FALSE,"BE";#N/A,#N/A,FALSE,"Bia";#N/A,#N/A,FALSE,"By";#N/A,#N/A,FALSE,"Bor";#N/A,#N/A,FALSE,"Gab";#N/A,#N/A,FALSE,"Gar";#N/A,#N/A,FALSE,"Lov";#N/A,#N/A,FALSE,"SJ";#N/A,#N/A,FALSE,"SM";#N/A,#N/A,FALSE,"Wb";#N/A,#N/A,FALSE,"Yok"}</definedName>
    <definedName name="rwgr" hidden="1">{#N/A,#N/A,FALSE,"BE";#N/A,#N/A,FALSE,"Bia";#N/A,#N/A,FALSE,"By";#N/A,#N/A,FALSE,"Bor";#N/A,#N/A,FALSE,"Gab";#N/A,#N/A,FALSE,"Gar";#N/A,#N/A,FALSE,"Lov";#N/A,#N/A,FALSE,"SJ";#N/A,#N/A,FALSE,"SM";#N/A,#N/A,FALSE,"Wb";#N/A,#N/A,FALSE,"Yok"}</definedName>
    <definedName name="Rwvu.ALL." hidden="1">#REF!</definedName>
    <definedName name="Rwvu.Page1." hidden="1">#REF!</definedName>
    <definedName name="Rwvu.Page2." hidden="1">#REF!</definedName>
    <definedName name="Rwvu.Page3." hidden="1">#REF!</definedName>
    <definedName name="Rwvu.Page4." hidden="1">#REF!</definedName>
    <definedName name="ryj" localSheetId="6" hidden="1">{#N/A,#N/A,FALSE,"ACQ_GRAPHS";#N/A,#N/A,FALSE,"T_1 GRAPHS";#N/A,#N/A,FALSE,"T_2 GRAPHS";#N/A,#N/A,FALSE,"COMB_GRAPHS"}</definedName>
    <definedName name="ryj" hidden="1">{#N/A,#N/A,FALSE,"ACQ_GRAPHS";#N/A,#N/A,FALSE,"T_1 GRAPHS";#N/A,#N/A,FALSE,"T_2 GRAPHS";#N/A,#N/A,FALSE,"COMB_GRAPHS"}</definedName>
    <definedName name="ryyr" localSheetId="0" hidden="1">{#N/A,#N/A,FALSE,"Assessment";#N/A,#N/A,FALSE,"Staffing";#N/A,#N/A,FALSE,"Hires";#N/A,#N/A,FALSE,"Assumptions"}</definedName>
    <definedName name="ryyr" localSheetId="6" hidden="1">{#N/A,#N/A,FALSE,"Assessment";#N/A,#N/A,FALSE,"Staffing";#N/A,#N/A,FALSE,"Hires";#N/A,#N/A,FALSE,"Assumptions"}</definedName>
    <definedName name="ryyr" hidden="1">{#N/A,#N/A,FALSE,"Assessment";#N/A,#N/A,FALSE,"Staffing";#N/A,#N/A,FALSE,"Hires";#N/A,#N/A,FALSE,"Assumptions"}</definedName>
    <definedName name="ryyr_1" localSheetId="0" hidden="1">{#N/A,#N/A,FALSE,"Assessment";#N/A,#N/A,FALSE,"Staffing";#N/A,#N/A,FALSE,"Hires";#N/A,#N/A,FALSE,"Assumptions"}</definedName>
    <definedName name="ryyr_1" localSheetId="6" hidden="1">{#N/A,#N/A,FALSE,"Assessment";#N/A,#N/A,FALSE,"Staffing";#N/A,#N/A,FALSE,"Hires";#N/A,#N/A,FALSE,"Assumptions"}</definedName>
    <definedName name="ryyr_1" hidden="1">{#N/A,#N/A,FALSE,"Assessment";#N/A,#N/A,FALSE,"Staffing";#N/A,#N/A,FALSE,"Hires";#N/A,#N/A,FALSE,"Assumptions"}</definedName>
    <definedName name="R행">#REF!</definedName>
    <definedName name="s">#REF!</definedName>
    <definedName name="s\vfweaf" hidden="1">#REF!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_total">#REF!</definedName>
    <definedName name="S_Diff_Amt">#REF!</definedName>
    <definedName name="S_Diff_Pct">#REF!</definedName>
    <definedName name="S_GrpNum">#REF!</definedName>
    <definedName name="S_Headings">#REF!</definedName>
    <definedName name="S_KeyValue">#REF!</definedName>
    <definedName name="S_PY_End">#REF!</definedName>
    <definedName name="S_PY_End_Data">#REF!</definedName>
    <definedName name="S_PY_End_GT">#REF!</definedName>
    <definedName name="S_RJE_Tot">#REF!</definedName>
    <definedName name="S_RJE_Tot_Data">#REF!</definedName>
    <definedName name="S_RJE_Tot_GT">#REF!</definedName>
    <definedName name="S_RowNum">#REF!</definedName>
    <definedName name="s_table_cgm">#REF!</definedName>
    <definedName name="s_table_cgm_formula">#REF!</definedName>
    <definedName name="s_table_ebit">#REF!</definedName>
    <definedName name="s_table_ebit_formula">#REF!</definedName>
    <definedName name="s_table_ebitda">#REF!</definedName>
    <definedName name="s_table_ebitda_formula">#REF!</definedName>
    <definedName name="sa" localSheetId="0" hidden="1">{"Graphic",#N/A,TRUE,"Graphic"}</definedName>
    <definedName name="sa" localSheetId="6" hidden="1">{"Graphic",#N/A,TRUE,"Graphic"}</definedName>
    <definedName name="sa" hidden="1">{"Graphic",#N/A,TRUE,"Graphic"}</definedName>
    <definedName name="sa_1" localSheetId="0" hidden="1">{"Graphic",#N/A,TRUE,"Graphic"}</definedName>
    <definedName name="sa_1" localSheetId="6" hidden="1">{"Graphic",#N/A,TRUE,"Graphic"}</definedName>
    <definedName name="sa_1" hidden="1">{"Graphic",#N/A,TRUE,"Graphic"}</definedName>
    <definedName name="saa" hidden="1">41083.7121412037</definedName>
    <definedName name="SAcededpct">#REF!</definedName>
    <definedName name="sad" hidden="1">#REF!</definedName>
    <definedName name="sada" localSheetId="6" hidden="1">{#N/A,#N/A,TRUE,"Production &amp; Sales";#N/A,#N/A,TRUE,"Variable cost details";#N/A,#N/A,TRUE,"Variable cost sammary";#N/A,#N/A,TRUE,"Depreciation";#N/A,#N/A,TRUE,"Fixed cost details";#N/A,#N/A,TRUE,"Fixed cost sammary";#N/A,#N/A,TRUE,"Budget Sammary"}</definedName>
    <definedName name="sada" hidden="1">{#N/A,#N/A,TRUE,"Production &amp; Sales";#N/A,#N/A,TRUE,"Variable cost details";#N/A,#N/A,TRUE,"Variable cost sammary";#N/A,#N/A,TRUE,"Depreciation";#N/A,#N/A,TRUE,"Fixed cost details";#N/A,#N/A,TRUE,"Fixed cost sammary";#N/A,#N/A,TRUE,"Budget Sammary"}</definedName>
    <definedName name="sadad" localSheetId="6" hidden="1">{#N/A,#N/A,TRUE,"Production &amp; Sales";#N/A,#N/A,TRUE,"Variable cost details";#N/A,#N/A,TRUE,"Variable cost sammary";#N/A,#N/A,TRUE,"Depreciation";#N/A,#N/A,TRUE,"Fixed cost details";#N/A,#N/A,TRUE,"Fixed cost sammary";#N/A,#N/A,TRUE,"Budget Sammary"}</definedName>
    <definedName name="sadad" hidden="1">{#N/A,#N/A,TRUE,"Production &amp; Sales";#N/A,#N/A,TRUE,"Variable cost details";#N/A,#N/A,TRUE,"Variable cost sammary";#N/A,#N/A,TRUE,"Depreciation";#N/A,#N/A,TRUE,"Fixed cost details";#N/A,#N/A,TRUE,"Fixed cost sammary";#N/A,#N/A,TRUE,"Budget Sammary"}</definedName>
    <definedName name="sadafco">#REF!</definedName>
    <definedName name="sadd" hidden="1">#REF!</definedName>
    <definedName name="sadf" localSheetId="0" hidden="1">{"mgmt forecast",#N/A,FALSE,"Mgmt Forecast";"dcf table",#N/A,FALSE,"Mgmt Forecast";"sensitivity",#N/A,FALSE,"Mgmt Forecast";"table inputs",#N/A,FALSE,"Mgmt Forecast";"calculations",#N/A,FALSE,"Mgmt Forecast"}</definedName>
    <definedName name="sadf" localSheetId="6" hidden="1">{"mgmt forecast",#N/A,FALSE,"Mgmt Forecast";"dcf table",#N/A,FALSE,"Mgmt Forecast";"sensitivity",#N/A,FALSE,"Mgmt Forecast";"table inputs",#N/A,FALSE,"Mgmt Forecast";"calculations",#N/A,FALSE,"Mgmt Forecast"}</definedName>
    <definedName name="sadf" hidden="1">{"mgmt forecast",#N/A,FALSE,"Mgmt Forecast";"dcf table",#N/A,FALSE,"Mgmt Forecast";"sensitivity",#N/A,FALSE,"Mgmt Forecast";"table inputs",#N/A,FALSE,"Mgmt Forecast";"calculations",#N/A,FALSE,"Mgmt Forecast"}</definedName>
    <definedName name="sadi" localSheetId="0" hidden="1">{#N/A,#N/A,FALSE,"PA";#N/A,#N/A,FALSE,"PA"}</definedName>
    <definedName name="sadi" localSheetId="6" hidden="1">{#N/A,#N/A,FALSE,"PA";#N/A,#N/A,FALSE,"PA"}</definedName>
    <definedName name="sadi" hidden="1">{#N/A,#N/A,FALSE,"PA";#N/A,#N/A,FALSE,"PA"}</definedName>
    <definedName name="sadsa" localSheetId="6" hidden="1">{#N/A,#N/A,FALSE,"Scenario PivotTable"}</definedName>
    <definedName name="sadsa" hidden="1">{#N/A,#N/A,FALSE,"Scenario PivotTable"}</definedName>
    <definedName name="sadsa_1" localSheetId="6" hidden="1">{#N/A,#N/A,FALSE,"Scenario PivotTable"}</definedName>
    <definedName name="sadsa_1" hidden="1">{#N/A,#N/A,FALSE,"Scenario PivotTable"}</definedName>
    <definedName name="sadsa_1_1" localSheetId="6" hidden="1">{#N/A,#N/A,FALSE,"Scenario PivotTable"}</definedName>
    <definedName name="sadsa_1_1" hidden="1">{#N/A,#N/A,FALSE,"Scenario PivotTable"}</definedName>
    <definedName name="sadsa_2" localSheetId="6" hidden="1">{#N/A,#N/A,FALSE,"Scenario PivotTable"}</definedName>
    <definedName name="sadsa_2" hidden="1">{#N/A,#N/A,FALSE,"Scenario PivotTable"}</definedName>
    <definedName name="sadsa_2_1" localSheetId="6" hidden="1">{#N/A,#N/A,FALSE,"Scenario PivotTable"}</definedName>
    <definedName name="sadsa_2_1" hidden="1">{#N/A,#N/A,FALSE,"Scenario PivotTable"}</definedName>
    <definedName name="sadsa_2_1_1" localSheetId="6" hidden="1">{#N/A,#N/A,FALSE,"Scenario PivotTable"}</definedName>
    <definedName name="sadsa_2_1_1" hidden="1">{#N/A,#N/A,FALSE,"Scenario PivotTable"}</definedName>
    <definedName name="sadsa_2_1_1_1" localSheetId="6" hidden="1">{#N/A,#N/A,FALSE,"Scenario PivotTable"}</definedName>
    <definedName name="sadsa_2_1_1_1" hidden="1">{#N/A,#N/A,FALSE,"Scenario PivotTable"}</definedName>
    <definedName name="sadsa_2_1_2" localSheetId="6" hidden="1">{#N/A,#N/A,FALSE,"Scenario PivotTable"}</definedName>
    <definedName name="sadsa_2_1_2" hidden="1">{#N/A,#N/A,FALSE,"Scenario PivotTable"}</definedName>
    <definedName name="sadsa_2_1_2_1" localSheetId="6" hidden="1">{#N/A,#N/A,FALSE,"Scenario PivotTable"}</definedName>
    <definedName name="sadsa_2_1_2_1" hidden="1">{#N/A,#N/A,FALSE,"Scenario PivotTable"}</definedName>
    <definedName name="sadsa_2_1_3" localSheetId="6" hidden="1">{#N/A,#N/A,FALSE,"Scenario PivotTable"}</definedName>
    <definedName name="sadsa_2_1_3" hidden="1">{#N/A,#N/A,FALSE,"Scenario PivotTable"}</definedName>
    <definedName name="sadsa_2_2" localSheetId="6" hidden="1">{#N/A,#N/A,FALSE,"Scenario PivotTable"}</definedName>
    <definedName name="sadsa_2_2" hidden="1">{#N/A,#N/A,FALSE,"Scenario PivotTable"}</definedName>
    <definedName name="sadsa_2_2_1" localSheetId="6" hidden="1">{#N/A,#N/A,FALSE,"Scenario PivotTable"}</definedName>
    <definedName name="sadsa_2_2_1" hidden="1">{#N/A,#N/A,FALSE,"Scenario PivotTable"}</definedName>
    <definedName name="sadsa_2_2_1_1" localSheetId="6" hidden="1">{#N/A,#N/A,FALSE,"Scenario PivotTable"}</definedName>
    <definedName name="sadsa_2_2_1_1" hidden="1">{#N/A,#N/A,FALSE,"Scenario PivotTable"}</definedName>
    <definedName name="sadsa_2_2_2" localSheetId="6" hidden="1">{#N/A,#N/A,FALSE,"Scenario PivotTable"}</definedName>
    <definedName name="sadsa_2_2_2" hidden="1">{#N/A,#N/A,FALSE,"Scenario PivotTable"}</definedName>
    <definedName name="sadsa_2_3" localSheetId="6" hidden="1">{#N/A,#N/A,FALSE,"Scenario PivotTable"}</definedName>
    <definedName name="sadsa_2_3" hidden="1">{#N/A,#N/A,FALSE,"Scenario PivotTable"}</definedName>
    <definedName name="sadsa_2_3_1" localSheetId="6" hidden="1">{#N/A,#N/A,FALSE,"Scenario PivotTable"}</definedName>
    <definedName name="sadsa_2_3_1" hidden="1">{#N/A,#N/A,FALSE,"Scenario PivotTable"}</definedName>
    <definedName name="sadsa_2_4" localSheetId="6" hidden="1">{#N/A,#N/A,FALSE,"Scenario PivotTable"}</definedName>
    <definedName name="sadsa_2_4" hidden="1">{#N/A,#N/A,FALSE,"Scenario PivotTable"}</definedName>
    <definedName name="sadsa_3" localSheetId="6" hidden="1">{#N/A,#N/A,FALSE,"Scenario PivotTable"}</definedName>
    <definedName name="sadsa_3" hidden="1">{#N/A,#N/A,FALSE,"Scenario PivotTable"}</definedName>
    <definedName name="sadsa_3_1" localSheetId="6" hidden="1">{#N/A,#N/A,FALSE,"Scenario PivotTable"}</definedName>
    <definedName name="sadsa_3_1" hidden="1">{#N/A,#N/A,FALSE,"Scenario PivotTable"}</definedName>
    <definedName name="sadsa_3_1_1" localSheetId="6" hidden="1">{#N/A,#N/A,FALSE,"Scenario PivotTable"}</definedName>
    <definedName name="sadsa_3_1_1" hidden="1">{#N/A,#N/A,FALSE,"Scenario PivotTable"}</definedName>
    <definedName name="sadsa_3_1_1_1" localSheetId="6" hidden="1">{#N/A,#N/A,FALSE,"Scenario PivotTable"}</definedName>
    <definedName name="sadsa_3_1_1_1" hidden="1">{#N/A,#N/A,FALSE,"Scenario PivotTable"}</definedName>
    <definedName name="sadsa_3_1_2" localSheetId="6" hidden="1">{#N/A,#N/A,FALSE,"Scenario PivotTable"}</definedName>
    <definedName name="sadsa_3_1_2" hidden="1">{#N/A,#N/A,FALSE,"Scenario PivotTable"}</definedName>
    <definedName name="sadsa_3_1_2_1" localSheetId="6" hidden="1">{#N/A,#N/A,FALSE,"Scenario PivotTable"}</definedName>
    <definedName name="sadsa_3_1_2_1" hidden="1">{#N/A,#N/A,FALSE,"Scenario PivotTable"}</definedName>
    <definedName name="sadsa_3_1_3" localSheetId="6" hidden="1">{#N/A,#N/A,FALSE,"Scenario PivotTable"}</definedName>
    <definedName name="sadsa_3_1_3" hidden="1">{#N/A,#N/A,FALSE,"Scenario PivotTable"}</definedName>
    <definedName name="sadsa_3_2" localSheetId="6" hidden="1">{#N/A,#N/A,FALSE,"Scenario PivotTable"}</definedName>
    <definedName name="sadsa_3_2" hidden="1">{#N/A,#N/A,FALSE,"Scenario PivotTable"}</definedName>
    <definedName name="sadsa_3_2_1" localSheetId="6" hidden="1">{#N/A,#N/A,FALSE,"Scenario PivotTable"}</definedName>
    <definedName name="sadsa_3_2_1" hidden="1">{#N/A,#N/A,FALSE,"Scenario PivotTable"}</definedName>
    <definedName name="sadsa_3_2_1_1" localSheetId="6" hidden="1">{#N/A,#N/A,FALSE,"Scenario PivotTable"}</definedName>
    <definedName name="sadsa_3_2_1_1" hidden="1">{#N/A,#N/A,FALSE,"Scenario PivotTable"}</definedName>
    <definedName name="sadsa_3_2_2" localSheetId="6" hidden="1">{#N/A,#N/A,FALSE,"Scenario PivotTable"}</definedName>
    <definedName name="sadsa_3_2_2" hidden="1">{#N/A,#N/A,FALSE,"Scenario PivotTable"}</definedName>
    <definedName name="sadsa_3_3" localSheetId="6" hidden="1">{#N/A,#N/A,FALSE,"Scenario PivotTable"}</definedName>
    <definedName name="sadsa_3_3" hidden="1">{#N/A,#N/A,FALSE,"Scenario PivotTable"}</definedName>
    <definedName name="sadsa_3_3_1" localSheetId="6" hidden="1">{#N/A,#N/A,FALSE,"Scenario PivotTable"}</definedName>
    <definedName name="sadsa_3_3_1" hidden="1">{#N/A,#N/A,FALSE,"Scenario PivotTable"}</definedName>
    <definedName name="sadsa_3_4" localSheetId="6" hidden="1">{#N/A,#N/A,FALSE,"Scenario PivotTable"}</definedName>
    <definedName name="sadsa_3_4" hidden="1">{#N/A,#N/A,FALSE,"Scenario PivotTable"}</definedName>
    <definedName name="sadsa_4" localSheetId="6" hidden="1">{#N/A,#N/A,FALSE,"Scenario PivotTable"}</definedName>
    <definedName name="sadsa_4" hidden="1">{#N/A,#N/A,FALSE,"Scenario PivotTable"}</definedName>
    <definedName name="sadsa_4_1" localSheetId="6" hidden="1">{#N/A,#N/A,FALSE,"Scenario PivotTable"}</definedName>
    <definedName name="sadsa_4_1" hidden="1">{#N/A,#N/A,FALSE,"Scenario PivotTable"}</definedName>
    <definedName name="sadsa_4_1_1" localSheetId="6" hidden="1">{#N/A,#N/A,FALSE,"Scenario PivotTable"}</definedName>
    <definedName name="sadsa_4_1_1" hidden="1">{#N/A,#N/A,FALSE,"Scenario PivotTable"}</definedName>
    <definedName name="sadsa_4_1_1_1" localSheetId="6" hidden="1">{#N/A,#N/A,FALSE,"Scenario PivotTable"}</definedName>
    <definedName name="sadsa_4_1_1_1" hidden="1">{#N/A,#N/A,FALSE,"Scenario PivotTable"}</definedName>
    <definedName name="sadsa_4_1_2" localSheetId="6" hidden="1">{#N/A,#N/A,FALSE,"Scenario PivotTable"}</definedName>
    <definedName name="sadsa_4_1_2" hidden="1">{#N/A,#N/A,FALSE,"Scenario PivotTable"}</definedName>
    <definedName name="sadsa_4_1_2_1" localSheetId="6" hidden="1">{#N/A,#N/A,FALSE,"Scenario PivotTable"}</definedName>
    <definedName name="sadsa_4_1_2_1" hidden="1">{#N/A,#N/A,FALSE,"Scenario PivotTable"}</definedName>
    <definedName name="sadsa_4_1_3" localSheetId="6" hidden="1">{#N/A,#N/A,FALSE,"Scenario PivotTable"}</definedName>
    <definedName name="sadsa_4_1_3" hidden="1">{#N/A,#N/A,FALSE,"Scenario PivotTable"}</definedName>
    <definedName name="sadsa_4_2" localSheetId="6" hidden="1">{#N/A,#N/A,FALSE,"Scenario PivotTable"}</definedName>
    <definedName name="sadsa_4_2" hidden="1">{#N/A,#N/A,FALSE,"Scenario PivotTable"}</definedName>
    <definedName name="sadsa_4_2_1" localSheetId="6" hidden="1">{#N/A,#N/A,FALSE,"Scenario PivotTable"}</definedName>
    <definedName name="sadsa_4_2_1" hidden="1">{#N/A,#N/A,FALSE,"Scenario PivotTable"}</definedName>
    <definedName name="sadsa_4_2_1_1" localSheetId="6" hidden="1">{#N/A,#N/A,FALSE,"Scenario PivotTable"}</definedName>
    <definedName name="sadsa_4_2_1_1" hidden="1">{#N/A,#N/A,FALSE,"Scenario PivotTable"}</definedName>
    <definedName name="sadsa_4_2_2" localSheetId="6" hidden="1">{#N/A,#N/A,FALSE,"Scenario PivotTable"}</definedName>
    <definedName name="sadsa_4_2_2" hidden="1">{#N/A,#N/A,FALSE,"Scenario PivotTable"}</definedName>
    <definedName name="sadsa_4_3" localSheetId="6" hidden="1">{#N/A,#N/A,FALSE,"Scenario PivotTable"}</definedName>
    <definedName name="sadsa_4_3" hidden="1">{#N/A,#N/A,FALSE,"Scenario PivotTable"}</definedName>
    <definedName name="sadsa_4_3_1" localSheetId="6" hidden="1">{#N/A,#N/A,FALSE,"Scenario PivotTable"}</definedName>
    <definedName name="sadsa_4_3_1" hidden="1">{#N/A,#N/A,FALSE,"Scenario PivotTable"}</definedName>
    <definedName name="sadsa_4_4" localSheetId="6" hidden="1">{#N/A,#N/A,FALSE,"Scenario PivotTable"}</definedName>
    <definedName name="sadsa_4_4" hidden="1">{#N/A,#N/A,FALSE,"Scenario PivotTable"}</definedName>
    <definedName name="sadsa_5" localSheetId="6" hidden="1">{#N/A,#N/A,FALSE,"Scenario PivotTable"}</definedName>
    <definedName name="sadsa_5" hidden="1">{#N/A,#N/A,FALSE,"Scenario PivotTable"}</definedName>
    <definedName name="sadsa_5_1" localSheetId="6" hidden="1">{#N/A,#N/A,FALSE,"Scenario PivotTable"}</definedName>
    <definedName name="sadsa_5_1" hidden="1">{#N/A,#N/A,FALSE,"Scenario PivotTable"}</definedName>
    <definedName name="sadsa_5_1_1" localSheetId="6" hidden="1">{#N/A,#N/A,FALSE,"Scenario PivotTable"}</definedName>
    <definedName name="sadsa_5_1_1" hidden="1">{#N/A,#N/A,FALSE,"Scenario PivotTable"}</definedName>
    <definedName name="sadsa_5_1_1_1" localSheetId="6" hidden="1">{#N/A,#N/A,FALSE,"Scenario PivotTable"}</definedName>
    <definedName name="sadsa_5_1_1_1" hidden="1">{#N/A,#N/A,FALSE,"Scenario PivotTable"}</definedName>
    <definedName name="sadsa_5_1_2" localSheetId="6" hidden="1">{#N/A,#N/A,FALSE,"Scenario PivotTable"}</definedName>
    <definedName name="sadsa_5_1_2" hidden="1">{#N/A,#N/A,FALSE,"Scenario PivotTable"}</definedName>
    <definedName name="sadsa_5_1_2_1" localSheetId="6" hidden="1">{#N/A,#N/A,FALSE,"Scenario PivotTable"}</definedName>
    <definedName name="sadsa_5_1_2_1" hidden="1">{#N/A,#N/A,FALSE,"Scenario PivotTable"}</definedName>
    <definedName name="sadsa_5_1_3" localSheetId="6" hidden="1">{#N/A,#N/A,FALSE,"Scenario PivotTable"}</definedName>
    <definedName name="sadsa_5_1_3" hidden="1">{#N/A,#N/A,FALSE,"Scenario PivotTable"}</definedName>
    <definedName name="sadsa_5_2" localSheetId="6" hidden="1">{#N/A,#N/A,FALSE,"Scenario PivotTable"}</definedName>
    <definedName name="sadsa_5_2" hidden="1">{#N/A,#N/A,FALSE,"Scenario PivotTable"}</definedName>
    <definedName name="sadsa_5_2_1" localSheetId="6" hidden="1">{#N/A,#N/A,FALSE,"Scenario PivotTable"}</definedName>
    <definedName name="sadsa_5_2_1" hidden="1">{#N/A,#N/A,FALSE,"Scenario PivotTable"}</definedName>
    <definedName name="sadsa_5_2_1_1" localSheetId="6" hidden="1">{#N/A,#N/A,FALSE,"Scenario PivotTable"}</definedName>
    <definedName name="sadsa_5_2_1_1" hidden="1">{#N/A,#N/A,FALSE,"Scenario PivotTable"}</definedName>
    <definedName name="sadsa_5_2_2" localSheetId="6" hidden="1">{#N/A,#N/A,FALSE,"Scenario PivotTable"}</definedName>
    <definedName name="sadsa_5_2_2" hidden="1">{#N/A,#N/A,FALSE,"Scenario PivotTable"}</definedName>
    <definedName name="sadsa_5_3" localSheetId="6" hidden="1">{#N/A,#N/A,FALSE,"Scenario PivotTable"}</definedName>
    <definedName name="sadsa_5_3" hidden="1">{#N/A,#N/A,FALSE,"Scenario PivotTable"}</definedName>
    <definedName name="sadsa_5_3_1" localSheetId="6" hidden="1">{#N/A,#N/A,FALSE,"Scenario PivotTable"}</definedName>
    <definedName name="sadsa_5_3_1" hidden="1">{#N/A,#N/A,FALSE,"Scenario PivotTable"}</definedName>
    <definedName name="sadsa_5_4" localSheetId="6" hidden="1">{#N/A,#N/A,FALSE,"Scenario PivotTable"}</definedName>
    <definedName name="sadsa_5_4" hidden="1">{#N/A,#N/A,FALSE,"Scenario PivotTable"}</definedName>
    <definedName name="sadsafdasf" localSheetId="0" hidden="1">{#N/A,#N/A,FALSE,"REPORT"}</definedName>
    <definedName name="sadsafdasf" localSheetId="6" hidden="1">{#N/A,#N/A,FALSE,"REPORT"}</definedName>
    <definedName name="sadsafdasf" hidden="1">{#N/A,#N/A,FALSE,"REPORT"}</definedName>
    <definedName name="sadsafdasf_1" localSheetId="0" hidden="1">{#N/A,#N/A,FALSE,"REPORT"}</definedName>
    <definedName name="sadsafdasf_1" localSheetId="6" hidden="1">{#N/A,#N/A,FALSE,"REPORT"}</definedName>
    <definedName name="sadsafdasf_1" hidden="1">{#N/A,#N/A,FALSE,"REPORT"}</definedName>
    <definedName name="sadsafdasf_1_1" localSheetId="0" hidden="1">{#N/A,#N/A,FALSE,"REPORT"}</definedName>
    <definedName name="sadsafdasf_1_1" localSheetId="6" hidden="1">{#N/A,#N/A,FALSE,"REPORT"}</definedName>
    <definedName name="sadsafdasf_1_1" hidden="1">{#N/A,#N/A,FALSE,"REPORT"}</definedName>
    <definedName name="sadsafdasf_2" localSheetId="0" hidden="1">{#N/A,#N/A,FALSE,"REPORT"}</definedName>
    <definedName name="sadsafdasf_2" localSheetId="6" hidden="1">{#N/A,#N/A,FALSE,"REPORT"}</definedName>
    <definedName name="sadsafdasf_2" hidden="1">{#N/A,#N/A,FALSE,"REPORT"}</definedName>
    <definedName name="sadsafdasf_3" localSheetId="0" hidden="1">{#N/A,#N/A,FALSE,"REPORT"}</definedName>
    <definedName name="sadsafdasf_3" localSheetId="6" hidden="1">{#N/A,#N/A,FALSE,"REPORT"}</definedName>
    <definedName name="sadsafdasf_3" hidden="1">{#N/A,#N/A,FALSE,"REPORT"}</definedName>
    <definedName name="sadsafdasf_4" localSheetId="0" hidden="1">{#N/A,#N/A,FALSE,"REPORT"}</definedName>
    <definedName name="sadsafdasf_4" localSheetId="6" hidden="1">{#N/A,#N/A,FALSE,"REPORT"}</definedName>
    <definedName name="sadsafdasf_4" hidden="1">{#N/A,#N/A,FALSE,"REPORT"}</definedName>
    <definedName name="sadsafdasf_5" localSheetId="0" hidden="1">{#N/A,#N/A,FALSE,"REPORT"}</definedName>
    <definedName name="sadsafdasf_5" localSheetId="6" hidden="1">{#N/A,#N/A,FALSE,"REPORT"}</definedName>
    <definedName name="sadsafdasf_5" hidden="1">{#N/A,#N/A,FALSE,"REPORT"}</definedName>
    <definedName name="saf" localSheetId="0"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saf" localSheetId="6"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saf" hidden="1">{"cover",#N/A,TRUE,"Cover";"toc10",#N/A,TRUE,"TOC";"over",#N/A,TRUE,"Overview";"over",#N/A,TRUE,"Det_Trans_Sum";"ei1c",#N/A,TRUE,"Earnings Impact";"ad1",#N/A,TRUE,"accretion dilution";"hg1",#N/A,TRUE,"Has-Gets";"pfis1",#N/A,TRUE,"Pro Forma Income Statement";"ca1",#N/A,TRUE,"Contribution_Analysis";"profba",#N/A,TRUE,"Pro Forma Balance Sheet";"acq1c",#N/A,TRUE,"Acquirer";"tar1c",#N/A,TRUE,"Target"}</definedName>
    <definedName name="SAGASFDGAFGSA" localSheetId="6" hidden="1">{#N/A,#N/A,FALSE,"Aging Summary";#N/A,#N/A,FALSE,"Ratio Analysis";#N/A,#N/A,FALSE,"Test 120 Day Accts";#N/A,#N/A,FALSE,"Tickmarks"}</definedName>
    <definedName name="SAGASFDGAFGSA" hidden="1">{#N/A,#N/A,FALSE,"Aging Summary";#N/A,#N/A,FALSE,"Ratio Analysis";#N/A,#N/A,FALSE,"Test 120 Day Accts";#N/A,#N/A,FALSE,"Tickmarks"}</definedName>
    <definedName name="sagjdhjl" localSheetId="6" hidden="1">{"'매출'!$A$1:$I$22"}</definedName>
    <definedName name="sagjdhjl" hidden="1">{"'매출'!$A$1:$I$22"}</definedName>
    <definedName name="sagwef" hidden="1">#REF!</definedName>
    <definedName name="sakj"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sakj"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Salary_Increases_FooterType" hidden="1">"NONE"</definedName>
    <definedName name="sales" localSheetId="0" hidden="1">{#N/A,#N/A,FALSE,"PROFIT 11-95"}</definedName>
    <definedName name="sales" localSheetId="6" hidden="1">{#N/A,#N/A,FALSE,"PROFIT 11-95"}</definedName>
    <definedName name="sales" hidden="1">{#N/A,#N/A,FALSE,"PROFIT 11-95"}</definedName>
    <definedName name="Sales_ass">#REF!</definedName>
    <definedName name="sally" localSheetId="0" hidden="1">{#N/A,#N/A,FALSE,"Pharm";#N/A,#N/A,FALSE,"WWCM"}</definedName>
    <definedName name="sally" localSheetId="6" hidden="1">{#N/A,#N/A,FALSE,"Pharm";#N/A,#N/A,FALSE,"WWCM"}</definedName>
    <definedName name="sally" hidden="1">{#N/A,#N/A,FALSE,"Pharm";#N/A,#N/A,FALSE,"WWCM"}</definedName>
    <definedName name="sally_1" localSheetId="0" hidden="1">{#N/A,#N/A,FALSE,"Pharm";#N/A,#N/A,FALSE,"WWCM"}</definedName>
    <definedName name="sally_1" localSheetId="6" hidden="1">{#N/A,#N/A,FALSE,"Pharm";#N/A,#N/A,FALSE,"WWCM"}</definedName>
    <definedName name="sally_1" hidden="1">{#N/A,#N/A,FALSE,"Pharm";#N/A,#N/A,FALSE,"WWCM"}</definedName>
    <definedName name="sally_1_1" localSheetId="0" hidden="1">{#N/A,#N/A,FALSE,"Pharm";#N/A,#N/A,FALSE,"WWCM"}</definedName>
    <definedName name="sally_1_1" localSheetId="6" hidden="1">{#N/A,#N/A,FALSE,"Pharm";#N/A,#N/A,FALSE,"WWCM"}</definedName>
    <definedName name="sally_1_1" hidden="1">{#N/A,#N/A,FALSE,"Pharm";#N/A,#N/A,FALSE,"WWCM"}</definedName>
    <definedName name="sally_2" localSheetId="0" hidden="1">{#N/A,#N/A,FALSE,"Pharm";#N/A,#N/A,FALSE,"WWCM"}</definedName>
    <definedName name="sally_2" localSheetId="6" hidden="1">{#N/A,#N/A,FALSE,"Pharm";#N/A,#N/A,FALSE,"WWCM"}</definedName>
    <definedName name="sally_2" hidden="1">{#N/A,#N/A,FALSE,"Pharm";#N/A,#N/A,FALSE,"WWCM"}</definedName>
    <definedName name="sally_3" localSheetId="0" hidden="1">{#N/A,#N/A,FALSE,"Pharm";#N/A,#N/A,FALSE,"WWCM"}</definedName>
    <definedName name="sally_3" localSheetId="6" hidden="1">{#N/A,#N/A,FALSE,"Pharm";#N/A,#N/A,FALSE,"WWCM"}</definedName>
    <definedName name="sally_3" hidden="1">{#N/A,#N/A,FALSE,"Pharm";#N/A,#N/A,FALSE,"WWCM"}</definedName>
    <definedName name="sally_4" localSheetId="0" hidden="1">{#N/A,#N/A,FALSE,"Pharm";#N/A,#N/A,FALSE,"WWCM"}</definedName>
    <definedName name="sally_4" localSheetId="6" hidden="1">{#N/A,#N/A,FALSE,"Pharm";#N/A,#N/A,FALSE,"WWCM"}</definedName>
    <definedName name="sally_4" hidden="1">{#N/A,#N/A,FALSE,"Pharm";#N/A,#N/A,FALSE,"WWCM"}</definedName>
    <definedName name="sally_5" localSheetId="0" hidden="1">{#N/A,#N/A,FALSE,"Pharm";#N/A,#N/A,FALSE,"WWCM"}</definedName>
    <definedName name="sally_5" localSheetId="6" hidden="1">{#N/A,#N/A,FALSE,"Pharm";#N/A,#N/A,FALSE,"WWCM"}</definedName>
    <definedName name="sally_5" hidden="1">{#N/A,#N/A,FALSE,"Pharm";#N/A,#N/A,FALSE,"WWCM"}</definedName>
    <definedName name="Salslipv2" hidden="1">#REF!</definedName>
    <definedName name="samedi" localSheetId="0" hidden="1">{#N/A,#N/A,FALSE,"Tabl. A1";#N/A,#N/A,FALSE,"Tabl. A1 b";#N/A,#N/A,FALSE,"Tabl. A2";#N/A,#N/A,FALSE,"Tabl. A2-1";#N/A,#N/A,FALSE,"Tabl. A2-2"}</definedName>
    <definedName name="samedi" localSheetId="6" hidden="1">{#N/A,#N/A,FALSE,"Tabl. A1";#N/A,#N/A,FALSE,"Tabl. A1 b";#N/A,#N/A,FALSE,"Tabl. A2";#N/A,#N/A,FALSE,"Tabl. A2-1";#N/A,#N/A,FALSE,"Tabl. A2-2"}</definedName>
    <definedName name="samedi" hidden="1">{#N/A,#N/A,FALSE,"Tabl. A1";#N/A,#N/A,FALSE,"Tabl. A1 b";#N/A,#N/A,FALSE,"Tabl. A2";#N/A,#N/A,FALSE,"Tabl. A2-1";#N/A,#N/A,FALSE,"Tabl. A2-2"}</definedName>
    <definedName name="samir" hidden="1">#REF!</definedName>
    <definedName name="SANNCSANN"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SANNCSANN"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SAPBEXdnldView" hidden="1">"45J0M8VQWI9KLNXTWZBR0VBD9"</definedName>
    <definedName name="SAPBEXhrIndnt" localSheetId="0" hidden="1">1</definedName>
    <definedName name="SAPBEXhrIndnt" hidden="1">"Wide"</definedName>
    <definedName name="SAPBEXrevision" localSheetId="0" hidden="1">10</definedName>
    <definedName name="SAPBEXrevision" hidden="1">6</definedName>
    <definedName name="SAPBEXrevision1" hidden="1">33</definedName>
    <definedName name="SAPBEXsysID" localSheetId="0" hidden="1">"PV3"</definedName>
    <definedName name="SAPBEXsysID" hidden="1">"BWP"</definedName>
    <definedName name="SAPBEXwbID" localSheetId="0" hidden="1">"3WV8NFI239RWFJBGFKRDKA52Y"</definedName>
    <definedName name="SAPBEXwbID" hidden="1">"3UWXLLB3AP2J4E732CNDNI636"</definedName>
    <definedName name="SAPFuncF4Help" localSheetId="4" hidden="1">Main.SAPF4Help()</definedName>
    <definedName name="SAPFuncF4Help" localSheetId="0" hidden="1">Main.SAPF4Help()</definedName>
    <definedName name="SAPFuncF4Help" localSheetId="2" hidden="1">Main.SAPF4Help()</definedName>
    <definedName name="SAPFuncF4Help" localSheetId="6" hidden="1">Main.SAPF4Help()</definedName>
    <definedName name="SAPFuncF4Help" hidden="1">Main.SAPF4Help()</definedName>
    <definedName name="SAPsysID" hidden="1">"708C5W7SBKP804JT78WJ0JNKI"</definedName>
    <definedName name="SAPwbID" hidden="1">"ARS"</definedName>
    <definedName name="sasas" localSheetId="0" hidden="1">{"Graphic",#N/A,TRUE,"Graphic"}</definedName>
    <definedName name="sasas" localSheetId="6" hidden="1">{"Graphic",#N/A,TRUE,"Graphic"}</definedName>
    <definedName name="sasas" hidden="1">{"Graphic",#N/A,TRUE,"Graphic"}</definedName>
    <definedName name="sasas_1" localSheetId="0" hidden="1">{"Graphic",#N/A,TRUE,"Graphic"}</definedName>
    <definedName name="sasas_1" localSheetId="6" hidden="1">{"Graphic",#N/A,TRUE,"Graphic"}</definedName>
    <definedName name="sasas_1" hidden="1">{"Graphic",#N/A,TRUE,"Graphic"}</definedName>
    <definedName name="SATar">#REF!</definedName>
    <definedName name="satoka" localSheetId="6" hidden="1">{#N/A,#N/A,FALSE,"K_DRIV"}</definedName>
    <definedName name="satoka" hidden="1">{#N/A,#N/A,FALSE,"K_DRIV"}</definedName>
    <definedName name="Saudi">#REF!</definedName>
    <definedName name="sbgsdgfgbb" hidden="1">#REF!</definedName>
    <definedName name="sbs">#REF!</definedName>
    <definedName name="sc">#REF!</definedName>
    <definedName name="SCa">#REF!</definedName>
    <definedName name="Scaffolding" localSheetId="6" hidden="1">{"'Break down'!$A$4"}</definedName>
    <definedName name="Scaffolding" hidden="1">{"'Break down'!$A$4"}</definedName>
    <definedName name="scarce" localSheetId="6"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arce_1" localSheetId="6" hidden="1">{#N/A,#N/A,FALSE,"Summary";#N/A,#N/A,FALSE,"3TJ";#N/A,#N/A,FALSE,"3TN";#N/A,#N/A,FALSE,"3TP";#N/A,#N/A,FALSE,"3SJ";#N/A,#N/A,FALSE,"3CJ";#N/A,#N/A,FALSE,"3CN";#N/A,#N/A,FALSE,"3CP";#N/A,#N/A,FALSE,"3A"}</definedName>
    <definedName name="scarce_1" hidden="1">{#N/A,#N/A,FALSE,"Summary";#N/A,#N/A,FALSE,"3TJ";#N/A,#N/A,FALSE,"3TN";#N/A,#N/A,FALSE,"3TP";#N/A,#N/A,FALSE,"3SJ";#N/A,#N/A,FALSE,"3CJ";#N/A,#N/A,FALSE,"3CN";#N/A,#N/A,FALSE,"3CP";#N/A,#N/A,FALSE,"3A"}</definedName>
    <definedName name="scb">#REF!</definedName>
    <definedName name="Scenario">#REF!</definedName>
    <definedName name="Scenario_List">#REF!</definedName>
    <definedName name="Scenario_Y2">#REF!</definedName>
    <definedName name="Scenario_Y3">#REF!</definedName>
    <definedName name="Scenario_Y4">#REF!</definedName>
    <definedName name="SCG" localSheetId="0" hidden="1">{#N/A,#N/A,FALSE,"Tabl. D1";#N/A,#N/A,FALSE,"Tabl. D1 b";#N/A,#N/A,FALSE,"Tabl. D2";#N/A,#N/A,FALSE,"Tabl. D2 b";#N/A,#N/A,FALSE,"Tabl. D3";#N/A,#N/A,FALSE,"Tabl. D4";#N/A,#N/A,FALSE,"Tabl. D5"}</definedName>
    <definedName name="SCG" localSheetId="6" hidden="1">{#N/A,#N/A,FALSE,"Tabl. D1";#N/A,#N/A,FALSE,"Tabl. D1 b";#N/A,#N/A,FALSE,"Tabl. D2";#N/A,#N/A,FALSE,"Tabl. D2 b";#N/A,#N/A,FALSE,"Tabl. D3";#N/A,#N/A,FALSE,"Tabl. D4";#N/A,#N/A,FALSE,"Tabl. D5"}</definedName>
    <definedName name="SCG" hidden="1">{#N/A,#N/A,FALSE,"Tabl. D1";#N/A,#N/A,FALSE,"Tabl. D1 b";#N/A,#N/A,FALSE,"Tabl. D2";#N/A,#N/A,FALSE,"Tabl. D2 b";#N/A,#N/A,FALSE,"Tabl. D3";#N/A,#N/A,FALSE,"Tabl. D4";#N/A,#N/A,FALSE,"Tabl. D5"}</definedName>
    <definedName name="Sched_Pay">#REF!</definedName>
    <definedName name="Scheduled_Extra_Payments">#REF!</definedName>
    <definedName name="Scheduled_Interest_Rate">#REF!</definedName>
    <definedName name="Scheduled_Monthly_Payment">#REF!</definedName>
    <definedName name="ScheduledNumberOfPayments">#REF!</definedName>
    <definedName name="ScheduledPayment">#REF!</definedName>
    <definedName name="scn">#REF!</definedName>
    <definedName name="Scorecard" localSheetId="6" hidden="1">{"'IM V02'!$A$1:$W$57"}</definedName>
    <definedName name="Scorecard" hidden="1">{"'IM V02'!$A$1:$W$57"}</definedName>
    <definedName name="scwe" localSheetId="0" hidden="1">{#N/A,#N/A,TRUE,"Proposal";#N/A,#N/A,TRUE,"Assumptions";#N/A,#N/A,TRUE,"Net Income";#N/A,#N/A,TRUE,"Balsheet";#N/A,#N/A,TRUE,"Capex";#N/A,#N/A,TRUE,"Volumes";#N/A,#N/A,TRUE,"Revenues";#N/A,#N/A,TRUE,"Var.Costs";#N/A,#N/A,TRUE,"Personnel";#N/A,#N/A,TRUE,"Other costs";#N/A,#N/A,TRUE,"MKTG and G&amp;A"}</definedName>
    <definedName name="scwe" localSheetId="6" hidden="1">{#N/A,#N/A,TRUE,"Proposal";#N/A,#N/A,TRUE,"Assumptions";#N/A,#N/A,TRUE,"Net Income";#N/A,#N/A,TRUE,"Balsheet";#N/A,#N/A,TRUE,"Capex";#N/A,#N/A,TRUE,"Volumes";#N/A,#N/A,TRUE,"Revenues";#N/A,#N/A,TRUE,"Var.Costs";#N/A,#N/A,TRUE,"Personnel";#N/A,#N/A,TRUE,"Other costs";#N/A,#N/A,TRUE,"MKTG and G&amp;A"}</definedName>
    <definedName name="scwe" hidden="1">{#N/A,#N/A,TRUE,"Proposal";#N/A,#N/A,TRUE,"Assumptions";#N/A,#N/A,TRUE,"Net Income";#N/A,#N/A,TRUE,"Balsheet";#N/A,#N/A,TRUE,"Capex";#N/A,#N/A,TRUE,"Volumes";#N/A,#N/A,TRUE,"Revenues";#N/A,#N/A,TRUE,"Var.Costs";#N/A,#N/A,TRUE,"Personnel";#N/A,#N/A,TRUE,"Other costs";#N/A,#N/A,TRUE,"MKTG and G&amp;A"}</definedName>
    <definedName name="sd"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d"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d"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D_1" localSheetId="0" hidden="1">{#N/A,#N/A,FALSE,"Pharm";#N/A,#N/A,FALSE,"WWCM"}</definedName>
    <definedName name="SD_1" localSheetId="6" hidden="1">{#N/A,#N/A,FALSE,"Pharm";#N/A,#N/A,FALSE,"WWCM"}</definedName>
    <definedName name="SD_1" hidden="1">{#N/A,#N/A,FALSE,"Pharm";#N/A,#N/A,FALSE,"WWCM"}</definedName>
    <definedName name="SD_1_1" localSheetId="0" hidden="1">{#N/A,#N/A,FALSE,"Pharm";#N/A,#N/A,FALSE,"WWCM"}</definedName>
    <definedName name="SD_1_1" localSheetId="6" hidden="1">{#N/A,#N/A,FALSE,"Pharm";#N/A,#N/A,FALSE,"WWCM"}</definedName>
    <definedName name="SD_1_1" hidden="1">{#N/A,#N/A,FALSE,"Pharm";#N/A,#N/A,FALSE,"WWCM"}</definedName>
    <definedName name="SD_2" localSheetId="0" hidden="1">{#N/A,#N/A,FALSE,"Pharm";#N/A,#N/A,FALSE,"WWCM"}</definedName>
    <definedName name="SD_2" localSheetId="6" hidden="1">{#N/A,#N/A,FALSE,"Pharm";#N/A,#N/A,FALSE,"WWCM"}</definedName>
    <definedName name="SD_2" hidden="1">{#N/A,#N/A,FALSE,"Pharm";#N/A,#N/A,FALSE,"WWCM"}</definedName>
    <definedName name="SD_3" localSheetId="0" hidden="1">{#N/A,#N/A,FALSE,"Pharm";#N/A,#N/A,FALSE,"WWCM"}</definedName>
    <definedName name="SD_3" localSheetId="6" hidden="1">{#N/A,#N/A,FALSE,"Pharm";#N/A,#N/A,FALSE,"WWCM"}</definedName>
    <definedName name="SD_3" hidden="1">{#N/A,#N/A,FALSE,"Pharm";#N/A,#N/A,FALSE,"WWCM"}</definedName>
    <definedName name="SD_4" localSheetId="0" hidden="1">{#N/A,#N/A,FALSE,"Pharm";#N/A,#N/A,FALSE,"WWCM"}</definedName>
    <definedName name="SD_4" localSheetId="6" hidden="1">{#N/A,#N/A,FALSE,"Pharm";#N/A,#N/A,FALSE,"WWCM"}</definedName>
    <definedName name="SD_4" hidden="1">{#N/A,#N/A,FALSE,"Pharm";#N/A,#N/A,FALSE,"WWCM"}</definedName>
    <definedName name="SD_5" localSheetId="0" hidden="1">{#N/A,#N/A,FALSE,"Pharm";#N/A,#N/A,FALSE,"WWCM"}</definedName>
    <definedName name="SD_5" localSheetId="6" hidden="1">{#N/A,#N/A,FALSE,"Pharm";#N/A,#N/A,FALSE,"WWCM"}</definedName>
    <definedName name="SD_5" hidden="1">{#N/A,#N/A,FALSE,"Pharm";#N/A,#N/A,FALSE,"WWCM"}</definedName>
    <definedName name="sdafgs" localSheetId="0" hidden="1">{#N/A,#N/A,FALSE,"Pharm";#N/A,#N/A,FALSE,"WWCM"}</definedName>
    <definedName name="sdafgs" localSheetId="6" hidden="1">{#N/A,#N/A,FALSE,"Pharm";#N/A,#N/A,FALSE,"WWCM"}</definedName>
    <definedName name="sdafgs" hidden="1">{#N/A,#N/A,FALSE,"Pharm";#N/A,#N/A,FALSE,"WWCM"}</definedName>
    <definedName name="sdafgs_1" localSheetId="0" hidden="1">{#N/A,#N/A,FALSE,"Pharm";#N/A,#N/A,FALSE,"WWCM"}</definedName>
    <definedName name="sdafgs_1" localSheetId="6" hidden="1">{#N/A,#N/A,FALSE,"Pharm";#N/A,#N/A,FALSE,"WWCM"}</definedName>
    <definedName name="sdafgs_1" hidden="1">{#N/A,#N/A,FALSE,"Pharm";#N/A,#N/A,FALSE,"WWCM"}</definedName>
    <definedName name="sdafgs_1_1" localSheetId="0" hidden="1">{#N/A,#N/A,FALSE,"Pharm";#N/A,#N/A,FALSE,"WWCM"}</definedName>
    <definedName name="sdafgs_1_1" localSheetId="6" hidden="1">{#N/A,#N/A,FALSE,"Pharm";#N/A,#N/A,FALSE,"WWCM"}</definedName>
    <definedName name="sdafgs_1_1" hidden="1">{#N/A,#N/A,FALSE,"Pharm";#N/A,#N/A,FALSE,"WWCM"}</definedName>
    <definedName name="sdafgs_2" localSheetId="0" hidden="1">{#N/A,#N/A,FALSE,"Pharm";#N/A,#N/A,FALSE,"WWCM"}</definedName>
    <definedName name="sdafgs_2" localSheetId="6" hidden="1">{#N/A,#N/A,FALSE,"Pharm";#N/A,#N/A,FALSE,"WWCM"}</definedName>
    <definedName name="sdafgs_2" hidden="1">{#N/A,#N/A,FALSE,"Pharm";#N/A,#N/A,FALSE,"WWCM"}</definedName>
    <definedName name="sdafgs_3" localSheetId="0" hidden="1">{#N/A,#N/A,FALSE,"Pharm";#N/A,#N/A,FALSE,"WWCM"}</definedName>
    <definedName name="sdafgs_3" localSheetId="6" hidden="1">{#N/A,#N/A,FALSE,"Pharm";#N/A,#N/A,FALSE,"WWCM"}</definedName>
    <definedName name="sdafgs_3" hidden="1">{#N/A,#N/A,FALSE,"Pharm";#N/A,#N/A,FALSE,"WWCM"}</definedName>
    <definedName name="sdafgs_4" localSheetId="0" hidden="1">{#N/A,#N/A,FALSE,"Pharm";#N/A,#N/A,FALSE,"WWCM"}</definedName>
    <definedName name="sdafgs_4" localSheetId="6" hidden="1">{#N/A,#N/A,FALSE,"Pharm";#N/A,#N/A,FALSE,"WWCM"}</definedName>
    <definedName name="sdafgs_4" hidden="1">{#N/A,#N/A,FALSE,"Pharm";#N/A,#N/A,FALSE,"WWCM"}</definedName>
    <definedName name="sdafgs_5" localSheetId="0" hidden="1">{#N/A,#N/A,FALSE,"Pharm";#N/A,#N/A,FALSE,"WWCM"}</definedName>
    <definedName name="sdafgs_5" localSheetId="6" hidden="1">{#N/A,#N/A,FALSE,"Pharm";#N/A,#N/A,FALSE,"WWCM"}</definedName>
    <definedName name="sdafgs_5" hidden="1">{#N/A,#N/A,FALSE,"Pharm";#N/A,#N/A,FALSE,"WWCM"}</definedName>
    <definedName name="sdafsdfzSDfasdf" localSheetId="0" hidden="1">{#N/A,#N/A,FALSE,"Sheet1"}</definedName>
    <definedName name="sdafsdfzSDfasdf" localSheetId="6" hidden="1">{#N/A,#N/A,FALSE,"Sheet1"}</definedName>
    <definedName name="sdafsdfzSDfasdf" hidden="1">{#N/A,#N/A,FALSE,"Sheet1"}</definedName>
    <definedName name="SDAS" hidden="1">#REF!</definedName>
    <definedName name="sdasd" localSheetId="0" hidden="1">{"DJH3",#N/A,FALSE,"PFL00805";"PJB3",#N/A,FALSE,"PFL00805";"JMD3",#N/A,FALSE,"PFL00805";"DNB3",#N/A,FALSE,"PFL00805";"MJP3",#N/A,FALSE,"PFL00805";"RAB3",#N/A,FALSE,"PFL00805";"GJW3",#N/A,FALSE,"PFL00805";"MASTER3",#N/A,FALSE,"PFL00805"}</definedName>
    <definedName name="sdasd" localSheetId="6" hidden="1">{"DJH3",#N/A,FALSE,"PFL00805";"PJB3",#N/A,FALSE,"PFL00805";"JMD3",#N/A,FALSE,"PFL00805";"DNB3",#N/A,FALSE,"PFL00805";"MJP3",#N/A,FALSE,"PFL00805";"RAB3",#N/A,FALSE,"PFL00805";"GJW3",#N/A,FALSE,"PFL00805";"MASTER3",#N/A,FALSE,"PFL00805"}</definedName>
    <definedName name="sdasd" hidden="1">{"DJH3",#N/A,FALSE,"PFL00805";"PJB3",#N/A,FALSE,"PFL00805";"JMD3",#N/A,FALSE,"PFL00805";"DNB3",#N/A,FALSE,"PFL00805";"MJP3",#N/A,FALSE,"PFL00805";"RAB3",#N/A,FALSE,"PFL00805";"GJW3",#N/A,FALSE,"PFL00805";"MASTER3",#N/A,FALSE,"PFL00805"}</definedName>
    <definedName name="sdasd_1" localSheetId="0" hidden="1">{"DJH3",#N/A,FALSE,"PFL00805";"PJB3",#N/A,FALSE,"PFL00805";"JMD3",#N/A,FALSE,"PFL00805";"DNB3",#N/A,FALSE,"PFL00805";"MJP3",#N/A,FALSE,"PFL00805";"RAB3",#N/A,FALSE,"PFL00805";"GJW3",#N/A,FALSE,"PFL00805";"MASTER3",#N/A,FALSE,"PFL00805"}</definedName>
    <definedName name="sdasd_1" localSheetId="6" hidden="1">{"DJH3",#N/A,FALSE,"PFL00805";"PJB3",#N/A,FALSE,"PFL00805";"JMD3",#N/A,FALSE,"PFL00805";"DNB3",#N/A,FALSE,"PFL00805";"MJP3",#N/A,FALSE,"PFL00805";"RAB3",#N/A,FALSE,"PFL00805";"GJW3",#N/A,FALSE,"PFL00805";"MASTER3",#N/A,FALSE,"PFL00805"}</definedName>
    <definedName name="sdasd_1" hidden="1">{"DJH3",#N/A,FALSE,"PFL00805";"PJB3",#N/A,FALSE,"PFL00805";"JMD3",#N/A,FALSE,"PFL00805";"DNB3",#N/A,FALSE,"PFL00805";"MJP3",#N/A,FALSE,"PFL00805";"RAB3",#N/A,FALSE,"PFL00805";"GJW3",#N/A,FALSE,"PFL00805";"MASTER3",#N/A,FALSE,"PFL00805"}</definedName>
    <definedName name="sdc" localSheetId="6" hidden="1">{#N/A,#N/A,TRUE,"ProFormaProfit";#N/A,#N/A,TRUE,"ProFormaCash";#N/A,#N/A,TRUE,"Depreciation";#N/A,#N/A,TRUE,"Assets";#N/A,#N/A,TRUE,"Revenue";#N/A,#N/A,TRUE,"EstimatedPurchase"}</definedName>
    <definedName name="sdc" hidden="1">{#N/A,#N/A,TRUE,"ProFormaProfit";#N/A,#N/A,TRUE,"ProFormaCash";#N/A,#N/A,TRUE,"Depreciation";#N/A,#N/A,TRUE,"Assets";#N/A,#N/A,TRUE,"Revenue";#N/A,#N/A,TRUE,"EstimatedPurchase"}</definedName>
    <definedName name="sdddd">#REF!:#REF!</definedName>
    <definedName name="sddfgf" localSheetId="0" hidden="1">{"Graphic",#N/A,TRUE,"Graphic"}</definedName>
    <definedName name="sddfgf" localSheetId="6" hidden="1">{"Graphic",#N/A,TRUE,"Graphic"}</definedName>
    <definedName name="sddfgf" hidden="1">{"Graphic",#N/A,TRUE,"Graphic"}</definedName>
    <definedName name="sddfgf_1" localSheetId="0" hidden="1">{"Graphic",#N/A,TRUE,"Graphic"}</definedName>
    <definedName name="sddfgf_1" localSheetId="6" hidden="1">{"Graphic",#N/A,TRUE,"Graphic"}</definedName>
    <definedName name="sddfgf_1" hidden="1">{"Graphic",#N/A,TRUE,"Graphic"}</definedName>
    <definedName name="SDER" localSheetId="0" hidden="1">{#N/A,#N/A,FALSE,"Calc";#N/A,#N/A,FALSE,"Sensitivity";#N/A,#N/A,FALSE,"LT Earn.Dil.";#N/A,#N/A,FALSE,"Dil. AVP"}</definedName>
    <definedName name="SDER" localSheetId="6" hidden="1">{#N/A,#N/A,FALSE,"Calc";#N/A,#N/A,FALSE,"Sensitivity";#N/A,#N/A,FALSE,"LT Earn.Dil.";#N/A,#N/A,FALSE,"Dil. AVP"}</definedName>
    <definedName name="SDER" hidden="1">{#N/A,#N/A,FALSE,"Calc";#N/A,#N/A,FALSE,"Sensitivity";#N/A,#N/A,FALSE,"LT Earn.Dil.";#N/A,#N/A,FALSE,"Dil. AVP"}</definedName>
    <definedName name="sdf" localSheetId="0" hidden="1">{#N/A,#N/A,FALSE,"ORIX CSC"}</definedName>
    <definedName name="sdf" localSheetId="6" hidden="1">{#N/A,#N/A,FALSE,"ORIX CSC"}</definedName>
    <definedName name="sdf" hidden="1">{#N/A,#N/A,FALSE,"ORIX CSC"}</definedName>
    <definedName name="sdfbhsf" localSheetId="6" hidden="1">{"year1",#N/A,FALSE,"IZT";"year2",#N/A,FALSE,"IZT"}</definedName>
    <definedName name="sdfbhsf" hidden="1">{"year1",#N/A,FALSE,"IZT";"year2",#N/A,FALSE,"IZT"}</definedName>
    <definedName name="sdfdsf" localSheetId="0" hidden="1">{#N/A,#N/A,FALSE,"KA CH  (2)"}</definedName>
    <definedName name="sdfdsf" localSheetId="6" hidden="1">{#N/A,#N/A,FALSE,"KA CH  (2)"}</definedName>
    <definedName name="sdfdsf" hidden="1">{#N/A,#N/A,FALSE,"KA CH  (2)"}</definedName>
    <definedName name="sdfdsf_1" localSheetId="0" hidden="1">{#N/A,#N/A,FALSE,"KA CH  (2)"}</definedName>
    <definedName name="sdfdsf_1" localSheetId="6" hidden="1">{#N/A,#N/A,FALSE,"KA CH  (2)"}</definedName>
    <definedName name="sdfdsf_1" hidden="1">{#N/A,#N/A,FALSE,"KA CH  (2)"}</definedName>
    <definedName name="sdfdsf_1_1" localSheetId="0" hidden="1">{#N/A,#N/A,FALSE,"KA CH  (2)"}</definedName>
    <definedName name="sdfdsf_1_1" localSheetId="6" hidden="1">{#N/A,#N/A,FALSE,"KA CH  (2)"}</definedName>
    <definedName name="sdfdsf_1_1" hidden="1">{#N/A,#N/A,FALSE,"KA CH  (2)"}</definedName>
    <definedName name="sdfdsf_2" localSheetId="0" hidden="1">{#N/A,#N/A,FALSE,"KA CH  (2)"}</definedName>
    <definedName name="sdfdsf_2" localSheetId="6" hidden="1">{#N/A,#N/A,FALSE,"KA CH  (2)"}</definedName>
    <definedName name="sdfdsf_2" hidden="1">{#N/A,#N/A,FALSE,"KA CH  (2)"}</definedName>
    <definedName name="sdfdsf_3" localSheetId="0" hidden="1">{#N/A,#N/A,FALSE,"KA CH  (2)"}</definedName>
    <definedName name="sdfdsf_3" localSheetId="6" hidden="1">{#N/A,#N/A,FALSE,"KA CH  (2)"}</definedName>
    <definedName name="sdfdsf_3" hidden="1">{#N/A,#N/A,FALSE,"KA CH  (2)"}</definedName>
    <definedName name="sdfdsf_4" localSheetId="0" hidden="1">{#N/A,#N/A,FALSE,"KA CH  (2)"}</definedName>
    <definedName name="sdfdsf_4" localSheetId="6" hidden="1">{#N/A,#N/A,FALSE,"KA CH  (2)"}</definedName>
    <definedName name="sdfdsf_4" hidden="1">{#N/A,#N/A,FALSE,"KA CH  (2)"}</definedName>
    <definedName name="sdfdsf_5" localSheetId="0" hidden="1">{#N/A,#N/A,FALSE,"KA CH  (2)"}</definedName>
    <definedName name="sdfdsf_5" localSheetId="6" hidden="1">{#N/A,#N/A,FALSE,"KA CH  (2)"}</definedName>
    <definedName name="sdfdsf_5" hidden="1">{#N/A,#N/A,FALSE,"KA CH  (2)"}</definedName>
    <definedName name="sdfe" localSheetId="0" hidden="1">{"kricash",#N/A,FALSE,"INC";"kriinc",#N/A,FALSE,"INC";"krimiami",#N/A,FALSE,"INC";"kriother",#N/A,FALSE,"INC";"kripapers",#N/A,FALSE,"INC"}</definedName>
    <definedName name="sdfe" localSheetId="6" hidden="1">{"kricash",#N/A,FALSE,"INC";"kriinc",#N/A,FALSE,"INC";"krimiami",#N/A,FALSE,"INC";"kriother",#N/A,FALSE,"INC";"kripapers",#N/A,FALSE,"INC"}</definedName>
    <definedName name="sdfe" hidden="1">{"kricash",#N/A,FALSE,"INC";"kriinc",#N/A,FALSE,"INC";"krimiami",#N/A,FALSE,"INC";"kriother",#N/A,FALSE,"INC";"kripapers",#N/A,FALSE,"INC"}</definedName>
    <definedName name="sdfgdsf" hidden="1">#REF!</definedName>
    <definedName name="sdfger" localSheetId="0" hidden="1">{#N/A,#N/A,FALSE,"Hip.Bas";#N/A,#N/A,FALSE,"ventas";#N/A,#N/A,FALSE,"ingre-Año";#N/A,#N/A,FALSE,"ventas-Año";#N/A,#N/A,FALSE,"Costepro";#N/A,#N/A,FALSE,"inversion";#N/A,#N/A,FALSE,"personal";#N/A,#N/A,FALSE,"Gastos-V";#N/A,#N/A,FALSE,"Circulante";#N/A,#N/A,FALSE,"CONSOLI";#N/A,#N/A,FALSE,"Es-Fin";#N/A,#N/A,FALSE,"Margen-P"}</definedName>
    <definedName name="sdfger" localSheetId="6" hidden="1">{#N/A,#N/A,FALSE,"Hip.Bas";#N/A,#N/A,FALSE,"ventas";#N/A,#N/A,FALSE,"ingre-Año";#N/A,#N/A,FALSE,"ventas-Año";#N/A,#N/A,FALSE,"Costepro";#N/A,#N/A,FALSE,"inversion";#N/A,#N/A,FALSE,"personal";#N/A,#N/A,FALSE,"Gastos-V";#N/A,#N/A,FALSE,"Circulante";#N/A,#N/A,FALSE,"CONSOLI";#N/A,#N/A,FALSE,"Es-Fin";#N/A,#N/A,FALSE,"Margen-P"}</definedName>
    <definedName name="sdfger" hidden="1">{#N/A,#N/A,FALSE,"Hip.Bas";#N/A,#N/A,FALSE,"ventas";#N/A,#N/A,FALSE,"ingre-Año";#N/A,#N/A,FALSE,"ventas-Año";#N/A,#N/A,FALSE,"Costepro";#N/A,#N/A,FALSE,"inversion";#N/A,#N/A,FALSE,"personal";#N/A,#N/A,FALSE,"Gastos-V";#N/A,#N/A,FALSE,"Circulante";#N/A,#N/A,FALSE,"CONSOLI";#N/A,#N/A,FALSE,"Es-Fin";#N/A,#N/A,FALSE,"Margen-P"}</definedName>
    <definedName name="SDFGFG" hidden="1">#REF!</definedName>
    <definedName name="sdfh" localSheetId="0" hidden="1">{#N/A,#N/A,FALSE,"Pharm";#N/A,#N/A,FALSE,"WWCM"}</definedName>
    <definedName name="sdfh" localSheetId="6" hidden="1">{#N/A,#N/A,FALSE,"Pharm";#N/A,#N/A,FALSE,"WWCM"}</definedName>
    <definedName name="sdfh" hidden="1">{#N/A,#N/A,FALSE,"Pharm";#N/A,#N/A,FALSE,"WWCM"}</definedName>
    <definedName name="sdfh_1" localSheetId="0" hidden="1">{#N/A,#N/A,FALSE,"Pharm";#N/A,#N/A,FALSE,"WWCM"}</definedName>
    <definedName name="sdfh_1" localSheetId="6" hidden="1">{#N/A,#N/A,FALSE,"Pharm";#N/A,#N/A,FALSE,"WWCM"}</definedName>
    <definedName name="sdfh_1" hidden="1">{#N/A,#N/A,FALSE,"Pharm";#N/A,#N/A,FALSE,"WWCM"}</definedName>
    <definedName name="sdfh_1_1" localSheetId="0" hidden="1">{#N/A,#N/A,FALSE,"Pharm";#N/A,#N/A,FALSE,"WWCM"}</definedName>
    <definedName name="sdfh_1_1" localSheetId="6" hidden="1">{#N/A,#N/A,FALSE,"Pharm";#N/A,#N/A,FALSE,"WWCM"}</definedName>
    <definedName name="sdfh_1_1" hidden="1">{#N/A,#N/A,FALSE,"Pharm";#N/A,#N/A,FALSE,"WWCM"}</definedName>
    <definedName name="sdfh_2" localSheetId="0" hidden="1">{#N/A,#N/A,FALSE,"Pharm";#N/A,#N/A,FALSE,"WWCM"}</definedName>
    <definedName name="sdfh_2" localSheetId="6" hidden="1">{#N/A,#N/A,FALSE,"Pharm";#N/A,#N/A,FALSE,"WWCM"}</definedName>
    <definedName name="sdfh_2" hidden="1">{#N/A,#N/A,FALSE,"Pharm";#N/A,#N/A,FALSE,"WWCM"}</definedName>
    <definedName name="sdfh_3" localSheetId="0" hidden="1">{#N/A,#N/A,FALSE,"Pharm";#N/A,#N/A,FALSE,"WWCM"}</definedName>
    <definedName name="sdfh_3" localSheetId="6" hidden="1">{#N/A,#N/A,FALSE,"Pharm";#N/A,#N/A,FALSE,"WWCM"}</definedName>
    <definedName name="sdfh_3" hidden="1">{#N/A,#N/A,FALSE,"Pharm";#N/A,#N/A,FALSE,"WWCM"}</definedName>
    <definedName name="sdfh_4" localSheetId="0" hidden="1">{#N/A,#N/A,FALSE,"Pharm";#N/A,#N/A,FALSE,"WWCM"}</definedName>
    <definedName name="sdfh_4" localSheetId="6" hidden="1">{#N/A,#N/A,FALSE,"Pharm";#N/A,#N/A,FALSE,"WWCM"}</definedName>
    <definedName name="sdfh_4" hidden="1">{#N/A,#N/A,FALSE,"Pharm";#N/A,#N/A,FALSE,"WWCM"}</definedName>
    <definedName name="sdfh_5" localSheetId="0" hidden="1">{#N/A,#N/A,FALSE,"Pharm";#N/A,#N/A,FALSE,"WWCM"}</definedName>
    <definedName name="sdfh_5" localSheetId="6" hidden="1">{#N/A,#N/A,FALSE,"Pharm";#N/A,#N/A,FALSE,"WWCM"}</definedName>
    <definedName name="sdfh_5" hidden="1">{#N/A,#N/A,FALSE,"Pharm";#N/A,#N/A,FALSE,"WWCM"}</definedName>
    <definedName name="SDFRG" hidden="1">#REF!</definedName>
    <definedName name="sdfsdfsdf" hidden="1">#REF!</definedName>
    <definedName name="sdfsdfsfdsf" localSheetId="6" hidden="1">{#N/A,#N/A,TRUE,"Titel";#N/A,#N/A,TRUE,"Titel en voorbladen";#N/A,#N/A,TRUE,"Tabblad Formatie 1";#N/A,#N/A,TRUE,"Formatiebegroting Bijlage . 1";#N/A,#N/A,TRUE,"Tabblad Toelichting 2";#N/A,#N/A,TRUE,"Toelichting Budget Bijlage 2";#N/A,#N/A,TRUE,"Tabblad Invloed 3";#N/A,#N/A,TRUE,"Invloed Bijlage 3";#N/A,#N/A,TRUE,"Tabblad  strategisch niveau 4 ";#N/A,#N/A,TRUE,"Strategisch niveau Bijlage 4";#N/A,#N/A,TRUE,"Tabblad Tactisch niveau 5 ";#N/A,#N/A,TRUE,"Tactisch niveau Bijlage 5";#N/A,#N/A,TRUE,"Tabblad Kosten Operation. niv 6";#N/A,#N/A,TRUE,"Operationeel niveau Bijlage  6";#N/A,#N/A,TRUE,"Tabblad LE overzichten 7 ";#N/A,#N/A,TRUE,"LE overzichten 7";#N/A,#N/A,TRUE,"Tabblad Afdelingen en M2 8";#N/A,#N/A,TRUE,"M2 en afdelingen 8";#N/A,#N/A,TRUE,"Tabblad Doorbelstingspr 9 ";#N/A,#N/A,TRUE,"Doorbelast. procedure Bijlage 9";#N/A,#N/A,TRUE,"Tabblad MTP 10";#N/A,#N/A,TRUE,"MTP  2005  2009 Bijlage 10";#N/A,#N/A,TRUE,"Tabblad Besparingsvoorst. 11";#N/A,#N/A,TRUE,"Besparingsvoorstellen 11";#N/A,#N/A,TRUE,"Tabblad Opleidingskosten 12";#N/A,#N/A,TRUE,"Opleidingskosten 12";#N/A,#N/A,TRUE,"Tabblad Bijlagen 13";#N/A,#N/A,TRUE,"Bijlagen 13";#N/A,#N/A,TRUE,"Tabblad Cateringkosten 14";#N/A,#N/A,TRUE,"Cateringkosten  14";#N/A,#N/A,TRUE,"Tabblad Energiekosten 15";#N/A,#N/A,TRUE,"Energiekosten 15";#N/A,#N/A,TRUE,"Tabblad Copieerkosten 16";#N/A,#N/A,TRUE," Copieerkosten 16"}</definedName>
    <definedName name="sdfsdfsfdsf" hidden="1">{#N/A,#N/A,TRUE,"Titel";#N/A,#N/A,TRUE,"Titel en voorbladen";#N/A,#N/A,TRUE,"Tabblad Formatie 1";#N/A,#N/A,TRUE,"Formatiebegroting Bijlage . 1";#N/A,#N/A,TRUE,"Tabblad Toelichting 2";#N/A,#N/A,TRUE,"Toelichting Budget Bijlage 2";#N/A,#N/A,TRUE,"Tabblad Invloed 3";#N/A,#N/A,TRUE,"Invloed Bijlage 3";#N/A,#N/A,TRUE,"Tabblad  strategisch niveau 4 ";#N/A,#N/A,TRUE,"Strategisch niveau Bijlage 4";#N/A,#N/A,TRUE,"Tabblad Tactisch niveau 5 ";#N/A,#N/A,TRUE,"Tactisch niveau Bijlage 5";#N/A,#N/A,TRUE,"Tabblad Kosten Operation. niv 6";#N/A,#N/A,TRUE,"Operationeel niveau Bijlage  6";#N/A,#N/A,TRUE,"Tabblad LE overzichten 7 ";#N/A,#N/A,TRUE,"LE overzichten 7";#N/A,#N/A,TRUE,"Tabblad Afdelingen en M2 8";#N/A,#N/A,TRUE,"M2 en afdelingen 8";#N/A,#N/A,TRUE,"Tabblad Doorbelstingspr 9 ";#N/A,#N/A,TRUE,"Doorbelast. procedure Bijlage 9";#N/A,#N/A,TRUE,"Tabblad MTP 10";#N/A,#N/A,TRUE,"MTP  2005  2009 Bijlage 10";#N/A,#N/A,TRUE,"Tabblad Besparingsvoorst. 11";#N/A,#N/A,TRUE,"Besparingsvoorstellen 11";#N/A,#N/A,TRUE,"Tabblad Opleidingskosten 12";#N/A,#N/A,TRUE,"Opleidingskosten 12";#N/A,#N/A,TRUE,"Tabblad Bijlagen 13";#N/A,#N/A,TRUE,"Bijlagen 13";#N/A,#N/A,TRUE,"Tabblad Cateringkosten 14";#N/A,#N/A,TRUE,"Cateringkosten  14";#N/A,#N/A,TRUE,"Tabblad Energiekosten 15";#N/A,#N/A,TRUE,"Energiekosten 15";#N/A,#N/A,TRUE,"Tabblad Copieerkosten 16";#N/A,#N/A,TRUE," Copieerkosten 16"}</definedName>
    <definedName name="sdfsfsfd" localSheetId="0" hidden="1">{#N/A,#N/A,FALSE,"Operations";#N/A,#N/A,FALSE,"Financials"}</definedName>
    <definedName name="sdfsfsfd" localSheetId="6" hidden="1">{#N/A,#N/A,FALSE,"Operations";#N/A,#N/A,FALSE,"Financials"}</definedName>
    <definedName name="sdfsfsfd" hidden="1">{#N/A,#N/A,FALSE,"Operations";#N/A,#N/A,FALSE,"Financials"}</definedName>
    <definedName name="sdfsfsfsdf" localSheetId="0" hidden="1">{#N/A,#N/A,FALSE,"Calc";#N/A,#N/A,FALSE,"Sensitivity";#N/A,#N/A,FALSE,"LT Earn.Dil.";#N/A,#N/A,FALSE,"Dil. AVP"}</definedName>
    <definedName name="sdfsfsfsdf" localSheetId="6" hidden="1">{#N/A,#N/A,FALSE,"Calc";#N/A,#N/A,FALSE,"Sensitivity";#N/A,#N/A,FALSE,"LT Earn.Dil.";#N/A,#N/A,FALSE,"Dil. AVP"}</definedName>
    <definedName name="sdfsfsfsdf" hidden="1">{#N/A,#N/A,FALSE,"Calc";#N/A,#N/A,FALSE,"Sensitivity";#N/A,#N/A,FALSE,"LT Earn.Dil.";#N/A,#N/A,FALSE,"Dil. AVP"}</definedName>
    <definedName name="sdfwef" hidden="1">#REF!</definedName>
    <definedName name="sdgagf" localSheetId="0" hidden="1">{#N/A,#N/A,FALSE,"Pharm";#N/A,#N/A,FALSE,"WWCM"}</definedName>
    <definedName name="sdgagf" localSheetId="6" hidden="1">{#N/A,#N/A,FALSE,"Pharm";#N/A,#N/A,FALSE,"WWCM"}</definedName>
    <definedName name="sdgagf" hidden="1">{#N/A,#N/A,FALSE,"Pharm";#N/A,#N/A,FALSE,"WWCM"}</definedName>
    <definedName name="sdgagf_1" localSheetId="0" hidden="1">{#N/A,#N/A,FALSE,"Pharm";#N/A,#N/A,FALSE,"WWCM"}</definedName>
    <definedName name="sdgagf_1" localSheetId="6" hidden="1">{#N/A,#N/A,FALSE,"Pharm";#N/A,#N/A,FALSE,"WWCM"}</definedName>
    <definedName name="sdgagf_1" hidden="1">{#N/A,#N/A,FALSE,"Pharm";#N/A,#N/A,FALSE,"WWCM"}</definedName>
    <definedName name="sdgagf_1_1" localSheetId="0" hidden="1">{#N/A,#N/A,FALSE,"Pharm";#N/A,#N/A,FALSE,"WWCM"}</definedName>
    <definedName name="sdgagf_1_1" localSheetId="6" hidden="1">{#N/A,#N/A,FALSE,"Pharm";#N/A,#N/A,FALSE,"WWCM"}</definedName>
    <definedName name="sdgagf_1_1" hidden="1">{#N/A,#N/A,FALSE,"Pharm";#N/A,#N/A,FALSE,"WWCM"}</definedName>
    <definedName name="sdgagf_2" localSheetId="0" hidden="1">{#N/A,#N/A,FALSE,"Pharm";#N/A,#N/A,FALSE,"WWCM"}</definedName>
    <definedName name="sdgagf_2" localSheetId="6" hidden="1">{#N/A,#N/A,FALSE,"Pharm";#N/A,#N/A,FALSE,"WWCM"}</definedName>
    <definedName name="sdgagf_2" hidden="1">{#N/A,#N/A,FALSE,"Pharm";#N/A,#N/A,FALSE,"WWCM"}</definedName>
    <definedName name="sdgagf_3" localSheetId="0" hidden="1">{#N/A,#N/A,FALSE,"Pharm";#N/A,#N/A,FALSE,"WWCM"}</definedName>
    <definedName name="sdgagf_3" localSheetId="6" hidden="1">{#N/A,#N/A,FALSE,"Pharm";#N/A,#N/A,FALSE,"WWCM"}</definedName>
    <definedName name="sdgagf_3" hidden="1">{#N/A,#N/A,FALSE,"Pharm";#N/A,#N/A,FALSE,"WWCM"}</definedName>
    <definedName name="sdgagf_4" localSheetId="0" hidden="1">{#N/A,#N/A,FALSE,"Pharm";#N/A,#N/A,FALSE,"WWCM"}</definedName>
    <definedName name="sdgagf_4" localSheetId="6" hidden="1">{#N/A,#N/A,FALSE,"Pharm";#N/A,#N/A,FALSE,"WWCM"}</definedName>
    <definedName name="sdgagf_4" hidden="1">{#N/A,#N/A,FALSE,"Pharm";#N/A,#N/A,FALSE,"WWCM"}</definedName>
    <definedName name="sdgagf_5" localSheetId="0" hidden="1">{#N/A,#N/A,FALSE,"Pharm";#N/A,#N/A,FALSE,"WWCM"}</definedName>
    <definedName name="sdgagf_5" localSheetId="6" hidden="1">{#N/A,#N/A,FALSE,"Pharm";#N/A,#N/A,FALSE,"WWCM"}</definedName>
    <definedName name="sdgagf_5" hidden="1">{#N/A,#N/A,FALSE,"Pharm";#N/A,#N/A,FALSE,"WWCM"}</definedName>
    <definedName name="sdgdfghfhgfjhgfjhjjjg" localSheetId="0" hidden="1">{"general",#N/A,FALSE,"Assumptions"}</definedName>
    <definedName name="sdgdfghfhgfjhgfjhjjjg" localSheetId="6" hidden="1">{"general",#N/A,FALSE,"Assumptions"}</definedName>
    <definedName name="sdgdfghfhgfjhgfjhjjjg" hidden="1">{"general",#N/A,FALSE,"Assumptions"}</definedName>
    <definedName name="sdgdgdf" localSheetId="0" hidden="1">{"comp",#N/A,FALSE,"SPEC";"footnotes",#N/A,FALSE,"SPEC"}</definedName>
    <definedName name="sdgdgdf" localSheetId="6" hidden="1">{"comp",#N/A,FALSE,"SPEC";"footnotes",#N/A,FALSE,"SPEC"}</definedName>
    <definedName name="sdgdgdf" hidden="1">{"comp",#N/A,FALSE,"SPEC";"footnotes",#N/A,FALSE,"SPEC"}</definedName>
    <definedName name="sdgsdg" localSheetId="0" hidden="1">{#N/A,#N/A,FALSE,"Assessment";#N/A,#N/A,FALSE,"Staffing";#N/A,#N/A,FALSE,"Hires";#N/A,#N/A,FALSE,"Assumptions"}</definedName>
    <definedName name="sdgsdg" localSheetId="6" hidden="1">{#N/A,#N/A,FALSE,"Assessment";#N/A,#N/A,FALSE,"Staffing";#N/A,#N/A,FALSE,"Hires";#N/A,#N/A,FALSE,"Assumptions"}</definedName>
    <definedName name="sdgsdg" hidden="1">{#N/A,#N/A,FALSE,"Assessment";#N/A,#N/A,FALSE,"Staffing";#N/A,#N/A,FALSE,"Hires";#N/A,#N/A,FALSE,"Assumptions"}</definedName>
    <definedName name="sdgsdg_1" localSheetId="0" hidden="1">{#N/A,#N/A,FALSE,"Assessment";#N/A,#N/A,FALSE,"Staffing";#N/A,#N/A,FALSE,"Hires";#N/A,#N/A,FALSE,"Assumptions"}</definedName>
    <definedName name="sdgsdg_1" localSheetId="6" hidden="1">{#N/A,#N/A,FALSE,"Assessment";#N/A,#N/A,FALSE,"Staffing";#N/A,#N/A,FALSE,"Hires";#N/A,#N/A,FALSE,"Assumptions"}</definedName>
    <definedName name="sdgsdg_1" hidden="1">{#N/A,#N/A,FALSE,"Assessment";#N/A,#N/A,FALSE,"Staffing";#N/A,#N/A,FALSE,"Hires";#N/A,#N/A,FALSE,"Assumptions"}</definedName>
    <definedName name="sdhsdh" localSheetId="0" hidden="1">{#N/A,#N/A,FALSE,"Assessment";#N/A,#N/A,FALSE,"Staffing";#N/A,#N/A,FALSE,"Hires";#N/A,#N/A,FALSE,"Assumptions"}</definedName>
    <definedName name="sdhsdh" localSheetId="6" hidden="1">{#N/A,#N/A,FALSE,"Assessment";#N/A,#N/A,FALSE,"Staffing";#N/A,#N/A,FALSE,"Hires";#N/A,#N/A,FALSE,"Assumptions"}</definedName>
    <definedName name="sdhsdh" hidden="1">{#N/A,#N/A,FALSE,"Assessment";#N/A,#N/A,FALSE,"Staffing";#N/A,#N/A,FALSE,"Hires";#N/A,#N/A,FALSE,"Assumptions"}</definedName>
    <definedName name="sdhsdh_1" localSheetId="0" hidden="1">{#N/A,#N/A,FALSE,"Assessment";#N/A,#N/A,FALSE,"Staffing";#N/A,#N/A,FALSE,"Hires";#N/A,#N/A,FALSE,"Assumptions"}</definedName>
    <definedName name="sdhsdh_1" localSheetId="6" hidden="1">{#N/A,#N/A,FALSE,"Assessment";#N/A,#N/A,FALSE,"Staffing";#N/A,#N/A,FALSE,"Hires";#N/A,#N/A,FALSE,"Assumptions"}</definedName>
    <definedName name="sdhsdh_1" hidden="1">{#N/A,#N/A,FALSE,"Assessment";#N/A,#N/A,FALSE,"Staffing";#N/A,#N/A,FALSE,"Hires";#N/A,#N/A,FALSE,"Assumptions"}</definedName>
    <definedName name="SDQ" localSheetId="0" hidden="1">{#N/A,#N/A,FALSE,"PROFIT 11-95"}</definedName>
    <definedName name="SDQ" localSheetId="6" hidden="1">{#N/A,#N/A,FALSE,"PROFIT 11-95"}</definedName>
    <definedName name="SDQ" hidden="1">{#N/A,#N/A,FALSE,"PROFIT 11-95"}</definedName>
    <definedName name="sdrfse" localSheetId="0" hidden="1">{#N/A,#N/A,FALSE,"COMP"}</definedName>
    <definedName name="sdrfse" localSheetId="6" hidden="1">{#N/A,#N/A,FALSE,"COMP"}</definedName>
    <definedName name="sdrfse" hidden="1">{#N/A,#N/A,FALSE,"COMP"}</definedName>
    <definedName name="sds"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ds"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ds"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dsadasd" localSheetId="0" hidden="1">{#N/A,#N/A,FALSE,"Pharm";#N/A,#N/A,FALSE,"WWCM"}</definedName>
    <definedName name="sdsadasd" localSheetId="6" hidden="1">{#N/A,#N/A,FALSE,"Pharm";#N/A,#N/A,FALSE,"WWCM"}</definedName>
    <definedName name="sdsadasd" hidden="1">{#N/A,#N/A,FALSE,"Pharm";#N/A,#N/A,FALSE,"WWCM"}</definedName>
    <definedName name="sdsadasd_1" localSheetId="0" hidden="1">{#N/A,#N/A,FALSE,"Pharm";#N/A,#N/A,FALSE,"WWCM"}</definedName>
    <definedName name="sdsadasd_1" localSheetId="6" hidden="1">{#N/A,#N/A,FALSE,"Pharm";#N/A,#N/A,FALSE,"WWCM"}</definedName>
    <definedName name="sdsadasd_1" hidden="1">{#N/A,#N/A,FALSE,"Pharm";#N/A,#N/A,FALSE,"WWCM"}</definedName>
    <definedName name="sdsadasd_1_1" localSheetId="0" hidden="1">{#N/A,#N/A,FALSE,"Pharm";#N/A,#N/A,FALSE,"WWCM"}</definedName>
    <definedName name="sdsadasd_1_1" localSheetId="6" hidden="1">{#N/A,#N/A,FALSE,"Pharm";#N/A,#N/A,FALSE,"WWCM"}</definedName>
    <definedName name="sdsadasd_1_1" hidden="1">{#N/A,#N/A,FALSE,"Pharm";#N/A,#N/A,FALSE,"WWCM"}</definedName>
    <definedName name="sdsadasd_2" localSheetId="0" hidden="1">{#N/A,#N/A,FALSE,"Pharm";#N/A,#N/A,FALSE,"WWCM"}</definedName>
    <definedName name="sdsadasd_2" localSheetId="6" hidden="1">{#N/A,#N/A,FALSE,"Pharm";#N/A,#N/A,FALSE,"WWCM"}</definedName>
    <definedName name="sdsadasd_2" hidden="1">{#N/A,#N/A,FALSE,"Pharm";#N/A,#N/A,FALSE,"WWCM"}</definedName>
    <definedName name="sdsadasd_3" localSheetId="0" hidden="1">{#N/A,#N/A,FALSE,"Pharm";#N/A,#N/A,FALSE,"WWCM"}</definedName>
    <definedName name="sdsadasd_3" localSheetId="6" hidden="1">{#N/A,#N/A,FALSE,"Pharm";#N/A,#N/A,FALSE,"WWCM"}</definedName>
    <definedName name="sdsadasd_3" hidden="1">{#N/A,#N/A,FALSE,"Pharm";#N/A,#N/A,FALSE,"WWCM"}</definedName>
    <definedName name="sdsadasd_4" localSheetId="0" hidden="1">{#N/A,#N/A,FALSE,"Pharm";#N/A,#N/A,FALSE,"WWCM"}</definedName>
    <definedName name="sdsadasd_4" localSheetId="6" hidden="1">{#N/A,#N/A,FALSE,"Pharm";#N/A,#N/A,FALSE,"WWCM"}</definedName>
    <definedName name="sdsadasd_4" hidden="1">{#N/A,#N/A,FALSE,"Pharm";#N/A,#N/A,FALSE,"WWCM"}</definedName>
    <definedName name="sdsadasd_5" localSheetId="0" hidden="1">{#N/A,#N/A,FALSE,"Pharm";#N/A,#N/A,FALSE,"WWCM"}</definedName>
    <definedName name="sdsadasd_5" localSheetId="6" hidden="1">{#N/A,#N/A,FALSE,"Pharm";#N/A,#N/A,FALSE,"WWCM"}</definedName>
    <definedName name="sdsadasd_5" hidden="1">{#N/A,#N/A,FALSE,"Pharm";#N/A,#N/A,FALSE,"WWCM"}</definedName>
    <definedName name="sdsd" localSheetId="0" hidden="1">{#N/A,#N/A,FALSE,"REPORT"}</definedName>
    <definedName name="sdsd" localSheetId="6" hidden="1">{#N/A,#N/A,FALSE,"REPORT"}</definedName>
    <definedName name="sdsd" hidden="1">{#N/A,#N/A,FALSE,"REPORT"}</definedName>
    <definedName name="sdsd_1" localSheetId="0" hidden="1">{#N/A,#N/A,FALSE,"REPORT"}</definedName>
    <definedName name="sdsd_1" localSheetId="6" hidden="1">{#N/A,#N/A,FALSE,"REPORT"}</definedName>
    <definedName name="sdsd_1" hidden="1">{#N/A,#N/A,FALSE,"REPORT"}</definedName>
    <definedName name="sdsd_1_1" localSheetId="0" hidden="1">{#N/A,#N/A,FALSE,"REPORT"}</definedName>
    <definedName name="sdsd_1_1" localSheetId="6" hidden="1">{#N/A,#N/A,FALSE,"REPORT"}</definedName>
    <definedName name="sdsd_1_1" hidden="1">{#N/A,#N/A,FALSE,"REPORT"}</definedName>
    <definedName name="sdsd_2" localSheetId="0" hidden="1">{#N/A,#N/A,FALSE,"REPORT"}</definedName>
    <definedName name="sdsd_2" localSheetId="6" hidden="1">{#N/A,#N/A,FALSE,"REPORT"}</definedName>
    <definedName name="sdsd_2" hidden="1">{#N/A,#N/A,FALSE,"REPORT"}</definedName>
    <definedName name="sdsd_3" localSheetId="0" hidden="1">{#N/A,#N/A,FALSE,"REPORT"}</definedName>
    <definedName name="sdsd_3" localSheetId="6" hidden="1">{#N/A,#N/A,FALSE,"REPORT"}</definedName>
    <definedName name="sdsd_3" hidden="1">{#N/A,#N/A,FALSE,"REPORT"}</definedName>
    <definedName name="sdsd_4" localSheetId="0" hidden="1">{#N/A,#N/A,FALSE,"REPORT"}</definedName>
    <definedName name="sdsd_4" localSheetId="6" hidden="1">{#N/A,#N/A,FALSE,"REPORT"}</definedName>
    <definedName name="sdsd_4" hidden="1">{#N/A,#N/A,FALSE,"REPORT"}</definedName>
    <definedName name="sdsd_5" localSheetId="0" hidden="1">{#N/A,#N/A,FALSE,"REPORT"}</definedName>
    <definedName name="sdsd_5" localSheetId="6" hidden="1">{#N/A,#N/A,FALSE,"REPORT"}</definedName>
    <definedName name="sdsd_5" hidden="1">{#N/A,#N/A,FALSE,"REPORT"}</definedName>
    <definedName name="sdsddfdf" localSheetId="6" hidden="1">{#N/A,#N/A,FALSE,"Cover";#N/A,#N/A,FALSE,"Index";#N/A,#N/A,FALSE,"Spec";#N/A,#N/A,FALSE,"Breakdown";#N/A,#N/A,FALSE,"Cost Plan"}</definedName>
    <definedName name="sdsddfdf" hidden="1">{#N/A,#N/A,FALSE,"Cover";#N/A,#N/A,FALSE,"Index";#N/A,#N/A,FALSE,"Spec";#N/A,#N/A,FALSE,"Breakdown";#N/A,#N/A,FALSE,"Cost Plan"}</definedName>
    <definedName name="sdsdh" localSheetId="0" hidden="1">{#N/A,#N/A,FALSE,"Assessment";#N/A,#N/A,FALSE,"Staffing";#N/A,#N/A,FALSE,"Hires";#N/A,#N/A,FALSE,"Assumptions"}</definedName>
    <definedName name="sdsdh" localSheetId="6" hidden="1">{#N/A,#N/A,FALSE,"Assessment";#N/A,#N/A,FALSE,"Staffing";#N/A,#N/A,FALSE,"Hires";#N/A,#N/A,FALSE,"Assumptions"}</definedName>
    <definedName name="sdsdh" hidden="1">{#N/A,#N/A,FALSE,"Assessment";#N/A,#N/A,FALSE,"Staffing";#N/A,#N/A,FALSE,"Hires";#N/A,#N/A,FALSE,"Assumptions"}</definedName>
    <definedName name="sdsdh_1" localSheetId="0" hidden="1">{#N/A,#N/A,FALSE,"Assessment";#N/A,#N/A,FALSE,"Staffing";#N/A,#N/A,FALSE,"Hires";#N/A,#N/A,FALSE,"Assumptions"}</definedName>
    <definedName name="sdsdh_1" localSheetId="6" hidden="1">{#N/A,#N/A,FALSE,"Assessment";#N/A,#N/A,FALSE,"Staffing";#N/A,#N/A,FALSE,"Hires";#N/A,#N/A,FALSE,"Assumptions"}</definedName>
    <definedName name="sdsdh_1" hidden="1">{#N/A,#N/A,FALSE,"Assessment";#N/A,#N/A,FALSE,"Staffing";#N/A,#N/A,FALSE,"Hires";#N/A,#N/A,FALSE,"Assumptions"}</definedName>
    <definedName name="sdsds" localSheetId="6" hidden="1">{"PR1","pr1",TRUE,"Sch PR-1"}</definedName>
    <definedName name="sdsds" hidden="1">{"PR1","pr1",TRUE,"Sch PR-1"}</definedName>
    <definedName name="sduyfvuqcdc" hidden="1">#REF!</definedName>
    <definedName name="sdv.test.3" localSheetId="6" hidden="1">{#N/A,#N/A,FALSE,"Calculator"}</definedName>
    <definedName name="sdv.test.3" hidden="1">{#N/A,#N/A,FALSE,"Calculator"}</definedName>
    <definedName name="sdv.test.3_1" localSheetId="6" hidden="1">{#N/A,#N/A,FALSE,"Calculator"}</definedName>
    <definedName name="sdv.test.3_1" hidden="1">{#N/A,#N/A,FALSE,"Calculator"}</definedName>
    <definedName name="sdvdfvv" hidden="1">#REF!</definedName>
    <definedName name="sdvsfdvfdsb" hidden="1">#REF!</definedName>
    <definedName name="se" localSheetId="0" hidden="1">{"consolidated",#N/A,FALSE,"Sheet1";"cms",#N/A,FALSE,"Sheet1";"fse",#N/A,FALSE,"Sheet1"}</definedName>
    <definedName name="se" localSheetId="6" hidden="1">{"consolidated",#N/A,FALSE,"Sheet1";"cms",#N/A,FALSE,"Sheet1";"fse",#N/A,FALSE,"Sheet1"}</definedName>
    <definedName name="se" hidden="1">{"consolidated",#N/A,FALSE,"Sheet1";"cms",#N/A,FALSE,"Sheet1";"fse",#N/A,FALSE,"Sheet1"}</definedName>
    <definedName name="SecondQ">#REF!</definedName>
    <definedName name="Seed_Scenario">#REF!</definedName>
    <definedName name="Seed_Scenario_Y2">#REF!</definedName>
    <definedName name="Seed_Scenario_Y3">#REF!</definedName>
    <definedName name="Seed_Scenario_Y4">#REF!</definedName>
    <definedName name="seg" localSheetId="6" hidden="1">{#N/A,#N/A,FALSE,"K_DRIV"}</definedName>
    <definedName name="seg" hidden="1">{#N/A,#N/A,FALSE,"K_DRIV"}</definedName>
    <definedName name="sei" localSheetId="6" hidden="1">{#N/A,#N/A,FALSE,"K_DRIV"}</definedName>
    <definedName name="sei" hidden="1">{#N/A,#N/A,FALSE,"K_DRIV"}</definedName>
    <definedName name="SEL">#REF!</definedName>
    <definedName name="selling">#REF!</definedName>
    <definedName name="Selling_General_Admin._Exp.">#REF!</definedName>
    <definedName name="Selling_Org_Code1" hidden="1">#REF!</definedName>
    <definedName name="Selling_Org_Code2" hidden="1">#REF!</definedName>
    <definedName name="Selling_Org_Code3" hidden="1">#REF!</definedName>
    <definedName name="Selling_Org_Code4" hidden="1">#REF!</definedName>
    <definedName name="Selling_Org_Code5" hidden="1">#REF!</definedName>
    <definedName name="Selling_Org_Code6" hidden="1">#REF!</definedName>
    <definedName name="Selling_Org_Desc5" hidden="1">#REF!</definedName>
    <definedName name="seme" localSheetId="0" hidden="1">{#N/A,#N/A,FALSE,"P&amp;L"}</definedName>
    <definedName name="seme" localSheetId="6" hidden="1">{#N/A,#N/A,FALSE,"P&amp;L"}</definedName>
    <definedName name="seme" hidden="1">{#N/A,#N/A,FALSE,"P&amp;L"}</definedName>
    <definedName name="sencount" hidden="1">1</definedName>
    <definedName name="sens">#REF!</definedName>
    <definedName name="sensi">#REF!</definedName>
    <definedName name="sensitivity">#REF!</definedName>
    <definedName name="sensitivity_toggle">#REF!</definedName>
    <definedName name="SensitivityPerf1">#REF!</definedName>
    <definedName name="SensitivityPerf2">#REF!</definedName>
    <definedName name="SensitivityPerf3">#REF!</definedName>
    <definedName name="SensitivityPerfHdr">#REF!</definedName>
    <definedName name="Septem15" hidden="1">#REF!</definedName>
    <definedName name="Septotal">#REF!</definedName>
    <definedName name="SERH" hidden="1">#REF!</definedName>
    <definedName name="Services2" localSheetId="6"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rvices2_1" localSheetId="6" hidden="1">{#N/A,#N/A,FALSE,"Pricing";#N/A,#N/A,FALSE,"Summary";#N/A,#N/A,FALSE,"CompProd";#N/A,#N/A,FALSE,"CompJobhrs";#N/A,#N/A,FALSE,"Escalation";#N/A,#N/A,FALSE,"Contingency";#N/A,#N/A,FALSE,"GM";#N/A,#N/A,FALSE,"CompWage";#N/A,#N/A,FALSE,"costSum"}</definedName>
    <definedName name="Services2_1" hidden="1">{#N/A,#N/A,FALSE,"Pricing";#N/A,#N/A,FALSE,"Summary";#N/A,#N/A,FALSE,"CompProd";#N/A,#N/A,FALSE,"CompJobhrs";#N/A,#N/A,FALSE,"Escalation";#N/A,#N/A,FALSE,"Contingency";#N/A,#N/A,FALSE,"GM";#N/A,#N/A,FALSE,"CompWage";#N/A,#N/A,FALSE,"costSum"}</definedName>
    <definedName name="SETOFBOOKSNAME1">#REF!</definedName>
    <definedName name="SEW"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SEW"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sf" localSheetId="0" hidden="1">{#N/A,#N/A,FALSE,"Sales Graph";#N/A,#N/A,FALSE,"BUC Graph";#N/A,#N/A,FALSE,"P&amp;L - YTD"}</definedName>
    <definedName name="sf" localSheetId="6" hidden="1">{#N/A,#N/A,FALSE,"Sales Graph";#N/A,#N/A,FALSE,"BUC Graph";#N/A,#N/A,FALSE,"P&amp;L - YTD"}</definedName>
    <definedName name="sf" hidden="1">{#N/A,#N/A,FALSE,"Sales Graph";#N/A,#N/A,FALSE,"BUC Graph";#N/A,#N/A,FALSE,"P&amp;L - YTD"}</definedName>
    <definedName name="sf_1" localSheetId="0" hidden="1">{#N/A,#N/A,FALSE,"Sales Graph";#N/A,#N/A,FALSE,"BUC Graph";#N/A,#N/A,FALSE,"P&amp;L - YTD"}</definedName>
    <definedName name="sf_1" localSheetId="6" hidden="1">{#N/A,#N/A,FALSE,"Sales Graph";#N/A,#N/A,FALSE,"BUC Graph";#N/A,#N/A,FALSE,"P&amp;L - YTD"}</definedName>
    <definedName name="sf_1" hidden="1">{#N/A,#N/A,FALSE,"Sales Graph";#N/A,#N/A,FALSE,"BUC Graph";#N/A,#N/A,FALSE,"P&amp;L - YTD"}</definedName>
    <definedName name="sf_1_1" localSheetId="0" hidden="1">{#N/A,#N/A,FALSE,"Sales Graph";#N/A,#N/A,FALSE,"BUC Graph";#N/A,#N/A,FALSE,"P&amp;L - YTD"}</definedName>
    <definedName name="sf_1_1" localSheetId="6" hidden="1">{#N/A,#N/A,FALSE,"Sales Graph";#N/A,#N/A,FALSE,"BUC Graph";#N/A,#N/A,FALSE,"P&amp;L - YTD"}</definedName>
    <definedName name="sf_1_1" hidden="1">{#N/A,#N/A,FALSE,"Sales Graph";#N/A,#N/A,FALSE,"BUC Graph";#N/A,#N/A,FALSE,"P&amp;L - YTD"}</definedName>
    <definedName name="sf_2" localSheetId="0" hidden="1">{#N/A,#N/A,FALSE,"Sales Graph";#N/A,#N/A,FALSE,"BUC Graph";#N/A,#N/A,FALSE,"P&amp;L - YTD"}</definedName>
    <definedName name="sf_2" localSheetId="6" hidden="1">{#N/A,#N/A,FALSE,"Sales Graph";#N/A,#N/A,FALSE,"BUC Graph";#N/A,#N/A,FALSE,"P&amp;L - YTD"}</definedName>
    <definedName name="sf_2" hidden="1">{#N/A,#N/A,FALSE,"Sales Graph";#N/A,#N/A,FALSE,"BUC Graph";#N/A,#N/A,FALSE,"P&amp;L - YTD"}</definedName>
    <definedName name="sf_3" localSheetId="0" hidden="1">{#N/A,#N/A,FALSE,"Sales Graph";#N/A,#N/A,FALSE,"BUC Graph";#N/A,#N/A,FALSE,"P&amp;L - YTD"}</definedName>
    <definedName name="sf_3" localSheetId="6" hidden="1">{#N/A,#N/A,FALSE,"Sales Graph";#N/A,#N/A,FALSE,"BUC Graph";#N/A,#N/A,FALSE,"P&amp;L - YTD"}</definedName>
    <definedName name="sf_3" hidden="1">{#N/A,#N/A,FALSE,"Sales Graph";#N/A,#N/A,FALSE,"BUC Graph";#N/A,#N/A,FALSE,"P&amp;L - YTD"}</definedName>
    <definedName name="sf_4" localSheetId="0" hidden="1">{#N/A,#N/A,FALSE,"Sales Graph";#N/A,#N/A,FALSE,"BUC Graph";#N/A,#N/A,FALSE,"P&amp;L - YTD"}</definedName>
    <definedName name="sf_4" localSheetId="6" hidden="1">{#N/A,#N/A,FALSE,"Sales Graph";#N/A,#N/A,FALSE,"BUC Graph";#N/A,#N/A,FALSE,"P&amp;L - YTD"}</definedName>
    <definedName name="sf_4" hidden="1">{#N/A,#N/A,FALSE,"Sales Graph";#N/A,#N/A,FALSE,"BUC Graph";#N/A,#N/A,FALSE,"P&amp;L - YTD"}</definedName>
    <definedName name="sf_5" localSheetId="0" hidden="1">{#N/A,#N/A,FALSE,"Sales Graph";#N/A,#N/A,FALSE,"BUC Graph";#N/A,#N/A,FALSE,"P&amp;L - YTD"}</definedName>
    <definedName name="sf_5" localSheetId="6" hidden="1">{#N/A,#N/A,FALSE,"Sales Graph";#N/A,#N/A,FALSE,"BUC Graph";#N/A,#N/A,FALSE,"P&amp;L - YTD"}</definedName>
    <definedName name="sf_5" hidden="1">{#N/A,#N/A,FALSE,"Sales Graph";#N/A,#N/A,FALSE,"BUC Graph";#N/A,#N/A,FALSE,"P&amp;L - YTD"}</definedName>
    <definedName name="sfa" localSheetId="0" hidden="1">{#N/A,#N/A,FALSE,"Eastern";#N/A,#N/A,FALSE,"Western"}</definedName>
    <definedName name="sfa" localSheetId="6" hidden="1">{#N/A,#N/A,FALSE,"Eastern";#N/A,#N/A,FALSE,"Western"}</definedName>
    <definedName name="sfa" hidden="1">{#N/A,#N/A,FALSE,"Eastern";#N/A,#N/A,FALSE,"Western"}</definedName>
    <definedName name="sfasf" localSheetId="0"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sfasf"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sfasf"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sfbdsf"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sfbdsf"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sfbgsfbgsfbg" hidden="1">#REF!</definedName>
    <definedName name="SFCash1Repay2">#REF!</definedName>
    <definedName name="SFDGDSG" hidden="1">#REF!</definedName>
    <definedName name="sfdgfgg" localSheetId="0" hidden="1">{#N/A,#N/A,FALSE,"Umsatz OK";#N/A,#N/A,FALSE,"ER OK ";#N/A,#N/A,FALSE,"EA OK (2)";#N/A,#N/A,FALSE,"EA OK";#N/A,#N/A,FALSE,"EA OK (3)";#N/A,#N/A,FALSE,"EA OK (4)";#N/A,#N/A,FALSE,"KA OK  (2)";#N/A,#N/A,FALSE,"KA OK";#N/A,#N/A,FALSE,"KA OK  (3)";#N/A,#N/A,FALSE,"KA OK (4)"}</definedName>
    <definedName name="sfdgfgg" localSheetId="6" hidden="1">{#N/A,#N/A,FALSE,"Umsatz OK";#N/A,#N/A,FALSE,"ER OK ";#N/A,#N/A,FALSE,"EA OK (2)";#N/A,#N/A,FALSE,"EA OK";#N/A,#N/A,FALSE,"EA OK (3)";#N/A,#N/A,FALSE,"EA OK (4)";#N/A,#N/A,FALSE,"KA OK  (2)";#N/A,#N/A,FALSE,"KA OK";#N/A,#N/A,FALSE,"KA OK  (3)";#N/A,#N/A,FALSE,"KA OK (4)"}</definedName>
    <definedName name="sfdgfgg" hidden="1">{#N/A,#N/A,FALSE,"Umsatz OK";#N/A,#N/A,FALSE,"ER OK ";#N/A,#N/A,FALSE,"EA OK (2)";#N/A,#N/A,FALSE,"EA OK";#N/A,#N/A,FALSE,"EA OK (3)";#N/A,#N/A,FALSE,"EA OK (4)";#N/A,#N/A,FALSE,"KA OK  (2)";#N/A,#N/A,FALSE,"KA OK";#N/A,#N/A,FALSE,"KA OK  (3)";#N/A,#N/A,FALSE,"KA OK (4)"}</definedName>
    <definedName name="sfdgfgg_1" localSheetId="0" hidden="1">{#N/A,#N/A,FALSE,"Umsatz OK";#N/A,#N/A,FALSE,"ER OK ";#N/A,#N/A,FALSE,"EA OK (2)";#N/A,#N/A,FALSE,"EA OK";#N/A,#N/A,FALSE,"EA OK (3)";#N/A,#N/A,FALSE,"EA OK (4)";#N/A,#N/A,FALSE,"KA OK  (2)";#N/A,#N/A,FALSE,"KA OK";#N/A,#N/A,FALSE,"KA OK  (3)";#N/A,#N/A,FALSE,"KA OK (4)"}</definedName>
    <definedName name="sfdgfgg_1" localSheetId="6" hidden="1">{#N/A,#N/A,FALSE,"Umsatz OK";#N/A,#N/A,FALSE,"ER OK ";#N/A,#N/A,FALSE,"EA OK (2)";#N/A,#N/A,FALSE,"EA OK";#N/A,#N/A,FALSE,"EA OK (3)";#N/A,#N/A,FALSE,"EA OK (4)";#N/A,#N/A,FALSE,"KA OK  (2)";#N/A,#N/A,FALSE,"KA OK";#N/A,#N/A,FALSE,"KA OK  (3)";#N/A,#N/A,FALSE,"KA OK (4)"}</definedName>
    <definedName name="sfdgfgg_1" hidden="1">{#N/A,#N/A,FALSE,"Umsatz OK";#N/A,#N/A,FALSE,"ER OK ";#N/A,#N/A,FALSE,"EA OK (2)";#N/A,#N/A,FALSE,"EA OK";#N/A,#N/A,FALSE,"EA OK (3)";#N/A,#N/A,FALSE,"EA OK (4)";#N/A,#N/A,FALSE,"KA OK  (2)";#N/A,#N/A,FALSE,"KA OK";#N/A,#N/A,FALSE,"KA OK  (3)";#N/A,#N/A,FALSE,"KA OK (4)"}</definedName>
    <definedName name="sfdgfgg_1_1" localSheetId="0" hidden="1">{#N/A,#N/A,FALSE,"Umsatz OK";#N/A,#N/A,FALSE,"ER OK ";#N/A,#N/A,FALSE,"EA OK (2)";#N/A,#N/A,FALSE,"EA OK";#N/A,#N/A,FALSE,"EA OK (3)";#N/A,#N/A,FALSE,"EA OK (4)";#N/A,#N/A,FALSE,"KA OK  (2)";#N/A,#N/A,FALSE,"KA OK";#N/A,#N/A,FALSE,"KA OK  (3)";#N/A,#N/A,FALSE,"KA OK (4)"}</definedName>
    <definedName name="sfdgfgg_1_1" localSheetId="6" hidden="1">{#N/A,#N/A,FALSE,"Umsatz OK";#N/A,#N/A,FALSE,"ER OK ";#N/A,#N/A,FALSE,"EA OK (2)";#N/A,#N/A,FALSE,"EA OK";#N/A,#N/A,FALSE,"EA OK (3)";#N/A,#N/A,FALSE,"EA OK (4)";#N/A,#N/A,FALSE,"KA OK  (2)";#N/A,#N/A,FALSE,"KA OK";#N/A,#N/A,FALSE,"KA OK  (3)";#N/A,#N/A,FALSE,"KA OK (4)"}</definedName>
    <definedName name="sfdgfgg_1_1" hidden="1">{#N/A,#N/A,FALSE,"Umsatz OK";#N/A,#N/A,FALSE,"ER OK ";#N/A,#N/A,FALSE,"EA OK (2)";#N/A,#N/A,FALSE,"EA OK";#N/A,#N/A,FALSE,"EA OK (3)";#N/A,#N/A,FALSE,"EA OK (4)";#N/A,#N/A,FALSE,"KA OK  (2)";#N/A,#N/A,FALSE,"KA OK";#N/A,#N/A,FALSE,"KA OK  (3)";#N/A,#N/A,FALSE,"KA OK (4)"}</definedName>
    <definedName name="sfdgfgg_2" localSheetId="0" hidden="1">{#N/A,#N/A,FALSE,"Umsatz OK";#N/A,#N/A,FALSE,"ER OK ";#N/A,#N/A,FALSE,"EA OK (2)";#N/A,#N/A,FALSE,"EA OK";#N/A,#N/A,FALSE,"EA OK (3)";#N/A,#N/A,FALSE,"EA OK (4)";#N/A,#N/A,FALSE,"KA OK  (2)";#N/A,#N/A,FALSE,"KA OK";#N/A,#N/A,FALSE,"KA OK  (3)";#N/A,#N/A,FALSE,"KA OK (4)"}</definedName>
    <definedName name="sfdgfgg_2" localSheetId="6" hidden="1">{#N/A,#N/A,FALSE,"Umsatz OK";#N/A,#N/A,FALSE,"ER OK ";#N/A,#N/A,FALSE,"EA OK (2)";#N/A,#N/A,FALSE,"EA OK";#N/A,#N/A,FALSE,"EA OK (3)";#N/A,#N/A,FALSE,"EA OK (4)";#N/A,#N/A,FALSE,"KA OK  (2)";#N/A,#N/A,FALSE,"KA OK";#N/A,#N/A,FALSE,"KA OK  (3)";#N/A,#N/A,FALSE,"KA OK (4)"}</definedName>
    <definedName name="sfdgfgg_2" hidden="1">{#N/A,#N/A,FALSE,"Umsatz OK";#N/A,#N/A,FALSE,"ER OK ";#N/A,#N/A,FALSE,"EA OK (2)";#N/A,#N/A,FALSE,"EA OK";#N/A,#N/A,FALSE,"EA OK (3)";#N/A,#N/A,FALSE,"EA OK (4)";#N/A,#N/A,FALSE,"KA OK  (2)";#N/A,#N/A,FALSE,"KA OK";#N/A,#N/A,FALSE,"KA OK  (3)";#N/A,#N/A,FALSE,"KA OK (4)"}</definedName>
    <definedName name="sfdgfgg_3" localSheetId="0" hidden="1">{#N/A,#N/A,FALSE,"Umsatz OK";#N/A,#N/A,FALSE,"ER OK ";#N/A,#N/A,FALSE,"EA OK (2)";#N/A,#N/A,FALSE,"EA OK";#N/A,#N/A,FALSE,"EA OK (3)";#N/A,#N/A,FALSE,"EA OK (4)";#N/A,#N/A,FALSE,"KA OK  (2)";#N/A,#N/A,FALSE,"KA OK";#N/A,#N/A,FALSE,"KA OK  (3)";#N/A,#N/A,FALSE,"KA OK (4)"}</definedName>
    <definedName name="sfdgfgg_3" localSheetId="6" hidden="1">{#N/A,#N/A,FALSE,"Umsatz OK";#N/A,#N/A,FALSE,"ER OK ";#N/A,#N/A,FALSE,"EA OK (2)";#N/A,#N/A,FALSE,"EA OK";#N/A,#N/A,FALSE,"EA OK (3)";#N/A,#N/A,FALSE,"EA OK (4)";#N/A,#N/A,FALSE,"KA OK  (2)";#N/A,#N/A,FALSE,"KA OK";#N/A,#N/A,FALSE,"KA OK  (3)";#N/A,#N/A,FALSE,"KA OK (4)"}</definedName>
    <definedName name="sfdgfgg_3" hidden="1">{#N/A,#N/A,FALSE,"Umsatz OK";#N/A,#N/A,FALSE,"ER OK ";#N/A,#N/A,FALSE,"EA OK (2)";#N/A,#N/A,FALSE,"EA OK";#N/A,#N/A,FALSE,"EA OK (3)";#N/A,#N/A,FALSE,"EA OK (4)";#N/A,#N/A,FALSE,"KA OK  (2)";#N/A,#N/A,FALSE,"KA OK";#N/A,#N/A,FALSE,"KA OK  (3)";#N/A,#N/A,FALSE,"KA OK (4)"}</definedName>
    <definedName name="sfdgfgg_4" localSheetId="0" hidden="1">{#N/A,#N/A,FALSE,"Umsatz OK";#N/A,#N/A,FALSE,"ER OK ";#N/A,#N/A,FALSE,"EA OK (2)";#N/A,#N/A,FALSE,"EA OK";#N/A,#N/A,FALSE,"EA OK (3)";#N/A,#N/A,FALSE,"EA OK (4)";#N/A,#N/A,FALSE,"KA OK  (2)";#N/A,#N/A,FALSE,"KA OK";#N/A,#N/A,FALSE,"KA OK  (3)";#N/A,#N/A,FALSE,"KA OK (4)"}</definedName>
    <definedName name="sfdgfgg_4" localSheetId="6" hidden="1">{#N/A,#N/A,FALSE,"Umsatz OK";#N/A,#N/A,FALSE,"ER OK ";#N/A,#N/A,FALSE,"EA OK (2)";#N/A,#N/A,FALSE,"EA OK";#N/A,#N/A,FALSE,"EA OK (3)";#N/A,#N/A,FALSE,"EA OK (4)";#N/A,#N/A,FALSE,"KA OK  (2)";#N/A,#N/A,FALSE,"KA OK";#N/A,#N/A,FALSE,"KA OK  (3)";#N/A,#N/A,FALSE,"KA OK (4)"}</definedName>
    <definedName name="sfdgfgg_4" hidden="1">{#N/A,#N/A,FALSE,"Umsatz OK";#N/A,#N/A,FALSE,"ER OK ";#N/A,#N/A,FALSE,"EA OK (2)";#N/A,#N/A,FALSE,"EA OK";#N/A,#N/A,FALSE,"EA OK (3)";#N/A,#N/A,FALSE,"EA OK (4)";#N/A,#N/A,FALSE,"KA OK  (2)";#N/A,#N/A,FALSE,"KA OK";#N/A,#N/A,FALSE,"KA OK  (3)";#N/A,#N/A,FALSE,"KA OK (4)"}</definedName>
    <definedName name="sfdgfgg_5" localSheetId="0" hidden="1">{#N/A,#N/A,FALSE,"Umsatz OK";#N/A,#N/A,FALSE,"ER OK ";#N/A,#N/A,FALSE,"EA OK (2)";#N/A,#N/A,FALSE,"EA OK";#N/A,#N/A,FALSE,"EA OK (3)";#N/A,#N/A,FALSE,"EA OK (4)";#N/A,#N/A,FALSE,"KA OK  (2)";#N/A,#N/A,FALSE,"KA OK";#N/A,#N/A,FALSE,"KA OK  (3)";#N/A,#N/A,FALSE,"KA OK (4)"}</definedName>
    <definedName name="sfdgfgg_5" localSheetId="6" hidden="1">{#N/A,#N/A,FALSE,"Umsatz OK";#N/A,#N/A,FALSE,"ER OK ";#N/A,#N/A,FALSE,"EA OK (2)";#N/A,#N/A,FALSE,"EA OK";#N/A,#N/A,FALSE,"EA OK (3)";#N/A,#N/A,FALSE,"EA OK (4)";#N/A,#N/A,FALSE,"KA OK  (2)";#N/A,#N/A,FALSE,"KA OK";#N/A,#N/A,FALSE,"KA OK  (3)";#N/A,#N/A,FALSE,"KA OK (4)"}</definedName>
    <definedName name="sfdgfgg_5" hidden="1">{#N/A,#N/A,FALSE,"Umsatz OK";#N/A,#N/A,FALSE,"ER OK ";#N/A,#N/A,FALSE,"EA OK (2)";#N/A,#N/A,FALSE,"EA OK";#N/A,#N/A,FALSE,"EA OK (3)";#N/A,#N/A,FALSE,"EA OK (4)";#N/A,#N/A,FALSE,"KA OK  (2)";#N/A,#N/A,FALSE,"KA OK";#N/A,#N/A,FALSE,"KA OK  (3)";#N/A,#N/A,FALSE,"KA OK (4)"}</definedName>
    <definedName name="sfdirect" localSheetId="0" hidden="1">{#N/A,#N/A,FALSE,"REPORT"}</definedName>
    <definedName name="sfdirect" localSheetId="6" hidden="1">{#N/A,#N/A,FALSE,"REPORT"}</definedName>
    <definedName name="sfdirect" hidden="1">{#N/A,#N/A,FALSE,"REPORT"}</definedName>
    <definedName name="sfdirect_1" localSheetId="0" hidden="1">{#N/A,#N/A,FALSE,"REPORT"}</definedName>
    <definedName name="sfdirect_1" localSheetId="6" hidden="1">{#N/A,#N/A,FALSE,"REPORT"}</definedName>
    <definedName name="sfdirect_1" hidden="1">{#N/A,#N/A,FALSE,"REPORT"}</definedName>
    <definedName name="sfdirect_1_1" localSheetId="0" hidden="1">{#N/A,#N/A,FALSE,"REPORT"}</definedName>
    <definedName name="sfdirect_1_1" localSheetId="6" hidden="1">{#N/A,#N/A,FALSE,"REPORT"}</definedName>
    <definedName name="sfdirect_1_1" hidden="1">{#N/A,#N/A,FALSE,"REPORT"}</definedName>
    <definedName name="sfdirect_2" localSheetId="0" hidden="1">{#N/A,#N/A,FALSE,"REPORT"}</definedName>
    <definedName name="sfdirect_2" localSheetId="6" hidden="1">{#N/A,#N/A,FALSE,"REPORT"}</definedName>
    <definedName name="sfdirect_2" hidden="1">{#N/A,#N/A,FALSE,"REPORT"}</definedName>
    <definedName name="sfdirect_3" localSheetId="0" hidden="1">{#N/A,#N/A,FALSE,"REPORT"}</definedName>
    <definedName name="sfdirect_3" localSheetId="6" hidden="1">{#N/A,#N/A,FALSE,"REPORT"}</definedName>
    <definedName name="sfdirect_3" hidden="1">{#N/A,#N/A,FALSE,"REPORT"}</definedName>
    <definedName name="sfdirect_4" localSheetId="0" hidden="1">{#N/A,#N/A,FALSE,"REPORT"}</definedName>
    <definedName name="sfdirect_4" localSheetId="6" hidden="1">{#N/A,#N/A,FALSE,"REPORT"}</definedName>
    <definedName name="sfdirect_4" hidden="1">{#N/A,#N/A,FALSE,"REPORT"}</definedName>
    <definedName name="sfdirect_5" localSheetId="0" hidden="1">{#N/A,#N/A,FALSE,"REPORT"}</definedName>
    <definedName name="sfdirect_5" localSheetId="6" hidden="1">{#N/A,#N/A,FALSE,"REPORT"}</definedName>
    <definedName name="sfdirect_5" hidden="1">{#N/A,#N/A,FALSE,"REPORT"}</definedName>
    <definedName name="sffff" localSheetId="6"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fff_1" localSheetId="6" hidden="1">{#N/A,#N/A,FALSE,"SumD";#N/A,#N/A,FALSE,"ElecD";#N/A,#N/A,FALSE,"MechD";#N/A,#N/A,FALSE,"GeotD";#N/A,#N/A,FALSE,"PrcsD";#N/A,#N/A,FALSE,"TunnD";#N/A,#N/A,FALSE,"CivlD";#N/A,#N/A,FALSE,"NtwkD";#N/A,#N/A,FALSE,"EstgD";#N/A,#N/A,FALSE,"PEngD"}</definedName>
    <definedName name="sffff_1" hidden="1">{#N/A,#N/A,FALSE,"SumD";#N/A,#N/A,FALSE,"ElecD";#N/A,#N/A,FALSE,"MechD";#N/A,#N/A,FALSE,"GeotD";#N/A,#N/A,FALSE,"PrcsD";#N/A,#N/A,FALSE,"TunnD";#N/A,#N/A,FALSE,"CivlD";#N/A,#N/A,FALSE,"NtwkD";#N/A,#N/A,FALSE,"EstgD";#N/A,#N/A,FALSE,"PEngD"}</definedName>
    <definedName name="sfg" localSheetId="0" hidden="1">{"comps1_1",#N/A,FALSE,"Comps1";"comps1_2",#N/A,FALSE,"Comps1";"comps1_3",#N/A,FALSE,"Comps1";"comps1_4",#N/A,FALSE,"Comps1";"comps1_5",#N/A,FALSE,"Comps1";"comps2_1",#N/A,FALSE,"Comps2";"comps2_2",#N/A,FALSE,"Comps2";"comps2_3",#N/A,FALSE,"Comps2";"comps2_4",#N/A,FALSE,"Comps2";"comps2_5",#N/A,FALSE,"Comps2"}</definedName>
    <definedName name="sfg" localSheetId="6" hidden="1">{"comps1_1",#N/A,FALSE,"Comps1";"comps1_2",#N/A,FALSE,"Comps1";"comps1_3",#N/A,FALSE,"Comps1";"comps1_4",#N/A,FALSE,"Comps1";"comps1_5",#N/A,FALSE,"Comps1";"comps2_1",#N/A,FALSE,"Comps2";"comps2_2",#N/A,FALSE,"Comps2";"comps2_3",#N/A,FALSE,"Comps2";"comps2_4",#N/A,FALSE,"Comps2";"comps2_5",#N/A,FALSE,"Comps2"}</definedName>
    <definedName name="sfg" hidden="1">{"comps1_1",#N/A,FALSE,"Comps1";"comps1_2",#N/A,FALSE,"Comps1";"comps1_3",#N/A,FALSE,"Comps1";"comps1_4",#N/A,FALSE,"Comps1";"comps1_5",#N/A,FALSE,"Comps1";"comps2_1",#N/A,FALSE,"Comps2";"comps2_2",#N/A,FALSE,"Comps2";"comps2_3",#N/A,FALSE,"Comps2";"comps2_4",#N/A,FALSE,"Comps2";"comps2_5",#N/A,FALSE,"Comps2"}</definedName>
    <definedName name="sfgf" localSheetId="0" hidden="1">{#N/A,#N/A,FALSE,"Umsatz CH";#N/A,#N/A,FALSE,"ER CH";#N/A,#N/A,FALSE,"EA CH (2) ";#N/A,#N/A,FALSE,"EA CH";#N/A,#N/A,FALSE,"EA CH (3) ";#N/A,#N/A,FALSE,"EA CH (4)";#N/A,#N/A,FALSE,"KA CH";#N/A,#N/A,FALSE,"KA CH  (2)";#N/A,#N/A,FALSE,"KA CH  (3)";#N/A,#N/A,FALSE,"KA CH (4)"}</definedName>
    <definedName name="sfgf" localSheetId="6" hidden="1">{#N/A,#N/A,FALSE,"Umsatz CH";#N/A,#N/A,FALSE,"ER CH";#N/A,#N/A,FALSE,"EA CH (2) ";#N/A,#N/A,FALSE,"EA CH";#N/A,#N/A,FALSE,"EA CH (3) ";#N/A,#N/A,FALSE,"EA CH (4)";#N/A,#N/A,FALSE,"KA CH";#N/A,#N/A,FALSE,"KA CH  (2)";#N/A,#N/A,FALSE,"KA CH  (3)";#N/A,#N/A,FALSE,"KA CH (4)"}</definedName>
    <definedName name="sfgf" hidden="1">{#N/A,#N/A,FALSE,"Umsatz CH";#N/A,#N/A,FALSE,"ER CH";#N/A,#N/A,FALSE,"EA CH (2) ";#N/A,#N/A,FALSE,"EA CH";#N/A,#N/A,FALSE,"EA CH (3) ";#N/A,#N/A,FALSE,"EA CH (4)";#N/A,#N/A,FALSE,"KA CH";#N/A,#N/A,FALSE,"KA CH  (2)";#N/A,#N/A,FALSE,"KA CH  (3)";#N/A,#N/A,FALSE,"KA CH (4)"}</definedName>
    <definedName name="sfgf_1" localSheetId="0" hidden="1">{#N/A,#N/A,FALSE,"Umsatz CH";#N/A,#N/A,FALSE,"ER CH";#N/A,#N/A,FALSE,"EA CH (2) ";#N/A,#N/A,FALSE,"EA CH";#N/A,#N/A,FALSE,"EA CH (3) ";#N/A,#N/A,FALSE,"EA CH (4)";#N/A,#N/A,FALSE,"KA CH";#N/A,#N/A,FALSE,"KA CH  (2)";#N/A,#N/A,FALSE,"KA CH  (3)";#N/A,#N/A,FALSE,"KA CH (4)"}</definedName>
    <definedName name="sfgf_1" localSheetId="6" hidden="1">{#N/A,#N/A,FALSE,"Umsatz CH";#N/A,#N/A,FALSE,"ER CH";#N/A,#N/A,FALSE,"EA CH (2) ";#N/A,#N/A,FALSE,"EA CH";#N/A,#N/A,FALSE,"EA CH (3) ";#N/A,#N/A,FALSE,"EA CH (4)";#N/A,#N/A,FALSE,"KA CH";#N/A,#N/A,FALSE,"KA CH  (2)";#N/A,#N/A,FALSE,"KA CH  (3)";#N/A,#N/A,FALSE,"KA CH (4)"}</definedName>
    <definedName name="sfgf_1" hidden="1">{#N/A,#N/A,FALSE,"Umsatz CH";#N/A,#N/A,FALSE,"ER CH";#N/A,#N/A,FALSE,"EA CH (2) ";#N/A,#N/A,FALSE,"EA CH";#N/A,#N/A,FALSE,"EA CH (3) ";#N/A,#N/A,FALSE,"EA CH (4)";#N/A,#N/A,FALSE,"KA CH";#N/A,#N/A,FALSE,"KA CH  (2)";#N/A,#N/A,FALSE,"KA CH  (3)";#N/A,#N/A,FALSE,"KA CH (4)"}</definedName>
    <definedName name="sfgf_1_1" localSheetId="0" hidden="1">{#N/A,#N/A,FALSE,"Umsatz CH";#N/A,#N/A,FALSE,"ER CH";#N/A,#N/A,FALSE,"EA CH (2) ";#N/A,#N/A,FALSE,"EA CH";#N/A,#N/A,FALSE,"EA CH (3) ";#N/A,#N/A,FALSE,"EA CH (4)";#N/A,#N/A,FALSE,"KA CH";#N/A,#N/A,FALSE,"KA CH  (2)";#N/A,#N/A,FALSE,"KA CH  (3)";#N/A,#N/A,FALSE,"KA CH (4)"}</definedName>
    <definedName name="sfgf_1_1" localSheetId="6" hidden="1">{#N/A,#N/A,FALSE,"Umsatz CH";#N/A,#N/A,FALSE,"ER CH";#N/A,#N/A,FALSE,"EA CH (2) ";#N/A,#N/A,FALSE,"EA CH";#N/A,#N/A,FALSE,"EA CH (3) ";#N/A,#N/A,FALSE,"EA CH (4)";#N/A,#N/A,FALSE,"KA CH";#N/A,#N/A,FALSE,"KA CH  (2)";#N/A,#N/A,FALSE,"KA CH  (3)";#N/A,#N/A,FALSE,"KA CH (4)"}</definedName>
    <definedName name="sfgf_1_1" hidden="1">{#N/A,#N/A,FALSE,"Umsatz CH";#N/A,#N/A,FALSE,"ER CH";#N/A,#N/A,FALSE,"EA CH (2) ";#N/A,#N/A,FALSE,"EA CH";#N/A,#N/A,FALSE,"EA CH (3) ";#N/A,#N/A,FALSE,"EA CH (4)";#N/A,#N/A,FALSE,"KA CH";#N/A,#N/A,FALSE,"KA CH  (2)";#N/A,#N/A,FALSE,"KA CH  (3)";#N/A,#N/A,FALSE,"KA CH (4)"}</definedName>
    <definedName name="sfgf_2" localSheetId="0" hidden="1">{#N/A,#N/A,FALSE,"Umsatz CH";#N/A,#N/A,FALSE,"ER CH";#N/A,#N/A,FALSE,"EA CH (2) ";#N/A,#N/A,FALSE,"EA CH";#N/A,#N/A,FALSE,"EA CH (3) ";#N/A,#N/A,FALSE,"EA CH (4)";#N/A,#N/A,FALSE,"KA CH";#N/A,#N/A,FALSE,"KA CH  (2)";#N/A,#N/A,FALSE,"KA CH  (3)";#N/A,#N/A,FALSE,"KA CH (4)"}</definedName>
    <definedName name="sfgf_2" localSheetId="6" hidden="1">{#N/A,#N/A,FALSE,"Umsatz CH";#N/A,#N/A,FALSE,"ER CH";#N/A,#N/A,FALSE,"EA CH (2) ";#N/A,#N/A,FALSE,"EA CH";#N/A,#N/A,FALSE,"EA CH (3) ";#N/A,#N/A,FALSE,"EA CH (4)";#N/A,#N/A,FALSE,"KA CH";#N/A,#N/A,FALSE,"KA CH  (2)";#N/A,#N/A,FALSE,"KA CH  (3)";#N/A,#N/A,FALSE,"KA CH (4)"}</definedName>
    <definedName name="sfgf_2" hidden="1">{#N/A,#N/A,FALSE,"Umsatz CH";#N/A,#N/A,FALSE,"ER CH";#N/A,#N/A,FALSE,"EA CH (2) ";#N/A,#N/A,FALSE,"EA CH";#N/A,#N/A,FALSE,"EA CH (3) ";#N/A,#N/A,FALSE,"EA CH (4)";#N/A,#N/A,FALSE,"KA CH";#N/A,#N/A,FALSE,"KA CH  (2)";#N/A,#N/A,FALSE,"KA CH  (3)";#N/A,#N/A,FALSE,"KA CH (4)"}</definedName>
    <definedName name="sfgf_3" localSheetId="0" hidden="1">{#N/A,#N/A,FALSE,"Umsatz CH";#N/A,#N/A,FALSE,"ER CH";#N/A,#N/A,FALSE,"EA CH (2) ";#N/A,#N/A,FALSE,"EA CH";#N/A,#N/A,FALSE,"EA CH (3) ";#N/A,#N/A,FALSE,"EA CH (4)";#N/A,#N/A,FALSE,"KA CH";#N/A,#N/A,FALSE,"KA CH  (2)";#N/A,#N/A,FALSE,"KA CH  (3)";#N/A,#N/A,FALSE,"KA CH (4)"}</definedName>
    <definedName name="sfgf_3" localSheetId="6" hidden="1">{#N/A,#N/A,FALSE,"Umsatz CH";#N/A,#N/A,FALSE,"ER CH";#N/A,#N/A,FALSE,"EA CH (2) ";#N/A,#N/A,FALSE,"EA CH";#N/A,#N/A,FALSE,"EA CH (3) ";#N/A,#N/A,FALSE,"EA CH (4)";#N/A,#N/A,FALSE,"KA CH";#N/A,#N/A,FALSE,"KA CH  (2)";#N/A,#N/A,FALSE,"KA CH  (3)";#N/A,#N/A,FALSE,"KA CH (4)"}</definedName>
    <definedName name="sfgf_3" hidden="1">{#N/A,#N/A,FALSE,"Umsatz CH";#N/A,#N/A,FALSE,"ER CH";#N/A,#N/A,FALSE,"EA CH (2) ";#N/A,#N/A,FALSE,"EA CH";#N/A,#N/A,FALSE,"EA CH (3) ";#N/A,#N/A,FALSE,"EA CH (4)";#N/A,#N/A,FALSE,"KA CH";#N/A,#N/A,FALSE,"KA CH  (2)";#N/A,#N/A,FALSE,"KA CH  (3)";#N/A,#N/A,FALSE,"KA CH (4)"}</definedName>
    <definedName name="sfgf_4" localSheetId="0" hidden="1">{#N/A,#N/A,FALSE,"Umsatz CH";#N/A,#N/A,FALSE,"ER CH";#N/A,#N/A,FALSE,"EA CH (2) ";#N/A,#N/A,FALSE,"EA CH";#N/A,#N/A,FALSE,"EA CH (3) ";#N/A,#N/A,FALSE,"EA CH (4)";#N/A,#N/A,FALSE,"KA CH";#N/A,#N/A,FALSE,"KA CH  (2)";#N/A,#N/A,FALSE,"KA CH  (3)";#N/A,#N/A,FALSE,"KA CH (4)"}</definedName>
    <definedName name="sfgf_4" localSheetId="6" hidden="1">{#N/A,#N/A,FALSE,"Umsatz CH";#N/A,#N/A,FALSE,"ER CH";#N/A,#N/A,FALSE,"EA CH (2) ";#N/A,#N/A,FALSE,"EA CH";#N/A,#N/A,FALSE,"EA CH (3) ";#N/A,#N/A,FALSE,"EA CH (4)";#N/A,#N/A,FALSE,"KA CH";#N/A,#N/A,FALSE,"KA CH  (2)";#N/A,#N/A,FALSE,"KA CH  (3)";#N/A,#N/A,FALSE,"KA CH (4)"}</definedName>
    <definedName name="sfgf_4" hidden="1">{#N/A,#N/A,FALSE,"Umsatz CH";#N/A,#N/A,FALSE,"ER CH";#N/A,#N/A,FALSE,"EA CH (2) ";#N/A,#N/A,FALSE,"EA CH";#N/A,#N/A,FALSE,"EA CH (3) ";#N/A,#N/A,FALSE,"EA CH (4)";#N/A,#N/A,FALSE,"KA CH";#N/A,#N/A,FALSE,"KA CH  (2)";#N/A,#N/A,FALSE,"KA CH  (3)";#N/A,#N/A,FALSE,"KA CH (4)"}</definedName>
    <definedName name="sfgf_5" localSheetId="0" hidden="1">{#N/A,#N/A,FALSE,"Umsatz CH";#N/A,#N/A,FALSE,"ER CH";#N/A,#N/A,FALSE,"EA CH (2) ";#N/A,#N/A,FALSE,"EA CH";#N/A,#N/A,FALSE,"EA CH (3) ";#N/A,#N/A,FALSE,"EA CH (4)";#N/A,#N/A,FALSE,"KA CH";#N/A,#N/A,FALSE,"KA CH  (2)";#N/A,#N/A,FALSE,"KA CH  (3)";#N/A,#N/A,FALSE,"KA CH (4)"}</definedName>
    <definedName name="sfgf_5" localSheetId="6" hidden="1">{#N/A,#N/A,FALSE,"Umsatz CH";#N/A,#N/A,FALSE,"ER CH";#N/A,#N/A,FALSE,"EA CH (2) ";#N/A,#N/A,FALSE,"EA CH";#N/A,#N/A,FALSE,"EA CH (3) ";#N/A,#N/A,FALSE,"EA CH (4)";#N/A,#N/A,FALSE,"KA CH";#N/A,#N/A,FALSE,"KA CH  (2)";#N/A,#N/A,FALSE,"KA CH  (3)";#N/A,#N/A,FALSE,"KA CH (4)"}</definedName>
    <definedName name="sfgf_5" hidden="1">{#N/A,#N/A,FALSE,"Umsatz CH";#N/A,#N/A,FALSE,"ER CH";#N/A,#N/A,FALSE,"EA CH (2) ";#N/A,#N/A,FALSE,"EA CH";#N/A,#N/A,FALSE,"EA CH (3) ";#N/A,#N/A,FALSE,"EA CH (4)";#N/A,#N/A,FALSE,"KA CH";#N/A,#N/A,FALSE,"KA CH  (2)";#N/A,#N/A,FALSE,"KA CH  (3)";#N/A,#N/A,FALSE,"KA CH (4)"}</definedName>
    <definedName name="sfgv" localSheetId="0" hidden="1">{"consolidated",#N/A,FALSE,"Sheet1";"cms",#N/A,FALSE,"Sheet1";"fse",#N/A,FALSE,"Sheet1"}</definedName>
    <definedName name="sfgv" localSheetId="6" hidden="1">{"consolidated",#N/A,FALSE,"Sheet1";"cms",#N/A,FALSE,"Sheet1";"fse",#N/A,FALSE,"Sheet1"}</definedName>
    <definedName name="sfgv" hidden="1">{"consolidated",#N/A,FALSE,"Sheet1";"cms",#N/A,FALSE,"Sheet1";"fse",#N/A,FALSE,"Sheet1"}</definedName>
    <definedName name="sfndsfb" localSheetId="6" hidden="1">{#N/A,#N/A,TRUE,"FA 1 &amp; 2";#N/A,#N/A,TRUE,"FA 3 &amp; 4";#N/A,#N/A,TRUE,"FA 5 &amp; 6";#N/A,#N/A,TRUE,"FA 7 &amp; 8";#N/A,#N/A,TRUE,"FA 9 &amp; 10";#N/A,#N/A,TRUE,"FA 11";#N/A,#N/A,TRUE,"FA 12";#N/A,#N/A,TRUE,"FA 13";#N/A,#N/A,TRUE,"FA 14 &amp; 15"}</definedName>
    <definedName name="sfndsfb" hidden="1">{#N/A,#N/A,TRUE,"FA 1 &amp; 2";#N/A,#N/A,TRUE,"FA 3 &amp; 4";#N/A,#N/A,TRUE,"FA 5 &amp; 6";#N/A,#N/A,TRUE,"FA 7 &amp; 8";#N/A,#N/A,TRUE,"FA 9 &amp; 10";#N/A,#N/A,TRUE,"FA 11";#N/A,#N/A,TRUE,"FA 12";#N/A,#N/A,TRUE,"FA 13";#N/A,#N/A,TRUE,"FA 14 &amp; 15"}</definedName>
    <definedName name="sfq" localSheetId="0" hidden="1">{#N/A,#N/A,FALSE,"Calc";#N/A,#N/A,FALSE,"Sensitivity";#N/A,#N/A,FALSE,"LT Earn.Dil.";#N/A,#N/A,FALSE,"Dil. AVP"}</definedName>
    <definedName name="sfq" localSheetId="6" hidden="1">{#N/A,#N/A,FALSE,"Calc";#N/A,#N/A,FALSE,"Sensitivity";#N/A,#N/A,FALSE,"LT Earn.Dil.";#N/A,#N/A,FALSE,"Dil. AVP"}</definedName>
    <definedName name="sfq" hidden="1">{#N/A,#N/A,FALSE,"Calc";#N/A,#N/A,FALSE,"Sensitivity";#N/A,#N/A,FALSE,"LT Earn.Dil.";#N/A,#N/A,FALSE,"Dil. AVP"}</definedName>
    <definedName name="sfsd" hidden="1">#REF!</definedName>
    <definedName name="sfsdfsf" localSheetId="0" hidden="1">{"First Page",#N/A,FALSE,"Surfactants LBO";"Second Page",#N/A,FALSE,"Surfactants LBO"}</definedName>
    <definedName name="sfsdfsf" localSheetId="6" hidden="1">{"First Page",#N/A,FALSE,"Surfactants LBO";"Second Page",#N/A,FALSE,"Surfactants LBO"}</definedName>
    <definedName name="sfsdfsf" hidden="1">{"First Page",#N/A,FALSE,"Surfactants LBO";"Second Page",#N/A,FALSE,"Surfactants LBO"}</definedName>
    <definedName name="sfsfsdf" localSheetId="0" hidden="1">{#N/A,#N/A,FALSE,"Calc";#N/A,#N/A,FALSE,"Sensitivity";#N/A,#N/A,FALSE,"LT Earn.Dil.";#N/A,#N/A,FALSE,"Dil. AVP"}</definedName>
    <definedName name="sfsfsdf" localSheetId="6" hidden="1">{#N/A,#N/A,FALSE,"Calc";#N/A,#N/A,FALSE,"Sensitivity";#N/A,#N/A,FALSE,"LT Earn.Dil.";#N/A,#N/A,FALSE,"Dil. AVP"}</definedName>
    <definedName name="sfsfsdf" hidden="1">{#N/A,#N/A,FALSE,"Calc";#N/A,#N/A,FALSE,"Sensitivity";#N/A,#N/A,FALSE,"LT Earn.Dil.";#N/A,#N/A,FALSE,"Dil. AVP"}</definedName>
    <definedName name="sfsfsfsfsfd" localSheetId="0" hidden="1">{"away stand alones",#N/A,FALSE,"Target"}</definedName>
    <definedName name="sfsfsfsfsfd" localSheetId="6" hidden="1">{"away stand alones",#N/A,FALSE,"Target"}</definedName>
    <definedName name="sfsfsfsfsfd" hidden="1">{"away stand alones",#N/A,FALSE,"Target"}</definedName>
    <definedName name="sfv"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sfv"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sfv" hidden="1">{#N/A,#N/A,TRUE,"COVER2";#N/A,#N/A,TRUE,"AGENDA";#N/A,#N/A,TRUE,"Cover";#N/A,#N/A,TRUE,"4M";#N/A,#N/A,TRUE,"FLP&amp;L4M";#N/A,#N/A,TRUE,"4MMC";#N/A,#N/A,TRUE,"Shp4M";#N/A,#N/A,TRUE,"M5";#N/A,#N/A,TRUE,"Q2";#N/A,#N/A,TRUE,"Q1vsQ2";#N/A,#N/A,TRUE,"M6";#N/A,#N/A,TRUE,"TY";#N/A,#N/A,TRUE,"FLP&amp;LTY";#N/A,#N/A,TRUE,"TYMC";#N/A,#N/A,TRUE,"ShpTY";#N/A,#N/A,TRUE,"8M";#N/A,#N/A,TRUE,"FLP&amp;L8M";#N/A,#N/A,TRUE,"8MMC";#N/A,#N/A,TRUE,"Shp8M"}</definedName>
    <definedName name="sfw" localSheetId="0" hidden="1">{"FS`s",#N/A,TRUE,"FS's";"Icome St",#N/A,TRUE,"Income St.";"Balance Sh",#N/A,TRUE,"Balance Sh.";"Gross Margin",#N/A,TRUE,"Gross Margin"}</definedName>
    <definedName name="sfw" localSheetId="6" hidden="1">{"FS`s",#N/A,TRUE,"FS's";"Icome St",#N/A,TRUE,"Income St.";"Balance Sh",#N/A,TRUE,"Balance Sh.";"Gross Margin",#N/A,TRUE,"Gross Margin"}</definedName>
    <definedName name="sfw" hidden="1">{"FS`s",#N/A,TRUE,"FS's";"Icome St",#N/A,TRUE,"Income St.";"Balance Sh",#N/A,TRUE,"Balance Sh.";"Gross Margin",#N/A,TRUE,"Gross Margin"}</definedName>
    <definedName name="sg" localSheetId="0" hidden="1">{#N/A,#N/A,FALSE,"Umsatz CH";#N/A,#N/A,FALSE,"ER CH";#N/A,#N/A,FALSE,"EA CH (2) ";#N/A,#N/A,FALSE,"EA CH";#N/A,#N/A,FALSE,"EA CH (3) ";#N/A,#N/A,FALSE,"EA CH (4)";#N/A,#N/A,FALSE,"KA CH";#N/A,#N/A,FALSE,"KA CH  (2)";#N/A,#N/A,FALSE,"KA CH  (3)";#N/A,#N/A,FALSE,"KA CH (4)"}</definedName>
    <definedName name="sg" localSheetId="6" hidden="1">{#N/A,#N/A,FALSE,"Umsatz CH";#N/A,#N/A,FALSE,"ER CH";#N/A,#N/A,FALSE,"EA CH (2) ";#N/A,#N/A,FALSE,"EA CH";#N/A,#N/A,FALSE,"EA CH (3) ";#N/A,#N/A,FALSE,"EA CH (4)";#N/A,#N/A,FALSE,"KA CH";#N/A,#N/A,FALSE,"KA CH  (2)";#N/A,#N/A,FALSE,"KA CH  (3)";#N/A,#N/A,FALSE,"KA CH (4)"}</definedName>
    <definedName name="sg" hidden="1">{#N/A,#N/A,FALSE,"Umsatz CH";#N/A,#N/A,FALSE,"ER CH";#N/A,#N/A,FALSE,"EA CH (2) ";#N/A,#N/A,FALSE,"EA CH";#N/A,#N/A,FALSE,"EA CH (3) ";#N/A,#N/A,FALSE,"EA CH (4)";#N/A,#N/A,FALSE,"KA CH";#N/A,#N/A,FALSE,"KA CH  (2)";#N/A,#N/A,FALSE,"KA CH  (3)";#N/A,#N/A,FALSE,"KA CH (4)"}</definedName>
    <definedName name="sg_1" localSheetId="0" hidden="1">{#N/A,#N/A,FALSE,"Umsatz CH";#N/A,#N/A,FALSE,"ER CH";#N/A,#N/A,FALSE,"EA CH (2) ";#N/A,#N/A,FALSE,"EA CH";#N/A,#N/A,FALSE,"EA CH (3) ";#N/A,#N/A,FALSE,"EA CH (4)";#N/A,#N/A,FALSE,"KA CH";#N/A,#N/A,FALSE,"KA CH  (2)";#N/A,#N/A,FALSE,"KA CH  (3)";#N/A,#N/A,FALSE,"KA CH (4)"}</definedName>
    <definedName name="sg_1" localSheetId="6" hidden="1">{#N/A,#N/A,FALSE,"Umsatz CH";#N/A,#N/A,FALSE,"ER CH";#N/A,#N/A,FALSE,"EA CH (2) ";#N/A,#N/A,FALSE,"EA CH";#N/A,#N/A,FALSE,"EA CH (3) ";#N/A,#N/A,FALSE,"EA CH (4)";#N/A,#N/A,FALSE,"KA CH";#N/A,#N/A,FALSE,"KA CH  (2)";#N/A,#N/A,FALSE,"KA CH  (3)";#N/A,#N/A,FALSE,"KA CH (4)"}</definedName>
    <definedName name="sg_1" hidden="1">{#N/A,#N/A,FALSE,"Umsatz CH";#N/A,#N/A,FALSE,"ER CH";#N/A,#N/A,FALSE,"EA CH (2) ";#N/A,#N/A,FALSE,"EA CH";#N/A,#N/A,FALSE,"EA CH (3) ";#N/A,#N/A,FALSE,"EA CH (4)";#N/A,#N/A,FALSE,"KA CH";#N/A,#N/A,FALSE,"KA CH  (2)";#N/A,#N/A,FALSE,"KA CH  (3)";#N/A,#N/A,FALSE,"KA CH (4)"}</definedName>
    <definedName name="sg_1_1" localSheetId="0" hidden="1">{#N/A,#N/A,FALSE,"Umsatz CH";#N/A,#N/A,FALSE,"ER CH";#N/A,#N/A,FALSE,"EA CH (2) ";#N/A,#N/A,FALSE,"EA CH";#N/A,#N/A,FALSE,"EA CH (3) ";#N/A,#N/A,FALSE,"EA CH (4)";#N/A,#N/A,FALSE,"KA CH";#N/A,#N/A,FALSE,"KA CH  (2)";#N/A,#N/A,FALSE,"KA CH  (3)";#N/A,#N/A,FALSE,"KA CH (4)"}</definedName>
    <definedName name="sg_1_1" localSheetId="6" hidden="1">{#N/A,#N/A,FALSE,"Umsatz CH";#N/A,#N/A,FALSE,"ER CH";#N/A,#N/A,FALSE,"EA CH (2) ";#N/A,#N/A,FALSE,"EA CH";#N/A,#N/A,FALSE,"EA CH (3) ";#N/A,#N/A,FALSE,"EA CH (4)";#N/A,#N/A,FALSE,"KA CH";#N/A,#N/A,FALSE,"KA CH  (2)";#N/A,#N/A,FALSE,"KA CH  (3)";#N/A,#N/A,FALSE,"KA CH (4)"}</definedName>
    <definedName name="sg_1_1" hidden="1">{#N/A,#N/A,FALSE,"Umsatz CH";#N/A,#N/A,FALSE,"ER CH";#N/A,#N/A,FALSE,"EA CH (2) ";#N/A,#N/A,FALSE,"EA CH";#N/A,#N/A,FALSE,"EA CH (3) ";#N/A,#N/A,FALSE,"EA CH (4)";#N/A,#N/A,FALSE,"KA CH";#N/A,#N/A,FALSE,"KA CH  (2)";#N/A,#N/A,FALSE,"KA CH  (3)";#N/A,#N/A,FALSE,"KA CH (4)"}</definedName>
    <definedName name="sg_2" localSheetId="0" hidden="1">{#N/A,#N/A,FALSE,"Umsatz CH";#N/A,#N/A,FALSE,"ER CH";#N/A,#N/A,FALSE,"EA CH (2) ";#N/A,#N/A,FALSE,"EA CH";#N/A,#N/A,FALSE,"EA CH (3) ";#N/A,#N/A,FALSE,"EA CH (4)";#N/A,#N/A,FALSE,"KA CH";#N/A,#N/A,FALSE,"KA CH  (2)";#N/A,#N/A,FALSE,"KA CH  (3)";#N/A,#N/A,FALSE,"KA CH (4)"}</definedName>
    <definedName name="sg_2" localSheetId="6" hidden="1">{#N/A,#N/A,FALSE,"Umsatz CH";#N/A,#N/A,FALSE,"ER CH";#N/A,#N/A,FALSE,"EA CH (2) ";#N/A,#N/A,FALSE,"EA CH";#N/A,#N/A,FALSE,"EA CH (3) ";#N/A,#N/A,FALSE,"EA CH (4)";#N/A,#N/A,FALSE,"KA CH";#N/A,#N/A,FALSE,"KA CH  (2)";#N/A,#N/A,FALSE,"KA CH  (3)";#N/A,#N/A,FALSE,"KA CH (4)"}</definedName>
    <definedName name="sg_2" hidden="1">{#N/A,#N/A,FALSE,"Umsatz CH";#N/A,#N/A,FALSE,"ER CH";#N/A,#N/A,FALSE,"EA CH (2) ";#N/A,#N/A,FALSE,"EA CH";#N/A,#N/A,FALSE,"EA CH (3) ";#N/A,#N/A,FALSE,"EA CH (4)";#N/A,#N/A,FALSE,"KA CH";#N/A,#N/A,FALSE,"KA CH  (2)";#N/A,#N/A,FALSE,"KA CH  (3)";#N/A,#N/A,FALSE,"KA CH (4)"}</definedName>
    <definedName name="sg_3" localSheetId="0" hidden="1">{#N/A,#N/A,FALSE,"Umsatz CH";#N/A,#N/A,FALSE,"ER CH";#N/A,#N/A,FALSE,"EA CH (2) ";#N/A,#N/A,FALSE,"EA CH";#N/A,#N/A,FALSE,"EA CH (3) ";#N/A,#N/A,FALSE,"EA CH (4)";#N/A,#N/A,FALSE,"KA CH";#N/A,#N/A,FALSE,"KA CH  (2)";#N/A,#N/A,FALSE,"KA CH  (3)";#N/A,#N/A,FALSE,"KA CH (4)"}</definedName>
    <definedName name="sg_3" localSheetId="6" hidden="1">{#N/A,#N/A,FALSE,"Umsatz CH";#N/A,#N/A,FALSE,"ER CH";#N/A,#N/A,FALSE,"EA CH (2) ";#N/A,#N/A,FALSE,"EA CH";#N/A,#N/A,FALSE,"EA CH (3) ";#N/A,#N/A,FALSE,"EA CH (4)";#N/A,#N/A,FALSE,"KA CH";#N/A,#N/A,FALSE,"KA CH  (2)";#N/A,#N/A,FALSE,"KA CH  (3)";#N/A,#N/A,FALSE,"KA CH (4)"}</definedName>
    <definedName name="sg_3" hidden="1">{#N/A,#N/A,FALSE,"Umsatz CH";#N/A,#N/A,FALSE,"ER CH";#N/A,#N/A,FALSE,"EA CH (2) ";#N/A,#N/A,FALSE,"EA CH";#N/A,#N/A,FALSE,"EA CH (3) ";#N/A,#N/A,FALSE,"EA CH (4)";#N/A,#N/A,FALSE,"KA CH";#N/A,#N/A,FALSE,"KA CH  (2)";#N/A,#N/A,FALSE,"KA CH  (3)";#N/A,#N/A,FALSE,"KA CH (4)"}</definedName>
    <definedName name="sg_4" localSheetId="0" hidden="1">{#N/A,#N/A,FALSE,"Umsatz CH";#N/A,#N/A,FALSE,"ER CH";#N/A,#N/A,FALSE,"EA CH (2) ";#N/A,#N/A,FALSE,"EA CH";#N/A,#N/A,FALSE,"EA CH (3) ";#N/A,#N/A,FALSE,"EA CH (4)";#N/A,#N/A,FALSE,"KA CH";#N/A,#N/A,FALSE,"KA CH  (2)";#N/A,#N/A,FALSE,"KA CH  (3)";#N/A,#N/A,FALSE,"KA CH (4)"}</definedName>
    <definedName name="sg_4" localSheetId="6" hidden="1">{#N/A,#N/A,FALSE,"Umsatz CH";#N/A,#N/A,FALSE,"ER CH";#N/A,#N/A,FALSE,"EA CH (2) ";#N/A,#N/A,FALSE,"EA CH";#N/A,#N/A,FALSE,"EA CH (3) ";#N/A,#N/A,FALSE,"EA CH (4)";#N/A,#N/A,FALSE,"KA CH";#N/A,#N/A,FALSE,"KA CH  (2)";#N/A,#N/A,FALSE,"KA CH  (3)";#N/A,#N/A,FALSE,"KA CH (4)"}</definedName>
    <definedName name="sg_4" hidden="1">{#N/A,#N/A,FALSE,"Umsatz CH";#N/A,#N/A,FALSE,"ER CH";#N/A,#N/A,FALSE,"EA CH (2) ";#N/A,#N/A,FALSE,"EA CH";#N/A,#N/A,FALSE,"EA CH (3) ";#N/A,#N/A,FALSE,"EA CH (4)";#N/A,#N/A,FALSE,"KA CH";#N/A,#N/A,FALSE,"KA CH  (2)";#N/A,#N/A,FALSE,"KA CH  (3)";#N/A,#N/A,FALSE,"KA CH (4)"}</definedName>
    <definedName name="sg_5" localSheetId="0" hidden="1">{#N/A,#N/A,FALSE,"Umsatz CH";#N/A,#N/A,FALSE,"ER CH";#N/A,#N/A,FALSE,"EA CH (2) ";#N/A,#N/A,FALSE,"EA CH";#N/A,#N/A,FALSE,"EA CH (3) ";#N/A,#N/A,FALSE,"EA CH (4)";#N/A,#N/A,FALSE,"KA CH";#N/A,#N/A,FALSE,"KA CH  (2)";#N/A,#N/A,FALSE,"KA CH  (3)";#N/A,#N/A,FALSE,"KA CH (4)"}</definedName>
    <definedName name="sg_5" localSheetId="6" hidden="1">{#N/A,#N/A,FALSE,"Umsatz CH";#N/A,#N/A,FALSE,"ER CH";#N/A,#N/A,FALSE,"EA CH (2) ";#N/A,#N/A,FALSE,"EA CH";#N/A,#N/A,FALSE,"EA CH (3) ";#N/A,#N/A,FALSE,"EA CH (4)";#N/A,#N/A,FALSE,"KA CH";#N/A,#N/A,FALSE,"KA CH  (2)";#N/A,#N/A,FALSE,"KA CH  (3)";#N/A,#N/A,FALSE,"KA CH (4)"}</definedName>
    <definedName name="sg_5" hidden="1">{#N/A,#N/A,FALSE,"Umsatz CH";#N/A,#N/A,FALSE,"ER CH";#N/A,#N/A,FALSE,"EA CH (2) ";#N/A,#N/A,FALSE,"EA CH";#N/A,#N/A,FALSE,"EA CH (3) ";#N/A,#N/A,FALSE,"EA CH (4)";#N/A,#N/A,FALSE,"KA CH";#N/A,#N/A,FALSE,"KA CH  (2)";#N/A,#N/A,FALSE,"KA CH  (3)";#N/A,#N/A,FALSE,"KA CH (4)"}</definedName>
    <definedName name="sga" hidden="1">#REF!</definedName>
    <definedName name="sga_growth">#REF!</definedName>
    <definedName name="SGDFG" hidden="1">#REF!</definedName>
    <definedName name="sgdg" localSheetId="0" hidden="1">{#N/A,#N/A,FALSE,"Calc";#N/A,#N/A,FALSE,"Sensitivity";#N/A,#N/A,FALSE,"LT Earn.Dil.";#N/A,#N/A,FALSE,"Dil. AVP"}</definedName>
    <definedName name="sgdg" localSheetId="6" hidden="1">{#N/A,#N/A,FALSE,"Calc";#N/A,#N/A,FALSE,"Sensitivity";#N/A,#N/A,FALSE,"LT Earn.Dil.";#N/A,#N/A,FALSE,"Dil. AVP"}</definedName>
    <definedName name="sgdg" hidden="1">{#N/A,#N/A,FALSE,"Calc";#N/A,#N/A,FALSE,"Sensitivity";#N/A,#N/A,FALSE,"LT Earn.Dil.";#N/A,#N/A,FALSE,"Dil. AVP"}</definedName>
    <definedName name="SGJHN"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SGJHN"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sgsx" localSheetId="0" hidden="1">{"consolidated",#N/A,FALSE,"Sheet1";"cms",#N/A,FALSE,"Sheet1";"fse",#N/A,FALSE,"Sheet1"}</definedName>
    <definedName name="sgsx" localSheetId="6" hidden="1">{"consolidated",#N/A,FALSE,"Sheet1";"cms",#N/A,FALSE,"Sheet1";"fse",#N/A,FALSE,"Sheet1"}</definedName>
    <definedName name="sgsx" hidden="1">{"consolidated",#N/A,FALSE,"Sheet1";"cms",#N/A,FALSE,"Sheet1";"fse",#N/A,FALSE,"Sheet1"}</definedName>
    <definedName name="sHADI" localSheetId="0" hidden="1">{#N/A,#N/A,FALSE,"PROFIT 11-95"}</definedName>
    <definedName name="sHADI" localSheetId="6" hidden="1">{#N/A,#N/A,FALSE,"PROFIT 11-95"}</definedName>
    <definedName name="sHADI" hidden="1">{#N/A,#N/A,FALSE,"PROFIT 11-95"}</definedName>
    <definedName name="shaikh" localSheetId="6" hidden="1">{"VIEW1",#N/A,FALSE,"P&amp;L Account 2001-2002";"VIEW2",#N/A,FALSE,"P&amp;L Account 2001-2002";"VIEW3",#N/A,FALSE,"P&amp;L Account 2001-2002";"VIEW4",#N/A,FALSE,"P&amp;L Account 2001-2002"}</definedName>
    <definedName name="shaikh" hidden="1">{"VIEW1",#N/A,FALSE,"P&amp;L Account 2001-2002";"VIEW2",#N/A,FALSE,"P&amp;L Account 2001-2002";"VIEW3",#N/A,FALSE,"P&amp;L Account 2001-2002";"VIEW4",#N/A,FALSE,"P&amp;L Account 2001-2002"}</definedName>
    <definedName name="SHAILESH" localSheetId="6" hidden="1">{"VIEW1",#N/A,FALSE,"P&amp;L Account 2001-2002";"VIEW2",#N/A,FALSE,"P&amp;L Account 2001-2002";"VIEW3",#N/A,FALSE,"P&amp;L Account 2001-2002";"VIEW4",#N/A,FALSE,"P&amp;L Account 2001-2002"}</definedName>
    <definedName name="SHAILESH" hidden="1">{"VIEW1",#N/A,FALSE,"P&amp;L Account 2001-2002";"VIEW2",#N/A,FALSE,"P&amp;L Account 2001-2002";"VIEW3",#N/A,FALSE,"P&amp;L Account 2001-2002";"VIEW4",#N/A,FALSE,"P&amp;L Account 2001-2002"}</definedName>
    <definedName name="sharerepurchase" localSheetId="0" hidden="1">{"Income",#N/A,FALSE,"Earnings";"Critical Measures",#N/A,FALSE,"Earnings";"Balance",#N/A,FALSE,"Balance";"Cash Flow",#N/A,FALSE,"Balance";"Market",#N/A,FALSE,"Market";"Returns",#N/A,FALSE,"Returns"}</definedName>
    <definedName name="sharerepurchase" localSheetId="6" hidden="1">{"Income",#N/A,FALSE,"Earnings";"Critical Measures",#N/A,FALSE,"Earnings";"Balance",#N/A,FALSE,"Balance";"Cash Flow",#N/A,FALSE,"Balance";"Market",#N/A,FALSE,"Market";"Returns",#N/A,FALSE,"Returns"}</definedName>
    <definedName name="sharerepurchase" hidden="1">{"Income",#N/A,FALSE,"Earnings";"Critical Measures",#N/A,FALSE,"Earnings";"Balance",#N/A,FALSE,"Balance";"Cash Flow",#N/A,FALSE,"Balance";"Market",#N/A,FALSE,"Market";"Returns",#N/A,FALSE,"Returns"}</definedName>
    <definedName name="SHARESOUTSTANDING" hidden="1">"SHARESOUTSTANDING"</definedName>
    <definedName name="sheet"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sheet"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sheet_1" localSheetId="6" hidden="1">{#N/A,#N/A,TRUE,"Cover";#N/A,#N/A,TRUE,"Conts";#N/A,#N/A,TRUE,"VOS";#N/A,#N/A,TRUE,"Warrington";#N/A,#N/A,TRUE,"Widnes"}</definedName>
    <definedName name="sheet_1" hidden="1">{#N/A,#N/A,TRUE,"Cover";#N/A,#N/A,TRUE,"Conts";#N/A,#N/A,TRUE,"VOS";#N/A,#N/A,TRUE,"Warrington";#N/A,#N/A,TRUE,"Widnes"}</definedName>
    <definedName name="SHEEY." localSheetId="6" hidden="1">{#N/A,#N/A,FALSE,"Scenario PivotTable"}</definedName>
    <definedName name="SHEEY." hidden="1">{#N/A,#N/A,FALSE,"Scenario PivotTable"}</definedName>
    <definedName name="SHEEY._1" localSheetId="6" hidden="1">{#N/A,#N/A,FALSE,"Scenario PivotTable"}</definedName>
    <definedName name="SHEEY._1" hidden="1">{#N/A,#N/A,FALSE,"Scenario PivotTable"}</definedName>
    <definedName name="SHEEY._1_1" localSheetId="6" hidden="1">{#N/A,#N/A,FALSE,"Scenario PivotTable"}</definedName>
    <definedName name="SHEEY._1_1" hidden="1">{#N/A,#N/A,FALSE,"Scenario PivotTable"}</definedName>
    <definedName name="SHEEY._2" localSheetId="6" hidden="1">{#N/A,#N/A,FALSE,"Scenario PivotTable"}</definedName>
    <definedName name="SHEEY._2" hidden="1">{#N/A,#N/A,FALSE,"Scenario PivotTable"}</definedName>
    <definedName name="SHEEY._2_1" localSheetId="6" hidden="1">{#N/A,#N/A,FALSE,"Scenario PivotTable"}</definedName>
    <definedName name="SHEEY._2_1" hidden="1">{#N/A,#N/A,FALSE,"Scenario PivotTable"}</definedName>
    <definedName name="SHEEY._2_1_1" localSheetId="6" hidden="1">{#N/A,#N/A,FALSE,"Scenario PivotTable"}</definedName>
    <definedName name="SHEEY._2_1_1" hidden="1">{#N/A,#N/A,FALSE,"Scenario PivotTable"}</definedName>
    <definedName name="SHEEY._2_1_1_1" localSheetId="6" hidden="1">{#N/A,#N/A,FALSE,"Scenario PivotTable"}</definedName>
    <definedName name="SHEEY._2_1_1_1" hidden="1">{#N/A,#N/A,FALSE,"Scenario PivotTable"}</definedName>
    <definedName name="SHEEY._2_1_2" localSheetId="6" hidden="1">{#N/A,#N/A,FALSE,"Scenario PivotTable"}</definedName>
    <definedName name="SHEEY._2_1_2" hidden="1">{#N/A,#N/A,FALSE,"Scenario PivotTable"}</definedName>
    <definedName name="SHEEY._2_1_2_1" localSheetId="6" hidden="1">{#N/A,#N/A,FALSE,"Scenario PivotTable"}</definedName>
    <definedName name="SHEEY._2_1_2_1" hidden="1">{#N/A,#N/A,FALSE,"Scenario PivotTable"}</definedName>
    <definedName name="SHEEY._2_1_3" localSheetId="6" hidden="1">{#N/A,#N/A,FALSE,"Scenario PivotTable"}</definedName>
    <definedName name="SHEEY._2_1_3" hidden="1">{#N/A,#N/A,FALSE,"Scenario PivotTable"}</definedName>
    <definedName name="SHEEY._2_2" localSheetId="6" hidden="1">{#N/A,#N/A,FALSE,"Scenario PivotTable"}</definedName>
    <definedName name="SHEEY._2_2" hidden="1">{#N/A,#N/A,FALSE,"Scenario PivotTable"}</definedName>
    <definedName name="SHEEY._2_2_1" localSheetId="6" hidden="1">{#N/A,#N/A,FALSE,"Scenario PivotTable"}</definedName>
    <definedName name="SHEEY._2_2_1" hidden="1">{#N/A,#N/A,FALSE,"Scenario PivotTable"}</definedName>
    <definedName name="SHEEY._2_2_1_1" localSheetId="6" hidden="1">{#N/A,#N/A,FALSE,"Scenario PivotTable"}</definedName>
    <definedName name="SHEEY._2_2_1_1" hidden="1">{#N/A,#N/A,FALSE,"Scenario PivotTable"}</definedName>
    <definedName name="SHEEY._2_2_2" localSheetId="6" hidden="1">{#N/A,#N/A,FALSE,"Scenario PivotTable"}</definedName>
    <definedName name="SHEEY._2_2_2" hidden="1">{#N/A,#N/A,FALSE,"Scenario PivotTable"}</definedName>
    <definedName name="SHEEY._2_3" localSheetId="6" hidden="1">{#N/A,#N/A,FALSE,"Scenario PivotTable"}</definedName>
    <definedName name="SHEEY._2_3" hidden="1">{#N/A,#N/A,FALSE,"Scenario PivotTable"}</definedName>
    <definedName name="SHEEY._2_3_1" localSheetId="6" hidden="1">{#N/A,#N/A,FALSE,"Scenario PivotTable"}</definedName>
    <definedName name="SHEEY._2_3_1" hidden="1">{#N/A,#N/A,FALSE,"Scenario PivotTable"}</definedName>
    <definedName name="SHEEY._2_4" localSheetId="6" hidden="1">{#N/A,#N/A,FALSE,"Scenario PivotTable"}</definedName>
    <definedName name="SHEEY._2_4" hidden="1">{#N/A,#N/A,FALSE,"Scenario PivotTable"}</definedName>
    <definedName name="SHEEY._3" localSheetId="6" hidden="1">{#N/A,#N/A,FALSE,"Scenario PivotTable"}</definedName>
    <definedName name="SHEEY._3" hidden="1">{#N/A,#N/A,FALSE,"Scenario PivotTable"}</definedName>
    <definedName name="SHEEY._3_1" localSheetId="6" hidden="1">{#N/A,#N/A,FALSE,"Scenario PivotTable"}</definedName>
    <definedName name="SHEEY._3_1" hidden="1">{#N/A,#N/A,FALSE,"Scenario PivotTable"}</definedName>
    <definedName name="SHEEY._3_1_1" localSheetId="6" hidden="1">{#N/A,#N/A,FALSE,"Scenario PivotTable"}</definedName>
    <definedName name="SHEEY._3_1_1" hidden="1">{#N/A,#N/A,FALSE,"Scenario PivotTable"}</definedName>
    <definedName name="SHEEY._3_1_1_1" localSheetId="6" hidden="1">{#N/A,#N/A,FALSE,"Scenario PivotTable"}</definedName>
    <definedName name="SHEEY._3_1_1_1" hidden="1">{#N/A,#N/A,FALSE,"Scenario PivotTable"}</definedName>
    <definedName name="SHEEY._3_1_2" localSheetId="6" hidden="1">{#N/A,#N/A,FALSE,"Scenario PivotTable"}</definedName>
    <definedName name="SHEEY._3_1_2" hidden="1">{#N/A,#N/A,FALSE,"Scenario PivotTable"}</definedName>
    <definedName name="SHEEY._3_1_2_1" localSheetId="6" hidden="1">{#N/A,#N/A,FALSE,"Scenario PivotTable"}</definedName>
    <definedName name="SHEEY._3_1_2_1" hidden="1">{#N/A,#N/A,FALSE,"Scenario PivotTable"}</definedName>
    <definedName name="SHEEY._3_1_3" localSheetId="6" hidden="1">{#N/A,#N/A,FALSE,"Scenario PivotTable"}</definedName>
    <definedName name="SHEEY._3_1_3" hidden="1">{#N/A,#N/A,FALSE,"Scenario PivotTable"}</definedName>
    <definedName name="SHEEY._3_2" localSheetId="6" hidden="1">{#N/A,#N/A,FALSE,"Scenario PivotTable"}</definedName>
    <definedName name="SHEEY._3_2" hidden="1">{#N/A,#N/A,FALSE,"Scenario PivotTable"}</definedName>
    <definedName name="SHEEY._3_2_1" localSheetId="6" hidden="1">{#N/A,#N/A,FALSE,"Scenario PivotTable"}</definedName>
    <definedName name="SHEEY._3_2_1" hidden="1">{#N/A,#N/A,FALSE,"Scenario PivotTable"}</definedName>
    <definedName name="SHEEY._3_2_1_1" localSheetId="6" hidden="1">{#N/A,#N/A,FALSE,"Scenario PivotTable"}</definedName>
    <definedName name="SHEEY._3_2_1_1" hidden="1">{#N/A,#N/A,FALSE,"Scenario PivotTable"}</definedName>
    <definedName name="SHEEY._3_2_2" localSheetId="6" hidden="1">{#N/A,#N/A,FALSE,"Scenario PivotTable"}</definedName>
    <definedName name="SHEEY._3_2_2" hidden="1">{#N/A,#N/A,FALSE,"Scenario PivotTable"}</definedName>
    <definedName name="SHEEY._3_3" localSheetId="6" hidden="1">{#N/A,#N/A,FALSE,"Scenario PivotTable"}</definedName>
    <definedName name="SHEEY._3_3" hidden="1">{#N/A,#N/A,FALSE,"Scenario PivotTable"}</definedName>
    <definedName name="SHEEY._3_3_1" localSheetId="6" hidden="1">{#N/A,#N/A,FALSE,"Scenario PivotTable"}</definedName>
    <definedName name="SHEEY._3_3_1" hidden="1">{#N/A,#N/A,FALSE,"Scenario PivotTable"}</definedName>
    <definedName name="SHEEY._3_4" localSheetId="6" hidden="1">{#N/A,#N/A,FALSE,"Scenario PivotTable"}</definedName>
    <definedName name="SHEEY._3_4" hidden="1">{#N/A,#N/A,FALSE,"Scenario PivotTable"}</definedName>
    <definedName name="SHEEY._4" localSheetId="6" hidden="1">{#N/A,#N/A,FALSE,"Scenario PivotTable"}</definedName>
    <definedName name="SHEEY._4" hidden="1">{#N/A,#N/A,FALSE,"Scenario PivotTable"}</definedName>
    <definedName name="SHEEY._4_1" localSheetId="6" hidden="1">{#N/A,#N/A,FALSE,"Scenario PivotTable"}</definedName>
    <definedName name="SHEEY._4_1" hidden="1">{#N/A,#N/A,FALSE,"Scenario PivotTable"}</definedName>
    <definedName name="SHEEY._4_1_1" localSheetId="6" hidden="1">{#N/A,#N/A,FALSE,"Scenario PivotTable"}</definedName>
    <definedName name="SHEEY._4_1_1" hidden="1">{#N/A,#N/A,FALSE,"Scenario PivotTable"}</definedName>
    <definedName name="SHEEY._4_1_1_1" localSheetId="6" hidden="1">{#N/A,#N/A,FALSE,"Scenario PivotTable"}</definedName>
    <definedName name="SHEEY._4_1_1_1" hidden="1">{#N/A,#N/A,FALSE,"Scenario PivotTable"}</definedName>
    <definedName name="SHEEY._4_1_2" localSheetId="6" hidden="1">{#N/A,#N/A,FALSE,"Scenario PivotTable"}</definedName>
    <definedName name="SHEEY._4_1_2" hidden="1">{#N/A,#N/A,FALSE,"Scenario PivotTable"}</definedName>
    <definedName name="SHEEY._4_1_2_1" localSheetId="6" hidden="1">{#N/A,#N/A,FALSE,"Scenario PivotTable"}</definedName>
    <definedName name="SHEEY._4_1_2_1" hidden="1">{#N/A,#N/A,FALSE,"Scenario PivotTable"}</definedName>
    <definedName name="SHEEY._4_1_3" localSheetId="6" hidden="1">{#N/A,#N/A,FALSE,"Scenario PivotTable"}</definedName>
    <definedName name="SHEEY._4_1_3" hidden="1">{#N/A,#N/A,FALSE,"Scenario PivotTable"}</definedName>
    <definedName name="SHEEY._4_2" localSheetId="6" hidden="1">{#N/A,#N/A,FALSE,"Scenario PivotTable"}</definedName>
    <definedName name="SHEEY._4_2" hidden="1">{#N/A,#N/A,FALSE,"Scenario PivotTable"}</definedName>
    <definedName name="SHEEY._4_2_1" localSheetId="6" hidden="1">{#N/A,#N/A,FALSE,"Scenario PivotTable"}</definedName>
    <definedName name="SHEEY._4_2_1" hidden="1">{#N/A,#N/A,FALSE,"Scenario PivotTable"}</definedName>
    <definedName name="SHEEY._4_2_1_1" localSheetId="6" hidden="1">{#N/A,#N/A,FALSE,"Scenario PivotTable"}</definedName>
    <definedName name="SHEEY._4_2_1_1" hidden="1">{#N/A,#N/A,FALSE,"Scenario PivotTable"}</definedName>
    <definedName name="SHEEY._4_2_2" localSheetId="6" hidden="1">{#N/A,#N/A,FALSE,"Scenario PivotTable"}</definedName>
    <definedName name="SHEEY._4_2_2" hidden="1">{#N/A,#N/A,FALSE,"Scenario PivotTable"}</definedName>
    <definedName name="SHEEY._4_3" localSheetId="6" hidden="1">{#N/A,#N/A,FALSE,"Scenario PivotTable"}</definedName>
    <definedName name="SHEEY._4_3" hidden="1">{#N/A,#N/A,FALSE,"Scenario PivotTable"}</definedName>
    <definedName name="SHEEY._4_3_1" localSheetId="6" hidden="1">{#N/A,#N/A,FALSE,"Scenario PivotTable"}</definedName>
    <definedName name="SHEEY._4_3_1" hidden="1">{#N/A,#N/A,FALSE,"Scenario PivotTable"}</definedName>
    <definedName name="SHEEY._4_4" localSheetId="6" hidden="1">{#N/A,#N/A,FALSE,"Scenario PivotTable"}</definedName>
    <definedName name="SHEEY._4_4" hidden="1">{#N/A,#N/A,FALSE,"Scenario PivotTable"}</definedName>
    <definedName name="SHEEY._5" localSheetId="6" hidden="1">{#N/A,#N/A,FALSE,"Scenario PivotTable"}</definedName>
    <definedName name="SHEEY._5" hidden="1">{#N/A,#N/A,FALSE,"Scenario PivotTable"}</definedName>
    <definedName name="SHEEY._5_1" localSheetId="6" hidden="1">{#N/A,#N/A,FALSE,"Scenario PivotTable"}</definedName>
    <definedName name="SHEEY._5_1" hidden="1">{#N/A,#N/A,FALSE,"Scenario PivotTable"}</definedName>
    <definedName name="SHEEY._5_1_1" localSheetId="6" hidden="1">{#N/A,#N/A,FALSE,"Scenario PivotTable"}</definedName>
    <definedName name="SHEEY._5_1_1" hidden="1">{#N/A,#N/A,FALSE,"Scenario PivotTable"}</definedName>
    <definedName name="SHEEY._5_1_1_1" localSheetId="6" hidden="1">{#N/A,#N/A,FALSE,"Scenario PivotTable"}</definedName>
    <definedName name="SHEEY._5_1_1_1" hidden="1">{#N/A,#N/A,FALSE,"Scenario PivotTable"}</definedName>
    <definedName name="SHEEY._5_1_2" localSheetId="6" hidden="1">{#N/A,#N/A,FALSE,"Scenario PivotTable"}</definedName>
    <definedName name="SHEEY._5_1_2" hidden="1">{#N/A,#N/A,FALSE,"Scenario PivotTable"}</definedName>
    <definedName name="SHEEY._5_1_2_1" localSheetId="6" hidden="1">{#N/A,#N/A,FALSE,"Scenario PivotTable"}</definedName>
    <definedName name="SHEEY._5_1_2_1" hidden="1">{#N/A,#N/A,FALSE,"Scenario PivotTable"}</definedName>
    <definedName name="SHEEY._5_1_3" localSheetId="6" hidden="1">{#N/A,#N/A,FALSE,"Scenario PivotTable"}</definedName>
    <definedName name="SHEEY._5_1_3" hidden="1">{#N/A,#N/A,FALSE,"Scenario PivotTable"}</definedName>
    <definedName name="SHEEY._5_2" localSheetId="6" hidden="1">{#N/A,#N/A,FALSE,"Scenario PivotTable"}</definedName>
    <definedName name="SHEEY._5_2" hidden="1">{#N/A,#N/A,FALSE,"Scenario PivotTable"}</definedName>
    <definedName name="SHEEY._5_2_1" localSheetId="6" hidden="1">{#N/A,#N/A,FALSE,"Scenario PivotTable"}</definedName>
    <definedName name="SHEEY._5_2_1" hidden="1">{#N/A,#N/A,FALSE,"Scenario PivotTable"}</definedName>
    <definedName name="SHEEY._5_2_1_1" localSheetId="6" hidden="1">{#N/A,#N/A,FALSE,"Scenario PivotTable"}</definedName>
    <definedName name="SHEEY._5_2_1_1" hidden="1">{#N/A,#N/A,FALSE,"Scenario PivotTable"}</definedName>
    <definedName name="SHEEY._5_2_2" localSheetId="6" hidden="1">{#N/A,#N/A,FALSE,"Scenario PivotTable"}</definedName>
    <definedName name="SHEEY._5_2_2" hidden="1">{#N/A,#N/A,FALSE,"Scenario PivotTable"}</definedName>
    <definedName name="SHEEY._5_3" localSheetId="6" hidden="1">{#N/A,#N/A,FALSE,"Scenario PivotTable"}</definedName>
    <definedName name="SHEEY._5_3" hidden="1">{#N/A,#N/A,FALSE,"Scenario PivotTable"}</definedName>
    <definedName name="SHEEY._5_3_1" localSheetId="6" hidden="1">{#N/A,#N/A,FALSE,"Scenario PivotTable"}</definedName>
    <definedName name="SHEEY._5_3_1" hidden="1">{#N/A,#N/A,FALSE,"Scenario PivotTable"}</definedName>
    <definedName name="SHEEY._5_4" localSheetId="6" hidden="1">{#N/A,#N/A,FALSE,"Scenario PivotTable"}</definedName>
    <definedName name="SHEEY._5_4" hidden="1">{#N/A,#N/A,FALSE,"Scenario PivotTable"}</definedName>
    <definedName name="SHHF" hidden="1">#REF!</definedName>
    <definedName name="SHORT" localSheetId="0" hidden="1">{#N/A,#N/A,FALSE,"PROFIT 11-95"}</definedName>
    <definedName name="SHORT" localSheetId="6" hidden="1">{#N/A,#N/A,FALSE,"PROFIT 11-95"}</definedName>
    <definedName name="SHORT" hidden="1">{#N/A,#N/A,FALSE,"PROFIT 11-95"}</definedName>
    <definedName name="SHORT_TERM_INVEST" hidden="1">"SHORT_TERM_INVEST"</definedName>
    <definedName name="Show.Acct.Update.Warning" hidden="1">#REF!</definedName>
    <definedName name="Show.MDB.Update.Warning" hidden="1">#REF!</definedName>
    <definedName name="SID" hidden="1">"Cpavan"</definedName>
    <definedName name="SIG_ACFCOM_firstLine" hidden="1">#REF!</definedName>
    <definedName name="SIG_ACFCOM_IsControlOK" hidden="1">#REF!</definedName>
    <definedName name="SIG_ACFCOM_lastLine" hidden="1">#REF!</definedName>
    <definedName name="SIG_ACFCOM_TITLECOL" hidden="1">#REF!</definedName>
    <definedName name="SIG_ACFCOM_TITLELINE" hidden="1">#REF!</definedName>
    <definedName name="SIG_AISCOM_firstLine" hidden="1">#REF!</definedName>
    <definedName name="SIG_AISCOM_IsControlOK" hidden="1">#REF!</definedName>
    <definedName name="SIG_AISCOM_lastLine" hidden="1">#REF!</definedName>
    <definedName name="SIG_AISCOM_TITLECOL" hidden="1">#REF!</definedName>
    <definedName name="SIG_AISCOM_TITLELINE" hidden="1">#REF!</definedName>
    <definedName name="SIG_AISTOT_firstLine" hidden="1">#REF!</definedName>
    <definedName name="SIG_AISTOT_IsControlOK" hidden="1">#REF!</definedName>
    <definedName name="SIG_AISTOT_lastLine" hidden="1">#REF!</definedName>
    <definedName name="SIG_AISTOT_TITLECOL" hidden="1">#REF!</definedName>
    <definedName name="SIG_AISTOT_TITLELINE" hidden="1">#REF!</definedName>
    <definedName name="SIG_ANACOM_firstLine" hidden="1">#REF!</definedName>
    <definedName name="SIG_ANACOM_IsControlOK" hidden="1">#REF!</definedName>
    <definedName name="SIG_ANACOM_lastLine" hidden="1">#REF!</definedName>
    <definedName name="SIG_ANACOM_TITLECOL" hidden="1">#REF!</definedName>
    <definedName name="SIG_ANACOM_TITLELINE" hidden="1">#REF!</definedName>
    <definedName name="SIG_ARATIOS_firstLine" hidden="1">#REF!</definedName>
    <definedName name="SIG_ARATIOS_IsControlOK" hidden="1">#REF!</definedName>
    <definedName name="SIG_ARATIOS_lastLine" hidden="1">#REF!</definedName>
    <definedName name="SIG_ARATIOS_TITLECOL" hidden="1">#REF!</definedName>
    <definedName name="SIG_ARATIOS_TITLELINE" hidden="1">#REF!</definedName>
    <definedName name="SIG_AZISTOT_firstLine" hidden="1">#REF!</definedName>
    <definedName name="SIG_AZISTOT_IsControlOK" hidden="1">#REF!</definedName>
    <definedName name="SIG_AZISTOT_lastLine" hidden="1">#REF!</definedName>
    <definedName name="SIG_AZISTOT_TITLECOL" hidden="1">#REF!</definedName>
    <definedName name="SIG_AZISTOT_TITLELINE" hidden="1">#REF!</definedName>
    <definedName name="SIG_CONTROLE" hidden="1">#REF!</definedName>
    <definedName name="SIG_DERNIERECOLONNE" hidden="1">#REF!</definedName>
    <definedName name="SIG_EFFECTV_firstLine" hidden="1">#REF!</definedName>
    <definedName name="SIG_EFFECTV_H001" hidden="1">#REF!</definedName>
    <definedName name="SIG_EFFECTV_H002" hidden="1">#REF!</definedName>
    <definedName name="SIG_EFFECTV_H003" hidden="1">#REF!</definedName>
    <definedName name="SIG_EFFECTV_H004" hidden="1">#REF!</definedName>
    <definedName name="SIG_EFFECTV_H005" hidden="1">#REF!</definedName>
    <definedName name="SIG_EFFECTV_H006" hidden="1">#REF!</definedName>
    <definedName name="SIG_EFFECTV_H007" hidden="1">#REF!</definedName>
    <definedName name="SIG_EFFECTV_H008" hidden="1">#REF!</definedName>
    <definedName name="SIG_EFFECTV_H009" hidden="1">#REF!</definedName>
    <definedName name="SIG_EFFECTV_H010" hidden="1">#REF!</definedName>
    <definedName name="SIG_EFFECTV_H011" hidden="1">#REF!</definedName>
    <definedName name="SIG_EFFECTV_H012" hidden="1">#REF!</definedName>
    <definedName name="SIG_EFFECTV_IsControlOK" hidden="1">#REF!</definedName>
    <definedName name="SIG_EFFECTV_lastLine" hidden="1">#REF!</definedName>
    <definedName name="SIG_EFFECTV_TITLELINE" hidden="1">#REF!</definedName>
    <definedName name="SIG_PTBD_ACFCOM" hidden="1">#REF!</definedName>
    <definedName name="SIG_PTBD_AISCOM" hidden="1">#REF!</definedName>
    <definedName name="SIG_PTBD_AISTOT" hidden="1">#REF!</definedName>
    <definedName name="SIG_PTBD_ANACOM" hidden="1">#REF!</definedName>
    <definedName name="SIG_PTBD_APRC" hidden="1">#REF!</definedName>
    <definedName name="SIG_PTBD_ARATIOS" hidden="1">#REF!</definedName>
    <definedName name="SIG_PTBD_AZISTOT" hidden="1">#REF!</definedName>
    <definedName name="SIG_PTBD_EFFECTV" hidden="1">#REF!</definedName>
    <definedName name="SIG_PTHG_ACFCOM" hidden="1">#REF!</definedName>
    <definedName name="SIG_PTHG_AISCOM" hidden="1">#REF!</definedName>
    <definedName name="SIG_PTHG_AISTOT" hidden="1">#REF!</definedName>
    <definedName name="SIG_PTHG_ANACOM" hidden="1">#REF!</definedName>
    <definedName name="SIG_PTHG_APRC" hidden="1">#REF!</definedName>
    <definedName name="SIG_PTHG_ARATIOS" hidden="1">#REF!</definedName>
    <definedName name="SIG_PTHG_AZISTOT" hidden="1">#REF!</definedName>
    <definedName name="SIG_PTHG_EFFECTV" hidden="1">#REF!</definedName>
    <definedName name="SIGNS" localSheetId="0" hidden="1">{#N/A,#N/A,TRUE,"PROFIT 11-95"}</definedName>
    <definedName name="SIGNS" localSheetId="6" hidden="1">{#N/A,#N/A,TRUE,"PROFIT 11-95"}</definedName>
    <definedName name="SIGNS" hidden="1">{#N/A,#N/A,TRUE,"PROFIT 11-95"}</definedName>
    <definedName name="siterepsten" localSheetId="6" hidden="1">{#N/A,#N/A,FALSE,"Cover";#N/A,#N/A,FALSE,"BSC";#N/A,#N/A,FALSE,"Sum 1";#N/A,#N/A,FALSE,"Cr plant";#N/A,#N/A,FALSE,"PO plant 1"}</definedName>
    <definedName name="siterepsten" hidden="1">{#N/A,#N/A,FALSE,"Cover";#N/A,#N/A,FALSE,"BSC";#N/A,#N/A,FALSE,"Sum 1";#N/A,#N/A,FALSE,"Cr plant";#N/A,#N/A,FALSE,"PO plant 1"}</definedName>
    <definedName name="sk" hidden="1">"1, 3, 1, False, 2, False, False, , 0, False, True, 3, 2"</definedName>
    <definedName name="SLEVIN" localSheetId="0"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localSheetId="6"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EVIN" hidden="1">{"SUMMARY",#N/A,TRUE,"RIGGIN INCR";"SUMMARY",#N/A,TRUE,"DEAN";"SUMMARY",#N/A,TRUE,"GAWRYS";"SUMMARY",#N/A,TRUE,"RUSSO GBVS";"SUMMARY",#N/A,TRUE,"RUSSO WW";"SUMMARY",#N/A,TRUE,"RUSSO TOTAL ";"SUMMARY",#N/A,TRUE,"BOUCHARD";"SUMMARY",#N/A,TRUE,"ZECCA";"SUMMARY",#N/A,TRUE,"RIGGIN TOTAL";"SUMMARY",#N/A,TRUE,"REGLI INCR";"SUMMARY",#N/A,TRUE,"SUSKI";"SUMMARY",#N/A,TRUE,"JOHNSON";"SUMMARY",#N/A,TRUE,"CONN";"SUMMARY",#N/A,TRUE,"REGLI TOTAL";"SUMMARY",#N/A,TRUE,"BROWN";"SUMMARY",#N/A,TRUE,"DENIGRIS INC";"SUMMARY",#N/A,TRUE,"DeNIGRIS TOTAL";"IS",#N/A,TRUE,"INC ST"}</definedName>
    <definedName name="Slicer_Actual_Forecast">CUBESET("ThisWorkbookDataModel","{"&amp;"[PL FF].[Actual/Forecast].[All]"&amp;"}")</definedName>
    <definedName name="SLOWMOVINGPROVISION">#REF!</definedName>
    <definedName name="SLTax">#REF!</definedName>
    <definedName name="SM_EOSI">#REF!</definedName>
    <definedName name="SM_Expenses">#REF!</definedName>
    <definedName name="sma" localSheetId="6" hidden="1">{"'Break down'!$A$4"}</definedName>
    <definedName name="sma" hidden="1">{"'Break down'!$A$4"}</definedName>
    <definedName name="Smani">#REF!</definedName>
    <definedName name="Smart_Chart_Data_Table_0026594fee0e40c697be2bdd0eccc996">#REF!</definedName>
    <definedName name="Smart_Chart_Data_Table_43221f2b58dc4b0f8afcbce2f994953b">#REF!</definedName>
    <definedName name="Smart_Chart_Data_Table_478aff1806374ca69df30f99f137b810">#REF!</definedName>
    <definedName name="Smart_Chart_Data_Table_6869ae45be5647f3aec2bdd599afbb5d">#REF!</definedName>
    <definedName name="Smart_Chart_Data_Table_7dfd1881b71a4cd9b1757182e715013e">#REF!</definedName>
    <definedName name="Smart_Chart_Data_Table_91dcd5f13a0947849f0186a881679b78">#REF!</definedName>
    <definedName name="Smart_Chart_Data_Table_99903ae5874a4ee7b2ab2053396fd3f3">#REF!</definedName>
    <definedName name="Smart_Chart_Data_Table_a28f5866b4c1466f956842b507ee68f4">#REF!</definedName>
    <definedName name="Smart_Chart_Data_Table_ab2d64c1c97f4992b38d2725bf64e8b5">#REF!</definedName>
    <definedName name="Smart_Chart_Data_Table_b1555a8c0c5a41cf85a427033734028e">#REF!</definedName>
    <definedName name="Smart_Chart_Data_Table_bfa10302828f4b86a6cb8339efa07c36">#REF!</definedName>
    <definedName name="Smart_Chart_Data_Table_d7884ae7f32c4c2d86a59aa7ddc30d77">#REF!</definedName>
    <definedName name="Smart_Chart_Data_Table_f8e59d7d71b74a40b3b0cbcfab8af312">#REF!</definedName>
    <definedName name="Smart_Chart_Data_Table_f97827ff47314e7ca07e7252f475c2c9">#REF!</definedName>
    <definedName name="Smart_Chart_Data_Table_fb7e9da0014d4799bf194803d572d9ea">#REF!</definedName>
    <definedName name="Snapshot" hidden="1">#REF!</definedName>
    <definedName name="Snapshot2" hidden="1">#REF!</definedName>
    <definedName name="SnecmaFAT" localSheetId="0" hidden="1">{#N/A,#N/A,TRUE,"Pro Forma";#N/A,#N/A,TRUE,"PF_Bal";#N/A,#N/A,TRUE,"PF_INC";#N/A,#N/A,TRUE,"CBE";#N/A,#N/A,TRUE,"SWK"}</definedName>
    <definedName name="SnecmaFAT" localSheetId="6" hidden="1">{#N/A,#N/A,TRUE,"Pro Forma";#N/A,#N/A,TRUE,"PF_Bal";#N/A,#N/A,TRUE,"PF_INC";#N/A,#N/A,TRUE,"CBE";#N/A,#N/A,TRUE,"SWK"}</definedName>
    <definedName name="SnecmaFAT" hidden="1">{#N/A,#N/A,TRUE,"Pro Forma";#N/A,#N/A,TRUE,"PF_Bal";#N/A,#N/A,TRUE,"PF_INC";#N/A,#N/A,TRUE,"CBE";#N/A,#N/A,TRUE,"SWK"}</definedName>
    <definedName name="SNR" hidden="1">1</definedName>
    <definedName name="SOe" localSheetId="0" hidden="1">{#N/A,#N/A,FALSE,"Tabl. G1";#N/A,#N/A,FALSE,"Tabl. G2"}</definedName>
    <definedName name="SOe" localSheetId="6" hidden="1">{#N/A,#N/A,FALSE,"Tabl. G1";#N/A,#N/A,FALSE,"Tabl. G2"}</definedName>
    <definedName name="SOe" hidden="1">{#N/A,#N/A,FALSE,"Tabl. G1";#N/A,#N/A,FALSE,"Tabl. G2"}</definedName>
    <definedName name="sogsafra" hidden="1">#REF!</definedName>
    <definedName name="solver_adj" hidden="1">#REF!</definedName>
    <definedName name="solver_adj1" hidden="1">#REF!</definedName>
    <definedName name="solver_cvg" hidden="1">0.001</definedName>
    <definedName name="solver_drv" hidden="1">1</definedName>
    <definedName name="solver_est" hidden="1">1</definedName>
    <definedName name="solver_itr" hidden="1">100</definedName>
    <definedName name="solver_lhs1" hidden="1">#REF!</definedName>
    <definedName name="solver_lhs10" hidden="1">#REF!</definedName>
    <definedName name="solver_lhs11" hidden="1">#REF!</definedName>
    <definedName name="solver_lhs2" hidden="1">#REF!</definedName>
    <definedName name="solver_lhs3" hidden="1">#REF!</definedName>
    <definedName name="solver_lhs4" hidden="1">#REF!</definedName>
    <definedName name="solver_lhs5" hidden="1">#REF!</definedName>
    <definedName name="solver_lhs6" hidden="1">#REF!</definedName>
    <definedName name="solver_lhs7" hidden="1">#REF!</definedName>
    <definedName name="solver_lhs8" hidden="1">#REF!</definedName>
    <definedName name="solver_lhs9" hidden="1">#REF!</definedName>
    <definedName name="solver_lin" hidden="1">0</definedName>
    <definedName name="solver_neg" hidden="1">2</definedName>
    <definedName name="solver_num" hidden="1">0</definedName>
    <definedName name="solver_nwt" hidden="1">1</definedName>
    <definedName name="solver_opt" hidden="1">#REF!</definedName>
    <definedName name="solver_opt1" hidden="1">#REF!</definedName>
    <definedName name="solver_pre" hidden="1">0.000001</definedName>
    <definedName name="solver_rel1" hidden="1">2</definedName>
    <definedName name="solver_rel10" hidden="1">1</definedName>
    <definedName name="solver_rel11" hidden="1">3</definedName>
    <definedName name="solver_rel2" hidden="1">1</definedName>
    <definedName name="solver_rel3" hidden="1">2</definedName>
    <definedName name="solver_rel4" hidden="1">2</definedName>
    <definedName name="solver_rel5" hidden="1">1</definedName>
    <definedName name="solver_rel6" hidden="1">3</definedName>
    <definedName name="solver_rel7" hidden="1">2</definedName>
    <definedName name="solver_rel8" hidden="1">1</definedName>
    <definedName name="solver_rel9" hidden="1">3</definedName>
    <definedName name="solver_rhs1" hidden="1">#REF!</definedName>
    <definedName name="solver_rhs10" hidden="1">#REF!</definedName>
    <definedName name="solver_rhs11" hidden="1">#REF!</definedName>
    <definedName name="solver_rhs2" hidden="1">#REF!</definedName>
    <definedName name="solver_rhs3" hidden="1">#REF!</definedName>
    <definedName name="solver_rhs4" hidden="1">#REF!</definedName>
    <definedName name="solver_rhs5" hidden="1">#REF!</definedName>
    <definedName name="solver_rhs6" hidden="1">#REF!</definedName>
    <definedName name="solver_rhs7" hidden="1">#REF!</definedName>
    <definedName name="solver_rhs8" hidden="1">#REF!</definedName>
    <definedName name="solver_rhs9" hidden="1">#REF!</definedName>
    <definedName name="solver_scl" hidden="1">2</definedName>
    <definedName name="solver_sho" hidden="1">2</definedName>
    <definedName name="solver_tim" hidden="1">100</definedName>
    <definedName name="solver_tmp" hidden="1">#NULL!</definedName>
    <definedName name="solver_tol" hidden="1">0.05</definedName>
    <definedName name="solver_typ" hidden="1">3</definedName>
    <definedName name="solver_val" hidden="1">0</definedName>
    <definedName name="SONYWARRANTYCLAIMS">#REF!</definedName>
    <definedName name="sort2" hidden="1">#REF!</definedName>
    <definedName name="sortxz" hidden="1">#REF!</definedName>
    <definedName name="SOUTH">#REF!</definedName>
    <definedName name="SOUTH_COMP">#REF!</definedName>
    <definedName name="South04ymSales">#REF!</definedName>
    <definedName name="South05ymSales">#REF!</definedName>
    <definedName name="Sp" localSheetId="6" hidden="1">{#N/A,#N/A,FALSE,"Assessment";#N/A,#N/A,FALSE,"Staffing";#N/A,#N/A,FALSE,"Hires";#N/A,#N/A,FALSE,"Assumptions"}</definedName>
    <definedName name="Sp" hidden="1">{#N/A,#N/A,FALSE,"Assessment";#N/A,#N/A,FALSE,"Staffing";#N/A,#N/A,FALSE,"Hires";#N/A,#N/A,FALSE,"Assumptions"}</definedName>
    <definedName name="spec">#REF!</definedName>
    <definedName name="SpecialPrice" hidden="1">#REF!</definedName>
    <definedName name="Spon_Fee">#REF!</definedName>
    <definedName name="Sponsored_Ratio_Blue">#REF!</definedName>
    <definedName name="Sponsored_Ratio_White">#REF!</definedName>
    <definedName name="SPWD" hidden="1">"pepsico"</definedName>
    <definedName name="sq" localSheetId="0" hidden="1">{"vue1",#N/A,FALSE,"synthese";"vue2",#N/A,FALSE,"synthese"}</definedName>
    <definedName name="sq" localSheetId="6" hidden="1">{"vue1",#N/A,FALSE,"synthese";"vue2",#N/A,FALSE,"synthese"}</definedName>
    <definedName name="sq" hidden="1">{"vue1",#N/A,FALSE,"synthese";"vue2",#N/A,FALSE,"synthese"}</definedName>
    <definedName name="sql_statement" hidden="1">"select distinct acct_cat,sum(cyr),sum(lyr),sum(cbd),mult_x000D_
from r1_datasum_x000D_
group by acct_cat_x000D_
_x000D_
"</definedName>
    <definedName name="sr" localSheetId="0" hidden="1">{#N/A,#N/A,TRUE,"PROFIT 11-95"}</definedName>
    <definedName name="sr" localSheetId="6" hidden="1">{#N/A,#N/A,TRUE,"PROFIT 11-95"}</definedName>
    <definedName name="sr" hidden="1">{#N/A,#N/A,TRUE,"PROFIT 11-95"}</definedName>
    <definedName name="SRAC"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SRAC"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srg" hidden="1">#REF!</definedName>
    <definedName name="srh" hidden="1">#REF!</definedName>
    <definedName name="SRS" hidden="1">#REF!</definedName>
    <definedName name="ss"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s"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s"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s_1" localSheetId="0" hidden="1">{"Graphic",#N/A,TRUE,"Graphic"}</definedName>
    <definedName name="ss_1" localSheetId="6" hidden="1">{"Graphic",#N/A,TRUE,"Graphic"}</definedName>
    <definedName name="ss_1" hidden="1">{"Graphic",#N/A,TRUE,"Graphic"}</definedName>
    <definedName name="ss_1_1" localSheetId="6" hidden="1">{#N/A,#N/A,FALSE,"Scenario PivotTable"}</definedName>
    <definedName name="ss_1_1" hidden="1">{#N/A,#N/A,FALSE,"Scenario PivotTable"}</definedName>
    <definedName name="ss_2" localSheetId="6" hidden="1">{#N/A,#N/A,FALSE,"Scenario PivotTable"}</definedName>
    <definedName name="ss_2" hidden="1">{#N/A,#N/A,FALSE,"Scenario PivotTable"}</definedName>
    <definedName name="ss_2_1" localSheetId="6" hidden="1">{#N/A,#N/A,FALSE,"Scenario PivotTable"}</definedName>
    <definedName name="ss_2_1" hidden="1">{#N/A,#N/A,FALSE,"Scenario PivotTable"}</definedName>
    <definedName name="ss_2_1_1" localSheetId="6" hidden="1">{#N/A,#N/A,FALSE,"Scenario PivotTable"}</definedName>
    <definedName name="ss_2_1_1" hidden="1">{#N/A,#N/A,FALSE,"Scenario PivotTable"}</definedName>
    <definedName name="ss_2_1_1_1" localSheetId="6" hidden="1">{#N/A,#N/A,FALSE,"Scenario PivotTable"}</definedName>
    <definedName name="ss_2_1_1_1" hidden="1">{#N/A,#N/A,FALSE,"Scenario PivotTable"}</definedName>
    <definedName name="ss_2_1_2" localSheetId="6" hidden="1">{#N/A,#N/A,FALSE,"Scenario PivotTable"}</definedName>
    <definedName name="ss_2_1_2" hidden="1">{#N/A,#N/A,FALSE,"Scenario PivotTable"}</definedName>
    <definedName name="ss_2_1_2_1" localSheetId="6" hidden="1">{#N/A,#N/A,FALSE,"Scenario PivotTable"}</definedName>
    <definedName name="ss_2_1_2_1" hidden="1">{#N/A,#N/A,FALSE,"Scenario PivotTable"}</definedName>
    <definedName name="ss_2_1_3" localSheetId="6" hidden="1">{#N/A,#N/A,FALSE,"Scenario PivotTable"}</definedName>
    <definedName name="ss_2_1_3" hidden="1">{#N/A,#N/A,FALSE,"Scenario PivotTable"}</definedName>
    <definedName name="ss_2_2" localSheetId="6" hidden="1">{#N/A,#N/A,FALSE,"Scenario PivotTable"}</definedName>
    <definedName name="ss_2_2" hidden="1">{#N/A,#N/A,FALSE,"Scenario PivotTable"}</definedName>
    <definedName name="ss_2_2_1" localSheetId="6" hidden="1">{#N/A,#N/A,FALSE,"Scenario PivotTable"}</definedName>
    <definedName name="ss_2_2_1" hidden="1">{#N/A,#N/A,FALSE,"Scenario PivotTable"}</definedName>
    <definedName name="ss_2_2_1_1" localSheetId="6" hidden="1">{#N/A,#N/A,FALSE,"Scenario PivotTable"}</definedName>
    <definedName name="ss_2_2_1_1" hidden="1">{#N/A,#N/A,FALSE,"Scenario PivotTable"}</definedName>
    <definedName name="ss_2_2_2" localSheetId="6" hidden="1">{#N/A,#N/A,FALSE,"Scenario PivotTable"}</definedName>
    <definedName name="ss_2_2_2" hidden="1">{#N/A,#N/A,FALSE,"Scenario PivotTable"}</definedName>
    <definedName name="ss_2_3" localSheetId="6" hidden="1">{#N/A,#N/A,FALSE,"Scenario PivotTable"}</definedName>
    <definedName name="ss_2_3" hidden="1">{#N/A,#N/A,FALSE,"Scenario PivotTable"}</definedName>
    <definedName name="ss_2_3_1" localSheetId="6" hidden="1">{#N/A,#N/A,FALSE,"Scenario PivotTable"}</definedName>
    <definedName name="ss_2_3_1" hidden="1">{#N/A,#N/A,FALSE,"Scenario PivotTable"}</definedName>
    <definedName name="ss_2_4" localSheetId="6" hidden="1">{#N/A,#N/A,FALSE,"Scenario PivotTable"}</definedName>
    <definedName name="ss_2_4" hidden="1">{#N/A,#N/A,FALSE,"Scenario PivotTable"}</definedName>
    <definedName name="ss_3" localSheetId="6" hidden="1">{#N/A,#N/A,FALSE,"Scenario PivotTable"}</definedName>
    <definedName name="ss_3" hidden="1">{#N/A,#N/A,FALSE,"Scenario PivotTable"}</definedName>
    <definedName name="ss_3_1" localSheetId="6" hidden="1">{#N/A,#N/A,FALSE,"Scenario PivotTable"}</definedName>
    <definedName name="ss_3_1" hidden="1">{#N/A,#N/A,FALSE,"Scenario PivotTable"}</definedName>
    <definedName name="ss_3_1_1" localSheetId="6" hidden="1">{#N/A,#N/A,FALSE,"Scenario PivotTable"}</definedName>
    <definedName name="ss_3_1_1" hidden="1">{#N/A,#N/A,FALSE,"Scenario PivotTable"}</definedName>
    <definedName name="ss_3_1_1_1" localSheetId="6" hidden="1">{#N/A,#N/A,FALSE,"Scenario PivotTable"}</definedName>
    <definedName name="ss_3_1_1_1" hidden="1">{#N/A,#N/A,FALSE,"Scenario PivotTable"}</definedName>
    <definedName name="ss_3_1_2" localSheetId="6" hidden="1">{#N/A,#N/A,FALSE,"Scenario PivotTable"}</definedName>
    <definedName name="ss_3_1_2" hidden="1">{#N/A,#N/A,FALSE,"Scenario PivotTable"}</definedName>
    <definedName name="ss_3_1_2_1" localSheetId="6" hidden="1">{#N/A,#N/A,FALSE,"Scenario PivotTable"}</definedName>
    <definedName name="ss_3_1_2_1" hidden="1">{#N/A,#N/A,FALSE,"Scenario PivotTable"}</definedName>
    <definedName name="ss_3_1_3" localSheetId="6" hidden="1">{#N/A,#N/A,FALSE,"Scenario PivotTable"}</definedName>
    <definedName name="ss_3_1_3" hidden="1">{#N/A,#N/A,FALSE,"Scenario PivotTable"}</definedName>
    <definedName name="ss_3_2" localSheetId="6" hidden="1">{#N/A,#N/A,FALSE,"Scenario PivotTable"}</definedName>
    <definedName name="ss_3_2" hidden="1">{#N/A,#N/A,FALSE,"Scenario PivotTable"}</definedName>
    <definedName name="ss_3_2_1" localSheetId="6" hidden="1">{#N/A,#N/A,FALSE,"Scenario PivotTable"}</definedName>
    <definedName name="ss_3_2_1" hidden="1">{#N/A,#N/A,FALSE,"Scenario PivotTable"}</definedName>
    <definedName name="ss_3_2_1_1" localSheetId="6" hidden="1">{#N/A,#N/A,FALSE,"Scenario PivotTable"}</definedName>
    <definedName name="ss_3_2_1_1" hidden="1">{#N/A,#N/A,FALSE,"Scenario PivotTable"}</definedName>
    <definedName name="ss_3_2_2" localSheetId="6" hidden="1">{#N/A,#N/A,FALSE,"Scenario PivotTable"}</definedName>
    <definedName name="ss_3_2_2" hidden="1">{#N/A,#N/A,FALSE,"Scenario PivotTable"}</definedName>
    <definedName name="ss_3_3" localSheetId="6" hidden="1">{#N/A,#N/A,FALSE,"Scenario PivotTable"}</definedName>
    <definedName name="ss_3_3" hidden="1">{#N/A,#N/A,FALSE,"Scenario PivotTable"}</definedName>
    <definedName name="ss_3_3_1" localSheetId="6" hidden="1">{#N/A,#N/A,FALSE,"Scenario PivotTable"}</definedName>
    <definedName name="ss_3_3_1" hidden="1">{#N/A,#N/A,FALSE,"Scenario PivotTable"}</definedName>
    <definedName name="ss_3_4" localSheetId="6" hidden="1">{#N/A,#N/A,FALSE,"Scenario PivotTable"}</definedName>
    <definedName name="ss_3_4" hidden="1">{#N/A,#N/A,FALSE,"Scenario PivotTable"}</definedName>
    <definedName name="ss_4" localSheetId="6" hidden="1">{#N/A,#N/A,FALSE,"Scenario PivotTable"}</definedName>
    <definedName name="ss_4" hidden="1">{#N/A,#N/A,FALSE,"Scenario PivotTable"}</definedName>
    <definedName name="ss_4_1" localSheetId="6" hidden="1">{#N/A,#N/A,FALSE,"Scenario PivotTable"}</definedName>
    <definedName name="ss_4_1" hidden="1">{#N/A,#N/A,FALSE,"Scenario PivotTable"}</definedName>
    <definedName name="ss_4_1_1" localSheetId="6" hidden="1">{#N/A,#N/A,FALSE,"Scenario PivotTable"}</definedName>
    <definedName name="ss_4_1_1" hidden="1">{#N/A,#N/A,FALSE,"Scenario PivotTable"}</definedName>
    <definedName name="ss_4_1_1_1" localSheetId="6" hidden="1">{#N/A,#N/A,FALSE,"Scenario PivotTable"}</definedName>
    <definedName name="ss_4_1_1_1" hidden="1">{#N/A,#N/A,FALSE,"Scenario PivotTable"}</definedName>
    <definedName name="ss_4_1_2" localSheetId="6" hidden="1">{#N/A,#N/A,FALSE,"Scenario PivotTable"}</definedName>
    <definedName name="ss_4_1_2" hidden="1">{#N/A,#N/A,FALSE,"Scenario PivotTable"}</definedName>
    <definedName name="ss_4_1_2_1" localSheetId="6" hidden="1">{#N/A,#N/A,FALSE,"Scenario PivotTable"}</definedName>
    <definedName name="ss_4_1_2_1" hidden="1">{#N/A,#N/A,FALSE,"Scenario PivotTable"}</definedName>
    <definedName name="ss_4_1_3" localSheetId="6" hidden="1">{#N/A,#N/A,FALSE,"Scenario PivotTable"}</definedName>
    <definedName name="ss_4_1_3" hidden="1">{#N/A,#N/A,FALSE,"Scenario PivotTable"}</definedName>
    <definedName name="ss_4_2" localSheetId="6" hidden="1">{#N/A,#N/A,FALSE,"Scenario PivotTable"}</definedName>
    <definedName name="ss_4_2" hidden="1">{#N/A,#N/A,FALSE,"Scenario PivotTable"}</definedName>
    <definedName name="ss_4_2_1" localSheetId="6" hidden="1">{#N/A,#N/A,FALSE,"Scenario PivotTable"}</definedName>
    <definedName name="ss_4_2_1" hidden="1">{#N/A,#N/A,FALSE,"Scenario PivotTable"}</definedName>
    <definedName name="ss_4_2_1_1" localSheetId="6" hidden="1">{#N/A,#N/A,FALSE,"Scenario PivotTable"}</definedName>
    <definedName name="ss_4_2_1_1" hidden="1">{#N/A,#N/A,FALSE,"Scenario PivotTable"}</definedName>
    <definedName name="ss_4_2_2" localSheetId="6" hidden="1">{#N/A,#N/A,FALSE,"Scenario PivotTable"}</definedName>
    <definedName name="ss_4_2_2" hidden="1">{#N/A,#N/A,FALSE,"Scenario PivotTable"}</definedName>
    <definedName name="ss_4_3" localSheetId="6" hidden="1">{#N/A,#N/A,FALSE,"Scenario PivotTable"}</definedName>
    <definedName name="ss_4_3" hidden="1">{#N/A,#N/A,FALSE,"Scenario PivotTable"}</definedName>
    <definedName name="ss_4_3_1" localSheetId="6" hidden="1">{#N/A,#N/A,FALSE,"Scenario PivotTable"}</definedName>
    <definedName name="ss_4_3_1" hidden="1">{#N/A,#N/A,FALSE,"Scenario PivotTable"}</definedName>
    <definedName name="ss_4_4" localSheetId="6" hidden="1">{#N/A,#N/A,FALSE,"Scenario PivotTable"}</definedName>
    <definedName name="ss_4_4" hidden="1">{#N/A,#N/A,FALSE,"Scenario PivotTable"}</definedName>
    <definedName name="ss_5" localSheetId="6" hidden="1">{#N/A,#N/A,FALSE,"Scenario PivotTable"}</definedName>
    <definedName name="ss_5" hidden="1">{#N/A,#N/A,FALSE,"Scenario PivotTable"}</definedName>
    <definedName name="ss_5_1" localSheetId="6" hidden="1">{#N/A,#N/A,FALSE,"Scenario PivotTable"}</definedName>
    <definedName name="ss_5_1" hidden="1">{#N/A,#N/A,FALSE,"Scenario PivotTable"}</definedName>
    <definedName name="ss_5_1_1" localSheetId="6" hidden="1">{#N/A,#N/A,FALSE,"Scenario PivotTable"}</definedName>
    <definedName name="ss_5_1_1" hidden="1">{#N/A,#N/A,FALSE,"Scenario PivotTable"}</definedName>
    <definedName name="ss_5_1_1_1" localSheetId="6" hidden="1">{#N/A,#N/A,FALSE,"Scenario PivotTable"}</definedName>
    <definedName name="ss_5_1_1_1" hidden="1">{#N/A,#N/A,FALSE,"Scenario PivotTable"}</definedName>
    <definedName name="ss_5_1_2" localSheetId="6" hidden="1">{#N/A,#N/A,FALSE,"Scenario PivotTable"}</definedName>
    <definedName name="ss_5_1_2" hidden="1">{#N/A,#N/A,FALSE,"Scenario PivotTable"}</definedName>
    <definedName name="ss_5_1_2_1" localSheetId="6" hidden="1">{#N/A,#N/A,FALSE,"Scenario PivotTable"}</definedName>
    <definedName name="ss_5_1_2_1" hidden="1">{#N/A,#N/A,FALSE,"Scenario PivotTable"}</definedName>
    <definedName name="ss_5_1_3" localSheetId="6" hidden="1">{#N/A,#N/A,FALSE,"Scenario PivotTable"}</definedName>
    <definedName name="ss_5_1_3" hidden="1">{#N/A,#N/A,FALSE,"Scenario PivotTable"}</definedName>
    <definedName name="ss_5_2" localSheetId="6" hidden="1">{#N/A,#N/A,FALSE,"Scenario PivotTable"}</definedName>
    <definedName name="ss_5_2" hidden="1">{#N/A,#N/A,FALSE,"Scenario PivotTable"}</definedName>
    <definedName name="ss_5_2_1" localSheetId="6" hidden="1">{#N/A,#N/A,FALSE,"Scenario PivotTable"}</definedName>
    <definedName name="ss_5_2_1" hidden="1">{#N/A,#N/A,FALSE,"Scenario PivotTable"}</definedName>
    <definedName name="ss_5_2_1_1" localSheetId="6" hidden="1">{#N/A,#N/A,FALSE,"Scenario PivotTable"}</definedName>
    <definedName name="ss_5_2_1_1" hidden="1">{#N/A,#N/A,FALSE,"Scenario PivotTable"}</definedName>
    <definedName name="ss_5_2_2" localSheetId="6" hidden="1">{#N/A,#N/A,FALSE,"Scenario PivotTable"}</definedName>
    <definedName name="ss_5_2_2" hidden="1">{#N/A,#N/A,FALSE,"Scenario PivotTable"}</definedName>
    <definedName name="ss_5_3" localSheetId="6" hidden="1">{#N/A,#N/A,FALSE,"Scenario PivotTable"}</definedName>
    <definedName name="ss_5_3" hidden="1">{#N/A,#N/A,FALSE,"Scenario PivotTable"}</definedName>
    <definedName name="ss_5_3_1" localSheetId="6" hidden="1">{#N/A,#N/A,FALSE,"Scenario PivotTable"}</definedName>
    <definedName name="ss_5_3_1" hidden="1">{#N/A,#N/A,FALSE,"Scenario PivotTable"}</definedName>
    <definedName name="ss_5_4" localSheetId="6" hidden="1">{#N/A,#N/A,FALSE,"Scenario PivotTable"}</definedName>
    <definedName name="ss_5_4" hidden="1">{#N/A,#N/A,FALSE,"Scenario PivotTable"}</definedName>
    <definedName name="ssa" localSheetId="0" hidden="1">{"Graphic",#N/A,TRUE,"Graphic"}</definedName>
    <definedName name="ssa" localSheetId="6" hidden="1">{"Graphic",#N/A,TRUE,"Graphic"}</definedName>
    <definedName name="ssa" hidden="1">{"Graphic",#N/A,TRUE,"Graphic"}</definedName>
    <definedName name="ssa_1" localSheetId="0" hidden="1">{"Graphic",#N/A,TRUE,"Graphic"}</definedName>
    <definedName name="ssa_1" localSheetId="6" hidden="1">{"Graphic",#N/A,TRUE,"Graphic"}</definedName>
    <definedName name="ssa_1" hidden="1">{"Graphic",#N/A,TRUE,"Graphic"}</definedName>
    <definedName name="SSAcqCase">#REF!</definedName>
    <definedName name="ssadfas" localSheetId="0" hidden="1">{"cap_structure",#N/A,FALSE,"Graph-Mkt Cap";"price",#N/A,FALSE,"Graph-Price";"ebit",#N/A,FALSE,"Graph-EBITDA";"ebitda",#N/A,FALSE,"Graph-EBITDA"}</definedName>
    <definedName name="ssadfas" localSheetId="6" hidden="1">{"cap_structure",#N/A,FALSE,"Graph-Mkt Cap";"price",#N/A,FALSE,"Graph-Price";"ebit",#N/A,FALSE,"Graph-EBITDA";"ebitda",#N/A,FALSE,"Graph-EBITDA"}</definedName>
    <definedName name="ssadfas" hidden="1">{"cap_structure",#N/A,FALSE,"Graph-Mkt Cap";"price",#N/A,FALSE,"Graph-Price";"ebit",#N/A,FALSE,"Graph-EBITDA";"ebitda",#N/A,FALSE,"Graph-EBITDA"}</definedName>
    <definedName name="ssd" localSheetId="0" hidden="1">{"assumption 50 50",#N/A,TRUE,"Merger";"has gets cash",#N/A,TRUE,"Merger";"accretion dilution",#N/A,TRUE,"Merger";"comparison credit stats",#N/A,TRUE,"Merger";"pf credit stats",#N/A,TRUE,"Merger";"pf sheets",#N/A,TRUE,"Merger"}</definedName>
    <definedName name="ssd" localSheetId="6" hidden="1">{"assumption 50 50",#N/A,TRUE,"Merger";"has gets cash",#N/A,TRUE,"Merger";"accretion dilution",#N/A,TRUE,"Merger";"comparison credit stats",#N/A,TRUE,"Merger";"pf credit stats",#N/A,TRUE,"Merger";"pf sheets",#N/A,TRUE,"Merger"}</definedName>
    <definedName name="ssd" hidden="1">{"assumption 50 50",#N/A,TRUE,"Merger";"has gets cash",#N/A,TRUE,"Merger";"accretion dilution",#N/A,TRUE,"Merger";"comparison credit stats",#N/A,TRUE,"Merger";"pf credit stats",#N/A,TRUE,"Merger";"pf sheets",#N/A,TRUE,"Merger"}</definedName>
    <definedName name="SSD_1" localSheetId="0" hidden="1">{#N/A,#N/A,FALSE,"REPORT"}</definedName>
    <definedName name="SSD_1" localSheetId="6" hidden="1">{#N/A,#N/A,FALSE,"REPORT"}</definedName>
    <definedName name="SSD_1" hidden="1">{#N/A,#N/A,FALSE,"REPORT"}</definedName>
    <definedName name="SSD_1_1" localSheetId="0" hidden="1">{#N/A,#N/A,FALSE,"REPORT"}</definedName>
    <definedName name="SSD_1_1" localSheetId="6" hidden="1">{#N/A,#N/A,FALSE,"REPORT"}</definedName>
    <definedName name="SSD_1_1" hidden="1">{#N/A,#N/A,FALSE,"REPORT"}</definedName>
    <definedName name="SSD_2" localSheetId="0" hidden="1">{#N/A,#N/A,FALSE,"REPORT"}</definedName>
    <definedName name="SSD_2" localSheetId="6" hidden="1">{#N/A,#N/A,FALSE,"REPORT"}</definedName>
    <definedName name="SSD_2" hidden="1">{#N/A,#N/A,FALSE,"REPORT"}</definedName>
    <definedName name="SSD_3" localSheetId="0" hidden="1">{#N/A,#N/A,FALSE,"REPORT"}</definedName>
    <definedName name="SSD_3" localSheetId="6" hidden="1">{#N/A,#N/A,FALSE,"REPORT"}</definedName>
    <definedName name="SSD_3" hidden="1">{#N/A,#N/A,FALSE,"REPORT"}</definedName>
    <definedName name="SSD_4" localSheetId="0" hidden="1">{#N/A,#N/A,FALSE,"REPORT"}</definedName>
    <definedName name="SSD_4" localSheetId="6" hidden="1">{#N/A,#N/A,FALSE,"REPORT"}</definedName>
    <definedName name="SSD_4" hidden="1">{#N/A,#N/A,FALSE,"REPORT"}</definedName>
    <definedName name="SSD_5" localSheetId="0" hidden="1">{#N/A,#N/A,FALSE,"REPORT"}</definedName>
    <definedName name="SSD_5" localSheetId="6" hidden="1">{#N/A,#N/A,FALSE,"REPORT"}</definedName>
    <definedName name="SSD_5" hidden="1">{#N/A,#N/A,FALSE,"REPORT"}</definedName>
    <definedName name="ssf">#REF!</definedName>
    <definedName name="ssgjflkdjg" hidden="1">#REF!</definedName>
    <definedName name="ssmm" localSheetId="0" hidden="1">{"DJH3",#N/A,FALSE,"PFL00805";"PJB3",#N/A,FALSE,"PFL00805";"JMD3",#N/A,FALSE,"PFL00805";"DNB3",#N/A,FALSE,"PFL00805";"MJP3",#N/A,FALSE,"PFL00805";"RAB3",#N/A,FALSE,"PFL00805";"GJW3",#N/A,FALSE,"PFL00805";"MASTER3",#N/A,FALSE,"PFL00805"}</definedName>
    <definedName name="ssmm" localSheetId="6" hidden="1">{"DJH3",#N/A,FALSE,"PFL00805";"PJB3",#N/A,FALSE,"PFL00805";"JMD3",#N/A,FALSE,"PFL00805";"DNB3",#N/A,FALSE,"PFL00805";"MJP3",#N/A,FALSE,"PFL00805";"RAB3",#N/A,FALSE,"PFL00805";"GJW3",#N/A,FALSE,"PFL00805";"MASTER3",#N/A,FALSE,"PFL00805"}</definedName>
    <definedName name="ssmm" hidden="1">{"DJH3",#N/A,FALSE,"PFL00805";"PJB3",#N/A,FALSE,"PFL00805";"JMD3",#N/A,FALSE,"PFL00805";"DNB3",#N/A,FALSE,"PFL00805";"MJP3",#N/A,FALSE,"PFL00805";"RAB3",#N/A,FALSE,"PFL00805";"GJW3",#N/A,FALSE,"PFL00805";"MASTER3",#N/A,FALSE,"PFL00805"}</definedName>
    <definedName name="ssmm_1" localSheetId="0" hidden="1">{"DJH3",#N/A,FALSE,"PFL00805";"PJB3",#N/A,FALSE,"PFL00805";"JMD3",#N/A,FALSE,"PFL00805";"DNB3",#N/A,FALSE,"PFL00805";"MJP3",#N/A,FALSE,"PFL00805";"RAB3",#N/A,FALSE,"PFL00805";"GJW3",#N/A,FALSE,"PFL00805";"MASTER3",#N/A,FALSE,"PFL00805"}</definedName>
    <definedName name="ssmm_1" localSheetId="6" hidden="1">{"DJH3",#N/A,FALSE,"PFL00805";"PJB3",#N/A,FALSE,"PFL00805";"JMD3",#N/A,FALSE,"PFL00805";"DNB3",#N/A,FALSE,"PFL00805";"MJP3",#N/A,FALSE,"PFL00805";"RAB3",#N/A,FALSE,"PFL00805";"GJW3",#N/A,FALSE,"PFL00805";"MASTER3",#N/A,FALSE,"PFL00805"}</definedName>
    <definedName name="ssmm_1" hidden="1">{"DJH3",#N/A,FALSE,"PFL00805";"PJB3",#N/A,FALSE,"PFL00805";"JMD3",#N/A,FALSE,"PFL00805";"DNB3",#N/A,FALSE,"PFL00805";"MJP3",#N/A,FALSE,"PFL00805";"RAB3",#N/A,FALSE,"PFL00805";"GJW3",#N/A,FALSE,"PFL00805";"MASTER3",#N/A,FALSE,"PFL00805"}</definedName>
    <definedName name="SSp" hidden="1">#REF!</definedName>
    <definedName name="SSR" hidden="1">#REF!</definedName>
    <definedName name="sss" localSheetId="0" hidden="1">{"sch16",#N/A,FALSE,"Assoc";"sch16b",#N/A,FALSE,"Assoc";"sch16c",#N/A,FALSE,"Assoc";"sch16d",#N/A,FALSE,"Assoc";"sch16e",#N/A,FALSE,"Assoc";"sch16f",#N/A,FALSE,"Assoc"}</definedName>
    <definedName name="sss" localSheetId="6" hidden="1">{"sch16",#N/A,FALSE,"Assoc";"sch16b",#N/A,FALSE,"Assoc";"sch16c",#N/A,FALSE,"Assoc";"sch16d",#N/A,FALSE,"Assoc";"sch16e",#N/A,FALSE,"Assoc";"sch16f",#N/A,FALSE,"Assoc"}</definedName>
    <definedName name="sss" hidden="1">{"sch16",#N/A,FALSE,"Assoc";"sch16b",#N/A,FALSE,"Assoc";"sch16c",#N/A,FALSE,"Assoc";"sch16d",#N/A,FALSE,"Assoc";"sch16e",#N/A,FALSE,"Assoc";"sch16f",#N/A,FALSE,"Assoc"}</definedName>
    <definedName name="sss_1" localSheetId="0" hidden="1">{"sch16",#N/A,FALSE,"Assoc";"sch16b",#N/A,FALSE,"Assoc";"sch16c",#N/A,FALSE,"Assoc";"sch16d",#N/A,FALSE,"Assoc";"sch16e",#N/A,FALSE,"Assoc";"sch16f",#N/A,FALSE,"Assoc"}</definedName>
    <definedName name="sss_1" localSheetId="6" hidden="1">{"sch16",#N/A,FALSE,"Assoc";"sch16b",#N/A,FALSE,"Assoc";"sch16c",#N/A,FALSE,"Assoc";"sch16d",#N/A,FALSE,"Assoc";"sch16e",#N/A,FALSE,"Assoc";"sch16f",#N/A,FALSE,"Assoc"}</definedName>
    <definedName name="sss_1" hidden="1">{"sch16",#N/A,FALSE,"Assoc";"sch16b",#N/A,FALSE,"Assoc";"sch16c",#N/A,FALSE,"Assoc";"sch16d",#N/A,FALSE,"Assoc";"sch16e",#N/A,FALSE,"Assoc";"sch16f",#N/A,FALSE,"Assoc"}</definedName>
    <definedName name="sss_1_1" localSheetId="0" hidden="1">{#N/A,#N/A,FALSE,"Pharm";#N/A,#N/A,FALSE,"WWCM"}</definedName>
    <definedName name="sss_1_1" localSheetId="6" hidden="1">{#N/A,#N/A,FALSE,"Pharm";#N/A,#N/A,FALSE,"WWCM"}</definedName>
    <definedName name="sss_1_1" hidden="1">{#N/A,#N/A,FALSE,"Pharm";#N/A,#N/A,FALSE,"WWCM"}</definedName>
    <definedName name="sss_2" localSheetId="0" hidden="1">{#N/A,#N/A,FALSE,"Pharm";#N/A,#N/A,FALSE,"WWCM"}</definedName>
    <definedName name="sss_2" localSheetId="6" hidden="1">{#N/A,#N/A,FALSE,"Pharm";#N/A,#N/A,FALSE,"WWCM"}</definedName>
    <definedName name="sss_2" hidden="1">{#N/A,#N/A,FALSE,"Pharm";#N/A,#N/A,FALSE,"WWCM"}</definedName>
    <definedName name="sss_3" localSheetId="0" hidden="1">{#N/A,#N/A,FALSE,"Pharm";#N/A,#N/A,FALSE,"WWCM"}</definedName>
    <definedName name="sss_3" localSheetId="6" hidden="1">{#N/A,#N/A,FALSE,"Pharm";#N/A,#N/A,FALSE,"WWCM"}</definedName>
    <definedName name="sss_3" hidden="1">{#N/A,#N/A,FALSE,"Pharm";#N/A,#N/A,FALSE,"WWCM"}</definedName>
    <definedName name="sss_4" localSheetId="0" hidden="1">{#N/A,#N/A,FALSE,"Pharm";#N/A,#N/A,FALSE,"WWCM"}</definedName>
    <definedName name="sss_4" localSheetId="6" hidden="1">{#N/A,#N/A,FALSE,"Pharm";#N/A,#N/A,FALSE,"WWCM"}</definedName>
    <definedName name="sss_4" hidden="1">{#N/A,#N/A,FALSE,"Pharm";#N/A,#N/A,FALSE,"WWCM"}</definedName>
    <definedName name="sss_5" localSheetId="0" hidden="1">{#N/A,#N/A,FALSE,"Pharm";#N/A,#N/A,FALSE,"WWCM"}</definedName>
    <definedName name="sss_5" localSheetId="6" hidden="1">{#N/A,#N/A,FALSE,"Pharm";#N/A,#N/A,FALSE,"WWCM"}</definedName>
    <definedName name="sss_5" hidden="1">{#N/A,#N/A,FALSE,"Pharm";#N/A,#N/A,FALSE,"WWCM"}</definedName>
    <definedName name="ssshhh" localSheetId="6"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hhh_1" localSheetId="6" hidden="1">{#N/A,#N/A,FALSE,"SumG";#N/A,#N/A,FALSE,"ElecG";#N/A,#N/A,FALSE,"MechG";#N/A,#N/A,FALSE,"GeotG";#N/A,#N/A,FALSE,"PrcsG";#N/A,#N/A,FALSE,"TunnG";#N/A,#N/A,FALSE,"CivlG";#N/A,#N/A,FALSE,"NtwkG";#N/A,#N/A,FALSE,"EstgG";#N/A,#N/A,FALSE,"PEngG"}</definedName>
    <definedName name="ssshhh_1" hidden="1">{#N/A,#N/A,FALSE,"SumG";#N/A,#N/A,FALSE,"ElecG";#N/A,#N/A,FALSE,"MechG";#N/A,#N/A,FALSE,"GeotG";#N/A,#N/A,FALSE,"PrcsG";#N/A,#N/A,FALSE,"TunnG";#N/A,#N/A,FALSE,"CivlG";#N/A,#N/A,FALSE,"NtwkG";#N/A,#N/A,FALSE,"EstgG";#N/A,#N/A,FALSE,"PEngG"}</definedName>
    <definedName name="ssss" hidden="1">#REF!</definedName>
    <definedName name="ssss1" localSheetId="0" hidden="1">{#N/A,#N/A,TRUE,"Cover sheet";#N/A,#N/A,TRUE,"Summary";#N/A,#N/A,TRUE,"Key Assumptions";#N/A,#N/A,TRUE,"Profit &amp; Loss";#N/A,#N/A,TRUE,"Balance Sheet";#N/A,#N/A,TRUE,"Cashflow";#N/A,#N/A,TRUE,"IRR";#N/A,#N/A,TRUE,"Ratios";#N/A,#N/A,TRUE,"Debt analysis"}</definedName>
    <definedName name="ssss1" localSheetId="6" hidden="1">{#N/A,#N/A,TRUE,"Cover sheet";#N/A,#N/A,TRUE,"Summary";#N/A,#N/A,TRUE,"Key Assumptions";#N/A,#N/A,TRUE,"Profit &amp; Loss";#N/A,#N/A,TRUE,"Balance Sheet";#N/A,#N/A,TRUE,"Cashflow";#N/A,#N/A,TRUE,"IRR";#N/A,#N/A,TRUE,"Ratios";#N/A,#N/A,TRUE,"Debt analysis"}</definedName>
    <definedName name="ssss1" hidden="1">{#N/A,#N/A,TRUE,"Cover sheet";#N/A,#N/A,TRUE,"Summary";#N/A,#N/A,TRUE,"Key Assumptions";#N/A,#N/A,TRUE,"Profit &amp; Loss";#N/A,#N/A,TRUE,"Balance Sheet";#N/A,#N/A,TRUE,"Cashflow";#N/A,#N/A,TRUE,"IRR";#N/A,#N/A,TRUE,"Ratios";#N/A,#N/A,TRUE,"Debt analysis"}</definedName>
    <definedName name="sssss" hidden="1">OFFSET(#REF!,1,0)</definedName>
    <definedName name="sssss_1" localSheetId="6" hidden="1">{#N/A,#N/A,FALSE,"SumD";#N/A,#N/A,FALSE,"ElecD";#N/A,#N/A,FALSE,"MechD";#N/A,#N/A,FALSE,"GeotD";#N/A,#N/A,FALSE,"PrcsD";#N/A,#N/A,FALSE,"TunnD";#N/A,#N/A,FALSE,"CivlD";#N/A,#N/A,FALSE,"NtwkD";#N/A,#N/A,FALSE,"EstgD";#N/A,#N/A,FALSE,"PEngD"}</definedName>
    <definedName name="sssss_1" hidden="1">{#N/A,#N/A,FALSE,"SumD";#N/A,#N/A,FALSE,"ElecD";#N/A,#N/A,FALSE,"MechD";#N/A,#N/A,FALSE,"GeotD";#N/A,#N/A,FALSE,"PrcsD";#N/A,#N/A,FALSE,"TunnD";#N/A,#N/A,FALSE,"CivlD";#N/A,#N/A,FALSE,"NtwkD";#N/A,#N/A,FALSE,"EstgD";#N/A,#N/A,FALSE,"PEngD"}</definedName>
    <definedName name="sssssss" hidden="1">#REF!</definedName>
    <definedName name="sssssss_1" localSheetId="0" hidden="1">{"Graphic",#N/A,TRUE,"Graphic"}</definedName>
    <definedName name="sssssss_1" localSheetId="6" hidden="1">{"Graphic",#N/A,TRUE,"Graphic"}</definedName>
    <definedName name="sssssss_1" hidden="1">{"Graphic",#N/A,TRUE,"Graphic"}</definedName>
    <definedName name="SSSSSSSSS" localSheetId="6" hidden="1">{"VIEW1",#N/A,FALSE,"P&amp;L Account 2001-2002";"VIEW2",#N/A,FALSE,"P&amp;L Account 2001-2002";"VIEW3",#N/A,FALSE,"P&amp;L Account 2001-2002";"VIEW4",#N/A,FALSE,"P&amp;L Account 2001-2002"}</definedName>
    <definedName name="SSSSSSSSS" hidden="1">{"VIEW1",#N/A,FALSE,"P&amp;L Account 2001-2002";"VIEW2",#N/A,FALSE,"P&amp;L Account 2001-2002";"VIEW3",#N/A,FALSE,"P&amp;L Account 2001-2002";"VIEW4",#N/A,FALSE,"P&amp;L Account 2001-2002"}</definedName>
    <definedName name="sssssssssssssssssssssssss" hidden="1">#REF!</definedName>
    <definedName name="ssswww" hidden="1">OFFSET(#REF!,1,0)</definedName>
    <definedName name="st" localSheetId="0" hidden="1">{#N/A,#N/A,TRUE,"PROFIT 11-95"}</definedName>
    <definedName name="st" localSheetId="6" hidden="1">{#N/A,#N/A,TRUE,"PROFIT 11-95"}</definedName>
    <definedName name="st" hidden="1">{#N/A,#N/A,TRUE,"PROFIT 11-95"}</definedName>
    <definedName name="staff">#REF!</definedName>
    <definedName name="Staff_grades">#REF!</definedName>
    <definedName name="staffing2" localSheetId="0" hidden="1">{#N/A,#N/A,FALSE,"Assessment";#N/A,#N/A,FALSE,"Staffing";#N/A,#N/A,FALSE,"Hires";#N/A,#N/A,FALSE,"Assumptions"}</definedName>
    <definedName name="staffing2" localSheetId="6" hidden="1">{#N/A,#N/A,FALSE,"Assessment";#N/A,#N/A,FALSE,"Staffing";#N/A,#N/A,FALSE,"Hires";#N/A,#N/A,FALSE,"Assumptions"}</definedName>
    <definedName name="staffing2" hidden="1">{#N/A,#N/A,FALSE,"Assessment";#N/A,#N/A,FALSE,"Staffing";#N/A,#N/A,FALSE,"Hires";#N/A,#N/A,FALSE,"Assumptions"}</definedName>
    <definedName name="staffing2_1" localSheetId="0" hidden="1">{#N/A,#N/A,FALSE,"Assessment";#N/A,#N/A,FALSE,"Staffing";#N/A,#N/A,FALSE,"Hires";#N/A,#N/A,FALSE,"Assumptions"}</definedName>
    <definedName name="staffing2_1" localSheetId="6" hidden="1">{#N/A,#N/A,FALSE,"Assessment";#N/A,#N/A,FALSE,"Staffing";#N/A,#N/A,FALSE,"Hires";#N/A,#N/A,FALSE,"Assumptions"}</definedName>
    <definedName name="staffing2_1" hidden="1">{#N/A,#N/A,FALSE,"Assessment";#N/A,#N/A,FALSE,"Staffing";#N/A,#N/A,FALSE,"Hires";#N/A,#N/A,FALSE,"Assumptions"}</definedName>
    <definedName name="Staffing3" localSheetId="0" hidden="1">{#N/A,#N/A,FALSE,"Assessment";#N/A,#N/A,FALSE,"Staffing";#N/A,#N/A,FALSE,"Hires";#N/A,#N/A,FALSE,"Assumptions"}</definedName>
    <definedName name="Staffing3" localSheetId="6" hidden="1">{#N/A,#N/A,FALSE,"Assessment";#N/A,#N/A,FALSE,"Staffing";#N/A,#N/A,FALSE,"Hires";#N/A,#N/A,FALSE,"Assumptions"}</definedName>
    <definedName name="Staffing3" hidden="1">{#N/A,#N/A,FALSE,"Assessment";#N/A,#N/A,FALSE,"Staffing";#N/A,#N/A,FALSE,"Hires";#N/A,#N/A,FALSE,"Assumptions"}</definedName>
    <definedName name="Staffing3_1" localSheetId="0" hidden="1">{#N/A,#N/A,FALSE,"Assessment";#N/A,#N/A,FALSE,"Staffing";#N/A,#N/A,FALSE,"Hires";#N/A,#N/A,FALSE,"Assumptions"}</definedName>
    <definedName name="Staffing3_1" localSheetId="6" hidden="1">{#N/A,#N/A,FALSE,"Assessment";#N/A,#N/A,FALSE,"Staffing";#N/A,#N/A,FALSE,"Hires";#N/A,#N/A,FALSE,"Assumptions"}</definedName>
    <definedName name="Staffing3_1" hidden="1">{#N/A,#N/A,FALSE,"Assessment";#N/A,#N/A,FALSE,"Staffing";#N/A,#N/A,FALSE,"Hires";#N/A,#N/A,FALSE,"Assumptions"}</definedName>
    <definedName name="StandAlone">#REF!</definedName>
    <definedName name="Staril" localSheetId="0" hidden="1">{#N/A,#N/A,FALSE,"REPORT"}</definedName>
    <definedName name="Staril" localSheetId="6" hidden="1">{#N/A,#N/A,FALSE,"REPORT"}</definedName>
    <definedName name="Staril" hidden="1">{#N/A,#N/A,FALSE,"REPORT"}</definedName>
    <definedName name="Staril_1" localSheetId="0" hidden="1">{#N/A,#N/A,FALSE,"REPORT"}</definedName>
    <definedName name="Staril_1" localSheetId="6" hidden="1">{#N/A,#N/A,FALSE,"REPORT"}</definedName>
    <definedName name="Staril_1" hidden="1">{#N/A,#N/A,FALSE,"REPORT"}</definedName>
    <definedName name="Staril_1_1" localSheetId="0" hidden="1">{#N/A,#N/A,FALSE,"REPORT"}</definedName>
    <definedName name="Staril_1_1" localSheetId="6" hidden="1">{#N/A,#N/A,FALSE,"REPORT"}</definedName>
    <definedName name="Staril_1_1" hidden="1">{#N/A,#N/A,FALSE,"REPORT"}</definedName>
    <definedName name="Staril_2" localSheetId="0" hidden="1">{#N/A,#N/A,FALSE,"REPORT"}</definedName>
    <definedName name="Staril_2" localSheetId="6" hidden="1">{#N/A,#N/A,FALSE,"REPORT"}</definedName>
    <definedName name="Staril_2" hidden="1">{#N/A,#N/A,FALSE,"REPORT"}</definedName>
    <definedName name="Staril_3" localSheetId="0" hidden="1">{#N/A,#N/A,FALSE,"REPORT"}</definedName>
    <definedName name="Staril_3" localSheetId="6" hidden="1">{#N/A,#N/A,FALSE,"REPORT"}</definedName>
    <definedName name="Staril_3" hidden="1">{#N/A,#N/A,FALSE,"REPORT"}</definedName>
    <definedName name="Staril_4" localSheetId="0" hidden="1">{#N/A,#N/A,FALSE,"REPORT"}</definedName>
    <definedName name="Staril_4" localSheetId="6" hidden="1">{#N/A,#N/A,FALSE,"REPORT"}</definedName>
    <definedName name="Staril_4" hidden="1">{#N/A,#N/A,FALSE,"REPORT"}</definedName>
    <definedName name="Staril_5" localSheetId="0" hidden="1">{#N/A,#N/A,FALSE,"REPORT"}</definedName>
    <definedName name="Staril_5" localSheetId="6" hidden="1">{#N/A,#N/A,FALSE,"REPORT"}</definedName>
    <definedName name="Staril_5" hidden="1">{#N/A,#N/A,FALSE,"REPORT"}</definedName>
    <definedName name="Start">#REF!</definedName>
    <definedName name="Start_date">#REF!</definedName>
    <definedName name="Start_date2016">#REF!</definedName>
    <definedName name="Start_dates">#REF!</definedName>
    <definedName name="Start2">#REF!</definedName>
    <definedName name="StartBACS">#REF!</definedName>
    <definedName name="StartBS">#REF!</definedName>
    <definedName name="StartBSCS">#REF!</definedName>
    <definedName name="StartDL">#REF!</definedName>
    <definedName name="StartIS">#REF!</definedName>
    <definedName name="StartISCS">#REF!</definedName>
    <definedName name="StartNwsLtr">#REF!</definedName>
    <definedName name="StartPBS">#REF!</definedName>
    <definedName name="StartPBSCS">#REF!</definedName>
    <definedName name="StartPIS">#REF!</definedName>
    <definedName name="StartPISCS">#REF!</definedName>
    <definedName name="StartPRA1">#REF!</definedName>
    <definedName name="StartPRA2">#REF!</definedName>
    <definedName name="StartPRA3">#REF!</definedName>
    <definedName name="StartRA">#REF!</definedName>
    <definedName name="StartRA1">#REF!</definedName>
    <definedName name="StartRA2">#REF!</definedName>
    <definedName name="StartRA3">#REF!</definedName>
    <definedName name="StartVal">#REF!</definedName>
    <definedName name="StartWACC1">#REF!</definedName>
    <definedName name="Stat_datec">#REF!</definedName>
    <definedName name="state" hidden="1">#REF!</definedName>
    <definedName name="Stats" localSheetId="0" hidden="1">{#N/A,#N/A,TRUE,"Pro Forma";#N/A,#N/A,TRUE,"PF_Bal";#N/A,#N/A,TRUE,"PF_INC";#N/A,#N/A,TRUE,"CBE";#N/A,#N/A,TRUE,"SWK"}</definedName>
    <definedName name="Stats" localSheetId="6" hidden="1">{#N/A,#N/A,TRUE,"Pro Forma";#N/A,#N/A,TRUE,"PF_Bal";#N/A,#N/A,TRUE,"PF_INC";#N/A,#N/A,TRUE,"CBE";#N/A,#N/A,TRUE,"SWK"}</definedName>
    <definedName name="Stats" hidden="1">{#N/A,#N/A,TRUE,"Pro Forma";#N/A,#N/A,TRUE,"PF_Bal";#N/A,#N/A,TRUE,"PF_INC";#N/A,#N/A,TRUE,"CBE";#N/A,#N/A,TRUE,"SWK"}</definedName>
    <definedName name="Statutory_Reserve">#REF!</definedName>
    <definedName name="STDAna">#REF!</definedName>
    <definedName name="ste" localSheetId="6" hidden="1">{#N/A,#N/A,FALSE,"Cover";#N/A,#N/A,FALSE,"BSC";#N/A,#N/A,FALSE,"Sum 1";#N/A,#N/A,FALSE,"Cr plant";#N/A,#N/A,FALSE,"PO plant 1"}</definedName>
    <definedName name="ste" hidden="1">{#N/A,#N/A,FALSE,"Cover";#N/A,#N/A,FALSE,"BSC";#N/A,#N/A,FALSE,"Sum 1";#N/A,#N/A,FALSE,"Cr plant";#N/A,#N/A,FALSE,"PO plant 1"}</definedName>
    <definedName name="stef" localSheetId="0" hidden="1">{#N/A,#N/A,TRUE,"Cover sheet";#N/A,#N/A,TRUE,"Summary";#N/A,#N/A,TRUE,"Key Assumptions";#N/A,#N/A,TRUE,"Profit &amp; Loss";#N/A,#N/A,TRUE,"Balance Sheet";#N/A,#N/A,TRUE,"Cashflow";#N/A,#N/A,TRUE,"IRR";#N/A,#N/A,TRUE,"Ratios";#N/A,#N/A,TRUE,"Debt analysis"}</definedName>
    <definedName name="stef" localSheetId="6" hidden="1">{#N/A,#N/A,TRUE,"Cover sheet";#N/A,#N/A,TRUE,"Summary";#N/A,#N/A,TRUE,"Key Assumptions";#N/A,#N/A,TRUE,"Profit &amp; Loss";#N/A,#N/A,TRUE,"Balance Sheet";#N/A,#N/A,TRUE,"Cashflow";#N/A,#N/A,TRUE,"IRR";#N/A,#N/A,TRUE,"Ratios";#N/A,#N/A,TRUE,"Debt analysis"}</definedName>
    <definedName name="stef" hidden="1">{#N/A,#N/A,TRUE,"Cover sheet";#N/A,#N/A,TRUE,"Summary";#N/A,#N/A,TRUE,"Key Assumptions";#N/A,#N/A,TRUE,"Profit &amp; Loss";#N/A,#N/A,TRUE,"Balance Sheet";#N/A,#N/A,TRUE,"Cashflow";#N/A,#N/A,TRUE,"IRR";#N/A,#N/A,TRUE,"Ratios";#N/A,#N/A,TRUE,"Debt analysis"}</definedName>
    <definedName name="stef1" localSheetId="0" hidden="1">{#N/A,#N/A,TRUE,"Cover sheet";#N/A,#N/A,TRUE,"Summary";#N/A,#N/A,TRUE,"Key Assumptions";#N/A,#N/A,TRUE,"Profit &amp; Loss";#N/A,#N/A,TRUE,"Balance Sheet";#N/A,#N/A,TRUE,"Cashflow";#N/A,#N/A,TRUE,"IRR";#N/A,#N/A,TRUE,"Ratios";#N/A,#N/A,TRUE,"Debt analysis"}</definedName>
    <definedName name="stef1" localSheetId="6" hidden="1">{#N/A,#N/A,TRUE,"Cover sheet";#N/A,#N/A,TRUE,"Summary";#N/A,#N/A,TRUE,"Key Assumptions";#N/A,#N/A,TRUE,"Profit &amp; Loss";#N/A,#N/A,TRUE,"Balance Sheet";#N/A,#N/A,TRUE,"Cashflow";#N/A,#N/A,TRUE,"IRR";#N/A,#N/A,TRUE,"Ratios";#N/A,#N/A,TRUE,"Debt analysis"}</definedName>
    <definedName name="stef1" hidden="1">{#N/A,#N/A,TRUE,"Cover sheet";#N/A,#N/A,TRUE,"Summary";#N/A,#N/A,TRUE,"Key Assumptions";#N/A,#N/A,TRUE,"Profit &amp; Loss";#N/A,#N/A,TRUE,"Balance Sheet";#N/A,#N/A,TRUE,"Cashflow";#N/A,#N/A,TRUE,"IRR";#N/A,#N/A,TRUE,"Ratios";#N/A,#N/A,TRUE,"Debt analysis"}</definedName>
    <definedName name="Step_1">#REF!</definedName>
    <definedName name="Step_2">#REF!</definedName>
    <definedName name="Step_3">#REF!</definedName>
    <definedName name="Step_4">#REF!</definedName>
    <definedName name="Step_5">#REF!</definedName>
    <definedName name="Step_6">#REF!</definedName>
    <definedName name="Step1">#REF!</definedName>
    <definedName name="Step2">#REF!</definedName>
    <definedName name="Step3">#REF!</definedName>
    <definedName name="Step4">#REF!</definedName>
    <definedName name="Step5">#REF!</definedName>
    <definedName name="Step6">#REF!</definedName>
    <definedName name="Stererpri" localSheetId="0" hidden="1">{"'Sheet1'!$L$16"}</definedName>
    <definedName name="Stererpri" localSheetId="6" hidden="1">{"'Sheet1'!$L$16"}</definedName>
    <definedName name="Stererpri" hidden="1">{"'Sheet1'!$L$16"}</definedName>
    <definedName name="steven" localSheetId="0" hidden="1">{"GAS1",#N/A,FALSE,"LTSUPDEM";"GAS2",#N/A,FALSE,"LTSUPDEM";"RFG1",#N/A,FALSE,"LTSUPDEM";"RFG2",#N/A,FALSE,"LTSUPDEM";"OXY1",#N/A,FALSE,"LTSUPDEM";"OXY2",#N/A,FALSE,"LTSUPDEM";"OTHERGAS1",#N/A,FALSE,"LTSUPDEM";"OTHERGAS2",#N/A,FALSE,"LTSUPDEM";"JETKERO1",#N/A,FALSE,"LTSUPDEM";"JETKERO2",#N/A,FALSE,"LTSUPDEM";"JETNAPH1",#N/A,FALSE,"LTSUPDEM";"JETNAPH2",#N/A,FALSE,"LTSUPDEM";"DIESEL1",#N/A,FALSE,"LTSUPDEM";"DIESEL2",#N/A,FALSE,"LTSUPDEM";"LSDIESEL1",#N/A,FALSE,"LTSUPDEM";"LSDIESEL2",#N/A,FALSE,"LTSUPDEM";"STDDIESEL1",#N/A,FALSE,"LTSUPDEM";"STDDIESEL2",#N/A,FALSE,"LTSUPDEM";"RESID1",#N/A,FALSE,"LTSUPDEM";"RESID2",#N/A,FALSE,"LTSUPDEM";"AVGAS1",#N/A,FALSE,"LTSUPDEM";"AVGAS2",#N/A,FALSE,"LTSUPDEM";"ASPHALT1",#N/A,FALSE,"LTSUPDEM";"ASPHALT2",#N/A,FALSE,"LTSUPDEM";"COKE1",#N/A,FALSE,"LTSUPDEM";"COKE2",#N/A,FALSE,"LTSUPDEM"}</definedName>
    <definedName name="steven" localSheetId="6" hidden="1">{"GAS1",#N/A,FALSE,"LTSUPDEM";"GAS2",#N/A,FALSE,"LTSUPDEM";"RFG1",#N/A,FALSE,"LTSUPDEM";"RFG2",#N/A,FALSE,"LTSUPDEM";"OXY1",#N/A,FALSE,"LTSUPDEM";"OXY2",#N/A,FALSE,"LTSUPDEM";"OTHERGAS1",#N/A,FALSE,"LTSUPDEM";"OTHERGAS2",#N/A,FALSE,"LTSUPDEM";"JETKERO1",#N/A,FALSE,"LTSUPDEM";"JETKERO2",#N/A,FALSE,"LTSUPDEM";"JETNAPH1",#N/A,FALSE,"LTSUPDEM";"JETNAPH2",#N/A,FALSE,"LTSUPDEM";"DIESEL1",#N/A,FALSE,"LTSUPDEM";"DIESEL2",#N/A,FALSE,"LTSUPDEM";"LSDIESEL1",#N/A,FALSE,"LTSUPDEM";"LSDIESEL2",#N/A,FALSE,"LTSUPDEM";"STDDIESEL1",#N/A,FALSE,"LTSUPDEM";"STDDIESEL2",#N/A,FALSE,"LTSUPDEM";"RESID1",#N/A,FALSE,"LTSUPDEM";"RESID2",#N/A,FALSE,"LTSUPDEM";"AVGAS1",#N/A,FALSE,"LTSUPDEM";"AVGAS2",#N/A,FALSE,"LTSUPDEM";"ASPHALT1",#N/A,FALSE,"LTSUPDEM";"ASPHALT2",#N/A,FALSE,"LTSUPDEM";"COKE1",#N/A,FALSE,"LTSUPDEM";"COKE2",#N/A,FALSE,"LTSUPDEM"}</definedName>
    <definedName name="steven" hidden="1">{"GAS1",#N/A,FALSE,"LTSUPDEM";"GAS2",#N/A,FALSE,"LTSUPDEM";"RFG1",#N/A,FALSE,"LTSUPDEM";"RFG2",#N/A,FALSE,"LTSUPDEM";"OXY1",#N/A,FALSE,"LTSUPDEM";"OXY2",#N/A,FALSE,"LTSUPDEM";"OTHERGAS1",#N/A,FALSE,"LTSUPDEM";"OTHERGAS2",#N/A,FALSE,"LTSUPDEM";"JETKERO1",#N/A,FALSE,"LTSUPDEM";"JETKERO2",#N/A,FALSE,"LTSUPDEM";"JETNAPH1",#N/A,FALSE,"LTSUPDEM";"JETNAPH2",#N/A,FALSE,"LTSUPDEM";"DIESEL1",#N/A,FALSE,"LTSUPDEM";"DIESEL2",#N/A,FALSE,"LTSUPDEM";"LSDIESEL1",#N/A,FALSE,"LTSUPDEM";"LSDIESEL2",#N/A,FALSE,"LTSUPDEM";"STDDIESEL1",#N/A,FALSE,"LTSUPDEM";"STDDIESEL2",#N/A,FALSE,"LTSUPDEM";"RESID1",#N/A,FALSE,"LTSUPDEM";"RESID2",#N/A,FALSE,"LTSUPDEM";"AVGAS1",#N/A,FALSE,"LTSUPDEM";"AVGAS2",#N/A,FALSE,"LTSUPDEM";"ASPHALT1",#N/A,FALSE,"LTSUPDEM";"ASPHALT2",#N/A,FALSE,"LTSUPDEM";"COKE1",#N/A,FALSE,"LTSUPDEM";"COKE2",#N/A,FALSE,"LTSUPDEM"}</definedName>
    <definedName name="STK" localSheetId="0" hidden="1">{#N/A,#N/A,TRUE,"PROFIT 11-95"}</definedName>
    <definedName name="STK" localSheetId="6" hidden="1">{#N/A,#N/A,TRUE,"PROFIT 11-95"}</definedName>
    <definedName name="STK" hidden="1">{#N/A,#N/A,TRUE,"PROFIT 11-95"}</definedName>
    <definedName name="STOCK_BASED" hidden="1">"STOCK_BASED"</definedName>
    <definedName name="StockAdjustment">#REF!</definedName>
    <definedName name="StockName">#REF!</definedName>
    <definedName name="STOCKNONTRADING">#REF!</definedName>
    <definedName name="Store" hidden="1">#REF!</definedName>
    <definedName name="strange" localSheetId="0" hidden="1">{#N/A,#N/A,FALSE,"Sheet1"}</definedName>
    <definedName name="strange" localSheetId="6" hidden="1">{#N/A,#N/A,FALSE,"Sheet1"}</definedName>
    <definedName name="strange" hidden="1">{#N/A,#N/A,FALSE,"Sheet1"}</definedName>
    <definedName name="strange\" localSheetId="0" hidden="1">{#N/A,#N/A,FALSE,"Sheet1"}</definedName>
    <definedName name="strange\" localSheetId="6" hidden="1">{#N/A,#N/A,FALSE,"Sheet1"}</definedName>
    <definedName name="strange\" hidden="1">{#N/A,#N/A,FALSE,"Sheet1"}</definedName>
    <definedName name="strange2" localSheetId="0" hidden="1">{#N/A,#N/A,FALSE,"Sheet1"}</definedName>
    <definedName name="strange2" localSheetId="6" hidden="1">{#N/A,#N/A,FALSE,"Sheet1"}</definedName>
    <definedName name="strange2" hidden="1">{#N/A,#N/A,FALSE,"Sheet1"}</definedName>
    <definedName name="StratPlanAP" localSheetId="0" hidden="1">{#N/A,#N/A,FALSE,"Pharm";#N/A,#N/A,FALSE,"WWCM"}</definedName>
    <definedName name="StratPlanAP" localSheetId="6" hidden="1">{#N/A,#N/A,FALSE,"Pharm";#N/A,#N/A,FALSE,"WWCM"}</definedName>
    <definedName name="StratPlanAP" hidden="1">{#N/A,#N/A,FALSE,"Pharm";#N/A,#N/A,FALSE,"WWCM"}</definedName>
    <definedName name="StratPlanAP_1" localSheetId="0" hidden="1">{#N/A,#N/A,FALSE,"Pharm";#N/A,#N/A,FALSE,"WWCM"}</definedName>
    <definedName name="StratPlanAP_1" localSheetId="6" hidden="1">{#N/A,#N/A,FALSE,"Pharm";#N/A,#N/A,FALSE,"WWCM"}</definedName>
    <definedName name="StratPlanAP_1" hidden="1">{#N/A,#N/A,FALSE,"Pharm";#N/A,#N/A,FALSE,"WWCM"}</definedName>
    <definedName name="StratPlanAP_1_1" localSheetId="0" hidden="1">{#N/A,#N/A,FALSE,"Pharm";#N/A,#N/A,FALSE,"WWCM"}</definedName>
    <definedName name="StratPlanAP_1_1" localSheetId="6" hidden="1">{#N/A,#N/A,FALSE,"Pharm";#N/A,#N/A,FALSE,"WWCM"}</definedName>
    <definedName name="StratPlanAP_1_1" hidden="1">{#N/A,#N/A,FALSE,"Pharm";#N/A,#N/A,FALSE,"WWCM"}</definedName>
    <definedName name="StratPlanAP_2" localSheetId="0" hidden="1">{#N/A,#N/A,FALSE,"Pharm";#N/A,#N/A,FALSE,"WWCM"}</definedName>
    <definedName name="StratPlanAP_2" localSheetId="6" hidden="1">{#N/A,#N/A,FALSE,"Pharm";#N/A,#N/A,FALSE,"WWCM"}</definedName>
    <definedName name="StratPlanAP_2" hidden="1">{#N/A,#N/A,FALSE,"Pharm";#N/A,#N/A,FALSE,"WWCM"}</definedName>
    <definedName name="StratPlanAP_3" localSheetId="0" hidden="1">{#N/A,#N/A,FALSE,"Pharm";#N/A,#N/A,FALSE,"WWCM"}</definedName>
    <definedName name="StratPlanAP_3" localSheetId="6" hidden="1">{#N/A,#N/A,FALSE,"Pharm";#N/A,#N/A,FALSE,"WWCM"}</definedName>
    <definedName name="StratPlanAP_3" hidden="1">{#N/A,#N/A,FALSE,"Pharm";#N/A,#N/A,FALSE,"WWCM"}</definedName>
    <definedName name="StratPlanAP_4" localSheetId="0" hidden="1">{#N/A,#N/A,FALSE,"Pharm";#N/A,#N/A,FALSE,"WWCM"}</definedName>
    <definedName name="StratPlanAP_4" localSheetId="6" hidden="1">{#N/A,#N/A,FALSE,"Pharm";#N/A,#N/A,FALSE,"WWCM"}</definedName>
    <definedName name="StratPlanAP_4" hidden="1">{#N/A,#N/A,FALSE,"Pharm";#N/A,#N/A,FALSE,"WWCM"}</definedName>
    <definedName name="StratPlanAP_5" localSheetId="0" hidden="1">{#N/A,#N/A,FALSE,"Pharm";#N/A,#N/A,FALSE,"WWCM"}</definedName>
    <definedName name="StratPlanAP_5" localSheetId="6" hidden="1">{#N/A,#N/A,FALSE,"Pharm";#N/A,#N/A,FALSE,"WWCM"}</definedName>
    <definedName name="StratPlanAP_5" hidden="1">{#N/A,#N/A,FALSE,"Pharm";#N/A,#N/A,FALSE,"WWCM"}</definedName>
    <definedName name="Stress1">#REF!</definedName>
    <definedName name="Stress2">#REF!</definedName>
    <definedName name="Stress2a">#REF!</definedName>
    <definedName name="Stress2b">#REF!</definedName>
    <definedName name="Stress3">#REF!</definedName>
    <definedName name="Stress4">#REF!</definedName>
    <definedName name="StressS1">#REF!</definedName>
    <definedName name="StressS2">#REF!</definedName>
    <definedName name="StressS2a">#REF!</definedName>
    <definedName name="StressS2b">#REF!</definedName>
    <definedName name="StressS3">#REF!</definedName>
    <definedName name="StressS4">#REF!</definedName>
    <definedName name="StressT1">#REF!</definedName>
    <definedName name="StressTitles">#REF!</definedName>
    <definedName name="stu" localSheetId="0" hidden="1">{#N/A,#N/A,FALSE,"Tabl. D1";#N/A,#N/A,FALSE,"Tabl. D1 b";#N/A,#N/A,FALSE,"Tabl. D2";#N/A,#N/A,FALSE,"Tabl. D2 b";#N/A,#N/A,FALSE,"Tabl. D3";#N/A,#N/A,FALSE,"Tabl. D4";#N/A,#N/A,FALSE,"Tabl. D5"}</definedName>
    <definedName name="stu" localSheetId="6" hidden="1">{#N/A,#N/A,FALSE,"Tabl. D1";#N/A,#N/A,FALSE,"Tabl. D1 b";#N/A,#N/A,FALSE,"Tabl. D2";#N/A,#N/A,FALSE,"Tabl. D2 b";#N/A,#N/A,FALSE,"Tabl. D3";#N/A,#N/A,FALSE,"Tabl. D4";#N/A,#N/A,FALSE,"Tabl. D5"}</definedName>
    <definedName name="stu" hidden="1">{#N/A,#N/A,FALSE,"Tabl. D1";#N/A,#N/A,FALSE,"Tabl. D1 b";#N/A,#N/A,FALSE,"Tabl. D2";#N/A,#N/A,FALSE,"Tabl. D2 b";#N/A,#N/A,FALSE,"Tabl. D3";#N/A,#N/A,FALSE,"Tabl. D4";#N/A,#N/A,FALSE,"Tabl. D5"}</definedName>
    <definedName name="Stub" hidden="1">#REF!</definedName>
    <definedName name="Stub_Header1" hidden="1">#REF!</definedName>
    <definedName name="Stub_Header2" hidden="1">#REF!</definedName>
    <definedName name="Stub_Header3" hidden="1">#REF!</definedName>
    <definedName name="stub_period">#REF!</definedName>
    <definedName name="stubb" hidden="1">#REF!</definedName>
    <definedName name="Students">#REF!</definedName>
    <definedName name="sub_doa_array" hidden="1">#REF!</definedName>
    <definedName name="sub_doa_col" hidden="1">#REF!</definedName>
    <definedName name="sub_doa_hlookup" hidden="1">#REF!</definedName>
    <definedName name="sub_doa_row" hidden="1">#REF!</definedName>
    <definedName name="sub_nff_array" hidden="1">#REF!</definedName>
    <definedName name="sub_nff_col" hidden="1">#REF!</definedName>
    <definedName name="sub_nff_hlookup" hidden="1">#REF!</definedName>
    <definedName name="sub_nff_row" hidden="1">#REF!</definedName>
    <definedName name="sub_orders_array" hidden="1">#REF!</definedName>
    <definedName name="sub_orders_col" hidden="1">#REF!</definedName>
    <definedName name="sub_orders_hlookup" hidden="1">#REF!</definedName>
    <definedName name="sub_orders_row" hidden="1">#REF!</definedName>
    <definedName name="Sub_Project_Name">#REF!</definedName>
    <definedName name="sub_ro_array" hidden="1">#REF!</definedName>
    <definedName name="sub_ro_col" hidden="1">#REF!</definedName>
    <definedName name="sub_ro_hlookup" hidden="1">#REF!</definedName>
    <definedName name="sub_ro_row" hidden="1">#REF!</definedName>
    <definedName name="sub_warr_array" hidden="1">#REF!</definedName>
    <definedName name="sub_warr_col" hidden="1">#REF!</definedName>
    <definedName name="sub_warr_hlookup" hidden="1">#REF!</definedName>
    <definedName name="sub_warr_row" hidden="1">#REF!</definedName>
    <definedName name="subgroup" hidden="1">#REF!</definedName>
    <definedName name="subj_EBITDA" hidden="1">#REF!</definedName>
    <definedName name="SUBJECT_CO">#REF!</definedName>
    <definedName name="subs">#REF!</definedName>
    <definedName name="SubsidiaryI">#REF!</definedName>
    <definedName name="SubsidiaryII">#REF!</definedName>
    <definedName name="SubsidiaryIII">#REF!</definedName>
    <definedName name="SubsidiaryIV">#REF!</definedName>
    <definedName name="SubTotal_Company2" hidden="1">#REF!</definedName>
    <definedName name="such" localSheetId="0" hidden="1">{"FCB_ALL",#N/A,FALSE,"FCB"}</definedName>
    <definedName name="such" localSheetId="6" hidden="1">{"FCB_ALL",#N/A,FALSE,"FCB"}</definedName>
    <definedName name="such" hidden="1">{"FCB_ALL",#N/A,FALSE,"FCB"}</definedName>
    <definedName name="sucker" localSheetId="0" hidden="1">{#N/A,#N/A,FALSE,"Sheet1"}</definedName>
    <definedName name="sucker" localSheetId="6" hidden="1">{#N/A,#N/A,FALSE,"Sheet1"}</definedName>
    <definedName name="sucker" hidden="1">{#N/A,#N/A,FALSE,"Sheet1"}</definedName>
    <definedName name="sucker2" localSheetId="0" hidden="1">{#N/A,#N/A,FALSE,"Sheet1"}</definedName>
    <definedName name="sucker2" localSheetId="6" hidden="1">{#N/A,#N/A,FALSE,"Sheet1"}</definedName>
    <definedName name="sucker2" hidden="1">{#N/A,#N/A,FALSE,"Sheet1"}</definedName>
    <definedName name="Sudan">#REF!</definedName>
    <definedName name="SudanBS">#REF!</definedName>
    <definedName name="sudr">#REF!</definedName>
    <definedName name="SUMARY" localSheetId="6" hidden="1">{"VIEW1",#N/A,FALSE,"P&amp;L Account 2001-2002";"VIEW2",#N/A,FALSE,"P&amp;L Account 2001-2002";"VIEW3",#N/A,FALSE,"P&amp;L Account 2001-2002";"VIEW4",#N/A,FALSE,"P&amp;L Account 2001-2002"}</definedName>
    <definedName name="SUMARY" hidden="1">{"VIEW1",#N/A,FALSE,"P&amp;L Account 2001-2002";"VIEW2",#N/A,FALSE,"P&amp;L Account 2001-2002";"VIEW3",#N/A,FALSE,"P&amp;L Account 2001-2002";"VIEW4",#N/A,FALSE,"P&amp;L Account 2001-2002"}</definedName>
    <definedName name="sumit" localSheetId="0" hidden="1">{"bs",#N/A,FALSE,"BS";"pl",#N/A,FALSE,"PL"}</definedName>
    <definedName name="sumit" localSheetId="6" hidden="1">{"bs",#N/A,FALSE,"BS";"pl",#N/A,FALSE,"PL"}</definedName>
    <definedName name="sumit" hidden="1">{"bs",#N/A,FALSE,"BS";"pl",#N/A,FALSE,"PL"}</definedName>
    <definedName name="sumit0001" localSheetId="0" hidden="1">{"bs",#N/A,FALSE,"BS";"pl",#N/A,FALSE,"PL"}</definedName>
    <definedName name="sumit0001" localSheetId="6" hidden="1">{"bs",#N/A,FALSE,"BS";"pl",#N/A,FALSE,"PL"}</definedName>
    <definedName name="sumit0001" hidden="1">{"bs",#N/A,FALSE,"BS";"pl",#N/A,FALSE,"PL"}</definedName>
    <definedName name="sumit111" localSheetId="0" hidden="1">{"bs",#N/A,FALSE,"BS";"pl",#N/A,FALSE,"PL"}</definedName>
    <definedName name="sumit111" localSheetId="6" hidden="1">{"bs",#N/A,FALSE,"BS";"pl",#N/A,FALSE,"PL"}</definedName>
    <definedName name="sumit111" hidden="1">{"bs",#N/A,FALSE,"BS";"pl",#N/A,FALSE,"PL"}</definedName>
    <definedName name="sumit1234" localSheetId="0" hidden="1">{"bs",#N/A,FALSE,"BS";"pl",#N/A,FALSE,"PL";"res",#N/A,FALSE,"S.CAP,RES";"loans",#N/A,FALSE,"Loans";"inv",#N/A,FALSE,"C.Assets";"fa",#N/A,FALSE,"F.Assets";"ca",#N/A,FALSE,"C.Assets";"cl",#N/A,FALSE,"CL,Sales,Income";"ovh",#N/A,FALSE,"OVH"}</definedName>
    <definedName name="sumit1234" localSheetId="6" hidden="1">{"bs",#N/A,FALSE,"BS";"pl",#N/A,FALSE,"PL";"res",#N/A,FALSE,"S.CAP,RES";"loans",#N/A,FALSE,"Loans";"inv",#N/A,FALSE,"C.Assets";"fa",#N/A,FALSE,"F.Assets";"ca",#N/A,FALSE,"C.Assets";"cl",#N/A,FALSE,"CL,Sales,Income";"ovh",#N/A,FALSE,"OVH"}</definedName>
    <definedName name="sumit1234" hidden="1">{"bs",#N/A,FALSE,"BS";"pl",#N/A,FALSE,"PL";"res",#N/A,FALSE,"S.CAP,RES";"loans",#N/A,FALSE,"Loans";"inv",#N/A,FALSE,"C.Assets";"fa",#N/A,FALSE,"F.Assets";"ca",#N/A,FALSE,"C.Assets";"cl",#N/A,FALSE,"CL,Sales,Income";"ovh",#N/A,FALSE,"OVH"}</definedName>
    <definedName name="SUMMFF" localSheetId="0" hidden="1">{#N/A,#N/A,FALSE,"PROFIT 11-95"}</definedName>
    <definedName name="SUMMFF" localSheetId="6" hidden="1">{#N/A,#N/A,FALSE,"PROFIT 11-95"}</definedName>
    <definedName name="SUMMFF" hidden="1">{#N/A,#N/A,FALSE,"PROFIT 11-95"}</definedName>
    <definedName name="summonths">#REF!</definedName>
    <definedName name="SUN" localSheetId="6" hidden="1">{"VIEW1",#N/A,FALSE,"P&amp;L Account 2001-2002";"VIEW2",#N/A,FALSE,"P&amp;L Account 2001-2002";"VIEW3",#N/A,FALSE,"P&amp;L Account 2001-2002";"VIEW4",#N/A,FALSE,"P&amp;L Account 2001-2002"}</definedName>
    <definedName name="SUN" hidden="1">{"VIEW1",#N/A,FALSE,"P&amp;L Account 2001-2002";"VIEW2",#N/A,FALSE,"P&amp;L Account 2001-2002";"VIEW3",#N/A,FALSE,"P&amp;L Account 2001-2002";"VIEW4",#N/A,FALSE,"P&amp;L Account 2001-2002"}</definedName>
    <definedName name="SUNDAY" localSheetId="6" hidden="1">{"VIEW1",#N/A,FALSE,"P&amp;L Account 2001-2002";"VIEW2",#N/A,FALSE,"P&amp;L Account 2001-2002";"VIEW3",#N/A,FALSE,"P&amp;L Account 2001-2002";"VIEW4",#N/A,FALSE,"P&amp;L Account 2001-2002"}</definedName>
    <definedName name="SUNDAY" hidden="1">{"VIEW1",#N/A,FALSE,"P&amp;L Account 2001-2002";"VIEW2",#N/A,FALSE,"P&amp;L Account 2001-2002";"VIEW3",#N/A,FALSE,"P&amp;L Account 2001-2002";"VIEW4",#N/A,FALSE,"P&amp;L Account 2001-2002"}</definedName>
    <definedName name="SUNIL1" localSheetId="6" hidden="1">{"VIEW1",#N/A,FALSE,"P&amp;L Account 2001-2002";"VIEW2",#N/A,FALSE,"P&amp;L Account 2001-2002";"VIEW3",#N/A,FALSE,"P&amp;L Account 2001-2002";"VIEW4",#N/A,FALSE,"P&amp;L Account 2001-2002"}</definedName>
    <definedName name="SUNIL1" hidden="1">{"VIEW1",#N/A,FALSE,"P&amp;L Account 2001-2002";"VIEW2",#N/A,FALSE,"P&amp;L Account 2001-2002";"VIEW3",#N/A,FALSE,"P&amp;L Account 2001-2002";"VIEW4",#N/A,FALSE,"P&amp;L Account 2001-2002"}</definedName>
    <definedName name="Sup_exp_Bud" localSheetId="6" hidden="1">{#N/A,#N/A,FALSE,"Scenario PivotTable"}</definedName>
    <definedName name="Sup_exp_Bud" hidden="1">{#N/A,#N/A,FALSE,"Scenario PivotTable"}</definedName>
    <definedName name="Sup_Exp_Bud_07" localSheetId="6" hidden="1">{#N/A,#N/A,FALSE,"Scenario PivotTable"}</definedName>
    <definedName name="Sup_Exp_Bud_07" hidden="1">{#N/A,#N/A,FALSE,"Scenario PivotTable"}</definedName>
    <definedName name="Sup_Exp_Bud_07_1" localSheetId="6" hidden="1">{#N/A,#N/A,FALSE,"Scenario PivotTable"}</definedName>
    <definedName name="Sup_Exp_Bud_07_1" hidden="1">{#N/A,#N/A,FALSE,"Scenario PivotTable"}</definedName>
    <definedName name="Sup_Exp_Bud_07_1_1" localSheetId="6" hidden="1">{#N/A,#N/A,FALSE,"Scenario PivotTable"}</definedName>
    <definedName name="Sup_Exp_Bud_07_1_1" hidden="1">{#N/A,#N/A,FALSE,"Scenario PivotTable"}</definedName>
    <definedName name="Sup_Exp_Bud_07_1_1_1" localSheetId="6" hidden="1">{#N/A,#N/A,FALSE,"Scenario PivotTable"}</definedName>
    <definedName name="Sup_Exp_Bud_07_1_1_1" hidden="1">{#N/A,#N/A,FALSE,"Scenario PivotTable"}</definedName>
    <definedName name="Sup_Exp_Bud_07_1_1_1_1" localSheetId="6" hidden="1">{#N/A,#N/A,FALSE,"Scenario PivotTable"}</definedName>
    <definedName name="Sup_Exp_Bud_07_1_1_1_1" hidden="1">{#N/A,#N/A,FALSE,"Scenario PivotTable"}</definedName>
    <definedName name="Sup_Exp_Bud_07_1_1_2" localSheetId="6" hidden="1">{#N/A,#N/A,FALSE,"Scenario PivotTable"}</definedName>
    <definedName name="Sup_Exp_Bud_07_1_1_2" hidden="1">{#N/A,#N/A,FALSE,"Scenario PivotTable"}</definedName>
    <definedName name="Sup_Exp_Bud_07_1_1_2_1" localSheetId="6" hidden="1">{#N/A,#N/A,FALSE,"Scenario PivotTable"}</definedName>
    <definedName name="Sup_Exp_Bud_07_1_1_2_1" hidden="1">{#N/A,#N/A,FALSE,"Scenario PivotTable"}</definedName>
    <definedName name="Sup_Exp_Bud_07_1_1_3" localSheetId="6" hidden="1">{#N/A,#N/A,FALSE,"Scenario PivotTable"}</definedName>
    <definedName name="Sup_Exp_Bud_07_1_1_3" hidden="1">{#N/A,#N/A,FALSE,"Scenario PivotTable"}</definedName>
    <definedName name="Sup_Exp_Bud_07_1_2" localSheetId="6" hidden="1">{#N/A,#N/A,FALSE,"Scenario PivotTable"}</definedName>
    <definedName name="Sup_Exp_Bud_07_1_2" hidden="1">{#N/A,#N/A,FALSE,"Scenario PivotTable"}</definedName>
    <definedName name="Sup_Exp_Bud_07_1_2_1" localSheetId="6" hidden="1">{#N/A,#N/A,FALSE,"Scenario PivotTable"}</definedName>
    <definedName name="Sup_Exp_Bud_07_1_2_1" hidden="1">{#N/A,#N/A,FALSE,"Scenario PivotTable"}</definedName>
    <definedName name="Sup_Exp_Bud_07_1_2_1_1" localSheetId="6" hidden="1">{#N/A,#N/A,FALSE,"Scenario PivotTable"}</definedName>
    <definedName name="Sup_Exp_Bud_07_1_2_1_1" hidden="1">{#N/A,#N/A,FALSE,"Scenario PivotTable"}</definedName>
    <definedName name="Sup_Exp_Bud_07_1_2_2" localSheetId="6" hidden="1">{#N/A,#N/A,FALSE,"Scenario PivotTable"}</definedName>
    <definedName name="Sup_Exp_Bud_07_1_2_2" hidden="1">{#N/A,#N/A,FALSE,"Scenario PivotTable"}</definedName>
    <definedName name="Sup_Exp_Bud_07_1_3" localSheetId="6" hidden="1">{#N/A,#N/A,FALSE,"Scenario PivotTable"}</definedName>
    <definedName name="Sup_Exp_Bud_07_1_3" hidden="1">{#N/A,#N/A,FALSE,"Scenario PivotTable"}</definedName>
    <definedName name="Sup_Exp_Bud_07_1_3_1" localSheetId="6" hidden="1">{#N/A,#N/A,FALSE,"Scenario PivotTable"}</definedName>
    <definedName name="Sup_Exp_Bud_07_1_3_1" hidden="1">{#N/A,#N/A,FALSE,"Scenario PivotTable"}</definedName>
    <definedName name="Sup_Exp_Bud_07_1_4" localSheetId="6" hidden="1">{#N/A,#N/A,FALSE,"Scenario PivotTable"}</definedName>
    <definedName name="Sup_Exp_Bud_07_1_4" hidden="1">{#N/A,#N/A,FALSE,"Scenario PivotTable"}</definedName>
    <definedName name="Sup_Exp_Bud_07_2" localSheetId="6" hidden="1">{#N/A,#N/A,FALSE,"Scenario PivotTable"}</definedName>
    <definedName name="Sup_Exp_Bud_07_2" hidden="1">{#N/A,#N/A,FALSE,"Scenario PivotTable"}</definedName>
    <definedName name="Sup_Exp_Bud_07_2_1" localSheetId="6" hidden="1">{#N/A,#N/A,FALSE,"Scenario PivotTable"}</definedName>
    <definedName name="Sup_Exp_Bud_07_2_1" hidden="1">{#N/A,#N/A,FALSE,"Scenario PivotTable"}</definedName>
    <definedName name="Sup_Exp_Bud_07_2_1_1" localSheetId="6" hidden="1">{#N/A,#N/A,FALSE,"Scenario PivotTable"}</definedName>
    <definedName name="Sup_Exp_Bud_07_2_1_1" hidden="1">{#N/A,#N/A,FALSE,"Scenario PivotTable"}</definedName>
    <definedName name="Sup_Exp_Bud_07_2_1_1_1" localSheetId="6" hidden="1">{#N/A,#N/A,FALSE,"Scenario PivotTable"}</definedName>
    <definedName name="Sup_Exp_Bud_07_2_1_1_1" hidden="1">{#N/A,#N/A,FALSE,"Scenario PivotTable"}</definedName>
    <definedName name="Sup_Exp_Bud_07_2_1_2" localSheetId="6" hidden="1">{#N/A,#N/A,FALSE,"Scenario PivotTable"}</definedName>
    <definedName name="Sup_Exp_Bud_07_2_1_2" hidden="1">{#N/A,#N/A,FALSE,"Scenario PivotTable"}</definedName>
    <definedName name="Sup_Exp_Bud_07_2_1_2_1" localSheetId="6" hidden="1">{#N/A,#N/A,FALSE,"Scenario PivotTable"}</definedName>
    <definedName name="Sup_Exp_Bud_07_2_1_2_1" hidden="1">{#N/A,#N/A,FALSE,"Scenario PivotTable"}</definedName>
    <definedName name="Sup_Exp_Bud_07_2_1_3" localSheetId="6" hidden="1">{#N/A,#N/A,FALSE,"Scenario PivotTable"}</definedName>
    <definedName name="Sup_Exp_Bud_07_2_1_3" hidden="1">{#N/A,#N/A,FALSE,"Scenario PivotTable"}</definedName>
    <definedName name="Sup_Exp_Bud_07_2_2" localSheetId="6" hidden="1">{#N/A,#N/A,FALSE,"Scenario PivotTable"}</definedName>
    <definedName name="Sup_Exp_Bud_07_2_2" hidden="1">{#N/A,#N/A,FALSE,"Scenario PivotTable"}</definedName>
    <definedName name="Sup_Exp_Bud_07_2_2_1" localSheetId="6" hidden="1">{#N/A,#N/A,FALSE,"Scenario PivotTable"}</definedName>
    <definedName name="Sup_Exp_Bud_07_2_2_1" hidden="1">{#N/A,#N/A,FALSE,"Scenario PivotTable"}</definedName>
    <definedName name="Sup_Exp_Bud_07_2_2_1_1" localSheetId="6" hidden="1">{#N/A,#N/A,FALSE,"Scenario PivotTable"}</definedName>
    <definedName name="Sup_Exp_Bud_07_2_2_1_1" hidden="1">{#N/A,#N/A,FALSE,"Scenario PivotTable"}</definedName>
    <definedName name="Sup_Exp_Bud_07_2_2_2" localSheetId="6" hidden="1">{#N/A,#N/A,FALSE,"Scenario PivotTable"}</definedName>
    <definedName name="Sup_Exp_Bud_07_2_2_2" hidden="1">{#N/A,#N/A,FALSE,"Scenario PivotTable"}</definedName>
    <definedName name="Sup_Exp_Bud_07_2_3" localSheetId="6" hidden="1">{#N/A,#N/A,FALSE,"Scenario PivotTable"}</definedName>
    <definedName name="Sup_Exp_Bud_07_2_3" hidden="1">{#N/A,#N/A,FALSE,"Scenario PivotTable"}</definedName>
    <definedName name="Sup_Exp_Bud_07_2_3_1" localSheetId="6" hidden="1">{#N/A,#N/A,FALSE,"Scenario PivotTable"}</definedName>
    <definedName name="Sup_Exp_Bud_07_2_3_1" hidden="1">{#N/A,#N/A,FALSE,"Scenario PivotTable"}</definedName>
    <definedName name="Sup_Exp_Bud_07_2_4" localSheetId="6" hidden="1">{#N/A,#N/A,FALSE,"Scenario PivotTable"}</definedName>
    <definedName name="Sup_Exp_Bud_07_2_4" hidden="1">{#N/A,#N/A,FALSE,"Scenario PivotTable"}</definedName>
    <definedName name="Sup_Exp_Bud_07_3" localSheetId="6" hidden="1">{#N/A,#N/A,FALSE,"Scenario PivotTable"}</definedName>
    <definedName name="Sup_Exp_Bud_07_3" hidden="1">{#N/A,#N/A,FALSE,"Scenario PivotTable"}</definedName>
    <definedName name="Sup_Exp_Bud_07_3_1" localSheetId="6" hidden="1">{#N/A,#N/A,FALSE,"Scenario PivotTable"}</definedName>
    <definedName name="Sup_Exp_Bud_07_3_1" hidden="1">{#N/A,#N/A,FALSE,"Scenario PivotTable"}</definedName>
    <definedName name="Sup_Exp_Bud_07_3_1_1" localSheetId="6" hidden="1">{#N/A,#N/A,FALSE,"Scenario PivotTable"}</definedName>
    <definedName name="Sup_Exp_Bud_07_3_1_1" hidden="1">{#N/A,#N/A,FALSE,"Scenario PivotTable"}</definedName>
    <definedName name="Sup_Exp_Bud_07_3_1_1_1" localSheetId="6" hidden="1">{#N/A,#N/A,FALSE,"Scenario PivotTable"}</definedName>
    <definedName name="Sup_Exp_Bud_07_3_1_1_1" hidden="1">{#N/A,#N/A,FALSE,"Scenario PivotTable"}</definedName>
    <definedName name="Sup_Exp_Bud_07_3_1_2" localSheetId="6" hidden="1">{#N/A,#N/A,FALSE,"Scenario PivotTable"}</definedName>
    <definedName name="Sup_Exp_Bud_07_3_1_2" hidden="1">{#N/A,#N/A,FALSE,"Scenario PivotTable"}</definedName>
    <definedName name="Sup_Exp_Bud_07_3_1_2_1" localSheetId="6" hidden="1">{#N/A,#N/A,FALSE,"Scenario PivotTable"}</definedName>
    <definedName name="Sup_Exp_Bud_07_3_1_2_1" hidden="1">{#N/A,#N/A,FALSE,"Scenario PivotTable"}</definedName>
    <definedName name="Sup_Exp_Bud_07_3_1_3" localSheetId="6" hidden="1">{#N/A,#N/A,FALSE,"Scenario PivotTable"}</definedName>
    <definedName name="Sup_Exp_Bud_07_3_1_3" hidden="1">{#N/A,#N/A,FALSE,"Scenario PivotTable"}</definedName>
    <definedName name="Sup_Exp_Bud_07_3_2" localSheetId="6" hidden="1">{#N/A,#N/A,FALSE,"Scenario PivotTable"}</definedName>
    <definedName name="Sup_Exp_Bud_07_3_2" hidden="1">{#N/A,#N/A,FALSE,"Scenario PivotTable"}</definedName>
    <definedName name="Sup_Exp_Bud_07_3_2_1" localSheetId="6" hidden="1">{#N/A,#N/A,FALSE,"Scenario PivotTable"}</definedName>
    <definedName name="Sup_Exp_Bud_07_3_2_1" hidden="1">{#N/A,#N/A,FALSE,"Scenario PivotTable"}</definedName>
    <definedName name="Sup_Exp_Bud_07_3_2_1_1" localSheetId="6" hidden="1">{#N/A,#N/A,FALSE,"Scenario PivotTable"}</definedName>
    <definedName name="Sup_Exp_Bud_07_3_2_1_1" hidden="1">{#N/A,#N/A,FALSE,"Scenario PivotTable"}</definedName>
    <definedName name="Sup_Exp_Bud_07_3_2_2" localSheetId="6" hidden="1">{#N/A,#N/A,FALSE,"Scenario PivotTable"}</definedName>
    <definedName name="Sup_Exp_Bud_07_3_2_2" hidden="1">{#N/A,#N/A,FALSE,"Scenario PivotTable"}</definedName>
    <definedName name="Sup_Exp_Bud_07_3_3" localSheetId="6" hidden="1">{#N/A,#N/A,FALSE,"Scenario PivotTable"}</definedName>
    <definedName name="Sup_Exp_Bud_07_3_3" hidden="1">{#N/A,#N/A,FALSE,"Scenario PivotTable"}</definedName>
    <definedName name="Sup_Exp_Bud_07_3_3_1" localSheetId="6" hidden="1">{#N/A,#N/A,FALSE,"Scenario PivotTable"}</definedName>
    <definedName name="Sup_Exp_Bud_07_3_3_1" hidden="1">{#N/A,#N/A,FALSE,"Scenario PivotTable"}</definedName>
    <definedName name="Sup_Exp_Bud_07_3_4" localSheetId="6" hidden="1">{#N/A,#N/A,FALSE,"Scenario PivotTable"}</definedName>
    <definedName name="Sup_Exp_Bud_07_3_4" hidden="1">{#N/A,#N/A,FALSE,"Scenario PivotTable"}</definedName>
    <definedName name="Sup_Exp_Bud_07_4" localSheetId="6" hidden="1">{#N/A,#N/A,FALSE,"Scenario PivotTable"}</definedName>
    <definedName name="Sup_Exp_Bud_07_4" hidden="1">{#N/A,#N/A,FALSE,"Scenario PivotTable"}</definedName>
    <definedName name="Sup_Exp_Bud_07_4_1" localSheetId="6" hidden="1">{#N/A,#N/A,FALSE,"Scenario PivotTable"}</definedName>
    <definedName name="Sup_Exp_Bud_07_4_1" hidden="1">{#N/A,#N/A,FALSE,"Scenario PivotTable"}</definedName>
    <definedName name="Sup_Exp_Bud_07_4_1_1" localSheetId="6" hidden="1">{#N/A,#N/A,FALSE,"Scenario PivotTable"}</definedName>
    <definedName name="Sup_Exp_Bud_07_4_1_1" hidden="1">{#N/A,#N/A,FALSE,"Scenario PivotTable"}</definedName>
    <definedName name="Sup_Exp_Bud_07_4_1_1_1" localSheetId="6" hidden="1">{#N/A,#N/A,FALSE,"Scenario PivotTable"}</definedName>
    <definedName name="Sup_Exp_Bud_07_4_1_1_1" hidden="1">{#N/A,#N/A,FALSE,"Scenario PivotTable"}</definedName>
    <definedName name="Sup_Exp_Bud_07_4_1_2" localSheetId="6" hidden="1">{#N/A,#N/A,FALSE,"Scenario PivotTable"}</definedName>
    <definedName name="Sup_Exp_Bud_07_4_1_2" hidden="1">{#N/A,#N/A,FALSE,"Scenario PivotTable"}</definedName>
    <definedName name="Sup_Exp_Bud_07_4_1_2_1" localSheetId="6" hidden="1">{#N/A,#N/A,FALSE,"Scenario PivotTable"}</definedName>
    <definedName name="Sup_Exp_Bud_07_4_1_2_1" hidden="1">{#N/A,#N/A,FALSE,"Scenario PivotTable"}</definedName>
    <definedName name="Sup_Exp_Bud_07_4_1_3" localSheetId="6" hidden="1">{#N/A,#N/A,FALSE,"Scenario PivotTable"}</definedName>
    <definedName name="Sup_Exp_Bud_07_4_1_3" hidden="1">{#N/A,#N/A,FALSE,"Scenario PivotTable"}</definedName>
    <definedName name="Sup_Exp_Bud_07_4_2" localSheetId="6" hidden="1">{#N/A,#N/A,FALSE,"Scenario PivotTable"}</definedName>
    <definedName name="Sup_Exp_Bud_07_4_2" hidden="1">{#N/A,#N/A,FALSE,"Scenario PivotTable"}</definedName>
    <definedName name="Sup_Exp_Bud_07_4_2_1" localSheetId="6" hidden="1">{#N/A,#N/A,FALSE,"Scenario PivotTable"}</definedName>
    <definedName name="Sup_Exp_Bud_07_4_2_1" hidden="1">{#N/A,#N/A,FALSE,"Scenario PivotTable"}</definedName>
    <definedName name="Sup_Exp_Bud_07_4_2_1_1" localSheetId="6" hidden="1">{#N/A,#N/A,FALSE,"Scenario PivotTable"}</definedName>
    <definedName name="Sup_Exp_Bud_07_4_2_1_1" hidden="1">{#N/A,#N/A,FALSE,"Scenario PivotTable"}</definedName>
    <definedName name="Sup_Exp_Bud_07_4_2_2" localSheetId="6" hidden="1">{#N/A,#N/A,FALSE,"Scenario PivotTable"}</definedName>
    <definedName name="Sup_Exp_Bud_07_4_2_2" hidden="1">{#N/A,#N/A,FALSE,"Scenario PivotTable"}</definedName>
    <definedName name="Sup_Exp_Bud_07_4_3" localSheetId="6" hidden="1">{#N/A,#N/A,FALSE,"Scenario PivotTable"}</definedName>
    <definedName name="Sup_Exp_Bud_07_4_3" hidden="1">{#N/A,#N/A,FALSE,"Scenario PivotTable"}</definedName>
    <definedName name="Sup_Exp_Bud_07_4_3_1" localSheetId="6" hidden="1">{#N/A,#N/A,FALSE,"Scenario PivotTable"}</definedName>
    <definedName name="Sup_Exp_Bud_07_4_3_1" hidden="1">{#N/A,#N/A,FALSE,"Scenario PivotTable"}</definedName>
    <definedName name="Sup_Exp_Bud_07_4_4" localSheetId="6" hidden="1">{#N/A,#N/A,FALSE,"Scenario PivotTable"}</definedName>
    <definedName name="Sup_Exp_Bud_07_4_4" hidden="1">{#N/A,#N/A,FALSE,"Scenario PivotTable"}</definedName>
    <definedName name="Sup_Exp_Bud_07_5" localSheetId="6" hidden="1">{#N/A,#N/A,FALSE,"Scenario PivotTable"}</definedName>
    <definedName name="Sup_Exp_Bud_07_5" hidden="1">{#N/A,#N/A,FALSE,"Scenario PivotTable"}</definedName>
    <definedName name="Sup_Exp_Bud_07_5_1" localSheetId="6" hidden="1">{#N/A,#N/A,FALSE,"Scenario PivotTable"}</definedName>
    <definedName name="Sup_Exp_Bud_07_5_1" hidden="1">{#N/A,#N/A,FALSE,"Scenario PivotTable"}</definedName>
    <definedName name="Sup_Exp_Bud_07_5_1_1" localSheetId="6" hidden="1">{#N/A,#N/A,FALSE,"Scenario PivotTable"}</definedName>
    <definedName name="Sup_Exp_Bud_07_5_1_1" hidden="1">{#N/A,#N/A,FALSE,"Scenario PivotTable"}</definedName>
    <definedName name="Sup_Exp_Bud_07_5_1_1_1" localSheetId="6" hidden="1">{#N/A,#N/A,FALSE,"Scenario PivotTable"}</definedName>
    <definedName name="Sup_Exp_Bud_07_5_1_1_1" hidden="1">{#N/A,#N/A,FALSE,"Scenario PivotTable"}</definedName>
    <definedName name="Sup_Exp_Bud_07_5_1_2" localSheetId="6" hidden="1">{#N/A,#N/A,FALSE,"Scenario PivotTable"}</definedName>
    <definedName name="Sup_Exp_Bud_07_5_1_2" hidden="1">{#N/A,#N/A,FALSE,"Scenario PivotTable"}</definedName>
    <definedName name="Sup_Exp_Bud_07_5_1_2_1" localSheetId="6" hidden="1">{#N/A,#N/A,FALSE,"Scenario PivotTable"}</definedName>
    <definedName name="Sup_Exp_Bud_07_5_1_2_1" hidden="1">{#N/A,#N/A,FALSE,"Scenario PivotTable"}</definedName>
    <definedName name="Sup_Exp_Bud_07_5_1_3" localSheetId="6" hidden="1">{#N/A,#N/A,FALSE,"Scenario PivotTable"}</definedName>
    <definedName name="Sup_Exp_Bud_07_5_1_3" hidden="1">{#N/A,#N/A,FALSE,"Scenario PivotTable"}</definedName>
    <definedName name="Sup_Exp_Bud_07_5_2" localSheetId="6" hidden="1">{#N/A,#N/A,FALSE,"Scenario PivotTable"}</definedName>
    <definedName name="Sup_Exp_Bud_07_5_2" hidden="1">{#N/A,#N/A,FALSE,"Scenario PivotTable"}</definedName>
    <definedName name="Sup_Exp_Bud_07_5_2_1" localSheetId="6" hidden="1">{#N/A,#N/A,FALSE,"Scenario PivotTable"}</definedName>
    <definedName name="Sup_Exp_Bud_07_5_2_1" hidden="1">{#N/A,#N/A,FALSE,"Scenario PivotTable"}</definedName>
    <definedName name="Sup_Exp_Bud_07_5_2_1_1" localSheetId="6" hidden="1">{#N/A,#N/A,FALSE,"Scenario PivotTable"}</definedName>
    <definedName name="Sup_Exp_Bud_07_5_2_1_1" hidden="1">{#N/A,#N/A,FALSE,"Scenario PivotTable"}</definedName>
    <definedName name="Sup_Exp_Bud_07_5_2_2" localSheetId="6" hidden="1">{#N/A,#N/A,FALSE,"Scenario PivotTable"}</definedName>
    <definedName name="Sup_Exp_Bud_07_5_2_2" hidden="1">{#N/A,#N/A,FALSE,"Scenario PivotTable"}</definedName>
    <definedName name="Sup_Exp_Bud_07_5_3" localSheetId="6" hidden="1">{#N/A,#N/A,FALSE,"Scenario PivotTable"}</definedName>
    <definedName name="Sup_Exp_Bud_07_5_3" hidden="1">{#N/A,#N/A,FALSE,"Scenario PivotTable"}</definedName>
    <definedName name="Sup_Exp_Bud_07_5_3_1" localSheetId="6" hidden="1">{#N/A,#N/A,FALSE,"Scenario PivotTable"}</definedName>
    <definedName name="Sup_Exp_Bud_07_5_3_1" hidden="1">{#N/A,#N/A,FALSE,"Scenario PivotTable"}</definedName>
    <definedName name="Sup_Exp_Bud_07_5_4" localSheetId="6" hidden="1">{#N/A,#N/A,FALSE,"Scenario PivotTable"}</definedName>
    <definedName name="Sup_Exp_Bud_07_5_4" hidden="1">{#N/A,#N/A,FALSE,"Scenario PivotTable"}</definedName>
    <definedName name="Sup_exp_Bud_1" localSheetId="6" hidden="1">{#N/A,#N/A,FALSE,"Scenario PivotTable"}</definedName>
    <definedName name="Sup_exp_Bud_1" hidden="1">{#N/A,#N/A,FALSE,"Scenario PivotTable"}</definedName>
    <definedName name="Sup_exp_Bud_1_1" localSheetId="6" hidden="1">{#N/A,#N/A,FALSE,"Scenario PivotTable"}</definedName>
    <definedName name="Sup_exp_Bud_1_1" hidden="1">{#N/A,#N/A,FALSE,"Scenario PivotTable"}</definedName>
    <definedName name="Sup_exp_Bud_1_1_1" localSheetId="6" hidden="1">{#N/A,#N/A,FALSE,"Scenario PivotTable"}</definedName>
    <definedName name="Sup_exp_Bud_1_1_1" hidden="1">{#N/A,#N/A,FALSE,"Scenario PivotTable"}</definedName>
    <definedName name="Sup_exp_Bud_1_1_1_1" localSheetId="6" hidden="1">{#N/A,#N/A,FALSE,"Scenario PivotTable"}</definedName>
    <definedName name="Sup_exp_Bud_1_1_1_1" hidden="1">{#N/A,#N/A,FALSE,"Scenario PivotTable"}</definedName>
    <definedName name="Sup_exp_Bud_1_1_2" localSheetId="6" hidden="1">{#N/A,#N/A,FALSE,"Scenario PivotTable"}</definedName>
    <definedName name="Sup_exp_Bud_1_1_2" hidden="1">{#N/A,#N/A,FALSE,"Scenario PivotTable"}</definedName>
    <definedName name="Sup_exp_Bud_1_1_2_1" localSheetId="6" hidden="1">{#N/A,#N/A,FALSE,"Scenario PivotTable"}</definedName>
    <definedName name="Sup_exp_Bud_1_1_2_1" hidden="1">{#N/A,#N/A,FALSE,"Scenario PivotTable"}</definedName>
    <definedName name="Sup_exp_Bud_1_1_3" localSheetId="6" hidden="1">{#N/A,#N/A,FALSE,"Scenario PivotTable"}</definedName>
    <definedName name="Sup_exp_Bud_1_1_3" hidden="1">{#N/A,#N/A,FALSE,"Scenario PivotTable"}</definedName>
    <definedName name="Sup_exp_Bud_1_2" localSheetId="6" hidden="1">{#N/A,#N/A,FALSE,"Scenario PivotTable"}</definedName>
    <definedName name="Sup_exp_Bud_1_2" hidden="1">{#N/A,#N/A,FALSE,"Scenario PivotTable"}</definedName>
    <definedName name="Sup_exp_Bud_1_2_1" localSheetId="6" hidden="1">{#N/A,#N/A,FALSE,"Scenario PivotTable"}</definedName>
    <definedName name="Sup_exp_Bud_1_2_1" hidden="1">{#N/A,#N/A,FALSE,"Scenario PivotTable"}</definedName>
    <definedName name="Sup_exp_Bud_1_2_1_1" localSheetId="6" hidden="1">{#N/A,#N/A,FALSE,"Scenario PivotTable"}</definedName>
    <definedName name="Sup_exp_Bud_1_2_1_1" hidden="1">{#N/A,#N/A,FALSE,"Scenario PivotTable"}</definedName>
    <definedName name="Sup_exp_Bud_1_2_2" localSheetId="6" hidden="1">{#N/A,#N/A,FALSE,"Scenario PivotTable"}</definedName>
    <definedName name="Sup_exp_Bud_1_2_2" hidden="1">{#N/A,#N/A,FALSE,"Scenario PivotTable"}</definedName>
    <definedName name="Sup_exp_Bud_1_3" localSheetId="6" hidden="1">{#N/A,#N/A,FALSE,"Scenario PivotTable"}</definedName>
    <definedName name="Sup_exp_Bud_1_3" hidden="1">{#N/A,#N/A,FALSE,"Scenario PivotTable"}</definedName>
    <definedName name="Sup_exp_Bud_1_3_1" localSheetId="6" hidden="1">{#N/A,#N/A,FALSE,"Scenario PivotTable"}</definedName>
    <definedName name="Sup_exp_Bud_1_3_1" hidden="1">{#N/A,#N/A,FALSE,"Scenario PivotTable"}</definedName>
    <definedName name="Sup_exp_Bud_1_4" localSheetId="6" hidden="1">{#N/A,#N/A,FALSE,"Scenario PivotTable"}</definedName>
    <definedName name="Sup_exp_Bud_1_4" hidden="1">{#N/A,#N/A,FALSE,"Scenario PivotTable"}</definedName>
    <definedName name="Sup_exp_Bud_2" localSheetId="6" hidden="1">{#N/A,#N/A,FALSE,"Scenario PivotTable"}</definedName>
    <definedName name="Sup_exp_Bud_2" hidden="1">{#N/A,#N/A,FALSE,"Scenario PivotTable"}</definedName>
    <definedName name="Sup_exp_Bud_2_1" localSheetId="6" hidden="1">{#N/A,#N/A,FALSE,"Scenario PivotTable"}</definedName>
    <definedName name="Sup_exp_Bud_2_1" hidden="1">{#N/A,#N/A,FALSE,"Scenario PivotTable"}</definedName>
    <definedName name="Sup_exp_Bud_2_1_1" localSheetId="6" hidden="1">{#N/A,#N/A,FALSE,"Scenario PivotTable"}</definedName>
    <definedName name="Sup_exp_Bud_2_1_1" hidden="1">{#N/A,#N/A,FALSE,"Scenario PivotTable"}</definedName>
    <definedName name="Sup_exp_Bud_2_1_1_1" localSheetId="6" hidden="1">{#N/A,#N/A,FALSE,"Scenario PivotTable"}</definedName>
    <definedName name="Sup_exp_Bud_2_1_1_1" hidden="1">{#N/A,#N/A,FALSE,"Scenario PivotTable"}</definedName>
    <definedName name="Sup_exp_Bud_2_1_2" localSheetId="6" hidden="1">{#N/A,#N/A,FALSE,"Scenario PivotTable"}</definedName>
    <definedName name="Sup_exp_Bud_2_1_2" hidden="1">{#N/A,#N/A,FALSE,"Scenario PivotTable"}</definedName>
    <definedName name="Sup_exp_Bud_2_1_2_1" localSheetId="6" hidden="1">{#N/A,#N/A,FALSE,"Scenario PivotTable"}</definedName>
    <definedName name="Sup_exp_Bud_2_1_2_1" hidden="1">{#N/A,#N/A,FALSE,"Scenario PivotTable"}</definedName>
    <definedName name="Sup_exp_Bud_2_1_3" localSheetId="6" hidden="1">{#N/A,#N/A,FALSE,"Scenario PivotTable"}</definedName>
    <definedName name="Sup_exp_Bud_2_1_3" hidden="1">{#N/A,#N/A,FALSE,"Scenario PivotTable"}</definedName>
    <definedName name="Sup_exp_Bud_2_2" localSheetId="6" hidden="1">{#N/A,#N/A,FALSE,"Scenario PivotTable"}</definedName>
    <definedName name="Sup_exp_Bud_2_2" hidden="1">{#N/A,#N/A,FALSE,"Scenario PivotTable"}</definedName>
    <definedName name="Sup_exp_Bud_2_2_1" localSheetId="6" hidden="1">{#N/A,#N/A,FALSE,"Scenario PivotTable"}</definedName>
    <definedName name="Sup_exp_Bud_2_2_1" hidden="1">{#N/A,#N/A,FALSE,"Scenario PivotTable"}</definedName>
    <definedName name="Sup_exp_Bud_2_2_1_1" localSheetId="6" hidden="1">{#N/A,#N/A,FALSE,"Scenario PivotTable"}</definedName>
    <definedName name="Sup_exp_Bud_2_2_1_1" hidden="1">{#N/A,#N/A,FALSE,"Scenario PivotTable"}</definedName>
    <definedName name="Sup_exp_Bud_2_2_2" localSheetId="6" hidden="1">{#N/A,#N/A,FALSE,"Scenario PivotTable"}</definedName>
    <definedName name="Sup_exp_Bud_2_2_2" hidden="1">{#N/A,#N/A,FALSE,"Scenario PivotTable"}</definedName>
    <definedName name="Sup_exp_Bud_2_3" localSheetId="6" hidden="1">{#N/A,#N/A,FALSE,"Scenario PivotTable"}</definedName>
    <definedName name="Sup_exp_Bud_2_3" hidden="1">{#N/A,#N/A,FALSE,"Scenario PivotTable"}</definedName>
    <definedName name="Sup_exp_Bud_2_3_1" localSheetId="6" hidden="1">{#N/A,#N/A,FALSE,"Scenario PivotTable"}</definedName>
    <definedName name="Sup_exp_Bud_2_3_1" hidden="1">{#N/A,#N/A,FALSE,"Scenario PivotTable"}</definedName>
    <definedName name="Sup_exp_Bud_2_4" localSheetId="6" hidden="1">{#N/A,#N/A,FALSE,"Scenario PivotTable"}</definedName>
    <definedName name="Sup_exp_Bud_2_4" hidden="1">{#N/A,#N/A,FALSE,"Scenario PivotTable"}</definedName>
    <definedName name="Sup_exp_Bud_3" localSheetId="6" hidden="1">{#N/A,#N/A,FALSE,"Scenario PivotTable"}</definedName>
    <definedName name="Sup_exp_Bud_3" hidden="1">{#N/A,#N/A,FALSE,"Scenario PivotTable"}</definedName>
    <definedName name="Sup_exp_Bud_3_1" localSheetId="6" hidden="1">{#N/A,#N/A,FALSE,"Scenario PivotTable"}</definedName>
    <definedName name="Sup_exp_Bud_3_1" hidden="1">{#N/A,#N/A,FALSE,"Scenario PivotTable"}</definedName>
    <definedName name="Sup_exp_Bud_3_1_1" localSheetId="6" hidden="1">{#N/A,#N/A,FALSE,"Scenario PivotTable"}</definedName>
    <definedName name="Sup_exp_Bud_3_1_1" hidden="1">{#N/A,#N/A,FALSE,"Scenario PivotTable"}</definedName>
    <definedName name="Sup_exp_Bud_3_1_1_1" localSheetId="6" hidden="1">{#N/A,#N/A,FALSE,"Scenario PivotTable"}</definedName>
    <definedName name="Sup_exp_Bud_3_1_1_1" hidden="1">{#N/A,#N/A,FALSE,"Scenario PivotTable"}</definedName>
    <definedName name="Sup_exp_Bud_3_1_2" localSheetId="6" hidden="1">{#N/A,#N/A,FALSE,"Scenario PivotTable"}</definedName>
    <definedName name="Sup_exp_Bud_3_1_2" hidden="1">{#N/A,#N/A,FALSE,"Scenario PivotTable"}</definedName>
    <definedName name="Sup_exp_Bud_3_1_2_1" localSheetId="6" hidden="1">{#N/A,#N/A,FALSE,"Scenario PivotTable"}</definedName>
    <definedName name="Sup_exp_Bud_3_1_2_1" hidden="1">{#N/A,#N/A,FALSE,"Scenario PivotTable"}</definedName>
    <definedName name="Sup_exp_Bud_3_1_3" localSheetId="6" hidden="1">{#N/A,#N/A,FALSE,"Scenario PivotTable"}</definedName>
    <definedName name="Sup_exp_Bud_3_1_3" hidden="1">{#N/A,#N/A,FALSE,"Scenario PivotTable"}</definedName>
    <definedName name="Sup_exp_Bud_3_2" localSheetId="6" hidden="1">{#N/A,#N/A,FALSE,"Scenario PivotTable"}</definedName>
    <definedName name="Sup_exp_Bud_3_2" hidden="1">{#N/A,#N/A,FALSE,"Scenario PivotTable"}</definedName>
    <definedName name="Sup_exp_Bud_3_2_1" localSheetId="6" hidden="1">{#N/A,#N/A,FALSE,"Scenario PivotTable"}</definedName>
    <definedName name="Sup_exp_Bud_3_2_1" hidden="1">{#N/A,#N/A,FALSE,"Scenario PivotTable"}</definedName>
    <definedName name="Sup_exp_Bud_3_2_1_1" localSheetId="6" hidden="1">{#N/A,#N/A,FALSE,"Scenario PivotTable"}</definedName>
    <definedName name="Sup_exp_Bud_3_2_1_1" hidden="1">{#N/A,#N/A,FALSE,"Scenario PivotTable"}</definedName>
    <definedName name="Sup_exp_Bud_3_2_2" localSheetId="6" hidden="1">{#N/A,#N/A,FALSE,"Scenario PivotTable"}</definedName>
    <definedName name="Sup_exp_Bud_3_2_2" hidden="1">{#N/A,#N/A,FALSE,"Scenario PivotTable"}</definedName>
    <definedName name="Sup_exp_Bud_3_3" localSheetId="6" hidden="1">{#N/A,#N/A,FALSE,"Scenario PivotTable"}</definedName>
    <definedName name="Sup_exp_Bud_3_3" hidden="1">{#N/A,#N/A,FALSE,"Scenario PivotTable"}</definedName>
    <definedName name="Sup_exp_Bud_3_3_1" localSheetId="6" hidden="1">{#N/A,#N/A,FALSE,"Scenario PivotTable"}</definedName>
    <definedName name="Sup_exp_Bud_3_3_1" hidden="1">{#N/A,#N/A,FALSE,"Scenario PivotTable"}</definedName>
    <definedName name="Sup_exp_Bud_3_4" localSheetId="6" hidden="1">{#N/A,#N/A,FALSE,"Scenario PivotTable"}</definedName>
    <definedName name="Sup_exp_Bud_3_4" hidden="1">{#N/A,#N/A,FALSE,"Scenario PivotTable"}</definedName>
    <definedName name="Sup_exp_Bud_4" localSheetId="6" hidden="1">{#N/A,#N/A,FALSE,"Scenario PivotTable"}</definedName>
    <definedName name="Sup_exp_Bud_4" hidden="1">{#N/A,#N/A,FALSE,"Scenario PivotTable"}</definedName>
    <definedName name="Sup_exp_Bud_4_1" localSheetId="6" hidden="1">{#N/A,#N/A,FALSE,"Scenario PivotTable"}</definedName>
    <definedName name="Sup_exp_Bud_4_1" hidden="1">{#N/A,#N/A,FALSE,"Scenario PivotTable"}</definedName>
    <definedName name="Sup_exp_Bud_4_1_1" localSheetId="6" hidden="1">{#N/A,#N/A,FALSE,"Scenario PivotTable"}</definedName>
    <definedName name="Sup_exp_Bud_4_1_1" hidden="1">{#N/A,#N/A,FALSE,"Scenario PivotTable"}</definedName>
    <definedName name="Sup_exp_Bud_4_1_1_1" localSheetId="6" hidden="1">{#N/A,#N/A,FALSE,"Scenario PivotTable"}</definedName>
    <definedName name="Sup_exp_Bud_4_1_1_1" hidden="1">{#N/A,#N/A,FALSE,"Scenario PivotTable"}</definedName>
    <definedName name="Sup_exp_Bud_4_1_2" localSheetId="6" hidden="1">{#N/A,#N/A,FALSE,"Scenario PivotTable"}</definedName>
    <definedName name="Sup_exp_Bud_4_1_2" hidden="1">{#N/A,#N/A,FALSE,"Scenario PivotTable"}</definedName>
    <definedName name="Sup_exp_Bud_4_1_2_1" localSheetId="6" hidden="1">{#N/A,#N/A,FALSE,"Scenario PivotTable"}</definedName>
    <definedName name="Sup_exp_Bud_4_1_2_1" hidden="1">{#N/A,#N/A,FALSE,"Scenario PivotTable"}</definedName>
    <definedName name="Sup_exp_Bud_4_1_3" localSheetId="6" hidden="1">{#N/A,#N/A,FALSE,"Scenario PivotTable"}</definedName>
    <definedName name="Sup_exp_Bud_4_1_3" hidden="1">{#N/A,#N/A,FALSE,"Scenario PivotTable"}</definedName>
    <definedName name="Sup_exp_Bud_4_2" localSheetId="6" hidden="1">{#N/A,#N/A,FALSE,"Scenario PivotTable"}</definedName>
    <definedName name="Sup_exp_Bud_4_2" hidden="1">{#N/A,#N/A,FALSE,"Scenario PivotTable"}</definedName>
    <definedName name="Sup_exp_Bud_4_2_1" localSheetId="6" hidden="1">{#N/A,#N/A,FALSE,"Scenario PivotTable"}</definedName>
    <definedName name="Sup_exp_Bud_4_2_1" hidden="1">{#N/A,#N/A,FALSE,"Scenario PivotTable"}</definedName>
    <definedName name="Sup_exp_Bud_4_2_1_1" localSheetId="6" hidden="1">{#N/A,#N/A,FALSE,"Scenario PivotTable"}</definedName>
    <definedName name="Sup_exp_Bud_4_2_1_1" hidden="1">{#N/A,#N/A,FALSE,"Scenario PivotTable"}</definedName>
    <definedName name="Sup_exp_Bud_4_2_2" localSheetId="6" hidden="1">{#N/A,#N/A,FALSE,"Scenario PivotTable"}</definedName>
    <definedName name="Sup_exp_Bud_4_2_2" hidden="1">{#N/A,#N/A,FALSE,"Scenario PivotTable"}</definedName>
    <definedName name="Sup_exp_Bud_4_3" localSheetId="6" hidden="1">{#N/A,#N/A,FALSE,"Scenario PivotTable"}</definedName>
    <definedName name="Sup_exp_Bud_4_3" hidden="1">{#N/A,#N/A,FALSE,"Scenario PivotTable"}</definedName>
    <definedName name="Sup_exp_Bud_4_3_1" localSheetId="6" hidden="1">{#N/A,#N/A,FALSE,"Scenario PivotTable"}</definedName>
    <definedName name="Sup_exp_Bud_4_3_1" hidden="1">{#N/A,#N/A,FALSE,"Scenario PivotTable"}</definedName>
    <definedName name="Sup_exp_Bud_4_4" localSheetId="6" hidden="1">{#N/A,#N/A,FALSE,"Scenario PivotTable"}</definedName>
    <definedName name="Sup_exp_Bud_4_4" hidden="1">{#N/A,#N/A,FALSE,"Scenario PivotTable"}</definedName>
    <definedName name="Sup_exp_Bud_5" localSheetId="6" hidden="1">{#N/A,#N/A,FALSE,"Scenario PivotTable"}</definedName>
    <definedName name="Sup_exp_Bud_5" hidden="1">{#N/A,#N/A,FALSE,"Scenario PivotTable"}</definedName>
    <definedName name="Sup_exp_Bud_5_1" localSheetId="6" hidden="1">{#N/A,#N/A,FALSE,"Scenario PivotTable"}</definedName>
    <definedName name="Sup_exp_Bud_5_1" hidden="1">{#N/A,#N/A,FALSE,"Scenario PivotTable"}</definedName>
    <definedName name="Sup_exp_Bud_5_1_1" localSheetId="6" hidden="1">{#N/A,#N/A,FALSE,"Scenario PivotTable"}</definedName>
    <definedName name="Sup_exp_Bud_5_1_1" hidden="1">{#N/A,#N/A,FALSE,"Scenario PivotTable"}</definedName>
    <definedName name="Sup_exp_Bud_5_1_1_1" localSheetId="6" hidden="1">{#N/A,#N/A,FALSE,"Scenario PivotTable"}</definedName>
    <definedName name="Sup_exp_Bud_5_1_1_1" hidden="1">{#N/A,#N/A,FALSE,"Scenario PivotTable"}</definedName>
    <definedName name="Sup_exp_Bud_5_1_2" localSheetId="6" hidden="1">{#N/A,#N/A,FALSE,"Scenario PivotTable"}</definedName>
    <definedName name="Sup_exp_Bud_5_1_2" hidden="1">{#N/A,#N/A,FALSE,"Scenario PivotTable"}</definedName>
    <definedName name="Sup_exp_Bud_5_1_2_1" localSheetId="6" hidden="1">{#N/A,#N/A,FALSE,"Scenario PivotTable"}</definedName>
    <definedName name="Sup_exp_Bud_5_1_2_1" hidden="1">{#N/A,#N/A,FALSE,"Scenario PivotTable"}</definedName>
    <definedName name="Sup_exp_Bud_5_1_3" localSheetId="6" hidden="1">{#N/A,#N/A,FALSE,"Scenario PivotTable"}</definedName>
    <definedName name="Sup_exp_Bud_5_1_3" hidden="1">{#N/A,#N/A,FALSE,"Scenario PivotTable"}</definedName>
    <definedName name="Sup_exp_Bud_5_2" localSheetId="6" hidden="1">{#N/A,#N/A,FALSE,"Scenario PivotTable"}</definedName>
    <definedName name="Sup_exp_Bud_5_2" hidden="1">{#N/A,#N/A,FALSE,"Scenario PivotTable"}</definedName>
    <definedName name="Sup_exp_Bud_5_2_1" localSheetId="6" hidden="1">{#N/A,#N/A,FALSE,"Scenario PivotTable"}</definedName>
    <definedName name="Sup_exp_Bud_5_2_1" hidden="1">{#N/A,#N/A,FALSE,"Scenario PivotTable"}</definedName>
    <definedName name="Sup_exp_Bud_5_2_1_1" localSheetId="6" hidden="1">{#N/A,#N/A,FALSE,"Scenario PivotTable"}</definedName>
    <definedName name="Sup_exp_Bud_5_2_1_1" hidden="1">{#N/A,#N/A,FALSE,"Scenario PivotTable"}</definedName>
    <definedName name="Sup_exp_Bud_5_2_2" localSheetId="6" hidden="1">{#N/A,#N/A,FALSE,"Scenario PivotTable"}</definedName>
    <definedName name="Sup_exp_Bud_5_2_2" hidden="1">{#N/A,#N/A,FALSE,"Scenario PivotTable"}</definedName>
    <definedName name="Sup_exp_Bud_5_3" localSheetId="6" hidden="1">{#N/A,#N/A,FALSE,"Scenario PivotTable"}</definedName>
    <definedName name="Sup_exp_Bud_5_3" hidden="1">{#N/A,#N/A,FALSE,"Scenario PivotTable"}</definedName>
    <definedName name="Sup_exp_Bud_5_3_1" localSheetId="6" hidden="1">{#N/A,#N/A,FALSE,"Scenario PivotTable"}</definedName>
    <definedName name="Sup_exp_Bud_5_3_1" hidden="1">{#N/A,#N/A,FALSE,"Scenario PivotTable"}</definedName>
    <definedName name="Sup_exp_Bud_5_4" localSheetId="6" hidden="1">{#N/A,#N/A,FALSE,"Scenario PivotTable"}</definedName>
    <definedName name="Sup_exp_Bud_5_4" hidden="1">{#N/A,#N/A,FALSE,"Scenario PivotTable"}</definedName>
    <definedName name="super"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Super_Area_Name1" hidden="1">#REF!</definedName>
    <definedName name="Super_Area_Name2" hidden="1">#REF!</definedName>
    <definedName name="Super_Area_Name4" hidden="1">#REF!</definedName>
    <definedName name="Super_Area_Name6" hidden="1">#REF!</definedName>
    <definedName name="SurplusPHPct">#REF!</definedName>
    <definedName name="SurplusRetained">#REF!</definedName>
    <definedName name="SurplusSHPct">#REF!</definedName>
    <definedName name="sushil" localSheetId="0" hidden="1">{"bs",#N/A,FALSE,"BS";"pl",#N/A,FALSE,"PL"}</definedName>
    <definedName name="sushil" localSheetId="6" hidden="1">{"bs",#N/A,FALSE,"BS";"pl",#N/A,FALSE,"PL"}</definedName>
    <definedName name="sushil" hidden="1">{"bs",#N/A,FALSE,"BS";"pl",#N/A,FALSE,"PL"}</definedName>
    <definedName name="sushil111" localSheetId="0" hidden="1">{"bs",#N/A,FALSE,"BS";"pl",#N/A,FALSE,"PL";"res",#N/A,FALSE,"S.CAP,RES";"loans",#N/A,FALSE,"Loans";"inv",#N/A,FALSE,"C.Assets";"fa",#N/A,FALSE,"F.Assets";"ca",#N/A,FALSE,"C.Assets";"cl",#N/A,FALSE,"CL,Sales,Income";"ovh",#N/A,FALSE,"OVH"}</definedName>
    <definedName name="sushil111" localSheetId="6" hidden="1">{"bs",#N/A,FALSE,"BS";"pl",#N/A,FALSE,"PL";"res",#N/A,FALSE,"S.CAP,RES";"loans",#N/A,FALSE,"Loans";"inv",#N/A,FALSE,"C.Assets";"fa",#N/A,FALSE,"F.Assets";"ca",#N/A,FALSE,"C.Assets";"cl",#N/A,FALSE,"CL,Sales,Income";"ovh",#N/A,FALSE,"OVH"}</definedName>
    <definedName name="sushil111" hidden="1">{"bs",#N/A,FALSE,"BS";"pl",#N/A,FALSE,"PL";"res",#N/A,FALSE,"S.CAP,RES";"loans",#N/A,FALSE,"Loans";"inv",#N/A,FALSE,"C.Assets";"fa",#N/A,FALSE,"F.Assets";"ca",#N/A,FALSE,"C.Assets";"cl",#N/A,FALSE,"CL,Sales,Income";"ovh",#N/A,FALSE,"OVH"}</definedName>
    <definedName name="Suspense">#REF!</definedName>
    <definedName name="sv" hidden="1">#REF!</definedName>
    <definedName name="SV_AUTO_CONN_CATALOG" hidden="1">"AIL"</definedName>
    <definedName name="SV_AUTO_CONN_SERVER" hidden="1">"F:\MAS90"</definedName>
    <definedName name="SV_ENCPT_AUTO_CONN_PASSWORD" hidden="1">"083096084083070058052051051"</definedName>
    <definedName name="SV_ENCPT_AUTO_CONN_USER" hidden="1">"095094088070084090083"</definedName>
    <definedName name="SV_ENCPT_LOGON_PWD" hidden="1">"078104085088070"</definedName>
    <definedName name="SV_ENCPT_LOGON_USER" hidden="1">"095094088070084084080096087083073084"</definedName>
    <definedName name="svbfn" localSheetId="6" hidden="1">{#N/A,#N/A,FALSE,"Calculator"}</definedName>
    <definedName name="svbfn" hidden="1">{#N/A,#N/A,FALSE,"Calculator"}</definedName>
    <definedName name="svbfn_1" localSheetId="6" hidden="1">{#N/A,#N/A,FALSE,"Calculator"}</definedName>
    <definedName name="svbfn_1" hidden="1">{#N/A,#N/A,FALSE,"Calculator"}</definedName>
    <definedName name="svdv" hidden="1">#REF!</definedName>
    <definedName name="svgawef" hidden="1">#REF!</definedName>
    <definedName name="svs" hidden="1">#REF!</definedName>
    <definedName name="svsdfvs" hidden="1">#REF!</definedName>
    <definedName name="svsdvs" hidden="1">#REF!</definedName>
    <definedName name="svsvdfb"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svsvdfb"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svsvdfb" hidden="1">{#N/A,#N/A,TRUE,"COVER2";#N/A,#N/A,TRUE,"AGENDA";#N/A,#N/A,TRUE,"Cover";#N/A,#N/A,TRUE,"4M";#N/A,#N/A,TRUE,"FLP&amp;L4M";#N/A,#N/A,TRUE,"4MMC";#N/A,#N/A,TRUE,"Shp4M";#N/A,#N/A,TRUE,"M5";#N/A,#N/A,TRUE,"Q2";#N/A,#N/A,TRUE,"Q1vsQ2";#N/A,#N/A,TRUE,"M6";#N/A,#N/A,TRUE,"TY";#N/A,#N/A,TRUE,"FLP&amp;LTY";#N/A,#N/A,TRUE,"TYMC";#N/A,#N/A,TRUE,"ShpTY";#N/A,#N/A,TRUE,"8M";#N/A,#N/A,TRUE,"FLP&amp;L8M";#N/A,#N/A,TRUE,"8MMC";#N/A,#N/A,TRUE,"Shp8M"}</definedName>
    <definedName name="svsvsdvs" hidden="1">#REF!</definedName>
    <definedName name="sw" localSheetId="6" hidden="1">{"LTV Output",#N/A,FALSE,"Output";"DCR Output",#N/A,FALSE,"Output"}</definedName>
    <definedName name="sw" hidden="1">{"LTV Output",#N/A,FALSE,"Output";"DCR Output",#N/A,FALSE,"Output"}</definedName>
    <definedName name="SWS" hidden="1">#REF!</definedName>
    <definedName name="Swvu.adf." hidden="1">#REF!</definedName>
    <definedName name="Swvu.ALL." hidden="1">#REF!</definedName>
    <definedName name="Swvu.ce_storici." hidden="1">#REF!</definedName>
    <definedName name="Swvu.dd." hidden="1">#REF!</definedName>
    <definedName name="Swvu.inputs._.raw._.data." hidden="1">#REF!</definedName>
    <definedName name="Swvu.Page4." hidden="1">#REF!</definedName>
    <definedName name="Swvu.summary1." hidden="1">#REF!</definedName>
    <definedName name="Swvu.summary2." hidden="1">#REF!</definedName>
    <definedName name="Swvu.summary3." hidden="1">#REF!</definedName>
    <definedName name="SX"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1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2"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2"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3"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3"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3"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4"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4"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4"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5"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5"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_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sxsxsxsxs">#REF!</definedName>
    <definedName name="sxvf" localSheetId="0" hidden="1">{#N/A,#N/A,TRUE,"Proposal";#N/A,#N/A,TRUE,"Assumptions";#N/A,#N/A,TRUE,"Net Income";#N/A,#N/A,TRUE,"Balsheet";#N/A,#N/A,TRUE,"Capex";#N/A,#N/A,TRUE,"Volumes";#N/A,#N/A,TRUE,"Revenues";#N/A,#N/A,TRUE,"Var.Costs";#N/A,#N/A,TRUE,"Personnel";#N/A,#N/A,TRUE,"Other costs";#N/A,#N/A,TRUE,"MKTG and G&amp;A"}</definedName>
    <definedName name="sxvf" localSheetId="6" hidden="1">{#N/A,#N/A,TRUE,"Proposal";#N/A,#N/A,TRUE,"Assumptions";#N/A,#N/A,TRUE,"Net Income";#N/A,#N/A,TRUE,"Balsheet";#N/A,#N/A,TRUE,"Capex";#N/A,#N/A,TRUE,"Volumes";#N/A,#N/A,TRUE,"Revenues";#N/A,#N/A,TRUE,"Var.Costs";#N/A,#N/A,TRUE,"Personnel";#N/A,#N/A,TRUE,"Other costs";#N/A,#N/A,TRUE,"MKTG and G&amp;A"}</definedName>
    <definedName name="sxvf" hidden="1">{#N/A,#N/A,TRUE,"Proposal";#N/A,#N/A,TRUE,"Assumptions";#N/A,#N/A,TRUE,"Net Income";#N/A,#N/A,TRUE,"Balsheet";#N/A,#N/A,TRUE,"Capex";#N/A,#N/A,TRUE,"Volumes";#N/A,#N/A,TRUE,"Revenues";#N/A,#N/A,TRUE,"Var.Costs";#N/A,#N/A,TRUE,"Personnel";#N/A,#N/A,TRUE,"Other costs";#N/A,#N/A,TRUE,"MKTG and G&amp;A"}</definedName>
    <definedName name="SynCase">#REF!</definedName>
    <definedName name="SynCase2Name">#REF!</definedName>
    <definedName name="SynCase3Name">#REF!</definedName>
    <definedName name="SynCaseName">#REF!</definedName>
    <definedName name="Syria">#REF!</definedName>
    <definedName name="SyriaBS">#REF!</definedName>
    <definedName name="Syrr">#REF!</definedName>
    <definedName name="SZCDVWEFWE" hidden="1">#REF!</definedName>
    <definedName name="szzz" localSheetId="0" hidden="1">{#N/A,#N/A,FALSE,"P&amp;L"}</definedName>
    <definedName name="szzz" localSheetId="6" hidden="1">{#N/A,#N/A,FALSE,"P&amp;L"}</definedName>
    <definedName name="szzz" hidden="1">{#N/A,#N/A,FALSE,"P&amp;L"}</definedName>
    <definedName name="szzzs" localSheetId="0" hidden="1">{#N/A,#N/A,FALSE,"P&amp;L"}</definedName>
    <definedName name="szzzs" localSheetId="6" hidden="1">{#N/A,#N/A,FALSE,"P&amp;L"}</definedName>
    <definedName name="szzzs" hidden="1">{#N/A,#N/A,FALSE,"P&amp;L"}</definedName>
    <definedName name="S행">#REF!</definedName>
    <definedName name="T" localSheetId="0" hidden="1">{#N/A,#N/A,TRUE,"0 Deckbl.";#N/A,#N/A,TRUE,"S 1 Komm";#N/A,#N/A,TRUE,"S 1a Komm";#N/A,#N/A,TRUE,"S 1b Komm";#N/A,#N/A,TRUE,"S  2 DBR";#N/A,#N/A,TRUE,"S  3 Sparten";#N/A,#N/A,TRUE,"S 4  Betr. K.";#N/A,#N/A,TRUE,"6 Bilanz";#N/A,#N/A,TRUE,"6a Bilanz ";#N/A,#N/A,TRUE,"6b Bilanz ";#N/A,#N/A,TRUE,"7 GS I";#N/A,#N/A,TRUE,"S 8 EQ-GuV"}</definedName>
    <definedName name="T" localSheetId="6" hidden="1">{#N/A,#N/A,TRUE,"0 Deckbl.";#N/A,#N/A,TRUE,"S 1 Komm";#N/A,#N/A,TRUE,"S 1a Komm";#N/A,#N/A,TRUE,"S 1b Komm";#N/A,#N/A,TRUE,"S  2 DBR";#N/A,#N/A,TRUE,"S  3 Sparten";#N/A,#N/A,TRUE,"S 4  Betr. K.";#N/A,#N/A,TRUE,"6 Bilanz";#N/A,#N/A,TRUE,"6a Bilanz ";#N/A,#N/A,TRUE,"6b Bilanz ";#N/A,#N/A,TRUE,"7 GS I";#N/A,#N/A,TRUE,"S 8 EQ-GuV"}</definedName>
    <definedName name="T" hidden="1">{#N/A,#N/A,TRUE,"0 Deckbl.";#N/A,#N/A,TRUE,"S 1 Komm";#N/A,#N/A,TRUE,"S 1a Komm";#N/A,#N/A,TRUE,"S 1b Komm";#N/A,#N/A,TRUE,"S  2 DBR";#N/A,#N/A,TRUE,"S  3 Sparten";#N/A,#N/A,TRUE,"S 4  Betr. K.";#N/A,#N/A,TRUE,"6 Bilanz";#N/A,#N/A,TRUE,"6a Bilanz ";#N/A,#N/A,TRUE,"6b Bilanz ";#N/A,#N/A,TRUE,"7 GS I";#N/A,#N/A,TRUE,"S 8 EQ-GuV"}</definedName>
    <definedName name="t.2" localSheetId="0" hidden="1">{#N/A,#N/A,FALSE,"Umsatz EO BP";#N/A,#N/A,FALSE,"Umsatz EO OP";#N/A,#N/A,FALSE,"ER EO BP";#N/A,#N/A,FALSE,"ER EO OP";#N/A,#N/A,FALSE,"EA EO (2)";#N/A,#N/A,FALSE,"EA EO";#N/A,#N/A,FALSE,"EA EO (3)";#N/A,#N/A,FALSE,"EA EO (4)";#N/A,#N/A,FALSE,"KA EO  (2)";#N/A,#N/A,FALSE,"KA EO";#N/A,#N/A,FALSE,"KA EO  (3)";#N/A,#N/A,FALSE,"KA EO (4)"}</definedName>
    <definedName name="t.2" localSheetId="6" hidden="1">{#N/A,#N/A,FALSE,"Umsatz EO BP";#N/A,#N/A,FALSE,"Umsatz EO OP";#N/A,#N/A,FALSE,"ER EO BP";#N/A,#N/A,FALSE,"ER EO OP";#N/A,#N/A,FALSE,"EA EO (2)";#N/A,#N/A,FALSE,"EA EO";#N/A,#N/A,FALSE,"EA EO (3)";#N/A,#N/A,FALSE,"EA EO (4)";#N/A,#N/A,FALSE,"KA EO  (2)";#N/A,#N/A,FALSE,"KA EO";#N/A,#N/A,FALSE,"KA EO  (3)";#N/A,#N/A,FALSE,"KA EO (4)"}</definedName>
    <definedName name="t.2" hidden="1">{#N/A,#N/A,FALSE,"Umsatz EO BP";#N/A,#N/A,FALSE,"Umsatz EO OP";#N/A,#N/A,FALSE,"ER EO BP";#N/A,#N/A,FALSE,"ER EO OP";#N/A,#N/A,FALSE,"EA EO (2)";#N/A,#N/A,FALSE,"EA EO";#N/A,#N/A,FALSE,"EA EO (3)";#N/A,#N/A,FALSE,"EA EO (4)";#N/A,#N/A,FALSE,"KA EO  (2)";#N/A,#N/A,FALSE,"KA EO";#N/A,#N/A,FALSE,"KA EO  (3)";#N/A,#N/A,FALSE,"KA EO (4)"}</definedName>
    <definedName name="t.2_1" localSheetId="0" hidden="1">{#N/A,#N/A,FALSE,"Umsatz EO BP";#N/A,#N/A,FALSE,"Umsatz EO OP";#N/A,#N/A,FALSE,"ER EO BP";#N/A,#N/A,FALSE,"ER EO OP";#N/A,#N/A,FALSE,"EA EO (2)";#N/A,#N/A,FALSE,"EA EO";#N/A,#N/A,FALSE,"EA EO (3)";#N/A,#N/A,FALSE,"EA EO (4)";#N/A,#N/A,FALSE,"KA EO  (2)";#N/A,#N/A,FALSE,"KA EO";#N/A,#N/A,FALSE,"KA EO  (3)";#N/A,#N/A,FALSE,"KA EO (4)"}</definedName>
    <definedName name="t.2_1" localSheetId="6" hidden="1">{#N/A,#N/A,FALSE,"Umsatz EO BP";#N/A,#N/A,FALSE,"Umsatz EO OP";#N/A,#N/A,FALSE,"ER EO BP";#N/A,#N/A,FALSE,"ER EO OP";#N/A,#N/A,FALSE,"EA EO (2)";#N/A,#N/A,FALSE,"EA EO";#N/A,#N/A,FALSE,"EA EO (3)";#N/A,#N/A,FALSE,"EA EO (4)";#N/A,#N/A,FALSE,"KA EO  (2)";#N/A,#N/A,FALSE,"KA EO";#N/A,#N/A,FALSE,"KA EO  (3)";#N/A,#N/A,FALSE,"KA EO (4)"}</definedName>
    <definedName name="t.2_1" hidden="1">{#N/A,#N/A,FALSE,"Umsatz EO BP";#N/A,#N/A,FALSE,"Umsatz EO OP";#N/A,#N/A,FALSE,"ER EO BP";#N/A,#N/A,FALSE,"ER EO OP";#N/A,#N/A,FALSE,"EA EO (2)";#N/A,#N/A,FALSE,"EA EO";#N/A,#N/A,FALSE,"EA EO (3)";#N/A,#N/A,FALSE,"EA EO (4)";#N/A,#N/A,FALSE,"KA EO  (2)";#N/A,#N/A,FALSE,"KA EO";#N/A,#N/A,FALSE,"KA EO  (3)";#N/A,#N/A,FALSE,"KA EO (4)"}</definedName>
    <definedName name="t.2_1_1" localSheetId="0" hidden="1">{#N/A,#N/A,FALSE,"Umsatz EO BP";#N/A,#N/A,FALSE,"Umsatz EO OP";#N/A,#N/A,FALSE,"ER EO BP";#N/A,#N/A,FALSE,"ER EO OP";#N/A,#N/A,FALSE,"EA EO (2)";#N/A,#N/A,FALSE,"EA EO";#N/A,#N/A,FALSE,"EA EO (3)";#N/A,#N/A,FALSE,"EA EO (4)";#N/A,#N/A,FALSE,"KA EO  (2)";#N/A,#N/A,FALSE,"KA EO";#N/A,#N/A,FALSE,"KA EO  (3)";#N/A,#N/A,FALSE,"KA EO (4)"}</definedName>
    <definedName name="t.2_1_1" localSheetId="6" hidden="1">{#N/A,#N/A,FALSE,"Umsatz EO BP";#N/A,#N/A,FALSE,"Umsatz EO OP";#N/A,#N/A,FALSE,"ER EO BP";#N/A,#N/A,FALSE,"ER EO OP";#N/A,#N/A,FALSE,"EA EO (2)";#N/A,#N/A,FALSE,"EA EO";#N/A,#N/A,FALSE,"EA EO (3)";#N/A,#N/A,FALSE,"EA EO (4)";#N/A,#N/A,FALSE,"KA EO  (2)";#N/A,#N/A,FALSE,"KA EO";#N/A,#N/A,FALSE,"KA EO  (3)";#N/A,#N/A,FALSE,"KA EO (4)"}</definedName>
    <definedName name="t.2_1_1" hidden="1">{#N/A,#N/A,FALSE,"Umsatz EO BP";#N/A,#N/A,FALSE,"Umsatz EO OP";#N/A,#N/A,FALSE,"ER EO BP";#N/A,#N/A,FALSE,"ER EO OP";#N/A,#N/A,FALSE,"EA EO (2)";#N/A,#N/A,FALSE,"EA EO";#N/A,#N/A,FALSE,"EA EO (3)";#N/A,#N/A,FALSE,"EA EO (4)";#N/A,#N/A,FALSE,"KA EO  (2)";#N/A,#N/A,FALSE,"KA EO";#N/A,#N/A,FALSE,"KA EO  (3)";#N/A,#N/A,FALSE,"KA EO (4)"}</definedName>
    <definedName name="t.2_2" localSheetId="0" hidden="1">{#N/A,#N/A,FALSE,"Umsatz EO BP";#N/A,#N/A,FALSE,"Umsatz EO OP";#N/A,#N/A,FALSE,"ER EO BP";#N/A,#N/A,FALSE,"ER EO OP";#N/A,#N/A,FALSE,"EA EO (2)";#N/A,#N/A,FALSE,"EA EO";#N/A,#N/A,FALSE,"EA EO (3)";#N/A,#N/A,FALSE,"EA EO (4)";#N/A,#N/A,FALSE,"KA EO  (2)";#N/A,#N/A,FALSE,"KA EO";#N/A,#N/A,FALSE,"KA EO  (3)";#N/A,#N/A,FALSE,"KA EO (4)"}</definedName>
    <definedName name="t.2_2" localSheetId="6" hidden="1">{#N/A,#N/A,FALSE,"Umsatz EO BP";#N/A,#N/A,FALSE,"Umsatz EO OP";#N/A,#N/A,FALSE,"ER EO BP";#N/A,#N/A,FALSE,"ER EO OP";#N/A,#N/A,FALSE,"EA EO (2)";#N/A,#N/A,FALSE,"EA EO";#N/A,#N/A,FALSE,"EA EO (3)";#N/A,#N/A,FALSE,"EA EO (4)";#N/A,#N/A,FALSE,"KA EO  (2)";#N/A,#N/A,FALSE,"KA EO";#N/A,#N/A,FALSE,"KA EO  (3)";#N/A,#N/A,FALSE,"KA EO (4)"}</definedName>
    <definedName name="t.2_2" hidden="1">{#N/A,#N/A,FALSE,"Umsatz EO BP";#N/A,#N/A,FALSE,"Umsatz EO OP";#N/A,#N/A,FALSE,"ER EO BP";#N/A,#N/A,FALSE,"ER EO OP";#N/A,#N/A,FALSE,"EA EO (2)";#N/A,#N/A,FALSE,"EA EO";#N/A,#N/A,FALSE,"EA EO (3)";#N/A,#N/A,FALSE,"EA EO (4)";#N/A,#N/A,FALSE,"KA EO  (2)";#N/A,#N/A,FALSE,"KA EO";#N/A,#N/A,FALSE,"KA EO  (3)";#N/A,#N/A,FALSE,"KA EO (4)"}</definedName>
    <definedName name="t.2_3" localSheetId="0" hidden="1">{#N/A,#N/A,FALSE,"Umsatz EO BP";#N/A,#N/A,FALSE,"Umsatz EO OP";#N/A,#N/A,FALSE,"ER EO BP";#N/A,#N/A,FALSE,"ER EO OP";#N/A,#N/A,FALSE,"EA EO (2)";#N/A,#N/A,FALSE,"EA EO";#N/A,#N/A,FALSE,"EA EO (3)";#N/A,#N/A,FALSE,"EA EO (4)";#N/A,#N/A,FALSE,"KA EO  (2)";#N/A,#N/A,FALSE,"KA EO";#N/A,#N/A,FALSE,"KA EO  (3)";#N/A,#N/A,FALSE,"KA EO (4)"}</definedName>
    <definedName name="t.2_3" localSheetId="6" hidden="1">{#N/A,#N/A,FALSE,"Umsatz EO BP";#N/A,#N/A,FALSE,"Umsatz EO OP";#N/A,#N/A,FALSE,"ER EO BP";#N/A,#N/A,FALSE,"ER EO OP";#N/A,#N/A,FALSE,"EA EO (2)";#N/A,#N/A,FALSE,"EA EO";#N/A,#N/A,FALSE,"EA EO (3)";#N/A,#N/A,FALSE,"EA EO (4)";#N/A,#N/A,FALSE,"KA EO  (2)";#N/A,#N/A,FALSE,"KA EO";#N/A,#N/A,FALSE,"KA EO  (3)";#N/A,#N/A,FALSE,"KA EO (4)"}</definedName>
    <definedName name="t.2_3" hidden="1">{#N/A,#N/A,FALSE,"Umsatz EO BP";#N/A,#N/A,FALSE,"Umsatz EO OP";#N/A,#N/A,FALSE,"ER EO BP";#N/A,#N/A,FALSE,"ER EO OP";#N/A,#N/A,FALSE,"EA EO (2)";#N/A,#N/A,FALSE,"EA EO";#N/A,#N/A,FALSE,"EA EO (3)";#N/A,#N/A,FALSE,"EA EO (4)";#N/A,#N/A,FALSE,"KA EO  (2)";#N/A,#N/A,FALSE,"KA EO";#N/A,#N/A,FALSE,"KA EO  (3)";#N/A,#N/A,FALSE,"KA EO (4)"}</definedName>
    <definedName name="t.2_4" localSheetId="0" hidden="1">{#N/A,#N/A,FALSE,"Umsatz EO BP";#N/A,#N/A,FALSE,"Umsatz EO OP";#N/A,#N/A,FALSE,"ER EO BP";#N/A,#N/A,FALSE,"ER EO OP";#N/A,#N/A,FALSE,"EA EO (2)";#N/A,#N/A,FALSE,"EA EO";#N/A,#N/A,FALSE,"EA EO (3)";#N/A,#N/A,FALSE,"EA EO (4)";#N/A,#N/A,FALSE,"KA EO  (2)";#N/A,#N/A,FALSE,"KA EO";#N/A,#N/A,FALSE,"KA EO  (3)";#N/A,#N/A,FALSE,"KA EO (4)"}</definedName>
    <definedName name="t.2_4" localSheetId="6" hidden="1">{#N/A,#N/A,FALSE,"Umsatz EO BP";#N/A,#N/A,FALSE,"Umsatz EO OP";#N/A,#N/A,FALSE,"ER EO BP";#N/A,#N/A,FALSE,"ER EO OP";#N/A,#N/A,FALSE,"EA EO (2)";#N/A,#N/A,FALSE,"EA EO";#N/A,#N/A,FALSE,"EA EO (3)";#N/A,#N/A,FALSE,"EA EO (4)";#N/A,#N/A,FALSE,"KA EO  (2)";#N/A,#N/A,FALSE,"KA EO";#N/A,#N/A,FALSE,"KA EO  (3)";#N/A,#N/A,FALSE,"KA EO (4)"}</definedName>
    <definedName name="t.2_4" hidden="1">{#N/A,#N/A,FALSE,"Umsatz EO BP";#N/A,#N/A,FALSE,"Umsatz EO OP";#N/A,#N/A,FALSE,"ER EO BP";#N/A,#N/A,FALSE,"ER EO OP";#N/A,#N/A,FALSE,"EA EO (2)";#N/A,#N/A,FALSE,"EA EO";#N/A,#N/A,FALSE,"EA EO (3)";#N/A,#N/A,FALSE,"EA EO (4)";#N/A,#N/A,FALSE,"KA EO  (2)";#N/A,#N/A,FALSE,"KA EO";#N/A,#N/A,FALSE,"KA EO  (3)";#N/A,#N/A,FALSE,"KA EO (4)"}</definedName>
    <definedName name="t.2_5" localSheetId="0" hidden="1">{#N/A,#N/A,FALSE,"Umsatz EO BP";#N/A,#N/A,FALSE,"Umsatz EO OP";#N/A,#N/A,FALSE,"ER EO BP";#N/A,#N/A,FALSE,"ER EO OP";#N/A,#N/A,FALSE,"EA EO (2)";#N/A,#N/A,FALSE,"EA EO";#N/A,#N/A,FALSE,"EA EO (3)";#N/A,#N/A,FALSE,"EA EO (4)";#N/A,#N/A,FALSE,"KA EO  (2)";#N/A,#N/A,FALSE,"KA EO";#N/A,#N/A,FALSE,"KA EO  (3)";#N/A,#N/A,FALSE,"KA EO (4)"}</definedName>
    <definedName name="t.2_5" localSheetId="6" hidden="1">{#N/A,#N/A,FALSE,"Umsatz EO BP";#N/A,#N/A,FALSE,"Umsatz EO OP";#N/A,#N/A,FALSE,"ER EO BP";#N/A,#N/A,FALSE,"ER EO OP";#N/A,#N/A,FALSE,"EA EO (2)";#N/A,#N/A,FALSE,"EA EO";#N/A,#N/A,FALSE,"EA EO (3)";#N/A,#N/A,FALSE,"EA EO (4)";#N/A,#N/A,FALSE,"KA EO  (2)";#N/A,#N/A,FALSE,"KA EO";#N/A,#N/A,FALSE,"KA EO  (3)";#N/A,#N/A,FALSE,"KA EO (4)"}</definedName>
    <definedName name="t.2_5" hidden="1">{#N/A,#N/A,FALSE,"Umsatz EO BP";#N/A,#N/A,FALSE,"Umsatz EO OP";#N/A,#N/A,FALSE,"ER EO BP";#N/A,#N/A,FALSE,"ER EO OP";#N/A,#N/A,FALSE,"EA EO (2)";#N/A,#N/A,FALSE,"EA EO";#N/A,#N/A,FALSE,"EA EO (3)";#N/A,#N/A,FALSE,"EA EO (4)";#N/A,#N/A,FALSE,"KA EO  (2)";#N/A,#N/A,FALSE,"KA EO";#N/A,#N/A,FALSE,"KA EO  (3)";#N/A,#N/A,FALSE,"KA EO (4)"}</definedName>
    <definedName name="t.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5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3tr" localSheetId="0" hidden="1">{#N/A,#N/A,FALSE,"COMP"}</definedName>
    <definedName name="t3tr" localSheetId="6" hidden="1">{#N/A,#N/A,FALSE,"COMP"}</definedName>
    <definedName name="t3tr" hidden="1">{#N/A,#N/A,FALSE,"COMP"}</definedName>
    <definedName name="tabl" localSheetId="0" hidden="1">{#N/A,#N/A,FALSE,"Tabl. H1";#N/A,#N/A,FALSE,"Tabl. H2"}</definedName>
    <definedName name="tabl" localSheetId="6" hidden="1">{#N/A,#N/A,FALSE,"Tabl. H1";#N/A,#N/A,FALSE,"Tabl. H2"}</definedName>
    <definedName name="tabl" hidden="1">{#N/A,#N/A,FALSE,"Tabl. H1";#N/A,#N/A,FALSE,"Tabl. H2"}</definedName>
    <definedName name="Table_Summary" localSheetId="0" hidden="1">{"PAGE1",#N/A,FALSE,"YIELDS";"PAGE2",#N/A,FALSE,"YIELDS";"PAGE3",#N/A,FALSE,"YIELDS"}</definedName>
    <definedName name="Table_Summary" localSheetId="6" hidden="1">{"PAGE1",#N/A,FALSE,"YIELDS";"PAGE2",#N/A,FALSE,"YIELDS";"PAGE3",#N/A,FALSE,"YIELDS"}</definedName>
    <definedName name="Table_Summary" hidden="1">{"PAGE1",#N/A,FALSE,"YIELDS";"PAGE2",#N/A,FALSE,"YIELDS";"PAGE3",#N/A,FALSE,"YIELDS"}</definedName>
    <definedName name="table11" hidden="1">#REF!</definedName>
    <definedName name="table23" hidden="1">#REF!</definedName>
    <definedName name="table23_" hidden="1">#REF!</definedName>
    <definedName name="table24" hidden="1">#REF!</definedName>
    <definedName name="tableau" localSheetId="0" hidden="1">{#N/A,#N/A,FALSE,"Tabl. A1";#N/A,#N/A,FALSE,"Tabl. A1 b";#N/A,#N/A,FALSE,"Tabl. A2";#N/A,#N/A,FALSE,"Tabl. A2-1";#N/A,#N/A,FALSE,"Tabl. A2-2"}</definedName>
    <definedName name="tableau" localSheetId="6" hidden="1">{#N/A,#N/A,FALSE,"Tabl. A1";#N/A,#N/A,FALSE,"Tabl. A1 b";#N/A,#N/A,FALSE,"Tabl. A2";#N/A,#N/A,FALSE,"Tabl. A2-1";#N/A,#N/A,FALSE,"Tabl. A2-2"}</definedName>
    <definedName name="tableau" hidden="1">{#N/A,#N/A,FALSE,"Tabl. A1";#N/A,#N/A,FALSE,"Tabl. A1 b";#N/A,#N/A,FALSE,"Tabl. A2";#N/A,#N/A,FALSE,"Tabl. A2-1";#N/A,#N/A,FALSE,"Tabl. A2-2"}</definedName>
    <definedName name="tableold" hidden="1">#REF!</definedName>
    <definedName name="tableoutold" hidden="1">#REF!</definedName>
    <definedName name="TABUK">#REF!</definedName>
    <definedName name="tai.v4" localSheetId="0" hidden="1">{#N/A,#N/A,FALSE,"Umsatz EO BP";#N/A,#N/A,FALSE,"Umsatz EO OP";#N/A,#N/A,FALSE,"ER EO BP";#N/A,#N/A,FALSE,"ER EO OP";#N/A,#N/A,FALSE,"EA EO (2)";#N/A,#N/A,FALSE,"EA EO";#N/A,#N/A,FALSE,"EA EO (3)";#N/A,#N/A,FALSE,"EA EO (4)";#N/A,#N/A,FALSE,"KA EO  (2)";#N/A,#N/A,FALSE,"KA EO";#N/A,#N/A,FALSE,"KA EO  (3)";#N/A,#N/A,FALSE,"KA EO (4)"}</definedName>
    <definedName name="tai.v4" localSheetId="6" hidden="1">{#N/A,#N/A,FALSE,"Umsatz EO BP";#N/A,#N/A,FALSE,"Umsatz EO OP";#N/A,#N/A,FALSE,"ER EO BP";#N/A,#N/A,FALSE,"ER EO OP";#N/A,#N/A,FALSE,"EA EO (2)";#N/A,#N/A,FALSE,"EA EO";#N/A,#N/A,FALSE,"EA EO (3)";#N/A,#N/A,FALSE,"EA EO (4)";#N/A,#N/A,FALSE,"KA EO  (2)";#N/A,#N/A,FALSE,"KA EO";#N/A,#N/A,FALSE,"KA EO  (3)";#N/A,#N/A,FALSE,"KA EO (4)"}</definedName>
    <definedName name="tai.v4" hidden="1">{#N/A,#N/A,FALSE,"Umsatz EO BP";#N/A,#N/A,FALSE,"Umsatz EO OP";#N/A,#N/A,FALSE,"ER EO BP";#N/A,#N/A,FALSE,"ER EO OP";#N/A,#N/A,FALSE,"EA EO (2)";#N/A,#N/A,FALSE,"EA EO";#N/A,#N/A,FALSE,"EA EO (3)";#N/A,#N/A,FALSE,"EA EO (4)";#N/A,#N/A,FALSE,"KA EO  (2)";#N/A,#N/A,FALSE,"KA EO";#N/A,#N/A,FALSE,"KA EO  (3)";#N/A,#N/A,FALSE,"KA EO (4)"}</definedName>
    <definedName name="tai.v4_1" localSheetId="0" hidden="1">{#N/A,#N/A,FALSE,"Umsatz EO BP";#N/A,#N/A,FALSE,"Umsatz EO OP";#N/A,#N/A,FALSE,"ER EO BP";#N/A,#N/A,FALSE,"ER EO OP";#N/A,#N/A,FALSE,"EA EO (2)";#N/A,#N/A,FALSE,"EA EO";#N/A,#N/A,FALSE,"EA EO (3)";#N/A,#N/A,FALSE,"EA EO (4)";#N/A,#N/A,FALSE,"KA EO  (2)";#N/A,#N/A,FALSE,"KA EO";#N/A,#N/A,FALSE,"KA EO  (3)";#N/A,#N/A,FALSE,"KA EO (4)"}</definedName>
    <definedName name="tai.v4_1" localSheetId="6" hidden="1">{#N/A,#N/A,FALSE,"Umsatz EO BP";#N/A,#N/A,FALSE,"Umsatz EO OP";#N/A,#N/A,FALSE,"ER EO BP";#N/A,#N/A,FALSE,"ER EO OP";#N/A,#N/A,FALSE,"EA EO (2)";#N/A,#N/A,FALSE,"EA EO";#N/A,#N/A,FALSE,"EA EO (3)";#N/A,#N/A,FALSE,"EA EO (4)";#N/A,#N/A,FALSE,"KA EO  (2)";#N/A,#N/A,FALSE,"KA EO";#N/A,#N/A,FALSE,"KA EO  (3)";#N/A,#N/A,FALSE,"KA EO (4)"}</definedName>
    <definedName name="tai.v4_1" hidden="1">{#N/A,#N/A,FALSE,"Umsatz EO BP";#N/A,#N/A,FALSE,"Umsatz EO OP";#N/A,#N/A,FALSE,"ER EO BP";#N/A,#N/A,FALSE,"ER EO OP";#N/A,#N/A,FALSE,"EA EO (2)";#N/A,#N/A,FALSE,"EA EO";#N/A,#N/A,FALSE,"EA EO (3)";#N/A,#N/A,FALSE,"EA EO (4)";#N/A,#N/A,FALSE,"KA EO  (2)";#N/A,#N/A,FALSE,"KA EO";#N/A,#N/A,FALSE,"KA EO  (3)";#N/A,#N/A,FALSE,"KA EO (4)"}</definedName>
    <definedName name="tai.v4_1_1" localSheetId="0" hidden="1">{#N/A,#N/A,FALSE,"Umsatz EO BP";#N/A,#N/A,FALSE,"Umsatz EO OP";#N/A,#N/A,FALSE,"ER EO BP";#N/A,#N/A,FALSE,"ER EO OP";#N/A,#N/A,FALSE,"EA EO (2)";#N/A,#N/A,FALSE,"EA EO";#N/A,#N/A,FALSE,"EA EO (3)";#N/A,#N/A,FALSE,"EA EO (4)";#N/A,#N/A,FALSE,"KA EO  (2)";#N/A,#N/A,FALSE,"KA EO";#N/A,#N/A,FALSE,"KA EO  (3)";#N/A,#N/A,FALSE,"KA EO (4)"}</definedName>
    <definedName name="tai.v4_1_1" localSheetId="6" hidden="1">{#N/A,#N/A,FALSE,"Umsatz EO BP";#N/A,#N/A,FALSE,"Umsatz EO OP";#N/A,#N/A,FALSE,"ER EO BP";#N/A,#N/A,FALSE,"ER EO OP";#N/A,#N/A,FALSE,"EA EO (2)";#N/A,#N/A,FALSE,"EA EO";#N/A,#N/A,FALSE,"EA EO (3)";#N/A,#N/A,FALSE,"EA EO (4)";#N/A,#N/A,FALSE,"KA EO  (2)";#N/A,#N/A,FALSE,"KA EO";#N/A,#N/A,FALSE,"KA EO  (3)";#N/A,#N/A,FALSE,"KA EO (4)"}</definedName>
    <definedName name="tai.v4_1_1" hidden="1">{#N/A,#N/A,FALSE,"Umsatz EO BP";#N/A,#N/A,FALSE,"Umsatz EO OP";#N/A,#N/A,FALSE,"ER EO BP";#N/A,#N/A,FALSE,"ER EO OP";#N/A,#N/A,FALSE,"EA EO (2)";#N/A,#N/A,FALSE,"EA EO";#N/A,#N/A,FALSE,"EA EO (3)";#N/A,#N/A,FALSE,"EA EO (4)";#N/A,#N/A,FALSE,"KA EO  (2)";#N/A,#N/A,FALSE,"KA EO";#N/A,#N/A,FALSE,"KA EO  (3)";#N/A,#N/A,FALSE,"KA EO (4)"}</definedName>
    <definedName name="tai.v4_2" localSheetId="0" hidden="1">{#N/A,#N/A,FALSE,"Umsatz EO BP";#N/A,#N/A,FALSE,"Umsatz EO OP";#N/A,#N/A,FALSE,"ER EO BP";#N/A,#N/A,FALSE,"ER EO OP";#N/A,#N/A,FALSE,"EA EO (2)";#N/A,#N/A,FALSE,"EA EO";#N/A,#N/A,FALSE,"EA EO (3)";#N/A,#N/A,FALSE,"EA EO (4)";#N/A,#N/A,FALSE,"KA EO  (2)";#N/A,#N/A,FALSE,"KA EO";#N/A,#N/A,FALSE,"KA EO  (3)";#N/A,#N/A,FALSE,"KA EO (4)"}</definedName>
    <definedName name="tai.v4_2" localSheetId="6" hidden="1">{#N/A,#N/A,FALSE,"Umsatz EO BP";#N/A,#N/A,FALSE,"Umsatz EO OP";#N/A,#N/A,FALSE,"ER EO BP";#N/A,#N/A,FALSE,"ER EO OP";#N/A,#N/A,FALSE,"EA EO (2)";#N/A,#N/A,FALSE,"EA EO";#N/A,#N/A,FALSE,"EA EO (3)";#N/A,#N/A,FALSE,"EA EO (4)";#N/A,#N/A,FALSE,"KA EO  (2)";#N/A,#N/A,FALSE,"KA EO";#N/A,#N/A,FALSE,"KA EO  (3)";#N/A,#N/A,FALSE,"KA EO (4)"}</definedName>
    <definedName name="tai.v4_2" hidden="1">{#N/A,#N/A,FALSE,"Umsatz EO BP";#N/A,#N/A,FALSE,"Umsatz EO OP";#N/A,#N/A,FALSE,"ER EO BP";#N/A,#N/A,FALSE,"ER EO OP";#N/A,#N/A,FALSE,"EA EO (2)";#N/A,#N/A,FALSE,"EA EO";#N/A,#N/A,FALSE,"EA EO (3)";#N/A,#N/A,FALSE,"EA EO (4)";#N/A,#N/A,FALSE,"KA EO  (2)";#N/A,#N/A,FALSE,"KA EO";#N/A,#N/A,FALSE,"KA EO  (3)";#N/A,#N/A,FALSE,"KA EO (4)"}</definedName>
    <definedName name="tai.v4_3" localSheetId="0" hidden="1">{#N/A,#N/A,FALSE,"Umsatz EO BP";#N/A,#N/A,FALSE,"Umsatz EO OP";#N/A,#N/A,FALSE,"ER EO BP";#N/A,#N/A,FALSE,"ER EO OP";#N/A,#N/A,FALSE,"EA EO (2)";#N/A,#N/A,FALSE,"EA EO";#N/A,#N/A,FALSE,"EA EO (3)";#N/A,#N/A,FALSE,"EA EO (4)";#N/A,#N/A,FALSE,"KA EO  (2)";#N/A,#N/A,FALSE,"KA EO";#N/A,#N/A,FALSE,"KA EO  (3)";#N/A,#N/A,FALSE,"KA EO (4)"}</definedName>
    <definedName name="tai.v4_3" localSheetId="6" hidden="1">{#N/A,#N/A,FALSE,"Umsatz EO BP";#N/A,#N/A,FALSE,"Umsatz EO OP";#N/A,#N/A,FALSE,"ER EO BP";#N/A,#N/A,FALSE,"ER EO OP";#N/A,#N/A,FALSE,"EA EO (2)";#N/A,#N/A,FALSE,"EA EO";#N/A,#N/A,FALSE,"EA EO (3)";#N/A,#N/A,FALSE,"EA EO (4)";#N/A,#N/A,FALSE,"KA EO  (2)";#N/A,#N/A,FALSE,"KA EO";#N/A,#N/A,FALSE,"KA EO  (3)";#N/A,#N/A,FALSE,"KA EO (4)"}</definedName>
    <definedName name="tai.v4_3" hidden="1">{#N/A,#N/A,FALSE,"Umsatz EO BP";#N/A,#N/A,FALSE,"Umsatz EO OP";#N/A,#N/A,FALSE,"ER EO BP";#N/A,#N/A,FALSE,"ER EO OP";#N/A,#N/A,FALSE,"EA EO (2)";#N/A,#N/A,FALSE,"EA EO";#N/A,#N/A,FALSE,"EA EO (3)";#N/A,#N/A,FALSE,"EA EO (4)";#N/A,#N/A,FALSE,"KA EO  (2)";#N/A,#N/A,FALSE,"KA EO";#N/A,#N/A,FALSE,"KA EO  (3)";#N/A,#N/A,FALSE,"KA EO (4)"}</definedName>
    <definedName name="tai.v4_4" localSheetId="0" hidden="1">{#N/A,#N/A,FALSE,"Umsatz EO BP";#N/A,#N/A,FALSE,"Umsatz EO OP";#N/A,#N/A,FALSE,"ER EO BP";#N/A,#N/A,FALSE,"ER EO OP";#N/A,#N/A,FALSE,"EA EO (2)";#N/A,#N/A,FALSE,"EA EO";#N/A,#N/A,FALSE,"EA EO (3)";#N/A,#N/A,FALSE,"EA EO (4)";#N/A,#N/A,FALSE,"KA EO  (2)";#N/A,#N/A,FALSE,"KA EO";#N/A,#N/A,FALSE,"KA EO  (3)";#N/A,#N/A,FALSE,"KA EO (4)"}</definedName>
    <definedName name="tai.v4_4" localSheetId="6" hidden="1">{#N/A,#N/A,FALSE,"Umsatz EO BP";#N/A,#N/A,FALSE,"Umsatz EO OP";#N/A,#N/A,FALSE,"ER EO BP";#N/A,#N/A,FALSE,"ER EO OP";#N/A,#N/A,FALSE,"EA EO (2)";#N/A,#N/A,FALSE,"EA EO";#N/A,#N/A,FALSE,"EA EO (3)";#N/A,#N/A,FALSE,"EA EO (4)";#N/A,#N/A,FALSE,"KA EO  (2)";#N/A,#N/A,FALSE,"KA EO";#N/A,#N/A,FALSE,"KA EO  (3)";#N/A,#N/A,FALSE,"KA EO (4)"}</definedName>
    <definedName name="tai.v4_4" hidden="1">{#N/A,#N/A,FALSE,"Umsatz EO BP";#N/A,#N/A,FALSE,"Umsatz EO OP";#N/A,#N/A,FALSE,"ER EO BP";#N/A,#N/A,FALSE,"ER EO OP";#N/A,#N/A,FALSE,"EA EO (2)";#N/A,#N/A,FALSE,"EA EO";#N/A,#N/A,FALSE,"EA EO (3)";#N/A,#N/A,FALSE,"EA EO (4)";#N/A,#N/A,FALSE,"KA EO  (2)";#N/A,#N/A,FALSE,"KA EO";#N/A,#N/A,FALSE,"KA EO  (3)";#N/A,#N/A,FALSE,"KA EO (4)"}</definedName>
    <definedName name="tai.v4_5" localSheetId="0" hidden="1">{#N/A,#N/A,FALSE,"Umsatz EO BP";#N/A,#N/A,FALSE,"Umsatz EO OP";#N/A,#N/A,FALSE,"ER EO BP";#N/A,#N/A,FALSE,"ER EO OP";#N/A,#N/A,FALSE,"EA EO (2)";#N/A,#N/A,FALSE,"EA EO";#N/A,#N/A,FALSE,"EA EO (3)";#N/A,#N/A,FALSE,"EA EO (4)";#N/A,#N/A,FALSE,"KA EO  (2)";#N/A,#N/A,FALSE,"KA EO";#N/A,#N/A,FALSE,"KA EO  (3)";#N/A,#N/A,FALSE,"KA EO (4)"}</definedName>
    <definedName name="tai.v4_5" localSheetId="6" hidden="1">{#N/A,#N/A,FALSE,"Umsatz EO BP";#N/A,#N/A,FALSE,"Umsatz EO OP";#N/A,#N/A,FALSE,"ER EO BP";#N/A,#N/A,FALSE,"ER EO OP";#N/A,#N/A,FALSE,"EA EO (2)";#N/A,#N/A,FALSE,"EA EO";#N/A,#N/A,FALSE,"EA EO (3)";#N/A,#N/A,FALSE,"EA EO (4)";#N/A,#N/A,FALSE,"KA EO  (2)";#N/A,#N/A,FALSE,"KA EO";#N/A,#N/A,FALSE,"KA EO  (3)";#N/A,#N/A,FALSE,"KA EO (4)"}</definedName>
    <definedName name="tai.v4_5" hidden="1">{#N/A,#N/A,FALSE,"Umsatz EO BP";#N/A,#N/A,FALSE,"Umsatz EO OP";#N/A,#N/A,FALSE,"ER EO BP";#N/A,#N/A,FALSE,"ER EO OP";#N/A,#N/A,FALSE,"EA EO (2)";#N/A,#N/A,FALSE,"EA EO";#N/A,#N/A,FALSE,"EA EO (3)";#N/A,#N/A,FALSE,"EA EO (4)";#N/A,#N/A,FALSE,"KA EO  (2)";#N/A,#N/A,FALSE,"KA EO";#N/A,#N/A,FALSE,"KA EO  (3)";#N/A,#N/A,FALSE,"KA EO (4)"}</definedName>
    <definedName name="TAIBA" localSheetId="6" hidden="1">Main.SAPF4Help()</definedName>
    <definedName name="TAIBA" hidden="1">Main.SAPF4Help()</definedName>
    <definedName name="TAIF">#REF!</definedName>
    <definedName name="Tail.2" localSheetId="0" hidden="1">{#N/A,#N/A,FALSE,"KA CH  (2)"}</definedName>
    <definedName name="Tail.2" localSheetId="6" hidden="1">{#N/A,#N/A,FALSE,"KA CH  (2)"}</definedName>
    <definedName name="Tail.2" hidden="1">{#N/A,#N/A,FALSE,"KA CH  (2)"}</definedName>
    <definedName name="Tail.2_1" localSheetId="0" hidden="1">{#N/A,#N/A,FALSE,"KA CH  (2)"}</definedName>
    <definedName name="Tail.2_1" localSheetId="6" hidden="1">{#N/A,#N/A,FALSE,"KA CH  (2)"}</definedName>
    <definedName name="Tail.2_1" hidden="1">{#N/A,#N/A,FALSE,"KA CH  (2)"}</definedName>
    <definedName name="Tail.2_1_1" localSheetId="0" hidden="1">{#N/A,#N/A,FALSE,"KA CH  (2)"}</definedName>
    <definedName name="Tail.2_1_1" localSheetId="6" hidden="1">{#N/A,#N/A,FALSE,"KA CH  (2)"}</definedName>
    <definedName name="Tail.2_1_1" hidden="1">{#N/A,#N/A,FALSE,"KA CH  (2)"}</definedName>
    <definedName name="Tail.2_2" localSheetId="0" hidden="1">{#N/A,#N/A,FALSE,"KA CH  (2)"}</definedName>
    <definedName name="Tail.2_2" localSheetId="6" hidden="1">{#N/A,#N/A,FALSE,"KA CH  (2)"}</definedName>
    <definedName name="Tail.2_2" hidden="1">{#N/A,#N/A,FALSE,"KA CH  (2)"}</definedName>
    <definedName name="Tail.2_3" localSheetId="0" hidden="1">{#N/A,#N/A,FALSE,"KA CH  (2)"}</definedName>
    <definedName name="Tail.2_3" localSheetId="6" hidden="1">{#N/A,#N/A,FALSE,"KA CH  (2)"}</definedName>
    <definedName name="Tail.2_3" hidden="1">{#N/A,#N/A,FALSE,"KA CH  (2)"}</definedName>
    <definedName name="Tail.2_4" localSheetId="0" hidden="1">{#N/A,#N/A,FALSE,"KA CH  (2)"}</definedName>
    <definedName name="Tail.2_4" localSheetId="6" hidden="1">{#N/A,#N/A,FALSE,"KA CH  (2)"}</definedName>
    <definedName name="Tail.2_4" hidden="1">{#N/A,#N/A,FALSE,"KA CH  (2)"}</definedName>
    <definedName name="Tail.2_5" localSheetId="0" hidden="1">{#N/A,#N/A,FALSE,"KA CH  (2)"}</definedName>
    <definedName name="Tail.2_5" localSheetId="6" hidden="1">{#N/A,#N/A,FALSE,"KA CH  (2)"}</definedName>
    <definedName name="Tail.2_5" hidden="1">{#N/A,#N/A,FALSE,"KA CH  (2)"}</definedName>
    <definedName name="Tang_Assets">#REF!</definedName>
    <definedName name="TAP" localSheetId="0" hidden="1">{#N/A,#N/A,TRUE,"PROFIT 11-95"}</definedName>
    <definedName name="TAP" localSheetId="6" hidden="1">{#N/A,#N/A,TRUE,"PROFIT 11-95"}</definedName>
    <definedName name="TAP" hidden="1">{#N/A,#N/A,TRUE,"PROFIT 11-95"}</definedName>
    <definedName name="Tar1Pntr">#REF!</definedName>
    <definedName name="Tar2Pntr">#REF!</definedName>
    <definedName name="Tar3Pntr">#REF!</definedName>
    <definedName name="TarAGt">#REF!</definedName>
    <definedName name="TarCase">#REF!</definedName>
    <definedName name="TarCase1Name">#REF!</definedName>
    <definedName name="TarCase2Name">#REF!</definedName>
    <definedName name="TarCase3Name">#REF!</definedName>
    <definedName name="TarCpxUse">#REF!</definedName>
    <definedName name="TarD1Pntr">#REF!</definedName>
    <definedName name="TarD2Pntr">#REF!</definedName>
    <definedName name="TarD3Pntr">#REF!</definedName>
    <definedName name="TarDCase2Name">#REF!</definedName>
    <definedName name="TarDCase3Name">#REF!</definedName>
    <definedName name="TarDepr">#REF!</definedName>
    <definedName name="TarDisE1M2">#REF!</definedName>
    <definedName name="TarDiv1">#REF!</definedName>
    <definedName name="TarDivNow" hidden="1">#REF!</definedName>
    <definedName name="TarfCOGS">#REF!</definedName>
    <definedName name="TarFinDate">#REF!</definedName>
    <definedName name="TarFinMos">#REF!</definedName>
    <definedName name="TarfSGA">#REF!</definedName>
    <definedName name="TarGnam">#REF!</definedName>
    <definedName name="TarGt">#REF!</definedName>
    <definedName name="TarGWnam">#REF!</definedName>
    <definedName name="TarGWUse">#REF!</definedName>
    <definedName name="TarInput1DivInc2">#REF!</definedName>
    <definedName name="TarIntUse">#REF!</definedName>
    <definedName name="TarLastHistDate">#REF!</definedName>
    <definedName name="TarName">#REF!</definedName>
    <definedName name="tarname1">#REF!</definedName>
    <definedName name="TarNOL">#REF!</definedName>
    <definedName name="TarNPPE">#REF!</definedName>
    <definedName name="TarNTF">#REF!</definedName>
    <definedName name="TarOE">#REF!</definedName>
    <definedName name="TarOI">#REF!</definedName>
    <definedName name="TarPPEUse">#REF!</definedName>
    <definedName name="TarRevenues">#REF!</definedName>
    <definedName name="TarStartingYear">#REF!</definedName>
    <definedName name="TarStub">#REF!</definedName>
    <definedName name="TarTotalSales">#REF!</definedName>
    <definedName name="TarvCOGS">#REF!</definedName>
    <definedName name="TarvSGA">#REF!</definedName>
    <definedName name="TarYTD">#REF!</definedName>
    <definedName name="Tax_Rate" localSheetId="0">#REF!</definedName>
    <definedName name="TAX_RATE">#REF!</definedName>
    <definedName name="tax_toggle">#REF!</definedName>
    <definedName name="TaxAmort">#REF!</definedName>
    <definedName name="taxol" localSheetId="0" hidden="1">{#N/A,#N/A,FALSE,"Pharm";#N/A,#N/A,FALSE,"WWCM"}</definedName>
    <definedName name="taxol" localSheetId="6" hidden="1">{#N/A,#N/A,FALSE,"Pharm";#N/A,#N/A,FALSE,"WWCM"}</definedName>
    <definedName name="taxol" hidden="1">{#N/A,#N/A,FALSE,"Pharm";#N/A,#N/A,FALSE,"WWCM"}</definedName>
    <definedName name="taxol_1" localSheetId="0" hidden="1">{#N/A,#N/A,FALSE,"Pharm";#N/A,#N/A,FALSE,"WWCM"}</definedName>
    <definedName name="taxol_1" localSheetId="6" hidden="1">{#N/A,#N/A,FALSE,"Pharm";#N/A,#N/A,FALSE,"WWCM"}</definedName>
    <definedName name="taxol_1" hidden="1">{#N/A,#N/A,FALSE,"Pharm";#N/A,#N/A,FALSE,"WWCM"}</definedName>
    <definedName name="taxol_1_1" localSheetId="0" hidden="1">{#N/A,#N/A,FALSE,"Pharm";#N/A,#N/A,FALSE,"WWCM"}</definedName>
    <definedName name="taxol_1_1" localSheetId="6" hidden="1">{#N/A,#N/A,FALSE,"Pharm";#N/A,#N/A,FALSE,"WWCM"}</definedName>
    <definedName name="taxol_1_1" hidden="1">{#N/A,#N/A,FALSE,"Pharm";#N/A,#N/A,FALSE,"WWCM"}</definedName>
    <definedName name="taxol_2" localSheetId="0" hidden="1">{#N/A,#N/A,FALSE,"Pharm";#N/A,#N/A,FALSE,"WWCM"}</definedName>
    <definedName name="taxol_2" localSheetId="6" hidden="1">{#N/A,#N/A,FALSE,"Pharm";#N/A,#N/A,FALSE,"WWCM"}</definedName>
    <definedName name="taxol_2" hidden="1">{#N/A,#N/A,FALSE,"Pharm";#N/A,#N/A,FALSE,"WWCM"}</definedName>
    <definedName name="taxol_3" localSheetId="0" hidden="1">{#N/A,#N/A,FALSE,"Pharm";#N/A,#N/A,FALSE,"WWCM"}</definedName>
    <definedName name="taxol_3" localSheetId="6" hidden="1">{#N/A,#N/A,FALSE,"Pharm";#N/A,#N/A,FALSE,"WWCM"}</definedName>
    <definedName name="taxol_3" hidden="1">{#N/A,#N/A,FALSE,"Pharm";#N/A,#N/A,FALSE,"WWCM"}</definedName>
    <definedName name="taxol_4" localSheetId="0" hidden="1">{#N/A,#N/A,FALSE,"Pharm";#N/A,#N/A,FALSE,"WWCM"}</definedName>
    <definedName name="taxol_4" localSheetId="6" hidden="1">{#N/A,#N/A,FALSE,"Pharm";#N/A,#N/A,FALSE,"WWCM"}</definedName>
    <definedName name="taxol_4" hidden="1">{#N/A,#N/A,FALSE,"Pharm";#N/A,#N/A,FALSE,"WWCM"}</definedName>
    <definedName name="taxol_5" localSheetId="0" hidden="1">{#N/A,#N/A,FALSE,"Pharm";#N/A,#N/A,FALSE,"WWCM"}</definedName>
    <definedName name="taxol_5" localSheetId="6" hidden="1">{#N/A,#N/A,FALSE,"Pharm";#N/A,#N/A,FALSE,"WWCM"}</definedName>
    <definedName name="taxol_5" hidden="1">{#N/A,#N/A,FALSE,"Pharm";#N/A,#N/A,FALSE,"WWCM"}</definedName>
    <definedName name="TaxOnInc1All2">#REF!</definedName>
    <definedName name="Taxpb" hidden="1">#REF!</definedName>
    <definedName name="TaxRate">#REF!</definedName>
    <definedName name="taxrate_year1">#REF!</definedName>
    <definedName name="taxrate_year2">#REF!</definedName>
    <definedName name="taxrate_year3">#REF!</definedName>
    <definedName name="taxrate_year4">#REF!</definedName>
    <definedName name="taxrate_year5">#REF!</definedName>
    <definedName name="taxrate_year6">#REF!</definedName>
    <definedName name="TB000903a7_a2cf_4473_93a1_4dd38e58b185" hidden="1">#REF!</definedName>
    <definedName name="TB00143c8a_b25c_4e9c_b700_8bf702b0da16" hidden="1">#REF!</definedName>
    <definedName name="TB0016c51e_ea61_4391_aaee_20f390d31fe1" hidden="1">#REF!</definedName>
    <definedName name="TB00177ec0_1d79_4017_a26b_4ac6b9207e57" hidden="1">#REF!</definedName>
    <definedName name="TB0018969f_b948_4783_8bdd_cbfdcc40f7d1" hidden="1">#REF!</definedName>
    <definedName name="TB00401688_3640_431c_a976_5fe27fbff6c8" hidden="1">#REF!</definedName>
    <definedName name="TB00447316_2069_44b0_9691_df4d5ae392c1" hidden="1">#REF!</definedName>
    <definedName name="TB0053585c_c003_4f09_a9f8_b5ad82c578c2" hidden="1">#REF!</definedName>
    <definedName name="TB006270d9_51b0_40b7_b9d5_85e671bf319c" hidden="1">#REF!</definedName>
    <definedName name="TB00710f8f_ffd9_488d_a42f_7cb65ef06834" hidden="1">#REF!</definedName>
    <definedName name="TB0071e7b4_9f00_4ff7_890a_9e09a32fc557" hidden="1">#REF!</definedName>
    <definedName name="TB007233dd_079b_444a_afc5_2b5849c29f11" hidden="1">#REF!</definedName>
    <definedName name="TB0077ae2d_a3d8_44bc_afd9_bba355c6a870" hidden="1">#REF!</definedName>
    <definedName name="TB0088ab3e_0c93_42c0_a238_cfd6963d034b" hidden="1">#REF!</definedName>
    <definedName name="TB0094a697_030c_410a_a1ac_1e81cd8fcb49" hidden="1">#REF!</definedName>
    <definedName name="TB0095f68c_74cc_493e_be31_19a0d35cdb72" hidden="1">#REF!</definedName>
    <definedName name="TB009cfac5_9c42_4795_a4e2_8acea12eabf6" hidden="1">#REF!</definedName>
    <definedName name="TB009fb901_eefc_47fa_aa44_4da41714bebc" hidden="1">#REF!</definedName>
    <definedName name="TB00a11c11_b8c3_4c0c_83b5_9869f5d3710c" hidden="1">#REF!</definedName>
    <definedName name="TB00a40b49_371e_448b_8a9e_9813cee9795f" hidden="1">#REF!</definedName>
    <definedName name="TB00b1fe50_4e58_4746_b804_363d8e9d6672" hidden="1">#REF!</definedName>
    <definedName name="TB00b308aa_4fce_455a_9b8f_fbbf47dfe58b" hidden="1">#REF!</definedName>
    <definedName name="TB00bef5c2_c630_44b8_828b_6ca9f3cfe2eb" hidden="1">#REF!</definedName>
    <definedName name="TB00d81859_fa15_421a_be57_5331f27a8264" hidden="1">#REF!</definedName>
    <definedName name="TB00d8ab2f_94bb_45aa_b9f2_de236e18b8e4" hidden="1">#REF!</definedName>
    <definedName name="TB00e2d293_e23b_4a7f_bdde_5c1e614875d4" hidden="1">#REF!</definedName>
    <definedName name="TB00e635fd_0122_4246_b2c4_83b16c4d82a4" hidden="1">#REF!</definedName>
    <definedName name="TB00f0ab79_34b7_4213_9ca2_244ddaff8916" hidden="1">#REF!</definedName>
    <definedName name="TB00f3616d_2ded_4051_b8ef_3280a7e3a647" hidden="1">#REF!</definedName>
    <definedName name="TB00f410e8_0d73_4ab0_81f1_43f11d4cda41" hidden="1">#REF!</definedName>
    <definedName name="TB00fb6c11_b46f_4f29_b51c_1997487dfce7" hidden="1">#REF!</definedName>
    <definedName name="TB01073468_0d38_4d1c_bda3_8d18cbc02bba" hidden="1">#REF!</definedName>
    <definedName name="TB010b1742_bef5_4604_8828_f38470bd32d1" hidden="1">#REF!</definedName>
    <definedName name="TB010e9bd6_89c7_4b87_96f0_7300d21e467b" hidden="1">#REF!</definedName>
    <definedName name="TB010efac8_2e6a_4ac5_af7b_93a47a5857b0" hidden="1">#REF!</definedName>
    <definedName name="TB010f23e7_994c_4a77_ad3a_60ac9136d2f7" hidden="1">#REF!</definedName>
    <definedName name="TB0115350d_c137_40c8_a8b4_25421a1f1116" hidden="1">#REF!</definedName>
    <definedName name="TB011c5e5c_f10a_4b55_99d9_ec6603c9ae61" hidden="1">#REF!</definedName>
    <definedName name="TB01244895_f11d_4609_86eb_0f3c06b7560e" hidden="1">#REF!</definedName>
    <definedName name="TB01288f17_2616_4f5b_96bc_73ff14ca5ddf" hidden="1">#REF!</definedName>
    <definedName name="TB0132bc1e_6287_4105_8ed0_80bd37047065" hidden="1">#REF!</definedName>
    <definedName name="TB0133e945_e448_43b4_8ecc_397a361cc416" hidden="1">#REF!</definedName>
    <definedName name="TB013ad932_3778_43d1_a25b_d848e40ac344" hidden="1">#REF!</definedName>
    <definedName name="TB0142582f_e235_450c_98b7_eb64460ce865" hidden="1">#REF!</definedName>
    <definedName name="TB014c51da_853b_4a3e_b7d6_24ec7310f3ad" hidden="1">#REF!</definedName>
    <definedName name="TB01547500_af28_45a3_8203_ab3c69f10a99" hidden="1">#REF!</definedName>
    <definedName name="TB017c8092_a412_4471_a6b7_284811603501" hidden="1">#REF!</definedName>
    <definedName name="TB017ec8fe_c150_412e_9384_2b1af3a6bb25" hidden="1">#REF!</definedName>
    <definedName name="TB01815718_3d2d_4328_acd0_a533c38982f0" hidden="1">#REF!</definedName>
    <definedName name="TB01895f25_1864_4b70_8649_6bad6fd0e7fa" hidden="1">#REF!</definedName>
    <definedName name="TB018ad91b_e3a6_4fb1_851d_d3e11aa29f50" hidden="1">#REF!</definedName>
    <definedName name="TB019f3760_a4dc_4984_9152_2c36d2e7949b" hidden="1">#REF!</definedName>
    <definedName name="TB01a487dd_8642_4b1a_b691_08180312c986" hidden="1">#REF!</definedName>
    <definedName name="TB01a84237_d833_4485_9ad1_06eb94568689" hidden="1">#REF!</definedName>
    <definedName name="TB01bea8c4_d9f5_4031_aede_36e59b855bb2" hidden="1">#REF!</definedName>
    <definedName name="TB01bef3aa_9e12_4916_b84c_5bddcb513464" hidden="1">#REF!</definedName>
    <definedName name="TB01cc7eab_04bf_41fe_9f44_e66edb3e8618" hidden="1">#REF!</definedName>
    <definedName name="TB01d3aacd_8dfe_4aa9_872a_05448e7053e4" hidden="1">#REF!</definedName>
    <definedName name="TB01d49050_e951_4957_8c9f_e17bb55337c3" hidden="1">#REF!</definedName>
    <definedName name="TB01d89af5_00d5_4750_894d_eb8e8200d04d" hidden="1">#REF!</definedName>
    <definedName name="TB01e19125_f8c6_4855_801b_c8b1b04874b8" hidden="1">#REF!</definedName>
    <definedName name="TB01e38561_4bb2_4775_b810_d93aa679cf79" hidden="1">#REF!</definedName>
    <definedName name="TB01e3c524_b307_49f1_937e_0442b7802b0c" hidden="1">#REF!</definedName>
    <definedName name="TB01e46a3f_c739_4b4c_a0a5_611409c61e17" hidden="1">#REF!</definedName>
    <definedName name="TB01f34087_a306_475a_a46c_399e9a18e09a" hidden="1">#REF!</definedName>
    <definedName name="TB02010d40_2b7a_43df_89ec_7eb73c4d65a2" hidden="1">#REF!</definedName>
    <definedName name="TB020afe49_48b2_4325_9886_a6715a0c072e" hidden="1">#REF!</definedName>
    <definedName name="TB0210fa21_1e1a_4fbe_a238_3f27580ab84f" hidden="1">#REF!</definedName>
    <definedName name="TB02336c19_0141_41eb_92d0_c9d36a4d0615" hidden="1">#REF!</definedName>
    <definedName name="TB023da12b_7a45_4107_8dc8_670f28e4c21b" hidden="1">#REF!</definedName>
    <definedName name="TB024a8fd3_96e4_4468_863e_7e07d5a8a049" hidden="1">#REF!</definedName>
    <definedName name="TB024d6f1a_dad4_4397_b323_e7d2c4b3eed9" hidden="1">#REF!</definedName>
    <definedName name="TB025109a4_6ab1_4559_9ea7_edd43865db47" hidden="1">#REF!</definedName>
    <definedName name="TB0258bb39_8e34_42e9_a777_cda0588d5bbc" hidden="1">#REF!</definedName>
    <definedName name="TB027e856d_9788_41b9_8ac6_6606e38786f8" hidden="1">#REF!</definedName>
    <definedName name="TB028916c1_ea90_45fc_8478_3849bc0be0c1" hidden="1">#REF!</definedName>
    <definedName name="TB028aae88_474b_4d0b_af63_344a3d7d72d9" hidden="1">#REF!</definedName>
    <definedName name="TB02938e97_eec1_4b85_a8e5_010feb728e3f" hidden="1">#REF!</definedName>
    <definedName name="TB029e8dff_ca16_43d4_85de_24d5e5aae602" hidden="1">#REF!</definedName>
    <definedName name="TB02aebb5d_8902_4e78_ae5a_fdd242591807" hidden="1">#REF!</definedName>
    <definedName name="TB02afd6ca_2076_429a_b717_2abf10653fa8" hidden="1">#REF!</definedName>
    <definedName name="TB02afd9d0_1898_4d52_b39b_128adc3624ab" hidden="1">#REF!</definedName>
    <definedName name="TB02c6a020_b386_409e_9e57_f8750b366aa0" hidden="1">#REF!</definedName>
    <definedName name="TB02cbc961_c455_4d97_9360_c629746812f1" hidden="1">#REF!</definedName>
    <definedName name="TB02e478d7_32ff_4b13_91c5_d4e6b0fdaa49" hidden="1">#REF!</definedName>
    <definedName name="TB02e5bbb3_de40_4798_aa8c_100864b687d6" hidden="1">#REF!</definedName>
    <definedName name="TB02ee8182_74ed_4e1d_ae2a_7492a6496c76" hidden="1">#REF!</definedName>
    <definedName name="TB02f31d4e_842c_4a98_8b30_750c391664ea" hidden="1">#REF!</definedName>
    <definedName name="TB02fcf494_f532_4a46_8439_f9eb912a89cb" hidden="1">#REF!</definedName>
    <definedName name="TB031718b7_9c7e_4c5d_a145_11fd2f32cc7a" hidden="1">#REF!</definedName>
    <definedName name="TB0325cfcc_d9ca_4153_be6e_944556db01bb" hidden="1">#REF!</definedName>
    <definedName name="TB0327aea1_c77f_4145_aeef_983d068c7278" hidden="1">#REF!</definedName>
    <definedName name="TB032f79d8_8f08_41f6_b2a4_5697206d5ce9" hidden="1">#REF!</definedName>
    <definedName name="TB033646fb_2607_4403_84c9_714cdfcc432f" hidden="1">#REF!</definedName>
    <definedName name="TB033cccf5_35e9_43d2_ace0_bbc5e18b6422" hidden="1">#REF!</definedName>
    <definedName name="TB034edbd1_2fe4_48fc_803e_757f8c61b1d8" hidden="1">#REF!</definedName>
    <definedName name="TB0353f8c0_92e3_4e56_819d_bb68b81d3c76" hidden="1">#REF!</definedName>
    <definedName name="TB035a49ff_d713_4e2e_b99a_ab530d1edbde" hidden="1">#REF!</definedName>
    <definedName name="TB0365eb2c_db7d_45ef_a709_88354a7f0103" hidden="1">#REF!</definedName>
    <definedName name="TB036618c1_d280_4f8b_9af8_b0af75e5d1fc" hidden="1">#REF!</definedName>
    <definedName name="TB0372f0f1_489e_46c1_a23c_1b6c651a28bd" hidden="1">#REF!</definedName>
    <definedName name="TB0378a527_14dd_4706_933b_a701f4b6f289" hidden="1">#REF!</definedName>
    <definedName name="TB037b023c_f602_40c5_9deb_0250561d833d" hidden="1">#REF!</definedName>
    <definedName name="TB037ba397_bbe6_4327_97ff_c2af95bd2547" hidden="1">#REF!</definedName>
    <definedName name="TB037d0de2_9923_4b66_ac89_e389cbdb8de1" hidden="1">#REF!</definedName>
    <definedName name="TB037f47d5_2db9_4521_9bc6_bfe8485794fb" hidden="1">#REF!</definedName>
    <definedName name="TB03811084_27bd_4695_8385_f8f52a4173fe" hidden="1">#REF!</definedName>
    <definedName name="TB03867623_6139_4568_b368_6d52da81f630" hidden="1">#REF!</definedName>
    <definedName name="TB039164cc_47a4_4f71_8a4c_b38413727d88" hidden="1">#REF!</definedName>
    <definedName name="TB03a1218b_bc2e_42ff_8a5a_50f37f373428" hidden="1">#REF!</definedName>
    <definedName name="TB03a88baf_1a40_46fa_b87b_8edb805584f8" hidden="1">#REF!</definedName>
    <definedName name="TB03a8df5d_6515_46b9_a21d_918c4a326583" hidden="1">#REF!</definedName>
    <definedName name="TB03b22da4_89c2_4608_b324_7b86d81ee6e6" hidden="1">#REF!</definedName>
    <definedName name="TB03c1ea7b_b547_404f_af6a_50d5cb17ef2e" hidden="1">#REF!</definedName>
    <definedName name="TB03c28845_d528_4deb_84d4_bf326eb20b12" hidden="1">#REF!</definedName>
    <definedName name="TB03d39b70_366c_4a7f_b963_270d4643297d" hidden="1">#REF!</definedName>
    <definedName name="TB03d60f30_bc76_4172_a989_858b355be5e7" hidden="1">#REF!</definedName>
    <definedName name="TB03dd6e8e_77a9_4014_8234_d26767a29b29" hidden="1">#REF!</definedName>
    <definedName name="TB03f16ab6_856d_4864_931a_6b03bd3cd211" hidden="1">#REF!</definedName>
    <definedName name="TB03f81fce_4405_4669_b3a8_f44f8f5823dd" hidden="1">#REF!</definedName>
    <definedName name="TB0400329c_a8ac_4236_b2b0_961f490b4e85" hidden="1">#REF!</definedName>
    <definedName name="TB0402ae0e_ad83_427d_8fc3_f865b06d7b94" hidden="1">#REF!</definedName>
    <definedName name="TB0405880c_2486_4df9_9605_071e90065e1e" hidden="1">#REF!</definedName>
    <definedName name="TB0405aea0_3f38_4e2b_b5d4_2bc15df27af4" hidden="1">#REF!</definedName>
    <definedName name="TB0406eb8c_2ba2_4d1b_b05e_2db29bea13d7" hidden="1">#REF!</definedName>
    <definedName name="TB0413dc68_d90f_43f2_837e_aa0bdb4434db" hidden="1">#REF!</definedName>
    <definedName name="TB041536fd_69b1_4a82_b440_b9b0d53e87de" hidden="1">#REF!</definedName>
    <definedName name="TB04236178_5d42_4391_b216_ace3586f9245" hidden="1">#REF!</definedName>
    <definedName name="TB04246d7a_57fa_4bf1_abfd_6a6a54adc939" hidden="1">#REF!</definedName>
    <definedName name="TB0429c165_ee91_49ce_be17_8d263a8a432d" hidden="1">#REF!</definedName>
    <definedName name="TB042e67fe_980c_4aa0_a5d2_6592347b9259" hidden="1">#REF!</definedName>
    <definedName name="TB0449bcef_26a6_4db5_832d_a19a2319b02a" hidden="1">#REF!</definedName>
    <definedName name="TB044e5a4d_a60d_4dc5_a8dd_293c140bc97f" hidden="1">#REF!</definedName>
    <definedName name="TB044eea0a_14d1_4e33_ab6f_ea7e7af68cad" hidden="1">#REF!</definedName>
    <definedName name="TB04538130_cf72_4e57_b188_5d4c3c51b60d" hidden="1">#REF!</definedName>
    <definedName name="TB04587336_8804_4ba5_ba7e_de05166c1a97" hidden="1">#REF!</definedName>
    <definedName name="TB045c85c0_a614_4b4f_9a16_7429edcc2e8f" hidden="1">#REF!</definedName>
    <definedName name="TB045fc032_ebef_4b85_93fa_bf064a927589" hidden="1">#REF!</definedName>
    <definedName name="TB0461d737_9394_4f85_99a2_aa3dfb6d38da" hidden="1">#REF!</definedName>
    <definedName name="TB04677986_13eb_4bd5_a646_2be125829d55" hidden="1">#REF!</definedName>
    <definedName name="TB0479f892_e08a_417b_b941_1d635bbb5a33" hidden="1">#REF!</definedName>
    <definedName name="TB047caa5d_3258_4d7a_af94_1476487d3043" hidden="1">#REF!</definedName>
    <definedName name="TB0492ca08_0c9e_4114_b5a9_b8d214e00e8e" hidden="1">#REF!</definedName>
    <definedName name="TB0494fef0_7d75_412b_b0d7_c75e3c8cec5c" hidden="1">#REF!</definedName>
    <definedName name="TB049eceac_e5cf_40b0_b0cf_d5296a2fa344" hidden="1">#REF!</definedName>
    <definedName name="TB04b0f740_75a3_4e23_a1ee_aac5ff84bb6e" hidden="1">#REF!</definedName>
    <definedName name="TB04b64fee_2e57_4e5f_8a87_3402276b057a" hidden="1">#REF!</definedName>
    <definedName name="TB04c9a840_5dd3_402d_ad1f_16e9d3db92bd" hidden="1">#REF!</definedName>
    <definedName name="TB04cc70d4_7689_4e04_94d7_72d999eabd97" hidden="1">#REF!</definedName>
    <definedName name="TB04d5338e_8927_4ff8_8baf_9f642ecec764" hidden="1">#REF!</definedName>
    <definedName name="TB04ed5f8e_3d15_41dc_8881_892aa537f67a" hidden="1">#REF!</definedName>
    <definedName name="TB04ef54a8_a20c_4083_b9e4_9e9727a767e3" hidden="1">#REF!</definedName>
    <definedName name="TB04f0fb80_153a_46af_a902_b102b0b01785" hidden="1">#REF!</definedName>
    <definedName name="TB04f43a1e_7149_4afe_81e9_f8a9ca2affb5" hidden="1">#REF!</definedName>
    <definedName name="TB04fd40e2_70a0_462e_ab3d_a3f5b2d7d8c8" hidden="1">#REF!</definedName>
    <definedName name="TB0501957d_2c96_419c_a019_2cfe3684f3f2" hidden="1">#REF!</definedName>
    <definedName name="TB05037275_ebf9_406a_9beb_ba8276be1abc" hidden="1">#REF!</definedName>
    <definedName name="TB0508259e_f0fe_40cf_a485_0ea214670663" hidden="1">#REF!</definedName>
    <definedName name="TB050a2ab2_e41c_402f_9c9e_76e0808c79ef" hidden="1">#REF!</definedName>
    <definedName name="TB0511e28a_7058_4e66_8492_0ddc7b3a6a83" hidden="1">#REF!</definedName>
    <definedName name="TB05128fb7_01d2_4847_882a_7d1b4b8295de" hidden="1">#REF!</definedName>
    <definedName name="TB052492ff_1281_433c_ab45_90498c12d54f" hidden="1">#REF!</definedName>
    <definedName name="TB053917ee_ab62_4797_81f4_aab5e628b24f" hidden="1">#REF!</definedName>
    <definedName name="TB05424661_8dce_413e_b129_e19c4774534a" hidden="1">#REF!</definedName>
    <definedName name="TB054505cb_0140_409a_8194_3490f60b5a23" hidden="1">#REF!</definedName>
    <definedName name="TB055931dd_1fc5_4753_ae96_fa1e7a4a250e" hidden="1">#REF!</definedName>
    <definedName name="TB055c8630_2650_4091_b80e_81e43922a4d5" hidden="1">#REF!</definedName>
    <definedName name="TB055ea453_8f35_4c56_b9b6_f6535fb486ce" hidden="1">#REF!</definedName>
    <definedName name="TB056132f6_3fcc_42d8_809d_ee09d85e8e02" hidden="1">#REF!</definedName>
    <definedName name="TB0567d60c_40d0_4bd5_b5f1_d5f5da8149b5" hidden="1">#REF!</definedName>
    <definedName name="TB056b0e28_42a8_4357_8543_2ac7e899f44d" hidden="1">#REF!</definedName>
    <definedName name="TB057c5303_61f7_49b9_9307_96abed47536e" hidden="1">#REF!</definedName>
    <definedName name="TB0588fc2b_fed1_41ce_b655_7a354c970af5" hidden="1">#REF!</definedName>
    <definedName name="TB05b308c4_146c_488a_9d86_30f63affd87c" hidden="1">#REF!</definedName>
    <definedName name="TB05bac5a1_c228_4a5f_b8c1_832b49cc0c97" hidden="1">#REF!</definedName>
    <definedName name="TB05d6bebd_88d3_4b69_bfdb_51c34d43e7f7" hidden="1">#REF!</definedName>
    <definedName name="TB05d98197_c63f_4608_b82b_f32685f6a383" hidden="1">#REF!</definedName>
    <definedName name="TB05e6ceaf_45b6_42db_a568_d63ed109fd53" hidden="1">#REF!</definedName>
    <definedName name="TB05f58a65_4f73_476d_985c_38beed5d3b71" hidden="1">#REF!</definedName>
    <definedName name="TB06022059_8057_4c13_8159_c0cc4ec5468f" hidden="1">#REF!</definedName>
    <definedName name="TB06093206_cfd9_4b24_8da9_927284bdaa69" hidden="1">#REF!</definedName>
    <definedName name="TB06311112_099f_467e_9638_1ce2ca522a26" hidden="1">#REF!</definedName>
    <definedName name="TB063b4d61_a143_485a_8f91_032175b458f0" hidden="1">#REF!</definedName>
    <definedName name="TB0641cbbb_c314_4507_8f32_41d328479a2f" hidden="1">#REF!</definedName>
    <definedName name="TB06472783_9d53_479a_92b3_cbb941625c7f" hidden="1">#REF!</definedName>
    <definedName name="TB064fc718_efaf_41e8_9160_35987de0d8bd" hidden="1">#REF!</definedName>
    <definedName name="TB06580464_1a94_4ede_b6cf_a7a058c1de06" hidden="1">#REF!</definedName>
    <definedName name="TB065ac2c3_b8cd_40e2_bee4_715b6bf22622" hidden="1">#REF!</definedName>
    <definedName name="TB065fb716_ffc0_4a39_a1dd_fa427d9d8d08" hidden="1">#REF!</definedName>
    <definedName name="TB067e1345_a65d_4496_9a9d_2ceed7f76ea6" hidden="1">#REF!</definedName>
    <definedName name="TB068605a3_897d_4b4f_b812_0b585dfe4c05" hidden="1">#REF!</definedName>
    <definedName name="TB06867b43_9f6b_4075_b6c1_fbd7e746b5d7" hidden="1">#REF!</definedName>
    <definedName name="TB06940a08_6d97_4c40_9941_925e4e3b9350" hidden="1">#REF!</definedName>
    <definedName name="TB06ac1770_775e_4983_a409_51101ad8769e" hidden="1">#REF!</definedName>
    <definedName name="TB06ae14e3_f153_4a69_b566_0fddee68d296" hidden="1">#REF!</definedName>
    <definedName name="TB06bc506a_35f2_4755_bf85_bf395a1f02a0" hidden="1">#REF!</definedName>
    <definedName name="TB06bc5259_2112_4a0e_b163_b238f42a2110" hidden="1">#REF!</definedName>
    <definedName name="TB06be8c95_449b_4a44_835e_f61daa71e444" hidden="1">#REF!</definedName>
    <definedName name="TB06cb3b22_a2d2_4e95_b161_4b03bbaa6ba6" hidden="1">#REF!</definedName>
    <definedName name="TB06cf24d7_5d1c_4bd0_8379_67051fbdd7b1" hidden="1">#REF!</definedName>
    <definedName name="TB06d77fba_f4e9_4283_8579_888da85d93b2" hidden="1">#REF!</definedName>
    <definedName name="TB06edbcec_3648_40cd_8c03_02a99b75159b" hidden="1">#REF!</definedName>
    <definedName name="TB0701fa62_3302_48cf_9e1d_6e31debbe003" hidden="1">#REF!</definedName>
    <definedName name="TB07166ae7_cf79_4138_8bff_4a43fe18b84c" hidden="1">#REF!</definedName>
    <definedName name="TB07204645_dd0e_46bd_afee_f82b6871133c" hidden="1">#REF!</definedName>
    <definedName name="TB0721f99e_7c02_44b3_af2c_6ffcc54bdcda" hidden="1">#REF!</definedName>
    <definedName name="TB0723c8ed_6250_44d9_be34_fd3a53c8e1ec" hidden="1">#REF!</definedName>
    <definedName name="TB0737fbb4_7e3e_4a25_9845_75e1b95d43b3" hidden="1">#REF!</definedName>
    <definedName name="TB0738b034_d10c_42d6_89e5_a1f03abfe939" hidden="1">#REF!</definedName>
    <definedName name="TB073eeaf9_c879_4ee9_81f8_396c9f81b5d6" hidden="1">#REF!</definedName>
    <definedName name="TB074b5cb9_b22d_4203_bc36_3ad3b4eb6f0e" hidden="1">#REF!</definedName>
    <definedName name="TB0756dfe8_9b49_4d0b_be44_c70aa1bc3b3d" hidden="1">#REF!</definedName>
    <definedName name="TB076ad945_e51b_4e2b_981f_f30c22fa39e2" hidden="1">#REF!</definedName>
    <definedName name="TB07722e2e_8af7_4c23_a726_8727424ec4ac" hidden="1">#REF!</definedName>
    <definedName name="TB0776f4eb_9fd8_4525_9112_3ada81b90749" hidden="1">#REF!</definedName>
    <definedName name="TB077a668c_58a9_4bb0_be3a_c9636717bee4" hidden="1">#REF!</definedName>
    <definedName name="TB079bc3a8_d665_4c6c_a5ca_79a9adb3dbc7" hidden="1">#REF!</definedName>
    <definedName name="TB07a08ff2_388c_41bb_9eee_8fadf6c38b4e" hidden="1">#REF!</definedName>
    <definedName name="TB07a94a54_31a4_41e0_8940_22fbdbe7fa5f" hidden="1">#REF!</definedName>
    <definedName name="TB07c9459c_ecab_4a39_9db2_2624017be8b1" hidden="1">#REF!</definedName>
    <definedName name="TB07d52213_9826_4fae_b55e_b0a0e3c5d24d" hidden="1">#REF!</definedName>
    <definedName name="TB07e29745_3c47_43ec_8679_14e9c7858b1a" hidden="1">#REF!</definedName>
    <definedName name="TB07eda28a_2f09_4469_9046_46e00e109cd3" hidden="1">#REF!</definedName>
    <definedName name="TB07f8fd2e_0ab0_4c83_8cbd_3c17345ff613" hidden="1">#REF!</definedName>
    <definedName name="TB081d61c7_f145_42e1_91a6_39589a7d6fdc" hidden="1">#REF!</definedName>
    <definedName name="TB081d83a0_def0_4dc4_bf5b_0cf0a9bb8e6c" hidden="1">#REF!</definedName>
    <definedName name="TB0825c386_8d79_4675_b9fd_4cc18a5b7dd4" hidden="1">#REF!</definedName>
    <definedName name="TB086bb1da_13c4_4282_8c3f_5c3fc55ccf28" hidden="1">#REF!</definedName>
    <definedName name="TB086cf66f_2a17_46e3_a816_17945f701165" hidden="1">#REF!</definedName>
    <definedName name="TB0872b13b_2088_428b_ab47_372565fa5992" hidden="1">#REF!</definedName>
    <definedName name="TB08753c0a_fcbd_4941_93cd_6b079c02e953" hidden="1">#REF!</definedName>
    <definedName name="TB0876c5fc_d485_426d_9333_8b5b570177b6" hidden="1">#REF!</definedName>
    <definedName name="TB0885bfec_162d_4a7e_b8f6_3c10bdd347a3" hidden="1">#REF!</definedName>
    <definedName name="TB0898df86_16b0_4c00_bc7e_4f2cb4c3f1d8" hidden="1">#REF!</definedName>
    <definedName name="TB08990fc5_a113_48ab_b83a_c7d26294e0da" hidden="1">#REF!</definedName>
    <definedName name="TB08a1b46a_e1e2_49e0_9a35_88616d75563e" hidden="1">#REF!</definedName>
    <definedName name="TB08ac0a47_a1ba_45c4_a84a_181666e05d52" hidden="1">#REF!</definedName>
    <definedName name="TB08b25b37_ded0_444a_acc0_f0cabe79b932" hidden="1">#REF!</definedName>
    <definedName name="TB08b30bb8_2b98_4761_8071_399081ea38f6" hidden="1">#REF!</definedName>
    <definedName name="TB08b5f655_d369_4f01_9c6d_e32b581abb27" hidden="1">#REF!</definedName>
    <definedName name="TB08cc7b76_ef32_4773_883c_1b0d7612c15c" hidden="1">#REF!</definedName>
    <definedName name="TB08cee255_48cd_4ca9_aa46_2808e39610ee" hidden="1">#REF!</definedName>
    <definedName name="TB08d1fd9a_176b_4272_b898_b2605dba93c6" hidden="1">#REF!</definedName>
    <definedName name="TB08d69222_431c_4a7e_9b5a_2f23452f1396" hidden="1">#REF!</definedName>
    <definedName name="TB08e64d63_0488_4285_a365_2c6d092792d1" hidden="1">#REF!</definedName>
    <definedName name="TB08fe513e_f3cf_4ee1_b601_e20be4494dee" hidden="1">#REF!</definedName>
    <definedName name="TB08ff0659_99f0_4f88_9564_afda4e14ba2e" hidden="1">#REF!</definedName>
    <definedName name="TB091cd3b6_69a3_449b_84bf_8f62e97a40ff" hidden="1">#REF!</definedName>
    <definedName name="TB0944f10b_5494_48a3_9ec3_8746064fe4a7" hidden="1">#REF!</definedName>
    <definedName name="TB09464152_e84d_4140_942b_3227fda38b4d" hidden="1">#REF!</definedName>
    <definedName name="TB095835b7_734d_43be_bedf_820db3f47422" hidden="1">#REF!</definedName>
    <definedName name="TB095d15ba_8f33_4acb_97b0_6339fa16020a" hidden="1">#REF!</definedName>
    <definedName name="TB09968498_533f_430e_89e7_7002866e78e2" hidden="1">#REF!</definedName>
    <definedName name="TB09bb74a2_2d59_4840_b000_3f7da1991991" hidden="1">#REF!</definedName>
    <definedName name="TB09c078b6_b33d_43f1_8406_361661f198cc" hidden="1">#REF!</definedName>
    <definedName name="TB09c1de98_198a_4db0_9f5f_81d185d6d49a" hidden="1">#REF!</definedName>
    <definedName name="TB09c37e14_38e7_4a71_8ef0_e4e55e3ae907" hidden="1">#REF!</definedName>
    <definedName name="TB09c52087_ff6b_4397_8385_8a14a776db10" hidden="1">#REF!</definedName>
    <definedName name="TB09cc19bd_8306_4e9c_a710_647aedb2df17" hidden="1">#REF!</definedName>
    <definedName name="TB09d280ba_fd5b_4535_bc50_7cabf94b8241" hidden="1">#REF!</definedName>
    <definedName name="TB09e2a1d8_01a5_486a_8a59_2a2510a9bba4" hidden="1">#REF!</definedName>
    <definedName name="TB0a042f17_9968_4c5d_ae7c_d5a86346a092" hidden="1">#REF!</definedName>
    <definedName name="TB0a10ef17_154f_4f36_acfc_1a33d83b71af" hidden="1">#REF!</definedName>
    <definedName name="TB0a1a2743_b0bd_4c55_af67_b3e11ec08da9" hidden="1">#REF!</definedName>
    <definedName name="TB0a1f98d6_9226_45a6_9be6_0e289cf6bd7a" hidden="1">#REF!</definedName>
    <definedName name="TB0a291ee5_ae94_4b9b_90dc_5bc78b851331" hidden="1">#REF!</definedName>
    <definedName name="TB0a33b3fe_cc29_401b_83aa_b91ab2372162" hidden="1">#REF!</definedName>
    <definedName name="TB0a387850_7067_4380_abb4_3d19efbd9e8d" hidden="1">#REF!</definedName>
    <definedName name="TB0a3b4aec_8604_4cde_8f66_fb63cf1c4bed" hidden="1">#REF!</definedName>
    <definedName name="TB0a4d9b5a_52dd_4844_b835_f4ec0960379e" hidden="1">#REF!</definedName>
    <definedName name="TB0a5242c8_0965_462a_888c_e4965fd90df0" hidden="1">#REF!</definedName>
    <definedName name="TB0a544fff_0c44_48d0_9b21_a09babe54ce1" hidden="1">#REF!</definedName>
    <definedName name="TB0a6ab517_f857_415f_89b6_af2fbba858f6" hidden="1">#REF!</definedName>
    <definedName name="TB0a6b59bb_ad20_4133_8a3b_39506f7f2e40" hidden="1">#REF!</definedName>
    <definedName name="TB0a6f00b6_b6cb_4586_bcb9_8f966112daed" hidden="1">#REF!</definedName>
    <definedName name="TB0a7cba61_cc27_4ea2_989f_6ab5a97a1522" hidden="1">#REF!</definedName>
    <definedName name="TB0a87747f_1a0f_4b70_be08_5cb3e589d516" hidden="1">#REF!</definedName>
    <definedName name="TB0a8811d7_a2ce_421f_8e95_ebbb46a329e5" hidden="1">#REF!</definedName>
    <definedName name="TB0a8d7950_7e23_4178_ac6d_a4edf8084c71" hidden="1">#REF!</definedName>
    <definedName name="TB0a9a4b48_7762_4555_b924_d4b599e8fa2e" hidden="1">#REF!</definedName>
    <definedName name="TB0a9e01bc_c4de_4eae_87a1_30f1711e8458" hidden="1">#REF!</definedName>
    <definedName name="TB0a9eded9_e5ca_4394_b673_f9ab853a98c1" hidden="1">#REF!</definedName>
    <definedName name="TB0aa25752_6b30_4ae2_a47a_952c3493c825" hidden="1">#REF!</definedName>
    <definedName name="TB0aa7028e_c82c_4e61_aab0_283e5a1844b3" hidden="1">#REF!</definedName>
    <definedName name="TB0aabc567_3193_4e85_8bd6_446f2cb343a2" hidden="1">#REF!</definedName>
    <definedName name="TB0ab0d50b_b18e_45a3_85f4_7793461323d5" hidden="1">#REF!</definedName>
    <definedName name="TB0ab47368_4a87_4d7e_92c4_aae101d0edd7" hidden="1">#REF!</definedName>
    <definedName name="TB0ae36d88_08f1_44f1_9593_76e654f579cd" hidden="1">#REF!</definedName>
    <definedName name="TB0af1f77c_8b93_4461_bd78_bbd519764a7a" hidden="1">#REF!</definedName>
    <definedName name="TB0af24e78_ca84_4443_9ec0_c257b75e2193" hidden="1">#REF!</definedName>
    <definedName name="TB0af4637d_c618_4b30_a884_8c6475df29fa" hidden="1">#REF!</definedName>
    <definedName name="TB0b05ce6e_c743_4da8_9c84_9c2ed448bfc9" hidden="1">#REF!</definedName>
    <definedName name="TB0b1c27fb_fd36_42e5_83f3_2988def613eb" hidden="1">#REF!</definedName>
    <definedName name="TB0b231d35_80f5_45d1_8278_b8f6bcf7e65f" hidden="1">#REF!</definedName>
    <definedName name="TB0b26fd5a_aa44_40e9_bbba_ce1810f1785b" hidden="1">#REF!</definedName>
    <definedName name="TB0b38d42b_1411_4a6b_8d78_c3aff5876ada" hidden="1">#REF!</definedName>
    <definedName name="TB0b4ae371_4e2b_45a6_b856_04b9953a8a98" hidden="1">#REF!</definedName>
    <definedName name="TB0b602714_ae7d_44e2_a51f_7751968abe22" hidden="1">#REF!</definedName>
    <definedName name="TB0b73a5df_3530_4a8d_ba2a_f48b1b8718f8" hidden="1">#REF!</definedName>
    <definedName name="TB0b7769cf_8e36_4500_abe7_d07dca4c262c" hidden="1">#REF!</definedName>
    <definedName name="TB0b7bfd84_fae3_47db_9d8b_b4f13efa4f2b" hidden="1">#REF!</definedName>
    <definedName name="TB0b7e73bc_efac_41ee_9630_550477b26a1f" hidden="1">#REF!</definedName>
    <definedName name="TB0b7f3e27_289a_4170_84d5_6b292157e7f9" hidden="1">#REF!</definedName>
    <definedName name="TB0b80288e_0101_41d9_a6c3_c1c97979e394" hidden="1">#REF!</definedName>
    <definedName name="TB0b808526_d1b6_4137_b8e8_562b83a6fe47" hidden="1">#REF!</definedName>
    <definedName name="TB0b840fee_04a2_4e38_b1ca_812d3e44aea6" hidden="1">#REF!</definedName>
    <definedName name="TB0b8939a4_2869_4a63_97e5_0f70d65de075" hidden="1">#REF!</definedName>
    <definedName name="TB0b9247a6_78fb_4a34_a206_9d5dc5e82ef2" hidden="1">#REF!</definedName>
    <definedName name="TB0ba393b2_4d39_4efc_a4f7_5d1be69b1b2e" hidden="1">#REF!</definedName>
    <definedName name="TB0ba8f8e7_89be_486f_9feb_5fa24f7c7c16" hidden="1">#REF!</definedName>
    <definedName name="TB0bc7d3b2_c913_4a4b_8cdc_b265f2437921" hidden="1">#REF!</definedName>
    <definedName name="TB0bcc08a1_3f3b_4404_ac9c_791713867e27" hidden="1">#REF!</definedName>
    <definedName name="TB0bcc50c4_38ab_4ea8_a572_814c6bd6a370" hidden="1">#REF!</definedName>
    <definedName name="TB0bdb5382_b5c2_4229_aedb_150bd9d82379" hidden="1">#REF!</definedName>
    <definedName name="TB0be9286c_8856_4ed2_b606_75e324d510e1" hidden="1">#REF!</definedName>
    <definedName name="TB0bfc024a_25e4_49ca_919f_afa35873f959" hidden="1">#REF!</definedName>
    <definedName name="TB0c07d8f3_3fcb_439a_9ae7_5a90d9f8f7e8" hidden="1">#REF!</definedName>
    <definedName name="TB0c0da335_9324_46d0_b338_3576c8479ae4" hidden="1">#REF!</definedName>
    <definedName name="TB0c178222_0422_4320_b23a_dd8e2e0373e8" hidden="1">#REF!</definedName>
    <definedName name="TB0c217363_d065_48af_840c_ff26baab2b84" hidden="1">#REF!</definedName>
    <definedName name="TB0c247919_f6a4_4739_95cd_1512edcf312f" hidden="1">#REF!</definedName>
    <definedName name="TB0c2e2810_2321_41df_adb8_dfc8075431fa" hidden="1">#REF!</definedName>
    <definedName name="TB0c319276_0108_4456_91b3_4dc71443f2a0" hidden="1">#REF!</definedName>
    <definedName name="TB0c3352f7_b889_4bd3_8300_1ef4276f9b18" hidden="1">#REF!</definedName>
    <definedName name="TB0c343abe_ca90_4078_b266_a4ff72cff163" hidden="1">#REF!</definedName>
    <definedName name="TB0c37a22e_4165_4e15_8034_e5aac2eb35a1" hidden="1">#REF!</definedName>
    <definedName name="TB0c3f8fe4_9f3b_40bc_af57_1d96469fd870" hidden="1">#REF!</definedName>
    <definedName name="TB0c4b0f80_d8cb_4c56_8499_4f4c59f5faad" hidden="1">#REF!</definedName>
    <definedName name="TB0c61db72_26f3_4c3b_84aa_0dbf2e4ce777" hidden="1">#REF!</definedName>
    <definedName name="TB0c633b09_5f1a_420a_ba26_40abf24c3732" hidden="1">#REF!</definedName>
    <definedName name="TB0c671122_8777_41a9_ac1d_6008359bab0f" hidden="1">#REF!</definedName>
    <definedName name="TB0c6a56d5_43c8_4129_b6f8_c47d193d6b3d" hidden="1">#REF!</definedName>
    <definedName name="TB0c6dbf59_0d2e_43e3_b5e3_f7a513f36587" hidden="1">#REF!</definedName>
    <definedName name="TB0c6e7fbc_0e18_44fa_b855_c58b68251073" hidden="1">#REF!</definedName>
    <definedName name="TB0c70a4c8_c5dc_4d34_b836_53b5f9222e6b" hidden="1">#REF!</definedName>
    <definedName name="TB0c70ca4a_54b2_456b_b8a2_4321e1aef15b" hidden="1">#REF!</definedName>
    <definedName name="TB0c73bf6a_fa87_4170_9ffc_57c18dccdf2f" hidden="1">#REF!</definedName>
    <definedName name="TB0c7e3e30_f4d5_49bc_b2c5_e4c180940ba5" hidden="1">#REF!</definedName>
    <definedName name="TB0c8d166d_549d_47c9_ba6f_93c2511d84af" hidden="1">#REF!</definedName>
    <definedName name="TB0c90780f_bb7a_4a37_9fe7_c0828d89ba8a" hidden="1">#REF!</definedName>
    <definedName name="TB0c924ea9_37bb_42f7_a999_6d777b446e5a" hidden="1">#REF!</definedName>
    <definedName name="TB0c9efa7d_bb5a_41b0_a952_db9f4c0e3689" hidden="1">#REF!</definedName>
    <definedName name="TB0cbc16ae_e6ef_4973_98fe_b3f697ef26fa" hidden="1">#REF!</definedName>
    <definedName name="TB0ce2a4b2_dddf_42cc_9e2a_1a10d0cc5d67" hidden="1">#REF!</definedName>
    <definedName name="TB0cf04c8c_1c1a_4635_89a9_0ae187f7e16e" hidden="1">#REF!</definedName>
    <definedName name="TB0cf237d1_70ab_427e_ae2f_9a3e4b69b2ad" hidden="1">#REF!</definedName>
    <definedName name="TB0cf5f416_f8ae_4df2_ac4d_953597f3b4b2" hidden="1">#REF!</definedName>
    <definedName name="TB0cf8930c_d2a6_4de5_9e30_fccda03bcc11" hidden="1">#REF!</definedName>
    <definedName name="TB0d05517a_3a8c_4d6f_b3d4_20a8d8e348c5" hidden="1">#REF!</definedName>
    <definedName name="TB0d0c10cf_d65e_400b_8c9c_39e3e93b8dbf" hidden="1">#REF!</definedName>
    <definedName name="TB0d1a753a_e7ad_4dd7_bad6_0d8bbd3a526c" hidden="1">#REF!</definedName>
    <definedName name="TB0d305a88_6da8_4138_a9cd_f530e4960d1d" hidden="1">#REF!</definedName>
    <definedName name="TB0d3483cb_6fe9_4422_b8ab_c872917bd064" hidden="1">#REF!</definedName>
    <definedName name="TB0d35c629_9f1f_421f_86da_192bfec82694" hidden="1">#REF!</definedName>
    <definedName name="TB0d395ef6_9acd_4b4c_b52d_fc40a9224853" hidden="1">#REF!</definedName>
    <definedName name="TB0d3f6554_6379_43be_a969_789889caefed" hidden="1">#REF!</definedName>
    <definedName name="TB0d41fd05_d796_4baa_bb7f_ab4d75a845ee" hidden="1">#REF!</definedName>
    <definedName name="TB0d435bad_d638_4e25_b443_c3125ba2fd07" hidden="1">#REF!</definedName>
    <definedName name="TB0d545d3c_2637_4e0d_b8f2_27ac13062e0b" hidden="1">#REF!</definedName>
    <definedName name="TB0d691d3c_a1f9_4554_8622_7ba98aab8c9f" hidden="1">#REF!</definedName>
    <definedName name="TB0d73b202_ffe4_4c39_97e2_4eb0a8245da9" hidden="1">#REF!</definedName>
    <definedName name="TB0d7d6d80_c3bc_4feb_8c0f_76389b0ad78e" hidden="1">#REF!</definedName>
    <definedName name="TB0d8383bd_fd2b_4d22_97dd_19dcb843a2cf" hidden="1">#REF!</definedName>
    <definedName name="TB0d8d022c_bd3f_42e0_82fa_b5e25d7cd1e7" hidden="1">#REF!</definedName>
    <definedName name="TB0d8d59f1_cd84_4287_b6da_1ed43e39b57c" hidden="1">#REF!</definedName>
    <definedName name="TB0d92944f_2798_42fa_8a72_dbddfd57afd1" hidden="1">#REF!</definedName>
    <definedName name="TB0d9475d9_9080_46ee_9b45_96657610c46b" hidden="1">#REF!</definedName>
    <definedName name="TB0d956f80_273e_48fc_b22e_b751b7b21592" hidden="1">#REF!</definedName>
    <definedName name="TB0da6e145_ab00_423f_8cf9_0abb53b28772" hidden="1">#REF!</definedName>
    <definedName name="TB0dc20ca7_d7e7_47fc_88eb_930ec633626b" hidden="1">#REF!</definedName>
    <definedName name="TB0dc2d02c_22f5_4a2f_baca_eb4e88302542" hidden="1">#REF!</definedName>
    <definedName name="TB0dc36947_b85e_470a_aee0_e6a638eafcb4" hidden="1">#REF!</definedName>
    <definedName name="TB0dc5ef60_93a8_4215_b4f6_04e399727542" hidden="1">#REF!</definedName>
    <definedName name="TB0dca32fe_9f36_4623_9984_6d83d46910ad" hidden="1">#REF!</definedName>
    <definedName name="TB0dcae32c_e1dd_4f16_853a_615f0fd19da5" hidden="1">#REF!</definedName>
    <definedName name="TB0dd7c586_bcc2_4fe3_838f_85113eb992ff" hidden="1">#REF!</definedName>
    <definedName name="TB0dd83807_a6f0_44a7_b141_1329265af51b" hidden="1">#REF!</definedName>
    <definedName name="TB0dda848f_9b53_443d_9695_4f5e77cfa3d0" hidden="1">#REF!</definedName>
    <definedName name="TB0ddaeffb_7539_454c_9bb0_75417fd2a475" hidden="1">#REF!</definedName>
    <definedName name="TB0df165bc_b132_429e_a392_36625e473372" hidden="1">#REF!</definedName>
    <definedName name="TB0df991e1_8fea_4e88_a1f7_86d7bbf30a6d" hidden="1">#REF!</definedName>
    <definedName name="TB0dfb7fbb_0f57_4030_aa45_a7a221cf4923" hidden="1">#REF!</definedName>
    <definedName name="TB0e007b15_c170_4d15_979f_6f6aa522623d" hidden="1">#REF!</definedName>
    <definedName name="TB0e053b35_ad72_4762_99b8_6f0f97463a97" hidden="1">#REF!</definedName>
    <definedName name="TB0e054b55_f456_423c_9e29_4784f13bb1a1" hidden="1">#REF!</definedName>
    <definedName name="TB0e172d34_23ae_4a85_92e9_da0ce563349d" hidden="1">#REF!</definedName>
    <definedName name="TB0e19e2b1_c678_4ffc_84ad_caa305a36cf2" hidden="1">#REF!</definedName>
    <definedName name="TB0e2eeb05_e611_41e5_b3fd_32b5daf24ae9" hidden="1">#REF!</definedName>
    <definedName name="TB0e418050_e5c4_418d_a6eb_6e33dd3de2b1" hidden="1">#REF!</definedName>
    <definedName name="TB0e5aa965_bd4c_488e_a646_14965f533170" hidden="1">#REF!</definedName>
    <definedName name="TB0e6fc3f4_8946_4fdf_8369_b7021b4d5283" hidden="1">#REF!</definedName>
    <definedName name="TB0e806a3a_1f78_4e22_947f_c8ba6aac6193" hidden="1">#REF!</definedName>
    <definedName name="TB0e8179e6_0c3f_47d3_915c_cebd7c99820a" hidden="1">#REF!</definedName>
    <definedName name="TB0e830866_4784_433f_8ccb_579333bbe45e" hidden="1">#REF!</definedName>
    <definedName name="TB0e837315_5e28_4421_afa2_f968848907f1" hidden="1">#REF!</definedName>
    <definedName name="TB0e8bc4f1_467b_4de1_a915_92ad03577490" hidden="1">#REF!</definedName>
    <definedName name="TB0e9cb8d4_0f7c_4867_93bf_ab3d22797fc4" hidden="1">#REF!</definedName>
    <definedName name="TB0ea02a53_2f70_474c_a3e5_c96946ba22df" hidden="1">#REF!</definedName>
    <definedName name="TB0eace1a0_75d2_4fdd_bd0f_31cf8857bf36" hidden="1">#REF!</definedName>
    <definedName name="TB0ead18ca_3544_4627_9152_564727c22128" hidden="1">#REF!</definedName>
    <definedName name="TB0eaef8f6_2399_4a9a_86ad_c4a20901fdec" hidden="1">#REF!</definedName>
    <definedName name="TB0ec589f8_eb03_4d0c_bd3a_adbdc68c754e" hidden="1">#REF!</definedName>
    <definedName name="TB0ed140b2_917a_4a42_bdf9_7ebfa5b9aca8" hidden="1">#REF!</definedName>
    <definedName name="TB0ee18ed9_d560_4578_8c6c_4cb645f0e9af" hidden="1">#REF!</definedName>
    <definedName name="TB0ee36934_7228_42e4_85a2_c9ae49baf291" hidden="1">#REF!</definedName>
    <definedName name="TB0ef5ff59_fd91_4643_b634_c3ca3c9aee6e" hidden="1">#REF!</definedName>
    <definedName name="TB0f044a4a_23f6_480d_918a_3719e6ac0358" hidden="1">#REF!</definedName>
    <definedName name="TB0f0e976a_d72c_40da_a458_2158f905c3fa" hidden="1">#REF!</definedName>
    <definedName name="TB0f20089d_4a8f_4477_9458_9bf85cc7993c" hidden="1">#REF!</definedName>
    <definedName name="TB0f26ceb5_20ca_448e_b514_b163fe17739f" hidden="1">#REF!</definedName>
    <definedName name="TB0f2f35d4_c00b_43bc_8e48_6000d402de0e" hidden="1">#REF!</definedName>
    <definedName name="TB0f37dfea_0d06_46cc_8fb7_ef9602086b05" hidden="1">#REF!</definedName>
    <definedName name="TB0f3c4e27_ec06_4005_a022_a0c4cc3bb25e" hidden="1">#REF!</definedName>
    <definedName name="TB0f3ea402_6bef_4d17_af08_5982a936a0af" hidden="1">#REF!</definedName>
    <definedName name="TB0f55c9f1_aab6_4ff8_9242_068bbc63dc31" hidden="1">#REF!</definedName>
    <definedName name="TB0f621dbc_e879_4969_8b8b_369b90383685" hidden="1">#REF!</definedName>
    <definedName name="TB0f712e1b_aad1_4815_bcc1_fc28ec784895" hidden="1">#REF!</definedName>
    <definedName name="TB0f78d072_6351_496a_a52c_915a729d5270" hidden="1">#REF!</definedName>
    <definedName name="TB0f88941f_ce2b_4b8a_80b8_a046f07ee0ab" hidden="1">#REF!</definedName>
    <definedName name="TB0f964a96_df79_4ba7_abb8_d83769a7761a" hidden="1">#REF!</definedName>
    <definedName name="TB0f96b6c9_d447_4973_842d_3897b935f918" hidden="1">#REF!</definedName>
    <definedName name="TB0f9c731a_e37f_4769_b87c_8690c8c1e495" hidden="1">#REF!</definedName>
    <definedName name="TB0f9e5575_6abf_4f31_bae5_6551ecda6053" hidden="1">#REF!</definedName>
    <definedName name="TB0fb07712_91f6_4e31_99f2_7f06be1a175d" hidden="1">#REF!</definedName>
    <definedName name="TB0fb14a5c_7cc2_44ed_a79b_9eb04aead79e" hidden="1">#REF!</definedName>
    <definedName name="TB0fb49e5e_7d95_48ab_a1ea_297964093a30" hidden="1">#REF!</definedName>
    <definedName name="TB0fb95975_45d3_4fd8_80a9_a9538251698f" hidden="1">#REF!</definedName>
    <definedName name="TB0fc278ea_726e_4547_be2d_08a7ef19427b" hidden="1">#REF!</definedName>
    <definedName name="TB0fc45223_b5dd_4da0_a2c8_bd6101253b05" hidden="1">#REF!</definedName>
    <definedName name="TB0fc5c0e0_175d_4222_a054_266b272240cb" hidden="1">#REF!</definedName>
    <definedName name="TB0fc89b44_5ae5_41c8_b741_bd5914eecfdc" hidden="1">#REF!</definedName>
    <definedName name="TB0fc8fd75_7a97_43fd_a4ec_1b2b16110b8a" hidden="1">#REF!</definedName>
    <definedName name="TB0fc96af4_ddf1_4fd6_be0f_41fd1a95827a" hidden="1">#REF!</definedName>
    <definedName name="TB0fd374b5_0d92_4950_9893_bbea0b7813d6" hidden="1">#REF!</definedName>
    <definedName name="TB0fd841d9_61f2_470d_a06c_1c947853ec9a" hidden="1">#REF!</definedName>
    <definedName name="TB0fdb054f_fddb_4218_8d63_fd78e127ebf5" hidden="1">#REF!</definedName>
    <definedName name="TB0fe984b6_3139_4efd_8cb0_e8c2c2af24ab" hidden="1">#REF!</definedName>
    <definedName name="TB0ff2c5c4_7a69_4b94_94b2_8002b13ea42f" hidden="1">#REF!</definedName>
    <definedName name="TB0ff612d7_ec3c_40f4_8798_a021930ad336" hidden="1">#REF!</definedName>
    <definedName name="TB10019a00_24ca_49fe_9ecf_00e6b9bbe5bd" hidden="1">#REF!</definedName>
    <definedName name="TB10084dc6_7511_4c87_b22b_92bd6029eb31" hidden="1">#REF!</definedName>
    <definedName name="TB100da275_bb4a_48a7_9ceb_d4ed87c20d18" hidden="1">#REF!</definedName>
    <definedName name="TB1011bb43_57b9_43bd_a63f_38269b86d292" hidden="1">#REF!</definedName>
    <definedName name="TB1011cfdb_6345_4e5d_985c_f0b6c4f0c478" hidden="1">#REF!</definedName>
    <definedName name="TB101414c2_adc4_424c_b27f_06175b2d9459" hidden="1">#REF!</definedName>
    <definedName name="TB10164367_3d1a_4e28_b8f5_6f0a35650478" hidden="1">#REF!</definedName>
    <definedName name="TB101bb0f3_562e_462d_9bc6_68fb89e2c315" hidden="1">#REF!</definedName>
    <definedName name="TB10281501_744a_423f_a18c_79a67ac34481" hidden="1">#REF!</definedName>
    <definedName name="TB102bc441_c855_41c5_a0dd_0b88f9c38c5d" hidden="1">#REF!</definedName>
    <definedName name="TB102e4a32_bffd_499e_9130_fafe01a8cfcc" hidden="1">#REF!</definedName>
    <definedName name="TB102e8a36_bcd3_42f0_abd1_058b42e9c06c" hidden="1">#REF!</definedName>
    <definedName name="TB10306ecf_55dd_4798_b816_f65f926013c8" hidden="1">#REF!</definedName>
    <definedName name="TB1034cde1_c91f_49b7_80a5_c602b0c57981" hidden="1">#REF!</definedName>
    <definedName name="TB1046b59c_8ea7_413c_9212_ccb81108f43c" hidden="1">#REF!</definedName>
    <definedName name="TB1067ad33_cf45_4e9c_91f3_601b58e84581" hidden="1">#REF!</definedName>
    <definedName name="TB10688492_bafd_4dcc_a48f_b4672c51aec2" hidden="1">#REF!</definedName>
    <definedName name="TB107357f7_6258_4315_bf09_14e23dbeb5c7" hidden="1">#REF!</definedName>
    <definedName name="TB10741533_d83e_4741_a4a3_45905b21a313" hidden="1">#REF!</definedName>
    <definedName name="TB10822e17_d3fb_4d13_b25e_44f2c3cf1383" hidden="1">#REF!</definedName>
    <definedName name="TB1084c163_6501_41d8_a8a5_a6f94c498f29" hidden="1">#REF!</definedName>
    <definedName name="TB108a94b8_3c70_47b8_8cf5_a273709ab6f9" hidden="1">#REF!</definedName>
    <definedName name="TB108c097f_ee93_4cd7_bb08_27836becaa1a" hidden="1">#REF!</definedName>
    <definedName name="TB109d2a78_5577_4091_bdde_0134c7199d05" hidden="1">#REF!</definedName>
    <definedName name="TB10a5ebd2_bb12_4aca_a1bc_21647eef26a3" hidden="1">#REF!</definedName>
    <definedName name="TB10a77b8d_a0b9_4b8c_80b7_068fa94bd4b9" hidden="1">#REF!</definedName>
    <definedName name="TB10bf464f_f2ad_4f25_a856_b6e03a19bd07" hidden="1">#REF!</definedName>
    <definedName name="TB10c192f4_4b77_4e7b_99a6_5ca47eef9529" hidden="1">#REF!</definedName>
    <definedName name="TB10ca77e2_c6db_45c8_a879_d6203bec0c9f" hidden="1">#REF!</definedName>
    <definedName name="TB10cf3028_aa02_4bea_88ac_deeec8011847" hidden="1">#REF!</definedName>
    <definedName name="TB10db8a32_82e1_42cb_806b_4bd1ac644472" hidden="1">#REF!</definedName>
    <definedName name="TB10e9c587_5bcf_4146_bc4a_0cd5e886865e" hidden="1">#REF!</definedName>
    <definedName name="TB10ebb27c_df5b_400a_89ad_42edd8b77aae" hidden="1">#REF!</definedName>
    <definedName name="TB10f3484f_857c_4657_bb89_282f42e960ea" hidden="1">#REF!</definedName>
    <definedName name="TB10f83455_1ea4_471c_bd6b_e539769132bf" hidden="1">#REF!</definedName>
    <definedName name="TB10fcb0b1_7eb3_4438_ba8d_91f4173c1cc2" hidden="1">#REF!</definedName>
    <definedName name="TB111361ae_9fbf_4558_b94e_5260bf329b54" hidden="1">#REF!</definedName>
    <definedName name="TB1117bc41_78d1_4c1a_8367_0a8dd6422070" hidden="1">#REF!</definedName>
    <definedName name="TB1118fce7_0c67_45ce_a170_84428380cbc2" hidden="1">#REF!</definedName>
    <definedName name="TB112d0e14_923c_4768_b212_9f4a71d72076" hidden="1">#REF!</definedName>
    <definedName name="TB116025d4_e2ad_432b_8669_aead9d5affe5" hidden="1">#REF!</definedName>
    <definedName name="TB118b3616_1262_422e_8643_47e0ed71642d" hidden="1">#REF!</definedName>
    <definedName name="TB118c86c7_f384_4dc0_852c_40c2acdcceef" hidden="1">#REF!</definedName>
    <definedName name="TB1196e570_b401_466d_b30a_373cd7bd8c38" hidden="1">#REF!</definedName>
    <definedName name="TB11a1db3d_e182_47a3_9df7_47fb0370ba07" hidden="1">#REF!</definedName>
    <definedName name="TB11a4c88d_2423_4802_8988_d54b12959050" hidden="1">#REF!</definedName>
    <definedName name="TB11bc7ec1_0619_457d_9345_192bae7dfa66" hidden="1">#REF!</definedName>
    <definedName name="TB11e40efa_ef03_4245_8d5d_bb036a9f5ecc" hidden="1">#REF!</definedName>
    <definedName name="TB11ff252e_dbd6_4d8e_8be5_d27364d9ce82" hidden="1">#REF!</definedName>
    <definedName name="TB12039147_4ea0_41b0_92a0_ad5258319105" hidden="1">#REF!</definedName>
    <definedName name="TB1210b86a_e2d7_43e6_b2b8_45b50cf76323" hidden="1">#REF!</definedName>
    <definedName name="TB1215794a_b95a_4fb4_843a_9ac9cf1e47d3" hidden="1">#REF!</definedName>
    <definedName name="TB121fb5c8_7331_4bb8_9617_f89cb6c1af81" hidden="1">#REF!</definedName>
    <definedName name="TB12256f0d_f1ee_47d9_8d86_fd1e8d95602b" hidden="1">#REF!</definedName>
    <definedName name="TB12405eef_2af7_4733_b646_feac8c96d8db" hidden="1">#REF!</definedName>
    <definedName name="TB1246e456_6984_4bb0_89cd_35ed59f7efd5" hidden="1">#REF!</definedName>
    <definedName name="TB1249dd83_9668_4755_9130_e80e558d0752" hidden="1">#REF!</definedName>
    <definedName name="TB124a5b15_c713_4ee7_aac7_bc3f59859411" hidden="1">#REF!</definedName>
    <definedName name="TB12592fc5_6e71_4a96_87c1_fadad6dedb37" hidden="1">#REF!</definedName>
    <definedName name="TB125f947c_c0a7_4ad4_a5cc_309c9ffabf7d" hidden="1">#REF!</definedName>
    <definedName name="TB126014a7_d209_4507_a737_7df174eecf29" hidden="1">#REF!</definedName>
    <definedName name="TB12626643_9469_4f61_9d63_1ea2ffd99ebd" hidden="1">#REF!</definedName>
    <definedName name="TB1263a2e6_ba71_4d10_a555_5937c03ea797" hidden="1">#REF!</definedName>
    <definedName name="TB126df8b1_1310_4a7b_b976_8bcb538a3b14" hidden="1">#REF!</definedName>
    <definedName name="TB127342e8_0018_4ac0_b281_58d5f50eb70a" hidden="1">#REF!</definedName>
    <definedName name="TB12776361_53e8_4cbb_a336_7f4ae43b6f01" hidden="1">#REF!</definedName>
    <definedName name="TB129bbcb2_7a40_48ad_bdca_3b67d85ea3a6" hidden="1">#REF!</definedName>
    <definedName name="TB129c0068_f6dc_4e98_bc94_b22a38a64383" hidden="1">#REF!</definedName>
    <definedName name="TB12a643dd_c35d_4fc7_bcd6_55fe5b33802a" hidden="1">#REF!</definedName>
    <definedName name="TB12c48109_02c1_4cec_98d6_f89efdd24e9c" hidden="1">#REF!</definedName>
    <definedName name="TB12c54bcb_e3e5_4dfc_88b0_64363670492e" hidden="1">#REF!</definedName>
    <definedName name="TB12ca7a42_d9e2_4f3f_87d9_db79762de8ae" hidden="1">#REF!</definedName>
    <definedName name="TB12e6503e_ef5c_4067_9eac_828590694d01" hidden="1">#REF!</definedName>
    <definedName name="TB12e8bbd8_b3b9_47c3_88db_b9cd248f2c57" hidden="1">#REF!</definedName>
    <definedName name="TB12ed8bbc_563a_44d6_a9b5_6ead7ac83c06" hidden="1">#REF!</definedName>
    <definedName name="TB12f80ea2_e8fd_4e02_81bf_1f209f3c9d6e" hidden="1">#REF!</definedName>
    <definedName name="TB13035546_6e08_4ceb_966e_9776a99e857b" hidden="1">#REF!</definedName>
    <definedName name="TB1309947b_8beb_4cc0_8702_9b7722f488ed" hidden="1">#REF!</definedName>
    <definedName name="TB1311b18e_0a42_4d6a_a7fd_715b09e99df9" hidden="1">#REF!</definedName>
    <definedName name="TB1325cbc3_ca9d_4613_827f_0e0a05572801" hidden="1">#REF!</definedName>
    <definedName name="TB132d26c2_c854_4c69_8745_a49d49fcfa3a" hidden="1">#REF!</definedName>
    <definedName name="TB1331722c_e35c_4fad_8667_0610b86ee292" hidden="1">#REF!</definedName>
    <definedName name="TB1333c820_4c1a_47c7_a5d5_e993abe14f05" hidden="1">#REF!</definedName>
    <definedName name="TB133e81fc_75bb_4ac2_b358_8a924ab69d01" hidden="1">#REF!</definedName>
    <definedName name="TB13402942_fa08_4c6e_bc7d_0bf9f988be0c" hidden="1">#REF!</definedName>
    <definedName name="TB136d98c2_8dfa_4b8b_84fc_24f4a03d9b20" hidden="1">#REF!</definedName>
    <definedName name="TB1384e9f7_17bd_483b_b2d6_52ecfaff8ac6" hidden="1">#REF!</definedName>
    <definedName name="TB1386f994_864d_486d_8a7d_6bbe0a5f1d69" hidden="1">#REF!</definedName>
    <definedName name="TB138c6e74_0097_4b10_afc2_b69eda593c19" hidden="1">#REF!</definedName>
    <definedName name="TB139d23e7_587c_4c94_8ecc_f51e5ea61765" hidden="1">#REF!</definedName>
    <definedName name="TB13a95cb4_605e_49a0_af13_3d1843c2c771" hidden="1">#REF!</definedName>
    <definedName name="TB13b2d785_aa70_4f39_9646_1f854810b8b9" hidden="1">#REF!</definedName>
    <definedName name="TB13b5917a_bfc3_46a7_9654_62a30af4e63e" hidden="1">#REF!</definedName>
    <definedName name="TB13bcccf5_31b9_4429_b3aa_5b569ae9853a" hidden="1">#REF!</definedName>
    <definedName name="TB13c7deb3_4087_43d3_921b_47538036d2d5" hidden="1">#REF!</definedName>
    <definedName name="TB13d24e21_87dc_4fd8_a0f7_f2efcd4f0017" hidden="1">#REF!</definedName>
    <definedName name="TB13eae6af_5709_4c57_ad6f_c85fd3fe4596" hidden="1">#REF!</definedName>
    <definedName name="TB13ef12a9_8111_4062_bdf4_8908a0b6f7ee" hidden="1">#REF!</definedName>
    <definedName name="TB140a3be0_32cb_46db_802c_69fd4ad70ad4" hidden="1">#REF!</definedName>
    <definedName name="TB141e89a1_3203_4d8d_9e0a_fad045d26d32" hidden="1">#REF!</definedName>
    <definedName name="TB141f863f_0ccc_40ca_a7be_ef7591dbf130" hidden="1">#REF!</definedName>
    <definedName name="TB1421f009_4bf5_4adc_8d59_7557f874d7ae" hidden="1">#REF!</definedName>
    <definedName name="TB143023fb_218d_47dd_8334_53ee70b426a2" hidden="1">#REF!</definedName>
    <definedName name="TB14441707_f257_4021_a86f_b95495ff0214" hidden="1">#REF!</definedName>
    <definedName name="TB144b6854_849d_4f59_8330_68fccba8de9e" hidden="1">#REF!</definedName>
    <definedName name="TB144e34a4_47e3_4730_848d_88ba463a0d45" hidden="1">#REF!</definedName>
    <definedName name="TB144e6c78_df5a_4505_8554_951569a7f745" hidden="1">#REF!</definedName>
    <definedName name="TB1456de6e_9746_42f7_a8b9_03612993db03" hidden="1">#REF!</definedName>
    <definedName name="TB145eec7e_2ff9_456d_b939_302d8a066699" hidden="1">#REF!</definedName>
    <definedName name="TB1465b32b_84b8_4812_ab5c_35f9e99920e1" hidden="1">#REF!</definedName>
    <definedName name="TB146bcfd2_56e4_48c5_8f99_63b6d8526152" hidden="1">#REF!</definedName>
    <definedName name="TB14785049_cb44_4963_a71d_2924d53a32f9" hidden="1">#REF!</definedName>
    <definedName name="TB1479374e_2aec_46dd_86bf_b6fcf4330414" hidden="1">#REF!</definedName>
    <definedName name="TB147be465_4399_4d80_bcd3_eed3b225591e" hidden="1">#REF!</definedName>
    <definedName name="TB147da234_3b37_4592_9f48_0eb5a5125a51" hidden="1">#REF!</definedName>
    <definedName name="TB1482b342_aba3_4822_86ca_2eb406fe488a" hidden="1">#REF!</definedName>
    <definedName name="TB1497dcbf_0266_4a0d_937e_12f1c3e85ea9" hidden="1">#REF!</definedName>
    <definedName name="TB14a5afc9_9e16_472d_99be_30e56a32e7c3" hidden="1">#REF!</definedName>
    <definedName name="TB14ac33c4_f61d_4b0e_8a91_6396e20f8b92" hidden="1">#REF!</definedName>
    <definedName name="TB14b5a7a5_9045_4242_beff_a663c06a4750" hidden="1">#REF!</definedName>
    <definedName name="TB14bc4a47_0b62_4560_a2dd_2c0cab7bf687" hidden="1">#REF!</definedName>
    <definedName name="TB14c2c120_fc0a_4d37_aaf0_9fdba705b42d" hidden="1">#REF!</definedName>
    <definedName name="TB14c60f20_59c2_4faf_b26f_19a95d3e649c" hidden="1">#REF!</definedName>
    <definedName name="TB14c7d8e7_47da_491f_ae79_ceacb4c801ef" hidden="1">#REF!</definedName>
    <definedName name="TB14cc9584_731e_423c_862b_53cde2d62d64" hidden="1">#REF!</definedName>
    <definedName name="TB14d31ceb_3573_4f46_8e44_c14c919d2ac3" hidden="1">#REF!</definedName>
    <definedName name="TB14d9ee6d_47e0_43a3_b9b4_dc5c7817f584" hidden="1">#REF!</definedName>
    <definedName name="TB14db0c24_dcbb_49f5_90b6_80708b787c40" hidden="1">#REF!</definedName>
    <definedName name="TB14e217b7_822e_4898_9bbb_fff39b0e83d5" hidden="1">#REF!</definedName>
    <definedName name="TB14f6cd9f_6c04_4b94_82b5_51973f3d95cb" hidden="1">#REF!</definedName>
    <definedName name="TB14f81c7d_06ce_4172_b44d_8d8a38847579" hidden="1">#REF!</definedName>
    <definedName name="TB14fa4e31_93ba_47d1_9633_a2f22fb1f123" hidden="1">#REF!</definedName>
    <definedName name="TB14fa6cf9_e83e_4370_a5b5_2231240d99ee" hidden="1">#REF!</definedName>
    <definedName name="TB15101f4b_a600_4a59_874a_6f4781450142" hidden="1">#REF!</definedName>
    <definedName name="TB15102013_0cd2_45b7_90be_f12b214c51d2" hidden="1">#REF!</definedName>
    <definedName name="TB1516ebb1_e170_45f7_9b20_6792f045f5d3" hidden="1">#REF!</definedName>
    <definedName name="TB152738e1_e105_457e_a64b_6a8c36ed0529" hidden="1">#REF!</definedName>
    <definedName name="TB152af401_fd1f_4297_846b_23b7cc13d3b4" hidden="1">#REF!</definedName>
    <definedName name="TB1540b038_1d4d_45c4_89f9_cae895cca325" hidden="1">#REF!</definedName>
    <definedName name="TB15420cac_3fa7_4f05_83fb_c16a9a11ecd4" hidden="1">#REF!</definedName>
    <definedName name="TB15490849_4a4c_4c1c_8e24_4f5a8dca8d66" hidden="1">#REF!</definedName>
    <definedName name="TB154d5121_6dd7_4b7a_89bf_d27cb2669a9e" hidden="1">#REF!</definedName>
    <definedName name="TB154de1e5_d550_4d9b_97f3_de655c7da2d1" hidden="1">#REF!</definedName>
    <definedName name="TB154f9714_1626_4db7_a2a5_8e53987911dc" hidden="1">#REF!</definedName>
    <definedName name="TB15564ec4_49ac_415e_ba78_2ec6ff46a23f" hidden="1">#REF!</definedName>
    <definedName name="TB15584456_af1e_4cec_9336_b10cf859b743" hidden="1">#REF!</definedName>
    <definedName name="TB1564cb60_49f8_41bc_b48b_55b2a3b9d6e6" hidden="1">#REF!</definedName>
    <definedName name="TB1577e06d_71de_4449_829d_54f4e74d851c" hidden="1">#REF!</definedName>
    <definedName name="TB157d0a69_f590_4cfa_8ff4_3cd52c119c59" hidden="1">#REF!</definedName>
    <definedName name="TB15893131_3381_4da7_9651_66afb17da343" hidden="1">#REF!</definedName>
    <definedName name="TB15adf6e7_221a_41c5_b3ca_ffba518b00c0" hidden="1">#REF!</definedName>
    <definedName name="TB15b33650_ed41_4ad9_8238_89fff2f3c02d" hidden="1">#REF!</definedName>
    <definedName name="TB15bc4b8f_d84d_4e0c_b02b_b02fe2c5214e" hidden="1">#REF!</definedName>
    <definedName name="TB15c1a891_4bbc_4687_92c1_ea491dba7f3c" hidden="1">#REF!</definedName>
    <definedName name="TB15d20917_2757_47ff_b46a_7f224ed55e39" hidden="1">#REF!</definedName>
    <definedName name="TB15d28c8a_7b1c_4ddd_93e9_82342aeefa11" hidden="1">#REF!</definedName>
    <definedName name="TB15d3de75_d987_4048_8fd4_0bf2c8f7d1ec" hidden="1">#REF!</definedName>
    <definedName name="TB15dda00a_4bc4_464e_b93d_40575c493888" hidden="1">#REF!</definedName>
    <definedName name="TB15e2302c_43c9_4dad_9bd1_48f694e76e8b" hidden="1">#REF!</definedName>
    <definedName name="TB15f59104_5bfa_4b4f_af85_a7f116254e3f" hidden="1">#REF!</definedName>
    <definedName name="TB15f960c8_f4f0_4b5d_a3ee_b27de9c19c29" hidden="1">#REF!</definedName>
    <definedName name="TB15fabb7b_5c57_4047_8441_420f5d64dead" hidden="1">#REF!</definedName>
    <definedName name="TB16072494_290f_4b59_b42d_05315107db42" hidden="1">#REF!</definedName>
    <definedName name="TB1607fa03_f418_4472_b509_a09b25a55fb3" hidden="1">#REF!</definedName>
    <definedName name="TB160dd879_83f7_46b2_8e99_d4a5d35e49b9" hidden="1">#REF!</definedName>
    <definedName name="TB161f65b7_4314_4fd5_abda_c75fcbc8c286" hidden="1">#REF!</definedName>
    <definedName name="TB16234d81_d340_4a4b_a71b_1eeed8fde269" hidden="1">#REF!</definedName>
    <definedName name="TB1624132c_9afc_47ca_993b_5c405542af00" hidden="1">#REF!</definedName>
    <definedName name="TB1627d89a_6adf_44eb_9ccc_9b57c581c8bd" hidden="1">#REF!</definedName>
    <definedName name="TB162f6e30_94ed_4984_bcb8_c6290b9f022d" hidden="1">#REF!</definedName>
    <definedName name="TB163047a6_ddb9_4d77_98d1_8fb1681ee2ad" hidden="1">#REF!</definedName>
    <definedName name="TB16352d9b_dbb7_4bb2_b049_4dce7294fe4f" hidden="1">#REF!</definedName>
    <definedName name="TB16388fbb_5791_477c_8e1d_2fcf6667badb" hidden="1">#REF!</definedName>
    <definedName name="TB1641262f_25d1_4af8_a091_93a8938daee9" hidden="1">#REF!</definedName>
    <definedName name="TB16483a93_a986_4137_b544_f3f59eff2c41" hidden="1">#REF!</definedName>
    <definedName name="TB1659cbf2_c637_48a7_99ab_020771096191" hidden="1">#REF!</definedName>
    <definedName name="TB16601992_7623_4b02_ab98_56e3b560bf29" hidden="1">#REF!</definedName>
    <definedName name="TB1664c0c6_d48d_4756_872e_35be67d9b61f" hidden="1">#REF!</definedName>
    <definedName name="TB16658dd6_1cf7_4151_aef5_a0e811ce0f22" hidden="1">#REF!</definedName>
    <definedName name="TB166b50f4_d9d5_431d_8f33_40a79512119f" hidden="1">#REF!</definedName>
    <definedName name="TB166ccea3_796b_4633_b6de_5c12023b2e6b" hidden="1">#REF!</definedName>
    <definedName name="TB1674bbad_c30c_45ec_9169_ed7c63f21046" hidden="1">#REF!</definedName>
    <definedName name="TB167717f6_58a3_46f2_92fa_3637a966b91c" hidden="1">#REF!</definedName>
    <definedName name="TB1681ef75_7d85_4af1_9748_7be6616b14f9" hidden="1">#REF!</definedName>
    <definedName name="TB16827c77_ed5e_4b54_9e60_7a2b67a5fe67" hidden="1">#REF!</definedName>
    <definedName name="TB168f7e84_6dc3_4c03_96ba_311c11891e02" hidden="1">#REF!</definedName>
    <definedName name="TB169ba7ef_8992_44bf_a0ce_7a18aa03ca2f" hidden="1">#REF!</definedName>
    <definedName name="TB16a0f549_7a2d_45e3_987d_14483c78f9f6" hidden="1">#REF!</definedName>
    <definedName name="TB16a99494_8dce_401e_8d29_f9fcff0c6709" hidden="1">#REF!</definedName>
    <definedName name="TB16bd75b7_97af_4aed_a959_c199f4992dfa" hidden="1">#REF!</definedName>
    <definedName name="TB16c09570_0b6e_4a5e_90a0_6b8cda16a171" hidden="1">#REF!</definedName>
    <definedName name="TB16e5d074_2649_4977_bbfa_eedb30230ba1" hidden="1">#REF!</definedName>
    <definedName name="TB16e761ab_153b_4858_9074_41631d224b12" hidden="1">#REF!</definedName>
    <definedName name="TB16e89e55_7e2c_4249_867b_4e6f15826b9c" hidden="1">#REF!</definedName>
    <definedName name="TB16eebfa6_eede_4897_b430_edb8eebd25da" hidden="1">#REF!</definedName>
    <definedName name="TB16fe3e91_25a7_4d22_86f7_8724b02eada0" hidden="1">#REF!</definedName>
    <definedName name="TB170551b0_257d_4028_89cb_8f61ac1b9baf" hidden="1">#REF!</definedName>
    <definedName name="TB1709a759_554f_4894_a8a7_63623ab6b765" hidden="1">#REF!</definedName>
    <definedName name="TB170faf35_536c_48cc_aece_24d4d7021ee9" hidden="1">#REF!</definedName>
    <definedName name="TB17156081_9f68_4f70_95a8_298acc36ab93" hidden="1">#REF!</definedName>
    <definedName name="TB171d42e7_eeb1_4338_941c_7580c9f3a18d" hidden="1">#REF!</definedName>
    <definedName name="TB1723c8e8_07c0_49d4_905f_36f81c65ade2" hidden="1">#REF!</definedName>
    <definedName name="TB1724121f_918b_4118_8d67_b426b8e96142" hidden="1">#REF!</definedName>
    <definedName name="TB1733ff66_f566_479b_987c_e603b8eb4531" hidden="1">#REF!</definedName>
    <definedName name="TB17342414_6bb2_4bb5_845c_c747374374ca" hidden="1">#REF!</definedName>
    <definedName name="TB1734e2cc_8c53_4b6b_b6c6_64659b605696" hidden="1">#REF!</definedName>
    <definedName name="TB1738e78d_2e06_4907_9d7f_0d26ea687c09" hidden="1">#REF!</definedName>
    <definedName name="TB1746608a_e04c_4046_80df_20bc7f24c3b5" hidden="1">#REF!</definedName>
    <definedName name="TB1747d9f7_beb7_4506_b0b8_f0837198149c" hidden="1">#REF!</definedName>
    <definedName name="TB1765aad9_0d0b_4e53_8650_b191252ec42f" hidden="1">#REF!</definedName>
    <definedName name="TB176f61f4_d257_4c82_9544_ee9a6d0ecda9" hidden="1">#REF!</definedName>
    <definedName name="TB1783d7c2_0a4d_4ed5_bee9_33b02c340dff" hidden="1">#REF!</definedName>
    <definedName name="TB178410c8_b662_4c76_9ea2_4d68e43fb259" hidden="1">#REF!</definedName>
    <definedName name="TB17851922_38a6_4efe_bc94_951a5e974bed" hidden="1">#REF!</definedName>
    <definedName name="TB178fd814_f191_4df7_9a82_2dc3c6c5ceef" hidden="1">#REF!</definedName>
    <definedName name="TB1790cab4_bc6d_4023_853a_1065e1f84a04" hidden="1">#REF!</definedName>
    <definedName name="TB17990051_cb56_4fbf_ba28_142ac34bfcb1" hidden="1">#REF!</definedName>
    <definedName name="TB17a45482_cec3_4df1_971c_f615b71b2080" hidden="1">#REF!</definedName>
    <definedName name="TB17a82942_763d_458a_baa9_5e1609f845ad" hidden="1">#REF!</definedName>
    <definedName name="TB17b73bed_e0e3_45d0_8515_3b3cb9c395ac" hidden="1">#REF!</definedName>
    <definedName name="TB17c3549b_5963_425c_b3e0_d43effffa9b7" hidden="1">#REF!</definedName>
    <definedName name="TB17d13fc6_be7d_49d3_86db_5e88efc05ff5" hidden="1">#REF!</definedName>
    <definedName name="TB17d6418b_2811_4c14_bc98_ae662dc35555" hidden="1">#REF!</definedName>
    <definedName name="TB17e28641_438a_4139_a9e4_280fd18e5d54" hidden="1">#REF!</definedName>
    <definedName name="TB17e3a2c0_4ca6_4967_b157_30056350e75f" hidden="1">#REF!</definedName>
    <definedName name="TB17e81346_29c9_4dc7_9ad5_69555555446d" hidden="1">#REF!</definedName>
    <definedName name="TB17ee4169_6a8f_4a01_999f_ccc4f4def8f6" hidden="1">#REF!</definedName>
    <definedName name="TB17ef0423_1c83_4ca3_aec8_a65a3ab08999" hidden="1">#REF!</definedName>
    <definedName name="TB17f6f11b_e6b6_48a9_a8e9_f2df02c50b00" hidden="1">#REF!</definedName>
    <definedName name="TB18313540_f9f4_452c_ad1a_6846c0ed8d4a" hidden="1">#REF!</definedName>
    <definedName name="TB185e7633_9995_4393_8eb7_4da256368a19" hidden="1">#REF!</definedName>
    <definedName name="TB185ed531_a7a6_4937_88a0_758d7bd126f0" hidden="1">#REF!</definedName>
    <definedName name="TB1872f207_8447_4315_a9c2_7a1b03ab39c0" hidden="1">#REF!</definedName>
    <definedName name="TB187a1124_a908_4dfd_99ee_03832fac2ba7" hidden="1">#REF!</definedName>
    <definedName name="TB187ccd66_431a_491a_bbb4_79c99f8d167e" hidden="1">#REF!</definedName>
    <definedName name="TB188843aa_ecef_49c4_904e_bf08ece8da8b" hidden="1">#REF!</definedName>
    <definedName name="TB1890893b_b8ff_4a70_8a8b_40652b412218" hidden="1">#REF!</definedName>
    <definedName name="TB18925eee_ec39_445a_bcc0_8f142df8606e" hidden="1">#REF!</definedName>
    <definedName name="TB1896b631_1f71_4c35_8b73_a59f226754f9" hidden="1">#REF!</definedName>
    <definedName name="TB189fca0a_c295_45d5_b244_e4440d84d2ea" hidden="1">#REF!</definedName>
    <definedName name="TB18a95aa2_a84f_4f11_aed2_a977927460da" hidden="1">#REF!</definedName>
    <definedName name="TB18ba5fd5_2c31_4aed_904c_9d84fa21819c" hidden="1">#REF!</definedName>
    <definedName name="TB18bfffe8_3d17_4800_944e_3692bdec062e" hidden="1">#REF!</definedName>
    <definedName name="TB18c3a2e4_509f_49b5_ae14_87b6a889893d" hidden="1">#REF!</definedName>
    <definedName name="TB18e1fe24_fdca_43f5_aaa5_9d6dfb00ceff" hidden="1">#REF!</definedName>
    <definedName name="TB18ea53b8_1881_4b49_afa4_79f4ca2aa5f9" hidden="1">#REF!</definedName>
    <definedName name="TB18ef3462_13f9_4480_a44e_e3ceaf59756f" hidden="1">#REF!</definedName>
    <definedName name="TB18f73941_ec06_482d_a44f_2fa8480c1d59" hidden="1">#REF!</definedName>
    <definedName name="TB18fdf6ed_cb25_4018_9e77_9879861c6b2f" hidden="1">#REF!</definedName>
    <definedName name="TB18fe6ba2_2aa5_474e_ae7f_656fa186bda6" hidden="1">#REF!</definedName>
    <definedName name="TB190a799f_377c_4253_8bfe_1cc82a40c04b" hidden="1">#REF!</definedName>
    <definedName name="TB190ad182_e369_456d_8f4d_5e473af99ca0" hidden="1">#REF!</definedName>
    <definedName name="TB190c752c_a211_4d34_b1e3_ee7c2f44204a" hidden="1">#REF!</definedName>
    <definedName name="TB1916c1a7_ddf3_4827_97f7_68e5a5087550" hidden="1">#REF!</definedName>
    <definedName name="TB191795a8_6518_453c_83e1_3937bbfb6fcb" hidden="1">#REF!</definedName>
    <definedName name="TB1921bc17_7882_4d4b_a87e_47ba12d097d8" hidden="1">#REF!</definedName>
    <definedName name="TB19272a32_d43f_4da7_a996_381389cef299" hidden="1">#REF!</definedName>
    <definedName name="TB19285eed_4f9c_4c49_aae6_fffcf4bff348" hidden="1">#REF!</definedName>
    <definedName name="TB193cc63e_a6a5_4263_aa40_054a0089cb60" hidden="1">#REF!</definedName>
    <definedName name="TB1947135e_9753_4ce1_8c23_9b0dd923d932" hidden="1">#REF!</definedName>
    <definedName name="TB19496509_bdb3_4f1f_963a_3d5f88868bd9" hidden="1">#REF!</definedName>
    <definedName name="TB194a806f_e8ac_49d7_abe5_601ce669d2d7" hidden="1">#REF!</definedName>
    <definedName name="TB194b92e4_90d3_45bf_8823_94ba91317f24" hidden="1">#REF!</definedName>
    <definedName name="TB1953e0e4_48c2_4d60_a95b_0106e8615ec8" hidden="1">#REF!</definedName>
    <definedName name="TB195d9350_47d4_4908_aca9_f150b665cbd1" hidden="1">#REF!</definedName>
    <definedName name="TB197c6733_46cc_43df_8d22_52d4e567f4e7" hidden="1">#REF!</definedName>
    <definedName name="TB198ed954_845a_4367_9aef_b2d00f5a8556" hidden="1">#REF!</definedName>
    <definedName name="TB199a6fe4_1328_4e13_8f17_5b43401cfc9c" hidden="1">#REF!</definedName>
    <definedName name="TB19b265ec_0a8d_4a61_a07e_05edf718abbf" hidden="1">#REF!</definedName>
    <definedName name="TB19d40574_5262_4aa0_a34a_7df581fa86d1" hidden="1">#REF!</definedName>
    <definedName name="TB19d889d1_71f3_4d82_8817_a996375f6430" hidden="1">#REF!</definedName>
    <definedName name="TB19e05597_6e74_4759_b2b1_e7a96524d0da" hidden="1">#REF!</definedName>
    <definedName name="TB19e87965_4ddb_4a5a_bf34_4d0c8de67ffb" hidden="1">#REF!</definedName>
    <definedName name="TB19e9f920_28d4_432b_a250_c22cbf748d5c" hidden="1">#REF!</definedName>
    <definedName name="TB19fd90d1_54bd_4642_a811_9153d3ebf2b8" hidden="1">#REF!</definedName>
    <definedName name="TB1a0356e8_3346_452d_bf79_0117ab3f4c4e" hidden="1">#REF!</definedName>
    <definedName name="TB1a06b052_aa3c_4f29_ba8d_45dd8ddb9826" hidden="1">#REF!</definedName>
    <definedName name="TB1a08d853_fe43_446b_bd17_0e2cced5e8cd" hidden="1">#REF!</definedName>
    <definedName name="TB1a1c2b24_9683_469b_8077_5444285c01c2" hidden="1">#REF!</definedName>
    <definedName name="TB1a200fd1_a5e4_454a_a5c3_e1adbb25c301" hidden="1">#REF!</definedName>
    <definedName name="TB1a203278_763b_4fdc_b4e6_f718bf1fc82c" hidden="1">#REF!</definedName>
    <definedName name="TB1a3100d4_8ac6_4f03_8a15_30274121662f" hidden="1">#REF!</definedName>
    <definedName name="TB1a3c0f2c_df7f_4322_81e3_631d9d46be91" hidden="1">#REF!</definedName>
    <definedName name="TB1a3d8f05_caa7_4a7a_8ccc_aa5a5315bc94" hidden="1">#REF!</definedName>
    <definedName name="TB1a423cb2_db87_4a7c_ad8f_e65255433824" hidden="1">#REF!</definedName>
    <definedName name="TB1a489633_3871_4b41_8fec_ce0c9ae85d92" hidden="1">#REF!</definedName>
    <definedName name="TB1a4fd74a_8eb2_4369_a04f_671a0237991c" hidden="1">#REF!</definedName>
    <definedName name="TB1a5974f2_bd7b_4d9c_81ea_f09f27e14eaa" hidden="1">#REF!</definedName>
    <definedName name="TB1a6a4890_45c3_4b29_a922_332d84e4eca8" hidden="1">#REF!</definedName>
    <definedName name="TB1a6b3b6a_ec9e_49ce_932d_653021a1c2ee" hidden="1">#REF!</definedName>
    <definedName name="TB1a7f12c6_36e0_47b0_a27e_d53f71374c1c" hidden="1">#REF!</definedName>
    <definedName name="TB1a8836a0_520e_411d_aa4c_51dba6759958" hidden="1">#REF!</definedName>
    <definedName name="TB1a8dfc2e_aa41_41cf_8317_fafb1b0b49a1" hidden="1">#REF!</definedName>
    <definedName name="TB1a8e93de_5208_4f7c_a7df_e2576803d2c2" hidden="1">#REF!</definedName>
    <definedName name="TB1a9ba5b9_db26_4fe6_9b83_9e63efe42437" hidden="1">#REF!</definedName>
    <definedName name="TB1aa5ad40_df54_4b00_b493_6df36fb12d59" hidden="1">#REF!</definedName>
    <definedName name="TB1abce3a2_4349_485e_957f_9d4786806d6e" hidden="1">#REF!</definedName>
    <definedName name="TB1ac354cf_6e01_4fc6_af4e_daccff2da5d8" hidden="1">#REF!</definedName>
    <definedName name="TB1ac3c60d_e93b_40e4_977f_cbba97f30ad1" hidden="1">#REF!</definedName>
    <definedName name="TB1acd6d3a_67b0_43b0_bc35_34fb51f09d61" hidden="1">#REF!</definedName>
    <definedName name="TB1ad46c93_732f_4652_bcd1_9f16e03dae6b" hidden="1">#REF!</definedName>
    <definedName name="TB1ad9e428_afb4_48ad_b42f_7e3fe1c80b39" hidden="1">#REF!</definedName>
    <definedName name="TB1aeae829_a3c0_4d1e_a8aa_abb6e38e08e8" hidden="1">#REF!</definedName>
    <definedName name="TB1aee1cf9_3c80_418e_bc67_9d3804fc2626" hidden="1">#REF!</definedName>
    <definedName name="TB1af214f0_144c_4f82_a86d_cfbb3e676ae7" hidden="1">#REF!</definedName>
    <definedName name="TB1af2bd73_4606_4225_ac6e_d845cf1bab42" hidden="1">#REF!</definedName>
    <definedName name="TB1afb77bc_2f14_46dc_a6b4_e810c75c8d05" hidden="1">#REF!</definedName>
    <definedName name="TB1b11cdc7_e8db_46b7_829b_f9f4ad48b9ae" hidden="1">#REF!</definedName>
    <definedName name="TB1b219b5c_cd85_4360_bd3a_41ff400d7746" hidden="1">#REF!</definedName>
    <definedName name="TB1b23f2be_5845_448e_a45c_7e306fab217a" hidden="1">#REF!</definedName>
    <definedName name="TB1b388a89_1d04_4e10_bb9d_9e064864b345" hidden="1">#REF!</definedName>
    <definedName name="TB1b38e336_7346_4e69_a618_b67446c7e577" hidden="1">#REF!</definedName>
    <definedName name="TB1b408d91_cf51_4413_a6e2_bcbf57c2df35" hidden="1">#REF!</definedName>
    <definedName name="TB1b439c2b_23fa_43e7_a992_aeb53f018789" hidden="1">#REF!</definedName>
    <definedName name="TB1b4ad8ca_7227_4e75_b911_e41913c41b5b" hidden="1">#REF!</definedName>
    <definedName name="TB1b4df875_c59c_4df3_a4ba_4c04fcb53b89" hidden="1">#REF!</definedName>
    <definedName name="TB1b5fd5b1_613c_48ab_9b0a_4848e7ee36cf" hidden="1">#REF!</definedName>
    <definedName name="TB1b78f0e3_8dcc_4553_b3c8_c99e18030bfa" hidden="1">#REF!</definedName>
    <definedName name="TB1b8cdaaa_1583_4d8a_af1b_a113f22b8a80" hidden="1">#REF!</definedName>
    <definedName name="TB1b8fc302_44ac_400b_9609_33e0ac220baa" hidden="1">#REF!</definedName>
    <definedName name="TB1b95f5ef_c9dd_4e92_9773_28f6ae0ce1ec" hidden="1">#REF!</definedName>
    <definedName name="TB1b9ba00b_b0a9_4ae3_af95_da912289de1e" hidden="1">#REF!</definedName>
    <definedName name="TB1bb19c13_e7e2_436c_ba25_5366fe637862" hidden="1">#REF!</definedName>
    <definedName name="TB1bb735d9_aaee_42ab_b7af_649d1dd180c0" hidden="1">#REF!</definedName>
    <definedName name="TB1bb9b441_5f9d_4dd5_9e3a_dee2fcff622f" hidden="1">#REF!</definedName>
    <definedName name="TB1bc145d0_da29_4b81_8542_b5df7d21754d" hidden="1">#REF!</definedName>
    <definedName name="TB1bc47fd6_f345_40d6_976c_752c51fc1c1f" hidden="1">#REF!</definedName>
    <definedName name="TB1bccedaa_401d_4434_9817_fa599f213b48" hidden="1">#REF!</definedName>
    <definedName name="TB1bd3f5dd_12d3_42f5_a331_8bd16e937fc1" hidden="1">#REF!</definedName>
    <definedName name="TB1be1d48c_602d_47fe_bdc3_1c3f012c40f0" hidden="1">#REF!</definedName>
    <definedName name="TB1bee7d90_abac_4173_af3b_c935d7052038" hidden="1">#REF!</definedName>
    <definedName name="TB1bf88e9e_b94a_4800_9d41_9125a00ef9d7" hidden="1">#REF!</definedName>
    <definedName name="TB1c013afe_552d_484a_82da_f564b36568b8" hidden="1">#REF!</definedName>
    <definedName name="TB1c09c2fe_93e6_4864_81cc_d34edb3a6e06" hidden="1">#REF!</definedName>
    <definedName name="TB1c0a4d08_d2c6_4266_9fdb_016c49be9ce5" hidden="1">#REF!</definedName>
    <definedName name="TB1c0f7703_57f9_40e6_b7f5_195e17576826" hidden="1">#REF!</definedName>
    <definedName name="TB1c1c831b_f2ba_472c_8bb2_8d6148c7967f" hidden="1">#REF!</definedName>
    <definedName name="TB1c1def21_f800_4e5a_b608_53ce3ed42f4a" hidden="1">#REF!</definedName>
    <definedName name="TB1c20a9e3_0e4b_42f6_a335_54e018e5a495" hidden="1">#REF!</definedName>
    <definedName name="TB1c2427af_6ae8_447a_a921_aec6b01ffdf9" hidden="1">#REF!</definedName>
    <definedName name="TB1c2897d6_8d9f_4816_b62d_a2d9b602dbed" hidden="1">#REF!</definedName>
    <definedName name="TB1c2cf83f_5920_47cb_b9ba_1f749a2631e5" hidden="1">#REF!</definedName>
    <definedName name="TB1c30f112_0038_4023_b7fa_3dde319f1369" hidden="1">#REF!</definedName>
    <definedName name="TB1c388702_e0ef_45bc_8e79_4a3f2ee3e3ad" hidden="1">#REF!</definedName>
    <definedName name="TB1c4b64bd_f4d8_4d4a_ad5a_55c13d3c09e3" hidden="1">#REF!</definedName>
    <definedName name="TB1c4e4b47_185d_4179_be9f_5dbe0e31b4f1" hidden="1">#REF!</definedName>
    <definedName name="TB1c60d9c0_dba9_4e3e_b162_dafef296a84a" hidden="1">#REF!</definedName>
    <definedName name="TB1c6a51e4_b2cd_49f6_809b_8bce019c617b" hidden="1">#REF!</definedName>
    <definedName name="TB1c7b1630_4448_4ff2_ba39_5d368979d24c" hidden="1">#REF!</definedName>
    <definedName name="TB1c856ec0_b234_40d0_88ec_ca732304f7a0" hidden="1">#REF!</definedName>
    <definedName name="TB1c8606e9_bb3c_4666_8884_8d942895293f" hidden="1">#REF!</definedName>
    <definedName name="TB1c881468_773e_48b7_b62f_0d5482acdd21" hidden="1">#REF!</definedName>
    <definedName name="TB1c88800a_bc27_479d_8e3d_14ec7fcfc996" hidden="1">#REF!</definedName>
    <definedName name="TB1c8f6482_f1f9_413c_babf_b9e7cd17d9e1" hidden="1">#REF!</definedName>
    <definedName name="TB1ca076cc_db19_48f1_bf37_59b80e54d708" hidden="1">#REF!</definedName>
    <definedName name="TB1cab8028_0663_452b_a58c_dc7a2707613b" hidden="1">#REF!</definedName>
    <definedName name="TB1cac5062_6930_4776_8a95_f8f68dd12020" hidden="1">#REF!</definedName>
    <definedName name="TB1cafa260_7553_4d7f_b130_f628ada8d403" hidden="1">#REF!</definedName>
    <definedName name="TB1cb40aad_b80a_44ba_98da_a69145ee27c7" hidden="1">#REF!</definedName>
    <definedName name="TB1ccf3a7d_0d9c_4e2d_a21a_5385db3bd895" hidden="1">#REF!</definedName>
    <definedName name="TB1cd08a54_5907_4e74_8e15_88e10fabbc57" hidden="1">#REF!</definedName>
    <definedName name="TB1cd827fe_8246_4ac0_a3ce_0945d5a7f66c" hidden="1">#REF!</definedName>
    <definedName name="TB1cd87b02_849f_45cc_9bd1_5c8453ce6f4c" hidden="1">#REF!</definedName>
    <definedName name="TB1cd976af_1cb7_4fc1_b4da_39dea91e9c98" hidden="1">#REF!</definedName>
    <definedName name="TB1cede983_586b_43fa_b990_58656845787b" hidden="1">#REF!</definedName>
    <definedName name="TB1cef676e_65a3_4818_a981_b087ed2ef9e8" hidden="1">#REF!</definedName>
    <definedName name="TB1d019bd0_2b82_4dbb_9df8_7d46f2053295" hidden="1">#REF!</definedName>
    <definedName name="TB1d09a084_c919_4ada_94f0_bf9465ec9cf8" hidden="1">#REF!</definedName>
    <definedName name="TB1d0a2f6d_6f90_413f_8a12_8427dd7a6701" hidden="1">#REF!</definedName>
    <definedName name="TB1d11ccf8_c817_47f7_a585_0f0ae210278d" hidden="1">#REF!</definedName>
    <definedName name="TB1d11eb03_f12c_4b5d_b2c9_b793cab04221" hidden="1">#REF!</definedName>
    <definedName name="TB1d15df6c_6a92_45bc_98d3_40191c6ab7b8" hidden="1">#REF!</definedName>
    <definedName name="TB1d18bce9_5469_47a8_a00a_f097d4e0e3f1" hidden="1">#REF!</definedName>
    <definedName name="TB1d25564f_73e2_40ea_b6cf_6c0002f4ec0e" hidden="1">#REF!</definedName>
    <definedName name="TB1d345bf6_1600_49e2_bfa9_5464d146e902" hidden="1">#REF!</definedName>
    <definedName name="TB1d388c4d_16f1_477a_af9e_dc8c93144cd3" hidden="1">#REF!</definedName>
    <definedName name="TB1d3f10d8_465e_4be2_8964_0af8ff2870ad" hidden="1">#REF!</definedName>
    <definedName name="TB1d4736a4_2553_4712_b698_1a4f6e3edf8c" hidden="1">#REF!</definedName>
    <definedName name="TB1d53fd24_138c_451c_b1f1_f7e972b3a51f" hidden="1">#REF!</definedName>
    <definedName name="TB1d571a9d_6876_4b7f_8bbc_77aac31b40be" hidden="1">#REF!</definedName>
    <definedName name="TB1d60f3f1_f30b_4b1e_b098_6d6c7cee0613" hidden="1">#REF!</definedName>
    <definedName name="TB1d66a339_e5a5_4315_958c_e1787b84d184" hidden="1">#REF!</definedName>
    <definedName name="TB1d6f2d37_12ae_42a1_b37e_77a4b9eacb9b" hidden="1">#REF!</definedName>
    <definedName name="TB1d74fde0_14cb_44a5_8557_11ea00994226" hidden="1">#REF!</definedName>
    <definedName name="TB1d7b3cf6_2e67_45f9_94a2_2079e68a2d60" hidden="1">#REF!</definedName>
    <definedName name="TB1d84e8c0_09da_40c1_aecd_ae72e57a08ce" hidden="1">#REF!</definedName>
    <definedName name="TB1dabf771_c1a1_406a_bc2c_33fadd4c702f" hidden="1">#REF!</definedName>
    <definedName name="TB1db1125e_c7c9_42c7_b237_8bcb9a2256bc" hidden="1">#REF!</definedName>
    <definedName name="TB1dbae92b_ceae_4eae_baa2_ead916be6818" hidden="1">#REF!</definedName>
    <definedName name="TB1dbedff6_59ec_4ac3_b25a_5e82c28401e6" hidden="1">#REF!</definedName>
    <definedName name="TB1dc8dae9_9f73_48c9_92fd_266284d8ebf4" hidden="1">#REF!</definedName>
    <definedName name="TB1dd5aa79_46f4_4bc4_b94c_79e4de0eb30c" hidden="1">#REF!</definedName>
    <definedName name="TB1dda3d5a_af0d_4bf4_a237_ee4631f6368b" hidden="1">#REF!</definedName>
    <definedName name="TB1ddbe35c_57a8_4c08_b606_44da2c955575" hidden="1">#REF!</definedName>
    <definedName name="TB1dde46bf_4edd_44a4_b73d_6cc29d115866" hidden="1">#REF!</definedName>
    <definedName name="TB1dea6fbb_d6f6_405c_a62b_7bf91a5b1575" hidden="1">#REF!</definedName>
    <definedName name="TB1dee0e4f_2cee_4a1c_97d9_d2e14540c0b6" hidden="1">#REF!</definedName>
    <definedName name="TB1df1dc9a_5e88_410b_a7e2_09ea0440357a" hidden="1">#REF!</definedName>
    <definedName name="TB1e121b4d_9017_4845_93c6_3ea97d504543" hidden="1">#REF!</definedName>
    <definedName name="TB1e129249_28e2_4c37_8fce_3edfdefbeec9" hidden="1">#REF!</definedName>
    <definedName name="TB1e18d3ce_99cb_4e25_8041_848550b32707" hidden="1">#REF!</definedName>
    <definedName name="TB1e1b241e_895e_4c9b_8c9f_7b4304193253" hidden="1">#REF!</definedName>
    <definedName name="TB1e1d0340_5954_462c_84a0_a9e512fe507a" hidden="1">#REF!</definedName>
    <definedName name="TB1e1d078e_0621_4658_a17c_0c19d5bccd2f" hidden="1">#REF!</definedName>
    <definedName name="TB1e21a875_0582_4d20_8388_8f3dec3dec44" hidden="1">#REF!</definedName>
    <definedName name="TB1e2cacaa_7839_4aed_a869_20c378e95689" hidden="1">#REF!</definedName>
    <definedName name="TB1e3392b9_8253_4c15_b81f_0eb75832112f" hidden="1">#REF!</definedName>
    <definedName name="TB1e404655_3c4c_4575_bfce_8c3b8e328182" hidden="1">#REF!</definedName>
    <definedName name="TB1e41b222_6f88_4a7c_8be6_15c325d85207" hidden="1">#REF!</definedName>
    <definedName name="TB1e4e9751_89bb_4c1d_9a08_4c62e7bb00af" hidden="1">#REF!</definedName>
    <definedName name="TB1e4f5f38_ca75_4d60_a910_df23dafc0642" hidden="1">#REF!</definedName>
    <definedName name="TB1e539998_284b_4f74_b478_5308f9217357" hidden="1">#REF!</definedName>
    <definedName name="TB1e5b7587_0911_4ba6_85e8_0d575810db8a" hidden="1">#REF!</definedName>
    <definedName name="TB1e62854e_3af9_4adf_9419_be59f54aa773" hidden="1">#REF!</definedName>
    <definedName name="TB1e666bde_3fd6_4950_a52a_a76acd80bc14" hidden="1">#REF!</definedName>
    <definedName name="TB1e6d2278_74c1_4610_92d7_b8363e86657f" hidden="1">#REF!</definedName>
    <definedName name="TB1e76e0a7_ac54_490e_b018_b4dde8c6e67b" hidden="1">#REF!</definedName>
    <definedName name="TB1e95851c_03e3_4238_aca7_c8249c94125b" hidden="1">#REF!</definedName>
    <definedName name="TB1ea15c30_c1c6_4d26_9d9d_8f3aa997884d" hidden="1">#REF!</definedName>
    <definedName name="TB1ea559a3_2f1e_4593_949b_1e22776b67fa" hidden="1">#REF!</definedName>
    <definedName name="TB1ea7b33e_5ead_424c_847e_501590b5901b" hidden="1">#REF!</definedName>
    <definedName name="TB1eb72bd3_f2d3_4fd2_ad92_e1e245fe829b" hidden="1">#REF!</definedName>
    <definedName name="TB1ec5cd11_7f78_4a81_a12c_1e523ccb5323" hidden="1">#REF!</definedName>
    <definedName name="TB1ec761e5_91fb_40f4_877d_0a979f91f9d6" hidden="1">#REF!</definedName>
    <definedName name="TB1ecbefdb_d8a2_40f5_a681_da96c288bbd1" hidden="1">#REF!</definedName>
    <definedName name="TB1ee06999_8df7_4331_a00e_bc2a06a5f324" hidden="1">#REF!</definedName>
    <definedName name="TB1ee0e235_d5f9_49b8_9ba2_89eefa693859" hidden="1">#REF!</definedName>
    <definedName name="TB1ee5ff20_b065_44da_b48f_7bdd7853d5e7" hidden="1">#REF!</definedName>
    <definedName name="TB1f00b425_4d57_4c2a_a3f9_db8c450b1dd4" hidden="1">#REF!</definedName>
    <definedName name="TB1f0310a1_0fe0_4418_8fd3_1e30ddaa1fe4" hidden="1">#REF!</definedName>
    <definedName name="TB1f0d68c2_181c_457b_a798_a7f45aa1e443" hidden="1">#REF!</definedName>
    <definedName name="TB1f1aeb23_3952_4539_9881_3a350921547b" hidden="1">#REF!</definedName>
    <definedName name="TB1f22b38f_5fa2_47e0_b307_a531f405f62c" hidden="1">#REF!</definedName>
    <definedName name="TB1f282539_c0f6_4d0c_9f5c_0d5c01be567a" hidden="1">#REF!</definedName>
    <definedName name="TB1f2a48ab_a066_4d1d_8ee4_56b47a134df8" hidden="1">#REF!</definedName>
    <definedName name="TB1f35403c_b103_42d7_993f_049c44ec9592" hidden="1">#REF!</definedName>
    <definedName name="TB1f5c2208_0834_41fa_bd2f_1348c901cdc5" hidden="1">#REF!</definedName>
    <definedName name="TB1f5fc7a9_b8c4_4ce1_97cd_676257d60d24" hidden="1">#REF!</definedName>
    <definedName name="TB1f78259d_af3f_4420_891c_3639de0bada0" hidden="1">#REF!</definedName>
    <definedName name="TB1f832b63_50c9_49e7_b036_5d172614af12" hidden="1">#REF!</definedName>
    <definedName name="TB1f84341e_4287_4d6b_b87a_8b10abddf904" hidden="1">#REF!</definedName>
    <definedName name="TB1f8766f7_7551_43b8_aaa2_9febc3d7dcb6" hidden="1">#REF!</definedName>
    <definedName name="TB1f8bb556_00d9_4762_855a_0cb9649cffc5" hidden="1">#REF!</definedName>
    <definedName name="TB1f9073a7_f290_4a74_81e3_b917c3b2e98b" hidden="1">#REF!</definedName>
    <definedName name="TB1f9ee9d7_1806_4f46_8539_01c27f493e54" hidden="1">#REF!</definedName>
    <definedName name="TB1f9fb632_1400_41e6_9869_8e5bcde161cf" hidden="1">#REF!</definedName>
    <definedName name="TB1fc4b5fd_55ad_4ecd_9689_b012d1467d5f" hidden="1">#REF!</definedName>
    <definedName name="TB1fcc9def_d356_4a1d_8c29_d4c43d4236d7" hidden="1">#REF!</definedName>
    <definedName name="TB1fd83910_e901_43de_9ae0_a6a39616729a" hidden="1">#REF!</definedName>
    <definedName name="TB1fd83c16_1335_4f24_9b39_4a13ace2b284" hidden="1">#REF!</definedName>
    <definedName name="TB1fd8fcc7_cc81_4db2_b72e_8d9c5a789b1e" hidden="1">#REF!</definedName>
    <definedName name="TB1fd96582_6885_4346_b044_92f4cbdbaa97" hidden="1">#REF!</definedName>
    <definedName name="TB1feb62bd_a403_4e29_bc4f_dcca9e0d995a" hidden="1">#REF!</definedName>
    <definedName name="TB1fec4199_c076_4868_a89e_ff6d82b9a82f" hidden="1">#REF!</definedName>
    <definedName name="TB1ff26590_4bd9_4096_9079_31a56c59c266" hidden="1">#REF!</definedName>
    <definedName name="TB1ffa20d8_bb3e_4c76_ad3c_f8db5896efc9" hidden="1">#REF!</definedName>
    <definedName name="TB1ffe770c_f3cc_4fbf_8af8_5e78ae69d148" hidden="1">#REF!</definedName>
    <definedName name="TB201490a9_0606_4860_bcc2_7ccf923e6ebd" hidden="1">#REF!</definedName>
    <definedName name="TB2017a9c5_11d6_4f17_824c_f7450f1366fc" hidden="1">#REF!</definedName>
    <definedName name="TB203f03c6_5f7a_40af_b3c1_c3ecf227e0fb" hidden="1">#REF!</definedName>
    <definedName name="TB2040339c_169e_4adc_a7eb_5ebdbac41208" hidden="1">#REF!</definedName>
    <definedName name="TB205b3778_85f2_4dbd_a453_ae7958d226bf" hidden="1">#REF!</definedName>
    <definedName name="TB2068961e_a82a_4b03_bc7b_9168b8fa8665" hidden="1">#REF!</definedName>
    <definedName name="TB2069254b_c21c_407b_90e3_13783249244c" hidden="1">#REF!</definedName>
    <definedName name="TB206b79c4_0013_4e4c_abbe_5c9c6a973aca" hidden="1">#REF!</definedName>
    <definedName name="TB206cc848_55c8_48af_b763_ed6303b452fe" hidden="1">#REF!</definedName>
    <definedName name="TB20703871_e2a3_4e89_b788_639ca326a3fb" hidden="1">#REF!</definedName>
    <definedName name="TB20742d48_fb5b_4f15_8647_12b029a8f128" hidden="1">#REF!</definedName>
    <definedName name="TB207d168f_2749_480b_a99f_a390d4e98afd" hidden="1">#REF!</definedName>
    <definedName name="TB207d475a_609f_45bd_8a9e_f06b7ce63f46" hidden="1">#REF!</definedName>
    <definedName name="TB2080b5ec_89be_4185_aa98_c17a06403485" hidden="1">#REF!</definedName>
    <definedName name="TB2090d963_2a8d_4936_bdbe_7728fb737570" hidden="1">#REF!</definedName>
    <definedName name="TB209abfba_6fef_4edf_9a2c_f544c505587b" hidden="1">#REF!</definedName>
    <definedName name="TB209d3a62_8747_4724_aafc_bc10e994ef92" hidden="1">#REF!</definedName>
    <definedName name="TB20a60081_7492_4974_b1b1_1adfb8fdb840" hidden="1">#REF!</definedName>
    <definedName name="TB20ab9c39_611e_40a3_90a5_b1de85d0f17b" hidden="1">#REF!</definedName>
    <definedName name="TB20ae2f28_9720_4830_8c40_fcef4a0a12d8" hidden="1">#REF!</definedName>
    <definedName name="TB20ba705a_fc31_4490_861c_c058423ed35b" hidden="1">#REF!</definedName>
    <definedName name="TB20ce2f93_3ab9_4e99_b621_b4f08edd0489" hidden="1">#REF!</definedName>
    <definedName name="TB20d295b3_8f9d_4671_b978_8525be3d65e6" hidden="1">#REF!</definedName>
    <definedName name="TB20e297d9_6a05_48b6_b08e_5d857d605771" hidden="1">#REF!</definedName>
    <definedName name="TB20e80054_6100_4664_9aca_1ec7db6c964f" hidden="1">#REF!</definedName>
    <definedName name="TB20eeb769_0337_461d_b091_a3cd73018f62" hidden="1">#REF!</definedName>
    <definedName name="TB20efe196_c33a_480f_aae0_1fddc47ca2d8" hidden="1">#REF!</definedName>
    <definedName name="TB20f25db0_3bca_4c68_b792_775446c1ff3c" hidden="1">#REF!</definedName>
    <definedName name="TB20f40c02_03a4_49f3_b4f5_f0c67ff975db" hidden="1">#REF!</definedName>
    <definedName name="TB20f599fa_4a9c_47fa_b754_c31e474b68fd" hidden="1">#REF!</definedName>
    <definedName name="TB20f5b968_7d75_4263_a9e8_3aaeba1b265c" hidden="1">#REF!</definedName>
    <definedName name="TB20fe10f8_103a_4299_bd7a_5ee0a07d9748" hidden="1">#REF!</definedName>
    <definedName name="TB21150f73_426a_4064_82ed_af0f441ee375" hidden="1">#REF!</definedName>
    <definedName name="TB211550ab_3e1e_49fd_95fb_d41f297c7567" hidden="1">#REF!</definedName>
    <definedName name="TB211a6150_6931_4177_b367_edda78978549" hidden="1">#REF!</definedName>
    <definedName name="TB21200aaf_ec84_4ac9_88f7_77649115e1c3" hidden="1">#REF!</definedName>
    <definedName name="TB21249c93_7eed_4ecc_80c9_c825fea548fd" hidden="1">#REF!</definedName>
    <definedName name="TB212ac66c_af53_4bc6_9f72_cebf6f86b652" hidden="1">#REF!</definedName>
    <definedName name="TB21325ef3_b40e_4492_a393_941d1a75d2dd" hidden="1">#REF!</definedName>
    <definedName name="TB213ec3bc_d351_4682_a6d9_d3cd0ac50fe2" hidden="1">#REF!</definedName>
    <definedName name="TB21454ce8_8d9c_45b9_9df3_b11b413dec08" hidden="1">#REF!</definedName>
    <definedName name="TB21463b3c_87b8_468a_aac7_ae814d23dd83" hidden="1">#REF!</definedName>
    <definedName name="TB214bdbf6_687a_4260_88a5_3fb9b3e4cb49" hidden="1">#REF!</definedName>
    <definedName name="TB214e9ed1_bf09_4506_a78e_b74f25b93338" hidden="1">#REF!</definedName>
    <definedName name="TB2164e927_f7e4_45b0_9c6e_266a06be9bbb" hidden="1">#REF!</definedName>
    <definedName name="TB216d318f_b72e_4175_89ee_c10abb9bb068" hidden="1">#REF!</definedName>
    <definedName name="TB21762067_f1bb_420e_8dcd_13fee259ae4e" hidden="1">#REF!</definedName>
    <definedName name="TB2176642d_b792_40b1_8bf9_bfbc06c6764a" hidden="1">#REF!</definedName>
    <definedName name="TB218379b9_8876_4a27_a7c9_c1009ae2a9c3" hidden="1">#REF!</definedName>
    <definedName name="TB2195c079_5046_4495_92fb_683517152f60" hidden="1">#REF!</definedName>
    <definedName name="TB219a9841_8094_4a90_8919_7cc178d62191" hidden="1">#REF!</definedName>
    <definedName name="TB21a0a325_2f2e_4f99_b3c9_7f74ba7a3220" hidden="1">#REF!</definedName>
    <definedName name="TB21a98157_9678_4b08_9f68_907466fef749" hidden="1">#REF!</definedName>
    <definedName name="TB21b46342_6bd9_4e3e_b02a_921f202c05d5" hidden="1">#REF!</definedName>
    <definedName name="TB21bf4be0_c997_4c15_a2b4_2b8657a197f6" hidden="1">#REF!</definedName>
    <definedName name="TB21d46a5a_106e_4a5d_9d5e_a44f1ad98e86" hidden="1">#REF!</definedName>
    <definedName name="TB21e6030b_d70f_457d_a261_db995ce7c041" hidden="1">#REF!</definedName>
    <definedName name="TB21e94735_8903_46a3_ba76_d9e2c522e635" hidden="1">#REF!</definedName>
    <definedName name="TB21f62972_4295_43e1_b545_30a46732228b" hidden="1">#REF!</definedName>
    <definedName name="TB2200de60_9b56_4aef_ab8f_06f09da53250" hidden="1">#REF!</definedName>
    <definedName name="TB22366c0b_4323_4e76_a50c_a4c2d8a94e25" hidden="1">#REF!</definedName>
    <definedName name="TB223e37aa_a9ea_4261_9b7f_3d326cc4ac5d" hidden="1">#REF!</definedName>
    <definedName name="TB22411972_0523_4f2d_a37a_8af50d49227e" hidden="1">#REF!</definedName>
    <definedName name="TB2247db43_08c2_4ff4_9ed7_65b35181b9ba" hidden="1">#REF!</definedName>
    <definedName name="TB224d1432_aa42_4412_8433_e4111c2682ea" hidden="1">#REF!</definedName>
    <definedName name="TB2257716e_78d4_4d12_8714_13d571115301" hidden="1">#REF!</definedName>
    <definedName name="TB225858e4_3c44_4a90_95ac_e9a65d5f321b" hidden="1">#REF!</definedName>
    <definedName name="TB22702370_80e0_41a2_815d_0e65c3678858" hidden="1">#REF!</definedName>
    <definedName name="TB227424f0_ae86_409c_b984_3ac5db21ac33" hidden="1">#REF!</definedName>
    <definedName name="TB22793a51_1bc7_403f_8fae_25b86fe06dd8" hidden="1">#REF!</definedName>
    <definedName name="TB227c0f93_c027_4051_aa25_c63124afa911" hidden="1">#REF!</definedName>
    <definedName name="TB22816acc_3144_40a3_bb62_dc9e7e405c47" hidden="1">#REF!</definedName>
    <definedName name="TB22817d56_23de_43f7_9478_625be0e1f6ab" hidden="1">#REF!</definedName>
    <definedName name="TB2288fd0b_9a15_4cdd_bb0a_af1184c5c14c" hidden="1">#REF!</definedName>
    <definedName name="TB22938528_6be7_41a6_8961_85e47eee0a70" hidden="1">#REF!</definedName>
    <definedName name="TB22961d2a_8de5_4534_8086_51dc24615976" hidden="1">#REF!</definedName>
    <definedName name="TB22ac5787_34ed_4bc1_a20d_2f5e9826c8c7" hidden="1">#REF!</definedName>
    <definedName name="TB22b9d6cf_ae90_44ae_8d0a_60173c3d15c5" hidden="1">#REF!</definedName>
    <definedName name="TB22c3ba9a_3a88_4346_9565_197ef226d801" hidden="1">#REF!</definedName>
    <definedName name="TB22c7ef9f_9d7f_4c60_a4b6_079897091f0b" hidden="1">#REF!</definedName>
    <definedName name="TB22d18c88_b0e3_4eee_92d3_a0c05ab369fa" hidden="1">#REF!</definedName>
    <definedName name="TB22d1de43_1a7b_4294_86b9_ac2e76367ea0" hidden="1">#REF!</definedName>
    <definedName name="TB22d52709_8e66_4d7d_8e8b_17783a9ab726" hidden="1">#REF!</definedName>
    <definedName name="TB22d5d242_f9ad_4974_91bd_9692974b39a8" hidden="1">#REF!</definedName>
    <definedName name="TB22df5e62_524c_4c29_8251_a3fb3ed41bed" hidden="1">#REF!</definedName>
    <definedName name="TB22e35cb2_3c64_4827_b36f_bdc24bc1030a" hidden="1">#REF!</definedName>
    <definedName name="TB22f65b1f_13cc_4a3f_a1ee_7473588bfb3e" hidden="1">#REF!</definedName>
    <definedName name="TB23178c56_b9df_4803_adc2_b3b773da9b12" hidden="1">#REF!</definedName>
    <definedName name="TB231f3240_db14_453b_aa8b_c3cb051e2c6e" hidden="1">#REF!</definedName>
    <definedName name="TB2325b665_9e76_4f1e_80b9_6f702f2c1254" hidden="1">#REF!</definedName>
    <definedName name="TB2325fb52_c057_4894_8998_fcd9a5609186" hidden="1">#REF!</definedName>
    <definedName name="TB2333f2ca_e734_4d47_bf27_4df05a965db7" hidden="1">#REF!</definedName>
    <definedName name="TB234b8270_5933_4c77_9480_3cbd079b3c77" hidden="1">#REF!</definedName>
    <definedName name="TB235c0723_603f_4ad2_ac64_8c1a32c3ce18" hidden="1">#REF!</definedName>
    <definedName name="TB23605c1e_2d89_4a18_9604_c9ee5f72ae8c" hidden="1">#REF!</definedName>
    <definedName name="TB2367c696_967f_4d67_8bc6_a8007b192d1e" hidden="1">#REF!</definedName>
    <definedName name="TB236bfc56_d45e_4500_8cc6_d3cf8a51a290" hidden="1">#REF!</definedName>
    <definedName name="TB23712294_8846_4dbf_8f82_04a6711a1be0" hidden="1">#REF!</definedName>
    <definedName name="TB2381e559_8d89_45d1_9606_b71090555e1c" hidden="1">#REF!</definedName>
    <definedName name="TB2394e141_b104_4034_bf32_4ce5cfb7871f" hidden="1">#REF!</definedName>
    <definedName name="TB23950441_986b_463c_b0a4_87757aaf589c" hidden="1">#REF!</definedName>
    <definedName name="TB2395349f_450b_41f7_b5c7_19e9db821df1" hidden="1">#REF!</definedName>
    <definedName name="TB239bae7c_d19d_4bc5_86b6_39d1ea8691ca" hidden="1">#REF!</definedName>
    <definedName name="TB239dcdb6_deab_4665_b037_ba89bee894ee" hidden="1">#REF!</definedName>
    <definedName name="TB23a2bad9_71fa_4be4_a86c_918d959802a8" hidden="1">#REF!</definedName>
    <definedName name="TB23a2f9e4_eb72_466f_a4a3_2b2b202f4bbc" hidden="1">#REF!</definedName>
    <definedName name="TB23a7dfa1_4c8a_44b2_b9b9_ca22a42ffe55" hidden="1">#REF!</definedName>
    <definedName name="TB23ac514d_ceed_4882_a664_b60767f522bb" hidden="1">#REF!</definedName>
    <definedName name="TB23ae0775_27e1_4792_990b_d3c4cdd46bf2" hidden="1">#REF!</definedName>
    <definedName name="TB23afd842_62ab_4c1e_bac1_f9717d92205d" hidden="1">#REF!</definedName>
    <definedName name="TB23b24723_2eb7_4deb_9edb_35ef12aafb10" hidden="1">#REF!</definedName>
    <definedName name="TB23c21606_e546_4ef2_ba75_bd7c8be479cf" hidden="1">#REF!</definedName>
    <definedName name="TB23d22e8c_18ba_4cbb_af12_add4aec783b5" hidden="1">#REF!</definedName>
    <definedName name="TB23e5f35d_47d0_459b_a5d0_86d7da2acfd1" hidden="1">#REF!</definedName>
    <definedName name="TB23f396d5_0ad7_4b63_9379_56f312b7b879" hidden="1">#REF!</definedName>
    <definedName name="TB23f9da48_b79d_4a62_b05f_5a603249348d" hidden="1">#REF!</definedName>
    <definedName name="TB2404aed7_dd98_44f3_9998_01293969967b" hidden="1">#REF!</definedName>
    <definedName name="TB2410e1c7_a9b7_419d_9386_60df37754dd0" hidden="1">#REF!</definedName>
    <definedName name="TB24127bd5_dc1c_43ff_bb01_55c2e24729bf" hidden="1">#REF!</definedName>
    <definedName name="TB2413d9f8_452c_45af_b061_1522dafcdb04" hidden="1">#REF!</definedName>
    <definedName name="TB24153707_6833_4792_8d8d_ab6aa7ecd41d" hidden="1">#REF!</definedName>
    <definedName name="TB241a601f_c4a4_4bd1_8952_bbe85dcc257d" hidden="1">#REF!</definedName>
    <definedName name="TB24326c41_3772_451c_87c1_165c42fd1cb9" hidden="1">#REF!</definedName>
    <definedName name="TB2434edd5_a07e_4606_bfd4_58c052fb4a0d" hidden="1">#REF!</definedName>
    <definedName name="TB2437d068_ca7b_4443_a950_050cc97e1eb8" hidden="1">#REF!</definedName>
    <definedName name="TB2446efb2_ee27_43d7_87e0_a8f5b3b21af9" hidden="1">#REF!</definedName>
    <definedName name="TB245ac94b_9455_46ad_8f08_2c2067eae0c2" hidden="1">#REF!</definedName>
    <definedName name="TB245db252_db5b_4529_a482_1240d9a5e21b" hidden="1">#REF!</definedName>
    <definedName name="TB246752f5_5883_478a_82f7_168f03f91406" hidden="1">#REF!</definedName>
    <definedName name="TB246b34e4_e772_4eff_bb29_8b7339677711" hidden="1">#REF!</definedName>
    <definedName name="TB247b6f7c_fb4c_4672_89de_ae7b7600be9e" hidden="1">#REF!</definedName>
    <definedName name="TB247b8b5f_34f6_43b3_bbbd_5c62965cdda3" hidden="1">#REF!</definedName>
    <definedName name="TB247f560a_7eb0_424e_a3ec_23bfa9b73ce5" hidden="1">#REF!</definedName>
    <definedName name="TB248d6cba_a8e8_4fd8_93a2_0dcb22ad34f3" hidden="1">#REF!</definedName>
    <definedName name="TB24938024_be19_4fe2_9027_e5c58b9596ef" hidden="1">#REF!</definedName>
    <definedName name="TB24a181df_7d29_405a_9d3c_4b5c87f40d7d" hidden="1">#REF!</definedName>
    <definedName name="TB24a3e95e_1151_42b9_b65f_4ccd744646c9" hidden="1">#REF!</definedName>
    <definedName name="TB24b2b575_0707_471f_8773_4635f9a6d976" hidden="1">#REF!</definedName>
    <definedName name="TB24c25085_3ee4_4e11_9b6d_a0c41b44648b" hidden="1">#REF!</definedName>
    <definedName name="TB24c95100_542c_4333_8178_25e34bc2ba7e" hidden="1">#REF!</definedName>
    <definedName name="TB24cf76b1_b9c5_4ffe_aa48_276991feded9" hidden="1">#REF!</definedName>
    <definedName name="TB24cfd9d0_5d4e_4e23_b681_03608c9123bd" hidden="1">#REF!</definedName>
    <definedName name="TB24d1ca53_6304_4624_9386_5ba731bde84a" hidden="1">#REF!</definedName>
    <definedName name="TB24d3ad86_f37a_4530_8b55_9ccfee0aa26f" hidden="1">#REF!</definedName>
    <definedName name="TB24df8367_7464_4bbc_9ae8_5fe684d5dea1" hidden="1">#REF!</definedName>
    <definedName name="TB24e1ab50_3af4_411c_b654_cc191a13f109" hidden="1">#REF!</definedName>
    <definedName name="TB24e4592a_6499_4f9e_98da_01e05181d5b8" hidden="1">#REF!</definedName>
    <definedName name="TB24f88257_4548_45ec_810e_0d591e398c9d" hidden="1">#REF!</definedName>
    <definedName name="TB24fc81a1_d911_45e1_aca3_cb7e64546ad9" hidden="1">#REF!</definedName>
    <definedName name="TB2509b49f_7187_4487_962d_455a6e81c406" hidden="1">#REF!</definedName>
    <definedName name="TB2509b50c_e118_41de_be28_e815327d21a0" hidden="1">#REF!</definedName>
    <definedName name="TB250a3259_9a00_48c4_8b16_df66a439d49c" hidden="1">#REF!</definedName>
    <definedName name="TB250a789e_7c45_4d17_983e_45d65f6bd869" hidden="1">#REF!</definedName>
    <definedName name="TB250f4d86_dfc5_44f6_9b90_c10a6b71b115" hidden="1">#REF!</definedName>
    <definedName name="TB2512d6ee_0e0b_4e6d_adc1_bc98de09a205" hidden="1">#REF!</definedName>
    <definedName name="TB2515ac84_2ab6_4058_9193_8f67b628416d" hidden="1">#REF!</definedName>
    <definedName name="TB2526513b_b519_406a_a9f9_956237d1eefe" hidden="1">#REF!</definedName>
    <definedName name="TB25296d40_09d3_4bba_bf54_741e0ecf0a80" hidden="1">#REF!</definedName>
    <definedName name="TB252b918b_5166_4ed6_bf5b_8fcd065e6314" hidden="1">#REF!</definedName>
    <definedName name="TB252e7012_b7e6_492a_aefa_8ab005aea216" hidden="1">#REF!</definedName>
    <definedName name="TB25324015_1519_408e_9d58_c774967231c6" hidden="1">#REF!</definedName>
    <definedName name="TB25377c4d_1b72_4863_8758_e17f6c1ca975" hidden="1">#REF!</definedName>
    <definedName name="TB2539cf58_03b0_4a8d_92c8_f21ccc35806b" hidden="1">#REF!</definedName>
    <definedName name="TB253e3d82_0b3f_4fa8_a739_334b79505e81" hidden="1">#REF!</definedName>
    <definedName name="TB254bb761_033d_43b3_9d94_f21cbf9e94ca" hidden="1">#REF!</definedName>
    <definedName name="TB254f6605_4605_494b_ac79_7755128af405" hidden="1">#REF!</definedName>
    <definedName name="TB25522804_690b_4bdd_8f5b_44c02ddc438c" hidden="1">#REF!</definedName>
    <definedName name="TB25631bb6_5e21_4286_8121_37b3572e4359" hidden="1">#REF!</definedName>
    <definedName name="TB2564a110_d29d_429b_84a9_3ff1164420da" hidden="1">#REF!</definedName>
    <definedName name="TB256960b4_b440_4fa7_aafc_714288dbebc0" hidden="1">#REF!</definedName>
    <definedName name="TB2569aa8c_70d8_41e4_8cfd_18afc6a80faa" hidden="1">#REF!</definedName>
    <definedName name="TB256d2d4b_fed1_491b_8820_e8081be2a73a" hidden="1">#REF!</definedName>
    <definedName name="TB25716ac6_7614_4406_b8f3_e3bdeac25ff7" hidden="1">#REF!</definedName>
    <definedName name="TB2577b937_1f0f_42a6_a323_e7e5924e8519" hidden="1">#REF!</definedName>
    <definedName name="TB257f00f3_a281_4873_8db2_a2a442dbe97c" hidden="1">#REF!</definedName>
    <definedName name="TB25811af3_a297_4783_af43_1cffe016499f" hidden="1">#REF!</definedName>
    <definedName name="TB258bce01_5803_4e55_864e_2665db3b73c1" hidden="1">#REF!</definedName>
    <definedName name="TB259bbe4f_8be9_40b5_897d_9ad975ab27b3" hidden="1">#REF!</definedName>
    <definedName name="TB25a40592_63ba_4e07_9555_99bd088c200d" hidden="1">#REF!</definedName>
    <definedName name="TB25ab380e_e8ab_4216_bb27_401edf44ad8e" hidden="1">#REF!</definedName>
    <definedName name="TB25b37fd2_72c9_4b1e_b32c_e5aa23b5f2b7" hidden="1">#REF!</definedName>
    <definedName name="TB25bfc07e_2423_438f_a01b_b5ce3034f046" hidden="1">#REF!</definedName>
    <definedName name="TB25c4f8a2_9197_4cfc_824b_a0312e2a0457" hidden="1">#REF!</definedName>
    <definedName name="TB25d0846b_330a_4612_86c1_7741af0a0a0a" hidden="1">#REF!</definedName>
    <definedName name="TB25d408fc_96ac_4883_bd60_576602153116" hidden="1">#REF!</definedName>
    <definedName name="TB25ddbdd2_0be0_4601_8f68_4f4d7702d8f1" hidden="1">#REF!</definedName>
    <definedName name="TB25df464a_cb10_4bfb_90d1_86efa39924fc" hidden="1">#REF!</definedName>
    <definedName name="TB25e0a6d2_9656_4d9a_a4f5_fcac67fba6e9" hidden="1">#REF!</definedName>
    <definedName name="TB25ec8b16_c6fd_40d7_9943_c460b8851863" hidden="1">#REF!</definedName>
    <definedName name="TB25f18da1_7921_4d4d_990f_5d90abd55dfc" hidden="1">#REF!</definedName>
    <definedName name="TB25fa0246_a4bc_4739_889a_75165405722c" hidden="1">#REF!</definedName>
    <definedName name="TB261270c8_7ca6_42dc_a1da_532400ed090d" hidden="1">#REF!</definedName>
    <definedName name="TB2614445d_3656_40f0_b872_c94ac2e5e4d7" hidden="1">#REF!</definedName>
    <definedName name="TB261fbae4_2b49_406c_a271_d7dfec8f7113" hidden="1">#REF!</definedName>
    <definedName name="TB2623e829_726f_4f08_8672_f6a613e4a13b" hidden="1">#REF!</definedName>
    <definedName name="TB2628ab8d_5226_42fc_8eca_dd2e185a9ffe" hidden="1">#REF!</definedName>
    <definedName name="TB262c6c17_bb81_4fb2_9b01_c31268ac5ca4" hidden="1">#REF!</definedName>
    <definedName name="TB26359b72_5f37_4e46_95b0_5a9627e7f093" hidden="1">#REF!</definedName>
    <definedName name="TB263e99b7_5cd5_4c87_a0f9_226705cefbf3" hidden="1">#REF!</definedName>
    <definedName name="TB2642c554_866e_4c82_92f9_5c2943c5e4b0" hidden="1">#REF!</definedName>
    <definedName name="TB2645f3b5_d28d_48ec_b975_bf5967ffba58" hidden="1">#REF!</definedName>
    <definedName name="TB2649a53a_2b29_4308_8856_c45d8042506f" hidden="1">#REF!</definedName>
    <definedName name="TB264ad916_bf0d_4296_8029_d61cba070ac2" hidden="1">#REF!</definedName>
    <definedName name="TB26546f6c_0a45_4c2e_a620_809ffe929377" hidden="1">#REF!</definedName>
    <definedName name="TB26556dad_23be_4103_9981_e82d6dbbaef1" hidden="1">#REF!</definedName>
    <definedName name="TB265666d3_4ed5_4ccd_831f_e356700b9a98" hidden="1">#REF!</definedName>
    <definedName name="TB2657693c_d0d8_448c_96e5_d7431a0106e1" hidden="1">#REF!</definedName>
    <definedName name="TB265a48c8_f3c8_413d_97a3_c6719d36fbe0" hidden="1">#REF!</definedName>
    <definedName name="TB2664c53a_f2da_4bb8_9549_46ea0fae4cef" hidden="1">#REF!</definedName>
    <definedName name="TB268360de_6f1c_47e1_9149_feb6fb8e745f" hidden="1">#REF!</definedName>
    <definedName name="TB268b3fef_ddcb_4b33_92a7_ed85c266f86f" hidden="1">#REF!</definedName>
    <definedName name="TB26900fb1_2165_43c5_b988_1ef257952fab" hidden="1">#REF!</definedName>
    <definedName name="TB2693d2c1_29b9_4ea9_bfd2_f3f9dc7d118c" hidden="1">#REF!</definedName>
    <definedName name="TB269f0991_34ed_4674_885a_e5dadea493c1" hidden="1">#REF!</definedName>
    <definedName name="TB26a9abed_16f7_4803_a950_6d1b2f392350" hidden="1">#REF!</definedName>
    <definedName name="TB26a9c0f2_afc7_4e59_98de_060777429fb2" hidden="1">#REF!</definedName>
    <definedName name="TB26bbc63d_2fa5_4681_8fca_270ad51e314a" hidden="1">#REF!</definedName>
    <definedName name="TB26bd0a90_cfa0_4db9_8c0d_561ce82b442d" hidden="1">#REF!</definedName>
    <definedName name="TB26d19180_1577_4331_a2ce_45d6cd352bbc" hidden="1">#REF!</definedName>
    <definedName name="TB26df7349_ec01_43d0_8163_30118eae35a0" hidden="1">#REF!</definedName>
    <definedName name="TB26f21fa6_690e_49cc_a546_ae991c7823e4" hidden="1">#REF!</definedName>
    <definedName name="TB26f5e382_ea3c_4d14_8082_07d7d0b9d5e9" hidden="1">#REF!</definedName>
    <definedName name="TB26fe7e9c_2403_4b8c_9022_9c9898933639" hidden="1">#REF!</definedName>
    <definedName name="TB2701bdb6_78d5_4e81_919e_2f34ae2aa60d" hidden="1">#REF!</definedName>
    <definedName name="TB270a694e_a6e3_4a6e_86d2_a42a0e40536a" hidden="1">#REF!</definedName>
    <definedName name="TB27269bbe_99c9_46ee_b60a_9a6853c5ccc2" hidden="1">#REF!</definedName>
    <definedName name="TB272779e4_eea8_49b2_954d_90b93e7c9074" hidden="1">#REF!</definedName>
    <definedName name="TB27293566_c018_416a_a8c9_673a478bbc19" hidden="1">#REF!</definedName>
    <definedName name="TB272a4d4b_a1a8_4632_99f1_7497540c0c38" hidden="1">#REF!</definedName>
    <definedName name="TB272d7303_aa79_4e66_a60a_df93773f3d31" hidden="1">#REF!</definedName>
    <definedName name="TB273378c2_0940_4928_9626_d2a4f48a6dca" hidden="1">#REF!</definedName>
    <definedName name="TB2737f5de_feb7_4785_ab76_35c4e878c616" hidden="1">#REF!</definedName>
    <definedName name="TB273ec179_7f93_4839_aebe_aa9e4b04bd1f" hidden="1">#REF!</definedName>
    <definedName name="TB274e44c9_5a5b_483b_8968_3c2174442a9c" hidden="1">#REF!</definedName>
    <definedName name="TB2750ac96_201d_44f2_8841_b44e9d9af8b2" hidden="1">#REF!</definedName>
    <definedName name="TB27555787_27f1_4b2a_8718_9be902415b78" hidden="1">#REF!</definedName>
    <definedName name="TB275a9b87_ff64_445e_8008_c1bf7c707b91" hidden="1">#REF!</definedName>
    <definedName name="TB275d2671_108a_46c4_b7e4_6d9541adc211" hidden="1">#REF!</definedName>
    <definedName name="TB276cc84e_233d_443a_9ac7_250c9acb4a06" hidden="1">#REF!</definedName>
    <definedName name="TB2772e767_6061_47e8_95c0_296fa16b3c58" hidden="1">#REF!</definedName>
    <definedName name="TB277473b0_99c5_46ba_b51c_164fa8837b79" hidden="1">#REF!</definedName>
    <definedName name="TB279b3a1c_d4b1_41ed_a93b_b717d65e14fb" hidden="1">#REF!</definedName>
    <definedName name="TB27d71bc5_3612_47b2_8210_ca70a59efb78" hidden="1">#REF!</definedName>
    <definedName name="TB27ed2bf1_8e7f_4fb4_9cbc_a14ef2092441" hidden="1">#REF!</definedName>
    <definedName name="TB27ee0eb1_ec62_4a16_93fa_9aa8fd8a3001" hidden="1">#REF!</definedName>
    <definedName name="TB27f48e21_3e1f_4e09_8b21_84927a816fd3" hidden="1">#REF!</definedName>
    <definedName name="TB28016c3c_86cb_4f56_a959_90dec6c69633" hidden="1">#REF!</definedName>
    <definedName name="TB28044746_d52e_4259_a24e_b173dcdd953d" hidden="1">#REF!</definedName>
    <definedName name="TB280b0f5a_ed50_4242_a5a1_eede3408f35f" hidden="1">#REF!</definedName>
    <definedName name="TB281b93dd_f65a_426f_9eff_bf0682eecccc" hidden="1">#REF!</definedName>
    <definedName name="TB28255146_e7f4_4fa1_a00d_c7c9ce98ef91" hidden="1">#REF!</definedName>
    <definedName name="TB2829b1c0_c203_48d3_ad0c_b6c1b0b2486b" hidden="1">#REF!</definedName>
    <definedName name="TB2829c9b3_f969_4c5b_8c56_7720a075c1cd" hidden="1">#REF!</definedName>
    <definedName name="TB282a3a96_0b9b_4a84_bbca_627a91704dda" hidden="1">#REF!</definedName>
    <definedName name="TB282a92a9_a440_4887_85e4_428eefafb610" hidden="1">#REF!</definedName>
    <definedName name="TB2841750f_a2bf_473f_9f57_d45789fe81e5" hidden="1">#REF!</definedName>
    <definedName name="TB28446cd3_4055_4431_8bf1_6abbc2f7b0b6" hidden="1">#REF!</definedName>
    <definedName name="TB28504826_82a0_42c3_b42d_be26b9392340" hidden="1">#REF!</definedName>
    <definedName name="TB28644190_2e59_44cb_b506_cd693cd6a369" hidden="1">#REF!</definedName>
    <definedName name="TB2869b2ed_4575_448b_8164_11bc87594a74" hidden="1">#REF!</definedName>
    <definedName name="TB286ae201_5d4b_4e41_bf8b_e37678a88a92" hidden="1">#REF!</definedName>
    <definedName name="TB2873c486_212c_4699_b779_1b83044a2ceb" hidden="1">#REF!</definedName>
    <definedName name="TB28770882_8498_43e8_bbda_8def9751b449" hidden="1">#REF!</definedName>
    <definedName name="TB287f05ee_e778_4513_b63c_42867af6dd10" hidden="1">#REF!</definedName>
    <definedName name="TB2884c2ff_0429_471f_a027_891f5d53bab9" hidden="1">#REF!</definedName>
    <definedName name="TB2886d420_f5eb_4421_922b_d50d32bdae75" hidden="1">#REF!</definedName>
    <definedName name="TB288c0500_c8c2_49d1_b5e2_ce5c4289b33c" hidden="1">#REF!</definedName>
    <definedName name="TB288f90cd_fccd_4755_87ce_4926a19a82a9" hidden="1">#REF!</definedName>
    <definedName name="TB28920b75_359f_4da7_b792_4dfcf5578d1e" hidden="1">#REF!</definedName>
    <definedName name="TB289858a0_324c_4949_9919_5ba07a2fb6ae" hidden="1">#REF!</definedName>
    <definedName name="TB28b49fef_0bf2_4485_b6d9_8d44ed1e395c" hidden="1">#REF!</definedName>
    <definedName name="TB28c4e524_804a_4367_9305_0f882577d1e5" hidden="1">#REF!</definedName>
    <definedName name="TB28cd025d_38f3_466f_8bf5_67c1cc16d61e" hidden="1">#REF!</definedName>
    <definedName name="TB28d378fe_9c57_4270_ba15_c937a30a9297" hidden="1">#REF!</definedName>
    <definedName name="TB28e54ca2_67d6_4ce1_907c_d4c06d686c30" hidden="1">#REF!</definedName>
    <definedName name="TB28e9af63_d0c4_4ee1_9c5e_ca24e2e7e432" hidden="1">#REF!</definedName>
    <definedName name="TB28eeb41c_b1d9_4dbb_b3dc_591119138039" hidden="1">#REF!</definedName>
    <definedName name="TB28f1f940_c6ab_4dfb_a55f_e1ac881d5019" hidden="1">#REF!</definedName>
    <definedName name="TB28f727c7_1c6f_4538_ade1_848eaafbc593" hidden="1">#REF!</definedName>
    <definedName name="TB28f7543b_3ee6_4ed4_becc_84b6f3497d0b" hidden="1">#REF!</definedName>
    <definedName name="TB2905ebc2_5025_40cc_8ff0_5d1aa907e16e" hidden="1">#REF!</definedName>
    <definedName name="TB290c741b_9002_4151_9bc0_7f086459d497" hidden="1">#REF!</definedName>
    <definedName name="TB290d4a5f_ecbc_41c4_a217_ed4912816965" hidden="1">#REF!</definedName>
    <definedName name="TB291932e7_3297_4e0c_a321_969311d6a759" hidden="1">#REF!</definedName>
    <definedName name="TB291a8696_caf3_46f8_9c24_cb499a7f83c9" hidden="1">#REF!</definedName>
    <definedName name="TB292543a2_f828_4d0f_8250_77d3b2e34ef2" hidden="1">#REF!</definedName>
    <definedName name="TB2932bd7a_e912_4147_be10_929564cac95b" hidden="1">#REF!</definedName>
    <definedName name="TB29358f26_3d2d_4d7b_ba93_df785606246d" hidden="1">#REF!</definedName>
    <definedName name="TB293cae9a_7230_4973_b4eb_b77bd32cb00a" hidden="1">#REF!</definedName>
    <definedName name="TB2943ee57_ad3c_4921_8e2e_350933bbbe3e" hidden="1">#REF!</definedName>
    <definedName name="TB2947f286_8726_484d_b275_82b8726b90a9" hidden="1">#REF!</definedName>
    <definedName name="TB29493453_300c_48e5_974b_933045fd0542" hidden="1">#REF!</definedName>
    <definedName name="TB294a7d48_873c_4543_b76a_8483080a77cc" hidden="1">#REF!</definedName>
    <definedName name="TB294c0588_148f_4556_b0d6_ad2d15745335" hidden="1">#REF!</definedName>
    <definedName name="TB295f5c61_fcb8_4aff_bbfe_33d3b0e2a556" hidden="1">#REF!</definedName>
    <definedName name="TB297ed44c_33d6_4ad8_ae33_09e300dc531e" hidden="1">#REF!</definedName>
    <definedName name="TB29837d1c_8b39_407f_a223_921be1167532" hidden="1">#REF!</definedName>
    <definedName name="TB298c586a_9e32_4736_9cf4_99710c6eb025" hidden="1">#REF!</definedName>
    <definedName name="TB299331ac_47d1_419d_82e4_a49b71071d77" hidden="1">#REF!</definedName>
    <definedName name="TB29aa1478_4500_463e_a752_a46592d838bd" hidden="1">#REF!</definedName>
    <definedName name="TB29aaf0ce_c249_4087_956d_6fa3f7277f62" hidden="1">#REF!</definedName>
    <definedName name="TB29ab9b14_e4b1_493c_b284_ddd22f491dc6" hidden="1">#REF!</definedName>
    <definedName name="TB29d4903b_e6b7_4a7e_baa3_6be92927de78" hidden="1">#REF!</definedName>
    <definedName name="TB29db6bc0_5e95_4c82_9375_65c96e6df6a5" hidden="1">#REF!</definedName>
    <definedName name="TB29e7efb5_1da9_4b99_baf4_9b1bd1fccd96" hidden="1">#REF!</definedName>
    <definedName name="TB29f1e0b1_1b76_499d_b520_253438e33f59" hidden="1">#REF!</definedName>
    <definedName name="TB29f41779_8765_44dd_a44f_49ee31d0d81a" hidden="1">#REF!</definedName>
    <definedName name="TB2a069aeb_ca78_4e29_93a2_09883dabbf90" hidden="1">#REF!</definedName>
    <definedName name="TB2a082110_48a2_423e_b1e5_23f0daa0c3c1" hidden="1">#REF!</definedName>
    <definedName name="TB2a14fa0d_b6b1_405d_b79d_0c2032a1f62c" hidden="1">#REF!</definedName>
    <definedName name="TB2a1d0884_1a14_4914_bf60_06abe840e612" hidden="1">#REF!</definedName>
    <definedName name="TB2a23e7d8_8be7_41ee_9512_8eb2f10f65b5" hidden="1">#REF!</definedName>
    <definedName name="TB2a281ba5_1f99_4e6e_aabf_405c55c668a0" hidden="1">#REF!</definedName>
    <definedName name="TB2a2c9a3d_4fd3_49b3_b4cf_2bef680f4d84" hidden="1">#REF!</definedName>
    <definedName name="TB2a3088c8_4f39_4ea2_9b6f_99fb2140de40" hidden="1">#REF!</definedName>
    <definedName name="TB2a387922_b1ae_4b38_a255_e22b31b0d123" hidden="1">#REF!</definedName>
    <definedName name="TB2a3f173a_64d9_45b6_995e_f4abd3aa9ae8" hidden="1">#REF!</definedName>
    <definedName name="TB2a40a454_a6a2_4372_8ce4_8724aa085485" hidden="1">#REF!</definedName>
    <definedName name="TB2a4febcc_d41e_4471_ba04_09da32469b22" hidden="1">#REF!</definedName>
    <definedName name="TB2a5049ba_2845_4372_b903_03055c0debb2" hidden="1">#REF!</definedName>
    <definedName name="TB2a5be31c_626c_444e_b331_ad6ac2c0fcd4" hidden="1">#REF!</definedName>
    <definedName name="TB2a5e7f6b_dee5_4c14_a141_e5b8f705d960" hidden="1">#REF!</definedName>
    <definedName name="TB2a5f3f91_e27d_4253_a821_dc57a990f6d5" hidden="1">#REF!</definedName>
    <definedName name="TB2a705dd0_b88d_48a0_a2fc_9f6cd0e650c9" hidden="1">#REF!</definedName>
    <definedName name="TB2a71d7a3_6fd1_4a2c_9cfa_6086897612fe" hidden="1">#REF!</definedName>
    <definedName name="TB2a7437f7_416f_4279_b416_b7afff2ea06b" hidden="1">#REF!</definedName>
    <definedName name="TB2a7622ef_5a16_4701_9c94_28ee504376d1" hidden="1">#REF!</definedName>
    <definedName name="TB2a78f0b7_6112_491c_a7b3_7306b9b87be2" hidden="1">#REF!</definedName>
    <definedName name="TB2a838325_4540_4047_8ee6_d63feb484e82" hidden="1">#REF!</definedName>
    <definedName name="TB2a8770cd_1c89_4314_bb13_55a7da57700f" hidden="1">#REF!</definedName>
    <definedName name="TB2a8d86a9_e11f_4031_8009_9be142f14a68" hidden="1">#REF!</definedName>
    <definedName name="TB2ab0247f_9ad8_4186_b35a_316a554e05e0" hidden="1">#REF!</definedName>
    <definedName name="TB2ab728c7_6b3c_4ead_af57_d85dc3631e9d" hidden="1">#REF!</definedName>
    <definedName name="TB2abd2e85_cae3_4e89_95de_f7614b058eef" hidden="1">#REF!</definedName>
    <definedName name="TB2acacc40_1c53_461c_a797_a2b394a4f549" hidden="1">#REF!</definedName>
    <definedName name="TB2acc326d_32f0_48ed_bfe8_3a55ccb3c69f" hidden="1">#REF!</definedName>
    <definedName name="TB2acd3c75_8ad4_446a_a0a0_a986856a96c1" hidden="1">#REF!</definedName>
    <definedName name="TB2ad4eac5_aeb8_42db_ae9b_b536f0d1a0f5" hidden="1">#REF!</definedName>
    <definedName name="TB2addff4d_e6e1_4a8a_92f7_f8ec2f458037" hidden="1">#REF!</definedName>
    <definedName name="TB2af6772b_fa58_4618_9517_45dcf96c3291" hidden="1">#REF!</definedName>
    <definedName name="TB2af6bc23_29d8_4da7_b947_c07e8b3953cd" hidden="1">#REF!</definedName>
    <definedName name="TB2aff329e_01cd_440b_a7b5_3a555aba5f7a" hidden="1">#REF!</definedName>
    <definedName name="TB2b0e7f7f_be98_47bd_bdeb_9a6d8187de8d" hidden="1">#REF!</definedName>
    <definedName name="TB2b14eb23_6049_4063_96ee_e27bb86d1a77" hidden="1">#REF!</definedName>
    <definedName name="TB2b314b53_504a_4ce9_a8c7_e9703e2f0ae3" hidden="1">#REF!</definedName>
    <definedName name="TB2b340977_aba1_445d_a483_78d670e87d4d" hidden="1">#REF!</definedName>
    <definedName name="TB2b3628a2_d047_4231_9dc5_ae431fb014b9" hidden="1">#REF!</definedName>
    <definedName name="TB2b4370e8_0498_4c01_85e9_6263d56bdb01" hidden="1">#REF!</definedName>
    <definedName name="TB2b44ebdb_fd77_43de_8c05_2a1163b53205" hidden="1">#REF!</definedName>
    <definedName name="TB2b49895b_4a90_442d_a725_8d6e2b8a7eca" hidden="1">#REF!</definedName>
    <definedName name="TB2b4e66ec_51e0_42e0_a721_c030bc39d7ad" hidden="1">#REF!</definedName>
    <definedName name="TB2b4f320c_c028_4860_a996_a138de6fc384" hidden="1">#REF!</definedName>
    <definedName name="TB2b6d33b2_ab2d_46f1_a373_fa723a64c771" hidden="1">#REF!</definedName>
    <definedName name="TB2b7e5218_6f2d_496c_891c_8e67c051ee6e" hidden="1">#REF!</definedName>
    <definedName name="TB2b8645ae_3a61_4795_b71a_61bf760eb139" hidden="1">#REF!</definedName>
    <definedName name="TB2b8c073d_139e_4c96_a420_f4ac988e1cd9" hidden="1">#REF!</definedName>
    <definedName name="TB2b91505b_c406_4799_932a_92a69097548d" hidden="1">#REF!</definedName>
    <definedName name="TB2b95673c_4834_4c00_9ba7_362a54d63a53" hidden="1">#REF!</definedName>
    <definedName name="TB2b973d6b_9720_43d2_9412_65b1c68e0fc8" hidden="1">#REF!</definedName>
    <definedName name="TB2b9a494c_96e4_448a_b7ec_2c7260e11803" hidden="1">#REF!</definedName>
    <definedName name="TB2b9c8479_f518_4f06_99d0_fea2268a69f1" hidden="1">#REF!</definedName>
    <definedName name="TB2b9db619_7d63_4b6a_8ca5_6021d38104ac" hidden="1">#REF!</definedName>
    <definedName name="TB2ba0192a_660a_4b59_bce7_33cddacfb1ee" hidden="1">#REF!</definedName>
    <definedName name="TB2ba4067c_c882_4df0_97b6_7b129ea0488d" hidden="1">#REF!</definedName>
    <definedName name="TB2bab4fb3_950f_489a_bcd0_b19d89013502" hidden="1">#REF!</definedName>
    <definedName name="TB2babf0a7_91e4_46a2_ad3a_b1a64a65a80e" hidden="1">#REF!</definedName>
    <definedName name="TB2bac0bd2_46e6_4b1c_9d76_ead2568899c6" hidden="1">#REF!</definedName>
    <definedName name="TB2bb9ac09_7364_48c2_9ae8_6487c8cbd0e8" hidden="1">#REF!</definedName>
    <definedName name="TB2bcc6569_70b1_4e17_9b1e_36e92efeced5" hidden="1">#REF!</definedName>
    <definedName name="TB2bd282e4_942d_4138_b53d_737c08d1d148" hidden="1">#REF!</definedName>
    <definedName name="TB2bd669a7_4fd9_47f9_bffa_d292906b2e48" hidden="1">#REF!</definedName>
    <definedName name="TB2be074f6_50e9_4f3b_9513_ad0f61b79c97" hidden="1">#REF!</definedName>
    <definedName name="TB2be3928f_37a6_4feb_961f_eab701319652" hidden="1">#REF!</definedName>
    <definedName name="TB2be6b926_d09a_4988_9fc2_6810e17edfa4" hidden="1">#REF!</definedName>
    <definedName name="TB2beb5a2d_abf3_4da0_a50f_e720348fd1d8" hidden="1">#REF!</definedName>
    <definedName name="TB2bec155c_da5e_4d4a_aa39_5c564a4a4764" hidden="1">#REF!</definedName>
    <definedName name="TB2bf1f9cc_c7f7_4609_a27e_1022e95a14f3" hidden="1">#REF!</definedName>
    <definedName name="TB2c079158_d19f_42fa_a3dc_89da18ff65d4" hidden="1">#REF!</definedName>
    <definedName name="TB2c0adf43_7f78_4562_8f94_c0ffa2ba09cf" hidden="1">#REF!</definedName>
    <definedName name="TB2c1e7181_f2b7_4c95_b2f2_e385740ca76b" hidden="1">#REF!</definedName>
    <definedName name="TB2c2c09e8_9d45_4512_9cb3_4950af4c4ffc" hidden="1">#REF!</definedName>
    <definedName name="TB2c2ce08f_c3be_4850_bf94_b73d2a716005" hidden="1">#REF!</definedName>
    <definedName name="TB2c2e339b_589a_47dd_949e_229946b3c34b" hidden="1">#REF!</definedName>
    <definedName name="TB2c2eb86f_fbed_4653_8c90_6f14a93ae0e0" hidden="1">#REF!</definedName>
    <definedName name="TB2c3acc24_1832_440f_90e1_ca8273d8090d" hidden="1">#REF!</definedName>
    <definedName name="TB2c402a42_6016_42c9_8bac_121fdc79ea27" hidden="1">#REF!</definedName>
    <definedName name="TB2c42749f_eed3_4614_a4f6_d7b0a06e4b21" hidden="1">#REF!</definedName>
    <definedName name="TB2c442872_2e49_4d2f_a662_3b0654a9e4b5" hidden="1">#REF!</definedName>
    <definedName name="TB2c481b65_8506_410a_9c00_025b3b7f2f4d" hidden="1">#REF!</definedName>
    <definedName name="TB2c483407_5ee5_4b1c_a07a_32bb498da5cc" hidden="1">#REF!</definedName>
    <definedName name="TB2c639527_8879_46ae_a366_f46acd695f05" hidden="1">#REF!</definedName>
    <definedName name="TB2c667cb3_ba82_4854_a4bc_d63eacfb89e1" hidden="1">#REF!</definedName>
    <definedName name="TB2c68b49e_59c2_4eb5_b656_d873f9670ebc" hidden="1">#REF!</definedName>
    <definedName name="TB2c6cb9fb_95ed_4243_8ed9_48cd034e0634" hidden="1">#REF!</definedName>
    <definedName name="TB2c7550a6_fcd4_45ea_b4be_8bf424376471" hidden="1">#REF!</definedName>
    <definedName name="TB2c775a91_e775_4649_8aa2_cab789d7cd78" hidden="1">#REF!</definedName>
    <definedName name="TB2c7aa4b7_bdb3_4bd3_90a4_af7e77ede664" hidden="1">#REF!</definedName>
    <definedName name="TB2c8c2f4e_5da5_4c11_8d9a_d07f7ae54ba2" hidden="1">#REF!</definedName>
    <definedName name="TB2c8df461_d4b2_4526_8c64_f3e56f06ad99" hidden="1">#REF!</definedName>
    <definedName name="TB2c909d0f_ca12_4ae9_be89_7089e88b70a4" hidden="1">#REF!</definedName>
    <definedName name="TB2c9a7002_faba_45bb_a79a_0e5e1cc2acf4" hidden="1">#REF!</definedName>
    <definedName name="TB2ca4bd9d_d126_451b_bc0f_f5aa4244f4ca" hidden="1">#REF!</definedName>
    <definedName name="TB2cae9810_6abc_4ea8_9ed9_44fc3cbca34e" hidden="1">#REF!</definedName>
    <definedName name="TB2cbeefd9_120e_4ad9_b8fe_aff729eddb25" hidden="1">#REF!</definedName>
    <definedName name="TB2cddf57e_d41b_4500_b264_d7b2e025d5e0" hidden="1">#REF!</definedName>
    <definedName name="TB2cf54bfd_f869_406e_8a6b_74f1d2ed321b" hidden="1">#REF!</definedName>
    <definedName name="TB2cf622c8_4f76_4051_9456_f6b834338c75" hidden="1">#REF!</definedName>
    <definedName name="TB2cfc994e_777e_4b8b_9c35_93ec244356cb" hidden="1">#REF!</definedName>
    <definedName name="TB2d086dcd_9ec5_428d_91db_0ca8b426559d" hidden="1">#REF!</definedName>
    <definedName name="TB2d0c41cf_f54c_4ac7_b2d4_bbd8f9194870" hidden="1">#REF!</definedName>
    <definedName name="TB2d10ba29_b151_49fa_abb1_51f9c3033ebc" hidden="1">#REF!</definedName>
    <definedName name="TB2d1a664e_4a47_4ace_bd50_fd6a30785bf8" hidden="1">#REF!</definedName>
    <definedName name="TB2d2445e0_68c9_43d7_ac57_02d2138b620c" hidden="1">#REF!</definedName>
    <definedName name="TB2d3824cf_f41d_4acb_bb2d_7211eb4d64ac" hidden="1">#REF!</definedName>
    <definedName name="TB2d448edd_249b_4cad_acf7_715929bb1b7b" hidden="1">#REF!</definedName>
    <definedName name="TB2d4a9573_87c4_45a8_bb42_ef93d1493f32" hidden="1">#REF!</definedName>
    <definedName name="TB2d4ca026_1c2b_4eb8_913c_0fbc36327ee8" hidden="1">#REF!</definedName>
    <definedName name="TB2d5383ee_a45d_4e4a_9187_4973fc5b5eda" hidden="1">#REF!</definedName>
    <definedName name="TB2d546d58_f33f_44e2_ad9a_2ab501678762" hidden="1">#REF!</definedName>
    <definedName name="TB2d5d0681_d4c9_43d1_94fe_0ee8b29f16a5" hidden="1">#REF!</definedName>
    <definedName name="TB2d5fd5a7_d045_42f5_b8df_164114c89777" hidden="1">#REF!</definedName>
    <definedName name="TB2d61a8f2_2ee8_4b0b_90ce_6a31e73d750e" hidden="1">#REF!</definedName>
    <definedName name="TB2d643bfa_c577_4912_ba0e_432e7a585de7" hidden="1">#REF!</definedName>
    <definedName name="TB2d649d6b_ac62_4604_809c_f32247d1e091" hidden="1">#REF!</definedName>
    <definedName name="TB2d65e6f8_ab58_4126_8352_3d9123e89db8" hidden="1">#REF!</definedName>
    <definedName name="TB2d735ad0_0e0b_48d1_82b4_893a050e1c9e" hidden="1">#REF!</definedName>
    <definedName name="TB2d772906_e885_4928_a949_377bd17d00b4" hidden="1">#REF!</definedName>
    <definedName name="TB2d7cf1f4_4261_4c34_889a_1de581fee6de" hidden="1">#REF!</definedName>
    <definedName name="TB2d819ecd_548f_421b_9bf7_25e4d3eb1447" hidden="1">#REF!</definedName>
    <definedName name="TB2d82143e_04a9_4c2f_bb4e_4eb4172c33b2" hidden="1">#REF!</definedName>
    <definedName name="TB2d83b628_c564_4424_85c7_9947e75ef4fb" hidden="1">#REF!</definedName>
    <definedName name="TB2d963bdf_e6cd_4e26_ba03_f4db92b0415f" hidden="1">#REF!</definedName>
    <definedName name="TB2d985a59_3ff6_40b8_a856_8813d56f229b" hidden="1">#REF!</definedName>
    <definedName name="TB2da481d8_c581_4578_8963_d36b9a6f81e3" hidden="1">#REF!</definedName>
    <definedName name="TB2da71d9e_0d49_4b38_b9f9_5d04b57d478e" hidden="1">#REF!</definedName>
    <definedName name="TB2db17d5a_f32d_40e3_828d_145fd9ec73a4" hidden="1">#REF!</definedName>
    <definedName name="TB2db673b8_e50f_4d68_b0f4_abf6a1d85fd9" hidden="1">#REF!</definedName>
    <definedName name="TB2db88768_a563_45da_850a_2bf95a2d22f4" hidden="1">#REF!</definedName>
    <definedName name="TB2dc5d933_266f_43d6_8e2b_10b6971d9cb2" hidden="1">#REF!</definedName>
    <definedName name="TB2dca4f0c_9f8c_43c7_b5c8_570b5025de80" hidden="1">#REF!</definedName>
    <definedName name="TB2dcacdce_4734_482a_9db1_f9a9c7161a85" hidden="1">#REF!</definedName>
    <definedName name="TB2dce6a42_82aa_4bde_a78e_f9995c69622f" hidden="1">#REF!</definedName>
    <definedName name="TB2de5d66e_fb52_435e_82c8_50a9a82059e2" hidden="1">#REF!</definedName>
    <definedName name="TB2de90c6b_79e1_476e_a877_ea265be3b933" hidden="1">#REF!</definedName>
    <definedName name="TB2ded4b93_733d_4b00_8b76_4bcfbe70ab0a" hidden="1">#REF!</definedName>
    <definedName name="TB2dee33fc_6bfe_4b56_901c_bf214c9684db" hidden="1">#REF!</definedName>
    <definedName name="TB2def1fa8_b211_418a_9d70_b856b521c1d8" hidden="1">#REF!</definedName>
    <definedName name="TB2df9be61_fd03_4849_b1bc_20f7a00ecc4b" hidden="1">#REF!</definedName>
    <definedName name="TB2dfe5ff8_1b45_42b2_803a_4564447697af" hidden="1">#REF!</definedName>
    <definedName name="TB2e0570ca_fa4b_4d19_8937_912ab3c50ec6" hidden="1">#REF!</definedName>
    <definedName name="TB2e12be0b_ba93_4989_9cbf_e59cd970e51f" hidden="1">#REF!</definedName>
    <definedName name="TB2e16cf35_7963_4180_b8a8_d26056b046e1" hidden="1">#REF!</definedName>
    <definedName name="TB2e17ff5a_1b3b_4c59_904e_d10e86e299f5" hidden="1">#REF!</definedName>
    <definedName name="TB2e22729b_e94e_43e2_b6ab_07db42725a14" hidden="1">#REF!</definedName>
    <definedName name="TB2e2aaa32_0324_49c1_ba85_9dc97983fe46" hidden="1">#REF!</definedName>
    <definedName name="TB2e305204_4bd6_4923_b7ff_ef09c75f02cb" hidden="1">#REF!</definedName>
    <definedName name="TB2e3de5f0_51b0_42dd_8a0f_8924679845e8" hidden="1">#REF!</definedName>
    <definedName name="TB2e3e0fac_4768_482f_bbc1_86545f852322" hidden="1">#REF!</definedName>
    <definedName name="TB2e5cec4f_fc72_4c35_b04d_f217818f804c" hidden="1">#REF!</definedName>
    <definedName name="TB2e613c3c_292c_4c09_a7dd_a8f6d12a24c7" hidden="1">#REF!</definedName>
    <definedName name="TB2e649fa5_287f_436e_a247_05db10f4fd90" hidden="1">#REF!</definedName>
    <definedName name="TB2e657b45_5728_4a4c_80e4_467f7f0132ed" hidden="1">#REF!</definedName>
    <definedName name="TB2e67455a_3557_420b_a096_0db21f0b13f5" hidden="1">#REF!</definedName>
    <definedName name="TB2e676598_0f92_41dc_b9b3_9fb672a912e2" hidden="1">#REF!</definedName>
    <definedName name="TB2e77704e_0203_4f41_877d_0687e879580f" hidden="1">#REF!</definedName>
    <definedName name="TB2e78cbe8_23b6_476e_9572_570ab3282fd8" hidden="1">#REF!</definedName>
    <definedName name="TB2e822da5_ab93_4816_a554_920fb2374a56" hidden="1">#REF!</definedName>
    <definedName name="TB2e84e071_6293_4ac3_b6a5_de64f61a9f86" hidden="1">#REF!</definedName>
    <definedName name="TB2e8af6f7_5921_4f64_88f5_b0ba8f58fe2c" hidden="1">#REF!</definedName>
    <definedName name="TB2e905903_39de_4cca_98be_24dbc53833d8" hidden="1">#REF!</definedName>
    <definedName name="TB2ea1a727_a827_45cd_9e7b_6f641a06acc7" hidden="1">#REF!</definedName>
    <definedName name="TB2eaaedc4_73d9_44a0_93aa_ba6c6e548a2e" hidden="1">#REF!</definedName>
    <definedName name="TB2eacecfc_6d0f_4616_9a4f_286d5d5f5269" hidden="1">#REF!</definedName>
    <definedName name="TB2eb2fe55_96da_4652_8ded_a258354ec415" hidden="1">#REF!</definedName>
    <definedName name="TB2ecde63b_3eef_4593_9dc9_402bb5a69e67" hidden="1">#REF!</definedName>
    <definedName name="TB2ed8ee37_d38c_4c01_a3a8_f42af5cf8650" hidden="1">#REF!</definedName>
    <definedName name="TB2edcbd0c_6c02_490f_be8c_a7a3eebf1e4b" hidden="1">#REF!</definedName>
    <definedName name="TB2ede5e63_450c_414a_893f_596f094e1b79" hidden="1">#REF!</definedName>
    <definedName name="TB2ef1a6a5_b432_4f5d_9794_2f09ac120b50" hidden="1">#REF!</definedName>
    <definedName name="TB2ef5005a_9710_4abf_8202_979ff7288ab5" hidden="1">#REF!</definedName>
    <definedName name="TB2ef7a4e7_bfb4_4449_8329_9a29fdbe0b2b" hidden="1">#REF!</definedName>
    <definedName name="TB2ef82405_fe70_4866_a6ef_bedb036be4f1" hidden="1">#REF!</definedName>
    <definedName name="TB2ef90505_5301_4c3c_b0cc_6bcbcc06a18e" hidden="1">#REF!</definedName>
    <definedName name="TB2f0668af_6d42_401b_b426_a09a2230d7da" hidden="1">#REF!</definedName>
    <definedName name="TB2f1207c3_6fe4_4b89_9241_19e2dcbf1cf9" hidden="1">#REF!</definedName>
    <definedName name="TB2f1efe72_e9aa_40a2_9b44_97f8b3c7014b" hidden="1">#REF!</definedName>
    <definedName name="TB2f2c08a9_d59a_4b2e_9e10_3c198a0e62f7" hidden="1">#REF!</definedName>
    <definedName name="TB2f30ab29_c414_41b5_94cc_c728384afa9d" hidden="1">#REF!</definedName>
    <definedName name="TB2f4713b4_b56a_4570_bc8d_057151ba889e" hidden="1">#REF!</definedName>
    <definedName name="TB2f4b8a0c_8d02_4da2_a45b_69db07e88e64" hidden="1">#REF!</definedName>
    <definedName name="TB2f686352_ed27_4b8d_80a5_a51659ddcf71" hidden="1">#REF!</definedName>
    <definedName name="TB2f779578_98c6_4f4b_8a66_2bc2f88a867e" hidden="1">#REF!</definedName>
    <definedName name="TB2f8485ec_ba8e_41a2_9023_0a2afd3188fc" hidden="1">#REF!</definedName>
    <definedName name="TB2f88505f_9070_47eb_8ea7_5ba3f81dea3c" hidden="1">#REF!</definedName>
    <definedName name="TB2f8dc001_9199_469f_a6f1_b551d102a02e" hidden="1">#REF!</definedName>
    <definedName name="TB2f8eba47_4dd2_444b_aceb_c4b3ae2c7625" hidden="1">#REF!</definedName>
    <definedName name="TB2f9b861d_abe8_44ef_b0ef_28889ef5d170" hidden="1">#REF!</definedName>
    <definedName name="TB2f9e8df9_a7bc_4eaa_b335_216a9220bb02" hidden="1">#REF!</definedName>
    <definedName name="TB2fa1f6f3_3c4f_446b_9431_58b4eace8a2e" hidden="1">#REF!</definedName>
    <definedName name="TB2fac34eb_2663_4928_886c_e9ea6cadbf29" hidden="1">#REF!</definedName>
    <definedName name="TB2fc67528_4997_4f1c_9796_90cec5d79b3a" hidden="1">#REF!</definedName>
    <definedName name="TB2fc9d2cc_9a8f_49cb_91e8_eebae6c37325" hidden="1">#REF!</definedName>
    <definedName name="TB2fe4550c_5fe6_48d3_a1d2_e2314647f72b" hidden="1">#REF!</definedName>
    <definedName name="TB2ffb98e0_ca99_49c8_88ee_f3ae7b18cd5d" hidden="1">#REF!</definedName>
    <definedName name="TB302776b5_f46c_4ff3_8494_2b746ed04b56" hidden="1">#REF!</definedName>
    <definedName name="TB30279b28_0821_423d_896a_b267fccefb71" hidden="1">#REF!</definedName>
    <definedName name="TB3027eaee_7cc4_4416_8fe1_8026c9d48092" hidden="1">#REF!</definedName>
    <definedName name="TB302e770a_ef40_4f7a_8b3b_fc6ed37fc10c" hidden="1">#REF!</definedName>
    <definedName name="TB304cdcc1_123a_4362_be01_550b0c18029b" hidden="1">#REF!</definedName>
    <definedName name="TB30511e48_e962_49e0_87ab_35424d89ec58" hidden="1">#REF!</definedName>
    <definedName name="TB30559e71_ccfe_4889_b20e_73b1ac7924f9" hidden="1">#REF!</definedName>
    <definedName name="TB305892d0_daa4_4303_a01e_375ed163c470" hidden="1">#REF!</definedName>
    <definedName name="TB30590ab1_a794_4d17_9c0d_fb45cb5f3aa1" hidden="1">#REF!</definedName>
    <definedName name="TB305e06c6_2f41_484f_ba63_8ff9ee655343" hidden="1">#REF!</definedName>
    <definedName name="TB30613f7c_5202_4a76_b840_cbbd7d1e9972" hidden="1">#REF!</definedName>
    <definedName name="TB30705479_9a82_40e9_931a_a15df36d7ab4" hidden="1">#REF!</definedName>
    <definedName name="TB307352c2_b290_4f3a_b4c6_021c1e15954f" hidden="1">#REF!</definedName>
    <definedName name="TB307b3108_1293_4bb2_8af2_ad037cba9eba" hidden="1">#REF!</definedName>
    <definedName name="TB307b4319_b547_4609_a35d_c31b25213246" hidden="1">#REF!</definedName>
    <definedName name="TB307c6aa1_495f_4ec0_9428_ce2f01327429" hidden="1">#REF!</definedName>
    <definedName name="TB308fe6af_4a55_421f_8d70_b28eca85896a" hidden="1">#REF!</definedName>
    <definedName name="TB3095edbd_fa20_4d83_8c70_8e6e8f930ed5" hidden="1">#REF!</definedName>
    <definedName name="TB309db6cd_a88c_49ff_b655_e33261f79849" hidden="1">#REF!</definedName>
    <definedName name="TB30a15a15_59be_4ca2_97e4_fea0ee0f7665" hidden="1">#REF!</definedName>
    <definedName name="TB30a59edd_8a34_420d_829b_f45c82b94bcd" hidden="1">#REF!</definedName>
    <definedName name="TB30a87c20_0d0a_44eb_b9c0_2c14ee6d75e9" hidden="1">#REF!</definedName>
    <definedName name="TB30ae865f_8fe8_4afb_9afb_ddd16ba96c69" hidden="1">#REF!</definedName>
    <definedName name="TB30b1dab2_4255_464c_bcad_668af6f4a728" hidden="1">#REF!</definedName>
    <definedName name="TB30b2050b_29a1_48e4_b168_7b8f098685c9" hidden="1">#REF!</definedName>
    <definedName name="TB30cb5ffc_6f44_45b0_aee0_5536090d0e33" hidden="1">#REF!</definedName>
    <definedName name="TB30d2435a_6fc9_45e5_b132_99b252923c06" hidden="1">#REF!</definedName>
    <definedName name="TB30d28283_22e1_4eb4_b8e1_161fbdbce4ef" hidden="1">#REF!</definedName>
    <definedName name="TB30d5ac04_870b_4c06_8be9_2be61d191725" hidden="1">#REF!</definedName>
    <definedName name="TB30da7b75_16a9_4db0_9fef_75651d70a780" hidden="1">#REF!</definedName>
    <definedName name="TB30deb8fc_da1d_47e8_b508_4fd30d77b8ae" hidden="1">#REF!</definedName>
    <definedName name="TB30eb496b_eaeb_4c2e_99ec_43e158ce3167" hidden="1">#REF!</definedName>
    <definedName name="TB30f28a1e_5813_41ac_bf7f_d4c8e64b6f97" hidden="1">#REF!</definedName>
    <definedName name="TB30f9f206_ccd7_49f9_8b64_7c2ec1297b77" hidden="1">#REF!</definedName>
    <definedName name="TB3107f1f4_cd6d_4a0a_a48e_db240dc95ed5" hidden="1">#REF!</definedName>
    <definedName name="TB31210903_fe2d_4813_bc2f_2671a3008457" hidden="1">#REF!</definedName>
    <definedName name="TB3128f864_726e_43b8_ad44_2fba721cf3f9" hidden="1">#REF!</definedName>
    <definedName name="TB312a7815_0e8b_4e3f_940d_0fdde5eb701c" hidden="1">#REF!</definedName>
    <definedName name="TB313e4f79_e93b_4d24_afe4_483b6d3da59b" hidden="1">#REF!</definedName>
    <definedName name="TB314c3e41_3b49_4d5a_a7fe_4a2786101e67" hidden="1">#REF!</definedName>
    <definedName name="TB314deff4_edd0_49a8_80ce_354b4d488ea6" hidden="1">#REF!</definedName>
    <definedName name="TB31526221_70b9_466c_9e4c_9104dac11ad9" hidden="1">#REF!</definedName>
    <definedName name="TB315b4872_3952_471b_85a7_83376d0657e1" hidden="1">#REF!</definedName>
    <definedName name="TB315fa8bc_83d2_40ce_884c_fdc46a782396" hidden="1">#REF!</definedName>
    <definedName name="TB3167a921_e83b_4126_ac45_e39dabdb835c" hidden="1">#REF!</definedName>
    <definedName name="TB316ee47f_1390_46a2_8046_6b693695819f" hidden="1">#REF!</definedName>
    <definedName name="TB3170c00a_a987_496b_a50b_1a27e61c1981" hidden="1">#REF!</definedName>
    <definedName name="TB317ea5dd_733d_41ad_b1f9_c160bb7151bd" hidden="1">#REF!</definedName>
    <definedName name="TB31828463_368a_409d_a428_d380fe6fade0" hidden="1">#REF!</definedName>
    <definedName name="TB31841b3a_cdc6_41c8_9c8c_494e057163c1" hidden="1">#REF!</definedName>
    <definedName name="TB31877900_b77c_4ee3_81f3_2960ed387e0a" hidden="1">#REF!</definedName>
    <definedName name="TB3187c4ed_625d_448d_8bdf_b7f5c4c43adb" hidden="1">#REF!</definedName>
    <definedName name="TB31919d27_33c7_4046_90cf_761d95d3557f" hidden="1">#REF!</definedName>
    <definedName name="TB31a7a6cb_9359_410a_b3eb_8f982f069e3a" hidden="1">#REF!</definedName>
    <definedName name="TB31ab3017_6048_4e80_9b72_f2ce0c7817f4" hidden="1">#REF!</definedName>
    <definedName name="TB31ad40a4_e85e_46bf_b927_398898c8a095" hidden="1">#REF!</definedName>
    <definedName name="TB31afac05_3e06_4c41_83ec_8fb31e09d8c7" hidden="1">#REF!</definedName>
    <definedName name="TB31b58af6_47ca_4fe4_90ac_ea95256a9782" hidden="1">#REF!</definedName>
    <definedName name="TB31b84d2c_51b4_49ff_902b_58c2f8bb7123" hidden="1">#REF!</definedName>
    <definedName name="TB31c52375_225e_40a2_a7c8_5ce0f966e36d" hidden="1">#REF!</definedName>
    <definedName name="TB31c64acc_f80c_4a23_9a4d_51bbc35a4ae8" hidden="1">#REF!</definedName>
    <definedName name="TB31e465b5_0190_4ee0_a2b3_753228a2997d" hidden="1">#REF!</definedName>
    <definedName name="TB31eab063_ed25_4ae2_9b73_c020460e7a39" hidden="1">#REF!</definedName>
    <definedName name="TB31f77219_77af_4347_99b0_f5d50f41e03f" hidden="1">#REF!</definedName>
    <definedName name="TB31f991cb_3ab9_4094_889a_0ff0b5b3352a" hidden="1">#REF!</definedName>
    <definedName name="TB31fd3551_bd33_4356_8f42_ab3e4db2cde5" hidden="1">#REF!</definedName>
    <definedName name="TB31ffb05c_6e15_482e_88dd_fe84a690151a" hidden="1">#REF!</definedName>
    <definedName name="TB320df7cc_0b05_4968_a5ad_a52e4be88dd3" hidden="1">#REF!</definedName>
    <definedName name="TB320e95d3_c804_4840_9ced_69574de3041f" hidden="1">#REF!</definedName>
    <definedName name="TB321c1557_c134_4d74_81b0_5b8bdd188d40" hidden="1">#REF!</definedName>
    <definedName name="TB321dfc9e_4a91_4ad7_8517_fd46462e3d88" hidden="1">#REF!</definedName>
    <definedName name="TB322ad3f5_f9ac_4f62_9c5b_f837cf97b12f" hidden="1">#REF!</definedName>
    <definedName name="TB322be0c0_fa5f_432b_9d5a_90bc2cebb650" hidden="1">#REF!</definedName>
    <definedName name="TB322be643_71d8_4fac_b999_00e33c1ebd8d" hidden="1">#REF!</definedName>
    <definedName name="TB32398046_a7f9_4ecb_8373_4045ae4851e1" hidden="1">#REF!</definedName>
    <definedName name="TB32402051_b0d8_433e_9177_4472435f1d65" hidden="1">#REF!</definedName>
    <definedName name="TB325d8822_bd08_4da5_8680_534ac2e681e8" hidden="1">#REF!</definedName>
    <definedName name="TB3261773a_8ea2_4ed5_aa2a_2a679c6daa52" hidden="1">#REF!</definedName>
    <definedName name="TB326383c3_3bef_4b0d_9246_bfe5f04b1c9e" hidden="1">#REF!</definedName>
    <definedName name="TB3263a296_133d_44b0_a2fd_ad7f2decbe3a" hidden="1">#REF!</definedName>
    <definedName name="TB326d311a_df05_4901_9494_7ca4867927f7" hidden="1">#REF!</definedName>
    <definedName name="TB32709f66_b8e0_4adb_a6fb_1e8703697b59" hidden="1">#REF!</definedName>
    <definedName name="TB328d1fe7_8fb5_4c2a_bc66_237efc4a2619" hidden="1">#REF!</definedName>
    <definedName name="TB329571b0_05ef_406f_81ae_e0564489d803" hidden="1">#REF!</definedName>
    <definedName name="TB329624be_dfb7_43b9_a185_b21daf512f21" hidden="1">#REF!</definedName>
    <definedName name="TB32ae3bb6_e44b_46a7_b9de_94c81022df14" hidden="1">#REF!</definedName>
    <definedName name="TB32b77810_588f_477a_92af_81d8b0a4472e" hidden="1">#REF!</definedName>
    <definedName name="TB32cefceb_8be2_4a29_a9d2_66e536fbf427" hidden="1">#REF!</definedName>
    <definedName name="TB32d00fc8_5f29_4b6a_93d7_6fc4cdfe25ac" hidden="1">#REF!</definedName>
    <definedName name="TB32d4ea45_8567_437c_8815_ad90d1a00d82" hidden="1">#REF!</definedName>
    <definedName name="TB32e4dffd_7fee_4101_a962_c1cea8340c29" hidden="1">#REF!</definedName>
    <definedName name="TB32f960c4_ee3f_4798_9eb0_a0a797201cd2" hidden="1">#REF!</definedName>
    <definedName name="TB32fb7171_2d35_40d9_9054_455b5cb4abc8" hidden="1">#REF!</definedName>
    <definedName name="TB3300a3a5_0368_40b7_a48b_78b363dcb85d" hidden="1">#REF!</definedName>
    <definedName name="TB3300b03e_1030_4719_bb6b_65d9d502ebc3" hidden="1">#REF!</definedName>
    <definedName name="TB3303665c_b79e_49b0_b542_de45bc1fb776" hidden="1">#REF!</definedName>
    <definedName name="TB33097f23_fb79_4fdb_94bf_174756e0e651" hidden="1">#REF!</definedName>
    <definedName name="TB330a47a1_28b9_4bfe_8388_5669c9877187" hidden="1">#REF!</definedName>
    <definedName name="TB33193800_394b_4809_b916_54a035525960" hidden="1">#REF!</definedName>
    <definedName name="TB332050bf_e3b1_4809_873f_4d344e45b9a9" hidden="1">#REF!</definedName>
    <definedName name="TB332334f2_51ab_4beb_80f5_5ea51b5bd498" hidden="1">#REF!</definedName>
    <definedName name="TB33239d6a_13dc_401e_b256_e113868fd488" hidden="1">#REF!</definedName>
    <definedName name="TB3324d576_7712_4a0c_bc4b_e204a2e06ce8" hidden="1">#REF!</definedName>
    <definedName name="TB333eca68_9e3c_4157_b06c_793a67d31359" hidden="1">#REF!</definedName>
    <definedName name="TB33402ebf_2789_49ed_b0d4_775df5e92829" hidden="1">#REF!</definedName>
    <definedName name="TB3341e9da_4678_4456_a23e_c4452a188b91" hidden="1">#REF!</definedName>
    <definedName name="TB3341f83f_2895_44ad_8e21_7d07fa73ae9f" hidden="1">#REF!</definedName>
    <definedName name="TB33486497_4406_4e94_81f8_9f9d6526e12a" hidden="1">#REF!</definedName>
    <definedName name="TB33537f04_5428_4e88_880e_4c59c48e4007" hidden="1">#REF!</definedName>
    <definedName name="TB3359099e_c1e4_4cc5_b406_e2d979e75e02" hidden="1">#REF!</definedName>
    <definedName name="TB335f79a9_3d48_4ab1_96d0_042d92190b42" hidden="1">#REF!</definedName>
    <definedName name="TB336004eb_8bc1_4d93_9c26_4fb0498532d7" hidden="1">#REF!</definedName>
    <definedName name="TB33600e40_ac47_43ba_9a90_4f837a5e2479" hidden="1">#REF!</definedName>
    <definedName name="TB3360c22e_494b_46e6_be0e_280ea432f181" hidden="1">#REF!</definedName>
    <definedName name="TB3363a1f3_c642_4947_83c9_57a1cbbfbf53" hidden="1">#REF!</definedName>
    <definedName name="TB337ef859_6421_44e1_896b_b98a20fc3d9e" hidden="1">#REF!</definedName>
    <definedName name="TB33883533_1289_4084_843e_8e3163b4e579" hidden="1">#REF!</definedName>
    <definedName name="TB33949ea1_a5ed_4936_a32d_182b8378b5b1" hidden="1">#REF!</definedName>
    <definedName name="TB33956b87_f566_4b84_88d1_cb1b7919be6c" hidden="1">#REF!</definedName>
    <definedName name="TB339b5868_1e43_4522_b780_8cf44e2ca8b8" hidden="1">#REF!</definedName>
    <definedName name="TB339db79a_c9b7_4b18_bbc1_03d8a302fd24" hidden="1">#REF!</definedName>
    <definedName name="TB33b8c8bb_ed9c_4c69_a751_ed4ce28a0e10" hidden="1">#REF!</definedName>
    <definedName name="TB33bdefde_e75b_444c_8485_32df26b666c6" hidden="1">#REF!</definedName>
    <definedName name="TB33c8f6f6_03f8_46bf_b7a9_01f39c4bbfab" hidden="1">#REF!</definedName>
    <definedName name="TB33d1e2f4_4a02_4363_ab5a_ff1730a9c56a" hidden="1">#REF!</definedName>
    <definedName name="TB33de7e6f_7a53_4dbc_8ad1_cf8eec5323ab" hidden="1">#REF!</definedName>
    <definedName name="TB33e2cbe5_5a2f_44ac_9476_6f2a704be931" hidden="1">#REF!</definedName>
    <definedName name="TB33ece289_e929_43d4_97aa_4d3d8911bbe8" hidden="1">#REF!</definedName>
    <definedName name="TB33f06a3e_e384_475d_a6bf_487b2182e5b4" hidden="1">#REF!</definedName>
    <definedName name="TB33fa12ad_c7bb_4e0b_8990_835cc433021f" hidden="1">#REF!</definedName>
    <definedName name="TB33fce84a_ec1b_4129_8f0f_af7dcfc1db6f" hidden="1">#REF!</definedName>
    <definedName name="TB34062e88_73de_4dec_9165_aca608b87db0" hidden="1">#REF!</definedName>
    <definedName name="TB3416c325_7206_40a5_bb8d_c39662317244" hidden="1">#REF!</definedName>
    <definedName name="TB3429e628_9742_45a3_9545_fb6d8b64416c" hidden="1">#REF!</definedName>
    <definedName name="TB342cca24_0054_4c60_adb1_a32cb5110aa2" hidden="1">#REF!</definedName>
    <definedName name="TB342e668b_6982_47a4_93ce_2b4a0c69c375" hidden="1">#REF!</definedName>
    <definedName name="TB3432c404_047c_4635_98fd_778e16299a64" hidden="1">#REF!</definedName>
    <definedName name="TB343f0ffa_c09e_430c_b169_2196d5cdbc81" hidden="1">#REF!</definedName>
    <definedName name="TB344c33f8_1e6c_477f_ab71_79c189b436dd" hidden="1">#REF!</definedName>
    <definedName name="TB345f3881_d26e_412c_80d6_22d859af9201" hidden="1">#REF!</definedName>
    <definedName name="TB34796399_354c_4154_a0f4_bd93b81211c8" hidden="1">#REF!</definedName>
    <definedName name="TB3482758f_92ea_4f8c_a3f9_f85324c96459" hidden="1">#REF!</definedName>
    <definedName name="TB348cd02f_0783_47ba_b2c2_2795ce52a53e" hidden="1">#REF!</definedName>
    <definedName name="TB34a17cfa_d159_4457_ab2a_a7e2208cd11e" hidden="1">#REF!</definedName>
    <definedName name="TB34a91642_1b36_4416_9189_5fa1869490f5" hidden="1">#REF!</definedName>
    <definedName name="TB34abf900_bf24_47c9_8d75_6b134f3c572b" hidden="1">#REF!</definedName>
    <definedName name="TB34c0cd92_63ac_4079_bf8f_3098267c0cf0" hidden="1">#REF!</definedName>
    <definedName name="TB34c3f8aa_2128_4065_bc59_e8e2338a0ec9" hidden="1">#REF!</definedName>
    <definedName name="TB34e00bda_d441_4812_a8d3_fcc06ccb737a" hidden="1">#REF!</definedName>
    <definedName name="TB34efe605_f176_4dfe_adaa_ba9846585005" hidden="1">#REF!</definedName>
    <definedName name="TB34f1449d_48d2_46ff_97aa_56b3b8c4b2bc" hidden="1">#REF!</definedName>
    <definedName name="TB35087651_d7c9_45d8_b3b7_a2d0ae8b5425" hidden="1">#REF!</definedName>
    <definedName name="TB350be4e7_c157_4329_846c_652160d74e23" hidden="1">#REF!</definedName>
    <definedName name="TB351bc3f1_cbd3_4f25_86e5_e32f2d60e411" hidden="1">#REF!</definedName>
    <definedName name="TB351c5548_0dad_4141_aa78_880eb3a8f94f" hidden="1">#REF!</definedName>
    <definedName name="TB35206a72_d0a9_4485_b047_d59895c5e2f4" hidden="1">#REF!</definedName>
    <definedName name="TB3529f4cd_9501_44cd_8646_53b2f3cd270c" hidden="1">#REF!</definedName>
    <definedName name="TB352b2972_34c3_41b3_8823_d4d1ef8b943e" hidden="1">#REF!</definedName>
    <definedName name="TB35339677_a23a_4386_8289_5c9dfab569c2" hidden="1">#REF!</definedName>
    <definedName name="TB354289bf_022b_4407_af2b_181e8ecfa871" hidden="1">#REF!</definedName>
    <definedName name="TB354d3e2b_da5f_44d0_a1fa_fe3b14b77e9e" hidden="1">#REF!</definedName>
    <definedName name="TB355d7135_a4a1_4c8e_8e21_272a4c555fba" hidden="1">#REF!</definedName>
    <definedName name="TB356deb6e_dfdc_4984_ba60_89c0c9467738" hidden="1">#REF!</definedName>
    <definedName name="TB35717226_8e1b_45c7_a7f1_abd1d0a0d404" hidden="1">#REF!</definedName>
    <definedName name="TB35884797_f001_415c_96be_0b8ef177a30b" hidden="1">#REF!</definedName>
    <definedName name="TB359503ee_8c0d_4714_9514_e9286c5f68d0" hidden="1">#REF!</definedName>
    <definedName name="TB35982c5e_c1ac_4df8_962c_a6833af4e3da" hidden="1">#REF!</definedName>
    <definedName name="TB359d5d9f_57d6_4c22_8fc5_5575694dde7d" hidden="1">#REF!</definedName>
    <definedName name="TB35a0615d_2558_41eb_b47f_c18e533b5869" hidden="1">#REF!</definedName>
    <definedName name="TB35af92db_2b13_4b11_8648_8511b26f5d06" hidden="1">#REF!</definedName>
    <definedName name="TB35c04a87_789c_4770_8a24_44e14888137a" hidden="1">#REF!</definedName>
    <definedName name="TB35cc0e9c_f3d2_47de_b664_d8b6ab5c9796" hidden="1">#REF!</definedName>
    <definedName name="TB35d0a687_d4b9_4ba0_9ffe_e977261fe606" hidden="1">#REF!</definedName>
    <definedName name="TB35d18a94_bb21_4c05_aaac_0d562131a98c" hidden="1">#REF!</definedName>
    <definedName name="TB35d8c7b7_7b6e_4050_a76b_11cc01356ceb" hidden="1">#REF!</definedName>
    <definedName name="TB35dc5a5e_0ff1_4a0e_afa9_26812f25eb8b" hidden="1">#REF!</definedName>
    <definedName name="TB35e17e92_ff77_4068_a938_8d7e56458ee6" hidden="1">#REF!</definedName>
    <definedName name="TB35e1d057_7ab7_40f7_b08f_56d12b283c20" hidden="1">#REF!</definedName>
    <definedName name="TB35e85a30_d1fd_4361_bfcf_eac1f7075790" hidden="1">#REF!</definedName>
    <definedName name="TB35edb8be_c1e8_4c88_a984_8892c780a7b2" hidden="1">#REF!</definedName>
    <definedName name="TB35f164f4_5f1f_4383_836d_5b3aa75d7ec8" hidden="1">#REF!</definedName>
    <definedName name="TB35f76ab4_d037_4442_8b1b_e3df045df3ba" hidden="1">#REF!</definedName>
    <definedName name="TB35f89b18_3eee_4380_889c_09d17432a2fb" hidden="1">#REF!</definedName>
    <definedName name="TB35fbf085_684f_4cf8_9bd7_4f07e9b9e92f" hidden="1">#REF!</definedName>
    <definedName name="TB360e9fd2_e88c_47b3_a9b5_48a38a294cdc" hidden="1">#REF!</definedName>
    <definedName name="TB361525f9_5e7f_4336_8633_664dac14cbeb" hidden="1">#REF!</definedName>
    <definedName name="TB3617ba01_afbd_470c_90ea_a881b74e01e8" hidden="1">#REF!</definedName>
    <definedName name="TB3620a1e1_debc_4447_94ff_09e461f3b97b" hidden="1">#REF!</definedName>
    <definedName name="TB36258d73_e87b_4c72_a3c8_f1c5cb207696" hidden="1">#REF!</definedName>
    <definedName name="TB364256a6_4152_4602_8b92_c61cf3583009" hidden="1">#REF!</definedName>
    <definedName name="TB364364e7_f320_4d98_a8d1_56613685c50e" hidden="1">#REF!</definedName>
    <definedName name="TB36455482_4f5d_4e68_a186_6215958f05dc" hidden="1">#REF!</definedName>
    <definedName name="TB364af5c6_7347_434a_b5f6_0eb02d4edeee" hidden="1">#REF!</definedName>
    <definedName name="TB364e339d_7120_4525_b28d_58bafc15ce9e" hidden="1">#REF!</definedName>
    <definedName name="TB3656ba16_14ac_4509_8d6a_1a75b7871c7b" hidden="1">#REF!</definedName>
    <definedName name="TB365777e6_8405_4bba_93c6_c86cf3b8f2cd" hidden="1">#REF!</definedName>
    <definedName name="TB365dd007_1274_4cf4_9bac_ec6256ad55d4" hidden="1">#REF!</definedName>
    <definedName name="TB365e569a_5413_4c89_bf46_b5a97e4152cd" hidden="1">#REF!</definedName>
    <definedName name="TB36696ad9_23fc_4114_aace_10fd2da2b6b0" hidden="1">#REF!</definedName>
    <definedName name="TB366a91cd_a7e3_4b28_9938_4ab518bcc266" hidden="1">#REF!</definedName>
    <definedName name="TB367a7146_148d_449f_9ac3_a508374e8aea" hidden="1">#REF!</definedName>
    <definedName name="TB36844c9d_f083_4db9_93d6_005594985168" hidden="1">#REF!</definedName>
    <definedName name="TB36903759_9810_4351_9a15_7c39ac4f9c19" hidden="1">#REF!</definedName>
    <definedName name="TB3691f8d5_a5b7_4da5_8c02_26564e7763c4" hidden="1">#REF!</definedName>
    <definedName name="TB3692cf27_d628_429b_b11e_22ded44ef09d" hidden="1">#REF!</definedName>
    <definedName name="TB36c40ff2_eff4_4f11_b227_dbde306880db" hidden="1">#REF!</definedName>
    <definedName name="TB36c48e77_2c24_48f0_bf5e_5f0fa52ddba9" hidden="1">#REF!</definedName>
    <definedName name="TB36c7f502_23a6_41ce_a192_c9ca41467ba4" hidden="1">#REF!</definedName>
    <definedName name="TB36ca9fe6_1c6b_452a_b221_46b45268c032" hidden="1">#REF!</definedName>
    <definedName name="TB36ccdbb8_bb46_46ec_9dd4_9d2fec7a4204" hidden="1">#REF!</definedName>
    <definedName name="TB36ce19de_9c75_4fca_83b3_0739f549976d" hidden="1">#REF!</definedName>
    <definedName name="TB36d63e73_fd36_4885_9543_4881f4df25ad" hidden="1">#REF!</definedName>
    <definedName name="TB36dd7597_c1b9_4b02_8de4_025df67d30c1" hidden="1">#REF!</definedName>
    <definedName name="TB36de5593_58a6_4fdc_9ae0_41d2b2666efa" hidden="1">#REF!</definedName>
    <definedName name="TB36f33b3e_6d53_45e1_9e69_b871ef7f1f29" hidden="1">#REF!</definedName>
    <definedName name="TB3713c5aa_22fc_4952_8e46_a54aadd0386c" hidden="1">#REF!</definedName>
    <definedName name="TB3718fe82_4c4e_4e47_94cc_7bf9f9330757" hidden="1">#REF!</definedName>
    <definedName name="TB371921f0_8cab_48a7_a513_152f9886413d" hidden="1">#REF!</definedName>
    <definedName name="TB372a1827_bd83_42bd_8c5f_6fd889e82e78" hidden="1">#REF!</definedName>
    <definedName name="TB37333e5b_769f_4da5_9c30_24353845cb79" hidden="1">#REF!</definedName>
    <definedName name="TB37450f2d_d4c7_4597_8c4b_2002510fd19e" hidden="1">#REF!</definedName>
    <definedName name="TB3749365f_99cb_4596_ad11_7aa20e899c18" hidden="1">#REF!</definedName>
    <definedName name="TB374a876f_700e_4cd6_b063_338a8ad47742" hidden="1">#REF!</definedName>
    <definedName name="TB374b9c67_73bc_4563_8d48_37c853fd10f5" hidden="1">#REF!</definedName>
    <definedName name="TB374fc5fb_caab_4357_99b1_82856d9f5c8c" hidden="1">#REF!</definedName>
    <definedName name="TB3752865f_2475_4f0a_bcbc_55d4c4dbeba8" hidden="1">#REF!</definedName>
    <definedName name="TB37538b56_c685_4de6_8acd_84dc31d5eb9a" hidden="1">#REF!</definedName>
    <definedName name="TB3753e009_74f3_4d9c_a4e5_2514c33255b4" hidden="1">#REF!</definedName>
    <definedName name="TB3753ecc3_0161_434c_b47c_c632b9bd1d74" hidden="1">#REF!</definedName>
    <definedName name="TB3758b0e5_f899_40c6_97fa_f9f45a4274f5" hidden="1">#REF!</definedName>
    <definedName name="TB3785d799_f850_4359_a442_0a5eb12077b9" hidden="1">#REF!</definedName>
    <definedName name="TB378b987e_1c20_4355_b4c9_f6620ef8fa5f" hidden="1">#REF!</definedName>
    <definedName name="TB378e632c_0d9e_471e_8189_de10b8364eaa" hidden="1">#REF!</definedName>
    <definedName name="TB378f1263_646f_4430_83cb_af482bab6bb7" hidden="1">#REF!</definedName>
    <definedName name="TB37915e6a_1d0d_4f4a_8116_4cc333e2aab6" hidden="1">#REF!</definedName>
    <definedName name="TB37937cc3_516c_4547_a3d9_5047897f97c2" hidden="1">#REF!</definedName>
    <definedName name="TB379471ea_43ed_4e7c_90a4_a22ab3ac1d74" hidden="1">#REF!</definedName>
    <definedName name="TB3796a7fd_22cd_43e8_a76e_0988c2c8bb49" hidden="1">#REF!</definedName>
    <definedName name="TB379ed7fe_ef9e_49e8_9bac_fe95bed76e82" hidden="1">#REF!</definedName>
    <definedName name="TB37a0b759_fe2c_4aff_8af7_10acdb539b97" hidden="1">#REF!</definedName>
    <definedName name="TB37a7bf72_7e86_47ef_92ae_c1d19360e0cb" hidden="1">#REF!</definedName>
    <definedName name="TB37bd1dbc_7365_4d28_8df6_343318bfd707" hidden="1">#REF!</definedName>
    <definedName name="TB37c0a79c_ae04_4713_9207_64925e65de0a" hidden="1">#REF!</definedName>
    <definedName name="TB37d0167f_1d03_46fb_bf9e_258d59711649" hidden="1">#REF!</definedName>
    <definedName name="TB37d707e9_1114_4ac2_937e_5116e01cc780" hidden="1">#REF!</definedName>
    <definedName name="TB37f5013f_eb76_40ae_a4d1_05880d3e51c9" hidden="1">#REF!</definedName>
    <definedName name="TB37fbb43e_dec7_42e4_b819_5a5157fd47f1" hidden="1">#REF!</definedName>
    <definedName name="TB381bac83_609b_4efe_a757_8aa1271f17d2" hidden="1">#REF!</definedName>
    <definedName name="TB3825f431_c832_41b5_93d2_26cb771b0795" hidden="1">#REF!</definedName>
    <definedName name="TB382900bc_d9e2_41c7_9f03_383a8fae6357" hidden="1">#REF!</definedName>
    <definedName name="TB382edd86_4d78_4ff6_bc0e_e85568113a98" hidden="1">#REF!</definedName>
    <definedName name="TB38314541_5540_49b0_9678_1e8eb63d9d8a" hidden="1">#REF!</definedName>
    <definedName name="TB383770c1_d051_4385_ba90_5a210351aee5" hidden="1">#REF!</definedName>
    <definedName name="TB3839f719_ef02_4c9a_8ec6_02cc7087f988" hidden="1">#REF!</definedName>
    <definedName name="TB385233e7_c084_401c_8345_df311df9cc0e" hidden="1">#REF!</definedName>
    <definedName name="TB385503ea_17b8_45fc_84d3_23202635fe89" hidden="1">#REF!</definedName>
    <definedName name="TB385cac79_72b2_459b_b5fb_275edd68b220" hidden="1">#REF!</definedName>
    <definedName name="TB385d49de_1359_4b7e_bd1f_a0146cb68f23" hidden="1">#REF!</definedName>
    <definedName name="TB385e137f_4e2f_4bb7_bb51_91926bc3a214" hidden="1">#REF!</definedName>
    <definedName name="TB386517c0_ee64_4ac7_a975_3834fd7ff927" hidden="1">#REF!</definedName>
    <definedName name="TB38719b71_a014_40d4_a590_e3cb39d1fff3" hidden="1">#REF!</definedName>
    <definedName name="TB38841130_a47a_42fe_853c_db5ae93f87fd" hidden="1">#REF!</definedName>
    <definedName name="TB38884ad6_77be_4694_b441_48d68c7f2836" hidden="1">#REF!</definedName>
    <definedName name="TB3897a554_5060_409e_a86b_0266b30c2892" hidden="1">#REF!</definedName>
    <definedName name="TB38a3a8c1_0942_4514_af2e_9d80ffc9775f" hidden="1">#REF!</definedName>
    <definedName name="TB38a6d726_d7d5_48b3_8d52_c51ecbbfd921" hidden="1">#REF!</definedName>
    <definedName name="TB38abaf11_bba4_423e_a6ef_9ffb061e16b8" hidden="1">#REF!</definedName>
    <definedName name="TB38b0a269_897f_4cfd_9770_e42df3c24c79" hidden="1">#REF!</definedName>
    <definedName name="TB38b556b1_535f_4a84_ac9f_1aa12543979e" hidden="1">#REF!</definedName>
    <definedName name="TB38b9c0c9_455e_4488_93a6_5c4b45c916d6" hidden="1">#REF!</definedName>
    <definedName name="TB38bd3187_3fcf_4dbb_b945_fa0f21eb1221" hidden="1">#REF!</definedName>
    <definedName name="TB38c68c95_e416_4b38_bd19_b09049d67044" hidden="1">#REF!</definedName>
    <definedName name="TB38c814f5_705d_4a45_92b1_ab6baf7ecf07" hidden="1">#REF!</definedName>
    <definedName name="TB38cf7b94_82a1_4319_bc77_6d6b5618f684" hidden="1">#REF!</definedName>
    <definedName name="TB38d0d0e7_2dd8_41d3_bcd6_e91b60f1c835" hidden="1">#REF!</definedName>
    <definedName name="TB38e2db9d_372c_48bc_aafa_df001b6d7fb4" hidden="1">#REF!</definedName>
    <definedName name="TB38e3d2f3_c57a_4343_99a4_8b3c82b1f17d" hidden="1">#REF!</definedName>
    <definedName name="TB38ea7508_b929_4a7b_a5f2_6ff121dbe003" hidden="1">#REF!</definedName>
    <definedName name="TB38fffab6_8bf1_4ed9_9790_bd67d5944b1a" hidden="1">#REF!</definedName>
    <definedName name="TB390da392_d2f0_41aa_9083_03edcfe41b22" hidden="1">#REF!</definedName>
    <definedName name="TB390de57b_9886_49f8_b519_a23091df1756" hidden="1">#REF!</definedName>
    <definedName name="TB3914f8e0_9516_4591_bfa0_e89ac6d0edb8" hidden="1">#REF!</definedName>
    <definedName name="TB3914fc05_95b6_4ccb_84c7_1e4095fccd97" hidden="1">#REF!</definedName>
    <definedName name="TB391632be_1fd8_4db4_8ccd_f7cb219425b2" hidden="1">#REF!</definedName>
    <definedName name="TB391c9ee0_153e_446f_a505_4bdafa0468c6" hidden="1">#REF!</definedName>
    <definedName name="TB3935f534_ef2f_423c_8c4d_28596ec741f8" hidden="1">#REF!</definedName>
    <definedName name="TB394a1678_dc44_499a_ab15_d5d6f40a658a" hidden="1">#REF!</definedName>
    <definedName name="TB394a41e2_f324_491a_896e_053f3d6c35c5" hidden="1">#REF!</definedName>
    <definedName name="TB39520c58_5ee1_4e42_be39_5ea3b69d4987" hidden="1">#REF!</definedName>
    <definedName name="TB39554499_7328_41ef_bc1c_eaadd4d2e9b3" hidden="1">#REF!</definedName>
    <definedName name="TB39570714_1994_4057_b497_8fee7e9501c8" hidden="1">#REF!</definedName>
    <definedName name="TB396053cc_16b4_48ed_a3ac_5d16739d5266" hidden="1">#REF!</definedName>
    <definedName name="TB3960ba39_c4a9_4617_85cb_9daa5539f474" hidden="1">#REF!</definedName>
    <definedName name="TB3960e7df_64cf_4cbe_be06_df878b65b42e" hidden="1">#REF!</definedName>
    <definedName name="TB39687b58_8e99_40fe_b44a_469336024fda" hidden="1">#REF!</definedName>
    <definedName name="TB396f1a7f_dea9_4099_839a_7fa9306636bd" hidden="1">#REF!</definedName>
    <definedName name="TB3976be2d_46b2_4ea5_9ad7_492555be702d" hidden="1">#REF!</definedName>
    <definedName name="TB3977b863_7723_4caf_a116_6596a5edb67c" hidden="1">#REF!</definedName>
    <definedName name="TB397b51e0_c7f1_48ea_946b_4387b14357b4" hidden="1">#REF!</definedName>
    <definedName name="TB397cc69c_392e_4ba1_b8e8_66b84d40c4d7" hidden="1">#REF!</definedName>
    <definedName name="TB39849c1a_f4d8_4ad5_8213_33566912779c" hidden="1">#REF!</definedName>
    <definedName name="TB39887ffa_51f6_40da_b42e_ce86ca8ec75d" hidden="1">#REF!</definedName>
    <definedName name="TB398c77e2_aac3_4990_a4bc_b5180cd3d2c2" hidden="1">#REF!</definedName>
    <definedName name="TB3990b71d_cae0_4363_8cf6_cd1f9c51c472" hidden="1">#REF!</definedName>
    <definedName name="TB399bed29_7c7c_4e70_885c_0242e8b58b7f" hidden="1">#REF!</definedName>
    <definedName name="TB39c45e6f_fc90_4246_add4_5d53731ae12d" hidden="1">#REF!</definedName>
    <definedName name="TB39c8426a_e984_4911_9905_d374bccdfdf2" hidden="1">#REF!</definedName>
    <definedName name="TB39d1f617_19eb_4f03_8bbd_ba2b78ba7728" hidden="1">#REF!</definedName>
    <definedName name="TB39d6fb21_4119_4357_aedc_947f239085df" hidden="1">#REF!</definedName>
    <definedName name="TB39d867ac_b2db_457c_86a6_599fd07b6d65" hidden="1">#REF!</definedName>
    <definedName name="TB39daf455_43fc_4e80_a7c3_51b7862a6b41" hidden="1">#REF!</definedName>
    <definedName name="TB39e4aa07_e656_4e85_a927_ffe6a2c10973" hidden="1">#REF!</definedName>
    <definedName name="TB39ef2008_1ce5_4856_84bb_487659f5764e" hidden="1">#REF!</definedName>
    <definedName name="TB39f17317_fe7f_4c04_86eb_92381f72eee5" hidden="1">#REF!</definedName>
    <definedName name="TB39fc1fb6_c7cb_4773_b4bf_0029f7e18d6d" hidden="1">#REF!</definedName>
    <definedName name="TB3a0d2e81_a225_4c03_9900_eb063b465b2c" hidden="1">#REF!</definedName>
    <definedName name="TB3a0eba83_4710_4aef_847c_9388de30c9d7" hidden="1">#REF!</definedName>
    <definedName name="TB3a16f751_b56b_4e9a_b1ad_eb0373475b70" hidden="1">#REF!</definedName>
    <definedName name="TB3a2645a7_0a69_4c9c_85b8_fbc51d15843d" hidden="1">#REF!</definedName>
    <definedName name="TB3a264931_89da_4a5a_adea_77686f09662e" hidden="1">#REF!</definedName>
    <definedName name="TB3a2652e3_c8b0_4116_8095_608cba4d8ad5" hidden="1">#REF!</definedName>
    <definedName name="TB3a2a5cc7_aa30_4dab_ab63_95d18a0ca8af" hidden="1">#REF!</definedName>
    <definedName name="TB3a4e4a5b_5cc9_4cd5_8003_64c9a24f52eb" hidden="1">#REF!</definedName>
    <definedName name="TB3a4fdd15_d139_4286_b3bb_791704395493" hidden="1">#REF!</definedName>
    <definedName name="TB3a51a6dd_9729_4f4f_9ae8_98124969ddbd" hidden="1">#REF!</definedName>
    <definedName name="TB3a52c754_a7f2_40f2_a73f_c387dc136770" hidden="1">#REF!</definedName>
    <definedName name="TB3a55653d_4d3a_4b27_a37e_ef3e1fbddca6" hidden="1">#REF!</definedName>
    <definedName name="TB3a57ed69_f01d_409b_956b_63b8f33656cd" hidden="1">#REF!</definedName>
    <definedName name="TB3a6000a3_b057_43ad_a1e0_0f00746472cc" hidden="1">#REF!</definedName>
    <definedName name="TB3a6c1c3d_8d24_4562_be4d_cbccb06c9adb" hidden="1">#REF!</definedName>
    <definedName name="TB3a6ea300_f06d_449b_a8f4_507743f9977d" hidden="1">#REF!</definedName>
    <definedName name="TB3a91355b_e876_4dba_a894_0e9d5ef1671c" hidden="1">#REF!</definedName>
    <definedName name="TB3a9a7960_c07d_4ca9_9dcb_97e1f7b53abd" hidden="1">#REF!</definedName>
    <definedName name="TB3abd9b9c_3319_4131_987a_286375d34e13" hidden="1">#REF!</definedName>
    <definedName name="TB3ac46b9f_65cd_4ae9_bbda_bbd5fa353ecb" hidden="1">#REF!</definedName>
    <definedName name="TB3ac75c72_e46c_40ea_82f3_cdcae5b84072" hidden="1">#REF!</definedName>
    <definedName name="TB3accecbf_2fea_4392_acf8_17eb6d43f72a" hidden="1">#REF!</definedName>
    <definedName name="TB3acf7ec1_8181_4745_8589_e294c1b5b050" hidden="1">#REF!</definedName>
    <definedName name="TB3adafa9c_8690_4a04_b6f0_56f7d24d0c64" hidden="1">#REF!</definedName>
    <definedName name="TB3adfe60e_1b18_4eb4_a1e7_e0e98a69334c" hidden="1">#REF!</definedName>
    <definedName name="TB3aeb7abd_8ce1_4bc1_be9f_0338dceaae02" hidden="1">#REF!</definedName>
    <definedName name="TB3aff592e_bfd6_4043_bff4_f6f6992c2f39" hidden="1">#REF!</definedName>
    <definedName name="TB3b0241d8_31fb_4f5e_a3f7_96870fbcf2e4" hidden="1">#REF!</definedName>
    <definedName name="TB3b0c1288_7516_4b3e_811e_e65f43dc471c" hidden="1">#REF!</definedName>
    <definedName name="TB3b1903c8_fff4_49a1_b951_24e6e00d4f3a" hidden="1">#REF!</definedName>
    <definedName name="TB3b1b483e_59d9_4c9f_9cd8_e0b5a07bc0da" hidden="1">#REF!</definedName>
    <definedName name="TB3b1bffd7_f6e7_4ba1_9e72_6f0be836bacc" hidden="1">#REF!</definedName>
    <definedName name="TB3b1c9de7_2e8c_4118_bdfc_57896ad81468" hidden="1">#REF!</definedName>
    <definedName name="TB3b35adb3_695a_45cb_b536_6d0bc9d67e0e" hidden="1">#REF!</definedName>
    <definedName name="TB3b3b25b5_e6ea_4dd3_b3b8_7a24e3834404" hidden="1">#REF!</definedName>
    <definedName name="TB3b3d1017_d405_448b_9339_1f265b40d756" hidden="1">#REF!</definedName>
    <definedName name="TB3b3e963e_a51d_4743_bf1e_c686cea60930" hidden="1">#REF!</definedName>
    <definedName name="TB3b465381_2db9_457f_b7ec_01b265368c79" hidden="1">#REF!</definedName>
    <definedName name="TB3b53275d_bfe8_4e69_bf02_2ff023aff4fe" hidden="1">#REF!</definedName>
    <definedName name="TB3b5394d9_a903_4a3d_aed7_d269f145a9eb" hidden="1">#REF!</definedName>
    <definedName name="TB3b545189_d85c_49dc_b463_f0cdb7f651aa" hidden="1">#REF!</definedName>
    <definedName name="TB3b56b321_4ef0_4b1e_a912_17bb80b53c6e" hidden="1">#REF!</definedName>
    <definedName name="TB3b5dffc3_d4ca_4dc7_b08e_b539ded873d0" hidden="1">#REF!</definedName>
    <definedName name="TB3b625343_3261_4e61_aa0b_87a7a7859470" hidden="1">#REF!</definedName>
    <definedName name="TB3b6ba2b3_1c00_4b00_94dd_00bb91017e97" hidden="1">#REF!</definedName>
    <definedName name="TB3b6d5a58_80dd_48f8_a962_ccd88ff00239" hidden="1">#REF!</definedName>
    <definedName name="TB3b71c16e_07b8_4930_8350_fa006254cb19" hidden="1">#REF!</definedName>
    <definedName name="TB3b76acc8_ba20_4923_93d5_cc2d17e2c88e" hidden="1">#REF!</definedName>
    <definedName name="TB3b7b6680_5512_4727_8058_9e0d6a4bce71" hidden="1">#REF!</definedName>
    <definedName name="TB3b8b8113_c6ef_41b1_a849_7cb9e27d1a01" hidden="1">#REF!</definedName>
    <definedName name="TB3b8d50e4_4875_4ea2_9613_d89ff58f2795" hidden="1">#REF!</definedName>
    <definedName name="TB3b8ff190_af45_4218_9e5d_c61e77b0ff64" hidden="1">#REF!</definedName>
    <definedName name="TB3ba11c1b_b0e4_422c_8240_02b70a4c776d" hidden="1">#REF!</definedName>
    <definedName name="TB3bb0b125_008f_43d6_871d_a2d895720559" hidden="1">#REF!</definedName>
    <definedName name="TB3bb18206_da5d_4e54_a726_67cbef5d0b0f" hidden="1">#REF!</definedName>
    <definedName name="TB3bba0408_8e0b_478e_b5ad_4a289182db5f" hidden="1">#REF!</definedName>
    <definedName name="TB3bc390ab_4068_47a3_a0c0_8419d34b2390" hidden="1">#REF!</definedName>
    <definedName name="TB3bd2ec7d_2083_4f24_ba12_4b7205fde483" hidden="1">#REF!</definedName>
    <definedName name="TB3bd7ebd0_99d2_43a4_ae10_f8c310d0461f" hidden="1">#REF!</definedName>
    <definedName name="TB3bf03c90_6fd7_4cc7_92c8_d048857862d9" hidden="1">#REF!</definedName>
    <definedName name="TB3bf462b9_9524_43eb_aceb_8281caca8688" hidden="1">#REF!</definedName>
    <definedName name="TB3bf4aa5a_d006_4e58_90cc_39d64b0f367e" hidden="1">#REF!</definedName>
    <definedName name="TB3c0748a1_50f0_4b1c_877b_b5ff02a6b9db" hidden="1">#REF!</definedName>
    <definedName name="TB3c09bfc7_e982_46c3_9635_f7f707c533e7" hidden="1">#REF!</definedName>
    <definedName name="TB3c09e0ab_60ed_40e0_b92a_a8d06f2fb4fc" hidden="1">#REF!</definedName>
    <definedName name="TB3c15064c_5fd9_472e_80c8_1c04ecb6a3a5" hidden="1">#REF!</definedName>
    <definedName name="TB3c167ebf_50d4_4e47_b1b1_b5656597de15" hidden="1">#REF!</definedName>
    <definedName name="TB3c1ab739_ff15_46ca_aa26_50c884e98d6d" hidden="1">#REF!</definedName>
    <definedName name="TB3c1ddcb6_6f9a_45a9_a049_0cd0c567e3d8" hidden="1">#REF!</definedName>
    <definedName name="TB3c252d6b_1c46_41cc_808f_5fa0b0b3e89e" hidden="1">#REF!</definedName>
    <definedName name="TB3c28e095_eb50_4737_b9fb_6a15539846b5" hidden="1">#REF!</definedName>
    <definedName name="TB3c2a7a28_3cd4_4cbb_a934_f562ec348430" hidden="1">#REF!</definedName>
    <definedName name="TB3c2bd64b_ab2b_448e_83a3_2bbf3639ab2f" hidden="1">#REF!</definedName>
    <definedName name="TB3c3850d0_56f3_4601_a764_4f7635670ac6" hidden="1">#REF!</definedName>
    <definedName name="TB3c3b5065_fb58_4cd4_b496_9ea2ce3b7e80" hidden="1">#REF!</definedName>
    <definedName name="TB3c4ff5c7_5c8a_4895_822d_13f0b6426284" hidden="1">#REF!</definedName>
    <definedName name="TB3c5624cb_26d4_4c09_888f_642dba0a360f" hidden="1">#REF!</definedName>
    <definedName name="TB3c58f4ad_b5d4_4e88_a59f_095f06f8b530" hidden="1">#REF!</definedName>
    <definedName name="TB3c5f798b_7734_4143_a7f5_9b9510b64885" hidden="1">#REF!</definedName>
    <definedName name="TB3c7764fb_d092_4050_84c9_a202f257093e" hidden="1">#REF!</definedName>
    <definedName name="TB3c78c88e_48f6_41fd_b1ba_2bfaa277a445" hidden="1">#REF!</definedName>
    <definedName name="TB3c79665d_d069_4ea7_ac78_a4f633fb493a" hidden="1">#REF!</definedName>
    <definedName name="TB3c816dcb_aa85_473c_bde8_ad127097086f" hidden="1">#REF!</definedName>
    <definedName name="TB3c97161b_db8f_4575_8fd3_c60dce62d864" hidden="1">#REF!</definedName>
    <definedName name="TB3ca36b03_25cd_4430_b9de_e477745586de" hidden="1">#REF!</definedName>
    <definedName name="TB3cbb6956_23d9_4424_9b1d_da1a520c7c46" hidden="1">#REF!</definedName>
    <definedName name="TB3cbc6c02_0eb0_4110_b7d9_84558a844351" hidden="1">#REF!</definedName>
    <definedName name="TB3cc3c88f_0928_445d_aca6_e362fb0df53f" hidden="1">#REF!</definedName>
    <definedName name="TB3ccb9c30_4c3d_48f5_bc25_601bf1e06997" hidden="1">#REF!</definedName>
    <definedName name="TB3ce00117_85a5_4d48_8cd1_3cb165c945ec" hidden="1">#REF!</definedName>
    <definedName name="TB3ce20a45_3de3_4ea0_b6ec_5c3cbd335665" hidden="1">#REF!</definedName>
    <definedName name="TB3ce7a501_dbf9_4a96_bd3b_9fb3872f2f41" hidden="1">#REF!</definedName>
    <definedName name="TB3cec3992_f73e_4034_9362_a0bb43550f98" hidden="1">#REF!</definedName>
    <definedName name="TB3cf727f2_f8b3_4798_9f83_fa7cd3215346" hidden="1">#REF!</definedName>
    <definedName name="TB3cf822d4_7e8d_45d3_ba7a_fb74e32d355a" hidden="1">#REF!</definedName>
    <definedName name="TB3cfe4b16_b781_47f0_9c2d_bc01831a8d35" hidden="1">#REF!</definedName>
    <definedName name="TB3cff0b42_ec04_445f_8ee4_d5e4059f86f5" hidden="1">#REF!</definedName>
    <definedName name="TB3d08477c_3bc6_458e_8d42_8aeb0cae4757" hidden="1">#REF!</definedName>
    <definedName name="TB3d0bf110_4fe3_478e_b196_a57b9a5092cf" hidden="1">#REF!</definedName>
    <definedName name="TB3d160f02_2030_4b8b_89e8_6c9a866f358f" hidden="1">#REF!</definedName>
    <definedName name="TB3d17b76b_a784_494a_97bf_7593eca93672" hidden="1">#REF!</definedName>
    <definedName name="TB3d1d1b25_eefc_4795_a340_a69eff8ab1d9" hidden="1">#REF!</definedName>
    <definedName name="TB3d35f8ea_467f_4b2b_b4b2_b11972868bf4" hidden="1">#REF!</definedName>
    <definedName name="TB3d38e744_b0a1_4365_b3d5_3524e7d9cddc" hidden="1">#REF!</definedName>
    <definedName name="TB3d3e1d0b_bd4c_46b9_b9df_d2f93a305f91" hidden="1">#REF!</definedName>
    <definedName name="TB3d46ee53_7c17_4eba_82cd_b6f226f0adaf" hidden="1">#REF!</definedName>
    <definedName name="TB3d48ec30_c6a6_4794_8afc_85b372ebd567" hidden="1">#REF!</definedName>
    <definedName name="TB3d671a64_8859_45df_9ae9_fc8430fee4dc" hidden="1">#REF!</definedName>
    <definedName name="TB3d72a67a_30ba_4758_a410_cd683e49f6c9" hidden="1">#REF!</definedName>
    <definedName name="TB3d831bca_f52c_4556_a5f8_de2ab72fda30" hidden="1">#REF!</definedName>
    <definedName name="TB3d9c2fc7_ff9a_47dd_96fc_1cc95ca02f1b" hidden="1">#REF!</definedName>
    <definedName name="TB3da08b3c_4232_4358_882c_ae69d53cb8c1" hidden="1">#REF!</definedName>
    <definedName name="TB3da37f06_246f_48e0_b06a_ab93817ac4d7" hidden="1">#REF!</definedName>
    <definedName name="TB3da6de97_f140_4712_b9ca_b7687e30991b" hidden="1">#REF!</definedName>
    <definedName name="TB3dbbc7b5_325b_463f_ae9f_660ca59c0a23" hidden="1">#REF!</definedName>
    <definedName name="TB3dca305e_0ccb_4aed_ac79_a5dff4b052b3" hidden="1">#REF!</definedName>
    <definedName name="TB3dd32f2d_d966_47ef_adb7_ccced5c06942" hidden="1">#REF!</definedName>
    <definedName name="TB3dd387cd_fed8_470b_83dc_b21a04e900f7" hidden="1">#REF!</definedName>
    <definedName name="TB3ddd863e_e306_48ab_b001_25a342d44fd5" hidden="1">#REF!</definedName>
    <definedName name="TB3de47c9f_584a_42ac_a60a_3cb3090b4428" hidden="1">#REF!</definedName>
    <definedName name="TB3dfa6824_ea2a_45c7_9871_3a61d237e114" hidden="1">#REF!</definedName>
    <definedName name="TB3e03607f_93bc_47e3_867b_7e317f66ac3a" hidden="1">#REF!</definedName>
    <definedName name="TB3e07958c_6bee_4df4_97e7_ec6c89ed8e8a" hidden="1">#REF!</definedName>
    <definedName name="TB3e0d851c_774c_4637_b6fc_b3f7777a1291" hidden="1">#REF!</definedName>
    <definedName name="TB3e13c0f1_49b9_4ab6_ab3f_22b1e3257c48" hidden="1">#REF!</definedName>
    <definedName name="TB3e15c3d0_09ad_4388_923f_e0d0e00d6f91" hidden="1">#REF!</definedName>
    <definedName name="TB3e1cec64_2f83_4a1f_a2e0_41674c516091" hidden="1">#REF!</definedName>
    <definedName name="TB3e258b2a_11a2_4499_b770_83eb13c289cc" hidden="1">#REF!</definedName>
    <definedName name="TB3e274674_a21e_40b6_bfd3_7a9c4773fbe4" hidden="1">#REF!</definedName>
    <definedName name="TB3e2ebebc_a649_4cd4_a342_d4553e34326a" hidden="1">#REF!</definedName>
    <definedName name="TB3e2ed318_38f8_44a1_a0d2_55bb48a48c7e" hidden="1">#REF!</definedName>
    <definedName name="TB3e3457d2_98a0_41ff_b4b2_09c560f881a0" hidden="1">#REF!</definedName>
    <definedName name="TB3e35ae84_9f6c_45d5_ad7f_2853455c22de" hidden="1">#REF!</definedName>
    <definedName name="TB3e3dbf96_2889_4d88_bdce_9dafac0350f5" hidden="1">#REF!</definedName>
    <definedName name="TB3e4501c6_f19b_48ca_a7c3_9d552afa9c2a" hidden="1">#REF!</definedName>
    <definedName name="TB3e4e172d_c2ab_4165_b236_32210b222419" hidden="1">#REF!</definedName>
    <definedName name="TB3e520740_dd13_4409_99d1_0618200283b0" hidden="1">#REF!</definedName>
    <definedName name="TB3e53950c_d7ea_4b47_9b50_2b38bda9b67d" hidden="1">#REF!</definedName>
    <definedName name="TB3e56e88d_99a5_44e3_a636_cf97391e72c5" hidden="1">#REF!</definedName>
    <definedName name="TB3e58f4d3_c19d_43be_b0f3_4e1d287a2d4a" hidden="1">#REF!</definedName>
    <definedName name="TB3e6bc200_e734_40e9_853f_a39e51350792" hidden="1">#REF!</definedName>
    <definedName name="TB3e78048a_dbc0_4bce_9ba1_cf3398fc9382" hidden="1">#REF!</definedName>
    <definedName name="TB3e7b287d_5785_4d96_a7f8_9c1fa60d14d7" hidden="1">#REF!</definedName>
    <definedName name="TB3e88bb4f_558b_4ec1_baf7_21a95dbe09e9" hidden="1">#REF!</definedName>
    <definedName name="TB3e8ab268_0ccc_46d5_8398_cadd7082996d" hidden="1">#REF!</definedName>
    <definedName name="TB3eb634fe_ceac_4185_86e0_ae3421599ca3" hidden="1">#REF!</definedName>
    <definedName name="TB3ebc7fc0_4365_4e6c_b800_d7d002bec7ff" hidden="1">#REF!</definedName>
    <definedName name="TB3ec2da3e_ee99_46f2_a894_9f7bfe873023" hidden="1">#REF!</definedName>
    <definedName name="TB3ec361d6_cc77_4f59_b5b4_abb1916e2697" hidden="1">#REF!</definedName>
    <definedName name="TB3ecd3691_55bf_4fa9_8cf2_a2abe39c8f4a" hidden="1">#REF!</definedName>
    <definedName name="TB3ed174ca_b7c1_42b5_b6ff_c3cebdd218b6" hidden="1">#REF!</definedName>
    <definedName name="TB3ee5bacd_2885_48fd_a8e0_2e56f45eb24b" hidden="1">#REF!</definedName>
    <definedName name="TB3ef673a8_33fb_44be_b82e_9a8ac724ff79" hidden="1">#REF!</definedName>
    <definedName name="TB3f01da65_9291_45ef_88d4_899fdecd4d0a" hidden="1">#REF!</definedName>
    <definedName name="TB3f0b7a4c_1e78_4c82_a911_dd9269fd0402" hidden="1">#REF!</definedName>
    <definedName name="TB3f297bac_530e_40a8_abd7_83367418a140" hidden="1">#REF!</definedName>
    <definedName name="TB3f2f0a6c_9db4_4e60_a037_c9491f3dfb6c" hidden="1">#REF!</definedName>
    <definedName name="TB3f34a17d_8bf1_47a3_8588_fce43d743a4b" hidden="1">#REF!</definedName>
    <definedName name="TB3f36c48c_c84a_46e0_9bfb_3eeea503dff2" hidden="1">#REF!</definedName>
    <definedName name="TB3f396c73_a18a_47dd_800e_0113d1cc599a" hidden="1">#REF!</definedName>
    <definedName name="TB3f45245c_2a6e_4055_816c_0d61658943f9" hidden="1">#REF!</definedName>
    <definedName name="TB3f6d7695_c45a_4357_a0fe_ab6395573878" hidden="1">#REF!</definedName>
    <definedName name="TB3f6ff0af_2a2d_4157_b1fd_6f3246d57297" hidden="1">#REF!</definedName>
    <definedName name="TB3f7a7b32_e0dc_4973_bf01_3d2e7c3a36f0" hidden="1">#REF!</definedName>
    <definedName name="TB3f848ff7_699f_458d_9500_0dac0caa7790" hidden="1">#REF!</definedName>
    <definedName name="TB3f8837c0_f37c_48b4_9b87_e609c9af06ba" hidden="1">#REF!</definedName>
    <definedName name="TB3f89af9a_cb7c_4c93_82ee_210413a3ab98" hidden="1">#REF!</definedName>
    <definedName name="TB3f8c44ce_37fc_42bb_bd77_915a7f13a484" hidden="1">#REF!</definedName>
    <definedName name="TB3f9effbe_6667_4441_97e5_25fe3a59c4cd" hidden="1">#REF!</definedName>
    <definedName name="TB3fda5c6b_4c8a_4748_868c_30299366ad91" hidden="1">#REF!</definedName>
    <definedName name="TB3fdcf570_7cf1_42c3_9b7c_c30b0b2b45bb" hidden="1">#REF!</definedName>
    <definedName name="TB3ff345fe_e9e9_4556_ae83_655b0b21db47" hidden="1">#REF!</definedName>
    <definedName name="TB3ff4ee3b_6e33_4528_b6cc_89bd698fb748" hidden="1">#REF!</definedName>
    <definedName name="TB3ff76ae6_7c24_431e_8974_e2a7d7475a69" hidden="1">#REF!</definedName>
    <definedName name="TB401459a3_19e1_49d1_a6cd_e0ac6a78269f" hidden="1">#REF!</definedName>
    <definedName name="TB40181dc8_9042_454c_9e40_0fe836d720f8" hidden="1">#REF!</definedName>
    <definedName name="TB401b1d0e_95b0_4e2c_84ff_9b972abd957c" hidden="1">#REF!</definedName>
    <definedName name="TB402953c4_20e0_4e38_b0dc_3892eae94b6f" hidden="1">#REF!</definedName>
    <definedName name="TB4033ceba_9ab1_418f_af66_bf8cd80b3842" hidden="1">#REF!</definedName>
    <definedName name="TB403907d7_c40a_4e0d_9077_07a3466ecd0f" hidden="1">#REF!</definedName>
    <definedName name="TB403eebb0_4967_498f_81c5_cff8497c6f92" hidden="1">#REF!</definedName>
    <definedName name="TB4041d8cd_e39d_4a33_9ffe_ea1881945ccc" hidden="1">#REF!</definedName>
    <definedName name="TB4043872d_1c2a_4ccb_a437_dbc391359a21" hidden="1">#REF!</definedName>
    <definedName name="TB40489beb_b922_4f55_8186_0f686fae2d87" hidden="1">#REF!</definedName>
    <definedName name="TB406df0ea_8cf8_4d3d_9780_b12ca8db2e1f" hidden="1">#REF!</definedName>
    <definedName name="TB408517ee_c5f6_4424_810c_743da6224534" hidden="1">#REF!</definedName>
    <definedName name="TB4086f2aa_2e1a_4a1b_89bd_f2e2137a31b7" hidden="1">#REF!</definedName>
    <definedName name="TB409e4532_fbf5_4d84_b057_1c150eecbe2f" hidden="1">#REF!</definedName>
    <definedName name="TB40a2a839_c28a_4997_9868_60f4fef67d7b" hidden="1">#REF!</definedName>
    <definedName name="TB40a97391_fe05_4738_8afb_3bd649c3965e" hidden="1">#REF!</definedName>
    <definedName name="TB40b5c1d3_970d_4c76_9fc2_fa46dcbe322e" hidden="1">#REF!</definedName>
    <definedName name="TB40b694b7_8165_49d8_9125_0c22e03d0fbf" hidden="1">#REF!</definedName>
    <definedName name="TB40d21d02_7916_40b5_a8ef_9da284915d00" hidden="1">#REF!</definedName>
    <definedName name="TB40d23f7a_6907_47d1_832c_1696f34e4dc9" hidden="1">#REF!</definedName>
    <definedName name="TB40d2e883_82e7_45f6_9981_2114db648490" hidden="1">#REF!</definedName>
    <definedName name="TB40d533df_c673_4b54_b648_b0502c695fe2" hidden="1">#REF!</definedName>
    <definedName name="TB40df11c3_4f0b_4ff3_92b7_c0405192804a" hidden="1">#REF!</definedName>
    <definedName name="TB40f88267_74c5_40f1_ae3c_3ba084ffe592" hidden="1">#REF!</definedName>
    <definedName name="TB41003766_1da3_42b4_a5ff_1cd0db4c6312" hidden="1">#REF!</definedName>
    <definedName name="TB411aa22c_23f7_43ca_9d8f_0d6e2f73b553" hidden="1">#REF!</definedName>
    <definedName name="TB411baa36_8b29_4e20_aea6_2422241d91a8" hidden="1">#REF!</definedName>
    <definedName name="TB411c58db_42d5_47d1_8c71_1783c91ebde8" hidden="1">#REF!</definedName>
    <definedName name="TB411db0bd_f945_4afd_8636_1a17a05e6d77" hidden="1">#REF!</definedName>
    <definedName name="TB4130055c_5c9e_4dc4_8822_3fe953c6e9b2" hidden="1">#REF!</definedName>
    <definedName name="TB413443cd_2afe_4f8c_9c32_d01c2d359f36" hidden="1">#REF!</definedName>
    <definedName name="TB413e0e64_28c7_48bc_be72_f95aafc4699b" hidden="1">#REF!</definedName>
    <definedName name="TB413fac31_4eaf_4316_b1e0_bf6e8ac63d38" hidden="1">#REF!</definedName>
    <definedName name="TB414998c3_8849_46e0_a86a_105dd8879d75" hidden="1">#REF!</definedName>
    <definedName name="TB414c554f_be49_4e7b_9c70_51e04d31a83b" hidden="1">#REF!</definedName>
    <definedName name="TB4151a0ea_facb_4477_ad1a_537721cc9c40" hidden="1">#REF!</definedName>
    <definedName name="TB41685cb9_6dd0_4cf9_bc7a_dee9649589ee" hidden="1">#REF!</definedName>
    <definedName name="TB41750460_44dc_4f0e_b566_57f222e3001f" hidden="1">#REF!</definedName>
    <definedName name="TB4184aa3a_3e67_472b_9a7f_5e70a6731dc0" hidden="1">#REF!</definedName>
    <definedName name="TB4192e4e7_b9d8_4326_9a7d_7e9ef81c72b4" hidden="1">#REF!</definedName>
    <definedName name="TB41952eea_0da8_4ea7_962b_592a383c0227" hidden="1">#REF!</definedName>
    <definedName name="TB4195b182_a6e9_4293_b348_3533d253bf68" hidden="1">#REF!</definedName>
    <definedName name="TB419c4167_ae6a_4baa_9077_859205d70cec" hidden="1">#REF!</definedName>
    <definedName name="TB41a1fb2e_7979_44ec_9c74_696aad6ac56f" hidden="1">#REF!</definedName>
    <definedName name="TB41a7e2a9_e1dc_436e_8f8e_95f842a50278" hidden="1">#REF!</definedName>
    <definedName name="TB41ade43f_5777_491d_aa17_96d2df0b22f2" hidden="1">#REF!</definedName>
    <definedName name="TB41ae01f9_2b99_4e22_9e9a_114d7fde497b" hidden="1">#REF!</definedName>
    <definedName name="TB41baa5d0_6ee8_453f_879c_180974ddf51a" hidden="1">#REF!</definedName>
    <definedName name="TB41d1b1d2_bedf_46e7_9f5c_e4150b70f85f" hidden="1">#REF!</definedName>
    <definedName name="TB41d2dbce_5aba_4a4b_b83f_38d86be2c61f" hidden="1">#REF!</definedName>
    <definedName name="TB41d401e2_b95e_472e_8cea_f4c991d1850f" hidden="1">#REF!</definedName>
    <definedName name="TB41dac2bd_c4af_47c4_8b71_fb38c31747b4" hidden="1">#REF!</definedName>
    <definedName name="TB41dfd394_659d_4c53_8215_8feec602dda8" hidden="1">#REF!</definedName>
    <definedName name="TB41e9f778_db2d_4a97_ac17_304f06544823" hidden="1">#REF!</definedName>
    <definedName name="TB41eea254_b6bc_4fa9_8dfb_5b0339f38163" hidden="1">#REF!</definedName>
    <definedName name="TB41f8d775_7f88_4e75_94e5_3b8e7466ffc8" hidden="1">#REF!</definedName>
    <definedName name="TB4201bf8e_0f67_4e0f_9f47_0d93d52ff215" hidden="1">#REF!</definedName>
    <definedName name="TB420ba579_58a1_4fa2_8a4a_9983f973556d" hidden="1">#REF!</definedName>
    <definedName name="TB420d8978_cd32_4740_9ae4_cc355351e79e" hidden="1">#REF!</definedName>
    <definedName name="TB42134839_26e1_44d6_9a98_aa06d2d877d7" hidden="1">#REF!</definedName>
    <definedName name="TB4220ea95_a317_4436_ab53_3c8be1f44d41" hidden="1">#REF!</definedName>
    <definedName name="TB42249bea_e06b_4976_9a15_3c89e61d4b21" hidden="1">#REF!</definedName>
    <definedName name="TB42258c72_1e6d_4f19_8575_cbc32bfee7cd" hidden="1">#REF!</definedName>
    <definedName name="TB4225a4f1_6c91_46a9_b6d9_c09899635a5b" hidden="1">#REF!</definedName>
    <definedName name="TB422e266e_efc3_4acb_a9db_7a88976f0fe1" hidden="1">#REF!</definedName>
    <definedName name="TB4230e509_4858_46e9_bef4_627f39dbf7bc" hidden="1">#REF!</definedName>
    <definedName name="TB42391170_b43e_43da_9003_3a6feeaadaaf" hidden="1">#REF!</definedName>
    <definedName name="TB4240cd69_a9cc_4f2d_9bee_67e82c19b62b" hidden="1">#REF!</definedName>
    <definedName name="TB42578466_1f7a_417d_9340_cb410a63b49b" hidden="1">#REF!</definedName>
    <definedName name="TB425eca40_8cc6_45bb_aabd_06883818775b" hidden="1">#REF!</definedName>
    <definedName name="TB4260667e_9f38_40f9_a181_cb8cc9c53214" hidden="1">#REF!</definedName>
    <definedName name="TB4263f2fc_909a_4175_a144_6930a98ab1cb" hidden="1">#REF!</definedName>
    <definedName name="TB42699166_ed5a_4ae5_b193_8b197465ff87" hidden="1">#REF!</definedName>
    <definedName name="TB426e1ada_6baa_47f8_8917_35e4044177d8" hidden="1">#REF!</definedName>
    <definedName name="TB426f04db_37f1_4008_8423_2ab6240d498a" hidden="1">#REF!</definedName>
    <definedName name="TB4280b55b_a6f7_4fea_9416_2d49a426f938" hidden="1">#REF!</definedName>
    <definedName name="TB428375a1_9911_47be_a7e6_50bc7c983c8a" hidden="1">#REF!</definedName>
    <definedName name="TB4285655b_80db_4b91_9aff_1f427e16095b" hidden="1">#REF!</definedName>
    <definedName name="TB42b0ea18_781f_4081_9590_8b97f3850629" hidden="1">#REF!</definedName>
    <definedName name="TB42b0fdcc_fe10_4577_ba1e_268edcf89d00" hidden="1">#REF!</definedName>
    <definedName name="TB42b429d4_9b13_46e7_bda0_ce5aab6ffda2" hidden="1">#REF!</definedName>
    <definedName name="TB42b5a3ac_b8dc_4fba_92fc_cf29d8a4f424" hidden="1">#REF!</definedName>
    <definedName name="TB42bf7948_b2ca_4395_abe7_1a87cb43eb8e" hidden="1">#REF!</definedName>
    <definedName name="TB42c252be_10b6_4d7a_96ca_66ddacc5606c" hidden="1">#REF!</definedName>
    <definedName name="TB42c602d9_6c99_4a42_8dd1_c5c886b9f225" hidden="1">#REF!</definedName>
    <definedName name="TB42cb1811_9c8b_456c_879e_cf5d0f48052a" hidden="1">#REF!</definedName>
    <definedName name="TB42cd649c_0233_4f7c_9aa7_0feec295e59e" hidden="1">#REF!</definedName>
    <definedName name="TB42d759dc_688d_471b_a867_aff09bbc2bde" hidden="1">#REF!</definedName>
    <definedName name="TB42e645a0_cd91_49bb_885e_23c794235ccd" hidden="1">#REF!</definedName>
    <definedName name="TB42e75b8e_31aa_4705_99e6_0888e2ffe4ef" hidden="1">#REF!</definedName>
    <definedName name="TB430ad633_3ba8_4a52_9703_be8e614388b5" hidden="1">#REF!</definedName>
    <definedName name="TB430eb614_e028_482f_8495_8d6c5173e4fb" hidden="1">#REF!</definedName>
    <definedName name="TB431344c9_5b1d_41e0_8ab4_be5f8ee8312a" hidden="1">#REF!</definedName>
    <definedName name="TB431c0c3d_9bb6_4251_a62c_e1329e8cac1b" hidden="1">#REF!</definedName>
    <definedName name="TB43236a70_8182_4afc_835e_27a50bdf3382" hidden="1">#REF!</definedName>
    <definedName name="TB4329a202_339e_4008_8338_a8a7f9e193ce" hidden="1">#REF!</definedName>
    <definedName name="TB433193c3_2efd_4d3f_813f_6a48ee09e275" hidden="1">#REF!</definedName>
    <definedName name="TB4336305d_6ee4_441e_b58b_20da72e791fb" hidden="1">#REF!</definedName>
    <definedName name="TB433be240_392a_44e2_8756_420f217b5c05" hidden="1">#REF!</definedName>
    <definedName name="TB433d65cd_565d_42c5_a805_f81efe7e603a" hidden="1">#REF!</definedName>
    <definedName name="TB4345a3ba_57b3_410e_987f_2b51837bb4ac" hidden="1">#REF!</definedName>
    <definedName name="TB4345b33a_397b_4c53_92c4_949ea6542230" hidden="1">#REF!</definedName>
    <definedName name="TB43468994_1325_4d1a_8782_e589326ec98e" hidden="1">#REF!</definedName>
    <definedName name="TB43577106_dcdb_4a83_82cf_267b2351d5cd" hidden="1">#REF!</definedName>
    <definedName name="TB435c2244_5054_4553_8171_84759c676de5" hidden="1">#REF!</definedName>
    <definedName name="TB436b409a_5719_42ad_b71c_1a950ea6983a" hidden="1">#REF!</definedName>
    <definedName name="TB437124be_1e8f_4ffd_aea4_08dc98d59edb" hidden="1">#REF!</definedName>
    <definedName name="TB437286e6_469c_4cda_9967_fd05541270ed" hidden="1">#REF!</definedName>
    <definedName name="TB4379224b_33fe_4af5_bef9_eaa320dd543c" hidden="1">#REF!</definedName>
    <definedName name="TB437e083d_87bc_4813_8072_3407ca96d128" hidden="1">#REF!</definedName>
    <definedName name="TB438b41f4_b8d3_4b45_9084_88be53554d3e" hidden="1">#REF!</definedName>
    <definedName name="TB438e43b5_8f78_4415_b51c_62924874ab8d" hidden="1">#REF!</definedName>
    <definedName name="TB4391bfe2_9d61_4db9_b614_29d382fb0364" hidden="1">#REF!</definedName>
    <definedName name="TB439a6498_72fa_489a_ba7c_cd945572efd9" hidden="1">#REF!</definedName>
    <definedName name="TB439cae73_eb6e_41ae_87e2_0db93028b0a7" hidden="1">#REF!</definedName>
    <definedName name="TB439e6133_1d19_43b5_9abd_f5281410172e" hidden="1">#REF!</definedName>
    <definedName name="TB439f3530_e0d5_4a6c_adc0_80512db2687a" hidden="1">#REF!</definedName>
    <definedName name="TB43abcdc1_b484_4c63_90f1_359b0b066264" hidden="1">#REF!</definedName>
    <definedName name="TB43abdee4_4f94_48c5_9234_9d0a57fb946f" hidden="1">#REF!</definedName>
    <definedName name="TB43b78a0f_4cd7_4b25_8aa6_20c75a543f4c" hidden="1">#REF!</definedName>
    <definedName name="TB43c2076a_b110_40c9_b702_10f1df7dd6e6" hidden="1">#REF!</definedName>
    <definedName name="TB43c7bc91_bfce_4b98_86ce_9959d2d9b776" hidden="1">#REF!</definedName>
    <definedName name="TB43c7e448_5183_4cd5_8834_ea671f844ef4" hidden="1">#REF!</definedName>
    <definedName name="TB43ce9716_4eec_40f1_9abd_d59ffad8e3a0" hidden="1">#REF!</definedName>
    <definedName name="TB43e0b4f0_48cb_47f2_8065_6d08afba4276" hidden="1">#REF!</definedName>
    <definedName name="TB43e11cc6_f345_4fe7_b70d_050c5aa4e67a" hidden="1">#REF!</definedName>
    <definedName name="TB43e253b2_3506_41fa_bbdb_d97c6b80b1da" hidden="1">#REF!</definedName>
    <definedName name="TB43ef2c50_d75e_4bf9_b81b_01fddb86389a" hidden="1">#REF!</definedName>
    <definedName name="TB43f8b6a7_78e1_4fb8_beea_98b789d0dab8" hidden="1">#REF!</definedName>
    <definedName name="TB4403d27b_63cd_42ae_afc7_8cd67ac8bdf5" hidden="1">#REF!</definedName>
    <definedName name="TB440897e2_3f6e_4cee_9891_ec47d59d01b3" hidden="1">#REF!</definedName>
    <definedName name="TB440b1917_5575_434d_96c2_e6c02f549be2" hidden="1">#REF!</definedName>
    <definedName name="TB441bcd1b_1555_4a7f_bd47_03d85b7400a0" hidden="1">#REF!</definedName>
    <definedName name="TB4428a7d0_76fd_415d_840b_ac79f1415be0" hidden="1">#REF!</definedName>
    <definedName name="TB442d3d11_6020_43e3_87e7_389ac41d7253" hidden="1">#REF!</definedName>
    <definedName name="TB442daccb_1d8d_4eb9_bfa8_fe922e63f820" hidden="1">#REF!</definedName>
    <definedName name="TB4432ab31_e5e1_4334_8dc1_d661b8ebdb49" hidden="1">#REF!</definedName>
    <definedName name="TB4432ce5a_007b_44d6_8011_1bd3cb615e36" hidden="1">#REF!</definedName>
    <definedName name="TB443735af_3c4a_4966_ac85_8731bba75ae9" hidden="1">#REF!</definedName>
    <definedName name="TB4438bf27_7f7b_48d4_b24d_a110f1388846" hidden="1">#REF!</definedName>
    <definedName name="TB444a5f09_5e3e_4e39_a401_7025f3667a0e" hidden="1">#REF!</definedName>
    <definedName name="TB444b46e5_3b68_4213_a842_0f00a4f6ec45" hidden="1">#REF!</definedName>
    <definedName name="TB44528672_3335_4519_92da_75f7c783feae" hidden="1">#REF!</definedName>
    <definedName name="TB44549d85_e792_49da_bdd3_32ccce3a076a" hidden="1">#REF!</definedName>
    <definedName name="TB4457ef05_2525_455e_9ceb_0bc107a707ec" hidden="1">#REF!</definedName>
    <definedName name="TB445cb823_4b4f_4db6_9651_8e76260aa182" hidden="1">#REF!</definedName>
    <definedName name="TB445eb292_e12e_4926_95f6_4a94969b2d1f" hidden="1">#REF!</definedName>
    <definedName name="TB4465acbc_d4b4_4e5c_ac57_8a678741ed50" hidden="1">#REF!</definedName>
    <definedName name="TB44734a2c_177b_4e9b_ae34_012a7e3076b3" hidden="1">#REF!</definedName>
    <definedName name="TB4478bd4f_d7c2_4c80_ae0f_788e27a202fa" hidden="1">#REF!</definedName>
    <definedName name="TB447b9fc2_bd6f_4833_921d_61a0b0e23da7" hidden="1">#REF!</definedName>
    <definedName name="TB448697d0_645b_466b_a696_69db3301be90" hidden="1">#REF!</definedName>
    <definedName name="TB448d743b_26b7_4c9f_8053_b5a31e5d1764" hidden="1">#REF!</definedName>
    <definedName name="TB44abbf4c_3403_434d_8c48_fbef58d2210e" hidden="1">#REF!</definedName>
    <definedName name="TB44b1f120_bdeb_4617_acc4_02858a9ab909" hidden="1">#REF!</definedName>
    <definedName name="TB44b553dc_3617_4410_af08_7a5f9d2c9041" hidden="1">#REF!</definedName>
    <definedName name="TB44d656d4_77f6_415e_904a_c9df831c7195" hidden="1">#REF!</definedName>
    <definedName name="TB44e12e64_7dd1_4064_b616_89a993e470f6" hidden="1">#REF!</definedName>
    <definedName name="TB44fb0c00_2a3b_4a99_97c6_4a49dc3096aa" hidden="1">#REF!</definedName>
    <definedName name="TB451daa51_d8ad_44ec_8137_606f11b8931a" hidden="1">#REF!</definedName>
    <definedName name="TB4522e8ec_9246_46bf_bb8f_7b70fd4e4d8e" hidden="1">#REF!</definedName>
    <definedName name="TB452dbbf2_548d_4a95_b825_a18b4e9863b0" hidden="1">#REF!</definedName>
    <definedName name="TB45394189_4863_4abd_9bbc_9ae5767b3628" hidden="1">#REF!</definedName>
    <definedName name="TB453d021f_d177_4d53_b821_2f936abe4b20" hidden="1">#REF!</definedName>
    <definedName name="TB453ef299_dbb3_467d_a1d6_fda3b21488cd" hidden="1">#REF!</definedName>
    <definedName name="TB45428c4b_b729_4682_93c5_e7d90dd7d2d4" hidden="1">#REF!</definedName>
    <definedName name="TB45452660_d219_41ac_88d5_04bfd7c1f73b" hidden="1">#REF!</definedName>
    <definedName name="TB4546e4b4_476f_49f9_8723_2528c75831dd" hidden="1">#REF!</definedName>
    <definedName name="TB45509bf2_5c09_4b82_8c7f_80de4191c996" hidden="1">#REF!</definedName>
    <definedName name="TB455e36f5_2ae6_42b3_b418_e682c37a1b4e" hidden="1">#REF!</definedName>
    <definedName name="TB456abc1e_bc38_4490_9161_e8be8cb7a1b1" hidden="1">#REF!</definedName>
    <definedName name="TB4572b9da_bdb1_4893_bc4e_4cee97122227" hidden="1">#REF!</definedName>
    <definedName name="TB45752922_8472_4fa7_882f_419482174621" hidden="1">#REF!</definedName>
    <definedName name="TB4581612e_eccc_421e_a9e0_09a922f3c86a" hidden="1">#REF!</definedName>
    <definedName name="TB458754ae_7164_4763_a672_480cbcb4cf00" hidden="1">#REF!</definedName>
    <definedName name="TB458b2521_92bd_4f46_81a1_1901dd68dadc" hidden="1">#REF!</definedName>
    <definedName name="TB458cf143_aba0_4448_aa57_97680b7dbd76" hidden="1">#REF!</definedName>
    <definedName name="TB4591187a_671e_4013_bd7b_d5410e55792d" hidden="1">#REF!</definedName>
    <definedName name="TB45995b02_3d4b_4238_92ec_8370480b2e03" hidden="1">#REF!</definedName>
    <definedName name="TB459ae601_983a_4063_9542_e99a1ff921a8" hidden="1">#REF!</definedName>
    <definedName name="TB45b1b1e0_e573_4420_b062_1d8303f7f5d7" hidden="1">#REF!</definedName>
    <definedName name="TB45b7cb68_4c53_41b5_ac6f_e15c8dc038e7" hidden="1">#REF!</definedName>
    <definedName name="TB45bac3e5_b45c_4a2d_85c2_6998770ba348" hidden="1">#REF!</definedName>
    <definedName name="TB45c1f26a_45bb_453d_8ef7_e12b1399a4c4" hidden="1">#REF!</definedName>
    <definedName name="TB45c47fec_779a_4f2f_8ff0_e7d7b787c2da" hidden="1">#REF!</definedName>
    <definedName name="TB45de3275_cf37_429a_8ee3_a2d68ad196b3" hidden="1">#REF!</definedName>
    <definedName name="TB45e56e8b_4fe3_47af_bf58_c796a78b63a4" hidden="1">#REF!</definedName>
    <definedName name="TB45f0f435_9ffc_4ad3_9b5e_dbffe9cb8a1d" hidden="1">#REF!</definedName>
    <definedName name="TB45f24e1c_7a39_4d3a_9a56_30830251c002" hidden="1">#REF!</definedName>
    <definedName name="TB45f5459a_86a3_4654_86a7_ae0fe2d891ca" hidden="1">#REF!</definedName>
    <definedName name="TB45fcb4a6_2c02_4d62_85b7_67bbd0d45743" hidden="1">#REF!</definedName>
    <definedName name="TB4605f1cc_1128_4740_adec_5ff6048b296b" hidden="1">#REF!</definedName>
    <definedName name="TB46186c61_e203_41ba_a02a_20db55f540b6" hidden="1">#REF!</definedName>
    <definedName name="TB461a2a4f_1668_4083_b456_3cfeba64758d" hidden="1">#REF!</definedName>
    <definedName name="TB46553305_d059_4b63_b098_99ddf92997f1" hidden="1">#REF!</definedName>
    <definedName name="TB466482d3_ece3_4466_99cd_b148541446cb" hidden="1">#REF!</definedName>
    <definedName name="TB4671f8c0_26b9_4e53_bf7e_c16d49238584" hidden="1">#REF!</definedName>
    <definedName name="TB4672c842_e9e9_438e_8cce_471827db43af" hidden="1">#REF!</definedName>
    <definedName name="TB467d4017_475c_4017_8f03_1093233a896c" hidden="1">#REF!</definedName>
    <definedName name="TB467dc340_f0c3_47b4_81ef_cbc2c1cc378d" hidden="1">#REF!</definedName>
    <definedName name="TB46855836_f5f9_4fc7_9424_461e0d0a64ac" hidden="1">#REF!</definedName>
    <definedName name="TB468d15a8_7457_4290_b8e0_bac05fc6caf7" hidden="1">#REF!</definedName>
    <definedName name="TB468eb7a1_becc_4f51_8a00_6cb2de4aa6f6" hidden="1">#REF!</definedName>
    <definedName name="TB469b1357_3ef9_4a59_942b_7c16477891ad" hidden="1">#REF!</definedName>
    <definedName name="TB46a7809d_8923_47c7_b184_0f173a7742ba" hidden="1">#REF!</definedName>
    <definedName name="TB46d204a4_33eb_46c3_8238_721ac4372622" hidden="1">#REF!</definedName>
    <definedName name="TB46fccfb5_abdd_482b_8a27_3a62f6fca68d" hidden="1">#REF!</definedName>
    <definedName name="TB46fcf4ab_4996_4f59_a18a_9ac0260db782" hidden="1">#REF!</definedName>
    <definedName name="TB47107296_85db_4d81_a6d3_fb7b0483cde3" hidden="1">#REF!</definedName>
    <definedName name="TB47196f71_385b_4564_bea9_f20d82ce14be" hidden="1">#REF!</definedName>
    <definedName name="TB47249fc6_42b5_4d98_9a39_00c720242617" hidden="1">#REF!</definedName>
    <definedName name="TB4749d34c_c2d6_4757_af95_05e255fe70bc" hidden="1">#REF!</definedName>
    <definedName name="TB474e1de8_18eb_478c_84bd_800ee00fcb88" hidden="1">#REF!</definedName>
    <definedName name="TB47565aa6_7b24_4245_ae64_2d4107777702" hidden="1">#REF!</definedName>
    <definedName name="TB4761ec00_034e_40d0_bae4_a391bee008ce" hidden="1">#REF!</definedName>
    <definedName name="TB47691be2_9a6a_45c0_b9d0_b12a7a4883cd" hidden="1">#REF!</definedName>
    <definedName name="TB4769d90e_046e_4aba_853e_46c49ec9c4cd" hidden="1">#REF!</definedName>
    <definedName name="TB476f8041_f7fe_48bf_a457_ee6ab395ee93" hidden="1">#REF!</definedName>
    <definedName name="TB477ddfe0_4a7a_4725_9d9e_dde93df563a6" hidden="1">#REF!</definedName>
    <definedName name="TB4795f75d_339f_416e_924d_159a33c7596a" hidden="1">#REF!</definedName>
    <definedName name="TB4798117e_068f_40f5_bc63_c0803cbefdab" hidden="1">#REF!</definedName>
    <definedName name="TB479c0710_f506_47c8_b012_8b085777ba92" hidden="1">#REF!</definedName>
    <definedName name="TB47a70d7e_4686_4db8_9244_ef964feb8df1" hidden="1">#REF!</definedName>
    <definedName name="TB47b3463b_e7bb_42af_b067_3e2b005ca95e" hidden="1">#REF!</definedName>
    <definedName name="TB47b6bc85_4cf4_411b_8435_8592f0d7a37d" hidden="1">#REF!</definedName>
    <definedName name="TB47bce023_f49c_45e6_ba8b_cffe428e5e6d" hidden="1">#REF!</definedName>
    <definedName name="TB47c749db_b294_42bc_ab13_ba8ec04c53f1" hidden="1">#REF!</definedName>
    <definedName name="TB47cc8eea_a5f0_4fcc_8a42_4fb080ff5fc4" hidden="1">#REF!</definedName>
    <definedName name="TB47cee773_ba6b_47b0_a5d5_d3bc8f705b73" hidden="1">#REF!</definedName>
    <definedName name="TB47e9c7f1_51ba_45b1_9d68_f14781734b78" hidden="1">#REF!</definedName>
    <definedName name="TB4800cadc_ceab_4cb9_85b1_8f9379061767" hidden="1">#REF!</definedName>
    <definedName name="TB48083d81_591b_492f_80df_57176495c11d" hidden="1">#REF!</definedName>
    <definedName name="TB480e9f96_4838_4ad9_a294_0834a6ad1ec7" hidden="1">#REF!</definedName>
    <definedName name="TB48104458_83b0_49eb_9055_6ddd4c91b678" hidden="1">#REF!</definedName>
    <definedName name="TB48150cd0_1f7e_406e_8a9a_dea644e5b30a" hidden="1">#REF!</definedName>
    <definedName name="TB48245517_12e7_4049_a2a6_7adff9f8b1ad" hidden="1">#REF!</definedName>
    <definedName name="TB482aa7e2_8e3d_4846_985c_d1271fe3d8b6" hidden="1">#REF!</definedName>
    <definedName name="TB482df396_380a_402d_91e4_5459f522dea7" hidden="1">#REF!</definedName>
    <definedName name="TB482f26e7_ae3c_496a_b8d6_c39c564aeeb7" hidden="1">#REF!</definedName>
    <definedName name="TB48374803_aa86_428b_b307_df249fb53eb3" hidden="1">#REF!</definedName>
    <definedName name="TB483fb3ad_9f0b_41d5_86ae_1273c58f988e" hidden="1">#REF!</definedName>
    <definedName name="TB48410f42_bb38_4864_8210_c38a03671b1e" hidden="1">#REF!</definedName>
    <definedName name="TB48501bb6_2675_4cef_85b6_7920c6913063" hidden="1">#REF!</definedName>
    <definedName name="TB48548d18_788e_4c6e_bd85_911e6dec87c0" hidden="1">#REF!</definedName>
    <definedName name="TB48568af5_b76a_4bd2_af20_53d3a50a0064" hidden="1">#REF!</definedName>
    <definedName name="TB48595482_5ca6_4b1d_a1ce_1d7443d7e9ae" hidden="1">#REF!</definedName>
    <definedName name="TB4869d32d_85e5_44c6_a658_2edaddb491a4" hidden="1">#REF!</definedName>
    <definedName name="TB487db75d_0edd_4909_a127_976b82b47a0d" hidden="1">#REF!</definedName>
    <definedName name="TB487e907c_532c_4cc4_8ea5_901c81e46a5c" hidden="1">#REF!</definedName>
    <definedName name="TB48867080_cabf_4cdd_bd57_3ff237d153eb" hidden="1">#REF!</definedName>
    <definedName name="TB4886881d_69f8_4ac8_996d_279af6eff9ff" hidden="1">#REF!</definedName>
    <definedName name="TB488ac2c9_dbeb_416a_a18b_0514cfb5cb55" hidden="1">#REF!</definedName>
    <definedName name="TB489e9e14_0063_46db_a6b9_ebede8a65dfd" hidden="1">#REF!</definedName>
    <definedName name="TB48a77ecb_4b13_4ce4_91ac_0965cfd5e1b4" hidden="1">#REF!</definedName>
    <definedName name="TB48a9401c_3f7f_4bc7_885f_c4e36b4d33fa" hidden="1">#REF!</definedName>
    <definedName name="TB48a943d4_526e_4415_a27e_1894532b23ba" hidden="1">#REF!</definedName>
    <definedName name="TB48b06c3b_534d_4197_abac_3a1b50c426db" hidden="1">#REF!</definedName>
    <definedName name="TB48b4dbb2_d5f5_40a7_b2a3_33c212233e1c" hidden="1">#REF!</definedName>
    <definedName name="TB48c1181d_cf34_43e2_969b_5a6a3ca72768" hidden="1">#REF!</definedName>
    <definedName name="TB48c463f2_63b9_4a9a_aedd_d45bed715ecc" hidden="1">#REF!</definedName>
    <definedName name="TB48c5909e_a1bd_435f_a95c_035b8b1603fb" hidden="1">#REF!</definedName>
    <definedName name="TB48cbcd88_a059_4fb4_8c40_33a272ffffdd" hidden="1">#REF!</definedName>
    <definedName name="TB48ea2d02_a3a6_479b_a3e7_c88cb4e8da49" hidden="1">#REF!</definedName>
    <definedName name="TB48ff62e8_23cf_46ee_af92_0abf68fe8555" hidden="1">#REF!</definedName>
    <definedName name="TB490c8ef1_4ea1_43a3_8a3b_3a6fe197b9de" hidden="1">#REF!</definedName>
    <definedName name="TB4910b845_a0e9_44d0_9adb_903beb91ee71" hidden="1">#REF!</definedName>
    <definedName name="TB49177481_e5de_4d08_8875_d3aa7a077153" hidden="1">#REF!</definedName>
    <definedName name="TB491938e7_df3d_46c0_8b3e_630919f135f8" hidden="1">#REF!</definedName>
    <definedName name="TB49224e63_c01e_4672_bd5e_6f41eda027d2" hidden="1">#REF!</definedName>
    <definedName name="TB492435e1_6d38_4d3f_9b85_31465a044640" hidden="1">#REF!</definedName>
    <definedName name="TB4925843a_534b_499a_8b67_2fa30adbbe7b" hidden="1">#REF!</definedName>
    <definedName name="TB49279f7e_0c2e_4cc0_9ade_919560344a1d" hidden="1">#REF!</definedName>
    <definedName name="TB4929027a_a2dd_4d4e_a7ef_a301ede50ad3" hidden="1">#REF!</definedName>
    <definedName name="TB492d0305_0f2c_4641_bc93_879edaa90008" hidden="1">#REF!</definedName>
    <definedName name="TB492e31ad_6510_44e7_b6ce_3bab21d76fff" hidden="1">#REF!</definedName>
    <definedName name="TB4931bf63_2641_462d_a7a8_bf7cd01bbb8d" hidden="1">#REF!</definedName>
    <definedName name="TB4934d433_cec2_438d_afcc_f7d5fc889c8b" hidden="1">#REF!</definedName>
    <definedName name="TB493d6c15_536f_4b6a_b9ac_932853b99c5a" hidden="1">#REF!</definedName>
    <definedName name="TB494548a6_74e3_4919_a0a1_0b601aabccb5" hidden="1">#REF!</definedName>
    <definedName name="TB49486254_8e72_4d18_9b46_3e9db892ec72" hidden="1">#REF!</definedName>
    <definedName name="TB494997db_1ba4_4bd3_a024_9dfb69dfa809" hidden="1">#REF!</definedName>
    <definedName name="TB495001b4_7e6f_425a_887d_934406397f8c" hidden="1">#REF!</definedName>
    <definedName name="TB4954ca17_e714_43e7_8484_2d436da9b4e9" hidden="1">#REF!</definedName>
    <definedName name="TB49580b80_c27f_4c86_a805_8239cfa009ce" hidden="1">#REF!</definedName>
    <definedName name="TB495d7b42_c1eb_4204_b07a_6d70052e1b58" hidden="1">#REF!</definedName>
    <definedName name="TB49632c49_42c0_4359_87ae_842ea70ec89d" hidden="1">#REF!</definedName>
    <definedName name="TB498393b2_e2ea_44ab_9d9c_113fc7d249db" hidden="1">#REF!</definedName>
    <definedName name="TB49876e30_f406_40e7_a273_c7b27840dd2c" hidden="1">#REF!</definedName>
    <definedName name="TB4995da50_15f5_4772_8b28_444ec1cd8401" hidden="1">#REF!</definedName>
    <definedName name="TB4995de40_bd6e_4646_ad90_ae3fc497f1a1" hidden="1">#REF!</definedName>
    <definedName name="TB49974203_bdaf_4f62_b169_476eda76c8e8" hidden="1">#REF!</definedName>
    <definedName name="TB49997b66_b504_4a8d_870c_b48e18ed23b7" hidden="1">#REF!</definedName>
    <definedName name="TB49a15d14_7fd1_464b_af0f_ae735ba680b2" hidden="1">#REF!</definedName>
    <definedName name="TB49ab6acc_d0e3_46d9_ad8d_c9d589d049e0" hidden="1">#REF!</definedName>
    <definedName name="TB49b1c266_e37b_437f_978f_4a071e211b15" hidden="1">#REF!</definedName>
    <definedName name="TB49bc8f69_9c9b_455d_841b_caac3d96fd92" hidden="1">#REF!</definedName>
    <definedName name="TB49f77ff9_e19a_4aa9_85cf_606b4d9b9d1d" hidden="1">#REF!</definedName>
    <definedName name="TB49f98d2d_42df_4b80_b1ad_320285cd0ffd" hidden="1">#REF!</definedName>
    <definedName name="TB49fa6402_808f_4bdc_8d95_024f632b8c62" hidden="1">#REF!</definedName>
    <definedName name="TB4a03dd5a_95f6_46bf_bec2_7171a4c77be1" hidden="1">#REF!</definedName>
    <definedName name="TB4a0517ff_a7cb_4630_afba_7cb165ed0a65" hidden="1">#REF!</definedName>
    <definedName name="TB4a08739f_7a36_48f2_894c_ed991efa22ec" hidden="1">#REF!</definedName>
    <definedName name="TB4a08d591_b758_4bf9_8dde_ed38d165df6d" hidden="1">#REF!</definedName>
    <definedName name="TB4a0f72f1_d345_4aac_914b_049eca79993c" hidden="1">#REF!</definedName>
    <definedName name="TB4a24ec8f_6877_42f9_a0b1_0811918a076c" hidden="1">#REF!</definedName>
    <definedName name="TB4a362046_194e_4992_b1fa_e8080fc45ad2" hidden="1">#REF!</definedName>
    <definedName name="TB4a3c2874_ac49_44c6_a324_ea8e2b7c503d" hidden="1">#REF!</definedName>
    <definedName name="TB4a3dc14c_e3b4_4b89_b098_901cbaeaf883" hidden="1">#REF!</definedName>
    <definedName name="TB4a4ec94e_69ae_42fd_b38b_9a98c0504159" hidden="1">#REF!</definedName>
    <definedName name="TB4a56b2f3_df0a_4e5f_82f9_4aff8b0850ba" hidden="1">#REF!</definedName>
    <definedName name="TB4a57d06a_cf10_44bb_8b97_200639b43bde" hidden="1">#REF!</definedName>
    <definedName name="TB4a5f8bcf_4654_4f5a_b7aa_4a74134ae907" hidden="1">#REF!</definedName>
    <definedName name="TB4a643606_b587_4be9_a6e7_842c42116747" hidden="1">#REF!</definedName>
    <definedName name="TB4a6a67f7_0af9_443b_95d0_ea2955ea2e65" hidden="1">#REF!</definedName>
    <definedName name="TB4a72219a_9785_4b88_9241_ca2fe659eb81" hidden="1">#REF!</definedName>
    <definedName name="TB4a73d3b2_ef4d_47d4_aa79_213c8a1be189" hidden="1">#REF!</definedName>
    <definedName name="TB4a7eae82_8e05_4e3d_bfe5_fe835340ecf6" hidden="1">#REF!</definedName>
    <definedName name="TB4a82d93d_91da_45fa_ab09_e847ff30b038" hidden="1">#REF!</definedName>
    <definedName name="TB4a8ddad9_0038_4b8a_a520_90e5c768e3ec" hidden="1">#REF!</definedName>
    <definedName name="TB4a9094a2_02a8_431c_b536_5319e9c5e682" hidden="1">#REF!</definedName>
    <definedName name="TB4a9d1ff4_075a_49b5_aac0_511414bd8e6e" hidden="1">#REF!</definedName>
    <definedName name="TB4aa7a99a_43cf_48fb_aa2c_8595ea8d9dd1" hidden="1">#REF!</definedName>
    <definedName name="TB4aaaccd9_1726_4d7a_a3a9_72631df827b6" hidden="1">#REF!</definedName>
    <definedName name="TB4aaec815_bdee_4c78_b5f9_e2c2ce5d8323" hidden="1">#REF!</definedName>
    <definedName name="TB4abbd469_d85d_45d5_a135_4919d64cea46" hidden="1">#REF!</definedName>
    <definedName name="TB4abcb143_4c33_42d1_a3e7_2c7e95e5a903" hidden="1">#REF!</definedName>
    <definedName name="TB4ada3309_0e4f_472b_a26b_e7b737e637cf" hidden="1">#REF!</definedName>
    <definedName name="TB4aecf05b_5bd2_4c1d_b809_eb7c471c635c" hidden="1">#REF!</definedName>
    <definedName name="TB4af13996_76e4_4009_a8a8_2d3f28e03c4d" hidden="1">#REF!</definedName>
    <definedName name="TB4af6c0af_2c1c_43b3_81b8_f9cacdc77229" hidden="1">#REF!</definedName>
    <definedName name="TB4af73205_d999_494d_9532_74b7706889a3" hidden="1">#REF!</definedName>
    <definedName name="TB4af80e02_127b_4db2_a159_f7bd3df7ea45" hidden="1">#REF!</definedName>
    <definedName name="TB4affc25b_0caf_4362_a698_6f968a8ceb4c" hidden="1">#REF!</definedName>
    <definedName name="TB4b095854_0726_45bc_a11c_cc5a9fe8dc74" hidden="1">#REF!</definedName>
    <definedName name="TB4b0b3f30_f38b_46e3_87b3_f7fc2149becc" hidden="1">#REF!</definedName>
    <definedName name="TB4b0e4609_db70_430e_aee7_fe333d0c6489" hidden="1">#REF!</definedName>
    <definedName name="TB4b137195_b835_4f4f_8819_34af8026d5c0" hidden="1">#REF!</definedName>
    <definedName name="TB4b17cc4c_9f20_4545_9c4d_2161364bd64f" hidden="1">#REF!</definedName>
    <definedName name="TB4b1b0a20_e886_49ad_936f_f6aad01b3561" hidden="1">#REF!</definedName>
    <definedName name="TB4b2a5165_8b0c_40b0_90c4_d135cc6dea0d" hidden="1">#REF!</definedName>
    <definedName name="TB4b2dc9a1_d94c_4231_9ea5_15fd1524787f" hidden="1">#REF!</definedName>
    <definedName name="TB4b33a63a_239f_4966_9a54_d7d0e4b14d69" hidden="1">#REF!</definedName>
    <definedName name="TB4b3e250d_d1d8_4fbd_b47b_ddbb98d32e28" hidden="1">#REF!</definedName>
    <definedName name="TB4b42ec65_0942_45d9_842a_7291c1beb2ef" hidden="1">#REF!</definedName>
    <definedName name="TB4b5c9817_6d28_4340_8b90_ad964419c320" hidden="1">#REF!</definedName>
    <definedName name="TB4b6e8e43_b3a2_4074_8fa3_8fdab8807e69" hidden="1">#REF!</definedName>
    <definedName name="TB4b772920_7c50_4ec3_9d3f_b4c43c215e89" hidden="1">#REF!</definedName>
    <definedName name="TB4b8aa25d_3893_458d_81d0_2e1f6cb51d01" hidden="1">#REF!</definedName>
    <definedName name="TB4b90b7a8_0ab5_4a4c_826d_bb0b2b912130" hidden="1">#REF!</definedName>
    <definedName name="TB4b9d2db6_f0e5_4794_a5a4_3c6f2953d89e" hidden="1">#REF!</definedName>
    <definedName name="TB4b9ddd6f_6ed6_4b52_bff5_5fe8921e4afb" hidden="1">#REF!</definedName>
    <definedName name="TB4baab12f_f680_43fc_b3b9_71982e819fa2" hidden="1">#REF!</definedName>
    <definedName name="TB4bb0beea_4366_467b_a939_00b6f1882c73" hidden="1">#REF!</definedName>
    <definedName name="TB4bba7c51_d6eb_4f5f_96aa_385e42aaa651" hidden="1">#REF!</definedName>
    <definedName name="TB4bbc2cfb_6859_4592_b76b_91bcd2dbbd26" hidden="1">#REF!</definedName>
    <definedName name="TB4bbfcc14_9460_49e6_aa91_40d8129b0e15" hidden="1">#REF!</definedName>
    <definedName name="TB4bc09717_f9e2_4915_841b_cfc44424ec2e" hidden="1">#REF!</definedName>
    <definedName name="TB4bca87b0_4bcc_47ab_95e8_00233d468aab" hidden="1">#REF!</definedName>
    <definedName name="TB4bcc2f7e_9d8b_4328_8018_23bfc961e4e2" hidden="1">#REF!</definedName>
    <definedName name="TB4bcdfb45_be85_4386_86c3_cad863a6f6fc" hidden="1">#REF!</definedName>
    <definedName name="TB4bd54643_2895_4529_a02e_799fedf7e65b" hidden="1">#REF!</definedName>
    <definedName name="TB4be78625_d1dc_46b8_8ea5_77876fdaa969" hidden="1">#REF!</definedName>
    <definedName name="TB4beb0a7d_f9dd_41e0_ac0f_e8852db454e9" hidden="1">#REF!</definedName>
    <definedName name="TB4bee2ffa_2ffe_4f0d_a42e_bf961c3ef027" hidden="1">#REF!</definedName>
    <definedName name="TB4c018b2e_c991_4063_8184_8e213b0af7ca" hidden="1">#REF!</definedName>
    <definedName name="TB4c1aeeca_c547_4396_a63b_49772ca3d8f0" hidden="1">#REF!</definedName>
    <definedName name="TB4c235e58_02d4_4de8_9a32_39ede8fd80bc" hidden="1">#REF!</definedName>
    <definedName name="TB4c391553_1c67_4c1b_902a_a9e7dc33e0ed" hidden="1">#REF!</definedName>
    <definedName name="TB4c3aa7d8_c5ef_4724_ba8c_e7cd318f50d9" hidden="1">#REF!</definedName>
    <definedName name="TB4c43026a_b8b4_4452_bc93_f49b2d7a23e5" hidden="1">#REF!</definedName>
    <definedName name="TB4c470b8d_dd5c_4eb0_b0bc_38d603ae0d15" hidden="1">#REF!</definedName>
    <definedName name="TB4c567b5e_88f7_4995_b1a2_f58cdad2122a" hidden="1">#REF!</definedName>
    <definedName name="TB4c62bd2f_ab40_4b24_8985_03d4348d97c9" hidden="1">#REF!</definedName>
    <definedName name="TB4c726877_e597_4a4c_97c5_52bf071c0c51" hidden="1">#REF!</definedName>
    <definedName name="TB4c7e0321_fb95_4ac7_a92e_f294f15d8c30" hidden="1">#REF!</definedName>
    <definedName name="TB4c9dd3ab_b6f2_42a3_8e17_f0f5e195b284" hidden="1">#REF!</definedName>
    <definedName name="TB4c9f0ddd_7696_49e0_a0f4_24407e394169" hidden="1">#REF!</definedName>
    <definedName name="TB4ca26749_6387_4470_929b_bbfdb0e2ca9e" hidden="1">#REF!</definedName>
    <definedName name="TB4ca732fe_f139_46d6_a2ae_c5bb78a3ff6b" hidden="1">#REF!</definedName>
    <definedName name="TB4cbb699a_1695_4aa8_8ab6_5f8e18e22a69" hidden="1">#REF!</definedName>
    <definedName name="TB4cbe332c_a6e3_4f3a_842a_c508cd1f8204" hidden="1">#REF!</definedName>
    <definedName name="TB4cc4ccd9_030b_45fa_8da7_17d5e58cee62" hidden="1">#REF!</definedName>
    <definedName name="TB4cc59d9a_072b_4cb5_a18d_a69a3ccab633" hidden="1">#REF!</definedName>
    <definedName name="TB4ccd26f0_db8a_444d_83fc_172cc091ba21" hidden="1">#REF!</definedName>
    <definedName name="TB4cd6b15c_fcb1_4923_8b0b_d27177ad6653" hidden="1">#REF!</definedName>
    <definedName name="TB4ce2a819_581f_4b29_8595_9eef89b4db1a" hidden="1">#REF!</definedName>
    <definedName name="TB4ce66631_af2a_46de_b986_82012e1ec53a" hidden="1">#REF!</definedName>
    <definedName name="TB4cebc1fa_3b7d_4c3b_892d_b9e8ffc92fcf" hidden="1">#REF!</definedName>
    <definedName name="TB4cf5dbf7_0a90_4ba3_a585_665c0ed889d8" hidden="1">#REF!</definedName>
    <definedName name="TB4d0225e5_d4c3_4335_b6f5_00c85eee2841" hidden="1">#REF!</definedName>
    <definedName name="TB4d06edd7_7652_4d00_a3d8_d3b5b6ac125a" hidden="1">#REF!</definedName>
    <definedName name="TB4d073de4_c70f_4302_af78_6cbbe9b52275" hidden="1">#REF!</definedName>
    <definedName name="TB4d1299c9_c761_4e01_8596_abad4dcdee64" hidden="1">#REF!</definedName>
    <definedName name="TB4d21d44d_7238_4394_bb7c_85d5552adabe" hidden="1">#REF!</definedName>
    <definedName name="TB4d38b826_8993_4fe7_847b_dfd0db04e6f6" hidden="1">#REF!</definedName>
    <definedName name="TB4d423e72_6bb8_4077_9512_9fe21ca82c85" hidden="1">#REF!</definedName>
    <definedName name="TB4d4d9bbb_3d3f_4c05_a15c_99f881731dd8" hidden="1">#REF!</definedName>
    <definedName name="TB4d5222e0_1b10_4051_8437_31fabe9b045e" hidden="1">#REF!</definedName>
    <definedName name="TB4d5ed33d_18f3_414f_aaa7_41a4a9cea23a" hidden="1">#REF!</definedName>
    <definedName name="TB4d6987c3_1173_4545_a9f2_e3ce4e142280" hidden="1">#REF!</definedName>
    <definedName name="TB4d73200b_a62b_49f8_8da9_58e10b17338d" hidden="1">#REF!</definedName>
    <definedName name="TB4d911332_1db7_4219_be47_86953a594aec" hidden="1">#REF!</definedName>
    <definedName name="TB4d92cf46_fa82_4b0f_a7ef_382f801bfd03" hidden="1">#REF!</definedName>
    <definedName name="TB4d935e27_d256_4b18_8caa_ff8f44c313b0" hidden="1">#REF!</definedName>
    <definedName name="TB4d998ec0_2a04_4f4d_a7b3_3c0f08111c41" hidden="1">#REF!</definedName>
    <definedName name="TB4d9dab4d_ff70_4106_9011_0ef018e306aa" hidden="1">#REF!</definedName>
    <definedName name="TB4da97835_ba35_4119_a07f_22e3f09c53cb" hidden="1">#REF!</definedName>
    <definedName name="TB4dbfdc96_4cdd_4ccf_9b5e_c1fc9749880d" hidden="1">#REF!</definedName>
    <definedName name="TB4dc51588_e147_4939_9179_ff139ad418b3" hidden="1">#REF!</definedName>
    <definedName name="TB4de19563_4908_4a30_bf34_3e3d3fc509fb" hidden="1">#REF!</definedName>
    <definedName name="TB4de81def_4ba2_4f60_8ade_beae56efa539" hidden="1">#REF!</definedName>
    <definedName name="TB4de91d49_b9d1_4588_83a8_f8a1ae4fc8ec" hidden="1">#REF!</definedName>
    <definedName name="TB4dea3e28_1ca7_4a17_b864_620b35359c09" hidden="1">#REF!</definedName>
    <definedName name="TB4dedfb06_c40d_4689_ae62_882248b5fb12" hidden="1">#REF!</definedName>
    <definedName name="TB4df40106_30de_4f21_98b1_3c6f67383952" hidden="1">#REF!</definedName>
    <definedName name="TB4df4284f_2b66_4f76_876c_f5f843ac1b1d" hidden="1">#REF!</definedName>
    <definedName name="TB4e03c75f_5eb9_475b_81e0_3c0856025462" hidden="1">#REF!</definedName>
    <definedName name="TB4e087d34_f1b1_40eb_9f3b_044bba14bae5" hidden="1">#REF!</definedName>
    <definedName name="TB4e175b25_f3d7_4d4b_a089_ec71e8bcfdeb" hidden="1">#REF!</definedName>
    <definedName name="TB4e406dc8_caa9_4a04_a4d9_c2a10f2a8665" hidden="1">#REF!</definedName>
    <definedName name="TB4e469d3e_facc_4271_ad0a_1870a66b08fd" hidden="1">#REF!</definedName>
    <definedName name="TB4e48e3f6_7fce_4bfd_9089_3732f08ee2ab" hidden="1">#REF!</definedName>
    <definedName name="TB4e4fbf0b_a45c_4ead_9c61_4eddab0241b0" hidden="1">#REF!</definedName>
    <definedName name="TB4e590c7f_75e0_4809_a5ab_077f0c312563" hidden="1">#REF!</definedName>
    <definedName name="TB4e5db2c0_414d_4407_b12c_259cd133c9d9" hidden="1">#REF!</definedName>
    <definedName name="TB4e613520_66e0_426b_b821_97dfdd7ff00a" hidden="1">#REF!</definedName>
    <definedName name="TB4e66b7b6_0a26_4f63_9ad4_9134ced18907" hidden="1">#REF!</definedName>
    <definedName name="TB4e6beb8e_b2b9_44b5_9fe7_b12d61d14490" hidden="1">#REF!</definedName>
    <definedName name="TB4e6fd806_321d_4a5a_a06c_3ac2f3224146" hidden="1">#REF!</definedName>
    <definedName name="TB4e710e6f_2b01_40c2_a53d_3932aa060f2f" hidden="1">#REF!</definedName>
    <definedName name="TB4e84566a_90b1_4146_9432_c3441e21d1a8" hidden="1">#REF!</definedName>
    <definedName name="TB4e89a458_df50_454c_a948_4cd80600b20b" hidden="1">#REF!</definedName>
    <definedName name="TB4e8bac23_5c25_4d06_86bc_e6870bf4562e" hidden="1">#REF!</definedName>
    <definedName name="TB4e971d3d_3498_4718_8cca_e8bfe517cdd9" hidden="1">#REF!</definedName>
    <definedName name="TB4e998f7f_4732_4cdc_8b0d_0f836f972db2" hidden="1">#REF!</definedName>
    <definedName name="TB4e9e0a14_e8d3_4d1e_a112_ff31bf4f10a6" hidden="1">#REF!</definedName>
    <definedName name="TB4ea1d3f0_2a19_43be_9c69_d744f2ad627c" hidden="1">#REF!</definedName>
    <definedName name="TB4ea6ed56_7ba6_4ba8_aebb_1a02372146f0" hidden="1">#REF!</definedName>
    <definedName name="TB4eab45ad_817f_497c_883d_c28c307653b2" hidden="1">#REF!</definedName>
    <definedName name="TB4eb2ab96_e753_4756_ada9_0dfc715cefed" hidden="1">#REF!</definedName>
    <definedName name="TB4eb8cec2_7282_40e9_8883_a97ac0216237" hidden="1">#REF!</definedName>
    <definedName name="TB4ebc3428_3c8e_4971_9007_3e55284c4aa6" hidden="1">#REF!</definedName>
    <definedName name="TB4ec47201_e01c_47bc_b7a7_0d4594bf5f48" hidden="1">#REF!</definedName>
    <definedName name="TB4ed2ca4b_776f_4745_a147_3b44b2c70e5c" hidden="1">#REF!</definedName>
    <definedName name="TB4ed4993c_6d23_4cc6_9709_a08bc766443f" hidden="1">#REF!</definedName>
    <definedName name="TB4ee28661_e3f0_460e_bfd4_9239eb62b765" hidden="1">#REF!</definedName>
    <definedName name="TB4eed1875_bf86_480f_a381_f9af1d61dfa5" hidden="1">#REF!</definedName>
    <definedName name="TB4eeebd0a_a16e_42d6_a415_ac4df567c487" hidden="1">#REF!</definedName>
    <definedName name="TB4f0300c4_f5ec_4f2f_a3d3_eaa6bdc05a1d" hidden="1">#REF!</definedName>
    <definedName name="TB4f0675f3_b040_4368_b482_23b698bbbfae" hidden="1">#REF!</definedName>
    <definedName name="TB4f06fdaa_eaa3_4381_a6a7_58d4732355e4" hidden="1">#REF!</definedName>
    <definedName name="TB4f08307b_177a_443c_943a_f170b6620c27" hidden="1">#REF!</definedName>
    <definedName name="TB4f0dfeae_ad89_4fba_9a4d_471a87932e02" hidden="1">#REF!</definedName>
    <definedName name="TB4f188bc5_6c0c_48d8_b6e7_6ddd887fa3d4" hidden="1">#REF!</definedName>
    <definedName name="TB4f1c6fbc_3c4c_487a_8794_e4848938cbe7" hidden="1">#REF!</definedName>
    <definedName name="TB4f1cec47_4489_4815_969f_8cef1facfe3c" hidden="1">#REF!</definedName>
    <definedName name="TB4f290660_5def_4760_a96b_ea3c7c93f7a4" hidden="1">#REF!</definedName>
    <definedName name="TB4f293052_66a9_4886_949c_9f63e75ad333" hidden="1">#REF!</definedName>
    <definedName name="TB4f30c382_7794_4437_b695_75d5fbda66a3" hidden="1">#REF!</definedName>
    <definedName name="TB4f3a7a1d_05c4_41e6_86ed_d8b44797c510" hidden="1">#REF!</definedName>
    <definedName name="TB4f63a65d_f544_4c5b_a364_5017b4905923" hidden="1">#REF!</definedName>
    <definedName name="TB4f718247_99f7_495d_854e_041fc48f03cd" hidden="1">#REF!</definedName>
    <definedName name="TB4f72110a_0e85_4919_b5fd_2075975eef0b" hidden="1">#REF!</definedName>
    <definedName name="TB4f9aa740_c4cc_4d1f_8afb_8cafedb95537" hidden="1">#REF!</definedName>
    <definedName name="TB4f9c0ec6_a956_4b6d_ae8b_07ad6243e1f2" hidden="1">#REF!</definedName>
    <definedName name="TB4f9c3570_ec5a_46e8_a5df_ed8998b1e6d8" hidden="1">#REF!</definedName>
    <definedName name="TB4faa708e_e67b_4a67_8b51_3447b44e6da1" hidden="1">#REF!</definedName>
    <definedName name="TB4faa834e_8cfa_4010_961e_7c6d52cad25b" hidden="1">#REF!</definedName>
    <definedName name="TB4fb36592_3d35_4648_a4fa_572637390bd9" hidden="1">#REF!</definedName>
    <definedName name="TB4fc623a8_0ba5_407c_b99d_923a8afa5a6e" hidden="1">#REF!</definedName>
    <definedName name="TB4ff10591_d340_4ace_b7f4_cd9d0c7e5f0a" hidden="1">#REF!</definedName>
    <definedName name="TB4ff4b5be_58c1_409c_9d7f_427aa56bff5a" hidden="1">#REF!</definedName>
    <definedName name="TB5000ad98_d6b7_488c_b753_8dbfe6b0ae77" hidden="1">#REF!</definedName>
    <definedName name="TB50067670_2cce_4fec_a7b6_b2ce9a1b1207" hidden="1">#REF!</definedName>
    <definedName name="TB500ed2ab_2b7b_4819_8ba9_dee1b7059006" hidden="1">#REF!</definedName>
    <definedName name="TB501534a7_c124_45d8_82fb_c9ac4e2ab9f2" hidden="1">#REF!</definedName>
    <definedName name="TB50167914_9df5_4f62_872d_292e09d3c570" hidden="1">#REF!</definedName>
    <definedName name="TB5018fd22_fe11_48b4_834d_0096acb7e28e" hidden="1">#REF!</definedName>
    <definedName name="TB5021e43a_1600_42ac_ba7c_294c7108edd4" hidden="1">#REF!</definedName>
    <definedName name="TB502682d8_4a6b_4fa4_a2f2_ea74a10a8605" hidden="1">#REF!</definedName>
    <definedName name="TB502a5efa_6251_402d_82e5_5063948df7a6" hidden="1">#REF!</definedName>
    <definedName name="TB5034f978_3181_4e99_a68d_478c2fd18941" hidden="1">#REF!</definedName>
    <definedName name="TB503e63dc_c91e_4cfa_b049_6567027c31bf" hidden="1">#REF!</definedName>
    <definedName name="TB50413346_7ef4_4506_be47_53119c7d11c4" hidden="1">#REF!</definedName>
    <definedName name="TB50423d89_c144_4e18_b77f_168c1dd1f71e" hidden="1">#REF!</definedName>
    <definedName name="TB504873d6_1c27_4f2d_a081_f27532734d3b" hidden="1">#REF!</definedName>
    <definedName name="TB5048ab21_2e18_46dc_84dd_450eb3e0945b" hidden="1">#REF!</definedName>
    <definedName name="TB505233f3_fb99_499e_9d6a_5465ac2722b2" hidden="1">#REF!</definedName>
    <definedName name="TB50523423_89bd_4bff_b14a_31d76252efad" hidden="1">#REF!</definedName>
    <definedName name="TB50541283_dec6_432c_b08c_f3ec4bc10ede" hidden="1">#REF!</definedName>
    <definedName name="TB507b5cc3_3dc0_44c9_bbf0_3ed82c0b8833" hidden="1">#REF!</definedName>
    <definedName name="TB50841f4b_5f74_4d8d_bdb5_77c16eb50243" hidden="1">#REF!</definedName>
    <definedName name="TB5084b6a4_6540_49c8_b6ed_8d5b333b3244" hidden="1">#REF!</definedName>
    <definedName name="TB5092dfa5_2f67_4070_ab75_b75686d13bc9" hidden="1">#REF!</definedName>
    <definedName name="TB5095f8e6_f57a_4eb0_a4e8_2898242487ae" hidden="1">#REF!</definedName>
    <definedName name="TB50964210_9e22_4049_bd0d_5b309c23be41" hidden="1">#REF!</definedName>
    <definedName name="TB509b147a_0803_4097_9a59_296a257e3743" hidden="1">#REF!</definedName>
    <definedName name="TB50a32357_5a96_4583_8de9_ddcdcdb470fe" hidden="1">#REF!</definedName>
    <definedName name="TB50b49185_6d46_46e5_a93c_d32623efd290" hidden="1">#REF!</definedName>
    <definedName name="TB50bd02bf_d42c_48aa_8695_558f58a41f25" hidden="1">#REF!</definedName>
    <definedName name="TB50bee235_370a_494f_854e_a5cda77e55b1" hidden="1">#REF!</definedName>
    <definedName name="TB50d00401_d9a5_4278_b19c_a91a45723cf4" hidden="1">#REF!</definedName>
    <definedName name="TB50d70b30_f36e_4ee5_bc91_10f0982abd34" hidden="1">#REF!</definedName>
    <definedName name="TB50d8964f_4df5_4c86_8523_bc4914e66125" hidden="1">#REF!</definedName>
    <definedName name="TB50e9138a_60b4_4a9a_9467_085d733d59c6" hidden="1">#REF!</definedName>
    <definedName name="TB50ef031e_b0b7_4143_be69_419a219d1009" hidden="1">#REF!</definedName>
    <definedName name="TB50f199ff_523e_4650_b985_7bfa5982a54e" hidden="1">#REF!</definedName>
    <definedName name="TB50fbdc2d_bf7f_42d6_a537_cc3e9d84613d" hidden="1">#REF!</definedName>
    <definedName name="TB50fd7ad1_a1cb_43bd_937c_10d5f21132f7" hidden="1">#REF!</definedName>
    <definedName name="TB50ff1f5f_cb0b_4195_aaff_a4ad1e72a0ca" hidden="1">#REF!</definedName>
    <definedName name="TB51047d6b_a824_4316_a5ac_0bd20927ee70" hidden="1">#REF!</definedName>
    <definedName name="TB51073049_05c0_46d1_8870_dd7962f46200" hidden="1">#REF!</definedName>
    <definedName name="TB5107a394_f45b_4e71_81cf_0e5e8a1b499a" hidden="1">#REF!</definedName>
    <definedName name="TB51134b5b_fe12_470e_a4cf_a790100bfb58" hidden="1">#REF!</definedName>
    <definedName name="TB5118ff31_5e81_47b8_9f63_0b38f6c23ae0" hidden="1">#REF!</definedName>
    <definedName name="TB511bd8b8_5e6b_4dbf_924a_8f40bd9616f0" hidden="1">#REF!</definedName>
    <definedName name="TB513e6c06_b9e4_4789_b30c_a5eb068e1687" hidden="1">#REF!</definedName>
    <definedName name="TB513f9b6c_56cb_4d8a_b0e0_aec4480ddbda" hidden="1">#REF!</definedName>
    <definedName name="TB51480cb9_8c5e_4514_9817_ed3d4aab56d3" hidden="1">#REF!</definedName>
    <definedName name="TB5156088e_45b2_4bfc_bcce_8473a052fa73" hidden="1">#REF!</definedName>
    <definedName name="TB51586301_9d29_47ff_a696_14f4c8ab758b" hidden="1">#REF!</definedName>
    <definedName name="TB515953ab_26c1_49c9_bd5e_ee8ee5e25cb2" hidden="1">#REF!</definedName>
    <definedName name="TB5159ad51_9b45_40eb_9ba2_b4065e91f893" hidden="1">#REF!</definedName>
    <definedName name="TB516c3292_9d5d_42aa_a4fd_fe19fc2f43e4" hidden="1">#REF!</definedName>
    <definedName name="TB516f8dc1_84bc_4ad2_a88a_dbc580d1c5c0" hidden="1">#REF!</definedName>
    <definedName name="TB51743919_db75_4316_a552_c4ea75731821" hidden="1">#REF!</definedName>
    <definedName name="TB51869b7a_ac1d_445c_b525_703c80405a5a" hidden="1">#REF!</definedName>
    <definedName name="TB518b929a_ec17_4e3e_9e6d_6d4016bdec77" hidden="1">#REF!</definedName>
    <definedName name="TB51958065_5beb_4caf_8fec_581d30d65aee" hidden="1">#REF!</definedName>
    <definedName name="TB51968d13_3c2c_44fe_ba21_5cec33b0d765" hidden="1">#REF!</definedName>
    <definedName name="TB5199a225_3d01_4b57_9fdb_1d886e7bb5ac" hidden="1">#REF!</definedName>
    <definedName name="TB5199a9ad_a3b0_45ef_8d33_cdf4b9dfc96e" hidden="1">#REF!</definedName>
    <definedName name="TB51a33489_0343_4852_a843_f94d86957ef1" hidden="1">#REF!</definedName>
    <definedName name="TB51add21a_f605_4778_975d_2f06cff21dae" hidden="1">#REF!</definedName>
    <definedName name="TB51b8c202_634c_48fc_9236_4ddf2dc1df48" hidden="1">#REF!</definedName>
    <definedName name="TB51bb880b_e410_4a07_a199_e5e77ee0b5b8" hidden="1">#REF!</definedName>
    <definedName name="TB51d338fb_0a41_4e61_b5dd_c93c6b48d2ed" hidden="1">#REF!</definedName>
    <definedName name="TB51d5eb7c_ed36_4174_b62d_089706694a45" hidden="1">#REF!</definedName>
    <definedName name="TB51daa7fe_2ac2_485c_8d19_27379424d3fd" hidden="1">#REF!</definedName>
    <definedName name="TB51dbba66_653d_4e6e_805c_2d8601fdadc3" hidden="1">#REF!</definedName>
    <definedName name="TB51dbe9d8_a4b0_4eb5_b874_a3a00f6185f4" hidden="1">#REF!</definedName>
    <definedName name="TB51e88f8f_49fe_459b_a99a_8b2dcd5a2057" hidden="1">#REF!</definedName>
    <definedName name="TB51fe9871_c470_4037_89fe_29033da27e58" hidden="1">#REF!</definedName>
    <definedName name="TB521126bd_cb5f_4d98_b4ad_11b419343366" hidden="1">#REF!</definedName>
    <definedName name="TB522072e9_9708_493c_a5b8_b26959297574" hidden="1">#REF!</definedName>
    <definedName name="TB5220c50d_c9eb_4ee7_ac0c_5ae4b99e0657" hidden="1">#REF!</definedName>
    <definedName name="TB522a6b85_4d2a_403c_909f_e6b4abd4a3a9" hidden="1">#REF!</definedName>
    <definedName name="TB522ba60a_f045_457a_bdc3_93c9a842d817" hidden="1">#REF!</definedName>
    <definedName name="TB523e3dfb_71df_4e2a_8baf_8bb5c9aff27a" hidden="1">#REF!</definedName>
    <definedName name="TB52444f61_bfb3_4015_800c_7720a5b33abb" hidden="1">#REF!</definedName>
    <definedName name="TB525154b8_dae7_4daf_878a_6511ee16aeb3" hidden="1">#REF!</definedName>
    <definedName name="TB52658b38_269d_4ab9_9f46_1194873f9e33" hidden="1">#REF!</definedName>
    <definedName name="TB526ced02_fa7e_44e5_b59e_9ba98260dc39" hidden="1">#REF!</definedName>
    <definedName name="TB52801b1d_1e62_496c_b863_5fdf92069345" hidden="1">#REF!</definedName>
    <definedName name="TB528e282d_8bf1_495b_abc0_6e769613cc37" hidden="1">#REF!</definedName>
    <definedName name="TB52906f30_1d57_4434_bacf_8655fa911d65" hidden="1">#REF!</definedName>
    <definedName name="TB52949119_9f1f_4e5f_8eba_d0d0e9fdcdad" hidden="1">#REF!</definedName>
    <definedName name="TB52a3df8f_cfc1_4717_ab24_410ce4446bb1" hidden="1">#REF!</definedName>
    <definedName name="TB52a44547_4a74_4113_a199_59234a34a71b" hidden="1">#REF!</definedName>
    <definedName name="TB52c992a4_a56b_454c_a5b1_4d2db1b91795" hidden="1">#REF!</definedName>
    <definedName name="TB52d80a0e_5269_41d6_b56f_34ffc6428e6b" hidden="1">#REF!</definedName>
    <definedName name="TB530a0fd2_267f_4de3_af5a_20c1cd44d754" hidden="1">#REF!</definedName>
    <definedName name="TB530b2642_5dac_409b_9e9d_11352787fa97" hidden="1">#REF!</definedName>
    <definedName name="TB5334159b_ac15_44c2_bdea_e40e4b9e5eff" hidden="1">#REF!</definedName>
    <definedName name="TB5346b840_6fd5_4b1b_bb01_994d6d08ad72" hidden="1">#REF!</definedName>
    <definedName name="TB5346fab8_6db1_4179_8be9_af45802431a0" hidden="1">#REF!</definedName>
    <definedName name="TB534e1d33_9ba2_414b_9914_255d57f209dd" hidden="1">#REF!</definedName>
    <definedName name="TB53597a64_a8cf_4f4c_82f1_3a2f4c4a8059" hidden="1">#REF!</definedName>
    <definedName name="TB535bbc0b_b161_46f1_afa2_12cadd616fed" hidden="1">#REF!</definedName>
    <definedName name="TB535ce9c0_d43e_41de_8834_127b558fa8be" hidden="1">#REF!</definedName>
    <definedName name="TB535da0b4_c69a_4407_b93e_3e96a5b0aa72" hidden="1">#REF!</definedName>
    <definedName name="TB535e6cd1_e7bb_4c5c_89bc_cc1a1413def3" hidden="1">#REF!</definedName>
    <definedName name="TB5369628b_0f93_49f7_b5a9_97d6b4b79a0a" hidden="1">#REF!</definedName>
    <definedName name="TB536f5afc_cb21_4647_81d2_1e93d4977423" hidden="1">#REF!</definedName>
    <definedName name="TB538ab83e_bbd3_4187_a3da_faf0bc22d58d" hidden="1">#REF!</definedName>
    <definedName name="TB538ee186_ed33_4b8c_89e7_661b9a76c40b" hidden="1">#REF!</definedName>
    <definedName name="TB53987132_fade_4107_ad67_1ad3a32737a7" hidden="1">#REF!</definedName>
    <definedName name="TB539ac4df_288a_4ded_b50e_c35207725e4f" hidden="1">#REF!</definedName>
    <definedName name="TB539e1fb9_a2a9_4680_80e2_52c8541b38c2" hidden="1">#REF!</definedName>
    <definedName name="TB53a31005_ea44_40e2_9c14_1d1b55afd228" hidden="1">#REF!</definedName>
    <definedName name="TB53a3a9a9_71bb_4fdb_9826_834e8c589ab7" hidden="1">#REF!</definedName>
    <definedName name="TB53ae6a10_3888_4ce3_b588_63390676c25b" hidden="1">#REF!</definedName>
    <definedName name="TB53bbe46f_8f17_48b0_97ed_6b8ce2c33bc2" hidden="1">#REF!</definedName>
    <definedName name="TB53bd83d6_b20d_49dc_8428_7ac889dd50a8" hidden="1">#REF!</definedName>
    <definedName name="TB53cf0e66_2d28_4a2e_a6bd_b4a376d197ca" hidden="1">#REF!</definedName>
    <definedName name="TB53d24fca_8bf0_4a8f_9124_71d21fbbb8e4" hidden="1">#REF!</definedName>
    <definedName name="TB53d556a0_35aa_4ba8_8dc0_79d1a85a0a3c" hidden="1">#REF!</definedName>
    <definedName name="TB53d860f8_634a_41aa_915d_fb4bc5f87ecb" hidden="1">#REF!</definedName>
    <definedName name="TB53e64d43_b66b_46e9_83c3_8c83bd02d2d8" hidden="1">#REF!</definedName>
    <definedName name="TB53f852b6_f803_49a5_a4a0_033c3ed96aea" hidden="1">#REF!</definedName>
    <definedName name="TB5400ac0d_e380_4069_b0fa_adade6ae7928" hidden="1">#REF!</definedName>
    <definedName name="TB5404ad4d_55cf_4d3b_a257_649151b823d6" hidden="1">#REF!</definedName>
    <definedName name="TB540690be_299f_4537_9a0c_ced90ff28a83" hidden="1">#REF!</definedName>
    <definedName name="TB54084ae7_c8a6_4a0a_87f1_15c821116458" hidden="1">#REF!</definedName>
    <definedName name="TB5408a15c_be28_4106_b642_ab1e97a618ed" hidden="1">#REF!</definedName>
    <definedName name="TB541e8833_8dab_4316_8ef1_a576075c2f74" hidden="1">#REF!</definedName>
    <definedName name="TB543852ca_e29d_430f_b316_5287ee85b49b" hidden="1">#REF!</definedName>
    <definedName name="TB5447f36c_9cf8_4de4_b09d_85b58cd4ae1a" hidden="1">#REF!</definedName>
    <definedName name="TB54528d2e_c9b9_40de_ade8_371400c1ecc6" hidden="1">#REF!</definedName>
    <definedName name="TB545bdf60_07c7_45f7_b4ed_7d6709aea9d4" hidden="1">#REF!</definedName>
    <definedName name="TB546fd3f4_def9_4a11_8c0f_989e5c3c51d5" hidden="1">#REF!</definedName>
    <definedName name="TB5476bde4_55c2_4a96_a943_00ae8aeb03e1" hidden="1">#REF!</definedName>
    <definedName name="TB54782ccf_b3fd_47d2_a18b_679ad3f7599e" hidden="1">#REF!</definedName>
    <definedName name="TB5483537b_3565_4910_9f4c_65c46f91667e" hidden="1">#REF!</definedName>
    <definedName name="TB5488ae67_578a_4b69_9dc3_eec69435c06c" hidden="1">#REF!</definedName>
    <definedName name="TB548b5fd6_8941_4ec4_8f28_4b073ba20349" hidden="1">#REF!</definedName>
    <definedName name="TB548ebbda_0923_460d_b9b8_83ef379d8738" hidden="1">#REF!</definedName>
    <definedName name="TB549b80a2_3e21_43d2_b399_91ae260b08b1" hidden="1">#REF!</definedName>
    <definedName name="TB549d55f3_4c50_4cc4_971b_594390b727fc" hidden="1">#REF!</definedName>
    <definedName name="TB54bf0068_ca5d_43f7_9903_be40d941a55e" hidden="1">#REF!</definedName>
    <definedName name="TB54cbcae0_1382_4c57_a288_23557ca41aa2" hidden="1">#REF!</definedName>
    <definedName name="TB54e31934_3732_472a_8a9f_f1bae7057069" hidden="1">#REF!</definedName>
    <definedName name="TB54e61723_529d_40ff_900d_4b37657d6c8f" hidden="1">#REF!</definedName>
    <definedName name="TB54e8a0ba_7604_474f_8eb5_070ce45392ef" hidden="1">#REF!</definedName>
    <definedName name="TB54ec0003_f5e3_4469_9675_8ac3a55704e0" hidden="1">#REF!</definedName>
    <definedName name="TB54ed6bb3_77d3_4a82_8176_51ccd0843c1e" hidden="1">#REF!</definedName>
    <definedName name="TB54ef91b2_2a27_4503_a726_67467b79da3b" hidden="1">#REF!</definedName>
    <definedName name="TB54fd0465_16bc_4b2e_b798_f7c21f928a14" hidden="1">#REF!</definedName>
    <definedName name="TB55048914_65c2_47ed_bf2d_823efebc2b79" hidden="1">#REF!</definedName>
    <definedName name="TB55053647_ecff_49db_8a5a_f6a4752ae0b7" hidden="1">#REF!</definedName>
    <definedName name="TB5519ed1c_6b6e_498f_8f08_c2f505f372a5" hidden="1">#REF!</definedName>
    <definedName name="TB551e0c2d_e1a3_481a_923a_839b25a7976b" hidden="1">#REF!</definedName>
    <definedName name="TB55218d12_97f5_46d4_977f_aa074499f5da" hidden="1">#REF!</definedName>
    <definedName name="TB55262b9a_c245_4bc0_a9b2_20ab35f92650" hidden="1">#REF!</definedName>
    <definedName name="TB552985bc_40a1_43ef_a40a_f949ac40de72" hidden="1">#REF!</definedName>
    <definedName name="TB5531305f_c5bb_41f7_97a3_1d0610d2beff" hidden="1">#REF!</definedName>
    <definedName name="TB553fa56e_9a73_48d9_b360_f9b61adc94f2" hidden="1">#REF!</definedName>
    <definedName name="TB5544d48a_1f97_4d6a_a0cb_0eff0a2a22dd" hidden="1">#REF!</definedName>
    <definedName name="TB55489696_db84_43d3_8f82_de07647728a3" hidden="1">#REF!</definedName>
    <definedName name="TB5556c035_2c9e_460e_b7ac_f9a554082d35" hidden="1">#REF!</definedName>
    <definedName name="TB5558d55f_ab72_4bfe_af3f_1680a0866ff4" hidden="1">#REF!</definedName>
    <definedName name="TB55721205_ab7f_4ab3_b8ee_a88d44f19afb" hidden="1">#REF!</definedName>
    <definedName name="TB557aeb9f_fbb2_4e59_88a1_fb43e9224880" hidden="1">#REF!</definedName>
    <definedName name="TB557b08ce_d492_4706_9941_26e2abf7d781" hidden="1">#REF!</definedName>
    <definedName name="TB5589f0b4_3b64_4b3e_9cc4_083a5435e33d" hidden="1">#REF!</definedName>
    <definedName name="TB558a6dfc_9ed0_4856_88be_57402312cb9d" hidden="1">#REF!</definedName>
    <definedName name="TB558b1736_23b4_41c7_a82c_b161fa9b8857" hidden="1">#REF!</definedName>
    <definedName name="TB55969299_93c5_4e91_a8b9_54ec6b434925" hidden="1">#REF!</definedName>
    <definedName name="TB559ef408_cd5c_48a4_9f83_c8459925db12" hidden="1">#REF!</definedName>
    <definedName name="TB55b500f8_9999_45cc_8de5_e772fcdb7d46" hidden="1">#REF!</definedName>
    <definedName name="TB55b6900b_e7ca_47f3_90c8_44e7a835e44a" hidden="1">#REF!</definedName>
    <definedName name="TB55b95505_54c8_4583_8472_09d0aae7001c" hidden="1">#REF!</definedName>
    <definedName name="TB55bf7deb_10e6_40ff_9321_b30f5bc38fd7" hidden="1">#REF!</definedName>
    <definedName name="TB55bfecdd_e376_4ec6_9f7f_16d07c68e09d" hidden="1">#REF!</definedName>
    <definedName name="TB55cd574a_91ea_4867_9d1f_cc8794c044ee" hidden="1">#REF!</definedName>
    <definedName name="TB55cf839d_7980_4698_9d20_e1641187f15a" hidden="1">#REF!</definedName>
    <definedName name="TB55d71da3_b150_4b70_9cc8_3b733a66c235" hidden="1">#REF!</definedName>
    <definedName name="TB55dba268_67cb_4b15_b384_e9e8a36902d8" hidden="1">#REF!</definedName>
    <definedName name="TB55f624d5_4856_41e1_b79a_8bb70fecb0da" hidden="1">#REF!</definedName>
    <definedName name="TB55fcfd37_8e31_43cf_98e3_9dda934377e8" hidden="1">#REF!</definedName>
    <definedName name="TB56063a87_13f5_4b7d_90a3_2fe241bc3878" hidden="1">#REF!</definedName>
    <definedName name="TB56126701_c758_4bf2_be09_61a059e090a1" hidden="1">#REF!</definedName>
    <definedName name="TB5614f3b3_403a_4d5a_95b1_5e78190d4a2c" hidden="1">#REF!</definedName>
    <definedName name="TB56278643_1967_4451_beea_9542b8e9ccd3" hidden="1">#REF!</definedName>
    <definedName name="TB562a12a6_28fd_4424_a6c5_b2abb0644eb3" hidden="1">#REF!</definedName>
    <definedName name="TB562f0be6_cc09_4996_8d80_bedd0a05e1b2" hidden="1">#REF!</definedName>
    <definedName name="TB5633fa7f_4024_400e_8e38_791ed856d729" hidden="1">#REF!</definedName>
    <definedName name="TB563aa9b9_9bc4_46cd_b47f_e6c652564ff8" hidden="1">#REF!</definedName>
    <definedName name="TB563f249f_87e3_4dac_9139_9482665334f6" hidden="1">#REF!</definedName>
    <definedName name="TB5642d14b_e5f0_4889_8b48_6a3425e752d8" hidden="1">#REF!</definedName>
    <definedName name="TB5645a023_214a_467c_ba59_49b3acbad41b" hidden="1">#REF!</definedName>
    <definedName name="TB5647739b_a937_4e2c_aa2a_773fa906c79e" hidden="1">#REF!</definedName>
    <definedName name="TB56649de4_a4f1_4776_b361_b7506bd11a02" hidden="1">#REF!</definedName>
    <definedName name="TB5666bed6_b13d_469b_94a4_a6cda7bd2246" hidden="1">#REF!</definedName>
    <definedName name="TB566d060f_91d1_4d81_a085_99e84c217f8b" hidden="1">#REF!</definedName>
    <definedName name="TB566ecb0c_8c6c_49a4_98cf_235343e421ba" hidden="1">#REF!</definedName>
    <definedName name="TB567364f2_5147_4a4d_94e9_e81dc6d6c016" hidden="1">#REF!</definedName>
    <definedName name="TB567ad152_c44a_4cd3_b764_a0702b1b4e94" hidden="1">#REF!</definedName>
    <definedName name="TB5680f99a_5768_45ae_9b7d_07b8c8544821" hidden="1">#REF!</definedName>
    <definedName name="TB5683eae9_9820_4fc9_9e2d_701cad6fc7e5" hidden="1">#REF!</definedName>
    <definedName name="TB568949bd_a1e8_45f8_9843_42180874627e" hidden="1">#REF!</definedName>
    <definedName name="TB5698b10e_1347_4ad1_b9ca_2216d55041bf" hidden="1">#REF!</definedName>
    <definedName name="TB56a0b542_0614_47dd_9f2e_619ac1584ce7" hidden="1">#REF!</definedName>
    <definedName name="TB56a83999_da4b_485a_8981_aba3a6928d06" hidden="1">#REF!</definedName>
    <definedName name="TB56b646c6_3a5f_44e6_b8e8_cc45734e4287" hidden="1">#REF!</definedName>
    <definedName name="TB56b9542b_35f5_4545_b8d9_45dbdad0d0a2" hidden="1">#REF!</definedName>
    <definedName name="TB56cb5ac3_bbe9_4618_a66b_a6a56c638f55" hidden="1">#REF!</definedName>
    <definedName name="TB56cec690_7ede_4fb4_8e87_961f2ba81ec7" hidden="1">#REF!</definedName>
    <definedName name="TB56dfe973_4620_4725_986f_9aa04b85aa15" hidden="1">#REF!</definedName>
    <definedName name="TB56e0e788_a5a7_4ae7_aa4c_2b161adf3ddb" hidden="1">#REF!</definedName>
    <definedName name="TB56e79985_63ac_4ca5_b4c5_659d357d7d7a" hidden="1">#REF!</definedName>
    <definedName name="TB56f5f93a_d485_4e71_8c45_fbdb31294d53" hidden="1">#REF!</definedName>
    <definedName name="TB56fa5574_8473_457f_8d4f_a1f59cfcb434" hidden="1">#REF!</definedName>
    <definedName name="TB57010323_1a7f_4d1b_a8ca_127479a220d7" hidden="1">#REF!</definedName>
    <definedName name="TB570bda8c_0b3b_4626_91bf_780c9c20e995" hidden="1">#REF!</definedName>
    <definedName name="TB5710631d_2285_496d_94d7_fb694b91395b" hidden="1">#REF!</definedName>
    <definedName name="TB5724b232_d0b6_4b71_8e33_6d20c1bbd180" hidden="1">#REF!</definedName>
    <definedName name="TB5749b667_6e27_4fc5_8cf8_3c0836887abf" hidden="1">#REF!</definedName>
    <definedName name="TB575e7b12_15f4_4d54_b61c_f1410670be38" hidden="1">#REF!</definedName>
    <definedName name="TB575ea566_7061_49fe_ab16_8e36ffb0ac6e" hidden="1">#REF!</definedName>
    <definedName name="TB576afaa3_2286_4ebe_bea1_d259e7432ece" hidden="1">#REF!</definedName>
    <definedName name="TB57791330_1f0f_4fc4_a579_be05ebc0cb34" hidden="1">#REF!</definedName>
    <definedName name="TB578b4537_df87_4ca8_90e7_11defddead84" hidden="1">#REF!</definedName>
    <definedName name="TB579d0144_704a_4dc5_8400_62fb5a565c04" hidden="1">#REF!</definedName>
    <definedName name="TB57ade9ac_cc0b_46a8_a553_adeba6969944" hidden="1">#REF!</definedName>
    <definedName name="TB57b002cd_39d8_4c02_80b5_429cf3772b7d" hidden="1">#REF!</definedName>
    <definedName name="TB57bd051e_a104_45c6_91e1_a352be8954fb" hidden="1">#REF!</definedName>
    <definedName name="TB57c9cc7b_3cb9_464e_8b30_c5a155b0ef07" hidden="1">#REF!</definedName>
    <definedName name="TB57cc34a4_7806_4b0e_8c89_ca8a996c8cc9" hidden="1">#REF!</definedName>
    <definedName name="TB57d9e3a0_8a16_4cb1_9a75_53b663f326f2" hidden="1">#REF!</definedName>
    <definedName name="TB57e2289d_c2d0_49c8_9716_7b134bfbebba" hidden="1">#REF!</definedName>
    <definedName name="TB57e3290e_2de5_4e0d_9f6c_4bb13c93d899" hidden="1">#REF!</definedName>
    <definedName name="TB57e8c24c_d940_48c9_8a84_d1caa8790731" hidden="1">#REF!</definedName>
    <definedName name="TB57e8c8c2_b200_4dc0_9111_7033179e8438" hidden="1">#REF!</definedName>
    <definedName name="TB57f8ec46_3932_4edc_9c41_04aaaef727c5" hidden="1">#REF!</definedName>
    <definedName name="TB58028f61_9b2b_40a5_9878_13d28665ba5c" hidden="1">#REF!</definedName>
    <definedName name="TB581493e3_95a4_4655_832b_c4bb589674d0" hidden="1">#REF!</definedName>
    <definedName name="TB5814ab12_f021_441f_a644_d46ccfd10d51" hidden="1">#REF!</definedName>
    <definedName name="TB58193124_90cb_4a46_a734_2977b00eaeb2" hidden="1">#REF!</definedName>
    <definedName name="TB582085d0_8523_45bc_b74e_becf7f610ea9" hidden="1">#REF!</definedName>
    <definedName name="TB5835f9f4_b950_4b70_91cd_410be334e98a" hidden="1">#REF!</definedName>
    <definedName name="TB58363637_35eb_41ed_bd93_43b81f1b635a" hidden="1">#REF!</definedName>
    <definedName name="TB58374bf8_f3c9_4772_8e97_676c5e71f47b" hidden="1">#REF!</definedName>
    <definedName name="TB5840f4d4_f373_4771_9a64_5514f5ed61b3" hidden="1">#REF!</definedName>
    <definedName name="TB58432b00_0b6d_493a_a2aa_ba885bf841c4" hidden="1">#REF!</definedName>
    <definedName name="TB58470737_f9c4_4632_a6f6_bc691ccfd64d" hidden="1">#REF!</definedName>
    <definedName name="TB584c3e38_4dfe_4f7e_bb80_0c8e34f98e16" hidden="1">#REF!</definedName>
    <definedName name="TB5854eb53_d3a1_4f36_8108_69c1215d27a8" hidden="1">#REF!</definedName>
    <definedName name="TB586cc980_5005_4f84_b51b_1cd74676cc2c" hidden="1">#REF!</definedName>
    <definedName name="TB586f4164_0e52_439b_8365_5aa6992262ba" hidden="1">#REF!</definedName>
    <definedName name="TB58756f9f_3eae_4f59_b771_d976fb00dbb2" hidden="1">#REF!</definedName>
    <definedName name="TB587fdb76_9769_45c8_8048_d2379d9f1c63" hidden="1">#REF!</definedName>
    <definedName name="TB5885a9fb_db37_4a89_a240_999d1ad00965" hidden="1">#REF!</definedName>
    <definedName name="TB588777ef_795a_473e_b159_a6bcca0781aa" hidden="1">#REF!</definedName>
    <definedName name="TB588ed645_42bd_4384_89ec_047c235ed3ba" hidden="1">#REF!</definedName>
    <definedName name="TB589006dc_1702_44df_b1ee_84b3e2d7d52e" hidden="1">#REF!</definedName>
    <definedName name="TB589430a2_5a04_4425_9f27_92093b832476" hidden="1">#REF!</definedName>
    <definedName name="TB58af3e98_fb83_47f4_8fdf_a8d5afac30fa" hidden="1">#REF!</definedName>
    <definedName name="TB58b2c1b6_8c24_48ac_a736_f8eb924ed1b7" hidden="1">#REF!</definedName>
    <definedName name="TB58b5d505_259e_4af8_9eaa_8d27a4273b6e" hidden="1">#REF!</definedName>
    <definedName name="TB58b8aa02_9575_4519_84b8_c0dae8a55f3c" hidden="1">#REF!</definedName>
    <definedName name="TB58b8f7be_2c37_4cd4_b78d_cd963bd9b9e7" hidden="1">#REF!</definedName>
    <definedName name="TB58ba913e_1e5f_4b96_bfc4_79966ad51c4d" hidden="1">#REF!</definedName>
    <definedName name="TB58c95605_cee1_483b_bed0_904c0f6547b5" hidden="1">#REF!</definedName>
    <definedName name="TB58d7e9c6_e105_4dcb_bf83_ee5d3a7a626e" hidden="1">#REF!</definedName>
    <definedName name="TB58d888d1_fa81_42d2_9bae_9f47d5d30d05" hidden="1">#REF!</definedName>
    <definedName name="TB58e01c49_b463_41a9_a493_6a57b2c376f4" hidden="1">#REF!</definedName>
    <definedName name="TB58e6d361_0ea9_45c5_9b54_d37fa6089e68" hidden="1">#REF!</definedName>
    <definedName name="TB58e9fb27_3b47_4ef4_85f8_2708750e4440" hidden="1">#REF!</definedName>
    <definedName name="TB58ea315e_a0cb_4ccb_9583_d0f00e58eb50" hidden="1">#REF!</definedName>
    <definedName name="TB58ed5c80_c3c1_403b_be78_16696d020e96" hidden="1">#REF!</definedName>
    <definedName name="TB58f8d797_e293_4af2_8999_ef6799635143" hidden="1">#REF!</definedName>
    <definedName name="TB58fc80b8_ee73_444f_9abc_135ed1bef495" hidden="1">#REF!</definedName>
    <definedName name="TB590002f3_1e84_4333_a84a_94e9e5525e6b" hidden="1">#REF!</definedName>
    <definedName name="TB5905a758_63cb_4b0a_b3ce_764e683df77e" hidden="1">#REF!</definedName>
    <definedName name="TB5908633c_cef3_49b2_bcb6_a3788efa81cc" hidden="1">#REF!</definedName>
    <definedName name="TB59137e3e_d0a9_44ac_9d90_19e910b8f230" hidden="1">#REF!</definedName>
    <definedName name="TB5924e781_4b0b_4449_8faf_03f3b26d78db" hidden="1">#REF!</definedName>
    <definedName name="TB592ae840_f90f_4ed3_9b3c_1fa7c7376c89" hidden="1">#REF!</definedName>
    <definedName name="TB593bd7bb_c3fa_47a9_87e6_26ea7c0f6f1b" hidden="1">#REF!</definedName>
    <definedName name="TB593d4da9_dcc5_418f_b59a_efeb552e037f" hidden="1">#REF!</definedName>
    <definedName name="TB593e82b5_5cc1_4193_8b20_4b250bfb3f47" hidden="1">#REF!</definedName>
    <definedName name="TB595c4a4c_f482_4ea9_aba7_9cf0ed551f55" hidden="1">#REF!</definedName>
    <definedName name="TB59621095_8732_4c55_a721_b432c067b604" hidden="1">#REF!</definedName>
    <definedName name="TB5964a8d0_97c4_41bf_ad8e_4267f1a0f421" hidden="1">#REF!</definedName>
    <definedName name="TB59657ac9_2489_4386_86ed_d74c07156265" hidden="1">#REF!</definedName>
    <definedName name="TB59787922_38d1_4802_b41e_e7893289c6d4" hidden="1">#REF!</definedName>
    <definedName name="TB59a97e26_af80_47e1_ad87_19f20bb6dabb" hidden="1">#REF!</definedName>
    <definedName name="TB59a982c5_f752_451d_a8ee_96a5a056b6d3" hidden="1">#REF!</definedName>
    <definedName name="TB59c4826b_df2d_4659_ac2a_7a23e891f67f" hidden="1">#REF!</definedName>
    <definedName name="TB59e6a68b_72d4_47d8_a9c3_16c995a0c43a" hidden="1">#REF!</definedName>
    <definedName name="TB59ee253f_1da7_493c_bb58_bcd6f5f4cf26" hidden="1">#REF!</definedName>
    <definedName name="TB59f12292_c9a5_4f05_b064_288b6cd98db5" hidden="1">#REF!</definedName>
    <definedName name="TB59f5f71d_61fa_4293_90c7_24c325448b82" hidden="1">#REF!</definedName>
    <definedName name="TB5a099035_44ab_4bc5_af8f_9725ca73c632" hidden="1">#REF!</definedName>
    <definedName name="TB5a0b9072_b2ef_4f8d_a7ef_7f88a4671cf4" hidden="1">#REF!</definedName>
    <definedName name="TB5a0c2da8_8bc3_4076_8972_a372861b25b3" hidden="1">#REF!</definedName>
    <definedName name="TB5a0c7abc_0e08_481e_80b2_18d73a67a710" hidden="1">#REF!</definedName>
    <definedName name="TB5a102c12_e139_4098_91a2_b1c7dff6592c" hidden="1">#REF!</definedName>
    <definedName name="TB5a17d81e_8493_455e_b6d0_93494546783f" hidden="1">#REF!</definedName>
    <definedName name="TB5a2b54ed_79e7_4464_bef6_ad13507588ff" hidden="1">#REF!</definedName>
    <definedName name="TB5a30b200_8014_419f_8359_c88550cbf416" hidden="1">#REF!</definedName>
    <definedName name="TB5a38c451_fbe9_469e_b191_3a059aa4cdb5" hidden="1">#REF!</definedName>
    <definedName name="TB5a3c94e8_f38f_4f9c_9c7b_6bd6d0ae94e8" hidden="1">#REF!</definedName>
    <definedName name="TB5a659411_d746_4da4_8b49_ea5ab8271c4b" hidden="1">#REF!</definedName>
    <definedName name="TB5a681475_1470_48c3_8992_9d0953b435dc" hidden="1">#REF!</definedName>
    <definedName name="TB5a6a8230_50fb_4f61_add5_43c8d1b584a9" hidden="1">#REF!</definedName>
    <definedName name="TB5a6b9a5d_043f_4bf7_9661_e9d169b009cd" hidden="1">#REF!</definedName>
    <definedName name="TB5a6c78f4_7925_421f_88d8_435cfe98567e" hidden="1">#REF!</definedName>
    <definedName name="TB5a6e7aac_9a58_4588_9692_23cbcff3739e" hidden="1">#REF!</definedName>
    <definedName name="TB5a814caf_8ac4_4b3a_8215_baa8fc3675e9" hidden="1">#REF!</definedName>
    <definedName name="TB5aa9185e_a22f_457c_9966_fe535fbdc513" hidden="1">#REF!</definedName>
    <definedName name="TB5aadacc3_3cd1_41c5_b124_ca3ac48ed641" hidden="1">#REF!</definedName>
    <definedName name="TB5ab4f921_f4df_43f3_b162_55cfc319aa5e" hidden="1">#REF!</definedName>
    <definedName name="TB5ab60669_166f_4e42_b9f8_10e1f6c43992" hidden="1">#REF!</definedName>
    <definedName name="TB5abaac07_47bd_497e_851c_6d6012b32884" hidden="1">#REF!</definedName>
    <definedName name="TB5abd12bd_94cc_4859_8c25_ac798fa0b33e" hidden="1">#REF!</definedName>
    <definedName name="TB5abe2352_2aa2_4269_ad3f_ad080e6f31c0" hidden="1">#REF!</definedName>
    <definedName name="TB5ac1c5b6_3667_484d_bb57_7e515bc97166" hidden="1">#REF!</definedName>
    <definedName name="TB5adb58d9_000c_442a_ab63_29ae42a2f335" hidden="1">#REF!</definedName>
    <definedName name="TB5aef82e7_1101_4961_acdc_00aac5f4bbb2" hidden="1">#REF!</definedName>
    <definedName name="TB5b00d780_0f21_4f65_ac19_47e0ad50c70d" hidden="1">#REF!</definedName>
    <definedName name="TB5b05fa82_fb61_45e0_ab1e_3b3ba1141d08" hidden="1">#REF!</definedName>
    <definedName name="TB5b181f6c_e2cf_4028_bfc9_02fcfd644231" hidden="1">#REF!</definedName>
    <definedName name="TB5b2a7211_3df0_4faa_835b_43107793f3ed" hidden="1">#REF!</definedName>
    <definedName name="TB5b2f4bf5_a883_486b_8f77_ff71073aa996" hidden="1">#REF!</definedName>
    <definedName name="TB5b314718_60c6_4c4c_9f33_497234b774e1" hidden="1">#REF!</definedName>
    <definedName name="TB5b31be2a_6c26_4934_92f0_fc48253490a3" hidden="1">#REF!</definedName>
    <definedName name="TB5b320347_e6c5_4c08_8572_ed7e61c48ba4" hidden="1">#REF!</definedName>
    <definedName name="TB5b33f6ac_1707_4ff0_b35e_8e2f22c29b0f" hidden="1">#REF!</definedName>
    <definedName name="TB5b384bcd_2abf_4483_9abb_54b40429911c" hidden="1">#REF!</definedName>
    <definedName name="TB5b3f3cc2_610d_4b0f_b4e0_9ada04b4f75f" hidden="1">#REF!</definedName>
    <definedName name="TB5b575024_0c2c_47f7_aa5f_af36488f901d" hidden="1">#REF!</definedName>
    <definedName name="TB5b5e83c2_0f82_4e57_aab7_7dffc5dfea9c" hidden="1">#REF!</definedName>
    <definedName name="TB5b6307a8_7a1d_4c13_9910_4933ae89fea4" hidden="1">#REF!</definedName>
    <definedName name="TB5b7c8099_5ae3_4bc1_bd14_f7434ca6f53d" hidden="1">#REF!</definedName>
    <definedName name="TB5b7f0268_ebe4_40fe_89ed_a5c8e84d62fa" hidden="1">#REF!</definedName>
    <definedName name="TB5b86a435_63bc_4923_b08c_47d52650c22f" hidden="1">#REF!</definedName>
    <definedName name="TB5b8839d5_6fed_46de_a00e_7e36a5ccaf1b" hidden="1">#REF!</definedName>
    <definedName name="TB5b95dd1f_7662_4d51_870c_7904e70dcc7e" hidden="1">#REF!</definedName>
    <definedName name="TB5b9c1e83_fbc7_47b8_b00b_220e9d59396d" hidden="1">#REF!</definedName>
    <definedName name="TB5ba7631d_0152_4e38_b046_4b785a42cd00" hidden="1">#REF!</definedName>
    <definedName name="TB5baaa537_2838_4317_96b0_5d7309a890d2" hidden="1">#REF!</definedName>
    <definedName name="TB5bb7ae41_0e35_498c_9e93_fb182b34865a" hidden="1">#REF!</definedName>
    <definedName name="TB5bc1718a_d95a_404f_b89c_4776e73fffb8" hidden="1">#REF!</definedName>
    <definedName name="TB5bd139b6_b948_48c3_a129_45ad0dfba899" hidden="1">#REF!</definedName>
    <definedName name="TB5bd9fd71_5839_4821_9918_56607f4d8da1" hidden="1">#REF!</definedName>
    <definedName name="TB5be04b1f_fe0a_44ae_ad14_40c2a21f8965" hidden="1">#REF!</definedName>
    <definedName name="TB5be4619b_1d75_469e_9485_9bdfb24908e6" hidden="1">#REF!</definedName>
    <definedName name="TB5bfa2247_552e_4ff7_9d51_409af3473991" hidden="1">#REF!</definedName>
    <definedName name="TB5c035c1e_1281_449a_9f2a_1dd016c5c497" hidden="1">#REF!</definedName>
    <definedName name="TB5c06c161_e280_4a9e_8ef0_7d80e362eff6" hidden="1">#REF!</definedName>
    <definedName name="TB5c07149c_2df4_4ad2_99f9_531e7e608e7d" hidden="1">#REF!</definedName>
    <definedName name="TB5c11e79f_cf51_4f8a_af16_052e67565bfb" hidden="1">#REF!</definedName>
    <definedName name="TB5c23898f_5799_4aa8_85a3_be9e221b9718" hidden="1">#REF!</definedName>
    <definedName name="TB5c26f6db_db1c_41f5_b5f4_67b7b52aff17" hidden="1">#REF!</definedName>
    <definedName name="TB5c2be3ce_4f43_48b8_987c_1535944eea28" hidden="1">#REF!</definedName>
    <definedName name="TB5c32d2b9_1dc8_43f4_9e13_e8fed9f2bff2" hidden="1">#REF!</definedName>
    <definedName name="TB5c38ed54_6d63_4613_80b4_dfd298e01d0d" hidden="1">#REF!</definedName>
    <definedName name="TB5c4c0bc7_7e29_4e1a_9695_dd7686887f15" hidden="1">#REF!</definedName>
    <definedName name="TB5c593641_5f80_4939_a9a8_44adc675e60e" hidden="1">#REF!</definedName>
    <definedName name="TB5c70abbc_c55c_466f_92bc_db36233cc787" hidden="1">#REF!</definedName>
    <definedName name="TB5c9dbe70_76b5_4a21_965b_deb007d34a3d" hidden="1">#REF!</definedName>
    <definedName name="TB5c9e8a2b_dcb9_4a49_a556_a8a93ae7ea60" hidden="1">#REF!</definedName>
    <definedName name="TB5ca351b8_4ba5_483f_be3f_a43ce85ae6d0" hidden="1">#REF!</definedName>
    <definedName name="TB5ca6ecca_9911_4492_ab2f_313e8559dcd3" hidden="1">#REF!</definedName>
    <definedName name="TB5ca90b1b_3519_45ca_bc8a_0af357caef0e" hidden="1">#REF!</definedName>
    <definedName name="TB5cac2a73_fd8e_4e04_9ccd_84cf80a2610c" hidden="1">#REF!</definedName>
    <definedName name="TB5cacd139_02d8_4915_9544_6562bfc25c65" hidden="1">#REF!</definedName>
    <definedName name="TB5cb5f6ee_38f5_43c7_8788_5dae920e0b36" hidden="1">#REF!</definedName>
    <definedName name="TB5cb93f2b_dde3_4454_8cd2_305bda79ebea" hidden="1">#REF!</definedName>
    <definedName name="TB5cc0ad56_237b_4e5a_b621_bbc852b6b035" hidden="1">#REF!</definedName>
    <definedName name="TB5cc476c6_4348_4a23_972c_c917120ecf82" hidden="1">#REF!</definedName>
    <definedName name="TB5cdd064c_4235_4aeb_9e27_34f616594226" hidden="1">#REF!</definedName>
    <definedName name="TB5ce12dea_7273_41d3_a14a_433ab46d1e60" hidden="1">#REF!</definedName>
    <definedName name="TB5ceda8c4_85f7_4850_97d0_832650c88b5c" hidden="1">#REF!</definedName>
    <definedName name="TB5d06a763_cbc1_4579_9a3a_3731875a67bb" hidden="1">#REF!</definedName>
    <definedName name="TB5d211e0f_3986_417f_8e65_fbd214b1c985" hidden="1">#REF!</definedName>
    <definedName name="TB5d2c59f4_8204_45f4_bb82_ec9fcf8ebec5" hidden="1">#REF!</definedName>
    <definedName name="TB5d355d86_59ba_44b8_bf42_84002584f36d" hidden="1">#REF!</definedName>
    <definedName name="TB5d37318c_ba84_47ab_8e4c_37952cc20668" hidden="1">#REF!</definedName>
    <definedName name="TB5d395997_9a12_44a8_9ef1_95286f420bc2" hidden="1">#REF!</definedName>
    <definedName name="TB5d49bdee_8d97_4819_b58a_2680e63013c7" hidden="1">#REF!</definedName>
    <definedName name="TB5d5794eb_36f3_4f2f_882e_976312e6bf9d" hidden="1">#REF!</definedName>
    <definedName name="TB5d6299c4_8a91_424a_b92c_22c5ff94d284" hidden="1">#REF!</definedName>
    <definedName name="TB5d9de4af_3488_420c_b305_6b863f4766fa" hidden="1">#REF!</definedName>
    <definedName name="TB5d9fc7bd_77a4_4159_8176_323b12a2053d" hidden="1">#REF!</definedName>
    <definedName name="TB5db20319_d1c1_49bf_89c7_b74f564a760f" hidden="1">#REF!</definedName>
    <definedName name="TB5db95438_fdfb_460c_b383_3d690cdec085" hidden="1">#REF!</definedName>
    <definedName name="TB5dc622bf_6ad6_4492_b98d_feb7c12f32a6" hidden="1">#REF!</definedName>
    <definedName name="TB5dc7fe09_0e1d_44ab_b989_72c302a3fcc5" hidden="1">#REF!</definedName>
    <definedName name="TB5dcf2f77_7371_4689_b3d6_d2c25ecad6ce" hidden="1">#REF!</definedName>
    <definedName name="TB5dcf4180_be82_47c7_90aa_26fe7c544544" hidden="1">#REF!</definedName>
    <definedName name="TB5dd3c8a3_436a_4d01_974d_320c7e34f177" hidden="1">#REF!</definedName>
    <definedName name="TB5dd6e7c2_677f_49aa_a896_6d6f9b697734" hidden="1">#REF!</definedName>
    <definedName name="TB5dd9bf93_a9a3_4850_aba2_263e12997046" hidden="1">#REF!</definedName>
    <definedName name="TB5ddf60a4_3161_41fb_8de5_012dc4d9e409" hidden="1">#REF!</definedName>
    <definedName name="TB5de3e257_f4d3_47f6_93a2_955e0b4e087f" hidden="1">#REF!</definedName>
    <definedName name="TB5dfa1db3_017d_49f8_9430_1f3e8590e452" hidden="1">#REF!</definedName>
    <definedName name="TB5e073d3d_73a0_4c15_a8c1_27b33337f9b0" hidden="1">#REF!</definedName>
    <definedName name="TB5e0da9fc_71da_4573_9a75_883a8f5c01e4" hidden="1">#REF!</definedName>
    <definedName name="TB5e163529_6536_4dfc_a7ea_d1bc36f80f47" hidden="1">#REF!</definedName>
    <definedName name="TB5e22a42d_5e0e_4f40_a9f9_cbe652ad4ea1" hidden="1">#REF!</definedName>
    <definedName name="TB5e23ff74_3098_4c53_8e9f_d97f9ea54664" hidden="1">#REF!</definedName>
    <definedName name="TB5e30b48a_7f41_4517_b0b6_be77fd21cf99" hidden="1">#REF!</definedName>
    <definedName name="TB5e33b057_5725_49c5_8e36_e325f6ac776d" hidden="1">#REF!</definedName>
    <definedName name="TB5e3c1ae4_a958_4725_bfda_dd175db98194" hidden="1">#REF!</definedName>
    <definedName name="TB5e4950c7_932c_4483_9471_4420cdc393d7" hidden="1">#REF!</definedName>
    <definedName name="TB5e4ad0ec_4971_4b50_b1ff_fca197cc68a5" hidden="1">#REF!</definedName>
    <definedName name="TB5e519635_c10c_436e_a282_29979a73ddce" hidden="1">#REF!</definedName>
    <definedName name="TB5e525f68_1947_4afd_8936_01515d2e08e6" hidden="1">#REF!</definedName>
    <definedName name="TB5e553f43_cb4e_4caf_8135_33342a7c8be6" hidden="1">#REF!</definedName>
    <definedName name="TB5e64e537_f103_4f6c_80e5_c1f97b10ecaa" hidden="1">#REF!</definedName>
    <definedName name="TB5e697caa_4358_407a_8a30_68de6d4737a2" hidden="1">#REF!</definedName>
    <definedName name="TB5e70053b_f6e5_47ca_a970_5e2cea369bd0" hidden="1">#REF!</definedName>
    <definedName name="TB5e80f659_99ca_43b7_ade9_d826302b6cd0" hidden="1">#REF!</definedName>
    <definedName name="TB5e82ef2d_19d7_442d_be21_816a45cb0a68" hidden="1">#REF!</definedName>
    <definedName name="TB5e941711_930e_458a_9c46_86c94a3f862c" hidden="1">#REF!</definedName>
    <definedName name="TB5e94533b_23ff_4936_a7af_d7338df18b2b" hidden="1">#REF!</definedName>
    <definedName name="TB5e97582a_10df_4d83_a9de_a29a9cf77201" hidden="1">#REF!</definedName>
    <definedName name="TB5ea249af_7762_4ff8_aecd_bfe4783b8a58" hidden="1">#REF!</definedName>
    <definedName name="TB5ea35bf0_d816_4cda_969b_3d39d82b021d" hidden="1">#REF!</definedName>
    <definedName name="TB5eb223f3_6f99_4b7b_b686_fd1ea32bcbed" hidden="1">#REF!</definedName>
    <definedName name="TB5ebaff31_0f0a_4d76_84b3_be2f4bd30e94" hidden="1">#REF!</definedName>
    <definedName name="TB5ec3c94a_b004_41d1_bb62_e59c02859c7c" hidden="1">#REF!</definedName>
    <definedName name="TB5ec737a7_8afb_45fb_9fb0_c7f8be2d3480" hidden="1">#REF!</definedName>
    <definedName name="TB5ec8dace_d4bf_4066_8240_eb4d6f4bbf06" hidden="1">#REF!</definedName>
    <definedName name="TB5ed81c50_5993_4eda_9382_f0854fde98a7" hidden="1">#REF!</definedName>
    <definedName name="TB5ee6f527_3eae_4c3b_bcdb_b84562cf5de4" hidden="1">#REF!</definedName>
    <definedName name="TB5eedc91d_7a8f_4338_87aa_874e73827f27" hidden="1">#REF!</definedName>
    <definedName name="TB5eee7e2d_d541_44da_b83a_ab7db7e28bd5" hidden="1">#REF!</definedName>
    <definedName name="TB5ef4e7e7_f3bd_48d8_a00e_87cef229013a" hidden="1">#REF!</definedName>
    <definedName name="TB5f021103_84ce_45b5_b35a_243beaf43937" hidden="1">#REF!</definedName>
    <definedName name="TB5f0ea981_d3f4_43fb_9118_d8fd9290a72f" hidden="1">#REF!</definedName>
    <definedName name="TB5f11beff_4b4e_49c7_b26a_4156a69f1aff" hidden="1">#REF!</definedName>
    <definedName name="TB5f2903fc_7db5_4ae0_8876_0b66166a295e" hidden="1">#REF!</definedName>
    <definedName name="TB5f393033_732b_4199_a382_94dc61def7e1" hidden="1">#REF!</definedName>
    <definedName name="TB5f3e7294_f144_43c4_ae1f_dc313b0495f7" hidden="1">#REF!</definedName>
    <definedName name="TB5f52ebb6_4924_4015_a4cc_2447aaac5c2b" hidden="1">#REF!</definedName>
    <definedName name="TB5f5a3d6b_34c2_4011_bde8_e67642dca89d" hidden="1">#REF!</definedName>
    <definedName name="TB5f5b8ac0_f10b_4fd5_b6a8_300902eef19c" hidden="1">#REF!</definedName>
    <definedName name="TB5f67c826_2326_4a17_8bfc_2e32b10ce552" hidden="1">#REF!</definedName>
    <definedName name="TB5f752e56_aea4_482e_bfde_a4c77ab3c2ec" hidden="1">#REF!</definedName>
    <definedName name="TB5f754691_1c59_44fc_a891_b33ce5edcf9e" hidden="1">#REF!</definedName>
    <definedName name="TB5f7e8559_5f4c_4951_b661_bec5cb84d599" hidden="1">#REF!</definedName>
    <definedName name="TB5f8782ac_8333_4eed_baca_691d511e0e95" hidden="1">#REF!</definedName>
    <definedName name="TB5f94f6c8_aca9_4d2d_9453_eccd2699295e" hidden="1">#REF!</definedName>
    <definedName name="TB5fa3edda_6304_469d_bc0e_9e9c511c5cdd" hidden="1">#REF!</definedName>
    <definedName name="TB5fa79f99_6b67_4983_8a49_6c83deadbbb8" hidden="1">#REF!</definedName>
    <definedName name="TB5fb55b98_742f_49d4_913b_e729c57dc303" hidden="1">#REF!</definedName>
    <definedName name="TB5fb60464_c5d7_4647_a006_221e52b06668" hidden="1">#REF!</definedName>
    <definedName name="TB5fb91460_fc67_4819_a1f8_5201e6a41354" hidden="1">#REF!</definedName>
    <definedName name="TB5fdb391a_ac28_46f1_8118_be0fee18fdff" hidden="1">#REF!</definedName>
    <definedName name="TB5fe89b9c_a1ee_4df2_936e_2491342b9519" hidden="1">#REF!</definedName>
    <definedName name="TB5fec0c47_8eb8_46e5_ae98_166d5a2417a2" hidden="1">#REF!</definedName>
    <definedName name="TB5ff80e05_37bf_4976_88ca_656bc3230f3b" hidden="1">#REF!</definedName>
    <definedName name="TB5ffa89e6_8133_44e5_ad3e_caa8d630cce2" hidden="1">#REF!</definedName>
    <definedName name="TB6003f308_9473_4c4a_8dc9_662c9015670b" hidden="1">#REF!</definedName>
    <definedName name="TB6004d8ff_f1af_40da_9338_239ae141c38b" hidden="1">#REF!</definedName>
    <definedName name="TB60073a14_b84f_4225_a63e_e3b0febf3920" hidden="1">#REF!</definedName>
    <definedName name="TB601121df_517b_4617_a62d_01838eb65aac" hidden="1">#REF!</definedName>
    <definedName name="TB60150f6a_af34_4eef_a7f7_7dda95435a41" hidden="1">#REF!</definedName>
    <definedName name="TB6015f0b3_8b0a_4d47_b739_6288a409cbc1" hidden="1">#REF!</definedName>
    <definedName name="TB6018be7d_0c02_4775_a5a2_1fd499916c4f" hidden="1">#REF!</definedName>
    <definedName name="TB6026d6c7_ada8_43ff_a45b_ef2eef1436a0" hidden="1">#REF!</definedName>
    <definedName name="TB6045c860_d266_4e99_9f98_642d4e667da2" hidden="1">#REF!</definedName>
    <definedName name="TB6055977b_61c4_4ddf_814d_155a928edb24" hidden="1">#REF!</definedName>
    <definedName name="TB60658a5c_32b2_4dfa_8c2d_611438f4631a" hidden="1">#REF!</definedName>
    <definedName name="TB6066a39f_f62f_4d44_adfe_fa37d94d52a6" hidden="1">#REF!</definedName>
    <definedName name="TB6067a53c_19a7_497a_88d3_af010990223d" hidden="1">#REF!</definedName>
    <definedName name="TB607f36dc_a39c_40fc_93e3_15122175271c" hidden="1">#REF!</definedName>
    <definedName name="TB608399ac_8e33_4782_9717_f6c45f400fb8" hidden="1">#REF!</definedName>
    <definedName name="TB60846402_8729_4404_902b_e8253072921b" hidden="1">#REF!</definedName>
    <definedName name="TB6085c471_415d_40de_830a_2ec40882e1b3" hidden="1">#REF!</definedName>
    <definedName name="TB6086e4ed_68a9_4664_bd75_c9fe990c1b41" hidden="1">#REF!</definedName>
    <definedName name="TB6087c43e_5322_41f0_9656_c629cd23e210" hidden="1">#REF!</definedName>
    <definedName name="TB6089597c_6b94_4afb_8b91_bb07aa674a29" hidden="1">#REF!</definedName>
    <definedName name="TB608ab41c_a2ab_497e_be23_33636f07a7f8" hidden="1">#REF!</definedName>
    <definedName name="TB6090975b_9253_4028_a600_67e5a01c1c82" hidden="1">#REF!</definedName>
    <definedName name="TB60a77992_6217_4036_8733_d0b5c557d2c9" hidden="1">#REF!</definedName>
    <definedName name="TB60a9154b_d6e2_44c6_9409_5ac591e5d9d9" hidden="1">#REF!</definedName>
    <definedName name="TB60b43320_b747_48ad_9055_e5e2cbf3c127" hidden="1">#REF!</definedName>
    <definedName name="TB60b5d04e_cb43_4ab3_b2d7_5d8e0843a37e" hidden="1">#REF!</definedName>
    <definedName name="TB60c07e9c_f11a_4630_a243_642ff39fc042" hidden="1">#REF!</definedName>
    <definedName name="TB60c13c28_b24a_4ff7_b697_039df96e7c0b" hidden="1">#REF!</definedName>
    <definedName name="TB60d21d98_23ea_496d_91db_42b022c3344b" hidden="1">#REF!</definedName>
    <definedName name="TB60ebd6cb_8c30_4c6c_b8d1_63ec9b0ccd6f" hidden="1">#REF!</definedName>
    <definedName name="TB60ecb4a0_87b9_4bcf_991e_6b44fda4e7b0" hidden="1">#REF!</definedName>
    <definedName name="TB60ed2604_ce7e_4101_ac8d_2477d203159a" hidden="1">#REF!</definedName>
    <definedName name="TB60ef791f_c873_4eb0_9e5a_f41c13adf7e0" hidden="1">#REF!</definedName>
    <definedName name="TB60efb1fb_8997_47dd_ba6b_2b695a4ed1fa" hidden="1">#REF!</definedName>
    <definedName name="TB60f6ff29_0d81_4be5_8fe7_b46aa558b102" hidden="1">#REF!</definedName>
    <definedName name="TB610590f3_e805_492d_aec9_16681ab607a9" hidden="1">#REF!</definedName>
    <definedName name="TB610c9aa3_c06a_4f77_8e91_0bec478ee2ff" hidden="1">#REF!</definedName>
    <definedName name="TB6111c6f5_58ef_4052_a7e4_15535057debe" hidden="1">#REF!</definedName>
    <definedName name="TB61125b35_7214_4826_914f_9a428fd9d954" hidden="1">#REF!</definedName>
    <definedName name="TB612b527f_f435_4582_a9ad_ada79206ae21" hidden="1">#REF!</definedName>
    <definedName name="TB612cb418_4540_49b7_ba2d_24d0b8217e69" hidden="1">#REF!</definedName>
    <definedName name="TB6132e418_942d_4894_97d8_9464adf85825" hidden="1">#REF!</definedName>
    <definedName name="TB6134b428_ee2c_4bc6_b592_5ea56c14fc7a" hidden="1">#REF!</definedName>
    <definedName name="TB6134ed9b_7754_45aa_a24f_c1916ba058c7" hidden="1">#REF!</definedName>
    <definedName name="TB613ad4cf_b688_4e1b_acd2_3b5bcb79bc5e" hidden="1">#REF!</definedName>
    <definedName name="TB6145287b_c908_4504_8036_a2612ae48819" hidden="1">#REF!</definedName>
    <definedName name="TB614b6c14_7b16_4d28_9a57_191bce59d55c" hidden="1">#REF!</definedName>
    <definedName name="TB6150fd9c_75ea_4d96_8d78_b753c12dda17" hidden="1">#REF!</definedName>
    <definedName name="TB6159558f_3e60_4b8d_90ef_8c0e9084096e" hidden="1">#REF!</definedName>
    <definedName name="TB6172c8b2_f77b_40be_a1ec_53f0a3157f15" hidden="1">#REF!</definedName>
    <definedName name="TB618ce49d_d641_4044_b584_8c9f54a92aa4" hidden="1">#REF!</definedName>
    <definedName name="TB61a20a62_6bca_43de_bba7_ffdee9c6a349" hidden="1">#REF!</definedName>
    <definedName name="TB61a639b7_7ba5_4ee8_9d2d_0d3b8eeac097" hidden="1">#REF!</definedName>
    <definedName name="TB61b7f8f5_f222_4917_bd09_c494433b4b63" hidden="1">#REF!</definedName>
    <definedName name="TB61bc2e92_bac1_4152_a3fb_cb14acd6c3a3" hidden="1">#REF!</definedName>
    <definedName name="TB61bc6f48_312c_4de2_845b_749c012d6669" hidden="1">#REF!</definedName>
    <definedName name="TB61c2b019_1748_4391_9628_0a319b724afd" hidden="1">#REF!</definedName>
    <definedName name="TB61c4c004_65df_45c2_9d3a_2c8dcad135d9" hidden="1">#REF!</definedName>
    <definedName name="TB61cc4528_3809_4053_bd64_2a0e1e6caac3" hidden="1">#REF!</definedName>
    <definedName name="TB61e270cf_d300_49ab_b35b_e4e8bbca051f" hidden="1">#REF!</definedName>
    <definedName name="TB61e6be91_f34c_4e63_9f26_f83b79c2ccb6" hidden="1">#REF!</definedName>
    <definedName name="TB61e916e0_ad52_4014_9834_d76490e9c259" hidden="1">#REF!</definedName>
    <definedName name="TB61eefa5d_d2f0_479e_bb5f_4bc3012738da" hidden="1">#REF!</definedName>
    <definedName name="TB62038b47_7126_48c5_92b0_a313fad688c5" hidden="1">#REF!</definedName>
    <definedName name="TB620e40fb_b633_47d4_ae90_f37e81440713" hidden="1">#REF!</definedName>
    <definedName name="TB62139b2b_9f1c_4f94_bc63_3d106211f0c7" hidden="1">#REF!</definedName>
    <definedName name="TB6214baf2_7671_4d4c_804c_ac44e182a13f" hidden="1">#REF!</definedName>
    <definedName name="TB6214d953_9f81_4896_a98a_3ad62a468e95" hidden="1">#REF!</definedName>
    <definedName name="TB622855ae_f97d_4978_9e12_cbe42025b784" hidden="1">#REF!</definedName>
    <definedName name="TB622b0f86_cc16_40fb_88d5_46c334971999" hidden="1">#REF!</definedName>
    <definedName name="TB623110d5_f220_4e64_ac21_7b8071443244" hidden="1">#REF!</definedName>
    <definedName name="TB62321bde_74a5_4b0d_971a_5cca076ad0e5" hidden="1">#REF!</definedName>
    <definedName name="TB62405de8_f53a_49e3_910c_38520096b9c4" hidden="1">#REF!</definedName>
    <definedName name="TB62479c19_a290_43d3_a974_f5c285952836" hidden="1">#REF!</definedName>
    <definedName name="TB624cac90_286e_4063_bc51_76969e91e6f6" hidden="1">#REF!</definedName>
    <definedName name="TB6258d81e_b9db_4f73_9735_74163000c56e" hidden="1">#REF!</definedName>
    <definedName name="TB625a4dfa_2652_439f_9d3d_24149bb8be3e" hidden="1">#REF!</definedName>
    <definedName name="TB625e05d1_34d9_432a_94fd_aedda1d8faca" hidden="1">#REF!</definedName>
    <definedName name="TB6266f6bf_2c6d_4aea_b261_7e6b17991bfa" hidden="1">#REF!</definedName>
    <definedName name="TB6277fa88_0294_42ae_aecc_6e0ed657a677" hidden="1">#REF!</definedName>
    <definedName name="TB62787383_ab89_44bd_8b98_4aaad7a8b563" hidden="1">#REF!</definedName>
    <definedName name="TB62826f8e_814d_4d03_9579_225884e5aaf6" hidden="1">#REF!</definedName>
    <definedName name="TB6288f565_fa05_4120_b70d_992bacbc243c" hidden="1">#REF!</definedName>
    <definedName name="TB62964db8_18f9_4387_ad9e_a732ad4b1c54" hidden="1">#REF!</definedName>
    <definedName name="TB629686db_bd2d_40f6_bd5b_1f731283ea7a" hidden="1">#REF!</definedName>
    <definedName name="TB62970f7b_fa19_4249_8156_b728c01dba1a" hidden="1">#REF!</definedName>
    <definedName name="TB629dc8ae_8ea7_4668_8645_714aac236873" hidden="1">#REF!</definedName>
    <definedName name="TB62a6fcb5_fbae_450e_a55e_0d500701c9e9" hidden="1">#REF!</definedName>
    <definedName name="TB62a71a96_ba44_42af_8245_62eae3049630" hidden="1">#REF!</definedName>
    <definedName name="TB62ab7bd8_397e_4071_8d6f_a8792e25f51f" hidden="1">#REF!</definedName>
    <definedName name="TB62ae1af8_e728_48ea_b8a8_76dea370ab8c" hidden="1">#REF!</definedName>
    <definedName name="TB62cfcee0_73ee_4b16_879f_48c5c34b54c9" hidden="1">#REF!</definedName>
    <definedName name="TB62e3cb3b_9232_4ec8_b999_2f9664490bbc" hidden="1">#REF!</definedName>
    <definedName name="TB62e9c617_22ba_4a80_9357_bf2077fb1283" hidden="1">#REF!</definedName>
    <definedName name="TB6322c9f4_cf5f_455f_9481_8a499694a249" hidden="1">#REF!</definedName>
    <definedName name="TB632828aa_0ddc_4f1c_9192_bbc09e6dc96a" hidden="1">#REF!</definedName>
    <definedName name="TB63332526_d5f6_4e58_8611_9004a34d8c90" hidden="1">#REF!</definedName>
    <definedName name="TB635e4a54_80f2_4cec_a913_d5820a1afc8b" hidden="1">#REF!</definedName>
    <definedName name="TB637aaf82_277b_4388_858f_2c2dc897da6d" hidden="1">#REF!</definedName>
    <definedName name="TB638a55a2_7f57_4fb5_96de_51ba8b06edc0" hidden="1">#REF!</definedName>
    <definedName name="TB63976b33_e432_4ac6_950c_fb822a51f1a2" hidden="1">#REF!</definedName>
    <definedName name="TB63a25a49_830c_44ca_813a_8716eb0b04ea" hidden="1">#REF!</definedName>
    <definedName name="TB63aca28b_5d0c_4946_bc5b_7df7f0b42a41" hidden="1">#REF!</definedName>
    <definedName name="TB63b97d74_fa04_4296_b7c0_844dfe2e1f04" hidden="1">#REF!</definedName>
    <definedName name="TB63c9cde5_9883_4a61_94fa_d964909f45cc" hidden="1">#REF!</definedName>
    <definedName name="TB63d4c234_2659_43bb_985d_36773a40dca1" hidden="1">#REF!</definedName>
    <definedName name="TB63db9630_dc59_418b_99dd_3d9009d13cf6" hidden="1">#REF!</definedName>
    <definedName name="TB63ed9c0c_70dc_421e_9d07_dd56d8884cae" hidden="1">#REF!</definedName>
    <definedName name="TB63f2224f_e260_4f2a_9833_0d0c32e4e4bd" hidden="1">#REF!</definedName>
    <definedName name="TB63f7c7e9_ea23_4f7f_aead_eec9a8522ca0" hidden="1">#REF!</definedName>
    <definedName name="TB63fa3d79_2bba_4383_aedd_7df8445b7ccc" hidden="1">#REF!</definedName>
    <definedName name="TB63fcc8e7_97a5_4f94_8b1b_e89c9a66e380" hidden="1">#REF!</definedName>
    <definedName name="TB64017477_f3b2_4a55_99e3_a88a02d341b8" hidden="1">#REF!</definedName>
    <definedName name="TB640f35d5_d5be_4481_9a6c_ef7f8a2baafb" hidden="1">#REF!</definedName>
    <definedName name="TB640f4260_55da_4d57_97ef_0f347b4980b1" hidden="1">#REF!</definedName>
    <definedName name="TB641a1bf7_f316_498e_911c_ca1949c1f9b1" hidden="1">#REF!</definedName>
    <definedName name="TB641d23cd_eb1d_4bde_9504_c50707a53839" hidden="1">#REF!</definedName>
    <definedName name="TB641f7c7a_8a82_4675_9966_eb5568fe6062" hidden="1">#REF!</definedName>
    <definedName name="TB642927f3_aa67_4253_9c3b_288b0bdd144d" hidden="1">#REF!</definedName>
    <definedName name="TB642c2a38_7ae8_487f_a060_c728ab7e48fd" hidden="1">#REF!</definedName>
    <definedName name="TB642cc2ad_d2f7_4872_8b4f_abdc6042da04" hidden="1">#REF!</definedName>
    <definedName name="TB643063c0_d790_4361_a8b7_d170c97f4426" hidden="1">#REF!</definedName>
    <definedName name="TB6431f46d_f5a3_4daa_adeb_4c8c57fec96d" hidden="1">#REF!</definedName>
    <definedName name="TB6432d1a3_053a_4071_8dad_4dd94d2fe338" hidden="1">#REF!</definedName>
    <definedName name="TB6448630c_66a5_417d_b3ed_7e5e7bcf41d0" hidden="1">#REF!</definedName>
    <definedName name="TB6452b322_b30a_41a4_8fc2_2b3e2cf5ef2e" hidden="1">#REF!</definedName>
    <definedName name="TB6461a88c_b39e_4dbf_b91e_fc94a1eeb024" hidden="1">#REF!</definedName>
    <definedName name="TB6469274b_3a83_4d97_85da_79af0e00a08b" hidden="1">#REF!</definedName>
    <definedName name="TB64706b19_534c_4815_9b89_f3e0f9150214" hidden="1">#REF!</definedName>
    <definedName name="TB647e8579_95e8_4e6b_9dcc_afb129161634" hidden="1">#REF!</definedName>
    <definedName name="TB6497cee0_1953_493a_b712_bd0260985faf" hidden="1">#REF!</definedName>
    <definedName name="TB64a7b352_8b7b_4c00_b706_c71833d4818f" hidden="1">#REF!</definedName>
    <definedName name="TB64b04414_8541_41f2_b936_31ac34d8129e" hidden="1">#REF!</definedName>
    <definedName name="TB64c4ab6f_b660_4722_849a_10cf0df32beb" hidden="1">#REF!</definedName>
    <definedName name="TB64c4af66_bccd_4955_94d1_0b26a9e1b3e7" hidden="1">#REF!</definedName>
    <definedName name="TB64d54ce1_1e2d_4320_983d_17bf7a1a35f5" hidden="1">#REF!</definedName>
    <definedName name="TB64d58d3a_dd10_430f_a101_fec5d8e1100c" hidden="1">#REF!</definedName>
    <definedName name="TB64de662a_fec7_43b8_a131_cf650acf2026" hidden="1">#REF!</definedName>
    <definedName name="TB64dfbddf_150b_4dca_9627_4a08a5ec85ad" hidden="1">#REF!</definedName>
    <definedName name="TB64ee4aae_3575_481d_953e_a562fba8f3ec" hidden="1">#REF!</definedName>
    <definedName name="TB64fbf840_c260_45b2_9a8b_a2dbd99ee28a" hidden="1">#REF!</definedName>
    <definedName name="TB65082f92_49d7_4080_8974_f7942e83ccb5" hidden="1">#REF!</definedName>
    <definedName name="TB650b8ed1_db58_4242_abcd_c0f0597d1110" hidden="1">#REF!</definedName>
    <definedName name="TB6515bfa1_57dd_4f04_a9a1_1bc2dff3ed4d" hidden="1">#REF!</definedName>
    <definedName name="TB6524d3b8_a6fe_48dc_8c7b_1099a03ed633" hidden="1">#REF!</definedName>
    <definedName name="TB652b4358_ddfe_41c2_97b6_d0cf3a2af974" hidden="1">#REF!</definedName>
    <definedName name="TB6532a614_a614_47bb_9c54_e67a659068fd" hidden="1">#REF!</definedName>
    <definedName name="TB65414651_2a1a_4ffc_ae50_33286737cc13" hidden="1">#REF!</definedName>
    <definedName name="TB655319c6_3f3f_4bec_9c5e_82bc2430562a" hidden="1">#REF!</definedName>
    <definedName name="TB65539bd5_91b4_4b90_b1cc_9402f148811d" hidden="1">#REF!</definedName>
    <definedName name="TB655b7c14_090c_4c6c_8cdb_830ee55f5164" hidden="1">#REF!</definedName>
    <definedName name="TB655dd213_1a4c_4dd1_acb4_930f1fdba5d7" hidden="1">#REF!</definedName>
    <definedName name="TB655eea48_b9e6_48d3_a903_6b3e62dbbf96" hidden="1">#REF!</definedName>
    <definedName name="TB65656806_ea47_41ee_9bcf_3b110297dc00" hidden="1">#REF!</definedName>
    <definedName name="TB657cfbf8_547c_4661_bb23_29480364e87d" hidden="1">#REF!</definedName>
    <definedName name="TB65870696_be16_488a_8eb8_465615e45add" hidden="1">#REF!</definedName>
    <definedName name="TB6595b771_3d02_4adb_a1a0_06489aab24d0" hidden="1">#REF!</definedName>
    <definedName name="TB659e1c8f_be98_4c63_92e9_0da8ad92aee1" hidden="1">#REF!</definedName>
    <definedName name="TB65a10c7d_71aa_4411_bd7d_16f59a1a705d" hidden="1">#REF!</definedName>
    <definedName name="TB65ad33c6_8711_4d61_8b09_1da7a6332729" hidden="1">#REF!</definedName>
    <definedName name="TB65b8e477_edc2_417e_a009_40abfde96ce9" hidden="1">#REF!</definedName>
    <definedName name="TB65ca57bb_96ff_473e_9371_cb538e11410b" hidden="1">#REF!</definedName>
    <definedName name="TB65cd7c9c_d838_42c6_abd7_a448b0c8568c" hidden="1">#REF!</definedName>
    <definedName name="TB65e26662_0bab_476f_947e_46b53c0159f2" hidden="1">#REF!</definedName>
    <definedName name="TB65e362a3_f9fd_4cb1_8113_5e0380d9759d" hidden="1">#REF!</definedName>
    <definedName name="TB65eae175_41ce_4561_8712_5f45ae9a24b3" hidden="1">#REF!</definedName>
    <definedName name="TB65f4b468_e322_4c38_90dd_ff591a307d03" hidden="1">#REF!</definedName>
    <definedName name="TB65f7313f_2ca7_470e_b72f_c514a619d9c9" hidden="1">#REF!</definedName>
    <definedName name="TB65f8e234_a183_43f8_add4_2598834d89de" hidden="1">#REF!</definedName>
    <definedName name="TB660348a3_7342_46e9_9f82_3da684c2c763" hidden="1">#REF!</definedName>
    <definedName name="TB6603cfc2_52c8_4b2f_8645_a15d858289f0" hidden="1">#REF!</definedName>
    <definedName name="TB6610a04c_6968_4502_9f25_88003b7aa7aa" hidden="1">#REF!</definedName>
    <definedName name="TB661367bd_e239_45dd_9a01_83c54aba4c8b" hidden="1">#REF!</definedName>
    <definedName name="TB6613be52_f2f0_4fa2_8f73_9a9cdf8df510" hidden="1">#REF!</definedName>
    <definedName name="TB6613e7b9_57d8_467d_8c5f_3128d9b3bf5d" hidden="1">#REF!</definedName>
    <definedName name="TB661c4255_c860_4493_8f7a_34c35d35cbb7" hidden="1">#REF!</definedName>
    <definedName name="TB661e3ba3_cab6_460d_8264_8990ce43215c" hidden="1">#REF!</definedName>
    <definedName name="TB6634317a_1fa2_496a_a0e3_f58bdd8442a5" hidden="1">#REF!</definedName>
    <definedName name="TB6635c10c_909a_422e_acb1_52d7c3b591c5" hidden="1">#REF!</definedName>
    <definedName name="TB663c4822_cb04_4539_8d59_c59f806af2b4" hidden="1">#REF!</definedName>
    <definedName name="TB664faee2_3828_445f_bae0_d1400dfa680b" hidden="1">#REF!</definedName>
    <definedName name="TB66557527_4310_4217_a1eb_ccb2f9157f7f" hidden="1">#REF!</definedName>
    <definedName name="TB66591b7a_fa2b_41f5_b7f3_ede0ed46db31" hidden="1">#REF!</definedName>
    <definedName name="TB665b1c82_4789_4632_b9bc_6634c7d28e38" hidden="1">#REF!</definedName>
    <definedName name="TB665c97ba_8854_48b3_bcfa_927e295721f5" hidden="1">#REF!</definedName>
    <definedName name="TB666a6ac0_d647_4cda_a014_f8e3b336c375" hidden="1">#REF!</definedName>
    <definedName name="TB66732507_25e6_459e_9a58_870540dc184c" hidden="1">#REF!</definedName>
    <definedName name="TB667e2465_8586_4e6f_8069_f569a658d6b7" hidden="1">#REF!</definedName>
    <definedName name="TB6684d5e7_81c0_464d_a7da_8c0fec15f662" hidden="1">#REF!</definedName>
    <definedName name="TB668d378c_9d47_47b4_8beb_2123068ed80e" hidden="1">#REF!</definedName>
    <definedName name="TB6694e9b1_ba17_4341_b4c0_33573b6786ca" hidden="1">#REF!</definedName>
    <definedName name="TB66b2fff5_295e_42bf_8ff1_d1b587507057" hidden="1">#REF!</definedName>
    <definedName name="TB66b5e59e_1a5b_4d5f_ad97_daf8ec35dc16" hidden="1">#REF!</definedName>
    <definedName name="TB66ba9a6e_248d_4896_bdbd_3daf4295d466" hidden="1">#REF!</definedName>
    <definedName name="TB66c3aa62_9fae_4ad9_8938_d06f189a7809" hidden="1">#REF!</definedName>
    <definedName name="TB66e20dd1_bb96_463b_943d_042d0d9647c7" hidden="1">#REF!</definedName>
    <definedName name="TB66ec67f0_b804_49d9_b133_b548db9cfa7d" hidden="1">#REF!</definedName>
    <definedName name="TB66fe72d2_a735_445a_af58_46b263cc6204" hidden="1">#REF!</definedName>
    <definedName name="TB6700451e_1f69_4a5b_afa7_efaf2eb6a001" hidden="1">#REF!</definedName>
    <definedName name="TB67102be8_6351_446f_8a0f_b267cf4a6850" hidden="1">#REF!</definedName>
    <definedName name="TB671117dd_5fc9_4dbd_86b4_2819f24145b4" hidden="1">#REF!</definedName>
    <definedName name="TB6711c519_9fa3_47ea_8847_8d8c115a361a" hidden="1">#REF!</definedName>
    <definedName name="TB6715a2b3_42de_4f23_930c_9128f3844feb" hidden="1">#REF!</definedName>
    <definedName name="TB67178cb7_60e1_46c9_b5a9_11c610ebb671" hidden="1">#REF!</definedName>
    <definedName name="TB672795d4_17cc_4005_a9bf_39959e3ba549" hidden="1">#REF!</definedName>
    <definedName name="TB672a0a70_825b_4c97_89bf_aeb6841c71e5" hidden="1">#REF!</definedName>
    <definedName name="TB67348182_dae0_4069_9e47_5bd0bcd468de" hidden="1">#REF!</definedName>
    <definedName name="TB673a0f10_3578_4d51_a725_25798bc714c4" hidden="1">#REF!</definedName>
    <definedName name="TB67497477_24f1_4a89_ab31_5896b5c4e865" hidden="1">#REF!</definedName>
    <definedName name="TB674c0f64_bf2a_41f6_8d12_7caa2440776a" hidden="1">#REF!</definedName>
    <definedName name="TB6759c427_bea8_4b6d_a85f_010696e36f10" hidden="1">#REF!</definedName>
    <definedName name="TB675a4966_c054_4a98_84e6_5be46a0abb62" hidden="1">#REF!</definedName>
    <definedName name="TB676406a1_cadf_445d_889d_7a7b399c2cf8" hidden="1">#REF!</definedName>
    <definedName name="TB676c80ac_bc00_4115_a30f_87c4b666148c" hidden="1">#REF!</definedName>
    <definedName name="TB676ff443_563a_4ff5_8f6c_7cfd84c31a55" hidden="1">#REF!</definedName>
    <definedName name="TB678289f8_cc68_4887_afce_1d83273aef82" hidden="1">#REF!</definedName>
    <definedName name="TB6789d9ea_fa31_4abb_b3f3_a9c2f165e302" hidden="1">#REF!</definedName>
    <definedName name="TB67a10516_d03a_4f52_8ec8_49cbe63b680f" hidden="1">#REF!</definedName>
    <definedName name="TB67b8a8cb_2e38_44fa_8372_03d542919f8a" hidden="1">#REF!</definedName>
    <definedName name="TB67b9826b_7f62_467b_b631_31e55aaa3ca8" hidden="1">#REF!</definedName>
    <definedName name="TB67ba984b_3d3d_4bd9_885c_657ec7987128" hidden="1">#REF!</definedName>
    <definedName name="TB67c0a37a_8dd5_475a_8e8b_ea7a2c4d9f8a" hidden="1">#REF!</definedName>
    <definedName name="TB67cef063_b8c0_45e6_a5b6_ef9134d376fd" hidden="1">#REF!</definedName>
    <definedName name="TB67d4b3c6_4ecd_47fa_a4f7_23588a7d3a33" hidden="1">#REF!</definedName>
    <definedName name="TB67e04ba7_d08e_4140_9aaf_be186f002ffc" hidden="1">#REF!</definedName>
    <definedName name="TB67e8721f_eb69_4d24_964c_636a0a9a8014" hidden="1">#REF!</definedName>
    <definedName name="TB67f44d78_ea4d_49d8_a7a8_537488e6c174" hidden="1">#REF!</definedName>
    <definedName name="TB67fc5e1c_155d_4d3e_928c_708c8bc6d578" hidden="1">#REF!</definedName>
    <definedName name="TB6802e654_bf94_4698_b76a_1d1c5797ada2" hidden="1">#REF!</definedName>
    <definedName name="TB68044f58_69f2_4e48_b909_0206060106b1" hidden="1">#REF!</definedName>
    <definedName name="TB68055e43_92a7_401c_9670_7a9ac6f48368" hidden="1">#REF!</definedName>
    <definedName name="TB68060261_d315_4e06_84e9_7cad694e46ea" hidden="1">#REF!</definedName>
    <definedName name="TB6809cd80_9ea9_438d_a098_f6aacbd579cd" hidden="1">#REF!</definedName>
    <definedName name="TB68217abf_bcfd_439d_b5a5_925b77b6effd" hidden="1">#REF!</definedName>
    <definedName name="TB6825e09f_9751_44d6_82b9_46cb6dc09738" hidden="1">#REF!</definedName>
    <definedName name="TB6832b769_2702_44d3_9e6f_ddbe04d84c9e" hidden="1">#REF!</definedName>
    <definedName name="TB683452d2_663c_4604_ba97_f3530f96aa33" hidden="1">#REF!</definedName>
    <definedName name="TB685cee74_bfd1_40cf_81ae_12cb5767143e" hidden="1">#REF!</definedName>
    <definedName name="TB68762781_b950_43be_bfb1_a50143111000" hidden="1">#REF!</definedName>
    <definedName name="TB688276d5_846a_452c_a6b2_bae1a6421421" hidden="1">#REF!</definedName>
    <definedName name="TB68971ffa_9395_404d_a65e_d9b8d21f6549" hidden="1">#REF!</definedName>
    <definedName name="TB6897a584_7f34_4a8d_83c1_1d0d952de32a" hidden="1">#REF!</definedName>
    <definedName name="TB68b5a9e2_27be_4073_958a_6a124eddb465" hidden="1">#REF!</definedName>
    <definedName name="TB68bdf018_e62b_43a3_995b_bf0d0dc21bb8" hidden="1">#REF!</definedName>
    <definedName name="TB68be9fda_83a3_40d7_8bce_06a2f5b31b83" hidden="1">#REF!</definedName>
    <definedName name="TB68caca0c_5323_4ecd_b311_fdfe28c1990e" hidden="1">#REF!</definedName>
    <definedName name="TB68ccd47e_8d09_4488_a70c_4cd33368b458" hidden="1">#REF!</definedName>
    <definedName name="TB68d46491_488b_4c26_b1d9_95f4dd48b59a" hidden="1">#REF!</definedName>
    <definedName name="TB68d59013_03d9_4e6f_9b0d_8998600156e2" hidden="1">#REF!</definedName>
    <definedName name="TB68d81ea8_ed8b_485e_b473_8693a06f46fe" hidden="1">#REF!</definedName>
    <definedName name="TB68da69fd_ef05_44ff_9e98_38651131bc69" hidden="1">#REF!</definedName>
    <definedName name="TB68dd7c68_fd3f_437a_93fb_39b34ec6fae2" hidden="1">#REF!</definedName>
    <definedName name="TB68e43706_2259_4b17_b1bb_5332db627ee1" hidden="1">#REF!</definedName>
    <definedName name="TB68eb21ae_7335_485d_8867_d13013a6e061" hidden="1">#REF!</definedName>
    <definedName name="TB68eb2b35_2be6_49aa_84b2_abeb67576206" hidden="1">#REF!</definedName>
    <definedName name="TB6901a78d_bcd7_4832_be08_f89f9ce88490" hidden="1">#REF!</definedName>
    <definedName name="TB69022c9e_25c8_408e_84d7_1fefe3f69b1b" hidden="1">#REF!</definedName>
    <definedName name="TB690c8aec_6121_464a_bccb_cfa827b8ead9" hidden="1">#REF!</definedName>
    <definedName name="TB692bf280_049a_496f_8d4c_c496f9d4b041" hidden="1">#REF!</definedName>
    <definedName name="TB69375806_b653_4816_9531_0bf8204ee212" hidden="1">#REF!</definedName>
    <definedName name="TB6938b110_6b7b_4552_9bd7_85468758a332" hidden="1">#REF!</definedName>
    <definedName name="TB693cdc05_57bf_45e7_a1a3_ba59b44f31cc" hidden="1">#REF!</definedName>
    <definedName name="TB694129d4_1ff9_423b_b82a_781a7032ab87" hidden="1">#REF!</definedName>
    <definedName name="TB6942bd67_39c1_4234_8f69_67225c14d6ea" hidden="1">#REF!</definedName>
    <definedName name="TB694839b2_c550_470b_b564_bfdb95a46eda" hidden="1">#REF!</definedName>
    <definedName name="TB6949ea0d_9bd0_4aad_9120_482cc23e84fa" hidden="1">#REF!</definedName>
    <definedName name="TB694ec7ac_196d_49bb_bc2c_1d0f4540b88f" hidden="1">#REF!</definedName>
    <definedName name="TB6958fa7f_962e_4446_a851_ab9ee7e19a0b" hidden="1">#REF!</definedName>
    <definedName name="TB69595eb0_7f16_4a95_8d69_db155c8fc1b6" hidden="1">#REF!</definedName>
    <definedName name="TB69625c46_27c9_4973_aeae_32b598baf577" hidden="1">#REF!</definedName>
    <definedName name="TB69626c32_9bed_470e_9b2b_447748eb3528" hidden="1">#REF!</definedName>
    <definedName name="TB697d1884_23b8_4c86_812f_a8f55c415780" hidden="1">#REF!</definedName>
    <definedName name="TB697e63d1_1720_4c08_b586_2d7ad3f2d45b" hidden="1">#REF!</definedName>
    <definedName name="TB698c1d5a_ff3b_426a_9778_37478af8ef6b" hidden="1">#REF!</definedName>
    <definedName name="TB698ee877_7b96_472e_81fc_357bc4ac46df" hidden="1">#REF!</definedName>
    <definedName name="TB6998808d_9a48_4970_abfd_b8e88f37616c" hidden="1">#REF!</definedName>
    <definedName name="TB699a70e8_cef3_4fc7_9361_6cd35da13277" hidden="1">#REF!</definedName>
    <definedName name="TB699e6646_c1e4_48b5_bb34_95e1d493fe9f" hidden="1">#REF!</definedName>
    <definedName name="TB69aba0bd_41d5_49be_b306_aea9e4e170d2" hidden="1">#REF!</definedName>
    <definedName name="TB69b1b0f5_5d29_4b87_a48b_7f43601b7061" hidden="1">#REF!</definedName>
    <definedName name="TB69b3a201_8c06_4776_9315_03ccd9f7509b" hidden="1">#REF!</definedName>
    <definedName name="TB69c1b11a_62da_45ae_96f8_221af7d933a6" hidden="1">#REF!</definedName>
    <definedName name="TB69ca991d_3911_44d0_a76a_2dbe60e43b3f" hidden="1">#REF!</definedName>
    <definedName name="TB69d49feb_e85d_4cd3_afa2_85aa9c10dec7" hidden="1">#REF!</definedName>
    <definedName name="TB69e1e17c_9853_4a0e_8ad5_18eadb414725" hidden="1">#REF!</definedName>
    <definedName name="TB69f6208c_fab6_4ff0_9e69_64fb6a0499c6" hidden="1">#REF!</definedName>
    <definedName name="TB69ffdc46_e30c_41a8_b81b_cea6ef935777" hidden="1">#REF!</definedName>
    <definedName name="TB6a03b154_9e21_485c_b09d_40e57c7458a0" hidden="1">#REF!</definedName>
    <definedName name="TB6a0ee3bb_3374_4800_ada4_38c90224f508" hidden="1">#REF!</definedName>
    <definedName name="TB6a11ff1c_594b_47c3_82e5_f9b2c62952a0" hidden="1">#REF!</definedName>
    <definedName name="TB6a12edf5_7af1_4fc3_bf05_e17f2e9c5994" hidden="1">#REF!</definedName>
    <definedName name="TB6a170f14_c709_4bb5_b0cc_a2c83ab61bbe" hidden="1">#REF!</definedName>
    <definedName name="TB6a180a1f_1358_41a6_b7ac_acea48a4a618" hidden="1">#REF!</definedName>
    <definedName name="TB6a1d22a3_eef8_4bc2_bd95_cb22e51d3f34" hidden="1">#REF!</definedName>
    <definedName name="TB6a29b3b4_a861_4e69_aa53_c7e24dc78a8e" hidden="1">#REF!</definedName>
    <definedName name="TB6a29bcd7_cfc0_448c_ab36_01c1a820b73b" hidden="1">#REF!</definedName>
    <definedName name="TB6a2b95f4_0c03_4010_bdcd_c43fbda59891" hidden="1">#REF!</definedName>
    <definedName name="TB6a2bd69c_9dc9_4616_a0ce_afcf02301b55" hidden="1">#REF!</definedName>
    <definedName name="TB6a396ece_136c_47ba_893d_5ef9161e93cc" hidden="1">#REF!</definedName>
    <definedName name="TB6a4c9376_0f56_4555_9658_88a3ee160631" hidden="1">#REF!</definedName>
    <definedName name="TB6a585bf5_a38b_43cb_913e_f84148ac26c4" hidden="1">#REF!</definedName>
    <definedName name="TB6a596078_99e8_48ea_9f6a_7dbe06706c29" hidden="1">#REF!</definedName>
    <definedName name="TB6a5aeea2_8860_4683_b446_340a85c62a43" hidden="1">#REF!</definedName>
    <definedName name="TB6a5ce213_dbbb_438d_86e8_d6e5c1246aea" hidden="1">#REF!</definedName>
    <definedName name="TB6a6256ea_9368_458b_9ad1_2f91e6484b24" hidden="1">#REF!</definedName>
    <definedName name="TB6a7f88b3_6643_4210_a87d_6ec07bf4a8d0" hidden="1">#REF!</definedName>
    <definedName name="TB6a818b45_e62d_4a7b_9bee_f7199d9d1bcd" hidden="1">#REF!</definedName>
    <definedName name="TB6a979046_a786_4831_a839_28c1765fb267" hidden="1">#REF!</definedName>
    <definedName name="TB6aa7cddc_3716_493d_a403_4bbb717803c0" hidden="1">#REF!</definedName>
    <definedName name="TB6aaa6748_5dc3_4b16_a482_de8ff085a1c0" hidden="1">#REF!</definedName>
    <definedName name="TB6ab876ab_f6ab_4ded_abe4_ed7e5ac5e0ba" hidden="1">#REF!</definedName>
    <definedName name="TB6ac9ea30_df57_4261_ab83_841562999081" hidden="1">#REF!</definedName>
    <definedName name="TB6acac76e_602e_49f1_9aaa_536f64a4c4db" hidden="1">#REF!</definedName>
    <definedName name="TB6ad4e1ed_5d23_44cb_875a_021db0c5a9ed" hidden="1">#REF!</definedName>
    <definedName name="TB6ad87861_574c_483d_b468_7061271e52d8" hidden="1">#REF!</definedName>
    <definedName name="TB6af63989_90fe_4f28_8e68_64858f8f5d1a" hidden="1">#REF!</definedName>
    <definedName name="TB6afaf8ca_3563_4c6a_93e0_ffddf4a6ca3f" hidden="1">#REF!</definedName>
    <definedName name="TB6b02c43b_ade0_41b3_b8f5_4e65e341e513" hidden="1">#REF!</definedName>
    <definedName name="TB6b04f59e_2fcc_4988_bb88_754ae9e7efc1" hidden="1">#REF!</definedName>
    <definedName name="TB6b138cc0_7915_4167_a2fc_6a18d7bc1890" hidden="1">#REF!</definedName>
    <definedName name="TB6b15544a_d5db_4fdd_b5cb_7545c7f0dd13" hidden="1">#REF!</definedName>
    <definedName name="TB6b19dac5_8e95_4768_a268_bedb6e09931a" hidden="1">#REF!</definedName>
    <definedName name="TB6b1a0061_55b9_47a4_a53e_5b3220a7f93f" hidden="1">#REF!</definedName>
    <definedName name="TB6b1bb060_7ce0_45e4_94ad_3a0072f3b9c9" hidden="1">#REF!</definedName>
    <definedName name="TB6b1eafa7_9d0a_4cae_94c7_9e38780d0cdb" hidden="1">#REF!</definedName>
    <definedName name="TB6b26724f_3b65_44ac_a178_151b81ba8759" hidden="1">#REF!</definedName>
    <definedName name="TB6b290e96_c923_4232_bf50_34f44ad0d9dd" hidden="1">#REF!</definedName>
    <definedName name="TB6b31ba24_f485_4e65_a9f8_1248f343c3b6" hidden="1">#REF!</definedName>
    <definedName name="TB6b3a8fc9_1a3d_4ada_832a_083165c3c23e" hidden="1">#REF!</definedName>
    <definedName name="TB6b44f3ce_d778_4043_af41_a18f87a71d2e" hidden="1">#REF!</definedName>
    <definedName name="TB6b46908a_c738_4f64_8755_c5300aca390e" hidden="1">#REF!</definedName>
    <definedName name="TB6b4b8230_f4bb_4b03_9ff4_f7424664c5cc" hidden="1">#REF!</definedName>
    <definedName name="TB6b4c57f1_0a6f_47ce_bcd1_cc1ce674e3c6" hidden="1">#REF!</definedName>
    <definedName name="TB6b4f9d4b_f838_4c24_a999_5eb7b7249a0d" hidden="1">#REF!</definedName>
    <definedName name="TB6b51e3ec_8207_4c55_ac64_b63048b2e144" hidden="1">#REF!</definedName>
    <definedName name="TB6b5abc1b_3d54_4972_93c5_94ee55efa457" hidden="1">#REF!</definedName>
    <definedName name="TB6b5b9bca_cff0_444f_b15d_8af20315549e" hidden="1">#REF!</definedName>
    <definedName name="TB6b5fe438_25c2_478b_9632_1a4d79b333b1" hidden="1">#REF!</definedName>
    <definedName name="TB6b6f2ab3_9489_4dd5_8cef_b1db3264b400" hidden="1">#REF!</definedName>
    <definedName name="TB6b709551_0751_4b24_ad0f_884749f8dd64" hidden="1">#REF!</definedName>
    <definedName name="TB6b79ce02_c5c7_4dd1_8caa_4da220cd1955" hidden="1">#REF!</definedName>
    <definedName name="TB6b7a9373_eb46_4c9f_b0d9_624f99f09849" hidden="1">#REF!</definedName>
    <definedName name="TB6b890e21_b130_4f48_9d20_8e517409cb7a" hidden="1">#REF!</definedName>
    <definedName name="TB6b8fad98_08a8_483a_93cd_2f7ebef1d7c5" hidden="1">#REF!</definedName>
    <definedName name="TB6b9aa3d9_24c0_4fb7_8089_948b3e3e184d" hidden="1">#REF!</definedName>
    <definedName name="TB6b9d062a_943e_41d7_8f8f_ac0e47eacb25" hidden="1">#REF!</definedName>
    <definedName name="TB6ba0ea73_fd73_4a2b_8846_0392efdd8300" hidden="1">#REF!</definedName>
    <definedName name="TB6baa86e8_5caa_4418_a7f5_ad5c2e1122a4" hidden="1">#REF!</definedName>
    <definedName name="TB6bbb9ff3_a64b_4e4c_bbfa_e2b8b46f3d7f" hidden="1">#REF!</definedName>
    <definedName name="TB6bcb0c6b_ca90_4bea_9abb_b22a0784f37b" hidden="1">#REF!</definedName>
    <definedName name="TB6bd37e1f_30f7_47c2_b394_c9a9631efa46" hidden="1">#REF!</definedName>
    <definedName name="TB6bd7f319_a5d4_4a37_af48_9af65c1a71ba" hidden="1">#REF!</definedName>
    <definedName name="TB6bee8d4d_da91_49f7_afb3_fd578b36a32f" hidden="1">#REF!</definedName>
    <definedName name="TB6bf4692b_aa72_4441_9259_9afd09e3e7be" hidden="1">#REF!</definedName>
    <definedName name="TB6bfbdce2_af42_47b4_8309_4396a69ce551" hidden="1">#REF!</definedName>
    <definedName name="TB6c16cbbd_b3aa_486a_9888_77485e06a58b" hidden="1">#REF!</definedName>
    <definedName name="TB6c21abef_7de0_4847_8277_604c64839fcf" hidden="1">#REF!</definedName>
    <definedName name="TB6c286f16_eeb3_4ad9_82a1_3aa440e4df40" hidden="1">#REF!</definedName>
    <definedName name="TB6c2ad61e_9da1_45c8_95c1_778064d545bb" hidden="1">#REF!</definedName>
    <definedName name="TB6c3305c3_9892_483a_9a1f_9609a5910bab" hidden="1">#REF!</definedName>
    <definedName name="TB6c350886_4b2c_42d2_b59d_6f9cda62253e" hidden="1">#REF!</definedName>
    <definedName name="TB6c3583f2_869e_4486_8a2b_18928e6d716c" hidden="1">#REF!</definedName>
    <definedName name="TB6c3fb3a1_781e_4810_b4ab_d816c7f1108d" hidden="1">#REF!</definedName>
    <definedName name="TB6c4386d2_c3a7_4727_8ef9_c21e555856cb" hidden="1">#REF!</definedName>
    <definedName name="TB6c4798ff_b0ee_4236_83bd_fc76d7404b46" hidden="1">#REF!</definedName>
    <definedName name="TB6c52798f_8b6c_4b6b_896b_e3977c170ec2" hidden="1">#REF!</definedName>
    <definedName name="TB6c59bc7a_6bae_47ba_ab5c_a9a753efcf72" hidden="1">#REF!</definedName>
    <definedName name="TB6c5a37ce_d698_450a_a957_8ef4f7b52836" hidden="1">#REF!</definedName>
    <definedName name="TB6c5c35a4_877b_44d1_ad1b_6220c49584da" hidden="1">#REF!</definedName>
    <definedName name="TB6c5fd8a9_d175_474e_88b6_08db95068f47" hidden="1">#REF!</definedName>
    <definedName name="TB6c7022c2_c290_4b5e_9a43_e511ea19b646" hidden="1">#REF!</definedName>
    <definedName name="TB6c73d76a_bcb9_4c9c_8ad0_eb8e6bd8a5ec" hidden="1">#REF!</definedName>
    <definedName name="TB6c73f37f_c1df_4bc4_846d_747588e1e041" hidden="1">#REF!</definedName>
    <definedName name="TB6c7a2c3f_019e_45d4_a381_daf0a75dd184" hidden="1">#REF!</definedName>
    <definedName name="TB6c7e3216_7218_45c4_9434_e835c96a8e7d" hidden="1">#REF!</definedName>
    <definedName name="TB6c92096e_68dd_4b28_9cae_d69b68d2d259" hidden="1">#REF!</definedName>
    <definedName name="TB6c92d2ba_fec0_42e3_bc25_0f57a7c4574c" hidden="1">#REF!</definedName>
    <definedName name="TB6c939268_3366_4365_8833_4dfe9fbe4efc" hidden="1">#REF!</definedName>
    <definedName name="TB6c97644a_8bac_4880_92bf_f8c4d13722fe" hidden="1">#REF!</definedName>
    <definedName name="TB6ca46dcc_a9ec_4397_a299_0c5f2dd3cfbb" hidden="1">#REF!</definedName>
    <definedName name="TB6cac066f_5f00_49f3_ac38_8a68a0f7bd8e" hidden="1">#REF!</definedName>
    <definedName name="TB6cad1d16_24ea_4c46_aa6f_74e9169d8525" hidden="1">#REF!</definedName>
    <definedName name="TB6cb509ca_d9f3_4d35_98e8_df3b408940e4" hidden="1">#REF!</definedName>
    <definedName name="TB6cbd54ce_559d_4ebd_9f22_ae13ed0127e4" hidden="1">#REF!</definedName>
    <definedName name="TB6cc7738d_e8be_4281_af6c_e7e1797ef345" hidden="1">#REF!</definedName>
    <definedName name="TB6ccc9d53_1df4_42fc_bcb4_8b595b2cd476" hidden="1">#REF!</definedName>
    <definedName name="TB6cd0a25a_e6c4_4525_9bae_69cfa718a33f" hidden="1">#REF!</definedName>
    <definedName name="TB6cd188a6_6d9e_4a1e_9fc4_93d62ce9d23c" hidden="1">#REF!</definedName>
    <definedName name="TB6ce53235_2ffb_4ac5_9f1a_729055029244" hidden="1">#REF!</definedName>
    <definedName name="TB6ced1e1e_a14e_4d1c_bbfb_274c8061bf56" hidden="1">#REF!</definedName>
    <definedName name="TB6cf74135_a4ec_4e08_b743_d20d492aff07" hidden="1">#REF!</definedName>
    <definedName name="TB6d10dae7_a68c_443d_aafc_8dd2da678abf" hidden="1">#REF!</definedName>
    <definedName name="TB6d11b370_67d1_4820_b420_3e4abab5364f" hidden="1">#REF!</definedName>
    <definedName name="TB6d1e1593_30e1_4733_b5b1_c8696841785d" hidden="1">#REF!</definedName>
    <definedName name="TB6d22b2df_a93a_4fdd_be13_ab489ce6c15c" hidden="1">#REF!</definedName>
    <definedName name="TB6d2f23c4_7af4_41cc_bd35_192b6adfd417" hidden="1">#REF!</definedName>
    <definedName name="TB6d33d818_1537_431b_9d46_75eaad64d815" hidden="1">#REF!</definedName>
    <definedName name="TB6d3643cc_8d1d_4310_a8bb_c2e327e02f7f" hidden="1">#REF!</definedName>
    <definedName name="TB6d4358be_509e_4e09_bc82_a2548144afb8" hidden="1">#REF!</definedName>
    <definedName name="TB6d636892_44f6_45ac_9ccd_aff30ea26e5e" hidden="1">#REF!</definedName>
    <definedName name="TB6d68337d_9625_4dfa_9131_ae878ae8d2df" hidden="1">#REF!</definedName>
    <definedName name="TB6d7f0a1f_88e6_41b3_ab88_5e998f0119bd" hidden="1">#REF!</definedName>
    <definedName name="TB6d81ab39_b65a_45d7_a60c_40e347174155" hidden="1">#REF!</definedName>
    <definedName name="TB6d8208ff_d930_4a37_a247_b39b9c1bf754" hidden="1">#REF!</definedName>
    <definedName name="TB6d94c891_03b1_41ad_bd4b_4fe43399ac45" hidden="1">#REF!</definedName>
    <definedName name="TB6da20025_18ec_420e_ac51_6645c13fd071" hidden="1">#REF!</definedName>
    <definedName name="TB6dabb425_7c4e_4a90_b924_9eb7c0313b8a" hidden="1">#REF!</definedName>
    <definedName name="TB6dbc3b55_395e_4ab8_9859_3ead0ffe695a" hidden="1">#REF!</definedName>
    <definedName name="TB6dcb233a_c7a9_44c0_84b6_ea3110601af0" hidden="1">#REF!</definedName>
    <definedName name="TB6dcdb59f_5a65_4f12_9ac4_b5f4f356b625" hidden="1">#REF!</definedName>
    <definedName name="TB6ddca4c6_591e_4d39_8451_e4592c8c0f5d" hidden="1">#REF!</definedName>
    <definedName name="TB6ddd68b1_e15e_44f4_b6a0_11bb0cd4147d" hidden="1">#REF!</definedName>
    <definedName name="TB6de52f47_c0ad_4ccf_bc69_0f82aaa5f083" hidden="1">#REF!</definedName>
    <definedName name="TB6de62de4_cd6c_40b1_af81_d668fee279f6" hidden="1">#REF!</definedName>
    <definedName name="TB6de92f88_3e30_4aca_a555_8b5f8c56bbc1" hidden="1">#REF!</definedName>
    <definedName name="TB6e1208ca_a57f_4f85_92f4_e20c796aab83" hidden="1">#REF!</definedName>
    <definedName name="TB6e182ec4_59ec_46bd_b39f_ce398f4830d7" hidden="1">#REF!</definedName>
    <definedName name="TB6e2f2bb2_4a4b_459f_b3e5_72bb35bafefe" hidden="1">#REF!</definedName>
    <definedName name="TB6e31d1be_d322_47e3_b105_0a1366e145a3" hidden="1">#REF!</definedName>
    <definedName name="TB6e32e806_970e_415e_a35a_67fd6cff0b6b" hidden="1">#REF!</definedName>
    <definedName name="TB6e46fc3b_882a_4637_b121_71d1e670605e" hidden="1">#REF!</definedName>
    <definedName name="TB6e4ab781_6ca8_4c3b_824d_d11adb4aca95" hidden="1">#REF!</definedName>
    <definedName name="TB6e4b7363_5263_4346_9fdd_dcd7d2d3ebed" hidden="1">#REF!</definedName>
    <definedName name="TB6e5ef094_1452_4ae3_a9e0_685d764b4948" hidden="1">#REF!</definedName>
    <definedName name="TB6e88a941_0807_4e08_9ab8_5ca96f795b79" hidden="1">#REF!</definedName>
    <definedName name="TB6e9469ee_8ab1_4c12_abc5_c7cd6faf415c" hidden="1">#REF!</definedName>
    <definedName name="TB6e96a751_ddba_4083_b041_f3da5b720735" hidden="1">#REF!</definedName>
    <definedName name="TB6ea07809_fed0_4564_a2a0_b681d0fb2bd3" hidden="1">#REF!</definedName>
    <definedName name="TB6eaeb529_5ae8_41e5_a00a_ecc599390a90" hidden="1">#REF!</definedName>
    <definedName name="TB6ecf7cc5_494f_4ea9_b8a5_e4565e202cf2" hidden="1">#REF!</definedName>
    <definedName name="TB6ed11c8a_c59d_46e5_98b0_bcbe9741bf29" hidden="1">#REF!</definedName>
    <definedName name="TB6ee7cc8f_1b18_4409_a897_cff492f74fd1" hidden="1">#REF!</definedName>
    <definedName name="TB6ef32c44_af12_4886_bcaf_736ad59a941d" hidden="1">#REF!</definedName>
    <definedName name="TB6effd3f9_32c5_405c_b5db_5dd16700a03f" hidden="1">#REF!</definedName>
    <definedName name="TB6f03cc4e_59c2_4c1e_97ee_404719c3c137" hidden="1">#REF!</definedName>
    <definedName name="TB6f053b44_ab48_4048_b569_bd14356b8afd" hidden="1">#REF!</definedName>
    <definedName name="TB6f14570c_f472_4507_95f4_636d16d6e187" hidden="1">#REF!</definedName>
    <definedName name="TB6f1a1c3b_e447_46c2_99d6_b131f5d7525d" hidden="1">#REF!</definedName>
    <definedName name="TB6f40d94d_cac0_406c_9a7c_6f7990dbb380" hidden="1">#REF!</definedName>
    <definedName name="TB6f4ab74d_baf4_41f2_9c29_ddcc576a5aec" hidden="1">#REF!</definedName>
    <definedName name="TB6f51f76b_8f64_46c0_9a7c_6cf29b6ec614" hidden="1">#REF!</definedName>
    <definedName name="TB6f5ed86d_07e9_49a6_b4f5_aaf7af457ada" hidden="1">#REF!</definedName>
    <definedName name="TB6f66dd96_94cd_4c36_8c37_ff6e00bca621" hidden="1">#REF!</definedName>
    <definedName name="TB6f6b52bb_a26c_43c3_812a_faef45732497" hidden="1">#REF!</definedName>
    <definedName name="TB6f6d8f37_6ca0_4252_bd36_69e2161f1599" hidden="1">#REF!</definedName>
    <definedName name="TB6f75847e_1c28_4eb3_93ef_048598d28cbe" hidden="1">#REF!</definedName>
    <definedName name="TB6f7efe8c_94c4_4923_8dcf_49d2ec20509f" hidden="1">#REF!</definedName>
    <definedName name="TB6f86f970_290b_440d_a9d5_00f74878ee61" hidden="1">#REF!</definedName>
    <definedName name="TB6f991fdb_e6b6_475f_9e0c_13b83d31bf03" hidden="1">#REF!</definedName>
    <definedName name="TB6f99413b_9601_47c0_b88d_75bf79de54b3" hidden="1">#REF!</definedName>
    <definedName name="TB6f99c3ae_eb26_4258_84db_313348880d52" hidden="1">#REF!</definedName>
    <definedName name="TB6f99dac0_4f12_4b2a_80e1_b2d9349bcbf5" hidden="1">#REF!</definedName>
    <definedName name="TB6fb4d38d_f83d_4140_af5a_ffa9eac67446" hidden="1">#REF!</definedName>
    <definedName name="TB6fb7ed75_17ea_4cdd_ba8a_549a3d32e177" hidden="1">#REF!</definedName>
    <definedName name="TB6fca54c2_6506_4cea_96ec_6a54517d7fc6" hidden="1">#REF!</definedName>
    <definedName name="TB6fcae9ce_6c64_4da5_ace3_faf6550ade83" hidden="1">#REF!</definedName>
    <definedName name="TB6fdb45c2_2298_42a5_8bb4_4da2c2b816ce" hidden="1">#REF!</definedName>
    <definedName name="TB6fe2a0d9_d279_4028_b91b_ba087e054fbd" hidden="1">#REF!</definedName>
    <definedName name="TB6ff8d1f7_1d87_417c_b465_35ed13223ee5" hidden="1">#REF!</definedName>
    <definedName name="TB7000bd95_6e83_4b1c_bca0_d10b82612b14" hidden="1">#REF!</definedName>
    <definedName name="TB70069872_e9bb_42f9_85aa_97f2744f2ec0" hidden="1">#REF!</definedName>
    <definedName name="TB70133dc6_b131_414a_acbd_56df64434bb1" hidden="1">#REF!</definedName>
    <definedName name="TB703fd253_a239_4423_af09_3589b6eab3b0" hidden="1">#REF!</definedName>
    <definedName name="TB7044de81_0b82_466e_81c0_0f7e8fca930a" hidden="1">#REF!</definedName>
    <definedName name="TB704fa102_fcf1_4894_843d_86c2bed487b7" hidden="1">#REF!</definedName>
    <definedName name="TB7056bf89_0c45_4e0e_b5c4_b2227f6617c9" hidden="1">#REF!</definedName>
    <definedName name="TB70578210_6942_4eac_ac32_3327ec087e23" hidden="1">#REF!</definedName>
    <definedName name="TB707258b6_ca7e_49ab_907f_7fbb2d3115c0" hidden="1">#REF!</definedName>
    <definedName name="TB70796c06_1752_412a_9cbc_5a15560dfb9c" hidden="1">#REF!</definedName>
    <definedName name="TB7080f60a_86a7_4b8a_9582_6743e32b9b1d" hidden="1">#REF!</definedName>
    <definedName name="TB7089aa9b_6e0c_4e3c_89d4_7d9227307f29" hidden="1">#REF!</definedName>
    <definedName name="TB708efdaf_2b7c_41c3_89e7_62341e52ec0f" hidden="1">#REF!</definedName>
    <definedName name="TB709cf24d_de3b_4556_9228_44c16b9e8637" hidden="1">#REF!</definedName>
    <definedName name="TB70a7f5b1_f1ad_4e8d_a9ff_621768f7f9f2" hidden="1">#REF!</definedName>
    <definedName name="TB70a820f4_6de1_430e_b709_f778e34bc1b6" hidden="1">#REF!</definedName>
    <definedName name="TB70acf2c2_dd85_4044_9c9a_25571e98717b" hidden="1">#REF!</definedName>
    <definedName name="TB70c31c1f_67dd_40e2_a1f6_6544d00a4929" hidden="1">#REF!</definedName>
    <definedName name="TB70d0faf8_fa02_4985_b87f_52224cf5304f" hidden="1">#REF!</definedName>
    <definedName name="TB70d25e12_c011_4b73_ab5f_30a06846cd5f" hidden="1">#REF!</definedName>
    <definedName name="TB70e68855_e654_49a1_8831_1f99f4960c17" hidden="1">#REF!</definedName>
    <definedName name="TB70f05541_d27d_4af8_9aa5_c64ca32bb271" hidden="1">#REF!</definedName>
    <definedName name="TB70fcd328_ead2_4cbf_9f14_0c51b3df2cef" hidden="1">#REF!</definedName>
    <definedName name="TB7107094e_b137_44f4_9bd4_c01adfc23d9a" hidden="1">#REF!</definedName>
    <definedName name="TB710a43e5_2cb7_46e0_8c40_77bc267f5aee" hidden="1">#REF!</definedName>
    <definedName name="TB710a4e71_8d56_4faa_bee3_b5a78526c3aa" hidden="1">#REF!</definedName>
    <definedName name="TB710c9c24_ab2a_4aa7_99ba_dec5e9d4ede7" hidden="1">#REF!</definedName>
    <definedName name="TB710dfbd7_dac8_4c3a_b160_b7bc9b5654b1" hidden="1">#REF!</definedName>
    <definedName name="TB710ea4b6_4801_490b_880a_8a097dce341d" hidden="1">#REF!</definedName>
    <definedName name="TB714e0075_f596_4b41_80cf_ba84d2171f4d" hidden="1">#REF!</definedName>
    <definedName name="TB715c8699_9fde_483a_9025_3873d275ffd7" hidden="1">#REF!</definedName>
    <definedName name="TB716975f7_bebf_4867_bff9_9535c5094692" hidden="1">#REF!</definedName>
    <definedName name="TB716f8250_a8d0_4230_8f9f_995c73a9fb76" hidden="1">#REF!</definedName>
    <definedName name="TB717b8809_0650_45fd_a512_af048b8d8756" hidden="1">#REF!</definedName>
    <definedName name="TB719a2430_d976_4f7a_a9c3_3d80529dc8da" hidden="1">#REF!</definedName>
    <definedName name="TB719edb86_61ad_42f4_9259_28717a9e972b" hidden="1">#REF!</definedName>
    <definedName name="TB71a2a3b1_18c3_4070_8a07_399e5f8ba997" hidden="1">#REF!</definedName>
    <definedName name="TB71a4a493_24f3_442c_8f31_92296a7653a8" hidden="1">#REF!</definedName>
    <definedName name="TB71b7473a_6908_4bee_b4fa_d5bf516917ce" hidden="1">#REF!</definedName>
    <definedName name="TB71bbb374_b60d_40b1_b9ef_bcc88e58d2db" hidden="1">#REF!</definedName>
    <definedName name="TB71c0ccd5_b57c_427f_adf9_cfe3d0ffc5ad" hidden="1">#REF!</definedName>
    <definedName name="TB71c217fb_4dda_4650_a42b_61a9ed155902" hidden="1">#REF!</definedName>
    <definedName name="TB71cd0311_55e9_4758_93a2_12f6af6bc2f6" hidden="1">#REF!</definedName>
    <definedName name="TB71d78bbe_9226_4092_9502_6493106c6b0a" hidden="1">#REF!</definedName>
    <definedName name="TB71db2c69_4945_4771_bd0e_0dc1e0bad461" hidden="1">#REF!</definedName>
    <definedName name="TB71dfb116_1f62_40bb_8808_3263860d7456" hidden="1">#REF!</definedName>
    <definedName name="TB71e1f23e_eaf4_4e79_902d_abea5fc55116" hidden="1">#REF!</definedName>
    <definedName name="TB71e6d4c9_ac0b_4755_83e9_566312aa2371" hidden="1">#REF!</definedName>
    <definedName name="TB71ff6852_3d6c_41ef_a4b8_d7f91090722a" hidden="1">#REF!</definedName>
    <definedName name="TB721e0626_a350_4215_bd88_7509deafd346" hidden="1">#REF!</definedName>
    <definedName name="TB721f4b4b_4fe7_4af2_8dfa_5c15b66f4c0f" hidden="1">#REF!</definedName>
    <definedName name="TB7222bb8a_324d_47af_ad6d_01844b959d9b" hidden="1">#REF!</definedName>
    <definedName name="TB7227bc03_65ff_434c_a9c7_c9b2b6b84e3d" hidden="1">#REF!</definedName>
    <definedName name="TB722b4dc2_6e9d_4307_8ef8_959bfadc22a6" hidden="1">#REF!</definedName>
    <definedName name="TB722fe962_8f53_4933_8fee_8863495ca7b6" hidden="1">#REF!</definedName>
    <definedName name="TB72424e80_0d13_4f4a_9800_cc795626983d" hidden="1">#REF!</definedName>
    <definedName name="TB7242f4c9_c47b_4f74_9cda_459462c6fbab" hidden="1">#REF!</definedName>
    <definedName name="TB724ee7a1_3845_4b12_a872_6a8c4553bd43" hidden="1">#REF!</definedName>
    <definedName name="TB7259ea9b_2233_41f8_a930_5a2dc14f3c55" hidden="1">#REF!</definedName>
    <definedName name="TB725c79d4_fac3_4399_bcda_9b08f5c2c900" hidden="1">#REF!</definedName>
    <definedName name="TB72680aaa_e432_49cc_8b02_24a42e584f25" hidden="1">#REF!</definedName>
    <definedName name="TB727598fb_3d68_414a_8b24_76d6a88403c8" hidden="1">#REF!</definedName>
    <definedName name="TB72830112_ea39_47ad_8ce0_05ac267fb449" hidden="1">#REF!</definedName>
    <definedName name="TB72833660_3af3_4143_bc5a_988fd54c55f5" hidden="1">#REF!</definedName>
    <definedName name="TB72906155_8f8c_4b62_996f_b5a51f131157" hidden="1">#REF!</definedName>
    <definedName name="TB729a24bc_5298_488d_b7f9_d2bc17175026" hidden="1">#REF!</definedName>
    <definedName name="TB729e775b_cd7e_46de_a5de_0673510f762b" hidden="1">#REF!</definedName>
    <definedName name="TB729f7922_736b_491f_be56_6dc4a63002dc" hidden="1">#REF!</definedName>
    <definedName name="TB72a0abe3_5c1b_4ae1_aa68_0430dd7fad6f" hidden="1">#REF!</definedName>
    <definedName name="TB72a20165_6567_4130_8de3_a62d904f97e4" hidden="1">#REF!</definedName>
    <definedName name="TB72a52461_fee4_41e7_8c98_2b816b2cbab6" hidden="1">#REF!</definedName>
    <definedName name="TB72b1c99d_9bbc_47f6_a23c_c8a0f88765b8" hidden="1">#REF!</definedName>
    <definedName name="TB72b2cac2_b5db_4e87_9161_9819766b203c" hidden="1">#REF!</definedName>
    <definedName name="TB72bac51c_2d29_4825_acdb_7e1cb7c9e3bb" hidden="1">#REF!</definedName>
    <definedName name="TB72be9156_876d_4ba2_b457_5ba8b6e65960" hidden="1">#REF!</definedName>
    <definedName name="TB72bec37d_b4ff_4d1b_8942_bdead2ef241b" hidden="1">#REF!</definedName>
    <definedName name="TB72c0433a_ba82_4eba_8497_024a49434758" hidden="1">#REF!</definedName>
    <definedName name="TB72c1e5f7_fa5b_4edc_9a76_5993d98a2022" hidden="1">#REF!</definedName>
    <definedName name="TB72c26288_26db_4778_b8be_21d75afaffc3" hidden="1">#REF!</definedName>
    <definedName name="TB72c5afa6_cf58_4a07_860f_06a0c212e7a2" hidden="1">#REF!</definedName>
    <definedName name="TB72ce7db1_0077_4b9c_b480_2b69aa28a2f3" hidden="1">#REF!</definedName>
    <definedName name="TB72d76741_d770_4494_bd1b_8adbaf9f5704" hidden="1">#REF!</definedName>
    <definedName name="TB72dc2c64_0354_4e0e_a660_3a5294ceb522" hidden="1">#REF!</definedName>
    <definedName name="TB72de21ac_afd2_4197_8cd5_d2b6c54af725" hidden="1">#REF!</definedName>
    <definedName name="TB72e77a5a_8add_4b59_a3a8_7889e3dc1aae" hidden="1">#REF!</definedName>
    <definedName name="TB72e9731d_4643_49f8_8426_08f574b5436d" hidden="1">#REF!</definedName>
    <definedName name="TB72ec6bda_2c83_41b1_8454_c2c65e296b9f" hidden="1">#REF!</definedName>
    <definedName name="TB73005d11_bf71_469f_bca6_983f3678d853" hidden="1">#REF!</definedName>
    <definedName name="TB73075330_eaf0_4436_8957_e11232102217" hidden="1">#REF!</definedName>
    <definedName name="TB73107c3a_d249_439b_911d_d8d38339f28a" hidden="1">#REF!</definedName>
    <definedName name="TB7313d2a8_05d1_4f4a_8088_c5d3d4e776d4" hidden="1">#REF!</definedName>
    <definedName name="TB731831a9_6055_40d6_a71b_63c51025a0b1" hidden="1">#REF!</definedName>
    <definedName name="TB731b370e_1a99_4b56_ade2_e265a3ce72d5" hidden="1">#REF!</definedName>
    <definedName name="TB731d56dd_c269_4d40_aa14_a5ce532d13e5" hidden="1">#REF!</definedName>
    <definedName name="TB731e4ad6_e2ee_4242_a3e5_ccfe49cd04c0" hidden="1">#REF!</definedName>
    <definedName name="TB7322a265_85ef_4434_9d09_52c86c046be8" hidden="1">#REF!</definedName>
    <definedName name="TB732ac3fd_2d67_41a7_893c_3733ae9d02a0" hidden="1">#REF!</definedName>
    <definedName name="TB7331d3dd_4479_4f70_bf71_c90aa8324795" hidden="1">#REF!</definedName>
    <definedName name="TB73346b79_dca7_4fee_b762_4ffc09f47648" hidden="1">#REF!</definedName>
    <definedName name="TB733858d5_5af0_4e51_9d5e_ddb2627d8714" hidden="1">#REF!</definedName>
    <definedName name="TB7344e9c0_0940_4316_a5af_881ee49baad7" hidden="1">#REF!</definedName>
    <definedName name="TB734607ab_5cb8_404c_acee_f1276738d645" hidden="1">#REF!</definedName>
    <definedName name="TB734c8153_c848_4b94_8e4b_2892f40aedb2" hidden="1">#REF!</definedName>
    <definedName name="TB734e49e1_baa3_43df_972d_ce4b6932efbf" hidden="1">#REF!</definedName>
    <definedName name="TB734f98d8_db3d_43c0_b010_399683810dfb" hidden="1">#REF!</definedName>
    <definedName name="TB7352ebb3_7734_45c9_812d_56ab0a07f85a" hidden="1">#REF!</definedName>
    <definedName name="TB736e3759_c953_4043_9da4_4ebca499e807" hidden="1">#REF!</definedName>
    <definedName name="TB73788136_509a_4ae9_9bf6_294029d3ae33" hidden="1">#REF!</definedName>
    <definedName name="TB7382e387_beed_4e49_96e6_325ff86c6b2e" hidden="1">#REF!</definedName>
    <definedName name="TB739c995e_f776_4194_8e0b_c239ee2b68b5" hidden="1">#REF!</definedName>
    <definedName name="TB739d44a3_d071_4ef3_b39a_313bfe9f5df1" hidden="1">#REF!</definedName>
    <definedName name="TB73bcccc1_fa5d_46b4_8341_eed5f577119d" hidden="1">#REF!</definedName>
    <definedName name="TB73cd3c7f_773b_4e74_9655_3da541e69d38" hidden="1">#REF!</definedName>
    <definedName name="TB73e103d6_8894_49b8_af4f_46ca3e5d9814" hidden="1">#REF!</definedName>
    <definedName name="TB73e4946c_e583_489b_8316_a3e4f06fe1af" hidden="1">#REF!</definedName>
    <definedName name="TB73e620e3_2b95_4bf6_a0ec_f6eafe448883" hidden="1">#REF!</definedName>
    <definedName name="TB73ee5651_6651_4379_a7de_c4e2e78df312" hidden="1">#REF!</definedName>
    <definedName name="TB73ef98cd_2ea5_41c5_82ad_fc6c84603e30" hidden="1">#REF!</definedName>
    <definedName name="TB73f7b711_604f_4798_ad3e_0dd5488ead62" hidden="1">#REF!</definedName>
    <definedName name="TB74012373_2588_4174_ba32_c4621fa03530" hidden="1">#REF!</definedName>
    <definedName name="TB7406ae41_679d_4a93_8093_47c2155b5d72" hidden="1">#REF!</definedName>
    <definedName name="TB740e410c_571c_4d14_8f15_ad61da57faec" hidden="1">#REF!</definedName>
    <definedName name="TB740f9788_42b5_49e0_9906_0ce09fea1931" hidden="1">#REF!</definedName>
    <definedName name="TB74171cad_fc8e_4198_b3d5_0bdf5c5b15fc" hidden="1">#REF!</definedName>
    <definedName name="TB7418f1f3_57a4_49fc_b7c8_3a16ddbdc056" hidden="1">#REF!</definedName>
    <definedName name="TB742219d7_58d6_4b56_a49f_97c49be1f382" hidden="1">#REF!</definedName>
    <definedName name="TB74255422_feb6_4a38_92d3_5fe243146726" hidden="1">#REF!</definedName>
    <definedName name="TB7432b584_78c1_45b4_9a17_d71ff60d46ec" hidden="1">#REF!</definedName>
    <definedName name="TB7456a79b_5953_45bd_bffb_b1921af8c77b" hidden="1">#REF!</definedName>
    <definedName name="TB7466921d_9512_4915_8e5f_6dc8460316a8" hidden="1">#REF!</definedName>
    <definedName name="TB746d6e57_8e4b_48dd_a89a_0c96b2c0050a" hidden="1">#REF!</definedName>
    <definedName name="TB7480e571_e997_445c_897e_7b27d5fa7fa2" hidden="1">#REF!</definedName>
    <definedName name="TB748b08b2_8714_4f2c_b239_d4c8f91c6567" hidden="1">#REF!</definedName>
    <definedName name="TB7490680e_27c0_4c6e_be2b_f7c05307ab68" hidden="1">#REF!</definedName>
    <definedName name="TB7490ee62_2275_4b3f_8a56_e69ed095f37c" hidden="1">#REF!</definedName>
    <definedName name="TB74a7a405_93f5_43a9_aaeb_a59eb3b059bf" hidden="1">#REF!</definedName>
    <definedName name="TB74af6143_a94b_4a21_adee_6aac6339c615" hidden="1">#REF!</definedName>
    <definedName name="TB74b19d95_001c_4b80_9c13_d8308060f9ca" hidden="1">#REF!</definedName>
    <definedName name="TB74b80455_957e_48c7_a253_9c011764374c" hidden="1">#REF!</definedName>
    <definedName name="TB74b8971d_5d31_4551_9728_69d4144ce28b" hidden="1">#REF!</definedName>
    <definedName name="TB74bdc841_182f_4447_913a_65ab5d240f58" hidden="1">#REF!</definedName>
    <definedName name="TB74c0a6d0_27f9_4e42_bc05_b458281e85e8" hidden="1">#REF!</definedName>
    <definedName name="TB74c4acb4_e0d6_4d0d_b1bc_e851ea74a55e" hidden="1">#REF!</definedName>
    <definedName name="TB74c875df_f61a_4441_8007_1aea2354df67" hidden="1">#REF!</definedName>
    <definedName name="TB74c8903e_aa65_4b02_b727_b66027d9ff4d" hidden="1">#REF!</definedName>
    <definedName name="TB74cc42f5_ff1d_4af9_aa5e_b9e55a010719" hidden="1">#REF!</definedName>
    <definedName name="TB74d37b96_ea69_429b_95dc_60778495a74c" hidden="1">#REF!</definedName>
    <definedName name="TB74d5979c_3ad0_48e3_bb2e_e9c4dcb0853e" hidden="1">#REF!</definedName>
    <definedName name="TB74d8fcb5_80c7_4406_9a6c_ca12f344ce0f" hidden="1">#REF!</definedName>
    <definedName name="TB74e631d0_d80f_42c7_95f8_b5456b85b330" hidden="1">#REF!</definedName>
    <definedName name="TB74ebddcb_a995_479a_adba_468a92c749aa" hidden="1">#REF!</definedName>
    <definedName name="TB74ee6ee3_df86_4d79_bbd2_9a248f7bac10" hidden="1">#REF!</definedName>
    <definedName name="TB74f4fd1f_11e2_444e_8828_f15d29b146b3" hidden="1">#REF!</definedName>
    <definedName name="TB74ff4793_7fbd_43ea_85b1_446103f69674" hidden="1">#REF!</definedName>
    <definedName name="TB7505e613_39dc_41db_8a63_9a612dd6f587" hidden="1">#REF!</definedName>
    <definedName name="TB7507cbbc_e773_4640_8374_a6a116a1ff84" hidden="1">#REF!</definedName>
    <definedName name="TB750cd5b5_c449_4c51_a375_014f99bdf019" hidden="1">#REF!</definedName>
    <definedName name="TB750df3ca_c90c_49df_b48b_405377f011ce" hidden="1">#REF!</definedName>
    <definedName name="TB750e894b_ad46_48df_8d19_ec125494cd0e" hidden="1">#REF!</definedName>
    <definedName name="TB75101797_17a4_42db_af5e_a8846c3494ba" hidden="1">#REF!</definedName>
    <definedName name="TB75131c40_8ea2_406c_9683_4991e777289c" hidden="1">#REF!</definedName>
    <definedName name="TB751ed39a_2921_41e5_be2b_801112d7a460" hidden="1">#REF!</definedName>
    <definedName name="TB753484c4_0d71_4ddd_a1f6_b7f93056192d" hidden="1">#REF!</definedName>
    <definedName name="TB753e66b1_b5aa_4908_812b_ac16cd22e600" hidden="1">#REF!</definedName>
    <definedName name="TB75511fcd_adb6_4a39_b343_1d529a44fcfe" hidden="1">#REF!</definedName>
    <definedName name="TB7574c6bc_05f7_4e0a_a36f_37e9f5e6e0e9" hidden="1">#REF!</definedName>
    <definedName name="TB75861b06_522e_41ee_9437_8e664cb4d812" hidden="1">#REF!</definedName>
    <definedName name="TB758b2a76_c808_4dca_a27b_3e68b081db89" hidden="1">#REF!</definedName>
    <definedName name="TB758d59ac_71b2_4354_9b1b_b86d18530ebf" hidden="1">#REF!</definedName>
    <definedName name="TB7596c735_b50d_4bc9_bef1_0720ac63defc" hidden="1">#REF!</definedName>
    <definedName name="TB759de886_3bba_4d87_8563_8861706cc5e5" hidden="1">#REF!</definedName>
    <definedName name="TB75a0f742_6e53_4a23_b1c3_c4e637f116f5" hidden="1">#REF!</definedName>
    <definedName name="TB75a75d84_8aa3_43e0_b3e6_def889ac2e67" hidden="1">#REF!</definedName>
    <definedName name="TB75b3fea6_9d79_4803_9ddd_441cc02e557a" hidden="1">#REF!</definedName>
    <definedName name="TB75b6e31d_d0b0_4a42_856d_7542c2cef056" hidden="1">#REF!</definedName>
    <definedName name="TB75b6e996_7630_4d71_bd41_2847f22cc1d9" hidden="1">#REF!</definedName>
    <definedName name="TB75b8988d_f183_450e_a822_d598a9087c9f" hidden="1">#REF!</definedName>
    <definedName name="TB75bb7163_7867_4015_8eaf_b06d5e9636be" hidden="1">#REF!</definedName>
    <definedName name="TB75bbd755_b207_4ad6_9b18_0660cb134a0b" hidden="1">#REF!</definedName>
    <definedName name="TB75bcc73a_5fac_4bff_88b5_9804c2a5e4ee" hidden="1">#REF!</definedName>
    <definedName name="TB75c128d5_a9e7_4d75_bc3f_02b9b6ed745c" hidden="1">#REF!</definedName>
    <definedName name="TB75c4e0a9_229a_409e_a179_e69a7718b602" hidden="1">#REF!</definedName>
    <definedName name="TB75ce398f_d511_4462_b8fd_324116f218f2" hidden="1">#REF!</definedName>
    <definedName name="TB75d75129_7d2b_4529_b375_7401d70c6a00" hidden="1">#REF!</definedName>
    <definedName name="TB75e272d6_62a8_4c60_ba33_5e4cf7a0961b" hidden="1">#REF!</definedName>
    <definedName name="TB75ec615d_d3cd_4e3a_b72f_4c1684dc5026" hidden="1">#REF!</definedName>
    <definedName name="TB760822ac_669c_471c_a939_d77b55f06f43" hidden="1">#REF!</definedName>
    <definedName name="TB760a9573_5d46_4182_8cf0_6cdfd515d6cb" hidden="1">#REF!</definedName>
    <definedName name="TB7618fdac_9689_4943_9654_dde5c1f28393" hidden="1">#REF!</definedName>
    <definedName name="TB761c7054_9b7a_4da1_bd5c_791b78b2bce2" hidden="1">#REF!</definedName>
    <definedName name="TB761e298c_0d51_418d_b191_d4c92d35bf91" hidden="1">#REF!</definedName>
    <definedName name="TB76295a06_55a3_4d60_a733_c2c874816158" hidden="1">#REF!</definedName>
    <definedName name="TB7641bd80_8f2a_4346_b43f_e48e8f286ab6" hidden="1">#REF!</definedName>
    <definedName name="TB7642a3ca_b845_4140_bc63_4adb795860c1" hidden="1">#REF!</definedName>
    <definedName name="TB7658f32a_7e88_4e08_a9c7_fe929375848f" hidden="1">#REF!</definedName>
    <definedName name="TB765c6856_5568_4e22_8fbe_90353e99b596" hidden="1">#REF!</definedName>
    <definedName name="TB76601e1f_7f25_4200_b070_cf755026e409" hidden="1">#REF!</definedName>
    <definedName name="TB76646c6f_8651_4ed2_b274_755a5fa9ce7e" hidden="1">#REF!</definedName>
    <definedName name="TB7664be2e_45da_4bfc_ad6a_5ee424b7660e" hidden="1">#REF!</definedName>
    <definedName name="TB7668338b_ffe3_4950_a141_87e9a8d56ff7" hidden="1">#REF!</definedName>
    <definedName name="TB766fc6a7_b4fe_4ba5_b38a_6b6b4bc032fc" hidden="1">#REF!</definedName>
    <definedName name="TB7674091e_a8f4_408a_846c_cb06c0070719" hidden="1">#REF!</definedName>
    <definedName name="TB7674a633_38c6_4831_af91_67454d56ad95" hidden="1">#REF!</definedName>
    <definedName name="TB767c4724_e3d4_4440_9db0_28f1bcb0013d" hidden="1">#REF!</definedName>
    <definedName name="TB767e7a07_10c0_471d_8e06_e6e58631ab8f" hidden="1">#REF!</definedName>
    <definedName name="TB7685ff51_adaa_4711_89fd_a91829572412" hidden="1">#REF!</definedName>
    <definedName name="TB769304a5_7713_47b7_8982_517699f3ae26" hidden="1">#REF!</definedName>
    <definedName name="TB76967980_7e81_4e74_b316_22e35249e3a7" hidden="1">#REF!</definedName>
    <definedName name="TB769c9e3f_aa87_4e90_80e6_d3ce280a300e" hidden="1">#REF!</definedName>
    <definedName name="TB76a29bce_b34c_4007_9349_bdb0bb73e6f4" hidden="1">#REF!</definedName>
    <definedName name="TB76a36911_9ba5_4fbe_9f68_f4c1c860c678" hidden="1">#REF!</definedName>
    <definedName name="TB76a59ea6_5dfc_4d43_b3b5_42eb25a46c27" hidden="1">#REF!</definedName>
    <definedName name="TB76b249cc_6f21_46f8_9420_dd8ab24df34b" hidden="1">#REF!</definedName>
    <definedName name="TB76bac7f5_9d83_4ec0_a30c_36ed95c64437" hidden="1">#REF!</definedName>
    <definedName name="TB76be908b_cc92_4d2a_b5a7_9d60ae93a793" hidden="1">#REF!</definedName>
    <definedName name="TB76bebe24_6fb7_4ac1_ac17_82f2c6199976" hidden="1">#REF!</definedName>
    <definedName name="TB76d29ff5_d51f_43eb_bcab_efb46d4437a5" hidden="1">#REF!</definedName>
    <definedName name="TB76d634d0_9adc_4edf_9ccf_2ec2874f6d4a" hidden="1">#REF!</definedName>
    <definedName name="TB76f57411_8180_47c2_b1b9_6c6dcdf5e88f" hidden="1">#REF!</definedName>
    <definedName name="TB7721870f_b013_4f90_a056_01215713803f" hidden="1">#REF!</definedName>
    <definedName name="TB7724231c_7d45_41d5_afd8_acc271ae0407" hidden="1">#REF!</definedName>
    <definedName name="TB7725571b_06c2_4ee9_bc74_9d32efe80140" hidden="1">#REF!</definedName>
    <definedName name="TB772ab900_2a19_4e3b_a4d4_c1d0969083df" hidden="1">#REF!</definedName>
    <definedName name="TB772d3f63_2b51_48a2_832f_99608aab205a" hidden="1">#REF!</definedName>
    <definedName name="TB773bd94f_4492_4ad7_a375_8e2fb9272265" hidden="1">#REF!</definedName>
    <definedName name="TB77623ac8_b099_4071_bef1_3b1ec8d2f97d" hidden="1">#REF!</definedName>
    <definedName name="TB77680671_51ba_461e_8a11_90a7f5bf14ae" hidden="1">#REF!</definedName>
    <definedName name="TB77684678_a092_49e2_9cb6_852bd1cf3600" hidden="1">#REF!</definedName>
    <definedName name="TB776a43dd_db2d_4c4a_b247_a13d7aefd6ed" hidden="1">#REF!</definedName>
    <definedName name="TB776c35fc_0ec4_400c_bcdd_8193fee00ec2" hidden="1">#REF!</definedName>
    <definedName name="TB776ebaea_da7e_4f82_9fa3_afd89c87df0a" hidden="1">#REF!</definedName>
    <definedName name="TB776f6593_bfc5_4750_86fb_88f0521181ad" hidden="1">#REF!</definedName>
    <definedName name="TB77701657_8636_4d0e_b953_0c98ec2e5e27" hidden="1">#REF!</definedName>
    <definedName name="TB77719140_d01d_45c2_920e_841dc2e08a28" hidden="1">#REF!</definedName>
    <definedName name="TB77761643_752c_4a0c_9f70_fc0003ffd93a" hidden="1">#REF!</definedName>
    <definedName name="TB777d4878_dcc3_4a85_bf83_7ccff5f53e9d" hidden="1">#REF!</definedName>
    <definedName name="TB7783da6f_1074_4bf6_b98a_2c5ab5a97af4" hidden="1">#REF!</definedName>
    <definedName name="TB779d0268_0bf5_447e_89a0_a49d9b8582d6" hidden="1">#REF!</definedName>
    <definedName name="TB77a33554_7eee_471a_b529_864c12623d3f" hidden="1">#REF!</definedName>
    <definedName name="TB77a629cc_9e42_4693_b00b_87d68f603e47" hidden="1">#REF!</definedName>
    <definedName name="TB77b8354f_c67f_49de_a78d_18d77aaa51a1" hidden="1">#REF!</definedName>
    <definedName name="TB77c3ae2d_170a_4b1b_a0d4_35d41aedbec8" hidden="1">#REF!</definedName>
    <definedName name="TB77d5ba3b_f6e0_4c95_99cb_b0db2d536644" hidden="1">#REF!</definedName>
    <definedName name="TB77db82da_303f_4541_9334_a5d3aef57919" hidden="1">#REF!</definedName>
    <definedName name="TB77eb3e29_426f_4c1f_b72d_2cc40681d986" hidden="1">#REF!</definedName>
    <definedName name="TB77f3646c_72ac_4a6a_a1da_6b205f32e1c1" hidden="1">#REF!</definedName>
    <definedName name="TB77fa60e3_b7fd_4ac1_864a_1b8ccf3a1193" hidden="1">#REF!</definedName>
    <definedName name="TB77fe9bdc_cc3b_4faf_9f22_d2998225843f" hidden="1">#REF!</definedName>
    <definedName name="TB780330ff_1d6e_4afe_9a2c_52ffa33a562f" hidden="1">#REF!</definedName>
    <definedName name="TB780399cf_a5fd_49a6_b0b0_b2c07dbe2db9" hidden="1">#REF!</definedName>
    <definedName name="TB78093235_0b07_47d0_9db6_a082a32d0d42" hidden="1">#REF!</definedName>
    <definedName name="TB780f970b_69ec_438d_ab7c_73831ec01732" hidden="1">#REF!</definedName>
    <definedName name="TB780fbe79_d89b_4496_95d9_2f13b547829a" hidden="1">#REF!</definedName>
    <definedName name="TB78147d4c_a86a_4d26_bd80_e3e2edd37f98" hidden="1">#REF!</definedName>
    <definedName name="TB781b06b4_e94b_4a6e_8877_00800c109bd4" hidden="1">#REF!</definedName>
    <definedName name="TB782de0aa_4d29_487a_a3b7_1e21215428cb" hidden="1">#REF!</definedName>
    <definedName name="TB782ea462_de82_4ef3_9104_c4bf3718ea9a" hidden="1">#REF!</definedName>
    <definedName name="TB78310dae_b232_4a15_82e2_55b5db8552e9" hidden="1">#REF!</definedName>
    <definedName name="TB78408348_aa23_4d3b_ab33_87194d95345f" hidden="1">#REF!</definedName>
    <definedName name="TB78409671_cdbc_413e_a5da_1607b9cba442" hidden="1">#REF!</definedName>
    <definedName name="TB784183a3_921f_4653_8aa6_d1fb66616b75" hidden="1">#REF!</definedName>
    <definedName name="TB78464463_849e_4572_b9c2_3eed65218590" hidden="1">#REF!</definedName>
    <definedName name="TB784ce0b8_dcca_4a47_acf1_e90e43c09cc6" hidden="1">#REF!</definedName>
    <definedName name="TB78557c85_d09b_484b_b4ae_82bb1fe1ab1b" hidden="1">#REF!</definedName>
    <definedName name="TB788e974c_18e0_412d_8f48_5caaba338fb5" hidden="1">#REF!</definedName>
    <definedName name="TB788f5696_aefb_4b79_bc2f_32543dd90084" hidden="1">#REF!</definedName>
    <definedName name="TB78922dff_2838_4a06_a7f0_1b742b582c76" hidden="1">#REF!</definedName>
    <definedName name="TB78949c21_6655_48f4_990c_6dd8ab6c06da" hidden="1">#REF!</definedName>
    <definedName name="TB789b862a_b780_4c3a_a00a_4d769baf8297" hidden="1">#REF!</definedName>
    <definedName name="TB78ad7601_8559_45b0_b2ee_f562d755c755" hidden="1">#REF!</definedName>
    <definedName name="TB78adcc7d_b307_4577_87b7_bce7fd80b374" hidden="1">#REF!</definedName>
    <definedName name="TB78b08037_98f5_4ed2_9396_49ca662f52ff" hidden="1">#REF!</definedName>
    <definedName name="TB78b8bf1c_e3f6_4c02_9514_e75f69f1d618" hidden="1">#REF!</definedName>
    <definedName name="TB78bf4166_378e_47a4_b5aa_0ba76cca6dd8" hidden="1">#REF!</definedName>
    <definedName name="TB78c7214e_5577_4050_a1f0_84d5d95b13a4" hidden="1">#REF!</definedName>
    <definedName name="TB78db6574_2d2e_4518_9f2a_ee6596575586" hidden="1">#REF!</definedName>
    <definedName name="TB78ddf2a4_a82c_4df7_a623_ef2cb412d78f" hidden="1">#REF!</definedName>
    <definedName name="TB78e1d14b_3459_492b_b20a_5aab4508dec9" hidden="1">#REF!</definedName>
    <definedName name="TB78e33c5d_1dd2_4f07_907d_24ba9100d919" hidden="1">#REF!</definedName>
    <definedName name="TB78f1d27a_3eb7_4229_a439_e68d0826a296" hidden="1">#REF!</definedName>
    <definedName name="TB78f93601_08c9_4664_aa94_c8289553e51b" hidden="1">#REF!</definedName>
    <definedName name="TB790a9519_7b17_4ab6_8965_2075e41546d9" hidden="1">#REF!</definedName>
    <definedName name="TB790bf8f9_2023_402b_8ea6_807e63c1413a" hidden="1">#REF!</definedName>
    <definedName name="TB7910f8cf_a052_4f69_ab84_f1ac837b7eed" hidden="1">#REF!</definedName>
    <definedName name="TB791395ec_3f17_4ccd_af0e_8ada62713834" hidden="1">#REF!</definedName>
    <definedName name="TB791f7e19_7fca_423a_beba_1f0b75d4cbe3" hidden="1">#REF!</definedName>
    <definedName name="TB7924b5bf_9f3a_4482_94c1_d8d8e908e7e8" hidden="1">#REF!</definedName>
    <definedName name="TB79445b74_1e5e_47ed_ba20_90e95a002519" hidden="1">#REF!</definedName>
    <definedName name="TB795ffa81_d8cb_4354_a870_e66f67acda12" hidden="1">#REF!</definedName>
    <definedName name="TB79607c17_ccde_4b6d_90cf_f3ce8f394e0e" hidden="1">#REF!</definedName>
    <definedName name="TB7966a4de_cdf3_44de_94d0_21402e16b396" hidden="1">#REF!</definedName>
    <definedName name="TB796c8334_892d_4ed8_a792_db9f314836e2" hidden="1">#REF!</definedName>
    <definedName name="TB79705411_36a2_45b9_a28c_ecf00943eb25" hidden="1">#REF!</definedName>
    <definedName name="TB797da422_d465_4ebf_96cf_8667146f90b6" hidden="1">#REF!</definedName>
    <definedName name="TB797df292_3766_44ed_9f60_c60e95a9cf6a" hidden="1">#REF!</definedName>
    <definedName name="TB7982155e_3814_461a_be58_ef42f06acf82" hidden="1">#REF!</definedName>
    <definedName name="TB7988fcb6_7b82_4c9e_a111_8afef160d543" hidden="1">#REF!</definedName>
    <definedName name="TB79939348_d44d_44a1_af1a_8af4bc351548" hidden="1">#REF!</definedName>
    <definedName name="TB79a24210_aecb_4430_b792_7b6e7e397a89" hidden="1">#REF!</definedName>
    <definedName name="TB79a553a2_1bee_4f00_a531_c226f791f945" hidden="1">#REF!</definedName>
    <definedName name="TB79aae5f9_9365_4d94_8a72_ed1a65765005" hidden="1">#REF!</definedName>
    <definedName name="TB79afad6c_b926_4d98_ae5b_d7c0b77e709c" hidden="1">#REF!</definedName>
    <definedName name="TB79b02cc3_40ce_421e_a593_a378776b8558" hidden="1">#REF!</definedName>
    <definedName name="TB79b7c0d5_92e5_4e2f_ba77_44c42203b415" hidden="1">#REF!</definedName>
    <definedName name="TB79de9ed2_d22e_4f13_8a3b_f9c3ce58b45e" hidden="1">#REF!</definedName>
    <definedName name="TB79e2604b_87a6_4a3c_b28d_3599ba3ebc1a" hidden="1">#REF!</definedName>
    <definedName name="TB79e716b0_f45f_44d9_a8b3_6e288a1a0f18" hidden="1">#REF!</definedName>
    <definedName name="TB79ea3fe4_c4dd_49d8_b169_99b081051f65" hidden="1">#REF!</definedName>
    <definedName name="TB79ea98b9_1dc9_4f50_9c86_e21fc56b6755" hidden="1">#REF!</definedName>
    <definedName name="TB7a045796_41c0_45d8_98f0_8209648d22d7" hidden="1">#REF!</definedName>
    <definedName name="TB7a222ac8_c85d_4ba3_adea_227739d1f029" hidden="1">#REF!</definedName>
    <definedName name="TB7a28914c_d0cb_4f28_9a74_900516cc025f" hidden="1">#REF!</definedName>
    <definedName name="TB7a2e0edd_55c3_4498_a71b_cf1e09695c62" hidden="1">#REF!</definedName>
    <definedName name="TB7a3cfb82_23cd_44ea_acee_bf416bda65ad" hidden="1">#REF!</definedName>
    <definedName name="TB7a43cfc2_8206_43da_8125_5e4ac20fe486" hidden="1">#REF!</definedName>
    <definedName name="TB7a4fa918_f60f_4b15_aaf5_443d99af3b3f" hidden="1">#REF!</definedName>
    <definedName name="TB7a52a76f_7d5f_47b1_8e32_44d93459157a" hidden="1">#REF!</definedName>
    <definedName name="TB7a53e2ea_7d06_4077_a2af_f9635468c15c" hidden="1">#REF!</definedName>
    <definedName name="TB7a57a33e_392b_4189_8730_9ce337938e4b" hidden="1">#REF!</definedName>
    <definedName name="TB7a5e7013_89d5_4550_bd43_18f4af655872" hidden="1">#REF!</definedName>
    <definedName name="TB7a5f11f0_9692_4ac1_9093_b6e02f77ac5d" hidden="1">#REF!</definedName>
    <definedName name="TB7a5f9fa7_9496_4654_9a5e_e8b17909bd9a" hidden="1">#REF!</definedName>
    <definedName name="TB7a627845_f41d_42a9_a1f8_f04aa85d4b21" hidden="1">#REF!</definedName>
    <definedName name="TB7a6905b0_c6f7_4728_b962_f2f752f4d4f1" hidden="1">#REF!</definedName>
    <definedName name="TB7a7c4433_b6b3_4545_835d_8ebb8206f377" hidden="1">#REF!</definedName>
    <definedName name="TB7a818d1d_2d7b_4467_8d4c_9d88307b9016" hidden="1">#REF!</definedName>
    <definedName name="TB7a959b42_3ed7_4f13_96eb_5a343c102788" hidden="1">#REF!</definedName>
    <definedName name="TB7a99bd18_a2aa_4195_9845_8815dbb13230" hidden="1">#REF!</definedName>
    <definedName name="TB7aaacd80_9bf6_47bd_abbf_9e647c64bb2c" hidden="1">#REF!</definedName>
    <definedName name="TB7aad6dca_00f6_4594_b4e5_7ba498b2f9db" hidden="1">#REF!</definedName>
    <definedName name="TB7aaf0e5f_757c_4616_a5fe_f3c08241d50a" hidden="1">#REF!</definedName>
    <definedName name="TB7ab16710_9a5a_4b55_9eec_45215a284634" hidden="1">#REF!</definedName>
    <definedName name="TB7ab745db_969d_455b_a850_39540ca1dd42" hidden="1">#REF!</definedName>
    <definedName name="TB7aba700e_c1a5_42bf_a4ba_6a9823bcecdf" hidden="1">#REF!</definedName>
    <definedName name="TB7ac85cf0_fcb5_42de_9f14_27140d6a657c" hidden="1">#REF!</definedName>
    <definedName name="TB7acbc7e2_91ed_4fc9_ba67_c0a1bcc46f05" hidden="1">#REF!</definedName>
    <definedName name="TB7acc1557_1f14_4983_971d_e75d5630b6c4" hidden="1">#REF!</definedName>
    <definedName name="TB7ada9e19_0f23_4004_92f8_519d3089a3d0" hidden="1">#REF!</definedName>
    <definedName name="TB7adc98e7_8c14_4417_8f61_4930d12e4384" hidden="1">#REF!</definedName>
    <definedName name="TB7af0641d_b51e_445f_b8ef_9b22f514b8b6" hidden="1">#REF!</definedName>
    <definedName name="TB7af34c18_3828_4515_874b_eae22ac3f2df" hidden="1">#REF!</definedName>
    <definedName name="TB7b1a282a_b379_4f0c_a3cc_90d05c815d66" hidden="1">#REF!</definedName>
    <definedName name="TB7b1efa7a_7592_48c9_b660_4691ce18fc24" hidden="1">#REF!</definedName>
    <definedName name="TB7b1fe947_c36e_465e_aa5a_723670e360e8" hidden="1">#REF!</definedName>
    <definedName name="TB7b28ab13_de30_4862_aeb4_4c0747af84e6" hidden="1">#REF!</definedName>
    <definedName name="TB7b293739_b7fd_4819_a38a_c51cce827d56" hidden="1">#REF!</definedName>
    <definedName name="TB7b2d56ad_30e5_45d1_9753_be4b0de9db03" hidden="1">#REF!</definedName>
    <definedName name="TB7b2f451d_06e3_49ce_a28f_a1d6d2f1ad9a" hidden="1">#REF!</definedName>
    <definedName name="TB7b418106_5d15_4639_9256_a04150f87d2f" hidden="1">#REF!</definedName>
    <definedName name="TB7b45ae27_f091_496e_85c3_0aa1b8e971f6" hidden="1">#REF!</definedName>
    <definedName name="TB7b4ff2d3_89f7_4e6a_afd5_6308d369159b" hidden="1">#REF!</definedName>
    <definedName name="TB7b55a79b_6930_469c_bb58_40402f095667" hidden="1">#REF!</definedName>
    <definedName name="TB7b614cb3_9586_4ee5_9015_9ee7ccb802d8" hidden="1">#REF!</definedName>
    <definedName name="TB7b6a8f65_861d_4d98_a5c5_f6a9e465dc11" hidden="1">#REF!</definedName>
    <definedName name="TB7b71bd66_3ffd_470b_9cf0_8b99554108e5" hidden="1">#REF!</definedName>
    <definedName name="TB7b8848ac_b060_41ad_8b15_f928f14eef7a" hidden="1">#REF!</definedName>
    <definedName name="TB7b942956_a3b1_49e8_ad8c_e380b72ff989" hidden="1">#REF!</definedName>
    <definedName name="TB7b9e2222_1cd1_416a_9ec7_e7be4a8fb9e1" hidden="1">#REF!</definedName>
    <definedName name="TB7bb2f906_6b70_48f6_8ae4_f64ad0569c44" hidden="1">#REF!</definedName>
    <definedName name="TB7bb7841d_312d_450c_a146_9271c58bd151" hidden="1">#REF!</definedName>
    <definedName name="TB7bbb4e9c_df33_4e3d_aa46_2a5fc170a895" hidden="1">#REF!</definedName>
    <definedName name="TB7bbe9085_6cdc_483c_8770_401159e15269" hidden="1">#REF!</definedName>
    <definedName name="TB7bc1392d_73be_4377_9e38_42a9a391f71c" hidden="1">#REF!</definedName>
    <definedName name="TB7bc4a887_e6df_4b2b_af04_dba879aff7e3" hidden="1">#REF!</definedName>
    <definedName name="TB7bc7d91b_7b80_45a7_a774_197d07c3ddd0" hidden="1">#REF!</definedName>
    <definedName name="TB7bcd96b0_2382_424c_860d_d48670f299e6" hidden="1">#REF!</definedName>
    <definedName name="TB7bcfd9dd_1d40_422e_b6d2_27adb1323e42" hidden="1">#REF!</definedName>
    <definedName name="TB7bd31571_3065_4f8e_890e_db16c312ecba" hidden="1">#REF!</definedName>
    <definedName name="TB7bdb3500_7374_45e2_a82e_fa3502620ea9" hidden="1">#REF!</definedName>
    <definedName name="TB7bdb4932_9409_4a51_9c29_4625c271d8fe" hidden="1">#REF!</definedName>
    <definedName name="TB7be73cfb_bcb8_454f_988d_297281613ef3" hidden="1">#REF!</definedName>
    <definedName name="TB7bf0053c_9bff_49b2_abe0_1e549bcd6a0c" hidden="1">#REF!</definedName>
    <definedName name="TB7bf3b434_4993_45f5_8e6c_a075d82bc61a" hidden="1">#REF!</definedName>
    <definedName name="TB7bfebf5e_3456_4543_88dd_ff8e63e395c4" hidden="1">#REF!</definedName>
    <definedName name="TB7c05d7bb_942b_4df3_a266_a3a4eb5d6678" hidden="1">#REF!</definedName>
    <definedName name="TB7c0852f1_2347_4552_b326_c6b2c71ee6bb" hidden="1">#REF!</definedName>
    <definedName name="TB7c0ca9d4_d1a9_49f8_bfae_025b0f56359b" hidden="1">#REF!</definedName>
    <definedName name="TB7c1cf536_5f3c_4d07_bf35_9f09cc9a531d" hidden="1">#REF!</definedName>
    <definedName name="TB7c1ed2ae_b63a_40a4_87db_27f810378c1c" hidden="1">#REF!</definedName>
    <definedName name="TB7c213ac1_c821_4189_8e1d_2d24526807a2" hidden="1">#REF!</definedName>
    <definedName name="TB7c230821_8d93_4314_8c38_a0d48b281d19" hidden="1">#REF!</definedName>
    <definedName name="TB7c31f4c2_9d77_4a87_bc75_3e5559dc5bfb" hidden="1">#REF!</definedName>
    <definedName name="TB7c3710d0_1bc9_4ebf_aa46_9fcd24bf271c" hidden="1">#REF!</definedName>
    <definedName name="TB7c39c898_a537_46e0_83fa_bdc6a57f4924" hidden="1">#REF!</definedName>
    <definedName name="TB7c4329a8_00b7_4ab1_96d2_b77e23809ffe" hidden="1">#REF!</definedName>
    <definedName name="TB7c5dfee7_59ed_48f5_a3b6_305b23f1d645" hidden="1">#REF!</definedName>
    <definedName name="TB7c71ccd2_bc24_4930_8a82_b4da0286713c" hidden="1">#REF!</definedName>
    <definedName name="TB7c787ddc_be48_4d68_8d7a_0671c7275458" hidden="1">#REF!</definedName>
    <definedName name="TB7c80e21f_f960_4163_affa_b37034d4beb5" hidden="1">#REF!</definedName>
    <definedName name="TB7c863656_119b_4272_93a1_9db443d5cd2e" hidden="1">#REF!</definedName>
    <definedName name="TB7c998b35_a051_4e74_b12d_7151ba59a195" hidden="1">#REF!</definedName>
    <definedName name="TB7c9a9f4f_263b_4192_bb76_c01e0e32be2f" hidden="1">#REF!</definedName>
    <definedName name="TB7c9b2143_05f8_4208_aabe_a7e64ee28943" hidden="1">#REF!</definedName>
    <definedName name="TB7c9ddfc1_6f72_4e36_ada4_d17cd44d2f3e" hidden="1">#REF!</definedName>
    <definedName name="TB7ca38f88_3cfd_4c54_b824_e3df8a395e27" hidden="1">#REF!</definedName>
    <definedName name="TB7cad82b7_df1b_4bfe_a395_ab736556009a" hidden="1">#REF!</definedName>
    <definedName name="TB7cb6700d_050b_428f_a30a_1b1352540e43" hidden="1">#REF!</definedName>
    <definedName name="TB7cbcc946_56bd_4255_8621_aca9c0a8b7be" hidden="1">#REF!</definedName>
    <definedName name="TB7cc02014_3609_4f12_bcda_89047c587648" hidden="1">#REF!</definedName>
    <definedName name="TB7cd2a7c1_f1d1_47c4_97c1_76255624f6dd" hidden="1">#REF!</definedName>
    <definedName name="TB7ce7bee1_8c25_45f6_8744_abff517b4da1" hidden="1">#REF!</definedName>
    <definedName name="TB7cf0afa0_c588_404c_a4e0_e3ad225c7299" hidden="1">#REF!</definedName>
    <definedName name="TB7cf1d42a_b362_40fa_8004_89941785f572" hidden="1">#REF!</definedName>
    <definedName name="TB7cff9d61_960b_40ea_9f32_f811dcf5b4ed" hidden="1">#REF!</definedName>
    <definedName name="TB7d0bf998_3239_433d_9d1b_f184c48ba707" hidden="1">#REF!</definedName>
    <definedName name="TB7d0f0183_0d9a_4a5b_b04e_35aa1cecfa5d" hidden="1">#REF!</definedName>
    <definedName name="TB7d13ea29_ed78_48ec_9b3f_8a4ca2ad54f2" hidden="1">#REF!</definedName>
    <definedName name="TB7d194248_5d23_4838_b604_494ff2c2fed4" hidden="1">#REF!</definedName>
    <definedName name="TB7d1b1610_fd12_47bb_9e1e_ea0586020033" hidden="1">#REF!</definedName>
    <definedName name="TB7d2f6ef6_2a28_4661_9a0c_df9071b321b2" hidden="1">#REF!</definedName>
    <definedName name="TB7d2fce0f_bf19_46ff_ac15_72e1c99708d3" hidden="1">#REF!</definedName>
    <definedName name="TB7d34bde3_c970_4596_b30e_5e4f1f4af1d6" hidden="1">#REF!</definedName>
    <definedName name="TB7d390c85_c144_4246_87e8_d56ad44c20b3" hidden="1">#REF!</definedName>
    <definedName name="TB7d41eddf_6584_491c_b3eb_2a1267220dc8" hidden="1">#REF!</definedName>
    <definedName name="TB7d48414d_6443_4d5c_be85_f5fddab8e0a6" hidden="1">#REF!</definedName>
    <definedName name="TB7d4c96dc_3d99_40f4_aecc_086cd4347d08" hidden="1">#REF!</definedName>
    <definedName name="TB7d5a9804_7af2_4dfe_b386_f6d7e838b3f2" hidden="1">#REF!</definedName>
    <definedName name="TB7d682cbc_726c_4390_b022_0e3b7f2c7e9b" hidden="1">#REF!</definedName>
    <definedName name="TB7d71c3c2_0eb1_492d_8e29_e3ce262c7537" hidden="1">#REF!</definedName>
    <definedName name="TB7d778caa_9f59_4246_9aa8_423199c456bb" hidden="1">#REF!</definedName>
    <definedName name="TB7d8a5c3a_19e3_49bb_9580_58be48ac050e" hidden="1">#REF!</definedName>
    <definedName name="TB7d8c6aeb_319c_4831_9d06_41e02d27093c" hidden="1">#REF!</definedName>
    <definedName name="TB7d8dd8e7_e68f_4ecd_87c4_4ab097361d8d" hidden="1">#REF!</definedName>
    <definedName name="TB7d9420c5_5085_4d27_bf52_02194a71af61" hidden="1">#REF!</definedName>
    <definedName name="TB7daf5904_3b17_4be1_b89f_9dad8f56bfa3" hidden="1">#REF!</definedName>
    <definedName name="TB7db24dac_de60_4b62_a291_7a4964465403" hidden="1">#REF!</definedName>
    <definedName name="TB7dc3566c_7d12_4221_a8bd_0c81c8303fd9" hidden="1">#REF!</definedName>
    <definedName name="TB7dc91611_4f97_4bbd_8156_4d5d086f13bb" hidden="1">#REF!</definedName>
    <definedName name="TB7dcb8813_3143_4b06_b395_3b6ac909983f" hidden="1">#REF!</definedName>
    <definedName name="TB7dcc104d_a19f_412a_a0cc_b13e90df2bdc" hidden="1">#REF!</definedName>
    <definedName name="TB7dd72ddf_0e45_48d9_a3f6_edfbb5ee3f36" hidden="1">#REF!</definedName>
    <definedName name="TB7e07c019_867f_42d1_9eb6_7c7cf22a96f5" hidden="1">#REF!</definedName>
    <definedName name="TB7e1294d3_7e58_4ae1_bdfc_29f9d45c0c50" hidden="1">#REF!</definedName>
    <definedName name="TB7e1449d8_7283_4d07_a7e0_4583036194a0" hidden="1">#REF!</definedName>
    <definedName name="TB7e19cc85_13c1_4acd_b221_d14677cdd042" hidden="1">#REF!</definedName>
    <definedName name="TB7e1c604a_8163_48db_a375_1372f83276c6" hidden="1">#REF!</definedName>
    <definedName name="TB7e20313b_8cc2_48ba_94f2_274090ec666c" hidden="1">#REF!</definedName>
    <definedName name="TB7e2852fc_d6d2_43bd_bd60_c06b31dfe387" hidden="1">#REF!</definedName>
    <definedName name="TB7e4a32d2_1a36_46ee_ad02_ea570b37a8f6" hidden="1">#REF!</definedName>
    <definedName name="TB7e4c31db_3696_4435_bf07_9462dff3b27a" hidden="1">#REF!</definedName>
    <definedName name="TB7e4f69ce_563f_4900_8478_2a5fdcf93476" hidden="1">#REF!</definedName>
    <definedName name="TB7e58748f_cd02_43db_8831_05272c30cf4f" hidden="1">#REF!</definedName>
    <definedName name="TB7e61d3ae_08d6_49e4_bf4f_e1327a71a78d" hidden="1">#REF!</definedName>
    <definedName name="TB7e64e7db_2d10_4f86_b5e6_80f2d9fe2680" hidden="1">#REF!</definedName>
    <definedName name="TB7e660f23_e40c_4868_9f8b_ab7b8509bf4a" hidden="1">#REF!</definedName>
    <definedName name="TB7e68b3d4_4cee_42de_853c_3b8f30b2b8a8" hidden="1">#REF!</definedName>
    <definedName name="TB7e7f99e2_00fa_43fc_94b7_fd040ba319bf" hidden="1">#REF!</definedName>
    <definedName name="TB7e8bc32b_402e_42d8_9dde_5f8386a7f00d" hidden="1">#REF!</definedName>
    <definedName name="TB7e906a6a_87b3_43fc_a8e0_c68e840961e5" hidden="1">#REF!</definedName>
    <definedName name="TB7e9eda3a_659b_4932_888c_3a2aada61698" hidden="1">#REF!</definedName>
    <definedName name="TB7ea42e44_a2ff_471b_a939_8cb88a821bd3" hidden="1">#REF!</definedName>
    <definedName name="TB7eb9d05b_49a6_4e49_870c_7cd01261c2db" hidden="1">#REF!</definedName>
    <definedName name="TB7ec3822c_2bae_4a67_a250_9773c32a73de" hidden="1">#REF!</definedName>
    <definedName name="TB7ec9a55f_2b9c_44a4_865e_e4287af43349" hidden="1">#REF!</definedName>
    <definedName name="TB7ecfcd0c_8975_48e6_8efb_2b1ade3edffa" hidden="1">#REF!</definedName>
    <definedName name="TB7ed1c28b_5b90_4d88_846f_c6957070dae3" hidden="1">#REF!</definedName>
    <definedName name="TB7eee25d9_be66_4605_9a92_50c56dd7a438" hidden="1">#REF!</definedName>
    <definedName name="TB7eef6769_384f_4cfa_a3a4_37bfa7b52e91" hidden="1">#REF!</definedName>
    <definedName name="TB7ef098a7_f34e_4590_9eb3_eb7042ced530" hidden="1">#REF!</definedName>
    <definedName name="TB7ef5728c_abb8_4a88_9ed4_721ad42acc5f" hidden="1">#REF!</definedName>
    <definedName name="TB7f01246f_2e3f_4286_8e54_38f6487613ea" hidden="1">#REF!</definedName>
    <definedName name="TB7f15a3f2_c9cf_41b0_9723_6499bec9a599" hidden="1">#REF!</definedName>
    <definedName name="TB7f16eae7_3a5c_404f_a95f_ac2e0ba26649" hidden="1">#REF!</definedName>
    <definedName name="TB7f23d6ca_df10_40b3_949d_25853ed8515d" hidden="1">#REF!</definedName>
    <definedName name="TB7f262dca_e862_4115_995a_40597c3c5445" hidden="1">#REF!</definedName>
    <definedName name="TB7f2651ef_d4f4_4465_9399_988225c78e7f" hidden="1">#REF!</definedName>
    <definedName name="TB7f2edd97_711e_4849_a289_29e845573ef7" hidden="1">#REF!</definedName>
    <definedName name="TB7f31d83b_ee19_41c4_a5d8_f3be3187da71" hidden="1">#REF!</definedName>
    <definedName name="TB7f3bc9a7_f9cf_471f_9fc8_65004770a310" hidden="1">#REF!</definedName>
    <definedName name="TB7f46c75c_f314_4536_b235_66088c214d8c" hidden="1">#REF!</definedName>
    <definedName name="TB7f539b04_67b2_416b_81db_2775c04b234d" hidden="1">#REF!</definedName>
    <definedName name="TB7f54049f_4dc8_4be2_8629_38e1bdba08de" hidden="1">#REF!</definedName>
    <definedName name="TB7f56e402_89bf_4b47_8be7_b9d902d95a37" hidden="1">#REF!</definedName>
    <definedName name="TB7f5b4141_9bd4_4813_aa97_11be54c96024" hidden="1">#REF!</definedName>
    <definedName name="TB7f5c6bba_f3bd_4f89_9fc9_4178f3aa965f" hidden="1">#REF!</definedName>
    <definedName name="TB7f6e0daa_e503_48c3_bd75_9310ead71969" hidden="1">#REF!</definedName>
    <definedName name="TB7f869d5a_3cc4_4844_a14c_7f55a9a5633f" hidden="1">#REF!</definedName>
    <definedName name="TB7f886213_ba87_40a3_8e07_1e8e2477a1c9" hidden="1">#REF!</definedName>
    <definedName name="TB7f8ea451_5d09_49e9_b71e_3f0e21c4de32" hidden="1">#REF!</definedName>
    <definedName name="TB7f93e9c4_9ce7_48f3_99f0_425a369d4513" hidden="1">#REF!</definedName>
    <definedName name="TB7f9c0f9e_3930_4ff5_b9ae_281a3bd8bc16" hidden="1">#REF!</definedName>
    <definedName name="TB7fa4dab9_6e69_47fa_a5eb_8ab231264153" hidden="1">#REF!</definedName>
    <definedName name="TB7fa5679a_75f7_4da4_bc77_6a318ea131e9" hidden="1">#REF!</definedName>
    <definedName name="TB7fa992ea_00c1_49e0_8f4f_88448b93f302" hidden="1">#REF!</definedName>
    <definedName name="TB7fb8173e_2655_4f18_ab3f_3ec893d32f7c" hidden="1">#REF!</definedName>
    <definedName name="TB7fbad1a8_53be_4649_8eb1_ad633c68672a" hidden="1">#REF!</definedName>
    <definedName name="TB7fbdc5ec_6167_46bb_9463_ea859561ca7c" hidden="1">#REF!</definedName>
    <definedName name="TB7fc457f0_ad9e_4e00_a745_0dbf9d6ba45e" hidden="1">#REF!</definedName>
    <definedName name="TB7fd32c6d_5f1c_4cdc_83d1_a4eb495fca98" hidden="1">#REF!</definedName>
    <definedName name="TB7fd974b9_7378_4039_9a3c_5edf331f4e06" hidden="1">#REF!</definedName>
    <definedName name="TB7fda914e_1f2e_4de4_90bb_44e1a539cc51" hidden="1">#REF!</definedName>
    <definedName name="TB7fde3a1c_ddc9_4e44_a5e3_9c6fd2acd328" hidden="1">#REF!</definedName>
    <definedName name="TB7fe92829_a404_4506_88fe_ec2999bce688" hidden="1">#REF!</definedName>
    <definedName name="TB7fea445a_2fc7_46ae_95c0_40f2b554f8af" hidden="1">#REF!</definedName>
    <definedName name="TB8012be72_8b22_4448_b40a_f08d8460d5ef" hidden="1">#REF!</definedName>
    <definedName name="TB8013af9b_f07b_49fd_ae3a_dfbad131ad1e" hidden="1">#REF!</definedName>
    <definedName name="TB801501fd_8997_4b0f_a3ff_0e84d3c196fe" hidden="1">#REF!</definedName>
    <definedName name="TB802e5eb1_8970_45ac_9cae_08f8f5f3e722" hidden="1">#REF!</definedName>
    <definedName name="TB80374b8b_996b_4100_bd2d_22e1772e6656" hidden="1">#REF!</definedName>
    <definedName name="TB80448147_db99_454f_8c85_5b29d5aa5e88" hidden="1">#REF!</definedName>
    <definedName name="TB804f245d_ae3a_4cbb_bffe_79b41f6ab8c4" hidden="1">#REF!</definedName>
    <definedName name="TB8052a50f_5705_4bf0_a387_7a9c8fa7c85c" hidden="1">#REF!</definedName>
    <definedName name="TB8057cdd0_c168_4a50_b061_8039587f0a69" hidden="1">#REF!</definedName>
    <definedName name="TB8063485a_d85c_4b6b_8881_c0b4b99e9f1f" hidden="1">#REF!</definedName>
    <definedName name="TB8077842b_fa29_4f34_b474_8be301fb1374" hidden="1">#REF!</definedName>
    <definedName name="TB8077af4b_2bba_4103_bf53_f0dc425f3800" hidden="1">#REF!</definedName>
    <definedName name="TB80a87acf_b09e_4a1d_a5f6_af481733d909" hidden="1">#REF!</definedName>
    <definedName name="TB80aaf2eb_6e2d_42b6_af35_e69d4fa5e734" hidden="1">#REF!</definedName>
    <definedName name="TB80ae111b_91ce_4116_90f6_5be8104c55c2" hidden="1">#REF!</definedName>
    <definedName name="TB80b0f62c_af28_4fa5_b00d_470f69a8b31d" hidden="1">#REF!</definedName>
    <definedName name="TB80c21a32_7747_4681_b663_acea35b932db" hidden="1">#REF!</definedName>
    <definedName name="TB80c27a1d_65de_4cc4_938a_9d19569e3e33" hidden="1">#REF!</definedName>
    <definedName name="TB80c6bc26_efab_47c6_8bdd_b1bd467cd207" hidden="1">#REF!</definedName>
    <definedName name="TB80e193df_7c70_486d_843c_cbd9d39db03b" hidden="1">#REF!</definedName>
    <definedName name="TB80eef828_b22e_4818_9863_a8bc31199b97" hidden="1">#REF!</definedName>
    <definedName name="TB81009ead_c4a7_473a_b071_5ccc41e0d72d" hidden="1">#REF!</definedName>
    <definedName name="TB8108dfe1_ba54_4596_893d_97c9cbd342fa" hidden="1">#REF!</definedName>
    <definedName name="TB810a712a_26bc_429c_bba0_f179d2d2e33e" hidden="1">#REF!</definedName>
    <definedName name="TB810f8a7f_1123_4e38_9a2d_0e6c5a9a43cb" hidden="1">#REF!</definedName>
    <definedName name="TB8111dc3e_8057_47ad_ab9f_18f1f9e2b6e7" hidden="1">#REF!</definedName>
    <definedName name="TB8120dd6f_07ce_4d16_a07e_b44561755c86" hidden="1">#REF!</definedName>
    <definedName name="TB813116ee_b596_4c07_b5b5_7f9e5aa2c752" hidden="1">#REF!</definedName>
    <definedName name="TB813b7ed2_661c_487f_8437_fa06eff45562" hidden="1">#REF!</definedName>
    <definedName name="TB8140f65b_dadd_4aa2_9c59_4e0e4d903fc0" hidden="1">#REF!</definedName>
    <definedName name="TB81505abe_a483_4f46_a8c4_7fb1b82cbba0" hidden="1">#REF!</definedName>
    <definedName name="TB8157b3df_3480_4f3e_9033_7aa9b57d59b7" hidden="1">#REF!</definedName>
    <definedName name="TB815a693c_f072_4388_b4e4_e775d746667c" hidden="1">#REF!</definedName>
    <definedName name="TB81664a14_e1bb_4e53_8608_54feaa61fa27" hidden="1">#REF!</definedName>
    <definedName name="TB8169d18f_7e19_4023_a089_0fd98729cb80" hidden="1">#REF!</definedName>
    <definedName name="TB81723b61_da88_4225_96c7_26f170e7da70" hidden="1">#REF!</definedName>
    <definedName name="TB8177afd8_452a_4a88_87cb_e20d99ae24b6" hidden="1">#REF!</definedName>
    <definedName name="TB817f1b2f_1695_4f11_b9f3_94b1acad3da7" hidden="1">#REF!</definedName>
    <definedName name="TB81843c4c_8ee5_4176_8e7d_d039363b5bcc" hidden="1">#REF!</definedName>
    <definedName name="TB8195195c_1f35_4e80_b7c8_f600f3f20975" hidden="1">#REF!</definedName>
    <definedName name="TB81afedce_b099_4464_a6ad_814235c8a725" hidden="1">#REF!</definedName>
    <definedName name="TB81c30c3d_90f0_45b3_8427_e9f96ef14fc1" hidden="1">#REF!</definedName>
    <definedName name="TB81c74f69_9c10_4afa_9d1c_d2a9b7ad2b2b" hidden="1">#REF!</definedName>
    <definedName name="TB81d133cb_ba27_4c00_a4af_85ff77c574fa" hidden="1">#REF!</definedName>
    <definedName name="TB81db2b91_77bc_40be_8cdc_2173281c8959" hidden="1">#REF!</definedName>
    <definedName name="TB81e6a090_2e7e_4826_a674_ab4e77a4a6ec" hidden="1">#REF!</definedName>
    <definedName name="TB81ebdf27_bdda_4f0f_b5fb_49264d60f22d" hidden="1">#REF!</definedName>
    <definedName name="TB81ec0030_a179_44ba_b1e2_f08a68ad1ef4" hidden="1">#REF!</definedName>
    <definedName name="TB820d28d8_bf26_41e3_9eba_2170b4244640" hidden="1">#REF!</definedName>
    <definedName name="TB82130758_e17f_493e_bb32_55f9be30dea0" hidden="1">#REF!</definedName>
    <definedName name="TB821c133e_cfda_47e8_87b4_c9ee76470b46" hidden="1">#REF!</definedName>
    <definedName name="TB821cedd4_9d09_4bd2_b3e3_79816203f7d7" hidden="1">#REF!</definedName>
    <definedName name="TB82221e24_897d_4e09_800f_f92a5dd32c8b" hidden="1">#REF!</definedName>
    <definedName name="TB822c78f1_f7c7_43e8_9c02_f5cc675f98e1" hidden="1">#REF!</definedName>
    <definedName name="TB822e4158_0cc5_4507_9195_b7cc54dcb9a7" hidden="1">#REF!</definedName>
    <definedName name="TB822ee2d0_55b0_4d9c_90bc_fad91811eae0" hidden="1">#REF!</definedName>
    <definedName name="TB8232783f_788f_4790_a237_d345d36a59e3" hidden="1">#REF!</definedName>
    <definedName name="TB82507891_a9fa_4533_b1bc_e829fe7b36ff" hidden="1">#REF!</definedName>
    <definedName name="TB82578a9e_4e47_405b_bdd0_49a134fad4a3" hidden="1">#REF!</definedName>
    <definedName name="TB825900f3_5053_4e06_ad0c_15a7b93623d7" hidden="1">#REF!</definedName>
    <definedName name="TB8259f9ee_0e0b_41ef_87fc_1cad13aa722c" hidden="1">#REF!</definedName>
    <definedName name="TB82621e2b_76ee_4edb_b2b5_6ae549e03733" hidden="1">#REF!</definedName>
    <definedName name="TB8281847c_e45f_4e23_8769_463ec46a56e4" hidden="1">#REF!</definedName>
    <definedName name="TB8290604a_2930_4448_9be8_a98726b10fd6" hidden="1">#REF!</definedName>
    <definedName name="TB82929cc5_ec6b_4540_9000_21bf8ad61787" hidden="1">#REF!</definedName>
    <definedName name="TB829c9c9e_583a_42c9_a291_10ef4938cd34" hidden="1">#REF!</definedName>
    <definedName name="TB829e5dba_ba0a_46fa_9a45_334f87bd79eb" hidden="1">#REF!</definedName>
    <definedName name="TB82a2912d_c565_4523_a011_ce895b1f7e36" hidden="1">#REF!</definedName>
    <definedName name="TB82a78268_b69e_4ad0_acc6_b658f7571a7c" hidden="1">#REF!</definedName>
    <definedName name="TB82ad08ab_294b_42bc_9e4d_c6cf2aa3ddac" hidden="1">#REF!</definedName>
    <definedName name="TB82b60e74_0eaa_4be1_a736_e5627de312b9" hidden="1">#REF!</definedName>
    <definedName name="TB82bddbd9_eb77_4fe4_ac5f_0df8e404e7ec" hidden="1">#REF!</definedName>
    <definedName name="TB82cec2a9_1537_4d42_83c4_a2d3ceeaecb3" hidden="1">#REF!</definedName>
    <definedName name="TB82ddabdb_3107_42dd_95ca_641252e5b546" hidden="1">#REF!</definedName>
    <definedName name="TB82e957f5_ec7b_4870_a010_b997c26169a3" hidden="1">#REF!</definedName>
    <definedName name="TB8300cea7_d3cb_4810_bcb0_b13571f3e595" hidden="1">#REF!</definedName>
    <definedName name="TB8300ed6f_5f10_4a7c_a444_2171f7335149" hidden="1">#REF!</definedName>
    <definedName name="TB830af1c5_6d0e_4632_84b8_51f40824342d" hidden="1">#REF!</definedName>
    <definedName name="TB830c7a63_7b72_426a_ba90_1e59108451d3" hidden="1">#REF!</definedName>
    <definedName name="TB83102997_a337_46c2_b092_eb09949bb1b7" hidden="1">#REF!</definedName>
    <definedName name="TB8319b550_d895_4844_910a_7d5f0f8b49fb" hidden="1">#REF!</definedName>
    <definedName name="TB832229d6_5bf0_4ad9_b86f_c4e273024c07" hidden="1">#REF!</definedName>
    <definedName name="TB832497e6_733b_4936_a897_20774827837f" hidden="1">#REF!</definedName>
    <definedName name="TB832a796e_9228_49e6_9284_9c62bda3750f" hidden="1">#REF!</definedName>
    <definedName name="TB8332ab2d_af7d_44c3_95bc_efc6134423f8" hidden="1">#REF!</definedName>
    <definedName name="TB8342e015_8922_4887_9d2b_197cd789859b" hidden="1">#REF!</definedName>
    <definedName name="TB83503ec0_9a12_4ac5_a904_4a8f826bad2f" hidden="1">#REF!</definedName>
    <definedName name="TB8363e6b0_eaa9_4a2b_867e_86afe2e7352c" hidden="1">#REF!</definedName>
    <definedName name="TB836868d8_fcad_4c91_899b_e93d88f1a434" hidden="1">#REF!</definedName>
    <definedName name="TB838038c4_db24_4a21_b551_a178af71109d" hidden="1">#REF!</definedName>
    <definedName name="TB838a99be_13fd_4e62_b934_4b96c5e21c47" hidden="1">#REF!</definedName>
    <definedName name="TB838bfc5f_e260_4f8a_8895_865c19292d71" hidden="1">#REF!</definedName>
    <definedName name="TB838f2bda_a2f9_41f3_9750_5b3c6b0973b1" hidden="1">#REF!</definedName>
    <definedName name="TB8391e94b_efc4_44f6_9c97_f14cb18ee468" hidden="1">#REF!</definedName>
    <definedName name="TB839a7257_e489_4c5a_b9b5_dc2d00462321" hidden="1">#REF!</definedName>
    <definedName name="TB83a4b99d_2eae_43aa_9b81_d426786d1e31" hidden="1">#REF!</definedName>
    <definedName name="TB83acf5d6_cc60_479d_a6a8_884021858504" hidden="1">#REF!</definedName>
    <definedName name="TB83b31a25_b12c_4fba_bea9_560fa8bcc90c" hidden="1">#REF!</definedName>
    <definedName name="TB83c4b14a_d0ec_4585_b231_7a2ad6a97ad3" hidden="1">#REF!</definedName>
    <definedName name="TB83cc4085_021b_4a56_a076_06d845289aa8" hidden="1">#REF!</definedName>
    <definedName name="TB83cf3f5f_55e8_4cad_857a_f99b15270668" hidden="1">#REF!</definedName>
    <definedName name="TB83e16b66_577d_4a03_ba34_d9afdbba2f34" hidden="1">#REF!</definedName>
    <definedName name="TB83f48738_d244_4b16_96e8_f4a7b3868e0e" hidden="1">#REF!</definedName>
    <definedName name="TB840827ce_725b_40e3_b39b_0a62602bf566" hidden="1">#REF!</definedName>
    <definedName name="TB840bf1d9_7ccd_4421_9e9f_95bfc24bf308" hidden="1">#REF!</definedName>
    <definedName name="TB840f3ad8_1510_4ecd_a53a_e693513b476c" hidden="1">#REF!</definedName>
    <definedName name="TB84101ab4_9407_4fad_a100_be221f838663" hidden="1">#REF!</definedName>
    <definedName name="TB84118eb0_bee6_4d6e_acd6_f0d2cb6a4f2f" hidden="1">#REF!</definedName>
    <definedName name="TB8417fc1c_4e0e_4640_8b25_cd5479ccd667" hidden="1">#REF!</definedName>
    <definedName name="TB84268819_c8e5_4de6_8b9b_e6c738ee65fe" hidden="1">#REF!</definedName>
    <definedName name="TB843c2008_fa58_40a4_af21_592aa1c9f44f" hidden="1">#REF!</definedName>
    <definedName name="TB843f3496_ad87_4631_9d1c_7705faa4bdbd" hidden="1">#REF!</definedName>
    <definedName name="TB84495ff0_0975_4312_9744_e6841a7277f4" hidden="1">#REF!</definedName>
    <definedName name="TB8481d173_dcf0_4fe5_acc9_98c3ed72dd9d" hidden="1">#REF!</definedName>
    <definedName name="TB8489433b_5cee_4499_aad7_a408a9f88641" hidden="1">#REF!</definedName>
    <definedName name="TB848a2ad6_33f1_46c0_b264_20404ff05e17" hidden="1">#REF!</definedName>
    <definedName name="TB848e0196_7005_4dc2_af7d_d9ccc5722bd4" hidden="1">#REF!</definedName>
    <definedName name="TB848f6f87_b5c5_4d4d_823c_34f594c7d579" hidden="1">#REF!</definedName>
    <definedName name="TB849a899b_980b_4f98_ba68_04d6d0aa47ef" hidden="1">#REF!</definedName>
    <definedName name="TB849d03ca_7730_4d0f_9e45_7233690156db" hidden="1">#REF!</definedName>
    <definedName name="TB84a29399_4a27_4a5f_9ca4_8402d4fca22e" hidden="1">#REF!</definedName>
    <definedName name="TB84b027b6_84e5_4d64_b70a_33c71769d0b3" hidden="1">#REF!</definedName>
    <definedName name="TB84bc10e3_07d5_437c_b9ae_a69076df9f40" hidden="1">#REF!</definedName>
    <definedName name="TB84bc33af_205b_4400_a110_0e05c6d0f180" hidden="1">#REF!</definedName>
    <definedName name="TB84bdb6d0_f8d8_42d3_aa92_4e03fee73369" hidden="1">#REF!</definedName>
    <definedName name="TB84c552d5_5336_4c09_aae6_7e8b9d04b23a" hidden="1">#REF!</definedName>
    <definedName name="TB84dd8eba_2a22_46e2_815e_80f4ac8bfa66" hidden="1">#REF!</definedName>
    <definedName name="TB84f5bbf2_3aaa_481e_8afe_e5096b388d90" hidden="1">#REF!</definedName>
    <definedName name="TB84f8090d_7235_445d_adcf_00ba7379de21" hidden="1">#REF!</definedName>
    <definedName name="TB851b002a_f7a3_4db3_92fb_73e9ee626a07" hidden="1">#REF!</definedName>
    <definedName name="TB851fed37_84bf_44e6_8aa8_af3296ce8fb3" hidden="1">#REF!</definedName>
    <definedName name="TB8534975d_6330_4be1_ab00_d6e70639ddec" hidden="1">#REF!</definedName>
    <definedName name="TB853a6fdf_2104_4ead_83e2_9160a2deda4e" hidden="1">#REF!</definedName>
    <definedName name="TB855122f7_6b06_431b_b8e5_64264907e501" hidden="1">#REF!</definedName>
    <definedName name="TB8580f4d9_baa4_4dee_ae54_828649b508aa" hidden="1">#REF!</definedName>
    <definedName name="TB8588d23a_3137_4d10_bd91_37cd63008e2a" hidden="1">#REF!</definedName>
    <definedName name="TB859a6105_6e81_4bae_9568_d99a1e224733" hidden="1">#REF!</definedName>
    <definedName name="TB85a33a58_2f43_42d3_af06_7b719996b4d2" hidden="1">#REF!</definedName>
    <definedName name="TB85ba67c4_4ba3_4643_a503_937e40a01cde" hidden="1">#REF!</definedName>
    <definedName name="TB85be101c_99ee_4fb5_95f1_8c37cc79326f" hidden="1">#REF!</definedName>
    <definedName name="TB85c43f50_2b7b_43c8_b53c_f2131d11f2dd" hidden="1">#REF!</definedName>
    <definedName name="TB85cb8914_dec8_4f04_848b_b3ee879d6e81" hidden="1">#REF!</definedName>
    <definedName name="TB85cc28e5_f86a_4e4f_9d17_1961a9914ed9" hidden="1">#REF!</definedName>
    <definedName name="TB85d07173_655f_4308_9ba6_8623d582e8f0" hidden="1">#REF!</definedName>
    <definedName name="TB85ee7a52_aa51_4b3f_bb21_0545d46f2928" hidden="1">#REF!</definedName>
    <definedName name="TB85ef09d1_8f31_4b6f_a8c0_294581b9ffcf" hidden="1">#REF!</definedName>
    <definedName name="TB85f05c41_810d_475d_bc9b_53963ef419de" hidden="1">#REF!</definedName>
    <definedName name="TB85f2da1a_6d51_4ade_ac2c_403005ec9cff" hidden="1">#REF!</definedName>
    <definedName name="TB86031cb9_532c_4b69_9a70_016c7653f82b" hidden="1">#REF!</definedName>
    <definedName name="TB863f7877_aead_4da7_bef9_b6eb9f038ece" hidden="1">#REF!</definedName>
    <definedName name="TB86458875_a72f_44ff_acf4_3c00bec7ac62" hidden="1">#REF!</definedName>
    <definedName name="TB865d30b7_647c_446f_8bfe_8aab771327e4" hidden="1">#REF!</definedName>
    <definedName name="TB865e09d5_ed02_4ddf_aeed_9786dc5660bf" hidden="1">#REF!</definedName>
    <definedName name="TB865f628c_460c_4753_a808_d1f6dc4fa09f" hidden="1">#REF!</definedName>
    <definedName name="TB8669e425_c5c2_45df_a709_1404cc94d114" hidden="1">#REF!</definedName>
    <definedName name="TB867db5a6_8958_4b42_817f_ba574a66a0c0" hidden="1">#REF!</definedName>
    <definedName name="TB867ebc2e_b78d_4db7_8009_e81cbdab30ae" hidden="1">#REF!</definedName>
    <definedName name="TB86875a11_2774_4352_b311_33c3676927bd" hidden="1">#REF!</definedName>
    <definedName name="TB86886052_2fa1_44a7_a84b_30ca59253bff" hidden="1">#REF!</definedName>
    <definedName name="TB86aaaa43_df07_474b_aade_3117a197b0bb" hidden="1">#REF!</definedName>
    <definedName name="TB86bc487a_1c1c_40c5_a6d3_e9bde32f3230" hidden="1">#REF!</definedName>
    <definedName name="TB86c1795e_4bf2_44e7_bba2_8b648b3096b1" hidden="1">#REF!</definedName>
    <definedName name="TB86ca440f_4df8_44f3_924c_a1ae403180f9" hidden="1">#REF!</definedName>
    <definedName name="TB86cb7086_9161_456a_bbfd_c013443405aa" hidden="1">#REF!</definedName>
    <definedName name="TB86d36761_e45e_4e67_b3c3_2e76b3bf037e" hidden="1">#REF!</definedName>
    <definedName name="TB86e1e9c6_037f_4bb5_9849_f55261c745f0" hidden="1">#REF!</definedName>
    <definedName name="TB86f6798a_8e31_4f2b_9d7b_f527b71964cd" hidden="1">#REF!</definedName>
    <definedName name="TB870528f6_c578_478d_aed3_b41c0fb9f1b3" hidden="1">#REF!</definedName>
    <definedName name="TB871850a7_a411_4649_bd76_4e1ee66ca99b" hidden="1">#REF!</definedName>
    <definedName name="TB871fdbc7_239e_4786_9ef5_2d0e3dc4b399" hidden="1">#REF!</definedName>
    <definedName name="TB8720f141_eb1c_4793_a908_4c7ba0bb933d" hidden="1">#REF!</definedName>
    <definedName name="TB87289dea_8e1a_41c4_8fa5_3e41c40fa8e3" hidden="1">#REF!</definedName>
    <definedName name="TB872ca0a9_e813_4f1a_afdb_6e90ba5ee80b" hidden="1">#REF!</definedName>
    <definedName name="TB873cee19_157c_40aa_b4a1_384ec46299f2" hidden="1">#REF!</definedName>
    <definedName name="TB8745916e_69c0_4160_8f2a_1e292724c005" hidden="1">#REF!</definedName>
    <definedName name="TB875778aa_2b29_4762_a2ca_2992fe0d476f" hidden="1">#REF!</definedName>
    <definedName name="TB8774fdd4_0cbf_4d38_9c87_1dfde544f842" hidden="1">#REF!</definedName>
    <definedName name="TB877f8243_9bfa_4164_a608_9b9c0df9346a" hidden="1">#REF!</definedName>
    <definedName name="TB8785e191_d56f_4352_a422_1b303139aad4" hidden="1">#REF!</definedName>
    <definedName name="TB878d420b_9492_44f6_9702_cee56b97b33f" hidden="1">#REF!</definedName>
    <definedName name="TB8796f0d1_4f64_4fd9_a214_9a0704c3975a" hidden="1">#REF!</definedName>
    <definedName name="TB879d96ec_134b_4ca9_a0e7_21846a641608" hidden="1">#REF!</definedName>
    <definedName name="TB879f1e7f_a72f_4481_93d2_23c3cea66c39" hidden="1">#REF!</definedName>
    <definedName name="TB87a117ec_d210_4701_9963_faedb42a6f1c" hidden="1">#REF!</definedName>
    <definedName name="TB87b02ddf_2088_48db_b3a7_9cba2cf4e091" hidden="1">#REF!</definedName>
    <definedName name="TB87b30797_2a40_42ac_8d6d_07f4ca1d9b3c" hidden="1">#REF!</definedName>
    <definedName name="TB87b35881_41f3_4bbf_be23_dad851208af3" hidden="1">#REF!</definedName>
    <definedName name="TB87b56fd2_3e74_4343_b788_097009e71315" hidden="1">#REF!</definedName>
    <definedName name="TB87ba4aee_ddae_45c3_9a5c_8c126fb64cd7" hidden="1">#REF!</definedName>
    <definedName name="TB87bdf9f0_269f_48b7_a443_12b8dcc6ae61" hidden="1">#REF!</definedName>
    <definedName name="TB87d8fb71_a6fd_477f_8903_ce2cf64509d7" hidden="1">#REF!</definedName>
    <definedName name="TB87dc5aa5_8e04_4c34_816b_176752d4c66b" hidden="1">#REF!</definedName>
    <definedName name="TB87e3a0a0_c291_406b_b7df_4ece96ea0047" hidden="1">#REF!</definedName>
    <definedName name="TB87e6e846_fcf4_4cb0_b6c3_86d4975326eb" hidden="1">#REF!</definedName>
    <definedName name="TB87f24545_38de_4e44_ba8d_5b16ef869b41" hidden="1">#REF!</definedName>
    <definedName name="TB8802956f_2c50_4b85_bb47_e0b239bcb59d" hidden="1">#REF!</definedName>
    <definedName name="TB8807c633_4b2b_4855_8ab5_6a0de27a8c24" hidden="1">#REF!</definedName>
    <definedName name="TB8813de8f_01ee_4b88_8b4e_841e2c1f6fee" hidden="1">#REF!</definedName>
    <definedName name="TB88168944_623d_4f90_8d3f_c47886621a2c" hidden="1">#REF!</definedName>
    <definedName name="TB881b0897_09ec_44e8_9a09_d9701f11eb11" hidden="1">#REF!</definedName>
    <definedName name="TB881e71ff_3607_4ecb_a695_7f1f53fd0267" hidden="1">#REF!</definedName>
    <definedName name="TB881f88ba_096d_42ca_9897_47300d07f1af" hidden="1">#REF!</definedName>
    <definedName name="TB8820599f_ab1a_4128_b387_907a84f76a39" hidden="1">#REF!</definedName>
    <definedName name="TB88243f3f_141e_4896_b740_1b328deb642b" hidden="1">#REF!</definedName>
    <definedName name="TB88267881_99ae_40bf_99c0_20d44318f48a" hidden="1">#REF!</definedName>
    <definedName name="TB88324cd1_523d_40c1_ac78_5c60f35e59c9" hidden="1">#REF!</definedName>
    <definedName name="TB88381dba_6af4_4067_9cde_05845ea5d3dd" hidden="1">#REF!</definedName>
    <definedName name="TB8847e1a3_7744_4395_a529_0988983b10eb" hidden="1">#REF!</definedName>
    <definedName name="TB884f05ad_4dce_42b8_a060_725f1ea47792" hidden="1">#REF!</definedName>
    <definedName name="TB884f41bd_f87f_43fa_8586_37790fd1acf0" hidden="1">#REF!</definedName>
    <definedName name="TB885128e1_210c_41f1_9940_7e3e02b0584e" hidden="1">#REF!</definedName>
    <definedName name="TB88549234_da04_449a_afaa_9ee3b64da069" hidden="1">#REF!</definedName>
    <definedName name="TB88564be9_9cb5_4ae8_acb1_1868e5fa705b" hidden="1">#REF!</definedName>
    <definedName name="TB885715f1_4a73_4137_b167_b4338455681a" hidden="1">#REF!</definedName>
    <definedName name="TB885b517e_9fb9_4be5_8ff7_d5875c3e13cd" hidden="1">#REF!</definedName>
    <definedName name="TB8868f7d0_2f84_479d_8396_50c6745b9d80" hidden="1">#REF!</definedName>
    <definedName name="TB8879bb6d_6720_4f24_a853_b983f8381eff" hidden="1">#REF!</definedName>
    <definedName name="TB887e118b_279a_4e7a_a640_ffba033a9750" hidden="1">#REF!</definedName>
    <definedName name="TB8883a93e_d699_4ed3_8591_2157e0779c66" hidden="1">#REF!</definedName>
    <definedName name="TB88916ec3_daf4_452a_ae7b_7a0154dea9c5" hidden="1">#REF!</definedName>
    <definedName name="TB8896222c_daab_488b_bb66_ad55ebc9c491" hidden="1">#REF!</definedName>
    <definedName name="TB889f1e4c_f9b7_44d4_be7a_39b69cfa655f" hidden="1">#REF!</definedName>
    <definedName name="TB88a03c77_98e7_4781_9d70_0885b5c8d84b" hidden="1">#REF!</definedName>
    <definedName name="TB88a2b08d_6de3_42b1_aef7_692ad3b7da1c" hidden="1">#REF!</definedName>
    <definedName name="TB88a736b1_8601_444d_9f28_d91617316215" hidden="1">#REF!</definedName>
    <definedName name="TB88a8c32f_2a95_459b_8d24_a7080537c976" hidden="1">#REF!</definedName>
    <definedName name="TB88af9f39_a4b1_4a3c_a3dc_7ac7152f2950" hidden="1">#REF!</definedName>
    <definedName name="TB88b2da25_6a0b_4418_81b2_446eb80e8c0d" hidden="1">#REF!</definedName>
    <definedName name="TB88b48ece_e4b1_415d_bd82_da9434b06f98" hidden="1">#REF!</definedName>
    <definedName name="TB88b76432_1698_4abe_8288_2ae07ce0aa08" hidden="1">#REF!</definedName>
    <definedName name="TB88bb82f0_6a85_49f9_9dde_3916b1352704" hidden="1">#REF!</definedName>
    <definedName name="TB88bda120_e7b0_49ae_b1ed_5fe75a402ee3" hidden="1">#REF!</definedName>
    <definedName name="TB88bedc53_1807_4cd5_b097_dbf4fb9fcb8b" hidden="1">#REF!</definedName>
    <definedName name="TB88d9ee06_f36a_481b_a6f0_373c8ab78d77" hidden="1">#REF!</definedName>
    <definedName name="TB88fa1eaf_af3f_4a6e_9a5b_993a6184551f" hidden="1">#REF!</definedName>
    <definedName name="TB89029e2e_7cfa_4e65_ad85_870171eb906e" hidden="1">#REF!</definedName>
    <definedName name="TB890e1101_590c_4d1d_95c7_e54c55a3f5cd" hidden="1">#REF!</definedName>
    <definedName name="TB890e256b_a156_4904_8a28_f81fd3f44528" hidden="1">#REF!</definedName>
    <definedName name="TB8916ed61_2925_465e_bb6b_cfe6ea415317" hidden="1">#REF!</definedName>
    <definedName name="TB891b5257_a760_44e5_9b04_6b3e698798e6" hidden="1">#REF!</definedName>
    <definedName name="TB8921071f_3f66_474b_9a5d_da7536254fea" hidden="1">#REF!</definedName>
    <definedName name="TB8928c8df_d56c_4acd_a807_5ddf2fb7c4a2" hidden="1">#REF!</definedName>
    <definedName name="TB8940f01b_7bdf_44d4_9234_90b243459e69" hidden="1">#REF!</definedName>
    <definedName name="TB89413334_27b6_4db8_a3ec_e1338d7e01f6" hidden="1">#REF!</definedName>
    <definedName name="TB89518cec_3709_494c_89ae_3f567c8f08df" hidden="1">#REF!</definedName>
    <definedName name="TB895f7ca5_cab6_4c9c_9416_f373a724fec4" hidden="1">#REF!</definedName>
    <definedName name="TB896baac7_d5e8_458b_b6a4_7014c5aadc77" hidden="1">#REF!</definedName>
    <definedName name="TB896ed26f_4990_4886_8d24_91c481a13b99" hidden="1">#REF!</definedName>
    <definedName name="TB89720263_82f2_4de4_8042_ce566e434acc" hidden="1">#REF!</definedName>
    <definedName name="TB89777514_d330_47d7_bec0_34dca39420c2" hidden="1">#REF!</definedName>
    <definedName name="TB897fb7e3_5723_493e_bb0b_c3391b0003ea" hidden="1">#REF!</definedName>
    <definedName name="TB8983f4f8_031a_442a_bd63_0bfc14956373" hidden="1">#REF!</definedName>
    <definedName name="TB8984b8e8_64be_41d5_8a0f_8c4f4c269498" hidden="1">#REF!</definedName>
    <definedName name="TB898cd764_37b3_42a8_8db1_db309150cb46" hidden="1">#REF!</definedName>
    <definedName name="TB898ec538_4823_4be3_9559_a121255587bb" hidden="1">#REF!</definedName>
    <definedName name="TB89900b59_82f3_4058_bc36_375c39235432" hidden="1">#REF!</definedName>
    <definedName name="TB89a3e872_b42f_4e54_bb45_ef18d7a4cb91" hidden="1">#REF!</definedName>
    <definedName name="TB89a78095_b150_43cf_96ad_03fc7dc3121d" hidden="1">#REF!</definedName>
    <definedName name="TB89b46a97_f361_4e06_b34c_8dcb13de3cc6" hidden="1">#REF!</definedName>
    <definedName name="TB89b5bf6b_8bd4_49a5_8ac6_2d913f37f4f9" hidden="1">#REF!</definedName>
    <definedName name="TB89b93fad_f61e_4842_93bf_ae1ea77b4edf" hidden="1">#REF!</definedName>
    <definedName name="TB89d2c3c4_b6f7_4ef8_8a70_0326c8700fea" hidden="1">#REF!</definedName>
    <definedName name="TB89d79ec0_10f7_4098_967f_d0289273d85c" hidden="1">#REF!</definedName>
    <definedName name="TB89da7d6e_4fea_418d_b762_ccad5f2e8412" hidden="1">#REF!</definedName>
    <definedName name="TB89e0dfcd_9cc7_4b18_844b_d493f21c5c2d" hidden="1">#REF!</definedName>
    <definedName name="TB89ec5752_76e1_412a_ae6f_bc11b77d52e8" hidden="1">#REF!</definedName>
    <definedName name="TB89f31572_cde2_473b_84c5_156b595f4bfd" hidden="1">#REF!</definedName>
    <definedName name="TB89f3f963_b0a9_499a_9dee_176c75d244ef" hidden="1">#REF!</definedName>
    <definedName name="TB89f72e38_e461_4496_b60f_2816df8dadc1" hidden="1">#REF!</definedName>
    <definedName name="TB89f9ed32_7686_42ff_a14c_95925353efa3" hidden="1">#REF!</definedName>
    <definedName name="TB89fa2598_821c_4a1b_9cfb_967de786c5a7" hidden="1">#REF!</definedName>
    <definedName name="TB8a1575ab_7d1d_42e8_a98c_b9643345475e" hidden="1">#REF!</definedName>
    <definedName name="TB8a1628aa_7ee2_4733_a9ff_c15d8e76f4f2" hidden="1">#REF!</definedName>
    <definedName name="TB8a16af94_8e27_49c4_a441_05f6e40c8394" hidden="1">#REF!</definedName>
    <definedName name="TB8a46c862_87f1_4ab4_808b_3c4838a645b1" hidden="1">#REF!</definedName>
    <definedName name="TB8a4bf906_c01a_4791_a49e_b1145ad73058" hidden="1">#REF!</definedName>
    <definedName name="TB8a4ccc01_7194_4cfe_84d6_c4685a1ba369" hidden="1">#REF!</definedName>
    <definedName name="TB8a627ad7_89ac_4812_81af_fd65f37123b1" hidden="1">#REF!</definedName>
    <definedName name="TB8a663efe_ffc1_4146_99f7_d51b4c8373a8" hidden="1">#REF!</definedName>
    <definedName name="TB8a84e409_0e3a_40bd_937f_b293795176d4" hidden="1">#REF!</definedName>
    <definedName name="TB8a8f5930_b7f2_4584_9895_8e65cb5ddb92" hidden="1">#REF!</definedName>
    <definedName name="TB8aa419b0_c816_4a78_9349_5dedc3a8456b" hidden="1">#REF!</definedName>
    <definedName name="TB8aa5f982_523c_4798_a6a8_2f13f2387a09" hidden="1">#REF!</definedName>
    <definedName name="TB8aaaa8e1_e495_458c_822b_e911cca784b3" hidden="1">#REF!</definedName>
    <definedName name="TB8aaf1ef1_59d9_47b7_a71d_6a54b4d1230b" hidden="1">#REF!</definedName>
    <definedName name="TB8aaf4d23_deec_4a91_ba3b_c0f09e07df99" hidden="1">#REF!</definedName>
    <definedName name="TB8ab1cc95_2b7a_4934_a1a3_e0177549aeaa" hidden="1">#REF!</definedName>
    <definedName name="TB8aba48e5_2d99_4506_9aab_a7daf920a234" hidden="1">#REF!</definedName>
    <definedName name="TB8ace6baa_28e5_4d9e_ae9d_b736dd4f3d60" hidden="1">#REF!</definedName>
    <definedName name="TB8ad1d0ba_b43c_4acb_a876_f6eab83553d5" hidden="1">#REF!</definedName>
    <definedName name="TB8ad2c9b9_8c23_4e0f_8524_d4de76959902" hidden="1">#REF!</definedName>
    <definedName name="TB8ad5437d_2cfd_4881_b1da_26b196fa124b" hidden="1">#REF!</definedName>
    <definedName name="TB8ae02834_f6af_4536_bc64_bc6443c81531" hidden="1">#REF!</definedName>
    <definedName name="TB8aedbd0b_20a9_429e_964f_c1fafcde4c05" hidden="1">#REF!</definedName>
    <definedName name="TB8af4d8a0_353a_44ba_b346_c3db8cd3f085" hidden="1">#REF!</definedName>
    <definedName name="TB8af8c3c1_e1c0_400e_8868_213c159b9d4b" hidden="1">#REF!</definedName>
    <definedName name="TB8b148e57_9557_40b2_8311_12a1439617fe" hidden="1">#REF!</definedName>
    <definedName name="TB8b19217a_21b6_4aae_8cf6_a7f8157ee94a" hidden="1">#REF!</definedName>
    <definedName name="TB8b195eb2_3276_4ac5_8944_f9b24b4a79cd" hidden="1">#REF!</definedName>
    <definedName name="TB8b1b4dbf_ed55_4e7e_ad1f_9eb6e875e2a1" hidden="1">#REF!</definedName>
    <definedName name="TB8b223d14_5d4c_476c_8264_b4067f642c4c" hidden="1">#REF!</definedName>
    <definedName name="TB8b2cf6af_f933_47dd_9937_4be2a84eccfa" hidden="1">#REF!</definedName>
    <definedName name="TB8b347f3f_caf6_4fed_b663_4f5ef7e135e3" hidden="1">#REF!</definedName>
    <definedName name="TB8b397a08_e445_4175_bea9_fc99b39b4f82" hidden="1">#REF!</definedName>
    <definedName name="TB8b4057a1_11a6_4f99_92f9_c6214264cb7e" hidden="1">#REF!</definedName>
    <definedName name="TB8b4a2151_2d6d_4ca7_8274_03646162aac1" hidden="1">#REF!</definedName>
    <definedName name="TB8b4ee865_a9a3_46d8_8c26_2f76589a92b7" hidden="1">#REF!</definedName>
    <definedName name="TB8b51c561_bd17_4838_97df_894857ecd13f" hidden="1">#REF!</definedName>
    <definedName name="TB8b5bd8e5_2301_4be4_992e_aaf2ef25a440" hidden="1">#REF!</definedName>
    <definedName name="TB8b62caca_48b4_4e38_b452_ad120f4656a8" hidden="1">#REF!</definedName>
    <definedName name="TB8b66997f_d6e8_446e_b072_6068c898ae0f" hidden="1">#REF!</definedName>
    <definedName name="TB8b6f44ca_31e1_43dc_a9cc_8c8573005dce" hidden="1">#REF!</definedName>
    <definedName name="TB8b7887ff_e3da_47ca_a3e4_06fb8c623653" hidden="1">#REF!</definedName>
    <definedName name="TB8b7d2e9f_2c18_4807_bdf4_e569abae9fcf" hidden="1">#REF!</definedName>
    <definedName name="TB8b7e03d1_0607_4b2a_ae39_640db0821bd5" hidden="1">#REF!</definedName>
    <definedName name="TB8b98d774_c4ec_49f6_97a3_cf28e02fecac" hidden="1">#REF!</definedName>
    <definedName name="TB8b9bf508_dd4b_4cba_88b6_b3c1a24d1f7c" hidden="1">#REF!</definedName>
    <definedName name="TB8ba03d5e_bfd8_4269_bfff_0140604571d3" hidden="1">#REF!</definedName>
    <definedName name="TB8ba184bd_8294_479f_adff_75d593541161" hidden="1">#REF!</definedName>
    <definedName name="TB8badfbb3_769c_43e4_8577_612ab057e8e2" hidden="1">#REF!</definedName>
    <definedName name="TB8bc07f90_8ce0_481f_9265_80642ab854ae" hidden="1">#REF!</definedName>
    <definedName name="TB8bca4f36_1ade_476a_84f6_2d0051f512f7" hidden="1">#REF!</definedName>
    <definedName name="TB8bd33121_7152_4e08_8a36_201c9259a707" hidden="1">#REF!</definedName>
    <definedName name="TB8bd687b8_4289_4296_ae1e_b8b0d4b7c719" hidden="1">#REF!</definedName>
    <definedName name="TB8be8dc31_9e10_4e32_b9ce_2b3e631a2e20" hidden="1">#REF!</definedName>
    <definedName name="TB8bf18a47_8cf0_40d3_8d5e_0af669752285" hidden="1">#REF!</definedName>
    <definedName name="TB8bf42188_57b1_420f_bc0a_ea15e34cc6e3" hidden="1">#REF!</definedName>
    <definedName name="TB8c03ed15_0cb2_45be_ac26_0522aaf7341d" hidden="1">#REF!</definedName>
    <definedName name="TB8c0660c2_3e4d_4aad_bf26_c3f433bcf952" hidden="1">#REF!</definedName>
    <definedName name="TB8c0c14f1_03d5_47dc_8f3f_999f93394203" hidden="1">#REF!</definedName>
    <definedName name="TB8c1a4804_34a4_4dfe_8042_d38327b0a696" hidden="1">#REF!</definedName>
    <definedName name="TB8c1b12ad_36e7_4792_9066_2e4a4c96430a" hidden="1">#REF!</definedName>
    <definedName name="TB8c1c0b40_6161_4d0c_81b3_b2042a29b88a" hidden="1">#REF!</definedName>
    <definedName name="TB8c201fde_5f44_49eb_8f71_bee50913a542" hidden="1">#REF!</definedName>
    <definedName name="TB8c27b79a_a8c8_498f_a78c_73887b9e266a" hidden="1">#REF!</definedName>
    <definedName name="TB8c2e8406_fd80_446f_9da5_392d4d3403bc" hidden="1">#REF!</definedName>
    <definedName name="TB8c3a10ad_bb08_4bc4_8edf_00a4cffd4ee2" hidden="1">#REF!</definedName>
    <definedName name="TB8c42ab6f_80da_4ad6_886d_fd14beb93610" hidden="1">#REF!</definedName>
    <definedName name="TB8c42b8f7_fca3_4fd8_806d_69fdb256d9ec" hidden="1">#REF!</definedName>
    <definedName name="TB8c4346b0_dbd1_41ff_a044_20d690fed79e" hidden="1">#REF!</definedName>
    <definedName name="TB8c4750d0_0173_4012_9872_49beac4896c3" hidden="1">#REF!</definedName>
    <definedName name="TB8c4cdd12_49ac_4f8f_a817_972d4b66caa6" hidden="1">#REF!</definedName>
    <definedName name="TB8c72ee59_72e3_4288_9aae_68ced67e7ec5" hidden="1">#REF!</definedName>
    <definedName name="TB8c73235d_9a50_45d9_ac33_226008656418" hidden="1">#REF!</definedName>
    <definedName name="TB8c85b6c3_ab08_4be9_889a_926214ecbdbb" hidden="1">#REF!</definedName>
    <definedName name="TB8c9439a3_7cec_4f6d_b2cc_8a66d691b9b5" hidden="1">#REF!</definedName>
    <definedName name="TB8ca506a5_99ad_4e9f_ad08_7f826c49b0c9" hidden="1">#REF!</definedName>
    <definedName name="TB8cb6ce79_9491_4c4b_939d_b1d90d93cae6" hidden="1">#REF!</definedName>
    <definedName name="TB8cc05ee6_cf35_446c_a136_bd2f860131e4" hidden="1">#REF!</definedName>
    <definedName name="TB8cc59ac0_e230_4d12_8c3d_5bfb4a4019ce" hidden="1">#REF!</definedName>
    <definedName name="TB8ccc7d38_94f9_4da1_b41b_df5304f4dce7" hidden="1">#REF!</definedName>
    <definedName name="TB8cd3be45_bdb7_4064_9278_8afc711035c4" hidden="1">#REF!</definedName>
    <definedName name="TB8ce1951b_bf13_43e8_b80c_f0ee00d388ff" hidden="1">#REF!</definedName>
    <definedName name="TB8ce611bd_214d_4d3c_ae7b_7083f50e808f" hidden="1">#REF!</definedName>
    <definedName name="TB8ce904e3_78e2_4517_a8f0_1228a263e3a7" hidden="1">#REF!</definedName>
    <definedName name="TB8d21849c_2ee6_4d6d_b5f1_43e31773f8e3" hidden="1">#REF!</definedName>
    <definedName name="TB8d4c3f0e_ef7a_4873_a36d_833a5c18bb84" hidden="1">#REF!</definedName>
    <definedName name="TB8d5386e5_b3a7_45c3_8cb8_eef0a5d234c9" hidden="1">#REF!</definedName>
    <definedName name="TB8d6ebd20_6126_4d43_9b98_2581e72460e5" hidden="1">#REF!</definedName>
    <definedName name="TB8d773ad9_63bd_4bc2_8c10_a7fe7c59198b" hidden="1">#REF!</definedName>
    <definedName name="TB8d78d3d6_7618_4a93_98a7_dd1608fca425" hidden="1">#REF!</definedName>
    <definedName name="TB8d7ad7d1_7aa2_41cc_bb9f_6357ca4b60d4" hidden="1">#REF!</definedName>
    <definedName name="TB8d841bc8_baf5_4b78_8a65_e33caf000d48" hidden="1">#REF!</definedName>
    <definedName name="TB8d86da5d_d659_4099_aee8_de7513d521c7" hidden="1">#REF!</definedName>
    <definedName name="TB8d9a28b9_9de6_432f_a6a0_e499b88484fc" hidden="1">#REF!</definedName>
    <definedName name="TB8da9ea05_d55c_4d28_81ef_36150b1737f7" hidden="1">#REF!</definedName>
    <definedName name="TB8daa668f_60b1_42ab_b505_230247bba9f3" hidden="1">#REF!</definedName>
    <definedName name="TB8dab2f1f_661b_49f2_8cb0_81a65039d039" hidden="1">#REF!</definedName>
    <definedName name="TB8db772d3_5cd7_48d9_8672_ca6f6de177d5" hidden="1">#REF!</definedName>
    <definedName name="TB8dbd3832_63b4_4b4a_9ced_173287aa3e20" hidden="1">#REF!</definedName>
    <definedName name="TB8dc22dfa_1ed2_4902_b945_7382d2786c23" hidden="1">#REF!</definedName>
    <definedName name="TB8dd6b284_0b3b_4111_8a91_fc9c9dc66821" hidden="1">#REF!</definedName>
    <definedName name="TB8ddeefd8_4196_4c08_90bf_30cbff7e9895" hidden="1">#REF!</definedName>
    <definedName name="TB8ddf5277_129a_4728_9ae2_f98fda919aaa" hidden="1">#REF!</definedName>
    <definedName name="TB8de269db_cfbd_4656_a595_00ccdb60e68c" hidden="1">#REF!</definedName>
    <definedName name="TB8df63702_86e6_4db8_92ef_1d56e4b36ad0" hidden="1">#REF!</definedName>
    <definedName name="TB8df9f08c_76b1_4703_8d8d_3bff4474607e" hidden="1">#REF!</definedName>
    <definedName name="TB8e12cd12_bb99_4c20_9752_eecfecd2a2a1" hidden="1">#REF!</definedName>
    <definedName name="TB8e2080d1_45e3_4eab_ae8d_c7127f784b73" hidden="1">#REF!</definedName>
    <definedName name="TB8e223667_d550_44d7_a668_2614d5e75eb0" hidden="1">#REF!</definedName>
    <definedName name="TB8e356354_0370_4730_928a_2054fe30cb4c" hidden="1">#REF!</definedName>
    <definedName name="TB8e37dbb6_fd12_4feb_91ce_d2533aabf544" hidden="1">#REF!</definedName>
    <definedName name="TB8e38b2b8_362e_4d8e_8cd1_df09c946d375" hidden="1">#REF!</definedName>
    <definedName name="TB8e3f5418_977f_4126_b14f_3cffb034080a" hidden="1">#REF!</definedName>
    <definedName name="TB8e4b9c3b_be4b_4071_8253_0253bac1e632" hidden="1">#REF!</definedName>
    <definedName name="TB8e564dc8_629f_4026_9fef_be33a8410e5a" hidden="1">#REF!</definedName>
    <definedName name="TB8e57fa60_9507_458c_8351_8d666eef1bb4" hidden="1">#REF!</definedName>
    <definedName name="TB8e63b8d7_23d5_431a_9f9e_2ac3609a5148" hidden="1">#REF!</definedName>
    <definedName name="TB8e67ad50_c41e_4d8e_878b_794e766c2ab1" hidden="1">#REF!</definedName>
    <definedName name="TB8e68de95_8f97_4612_bdeb_630ced1bc7ed" hidden="1">#REF!</definedName>
    <definedName name="TB8e76bde0_2161_4f30_8886_e1721a8b0483" hidden="1">#REF!</definedName>
    <definedName name="TB8e7a9751_dd97_496b_aed4_289d22e66aae" hidden="1">#REF!</definedName>
    <definedName name="TB8e80894f_2837_4f14_93d7_83af7f015dae" hidden="1">#REF!</definedName>
    <definedName name="TB8e813c6e_1822_44c6_b3e4_d908cf175c74" hidden="1">#REF!</definedName>
    <definedName name="TB8e8584c6_ab1b_4f10_afa3_9c7ae4cce719" hidden="1">#REF!</definedName>
    <definedName name="TB8e9461dc_ddd5_4e36_b7f1_842295eae890" hidden="1">#REF!</definedName>
    <definedName name="TB8e9ad6a4_2cf9_412d_abab_24ca58d63ded" hidden="1">#REF!</definedName>
    <definedName name="TB8e9f2746_a4a3_47c6_80f2_aeb6533bf3eb" hidden="1">#REF!</definedName>
    <definedName name="TB8ea1c425_9d0d_4248_acec_ff7c476230b8" hidden="1">#REF!</definedName>
    <definedName name="TB8ea8225e_028e_46ca_8616_1c820e46eb77" hidden="1">#REF!</definedName>
    <definedName name="TB8eaa11a9_68ec_4264_ba8b_69c78cefc3b5" hidden="1">#REF!</definedName>
    <definedName name="TB8eade5ae_5741_4dde_950a_4bc219464b94" hidden="1">#REF!</definedName>
    <definedName name="TB8eb86a67_52ad_4fcb_8479_3f1d4adda562" hidden="1">#REF!</definedName>
    <definedName name="TB8eb92457_8ace_45be_9fe8_c9cbf7a5479c" hidden="1">#REF!</definedName>
    <definedName name="TB8ec8e7a1_c1ac_4437_b28f_75cee6143d1f" hidden="1">#REF!</definedName>
    <definedName name="TB8ed8b805_730a_43fc_adde_220ed31f5b1c" hidden="1">#REF!</definedName>
    <definedName name="TB8eeb8875_fb6a_4052_819e_51cdb2a26e2d" hidden="1">#REF!</definedName>
    <definedName name="TB8eec5678_4c1b_4646_bba5_d8554496db2b" hidden="1">#REF!</definedName>
    <definedName name="TB8ef6d03f_3edf_47dc_adf0_eed567f2c233" hidden="1">#REF!</definedName>
    <definedName name="TB8ef91ab5_f494_4243_8202_c20b849f2b22" hidden="1">#REF!</definedName>
    <definedName name="TB8ef95f4e_0f5d_4e96_ac99_6e07128a7606" hidden="1">#REF!</definedName>
    <definedName name="TB8efca8a7_fcd9_48d1_a1b0_ef0c53afe5aa" hidden="1">#REF!</definedName>
    <definedName name="TB8efdc037_3cb3_478e_aa43_dffa48491b34" hidden="1">#REF!</definedName>
    <definedName name="TB8f06414e_3839_4337_96cb_6fa280d956c7" hidden="1">#REF!</definedName>
    <definedName name="TB8f07d972_8fd4_484b_a471_220d86c1b1ce" hidden="1">#REF!</definedName>
    <definedName name="TB8f0b9740_1f1e_4afe_bb94_174e42252aa5" hidden="1">#REF!</definedName>
    <definedName name="TB8f0e4020_03ab_402e_bb56_9d1ffa377a5d" hidden="1">#REF!</definedName>
    <definedName name="TB8f1d8835_b482_4c9d_b46f_7fd15c15242b" hidden="1">#REF!</definedName>
    <definedName name="TB8f205e16_80c8_4ff9_ae2b_cf1f3c0c947d" hidden="1">#REF!</definedName>
    <definedName name="TB8f3073be_31f8_4bc4_bda7_7a998c583905" hidden="1">#REF!</definedName>
    <definedName name="TB8f38ee36_4361_4099_a74e_ef2a66a0f27e" hidden="1">#REF!</definedName>
    <definedName name="TB8f3cc222_77b2_4e71_b309_45a5a215911b" hidden="1">#REF!</definedName>
    <definedName name="TB8f47e646_2937_4577_8c5b_0e3190a5d12b" hidden="1">#REF!</definedName>
    <definedName name="TB8f4ed21e_2a8c_4e13_a4fc_087255788b78" hidden="1">#REF!</definedName>
    <definedName name="TB8f52bdfa_544a_4ba7_b30f_d7f44941bad1" hidden="1">#REF!</definedName>
    <definedName name="TB8f65d4d6_8b30_4617_91a5_2cd07b5dfe55" hidden="1">#REF!</definedName>
    <definedName name="TB8f6bb69e_c068_4530_bccb_96a16b9d5daf" hidden="1">#REF!</definedName>
    <definedName name="TB8f71da58_d389_408a_b002_9952ad8f0515" hidden="1">#REF!</definedName>
    <definedName name="TB8f774694_80e4_4421_a392_c6ded2342b30" hidden="1">#REF!</definedName>
    <definedName name="TB8f79de08_1a9b_4cae_b91e_f11f8dacd799" hidden="1">#REF!</definedName>
    <definedName name="TB8f9c85a5_784b_4273_bc86_29485f60a4ad" hidden="1">#REF!</definedName>
    <definedName name="TB8fa6dde1_87b7_4308_91f8_b000adc1a884" hidden="1">#REF!</definedName>
    <definedName name="TB8fae9505_997a_4c20_ae51_956c5e75720e" hidden="1">#REF!</definedName>
    <definedName name="TB8fc3341b_b7a3_44da_8012_468ff996c630" hidden="1">#REF!</definedName>
    <definedName name="TB8fc9cc6e_3795_4e47_9ba3_c20309090cac" hidden="1">#REF!</definedName>
    <definedName name="TB8fcf1196_dd23_47ec_a805_75e140509fbe" hidden="1">#REF!</definedName>
    <definedName name="TB8fe31795_55eb_4e98_9c37_1a6859fa4981" hidden="1">#REF!</definedName>
    <definedName name="TB8fe342f3_1cce_4dec_81d2_336938f495bf" hidden="1">#REF!</definedName>
    <definedName name="TB8fe69296_0984_4ee0_a925_c7f15080e3e7" hidden="1">#REF!</definedName>
    <definedName name="TB8fed8514_7f38_4165_8832_e79f8e941040" hidden="1">#REF!</definedName>
    <definedName name="TB8ff71385_720e_4ced_870f_318e492154a2" hidden="1">#REF!</definedName>
    <definedName name="TB9003e0c8_fa78_4668_b45a_622866a76cc8" hidden="1">#REF!</definedName>
    <definedName name="TB900c4385_13e6_4256_af79_2d5c74c81edf" hidden="1">#REF!</definedName>
    <definedName name="TB900f7f55_c95c_4124_a9f1_658ac3db6395" hidden="1">#REF!</definedName>
    <definedName name="TB900fa7d5_0956_4dda_b934_15a86cc2cb5b" hidden="1">#REF!</definedName>
    <definedName name="TB901b7332_6c4a_402c_bddb_8bf785f885ca" hidden="1">#REF!</definedName>
    <definedName name="TB902a237e_fb3e_47de_a3fc_3fa09a69e1b2" hidden="1">#REF!</definedName>
    <definedName name="TB90309ac4_4ffa_44c5_8130_94f5ae7c132b" hidden="1">#REF!</definedName>
    <definedName name="TB9030d413_bcae_4c77_89d7_0616fbc8952b" hidden="1">#REF!</definedName>
    <definedName name="TB903cfc7d_d62c_4671_b5b7_5d40e50a86f4" hidden="1">#REF!</definedName>
    <definedName name="TB904090e1_3e50_4793_b611_bdf7d90619f8" hidden="1">#REF!</definedName>
    <definedName name="TB90488a10_c297_41c1_ba57_de81d7b2b694" hidden="1">#REF!</definedName>
    <definedName name="TB9054f436_4f88_4e8a_a41f_2c299f0cf8a4" hidden="1">#REF!</definedName>
    <definedName name="TB90592f9f_3ad9_4d38_9a04_cba3798dbd71" hidden="1">#REF!</definedName>
    <definedName name="TB90613386_c48d_4a39_a1fa_16df16dc4134" hidden="1">#REF!</definedName>
    <definedName name="TB906268ad_a4c7_45cb_a8cc_28f7ada3ef59" hidden="1">#REF!</definedName>
    <definedName name="TB906813cb_1351_415d_934e_a27bef5795c8" hidden="1">#REF!</definedName>
    <definedName name="TB906d4b7c_4b4e_4b9d_b5c8_19198f278d26" hidden="1">#REF!</definedName>
    <definedName name="TB907a2b13_e2d5_4c2b_be72_bd4ea38f6371" hidden="1">#REF!</definedName>
    <definedName name="TB907b9463_3929_4ca5_b4cf_522121639aba" hidden="1">#REF!</definedName>
    <definedName name="TB90808f9c_9d31_4677_a092_8a9b7a184183" hidden="1">#REF!</definedName>
    <definedName name="TB90939b88_ad05_4e98_9adf_0f1b9ac56afa" hidden="1">#REF!</definedName>
    <definedName name="TB90a4354d_23fa_4936_b7e7_ae24bcd5ed61" hidden="1">#REF!</definedName>
    <definedName name="TB90aa779c_555f_4059_993d_2f8494b8e02d" hidden="1">#REF!</definedName>
    <definedName name="TB90b0aa60_f1ec_4b5b_ba6a_ad329d0a122e" hidden="1">#REF!</definedName>
    <definedName name="TB90ce3d6b_c1ed_45f2_99c5_6472633862de" hidden="1">#REF!</definedName>
    <definedName name="TB90d241b8_59fc_43a5_9388_7d9818904286" hidden="1">#REF!</definedName>
    <definedName name="TB90d560e0_bfd9_4f92_8c07_284ba4e50a0b" hidden="1">#REF!</definedName>
    <definedName name="TB90d69066_e7ca_403f_9e9e_bca02ca95b2b" hidden="1">#REF!</definedName>
    <definedName name="TB90ead438_7977_4da3_bb8b_fbc93d4f0353" hidden="1">#REF!</definedName>
    <definedName name="TB90ec33ff_35c9_4ba5_8616_49608468c068" hidden="1">#REF!</definedName>
    <definedName name="TB90eeda6f_c43f_44f4_b639_cb4b01660089" hidden="1">#REF!</definedName>
    <definedName name="TB90fe57ed_5eca_4280_93d3_929127b0df76" hidden="1">#REF!</definedName>
    <definedName name="TB910fa2ae_b901_4a11_af15_6ba1d984231d" hidden="1">#REF!</definedName>
    <definedName name="TB9115f0b1_7fb7_43c7_931d_768031c7ab5f" hidden="1">#REF!</definedName>
    <definedName name="TB91170707_7580_41c0_87cc_f699e2f7d9ce" hidden="1">#REF!</definedName>
    <definedName name="TB911775d6_8f56_465a_9730_fde10c2060be" hidden="1">#REF!</definedName>
    <definedName name="TB912d4aba_a8ac_4468_af3b_870c1c63605b" hidden="1">#REF!</definedName>
    <definedName name="TB913693e6_e8e4_4473_baf8_6e90a415e82e" hidden="1">#REF!</definedName>
    <definedName name="TB9136a40b_8d98_43cb_bb42_d589f5f7732e" hidden="1">#REF!</definedName>
    <definedName name="TB913baeda_8327_4740_ad89_1e35f2939e23" hidden="1">#REF!</definedName>
    <definedName name="TB91576743_476d_4421_894c_4c428563ff5e" hidden="1">#REF!</definedName>
    <definedName name="TB91613469_82b8_481a_978c_dd93a0bae859" hidden="1">#REF!</definedName>
    <definedName name="TB9163741c_4ae3_4240_955d_7eb123e39512" hidden="1">#REF!</definedName>
    <definedName name="TB916983de_fa49_42bf_93d0_af5e13259e29" hidden="1">#REF!</definedName>
    <definedName name="TB917089ca_8786_4269_8ec0_effb2c95b435" hidden="1">#REF!</definedName>
    <definedName name="TB91714368_a726_4dd7_80ae_c7484bfd24c8" hidden="1">#REF!</definedName>
    <definedName name="TB91715f93_8ee7_4de7_ac42_573053d6d1e7" hidden="1">#REF!</definedName>
    <definedName name="TB9171a3ef_7171_46d7_be50_c170f55a904d" hidden="1">#REF!</definedName>
    <definedName name="TB919746c5_bc95_4016_a5da_ed0e57d9068d" hidden="1">#REF!</definedName>
    <definedName name="TB91b6583e_5ccf_4110_8b28_630a2e2a93dc" hidden="1">#REF!</definedName>
    <definedName name="TB91b88ac9_d31e_4628_9d15_29891c38ee54" hidden="1">#REF!</definedName>
    <definedName name="TB91be0df3_e2f8_4727_a496_17666b32e499" hidden="1">#REF!</definedName>
    <definedName name="TB91c16fea_ea09_4abd_85d8_ad95ee823d03" hidden="1">#REF!</definedName>
    <definedName name="TB91c1d515_6b4e_49f3_875e_da71973558c3" hidden="1">#REF!</definedName>
    <definedName name="TB91c5cea4_837b_4b88_a1f7_62e470cfe151" hidden="1">#REF!</definedName>
    <definedName name="TB91d10ebf_8ff9_478d_a2f3_88fd1bd90c45" hidden="1">#REF!</definedName>
    <definedName name="TB91dd45ae_cb45_49c0_b556_e3ce74f91b9d" hidden="1">#REF!</definedName>
    <definedName name="TB91f2e6d2_c12a_4cca_aa8e_da829f0d4298" hidden="1">#REF!</definedName>
    <definedName name="TB9200ac67_fe39_4dae_aae5_efaa983bc20c" hidden="1">#REF!</definedName>
    <definedName name="TB9206c272_2c4c_4d76_9b13_079b7b41c8e6" hidden="1">#REF!</definedName>
    <definedName name="TB920a554d_155e_411a_a37f_9d6828514e1e" hidden="1">#REF!</definedName>
    <definedName name="TB9211b4e8_cabe_444b_8544_11c08f5abe13" hidden="1">#REF!</definedName>
    <definedName name="TB9217f8ee_d458_492b_9845_1caa2403e30b" hidden="1">#REF!</definedName>
    <definedName name="TB92299c20_5ed4_49cf_9d36_e3f817c0cf2f" hidden="1">#REF!</definedName>
    <definedName name="TB922d52eb_7da4_4653_aa9a_b5f46775d88e" hidden="1">#REF!</definedName>
    <definedName name="TB92352ad4_904f_4524_9e77_d132393fef61" hidden="1">#REF!</definedName>
    <definedName name="TB92656717_7b80_4860_97cb_e3eb96651c78" hidden="1">#REF!</definedName>
    <definedName name="TB926771f0_037b_4ed2_a0eb_aa05f968dd40" hidden="1">#REF!</definedName>
    <definedName name="TB9269be89_25fd_4a8d_967e_c0339da6c579" hidden="1">#REF!</definedName>
    <definedName name="TB927e7eca_f448_4800_b7a8_868f22221a79" hidden="1">#REF!</definedName>
    <definedName name="TB9284ff84_484e_45c7_b5f4_33eb49f74a8e" hidden="1">#REF!</definedName>
    <definedName name="TB928793db_51a9_4c92_9acb_e7b1b4530a8d" hidden="1">#REF!</definedName>
    <definedName name="TB9290fde4_eaa7_48a9_a0c7_7db43fbfb180" hidden="1">#REF!</definedName>
    <definedName name="TB92a116fc_6040_4772_a1c2_3354c16c1927" hidden="1">#REF!</definedName>
    <definedName name="TB92a343ba_2650_4595_893a_6cea5fb80e18" hidden="1">#REF!</definedName>
    <definedName name="TB92a49ffa_bf9b_45c9_94c0_f22c11130938" hidden="1">#REF!</definedName>
    <definedName name="TB92a795cf_1572_4504_ad48_1b9553e27a5b" hidden="1">#REF!</definedName>
    <definedName name="TB92b31031_25e3_4fdd_802a_c5cab48cc7f8" hidden="1">#REF!</definedName>
    <definedName name="TB92b52c37_04cb_4fc4_bdf0_8f3fa73df802" hidden="1">#REF!</definedName>
    <definedName name="TB92bb220a_4ae1_41ca_a91c_96b7abb7f196" hidden="1">#REF!</definedName>
    <definedName name="TB92c75ed5_7acc_4e5b_8a22_ce04905d1731" hidden="1">#REF!</definedName>
    <definedName name="TB92ce837e_456f_47a4_ade8_056664b4c316" hidden="1">#REF!</definedName>
    <definedName name="TB92d97f5c_337a_4879_8772_ab8162a321fe" hidden="1">#REF!</definedName>
    <definedName name="TB92e74c3c_3913_4326_b841_2ef5d9b76a48" hidden="1">#REF!</definedName>
    <definedName name="TB93003b03_9af7_4e27_91fb_26ee5cf1fcd1" hidden="1">#REF!</definedName>
    <definedName name="TB9314a0eb_3145_45ba_b72c_0f342454c02f" hidden="1">#REF!</definedName>
    <definedName name="TB93178a24_eac6_47bd_8533_6e3ae33901dd" hidden="1">#REF!</definedName>
    <definedName name="TB931e921e_43f8_4bdd_9b4a_8b483904bf36" hidden="1">#REF!</definedName>
    <definedName name="TB932013af_dfb5_43a7_810b_775717f65679" hidden="1">#REF!</definedName>
    <definedName name="TB932ce969_4869_4b1c_865e_c8016b13b707" hidden="1">#REF!</definedName>
    <definedName name="TB93489f70_4e07_4947_83cc_108f725536be" hidden="1">#REF!</definedName>
    <definedName name="TB934c5f1e_86bd_45c8_9a7c_f6e1ba1b67b3" hidden="1">#REF!</definedName>
    <definedName name="TB9356809c_38ba_432a_b655_159649852f0c" hidden="1">#REF!</definedName>
    <definedName name="TB93675ea7_0a26_4ff2_8713_229ea1abbe2f" hidden="1">#REF!</definedName>
    <definedName name="TB936a4c04_c76c_4ca3_a826_a4e40db65db5" hidden="1">#REF!</definedName>
    <definedName name="TB936b12b5_768a_48e2_8d46_1bc2d0286aa9" hidden="1">#REF!</definedName>
    <definedName name="TB93774a44_a037_46b2_a144_add859fd6175" hidden="1">#REF!</definedName>
    <definedName name="TB937cc24d_5e13_4da9_b159_ada9565384ec" hidden="1">#REF!</definedName>
    <definedName name="TB93857cae_68f9_416d_a810_02ef5cf30183" hidden="1">#REF!</definedName>
    <definedName name="TB9385cb4e_8b0f_40ed_b711_278dacecf662" hidden="1">#REF!</definedName>
    <definedName name="TB938c49c8_bd8a_4769_ab88_400db1a0bd4e" hidden="1">#REF!</definedName>
    <definedName name="TB93930b4c_cd71_43d9_804a_1707233dc299" hidden="1">#REF!</definedName>
    <definedName name="TB93aa44d6_63a0_45cc_8d62_6776e1e093c5" hidden="1">#REF!</definedName>
    <definedName name="TB93add178_db91_4278_966b_3047309622aa" hidden="1">#REF!</definedName>
    <definedName name="TB93aeb8d0_5045_4331_9c1d_9320a35d9ddf" hidden="1">#REF!</definedName>
    <definedName name="TB93c18672_5642_45b2_b390_0751ab163afa" hidden="1">#REF!</definedName>
    <definedName name="TB93c7c898_c218_4826_8098_c31924f70294" hidden="1">#REF!</definedName>
    <definedName name="TB93dbaa70_2f42_41b1_a06f_a1ae78850b71" hidden="1">#REF!</definedName>
    <definedName name="TB93de8b96_15fc_4c2e_bac9_fa037c140fb3" hidden="1">#REF!</definedName>
    <definedName name="TB93e9201e_0729_41c8_83f0_153e8c75ba6d" hidden="1">#REF!</definedName>
    <definedName name="TB93f81d38_f796_4100_bef1_1bf3278b077b" hidden="1">#REF!</definedName>
    <definedName name="TB94004ccf_ba2f_4f97_87a5_c74795a107b2" hidden="1">#REF!</definedName>
    <definedName name="TB9406320b_2aa8_4ab3_8f60_572957194c0d" hidden="1">#REF!</definedName>
    <definedName name="TB940cad1f_9a9b_444c_bc68_14e659ff5ac5" hidden="1">#REF!</definedName>
    <definedName name="TB941a9843_6719_44fd_aad8_920b01c8288f" hidden="1">#REF!</definedName>
    <definedName name="TB941c8260_0e0a_4248_b3bd_9d2c540397fa" hidden="1">#REF!</definedName>
    <definedName name="TB9439271e_a414_4859_a814_0eeab9b1e786" hidden="1">#REF!</definedName>
    <definedName name="TB943dab9b_74db_452a_b4fd_d0e92e4b0b42" hidden="1">#REF!</definedName>
    <definedName name="TB944bd805_9d03_4287_bb39_94cb6e2d0f49" hidden="1">#REF!</definedName>
    <definedName name="TB944e4f98_1a35_42b3_9cc3_94c4eb73faf9" hidden="1">#REF!</definedName>
    <definedName name="TB945556b9_229a_4d76_88fc_9c2ddbc6b64b" hidden="1">#REF!</definedName>
    <definedName name="TB947371b9_ecd1_4c7e_a9e4_b710a0662d66" hidden="1">#REF!</definedName>
    <definedName name="TB94795a71_d14b_4a8e_b78f_f0352b412517" hidden="1">#REF!</definedName>
    <definedName name="TB947bdb39_40f3_4ad8_a5c2_9ef843a41cd8" hidden="1">#REF!</definedName>
    <definedName name="TB9480594e_9bc5_4e31_a557_ea948df5ea97" hidden="1">#REF!</definedName>
    <definedName name="TB949ae55f_c47a_468a_a95d_ae6a54e560d0" hidden="1">#REF!</definedName>
    <definedName name="TB949dec4a_6747_4d15_a6b6_a24e8a9b4f70" hidden="1">#REF!</definedName>
    <definedName name="TB94a5e067_cbef_4797_aad1_fa56dd5e7375" hidden="1">#REF!</definedName>
    <definedName name="TB94ba2d7f_ed2c_44c1_858f_f67f88275b10" hidden="1">#REF!</definedName>
    <definedName name="TB94bdafa5_d6f6_4a14_a8cf_a74bb4a7e835" hidden="1">#REF!</definedName>
    <definedName name="TB94be4cb8_0dff_452a_bbec_b3a27e32d4b6" hidden="1">#REF!</definedName>
    <definedName name="TB94be6f8e_4935_4182_83b1_09f0a6896cd8" hidden="1">#REF!</definedName>
    <definedName name="TB94be7ab9_f10d_4d39_87ef_b12934517ca4" hidden="1">#REF!</definedName>
    <definedName name="TB94c45c46_f02d_4340_b49e_fe4819f28a53" hidden="1">#REF!</definedName>
    <definedName name="TB94e0aef9_695a_426f_97f5_1f53871ba747" hidden="1">#REF!</definedName>
    <definedName name="TB94f02e55_67e7_44e0_acaa_5167d0b03da2" hidden="1">#REF!</definedName>
    <definedName name="TB94fe0ac7_9d18_4797_9fe6_7d9f71ebaeb1" hidden="1">#REF!</definedName>
    <definedName name="TB9501e4fc_6091_4987_b660_fbd716d447e0" hidden="1">#REF!</definedName>
    <definedName name="TB9507f282_67b8_41f6_8035_6353bac02437" hidden="1">#REF!</definedName>
    <definedName name="TB95093586_a3f1_42e1_9292_f3b76855061a" hidden="1">#REF!</definedName>
    <definedName name="TB9518f12e_648d_4830_97b1_0c0840a0851f" hidden="1">#REF!</definedName>
    <definedName name="TB951ee4ed_ca9a_482e_8fb3_caebce87f297" hidden="1">#REF!</definedName>
    <definedName name="TB95209800_180c_4ced_9463_a08604050f98" hidden="1">#REF!</definedName>
    <definedName name="TB9528b56a_6e93_4202_bcb6_6c407eb20723" hidden="1">#REF!</definedName>
    <definedName name="TB952bd1ea_7200_489f_9c81_785ccfbbfcc6" hidden="1">#REF!</definedName>
    <definedName name="TB95327bbe_1ef5_4a7b_8608_9f4b209f54bf" hidden="1">#REF!</definedName>
    <definedName name="TB95440f11_5676_42bb_a564_fb8747249955" hidden="1">#REF!</definedName>
    <definedName name="TB95469b1a_bff8_43dd_87f6_8879abaad633" hidden="1">#REF!</definedName>
    <definedName name="TB954b0009_efe9_46fe_a606_46ae8507233a" hidden="1">#REF!</definedName>
    <definedName name="TB95542470_a040_4aa6_9c96_9f24da45cac7" hidden="1">#REF!</definedName>
    <definedName name="TB9558e8c1_624a_4d9d_b21f_a4e8bf97f7ec" hidden="1">#REF!</definedName>
    <definedName name="TB9569675f_4496_4b86_905b_9e4c8eef24cd" hidden="1">#REF!</definedName>
    <definedName name="TB95767bf0_5d8e_4f1f_a650_2285be09c387" hidden="1">#REF!</definedName>
    <definedName name="TB957cc41a_aa2a_4644_990d_514faebdfac8" hidden="1">#REF!</definedName>
    <definedName name="TB9581870a_84c0_4627_9c36_682203c00cbf" hidden="1">#REF!</definedName>
    <definedName name="TB958da9f2_9562_4def_a57e_b51161459d51" hidden="1">#REF!</definedName>
    <definedName name="TB958dba45_82fd_4d00_b804_2bac2e4b6cc8" hidden="1">#REF!</definedName>
    <definedName name="TB95a6f6be_6812_4e6f_ac29_cac3d9572f11" hidden="1">#REF!</definedName>
    <definedName name="TB95a8276d_432b_4e92_b809_57641a293b25" hidden="1">#REF!</definedName>
    <definedName name="TB95bec147_8e1c_4b6b_9773_e09f7e62a388" hidden="1">#REF!</definedName>
    <definedName name="TB95cded33_ba8d_4a59_9226_4600e2f59952" hidden="1">#REF!</definedName>
    <definedName name="TB95eb0b5e_dc76_41dc_aaaa_9c99619ccec1" hidden="1">#REF!</definedName>
    <definedName name="TB95f24a05_8d14_4e02_ad72_f91035c193eb" hidden="1">#REF!</definedName>
    <definedName name="TB960b97a4_71ad_43f0_af9b_b155f8d3846e" hidden="1">#REF!</definedName>
    <definedName name="TB963c51da_b6ae_4485_a42a_9b6efdde4975" hidden="1">#REF!</definedName>
    <definedName name="TB963edd44_acf7_4fa2_91d1_d50e7c6abf22" hidden="1">#REF!</definedName>
    <definedName name="TB9645062d_4fb5_4c87_b6f9_4523c2720d5f" hidden="1">#REF!</definedName>
    <definedName name="TB9645df86_830a_41a3_ac5e_0130eb913090" hidden="1">#REF!</definedName>
    <definedName name="TB96473f88_e521_4d73_aa95_1b26279db9bd" hidden="1">#REF!</definedName>
    <definedName name="TB964f4ead_55c2_4fcc_a55c_e215bbace564" hidden="1">#REF!</definedName>
    <definedName name="TB965d2d06_8f76_4939_8a57_26a0bd92c496" hidden="1">#REF!</definedName>
    <definedName name="TB96624b1a_23aa_4e06_abae_cc89078d3379" hidden="1">#REF!</definedName>
    <definedName name="TB96630361_4b5e_46cb_81a5_a4a98fb3bf43" hidden="1">#REF!</definedName>
    <definedName name="TB96685574_0820_47c9_a381_44687cf43339" hidden="1">#REF!</definedName>
    <definedName name="TB96776a82_beff_4833_962c_93dd3b6daa06" hidden="1">#REF!</definedName>
    <definedName name="TB9678e464_7880_46df_99cf_fd537f2efc0c" hidden="1">#REF!</definedName>
    <definedName name="TB9679e027_bac5_4126_8c62_cf2ceb164eab" hidden="1">#REF!</definedName>
    <definedName name="TB968053c2_f711_4e26_aa33_461238a9f806" hidden="1">#REF!</definedName>
    <definedName name="TB9683b1c5_5497_4574_b45c_26ebd26bc8c2" hidden="1">#REF!</definedName>
    <definedName name="TB96895c4a_3fbc_4562_af7c_322135fbeb66" hidden="1">#REF!</definedName>
    <definedName name="TB968a1bad_af61_4e94_913a_72ea4b3ce90b" hidden="1">#REF!</definedName>
    <definedName name="TB968e2253_9564_4562_ac4d_cee95857e02d" hidden="1">#REF!</definedName>
    <definedName name="TB9697272f_568c_466c_a2dd_980458bb2f06" hidden="1">#REF!</definedName>
    <definedName name="TB96a23018_e7ac_45c4_813c_13abe39a06c8" hidden="1">#REF!</definedName>
    <definedName name="TB96aedcf7_d6bc_4eed_a426_e32c27a218cc" hidden="1">#REF!</definedName>
    <definedName name="TB96b041f3_78bd_441b_8f95_5c83d200076a" hidden="1">#REF!</definedName>
    <definedName name="TB96b8ba13_d758_444b_a595_987a6d81300a" hidden="1">#REF!</definedName>
    <definedName name="TB96b94a63_fe61_4916_9419_76608fa6221d" hidden="1">#REF!</definedName>
    <definedName name="TB96bb7113_dcff_4ab7_899b_9b5372edbe75" hidden="1">#REF!</definedName>
    <definedName name="TB96c110cf_5795_415e_843c_bbdabe4bb2e7" hidden="1">#REF!</definedName>
    <definedName name="TB96c75155_da7d_45c9_ae10_ce49e6ddac60" hidden="1">#REF!</definedName>
    <definedName name="TB96d18f35_2ea6_4ad7_a383_3b735e2f1eb8" hidden="1">#REF!</definedName>
    <definedName name="TB96e42282_fb94_4832_b1d6_cee3849f4e86" hidden="1">#REF!</definedName>
    <definedName name="TB96e903e8_d5f6_4378_b76d_633b9abec80e" hidden="1">#REF!</definedName>
    <definedName name="TB96ffcd03_94d3_4b08_8549_9066b04aba85" hidden="1">#REF!</definedName>
    <definedName name="TB97018e0f_6f09_4ed1_a4ff_c96ee14b1243" hidden="1">#REF!</definedName>
    <definedName name="TB9711d62a_9974_479f_9e90_82d9f80689cd" hidden="1">#REF!</definedName>
    <definedName name="TB9713c4d1_ce9b_4add_b889_361d52e3bba6" hidden="1">#REF!</definedName>
    <definedName name="TB97192917_1e9e_478e_afda_5ad0191f838b" hidden="1">#REF!</definedName>
    <definedName name="TB971ddee1_8226_41c8_a7ec_6f16430c019e" hidden="1">#REF!</definedName>
    <definedName name="TB97245d16_26f7_4b6e_8ab5_7a98aa6406d3" hidden="1">#REF!</definedName>
    <definedName name="TB97281b68_89e4_4856_858d_30ea043f997b" hidden="1">#REF!</definedName>
    <definedName name="TB97297a02_0d70_49b1_8138_dfc9925669df" hidden="1">#REF!</definedName>
    <definedName name="TB972e2ea2_f5ff_4f0a_999a_2364182c4996" hidden="1">#REF!</definedName>
    <definedName name="TB973d4ce3_7ee7_4684_80fd_82bd19345d57" hidden="1">#REF!</definedName>
    <definedName name="TB974093a4_4f7b_4b43_b236_693ea2ccae60" hidden="1">#REF!</definedName>
    <definedName name="TB974c1b70_2a66_4faa_8b6b_5f20d21efaf2" hidden="1">#REF!</definedName>
    <definedName name="TB977beac4_6512_4f76_8869_c773e6d523a6" hidden="1">#REF!</definedName>
    <definedName name="TB977ea1f9_4a5b_4162_b88d_cb04faa53e7c" hidden="1">#REF!</definedName>
    <definedName name="TB977f7831_7088_4486_a5ef_4e9c2313a69e" hidden="1">#REF!</definedName>
    <definedName name="TB9783e801_7bb1_4010_9c0d_33d4f3995d07" hidden="1">#REF!</definedName>
    <definedName name="TB97888496_5317_441d_81aa_52194e2a1840" hidden="1">#REF!</definedName>
    <definedName name="TB9796a743_14f9_4804_8bc1_f7a13cf62595" hidden="1">#REF!</definedName>
    <definedName name="TB9797c690_26de_4f59_9c63_8de239689d92" hidden="1">#REF!</definedName>
    <definedName name="TB979814cb_9cc5_41bb_84fa_d55e05bcc4bf" hidden="1">#REF!</definedName>
    <definedName name="TB97a7f3b4_966f_4777_b9aa_d918de97c7a2" hidden="1">#REF!</definedName>
    <definedName name="TB97af1771_0311_4d6c_8ae5_cc1777bd64e9" hidden="1">#REF!</definedName>
    <definedName name="TB97ba4b90_564d_4f11_82ed_b807d94aac81" hidden="1">#REF!</definedName>
    <definedName name="TB97bc8182_3bc6_4737_b170_57e15de7aea3" hidden="1">#REF!</definedName>
    <definedName name="TB97c57ab0_7a5a_4d7a_9baa_067e639f5b49" hidden="1">#REF!</definedName>
    <definedName name="TB97c90cf6_14e8_4ebf_8ddf_9bae4d370c3a" hidden="1">#REF!</definedName>
    <definedName name="TB97ca35bf_026a_4776_ba64_ce0d47baedd1" hidden="1">#REF!</definedName>
    <definedName name="TB97ca612e_d8d6_40cc_95b7_3d342b0ae58c" hidden="1">#REF!</definedName>
    <definedName name="TB97e16a32_e5b4_471b_93ad_3ba3d01bfa0e" hidden="1">#REF!</definedName>
    <definedName name="TB97f12a1a_a383_4c21_835b_6f8587d830f9" hidden="1">#REF!</definedName>
    <definedName name="TB97f2c99b_61e8_437f_ad65_c853b9d70925" hidden="1">#REF!</definedName>
    <definedName name="TB98127253_a57d_42d9_9527_d471207c7837" hidden="1">#REF!</definedName>
    <definedName name="TB98184526_a02f_4084_910f_91094cc2439e" hidden="1">#REF!</definedName>
    <definedName name="TB98284b16_8ffa_4178_b90c_498fc9262d3e" hidden="1">#REF!</definedName>
    <definedName name="TB98290e9b_f08d_495b_80b4_8c94c898c574" hidden="1">#REF!</definedName>
    <definedName name="TB98330d54_223c_4288_9b9c_2cbfd8bd95fe" hidden="1">#REF!</definedName>
    <definedName name="TB98420e1b_f909_4caf_9cc9_70b69fc51af4" hidden="1">#REF!</definedName>
    <definedName name="TB98547534_a7f6_4a0a_b832_57e192254613" hidden="1">#REF!</definedName>
    <definedName name="TB98558eb2_8fff_4d65_8915_1d13a5a195ee" hidden="1">#REF!</definedName>
    <definedName name="TB985f8157_5aec_46fc_b164_fb7d51255d04" hidden="1">#REF!</definedName>
    <definedName name="TB98635473_3817_40fa_8abd_67ebab76a411" hidden="1">#REF!</definedName>
    <definedName name="TB9863c8a2_e433_481c_9e26_e7b9459167d7" hidden="1">#REF!</definedName>
    <definedName name="TB98658054_2f8e_44db_a1a0_2788b026b55b" hidden="1">#REF!</definedName>
    <definedName name="TB98717efa_543e_4580_a1fc_8ddade35962f" hidden="1">#REF!</definedName>
    <definedName name="TB98745be5_b783_447e_8870_2ab831ecac77" hidden="1">#REF!</definedName>
    <definedName name="TB9875a8a7_04fc_4657_bf65_2a8288d85787" hidden="1">#REF!</definedName>
    <definedName name="TB98827f2a_3207_4599_9051_7e3e271b0597" hidden="1">#REF!</definedName>
    <definedName name="TB9898678b_6ba1_4ec5_9a73_6b46ed68c019" hidden="1">#REF!</definedName>
    <definedName name="TB989d8288_0784_4a3c_b8ee_b044d5a9ee0f" hidden="1">#REF!</definedName>
    <definedName name="TB98a47c7f_159f_48fe_984f_28b0f4f53e59" hidden="1">#REF!</definedName>
    <definedName name="TB98a62bcc_a67e_4e46_94eb_3f33cf780dfe" hidden="1">#REF!</definedName>
    <definedName name="TB98a8252b_c17d_4108_adb5_764fb3c8b2cc" hidden="1">#REF!</definedName>
    <definedName name="TB98acc7c5_2f6f_4a0b_8d63_3f94166968b5" hidden="1">#REF!</definedName>
    <definedName name="TB98b3c53b_396d_4fdf_910c_a529a15e9b05" hidden="1">#REF!</definedName>
    <definedName name="TB98b6a31a_a7b9_4e87_bf6c_c7f86b0ce717" hidden="1">#REF!</definedName>
    <definedName name="TB98b9ea62_fa2a_4439_9aca_9403aa619197" hidden="1">#REF!</definedName>
    <definedName name="TB98bb756d_6ce6_43b3_82c9_c3e0d126c34b" hidden="1">#REF!</definedName>
    <definedName name="TB98bbc9ee_9edc_4ca2_a1d5_469d07f3a978" hidden="1">#REF!</definedName>
    <definedName name="TB98f1a5a2_7cdf_491d_b875_031c4710df67" hidden="1">#REF!</definedName>
    <definedName name="TB990f77bc_e7ce_4638_9ed9_bce79b772455" hidden="1">#REF!</definedName>
    <definedName name="TB991bd7b9_f520_42ba_a2ca_d01242ed7889" hidden="1">#REF!</definedName>
    <definedName name="TB992a805f_af08_4c8e_99eb_54fde05a187f" hidden="1">#REF!</definedName>
    <definedName name="TB993246d6_06cc_482c_b4cf_4add579244ba" hidden="1">#REF!</definedName>
    <definedName name="TB99339d6c_798c_4e27_939f_2982f2def174" hidden="1">#REF!</definedName>
    <definedName name="TB994068ef_aec1_4e9c_9012_edf55b2a32d4" hidden="1">#REF!</definedName>
    <definedName name="TB994b47ce_f434_4607_a90a_439c0f398a97" hidden="1">#REF!</definedName>
    <definedName name="TB99862c94_a0a6_4893_b507_9192641b835e" hidden="1">#REF!</definedName>
    <definedName name="TB9987b8c3_f9bf_4f00_91c0_62778cff1ca9" hidden="1">#REF!</definedName>
    <definedName name="TB99af4435_f2f7_4a3a_8686_e1f87b0c7353" hidden="1">#REF!</definedName>
    <definedName name="TB99da54bb_4912_4926_83bb_e86638ff73d0" hidden="1">#REF!</definedName>
    <definedName name="TB99db6362_c139_4c98_a5f9_bfe47260911b" hidden="1">#REF!</definedName>
    <definedName name="TB99e01875_3213_4705_9eab_cdcb7cc109dc" hidden="1">#REF!</definedName>
    <definedName name="TB99e0bcbb_d8e7_4936_957c_55183f15d356" hidden="1">#REF!</definedName>
    <definedName name="TB99e35e76_bb1c_499d_a189_c32986b23084" hidden="1">#REF!</definedName>
    <definedName name="TB99e36656_1c04_423d_9bc8_98bb758df01d" hidden="1">#REF!</definedName>
    <definedName name="TB99f9ef49_ce36_4727_a450_cd6156e6eaac" hidden="1">#REF!</definedName>
    <definedName name="TB99fc6c09_eb9a_4151_92e2_1f6d78e39a15" hidden="1">#REF!</definedName>
    <definedName name="TB9a05ca0f_344c_45c1_8d6f_960f0a8b1d1c" hidden="1">#REF!</definedName>
    <definedName name="TB9a0cb0b8_fcb0_4791_a3ca_bc78866f84d1" hidden="1">#REF!</definedName>
    <definedName name="TB9a0e1792_d8de_459f_988a_6b621866e381" hidden="1">#REF!</definedName>
    <definedName name="TB9a151c0e_6fd3_409f_b2f6_66754be55915" hidden="1">#REF!</definedName>
    <definedName name="TB9a1f2fd2_94b7_466c_bb34_5294f8bd6765" hidden="1">#REF!</definedName>
    <definedName name="TB9a20a447_70ae_49d4_a745_5e7f8110501f" hidden="1">#REF!</definedName>
    <definedName name="TB9a24de53_4c32_4675_b9fd_03fc569a84d8" hidden="1">#REF!</definedName>
    <definedName name="TB9a342bf1_897a_4ae9_81c8_75d401624ca0" hidden="1">#REF!</definedName>
    <definedName name="TB9a3ca441_b4ad_4c44_8202_f36eb9bf6e71" hidden="1">#REF!</definedName>
    <definedName name="TB9a420c61_b8fb_47b2_b120_5d8053e8c431" hidden="1">#REF!</definedName>
    <definedName name="TB9a436e53_5684_45fa_a266_9dbc8fcba2f6" hidden="1">#REF!</definedName>
    <definedName name="TB9a501943_056e_45a9_a4d3_41edd1cd4f63" hidden="1">#REF!</definedName>
    <definedName name="TB9a585b98_860f_4d66_9e7a_8562bfe9295a" hidden="1">#REF!</definedName>
    <definedName name="TB9a58ced0_1e48_47a6_9e64_af4ad5cdbe29" hidden="1">#REF!</definedName>
    <definedName name="TB9a7b873d_f502_491f_96a8_4abc34951030" hidden="1">#REF!</definedName>
    <definedName name="TB9a7dc464_f0a0_424a_8c1c_8509751c180f" hidden="1">#REF!</definedName>
    <definedName name="TB9a7e7375_76fe_43da_a09a_07171e2f2511" hidden="1">#REF!</definedName>
    <definedName name="TB9a80d9cd_a345_4814_93f1_d6d28657631a" hidden="1">#REF!</definedName>
    <definedName name="TB9a8dfee8_c116_4380_9d33_d174d1b4e9ef" hidden="1">#REF!</definedName>
    <definedName name="TB9a98d704_1a1f_4655_aa60_a3f9e6e50e42" hidden="1">#REF!</definedName>
    <definedName name="TB9a99de1b_78b1_4660_803a_ce617183d4ab" hidden="1">#REF!</definedName>
    <definedName name="TB9aa5ab74_69f7_4118_96df_81f388be73a5" hidden="1">#REF!</definedName>
    <definedName name="TB9aa5e773_26a2_4aa6_999e_16e23e7deea9" hidden="1">#REF!</definedName>
    <definedName name="TB9aab0edf_622d_4233_bfb5_dcebba78d9de" hidden="1">#REF!</definedName>
    <definedName name="TB9ab6a947_2ed5_423c_a81f_8221e19d71a8" hidden="1">#REF!</definedName>
    <definedName name="TB9abb8b38_84ca_4a96_8a9c_ad85edffa8e2" hidden="1">#REF!</definedName>
    <definedName name="TB9abf41ab_82dc_4de3_9a73_fd51ce88ea3f" hidden="1">#REF!</definedName>
    <definedName name="TB9ac2f154_cf02_40e9_89f8_96cd06f24172" hidden="1">#REF!</definedName>
    <definedName name="TB9ac459e4_f694_4559_9058_627394465668" hidden="1">#REF!</definedName>
    <definedName name="TB9ac949c8_7253_42fc_82db_84fff3107c30" hidden="1">#REF!</definedName>
    <definedName name="TB9ace693b_c92e_41c3_bc3d_1a95b5e23286" hidden="1">#REF!</definedName>
    <definedName name="TB9ad83e90_de94_4da4_a09d_c29cd5c8b324" hidden="1">#REF!</definedName>
    <definedName name="TB9adfb22f_90ee_4339_bacc_3714d4cd1ea7" hidden="1">#REF!</definedName>
    <definedName name="TB9aefe46f_21be_42ae_9244_0ffc6fc42a78" hidden="1">#REF!</definedName>
    <definedName name="TB9b077641_177a_40e8_8023_f7f927d8e666" hidden="1">#REF!</definedName>
    <definedName name="TB9b1180ef_4c9b_4132_9975_df1f3fc38039" hidden="1">#REF!</definedName>
    <definedName name="TB9b12f3b5_7868_40d7_bb57_b76bbe3218c4" hidden="1">#REF!</definedName>
    <definedName name="TB9b13dcd7_eed7_4e04_be7d_d91a5313901f" hidden="1">#REF!</definedName>
    <definedName name="TB9b15cfc1_6052_424e_ac1b_f9f0ca88446b" hidden="1">#REF!</definedName>
    <definedName name="TB9b240408_830d_4f34_be86_828cefeb156f" hidden="1">#REF!</definedName>
    <definedName name="TB9b25acbd_7b20_4bb1_ab0a_f0406b503670" hidden="1">#REF!</definedName>
    <definedName name="TB9b286a43_9b88_4bef_9a86_f7bb8d165e0b" hidden="1">#REF!</definedName>
    <definedName name="TB9b3b7e82_92c0_4f6e_9d43_b4337e274753" hidden="1">#REF!</definedName>
    <definedName name="TB9b42dfc2_5332_4b2c_8a11_bb356e5e6521" hidden="1">#REF!</definedName>
    <definedName name="TB9b570eab_b281_4b17_a8cb_004d7f22be10" hidden="1">#REF!</definedName>
    <definedName name="TB9b5b666d_ba5f_49ab_9785_5b7435592771" hidden="1">#REF!</definedName>
    <definedName name="TB9b5b7f45_fa5e_4939_b41d_a2c32c92a117" hidden="1">#REF!</definedName>
    <definedName name="TB9b5dc59e_8e9f_46d8_a924_cc8071dc988e" hidden="1">#REF!</definedName>
    <definedName name="TB9b6863fa_d17b_4dbb_981f_76c0e6ebb190" hidden="1">#REF!</definedName>
    <definedName name="TB9b73cc75_e5e3_4f44_9bb6_01074686849c" hidden="1">#REF!</definedName>
    <definedName name="TB9b77ebe9_0b0b_4964_b511_5af248fe81d8" hidden="1">#REF!</definedName>
    <definedName name="TB9b7c284e_b8b4_45af_aa80_b9fcaa80e5b2" hidden="1">#REF!</definedName>
    <definedName name="TB9b7c6ca7_e481_48cd_89c6_0aad6abefc8d" hidden="1">#REF!</definedName>
    <definedName name="TB9b80b775_bd7b_4d20_85f2_e92afd3c84ba" hidden="1">#REF!</definedName>
    <definedName name="TB9b839191_850e_4514_a680_0b17d28e1823" hidden="1">#REF!</definedName>
    <definedName name="TB9b9015ff_357d_4afa_b269_ba741005babf" hidden="1">#REF!</definedName>
    <definedName name="TB9bb2e1d1_f8b4_4192_93fd_ffe66725590b" hidden="1">#REF!</definedName>
    <definedName name="TB9bc37040_253a_4c83_baa0_883ff13c216a" hidden="1">#REF!</definedName>
    <definedName name="TB9bce05b0_f35d_4991_a9fc_37a87e061900" hidden="1">#REF!</definedName>
    <definedName name="TB9bd7d5fb_f7eb_4d21_a7b0_ed0a938a4f36" hidden="1">#REF!</definedName>
    <definedName name="TB9bdf0371_3fb1_4da5_9ba7_49b393234bf2" hidden="1">#REF!</definedName>
    <definedName name="TB9be60307_e6bf_4652_9415_d5c19c25811e" hidden="1">#REF!</definedName>
    <definedName name="TB9be7f853_6649_48a5_b851_aa937962db9c" hidden="1">#REF!</definedName>
    <definedName name="TB9bec9730_7a08_4138_b41c_c8a54750ca41" hidden="1">#REF!</definedName>
    <definedName name="TB9bf8d0dc_00f1_4098_ad02_246faf225c94" hidden="1">#REF!</definedName>
    <definedName name="TB9bfb0b98_260b_4696_bbfa_d8e74c2563f9" hidden="1">#REF!</definedName>
    <definedName name="TB9bfdaba0_c2ed_4d5a_9106_150ef5501345" hidden="1">#REF!</definedName>
    <definedName name="TB9c08035d_ea94_4962_81cf_75c714463d1d" hidden="1">#REF!</definedName>
    <definedName name="TB9c0c5751_066e_41a3_a092_20547be06171" hidden="1">#REF!</definedName>
    <definedName name="TB9c0ce9ea_ea7a_45af_94a5_a84a5603f926" hidden="1">#REF!</definedName>
    <definedName name="TB9c0fc1ad_35b7_4aa4_8ea7_77ad3e512a6a" hidden="1">#REF!</definedName>
    <definedName name="TB9c0fc4bd_15a9_470c_9921_8130f3653d3f" hidden="1">#REF!</definedName>
    <definedName name="TB9c141b6e_b3dd_431d_b162_3d072670c5f0" hidden="1">#REF!</definedName>
    <definedName name="TB9c1e337b_970f_4c30_b41c_7222b7ac0059" hidden="1">#REF!</definedName>
    <definedName name="TB9c2151fd_296e_46f9_ba6a_e2d47912bcb2" hidden="1">#REF!</definedName>
    <definedName name="TB9c264e55_9968_4f5c_bd30_a086af747fac" hidden="1">#REF!</definedName>
    <definedName name="TB9c26d1b9_6601_408c_ac0d_c5382b0e4606" hidden="1">#REF!</definedName>
    <definedName name="TB9c313f30_2132_4cdd_8075_2849a5ac7397" hidden="1">#REF!</definedName>
    <definedName name="TB9c34092b_428d_41f6_b8fd_29eab7d88c7f" hidden="1">#REF!</definedName>
    <definedName name="TB9c34411b_7877_4b08_891e_957c75fc7929" hidden="1">#REF!</definedName>
    <definedName name="TB9c3a943f_f380_4ec1_9c58_17e98c99d78f" hidden="1">#REF!</definedName>
    <definedName name="TB9c3b3ddb_5392_42dd_b412_f3412d15bca1" hidden="1">#REF!</definedName>
    <definedName name="TB9c41fc7b_506d_4b7d_ae11_0e1ef591ea55" hidden="1">#REF!</definedName>
    <definedName name="TB9c514d0e_86f0_4b18_8867_d30e64fb540a" hidden="1">#REF!</definedName>
    <definedName name="TB9c51915c_3f7b_4444_9dab_4babd8f73195" hidden="1">#REF!</definedName>
    <definedName name="TB9c700763_1adf_412d_951e_e94201eac277" hidden="1">#REF!</definedName>
    <definedName name="TB9c7166bc_2735_4614_b7fd_553f9c20406d" hidden="1">#REF!</definedName>
    <definedName name="TB9c7718cf_fb27_458e_a486_bda398dd01b1" hidden="1">#REF!</definedName>
    <definedName name="TB9c832bf9_c4b0_443a_b4ce_6e1595713721" hidden="1">#REF!</definedName>
    <definedName name="TB9c9c486a_728f_4b04_91ce_9dbf60d5e790" hidden="1">#REF!</definedName>
    <definedName name="TB9c9c878e_bb95_41ad_9d10_a4857648c1d7" hidden="1">#REF!</definedName>
    <definedName name="TB9ca0c16c_60fc_4794_9896_c1398079e7b6" hidden="1">#REF!</definedName>
    <definedName name="TB9ca2ef19_955f_46f6_ad6d_1a5e4238e913" hidden="1">#REF!</definedName>
    <definedName name="TB9ca4ba48_254f_4bcf_8124_f33d7713d149" hidden="1">#REF!</definedName>
    <definedName name="TB9cb04b0b_158e_403b_8dc6_3a0fed97104c" hidden="1">#REF!</definedName>
    <definedName name="TB9cbacbf3_2d30_48a5_9f37_cd258b4418eb" hidden="1">#REF!</definedName>
    <definedName name="TB9cbbdac5_4e31_409a_8525_0a0bd0b16f0a" hidden="1">#REF!</definedName>
    <definedName name="TB9cbf7419_8b23_4673_8c0a_6399cce25b84" hidden="1">#REF!</definedName>
    <definedName name="TB9cd0ec42_21bf_42bf_9a85_fcc459d16b2e" hidden="1">#REF!</definedName>
    <definedName name="TB9cd644b3_c4cd_47e8_95d7_0bbfd4d76f0e" hidden="1">#REF!</definedName>
    <definedName name="TB9ce1b4ae_5ca8_4c79_b1b0_a5379b003e3d" hidden="1">#REF!</definedName>
    <definedName name="TB9cf31072_38ba_4af1_8db9_42495050a4f1" hidden="1">#REF!</definedName>
    <definedName name="TB9cf7ebc8_10f4_4382_ab10_bff0b44f28eb" hidden="1">#REF!</definedName>
    <definedName name="TB9d16b6a2_9621_44d2_844b_1343c5d8e672" hidden="1">#REF!</definedName>
    <definedName name="TB9d283c8b_f766_4ad5_8086_64483b216d67" hidden="1">#REF!</definedName>
    <definedName name="TB9d353498_988e_484b_a41e_e249403f059d" hidden="1">#REF!</definedName>
    <definedName name="TB9d43f6d0_1024_4217_9845_ede486a54b05" hidden="1">#REF!</definedName>
    <definedName name="TB9d56d8f6_6749_4665_9d32_964c3f07cb4d" hidden="1">#REF!</definedName>
    <definedName name="TB9d674ded_f484_417d_a60b_410e973d9645" hidden="1">#REF!</definedName>
    <definedName name="TB9d7f6d23_adc6_424b_ad4a_af85bc015f56" hidden="1">#REF!</definedName>
    <definedName name="TB9d84a69e_f492_4641_b0dc_f2b39afc7098" hidden="1">#REF!</definedName>
    <definedName name="TB9da3cb56_ce9d_4858_b763_49c63c760890" hidden="1">#REF!</definedName>
    <definedName name="TB9da5f04c_86e2_4a67_8130_9edd6922979e" hidden="1">#REF!</definedName>
    <definedName name="TB9daaba82_728f_4844_bc8d_a65ff4535fbe" hidden="1">#REF!</definedName>
    <definedName name="TB9dab0eeb_4136_4c07_86ad_62eb586aedd9" hidden="1">#REF!</definedName>
    <definedName name="TB9db3d99c_0f58_40b1_8771_ef78eb8dcd7a" hidden="1">#REF!</definedName>
    <definedName name="TB9db70f42_ccb6_427f_b427_82db3b6f11dd" hidden="1">#REF!</definedName>
    <definedName name="TB9db99a9c_66f0_4fe6_943f_18b070a45a47" hidden="1">#REF!</definedName>
    <definedName name="TB9dba953c_dacc_466f_a8cc_2f7596b393db" hidden="1">#REF!</definedName>
    <definedName name="TB9dc96312_37df_4a2f_aea0_5b16854cf709" hidden="1">#REF!</definedName>
    <definedName name="TB9dcad1ce_8454_4dfe_b4ac_b764056e926d" hidden="1">#REF!</definedName>
    <definedName name="TB9dcde99e_7185_43f5_89ea_484a22b93786" hidden="1">#REF!</definedName>
    <definedName name="TB9dcf1843_64d3_48b9_9301_0aba2e07314e" hidden="1">#REF!</definedName>
    <definedName name="TB9dd266ac_0eb8_403d_b3fe_2b6027ab8c11" hidden="1">#REF!</definedName>
    <definedName name="TB9dd41fa3_5463_4854_b5e3_4166076ad5b8" hidden="1">#REF!</definedName>
    <definedName name="TB9dd7b858_b184_414a_8452_86380d254311" hidden="1">#REF!</definedName>
    <definedName name="TB9ddd884a_c0d6_4d95_ad93_b385c7cafd88" hidden="1">#REF!</definedName>
    <definedName name="TB9de6db79_c77b_40b6_96ce_461f4840acd2" hidden="1">#REF!</definedName>
    <definedName name="TB9de7455c_b9c2_408d_b996_afe080017fd4" hidden="1">#REF!</definedName>
    <definedName name="TB9de9e853_58c5_4bfd_bbf9_5ebd5f19f6a2" hidden="1">#REF!</definedName>
    <definedName name="TB9dea71cf_8c27_41c6_82bb_f1e77e44c02c" hidden="1">#REF!</definedName>
    <definedName name="TB9deb745d_5c1e_4208_a782_a534f1ce569a" hidden="1">#REF!</definedName>
    <definedName name="TB9dec1e99_5475_4861_8170_bb84c5fb863d" hidden="1">#REF!</definedName>
    <definedName name="TB9df2ca34_7f63_44d2_9219_4c6ec3576885" hidden="1">#REF!</definedName>
    <definedName name="TB9dfc4568_97d4_461a_a47f_23da93b6c679" hidden="1">#REF!</definedName>
    <definedName name="TB9dfce27a_b8ba_4cdf_b018_d2144dc93865" hidden="1">#REF!</definedName>
    <definedName name="TB9e04302e_55c6_4f9f_a720_ba2b5254c3d7" hidden="1">#REF!</definedName>
    <definedName name="TB9e0e47ce_864a_4f48_844a_4ea4cd00d2e5" hidden="1">#REF!</definedName>
    <definedName name="TB9e131c2b_34ca_4d5a_bcec_ae8d7ba40fd3" hidden="1">#REF!</definedName>
    <definedName name="TB9e2a33b6_0e06_4a36_bd18_a176de403e8b" hidden="1">#REF!</definedName>
    <definedName name="TB9e2a4576_f45a_4730_bed4_b1975d3d7091" hidden="1">#REF!</definedName>
    <definedName name="TB9e394311_faa4_4a93_9c38_8397e1eb9fb5" hidden="1">#REF!</definedName>
    <definedName name="TB9e42c0cc_3b90_4073_aa45_cd03a65769df" hidden="1">#REF!</definedName>
    <definedName name="TB9e464e86_7a82_4c3f_83a2_ce2722fc7e08" hidden="1">#REF!</definedName>
    <definedName name="TB9e4c2189_82dd_4065_ae84_ab6fc2bb371f" hidden="1">#REF!</definedName>
    <definedName name="TB9e4c7346_f021_4b3c_968d_30239e560ca4" hidden="1">#REF!</definedName>
    <definedName name="TB9e50569d_6c83_4307_8ba1_3c6de5391450" hidden="1">#REF!</definedName>
    <definedName name="TB9e529abc_b5d6_4089_b08d_a67914cf3641" hidden="1">#REF!</definedName>
    <definedName name="TB9e5fd834_7041_4764_827d_c6fbfecd777d" hidden="1">#REF!</definedName>
    <definedName name="TB9e65d8f3_08ba_4437_8aff_3142c9c700f8" hidden="1">#REF!</definedName>
    <definedName name="TB9e6e2c64_377a_49cf_9423_aa7ebab16d33" hidden="1">#REF!</definedName>
    <definedName name="TB9e7adc22_5f00_409c_becf_3281a7d34058" hidden="1">#REF!</definedName>
    <definedName name="TB9e7f138a_f006_457f_a625_52aae36f9934" hidden="1">#REF!</definedName>
    <definedName name="TB9e9003a9_5df4_4671_8c73_ae495cfdc16d" hidden="1">#REF!</definedName>
    <definedName name="TB9e9f3a47_2c21_4891_9521_ca36e346b609" hidden="1">#REF!</definedName>
    <definedName name="TB9eaa04e3_5a5a_486e_a35e_07caef9e6825" hidden="1">#REF!</definedName>
    <definedName name="TB9eaa959d_ba54_49a6_a503_fe81a6fbeb22" hidden="1">#REF!</definedName>
    <definedName name="TB9eacf714_8f55_41c6_a7c6_335ec740d7d4" hidden="1">#REF!</definedName>
    <definedName name="TB9eb471a6_9a8e_4938_9207_f74802b18da8" hidden="1">#REF!</definedName>
    <definedName name="TB9ebed5c9_570a_4f0e_b058_8a3618b6a49c" hidden="1">#REF!</definedName>
    <definedName name="TB9ed8ff00_c32a_4d35_8445_2c5247f9d1b3" hidden="1">#REF!</definedName>
    <definedName name="TB9ed98514_f6ad_4960_b9f7_551995d81203" hidden="1">#REF!</definedName>
    <definedName name="TB9edd2792_439c_4985_8c5e_d453bfd926b2" hidden="1">#REF!</definedName>
    <definedName name="TB9ee5131d_8653_4b1a_bbef_7f2166dca4f3" hidden="1">#REF!</definedName>
    <definedName name="TB9ee53ce3_078e_42ab_9ac3_cc9eb2052a9e" hidden="1">#REF!</definedName>
    <definedName name="TB9ef082c6_45af_48e1_925e_0980d5228e3e" hidden="1">#REF!</definedName>
    <definedName name="TB9ef98262_4d63_4445_af13_3a69b22b2040" hidden="1">#REF!</definedName>
    <definedName name="TB9f092712_4c92_46a4_8867_9e8616de52a2" hidden="1">#REF!</definedName>
    <definedName name="TB9f0b71f3_5e3a_4cd9_84fa_3a53f4223fab" hidden="1">#REF!</definedName>
    <definedName name="TB9f13f11d_b4a0_4b7b_9d7a_f978927442f5" hidden="1">#REF!</definedName>
    <definedName name="TB9f1515ec_dd5a_43af_abf0_94174828c014" hidden="1">#REF!</definedName>
    <definedName name="TB9f1ea4b3_81a3_4f27_bc05_a776e0bc9755" hidden="1">#REF!</definedName>
    <definedName name="TB9f27d2a6_4693_4afa_88b9_4ea8eebd89ef" hidden="1">#REF!</definedName>
    <definedName name="TB9f2ace08_34b7_4b5c_b8cd_685b3c3bc267" hidden="1">#REF!</definedName>
    <definedName name="TB9f2def3b_2a3a_4dfa_8797_dd4e53999678" hidden="1">#REF!</definedName>
    <definedName name="TB9f41ea3a_23a1_4412_9a79_f8eb80f2a036" hidden="1">#REF!</definedName>
    <definedName name="TB9f4af3ab_78b1_4027_9575_b910dbacfb0f" hidden="1">#REF!</definedName>
    <definedName name="TB9f4d7089_7e7f_43f4_a6ec_46dfcdc58beb" hidden="1">#REF!</definedName>
    <definedName name="TB9f4e48ef_3602_4326_a714_78671c55a16a" hidden="1">#REF!</definedName>
    <definedName name="TB9f668aa5_5622_42f3_b085_93710934f95d" hidden="1">#REF!</definedName>
    <definedName name="TB9f8a7af6_190d_42dc_8af3_26154aae5a20" hidden="1">#REF!</definedName>
    <definedName name="TB9f8bd93f_eb69_443c_9b0f_ede426e90db7" hidden="1">#REF!</definedName>
    <definedName name="TB9f94b3fb_60c1_4281_8916_3b63d79df4b4" hidden="1">#REF!</definedName>
    <definedName name="TB9f94cb10_d4e3_420c_855f_037d20bd4d00" hidden="1">#REF!</definedName>
    <definedName name="TB9f96a6bf_99e4_4762_a64f_0288551fb3d2" hidden="1">#REF!</definedName>
    <definedName name="TB9fa9d992_0bbc_46eb_a7eb_1a267afdab2a" hidden="1">#REF!</definedName>
    <definedName name="TB9faccd57_406b_4f92_83b6_0a93060c62f9" hidden="1">#REF!</definedName>
    <definedName name="TB9fbef418_ce83_4069_8437_874ef0076775" hidden="1">#REF!</definedName>
    <definedName name="TB9fd84b36_746b_4062_9c7b_a639f5b77c13" hidden="1">#REF!</definedName>
    <definedName name="TB9fe41eaa_7152_4aea_a699_7e820e9f9bb1" hidden="1">#REF!</definedName>
    <definedName name="TB9fe70e0b_86b6_43b4_8543_4d5f34be3e44" hidden="1">#REF!</definedName>
    <definedName name="TB9fe79481_e585_43a2_a554_1c3f526deb40" hidden="1">#REF!</definedName>
    <definedName name="TB9fecaec5_b374_49c2_86a0_24aaf9b0381b" hidden="1">#REF!</definedName>
    <definedName name="TB9fef46a6_fabe_43bc_94ce_7c34a78fae52" hidden="1">#REF!</definedName>
    <definedName name="TB9ff332ab_f8ea_4af9_b9f7_d18a54df247f" hidden="1">#REF!</definedName>
    <definedName name="TB9ff35830_6556_437e_8740_fd4dfc1506cc" hidden="1">#REF!</definedName>
    <definedName name="TB9ffa9d11_bfb3_4c11_bbc4_06ce823db186" hidden="1">#REF!</definedName>
    <definedName name="TB9fff7d64_0a8d_441a_beb1_33ea0b98f12b" hidden="1">#REF!</definedName>
    <definedName name="TBa00046fa_164d_4946_bc76_79d5b2c3b678" hidden="1">#REF!</definedName>
    <definedName name="TBa00804d6_f0ed_4229_b80c_c0a148424f35" hidden="1">#REF!</definedName>
    <definedName name="TBa012ccad_69ae_4bda_a6e8_6a2798926c51" hidden="1">#REF!</definedName>
    <definedName name="TBa01797ea_b1b3_49b9_ba43_a94611f11ccd" hidden="1">#REF!</definedName>
    <definedName name="TBa01fc475_4ec6_4349_a9b3_e3344ba9fed0" hidden="1">#REF!</definedName>
    <definedName name="TBa01fcd8b_8a63_4f14_9c27_7896ff42d564" hidden="1">#REF!</definedName>
    <definedName name="TBa023353e_1363_4b94_9d16_f917272d6329" hidden="1">#REF!</definedName>
    <definedName name="TBa04ac6ab_2f80_40d1_b6b6_b4a03a05e720" hidden="1">#REF!</definedName>
    <definedName name="TBa04c6086_d9d7_44c9_aba1_33b85aafb3e0" hidden="1">#REF!</definedName>
    <definedName name="TBa051a12f_787b_43c8_ab20_d4c543a210e4" hidden="1">#REF!</definedName>
    <definedName name="TBa05c2204_6254_4594_97bd_61dd0797bb7d" hidden="1">#REF!</definedName>
    <definedName name="TBa061f75d_b7f1_4f57_8fda_04e7006d6782" hidden="1">#REF!</definedName>
    <definedName name="TBa06b14af_e150_4640_ba5b_d82a05863613" hidden="1">#REF!</definedName>
    <definedName name="TBa071deb4_17fd_4f0b_9ba0_7a19dd6bcd45" hidden="1">#REF!</definedName>
    <definedName name="TBa07c6064_24cb_49db_ba23_101cb76afce4" hidden="1">#REF!</definedName>
    <definedName name="TBa07f3f0f_882f_4bf3_8600_f88834fdc7ab" hidden="1">#REF!</definedName>
    <definedName name="TBa0827f92_665c_451d_aac8_0d34e5c12bb8" hidden="1">#REF!</definedName>
    <definedName name="TBa08a5ba7_64fe_46d0_8c10_7a4def2774e9" hidden="1">#REF!</definedName>
    <definedName name="TBa08f5c41_0a5a_4701_b449_53568032f4bc" hidden="1">#REF!</definedName>
    <definedName name="TBa08fd1a0_63df_48b5_96f0_2447cd76b8d5" hidden="1">#REF!</definedName>
    <definedName name="TBa09ae5ca_e112_47cc_b985_a0b8ce31d949" hidden="1">#REF!</definedName>
    <definedName name="TBa09f4275_20e9_4866_aaed_55fe2036cf09" hidden="1">#REF!</definedName>
    <definedName name="TBa0a20176_6a60_4fa9_9dc4_fa8ff63bbf1a" hidden="1">#REF!</definedName>
    <definedName name="TBa0af25df_21e5_4a56_b308_a5126843c48b" hidden="1">#REF!</definedName>
    <definedName name="TBa0d306f5_3d1b_4b3e_970c_c035448c40ed" hidden="1">#REF!</definedName>
    <definedName name="TBa0d777ea_6c33_4f86_8d02_faae171da49c" hidden="1">#REF!</definedName>
    <definedName name="TBa0d804b0_e922_4e1f_ac2a_b0a839376ac2" hidden="1">#REF!</definedName>
    <definedName name="TBa0e2bf93_3fe7_4ea2_8ac1_9e911738c646" hidden="1">#REF!</definedName>
    <definedName name="TBa0ed75f0_1b74_4004_bcf4_bb0411baa1b1" hidden="1">#REF!</definedName>
    <definedName name="TBa0eda984_af3b_4a1a_bd66_40081253476e" hidden="1">#REF!</definedName>
    <definedName name="TBa0f1f969_70ba_43ac_9da3_c91176802687" hidden="1">#REF!</definedName>
    <definedName name="TBa0fd2cc0_4c23_4adb_8a0c_764c4157c02f" hidden="1">#REF!</definedName>
    <definedName name="TBa133ed54_823d_4851_a4df_b4297b23d353" hidden="1">#REF!</definedName>
    <definedName name="TBa13d2b2b_0730_4c98_8a6d_11ae4efef21a" hidden="1">#REF!</definedName>
    <definedName name="TBa13fb02c_ad81_433b_a8f2_7f4d8143036c" hidden="1">#REF!</definedName>
    <definedName name="TBa1410cf3_1904_4c29_aa9e_994d5b936001" hidden="1">#REF!</definedName>
    <definedName name="TBa14202d2_0141_41a1_9fa5_fedc6827cec0" hidden="1">#REF!</definedName>
    <definedName name="TBa14883e1_1295_4d81_ac52_6acd32ec5e21" hidden="1">#REF!</definedName>
    <definedName name="TBa14f90ea_6b46_4d41_98c0_092ed7d82da4" hidden="1">#REF!</definedName>
    <definedName name="TBa155ee20_1202_4afc_a7fd_d6d42fc72e2b" hidden="1">#REF!</definedName>
    <definedName name="TBa15d6188_ffd4_4bb0_b713_b6aaead1e291" hidden="1">#REF!</definedName>
    <definedName name="TBa160fcc9_1865_486b_86ed_df04c4a403cc" hidden="1">#REF!</definedName>
    <definedName name="TBa163c5bb_6155_4782_afcc_b6485c63a1c8" hidden="1">#REF!</definedName>
    <definedName name="TBa17044f2_665d_46bb_a7e2_fb050b37b9ca" hidden="1">#REF!</definedName>
    <definedName name="TBa18cfd28_e694_4d61_aea3_221761a8f443" hidden="1">#REF!</definedName>
    <definedName name="TBa1918708_72a5_42eb_b91c_7d044a74dad8" hidden="1">#REF!</definedName>
    <definedName name="TBa195477c_9f9e_4233_bd8f_ddacdc1a4de2" hidden="1">#REF!</definedName>
    <definedName name="TBa19902af_4f83_40c8_8397_53a3a48f59b8" hidden="1">#REF!</definedName>
    <definedName name="TBa1abe960_2f66_4a7c_a760_e05ea57ba1dd" hidden="1">#REF!</definedName>
    <definedName name="TBa1b3114e_a519_4fd2_aecd_e33b876dbd6a" hidden="1">#REF!</definedName>
    <definedName name="TBa1c009ab_27dd_49e3_a244_57ddc9ada6f8" hidden="1">#REF!</definedName>
    <definedName name="TBa1c84997_3152_4f1e_96e7_a1e6c5925eda" hidden="1">#REF!</definedName>
    <definedName name="TBa1cad034_96bb_40d8_b150_847d0245b38f" hidden="1">#REF!</definedName>
    <definedName name="TBa1d75814_06ab_45b5_aea1_37dea87a00af" hidden="1">#REF!</definedName>
    <definedName name="TBa1dbb251_73a8_4191_89df_d2b877511372" hidden="1">#REF!</definedName>
    <definedName name="TBa1e1321a_1688_49f6_9688_7b6030e61512" hidden="1">#REF!</definedName>
    <definedName name="TBa1e3ef6e_2a0b_4bb0_9acc_ca49c55099a2" hidden="1">#REF!</definedName>
    <definedName name="TBa200794d_3f07_423d_9fa3_1bc568f00ea3" hidden="1">#REF!</definedName>
    <definedName name="TBa2031540_56ed_44e1_b7f9_228435a96452" hidden="1">#REF!</definedName>
    <definedName name="TBa205e1cc_02a2_4d56_889f_c588dbd02802" hidden="1">#REF!</definedName>
    <definedName name="TBa20ea4cc_923e_4956_a885_d61d86e5b45d" hidden="1">#REF!</definedName>
    <definedName name="TBa21bdf44_02a5_40e4_92cb_be4fa2654deb" hidden="1">#REF!</definedName>
    <definedName name="TBa22ccf4b_5aa9_43e2_9234_6c53e4e5d501" hidden="1">#REF!</definedName>
    <definedName name="TBa2324651_3374_4f94_9e39_26ea1f62b3be" hidden="1">#REF!</definedName>
    <definedName name="TBa250beef_f1e3_4831_9dc5_775b1058a136" hidden="1">#REF!</definedName>
    <definedName name="TBa25d27c6_c54d_4d87_a4b1_9cb1e59e9c1c" hidden="1">#REF!</definedName>
    <definedName name="TBa26338eb_f602_4bbc_ac50_e7c53b23801b" hidden="1">#REF!</definedName>
    <definedName name="TBa2670f84_b9ac_4110_a245_8e4be2f0e8d8" hidden="1">#REF!</definedName>
    <definedName name="TBa273eb38_9560_48d4_85d5_0ce9b43b0756" hidden="1">#REF!</definedName>
    <definedName name="TBa2771d08_f548_45b1_8d1a_6cadf5c2cc83" hidden="1">#REF!</definedName>
    <definedName name="TBa27bf2f1_05dd_4ae2_a6bc_0acd32639dea" hidden="1">#REF!</definedName>
    <definedName name="TBa293f037_985e_4d3b_a3cd_5b37cf718543" hidden="1">#REF!</definedName>
    <definedName name="TBa29b10d0_00b9_4567_a151_e6709553254b" hidden="1">#REF!</definedName>
    <definedName name="TBa2a78268_693a_4175_a0bc_92cb6ab0d7fe" hidden="1">#REF!</definedName>
    <definedName name="TBa2a98c22_5f7c_435c_a12d_a6ec1bd39894" hidden="1">#REF!</definedName>
    <definedName name="TBa2c3054c_c93b_4f31_b902_dd34b330fab5" hidden="1">#REF!</definedName>
    <definedName name="TBa2db9b9c_8ac3_47a0_9e21_d0e7878f607a" hidden="1">#REF!</definedName>
    <definedName name="TBa2dfd8ea_0fb2_4e8f_82bf_d93a03b7551c" hidden="1">#REF!</definedName>
    <definedName name="TBa2e299af_e553_414f_91a8_5611f1fa4a3f" hidden="1">#REF!</definedName>
    <definedName name="TBa2e61890_d16f_4649_906b_78225b1d84ca" hidden="1">#REF!</definedName>
    <definedName name="TBa2e9c17e_964a_4294_8008_ad9fda79c37b" hidden="1">#REF!</definedName>
    <definedName name="TBa2f7a6a8_7ed1_4515_855e_d5df69a6e44b" hidden="1">#REF!</definedName>
    <definedName name="TBa306bbd9_575d_4cd6_8660_cf83f461bdff" hidden="1">#REF!</definedName>
    <definedName name="TBa30b8fa5_5d4b_4d3f_90a3_1c9f2e5f1494" hidden="1">#REF!</definedName>
    <definedName name="TBa31b133d_458b_4d0d_b67b_5177a9669870" hidden="1">#REF!</definedName>
    <definedName name="TBa32411b6_585c_44af_93c2_ea5b868868df" hidden="1">#REF!</definedName>
    <definedName name="TBa3335754_2a79_44d5_862e_e4b951a1c44b" hidden="1">#REF!</definedName>
    <definedName name="TBa33e82dd_9670_4a34_924e_15119914fba8" hidden="1">#REF!</definedName>
    <definedName name="TBa33f1781_c798_414e_b63c_5edad75def0f" hidden="1">#REF!</definedName>
    <definedName name="TBa3423e81_2920_4240_b1bc_22b16902aa00" hidden="1">#REF!</definedName>
    <definedName name="TBa345d2ca_9d89_49af_92c7_7781113e0ec5" hidden="1">#REF!</definedName>
    <definedName name="TBa35ca992_cd8b_4000_a21c_9f0766dbc1f9" hidden="1">#REF!</definedName>
    <definedName name="TBa36d0a1f_d8bb_45ca_be7e_d12e5b50eaa5" hidden="1">#REF!</definedName>
    <definedName name="TBa3857416_b7c1_4119_9826_c35bd6ec9d10" hidden="1">#REF!</definedName>
    <definedName name="TBa392a6a1_5a11_49cd_91b1_fd7795bd4a7a" hidden="1">#REF!</definedName>
    <definedName name="TBa3b2ec42_388a_40e3_826e_5ed55506d764" hidden="1">#REF!</definedName>
    <definedName name="TBa3b747a8_d572_4632_ae34_383218b74e60" hidden="1">#REF!</definedName>
    <definedName name="TBa3b9b542_1dd7_4b17_b8d2_43b3b842e9cf" hidden="1">#REF!</definedName>
    <definedName name="TBa3babe8a_5274_48bf_a966_60426ddff014" hidden="1">#REF!</definedName>
    <definedName name="TBa3c3b3b2_f5ad_429a_9593_1a98c21fa2ef" hidden="1">#REF!</definedName>
    <definedName name="TBa3d07d4e_593f_424b_a88e_0240f889712b" hidden="1">#REF!</definedName>
    <definedName name="TBa3d11228_4267_4d2e_85c3_ac9e3a3faa70" hidden="1">#REF!</definedName>
    <definedName name="TBa3d229fe_5e14_4ff7_a65f_a4b71a099038" hidden="1">#REF!</definedName>
    <definedName name="TBa3ea26cf_1bdf_436e_a76d_4da526f219a2" hidden="1">#REF!</definedName>
    <definedName name="TBa3ec415d_4cce_4ac3_98d5_358e18c8cb34" hidden="1">#REF!</definedName>
    <definedName name="TBa3ef8763_498b_452d_9293_c24d0552e57d" hidden="1">#REF!</definedName>
    <definedName name="TBa3f41fa9_8038_4920_8029_4ca1bddfe16f" hidden="1">#REF!</definedName>
    <definedName name="TBa3fd223f_d04f_4def_9e90_329cff2e5092" hidden="1">#REF!</definedName>
    <definedName name="TBa3fff2b5_9fcf_4ad3_9d27_75ad871688c4" hidden="1">#REF!</definedName>
    <definedName name="TBa40986b0_7e84_401b_9ab2_9aebf455f7e1" hidden="1">#REF!</definedName>
    <definedName name="TBa4141722_8701_4f57_9f9a_e86e56b4e5a4" hidden="1">#REF!</definedName>
    <definedName name="TBa420865e_cbe9_4060_ab2b_794603ef289b" hidden="1">#REF!</definedName>
    <definedName name="TBa4292b3f_6ebc_4aba_9cb5_32d71c6dad30" hidden="1">#REF!</definedName>
    <definedName name="TBa42eb11c_9d82_4867_90ca_db782c9d4b29" hidden="1">#REF!</definedName>
    <definedName name="TBa4356499_0968_4df6_a1d9_56f39f9c3a25" hidden="1">#REF!</definedName>
    <definedName name="TBa437a400_bb99_4dfd_a62a_3a4d91db366d" hidden="1">#REF!</definedName>
    <definedName name="TBa43fdc04_0536_45b1_a9c5_42c25e266929" hidden="1">#REF!</definedName>
    <definedName name="TBa444cbb1_d56e_48e1_8f01_db48e8a1d231" hidden="1">#REF!</definedName>
    <definedName name="TBa45ae29d_26bb_430b_9283_8780c91bfc93" hidden="1">#REF!</definedName>
    <definedName name="TBa46e8c5d_01cb_4c3b_96f1_2eff3a532748" hidden="1">#REF!</definedName>
    <definedName name="TBa4784e62_d5fa_41ff_b38b_e4a95e456be0" hidden="1">#REF!</definedName>
    <definedName name="TBa4841dcf_5f13_4ccb_9013_beb1288d6aa4" hidden="1">#REF!</definedName>
    <definedName name="TBa485bb3f_b03c_4602_ac6f_819ce0c62e7b" hidden="1">#REF!</definedName>
    <definedName name="TBa4868085_2afb_45f8_a5fb_8cae95aa52cc" hidden="1">#REF!</definedName>
    <definedName name="TBa48d4086_6e10_4e39_a082_8f024ac75e6f" hidden="1">#REF!</definedName>
    <definedName name="TBa48fb881_d300_4344_9916_fd2400aecae8" hidden="1">#REF!</definedName>
    <definedName name="TBa49f3bea_0d54_43ef_85aa_e848a40a870e" hidden="1">#REF!</definedName>
    <definedName name="TBa4a3f365_d62f_4aee_8795_1adeb2c44c43" hidden="1">#REF!</definedName>
    <definedName name="TBa4c0f0a3_3eee_4cb7_a866_a77578f0ded7" hidden="1">#REF!</definedName>
    <definedName name="TBa4c57651_8480_4dfc_82f3_bf30f3b959ff" hidden="1">#REF!</definedName>
    <definedName name="TBa4cda44f_4b2d_4b06_bbac_19bcc52e5d5a" hidden="1">#REF!</definedName>
    <definedName name="TBa4d1f147_b025_42cf_b6e3_99ec4560914b" hidden="1">#REF!</definedName>
    <definedName name="TBa4dd946d_cd45_493b_a322_629658420ec5" hidden="1">#REF!</definedName>
    <definedName name="TBa4ef1764_adbf_4580_b355_cc139509f536" hidden="1">#REF!</definedName>
    <definedName name="TBa4f44a22_1674_4765_bd82_67eaa8f54d07" hidden="1">#REF!</definedName>
    <definedName name="TBa4f82c2b_fb0e_495f_9790_f70816c27a18" hidden="1">#REF!</definedName>
    <definedName name="TBa4fc728a_5ea6_445e_a01d_60e929223db6" hidden="1">#REF!</definedName>
    <definedName name="TBa501349d_27b6_4724_80a8_3d721a83f8cf" hidden="1">#REF!</definedName>
    <definedName name="TBa502c5a5_32f4_412f_a4d2_61be5345a7b6" hidden="1">#REF!</definedName>
    <definedName name="TBa502d8bc_bc52_41a6_8618_8641ec40902d" hidden="1">#REF!</definedName>
    <definedName name="TBa5168b88_e2b1_450a_9dfa_08e35d4d6a7e" hidden="1">#REF!</definedName>
    <definedName name="TBa524dd2d_6d7c_4759_b903_d9897c4300a6" hidden="1">#REF!</definedName>
    <definedName name="TBa52f79c2_651c_4953_8f27_86a80814fe26" hidden="1">#REF!</definedName>
    <definedName name="TBa545bda9_4bb3_4b15_870c_cee67e5a5a68" hidden="1">#REF!</definedName>
    <definedName name="TBa54a4150_9b75_4755_9af8_905e0489d52c" hidden="1">#REF!</definedName>
    <definedName name="TBa56751c3_7102_4c9e_80bd_f5a62b975540" hidden="1">#REF!</definedName>
    <definedName name="TBa57161fd_c0de_4844_82b4_847a229650e0" hidden="1">#REF!</definedName>
    <definedName name="TBa576a8c6_198e_4802_a4fe_3601713bf6ce" hidden="1">#REF!</definedName>
    <definedName name="TBa57c0e87_79a4_4011_9ba1_7139480bbf14" hidden="1">#REF!</definedName>
    <definedName name="TBa594d626_308b_47aa_a859_544afee6ffcb" hidden="1">#REF!</definedName>
    <definedName name="TBa5a5f8fa_5102_4142_bda1_9b28529fb654" hidden="1">#REF!</definedName>
    <definedName name="TBa5b223f8_d072_4193_b490_927ea22ea154" hidden="1">#REF!</definedName>
    <definedName name="TBa5b341e8_eed0_4fff_9e19_dccc176c78e7" hidden="1">#REF!</definedName>
    <definedName name="TBa5b4d5ea_fef9_4796_8b05_9aef88c55136" hidden="1">#REF!</definedName>
    <definedName name="TBa5bc2be1_0b47_42a3_9673_7df352a4fe97" hidden="1">#REF!</definedName>
    <definedName name="TBa5e2b39c_331b_4414_bf62_1b0ce5e7709e" hidden="1">#REF!</definedName>
    <definedName name="TBa5e42d5c_e02a_4f81_be83_5cc5bd60988c" hidden="1">#REF!</definedName>
    <definedName name="TBa5e9603a_9203_420b_bc07_447e868ad6c7" hidden="1">#REF!</definedName>
    <definedName name="TBa5fba844_7be7_45f9_8839_a09d728704bf" hidden="1">#REF!</definedName>
    <definedName name="TBa5fce117_0470_46ae_ab40_cf444ab422b2" hidden="1">#REF!</definedName>
    <definedName name="TBa60d6db2_b894_464f_af90_a9ac349a62d3" hidden="1">#REF!</definedName>
    <definedName name="TBa60eccce_363e_49b0_8852_78f647148bad" hidden="1">#REF!</definedName>
    <definedName name="TBa610b12f_4126_4358_a25a_991a268f73af" hidden="1">#REF!</definedName>
    <definedName name="TBa611283f_f298_421a_a0c9_e0eab2879cdc" hidden="1">#REF!</definedName>
    <definedName name="TBa6116755_d5d5_4ec7_8bcd_52a707078561" hidden="1">#REF!</definedName>
    <definedName name="TBa614a942_ab0e_4338_bea8_5cea7f00f7fe" hidden="1">#REF!</definedName>
    <definedName name="TBa617f9a3_bacd_4dd8_b475_589b7e5a1aa0" hidden="1">#REF!</definedName>
    <definedName name="TBa619ed4a_7bed_4801_be7e_3a67c4c445ed" hidden="1">#REF!</definedName>
    <definedName name="TBa620fb59_ecdb_416b_9d7d_9ec8885e0306" hidden="1">#REF!</definedName>
    <definedName name="TBa626ad38_ef1e_43c1_b083_dcbcbaf1636f" hidden="1">#REF!</definedName>
    <definedName name="TBa642fed8_de68_4359_950d_969dfe8a365d" hidden="1">#REF!</definedName>
    <definedName name="TBa648a748_9c8a_4f42_b46e_60a2a4579016" hidden="1">#REF!</definedName>
    <definedName name="TBa652ac92_d4bd_427c_8718_da0ad3f7ad2c" hidden="1">#REF!</definedName>
    <definedName name="TBa65b1622_5f01_462b_a2e3_2f9b5ede8d11" hidden="1">#REF!</definedName>
    <definedName name="TBa6661049_a3e7_4fd2_81cf_021e5e069be4" hidden="1">#REF!</definedName>
    <definedName name="TBa667361d_2136_4388_ab0a_9981d6ef77ff" hidden="1">#REF!</definedName>
    <definedName name="TBa668eb88_11eb_49da_abf6_97dd4545bd80" hidden="1">#REF!</definedName>
    <definedName name="TBa6714d12_c1c5_411a_b644_0ff518e1702c" hidden="1">#REF!</definedName>
    <definedName name="TBa672f88c_617d_4779_8d5a_7a259098aa7f" hidden="1">#REF!</definedName>
    <definedName name="TBa67bab3c_6361_439b_a446_eda9cc0540ad" hidden="1">#REF!</definedName>
    <definedName name="TBa68c6eb0_2ae0_408a_b05d_3f0d78d93039" hidden="1">#REF!</definedName>
    <definedName name="TBa693d1dd_104c_47d7_b6b0_9b64b4e1cb53" hidden="1">#REF!</definedName>
    <definedName name="TBa69ae76b_f8a5_46ba_8e19_939604b3bb5e" hidden="1">#REF!</definedName>
    <definedName name="TBa6a4289f_0dcd_47f1_81e8_eb79f23ad52f" hidden="1">#REF!</definedName>
    <definedName name="TBa6a58b24_6c91_4069_9caa_e348dd8b18e0" hidden="1">#REF!</definedName>
    <definedName name="TBa6a88ff2_af4e_4534_b06f_2a3b9260f0b5" hidden="1">#REF!</definedName>
    <definedName name="TBa6b46bc1_b996_422c_9d89_c3afd6f6a0fa" hidden="1">#REF!</definedName>
    <definedName name="TBa6bc35bf_599b_435c_a4ae_c20dade23e49" hidden="1">#REF!</definedName>
    <definedName name="TBa6bf94da_64a4_4d43_8fc3_724b46c36503" hidden="1">#REF!</definedName>
    <definedName name="TBa6bfafda_8d02_498c_8bad_6820739b8349" hidden="1">#REF!</definedName>
    <definedName name="TBa6cf8275_7627_47ee_a1a2_f4ff455ebaf6" hidden="1">#REF!</definedName>
    <definedName name="TBa6d121c6_180e_4fd7_a40c_3daa56aac232" hidden="1">#REF!</definedName>
    <definedName name="TBa6d2339a_97e3_4b98_9976_735b4825b853" hidden="1">#REF!</definedName>
    <definedName name="TBa6e5bf89_6fe9_41db_ac66_1a0a1b34be70" hidden="1">#REF!</definedName>
    <definedName name="TBa6e6505e_7047_457c_8645_353d3d364b30" hidden="1">#REF!</definedName>
    <definedName name="TBa6e8c111_f4bc_4c7f_b23f_c70778115f82" hidden="1">#REF!</definedName>
    <definedName name="TBa7017cd9_b012_47a7_9427_e7a21c9243f1" hidden="1">#REF!</definedName>
    <definedName name="TBa70d6f4b_437d_4a17_ac27_ba1acddf3a8e" hidden="1">#REF!</definedName>
    <definedName name="TBa7141bee_6257_44f8_87d9_422b46ee88cd" hidden="1">#REF!</definedName>
    <definedName name="TBa71ebd5c_d99c_401d_8eb7_aebf6382b865" hidden="1">#REF!</definedName>
    <definedName name="TBa727824f_18d2_46b3_a8e0_bb1a6536f09c" hidden="1">#REF!</definedName>
    <definedName name="TBa72adbfa_41f4_45e9_84c9_dec394c6e9e7" hidden="1">#REF!</definedName>
    <definedName name="TBa72c9c72_ed4f_4e57_bcae_9c9a77ec5078" hidden="1">#REF!</definedName>
    <definedName name="TBa74772d8_5a25_43e4_bde7_8c88eb4a1679" hidden="1">#REF!</definedName>
    <definedName name="TBa74c137a_4823_4666_a350_91d836feb982" hidden="1">#REF!</definedName>
    <definedName name="TBa74d4b1e_0df8_4718_83d9_fa258fe47111" hidden="1">#REF!</definedName>
    <definedName name="TBa752fc16_33cb_4086_ae72_22794bcd480a" hidden="1">#REF!</definedName>
    <definedName name="TBa757cb71_717a_4221_a24a_6d179e03149f" hidden="1">#REF!</definedName>
    <definedName name="TBa75adb48_3219_49fe_9419_60f20a226b0e" hidden="1">#REF!</definedName>
    <definedName name="TBa76ce75a_41fc_4af0_85f6_66a9fbe56af6" hidden="1">#REF!</definedName>
    <definedName name="TBa7798a32_5bbb_4b2e_b613_8f5d1a1efb94" hidden="1">#REF!</definedName>
    <definedName name="TBa78cd23b_771d_41da_82f9_3854bdc42e78" hidden="1">#REF!</definedName>
    <definedName name="TBa791b3a1_0a8b_470e_a9c2_25fa497c796b" hidden="1">#REF!</definedName>
    <definedName name="TBa79c0503_01e4_4625_9096_38adde202b45" hidden="1">#REF!</definedName>
    <definedName name="TBa79eca0c_36f3_45d0_a2f9_f7d2cdcbacd4" hidden="1">#REF!</definedName>
    <definedName name="TBa7ade666_7289_4252_882e_4f93dc8797eb" hidden="1">#REF!</definedName>
    <definedName name="TBa7b67a19_5acd_4c76_8537_f477fec8c570" hidden="1">#REF!</definedName>
    <definedName name="TBa7bd8f52_68d0_41e9_8dc8_179df0576adc" hidden="1">#REF!</definedName>
    <definedName name="TBa7ce1a90_9bfc_4e47_875c_0968fc6789d4" hidden="1">#REF!</definedName>
    <definedName name="TBa7d692a0_b29f_4d7f_9168_2fc65382f28d" hidden="1">#REF!</definedName>
    <definedName name="TBa7e5e168_da68_4a9b_869a_08dbf996c473" hidden="1">#REF!</definedName>
    <definedName name="TBa7ec1a10_9ecd_4772_b878_cd0bc03d987b" hidden="1">#REF!</definedName>
    <definedName name="TBa7f7fd9f_8bbe_4934_810f_03d0d1a65563" hidden="1">#REF!</definedName>
    <definedName name="TBa7fc108a_da0d_4e82_b1b4_d98b093a199a" hidden="1">#REF!</definedName>
    <definedName name="TBa80bc7d4_bd24_45b6_a9b6_911cfbee4e6e" hidden="1">#REF!</definedName>
    <definedName name="TBa81b7a6c_f106_4aeb_9ad1_6435ac1129e0" hidden="1">#REF!</definedName>
    <definedName name="TBa81ff23e_3929_43dc_8dea_0db4ff6399a5" hidden="1">#REF!</definedName>
    <definedName name="TBa829cf5c_72e5_43f6_91a2_518302eb16e4" hidden="1">#REF!</definedName>
    <definedName name="TBa83b9fb7_8570_44d0_b43e_51d25b238f55" hidden="1">#REF!</definedName>
    <definedName name="TBa840116a_0b30_417e_901e_7e1fa424f024" hidden="1">#REF!</definedName>
    <definedName name="TBa85a6cf4_c743_4ddb_85e4_d7f7b39db6b6" hidden="1">#REF!</definedName>
    <definedName name="TBa85c5c42_9c05_4e70_ba86_8887f00aeba4" hidden="1">#REF!</definedName>
    <definedName name="TBa85fb8d0_4d75_4c18_8da5_6feaf8850fb8" hidden="1">#REF!</definedName>
    <definedName name="TBa86f7985_c976_4076_839a_a120f383c7a3" hidden="1">#REF!</definedName>
    <definedName name="TBa8738823_49d8_4b8d_98b1_baf79f24ee71" hidden="1">#REF!</definedName>
    <definedName name="TBa87733b0_deba_4ad9_b303_0c614e899203" hidden="1">#REF!</definedName>
    <definedName name="TBa877bfaf_e37f_4a6f_9653_861d3668825a" hidden="1">#REF!</definedName>
    <definedName name="TBa880b40a_326f_47c9_ab94_b742bf7b0069" hidden="1">#REF!</definedName>
    <definedName name="TBa8954308_119d_410c_a331_73196744e86b" hidden="1">#REF!</definedName>
    <definedName name="TBa89ca22e_9de8_44d1_a56a_3aa17d976e81" hidden="1">#REF!</definedName>
    <definedName name="TBa8d163e5_10d8_466e_8a48_1e10450523ad" hidden="1">#REF!</definedName>
    <definedName name="TBa8d97f7e_6922_42b4_baf1_061e1fa9d3c1" hidden="1">#REF!</definedName>
    <definedName name="TBa8def021_6455_4c8c_9989_87af3879a77a" hidden="1">#REF!</definedName>
    <definedName name="TBa8df1525_60ec_4b19_a912_f3686704a6e0" hidden="1">#REF!</definedName>
    <definedName name="TBa8e0073d_bf79_42c6_82af_58d4f1859ee8" hidden="1">#REF!</definedName>
    <definedName name="TBa8ed8488_4d55_4fbe_91d0_9fbc1e80fdda" hidden="1">#REF!</definedName>
    <definedName name="TBa8f3eb7b_5667_43f0_bfeb_0a4db325c261" hidden="1">#REF!</definedName>
    <definedName name="TBa8f4c3aa_a2c4_4a83_a36b_134bfcaae168" hidden="1">#REF!</definedName>
    <definedName name="TBa8f8c5c3_90b6_4c4b_83fa_99f94549da9c" hidden="1">#REF!</definedName>
    <definedName name="TBa8fc0fe8_ad60_40a4_bdc3_6d4494e1fb2e" hidden="1">#REF!</definedName>
    <definedName name="TBa900289c_de78_4873_b00b_14726b91abf2" hidden="1">#REF!</definedName>
    <definedName name="TBa90548d6_2091_4e0a_acec_fabb3a0e49fa" hidden="1">#REF!</definedName>
    <definedName name="TBa90af563_345b_44c5_a206_58aceea32553" hidden="1">#REF!</definedName>
    <definedName name="TBa91d6c85_2863_41da_92b3_b2d7cf336eb6" hidden="1">#REF!</definedName>
    <definedName name="TBa91f54b5_65ee_4a1a_9f3f_6d2c5d124dbe" hidden="1">#REF!</definedName>
    <definedName name="TBa91f7456_d341_470e_b301_113d10bdb111" hidden="1">#REF!</definedName>
    <definedName name="TBa92433c7_9eeb_46ff_a0a3_a3bad16ba653" hidden="1">#REF!</definedName>
    <definedName name="TBa9288be1_5a75_48a0_bc0c_b957a6349b29" hidden="1">#REF!</definedName>
    <definedName name="TBa940b229_e20b_440e_97e6_6c76d2c0bb40" hidden="1">#REF!</definedName>
    <definedName name="TBa9627aff_7d6f_4a88_9e20_91dea92ac1ba" hidden="1">#REF!</definedName>
    <definedName name="TBa96fde73_5671_4dd2_bb4c_0d71b2599f2b" hidden="1">#REF!</definedName>
    <definedName name="TBa977ad56_6a9b_499d_b098_359752eb384e" hidden="1">#REF!</definedName>
    <definedName name="TBa988d7b6_dd93_4ec9_8f90_70ca9e47cbba" hidden="1">#REF!</definedName>
    <definedName name="TBa993982e_6468_42f1_827b_7e8b8a51de74" hidden="1">#REF!</definedName>
    <definedName name="TBa9a3b775_65bd_4cfd_8b32_07db7c480a0a" hidden="1">#REF!</definedName>
    <definedName name="TBa9b980e7_5d00_4798_89b1_f46d7150d198" hidden="1">#REF!</definedName>
    <definedName name="TBa9cbda2f_a9e7_408c_bb86_ad66a1c5d396" hidden="1">#REF!</definedName>
    <definedName name="TBa9d12ec8_439b_49a8_8839_f1b17c73b60f" hidden="1">#REF!</definedName>
    <definedName name="TBa9d44aa6_fb97_437b_9ef3_96daf8ed6f8a" hidden="1">#REF!</definedName>
    <definedName name="TBa9d68350_c846_4db3_b55d_62d0de3510c3" hidden="1">#REF!</definedName>
    <definedName name="TBa9e93c33_4f7a_4880_bd64_e489c00bc8de" hidden="1">#REF!</definedName>
    <definedName name="TBa9ee0589_7147_49ef_b326_e5db28b6d679" hidden="1">#REF!</definedName>
    <definedName name="TBa9f2086a_0026_46d4_9670_d4f49ed023e4" hidden="1">#REF!</definedName>
    <definedName name="TBaa0c6945_7c38_414e_94b5_2c24cbcc66b6" hidden="1">#REF!</definedName>
    <definedName name="TBaa0fba1c_1ef9_4a38_a2ef_ae26cb0484e7" hidden="1">#REF!</definedName>
    <definedName name="TBaa1a1b70_ffdf_43c7_ae00_7f44c5885bc7" hidden="1">#REF!</definedName>
    <definedName name="TBaa29d1d1_9ff3_4f21_b051_3ccd7e67c13b" hidden="1">#REF!</definedName>
    <definedName name="TBaa30364f_6648_495a_91ba_50dd642054d7" hidden="1">#REF!</definedName>
    <definedName name="TBaa3963cb_8733_46c3_805a_9d5ea9de5e93" hidden="1">#REF!</definedName>
    <definedName name="TBaa55d782_11a3_4772_b279_d61a25c19cad" hidden="1">#REF!</definedName>
    <definedName name="TBaa5829ae_5901_4b14_9079_a2d5dce913ce" hidden="1">#REF!</definedName>
    <definedName name="TBaa59a6c5_83fd_447e_b47c_50924b650516" hidden="1">#REF!</definedName>
    <definedName name="TBaa5b4656_695b_484a_9133_72e318985df4" hidden="1">#REF!</definedName>
    <definedName name="TBaa684e99_579b_4e83_8799_362703f59826" hidden="1">#REF!</definedName>
    <definedName name="TBaa6dd942_86fe_4100_a887_6cf53fd965a5" hidden="1">#REF!</definedName>
    <definedName name="TBaa7f5739_b3e1_4dc7_9b25_8f84de0ea82a" hidden="1">#REF!</definedName>
    <definedName name="TBaa84cda9_e294_4d6e_b904_8563272147c0" hidden="1">#REF!</definedName>
    <definedName name="TBaa8e3a42_62ed_478d_9794_4fa6c27645ba" hidden="1">#REF!</definedName>
    <definedName name="TBaa90c085_4dff_465a_8673_9a0b3faa4b9c" hidden="1">#REF!</definedName>
    <definedName name="TBaa927d70_e600_4550_b19a_07c015fa7620" hidden="1">#REF!</definedName>
    <definedName name="TBaab3fea6_7410_4618_bf12_86c607a6bdec" hidden="1">#REF!</definedName>
    <definedName name="TBaacd3e7b_abd9_426a_8d8c_4fb37d1e85df" hidden="1">#REF!</definedName>
    <definedName name="TBaad50e74_f977_40b8_979c_c2b4181e0d80" hidden="1">#REF!</definedName>
    <definedName name="TBaade451d_b1df_42ae_961e_287588438ad6" hidden="1">#REF!</definedName>
    <definedName name="TBaadebe3c_1652_4c24_b5f8_af1004be1556" hidden="1">#REF!</definedName>
    <definedName name="TBaae3a813_fc9b_42dd_95f5_e120ab2dbba4" hidden="1">#REF!</definedName>
    <definedName name="TBaaedc272_73d4_4ef7_9742_6c7d6d6846b2" hidden="1">#REF!</definedName>
    <definedName name="TBab0c5623_307a_4bef_8784_0709f3042646" hidden="1">#REF!</definedName>
    <definedName name="TBab0f8b88_ae83_4a0e_a745_efce59653fd7" hidden="1">#REF!</definedName>
    <definedName name="TBab37a46d_dd07_478a_9dea_f5eb658945fc" hidden="1">#REF!</definedName>
    <definedName name="TBab38a9c6_952e_4b52_b550_483c1d942b6c" hidden="1">#REF!</definedName>
    <definedName name="TBab458cbf_cfb5_4861_81ca_31c2bd5f2f6f" hidden="1">#REF!</definedName>
    <definedName name="TBab5a38c6_636a_4e0a_901b_a687dda57816" hidden="1">#REF!</definedName>
    <definedName name="TBab5a4cd2_53f1_406c_8189_ccdf32e8cba1" hidden="1">#REF!</definedName>
    <definedName name="TBab68e3d9_b4f0_4d90_a21f_18bffd4faa0e" hidden="1">#REF!</definedName>
    <definedName name="TBab7b0449_d733_4fe4_94a0_d8542040517b" hidden="1">#REF!</definedName>
    <definedName name="TBab9bc73a_0102_4e3a_947b_8c005d390bf9" hidden="1">#REF!</definedName>
    <definedName name="TBabaff1be_1e22_4deb_8cef_05723e792f7b" hidden="1">#REF!</definedName>
    <definedName name="TBabb1752a_178a_4110_95f1_6a22367fcd99" hidden="1">#REF!</definedName>
    <definedName name="TBabbe3ff6_27ee_4d41_ba6c_ea339c971cc1" hidden="1">#REF!</definedName>
    <definedName name="TBabc01387_38d8_4d54_8973_7584d4fd94d5" hidden="1">#REF!</definedName>
    <definedName name="TBabc8b511_3818_4eb9_9fc7_f2077a63e284" hidden="1">#REF!</definedName>
    <definedName name="TBabccf8e0_f087_4c52_bec1_574b7dd8c3ab" hidden="1">#REF!</definedName>
    <definedName name="TBabdf2534_b54e_4e92_bdd9_e91d9745e70a" hidden="1">#REF!</definedName>
    <definedName name="TBabe485cc_2e70_46d9_b244_adcd968add34" hidden="1">#REF!</definedName>
    <definedName name="TBabf30394_d81e_4c45_bf6b_aea89036d48a" hidden="1">#REF!</definedName>
    <definedName name="TBabf46666_c9a0_4d97_ae8e_f5c258c70746" hidden="1">#REF!</definedName>
    <definedName name="TBac076198_3ab4_439a_8140_cf3e047705db" hidden="1">#REF!</definedName>
    <definedName name="TBac0a65a6_b8c3_4c5b_a36b_022bbd13f477" hidden="1">#REF!</definedName>
    <definedName name="TBac0efa9e_bd15_43fa_87f0_aa2c86591bd9" hidden="1">#REF!</definedName>
    <definedName name="TBac202e80_d7a3_4a2f_bfad_293fb4275f83" hidden="1">#REF!</definedName>
    <definedName name="TBac22e752_703e_4215_9a6c_f53937cf06ce" hidden="1">#REF!</definedName>
    <definedName name="TBac23a710_eeea_436a_a100_54100ae39195" hidden="1">#REF!</definedName>
    <definedName name="TBac29e044_8c4c_4b59_9e28_9fd7eb4a4e3d" hidden="1">#REF!</definedName>
    <definedName name="TBac38d9e7_5c0c_4f4b_8cf7_acdea019a15a" hidden="1">#REF!</definedName>
    <definedName name="TBac41a347_91c7_46a3_b4f7_1792d94c0f87" hidden="1">#REF!</definedName>
    <definedName name="TBac51a73b_bf6d_43d5_bab7_eb538925dbb8" hidden="1">#REF!</definedName>
    <definedName name="TBac52733e_985d_4ba3_8df6_5eedd1f8cc88" hidden="1">#REF!</definedName>
    <definedName name="TBac5291c2_027d_4ed7_8182_7ff1fab5a82d" hidden="1">#REF!</definedName>
    <definedName name="TBac5ea23f_f4e7_4add_8dd2_a1e766d619bf" hidden="1">#REF!</definedName>
    <definedName name="TBac707762_af91_4cc5_a17d_b020b771efe7" hidden="1">#REF!</definedName>
    <definedName name="TBac75d54d_22e1_4f29_9275_9c66930eb89b" hidden="1">#REF!</definedName>
    <definedName name="TBac830e30_9e0e_4169_814d_05a56a1b58a6" hidden="1">#REF!</definedName>
    <definedName name="TBac84e89a_52f5_42af_b2be_e2a75910058e" hidden="1">#REF!</definedName>
    <definedName name="TBac896a0b_0075_445b_bfaa_c585f50aa4af" hidden="1">#REF!</definedName>
    <definedName name="TBac8c9d71_76f8_4650_82f9_0f0df9feada5" hidden="1">#REF!</definedName>
    <definedName name="TBac929985_2a96_43b3_ad04_8564313375c0" hidden="1">#REF!</definedName>
    <definedName name="TBac9f9849_a5ca_4cc5_bc67_afc116ccbeb1" hidden="1">#REF!</definedName>
    <definedName name="TBaca4f23d_e6dc_4e5a_b865_6ac4289377e1" hidden="1">#REF!</definedName>
    <definedName name="TBaca9184d_a6b9_4f83_9050_5606157fd7bf" hidden="1">#REF!</definedName>
    <definedName name="TBacaa5fec_c353_4919_9dd0_7a9cb02854ff" hidden="1">#REF!</definedName>
    <definedName name="TBacad1c64_30b4_41bd_ae6e_36b14e1a7f84" hidden="1">#REF!</definedName>
    <definedName name="TBacb384b8_33af_4434_893e_ae26f9190911" hidden="1">#REF!</definedName>
    <definedName name="TBacb998bf_beba_4368_ab05_a11d9f0eb82d" hidden="1">#REF!</definedName>
    <definedName name="TBacba36a8_1a95_4c7f_be1f_6635b08d4dce" hidden="1">#REF!</definedName>
    <definedName name="TBacbde2f1_255b_4ce7_87cf_2034f73e88d2" hidden="1">#REF!</definedName>
    <definedName name="TBaccae5fd_78c6_4117_876f_273d0ebc2149" hidden="1">#REF!</definedName>
    <definedName name="TBacd11d5a_2cd0_4b20_8528_5efe6940b422" hidden="1">#REF!</definedName>
    <definedName name="TBacd8638f_1058_49ec_b71a_ed1e0953d5d2" hidden="1">#REF!</definedName>
    <definedName name="TBace3ddb7_d5fb_4981_afa2_67ca45008592" hidden="1">#REF!</definedName>
    <definedName name="TBacecd47d_9ba1_4365_a990_9d5acfa6a167" hidden="1">#REF!</definedName>
    <definedName name="TBacf4528f_7152_4d87_bbd5_59ae70019406" hidden="1">#REF!</definedName>
    <definedName name="TBacf57e9e_1720_4bd1_9aec_55a12c21b6a6" hidden="1">#REF!</definedName>
    <definedName name="TBacfefb69_a28d_412e_aeb7_82f0161a3763" hidden="1">#REF!</definedName>
    <definedName name="TBad081317_a631_46c8_a040_35709666b819" hidden="1">#REF!</definedName>
    <definedName name="TBad0ad855_746d_4bd4_a7f4_a0f86aa20097" hidden="1">#REF!</definedName>
    <definedName name="TBad0e61ad_a6fb_492d_b641_ecb52c9b72f4" hidden="1">#REF!</definedName>
    <definedName name="TBad1366e9_186b_4563_aeec_3bff5d04d656" hidden="1">#REF!</definedName>
    <definedName name="TBad1e7b09_2b06_458f_8083_e7d1d3818bfd" hidden="1">#REF!</definedName>
    <definedName name="TBad1fe44b_71d4_473b_af09_39f06bba752f" hidden="1">#REF!</definedName>
    <definedName name="TBad28234d_f961_46a3_88f6_d1a9ff9df0da" hidden="1">#REF!</definedName>
    <definedName name="TBad321e3d_6778_4c4e_8730_67e508cad3f8" hidden="1">#REF!</definedName>
    <definedName name="TBad3abe94_4453_47b2_a609_e6a05c7a844e" hidden="1">#REF!</definedName>
    <definedName name="TBad414d63_2d98_433e_b0ca_5b79501b66d7" hidden="1">#REF!</definedName>
    <definedName name="TBad4881b8_620d_4a5f_9de5_c1509fd5158d" hidden="1">#REF!</definedName>
    <definedName name="TBad4fdd66_c766_4884_a37a_c5609b811a67" hidden="1">#REF!</definedName>
    <definedName name="TBad5aec7a_2082_4586_bcfe_8334f077118b" hidden="1">#REF!</definedName>
    <definedName name="TBad60cc1b_7067_4e64_8880_e9579f55dc97" hidden="1">#REF!</definedName>
    <definedName name="TBad736404_d779_4b12_bc00_f31bad4af0b0" hidden="1">#REF!</definedName>
    <definedName name="TBad74f669_5ddc_47e0_801a_9f8b84c1db94" hidden="1">#REF!</definedName>
    <definedName name="TBad79b6cb_b8dc_4c09_a13d_36df0baec8ac" hidden="1">#REF!</definedName>
    <definedName name="TBad86450f_d590_4c9a_ae3d_d6abd1101754" hidden="1">#REF!</definedName>
    <definedName name="TBad94d7b3_9e18_4596_8002_40b0eb24e628" hidden="1">#REF!</definedName>
    <definedName name="TBada45f95_a712_494f_b0bf_118cdba86a2b" hidden="1">#REF!</definedName>
    <definedName name="TBadb861c5_a1c5_4ac3_a0eb_41050020b733" hidden="1">#REF!</definedName>
    <definedName name="TBadcd3e81_7641_467f_a267_be04508c9256" hidden="1">#REF!</definedName>
    <definedName name="TBadd2c52f_e26a_468d_87c9_57e2f86dfb44" hidden="1">#REF!</definedName>
    <definedName name="TBadedc41c_a64c_447f_8d78_b19fb147c480" hidden="1">#REF!</definedName>
    <definedName name="TBadf5b42d_f27f_463e_9baf_dc660502ecb3" hidden="1">#REF!</definedName>
    <definedName name="TBadf76d1d_8662_4783_a30c_91e99931b7d5" hidden="1">#REF!</definedName>
    <definedName name="TBadf7ac4d_0942_48ad_82cc_f31471ed5b8e" hidden="1">#REF!</definedName>
    <definedName name="TBadfab91d_af9d_4086_8ba7_180cdf9a14d0" hidden="1">#REF!</definedName>
    <definedName name="TBadfdddd3_ce32_4d70_9435_bc0b25c2132e" hidden="1">#REF!</definedName>
    <definedName name="TBadff0981_9cf5_408d_8f5c_ae28c829dbd5" hidden="1">#REF!</definedName>
    <definedName name="TBae2db9eb_9677_4059_868f_031bcdd38f6f" hidden="1">#REF!</definedName>
    <definedName name="TBae2dd47f_2b15_428e_9313_9c7c4d4586e6" hidden="1">#REF!</definedName>
    <definedName name="TBae306515_fd4a_4ce1_889e_ceba97253635" hidden="1">#REF!</definedName>
    <definedName name="TBae321c3c_089c_4a23_9e65_8336211cb619" hidden="1">#REF!</definedName>
    <definedName name="TBae3247c6_5067_443b_b75b_e09e2634239b" hidden="1">#REF!</definedName>
    <definedName name="TBae3d3b48_284d_4a86_bc0b_961f733ab942" hidden="1">#REF!</definedName>
    <definedName name="TBae448c8e_8243_45b6_9ed6_25a4296925e5" hidden="1">#REF!</definedName>
    <definedName name="TBae47037e_76d7_42a1_89b1_77de75247cd2" hidden="1">#REF!</definedName>
    <definedName name="TBae4947a9_6a17_43cd_b6dc_3530aa028b7e" hidden="1">#REF!</definedName>
    <definedName name="TBae4d1ae2_c9fd_46ed_9400_217d9d65bceb" hidden="1">#REF!</definedName>
    <definedName name="TBae4d600b_f25a_4a23_afec_899b7b54641d" hidden="1">#REF!</definedName>
    <definedName name="TBae53792c_7de7_46a5_8dda_b28eeefa6e14" hidden="1">#REF!</definedName>
    <definedName name="TBae5f00fc_3f00_4609_9651_307e151b9767" hidden="1">#REF!</definedName>
    <definedName name="TBae6801d1_b0dc_4fa3_aeb5_b1f5cb53e49f" hidden="1">#REF!</definedName>
    <definedName name="TBae68f099_6db9_41e7_b64c_8d1f32989d49" hidden="1">#REF!</definedName>
    <definedName name="TBae6e3879_4094_4d42_95bb_4c5c31ccf395" hidden="1">#REF!</definedName>
    <definedName name="TBae6f62fc_4fe4_4558_b447_4db4df90edef" hidden="1">#REF!</definedName>
    <definedName name="TBae843677_e06a_435b_b3e9_54fdcb84c553" hidden="1">#REF!</definedName>
    <definedName name="TBae8a5197_4740_42c5_9eb9_87e18ecc1bab" hidden="1">#REF!</definedName>
    <definedName name="TBae926acc_1c3f_4b4a_9d2a_a0e398299b51" hidden="1">#REF!</definedName>
    <definedName name="TBae930bd5_ef66_4166_bfaf_a1a5ffe00f0b" hidden="1">#REF!</definedName>
    <definedName name="TBaea59e68_8eca_4ba1_8278_61026bac9e5c" hidden="1">#REF!</definedName>
    <definedName name="TBaea89e4b_dac0_42db_b26e_d5bb764e5327" hidden="1">#REF!</definedName>
    <definedName name="TBaea8efaf_3982_4205_8511_f365f8cfbfd1" hidden="1">#REF!</definedName>
    <definedName name="TBaeaac3e6_7bc3_4214_9ffa_f1c6b92e4156" hidden="1">#REF!</definedName>
    <definedName name="TBaeb9708a_9662_4ff7_8611_b65c495e50c8" hidden="1">#REF!</definedName>
    <definedName name="TBaebcab0a_9a3b_4eae_a886_c5c6443109e4" hidden="1">#REF!</definedName>
    <definedName name="TBaec43eb8_076f_4fb6_aad7_14246e9e062a" hidden="1">#REF!</definedName>
    <definedName name="TBaec4dd39_4e11_4e2f_83e6_e71878cc73eb" hidden="1">#REF!</definedName>
    <definedName name="TBaed0a4f8_d357_4248_b9e8_f34cec62494f" hidden="1">#REF!</definedName>
    <definedName name="TBaed28fec_76c7_41c8_9c93_f514f038da03" hidden="1">#REF!</definedName>
    <definedName name="TBaedb9130_d2d7_454d_8700_914a85c34034" hidden="1">#REF!</definedName>
    <definedName name="TBaef60357_643a_486d_a2de_e4c5460c9043" hidden="1">#REF!</definedName>
    <definedName name="TBaefb1454_6668_4f22_bae7_43308d014eb2" hidden="1">#REF!</definedName>
    <definedName name="TBaf0ecfdd_2702_45b7_ba42_ac5795588082" hidden="1">#REF!</definedName>
    <definedName name="TBaf0f3af9_c66d_4555_b748_3423fb027d37" hidden="1">#REF!</definedName>
    <definedName name="TBaf10bebe_86ea_4177_ba71_86e0ff89698e" hidden="1">#REF!</definedName>
    <definedName name="TBaf1c6ca8_7c05_4cb6_80d0_f093e05d6dc5" hidden="1">#REF!</definedName>
    <definedName name="TBaf40f9a2_4f16_4358_a650_2dfef4332d15" hidden="1">#REF!</definedName>
    <definedName name="TBaf42997e_3b35_404a_a7da_fef659a71260" hidden="1">#REF!</definedName>
    <definedName name="TBaf51fbde_0d79_40e3_ac27_045aee7f7c14" hidden="1">#REF!</definedName>
    <definedName name="TBaf550c03_f904_4cc0_afa2_2a3d181b2574" hidden="1">#REF!</definedName>
    <definedName name="TBaf5742d6_aa3c_4993_aa23_0da55e86aa26" hidden="1">#REF!</definedName>
    <definedName name="TBaf57be0a_39c7_4987_9f43_b4ad6cdb0b67" hidden="1">#REF!</definedName>
    <definedName name="TBaf58a481_f673_41b8_b248_bb485b4eeeeb" hidden="1">#REF!</definedName>
    <definedName name="TBaf6855a3_a2b6_4fc2_8095_f30938c7943b" hidden="1">#REF!</definedName>
    <definedName name="TBaf6963ef_e215_400f_86d2_09bb5aa6f04e" hidden="1">#REF!</definedName>
    <definedName name="TBaf7d7569_e68d_4e36_b509_0af437c27ded" hidden="1">#REF!</definedName>
    <definedName name="TBaf7f53f3_d740_4ee6_8f9b_9e14205d72e6" hidden="1">#REF!</definedName>
    <definedName name="TBaf8ba1da_5086_416c_a0e0_93439437cbe5" hidden="1">#REF!</definedName>
    <definedName name="TBaf966443_27db_4eac_981d_6bc4dd279903" hidden="1">#REF!</definedName>
    <definedName name="TBaf96d7d3_b294_40b0_a4b7_068a7cc3c439" hidden="1">#REF!</definedName>
    <definedName name="TBaf9fb86d_5a9c_4bf9_9379_163329a3b2bd" hidden="1">#REF!</definedName>
    <definedName name="TBaf9fc1a6_1ca3_4274_843e_17e8b38975d5" hidden="1">#REF!</definedName>
    <definedName name="TBafa4b1bd_57dc_4075_88aa_2aa4303f21ec" hidden="1">#REF!</definedName>
    <definedName name="TBafa636d1_978c_4dbf_b7a5_da1ad8082ade" hidden="1">#REF!</definedName>
    <definedName name="TBafaae615_7143_4cdc_9b55_85a67064aaa9" hidden="1">#REF!</definedName>
    <definedName name="TBafb8df19_a1fc_480e_8100_d5b8d64be44b" hidden="1">#REF!</definedName>
    <definedName name="TBafc2c831_1797_4331_a728_f622c253a784" hidden="1">#REF!</definedName>
    <definedName name="TBafd3469e_dc45_42e0_acfe_99bf3b808618" hidden="1">#REF!</definedName>
    <definedName name="TBafd36f89_07d2_4785_a698_0ba4e190faf9" hidden="1">#REF!</definedName>
    <definedName name="TBafde2c79_48d0_4adf_abc7_4409ae7d6604" hidden="1">#REF!</definedName>
    <definedName name="TBafdec70b_f9c0_4537_b6f2_2a78e05a210a" hidden="1">#REF!</definedName>
    <definedName name="TBafedb78c_6227_4518_9b47_baec6f3a3a55" hidden="1">#REF!</definedName>
    <definedName name="TBaff1cb84_f36f_4641_b88a_af691820e9e8" hidden="1">#REF!</definedName>
    <definedName name="TBaff68f1f_003d_4f3b_b044_d1d39d0509fc" hidden="1">#REF!</definedName>
    <definedName name="TBaffac161_e038_43ec_a3b8_6b0b06be73e5" hidden="1">#REF!</definedName>
    <definedName name="TBb0010518_78ce_4ea7_8db3_7391e6db6810" hidden="1">#REF!</definedName>
    <definedName name="TBb0147637_8847_4c1b_9f33_5b927353f7c8" hidden="1">#REF!</definedName>
    <definedName name="TBb017cc08_8dec_45bc_b802_28dddf704984" hidden="1">#REF!</definedName>
    <definedName name="TBb01bcaf0_0556_441b_ab6c_0c100d738ec6" hidden="1">#REF!</definedName>
    <definedName name="TBb0256c91_275e_4ce5_b1e7_c8100a7f7835" hidden="1">#REF!</definedName>
    <definedName name="TBb02c4791_e34f_465d_af0b_6da43117ff62" hidden="1">#REF!</definedName>
    <definedName name="TBb0318a56_9e82_47d9_9518_ef9dde12111d" hidden="1">#REF!</definedName>
    <definedName name="TBb0488a95_ab18_4bdf_8c1c_d69eb1c2d5a3" hidden="1">#REF!</definedName>
    <definedName name="TBb04a3af9_be6a_4090_804b_1956ada5c511" hidden="1">#REF!</definedName>
    <definedName name="TBb06629aa_e04f_4f12_b51f_e84a542d0ab6" hidden="1">#REF!</definedName>
    <definedName name="TBb06ce263_d3c0_47e4_a3fa_b844939abce5" hidden="1">#REF!</definedName>
    <definedName name="TBb06f1e4e_4592_4700_b939_ac6ac84bf21a" hidden="1">#REF!</definedName>
    <definedName name="TBb0722d65_d484_47bf_b59a_88c6ed89c2d1" hidden="1">#REF!</definedName>
    <definedName name="TBb07461a0_4a6b_41b7_b978_0931dcc7b284" hidden="1">#REF!</definedName>
    <definedName name="TBb07c22a7_48f9_4ff3_8a97_106016e4c095" hidden="1">#REF!</definedName>
    <definedName name="TBb07c3a88_bcdb_41ed_90fc_08fdef9ab6e4" hidden="1">#REF!</definedName>
    <definedName name="TBb08804d3_b11a_48a0_a6b3_f7c2f5b67a4b" hidden="1">#REF!</definedName>
    <definedName name="TBb08fe4d7_92a1_4bf0_bac5_bf4ba986c048" hidden="1">#REF!</definedName>
    <definedName name="TBb091a2aa_426a_4845_91ef_e96a2b71bfce" hidden="1">#REF!</definedName>
    <definedName name="TBb098e012_89d7_4c1f_93e3_f3a5d13208a8" hidden="1">#REF!</definedName>
    <definedName name="TBb09a52ef_5a27_4d5d_9468_a928e4739fbb" hidden="1">#REF!</definedName>
    <definedName name="TBb09d5bb7_c082_4c8d_b21b_8a87ff96b572" hidden="1">#REF!</definedName>
    <definedName name="TBb09df645_5920_43de_83e9_7a9a62b3d146" hidden="1">#REF!</definedName>
    <definedName name="TBb0a6381c_a79d_4930_b187_c47e91e43536" hidden="1">#REF!</definedName>
    <definedName name="TBb0a6d4fd_85bd_4969_ab46_03e13b41b7d9" hidden="1">#REF!</definedName>
    <definedName name="TBb0a802fe_d382_44d1_a691_2c5f1206b7d2" hidden="1">#REF!</definedName>
    <definedName name="TBb0a830e9_8d02_427d_b585_1494956032e1" hidden="1">#REF!</definedName>
    <definedName name="TBb0c2a38c_8b9d_414d_8aff_42a093a5762c" hidden="1">#REF!</definedName>
    <definedName name="TBb0c70249_fcc2_4611_babc_ee5bfdee5f83" hidden="1">#REF!</definedName>
    <definedName name="TBb0d47d46_14dd_40dd_8f13_a6017c0875d1" hidden="1">#REF!</definedName>
    <definedName name="TBb0d90cbb_36ea_4f44_b227_fcaf3a3eb66f" hidden="1">#REF!</definedName>
    <definedName name="TBb0f2d153_cca6_4c19_ad0b_eef21ae4ee0d" hidden="1">#REF!</definedName>
    <definedName name="TBb0f7e735_d95b_4ed8_aff7_7cb334b176a7" hidden="1">#REF!</definedName>
    <definedName name="TBb0fdce77_0b50_44b5_8bd8_117fed44db80" hidden="1">#REF!</definedName>
    <definedName name="TBb102daa0_1945_48b1_8996_7a6a5b614fb8" hidden="1">#REF!</definedName>
    <definedName name="TBb12cd186_97b0_4645_972e_9c49785aea2d" hidden="1">#REF!</definedName>
    <definedName name="TBb12d86aa_b342_48d9_83d7_3395622a4c59" hidden="1">#REF!</definedName>
    <definedName name="TBb137cad2_0b48_49a7_90b2_05eb7d3455e7" hidden="1">#REF!</definedName>
    <definedName name="TBb13a5c78_6a95_4ad1_8fdd_f6dd6f6b0a14" hidden="1">#REF!</definedName>
    <definedName name="TBb13f5686_d982_42a6_911f_de370281b807" hidden="1">#REF!</definedName>
    <definedName name="TBb149fc74_3508_4af7_b33c_bbf9a4311563" hidden="1">#REF!</definedName>
    <definedName name="TBb14c192e_f6e8_4f35_97df_12a3812778ec" hidden="1">#REF!</definedName>
    <definedName name="TBb14e04fa_ac11_4ee3_b0e8_99af0f0a31f5" hidden="1">#REF!</definedName>
    <definedName name="TBb14fab34_911f_4509_9dbb_8c426e15aaef" hidden="1">#REF!</definedName>
    <definedName name="TBb155c97f_733c_477e_995f_7c7dfb2d0b44" hidden="1">#REF!</definedName>
    <definedName name="TBb15e2566_48db_4a39_9241_8b8e84dd1554" hidden="1">#REF!</definedName>
    <definedName name="TBb160bfb5_8ed8_4c08_a6fa_8ec341a02213" hidden="1">#REF!</definedName>
    <definedName name="TBb1635a4d_5971_401d_b341_994ccf435281" hidden="1">#REF!</definedName>
    <definedName name="TBb17cb8a0_6f01_4dd5_bf4b_9f9a4d643990" hidden="1">#REF!</definedName>
    <definedName name="TBb17d086c_3cb9_4906_aff4_747420124794" hidden="1">#REF!</definedName>
    <definedName name="TBb17d1ae4_78cd_4fb5_b7f4_d55ca61dd780" hidden="1">#REF!</definedName>
    <definedName name="TBb17e02f2_5f77_4b6a_9913_b9efc12467b9" hidden="1">#REF!</definedName>
    <definedName name="TBb1a88cc1_1016_4171_9592_3f860297b037" hidden="1">#REF!</definedName>
    <definedName name="TBb1a8acf7_b109_447d_834a_0ebfb77c3dba" hidden="1">#REF!</definedName>
    <definedName name="TBb1b925cc_f99b_4840_b6ee_7328855a86de" hidden="1">#REF!</definedName>
    <definedName name="TBb1c202d0_2bf9_4821_81cc_6e8b0188fb0d" hidden="1">#REF!</definedName>
    <definedName name="TBb1c73dee_56bc_491a_a811_f2f2e95f599d" hidden="1">#REF!</definedName>
    <definedName name="TBb1cb4675_2c02_41d6_aafb_84e247a022e8" hidden="1">#REF!</definedName>
    <definedName name="TBb1d7d3e3_4f78_4acd_aff9_8ece04b579ee" hidden="1">#REF!</definedName>
    <definedName name="TBb1d8d353_d7e5_47a8_8011_69f0e0d0acd0" hidden="1">#REF!</definedName>
    <definedName name="TBb1eff79a_b516_42df_94b4_16417fcee82e" hidden="1">#REF!</definedName>
    <definedName name="TBb1f914e7_cabc_4c95_9ab2_b4c759182dc8" hidden="1">#REF!</definedName>
    <definedName name="TBb1f9618f_7922_4fa3_8c89_941ce15d54d7" hidden="1">#REF!</definedName>
    <definedName name="TBb207d0f1_b584_409e_b5e1_76cfec8b321f" hidden="1">#REF!</definedName>
    <definedName name="TBb209a74b_627e_4afe_8d00_4ea9b5a1d1e4" hidden="1">#REF!</definedName>
    <definedName name="TBb20cf182_b55d_4dea_a603_4f1043daf3f0" hidden="1">#REF!</definedName>
    <definedName name="TBb2123c57_4200_485f_92cc_420b88271dc1" hidden="1">#REF!</definedName>
    <definedName name="TBb218011b_c800_44e3_b2b6_131b59326269" hidden="1">#REF!</definedName>
    <definedName name="TBb21ac8b4_0701_454f_ac81_7dfd9d9c4b71" hidden="1">#REF!</definedName>
    <definedName name="TBb21b4259_6783_43ba_bafe_bc5bdd3016dc" hidden="1">#REF!</definedName>
    <definedName name="TBb21bb3a8_3fb8_4825_83a7_741f7df19aa8" hidden="1">#REF!</definedName>
    <definedName name="TBb224f1ad_8f39_40e3_8ee9_fd0eb6902e69" hidden="1">#REF!</definedName>
    <definedName name="TBb22baa93_c6b1_465d_879e_59054f307534" hidden="1">#REF!</definedName>
    <definedName name="TBb23110db_ecd3_493e_bfc6_4fd856a0ffc7" hidden="1">#REF!</definedName>
    <definedName name="TBb234a34e_8dd0_4b76_851b_21b66ed82cca" hidden="1">#REF!</definedName>
    <definedName name="TBb25bfd7f_d2cd_4cea_927c_646f33abc323" hidden="1">#REF!</definedName>
    <definedName name="TBb264180a_a039_4e84_a0a0_ff963b9b6139" hidden="1">#REF!</definedName>
    <definedName name="TBb265cf53_ecb1_4e86_9877_d37a4ce8801b" hidden="1">#REF!</definedName>
    <definedName name="TBb26a6e18_0384_49ca_b476_75cfc9e772ac" hidden="1">#REF!</definedName>
    <definedName name="TBb26ec619_6c0c_41dd_bf3f_1c354876ea3e" hidden="1">#REF!</definedName>
    <definedName name="TBb26fe053_affb_43e7_ae64_88f377b89529" hidden="1">#REF!</definedName>
    <definedName name="TBb270136e_5309_49fa_86dd_5c4f00269fd1" hidden="1">#REF!</definedName>
    <definedName name="TBb2716602_adfd_4b69_98bc_c8c63e6dd455" hidden="1">#REF!</definedName>
    <definedName name="TBb2766394_3171_45fe_a2cc_70278447c21b" hidden="1">#REF!</definedName>
    <definedName name="TBb27f7c4e_504c_4767_99ea_358b636ef0c9" hidden="1">#REF!</definedName>
    <definedName name="TBb286837f_d2c2_4212_aab2_923a9b44d9c3" hidden="1">#REF!</definedName>
    <definedName name="TBb2954071_2002_4e0e_9f13_a83e71cee830" hidden="1">#REF!</definedName>
    <definedName name="TBb298425b_68ec_49e2_a6ed_6d25416ac906" hidden="1">#REF!</definedName>
    <definedName name="TBb29d2326_06a8_42fe_af56_8559e2c50205" hidden="1">#REF!</definedName>
    <definedName name="TBb2afc2db_09d1_4cb7_bbf1_b1c64d7551e7" hidden="1">#REF!</definedName>
    <definedName name="TBb2bc56b6_d724_4a8a_b49a_efaf9da31a17" hidden="1">#REF!</definedName>
    <definedName name="TBb2c1d302_ca9e_4b1a_8942_14e80920d60d" hidden="1">#REF!</definedName>
    <definedName name="TBb2c84f4d_9e7f_40e7_8b0f_1c8970d67006" hidden="1">#REF!</definedName>
    <definedName name="TBb2d01f51_a529_4ea3_90cb_959963e05f26" hidden="1">#REF!</definedName>
    <definedName name="TBb2d435ec_2d9d_435f_9891_bae39206709b" hidden="1">#REF!</definedName>
    <definedName name="TBb2e03bda_c033_4bb1_a52b_7ca363188938" hidden="1">#REF!</definedName>
    <definedName name="TBb2e6aeaa_4cdd_46c4_be5a_e0f5d381e891" hidden="1">#REF!</definedName>
    <definedName name="TBb301fdac_19b0_4d43_9475_a5ab91778f47" hidden="1">#REF!</definedName>
    <definedName name="TBb30303a8_dfcf_4efe_89ab_b9a97768ca14" hidden="1">#REF!</definedName>
    <definedName name="TBb30833ee_0705_461f_813d_7bf632a80568" hidden="1">#REF!</definedName>
    <definedName name="TBb30c4224_d571_4847_b7b1_54d2bf283dff" hidden="1">#REF!</definedName>
    <definedName name="TBb31646ac_aebd_443c_9d90_2525f954938f" hidden="1">#REF!</definedName>
    <definedName name="TBb31f524a_2133_4503_b288_8246a9f42715" hidden="1">#REF!</definedName>
    <definedName name="TBb3293e5c_53e9_4ddb_b6cf_82eceb9e04fe" hidden="1">#REF!</definedName>
    <definedName name="TBb33dbe13_fb94_4738_81a8_6ff8ea0b9fc4" hidden="1">#REF!</definedName>
    <definedName name="TBb33e6e29_f6cc_46f3_b639_2084120ff35a" hidden="1">#REF!</definedName>
    <definedName name="TBb3405dc2_7c09_4f38_9a2b_8ba13fbfcdff" hidden="1">#REF!</definedName>
    <definedName name="TBb3433419_4d79_4585_b5d3_fb5c1a7661ce" hidden="1">#REF!</definedName>
    <definedName name="TBb34715fa_e74e_4e0b_a85c_3960d3588920" hidden="1">#REF!</definedName>
    <definedName name="TBb3472419_e3f7_4a6e_9368_92b09c8fafdf" hidden="1">#REF!</definedName>
    <definedName name="TBb349639e_ee14_44e6_a35b_883913525707" hidden="1">#REF!</definedName>
    <definedName name="TBb34bcc33_8678_45ea_8b48_416fb4cfe5a2" hidden="1">#REF!</definedName>
    <definedName name="TBb35039e3_a218_4aff_9267_a7a0db6ec12e" hidden="1">#REF!</definedName>
    <definedName name="TBb357c2ab_4a3b_4a20_9a95_1be04ec5dd06" hidden="1">#REF!</definedName>
    <definedName name="TBb3638bb9_b4d5_48ac_94c4_d42b2bd30e51" hidden="1">#REF!</definedName>
    <definedName name="TBb36796f8_c097_44ab_97ad_f3f4dff9fe22" hidden="1">#REF!</definedName>
    <definedName name="TBb389fd5f_5a4b_4bab_a962_536ba2a720b6" hidden="1">#REF!</definedName>
    <definedName name="TBb38b1f08_1f0b_41da_8ad7_ffb724f99b8a" hidden="1">#REF!</definedName>
    <definedName name="TBb3a0736d_1bc7_4cc9_bfa0_5ef781c6ea5f" hidden="1">#REF!</definedName>
    <definedName name="TBb3a0d0fc_9be8_4795_90b2_78452a625686" hidden="1">#REF!</definedName>
    <definedName name="TBb3a8a69d_baf1_4008_8f04_8f4ab0de1452" hidden="1">#REF!</definedName>
    <definedName name="TBb3ab66bb_c7e5_4250_b400_cf2fd722b567" hidden="1">#REF!</definedName>
    <definedName name="TBb3ac6e08_c7af_4653_9ca6_981ebe9b33d1" hidden="1">#REF!</definedName>
    <definedName name="TBb3b16596_ab79_4f4c_97d8_f2f72774ace5" hidden="1">#REF!</definedName>
    <definedName name="TBb3bf0991_7dab_444b_b1a0_3bc7bc11e247" hidden="1">#REF!</definedName>
    <definedName name="TBb3c85bb9_c0d6_40f1_9d8f_da00ced43f4b" hidden="1">#REF!</definedName>
    <definedName name="TBb3ce433b_cb4a_4536_8e37_cacf11690626" hidden="1">#REF!</definedName>
    <definedName name="TBb3d2e936_3c26_4c6e_b8d0_3efbcce0f353" hidden="1">#REF!</definedName>
    <definedName name="TBb3efd573_3aff_4e45_a36f_3803bae3cc04" hidden="1">#REF!</definedName>
    <definedName name="TBb3f39429_b669_4228_a529_c34cbde79edb" hidden="1">#REF!</definedName>
    <definedName name="TBb4155542_e6fc_4ad0_9c01_0bc0042ecfff" hidden="1">#REF!</definedName>
    <definedName name="TBb424e4f7_2763_4bc2_9a3a_dd075f485faa" hidden="1">#REF!</definedName>
    <definedName name="TBb432bb10_a3cc_4510_97d2_75fd66405bdd" hidden="1">#REF!</definedName>
    <definedName name="TBb43c706e_78d6_4b58_80ac_f77a854b162b" hidden="1">#REF!</definedName>
    <definedName name="TBb4502e3d_f8f6_47d2_af7e_e9ad738055a1" hidden="1">#REF!</definedName>
    <definedName name="TBb450d05a_9f9d_4394_b18a_a11a4da648ff" hidden="1">#REF!</definedName>
    <definedName name="TBb4605096_c26d_4290_ad71_a9cea8843bdf" hidden="1">#REF!</definedName>
    <definedName name="TBb4691619_f530_4419_83da_2924c3707d31" hidden="1">#REF!</definedName>
    <definedName name="TBb48e25dd_67ab_408e_a8fd_9faf85d6842a" hidden="1">#REF!</definedName>
    <definedName name="TBb4911480_ea59_43e6_8510_68cbb666945f" hidden="1">#REF!</definedName>
    <definedName name="TBb4944b5e_9e40_4871_901d_ee61f6573ad3" hidden="1">#REF!</definedName>
    <definedName name="TBb4946579_a91f_4f68_ac2d_4334a46c2306" hidden="1">#REF!</definedName>
    <definedName name="TBb49800e3_f627_498d_ba16_b8d91ae18767" hidden="1">#REF!</definedName>
    <definedName name="TBb499cd2f_5b84_4a57_9cca_1d89d611eaa4" hidden="1">#REF!</definedName>
    <definedName name="TBb4a207e4_3fa4_45aa_8836_d4c7a42d6f3b" hidden="1">#REF!</definedName>
    <definedName name="TBb4b15772_23a7_4fcc_b0a8_f7a4a1050d1d" hidden="1">#REF!</definedName>
    <definedName name="TBb4bdaca9_96a4_47ce_9aef_9c70dd706989" hidden="1">#REF!</definedName>
    <definedName name="TBb4cc70c4_0855_47ec_9591_282cfb2584c8" hidden="1">#REF!</definedName>
    <definedName name="TBb4cf4424_438a_4af1_8aa9_5eab8ba7881c" hidden="1">#REF!</definedName>
    <definedName name="TBb4d11510_b01f_44b0_8e24_2b2f39f7105d" hidden="1">#REF!</definedName>
    <definedName name="TBb4d290e7_7d73_4482_8fa4_11666c2f6e50" hidden="1">#REF!</definedName>
    <definedName name="TBb4de1f5f_1863_48ec_a0bd_26f2e910ec50" hidden="1">#REF!</definedName>
    <definedName name="TBb4eb98d0_15f5_4ecc_8896_242e87f1192d" hidden="1">#REF!</definedName>
    <definedName name="TBb4f2df7f_32c1_43b7_b263_b571af54d1a2" hidden="1">#REF!</definedName>
    <definedName name="TBb50128ed_54e6_45b5_a084_93c9c5c841ba" hidden="1">#REF!</definedName>
    <definedName name="TBb501a8e8_b9a5_4849_abfb_18fd963c8d81" hidden="1">#REF!</definedName>
    <definedName name="TBb502538b_12af_48ae_ad07_5965249fc0be" hidden="1">#REF!</definedName>
    <definedName name="TBb5066583_3f44_4604_95e2_9ad7e67aa382" hidden="1">#REF!</definedName>
    <definedName name="TBb50da9e6_44b6_41ac_8ed9_5d4aaae8dd8c" hidden="1">#REF!</definedName>
    <definedName name="TBb50dfeeb_3d69_41f5_a739_32abbd07e2dc" hidden="1">#REF!</definedName>
    <definedName name="TBb50ffe73_1ac6_4482_9223_e61244cff32e" hidden="1">#REF!</definedName>
    <definedName name="TBb5155e05_ca92_4387_8027_a712a593ac7c" hidden="1">#REF!</definedName>
    <definedName name="TBb51705db_c5f3_4073_8b07_af1a408e4fac" hidden="1">#REF!</definedName>
    <definedName name="TBb52099af_7ae4_4701_88ab_b3a094b80788" hidden="1">#REF!</definedName>
    <definedName name="TBb523183a_08bb_4af6_bc4a_26cb5e0c6d6f" hidden="1">#REF!</definedName>
    <definedName name="TBb5240823_f9f7_40d2_ac0d_b8399cb0eca2" hidden="1">#REF!</definedName>
    <definedName name="TBb525b0a4_f4b2_4c95_aa46_9fb48691132e" hidden="1">#REF!</definedName>
    <definedName name="TBb528220c_497f_499d_9432_c0bde812b54f" hidden="1">#REF!</definedName>
    <definedName name="TBb538ecac_d70b_460e_8042_53d32315018f" hidden="1">#REF!</definedName>
    <definedName name="TBb5392cc6_dc92_4276_8422_90ec23d81b04" hidden="1">#REF!</definedName>
    <definedName name="TBb5474e19_8c2d_47f0_af4c_0f652706a8d9" hidden="1">#REF!</definedName>
    <definedName name="TBb548ffec_82c6_4d93_a761_f113bb4b8cd0" hidden="1">#REF!</definedName>
    <definedName name="TBb56f856f_0d81_43c5_a742_57e913b20271" hidden="1">#REF!</definedName>
    <definedName name="TBb57bffa7_5787_4ebc_91ce_5e6b6daf550c" hidden="1">#REF!</definedName>
    <definedName name="TBb58332bf_e8c9_4844_8e10_e6b132080d1b" hidden="1">#REF!</definedName>
    <definedName name="TBb584acc0_35fe_41b4_92b6_1859c94539cd" hidden="1">#REF!</definedName>
    <definedName name="TBb5850ff8_0ba5_4bb6_b832_7649f9838155" hidden="1">#REF!</definedName>
    <definedName name="TBb594f605_64b5_43a8_a038_3aabdbeb82d5" hidden="1">#REF!</definedName>
    <definedName name="TBb5aa865b_779a_496c_ba43_7c28c4602377" hidden="1">#REF!</definedName>
    <definedName name="TBb5af9ae6_fa0e_436c_bfa7_5e0cb9af9d77" hidden="1">#REF!</definedName>
    <definedName name="TBb5baaeaf_5f33_49fb_b247_e7a1a7bde2e3" hidden="1">#REF!</definedName>
    <definedName name="TBb5bb0236_c681_43f5_a2d8_b6a6bf91b054" hidden="1">#REF!</definedName>
    <definedName name="TBb5bd68ce_3ffb_419f_9096_566cdca20b21" hidden="1">#REF!</definedName>
    <definedName name="TBb5c03c2a_a286_4c2f_80ef_87e1f303a883" hidden="1">#REF!</definedName>
    <definedName name="TBb5c38015_4f37_4fad_be8a_c50f1290f9f4" hidden="1">#REF!</definedName>
    <definedName name="TBb5c4a116_e6b1_4578_a958_920f0c3d576d" hidden="1">#REF!</definedName>
    <definedName name="TBb5c69f20_1267_4044_81e0_8776b8eb9515" hidden="1">#REF!</definedName>
    <definedName name="TBb5cb6fb4_484c_4fa8_814a_a6cbbc86f903" hidden="1">#REF!</definedName>
    <definedName name="TBb5d958ff_62d6_4798_b2d2_755fcab0e472" hidden="1">#REF!</definedName>
    <definedName name="TBb5dd39cf_2eab_4f52_b6b8_01d376ce026b" hidden="1">#REF!</definedName>
    <definedName name="TBb605490d_d35e_4911_859e_7d664e3d7f92" hidden="1">#REF!</definedName>
    <definedName name="TBb613f3a7_5642_4e4d_b3c6_e6a767c3d7eb" hidden="1">#REF!</definedName>
    <definedName name="TBb6238d6a_899c_4057_b3df_88a8cf51f5a9" hidden="1">#REF!</definedName>
    <definedName name="TBb62425b8_fa0f_4d28_aa13_e8a202df18a7" hidden="1">#REF!</definedName>
    <definedName name="TBb6245c42_948d_4808_9d7c_fa3434df406f" hidden="1">#REF!</definedName>
    <definedName name="TBb627d4e1_eef7_4007_93ef_24de822e1f15" hidden="1">#REF!</definedName>
    <definedName name="TBb63d6952_9bc8_479e_953c_e285b91853ee" hidden="1">#REF!</definedName>
    <definedName name="TBb63f2cdf_a2f0_47cd_98d0_4e8711e85bf5" hidden="1">#REF!</definedName>
    <definedName name="TBb63f89fa_9aa1_4e80_af1b_4e7a55a89b4e" hidden="1">#REF!</definedName>
    <definedName name="TBb640aa21_cf12_4121_a259_ab7ce53062ad" hidden="1">#REF!</definedName>
    <definedName name="TBb645ee16_ea8b_4925_b74a_05570211c3e6" hidden="1">#REF!</definedName>
    <definedName name="TBb646e618_638c_4556_b800_71eb69a933aa" hidden="1">#REF!</definedName>
    <definedName name="TBb6529c65_e400_418b_866d_e26ec4bfbfff" hidden="1">#REF!</definedName>
    <definedName name="TBb6609562_f818_4031_b6ca_936f0ed12b14" hidden="1">#REF!</definedName>
    <definedName name="TBb662f558_fce0_4dd0_9683_a92cbbec6567" hidden="1">#REF!</definedName>
    <definedName name="TBb67c19f1_ef1a_4eb7_a5d3_ee1925d153b8" hidden="1">#REF!</definedName>
    <definedName name="TBb67c6bb3_4c1a_4bdf_a9ae_ddc9c59f2663" hidden="1">#REF!</definedName>
    <definedName name="TBb67e594b_e626_4386_862f_2e985ce616d5" hidden="1">#REF!</definedName>
    <definedName name="TBb689d904_713f_4ee1_b369_41ab0a900aab" hidden="1">#REF!</definedName>
    <definedName name="TBb68e922e_bf89_4f36_ac03_968e8348758d" hidden="1">#REF!</definedName>
    <definedName name="TBb6b3c209_e471_40d0_81b2_901d85d3e116" hidden="1">#REF!</definedName>
    <definedName name="TBb6bdb693_572f_4f38_b824_12f34a0bc90f" hidden="1">#REF!</definedName>
    <definedName name="TBb6cbd6ae_ee36_41cd_8e55_e6c0e012b65e" hidden="1">#REF!</definedName>
    <definedName name="TBb6d7fbde_30df_40b9_9e1e_74bb6e5d092b" hidden="1">#REF!</definedName>
    <definedName name="TBb6de5795_3331_4544_b005_92e3aa7bd631" hidden="1">#REF!</definedName>
    <definedName name="TBb6e08b4e_f584_449e_87a0_36cd9fdf9014" hidden="1">#REF!</definedName>
    <definedName name="TBb6e3edd2_38de_4d5b_93d0_5a7d8707f91e" hidden="1">#REF!</definedName>
    <definedName name="TBb6e8a77b_6ae7_4f2c_a5ea_ac80fe53582e" hidden="1">#REF!</definedName>
    <definedName name="TBb6e9cf2a_2d71_4d21_92b4_5e379d51a4a9" hidden="1">#REF!</definedName>
    <definedName name="TBb6ea3355_7494_4cae_858c_43b9c47bb89a" hidden="1">#REF!</definedName>
    <definedName name="TBb6febd81_3656_4ff2_b941_6d79261dee7c" hidden="1">#REF!</definedName>
    <definedName name="TBb70726ac_baa6_474d_b8e8_7859c9027fdb" hidden="1">#REF!</definedName>
    <definedName name="TBb70a6343_f2b6_4a34_a7d8_39b4fcd64c47" hidden="1">#REF!</definedName>
    <definedName name="TBb71ee078_03a3_4c3b_826f_1d4cbc738d42" hidden="1">#REF!</definedName>
    <definedName name="TBb7275d93_a489_49ec_837b_e94dbde42244" hidden="1">#REF!</definedName>
    <definedName name="TBb72fe42f_6276_4750_91f3_d9c40829d977" hidden="1">#REF!</definedName>
    <definedName name="TBb74450f5_1540_4f5e_a350_433fecd91a70" hidden="1">#REF!</definedName>
    <definedName name="TBb747c775_da8e_442b_a461_14f5874e21b0" hidden="1">#REF!</definedName>
    <definedName name="TBb74eae85_e62e_4f3f_987a_0f90f2471a2b" hidden="1">#REF!</definedName>
    <definedName name="TBb75a0273_c0c2_44c5_baa5_c71fc2ca1cf6" hidden="1">#REF!</definedName>
    <definedName name="TBb7618787_f15a_4796_8408_7df4d6f80da7" hidden="1">#REF!</definedName>
    <definedName name="TBb7688efa_8698_451a_b941_846a6867360e" hidden="1">#REF!</definedName>
    <definedName name="TBb769708f_155d_427c_993e_3b25f3007ca9" hidden="1">#REF!</definedName>
    <definedName name="TBb771a1f5_4f28_4133_8638_50f32c77f047" hidden="1">#REF!</definedName>
    <definedName name="TBb7749db7_875f_4e90_a6db_f1bc606917ed" hidden="1">#REF!</definedName>
    <definedName name="TBb77cba1e_5c89_4de3_b4d4_93319e9fc564" hidden="1">#REF!</definedName>
    <definedName name="TBb77d4c8f_5c6a_49cf_8ac2_1f7e99491050" hidden="1">#REF!</definedName>
    <definedName name="TBb78d865d_62e0_4b51_b826_85ed56f7f7b7" hidden="1">#REF!</definedName>
    <definedName name="TBb7905b95_a5fa_4a25_9487_cc2c13ca350e" hidden="1">#REF!</definedName>
    <definedName name="TBb79632f9_04a2_4b33_82d1_9af5b37d9056" hidden="1">#REF!</definedName>
    <definedName name="TBb7a398c7_e354_413a_9b10_30f0a9a99c04" hidden="1">#REF!</definedName>
    <definedName name="TBb7a50c62_3fcd_4231_a73e_585fe604b127" hidden="1">#REF!</definedName>
    <definedName name="TBb7a6166e_0fd1_4020_87c0_a6e310eb5128" hidden="1">#REF!</definedName>
    <definedName name="TBb7a6dbfe_5d51_42e6_b7b0_dc47b729211b" hidden="1">#REF!</definedName>
    <definedName name="TBb7aae963_bc64_4980_aa5c_146396085f11" hidden="1">#REF!</definedName>
    <definedName name="TBb7abc736_3fd9_40d2_8c49_6aa297c493de" hidden="1">#REF!</definedName>
    <definedName name="TBb7b01b9c_2ca9_4adc_82e1_de429e4396f1" hidden="1">#REF!</definedName>
    <definedName name="TBb7b28345_3798_4ba5_8e16_fc917db769cf" hidden="1">#REF!</definedName>
    <definedName name="TBb7b6491b_a299_4da8_8fa2_d5a23e5ed61f" hidden="1">#REF!</definedName>
    <definedName name="TBb7c11a26_e871_4b79_b157_cb312e1fe3c9" hidden="1">#REF!</definedName>
    <definedName name="TBb7c5bb54_3d17_41bd_9111_69e132001060" hidden="1">#REF!</definedName>
    <definedName name="TBb7c9484b_44ae_4942_bfb7_d6a8cce7faaa" hidden="1">#REF!</definedName>
    <definedName name="TBb7d19c7c_bcfa_4cc4_bf0a_47de8ae37573" hidden="1">#REF!</definedName>
    <definedName name="TBb7e4dbb0_3bd1_4af4_9241_ddd9ed079d14" hidden="1">#REF!</definedName>
    <definedName name="TBb7f13c64_74b5_4363_9994_869c7ad4dd65" hidden="1">#REF!</definedName>
    <definedName name="TBb7f3f4f4_aa9b_4fb6_b901_4d62c9fce933" hidden="1">#REF!</definedName>
    <definedName name="TBb7fc1d66_ef08_4741_b221_f0492a56ae4c" hidden="1">#REF!</definedName>
    <definedName name="TBb7ff8f71_1983_4850_a5c5_5616787bfad5" hidden="1">#REF!</definedName>
    <definedName name="TBb8071222_4040_4bb1_98ba_8f92a315b439" hidden="1">#REF!</definedName>
    <definedName name="TBb808d71f_69cc_4c3c_92ea_12e43840a294" hidden="1">#REF!</definedName>
    <definedName name="TBb80924ba_b72b_4785_a369_8a655b4529e1" hidden="1">#REF!</definedName>
    <definedName name="TBb80b6897_07b5_46c3_a386_4c40779ea311" hidden="1">#REF!</definedName>
    <definedName name="TBb81686df_41e6_4259_aa88_84941edfe250" hidden="1">#REF!</definedName>
    <definedName name="TBb83b6f20_0134_42d6_a929_79290e8a6886" hidden="1">#REF!</definedName>
    <definedName name="TBb8506815_be20_402c_9f3f_8235558f5856" hidden="1">#REF!</definedName>
    <definedName name="TBb8530f10_ba8e_48ba_8f27_8d24be89b69d" hidden="1">#REF!</definedName>
    <definedName name="TBb8633285_a895_47ed_aae4_60eb536289c9" hidden="1">#REF!</definedName>
    <definedName name="TBb869bd68_cccc_4b96_a84c_f1a8b05059ae" hidden="1">#REF!</definedName>
    <definedName name="TBb86ff61f_db64_4ecd_8524_f82492853591" hidden="1">#REF!</definedName>
    <definedName name="TBb87c6f55_5f64_44a9_b918_5aaed6613551" hidden="1">#REF!</definedName>
    <definedName name="TBb87e1bcd_8814_42ce_aaeb_eccb2837d874" hidden="1">#REF!</definedName>
    <definedName name="TBb88c55f4_64df_46cd_85cf_f114b7d0efab" hidden="1">#REF!</definedName>
    <definedName name="TBb88d93d9_efad_4b18_83a7_9f163c15604f" hidden="1">#REF!</definedName>
    <definedName name="TBb89aec2d_8c0f_4005_90c1_596c0f93d42f" hidden="1">#REF!</definedName>
    <definedName name="TBb8d84a59_9893_4050_9735_b3dd5587f3f8" hidden="1">#REF!</definedName>
    <definedName name="TBb8db78f3_e684_4ad7_9594_cd60cbc19a44" hidden="1">#REF!</definedName>
    <definedName name="TBb8e0399b_8ddc_4c8b_b254_40575f1a0c80" hidden="1">#REF!</definedName>
    <definedName name="TBb8e4ec92_8e81_4a9d_af11_00bdf59da512" hidden="1">#REF!</definedName>
    <definedName name="TBb8eb1547_ead5_4a0f_991e_93434495efc0" hidden="1">#REF!</definedName>
    <definedName name="TBb8edbe74_c1d7_403c_9ea9_a091995c3c53" hidden="1">#REF!</definedName>
    <definedName name="TBb8f40363_4d0b_4b8d_94d9_5ed38c87a24c" hidden="1">#REF!</definedName>
    <definedName name="TBb8fe3553_af1b_43d9_bc7f_6921775e120a" hidden="1">#REF!</definedName>
    <definedName name="TBb9036705_8c28_4992_984d_bc6a1ea4e382" hidden="1">#REF!</definedName>
    <definedName name="TBb9049128_d5bf_4e74_b6f2_0a8b79d56a40" hidden="1">#REF!</definedName>
    <definedName name="TBb90c0577_2584_4e66_98e0_c8d91aaf0cd7" hidden="1">#REF!</definedName>
    <definedName name="TBb91540ab_8be0_4ee7_a258_1fae3f0ba073" hidden="1">#REF!</definedName>
    <definedName name="TBb91aeb5f_9a1f_46d6_ba17_d09ffda317bc" hidden="1">#REF!</definedName>
    <definedName name="TBb91eec9e_1cd6_459d_85a0_3793c400896b" hidden="1">#REF!</definedName>
    <definedName name="TBb922699b_9dd8_41d8_a34b_037e37d9f685" hidden="1">#REF!</definedName>
    <definedName name="TBb92bfc6d_5ff8_41d8_be8f_5e2af07b962a" hidden="1">#REF!</definedName>
    <definedName name="TBb95b6db0_43f0_4baa_8c5b_7db702a9e2ff" hidden="1">#REF!</definedName>
    <definedName name="TBb974c82f_c0d9_4ca2_a150_162d3ea8ee5b" hidden="1">#REF!</definedName>
    <definedName name="TBb981a4c1_0992_4ef9_8b80_0164bcb745c9" hidden="1">#REF!</definedName>
    <definedName name="TBb9821d3f_3843_4f66_bfc6_20c5cc2bc091" hidden="1">#REF!</definedName>
    <definedName name="TBb983ff8f_96a6_4340_a89a_854824c7ed36" hidden="1">#REF!</definedName>
    <definedName name="TBb98c2faa_09c5_4e1a_8314_b71b2a5d2f41" hidden="1">#REF!</definedName>
    <definedName name="TBb99166b5_2045_4c9a_b776_134ec92ecfa0" hidden="1">#REF!</definedName>
    <definedName name="TBb991be01_5fda_4352_94c1_cbe0e0faf411" hidden="1">#REF!</definedName>
    <definedName name="TBb9ad8766_6455_4e58_9e21_2b0e438eac26" hidden="1">#REF!</definedName>
    <definedName name="TBb9b211ab_4c2c_42c4_abf9_244c790ce173" hidden="1">#REF!</definedName>
    <definedName name="TBb9bc2b02_9228_4404_a985_25d79f30035b" hidden="1">#REF!</definedName>
    <definedName name="TBb9bf44f9_dfe4_44f1_9d7e_f59078e150d3" hidden="1">#REF!</definedName>
    <definedName name="TBb9c0e564_41e9_4dfb_8d8c_ae5ca2aa84c8" hidden="1">#REF!</definedName>
    <definedName name="TBb9c3ec1d_516c_4248_a57a_61a0dafcbfa2" hidden="1">#REF!</definedName>
    <definedName name="TBb9cf6a37_affa_4783_95b3_dd801e1f7831" hidden="1">#REF!</definedName>
    <definedName name="TBb9cf8cce_22d1_4a79_afdb_d42cbfe016d4" hidden="1">#REF!</definedName>
    <definedName name="TBb9d9e80d_0bc1_4816_bea4_e5820f45447b" hidden="1">#REF!</definedName>
    <definedName name="TBb9e22fb2_3151_4c7b_82ee_6e2121f0359d" hidden="1">#REF!</definedName>
    <definedName name="TBb9e6dd95_3fca_4fda_b95c_499999bbffbd" hidden="1">#REF!</definedName>
    <definedName name="TBb9ed67c4_4810_42be_9842_3c8c1b957aee" hidden="1">#REF!</definedName>
    <definedName name="TBba0db76f_8d27_43b1_94cb_d62f8bd913cc" hidden="1">#REF!</definedName>
    <definedName name="TBba0fc6e2_9011_40fa_8561_edf82029ee54" hidden="1">#REF!</definedName>
    <definedName name="TBba18ac7d_99c8_4217_8a54_66b0c4372d60" hidden="1">#REF!</definedName>
    <definedName name="TBba38fcac_e225_4eb6_985e_7cea55f3ca1c" hidden="1">#REF!</definedName>
    <definedName name="TBba3fb37b_e7da_4096_a4fc_7f02888374fd" hidden="1">#REF!</definedName>
    <definedName name="TBba430c29_c368_4824_8be4_6d0e91a8b48e" hidden="1">#REF!</definedName>
    <definedName name="TBba43753a_f98f_4b19_a299_9f636148c38d" hidden="1">#REF!</definedName>
    <definedName name="TBba5636af_d843_4314_a55d_581fdd48d37f" hidden="1">#REF!</definedName>
    <definedName name="TBba588183_5485_4f0e_8d95_708cb300186a" hidden="1">#REF!</definedName>
    <definedName name="TBba5fed00_b13b_41fb_ad2f_2707c64d0d28" hidden="1">#REF!</definedName>
    <definedName name="TBba66169c_12df_46cb_94a4_37463a9050bf" hidden="1">#REF!</definedName>
    <definedName name="TBba756c70_3add_4b1e_bddd_d4dde444c0fb" hidden="1">#REF!</definedName>
    <definedName name="TBba807a85_5c94_4551_ba70_25e8fa1643fd" hidden="1">#REF!</definedName>
    <definedName name="TBba83a396_d882_4b37_9e84_2ba3fc408da1" hidden="1">#REF!</definedName>
    <definedName name="TBba86dcc2_9023_4161_8472_85019ac11d0c" hidden="1">#REF!</definedName>
    <definedName name="TBba9c2e85_3422_424d_a568_839162e47de3" hidden="1">#REF!</definedName>
    <definedName name="TBbaaf273b_0937_4e10_bfde_f38c30c46796" hidden="1">#REF!</definedName>
    <definedName name="TBbabd8b25_1892_47ae_980c_32ab126bfaa2" hidden="1">#REF!</definedName>
    <definedName name="TBbabecef1_68ec_4f38_a991_7fc5f1022036" hidden="1">#REF!</definedName>
    <definedName name="TBbac181fa_e87f_4abf_82a4_24739a230779" hidden="1">#REF!</definedName>
    <definedName name="TBbad59568_2a27_49b2_8d17_f928fa8f3a04" hidden="1">#REF!</definedName>
    <definedName name="TBbadf311a_e380_4ffb_977a_0615552b2d58" hidden="1">#REF!</definedName>
    <definedName name="TBbae3ba95_9b81_49b2_90c2_14de05240327" hidden="1">#REF!</definedName>
    <definedName name="TBbaeba86e_4e67_48f6_8620_886725ef979a" hidden="1">#REF!</definedName>
    <definedName name="TBbb119330_ea7b_4931_8be5_26cb517d56d5" hidden="1">#REF!</definedName>
    <definedName name="TBbb19968c_1475_4bd2_b317_9c5d92edf2cd" hidden="1">#REF!</definedName>
    <definedName name="TBbb26df61_ec74_4e1a_823a_d25e2d39814a" hidden="1">#REF!</definedName>
    <definedName name="TBbb2c0554_81ae_4d38_be48_b5ad9bd01bdb" hidden="1">#REF!</definedName>
    <definedName name="TBbb31f8a4_7115_4afd_8623_ce470322520b" hidden="1">#REF!</definedName>
    <definedName name="TBbb32aa54_b3b3_466f_8a72_34602a49fce5" hidden="1">#REF!</definedName>
    <definedName name="TBbb3f312c_fb42_434d_ab0e_941332ee0413" hidden="1">#REF!</definedName>
    <definedName name="TBbb3f3712_c43c_49a8_b018_67c8297357b6" hidden="1">#REF!</definedName>
    <definedName name="TBbb4ba03f_4375_466a_8c67_6dd99853d02c" hidden="1">#REF!</definedName>
    <definedName name="TBbb4e7a89_7648_4f69_a19f_445a130aa78b" hidden="1">#REF!</definedName>
    <definedName name="TBbb56c135_ee27_4875_a36c_06596d8ecc85" hidden="1">#REF!</definedName>
    <definedName name="TBbb6627c6_48b2_4637_b616_784a54d32faa" hidden="1">#REF!</definedName>
    <definedName name="TBbb66fb1a_f5fd_4073_930c_f147f8d93929" hidden="1">#REF!</definedName>
    <definedName name="TBbb6954d7_ce8b_4d79_a194_6ba76fcffcf0" hidden="1">#REF!</definedName>
    <definedName name="TBbb69e885_a7c3_43bf_90a4_9d8575e845d8" hidden="1">#REF!</definedName>
    <definedName name="TBbb72f60f_a652_45e5_a917_5c950e011dce" hidden="1">#REF!</definedName>
    <definedName name="TBbb8c2309_6711_4183_b5b4_28f74e764691" hidden="1">#REF!</definedName>
    <definedName name="TBbb8f79d2_8f9f_4609_98ce_36fce4e8e63d" hidden="1">#REF!</definedName>
    <definedName name="TBbb987d5f_9ed0_4c5d_86a7_e0ae4a5c8a8e" hidden="1">#REF!</definedName>
    <definedName name="TBbb9e7f60_d3fa_4dfe_9996_f4d6f0f4cbad" hidden="1">#REF!</definedName>
    <definedName name="TBbba08960_0000_430d_b876_d26ddd82b467" hidden="1">#REF!</definedName>
    <definedName name="TBbba9c092_56a1_4d6d_9b0c_b360425eecc6" hidden="1">#REF!</definedName>
    <definedName name="TBbbb184d7_e438_4390_9d2f_f6462398d71c" hidden="1">#REF!</definedName>
    <definedName name="TBbbbb31f4_90b6_4d68_a716_378d1570f1fb" hidden="1">#REF!</definedName>
    <definedName name="TBbbbd49b2_705f_427c_8f9a_a0d0e918c28c" hidden="1">#REF!</definedName>
    <definedName name="TBbbbdaf42_c556_420a_948f_3e1a25d5b262" hidden="1">#REF!</definedName>
    <definedName name="TBbbc4e347_9906_4552_ac68_ae3363db5279" hidden="1">#REF!</definedName>
    <definedName name="TBbbc85820_bb2a_4863_a074_53d37c67ee0b" hidden="1">#REF!</definedName>
    <definedName name="TBbbe80151_9059_4fba_90d5_7ce22b3ed4d1" hidden="1">#REF!</definedName>
    <definedName name="TBbbe8bff4_df62_477c_b630_8f0267831f6f" hidden="1">#REF!</definedName>
    <definedName name="TBbc02347a_a241_40b5_944e_8c9c269a2ebb" hidden="1">#REF!</definedName>
    <definedName name="TBbc09edc7_deed_4188_8179_c2b9038bd5fa" hidden="1">#REF!</definedName>
    <definedName name="TBbc0d31e2_437c_451c_afbe_d80ac7444179" hidden="1">#REF!</definedName>
    <definedName name="TBbc1d2c1a_c867_4dcd_bf41_6685220f1a2e" hidden="1">#REF!</definedName>
    <definedName name="TBbc2d9109_bb30_43fa_a991_e4c1412ba2f3" hidden="1">#REF!</definedName>
    <definedName name="TBbc30c4d8_c62a_458d_abfb_9092d5ab5759" hidden="1">#REF!</definedName>
    <definedName name="TBbc37cb4e_1fe2_4fc6_8155_baf047956266" hidden="1">#REF!</definedName>
    <definedName name="TBbc437820_1eec_4320_88c3_249e63189947" hidden="1">#REF!</definedName>
    <definedName name="TBbc48a600_589f_48bc_b55d_b6e8e0b23268" hidden="1">#REF!</definedName>
    <definedName name="TBbc5184f9_655a_4dd4_949d_52a6901c2908" hidden="1">#REF!</definedName>
    <definedName name="TBbc5f0a33_56bd_442f_83a5_0aca1abf2297" hidden="1">#REF!</definedName>
    <definedName name="TBbc611684_4aee_4466_b47f_5f16d25a1824" hidden="1">#REF!</definedName>
    <definedName name="TBbc62cf0a_9867_4d08_9ce5_fb1c350fcd63" hidden="1">#REF!</definedName>
    <definedName name="TBbc8996d1_ff17_49eb_a3b8_cefc49d4fd3c" hidden="1">#REF!</definedName>
    <definedName name="TBbc9aaaf5_aefd_45d4_b24f_90fc250789be" hidden="1">#REF!</definedName>
    <definedName name="TBbc9d2f85_9045_40a9_ae55_f047ec291a7e" hidden="1">#REF!</definedName>
    <definedName name="TBbc9de01d_b8d4_4a15_b048_d22121f3c9e8" hidden="1">#REF!</definedName>
    <definedName name="TBbcabdca9_5b51_4650_9c47_ec8415950155" hidden="1">#REF!</definedName>
    <definedName name="TBbcb55127_6745_4f15_9cf7_1b8229a7f463" hidden="1">#REF!</definedName>
    <definedName name="TBbcba9417_f1f4_4fe7_aa25_ec2c6ecc9f36" hidden="1">#REF!</definedName>
    <definedName name="TBbcbc9b24_bd61_4e96_9626_ff07426f05c5" hidden="1">#REF!</definedName>
    <definedName name="TBbcbdca14_fd66_4f71_85f5_9ea3b3b1acc6" hidden="1">#REF!</definedName>
    <definedName name="TBbcc90fce_9102_43a7_b73c_963063d28f56" hidden="1">#REF!</definedName>
    <definedName name="TBbcc94c3f_7201_4768_981f_32a1763baf09" hidden="1">#REF!</definedName>
    <definedName name="TBbccd78a9_a22e_426f_b5d4_c2afe04b332a" hidden="1">#REF!</definedName>
    <definedName name="TBbceee9ae_c4a1_4eb8_b87d_f061fe15656c" hidden="1">#REF!</definedName>
    <definedName name="TBbcf290a3_6455_4b25_8624_fd2952f36003" hidden="1">#REF!</definedName>
    <definedName name="TBbd0177c7_d9ec_4ca0_b4e3_df5edc31fd73" hidden="1">#REF!</definedName>
    <definedName name="TBbd124aaa_e303_4265_beff_667956c4a031" hidden="1">#REF!</definedName>
    <definedName name="TBbd149f09_ea7b_462a_aef0_5dd86087fd74" hidden="1">#REF!</definedName>
    <definedName name="TBbd1d3fcb_e579_45e3_bac5_b188bea29577" hidden="1">#REF!</definedName>
    <definedName name="TBbd2af30e_0662_46eb_a894_1c722ec5ad19" hidden="1">#REF!</definedName>
    <definedName name="TBbd2d8c15_7f32_46d4_96e3_377327348db0" hidden="1">#REF!</definedName>
    <definedName name="TBbd3b8870_16f9_4f0c_b44f_58c1455ec1eb" hidden="1">#REF!</definedName>
    <definedName name="TBbd4cff9b_6a5f_4f7c_bced_ad2b11592dd5" hidden="1">#REF!</definedName>
    <definedName name="TBbd501741_a277_41d9_8216_9911d77b17c1" hidden="1">#REF!</definedName>
    <definedName name="TBbd6973f0_3a83_49f5_adad_0d591d16841e" hidden="1">#REF!</definedName>
    <definedName name="TBbd6ee2dd_dd03_4663_8b48_673a10a2a62e" hidden="1">#REF!</definedName>
    <definedName name="TBbd72d241_c95a_4b7a_9016_2424a65807d2" hidden="1">#REF!</definedName>
    <definedName name="TBbd7ce7d5_95ba_4e80_9c47_32967f71721f" hidden="1">#REF!</definedName>
    <definedName name="TBbd897d3f_6d08_4a81_aa69_1c4df6ce2ab7" hidden="1">#REF!</definedName>
    <definedName name="TBbd935ef2_b045_47c4_9ca6_77184d3f4451" hidden="1">#REF!</definedName>
    <definedName name="TBbd9b343d_f5bf_4e52_b126_742a3eddc383" hidden="1">#REF!</definedName>
    <definedName name="TBbda66ee5_63ec_416b_a160_9fd5ddbd9094" hidden="1">#REF!</definedName>
    <definedName name="TBbdaf6c81_320a_40aa_9822_88eddbe30248" hidden="1">#REF!</definedName>
    <definedName name="TBbdc4e36e_4024_4d5b_bb16_a32fd7071b12" hidden="1">#REF!</definedName>
    <definedName name="TBbdccd259_51e7_4b8b_a5ba_dabe93c74d54" hidden="1">#REF!</definedName>
    <definedName name="TBbdd25852_1513_4a2b_b9df_f39e66567495" hidden="1">#REF!</definedName>
    <definedName name="TBbdd4f856_3fc6_40aa_a2ac_5b5b11e9444b" hidden="1">#REF!</definedName>
    <definedName name="TBbdd5f5fb_1463_4d56_aa76_9b4b7b5c8d7e" hidden="1">#REF!</definedName>
    <definedName name="TBbdd6555a_67ba_4c78_bc00_f8e1faa30a30" hidden="1">#REF!</definedName>
    <definedName name="TBbdd8ca75_8f90_4e30_9b47_a6c1e40e5074" hidden="1">#REF!</definedName>
    <definedName name="TBbde14cd6_74a3_4a7e_a448_b61375115ef4" hidden="1">#REF!</definedName>
    <definedName name="TBbde74ac3_eeef_4667_9d53_d9aaffc2fc64" hidden="1">#REF!</definedName>
    <definedName name="TBbdfb46ed_f594_46a0_b4e9_af50aed0e37b" hidden="1">#REF!</definedName>
    <definedName name="TBbe0121af_a39d_4aba_bb25_4b2f1745012d" hidden="1">#REF!</definedName>
    <definedName name="TBbe193876_fe0f_499c_9aaa_3d4e0b1628e6" hidden="1">#REF!</definedName>
    <definedName name="TBbe21579b_00c1_4b5e_bd04_6d4fe9014d49" hidden="1">#REF!</definedName>
    <definedName name="TBbe236da9_4764_498e_984d_e98515c69d1b" hidden="1">#REF!</definedName>
    <definedName name="TBbe244ca5_4d87_494e_9fb6_2bc9d310e5ae" hidden="1">#REF!</definedName>
    <definedName name="TBbe35c65d_8183_4b70_8290_31e6a722955f" hidden="1">#REF!</definedName>
    <definedName name="TBbe43acad_085a_4bd1_98af_fe29c697da8e" hidden="1">#REF!</definedName>
    <definedName name="TBbe4a3339_fc7f_4b41_9ade_e0842c2be2a1" hidden="1">#REF!</definedName>
    <definedName name="TBbe524c64_0ce1_42d6_afec_3982f87c536b" hidden="1">#REF!</definedName>
    <definedName name="TBbe6116a6_f068_4c34_9354_cc70838fd1d5" hidden="1">#REF!</definedName>
    <definedName name="TBbe7069ae_5d5a_4e9c_8afe_30953c938073" hidden="1">#REF!</definedName>
    <definedName name="TBbe74b733_66b9_4329_986b_659e467b34da" hidden="1">#REF!</definedName>
    <definedName name="TBbe80da0f_0496_4720_8837_8951cf27abfd" hidden="1">#REF!</definedName>
    <definedName name="TBbea522bb_7da5_42c7_8847_d30dcd2522de" hidden="1">#REF!</definedName>
    <definedName name="TBbea53ef6_035f_4008_a799_39652dad0f77" hidden="1">#REF!</definedName>
    <definedName name="TBbeb6c23f_d9e0_4a65_9e7d_a4830db6f106" hidden="1">#REF!</definedName>
    <definedName name="TBbebdd61e_d5ed_4070_ab0f_df76f7facdcd" hidden="1">#REF!</definedName>
    <definedName name="TBbec87771_e8df_421f_9d33_dc113919acb7" hidden="1">#REF!</definedName>
    <definedName name="TBbed2c2ed_7e21_4c0c_9f4c_e43311c33930" hidden="1">#REF!</definedName>
    <definedName name="TBbed74810_e41c_4644_9a73_7fcd3d772c90" hidden="1">#REF!</definedName>
    <definedName name="TBbee398ac_9c7a_46eb_b938_30dcffbf5f40" hidden="1">#REF!</definedName>
    <definedName name="TBbf0f7066_d268_4a48_9a47_5aa858d31fbf" hidden="1">#REF!</definedName>
    <definedName name="TBbf1f824c_0164_47e8_9645_f9be1b105370" hidden="1">#REF!</definedName>
    <definedName name="TBbf1fd413_f539_4fb2_b3b6_a6ceeb65cc08" hidden="1">#REF!</definedName>
    <definedName name="TBbf2984ec_d666_477f_942e_e989bd9e46a4" hidden="1">#REF!</definedName>
    <definedName name="TBbf2bb676_d9ee_4482_a565_90cb2a7897c6" hidden="1">#REF!</definedName>
    <definedName name="TBbf2eb5c9_8abd_45e0_ac9b_912becc384b6" hidden="1">#REF!</definedName>
    <definedName name="TBbf32514b_25ff_489d_9a40_5f033334eb38" hidden="1">#REF!</definedName>
    <definedName name="TBbf3f1a29_399b_441e_81bb_6df47e03924b" hidden="1">#REF!</definedName>
    <definedName name="TBbf4ce320_e84e_4bc8_ab39_3d83818adbee" hidden="1">#REF!</definedName>
    <definedName name="TBbf54d72d_a496_4759_813e_0c398ebdfaca" hidden="1">#REF!</definedName>
    <definedName name="TBbf5711fc_3780_4582_bae7_93a81c7064a8" hidden="1">#REF!</definedName>
    <definedName name="TBbf5bb103_2fce_4860_8e0f_e1adea3fbbc6" hidden="1">#REF!</definedName>
    <definedName name="TBbf612bea_1c0f_47d0_bcf8_bd77109d8ba7" hidden="1">#REF!</definedName>
    <definedName name="TBbf671d5c_53e3_4412_83be_f3817fb30751" hidden="1">#REF!</definedName>
    <definedName name="TBbf70dcde_bab7_4af8_bb0b_de8589f919ba" hidden="1">#REF!</definedName>
    <definedName name="TBbf733375_8c01_46bb_a179_c2df15ba6b7d" hidden="1">#REF!</definedName>
    <definedName name="TBbf80a2b6_8083_4949_9b2a_8df897b9b3b4" hidden="1">#REF!</definedName>
    <definedName name="TBbf819ac2_0989_4106_a5ea_9ca72d7a0bc5" hidden="1">#REF!</definedName>
    <definedName name="TBbf84ee8f_05f6_4715_900f_38aa1915208e" hidden="1">#REF!</definedName>
    <definedName name="TBbf96185c_5c7c_4170_8609_f057ca20bcee" hidden="1">#REF!</definedName>
    <definedName name="TBbf9b3d7a_10b4_4445_8866_4aff945ba7f5" hidden="1">#REF!</definedName>
    <definedName name="TBbfa07739_1943_4a0d_a00f_01f4dc7881d5" hidden="1">#REF!</definedName>
    <definedName name="TBbfb96343_513b_4411_968d_547fe780210e" hidden="1">#REF!</definedName>
    <definedName name="TBbfbebb67_c44d_4aab_a9b1_392e17addeab" hidden="1">#REF!</definedName>
    <definedName name="TBbfcfcfba_d150_4802_811b_6fc6d84f1c37" hidden="1">#REF!</definedName>
    <definedName name="TBbfdd9d6e_bd5d_491a_9d2f_749fabe6696d" hidden="1">#REF!</definedName>
    <definedName name="TBbfe4982a_fe01_4e27_9bed_52950540ef47" hidden="1">#REF!</definedName>
    <definedName name="TBbfeeba63_47d8_40da_ba78_fc9ec18554d2" hidden="1">#REF!</definedName>
    <definedName name="TBbffb2922_b12f_4d1f_be56_b3f80ec021a8" hidden="1">#REF!</definedName>
    <definedName name="TBbffbf265_4883_44e2_95ed_21aaa49d7a20" hidden="1">#REF!</definedName>
    <definedName name="TBbffeb13a_1ecb_43f8_8eb5_121f56e72f37" hidden="1">#REF!</definedName>
    <definedName name="TBc006de63_c44b_416a_9eb0_4e18c4f8e091" hidden="1">#REF!</definedName>
    <definedName name="TBc0176a22_cf51_4578_b4c5_d045d9b5eb42" hidden="1">#REF!</definedName>
    <definedName name="TBc0184617_4bff_425c_8a35_7797fe86dd99" hidden="1">#REF!</definedName>
    <definedName name="TBc01afec2_5f8c_43ab_ab62_ac07d06932c1" hidden="1">#REF!</definedName>
    <definedName name="TBc01eff30_6eb7_462f_8459_5c4e07768e25" hidden="1">#REF!</definedName>
    <definedName name="TBc027f9d7_1950_4adc_a36a_4ce277f54883" hidden="1">#REF!</definedName>
    <definedName name="TBc0280f2d_a91e_4350_a75f_ba378be88530" hidden="1">#REF!</definedName>
    <definedName name="TBc02973ab_8079_4bf6_833e_893dfdbd50a1" hidden="1">#REF!</definedName>
    <definedName name="TBc0354b73_9e9d_4f8a_9df5_8958f8c740ba" hidden="1">#REF!</definedName>
    <definedName name="TBc03aa361_c130_4805_83b4_179ce9f1f319" hidden="1">#REF!</definedName>
    <definedName name="TBc046127e_8dff_4f05_b8f8_7a294571a289" hidden="1">#REF!</definedName>
    <definedName name="TBc046b7ab_b128_4fdf_9121_851184032c38" hidden="1">#REF!</definedName>
    <definedName name="TBc054d25d_a3da_4bb4_bc13_77f662bf6e58" hidden="1">#REF!</definedName>
    <definedName name="TBc05af3e2_aa2b_4cd2_9439_497605a6a29c" hidden="1">#REF!</definedName>
    <definedName name="TBc05d1e0c_ba55_412d_aebc_719605db507f" hidden="1">#REF!</definedName>
    <definedName name="TBc05fcaa3_d2cb_464d_9580_546176314fc5" hidden="1">#REF!</definedName>
    <definedName name="TBc060efe0_65c9_4f59_883d_5005e700215e" hidden="1">#REF!</definedName>
    <definedName name="TBc069e970_76af_4045_86af_328d5a56a432" hidden="1">#REF!</definedName>
    <definedName name="TBc07e7d07_e1fb_4b71_a425_16cf42e3001a" hidden="1">#REF!</definedName>
    <definedName name="TBc08f9e1e_3c78_449f_8c88_c8f3099388eb" hidden="1">#REF!</definedName>
    <definedName name="TBc0961fad_90ad_4997_a7f3_4fdce9546212" hidden="1">#REF!</definedName>
    <definedName name="TBc0aae124_77c2_4fae_b577_f3b04828645a" hidden="1">#REF!</definedName>
    <definedName name="TBc0b176d9_90ad_4528_a395_4edcd9017c2b" hidden="1">#REF!</definedName>
    <definedName name="TBc0b39e1c_cb19_4162_bd56_e3794e27880b" hidden="1">#REF!</definedName>
    <definedName name="TBc0cd6a73_8441_483f_b153_8313daee47ee" hidden="1">#REF!</definedName>
    <definedName name="TBc0d67914_e025_4f6a_9ddd_3551ea5b4caf" hidden="1">#REF!</definedName>
    <definedName name="TBc0d79723_a3c6_445b_9505_a898ef7bef89" hidden="1">#REF!</definedName>
    <definedName name="TBc0e159eb_33c1_41c3_a472_069699654a63" hidden="1">#REF!</definedName>
    <definedName name="TBc0e77722_e234_435c_8bd8_fa390ce4c3cd" hidden="1">#REF!</definedName>
    <definedName name="TBc0f00364_12fe_4b4c_9f2c_d42fe7eaaef4" hidden="1">#REF!</definedName>
    <definedName name="TBc0fb9f8b_7887_4d05_97c7_16a878b1bd1d" hidden="1">#REF!</definedName>
    <definedName name="TBc10bc61a_0bfc_4555_b59a_8ea223300ffe" hidden="1">#REF!</definedName>
    <definedName name="TBc115777d_f12b_45a9_bee3_ebca99a912ba" hidden="1">#REF!</definedName>
    <definedName name="TBc11fc65a_b99a_43f7_aac1_9622ba5dcc91" hidden="1">#REF!</definedName>
    <definedName name="TBc1251d34_0160_42ae_ba37_221a2ffccf46" hidden="1">#REF!</definedName>
    <definedName name="TBc1371e28_111b_413e_ba78_72c56bcd6a35" hidden="1">#REF!</definedName>
    <definedName name="TBc13d8be7_393f_400a_b684_e5c875f933a4" hidden="1">#REF!</definedName>
    <definedName name="TBc147ce3d_eb6e_4b56_8bff_f01c14491b1e" hidden="1">#REF!</definedName>
    <definedName name="TBc14b95a5_7319_4925_8567_472ae4d97656" hidden="1">#REF!</definedName>
    <definedName name="TBc151785d_a911_4c4d_a167_38fe7e187bc9" hidden="1">#REF!</definedName>
    <definedName name="TBc1764737_e1f7_44b3_9108_cc5d9dde8835" hidden="1">#REF!</definedName>
    <definedName name="TBc186216b_16d6_4b89_8d27_2620598b3064" hidden="1">#REF!</definedName>
    <definedName name="TBc186e573_53a0_436e_9f30_898dba0bb37f" hidden="1">#REF!</definedName>
    <definedName name="TBc1965b07_2fe3_4696_b379_34789a2f0a09" hidden="1">#REF!</definedName>
    <definedName name="TBc1a4bfd2_662c_442c_89a8_e4d7982b8829" hidden="1">#REF!</definedName>
    <definedName name="TBc1a654e6_bc1b_4b45_818a_fe39d6a5de4a" hidden="1">#REF!</definedName>
    <definedName name="TBc1b018bc_1296_44c4_9964_c10562157901" hidden="1">#REF!</definedName>
    <definedName name="TBc1c0da38_7991_4dbf_9865_2926c1ebbed6" hidden="1">#REF!</definedName>
    <definedName name="TBc1c2025e_8462_4016_b5e4_c1170e29a0b8" hidden="1">#REF!</definedName>
    <definedName name="TBc1d67d7f_22ef_4da1_81d1_c0afe8a2fd06" hidden="1">#REF!</definedName>
    <definedName name="TBc1d7b3d1_97d3_4d7d_8ece_2b6e9410f4f8" hidden="1">#REF!</definedName>
    <definedName name="TBc1d7bdc1_c026_4f84_8cf1_a073f5a4306f" hidden="1">#REF!</definedName>
    <definedName name="TBc1dea276_1973_4930_a167_0d973fbf01f5" hidden="1">#REF!</definedName>
    <definedName name="TBc1e0eb1b_bbf4_4685_a31d_251fe0605404" hidden="1">#REF!</definedName>
    <definedName name="TBc1ef83eb_20d8_4372_91ae_3dad65f85166" hidden="1">#REF!</definedName>
    <definedName name="TBc1f10481_2893_440d_b385_dd547089359b" hidden="1">#REF!</definedName>
    <definedName name="TBc1f763a1_4a10_4881_b351_fa496e38e642" hidden="1">#REF!</definedName>
    <definedName name="TBc201d4ac_c81d_4092_b0b0_5bd9aaea3302" hidden="1">#REF!</definedName>
    <definedName name="TBc2058ef6_40de_4fe8_ad0b_4d8d7668ea13" hidden="1">#REF!</definedName>
    <definedName name="TBc212aabf_4118_42a5_bede_ffb73def9dad" hidden="1">#REF!</definedName>
    <definedName name="TBc2142228_2f33_49dd_8d03_40c863680c74" hidden="1">#REF!</definedName>
    <definedName name="TBc21bed33_5afd_4cbd_8f19_9c1897ca2f94" hidden="1">#REF!</definedName>
    <definedName name="TBc22899fa_3a29_44f6_af03_044824d45a17" hidden="1">#REF!</definedName>
    <definedName name="TBc228a598_b567_40bc_8c5b_4ab1eee99b09" hidden="1">#REF!</definedName>
    <definedName name="TBc22c7116_0f5a_41f6_8394_fe844248b89d" hidden="1">#REF!</definedName>
    <definedName name="TBc2313bcd_7ecb_4e21_a712_ce3bffcbb290" hidden="1">#REF!</definedName>
    <definedName name="TBc233ac19_7e4f_4430_9ba8_856f7e06f45a" hidden="1">#REF!</definedName>
    <definedName name="TBc233d8e1_800d_43f8_8960_65beca674e8a" hidden="1">#REF!</definedName>
    <definedName name="TBc2355479_ac49_450b_b125_09b5a9d696e5" hidden="1">#REF!</definedName>
    <definedName name="TBc2435ad2_071f_4086_802b_c86355228c99" hidden="1">#REF!</definedName>
    <definedName name="TBc24900dd_cb33_4126_a145_266aa88995cc" hidden="1">#REF!</definedName>
    <definedName name="TBc24b7788_6686_4634_a59a_9f3881bd1753" hidden="1">#REF!</definedName>
    <definedName name="TBc25c7aeb_97d6_40eb_96af_01507c0664fb" hidden="1">#REF!</definedName>
    <definedName name="TBc2697ed8_9ea4_464a_bf91_5943b0e23fb6" hidden="1">#REF!</definedName>
    <definedName name="TBc278589a_f003_46bf_a73a_687db3a21568" hidden="1">#REF!</definedName>
    <definedName name="TBc2886e8d_9581_40ba_8942_e2e933fe08af" hidden="1">#REF!</definedName>
    <definedName name="TBc2932a5e_177f_4666_8371_b6446de33034" hidden="1">#REF!</definedName>
    <definedName name="TBc29c89bd_4eeb_4890_9a82_4e4abea80f80" hidden="1">#REF!</definedName>
    <definedName name="TBc29f4958_2862_4193_9c8b_401d5a00c227" hidden="1">#REF!</definedName>
    <definedName name="TBc2a57ce8_0cec_451e_99ca_37af52f03ae0" hidden="1">#REF!</definedName>
    <definedName name="TBc2c96e99_6439_4632_ac05_c88b5a419ba9" hidden="1">#REF!</definedName>
    <definedName name="TBc2d4edaa_eb03_4e4a_8711_cbd9b259ba3f" hidden="1">#REF!</definedName>
    <definedName name="TBc2d7da52_d31a_4d85_9900_76d697dcf1cf" hidden="1">#REF!</definedName>
    <definedName name="TBc2e65491_3e83_4f83_913c_8ddc3df9a33b" hidden="1">#REF!</definedName>
    <definedName name="TBc2e65fa6_7428_4a80_a30b_4b32d69e299b" hidden="1">#REF!</definedName>
    <definedName name="TBc2f22123_d034_4bfb_b283_28a7f85069af" hidden="1">#REF!</definedName>
    <definedName name="TBc2fcb485_5b10_46c8_a6a8_aac2afffb862" hidden="1">#REF!</definedName>
    <definedName name="TBc3068988_142e_454c_92b3_bad95de01c75" hidden="1">#REF!</definedName>
    <definedName name="TBc3278675_7add_49bc_974d_c292b685666d" hidden="1">#REF!</definedName>
    <definedName name="TBc32e221a_7b9d_4a77_ade4_4866ad42941c" hidden="1">#REF!</definedName>
    <definedName name="TBc34854ac_f669_4452_a538_af0f386bcc50" hidden="1">#REF!</definedName>
    <definedName name="TBc34a91b5_1602_4cb8_ae70_be7abe4ae15d" hidden="1">#REF!</definedName>
    <definedName name="TBc3669f7b_207c_4730_b12d_2d83708e6909" hidden="1">#REF!</definedName>
    <definedName name="TBc36d7461_5ba5_4088_85a2_8d62787fe978" hidden="1">#REF!</definedName>
    <definedName name="TBc383944a_167c_491d_b45e_a7ae92ead896" hidden="1">#REF!</definedName>
    <definedName name="TBc39e1042_f9ec_4170_ae0d_8e58b66bbdda" hidden="1">#REF!</definedName>
    <definedName name="TBc3a417b1_1bdd_4e0a_aff6_44cc1400addb" hidden="1">#REF!</definedName>
    <definedName name="TBc3ab60d6_076e_4096_a3de_a317a242781e" hidden="1">#REF!</definedName>
    <definedName name="TBc3bcef17_e8a6_4156_8341_2523a7bbcba6" hidden="1">#REF!</definedName>
    <definedName name="TBc3c30b25_fd28_482e_b36e_8fee68d87968" hidden="1">#REF!</definedName>
    <definedName name="TBc3c3386b_3b6e_4941_aa95_3409808bfb16" hidden="1">#REF!</definedName>
    <definedName name="TBc3c5970e_5889_4cd5_9871_b77a1a4d7bbe" hidden="1">#REF!</definedName>
    <definedName name="TBc3cb815e_bec7_4e7e_a1db_47c78a1824c4" hidden="1">#REF!</definedName>
    <definedName name="TBc3cea4b2_8525_4867_87d0_e88a28ae8eb0" hidden="1">#REF!</definedName>
    <definedName name="TBc3d07487_25ab_4bdd_9219_d688f30352fa" hidden="1">#REF!</definedName>
    <definedName name="TBc3dee84f_c4c4_420f_b4af_5aa04991b8fa" hidden="1">#REF!</definedName>
    <definedName name="TBc3e04c16_5a5b_4990_8f1e_34ee65eac662" hidden="1">#REF!</definedName>
    <definedName name="TBc3f4c05a_4854_4f34_8600_90b34daaf900" hidden="1">#REF!</definedName>
    <definedName name="TBc412d016_51ef_42e7_878d_61a7d33cf32b" hidden="1">#REF!</definedName>
    <definedName name="TBc4199b64_3231_4c66_955b_56ad2086f497" hidden="1">#REF!</definedName>
    <definedName name="TBc4290561_1072_48f3_981e_9f8f84b606e0" hidden="1">#REF!</definedName>
    <definedName name="TBc42cba1f_f8ca_4b18_b3ca_592aed5e89d7" hidden="1">#REF!</definedName>
    <definedName name="TBc4324434_8671_4c95_bf4f_b9f7d13ba962" hidden="1">#REF!</definedName>
    <definedName name="TBc432d25a_b704_4c9a_be9a_57527f5d700f" hidden="1">#REF!</definedName>
    <definedName name="TBc453c72c_62f0_4bee_9b98_8f661d22bc98" hidden="1">#REF!</definedName>
    <definedName name="TBc454487d_0b4e_4fce_b608_269682eb635a" hidden="1">#REF!</definedName>
    <definedName name="TBc45e2825_214e_4de6_86c2_27132babe8a0" hidden="1">#REF!</definedName>
    <definedName name="TBc465d76f_bb9d_4906_842f_d47ceedadd59" hidden="1">#REF!</definedName>
    <definedName name="TBc46d0e9b_f682_43e9_9dba_96d1802384be" hidden="1">#REF!</definedName>
    <definedName name="TBc46e5f38_6d8b_4671_9d78_916ae8a7f5b7" hidden="1">#REF!</definedName>
    <definedName name="TBc471ecd9_da01_4361_a5a8_72795bddbd44" hidden="1">#REF!</definedName>
    <definedName name="TBc47428d6_6a34_4a50_8e3a_dcd9def8f211" hidden="1">#REF!</definedName>
    <definedName name="TBc4764b7a_8099_4f26_a4ec_a90620bfb2e4" hidden="1">#REF!</definedName>
    <definedName name="TBc47ff79b_61aa_4680_ae36_db11ab1d99aa" hidden="1">#REF!</definedName>
    <definedName name="TBc482dc90_372a_4fdc_9fd8_ff0e63404b9d" hidden="1">#REF!</definedName>
    <definedName name="TBc484ad92_56f4_4a34_b8dd_7e80563df005" hidden="1">#REF!</definedName>
    <definedName name="TBc48bc566_03fb_41d5_a782_0c8518b2d6b4" hidden="1">#REF!</definedName>
    <definedName name="TBc4959ad5_cc89_4c3e_ac7e_db400da147c2" hidden="1">#REF!</definedName>
    <definedName name="TBc49fcf7f_7bb4_4896_a57d_60fc705fc14d" hidden="1">#REF!</definedName>
    <definedName name="TBc4a090a4_bebd_49d8_9df5_ac323d399329" hidden="1">#REF!</definedName>
    <definedName name="TBc4a6712b_c12d_465e_b92d_24419e0e6e01" hidden="1">#REF!</definedName>
    <definedName name="TBc4a82e3f_423b_47a1_9354_36d6e921fdac" hidden="1">#REF!</definedName>
    <definedName name="TBc4b09bde_5e00_4a01_9d7b_3d42b2e56608" hidden="1">#REF!</definedName>
    <definedName name="TBc4ca4516_e32b_4d9b_8229_a2a8633e5aba" hidden="1">#REF!</definedName>
    <definedName name="TBc4d4daf7_387a_424f_8ab3_a7dec2f98f8c" hidden="1">#REF!</definedName>
    <definedName name="TBc4db97c5_781e_4d05_be9d_a890b1715f7c" hidden="1">#REF!</definedName>
    <definedName name="TBc4e7d0c6_195f_4b9d_84f2_8c164b0bbae2" hidden="1">#REF!</definedName>
    <definedName name="TBc4e8941b_382f_464b_b3ff_d3fb661030f3" hidden="1">#REF!</definedName>
    <definedName name="TBc4f42bc3_93a4_4059_9a09_8c4525c2c4cd" hidden="1">#REF!</definedName>
    <definedName name="TBc4f5449d_6669_4e28_b53e_4b4ad52b82e3" hidden="1">#REF!</definedName>
    <definedName name="TBc4f9d976_a8d3_4004_86e7_2ac530528897" hidden="1">#REF!</definedName>
    <definedName name="TBc511627e_c0d9_4418_83fb_3ffd68ff6c1b" hidden="1">#REF!</definedName>
    <definedName name="TBc51686fe_13ed_40dd_b68e_54d5d6e1593d" hidden="1">#REF!</definedName>
    <definedName name="TBc51bf8a6_5ec5_497d_bf0e_d1f66339ada1" hidden="1">#REF!</definedName>
    <definedName name="TBc52aa67d_1d57_4a64_8e62_4a27dbdfdc8e" hidden="1">#REF!</definedName>
    <definedName name="TBc52b1a83_225d_445e_b046_1c2aac790890" hidden="1">#REF!</definedName>
    <definedName name="TBc52dedf6_3199_41a9_b064_e55ce2339275" hidden="1">#REF!</definedName>
    <definedName name="TBc53ad652_25f6_4f19_a436_95d87b8891ae" hidden="1">#REF!</definedName>
    <definedName name="TBc544b22b_00ae_4b95_9467_b520a9f7c8a5" hidden="1">#REF!</definedName>
    <definedName name="TBc548edad_2ca7_4e69_9d7d_00ad8afe86c0" hidden="1">#REF!</definedName>
    <definedName name="TBc561ca00_f69c_4153_a3ef_a7adf3609352" hidden="1">#REF!</definedName>
    <definedName name="TBc5623f54_53a5_4897_bb5f_dc374083fed4" hidden="1">#REF!</definedName>
    <definedName name="TBc567e62d_c708_4350_a633_bd99d6ad65e2" hidden="1">#REF!</definedName>
    <definedName name="TBc58628b9_6998_4525_a6ea_d60516aa9e96" hidden="1">#REF!</definedName>
    <definedName name="TBc58e12a8_2452_4960_9bae_66a29b1ae95b" hidden="1">#REF!</definedName>
    <definedName name="TBc598795d_5878_4e74_8d3e_65c2b416d5c3" hidden="1">#REF!</definedName>
    <definedName name="TBc599b528_e508_4fc3_9dbe_48f45ab111ad" hidden="1">#REF!</definedName>
    <definedName name="TBc59dd61d_8ec1_4846_8e81_64175d4d9146" hidden="1">#REF!</definedName>
    <definedName name="TBc5a401a0_9864_4745_9944_b5822f891b52" hidden="1">#REF!</definedName>
    <definedName name="TBc5b2be2e_2745_4041_87e0_216455e66f11" hidden="1">#REF!</definedName>
    <definedName name="TBc5b61f7b_71d2_4c61_b881_d5245090912e" hidden="1">#REF!</definedName>
    <definedName name="TBc5b7d4eb_949f_46a1_b0b7_7f98386afe6b" hidden="1">#REF!</definedName>
    <definedName name="TBc5b9dde1_c662_4919_ada6_205c45780e7a" hidden="1">#REF!</definedName>
    <definedName name="TBc5bcbce8_6c54_4f87_916d_9b6b5fa9c1af" hidden="1">#REF!</definedName>
    <definedName name="TBc5c62633_2f1d_40af_99de_a07ade90373d" hidden="1">#REF!</definedName>
    <definedName name="TBc5cb8788_b741_4828_9a97_c5ac6e077b58" hidden="1">#REF!</definedName>
    <definedName name="TBc5dd658b_f901_48ab_acda_5b7a89602461" hidden="1">#REF!</definedName>
    <definedName name="TBc5e050db_24f6_4194_99cc_3114010efc4f" hidden="1">#REF!</definedName>
    <definedName name="TBc5e3fd75_60b6_440c_ae08_ffcbf953ac72" hidden="1">#REF!</definedName>
    <definedName name="TBc5e6b30e_524c_45da_8b7a_417f10acda33" hidden="1">#REF!</definedName>
    <definedName name="TBc5e8ecd8_cbea_4d87_99b5_65bcd31a2b26" hidden="1">#REF!</definedName>
    <definedName name="TBc5ed7b41_ef7e_40d3_9a23_b57f6ff053a8" hidden="1">#REF!</definedName>
    <definedName name="TBc61600ac_0663_48fa_a9b2_0743397e4276" hidden="1">#REF!</definedName>
    <definedName name="TBc626b6ec_adba_466d_b182_c06763cc2412" hidden="1">#REF!</definedName>
    <definedName name="TBc63a2af0_4ed6_434a_b11c_6c71276d70d4" hidden="1">#REF!</definedName>
    <definedName name="TBc63e8219_4707_4154_a9df_47179a6ece53" hidden="1">#REF!</definedName>
    <definedName name="TBc6449310_edb2_4115_8fe4_64fb378f5a8d" hidden="1">#REF!</definedName>
    <definedName name="TBc65f5a26_80a4_4fa3_a95b_de0bfb0bcd7a" hidden="1">#REF!</definedName>
    <definedName name="TBc672948c_bf5c_4450_8f3b_2caaec3e20c3" hidden="1">#REF!</definedName>
    <definedName name="TBc67dabe6_1569_473b_a7f6_219d95f86fe2" hidden="1">#REF!</definedName>
    <definedName name="TBc69a6b44_35b2_4953_a7c0_462d94fb1445" hidden="1">#REF!</definedName>
    <definedName name="TBc69daba4_3530_4331_8078_7b447481217b" hidden="1">#REF!</definedName>
    <definedName name="TBc69e5d82_bf1b_4c5f_a81e_03a98fa41a81" hidden="1">#REF!</definedName>
    <definedName name="TBc6afffd1_abc9_4af5_aaba_8e09d36c8b0d" hidden="1">#REF!</definedName>
    <definedName name="TBc6c272e1_79a6_4d80_8845_392e4d107ed1" hidden="1">#REF!</definedName>
    <definedName name="TBc6f48904_bbd7_4799_a9d2_febada400162" hidden="1">#REF!</definedName>
    <definedName name="TBc6f4d51e_1692_4b29_8684_b58aee4d57a4" hidden="1">#REF!</definedName>
    <definedName name="TBc6f98a90_db40_4f3e_a6b3_68b0d25d2a1d" hidden="1">#REF!</definedName>
    <definedName name="TBc704f844_9061_4b74_a6b2_23ac0ee021f8" hidden="1">#REF!</definedName>
    <definedName name="TBc70e5864_8fe0_470b_b86f_847495f4314a" hidden="1">#REF!</definedName>
    <definedName name="TBc71171dd_cefe_450a_a001_31390846e184" hidden="1">#REF!</definedName>
    <definedName name="TBc7201adf_f5cc_447b_9d25_92c9704d7a76" hidden="1">#REF!</definedName>
    <definedName name="TBc72eeaab_988f_48e2_a2c7_5584323d65c9" hidden="1">#REF!</definedName>
    <definedName name="TBc73186cf_6674_4f47_b210_2383efccf34e" hidden="1">#REF!</definedName>
    <definedName name="TBc7496ee6_5709_44d0_b51c_d939fcc6e741" hidden="1">#REF!</definedName>
    <definedName name="TBc753ca86_3f82_42fd_8cf3_f5f28dcc2ff6" hidden="1">#REF!</definedName>
    <definedName name="TBc75c907e_ea4b_4201_8d70_bd526bfd1f4e" hidden="1">#REF!</definedName>
    <definedName name="TBc77acaee_59ea_45ea_a81a_157deefbdbd2" hidden="1">#REF!</definedName>
    <definedName name="TBc780672d_dfe5_493f_90dc_f8ef3a72dcdb" hidden="1">#REF!</definedName>
    <definedName name="TBc7890db4_67a2_44bd_97dc_aad8fffec84b" hidden="1">#REF!</definedName>
    <definedName name="TBc78a5465_d604_4dfe_abfe_770d5592e23f" hidden="1">#REF!</definedName>
    <definedName name="TBc792408d_b7df_4dad_a44c_d83963ab1754" hidden="1">#REF!</definedName>
    <definedName name="TBc7b7cc6a_49c1_41d4_ad80_e21d324462c9" hidden="1">#REF!</definedName>
    <definedName name="TBc7c2751b_cf50_40e7_9837_b91245214973" hidden="1">#REF!</definedName>
    <definedName name="TBc7c7a8ad_2f2b_4fd8_b957_c1b59f4d990e" hidden="1">#REF!</definedName>
    <definedName name="TBc7cec05e_9080_4fa1_8253_50a995c73571" hidden="1">#REF!</definedName>
    <definedName name="TBc7d9b8bd_f7ea_4034_97fe_3d0afbc34983" hidden="1">#REF!</definedName>
    <definedName name="TBc7e1d966_af57_4591_b565_222fe3fd4197" hidden="1">#REF!</definedName>
    <definedName name="TBc800c043_155f_4b87_820a_46e02321a16d" hidden="1">#REF!</definedName>
    <definedName name="TBc801b3a8_8168_4f40_9c28_9da29daabe7b" hidden="1">#REF!</definedName>
    <definedName name="TBc8112a93_f71a_4fe7_8953_36279743d312" hidden="1">#REF!</definedName>
    <definedName name="TBc8130c7d_f80b_4c93_8d32_5666cefda415" hidden="1">#REF!</definedName>
    <definedName name="TBc814436a_af8f_4bee_8fca_f3487503272b" hidden="1">#REF!</definedName>
    <definedName name="TBc8161146_0a66_4607_ba8c_e18884cf3ebb" hidden="1">#REF!</definedName>
    <definedName name="TBc81e52b1_9464_4306_a2db_0d2a44398897" hidden="1">#REF!</definedName>
    <definedName name="TBc81f8ada_1cbc_428f_affa_6c6f98cb5bd5" hidden="1">#REF!</definedName>
    <definedName name="TBc821505e_959b_4bca_bcf6_7187664a6ee6" hidden="1">#REF!</definedName>
    <definedName name="TBc825705e_ddae_4536_8daf_948cae6850ce" hidden="1">#REF!</definedName>
    <definedName name="TBc82a6fbd_db04_4b6a_bfe2_f4d009408ade" hidden="1">#REF!</definedName>
    <definedName name="TBc82aee71_fc6f_4476_97d6_512ea9060ed7" hidden="1">#REF!</definedName>
    <definedName name="TBc83b9572_1291_4b8c_9196_1d0d3ca6aefe" hidden="1">#REF!</definedName>
    <definedName name="TBc83d283d_b6f7_4f72_a6d7_64fc8214ef15" hidden="1">#REF!</definedName>
    <definedName name="TBc846e3de_d7b7_4670_8e5b_19d446dd7f5e" hidden="1">#REF!</definedName>
    <definedName name="TBc85be957_f7b1_44b0_a448_d263d6da114b" hidden="1">#REF!</definedName>
    <definedName name="TBc870fb95_af8f_48bc_9195_aae0c7098c1f" hidden="1">#REF!</definedName>
    <definedName name="TBc87743a3_f818_4439_ab9e_b9d240df0841" hidden="1">#REF!</definedName>
    <definedName name="TBc88a62b5_357f_4701_b15e_b5d4f3486adb" hidden="1">#REF!</definedName>
    <definedName name="TBc88b926b_596b_4638_9802_5c1940b2c672" hidden="1">#REF!</definedName>
    <definedName name="TBc8a32def_5c79_44b0_8e53_e690a7c733c1" hidden="1">#REF!</definedName>
    <definedName name="TBc8ad727f_3acb_4f0c_843d_a5f71897973a" hidden="1">#REF!</definedName>
    <definedName name="TBc8c45d43_3e77_43a2_9efa_fe29c000a7b9" hidden="1">#REF!</definedName>
    <definedName name="TBc8cf5f36_a063_49b3_ae60_e3aa0eb9faf0" hidden="1">#REF!</definedName>
    <definedName name="TBc8f3e67e_7d1f_48f6_8d65_036b93fdd289" hidden="1">#REF!</definedName>
    <definedName name="TBc8f4b264_b81b_46ab_abc9_3ff21a613b00" hidden="1">#REF!</definedName>
    <definedName name="TBc8f51cb9_a98e_4415_a0bf_7192ab649949" hidden="1">#REF!</definedName>
    <definedName name="TBc90e0b29_3344_476c_acf4_30420ebeca29" hidden="1">#REF!</definedName>
    <definedName name="TBc90fe0b3_d2a8_4120_a51b_ec8de08f600a" hidden="1">#REF!</definedName>
    <definedName name="TBc91ae9f6_7ef4_4dc3_a7e4_0ddb7b327e6f" hidden="1">#REF!</definedName>
    <definedName name="TBc92fc349_79b3_4e37_844d_bb53f3e20007" hidden="1">#REF!</definedName>
    <definedName name="TBc932c6ce_7f06_4254_81db_ad6f5dc5d474" hidden="1">#REF!</definedName>
    <definedName name="TBc934c648_d0f9_4991_9d6a_fdecdc622ec6" hidden="1">#REF!</definedName>
    <definedName name="TBc93c9622_d7a0_4787_a787_41f0dffaf5ef" hidden="1">#REF!</definedName>
    <definedName name="TBc9423430_025b_4a97_b064_2dc0b8790325" hidden="1">#REF!</definedName>
    <definedName name="TBc94f03b5_5360_4538_bf71_61aeaa4d7c6d" hidden="1">#REF!</definedName>
    <definedName name="TBc94ff455_80b4_42a2_b1ef_5b7564b6248b" hidden="1">#REF!</definedName>
    <definedName name="TBc958e65a_8d92_4194_b2cf_697db8e799c2" hidden="1">#REF!</definedName>
    <definedName name="TBc95e9b3c_160e_470b_9927_7e70d911b0ae" hidden="1">#REF!</definedName>
    <definedName name="TBc97b91da_589a_4776_ab2d_5a9516f9c3ba" hidden="1">#REF!</definedName>
    <definedName name="TBc97f846c_aed6_4ffa_9ec8_d04aeb514a19" hidden="1">#REF!</definedName>
    <definedName name="TBc984ef42_72c9_4b7c_bf1c_e8d95c6a2056" hidden="1">#REF!</definedName>
    <definedName name="TBc9969596_b90b_4222_82c3_f96a661a6a92" hidden="1">#REF!</definedName>
    <definedName name="TBc99741b6_4172_4e13_a3bb_80f79fa87304" hidden="1">#REF!</definedName>
    <definedName name="TBc999e8e9_4330_4ec6_a48d_a372243cbcbe" hidden="1">#REF!</definedName>
    <definedName name="TBc99b3201_efe5_4ed5_a473_64985280f403" hidden="1">#REF!</definedName>
    <definedName name="TBc9ac9634_94c1_49bc_87a0_6b87e59c747e" hidden="1">#REF!</definedName>
    <definedName name="TBc9bd2814_5b64_450a_8d3b_303f98e64d0d" hidden="1">#REF!</definedName>
    <definedName name="TBc9c567eb_8f16_4c3e_8060_6c9a16d553dc" hidden="1">#REF!</definedName>
    <definedName name="TBc9d3b515_a32b_451b_92c7_a69545982059" hidden="1">#REF!</definedName>
    <definedName name="TBc9d54eae_5eac_41c8_bf51_d61c24289f6b" hidden="1">#REF!</definedName>
    <definedName name="TBc9d68477_7636_4c44_bea6_e8e9f8de0e04" hidden="1">#REF!</definedName>
    <definedName name="TBc9e262b8_316d_46c9_9cd2_c1f594713c77" hidden="1">#REF!</definedName>
    <definedName name="TBc9e6a92b_be00_4378_bcbb_c5f02214c765" hidden="1">#REF!</definedName>
    <definedName name="TBc9ee0070_c343_4dec_8d93_8d85ef7ba43f" hidden="1">#REF!</definedName>
    <definedName name="TBc9f4d847_70dd_463b_b67e_3fd376a46b23" hidden="1">#REF!</definedName>
    <definedName name="TBc9fd7a72_bc37_4b80_a348_46ee5c6670fc" hidden="1">#REF!</definedName>
    <definedName name="TBc9fdad29_045f_40c6_8666_6227d86ceb53" hidden="1">#REF!</definedName>
    <definedName name="TBca0bac47_9730_4e67_a358_40ce6340b84f" hidden="1">#REF!</definedName>
    <definedName name="TBca1007ef_84a4_4911_912d_b8e158034943" hidden="1">#REF!</definedName>
    <definedName name="TBca148d5d_0718_47e0_acd4_184efdf8a3b1" hidden="1">#REF!</definedName>
    <definedName name="TBca2cd56d_80cb_4560_adba_f36ef9bee360" hidden="1">#REF!</definedName>
    <definedName name="TBca462601_9c50_4315_a50a_afd394a16660" hidden="1">#REF!</definedName>
    <definedName name="TBca484166_21d3_4070_9c57_0c5fc3aeb250" hidden="1">#REF!</definedName>
    <definedName name="TBca4b008e_b448_4959_b553_c133799cf750" hidden="1">#REF!</definedName>
    <definedName name="TBca4d9698_418b_422e_8139_350793c7acf8" hidden="1">#REF!</definedName>
    <definedName name="TBca662d31_dad3_49ee_b65e_8d04327a7b71" hidden="1">#REF!</definedName>
    <definedName name="TBca7093bc_aa21_45e0_a0c8_6a8ce0af079a" hidden="1">#REF!</definedName>
    <definedName name="TBca7808cd_c67c_40e4_bb0a_9784f4475557" hidden="1">#REF!</definedName>
    <definedName name="TBca80049e_5743_4240_b087_a26ae0aa5859" hidden="1">#REF!</definedName>
    <definedName name="TBca80339c_72e9_4651_9817_76a689523443" hidden="1">#REF!</definedName>
    <definedName name="TBcaa85977_a187_43fa_89dd_ac325bc3446e" hidden="1">#REF!</definedName>
    <definedName name="TBcaade92b_637a_4e1e_b880_6b0a4aeb776c" hidden="1">#REF!</definedName>
    <definedName name="TBcac35f1f_1138_4294_b247_cc3505815420" hidden="1">#REF!</definedName>
    <definedName name="TBcac8e373_769e_48ed_8439_479d6352f3d7" hidden="1">#REF!</definedName>
    <definedName name="TBcad3ac60_fb40_4dce_b136_ee2d3e39b4ef" hidden="1">#REF!</definedName>
    <definedName name="TBcad7b06a_ec48_4b65_82b4_cf071eed8c1c" hidden="1">#REF!</definedName>
    <definedName name="TBcaf07ce8_ad8c_4de4_a7ee_9df313b4590c" hidden="1">#REF!</definedName>
    <definedName name="TBcafa924c_63e7_451f_b0dc_e83717dc19de" hidden="1">#REF!</definedName>
    <definedName name="TBcafc81e0_d2a5_49f5_ba49_4bcd85a409b4" hidden="1">#REF!</definedName>
    <definedName name="TBcb04a159_4b33_4ec8_8fe5_dca038bce5f6" hidden="1">#REF!</definedName>
    <definedName name="TBcb14ab75_b2d3_44da_938d_5365f9543818" hidden="1">#REF!</definedName>
    <definedName name="TBcb228301_0480_42e8_a8a1_d1bb56a2a89b" hidden="1">#REF!</definedName>
    <definedName name="TBcb50cba1_b39b_438d_8a32_5598d0f4fcc9" hidden="1">#REF!</definedName>
    <definedName name="TBcb6a76c1_90f9_4742_9078_aff5f69c1cc4" hidden="1">#REF!</definedName>
    <definedName name="TBcb75a9d0_8e90_4bdf_8e6e_6afa92f7a834" hidden="1">#REF!</definedName>
    <definedName name="TBcb8a40d3_4195_41b1_8455_a505c25a2078" hidden="1">#REF!</definedName>
    <definedName name="TBcb8c1619_b6a7_4300_bec9_92a24a2fed11" hidden="1">#REF!</definedName>
    <definedName name="TBcb8da5a5_f907_434a_939b_a75c5447dab2" hidden="1">#REF!</definedName>
    <definedName name="TBcba4cd80_d462_4708_a746_48b6540030fa" hidden="1">#REF!</definedName>
    <definedName name="TBcba6076c_9ab6_428c_9649_bb90c41d49a2" hidden="1">#REF!</definedName>
    <definedName name="TBcbab3872_f1d0_4005_a7d8_b0d4c0213cdd" hidden="1">#REF!</definedName>
    <definedName name="TBcbb84fba_66f6_4c46_9f46_6b77a40a92fc" hidden="1">#REF!</definedName>
    <definedName name="TBcbc00a48_85c0_481f_b44b_548d5157a848" hidden="1">#REF!</definedName>
    <definedName name="TBcbcfacd5_022c_469d_8623_2fc2470f2f53" hidden="1">#REF!</definedName>
    <definedName name="TBcbd21e5e_4041_4fcd_a1dc_f96c24f35bc1" hidden="1">#REF!</definedName>
    <definedName name="TBcbd2dde2_bb4b_4175_8078_7ab08ba09e00" hidden="1">#REF!</definedName>
    <definedName name="TBcbd5867e_7266_4d42_a54c_4d368f27d5b1" hidden="1">#REF!</definedName>
    <definedName name="TBcbdc4e13_01d3_4d3e_a194_bf928c460938" hidden="1">#REF!</definedName>
    <definedName name="TBcbdd472b_629c_4317_94aa_396cab7d4707" hidden="1">#REF!</definedName>
    <definedName name="TBcbdf3e64_272a_486a_970c_450d3ced3746" hidden="1">#REF!</definedName>
    <definedName name="TBcbe770de_9f00_4802_bc54_bd5af10b5afb" hidden="1">#REF!</definedName>
    <definedName name="TBcbed9f0a_3f78_4165_a737_a169368291cf" hidden="1">#REF!</definedName>
    <definedName name="TBcbfd31ef_15ae_4f25_a903_df8eec21eb81" hidden="1">#REF!</definedName>
    <definedName name="TBcc20ecb4_8903_404b_9acf_39eae5c52b4f" hidden="1">#REF!</definedName>
    <definedName name="TBcc2d079d_7418_48c4_977e_2bda6bc94bb1" hidden="1">#REF!</definedName>
    <definedName name="TBcc366964_29d7_4c20_ac8b_ea3b301ff51f" hidden="1">#REF!</definedName>
    <definedName name="TBcc36d004_36a9_4d44_a2e9_54522c5dbb33" hidden="1">#REF!</definedName>
    <definedName name="TBcc4b52cd_04c6_4c39_948f_defbc5ed2490" hidden="1">#REF!</definedName>
    <definedName name="TBcc4c7779_7be4_43ef_8b2d_9273ec302661" hidden="1">#REF!</definedName>
    <definedName name="TBcc52bb9b_c7a2_48ce_814a_1e03c0fb1060" hidden="1">#REF!</definedName>
    <definedName name="TBcc57056c_fa60_494d_9bef_073b2afa1a7b" hidden="1">#REF!</definedName>
    <definedName name="TBcc6cfed0_1785_4e51_850c_4de89abee2e5" hidden="1">#REF!</definedName>
    <definedName name="TBcc6ded24_9254_489c_ac13_3c935a823125" hidden="1">#REF!</definedName>
    <definedName name="TBcc8b5f9a_1850_46a3_8868_375aa3d57f66" hidden="1">#REF!</definedName>
    <definedName name="TBcc8be584_d512_4051_b945_8bb82d31639a" hidden="1">#REF!</definedName>
    <definedName name="TBcc9c7290_4473_4697_a5fd_1491f4fb35e5" hidden="1">#REF!</definedName>
    <definedName name="TBcc9f3dbe_a717_4185_83b9_489f1c7a9cb7" hidden="1">#REF!</definedName>
    <definedName name="TBcca7e258_e5ce_4560_86b7_9be04006348b" hidden="1">#REF!</definedName>
    <definedName name="TBcca95a65_25e7_4c5d_8c72_6257bcd57627" hidden="1">#REF!</definedName>
    <definedName name="TBccafe585_be18_4bf8_8499_014085125d3c" hidden="1">#REF!</definedName>
    <definedName name="TBccd385ef_61ac_464d_9039_eef7dcb248dd" hidden="1">#REF!</definedName>
    <definedName name="TBccefbb28_280a_44ef_8243_bda74cbd639f" hidden="1">#REF!</definedName>
    <definedName name="TBccf21ecd_797f_4885_bfe2_b5f61fbeae04" hidden="1">#REF!</definedName>
    <definedName name="TBccf6a251_eba6_475f_a558_b04454edd4b6" hidden="1">#REF!</definedName>
    <definedName name="TBccf6e7ee_8296_43bb_a828_19c464ba824c" hidden="1">#REF!</definedName>
    <definedName name="TBcd1aac9e_4ea7_4e42_8b69_9abe21b86504" hidden="1">#REF!</definedName>
    <definedName name="TBcd1e0896_b822_4cdf_9ff1_befe83a5e188" hidden="1">#REF!</definedName>
    <definedName name="TBcd23407a_0dfb_4449_8fc4_9786eddaaca7" hidden="1">#REF!</definedName>
    <definedName name="TBcd2517cf_2dea_48d2_8a96_264e3d5cb552" hidden="1">#REF!</definedName>
    <definedName name="TBcd3288e9_cbcd_4e23_b374_07a2210a8fca" hidden="1">#REF!</definedName>
    <definedName name="TBcd34cdb1_8446_4e69_b96d_fde68a6fb96f" hidden="1">#REF!</definedName>
    <definedName name="TBcd38e77c_dfda_4ac9_b17b_55f7357639af" hidden="1">#REF!</definedName>
    <definedName name="TBcd4c46cd_7615_42da_923c_e63aefb64bba" hidden="1">#REF!</definedName>
    <definedName name="TBcd52cede_28aa_4449_a292_c426e86be095" hidden="1">#REF!</definedName>
    <definedName name="TBcd5c11de_41bc_4479_8074_bec608dd900f" hidden="1">#REF!</definedName>
    <definedName name="TBcd61700c_0fd4_4432_81ad_b3464fc572b5" hidden="1">#REF!</definedName>
    <definedName name="TBcd6bad36_55a1_469e_b522_5f43c8bf6153" hidden="1">#REF!</definedName>
    <definedName name="TBcd6c87fb_678a_482f_b300_f52e94059f00" hidden="1">#REF!</definedName>
    <definedName name="TBcd7c62f8_933e_4d7b_b8db_a8b569c372da" hidden="1">#REF!</definedName>
    <definedName name="TBcd85c3e2_f0b3_4d72_877f_944b6e9a82b8" hidden="1">#REF!</definedName>
    <definedName name="TBcd88b4b7_e269_4c9e_9eaf_edb9bf70b9d4" hidden="1">#REF!</definedName>
    <definedName name="TBcd902f2a_8e6a_4c9b_b5a7_937bf2ba71ba" hidden="1">#REF!</definedName>
    <definedName name="TBcd9370a9_6622_4eb6_8cfb_859449335225" hidden="1">#REF!</definedName>
    <definedName name="TBcda1ac3f_9bd1_46f2_a400_4594991a6e75" hidden="1">#REF!</definedName>
    <definedName name="TBcdad8a50_8ff0_4cfa_9af3_ec7cd40dee75" hidden="1">#REF!</definedName>
    <definedName name="TBcdad95d5_1972_456d_b95a_357f2d6bc456" hidden="1">#REF!</definedName>
    <definedName name="TBcdba582b_3f34_49cf_832f_278b130cd1ba" hidden="1">#REF!</definedName>
    <definedName name="TBcdbf978c_f8e6_4c15_899f_d48f5e11b932" hidden="1">#REF!</definedName>
    <definedName name="TBcdc90ed4_2ce1_412f_87d8_f7ec267b88a8" hidden="1">#REF!</definedName>
    <definedName name="TBcdcac244_ce15_4d70_9f01_66dcc539acbb" hidden="1">#REF!</definedName>
    <definedName name="TBcdd0eb92_fe22_4d38_a702_aef13c90ca51" hidden="1">#REF!</definedName>
    <definedName name="TBcdd13115_9ca1_466f_96e6_2d23292f5c44" hidden="1">#REF!</definedName>
    <definedName name="TBcde3895c_2ae1_469b_be50_1f017df1ae48" hidden="1">#REF!</definedName>
    <definedName name="TBcde540aa_f31f_4f2b_b4cd_268eb137ea35" hidden="1">#REF!</definedName>
    <definedName name="TBcde9a9ab_0098_4705_aabd_8906d1e2051b" hidden="1">#REF!</definedName>
    <definedName name="TBcdeda500_f1a0_468b_982e_12397b7a404a" hidden="1">#REF!</definedName>
    <definedName name="TBcdf1c79e_7463_417a_8f31_71193b000d57" hidden="1">#REF!</definedName>
    <definedName name="TBce0f8f07_e096_400e_8243_e490dcda8aca" hidden="1">#REF!</definedName>
    <definedName name="TBce156ddf_0338_4dcd_ba51_ece52aecb460" hidden="1">#REF!</definedName>
    <definedName name="TBce1b2a6b_f146_4bc8_a4f9_07454d901e88" hidden="1">#REF!</definedName>
    <definedName name="TBce1b4809_a5cd_4141_afce_56bd89dd6021" hidden="1">#REF!</definedName>
    <definedName name="TBce2af63f_89b3_4409_93de_41944b7e980a" hidden="1">#REF!</definedName>
    <definedName name="TBce2b84e8_4297_4efc_a081_bc36de9197f0" hidden="1">#REF!</definedName>
    <definedName name="TBce2d36b9_d781_4ae0_a95c_0b83b7f72594" hidden="1">#REF!</definedName>
    <definedName name="TBce2f3914_796d_45ae_a80b_ffbf57cb59df" hidden="1">#REF!</definedName>
    <definedName name="TBce312326_c87b_4749_8151_dc410b4debe5" hidden="1">#REF!</definedName>
    <definedName name="TBce368813_a23d_49b0_b796_483538d33430" hidden="1">#REF!</definedName>
    <definedName name="TBce373610_436f_450f_8ea2_d266355bf5a5" hidden="1">#REF!</definedName>
    <definedName name="TBce4d355c_519b_45eb_9076_04ac47df96d5" hidden="1">#REF!</definedName>
    <definedName name="TBce5e77f5_cdf4_4903_af7e_c3247b7db6b3" hidden="1">#REF!</definedName>
    <definedName name="TBce6342f7_7438_4f1a_9cf2_531bb4a20aa7" hidden="1">#REF!</definedName>
    <definedName name="TBce667851_5dd7_4c06_8eee_6579465c3305" hidden="1">#REF!</definedName>
    <definedName name="TBce8ba3a3_1600_4cb4_9c25_d9d028914df2" hidden="1">#REF!</definedName>
    <definedName name="TBce9334e5_a344_4c8c_86be_3ef67591cafb" hidden="1">#REF!</definedName>
    <definedName name="TBce93d869_265d_47f3_90d7_d18a2142dce6" hidden="1">#REF!</definedName>
    <definedName name="TBcea24991_bb74_4c73_921d_7c4be9590a9e" hidden="1">#REF!</definedName>
    <definedName name="TBceaa28d1_10fd_4af9_98f5_8707f336e47f" hidden="1">#REF!</definedName>
    <definedName name="TBceaf4d63_ab14_448a_a2bb_5f1e3d809ec4" hidden="1">#REF!</definedName>
    <definedName name="TBcebefe97_e0e9_424a_aa96_cfc5afa9aa76" hidden="1">#REF!</definedName>
    <definedName name="TBcec8aaa8_e1e0_44a2_ae13_37d2485f52bb" hidden="1">#REF!</definedName>
    <definedName name="TBced88e7c_b12d_4912_80c8_02f75317b7d7" hidden="1">#REF!</definedName>
    <definedName name="TBcee12758_4222_4a96_9722_745b6fc8806e" hidden="1">#REF!</definedName>
    <definedName name="TBcef28cb8_f16b_4a28_b175_c1462f1ad2ed" hidden="1">#REF!</definedName>
    <definedName name="TBcf156174_09df_48d7_9319_5f92ee896c8e" hidden="1">#REF!</definedName>
    <definedName name="TBcf197a12_4e18_4bf6_a35d_65f303dec73c" hidden="1">#REF!</definedName>
    <definedName name="TBcf1bfa38_7d75_4ab2_96f5_d20e04a631cc" hidden="1">#REF!</definedName>
    <definedName name="TBcf1c6d3b_5374_4b7a_828f_c14fb2f751ab" hidden="1">#REF!</definedName>
    <definedName name="TBcf1feb75_5756_4d94_a367_9f1bf1085ea5" hidden="1">#REF!</definedName>
    <definedName name="TBcf3ade24_2c0b_4197_b2ac_197944401e9a" hidden="1">#REF!</definedName>
    <definedName name="TBcf3c5b38_8f7e_46ab_a104_5c591fa2edab" hidden="1">#REF!</definedName>
    <definedName name="TBcf420a08_e396_4774_b420_879e2cb01b6b" hidden="1">#REF!</definedName>
    <definedName name="TBcf46056c_0ed4_4f3c_ab86_21fa96755e4e" hidden="1">#REF!</definedName>
    <definedName name="TBcf522056_d187_4f5c_a370_452b45b644f3" hidden="1">#REF!</definedName>
    <definedName name="TBcf5875df_b58e_42c8_a8d1_c63cf6ba6eb4" hidden="1">#REF!</definedName>
    <definedName name="TBcf600966_6fc9_4d09_a655_c78c24ba1fe4" hidden="1">#REF!</definedName>
    <definedName name="TBcf6a6383_0b52_418c_a27a_ae6a48dea68a" hidden="1">#REF!</definedName>
    <definedName name="TBcf6afb0e_6e49_496e_88ee_ed72f347b7c1" hidden="1">#REF!</definedName>
    <definedName name="TBcf7c91a9_051c_4e06_aa94_4eeb5bad0007" hidden="1">#REF!</definedName>
    <definedName name="TBcf8268a2_5ce3_43f0_b1f2_0426f0adf310" hidden="1">#REF!</definedName>
    <definedName name="TBcf9ca734_8342_4504_8d63_ddc55eafeda4" hidden="1">#REF!</definedName>
    <definedName name="TBcfa4c69a_ce84_461d_bd6d_af8992e8c3e0" hidden="1">#REF!</definedName>
    <definedName name="TBcfc45111_02c3_47cd_9011_3c2a039347b5" hidden="1">#REF!</definedName>
    <definedName name="TBcff3e355_59d0_4255_9afc_08b5ee546778" hidden="1">#REF!</definedName>
    <definedName name="TBcff42d59_5f59_4f59_9978_4c2dc0ba782b" hidden="1">#REF!</definedName>
    <definedName name="TBcff5beaa_5bda_49c8_8852_6b5bf6614839" hidden="1">#REF!</definedName>
    <definedName name="TBcfff8277_8e1b_4852_893c_afdce355cb2a" hidden="1">#REF!</definedName>
    <definedName name="tbd" localSheetId="4" hidden="1">Main.SAPF4Help()</definedName>
    <definedName name="tbd" localSheetId="0" hidden="1">Main.SAPF4Help()</definedName>
    <definedName name="tbd" localSheetId="2" hidden="1">Main.SAPF4Help()</definedName>
    <definedName name="tbd" localSheetId="6" hidden="1">Main.SAPF4Help()</definedName>
    <definedName name="tbd" hidden="1">Main.SAPF4Help()</definedName>
    <definedName name="TBd00f0fa7_0bf4_4076_bb4a_4b817d44df85" hidden="1">#REF!</definedName>
    <definedName name="TBd0126271_c0c6_4b5f_988a_4ff817f51cf0" hidden="1">#REF!</definedName>
    <definedName name="TBd0158e81_a2f1_481e_9f8a_b646f180ca4e" hidden="1">#REF!</definedName>
    <definedName name="TBd021ffc4_7db9_479a_841f_5cbe44a74900" hidden="1">#REF!</definedName>
    <definedName name="TBd02435bb_1401_49d1_8b79_acadb43a714a" hidden="1">#REF!</definedName>
    <definedName name="TBd02723df_361c_4699_ac11_4c9b99f827a9" hidden="1">#REF!</definedName>
    <definedName name="TBd02a2435_21e8_4774_abc3_b6118052b96d" hidden="1">#REF!</definedName>
    <definedName name="TBd031bc88_83df_4bb0_8c93_ed353864fea8" hidden="1">#REF!</definedName>
    <definedName name="TBd040af2b_586c_408c_a84c_917b6a4ab45d" hidden="1">#REF!</definedName>
    <definedName name="TBd04a806b_841d_4b0a_9ffe_57fd5d84a345" hidden="1">#REF!</definedName>
    <definedName name="TBd04b58d4_50e4_49f8_9517_a291dbb5c541" hidden="1">#REF!</definedName>
    <definedName name="TBd04f4389_00a3_4181_9279_6e7d0c858e11" hidden="1">#REF!</definedName>
    <definedName name="TBd05562f1_0807_4c01_b105_5d43d3102c8a" hidden="1">#REF!</definedName>
    <definedName name="TBd05b4405_ff99_4125_909d_5c53c0a615d2" hidden="1">#REF!</definedName>
    <definedName name="TBd05b66c8_83a7_453f_8b17_370bfb6ca47a" hidden="1">#REF!</definedName>
    <definedName name="TBd05b983b_5140_47c7_b284_7d964f02b844" hidden="1">#REF!</definedName>
    <definedName name="TBd05d040c_1bc6_407c_91ed_99f86f84e1e7" hidden="1">#REF!</definedName>
    <definedName name="TBd06fd0c4_e25c_4ed2_a05d_1a87e24d4795" hidden="1">#REF!</definedName>
    <definedName name="TBd0762658_20eb_4609_9ea0_38ed1b31df08" hidden="1">#REF!</definedName>
    <definedName name="TBd0821989_ceed_4abc_898a_ec4ed88beb58" hidden="1">#REF!</definedName>
    <definedName name="TBd092f3e7_c0e9_41d1_9f87_a4a963b86345" hidden="1">#REF!</definedName>
    <definedName name="TBd095f34c_8682_49ea_8c63_b4a01f4cf24c" hidden="1">#REF!</definedName>
    <definedName name="TBd0de47a3_9767_4e0f_a18d_f80237a954ff" hidden="1">#REF!</definedName>
    <definedName name="TBd0e5a349_9f4b_4f86_9d93_50f0378c45eb" hidden="1">#REF!</definedName>
    <definedName name="TBd0ebdfe9_44c9_4229_b727_1d51a7dfbca2" hidden="1">#REF!</definedName>
    <definedName name="TBd0f8a8f5_6833_4ff1_ae83_7683187e817a" hidden="1">#REF!</definedName>
    <definedName name="TBd1057e3a_7c84_4b05_8499_a32dc3133572" hidden="1">#REF!</definedName>
    <definedName name="TBd109304f_af82_4c81_83a5_497978790b2f" hidden="1">#REF!</definedName>
    <definedName name="TBd10ac94b_fa03_43cd_b99d_db858da9021c" hidden="1">#REF!</definedName>
    <definedName name="TBd10cf711_a58a_4cbe_92fb_3fd900ea458f" hidden="1">#REF!</definedName>
    <definedName name="TBd11191a5_7138_423a_94ab_11992d00a0cd" hidden="1">#REF!</definedName>
    <definedName name="TBd118bfdb_509f_407f_88d4_884adf469218" hidden="1">#REF!</definedName>
    <definedName name="TBd11959f9_7b34_43b1_b98d_0a43d28e1a56" hidden="1">#REF!</definedName>
    <definedName name="TBd12aff10_7d75_45f0_b6f3_5f89a8c6c4c6" hidden="1">#REF!</definedName>
    <definedName name="TBd13bd402_6565_40f4_a668_1ccd997fa686" hidden="1">#REF!</definedName>
    <definedName name="TBd15875f0_603e_4375_b6bc_ee0b74bf4df6" hidden="1">#REF!</definedName>
    <definedName name="TBd15d35ac_1caa_4bc3_b44d_d5fd8b74f25d" hidden="1">#REF!</definedName>
    <definedName name="TBd1792d3e_6b69_4434_aa21_0a9025edc711" hidden="1">#REF!</definedName>
    <definedName name="TBd1927645_695e_4323_b225_c67f5df1ed26" hidden="1">#REF!</definedName>
    <definedName name="TBd1b11d41_fc4d_4599_ad51_352170c4b163" hidden="1">#REF!</definedName>
    <definedName name="TBd1be576a_086f_4542_8696_a51587340fa8" hidden="1">#REF!</definedName>
    <definedName name="TBd1c21337_5718_4639_b87a_82457edfbdca" hidden="1">#REF!</definedName>
    <definedName name="TBd1c6819f_248d_44a9_b75d_3f8f89697d01" hidden="1">#REF!</definedName>
    <definedName name="TBd1c9c033_ca43_44a9_b7f6_9c05c6e532d2" hidden="1">#REF!</definedName>
    <definedName name="TBd1cdecb2_022d_4468_b319_cdaae739308a" hidden="1">#REF!</definedName>
    <definedName name="TBd1dbb97d_b7b3_4e9c_af17_f3663ff06b4c" hidden="1">#REF!</definedName>
    <definedName name="TBd1dbf32b_bfe0_4e91_8e6f_cf70d9e61a79" hidden="1">#REF!</definedName>
    <definedName name="TBd1ed1017_e0bd_4757_ab82_58366961e449" hidden="1">#REF!</definedName>
    <definedName name="TBd1ed5349_0b8b_4f9b_ae59_0b68d1ab308f" hidden="1">#REF!</definedName>
    <definedName name="TBd1fff625_e26c_46a9_b991_5b7bf657c509" hidden="1">#REF!</definedName>
    <definedName name="TBd20238e0_5df6_42b0_8cc9_afc6113ba6d9" hidden="1">#REF!</definedName>
    <definedName name="TBd207f206_45cd_4b4e_a4b9_bd121cfdfa11" hidden="1">#REF!</definedName>
    <definedName name="TBd21d06c0_7965_47d8_8bd2_37fe2e8566cb" hidden="1">#REF!</definedName>
    <definedName name="TBd22953e8_f94e_47dd_90d0_6c3c4b79722a" hidden="1">#REF!</definedName>
    <definedName name="TBd22bc2f2_9518_4bf8_bcaf_f992f8290279" hidden="1">#REF!</definedName>
    <definedName name="TBd22bf402_9e74_43f8_bf19_b3e429f1730e" hidden="1">#REF!</definedName>
    <definedName name="TBd2408bc0_8aaa_45b1_81d6_0049f19d4e4f" hidden="1">#REF!</definedName>
    <definedName name="TBd2437418_6fc1_49dc_aebd_f0b3764bb82e" hidden="1">#REF!</definedName>
    <definedName name="TBd24da091_159f_42be_97fe_f99ac116cab5" hidden="1">#REF!</definedName>
    <definedName name="TBd2510d4d_24ce_4aaf_bbd6_48ea10a5f259" hidden="1">#REF!</definedName>
    <definedName name="TBd2511b45_562b_46a5_a016_61b74b0130f9" hidden="1">#REF!</definedName>
    <definedName name="TBd2623198_db1f_48a0_a99b_ba5073d28fdb" hidden="1">#REF!</definedName>
    <definedName name="TBd2770173_7a9c_4357_8b4b_dcad722137f3" hidden="1">#REF!</definedName>
    <definedName name="TBd27a423f_1c15_46ca_b254_26c8294cac13" hidden="1">#REF!</definedName>
    <definedName name="TBd282f9e3_1d26_4d06_abc3_9c7a334e9056" hidden="1">#REF!</definedName>
    <definedName name="TBd2850932_a8a6_4e56_ae45_30258cab7e86" hidden="1">#REF!</definedName>
    <definedName name="TBd2868e7c_42c4_485f_b6ca_7bc42b286125" hidden="1">#REF!</definedName>
    <definedName name="TBd289c295_a8cb_4baa_b96e_eef243101f2d" hidden="1">#REF!</definedName>
    <definedName name="TBd292d9fb_714f_45ed_9a8d_5693af267c1e" hidden="1">#REF!</definedName>
    <definedName name="TBd29669bb_c6c6_443c_9f82_4192c10339c5" hidden="1">#REF!</definedName>
    <definedName name="TBd29ebadd_01a9_4b54_9e9c_7a40bfc83c91" hidden="1">#REF!</definedName>
    <definedName name="TBd2a53b4c_b5c9_46c2_9d07_d7e8ee6c2265" hidden="1">#REF!</definedName>
    <definedName name="TBd2ac0f37_2c2c_4803_971c_b57865fa8a64" hidden="1">#REF!</definedName>
    <definedName name="TBd2bc2b76_82ec_482b_b9d0_44103d81d802" hidden="1">#REF!</definedName>
    <definedName name="TBd2bea743_fe7d_4e76_9d40_63f1872e67ac" hidden="1">#REF!</definedName>
    <definedName name="TBd2bf7c15_2a67_4f11_9314_f0754f2ceb65" hidden="1">#REF!</definedName>
    <definedName name="TBd2c821f9_2b08_4086_acb3_27209aa9da18" hidden="1">#REF!</definedName>
    <definedName name="TBd2c8fcb7_37b9_4ab9_b828_b75739748db2" hidden="1">#REF!</definedName>
    <definedName name="TBd2d3bb4f_bd26_4bed_b9a6_71da5872b4ac" hidden="1">#REF!</definedName>
    <definedName name="TBd2e3ae73_a61d_440d_9355_75659962379f" hidden="1">#REF!</definedName>
    <definedName name="TBd2f22e31_7b01_4b00_95d6_eed45200ed7a" hidden="1">#REF!</definedName>
    <definedName name="TBd2fea4bf_4be5_4b49_977f_aa61937f587e" hidden="1">#REF!</definedName>
    <definedName name="TBd310a7e4_8003_4b56_9a19_9bfbcca5b63d" hidden="1">#REF!</definedName>
    <definedName name="TBd312c958_00bd_415f_b241_194590dd32e2" hidden="1">#REF!</definedName>
    <definedName name="TBd3177563_a573_4e8c_b3d0_4c979b9a004b" hidden="1">#REF!</definedName>
    <definedName name="TBd31bbf37_7262_4e25_9aa2_1aaa134c7fb7" hidden="1">#REF!</definedName>
    <definedName name="TBd31e3850_eab6_4bc9_a0e9_86244e8c2ee3" hidden="1">#REF!</definedName>
    <definedName name="TBd3214e1b_2331_493b_9532_5debdd9de4d4" hidden="1">#REF!</definedName>
    <definedName name="TBd32c7180_fbc3_4d7d_808f_c956b4045af8" hidden="1">#REF!</definedName>
    <definedName name="TBd32d0970_1a93_4221_80af_23037877fd67" hidden="1">#REF!</definedName>
    <definedName name="TBd32f66f9_c2f9_4bf5_b336_c670c244afab" hidden="1">#REF!</definedName>
    <definedName name="TBd342c198_3acd_4424_b27f_e0f422cd74ee" hidden="1">#REF!</definedName>
    <definedName name="TBd344f82f_ca8c_46ee_aa79_2b3ed350830a" hidden="1">#REF!</definedName>
    <definedName name="TBd346c4a7_aebf_4d86_b25c_ba04c289e905" hidden="1">#REF!</definedName>
    <definedName name="TBd3497dcb_c94b_4a76_98d6_bcb574f53e04" hidden="1">#REF!</definedName>
    <definedName name="TBd34e2cf3_3f3a_4aa7_8384_c8a19672df2b" hidden="1">#REF!</definedName>
    <definedName name="TBd34ebb1e_03aa_4413_be84_f1ad69ac7054" hidden="1">#REF!</definedName>
    <definedName name="TBd355a044_a776_4446_95a7_8a03f0599851" hidden="1">#REF!</definedName>
    <definedName name="TBd357a93f_521d_4046_b679_e2137d4adb3d" hidden="1">#REF!</definedName>
    <definedName name="TBd36b20d5_633e_4667_911d_e42c6a7659da" hidden="1">#REF!</definedName>
    <definedName name="TBd3817691_fef9_4a35_ab85_3aa47fa3021c" hidden="1">#REF!</definedName>
    <definedName name="TBd390ab14_f203_4dfb_9ec0_da56f562fca2" hidden="1">#REF!</definedName>
    <definedName name="TBd3923b12_4b1a_4e9d_815f_19ff6ec0f074" hidden="1">#REF!</definedName>
    <definedName name="TBd39e15b8_76e6_4145_8c6a_e33b9a46eab6" hidden="1">#REF!</definedName>
    <definedName name="TBd39f48d8_2f25_4181_b158_2da62f5b93ac" hidden="1">#REF!</definedName>
    <definedName name="TBd3a185c5_03f5_4c43_85ca_969bc1fa9e9a" hidden="1">#REF!</definedName>
    <definedName name="TBd3a74a87_907f_4172_98e5_a7cd317190a5" hidden="1">#REF!</definedName>
    <definedName name="TBd3b63fce_2f0e_4778_8938_3003986f81e7" hidden="1">#REF!</definedName>
    <definedName name="TBd3b64f36_23af_460c_ba72_28c78e696051" hidden="1">#REF!</definedName>
    <definedName name="TBd3c60423_1d4b_4a69_9a88_656b8a47cb09" hidden="1">#REF!</definedName>
    <definedName name="TBd3d047ee_aa45_4267_8f94_4d6a73e51010" hidden="1">#REF!</definedName>
    <definedName name="TBd3db0cb6_4118_4d2d_8200_1730199d7cb8" hidden="1">#REF!</definedName>
    <definedName name="TBd3dfd30b_1668_4a50_b28a_978f5b2957f6" hidden="1">#REF!</definedName>
    <definedName name="TBd3ec5ecd_bd95_45b6_bdad_6214f782e074" hidden="1">#REF!</definedName>
    <definedName name="TBd3ff1a38_d453_47a3_ab23_36d0d6373826" hidden="1">#REF!</definedName>
    <definedName name="TBd402b724_13d1_46a6_90a7_226de9b0eed0" hidden="1">#REF!</definedName>
    <definedName name="TBd4058cdb_d2b9_4dc7_adc9_3ecc85030fbe" hidden="1">#REF!</definedName>
    <definedName name="TBd409b089_ac29_448b_84c4_0d3da3a16098" hidden="1">#REF!</definedName>
    <definedName name="TBd414a798_1efb_486a_a4d2_1d46f7c56438" hidden="1">#REF!</definedName>
    <definedName name="TBd428fcf4_a0ff_4625_98b0_9931efe4dee6" hidden="1">#REF!</definedName>
    <definedName name="TBd4492eb5_685f_4d56_ba1e_552141057ab8" hidden="1">#REF!</definedName>
    <definedName name="TBd45c7b6e_2dc6_4a13_81fb_acc2770c2015" hidden="1">#REF!</definedName>
    <definedName name="TBd45e7e06_d105_4652_8c14_15637e987cb8" hidden="1">#REF!</definedName>
    <definedName name="TBd460d939_9477_4e27_a383_ced3c931a0ba" hidden="1">#REF!</definedName>
    <definedName name="TBd4688110_3e1b_4efa_8dee_a38b4ff5051e" hidden="1">#REF!</definedName>
    <definedName name="TBd46b95e0_3e53_482d_a5c3_cc2f4360aab2" hidden="1">#REF!</definedName>
    <definedName name="TBd47da621_8712_4a9d_b6bd_404254cc5022" hidden="1">#REF!</definedName>
    <definedName name="TBd4944976_bdae_4f46_aaff_addf7fcf1772" hidden="1">#REF!</definedName>
    <definedName name="TBd4a438e6_bb44_47f5_8be0_9f154470d6e0" hidden="1">#REF!</definedName>
    <definedName name="TBd4b3cfab_9867_40f3_aa0a_4b67846fca67" hidden="1">#REF!</definedName>
    <definedName name="TBd4bf4c01_a3f5_40b6_8d11_a627e6a86609" hidden="1">#REF!</definedName>
    <definedName name="TBd4c97c90_5fa7_4a90_8341_3fcc1a680de7" hidden="1">#REF!</definedName>
    <definedName name="TBd4cb4d85_00ec_43b0_bb32_3a4be3cb59d4" hidden="1">#REF!</definedName>
    <definedName name="TBd4d09d7e_4af4_4648_bc0a_964515634ae9" hidden="1">#REF!</definedName>
    <definedName name="TBd4eb4285_88ea_4b52_916c_9b81bd26d535" hidden="1">#REF!</definedName>
    <definedName name="TBd4f4bccd_2ec5_4068_805b_0db924a06be9" hidden="1">#REF!</definedName>
    <definedName name="TBd4f6dc42_e410_441f_ac95_26feff265f21" hidden="1">#REF!</definedName>
    <definedName name="TBd4f785c3_d475_4ff2_ad63_fcd95376858c" hidden="1">#REF!</definedName>
    <definedName name="TBd503708e_4917_4bb1_9081_b670771c88f3" hidden="1">#REF!</definedName>
    <definedName name="TBd503d51c_ae80_4255_9707_511e80816623" hidden="1">#REF!</definedName>
    <definedName name="TBd50f2eeb_215a_4b6a_ae6a_e4050945ff2d" hidden="1">#REF!</definedName>
    <definedName name="TBd52c6a56_47ec_4dbe_862f_1c1e9f3c363f" hidden="1">#REF!</definedName>
    <definedName name="TBd5710a2d_9780_4cbf_9579_f83bea26850f" hidden="1">#REF!</definedName>
    <definedName name="TBd57e766d_4b8c_46d9_a762_5ee1c3798758" hidden="1">#REF!</definedName>
    <definedName name="TBd580812a_0b8f_49b9_ab51_dd671bf0432f" hidden="1">#REF!</definedName>
    <definedName name="TBd58aa783_debf_4698_a123_b424f23a2e8c" hidden="1">#REF!</definedName>
    <definedName name="TBd58c1114_d664_41a1_b6ad_39d8d7d68091" hidden="1">#REF!</definedName>
    <definedName name="TBd58dbd8d_4d44_46b3_9018_7f3dc7d5a9b5" hidden="1">#REF!</definedName>
    <definedName name="TBd591b3d7_80bf_4f2b_8409_768224202522" hidden="1">#REF!</definedName>
    <definedName name="TBd59aced2_ec46_4536_b1fb_c2272f83ac41" hidden="1">#REF!</definedName>
    <definedName name="TBd59bdec4_d70a_4442_8147_263bb16dcb48" hidden="1">#REF!</definedName>
    <definedName name="TBd5a19448_61a3_4da6_ab92_55666ecff954" hidden="1">#REF!</definedName>
    <definedName name="TBd5a55b6b_a372_41a0_b4d6_04058a71a867" hidden="1">#REF!</definedName>
    <definedName name="TBd5ac7f16_8428_43f6_a30a_5b255b74f5c8" hidden="1">#REF!</definedName>
    <definedName name="TBd5bb6cdc_ef1d_4517_854b_ac59a3a35dc2" hidden="1">#REF!</definedName>
    <definedName name="TBd5bbd24a_d88c_4bec_b45c_da441ea47ad3" hidden="1">#REF!</definedName>
    <definedName name="TBd5c5a9be_8c8e_4e01_9491_9edbf5a63651" hidden="1">#REF!</definedName>
    <definedName name="TBd5c8418d_53fc_4e6b_88d0_020c455e67e1" hidden="1">#REF!</definedName>
    <definedName name="TBd5c84c1d_cad2_48a3_8ba5_9ed784bae867" hidden="1">#REF!</definedName>
    <definedName name="TBd5d0a8a5_11b3_4e1c_9cfd_6e72d57df541" hidden="1">#REF!</definedName>
    <definedName name="TBd5f3060f_e262_4068_b888_e94fccf0ad77" hidden="1">#REF!</definedName>
    <definedName name="TBd5f5876c_ba24_4d88_96f3_c67bc3f339c2" hidden="1">#REF!</definedName>
    <definedName name="TBd5f88afe_1cb5_41b1_8fc1_9fec2cc750b3" hidden="1">#REF!</definedName>
    <definedName name="TBd6054a9a_a2fb_48c5_8396_ef4b230bab6a" hidden="1">#REF!</definedName>
    <definedName name="TBd60a1aa4_343e_4373_bf01_22ab0d6766b4" hidden="1">#REF!</definedName>
    <definedName name="TBd60f4d21_c9f9_487a_a8f2_960d1541ba3d" hidden="1">#REF!</definedName>
    <definedName name="TBd61741ae_ae03_4d20_b907_3060990f0c6c" hidden="1">#REF!</definedName>
    <definedName name="TBd618dd27_1711_49d7_ab3e_7d35b67f9dc8" hidden="1">#REF!</definedName>
    <definedName name="TBd61c930f_7921_4bec_a48a_dafad95bda71" hidden="1">#REF!</definedName>
    <definedName name="TBd62b73a1_626a_469d_9fca_6646ed02a96b" hidden="1">#REF!</definedName>
    <definedName name="TBd62b7c52_756b_4e21_bc2f_53c1753c6a35" hidden="1">#REF!</definedName>
    <definedName name="TBd6322db3_1a1f_4750_b388_1d963b3e4352" hidden="1">#REF!</definedName>
    <definedName name="TBd638063b_64a4_4ced_851a_c14f9f0e4f31" hidden="1">#REF!</definedName>
    <definedName name="TBd64e93c8_0f96_4eaf_94ff_39a6d400eca3" hidden="1">#REF!</definedName>
    <definedName name="TBd657386e_c633_4318_b08d_49caeeae6f46" hidden="1">#REF!</definedName>
    <definedName name="TBd657ca47_9119_4251_81a6_6c6c757212e4" hidden="1">#REF!</definedName>
    <definedName name="TBd65e0a7a_9214_42fd_8f2a_bb5ffc65d22c" hidden="1">#REF!</definedName>
    <definedName name="TBd6652731_9246_4696_8473_aaa0cf05924f" hidden="1">#REF!</definedName>
    <definedName name="TBd66cb318_552a_4863_8834_8474b5262550" hidden="1">#REF!</definedName>
    <definedName name="TBd6879e67_7ed5_44c5_892d_d7f23c5dd9c3" hidden="1">#REF!</definedName>
    <definedName name="TBd6898301_6793_445b_84e9_5aa29ccd12c6" hidden="1">#REF!</definedName>
    <definedName name="TBd6a2e103_3882_4de7_aafb_f7e75138747b" hidden="1">#REF!</definedName>
    <definedName name="TBd6a9a0c5_e757_4158_a4eb_f882a0d44207" hidden="1">#REF!</definedName>
    <definedName name="TBd6a9a385_a568_48ef_bbd2_4dc170096e7e" hidden="1">#REF!</definedName>
    <definedName name="TBd6b5ffbf_1eaf_4c51_a52a_1f045dca8558" hidden="1">#REF!</definedName>
    <definedName name="TBd6b76237_836f_490a_b86b_7faf66d59460" hidden="1">#REF!</definedName>
    <definedName name="TBd6d4e82b_bff5_4900_836e_abc3c4744a52" hidden="1">#REF!</definedName>
    <definedName name="TBd6d9a23c_e9fa_4073_b649_ab5b7a861eaa" hidden="1">#REF!</definedName>
    <definedName name="TBd6e88e57_a7e8_4cb2_b681_91f745224e0a" hidden="1">#REF!</definedName>
    <definedName name="TBd6e9cc17_cc96_4b4c_bfa4_2187b17be6c7" hidden="1">#REF!</definedName>
    <definedName name="TBd6f4c4f3_a672_4200_9f7d_2d231a9c440b" hidden="1">#REF!</definedName>
    <definedName name="TBd6fc7978_d0a9_47fe_b7f4_a40fed53a362" hidden="1">#REF!</definedName>
    <definedName name="TBd6ff5399_0fb5_4770_9c33_c3ab473110b3" hidden="1">#REF!</definedName>
    <definedName name="TBd7056985_88f5_4890_93a7_92f052fd7c14" hidden="1">#REF!</definedName>
    <definedName name="TBd716f0c6_fc93_46eb_af22_78448affaae8" hidden="1">#REF!</definedName>
    <definedName name="TBd73444b0_3452_4b4b_966d_96e2029aa6c3" hidden="1">#REF!</definedName>
    <definedName name="TBd734ad62_4046_481a_85b9_e73dab4b5131" hidden="1">#REF!</definedName>
    <definedName name="TBd75511f0_7f21_48d4_b21a_49fc7a25a85d" hidden="1">#REF!</definedName>
    <definedName name="TBd75cdc04_0388_4167_a4d8_8dc8e0819db9" hidden="1">#REF!</definedName>
    <definedName name="TBd7626b48_b344_4941_9243_3cbdf94271b8" hidden="1">#REF!</definedName>
    <definedName name="TBd7686354_47ff_46f7_859d_b2769c5f8258" hidden="1">#REF!</definedName>
    <definedName name="TBd77d5d92_d701_4dc8_8538_9a5f980d892a" hidden="1">#REF!</definedName>
    <definedName name="TBd787dd19_3d5e_400f_82e3_7aae67c9766b" hidden="1">#REF!</definedName>
    <definedName name="TBd7a2e550_44f2_44ee_94fe_19e400a867aa" hidden="1">#REF!</definedName>
    <definedName name="TBd7a3f49e_1a6d_4d76_8ab1_12482b3c837b" hidden="1">#REF!</definedName>
    <definedName name="TBd7b1e2c3_9e61_4901_a4b7_80f62688ddb2" hidden="1">#REF!</definedName>
    <definedName name="TBd7babce0_2ca0_4ce4_a9d1_a056f3195058" hidden="1">#REF!</definedName>
    <definedName name="TBd7cb5eb2_d554_4323_98e1_99272484ac15" hidden="1">#REF!</definedName>
    <definedName name="TBd7e3fda3_356b_47bf_bc55_13af109de24e" hidden="1">#REF!</definedName>
    <definedName name="TBd7e9794e_e8ec_400c_acb0_cd7befa0a0b4" hidden="1">#REF!</definedName>
    <definedName name="TBd7eac9d4_9d36_4eb5_9554_08c2a9833ed0" hidden="1">#REF!</definedName>
    <definedName name="TBd7f0b039_6e82_47fb_b750_1e334a30175b" hidden="1">#REF!</definedName>
    <definedName name="TBd7fd171e_93d8_4eda_afb3_83af509cf58a" hidden="1">#REF!</definedName>
    <definedName name="TBd80e8b00_d530_43b6_aad1_40f6ef118084" hidden="1">#REF!</definedName>
    <definedName name="TBd81cf763_389b_4c10_8024_494deaa0465f" hidden="1">#REF!</definedName>
    <definedName name="TBd81da8f5_a057_4333_a2e0_42c2da7450e7" hidden="1">#REF!</definedName>
    <definedName name="TBd82f6da4_7be3_46c1_aaf9_9441bcd40a39" hidden="1">#REF!</definedName>
    <definedName name="TBd833e1fd_796a_40f0_a586_2d87cc1c2af9" hidden="1">#REF!</definedName>
    <definedName name="TBd83d6b62_82aa_40d9_a796_17fe95da822a" hidden="1">#REF!</definedName>
    <definedName name="TBd8400c82_2e4f_49d5_bd61_25731a4eacb7" hidden="1">#REF!</definedName>
    <definedName name="TBd843d2cc_b263_44d9_b433_71f3ea1149c0" hidden="1">#REF!</definedName>
    <definedName name="TBd844c2ac_71bb_4a47_bda2_d3c81506b756" hidden="1">#REF!</definedName>
    <definedName name="TBd84a23a5_0dbe_43fc_941c_bb0b9ecff119" hidden="1">#REF!</definedName>
    <definedName name="TBd84dad68_e1a8_47b0_bea6_02db53b153b9" hidden="1">#REF!</definedName>
    <definedName name="TBd850ec91_5165_4bd2_af03_83786fde6eeb" hidden="1">#REF!</definedName>
    <definedName name="TBd85514f9_c027_44cd_b367_3432154dae92" hidden="1">#REF!</definedName>
    <definedName name="TBd861625f_175f_4164_91e3_d5bb2eb11564" hidden="1">#REF!</definedName>
    <definedName name="TBd8727f15_3745_45a3_8197_f2cdaccb7196" hidden="1">#REF!</definedName>
    <definedName name="TBd878d655_84c2_45ae_af67_70a5ad201148" hidden="1">#REF!</definedName>
    <definedName name="TBd88a3910_01f5_4493_a676_86bffa6ef9e8" hidden="1">#REF!</definedName>
    <definedName name="TBd88bee55_d4b3_4209_afd7_2e28ea4b8ef0" hidden="1">#REF!</definedName>
    <definedName name="TBd89c6fe1_980a_4af3_b07d_f0f3717e7792" hidden="1">#REF!</definedName>
    <definedName name="TBd8a577a5_ae28_4b9f_88fd_6b6dd30431b6" hidden="1">#REF!</definedName>
    <definedName name="TBd8a650f8_a467_4ef4_994f_cd429a701629" hidden="1">#REF!</definedName>
    <definedName name="TBd8b1c976_cbdc_464d_a825_140f715ebc88" hidden="1">#REF!</definedName>
    <definedName name="TBd8b393cd_ea4f_473a_ab4c_a4802f445337" hidden="1">#REF!</definedName>
    <definedName name="TBd8b4c6c2_e456_4303_a8a8_0f8b8539a1af" hidden="1">#REF!</definedName>
    <definedName name="TBd8bdad56_2ea2_4d1d_97e5_cfa9888763fe" hidden="1">#REF!</definedName>
    <definedName name="TBd8c2da27_5072_4b8f_bdcd_13e114c6873b" hidden="1">#REF!</definedName>
    <definedName name="TBd8c9025b_e1cc_4e41_9411_a0c5346cd751" hidden="1">#REF!</definedName>
    <definedName name="TBd8e120e6_f88c_4de6_abaf_768a4984f55b" hidden="1">#REF!</definedName>
    <definedName name="TBd8ecffeb_4ce6_4753_849a_66a335a8bea5" hidden="1">#REF!</definedName>
    <definedName name="TBd8f3239e_9be9_47ae_b972_1e37f02a9992" hidden="1">#REF!</definedName>
    <definedName name="TBd9094bbd_58eb_4a7b_8c58_07d489153857" hidden="1">#REF!</definedName>
    <definedName name="TBd90fe608_1b6d_4166_87c4_af4855e92297" hidden="1">#REF!</definedName>
    <definedName name="TBd9168728_b290_41bf_9bf6_0d4131873ac1" hidden="1">#REF!</definedName>
    <definedName name="TBd922a95c_4008_493e_a463_04a1b31d3551" hidden="1">#REF!</definedName>
    <definedName name="TBd93c26ec_4375_4e0c_8d30_b4ab65857be3" hidden="1">#REF!</definedName>
    <definedName name="TBd9465d77_00aa_444a_ba2f_58957e39a1a8" hidden="1">#REF!</definedName>
    <definedName name="TBd958a5af_4621_4f98_a30d_e18d5fd3b80b" hidden="1">#REF!</definedName>
    <definedName name="TBd95d4632_3549_4045_8d13_ab0a516236d3" hidden="1">#REF!</definedName>
    <definedName name="TBd9624ce3_3bf6_4cf0_84a7_2423897669ca" hidden="1">#REF!</definedName>
    <definedName name="TBd967a0c8_4d09_4a92_808f_fbfe29f6faf6" hidden="1">#REF!</definedName>
    <definedName name="TBd968ebc4_55b1_457c_95c6_cd80c3f38dbb" hidden="1">#REF!</definedName>
    <definedName name="TBd981a2fb_409d_4fd5_9ef5_9682c32caace" hidden="1">#REF!</definedName>
    <definedName name="TBd98f7faa_5d5d_4f12_9761_beb168787244" hidden="1">#REF!</definedName>
    <definedName name="TBd9914803_a5a2_4741_94cd_a26634c478e9" hidden="1">#REF!</definedName>
    <definedName name="TBd993bfb5_13dd_49fa_8330_0e94b1c31b2a" hidden="1">#REF!</definedName>
    <definedName name="TBd995a331_c9ec_4e16_b1a0_86e33b494be4" hidden="1">#REF!</definedName>
    <definedName name="TBd9a1be90_f131_4bf3_97a9_40bdad304245" hidden="1">#REF!</definedName>
    <definedName name="TBd9a98b2b_bae3_4ca2_a99b_6af960ffda2a" hidden="1">#REF!</definedName>
    <definedName name="TBd9ae8b70_7cec_4044_b704_479762385c06" hidden="1">#REF!</definedName>
    <definedName name="TBd9b3206a_e492_478a_86ad_2a417b4ed832" hidden="1">#REF!</definedName>
    <definedName name="TBd9b51562_90b8_42fb_ba01_01f709a8f482" hidden="1">#REF!</definedName>
    <definedName name="TBd9b7a89b_8f95_4776_a997_ef1df3c51769" hidden="1">#REF!</definedName>
    <definedName name="TBd9bb993f_d97f_4ead_b763_0d00ce7980c5" hidden="1">#REF!</definedName>
    <definedName name="TBd9bf3fe8_3576_4c6d_ba07_7febb0e91c72" hidden="1">#REF!</definedName>
    <definedName name="TBd9c250af_0667_4c0a_a9d2_5623984473d3" hidden="1">#REF!</definedName>
    <definedName name="TBd9d4e038_78f5_4d8c_a7b6_478770b66686" hidden="1">#REF!</definedName>
    <definedName name="TBd9edc4a7_879e_4871_89ab_82cc86314f3d" hidden="1">#REF!</definedName>
    <definedName name="TBd9efe8b1_8d67_45e0_8241_db9d54d843f9" hidden="1">#REF!</definedName>
    <definedName name="TBd9f4cf16_81b3_4dca_8cc4_612e76a71533" hidden="1">#REF!</definedName>
    <definedName name="TBd9fb086b_15ca_461d_8213_de109e880261" hidden="1">#REF!</definedName>
    <definedName name="TBd9ff4d9e_fcbe_444e_bc2f_76cbfd8b67a7" hidden="1">#REF!</definedName>
    <definedName name="TBda017a85_c7c8_4dbe_8b73_11e87d529eef" hidden="1">#REF!</definedName>
    <definedName name="TBda02c7a4_3bf4_4574_8a23_c5083cf74e3b" hidden="1">#REF!</definedName>
    <definedName name="TBda0418ca_f391_45a4_9027_5cfccbb89e30" hidden="1">#REF!</definedName>
    <definedName name="TBda103ced_5920_4c43_90af_94a237774396" hidden="1">#REF!</definedName>
    <definedName name="TBda193638_6ee0_4850_a2df_3364e0d1ab48" hidden="1">#REF!</definedName>
    <definedName name="TBda19f64e_5125_4434_9b1c_63848fe7df75" hidden="1">#REF!</definedName>
    <definedName name="TBda1a32d6_22d5_43ad_8e82_edec258195c5" hidden="1">#REF!</definedName>
    <definedName name="TBda1b0836_6217_4a9a_87b0_ceab0f228c96" hidden="1">#REF!</definedName>
    <definedName name="TBda1c7466_c643_4e9f_9e8e_a923e9a403fc" hidden="1">#REF!</definedName>
    <definedName name="TBda31d33a_7133_4322_9d93_0435cbc07a8d" hidden="1">#REF!</definedName>
    <definedName name="TBda4b669f_adfd_4a38_8ae4_500ee52c9b55" hidden="1">#REF!</definedName>
    <definedName name="TBda4db811_579d_4a13_82b5_90c2dd06ad54" hidden="1">#REF!</definedName>
    <definedName name="TBda55a886_350c_4d94_a325_e6185a019f5c" hidden="1">#REF!</definedName>
    <definedName name="TBda55b512_62a7_4c86_bb87_3bb6b854113d" hidden="1">#REF!</definedName>
    <definedName name="TBda562f88_c252_47b9_86b4_80e9ad7069a3" hidden="1">#REF!</definedName>
    <definedName name="TBda5779f2_6601_499a_8085_d52b5af49269" hidden="1">#REF!</definedName>
    <definedName name="TBda698959_2c36_4d56_95ab_3ef8a8ec9622" hidden="1">#REF!</definedName>
    <definedName name="TBda748e4e_b2ad_42cf_98b1_e36120d73e58" hidden="1">#REF!</definedName>
    <definedName name="TBda7e2857_8793_4675_8d48_dc27c1c33297" hidden="1">#REF!</definedName>
    <definedName name="TBda83abd3_f3fa_4e5f_8818_8fc9fdd2382c" hidden="1">#REF!</definedName>
    <definedName name="TBda8e2eae_7d1e_4e75_ae18_53336a3d1406" hidden="1">#REF!</definedName>
    <definedName name="TBda94c012_b27e_4cf9_a545_ca64b1474bf0" hidden="1">#REF!</definedName>
    <definedName name="TBdaa36bee_8327_48b8_b2b9_f966c2b358bb" hidden="1">#REF!</definedName>
    <definedName name="TBdaaf0e5d_d777_4d7a_afb8_083ea20165d4" hidden="1">#REF!</definedName>
    <definedName name="TBdab6c223_5c36_4784_a00e_7193d20d5490" hidden="1">#REF!</definedName>
    <definedName name="TBdabe1092_38c2_4622_902e_2b6b696fc412" hidden="1">#REF!</definedName>
    <definedName name="TBdac9c852_6fea_416a_8a00_878f1dc8a1c2" hidden="1">#REF!</definedName>
    <definedName name="TBdacf206a_536e_4932_854e_eaad263ace4c" hidden="1">#REF!</definedName>
    <definedName name="TBdad346d9_97bb_4bde_8b61_1229bfc825e6" hidden="1">#REF!</definedName>
    <definedName name="TBdae0875f_9714_42f6_b610_20b7d8566ba7" hidden="1">#REF!</definedName>
    <definedName name="TBdae79910_455b_4a28_8809_a30324ddbdd5" hidden="1">#REF!</definedName>
    <definedName name="TBdaf03792_6fd8_48d4_aac7_80fe0a9b5729" hidden="1">#REF!</definedName>
    <definedName name="TBdaf19751_c4d8_470b_9219_b352e02e521c" hidden="1">#REF!</definedName>
    <definedName name="TBdb00b1f4_aabd_4491_9817_f5cca8694058" hidden="1">#REF!</definedName>
    <definedName name="TBdb0976f1_f8d5_409f_b30c_d3acea924b15" hidden="1">#REF!</definedName>
    <definedName name="TBdb1bf706_63a1_4f6e_ad45_628e954b9de0" hidden="1">#REF!</definedName>
    <definedName name="TBdb22575a_73cb_420b_b893_7272ab893411" hidden="1">#REF!</definedName>
    <definedName name="TBdb2a74ae_d60c_4973_aa74_7839ec7252bf" hidden="1">#REF!</definedName>
    <definedName name="TBdb2fa9ac_9752_4183_99c5_6856d876c471" hidden="1">#REF!</definedName>
    <definedName name="TBdb304ac4_7bdd_4e6d_bc69_ac7a6d16bdb6" hidden="1">#REF!</definedName>
    <definedName name="TBdb32904a_c856_41fd_8de6_f7145efccbd5" hidden="1">#REF!</definedName>
    <definedName name="TBdb42eee2_aa78_48f7_a967_9b7841a552f0" hidden="1">#REF!</definedName>
    <definedName name="TBdb43e22a_65e0_4fce_8a26_4908d4ca598e" hidden="1">#REF!</definedName>
    <definedName name="TBdb4a43f1_6326_48d8_82ef_b5c7cf760ccd" hidden="1">#REF!</definedName>
    <definedName name="TBdb4d3db8_3ca7_4939_8239_55e192df93ee" hidden="1">#REF!</definedName>
    <definedName name="TBdb50f4e3_76f8_4b5a_bfb8_eeae49911ff0" hidden="1">#REF!</definedName>
    <definedName name="TBdb52549a_93ff_4105_a517_59c25e88d0af" hidden="1">#REF!</definedName>
    <definedName name="TBdb6214fa_fffa_4efd_87fa_a8c781aa38bc" hidden="1">#REF!</definedName>
    <definedName name="TBdb639af5_fa8d_4f16_9395_4883012abb44" hidden="1">#REF!</definedName>
    <definedName name="TBdb67b6d8_392d_4e97_863f_74a775121aed" hidden="1">#REF!</definedName>
    <definedName name="TBdb67d6dc_c0e5_42ff_ba38_5c9ffd76d052" hidden="1">#REF!</definedName>
    <definedName name="TBdb697a75_70b7_4cfc_8023_1907fd9c24a8" hidden="1">#REF!</definedName>
    <definedName name="TBdb6eb216_b6f4_4b49_b79c_b41d30bd3cd3" hidden="1">#REF!</definedName>
    <definedName name="TBdb7c9e91_6bd3_4283_992a_073916a91619" hidden="1">#REF!</definedName>
    <definedName name="TBdb97823b_15e1_4c06_807d_5f6c79cc8328" hidden="1">#REF!</definedName>
    <definedName name="TBdbb4bf58_28db_4369_8af6_fbc332e7497c" hidden="1">#REF!</definedName>
    <definedName name="TBdbb799a6_5ba0_4edd_a936_86632915f111" hidden="1">#REF!</definedName>
    <definedName name="TBdbb7da09_b08a_457c_b074_f9cd76a92374" hidden="1">#REF!</definedName>
    <definedName name="TBdbb942e5_8701_4233_a3bd_6d41f2e48b02" hidden="1">#REF!</definedName>
    <definedName name="TBdbc11b15_067a_42bb_931f_a23c515b2f8c" hidden="1">#REF!</definedName>
    <definedName name="TBdbc11f8e_9eb5_43b3_81a4_5d676ee507d5" hidden="1">#REF!</definedName>
    <definedName name="TBdbc23429_0543_46d0_b929_f473924f4fe3" hidden="1">#REF!</definedName>
    <definedName name="TBdbcce090_f6c5_4c3d_8819_4160d4dfdd10" hidden="1">#REF!</definedName>
    <definedName name="TBdbe66724_696b_4935_a6d4_e0548c54374c" hidden="1">#REF!</definedName>
    <definedName name="TBdbf0becf_647e_4655_bccd_701f8fe89332" hidden="1">#REF!</definedName>
    <definedName name="TBdbf8f7c9_e389_4de0_be65_5b7c24f556f4" hidden="1">#REF!</definedName>
    <definedName name="TBdc05f847_2a98_4d66_b838_ef0d384a39c4" hidden="1">#REF!</definedName>
    <definedName name="TBdc0c1b71_048e_4671_aaff_2ebf9c179711" hidden="1">#REF!</definedName>
    <definedName name="TBdc10454c_1d37_4b78_ae45_243e7de97c98" hidden="1">#REF!</definedName>
    <definedName name="TBdc140571_7158_4142_8edd_ecfacfaa5fe7" hidden="1">#REF!</definedName>
    <definedName name="TBdc2544ac_1205_44f5_a414_36b6a17723d8" hidden="1">#REF!</definedName>
    <definedName name="TBdc2c8bb2_8dc5_4e36_9403_7ebc993b1074" hidden="1">#REF!</definedName>
    <definedName name="TBdc2fe36d_af69_48eb_91ee_a4e2bf23efaf" hidden="1">#REF!</definedName>
    <definedName name="TBdc39a6ab_9847_43d6_b35a_47a82755b56d" hidden="1">#REF!</definedName>
    <definedName name="TBdc48ff20_5cdc_42ae_b123_53f7ef178353" hidden="1">#REF!</definedName>
    <definedName name="TBdc4ead31_2de2_4b33_9153_242839ba909c" hidden="1">#REF!</definedName>
    <definedName name="TBdc5becc1_caa5_4dac_b754_177c16695c17" hidden="1">#REF!</definedName>
    <definedName name="TBdc693fa4_b1c7_4777_bc37_363f9431eeed" hidden="1">#REF!</definedName>
    <definedName name="TBdc752a38_bfe1_4d07_99fa_dda38c1ecc95" hidden="1">#REF!</definedName>
    <definedName name="TBdc7e19b3_de23_4ba1_bca1_8abf9307387d" hidden="1">#REF!</definedName>
    <definedName name="TBdc83f3f6_9ef9_44ae_b192_64562df31fbd" hidden="1">#REF!</definedName>
    <definedName name="TBdc851de2_c289_4a1c_878b_69a3a1638893" hidden="1">#REF!</definedName>
    <definedName name="TBdc91c840_ad0c_4418_b924_97e89fc8a90f" hidden="1">#REF!</definedName>
    <definedName name="TBdc951c93_a1c0_4a72_8003_d157add65955" hidden="1">#REF!</definedName>
    <definedName name="TBdca20e03_d0c7_4d56_8a55_e8e927b9ec21" hidden="1">#REF!</definedName>
    <definedName name="TBdcb5a1dc_ee3d_449f_98ee_c919728d9311" hidden="1">#REF!</definedName>
    <definedName name="TBdcb970bd_040d_4a2b_b5af_d5d04a3f5dab" hidden="1">#REF!</definedName>
    <definedName name="TBdcbd7ead_5c06_4a58_a83c_97405acbbce0" hidden="1">#REF!</definedName>
    <definedName name="TBdcc707b0_e7d6_46ec_8776_f4790c3d3588" hidden="1">#REF!</definedName>
    <definedName name="TBdce35785_3d8a_4f5f_ba26_9b7b54351cf4" hidden="1">#REF!</definedName>
    <definedName name="TBdcf4a441_4255_4555_a5e7_d9d05f14939f" hidden="1">#REF!</definedName>
    <definedName name="TBdcf78cc7_986e_4bdb_b2cd_160ff40e8931" hidden="1">#REF!</definedName>
    <definedName name="TBdcfdcebd_a56c_4375_a6e8_202232d01ce4" hidden="1">#REF!</definedName>
    <definedName name="TBdd0a1a1a_009b_4178_af59_5828b220fa86" hidden="1">#REF!</definedName>
    <definedName name="TBdd0d749c_aa05_43a8_9ac8_88e349bef375" hidden="1">#REF!</definedName>
    <definedName name="TBdd1f7ce0_1981_448d_84d1_bdb75549b836" hidden="1">#REF!</definedName>
    <definedName name="TBdd24b26b_639b_419d_88d3_be84fa4be81c" hidden="1">#REF!</definedName>
    <definedName name="TBdd29ca9e_8f38_437a_abec_669d9776c385" hidden="1">#REF!</definedName>
    <definedName name="TBdd2a30ce_367d_4b9e_a2a4_e797b101dd27" hidden="1">#REF!</definedName>
    <definedName name="TBdd2c1810_a315_4cdc_8656_5cdc058a579d" hidden="1">#REF!</definedName>
    <definedName name="TBdd2cf84a_7134_480b_8286_6ce7bf36ae7d" hidden="1">#REF!</definedName>
    <definedName name="TBdd379a99_48cf_44ed_bf25_109eecd8f9c8" hidden="1">#REF!</definedName>
    <definedName name="TBdd3c2ffd_db0a_4ff5_9735_3d0f3388e8b7" hidden="1">#REF!</definedName>
    <definedName name="TBdd40825c_a2b9_48a8_91de_88ded6540c9c" hidden="1">#REF!</definedName>
    <definedName name="TBdd48be5d_005f_4a88_81c1_1a6ae3f44aaf" hidden="1">#REF!</definedName>
    <definedName name="TBdd589fd7_f9fb_4fc1_bb0f_95b7612e1194" hidden="1">#REF!</definedName>
    <definedName name="TBdd6bac7a_178f_4f96_b557_9c11825ff37d" hidden="1">#REF!</definedName>
    <definedName name="TBdd6c6a3f_3747_4042_8aa9_2f20d9d244a1" hidden="1">#REF!</definedName>
    <definedName name="TBdd6fa8e7_4812_45dc_a245_c07ea426c088" hidden="1">#REF!</definedName>
    <definedName name="TBdd772d39_3ad3_4bba_bc2b_1d900708ba2c" hidden="1">#REF!</definedName>
    <definedName name="TBdd83ff87_9045_4c0e_89b3_291982c24cb2" hidden="1">#REF!</definedName>
    <definedName name="TBdd916d0e_8f99_4692_bbdc_b5dee74bc8bc" hidden="1">#REF!</definedName>
    <definedName name="TBdd92ad27_132f_4794_9fa6_6dd07636336c" hidden="1">#REF!</definedName>
    <definedName name="TBdd9e1265_e00f_4585_9754_c2f2a9101eeb" hidden="1">#REF!</definedName>
    <definedName name="TBddbe3788_e97c_4144_8db7_6012c07c89b5" hidden="1">#REF!</definedName>
    <definedName name="TBddc57d9f_3c19_4f41_9d11_97b4744d09fd" hidden="1">#REF!</definedName>
    <definedName name="TBddc87a71_ba07_4d51_825b_e66d5bba7216" hidden="1">#REF!</definedName>
    <definedName name="TBddcfabb1_26ca_4a4e_90ea_9ad826753e23" hidden="1">#REF!</definedName>
    <definedName name="TBddd826e8_26d4_4203_9119_b235da986f50" hidden="1">#REF!</definedName>
    <definedName name="TBddd94473_91e2_4f80_b2da_b5ff1130a5f7" hidden="1">#REF!</definedName>
    <definedName name="TBdde15b7f_5b4b_4144_9212_a619662c6c23" hidden="1">#REF!</definedName>
    <definedName name="TBdde76369_217d_423e_81dc_0ca0b4b08e7b" hidden="1">#REF!</definedName>
    <definedName name="TBddf351ea_a54f_4970_bf54_89b9151b0d1e" hidden="1">#REF!</definedName>
    <definedName name="TBddfca06c_ed35_4b90_b6c5_ff468d5ae854" hidden="1">#REF!</definedName>
    <definedName name="TBddfd5457_8a27_47ed_a993_715b01c73c3a" hidden="1">#REF!</definedName>
    <definedName name="TBde11c9da_3617_4c6b_9a6f_fec6bcdb7eb0" hidden="1">#REF!</definedName>
    <definedName name="TBde1b3dd0_b543_42b6_9cd5_b20e266872d2" hidden="1">#REF!</definedName>
    <definedName name="TBde1c58a3_da67_4864_97f8_537f30c72e3f" hidden="1">#REF!</definedName>
    <definedName name="TBde1e51f7_64a5_4428_a8ab_791d2efa5aa2" hidden="1">#REF!</definedName>
    <definedName name="TBde1e8769_2cb1_4fe0_87e1_605b29e7cc1c" hidden="1">#REF!</definedName>
    <definedName name="TBde5a9c91_7a85_4a97_888c_59c767333a55" hidden="1">#REF!</definedName>
    <definedName name="TBde6ff8f1_c412_4270_b43c_5db64d1e69f5" hidden="1">#REF!</definedName>
    <definedName name="TBde72300c_34fd_491a_838f_f1099511c53d" hidden="1">#REF!</definedName>
    <definedName name="TBde9a9982_9f1d_454b_8d7a_06d7b8936f2f" hidden="1">#REF!</definedName>
    <definedName name="TBdea3c97f_570b_451f_9069_ca6f2dd3ddf1" hidden="1">#REF!</definedName>
    <definedName name="TBdeabe742_742f_4463_bb40_22e481f20760" hidden="1">#REF!</definedName>
    <definedName name="TBdeb65d84_6d3c_424b_9279_a37c6bc427f4" hidden="1">#REF!</definedName>
    <definedName name="TBdec58188_11dd_44b5_b498_d0e5da2db703" hidden="1">#REF!</definedName>
    <definedName name="TBdee39692_1ffd_42eb_8e3e_9f6ec23a32bb" hidden="1">#REF!</definedName>
    <definedName name="TBdeeaf3e2_d44b_4822_b8e8_53a6e94ce43f" hidden="1">#REF!</definedName>
    <definedName name="TBdef39367_19fe_421f_b48a_db30f222aec3" hidden="1">#REF!</definedName>
    <definedName name="TBdef4d5a2_f716_477d_9276_d3071d33c468" hidden="1">#REF!</definedName>
    <definedName name="TBdf03bced_5e66_47e0_b996_e56eb86b9cb8" hidden="1">#REF!</definedName>
    <definedName name="TBdf04fe33_490a_43a2_b3ef_274c85dd4f8c" hidden="1">#REF!</definedName>
    <definedName name="TBdf11e1f0_022c_400f_8195_d0e77dd0d404" hidden="1">#REF!</definedName>
    <definedName name="TBdf16b319_2b45_4037_9772_f5e341ec3a73" hidden="1">#REF!</definedName>
    <definedName name="TBdf26dfef_dacc_4a0d_b765_f1c04fc35d07" hidden="1">#REF!</definedName>
    <definedName name="TBdf2adb2a_4422_4225_a597_bcffe2a02f76" hidden="1">#REF!</definedName>
    <definedName name="TBdf2c1c76_162f_4f77_b761_1017b294d584" hidden="1">#REF!</definedName>
    <definedName name="TBdf4b5818_fce8_44b8_a969_6af5ac0d8a6c" hidden="1">#REF!</definedName>
    <definedName name="TBdf4d275e_ef01_4d0e_b4f1_6e887d456c71" hidden="1">#REF!</definedName>
    <definedName name="TBdf506371_4364_4cf6_91a4_7c2679a4dda3" hidden="1">#REF!</definedName>
    <definedName name="TBdf521426_7d65_48a3_a1db_8de84f127375" hidden="1">#REF!</definedName>
    <definedName name="TBdf55b044_f386_42c9_b170_c36b51dd0967" hidden="1">#REF!</definedName>
    <definedName name="TBdf737d33_db27_4b51_a457_5454d0cb0598" hidden="1">#REF!</definedName>
    <definedName name="TBdf76bb0a_f20e_4b40_882e_78e3d728bff1" hidden="1">#REF!</definedName>
    <definedName name="TBdf931682_d984_4b28_98e5_304f40fbacda" hidden="1">#REF!</definedName>
    <definedName name="TBdf9d7d9f_7392_4ec8_a18a_8879d67823c1" hidden="1">#REF!</definedName>
    <definedName name="TBdfad7124_a788_49bd_87d7_829330639d9a" hidden="1">#REF!</definedName>
    <definedName name="TBdfc86d30_80df_4834_9fee_7325db86ce8e" hidden="1">#REF!</definedName>
    <definedName name="TBdfca9645_6a94_406d_9eef_b32e91ebaa41" hidden="1">#REF!</definedName>
    <definedName name="TBdfcb84b4_57df_41c2_943b_de0b08c93f60" hidden="1">#REF!</definedName>
    <definedName name="TBdfd15205_9a34_4d25_8d9f_abb6d7f3bdc2" hidden="1">#REF!</definedName>
    <definedName name="TBdfd77d0f_59da_47bb_86a9_09603bb30480" hidden="1">#REF!</definedName>
    <definedName name="TBdfd94b23_88b6_45a4_9cdb_c7d4434401db" hidden="1">#REF!</definedName>
    <definedName name="TBdfda8595_ae76_46b4_892a_096f8994ae0b" hidden="1">#REF!</definedName>
    <definedName name="TBdfde4e9a_d58e_4062_87ff_a84443df9256" hidden="1">#REF!</definedName>
    <definedName name="TBdfeb7e51_7a69_4ccf_a929_b8b6f57c7381" hidden="1">#REF!</definedName>
    <definedName name="TBdff7ed8b_ddad_4b3e_b945_c68b05b2692b" hidden="1">#REF!</definedName>
    <definedName name="TBdffe3fc2_716a_4755_b720_b72ee670124e" hidden="1">#REF!</definedName>
    <definedName name="TBe010f597_99e8_4eae_a563_0398d51f57b4" hidden="1">#REF!</definedName>
    <definedName name="TBe011aa86_6da5_4bb0_a020_7405ac75d51e" hidden="1">#REF!</definedName>
    <definedName name="TBe018080b_c7c5_4d82_9b3f_9d450b4addd5" hidden="1">#REF!</definedName>
    <definedName name="TBe01a7b73_57ff_49e6_bc56_ac4aebcfceaf" hidden="1">#REF!</definedName>
    <definedName name="TBe03066ac_a88d_4d67_bd67_e6f7c36a68cb" hidden="1">#REF!</definedName>
    <definedName name="TBe030f2fc_ede6_4642_8514_694e55b7803d" hidden="1">#REF!</definedName>
    <definedName name="TBe0362ca8_cfe0_4c69_9716_7175bcfd6840" hidden="1">#REF!</definedName>
    <definedName name="TBe039e1ea_7883_4d3a_a7eb_4ba6dba87f22" hidden="1">#REF!</definedName>
    <definedName name="TBe0439de6_8883_4ec6_b634_048a5e7d03b8" hidden="1">#REF!</definedName>
    <definedName name="TBe052b32a_a04d_411e_8f73_2d7b6afc0fd6" hidden="1">#REF!</definedName>
    <definedName name="TBe0538d7c_1305_41ef_8368_d4c8775de255" hidden="1">#REF!</definedName>
    <definedName name="TBe05a48bb_995a_4f2f_8701_b206e8c82ee0" hidden="1">#REF!</definedName>
    <definedName name="TBe05b01a0_b455_401d_ad54_fa82c7eb9aff" hidden="1">#REF!</definedName>
    <definedName name="TBe05ed7d7_f86b_4776_adc9_1c3bac7d1a28" hidden="1">#REF!</definedName>
    <definedName name="TBe0604807_8a27_4aa0_b57d_2856f9cba983" hidden="1">#REF!</definedName>
    <definedName name="TBe07ae5ff_b715_4360_96ed_280f7436c0de" hidden="1">#REF!</definedName>
    <definedName name="TBe07ee90f_128d_4733_8817_85137e3e15d2" hidden="1">#REF!</definedName>
    <definedName name="TBe081a2cb_02f2_425d_9df4_504d2bf81ab6" hidden="1">#REF!</definedName>
    <definedName name="TBe083be53_2878_46af_a3d3_24a88d4fc5eb" hidden="1">#REF!</definedName>
    <definedName name="TBe085f71c_e969_4e62_a66c_472d1a37a4a1" hidden="1">#REF!</definedName>
    <definedName name="TBe0906c86_9ab8_4643_9c65_974b3ec0c699" hidden="1">#REF!</definedName>
    <definedName name="TBe094de49_7ac6_430c_86e9_092dac10621e" hidden="1">#REF!</definedName>
    <definedName name="TBe0976251_9672_410f_bf9b_26ffb13443ff" hidden="1">#REF!</definedName>
    <definedName name="TBe0ad855e_7c27_4acd_b645_80f30b20ab55" hidden="1">#REF!</definedName>
    <definedName name="TBe0b65b56_05a8_45a5_8669_ecebe6a5cf0f" hidden="1">#REF!</definedName>
    <definedName name="TBe0e85d86_158b_4c42_9b95_a46225f7be5b" hidden="1">#REF!</definedName>
    <definedName name="TBe0fb4eac_2e61_4b0c_bb02_0dcb7696247d" hidden="1">#REF!</definedName>
    <definedName name="TBe106a69b_c2dc_4cd2_9137_65ec75db4e19" hidden="1">#REF!</definedName>
    <definedName name="TBe11bbea4_946e_4a07_88bf_d7bc4652c9f2" hidden="1">#REF!</definedName>
    <definedName name="TBe11cd447_8c09_40e8_9c73_38f7b794dc38" hidden="1">#REF!</definedName>
    <definedName name="TBe11e92bf_9060_40f5_90cd_f8178fb45a61" hidden="1">#REF!</definedName>
    <definedName name="TBe128c5b2_6fd9_4cb6_9ab3_a05a3969cca8" hidden="1">#REF!</definedName>
    <definedName name="TBe12ffafd_8efa_411c_af20_c831fba00ca9" hidden="1">#REF!</definedName>
    <definedName name="TBe131f1a4_5b0e_4f4e_b840_fe58a10a52cb" hidden="1">#REF!</definedName>
    <definedName name="TBe14a83a3_98ab_4251_a097_9da01a64f420" hidden="1">#REF!</definedName>
    <definedName name="TBe15318bf_fe92_416f_9913_10764ff4b928" hidden="1">#REF!</definedName>
    <definedName name="TBe1664cf3_45d4_44c2_8882_38d2f300166a" hidden="1">#REF!</definedName>
    <definedName name="TBe168d9cb_af19_4b4d_9a20_bdcdc01cdc11" hidden="1">#REF!</definedName>
    <definedName name="TBe178156f_d85a_4090_ab51_4816ffe8430a" hidden="1">#REF!</definedName>
    <definedName name="TBe179317f_1a7d_4825_a74e_e9869169b84b" hidden="1">#REF!</definedName>
    <definedName name="TBe179bdb9_6d9f_4d29_882c_de4287c42e2a" hidden="1">#REF!</definedName>
    <definedName name="TBe18a4595_c115_40b8_b05f_1f397246368d" hidden="1">#REF!</definedName>
    <definedName name="TBe18eccaa_f5cf_4da7_a5ac_32249e870a87" hidden="1">#REF!</definedName>
    <definedName name="TBe19b3d0e_4914_4d12_b1de_e77ad92e1145" hidden="1">#REF!</definedName>
    <definedName name="TBe1a0ea12_d4eb_4b1d_9b62_2df5b8dc557b" hidden="1">#REF!</definedName>
    <definedName name="TBe1b09c46_cf09_4f58_8ea3_bb046ac44d6f" hidden="1">#REF!</definedName>
    <definedName name="TBe1d05e2b_ac01_41ff_9c1b_f763436a8e50" hidden="1">#REF!</definedName>
    <definedName name="TBe1f3447c_d5ec_4525_9bd5_8bfba9efafb2" hidden="1">#REF!</definedName>
    <definedName name="TBe1fd3b6c_3f1c_4fea_ba45_95caa761a9fc" hidden="1">#REF!</definedName>
    <definedName name="TBe200a6a9_779d_46c5_b0f4_320f2e300445" hidden="1">#REF!</definedName>
    <definedName name="TBe205f9a6_5042_4bdb_a65e_dc71a3f976e0" hidden="1">#REF!</definedName>
    <definedName name="TBe20723ce_e2e7_4afe_93c0_06ac55b178b5" hidden="1">#REF!</definedName>
    <definedName name="TBe210e1c1_214e_4101_8c02_dccac51d08cc" hidden="1">#REF!</definedName>
    <definedName name="TBe213e9c4_0f53_4a9c_b9f6_d271f8aac28e" hidden="1">#REF!</definedName>
    <definedName name="TBe218a816_75cd_4506_b8ca_fd8de1bffc35" hidden="1">#REF!</definedName>
    <definedName name="TBe21a332a_597b_4342_8bdf_6130bbc83a42" hidden="1">#REF!</definedName>
    <definedName name="TBe2414120_d0a4_40d7_9617_2f3dbec394af" hidden="1">#REF!</definedName>
    <definedName name="TBe24de282_3a3f_4b23_a217_c54a7ad99572" hidden="1">#REF!</definedName>
    <definedName name="TBe2520429_0d97_47f2_a208_695a4c58a8db" hidden="1">#REF!</definedName>
    <definedName name="TBe25c2bf1_8e8c_4733_9f12_13722521777e" hidden="1">#REF!</definedName>
    <definedName name="TBe2667d90_a93b_452d_837e_c0fb6e3db9d7" hidden="1">#REF!</definedName>
    <definedName name="TBe26fb946_5aad_4acd_8dfc_c764a426f140" hidden="1">#REF!</definedName>
    <definedName name="TBe27d1143_647e_4519_b170_d81114410897" hidden="1">#REF!</definedName>
    <definedName name="TBe28a2486_7789_48be_a616_6e959909ca14" hidden="1">#REF!</definedName>
    <definedName name="TBe293a052_6c40_48cb_9077_d502c727e577" hidden="1">#REF!</definedName>
    <definedName name="TBe29512ff_cb8e_416b_8e74_4b7c75c78d1c" hidden="1">#REF!</definedName>
    <definedName name="TBe29ffff0_8d04_47bc_9b37_0cf5e3dc6f36" hidden="1">#REF!</definedName>
    <definedName name="TBe2a7de43_3dcf_4f5f_9c61_d27539f7f784" hidden="1">#REF!</definedName>
    <definedName name="TBe2acb669_c6c4_4310_8335_7ca4db0c7a43" hidden="1">#REF!</definedName>
    <definedName name="TBe2bd9800_3fa7_4238_a963_b09f9beb3108" hidden="1">#REF!</definedName>
    <definedName name="TBe2c3cdc2_1071_4c7c_bed5_5e67e2a536b2" hidden="1">#REF!</definedName>
    <definedName name="TBe2d20ac3_8afd_43c3_ab5d_8519a41fb08d" hidden="1">#REF!</definedName>
    <definedName name="TBe2e3f042_a183_4843_baa5_36e3971337ca" hidden="1">#REF!</definedName>
    <definedName name="TBe2e9229a_d926_4e9d_a26c_694b1b4b38b8" hidden="1">#REF!</definedName>
    <definedName name="TBe2ecea69_49df_4d3d_92b7_817e4098a8fa" hidden="1">#REF!</definedName>
    <definedName name="TBe30ab69c_9634_427e_837f_cf4eb3927a0e" hidden="1">#REF!</definedName>
    <definedName name="TBe30d0b13_5fff_4915_bda8_f098b18eacd1" hidden="1">#REF!</definedName>
    <definedName name="TBe30e062d_ad85_4136_a7ad_b70a154ce1e6" hidden="1">#REF!</definedName>
    <definedName name="TBe312f311_ba24_4d51_88dd_9b4be3482806" hidden="1">#REF!</definedName>
    <definedName name="TBe31d9d55_1838_48ed_80ac_92e3eba9e2af" hidden="1">#REF!</definedName>
    <definedName name="TBe3316749_33d3_41b4_a0aa_964063be8e80" hidden="1">#REF!</definedName>
    <definedName name="TBe332f099_14bf_4c65_b2fc_29aca8961247" hidden="1">#REF!</definedName>
    <definedName name="TBe33d9bc7_6c39_47ba_af68_3e131e1cbd27" hidden="1">#REF!</definedName>
    <definedName name="TBe34e2678_b535_4c83_bac3_eace27a4ef1e" hidden="1">#REF!</definedName>
    <definedName name="TBe3545870_7e4f_4156_acca_a5f40ae75374" hidden="1">#REF!</definedName>
    <definedName name="TBe3596e82_bbfe_4f23_983e_2cb49817c43f" hidden="1">#REF!</definedName>
    <definedName name="TBe35dda71_478a_4e62_b3db_b286c0363faf" hidden="1">#REF!</definedName>
    <definedName name="TBe35fe350_2e00_47b5_af72_a9e19d38896c" hidden="1">#REF!</definedName>
    <definedName name="TBe360de80_bfe9_45a9_ba48_6b0696afa8b9" hidden="1">#REF!</definedName>
    <definedName name="TBe3656d5a_fddc_4dee_8a3f_8acfcbb44c72" hidden="1">#REF!</definedName>
    <definedName name="TBe36909ce_ae37_4ee1_a82b_c8cee663faf5" hidden="1">#REF!</definedName>
    <definedName name="TBe372af8c_3f87_4841_b872_6a069d0a7d68" hidden="1">#REF!</definedName>
    <definedName name="TBe38744e6_4932_41d1_b21b_b96d8a7a6ba5" hidden="1">#REF!</definedName>
    <definedName name="TBe38774b5_eadc_44e1_b017_ff895e617da5" hidden="1">#REF!</definedName>
    <definedName name="TBe3982ac0_776c_4cbc_a45d_7b1dac42f5ef" hidden="1">#REF!</definedName>
    <definedName name="TBe3aa8c61_c1e5_4871_add6_bd40c105821e" hidden="1">#REF!</definedName>
    <definedName name="TBe3bca9aa_36ad_4d80_a4d6_39bc5c65f40b" hidden="1">#REF!</definedName>
    <definedName name="TBe3be6e21_7c1c_48c1_8bc4_b002bc476f08" hidden="1">#REF!</definedName>
    <definedName name="TBe3d1b9bd_e4ae_4937_9cdc_ec44245eebfb" hidden="1">#REF!</definedName>
    <definedName name="TBe3d1bfa6_4114_4099_84d1_7dae48965342" hidden="1">#REF!</definedName>
    <definedName name="TBe3d4ee3f_b929_4510_bf56_3dbc4819290e" hidden="1">#REF!</definedName>
    <definedName name="TBe3dd0ea2_1781_4360_8536_c1d6c78248fa" hidden="1">#REF!</definedName>
    <definedName name="TBe3f5fe4d_0a3c_4c48_8d44_fe94d72aee3b" hidden="1">#REF!</definedName>
    <definedName name="TBe407f36c_71a5_4823_b143_c967f6fb501f" hidden="1">#REF!</definedName>
    <definedName name="TBe40901ea_e993_4335_a81f_cfbe608c09cb" hidden="1">#REF!</definedName>
    <definedName name="TBe41a3134_d6ad_42d1_90c6_a101feb8fbaf" hidden="1">#REF!</definedName>
    <definedName name="TBe41bf52b_aa33_497a_9f49_23df5bef24fe" hidden="1">#REF!</definedName>
    <definedName name="TBe41deca6_b8dd_4674_8646_454c4da9677a" hidden="1">#REF!</definedName>
    <definedName name="TBe423050e_65e4_4cc6_9cf2_ec7932864441" hidden="1">#REF!</definedName>
    <definedName name="TBe428aa17_ddae_4d92_bfeb_2bfceedcf87e" hidden="1">#REF!</definedName>
    <definedName name="TBe43373a2_9e4f_4c52_8736_13736f70ee50" hidden="1">#REF!</definedName>
    <definedName name="TBe438c5ff_8cea_4ada_8c43_e3ff5163fcdb" hidden="1">#REF!</definedName>
    <definedName name="TBe43c023f_51cf_417a_bce5_f91bc71c8043" hidden="1">#REF!</definedName>
    <definedName name="TBe457c633_95cd_4ada_8cc1_9580f53fe6a2" hidden="1">#REF!</definedName>
    <definedName name="TBe45cfd1a_536b_4f93_bf52_d7589bbf70ee" hidden="1">#REF!</definedName>
    <definedName name="TBe465d178_fb4e_418f_a244_91c43f7122b1" hidden="1">#REF!</definedName>
    <definedName name="TBe47439d3_10dc_4f30_9eba_4169283650c8" hidden="1">#REF!</definedName>
    <definedName name="TBe489e07c_6a9a_485a_b31c_f4e9f332d598" hidden="1">#REF!</definedName>
    <definedName name="TBe48c2e86_fe4d_4833_9eea_842f07b0775d" hidden="1">#REF!</definedName>
    <definedName name="TBe4929e74_816f_4e2c_932d_759fae998fcc" hidden="1">#REF!</definedName>
    <definedName name="TBe49ec553_4f93_4569_9bae_ae24edc94265" hidden="1">#REF!</definedName>
    <definedName name="TBe4a4c20b_3a5c_498c_87fe_24fdb8b28e2d" hidden="1">#REF!</definedName>
    <definedName name="TBe4a931c7_3f66_4210_86e0_3257e8f01aba" hidden="1">#REF!</definedName>
    <definedName name="TBe4b76399_7282_4692_822d_cbd673e68428" hidden="1">#REF!</definedName>
    <definedName name="TBe4bb4d17_ecaf_41d0_b12a_edf3feee33f5" hidden="1">#REF!</definedName>
    <definedName name="TBe4ca269f_0736_496a_8960_288b7ee7ce6d" hidden="1">#REF!</definedName>
    <definedName name="TBe4cfbe18_5d65_4a09_bdbb_6604ad5a052b" hidden="1">#REF!</definedName>
    <definedName name="TBe4d161ae_8071_42d8_9483_f0ca147eb806" hidden="1">#REF!</definedName>
    <definedName name="TBe4df2343_20e9_42a9_b200_86b805bdd35d" hidden="1">#REF!</definedName>
    <definedName name="TBe4e6559b_7e1c_4282_9fc7_138ba99ae320" hidden="1">#REF!</definedName>
    <definedName name="TBe4f63466_600f_491e_a82b_216489c3a8d7" hidden="1">#REF!</definedName>
    <definedName name="TBe531b8e4_c43c_4f17_a8de_93b47c931027" hidden="1">#REF!</definedName>
    <definedName name="TBe535de37_fb86_4bb2_b4e0_14fd5d0e0b41" hidden="1">#REF!</definedName>
    <definedName name="TBe536cafb_bc0f_4344_a07a_a71b0e1e30bc" hidden="1">#REF!</definedName>
    <definedName name="TBe53cffa2_b1b3_4d01_a826_8673b44fc636" hidden="1">#REF!</definedName>
    <definedName name="TBe5443bb1_11dc_48b3_87ec_e3ce763a24d6" hidden="1">#REF!</definedName>
    <definedName name="TBe5461094_5d6d_433d_b0c5_47ff30cf41a9" hidden="1">#REF!</definedName>
    <definedName name="TBe548d45a_6af5_49bc_a89a_1293fd19cc2d" hidden="1">#REF!</definedName>
    <definedName name="TBe567ba6f_5348_427b_a49f_d7266d4a6b12" hidden="1">#REF!</definedName>
    <definedName name="TBe56b50da_40d3_459d_a539_7995f136399b" hidden="1">#REF!</definedName>
    <definedName name="TBe5757009_e8bd_4737_8e3f_9666fa3ff225" hidden="1">#REF!</definedName>
    <definedName name="TBe581acd9_09c7_4ab9_8f52_a61ac254c0fa" hidden="1">#REF!</definedName>
    <definedName name="TBe58aed7c_626e_4dc3_a29f_9ae7ef86a987" hidden="1">#REF!</definedName>
    <definedName name="TBe5985244_3770_4af7_98a0_3a33b1cd4e4a" hidden="1">#REF!</definedName>
    <definedName name="TBe5a078b7_5f32_4631_b0a6_74d0e7908945" hidden="1">#REF!</definedName>
    <definedName name="TBe5a33ca6_6d65_459b_bbfc_7a644b1309f1" hidden="1">#REF!</definedName>
    <definedName name="TBe5a6c04a_7249_4d4e_b717_a86d81d274c6" hidden="1">#REF!</definedName>
    <definedName name="TBe5aa3e30_e057_4c75_b6d0_487eacf1224b" hidden="1">#REF!</definedName>
    <definedName name="TBe5b1d982_7126_4e95_b55f_c0f1f3ec6c59" hidden="1">#REF!</definedName>
    <definedName name="TBe5c699c9_b7d1_4195_95c5_04c6e92bb8db" hidden="1">#REF!</definedName>
    <definedName name="TBe5d077ee_66f0_4f58_ab5d_77181c5c696b" hidden="1">#REF!</definedName>
    <definedName name="TBe5d48a13_37ed_4965_aa83_5725c0212341" hidden="1">#REF!</definedName>
    <definedName name="TBe5d69654_4c38_4e3d_b83a_a064e09db5c0" hidden="1">#REF!</definedName>
    <definedName name="TBe5e731e9_eca4_4588_901a_a611f6561d20" hidden="1">#REF!</definedName>
    <definedName name="TBe5ffc363_7a4d_476c_a349_70a8cb35fbc4" hidden="1">#REF!</definedName>
    <definedName name="TBe6013af4_fcbd_465d_be1d_793cfcdc1016" hidden="1">#REF!</definedName>
    <definedName name="TBe6046711_3f6f_4210_ac8b_341ebf671b4a" hidden="1">#REF!</definedName>
    <definedName name="TBe6065fd0_2245_4c41_ad5f_8061646c1309" hidden="1">#REF!</definedName>
    <definedName name="TBe6217889_7a5b_404c_aeb7_66a8db366786" hidden="1">#REF!</definedName>
    <definedName name="TBe622fff1_dc24_42a5_98ca_4686e538f14d" hidden="1">#REF!</definedName>
    <definedName name="TBe6233165_dee6_4309_8220_0a3ce5e46bab" hidden="1">#REF!</definedName>
    <definedName name="TBe6245eae_c18f_47a6_b556_ba9ac9187068" hidden="1">#REF!</definedName>
    <definedName name="TBe62b17ee_d8f4_4583_9bfb_e70e82337edf" hidden="1">#REF!</definedName>
    <definedName name="TBe62be3da_aca2_4d63_807d_bc9a65811149" hidden="1">#REF!</definedName>
    <definedName name="TBe63af09a_9cce_4c72_8d3e_ee821f11af19" hidden="1">#REF!</definedName>
    <definedName name="TBe63e591d_078f_4131_b17c_7e329591596d" hidden="1">#REF!</definedName>
    <definedName name="TBe6510817_6631_4ce4_8ad0_db6073a4a620" hidden="1">#REF!</definedName>
    <definedName name="TBe65cacf6_76d9_4a2b_9c0c_696b053c0a3d" hidden="1">#REF!</definedName>
    <definedName name="TBe65ef49e_327c_44c3_a99a_103bdc17650f" hidden="1">#REF!</definedName>
    <definedName name="TBe665f507_40e3_4afd_ab41_9af92d51ce52" hidden="1">#REF!</definedName>
    <definedName name="TBe667a384_796a_4784_9679_a7f6eaf24340" hidden="1">#REF!</definedName>
    <definedName name="TBe670b7bd_63ac_415b_8aff_4135d426411c" hidden="1">#REF!</definedName>
    <definedName name="TBe6804199_5fcb_494b_85fb_61e10409b402" hidden="1">#REF!</definedName>
    <definedName name="TBe6869711_383c_4019_8f0f_dd9230423332" hidden="1">#REF!</definedName>
    <definedName name="TBe69921f2_e182_4dc5_b791_98f075127ff1" hidden="1">#REF!</definedName>
    <definedName name="TBe69a96af_fbb7_40a6_9046_7026994e2508" hidden="1">#REF!</definedName>
    <definedName name="TBe69cf59b_2e3b_441b_9b54_1ae6e9bb0503" hidden="1">#REF!</definedName>
    <definedName name="TBe6a59efd_2a72_4f22_8a9a_5a576a067ffd" hidden="1">#REF!</definedName>
    <definedName name="TBe6b19c54_ca23_43d0_bf2a_eef7c35e251e" hidden="1">#REF!</definedName>
    <definedName name="TBe6b3acbb_3d5b_4365_a586_cb643718d44f" hidden="1">#REF!</definedName>
    <definedName name="TBe6b5c6c7_d45a_4952_bb95_0084bbde47a9" hidden="1">#REF!</definedName>
    <definedName name="TBe6c618f7_9274_497c_8d04_44b15587ec48" hidden="1">#REF!</definedName>
    <definedName name="TBe6ca0cb0_aaa9_46a2_9ddd_858450700916" hidden="1">#REF!</definedName>
    <definedName name="TBe6d3d5ff_1be1_43df_8a21_edff42542f55" hidden="1">#REF!</definedName>
    <definedName name="TBe6d510de_ed49_4560_bf18_69b11de64357" hidden="1">#REF!</definedName>
    <definedName name="TBe6d6e0e4_4d8b_4bab_83b2_dadd17182301" hidden="1">#REF!</definedName>
    <definedName name="TBe6d8f7ab_30fc_4aa5_b12b_d5bfddfe7751" hidden="1">#REF!</definedName>
    <definedName name="TBe6e18335_361e_4fb1_997f_70c228a16ba9" hidden="1">#REF!</definedName>
    <definedName name="TBe6ef5bd7_255d_4b52_a8b4_5012250701cf" hidden="1">#REF!</definedName>
    <definedName name="TBe6f920d9_3b7c_4bf5_87f7_7d70021dcf61" hidden="1">#REF!</definedName>
    <definedName name="TBe7233716_e565_4cfb_922c_7826c5cc524b" hidden="1">#REF!</definedName>
    <definedName name="TBe72670bb_13f8_4c02_b4a4_c3e659015db4" hidden="1">#REF!</definedName>
    <definedName name="TBe72fc8bf_5db8_462a_9b8d_17d56a517ac6" hidden="1">#REF!</definedName>
    <definedName name="TBe745ffe2_5c00_47ff_87b5_c0762dce87e2" hidden="1">#REF!</definedName>
    <definedName name="TBe77052aa_2848_4b28_a45c_1de62910a363" hidden="1">#REF!</definedName>
    <definedName name="TBe78d880d_a71b_4df2_a327_db89dc06ac8b" hidden="1">#REF!</definedName>
    <definedName name="TBe78e1c60_fcb9_4ea4_a5b0_6cc57a27c0b9" hidden="1">#REF!</definedName>
    <definedName name="TBe790c260_5fca_4fd7_a1b5_a9643dedc3de" hidden="1">#REF!</definedName>
    <definedName name="TBe79f1eb9_b34b_4bf1_8f3e_72f48b26db1d" hidden="1">#REF!</definedName>
    <definedName name="TBe7acee2f_0a59_437d_ac69_66b609f24219" hidden="1">#REF!</definedName>
    <definedName name="TBe7ae32a2_4081_478b_a876_0dfc89d1fca7" hidden="1">#REF!</definedName>
    <definedName name="TBe7ae48a6_0e80_4891_86db_e8a7d7589123" hidden="1">#REF!</definedName>
    <definedName name="TBe7afe27c_97be_41b7_bfed_891a3f093c1f" hidden="1">#REF!</definedName>
    <definedName name="TBe7c5744a_61a5_4e84_a40b_6c91df0cb151" hidden="1">#REF!</definedName>
    <definedName name="TBe7d260b2_9c45_4750_b398_1e76b9f67253" hidden="1">#REF!</definedName>
    <definedName name="TBe7d56344_6811_4c28_b745_3fc8b6182e4f" hidden="1">#REF!</definedName>
    <definedName name="TBe7d792e1_de98_4a3a_9cb4_7dc2e453c7fe" hidden="1">#REF!</definedName>
    <definedName name="TBe7de1a1d_490f_4442_b337_38b2edc539c9" hidden="1">#REF!</definedName>
    <definedName name="TBe7df1a0e_7607_45a9_9af3_cedda9045032" hidden="1">#REF!</definedName>
    <definedName name="TBe7e17a93_e2e5_4df0_93b7_51737222b104" hidden="1">#REF!</definedName>
    <definedName name="TBe7e7a89d_d777_455c_9b1f_1881324a75ee" hidden="1">#REF!</definedName>
    <definedName name="TBe7ef794f_fb9b_4489_8fad_507baa71954e" hidden="1">#REF!</definedName>
    <definedName name="TBe7f48958_5266_4721_90a1_1d1d8f7c03df" hidden="1">#REF!</definedName>
    <definedName name="TBe7f63f92_91f2_4a4e_9011_c181dbf9c3de" hidden="1">#REF!</definedName>
    <definedName name="TBe801c387_d042_4a54_813b_83914a1d9c71" hidden="1">#REF!</definedName>
    <definedName name="TBe8022b0d_aa74_4afa_a5fa_de06f3bc8e70" hidden="1">#REF!</definedName>
    <definedName name="TBe80f7074_bddb_44d9_8aaf_363718ed33a0" hidden="1">#REF!</definedName>
    <definedName name="TBe81ac6e1_e55e_4450_a619_d1acef0359ef" hidden="1">#REF!</definedName>
    <definedName name="TBe81ed618_c3c1_445d_8850_6a34184c2abc" hidden="1">#REF!</definedName>
    <definedName name="TBe8244c3b_ba1f_4f97_bf08_0b5f3af19c1a" hidden="1">#REF!</definedName>
    <definedName name="TBe83309b0_9606_4bd9_ba93_70a24aa6ee3f" hidden="1">#REF!</definedName>
    <definedName name="TBe84d9134_29a4_41e0_a1c6_f1445d7c41cd" hidden="1">#REF!</definedName>
    <definedName name="TBe854c967_a094_4012_859c_84b8b5fb8424" hidden="1">#REF!</definedName>
    <definedName name="TBe85bb45a_589a_4d87_b16d_601f6f8672ce" hidden="1">#REF!</definedName>
    <definedName name="TBe863c71f_0fd8_4336_90a6_aa27467082fb" hidden="1">#REF!</definedName>
    <definedName name="TBe86aac99_3ce2_4e7b_b47a_91d80ad2e2f6" hidden="1">#REF!</definedName>
    <definedName name="TBe86d8076_1d4c_47d9_ade8_b73c2c255bb1" hidden="1">#REF!</definedName>
    <definedName name="TBe87a7b56_f489_4dc1_98e0_0b745072b607" hidden="1">#REF!</definedName>
    <definedName name="TBe87a9a8d_f2be_400f_b46f_e2e5a8604d3a" hidden="1">#REF!</definedName>
    <definedName name="TBe87cc83f_3d3b_4b33_9a68_f43a0f9e4023" hidden="1">#REF!</definedName>
    <definedName name="TBe881c999_79b8_433a_bf2d_27ace243965d" hidden="1">#REF!</definedName>
    <definedName name="TBe88f6bc4_95fc_4b7a_99e9_867d252c1413" hidden="1">#REF!</definedName>
    <definedName name="TBe895f4a9_0cdf_4ac2_9f4b_172272347879" hidden="1">#REF!</definedName>
    <definedName name="TBe8a2dd93_1468_4692_81da_e0f9a488b2f7" hidden="1">#REF!</definedName>
    <definedName name="TBe8a6a3f3_118c_4c13_8576_f0ce81229225" hidden="1">#REF!</definedName>
    <definedName name="TBe8b23bd2_f771_47fe_8e60_0b7958f80cd3" hidden="1">#REF!</definedName>
    <definedName name="TBe8beb86b_c6af_407b_a2f6_a1100050f83f" hidden="1">#REF!</definedName>
    <definedName name="TBe8bec17f_21fd_4490_8af3_0874f40762c5" hidden="1">#REF!</definedName>
    <definedName name="TBe8cc5844_a630_41e0_96da_88392e6498d1" hidden="1">#REF!</definedName>
    <definedName name="TBe8cf0b06_1a1e_4ff3_9624_b9b93974fabd" hidden="1">#REF!</definedName>
    <definedName name="TBe8d01a77_eeb8_4b9e_a8e6_124f119ab0b6" hidden="1">#REF!</definedName>
    <definedName name="TBe8d34127_e5b7_4a68_813e_7cc10189de83" hidden="1">#REF!</definedName>
    <definedName name="TBe8d3fe47_7272_423f_afd7_4ce17b28e087" hidden="1">#REF!</definedName>
    <definedName name="TBe8e16aa3_ba83_4787_b3e6_b4846533c21d" hidden="1">#REF!</definedName>
    <definedName name="TBe8e75741_0117_445d_bdd0_6d468b1aad49" hidden="1">#REF!</definedName>
    <definedName name="TBe8f8e4fb_e1ff_433f_9d70_c8d9b3eecdbd" hidden="1">#REF!</definedName>
    <definedName name="TBe90cb99a_7e14_414e_99db_393b66acc7c7" hidden="1">#REF!</definedName>
    <definedName name="TBe918beee_2acf_468d_8054_26999bb844e7" hidden="1">#REF!</definedName>
    <definedName name="TBe92ab338_a684_4323_aa01_caf9735083d8" hidden="1">#REF!</definedName>
    <definedName name="TBe92d9cb2_361c_4725_a84c_f2082e93216f" hidden="1">#REF!</definedName>
    <definedName name="TBe94d5bb0_52a3_4f91_b4ce_440ac0e52be6" hidden="1">#REF!</definedName>
    <definedName name="TBe951a226_b94e_42b7_a720_b075ed1bd8fd" hidden="1">#REF!</definedName>
    <definedName name="TBe959e296_a733_49b5_9756_62d4f55d704e" hidden="1">#REF!</definedName>
    <definedName name="TBe95a70ac_1b54_46d3_ac0f_81a3bff8ce03" hidden="1">#REF!</definedName>
    <definedName name="TBe95d6ff1_b1c1_4cb9_831d_30db737b5a5d" hidden="1">#REF!</definedName>
    <definedName name="TBe9700e96_e42f_4ba9_a39e_5a7f4264747b" hidden="1">#REF!</definedName>
    <definedName name="TBe977c49b_9ba6_4f2b_828c_d200f08ae8ee" hidden="1">#REF!</definedName>
    <definedName name="TBe98ae8a9_f754_48f1_beab_3455aa829b6a" hidden="1">#REF!</definedName>
    <definedName name="TBe9939793_04a6_4523_9af6_bb8ececebdc9" hidden="1">#REF!</definedName>
    <definedName name="TBe99e385a_db88_4b31_af67_754a25d395aa" hidden="1">#REF!</definedName>
    <definedName name="TBe9a1a96f_eb48_4e2f_a1ca_2ed28d0452d6" hidden="1">#REF!</definedName>
    <definedName name="TBe9a63c29_778d_41f7_8b0e_cc0b2ac51aff" hidden="1">#REF!</definedName>
    <definedName name="TBe9bd3abd_c942_438a_8034_3efd29b3401e" hidden="1">#REF!</definedName>
    <definedName name="TBe9c39206_82aa_4149_9cb7_58ab851af702" hidden="1">#REF!</definedName>
    <definedName name="TBe9c9c5fb_37a0_4fb1_b009_e6af2924b955" hidden="1">#REF!</definedName>
    <definedName name="TBe9cba20e_61bd_4432_88b3_36e11482cb08" hidden="1">#REF!</definedName>
    <definedName name="TBe9d8ce7c_13ee_4516_930c_f96bde23d22e" hidden="1">#REF!</definedName>
    <definedName name="TBe9dbb472_20e7_429c_86ad_0fb9655bc5d7" hidden="1">#REF!</definedName>
    <definedName name="TBe9dc837b_e44f_4523_a10a_5107294475d1" hidden="1">#REF!</definedName>
    <definedName name="TBe9e9c8d9_19e8_4b06_971a_3b547446d949" hidden="1">#REF!</definedName>
    <definedName name="TBe9f2393a_739b_4266_8726_c55806334157" hidden="1">#REF!</definedName>
    <definedName name="TBea02064c_e5c4_44f5_b528_72674bf52afa" hidden="1">#REF!</definedName>
    <definedName name="TBea12b1ac_dd04_4790_a04d_b191b82909d8" hidden="1">#REF!</definedName>
    <definedName name="TBea14087f_629a_4cfa_8e91_091b24c86aaf" hidden="1">#REF!</definedName>
    <definedName name="TBea1c2e52_a061_44f7_bbad_e871adc9d1c8" hidden="1">#REF!</definedName>
    <definedName name="TBea2dd15c_b5d3_4bc6_ad35_a7b26e8a634d" hidden="1">#REF!</definedName>
    <definedName name="TBea300b49_2e73_48fa_b90e_f665ff7b5a70" hidden="1">#REF!</definedName>
    <definedName name="TBea43c856_6cbd_41b6_8893_292ece6781b0" hidden="1">#REF!</definedName>
    <definedName name="TBea477a8e_0006_4675_9169_74d2d1d46940" hidden="1">#REF!</definedName>
    <definedName name="TBea48d3d9_65d6_4ae1_a1d9_0e23941f8a33" hidden="1">#REF!</definedName>
    <definedName name="TBea53853f_8de8_437a_9b97_7f5c7ece2a2f" hidden="1">#REF!</definedName>
    <definedName name="TBea61f8d4_c0c8_42d1_b692_b9203832d37b" hidden="1">#REF!</definedName>
    <definedName name="TBea7031c1_bb1c_4955_8080_0c88458e4bf0" hidden="1">#REF!</definedName>
    <definedName name="TBea8fb761_de86_43b5_97cf_79e45fe7b6cd" hidden="1">#REF!</definedName>
    <definedName name="TBea94a839_ccae_419a_ae87_354c361945fb" hidden="1">#REF!</definedName>
    <definedName name="TBeaa38875_e8ed_483b_9696_f45663eda4fd" hidden="1">#REF!</definedName>
    <definedName name="TBeaa6eada_d9cd_47fe_a04e_6525a9d92a85" hidden="1">#REF!</definedName>
    <definedName name="TBeaa71908_1dd7_4e62_acd1_2713b53cab10" hidden="1">#REF!</definedName>
    <definedName name="TBeabfb481_7098_4db5_be4b_088c0a68c623" hidden="1">#REF!</definedName>
    <definedName name="TBead82cbf_a4c7_4014_8b2f_ebb42beea6b7" hidden="1">#REF!</definedName>
    <definedName name="TBeada9f0b_dfb2_495e_896f_ad6a34c9b1e2" hidden="1">#REF!</definedName>
    <definedName name="TBeade2e17_46d2_46a8_81ab_0323d2e84545" hidden="1">#REF!</definedName>
    <definedName name="TBeafdd0fb_5ed8_4300_a254_5768d114428e" hidden="1">#REF!</definedName>
    <definedName name="TBeafe0dfa_c501_4697_849c_7ba6fc4d4e78" hidden="1">#REF!</definedName>
    <definedName name="TBeb1e1a7b_e118_4d1e_9d57_1f5016df3dff" hidden="1">#REF!</definedName>
    <definedName name="TBeb1f29ff_4c59_4f29_9267_0675c8b62946" hidden="1">#REF!</definedName>
    <definedName name="TBeb252b5d_f1e6_4773_a906_0c0637bd8da2" hidden="1">#REF!</definedName>
    <definedName name="TBeb271752_205f_4b72_9c61_788be2cb06df" hidden="1">#REF!</definedName>
    <definedName name="TBeb2f016f_02f9_48c8_9c3c_43f828a11632" hidden="1">#REF!</definedName>
    <definedName name="TBeb2f5989_41cc_4ae7_8264_10e4409aaafb" hidden="1">#REF!</definedName>
    <definedName name="TBeb30b425_da95_40b3_82c7_65e78cd70897" hidden="1">#REF!</definedName>
    <definedName name="TBeb3ce46f_d8e0_41b6_ad6a_415dbdb681f1" hidden="1">#REF!</definedName>
    <definedName name="TBeb4966b9_c221_4f40_80a0_12fda1a581ee" hidden="1">#REF!</definedName>
    <definedName name="TBeb4bbf53_fed0_44f6_9a20_b02bf976325f" hidden="1">#REF!</definedName>
    <definedName name="TBeb4d166c_db63_48ce_b257_8b03786aab95" hidden="1">#REF!</definedName>
    <definedName name="TBeb52a67d_ce16_499d_94ec_ecfe7e6788a2" hidden="1">#REF!</definedName>
    <definedName name="TBeb5b9bc6_ec2d_4a62_af95_64b274c12070" hidden="1">#REF!</definedName>
    <definedName name="TBeb699d9b_a6be_49ef_9ac4_9d32633d4476" hidden="1">#REF!</definedName>
    <definedName name="TBeb6bd13e_af44_47f6_a7c2_aedcfc0df401" hidden="1">#REF!</definedName>
    <definedName name="TBeb704417_48f3_4ac5_9559_3dd04a038ac3" hidden="1">#REF!</definedName>
    <definedName name="TBeb7de48b_a8ba_40f3_ad0e_b3131df31818" hidden="1">#REF!</definedName>
    <definedName name="TBeb7e6921_bb02_4e4a_9906_77edf2a81bc8" hidden="1">#REF!</definedName>
    <definedName name="TBeb7ec153_2d27_4ced_aa17_3c387fc2047b" hidden="1">#REF!</definedName>
    <definedName name="TBeba3ee4d_4094_42d4_991e_e751229ea7b9" hidden="1">#REF!</definedName>
    <definedName name="TBeba8c177_ab90_43b8_86e6_155698328179" hidden="1">#REF!</definedName>
    <definedName name="TBebae0ff3_5a53_4746_b5d7_1b8735fc508f" hidden="1">#REF!</definedName>
    <definedName name="TBebb91c50_7155_418c_9426_e1bfa62fdecb" hidden="1">#REF!</definedName>
    <definedName name="TBebd5eed4_b67b_450b_8aaa_76ba347993a8" hidden="1">#REF!</definedName>
    <definedName name="TBebd613b9_ccd6_4332_96cd_39a1618f5188" hidden="1">#REF!</definedName>
    <definedName name="TBebe2517f_b561_4f71_af37_c8625b63da70" hidden="1">#REF!</definedName>
    <definedName name="TBebe2613b_5d43_4fd1_b550_ae94b93bc5f6" hidden="1">#REF!</definedName>
    <definedName name="TBebeacc2b_71c0_4f71_89d7_2a060234dddb" hidden="1">#REF!</definedName>
    <definedName name="TBebef26f2_a4b9_422f_999f_1b26a0b7f0f1" hidden="1">#REF!</definedName>
    <definedName name="TBebf72f8a_ed4e_4aeb_b144_d88b8cc736b2" hidden="1">#REF!</definedName>
    <definedName name="TBebffc4e9_1e30_403d_97b2_2b6f21ba9403" hidden="1">#REF!</definedName>
    <definedName name="TBec0d69d6_d986_4697_a36f_c1bd914153e9" hidden="1">#REF!</definedName>
    <definedName name="TBec0f8b5f_2003_4e35_9c42_623a86e6e741" hidden="1">#REF!</definedName>
    <definedName name="TBec146601_6eb2_4fee_89a5_3de5248476b5" hidden="1">#REF!</definedName>
    <definedName name="TBec15744d_c259_4d3b_a400_3ea93cd1180f" hidden="1">#REF!</definedName>
    <definedName name="TBec1b7c1a_8826_433c_9f6a_74e1eebbae3a" hidden="1">#REF!</definedName>
    <definedName name="TBec237c3b_fa3e_40e4_9849_b1e4f6fd9e61" hidden="1">#REF!</definedName>
    <definedName name="TBec2612c5_2feb_4614_ac85_5ebc1be2c238" hidden="1">#REF!</definedName>
    <definedName name="TBec376bbb_910e_48ee_81ab_af4f866c558a" hidden="1">#REF!</definedName>
    <definedName name="TBec3b300b_bce4_47b1_a321_3f69fbfc80a4" hidden="1">#REF!</definedName>
    <definedName name="TBec66f7f7_582c_4369_9260_9a2b20ddcd73" hidden="1">#REF!</definedName>
    <definedName name="TBec7005d4_e1e1_4113_aa40_1b30fc50bed8" hidden="1">#REF!</definedName>
    <definedName name="TBec73389a_aeb0_4b76_bedf_4bc64ab80271" hidden="1">#REF!</definedName>
    <definedName name="TBec82278e_6308_4656_b3a9_cc7da5cdbfcb" hidden="1">#REF!</definedName>
    <definedName name="TBec97345f_ed74_4d83_8982_2b496bd3ee75" hidden="1">#REF!</definedName>
    <definedName name="TBec9c1509_f88e_4af9_a198_88c487457b3f" hidden="1">#REF!</definedName>
    <definedName name="TBeca4e6c4_a416_4da1_9183_f9453d7f1a40" hidden="1">#REF!</definedName>
    <definedName name="TBecae454e_35c6_425f_a4f5_593833f841c1" hidden="1">#REF!</definedName>
    <definedName name="TBecbb9489_3e59_4986_abf6_c46b85d59b65" hidden="1">#REF!</definedName>
    <definedName name="TBecc3a88b_4617_495b_827f_27cae014cf8a" hidden="1">#REF!</definedName>
    <definedName name="TBecd7ce25_80fb_4681_ac4f_7caa57f0f8aa" hidden="1">#REF!</definedName>
    <definedName name="TBece1c0c2_f136_4eff_b36f_6630f08bf5a4" hidden="1">#REF!</definedName>
    <definedName name="TBece2b15b_e60b_4c27_a811_134d0ac91c95" hidden="1">#REF!</definedName>
    <definedName name="TBece34a5d_1336_432b_9273_4fa552dbf22e" hidden="1">#REF!</definedName>
    <definedName name="TBecee90a1_4941_4ce6_9d14_a019b367101c" hidden="1">#REF!</definedName>
    <definedName name="TBecfc251f_7c44_4b97_abb2_5be98f00d536" hidden="1">#REF!</definedName>
    <definedName name="TBecff59a0_35b7_4fc6_aebe_7f488de40077" hidden="1">#REF!</definedName>
    <definedName name="TBed0177ae_5b66_45a4_b112_99c7a8b71de4" hidden="1">#REF!</definedName>
    <definedName name="TBed0b2d74_01b7_4b8f_9d36_275cb41fcfc1" hidden="1">#REF!</definedName>
    <definedName name="TBed0cdc33_0a8d_4884_b084_66dda537348b" hidden="1">#REF!</definedName>
    <definedName name="TBed1159a9_ecfe_4248_b0a0_76c356db28ab" hidden="1">#REF!</definedName>
    <definedName name="TBed118ac4_2566_4159_a6db_2aadb079026f" hidden="1">#REF!</definedName>
    <definedName name="TBed14e9e9_405d_4861_af20_27807d607570" hidden="1">#REF!</definedName>
    <definedName name="TBed166e97_15fd_4f84_8ec1_d829ce0c5943" hidden="1">#REF!</definedName>
    <definedName name="TBed17d684_d9bc_4991_86d7_97d5535f8472" hidden="1">#REF!</definedName>
    <definedName name="TBed26190d_548c_4c86_8d53_bab156801c33" hidden="1">#REF!</definedName>
    <definedName name="TBed38804a_c977_4520_9b15_5e81e8c127ee" hidden="1">#REF!</definedName>
    <definedName name="TBed389f80_c80b_4ad4_8b73_844874d89b1a" hidden="1">#REF!</definedName>
    <definedName name="TBed3f24bb_3987_443a_a64f_b878b5a2e77a" hidden="1">#REF!</definedName>
    <definedName name="TBed426008_8282_47f5_9268_d86d4ea25981" hidden="1">#REF!</definedName>
    <definedName name="TBed44f1a2_f1bd_4c7c_93b2_ca33c9ee96e9" hidden="1">#REF!</definedName>
    <definedName name="TBed467afb_eb0d_476d_9bb0_30b220e18151" hidden="1">#REF!</definedName>
    <definedName name="TBed4e886d_460b_47dc_8cda_ee82664bca88" hidden="1">#REF!</definedName>
    <definedName name="TBed5f0703_719a_42c5_8b97_528696efcd56" hidden="1">#REF!</definedName>
    <definedName name="TBed63be80_a9f1_45d5_b61b_98a25e257791" hidden="1">#REF!</definedName>
    <definedName name="TBed63e631_620c_4f3d_8141_bbd0ce2e95e3" hidden="1">#REF!</definedName>
    <definedName name="TBed6ba2bc_c658_463e_bd86_31b46fdfd65d" hidden="1">#REF!</definedName>
    <definedName name="TBed7c6b18_86c3_4cc5_af8d_732e0910b159" hidden="1">#REF!</definedName>
    <definedName name="TBed941fa4_c4cc_46dd_813a_de4fbb240eaa" hidden="1">#REF!</definedName>
    <definedName name="TBed955ad1_3e99_466d_b221_2a66fb7c30b6" hidden="1">#REF!</definedName>
    <definedName name="TBedb0a331_e912_420a_8fa1_37266c883ed3" hidden="1">#REF!</definedName>
    <definedName name="TBedb0eacd_48a5_4ff5_9bd5_0b4bb49c787d" hidden="1">#REF!</definedName>
    <definedName name="TBedc31492_eaa4_403f_87c7_1cc56d19b491" hidden="1">#REF!</definedName>
    <definedName name="TBedc8d3d4_3e8c_4711_92f2_f038bdf96517" hidden="1">#REF!</definedName>
    <definedName name="TBedcdbec8_9581_4c3f_aac6_c3795aadc4ff" hidden="1">#REF!</definedName>
    <definedName name="TBedd377b4_3983_4251_a289_5e3d42db60e8" hidden="1">#REF!</definedName>
    <definedName name="TBedd900e8_be52_45b2_ac14_72231d31936e" hidden="1">#REF!</definedName>
    <definedName name="TBede3a7f9_aad2_4069_bded_bc0311413f00" hidden="1">#REF!</definedName>
    <definedName name="TBedf16654_4a33_4846_9806_db8db7d632a3" hidden="1">#REF!</definedName>
    <definedName name="TBedf2fd67_f959_4353_8688_0c0dbbd1df08" hidden="1">#REF!</definedName>
    <definedName name="TBedf89991_bf79_4be6_b094_13b47364c2c4" hidden="1">#REF!</definedName>
    <definedName name="TBedfede93_c5d9_4e64_bf69_3f141124823e" hidden="1">#REF!</definedName>
    <definedName name="TBedff032e_955d_4e13_9074_b49a9f57fb07" hidden="1">#REF!</definedName>
    <definedName name="TBee0d5bde_b9b4_4199_9d6c_002d436d105d" hidden="1">#REF!</definedName>
    <definedName name="TBee0f44d3_7233_408f_9330_bd14749920e2" hidden="1">#REF!</definedName>
    <definedName name="TBee1ffd27_7be9_4e04_adb7_e15aab6cb035" hidden="1">#REF!</definedName>
    <definedName name="TBee2671d0_17c8_4e2d_8737_68d0ec8abad0" hidden="1">#REF!</definedName>
    <definedName name="TBee2700ab_4971_406d_8240_257fda20287a" hidden="1">#REF!</definedName>
    <definedName name="TBee28f016_6e10_4da0_94a7_b4ebfc0835c4" hidden="1">#REF!</definedName>
    <definedName name="TBee3affa3_de0d_4b8b_8764_2690d133b73f" hidden="1">#REF!</definedName>
    <definedName name="TBee563d90_743f_4d0e_945f_6872741ec284" hidden="1">#REF!</definedName>
    <definedName name="TBee57dcc0_b329_48d0_8e2a_9931dbdeeb8f" hidden="1">#REF!</definedName>
    <definedName name="TBee6e08f2_5610_4f9a_9e8d_af0e9194a311" hidden="1">#REF!</definedName>
    <definedName name="TBee6ec874_6341_4484_9af7_da31cd25f64b" hidden="1">#REF!</definedName>
    <definedName name="TBee7bc749_7d86_4630_bc13_b4c511a0f390" hidden="1">#REF!</definedName>
    <definedName name="TBee80a038_d590_41fc_bed6_6b5ef76fd0ab" hidden="1">#REF!</definedName>
    <definedName name="TBee83a7bb_a9df_4c25_8bbc_c7b919a08595" hidden="1">#REF!</definedName>
    <definedName name="TBee841087_d015_401c_8751_591e3273fa1e" hidden="1">#REF!</definedName>
    <definedName name="TBee8cee71_6267_4340_a3ec_75981b024756" hidden="1">#REF!</definedName>
    <definedName name="TBeea4e822_7043_4c44_bcbf_3542a8e446bf" hidden="1">#REF!</definedName>
    <definedName name="TBeea93d9e_c110_456f_8256_0f2e57a77efe" hidden="1">#REF!</definedName>
    <definedName name="TBeeb7dcba_5860_4b17_aac0_60caddfefca8" hidden="1">#REF!</definedName>
    <definedName name="TBeeba73f4_59fd_4e6c_b0ae_f82150d3cd92" hidden="1">#REF!</definedName>
    <definedName name="TBeebb7225_493a_4515_b933_e6e956c82ddb" hidden="1">#REF!</definedName>
    <definedName name="TBeecb888b_d7e7_4464_b728_0d11d3d71671" hidden="1">#REF!</definedName>
    <definedName name="TBeed3008d_034c_42ef_99e0_c440f7917e90" hidden="1">#REF!</definedName>
    <definedName name="TBeed83e6c_972e_4b44_b8ec_9a1c33b999b4" hidden="1">#REF!</definedName>
    <definedName name="TBeee39092_fef3_419a_8e0d_2598c8b53fd1" hidden="1">#REF!</definedName>
    <definedName name="TBeee7189b_b72a_4eb7_bb8e_a24036d98d7f" hidden="1">#REF!</definedName>
    <definedName name="TBeeeb5e92_31cb_4d89_ac28_fe845a120074" hidden="1">#REF!</definedName>
    <definedName name="TBeeee1dba_b52a_4f82_bc49_77c69e75585f" hidden="1">#REF!</definedName>
    <definedName name="TBeeef85ae_3f4b_4527_ab0b_b31d137ea7a7" hidden="1">#REF!</definedName>
    <definedName name="TBeefd3bff_131a_487f_9028_0da8a6789ac4" hidden="1">#REF!</definedName>
    <definedName name="TBeefe1254_1cc1_4979_83db_0bd86a439021" hidden="1">#REF!</definedName>
    <definedName name="TBef036fc8_5759_40ae_9b2e_a0b1cd72a3a1" hidden="1">#REF!</definedName>
    <definedName name="TBef04959d_2d56_4b2d_934a_b56ac18f611e" hidden="1">#REF!</definedName>
    <definedName name="TBef06d571_b4be_4aea_837c_a32728457687" hidden="1">#REF!</definedName>
    <definedName name="TBef086c1e_0dba_4589_bfcc_08ee96d1d9f1" hidden="1">#REF!</definedName>
    <definedName name="TBef087b4b_492e_4e3a_a929_7075294ae0c1" hidden="1">#REF!</definedName>
    <definedName name="TBef0b8d4d_09b2_46fd_baed_e21ed6894cb2" hidden="1">#REF!</definedName>
    <definedName name="TBef12fdbf_02c0_4c1c_85f7_cb724d8f2ddf" hidden="1">#REF!</definedName>
    <definedName name="TBef18f165_007c_41c5_9ed9_0d73ab5ef9f3" hidden="1">#REF!</definedName>
    <definedName name="TBef244db7_7ff7_4b37_b396_155ed7e7a138" hidden="1">#REF!</definedName>
    <definedName name="TBef2b5ab0_607f_4f12_9590_3937275e9829" hidden="1">#REF!</definedName>
    <definedName name="TBef43c775_d4d4_4d78_9daf_799e512412d4" hidden="1">#REF!</definedName>
    <definedName name="TBef45bb27_9066_42ef_8c08_ec2569946f55" hidden="1">#REF!</definedName>
    <definedName name="TBef4d4907_2d69_4b5c_8e85_025d92f9417a" hidden="1">#REF!</definedName>
    <definedName name="TBef51094f_9e1b_42a9_906a_de9f72c9276b" hidden="1">#REF!</definedName>
    <definedName name="TBef5d815d_4d09_42f7_a39c_604f2094ca4d" hidden="1">#REF!</definedName>
    <definedName name="TBef6509e5_a9b7_4cc9_88b7_afdd82007307" hidden="1">#REF!</definedName>
    <definedName name="TBef69e215_28b0_4651_a0fb_9d1ed9f837a1" hidden="1">#REF!</definedName>
    <definedName name="TBef6bb34d_cd41_4d5b_9c38_fbdd6475a5d0" hidden="1">#REF!</definedName>
    <definedName name="TBef7c1f14_b4b4_491d_965f_ed3611be4096" hidden="1">#REF!</definedName>
    <definedName name="TBef83f360_6e4f_44d6_a3b5_c6028de86664" hidden="1">#REF!</definedName>
    <definedName name="TBef857a4b_b1d3_47fa_a42b_e9bb0089fc1c" hidden="1">#REF!</definedName>
    <definedName name="TBef85ff2d_b098_4949_afa3_3ebc18fc29f4" hidden="1">#REF!</definedName>
    <definedName name="TBef88c2d6_4ba2_434c_bfff_e315aa233af8" hidden="1">#REF!</definedName>
    <definedName name="TBef8a5a84_f94a_4194_ab28_67b140c68610" hidden="1">#REF!</definedName>
    <definedName name="TBef972ef7_89ca_4f8a_8ad9_376f41073173" hidden="1">#REF!</definedName>
    <definedName name="TBefa304c3_6096_4307_930c_59bb2a89c775" hidden="1">#REF!</definedName>
    <definedName name="TBefb88fe0_c1b8_4549_8e7c_33a4357d6830" hidden="1">#REF!</definedName>
    <definedName name="TBefbfd8d3_fe4c_4722_a3f8_b9bd23cc0bb1" hidden="1">#REF!</definedName>
    <definedName name="TBefc5eced_1505_429d_b33d_730d6963d73b" hidden="1">#REF!</definedName>
    <definedName name="TBefd65da8_821b_412c_b8e8_5b5d336217f9" hidden="1">#REF!</definedName>
    <definedName name="TBefd68634_f2c3_41a0_a724_2cf2f55d831b" hidden="1">#REF!</definedName>
    <definedName name="TBefe00c19_9aea_41b9_9eca_97cf1ffe8159" hidden="1">#REF!</definedName>
    <definedName name="TBefe2754c_cf1c_43b6_b51a_fb76b145840e" hidden="1">#REF!</definedName>
    <definedName name="TBefe3127c_a451_4b68_8157_5c3456e9c7bc" hidden="1">#REF!</definedName>
    <definedName name="TBefeea867_1cbc_4996_8b53_ab445d55168a" hidden="1">#REF!</definedName>
    <definedName name="TBeff4d46d_943e_47af_94d4_69531254fb05" hidden="1">#REF!</definedName>
    <definedName name="TBeff84b86_160b_42c0_bd86_ca1a705ee0bd" hidden="1">#REF!</definedName>
    <definedName name="TBeff88f52_56c9_4e7a_9009_9ada9a37cc75" hidden="1">#REF!</definedName>
    <definedName name="TBf00174b5_b52b_477d_8dd0_5bf673e1fbf0" hidden="1">#REF!</definedName>
    <definedName name="TBf007a7d5_f887_4761_afcd_6f207ad12bce" hidden="1">#REF!</definedName>
    <definedName name="TBf00c02f2_84b1_478a_a14e_28eb7d1911a1" hidden="1">#REF!</definedName>
    <definedName name="TBf01b7b42_e784_450f_80f4_62725c3838da" hidden="1">#REF!</definedName>
    <definedName name="TBf02b46d7_76bd_4587_9fb0_01c037e127b7" hidden="1">#REF!</definedName>
    <definedName name="TBf02c65fd_739f_4dd8_8bb0_227a7459861b" hidden="1">#REF!</definedName>
    <definedName name="TBf03575e4_2bc3_4ac9_a496_f4e58ee52871" hidden="1">#REF!</definedName>
    <definedName name="TBf037054a_48a6_49b7_b5d3_4372d14a76a9" hidden="1">#REF!</definedName>
    <definedName name="TBf038b225_9839_4aab_9fcb_126fdc49dcd9" hidden="1">#REF!</definedName>
    <definedName name="TBf03f7b98_5b8a_4124_8625_0cf657ffccf2" hidden="1">#REF!</definedName>
    <definedName name="TBf058407e_a144_4d5e_968b_81e732339d1a" hidden="1">#REF!</definedName>
    <definedName name="TBf064d5af_0070_407b_83bc_71881cd964ea" hidden="1">#REF!</definedName>
    <definedName name="TBf06fc0ba_fe40_41da_9b4b_e8c5fc947048" hidden="1">#REF!</definedName>
    <definedName name="TBf06ff74e_c00a_4676_a95d_0ca62b9ae338" hidden="1">#REF!</definedName>
    <definedName name="TBf076b6d6_8433_41ef_9c44_8ed0d3d18791" hidden="1">#REF!</definedName>
    <definedName name="TBf080950c_fea4_4133_9f32_1011ae6caf2a" hidden="1">#REF!</definedName>
    <definedName name="TBf0839c70_699c_4004_afe1_33c51fb94e07" hidden="1">#REF!</definedName>
    <definedName name="TBf0880d2f_3a83_4e9b_b444_1778349dfa59" hidden="1">#REF!</definedName>
    <definedName name="TBf08cf9fc_1d5a_4507_9096_029f2768934f" hidden="1">#REF!</definedName>
    <definedName name="TBf09073ca_8c70_42d5_b0d8_d4548b5d4e10" hidden="1">#REF!</definedName>
    <definedName name="TBf0a1a61c_f7b9_4150_b66e_f7f5bdcfb983" hidden="1">#REF!</definedName>
    <definedName name="TBf0a3a31b_9c1a_4ffb_a8b8_632ef04cce09" hidden="1">#REF!</definedName>
    <definedName name="TBf0adfc8b_2425_4994_b731_610f1f985bf9" hidden="1">#REF!</definedName>
    <definedName name="TBf0b721b4_6707_426a_ab54_237375fd7166" hidden="1">#REF!</definedName>
    <definedName name="TBf0bac391_24a0_403f_a8bb_7261e1fac79b" hidden="1">#REF!</definedName>
    <definedName name="TBf0c06478_a861_418e_947c_18b4c3c470a2" hidden="1">#REF!</definedName>
    <definedName name="TBf0c208ef_073a_40e3_9b8b_027529361f5f" hidden="1">#REF!</definedName>
    <definedName name="TBf0c967c7_f7a5_4972_8bc7_5e43c41d3dc4" hidden="1">#REF!</definedName>
    <definedName name="TBf0d2a5fe_27f5_4c96_97e8_56c2f689c889" hidden="1">#REF!</definedName>
    <definedName name="TBf0ed19b4_3f9e_441c_8367_abe093709f56" hidden="1">#REF!</definedName>
    <definedName name="TBf0eefb31_7da8_4550_b9a1_46da0d957e78" hidden="1">#REF!</definedName>
    <definedName name="TBf0f19278_805a_40b3_b08e_42e926b32966" hidden="1">#REF!</definedName>
    <definedName name="TBf0fa7e7b_3b01_494c_8d4c_ae116e779e75" hidden="1">#REF!</definedName>
    <definedName name="TBf0fb4c4f_e9f9_49ca_995d_be55a174e4a3" hidden="1">#REF!</definedName>
    <definedName name="TBf0fe1a3a_653e_48be_8cd1_0c30c4b99b5c" hidden="1">#REF!</definedName>
    <definedName name="TBf10a1a3a_1784_4ade_9ffc_a187fc2afdb5" hidden="1">#REF!</definedName>
    <definedName name="TBf114bfdb_1212_4eb4_a54b_7e7c15f2577e" hidden="1">#REF!</definedName>
    <definedName name="TBf1153d5e_b1d7_4901_93b8_96bd0a2d2034" hidden="1">#REF!</definedName>
    <definedName name="TBf1232f1b_f5cf_427a_9441_839171ba6e0a" hidden="1">#REF!</definedName>
    <definedName name="TBf12ef947_b1be_4a71_8d1f_92e9c6ae9099" hidden="1">#REF!</definedName>
    <definedName name="TBf14750a7_a0d6_4e1e_af52_13121c41c712" hidden="1">#REF!</definedName>
    <definedName name="TBf15827a6_1d10_4a57_b4a9_611f06a9d949" hidden="1">#REF!</definedName>
    <definedName name="TBf159e507_601e_499b_9a7a_a549477126b3" hidden="1">#REF!</definedName>
    <definedName name="TBf15b17d4_90cc_44c6_bd1c_d416a0ebfdcd" hidden="1">#REF!</definedName>
    <definedName name="TBf161dc68_c267_4b55_ae19_daabcdee57cd" hidden="1">#REF!</definedName>
    <definedName name="TBf169c664_bf92_4283_889d_5582e48c4329" hidden="1">#REF!</definedName>
    <definedName name="TBf16d496d_2591_42ab_8e34_d89bf20ffec0" hidden="1">#REF!</definedName>
    <definedName name="TBf1894897_39ed_434b_92cf_f94296b36c1a" hidden="1">#REF!</definedName>
    <definedName name="TBf199529c_3b62_41ed_985e_8b92cf071184" hidden="1">#REF!</definedName>
    <definedName name="TBf1a1602d_3328_40ba_adb8_9d3c428cd673" hidden="1">#REF!</definedName>
    <definedName name="TBf1a20d5a_add2_42af_a0c2_c705fdfaaac7" hidden="1">#REF!</definedName>
    <definedName name="TBf1a25a9a_c001_440b_a5ce_f1579196291e" hidden="1">#REF!</definedName>
    <definedName name="TBf1a25b4c_8f04_4ebd_adcb_2d5906b4a7d7" hidden="1">#REF!</definedName>
    <definedName name="TBf1a5bfe1_ffcd_4c07_94f4_768c2a984587" hidden="1">#REF!</definedName>
    <definedName name="TBf1a83b40_fc2f_4b70_a522_588c5cc132c5" hidden="1">#REF!</definedName>
    <definedName name="TBf1b36d6c_a8f2_417d_88e2_ea21f2e8f3d0" hidden="1">#REF!</definedName>
    <definedName name="TBf1c01831_f960_460c_b337_ad373d018a93" hidden="1">#REF!</definedName>
    <definedName name="TBf1c3acbb_99cd_4feb_b664_31470da78469" hidden="1">#REF!</definedName>
    <definedName name="TBf1d5e5d5_be77_4691_93f3_0b42b8e93971" hidden="1">#REF!</definedName>
    <definedName name="TBf1e707f5_7b37_4d60_b423_751c85c461ae" hidden="1">#REF!</definedName>
    <definedName name="TBf1e89490_38ba_4f6b_8d8d_fbfa3cd214b2" hidden="1">#REF!</definedName>
    <definedName name="TBf1e9eec3_e607_47f3_802d_8c7f1007b372" hidden="1">#REF!</definedName>
    <definedName name="TBf205cb84_c86b_4753_aa8d_f48b02d962fc" hidden="1">#REF!</definedName>
    <definedName name="TBf2178ad3_f378_450f_95d7_3a6ae43b1ebe" hidden="1">#REF!</definedName>
    <definedName name="TBf2180417_b550_4430_bb12_55305e464ac8" hidden="1">#REF!</definedName>
    <definedName name="TBf22d0a89_f1f3_4f84_9ac7_eb405d86d307" hidden="1">#REF!</definedName>
    <definedName name="TBf22da965_258f_41e3_8920_54ab71fac272" hidden="1">#REF!</definedName>
    <definedName name="TBf22f87a5_71d1_4c22_bf1a_c863448ad54b" hidden="1">#REF!</definedName>
    <definedName name="TBf2426547_0060_4bd0_918d_f54d58f0e993" hidden="1">#REF!</definedName>
    <definedName name="TBf24f2834_1bfb_4185_ad9c_68504ffa5ef6" hidden="1">#REF!</definedName>
    <definedName name="TBf25464cb_8399_4120_8979_45e04df4b797" hidden="1">#REF!</definedName>
    <definedName name="TBf2590495_e063_4756_a0e7_7f7edf2f0403" hidden="1">#REF!</definedName>
    <definedName name="TBf25ba490_2e9c_4b76_a5c4_9cb8d469718b" hidden="1">#REF!</definedName>
    <definedName name="TBf2619ab5_44e9_4877_acc0_fe2a963a7f2d" hidden="1">#REF!</definedName>
    <definedName name="TBf2623f81_6fe3_44ae_9ee1_d88d5e9981f5" hidden="1">#REF!</definedName>
    <definedName name="TBf2637d41_1c2c_4f05_82dc_29af9b7e26c6" hidden="1">#REF!</definedName>
    <definedName name="TBf27d76fa_a045_45f1_a670_1fff5987d159" hidden="1">#REF!</definedName>
    <definedName name="TBf285ae30_f2e4_41fc_a7e7_929a04a2ec70" hidden="1">#REF!</definedName>
    <definedName name="TBf288f8e6_c66e_4143_86f8_947a3204a6fe" hidden="1">#REF!</definedName>
    <definedName name="TBf28c1628_1062_40b7_ae55_83fcebb5b268" hidden="1">#REF!</definedName>
    <definedName name="TBf29672b3_f93a_4d5e_91c5_2552e43dcade" hidden="1">#REF!</definedName>
    <definedName name="TBf29cbaca_21f0_4c72_8453_cb445c6cf810" hidden="1">#REF!</definedName>
    <definedName name="TBf2a9d50c_88a2_4a1d_a5db_c6ff79c865f0" hidden="1">#REF!</definedName>
    <definedName name="TBf2aaf4fb_dbe1_4d7a_8637_8e09615486f7" hidden="1">#REF!</definedName>
    <definedName name="TBf2ae6303_a753_4dcd_a2b7_4e7bbf261291" hidden="1">#REF!</definedName>
    <definedName name="TBf2bb5702_a205_4acc_868c_b97bf7aff69f" hidden="1">#REF!</definedName>
    <definedName name="TBf2bfb21c_e99b_488c_bda7_30c913edd2f9" hidden="1">#REF!</definedName>
    <definedName name="TBf2c3e8f5_2972_4edf_be2b_755ed978bbc5" hidden="1">#REF!</definedName>
    <definedName name="TBf2dcbb4c_ef09_42db_85fe_1a64d78025b3" hidden="1">#REF!</definedName>
    <definedName name="TBf2e568a1_b45f_465a_94eb_42b0dc41fa1a" hidden="1">#REF!</definedName>
    <definedName name="TBf2e6d7d6_5cfd_4a61_ba74_aab04973611e" hidden="1">#REF!</definedName>
    <definedName name="TBf2f7e73e_7ae2_45c9_8565_e3614125d2bf" hidden="1">#REF!</definedName>
    <definedName name="TBf2fcbc71_3690_42df_b7e0_320bd90dc4ba" hidden="1">#REF!</definedName>
    <definedName name="TBf314e673_b4b3_409b_88de_2c990fea2d3e" hidden="1">#REF!</definedName>
    <definedName name="TBf32048e9_46d7_4fe6_bfd2_6ccd065cda38" hidden="1">#REF!</definedName>
    <definedName name="TBf334cf3e_1159_4930_a010_a44060f90ef4" hidden="1">#REF!</definedName>
    <definedName name="TBf3455133_93c7_4b2f_a6d2_63c5f8591c8d" hidden="1">#REF!</definedName>
    <definedName name="TBf349fbf8_15b3_46d1_bb3c_5deb8d18ecb3" hidden="1">#REF!</definedName>
    <definedName name="TBf349fd8e_75c3_402e_b4fe_a51ebb5f06de" hidden="1">#REF!</definedName>
    <definedName name="TBf355ee4e_cae4_42b7_a2cb_0a6f0fed5311" hidden="1">#REF!</definedName>
    <definedName name="TBf3568d85_260e_4da3_8d77_1d6d682cb701" hidden="1">#REF!</definedName>
    <definedName name="TBf356bc10_247d_44fd_8399_98e53b29fca9" hidden="1">#REF!</definedName>
    <definedName name="TBf357ead4_5e79_437d_a25d_d697231ff06a" hidden="1">#REF!</definedName>
    <definedName name="TBf373f91d_5349_43aa_887f_4b8b21304f45" hidden="1">#REF!</definedName>
    <definedName name="TBf37a1e7a_587f_441b_9bff_406c2952cc0c" hidden="1">#REF!</definedName>
    <definedName name="TBf37f23fc_fbd0_420d_b32f_ddaf3a13abad" hidden="1">#REF!</definedName>
    <definedName name="TBf3844705_8e65_4ff0_976e_d0c3b341f30c" hidden="1">#REF!</definedName>
    <definedName name="TBf396c2b5_76ce_4942_9364_8f6ff74d41f6" hidden="1">#REF!</definedName>
    <definedName name="TBf3a1c3e0_f383_476d_872d_a5e5dc6c354e" hidden="1">#REF!</definedName>
    <definedName name="TBf3adfa18_d103_4f1c_885c_8563c83e6a09" hidden="1">#REF!</definedName>
    <definedName name="TBf3c292df_1000_4b02_8188_a78a6e05937f" hidden="1">#REF!</definedName>
    <definedName name="TBf3cb430d_3a76_4881_9003_716f51e452d5" hidden="1">#REF!</definedName>
    <definedName name="TBf3d88366_f26a_437b_b9ef_08d08be588b1" hidden="1">#REF!</definedName>
    <definedName name="TBf3e2d110_6ab6_424a_a2b6_b3fea20d7d0e" hidden="1">#REF!</definedName>
    <definedName name="TBf3e44758_6a8c_45b1_a239_ecaf38d3450c" hidden="1">#REF!</definedName>
    <definedName name="TBf3e4d41b_01ef_4833_b6d7_42a86fde08e3" hidden="1">#REF!</definedName>
    <definedName name="TBf3ec9c32_ef2c_4444_8ca4_e1d88c09a32a" hidden="1">#REF!</definedName>
    <definedName name="TBf3f16c48_09a0_48f3_aefe_e6c8922f6164" hidden="1">#REF!</definedName>
    <definedName name="TBf3fea78e_e5f6_4791_bab0_9755950462b7" hidden="1">#REF!</definedName>
    <definedName name="TBf3ff276e_618d_42db_a37f_3e4b46b2d73c" hidden="1">#REF!</definedName>
    <definedName name="TBf409fff8_2a75_422f_b66b_a0320219b6eb" hidden="1">#REF!</definedName>
    <definedName name="TBf40a03ba_f8cf_4d5a_a131_6aec1544d001" hidden="1">#REF!</definedName>
    <definedName name="TBf41184d9_f88b_4fb1_ab7f_f7a924dd2a7e" hidden="1">#REF!</definedName>
    <definedName name="TBf4194f11_c1ab_40bf_bfb5_1e44bd0d977a" hidden="1">#REF!</definedName>
    <definedName name="TBf41c57a6_b763_4f00_8342_6d85fbe69a61" hidden="1">#REF!</definedName>
    <definedName name="TBf41d2b69_e2a6_4202_a01e_3e8023f29585" hidden="1">#REF!</definedName>
    <definedName name="TBf41d4715_7ebe_4bfe_b62f_6398278b5e32" hidden="1">#REF!</definedName>
    <definedName name="TBf42804b3_e54b_4809_aee9_266778468940" hidden="1">#REF!</definedName>
    <definedName name="TBf43ec8db_af4c_486d_b932_6153e04ee6e1" hidden="1">#REF!</definedName>
    <definedName name="TBf4434985_77f2_44f3_ab89_033b37a74fc9" hidden="1">#REF!</definedName>
    <definedName name="TBf44fd1f3_ec19_4c31_8fc5_3e846d1eae49" hidden="1">#REF!</definedName>
    <definedName name="TBf45bb4c1_1552_4946_9618_91aa243a79c6" hidden="1">#REF!</definedName>
    <definedName name="TBf45c446f_0a4e_4e66_86d0_24a40255211a" hidden="1">#REF!</definedName>
    <definedName name="TBf4686fe8_e03a_43d4_bd81_b7f2678494a7" hidden="1">#REF!</definedName>
    <definedName name="TBf46983c2_bce8_44f7_a88b_ee53d5c1101d" hidden="1">#REF!</definedName>
    <definedName name="TBf46d9e92_f4cf_4a45_b802_495ff4bd59b9" hidden="1">#REF!</definedName>
    <definedName name="TBf47d70b1_f101_482f_8540_6701dabbd34f" hidden="1">#REF!</definedName>
    <definedName name="TBf47e4089_72ab_48aa_afba_1bf6b9904829" hidden="1">#REF!</definedName>
    <definedName name="TBf485b78b_4a47_4992_9e81_cd433a9bffc5" hidden="1">#REF!</definedName>
    <definedName name="TBf4862e90_7c10_4983_af27_fdb3666c8fcc" hidden="1">#REF!</definedName>
    <definedName name="TBf489cc2b_7bca_4c20_8b12_ca85acc89657" hidden="1">#REF!</definedName>
    <definedName name="TBf49b344c_54f9_45e3_a1fd_062c89e76f48" hidden="1">#REF!</definedName>
    <definedName name="TBf49bb41f_0030_4767_a031_b9ad4d3f653e" hidden="1">#REF!</definedName>
    <definedName name="TBf4b167cf_1178_4042_8c45_44cedf7c310d" hidden="1">#REF!</definedName>
    <definedName name="TBf4bd11af_3924_4edb_9780_86bdb15ee49e" hidden="1">#REF!</definedName>
    <definedName name="TBf4bebf12_fcca_44c8_85f8_484a7345ff82" hidden="1">#REF!</definedName>
    <definedName name="TBf4c56c3f_513b_4259_baea_d92ebb973797" hidden="1">#REF!</definedName>
    <definedName name="TBf4d50420_79e2_486a_be74_fd89904a9147" hidden="1">#REF!</definedName>
    <definedName name="TBf4e2ddb3_3553_4c92_b1a9_640ad6554015" hidden="1">#REF!</definedName>
    <definedName name="TBf4ff7507_b135_4b5a_8807_a4ce79664463" hidden="1">#REF!</definedName>
    <definedName name="TBf50b5fad_4dfd_42af_9ae5_89f5bc363c7f" hidden="1">#REF!</definedName>
    <definedName name="TBf50c387c_bd0e_416c_a51c_4ca8eb03ed19" hidden="1">#REF!</definedName>
    <definedName name="TBf50e9ac9_1f19_443f_9eeb_2b0fcef4583e" hidden="1">#REF!</definedName>
    <definedName name="TBf5276834_ceed_4bf8_adb3_d491291787f8" hidden="1">#REF!</definedName>
    <definedName name="TBf5296843_4cdb_4d7f_9325_0265fa0e233e" hidden="1">#REF!</definedName>
    <definedName name="TBf5338527_136a_4f1e_b5e2_ad714ce77a06" hidden="1">#REF!</definedName>
    <definedName name="TBf53d350b_df7b_451e_ae01_61403c14bd3b" hidden="1">#REF!</definedName>
    <definedName name="TBf5428efe_fa41_4ba8_bf80_ba73cb5507f3" hidden="1">#REF!</definedName>
    <definedName name="TBf542fe02_530e_4d8b_8af5_c170343a1467" hidden="1">#REF!</definedName>
    <definedName name="TBf54811ab_72ef_4b2d_9f9f_5f70b06c0739" hidden="1">#REF!</definedName>
    <definedName name="TBf548bc61_ef4b_4667_8c46_484ee9a9ec42" hidden="1">#REF!</definedName>
    <definedName name="TBf54c77c9_ef1e_4f26_a934_dbcf4c138c0f" hidden="1">#REF!</definedName>
    <definedName name="TBf54d1bf6_0d16_4816_98fa_76f07db2bf18" hidden="1">#REF!</definedName>
    <definedName name="TBf54d2bda_6f1b_4769_aff4_5783af99e005" hidden="1">#REF!</definedName>
    <definedName name="TBf55c8115_f852_4dc9_9ef3_2d145feb1929" hidden="1">#REF!</definedName>
    <definedName name="TBf56c432b_7a72_4e15_b922_ab77801bad87" hidden="1">#REF!</definedName>
    <definedName name="TBf572f72c_5c4a_4bfb_9983_28416147b331" hidden="1">#REF!</definedName>
    <definedName name="TBf573dcfd_b7c1_4b11_942e_d86f16f41537" hidden="1">#REF!</definedName>
    <definedName name="TBf57c93c2_6d81_47f9_858d_31767b5ac642" hidden="1">#REF!</definedName>
    <definedName name="TBf580f6ab_d3be_425d_9602_154394ad6f74" hidden="1">#REF!</definedName>
    <definedName name="TBf58d3330_4191_4b6d_9ef6_eda930e26431" hidden="1">#REF!</definedName>
    <definedName name="TBf59a3366_5ada_42cc_8f50_d3a9b6c8f53a" hidden="1">#REF!</definedName>
    <definedName name="TBf5a0a744_957b_4f73_8a46_0ab0058ef3df" hidden="1">#REF!</definedName>
    <definedName name="TBf5a6a23c_c0ed_4b15_9572_78046b874164" hidden="1">#REF!</definedName>
    <definedName name="TBf5a79f86_3354_412e_9dcb_e436f63f5bf5" hidden="1">#REF!</definedName>
    <definedName name="TBf5a80e8e_9566_435a_8d3a_fbb5aac543c1" hidden="1">#REF!</definedName>
    <definedName name="TBf5abff1a_1bbf_43f6_ad9a_224c57b628d2" hidden="1">#REF!</definedName>
    <definedName name="TBf5b51494_edeb_4618_8d93_ffcbc34ce66b" hidden="1">#REF!</definedName>
    <definedName name="TBf5c47793_fcc2_4581_8d38_a2b5e7505edf" hidden="1">#REF!</definedName>
    <definedName name="TBf5cff572_9e5d_404a_a087_0ae52dc590a8" hidden="1">#REF!</definedName>
    <definedName name="TBf5da05cf_972d_4f35_b2ca_a0dacbde894a" hidden="1">#REF!</definedName>
    <definedName name="TBf5e8dd5a_729a_4ea9_ae81_c4133b800ba3" hidden="1">#REF!</definedName>
    <definedName name="TBf5eec5fb_ecb0_4448_9793_a127675f8503" hidden="1">#REF!</definedName>
    <definedName name="TBf5f0cf07_2c93_47d8_83e4_73f4c1cb9ddb" hidden="1">#REF!</definedName>
    <definedName name="TBf5f1cac3_4d07_44b5_acbb_15da577be80a" hidden="1">#REF!</definedName>
    <definedName name="TBf60aa0e1_01fe_405e_b7dd_c69d7d3387f3" hidden="1">#REF!</definedName>
    <definedName name="TBf611120d_80b6_43f4_9251_4ff030b13c3f" hidden="1">#REF!</definedName>
    <definedName name="TBf6174b00_20fd_4cfa_b8ae_560a4b335528" hidden="1">#REF!</definedName>
    <definedName name="TBf619773d_07ba_4c3f_9495_b93407855ca8" hidden="1">#REF!</definedName>
    <definedName name="TBf62e8c94_fa98_4768_96ed_7258174f2c28" hidden="1">#REF!</definedName>
    <definedName name="TBf631f291_a068_491f_9d02_b56e2100082d" hidden="1">#REF!</definedName>
    <definedName name="TBf63eb19b_d967_4ccd_a95b_c265d9e1fbbc" hidden="1">#REF!</definedName>
    <definedName name="TBf63fb056_56e5_4987_b529_a9a4cfb12c04" hidden="1">#REF!</definedName>
    <definedName name="TBf6496fd9_e972_4860_bfc9_468b56095f67" hidden="1">#REF!</definedName>
    <definedName name="TBf658e215_98de_4b95_83b6_e16a8db9bedb" hidden="1">#REF!</definedName>
    <definedName name="TBf65b98ba_a33d_4332_9bd2_88dc7de41d65" hidden="1">#REF!</definedName>
    <definedName name="TBf65f1468_3bb7_4cf0_8427_d944d9b9cec7" hidden="1">#REF!</definedName>
    <definedName name="TBf66f8320_f8de_4163_8892_5a72040f0373" hidden="1">#REF!</definedName>
    <definedName name="TBf6700b64_60ab_4d5f_8ab0_986814bf377c" hidden="1">#REF!</definedName>
    <definedName name="TBf673d1c5_36bf_495c_957c_700d7c5b7215" hidden="1">#REF!</definedName>
    <definedName name="TBf6787a02_152d_4f29_ac4a_cb3e3a4e21e4" hidden="1">#REF!</definedName>
    <definedName name="TBf67c3477_f4de_419d_a85d_142f58d14531" hidden="1">#REF!</definedName>
    <definedName name="TBf691e1a1_a0dc_4e83_8bb9_ea96156930cd" hidden="1">#REF!</definedName>
    <definedName name="TBf6a2707b_40f5_499f_90ed_b08a46dec6c6" hidden="1">#REF!</definedName>
    <definedName name="TBf6a9c4ab_3b78_43c6_a75c_19df6fff4008" hidden="1">#REF!</definedName>
    <definedName name="TBf6aa2f95_341d_4d79_b178_2f8b1eb35dd4" hidden="1">#REF!</definedName>
    <definedName name="TBf6acaf97_af81_4b42_844c_2323c860e86f" hidden="1">#REF!</definedName>
    <definedName name="TBf6af426f_49d8_4317_895a_2c3b96a3debf" hidden="1">#REF!</definedName>
    <definedName name="TBf6bd226b_1cef_40fd_bc0e_2d5795fd7ccb" hidden="1">#REF!</definedName>
    <definedName name="TBf6be99f2_465c_4874_9708_f9cca61bb58e" hidden="1">#REF!</definedName>
    <definedName name="TBf6c6567e_5fee_4da5_a3bb_e842416b6c8c" hidden="1">#REF!</definedName>
    <definedName name="TBf6c80d92_04b7_4c3c_a669_7b32aec1989d" hidden="1">#REF!</definedName>
    <definedName name="TBf6d9aee6_8618_430e_b339_b846dd06f7d0" hidden="1">#REF!</definedName>
    <definedName name="TBf6f9432c_051b_4114_82e6_41149e03c0a4" hidden="1">#REF!</definedName>
    <definedName name="TBf6feec3e_f59a_4305_861c_6abf084b2274" hidden="1">#REF!</definedName>
    <definedName name="TBf7097cff_9497_4432_9cfb_3817b6dee836" hidden="1">#REF!</definedName>
    <definedName name="TBf709ef6a_2085_4634_9e45_fe03063d9b8a" hidden="1">#REF!</definedName>
    <definedName name="TBf70ddb8d_2d14_4b52_9f33_9d457fcc4be9" hidden="1">#REF!</definedName>
    <definedName name="TBf70f1e52_965a_42b9_86d3_9fef78da3444" hidden="1">#REF!</definedName>
    <definedName name="TBf7143685_5606_463b_b653_bf8664fb8b3b" hidden="1">#REF!</definedName>
    <definedName name="TBf72367bc_0eb5_4a31_9125_b5c39306c87d" hidden="1">#REF!</definedName>
    <definedName name="TBf7417ea1_92d9_4024_a9d0_b5e83611532c" hidden="1">#REF!</definedName>
    <definedName name="TBf750f3b5_c5e3_47b5_81b6_879f8f2a1240" hidden="1">#REF!</definedName>
    <definedName name="TBf75350cc_faf6_4f3f_96e6_f693be1221a6" hidden="1">#REF!</definedName>
    <definedName name="TBf75379aa_e101_46af_b324_5ad8aca75557" hidden="1">#REF!</definedName>
    <definedName name="TBf75b7e31_5a39_447a_85ba_c9ac40f4aa4f" hidden="1">#REF!</definedName>
    <definedName name="TBf75bc2fe_f8cb_43d0_87b5_9b201f4e41e3" hidden="1">#REF!</definedName>
    <definedName name="TBf75c3520_875d_45df_948b_4523e613b8f7" hidden="1">#REF!</definedName>
    <definedName name="TBf7860cfb_5843_4ff5_b850_f99b75236766" hidden="1">#REF!</definedName>
    <definedName name="TBf78966cd_3e41_4abe_bf07_a1eb465b993d" hidden="1">#REF!</definedName>
    <definedName name="TBf78a1e84_701e_445e_bebb_4ce6a883787e" hidden="1">#REF!</definedName>
    <definedName name="TBf78fd6b4_1470_446b_b202_8c3215c080cd" hidden="1">#REF!</definedName>
    <definedName name="TBf7961ab0_0061_48ec_a85a_6f59016cb34e" hidden="1">#REF!</definedName>
    <definedName name="TBf7a16438_8e86_4869_b7e6_ac438a312c68" hidden="1">#REF!</definedName>
    <definedName name="TBf7a764f2_16db_4b28_995f_90cb9b5b1929" hidden="1">#REF!</definedName>
    <definedName name="TBf7b773a5_f7d0_4ef7_95ae_afde22b710ec" hidden="1">#REF!</definedName>
    <definedName name="TBf7b84f8c_cf4e_4871_a8ae_4f589a7be56d" hidden="1">#REF!</definedName>
    <definedName name="TBf7b9fe97_4daf_40d2_9f4e_4ca9bafde1ec" hidden="1">#REF!</definedName>
    <definedName name="TBf7c01423_275c_4fbc_8f8a_c181953a0a2a" hidden="1">#REF!</definedName>
    <definedName name="TBf7cb3fbc_de18_475c_990c_cd216d0e761c" hidden="1">#REF!</definedName>
    <definedName name="TBf7cc2a1c_2885_458a_be75_10a4ef8e5a55" hidden="1">#REF!</definedName>
    <definedName name="TBf7d3fed0_d4b2_4f3f_838a_d698d8db6658" hidden="1">#REF!</definedName>
    <definedName name="TBf7d4d4fb_db8f_4fdc_80d0_8137daf09d2d" hidden="1">#REF!</definedName>
    <definedName name="TBf7d68f19_abb0_4af5_816a_b9f65ac17ac3" hidden="1">#REF!</definedName>
    <definedName name="TBf7ec9cf2_ccf9_4e83_b2a1_dc855b78316c" hidden="1">#REF!</definedName>
    <definedName name="TBf7f140b3_ad4f_4430_b926_586c204286a4" hidden="1">#REF!</definedName>
    <definedName name="TBf7f53e41_8267_4be8_ba9e_97bc440fb8dd" hidden="1">#REF!</definedName>
    <definedName name="TBf8006fad_a629_43b2_9f62_58edbd6ca0a4" hidden="1">#REF!</definedName>
    <definedName name="TBf804b2e0_6a5a_42e6_a273_277258227dcf" hidden="1">#REF!</definedName>
    <definedName name="TBf807a934_eb6e_4a27_9e62_5056d6b6a2c7" hidden="1">#REF!</definedName>
    <definedName name="TBf8137f72_28f5_48e5_bec2_09b4e6d2ae31" hidden="1">#REF!</definedName>
    <definedName name="TBf813d12e_7a80_49d4_b4a4_a6fe6b34ff1a" hidden="1">#REF!</definedName>
    <definedName name="TBf81803e9_00cc_4050_8562_7d2643c90261" hidden="1">#REF!</definedName>
    <definedName name="TBf818e10b_9510_40a4_8a9d_c459487a5178" hidden="1">#REF!</definedName>
    <definedName name="TBf829ad97_250f_4c6f_8565_77c1505344ed" hidden="1">#REF!</definedName>
    <definedName name="TBf83fb9a8_95ff_41af_b8e5_69fd181f184d" hidden="1">#REF!</definedName>
    <definedName name="TBf84374ed_458f_4d5c_b3df_df4d3a6b498f" hidden="1">#REF!</definedName>
    <definedName name="TBf857ca85_4267_4e91_abf7_dda8d96b99a6" hidden="1">#REF!</definedName>
    <definedName name="TBf85ac5f6_7029_4eb2_ad39_11b4eaf0951b" hidden="1">#REF!</definedName>
    <definedName name="TBf85f5e97_5e61_4883_867d_926e231ece5b" hidden="1">#REF!</definedName>
    <definedName name="TBf873df70_1527_4af4_8030_e88ec6de5ab7" hidden="1">#REF!</definedName>
    <definedName name="TBf8771a71_8bc3_40b8_87ab_98b0db11c737" hidden="1">#REF!</definedName>
    <definedName name="TBf88204b7_d495_4a24_b268_ebbd58f920ca" hidden="1">#REF!</definedName>
    <definedName name="TBf88a3b12_b0ac_4622_ba3a_9469831ab4fb" hidden="1">#REF!</definedName>
    <definedName name="TBf88f2e02_c0ae_4f4d_ba77_83c262fdf53f" hidden="1">#REF!</definedName>
    <definedName name="TBf89798f5_7792_4cd7_81b2_e2aad0ae976a" hidden="1">#REF!</definedName>
    <definedName name="TBf89b2d5f_9a1c_4112_b8f8_2ae3c437dff5" hidden="1">#REF!</definedName>
    <definedName name="TBf8a51c89_8027_4337_b92f_485368e170fc" hidden="1">#REF!</definedName>
    <definedName name="TBf8a8fe49_7e82_4af9_b76c_4564e938d154" hidden="1">#REF!</definedName>
    <definedName name="TBf8b0ce8c_7691_46b1_a8e5_b483aae3a827" hidden="1">#REF!</definedName>
    <definedName name="TBf8ba105c_a3b4_42b7_b383_d04a4b63333e" hidden="1">#REF!</definedName>
    <definedName name="TBf8c0f1b5_9c25_460b_8a65_480a0490b79a" hidden="1">#REF!</definedName>
    <definedName name="TBf8cfd0cd_76b7_4c5b_984b_f7e82fdd8c94" hidden="1">#REF!</definedName>
    <definedName name="TBf8d42e7e_42d6_4356_876c_dd175edc7315" hidden="1">#REF!</definedName>
    <definedName name="TBf8dd2b9c_fcb4_4558_a766_253d41aad274" hidden="1">#REF!</definedName>
    <definedName name="TBf8dff788_978f_4a71_9ee3_f70a2de2192e" hidden="1">#REF!</definedName>
    <definedName name="TBf8f8dce6_aff3_47a8_a2a3_abf7240b2f98" hidden="1">#REF!</definedName>
    <definedName name="TBf8fa20c7_5009_41ab_b8dc_55e20be81627" hidden="1">#REF!</definedName>
    <definedName name="TBf8fe619c_dd62_4d7d_b98b_0120159c6f18" hidden="1">#REF!</definedName>
    <definedName name="TBf90becdf_73b4_41f6_85c7_6e41b532509e" hidden="1">#REF!</definedName>
    <definedName name="TBf90c2b43_af1c_452b_b6d4_ee888925b6e7" hidden="1">#REF!</definedName>
    <definedName name="TBf90ec2a6_3776_41cb_a72c_25ee42caa090" hidden="1">#REF!</definedName>
    <definedName name="TBf910565b_d4ec_4395_a9af_f92d6f5195e9" hidden="1">#REF!</definedName>
    <definedName name="TBf91b3e2c_5fb5_49b7_a658_90c41db5c153" hidden="1">#REF!</definedName>
    <definedName name="TBf91d6bc2_b6ff_426d_9f62_ccb6fd0c9d22" hidden="1">#REF!</definedName>
    <definedName name="TBf927602a_c5b3_4521_be05_2e1b107893e2" hidden="1">#REF!</definedName>
    <definedName name="TBf95f7e9a_829b_4de5_b5bf_e0cef58ffa5c" hidden="1">#REF!</definedName>
    <definedName name="TBf963dcd1_d324_41ac_ad90_00ebdccaa7eb" hidden="1">#REF!</definedName>
    <definedName name="TBf96f1042_f154_47e0_949b_d8f5533613aa" hidden="1">#REF!</definedName>
    <definedName name="TBf97ae9e3_1ea4_424d_a29b_0bb33f299c6b" hidden="1">#REF!</definedName>
    <definedName name="TBf985f885_ac55_4e6c_a8ca_8e597d45beb8" hidden="1">#REF!</definedName>
    <definedName name="TBf99120a3_4f46_40f3_9610_fba35b4f917b" hidden="1">#REF!</definedName>
    <definedName name="TBf99126e1_1ed8_4447_a006_b7ef75bab01a" hidden="1">#REF!</definedName>
    <definedName name="TBf992befe_393c_45ae_99d3_f1489fb7dde1" hidden="1">#REF!</definedName>
    <definedName name="TBf9983a9f_3d71_4d63_b37b_c012e5853657" hidden="1">#REF!</definedName>
    <definedName name="TBf99af5c3_2204_4008_907f_4ab121a87785" hidden="1">#REF!</definedName>
    <definedName name="TBf9a848de_df81_44c4_97cd_0eb653b74469" hidden="1">#REF!</definedName>
    <definedName name="TBf9b1fd2b_44f4_4680_9b40_e434fcb0fb60" hidden="1">#REF!</definedName>
    <definedName name="TBf9b3f753_2f50_4fc8_9a5a_8b9179dc6de8" hidden="1">#REF!</definedName>
    <definedName name="TBf9be84c5_1595_4f0c_ada3_99c1c2ee5b3f" hidden="1">#REF!</definedName>
    <definedName name="TBf9c08d8f_8028_4853_bde6_dbc44bcc50fb" hidden="1">#REF!</definedName>
    <definedName name="TBf9cf3fe2_80da_4227_8ae6_dcd2971c73e4" hidden="1">#REF!</definedName>
    <definedName name="TBf9d475d4_7b92_43ce_a32c_9b0d9b27860d" hidden="1">#REF!</definedName>
    <definedName name="TBf9effcc9_4e8c_4f5d_a476_29a31a3e4140" hidden="1">#REF!</definedName>
    <definedName name="TBfa1f0aea_0085_4b9f_9b56_3a31a689e355" hidden="1">#REF!</definedName>
    <definedName name="TBfa220b4b_7a16_4554_8ec1_cdb9ca8ef384" hidden="1">#REF!</definedName>
    <definedName name="TBfa3073be_286b_4620_93e6_1938aba502d4" hidden="1">#REF!</definedName>
    <definedName name="TBfa32763f_8bda_4749_9a47_5354e83d20ca" hidden="1">#REF!</definedName>
    <definedName name="TBfa3a36b3_3cbc_42a0_8c03_79693bd26baa" hidden="1">#REF!</definedName>
    <definedName name="TBfa3bd2cd_29ee_4f18_a3f3_97051806d934" hidden="1">#REF!</definedName>
    <definedName name="TBfa3e1167_6af5_488e_827f_d2020e206d20" hidden="1">#REF!</definedName>
    <definedName name="TBfa5017f0_2c14_4186_abb0_6ed2099e273c" hidden="1">#REF!</definedName>
    <definedName name="TBfa5c8047_5039_47aa_a5c5_6de912f3cc36" hidden="1">#REF!</definedName>
    <definedName name="TBfa5d3668_e12c_4291_8de6_173d7fb918c4" hidden="1">#REF!</definedName>
    <definedName name="TBfa64b530_6d0f_4458_96d9_7980e47c71c3" hidden="1">#REF!</definedName>
    <definedName name="TBfa670990_9880_412c_85de_ee006d09f97d" hidden="1">#REF!</definedName>
    <definedName name="TBfa6a4a05_55b9_4a5c_8071_e013fc51d451" hidden="1">#REF!</definedName>
    <definedName name="TBfa6b5172_8050_405e_a200_3cb548f1daf3" hidden="1">#REF!</definedName>
    <definedName name="TBfa6b623e_0ef4_4fd5_a610_1cf463cf8538" hidden="1">#REF!</definedName>
    <definedName name="TBfa7c084e_2e46_4606_80bc_77ed6c9f3168" hidden="1">#REF!</definedName>
    <definedName name="TBfa7dca4c_540c_485e_ae0e_e223a46e5bfd" hidden="1">#REF!</definedName>
    <definedName name="TBfa8421b4_d03a_4f02_b855_2998d3594719" hidden="1">#REF!</definedName>
    <definedName name="TBfa8cb31a_811c_4b6b_a223_38341c9a5891" hidden="1">#REF!</definedName>
    <definedName name="TBfa8d0d36_b5e7_418c_b772_96fd089f65fc" hidden="1">#REF!</definedName>
    <definedName name="TBfa8d9595_efdc_414e_a333_c4f971ce6792" hidden="1">#REF!</definedName>
    <definedName name="TBfa93742e_2fac_4057_a747_2601df6eee51" hidden="1">#REF!</definedName>
    <definedName name="TBfa93c70f_746f_4cbb_906a_fc7fca14f544" hidden="1">#REF!</definedName>
    <definedName name="TBfa9e0f91_2eb4_42c4_9eef_0d72fc5b93c4" hidden="1">#REF!</definedName>
    <definedName name="TBfaa3babd_3752_4602_a462_1a914af4304b" hidden="1">#REF!</definedName>
    <definedName name="TBfab364b1_bc7a_4a6d_941d_b1e0a891bb36" hidden="1">#REF!</definedName>
    <definedName name="TBfabf168a_edd3_4b12_84f4_174cc8538b17" hidden="1">#REF!</definedName>
    <definedName name="TBfae227ae_76fc_4260_b36c_ef464c1bec02" hidden="1">#REF!</definedName>
    <definedName name="TBfaeb386d_e5e8_43b1_a24f_4f3131daaeb8" hidden="1">#REF!</definedName>
    <definedName name="TBfaf9b89b_d5c5_4f86_8813_b05b94896310" hidden="1">#REF!</definedName>
    <definedName name="TBfafb3d51_4d3d_4f67_be5b_179e0e783f30" hidden="1">#REF!</definedName>
    <definedName name="TBfb0381f9_f778_4482_8ac7_2eca1c4a5e10" hidden="1">#REF!</definedName>
    <definedName name="TBfb2ad1bc_be6d_4ed3_9554_2aea53bf1ccd" hidden="1">#REF!</definedName>
    <definedName name="TBfb30946c_c0cf_4165_bba3_d3364ef8084d" hidden="1">#REF!</definedName>
    <definedName name="TBfb367eb7_dd41_4079_a210_95f6cfb56521" hidden="1">#REF!</definedName>
    <definedName name="TBfb40364e_2895_481f_a4dd_73932fd491ae" hidden="1">#REF!</definedName>
    <definedName name="TBfb46b488_3007_444b_b0f7_e27c699d5c4b" hidden="1">#REF!</definedName>
    <definedName name="TBfb646d37_1116_4859_a935_17164a9c8672" hidden="1">#REF!</definedName>
    <definedName name="TBfb6ab7f6_edb8_4faa_a75f_e187bdcd77d6" hidden="1">#REF!</definedName>
    <definedName name="TBfb6b1ac2_191e_4a12_8c17_875aeb591590" hidden="1">#REF!</definedName>
    <definedName name="TBfb6e9bef_02f3_41da_ab85_e8e628789778" hidden="1">#REF!</definedName>
    <definedName name="TBfb7f3ff1_2b5b_42b6_a388_d039bac5b2a6" hidden="1">#REF!</definedName>
    <definedName name="TBfb923152_b211_48dc_a30b_03cf57d96196" hidden="1">#REF!</definedName>
    <definedName name="TBfb934adb_bdd2_48de_802c_a9f770051464" hidden="1">#REF!</definedName>
    <definedName name="TBfb946e6a_a720_4bd8_aba5_928a08289a9e" hidden="1">#REF!</definedName>
    <definedName name="TBfba0e564_4fc3_40a6_8bfd_de0c10d2f0dc" hidden="1">#REF!</definedName>
    <definedName name="TBfba1b5e2_6a0b_4285_8fa6_6e1bb4f536e2" hidden="1">#REF!</definedName>
    <definedName name="TBfbb0f110_1eb0_410e_ac3d_9e584b72fbe1" hidden="1">#REF!</definedName>
    <definedName name="TBfbb3bfda_992b_41d6_9d2c_98875fa53ee2" hidden="1">#REF!</definedName>
    <definedName name="TBfbbf7cc8_baac_4d29_a26f_e08339511a84" hidden="1">#REF!</definedName>
    <definedName name="TBfbc8c0c1_fe5f_402d_9f02_e2357ffb51f6" hidden="1">#REF!</definedName>
    <definedName name="TBfbc97416_6ae1_4251_ac74_060f8f3223a8" hidden="1">#REF!</definedName>
    <definedName name="TBfbd5a4bf_4a19_4c23_9873_05021419725b" hidden="1">#REF!</definedName>
    <definedName name="TBfbd6f618_653a_4e56_a4b6_393f0de11669" hidden="1">#REF!</definedName>
    <definedName name="TBfbe77fdc_a874_4916_b1e5_6fc2f86fa4b1" hidden="1">#REF!</definedName>
    <definedName name="TBfbe91e99_8512_40ab_b0aa_97a65e462b23" hidden="1">#REF!</definedName>
    <definedName name="TBfbe9bb77_326a_48e5_95c6_3bb3d3a75173" hidden="1">#REF!</definedName>
    <definedName name="TBfbf1d34b_bdbe_4d43_b304_4f34cb82d9e1" hidden="1">#REF!</definedName>
    <definedName name="TBfbfbca60_c187_4df2_b9ae_edce53dc1287" hidden="1">#REF!</definedName>
    <definedName name="TBfc039aab_7617_40a1_b4bf_349b337cd25f" hidden="1">#REF!</definedName>
    <definedName name="TBfc121e49_ce79_4375_937e_40255762a671" hidden="1">#REF!</definedName>
    <definedName name="TBfc1f0a66_8c56_4583_a029_2d84cb47fe24" hidden="1">#REF!</definedName>
    <definedName name="TBfc1f5603_aaf4_4020_a60f_7ec8ca211b3b" hidden="1">#REF!</definedName>
    <definedName name="TBfc265171_6976_4288_8843_f54d0675109e" hidden="1">#REF!</definedName>
    <definedName name="TBfc27e0b2_99e7_40a3_8efc_dc755e99e4ce" hidden="1">#REF!</definedName>
    <definedName name="TBfc356c18_5938_433c_baa0_1db9ea0adb0b" hidden="1">#REF!</definedName>
    <definedName name="TBfc37c2e4_04bb_456f_8152_4a0626edcf33" hidden="1">#REF!</definedName>
    <definedName name="TBfc535ee1_6c6a_49da_bb5e_7ef56970df57" hidden="1">#REF!</definedName>
    <definedName name="TBfc5c5107_ea2c_4a76_8f50_a54b19f11e51" hidden="1">#REF!</definedName>
    <definedName name="TBfc5fb235_5d3b_4403_a6e8_0a95f04fd311" hidden="1">#REF!</definedName>
    <definedName name="TBfc5fbb47_2a2a_4897_9cfd_79de7b2ae035" hidden="1">#REF!</definedName>
    <definedName name="TBfc60d031_99e6_4e5f_a8ab_11b0e7eee193" hidden="1">#REF!</definedName>
    <definedName name="TBfc788aaf_974c_4ba0_aadb_100fc21b9bb9" hidden="1">#REF!</definedName>
    <definedName name="TBfc78c2c9_7b8c_4d00_9dc5_39203630452e" hidden="1">#REF!</definedName>
    <definedName name="TBfc7ffb01_269e_446d_b89a_a0808674dcae" hidden="1">#REF!</definedName>
    <definedName name="TBfc80411a_b7b0_4a93_830d_b87ac53890f9" hidden="1">#REF!</definedName>
    <definedName name="TBfc8d4775_5db2_45de_a665_7e1bfd3f5c3a" hidden="1">#REF!</definedName>
    <definedName name="TBfcb39154_0d2f_4df0_88fd_f327bc87261a" hidden="1">#REF!</definedName>
    <definedName name="TBfcb8d775_0213_4540_b237_29a36fd143ef" hidden="1">#REF!</definedName>
    <definedName name="TBfcb9ea4d_f39a_4ca9_9985_9acfa462a22c" hidden="1">#REF!</definedName>
    <definedName name="TBfcbdd6a2_ce4b_498a_b080_4248c6357d71" hidden="1">#REF!</definedName>
    <definedName name="TBfcc64493_31d2_4e92_ba16_903318b6b50f" hidden="1">#REF!</definedName>
    <definedName name="TBfcc85467_ded0_4763_ae78_fff9c1b754f3" hidden="1">#REF!</definedName>
    <definedName name="TBfcd5b678_1cf1_4d8c_b5b9_11aecc3f6842" hidden="1">#REF!</definedName>
    <definedName name="TBfcdc8225_6eb8_4c2d_b0e1_6d70b86a0f4a" hidden="1">#REF!</definedName>
    <definedName name="TBfceb5315_c8f1_43e6_839a_cd8d9ce25c23" hidden="1">#REF!</definedName>
    <definedName name="TBfcee9006_2741_4772_9cec_2e8a897ae36a" hidden="1">#REF!</definedName>
    <definedName name="TBfcf7e2bd_cce9_4753_a02f_f213b670d8f6" hidden="1">#REF!</definedName>
    <definedName name="TBfd09f264_58f5_490b_b43b_392926453099" hidden="1">#REF!</definedName>
    <definedName name="TBfd0bba7e_b876_4712_9ae3_a6c519a4c954" hidden="1">#REF!</definedName>
    <definedName name="TBfd18a98d_a4f4_449e_81aa_a45822b5db7b" hidden="1">#REF!</definedName>
    <definedName name="TBfd224672_515e_4e61_9a6b_73233269aebd" hidden="1">#REF!</definedName>
    <definedName name="TBfd40f04e_0a66_4c8c_96f1_50a70d773864" hidden="1">#REF!</definedName>
    <definedName name="TBfd494e14_a923_49ab_ab0f_de22a1af5fe2" hidden="1">#REF!</definedName>
    <definedName name="TBfd69d970_8d0c_47e4_84a8_f018fd32258d" hidden="1">#REF!</definedName>
    <definedName name="TBfd78f38f_648b_423b_a7b3_5097565f4908" hidden="1">#REF!</definedName>
    <definedName name="TBfd79205e_20b6_4488_aa18_350fcb903a7a" hidden="1">#REF!</definedName>
    <definedName name="TBfd7dfaf5_f058_44eb_8cb7_8b6eb4d8db66" hidden="1">#REF!</definedName>
    <definedName name="TBfd810b00_fa20_465a_8717_b457ada07b35" hidden="1">#REF!</definedName>
    <definedName name="TBfd82feb5_9ea2_4bd9_8d48_78258c6de6d4" hidden="1">#REF!</definedName>
    <definedName name="TBfd861e30_d59e_4888_ac7d_aa3e34ae9ffb" hidden="1">#REF!</definedName>
    <definedName name="TBfd88e2d1_f0a1_4d19_9b77_576faa458b42" hidden="1">#REF!</definedName>
    <definedName name="TBfd8990e2_c503_4265_bddc_b76452401fa9" hidden="1">#REF!</definedName>
    <definedName name="TBfd8eb61d_626f_4de5_9ac2_e8fffbfa56d3" hidden="1">#REF!</definedName>
    <definedName name="TBfd919253_ee05_4054_9a44_d4d2d160d100" hidden="1">#REF!</definedName>
    <definedName name="TBfd91e7c6_b2da_4107_8d07_95d4347adbcb" hidden="1">#REF!</definedName>
    <definedName name="TBfdb416cd_7cd6_4538_8718_9c2fa673dba6" hidden="1">#REF!</definedName>
    <definedName name="TBfdb6c2b8_19aa_4ba7_8a93_d57a65ce957e" hidden="1">#REF!</definedName>
    <definedName name="TBfdc64aaf_06b2_4c03_9292_fea970cc426c" hidden="1">#REF!</definedName>
    <definedName name="TBfdd7a360_0171_4737_85a4_9c4baee32436" hidden="1">#REF!</definedName>
    <definedName name="TBfdd7c375_8a86_4c5f_906c_428bfb6a6adf" hidden="1">#REF!</definedName>
    <definedName name="TBfdd9a46f_c3d0_487a_be99_1d1ba1aa5cd0" hidden="1">#REF!</definedName>
    <definedName name="TBfddd588c_05ac_4cfb_844e_49a4e7db042b" hidden="1">#REF!</definedName>
    <definedName name="TBfdeaab34_3815_4340_bb48_ecbfb0b85b64" hidden="1">#REF!</definedName>
    <definedName name="TBfdf65ab5_091d_4ee9_9a99_d1be223f15ea" hidden="1">#REF!</definedName>
    <definedName name="TBfdf8fd5e_c74a_49f5_abf8_8264cc324045" hidden="1">#REF!</definedName>
    <definedName name="TBfdfbd74b_4899_4c51_8636_626bb857ce01" hidden="1">#REF!</definedName>
    <definedName name="TBfe068834_9547_44a0_93e7_b46c5ff2b655" hidden="1">#REF!</definedName>
    <definedName name="TBfe260418_d016_46eb_be9e_6524815fbddf" hidden="1">#REF!</definedName>
    <definedName name="TBfe262db9_ce24_4ca7_8be2_c9bbf7e53c52" hidden="1">#REF!</definedName>
    <definedName name="TBfe29a6ab_6031_441a_875c_2b92e29f6d85" hidden="1">#REF!</definedName>
    <definedName name="TBfe2aef07_c8f4_4717_994f_733919ed4693" hidden="1">#REF!</definedName>
    <definedName name="TBfe4ef7a5_d038_49b5_b251_ad3fc1fc5cf2" hidden="1">#REF!</definedName>
    <definedName name="TBfe542192_c469_4c10_8c3b_2c3cfbf7f5a0" hidden="1">#REF!</definedName>
    <definedName name="TBfe5b2ed3_12f5_46b2_9e06_d962ed174e58" hidden="1">#REF!</definedName>
    <definedName name="TBfe6ec34c_50d3_4251_aa5d_13830e3ae3ac" hidden="1">#REF!</definedName>
    <definedName name="TBfe700918_1e16_443b_9a4d_43ebd8f9fac6" hidden="1">#REF!</definedName>
    <definedName name="TBfe794d93_afb5_4214_94f3_c011154c943d" hidden="1">#REF!</definedName>
    <definedName name="TBfe7ca18a_f0a1_4825_a870_7dbe675c03e1" hidden="1">#REF!</definedName>
    <definedName name="TBfe80890f_7ea2_49dd_8697_5b981d09c8dd" hidden="1">#REF!</definedName>
    <definedName name="TBfe80eb79_0727_4c28_9807_6f194d712d2d" hidden="1">#REF!</definedName>
    <definedName name="TBfe8287b8_ea35_49bf_a576_0be4ec53a05c" hidden="1">#REF!</definedName>
    <definedName name="TBfe82c40d_4f30_4e3b_b59f_631285bfa6de" hidden="1">#REF!</definedName>
    <definedName name="TBfe83463a_1378_4ec7_8c36_3dbec65a9daf" hidden="1">#REF!</definedName>
    <definedName name="TBfe86e372_5365_47a5_8acd_88ea01dd5547" hidden="1">#REF!</definedName>
    <definedName name="TBfe9f38ef_eb6f_4766_9cbf_7421d487227d" hidden="1">#REF!</definedName>
    <definedName name="TBfeb1e359_33c4_46dd_89fc_5b4cb3ffe49c" hidden="1">#REF!</definedName>
    <definedName name="TBfeb4e6c6_0553_41e1_9503_42946a79af78" hidden="1">#REF!</definedName>
    <definedName name="TBfeb5ba43_7589_40ec_b864_b5590ebe703e" hidden="1">#REF!</definedName>
    <definedName name="TBfeb98412_5dc1_439e_8ae6_f82923975fa6" hidden="1">#REF!</definedName>
    <definedName name="TBfebcbeac_a153_4240_a9d0_b595a28b1ccc" hidden="1">#REF!</definedName>
    <definedName name="TBfecbd28c_502a_4c5f_bd5d_42198d6ef85e" hidden="1">#REF!</definedName>
    <definedName name="TBfed22e96_4099_46db_b833_fe3e74161993" hidden="1">#REF!</definedName>
    <definedName name="TBfef89775_8012_427b_92b7_56b8a82a4e34" hidden="1">#REF!</definedName>
    <definedName name="TBfef94afd_be1c_44b6_9c5d_c0735817a515" hidden="1">#REF!</definedName>
    <definedName name="TBff050e00_19b4_46da_98a3_a4aefd01b5d7" hidden="1">#REF!</definedName>
    <definedName name="TBff0beb01_0ba5_4c9e_9952_b544ee74fb13" hidden="1">#REF!</definedName>
    <definedName name="TBff0c20f9_7b15_44b6_b751_59742e4526ea" hidden="1">#REF!</definedName>
    <definedName name="TBff17e1c4_1f91_42a8_a03c_9567ce9e8599" hidden="1">#REF!</definedName>
    <definedName name="TBff18dfda_ccc3_4bd4_8ed0_5a7707279b8b" hidden="1">#REF!</definedName>
    <definedName name="TBff1a362e_3dca_4cb5_bbd8_413158a4e2e9" hidden="1">#REF!</definedName>
    <definedName name="TBff1ed5e9_147a_49b7_8d8b_f56176dddb3e" hidden="1">#REF!</definedName>
    <definedName name="TBff205e1f_1fc2_4307_b536_fbf35cf048ad" hidden="1">#REF!</definedName>
    <definedName name="TBff206ab7_1351_4186_bdd2_c176b9c1e233" hidden="1">#REF!</definedName>
    <definedName name="TBff32b9c9_627e_44ad_85e6_e4be1718317d" hidden="1">#REF!</definedName>
    <definedName name="TBff4f7b29_2cba_443f_a13c_6eaa1e34355a" hidden="1">#REF!</definedName>
    <definedName name="TBff518b7a_caaa_4379_82cf_bded36ce2686" hidden="1">#REF!</definedName>
    <definedName name="TBff5261fc_7429_4c08_b40d_e42620d859d6" hidden="1">#REF!</definedName>
    <definedName name="TBff5494cf_cf77_45f3_a1c1_dd1761afbc70" hidden="1">#REF!</definedName>
    <definedName name="TBff5ba66b_6d99_4e04_be41_b695a431ccb4" hidden="1">#REF!</definedName>
    <definedName name="TBff608604_f701_4a87_8e66_7694aa3f489c" hidden="1">#REF!</definedName>
    <definedName name="TBff6eac27_174d_4c16_a156_1337be151b6c" hidden="1">#REF!</definedName>
    <definedName name="TBff72f979_752e_4154_b89d_239fc36d91b7" hidden="1">#REF!</definedName>
    <definedName name="TBff7f8efe_52f6_43a4_a4e8_b5d6806c7634" hidden="1">#REF!</definedName>
    <definedName name="TBff80a76b_cece_4b8c_acb4_c2743b374450" hidden="1">#REF!</definedName>
    <definedName name="TBff88911d_0c81_4006_9d59_1a7c8c11140b" hidden="1">#REF!</definedName>
    <definedName name="TBff934f3a_ee5d_49e6_b25b_93e13564b9d4" hidden="1">#REF!</definedName>
    <definedName name="TBff9465f0_4777_4588_a256_b82b24ed35e7" hidden="1">#REF!</definedName>
    <definedName name="TBffad6b72_736a_4c55_9b62_eaf26e25166d" hidden="1">#REF!</definedName>
    <definedName name="TBffae081d_4b7e_4031_bc2b_64a10aece518" hidden="1">#REF!</definedName>
    <definedName name="TBffaf2f30_af22_4bf0_91d6_e340b3a54621" hidden="1">#REF!</definedName>
    <definedName name="TBffca1d30_0f02_49b8_9063_07570496a10d" hidden="1">#REF!</definedName>
    <definedName name="TBffd49ccf_436f_434a_9b70_86a34acf9925" hidden="1">#REF!</definedName>
    <definedName name="TBffe07762_8900_44c3_9384_8927e7ade365" hidden="1">#REF!</definedName>
    <definedName name="TBfffdd6f3_5328_4da0_a14a_0ec6dea2e71a" hidden="1">#REF!</definedName>
    <definedName name="TBfffeb5c0_ce43_4417_a34d_beafff6a312e" hidden="1">#REF!</definedName>
    <definedName name="tbg" localSheetId="0" hidden="1">{#N/A,#N/A,FALSE,"Tabl. G1";#N/A,#N/A,FALSE,"Tabl. G2"}</definedName>
    <definedName name="tbg" localSheetId="6" hidden="1">{#N/A,#N/A,FALSE,"Tabl. G1";#N/A,#N/A,FALSE,"Tabl. G2"}</definedName>
    <definedName name="tbg" hidden="1">{#N/A,#N/A,FALSE,"Tabl. G1";#N/A,#N/A,FALSE,"Tabl. G2"}</definedName>
    <definedName name="tbl_ProdInfo" hidden="1">#REF!</definedName>
    <definedName name="TDealDate">#REF!</definedName>
    <definedName name="tdhjm" localSheetId="6" hidden="1">{#N/A,#N/A,FALSE,"INPUTS";#N/A,#N/A,FALSE,"PROFORMA BSHEET";#N/A,#N/A,FALSE,"COMBINED";#N/A,#N/A,FALSE,"HIGH YIELD";#N/A,#N/A,FALSE,"COMB_GRAPHS"}</definedName>
    <definedName name="tdhjm" hidden="1">{#N/A,#N/A,FALSE,"INPUTS";#N/A,#N/A,FALSE,"PROFORMA BSHEET";#N/A,#N/A,FALSE,"COMBINED";#N/A,#N/A,FALSE,"HIGH YIELD";#N/A,#N/A,FALSE,"COMB_GRAPHS"}</definedName>
    <definedName name="tdjrt" hidden="1">#REF!</definedName>
    <definedName name="tdjtmk" localSheetId="6" hidden="1">{#N/A,#N/A,FALSE,"ACQ_GRAPHS";#N/A,#N/A,FALSE,"T_1 GRAPHS";#N/A,#N/A,FALSE,"T_2 GRAPHS";#N/A,#N/A,FALSE,"COMB_GRAPHS"}</definedName>
    <definedName name="tdjtmk" hidden="1">{#N/A,#N/A,FALSE,"ACQ_GRAPHS";#N/A,#N/A,FALSE,"T_1 GRAPHS";#N/A,#N/A,FALSE,"T_2 GRAPHS";#N/A,#N/A,FALSE,"COMB_GRAPHS"}</definedName>
    <definedName name="teacher" localSheetId="6" hidden="1">{"'IM V02'!$A$1:$W$57"}</definedName>
    <definedName name="teacher" hidden="1">{"'IM V02'!$A$1:$W$57"}</definedName>
    <definedName name="ted" localSheetId="6" hidden="1">{#N/A,#N/A,TRUE,"FA 1 &amp; 2";#N/A,#N/A,TRUE,"FA 3 &amp; 4";#N/A,#N/A,TRUE,"FA 5 &amp; 6";#N/A,#N/A,TRUE,"FA 7 &amp; 8";#N/A,#N/A,TRUE,"FA 9 &amp; 10";#N/A,#N/A,TRUE,"FA 11";#N/A,#N/A,TRUE,"FA 12";#N/A,#N/A,TRUE,"FA 13";#N/A,#N/A,TRUE,"FA 14 &amp; 15"}</definedName>
    <definedName name="ted" hidden="1">{#N/A,#N/A,TRUE,"FA 1 &amp; 2";#N/A,#N/A,TRUE,"FA 3 &amp; 4";#N/A,#N/A,TRUE,"FA 5 &amp; 6";#N/A,#N/A,TRUE,"FA 7 &amp; 8";#N/A,#N/A,TRUE,"FA 9 &amp; 10";#N/A,#N/A,TRUE,"FA 11";#N/A,#N/A,TRUE,"FA 12";#N/A,#N/A,TRUE,"FA 13";#N/A,#N/A,TRUE,"FA 14 &amp; 15"}</definedName>
    <definedName name="teg" localSheetId="6" hidden="1">{#N/A,#N/A,FALSE,"BE";#N/A,#N/A,FALSE,"Bia";#N/A,#N/A,FALSE,"By";#N/A,#N/A,FALSE,"Bor";#N/A,#N/A,FALSE,"Gab";#N/A,#N/A,FALSE,"Gar";#N/A,#N/A,FALSE,"Lov";#N/A,#N/A,FALSE,"SJ";#N/A,#N/A,FALSE,"SM";#N/A,#N/A,FALSE,"Wb";#N/A,#N/A,FALSE,"Yok"}</definedName>
    <definedName name="teg" hidden="1">{#N/A,#N/A,FALSE,"BE";#N/A,#N/A,FALSE,"Bia";#N/A,#N/A,FALSE,"By";#N/A,#N/A,FALSE,"Bor";#N/A,#N/A,FALSE,"Gab";#N/A,#N/A,FALSE,"Gar";#N/A,#N/A,FALSE,"Lov";#N/A,#N/A,FALSE,"SJ";#N/A,#N/A,FALSE,"SM";#N/A,#N/A,FALSE,"Wb";#N/A,#N/A,FALSE,"Yok"}</definedName>
    <definedName name="Telephone">#REF!</definedName>
    <definedName name="telop" localSheetId="6" hidden="1">{#N/A,#N/A,FALSE,"Eastern";#N/A,#N/A,FALSE,"Western"}</definedName>
    <definedName name="telop" hidden="1">{#N/A,#N/A,FALSE,"Eastern";#N/A,#N/A,FALSE,"Western"}</definedName>
    <definedName name="Tem" localSheetId="0" hidden="1">{#N/A,#N/A,FALSE,"Pharm";#N/A,#N/A,FALSE,"WWCM"}</definedName>
    <definedName name="Tem" localSheetId="6" hidden="1">{#N/A,#N/A,FALSE,"Pharm";#N/A,#N/A,FALSE,"WWCM"}</definedName>
    <definedName name="Tem" hidden="1">{#N/A,#N/A,FALSE,"Pharm";#N/A,#N/A,FALSE,"WWCM"}</definedName>
    <definedName name="Tem_1" localSheetId="0" hidden="1">{#N/A,#N/A,FALSE,"Pharm";#N/A,#N/A,FALSE,"WWCM"}</definedName>
    <definedName name="Tem_1" localSheetId="6" hidden="1">{#N/A,#N/A,FALSE,"Pharm";#N/A,#N/A,FALSE,"WWCM"}</definedName>
    <definedName name="Tem_1" hidden="1">{#N/A,#N/A,FALSE,"Pharm";#N/A,#N/A,FALSE,"WWCM"}</definedName>
    <definedName name="Tem_1_1" localSheetId="0" hidden="1">{#N/A,#N/A,FALSE,"Pharm";#N/A,#N/A,FALSE,"WWCM"}</definedName>
    <definedName name="Tem_1_1" localSheetId="6" hidden="1">{#N/A,#N/A,FALSE,"Pharm";#N/A,#N/A,FALSE,"WWCM"}</definedName>
    <definedName name="Tem_1_1" hidden="1">{#N/A,#N/A,FALSE,"Pharm";#N/A,#N/A,FALSE,"WWCM"}</definedName>
    <definedName name="Tem_2" localSheetId="0" hidden="1">{#N/A,#N/A,FALSE,"Pharm";#N/A,#N/A,FALSE,"WWCM"}</definedName>
    <definedName name="Tem_2" localSheetId="6" hidden="1">{#N/A,#N/A,FALSE,"Pharm";#N/A,#N/A,FALSE,"WWCM"}</definedName>
    <definedName name="Tem_2" hidden="1">{#N/A,#N/A,FALSE,"Pharm";#N/A,#N/A,FALSE,"WWCM"}</definedName>
    <definedName name="Tem_3" localSheetId="0" hidden="1">{#N/A,#N/A,FALSE,"Pharm";#N/A,#N/A,FALSE,"WWCM"}</definedName>
    <definedName name="Tem_3" localSheetId="6" hidden="1">{#N/A,#N/A,FALSE,"Pharm";#N/A,#N/A,FALSE,"WWCM"}</definedName>
    <definedName name="Tem_3" hidden="1">{#N/A,#N/A,FALSE,"Pharm";#N/A,#N/A,FALSE,"WWCM"}</definedName>
    <definedName name="Tem_4" localSheetId="0" hidden="1">{#N/A,#N/A,FALSE,"Pharm";#N/A,#N/A,FALSE,"WWCM"}</definedName>
    <definedName name="Tem_4" localSheetId="6" hidden="1">{#N/A,#N/A,FALSE,"Pharm";#N/A,#N/A,FALSE,"WWCM"}</definedName>
    <definedName name="Tem_4" hidden="1">{#N/A,#N/A,FALSE,"Pharm";#N/A,#N/A,FALSE,"WWCM"}</definedName>
    <definedName name="Tem_5" localSheetId="0" hidden="1">{#N/A,#N/A,FALSE,"Pharm";#N/A,#N/A,FALSE,"WWCM"}</definedName>
    <definedName name="Tem_5" localSheetId="6" hidden="1">{#N/A,#N/A,FALSE,"Pharm";#N/A,#N/A,FALSE,"WWCM"}</definedName>
    <definedName name="Tem_5" hidden="1">{#N/A,#N/A,FALSE,"Pharm";#N/A,#N/A,FALSE,"WWCM"}</definedName>
    <definedName name="temp" localSheetId="0" hidden="1">{"Full annual",#N/A,FALSE,"Master"}</definedName>
    <definedName name="temp" localSheetId="6" hidden="1">{"cap_structure",#N/A,FALSE,"Graph-Mkt Cap";"price",#N/A,FALSE,"Graph-Price";"ebit",#N/A,FALSE,"Graph-EBITDA";"ebitda",#N/A,FALSE,"Graph-EBITDA"}</definedName>
    <definedName name="temp" hidden="1">{"cap_structure",#N/A,FALSE,"Graph-Mkt Cap";"price",#N/A,FALSE,"Graph-Price";"ebit",#N/A,FALSE,"Graph-EBITDA";"ebitda",#N/A,FALSE,"Graph-EBITDA"}</definedName>
    <definedName name="temp.graph" hidden="1">#REF!</definedName>
    <definedName name="Temp_2" localSheetId="0" hidden="1">{#N/A,#N/A,FALSE,"Assessment";#N/A,#N/A,FALSE,"Staffing";#N/A,#N/A,FALSE,"Hires";#N/A,#N/A,FALSE,"Assumptions"}</definedName>
    <definedName name="Temp_2" localSheetId="6" hidden="1">{#N/A,#N/A,FALSE,"Assessment";#N/A,#N/A,FALSE,"Staffing";#N/A,#N/A,FALSE,"Hires";#N/A,#N/A,FALSE,"Assumptions"}</definedName>
    <definedName name="Temp_2" hidden="1">{#N/A,#N/A,FALSE,"Assessment";#N/A,#N/A,FALSE,"Staffing";#N/A,#N/A,FALSE,"Hires";#N/A,#N/A,FALSE,"Assumptions"}</definedName>
    <definedName name="Temp_2_1" localSheetId="0" hidden="1">{#N/A,#N/A,FALSE,"Assessment";#N/A,#N/A,FALSE,"Staffing";#N/A,#N/A,FALSE,"Hires";#N/A,#N/A,FALSE,"Assumptions"}</definedName>
    <definedName name="Temp_2_1" localSheetId="6" hidden="1">{#N/A,#N/A,FALSE,"Assessment";#N/A,#N/A,FALSE,"Staffing";#N/A,#N/A,FALSE,"Hires";#N/A,#N/A,FALSE,"Assumptions"}</definedName>
    <definedName name="Temp_2_1" hidden="1">{#N/A,#N/A,FALSE,"Assessment";#N/A,#N/A,FALSE,"Staffing";#N/A,#N/A,FALSE,"Hires";#N/A,#N/A,FALSE,"Assumptions"}</definedName>
    <definedName name="Temp_3" localSheetId="0" hidden="1">{#N/A,#N/A,FALSE,"Assessment";#N/A,#N/A,FALSE,"Staffing";#N/A,#N/A,FALSE,"Hires";#N/A,#N/A,FALSE,"Assumptions"}</definedName>
    <definedName name="Temp_3" localSheetId="6" hidden="1">{#N/A,#N/A,FALSE,"Assessment";#N/A,#N/A,FALSE,"Staffing";#N/A,#N/A,FALSE,"Hires";#N/A,#N/A,FALSE,"Assumptions"}</definedName>
    <definedName name="Temp_3" hidden="1">{#N/A,#N/A,FALSE,"Assessment";#N/A,#N/A,FALSE,"Staffing";#N/A,#N/A,FALSE,"Hires";#N/A,#N/A,FALSE,"Assumptions"}</definedName>
    <definedName name="Temp_3_1" localSheetId="0" hidden="1">{#N/A,#N/A,FALSE,"Assessment";#N/A,#N/A,FALSE,"Staffing";#N/A,#N/A,FALSE,"Hires";#N/A,#N/A,FALSE,"Assumptions"}</definedName>
    <definedName name="Temp_3_1" localSheetId="6" hidden="1">{#N/A,#N/A,FALSE,"Assessment";#N/A,#N/A,FALSE,"Staffing";#N/A,#N/A,FALSE,"Hires";#N/A,#N/A,FALSE,"Assumptions"}</definedName>
    <definedName name="Temp_3_1" hidden="1">{#N/A,#N/A,FALSE,"Assessment";#N/A,#N/A,FALSE,"Staffing";#N/A,#N/A,FALSE,"Hires";#N/A,#N/A,FALSE,"Assumptions"}</definedName>
    <definedName name="temp2" localSheetId="0" hidden="1">{"Full annual",#N/A,FALSE,"Master";"P and L halfyearly",#N/A,FALSE,"Master";"Underlying halfyearly",#N/A,FALSE,"Master"}</definedName>
    <definedName name="temp2" localSheetId="6" hidden="1">{"Full annual",#N/A,FALSE,"Master";"P and L halfyearly",#N/A,FALSE,"Master";"Underlying halfyearly",#N/A,FALSE,"Master"}</definedName>
    <definedName name="temp2" hidden="1">{"Full annual",#N/A,FALSE,"Master";"P and L halfyearly",#N/A,FALSE,"Master";"Underlying halfyearly",#N/A,FALSE,"Master"}</definedName>
    <definedName name="temp3" localSheetId="0" hidden="1">{"P and L halfyearly",#N/A,FALSE,"Master"}</definedName>
    <definedName name="temp3" localSheetId="6" hidden="1">{"P and L halfyearly",#N/A,FALSE,"Master"}</definedName>
    <definedName name="temp3" hidden="1">{"P and L halfyearly",#N/A,FALSE,"Master"}</definedName>
    <definedName name="temp4" localSheetId="0" hidden="1">{"Underlying halfyearly",#N/A,FALSE,"Master"}</definedName>
    <definedName name="temp4" localSheetId="6" hidden="1">{"Underlying halfyearly",#N/A,FALSE,"Master"}</definedName>
    <definedName name="temp4" hidden="1">{"Underlying halfyearly",#N/A,FALSE,"Master"}</definedName>
    <definedName name="TemplateCell1" hidden="1">#REF!</definedName>
    <definedName name="TemplatePrintArea">#REF!</definedName>
    <definedName name="teq" localSheetId="0" hidden="1">{#N/A,#N/A,FALSE,"Pharm";#N/A,#N/A,FALSE,"WWCM"}</definedName>
    <definedName name="teq" localSheetId="6" hidden="1">{#N/A,#N/A,FALSE,"Pharm";#N/A,#N/A,FALSE,"WWCM"}</definedName>
    <definedName name="teq" hidden="1">{#N/A,#N/A,FALSE,"Pharm";#N/A,#N/A,FALSE,"WWCM"}</definedName>
    <definedName name="teq_1" localSheetId="0" hidden="1">{#N/A,#N/A,FALSE,"Pharm";#N/A,#N/A,FALSE,"WWCM"}</definedName>
    <definedName name="teq_1" localSheetId="6" hidden="1">{#N/A,#N/A,FALSE,"Pharm";#N/A,#N/A,FALSE,"WWCM"}</definedName>
    <definedName name="teq_1" hidden="1">{#N/A,#N/A,FALSE,"Pharm";#N/A,#N/A,FALSE,"WWCM"}</definedName>
    <definedName name="teq_1_1" localSheetId="0" hidden="1">{#N/A,#N/A,FALSE,"Pharm";#N/A,#N/A,FALSE,"WWCM"}</definedName>
    <definedName name="teq_1_1" localSheetId="6" hidden="1">{#N/A,#N/A,FALSE,"Pharm";#N/A,#N/A,FALSE,"WWCM"}</definedName>
    <definedName name="teq_1_1" hidden="1">{#N/A,#N/A,FALSE,"Pharm";#N/A,#N/A,FALSE,"WWCM"}</definedName>
    <definedName name="teq_2" localSheetId="0" hidden="1">{#N/A,#N/A,FALSE,"Pharm";#N/A,#N/A,FALSE,"WWCM"}</definedName>
    <definedName name="teq_2" localSheetId="6" hidden="1">{#N/A,#N/A,FALSE,"Pharm";#N/A,#N/A,FALSE,"WWCM"}</definedName>
    <definedName name="teq_2" hidden="1">{#N/A,#N/A,FALSE,"Pharm";#N/A,#N/A,FALSE,"WWCM"}</definedName>
    <definedName name="teq_3" localSheetId="0" hidden="1">{#N/A,#N/A,FALSE,"Pharm";#N/A,#N/A,FALSE,"WWCM"}</definedName>
    <definedName name="teq_3" localSheetId="6" hidden="1">{#N/A,#N/A,FALSE,"Pharm";#N/A,#N/A,FALSE,"WWCM"}</definedName>
    <definedName name="teq_3" hidden="1">{#N/A,#N/A,FALSE,"Pharm";#N/A,#N/A,FALSE,"WWCM"}</definedName>
    <definedName name="teq_4" localSheetId="0" hidden="1">{#N/A,#N/A,FALSE,"Pharm";#N/A,#N/A,FALSE,"WWCM"}</definedName>
    <definedName name="teq_4" localSheetId="6" hidden="1">{#N/A,#N/A,FALSE,"Pharm";#N/A,#N/A,FALSE,"WWCM"}</definedName>
    <definedName name="teq_4" hidden="1">{#N/A,#N/A,FALSE,"Pharm";#N/A,#N/A,FALSE,"WWCM"}</definedName>
    <definedName name="teq_5" localSheetId="0" hidden="1">{#N/A,#N/A,FALSE,"Pharm";#N/A,#N/A,FALSE,"WWCM"}</definedName>
    <definedName name="teq_5" localSheetId="6" hidden="1">{#N/A,#N/A,FALSE,"Pharm";#N/A,#N/A,FALSE,"WWCM"}</definedName>
    <definedName name="teq_5" hidden="1">{#N/A,#N/A,FALSE,"Pharm";#N/A,#N/A,FALSE,"WWCM"}</definedName>
    <definedName name="Tequin" localSheetId="0" hidden="1">{#N/A,#N/A,FALSE,"Pharm";#N/A,#N/A,FALSE,"WWCM"}</definedName>
    <definedName name="Tequin" localSheetId="6" hidden="1">{#N/A,#N/A,FALSE,"Pharm";#N/A,#N/A,FALSE,"WWCM"}</definedName>
    <definedName name="Tequin" hidden="1">{#N/A,#N/A,FALSE,"Pharm";#N/A,#N/A,FALSE,"WWCM"}</definedName>
    <definedName name="Tequin_1" localSheetId="0" hidden="1">{#N/A,#N/A,FALSE,"Pharm";#N/A,#N/A,FALSE,"WWCM"}</definedName>
    <definedName name="Tequin_1" localSheetId="6" hidden="1">{#N/A,#N/A,FALSE,"Pharm";#N/A,#N/A,FALSE,"WWCM"}</definedName>
    <definedName name="Tequin_1" hidden="1">{#N/A,#N/A,FALSE,"Pharm";#N/A,#N/A,FALSE,"WWCM"}</definedName>
    <definedName name="Tequin_1_1" localSheetId="0" hidden="1">{#N/A,#N/A,FALSE,"Pharm";#N/A,#N/A,FALSE,"WWCM"}</definedName>
    <definedName name="Tequin_1_1" localSheetId="6" hidden="1">{#N/A,#N/A,FALSE,"Pharm";#N/A,#N/A,FALSE,"WWCM"}</definedName>
    <definedName name="Tequin_1_1" hidden="1">{#N/A,#N/A,FALSE,"Pharm";#N/A,#N/A,FALSE,"WWCM"}</definedName>
    <definedName name="Tequin_2" localSheetId="0" hidden="1">{#N/A,#N/A,FALSE,"Pharm";#N/A,#N/A,FALSE,"WWCM"}</definedName>
    <definedName name="Tequin_2" localSheetId="6" hidden="1">{#N/A,#N/A,FALSE,"Pharm";#N/A,#N/A,FALSE,"WWCM"}</definedName>
    <definedName name="Tequin_2" hidden="1">{#N/A,#N/A,FALSE,"Pharm";#N/A,#N/A,FALSE,"WWCM"}</definedName>
    <definedName name="Tequin_3" localSheetId="0" hidden="1">{#N/A,#N/A,FALSE,"Pharm";#N/A,#N/A,FALSE,"WWCM"}</definedName>
    <definedName name="Tequin_3" localSheetId="6" hidden="1">{#N/A,#N/A,FALSE,"Pharm";#N/A,#N/A,FALSE,"WWCM"}</definedName>
    <definedName name="Tequin_3" hidden="1">{#N/A,#N/A,FALSE,"Pharm";#N/A,#N/A,FALSE,"WWCM"}</definedName>
    <definedName name="Tequin_4" localSheetId="0" hidden="1">{#N/A,#N/A,FALSE,"Pharm";#N/A,#N/A,FALSE,"WWCM"}</definedName>
    <definedName name="Tequin_4" localSheetId="6" hidden="1">{#N/A,#N/A,FALSE,"Pharm";#N/A,#N/A,FALSE,"WWCM"}</definedName>
    <definedName name="Tequin_4" hidden="1">{#N/A,#N/A,FALSE,"Pharm";#N/A,#N/A,FALSE,"WWCM"}</definedName>
    <definedName name="Tequin_5" localSheetId="0" hidden="1">{#N/A,#N/A,FALSE,"Pharm";#N/A,#N/A,FALSE,"WWCM"}</definedName>
    <definedName name="Tequin_5" localSheetId="6" hidden="1">{#N/A,#N/A,FALSE,"Pharm";#N/A,#N/A,FALSE,"WWCM"}</definedName>
    <definedName name="Tequin_5" hidden="1">{#N/A,#N/A,FALSE,"Pharm";#N/A,#N/A,FALSE,"WWCM"}</definedName>
    <definedName name="tequinol" localSheetId="0" hidden="1">{#N/A,#N/A,FALSE,"REPORT"}</definedName>
    <definedName name="tequinol" localSheetId="6" hidden="1">{#N/A,#N/A,FALSE,"REPORT"}</definedName>
    <definedName name="tequinol" hidden="1">{#N/A,#N/A,FALSE,"REPORT"}</definedName>
    <definedName name="tequinol_1" localSheetId="0" hidden="1">{#N/A,#N/A,FALSE,"REPORT"}</definedName>
    <definedName name="tequinol_1" localSheetId="6" hidden="1">{#N/A,#N/A,FALSE,"REPORT"}</definedName>
    <definedName name="tequinol_1" hidden="1">{#N/A,#N/A,FALSE,"REPORT"}</definedName>
    <definedName name="tequinol_1_1" localSheetId="0" hidden="1">{#N/A,#N/A,FALSE,"REPORT"}</definedName>
    <definedName name="tequinol_1_1" localSheetId="6" hidden="1">{#N/A,#N/A,FALSE,"REPORT"}</definedName>
    <definedName name="tequinol_1_1" hidden="1">{#N/A,#N/A,FALSE,"REPORT"}</definedName>
    <definedName name="tequinol_2" localSheetId="0" hidden="1">{#N/A,#N/A,FALSE,"REPORT"}</definedName>
    <definedName name="tequinol_2" localSheetId="6" hidden="1">{#N/A,#N/A,FALSE,"REPORT"}</definedName>
    <definedName name="tequinol_2" hidden="1">{#N/A,#N/A,FALSE,"REPORT"}</definedName>
    <definedName name="tequinol_3" localSheetId="0" hidden="1">{#N/A,#N/A,FALSE,"REPORT"}</definedName>
    <definedName name="tequinol_3" localSheetId="6" hidden="1">{#N/A,#N/A,FALSE,"REPORT"}</definedName>
    <definedName name="tequinol_3" hidden="1">{#N/A,#N/A,FALSE,"REPORT"}</definedName>
    <definedName name="tequinol_4" localSheetId="0" hidden="1">{#N/A,#N/A,FALSE,"REPORT"}</definedName>
    <definedName name="tequinol_4" localSheetId="6" hidden="1">{#N/A,#N/A,FALSE,"REPORT"}</definedName>
    <definedName name="tequinol_4" hidden="1">{#N/A,#N/A,FALSE,"REPORT"}</definedName>
    <definedName name="tequinol_5" localSheetId="0" hidden="1">{#N/A,#N/A,FALSE,"REPORT"}</definedName>
    <definedName name="tequinol_5" localSheetId="6" hidden="1">{#N/A,#N/A,FALSE,"REPORT"}</definedName>
    <definedName name="tequinol_5" hidden="1">{#N/A,#N/A,FALSE,"REPORT"}</definedName>
    <definedName name="ter" localSheetId="0" hidden="1">{"Graphic",#N/A,TRUE,"Graphic"}</definedName>
    <definedName name="ter" localSheetId="6" hidden="1">{"Graphic",#N/A,TRUE,"Graphic"}</definedName>
    <definedName name="ter" hidden="1">{"Graphic",#N/A,TRUE,"Graphic"}</definedName>
    <definedName name="ter_1" localSheetId="0" hidden="1">{"Graphic",#N/A,TRUE,"Graphic"}</definedName>
    <definedName name="ter_1" localSheetId="6" hidden="1">{"Graphic",#N/A,TRUE,"Graphic"}</definedName>
    <definedName name="ter_1" hidden="1">{"Graphic",#N/A,TRUE,"Graphic"}</definedName>
    <definedName name="terhcng">#REF!</definedName>
    <definedName name="TerHsng">#REF!</definedName>
    <definedName name="TerIndm">#REF!</definedName>
    <definedName name="TerLeav">#REF!</definedName>
    <definedName name="TerLfIns">#REF!</definedName>
    <definedName name="TerMdins">#REF!</definedName>
    <definedName name="TERMINAL_RATE">#REF!</definedName>
    <definedName name="TerProll">#REF!</definedName>
    <definedName name="TerSS">#REF!</definedName>
    <definedName name="TerTrans">#REF!</definedName>
    <definedName name="test"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test"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test"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test.4" localSheetId="0" hidden="1">{"Padd I to III",#N/A,FALSE,"REFINERY";"Padd IV to US",#N/A,FALSE,"REFINERY";"Crude Balance I",#N/A,FALSE,"REFINERY";"Crude Balance II",#N/A,FALSE,"REFINERY"}</definedName>
    <definedName name="test.4" localSheetId="6" hidden="1">{"Padd I to III",#N/A,FALSE,"REFINERY";"Padd IV to US",#N/A,FALSE,"REFINERY";"Crude Balance I",#N/A,FALSE,"REFINERY";"Crude Balance II",#N/A,FALSE,"REFINERY"}</definedName>
    <definedName name="test.4" hidden="1">{"Padd I to III",#N/A,FALSE,"REFINERY";"Padd IV to US",#N/A,FALSE,"REFINERY";"Crude Balance I",#N/A,FALSE,"REFINERY";"Crude Balance II",#N/A,FALSE,"REFINERY"}</definedName>
    <definedName name="test.all" localSheetId="0" hidden="1">{"PAGE1",#N/A,FALSE,"YIELDS";"PAGE2",#N/A,FALSE,"YIELDS";"PAGE3",#N/A,FALSE,"YIELDS"}</definedName>
    <definedName name="test.all" localSheetId="6" hidden="1">{"PAGE1",#N/A,FALSE,"YIELDS";"PAGE2",#N/A,FALSE,"YIELDS";"PAGE3",#N/A,FALSE,"YIELDS"}</definedName>
    <definedName name="test.all" hidden="1">{"PAGE1",#N/A,FALSE,"YIELDS";"PAGE2",#N/A,FALSE,"YIELDS";"PAGE3",#N/A,FALSE,"YIELDS"}</definedName>
    <definedName name="test_1" localSheetId="0" hidden="1">{#N/A,#N/A,FALSE,"Pharm";#N/A,#N/A,FALSE,"WWCM"}</definedName>
    <definedName name="test_1" localSheetId="6" hidden="1">{#N/A,#N/A,FALSE,"Pharm";#N/A,#N/A,FALSE,"WWCM"}</definedName>
    <definedName name="test_1" hidden="1">{#N/A,#N/A,FALSE,"Pharm";#N/A,#N/A,FALSE,"WWCM"}</definedName>
    <definedName name="test_1_1" localSheetId="0" hidden="1">{#N/A,#N/A,FALSE,"Pharm";#N/A,#N/A,FALSE,"WWCM"}</definedName>
    <definedName name="test_1_1" localSheetId="6" hidden="1">{#N/A,#N/A,FALSE,"Pharm";#N/A,#N/A,FALSE,"WWCM"}</definedName>
    <definedName name="test_1_1" hidden="1">{#N/A,#N/A,FALSE,"Pharm";#N/A,#N/A,FALSE,"WWCM"}</definedName>
    <definedName name="test_2" localSheetId="0" hidden="1">{#N/A,#N/A,FALSE,"Pharm";#N/A,#N/A,FALSE,"WWCM"}</definedName>
    <definedName name="test_2" localSheetId="6" hidden="1">{#N/A,#N/A,FALSE,"Pharm";#N/A,#N/A,FALSE,"WWCM"}</definedName>
    <definedName name="test_2" hidden="1">{#N/A,#N/A,FALSE,"Pharm";#N/A,#N/A,FALSE,"WWCM"}</definedName>
    <definedName name="test_3" localSheetId="0" hidden="1">{#N/A,#N/A,FALSE,"Pharm";#N/A,#N/A,FALSE,"WWCM"}</definedName>
    <definedName name="test_3" localSheetId="6" hidden="1">{#N/A,#N/A,FALSE,"Pharm";#N/A,#N/A,FALSE,"WWCM"}</definedName>
    <definedName name="test_3" hidden="1">{#N/A,#N/A,FALSE,"Pharm";#N/A,#N/A,FALSE,"WWCM"}</definedName>
    <definedName name="test_4" localSheetId="0" hidden="1">{#N/A,#N/A,FALSE,"Pharm";#N/A,#N/A,FALSE,"WWCM"}</definedName>
    <definedName name="test_4" localSheetId="6" hidden="1">{#N/A,#N/A,FALSE,"Pharm";#N/A,#N/A,FALSE,"WWCM"}</definedName>
    <definedName name="test_4" hidden="1">{#N/A,#N/A,FALSE,"Pharm";#N/A,#N/A,FALSE,"WWCM"}</definedName>
    <definedName name="test1" localSheetId="0" hidden="1">{#N/A,#N/A,FALSE,"Umsatz";#N/A,#N/A,FALSE,"Base V.02";#N/A,#N/A,FALSE,"Charts"}</definedName>
    <definedName name="test1" localSheetId="6" hidden="1">{#N/A,#N/A,FALSE,"Umsatz";#N/A,#N/A,FALSE,"Base V.02";#N/A,#N/A,FALSE,"Charts"}</definedName>
    <definedName name="test1" hidden="1">{#N/A,#N/A,FALSE,"Umsatz";#N/A,#N/A,FALSE,"Base V.02";#N/A,#N/A,FALSE,"Charts"}</definedName>
    <definedName name="test100" localSheetId="6" hidden="1">{"Overw",#N/A,FALSE,"Overw"}</definedName>
    <definedName name="test100" hidden="1">{"Overw",#N/A,FALSE,"Overw"}</definedName>
    <definedName name="test4" hidden="1">#REF!</definedName>
    <definedName name="test5" hidden="1">#REF!</definedName>
    <definedName name="teste" localSheetId="0" hidden="1">{#N/A,#N/A,FALSE,"Pharm";#N/A,#N/A,FALSE,"WWCM"}</definedName>
    <definedName name="teste" localSheetId="6" hidden="1">{#N/A,#N/A,FALSE,"Pharm";#N/A,#N/A,FALSE,"WWCM"}</definedName>
    <definedName name="teste" hidden="1">{#N/A,#N/A,FALSE,"Pharm";#N/A,#N/A,FALSE,"WWCM"}</definedName>
    <definedName name="teste_1" localSheetId="0" hidden="1">{#N/A,#N/A,FALSE,"Pharm";#N/A,#N/A,FALSE,"WWCM"}</definedName>
    <definedName name="teste_1" localSheetId="6" hidden="1">{#N/A,#N/A,FALSE,"Pharm";#N/A,#N/A,FALSE,"WWCM"}</definedName>
    <definedName name="teste_1" hidden="1">{#N/A,#N/A,FALSE,"Pharm";#N/A,#N/A,FALSE,"WWCM"}</definedName>
    <definedName name="teste_1_1" localSheetId="0" hidden="1">{#N/A,#N/A,FALSE,"Pharm";#N/A,#N/A,FALSE,"WWCM"}</definedName>
    <definedName name="teste_1_1" localSheetId="6" hidden="1">{#N/A,#N/A,FALSE,"Pharm";#N/A,#N/A,FALSE,"WWCM"}</definedName>
    <definedName name="teste_1_1" hidden="1">{#N/A,#N/A,FALSE,"Pharm";#N/A,#N/A,FALSE,"WWCM"}</definedName>
    <definedName name="teste_2" localSheetId="0" hidden="1">{#N/A,#N/A,FALSE,"Pharm";#N/A,#N/A,FALSE,"WWCM"}</definedName>
    <definedName name="teste_2" localSheetId="6" hidden="1">{#N/A,#N/A,FALSE,"Pharm";#N/A,#N/A,FALSE,"WWCM"}</definedName>
    <definedName name="teste_2" hidden="1">{#N/A,#N/A,FALSE,"Pharm";#N/A,#N/A,FALSE,"WWCM"}</definedName>
    <definedName name="teste_3" localSheetId="0" hidden="1">{#N/A,#N/A,FALSE,"Pharm";#N/A,#N/A,FALSE,"WWCM"}</definedName>
    <definedName name="teste_3" localSheetId="6" hidden="1">{#N/A,#N/A,FALSE,"Pharm";#N/A,#N/A,FALSE,"WWCM"}</definedName>
    <definedName name="teste_3" hidden="1">{#N/A,#N/A,FALSE,"Pharm";#N/A,#N/A,FALSE,"WWCM"}</definedName>
    <definedName name="teste_4" localSheetId="0" hidden="1">{#N/A,#N/A,FALSE,"Pharm";#N/A,#N/A,FALSE,"WWCM"}</definedName>
    <definedName name="teste_4" localSheetId="6" hidden="1">{#N/A,#N/A,FALSE,"Pharm";#N/A,#N/A,FALSE,"WWCM"}</definedName>
    <definedName name="teste_4" hidden="1">{#N/A,#N/A,FALSE,"Pharm";#N/A,#N/A,FALSE,"WWCM"}</definedName>
    <definedName name="teste_5" localSheetId="0" hidden="1">{#N/A,#N/A,FALSE,"Pharm";#N/A,#N/A,FALSE,"WWCM"}</definedName>
    <definedName name="teste_5" localSheetId="6" hidden="1">{#N/A,#N/A,FALSE,"Pharm";#N/A,#N/A,FALSE,"WWCM"}</definedName>
    <definedName name="teste_5" hidden="1">{#N/A,#N/A,FALSE,"Pharm";#N/A,#N/A,FALSE,"WWCM"}</definedName>
    <definedName name="TESTE1" localSheetId="6" hidden="1">{#N/A,#N/A,FALSE,"DEMPROV IR";#N/A,#N/A,FALSE,"INC.FISC";#N/A,#N/A,FALSE,"LUCRO REAL";#N/A,#N/A,FALSE,"L.LIQ.M";#N/A,#N/A,FALSE,"PROV96";#N/A,#N/A,FALSE,"L.LIQU.";#N/A,#N/A,FALSE,"ADIEXCL";#N/A,#N/A,FALSE,"PAT-VT96";#N/A,#N/A,FALSE,"DPO.INC."}</definedName>
    <definedName name="TESTE1" hidden="1">{#N/A,#N/A,FALSE,"DEMPROV IR";#N/A,#N/A,FALSE,"INC.FISC";#N/A,#N/A,FALSE,"LUCRO REAL";#N/A,#N/A,FALSE,"L.LIQ.M";#N/A,#N/A,FALSE,"PROV96";#N/A,#N/A,FALSE,"L.LIQU.";#N/A,#N/A,FALSE,"ADIEXCL";#N/A,#N/A,FALSE,"PAT-VT96";#N/A,#N/A,FALSE,"DPO.INC."}</definedName>
    <definedName name="TESTE2" localSheetId="6" hidden="1">{#N/A,#N/A,FALSE,"DEMPROV IR";#N/A,#N/A,FALSE,"INC.FISC";#N/A,#N/A,FALSE,"LUCRO REAL";#N/A,#N/A,FALSE,"L.LIQ.M";#N/A,#N/A,FALSE,"PROV96";#N/A,#N/A,FALSE,"L.LIQU.";#N/A,#N/A,FALSE,"ADIEXCL";#N/A,#N/A,FALSE,"PAT-VT96";#N/A,#N/A,FALSE,"DPO.INC."}</definedName>
    <definedName name="TESTE2" hidden="1">{#N/A,#N/A,FALSE,"DEMPROV IR";#N/A,#N/A,FALSE,"INC.FISC";#N/A,#N/A,FALSE,"LUCRO REAL";#N/A,#N/A,FALSE,"L.LIQ.M";#N/A,#N/A,FALSE,"PROV96";#N/A,#N/A,FALSE,"L.LIQU.";#N/A,#N/A,FALSE,"ADIEXCL";#N/A,#N/A,FALSE,"PAT-VT96";#N/A,#N/A,FALSE,"DPO.INC."}</definedName>
    <definedName name="tester"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er3"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tests" localSheetId="0" hidden="1">{#N/A,#N/A,FALSE,"F_Plan";#N/A,#N/A,FALSE,"Parameter"}</definedName>
    <definedName name="tests" localSheetId="6" hidden="1">{#N/A,#N/A,FALSE,"F_Plan";#N/A,#N/A,FALSE,"Parameter"}</definedName>
    <definedName name="tests" hidden="1">{#N/A,#N/A,FALSE,"F_Plan";#N/A,#N/A,FALSE,"Parameter"}</definedName>
    <definedName name="TextRefCopy2">#REF!</definedName>
    <definedName name="TextRefCopyRangeCount" hidden="1">17</definedName>
    <definedName name="tfe" localSheetId="6" hidden="1">{#N/A,#N/A,TRUE,"FA 1 &amp; 2";#N/A,#N/A,TRUE,"FA 3 &amp; 4";#N/A,#N/A,TRUE,"FA 5 &amp; 6";#N/A,#N/A,TRUE,"FA 7 &amp; 8";#N/A,#N/A,TRUE,"FA 9 &amp; 10";#N/A,#N/A,TRUE,"FA 11";#N/A,#N/A,TRUE,"FA 12";#N/A,#N/A,TRUE,"FA 13";#N/A,#N/A,TRUE,"FA 14 &amp; 15"}</definedName>
    <definedName name="tfe" hidden="1">{#N/A,#N/A,TRUE,"FA 1 &amp; 2";#N/A,#N/A,TRUE,"FA 3 &amp; 4";#N/A,#N/A,TRUE,"FA 5 &amp; 6";#N/A,#N/A,TRUE,"FA 7 &amp; 8";#N/A,#N/A,TRUE,"FA 9 &amp; 10";#N/A,#N/A,TRUE,"FA 11";#N/A,#N/A,TRUE,"FA 12";#N/A,#N/A,TRUE,"FA 13";#N/A,#N/A,TRUE,"FA 14 &amp; 15"}</definedName>
    <definedName name="tfx" localSheetId="0" hidden="1">{#N/A,#N/A,TRUE,"PROFIT 11-95"}</definedName>
    <definedName name="tfx" localSheetId="6" hidden="1">{#N/A,#N/A,TRUE,"PROFIT 11-95"}</definedName>
    <definedName name="tfx" hidden="1">{#N/A,#N/A,TRUE,"PROFIT 11-95"}</definedName>
    <definedName name="TGE4RSZJIBPON" localSheetId="6" hidden="1">{"'매출'!$A$1:$I$22"}</definedName>
    <definedName name="TGE4RSZJIBPON" hidden="1">{"'매출'!$A$1:$I$22"}</definedName>
    <definedName name="tgj" localSheetId="6" hidden="1">{#N/A,#N/A,FALSE,"INPUTS";#N/A,#N/A,FALSE,"PROFORMA BSHEET";#N/A,#N/A,FALSE,"COMBINED";#N/A,#N/A,FALSE,"ACQUIROR";#N/A,#N/A,FALSE,"TARGET 1";#N/A,#N/A,FALSE,"TARGET 2";#N/A,#N/A,FALSE,"HIGH YIELD";#N/A,#N/A,FALSE,"OVERFUND"}</definedName>
    <definedName name="tgj" hidden="1">{#N/A,#N/A,FALSE,"INPUTS";#N/A,#N/A,FALSE,"PROFORMA BSHEET";#N/A,#N/A,FALSE,"COMBINED";#N/A,#N/A,FALSE,"ACQUIROR";#N/A,#N/A,FALSE,"TARGET 1";#N/A,#N/A,FALSE,"TARGET 2";#N/A,#N/A,FALSE,"HIGH YIELD";#N/A,#N/A,FALSE,"OVERFUND"}</definedName>
    <definedName name="tgv" localSheetId="0" hidden="1">{#N/A,#N/A,FALSE,"PROFIT 11-95"}</definedName>
    <definedName name="tgv" localSheetId="6" hidden="1">{#N/A,#N/A,FALSE,"PROFIT 11-95"}</definedName>
    <definedName name="tgv" hidden="1">{#N/A,#N/A,FALSE,"PROFIT 11-95"}</definedName>
    <definedName name="tha.2" localSheetId="0" hidden="1">{#N/A,#N/A,FALSE,"Produkte Erw.";#N/A,#N/A,FALSE,"Produkte Plan";#N/A,#N/A,FALSE,"Leistungen Erw.";#N/A,#N/A,FALSE,"Leistungen Plan";#N/A,#N/A,FALSE,"KA Allg.Kosten (2)";#N/A,#N/A,FALSE,"KA All.Kosten"}</definedName>
    <definedName name="tha.2" localSheetId="6" hidden="1">{#N/A,#N/A,FALSE,"Produkte Erw.";#N/A,#N/A,FALSE,"Produkte Plan";#N/A,#N/A,FALSE,"Leistungen Erw.";#N/A,#N/A,FALSE,"Leistungen Plan";#N/A,#N/A,FALSE,"KA Allg.Kosten (2)";#N/A,#N/A,FALSE,"KA All.Kosten"}</definedName>
    <definedName name="tha.2" hidden="1">{#N/A,#N/A,FALSE,"Produkte Erw.";#N/A,#N/A,FALSE,"Produkte Plan";#N/A,#N/A,FALSE,"Leistungen Erw.";#N/A,#N/A,FALSE,"Leistungen Plan";#N/A,#N/A,FALSE,"KA Allg.Kosten (2)";#N/A,#N/A,FALSE,"KA All.Kosten"}</definedName>
    <definedName name="tha.2_1" localSheetId="0" hidden="1">{#N/A,#N/A,FALSE,"Produkte Erw.";#N/A,#N/A,FALSE,"Produkte Plan";#N/A,#N/A,FALSE,"Leistungen Erw.";#N/A,#N/A,FALSE,"Leistungen Plan";#N/A,#N/A,FALSE,"KA Allg.Kosten (2)";#N/A,#N/A,FALSE,"KA All.Kosten"}</definedName>
    <definedName name="tha.2_1" localSheetId="6" hidden="1">{#N/A,#N/A,FALSE,"Produkte Erw.";#N/A,#N/A,FALSE,"Produkte Plan";#N/A,#N/A,FALSE,"Leistungen Erw.";#N/A,#N/A,FALSE,"Leistungen Plan";#N/A,#N/A,FALSE,"KA Allg.Kosten (2)";#N/A,#N/A,FALSE,"KA All.Kosten"}</definedName>
    <definedName name="tha.2_1" hidden="1">{#N/A,#N/A,FALSE,"Produkte Erw.";#N/A,#N/A,FALSE,"Produkte Plan";#N/A,#N/A,FALSE,"Leistungen Erw.";#N/A,#N/A,FALSE,"Leistungen Plan";#N/A,#N/A,FALSE,"KA Allg.Kosten (2)";#N/A,#N/A,FALSE,"KA All.Kosten"}</definedName>
    <definedName name="tha.2_1_1" localSheetId="0" hidden="1">{#N/A,#N/A,FALSE,"Produkte Erw.";#N/A,#N/A,FALSE,"Produkte Plan";#N/A,#N/A,FALSE,"Leistungen Erw.";#N/A,#N/A,FALSE,"Leistungen Plan";#N/A,#N/A,FALSE,"KA Allg.Kosten (2)";#N/A,#N/A,FALSE,"KA All.Kosten"}</definedName>
    <definedName name="tha.2_1_1" localSheetId="6" hidden="1">{#N/A,#N/A,FALSE,"Produkte Erw.";#N/A,#N/A,FALSE,"Produkte Plan";#N/A,#N/A,FALSE,"Leistungen Erw.";#N/A,#N/A,FALSE,"Leistungen Plan";#N/A,#N/A,FALSE,"KA Allg.Kosten (2)";#N/A,#N/A,FALSE,"KA All.Kosten"}</definedName>
    <definedName name="tha.2_1_1" hidden="1">{#N/A,#N/A,FALSE,"Produkte Erw.";#N/A,#N/A,FALSE,"Produkte Plan";#N/A,#N/A,FALSE,"Leistungen Erw.";#N/A,#N/A,FALSE,"Leistungen Plan";#N/A,#N/A,FALSE,"KA Allg.Kosten (2)";#N/A,#N/A,FALSE,"KA All.Kosten"}</definedName>
    <definedName name="tha.2_2" localSheetId="0" hidden="1">{#N/A,#N/A,FALSE,"Produkte Erw.";#N/A,#N/A,FALSE,"Produkte Plan";#N/A,#N/A,FALSE,"Leistungen Erw.";#N/A,#N/A,FALSE,"Leistungen Plan";#N/A,#N/A,FALSE,"KA Allg.Kosten (2)";#N/A,#N/A,FALSE,"KA All.Kosten"}</definedName>
    <definedName name="tha.2_2" localSheetId="6" hidden="1">{#N/A,#N/A,FALSE,"Produkte Erw.";#N/A,#N/A,FALSE,"Produkte Plan";#N/A,#N/A,FALSE,"Leistungen Erw.";#N/A,#N/A,FALSE,"Leistungen Plan";#N/A,#N/A,FALSE,"KA Allg.Kosten (2)";#N/A,#N/A,FALSE,"KA All.Kosten"}</definedName>
    <definedName name="tha.2_2" hidden="1">{#N/A,#N/A,FALSE,"Produkte Erw.";#N/A,#N/A,FALSE,"Produkte Plan";#N/A,#N/A,FALSE,"Leistungen Erw.";#N/A,#N/A,FALSE,"Leistungen Plan";#N/A,#N/A,FALSE,"KA Allg.Kosten (2)";#N/A,#N/A,FALSE,"KA All.Kosten"}</definedName>
    <definedName name="tha.2_3" localSheetId="0" hidden="1">{#N/A,#N/A,FALSE,"Produkte Erw.";#N/A,#N/A,FALSE,"Produkte Plan";#N/A,#N/A,FALSE,"Leistungen Erw.";#N/A,#N/A,FALSE,"Leistungen Plan";#N/A,#N/A,FALSE,"KA Allg.Kosten (2)";#N/A,#N/A,FALSE,"KA All.Kosten"}</definedName>
    <definedName name="tha.2_3" localSheetId="6" hidden="1">{#N/A,#N/A,FALSE,"Produkte Erw.";#N/A,#N/A,FALSE,"Produkte Plan";#N/A,#N/A,FALSE,"Leistungen Erw.";#N/A,#N/A,FALSE,"Leistungen Plan";#N/A,#N/A,FALSE,"KA Allg.Kosten (2)";#N/A,#N/A,FALSE,"KA All.Kosten"}</definedName>
    <definedName name="tha.2_3" hidden="1">{#N/A,#N/A,FALSE,"Produkte Erw.";#N/A,#N/A,FALSE,"Produkte Plan";#N/A,#N/A,FALSE,"Leistungen Erw.";#N/A,#N/A,FALSE,"Leistungen Plan";#N/A,#N/A,FALSE,"KA Allg.Kosten (2)";#N/A,#N/A,FALSE,"KA All.Kosten"}</definedName>
    <definedName name="tha.2_4" localSheetId="0" hidden="1">{#N/A,#N/A,FALSE,"Produkte Erw.";#N/A,#N/A,FALSE,"Produkte Plan";#N/A,#N/A,FALSE,"Leistungen Erw.";#N/A,#N/A,FALSE,"Leistungen Plan";#N/A,#N/A,FALSE,"KA Allg.Kosten (2)";#N/A,#N/A,FALSE,"KA All.Kosten"}</definedName>
    <definedName name="tha.2_4" localSheetId="6" hidden="1">{#N/A,#N/A,FALSE,"Produkte Erw.";#N/A,#N/A,FALSE,"Produkte Plan";#N/A,#N/A,FALSE,"Leistungen Erw.";#N/A,#N/A,FALSE,"Leistungen Plan";#N/A,#N/A,FALSE,"KA Allg.Kosten (2)";#N/A,#N/A,FALSE,"KA All.Kosten"}</definedName>
    <definedName name="tha.2_4" hidden="1">{#N/A,#N/A,FALSE,"Produkte Erw.";#N/A,#N/A,FALSE,"Produkte Plan";#N/A,#N/A,FALSE,"Leistungen Erw.";#N/A,#N/A,FALSE,"Leistungen Plan";#N/A,#N/A,FALSE,"KA Allg.Kosten (2)";#N/A,#N/A,FALSE,"KA All.Kosten"}</definedName>
    <definedName name="tha.2_5" localSheetId="0" hidden="1">{#N/A,#N/A,FALSE,"Produkte Erw.";#N/A,#N/A,FALSE,"Produkte Plan";#N/A,#N/A,FALSE,"Leistungen Erw.";#N/A,#N/A,FALSE,"Leistungen Plan";#N/A,#N/A,FALSE,"KA Allg.Kosten (2)";#N/A,#N/A,FALSE,"KA All.Kosten"}</definedName>
    <definedName name="tha.2_5" localSheetId="6" hidden="1">{#N/A,#N/A,FALSE,"Produkte Erw.";#N/A,#N/A,FALSE,"Produkte Plan";#N/A,#N/A,FALSE,"Leistungen Erw.";#N/A,#N/A,FALSE,"Leistungen Plan";#N/A,#N/A,FALSE,"KA Allg.Kosten (2)";#N/A,#N/A,FALSE,"KA All.Kosten"}</definedName>
    <definedName name="tha.2_5" hidden="1">{#N/A,#N/A,FALSE,"Produkte Erw.";#N/A,#N/A,FALSE,"Produkte Plan";#N/A,#N/A,FALSE,"Leistungen Erw.";#N/A,#N/A,FALSE,"Leistungen Plan";#N/A,#N/A,FALSE,"KA Allg.Kosten (2)";#N/A,#N/A,FALSE,"KA All.Kosten"}</definedName>
    <definedName name="tha.3" localSheetId="0" hidden="1">{#N/A,#N/A,FALSE,"KA CH  (2)"}</definedName>
    <definedName name="tha.3" localSheetId="6" hidden="1">{#N/A,#N/A,FALSE,"KA CH  (2)"}</definedName>
    <definedName name="tha.3" hidden="1">{#N/A,#N/A,FALSE,"KA CH  (2)"}</definedName>
    <definedName name="tha.3_1" localSheetId="0" hidden="1">{#N/A,#N/A,FALSE,"KA CH  (2)"}</definedName>
    <definedName name="tha.3_1" localSheetId="6" hidden="1">{#N/A,#N/A,FALSE,"KA CH  (2)"}</definedName>
    <definedName name="tha.3_1" hidden="1">{#N/A,#N/A,FALSE,"KA CH  (2)"}</definedName>
    <definedName name="tha.3_1_1" localSheetId="0" hidden="1">{#N/A,#N/A,FALSE,"KA CH  (2)"}</definedName>
    <definedName name="tha.3_1_1" localSheetId="6" hidden="1">{#N/A,#N/A,FALSE,"KA CH  (2)"}</definedName>
    <definedName name="tha.3_1_1" hidden="1">{#N/A,#N/A,FALSE,"KA CH  (2)"}</definedName>
    <definedName name="tha.3_2" localSheetId="0" hidden="1">{#N/A,#N/A,FALSE,"KA CH  (2)"}</definedName>
    <definedName name="tha.3_2" localSheetId="6" hidden="1">{#N/A,#N/A,FALSE,"KA CH  (2)"}</definedName>
    <definedName name="tha.3_2" hidden="1">{#N/A,#N/A,FALSE,"KA CH  (2)"}</definedName>
    <definedName name="tha.3_3" localSheetId="0" hidden="1">{#N/A,#N/A,FALSE,"KA CH  (2)"}</definedName>
    <definedName name="tha.3_3" localSheetId="6" hidden="1">{#N/A,#N/A,FALSE,"KA CH  (2)"}</definedName>
    <definedName name="tha.3_3" hidden="1">{#N/A,#N/A,FALSE,"KA CH  (2)"}</definedName>
    <definedName name="tha.3_4" localSheetId="0" hidden="1">{#N/A,#N/A,FALSE,"KA CH  (2)"}</definedName>
    <definedName name="tha.3_4" localSheetId="6" hidden="1">{#N/A,#N/A,FALSE,"KA CH  (2)"}</definedName>
    <definedName name="tha.3_4" hidden="1">{#N/A,#N/A,FALSE,"KA CH  (2)"}</definedName>
    <definedName name="tha.3_5" localSheetId="0" hidden="1">{#N/A,#N/A,FALSE,"KA CH  (2)"}</definedName>
    <definedName name="tha.3_5" localSheetId="6" hidden="1">{#N/A,#N/A,FALSE,"KA CH  (2)"}</definedName>
    <definedName name="tha.3_5" hidden="1">{#N/A,#N/A,FALSE,"KA CH  (2)"}</definedName>
    <definedName name="tha.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99" localSheetId="0" hidden="1">{#N/A,#N/A,FALSE,"Umsatz 99";#N/A,#N/A,FALSE,"ER 99 "}</definedName>
    <definedName name="tha.4._99" localSheetId="6" hidden="1">{#N/A,#N/A,FALSE,"Umsatz 99";#N/A,#N/A,FALSE,"ER 99 "}</definedName>
    <definedName name="tha.4._99" hidden="1">{#N/A,#N/A,FALSE,"Umsatz 99";#N/A,#N/A,FALSE,"ER 99 "}</definedName>
    <definedName name="tha.4._99_1" localSheetId="0" hidden="1">{#N/A,#N/A,FALSE,"Umsatz 99";#N/A,#N/A,FALSE,"ER 99 "}</definedName>
    <definedName name="tha.4._99_1" localSheetId="6" hidden="1">{#N/A,#N/A,FALSE,"Umsatz 99";#N/A,#N/A,FALSE,"ER 99 "}</definedName>
    <definedName name="tha.4._99_1" hidden="1">{#N/A,#N/A,FALSE,"Umsatz 99";#N/A,#N/A,FALSE,"ER 99 "}</definedName>
    <definedName name="tha.4._99_1_1" localSheetId="0" hidden="1">{#N/A,#N/A,FALSE,"Umsatz 99";#N/A,#N/A,FALSE,"ER 99 "}</definedName>
    <definedName name="tha.4._99_1_1" localSheetId="6" hidden="1">{#N/A,#N/A,FALSE,"Umsatz 99";#N/A,#N/A,FALSE,"ER 99 "}</definedName>
    <definedName name="tha.4._99_1_1" hidden="1">{#N/A,#N/A,FALSE,"Umsatz 99";#N/A,#N/A,FALSE,"ER 99 "}</definedName>
    <definedName name="tha.4._99_2" localSheetId="0" hidden="1">{#N/A,#N/A,FALSE,"Umsatz 99";#N/A,#N/A,FALSE,"ER 99 "}</definedName>
    <definedName name="tha.4._99_2" localSheetId="6" hidden="1">{#N/A,#N/A,FALSE,"Umsatz 99";#N/A,#N/A,FALSE,"ER 99 "}</definedName>
    <definedName name="tha.4._99_2" hidden="1">{#N/A,#N/A,FALSE,"Umsatz 99";#N/A,#N/A,FALSE,"ER 99 "}</definedName>
    <definedName name="tha.4._99_3" localSheetId="0" hidden="1">{#N/A,#N/A,FALSE,"Umsatz 99";#N/A,#N/A,FALSE,"ER 99 "}</definedName>
    <definedName name="tha.4._99_3" localSheetId="6" hidden="1">{#N/A,#N/A,FALSE,"Umsatz 99";#N/A,#N/A,FALSE,"ER 99 "}</definedName>
    <definedName name="tha.4._99_3" hidden="1">{#N/A,#N/A,FALSE,"Umsatz 99";#N/A,#N/A,FALSE,"ER 99 "}</definedName>
    <definedName name="tha.4._99_4" localSheetId="0" hidden="1">{#N/A,#N/A,FALSE,"Umsatz 99";#N/A,#N/A,FALSE,"ER 99 "}</definedName>
    <definedName name="tha.4._99_4" localSheetId="6" hidden="1">{#N/A,#N/A,FALSE,"Umsatz 99";#N/A,#N/A,FALSE,"ER 99 "}</definedName>
    <definedName name="tha.4._99_4" hidden="1">{#N/A,#N/A,FALSE,"Umsatz 99";#N/A,#N/A,FALSE,"ER 99 "}</definedName>
    <definedName name="tha.4._99_5" localSheetId="0" hidden="1">{#N/A,#N/A,FALSE,"Umsatz 99";#N/A,#N/A,FALSE,"ER 99 "}</definedName>
    <definedName name="tha.4._99_5" localSheetId="6" hidden="1">{#N/A,#N/A,FALSE,"Umsatz 99";#N/A,#N/A,FALSE,"ER 99 "}</definedName>
    <definedName name="tha.4._99_5" hidden="1">{#N/A,#N/A,FALSE,"Umsatz 99";#N/A,#N/A,FALSE,"ER 99 "}</definedName>
    <definedName name="tha.4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4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Thail.2" localSheetId="0" hidden="1">{#N/A,#N/A,FALSE,"Umsatz 99";#N/A,#N/A,FALSE,"ER 99 "}</definedName>
    <definedName name="Thail.2" localSheetId="6" hidden="1">{#N/A,#N/A,FALSE,"Umsatz 99";#N/A,#N/A,FALSE,"ER 99 "}</definedName>
    <definedName name="Thail.2" hidden="1">{#N/A,#N/A,FALSE,"Umsatz 99";#N/A,#N/A,FALSE,"ER 99 "}</definedName>
    <definedName name="Thail.2_1" localSheetId="0" hidden="1">{#N/A,#N/A,FALSE,"Umsatz 99";#N/A,#N/A,FALSE,"ER 99 "}</definedName>
    <definedName name="Thail.2_1" localSheetId="6" hidden="1">{#N/A,#N/A,FALSE,"Umsatz 99";#N/A,#N/A,FALSE,"ER 99 "}</definedName>
    <definedName name="Thail.2_1" hidden="1">{#N/A,#N/A,FALSE,"Umsatz 99";#N/A,#N/A,FALSE,"ER 99 "}</definedName>
    <definedName name="Thail.2_1_1" localSheetId="0" hidden="1">{#N/A,#N/A,FALSE,"Umsatz 99";#N/A,#N/A,FALSE,"ER 99 "}</definedName>
    <definedName name="Thail.2_1_1" localSheetId="6" hidden="1">{#N/A,#N/A,FALSE,"Umsatz 99";#N/A,#N/A,FALSE,"ER 99 "}</definedName>
    <definedName name="Thail.2_1_1" hidden="1">{#N/A,#N/A,FALSE,"Umsatz 99";#N/A,#N/A,FALSE,"ER 99 "}</definedName>
    <definedName name="Thail.2_2" localSheetId="0" hidden="1">{#N/A,#N/A,FALSE,"Umsatz 99";#N/A,#N/A,FALSE,"ER 99 "}</definedName>
    <definedName name="Thail.2_2" localSheetId="6" hidden="1">{#N/A,#N/A,FALSE,"Umsatz 99";#N/A,#N/A,FALSE,"ER 99 "}</definedName>
    <definedName name="Thail.2_2" hidden="1">{#N/A,#N/A,FALSE,"Umsatz 99";#N/A,#N/A,FALSE,"ER 99 "}</definedName>
    <definedName name="Thail.2_3" localSheetId="0" hidden="1">{#N/A,#N/A,FALSE,"Umsatz 99";#N/A,#N/A,FALSE,"ER 99 "}</definedName>
    <definedName name="Thail.2_3" localSheetId="6" hidden="1">{#N/A,#N/A,FALSE,"Umsatz 99";#N/A,#N/A,FALSE,"ER 99 "}</definedName>
    <definedName name="Thail.2_3" hidden="1">{#N/A,#N/A,FALSE,"Umsatz 99";#N/A,#N/A,FALSE,"ER 99 "}</definedName>
    <definedName name="Thail.2_4" localSheetId="0" hidden="1">{#N/A,#N/A,FALSE,"Umsatz 99";#N/A,#N/A,FALSE,"ER 99 "}</definedName>
    <definedName name="Thail.2_4" localSheetId="6" hidden="1">{#N/A,#N/A,FALSE,"Umsatz 99";#N/A,#N/A,FALSE,"ER 99 "}</definedName>
    <definedName name="Thail.2_4" hidden="1">{#N/A,#N/A,FALSE,"Umsatz 99";#N/A,#N/A,FALSE,"ER 99 "}</definedName>
    <definedName name="Thail.2_5" localSheetId="0" hidden="1">{#N/A,#N/A,FALSE,"Umsatz 99";#N/A,#N/A,FALSE,"ER 99 "}</definedName>
    <definedName name="Thail.2_5" localSheetId="6" hidden="1">{#N/A,#N/A,FALSE,"Umsatz 99";#N/A,#N/A,FALSE,"ER 99 "}</definedName>
    <definedName name="Thail.2_5" hidden="1">{#N/A,#N/A,FALSE,"Umsatz 99";#N/A,#N/A,FALSE,"ER 99 "}</definedName>
    <definedName name="thierry" localSheetId="0" hidden="1">{"Totax",#N/A,FALSE,"Sheet1";#N/A,#N/A,FALSE,"Law Output"}</definedName>
    <definedName name="thierry" localSheetId="6" hidden="1">{"Totax",#N/A,FALSE,"Sheet1";#N/A,#N/A,FALSE,"Law Output"}</definedName>
    <definedName name="thierry" hidden="1">{"Totax",#N/A,FALSE,"Sheet1";#N/A,#N/A,FALSE,"Law Output"}</definedName>
    <definedName name="THNEN" localSheetId="0" hidden="1">{#N/A,#N/A,FALSE,"Tabl. FB300";#N/A,#N/A,FALSE,"Tabl. FB350";#N/A,#N/A,FALSE,"Tabl. FB400";#N/A,#N/A,FALSE,"Tabl. FB500";#N/A,#N/A,FALSE,"Tabl. FS090"}</definedName>
    <definedName name="THNEN" localSheetId="6" hidden="1">{#N/A,#N/A,FALSE,"Tabl. FB300";#N/A,#N/A,FALSE,"Tabl. FB350";#N/A,#N/A,FALSE,"Tabl. FB400";#N/A,#N/A,FALSE,"Tabl. FB500";#N/A,#N/A,FALSE,"Tabl. FS090"}</definedName>
    <definedName name="THNEN" hidden="1">{#N/A,#N/A,FALSE,"Tabl. FB300";#N/A,#N/A,FALSE,"Tabl. FB350";#N/A,#N/A,FALSE,"Tabl. FB400";#N/A,#N/A,FALSE,"Tabl. FB500";#N/A,#N/A,FALSE,"Tabl. FS090"}</definedName>
    <definedName name="Thous">#REF!</definedName>
    <definedName name="Threshold">#REF!</definedName>
    <definedName name="THS" localSheetId="6" hidden="1">{#N/A,#N/A,FALSE,"손익표지";#N/A,#N/A,FALSE,"손익계산";#N/A,#N/A,FALSE,"일반관리비";#N/A,#N/A,FALSE,"영업외수익";#N/A,#N/A,FALSE,"영업외비용";#N/A,#N/A,FALSE,"매출액";#N/A,#N/A,FALSE,"요약손익";#N/A,#N/A,FALSE,"요약대차";#N/A,#N/A,FALSE,"매출채권현황";#N/A,#N/A,FALSE,"매출채권명세"}</definedName>
    <definedName name="THS" hidden="1">{#N/A,#N/A,FALSE,"손익표지";#N/A,#N/A,FALSE,"손익계산";#N/A,#N/A,FALSE,"일반관리비";#N/A,#N/A,FALSE,"영업외수익";#N/A,#N/A,FALSE,"영업외비용";#N/A,#N/A,FALSE,"매출액";#N/A,#N/A,FALSE,"요약손익";#N/A,#N/A,FALSE,"요약대차";#N/A,#N/A,FALSE,"매출채권현황";#N/A,#N/A,FALSE,"매출채권명세"}</definedName>
    <definedName name="THSDLR" localSheetId="6" hidden="1">{#N/A,#N/A,FALSE,"손익표지";#N/A,#N/A,FALSE,"손익계산";#N/A,#N/A,FALSE,"일반관리비";#N/A,#N/A,FALSE,"영업외수익";#N/A,#N/A,FALSE,"영업외비용";#N/A,#N/A,FALSE,"매출액";#N/A,#N/A,FALSE,"요약손익";#N/A,#N/A,FALSE,"요약대차";#N/A,#N/A,FALSE,"매출채권현황";#N/A,#N/A,FALSE,"매출채권명세"}</definedName>
    <definedName name="THSDLR" hidden="1">{#N/A,#N/A,FALSE,"손익표지";#N/A,#N/A,FALSE,"손익계산";#N/A,#N/A,FALSE,"일반관리비";#N/A,#N/A,FALSE,"영업외수익";#N/A,#N/A,FALSE,"영업외비용";#N/A,#N/A,FALSE,"매출액";#N/A,#N/A,FALSE,"요약손익";#N/A,#N/A,FALSE,"요약대차";#N/A,#N/A,FALSE,"매출채권현황";#N/A,#N/A,FALSE,"매출채권명세"}</definedName>
    <definedName name="thth" localSheetId="0" hidden="1">{#N/A,#N/A,FALSE,"Calc";#N/A,#N/A,FALSE,"Sensitivity";#N/A,#N/A,FALSE,"LT Earn.Dil.";#N/A,#N/A,FALSE,"Dil. AVP"}</definedName>
    <definedName name="thth" localSheetId="6" hidden="1">{#N/A,#N/A,FALSE,"Calc";#N/A,#N/A,FALSE,"Sensitivity";#N/A,#N/A,FALSE,"LT Earn.Dil.";#N/A,#N/A,FALSE,"Dil. AVP"}</definedName>
    <definedName name="thth" hidden="1">{#N/A,#N/A,FALSE,"Calc";#N/A,#N/A,FALSE,"Sensitivity";#N/A,#N/A,FALSE,"LT Earn.Dil.";#N/A,#N/A,FALSE,"Dil. AVP"}</definedName>
    <definedName name="Ticket_Size" localSheetId="0">#REF!</definedName>
    <definedName name="Ticket_Size">#REF!</definedName>
    <definedName name="Ticket_Size_Pro" localSheetId="0">#REF!</definedName>
    <definedName name="Ticket_Size_Pro">#REF!</definedName>
    <definedName name="Tight" hidden="1">#REF!</definedName>
    <definedName name="Tigr_Exhibit0300bbfd_342d_4e97_a136_26912d5aedc2" hidden="1">#REF!</definedName>
    <definedName name="Tigr_Exhibit04a3efe3_ac64_4916_a1ef_3f550fe0ccd7" hidden="1">#REF!</definedName>
    <definedName name="Tigr_Exhibit07004af0_9d2d_41f1_a044_c6d0586815d6" hidden="1">#REF!</definedName>
    <definedName name="Tigr_Exhibit0a3bcc8e_4b42_4072_8b77_c07416aa0bf2" hidden="1">#REF!</definedName>
    <definedName name="Tigr_Exhibit10c73c28_2362_4fb0_86ce_86421f9de190" hidden="1">#REF!</definedName>
    <definedName name="Tigr_Exhibit11d17242_33ff_4f96_8fbc_e1e10708f503" hidden="1">#REF!</definedName>
    <definedName name="Tigr_Exhibit11de3a30_f4ff_463d_9e6d_db763d8b4b67" hidden="1">#REF!</definedName>
    <definedName name="Tigr_Exhibit19737fd0_3aa5_4613_908c_5419be2171c6" hidden="1">#REF!</definedName>
    <definedName name="Tigr_Exhibit1dcdcdac_5e4c_4b5d_98e5_f635abb40d39" hidden="1">#REF!</definedName>
    <definedName name="Tigr_Exhibit2370cdfd_9a85_480d_96e6_490799e01145" hidden="1">#REF!</definedName>
    <definedName name="Tigr_Exhibit26367548_ee29_4313_900c_a4a658f504b0" hidden="1">#REF!</definedName>
    <definedName name="Tigr_Exhibit2743dbf9_e1cd_4adf_b1a3_d4e14da3c5f1" hidden="1">#REF!</definedName>
    <definedName name="Tigr_Exhibit2940e7b4_2632_40a8_8076_de2f0a412a08" hidden="1">#REF!</definedName>
    <definedName name="Tigr_Exhibit2cfdf5cf_dea0_40ac_a5f3_7573cc9ce523" hidden="1">#REF!</definedName>
    <definedName name="Tigr_Exhibit2d338680_dbcf_452c_8d6e_6c305a228fe2" hidden="1">#REF!</definedName>
    <definedName name="Tigr_Exhibit2f99f3c0_5e95_491d_aeb4_42232c9db6b6" hidden="1">#REF!</definedName>
    <definedName name="Tigr_Exhibit2fe63e05_ca99_4d36_9512_6f0cc73419eb" hidden="1">#REF!</definedName>
    <definedName name="Tigr_Exhibit358b93eb_f7bf_487b_bf54_47e300180e31" hidden="1">#REF!</definedName>
    <definedName name="Tigr_Exhibit38d6cb48_d35f_4d8a_a62b_0834a6800fe5" hidden="1">#REF!</definedName>
    <definedName name="Tigr_Exhibit39ce3f96_ec72_48c6_930a_4a8095d5d5cf" hidden="1">#REF!</definedName>
    <definedName name="Tigr_Exhibit3cb1e20b_d9e9_4465_b7f1_7ce07446385d" hidden="1">#REF!</definedName>
    <definedName name="Tigr_Exhibit3d97c43c_a354_4965_b5aa_8f39ca454d1b" hidden="1">#REF!</definedName>
    <definedName name="Tigr_Exhibit3e60e29d_96e2_4690_9a89_2e07ca3b3755" hidden="1">#REF!</definedName>
    <definedName name="Tigr_Exhibit42644f89_e5ca_4c19_aa48_31ce191469a0" hidden="1">#REF!</definedName>
    <definedName name="Tigr_Exhibit4a59a459_1d67_4cb3_a7a9_0012bd1cd10a" hidden="1">#REF!</definedName>
    <definedName name="Tigr_Exhibit4b294e92_b1f4_4f93_baa6_a0c10fbea644" hidden="1">#REF!</definedName>
    <definedName name="Tigr_Exhibit54fd83b8_2780_4937_b3e6_ea1d37975a2e" hidden="1">#REF!</definedName>
    <definedName name="Tigr_Exhibit5a646ee0_f366_4f7f_8edb_ea1567b29d97" hidden="1">#REF!</definedName>
    <definedName name="Tigr_Exhibit5bad5ef4_eaba_4650_be97_e1289aef9a26" hidden="1">#REF!</definedName>
    <definedName name="Tigr_Exhibit5c615c7c_3873_40ea_aaf5_d71879a7467c" hidden="1">#REF!</definedName>
    <definedName name="Tigr_Exhibit62e41cc2_b5fa_4116_9054_ba5a1f80801d" hidden="1">#REF!</definedName>
    <definedName name="Tigr_Exhibit65b40b66_2e1e_4147_8658_93419fc60ee4" hidden="1">#REF!</definedName>
    <definedName name="Tigr_Exhibit666cf527_bd89_48bd_88a2_61bca9a6767f" hidden="1">#REF!</definedName>
    <definedName name="Tigr_Exhibit6845e41e_4383_492b_848a_e922820d010b" hidden="1">#REF!</definedName>
    <definedName name="Tigr_Exhibit68d39a00_c487_4519_aaaa_e53bd61cb5d8" hidden="1">#REF!</definedName>
    <definedName name="Tigr_Exhibit709ab178_b051_4932_9785_5e9810ca96fc" hidden="1">#REF!</definedName>
    <definedName name="Tigr_Exhibit78e75ed1_c229_454b_a152_5a70d94a9256" hidden="1">#REF!</definedName>
    <definedName name="Tigr_Exhibit8011c1d4_6073_47cb_be88_7b34535b9f69" hidden="1">#REF!</definedName>
    <definedName name="Tigr_Exhibit80dc5f9c_8319_45ac_b5b3_1c17fb98efef" hidden="1">#REF!</definedName>
    <definedName name="Tigr_Exhibit81752253_8ea6_4342_9332_e56cbd6cea36" hidden="1">#REF!</definedName>
    <definedName name="Tigr_Exhibit82f03bed_f29d_4a02_9ecf_abfb57ffec7a" hidden="1">#REF!</definedName>
    <definedName name="Tigr_Exhibit86978400_ec8c_48d1_8806_b37c589af0ea" hidden="1">#REF!</definedName>
    <definedName name="Tigr_Exhibit87aa8532_7958_495d_ba44_bf6c2ba1b816" hidden="1">#REF!</definedName>
    <definedName name="Tigr_Exhibit883c80ae_d07e_465e_8f4e_b33c62a72eec" hidden="1">#REF!</definedName>
    <definedName name="Tigr_Exhibit8841863c_750d_4a1c_be80_35c6df7b976f" hidden="1">#REF!</definedName>
    <definedName name="Tigr_Exhibit89f6a6d2_4290_4837_b068_563da12c8dad" hidden="1">#REF!</definedName>
    <definedName name="Tigr_Exhibit8e32626c_7adc_45da_a533_5bebcf30c57d" hidden="1">#REF!</definedName>
    <definedName name="Tigr_Exhibit90edaa02_df7d_4d09_95b8_88d0e5c95e04" hidden="1">#REF!</definedName>
    <definedName name="Tigr_Exhibit92061d5f_12ba_434c_9ab4_e800fa21fd37" hidden="1">#REF!</definedName>
    <definedName name="Tigr_Exhibita3f1f48c_c770_47cf_b6e5_952f95475b12" hidden="1">#REF!</definedName>
    <definedName name="Tigr_Exhibitad1b8f68_9b35_404c_9702_36981414f9af" hidden="1">#REF!</definedName>
    <definedName name="Tigr_Exhibitaf78c84e_48d5_4fac_8e6e_37bc88a4ea84" hidden="1">#REF!</definedName>
    <definedName name="Tigr_Exhibitb01be6a0_f455_40dc_a9c5_8640fc432bdd" hidden="1">#REF!</definedName>
    <definedName name="Tigr_Exhibitb41622c4_09d0_44e8_bf3a_c9ab932dd0f4" hidden="1">#REF!</definedName>
    <definedName name="Tigr_Exhibitb5e97952_2f14_4470_99e5_e41f3561da13" hidden="1">#REF!</definedName>
    <definedName name="Tigr_Exhibitbdfa3a28_bed2_4f79_93ca_fcd90061156b" hidden="1">#REF!</definedName>
    <definedName name="Tigr_Exhibitc468b956_98bd_439d_9d76_ee4a5bc5640d" hidden="1">#REF!</definedName>
    <definedName name="Tigr_Exhibitc754335d_782d_4f05_8bcf_8f6f839fa5ef" hidden="1">#REF!</definedName>
    <definedName name="Tigr_Exhibitc8b9448c_7341_4329_93a9_cf735ba7e6dc" hidden="1">#REF!</definedName>
    <definedName name="Tigr_Exhibitc90e8d25_e9b0_4315_b367_84887a512e19" hidden="1">#REF!</definedName>
    <definedName name="Tigr_Exhibitd0c06a4d_3fe0_46ef_8402_c3ffc39ef0aa" hidden="1">#REF!</definedName>
    <definedName name="Tigr_Exhibitd6fc1e24_87ab_4ca1_9ab5_3b5fcf3bfb68" hidden="1">#REF!</definedName>
    <definedName name="Tigr_Exhibitd8eee010_321f_453c_b8cb_0d34695d14bf" hidden="1">#REF!</definedName>
    <definedName name="Tigr_Exhibitdec6e78a_de5b_4d01_a8fb_b7043688f602" hidden="1">#REF!</definedName>
    <definedName name="Tigr_Exhibite129df3e_7d78_4f10_a9ba_7f65e66cc324" hidden="1">#REF!</definedName>
    <definedName name="Tigr_Exhibitee3668e4_6eb5_41b2_aadc_53abe5daa0bc" hidden="1">#REF!</definedName>
    <definedName name="Tigr_Exhibitee3d6b7d_d941_4137_8902_fc7f5f9720d1" hidden="1">#REF!</definedName>
    <definedName name="Tigr_Exhibitfb3eecdd_004f_4697_8fc0_65933061dfc4" hidden="1">#REF!</definedName>
    <definedName name="Tigr_Exhibitfb3fd10f_e99f_4542_acc1_b8f85c15b393" hidden="1">#REF!</definedName>
    <definedName name="Tigr_Exhibitfd0f4702_4830_42fb_bc02_32001c84915e" hidden="1">#REF!</definedName>
    <definedName name="time">#REF!</definedName>
    <definedName name="Time_Line_of_End_of_Year_Net_Cash_Flows">#REF!</definedName>
    <definedName name="time_toggle">#REF!</definedName>
    <definedName name="tina" localSheetId="0" hidden="1">{"cover",#N/A,TRUE,"Cover";"toc3",#N/A,TRUE,"TOC";"over",#N/A,TRUE,"Overview";"ts2",#N/A,TRUE,"Det_Trans_Sum";"ei1c",#N/A,TRUE,"Earnings Impact";"ad1",#N/A,TRUE,"accretion dilution";"pfis1",#N/A,TRUE,"Pro Forma Income Statement";"acq1c",#N/A,TRUE,"Acquirer";"tar1c",#N/A,TRUE,"Target"}</definedName>
    <definedName name="tina" localSheetId="6" hidden="1">{"cover",#N/A,TRUE,"Cover";"toc3",#N/A,TRUE,"TOC";"over",#N/A,TRUE,"Overview";"ts2",#N/A,TRUE,"Det_Trans_Sum";"ei1c",#N/A,TRUE,"Earnings Impact";"ad1",#N/A,TRUE,"accretion dilution";"pfis1",#N/A,TRUE,"Pro Forma Income Statement";"acq1c",#N/A,TRUE,"Acquirer";"tar1c",#N/A,TRUE,"Target"}</definedName>
    <definedName name="tina" hidden="1">{"cover",#N/A,TRUE,"Cover";"toc3",#N/A,TRUE,"TOC";"over",#N/A,TRUE,"Overview";"ts2",#N/A,TRUE,"Det_Trans_Sum";"ei1c",#N/A,TRUE,"Earnings Impact";"ad1",#N/A,TRUE,"accretion dilution";"pfis1",#N/A,TRUE,"Pro Forma Income Statement";"acq1c",#N/A,TRUE,"Acquirer";"tar1c",#N/A,TRUE,"Target"}</definedName>
    <definedName name="Title">#REF!</definedName>
    <definedName name="Titlepb" hidden="1">#REF!</definedName>
    <definedName name="tj"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tj"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tjtrjrtjt" localSheetId="0" hidden="1">{#N/A,#N/A,FALSE,"Assessment";#N/A,#N/A,FALSE,"Staffing";#N/A,#N/A,FALSE,"Hires";#N/A,#N/A,FALSE,"Assumptions"}</definedName>
    <definedName name="tjtrjrtjt" localSheetId="6" hidden="1">{#N/A,#N/A,FALSE,"Assessment";#N/A,#N/A,FALSE,"Staffing";#N/A,#N/A,FALSE,"Hires";#N/A,#N/A,FALSE,"Assumptions"}</definedName>
    <definedName name="tjtrjrtjt" hidden="1">{#N/A,#N/A,FALSE,"Assessment";#N/A,#N/A,FALSE,"Staffing";#N/A,#N/A,FALSE,"Hires";#N/A,#N/A,FALSE,"Assumptions"}</definedName>
    <definedName name="tjtrjrtjt_1" localSheetId="0" hidden="1">{#N/A,#N/A,FALSE,"Assessment";#N/A,#N/A,FALSE,"Staffing";#N/A,#N/A,FALSE,"Hires";#N/A,#N/A,FALSE,"Assumptions"}</definedName>
    <definedName name="tjtrjrtjt_1" localSheetId="6" hidden="1">{#N/A,#N/A,FALSE,"Assessment";#N/A,#N/A,FALSE,"Staffing";#N/A,#N/A,FALSE,"Hires";#N/A,#N/A,FALSE,"Assumptions"}</definedName>
    <definedName name="tjtrjrtjt_1" hidden="1">{#N/A,#N/A,FALSE,"Assessment";#N/A,#N/A,FALSE,"Staffing";#N/A,#N/A,FALSE,"Hires";#N/A,#N/A,FALSE,"Assumptions"}</definedName>
    <definedName name="tjtrjt" localSheetId="0" hidden="1">{#N/A,#N/A,FALSE,"Assessment";#N/A,#N/A,FALSE,"Staffing";#N/A,#N/A,FALSE,"Hires";#N/A,#N/A,FALSE,"Assumptions"}</definedName>
    <definedName name="tjtrjt" localSheetId="6" hidden="1">{#N/A,#N/A,FALSE,"Assessment";#N/A,#N/A,FALSE,"Staffing";#N/A,#N/A,FALSE,"Hires";#N/A,#N/A,FALSE,"Assumptions"}</definedName>
    <definedName name="tjtrjt" hidden="1">{#N/A,#N/A,FALSE,"Assessment";#N/A,#N/A,FALSE,"Staffing";#N/A,#N/A,FALSE,"Hires";#N/A,#N/A,FALSE,"Assumptions"}</definedName>
    <definedName name="tjtrjt_1" localSheetId="0" hidden="1">{#N/A,#N/A,FALSE,"Assessment";#N/A,#N/A,FALSE,"Staffing";#N/A,#N/A,FALSE,"Hires";#N/A,#N/A,FALSE,"Assumptions"}</definedName>
    <definedName name="tjtrjt_1" localSheetId="6" hidden="1">{#N/A,#N/A,FALSE,"Assessment";#N/A,#N/A,FALSE,"Staffing";#N/A,#N/A,FALSE,"Hires";#N/A,#N/A,FALSE,"Assumptions"}</definedName>
    <definedName name="tjtrjt_1" hidden="1">{#N/A,#N/A,FALSE,"Assessment";#N/A,#N/A,FALSE,"Staffing";#N/A,#N/A,FALSE,"Hires";#N/A,#N/A,FALSE,"Assumptions"}</definedName>
    <definedName name="tjtrjtr" localSheetId="0" hidden="1">{#N/A,#N/A,FALSE,"Assessment";#N/A,#N/A,FALSE,"Staffing";#N/A,#N/A,FALSE,"Hires";#N/A,#N/A,FALSE,"Assumptions"}</definedName>
    <definedName name="tjtrjtr" localSheetId="6" hidden="1">{#N/A,#N/A,FALSE,"Assessment";#N/A,#N/A,FALSE,"Staffing";#N/A,#N/A,FALSE,"Hires";#N/A,#N/A,FALSE,"Assumptions"}</definedName>
    <definedName name="tjtrjtr" hidden="1">{#N/A,#N/A,FALSE,"Assessment";#N/A,#N/A,FALSE,"Staffing";#N/A,#N/A,FALSE,"Hires";#N/A,#N/A,FALSE,"Assumptions"}</definedName>
    <definedName name="tjtrjtr_1" localSheetId="0" hidden="1">{#N/A,#N/A,FALSE,"Assessment";#N/A,#N/A,FALSE,"Staffing";#N/A,#N/A,FALSE,"Hires";#N/A,#N/A,FALSE,"Assumptions"}</definedName>
    <definedName name="tjtrjtr_1" localSheetId="6" hidden="1">{#N/A,#N/A,FALSE,"Assessment";#N/A,#N/A,FALSE,"Staffing";#N/A,#N/A,FALSE,"Hires";#N/A,#N/A,FALSE,"Assumptions"}</definedName>
    <definedName name="tjtrjtr_1" hidden="1">{#N/A,#N/A,FALSE,"Assessment";#N/A,#N/A,FALSE,"Staffing";#N/A,#N/A,FALSE,"Hires";#N/A,#N/A,FALSE,"Assumptions"}</definedName>
    <definedName name="TLA.067" hidden="1">#REF!</definedName>
    <definedName name="TLBO">#REF!</definedName>
    <definedName name="TM" localSheetId="4">TAREK MAHMOUD</definedName>
    <definedName name="TM" localSheetId="2">TAREK MAHMOUD</definedName>
    <definedName name="TM" localSheetId="6">TAREK MAHMOUD</definedName>
    <definedName name="TM">TAREK MAHMOUD</definedName>
    <definedName name="Tmob">#REF!</definedName>
    <definedName name="tmp" localSheetId="6" hidden="1">{"'Break down'!$A$4"}</definedName>
    <definedName name="tmp" hidden="1">{"'Break down'!$A$4"}</definedName>
    <definedName name="TNext">#REF!</definedName>
    <definedName name="tnntnt" localSheetId="0" hidden="1">{#N/A,#N/A,FALSE,"Assessment";#N/A,#N/A,FALSE,"Staffing";#N/A,#N/A,FALSE,"Hires";#N/A,#N/A,FALSE,"Assumptions"}</definedName>
    <definedName name="tnntnt" localSheetId="6" hidden="1">{#N/A,#N/A,FALSE,"Assessment";#N/A,#N/A,FALSE,"Staffing";#N/A,#N/A,FALSE,"Hires";#N/A,#N/A,FALSE,"Assumptions"}</definedName>
    <definedName name="tnntnt" hidden="1">{#N/A,#N/A,FALSE,"Assessment";#N/A,#N/A,FALSE,"Staffing";#N/A,#N/A,FALSE,"Hires";#N/A,#N/A,FALSE,"Assumptions"}</definedName>
    <definedName name="tnntnt_1" localSheetId="0" hidden="1">{#N/A,#N/A,FALSE,"Assessment";#N/A,#N/A,FALSE,"Staffing";#N/A,#N/A,FALSE,"Hires";#N/A,#N/A,FALSE,"Assumptions"}</definedName>
    <definedName name="tnntnt_1" localSheetId="6" hidden="1">{#N/A,#N/A,FALSE,"Assessment";#N/A,#N/A,FALSE,"Staffing";#N/A,#N/A,FALSE,"Hires";#N/A,#N/A,FALSE,"Assumptions"}</definedName>
    <definedName name="tnntnt_1" hidden="1">{#N/A,#N/A,FALSE,"Assessment";#N/A,#N/A,FALSE,"Staffing";#N/A,#N/A,FALSE,"Hires";#N/A,#N/A,FALSE,"Assumptions"}</definedName>
    <definedName name="tnntntrtn" localSheetId="0" hidden="1">{#N/A,#N/A,FALSE,"Assessment";#N/A,#N/A,FALSE,"Staffing";#N/A,#N/A,FALSE,"Hires";#N/A,#N/A,FALSE,"Assumptions"}</definedName>
    <definedName name="tnntntrtn" localSheetId="6" hidden="1">{#N/A,#N/A,FALSE,"Assessment";#N/A,#N/A,FALSE,"Staffing";#N/A,#N/A,FALSE,"Hires";#N/A,#N/A,FALSE,"Assumptions"}</definedName>
    <definedName name="tnntntrtn" hidden="1">{#N/A,#N/A,FALSE,"Assessment";#N/A,#N/A,FALSE,"Staffing";#N/A,#N/A,FALSE,"Hires";#N/A,#N/A,FALSE,"Assumptions"}</definedName>
    <definedName name="tnntntrtn_1" localSheetId="0" hidden="1">{#N/A,#N/A,FALSE,"Assessment";#N/A,#N/A,FALSE,"Staffing";#N/A,#N/A,FALSE,"Hires";#N/A,#N/A,FALSE,"Assumptions"}</definedName>
    <definedName name="tnntntrtn_1" localSheetId="6" hidden="1">{#N/A,#N/A,FALSE,"Assessment";#N/A,#N/A,FALSE,"Staffing";#N/A,#N/A,FALSE,"Hires";#N/A,#N/A,FALSE,"Assumptions"}</definedName>
    <definedName name="tnntntrtn_1" hidden="1">{#N/A,#N/A,FALSE,"Assessment";#N/A,#N/A,FALSE,"Staffing";#N/A,#N/A,FALSE,"Hires";#N/A,#N/A,FALSE,"Assumptions"}</definedName>
    <definedName name="TNormal0FX1">#REF!</definedName>
    <definedName name="TNow">#REF!</definedName>
    <definedName name="To">#REF!</definedName>
    <definedName name="tobias" hidden="1">#N/A</definedName>
    <definedName name="toggle_1">#REF!</definedName>
    <definedName name="toggle_2">#REF!</definedName>
    <definedName name="toggle_3">#REF!</definedName>
    <definedName name="toggle_4">#REF!</definedName>
    <definedName name="toggle_5">#REF!</definedName>
    <definedName name="tolerance">#REF!</definedName>
    <definedName name="Top_15_Dec_Q">#REF!</definedName>
    <definedName name="Top_15_Nov_Q">#REF!</definedName>
    <definedName name="Top_15_YTD_05_Q">#REF!</definedName>
    <definedName name="TOP_15_YTD_2005">#REF!</definedName>
    <definedName name="TopLeftForex">#REF!</definedName>
    <definedName name="TopLeftGDR">#REF!</definedName>
    <definedName name="TopLeftIndex">#REF!</definedName>
    <definedName name="TopLeftLocal">#REF!</definedName>
    <definedName name="TOPO" hidden="1">#REF!</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0</definedName>
    <definedName name="TopRankDefaultStepsPerInput" hidden="1">5</definedName>
    <definedName name="TopRankDetailByInputReport" hidden="1">FALSE</definedName>
    <definedName name="TopRankMaxInputsPerGraph" hidden="1">10</definedName>
    <definedName name="TopRankMultiWayReport" hidden="1">FALSE</definedName>
    <definedName name="TopRankNumberOfRuns" hidden="1">1</definedName>
    <definedName name="TopRankOnlyInputsOverThreshold" hidden="1">TRUE</definedName>
    <definedName name="TopRankOnlyTopRanking" hidden="1">TRUE</definedName>
    <definedName name="TopRankOutputDetailReport" hidden="1">FALSE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TRUE</definedName>
    <definedName name="TopRankPrecedentScanType" hidden="1">1</definedName>
    <definedName name="TopRankReportAllOutputCells" hidden="1">TRUE</definedName>
    <definedName name="TopRankReportsInExistingWorkbook" hidden="1">FALSE</definedName>
    <definedName name="TopRankReportsInExistingWorkbookName" hidden="1">"Active Workbook"</definedName>
    <definedName name="TopRankReportsInNewWorkbook" hidden="1">TRUE</definedName>
    <definedName name="TopRankSensitivityGraphs" hidden="1">FALSE</definedName>
    <definedName name="TopRankSingleWorkbookAllResults" hidden="1">FALSE</definedName>
    <definedName name="TopRankSpiderGraphs" hidden="1">TRUE</definedName>
    <definedName name="TopRankTornadoGraphs" hidden="1">TRUE</definedName>
    <definedName name="TopRankUpdateDisplay" hidden="1">FALSE</definedName>
    <definedName name="Total_Accrued_Expenses">#REF!</definedName>
    <definedName name="Total_Advances_Staff">#REF!</definedName>
    <definedName name="Total_Advances_Suppliers">#REF!</definedName>
    <definedName name="Total_AP">#REF!</definedName>
    <definedName name="Total_AR">#REF!</definedName>
    <definedName name="Total_Assets">#REF!</definedName>
    <definedName name="Total_Capital">#REF!</definedName>
    <definedName name="TOTAL_CASH_DIVID" hidden="1">"TOTAL_CASH_DIVID"</definedName>
    <definedName name="TOTAL_CASH_FINAN" hidden="1">"TOTAL_CASH_FINAN"</definedName>
    <definedName name="TOTAL_CASH_INVEST" hidden="1">"TOTAL_CASH_INVEST"</definedName>
    <definedName name="TOTAL_CASH_OPER" hidden="1">"TOTAL_CASH_OPER"</definedName>
    <definedName name="TOTAL_COMMON" hidden="1">"TOTAL_COMMON"</definedName>
    <definedName name="Total_Countries">#REF!</definedName>
    <definedName name="Total_CountriesBS">#REF!</definedName>
    <definedName name="Total_Current_Assets">#REF!</definedName>
    <definedName name="TOTAL_CURRENT_LIAB" hidden="1">"TOTAL_CURRENT_LIAB"</definedName>
    <definedName name="Total_Current_Liabilities">#REF!</definedName>
    <definedName name="TOTAL_DEBT">#REF!</definedName>
    <definedName name="TOTAL_DEBT_OVER_EBITDA" hidden="1">"TOTAL_DEBT_OVER_EBITDA"</definedName>
    <definedName name="TOTAL_DEBT_OVER_TOTAL_BV" hidden="1">"TOTAL_DEBT_OVER_TOTAL_BV"</definedName>
    <definedName name="TOTAL_DEBT_OVER_TOTAL_CAP" hidden="1">"TOTAL_DEBT_OVER_TOTAL_CAP"</definedName>
    <definedName name="Total_Deduction">#REF!</definedName>
    <definedName name="Total_Direct_Overhead">#REF!</definedName>
    <definedName name="Total_Downpayments">#REF!</definedName>
    <definedName name="Total_Employees_Accrual">#REF!</definedName>
    <definedName name="Total_Equity">#REF!</definedName>
    <definedName name="Total_Fixed_Assets">#REF!</definedName>
    <definedName name="Total_Installments_Payable">#REF!</definedName>
    <definedName name="Total_Intangibles">#REF!,#REF!,#REF!,#REF!,#REF!,#REF!,#REF!,#REF!,#REF!</definedName>
    <definedName name="Total_Interest">#REF!</definedName>
    <definedName name="TOTAL_INTEREST_EXP" hidden="1">"TOTAL_INTEREST_EXP"</definedName>
    <definedName name="Total_Inventory">#REF!</definedName>
    <definedName name="TOTAL_LIAB" hidden="1">"TOTAL_LIAB"</definedName>
    <definedName name="TOTAL_LIAB_SHAREHOLD" hidden="1">"TOTAL_LIAB_SHAREHOLD"</definedName>
    <definedName name="TOTAL_LONG_DEBT" hidden="1">"TOTAL_LONG_DEBT"</definedName>
    <definedName name="Total_Materials_Cost">#REF!</definedName>
    <definedName name="Total_NP">#REF!</definedName>
    <definedName name="TOTAL_OPER_EXPEN" hidden="1">"TOTAL_OPER_EXPEN"</definedName>
    <definedName name="Total_Other_Receivables">#REF!</definedName>
    <definedName name="Total_Pay">#REF!</definedName>
    <definedName name="Total_Payment" localSheetId="4">Scheduled_Payment+Extra_Payment</definedName>
    <definedName name="Total_Payment" localSheetId="2">Scheduled_Payment+Extra_Payment</definedName>
    <definedName name="Total_Payment" localSheetId="6">Scheduled_Payment+Extra_Payment</definedName>
    <definedName name="Total_Payment">Scheduled_Payment+Extra_Payment</definedName>
    <definedName name="Total_PPE">#REF!,#REF!,#REF!,#REF!,#REF!,#REF!</definedName>
    <definedName name="Total_Prepaid_Expenses">#REF!</definedName>
    <definedName name="TOTAL_RECEIV" hidden="1">"TOTAL_RECEIV"</definedName>
    <definedName name="Total_Revenue">#REF!</definedName>
    <definedName name="TOTAL_SPECIAL" hidden="1">"TOTAL_SPECIAL"</definedName>
    <definedName name="Total_WIP">#REF!</definedName>
    <definedName name="TotalEarlyPayments">SUM(#REF!)</definedName>
    <definedName name="TotalInterest">SUM(#REF!)</definedName>
    <definedName name="totcap" hidden="1">#REF!,#REF!,#REF!,#REF!</definedName>
    <definedName name="totga1">#REF!</definedName>
    <definedName name="totga2">#REF!</definedName>
    <definedName name="TOYBahrain">#REF!</definedName>
    <definedName name="TOYGulf">#REF!</definedName>
    <definedName name="TOYKuwait">#REF!</definedName>
    <definedName name="TOYOman">#REF!</definedName>
    <definedName name="TOYQatar">#REF!</definedName>
    <definedName name="TOYU.A.E.">#REF!</definedName>
    <definedName name="TPooling">#REF!</definedName>
    <definedName name="TPrior">#REF!</definedName>
    <definedName name="TPurchase">#REF!</definedName>
    <definedName name="TPYrEnd">#REF!</definedName>
    <definedName name="track"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track"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tradcomp" localSheetId="0" hidden="1">{#N/A,#N/A,FALSE,"Trading-Mult ";#N/A,#N/A,FALSE,"Trading-Cap";#N/A,#N/A,FALSE,"Trading-Inc";#N/A,#N/A,FALSE,"Cash Flow";#N/A,#N/A,FALSE,"M&amp;A info"}</definedName>
    <definedName name="tradcomp" localSheetId="6" hidden="1">{#N/A,#N/A,FALSE,"Trading-Mult ";#N/A,#N/A,FALSE,"Trading-Cap";#N/A,#N/A,FALSE,"Trading-Inc";#N/A,#N/A,FALSE,"Cash Flow";#N/A,#N/A,FALSE,"M&amp;A info"}</definedName>
    <definedName name="tradcomp" hidden="1">{#N/A,#N/A,FALSE,"Trading-Mult ";#N/A,#N/A,FALSE,"Trading-Cap";#N/A,#N/A,FALSE,"Trading-Inc";#N/A,#N/A,FALSE,"Cash Flow";#N/A,#N/A,FALSE,"M&amp;A info"}</definedName>
    <definedName name="tradcompar" localSheetId="0" hidden="1">{#N/A,#N/A,FALSE,"Trading-Mult ";#N/A,#N/A,FALSE,"Trading-Cap";#N/A,#N/A,FALSE,"Trading-Inc";#N/A,#N/A,FALSE,"Cash Flow";#N/A,#N/A,FALSE,"M&amp;A info"}</definedName>
    <definedName name="tradcompar" localSheetId="6" hidden="1">{#N/A,#N/A,FALSE,"Trading-Mult ";#N/A,#N/A,FALSE,"Trading-Cap";#N/A,#N/A,FALSE,"Trading-Inc";#N/A,#N/A,FALSE,"Cash Flow";#N/A,#N/A,FALSE,"M&amp;A info"}</definedName>
    <definedName name="tradcompar" hidden="1">{#N/A,#N/A,FALSE,"Trading-Mult ";#N/A,#N/A,FALSE,"Trading-Cap";#N/A,#N/A,FALSE,"Trading-Inc";#N/A,#N/A,FALSE,"Cash Flow";#N/A,#N/A,FALSE,"M&amp;A info"}</definedName>
    <definedName name="TRADE_AR" hidden="1">"TRADE_AR"</definedName>
    <definedName name="tradingcompar" localSheetId="0" hidden="1">{#N/A,#N/A,FALSE,"Trading-Mult ";#N/A,#N/A,FALSE,"Trading-Cap";#N/A,#N/A,FALSE,"Trading-Inc";#N/A,#N/A,FALSE,"Cash Flow";#N/A,#N/A,FALSE,"M&amp;A info"}</definedName>
    <definedName name="tradingcompar" localSheetId="6" hidden="1">{#N/A,#N/A,FALSE,"Trading-Mult ";#N/A,#N/A,FALSE,"Trading-Cap";#N/A,#N/A,FALSE,"Trading-Inc";#N/A,#N/A,FALSE,"Cash Flow";#N/A,#N/A,FALSE,"M&amp;A info"}</definedName>
    <definedName name="tradingcompar" hidden="1">{#N/A,#N/A,FALSE,"Trading-Mult ";#N/A,#N/A,FALSE,"Trading-Cap";#N/A,#N/A,FALSE,"Trading-Inc";#N/A,#N/A,FALSE,"Cash Flow";#N/A,#N/A,FALSE,"M&amp;A info"}</definedName>
    <definedName name="Transaction" hidden="1">#REF!</definedName>
    <definedName name="tre" localSheetId="0" hidden="1">{"DJH3",#N/A,FALSE,"PFL00805";"PJB3",#N/A,FALSE,"PFL00805";"JMD3",#N/A,FALSE,"PFL00805";"DNB3",#N/A,FALSE,"PFL00805";"MJP3",#N/A,FALSE,"PFL00805";"RAB3",#N/A,FALSE,"PFL00805";"GJW3",#N/A,FALSE,"PFL00805";"MASTER3",#N/A,FALSE,"PFL00805"}</definedName>
    <definedName name="tre" localSheetId="6" hidden="1">{"DJH3",#N/A,FALSE,"PFL00805";"PJB3",#N/A,FALSE,"PFL00805";"JMD3",#N/A,FALSE,"PFL00805";"DNB3",#N/A,FALSE,"PFL00805";"MJP3",#N/A,FALSE,"PFL00805";"RAB3",#N/A,FALSE,"PFL00805";"GJW3",#N/A,FALSE,"PFL00805";"MASTER3",#N/A,FALSE,"PFL00805"}</definedName>
    <definedName name="tre" hidden="1">{"DJH3",#N/A,FALSE,"PFL00805";"PJB3",#N/A,FALSE,"PFL00805";"JMD3",#N/A,FALSE,"PFL00805";"DNB3",#N/A,FALSE,"PFL00805";"MJP3",#N/A,FALSE,"PFL00805";"RAB3",#N/A,FALSE,"PFL00805";"GJW3",#N/A,FALSE,"PFL00805";"MASTER3",#N/A,FALSE,"PFL00805"}</definedName>
    <definedName name="tre_1" localSheetId="0" hidden="1">{"DJH3",#N/A,FALSE,"PFL00805";"PJB3",#N/A,FALSE,"PFL00805";"JMD3",#N/A,FALSE,"PFL00805";"DNB3",#N/A,FALSE,"PFL00805";"MJP3",#N/A,FALSE,"PFL00805";"RAB3",#N/A,FALSE,"PFL00805";"GJW3",#N/A,FALSE,"PFL00805";"MASTER3",#N/A,FALSE,"PFL00805"}</definedName>
    <definedName name="tre_1" localSheetId="6" hidden="1">{"DJH3",#N/A,FALSE,"PFL00805";"PJB3",#N/A,FALSE,"PFL00805";"JMD3",#N/A,FALSE,"PFL00805";"DNB3",#N/A,FALSE,"PFL00805";"MJP3",#N/A,FALSE,"PFL00805";"RAB3",#N/A,FALSE,"PFL00805";"GJW3",#N/A,FALSE,"PFL00805";"MASTER3",#N/A,FALSE,"PFL00805"}</definedName>
    <definedName name="tre_1" hidden="1">{"DJH3",#N/A,FALSE,"PFL00805";"PJB3",#N/A,FALSE,"PFL00805";"JMD3",#N/A,FALSE,"PFL00805";"DNB3",#N/A,FALSE,"PFL00805";"MJP3",#N/A,FALSE,"PFL00805";"RAB3",#N/A,FALSE,"PFL00805";"GJW3",#N/A,FALSE,"PFL00805";"MASTER3",#N/A,FALSE,"PFL00805"}</definedName>
    <definedName name="TREASURY_STOCK" hidden="1">"TREASURY_STOCK"</definedName>
    <definedName name="TReCap">#REF!</definedName>
    <definedName name="treeList" hidden="1">"11111100000000000000000000000000000000000000000000000000000000000000000000000000000000000000000000000000000000000000000000000000000000000000000000000000000000000000000000000000000000000000000000000000"</definedName>
    <definedName name="treyrt" localSheetId="0" hidden="1">{#N/A,#N/A,FALSE,"main";#N/A,#N/A,FALSE,"Purchase"}</definedName>
    <definedName name="treyrt" localSheetId="6" hidden="1">{#N/A,#N/A,FALSE,"main";#N/A,#N/A,FALSE,"Purchase"}</definedName>
    <definedName name="treyrt" hidden="1">{#N/A,#N/A,FALSE,"main";#N/A,#N/A,FALSE,"Purchase"}</definedName>
    <definedName name="trjrdtj" hidden="1">#REF!</definedName>
    <definedName name="trjtjtr" localSheetId="0" hidden="1">{#N/A,#N/A,FALSE,"Assessment";#N/A,#N/A,FALSE,"Staffing";#N/A,#N/A,FALSE,"Hires";#N/A,#N/A,FALSE,"Assumptions"}</definedName>
    <definedName name="trjtjtr" localSheetId="6" hidden="1">{#N/A,#N/A,FALSE,"Assessment";#N/A,#N/A,FALSE,"Staffing";#N/A,#N/A,FALSE,"Hires";#N/A,#N/A,FALSE,"Assumptions"}</definedName>
    <definedName name="trjtjtr" hidden="1">{#N/A,#N/A,FALSE,"Assessment";#N/A,#N/A,FALSE,"Staffing";#N/A,#N/A,FALSE,"Hires";#N/A,#N/A,FALSE,"Assumptions"}</definedName>
    <definedName name="trjtjtr_1" localSheetId="0" hidden="1">{#N/A,#N/A,FALSE,"Assessment";#N/A,#N/A,FALSE,"Staffing";#N/A,#N/A,FALSE,"Hires";#N/A,#N/A,FALSE,"Assumptions"}</definedName>
    <definedName name="trjtjtr_1" localSheetId="6" hidden="1">{#N/A,#N/A,FALSE,"Assessment";#N/A,#N/A,FALSE,"Staffing";#N/A,#N/A,FALSE,"Hires";#N/A,#N/A,FALSE,"Assumptions"}</definedName>
    <definedName name="trjtjtr_1" hidden="1">{#N/A,#N/A,FALSE,"Assessment";#N/A,#N/A,FALSE,"Staffing";#N/A,#N/A,FALSE,"Hires";#N/A,#N/A,FALSE,"Assumptions"}</definedName>
    <definedName name="trjtrjrt" localSheetId="0" hidden="1">{#N/A,#N/A,FALSE,"Assessment";#N/A,#N/A,FALSE,"Staffing";#N/A,#N/A,FALSE,"Hires";#N/A,#N/A,FALSE,"Assumptions"}</definedName>
    <definedName name="trjtrjrt" localSheetId="6" hidden="1">{#N/A,#N/A,FALSE,"Assessment";#N/A,#N/A,FALSE,"Staffing";#N/A,#N/A,FALSE,"Hires";#N/A,#N/A,FALSE,"Assumptions"}</definedName>
    <definedName name="trjtrjrt" hidden="1">{#N/A,#N/A,FALSE,"Assessment";#N/A,#N/A,FALSE,"Staffing";#N/A,#N/A,FALSE,"Hires";#N/A,#N/A,FALSE,"Assumptions"}</definedName>
    <definedName name="trjtrjrt_1" localSheetId="0" hidden="1">{#N/A,#N/A,FALSE,"Assessment";#N/A,#N/A,FALSE,"Staffing";#N/A,#N/A,FALSE,"Hires";#N/A,#N/A,FALSE,"Assumptions"}</definedName>
    <definedName name="trjtrjrt_1" localSheetId="6" hidden="1">{#N/A,#N/A,FALSE,"Assessment";#N/A,#N/A,FALSE,"Staffing";#N/A,#N/A,FALSE,"Hires";#N/A,#N/A,FALSE,"Assumptions"}</definedName>
    <definedName name="trjtrjrt_1" hidden="1">{#N/A,#N/A,FALSE,"Assessment";#N/A,#N/A,FALSE,"Staffing";#N/A,#N/A,FALSE,"Hires";#N/A,#N/A,FALSE,"Assumptions"}</definedName>
    <definedName name="trjtrjtr" localSheetId="0" hidden="1">{#N/A,#N/A,FALSE,"Assessment";#N/A,#N/A,FALSE,"Staffing";#N/A,#N/A,FALSE,"Hires";#N/A,#N/A,FALSE,"Assumptions"}</definedName>
    <definedName name="trjtrjtr" localSheetId="6" hidden="1">{#N/A,#N/A,FALSE,"Assessment";#N/A,#N/A,FALSE,"Staffing";#N/A,#N/A,FALSE,"Hires";#N/A,#N/A,FALSE,"Assumptions"}</definedName>
    <definedName name="trjtrjtr" hidden="1">{#N/A,#N/A,FALSE,"Assessment";#N/A,#N/A,FALSE,"Staffing";#N/A,#N/A,FALSE,"Hires";#N/A,#N/A,FALSE,"Assumptions"}</definedName>
    <definedName name="trjtrjtr_1" localSheetId="0" hidden="1">{#N/A,#N/A,FALSE,"Assessment";#N/A,#N/A,FALSE,"Staffing";#N/A,#N/A,FALSE,"Hires";#N/A,#N/A,FALSE,"Assumptions"}</definedName>
    <definedName name="trjtrjtr_1" localSheetId="6" hidden="1">{#N/A,#N/A,FALSE,"Assessment";#N/A,#N/A,FALSE,"Staffing";#N/A,#N/A,FALSE,"Hires";#N/A,#N/A,FALSE,"Assumptions"}</definedName>
    <definedName name="trjtrjtr_1" hidden="1">{#N/A,#N/A,FALSE,"Assessment";#N/A,#N/A,FALSE,"Staffing";#N/A,#N/A,FALSE,"Hires";#N/A,#N/A,FALSE,"Assumptions"}</definedName>
    <definedName name="trn" localSheetId="0" hidden="1">{#N/A,#N/A,FALSE,"Assessment";#N/A,#N/A,FALSE,"Staffing";#N/A,#N/A,FALSE,"Hires";#N/A,#N/A,FALSE,"Assumptions"}</definedName>
    <definedName name="trn" localSheetId="6" hidden="1">{#N/A,#N/A,FALSE,"Assessment";#N/A,#N/A,FALSE,"Staffing";#N/A,#N/A,FALSE,"Hires";#N/A,#N/A,FALSE,"Assumptions"}</definedName>
    <definedName name="trn" hidden="1">{#N/A,#N/A,FALSE,"Assessment";#N/A,#N/A,FALSE,"Staffing";#N/A,#N/A,FALSE,"Hires";#N/A,#N/A,FALSE,"Assumptions"}</definedName>
    <definedName name="trn_1" localSheetId="0" hidden="1">{#N/A,#N/A,FALSE,"Assessment";#N/A,#N/A,FALSE,"Staffing";#N/A,#N/A,FALSE,"Hires";#N/A,#N/A,FALSE,"Assumptions"}</definedName>
    <definedName name="trn_1" localSheetId="6" hidden="1">{#N/A,#N/A,FALSE,"Assessment";#N/A,#N/A,FALSE,"Staffing";#N/A,#N/A,FALSE,"Hires";#N/A,#N/A,FALSE,"Assumptions"}</definedName>
    <definedName name="trn_1" hidden="1">{#N/A,#N/A,FALSE,"Assessment";#N/A,#N/A,FALSE,"Staffing";#N/A,#N/A,FALSE,"Hires";#N/A,#N/A,FALSE,"Assumptions"}</definedName>
    <definedName name="TRNR_4d4a02a65e34493db75118e44deaf8cd_64_1" hidden="1">#REF!</definedName>
    <definedName name="TRNR_6b699d4fb3e0406ea339181c68f92e17_24_1" hidden="1">#REF!</definedName>
    <definedName name="TRNR_ceaba67de2574dc19eb9f3d5dff8ad50_24_1" hidden="1">#REF!</definedName>
    <definedName name="TRProv" localSheetId="0" hidden="1">{#N/A,#N/A,FALSE,"Aging Summary";#N/A,#N/A,FALSE,"Ratio Analysis";#N/A,#N/A,FALSE,"Test 120 Day Accts";#N/A,#N/A,FALSE,"Tickmarks"}</definedName>
    <definedName name="TRProv" localSheetId="6" hidden="1">{#N/A,#N/A,FALSE,"Aging Summary";#N/A,#N/A,FALSE,"Ratio Analysis";#N/A,#N/A,FALSE,"Test 120 Day Accts";#N/A,#N/A,FALSE,"Tickmarks"}</definedName>
    <definedName name="TRProv" hidden="1">{#N/A,#N/A,FALSE,"Aging Summary";#N/A,#N/A,FALSE,"Ratio Analysis";#N/A,#N/A,FALSE,"Test 120 Day Accts";#N/A,#N/A,FALSE,"Tickmarks"}</definedName>
    <definedName name="TRProv_1" localSheetId="0" hidden="1">{#N/A,#N/A,FALSE,"Aging Summary";#N/A,#N/A,FALSE,"Ratio Analysis";#N/A,#N/A,FALSE,"Test 120 Day Accts";#N/A,#N/A,FALSE,"Tickmarks"}</definedName>
    <definedName name="TRProv_1" localSheetId="6" hidden="1">{#N/A,#N/A,FALSE,"Aging Summary";#N/A,#N/A,FALSE,"Ratio Analysis";#N/A,#N/A,FALSE,"Test 120 Day Accts";#N/A,#N/A,FALSE,"Tickmarks"}</definedName>
    <definedName name="TRProv_1" hidden="1">{#N/A,#N/A,FALSE,"Aging Summary";#N/A,#N/A,FALSE,"Ratio Analysis";#N/A,#N/A,FALSE,"Test 120 Day Accts";#N/A,#N/A,FALSE,"Tickmarks"}</definedName>
    <definedName name="trrrrrrrrrrrrrrrrrrrrrrrrrrrrrrrrrr" localSheetId="0" hidden="1">{#N/A,#N/A,FALSE,"Assessment";#N/A,#N/A,FALSE,"Staffing";#N/A,#N/A,FALSE,"Hires";#N/A,#N/A,FALSE,"Assumptions"}</definedName>
    <definedName name="trrrrrrrrrrrrrrrrrrrrrrrrrrrrrrrrrr" localSheetId="6" hidden="1">{#N/A,#N/A,FALSE,"Assessment";#N/A,#N/A,FALSE,"Staffing";#N/A,#N/A,FALSE,"Hires";#N/A,#N/A,FALSE,"Assumptions"}</definedName>
    <definedName name="trrrrrrrrrrrrrrrrrrrrrrrrrrrrrrrrrr" hidden="1">{#N/A,#N/A,FALSE,"Assessment";#N/A,#N/A,FALSE,"Staffing";#N/A,#N/A,FALSE,"Hires";#N/A,#N/A,FALSE,"Assumptions"}</definedName>
    <definedName name="trrrrrrrrrrrrrrrrrrrrrrrrrrrrrrrrrr_1" localSheetId="0" hidden="1">{#N/A,#N/A,FALSE,"Assessment";#N/A,#N/A,FALSE,"Staffing";#N/A,#N/A,FALSE,"Hires";#N/A,#N/A,FALSE,"Assumptions"}</definedName>
    <definedName name="trrrrrrrrrrrrrrrrrrrrrrrrrrrrrrrrrr_1" localSheetId="6" hidden="1">{#N/A,#N/A,FALSE,"Assessment";#N/A,#N/A,FALSE,"Staffing";#N/A,#N/A,FALSE,"Hires";#N/A,#N/A,FALSE,"Assumptions"}</definedName>
    <definedName name="trrrrrrrrrrrrrrrrrrrrrrrrrrrrrrrrrr_1" hidden="1">{#N/A,#N/A,FALSE,"Assessment";#N/A,#N/A,FALSE,"Staffing";#N/A,#N/A,FALSE,"Hires";#N/A,#N/A,FALSE,"Assumptions"}</definedName>
    <definedName name="trryt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ryt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ryt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t" localSheetId="6" hidden="1">{"PRICES",#N/A,TRUE,"PRICES";"RESULTS",#N/A,TRUE,"RESULTS";"SECTOR1",#N/A,TRUE,"SECTOR 1";"SECTOR2",#N/A,TRUE,"SECTOR 2";"SECTOR3",#N/A,TRUE,"SECTOR 3";"SECTOR4",#N/A,TRUE,"SECTOR 4";"Sector 5",#N/A,TRUE,"SECTOR 5";"Normalized_Potential",#N/A,TRUE,"SECTOR 5";"SECTOR6",#N/A,TRUE,"SECTOR 6";"TOP",#N/A,TRUE,"PERATIOS";"BOTTOM",#N/A,TRUE,"PERATIOS"}</definedName>
    <definedName name="trt" hidden="1">{"PRICES",#N/A,TRUE,"PRICES";"RESULTS",#N/A,TRUE,"RESULTS";"SECTOR1",#N/A,TRUE,"SECTOR 1";"SECTOR2",#N/A,TRUE,"SECTOR 2";"SECTOR3",#N/A,TRUE,"SECTOR 3";"SECTOR4",#N/A,TRUE,"SECTOR 4";"Sector 5",#N/A,TRUE,"SECTOR 5";"Normalized_Potential",#N/A,TRUE,"SECTOR 5";"SECTOR6",#N/A,TRUE,"SECTOR 6";"TOP",#N/A,TRUE,"PERATIOS";"BOTTOM",#N/A,TRUE,"PERATIOS"}</definedName>
    <definedName name="tryeuyit" localSheetId="0" hidden="1">{#N/A,#N/A,FALSE,"Pharm";#N/A,#N/A,FALSE,"WWCM"}</definedName>
    <definedName name="tryeuyit" localSheetId="6" hidden="1">{#N/A,#N/A,FALSE,"Pharm";#N/A,#N/A,FALSE,"WWCM"}</definedName>
    <definedName name="tryeuyit" hidden="1">{#N/A,#N/A,FALSE,"Pharm";#N/A,#N/A,FALSE,"WWCM"}</definedName>
    <definedName name="tryeuyit_1" localSheetId="0" hidden="1">{#N/A,#N/A,FALSE,"Pharm";#N/A,#N/A,FALSE,"WWCM"}</definedName>
    <definedName name="tryeuyit_1" localSheetId="6" hidden="1">{#N/A,#N/A,FALSE,"Pharm";#N/A,#N/A,FALSE,"WWCM"}</definedName>
    <definedName name="tryeuyit_1" hidden="1">{#N/A,#N/A,FALSE,"Pharm";#N/A,#N/A,FALSE,"WWCM"}</definedName>
    <definedName name="tryeuyit_1_1" localSheetId="0" hidden="1">{#N/A,#N/A,FALSE,"Pharm";#N/A,#N/A,FALSE,"WWCM"}</definedName>
    <definedName name="tryeuyit_1_1" localSheetId="6" hidden="1">{#N/A,#N/A,FALSE,"Pharm";#N/A,#N/A,FALSE,"WWCM"}</definedName>
    <definedName name="tryeuyit_1_1" hidden="1">{#N/A,#N/A,FALSE,"Pharm";#N/A,#N/A,FALSE,"WWCM"}</definedName>
    <definedName name="tryeuyit_2" localSheetId="0" hidden="1">{#N/A,#N/A,FALSE,"Pharm";#N/A,#N/A,FALSE,"WWCM"}</definedName>
    <definedName name="tryeuyit_2" localSheetId="6" hidden="1">{#N/A,#N/A,FALSE,"Pharm";#N/A,#N/A,FALSE,"WWCM"}</definedName>
    <definedName name="tryeuyit_2" hidden="1">{#N/A,#N/A,FALSE,"Pharm";#N/A,#N/A,FALSE,"WWCM"}</definedName>
    <definedName name="tryeuyit_3" localSheetId="0" hidden="1">{#N/A,#N/A,FALSE,"Pharm";#N/A,#N/A,FALSE,"WWCM"}</definedName>
    <definedName name="tryeuyit_3" localSheetId="6" hidden="1">{#N/A,#N/A,FALSE,"Pharm";#N/A,#N/A,FALSE,"WWCM"}</definedName>
    <definedName name="tryeuyit_3" hidden="1">{#N/A,#N/A,FALSE,"Pharm";#N/A,#N/A,FALSE,"WWCM"}</definedName>
    <definedName name="tryeuyit_4" localSheetId="0" hidden="1">{#N/A,#N/A,FALSE,"Pharm";#N/A,#N/A,FALSE,"WWCM"}</definedName>
    <definedName name="tryeuyit_4" localSheetId="6" hidden="1">{#N/A,#N/A,FALSE,"Pharm";#N/A,#N/A,FALSE,"WWCM"}</definedName>
    <definedName name="tryeuyit_4" hidden="1">{#N/A,#N/A,FALSE,"Pharm";#N/A,#N/A,FALSE,"WWCM"}</definedName>
    <definedName name="tryeuyit_5" localSheetId="0" hidden="1">{#N/A,#N/A,FALSE,"Pharm";#N/A,#N/A,FALSE,"WWCM"}</definedName>
    <definedName name="tryeuyit_5" localSheetId="6" hidden="1">{#N/A,#N/A,FALSE,"Pharm";#N/A,#N/A,FALSE,"WWCM"}</definedName>
    <definedName name="tryeuyit_5" hidden="1">{#N/A,#N/A,FALSE,"Pharm";#N/A,#N/A,FALSE,"WWCM"}</definedName>
    <definedName name="trying"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ing"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ing"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tiy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tiy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rytiy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ss" localSheetId="6" hidden="1">{#N/A,#N/A,TRUE,"ProFormaProfit";#N/A,#N/A,TRUE,"ProFormaCash";#N/A,#N/A,TRUE,"Depreciation";#N/A,#N/A,TRUE,"Assets";#N/A,#N/A,TRUE,"Revenue";#N/A,#N/A,TRUE,"EstimatedPurchase"}</definedName>
    <definedName name="tss" hidden="1">{#N/A,#N/A,TRUE,"ProFormaProfit";#N/A,#N/A,TRUE,"ProFormaCash";#N/A,#N/A,TRUE,"Depreciation";#N/A,#N/A,TRUE,"Assets";#N/A,#N/A,TRUE,"Revenue";#N/A,#N/A,TRUE,"EstimatedPurchase"}</definedName>
    <definedName name="TStandAlone">#REF!</definedName>
    <definedName name="TStub">#REF!</definedName>
    <definedName name="tt">#REF!</definedName>
    <definedName name="tt.8" localSheetId="0" hidden="1">{#N/A,#N/A,FALSE,"PMW Gruppe 99_98";#N/A,#N/A,FALSE,"PMW KG 98_99";#N/A,#N/A,FALSE,"PMW Inc. 99_98";#N/A,#N/A,FALSE,"PMW VTECH 99_98";#N/A,#N/A,FALSE,"PMW Thail. 99_98";#N/A,#N/A,FALSE,"PMW Canada 99_98";#N/A,#N/A,FALSE,"Währungsabw. 99_98"}</definedName>
    <definedName name="tt.8" localSheetId="6" hidden="1">{#N/A,#N/A,FALSE,"PMW Gruppe 99_98";#N/A,#N/A,FALSE,"PMW KG 98_99";#N/A,#N/A,FALSE,"PMW Inc. 99_98";#N/A,#N/A,FALSE,"PMW VTECH 99_98";#N/A,#N/A,FALSE,"PMW Thail. 99_98";#N/A,#N/A,FALSE,"PMW Canada 99_98";#N/A,#N/A,FALSE,"Währungsabw. 99_98"}</definedName>
    <definedName name="tt.8" hidden="1">{#N/A,#N/A,FALSE,"PMW Gruppe 99_98";#N/A,#N/A,FALSE,"PMW KG 98_99";#N/A,#N/A,FALSE,"PMW Inc. 99_98";#N/A,#N/A,FALSE,"PMW VTECH 99_98";#N/A,#N/A,FALSE,"PMW Thail. 99_98";#N/A,#N/A,FALSE,"PMW Canada 99_98";#N/A,#N/A,FALSE,"Währungsabw. 99_98"}</definedName>
    <definedName name="tt.8_1" localSheetId="0" hidden="1">{#N/A,#N/A,FALSE,"PMW Gruppe 99_98";#N/A,#N/A,FALSE,"PMW KG 98_99";#N/A,#N/A,FALSE,"PMW Inc. 99_98";#N/A,#N/A,FALSE,"PMW VTECH 99_98";#N/A,#N/A,FALSE,"PMW Thail. 99_98";#N/A,#N/A,FALSE,"PMW Canada 99_98";#N/A,#N/A,FALSE,"Währungsabw. 99_98"}</definedName>
    <definedName name="tt.8_1" localSheetId="6" hidden="1">{#N/A,#N/A,FALSE,"PMW Gruppe 99_98";#N/A,#N/A,FALSE,"PMW KG 98_99";#N/A,#N/A,FALSE,"PMW Inc. 99_98";#N/A,#N/A,FALSE,"PMW VTECH 99_98";#N/A,#N/A,FALSE,"PMW Thail. 99_98";#N/A,#N/A,FALSE,"PMW Canada 99_98";#N/A,#N/A,FALSE,"Währungsabw. 99_98"}</definedName>
    <definedName name="tt.8_1" hidden="1">{#N/A,#N/A,FALSE,"PMW Gruppe 99_98";#N/A,#N/A,FALSE,"PMW KG 98_99";#N/A,#N/A,FALSE,"PMW Inc. 99_98";#N/A,#N/A,FALSE,"PMW VTECH 99_98";#N/A,#N/A,FALSE,"PMW Thail. 99_98";#N/A,#N/A,FALSE,"PMW Canada 99_98";#N/A,#N/A,FALSE,"Währungsabw. 99_98"}</definedName>
    <definedName name="tt.8_1_1" localSheetId="0" hidden="1">{#N/A,#N/A,FALSE,"PMW Gruppe 99_98";#N/A,#N/A,FALSE,"PMW KG 98_99";#N/A,#N/A,FALSE,"PMW Inc. 99_98";#N/A,#N/A,FALSE,"PMW VTECH 99_98";#N/A,#N/A,FALSE,"PMW Thail. 99_98";#N/A,#N/A,FALSE,"PMW Canada 99_98";#N/A,#N/A,FALSE,"Währungsabw. 99_98"}</definedName>
    <definedName name="tt.8_1_1" localSheetId="6" hidden="1">{#N/A,#N/A,FALSE,"PMW Gruppe 99_98";#N/A,#N/A,FALSE,"PMW KG 98_99";#N/A,#N/A,FALSE,"PMW Inc. 99_98";#N/A,#N/A,FALSE,"PMW VTECH 99_98";#N/A,#N/A,FALSE,"PMW Thail. 99_98";#N/A,#N/A,FALSE,"PMW Canada 99_98";#N/A,#N/A,FALSE,"Währungsabw. 99_98"}</definedName>
    <definedName name="tt.8_1_1" hidden="1">{#N/A,#N/A,FALSE,"PMW Gruppe 99_98";#N/A,#N/A,FALSE,"PMW KG 98_99";#N/A,#N/A,FALSE,"PMW Inc. 99_98";#N/A,#N/A,FALSE,"PMW VTECH 99_98";#N/A,#N/A,FALSE,"PMW Thail. 99_98";#N/A,#N/A,FALSE,"PMW Canada 99_98";#N/A,#N/A,FALSE,"Währungsabw. 99_98"}</definedName>
    <definedName name="tt.8_2" localSheetId="0" hidden="1">{#N/A,#N/A,FALSE,"PMW Gruppe 99_98";#N/A,#N/A,FALSE,"PMW KG 98_99";#N/A,#N/A,FALSE,"PMW Inc. 99_98";#N/A,#N/A,FALSE,"PMW VTECH 99_98";#N/A,#N/A,FALSE,"PMW Thail. 99_98";#N/A,#N/A,FALSE,"PMW Canada 99_98";#N/A,#N/A,FALSE,"Währungsabw. 99_98"}</definedName>
    <definedName name="tt.8_2" localSheetId="6" hidden="1">{#N/A,#N/A,FALSE,"PMW Gruppe 99_98";#N/A,#N/A,FALSE,"PMW KG 98_99";#N/A,#N/A,FALSE,"PMW Inc. 99_98";#N/A,#N/A,FALSE,"PMW VTECH 99_98";#N/A,#N/A,FALSE,"PMW Thail. 99_98";#N/A,#N/A,FALSE,"PMW Canada 99_98";#N/A,#N/A,FALSE,"Währungsabw. 99_98"}</definedName>
    <definedName name="tt.8_2" hidden="1">{#N/A,#N/A,FALSE,"PMW Gruppe 99_98";#N/A,#N/A,FALSE,"PMW KG 98_99";#N/A,#N/A,FALSE,"PMW Inc. 99_98";#N/A,#N/A,FALSE,"PMW VTECH 99_98";#N/A,#N/A,FALSE,"PMW Thail. 99_98";#N/A,#N/A,FALSE,"PMW Canada 99_98";#N/A,#N/A,FALSE,"Währungsabw. 99_98"}</definedName>
    <definedName name="tt.8_3" localSheetId="0" hidden="1">{#N/A,#N/A,FALSE,"PMW Gruppe 99_98";#N/A,#N/A,FALSE,"PMW KG 98_99";#N/A,#N/A,FALSE,"PMW Inc. 99_98";#N/A,#N/A,FALSE,"PMW VTECH 99_98";#N/A,#N/A,FALSE,"PMW Thail. 99_98";#N/A,#N/A,FALSE,"PMW Canada 99_98";#N/A,#N/A,FALSE,"Währungsabw. 99_98"}</definedName>
    <definedName name="tt.8_3" localSheetId="6" hidden="1">{#N/A,#N/A,FALSE,"PMW Gruppe 99_98";#N/A,#N/A,FALSE,"PMW KG 98_99";#N/A,#N/A,FALSE,"PMW Inc. 99_98";#N/A,#N/A,FALSE,"PMW VTECH 99_98";#N/A,#N/A,FALSE,"PMW Thail. 99_98";#N/A,#N/A,FALSE,"PMW Canada 99_98";#N/A,#N/A,FALSE,"Währungsabw. 99_98"}</definedName>
    <definedName name="tt.8_3" hidden="1">{#N/A,#N/A,FALSE,"PMW Gruppe 99_98";#N/A,#N/A,FALSE,"PMW KG 98_99";#N/A,#N/A,FALSE,"PMW Inc. 99_98";#N/A,#N/A,FALSE,"PMW VTECH 99_98";#N/A,#N/A,FALSE,"PMW Thail. 99_98";#N/A,#N/A,FALSE,"PMW Canada 99_98";#N/A,#N/A,FALSE,"Währungsabw. 99_98"}</definedName>
    <definedName name="tt.8_4" localSheetId="0" hidden="1">{#N/A,#N/A,FALSE,"PMW Gruppe 99_98";#N/A,#N/A,FALSE,"PMW KG 98_99";#N/A,#N/A,FALSE,"PMW Inc. 99_98";#N/A,#N/A,FALSE,"PMW VTECH 99_98";#N/A,#N/A,FALSE,"PMW Thail. 99_98";#N/A,#N/A,FALSE,"PMW Canada 99_98";#N/A,#N/A,FALSE,"Währungsabw. 99_98"}</definedName>
    <definedName name="tt.8_4" localSheetId="6" hidden="1">{#N/A,#N/A,FALSE,"PMW Gruppe 99_98";#N/A,#N/A,FALSE,"PMW KG 98_99";#N/A,#N/A,FALSE,"PMW Inc. 99_98";#N/A,#N/A,FALSE,"PMW VTECH 99_98";#N/A,#N/A,FALSE,"PMW Thail. 99_98";#N/A,#N/A,FALSE,"PMW Canada 99_98";#N/A,#N/A,FALSE,"Währungsabw. 99_98"}</definedName>
    <definedName name="tt.8_4" hidden="1">{#N/A,#N/A,FALSE,"PMW Gruppe 99_98";#N/A,#N/A,FALSE,"PMW KG 98_99";#N/A,#N/A,FALSE,"PMW Inc. 99_98";#N/A,#N/A,FALSE,"PMW VTECH 99_98";#N/A,#N/A,FALSE,"PMW Thail. 99_98";#N/A,#N/A,FALSE,"PMW Canada 99_98";#N/A,#N/A,FALSE,"Währungsabw. 99_98"}</definedName>
    <definedName name="tt.8_5" localSheetId="0" hidden="1">{#N/A,#N/A,FALSE,"PMW Gruppe 99_98";#N/A,#N/A,FALSE,"PMW KG 98_99";#N/A,#N/A,FALSE,"PMW Inc. 99_98";#N/A,#N/A,FALSE,"PMW VTECH 99_98";#N/A,#N/A,FALSE,"PMW Thail. 99_98";#N/A,#N/A,FALSE,"PMW Canada 99_98";#N/A,#N/A,FALSE,"Währungsabw. 99_98"}</definedName>
    <definedName name="tt.8_5" localSheetId="6" hidden="1">{#N/A,#N/A,FALSE,"PMW Gruppe 99_98";#N/A,#N/A,FALSE,"PMW KG 98_99";#N/A,#N/A,FALSE,"PMW Inc. 99_98";#N/A,#N/A,FALSE,"PMW VTECH 99_98";#N/A,#N/A,FALSE,"PMW Thail. 99_98";#N/A,#N/A,FALSE,"PMW Canada 99_98";#N/A,#N/A,FALSE,"Währungsabw. 99_98"}</definedName>
    <definedName name="tt.8_5" hidden="1">{#N/A,#N/A,FALSE,"PMW Gruppe 99_98";#N/A,#N/A,FALSE,"PMW KG 98_99";#N/A,#N/A,FALSE,"PMW Inc. 99_98";#N/A,#N/A,FALSE,"PMW VTECH 99_98";#N/A,#N/A,FALSE,"PMW Thail. 99_98";#N/A,#N/A,FALSE,"PMW Canada 99_98";#N/A,#N/A,FALSE,"Währungsabw. 99_98"}</definedName>
    <definedName name="tt_1" localSheetId="0" hidden="1">{#N/A,#N/A,FALSE,"Umsatz EO BP";#N/A,#N/A,FALSE,"Umsatz EO OP";#N/A,#N/A,FALSE,"ER EO BP";#N/A,#N/A,FALSE,"ER EO OP";#N/A,#N/A,FALSE,"EA EO (2)";#N/A,#N/A,FALSE,"EA EO";#N/A,#N/A,FALSE,"EA EO (3)";#N/A,#N/A,FALSE,"EA EO (4)";#N/A,#N/A,FALSE,"KA EO  (2)";#N/A,#N/A,FALSE,"KA EO";#N/A,#N/A,FALSE,"KA EO  (3)";#N/A,#N/A,FALSE,"KA EO (4)"}</definedName>
    <definedName name="tt_1" localSheetId="6" hidden="1">{#N/A,#N/A,FALSE,"Umsatz EO BP";#N/A,#N/A,FALSE,"Umsatz EO OP";#N/A,#N/A,FALSE,"ER EO BP";#N/A,#N/A,FALSE,"ER EO OP";#N/A,#N/A,FALSE,"EA EO (2)";#N/A,#N/A,FALSE,"EA EO";#N/A,#N/A,FALSE,"EA EO (3)";#N/A,#N/A,FALSE,"EA EO (4)";#N/A,#N/A,FALSE,"KA EO  (2)";#N/A,#N/A,FALSE,"KA EO";#N/A,#N/A,FALSE,"KA EO  (3)";#N/A,#N/A,FALSE,"KA EO (4)"}</definedName>
    <definedName name="tt_1" hidden="1">{#N/A,#N/A,FALSE,"Umsatz EO BP";#N/A,#N/A,FALSE,"Umsatz EO OP";#N/A,#N/A,FALSE,"ER EO BP";#N/A,#N/A,FALSE,"ER EO OP";#N/A,#N/A,FALSE,"EA EO (2)";#N/A,#N/A,FALSE,"EA EO";#N/A,#N/A,FALSE,"EA EO (3)";#N/A,#N/A,FALSE,"EA EO (4)";#N/A,#N/A,FALSE,"KA EO  (2)";#N/A,#N/A,FALSE,"KA EO";#N/A,#N/A,FALSE,"KA EO  (3)";#N/A,#N/A,FALSE,"KA EO (4)"}</definedName>
    <definedName name="tt_1_1" localSheetId="0" hidden="1">{#N/A,#N/A,FALSE,"Umsatz EO BP";#N/A,#N/A,FALSE,"Umsatz EO OP";#N/A,#N/A,FALSE,"ER EO BP";#N/A,#N/A,FALSE,"ER EO OP";#N/A,#N/A,FALSE,"EA EO (2)";#N/A,#N/A,FALSE,"EA EO";#N/A,#N/A,FALSE,"EA EO (3)";#N/A,#N/A,FALSE,"EA EO (4)";#N/A,#N/A,FALSE,"KA EO  (2)";#N/A,#N/A,FALSE,"KA EO";#N/A,#N/A,FALSE,"KA EO  (3)";#N/A,#N/A,FALSE,"KA EO (4)"}</definedName>
    <definedName name="tt_1_1" localSheetId="6" hidden="1">{#N/A,#N/A,FALSE,"Umsatz EO BP";#N/A,#N/A,FALSE,"Umsatz EO OP";#N/A,#N/A,FALSE,"ER EO BP";#N/A,#N/A,FALSE,"ER EO OP";#N/A,#N/A,FALSE,"EA EO (2)";#N/A,#N/A,FALSE,"EA EO";#N/A,#N/A,FALSE,"EA EO (3)";#N/A,#N/A,FALSE,"EA EO (4)";#N/A,#N/A,FALSE,"KA EO  (2)";#N/A,#N/A,FALSE,"KA EO";#N/A,#N/A,FALSE,"KA EO  (3)";#N/A,#N/A,FALSE,"KA EO (4)"}</definedName>
    <definedName name="tt_1_1" hidden="1">{#N/A,#N/A,FALSE,"Umsatz EO BP";#N/A,#N/A,FALSE,"Umsatz EO OP";#N/A,#N/A,FALSE,"ER EO BP";#N/A,#N/A,FALSE,"ER EO OP";#N/A,#N/A,FALSE,"EA EO (2)";#N/A,#N/A,FALSE,"EA EO";#N/A,#N/A,FALSE,"EA EO (3)";#N/A,#N/A,FALSE,"EA EO (4)";#N/A,#N/A,FALSE,"KA EO  (2)";#N/A,#N/A,FALSE,"KA EO";#N/A,#N/A,FALSE,"KA EO  (3)";#N/A,#N/A,FALSE,"KA EO (4)"}</definedName>
    <definedName name="tt_2" localSheetId="0" hidden="1">{#N/A,#N/A,FALSE,"Umsatz EO BP";#N/A,#N/A,FALSE,"Umsatz EO OP";#N/A,#N/A,FALSE,"ER EO BP";#N/A,#N/A,FALSE,"ER EO OP";#N/A,#N/A,FALSE,"EA EO (2)";#N/A,#N/A,FALSE,"EA EO";#N/A,#N/A,FALSE,"EA EO (3)";#N/A,#N/A,FALSE,"EA EO (4)";#N/A,#N/A,FALSE,"KA EO  (2)";#N/A,#N/A,FALSE,"KA EO";#N/A,#N/A,FALSE,"KA EO  (3)";#N/A,#N/A,FALSE,"KA EO (4)"}</definedName>
    <definedName name="tt_2" localSheetId="6" hidden="1">{#N/A,#N/A,FALSE,"Umsatz EO BP";#N/A,#N/A,FALSE,"Umsatz EO OP";#N/A,#N/A,FALSE,"ER EO BP";#N/A,#N/A,FALSE,"ER EO OP";#N/A,#N/A,FALSE,"EA EO (2)";#N/A,#N/A,FALSE,"EA EO";#N/A,#N/A,FALSE,"EA EO (3)";#N/A,#N/A,FALSE,"EA EO (4)";#N/A,#N/A,FALSE,"KA EO  (2)";#N/A,#N/A,FALSE,"KA EO";#N/A,#N/A,FALSE,"KA EO  (3)";#N/A,#N/A,FALSE,"KA EO (4)"}</definedName>
    <definedName name="tt_2" hidden="1">{#N/A,#N/A,FALSE,"Umsatz EO BP";#N/A,#N/A,FALSE,"Umsatz EO OP";#N/A,#N/A,FALSE,"ER EO BP";#N/A,#N/A,FALSE,"ER EO OP";#N/A,#N/A,FALSE,"EA EO (2)";#N/A,#N/A,FALSE,"EA EO";#N/A,#N/A,FALSE,"EA EO (3)";#N/A,#N/A,FALSE,"EA EO (4)";#N/A,#N/A,FALSE,"KA EO  (2)";#N/A,#N/A,FALSE,"KA EO";#N/A,#N/A,FALSE,"KA EO  (3)";#N/A,#N/A,FALSE,"KA EO (4)"}</definedName>
    <definedName name="tt_3" localSheetId="0" hidden="1">{#N/A,#N/A,FALSE,"Umsatz EO BP";#N/A,#N/A,FALSE,"Umsatz EO OP";#N/A,#N/A,FALSE,"ER EO BP";#N/A,#N/A,FALSE,"ER EO OP";#N/A,#N/A,FALSE,"EA EO (2)";#N/A,#N/A,FALSE,"EA EO";#N/A,#N/A,FALSE,"EA EO (3)";#N/A,#N/A,FALSE,"EA EO (4)";#N/A,#N/A,FALSE,"KA EO  (2)";#N/A,#N/A,FALSE,"KA EO";#N/A,#N/A,FALSE,"KA EO  (3)";#N/A,#N/A,FALSE,"KA EO (4)"}</definedName>
    <definedName name="tt_3" localSheetId="6" hidden="1">{#N/A,#N/A,FALSE,"Umsatz EO BP";#N/A,#N/A,FALSE,"Umsatz EO OP";#N/A,#N/A,FALSE,"ER EO BP";#N/A,#N/A,FALSE,"ER EO OP";#N/A,#N/A,FALSE,"EA EO (2)";#N/A,#N/A,FALSE,"EA EO";#N/A,#N/A,FALSE,"EA EO (3)";#N/A,#N/A,FALSE,"EA EO (4)";#N/A,#N/A,FALSE,"KA EO  (2)";#N/A,#N/A,FALSE,"KA EO";#N/A,#N/A,FALSE,"KA EO  (3)";#N/A,#N/A,FALSE,"KA EO (4)"}</definedName>
    <definedName name="tt_3" hidden="1">{#N/A,#N/A,FALSE,"Umsatz EO BP";#N/A,#N/A,FALSE,"Umsatz EO OP";#N/A,#N/A,FALSE,"ER EO BP";#N/A,#N/A,FALSE,"ER EO OP";#N/A,#N/A,FALSE,"EA EO (2)";#N/A,#N/A,FALSE,"EA EO";#N/A,#N/A,FALSE,"EA EO (3)";#N/A,#N/A,FALSE,"EA EO (4)";#N/A,#N/A,FALSE,"KA EO  (2)";#N/A,#N/A,FALSE,"KA EO";#N/A,#N/A,FALSE,"KA EO  (3)";#N/A,#N/A,FALSE,"KA EO (4)"}</definedName>
    <definedName name="tt_4" localSheetId="0" hidden="1">{#N/A,#N/A,FALSE,"Umsatz EO BP";#N/A,#N/A,FALSE,"Umsatz EO OP";#N/A,#N/A,FALSE,"ER EO BP";#N/A,#N/A,FALSE,"ER EO OP";#N/A,#N/A,FALSE,"EA EO (2)";#N/A,#N/A,FALSE,"EA EO";#N/A,#N/A,FALSE,"EA EO (3)";#N/A,#N/A,FALSE,"EA EO (4)";#N/A,#N/A,FALSE,"KA EO  (2)";#N/A,#N/A,FALSE,"KA EO";#N/A,#N/A,FALSE,"KA EO  (3)";#N/A,#N/A,FALSE,"KA EO (4)"}</definedName>
    <definedName name="tt_4" localSheetId="6" hidden="1">{#N/A,#N/A,FALSE,"Umsatz EO BP";#N/A,#N/A,FALSE,"Umsatz EO OP";#N/A,#N/A,FALSE,"ER EO BP";#N/A,#N/A,FALSE,"ER EO OP";#N/A,#N/A,FALSE,"EA EO (2)";#N/A,#N/A,FALSE,"EA EO";#N/A,#N/A,FALSE,"EA EO (3)";#N/A,#N/A,FALSE,"EA EO (4)";#N/A,#N/A,FALSE,"KA EO  (2)";#N/A,#N/A,FALSE,"KA EO";#N/A,#N/A,FALSE,"KA EO  (3)";#N/A,#N/A,FALSE,"KA EO (4)"}</definedName>
    <definedName name="tt_4" hidden="1">{#N/A,#N/A,FALSE,"Umsatz EO BP";#N/A,#N/A,FALSE,"Umsatz EO OP";#N/A,#N/A,FALSE,"ER EO BP";#N/A,#N/A,FALSE,"ER EO OP";#N/A,#N/A,FALSE,"EA EO (2)";#N/A,#N/A,FALSE,"EA EO";#N/A,#N/A,FALSE,"EA EO (3)";#N/A,#N/A,FALSE,"EA EO (4)";#N/A,#N/A,FALSE,"KA EO  (2)";#N/A,#N/A,FALSE,"KA EO";#N/A,#N/A,FALSE,"KA EO  (3)";#N/A,#N/A,FALSE,"KA EO (4)"}</definedName>
    <definedName name="tt_5" localSheetId="0" hidden="1">{#N/A,#N/A,FALSE,"Umsatz EO BP";#N/A,#N/A,FALSE,"Umsatz EO OP";#N/A,#N/A,FALSE,"ER EO BP";#N/A,#N/A,FALSE,"ER EO OP";#N/A,#N/A,FALSE,"EA EO (2)";#N/A,#N/A,FALSE,"EA EO";#N/A,#N/A,FALSE,"EA EO (3)";#N/A,#N/A,FALSE,"EA EO (4)";#N/A,#N/A,FALSE,"KA EO  (2)";#N/A,#N/A,FALSE,"KA EO";#N/A,#N/A,FALSE,"KA EO  (3)";#N/A,#N/A,FALSE,"KA EO (4)"}</definedName>
    <definedName name="tt_5" localSheetId="6" hidden="1">{#N/A,#N/A,FALSE,"Umsatz EO BP";#N/A,#N/A,FALSE,"Umsatz EO OP";#N/A,#N/A,FALSE,"ER EO BP";#N/A,#N/A,FALSE,"ER EO OP";#N/A,#N/A,FALSE,"EA EO (2)";#N/A,#N/A,FALSE,"EA EO";#N/A,#N/A,FALSE,"EA EO (3)";#N/A,#N/A,FALSE,"EA EO (4)";#N/A,#N/A,FALSE,"KA EO  (2)";#N/A,#N/A,FALSE,"KA EO";#N/A,#N/A,FALSE,"KA EO  (3)";#N/A,#N/A,FALSE,"KA EO (4)"}</definedName>
    <definedName name="tt_5" hidden="1">{#N/A,#N/A,FALSE,"Umsatz EO BP";#N/A,#N/A,FALSE,"Umsatz EO OP";#N/A,#N/A,FALSE,"ER EO BP";#N/A,#N/A,FALSE,"ER EO OP";#N/A,#N/A,FALSE,"EA EO (2)";#N/A,#N/A,FALSE,"EA EO";#N/A,#N/A,FALSE,"EA EO (3)";#N/A,#N/A,FALSE,"EA EO (4)";#N/A,#N/A,FALSE,"KA EO  (2)";#N/A,#N/A,FALSE,"KA EO";#N/A,#N/A,FALSE,"KA EO  (3)";#N/A,#N/A,FALSE,"KA EO (4)"}</definedName>
    <definedName name="ttest2" localSheetId="6" hidden="1">{"Results",#N/A,FALSE,"Results"}</definedName>
    <definedName name="ttest2" hidden="1">{"Results",#N/A,FALSE,"Results"}</definedName>
    <definedName name="TTL" localSheetId="6" hidden="1">{"'매출'!$A$1:$I$22"}</definedName>
    <definedName name="TTL" hidden="1">{"'매출'!$A$1:$I$22"}</definedName>
    <definedName name="TTR">#REF!</definedName>
    <definedName name="ttrnrtntr" localSheetId="0" hidden="1">{#N/A,#N/A,FALSE,"Assessment";#N/A,#N/A,FALSE,"Staffing";#N/A,#N/A,FALSE,"Hires";#N/A,#N/A,FALSE,"Assumptions"}</definedName>
    <definedName name="ttrnrtntr" localSheetId="6" hidden="1">{#N/A,#N/A,FALSE,"Assessment";#N/A,#N/A,FALSE,"Staffing";#N/A,#N/A,FALSE,"Hires";#N/A,#N/A,FALSE,"Assumptions"}</definedName>
    <definedName name="ttrnrtntr" hidden="1">{#N/A,#N/A,FALSE,"Assessment";#N/A,#N/A,FALSE,"Staffing";#N/A,#N/A,FALSE,"Hires";#N/A,#N/A,FALSE,"Assumptions"}</definedName>
    <definedName name="ttrnrtntr_1" localSheetId="0" hidden="1">{#N/A,#N/A,FALSE,"Assessment";#N/A,#N/A,FALSE,"Staffing";#N/A,#N/A,FALSE,"Hires";#N/A,#N/A,FALSE,"Assumptions"}</definedName>
    <definedName name="ttrnrtntr_1" localSheetId="6" hidden="1">{#N/A,#N/A,FALSE,"Assessment";#N/A,#N/A,FALSE,"Staffing";#N/A,#N/A,FALSE,"Hires";#N/A,#N/A,FALSE,"Assumptions"}</definedName>
    <definedName name="ttrnrtntr_1" hidden="1">{#N/A,#N/A,FALSE,"Assessment";#N/A,#N/A,FALSE,"Staffing";#N/A,#N/A,FALSE,"Hires";#N/A,#N/A,FALSE,"Assumptions"}</definedName>
    <definedName name="ttt" localSheetId="6" hidden="1">{#N/A,#N/A,FALSE,"summ";#N/A,#N/A,FALSE,"q1";#N/A,#N/A,FALSE,"summ_alt";#N/A,#N/A,FALSE,"stock_nozero";#N/A,#N/A,FALSE,"1995"}</definedName>
    <definedName name="ttt" hidden="1">{#N/A,#N/A,FALSE,"summ";#N/A,#N/A,FALSE,"q1";#N/A,#N/A,FALSE,"summ_alt";#N/A,#N/A,FALSE,"stock_nozero";#N/A,#N/A,FALSE,"1995"}</definedName>
    <definedName name="tttg" localSheetId="6" hidden="1">{"'매출'!$A$1:$I$22"}</definedName>
    <definedName name="tttg" hidden="1">{"'매출'!$A$1:$I$22"}</definedName>
    <definedName name="tttt" localSheetId="0" hidden="1">{#N/A,#N/A,FALSE,"Produkte Erw.";#N/A,#N/A,FALSE,"Produkte Plan";#N/A,#N/A,FALSE,"Leistungen Erw.";#N/A,#N/A,FALSE,"Leistungen Plan";#N/A,#N/A,FALSE,"KA Allg.Kosten (2)";#N/A,#N/A,FALSE,"KA All.Kosten"}</definedName>
    <definedName name="tttt" localSheetId="6" hidden="1">{#N/A,#N/A,FALSE,"Produkte Erw.";#N/A,#N/A,FALSE,"Produkte Plan";#N/A,#N/A,FALSE,"Leistungen Erw.";#N/A,#N/A,FALSE,"Leistungen Plan";#N/A,#N/A,FALSE,"KA Allg.Kosten (2)";#N/A,#N/A,FALSE,"KA All.Kosten"}</definedName>
    <definedName name="tttt" hidden="1">{#N/A,#N/A,FALSE,"Produkte Erw.";#N/A,#N/A,FALSE,"Produkte Plan";#N/A,#N/A,FALSE,"Leistungen Erw.";#N/A,#N/A,FALSE,"Leistungen Plan";#N/A,#N/A,FALSE,"KA Allg.Kosten (2)";#N/A,#N/A,FALSE,"KA All.Kosten"}</definedName>
    <definedName name="tttt_1" localSheetId="0" hidden="1">{#N/A,#N/A,FALSE,"Produkte Erw.";#N/A,#N/A,FALSE,"Produkte Plan";#N/A,#N/A,FALSE,"Leistungen Erw.";#N/A,#N/A,FALSE,"Leistungen Plan";#N/A,#N/A,FALSE,"KA Allg.Kosten (2)";#N/A,#N/A,FALSE,"KA All.Kosten"}</definedName>
    <definedName name="tttt_1" localSheetId="6" hidden="1">{#N/A,#N/A,FALSE,"Produkte Erw.";#N/A,#N/A,FALSE,"Produkte Plan";#N/A,#N/A,FALSE,"Leistungen Erw.";#N/A,#N/A,FALSE,"Leistungen Plan";#N/A,#N/A,FALSE,"KA Allg.Kosten (2)";#N/A,#N/A,FALSE,"KA All.Kosten"}</definedName>
    <definedName name="tttt_1" hidden="1">{#N/A,#N/A,FALSE,"Produkte Erw.";#N/A,#N/A,FALSE,"Produkte Plan";#N/A,#N/A,FALSE,"Leistungen Erw.";#N/A,#N/A,FALSE,"Leistungen Plan";#N/A,#N/A,FALSE,"KA Allg.Kosten (2)";#N/A,#N/A,FALSE,"KA All.Kosten"}</definedName>
    <definedName name="tttt_1_1" localSheetId="0" hidden="1">{#N/A,#N/A,FALSE,"Produkte Erw.";#N/A,#N/A,FALSE,"Produkte Plan";#N/A,#N/A,FALSE,"Leistungen Erw.";#N/A,#N/A,FALSE,"Leistungen Plan";#N/A,#N/A,FALSE,"KA Allg.Kosten (2)";#N/A,#N/A,FALSE,"KA All.Kosten"}</definedName>
    <definedName name="tttt_1_1" localSheetId="6" hidden="1">{#N/A,#N/A,FALSE,"Produkte Erw.";#N/A,#N/A,FALSE,"Produkte Plan";#N/A,#N/A,FALSE,"Leistungen Erw.";#N/A,#N/A,FALSE,"Leistungen Plan";#N/A,#N/A,FALSE,"KA Allg.Kosten (2)";#N/A,#N/A,FALSE,"KA All.Kosten"}</definedName>
    <definedName name="tttt_1_1" hidden="1">{#N/A,#N/A,FALSE,"Produkte Erw.";#N/A,#N/A,FALSE,"Produkte Plan";#N/A,#N/A,FALSE,"Leistungen Erw.";#N/A,#N/A,FALSE,"Leistungen Plan";#N/A,#N/A,FALSE,"KA Allg.Kosten (2)";#N/A,#N/A,FALSE,"KA All.Kosten"}</definedName>
    <definedName name="tttt_2" localSheetId="0" hidden="1">{#N/A,#N/A,FALSE,"Produkte Erw.";#N/A,#N/A,FALSE,"Produkte Plan";#N/A,#N/A,FALSE,"Leistungen Erw.";#N/A,#N/A,FALSE,"Leistungen Plan";#N/A,#N/A,FALSE,"KA Allg.Kosten (2)";#N/A,#N/A,FALSE,"KA All.Kosten"}</definedName>
    <definedName name="tttt_2" localSheetId="6" hidden="1">{#N/A,#N/A,FALSE,"Produkte Erw.";#N/A,#N/A,FALSE,"Produkte Plan";#N/A,#N/A,FALSE,"Leistungen Erw.";#N/A,#N/A,FALSE,"Leistungen Plan";#N/A,#N/A,FALSE,"KA Allg.Kosten (2)";#N/A,#N/A,FALSE,"KA All.Kosten"}</definedName>
    <definedName name="tttt_2" hidden="1">{#N/A,#N/A,FALSE,"Produkte Erw.";#N/A,#N/A,FALSE,"Produkte Plan";#N/A,#N/A,FALSE,"Leistungen Erw.";#N/A,#N/A,FALSE,"Leistungen Plan";#N/A,#N/A,FALSE,"KA Allg.Kosten (2)";#N/A,#N/A,FALSE,"KA All.Kosten"}</definedName>
    <definedName name="tttt_3" localSheetId="0" hidden="1">{#N/A,#N/A,FALSE,"Produkte Erw.";#N/A,#N/A,FALSE,"Produkte Plan";#N/A,#N/A,FALSE,"Leistungen Erw.";#N/A,#N/A,FALSE,"Leistungen Plan";#N/A,#N/A,FALSE,"KA Allg.Kosten (2)";#N/A,#N/A,FALSE,"KA All.Kosten"}</definedName>
    <definedName name="tttt_3" localSheetId="6" hidden="1">{#N/A,#N/A,FALSE,"Produkte Erw.";#N/A,#N/A,FALSE,"Produkte Plan";#N/A,#N/A,FALSE,"Leistungen Erw.";#N/A,#N/A,FALSE,"Leistungen Plan";#N/A,#N/A,FALSE,"KA Allg.Kosten (2)";#N/A,#N/A,FALSE,"KA All.Kosten"}</definedName>
    <definedName name="tttt_3" hidden="1">{#N/A,#N/A,FALSE,"Produkte Erw.";#N/A,#N/A,FALSE,"Produkte Plan";#N/A,#N/A,FALSE,"Leistungen Erw.";#N/A,#N/A,FALSE,"Leistungen Plan";#N/A,#N/A,FALSE,"KA Allg.Kosten (2)";#N/A,#N/A,FALSE,"KA All.Kosten"}</definedName>
    <definedName name="tttt_4" localSheetId="0" hidden="1">{#N/A,#N/A,FALSE,"Produkte Erw.";#N/A,#N/A,FALSE,"Produkte Plan";#N/A,#N/A,FALSE,"Leistungen Erw.";#N/A,#N/A,FALSE,"Leistungen Plan";#N/A,#N/A,FALSE,"KA Allg.Kosten (2)";#N/A,#N/A,FALSE,"KA All.Kosten"}</definedName>
    <definedName name="tttt_4" localSheetId="6" hidden="1">{#N/A,#N/A,FALSE,"Produkte Erw.";#N/A,#N/A,FALSE,"Produkte Plan";#N/A,#N/A,FALSE,"Leistungen Erw.";#N/A,#N/A,FALSE,"Leistungen Plan";#N/A,#N/A,FALSE,"KA Allg.Kosten (2)";#N/A,#N/A,FALSE,"KA All.Kosten"}</definedName>
    <definedName name="tttt_4" hidden="1">{#N/A,#N/A,FALSE,"Produkte Erw.";#N/A,#N/A,FALSE,"Produkte Plan";#N/A,#N/A,FALSE,"Leistungen Erw.";#N/A,#N/A,FALSE,"Leistungen Plan";#N/A,#N/A,FALSE,"KA Allg.Kosten (2)";#N/A,#N/A,FALSE,"KA All.Kosten"}</definedName>
    <definedName name="tttt_5" localSheetId="0" hidden="1">{#N/A,#N/A,FALSE,"Produkte Erw.";#N/A,#N/A,FALSE,"Produkte Plan";#N/A,#N/A,FALSE,"Leistungen Erw.";#N/A,#N/A,FALSE,"Leistungen Plan";#N/A,#N/A,FALSE,"KA Allg.Kosten (2)";#N/A,#N/A,FALSE,"KA All.Kosten"}</definedName>
    <definedName name="tttt_5" localSheetId="6" hidden="1">{#N/A,#N/A,FALSE,"Produkte Erw.";#N/A,#N/A,FALSE,"Produkte Plan";#N/A,#N/A,FALSE,"Leistungen Erw.";#N/A,#N/A,FALSE,"Leistungen Plan";#N/A,#N/A,FALSE,"KA Allg.Kosten (2)";#N/A,#N/A,FALSE,"KA All.Kosten"}</definedName>
    <definedName name="tttt_5" hidden="1">{#N/A,#N/A,FALSE,"Produkte Erw.";#N/A,#N/A,FALSE,"Produkte Plan";#N/A,#N/A,FALSE,"Leistungen Erw.";#N/A,#N/A,FALSE,"Leistungen Plan";#N/A,#N/A,FALSE,"KA Allg.Kosten (2)";#N/A,#N/A,FALSE,"KA All.Kosten"}</definedName>
    <definedName name="tttt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ttt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ttt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tttt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tttt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tttt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TTTTTT"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TTTTTTT"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tttttttttttttttttttt" localSheetId="0" hidden="1">{"DJH3",#N/A,FALSE,"PFL00805";"PJB3",#N/A,FALSE,"PFL00805";"JMD3",#N/A,FALSE,"PFL00805";"DNB3",#N/A,FALSE,"PFL00805";"MJP3",#N/A,FALSE,"PFL00805";"RAB3",#N/A,FALSE,"PFL00805";"GJW3",#N/A,FALSE,"PFL00805";"MASTER3",#N/A,FALSE,"PFL00805"}</definedName>
    <definedName name="tttttttttttttttttttt" localSheetId="6" hidden="1">{"DJH3",#N/A,FALSE,"PFL00805";"PJB3",#N/A,FALSE,"PFL00805";"JMD3",#N/A,FALSE,"PFL00805";"DNB3",#N/A,FALSE,"PFL00805";"MJP3",#N/A,FALSE,"PFL00805";"RAB3",#N/A,FALSE,"PFL00805";"GJW3",#N/A,FALSE,"PFL00805";"MASTER3",#N/A,FALSE,"PFL00805"}</definedName>
    <definedName name="tttttttttttttttttttt" hidden="1">{"DJH3",#N/A,FALSE,"PFL00805";"PJB3",#N/A,FALSE,"PFL00805";"JMD3",#N/A,FALSE,"PFL00805";"DNB3",#N/A,FALSE,"PFL00805";"MJP3",#N/A,FALSE,"PFL00805";"RAB3",#N/A,FALSE,"PFL00805";"GJW3",#N/A,FALSE,"PFL00805";"MASTER3",#N/A,FALSE,"PFL00805"}</definedName>
    <definedName name="tttttttttttttttttttt_1" localSheetId="0" hidden="1">{"DJH3",#N/A,FALSE,"PFL00805";"PJB3",#N/A,FALSE,"PFL00805";"JMD3",#N/A,FALSE,"PFL00805";"DNB3",#N/A,FALSE,"PFL00805";"MJP3",#N/A,FALSE,"PFL00805";"RAB3",#N/A,FALSE,"PFL00805";"GJW3",#N/A,FALSE,"PFL00805";"MASTER3",#N/A,FALSE,"PFL00805"}</definedName>
    <definedName name="tttttttttttttttttttt_1" localSheetId="6" hidden="1">{"DJH3",#N/A,FALSE,"PFL00805";"PJB3",#N/A,FALSE,"PFL00805";"JMD3",#N/A,FALSE,"PFL00805";"DNB3",#N/A,FALSE,"PFL00805";"MJP3",#N/A,FALSE,"PFL00805";"RAB3",#N/A,FALSE,"PFL00805";"GJW3",#N/A,FALSE,"PFL00805";"MASTER3",#N/A,FALSE,"PFL00805"}</definedName>
    <definedName name="tttttttttttttttttttt_1" hidden="1">{"DJH3",#N/A,FALSE,"PFL00805";"PJB3",#N/A,FALSE,"PFL00805";"JMD3",#N/A,FALSE,"PFL00805";"DNB3",#N/A,FALSE,"PFL00805";"MJP3",#N/A,FALSE,"PFL00805";"RAB3",#N/A,FALSE,"PFL00805";"GJW3",#N/A,FALSE,"PFL00805";"MASTER3",#N/A,FALSE,"PFL00805"}</definedName>
    <definedName name="TTTTTTTTTTTTTTTTTTTTTT" hidden="1">#REF!</definedName>
    <definedName name="TTTTTTTTTTTTTTTTTTTTTTTTTTTTTTTT" hidden="1">#REF!</definedName>
    <definedName name="ttzz" localSheetId="0" hidden="1">{#N/A,#N/A,FALSE,"Umsatz CH";#N/A,#N/A,FALSE,"ER CH";#N/A,#N/A,FALSE,"EA CH (2) ";#N/A,#N/A,FALSE,"EA CH";#N/A,#N/A,FALSE,"EA CH (3) ";#N/A,#N/A,FALSE,"EA CH (4)";#N/A,#N/A,FALSE,"KA CH";#N/A,#N/A,FALSE,"KA CH  (2)";#N/A,#N/A,FALSE,"KA CH  (3)";#N/A,#N/A,FALSE,"KA CH (4)"}</definedName>
    <definedName name="ttzz" localSheetId="6" hidden="1">{#N/A,#N/A,FALSE,"Umsatz CH";#N/A,#N/A,FALSE,"ER CH";#N/A,#N/A,FALSE,"EA CH (2) ";#N/A,#N/A,FALSE,"EA CH";#N/A,#N/A,FALSE,"EA CH (3) ";#N/A,#N/A,FALSE,"EA CH (4)";#N/A,#N/A,FALSE,"KA CH";#N/A,#N/A,FALSE,"KA CH  (2)";#N/A,#N/A,FALSE,"KA CH  (3)";#N/A,#N/A,FALSE,"KA CH (4)"}</definedName>
    <definedName name="ttzz" hidden="1">{#N/A,#N/A,FALSE,"Umsatz CH";#N/A,#N/A,FALSE,"ER CH";#N/A,#N/A,FALSE,"EA CH (2) ";#N/A,#N/A,FALSE,"EA CH";#N/A,#N/A,FALSE,"EA CH (3) ";#N/A,#N/A,FALSE,"EA CH (4)";#N/A,#N/A,FALSE,"KA CH";#N/A,#N/A,FALSE,"KA CH  (2)";#N/A,#N/A,FALSE,"KA CH  (3)";#N/A,#N/A,FALSE,"KA CH (4)"}</definedName>
    <definedName name="ttzz_1" localSheetId="0" hidden="1">{#N/A,#N/A,FALSE,"Umsatz CH";#N/A,#N/A,FALSE,"ER CH";#N/A,#N/A,FALSE,"EA CH (2) ";#N/A,#N/A,FALSE,"EA CH";#N/A,#N/A,FALSE,"EA CH (3) ";#N/A,#N/A,FALSE,"EA CH (4)";#N/A,#N/A,FALSE,"KA CH";#N/A,#N/A,FALSE,"KA CH  (2)";#N/A,#N/A,FALSE,"KA CH  (3)";#N/A,#N/A,FALSE,"KA CH (4)"}</definedName>
    <definedName name="ttzz_1" localSheetId="6" hidden="1">{#N/A,#N/A,FALSE,"Umsatz CH";#N/A,#N/A,FALSE,"ER CH";#N/A,#N/A,FALSE,"EA CH (2) ";#N/A,#N/A,FALSE,"EA CH";#N/A,#N/A,FALSE,"EA CH (3) ";#N/A,#N/A,FALSE,"EA CH (4)";#N/A,#N/A,FALSE,"KA CH";#N/A,#N/A,FALSE,"KA CH  (2)";#N/A,#N/A,FALSE,"KA CH  (3)";#N/A,#N/A,FALSE,"KA CH (4)"}</definedName>
    <definedName name="ttzz_1" hidden="1">{#N/A,#N/A,FALSE,"Umsatz CH";#N/A,#N/A,FALSE,"ER CH";#N/A,#N/A,FALSE,"EA CH (2) ";#N/A,#N/A,FALSE,"EA CH";#N/A,#N/A,FALSE,"EA CH (3) ";#N/A,#N/A,FALSE,"EA CH (4)";#N/A,#N/A,FALSE,"KA CH";#N/A,#N/A,FALSE,"KA CH  (2)";#N/A,#N/A,FALSE,"KA CH  (3)";#N/A,#N/A,FALSE,"KA CH (4)"}</definedName>
    <definedName name="ttzz_1_1" localSheetId="0" hidden="1">{#N/A,#N/A,FALSE,"Umsatz CH";#N/A,#N/A,FALSE,"ER CH";#N/A,#N/A,FALSE,"EA CH (2) ";#N/A,#N/A,FALSE,"EA CH";#N/A,#N/A,FALSE,"EA CH (3) ";#N/A,#N/A,FALSE,"EA CH (4)";#N/A,#N/A,FALSE,"KA CH";#N/A,#N/A,FALSE,"KA CH  (2)";#N/A,#N/A,FALSE,"KA CH  (3)";#N/A,#N/A,FALSE,"KA CH (4)"}</definedName>
    <definedName name="ttzz_1_1" localSheetId="6" hidden="1">{#N/A,#N/A,FALSE,"Umsatz CH";#N/A,#N/A,FALSE,"ER CH";#N/A,#N/A,FALSE,"EA CH (2) ";#N/A,#N/A,FALSE,"EA CH";#N/A,#N/A,FALSE,"EA CH (3) ";#N/A,#N/A,FALSE,"EA CH (4)";#N/A,#N/A,FALSE,"KA CH";#N/A,#N/A,FALSE,"KA CH  (2)";#N/A,#N/A,FALSE,"KA CH  (3)";#N/A,#N/A,FALSE,"KA CH (4)"}</definedName>
    <definedName name="ttzz_1_1" hidden="1">{#N/A,#N/A,FALSE,"Umsatz CH";#N/A,#N/A,FALSE,"ER CH";#N/A,#N/A,FALSE,"EA CH (2) ";#N/A,#N/A,FALSE,"EA CH";#N/A,#N/A,FALSE,"EA CH (3) ";#N/A,#N/A,FALSE,"EA CH (4)";#N/A,#N/A,FALSE,"KA CH";#N/A,#N/A,FALSE,"KA CH  (2)";#N/A,#N/A,FALSE,"KA CH  (3)";#N/A,#N/A,FALSE,"KA CH (4)"}</definedName>
    <definedName name="ttzz_2" localSheetId="0" hidden="1">{#N/A,#N/A,FALSE,"Umsatz CH";#N/A,#N/A,FALSE,"ER CH";#N/A,#N/A,FALSE,"EA CH (2) ";#N/A,#N/A,FALSE,"EA CH";#N/A,#N/A,FALSE,"EA CH (3) ";#N/A,#N/A,FALSE,"EA CH (4)";#N/A,#N/A,FALSE,"KA CH";#N/A,#N/A,FALSE,"KA CH  (2)";#N/A,#N/A,FALSE,"KA CH  (3)";#N/A,#N/A,FALSE,"KA CH (4)"}</definedName>
    <definedName name="ttzz_2" localSheetId="6" hidden="1">{#N/A,#N/A,FALSE,"Umsatz CH";#N/A,#N/A,FALSE,"ER CH";#N/A,#N/A,FALSE,"EA CH (2) ";#N/A,#N/A,FALSE,"EA CH";#N/A,#N/A,FALSE,"EA CH (3) ";#N/A,#N/A,FALSE,"EA CH (4)";#N/A,#N/A,FALSE,"KA CH";#N/A,#N/A,FALSE,"KA CH  (2)";#N/A,#N/A,FALSE,"KA CH  (3)";#N/A,#N/A,FALSE,"KA CH (4)"}</definedName>
    <definedName name="ttzz_2" hidden="1">{#N/A,#N/A,FALSE,"Umsatz CH";#N/A,#N/A,FALSE,"ER CH";#N/A,#N/A,FALSE,"EA CH (2) ";#N/A,#N/A,FALSE,"EA CH";#N/A,#N/A,FALSE,"EA CH (3) ";#N/A,#N/A,FALSE,"EA CH (4)";#N/A,#N/A,FALSE,"KA CH";#N/A,#N/A,FALSE,"KA CH  (2)";#N/A,#N/A,FALSE,"KA CH  (3)";#N/A,#N/A,FALSE,"KA CH (4)"}</definedName>
    <definedName name="ttzz_3" localSheetId="0" hidden="1">{#N/A,#N/A,FALSE,"Umsatz CH";#N/A,#N/A,FALSE,"ER CH";#N/A,#N/A,FALSE,"EA CH (2) ";#N/A,#N/A,FALSE,"EA CH";#N/A,#N/A,FALSE,"EA CH (3) ";#N/A,#N/A,FALSE,"EA CH (4)";#N/A,#N/A,FALSE,"KA CH";#N/A,#N/A,FALSE,"KA CH  (2)";#N/A,#N/A,FALSE,"KA CH  (3)";#N/A,#N/A,FALSE,"KA CH (4)"}</definedName>
    <definedName name="ttzz_3" localSheetId="6" hidden="1">{#N/A,#N/A,FALSE,"Umsatz CH";#N/A,#N/A,FALSE,"ER CH";#N/A,#N/A,FALSE,"EA CH (2) ";#N/A,#N/A,FALSE,"EA CH";#N/A,#N/A,FALSE,"EA CH (3) ";#N/A,#N/A,FALSE,"EA CH (4)";#N/A,#N/A,FALSE,"KA CH";#N/A,#N/A,FALSE,"KA CH  (2)";#N/A,#N/A,FALSE,"KA CH  (3)";#N/A,#N/A,FALSE,"KA CH (4)"}</definedName>
    <definedName name="ttzz_3" hidden="1">{#N/A,#N/A,FALSE,"Umsatz CH";#N/A,#N/A,FALSE,"ER CH";#N/A,#N/A,FALSE,"EA CH (2) ";#N/A,#N/A,FALSE,"EA CH";#N/A,#N/A,FALSE,"EA CH (3) ";#N/A,#N/A,FALSE,"EA CH (4)";#N/A,#N/A,FALSE,"KA CH";#N/A,#N/A,FALSE,"KA CH  (2)";#N/A,#N/A,FALSE,"KA CH  (3)";#N/A,#N/A,FALSE,"KA CH (4)"}</definedName>
    <definedName name="ttzz_4" localSheetId="0" hidden="1">{#N/A,#N/A,FALSE,"Umsatz CH";#N/A,#N/A,FALSE,"ER CH";#N/A,#N/A,FALSE,"EA CH (2) ";#N/A,#N/A,FALSE,"EA CH";#N/A,#N/A,FALSE,"EA CH (3) ";#N/A,#N/A,FALSE,"EA CH (4)";#N/A,#N/A,FALSE,"KA CH";#N/A,#N/A,FALSE,"KA CH  (2)";#N/A,#N/A,FALSE,"KA CH  (3)";#N/A,#N/A,FALSE,"KA CH (4)"}</definedName>
    <definedName name="ttzz_4" localSheetId="6" hidden="1">{#N/A,#N/A,FALSE,"Umsatz CH";#N/A,#N/A,FALSE,"ER CH";#N/A,#N/A,FALSE,"EA CH (2) ";#N/A,#N/A,FALSE,"EA CH";#N/A,#N/A,FALSE,"EA CH (3) ";#N/A,#N/A,FALSE,"EA CH (4)";#N/A,#N/A,FALSE,"KA CH";#N/A,#N/A,FALSE,"KA CH  (2)";#N/A,#N/A,FALSE,"KA CH  (3)";#N/A,#N/A,FALSE,"KA CH (4)"}</definedName>
    <definedName name="ttzz_4" hidden="1">{#N/A,#N/A,FALSE,"Umsatz CH";#N/A,#N/A,FALSE,"ER CH";#N/A,#N/A,FALSE,"EA CH (2) ";#N/A,#N/A,FALSE,"EA CH";#N/A,#N/A,FALSE,"EA CH (3) ";#N/A,#N/A,FALSE,"EA CH (4)";#N/A,#N/A,FALSE,"KA CH";#N/A,#N/A,FALSE,"KA CH  (2)";#N/A,#N/A,FALSE,"KA CH  (3)";#N/A,#N/A,FALSE,"KA CH (4)"}</definedName>
    <definedName name="ttzz_5" localSheetId="0" hidden="1">{#N/A,#N/A,FALSE,"Umsatz CH";#N/A,#N/A,FALSE,"ER CH";#N/A,#N/A,FALSE,"EA CH (2) ";#N/A,#N/A,FALSE,"EA CH";#N/A,#N/A,FALSE,"EA CH (3) ";#N/A,#N/A,FALSE,"EA CH (4)";#N/A,#N/A,FALSE,"KA CH";#N/A,#N/A,FALSE,"KA CH  (2)";#N/A,#N/A,FALSE,"KA CH  (3)";#N/A,#N/A,FALSE,"KA CH (4)"}</definedName>
    <definedName name="ttzz_5" localSheetId="6" hidden="1">{#N/A,#N/A,FALSE,"Umsatz CH";#N/A,#N/A,FALSE,"ER CH";#N/A,#N/A,FALSE,"EA CH (2) ";#N/A,#N/A,FALSE,"EA CH";#N/A,#N/A,FALSE,"EA CH (3) ";#N/A,#N/A,FALSE,"EA CH (4)";#N/A,#N/A,FALSE,"KA CH";#N/A,#N/A,FALSE,"KA CH  (2)";#N/A,#N/A,FALSE,"KA CH  (3)";#N/A,#N/A,FALSE,"KA CH (4)"}</definedName>
    <definedName name="ttzz_5" hidden="1">{#N/A,#N/A,FALSE,"Umsatz CH";#N/A,#N/A,FALSE,"ER CH";#N/A,#N/A,FALSE,"EA CH (2) ";#N/A,#N/A,FALSE,"EA CH";#N/A,#N/A,FALSE,"EA CH (3) ";#N/A,#N/A,FALSE,"EA CH (4)";#N/A,#N/A,FALSE,"KA CH";#N/A,#N/A,FALSE,"KA CH  (2)";#N/A,#N/A,FALSE,"KA CH  (3)";#N/A,#N/A,FALSE,"KA CH (4)"}</definedName>
    <definedName name="tues" localSheetId="0" hidden="1">{"Income",#N/A,FALSE,"income";"Sales",#N/A,FALSE,"income";"Critical",#N/A,FALSE,"income";"Market",#N/A,FALSE,"Market";"Returns",#N/A,FALSE,"returns";"Balance",#N/A,FALSE,"balance";"Cash Flow",#N/A,FALSE,"balance"}</definedName>
    <definedName name="tues" localSheetId="6" hidden="1">{"Income",#N/A,FALSE,"income";"Sales",#N/A,FALSE,"income";"Critical",#N/A,FALSE,"income";"Market",#N/A,FALSE,"Market";"Returns",#N/A,FALSE,"returns";"Balance",#N/A,FALSE,"balance";"Cash Flow",#N/A,FALSE,"balance"}</definedName>
    <definedName name="tues" hidden="1">{"Income",#N/A,FALSE,"income";"Sales",#N/A,FALSE,"income";"Critical",#N/A,FALSE,"income";"Market",#N/A,FALSE,"Market";"Returns",#N/A,FALSE,"returns";"Balance",#N/A,FALSE,"balance";"Cash Flow",#N/A,FALSE,"balance"}</definedName>
    <definedName name="tui" localSheetId="6" hidden="1">{#N/A,#N/A,TRUE,"Cover";#N/A,#N/A,TRUE,"Conts";#N/A,#N/A,TRUE,"VOS";#N/A,#N/A,TRUE,"Warrington";#N/A,#N/A,TRUE,"Widnes"}</definedName>
    <definedName name="tui" hidden="1">{#N/A,#N/A,TRUE,"Cover";#N/A,#N/A,TRUE,"Conts";#N/A,#N/A,TRUE,"VOS";#N/A,#N/A,TRUE,"Warrington";#N/A,#N/A,TRUE,"Widnes"}</definedName>
    <definedName name="tui_1" localSheetId="6" hidden="1">{#N/A,#N/A,TRUE,"Cover";#N/A,#N/A,TRUE,"Conts";#N/A,#N/A,TRUE,"VOS";#N/A,#N/A,TRUE,"Warrington";#N/A,#N/A,TRUE,"Widnes"}</definedName>
    <definedName name="tui_1" hidden="1">{#N/A,#N/A,TRUE,"Cover";#N/A,#N/A,TRUE,"Conts";#N/A,#N/A,TRUE,"VOS";#N/A,#N/A,TRUE,"Warrington";#N/A,#N/A,TRUE,"Widnes"}</definedName>
    <definedName name="tuld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uld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uld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ull" localSheetId="6" hidden="1">{"Charts1",#N/A,FALSE,"Charts1";"Charts2",#N/A,FALSE,"Charts2"}</definedName>
    <definedName name="tull" hidden="1">{"Charts1",#N/A,FALSE,"Charts1";"Charts2",#N/A,FALSE,"Charts2"}</definedName>
    <definedName name="tull1" localSheetId="6" hidden="1">{"Charts1",#N/A,FALSE,"Charts1";"Charts2",#N/A,FALSE,"Charts2"}</definedName>
    <definedName name="tull1" hidden="1">{"Charts1",#N/A,FALSE,"Charts1";"Charts2",#N/A,FALSE,"Charts2"}</definedName>
    <definedName name="tull2" localSheetId="6" hidden="1">{"Charts1",#N/A,FALSE,"Charts1";"Charts2",#N/A,FALSE,"Charts2"}</definedName>
    <definedName name="tull2" hidden="1">{"Charts1",#N/A,FALSE,"Charts1";"Charts2",#N/A,FALSE,"Charts2"}</definedName>
    <definedName name="tulsy"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ulsy"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ulsy"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urkey">#REF!</definedName>
    <definedName name="TurkeyBS">#REF!</definedName>
    <definedName name="turr">#REF!</definedName>
    <definedName name="TUSES" hidden="1">#REF!</definedName>
    <definedName name="tut" localSheetId="6" hidden="1">{#N/A,#N/A,TRUE,"ProFormaProfit";#N/A,#N/A,TRUE,"ProFormaCash";#N/A,#N/A,TRUE,"Depreciation";#N/A,#N/A,TRUE,"Assets";#N/A,#N/A,TRUE,"Revenue";#N/A,#N/A,TRUE,"EstimatedPurchase"}</definedName>
    <definedName name="tut" hidden="1">{#N/A,#N/A,TRUE,"ProFormaProfit";#N/A,#N/A,TRUE,"ProFormaCash";#N/A,#N/A,TRUE,"Depreciation";#N/A,#N/A,TRUE,"Assets";#N/A,#N/A,TRUE,"Revenue";#N/A,#N/A,TRUE,"EstimatedPurchase"}</definedName>
    <definedName name="tv">#REF!</definedName>
    <definedName name="TV_CGM">#REF!</definedName>
    <definedName name="TV_EBIT">#REF!</definedName>
    <definedName name="TV_EBITDA">#REF!</definedName>
    <definedName name="TV_PE_Multiple_INR">#REF!</definedName>
    <definedName name="TV_Stable_Growth_INR">#REF!</definedName>
    <definedName name="twertert" localSheetId="0" hidden="1">{#N/A,#N/A,FALSE,"COMP"}</definedName>
    <definedName name="twertert" localSheetId="6" hidden="1">{#N/A,#N/A,FALSE,"COMP"}</definedName>
    <definedName name="twertert" hidden="1">{#N/A,#N/A,FALSE,"COMP"}</definedName>
    <definedName name="TXXXXXXXXXXXXXXXXXXXXXXXXXXXX" hidden="1">#REF!</definedName>
    <definedName name="ty" localSheetId="0" hidden="1">{#N/A,#N/A,TRUE,"Cover sheet";#N/A,#N/A,TRUE,"Summary";#N/A,#N/A,TRUE,"Key Assumptions";#N/A,#N/A,TRUE,"Profit &amp; Loss";#N/A,#N/A,TRUE,"Balance Sheet";#N/A,#N/A,TRUE,"Cashflow";#N/A,#N/A,TRUE,"IRR";#N/A,#N/A,TRUE,"Ratios";#N/A,#N/A,TRUE,"Debt analysis"}</definedName>
    <definedName name="ty" localSheetId="6" hidden="1">{#N/A,#N/A,TRUE,"Cover sheet";#N/A,#N/A,TRUE,"Summary";#N/A,#N/A,TRUE,"Key Assumptions";#N/A,#N/A,TRUE,"Profit &amp; Loss";#N/A,#N/A,TRUE,"Balance Sheet";#N/A,#N/A,TRUE,"Cashflow";#N/A,#N/A,TRUE,"IRR";#N/A,#N/A,TRUE,"Ratios";#N/A,#N/A,TRUE,"Debt analysis"}</definedName>
    <definedName name="ty" hidden="1">{#N/A,#N/A,TRUE,"Cover sheet";#N/A,#N/A,TRUE,"Summary";#N/A,#N/A,TRUE,"Key Assumptions";#N/A,#N/A,TRUE,"Profit &amp; Loss";#N/A,#N/A,TRUE,"Balance Sheet";#N/A,#N/A,TRUE,"Cashflow";#N/A,#N/A,TRUE,"IRR";#N/A,#N/A,TRUE,"Ratios";#N/A,#N/A,TRUE,"Debt analysis"}</definedName>
    <definedName name="ty_1" localSheetId="6" hidden="1">{#N/A,#N/A,TRUE,"Cover";#N/A,#N/A,TRUE,"Conts";#N/A,#N/A,TRUE,"VOS";#N/A,#N/A,TRUE,"Warrington";#N/A,#N/A,TRUE,"Widnes"}</definedName>
    <definedName name="ty_1" hidden="1">{#N/A,#N/A,TRUE,"Cover";#N/A,#N/A,TRUE,"Conts";#N/A,#N/A,TRUE,"VOS";#N/A,#N/A,TRUE,"Warrington";#N/A,#N/A,TRUE,"Widnes"}</definedName>
    <definedName name="tyfo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yfo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yfo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TYPE"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TYPE"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TYPE"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TYTD">#REF!</definedName>
    <definedName name="tyu" localSheetId="0" hidden="1">{"consolidated",#N/A,FALSE,"Sheet1";"cms",#N/A,FALSE,"Sheet1";"fse",#N/A,FALSE,"Sheet1"}</definedName>
    <definedName name="tyu" localSheetId="6" hidden="1">{"consolidated",#N/A,FALSE,"Sheet1";"cms",#N/A,FALSE,"Sheet1";"fse",#N/A,FALSE,"Sheet1"}</definedName>
    <definedName name="tyu" hidden="1">{"consolidated",#N/A,FALSE,"Sheet1";"cms",#N/A,FALSE,"Sheet1";"fse",#N/A,FALSE,"Sheet1"}</definedName>
    <definedName name="tyutytyi" localSheetId="0" hidden="1">{#N/A,#N/A,FALSE,"Pharm";#N/A,#N/A,FALSE,"WWCM"}</definedName>
    <definedName name="tyutytyi" localSheetId="6" hidden="1">{#N/A,#N/A,FALSE,"Pharm";#N/A,#N/A,FALSE,"WWCM"}</definedName>
    <definedName name="tyutytyi" hidden="1">{#N/A,#N/A,FALSE,"Pharm";#N/A,#N/A,FALSE,"WWCM"}</definedName>
    <definedName name="tyutytyi_1" localSheetId="0" hidden="1">{#N/A,#N/A,FALSE,"Pharm";#N/A,#N/A,FALSE,"WWCM"}</definedName>
    <definedName name="tyutytyi_1" localSheetId="6" hidden="1">{#N/A,#N/A,FALSE,"Pharm";#N/A,#N/A,FALSE,"WWCM"}</definedName>
    <definedName name="tyutytyi_1" hidden="1">{#N/A,#N/A,FALSE,"Pharm";#N/A,#N/A,FALSE,"WWCM"}</definedName>
    <definedName name="tyutytyi_1_1" localSheetId="0" hidden="1">{#N/A,#N/A,FALSE,"Pharm";#N/A,#N/A,FALSE,"WWCM"}</definedName>
    <definedName name="tyutytyi_1_1" localSheetId="6" hidden="1">{#N/A,#N/A,FALSE,"Pharm";#N/A,#N/A,FALSE,"WWCM"}</definedName>
    <definedName name="tyutytyi_1_1" hidden="1">{#N/A,#N/A,FALSE,"Pharm";#N/A,#N/A,FALSE,"WWCM"}</definedName>
    <definedName name="tyutytyi_2" localSheetId="0" hidden="1">{#N/A,#N/A,FALSE,"Pharm";#N/A,#N/A,FALSE,"WWCM"}</definedName>
    <definedName name="tyutytyi_2" localSheetId="6" hidden="1">{#N/A,#N/A,FALSE,"Pharm";#N/A,#N/A,FALSE,"WWCM"}</definedName>
    <definedName name="tyutytyi_2" hidden="1">{#N/A,#N/A,FALSE,"Pharm";#N/A,#N/A,FALSE,"WWCM"}</definedName>
    <definedName name="tyutytyi_3" localSheetId="0" hidden="1">{#N/A,#N/A,FALSE,"Pharm";#N/A,#N/A,FALSE,"WWCM"}</definedName>
    <definedName name="tyutytyi_3" localSheetId="6" hidden="1">{#N/A,#N/A,FALSE,"Pharm";#N/A,#N/A,FALSE,"WWCM"}</definedName>
    <definedName name="tyutytyi_3" hidden="1">{#N/A,#N/A,FALSE,"Pharm";#N/A,#N/A,FALSE,"WWCM"}</definedName>
    <definedName name="tyutytyi_4" localSheetId="0" hidden="1">{#N/A,#N/A,FALSE,"Pharm";#N/A,#N/A,FALSE,"WWCM"}</definedName>
    <definedName name="tyutytyi_4" localSheetId="6" hidden="1">{#N/A,#N/A,FALSE,"Pharm";#N/A,#N/A,FALSE,"WWCM"}</definedName>
    <definedName name="tyutytyi_4" hidden="1">{#N/A,#N/A,FALSE,"Pharm";#N/A,#N/A,FALSE,"WWCM"}</definedName>
    <definedName name="tyutytyi_5" localSheetId="0" hidden="1">{#N/A,#N/A,FALSE,"Pharm";#N/A,#N/A,FALSE,"WWCM"}</definedName>
    <definedName name="tyutytyi_5" localSheetId="6" hidden="1">{#N/A,#N/A,FALSE,"Pharm";#N/A,#N/A,FALSE,"WWCM"}</definedName>
    <definedName name="tyutytyi_5" hidden="1">{#N/A,#N/A,FALSE,"Pharm";#N/A,#N/A,FALSE,"WWCM"}</definedName>
    <definedName name="tyyufkjkhjd" localSheetId="0" hidden="1">{#N/A,#N/A,FALSE,"Pharm";#N/A,#N/A,FALSE,"WWCM"}</definedName>
    <definedName name="tyyufkjkhjd" localSheetId="6" hidden="1">{#N/A,#N/A,FALSE,"Pharm";#N/A,#N/A,FALSE,"WWCM"}</definedName>
    <definedName name="tyyufkjkhjd" hidden="1">{#N/A,#N/A,FALSE,"Pharm";#N/A,#N/A,FALSE,"WWCM"}</definedName>
    <definedName name="tyyufkjkhjd_1" localSheetId="0" hidden="1">{#N/A,#N/A,FALSE,"Pharm";#N/A,#N/A,FALSE,"WWCM"}</definedName>
    <definedName name="tyyufkjkhjd_1" localSheetId="6" hidden="1">{#N/A,#N/A,FALSE,"Pharm";#N/A,#N/A,FALSE,"WWCM"}</definedName>
    <definedName name="tyyufkjkhjd_1" hidden="1">{#N/A,#N/A,FALSE,"Pharm";#N/A,#N/A,FALSE,"WWCM"}</definedName>
    <definedName name="tyyufkjkhjd_1_1" localSheetId="0" hidden="1">{#N/A,#N/A,FALSE,"Pharm";#N/A,#N/A,FALSE,"WWCM"}</definedName>
    <definedName name="tyyufkjkhjd_1_1" localSheetId="6" hidden="1">{#N/A,#N/A,FALSE,"Pharm";#N/A,#N/A,FALSE,"WWCM"}</definedName>
    <definedName name="tyyufkjkhjd_1_1" hidden="1">{#N/A,#N/A,FALSE,"Pharm";#N/A,#N/A,FALSE,"WWCM"}</definedName>
    <definedName name="tyyufkjkhjd_2" localSheetId="0" hidden="1">{#N/A,#N/A,FALSE,"Pharm";#N/A,#N/A,FALSE,"WWCM"}</definedName>
    <definedName name="tyyufkjkhjd_2" localSheetId="6" hidden="1">{#N/A,#N/A,FALSE,"Pharm";#N/A,#N/A,FALSE,"WWCM"}</definedName>
    <definedName name="tyyufkjkhjd_2" hidden="1">{#N/A,#N/A,FALSE,"Pharm";#N/A,#N/A,FALSE,"WWCM"}</definedName>
    <definedName name="tyyufkjkhjd_3" localSheetId="0" hidden="1">{#N/A,#N/A,FALSE,"Pharm";#N/A,#N/A,FALSE,"WWCM"}</definedName>
    <definedName name="tyyufkjkhjd_3" localSheetId="6" hidden="1">{#N/A,#N/A,FALSE,"Pharm";#N/A,#N/A,FALSE,"WWCM"}</definedName>
    <definedName name="tyyufkjkhjd_3" hidden="1">{#N/A,#N/A,FALSE,"Pharm";#N/A,#N/A,FALSE,"WWCM"}</definedName>
    <definedName name="tyyufkjkhjd_4" localSheetId="0" hidden="1">{#N/A,#N/A,FALSE,"Pharm";#N/A,#N/A,FALSE,"WWCM"}</definedName>
    <definedName name="tyyufkjkhjd_4" localSheetId="6" hidden="1">{#N/A,#N/A,FALSE,"Pharm";#N/A,#N/A,FALSE,"WWCM"}</definedName>
    <definedName name="tyyufkjkhjd_4" hidden="1">{#N/A,#N/A,FALSE,"Pharm";#N/A,#N/A,FALSE,"WWCM"}</definedName>
    <definedName name="tyyufkjkhjd_5" localSheetId="0" hidden="1">{#N/A,#N/A,FALSE,"Pharm";#N/A,#N/A,FALSE,"WWCM"}</definedName>
    <definedName name="tyyufkjkhjd_5" localSheetId="6" hidden="1">{#N/A,#N/A,FALSE,"Pharm";#N/A,#N/A,FALSE,"WWCM"}</definedName>
    <definedName name="tyyufkjkhjd_5" hidden="1">{#N/A,#N/A,FALSE,"Pharm";#N/A,#N/A,FALSE,"WWCM"}</definedName>
    <definedName name="tz" localSheetId="0"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z"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z"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tzt" localSheetId="0" hidden="1">{#N/A,#N/A,FALSE,"Umsatz HM";#N/A,#N/A,FALSE,"ER HM";#N/A,#N/A,FALSE,"EA HM  (2)";#N/A,#N/A,FALSE,"EA HM ";#N/A,#N/A,FALSE,"EA HM  (4)";#N/A,#N/A,FALSE,"EA HM  (3)";#N/A,#N/A,FALSE,"KA HM  (2)";#N/A,#N/A,FALSE,"KA HM";#N/A,#N/A,FALSE,"KA HM  (3)";#N/A,#N/A,FALSE,"KA HM (4)"}</definedName>
    <definedName name="tzt" localSheetId="6" hidden="1">{#N/A,#N/A,FALSE,"Umsatz HM";#N/A,#N/A,FALSE,"ER HM";#N/A,#N/A,FALSE,"EA HM  (2)";#N/A,#N/A,FALSE,"EA HM ";#N/A,#N/A,FALSE,"EA HM  (4)";#N/A,#N/A,FALSE,"EA HM  (3)";#N/A,#N/A,FALSE,"KA HM  (2)";#N/A,#N/A,FALSE,"KA HM";#N/A,#N/A,FALSE,"KA HM  (3)";#N/A,#N/A,FALSE,"KA HM (4)"}</definedName>
    <definedName name="tzt" hidden="1">{#N/A,#N/A,FALSE,"Umsatz HM";#N/A,#N/A,FALSE,"ER HM";#N/A,#N/A,FALSE,"EA HM  (2)";#N/A,#N/A,FALSE,"EA HM ";#N/A,#N/A,FALSE,"EA HM  (4)";#N/A,#N/A,FALSE,"EA HM  (3)";#N/A,#N/A,FALSE,"KA HM  (2)";#N/A,#N/A,FALSE,"KA HM";#N/A,#N/A,FALSE,"KA HM  (3)";#N/A,#N/A,FALSE,"KA HM (4)"}</definedName>
    <definedName name="tzt_1" localSheetId="0" hidden="1">{#N/A,#N/A,FALSE,"Umsatz HM";#N/A,#N/A,FALSE,"ER HM";#N/A,#N/A,FALSE,"EA HM  (2)";#N/A,#N/A,FALSE,"EA HM ";#N/A,#N/A,FALSE,"EA HM  (4)";#N/A,#N/A,FALSE,"EA HM  (3)";#N/A,#N/A,FALSE,"KA HM  (2)";#N/A,#N/A,FALSE,"KA HM";#N/A,#N/A,FALSE,"KA HM  (3)";#N/A,#N/A,FALSE,"KA HM (4)"}</definedName>
    <definedName name="tzt_1" localSheetId="6" hidden="1">{#N/A,#N/A,FALSE,"Umsatz HM";#N/A,#N/A,FALSE,"ER HM";#N/A,#N/A,FALSE,"EA HM  (2)";#N/A,#N/A,FALSE,"EA HM ";#N/A,#N/A,FALSE,"EA HM  (4)";#N/A,#N/A,FALSE,"EA HM  (3)";#N/A,#N/A,FALSE,"KA HM  (2)";#N/A,#N/A,FALSE,"KA HM";#N/A,#N/A,FALSE,"KA HM  (3)";#N/A,#N/A,FALSE,"KA HM (4)"}</definedName>
    <definedName name="tzt_1" hidden="1">{#N/A,#N/A,FALSE,"Umsatz HM";#N/A,#N/A,FALSE,"ER HM";#N/A,#N/A,FALSE,"EA HM  (2)";#N/A,#N/A,FALSE,"EA HM ";#N/A,#N/A,FALSE,"EA HM  (4)";#N/A,#N/A,FALSE,"EA HM  (3)";#N/A,#N/A,FALSE,"KA HM  (2)";#N/A,#N/A,FALSE,"KA HM";#N/A,#N/A,FALSE,"KA HM  (3)";#N/A,#N/A,FALSE,"KA HM (4)"}</definedName>
    <definedName name="tzt_1_1" localSheetId="0" hidden="1">{#N/A,#N/A,FALSE,"Umsatz HM";#N/A,#N/A,FALSE,"ER HM";#N/A,#N/A,FALSE,"EA HM  (2)";#N/A,#N/A,FALSE,"EA HM ";#N/A,#N/A,FALSE,"EA HM  (4)";#N/A,#N/A,FALSE,"EA HM  (3)";#N/A,#N/A,FALSE,"KA HM  (2)";#N/A,#N/A,FALSE,"KA HM";#N/A,#N/A,FALSE,"KA HM  (3)";#N/A,#N/A,FALSE,"KA HM (4)"}</definedName>
    <definedName name="tzt_1_1" localSheetId="6" hidden="1">{#N/A,#N/A,FALSE,"Umsatz HM";#N/A,#N/A,FALSE,"ER HM";#N/A,#N/A,FALSE,"EA HM  (2)";#N/A,#N/A,FALSE,"EA HM ";#N/A,#N/A,FALSE,"EA HM  (4)";#N/A,#N/A,FALSE,"EA HM  (3)";#N/A,#N/A,FALSE,"KA HM  (2)";#N/A,#N/A,FALSE,"KA HM";#N/A,#N/A,FALSE,"KA HM  (3)";#N/A,#N/A,FALSE,"KA HM (4)"}</definedName>
    <definedName name="tzt_1_1" hidden="1">{#N/A,#N/A,FALSE,"Umsatz HM";#N/A,#N/A,FALSE,"ER HM";#N/A,#N/A,FALSE,"EA HM  (2)";#N/A,#N/A,FALSE,"EA HM ";#N/A,#N/A,FALSE,"EA HM  (4)";#N/A,#N/A,FALSE,"EA HM  (3)";#N/A,#N/A,FALSE,"KA HM  (2)";#N/A,#N/A,FALSE,"KA HM";#N/A,#N/A,FALSE,"KA HM  (3)";#N/A,#N/A,FALSE,"KA HM (4)"}</definedName>
    <definedName name="tzt_2" localSheetId="0" hidden="1">{#N/A,#N/A,FALSE,"Umsatz HM";#N/A,#N/A,FALSE,"ER HM";#N/A,#N/A,FALSE,"EA HM  (2)";#N/A,#N/A,FALSE,"EA HM ";#N/A,#N/A,FALSE,"EA HM  (4)";#N/A,#N/A,FALSE,"EA HM  (3)";#N/A,#N/A,FALSE,"KA HM  (2)";#N/A,#N/A,FALSE,"KA HM";#N/A,#N/A,FALSE,"KA HM  (3)";#N/A,#N/A,FALSE,"KA HM (4)"}</definedName>
    <definedName name="tzt_2" localSheetId="6" hidden="1">{#N/A,#N/A,FALSE,"Umsatz HM";#N/A,#N/A,FALSE,"ER HM";#N/A,#N/A,FALSE,"EA HM  (2)";#N/A,#N/A,FALSE,"EA HM ";#N/A,#N/A,FALSE,"EA HM  (4)";#N/A,#N/A,FALSE,"EA HM  (3)";#N/A,#N/A,FALSE,"KA HM  (2)";#N/A,#N/A,FALSE,"KA HM";#N/A,#N/A,FALSE,"KA HM  (3)";#N/A,#N/A,FALSE,"KA HM (4)"}</definedName>
    <definedName name="tzt_2" hidden="1">{#N/A,#N/A,FALSE,"Umsatz HM";#N/A,#N/A,FALSE,"ER HM";#N/A,#N/A,FALSE,"EA HM  (2)";#N/A,#N/A,FALSE,"EA HM ";#N/A,#N/A,FALSE,"EA HM  (4)";#N/A,#N/A,FALSE,"EA HM  (3)";#N/A,#N/A,FALSE,"KA HM  (2)";#N/A,#N/A,FALSE,"KA HM";#N/A,#N/A,FALSE,"KA HM  (3)";#N/A,#N/A,FALSE,"KA HM (4)"}</definedName>
    <definedName name="tzt_3" localSheetId="0" hidden="1">{#N/A,#N/A,FALSE,"Umsatz HM";#N/A,#N/A,FALSE,"ER HM";#N/A,#N/A,FALSE,"EA HM  (2)";#N/A,#N/A,FALSE,"EA HM ";#N/A,#N/A,FALSE,"EA HM  (4)";#N/A,#N/A,FALSE,"EA HM  (3)";#N/A,#N/A,FALSE,"KA HM  (2)";#N/A,#N/A,FALSE,"KA HM";#N/A,#N/A,FALSE,"KA HM  (3)";#N/A,#N/A,FALSE,"KA HM (4)"}</definedName>
    <definedName name="tzt_3" localSheetId="6" hidden="1">{#N/A,#N/A,FALSE,"Umsatz HM";#N/A,#N/A,FALSE,"ER HM";#N/A,#N/A,FALSE,"EA HM  (2)";#N/A,#N/A,FALSE,"EA HM ";#N/A,#N/A,FALSE,"EA HM  (4)";#N/A,#N/A,FALSE,"EA HM  (3)";#N/A,#N/A,FALSE,"KA HM  (2)";#N/A,#N/A,FALSE,"KA HM";#N/A,#N/A,FALSE,"KA HM  (3)";#N/A,#N/A,FALSE,"KA HM (4)"}</definedName>
    <definedName name="tzt_3" hidden="1">{#N/A,#N/A,FALSE,"Umsatz HM";#N/A,#N/A,FALSE,"ER HM";#N/A,#N/A,FALSE,"EA HM  (2)";#N/A,#N/A,FALSE,"EA HM ";#N/A,#N/A,FALSE,"EA HM  (4)";#N/A,#N/A,FALSE,"EA HM  (3)";#N/A,#N/A,FALSE,"KA HM  (2)";#N/A,#N/A,FALSE,"KA HM";#N/A,#N/A,FALSE,"KA HM  (3)";#N/A,#N/A,FALSE,"KA HM (4)"}</definedName>
    <definedName name="tzt_4" localSheetId="0" hidden="1">{#N/A,#N/A,FALSE,"Umsatz HM";#N/A,#N/A,FALSE,"ER HM";#N/A,#N/A,FALSE,"EA HM  (2)";#N/A,#N/A,FALSE,"EA HM ";#N/A,#N/A,FALSE,"EA HM  (4)";#N/A,#N/A,FALSE,"EA HM  (3)";#N/A,#N/A,FALSE,"KA HM  (2)";#N/A,#N/A,FALSE,"KA HM";#N/A,#N/A,FALSE,"KA HM  (3)";#N/A,#N/A,FALSE,"KA HM (4)"}</definedName>
    <definedName name="tzt_4" localSheetId="6" hidden="1">{#N/A,#N/A,FALSE,"Umsatz HM";#N/A,#N/A,FALSE,"ER HM";#N/A,#N/A,FALSE,"EA HM  (2)";#N/A,#N/A,FALSE,"EA HM ";#N/A,#N/A,FALSE,"EA HM  (4)";#N/A,#N/A,FALSE,"EA HM  (3)";#N/A,#N/A,FALSE,"KA HM  (2)";#N/A,#N/A,FALSE,"KA HM";#N/A,#N/A,FALSE,"KA HM  (3)";#N/A,#N/A,FALSE,"KA HM (4)"}</definedName>
    <definedName name="tzt_4" hidden="1">{#N/A,#N/A,FALSE,"Umsatz HM";#N/A,#N/A,FALSE,"ER HM";#N/A,#N/A,FALSE,"EA HM  (2)";#N/A,#N/A,FALSE,"EA HM ";#N/A,#N/A,FALSE,"EA HM  (4)";#N/A,#N/A,FALSE,"EA HM  (3)";#N/A,#N/A,FALSE,"KA HM  (2)";#N/A,#N/A,FALSE,"KA HM";#N/A,#N/A,FALSE,"KA HM  (3)";#N/A,#N/A,FALSE,"KA HM (4)"}</definedName>
    <definedName name="tzt_5" localSheetId="0" hidden="1">{#N/A,#N/A,FALSE,"Umsatz HM";#N/A,#N/A,FALSE,"ER HM";#N/A,#N/A,FALSE,"EA HM  (2)";#N/A,#N/A,FALSE,"EA HM ";#N/A,#N/A,FALSE,"EA HM  (4)";#N/A,#N/A,FALSE,"EA HM  (3)";#N/A,#N/A,FALSE,"KA HM  (2)";#N/A,#N/A,FALSE,"KA HM";#N/A,#N/A,FALSE,"KA HM  (3)";#N/A,#N/A,FALSE,"KA HM (4)"}</definedName>
    <definedName name="tzt_5" localSheetId="6" hidden="1">{#N/A,#N/A,FALSE,"Umsatz HM";#N/A,#N/A,FALSE,"ER HM";#N/A,#N/A,FALSE,"EA HM  (2)";#N/A,#N/A,FALSE,"EA HM ";#N/A,#N/A,FALSE,"EA HM  (4)";#N/A,#N/A,FALSE,"EA HM  (3)";#N/A,#N/A,FALSE,"KA HM  (2)";#N/A,#N/A,FALSE,"KA HM";#N/A,#N/A,FALSE,"KA HM  (3)";#N/A,#N/A,FALSE,"KA HM (4)"}</definedName>
    <definedName name="tzt_5" hidden="1">{#N/A,#N/A,FALSE,"Umsatz HM";#N/A,#N/A,FALSE,"ER HM";#N/A,#N/A,FALSE,"EA HM  (2)";#N/A,#N/A,FALSE,"EA HM ";#N/A,#N/A,FALSE,"EA HM  (4)";#N/A,#N/A,FALSE,"EA HM  (3)";#N/A,#N/A,FALSE,"KA HM  (2)";#N/A,#N/A,FALSE,"KA HM";#N/A,#N/A,FALSE,"KA HM  (3)";#N/A,#N/A,FALSE,"KA HM (4)"}</definedName>
    <definedName name="tzutz.lkjkljk" localSheetId="0" hidden="1">{#N/A,#N/A,FALSE,"Umsatz CH";#N/A,#N/A,FALSE,"ER CH";#N/A,#N/A,FALSE,"EA CH (2) ";#N/A,#N/A,FALSE,"EA CH";#N/A,#N/A,FALSE,"EA CH (3) ";#N/A,#N/A,FALSE,"EA CH (4)";#N/A,#N/A,FALSE,"KA CH";#N/A,#N/A,FALSE,"KA CH  (2)";#N/A,#N/A,FALSE,"KA CH  (3)";#N/A,#N/A,FALSE,"KA CH (4)"}</definedName>
    <definedName name="tzutz.lkjkljk" localSheetId="6" hidden="1">{#N/A,#N/A,FALSE,"Umsatz CH";#N/A,#N/A,FALSE,"ER CH";#N/A,#N/A,FALSE,"EA CH (2) ";#N/A,#N/A,FALSE,"EA CH";#N/A,#N/A,FALSE,"EA CH (3) ";#N/A,#N/A,FALSE,"EA CH (4)";#N/A,#N/A,FALSE,"KA CH";#N/A,#N/A,FALSE,"KA CH  (2)";#N/A,#N/A,FALSE,"KA CH  (3)";#N/A,#N/A,FALSE,"KA CH (4)"}</definedName>
    <definedName name="tzutz.lkjkljk" hidden="1">{#N/A,#N/A,FALSE,"Umsatz CH";#N/A,#N/A,FALSE,"ER CH";#N/A,#N/A,FALSE,"EA CH (2) ";#N/A,#N/A,FALSE,"EA CH";#N/A,#N/A,FALSE,"EA CH (3) ";#N/A,#N/A,FALSE,"EA CH (4)";#N/A,#N/A,FALSE,"KA CH";#N/A,#N/A,FALSE,"KA CH  (2)";#N/A,#N/A,FALSE,"KA CH  (3)";#N/A,#N/A,FALSE,"KA CH (4)"}</definedName>
    <definedName name="tzutz.lkjkljk_1" localSheetId="0" hidden="1">{#N/A,#N/A,FALSE,"Umsatz CH";#N/A,#N/A,FALSE,"ER CH";#N/A,#N/A,FALSE,"EA CH (2) ";#N/A,#N/A,FALSE,"EA CH";#N/A,#N/A,FALSE,"EA CH (3) ";#N/A,#N/A,FALSE,"EA CH (4)";#N/A,#N/A,FALSE,"KA CH";#N/A,#N/A,FALSE,"KA CH  (2)";#N/A,#N/A,FALSE,"KA CH  (3)";#N/A,#N/A,FALSE,"KA CH (4)"}</definedName>
    <definedName name="tzutz.lkjkljk_1" localSheetId="6" hidden="1">{#N/A,#N/A,FALSE,"Umsatz CH";#N/A,#N/A,FALSE,"ER CH";#N/A,#N/A,FALSE,"EA CH (2) ";#N/A,#N/A,FALSE,"EA CH";#N/A,#N/A,FALSE,"EA CH (3) ";#N/A,#N/A,FALSE,"EA CH (4)";#N/A,#N/A,FALSE,"KA CH";#N/A,#N/A,FALSE,"KA CH  (2)";#N/A,#N/A,FALSE,"KA CH  (3)";#N/A,#N/A,FALSE,"KA CH (4)"}</definedName>
    <definedName name="tzutz.lkjkljk_1" hidden="1">{#N/A,#N/A,FALSE,"Umsatz CH";#N/A,#N/A,FALSE,"ER CH";#N/A,#N/A,FALSE,"EA CH (2) ";#N/A,#N/A,FALSE,"EA CH";#N/A,#N/A,FALSE,"EA CH (3) ";#N/A,#N/A,FALSE,"EA CH (4)";#N/A,#N/A,FALSE,"KA CH";#N/A,#N/A,FALSE,"KA CH  (2)";#N/A,#N/A,FALSE,"KA CH  (3)";#N/A,#N/A,FALSE,"KA CH (4)"}</definedName>
    <definedName name="tzutz.lkjkljk_1_1" localSheetId="0" hidden="1">{#N/A,#N/A,FALSE,"Umsatz CH";#N/A,#N/A,FALSE,"ER CH";#N/A,#N/A,FALSE,"EA CH (2) ";#N/A,#N/A,FALSE,"EA CH";#N/A,#N/A,FALSE,"EA CH (3) ";#N/A,#N/A,FALSE,"EA CH (4)";#N/A,#N/A,FALSE,"KA CH";#N/A,#N/A,FALSE,"KA CH  (2)";#N/A,#N/A,FALSE,"KA CH  (3)";#N/A,#N/A,FALSE,"KA CH (4)"}</definedName>
    <definedName name="tzutz.lkjkljk_1_1" localSheetId="6" hidden="1">{#N/A,#N/A,FALSE,"Umsatz CH";#N/A,#N/A,FALSE,"ER CH";#N/A,#N/A,FALSE,"EA CH (2) ";#N/A,#N/A,FALSE,"EA CH";#N/A,#N/A,FALSE,"EA CH (3) ";#N/A,#N/A,FALSE,"EA CH (4)";#N/A,#N/A,FALSE,"KA CH";#N/A,#N/A,FALSE,"KA CH  (2)";#N/A,#N/A,FALSE,"KA CH  (3)";#N/A,#N/A,FALSE,"KA CH (4)"}</definedName>
    <definedName name="tzutz.lkjkljk_1_1" hidden="1">{#N/A,#N/A,FALSE,"Umsatz CH";#N/A,#N/A,FALSE,"ER CH";#N/A,#N/A,FALSE,"EA CH (2) ";#N/A,#N/A,FALSE,"EA CH";#N/A,#N/A,FALSE,"EA CH (3) ";#N/A,#N/A,FALSE,"EA CH (4)";#N/A,#N/A,FALSE,"KA CH";#N/A,#N/A,FALSE,"KA CH  (2)";#N/A,#N/A,FALSE,"KA CH  (3)";#N/A,#N/A,FALSE,"KA CH (4)"}</definedName>
    <definedName name="tzutz.lkjkljk_2" localSheetId="0" hidden="1">{#N/A,#N/A,FALSE,"Umsatz CH";#N/A,#N/A,FALSE,"ER CH";#N/A,#N/A,FALSE,"EA CH (2) ";#N/A,#N/A,FALSE,"EA CH";#N/A,#N/A,FALSE,"EA CH (3) ";#N/A,#N/A,FALSE,"EA CH (4)";#N/A,#N/A,FALSE,"KA CH";#N/A,#N/A,FALSE,"KA CH  (2)";#N/A,#N/A,FALSE,"KA CH  (3)";#N/A,#N/A,FALSE,"KA CH (4)"}</definedName>
    <definedName name="tzutz.lkjkljk_2" localSheetId="6" hidden="1">{#N/A,#N/A,FALSE,"Umsatz CH";#N/A,#N/A,FALSE,"ER CH";#N/A,#N/A,FALSE,"EA CH (2) ";#N/A,#N/A,FALSE,"EA CH";#N/A,#N/A,FALSE,"EA CH (3) ";#N/A,#N/A,FALSE,"EA CH (4)";#N/A,#N/A,FALSE,"KA CH";#N/A,#N/A,FALSE,"KA CH  (2)";#N/A,#N/A,FALSE,"KA CH  (3)";#N/A,#N/A,FALSE,"KA CH (4)"}</definedName>
    <definedName name="tzutz.lkjkljk_2" hidden="1">{#N/A,#N/A,FALSE,"Umsatz CH";#N/A,#N/A,FALSE,"ER CH";#N/A,#N/A,FALSE,"EA CH (2) ";#N/A,#N/A,FALSE,"EA CH";#N/A,#N/A,FALSE,"EA CH (3) ";#N/A,#N/A,FALSE,"EA CH (4)";#N/A,#N/A,FALSE,"KA CH";#N/A,#N/A,FALSE,"KA CH  (2)";#N/A,#N/A,FALSE,"KA CH  (3)";#N/A,#N/A,FALSE,"KA CH (4)"}</definedName>
    <definedName name="tzutz.lkjkljk_3" localSheetId="0" hidden="1">{#N/A,#N/A,FALSE,"Umsatz CH";#N/A,#N/A,FALSE,"ER CH";#N/A,#N/A,FALSE,"EA CH (2) ";#N/A,#N/A,FALSE,"EA CH";#N/A,#N/A,FALSE,"EA CH (3) ";#N/A,#N/A,FALSE,"EA CH (4)";#N/A,#N/A,FALSE,"KA CH";#N/A,#N/A,FALSE,"KA CH  (2)";#N/A,#N/A,FALSE,"KA CH  (3)";#N/A,#N/A,FALSE,"KA CH (4)"}</definedName>
    <definedName name="tzutz.lkjkljk_3" localSheetId="6" hidden="1">{#N/A,#N/A,FALSE,"Umsatz CH";#N/A,#N/A,FALSE,"ER CH";#N/A,#N/A,FALSE,"EA CH (2) ";#N/A,#N/A,FALSE,"EA CH";#N/A,#N/A,FALSE,"EA CH (3) ";#N/A,#N/A,FALSE,"EA CH (4)";#N/A,#N/A,FALSE,"KA CH";#N/A,#N/A,FALSE,"KA CH  (2)";#N/A,#N/A,FALSE,"KA CH  (3)";#N/A,#N/A,FALSE,"KA CH (4)"}</definedName>
    <definedName name="tzutz.lkjkljk_3" hidden="1">{#N/A,#N/A,FALSE,"Umsatz CH";#N/A,#N/A,FALSE,"ER CH";#N/A,#N/A,FALSE,"EA CH (2) ";#N/A,#N/A,FALSE,"EA CH";#N/A,#N/A,FALSE,"EA CH (3) ";#N/A,#N/A,FALSE,"EA CH (4)";#N/A,#N/A,FALSE,"KA CH";#N/A,#N/A,FALSE,"KA CH  (2)";#N/A,#N/A,FALSE,"KA CH  (3)";#N/A,#N/A,FALSE,"KA CH (4)"}</definedName>
    <definedName name="tzutz.lkjkljk_4" localSheetId="0" hidden="1">{#N/A,#N/A,FALSE,"Umsatz CH";#N/A,#N/A,FALSE,"ER CH";#N/A,#N/A,FALSE,"EA CH (2) ";#N/A,#N/A,FALSE,"EA CH";#N/A,#N/A,FALSE,"EA CH (3) ";#N/A,#N/A,FALSE,"EA CH (4)";#N/A,#N/A,FALSE,"KA CH";#N/A,#N/A,FALSE,"KA CH  (2)";#N/A,#N/A,FALSE,"KA CH  (3)";#N/A,#N/A,FALSE,"KA CH (4)"}</definedName>
    <definedName name="tzutz.lkjkljk_4" localSheetId="6" hidden="1">{#N/A,#N/A,FALSE,"Umsatz CH";#N/A,#N/A,FALSE,"ER CH";#N/A,#N/A,FALSE,"EA CH (2) ";#N/A,#N/A,FALSE,"EA CH";#N/A,#N/A,FALSE,"EA CH (3) ";#N/A,#N/A,FALSE,"EA CH (4)";#N/A,#N/A,FALSE,"KA CH";#N/A,#N/A,FALSE,"KA CH  (2)";#N/A,#N/A,FALSE,"KA CH  (3)";#N/A,#N/A,FALSE,"KA CH (4)"}</definedName>
    <definedName name="tzutz.lkjkljk_4" hidden="1">{#N/A,#N/A,FALSE,"Umsatz CH";#N/A,#N/A,FALSE,"ER CH";#N/A,#N/A,FALSE,"EA CH (2) ";#N/A,#N/A,FALSE,"EA CH";#N/A,#N/A,FALSE,"EA CH (3) ";#N/A,#N/A,FALSE,"EA CH (4)";#N/A,#N/A,FALSE,"KA CH";#N/A,#N/A,FALSE,"KA CH  (2)";#N/A,#N/A,FALSE,"KA CH  (3)";#N/A,#N/A,FALSE,"KA CH (4)"}</definedName>
    <definedName name="tzutz.lkjkljk_5" localSheetId="0" hidden="1">{#N/A,#N/A,FALSE,"Umsatz CH";#N/A,#N/A,FALSE,"ER CH";#N/A,#N/A,FALSE,"EA CH (2) ";#N/A,#N/A,FALSE,"EA CH";#N/A,#N/A,FALSE,"EA CH (3) ";#N/A,#N/A,FALSE,"EA CH (4)";#N/A,#N/A,FALSE,"KA CH";#N/A,#N/A,FALSE,"KA CH  (2)";#N/A,#N/A,FALSE,"KA CH  (3)";#N/A,#N/A,FALSE,"KA CH (4)"}</definedName>
    <definedName name="tzutz.lkjkljk_5" localSheetId="6" hidden="1">{#N/A,#N/A,FALSE,"Umsatz CH";#N/A,#N/A,FALSE,"ER CH";#N/A,#N/A,FALSE,"EA CH (2) ";#N/A,#N/A,FALSE,"EA CH";#N/A,#N/A,FALSE,"EA CH (3) ";#N/A,#N/A,FALSE,"EA CH (4)";#N/A,#N/A,FALSE,"KA CH";#N/A,#N/A,FALSE,"KA CH  (2)";#N/A,#N/A,FALSE,"KA CH  (3)";#N/A,#N/A,FALSE,"KA CH (4)"}</definedName>
    <definedName name="tzutz.lkjkljk_5" hidden="1">{#N/A,#N/A,FALSE,"Umsatz CH";#N/A,#N/A,FALSE,"ER CH";#N/A,#N/A,FALSE,"EA CH (2) ";#N/A,#N/A,FALSE,"EA CH";#N/A,#N/A,FALSE,"EA CH (3) ";#N/A,#N/A,FALSE,"EA CH (4)";#N/A,#N/A,FALSE,"KA CH";#N/A,#N/A,FALSE,"KA CH  (2)";#N/A,#N/A,FALSE,"KA CH  (3)";#N/A,#N/A,FALSE,"KA CH (4)"}</definedName>
    <definedName name="T행">#REF!</definedName>
    <definedName name="u" localSheetId="6" hidden="1">{#N/A,#N/A,TRUE,"Cover sheet";#N/A,#N/A,TRUE,"Summary";#N/A,#N/A,TRUE,"Key Assumptions";#N/A,#N/A,TRUE,"Profit &amp; Loss";#N/A,#N/A,TRUE,"Balance Sheet";#N/A,#N/A,TRUE,"Cashflow";#N/A,#N/A,TRUE,"IRR";#N/A,#N/A,TRUE,"Ratios";#N/A,#N/A,TRUE,"Debt analysis"}</definedName>
    <definedName name="u" hidden="1">{#N/A,#N/A,TRUE,"Cover sheet";#N/A,#N/A,TRUE,"Summary";#N/A,#N/A,TRUE,"Key Assumptions";#N/A,#N/A,TRUE,"Profit &amp; Loss";#N/A,#N/A,TRUE,"Balance Sheet";#N/A,#N/A,TRUE,"Cashflow";#N/A,#N/A,TRUE,"IRR";#N/A,#N/A,TRUE,"Ratios";#N/A,#N/A,TRUE,"Debt analysis"}</definedName>
    <definedName name="U.A.E.">#REF!</definedName>
    <definedName name="u_1" localSheetId="6" hidden="1">{#N/A,#N/A,TRUE,"Cover";#N/A,#N/A,TRUE,"Conts";#N/A,#N/A,TRUE,"VOS";#N/A,#N/A,TRUE,"Warrington";#N/A,#N/A,TRUE,"Widnes"}</definedName>
    <definedName name="u_1" hidden="1">{#N/A,#N/A,TRUE,"Cover";#N/A,#N/A,TRUE,"Conts";#N/A,#N/A,TRUE,"VOS";#N/A,#N/A,TRUE,"Warrington";#N/A,#N/A,TRUE,"Widnes"}</definedName>
    <definedName name="UCa">#REF!</definedName>
    <definedName name="UCM_9" localSheetId="0" hidden="1">{"FS`s",#N/A,TRUE,"FS's";"Icome St",#N/A,TRUE,"Income St.";"Balance Sh",#N/A,TRUE,"Balance Sh.";"Gross Margin",#N/A,TRUE,"Gross Margin"}</definedName>
    <definedName name="UCM_9" localSheetId="6" hidden="1">{"FS`s",#N/A,TRUE,"FS's";"Icome St",#N/A,TRUE,"Income St.";"Balance Sh",#N/A,TRUE,"Balance Sh.";"Gross Margin",#N/A,TRUE,"Gross Margin"}</definedName>
    <definedName name="UCM_9" hidden="1">{"FS`s",#N/A,TRUE,"FS's";"Icome St",#N/A,TRUE,"Income St.";"Balance Sh",#N/A,TRUE,"Balance Sh.";"Gross Margin",#N/A,TRUE,"Gross Margin"}</definedName>
    <definedName name="UD1_List">#REF!</definedName>
    <definedName name="UD2_List">#REF!</definedName>
    <definedName name="uez" localSheetId="6" hidden="1">{#N/A,#N/A,TRUE,"FA 1 &amp; 2";#N/A,#N/A,TRUE,"FA 3 &amp; 4";#N/A,#N/A,TRUE,"FA 5 &amp; 6";#N/A,#N/A,TRUE,"FA 7 &amp; 8";#N/A,#N/A,TRUE,"FA 9 &amp; 10";#N/A,#N/A,TRUE,"FA 11";#N/A,#N/A,TRUE,"FA 12";#N/A,#N/A,TRUE,"FA 13";#N/A,#N/A,TRUE,"FA 14 &amp; 15"}</definedName>
    <definedName name="uez" hidden="1">{#N/A,#N/A,TRUE,"FA 1 &amp; 2";#N/A,#N/A,TRUE,"FA 3 &amp; 4";#N/A,#N/A,TRUE,"FA 5 &amp; 6";#N/A,#N/A,TRUE,"FA 7 &amp; 8";#N/A,#N/A,TRUE,"FA 9 &amp; 10";#N/A,#N/A,TRUE,"FA 11";#N/A,#N/A,TRUE,"FA 12";#N/A,#N/A,TRUE,"FA 13";#N/A,#N/A,TRUE,"FA 14 &amp; 15"}</definedName>
    <definedName name="ugfegfydilgfy" localSheetId="0" hidden="1">{"away stand alones",#N/A,FALSE,"Target"}</definedName>
    <definedName name="ugfegfydilgfy" localSheetId="6" hidden="1">{"away stand alones",#N/A,FALSE,"Target"}</definedName>
    <definedName name="ugfegfydilgfy" hidden="1">{"away stand alones",#N/A,FALSE,"Target"}</definedName>
    <definedName name="uhiuk" localSheetId="0" hidden="1">{"adj95mult",#N/A,FALSE,"COMPCO";"adj95est",#N/A,FALSE,"COMPCO"}</definedName>
    <definedName name="uhiuk" localSheetId="6" hidden="1">{"adj95mult",#N/A,FALSE,"COMPCO";"adj95est",#N/A,FALSE,"COMPCO"}</definedName>
    <definedName name="uhiuk" hidden="1">{"adj95mult",#N/A,FALSE,"COMPCO";"adj95est",#N/A,FALSE,"COMPCO"}</definedName>
    <definedName name="UHJ" localSheetId="0" hidden="1">{#N/A,#N/A,FALSE,"Tabl. FB300";#N/A,#N/A,FALSE,"Tabl. FB350";#N/A,#N/A,FALSE,"Tabl. FB400";#N/A,#N/A,FALSE,"Tabl. FB500";#N/A,#N/A,FALSE,"Tabl. FS090"}</definedName>
    <definedName name="UHJ" localSheetId="6" hidden="1">{#N/A,#N/A,FALSE,"Tabl. FB300";#N/A,#N/A,FALSE,"Tabl. FB350";#N/A,#N/A,FALSE,"Tabl. FB400";#N/A,#N/A,FALSE,"Tabl. FB500";#N/A,#N/A,FALSE,"Tabl. FS090"}</definedName>
    <definedName name="UHJ" hidden="1">{#N/A,#N/A,FALSE,"Tabl. FB300";#N/A,#N/A,FALSE,"Tabl. FB350";#N/A,#N/A,FALSE,"Tabl. FB400";#N/A,#N/A,FALSE,"Tabl. FB500";#N/A,#N/A,FALSE,"Tabl. FS090"}</definedName>
    <definedName name="ui" localSheetId="6" hidden="1">{#N/A,#N/A,TRUE,"Cover";#N/A,#N/A,TRUE,"Conts";#N/A,#N/A,TRUE,"VOS";#N/A,#N/A,TRUE,"Warrington";#N/A,#N/A,TRUE,"Widnes"}</definedName>
    <definedName name="ui" hidden="1">{#N/A,#N/A,TRUE,"Cover";#N/A,#N/A,TRUE,"Conts";#N/A,#N/A,TRUE,"VOS";#N/A,#N/A,TRUE,"Warrington";#N/A,#N/A,TRUE,"Widnes"}</definedName>
    <definedName name="ui_1" localSheetId="6" hidden="1">{#N/A,#N/A,TRUE,"Cover";#N/A,#N/A,TRUE,"Conts";#N/A,#N/A,TRUE,"VOS";#N/A,#N/A,TRUE,"Warrington";#N/A,#N/A,TRUE,"Widnes"}</definedName>
    <definedName name="ui_1" hidden="1">{#N/A,#N/A,TRUE,"Cover";#N/A,#N/A,TRUE,"Conts";#N/A,#N/A,TRUE,"VOS";#N/A,#N/A,TRUE,"Warrington";#N/A,#N/A,TRUE,"Widnes"}</definedName>
    <definedName name="uih" localSheetId="6" hidden="1">{#N/A,#N/A,TRUE,"Cover";#N/A,#N/A,TRUE,"Conts";#N/A,#N/A,TRUE,"VOS";#N/A,#N/A,TRUE,"Warrington";#N/A,#N/A,TRUE,"Widnes"}</definedName>
    <definedName name="uih" hidden="1">{#N/A,#N/A,TRUE,"Cover";#N/A,#N/A,TRUE,"Conts";#N/A,#N/A,TRUE,"VOS";#N/A,#N/A,TRUE,"Warrington";#N/A,#N/A,TRUE,"Widnes"}</definedName>
    <definedName name="uih_1" localSheetId="6" hidden="1">{#N/A,#N/A,TRUE,"Cover";#N/A,#N/A,TRUE,"Conts";#N/A,#N/A,TRUE,"VOS";#N/A,#N/A,TRUE,"Warrington";#N/A,#N/A,TRUE,"Widnes"}</definedName>
    <definedName name="uih_1" hidden="1">{#N/A,#N/A,TRUE,"Cover";#N/A,#N/A,TRUE,"Conts";#N/A,#N/A,TRUE,"VOS";#N/A,#N/A,TRUE,"Warrington";#N/A,#N/A,TRUE,"Widnes"}</definedName>
    <definedName name="uio" localSheetId="0" hidden="1">{"mgmt forecast",#N/A,FALSE,"Mgmt Forecast";"dcf table",#N/A,FALSE,"Mgmt Forecast";"sensitivity",#N/A,FALSE,"Mgmt Forecast";"table inputs",#N/A,FALSE,"Mgmt Forecast";"calculations",#N/A,FALSE,"Mgmt Forecast"}</definedName>
    <definedName name="uio" localSheetId="6" hidden="1">{"mgmt forecast",#N/A,FALSE,"Mgmt Forecast";"dcf table",#N/A,FALSE,"Mgmt Forecast";"sensitivity",#N/A,FALSE,"Mgmt Forecast";"table inputs",#N/A,FALSE,"Mgmt Forecast";"calculations",#N/A,FALSE,"Mgmt Forecast"}</definedName>
    <definedName name="uio" hidden="1">{"mgmt forecast",#N/A,FALSE,"Mgmt Forecast";"dcf table",#N/A,FALSE,"Mgmt Forecast";"sensitivity",#N/A,FALSE,"Mgmt Forecast";"table inputs",#N/A,FALSE,"Mgmt Forecast";"calculations",#N/A,FALSE,"Mgmt Forecast"}</definedName>
    <definedName name="uioui" localSheetId="0" hidden="1">{#N/A,#N/A,FALSE,"COMP"}</definedName>
    <definedName name="uioui" localSheetId="6" hidden="1">{#N/A,#N/A,FALSE,"COMP"}</definedName>
    <definedName name="uioui" hidden="1">{#N/A,#N/A,FALSE,"COMP"}</definedName>
    <definedName name="uisstatus">#REF!</definedName>
    <definedName name="uit" localSheetId="6" hidden="1">{#N/A,#N/A,TRUE,"Cover";#N/A,#N/A,TRUE,"Conts";#N/A,#N/A,TRUE,"VOS";#N/A,#N/A,TRUE,"Warrington";#N/A,#N/A,TRUE,"Widnes"}</definedName>
    <definedName name="uit" hidden="1">{#N/A,#N/A,TRUE,"Cover";#N/A,#N/A,TRUE,"Conts";#N/A,#N/A,TRUE,"VOS";#N/A,#N/A,TRUE,"Warrington";#N/A,#N/A,TRUE,"Widnes"}</definedName>
    <definedName name="uit_1" localSheetId="6" hidden="1">{#N/A,#N/A,TRUE,"Cover";#N/A,#N/A,TRUE,"Conts";#N/A,#N/A,TRUE,"VOS";#N/A,#N/A,TRUE,"Warrington";#N/A,#N/A,TRUE,"Widnes"}</definedName>
    <definedName name="uit_1" hidden="1">{#N/A,#N/A,TRUE,"Cover";#N/A,#N/A,TRUE,"Conts";#N/A,#N/A,TRUE,"VOS";#N/A,#N/A,TRUE,"Warrington";#N/A,#N/A,TRUE,"Widnes"}</definedName>
    <definedName name="uiui" localSheetId="0" hidden="1">{#N/A,#N/A,FALSE,"COMP"}</definedName>
    <definedName name="uiui" localSheetId="6" hidden="1">{#N/A,#N/A,FALSE,"COMP"}</definedName>
    <definedName name="uiui" hidden="1">{#N/A,#N/A,FALSE,"COMP"}</definedName>
    <definedName name="uiui_1" localSheetId="0" hidden="1">{#N/A,#N/A,FALSE,"Umsatz HM";#N/A,#N/A,FALSE,"ER HM";#N/A,#N/A,FALSE,"EA HM  (2)";#N/A,#N/A,FALSE,"EA HM ";#N/A,#N/A,FALSE,"EA HM  (4)";#N/A,#N/A,FALSE,"EA HM  (3)";#N/A,#N/A,FALSE,"KA HM  (2)";#N/A,#N/A,FALSE,"KA HM";#N/A,#N/A,FALSE,"KA HM  (3)";#N/A,#N/A,FALSE,"KA HM (4)"}</definedName>
    <definedName name="uiui_1" localSheetId="6" hidden="1">{#N/A,#N/A,FALSE,"Umsatz HM";#N/A,#N/A,FALSE,"ER HM";#N/A,#N/A,FALSE,"EA HM  (2)";#N/A,#N/A,FALSE,"EA HM ";#N/A,#N/A,FALSE,"EA HM  (4)";#N/A,#N/A,FALSE,"EA HM  (3)";#N/A,#N/A,FALSE,"KA HM  (2)";#N/A,#N/A,FALSE,"KA HM";#N/A,#N/A,FALSE,"KA HM  (3)";#N/A,#N/A,FALSE,"KA HM (4)"}</definedName>
    <definedName name="uiui_1" hidden="1">{#N/A,#N/A,FALSE,"Umsatz HM";#N/A,#N/A,FALSE,"ER HM";#N/A,#N/A,FALSE,"EA HM  (2)";#N/A,#N/A,FALSE,"EA HM ";#N/A,#N/A,FALSE,"EA HM  (4)";#N/A,#N/A,FALSE,"EA HM  (3)";#N/A,#N/A,FALSE,"KA HM  (2)";#N/A,#N/A,FALSE,"KA HM";#N/A,#N/A,FALSE,"KA HM  (3)";#N/A,#N/A,FALSE,"KA HM (4)"}</definedName>
    <definedName name="uiui_1_1" localSheetId="0" hidden="1">{#N/A,#N/A,FALSE,"Umsatz HM";#N/A,#N/A,FALSE,"ER HM";#N/A,#N/A,FALSE,"EA HM  (2)";#N/A,#N/A,FALSE,"EA HM ";#N/A,#N/A,FALSE,"EA HM  (4)";#N/A,#N/A,FALSE,"EA HM  (3)";#N/A,#N/A,FALSE,"KA HM  (2)";#N/A,#N/A,FALSE,"KA HM";#N/A,#N/A,FALSE,"KA HM  (3)";#N/A,#N/A,FALSE,"KA HM (4)"}</definedName>
    <definedName name="uiui_1_1" localSheetId="6" hidden="1">{#N/A,#N/A,FALSE,"Umsatz HM";#N/A,#N/A,FALSE,"ER HM";#N/A,#N/A,FALSE,"EA HM  (2)";#N/A,#N/A,FALSE,"EA HM ";#N/A,#N/A,FALSE,"EA HM  (4)";#N/A,#N/A,FALSE,"EA HM  (3)";#N/A,#N/A,FALSE,"KA HM  (2)";#N/A,#N/A,FALSE,"KA HM";#N/A,#N/A,FALSE,"KA HM  (3)";#N/A,#N/A,FALSE,"KA HM (4)"}</definedName>
    <definedName name="uiui_1_1" hidden="1">{#N/A,#N/A,FALSE,"Umsatz HM";#N/A,#N/A,FALSE,"ER HM";#N/A,#N/A,FALSE,"EA HM  (2)";#N/A,#N/A,FALSE,"EA HM ";#N/A,#N/A,FALSE,"EA HM  (4)";#N/A,#N/A,FALSE,"EA HM  (3)";#N/A,#N/A,FALSE,"KA HM  (2)";#N/A,#N/A,FALSE,"KA HM";#N/A,#N/A,FALSE,"KA HM  (3)";#N/A,#N/A,FALSE,"KA HM (4)"}</definedName>
    <definedName name="uiui_2" localSheetId="0" hidden="1">{#N/A,#N/A,FALSE,"Umsatz HM";#N/A,#N/A,FALSE,"ER HM";#N/A,#N/A,FALSE,"EA HM  (2)";#N/A,#N/A,FALSE,"EA HM ";#N/A,#N/A,FALSE,"EA HM  (4)";#N/A,#N/A,FALSE,"EA HM  (3)";#N/A,#N/A,FALSE,"KA HM  (2)";#N/A,#N/A,FALSE,"KA HM";#N/A,#N/A,FALSE,"KA HM  (3)";#N/A,#N/A,FALSE,"KA HM (4)"}</definedName>
    <definedName name="uiui_2" localSheetId="6" hidden="1">{#N/A,#N/A,FALSE,"Umsatz HM";#N/A,#N/A,FALSE,"ER HM";#N/A,#N/A,FALSE,"EA HM  (2)";#N/A,#N/A,FALSE,"EA HM ";#N/A,#N/A,FALSE,"EA HM  (4)";#N/A,#N/A,FALSE,"EA HM  (3)";#N/A,#N/A,FALSE,"KA HM  (2)";#N/A,#N/A,FALSE,"KA HM";#N/A,#N/A,FALSE,"KA HM  (3)";#N/A,#N/A,FALSE,"KA HM (4)"}</definedName>
    <definedName name="uiui_2" hidden="1">{#N/A,#N/A,FALSE,"Umsatz HM";#N/A,#N/A,FALSE,"ER HM";#N/A,#N/A,FALSE,"EA HM  (2)";#N/A,#N/A,FALSE,"EA HM ";#N/A,#N/A,FALSE,"EA HM  (4)";#N/A,#N/A,FALSE,"EA HM  (3)";#N/A,#N/A,FALSE,"KA HM  (2)";#N/A,#N/A,FALSE,"KA HM";#N/A,#N/A,FALSE,"KA HM  (3)";#N/A,#N/A,FALSE,"KA HM (4)"}</definedName>
    <definedName name="uiui_3" localSheetId="0" hidden="1">{#N/A,#N/A,FALSE,"Umsatz HM";#N/A,#N/A,FALSE,"ER HM";#N/A,#N/A,FALSE,"EA HM  (2)";#N/A,#N/A,FALSE,"EA HM ";#N/A,#N/A,FALSE,"EA HM  (4)";#N/A,#N/A,FALSE,"EA HM  (3)";#N/A,#N/A,FALSE,"KA HM  (2)";#N/A,#N/A,FALSE,"KA HM";#N/A,#N/A,FALSE,"KA HM  (3)";#N/A,#N/A,FALSE,"KA HM (4)"}</definedName>
    <definedName name="uiui_3" localSheetId="6" hidden="1">{#N/A,#N/A,FALSE,"Umsatz HM";#N/A,#N/A,FALSE,"ER HM";#N/A,#N/A,FALSE,"EA HM  (2)";#N/A,#N/A,FALSE,"EA HM ";#N/A,#N/A,FALSE,"EA HM  (4)";#N/A,#N/A,FALSE,"EA HM  (3)";#N/A,#N/A,FALSE,"KA HM  (2)";#N/A,#N/A,FALSE,"KA HM";#N/A,#N/A,FALSE,"KA HM  (3)";#N/A,#N/A,FALSE,"KA HM (4)"}</definedName>
    <definedName name="uiui_3" hidden="1">{#N/A,#N/A,FALSE,"Umsatz HM";#N/A,#N/A,FALSE,"ER HM";#N/A,#N/A,FALSE,"EA HM  (2)";#N/A,#N/A,FALSE,"EA HM ";#N/A,#N/A,FALSE,"EA HM  (4)";#N/A,#N/A,FALSE,"EA HM  (3)";#N/A,#N/A,FALSE,"KA HM  (2)";#N/A,#N/A,FALSE,"KA HM";#N/A,#N/A,FALSE,"KA HM  (3)";#N/A,#N/A,FALSE,"KA HM (4)"}</definedName>
    <definedName name="uiui_4" localSheetId="0" hidden="1">{#N/A,#N/A,FALSE,"Umsatz HM";#N/A,#N/A,FALSE,"ER HM";#N/A,#N/A,FALSE,"EA HM  (2)";#N/A,#N/A,FALSE,"EA HM ";#N/A,#N/A,FALSE,"EA HM  (4)";#N/A,#N/A,FALSE,"EA HM  (3)";#N/A,#N/A,FALSE,"KA HM  (2)";#N/A,#N/A,FALSE,"KA HM";#N/A,#N/A,FALSE,"KA HM  (3)";#N/A,#N/A,FALSE,"KA HM (4)"}</definedName>
    <definedName name="uiui_4" localSheetId="6" hidden="1">{#N/A,#N/A,FALSE,"Umsatz HM";#N/A,#N/A,FALSE,"ER HM";#N/A,#N/A,FALSE,"EA HM  (2)";#N/A,#N/A,FALSE,"EA HM ";#N/A,#N/A,FALSE,"EA HM  (4)";#N/A,#N/A,FALSE,"EA HM  (3)";#N/A,#N/A,FALSE,"KA HM  (2)";#N/A,#N/A,FALSE,"KA HM";#N/A,#N/A,FALSE,"KA HM  (3)";#N/A,#N/A,FALSE,"KA HM (4)"}</definedName>
    <definedName name="uiui_4" hidden="1">{#N/A,#N/A,FALSE,"Umsatz HM";#N/A,#N/A,FALSE,"ER HM";#N/A,#N/A,FALSE,"EA HM  (2)";#N/A,#N/A,FALSE,"EA HM ";#N/A,#N/A,FALSE,"EA HM  (4)";#N/A,#N/A,FALSE,"EA HM  (3)";#N/A,#N/A,FALSE,"KA HM  (2)";#N/A,#N/A,FALSE,"KA HM";#N/A,#N/A,FALSE,"KA HM  (3)";#N/A,#N/A,FALSE,"KA HM (4)"}</definedName>
    <definedName name="uiui_5" localSheetId="0" hidden="1">{#N/A,#N/A,FALSE,"Umsatz HM";#N/A,#N/A,FALSE,"ER HM";#N/A,#N/A,FALSE,"EA HM  (2)";#N/A,#N/A,FALSE,"EA HM ";#N/A,#N/A,FALSE,"EA HM  (4)";#N/A,#N/A,FALSE,"EA HM  (3)";#N/A,#N/A,FALSE,"KA HM  (2)";#N/A,#N/A,FALSE,"KA HM";#N/A,#N/A,FALSE,"KA HM  (3)";#N/A,#N/A,FALSE,"KA HM (4)"}</definedName>
    <definedName name="uiui_5" localSheetId="6" hidden="1">{#N/A,#N/A,FALSE,"Umsatz HM";#N/A,#N/A,FALSE,"ER HM";#N/A,#N/A,FALSE,"EA HM  (2)";#N/A,#N/A,FALSE,"EA HM ";#N/A,#N/A,FALSE,"EA HM  (4)";#N/A,#N/A,FALSE,"EA HM  (3)";#N/A,#N/A,FALSE,"KA HM  (2)";#N/A,#N/A,FALSE,"KA HM";#N/A,#N/A,FALSE,"KA HM  (3)";#N/A,#N/A,FALSE,"KA HM (4)"}</definedName>
    <definedName name="uiui_5" hidden="1">{#N/A,#N/A,FALSE,"Umsatz HM";#N/A,#N/A,FALSE,"ER HM";#N/A,#N/A,FALSE,"EA HM  (2)";#N/A,#N/A,FALSE,"EA HM ";#N/A,#N/A,FALSE,"EA HM  (4)";#N/A,#N/A,FALSE,"EA HM  (3)";#N/A,#N/A,FALSE,"KA HM  (2)";#N/A,#N/A,FALSE,"KA HM";#N/A,#N/A,FALSE,"KA HM  (3)";#N/A,#N/A,FALSE,"KA HM (4)"}</definedName>
    <definedName name="uiy" localSheetId="6" hidden="1">{#N/A,#N/A,TRUE,"Cover";#N/A,#N/A,TRUE,"Conts";#N/A,#N/A,TRUE,"VOS";#N/A,#N/A,TRUE,"Warrington";#N/A,#N/A,TRUE,"Widnes"}</definedName>
    <definedName name="uiy" hidden="1">{#N/A,#N/A,TRUE,"Cover";#N/A,#N/A,TRUE,"Conts";#N/A,#N/A,TRUE,"VOS";#N/A,#N/A,TRUE,"Warrington";#N/A,#N/A,TRUE,"Widnes"}</definedName>
    <definedName name="uiy_1" localSheetId="6" hidden="1">{#N/A,#N/A,TRUE,"Cover";#N/A,#N/A,TRUE,"Conts";#N/A,#N/A,TRUE,"VOS";#N/A,#N/A,TRUE,"Warrington";#N/A,#N/A,TRUE,"Widnes"}</definedName>
    <definedName name="uiy_1" hidden="1">{#N/A,#N/A,TRUE,"Cover";#N/A,#N/A,TRUE,"Conts";#N/A,#N/A,TRUE,"VOS";#N/A,#N/A,TRUE,"Warrington";#N/A,#N/A,TRUE,"Widnes"}</definedName>
    <definedName name="uiyg" localSheetId="0" hidden="1">{#N/A,#N/A,FALSE,"COMP"}</definedName>
    <definedName name="uiyg" localSheetId="6" hidden="1">{#N/A,#N/A,FALSE,"COMP"}</definedName>
    <definedName name="uiyg" hidden="1">{#N/A,#N/A,FALSE,"COMP"}</definedName>
    <definedName name="uj" localSheetId="6"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_1" localSheetId="6" hidden="1">{#N/A,#N/A,FALSE,"SumG";#N/A,#N/A,FALSE,"ElecG";#N/A,#N/A,FALSE,"MechG";#N/A,#N/A,FALSE,"GeotG";#N/A,#N/A,FALSE,"PrcsG";#N/A,#N/A,FALSE,"TunnG";#N/A,#N/A,FALSE,"CivlG";#N/A,#N/A,FALSE,"NtwkG";#N/A,#N/A,FALSE,"EstgG";#N/A,#N/A,FALSE,"PEngG"}</definedName>
    <definedName name="uj_1" hidden="1">{#N/A,#N/A,FALSE,"SumG";#N/A,#N/A,FALSE,"ElecG";#N/A,#N/A,FALSE,"MechG";#N/A,#N/A,FALSE,"GeotG";#N/A,#N/A,FALSE,"PrcsG";#N/A,#N/A,FALSE,"TunnG";#N/A,#N/A,FALSE,"CivlG";#N/A,#N/A,FALSE,"NtwkG";#N/A,#N/A,FALSE,"EstgG";#N/A,#N/A,FALSE,"PEngG"}</definedName>
    <definedName name="ujn" localSheetId="0" hidden="1">{#N/A,#N/A,TRUE,"PROFIT 11-95"}</definedName>
    <definedName name="ujn" localSheetId="6" hidden="1">{#N/A,#N/A,TRUE,"PROFIT 11-95"}</definedName>
    <definedName name="ujn" hidden="1">{#N/A,#N/A,TRUE,"PROFIT 11-95"}</definedName>
    <definedName name="Umlage">#REF!</definedName>
    <definedName name="Umsatz">#REF!</definedName>
    <definedName name="umum" localSheetId="0" hidden="1">{#N/A,#N/A,FALSE,"Assessment";#N/A,#N/A,FALSE,"Staffing";#N/A,#N/A,FALSE,"Hires";#N/A,#N/A,FALSE,"Assumptions"}</definedName>
    <definedName name="umum" localSheetId="6" hidden="1">{#N/A,#N/A,FALSE,"Assessment";#N/A,#N/A,FALSE,"Staffing";#N/A,#N/A,FALSE,"Hires";#N/A,#N/A,FALSE,"Assumptions"}</definedName>
    <definedName name="umum" hidden="1">{#N/A,#N/A,FALSE,"Assessment";#N/A,#N/A,FALSE,"Staffing";#N/A,#N/A,FALSE,"Hires";#N/A,#N/A,FALSE,"Assumptions"}</definedName>
    <definedName name="umum_1" localSheetId="0" hidden="1">{#N/A,#N/A,FALSE,"Assessment";#N/A,#N/A,FALSE,"Staffing";#N/A,#N/A,FALSE,"Hires";#N/A,#N/A,FALSE,"Assumptions"}</definedName>
    <definedName name="umum_1" localSheetId="6" hidden="1">{#N/A,#N/A,FALSE,"Assessment";#N/A,#N/A,FALSE,"Staffing";#N/A,#N/A,FALSE,"Hires";#N/A,#N/A,FALSE,"Assumptions"}</definedName>
    <definedName name="umum_1" hidden="1">{#N/A,#N/A,FALSE,"Assessment";#N/A,#N/A,FALSE,"Staffing";#N/A,#N/A,FALSE,"Hires";#N/A,#N/A,FALSE,"Assumptions"}</definedName>
    <definedName name="undo" hidden="1">#REF!</definedName>
    <definedName name="undo_1" localSheetId="6" hidden="1">{#N/A,#N/A,TRUE,"Cover";#N/A,#N/A,TRUE,"Conts";#N/A,#N/A,TRUE,"VOS";#N/A,#N/A,TRUE,"Warrington";#N/A,#N/A,TRUE,"Widnes"}</definedName>
    <definedName name="undo_1" hidden="1">{#N/A,#N/A,TRUE,"Cover";#N/A,#N/A,TRUE,"Conts";#N/A,#N/A,TRUE,"VOS";#N/A,#N/A,TRUE,"Warrington";#N/A,#N/A,TRUE,"Widnes"}</definedName>
    <definedName name="UNI_AA_VERSION" hidden="1">"150.2.0"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t" hidden="1">#REF!</definedName>
    <definedName name="Unit_1" localSheetId="0" hidden="1">{#N/A,#N/A,FALSE,"Pharm";#N/A,#N/A,FALSE,"WWCM"}</definedName>
    <definedName name="Unit_1" localSheetId="6" hidden="1">{#N/A,#N/A,FALSE,"Pharm";#N/A,#N/A,FALSE,"WWCM"}</definedName>
    <definedName name="Unit_1" hidden="1">{#N/A,#N/A,FALSE,"Pharm";#N/A,#N/A,FALSE,"WWCM"}</definedName>
    <definedName name="Unit_1_1" localSheetId="0" hidden="1">{#N/A,#N/A,FALSE,"Pharm";#N/A,#N/A,FALSE,"WWCM"}</definedName>
    <definedName name="Unit_1_1" localSheetId="6" hidden="1">{#N/A,#N/A,FALSE,"Pharm";#N/A,#N/A,FALSE,"WWCM"}</definedName>
    <definedName name="Unit_1_1" hidden="1">{#N/A,#N/A,FALSE,"Pharm";#N/A,#N/A,FALSE,"WWCM"}</definedName>
    <definedName name="Unit_2" localSheetId="0" hidden="1">{#N/A,#N/A,FALSE,"Pharm";#N/A,#N/A,FALSE,"WWCM"}</definedName>
    <definedName name="Unit_2" localSheetId="6" hidden="1">{#N/A,#N/A,FALSE,"Pharm";#N/A,#N/A,FALSE,"WWCM"}</definedName>
    <definedName name="Unit_2" hidden="1">{#N/A,#N/A,FALSE,"Pharm";#N/A,#N/A,FALSE,"WWCM"}</definedName>
    <definedName name="Unit_3" localSheetId="0" hidden="1">{#N/A,#N/A,FALSE,"Pharm";#N/A,#N/A,FALSE,"WWCM"}</definedName>
    <definedName name="Unit_3" localSheetId="6" hidden="1">{#N/A,#N/A,FALSE,"Pharm";#N/A,#N/A,FALSE,"WWCM"}</definedName>
    <definedName name="Unit_3" hidden="1">{#N/A,#N/A,FALSE,"Pharm";#N/A,#N/A,FALSE,"WWCM"}</definedName>
    <definedName name="Unit_4" localSheetId="0" hidden="1">{#N/A,#N/A,FALSE,"Pharm";#N/A,#N/A,FALSE,"WWCM"}</definedName>
    <definedName name="Unit_4" localSheetId="6" hidden="1">{#N/A,#N/A,FALSE,"Pharm";#N/A,#N/A,FALSE,"WWCM"}</definedName>
    <definedName name="Unit_4" hidden="1">{#N/A,#N/A,FALSE,"Pharm";#N/A,#N/A,FALSE,"WWCM"}</definedName>
    <definedName name="Unit_5" localSheetId="0" hidden="1">{#N/A,#N/A,FALSE,"Pharm";#N/A,#N/A,FALSE,"WWCM"}</definedName>
    <definedName name="Unit_5" localSheetId="6" hidden="1">{#N/A,#N/A,FALSE,"Pharm";#N/A,#N/A,FALSE,"WWCM"}</definedName>
    <definedName name="Unit_5" hidden="1">{#N/A,#N/A,FALSE,"Pharm";#N/A,#N/A,FALSE,"WWCM"}</definedName>
    <definedName name="UnitA1">#REF!</definedName>
    <definedName name="UnitA2">#REF!</definedName>
    <definedName name="UnitA3">#REF!</definedName>
    <definedName name="UnitA4">#REF!</definedName>
    <definedName name="UnitA5">#REF!</definedName>
    <definedName name="UnitA6">#REF!</definedName>
    <definedName name="Units">#REF!</definedName>
    <definedName name="UnitSymbol">#REF!</definedName>
    <definedName name="UNREALIZED_GAIN" hidden="1">"UNREALIZED_GAIN"</definedName>
    <definedName name="UNUSUAL_EXP" hidden="1">"UNUSUAL_EXP"</definedName>
    <definedName name="unyyum" localSheetId="0" hidden="1">{#N/A,#N/A,FALSE,"Assessment";#N/A,#N/A,FALSE,"Staffing";#N/A,#N/A,FALSE,"Hires";#N/A,#N/A,FALSE,"Assumptions"}</definedName>
    <definedName name="unyyum" localSheetId="6" hidden="1">{#N/A,#N/A,FALSE,"Assessment";#N/A,#N/A,FALSE,"Staffing";#N/A,#N/A,FALSE,"Hires";#N/A,#N/A,FALSE,"Assumptions"}</definedName>
    <definedName name="unyyum" hidden="1">{#N/A,#N/A,FALSE,"Assessment";#N/A,#N/A,FALSE,"Staffing";#N/A,#N/A,FALSE,"Hires";#N/A,#N/A,FALSE,"Assumptions"}</definedName>
    <definedName name="unyyum_1" localSheetId="0" hidden="1">{#N/A,#N/A,FALSE,"Assessment";#N/A,#N/A,FALSE,"Staffing";#N/A,#N/A,FALSE,"Hires";#N/A,#N/A,FALSE,"Assumptions"}</definedName>
    <definedName name="unyyum_1" localSheetId="6" hidden="1">{#N/A,#N/A,FALSE,"Assessment";#N/A,#N/A,FALSE,"Staffing";#N/A,#N/A,FALSE,"Hires";#N/A,#N/A,FALSE,"Assumptions"}</definedName>
    <definedName name="unyyum_1" hidden="1">{#N/A,#N/A,FALSE,"Assessment";#N/A,#N/A,FALSE,"Staffing";#N/A,#N/A,FALSE,"Hires";#N/A,#N/A,FALSE,"Assumptions"}</definedName>
    <definedName name="uoui"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oui"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oui"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upgrade" hidden="1">#REF!</definedName>
    <definedName name="uplift" hidden="1">MAX(1,IFERROR( IF(#REF! &lt; 1, 1+#REF!,#REF!), 1)) * MAX(1, IFERROR( IF(#REF! &lt; 1, 1+#REF!,#REF!), 1))</definedName>
    <definedName name="US_GAAP" hidden="1">"US_GAAP"</definedName>
    <definedName name="usbs" localSheetId="6" hidden="1">{#N/A,#N/A,TRUE,"Total Allocation";#N/A,#N/A,TRUE,"Capital Software";#N/A,#N/A,TRUE,"Misc";#N/A,#N/A,TRUE,"NAOG"}</definedName>
    <definedName name="usbs" hidden="1">{#N/A,#N/A,TRUE,"Total Allocation";#N/A,#N/A,TRUE,"Capital Software";#N/A,#N/A,TRUE,"Misc";#N/A,#N/A,TRUE,"NAOG"}</definedName>
    <definedName name="USD" localSheetId="0">#REF!</definedName>
    <definedName name="USD">#REF!</definedName>
    <definedName name="UseEC">#REF!</definedName>
    <definedName name="utg" localSheetId="0" hidden="1">{#N/A,#N/A,FALSE,"Tabl. H1";#N/A,#N/A,FALSE,"Tabl. H2"}</definedName>
    <definedName name="utg" localSheetId="6" hidden="1">{#N/A,#N/A,FALSE,"Tabl. H1";#N/A,#N/A,FALSE,"Tabl. H2"}</definedName>
    <definedName name="utg" hidden="1">{#N/A,#N/A,FALSE,"Tabl. H1";#N/A,#N/A,FALSE,"Tabl. H2"}</definedName>
    <definedName name="utyt" localSheetId="0" hidden="1">{"vue1",#N/A,FALSE,"synthese";"vue2",#N/A,FALSE,"synthese"}</definedName>
    <definedName name="utyt" localSheetId="6" hidden="1">{"vue1",#N/A,FALSE,"synthese";"vue2",#N/A,FALSE,"synthese"}</definedName>
    <definedName name="utyt" hidden="1">{"vue1",#N/A,FALSE,"synthese";"vue2",#N/A,FALSE,"synthese"}</definedName>
    <definedName name="uu" localSheetId="0" hidden="1">{"Graphic",#N/A,TRUE,"Graphic"}</definedName>
    <definedName name="uu" localSheetId="6" hidden="1">{"Graphic",#N/A,TRUE,"Graphic"}</definedName>
    <definedName name="uu" hidden="1">{"Graphic",#N/A,TRUE,"Graphic"}</definedName>
    <definedName name="uu.kk" localSheetId="0" hidden="1">{#N/A,#N/A,FALSE,"KA CH  (2)"}</definedName>
    <definedName name="uu.kk" localSheetId="6" hidden="1">{#N/A,#N/A,FALSE,"KA CH  (2)"}</definedName>
    <definedName name="uu.kk" hidden="1">{#N/A,#N/A,FALSE,"KA CH  (2)"}</definedName>
    <definedName name="uu.kk_1" localSheetId="0" hidden="1">{#N/A,#N/A,FALSE,"KA CH  (2)"}</definedName>
    <definedName name="uu.kk_1" localSheetId="6" hidden="1">{#N/A,#N/A,FALSE,"KA CH  (2)"}</definedName>
    <definedName name="uu.kk_1" hidden="1">{#N/A,#N/A,FALSE,"KA CH  (2)"}</definedName>
    <definedName name="uu.kk_1_1" localSheetId="0" hidden="1">{#N/A,#N/A,FALSE,"KA CH  (2)"}</definedName>
    <definedName name="uu.kk_1_1" localSheetId="6" hidden="1">{#N/A,#N/A,FALSE,"KA CH  (2)"}</definedName>
    <definedName name="uu.kk_1_1" hidden="1">{#N/A,#N/A,FALSE,"KA CH  (2)"}</definedName>
    <definedName name="uu.kk_2" localSheetId="0" hidden="1">{#N/A,#N/A,FALSE,"KA CH  (2)"}</definedName>
    <definedName name="uu.kk_2" localSheetId="6" hidden="1">{#N/A,#N/A,FALSE,"KA CH  (2)"}</definedName>
    <definedName name="uu.kk_2" hidden="1">{#N/A,#N/A,FALSE,"KA CH  (2)"}</definedName>
    <definedName name="uu.kk_3" localSheetId="0" hidden="1">{#N/A,#N/A,FALSE,"KA CH  (2)"}</definedName>
    <definedName name="uu.kk_3" localSheetId="6" hidden="1">{#N/A,#N/A,FALSE,"KA CH  (2)"}</definedName>
    <definedName name="uu.kk_3" hidden="1">{#N/A,#N/A,FALSE,"KA CH  (2)"}</definedName>
    <definedName name="uu.kk_4" localSheetId="0" hidden="1">{#N/A,#N/A,FALSE,"KA CH  (2)"}</definedName>
    <definedName name="uu.kk_4" localSheetId="6" hidden="1">{#N/A,#N/A,FALSE,"KA CH  (2)"}</definedName>
    <definedName name="uu.kk_4" hidden="1">{#N/A,#N/A,FALSE,"KA CH  (2)"}</definedName>
    <definedName name="uu.kk_5" localSheetId="0" hidden="1">{#N/A,#N/A,FALSE,"KA CH  (2)"}</definedName>
    <definedName name="uu.kk_5" localSheetId="6" hidden="1">{#N/A,#N/A,FALSE,"KA CH  (2)"}</definedName>
    <definedName name="uu.kk_5" hidden="1">{#N/A,#N/A,FALSE,"KA CH  (2)"}</definedName>
    <definedName name="üü.l" localSheetId="0" hidden="1">{#N/A,#N/A,FALSE,"Umsatz EO BP";#N/A,#N/A,FALSE,"Umsatz EO OP";#N/A,#N/A,FALSE,"ER EO BP";#N/A,#N/A,FALSE,"ER EO OP";#N/A,#N/A,FALSE,"EA EO (2)";#N/A,#N/A,FALSE,"EA EO";#N/A,#N/A,FALSE,"EA EO (3)";#N/A,#N/A,FALSE,"EA EO (4)";#N/A,#N/A,FALSE,"KA EO  (2)";#N/A,#N/A,FALSE,"KA EO";#N/A,#N/A,FALSE,"KA EO  (3)";#N/A,#N/A,FALSE,"KA EO (4)"}</definedName>
    <definedName name="üü.l" localSheetId="6" hidden="1">{#N/A,#N/A,FALSE,"Umsatz EO BP";#N/A,#N/A,FALSE,"Umsatz EO OP";#N/A,#N/A,FALSE,"ER EO BP";#N/A,#N/A,FALSE,"ER EO OP";#N/A,#N/A,FALSE,"EA EO (2)";#N/A,#N/A,FALSE,"EA EO";#N/A,#N/A,FALSE,"EA EO (3)";#N/A,#N/A,FALSE,"EA EO (4)";#N/A,#N/A,FALSE,"KA EO  (2)";#N/A,#N/A,FALSE,"KA EO";#N/A,#N/A,FALSE,"KA EO  (3)";#N/A,#N/A,FALSE,"KA EO (4)"}</definedName>
    <definedName name="üü.l" hidden="1">{#N/A,#N/A,FALSE,"Umsatz EO BP";#N/A,#N/A,FALSE,"Umsatz EO OP";#N/A,#N/A,FALSE,"ER EO BP";#N/A,#N/A,FALSE,"ER EO OP";#N/A,#N/A,FALSE,"EA EO (2)";#N/A,#N/A,FALSE,"EA EO";#N/A,#N/A,FALSE,"EA EO (3)";#N/A,#N/A,FALSE,"EA EO (4)";#N/A,#N/A,FALSE,"KA EO  (2)";#N/A,#N/A,FALSE,"KA EO";#N/A,#N/A,FALSE,"KA EO  (3)";#N/A,#N/A,FALSE,"KA EO (4)"}</definedName>
    <definedName name="üü.l_1" localSheetId="0" hidden="1">{#N/A,#N/A,FALSE,"Umsatz EO BP";#N/A,#N/A,FALSE,"Umsatz EO OP";#N/A,#N/A,FALSE,"ER EO BP";#N/A,#N/A,FALSE,"ER EO OP";#N/A,#N/A,FALSE,"EA EO (2)";#N/A,#N/A,FALSE,"EA EO";#N/A,#N/A,FALSE,"EA EO (3)";#N/A,#N/A,FALSE,"EA EO (4)";#N/A,#N/A,FALSE,"KA EO  (2)";#N/A,#N/A,FALSE,"KA EO";#N/A,#N/A,FALSE,"KA EO  (3)";#N/A,#N/A,FALSE,"KA EO (4)"}</definedName>
    <definedName name="üü.l_1" localSheetId="6" hidden="1">{#N/A,#N/A,FALSE,"Umsatz EO BP";#N/A,#N/A,FALSE,"Umsatz EO OP";#N/A,#N/A,FALSE,"ER EO BP";#N/A,#N/A,FALSE,"ER EO OP";#N/A,#N/A,FALSE,"EA EO (2)";#N/A,#N/A,FALSE,"EA EO";#N/A,#N/A,FALSE,"EA EO (3)";#N/A,#N/A,FALSE,"EA EO (4)";#N/A,#N/A,FALSE,"KA EO  (2)";#N/A,#N/A,FALSE,"KA EO";#N/A,#N/A,FALSE,"KA EO  (3)";#N/A,#N/A,FALSE,"KA EO (4)"}</definedName>
    <definedName name="üü.l_1" hidden="1">{#N/A,#N/A,FALSE,"Umsatz EO BP";#N/A,#N/A,FALSE,"Umsatz EO OP";#N/A,#N/A,FALSE,"ER EO BP";#N/A,#N/A,FALSE,"ER EO OP";#N/A,#N/A,FALSE,"EA EO (2)";#N/A,#N/A,FALSE,"EA EO";#N/A,#N/A,FALSE,"EA EO (3)";#N/A,#N/A,FALSE,"EA EO (4)";#N/A,#N/A,FALSE,"KA EO  (2)";#N/A,#N/A,FALSE,"KA EO";#N/A,#N/A,FALSE,"KA EO  (3)";#N/A,#N/A,FALSE,"KA EO (4)"}</definedName>
    <definedName name="üü.l_1_1" localSheetId="0" hidden="1">{#N/A,#N/A,FALSE,"Umsatz EO BP";#N/A,#N/A,FALSE,"Umsatz EO OP";#N/A,#N/A,FALSE,"ER EO BP";#N/A,#N/A,FALSE,"ER EO OP";#N/A,#N/A,FALSE,"EA EO (2)";#N/A,#N/A,FALSE,"EA EO";#N/A,#N/A,FALSE,"EA EO (3)";#N/A,#N/A,FALSE,"EA EO (4)";#N/A,#N/A,FALSE,"KA EO  (2)";#N/A,#N/A,FALSE,"KA EO";#N/A,#N/A,FALSE,"KA EO  (3)";#N/A,#N/A,FALSE,"KA EO (4)"}</definedName>
    <definedName name="üü.l_1_1" localSheetId="6" hidden="1">{#N/A,#N/A,FALSE,"Umsatz EO BP";#N/A,#N/A,FALSE,"Umsatz EO OP";#N/A,#N/A,FALSE,"ER EO BP";#N/A,#N/A,FALSE,"ER EO OP";#N/A,#N/A,FALSE,"EA EO (2)";#N/A,#N/A,FALSE,"EA EO";#N/A,#N/A,FALSE,"EA EO (3)";#N/A,#N/A,FALSE,"EA EO (4)";#N/A,#N/A,FALSE,"KA EO  (2)";#N/A,#N/A,FALSE,"KA EO";#N/A,#N/A,FALSE,"KA EO  (3)";#N/A,#N/A,FALSE,"KA EO (4)"}</definedName>
    <definedName name="üü.l_1_1" hidden="1">{#N/A,#N/A,FALSE,"Umsatz EO BP";#N/A,#N/A,FALSE,"Umsatz EO OP";#N/A,#N/A,FALSE,"ER EO BP";#N/A,#N/A,FALSE,"ER EO OP";#N/A,#N/A,FALSE,"EA EO (2)";#N/A,#N/A,FALSE,"EA EO";#N/A,#N/A,FALSE,"EA EO (3)";#N/A,#N/A,FALSE,"EA EO (4)";#N/A,#N/A,FALSE,"KA EO  (2)";#N/A,#N/A,FALSE,"KA EO";#N/A,#N/A,FALSE,"KA EO  (3)";#N/A,#N/A,FALSE,"KA EO (4)"}</definedName>
    <definedName name="üü.l_2" localSheetId="0" hidden="1">{#N/A,#N/A,FALSE,"Umsatz EO BP";#N/A,#N/A,FALSE,"Umsatz EO OP";#N/A,#N/A,FALSE,"ER EO BP";#N/A,#N/A,FALSE,"ER EO OP";#N/A,#N/A,FALSE,"EA EO (2)";#N/A,#N/A,FALSE,"EA EO";#N/A,#N/A,FALSE,"EA EO (3)";#N/A,#N/A,FALSE,"EA EO (4)";#N/A,#N/A,FALSE,"KA EO  (2)";#N/A,#N/A,FALSE,"KA EO";#N/A,#N/A,FALSE,"KA EO  (3)";#N/A,#N/A,FALSE,"KA EO (4)"}</definedName>
    <definedName name="üü.l_2" localSheetId="6" hidden="1">{#N/A,#N/A,FALSE,"Umsatz EO BP";#N/A,#N/A,FALSE,"Umsatz EO OP";#N/A,#N/A,FALSE,"ER EO BP";#N/A,#N/A,FALSE,"ER EO OP";#N/A,#N/A,FALSE,"EA EO (2)";#N/A,#N/A,FALSE,"EA EO";#N/A,#N/A,FALSE,"EA EO (3)";#N/A,#N/A,FALSE,"EA EO (4)";#N/A,#N/A,FALSE,"KA EO  (2)";#N/A,#N/A,FALSE,"KA EO";#N/A,#N/A,FALSE,"KA EO  (3)";#N/A,#N/A,FALSE,"KA EO (4)"}</definedName>
    <definedName name="üü.l_2" hidden="1">{#N/A,#N/A,FALSE,"Umsatz EO BP";#N/A,#N/A,FALSE,"Umsatz EO OP";#N/A,#N/A,FALSE,"ER EO BP";#N/A,#N/A,FALSE,"ER EO OP";#N/A,#N/A,FALSE,"EA EO (2)";#N/A,#N/A,FALSE,"EA EO";#N/A,#N/A,FALSE,"EA EO (3)";#N/A,#N/A,FALSE,"EA EO (4)";#N/A,#N/A,FALSE,"KA EO  (2)";#N/A,#N/A,FALSE,"KA EO";#N/A,#N/A,FALSE,"KA EO  (3)";#N/A,#N/A,FALSE,"KA EO (4)"}</definedName>
    <definedName name="üü.l_3" localSheetId="0" hidden="1">{#N/A,#N/A,FALSE,"Umsatz EO BP";#N/A,#N/A,FALSE,"Umsatz EO OP";#N/A,#N/A,FALSE,"ER EO BP";#N/A,#N/A,FALSE,"ER EO OP";#N/A,#N/A,FALSE,"EA EO (2)";#N/A,#N/A,FALSE,"EA EO";#N/A,#N/A,FALSE,"EA EO (3)";#N/A,#N/A,FALSE,"EA EO (4)";#N/A,#N/A,FALSE,"KA EO  (2)";#N/A,#N/A,FALSE,"KA EO";#N/A,#N/A,FALSE,"KA EO  (3)";#N/A,#N/A,FALSE,"KA EO (4)"}</definedName>
    <definedName name="üü.l_3" localSheetId="6" hidden="1">{#N/A,#N/A,FALSE,"Umsatz EO BP";#N/A,#N/A,FALSE,"Umsatz EO OP";#N/A,#N/A,FALSE,"ER EO BP";#N/A,#N/A,FALSE,"ER EO OP";#N/A,#N/A,FALSE,"EA EO (2)";#N/A,#N/A,FALSE,"EA EO";#N/A,#N/A,FALSE,"EA EO (3)";#N/A,#N/A,FALSE,"EA EO (4)";#N/A,#N/A,FALSE,"KA EO  (2)";#N/A,#N/A,FALSE,"KA EO";#N/A,#N/A,FALSE,"KA EO  (3)";#N/A,#N/A,FALSE,"KA EO (4)"}</definedName>
    <definedName name="üü.l_3" hidden="1">{#N/A,#N/A,FALSE,"Umsatz EO BP";#N/A,#N/A,FALSE,"Umsatz EO OP";#N/A,#N/A,FALSE,"ER EO BP";#N/A,#N/A,FALSE,"ER EO OP";#N/A,#N/A,FALSE,"EA EO (2)";#N/A,#N/A,FALSE,"EA EO";#N/A,#N/A,FALSE,"EA EO (3)";#N/A,#N/A,FALSE,"EA EO (4)";#N/A,#N/A,FALSE,"KA EO  (2)";#N/A,#N/A,FALSE,"KA EO";#N/A,#N/A,FALSE,"KA EO  (3)";#N/A,#N/A,FALSE,"KA EO (4)"}</definedName>
    <definedName name="üü.l_4" localSheetId="0" hidden="1">{#N/A,#N/A,FALSE,"Umsatz EO BP";#N/A,#N/A,FALSE,"Umsatz EO OP";#N/A,#N/A,FALSE,"ER EO BP";#N/A,#N/A,FALSE,"ER EO OP";#N/A,#N/A,FALSE,"EA EO (2)";#N/A,#N/A,FALSE,"EA EO";#N/A,#N/A,FALSE,"EA EO (3)";#N/A,#N/A,FALSE,"EA EO (4)";#N/A,#N/A,FALSE,"KA EO  (2)";#N/A,#N/A,FALSE,"KA EO";#N/A,#N/A,FALSE,"KA EO  (3)";#N/A,#N/A,FALSE,"KA EO (4)"}</definedName>
    <definedName name="üü.l_4" localSheetId="6" hidden="1">{#N/A,#N/A,FALSE,"Umsatz EO BP";#N/A,#N/A,FALSE,"Umsatz EO OP";#N/A,#N/A,FALSE,"ER EO BP";#N/A,#N/A,FALSE,"ER EO OP";#N/A,#N/A,FALSE,"EA EO (2)";#N/A,#N/A,FALSE,"EA EO";#N/A,#N/A,FALSE,"EA EO (3)";#N/A,#N/A,FALSE,"EA EO (4)";#N/A,#N/A,FALSE,"KA EO  (2)";#N/A,#N/A,FALSE,"KA EO";#N/A,#N/A,FALSE,"KA EO  (3)";#N/A,#N/A,FALSE,"KA EO (4)"}</definedName>
    <definedName name="üü.l_4" hidden="1">{#N/A,#N/A,FALSE,"Umsatz EO BP";#N/A,#N/A,FALSE,"Umsatz EO OP";#N/A,#N/A,FALSE,"ER EO BP";#N/A,#N/A,FALSE,"ER EO OP";#N/A,#N/A,FALSE,"EA EO (2)";#N/A,#N/A,FALSE,"EA EO";#N/A,#N/A,FALSE,"EA EO (3)";#N/A,#N/A,FALSE,"EA EO (4)";#N/A,#N/A,FALSE,"KA EO  (2)";#N/A,#N/A,FALSE,"KA EO";#N/A,#N/A,FALSE,"KA EO  (3)";#N/A,#N/A,FALSE,"KA EO (4)"}</definedName>
    <definedName name="üü.l_5" localSheetId="0" hidden="1">{#N/A,#N/A,FALSE,"Umsatz EO BP";#N/A,#N/A,FALSE,"Umsatz EO OP";#N/A,#N/A,FALSE,"ER EO BP";#N/A,#N/A,FALSE,"ER EO OP";#N/A,#N/A,FALSE,"EA EO (2)";#N/A,#N/A,FALSE,"EA EO";#N/A,#N/A,FALSE,"EA EO (3)";#N/A,#N/A,FALSE,"EA EO (4)";#N/A,#N/A,FALSE,"KA EO  (2)";#N/A,#N/A,FALSE,"KA EO";#N/A,#N/A,FALSE,"KA EO  (3)";#N/A,#N/A,FALSE,"KA EO (4)"}</definedName>
    <definedName name="üü.l_5" localSheetId="6" hidden="1">{#N/A,#N/A,FALSE,"Umsatz EO BP";#N/A,#N/A,FALSE,"Umsatz EO OP";#N/A,#N/A,FALSE,"ER EO BP";#N/A,#N/A,FALSE,"ER EO OP";#N/A,#N/A,FALSE,"EA EO (2)";#N/A,#N/A,FALSE,"EA EO";#N/A,#N/A,FALSE,"EA EO (3)";#N/A,#N/A,FALSE,"EA EO (4)";#N/A,#N/A,FALSE,"KA EO  (2)";#N/A,#N/A,FALSE,"KA EO";#N/A,#N/A,FALSE,"KA EO  (3)";#N/A,#N/A,FALSE,"KA EO (4)"}</definedName>
    <definedName name="üü.l_5" hidden="1">{#N/A,#N/A,FALSE,"Umsatz EO BP";#N/A,#N/A,FALSE,"Umsatz EO OP";#N/A,#N/A,FALSE,"ER EO BP";#N/A,#N/A,FALSE,"ER EO OP";#N/A,#N/A,FALSE,"EA EO (2)";#N/A,#N/A,FALSE,"EA EO";#N/A,#N/A,FALSE,"EA EO (3)";#N/A,#N/A,FALSE,"EA EO (4)";#N/A,#N/A,FALSE,"KA EO  (2)";#N/A,#N/A,FALSE,"KA EO";#N/A,#N/A,FALSE,"KA EO  (3)";#N/A,#N/A,FALSE,"KA EO (4)"}</definedName>
    <definedName name="uu_1" localSheetId="0" hidden="1">{"Graphic",#N/A,TRUE,"Graphic"}</definedName>
    <definedName name="uu_1" localSheetId="6" hidden="1">{"Graphic",#N/A,TRUE,"Graphic"}</definedName>
    <definedName name="uu_1" hidden="1">{"Graphic",#N/A,TRUE,"Graphic"}</definedName>
    <definedName name="UUJNN?JNJ" localSheetId="0" hidden="1">{#N/A,#N/A,FALSE,"Tabl. G1";#N/A,#N/A,FALSE,"Tabl. G2"}</definedName>
    <definedName name="UUJNN?JNJ" localSheetId="6" hidden="1">{#N/A,#N/A,FALSE,"Tabl. G1";#N/A,#N/A,FALSE,"Tabl. G2"}</definedName>
    <definedName name="UUJNN?JNJ" hidden="1">{#N/A,#N/A,FALSE,"Tabl. G1";#N/A,#N/A,FALSE,"Tabl. G2"}</definedName>
    <definedName name="uutyi" localSheetId="0" hidden="1">{"vue1",#N/A,FALSE,"synthese";"vue2",#N/A,FALSE,"synthese"}</definedName>
    <definedName name="uutyi" localSheetId="6" hidden="1">{"vue1",#N/A,FALSE,"synthese";"vue2",#N/A,FALSE,"synthese"}</definedName>
    <definedName name="uutyi" hidden="1">{"vue1",#N/A,FALSE,"synthese";"vue2",#N/A,FALSE,"synthese"}</definedName>
    <definedName name="üüü" localSheetId="0" hidden="1">{#N/A,#N/A,FALSE,"Umsatz HM";#N/A,#N/A,FALSE,"ER HM";#N/A,#N/A,FALSE,"EA HM  (2)";#N/A,#N/A,FALSE,"EA HM ";#N/A,#N/A,FALSE,"EA HM  (4)";#N/A,#N/A,FALSE,"EA HM  (3)";#N/A,#N/A,FALSE,"KA HM  (2)";#N/A,#N/A,FALSE,"KA HM";#N/A,#N/A,FALSE,"KA HM  (3)";#N/A,#N/A,FALSE,"KA HM (4)"}</definedName>
    <definedName name="üüü" localSheetId="6" hidden="1">{#N/A,#N/A,FALSE,"Umsatz HM";#N/A,#N/A,FALSE,"ER HM";#N/A,#N/A,FALSE,"EA HM  (2)";#N/A,#N/A,FALSE,"EA HM ";#N/A,#N/A,FALSE,"EA HM  (4)";#N/A,#N/A,FALSE,"EA HM  (3)";#N/A,#N/A,FALSE,"KA HM  (2)";#N/A,#N/A,FALSE,"KA HM";#N/A,#N/A,FALSE,"KA HM  (3)";#N/A,#N/A,FALSE,"KA HM (4)"}</definedName>
    <definedName name="üüü" hidden="1">{#N/A,#N/A,FALSE,"Umsatz HM";#N/A,#N/A,FALSE,"ER HM";#N/A,#N/A,FALSE,"EA HM  (2)";#N/A,#N/A,FALSE,"EA HM ";#N/A,#N/A,FALSE,"EA HM  (4)";#N/A,#N/A,FALSE,"EA HM  (3)";#N/A,#N/A,FALSE,"KA HM  (2)";#N/A,#N/A,FALSE,"KA HM";#N/A,#N/A,FALSE,"KA HM  (3)";#N/A,#N/A,FALSE,"KA HM (4)"}</definedName>
    <definedName name="üüü_1" localSheetId="0" hidden="1">{#N/A,#N/A,FALSE,"Umsatz HM";#N/A,#N/A,FALSE,"ER HM";#N/A,#N/A,FALSE,"EA HM  (2)";#N/A,#N/A,FALSE,"EA HM ";#N/A,#N/A,FALSE,"EA HM  (4)";#N/A,#N/A,FALSE,"EA HM  (3)";#N/A,#N/A,FALSE,"KA HM  (2)";#N/A,#N/A,FALSE,"KA HM";#N/A,#N/A,FALSE,"KA HM  (3)";#N/A,#N/A,FALSE,"KA HM (4)"}</definedName>
    <definedName name="üüü_1" localSheetId="6" hidden="1">{#N/A,#N/A,FALSE,"Umsatz HM";#N/A,#N/A,FALSE,"ER HM";#N/A,#N/A,FALSE,"EA HM  (2)";#N/A,#N/A,FALSE,"EA HM ";#N/A,#N/A,FALSE,"EA HM  (4)";#N/A,#N/A,FALSE,"EA HM  (3)";#N/A,#N/A,FALSE,"KA HM  (2)";#N/A,#N/A,FALSE,"KA HM";#N/A,#N/A,FALSE,"KA HM  (3)";#N/A,#N/A,FALSE,"KA HM (4)"}</definedName>
    <definedName name="üüü_1" hidden="1">{#N/A,#N/A,FALSE,"Umsatz HM";#N/A,#N/A,FALSE,"ER HM";#N/A,#N/A,FALSE,"EA HM  (2)";#N/A,#N/A,FALSE,"EA HM ";#N/A,#N/A,FALSE,"EA HM  (4)";#N/A,#N/A,FALSE,"EA HM  (3)";#N/A,#N/A,FALSE,"KA HM  (2)";#N/A,#N/A,FALSE,"KA HM";#N/A,#N/A,FALSE,"KA HM  (3)";#N/A,#N/A,FALSE,"KA HM (4)"}</definedName>
    <definedName name="üüü_1_1" localSheetId="0" hidden="1">{#N/A,#N/A,FALSE,"Umsatz HM";#N/A,#N/A,FALSE,"ER HM";#N/A,#N/A,FALSE,"EA HM  (2)";#N/A,#N/A,FALSE,"EA HM ";#N/A,#N/A,FALSE,"EA HM  (4)";#N/A,#N/A,FALSE,"EA HM  (3)";#N/A,#N/A,FALSE,"KA HM  (2)";#N/A,#N/A,FALSE,"KA HM";#N/A,#N/A,FALSE,"KA HM  (3)";#N/A,#N/A,FALSE,"KA HM (4)"}</definedName>
    <definedName name="üüü_1_1" localSheetId="6" hidden="1">{#N/A,#N/A,FALSE,"Umsatz HM";#N/A,#N/A,FALSE,"ER HM";#N/A,#N/A,FALSE,"EA HM  (2)";#N/A,#N/A,FALSE,"EA HM ";#N/A,#N/A,FALSE,"EA HM  (4)";#N/A,#N/A,FALSE,"EA HM  (3)";#N/A,#N/A,FALSE,"KA HM  (2)";#N/A,#N/A,FALSE,"KA HM";#N/A,#N/A,FALSE,"KA HM  (3)";#N/A,#N/A,FALSE,"KA HM (4)"}</definedName>
    <definedName name="üüü_1_1" hidden="1">{#N/A,#N/A,FALSE,"Umsatz HM";#N/A,#N/A,FALSE,"ER HM";#N/A,#N/A,FALSE,"EA HM  (2)";#N/A,#N/A,FALSE,"EA HM ";#N/A,#N/A,FALSE,"EA HM  (4)";#N/A,#N/A,FALSE,"EA HM  (3)";#N/A,#N/A,FALSE,"KA HM  (2)";#N/A,#N/A,FALSE,"KA HM";#N/A,#N/A,FALSE,"KA HM  (3)";#N/A,#N/A,FALSE,"KA HM (4)"}</definedName>
    <definedName name="üüü_2" localSheetId="0" hidden="1">{#N/A,#N/A,FALSE,"Umsatz HM";#N/A,#N/A,FALSE,"ER HM";#N/A,#N/A,FALSE,"EA HM  (2)";#N/A,#N/A,FALSE,"EA HM ";#N/A,#N/A,FALSE,"EA HM  (4)";#N/A,#N/A,FALSE,"EA HM  (3)";#N/A,#N/A,FALSE,"KA HM  (2)";#N/A,#N/A,FALSE,"KA HM";#N/A,#N/A,FALSE,"KA HM  (3)";#N/A,#N/A,FALSE,"KA HM (4)"}</definedName>
    <definedName name="üüü_2" localSheetId="6" hidden="1">{#N/A,#N/A,FALSE,"Umsatz HM";#N/A,#N/A,FALSE,"ER HM";#N/A,#N/A,FALSE,"EA HM  (2)";#N/A,#N/A,FALSE,"EA HM ";#N/A,#N/A,FALSE,"EA HM  (4)";#N/A,#N/A,FALSE,"EA HM  (3)";#N/A,#N/A,FALSE,"KA HM  (2)";#N/A,#N/A,FALSE,"KA HM";#N/A,#N/A,FALSE,"KA HM  (3)";#N/A,#N/A,FALSE,"KA HM (4)"}</definedName>
    <definedName name="üüü_2" hidden="1">{#N/A,#N/A,FALSE,"Umsatz HM";#N/A,#N/A,FALSE,"ER HM";#N/A,#N/A,FALSE,"EA HM  (2)";#N/A,#N/A,FALSE,"EA HM ";#N/A,#N/A,FALSE,"EA HM  (4)";#N/A,#N/A,FALSE,"EA HM  (3)";#N/A,#N/A,FALSE,"KA HM  (2)";#N/A,#N/A,FALSE,"KA HM";#N/A,#N/A,FALSE,"KA HM  (3)";#N/A,#N/A,FALSE,"KA HM (4)"}</definedName>
    <definedName name="üüü_3" localSheetId="0" hidden="1">{#N/A,#N/A,FALSE,"Umsatz HM";#N/A,#N/A,FALSE,"ER HM";#N/A,#N/A,FALSE,"EA HM  (2)";#N/A,#N/A,FALSE,"EA HM ";#N/A,#N/A,FALSE,"EA HM  (4)";#N/A,#N/A,FALSE,"EA HM  (3)";#N/A,#N/A,FALSE,"KA HM  (2)";#N/A,#N/A,FALSE,"KA HM";#N/A,#N/A,FALSE,"KA HM  (3)";#N/A,#N/A,FALSE,"KA HM (4)"}</definedName>
    <definedName name="üüü_3" localSheetId="6" hidden="1">{#N/A,#N/A,FALSE,"Umsatz HM";#N/A,#N/A,FALSE,"ER HM";#N/A,#N/A,FALSE,"EA HM  (2)";#N/A,#N/A,FALSE,"EA HM ";#N/A,#N/A,FALSE,"EA HM  (4)";#N/A,#N/A,FALSE,"EA HM  (3)";#N/A,#N/A,FALSE,"KA HM  (2)";#N/A,#N/A,FALSE,"KA HM";#N/A,#N/A,FALSE,"KA HM  (3)";#N/A,#N/A,FALSE,"KA HM (4)"}</definedName>
    <definedName name="üüü_3" hidden="1">{#N/A,#N/A,FALSE,"Umsatz HM";#N/A,#N/A,FALSE,"ER HM";#N/A,#N/A,FALSE,"EA HM  (2)";#N/A,#N/A,FALSE,"EA HM ";#N/A,#N/A,FALSE,"EA HM  (4)";#N/A,#N/A,FALSE,"EA HM  (3)";#N/A,#N/A,FALSE,"KA HM  (2)";#N/A,#N/A,FALSE,"KA HM";#N/A,#N/A,FALSE,"KA HM  (3)";#N/A,#N/A,FALSE,"KA HM (4)"}</definedName>
    <definedName name="üüü_4" localSheetId="0" hidden="1">{#N/A,#N/A,FALSE,"Umsatz HM";#N/A,#N/A,FALSE,"ER HM";#N/A,#N/A,FALSE,"EA HM  (2)";#N/A,#N/A,FALSE,"EA HM ";#N/A,#N/A,FALSE,"EA HM  (4)";#N/A,#N/A,FALSE,"EA HM  (3)";#N/A,#N/A,FALSE,"KA HM  (2)";#N/A,#N/A,FALSE,"KA HM";#N/A,#N/A,FALSE,"KA HM  (3)";#N/A,#N/A,FALSE,"KA HM (4)"}</definedName>
    <definedName name="üüü_4" localSheetId="6" hidden="1">{#N/A,#N/A,FALSE,"Umsatz HM";#N/A,#N/A,FALSE,"ER HM";#N/A,#N/A,FALSE,"EA HM  (2)";#N/A,#N/A,FALSE,"EA HM ";#N/A,#N/A,FALSE,"EA HM  (4)";#N/A,#N/A,FALSE,"EA HM  (3)";#N/A,#N/A,FALSE,"KA HM  (2)";#N/A,#N/A,FALSE,"KA HM";#N/A,#N/A,FALSE,"KA HM  (3)";#N/A,#N/A,FALSE,"KA HM (4)"}</definedName>
    <definedName name="üüü_4" hidden="1">{#N/A,#N/A,FALSE,"Umsatz HM";#N/A,#N/A,FALSE,"ER HM";#N/A,#N/A,FALSE,"EA HM  (2)";#N/A,#N/A,FALSE,"EA HM ";#N/A,#N/A,FALSE,"EA HM  (4)";#N/A,#N/A,FALSE,"EA HM  (3)";#N/A,#N/A,FALSE,"KA HM  (2)";#N/A,#N/A,FALSE,"KA HM";#N/A,#N/A,FALSE,"KA HM  (3)";#N/A,#N/A,FALSE,"KA HM (4)"}</definedName>
    <definedName name="üüü_5" localSheetId="0" hidden="1">{#N/A,#N/A,FALSE,"Umsatz HM";#N/A,#N/A,FALSE,"ER HM";#N/A,#N/A,FALSE,"EA HM  (2)";#N/A,#N/A,FALSE,"EA HM ";#N/A,#N/A,FALSE,"EA HM  (4)";#N/A,#N/A,FALSE,"EA HM  (3)";#N/A,#N/A,FALSE,"KA HM  (2)";#N/A,#N/A,FALSE,"KA HM";#N/A,#N/A,FALSE,"KA HM  (3)";#N/A,#N/A,FALSE,"KA HM (4)"}</definedName>
    <definedName name="üüü_5" localSheetId="6" hidden="1">{#N/A,#N/A,FALSE,"Umsatz HM";#N/A,#N/A,FALSE,"ER HM";#N/A,#N/A,FALSE,"EA HM  (2)";#N/A,#N/A,FALSE,"EA HM ";#N/A,#N/A,FALSE,"EA HM  (4)";#N/A,#N/A,FALSE,"EA HM  (3)";#N/A,#N/A,FALSE,"KA HM  (2)";#N/A,#N/A,FALSE,"KA HM";#N/A,#N/A,FALSE,"KA HM  (3)";#N/A,#N/A,FALSE,"KA HM (4)"}</definedName>
    <definedName name="üüü_5" hidden="1">{#N/A,#N/A,FALSE,"Umsatz HM";#N/A,#N/A,FALSE,"ER HM";#N/A,#N/A,FALSE,"EA HM  (2)";#N/A,#N/A,FALSE,"EA HM ";#N/A,#N/A,FALSE,"EA HM  (4)";#N/A,#N/A,FALSE,"EA HM  (3)";#N/A,#N/A,FALSE,"KA HM  (2)";#N/A,#N/A,FALSE,"KA HM";#N/A,#N/A,FALSE,"KA HM  (3)";#N/A,#N/A,FALSE,"KA HM (4)"}</definedName>
    <definedName name="uuu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uuu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uuu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üüüü"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üüüü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uuuuuu" localSheetId="0" hidden="1">{#N/A,#N/A,FALSE,"Work progress mensile";#N/A,#N/A,FALSE,"Work progress mensile IE1"}</definedName>
    <definedName name="uuuuuu" localSheetId="6" hidden="1">{#N/A,#N/A,FALSE,"Work progress mensile";#N/A,#N/A,FALSE,"Work progress mensile IE1"}</definedName>
    <definedName name="uuuuuu" hidden="1">{#N/A,#N/A,FALSE,"Work progress mensile";#N/A,#N/A,FALSE,"Work progress mensile IE1"}</definedName>
    <definedName name="uuuuuuu" localSheetId="0" hidden="1">{#N/A,#N/A,FALSE,"Work progress mensile";#N/A,#N/A,FALSE,"Work progress mensile IE1"}</definedName>
    <definedName name="uuuuuuu" localSheetId="6" hidden="1">{#N/A,#N/A,FALSE,"Work progress mensile";#N/A,#N/A,FALSE,"Work progress mensile IE1"}</definedName>
    <definedName name="uuuuuuu" hidden="1">{#N/A,#N/A,FALSE,"Work progress mensile";#N/A,#N/A,FALSE,"Work progress mensile IE1"}</definedName>
    <definedName name="uuuuuuuu" localSheetId="0" hidden="1">{"NORMAL",#N/A,FALSE,"02"}</definedName>
    <definedName name="uuuuuuuu" localSheetId="6" hidden="1">{"NORMAL",#N/A,FALSE,"02"}</definedName>
    <definedName name="uuuuuuuu" hidden="1">{"NORMAL",#N/A,FALSE,"02"}</definedName>
    <definedName name="uuuuuuuuu" localSheetId="0" hidden="1">{"DECIMAL",#N/A,FALSE,"02"}</definedName>
    <definedName name="uuuuuuuuu" localSheetId="6" hidden="1">{"DECIMAL",#N/A,FALSE,"02"}</definedName>
    <definedName name="uuuuuuuuu" hidden="1">{"DECIMAL",#N/A,FALSE,"02"}</definedName>
    <definedName name="UUYYYYYYYY" localSheetId="0" hidden="1">{#N/A,#N/A,FALSE,"Tabl. A1";#N/A,#N/A,FALSE,"Tabl. A1 b";#N/A,#N/A,FALSE,"Tabl. A2";#N/A,#N/A,FALSE,"Tabl. A2-1";#N/A,#N/A,FALSE,"Tabl. A2-2"}</definedName>
    <definedName name="UUYYYYYYYY" localSheetId="6" hidden="1">{#N/A,#N/A,FALSE,"Tabl. A1";#N/A,#N/A,FALSE,"Tabl. A1 b";#N/A,#N/A,FALSE,"Tabl. A2";#N/A,#N/A,FALSE,"Tabl. A2-1";#N/A,#N/A,FALSE,"Tabl. A2-2"}</definedName>
    <definedName name="UUYYYYYYYY" hidden="1">{#N/A,#N/A,FALSE,"Tabl. A1";#N/A,#N/A,FALSE,"Tabl. A1 b";#N/A,#N/A,FALSE,"Tabl. A2";#N/A,#N/A,FALSE,"Tabl. A2-1";#N/A,#N/A,FALSE,"Tabl. A2-2"}</definedName>
    <definedName name="uy" localSheetId="6" hidden="1">{#N/A,#N/A,TRUE,"Cover";#N/A,#N/A,TRUE,"Conts";#N/A,#N/A,TRUE,"VOS";#N/A,#N/A,TRUE,"Warrington";#N/A,#N/A,TRUE,"Widnes"}</definedName>
    <definedName name="uy" hidden="1">{#N/A,#N/A,TRUE,"Cover";#N/A,#N/A,TRUE,"Conts";#N/A,#N/A,TRUE,"VOS";#N/A,#N/A,TRUE,"Warrington";#N/A,#N/A,TRUE,"Widnes"}</definedName>
    <definedName name="uy_1" localSheetId="6" hidden="1">{#N/A,#N/A,TRUE,"Cover";#N/A,#N/A,TRUE,"Conts";#N/A,#N/A,TRUE,"VOS";#N/A,#N/A,TRUE,"Warrington";#N/A,#N/A,TRUE,"Widnes"}</definedName>
    <definedName name="uy_1" hidden="1">{#N/A,#N/A,TRUE,"Cover";#N/A,#N/A,TRUE,"Conts";#N/A,#N/A,TRUE,"VOS";#N/A,#N/A,TRUE,"Warrington";#N/A,#N/A,TRUE,"Widnes"}</definedName>
    <definedName name="UYB" localSheetId="0" hidden="1">{#N/A,#N/A,FALSE,"Tabl. A1";#N/A,#N/A,FALSE,"Tabl. A1 b";#N/A,#N/A,FALSE,"Tabl. A2";#N/A,#N/A,FALSE,"Tabl. A2-1";#N/A,#N/A,FALSE,"Tabl. A2-2"}</definedName>
    <definedName name="UYB" localSheetId="6" hidden="1">{#N/A,#N/A,FALSE,"Tabl. A1";#N/A,#N/A,FALSE,"Tabl. A1 b";#N/A,#N/A,FALSE,"Tabl. A2";#N/A,#N/A,FALSE,"Tabl. A2-1";#N/A,#N/A,FALSE,"Tabl. A2-2"}</definedName>
    <definedName name="UYB" hidden="1">{#N/A,#N/A,FALSE,"Tabl. A1";#N/A,#N/A,FALSE,"Tabl. A1 b";#N/A,#N/A,FALSE,"Tabl. A2";#N/A,#N/A,FALSE,"Tabl. A2-1";#N/A,#N/A,FALSE,"Tabl. A2-2"}</definedName>
    <definedName name="uytry" localSheetId="0" hidden="1">{"mgmt forecast",#N/A,FALSE,"Mgmt Forecast";"dcf table",#N/A,FALSE,"Mgmt Forecast";"sensitivity",#N/A,FALSE,"Mgmt Forecast";"table inputs",#N/A,FALSE,"Mgmt Forecast";"calculations",#N/A,FALSE,"Mgmt Forecast"}</definedName>
    <definedName name="uytry" localSheetId="6" hidden="1">{"mgmt forecast",#N/A,FALSE,"Mgmt Forecast";"dcf table",#N/A,FALSE,"Mgmt Forecast";"sensitivity",#N/A,FALSE,"Mgmt Forecast";"table inputs",#N/A,FALSE,"Mgmt Forecast";"calculations",#N/A,FALSE,"Mgmt Forecast"}</definedName>
    <definedName name="uytry" hidden="1">{"mgmt forecast",#N/A,FALSE,"Mgmt Forecast";"dcf table",#N/A,FALSE,"Mgmt Forecast";"sensitivity",#N/A,FALSE,"Mgmt Forecast";"table inputs",#N/A,FALSE,"Mgmt Forecast";"calculations",#N/A,FALSE,"Mgmt Forecast"}</definedName>
    <definedName name="uztuz" localSheetId="0" hidden="1">{#N/A,#N/A,FALSE,"Umsatz OK";#N/A,#N/A,FALSE,"ER OK ";#N/A,#N/A,FALSE,"EA OK (2)";#N/A,#N/A,FALSE,"EA OK";#N/A,#N/A,FALSE,"EA OK (3)";#N/A,#N/A,FALSE,"EA OK (4)";#N/A,#N/A,FALSE,"KA OK  (2)";#N/A,#N/A,FALSE,"KA OK";#N/A,#N/A,FALSE,"KA OK  (3)";#N/A,#N/A,FALSE,"KA OK (4)"}</definedName>
    <definedName name="uztuz" localSheetId="6" hidden="1">{#N/A,#N/A,FALSE,"Umsatz OK";#N/A,#N/A,FALSE,"ER OK ";#N/A,#N/A,FALSE,"EA OK (2)";#N/A,#N/A,FALSE,"EA OK";#N/A,#N/A,FALSE,"EA OK (3)";#N/A,#N/A,FALSE,"EA OK (4)";#N/A,#N/A,FALSE,"KA OK  (2)";#N/A,#N/A,FALSE,"KA OK";#N/A,#N/A,FALSE,"KA OK  (3)";#N/A,#N/A,FALSE,"KA OK (4)"}</definedName>
    <definedName name="uztuz" hidden="1">{#N/A,#N/A,FALSE,"Umsatz OK";#N/A,#N/A,FALSE,"ER OK ";#N/A,#N/A,FALSE,"EA OK (2)";#N/A,#N/A,FALSE,"EA OK";#N/A,#N/A,FALSE,"EA OK (3)";#N/A,#N/A,FALSE,"EA OK (4)";#N/A,#N/A,FALSE,"KA OK  (2)";#N/A,#N/A,FALSE,"KA OK";#N/A,#N/A,FALSE,"KA OK  (3)";#N/A,#N/A,FALSE,"KA OK (4)"}</definedName>
    <definedName name="uztuz_1" localSheetId="0" hidden="1">{#N/A,#N/A,FALSE,"Umsatz OK";#N/A,#N/A,FALSE,"ER OK ";#N/A,#N/A,FALSE,"EA OK (2)";#N/A,#N/A,FALSE,"EA OK";#N/A,#N/A,FALSE,"EA OK (3)";#N/A,#N/A,FALSE,"EA OK (4)";#N/A,#N/A,FALSE,"KA OK  (2)";#N/A,#N/A,FALSE,"KA OK";#N/A,#N/A,FALSE,"KA OK  (3)";#N/A,#N/A,FALSE,"KA OK (4)"}</definedName>
    <definedName name="uztuz_1" localSheetId="6" hidden="1">{#N/A,#N/A,FALSE,"Umsatz OK";#N/A,#N/A,FALSE,"ER OK ";#N/A,#N/A,FALSE,"EA OK (2)";#N/A,#N/A,FALSE,"EA OK";#N/A,#N/A,FALSE,"EA OK (3)";#N/A,#N/A,FALSE,"EA OK (4)";#N/A,#N/A,FALSE,"KA OK  (2)";#N/A,#N/A,FALSE,"KA OK";#N/A,#N/A,FALSE,"KA OK  (3)";#N/A,#N/A,FALSE,"KA OK (4)"}</definedName>
    <definedName name="uztuz_1" hidden="1">{#N/A,#N/A,FALSE,"Umsatz OK";#N/A,#N/A,FALSE,"ER OK ";#N/A,#N/A,FALSE,"EA OK (2)";#N/A,#N/A,FALSE,"EA OK";#N/A,#N/A,FALSE,"EA OK (3)";#N/A,#N/A,FALSE,"EA OK (4)";#N/A,#N/A,FALSE,"KA OK  (2)";#N/A,#N/A,FALSE,"KA OK";#N/A,#N/A,FALSE,"KA OK  (3)";#N/A,#N/A,FALSE,"KA OK (4)"}</definedName>
    <definedName name="uztuz_1_1" localSheetId="0" hidden="1">{#N/A,#N/A,FALSE,"Umsatz OK";#N/A,#N/A,FALSE,"ER OK ";#N/A,#N/A,FALSE,"EA OK (2)";#N/A,#N/A,FALSE,"EA OK";#N/A,#N/A,FALSE,"EA OK (3)";#N/A,#N/A,FALSE,"EA OK (4)";#N/A,#N/A,FALSE,"KA OK  (2)";#N/A,#N/A,FALSE,"KA OK";#N/A,#N/A,FALSE,"KA OK  (3)";#N/A,#N/A,FALSE,"KA OK (4)"}</definedName>
    <definedName name="uztuz_1_1" localSheetId="6" hidden="1">{#N/A,#N/A,FALSE,"Umsatz OK";#N/A,#N/A,FALSE,"ER OK ";#N/A,#N/A,FALSE,"EA OK (2)";#N/A,#N/A,FALSE,"EA OK";#N/A,#N/A,FALSE,"EA OK (3)";#N/A,#N/A,FALSE,"EA OK (4)";#N/A,#N/A,FALSE,"KA OK  (2)";#N/A,#N/A,FALSE,"KA OK";#N/A,#N/A,FALSE,"KA OK  (3)";#N/A,#N/A,FALSE,"KA OK (4)"}</definedName>
    <definedName name="uztuz_1_1" hidden="1">{#N/A,#N/A,FALSE,"Umsatz OK";#N/A,#N/A,FALSE,"ER OK ";#N/A,#N/A,FALSE,"EA OK (2)";#N/A,#N/A,FALSE,"EA OK";#N/A,#N/A,FALSE,"EA OK (3)";#N/A,#N/A,FALSE,"EA OK (4)";#N/A,#N/A,FALSE,"KA OK  (2)";#N/A,#N/A,FALSE,"KA OK";#N/A,#N/A,FALSE,"KA OK  (3)";#N/A,#N/A,FALSE,"KA OK (4)"}</definedName>
    <definedName name="uztuz_2" localSheetId="0" hidden="1">{#N/A,#N/A,FALSE,"Umsatz OK";#N/A,#N/A,FALSE,"ER OK ";#N/A,#N/A,FALSE,"EA OK (2)";#N/A,#N/A,FALSE,"EA OK";#N/A,#N/A,FALSE,"EA OK (3)";#N/A,#N/A,FALSE,"EA OK (4)";#N/A,#N/A,FALSE,"KA OK  (2)";#N/A,#N/A,FALSE,"KA OK";#N/A,#N/A,FALSE,"KA OK  (3)";#N/A,#N/A,FALSE,"KA OK (4)"}</definedName>
    <definedName name="uztuz_2" localSheetId="6" hidden="1">{#N/A,#N/A,FALSE,"Umsatz OK";#N/A,#N/A,FALSE,"ER OK ";#N/A,#N/A,FALSE,"EA OK (2)";#N/A,#N/A,FALSE,"EA OK";#N/A,#N/A,FALSE,"EA OK (3)";#N/A,#N/A,FALSE,"EA OK (4)";#N/A,#N/A,FALSE,"KA OK  (2)";#N/A,#N/A,FALSE,"KA OK";#N/A,#N/A,FALSE,"KA OK  (3)";#N/A,#N/A,FALSE,"KA OK (4)"}</definedName>
    <definedName name="uztuz_2" hidden="1">{#N/A,#N/A,FALSE,"Umsatz OK";#N/A,#N/A,FALSE,"ER OK ";#N/A,#N/A,FALSE,"EA OK (2)";#N/A,#N/A,FALSE,"EA OK";#N/A,#N/A,FALSE,"EA OK (3)";#N/A,#N/A,FALSE,"EA OK (4)";#N/A,#N/A,FALSE,"KA OK  (2)";#N/A,#N/A,FALSE,"KA OK";#N/A,#N/A,FALSE,"KA OK  (3)";#N/A,#N/A,FALSE,"KA OK (4)"}</definedName>
    <definedName name="uztuz_3" localSheetId="0" hidden="1">{#N/A,#N/A,FALSE,"Umsatz OK";#N/A,#N/A,FALSE,"ER OK ";#N/A,#N/A,FALSE,"EA OK (2)";#N/A,#N/A,FALSE,"EA OK";#N/A,#N/A,FALSE,"EA OK (3)";#N/A,#N/A,FALSE,"EA OK (4)";#N/A,#N/A,FALSE,"KA OK  (2)";#N/A,#N/A,FALSE,"KA OK";#N/A,#N/A,FALSE,"KA OK  (3)";#N/A,#N/A,FALSE,"KA OK (4)"}</definedName>
    <definedName name="uztuz_3" localSheetId="6" hidden="1">{#N/A,#N/A,FALSE,"Umsatz OK";#N/A,#N/A,FALSE,"ER OK ";#N/A,#N/A,FALSE,"EA OK (2)";#N/A,#N/A,FALSE,"EA OK";#N/A,#N/A,FALSE,"EA OK (3)";#N/A,#N/A,FALSE,"EA OK (4)";#N/A,#N/A,FALSE,"KA OK  (2)";#N/A,#N/A,FALSE,"KA OK";#N/A,#N/A,FALSE,"KA OK  (3)";#N/A,#N/A,FALSE,"KA OK (4)"}</definedName>
    <definedName name="uztuz_3" hidden="1">{#N/A,#N/A,FALSE,"Umsatz OK";#N/A,#N/A,FALSE,"ER OK ";#N/A,#N/A,FALSE,"EA OK (2)";#N/A,#N/A,FALSE,"EA OK";#N/A,#N/A,FALSE,"EA OK (3)";#N/A,#N/A,FALSE,"EA OK (4)";#N/A,#N/A,FALSE,"KA OK  (2)";#N/A,#N/A,FALSE,"KA OK";#N/A,#N/A,FALSE,"KA OK  (3)";#N/A,#N/A,FALSE,"KA OK (4)"}</definedName>
    <definedName name="uztuz_4" localSheetId="0" hidden="1">{#N/A,#N/A,FALSE,"Umsatz OK";#N/A,#N/A,FALSE,"ER OK ";#N/A,#N/A,FALSE,"EA OK (2)";#N/A,#N/A,FALSE,"EA OK";#N/A,#N/A,FALSE,"EA OK (3)";#N/A,#N/A,FALSE,"EA OK (4)";#N/A,#N/A,FALSE,"KA OK  (2)";#N/A,#N/A,FALSE,"KA OK";#N/A,#N/A,FALSE,"KA OK  (3)";#N/A,#N/A,FALSE,"KA OK (4)"}</definedName>
    <definedName name="uztuz_4" localSheetId="6" hidden="1">{#N/A,#N/A,FALSE,"Umsatz OK";#N/A,#N/A,FALSE,"ER OK ";#N/A,#N/A,FALSE,"EA OK (2)";#N/A,#N/A,FALSE,"EA OK";#N/A,#N/A,FALSE,"EA OK (3)";#N/A,#N/A,FALSE,"EA OK (4)";#N/A,#N/A,FALSE,"KA OK  (2)";#N/A,#N/A,FALSE,"KA OK";#N/A,#N/A,FALSE,"KA OK  (3)";#N/A,#N/A,FALSE,"KA OK (4)"}</definedName>
    <definedName name="uztuz_4" hidden="1">{#N/A,#N/A,FALSE,"Umsatz OK";#N/A,#N/A,FALSE,"ER OK ";#N/A,#N/A,FALSE,"EA OK (2)";#N/A,#N/A,FALSE,"EA OK";#N/A,#N/A,FALSE,"EA OK (3)";#N/A,#N/A,FALSE,"EA OK (4)";#N/A,#N/A,FALSE,"KA OK  (2)";#N/A,#N/A,FALSE,"KA OK";#N/A,#N/A,FALSE,"KA OK  (3)";#N/A,#N/A,FALSE,"KA OK (4)"}</definedName>
    <definedName name="uztuz_5" localSheetId="0" hidden="1">{#N/A,#N/A,FALSE,"Umsatz OK";#N/A,#N/A,FALSE,"ER OK ";#N/A,#N/A,FALSE,"EA OK (2)";#N/A,#N/A,FALSE,"EA OK";#N/A,#N/A,FALSE,"EA OK (3)";#N/A,#N/A,FALSE,"EA OK (4)";#N/A,#N/A,FALSE,"KA OK  (2)";#N/A,#N/A,FALSE,"KA OK";#N/A,#N/A,FALSE,"KA OK  (3)";#N/A,#N/A,FALSE,"KA OK (4)"}</definedName>
    <definedName name="uztuz_5" localSheetId="6" hidden="1">{#N/A,#N/A,FALSE,"Umsatz OK";#N/A,#N/A,FALSE,"ER OK ";#N/A,#N/A,FALSE,"EA OK (2)";#N/A,#N/A,FALSE,"EA OK";#N/A,#N/A,FALSE,"EA OK (3)";#N/A,#N/A,FALSE,"EA OK (4)";#N/A,#N/A,FALSE,"KA OK  (2)";#N/A,#N/A,FALSE,"KA OK";#N/A,#N/A,FALSE,"KA OK  (3)";#N/A,#N/A,FALSE,"KA OK (4)"}</definedName>
    <definedName name="uztuz_5" hidden="1">{#N/A,#N/A,FALSE,"Umsatz OK";#N/A,#N/A,FALSE,"ER OK ";#N/A,#N/A,FALSE,"EA OK (2)";#N/A,#N/A,FALSE,"EA OK";#N/A,#N/A,FALSE,"EA OK (3)";#N/A,#N/A,FALSE,"EA OK (4)";#N/A,#N/A,FALSE,"KA OK  (2)";#N/A,#N/A,FALSE,"KA OK";#N/A,#N/A,FALSE,"KA OK  (3)";#N/A,#N/A,FALSE,"KA OK (4)"}</definedName>
    <definedName name="uzuztt" localSheetId="0" hidden="1">{#N/A,#N/A,FALSE,"Umsatz HM";#N/A,#N/A,FALSE,"ER HM";#N/A,#N/A,FALSE,"EA HM  (2)";#N/A,#N/A,FALSE,"EA HM ";#N/A,#N/A,FALSE,"EA HM  (4)";#N/A,#N/A,FALSE,"EA HM  (3)";#N/A,#N/A,FALSE,"KA HM  (2)";#N/A,#N/A,FALSE,"KA HM";#N/A,#N/A,FALSE,"KA HM  (3)";#N/A,#N/A,FALSE,"KA HM (4)"}</definedName>
    <definedName name="uzuztt" localSheetId="6" hidden="1">{#N/A,#N/A,FALSE,"Umsatz HM";#N/A,#N/A,FALSE,"ER HM";#N/A,#N/A,FALSE,"EA HM  (2)";#N/A,#N/A,FALSE,"EA HM ";#N/A,#N/A,FALSE,"EA HM  (4)";#N/A,#N/A,FALSE,"EA HM  (3)";#N/A,#N/A,FALSE,"KA HM  (2)";#N/A,#N/A,FALSE,"KA HM";#N/A,#N/A,FALSE,"KA HM  (3)";#N/A,#N/A,FALSE,"KA HM (4)"}</definedName>
    <definedName name="uzuztt" hidden="1">{#N/A,#N/A,FALSE,"Umsatz HM";#N/A,#N/A,FALSE,"ER HM";#N/A,#N/A,FALSE,"EA HM  (2)";#N/A,#N/A,FALSE,"EA HM ";#N/A,#N/A,FALSE,"EA HM  (4)";#N/A,#N/A,FALSE,"EA HM  (3)";#N/A,#N/A,FALSE,"KA HM  (2)";#N/A,#N/A,FALSE,"KA HM";#N/A,#N/A,FALSE,"KA HM  (3)";#N/A,#N/A,FALSE,"KA HM (4)"}</definedName>
    <definedName name="uzuztt_1" localSheetId="0" hidden="1">{#N/A,#N/A,FALSE,"Umsatz HM";#N/A,#N/A,FALSE,"ER HM";#N/A,#N/A,FALSE,"EA HM  (2)";#N/A,#N/A,FALSE,"EA HM ";#N/A,#N/A,FALSE,"EA HM  (4)";#N/A,#N/A,FALSE,"EA HM  (3)";#N/A,#N/A,FALSE,"KA HM  (2)";#N/A,#N/A,FALSE,"KA HM";#N/A,#N/A,FALSE,"KA HM  (3)";#N/A,#N/A,FALSE,"KA HM (4)"}</definedName>
    <definedName name="uzuztt_1" localSheetId="6" hidden="1">{#N/A,#N/A,FALSE,"Umsatz HM";#N/A,#N/A,FALSE,"ER HM";#N/A,#N/A,FALSE,"EA HM  (2)";#N/A,#N/A,FALSE,"EA HM ";#N/A,#N/A,FALSE,"EA HM  (4)";#N/A,#N/A,FALSE,"EA HM  (3)";#N/A,#N/A,FALSE,"KA HM  (2)";#N/A,#N/A,FALSE,"KA HM";#N/A,#N/A,FALSE,"KA HM  (3)";#N/A,#N/A,FALSE,"KA HM (4)"}</definedName>
    <definedName name="uzuztt_1" hidden="1">{#N/A,#N/A,FALSE,"Umsatz HM";#N/A,#N/A,FALSE,"ER HM";#N/A,#N/A,FALSE,"EA HM  (2)";#N/A,#N/A,FALSE,"EA HM ";#N/A,#N/A,FALSE,"EA HM  (4)";#N/A,#N/A,FALSE,"EA HM  (3)";#N/A,#N/A,FALSE,"KA HM  (2)";#N/A,#N/A,FALSE,"KA HM";#N/A,#N/A,FALSE,"KA HM  (3)";#N/A,#N/A,FALSE,"KA HM (4)"}</definedName>
    <definedName name="uzuztt_1_1" localSheetId="0" hidden="1">{#N/A,#N/A,FALSE,"Umsatz HM";#N/A,#N/A,FALSE,"ER HM";#N/A,#N/A,FALSE,"EA HM  (2)";#N/A,#N/A,FALSE,"EA HM ";#N/A,#N/A,FALSE,"EA HM  (4)";#N/A,#N/A,FALSE,"EA HM  (3)";#N/A,#N/A,FALSE,"KA HM  (2)";#N/A,#N/A,FALSE,"KA HM";#N/A,#N/A,FALSE,"KA HM  (3)";#N/A,#N/A,FALSE,"KA HM (4)"}</definedName>
    <definedName name="uzuztt_1_1" localSheetId="6" hidden="1">{#N/A,#N/A,FALSE,"Umsatz HM";#N/A,#N/A,FALSE,"ER HM";#N/A,#N/A,FALSE,"EA HM  (2)";#N/A,#N/A,FALSE,"EA HM ";#N/A,#N/A,FALSE,"EA HM  (4)";#N/A,#N/A,FALSE,"EA HM  (3)";#N/A,#N/A,FALSE,"KA HM  (2)";#N/A,#N/A,FALSE,"KA HM";#N/A,#N/A,FALSE,"KA HM  (3)";#N/A,#N/A,FALSE,"KA HM (4)"}</definedName>
    <definedName name="uzuztt_1_1" hidden="1">{#N/A,#N/A,FALSE,"Umsatz HM";#N/A,#N/A,FALSE,"ER HM";#N/A,#N/A,FALSE,"EA HM  (2)";#N/A,#N/A,FALSE,"EA HM ";#N/A,#N/A,FALSE,"EA HM  (4)";#N/A,#N/A,FALSE,"EA HM  (3)";#N/A,#N/A,FALSE,"KA HM  (2)";#N/A,#N/A,FALSE,"KA HM";#N/A,#N/A,FALSE,"KA HM  (3)";#N/A,#N/A,FALSE,"KA HM (4)"}</definedName>
    <definedName name="uzuztt_2" localSheetId="0" hidden="1">{#N/A,#N/A,FALSE,"Umsatz HM";#N/A,#N/A,FALSE,"ER HM";#N/A,#N/A,FALSE,"EA HM  (2)";#N/A,#N/A,FALSE,"EA HM ";#N/A,#N/A,FALSE,"EA HM  (4)";#N/A,#N/A,FALSE,"EA HM  (3)";#N/A,#N/A,FALSE,"KA HM  (2)";#N/A,#N/A,FALSE,"KA HM";#N/A,#N/A,FALSE,"KA HM  (3)";#N/A,#N/A,FALSE,"KA HM (4)"}</definedName>
    <definedName name="uzuztt_2" localSheetId="6" hidden="1">{#N/A,#N/A,FALSE,"Umsatz HM";#N/A,#N/A,FALSE,"ER HM";#N/A,#N/A,FALSE,"EA HM  (2)";#N/A,#N/A,FALSE,"EA HM ";#N/A,#N/A,FALSE,"EA HM  (4)";#N/A,#N/A,FALSE,"EA HM  (3)";#N/A,#N/A,FALSE,"KA HM  (2)";#N/A,#N/A,FALSE,"KA HM";#N/A,#N/A,FALSE,"KA HM  (3)";#N/A,#N/A,FALSE,"KA HM (4)"}</definedName>
    <definedName name="uzuztt_2" hidden="1">{#N/A,#N/A,FALSE,"Umsatz HM";#N/A,#N/A,FALSE,"ER HM";#N/A,#N/A,FALSE,"EA HM  (2)";#N/A,#N/A,FALSE,"EA HM ";#N/A,#N/A,FALSE,"EA HM  (4)";#N/A,#N/A,FALSE,"EA HM  (3)";#N/A,#N/A,FALSE,"KA HM  (2)";#N/A,#N/A,FALSE,"KA HM";#N/A,#N/A,FALSE,"KA HM  (3)";#N/A,#N/A,FALSE,"KA HM (4)"}</definedName>
    <definedName name="uzuztt_3" localSheetId="0" hidden="1">{#N/A,#N/A,FALSE,"Umsatz HM";#N/A,#N/A,FALSE,"ER HM";#N/A,#N/A,FALSE,"EA HM  (2)";#N/A,#N/A,FALSE,"EA HM ";#N/A,#N/A,FALSE,"EA HM  (4)";#N/A,#N/A,FALSE,"EA HM  (3)";#N/A,#N/A,FALSE,"KA HM  (2)";#N/A,#N/A,FALSE,"KA HM";#N/A,#N/A,FALSE,"KA HM  (3)";#N/A,#N/A,FALSE,"KA HM (4)"}</definedName>
    <definedName name="uzuztt_3" localSheetId="6" hidden="1">{#N/A,#N/A,FALSE,"Umsatz HM";#N/A,#N/A,FALSE,"ER HM";#N/A,#N/A,FALSE,"EA HM  (2)";#N/A,#N/A,FALSE,"EA HM ";#N/A,#N/A,FALSE,"EA HM  (4)";#N/A,#N/A,FALSE,"EA HM  (3)";#N/A,#N/A,FALSE,"KA HM  (2)";#N/A,#N/A,FALSE,"KA HM";#N/A,#N/A,FALSE,"KA HM  (3)";#N/A,#N/A,FALSE,"KA HM (4)"}</definedName>
    <definedName name="uzuztt_3" hidden="1">{#N/A,#N/A,FALSE,"Umsatz HM";#N/A,#N/A,FALSE,"ER HM";#N/A,#N/A,FALSE,"EA HM  (2)";#N/A,#N/A,FALSE,"EA HM ";#N/A,#N/A,FALSE,"EA HM  (4)";#N/A,#N/A,FALSE,"EA HM  (3)";#N/A,#N/A,FALSE,"KA HM  (2)";#N/A,#N/A,FALSE,"KA HM";#N/A,#N/A,FALSE,"KA HM  (3)";#N/A,#N/A,FALSE,"KA HM (4)"}</definedName>
    <definedName name="uzuztt_4" localSheetId="0" hidden="1">{#N/A,#N/A,FALSE,"Umsatz HM";#N/A,#N/A,FALSE,"ER HM";#N/A,#N/A,FALSE,"EA HM  (2)";#N/A,#N/A,FALSE,"EA HM ";#N/A,#N/A,FALSE,"EA HM  (4)";#N/A,#N/A,FALSE,"EA HM  (3)";#N/A,#N/A,FALSE,"KA HM  (2)";#N/A,#N/A,FALSE,"KA HM";#N/A,#N/A,FALSE,"KA HM  (3)";#N/A,#N/A,FALSE,"KA HM (4)"}</definedName>
    <definedName name="uzuztt_4" localSheetId="6" hidden="1">{#N/A,#N/A,FALSE,"Umsatz HM";#N/A,#N/A,FALSE,"ER HM";#N/A,#N/A,FALSE,"EA HM  (2)";#N/A,#N/A,FALSE,"EA HM ";#N/A,#N/A,FALSE,"EA HM  (4)";#N/A,#N/A,FALSE,"EA HM  (3)";#N/A,#N/A,FALSE,"KA HM  (2)";#N/A,#N/A,FALSE,"KA HM";#N/A,#N/A,FALSE,"KA HM  (3)";#N/A,#N/A,FALSE,"KA HM (4)"}</definedName>
    <definedName name="uzuztt_4" hidden="1">{#N/A,#N/A,FALSE,"Umsatz HM";#N/A,#N/A,FALSE,"ER HM";#N/A,#N/A,FALSE,"EA HM  (2)";#N/A,#N/A,FALSE,"EA HM ";#N/A,#N/A,FALSE,"EA HM  (4)";#N/A,#N/A,FALSE,"EA HM  (3)";#N/A,#N/A,FALSE,"KA HM  (2)";#N/A,#N/A,FALSE,"KA HM";#N/A,#N/A,FALSE,"KA HM  (3)";#N/A,#N/A,FALSE,"KA HM (4)"}</definedName>
    <definedName name="uzuztt_5" localSheetId="0" hidden="1">{#N/A,#N/A,FALSE,"Umsatz HM";#N/A,#N/A,FALSE,"ER HM";#N/A,#N/A,FALSE,"EA HM  (2)";#N/A,#N/A,FALSE,"EA HM ";#N/A,#N/A,FALSE,"EA HM  (4)";#N/A,#N/A,FALSE,"EA HM  (3)";#N/A,#N/A,FALSE,"KA HM  (2)";#N/A,#N/A,FALSE,"KA HM";#N/A,#N/A,FALSE,"KA HM  (3)";#N/A,#N/A,FALSE,"KA HM (4)"}</definedName>
    <definedName name="uzuztt_5" localSheetId="6" hidden="1">{#N/A,#N/A,FALSE,"Umsatz HM";#N/A,#N/A,FALSE,"ER HM";#N/A,#N/A,FALSE,"EA HM  (2)";#N/A,#N/A,FALSE,"EA HM ";#N/A,#N/A,FALSE,"EA HM  (4)";#N/A,#N/A,FALSE,"EA HM  (3)";#N/A,#N/A,FALSE,"KA HM  (2)";#N/A,#N/A,FALSE,"KA HM";#N/A,#N/A,FALSE,"KA HM  (3)";#N/A,#N/A,FALSE,"KA HM (4)"}</definedName>
    <definedName name="uzuztt_5" hidden="1">{#N/A,#N/A,FALSE,"Umsatz HM";#N/A,#N/A,FALSE,"ER HM";#N/A,#N/A,FALSE,"EA HM  (2)";#N/A,#N/A,FALSE,"EA HM ";#N/A,#N/A,FALSE,"EA HM  (4)";#N/A,#N/A,FALSE,"EA HM  (3)";#N/A,#N/A,FALSE,"KA HM  (2)";#N/A,#N/A,FALSE,"KA HM";#N/A,#N/A,FALSE,"KA HM  (3)";#N/A,#N/A,FALSE,"KA HM (4)"}</definedName>
    <definedName name="U행">#REF!</definedName>
    <definedName name="v" localSheetId="0" hidden="1">{#N/A,#N/A,FALSE,"Assessment";#N/A,#N/A,FALSE,"Staffing";#N/A,#N/A,FALSE,"Hires";#N/A,#N/A,FALSE,"Assumptions"}</definedName>
    <definedName name="v" localSheetId="6" hidden="1">{#N/A,#N/A,FALSE,"Assessment";#N/A,#N/A,FALSE,"Staffing";#N/A,#N/A,FALSE,"Hires";#N/A,#N/A,FALSE,"Assumptions"}</definedName>
    <definedName name="v" hidden="1">{#N/A,#N/A,FALSE,"Assessment";#N/A,#N/A,FALSE,"Staffing";#N/A,#N/A,FALSE,"Hires";#N/A,#N/A,FALSE,"Assumptions"}</definedName>
    <definedName name="v.1" localSheetId="0" hidden="1">{#N/A,#N/A,FALSE,"Umsatz HM";#N/A,#N/A,FALSE,"ER HM";#N/A,#N/A,FALSE,"EA HM  (2)";#N/A,#N/A,FALSE,"EA HM ";#N/A,#N/A,FALSE,"EA HM  (4)";#N/A,#N/A,FALSE,"EA HM  (3)";#N/A,#N/A,FALSE,"KA HM  (2)";#N/A,#N/A,FALSE,"KA HM";#N/A,#N/A,FALSE,"KA HM  (3)";#N/A,#N/A,FALSE,"KA HM (4)"}</definedName>
    <definedName name="v.1" localSheetId="6" hidden="1">{#N/A,#N/A,FALSE,"Umsatz HM";#N/A,#N/A,FALSE,"ER HM";#N/A,#N/A,FALSE,"EA HM  (2)";#N/A,#N/A,FALSE,"EA HM ";#N/A,#N/A,FALSE,"EA HM  (4)";#N/A,#N/A,FALSE,"EA HM  (3)";#N/A,#N/A,FALSE,"KA HM  (2)";#N/A,#N/A,FALSE,"KA HM";#N/A,#N/A,FALSE,"KA HM  (3)";#N/A,#N/A,FALSE,"KA HM (4)"}</definedName>
    <definedName name="v.1" hidden="1">{#N/A,#N/A,FALSE,"Umsatz HM";#N/A,#N/A,FALSE,"ER HM";#N/A,#N/A,FALSE,"EA HM  (2)";#N/A,#N/A,FALSE,"EA HM ";#N/A,#N/A,FALSE,"EA HM  (4)";#N/A,#N/A,FALSE,"EA HM  (3)";#N/A,#N/A,FALSE,"KA HM  (2)";#N/A,#N/A,FALSE,"KA HM";#N/A,#N/A,FALSE,"KA HM  (3)";#N/A,#N/A,FALSE,"KA HM (4)"}</definedName>
    <definedName name="v.1_1" localSheetId="0" hidden="1">{#N/A,#N/A,FALSE,"Umsatz HM";#N/A,#N/A,FALSE,"ER HM";#N/A,#N/A,FALSE,"EA HM  (2)";#N/A,#N/A,FALSE,"EA HM ";#N/A,#N/A,FALSE,"EA HM  (4)";#N/A,#N/A,FALSE,"EA HM  (3)";#N/A,#N/A,FALSE,"KA HM  (2)";#N/A,#N/A,FALSE,"KA HM";#N/A,#N/A,FALSE,"KA HM  (3)";#N/A,#N/A,FALSE,"KA HM (4)"}</definedName>
    <definedName name="v.1_1" localSheetId="6" hidden="1">{#N/A,#N/A,FALSE,"Umsatz HM";#N/A,#N/A,FALSE,"ER HM";#N/A,#N/A,FALSE,"EA HM  (2)";#N/A,#N/A,FALSE,"EA HM ";#N/A,#N/A,FALSE,"EA HM  (4)";#N/A,#N/A,FALSE,"EA HM  (3)";#N/A,#N/A,FALSE,"KA HM  (2)";#N/A,#N/A,FALSE,"KA HM";#N/A,#N/A,FALSE,"KA HM  (3)";#N/A,#N/A,FALSE,"KA HM (4)"}</definedName>
    <definedName name="v.1_1" hidden="1">{#N/A,#N/A,FALSE,"Umsatz HM";#N/A,#N/A,FALSE,"ER HM";#N/A,#N/A,FALSE,"EA HM  (2)";#N/A,#N/A,FALSE,"EA HM ";#N/A,#N/A,FALSE,"EA HM  (4)";#N/A,#N/A,FALSE,"EA HM  (3)";#N/A,#N/A,FALSE,"KA HM  (2)";#N/A,#N/A,FALSE,"KA HM";#N/A,#N/A,FALSE,"KA HM  (3)";#N/A,#N/A,FALSE,"KA HM (4)"}</definedName>
    <definedName name="v.1_1_1" localSheetId="0" hidden="1">{#N/A,#N/A,FALSE,"Umsatz HM";#N/A,#N/A,FALSE,"ER HM";#N/A,#N/A,FALSE,"EA HM  (2)";#N/A,#N/A,FALSE,"EA HM ";#N/A,#N/A,FALSE,"EA HM  (4)";#N/A,#N/A,FALSE,"EA HM  (3)";#N/A,#N/A,FALSE,"KA HM  (2)";#N/A,#N/A,FALSE,"KA HM";#N/A,#N/A,FALSE,"KA HM  (3)";#N/A,#N/A,FALSE,"KA HM (4)"}</definedName>
    <definedName name="v.1_1_1" localSheetId="6" hidden="1">{#N/A,#N/A,FALSE,"Umsatz HM";#N/A,#N/A,FALSE,"ER HM";#N/A,#N/A,FALSE,"EA HM  (2)";#N/A,#N/A,FALSE,"EA HM ";#N/A,#N/A,FALSE,"EA HM  (4)";#N/A,#N/A,FALSE,"EA HM  (3)";#N/A,#N/A,FALSE,"KA HM  (2)";#N/A,#N/A,FALSE,"KA HM";#N/A,#N/A,FALSE,"KA HM  (3)";#N/A,#N/A,FALSE,"KA HM (4)"}</definedName>
    <definedName name="v.1_1_1" hidden="1">{#N/A,#N/A,FALSE,"Umsatz HM";#N/A,#N/A,FALSE,"ER HM";#N/A,#N/A,FALSE,"EA HM  (2)";#N/A,#N/A,FALSE,"EA HM ";#N/A,#N/A,FALSE,"EA HM  (4)";#N/A,#N/A,FALSE,"EA HM  (3)";#N/A,#N/A,FALSE,"KA HM  (2)";#N/A,#N/A,FALSE,"KA HM";#N/A,#N/A,FALSE,"KA HM  (3)";#N/A,#N/A,FALSE,"KA HM (4)"}</definedName>
    <definedName name="v.1_2" localSheetId="0" hidden="1">{#N/A,#N/A,FALSE,"Umsatz HM";#N/A,#N/A,FALSE,"ER HM";#N/A,#N/A,FALSE,"EA HM  (2)";#N/A,#N/A,FALSE,"EA HM ";#N/A,#N/A,FALSE,"EA HM  (4)";#N/A,#N/A,FALSE,"EA HM  (3)";#N/A,#N/A,FALSE,"KA HM  (2)";#N/A,#N/A,FALSE,"KA HM";#N/A,#N/A,FALSE,"KA HM  (3)";#N/A,#N/A,FALSE,"KA HM (4)"}</definedName>
    <definedName name="v.1_2" localSheetId="6" hidden="1">{#N/A,#N/A,FALSE,"Umsatz HM";#N/A,#N/A,FALSE,"ER HM";#N/A,#N/A,FALSE,"EA HM  (2)";#N/A,#N/A,FALSE,"EA HM ";#N/A,#N/A,FALSE,"EA HM  (4)";#N/A,#N/A,FALSE,"EA HM  (3)";#N/A,#N/A,FALSE,"KA HM  (2)";#N/A,#N/A,FALSE,"KA HM";#N/A,#N/A,FALSE,"KA HM  (3)";#N/A,#N/A,FALSE,"KA HM (4)"}</definedName>
    <definedName name="v.1_2" hidden="1">{#N/A,#N/A,FALSE,"Umsatz HM";#N/A,#N/A,FALSE,"ER HM";#N/A,#N/A,FALSE,"EA HM  (2)";#N/A,#N/A,FALSE,"EA HM ";#N/A,#N/A,FALSE,"EA HM  (4)";#N/A,#N/A,FALSE,"EA HM  (3)";#N/A,#N/A,FALSE,"KA HM  (2)";#N/A,#N/A,FALSE,"KA HM";#N/A,#N/A,FALSE,"KA HM  (3)";#N/A,#N/A,FALSE,"KA HM (4)"}</definedName>
    <definedName name="v.1_3" localSheetId="0" hidden="1">{#N/A,#N/A,FALSE,"Umsatz HM";#N/A,#N/A,FALSE,"ER HM";#N/A,#N/A,FALSE,"EA HM  (2)";#N/A,#N/A,FALSE,"EA HM ";#N/A,#N/A,FALSE,"EA HM  (4)";#N/A,#N/A,FALSE,"EA HM  (3)";#N/A,#N/A,FALSE,"KA HM  (2)";#N/A,#N/A,FALSE,"KA HM";#N/A,#N/A,FALSE,"KA HM  (3)";#N/A,#N/A,FALSE,"KA HM (4)"}</definedName>
    <definedName name="v.1_3" localSheetId="6" hidden="1">{#N/A,#N/A,FALSE,"Umsatz HM";#N/A,#N/A,FALSE,"ER HM";#N/A,#N/A,FALSE,"EA HM  (2)";#N/A,#N/A,FALSE,"EA HM ";#N/A,#N/A,FALSE,"EA HM  (4)";#N/A,#N/A,FALSE,"EA HM  (3)";#N/A,#N/A,FALSE,"KA HM  (2)";#N/A,#N/A,FALSE,"KA HM";#N/A,#N/A,FALSE,"KA HM  (3)";#N/A,#N/A,FALSE,"KA HM (4)"}</definedName>
    <definedName name="v.1_3" hidden="1">{#N/A,#N/A,FALSE,"Umsatz HM";#N/A,#N/A,FALSE,"ER HM";#N/A,#N/A,FALSE,"EA HM  (2)";#N/A,#N/A,FALSE,"EA HM ";#N/A,#N/A,FALSE,"EA HM  (4)";#N/A,#N/A,FALSE,"EA HM  (3)";#N/A,#N/A,FALSE,"KA HM  (2)";#N/A,#N/A,FALSE,"KA HM";#N/A,#N/A,FALSE,"KA HM  (3)";#N/A,#N/A,FALSE,"KA HM (4)"}</definedName>
    <definedName name="v.1_4" localSheetId="0" hidden="1">{#N/A,#N/A,FALSE,"Umsatz HM";#N/A,#N/A,FALSE,"ER HM";#N/A,#N/A,FALSE,"EA HM  (2)";#N/A,#N/A,FALSE,"EA HM ";#N/A,#N/A,FALSE,"EA HM  (4)";#N/A,#N/A,FALSE,"EA HM  (3)";#N/A,#N/A,FALSE,"KA HM  (2)";#N/A,#N/A,FALSE,"KA HM";#N/A,#N/A,FALSE,"KA HM  (3)";#N/A,#N/A,FALSE,"KA HM (4)"}</definedName>
    <definedName name="v.1_4" localSheetId="6" hidden="1">{#N/A,#N/A,FALSE,"Umsatz HM";#N/A,#N/A,FALSE,"ER HM";#N/A,#N/A,FALSE,"EA HM  (2)";#N/A,#N/A,FALSE,"EA HM ";#N/A,#N/A,FALSE,"EA HM  (4)";#N/A,#N/A,FALSE,"EA HM  (3)";#N/A,#N/A,FALSE,"KA HM  (2)";#N/A,#N/A,FALSE,"KA HM";#N/A,#N/A,FALSE,"KA HM  (3)";#N/A,#N/A,FALSE,"KA HM (4)"}</definedName>
    <definedName name="v.1_4" hidden="1">{#N/A,#N/A,FALSE,"Umsatz HM";#N/A,#N/A,FALSE,"ER HM";#N/A,#N/A,FALSE,"EA HM  (2)";#N/A,#N/A,FALSE,"EA HM ";#N/A,#N/A,FALSE,"EA HM  (4)";#N/A,#N/A,FALSE,"EA HM  (3)";#N/A,#N/A,FALSE,"KA HM  (2)";#N/A,#N/A,FALSE,"KA HM";#N/A,#N/A,FALSE,"KA HM  (3)";#N/A,#N/A,FALSE,"KA HM (4)"}</definedName>
    <definedName name="v.1_5" localSheetId="0" hidden="1">{#N/A,#N/A,FALSE,"Umsatz HM";#N/A,#N/A,FALSE,"ER HM";#N/A,#N/A,FALSE,"EA HM  (2)";#N/A,#N/A,FALSE,"EA HM ";#N/A,#N/A,FALSE,"EA HM  (4)";#N/A,#N/A,FALSE,"EA HM  (3)";#N/A,#N/A,FALSE,"KA HM  (2)";#N/A,#N/A,FALSE,"KA HM";#N/A,#N/A,FALSE,"KA HM  (3)";#N/A,#N/A,FALSE,"KA HM (4)"}</definedName>
    <definedName name="v.1_5" localSheetId="6" hidden="1">{#N/A,#N/A,FALSE,"Umsatz HM";#N/A,#N/A,FALSE,"ER HM";#N/A,#N/A,FALSE,"EA HM  (2)";#N/A,#N/A,FALSE,"EA HM ";#N/A,#N/A,FALSE,"EA HM  (4)";#N/A,#N/A,FALSE,"EA HM  (3)";#N/A,#N/A,FALSE,"KA HM  (2)";#N/A,#N/A,FALSE,"KA HM";#N/A,#N/A,FALSE,"KA HM  (3)";#N/A,#N/A,FALSE,"KA HM (4)"}</definedName>
    <definedName name="v.1_5" hidden="1">{#N/A,#N/A,FALSE,"Umsatz HM";#N/A,#N/A,FALSE,"ER HM";#N/A,#N/A,FALSE,"EA HM  (2)";#N/A,#N/A,FALSE,"EA HM ";#N/A,#N/A,FALSE,"EA HM  (4)";#N/A,#N/A,FALSE,"EA HM  (3)";#N/A,#N/A,FALSE,"KA HM  (2)";#N/A,#N/A,FALSE,"KA HM";#N/A,#N/A,FALSE,"KA HM  (3)";#N/A,#N/A,FALSE,"KA HM (4)"}</definedName>
    <definedName name="v.10" localSheetId="0" hidden="1">{#N/A,#N/A,FALSE,"Produkte Erw.";#N/A,#N/A,FALSE,"Produkte Plan";#N/A,#N/A,FALSE,"Leistungen Erw.";#N/A,#N/A,FALSE,"Leistungen Plan";#N/A,#N/A,FALSE,"KA Allg.Kosten (2)";#N/A,#N/A,FALSE,"KA All.Kosten"}</definedName>
    <definedName name="v.10" localSheetId="6" hidden="1">{#N/A,#N/A,FALSE,"Produkte Erw.";#N/A,#N/A,FALSE,"Produkte Plan";#N/A,#N/A,FALSE,"Leistungen Erw.";#N/A,#N/A,FALSE,"Leistungen Plan";#N/A,#N/A,FALSE,"KA Allg.Kosten (2)";#N/A,#N/A,FALSE,"KA All.Kosten"}</definedName>
    <definedName name="v.10" hidden="1">{#N/A,#N/A,FALSE,"Produkte Erw.";#N/A,#N/A,FALSE,"Produkte Plan";#N/A,#N/A,FALSE,"Leistungen Erw.";#N/A,#N/A,FALSE,"Leistungen Plan";#N/A,#N/A,FALSE,"KA Allg.Kosten (2)";#N/A,#N/A,FALSE,"KA All.Kosten"}</definedName>
    <definedName name="v.10_1" localSheetId="0" hidden="1">{#N/A,#N/A,FALSE,"Produkte Erw.";#N/A,#N/A,FALSE,"Produkte Plan";#N/A,#N/A,FALSE,"Leistungen Erw.";#N/A,#N/A,FALSE,"Leistungen Plan";#N/A,#N/A,FALSE,"KA Allg.Kosten (2)";#N/A,#N/A,FALSE,"KA All.Kosten"}</definedName>
    <definedName name="v.10_1" localSheetId="6" hidden="1">{#N/A,#N/A,FALSE,"Produkte Erw.";#N/A,#N/A,FALSE,"Produkte Plan";#N/A,#N/A,FALSE,"Leistungen Erw.";#N/A,#N/A,FALSE,"Leistungen Plan";#N/A,#N/A,FALSE,"KA Allg.Kosten (2)";#N/A,#N/A,FALSE,"KA All.Kosten"}</definedName>
    <definedName name="v.10_1" hidden="1">{#N/A,#N/A,FALSE,"Produkte Erw.";#N/A,#N/A,FALSE,"Produkte Plan";#N/A,#N/A,FALSE,"Leistungen Erw.";#N/A,#N/A,FALSE,"Leistungen Plan";#N/A,#N/A,FALSE,"KA Allg.Kosten (2)";#N/A,#N/A,FALSE,"KA All.Kosten"}</definedName>
    <definedName name="v.10_1_1" localSheetId="0" hidden="1">{#N/A,#N/A,FALSE,"Produkte Erw.";#N/A,#N/A,FALSE,"Produkte Plan";#N/A,#N/A,FALSE,"Leistungen Erw.";#N/A,#N/A,FALSE,"Leistungen Plan";#N/A,#N/A,FALSE,"KA Allg.Kosten (2)";#N/A,#N/A,FALSE,"KA All.Kosten"}</definedName>
    <definedName name="v.10_1_1" localSheetId="6" hidden="1">{#N/A,#N/A,FALSE,"Produkte Erw.";#N/A,#N/A,FALSE,"Produkte Plan";#N/A,#N/A,FALSE,"Leistungen Erw.";#N/A,#N/A,FALSE,"Leistungen Plan";#N/A,#N/A,FALSE,"KA Allg.Kosten (2)";#N/A,#N/A,FALSE,"KA All.Kosten"}</definedName>
    <definedName name="v.10_1_1" hidden="1">{#N/A,#N/A,FALSE,"Produkte Erw.";#N/A,#N/A,FALSE,"Produkte Plan";#N/A,#N/A,FALSE,"Leistungen Erw.";#N/A,#N/A,FALSE,"Leistungen Plan";#N/A,#N/A,FALSE,"KA Allg.Kosten (2)";#N/A,#N/A,FALSE,"KA All.Kosten"}</definedName>
    <definedName name="v.10_2" localSheetId="0" hidden="1">{#N/A,#N/A,FALSE,"Produkte Erw.";#N/A,#N/A,FALSE,"Produkte Plan";#N/A,#N/A,FALSE,"Leistungen Erw.";#N/A,#N/A,FALSE,"Leistungen Plan";#N/A,#N/A,FALSE,"KA Allg.Kosten (2)";#N/A,#N/A,FALSE,"KA All.Kosten"}</definedName>
    <definedName name="v.10_2" localSheetId="6" hidden="1">{#N/A,#N/A,FALSE,"Produkte Erw.";#N/A,#N/A,FALSE,"Produkte Plan";#N/A,#N/A,FALSE,"Leistungen Erw.";#N/A,#N/A,FALSE,"Leistungen Plan";#N/A,#N/A,FALSE,"KA Allg.Kosten (2)";#N/A,#N/A,FALSE,"KA All.Kosten"}</definedName>
    <definedName name="v.10_2" hidden="1">{#N/A,#N/A,FALSE,"Produkte Erw.";#N/A,#N/A,FALSE,"Produkte Plan";#N/A,#N/A,FALSE,"Leistungen Erw.";#N/A,#N/A,FALSE,"Leistungen Plan";#N/A,#N/A,FALSE,"KA Allg.Kosten (2)";#N/A,#N/A,FALSE,"KA All.Kosten"}</definedName>
    <definedName name="v.10_3" localSheetId="0" hidden="1">{#N/A,#N/A,FALSE,"Produkte Erw.";#N/A,#N/A,FALSE,"Produkte Plan";#N/A,#N/A,FALSE,"Leistungen Erw.";#N/A,#N/A,FALSE,"Leistungen Plan";#N/A,#N/A,FALSE,"KA Allg.Kosten (2)";#N/A,#N/A,FALSE,"KA All.Kosten"}</definedName>
    <definedName name="v.10_3" localSheetId="6" hidden="1">{#N/A,#N/A,FALSE,"Produkte Erw.";#N/A,#N/A,FALSE,"Produkte Plan";#N/A,#N/A,FALSE,"Leistungen Erw.";#N/A,#N/A,FALSE,"Leistungen Plan";#N/A,#N/A,FALSE,"KA Allg.Kosten (2)";#N/A,#N/A,FALSE,"KA All.Kosten"}</definedName>
    <definedName name="v.10_3" hidden="1">{#N/A,#N/A,FALSE,"Produkte Erw.";#N/A,#N/A,FALSE,"Produkte Plan";#N/A,#N/A,FALSE,"Leistungen Erw.";#N/A,#N/A,FALSE,"Leistungen Plan";#N/A,#N/A,FALSE,"KA Allg.Kosten (2)";#N/A,#N/A,FALSE,"KA All.Kosten"}</definedName>
    <definedName name="v.10_4" localSheetId="0" hidden="1">{#N/A,#N/A,FALSE,"Produkte Erw.";#N/A,#N/A,FALSE,"Produkte Plan";#N/A,#N/A,FALSE,"Leistungen Erw.";#N/A,#N/A,FALSE,"Leistungen Plan";#N/A,#N/A,FALSE,"KA Allg.Kosten (2)";#N/A,#N/A,FALSE,"KA All.Kosten"}</definedName>
    <definedName name="v.10_4" localSheetId="6" hidden="1">{#N/A,#N/A,FALSE,"Produkte Erw.";#N/A,#N/A,FALSE,"Produkte Plan";#N/A,#N/A,FALSE,"Leistungen Erw.";#N/A,#N/A,FALSE,"Leistungen Plan";#N/A,#N/A,FALSE,"KA Allg.Kosten (2)";#N/A,#N/A,FALSE,"KA All.Kosten"}</definedName>
    <definedName name="v.10_4" hidden="1">{#N/A,#N/A,FALSE,"Produkte Erw.";#N/A,#N/A,FALSE,"Produkte Plan";#N/A,#N/A,FALSE,"Leistungen Erw.";#N/A,#N/A,FALSE,"Leistungen Plan";#N/A,#N/A,FALSE,"KA Allg.Kosten (2)";#N/A,#N/A,FALSE,"KA All.Kosten"}</definedName>
    <definedName name="v.10_5" localSheetId="0" hidden="1">{#N/A,#N/A,FALSE,"Produkte Erw.";#N/A,#N/A,FALSE,"Produkte Plan";#N/A,#N/A,FALSE,"Leistungen Erw.";#N/A,#N/A,FALSE,"Leistungen Plan";#N/A,#N/A,FALSE,"KA Allg.Kosten (2)";#N/A,#N/A,FALSE,"KA All.Kosten"}</definedName>
    <definedName name="v.10_5" localSheetId="6" hidden="1">{#N/A,#N/A,FALSE,"Produkte Erw.";#N/A,#N/A,FALSE,"Produkte Plan";#N/A,#N/A,FALSE,"Leistungen Erw.";#N/A,#N/A,FALSE,"Leistungen Plan";#N/A,#N/A,FALSE,"KA Allg.Kosten (2)";#N/A,#N/A,FALSE,"KA All.Kosten"}</definedName>
    <definedName name="v.10_5" hidden="1">{#N/A,#N/A,FALSE,"Produkte Erw.";#N/A,#N/A,FALSE,"Produkte Plan";#N/A,#N/A,FALSE,"Leistungen Erw.";#N/A,#N/A,FALSE,"Leistungen Plan";#N/A,#N/A,FALSE,"KA Allg.Kosten (2)";#N/A,#N/A,FALSE,"KA All.Kosten"}</definedName>
    <definedName name="V.2" localSheetId="0" hidden="1">{#N/A,#N/A,FALSE,"Produkte Erw.";#N/A,#N/A,FALSE,"Produkte Plan";#N/A,#N/A,FALSE,"Leistungen Erw.";#N/A,#N/A,FALSE,"Leistungen Plan";#N/A,#N/A,FALSE,"KA Allg.Kosten (2)";#N/A,#N/A,FALSE,"KA All.Kosten"}</definedName>
    <definedName name="V.2" localSheetId="6" hidden="1">{#N/A,#N/A,FALSE,"Produkte Erw.";#N/A,#N/A,FALSE,"Produkte Plan";#N/A,#N/A,FALSE,"Leistungen Erw.";#N/A,#N/A,FALSE,"Leistungen Plan";#N/A,#N/A,FALSE,"KA Allg.Kosten (2)";#N/A,#N/A,FALSE,"KA All.Kosten"}</definedName>
    <definedName name="V.2" hidden="1">{#N/A,#N/A,FALSE,"Produkte Erw.";#N/A,#N/A,FALSE,"Produkte Plan";#N/A,#N/A,FALSE,"Leistungen Erw.";#N/A,#N/A,FALSE,"Leistungen Plan";#N/A,#N/A,FALSE,"KA Allg.Kosten (2)";#N/A,#N/A,FALSE,"KA All.Kosten"}</definedName>
    <definedName name="V.2_1" localSheetId="0" hidden="1">{#N/A,#N/A,FALSE,"Produkte Erw.";#N/A,#N/A,FALSE,"Produkte Plan";#N/A,#N/A,FALSE,"Leistungen Erw.";#N/A,#N/A,FALSE,"Leistungen Plan";#N/A,#N/A,FALSE,"KA Allg.Kosten (2)";#N/A,#N/A,FALSE,"KA All.Kosten"}</definedName>
    <definedName name="V.2_1" localSheetId="6" hidden="1">{#N/A,#N/A,FALSE,"Produkte Erw.";#N/A,#N/A,FALSE,"Produkte Plan";#N/A,#N/A,FALSE,"Leistungen Erw.";#N/A,#N/A,FALSE,"Leistungen Plan";#N/A,#N/A,FALSE,"KA Allg.Kosten (2)";#N/A,#N/A,FALSE,"KA All.Kosten"}</definedName>
    <definedName name="V.2_1" hidden="1">{#N/A,#N/A,FALSE,"Produkte Erw.";#N/A,#N/A,FALSE,"Produkte Plan";#N/A,#N/A,FALSE,"Leistungen Erw.";#N/A,#N/A,FALSE,"Leistungen Plan";#N/A,#N/A,FALSE,"KA Allg.Kosten (2)";#N/A,#N/A,FALSE,"KA All.Kosten"}</definedName>
    <definedName name="V.2_1_1" localSheetId="0" hidden="1">{#N/A,#N/A,FALSE,"Produkte Erw.";#N/A,#N/A,FALSE,"Produkte Plan";#N/A,#N/A,FALSE,"Leistungen Erw.";#N/A,#N/A,FALSE,"Leistungen Plan";#N/A,#N/A,FALSE,"KA Allg.Kosten (2)";#N/A,#N/A,FALSE,"KA All.Kosten"}</definedName>
    <definedName name="V.2_1_1" localSheetId="6" hidden="1">{#N/A,#N/A,FALSE,"Produkte Erw.";#N/A,#N/A,FALSE,"Produkte Plan";#N/A,#N/A,FALSE,"Leistungen Erw.";#N/A,#N/A,FALSE,"Leistungen Plan";#N/A,#N/A,FALSE,"KA Allg.Kosten (2)";#N/A,#N/A,FALSE,"KA All.Kosten"}</definedName>
    <definedName name="V.2_1_1" hidden="1">{#N/A,#N/A,FALSE,"Produkte Erw.";#N/A,#N/A,FALSE,"Produkte Plan";#N/A,#N/A,FALSE,"Leistungen Erw.";#N/A,#N/A,FALSE,"Leistungen Plan";#N/A,#N/A,FALSE,"KA Allg.Kosten (2)";#N/A,#N/A,FALSE,"KA All.Kosten"}</definedName>
    <definedName name="V.2_2" localSheetId="0" hidden="1">{#N/A,#N/A,FALSE,"Produkte Erw.";#N/A,#N/A,FALSE,"Produkte Plan";#N/A,#N/A,FALSE,"Leistungen Erw.";#N/A,#N/A,FALSE,"Leistungen Plan";#N/A,#N/A,FALSE,"KA Allg.Kosten (2)";#N/A,#N/A,FALSE,"KA All.Kosten"}</definedName>
    <definedName name="V.2_2" localSheetId="6" hidden="1">{#N/A,#N/A,FALSE,"Produkte Erw.";#N/A,#N/A,FALSE,"Produkte Plan";#N/A,#N/A,FALSE,"Leistungen Erw.";#N/A,#N/A,FALSE,"Leistungen Plan";#N/A,#N/A,FALSE,"KA Allg.Kosten (2)";#N/A,#N/A,FALSE,"KA All.Kosten"}</definedName>
    <definedName name="V.2_2" hidden="1">{#N/A,#N/A,FALSE,"Produkte Erw.";#N/A,#N/A,FALSE,"Produkte Plan";#N/A,#N/A,FALSE,"Leistungen Erw.";#N/A,#N/A,FALSE,"Leistungen Plan";#N/A,#N/A,FALSE,"KA Allg.Kosten (2)";#N/A,#N/A,FALSE,"KA All.Kosten"}</definedName>
    <definedName name="V.2_3" localSheetId="0" hidden="1">{#N/A,#N/A,FALSE,"Produkte Erw.";#N/A,#N/A,FALSE,"Produkte Plan";#N/A,#N/A,FALSE,"Leistungen Erw.";#N/A,#N/A,FALSE,"Leistungen Plan";#N/A,#N/A,FALSE,"KA Allg.Kosten (2)";#N/A,#N/A,FALSE,"KA All.Kosten"}</definedName>
    <definedName name="V.2_3" localSheetId="6" hidden="1">{#N/A,#N/A,FALSE,"Produkte Erw.";#N/A,#N/A,FALSE,"Produkte Plan";#N/A,#N/A,FALSE,"Leistungen Erw.";#N/A,#N/A,FALSE,"Leistungen Plan";#N/A,#N/A,FALSE,"KA Allg.Kosten (2)";#N/A,#N/A,FALSE,"KA All.Kosten"}</definedName>
    <definedName name="V.2_3" hidden="1">{#N/A,#N/A,FALSE,"Produkte Erw.";#N/A,#N/A,FALSE,"Produkte Plan";#N/A,#N/A,FALSE,"Leistungen Erw.";#N/A,#N/A,FALSE,"Leistungen Plan";#N/A,#N/A,FALSE,"KA Allg.Kosten (2)";#N/A,#N/A,FALSE,"KA All.Kosten"}</definedName>
    <definedName name="V.2_4" localSheetId="0" hidden="1">{#N/A,#N/A,FALSE,"Produkte Erw.";#N/A,#N/A,FALSE,"Produkte Plan";#N/A,#N/A,FALSE,"Leistungen Erw.";#N/A,#N/A,FALSE,"Leistungen Plan";#N/A,#N/A,FALSE,"KA Allg.Kosten (2)";#N/A,#N/A,FALSE,"KA All.Kosten"}</definedName>
    <definedName name="V.2_4" localSheetId="6" hidden="1">{#N/A,#N/A,FALSE,"Produkte Erw.";#N/A,#N/A,FALSE,"Produkte Plan";#N/A,#N/A,FALSE,"Leistungen Erw.";#N/A,#N/A,FALSE,"Leistungen Plan";#N/A,#N/A,FALSE,"KA Allg.Kosten (2)";#N/A,#N/A,FALSE,"KA All.Kosten"}</definedName>
    <definedName name="V.2_4" hidden="1">{#N/A,#N/A,FALSE,"Produkte Erw.";#N/A,#N/A,FALSE,"Produkte Plan";#N/A,#N/A,FALSE,"Leistungen Erw.";#N/A,#N/A,FALSE,"Leistungen Plan";#N/A,#N/A,FALSE,"KA Allg.Kosten (2)";#N/A,#N/A,FALSE,"KA All.Kosten"}</definedName>
    <definedName name="V.2_5" localSheetId="0" hidden="1">{#N/A,#N/A,FALSE,"Produkte Erw.";#N/A,#N/A,FALSE,"Produkte Plan";#N/A,#N/A,FALSE,"Leistungen Erw.";#N/A,#N/A,FALSE,"Leistungen Plan";#N/A,#N/A,FALSE,"KA Allg.Kosten (2)";#N/A,#N/A,FALSE,"KA All.Kosten"}</definedName>
    <definedName name="V.2_5" localSheetId="6" hidden="1">{#N/A,#N/A,FALSE,"Produkte Erw.";#N/A,#N/A,FALSE,"Produkte Plan";#N/A,#N/A,FALSE,"Leistungen Erw.";#N/A,#N/A,FALSE,"Leistungen Plan";#N/A,#N/A,FALSE,"KA Allg.Kosten (2)";#N/A,#N/A,FALSE,"KA All.Kosten"}</definedName>
    <definedName name="V.2_5" hidden="1">{#N/A,#N/A,FALSE,"Produkte Erw.";#N/A,#N/A,FALSE,"Produkte Plan";#N/A,#N/A,FALSE,"Leistungen Erw.";#N/A,#N/A,FALSE,"Leistungen Plan";#N/A,#N/A,FALSE,"KA Allg.Kosten (2)";#N/A,#N/A,FALSE,"KA All.Kosten"}</definedName>
    <definedName name="V.3" localSheetId="0" hidden="1">{#N/A,#N/A,FALSE,"Produkte Erw.";#N/A,#N/A,FALSE,"Produkte Plan";#N/A,#N/A,FALSE,"Leistungen Erw.";#N/A,#N/A,FALSE,"Leistungen Plan";#N/A,#N/A,FALSE,"KA Allg.Kosten (2)";#N/A,#N/A,FALSE,"KA All.Kosten"}</definedName>
    <definedName name="V.3" localSheetId="6" hidden="1">{#N/A,#N/A,FALSE,"Produkte Erw.";#N/A,#N/A,FALSE,"Produkte Plan";#N/A,#N/A,FALSE,"Leistungen Erw.";#N/A,#N/A,FALSE,"Leistungen Plan";#N/A,#N/A,FALSE,"KA Allg.Kosten (2)";#N/A,#N/A,FALSE,"KA All.Kosten"}</definedName>
    <definedName name="V.3" hidden="1">{#N/A,#N/A,FALSE,"Produkte Erw.";#N/A,#N/A,FALSE,"Produkte Plan";#N/A,#N/A,FALSE,"Leistungen Erw.";#N/A,#N/A,FALSE,"Leistungen Plan";#N/A,#N/A,FALSE,"KA Allg.Kosten (2)";#N/A,#N/A,FALSE,"KA All.Kosten"}</definedName>
    <definedName name="V.3_1" localSheetId="0" hidden="1">{#N/A,#N/A,FALSE,"Produkte Erw.";#N/A,#N/A,FALSE,"Produkte Plan";#N/A,#N/A,FALSE,"Leistungen Erw.";#N/A,#N/A,FALSE,"Leistungen Plan";#N/A,#N/A,FALSE,"KA Allg.Kosten (2)";#N/A,#N/A,FALSE,"KA All.Kosten"}</definedName>
    <definedName name="V.3_1" localSheetId="6" hidden="1">{#N/A,#N/A,FALSE,"Produkte Erw.";#N/A,#N/A,FALSE,"Produkte Plan";#N/A,#N/A,FALSE,"Leistungen Erw.";#N/A,#N/A,FALSE,"Leistungen Plan";#N/A,#N/A,FALSE,"KA Allg.Kosten (2)";#N/A,#N/A,FALSE,"KA All.Kosten"}</definedName>
    <definedName name="V.3_1" hidden="1">{#N/A,#N/A,FALSE,"Produkte Erw.";#N/A,#N/A,FALSE,"Produkte Plan";#N/A,#N/A,FALSE,"Leistungen Erw.";#N/A,#N/A,FALSE,"Leistungen Plan";#N/A,#N/A,FALSE,"KA Allg.Kosten (2)";#N/A,#N/A,FALSE,"KA All.Kosten"}</definedName>
    <definedName name="V.3_1_1" localSheetId="0" hidden="1">{#N/A,#N/A,FALSE,"Produkte Erw.";#N/A,#N/A,FALSE,"Produkte Plan";#N/A,#N/A,FALSE,"Leistungen Erw.";#N/A,#N/A,FALSE,"Leistungen Plan";#N/A,#N/A,FALSE,"KA Allg.Kosten (2)";#N/A,#N/A,FALSE,"KA All.Kosten"}</definedName>
    <definedName name="V.3_1_1" localSheetId="6" hidden="1">{#N/A,#N/A,FALSE,"Produkte Erw.";#N/A,#N/A,FALSE,"Produkte Plan";#N/A,#N/A,FALSE,"Leistungen Erw.";#N/A,#N/A,FALSE,"Leistungen Plan";#N/A,#N/A,FALSE,"KA Allg.Kosten (2)";#N/A,#N/A,FALSE,"KA All.Kosten"}</definedName>
    <definedName name="V.3_1_1" hidden="1">{#N/A,#N/A,FALSE,"Produkte Erw.";#N/A,#N/A,FALSE,"Produkte Plan";#N/A,#N/A,FALSE,"Leistungen Erw.";#N/A,#N/A,FALSE,"Leistungen Plan";#N/A,#N/A,FALSE,"KA Allg.Kosten (2)";#N/A,#N/A,FALSE,"KA All.Kosten"}</definedName>
    <definedName name="V.3_2" localSheetId="0" hidden="1">{#N/A,#N/A,FALSE,"Produkte Erw.";#N/A,#N/A,FALSE,"Produkte Plan";#N/A,#N/A,FALSE,"Leistungen Erw.";#N/A,#N/A,FALSE,"Leistungen Plan";#N/A,#N/A,FALSE,"KA Allg.Kosten (2)";#N/A,#N/A,FALSE,"KA All.Kosten"}</definedName>
    <definedName name="V.3_2" localSheetId="6" hidden="1">{#N/A,#N/A,FALSE,"Produkte Erw.";#N/A,#N/A,FALSE,"Produkte Plan";#N/A,#N/A,FALSE,"Leistungen Erw.";#N/A,#N/A,FALSE,"Leistungen Plan";#N/A,#N/A,FALSE,"KA Allg.Kosten (2)";#N/A,#N/A,FALSE,"KA All.Kosten"}</definedName>
    <definedName name="V.3_2" hidden="1">{#N/A,#N/A,FALSE,"Produkte Erw.";#N/A,#N/A,FALSE,"Produkte Plan";#N/A,#N/A,FALSE,"Leistungen Erw.";#N/A,#N/A,FALSE,"Leistungen Plan";#N/A,#N/A,FALSE,"KA Allg.Kosten (2)";#N/A,#N/A,FALSE,"KA All.Kosten"}</definedName>
    <definedName name="V.3_3" localSheetId="0" hidden="1">{#N/A,#N/A,FALSE,"Produkte Erw.";#N/A,#N/A,FALSE,"Produkte Plan";#N/A,#N/A,FALSE,"Leistungen Erw.";#N/A,#N/A,FALSE,"Leistungen Plan";#N/A,#N/A,FALSE,"KA Allg.Kosten (2)";#N/A,#N/A,FALSE,"KA All.Kosten"}</definedName>
    <definedName name="V.3_3" localSheetId="6" hidden="1">{#N/A,#N/A,FALSE,"Produkte Erw.";#N/A,#N/A,FALSE,"Produkte Plan";#N/A,#N/A,FALSE,"Leistungen Erw.";#N/A,#N/A,FALSE,"Leistungen Plan";#N/A,#N/A,FALSE,"KA Allg.Kosten (2)";#N/A,#N/A,FALSE,"KA All.Kosten"}</definedName>
    <definedName name="V.3_3" hidden="1">{#N/A,#N/A,FALSE,"Produkte Erw.";#N/A,#N/A,FALSE,"Produkte Plan";#N/A,#N/A,FALSE,"Leistungen Erw.";#N/A,#N/A,FALSE,"Leistungen Plan";#N/A,#N/A,FALSE,"KA Allg.Kosten (2)";#N/A,#N/A,FALSE,"KA All.Kosten"}</definedName>
    <definedName name="V.3_4" localSheetId="0" hidden="1">{#N/A,#N/A,FALSE,"Produkte Erw.";#N/A,#N/A,FALSE,"Produkte Plan";#N/A,#N/A,FALSE,"Leistungen Erw.";#N/A,#N/A,FALSE,"Leistungen Plan";#N/A,#N/A,FALSE,"KA Allg.Kosten (2)";#N/A,#N/A,FALSE,"KA All.Kosten"}</definedName>
    <definedName name="V.3_4" localSheetId="6" hidden="1">{#N/A,#N/A,FALSE,"Produkte Erw.";#N/A,#N/A,FALSE,"Produkte Plan";#N/A,#N/A,FALSE,"Leistungen Erw.";#N/A,#N/A,FALSE,"Leistungen Plan";#N/A,#N/A,FALSE,"KA Allg.Kosten (2)";#N/A,#N/A,FALSE,"KA All.Kosten"}</definedName>
    <definedName name="V.3_4" hidden="1">{#N/A,#N/A,FALSE,"Produkte Erw.";#N/A,#N/A,FALSE,"Produkte Plan";#N/A,#N/A,FALSE,"Leistungen Erw.";#N/A,#N/A,FALSE,"Leistungen Plan";#N/A,#N/A,FALSE,"KA Allg.Kosten (2)";#N/A,#N/A,FALSE,"KA All.Kosten"}</definedName>
    <definedName name="V.3_5" localSheetId="0" hidden="1">{#N/A,#N/A,FALSE,"Produkte Erw.";#N/A,#N/A,FALSE,"Produkte Plan";#N/A,#N/A,FALSE,"Leistungen Erw.";#N/A,#N/A,FALSE,"Leistungen Plan";#N/A,#N/A,FALSE,"KA Allg.Kosten (2)";#N/A,#N/A,FALSE,"KA All.Kosten"}</definedName>
    <definedName name="V.3_5" localSheetId="6" hidden="1">{#N/A,#N/A,FALSE,"Produkte Erw.";#N/A,#N/A,FALSE,"Produkte Plan";#N/A,#N/A,FALSE,"Leistungen Erw.";#N/A,#N/A,FALSE,"Leistungen Plan";#N/A,#N/A,FALSE,"KA Allg.Kosten (2)";#N/A,#N/A,FALSE,"KA All.Kosten"}</definedName>
    <definedName name="V.3_5" hidden="1">{#N/A,#N/A,FALSE,"Produkte Erw.";#N/A,#N/A,FALSE,"Produkte Plan";#N/A,#N/A,FALSE,"Leistungen Erw.";#N/A,#N/A,FALSE,"Leistungen Plan";#N/A,#N/A,FALSE,"KA Allg.Kosten (2)";#N/A,#N/A,FALSE,"KA All.Kosten"}</definedName>
    <definedName name="v.6" localSheetId="0" hidden="1">{#N/A,#N/A,FALSE,"Umsatz CH";#N/A,#N/A,FALSE,"ER CH";#N/A,#N/A,FALSE,"EA CH (2) ";#N/A,#N/A,FALSE,"EA CH";#N/A,#N/A,FALSE,"EA CH (3) ";#N/A,#N/A,FALSE,"EA CH (4)";#N/A,#N/A,FALSE,"KA CH";#N/A,#N/A,FALSE,"KA CH  (2)";#N/A,#N/A,FALSE,"KA CH  (3)";#N/A,#N/A,FALSE,"KA CH (4)"}</definedName>
    <definedName name="v.6" localSheetId="6" hidden="1">{#N/A,#N/A,FALSE,"Umsatz CH";#N/A,#N/A,FALSE,"ER CH";#N/A,#N/A,FALSE,"EA CH (2) ";#N/A,#N/A,FALSE,"EA CH";#N/A,#N/A,FALSE,"EA CH (3) ";#N/A,#N/A,FALSE,"EA CH (4)";#N/A,#N/A,FALSE,"KA CH";#N/A,#N/A,FALSE,"KA CH  (2)";#N/A,#N/A,FALSE,"KA CH  (3)";#N/A,#N/A,FALSE,"KA CH (4)"}</definedName>
    <definedName name="v.6" hidden="1">{#N/A,#N/A,FALSE,"Umsatz CH";#N/A,#N/A,FALSE,"ER CH";#N/A,#N/A,FALSE,"EA CH (2) ";#N/A,#N/A,FALSE,"EA CH";#N/A,#N/A,FALSE,"EA CH (3) ";#N/A,#N/A,FALSE,"EA CH (4)";#N/A,#N/A,FALSE,"KA CH";#N/A,#N/A,FALSE,"KA CH  (2)";#N/A,#N/A,FALSE,"KA CH  (3)";#N/A,#N/A,FALSE,"KA CH (4)"}</definedName>
    <definedName name="v.6_1" localSheetId="0" hidden="1">{#N/A,#N/A,FALSE,"Umsatz CH";#N/A,#N/A,FALSE,"ER CH";#N/A,#N/A,FALSE,"EA CH (2) ";#N/A,#N/A,FALSE,"EA CH";#N/A,#N/A,FALSE,"EA CH (3) ";#N/A,#N/A,FALSE,"EA CH (4)";#N/A,#N/A,FALSE,"KA CH";#N/A,#N/A,FALSE,"KA CH  (2)";#N/A,#N/A,FALSE,"KA CH  (3)";#N/A,#N/A,FALSE,"KA CH (4)"}</definedName>
    <definedName name="v.6_1" localSheetId="6" hidden="1">{#N/A,#N/A,FALSE,"Umsatz CH";#N/A,#N/A,FALSE,"ER CH";#N/A,#N/A,FALSE,"EA CH (2) ";#N/A,#N/A,FALSE,"EA CH";#N/A,#N/A,FALSE,"EA CH (3) ";#N/A,#N/A,FALSE,"EA CH (4)";#N/A,#N/A,FALSE,"KA CH";#N/A,#N/A,FALSE,"KA CH  (2)";#N/A,#N/A,FALSE,"KA CH  (3)";#N/A,#N/A,FALSE,"KA CH (4)"}</definedName>
    <definedName name="v.6_1" hidden="1">{#N/A,#N/A,FALSE,"Umsatz CH";#N/A,#N/A,FALSE,"ER CH";#N/A,#N/A,FALSE,"EA CH (2) ";#N/A,#N/A,FALSE,"EA CH";#N/A,#N/A,FALSE,"EA CH (3) ";#N/A,#N/A,FALSE,"EA CH (4)";#N/A,#N/A,FALSE,"KA CH";#N/A,#N/A,FALSE,"KA CH  (2)";#N/A,#N/A,FALSE,"KA CH  (3)";#N/A,#N/A,FALSE,"KA CH (4)"}</definedName>
    <definedName name="v.6_1_1" localSheetId="0" hidden="1">{#N/A,#N/A,FALSE,"Umsatz CH";#N/A,#N/A,FALSE,"ER CH";#N/A,#N/A,FALSE,"EA CH (2) ";#N/A,#N/A,FALSE,"EA CH";#N/A,#N/A,FALSE,"EA CH (3) ";#N/A,#N/A,FALSE,"EA CH (4)";#N/A,#N/A,FALSE,"KA CH";#N/A,#N/A,FALSE,"KA CH  (2)";#N/A,#N/A,FALSE,"KA CH  (3)";#N/A,#N/A,FALSE,"KA CH (4)"}</definedName>
    <definedName name="v.6_1_1" localSheetId="6" hidden="1">{#N/A,#N/A,FALSE,"Umsatz CH";#N/A,#N/A,FALSE,"ER CH";#N/A,#N/A,FALSE,"EA CH (2) ";#N/A,#N/A,FALSE,"EA CH";#N/A,#N/A,FALSE,"EA CH (3) ";#N/A,#N/A,FALSE,"EA CH (4)";#N/A,#N/A,FALSE,"KA CH";#N/A,#N/A,FALSE,"KA CH  (2)";#N/A,#N/A,FALSE,"KA CH  (3)";#N/A,#N/A,FALSE,"KA CH (4)"}</definedName>
    <definedName name="v.6_1_1" hidden="1">{#N/A,#N/A,FALSE,"Umsatz CH";#N/A,#N/A,FALSE,"ER CH";#N/A,#N/A,FALSE,"EA CH (2) ";#N/A,#N/A,FALSE,"EA CH";#N/A,#N/A,FALSE,"EA CH (3) ";#N/A,#N/A,FALSE,"EA CH (4)";#N/A,#N/A,FALSE,"KA CH";#N/A,#N/A,FALSE,"KA CH  (2)";#N/A,#N/A,FALSE,"KA CH  (3)";#N/A,#N/A,FALSE,"KA CH (4)"}</definedName>
    <definedName name="v.6_2" localSheetId="0" hidden="1">{#N/A,#N/A,FALSE,"Umsatz CH";#N/A,#N/A,FALSE,"ER CH";#N/A,#N/A,FALSE,"EA CH (2) ";#N/A,#N/A,FALSE,"EA CH";#N/A,#N/A,FALSE,"EA CH (3) ";#N/A,#N/A,FALSE,"EA CH (4)";#N/A,#N/A,FALSE,"KA CH";#N/A,#N/A,FALSE,"KA CH  (2)";#N/A,#N/A,FALSE,"KA CH  (3)";#N/A,#N/A,FALSE,"KA CH (4)"}</definedName>
    <definedName name="v.6_2" localSheetId="6" hidden="1">{#N/A,#N/A,FALSE,"Umsatz CH";#N/A,#N/A,FALSE,"ER CH";#N/A,#N/A,FALSE,"EA CH (2) ";#N/A,#N/A,FALSE,"EA CH";#N/A,#N/A,FALSE,"EA CH (3) ";#N/A,#N/A,FALSE,"EA CH (4)";#N/A,#N/A,FALSE,"KA CH";#N/A,#N/A,FALSE,"KA CH  (2)";#N/A,#N/A,FALSE,"KA CH  (3)";#N/A,#N/A,FALSE,"KA CH (4)"}</definedName>
    <definedName name="v.6_2" hidden="1">{#N/A,#N/A,FALSE,"Umsatz CH";#N/A,#N/A,FALSE,"ER CH";#N/A,#N/A,FALSE,"EA CH (2) ";#N/A,#N/A,FALSE,"EA CH";#N/A,#N/A,FALSE,"EA CH (3) ";#N/A,#N/A,FALSE,"EA CH (4)";#N/A,#N/A,FALSE,"KA CH";#N/A,#N/A,FALSE,"KA CH  (2)";#N/A,#N/A,FALSE,"KA CH  (3)";#N/A,#N/A,FALSE,"KA CH (4)"}</definedName>
    <definedName name="v.6_3" localSheetId="0" hidden="1">{#N/A,#N/A,FALSE,"Umsatz CH";#N/A,#N/A,FALSE,"ER CH";#N/A,#N/A,FALSE,"EA CH (2) ";#N/A,#N/A,FALSE,"EA CH";#N/A,#N/A,FALSE,"EA CH (3) ";#N/A,#N/A,FALSE,"EA CH (4)";#N/A,#N/A,FALSE,"KA CH";#N/A,#N/A,FALSE,"KA CH  (2)";#N/A,#N/A,FALSE,"KA CH  (3)";#N/A,#N/A,FALSE,"KA CH (4)"}</definedName>
    <definedName name="v.6_3" localSheetId="6" hidden="1">{#N/A,#N/A,FALSE,"Umsatz CH";#N/A,#N/A,FALSE,"ER CH";#N/A,#N/A,FALSE,"EA CH (2) ";#N/A,#N/A,FALSE,"EA CH";#N/A,#N/A,FALSE,"EA CH (3) ";#N/A,#N/A,FALSE,"EA CH (4)";#N/A,#N/A,FALSE,"KA CH";#N/A,#N/A,FALSE,"KA CH  (2)";#N/A,#N/A,FALSE,"KA CH  (3)";#N/A,#N/A,FALSE,"KA CH (4)"}</definedName>
    <definedName name="v.6_3" hidden="1">{#N/A,#N/A,FALSE,"Umsatz CH";#N/A,#N/A,FALSE,"ER CH";#N/A,#N/A,FALSE,"EA CH (2) ";#N/A,#N/A,FALSE,"EA CH";#N/A,#N/A,FALSE,"EA CH (3) ";#N/A,#N/A,FALSE,"EA CH (4)";#N/A,#N/A,FALSE,"KA CH";#N/A,#N/A,FALSE,"KA CH  (2)";#N/A,#N/A,FALSE,"KA CH  (3)";#N/A,#N/A,FALSE,"KA CH (4)"}</definedName>
    <definedName name="v.6_4" localSheetId="0" hidden="1">{#N/A,#N/A,FALSE,"Umsatz CH";#N/A,#N/A,FALSE,"ER CH";#N/A,#N/A,FALSE,"EA CH (2) ";#N/A,#N/A,FALSE,"EA CH";#N/A,#N/A,FALSE,"EA CH (3) ";#N/A,#N/A,FALSE,"EA CH (4)";#N/A,#N/A,FALSE,"KA CH";#N/A,#N/A,FALSE,"KA CH  (2)";#N/A,#N/A,FALSE,"KA CH  (3)";#N/A,#N/A,FALSE,"KA CH (4)"}</definedName>
    <definedName name="v.6_4" localSheetId="6" hidden="1">{#N/A,#N/A,FALSE,"Umsatz CH";#N/A,#N/A,FALSE,"ER CH";#N/A,#N/A,FALSE,"EA CH (2) ";#N/A,#N/A,FALSE,"EA CH";#N/A,#N/A,FALSE,"EA CH (3) ";#N/A,#N/A,FALSE,"EA CH (4)";#N/A,#N/A,FALSE,"KA CH";#N/A,#N/A,FALSE,"KA CH  (2)";#N/A,#N/A,FALSE,"KA CH  (3)";#N/A,#N/A,FALSE,"KA CH (4)"}</definedName>
    <definedName name="v.6_4" hidden="1">{#N/A,#N/A,FALSE,"Umsatz CH";#N/A,#N/A,FALSE,"ER CH";#N/A,#N/A,FALSE,"EA CH (2) ";#N/A,#N/A,FALSE,"EA CH";#N/A,#N/A,FALSE,"EA CH (3) ";#N/A,#N/A,FALSE,"EA CH (4)";#N/A,#N/A,FALSE,"KA CH";#N/A,#N/A,FALSE,"KA CH  (2)";#N/A,#N/A,FALSE,"KA CH  (3)";#N/A,#N/A,FALSE,"KA CH (4)"}</definedName>
    <definedName name="v.6_5" localSheetId="0" hidden="1">{#N/A,#N/A,FALSE,"Umsatz CH";#N/A,#N/A,FALSE,"ER CH";#N/A,#N/A,FALSE,"EA CH (2) ";#N/A,#N/A,FALSE,"EA CH";#N/A,#N/A,FALSE,"EA CH (3) ";#N/A,#N/A,FALSE,"EA CH (4)";#N/A,#N/A,FALSE,"KA CH";#N/A,#N/A,FALSE,"KA CH  (2)";#N/A,#N/A,FALSE,"KA CH  (3)";#N/A,#N/A,FALSE,"KA CH (4)"}</definedName>
    <definedName name="v.6_5" localSheetId="6" hidden="1">{#N/A,#N/A,FALSE,"Umsatz CH";#N/A,#N/A,FALSE,"ER CH";#N/A,#N/A,FALSE,"EA CH (2) ";#N/A,#N/A,FALSE,"EA CH";#N/A,#N/A,FALSE,"EA CH (3) ";#N/A,#N/A,FALSE,"EA CH (4)";#N/A,#N/A,FALSE,"KA CH";#N/A,#N/A,FALSE,"KA CH  (2)";#N/A,#N/A,FALSE,"KA CH  (3)";#N/A,#N/A,FALSE,"KA CH (4)"}</definedName>
    <definedName name="v.6_5" hidden="1">{#N/A,#N/A,FALSE,"Umsatz CH";#N/A,#N/A,FALSE,"ER CH";#N/A,#N/A,FALSE,"EA CH (2) ";#N/A,#N/A,FALSE,"EA CH";#N/A,#N/A,FALSE,"EA CH (3) ";#N/A,#N/A,FALSE,"EA CH (4)";#N/A,#N/A,FALSE,"KA CH";#N/A,#N/A,FALSE,"KA CH  (2)";#N/A,#N/A,FALSE,"KA CH  (3)";#N/A,#N/A,FALSE,"KA CH (4)"}</definedName>
    <definedName name="v.7" localSheetId="0" hidden="1">{#N/A,#N/A,FALSE,"Umsatz CH";#N/A,#N/A,FALSE,"ER CH";#N/A,#N/A,FALSE,"EA CH (2) ";#N/A,#N/A,FALSE,"EA CH";#N/A,#N/A,FALSE,"EA CH (3) ";#N/A,#N/A,FALSE,"EA CH (4)";#N/A,#N/A,FALSE,"KA CH";#N/A,#N/A,FALSE,"KA CH  (2)";#N/A,#N/A,FALSE,"KA CH  (3)";#N/A,#N/A,FALSE,"KA CH (4)"}</definedName>
    <definedName name="v.7" localSheetId="6" hidden="1">{#N/A,#N/A,FALSE,"Umsatz CH";#N/A,#N/A,FALSE,"ER CH";#N/A,#N/A,FALSE,"EA CH (2) ";#N/A,#N/A,FALSE,"EA CH";#N/A,#N/A,FALSE,"EA CH (3) ";#N/A,#N/A,FALSE,"EA CH (4)";#N/A,#N/A,FALSE,"KA CH";#N/A,#N/A,FALSE,"KA CH  (2)";#N/A,#N/A,FALSE,"KA CH  (3)";#N/A,#N/A,FALSE,"KA CH (4)"}</definedName>
    <definedName name="v.7" hidden="1">{#N/A,#N/A,FALSE,"Umsatz CH";#N/A,#N/A,FALSE,"ER CH";#N/A,#N/A,FALSE,"EA CH (2) ";#N/A,#N/A,FALSE,"EA CH";#N/A,#N/A,FALSE,"EA CH (3) ";#N/A,#N/A,FALSE,"EA CH (4)";#N/A,#N/A,FALSE,"KA CH";#N/A,#N/A,FALSE,"KA CH  (2)";#N/A,#N/A,FALSE,"KA CH  (3)";#N/A,#N/A,FALSE,"KA CH (4)"}</definedName>
    <definedName name="v.7_1" localSheetId="0" hidden="1">{#N/A,#N/A,FALSE,"Umsatz CH";#N/A,#N/A,FALSE,"ER CH";#N/A,#N/A,FALSE,"EA CH (2) ";#N/A,#N/A,FALSE,"EA CH";#N/A,#N/A,FALSE,"EA CH (3) ";#N/A,#N/A,FALSE,"EA CH (4)";#N/A,#N/A,FALSE,"KA CH";#N/A,#N/A,FALSE,"KA CH  (2)";#N/A,#N/A,FALSE,"KA CH  (3)";#N/A,#N/A,FALSE,"KA CH (4)"}</definedName>
    <definedName name="v.7_1" localSheetId="6" hidden="1">{#N/A,#N/A,FALSE,"Umsatz CH";#N/A,#N/A,FALSE,"ER CH";#N/A,#N/A,FALSE,"EA CH (2) ";#N/A,#N/A,FALSE,"EA CH";#N/A,#N/A,FALSE,"EA CH (3) ";#N/A,#N/A,FALSE,"EA CH (4)";#N/A,#N/A,FALSE,"KA CH";#N/A,#N/A,FALSE,"KA CH  (2)";#N/A,#N/A,FALSE,"KA CH  (3)";#N/A,#N/A,FALSE,"KA CH (4)"}</definedName>
    <definedName name="v.7_1" hidden="1">{#N/A,#N/A,FALSE,"Umsatz CH";#N/A,#N/A,FALSE,"ER CH";#N/A,#N/A,FALSE,"EA CH (2) ";#N/A,#N/A,FALSE,"EA CH";#N/A,#N/A,FALSE,"EA CH (3) ";#N/A,#N/A,FALSE,"EA CH (4)";#N/A,#N/A,FALSE,"KA CH";#N/A,#N/A,FALSE,"KA CH  (2)";#N/A,#N/A,FALSE,"KA CH  (3)";#N/A,#N/A,FALSE,"KA CH (4)"}</definedName>
    <definedName name="v.7_1_1" localSheetId="0" hidden="1">{#N/A,#N/A,FALSE,"Umsatz CH";#N/A,#N/A,FALSE,"ER CH";#N/A,#N/A,FALSE,"EA CH (2) ";#N/A,#N/A,FALSE,"EA CH";#N/A,#N/A,FALSE,"EA CH (3) ";#N/A,#N/A,FALSE,"EA CH (4)";#N/A,#N/A,FALSE,"KA CH";#N/A,#N/A,FALSE,"KA CH  (2)";#N/A,#N/A,FALSE,"KA CH  (3)";#N/A,#N/A,FALSE,"KA CH (4)"}</definedName>
    <definedName name="v.7_1_1" localSheetId="6" hidden="1">{#N/A,#N/A,FALSE,"Umsatz CH";#N/A,#N/A,FALSE,"ER CH";#N/A,#N/A,FALSE,"EA CH (2) ";#N/A,#N/A,FALSE,"EA CH";#N/A,#N/A,FALSE,"EA CH (3) ";#N/A,#N/A,FALSE,"EA CH (4)";#N/A,#N/A,FALSE,"KA CH";#N/A,#N/A,FALSE,"KA CH  (2)";#N/A,#N/A,FALSE,"KA CH  (3)";#N/A,#N/A,FALSE,"KA CH (4)"}</definedName>
    <definedName name="v.7_1_1" hidden="1">{#N/A,#N/A,FALSE,"Umsatz CH";#N/A,#N/A,FALSE,"ER CH";#N/A,#N/A,FALSE,"EA CH (2) ";#N/A,#N/A,FALSE,"EA CH";#N/A,#N/A,FALSE,"EA CH (3) ";#N/A,#N/A,FALSE,"EA CH (4)";#N/A,#N/A,FALSE,"KA CH";#N/A,#N/A,FALSE,"KA CH  (2)";#N/A,#N/A,FALSE,"KA CH  (3)";#N/A,#N/A,FALSE,"KA CH (4)"}</definedName>
    <definedName name="v.7_2" localSheetId="0" hidden="1">{#N/A,#N/A,FALSE,"Umsatz CH";#N/A,#N/A,FALSE,"ER CH";#N/A,#N/A,FALSE,"EA CH (2) ";#N/A,#N/A,FALSE,"EA CH";#N/A,#N/A,FALSE,"EA CH (3) ";#N/A,#N/A,FALSE,"EA CH (4)";#N/A,#N/A,FALSE,"KA CH";#N/A,#N/A,FALSE,"KA CH  (2)";#N/A,#N/A,FALSE,"KA CH  (3)";#N/A,#N/A,FALSE,"KA CH (4)"}</definedName>
    <definedName name="v.7_2" localSheetId="6" hidden="1">{#N/A,#N/A,FALSE,"Umsatz CH";#N/A,#N/A,FALSE,"ER CH";#N/A,#N/A,FALSE,"EA CH (2) ";#N/A,#N/A,FALSE,"EA CH";#N/A,#N/A,FALSE,"EA CH (3) ";#N/A,#N/A,FALSE,"EA CH (4)";#N/A,#N/A,FALSE,"KA CH";#N/A,#N/A,FALSE,"KA CH  (2)";#N/A,#N/A,FALSE,"KA CH  (3)";#N/A,#N/A,FALSE,"KA CH (4)"}</definedName>
    <definedName name="v.7_2" hidden="1">{#N/A,#N/A,FALSE,"Umsatz CH";#N/A,#N/A,FALSE,"ER CH";#N/A,#N/A,FALSE,"EA CH (2) ";#N/A,#N/A,FALSE,"EA CH";#N/A,#N/A,FALSE,"EA CH (3) ";#N/A,#N/A,FALSE,"EA CH (4)";#N/A,#N/A,FALSE,"KA CH";#N/A,#N/A,FALSE,"KA CH  (2)";#N/A,#N/A,FALSE,"KA CH  (3)";#N/A,#N/A,FALSE,"KA CH (4)"}</definedName>
    <definedName name="v.7_3" localSheetId="0" hidden="1">{#N/A,#N/A,FALSE,"Umsatz CH";#N/A,#N/A,FALSE,"ER CH";#N/A,#N/A,FALSE,"EA CH (2) ";#N/A,#N/A,FALSE,"EA CH";#N/A,#N/A,FALSE,"EA CH (3) ";#N/A,#N/A,FALSE,"EA CH (4)";#N/A,#N/A,FALSE,"KA CH";#N/A,#N/A,FALSE,"KA CH  (2)";#N/A,#N/A,FALSE,"KA CH  (3)";#N/A,#N/A,FALSE,"KA CH (4)"}</definedName>
    <definedName name="v.7_3" localSheetId="6" hidden="1">{#N/A,#N/A,FALSE,"Umsatz CH";#N/A,#N/A,FALSE,"ER CH";#N/A,#N/A,FALSE,"EA CH (2) ";#N/A,#N/A,FALSE,"EA CH";#N/A,#N/A,FALSE,"EA CH (3) ";#N/A,#N/A,FALSE,"EA CH (4)";#N/A,#N/A,FALSE,"KA CH";#N/A,#N/A,FALSE,"KA CH  (2)";#N/A,#N/A,FALSE,"KA CH  (3)";#N/A,#N/A,FALSE,"KA CH (4)"}</definedName>
    <definedName name="v.7_3" hidden="1">{#N/A,#N/A,FALSE,"Umsatz CH";#N/A,#N/A,FALSE,"ER CH";#N/A,#N/A,FALSE,"EA CH (2) ";#N/A,#N/A,FALSE,"EA CH";#N/A,#N/A,FALSE,"EA CH (3) ";#N/A,#N/A,FALSE,"EA CH (4)";#N/A,#N/A,FALSE,"KA CH";#N/A,#N/A,FALSE,"KA CH  (2)";#N/A,#N/A,FALSE,"KA CH  (3)";#N/A,#N/A,FALSE,"KA CH (4)"}</definedName>
    <definedName name="v.7_4" localSheetId="0" hidden="1">{#N/A,#N/A,FALSE,"Umsatz CH";#N/A,#N/A,FALSE,"ER CH";#N/A,#N/A,FALSE,"EA CH (2) ";#N/A,#N/A,FALSE,"EA CH";#N/A,#N/A,FALSE,"EA CH (3) ";#N/A,#N/A,FALSE,"EA CH (4)";#N/A,#N/A,FALSE,"KA CH";#N/A,#N/A,FALSE,"KA CH  (2)";#N/A,#N/A,FALSE,"KA CH  (3)";#N/A,#N/A,FALSE,"KA CH (4)"}</definedName>
    <definedName name="v.7_4" localSheetId="6" hidden="1">{#N/A,#N/A,FALSE,"Umsatz CH";#N/A,#N/A,FALSE,"ER CH";#N/A,#N/A,FALSE,"EA CH (2) ";#N/A,#N/A,FALSE,"EA CH";#N/A,#N/A,FALSE,"EA CH (3) ";#N/A,#N/A,FALSE,"EA CH (4)";#N/A,#N/A,FALSE,"KA CH";#N/A,#N/A,FALSE,"KA CH  (2)";#N/A,#N/A,FALSE,"KA CH  (3)";#N/A,#N/A,FALSE,"KA CH (4)"}</definedName>
    <definedName name="v.7_4" hidden="1">{#N/A,#N/A,FALSE,"Umsatz CH";#N/A,#N/A,FALSE,"ER CH";#N/A,#N/A,FALSE,"EA CH (2) ";#N/A,#N/A,FALSE,"EA CH";#N/A,#N/A,FALSE,"EA CH (3) ";#N/A,#N/A,FALSE,"EA CH (4)";#N/A,#N/A,FALSE,"KA CH";#N/A,#N/A,FALSE,"KA CH  (2)";#N/A,#N/A,FALSE,"KA CH  (3)";#N/A,#N/A,FALSE,"KA CH (4)"}</definedName>
    <definedName name="v.7_5" localSheetId="0" hidden="1">{#N/A,#N/A,FALSE,"Umsatz CH";#N/A,#N/A,FALSE,"ER CH";#N/A,#N/A,FALSE,"EA CH (2) ";#N/A,#N/A,FALSE,"EA CH";#N/A,#N/A,FALSE,"EA CH (3) ";#N/A,#N/A,FALSE,"EA CH (4)";#N/A,#N/A,FALSE,"KA CH";#N/A,#N/A,FALSE,"KA CH  (2)";#N/A,#N/A,FALSE,"KA CH  (3)";#N/A,#N/A,FALSE,"KA CH (4)"}</definedName>
    <definedName name="v.7_5" localSheetId="6" hidden="1">{#N/A,#N/A,FALSE,"Umsatz CH";#N/A,#N/A,FALSE,"ER CH";#N/A,#N/A,FALSE,"EA CH (2) ";#N/A,#N/A,FALSE,"EA CH";#N/A,#N/A,FALSE,"EA CH (3) ";#N/A,#N/A,FALSE,"EA CH (4)";#N/A,#N/A,FALSE,"KA CH";#N/A,#N/A,FALSE,"KA CH  (2)";#N/A,#N/A,FALSE,"KA CH  (3)";#N/A,#N/A,FALSE,"KA CH (4)"}</definedName>
    <definedName name="v.7_5" hidden="1">{#N/A,#N/A,FALSE,"Umsatz CH";#N/A,#N/A,FALSE,"ER CH";#N/A,#N/A,FALSE,"EA CH (2) ";#N/A,#N/A,FALSE,"EA CH";#N/A,#N/A,FALSE,"EA CH (3) ";#N/A,#N/A,FALSE,"EA CH (4)";#N/A,#N/A,FALSE,"KA CH";#N/A,#N/A,FALSE,"KA CH  (2)";#N/A,#N/A,FALSE,"KA CH  (3)";#N/A,#N/A,FALSE,"KA CH (4)"}</definedName>
    <definedName name="v.8" localSheetId="0" hidden="1">{#N/A,#N/A,FALSE,"Produkte Erw.";#N/A,#N/A,FALSE,"Produkte Plan";#N/A,#N/A,FALSE,"Leistungen Erw.";#N/A,#N/A,FALSE,"Leistungen Plan";#N/A,#N/A,FALSE,"KA Allg.Kosten (2)";#N/A,#N/A,FALSE,"KA All.Kosten"}</definedName>
    <definedName name="v.8" localSheetId="6" hidden="1">{#N/A,#N/A,FALSE,"Produkte Erw.";#N/A,#N/A,FALSE,"Produkte Plan";#N/A,#N/A,FALSE,"Leistungen Erw.";#N/A,#N/A,FALSE,"Leistungen Plan";#N/A,#N/A,FALSE,"KA Allg.Kosten (2)";#N/A,#N/A,FALSE,"KA All.Kosten"}</definedName>
    <definedName name="v.8" hidden="1">{#N/A,#N/A,FALSE,"Produkte Erw.";#N/A,#N/A,FALSE,"Produkte Plan";#N/A,#N/A,FALSE,"Leistungen Erw.";#N/A,#N/A,FALSE,"Leistungen Plan";#N/A,#N/A,FALSE,"KA Allg.Kosten (2)";#N/A,#N/A,FALSE,"KA All.Kosten"}</definedName>
    <definedName name="v.8_1" localSheetId="0" hidden="1">{#N/A,#N/A,FALSE,"Produkte Erw.";#N/A,#N/A,FALSE,"Produkte Plan";#N/A,#N/A,FALSE,"Leistungen Erw.";#N/A,#N/A,FALSE,"Leistungen Plan";#N/A,#N/A,FALSE,"KA Allg.Kosten (2)";#N/A,#N/A,FALSE,"KA All.Kosten"}</definedName>
    <definedName name="v.8_1" localSheetId="6" hidden="1">{#N/A,#N/A,FALSE,"Produkte Erw.";#N/A,#N/A,FALSE,"Produkte Plan";#N/A,#N/A,FALSE,"Leistungen Erw.";#N/A,#N/A,FALSE,"Leistungen Plan";#N/A,#N/A,FALSE,"KA Allg.Kosten (2)";#N/A,#N/A,FALSE,"KA All.Kosten"}</definedName>
    <definedName name="v.8_1" hidden="1">{#N/A,#N/A,FALSE,"Produkte Erw.";#N/A,#N/A,FALSE,"Produkte Plan";#N/A,#N/A,FALSE,"Leistungen Erw.";#N/A,#N/A,FALSE,"Leistungen Plan";#N/A,#N/A,FALSE,"KA Allg.Kosten (2)";#N/A,#N/A,FALSE,"KA All.Kosten"}</definedName>
    <definedName name="v.8_1_1" localSheetId="0" hidden="1">{#N/A,#N/A,FALSE,"Produkte Erw.";#N/A,#N/A,FALSE,"Produkte Plan";#N/A,#N/A,FALSE,"Leistungen Erw.";#N/A,#N/A,FALSE,"Leistungen Plan";#N/A,#N/A,FALSE,"KA Allg.Kosten (2)";#N/A,#N/A,FALSE,"KA All.Kosten"}</definedName>
    <definedName name="v.8_1_1" localSheetId="6" hidden="1">{#N/A,#N/A,FALSE,"Produkte Erw.";#N/A,#N/A,FALSE,"Produkte Plan";#N/A,#N/A,FALSE,"Leistungen Erw.";#N/A,#N/A,FALSE,"Leistungen Plan";#N/A,#N/A,FALSE,"KA Allg.Kosten (2)";#N/A,#N/A,FALSE,"KA All.Kosten"}</definedName>
    <definedName name="v.8_1_1" hidden="1">{#N/A,#N/A,FALSE,"Produkte Erw.";#N/A,#N/A,FALSE,"Produkte Plan";#N/A,#N/A,FALSE,"Leistungen Erw.";#N/A,#N/A,FALSE,"Leistungen Plan";#N/A,#N/A,FALSE,"KA Allg.Kosten (2)";#N/A,#N/A,FALSE,"KA All.Kosten"}</definedName>
    <definedName name="v.8_2" localSheetId="0" hidden="1">{#N/A,#N/A,FALSE,"Produkte Erw.";#N/A,#N/A,FALSE,"Produkte Plan";#N/A,#N/A,FALSE,"Leistungen Erw.";#N/A,#N/A,FALSE,"Leistungen Plan";#N/A,#N/A,FALSE,"KA Allg.Kosten (2)";#N/A,#N/A,FALSE,"KA All.Kosten"}</definedName>
    <definedName name="v.8_2" localSheetId="6" hidden="1">{#N/A,#N/A,FALSE,"Produkte Erw.";#N/A,#N/A,FALSE,"Produkte Plan";#N/A,#N/A,FALSE,"Leistungen Erw.";#N/A,#N/A,FALSE,"Leistungen Plan";#N/A,#N/A,FALSE,"KA Allg.Kosten (2)";#N/A,#N/A,FALSE,"KA All.Kosten"}</definedName>
    <definedName name="v.8_2" hidden="1">{#N/A,#N/A,FALSE,"Produkte Erw.";#N/A,#N/A,FALSE,"Produkte Plan";#N/A,#N/A,FALSE,"Leistungen Erw.";#N/A,#N/A,FALSE,"Leistungen Plan";#N/A,#N/A,FALSE,"KA Allg.Kosten (2)";#N/A,#N/A,FALSE,"KA All.Kosten"}</definedName>
    <definedName name="v.8_3" localSheetId="0" hidden="1">{#N/A,#N/A,FALSE,"Produkte Erw.";#N/A,#N/A,FALSE,"Produkte Plan";#N/A,#N/A,FALSE,"Leistungen Erw.";#N/A,#N/A,FALSE,"Leistungen Plan";#N/A,#N/A,FALSE,"KA Allg.Kosten (2)";#N/A,#N/A,FALSE,"KA All.Kosten"}</definedName>
    <definedName name="v.8_3" localSheetId="6" hidden="1">{#N/A,#N/A,FALSE,"Produkte Erw.";#N/A,#N/A,FALSE,"Produkte Plan";#N/A,#N/A,FALSE,"Leistungen Erw.";#N/A,#N/A,FALSE,"Leistungen Plan";#N/A,#N/A,FALSE,"KA Allg.Kosten (2)";#N/A,#N/A,FALSE,"KA All.Kosten"}</definedName>
    <definedName name="v.8_3" hidden="1">{#N/A,#N/A,FALSE,"Produkte Erw.";#N/A,#N/A,FALSE,"Produkte Plan";#N/A,#N/A,FALSE,"Leistungen Erw.";#N/A,#N/A,FALSE,"Leistungen Plan";#N/A,#N/A,FALSE,"KA Allg.Kosten (2)";#N/A,#N/A,FALSE,"KA All.Kosten"}</definedName>
    <definedName name="v.8_4" localSheetId="0" hidden="1">{#N/A,#N/A,FALSE,"Produkte Erw.";#N/A,#N/A,FALSE,"Produkte Plan";#N/A,#N/A,FALSE,"Leistungen Erw.";#N/A,#N/A,FALSE,"Leistungen Plan";#N/A,#N/A,FALSE,"KA Allg.Kosten (2)";#N/A,#N/A,FALSE,"KA All.Kosten"}</definedName>
    <definedName name="v.8_4" localSheetId="6" hidden="1">{#N/A,#N/A,FALSE,"Produkte Erw.";#N/A,#N/A,FALSE,"Produkte Plan";#N/A,#N/A,FALSE,"Leistungen Erw.";#N/A,#N/A,FALSE,"Leistungen Plan";#N/A,#N/A,FALSE,"KA Allg.Kosten (2)";#N/A,#N/A,FALSE,"KA All.Kosten"}</definedName>
    <definedName name="v.8_4" hidden="1">{#N/A,#N/A,FALSE,"Produkte Erw.";#N/A,#N/A,FALSE,"Produkte Plan";#N/A,#N/A,FALSE,"Leistungen Erw.";#N/A,#N/A,FALSE,"Leistungen Plan";#N/A,#N/A,FALSE,"KA Allg.Kosten (2)";#N/A,#N/A,FALSE,"KA All.Kosten"}</definedName>
    <definedName name="v.8_5" localSheetId="0" hidden="1">{#N/A,#N/A,FALSE,"Produkte Erw.";#N/A,#N/A,FALSE,"Produkte Plan";#N/A,#N/A,FALSE,"Leistungen Erw.";#N/A,#N/A,FALSE,"Leistungen Plan";#N/A,#N/A,FALSE,"KA Allg.Kosten (2)";#N/A,#N/A,FALSE,"KA All.Kosten"}</definedName>
    <definedName name="v.8_5" localSheetId="6" hidden="1">{#N/A,#N/A,FALSE,"Produkte Erw.";#N/A,#N/A,FALSE,"Produkte Plan";#N/A,#N/A,FALSE,"Leistungen Erw.";#N/A,#N/A,FALSE,"Leistungen Plan";#N/A,#N/A,FALSE,"KA Allg.Kosten (2)";#N/A,#N/A,FALSE,"KA All.Kosten"}</definedName>
    <definedName name="v.8_5" hidden="1">{#N/A,#N/A,FALSE,"Produkte Erw.";#N/A,#N/A,FALSE,"Produkte Plan";#N/A,#N/A,FALSE,"Leistungen Erw.";#N/A,#N/A,FALSE,"Leistungen Plan";#N/A,#N/A,FALSE,"KA Allg.Kosten (2)";#N/A,#N/A,FALSE,"KA All.Kosten"}</definedName>
    <definedName name="v_1" localSheetId="0" hidden="1">{#N/A,#N/A,FALSE,"Assessment";#N/A,#N/A,FALSE,"Staffing";#N/A,#N/A,FALSE,"Hires";#N/A,#N/A,FALSE,"Assumptions"}</definedName>
    <definedName name="v_1" localSheetId="6" hidden="1">{#N/A,#N/A,FALSE,"Assessment";#N/A,#N/A,FALSE,"Staffing";#N/A,#N/A,FALSE,"Hires";#N/A,#N/A,FALSE,"Assumptions"}</definedName>
    <definedName name="v_1" hidden="1">{#N/A,#N/A,FALSE,"Assessment";#N/A,#N/A,FALSE,"Staffing";#N/A,#N/A,FALSE,"Hires";#N/A,#N/A,FALSE,"Assumptions"}</definedName>
    <definedName name="v_1_1" localSheetId="0" hidden="1">{#N/A,#N/A,FALSE,"Umsatz CH";#N/A,#N/A,FALSE,"ER CH";#N/A,#N/A,FALSE,"EA CH (2) ";#N/A,#N/A,FALSE,"EA CH";#N/A,#N/A,FALSE,"EA CH (3) ";#N/A,#N/A,FALSE,"EA CH (4)";#N/A,#N/A,FALSE,"KA CH";#N/A,#N/A,FALSE,"KA CH  (2)";#N/A,#N/A,FALSE,"KA CH  (3)";#N/A,#N/A,FALSE,"KA CH (4)"}</definedName>
    <definedName name="v_1_1" localSheetId="6" hidden="1">{#N/A,#N/A,FALSE,"Umsatz CH";#N/A,#N/A,FALSE,"ER CH";#N/A,#N/A,FALSE,"EA CH (2) ";#N/A,#N/A,FALSE,"EA CH";#N/A,#N/A,FALSE,"EA CH (3) ";#N/A,#N/A,FALSE,"EA CH (4)";#N/A,#N/A,FALSE,"KA CH";#N/A,#N/A,FALSE,"KA CH  (2)";#N/A,#N/A,FALSE,"KA CH  (3)";#N/A,#N/A,FALSE,"KA CH (4)"}</definedName>
    <definedName name="v_1_1" hidden="1">{#N/A,#N/A,FALSE,"Umsatz CH";#N/A,#N/A,FALSE,"ER CH";#N/A,#N/A,FALSE,"EA CH (2) ";#N/A,#N/A,FALSE,"EA CH";#N/A,#N/A,FALSE,"EA CH (3) ";#N/A,#N/A,FALSE,"EA CH (4)";#N/A,#N/A,FALSE,"KA CH";#N/A,#N/A,FALSE,"KA CH  (2)";#N/A,#N/A,FALSE,"KA CH  (3)";#N/A,#N/A,FALSE,"KA CH (4)"}</definedName>
    <definedName name="v_2" localSheetId="0" hidden="1">{#N/A,#N/A,FALSE,"Umsatz CH";#N/A,#N/A,FALSE,"ER CH";#N/A,#N/A,FALSE,"EA CH (2) ";#N/A,#N/A,FALSE,"EA CH";#N/A,#N/A,FALSE,"EA CH (3) ";#N/A,#N/A,FALSE,"EA CH (4)";#N/A,#N/A,FALSE,"KA CH";#N/A,#N/A,FALSE,"KA CH  (2)";#N/A,#N/A,FALSE,"KA CH  (3)";#N/A,#N/A,FALSE,"KA CH (4)"}</definedName>
    <definedName name="v_2" localSheetId="6" hidden="1">{#N/A,#N/A,FALSE,"Umsatz CH";#N/A,#N/A,FALSE,"ER CH";#N/A,#N/A,FALSE,"EA CH (2) ";#N/A,#N/A,FALSE,"EA CH";#N/A,#N/A,FALSE,"EA CH (3) ";#N/A,#N/A,FALSE,"EA CH (4)";#N/A,#N/A,FALSE,"KA CH";#N/A,#N/A,FALSE,"KA CH  (2)";#N/A,#N/A,FALSE,"KA CH  (3)";#N/A,#N/A,FALSE,"KA CH (4)"}</definedName>
    <definedName name="v_2" hidden="1">{#N/A,#N/A,FALSE,"Umsatz CH";#N/A,#N/A,FALSE,"ER CH";#N/A,#N/A,FALSE,"EA CH (2) ";#N/A,#N/A,FALSE,"EA CH";#N/A,#N/A,FALSE,"EA CH (3) ";#N/A,#N/A,FALSE,"EA CH (4)";#N/A,#N/A,FALSE,"KA CH";#N/A,#N/A,FALSE,"KA CH  (2)";#N/A,#N/A,FALSE,"KA CH  (3)";#N/A,#N/A,FALSE,"KA CH (4)"}</definedName>
    <definedName name="v_3" localSheetId="0" hidden="1">{#N/A,#N/A,FALSE,"Umsatz CH";#N/A,#N/A,FALSE,"ER CH";#N/A,#N/A,FALSE,"EA CH (2) ";#N/A,#N/A,FALSE,"EA CH";#N/A,#N/A,FALSE,"EA CH (3) ";#N/A,#N/A,FALSE,"EA CH (4)";#N/A,#N/A,FALSE,"KA CH";#N/A,#N/A,FALSE,"KA CH  (2)";#N/A,#N/A,FALSE,"KA CH  (3)";#N/A,#N/A,FALSE,"KA CH (4)"}</definedName>
    <definedName name="v_3" localSheetId="6" hidden="1">{#N/A,#N/A,FALSE,"Umsatz CH";#N/A,#N/A,FALSE,"ER CH";#N/A,#N/A,FALSE,"EA CH (2) ";#N/A,#N/A,FALSE,"EA CH";#N/A,#N/A,FALSE,"EA CH (3) ";#N/A,#N/A,FALSE,"EA CH (4)";#N/A,#N/A,FALSE,"KA CH";#N/A,#N/A,FALSE,"KA CH  (2)";#N/A,#N/A,FALSE,"KA CH  (3)";#N/A,#N/A,FALSE,"KA CH (4)"}</definedName>
    <definedName name="v_3" hidden="1">{#N/A,#N/A,FALSE,"Umsatz CH";#N/A,#N/A,FALSE,"ER CH";#N/A,#N/A,FALSE,"EA CH (2) ";#N/A,#N/A,FALSE,"EA CH";#N/A,#N/A,FALSE,"EA CH (3) ";#N/A,#N/A,FALSE,"EA CH (4)";#N/A,#N/A,FALSE,"KA CH";#N/A,#N/A,FALSE,"KA CH  (2)";#N/A,#N/A,FALSE,"KA CH  (3)";#N/A,#N/A,FALSE,"KA CH (4)"}</definedName>
    <definedName name="v_4" localSheetId="0" hidden="1">{#N/A,#N/A,FALSE,"Umsatz CH";#N/A,#N/A,FALSE,"ER CH";#N/A,#N/A,FALSE,"EA CH (2) ";#N/A,#N/A,FALSE,"EA CH";#N/A,#N/A,FALSE,"EA CH (3) ";#N/A,#N/A,FALSE,"EA CH (4)";#N/A,#N/A,FALSE,"KA CH";#N/A,#N/A,FALSE,"KA CH  (2)";#N/A,#N/A,FALSE,"KA CH  (3)";#N/A,#N/A,FALSE,"KA CH (4)"}</definedName>
    <definedName name="v_4" localSheetId="6" hidden="1">{#N/A,#N/A,FALSE,"Umsatz CH";#N/A,#N/A,FALSE,"ER CH";#N/A,#N/A,FALSE,"EA CH (2) ";#N/A,#N/A,FALSE,"EA CH";#N/A,#N/A,FALSE,"EA CH (3) ";#N/A,#N/A,FALSE,"EA CH (4)";#N/A,#N/A,FALSE,"KA CH";#N/A,#N/A,FALSE,"KA CH  (2)";#N/A,#N/A,FALSE,"KA CH  (3)";#N/A,#N/A,FALSE,"KA CH (4)"}</definedName>
    <definedName name="v_4" hidden="1">{#N/A,#N/A,FALSE,"Umsatz CH";#N/A,#N/A,FALSE,"ER CH";#N/A,#N/A,FALSE,"EA CH (2) ";#N/A,#N/A,FALSE,"EA CH";#N/A,#N/A,FALSE,"EA CH (3) ";#N/A,#N/A,FALSE,"EA CH (4)";#N/A,#N/A,FALSE,"KA CH";#N/A,#N/A,FALSE,"KA CH  (2)";#N/A,#N/A,FALSE,"KA CH  (3)";#N/A,#N/A,FALSE,"KA CH (4)"}</definedName>
    <definedName name="v_5" localSheetId="0" hidden="1">{#N/A,#N/A,FALSE,"Umsatz CH";#N/A,#N/A,FALSE,"ER CH";#N/A,#N/A,FALSE,"EA CH (2) ";#N/A,#N/A,FALSE,"EA CH";#N/A,#N/A,FALSE,"EA CH (3) ";#N/A,#N/A,FALSE,"EA CH (4)";#N/A,#N/A,FALSE,"KA CH";#N/A,#N/A,FALSE,"KA CH  (2)";#N/A,#N/A,FALSE,"KA CH  (3)";#N/A,#N/A,FALSE,"KA CH (4)"}</definedName>
    <definedName name="v_5" localSheetId="6" hidden="1">{#N/A,#N/A,FALSE,"Umsatz CH";#N/A,#N/A,FALSE,"ER CH";#N/A,#N/A,FALSE,"EA CH (2) ";#N/A,#N/A,FALSE,"EA CH";#N/A,#N/A,FALSE,"EA CH (3) ";#N/A,#N/A,FALSE,"EA CH (4)";#N/A,#N/A,FALSE,"KA CH";#N/A,#N/A,FALSE,"KA CH  (2)";#N/A,#N/A,FALSE,"KA CH  (3)";#N/A,#N/A,FALSE,"KA CH (4)"}</definedName>
    <definedName name="v_5" hidden="1">{#N/A,#N/A,FALSE,"Umsatz CH";#N/A,#N/A,FALSE,"ER CH";#N/A,#N/A,FALSE,"EA CH (2) ";#N/A,#N/A,FALSE,"EA CH";#N/A,#N/A,FALSE,"EA CH (3) ";#N/A,#N/A,FALSE,"EA CH (4)";#N/A,#N/A,FALSE,"KA CH";#N/A,#N/A,FALSE,"KA CH  (2)";#N/A,#N/A,FALSE,"KA CH  (3)";#N/A,#N/A,FALSE,"KA CH (4)"}</definedName>
    <definedName name="va\wegvewag" hidden="1">#REF!</definedName>
    <definedName name="vaergaerg" hidden="1">#REF!</definedName>
    <definedName name="ValidFormats">#REF!</definedName>
    <definedName name="Valuation">#REF!</definedName>
    <definedName name="Valuation_Receivable">#REF!</definedName>
    <definedName name="value">#REF!</definedName>
    <definedName name="VALUE_BEV">#REF!</definedName>
    <definedName name="VALUE_EQUITY">#REF!</definedName>
    <definedName name="value_equity_high">#REF!</definedName>
    <definedName name="value_equity_low">#REF!</definedName>
    <definedName name="Value_Levered" hidden="1">#N/A</definedName>
    <definedName name="Values_Entered">#N/A</definedName>
    <definedName name="valuevx">42.314159</definedName>
    <definedName name="Variable_Cost_per_Ton">#REF!</definedName>
    <definedName name="Variation" localSheetId="6"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ation_1" localSheetId="6" hidden="1">{#N/A,#N/A,FALSE,"SumD";#N/A,#N/A,FALSE,"ElecD";#N/A,#N/A,FALSE,"MechD";#N/A,#N/A,FALSE,"GeotD";#N/A,#N/A,FALSE,"PrcsD";#N/A,#N/A,FALSE,"TunnD";#N/A,#N/A,FALSE,"CivlD";#N/A,#N/A,FALSE,"NtwkD";#N/A,#N/A,FALSE,"EstgD";#N/A,#N/A,FALSE,"PEngD"}</definedName>
    <definedName name="Variation_1" hidden="1">{#N/A,#N/A,FALSE,"SumD";#N/A,#N/A,FALSE,"ElecD";#N/A,#N/A,FALSE,"MechD";#N/A,#N/A,FALSE,"GeotD";#N/A,#N/A,FALSE,"PrcsD";#N/A,#N/A,FALSE,"TunnD";#N/A,#N/A,FALSE,"CivlD";#N/A,#N/A,FALSE,"NtwkD";#N/A,#N/A,FALSE,"EstgD";#N/A,#N/A,FALSE,"PEngD"}</definedName>
    <definedName name="vasergerg" hidden="1">#REF!</definedName>
    <definedName name="VAWEFWF" hidden="1">#REF!</definedName>
    <definedName name="vazergeg" hidden="1">#REF!</definedName>
    <definedName name="vb" hidden="1">#REF!</definedName>
    <definedName name="vb\hv" localSheetId="6" hidden="1">{#N/A,#N/A,TRUE,"FA 1 &amp; 2";#N/A,#N/A,TRUE,"FA 3 &amp; 4";#N/A,#N/A,TRUE,"FA 5 &amp; 6";#N/A,#N/A,TRUE,"FA 7 &amp; 8";#N/A,#N/A,TRUE,"FA 9 &amp; 10";#N/A,#N/A,TRUE,"FA 11";#N/A,#N/A,TRUE,"FA 12";#N/A,#N/A,TRUE,"FA 13";#N/A,#N/A,TRUE,"FA 14 &amp; 15"}</definedName>
    <definedName name="vb\hv" hidden="1">{#N/A,#N/A,TRUE,"FA 1 &amp; 2";#N/A,#N/A,TRUE,"FA 3 &amp; 4";#N/A,#N/A,TRUE,"FA 5 &amp; 6";#N/A,#N/A,TRUE,"FA 7 &amp; 8";#N/A,#N/A,TRUE,"FA 9 &amp; 10";#N/A,#N/A,TRUE,"FA 11";#N/A,#N/A,TRUE,"FA 12";#N/A,#N/A,TRUE,"FA 13";#N/A,#N/A,TRUE,"FA 14 &amp; 15"}</definedName>
    <definedName name="vbcrty"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vbcrty"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vbcrty"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VBEIORUBGFE" hidden="1">#REF!</definedName>
    <definedName name="vbh" localSheetId="0" hidden="1">{#N/A,#N/A,TRUE,"PROFIT 11-95"}</definedName>
    <definedName name="vbh" localSheetId="6" hidden="1">{#N/A,#N/A,TRUE,"PROFIT 11-95"}</definedName>
    <definedName name="vbh" hidden="1">{#N/A,#N/A,TRUE,"PROFIT 11-95"}</definedName>
    <definedName name="vbn" localSheetId="0" hidden="1">{#N/A,#N/A,FALSE,"Aging Summary";#N/A,#N/A,FALSE,"Ratio Analysis";#N/A,#N/A,FALSE,"Test 120 Day Accts";#N/A,#N/A,FALSE,"Tickmarks"}</definedName>
    <definedName name="vbn" localSheetId="6" hidden="1">{#N/A,#N/A,FALSE,"Aging Summary";#N/A,#N/A,FALSE,"Ratio Analysis";#N/A,#N/A,FALSE,"Test 120 Day Accts";#N/A,#N/A,FALSE,"Tickmarks"}</definedName>
    <definedName name="vbn" hidden="1">{#N/A,#N/A,FALSE,"Aging Summary";#N/A,#N/A,FALSE,"Ratio Analysis";#N/A,#N/A,FALSE,"Test 120 Day Accts";#N/A,#N/A,FALSE,"Tickmarks"}</definedName>
    <definedName name="vbvbvbv"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bvbvbv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vcncvnc" localSheetId="0"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vcncvnc" localSheetId="6"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vcncvnc" hidden="1">{"landexbravo",#N/A,FALSE,"Land (ex Bravo)";"Schenker_HO",#N/A,FALSE,"Schenker HO";"Landincbravo",#N/A,FALSE,"Land + Bravo";"Logistics",#N/A,FALSE,"Logistics";"Airandsea",#N/A,FALSE,"Air &amp; Sea";"Schenkgroup",#N/A,FALSE,"Schenker Group";"RaabKarcher",#N/A,FALSE,"Raab Karcher";"Brenntag",#N/A,FALSE,"Brenntag";"Interfer",#N/A,FALSE,"Interfer";"F_S",#N/A,FALSE,"F&amp;S";"Full_line",#N/A,FALSE,"Wholesale";"Auto_S",#N/A,FALSE,"Auto_S";"Otherco",#N/A,FALSE,"Other co";"Centraladmin",#N/A,FALSE,"Central Ad";"Consol_adj",#N/A,FALSE,"Consol adj";"Summary98",#N/A,FALSE,"Summary";"Bravo",#N/A,FALSE,"Bravo";"Offerletter",#N/A,FALSE,"Offer letter 1";"Front sheet",#N/A,FALSE,"Comments"}</definedName>
    <definedName name="vcncvncnb" localSheetId="0" hidden="1">{"comps",#N/A,FALSE,"HANDPACK";"footnotes",#N/A,FALSE,"HANDPACK"}</definedName>
    <definedName name="vcncvncnb" localSheetId="6" hidden="1">{"comps",#N/A,FALSE,"HANDPACK";"footnotes",#N/A,FALSE,"HANDPACK"}</definedName>
    <definedName name="vcncvncnb" hidden="1">{"comps",#N/A,FALSE,"HANDPACK";"footnotes",#N/A,FALSE,"HANDPACK"}</definedName>
    <definedName name="vcvcv" localSheetId="0" hidden="1">{#N/A,#N/A,FALSE,"Umsatz EO BP";#N/A,#N/A,FALSE,"Umsatz EO OP";#N/A,#N/A,FALSE,"ER EO BP";#N/A,#N/A,FALSE,"ER EO OP";#N/A,#N/A,FALSE,"EA EO (2)";#N/A,#N/A,FALSE,"EA EO";#N/A,#N/A,FALSE,"EA EO (3)";#N/A,#N/A,FALSE,"EA EO (4)";#N/A,#N/A,FALSE,"KA EO  (2)";#N/A,#N/A,FALSE,"KA EO";#N/A,#N/A,FALSE,"KA EO  (3)";#N/A,#N/A,FALSE,"KA EO (4)"}</definedName>
    <definedName name="vcvcv" localSheetId="6" hidden="1">{#N/A,#N/A,FALSE,"Umsatz EO BP";#N/A,#N/A,FALSE,"Umsatz EO OP";#N/A,#N/A,FALSE,"ER EO BP";#N/A,#N/A,FALSE,"ER EO OP";#N/A,#N/A,FALSE,"EA EO (2)";#N/A,#N/A,FALSE,"EA EO";#N/A,#N/A,FALSE,"EA EO (3)";#N/A,#N/A,FALSE,"EA EO (4)";#N/A,#N/A,FALSE,"KA EO  (2)";#N/A,#N/A,FALSE,"KA EO";#N/A,#N/A,FALSE,"KA EO  (3)";#N/A,#N/A,FALSE,"KA EO (4)"}</definedName>
    <definedName name="vcvcv" hidden="1">{#N/A,#N/A,FALSE,"Umsatz EO BP";#N/A,#N/A,FALSE,"Umsatz EO OP";#N/A,#N/A,FALSE,"ER EO BP";#N/A,#N/A,FALSE,"ER EO OP";#N/A,#N/A,FALSE,"EA EO (2)";#N/A,#N/A,FALSE,"EA EO";#N/A,#N/A,FALSE,"EA EO (3)";#N/A,#N/A,FALSE,"EA EO (4)";#N/A,#N/A,FALSE,"KA EO  (2)";#N/A,#N/A,FALSE,"KA EO";#N/A,#N/A,FALSE,"KA EO  (3)";#N/A,#N/A,FALSE,"KA EO (4)"}</definedName>
    <definedName name="vcvcv_1" localSheetId="0" hidden="1">{#N/A,#N/A,FALSE,"Umsatz EO BP";#N/A,#N/A,FALSE,"Umsatz EO OP";#N/A,#N/A,FALSE,"ER EO BP";#N/A,#N/A,FALSE,"ER EO OP";#N/A,#N/A,FALSE,"EA EO (2)";#N/A,#N/A,FALSE,"EA EO";#N/A,#N/A,FALSE,"EA EO (3)";#N/A,#N/A,FALSE,"EA EO (4)";#N/A,#N/A,FALSE,"KA EO  (2)";#N/A,#N/A,FALSE,"KA EO";#N/A,#N/A,FALSE,"KA EO  (3)";#N/A,#N/A,FALSE,"KA EO (4)"}</definedName>
    <definedName name="vcvcv_1" localSheetId="6" hidden="1">{#N/A,#N/A,FALSE,"Umsatz EO BP";#N/A,#N/A,FALSE,"Umsatz EO OP";#N/A,#N/A,FALSE,"ER EO BP";#N/A,#N/A,FALSE,"ER EO OP";#N/A,#N/A,FALSE,"EA EO (2)";#N/A,#N/A,FALSE,"EA EO";#N/A,#N/A,FALSE,"EA EO (3)";#N/A,#N/A,FALSE,"EA EO (4)";#N/A,#N/A,FALSE,"KA EO  (2)";#N/A,#N/A,FALSE,"KA EO";#N/A,#N/A,FALSE,"KA EO  (3)";#N/A,#N/A,FALSE,"KA EO (4)"}</definedName>
    <definedName name="vcvcv_1" hidden="1">{#N/A,#N/A,FALSE,"Umsatz EO BP";#N/A,#N/A,FALSE,"Umsatz EO OP";#N/A,#N/A,FALSE,"ER EO BP";#N/A,#N/A,FALSE,"ER EO OP";#N/A,#N/A,FALSE,"EA EO (2)";#N/A,#N/A,FALSE,"EA EO";#N/A,#N/A,FALSE,"EA EO (3)";#N/A,#N/A,FALSE,"EA EO (4)";#N/A,#N/A,FALSE,"KA EO  (2)";#N/A,#N/A,FALSE,"KA EO";#N/A,#N/A,FALSE,"KA EO  (3)";#N/A,#N/A,FALSE,"KA EO (4)"}</definedName>
    <definedName name="vcvcv_1_1" localSheetId="0" hidden="1">{#N/A,#N/A,FALSE,"Umsatz EO BP";#N/A,#N/A,FALSE,"Umsatz EO OP";#N/A,#N/A,FALSE,"ER EO BP";#N/A,#N/A,FALSE,"ER EO OP";#N/A,#N/A,FALSE,"EA EO (2)";#N/A,#N/A,FALSE,"EA EO";#N/A,#N/A,FALSE,"EA EO (3)";#N/A,#N/A,FALSE,"EA EO (4)";#N/A,#N/A,FALSE,"KA EO  (2)";#N/A,#N/A,FALSE,"KA EO";#N/A,#N/A,FALSE,"KA EO  (3)";#N/A,#N/A,FALSE,"KA EO (4)"}</definedName>
    <definedName name="vcvcv_1_1" localSheetId="6" hidden="1">{#N/A,#N/A,FALSE,"Umsatz EO BP";#N/A,#N/A,FALSE,"Umsatz EO OP";#N/A,#N/A,FALSE,"ER EO BP";#N/A,#N/A,FALSE,"ER EO OP";#N/A,#N/A,FALSE,"EA EO (2)";#N/A,#N/A,FALSE,"EA EO";#N/A,#N/A,FALSE,"EA EO (3)";#N/A,#N/A,FALSE,"EA EO (4)";#N/A,#N/A,FALSE,"KA EO  (2)";#N/A,#N/A,FALSE,"KA EO";#N/A,#N/A,FALSE,"KA EO  (3)";#N/A,#N/A,FALSE,"KA EO (4)"}</definedName>
    <definedName name="vcvcv_1_1" hidden="1">{#N/A,#N/A,FALSE,"Umsatz EO BP";#N/A,#N/A,FALSE,"Umsatz EO OP";#N/A,#N/A,FALSE,"ER EO BP";#N/A,#N/A,FALSE,"ER EO OP";#N/A,#N/A,FALSE,"EA EO (2)";#N/A,#N/A,FALSE,"EA EO";#N/A,#N/A,FALSE,"EA EO (3)";#N/A,#N/A,FALSE,"EA EO (4)";#N/A,#N/A,FALSE,"KA EO  (2)";#N/A,#N/A,FALSE,"KA EO";#N/A,#N/A,FALSE,"KA EO  (3)";#N/A,#N/A,FALSE,"KA EO (4)"}</definedName>
    <definedName name="vcvcv_2" localSheetId="0" hidden="1">{#N/A,#N/A,FALSE,"Umsatz EO BP";#N/A,#N/A,FALSE,"Umsatz EO OP";#N/A,#N/A,FALSE,"ER EO BP";#N/A,#N/A,FALSE,"ER EO OP";#N/A,#N/A,FALSE,"EA EO (2)";#N/A,#N/A,FALSE,"EA EO";#N/A,#N/A,FALSE,"EA EO (3)";#N/A,#N/A,FALSE,"EA EO (4)";#N/A,#N/A,FALSE,"KA EO  (2)";#N/A,#N/A,FALSE,"KA EO";#N/A,#N/A,FALSE,"KA EO  (3)";#N/A,#N/A,FALSE,"KA EO (4)"}</definedName>
    <definedName name="vcvcv_2" localSheetId="6" hidden="1">{#N/A,#N/A,FALSE,"Umsatz EO BP";#N/A,#N/A,FALSE,"Umsatz EO OP";#N/A,#N/A,FALSE,"ER EO BP";#N/A,#N/A,FALSE,"ER EO OP";#N/A,#N/A,FALSE,"EA EO (2)";#N/A,#N/A,FALSE,"EA EO";#N/A,#N/A,FALSE,"EA EO (3)";#N/A,#N/A,FALSE,"EA EO (4)";#N/A,#N/A,FALSE,"KA EO  (2)";#N/A,#N/A,FALSE,"KA EO";#N/A,#N/A,FALSE,"KA EO  (3)";#N/A,#N/A,FALSE,"KA EO (4)"}</definedName>
    <definedName name="vcvcv_2" hidden="1">{#N/A,#N/A,FALSE,"Umsatz EO BP";#N/A,#N/A,FALSE,"Umsatz EO OP";#N/A,#N/A,FALSE,"ER EO BP";#N/A,#N/A,FALSE,"ER EO OP";#N/A,#N/A,FALSE,"EA EO (2)";#N/A,#N/A,FALSE,"EA EO";#N/A,#N/A,FALSE,"EA EO (3)";#N/A,#N/A,FALSE,"EA EO (4)";#N/A,#N/A,FALSE,"KA EO  (2)";#N/A,#N/A,FALSE,"KA EO";#N/A,#N/A,FALSE,"KA EO  (3)";#N/A,#N/A,FALSE,"KA EO (4)"}</definedName>
    <definedName name="vcvcv_3" localSheetId="0" hidden="1">{#N/A,#N/A,FALSE,"Umsatz EO BP";#N/A,#N/A,FALSE,"Umsatz EO OP";#N/A,#N/A,FALSE,"ER EO BP";#N/A,#N/A,FALSE,"ER EO OP";#N/A,#N/A,FALSE,"EA EO (2)";#N/A,#N/A,FALSE,"EA EO";#N/A,#N/A,FALSE,"EA EO (3)";#N/A,#N/A,FALSE,"EA EO (4)";#N/A,#N/A,FALSE,"KA EO  (2)";#N/A,#N/A,FALSE,"KA EO";#N/A,#N/A,FALSE,"KA EO  (3)";#N/A,#N/A,FALSE,"KA EO (4)"}</definedName>
    <definedName name="vcvcv_3" localSheetId="6" hidden="1">{#N/A,#N/A,FALSE,"Umsatz EO BP";#N/A,#N/A,FALSE,"Umsatz EO OP";#N/A,#N/A,FALSE,"ER EO BP";#N/A,#N/A,FALSE,"ER EO OP";#N/A,#N/A,FALSE,"EA EO (2)";#N/A,#N/A,FALSE,"EA EO";#N/A,#N/A,FALSE,"EA EO (3)";#N/A,#N/A,FALSE,"EA EO (4)";#N/A,#N/A,FALSE,"KA EO  (2)";#N/A,#N/A,FALSE,"KA EO";#N/A,#N/A,FALSE,"KA EO  (3)";#N/A,#N/A,FALSE,"KA EO (4)"}</definedName>
    <definedName name="vcvcv_3" hidden="1">{#N/A,#N/A,FALSE,"Umsatz EO BP";#N/A,#N/A,FALSE,"Umsatz EO OP";#N/A,#N/A,FALSE,"ER EO BP";#N/A,#N/A,FALSE,"ER EO OP";#N/A,#N/A,FALSE,"EA EO (2)";#N/A,#N/A,FALSE,"EA EO";#N/A,#N/A,FALSE,"EA EO (3)";#N/A,#N/A,FALSE,"EA EO (4)";#N/A,#N/A,FALSE,"KA EO  (2)";#N/A,#N/A,FALSE,"KA EO";#N/A,#N/A,FALSE,"KA EO  (3)";#N/A,#N/A,FALSE,"KA EO (4)"}</definedName>
    <definedName name="vcvcv_4" localSheetId="0" hidden="1">{#N/A,#N/A,FALSE,"Umsatz EO BP";#N/A,#N/A,FALSE,"Umsatz EO OP";#N/A,#N/A,FALSE,"ER EO BP";#N/A,#N/A,FALSE,"ER EO OP";#N/A,#N/A,FALSE,"EA EO (2)";#N/A,#N/A,FALSE,"EA EO";#N/A,#N/A,FALSE,"EA EO (3)";#N/A,#N/A,FALSE,"EA EO (4)";#N/A,#N/A,FALSE,"KA EO  (2)";#N/A,#N/A,FALSE,"KA EO";#N/A,#N/A,FALSE,"KA EO  (3)";#N/A,#N/A,FALSE,"KA EO (4)"}</definedName>
    <definedName name="vcvcv_4" localSheetId="6" hidden="1">{#N/A,#N/A,FALSE,"Umsatz EO BP";#N/A,#N/A,FALSE,"Umsatz EO OP";#N/A,#N/A,FALSE,"ER EO BP";#N/A,#N/A,FALSE,"ER EO OP";#N/A,#N/A,FALSE,"EA EO (2)";#N/A,#N/A,FALSE,"EA EO";#N/A,#N/A,FALSE,"EA EO (3)";#N/A,#N/A,FALSE,"EA EO (4)";#N/A,#N/A,FALSE,"KA EO  (2)";#N/A,#N/A,FALSE,"KA EO";#N/A,#N/A,FALSE,"KA EO  (3)";#N/A,#N/A,FALSE,"KA EO (4)"}</definedName>
    <definedName name="vcvcv_4" hidden="1">{#N/A,#N/A,FALSE,"Umsatz EO BP";#N/A,#N/A,FALSE,"Umsatz EO OP";#N/A,#N/A,FALSE,"ER EO BP";#N/A,#N/A,FALSE,"ER EO OP";#N/A,#N/A,FALSE,"EA EO (2)";#N/A,#N/A,FALSE,"EA EO";#N/A,#N/A,FALSE,"EA EO (3)";#N/A,#N/A,FALSE,"EA EO (4)";#N/A,#N/A,FALSE,"KA EO  (2)";#N/A,#N/A,FALSE,"KA EO";#N/A,#N/A,FALSE,"KA EO  (3)";#N/A,#N/A,FALSE,"KA EO (4)"}</definedName>
    <definedName name="vcvcv_5" localSheetId="0" hidden="1">{#N/A,#N/A,FALSE,"Umsatz EO BP";#N/A,#N/A,FALSE,"Umsatz EO OP";#N/A,#N/A,FALSE,"ER EO BP";#N/A,#N/A,FALSE,"ER EO OP";#N/A,#N/A,FALSE,"EA EO (2)";#N/A,#N/A,FALSE,"EA EO";#N/A,#N/A,FALSE,"EA EO (3)";#N/A,#N/A,FALSE,"EA EO (4)";#N/A,#N/A,FALSE,"KA EO  (2)";#N/A,#N/A,FALSE,"KA EO";#N/A,#N/A,FALSE,"KA EO  (3)";#N/A,#N/A,FALSE,"KA EO (4)"}</definedName>
    <definedName name="vcvcv_5" localSheetId="6" hidden="1">{#N/A,#N/A,FALSE,"Umsatz EO BP";#N/A,#N/A,FALSE,"Umsatz EO OP";#N/A,#N/A,FALSE,"ER EO BP";#N/A,#N/A,FALSE,"ER EO OP";#N/A,#N/A,FALSE,"EA EO (2)";#N/A,#N/A,FALSE,"EA EO";#N/A,#N/A,FALSE,"EA EO (3)";#N/A,#N/A,FALSE,"EA EO (4)";#N/A,#N/A,FALSE,"KA EO  (2)";#N/A,#N/A,FALSE,"KA EO";#N/A,#N/A,FALSE,"KA EO  (3)";#N/A,#N/A,FALSE,"KA EO (4)"}</definedName>
    <definedName name="vcvcv_5" hidden="1">{#N/A,#N/A,FALSE,"Umsatz EO BP";#N/A,#N/A,FALSE,"Umsatz EO OP";#N/A,#N/A,FALSE,"ER EO BP";#N/A,#N/A,FALSE,"ER EO OP";#N/A,#N/A,FALSE,"EA EO (2)";#N/A,#N/A,FALSE,"EA EO";#N/A,#N/A,FALSE,"EA EO (3)";#N/A,#N/A,FALSE,"EA EO (4)";#N/A,#N/A,FALSE,"KA EO  (2)";#N/A,#N/A,FALSE,"KA EO";#N/A,#N/A,FALSE,"KA EO  (3)";#N/A,#N/A,FALSE,"KA EO (4)"}</definedName>
    <definedName name="VD"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VD"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vdce" localSheetId="0" hidden="1">{#N/A,#N/A,TRUE,"Main Issues";#N/A,#N/A,TRUE,"Income statement ($)"}</definedName>
    <definedName name="vdce" localSheetId="6" hidden="1">{#N/A,#N/A,TRUE,"Main Issues";#N/A,#N/A,TRUE,"Income statement ($)"}</definedName>
    <definedName name="vdce" hidden="1">{#N/A,#N/A,TRUE,"Main Issues";#N/A,#N/A,TRUE,"Income statement ($)"}</definedName>
    <definedName name="vdrfvw" localSheetId="6" hidden="1">{#N/A,#N/A,FALSE,"BE";#N/A,#N/A,FALSE,"Bia";#N/A,#N/A,FALSE,"By";#N/A,#N/A,FALSE,"Bor";#N/A,#N/A,FALSE,"Gab";#N/A,#N/A,FALSE,"Gar";#N/A,#N/A,FALSE,"Lov";#N/A,#N/A,FALSE,"SJ";#N/A,#N/A,FALSE,"SM";#N/A,#N/A,FALSE,"Wb";#N/A,#N/A,FALSE,"Yok"}</definedName>
    <definedName name="vdrfvw" hidden="1">{#N/A,#N/A,FALSE,"BE";#N/A,#N/A,FALSE,"Bia";#N/A,#N/A,FALSE,"By";#N/A,#N/A,FALSE,"Bor";#N/A,#N/A,FALSE,"Gab";#N/A,#N/A,FALSE,"Gar";#N/A,#N/A,FALSE,"Lov";#N/A,#N/A,FALSE,"SJ";#N/A,#N/A,FALSE,"SM";#N/A,#N/A,FALSE,"Wb";#N/A,#N/A,FALSE,"Yok"}</definedName>
    <definedName name="vedvc" localSheetId="0" hidden="1">{#N/A,#N/A,TRUE,"Main Issues";#N/A,#N/A,TRUE,"Income statement ($)"}</definedName>
    <definedName name="vedvc" localSheetId="6" hidden="1">{#N/A,#N/A,TRUE,"Main Issues";#N/A,#N/A,TRUE,"Income statement ($)"}</definedName>
    <definedName name="vedvc" hidden="1">{#N/A,#N/A,TRUE,"Main Issues";#N/A,#N/A,TRUE,"Income statement ($)"}</definedName>
    <definedName name="VehAccList">#REF!</definedName>
    <definedName name="VEHICLE_TRANSFER">#REF!</definedName>
    <definedName name="Vehicles" hidden="1">#REF!,#REF!,#REF!</definedName>
    <definedName name="VERGVE0RG" hidden="1">#REF!</definedName>
    <definedName name="vertex42_copyright" hidden="1">"© 2008-2018 Vertex42 LLC"</definedName>
    <definedName name="vertex42_id" hidden="1">"simple-interest-loan-calculator.xlsx"</definedName>
    <definedName name="vertex42_title" hidden="1">"Simple Interest Loan Calculator"</definedName>
    <definedName name="vesrgaeg" localSheetId="4" hidden="1">Main.SAPF4Help()</definedName>
    <definedName name="vesrgaeg" localSheetId="0" hidden="1">Main.SAPF4Help()</definedName>
    <definedName name="vesrgaeg" localSheetId="2" hidden="1">Main.SAPF4Help()</definedName>
    <definedName name="vesrgaeg" localSheetId="6" hidden="1">Main.SAPF4Help()</definedName>
    <definedName name="vesrgaeg" hidden="1">Main.SAPF4Help()</definedName>
    <definedName name="vfb" localSheetId="6" hidden="1">{"'매출'!$A$1:$I$22"}</definedName>
    <definedName name="vfb" hidden="1">{"'매출'!$A$1:$I$22"}</definedName>
    <definedName name="vfdc" localSheetId="0" hidden="1">{#N/A,#N/A,TRUE,"Proposal";#N/A,#N/A,TRUE,"Assumptions";#N/A,#N/A,TRUE,"Net Income";#N/A,#N/A,TRUE,"Balsheet";#N/A,#N/A,TRUE,"Capex";#N/A,#N/A,TRUE,"Volumes";#N/A,#N/A,TRUE,"Revenues";#N/A,#N/A,TRUE,"Var.Costs";#N/A,#N/A,TRUE,"Personnel";#N/A,#N/A,TRUE,"Other costs";#N/A,#N/A,TRUE,"MKTG and G&amp;A"}</definedName>
    <definedName name="vfdc" localSheetId="6" hidden="1">{#N/A,#N/A,TRUE,"Proposal";#N/A,#N/A,TRUE,"Assumptions";#N/A,#N/A,TRUE,"Net Income";#N/A,#N/A,TRUE,"Balsheet";#N/A,#N/A,TRUE,"Capex";#N/A,#N/A,TRUE,"Volumes";#N/A,#N/A,TRUE,"Revenues";#N/A,#N/A,TRUE,"Var.Costs";#N/A,#N/A,TRUE,"Personnel";#N/A,#N/A,TRUE,"Other costs";#N/A,#N/A,TRUE,"MKTG and G&amp;A"}</definedName>
    <definedName name="vfdc" hidden="1">{#N/A,#N/A,TRUE,"Proposal";#N/A,#N/A,TRUE,"Assumptions";#N/A,#N/A,TRUE,"Net Income";#N/A,#N/A,TRUE,"Balsheet";#N/A,#N/A,TRUE,"Capex";#N/A,#N/A,TRUE,"Volumes";#N/A,#N/A,TRUE,"Revenues";#N/A,#N/A,TRUE,"Var.Costs";#N/A,#N/A,TRUE,"Personnel";#N/A,#N/A,TRUE,"Other costs";#N/A,#N/A,TRUE,"MKTG and G&amp;A"}</definedName>
    <definedName name="vfdcvd" localSheetId="0" hidden="1">{#N/A,#N/A,TRUE,"Main Issues";#N/A,#N/A,TRUE,"Income statement ($)"}</definedName>
    <definedName name="vfdcvd" localSheetId="6" hidden="1">{#N/A,#N/A,TRUE,"Main Issues";#N/A,#N/A,TRUE,"Income statement ($)"}</definedName>
    <definedName name="vfdcvd" hidden="1">{#N/A,#N/A,TRUE,"Main Issues";#N/A,#N/A,TRUE,"Income statement ($)"}</definedName>
    <definedName name="vg" localSheetId="0" hidden="1">{#N/A,#N/A,TRUE,"Cover sheet";#N/A,#N/A,TRUE,"DCF analysis";#N/A,#N/A,TRUE,"WACC calculation"}</definedName>
    <definedName name="vg" localSheetId="6" hidden="1">{#N/A,#N/A,TRUE,"Cover sheet";#N/A,#N/A,TRUE,"DCF analysis";#N/A,#N/A,TRUE,"WACC calculation"}</definedName>
    <definedName name="vg" hidden="1">{#N/A,#N/A,TRUE,"Cover sheet";#N/A,#N/A,TRUE,"DCF analysis";#N/A,#N/A,TRUE,"WACC calculation"}</definedName>
    <definedName name="VGEARGAERG" hidden="1">#REF!</definedName>
    <definedName name="VHI" localSheetId="0" hidden="1">{#N/A,#N/A,FALSE,"PA";#N/A,#N/A,FALSE,"PA"}</definedName>
    <definedName name="VHI" localSheetId="6" hidden="1">{#N/A,#N/A,FALSE,"PA";#N/A,#N/A,FALSE,"PA"}</definedName>
    <definedName name="VHI" hidden="1">{#N/A,#N/A,FALSE,"PA";#N/A,#N/A,FALSE,"PA"}</definedName>
    <definedName name="View_List">#REF!</definedName>
    <definedName name="VINAY" localSheetId="0" hidden="1">{"bs",#N/A,FALSE,"BS";"pl",#N/A,FALSE,"PL"}</definedName>
    <definedName name="VINAY" localSheetId="6" hidden="1">{"bs",#N/A,FALSE,"BS";"pl",#N/A,FALSE,"PL"}</definedName>
    <definedName name="VINAY" hidden="1">{"bs",#N/A,FALSE,"BS";"pl",#N/A,FALSE,"PL"}</definedName>
    <definedName name="Vir" localSheetId="6" hidden="1">{#N/A,#N/A,FALSE,"Banksum";#N/A,#N/A,FALSE,"Banksum"}</definedName>
    <definedName name="Vir" hidden="1">{#N/A,#N/A,FALSE,"Banksum";#N/A,#N/A,FALSE,"Banksum"}</definedName>
    <definedName name="VIRD" localSheetId="6" hidden="1">{"VIEW1",#N/A,FALSE,"P&amp;L Account 2001-2002";"VIEW2",#N/A,FALSE,"P&amp;L Account 2001-2002";"VIEW3",#N/A,FALSE,"P&amp;L Account 2001-2002";"VIEW4",#N/A,FALSE,"P&amp;L Account 2001-2002"}</definedName>
    <definedName name="VIRD" hidden="1">{"VIEW1",#N/A,FALSE,"P&amp;L Account 2001-2002";"VIEW2",#N/A,FALSE,"P&amp;L Account 2001-2002";"VIEW3",#N/A,FALSE,"P&amp;L Account 2001-2002";"VIEW4",#N/A,FALSE,"P&amp;L Account 2001-2002"}</definedName>
    <definedName name="viren" localSheetId="6" hidden="1">{#N/A,#N/A,FALSE,"Banksum";#N/A,#N/A,FALSE,"Banksum"}</definedName>
    <definedName name="viren" hidden="1">{#N/A,#N/A,FALSE,"Banksum";#N/A,#N/A,FALSE,"Banksum"}</definedName>
    <definedName name="vitaly" hidden="1">#REF!</definedName>
    <definedName name="VIWQUVE" hidden="1">#REF!</definedName>
    <definedName name="vj" localSheetId="6" hidden="1">{#N/A,#N/A,FALSE,"Banksum";#N/A,#N/A,FALSE,"Banksum"}</definedName>
    <definedName name="vj" hidden="1">{#N/A,#N/A,FALSE,"Banksum";#N/A,#N/A,FALSE,"Banksum"}</definedName>
    <definedName name="vk" localSheetId="0" hidden="1">{"bs",#N/A,FALSE,"BS";"pl",#N/A,FALSE,"PL";"res",#N/A,FALSE,"S.CAP,RES";"loans",#N/A,FALSE,"Loans";"inv",#N/A,FALSE,"C.Assets";"fa",#N/A,FALSE,"F.Assets";"ca",#N/A,FALSE,"C.Assets";"cl",#N/A,FALSE,"CL,Sales,Income";"ovh",#N/A,FALSE,"OVH"}</definedName>
    <definedName name="vk" localSheetId="6" hidden="1">{"bs",#N/A,FALSE,"BS";"pl",#N/A,FALSE,"PL";"res",#N/A,FALSE,"S.CAP,RES";"loans",#N/A,FALSE,"Loans";"inv",#N/A,FALSE,"C.Assets";"fa",#N/A,FALSE,"F.Assets";"ca",#N/A,FALSE,"C.Assets";"cl",#N/A,FALSE,"CL,Sales,Income";"ovh",#N/A,FALSE,"OVH"}</definedName>
    <definedName name="vk" hidden="1">{"bs",#N/A,FALSE,"BS";"pl",#N/A,FALSE,"PL";"res",#N/A,FALSE,"S.CAP,RES";"loans",#N/A,FALSE,"Loans";"inv",#N/A,FALSE,"C.Assets";"fa",#N/A,FALSE,"F.Assets";"ca",#N/A,FALSE,"C.Assets";"cl",#N/A,FALSE,"CL,Sales,Income";"ovh",#N/A,FALSE,"OVH"}</definedName>
    <definedName name="VLCC" localSheetId="0" hidden="1">{#N/A,#N/A,FALSE,"Eastern";#N/A,#N/A,FALSE,"Western"}</definedName>
    <definedName name="VLCC" localSheetId="6" hidden="1">{#N/A,#N/A,FALSE,"Eastern";#N/A,#N/A,FALSE,"Western"}</definedName>
    <definedName name="VLCC" hidden="1">{#N/A,#N/A,FALSE,"Eastern";#N/A,#N/A,FALSE,"Western"}</definedName>
    <definedName name="VMPL" localSheetId="6" hidden="1">{"VIEW1",#N/A,FALSE,"P&amp;L Account 2001-2002";"VIEW2",#N/A,FALSE,"P&amp;L Account 2001-2002";"VIEW3",#N/A,FALSE,"P&amp;L Account 2001-2002";"VIEW4",#N/A,FALSE,"P&amp;L Account 2001-2002"}</definedName>
    <definedName name="VMPL" hidden="1">{"VIEW1",#N/A,FALSE,"P&amp;L Account 2001-2002";"VIEW2",#N/A,FALSE,"P&amp;L Account 2001-2002";"VIEW3",#N/A,FALSE,"P&amp;L Account 2001-2002";"VIEW4",#N/A,FALSE,"P&amp;L Account 2001-2002"}</definedName>
    <definedName name="vn.2" localSheetId="0" hidden="1">{#N/A,#N/A,FALSE,"KA CH  (2)"}</definedName>
    <definedName name="vn.2" localSheetId="6" hidden="1">{#N/A,#N/A,FALSE,"KA CH  (2)"}</definedName>
    <definedName name="vn.2" hidden="1">{#N/A,#N/A,FALSE,"KA CH  (2)"}</definedName>
    <definedName name="vn.2_1" localSheetId="0" hidden="1">{#N/A,#N/A,FALSE,"KA CH  (2)"}</definedName>
    <definedName name="vn.2_1" localSheetId="6" hidden="1">{#N/A,#N/A,FALSE,"KA CH  (2)"}</definedName>
    <definedName name="vn.2_1" hidden="1">{#N/A,#N/A,FALSE,"KA CH  (2)"}</definedName>
    <definedName name="vn.2_1_1" localSheetId="0" hidden="1">{#N/A,#N/A,FALSE,"KA CH  (2)"}</definedName>
    <definedName name="vn.2_1_1" localSheetId="6" hidden="1">{#N/A,#N/A,FALSE,"KA CH  (2)"}</definedName>
    <definedName name="vn.2_1_1" hidden="1">{#N/A,#N/A,FALSE,"KA CH  (2)"}</definedName>
    <definedName name="vn.2_2" localSheetId="0" hidden="1">{#N/A,#N/A,FALSE,"KA CH  (2)"}</definedName>
    <definedName name="vn.2_2" localSheetId="6" hidden="1">{#N/A,#N/A,FALSE,"KA CH  (2)"}</definedName>
    <definedName name="vn.2_2" hidden="1">{#N/A,#N/A,FALSE,"KA CH  (2)"}</definedName>
    <definedName name="vn.2_3" localSheetId="0" hidden="1">{#N/A,#N/A,FALSE,"KA CH  (2)"}</definedName>
    <definedName name="vn.2_3" localSheetId="6" hidden="1">{#N/A,#N/A,FALSE,"KA CH  (2)"}</definedName>
    <definedName name="vn.2_3" hidden="1">{#N/A,#N/A,FALSE,"KA CH  (2)"}</definedName>
    <definedName name="vn.2_4" localSheetId="0" hidden="1">{#N/A,#N/A,FALSE,"KA CH  (2)"}</definedName>
    <definedName name="vn.2_4" localSheetId="6" hidden="1">{#N/A,#N/A,FALSE,"KA CH  (2)"}</definedName>
    <definedName name="vn.2_4" hidden="1">{#N/A,#N/A,FALSE,"KA CH  (2)"}</definedName>
    <definedName name="vn.2_5" localSheetId="0" hidden="1">{#N/A,#N/A,FALSE,"KA CH  (2)"}</definedName>
    <definedName name="vn.2_5" localSheetId="6" hidden="1">{#N/A,#N/A,FALSE,"KA CH  (2)"}</definedName>
    <definedName name="vn.2_5" hidden="1">{#N/A,#N/A,FALSE,"KA CH  (2)"}</definedName>
    <definedName name="vn.9" localSheetId="0" hidden="1">{#N/A,#N/A,FALSE,"Umsatz CH";#N/A,#N/A,FALSE,"ER CH";#N/A,#N/A,FALSE,"EA CH (2) ";#N/A,#N/A,FALSE,"EA CH";#N/A,#N/A,FALSE,"EA CH (3) ";#N/A,#N/A,FALSE,"EA CH (4)";#N/A,#N/A,FALSE,"KA CH";#N/A,#N/A,FALSE,"KA CH  (2)";#N/A,#N/A,FALSE,"KA CH  (3)";#N/A,#N/A,FALSE,"KA CH (4)"}</definedName>
    <definedName name="vn.9" localSheetId="6" hidden="1">{#N/A,#N/A,FALSE,"Umsatz CH";#N/A,#N/A,FALSE,"ER CH";#N/A,#N/A,FALSE,"EA CH (2) ";#N/A,#N/A,FALSE,"EA CH";#N/A,#N/A,FALSE,"EA CH (3) ";#N/A,#N/A,FALSE,"EA CH (4)";#N/A,#N/A,FALSE,"KA CH";#N/A,#N/A,FALSE,"KA CH  (2)";#N/A,#N/A,FALSE,"KA CH  (3)";#N/A,#N/A,FALSE,"KA CH (4)"}</definedName>
    <definedName name="vn.9" hidden="1">{#N/A,#N/A,FALSE,"Umsatz CH";#N/A,#N/A,FALSE,"ER CH";#N/A,#N/A,FALSE,"EA CH (2) ";#N/A,#N/A,FALSE,"EA CH";#N/A,#N/A,FALSE,"EA CH (3) ";#N/A,#N/A,FALSE,"EA CH (4)";#N/A,#N/A,FALSE,"KA CH";#N/A,#N/A,FALSE,"KA CH  (2)";#N/A,#N/A,FALSE,"KA CH  (3)";#N/A,#N/A,FALSE,"KA CH (4)"}</definedName>
    <definedName name="vn.9_1" localSheetId="0" hidden="1">{#N/A,#N/A,FALSE,"Umsatz CH";#N/A,#N/A,FALSE,"ER CH";#N/A,#N/A,FALSE,"EA CH (2) ";#N/A,#N/A,FALSE,"EA CH";#N/A,#N/A,FALSE,"EA CH (3) ";#N/A,#N/A,FALSE,"EA CH (4)";#N/A,#N/A,FALSE,"KA CH";#N/A,#N/A,FALSE,"KA CH  (2)";#N/A,#N/A,FALSE,"KA CH  (3)";#N/A,#N/A,FALSE,"KA CH (4)"}</definedName>
    <definedName name="vn.9_1" localSheetId="6" hidden="1">{#N/A,#N/A,FALSE,"Umsatz CH";#N/A,#N/A,FALSE,"ER CH";#N/A,#N/A,FALSE,"EA CH (2) ";#N/A,#N/A,FALSE,"EA CH";#N/A,#N/A,FALSE,"EA CH (3) ";#N/A,#N/A,FALSE,"EA CH (4)";#N/A,#N/A,FALSE,"KA CH";#N/A,#N/A,FALSE,"KA CH  (2)";#N/A,#N/A,FALSE,"KA CH  (3)";#N/A,#N/A,FALSE,"KA CH (4)"}</definedName>
    <definedName name="vn.9_1" hidden="1">{#N/A,#N/A,FALSE,"Umsatz CH";#N/A,#N/A,FALSE,"ER CH";#N/A,#N/A,FALSE,"EA CH (2) ";#N/A,#N/A,FALSE,"EA CH";#N/A,#N/A,FALSE,"EA CH (3) ";#N/A,#N/A,FALSE,"EA CH (4)";#N/A,#N/A,FALSE,"KA CH";#N/A,#N/A,FALSE,"KA CH  (2)";#N/A,#N/A,FALSE,"KA CH  (3)";#N/A,#N/A,FALSE,"KA CH (4)"}</definedName>
    <definedName name="vn.9_1_1" localSheetId="0" hidden="1">{#N/A,#N/A,FALSE,"Umsatz CH";#N/A,#N/A,FALSE,"ER CH";#N/A,#N/A,FALSE,"EA CH (2) ";#N/A,#N/A,FALSE,"EA CH";#N/A,#N/A,FALSE,"EA CH (3) ";#N/A,#N/A,FALSE,"EA CH (4)";#N/A,#N/A,FALSE,"KA CH";#N/A,#N/A,FALSE,"KA CH  (2)";#N/A,#N/A,FALSE,"KA CH  (3)";#N/A,#N/A,FALSE,"KA CH (4)"}</definedName>
    <definedName name="vn.9_1_1" localSheetId="6" hidden="1">{#N/A,#N/A,FALSE,"Umsatz CH";#N/A,#N/A,FALSE,"ER CH";#N/A,#N/A,FALSE,"EA CH (2) ";#N/A,#N/A,FALSE,"EA CH";#N/A,#N/A,FALSE,"EA CH (3) ";#N/A,#N/A,FALSE,"EA CH (4)";#N/A,#N/A,FALSE,"KA CH";#N/A,#N/A,FALSE,"KA CH  (2)";#N/A,#N/A,FALSE,"KA CH  (3)";#N/A,#N/A,FALSE,"KA CH (4)"}</definedName>
    <definedName name="vn.9_1_1" hidden="1">{#N/A,#N/A,FALSE,"Umsatz CH";#N/A,#N/A,FALSE,"ER CH";#N/A,#N/A,FALSE,"EA CH (2) ";#N/A,#N/A,FALSE,"EA CH";#N/A,#N/A,FALSE,"EA CH (3) ";#N/A,#N/A,FALSE,"EA CH (4)";#N/A,#N/A,FALSE,"KA CH";#N/A,#N/A,FALSE,"KA CH  (2)";#N/A,#N/A,FALSE,"KA CH  (3)";#N/A,#N/A,FALSE,"KA CH (4)"}</definedName>
    <definedName name="vn.9_2" localSheetId="0" hidden="1">{#N/A,#N/A,FALSE,"Umsatz CH";#N/A,#N/A,FALSE,"ER CH";#N/A,#N/A,FALSE,"EA CH (2) ";#N/A,#N/A,FALSE,"EA CH";#N/A,#N/A,FALSE,"EA CH (3) ";#N/A,#N/A,FALSE,"EA CH (4)";#N/A,#N/A,FALSE,"KA CH";#N/A,#N/A,FALSE,"KA CH  (2)";#N/A,#N/A,FALSE,"KA CH  (3)";#N/A,#N/A,FALSE,"KA CH (4)"}</definedName>
    <definedName name="vn.9_2" localSheetId="6" hidden="1">{#N/A,#N/A,FALSE,"Umsatz CH";#N/A,#N/A,FALSE,"ER CH";#N/A,#N/A,FALSE,"EA CH (2) ";#N/A,#N/A,FALSE,"EA CH";#N/A,#N/A,FALSE,"EA CH (3) ";#N/A,#N/A,FALSE,"EA CH (4)";#N/A,#N/A,FALSE,"KA CH";#N/A,#N/A,FALSE,"KA CH  (2)";#N/A,#N/A,FALSE,"KA CH  (3)";#N/A,#N/A,FALSE,"KA CH (4)"}</definedName>
    <definedName name="vn.9_2" hidden="1">{#N/A,#N/A,FALSE,"Umsatz CH";#N/A,#N/A,FALSE,"ER CH";#N/A,#N/A,FALSE,"EA CH (2) ";#N/A,#N/A,FALSE,"EA CH";#N/A,#N/A,FALSE,"EA CH (3) ";#N/A,#N/A,FALSE,"EA CH (4)";#N/A,#N/A,FALSE,"KA CH";#N/A,#N/A,FALSE,"KA CH  (2)";#N/A,#N/A,FALSE,"KA CH  (3)";#N/A,#N/A,FALSE,"KA CH (4)"}</definedName>
    <definedName name="vn.9_3" localSheetId="0" hidden="1">{#N/A,#N/A,FALSE,"Umsatz CH";#N/A,#N/A,FALSE,"ER CH";#N/A,#N/A,FALSE,"EA CH (2) ";#N/A,#N/A,FALSE,"EA CH";#N/A,#N/A,FALSE,"EA CH (3) ";#N/A,#N/A,FALSE,"EA CH (4)";#N/A,#N/A,FALSE,"KA CH";#N/A,#N/A,FALSE,"KA CH  (2)";#N/A,#N/A,FALSE,"KA CH  (3)";#N/A,#N/A,FALSE,"KA CH (4)"}</definedName>
    <definedName name="vn.9_3" localSheetId="6" hidden="1">{#N/A,#N/A,FALSE,"Umsatz CH";#N/A,#N/A,FALSE,"ER CH";#N/A,#N/A,FALSE,"EA CH (2) ";#N/A,#N/A,FALSE,"EA CH";#N/A,#N/A,FALSE,"EA CH (3) ";#N/A,#N/A,FALSE,"EA CH (4)";#N/A,#N/A,FALSE,"KA CH";#N/A,#N/A,FALSE,"KA CH  (2)";#N/A,#N/A,FALSE,"KA CH  (3)";#N/A,#N/A,FALSE,"KA CH (4)"}</definedName>
    <definedName name="vn.9_3" hidden="1">{#N/A,#N/A,FALSE,"Umsatz CH";#N/A,#N/A,FALSE,"ER CH";#N/A,#N/A,FALSE,"EA CH (2) ";#N/A,#N/A,FALSE,"EA CH";#N/A,#N/A,FALSE,"EA CH (3) ";#N/A,#N/A,FALSE,"EA CH (4)";#N/A,#N/A,FALSE,"KA CH";#N/A,#N/A,FALSE,"KA CH  (2)";#N/A,#N/A,FALSE,"KA CH  (3)";#N/A,#N/A,FALSE,"KA CH (4)"}</definedName>
    <definedName name="vn.9_4" localSheetId="0" hidden="1">{#N/A,#N/A,FALSE,"Umsatz CH";#N/A,#N/A,FALSE,"ER CH";#N/A,#N/A,FALSE,"EA CH (2) ";#N/A,#N/A,FALSE,"EA CH";#N/A,#N/A,FALSE,"EA CH (3) ";#N/A,#N/A,FALSE,"EA CH (4)";#N/A,#N/A,FALSE,"KA CH";#N/A,#N/A,FALSE,"KA CH  (2)";#N/A,#N/A,FALSE,"KA CH  (3)";#N/A,#N/A,FALSE,"KA CH (4)"}</definedName>
    <definedName name="vn.9_4" localSheetId="6" hidden="1">{#N/A,#N/A,FALSE,"Umsatz CH";#N/A,#N/A,FALSE,"ER CH";#N/A,#N/A,FALSE,"EA CH (2) ";#N/A,#N/A,FALSE,"EA CH";#N/A,#N/A,FALSE,"EA CH (3) ";#N/A,#N/A,FALSE,"EA CH (4)";#N/A,#N/A,FALSE,"KA CH";#N/A,#N/A,FALSE,"KA CH  (2)";#N/A,#N/A,FALSE,"KA CH  (3)";#N/A,#N/A,FALSE,"KA CH (4)"}</definedName>
    <definedName name="vn.9_4" hidden="1">{#N/A,#N/A,FALSE,"Umsatz CH";#N/A,#N/A,FALSE,"ER CH";#N/A,#N/A,FALSE,"EA CH (2) ";#N/A,#N/A,FALSE,"EA CH";#N/A,#N/A,FALSE,"EA CH (3) ";#N/A,#N/A,FALSE,"EA CH (4)";#N/A,#N/A,FALSE,"KA CH";#N/A,#N/A,FALSE,"KA CH  (2)";#N/A,#N/A,FALSE,"KA CH  (3)";#N/A,#N/A,FALSE,"KA CH (4)"}</definedName>
    <definedName name="vn.9_5" localSheetId="0" hidden="1">{#N/A,#N/A,FALSE,"Umsatz CH";#N/A,#N/A,FALSE,"ER CH";#N/A,#N/A,FALSE,"EA CH (2) ";#N/A,#N/A,FALSE,"EA CH";#N/A,#N/A,FALSE,"EA CH (3) ";#N/A,#N/A,FALSE,"EA CH (4)";#N/A,#N/A,FALSE,"KA CH";#N/A,#N/A,FALSE,"KA CH  (2)";#N/A,#N/A,FALSE,"KA CH  (3)";#N/A,#N/A,FALSE,"KA CH (4)"}</definedName>
    <definedName name="vn.9_5" localSheetId="6" hidden="1">{#N/A,#N/A,FALSE,"Umsatz CH";#N/A,#N/A,FALSE,"ER CH";#N/A,#N/A,FALSE,"EA CH (2) ";#N/A,#N/A,FALSE,"EA CH";#N/A,#N/A,FALSE,"EA CH (3) ";#N/A,#N/A,FALSE,"EA CH (4)";#N/A,#N/A,FALSE,"KA CH";#N/A,#N/A,FALSE,"KA CH  (2)";#N/A,#N/A,FALSE,"KA CH  (3)";#N/A,#N/A,FALSE,"KA CH (4)"}</definedName>
    <definedName name="vn.9_5" hidden="1">{#N/A,#N/A,FALSE,"Umsatz CH";#N/A,#N/A,FALSE,"ER CH";#N/A,#N/A,FALSE,"EA CH (2) ";#N/A,#N/A,FALSE,"EA CH";#N/A,#N/A,FALSE,"EA CH (3) ";#N/A,#N/A,FALSE,"EA CH (4)";#N/A,#N/A,FALSE,"KA CH";#N/A,#N/A,FALSE,"KA CH  (2)";#N/A,#N/A,FALSE,"KA CH  (3)";#N/A,#N/A,FALSE,"KA CH (4)"}</definedName>
    <definedName name="vo" localSheetId="0" hidden="1">{"consolidated",#N/A,FALSE,"Sheet1";"cms",#N/A,FALSE,"Sheet1";"fse",#N/A,FALSE,"Sheet1"}</definedName>
    <definedName name="vo" localSheetId="6" hidden="1">{"consolidated",#N/A,FALSE,"Sheet1";"cms",#N/A,FALSE,"Sheet1";"fse",#N/A,FALSE,"Sheet1"}</definedName>
    <definedName name="vo" hidden="1">{"consolidated",#N/A,FALSE,"Sheet1";"cms",#N/A,FALSE,"Sheet1";"fse",#N/A,FALSE,"Sheet1"}</definedName>
    <definedName name="Volatility1">#REF!</definedName>
    <definedName name="Volatility2">#REF!</definedName>
    <definedName name="Volatility3">#REF!</definedName>
    <definedName name="VOLUME" hidden="1">"VOLUME"</definedName>
    <definedName name="vrcr" localSheetId="0" hidden="1">{#N/A,#N/A,TRUE,"Proposal";#N/A,#N/A,TRUE,"Assumptions";#N/A,#N/A,TRUE,"Net Income";#N/A,#N/A,TRUE,"Balsheet";#N/A,#N/A,TRUE,"Capex";#N/A,#N/A,TRUE,"Volumes";#N/A,#N/A,TRUE,"Revenues";#N/A,#N/A,TRUE,"Var.Costs";#N/A,#N/A,TRUE,"Personnel";#N/A,#N/A,TRUE,"Other costs";#N/A,#N/A,TRUE,"MKTG and G&amp;A"}</definedName>
    <definedName name="vrcr" localSheetId="6" hidden="1">{#N/A,#N/A,TRUE,"Proposal";#N/A,#N/A,TRUE,"Assumptions";#N/A,#N/A,TRUE,"Net Income";#N/A,#N/A,TRUE,"Balsheet";#N/A,#N/A,TRUE,"Capex";#N/A,#N/A,TRUE,"Volumes";#N/A,#N/A,TRUE,"Revenues";#N/A,#N/A,TRUE,"Var.Costs";#N/A,#N/A,TRUE,"Personnel";#N/A,#N/A,TRUE,"Other costs";#N/A,#N/A,TRUE,"MKTG and G&amp;A"}</definedName>
    <definedName name="vrcr" hidden="1">{#N/A,#N/A,TRUE,"Proposal";#N/A,#N/A,TRUE,"Assumptions";#N/A,#N/A,TRUE,"Net Income";#N/A,#N/A,TRUE,"Balsheet";#N/A,#N/A,TRUE,"Capex";#N/A,#N/A,TRUE,"Volumes";#N/A,#N/A,TRUE,"Revenues";#N/A,#N/A,TRUE,"Var.Costs";#N/A,#N/A,TRUE,"Personnel";#N/A,#N/A,TRUE,"Other costs";#N/A,#N/A,TRUE,"MKTG and G&amp;A"}</definedName>
    <definedName name="vrcsrvc" localSheetId="0" hidden="1">{#N/A,#N/A,TRUE,"Proposal";#N/A,#N/A,TRUE,"Assumptions";#N/A,#N/A,TRUE,"Net Income";#N/A,#N/A,TRUE,"Balsheet";#N/A,#N/A,TRUE,"Capex";#N/A,#N/A,TRUE,"Volumes";#N/A,#N/A,TRUE,"Revenues";#N/A,#N/A,TRUE,"Var.Costs";#N/A,#N/A,TRUE,"Personnel";#N/A,#N/A,TRUE,"Other costs";#N/A,#N/A,TRUE,"MKTG and G&amp;A"}</definedName>
    <definedName name="vrcsrvc" localSheetId="6" hidden="1">{#N/A,#N/A,TRUE,"Proposal";#N/A,#N/A,TRUE,"Assumptions";#N/A,#N/A,TRUE,"Net Income";#N/A,#N/A,TRUE,"Balsheet";#N/A,#N/A,TRUE,"Capex";#N/A,#N/A,TRUE,"Volumes";#N/A,#N/A,TRUE,"Revenues";#N/A,#N/A,TRUE,"Var.Costs";#N/A,#N/A,TRUE,"Personnel";#N/A,#N/A,TRUE,"Other costs";#N/A,#N/A,TRUE,"MKTG and G&amp;A"}</definedName>
    <definedName name="vrcsrvc" hidden="1">{#N/A,#N/A,TRUE,"Proposal";#N/A,#N/A,TRUE,"Assumptions";#N/A,#N/A,TRUE,"Net Income";#N/A,#N/A,TRUE,"Balsheet";#N/A,#N/A,TRUE,"Capex";#N/A,#N/A,TRUE,"Volumes";#N/A,#N/A,TRUE,"Revenues";#N/A,#N/A,TRUE,"Var.Costs";#N/A,#N/A,TRUE,"Personnel";#N/A,#N/A,TRUE,"Other costs";#N/A,#N/A,TRUE,"MKTG and G&amp;A"}</definedName>
    <definedName name="Vrednotenje"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Vrednotenje" localSheetId="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Vrednotenje"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vrl"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vrl"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vrt" localSheetId="6" hidden="1">{#N/A,#N/A,FALSE,"Banksum";#N/A,#N/A,FALSE,"Banksum"}</definedName>
    <definedName name="vrt" hidden="1">{#N/A,#N/A,FALSE,"Banksum";#N/A,#N/A,FALSE,"Banksum"}</definedName>
    <definedName name="vrtr" localSheetId="0" hidden="1">{"summary1",#N/A,TRUE,"Comps";"summary2",#N/A,TRUE,"Comps";"summary3",#N/A,TRUE,"Comps"}</definedName>
    <definedName name="vrtr" localSheetId="6" hidden="1">{"summary1",#N/A,TRUE,"Comps";"summary2",#N/A,TRUE,"Comps";"summary3",#N/A,TRUE,"Comps"}</definedName>
    <definedName name="vrtr" hidden="1">{"summary1",#N/A,TRUE,"Comps";"summary2",#N/A,TRUE,"Comps";"summary3",#N/A,TRUE,"Comps"}</definedName>
    <definedName name="vrz" localSheetId="6" hidden="1">{#N/A,#N/A,TRUE,"FA 1 &amp; 2";#N/A,#N/A,TRUE,"FA 3 &amp; 4";#N/A,#N/A,TRUE,"FA 5 &amp; 6";#N/A,#N/A,TRUE,"FA 7 &amp; 8";#N/A,#N/A,TRUE,"FA 9 &amp; 10";#N/A,#N/A,TRUE,"FA 11";#N/A,#N/A,TRUE,"FA 12";#N/A,#N/A,TRUE,"FA 13";#N/A,#N/A,TRUE,"FA 14 &amp; 15"}</definedName>
    <definedName name="vrz" hidden="1">{#N/A,#N/A,TRUE,"FA 1 &amp; 2";#N/A,#N/A,TRUE,"FA 3 &amp; 4";#N/A,#N/A,TRUE,"FA 5 &amp; 6";#N/A,#N/A,TRUE,"FA 7 &amp; 8";#N/A,#N/A,TRUE,"FA 9 &amp; 10";#N/A,#N/A,TRUE,"FA 11";#N/A,#N/A,TRUE,"FA 12";#N/A,#N/A,TRUE,"FA 13";#N/A,#N/A,TRUE,"FA 14 &amp; 15"}</definedName>
    <definedName name="vsdv" localSheetId="0" hidden="1">{#N/A,#N/A,FALSE,"Aging Summary";#N/A,#N/A,FALSE,"Ratio Analysis";#N/A,#N/A,FALSE,"Test 120 Day Accts";#N/A,#N/A,FALSE,"Tickmarks"}</definedName>
    <definedName name="vsdv" localSheetId="6" hidden="1">{#N/A,#N/A,FALSE,"Aging Summary";#N/A,#N/A,FALSE,"Ratio Analysis";#N/A,#N/A,FALSE,"Test 120 Day Accts";#N/A,#N/A,FALSE,"Tickmarks"}</definedName>
    <definedName name="vsdv" hidden="1">{#N/A,#N/A,FALSE,"Aging Summary";#N/A,#N/A,FALSE,"Ratio Analysis";#N/A,#N/A,FALSE,"Test 120 Day Accts";#N/A,#N/A,FALSE,"Tickmarks"}</definedName>
    <definedName name="vsergerg" hidden="1">#REF!</definedName>
    <definedName name="VSXV"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VSXV"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VTM_102" hidden="1">#REF!,#REF!,#REF!</definedName>
    <definedName name="VTM_108" hidden="1">#REF!,#REF!,#REF!</definedName>
    <definedName name="VTM_113" hidden="1">#REF!,#REF!,#REF!</definedName>
    <definedName name="VTM_121" hidden="1">#REF!,#REF!</definedName>
    <definedName name="VTM_130" hidden="1">#REF!,#REF!,#REF!</definedName>
    <definedName name="VTM_136" hidden="1">#REF!,#REF!,#REF!,#REF!</definedName>
    <definedName name="VTM_151" hidden="1">#REF!,#REF!</definedName>
    <definedName name="VTM_159" hidden="1">#REF!,#REF!,#REF!</definedName>
    <definedName name="VTM_164" hidden="1">#REF!,#REF!</definedName>
    <definedName name="VTM_169" hidden="1">#REF!,#REF!,#REF!,#REF!,#REF!,#REF!,#REF!</definedName>
    <definedName name="VTM_175" hidden="1">#REF!,#REF!,#REF!,#REF!,#REF!,#REF!,#REF!,#REF!,#REF!,#REF!</definedName>
    <definedName name="VTM_177" hidden="1">#REF!,#REF!</definedName>
    <definedName name="VTM_5" hidden="1">#REF!,#REF!</definedName>
    <definedName name="VTM_6" hidden="1">#REF!,#REF!</definedName>
    <definedName name="VTM_61" hidden="1">#REF!,#REF!</definedName>
    <definedName name="VTM_62" hidden="1">#REF!,#REF!,#REF!,#REF!</definedName>
    <definedName name="VTM_63" hidden="1">#REF!,#REF!</definedName>
    <definedName name="VTM_64" hidden="1">#REF!,#REF!,#REF!,#REF!</definedName>
    <definedName name="VTM_65" hidden="1">#REF!,#REF!</definedName>
    <definedName name="VTM_66" hidden="1">#REF!,#REF!</definedName>
    <definedName name="VTM_67" hidden="1">#REF!,#REF!</definedName>
    <definedName name="VTM_68" hidden="1">#REF!,#REF!,#REF!,#REF!,#REF!,#REF!</definedName>
    <definedName name="VTM_69" hidden="1">#REF!,#REF!,#REF!,#REF!</definedName>
    <definedName name="VTM_7" hidden="1">#REF!,#REF!</definedName>
    <definedName name="VTM_70" hidden="1">#REF!,#REF!</definedName>
    <definedName name="VTM_71" hidden="1">#REF!,#REF!</definedName>
    <definedName name="VTM_72" hidden="1">#REF!,#REF!,#REF!,#REF!</definedName>
    <definedName name="VTM_73" hidden="1">#REF!,#REF!,#REF!,#REF!</definedName>
    <definedName name="VTM_74" hidden="1">#REF!,#REF!</definedName>
    <definedName name="VTM_75" hidden="1">#REF!,#REF!</definedName>
    <definedName name="VTM_76" hidden="1">#REF!,#REF!</definedName>
    <definedName name="VTM_8" hidden="1">#REF!,#REF!,#REF!</definedName>
    <definedName name="VTM_80" hidden="1">#REF!,#REF!,#REF!</definedName>
    <definedName name="VTM_95" hidden="1">#REF!,#REF!</definedName>
    <definedName name="VTM_97" hidden="1">#REF!,#REF!</definedName>
    <definedName name="vuqvfuqcv" hidden="1">#REF!</definedName>
    <definedName name="vv" localSheetId="0" hidden="1">{"sch13",#N/A,FALSE,"Tangibles";"sch13a",#N/A,FALSE,"Tangibles";"sch13b",#N/A,FALSE,"Tangibles";"SCH13CC",#N/A,FALSE,"Tangibles";"sch13c",#N/A,FALSE,"Tangibles";"sch13d",#N/A,FALSE,"Tangibles";"sch13e",#N/A,FALSE,"Tangibles"}</definedName>
    <definedName name="vv" localSheetId="6" hidden="1">{"sch13",#N/A,FALSE,"Tangibles";"sch13a",#N/A,FALSE,"Tangibles";"sch13b",#N/A,FALSE,"Tangibles";"SCH13CC",#N/A,FALSE,"Tangibles";"sch13c",#N/A,FALSE,"Tangibles";"sch13d",#N/A,FALSE,"Tangibles";"sch13e",#N/A,FALSE,"Tangibles"}</definedName>
    <definedName name="vv" hidden="1">{"sch13",#N/A,FALSE,"Tangibles";"sch13a",#N/A,FALSE,"Tangibles";"sch13b",#N/A,FALSE,"Tangibles";"SCH13CC",#N/A,FALSE,"Tangibles";"sch13c",#N/A,FALSE,"Tangibles";"sch13d",#N/A,FALSE,"Tangibles";"sch13e",#N/A,FALSE,"Tangibles"}</definedName>
    <definedName name="vv_1" localSheetId="0" hidden="1">{"sch13",#N/A,FALSE,"Tangibles";"sch13a",#N/A,FALSE,"Tangibles";"sch13b",#N/A,FALSE,"Tangibles";"SCH13CC",#N/A,FALSE,"Tangibles";"sch13c",#N/A,FALSE,"Tangibles";"sch13d",#N/A,FALSE,"Tangibles";"sch13e",#N/A,FALSE,"Tangibles"}</definedName>
    <definedName name="vv_1" localSheetId="6" hidden="1">{"sch13",#N/A,FALSE,"Tangibles";"sch13a",#N/A,FALSE,"Tangibles";"sch13b",#N/A,FALSE,"Tangibles";"SCH13CC",#N/A,FALSE,"Tangibles";"sch13c",#N/A,FALSE,"Tangibles";"sch13d",#N/A,FALSE,"Tangibles";"sch13e",#N/A,FALSE,"Tangibles"}</definedName>
    <definedName name="vv_1" hidden="1">{"sch13",#N/A,FALSE,"Tangibles";"sch13a",#N/A,FALSE,"Tangibles";"sch13b",#N/A,FALSE,"Tangibles";"SCH13CC",#N/A,FALSE,"Tangibles";"sch13c",#N/A,FALSE,"Tangibles";"sch13d",#N/A,FALSE,"Tangibles";"sch13e",#N/A,FALSE,"Tangibles"}</definedName>
    <definedName name="vvsvsdfvsdf" hidden="1">#REF!</definedName>
    <definedName name="vvv" localSheetId="0" hidden="1">{"DJH3",#N/A,FALSE,"PFL00805";"PJB3",#N/A,FALSE,"PFL00805";"JMD3",#N/A,FALSE,"PFL00805";"DNB3",#N/A,FALSE,"PFL00805";"MJP3",#N/A,FALSE,"PFL00805";"RAB3",#N/A,FALSE,"PFL00805";"GJW3",#N/A,FALSE,"PFL00805";"MASTER3",#N/A,FALSE,"PFL00805"}</definedName>
    <definedName name="vvv" localSheetId="6" hidden="1">{"DJH3",#N/A,FALSE,"PFL00805";"PJB3",#N/A,FALSE,"PFL00805";"JMD3",#N/A,FALSE,"PFL00805";"DNB3",#N/A,FALSE,"PFL00805";"MJP3",#N/A,FALSE,"PFL00805";"RAB3",#N/A,FALSE,"PFL00805";"GJW3",#N/A,FALSE,"PFL00805";"MASTER3",#N/A,FALSE,"PFL00805"}</definedName>
    <definedName name="vvv" hidden="1">{"DJH3",#N/A,FALSE,"PFL00805";"PJB3",#N/A,FALSE,"PFL00805";"JMD3",#N/A,FALSE,"PFL00805";"DNB3",#N/A,FALSE,"PFL00805";"MJP3",#N/A,FALSE,"PFL00805";"RAB3",#N/A,FALSE,"PFL00805";"GJW3",#N/A,FALSE,"PFL00805";"MASTER3",#N/A,FALSE,"PFL00805"}</definedName>
    <definedName name="vvv_1" localSheetId="0" hidden="1">{"DJH3",#N/A,FALSE,"PFL00805";"PJB3",#N/A,FALSE,"PFL00805";"JMD3",#N/A,FALSE,"PFL00805";"DNB3",#N/A,FALSE,"PFL00805";"MJP3",#N/A,FALSE,"PFL00805";"RAB3",#N/A,FALSE,"PFL00805";"GJW3",#N/A,FALSE,"PFL00805";"MASTER3",#N/A,FALSE,"PFL00805"}</definedName>
    <definedName name="vvv_1" localSheetId="6" hidden="1">{"DJH3",#N/A,FALSE,"PFL00805";"PJB3",#N/A,FALSE,"PFL00805";"JMD3",#N/A,FALSE,"PFL00805";"DNB3",#N/A,FALSE,"PFL00805";"MJP3",#N/A,FALSE,"PFL00805";"RAB3",#N/A,FALSE,"PFL00805";"GJW3",#N/A,FALSE,"PFL00805";"MASTER3",#N/A,FALSE,"PFL00805"}</definedName>
    <definedName name="vvv_1" hidden="1">{"DJH3",#N/A,FALSE,"PFL00805";"PJB3",#N/A,FALSE,"PFL00805";"JMD3",#N/A,FALSE,"PFL00805";"DNB3",#N/A,FALSE,"PFL00805";"MJP3",#N/A,FALSE,"PFL00805";"RAB3",#N/A,FALSE,"PFL00805";"GJW3",#N/A,FALSE,"PFL00805";"MASTER3",#N/A,FALSE,"PFL00805"}</definedName>
    <definedName name="vvvv" localSheetId="0" hidden="1">{"'INDICE'!$A$1:$K$13","'1'!$A$1:$CC$78","'2'!$A$1:$P$78","'3'!$A$1:$CI$78","'4'!$A$1:$Q$78"}</definedName>
    <definedName name="vvvv" localSheetId="6" hidden="1">{"'INDICE'!$A$1:$K$13","'1'!$A$1:$CC$78","'2'!$A$1:$P$78","'3'!$A$1:$CI$78","'4'!$A$1:$Q$78"}</definedName>
    <definedName name="vvvv" hidden="1">{"'INDICE'!$A$1:$K$13","'1'!$A$1:$CC$78","'2'!$A$1:$P$78","'3'!$A$1:$CI$78","'4'!$A$1:$Q$78"}</definedName>
    <definedName name="vvvv_1" localSheetId="0" hidden="1">{"'INDICE'!$A$1:$K$13","'1'!$A$1:$CC$78","'2'!$A$1:$P$78","'3'!$A$1:$CI$78","'4'!$A$1:$Q$78"}</definedName>
    <definedName name="vvvv_1" localSheetId="6" hidden="1">{"'INDICE'!$A$1:$K$13","'1'!$A$1:$CC$78","'2'!$A$1:$P$78","'3'!$A$1:$CI$78","'4'!$A$1:$Q$78"}</definedName>
    <definedName name="vvvv_1" hidden="1">{"'INDICE'!$A$1:$K$13","'1'!$A$1:$CC$78","'2'!$A$1:$P$78","'3'!$A$1:$CI$78","'4'!$A$1:$Q$78"}</definedName>
    <definedName name="vvvvvv" hidden="1">"c1449"</definedName>
    <definedName name="vvvvvvv" localSheetId="0" hidden="1">{"'INDICE'!$A$1:$K$13","'1'!$A$1:$CC$78","'2'!$A$1:$P$78","'3'!$A$1:$CI$78","'4'!$A$1:$Q$78"}</definedName>
    <definedName name="vvvvvvv" localSheetId="6" hidden="1">{"'INDICE'!$A$1:$K$13","'1'!$A$1:$CC$78","'2'!$A$1:$P$78","'3'!$A$1:$CI$78","'4'!$A$1:$Q$78"}</definedName>
    <definedName name="vvvvvvv" hidden="1">{"'INDICE'!$A$1:$K$13","'1'!$A$1:$CC$78","'2'!$A$1:$P$78","'3'!$A$1:$CI$78","'4'!$A$1:$Q$78"}</definedName>
    <definedName name="vvvvvvv_1" localSheetId="0" hidden="1">{"'INDICE'!$A$1:$K$13","'1'!$A$1:$CC$78","'2'!$A$1:$P$78","'3'!$A$1:$CI$78","'4'!$A$1:$Q$78"}</definedName>
    <definedName name="vvvvvvv_1" localSheetId="6" hidden="1">{"'INDICE'!$A$1:$K$13","'1'!$A$1:$CC$78","'2'!$A$1:$P$78","'3'!$A$1:$CI$78","'4'!$A$1:$Q$78"}</definedName>
    <definedName name="vvvvvvv_1" hidden="1">{"'INDICE'!$A$1:$K$13","'1'!$A$1:$CC$78","'2'!$A$1:$P$78","'3'!$A$1:$CI$78","'4'!$A$1:$Q$78"}</definedName>
    <definedName name="vwaefgwegf" hidden="1">#REF!</definedName>
    <definedName name="vwx" localSheetId="0" hidden="1">{#N/A,#N/A,FALSE,"Tabl. FB300";#N/A,#N/A,FALSE,"Tabl. FB350";#N/A,#N/A,FALSE,"Tabl. FB400";#N/A,#N/A,FALSE,"Tabl. FB500";#N/A,#N/A,FALSE,"Tabl. FS090"}</definedName>
    <definedName name="vwx" localSheetId="6" hidden="1">{#N/A,#N/A,FALSE,"Tabl. FB300";#N/A,#N/A,FALSE,"Tabl. FB350";#N/A,#N/A,FALSE,"Tabl. FB400";#N/A,#N/A,FALSE,"Tabl. FB500";#N/A,#N/A,FALSE,"Tabl. FS090"}</definedName>
    <definedName name="vwx" hidden="1">{#N/A,#N/A,FALSE,"Tabl. FB300";#N/A,#N/A,FALSE,"Tabl. FB350";#N/A,#N/A,FALSE,"Tabl. FB400";#N/A,#N/A,FALSE,"Tabl. FB500";#N/A,#N/A,FALSE,"Tabl. FS090"}</definedName>
    <definedName name="vxcz"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vxcz"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vxcz"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vzargawg" hidden="1">#REF!</definedName>
    <definedName name="V행">#REF!</definedName>
    <definedName name="w" localSheetId="0" hidden="1">{"DEMOT","COMPANIES",TRUE}</definedName>
    <definedName name="w">#REF!</definedName>
    <definedName name="w.l" localSheetId="0" hidden="1">{#N/A,#N/A,FALSE,"Umsatz HM";#N/A,#N/A,FALSE,"ER HM";#N/A,#N/A,FALSE,"EA HM  (2)";#N/A,#N/A,FALSE,"EA HM ";#N/A,#N/A,FALSE,"EA HM  (4)";#N/A,#N/A,FALSE,"EA HM  (3)";#N/A,#N/A,FALSE,"KA HM  (2)";#N/A,#N/A,FALSE,"KA HM";#N/A,#N/A,FALSE,"KA HM  (3)";#N/A,#N/A,FALSE,"KA HM (4)"}</definedName>
    <definedName name="w.l" localSheetId="6" hidden="1">{#N/A,#N/A,FALSE,"Umsatz HM";#N/A,#N/A,FALSE,"ER HM";#N/A,#N/A,FALSE,"EA HM  (2)";#N/A,#N/A,FALSE,"EA HM ";#N/A,#N/A,FALSE,"EA HM  (4)";#N/A,#N/A,FALSE,"EA HM  (3)";#N/A,#N/A,FALSE,"KA HM  (2)";#N/A,#N/A,FALSE,"KA HM";#N/A,#N/A,FALSE,"KA HM  (3)";#N/A,#N/A,FALSE,"KA HM (4)"}</definedName>
    <definedName name="w.l" hidden="1">{#N/A,#N/A,FALSE,"Umsatz HM";#N/A,#N/A,FALSE,"ER HM";#N/A,#N/A,FALSE,"EA HM  (2)";#N/A,#N/A,FALSE,"EA HM ";#N/A,#N/A,FALSE,"EA HM  (4)";#N/A,#N/A,FALSE,"EA HM  (3)";#N/A,#N/A,FALSE,"KA HM  (2)";#N/A,#N/A,FALSE,"KA HM";#N/A,#N/A,FALSE,"KA HM  (3)";#N/A,#N/A,FALSE,"KA HM (4)"}</definedName>
    <definedName name="w.l_1" localSheetId="0" hidden="1">{#N/A,#N/A,FALSE,"Umsatz HM";#N/A,#N/A,FALSE,"ER HM";#N/A,#N/A,FALSE,"EA HM  (2)";#N/A,#N/A,FALSE,"EA HM ";#N/A,#N/A,FALSE,"EA HM  (4)";#N/A,#N/A,FALSE,"EA HM  (3)";#N/A,#N/A,FALSE,"KA HM  (2)";#N/A,#N/A,FALSE,"KA HM";#N/A,#N/A,FALSE,"KA HM  (3)";#N/A,#N/A,FALSE,"KA HM (4)"}</definedName>
    <definedName name="w.l_1" localSheetId="6" hidden="1">{#N/A,#N/A,FALSE,"Umsatz HM";#N/A,#N/A,FALSE,"ER HM";#N/A,#N/A,FALSE,"EA HM  (2)";#N/A,#N/A,FALSE,"EA HM ";#N/A,#N/A,FALSE,"EA HM  (4)";#N/A,#N/A,FALSE,"EA HM  (3)";#N/A,#N/A,FALSE,"KA HM  (2)";#N/A,#N/A,FALSE,"KA HM";#N/A,#N/A,FALSE,"KA HM  (3)";#N/A,#N/A,FALSE,"KA HM (4)"}</definedName>
    <definedName name="w.l_1" hidden="1">{#N/A,#N/A,FALSE,"Umsatz HM";#N/A,#N/A,FALSE,"ER HM";#N/A,#N/A,FALSE,"EA HM  (2)";#N/A,#N/A,FALSE,"EA HM ";#N/A,#N/A,FALSE,"EA HM  (4)";#N/A,#N/A,FALSE,"EA HM  (3)";#N/A,#N/A,FALSE,"KA HM  (2)";#N/A,#N/A,FALSE,"KA HM";#N/A,#N/A,FALSE,"KA HM  (3)";#N/A,#N/A,FALSE,"KA HM (4)"}</definedName>
    <definedName name="w.l_1_1" localSheetId="0" hidden="1">{#N/A,#N/A,FALSE,"Umsatz HM";#N/A,#N/A,FALSE,"ER HM";#N/A,#N/A,FALSE,"EA HM  (2)";#N/A,#N/A,FALSE,"EA HM ";#N/A,#N/A,FALSE,"EA HM  (4)";#N/A,#N/A,FALSE,"EA HM  (3)";#N/A,#N/A,FALSE,"KA HM  (2)";#N/A,#N/A,FALSE,"KA HM";#N/A,#N/A,FALSE,"KA HM  (3)";#N/A,#N/A,FALSE,"KA HM (4)"}</definedName>
    <definedName name="w.l_1_1" localSheetId="6" hidden="1">{#N/A,#N/A,FALSE,"Umsatz HM";#N/A,#N/A,FALSE,"ER HM";#N/A,#N/A,FALSE,"EA HM  (2)";#N/A,#N/A,FALSE,"EA HM ";#N/A,#N/A,FALSE,"EA HM  (4)";#N/A,#N/A,FALSE,"EA HM  (3)";#N/A,#N/A,FALSE,"KA HM  (2)";#N/A,#N/A,FALSE,"KA HM";#N/A,#N/A,FALSE,"KA HM  (3)";#N/A,#N/A,FALSE,"KA HM (4)"}</definedName>
    <definedName name="w.l_1_1" hidden="1">{#N/A,#N/A,FALSE,"Umsatz HM";#N/A,#N/A,FALSE,"ER HM";#N/A,#N/A,FALSE,"EA HM  (2)";#N/A,#N/A,FALSE,"EA HM ";#N/A,#N/A,FALSE,"EA HM  (4)";#N/A,#N/A,FALSE,"EA HM  (3)";#N/A,#N/A,FALSE,"KA HM  (2)";#N/A,#N/A,FALSE,"KA HM";#N/A,#N/A,FALSE,"KA HM  (3)";#N/A,#N/A,FALSE,"KA HM (4)"}</definedName>
    <definedName name="w.l_2" localSheetId="0" hidden="1">{#N/A,#N/A,FALSE,"Umsatz HM";#N/A,#N/A,FALSE,"ER HM";#N/A,#N/A,FALSE,"EA HM  (2)";#N/A,#N/A,FALSE,"EA HM ";#N/A,#N/A,FALSE,"EA HM  (4)";#N/A,#N/A,FALSE,"EA HM  (3)";#N/A,#N/A,FALSE,"KA HM  (2)";#N/A,#N/A,FALSE,"KA HM";#N/A,#N/A,FALSE,"KA HM  (3)";#N/A,#N/A,FALSE,"KA HM (4)"}</definedName>
    <definedName name="w.l_2" localSheetId="6" hidden="1">{#N/A,#N/A,FALSE,"Umsatz HM";#N/A,#N/A,FALSE,"ER HM";#N/A,#N/A,FALSE,"EA HM  (2)";#N/A,#N/A,FALSE,"EA HM ";#N/A,#N/A,FALSE,"EA HM  (4)";#N/A,#N/A,FALSE,"EA HM  (3)";#N/A,#N/A,FALSE,"KA HM  (2)";#N/A,#N/A,FALSE,"KA HM";#N/A,#N/A,FALSE,"KA HM  (3)";#N/A,#N/A,FALSE,"KA HM (4)"}</definedName>
    <definedName name="w.l_2" hidden="1">{#N/A,#N/A,FALSE,"Umsatz HM";#N/A,#N/A,FALSE,"ER HM";#N/A,#N/A,FALSE,"EA HM  (2)";#N/A,#N/A,FALSE,"EA HM ";#N/A,#N/A,FALSE,"EA HM  (4)";#N/A,#N/A,FALSE,"EA HM  (3)";#N/A,#N/A,FALSE,"KA HM  (2)";#N/A,#N/A,FALSE,"KA HM";#N/A,#N/A,FALSE,"KA HM  (3)";#N/A,#N/A,FALSE,"KA HM (4)"}</definedName>
    <definedName name="w.l_3" localSheetId="0" hidden="1">{#N/A,#N/A,FALSE,"Umsatz HM";#N/A,#N/A,FALSE,"ER HM";#N/A,#N/A,FALSE,"EA HM  (2)";#N/A,#N/A,FALSE,"EA HM ";#N/A,#N/A,FALSE,"EA HM  (4)";#N/A,#N/A,FALSE,"EA HM  (3)";#N/A,#N/A,FALSE,"KA HM  (2)";#N/A,#N/A,FALSE,"KA HM";#N/A,#N/A,FALSE,"KA HM  (3)";#N/A,#N/A,FALSE,"KA HM (4)"}</definedName>
    <definedName name="w.l_3" localSheetId="6" hidden="1">{#N/A,#N/A,FALSE,"Umsatz HM";#N/A,#N/A,FALSE,"ER HM";#N/A,#N/A,FALSE,"EA HM  (2)";#N/A,#N/A,FALSE,"EA HM ";#N/A,#N/A,FALSE,"EA HM  (4)";#N/A,#N/A,FALSE,"EA HM  (3)";#N/A,#N/A,FALSE,"KA HM  (2)";#N/A,#N/A,FALSE,"KA HM";#N/A,#N/A,FALSE,"KA HM  (3)";#N/A,#N/A,FALSE,"KA HM (4)"}</definedName>
    <definedName name="w.l_3" hidden="1">{#N/A,#N/A,FALSE,"Umsatz HM";#N/A,#N/A,FALSE,"ER HM";#N/A,#N/A,FALSE,"EA HM  (2)";#N/A,#N/A,FALSE,"EA HM ";#N/A,#N/A,FALSE,"EA HM  (4)";#N/A,#N/A,FALSE,"EA HM  (3)";#N/A,#N/A,FALSE,"KA HM  (2)";#N/A,#N/A,FALSE,"KA HM";#N/A,#N/A,FALSE,"KA HM  (3)";#N/A,#N/A,FALSE,"KA HM (4)"}</definedName>
    <definedName name="w.l_4" localSheetId="0" hidden="1">{#N/A,#N/A,FALSE,"Umsatz HM";#N/A,#N/A,FALSE,"ER HM";#N/A,#N/A,FALSE,"EA HM  (2)";#N/A,#N/A,FALSE,"EA HM ";#N/A,#N/A,FALSE,"EA HM  (4)";#N/A,#N/A,FALSE,"EA HM  (3)";#N/A,#N/A,FALSE,"KA HM  (2)";#N/A,#N/A,FALSE,"KA HM";#N/A,#N/A,FALSE,"KA HM  (3)";#N/A,#N/A,FALSE,"KA HM (4)"}</definedName>
    <definedName name="w.l_4" localSheetId="6" hidden="1">{#N/A,#N/A,FALSE,"Umsatz HM";#N/A,#N/A,FALSE,"ER HM";#N/A,#N/A,FALSE,"EA HM  (2)";#N/A,#N/A,FALSE,"EA HM ";#N/A,#N/A,FALSE,"EA HM  (4)";#N/A,#N/A,FALSE,"EA HM  (3)";#N/A,#N/A,FALSE,"KA HM  (2)";#N/A,#N/A,FALSE,"KA HM";#N/A,#N/A,FALSE,"KA HM  (3)";#N/A,#N/A,FALSE,"KA HM (4)"}</definedName>
    <definedName name="w.l_4" hidden="1">{#N/A,#N/A,FALSE,"Umsatz HM";#N/A,#N/A,FALSE,"ER HM";#N/A,#N/A,FALSE,"EA HM  (2)";#N/A,#N/A,FALSE,"EA HM ";#N/A,#N/A,FALSE,"EA HM  (4)";#N/A,#N/A,FALSE,"EA HM  (3)";#N/A,#N/A,FALSE,"KA HM  (2)";#N/A,#N/A,FALSE,"KA HM";#N/A,#N/A,FALSE,"KA HM  (3)";#N/A,#N/A,FALSE,"KA HM (4)"}</definedName>
    <definedName name="w.l_5" localSheetId="0" hidden="1">{#N/A,#N/A,FALSE,"Umsatz HM";#N/A,#N/A,FALSE,"ER HM";#N/A,#N/A,FALSE,"EA HM  (2)";#N/A,#N/A,FALSE,"EA HM ";#N/A,#N/A,FALSE,"EA HM  (4)";#N/A,#N/A,FALSE,"EA HM  (3)";#N/A,#N/A,FALSE,"KA HM  (2)";#N/A,#N/A,FALSE,"KA HM";#N/A,#N/A,FALSE,"KA HM  (3)";#N/A,#N/A,FALSE,"KA HM (4)"}</definedName>
    <definedName name="w.l_5" localSheetId="6" hidden="1">{#N/A,#N/A,FALSE,"Umsatz HM";#N/A,#N/A,FALSE,"ER HM";#N/A,#N/A,FALSE,"EA HM  (2)";#N/A,#N/A,FALSE,"EA HM ";#N/A,#N/A,FALSE,"EA HM  (4)";#N/A,#N/A,FALSE,"EA HM  (3)";#N/A,#N/A,FALSE,"KA HM  (2)";#N/A,#N/A,FALSE,"KA HM";#N/A,#N/A,FALSE,"KA HM  (3)";#N/A,#N/A,FALSE,"KA HM (4)"}</definedName>
    <definedName name="w.l_5" hidden="1">{#N/A,#N/A,FALSE,"Umsatz HM";#N/A,#N/A,FALSE,"ER HM";#N/A,#N/A,FALSE,"EA HM  (2)";#N/A,#N/A,FALSE,"EA HM ";#N/A,#N/A,FALSE,"EA HM  (4)";#N/A,#N/A,FALSE,"EA HM  (3)";#N/A,#N/A,FALSE,"KA HM  (2)";#N/A,#N/A,FALSE,"KA HM";#N/A,#N/A,FALSE,"KA HM  (3)";#N/A,#N/A,FALSE,"KA HM (4)"}</definedName>
    <definedName name="ｗ２え" hidden="1">#REF!</definedName>
    <definedName name="WACC">#REF!</definedName>
    <definedName name="WACC_CB">#REF!</definedName>
    <definedName name="wae.2" localSheetId="0" hidden="1">{#N/A,#N/A,FALSE,"Umsatz CH";#N/A,#N/A,FALSE,"ER CH";#N/A,#N/A,FALSE,"EA CH (2) ";#N/A,#N/A,FALSE,"EA CH";#N/A,#N/A,FALSE,"EA CH (3) ";#N/A,#N/A,FALSE,"EA CH (4)";#N/A,#N/A,FALSE,"KA CH";#N/A,#N/A,FALSE,"KA CH  (2)";#N/A,#N/A,FALSE,"KA CH  (3)";#N/A,#N/A,FALSE,"KA CH (4)"}</definedName>
    <definedName name="wae.2" localSheetId="6" hidden="1">{#N/A,#N/A,FALSE,"Umsatz CH";#N/A,#N/A,FALSE,"ER CH";#N/A,#N/A,FALSE,"EA CH (2) ";#N/A,#N/A,FALSE,"EA CH";#N/A,#N/A,FALSE,"EA CH (3) ";#N/A,#N/A,FALSE,"EA CH (4)";#N/A,#N/A,FALSE,"KA CH";#N/A,#N/A,FALSE,"KA CH  (2)";#N/A,#N/A,FALSE,"KA CH  (3)";#N/A,#N/A,FALSE,"KA CH (4)"}</definedName>
    <definedName name="wae.2" hidden="1">{#N/A,#N/A,FALSE,"Umsatz CH";#N/A,#N/A,FALSE,"ER CH";#N/A,#N/A,FALSE,"EA CH (2) ";#N/A,#N/A,FALSE,"EA CH";#N/A,#N/A,FALSE,"EA CH (3) ";#N/A,#N/A,FALSE,"EA CH (4)";#N/A,#N/A,FALSE,"KA CH";#N/A,#N/A,FALSE,"KA CH  (2)";#N/A,#N/A,FALSE,"KA CH  (3)";#N/A,#N/A,FALSE,"KA CH (4)"}</definedName>
    <definedName name="wae.2_1" localSheetId="0" hidden="1">{#N/A,#N/A,FALSE,"Umsatz CH";#N/A,#N/A,FALSE,"ER CH";#N/A,#N/A,FALSE,"EA CH (2) ";#N/A,#N/A,FALSE,"EA CH";#N/A,#N/A,FALSE,"EA CH (3) ";#N/A,#N/A,FALSE,"EA CH (4)";#N/A,#N/A,FALSE,"KA CH";#N/A,#N/A,FALSE,"KA CH  (2)";#N/A,#N/A,FALSE,"KA CH  (3)";#N/A,#N/A,FALSE,"KA CH (4)"}</definedName>
    <definedName name="wae.2_1" localSheetId="6" hidden="1">{#N/A,#N/A,FALSE,"Umsatz CH";#N/A,#N/A,FALSE,"ER CH";#N/A,#N/A,FALSE,"EA CH (2) ";#N/A,#N/A,FALSE,"EA CH";#N/A,#N/A,FALSE,"EA CH (3) ";#N/A,#N/A,FALSE,"EA CH (4)";#N/A,#N/A,FALSE,"KA CH";#N/A,#N/A,FALSE,"KA CH  (2)";#N/A,#N/A,FALSE,"KA CH  (3)";#N/A,#N/A,FALSE,"KA CH (4)"}</definedName>
    <definedName name="wae.2_1" hidden="1">{#N/A,#N/A,FALSE,"Umsatz CH";#N/A,#N/A,FALSE,"ER CH";#N/A,#N/A,FALSE,"EA CH (2) ";#N/A,#N/A,FALSE,"EA CH";#N/A,#N/A,FALSE,"EA CH (3) ";#N/A,#N/A,FALSE,"EA CH (4)";#N/A,#N/A,FALSE,"KA CH";#N/A,#N/A,FALSE,"KA CH  (2)";#N/A,#N/A,FALSE,"KA CH  (3)";#N/A,#N/A,FALSE,"KA CH (4)"}</definedName>
    <definedName name="wae.2_1_1" localSheetId="0" hidden="1">{#N/A,#N/A,FALSE,"Umsatz CH";#N/A,#N/A,FALSE,"ER CH";#N/A,#N/A,FALSE,"EA CH (2) ";#N/A,#N/A,FALSE,"EA CH";#N/A,#N/A,FALSE,"EA CH (3) ";#N/A,#N/A,FALSE,"EA CH (4)";#N/A,#N/A,FALSE,"KA CH";#N/A,#N/A,FALSE,"KA CH  (2)";#N/A,#N/A,FALSE,"KA CH  (3)";#N/A,#N/A,FALSE,"KA CH (4)"}</definedName>
    <definedName name="wae.2_1_1" localSheetId="6" hidden="1">{#N/A,#N/A,FALSE,"Umsatz CH";#N/A,#N/A,FALSE,"ER CH";#N/A,#N/A,FALSE,"EA CH (2) ";#N/A,#N/A,FALSE,"EA CH";#N/A,#N/A,FALSE,"EA CH (3) ";#N/A,#N/A,FALSE,"EA CH (4)";#N/A,#N/A,FALSE,"KA CH";#N/A,#N/A,FALSE,"KA CH  (2)";#N/A,#N/A,FALSE,"KA CH  (3)";#N/A,#N/A,FALSE,"KA CH (4)"}</definedName>
    <definedName name="wae.2_1_1" hidden="1">{#N/A,#N/A,FALSE,"Umsatz CH";#N/A,#N/A,FALSE,"ER CH";#N/A,#N/A,FALSE,"EA CH (2) ";#N/A,#N/A,FALSE,"EA CH";#N/A,#N/A,FALSE,"EA CH (3) ";#N/A,#N/A,FALSE,"EA CH (4)";#N/A,#N/A,FALSE,"KA CH";#N/A,#N/A,FALSE,"KA CH  (2)";#N/A,#N/A,FALSE,"KA CH  (3)";#N/A,#N/A,FALSE,"KA CH (4)"}</definedName>
    <definedName name="wae.2_2" localSheetId="0" hidden="1">{#N/A,#N/A,FALSE,"Umsatz CH";#N/A,#N/A,FALSE,"ER CH";#N/A,#N/A,FALSE,"EA CH (2) ";#N/A,#N/A,FALSE,"EA CH";#N/A,#N/A,FALSE,"EA CH (3) ";#N/A,#N/A,FALSE,"EA CH (4)";#N/A,#N/A,FALSE,"KA CH";#N/A,#N/A,FALSE,"KA CH  (2)";#N/A,#N/A,FALSE,"KA CH  (3)";#N/A,#N/A,FALSE,"KA CH (4)"}</definedName>
    <definedName name="wae.2_2" localSheetId="6" hidden="1">{#N/A,#N/A,FALSE,"Umsatz CH";#N/A,#N/A,FALSE,"ER CH";#N/A,#N/A,FALSE,"EA CH (2) ";#N/A,#N/A,FALSE,"EA CH";#N/A,#N/A,FALSE,"EA CH (3) ";#N/A,#N/A,FALSE,"EA CH (4)";#N/A,#N/A,FALSE,"KA CH";#N/A,#N/A,FALSE,"KA CH  (2)";#N/A,#N/A,FALSE,"KA CH  (3)";#N/A,#N/A,FALSE,"KA CH (4)"}</definedName>
    <definedName name="wae.2_2" hidden="1">{#N/A,#N/A,FALSE,"Umsatz CH";#N/A,#N/A,FALSE,"ER CH";#N/A,#N/A,FALSE,"EA CH (2) ";#N/A,#N/A,FALSE,"EA CH";#N/A,#N/A,FALSE,"EA CH (3) ";#N/A,#N/A,FALSE,"EA CH (4)";#N/A,#N/A,FALSE,"KA CH";#N/A,#N/A,FALSE,"KA CH  (2)";#N/A,#N/A,FALSE,"KA CH  (3)";#N/A,#N/A,FALSE,"KA CH (4)"}</definedName>
    <definedName name="wae.2_3" localSheetId="0" hidden="1">{#N/A,#N/A,FALSE,"Umsatz CH";#N/A,#N/A,FALSE,"ER CH";#N/A,#N/A,FALSE,"EA CH (2) ";#N/A,#N/A,FALSE,"EA CH";#N/A,#N/A,FALSE,"EA CH (3) ";#N/A,#N/A,FALSE,"EA CH (4)";#N/A,#N/A,FALSE,"KA CH";#N/A,#N/A,FALSE,"KA CH  (2)";#N/A,#N/A,FALSE,"KA CH  (3)";#N/A,#N/A,FALSE,"KA CH (4)"}</definedName>
    <definedName name="wae.2_3" localSheetId="6" hidden="1">{#N/A,#N/A,FALSE,"Umsatz CH";#N/A,#N/A,FALSE,"ER CH";#N/A,#N/A,FALSE,"EA CH (2) ";#N/A,#N/A,FALSE,"EA CH";#N/A,#N/A,FALSE,"EA CH (3) ";#N/A,#N/A,FALSE,"EA CH (4)";#N/A,#N/A,FALSE,"KA CH";#N/A,#N/A,FALSE,"KA CH  (2)";#N/A,#N/A,FALSE,"KA CH  (3)";#N/A,#N/A,FALSE,"KA CH (4)"}</definedName>
    <definedName name="wae.2_3" hidden="1">{#N/A,#N/A,FALSE,"Umsatz CH";#N/A,#N/A,FALSE,"ER CH";#N/A,#N/A,FALSE,"EA CH (2) ";#N/A,#N/A,FALSE,"EA CH";#N/A,#N/A,FALSE,"EA CH (3) ";#N/A,#N/A,FALSE,"EA CH (4)";#N/A,#N/A,FALSE,"KA CH";#N/A,#N/A,FALSE,"KA CH  (2)";#N/A,#N/A,FALSE,"KA CH  (3)";#N/A,#N/A,FALSE,"KA CH (4)"}</definedName>
    <definedName name="wae.2_4" localSheetId="0" hidden="1">{#N/A,#N/A,FALSE,"Umsatz CH";#N/A,#N/A,FALSE,"ER CH";#N/A,#N/A,FALSE,"EA CH (2) ";#N/A,#N/A,FALSE,"EA CH";#N/A,#N/A,FALSE,"EA CH (3) ";#N/A,#N/A,FALSE,"EA CH (4)";#N/A,#N/A,FALSE,"KA CH";#N/A,#N/A,FALSE,"KA CH  (2)";#N/A,#N/A,FALSE,"KA CH  (3)";#N/A,#N/A,FALSE,"KA CH (4)"}</definedName>
    <definedName name="wae.2_4" localSheetId="6" hidden="1">{#N/A,#N/A,FALSE,"Umsatz CH";#N/A,#N/A,FALSE,"ER CH";#N/A,#N/A,FALSE,"EA CH (2) ";#N/A,#N/A,FALSE,"EA CH";#N/A,#N/A,FALSE,"EA CH (3) ";#N/A,#N/A,FALSE,"EA CH (4)";#N/A,#N/A,FALSE,"KA CH";#N/A,#N/A,FALSE,"KA CH  (2)";#N/A,#N/A,FALSE,"KA CH  (3)";#N/A,#N/A,FALSE,"KA CH (4)"}</definedName>
    <definedName name="wae.2_4" hidden="1">{#N/A,#N/A,FALSE,"Umsatz CH";#N/A,#N/A,FALSE,"ER CH";#N/A,#N/A,FALSE,"EA CH (2) ";#N/A,#N/A,FALSE,"EA CH";#N/A,#N/A,FALSE,"EA CH (3) ";#N/A,#N/A,FALSE,"EA CH (4)";#N/A,#N/A,FALSE,"KA CH";#N/A,#N/A,FALSE,"KA CH  (2)";#N/A,#N/A,FALSE,"KA CH  (3)";#N/A,#N/A,FALSE,"KA CH (4)"}</definedName>
    <definedName name="wae.2_5" localSheetId="0" hidden="1">{#N/A,#N/A,FALSE,"Umsatz CH";#N/A,#N/A,FALSE,"ER CH";#N/A,#N/A,FALSE,"EA CH (2) ";#N/A,#N/A,FALSE,"EA CH";#N/A,#N/A,FALSE,"EA CH (3) ";#N/A,#N/A,FALSE,"EA CH (4)";#N/A,#N/A,FALSE,"KA CH";#N/A,#N/A,FALSE,"KA CH  (2)";#N/A,#N/A,FALSE,"KA CH  (3)";#N/A,#N/A,FALSE,"KA CH (4)"}</definedName>
    <definedName name="wae.2_5" localSheetId="6" hidden="1">{#N/A,#N/A,FALSE,"Umsatz CH";#N/A,#N/A,FALSE,"ER CH";#N/A,#N/A,FALSE,"EA CH (2) ";#N/A,#N/A,FALSE,"EA CH";#N/A,#N/A,FALSE,"EA CH (3) ";#N/A,#N/A,FALSE,"EA CH (4)";#N/A,#N/A,FALSE,"KA CH";#N/A,#N/A,FALSE,"KA CH  (2)";#N/A,#N/A,FALSE,"KA CH  (3)";#N/A,#N/A,FALSE,"KA CH (4)"}</definedName>
    <definedName name="wae.2_5" hidden="1">{#N/A,#N/A,FALSE,"Umsatz CH";#N/A,#N/A,FALSE,"ER CH";#N/A,#N/A,FALSE,"EA CH (2) ";#N/A,#N/A,FALSE,"EA CH";#N/A,#N/A,FALSE,"EA CH (3) ";#N/A,#N/A,FALSE,"EA CH (4)";#N/A,#N/A,FALSE,"KA CH";#N/A,#N/A,FALSE,"KA CH  (2)";#N/A,#N/A,FALSE,"KA CH  (3)";#N/A,#N/A,FALSE,"KA CH (4)"}</definedName>
    <definedName name="wae.er_er." localSheetId="0" hidden="1">{#N/A,#N/A,FALSE,"Umsatz EO BP";#N/A,#N/A,FALSE,"Umsatz EO OP";#N/A,#N/A,FALSE,"ER EO BP";#N/A,#N/A,FALSE,"ER EO OP";#N/A,#N/A,FALSE,"EA EO (2)";#N/A,#N/A,FALSE,"EA EO";#N/A,#N/A,FALSE,"EA EO (3)";#N/A,#N/A,FALSE,"EA EO (4)";#N/A,#N/A,FALSE,"KA EO  (2)";#N/A,#N/A,FALSE,"KA EO";#N/A,#N/A,FALSE,"KA EO  (3)";#N/A,#N/A,FALSE,"KA EO (4)"}</definedName>
    <definedName name="wae.er_er." localSheetId="6" hidden="1">{#N/A,#N/A,FALSE,"Umsatz EO BP";#N/A,#N/A,FALSE,"Umsatz EO OP";#N/A,#N/A,FALSE,"ER EO BP";#N/A,#N/A,FALSE,"ER EO OP";#N/A,#N/A,FALSE,"EA EO (2)";#N/A,#N/A,FALSE,"EA EO";#N/A,#N/A,FALSE,"EA EO (3)";#N/A,#N/A,FALSE,"EA EO (4)";#N/A,#N/A,FALSE,"KA EO  (2)";#N/A,#N/A,FALSE,"KA EO";#N/A,#N/A,FALSE,"KA EO  (3)";#N/A,#N/A,FALSE,"KA EO (4)"}</definedName>
    <definedName name="wae.er_er." hidden="1">{#N/A,#N/A,FALSE,"Umsatz EO BP";#N/A,#N/A,FALSE,"Umsatz EO OP";#N/A,#N/A,FALSE,"ER EO BP";#N/A,#N/A,FALSE,"ER EO OP";#N/A,#N/A,FALSE,"EA EO (2)";#N/A,#N/A,FALSE,"EA EO";#N/A,#N/A,FALSE,"EA EO (3)";#N/A,#N/A,FALSE,"EA EO (4)";#N/A,#N/A,FALSE,"KA EO  (2)";#N/A,#N/A,FALSE,"KA EO";#N/A,#N/A,FALSE,"KA EO  (3)";#N/A,#N/A,FALSE,"KA EO (4)"}</definedName>
    <definedName name="wae.er_er._1" localSheetId="0" hidden="1">{#N/A,#N/A,FALSE,"Umsatz EO BP";#N/A,#N/A,FALSE,"Umsatz EO OP";#N/A,#N/A,FALSE,"ER EO BP";#N/A,#N/A,FALSE,"ER EO OP";#N/A,#N/A,FALSE,"EA EO (2)";#N/A,#N/A,FALSE,"EA EO";#N/A,#N/A,FALSE,"EA EO (3)";#N/A,#N/A,FALSE,"EA EO (4)";#N/A,#N/A,FALSE,"KA EO  (2)";#N/A,#N/A,FALSE,"KA EO";#N/A,#N/A,FALSE,"KA EO  (3)";#N/A,#N/A,FALSE,"KA EO (4)"}</definedName>
    <definedName name="wae.er_er._1" localSheetId="6" hidden="1">{#N/A,#N/A,FALSE,"Umsatz EO BP";#N/A,#N/A,FALSE,"Umsatz EO OP";#N/A,#N/A,FALSE,"ER EO BP";#N/A,#N/A,FALSE,"ER EO OP";#N/A,#N/A,FALSE,"EA EO (2)";#N/A,#N/A,FALSE,"EA EO";#N/A,#N/A,FALSE,"EA EO (3)";#N/A,#N/A,FALSE,"EA EO (4)";#N/A,#N/A,FALSE,"KA EO  (2)";#N/A,#N/A,FALSE,"KA EO";#N/A,#N/A,FALSE,"KA EO  (3)";#N/A,#N/A,FALSE,"KA EO (4)"}</definedName>
    <definedName name="wae.er_er._1" hidden="1">{#N/A,#N/A,FALSE,"Umsatz EO BP";#N/A,#N/A,FALSE,"Umsatz EO OP";#N/A,#N/A,FALSE,"ER EO BP";#N/A,#N/A,FALSE,"ER EO OP";#N/A,#N/A,FALSE,"EA EO (2)";#N/A,#N/A,FALSE,"EA EO";#N/A,#N/A,FALSE,"EA EO (3)";#N/A,#N/A,FALSE,"EA EO (4)";#N/A,#N/A,FALSE,"KA EO  (2)";#N/A,#N/A,FALSE,"KA EO";#N/A,#N/A,FALSE,"KA EO  (3)";#N/A,#N/A,FALSE,"KA EO (4)"}</definedName>
    <definedName name="wae.er_er._1_1" localSheetId="0" hidden="1">{#N/A,#N/A,FALSE,"Umsatz EO BP";#N/A,#N/A,FALSE,"Umsatz EO OP";#N/A,#N/A,FALSE,"ER EO BP";#N/A,#N/A,FALSE,"ER EO OP";#N/A,#N/A,FALSE,"EA EO (2)";#N/A,#N/A,FALSE,"EA EO";#N/A,#N/A,FALSE,"EA EO (3)";#N/A,#N/A,FALSE,"EA EO (4)";#N/A,#N/A,FALSE,"KA EO  (2)";#N/A,#N/A,FALSE,"KA EO";#N/A,#N/A,FALSE,"KA EO  (3)";#N/A,#N/A,FALSE,"KA EO (4)"}</definedName>
    <definedName name="wae.er_er._1_1" localSheetId="6" hidden="1">{#N/A,#N/A,FALSE,"Umsatz EO BP";#N/A,#N/A,FALSE,"Umsatz EO OP";#N/A,#N/A,FALSE,"ER EO BP";#N/A,#N/A,FALSE,"ER EO OP";#N/A,#N/A,FALSE,"EA EO (2)";#N/A,#N/A,FALSE,"EA EO";#N/A,#N/A,FALSE,"EA EO (3)";#N/A,#N/A,FALSE,"EA EO (4)";#N/A,#N/A,FALSE,"KA EO  (2)";#N/A,#N/A,FALSE,"KA EO";#N/A,#N/A,FALSE,"KA EO  (3)";#N/A,#N/A,FALSE,"KA EO (4)"}</definedName>
    <definedName name="wae.er_er._1_1" hidden="1">{#N/A,#N/A,FALSE,"Umsatz EO BP";#N/A,#N/A,FALSE,"Umsatz EO OP";#N/A,#N/A,FALSE,"ER EO BP";#N/A,#N/A,FALSE,"ER EO OP";#N/A,#N/A,FALSE,"EA EO (2)";#N/A,#N/A,FALSE,"EA EO";#N/A,#N/A,FALSE,"EA EO (3)";#N/A,#N/A,FALSE,"EA EO (4)";#N/A,#N/A,FALSE,"KA EO  (2)";#N/A,#N/A,FALSE,"KA EO";#N/A,#N/A,FALSE,"KA EO  (3)";#N/A,#N/A,FALSE,"KA EO (4)"}</definedName>
    <definedName name="wae.er_er._2" localSheetId="0" hidden="1">{#N/A,#N/A,FALSE,"Umsatz EO BP";#N/A,#N/A,FALSE,"Umsatz EO OP";#N/A,#N/A,FALSE,"ER EO BP";#N/A,#N/A,FALSE,"ER EO OP";#N/A,#N/A,FALSE,"EA EO (2)";#N/A,#N/A,FALSE,"EA EO";#N/A,#N/A,FALSE,"EA EO (3)";#N/A,#N/A,FALSE,"EA EO (4)";#N/A,#N/A,FALSE,"KA EO  (2)";#N/A,#N/A,FALSE,"KA EO";#N/A,#N/A,FALSE,"KA EO  (3)";#N/A,#N/A,FALSE,"KA EO (4)"}</definedName>
    <definedName name="wae.er_er._2" localSheetId="6" hidden="1">{#N/A,#N/A,FALSE,"Umsatz EO BP";#N/A,#N/A,FALSE,"Umsatz EO OP";#N/A,#N/A,FALSE,"ER EO BP";#N/A,#N/A,FALSE,"ER EO OP";#N/A,#N/A,FALSE,"EA EO (2)";#N/A,#N/A,FALSE,"EA EO";#N/A,#N/A,FALSE,"EA EO (3)";#N/A,#N/A,FALSE,"EA EO (4)";#N/A,#N/A,FALSE,"KA EO  (2)";#N/A,#N/A,FALSE,"KA EO";#N/A,#N/A,FALSE,"KA EO  (3)";#N/A,#N/A,FALSE,"KA EO (4)"}</definedName>
    <definedName name="wae.er_er._2" hidden="1">{#N/A,#N/A,FALSE,"Umsatz EO BP";#N/A,#N/A,FALSE,"Umsatz EO OP";#N/A,#N/A,FALSE,"ER EO BP";#N/A,#N/A,FALSE,"ER EO OP";#N/A,#N/A,FALSE,"EA EO (2)";#N/A,#N/A,FALSE,"EA EO";#N/A,#N/A,FALSE,"EA EO (3)";#N/A,#N/A,FALSE,"EA EO (4)";#N/A,#N/A,FALSE,"KA EO  (2)";#N/A,#N/A,FALSE,"KA EO";#N/A,#N/A,FALSE,"KA EO  (3)";#N/A,#N/A,FALSE,"KA EO (4)"}</definedName>
    <definedName name="wae.er_er._3" localSheetId="0" hidden="1">{#N/A,#N/A,FALSE,"Umsatz EO BP";#N/A,#N/A,FALSE,"Umsatz EO OP";#N/A,#N/A,FALSE,"ER EO BP";#N/A,#N/A,FALSE,"ER EO OP";#N/A,#N/A,FALSE,"EA EO (2)";#N/A,#N/A,FALSE,"EA EO";#N/A,#N/A,FALSE,"EA EO (3)";#N/A,#N/A,FALSE,"EA EO (4)";#N/A,#N/A,FALSE,"KA EO  (2)";#N/A,#N/A,FALSE,"KA EO";#N/A,#N/A,FALSE,"KA EO  (3)";#N/A,#N/A,FALSE,"KA EO (4)"}</definedName>
    <definedName name="wae.er_er._3" localSheetId="6" hidden="1">{#N/A,#N/A,FALSE,"Umsatz EO BP";#N/A,#N/A,FALSE,"Umsatz EO OP";#N/A,#N/A,FALSE,"ER EO BP";#N/A,#N/A,FALSE,"ER EO OP";#N/A,#N/A,FALSE,"EA EO (2)";#N/A,#N/A,FALSE,"EA EO";#N/A,#N/A,FALSE,"EA EO (3)";#N/A,#N/A,FALSE,"EA EO (4)";#N/A,#N/A,FALSE,"KA EO  (2)";#N/A,#N/A,FALSE,"KA EO";#N/A,#N/A,FALSE,"KA EO  (3)";#N/A,#N/A,FALSE,"KA EO (4)"}</definedName>
    <definedName name="wae.er_er._3" hidden="1">{#N/A,#N/A,FALSE,"Umsatz EO BP";#N/A,#N/A,FALSE,"Umsatz EO OP";#N/A,#N/A,FALSE,"ER EO BP";#N/A,#N/A,FALSE,"ER EO OP";#N/A,#N/A,FALSE,"EA EO (2)";#N/A,#N/A,FALSE,"EA EO";#N/A,#N/A,FALSE,"EA EO (3)";#N/A,#N/A,FALSE,"EA EO (4)";#N/A,#N/A,FALSE,"KA EO  (2)";#N/A,#N/A,FALSE,"KA EO";#N/A,#N/A,FALSE,"KA EO  (3)";#N/A,#N/A,FALSE,"KA EO (4)"}</definedName>
    <definedName name="wae.er_er._4" localSheetId="0" hidden="1">{#N/A,#N/A,FALSE,"Umsatz EO BP";#N/A,#N/A,FALSE,"Umsatz EO OP";#N/A,#N/A,FALSE,"ER EO BP";#N/A,#N/A,FALSE,"ER EO OP";#N/A,#N/A,FALSE,"EA EO (2)";#N/A,#N/A,FALSE,"EA EO";#N/A,#N/A,FALSE,"EA EO (3)";#N/A,#N/A,FALSE,"EA EO (4)";#N/A,#N/A,FALSE,"KA EO  (2)";#N/A,#N/A,FALSE,"KA EO";#N/A,#N/A,FALSE,"KA EO  (3)";#N/A,#N/A,FALSE,"KA EO (4)"}</definedName>
    <definedName name="wae.er_er._4" localSheetId="6" hidden="1">{#N/A,#N/A,FALSE,"Umsatz EO BP";#N/A,#N/A,FALSE,"Umsatz EO OP";#N/A,#N/A,FALSE,"ER EO BP";#N/A,#N/A,FALSE,"ER EO OP";#N/A,#N/A,FALSE,"EA EO (2)";#N/A,#N/A,FALSE,"EA EO";#N/A,#N/A,FALSE,"EA EO (3)";#N/A,#N/A,FALSE,"EA EO (4)";#N/A,#N/A,FALSE,"KA EO  (2)";#N/A,#N/A,FALSE,"KA EO";#N/A,#N/A,FALSE,"KA EO  (3)";#N/A,#N/A,FALSE,"KA EO (4)"}</definedName>
    <definedName name="wae.er_er._4" hidden="1">{#N/A,#N/A,FALSE,"Umsatz EO BP";#N/A,#N/A,FALSE,"Umsatz EO OP";#N/A,#N/A,FALSE,"ER EO BP";#N/A,#N/A,FALSE,"ER EO OP";#N/A,#N/A,FALSE,"EA EO (2)";#N/A,#N/A,FALSE,"EA EO";#N/A,#N/A,FALSE,"EA EO (3)";#N/A,#N/A,FALSE,"EA EO (4)";#N/A,#N/A,FALSE,"KA EO  (2)";#N/A,#N/A,FALSE,"KA EO";#N/A,#N/A,FALSE,"KA EO  (3)";#N/A,#N/A,FALSE,"KA EO (4)"}</definedName>
    <definedName name="wae.er_er._5" localSheetId="0" hidden="1">{#N/A,#N/A,FALSE,"Umsatz EO BP";#N/A,#N/A,FALSE,"Umsatz EO OP";#N/A,#N/A,FALSE,"ER EO BP";#N/A,#N/A,FALSE,"ER EO OP";#N/A,#N/A,FALSE,"EA EO (2)";#N/A,#N/A,FALSE,"EA EO";#N/A,#N/A,FALSE,"EA EO (3)";#N/A,#N/A,FALSE,"EA EO (4)";#N/A,#N/A,FALSE,"KA EO  (2)";#N/A,#N/A,FALSE,"KA EO";#N/A,#N/A,FALSE,"KA EO  (3)";#N/A,#N/A,FALSE,"KA EO (4)"}</definedName>
    <definedName name="wae.er_er._5" localSheetId="6" hidden="1">{#N/A,#N/A,FALSE,"Umsatz EO BP";#N/A,#N/A,FALSE,"Umsatz EO OP";#N/A,#N/A,FALSE,"ER EO BP";#N/A,#N/A,FALSE,"ER EO OP";#N/A,#N/A,FALSE,"EA EO (2)";#N/A,#N/A,FALSE,"EA EO";#N/A,#N/A,FALSE,"EA EO (3)";#N/A,#N/A,FALSE,"EA EO (4)";#N/A,#N/A,FALSE,"KA EO  (2)";#N/A,#N/A,FALSE,"KA EO";#N/A,#N/A,FALSE,"KA EO  (3)";#N/A,#N/A,FALSE,"KA EO (4)"}</definedName>
    <definedName name="wae.er_er._5" hidden="1">{#N/A,#N/A,FALSE,"Umsatz EO BP";#N/A,#N/A,FALSE,"Umsatz EO OP";#N/A,#N/A,FALSE,"ER EO BP";#N/A,#N/A,FALSE,"ER EO OP";#N/A,#N/A,FALSE,"EA EO (2)";#N/A,#N/A,FALSE,"EA EO";#N/A,#N/A,FALSE,"EA EO (3)";#N/A,#N/A,FALSE,"EA EO (4)";#N/A,#N/A,FALSE,"KA EO  (2)";#N/A,#N/A,FALSE,"KA EO";#N/A,#N/A,FALSE,"KA EO  (3)";#N/A,#N/A,FALSE,"KA EO (4)"}</definedName>
    <definedName name="Waefciab" hidden="1">#REF!</definedName>
    <definedName name="waefjibqiwuf" hidden="1">#REF!</definedName>
    <definedName name="wael" localSheetId="0" hidden="1">{#N/A,#N/A,FALSE,"PROFIT 11-95"}</definedName>
    <definedName name="wael" localSheetId="6" hidden="1">{#N/A,#N/A,FALSE,"PROFIT 11-95"}</definedName>
    <definedName name="wael" hidden="1">{#N/A,#N/A,FALSE,"PROFIT 11-95"}</definedName>
    <definedName name="warefa" localSheetId="0" hidden="1">{"toc1",#N/A,FALSE,"TOC";"cover",#N/A,FALSE,"Cover";"ts1",#N/A,FALSE,"Transaction Summary";"ei3",#N/A,FALSE,"Earnings Impact";"ad3",#N/A,FALSE,"accretion dilution"}</definedName>
    <definedName name="warefa" localSheetId="6" hidden="1">{"toc1",#N/A,FALSE,"TOC";"cover",#N/A,FALSE,"Cover";"ts1",#N/A,FALSE,"Transaction Summary";"ei3",#N/A,FALSE,"Earnings Impact";"ad3",#N/A,FALSE,"accretion dilution"}</definedName>
    <definedName name="warefa" hidden="1">{"toc1",#N/A,FALSE,"TOC";"cover",#N/A,FALSE,"Cover";"ts1",#N/A,FALSE,"Transaction Summary";"ei3",#N/A,FALSE,"Earnings Impact";"ad3",#N/A,FALSE,"accretion dilution"}</definedName>
    <definedName name="warr_array" hidden="1">#REF!</definedName>
    <definedName name="warr_col" hidden="1">#REF!</definedName>
    <definedName name="warr_hlookup" hidden="1">#REF!</definedName>
    <definedName name="warr_row" hidden="1">#REF!</definedName>
    <definedName name="WARRANTY">#REF!</definedName>
    <definedName name="was" localSheetId="0" hidden="1">{#N/A,#N/A,FALSE,"Sales Graph";#N/A,#N/A,FALSE,"BUC Graph";#N/A,#N/A,FALSE,"P&amp;L - YTD"}</definedName>
    <definedName name="was" localSheetId="6" hidden="1">{#N/A,#N/A,FALSE,"Sales Graph";#N/A,#N/A,FALSE,"BUC Graph";#N/A,#N/A,FALSE,"P&amp;L - YTD"}</definedName>
    <definedName name="was" hidden="1">{#N/A,#N/A,FALSE,"Sales Graph";#N/A,#N/A,FALSE,"BUC Graph";#N/A,#N/A,FALSE,"P&amp;L - YTD"}</definedName>
    <definedName name="was_1" localSheetId="0" hidden="1">{#N/A,#N/A,FALSE,"Sales Graph";#N/A,#N/A,FALSE,"BUC Graph";#N/A,#N/A,FALSE,"P&amp;L - YTD"}</definedName>
    <definedName name="was_1" localSheetId="6" hidden="1">{#N/A,#N/A,FALSE,"Sales Graph";#N/A,#N/A,FALSE,"BUC Graph";#N/A,#N/A,FALSE,"P&amp;L - YTD"}</definedName>
    <definedName name="was_1" hidden="1">{#N/A,#N/A,FALSE,"Sales Graph";#N/A,#N/A,FALSE,"BUC Graph";#N/A,#N/A,FALSE,"P&amp;L - YTD"}</definedName>
    <definedName name="was_1_1" localSheetId="0" hidden="1">{#N/A,#N/A,FALSE,"Sales Graph";#N/A,#N/A,FALSE,"BUC Graph";#N/A,#N/A,FALSE,"P&amp;L - YTD"}</definedName>
    <definedName name="was_1_1" localSheetId="6" hidden="1">{#N/A,#N/A,FALSE,"Sales Graph";#N/A,#N/A,FALSE,"BUC Graph";#N/A,#N/A,FALSE,"P&amp;L - YTD"}</definedName>
    <definedName name="was_1_1" hidden="1">{#N/A,#N/A,FALSE,"Sales Graph";#N/A,#N/A,FALSE,"BUC Graph";#N/A,#N/A,FALSE,"P&amp;L - YTD"}</definedName>
    <definedName name="was_2" localSheetId="0" hidden="1">{#N/A,#N/A,FALSE,"Sales Graph";#N/A,#N/A,FALSE,"BUC Graph";#N/A,#N/A,FALSE,"P&amp;L - YTD"}</definedName>
    <definedName name="was_2" localSheetId="6" hidden="1">{#N/A,#N/A,FALSE,"Sales Graph";#N/A,#N/A,FALSE,"BUC Graph";#N/A,#N/A,FALSE,"P&amp;L - YTD"}</definedName>
    <definedName name="was_2" hidden="1">{#N/A,#N/A,FALSE,"Sales Graph";#N/A,#N/A,FALSE,"BUC Graph";#N/A,#N/A,FALSE,"P&amp;L - YTD"}</definedName>
    <definedName name="was_3" localSheetId="0" hidden="1">{#N/A,#N/A,FALSE,"Sales Graph";#N/A,#N/A,FALSE,"BUC Graph";#N/A,#N/A,FALSE,"P&amp;L - YTD"}</definedName>
    <definedName name="was_3" localSheetId="6" hidden="1">{#N/A,#N/A,FALSE,"Sales Graph";#N/A,#N/A,FALSE,"BUC Graph";#N/A,#N/A,FALSE,"P&amp;L - YTD"}</definedName>
    <definedName name="was_3" hidden="1">{#N/A,#N/A,FALSE,"Sales Graph";#N/A,#N/A,FALSE,"BUC Graph";#N/A,#N/A,FALSE,"P&amp;L - YTD"}</definedName>
    <definedName name="was_4" localSheetId="0" hidden="1">{#N/A,#N/A,FALSE,"Sales Graph";#N/A,#N/A,FALSE,"BUC Graph";#N/A,#N/A,FALSE,"P&amp;L - YTD"}</definedName>
    <definedName name="was_4" localSheetId="6" hidden="1">{#N/A,#N/A,FALSE,"Sales Graph";#N/A,#N/A,FALSE,"BUC Graph";#N/A,#N/A,FALSE,"P&amp;L - YTD"}</definedName>
    <definedName name="was_4" hidden="1">{#N/A,#N/A,FALSE,"Sales Graph";#N/A,#N/A,FALSE,"BUC Graph";#N/A,#N/A,FALSE,"P&amp;L - YTD"}</definedName>
    <definedName name="was_5" localSheetId="0" hidden="1">{#N/A,#N/A,FALSE,"Sales Graph";#N/A,#N/A,FALSE,"BUC Graph";#N/A,#N/A,FALSE,"P&amp;L - YTD"}</definedName>
    <definedName name="was_5" localSheetId="6" hidden="1">{#N/A,#N/A,FALSE,"Sales Graph";#N/A,#N/A,FALSE,"BUC Graph";#N/A,#N/A,FALSE,"P&amp;L - YTD"}</definedName>
    <definedName name="was_5" hidden="1">{#N/A,#N/A,FALSE,"Sales Graph";#N/A,#N/A,FALSE,"BUC Graph";#N/A,#N/A,FALSE,"P&amp;L - YTD"}</definedName>
    <definedName name="waterval" localSheetId="6" hidden="1">{#N/A,#N/A,TRUE,"Titel";#N/A,#N/A,TRUE,"Titel en voorbladen";#N/A,#N/A,TRUE,"Tabblad Formatie 1";#N/A,#N/A,TRUE,"Formatiebegroting Bijlage . 1";#N/A,#N/A,TRUE,"Tabblad Toelichting 2";#N/A,#N/A,TRUE,"Toelichting Budget Bijlage 2";#N/A,#N/A,TRUE,"Tabblad Invloed 3";#N/A,#N/A,TRUE,"Invloed Bijlage 3";#N/A,#N/A,TRUE,"Tabblad  strategisch niveau 4 ";#N/A,#N/A,TRUE,"Strategisch niveau Bijlage 4";#N/A,#N/A,TRUE,"Tabblad Tactisch niveau 5 ";#N/A,#N/A,TRUE,"Tactisch niveau Bijlage 5";#N/A,#N/A,TRUE,"Tabblad Kosten Operation. niv 6";#N/A,#N/A,TRUE,"Operationeel niveau Bijlage  6";#N/A,#N/A,TRUE,"Tabblad LE overzichten 7 ";#N/A,#N/A,TRUE,"LE overzichten 7";#N/A,#N/A,TRUE,"Tabblad Afdelingen en M2 8";#N/A,#N/A,TRUE,"M2 en afdelingen 8";#N/A,#N/A,TRUE,"Tabblad Doorbelstingspr 9 ";#N/A,#N/A,TRUE,"Doorbelast. procedure Bijlage 9";#N/A,#N/A,TRUE,"Tabblad MTP 10";#N/A,#N/A,TRUE,"MTP  2005  2009 Bijlage 10";#N/A,#N/A,TRUE,"Tabblad Besparingsvoorst. 11";#N/A,#N/A,TRUE,"Besparingsvoorstellen 11";#N/A,#N/A,TRUE,"Tabblad Opleidingskosten 12";#N/A,#N/A,TRUE,"Opleidingskosten 12";#N/A,#N/A,TRUE,"Tabblad Bijlagen 13";#N/A,#N/A,TRUE,"Bijlagen 13";#N/A,#N/A,TRUE,"Tabblad Cateringkosten 14";#N/A,#N/A,TRUE,"Cateringkosten  14";#N/A,#N/A,TRUE,"Tabblad Energiekosten 15";#N/A,#N/A,TRUE,"Energiekosten 15";#N/A,#N/A,TRUE,"Tabblad Copieerkosten 16";#N/A,#N/A,TRUE," Copieerkosten 16"}</definedName>
    <definedName name="waterval" hidden="1">{#N/A,#N/A,TRUE,"Titel";#N/A,#N/A,TRUE,"Titel en voorbladen";#N/A,#N/A,TRUE,"Tabblad Formatie 1";#N/A,#N/A,TRUE,"Formatiebegroting Bijlage . 1";#N/A,#N/A,TRUE,"Tabblad Toelichting 2";#N/A,#N/A,TRUE,"Toelichting Budget Bijlage 2";#N/A,#N/A,TRUE,"Tabblad Invloed 3";#N/A,#N/A,TRUE,"Invloed Bijlage 3";#N/A,#N/A,TRUE,"Tabblad  strategisch niveau 4 ";#N/A,#N/A,TRUE,"Strategisch niveau Bijlage 4";#N/A,#N/A,TRUE,"Tabblad Tactisch niveau 5 ";#N/A,#N/A,TRUE,"Tactisch niveau Bijlage 5";#N/A,#N/A,TRUE,"Tabblad Kosten Operation. niv 6";#N/A,#N/A,TRUE,"Operationeel niveau Bijlage  6";#N/A,#N/A,TRUE,"Tabblad LE overzichten 7 ";#N/A,#N/A,TRUE,"LE overzichten 7";#N/A,#N/A,TRUE,"Tabblad Afdelingen en M2 8";#N/A,#N/A,TRUE,"M2 en afdelingen 8";#N/A,#N/A,TRUE,"Tabblad Doorbelstingspr 9 ";#N/A,#N/A,TRUE,"Doorbelast. procedure Bijlage 9";#N/A,#N/A,TRUE,"Tabblad MTP 10";#N/A,#N/A,TRUE,"MTP  2005  2009 Bijlage 10";#N/A,#N/A,TRUE,"Tabblad Besparingsvoorst. 11";#N/A,#N/A,TRUE,"Besparingsvoorstellen 11";#N/A,#N/A,TRUE,"Tabblad Opleidingskosten 12";#N/A,#N/A,TRUE,"Opleidingskosten 12";#N/A,#N/A,TRUE,"Tabblad Bijlagen 13";#N/A,#N/A,TRUE,"Bijlagen 13";#N/A,#N/A,TRUE,"Tabblad Cateringkosten 14";#N/A,#N/A,TRUE,"Cateringkosten  14";#N/A,#N/A,TRUE,"Tabblad Energiekosten 15";#N/A,#N/A,TRUE,"Energiekosten 15";#N/A,#N/A,TRUE,"Tabblad Copieerkosten 16";#N/A,#N/A,TRUE," Copieerkosten 16"}</definedName>
    <definedName name="watford" localSheetId="0" hidden="1">{#N/A,#N/A,TRUE,"Cover";#N/A,#N/A,TRUE,"Sum";#N/A,#N/A,TRUE,"SubsRev";#N/A,#N/A,TRUE,"CapEx";#N/A,#N/A,TRUE,"OpEx";#N/A,#N/A,TRUE,"SUs";#N/A,#N/A,TRUE,"OrgChart";#N/A,#N/A,TRUE,"Staff";#N/A,#N/A,TRUE,"P&amp;L";#N/A,#N/A,TRUE,"Cash";#N/A,#N/A,TRUE,"BS";#N/A,#N/A,TRUE,"Valuation";#N/A,#N/A,TRUE,"CapEx-Assumptions";#N/A,#N/A,TRUE,"OpEx-Assumptions"}</definedName>
    <definedName name="watford" localSheetId="6" hidden="1">{#N/A,#N/A,TRUE,"Cover";#N/A,#N/A,TRUE,"Sum";#N/A,#N/A,TRUE,"SubsRev";#N/A,#N/A,TRUE,"CapEx";#N/A,#N/A,TRUE,"OpEx";#N/A,#N/A,TRUE,"SUs";#N/A,#N/A,TRUE,"OrgChart";#N/A,#N/A,TRUE,"Staff";#N/A,#N/A,TRUE,"P&amp;L";#N/A,#N/A,TRUE,"Cash";#N/A,#N/A,TRUE,"BS";#N/A,#N/A,TRUE,"Valuation";#N/A,#N/A,TRUE,"CapEx-Assumptions";#N/A,#N/A,TRUE,"OpEx-Assumptions"}</definedName>
    <definedName name="watford" hidden="1">{#N/A,#N/A,TRUE,"Cover";#N/A,#N/A,TRUE,"Sum";#N/A,#N/A,TRUE,"SubsRev";#N/A,#N/A,TRUE,"CapEx";#N/A,#N/A,TRUE,"OpEx";#N/A,#N/A,TRUE,"SUs";#N/A,#N/A,TRUE,"OrgChart";#N/A,#N/A,TRUE,"Staff";#N/A,#N/A,TRUE,"P&amp;L";#N/A,#N/A,TRUE,"Cash";#N/A,#N/A,TRUE,"BS";#N/A,#N/A,TRUE,"Valuation";#N/A,#N/A,TRUE,"CapEx-Assumptions";#N/A,#N/A,TRUE,"OpEx-Assumptions"}</definedName>
    <definedName name="wb" localSheetId="0" hidden="1">{#N/A,#N/A,FALSE,"Pharm";#N/A,#N/A,FALSE,"WWCM"}</definedName>
    <definedName name="wb" localSheetId="6" hidden="1">{#N/A,#N/A,FALSE,"Pharm";#N/A,#N/A,FALSE,"WWCM"}</definedName>
    <definedName name="wb" hidden="1">{#N/A,#N/A,FALSE,"Pharm";#N/A,#N/A,FALSE,"WWCM"}</definedName>
    <definedName name="wb_1" localSheetId="0" hidden="1">{#N/A,#N/A,FALSE,"Pharm";#N/A,#N/A,FALSE,"WWCM"}</definedName>
    <definedName name="wb_1" localSheetId="6" hidden="1">{#N/A,#N/A,FALSE,"Pharm";#N/A,#N/A,FALSE,"WWCM"}</definedName>
    <definedName name="wb_1" hidden="1">{#N/A,#N/A,FALSE,"Pharm";#N/A,#N/A,FALSE,"WWCM"}</definedName>
    <definedName name="wb_1_1" localSheetId="0" hidden="1">{#N/A,#N/A,FALSE,"Pharm";#N/A,#N/A,FALSE,"WWCM"}</definedName>
    <definedName name="wb_1_1" localSheetId="6" hidden="1">{#N/A,#N/A,FALSE,"Pharm";#N/A,#N/A,FALSE,"WWCM"}</definedName>
    <definedName name="wb_1_1" hidden="1">{#N/A,#N/A,FALSE,"Pharm";#N/A,#N/A,FALSE,"WWCM"}</definedName>
    <definedName name="wb_2" localSheetId="0" hidden="1">{#N/A,#N/A,FALSE,"Pharm";#N/A,#N/A,FALSE,"WWCM"}</definedName>
    <definedName name="wb_2" localSheetId="6" hidden="1">{#N/A,#N/A,FALSE,"Pharm";#N/A,#N/A,FALSE,"WWCM"}</definedName>
    <definedName name="wb_2" hidden="1">{#N/A,#N/A,FALSE,"Pharm";#N/A,#N/A,FALSE,"WWCM"}</definedName>
    <definedName name="wb_3" localSheetId="0" hidden="1">{#N/A,#N/A,FALSE,"Pharm";#N/A,#N/A,FALSE,"WWCM"}</definedName>
    <definedName name="wb_3" localSheetId="6" hidden="1">{#N/A,#N/A,FALSE,"Pharm";#N/A,#N/A,FALSE,"WWCM"}</definedName>
    <definedName name="wb_3" hidden="1">{#N/A,#N/A,FALSE,"Pharm";#N/A,#N/A,FALSE,"WWCM"}</definedName>
    <definedName name="wb_4" localSheetId="0" hidden="1">{#N/A,#N/A,FALSE,"Pharm";#N/A,#N/A,FALSE,"WWCM"}</definedName>
    <definedName name="wb_4" localSheetId="6" hidden="1">{#N/A,#N/A,FALSE,"Pharm";#N/A,#N/A,FALSE,"WWCM"}</definedName>
    <definedName name="wb_4" hidden="1">{#N/A,#N/A,FALSE,"Pharm";#N/A,#N/A,FALSE,"WWCM"}</definedName>
    <definedName name="wb_5" localSheetId="0" hidden="1">{#N/A,#N/A,FALSE,"Pharm";#N/A,#N/A,FALSE,"WWCM"}</definedName>
    <definedName name="wb_5" localSheetId="6" hidden="1">{#N/A,#N/A,FALSE,"Pharm";#N/A,#N/A,FALSE,"WWCM"}</definedName>
    <definedName name="wb_5" hidden="1">{#N/A,#N/A,FALSE,"Pharm";#N/A,#N/A,FALSE,"WWCM"}</definedName>
    <definedName name="wc">#REF!</definedName>
    <definedName name="wc_1" localSheetId="0" hidden="1">{#N/A,#N/A,FALSE,"Pharm";#N/A,#N/A,FALSE,"WWCM"}</definedName>
    <definedName name="wc_1" localSheetId="6" hidden="1">{#N/A,#N/A,FALSE,"Pharm";#N/A,#N/A,FALSE,"WWCM"}</definedName>
    <definedName name="wc_1" hidden="1">{#N/A,#N/A,FALSE,"Pharm";#N/A,#N/A,FALSE,"WWCM"}</definedName>
    <definedName name="wc_1_1" localSheetId="0" hidden="1">{#N/A,#N/A,FALSE,"Pharm";#N/A,#N/A,FALSE,"WWCM"}</definedName>
    <definedName name="wc_1_1" localSheetId="6" hidden="1">{#N/A,#N/A,FALSE,"Pharm";#N/A,#N/A,FALSE,"WWCM"}</definedName>
    <definedName name="wc_1_1" hidden="1">{#N/A,#N/A,FALSE,"Pharm";#N/A,#N/A,FALSE,"WWCM"}</definedName>
    <definedName name="wc_2" localSheetId="0" hidden="1">{#N/A,#N/A,FALSE,"Pharm";#N/A,#N/A,FALSE,"WWCM"}</definedName>
    <definedName name="wc_2" localSheetId="6" hidden="1">{#N/A,#N/A,FALSE,"Pharm";#N/A,#N/A,FALSE,"WWCM"}</definedName>
    <definedName name="wc_2" hidden="1">{#N/A,#N/A,FALSE,"Pharm";#N/A,#N/A,FALSE,"WWCM"}</definedName>
    <definedName name="wc_3" localSheetId="0" hidden="1">{#N/A,#N/A,FALSE,"Pharm";#N/A,#N/A,FALSE,"WWCM"}</definedName>
    <definedName name="wc_3" localSheetId="6" hidden="1">{#N/A,#N/A,FALSE,"Pharm";#N/A,#N/A,FALSE,"WWCM"}</definedName>
    <definedName name="wc_3" hidden="1">{#N/A,#N/A,FALSE,"Pharm";#N/A,#N/A,FALSE,"WWCM"}</definedName>
    <definedName name="wc_4" localSheetId="0" hidden="1">{#N/A,#N/A,FALSE,"Pharm";#N/A,#N/A,FALSE,"WWCM"}</definedName>
    <definedName name="wc_4" localSheetId="6" hidden="1">{#N/A,#N/A,FALSE,"Pharm";#N/A,#N/A,FALSE,"WWCM"}</definedName>
    <definedName name="wc_4" hidden="1">{#N/A,#N/A,FALSE,"Pharm";#N/A,#N/A,FALSE,"WWCM"}</definedName>
    <definedName name="wc_5" localSheetId="0" hidden="1">{#N/A,#N/A,FALSE,"Pharm";#N/A,#N/A,FALSE,"WWCM"}</definedName>
    <definedName name="wc_5" localSheetId="6" hidden="1">{#N/A,#N/A,FALSE,"Pharm";#N/A,#N/A,FALSE,"WWCM"}</definedName>
    <definedName name="wc_5" hidden="1">{#N/A,#N/A,FALSE,"Pharm";#N/A,#N/A,FALSE,"WWCM"}</definedName>
    <definedName name="WC_accruals">#REF!</definedName>
    <definedName name="WC_advances_customers">#REF!</definedName>
    <definedName name="WC_Advances_suppliers">#REF!</definedName>
    <definedName name="WC_Changes">#REF!</definedName>
    <definedName name="WC_Due_from_RP">#REF!</definedName>
    <definedName name="WC_Due_to_RP">#REF!</definedName>
    <definedName name="WC_Inventory">#REF!</definedName>
    <definedName name="WC_prepayments">#REF!</definedName>
    <definedName name="WC_TP">#REF!</definedName>
    <definedName name="WC_TR">#REF!</definedName>
    <definedName name="WCa">#REF!</definedName>
    <definedName name="wcom" localSheetId="6" hidden="1">{"IS",#N/A,FALSE,"IS";"RPTIS",#N/A,FALSE,"RPTIS";"STATS",#N/A,FALSE,"STATS";"BS",#N/A,FALSE,"BS"}</definedName>
    <definedName name="wcom" hidden="1">{"IS",#N/A,FALSE,"IS";"RPTIS",#N/A,FALSE,"RPTIS";"STATS",#N/A,FALSE,"STATS";"BS",#N/A,FALSE,"BS"}</definedName>
    <definedName name="wdwtj" localSheetId="6" hidden="1">{#N/A,#N/A,FALSE,"Calculator"}</definedName>
    <definedName name="wdwtj" hidden="1">{#N/A,#N/A,FALSE,"Calculator"}</definedName>
    <definedName name="wdwtj_1" localSheetId="6" hidden="1">{#N/A,#N/A,FALSE,"Calculator"}</definedName>
    <definedName name="wdwtj_1" hidden="1">{#N/A,#N/A,FALSE,"Calculator"}</definedName>
    <definedName name="we" localSheetId="0" hidden="1">{"Graphic",#N/A,TRUE,"Graphic"}</definedName>
    <definedName name="we" localSheetId="6" hidden="1">{"Graphic",#N/A,TRUE,"Graphic"}</definedName>
    <definedName name="we" hidden="1">{"Graphic",#N/A,TRUE,"Graphic"}</definedName>
    <definedName name="we.3" localSheetId="0" hidden="1">{#N/A,#N/A,FALSE,"PMW Gruppe 99_98";#N/A,#N/A,FALSE,"PMW KG 98_99";#N/A,#N/A,FALSE,"PMW Inc. 99_98";#N/A,#N/A,FALSE,"PMW VTECH 99_98";#N/A,#N/A,FALSE,"PMW Thail. 99_98";#N/A,#N/A,FALSE,"PMW Canada 99_98";#N/A,#N/A,FALSE,"Währungsabw. 99_98"}</definedName>
    <definedName name="we.3" localSheetId="6" hidden="1">{#N/A,#N/A,FALSE,"PMW Gruppe 99_98";#N/A,#N/A,FALSE,"PMW KG 98_99";#N/A,#N/A,FALSE,"PMW Inc. 99_98";#N/A,#N/A,FALSE,"PMW VTECH 99_98";#N/A,#N/A,FALSE,"PMW Thail. 99_98";#N/A,#N/A,FALSE,"PMW Canada 99_98";#N/A,#N/A,FALSE,"Währungsabw. 99_98"}</definedName>
    <definedName name="we.3" hidden="1">{#N/A,#N/A,FALSE,"PMW Gruppe 99_98";#N/A,#N/A,FALSE,"PMW KG 98_99";#N/A,#N/A,FALSE,"PMW Inc. 99_98";#N/A,#N/A,FALSE,"PMW VTECH 99_98";#N/A,#N/A,FALSE,"PMW Thail. 99_98";#N/A,#N/A,FALSE,"PMW Canada 99_98";#N/A,#N/A,FALSE,"Währungsabw. 99_98"}</definedName>
    <definedName name="we.3_1" localSheetId="0" hidden="1">{#N/A,#N/A,FALSE,"PMW Gruppe 99_98";#N/A,#N/A,FALSE,"PMW KG 98_99";#N/A,#N/A,FALSE,"PMW Inc. 99_98";#N/A,#N/A,FALSE,"PMW VTECH 99_98";#N/A,#N/A,FALSE,"PMW Thail. 99_98";#N/A,#N/A,FALSE,"PMW Canada 99_98";#N/A,#N/A,FALSE,"Währungsabw. 99_98"}</definedName>
    <definedName name="we.3_1" localSheetId="6" hidden="1">{#N/A,#N/A,FALSE,"PMW Gruppe 99_98";#N/A,#N/A,FALSE,"PMW KG 98_99";#N/A,#N/A,FALSE,"PMW Inc. 99_98";#N/A,#N/A,FALSE,"PMW VTECH 99_98";#N/A,#N/A,FALSE,"PMW Thail. 99_98";#N/A,#N/A,FALSE,"PMW Canada 99_98";#N/A,#N/A,FALSE,"Währungsabw. 99_98"}</definedName>
    <definedName name="we.3_1" hidden="1">{#N/A,#N/A,FALSE,"PMW Gruppe 99_98";#N/A,#N/A,FALSE,"PMW KG 98_99";#N/A,#N/A,FALSE,"PMW Inc. 99_98";#N/A,#N/A,FALSE,"PMW VTECH 99_98";#N/A,#N/A,FALSE,"PMW Thail. 99_98";#N/A,#N/A,FALSE,"PMW Canada 99_98";#N/A,#N/A,FALSE,"Währungsabw. 99_98"}</definedName>
    <definedName name="we.3_1_1" localSheetId="0" hidden="1">{#N/A,#N/A,FALSE,"PMW Gruppe 99_98";#N/A,#N/A,FALSE,"PMW KG 98_99";#N/A,#N/A,FALSE,"PMW Inc. 99_98";#N/A,#N/A,FALSE,"PMW VTECH 99_98";#N/A,#N/A,FALSE,"PMW Thail. 99_98";#N/A,#N/A,FALSE,"PMW Canada 99_98";#N/A,#N/A,FALSE,"Währungsabw. 99_98"}</definedName>
    <definedName name="we.3_1_1" localSheetId="6" hidden="1">{#N/A,#N/A,FALSE,"PMW Gruppe 99_98";#N/A,#N/A,FALSE,"PMW KG 98_99";#N/A,#N/A,FALSE,"PMW Inc. 99_98";#N/A,#N/A,FALSE,"PMW VTECH 99_98";#N/A,#N/A,FALSE,"PMW Thail. 99_98";#N/A,#N/A,FALSE,"PMW Canada 99_98";#N/A,#N/A,FALSE,"Währungsabw. 99_98"}</definedName>
    <definedName name="we.3_1_1" hidden="1">{#N/A,#N/A,FALSE,"PMW Gruppe 99_98";#N/A,#N/A,FALSE,"PMW KG 98_99";#N/A,#N/A,FALSE,"PMW Inc. 99_98";#N/A,#N/A,FALSE,"PMW VTECH 99_98";#N/A,#N/A,FALSE,"PMW Thail. 99_98";#N/A,#N/A,FALSE,"PMW Canada 99_98";#N/A,#N/A,FALSE,"Währungsabw. 99_98"}</definedName>
    <definedName name="we.3_2" localSheetId="0" hidden="1">{#N/A,#N/A,FALSE,"PMW Gruppe 99_98";#N/A,#N/A,FALSE,"PMW KG 98_99";#N/A,#N/A,FALSE,"PMW Inc. 99_98";#N/A,#N/A,FALSE,"PMW VTECH 99_98";#N/A,#N/A,FALSE,"PMW Thail. 99_98";#N/A,#N/A,FALSE,"PMW Canada 99_98";#N/A,#N/A,FALSE,"Währungsabw. 99_98"}</definedName>
    <definedName name="we.3_2" localSheetId="6" hidden="1">{#N/A,#N/A,FALSE,"PMW Gruppe 99_98";#N/A,#N/A,FALSE,"PMW KG 98_99";#N/A,#N/A,FALSE,"PMW Inc. 99_98";#N/A,#N/A,FALSE,"PMW VTECH 99_98";#N/A,#N/A,FALSE,"PMW Thail. 99_98";#N/A,#N/A,FALSE,"PMW Canada 99_98";#N/A,#N/A,FALSE,"Währungsabw. 99_98"}</definedName>
    <definedName name="we.3_2" hidden="1">{#N/A,#N/A,FALSE,"PMW Gruppe 99_98";#N/A,#N/A,FALSE,"PMW KG 98_99";#N/A,#N/A,FALSE,"PMW Inc. 99_98";#N/A,#N/A,FALSE,"PMW VTECH 99_98";#N/A,#N/A,FALSE,"PMW Thail. 99_98";#N/A,#N/A,FALSE,"PMW Canada 99_98";#N/A,#N/A,FALSE,"Währungsabw. 99_98"}</definedName>
    <definedName name="we.3_3" localSheetId="0" hidden="1">{#N/A,#N/A,FALSE,"PMW Gruppe 99_98";#N/A,#N/A,FALSE,"PMW KG 98_99";#N/A,#N/A,FALSE,"PMW Inc. 99_98";#N/A,#N/A,FALSE,"PMW VTECH 99_98";#N/A,#N/A,FALSE,"PMW Thail. 99_98";#N/A,#N/A,FALSE,"PMW Canada 99_98";#N/A,#N/A,FALSE,"Währungsabw. 99_98"}</definedName>
    <definedName name="we.3_3" localSheetId="6" hidden="1">{#N/A,#N/A,FALSE,"PMW Gruppe 99_98";#N/A,#N/A,FALSE,"PMW KG 98_99";#N/A,#N/A,FALSE,"PMW Inc. 99_98";#N/A,#N/A,FALSE,"PMW VTECH 99_98";#N/A,#N/A,FALSE,"PMW Thail. 99_98";#N/A,#N/A,FALSE,"PMW Canada 99_98";#N/A,#N/A,FALSE,"Währungsabw. 99_98"}</definedName>
    <definedName name="we.3_3" hidden="1">{#N/A,#N/A,FALSE,"PMW Gruppe 99_98";#N/A,#N/A,FALSE,"PMW KG 98_99";#N/A,#N/A,FALSE,"PMW Inc. 99_98";#N/A,#N/A,FALSE,"PMW VTECH 99_98";#N/A,#N/A,FALSE,"PMW Thail. 99_98";#N/A,#N/A,FALSE,"PMW Canada 99_98";#N/A,#N/A,FALSE,"Währungsabw. 99_98"}</definedName>
    <definedName name="we.3_4" localSheetId="0" hidden="1">{#N/A,#N/A,FALSE,"PMW Gruppe 99_98";#N/A,#N/A,FALSE,"PMW KG 98_99";#N/A,#N/A,FALSE,"PMW Inc. 99_98";#N/A,#N/A,FALSE,"PMW VTECH 99_98";#N/A,#N/A,FALSE,"PMW Thail. 99_98";#N/A,#N/A,FALSE,"PMW Canada 99_98";#N/A,#N/A,FALSE,"Währungsabw. 99_98"}</definedName>
    <definedName name="we.3_4" localSheetId="6" hidden="1">{#N/A,#N/A,FALSE,"PMW Gruppe 99_98";#N/A,#N/A,FALSE,"PMW KG 98_99";#N/A,#N/A,FALSE,"PMW Inc. 99_98";#N/A,#N/A,FALSE,"PMW VTECH 99_98";#N/A,#N/A,FALSE,"PMW Thail. 99_98";#N/A,#N/A,FALSE,"PMW Canada 99_98";#N/A,#N/A,FALSE,"Währungsabw. 99_98"}</definedName>
    <definedName name="we.3_4" hidden="1">{#N/A,#N/A,FALSE,"PMW Gruppe 99_98";#N/A,#N/A,FALSE,"PMW KG 98_99";#N/A,#N/A,FALSE,"PMW Inc. 99_98";#N/A,#N/A,FALSE,"PMW VTECH 99_98";#N/A,#N/A,FALSE,"PMW Thail. 99_98";#N/A,#N/A,FALSE,"PMW Canada 99_98";#N/A,#N/A,FALSE,"Währungsabw. 99_98"}</definedName>
    <definedName name="we.3_5" localSheetId="0" hidden="1">{#N/A,#N/A,FALSE,"PMW Gruppe 99_98";#N/A,#N/A,FALSE,"PMW KG 98_99";#N/A,#N/A,FALSE,"PMW Inc. 99_98";#N/A,#N/A,FALSE,"PMW VTECH 99_98";#N/A,#N/A,FALSE,"PMW Thail. 99_98";#N/A,#N/A,FALSE,"PMW Canada 99_98";#N/A,#N/A,FALSE,"Währungsabw. 99_98"}</definedName>
    <definedName name="we.3_5" localSheetId="6" hidden="1">{#N/A,#N/A,FALSE,"PMW Gruppe 99_98";#N/A,#N/A,FALSE,"PMW KG 98_99";#N/A,#N/A,FALSE,"PMW Inc. 99_98";#N/A,#N/A,FALSE,"PMW VTECH 99_98";#N/A,#N/A,FALSE,"PMW Thail. 99_98";#N/A,#N/A,FALSE,"PMW Canada 99_98";#N/A,#N/A,FALSE,"Währungsabw. 99_98"}</definedName>
    <definedName name="we.3_5" hidden="1">{#N/A,#N/A,FALSE,"PMW Gruppe 99_98";#N/A,#N/A,FALSE,"PMW KG 98_99";#N/A,#N/A,FALSE,"PMW Inc. 99_98";#N/A,#N/A,FALSE,"PMW VTECH 99_98";#N/A,#N/A,FALSE,"PMW Thail. 99_98";#N/A,#N/A,FALSE,"PMW Canada 99_98";#N/A,#N/A,FALSE,"Währungsabw. 99_98"}</definedName>
    <definedName name="we.gb.gg" localSheetId="0" hidden="1">{#N/A,#N/A,FALSE,"Umsatz HM";#N/A,#N/A,FALSE,"ER HM";#N/A,#N/A,FALSE,"EA HM  (2)";#N/A,#N/A,FALSE,"EA HM ";#N/A,#N/A,FALSE,"EA HM  (4)";#N/A,#N/A,FALSE,"EA HM  (3)";#N/A,#N/A,FALSE,"KA HM  (2)";#N/A,#N/A,FALSE,"KA HM";#N/A,#N/A,FALSE,"KA HM  (3)";#N/A,#N/A,FALSE,"KA HM (4)"}</definedName>
    <definedName name="we.gb.gg" localSheetId="6" hidden="1">{#N/A,#N/A,FALSE,"Umsatz HM";#N/A,#N/A,FALSE,"ER HM";#N/A,#N/A,FALSE,"EA HM  (2)";#N/A,#N/A,FALSE,"EA HM ";#N/A,#N/A,FALSE,"EA HM  (4)";#N/A,#N/A,FALSE,"EA HM  (3)";#N/A,#N/A,FALSE,"KA HM  (2)";#N/A,#N/A,FALSE,"KA HM";#N/A,#N/A,FALSE,"KA HM  (3)";#N/A,#N/A,FALSE,"KA HM (4)"}</definedName>
    <definedName name="we.gb.gg" hidden="1">{#N/A,#N/A,FALSE,"Umsatz HM";#N/A,#N/A,FALSE,"ER HM";#N/A,#N/A,FALSE,"EA HM  (2)";#N/A,#N/A,FALSE,"EA HM ";#N/A,#N/A,FALSE,"EA HM  (4)";#N/A,#N/A,FALSE,"EA HM  (3)";#N/A,#N/A,FALSE,"KA HM  (2)";#N/A,#N/A,FALSE,"KA HM";#N/A,#N/A,FALSE,"KA HM  (3)";#N/A,#N/A,FALSE,"KA HM (4)"}</definedName>
    <definedName name="we.gb.gg_1" localSheetId="0" hidden="1">{#N/A,#N/A,FALSE,"Umsatz HM";#N/A,#N/A,FALSE,"ER HM";#N/A,#N/A,FALSE,"EA HM  (2)";#N/A,#N/A,FALSE,"EA HM ";#N/A,#N/A,FALSE,"EA HM  (4)";#N/A,#N/A,FALSE,"EA HM  (3)";#N/A,#N/A,FALSE,"KA HM  (2)";#N/A,#N/A,FALSE,"KA HM";#N/A,#N/A,FALSE,"KA HM  (3)";#N/A,#N/A,FALSE,"KA HM (4)"}</definedName>
    <definedName name="we.gb.gg_1" localSheetId="6" hidden="1">{#N/A,#N/A,FALSE,"Umsatz HM";#N/A,#N/A,FALSE,"ER HM";#N/A,#N/A,FALSE,"EA HM  (2)";#N/A,#N/A,FALSE,"EA HM ";#N/A,#N/A,FALSE,"EA HM  (4)";#N/A,#N/A,FALSE,"EA HM  (3)";#N/A,#N/A,FALSE,"KA HM  (2)";#N/A,#N/A,FALSE,"KA HM";#N/A,#N/A,FALSE,"KA HM  (3)";#N/A,#N/A,FALSE,"KA HM (4)"}</definedName>
    <definedName name="we.gb.gg_1" hidden="1">{#N/A,#N/A,FALSE,"Umsatz HM";#N/A,#N/A,FALSE,"ER HM";#N/A,#N/A,FALSE,"EA HM  (2)";#N/A,#N/A,FALSE,"EA HM ";#N/A,#N/A,FALSE,"EA HM  (4)";#N/A,#N/A,FALSE,"EA HM  (3)";#N/A,#N/A,FALSE,"KA HM  (2)";#N/A,#N/A,FALSE,"KA HM";#N/A,#N/A,FALSE,"KA HM  (3)";#N/A,#N/A,FALSE,"KA HM (4)"}</definedName>
    <definedName name="we.gb.gg_1_1" localSheetId="0" hidden="1">{#N/A,#N/A,FALSE,"Umsatz HM";#N/A,#N/A,FALSE,"ER HM";#N/A,#N/A,FALSE,"EA HM  (2)";#N/A,#N/A,FALSE,"EA HM ";#N/A,#N/A,FALSE,"EA HM  (4)";#N/A,#N/A,FALSE,"EA HM  (3)";#N/A,#N/A,FALSE,"KA HM  (2)";#N/A,#N/A,FALSE,"KA HM";#N/A,#N/A,FALSE,"KA HM  (3)";#N/A,#N/A,FALSE,"KA HM (4)"}</definedName>
    <definedName name="we.gb.gg_1_1" localSheetId="6" hidden="1">{#N/A,#N/A,FALSE,"Umsatz HM";#N/A,#N/A,FALSE,"ER HM";#N/A,#N/A,FALSE,"EA HM  (2)";#N/A,#N/A,FALSE,"EA HM ";#N/A,#N/A,FALSE,"EA HM  (4)";#N/A,#N/A,FALSE,"EA HM  (3)";#N/A,#N/A,FALSE,"KA HM  (2)";#N/A,#N/A,FALSE,"KA HM";#N/A,#N/A,FALSE,"KA HM  (3)";#N/A,#N/A,FALSE,"KA HM (4)"}</definedName>
    <definedName name="we.gb.gg_1_1" hidden="1">{#N/A,#N/A,FALSE,"Umsatz HM";#N/A,#N/A,FALSE,"ER HM";#N/A,#N/A,FALSE,"EA HM  (2)";#N/A,#N/A,FALSE,"EA HM ";#N/A,#N/A,FALSE,"EA HM  (4)";#N/A,#N/A,FALSE,"EA HM  (3)";#N/A,#N/A,FALSE,"KA HM  (2)";#N/A,#N/A,FALSE,"KA HM";#N/A,#N/A,FALSE,"KA HM  (3)";#N/A,#N/A,FALSE,"KA HM (4)"}</definedName>
    <definedName name="we.gb.gg_2" localSheetId="0" hidden="1">{#N/A,#N/A,FALSE,"Umsatz HM";#N/A,#N/A,FALSE,"ER HM";#N/A,#N/A,FALSE,"EA HM  (2)";#N/A,#N/A,FALSE,"EA HM ";#N/A,#N/A,FALSE,"EA HM  (4)";#N/A,#N/A,FALSE,"EA HM  (3)";#N/A,#N/A,FALSE,"KA HM  (2)";#N/A,#N/A,FALSE,"KA HM";#N/A,#N/A,FALSE,"KA HM  (3)";#N/A,#N/A,FALSE,"KA HM (4)"}</definedName>
    <definedName name="we.gb.gg_2" localSheetId="6" hidden="1">{#N/A,#N/A,FALSE,"Umsatz HM";#N/A,#N/A,FALSE,"ER HM";#N/A,#N/A,FALSE,"EA HM  (2)";#N/A,#N/A,FALSE,"EA HM ";#N/A,#N/A,FALSE,"EA HM  (4)";#N/A,#N/A,FALSE,"EA HM  (3)";#N/A,#N/A,FALSE,"KA HM  (2)";#N/A,#N/A,FALSE,"KA HM";#N/A,#N/A,FALSE,"KA HM  (3)";#N/A,#N/A,FALSE,"KA HM (4)"}</definedName>
    <definedName name="we.gb.gg_2" hidden="1">{#N/A,#N/A,FALSE,"Umsatz HM";#N/A,#N/A,FALSE,"ER HM";#N/A,#N/A,FALSE,"EA HM  (2)";#N/A,#N/A,FALSE,"EA HM ";#N/A,#N/A,FALSE,"EA HM  (4)";#N/A,#N/A,FALSE,"EA HM  (3)";#N/A,#N/A,FALSE,"KA HM  (2)";#N/A,#N/A,FALSE,"KA HM";#N/A,#N/A,FALSE,"KA HM  (3)";#N/A,#N/A,FALSE,"KA HM (4)"}</definedName>
    <definedName name="we.gb.gg_3" localSheetId="0" hidden="1">{#N/A,#N/A,FALSE,"Umsatz HM";#N/A,#N/A,FALSE,"ER HM";#N/A,#N/A,FALSE,"EA HM  (2)";#N/A,#N/A,FALSE,"EA HM ";#N/A,#N/A,FALSE,"EA HM  (4)";#N/A,#N/A,FALSE,"EA HM  (3)";#N/A,#N/A,FALSE,"KA HM  (2)";#N/A,#N/A,FALSE,"KA HM";#N/A,#N/A,FALSE,"KA HM  (3)";#N/A,#N/A,FALSE,"KA HM (4)"}</definedName>
    <definedName name="we.gb.gg_3" localSheetId="6" hidden="1">{#N/A,#N/A,FALSE,"Umsatz HM";#N/A,#N/A,FALSE,"ER HM";#N/A,#N/A,FALSE,"EA HM  (2)";#N/A,#N/A,FALSE,"EA HM ";#N/A,#N/A,FALSE,"EA HM  (4)";#N/A,#N/A,FALSE,"EA HM  (3)";#N/A,#N/A,FALSE,"KA HM  (2)";#N/A,#N/A,FALSE,"KA HM";#N/A,#N/A,FALSE,"KA HM  (3)";#N/A,#N/A,FALSE,"KA HM (4)"}</definedName>
    <definedName name="we.gb.gg_3" hidden="1">{#N/A,#N/A,FALSE,"Umsatz HM";#N/A,#N/A,FALSE,"ER HM";#N/A,#N/A,FALSE,"EA HM  (2)";#N/A,#N/A,FALSE,"EA HM ";#N/A,#N/A,FALSE,"EA HM  (4)";#N/A,#N/A,FALSE,"EA HM  (3)";#N/A,#N/A,FALSE,"KA HM  (2)";#N/A,#N/A,FALSE,"KA HM";#N/A,#N/A,FALSE,"KA HM  (3)";#N/A,#N/A,FALSE,"KA HM (4)"}</definedName>
    <definedName name="we.gb.gg_4" localSheetId="0" hidden="1">{#N/A,#N/A,FALSE,"Umsatz HM";#N/A,#N/A,FALSE,"ER HM";#N/A,#N/A,FALSE,"EA HM  (2)";#N/A,#N/A,FALSE,"EA HM ";#N/A,#N/A,FALSE,"EA HM  (4)";#N/A,#N/A,FALSE,"EA HM  (3)";#N/A,#N/A,FALSE,"KA HM  (2)";#N/A,#N/A,FALSE,"KA HM";#N/A,#N/A,FALSE,"KA HM  (3)";#N/A,#N/A,FALSE,"KA HM (4)"}</definedName>
    <definedName name="we.gb.gg_4" localSheetId="6" hidden="1">{#N/A,#N/A,FALSE,"Umsatz HM";#N/A,#N/A,FALSE,"ER HM";#N/A,#N/A,FALSE,"EA HM  (2)";#N/A,#N/A,FALSE,"EA HM ";#N/A,#N/A,FALSE,"EA HM  (4)";#N/A,#N/A,FALSE,"EA HM  (3)";#N/A,#N/A,FALSE,"KA HM  (2)";#N/A,#N/A,FALSE,"KA HM";#N/A,#N/A,FALSE,"KA HM  (3)";#N/A,#N/A,FALSE,"KA HM (4)"}</definedName>
    <definedName name="we.gb.gg_4" hidden="1">{#N/A,#N/A,FALSE,"Umsatz HM";#N/A,#N/A,FALSE,"ER HM";#N/A,#N/A,FALSE,"EA HM  (2)";#N/A,#N/A,FALSE,"EA HM ";#N/A,#N/A,FALSE,"EA HM  (4)";#N/A,#N/A,FALSE,"EA HM  (3)";#N/A,#N/A,FALSE,"KA HM  (2)";#N/A,#N/A,FALSE,"KA HM";#N/A,#N/A,FALSE,"KA HM  (3)";#N/A,#N/A,FALSE,"KA HM (4)"}</definedName>
    <definedName name="we.gb.gg_5" localSheetId="0" hidden="1">{#N/A,#N/A,FALSE,"Umsatz HM";#N/A,#N/A,FALSE,"ER HM";#N/A,#N/A,FALSE,"EA HM  (2)";#N/A,#N/A,FALSE,"EA HM ";#N/A,#N/A,FALSE,"EA HM  (4)";#N/A,#N/A,FALSE,"EA HM  (3)";#N/A,#N/A,FALSE,"KA HM  (2)";#N/A,#N/A,FALSE,"KA HM";#N/A,#N/A,FALSE,"KA HM  (3)";#N/A,#N/A,FALSE,"KA HM (4)"}</definedName>
    <definedName name="we.gb.gg_5" localSheetId="6" hidden="1">{#N/A,#N/A,FALSE,"Umsatz HM";#N/A,#N/A,FALSE,"ER HM";#N/A,#N/A,FALSE,"EA HM  (2)";#N/A,#N/A,FALSE,"EA HM ";#N/A,#N/A,FALSE,"EA HM  (4)";#N/A,#N/A,FALSE,"EA HM  (3)";#N/A,#N/A,FALSE,"KA HM  (2)";#N/A,#N/A,FALSE,"KA HM";#N/A,#N/A,FALSE,"KA HM  (3)";#N/A,#N/A,FALSE,"KA HM (4)"}</definedName>
    <definedName name="we.gb.gg_5" hidden="1">{#N/A,#N/A,FALSE,"Umsatz HM";#N/A,#N/A,FALSE,"ER HM";#N/A,#N/A,FALSE,"EA HM  (2)";#N/A,#N/A,FALSE,"EA HM ";#N/A,#N/A,FALSE,"EA HM  (4)";#N/A,#N/A,FALSE,"EA HM  (3)";#N/A,#N/A,FALSE,"KA HM  (2)";#N/A,#N/A,FALSE,"KA HM";#N/A,#N/A,FALSE,"KA HM  (3)";#N/A,#N/A,FALSE,"KA HM (4)"}</definedName>
    <definedName name="we_1" localSheetId="0" hidden="1">{"Graphic",#N/A,TRUE,"Graphic"}</definedName>
    <definedName name="we_1" localSheetId="6" hidden="1">{"Graphic",#N/A,TRUE,"Graphic"}</definedName>
    <definedName name="we_1" hidden="1">{"Graphic",#N/A,TRUE,"Graphic"}</definedName>
    <definedName name="we_1_1" localSheetId="0" hidden="1">{#N/A,#N/A,FALSE,"Pharm";#N/A,#N/A,FALSE,"WWCM"}</definedName>
    <definedName name="we_1_1" localSheetId="6" hidden="1">{#N/A,#N/A,FALSE,"Pharm";#N/A,#N/A,FALSE,"WWCM"}</definedName>
    <definedName name="we_1_1" hidden="1">{#N/A,#N/A,FALSE,"Pharm";#N/A,#N/A,FALSE,"WWCM"}</definedName>
    <definedName name="we_2" localSheetId="0" hidden="1">{#N/A,#N/A,FALSE,"Pharm";#N/A,#N/A,FALSE,"WWCM"}</definedName>
    <definedName name="we_2" localSheetId="6" hidden="1">{#N/A,#N/A,FALSE,"Pharm";#N/A,#N/A,FALSE,"WWCM"}</definedName>
    <definedName name="we_2" hidden="1">{#N/A,#N/A,FALSE,"Pharm";#N/A,#N/A,FALSE,"WWCM"}</definedName>
    <definedName name="we_3" localSheetId="0" hidden="1">{#N/A,#N/A,FALSE,"Pharm";#N/A,#N/A,FALSE,"WWCM"}</definedName>
    <definedName name="we_3" localSheetId="6" hidden="1">{#N/A,#N/A,FALSE,"Pharm";#N/A,#N/A,FALSE,"WWCM"}</definedName>
    <definedName name="we_3" hidden="1">{#N/A,#N/A,FALSE,"Pharm";#N/A,#N/A,FALSE,"WWCM"}</definedName>
    <definedName name="we_4" localSheetId="0" hidden="1">{#N/A,#N/A,FALSE,"Pharm";#N/A,#N/A,FALSE,"WWCM"}</definedName>
    <definedName name="we_4" localSheetId="6" hidden="1">{#N/A,#N/A,FALSE,"Pharm";#N/A,#N/A,FALSE,"WWCM"}</definedName>
    <definedName name="we_4" hidden="1">{#N/A,#N/A,FALSE,"Pharm";#N/A,#N/A,FALSE,"WWCM"}</definedName>
    <definedName name="we_5" localSheetId="0" hidden="1">{#N/A,#N/A,FALSE,"Pharm";#N/A,#N/A,FALSE,"WWCM"}</definedName>
    <definedName name="we_5" localSheetId="6" hidden="1">{#N/A,#N/A,FALSE,"Pharm";#N/A,#N/A,FALSE,"WWCM"}</definedName>
    <definedName name="we_5" hidden="1">{#N/A,#N/A,FALSE,"Pharm";#N/A,#N/A,FALSE,"WWCM"}</definedName>
    <definedName name="WEAFAWEFW" hidden="1">#REF!</definedName>
    <definedName name="Web" localSheetId="0" hidden="1">{#N/A,#N/A,FALSE,"Inputs - Prices &amp; Forecasts"}</definedName>
    <definedName name="Web" localSheetId="6" hidden="1">{#N/A,#N/A,FALSE,"Inputs - Prices &amp; Forecasts"}</definedName>
    <definedName name="Web" hidden="1">{#N/A,#N/A,FALSE,"Inputs - Prices &amp; Forecasts"}</definedName>
    <definedName name="wed" localSheetId="0" hidden="1">{"orixcsc",#N/A,FALSE,"ORIX CSC";"orixcsc2",#N/A,FALSE,"ORIX CSC"}</definedName>
    <definedName name="wed" localSheetId="6" hidden="1">{"orixcsc",#N/A,FALSE,"ORIX CSC";"orixcsc2",#N/A,FALSE,"ORIX CSC"}</definedName>
    <definedName name="wed" hidden="1">{"orixcsc",#N/A,FALSE,"ORIX CSC";"orixcsc2",#N/A,FALSE,"ORIX CSC"}</definedName>
    <definedName name="wed.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2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3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d.5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e" localSheetId="0" hidden="1">{#N/A,#N/A,FALSE,"KA CH  (2)"}</definedName>
    <definedName name="wee" localSheetId="6" hidden="1">{#N/A,#N/A,FALSE,"KA CH  (2)"}</definedName>
    <definedName name="wee" hidden="1">{#N/A,#N/A,FALSE,"KA CH  (2)"}</definedName>
    <definedName name="wee_1" localSheetId="0" hidden="1">{#N/A,#N/A,FALSE,"KA CH  (2)"}</definedName>
    <definedName name="wee_1" localSheetId="6" hidden="1">{#N/A,#N/A,FALSE,"KA CH  (2)"}</definedName>
    <definedName name="wee_1" hidden="1">{#N/A,#N/A,FALSE,"KA CH  (2)"}</definedName>
    <definedName name="wee_1_1" localSheetId="0" hidden="1">{#N/A,#N/A,FALSE,"KA CH  (2)"}</definedName>
    <definedName name="wee_1_1" localSheetId="6" hidden="1">{#N/A,#N/A,FALSE,"KA CH  (2)"}</definedName>
    <definedName name="wee_1_1" hidden="1">{#N/A,#N/A,FALSE,"KA CH  (2)"}</definedName>
    <definedName name="wee_2" localSheetId="0" hidden="1">{#N/A,#N/A,FALSE,"KA CH  (2)"}</definedName>
    <definedName name="wee_2" localSheetId="6" hidden="1">{#N/A,#N/A,FALSE,"KA CH  (2)"}</definedName>
    <definedName name="wee_2" hidden="1">{#N/A,#N/A,FALSE,"KA CH  (2)"}</definedName>
    <definedName name="wee_3" localSheetId="0" hidden="1">{#N/A,#N/A,FALSE,"KA CH  (2)"}</definedName>
    <definedName name="wee_3" localSheetId="6" hidden="1">{#N/A,#N/A,FALSE,"KA CH  (2)"}</definedName>
    <definedName name="wee_3" hidden="1">{#N/A,#N/A,FALSE,"KA CH  (2)"}</definedName>
    <definedName name="wee_4" localSheetId="0" hidden="1">{#N/A,#N/A,FALSE,"KA CH  (2)"}</definedName>
    <definedName name="wee_4" localSheetId="6" hidden="1">{#N/A,#N/A,FALSE,"KA CH  (2)"}</definedName>
    <definedName name="wee_4" hidden="1">{#N/A,#N/A,FALSE,"KA CH  (2)"}</definedName>
    <definedName name="wee_5" localSheetId="0" hidden="1">{#N/A,#N/A,FALSE,"KA CH  (2)"}</definedName>
    <definedName name="wee_5" localSheetId="6" hidden="1">{#N/A,#N/A,FALSE,"KA CH  (2)"}</definedName>
    <definedName name="wee_5" hidden="1">{#N/A,#N/A,FALSE,"KA CH  (2)"}</definedName>
    <definedName name="weeeeeeeeeeeeeeeeeeeeee" localSheetId="0" hidden="1">{#N/A,#N/A,FALSE,"Assessment";#N/A,#N/A,FALSE,"Staffing";#N/A,#N/A,FALSE,"Hires";#N/A,#N/A,FALSE,"Assumptions"}</definedName>
    <definedName name="weeeeeeeeeeeeeeeeeeeeee" localSheetId="6" hidden="1">{#N/A,#N/A,FALSE,"Assessment";#N/A,#N/A,FALSE,"Staffing";#N/A,#N/A,FALSE,"Hires";#N/A,#N/A,FALSE,"Assumptions"}</definedName>
    <definedName name="weeeeeeeeeeeeeeeeeeeeee" hidden="1">{#N/A,#N/A,FALSE,"Assessment";#N/A,#N/A,FALSE,"Staffing";#N/A,#N/A,FALSE,"Hires";#N/A,#N/A,FALSE,"Assumptions"}</definedName>
    <definedName name="weeeeeeeeeeeeeeeeeeeeee_1" localSheetId="0" hidden="1">{#N/A,#N/A,FALSE,"Assessment";#N/A,#N/A,FALSE,"Staffing";#N/A,#N/A,FALSE,"Hires";#N/A,#N/A,FALSE,"Assumptions"}</definedName>
    <definedName name="weeeeeeeeeeeeeeeeeeeeee_1" localSheetId="6" hidden="1">{#N/A,#N/A,FALSE,"Assessment";#N/A,#N/A,FALSE,"Staffing";#N/A,#N/A,FALSE,"Hires";#N/A,#N/A,FALSE,"Assumptions"}</definedName>
    <definedName name="weeeeeeeeeeeeeeeeeeeeee_1" hidden="1">{#N/A,#N/A,FALSE,"Assessment";#N/A,#N/A,FALSE,"Staffing";#N/A,#N/A,FALSE,"Hires";#N/A,#N/A,FALSE,"Assumptions"}</definedName>
    <definedName name="week3" localSheetId="0" hidden="1">{"Graphic",#N/A,TRUE,"Graphic"}</definedName>
    <definedName name="week3" localSheetId="6" hidden="1">{"Graphic",#N/A,TRUE,"Graphic"}</definedName>
    <definedName name="week3" hidden="1">{"Graphic",#N/A,TRUE,"Graphic"}</definedName>
    <definedName name="week3_1" localSheetId="0" hidden="1">{"Graphic",#N/A,TRUE,"Graphic"}</definedName>
    <definedName name="week3_1" localSheetId="6" hidden="1">{"Graphic",#N/A,TRUE,"Graphic"}</definedName>
    <definedName name="week3_1" hidden="1">{"Graphic",#N/A,TRUE,"Graphic"}</definedName>
    <definedName name="wef" localSheetId="6" hidden="1">{#N/A,#N/A,FALSE,"INPUTS";#N/A,#N/A,FALSE,"PROFORMA BSHEET";#N/A,#N/A,FALSE,"COMBINED";#N/A,#N/A,FALSE,"HIGH YIELD";#N/A,#N/A,FALSE,"COMB_GRAPHS"}</definedName>
    <definedName name="wef" hidden="1">{#N/A,#N/A,FALSE,"INPUTS";#N/A,#N/A,FALSE,"PROFORMA BSHEET";#N/A,#N/A,FALSE,"COMBINED";#N/A,#N/A,FALSE,"HIGH YIELD";#N/A,#N/A,FALSE,"COMB_GRAPHS"}</definedName>
    <definedName name="WEFASDFV" hidden="1">#REF!</definedName>
    <definedName name="wEFGwgf" hidden="1">#REF!</definedName>
    <definedName name="wefihbvqu" hidden="1">#REF!</definedName>
    <definedName name="wefsdfasdf" localSheetId="0" hidden="1">{"equity comps",#N/A,FALSE,"CS Comps";"equity comps",#N/A,FALSE,"PS Comps";"equity comps",#N/A,FALSE,"GIC_Comps";"equity comps",#N/A,FALSE,"GIC2_Comps";"debt comps",#N/A,FALSE,"CS Comps";"debt comps",#N/A,FALSE,"PS Comps";"debt comps",#N/A,FALSE,"GIC_Comps";"debt comps",#N/A,FALSE,"GIC2_Comps"}</definedName>
    <definedName name="wefsdfasdf" localSheetId="6" hidden="1">{"equity comps",#N/A,FALSE,"CS Comps";"equity comps",#N/A,FALSE,"PS Comps";"equity comps",#N/A,FALSE,"GIC_Comps";"equity comps",#N/A,FALSE,"GIC2_Comps";"debt comps",#N/A,FALSE,"CS Comps";"debt comps",#N/A,FALSE,"PS Comps";"debt comps",#N/A,FALSE,"GIC_Comps";"debt comps",#N/A,FALSE,"GIC2_Comps"}</definedName>
    <definedName name="wefsdfasdf" hidden="1">{"equity comps",#N/A,FALSE,"CS Comps";"equity comps",#N/A,FALSE,"PS Comps";"equity comps",#N/A,FALSE,"GIC_Comps";"equity comps",#N/A,FALSE,"GIC2_Comps";"debt comps",#N/A,FALSE,"CS Comps";"debt comps",#N/A,FALSE,"PS Comps";"debt comps",#N/A,FALSE,"GIC_Comps";"debt comps",#N/A,FALSE,"GIC2_Comps"}</definedName>
    <definedName name="WEFWEF" hidden="1">#REF!</definedName>
    <definedName name="wefyjtf"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efyjtf"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egrgew" hidden="1">#REF!</definedName>
    <definedName name="wen.gb._hm." localSheetId="0" hidden="1">{#N/A,#N/A,FALSE,"Umsatz HM";#N/A,#N/A,FALSE,"ER HM";#N/A,#N/A,FALSE,"EA HM  (2)";#N/A,#N/A,FALSE,"EA HM ";#N/A,#N/A,FALSE,"EA HM  (4)";#N/A,#N/A,FALSE,"EA HM  (3)";#N/A,#N/A,FALSE,"KA HM  (2)";#N/A,#N/A,FALSE,"KA HM";#N/A,#N/A,FALSE,"KA HM  (3)";#N/A,#N/A,FALSE,"KA HM (4)"}</definedName>
    <definedName name="wen.gb._hm." localSheetId="6" hidden="1">{#N/A,#N/A,FALSE,"Umsatz HM";#N/A,#N/A,FALSE,"ER HM";#N/A,#N/A,FALSE,"EA HM  (2)";#N/A,#N/A,FALSE,"EA HM ";#N/A,#N/A,FALSE,"EA HM  (4)";#N/A,#N/A,FALSE,"EA HM  (3)";#N/A,#N/A,FALSE,"KA HM  (2)";#N/A,#N/A,FALSE,"KA HM";#N/A,#N/A,FALSE,"KA HM  (3)";#N/A,#N/A,FALSE,"KA HM (4)"}</definedName>
    <definedName name="wen.gb._hm." hidden="1">{#N/A,#N/A,FALSE,"Umsatz HM";#N/A,#N/A,FALSE,"ER HM";#N/A,#N/A,FALSE,"EA HM  (2)";#N/A,#N/A,FALSE,"EA HM ";#N/A,#N/A,FALSE,"EA HM  (4)";#N/A,#N/A,FALSE,"EA HM  (3)";#N/A,#N/A,FALSE,"KA HM  (2)";#N/A,#N/A,FALSE,"KA HM";#N/A,#N/A,FALSE,"KA HM  (3)";#N/A,#N/A,FALSE,"KA HM (4)"}</definedName>
    <definedName name="wen.gb._hm._1" localSheetId="0" hidden="1">{#N/A,#N/A,FALSE,"Umsatz HM";#N/A,#N/A,FALSE,"ER HM";#N/A,#N/A,FALSE,"EA HM  (2)";#N/A,#N/A,FALSE,"EA HM ";#N/A,#N/A,FALSE,"EA HM  (4)";#N/A,#N/A,FALSE,"EA HM  (3)";#N/A,#N/A,FALSE,"KA HM  (2)";#N/A,#N/A,FALSE,"KA HM";#N/A,#N/A,FALSE,"KA HM  (3)";#N/A,#N/A,FALSE,"KA HM (4)"}</definedName>
    <definedName name="wen.gb._hm._1" localSheetId="6" hidden="1">{#N/A,#N/A,FALSE,"Umsatz HM";#N/A,#N/A,FALSE,"ER HM";#N/A,#N/A,FALSE,"EA HM  (2)";#N/A,#N/A,FALSE,"EA HM ";#N/A,#N/A,FALSE,"EA HM  (4)";#N/A,#N/A,FALSE,"EA HM  (3)";#N/A,#N/A,FALSE,"KA HM  (2)";#N/A,#N/A,FALSE,"KA HM";#N/A,#N/A,FALSE,"KA HM  (3)";#N/A,#N/A,FALSE,"KA HM (4)"}</definedName>
    <definedName name="wen.gb._hm._1" hidden="1">{#N/A,#N/A,FALSE,"Umsatz HM";#N/A,#N/A,FALSE,"ER HM";#N/A,#N/A,FALSE,"EA HM  (2)";#N/A,#N/A,FALSE,"EA HM ";#N/A,#N/A,FALSE,"EA HM  (4)";#N/A,#N/A,FALSE,"EA HM  (3)";#N/A,#N/A,FALSE,"KA HM  (2)";#N/A,#N/A,FALSE,"KA HM";#N/A,#N/A,FALSE,"KA HM  (3)";#N/A,#N/A,FALSE,"KA HM (4)"}</definedName>
    <definedName name="wen.gb._hm._1_1" localSheetId="0" hidden="1">{#N/A,#N/A,FALSE,"Umsatz HM";#N/A,#N/A,FALSE,"ER HM";#N/A,#N/A,FALSE,"EA HM  (2)";#N/A,#N/A,FALSE,"EA HM ";#N/A,#N/A,FALSE,"EA HM  (4)";#N/A,#N/A,FALSE,"EA HM  (3)";#N/A,#N/A,FALSE,"KA HM  (2)";#N/A,#N/A,FALSE,"KA HM";#N/A,#N/A,FALSE,"KA HM  (3)";#N/A,#N/A,FALSE,"KA HM (4)"}</definedName>
    <definedName name="wen.gb._hm._1_1" localSheetId="6" hidden="1">{#N/A,#N/A,FALSE,"Umsatz HM";#N/A,#N/A,FALSE,"ER HM";#N/A,#N/A,FALSE,"EA HM  (2)";#N/A,#N/A,FALSE,"EA HM ";#N/A,#N/A,FALSE,"EA HM  (4)";#N/A,#N/A,FALSE,"EA HM  (3)";#N/A,#N/A,FALSE,"KA HM  (2)";#N/A,#N/A,FALSE,"KA HM";#N/A,#N/A,FALSE,"KA HM  (3)";#N/A,#N/A,FALSE,"KA HM (4)"}</definedName>
    <definedName name="wen.gb._hm._1_1" hidden="1">{#N/A,#N/A,FALSE,"Umsatz HM";#N/A,#N/A,FALSE,"ER HM";#N/A,#N/A,FALSE,"EA HM  (2)";#N/A,#N/A,FALSE,"EA HM ";#N/A,#N/A,FALSE,"EA HM  (4)";#N/A,#N/A,FALSE,"EA HM  (3)";#N/A,#N/A,FALSE,"KA HM  (2)";#N/A,#N/A,FALSE,"KA HM";#N/A,#N/A,FALSE,"KA HM  (3)";#N/A,#N/A,FALSE,"KA HM (4)"}</definedName>
    <definedName name="wen.gb._hm._2" localSheetId="0" hidden="1">{#N/A,#N/A,FALSE,"Umsatz HM";#N/A,#N/A,FALSE,"ER HM";#N/A,#N/A,FALSE,"EA HM  (2)";#N/A,#N/A,FALSE,"EA HM ";#N/A,#N/A,FALSE,"EA HM  (4)";#N/A,#N/A,FALSE,"EA HM  (3)";#N/A,#N/A,FALSE,"KA HM  (2)";#N/A,#N/A,FALSE,"KA HM";#N/A,#N/A,FALSE,"KA HM  (3)";#N/A,#N/A,FALSE,"KA HM (4)"}</definedName>
    <definedName name="wen.gb._hm._2" localSheetId="6" hidden="1">{#N/A,#N/A,FALSE,"Umsatz HM";#N/A,#N/A,FALSE,"ER HM";#N/A,#N/A,FALSE,"EA HM  (2)";#N/A,#N/A,FALSE,"EA HM ";#N/A,#N/A,FALSE,"EA HM  (4)";#N/A,#N/A,FALSE,"EA HM  (3)";#N/A,#N/A,FALSE,"KA HM  (2)";#N/A,#N/A,FALSE,"KA HM";#N/A,#N/A,FALSE,"KA HM  (3)";#N/A,#N/A,FALSE,"KA HM (4)"}</definedName>
    <definedName name="wen.gb._hm._2" hidden="1">{#N/A,#N/A,FALSE,"Umsatz HM";#N/A,#N/A,FALSE,"ER HM";#N/A,#N/A,FALSE,"EA HM  (2)";#N/A,#N/A,FALSE,"EA HM ";#N/A,#N/A,FALSE,"EA HM  (4)";#N/A,#N/A,FALSE,"EA HM  (3)";#N/A,#N/A,FALSE,"KA HM  (2)";#N/A,#N/A,FALSE,"KA HM";#N/A,#N/A,FALSE,"KA HM  (3)";#N/A,#N/A,FALSE,"KA HM (4)"}</definedName>
    <definedName name="wen.gb._hm._3" localSheetId="0" hidden="1">{#N/A,#N/A,FALSE,"Umsatz HM";#N/A,#N/A,FALSE,"ER HM";#N/A,#N/A,FALSE,"EA HM  (2)";#N/A,#N/A,FALSE,"EA HM ";#N/A,#N/A,FALSE,"EA HM  (4)";#N/A,#N/A,FALSE,"EA HM  (3)";#N/A,#N/A,FALSE,"KA HM  (2)";#N/A,#N/A,FALSE,"KA HM";#N/A,#N/A,FALSE,"KA HM  (3)";#N/A,#N/A,FALSE,"KA HM (4)"}</definedName>
    <definedName name="wen.gb._hm._3" localSheetId="6" hidden="1">{#N/A,#N/A,FALSE,"Umsatz HM";#N/A,#N/A,FALSE,"ER HM";#N/A,#N/A,FALSE,"EA HM  (2)";#N/A,#N/A,FALSE,"EA HM ";#N/A,#N/A,FALSE,"EA HM  (4)";#N/A,#N/A,FALSE,"EA HM  (3)";#N/A,#N/A,FALSE,"KA HM  (2)";#N/A,#N/A,FALSE,"KA HM";#N/A,#N/A,FALSE,"KA HM  (3)";#N/A,#N/A,FALSE,"KA HM (4)"}</definedName>
    <definedName name="wen.gb._hm._3" hidden="1">{#N/A,#N/A,FALSE,"Umsatz HM";#N/A,#N/A,FALSE,"ER HM";#N/A,#N/A,FALSE,"EA HM  (2)";#N/A,#N/A,FALSE,"EA HM ";#N/A,#N/A,FALSE,"EA HM  (4)";#N/A,#N/A,FALSE,"EA HM  (3)";#N/A,#N/A,FALSE,"KA HM  (2)";#N/A,#N/A,FALSE,"KA HM";#N/A,#N/A,FALSE,"KA HM  (3)";#N/A,#N/A,FALSE,"KA HM (4)"}</definedName>
    <definedName name="wen.gb._hm._4" localSheetId="0" hidden="1">{#N/A,#N/A,FALSE,"Umsatz HM";#N/A,#N/A,FALSE,"ER HM";#N/A,#N/A,FALSE,"EA HM  (2)";#N/A,#N/A,FALSE,"EA HM ";#N/A,#N/A,FALSE,"EA HM  (4)";#N/A,#N/A,FALSE,"EA HM  (3)";#N/A,#N/A,FALSE,"KA HM  (2)";#N/A,#N/A,FALSE,"KA HM";#N/A,#N/A,FALSE,"KA HM  (3)";#N/A,#N/A,FALSE,"KA HM (4)"}</definedName>
    <definedName name="wen.gb._hm._4" localSheetId="6" hidden="1">{#N/A,#N/A,FALSE,"Umsatz HM";#N/A,#N/A,FALSE,"ER HM";#N/A,#N/A,FALSE,"EA HM  (2)";#N/A,#N/A,FALSE,"EA HM ";#N/A,#N/A,FALSE,"EA HM  (4)";#N/A,#N/A,FALSE,"EA HM  (3)";#N/A,#N/A,FALSE,"KA HM  (2)";#N/A,#N/A,FALSE,"KA HM";#N/A,#N/A,FALSE,"KA HM  (3)";#N/A,#N/A,FALSE,"KA HM (4)"}</definedName>
    <definedName name="wen.gb._hm._4" hidden="1">{#N/A,#N/A,FALSE,"Umsatz HM";#N/A,#N/A,FALSE,"ER HM";#N/A,#N/A,FALSE,"EA HM  (2)";#N/A,#N/A,FALSE,"EA HM ";#N/A,#N/A,FALSE,"EA HM  (4)";#N/A,#N/A,FALSE,"EA HM  (3)";#N/A,#N/A,FALSE,"KA HM  (2)";#N/A,#N/A,FALSE,"KA HM";#N/A,#N/A,FALSE,"KA HM  (3)";#N/A,#N/A,FALSE,"KA HM (4)"}</definedName>
    <definedName name="wen.gb._hm._5" localSheetId="0" hidden="1">{#N/A,#N/A,FALSE,"Umsatz HM";#N/A,#N/A,FALSE,"ER HM";#N/A,#N/A,FALSE,"EA HM  (2)";#N/A,#N/A,FALSE,"EA HM ";#N/A,#N/A,FALSE,"EA HM  (4)";#N/A,#N/A,FALSE,"EA HM  (3)";#N/A,#N/A,FALSE,"KA HM  (2)";#N/A,#N/A,FALSE,"KA HM";#N/A,#N/A,FALSE,"KA HM  (3)";#N/A,#N/A,FALSE,"KA HM (4)"}</definedName>
    <definedName name="wen.gb._hm._5" localSheetId="6" hidden="1">{#N/A,#N/A,FALSE,"Umsatz HM";#N/A,#N/A,FALSE,"ER HM";#N/A,#N/A,FALSE,"EA HM  (2)";#N/A,#N/A,FALSE,"EA HM ";#N/A,#N/A,FALSE,"EA HM  (4)";#N/A,#N/A,FALSE,"EA HM  (3)";#N/A,#N/A,FALSE,"KA HM  (2)";#N/A,#N/A,FALSE,"KA HM";#N/A,#N/A,FALSE,"KA HM  (3)";#N/A,#N/A,FALSE,"KA HM (4)"}</definedName>
    <definedName name="wen.gb._hm._5" hidden="1">{#N/A,#N/A,FALSE,"Umsatz HM";#N/A,#N/A,FALSE,"ER HM";#N/A,#N/A,FALSE,"EA HM  (2)";#N/A,#N/A,FALSE,"EA HM ";#N/A,#N/A,FALSE,"EA HM  (4)";#N/A,#N/A,FALSE,"EA HM  (3)";#N/A,#N/A,FALSE,"KA HM  (2)";#N/A,#N/A,FALSE,"KA HM";#N/A,#N/A,FALSE,"KA HM  (3)";#N/A,#N/A,FALSE,"KA HM (4)"}</definedName>
    <definedName name="weq" localSheetId="6"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_1" localSheetId="6" hidden="1">{#N/A,#N/A,FALSE,"SumD";#N/A,#N/A,FALSE,"ElecD";#N/A,#N/A,FALSE,"MechD";#N/A,#N/A,FALSE,"GeotD";#N/A,#N/A,FALSE,"PrcsD";#N/A,#N/A,FALSE,"TunnD";#N/A,#N/A,FALSE,"CivlD";#N/A,#N/A,FALSE,"NtwkD";#N/A,#N/A,FALSE,"EstgD";#N/A,#N/A,FALSE,"PEngD"}</definedName>
    <definedName name="weq_1" hidden="1">{#N/A,#N/A,FALSE,"SumD";#N/A,#N/A,FALSE,"ElecD";#N/A,#N/A,FALSE,"MechD";#N/A,#N/A,FALSE,"GeotD";#N/A,#N/A,FALSE,"PrcsD";#N/A,#N/A,FALSE,"TunnD";#N/A,#N/A,FALSE,"CivlD";#N/A,#N/A,FALSE,"NtwkD";#N/A,#N/A,FALSE,"EstgD";#N/A,#N/A,FALSE,"PEngD"}</definedName>
    <definedName name="wer" localSheetId="6" hidden="1">{#N/A,#N/A,FALSE,"Cover";#N/A,#N/A,FALSE,"Index";#N/A,#N/A,FALSE,"Spec";#N/A,#N/A,FALSE,"Breakdown";#N/A,#N/A,FALSE,"Cost Plan"}</definedName>
    <definedName name="wer" hidden="1">{#N/A,#N/A,FALSE,"Cover";#N/A,#N/A,FALSE,"Index";#N/A,#N/A,FALSE,"Spec";#N/A,#N/A,FALSE,"Breakdown";#N/A,#N/A,FALSE,"Cost Plan"}</definedName>
    <definedName name="wer.g" localSheetId="0" hidden="1">{#N/A,#N/A,FALSE,"KA CH  (2)"}</definedName>
    <definedName name="wer.g" localSheetId="6" hidden="1">{#N/A,#N/A,FALSE,"KA CH  (2)"}</definedName>
    <definedName name="wer.g" hidden="1">{#N/A,#N/A,FALSE,"KA CH  (2)"}</definedName>
    <definedName name="wer.g_1" localSheetId="0" hidden="1">{#N/A,#N/A,FALSE,"KA CH  (2)"}</definedName>
    <definedName name="wer.g_1" localSheetId="6" hidden="1">{#N/A,#N/A,FALSE,"KA CH  (2)"}</definedName>
    <definedName name="wer.g_1" hidden="1">{#N/A,#N/A,FALSE,"KA CH  (2)"}</definedName>
    <definedName name="wer.g_1_1" localSheetId="0" hidden="1">{#N/A,#N/A,FALSE,"KA CH  (2)"}</definedName>
    <definedName name="wer.g_1_1" localSheetId="6" hidden="1">{#N/A,#N/A,FALSE,"KA CH  (2)"}</definedName>
    <definedName name="wer.g_1_1" hidden="1">{#N/A,#N/A,FALSE,"KA CH  (2)"}</definedName>
    <definedName name="wer.g_2" localSheetId="0" hidden="1">{#N/A,#N/A,FALSE,"KA CH  (2)"}</definedName>
    <definedName name="wer.g_2" localSheetId="6" hidden="1">{#N/A,#N/A,FALSE,"KA CH  (2)"}</definedName>
    <definedName name="wer.g_2" hidden="1">{#N/A,#N/A,FALSE,"KA CH  (2)"}</definedName>
    <definedName name="wer.g_3" localSheetId="0" hidden="1">{#N/A,#N/A,FALSE,"KA CH  (2)"}</definedName>
    <definedName name="wer.g_3" localSheetId="6" hidden="1">{#N/A,#N/A,FALSE,"KA CH  (2)"}</definedName>
    <definedName name="wer.g_3" hidden="1">{#N/A,#N/A,FALSE,"KA CH  (2)"}</definedName>
    <definedName name="wer.g_4" localSheetId="0" hidden="1">{#N/A,#N/A,FALSE,"KA CH  (2)"}</definedName>
    <definedName name="wer.g_4" localSheetId="6" hidden="1">{#N/A,#N/A,FALSE,"KA CH  (2)"}</definedName>
    <definedName name="wer.g_4" hidden="1">{#N/A,#N/A,FALSE,"KA CH  (2)"}</definedName>
    <definedName name="wer.g_5" localSheetId="0" hidden="1">{#N/A,#N/A,FALSE,"KA CH  (2)"}</definedName>
    <definedName name="wer.g_5" localSheetId="6" hidden="1">{#N/A,#N/A,FALSE,"KA CH  (2)"}</definedName>
    <definedName name="wer.g_5" hidden="1">{#N/A,#N/A,FALSE,"KA CH  (2)"}</definedName>
    <definedName name="weraw" localSheetId="0" hidden="1">{"mgmt forecast",#N/A,FALSE,"Mgmt Forecast";"dcf table",#N/A,FALSE,"Mgmt Forecast";"sensitivity",#N/A,FALSE,"Mgmt Forecast";"table inputs",#N/A,FALSE,"Mgmt Forecast";"calculations",#N/A,FALSE,"Mgmt Forecast"}</definedName>
    <definedName name="weraw" localSheetId="6" hidden="1">{"mgmt forecast",#N/A,FALSE,"Mgmt Forecast";"dcf table",#N/A,FALSE,"Mgmt Forecast";"sensitivity",#N/A,FALSE,"Mgmt Forecast";"table inputs",#N/A,FALSE,"Mgmt Forecast";"calculations",#N/A,FALSE,"Mgmt Forecast"}</definedName>
    <definedName name="weraw" hidden="1">{"mgmt forecast",#N/A,FALSE,"Mgmt Forecast";"dcf table",#N/A,FALSE,"Mgmt Forecast";"sensitivity",#N/A,FALSE,"Mgmt Forecast";"table inputs",#N/A,FALSE,"Mgmt Forecast";"calculations",#N/A,FALSE,"Mgmt Forecast"}</definedName>
    <definedName name="were" localSheetId="0" hidden="1">{"mgmt forecast",#N/A,FALSE,"Mgmt Forecast";"dcf table",#N/A,FALSE,"Mgmt Forecast";"sensitivity",#N/A,FALSE,"Mgmt Forecast";"table inputs",#N/A,FALSE,"Mgmt Forecast";"calculations",#N/A,FALSE,"Mgmt Forecast"}</definedName>
    <definedName name="were" localSheetId="6" hidden="1">{"mgmt forecast",#N/A,FALSE,"Mgmt Forecast";"dcf table",#N/A,FALSE,"Mgmt Forecast";"sensitivity",#N/A,FALSE,"Mgmt Forecast";"table inputs",#N/A,FALSE,"Mgmt Forecast";"calculations",#N/A,FALSE,"Mgmt Forecast"}</definedName>
    <definedName name="were" hidden="1">{"mgmt forecast",#N/A,FALSE,"Mgmt Forecast";"dcf table",#N/A,FALSE,"Mgmt Forecast";"sensitivity",#N/A,FALSE,"Mgmt Forecast";"table inputs",#N/A,FALSE,"Mgmt Forecast";"calculations",#N/A,FALSE,"Mgmt Forecast"}</definedName>
    <definedName name="wereiod" localSheetId="0" hidden="1">{"vue1",#N/A,FALSE,"synthese";"vue2",#N/A,FALSE,"synthese"}</definedName>
    <definedName name="wereiod" localSheetId="6" hidden="1">{"vue1",#N/A,FALSE,"synthese";"vue2",#N/A,FALSE,"synthese"}</definedName>
    <definedName name="wereiod" hidden="1">{"vue1",#N/A,FALSE,"synthese";"vue2",#N/A,FALSE,"synthese"}</definedName>
    <definedName name="werfwe" localSheetId="0" hidden="1">{#N/A,#N/A,FALSE,"COMP"}</definedName>
    <definedName name="werfwe" localSheetId="6" hidden="1">{#N/A,#N/A,FALSE,"COMP"}</definedName>
    <definedName name="werfwe" hidden="1">{#N/A,#N/A,FALSE,"COMP"}</definedName>
    <definedName name="WERFWEF" hidden="1">#REF!</definedName>
    <definedName name="wergwegwe" hidden="1">#REF!</definedName>
    <definedName name="wergwerg" hidden="1">#REF!</definedName>
    <definedName name="werr" localSheetId="0" hidden="1">{"cons",#N/A,TRUE,"MAY95"}</definedName>
    <definedName name="werr" localSheetId="6" hidden="1">{"cons",#N/A,TRUE,"MAY95"}</definedName>
    <definedName name="werr" hidden="1">{"cons",#N/A,TRUE,"MAY95"}</definedName>
    <definedName name="werrr" localSheetId="0" hidden="1">{#N/A,#N/A,FALSE,"Pharm";#N/A,#N/A,FALSE,"WWCM"}</definedName>
    <definedName name="werrr" localSheetId="6" hidden="1">{#N/A,#N/A,FALSE,"Pharm";#N/A,#N/A,FALSE,"WWCM"}</definedName>
    <definedName name="werrr" hidden="1">{#N/A,#N/A,FALSE,"Pharm";#N/A,#N/A,FALSE,"WWCM"}</definedName>
    <definedName name="werrr_1" localSheetId="0" hidden="1">{#N/A,#N/A,FALSE,"Pharm";#N/A,#N/A,FALSE,"WWCM"}</definedName>
    <definedName name="werrr_1" localSheetId="6" hidden="1">{#N/A,#N/A,FALSE,"Pharm";#N/A,#N/A,FALSE,"WWCM"}</definedName>
    <definedName name="werrr_1" hidden="1">{#N/A,#N/A,FALSE,"Pharm";#N/A,#N/A,FALSE,"WWCM"}</definedName>
    <definedName name="werrr_1_1" localSheetId="0" hidden="1">{#N/A,#N/A,FALSE,"Pharm";#N/A,#N/A,FALSE,"WWCM"}</definedName>
    <definedName name="werrr_1_1" localSheetId="6" hidden="1">{#N/A,#N/A,FALSE,"Pharm";#N/A,#N/A,FALSE,"WWCM"}</definedName>
    <definedName name="werrr_1_1" hidden="1">{#N/A,#N/A,FALSE,"Pharm";#N/A,#N/A,FALSE,"WWCM"}</definedName>
    <definedName name="werrr_2" localSheetId="0" hidden="1">{#N/A,#N/A,FALSE,"Pharm";#N/A,#N/A,FALSE,"WWCM"}</definedName>
    <definedName name="werrr_2" localSheetId="6" hidden="1">{#N/A,#N/A,FALSE,"Pharm";#N/A,#N/A,FALSE,"WWCM"}</definedName>
    <definedName name="werrr_2" hidden="1">{#N/A,#N/A,FALSE,"Pharm";#N/A,#N/A,FALSE,"WWCM"}</definedName>
    <definedName name="werrr_3" localSheetId="0" hidden="1">{#N/A,#N/A,FALSE,"Pharm";#N/A,#N/A,FALSE,"WWCM"}</definedName>
    <definedName name="werrr_3" localSheetId="6" hidden="1">{#N/A,#N/A,FALSE,"Pharm";#N/A,#N/A,FALSE,"WWCM"}</definedName>
    <definedName name="werrr_3" hidden="1">{#N/A,#N/A,FALSE,"Pharm";#N/A,#N/A,FALSE,"WWCM"}</definedName>
    <definedName name="werrr_4" localSheetId="0" hidden="1">{#N/A,#N/A,FALSE,"Pharm";#N/A,#N/A,FALSE,"WWCM"}</definedName>
    <definedName name="werrr_4" localSheetId="6" hidden="1">{#N/A,#N/A,FALSE,"Pharm";#N/A,#N/A,FALSE,"WWCM"}</definedName>
    <definedName name="werrr_4" hidden="1">{#N/A,#N/A,FALSE,"Pharm";#N/A,#N/A,FALSE,"WWCM"}</definedName>
    <definedName name="werrr_5" localSheetId="0" hidden="1">{#N/A,#N/A,FALSE,"Pharm";#N/A,#N/A,FALSE,"WWCM"}</definedName>
    <definedName name="werrr_5" localSheetId="6" hidden="1">{#N/A,#N/A,FALSE,"Pharm";#N/A,#N/A,FALSE,"WWCM"}</definedName>
    <definedName name="werrr_5" hidden="1">{#N/A,#N/A,FALSE,"Pharm";#N/A,#N/A,FALSE,"WWCM"}</definedName>
    <definedName name="wert" localSheetId="6" hidden="1">{#N/A,#N/A,TRUE,"Cover";#N/A,#N/A,TRUE,"Conts";#N/A,#N/A,TRUE,"VOS";#N/A,#N/A,TRUE,"Warrington";#N/A,#N/A,TRUE,"Widnes"}</definedName>
    <definedName name="wert" hidden="1">{#N/A,#N/A,TRUE,"Cover";#N/A,#N/A,TRUE,"Conts";#N/A,#N/A,TRUE,"VOS";#N/A,#N/A,TRUE,"Warrington";#N/A,#N/A,TRUE,"Widnes"}</definedName>
    <definedName name="wert_1" localSheetId="6" hidden="1">{#N/A,#N/A,TRUE,"Cover";#N/A,#N/A,TRUE,"Conts";#N/A,#N/A,TRUE,"VOS";#N/A,#N/A,TRUE,"Warrington";#N/A,#N/A,TRUE,"Widnes"}</definedName>
    <definedName name="wert_1" hidden="1">{#N/A,#N/A,TRUE,"Cover";#N/A,#N/A,TRUE,"Conts";#N/A,#N/A,TRUE,"VOS";#N/A,#N/A,TRUE,"Warrington";#N/A,#N/A,TRUE,"Widnes"}</definedName>
    <definedName name="wertre" localSheetId="0" hidden="1">{#N/A,#N/A,FALSE,"Hip.Bas";#N/A,#N/A,FALSE,"ventas";#N/A,#N/A,FALSE,"ingre-Año";#N/A,#N/A,FALSE,"ventas-Año";#N/A,#N/A,FALSE,"Costepro";#N/A,#N/A,FALSE,"inversion";#N/A,#N/A,FALSE,"personal";#N/A,#N/A,FALSE,"Gastos-V";#N/A,#N/A,FALSE,"Circulante";#N/A,#N/A,FALSE,"CONSOLI";#N/A,#N/A,FALSE,"Es-Fin";#N/A,#N/A,FALSE,"Margen-P"}</definedName>
    <definedName name="wertre" localSheetId="6" hidden="1">{#N/A,#N/A,FALSE,"Hip.Bas";#N/A,#N/A,FALSE,"ventas";#N/A,#N/A,FALSE,"ingre-Año";#N/A,#N/A,FALSE,"ventas-Año";#N/A,#N/A,FALSE,"Costepro";#N/A,#N/A,FALSE,"inversion";#N/A,#N/A,FALSE,"personal";#N/A,#N/A,FALSE,"Gastos-V";#N/A,#N/A,FALSE,"Circulante";#N/A,#N/A,FALSE,"CONSOLI";#N/A,#N/A,FALSE,"Es-Fin";#N/A,#N/A,FALSE,"Margen-P"}</definedName>
    <definedName name="wertre" hidden="1">{#N/A,#N/A,FALSE,"Hip.Bas";#N/A,#N/A,FALSE,"ventas";#N/A,#N/A,FALSE,"ingre-Año";#N/A,#N/A,FALSE,"ventas-Año";#N/A,#N/A,FALSE,"Costepro";#N/A,#N/A,FALSE,"inversion";#N/A,#N/A,FALSE,"personal";#N/A,#N/A,FALSE,"Gastos-V";#N/A,#N/A,FALSE,"Circulante";#N/A,#N/A,FALSE,"CONSOLI";#N/A,#N/A,FALSE,"Es-Fin";#N/A,#N/A,FALSE,"Margen-P"}</definedName>
    <definedName name="werwe" localSheetId="0" hidden="1">{#N/A,#N/A,FALSE,"COMP"}</definedName>
    <definedName name="werwe" localSheetId="6" hidden="1">{#N/A,#N/A,FALSE,"COMP"}</definedName>
    <definedName name="werwe" hidden="1">{#N/A,#N/A,FALSE,"COMP"}</definedName>
    <definedName name="WEST">#REF!</definedName>
    <definedName name="West04ymSales">#REF!</definedName>
    <definedName name="West05ymSales">#REF!</definedName>
    <definedName name="Western" hidden="1">#REF!</definedName>
    <definedName name="wetreran"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etreran"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etreran"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ew" localSheetId="0" hidden="1">{#N/A,#N/A,FALSE,"Sheet1"}</definedName>
    <definedName name="wew" localSheetId="6" hidden="1">{#N/A,#N/A,FALSE,"Sheet1"}</definedName>
    <definedName name="wew" hidden="1">{#N/A,#N/A,FALSE,"Sheet1"}</definedName>
    <definedName name="wew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EWE" localSheetId="0" hidden="1">#N/A</definedName>
    <definedName name="WEWE"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WEWE"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weweew" localSheetId="6" hidden="1">{#N/A,#N/A,FALSE,"Banksum";#N/A,#N/A,FALSE,"Banksum"}</definedName>
    <definedName name="weweew" hidden="1">{#N/A,#N/A,FALSE,"Banksum";#N/A,#N/A,FALSE,"Banksum"}</definedName>
    <definedName name="wewewe" localSheetId="0" hidden="1">{#N/A,#N/A,TRUE,"Cover";#N/A,#N/A,TRUE,"Sum";#N/A,#N/A,TRUE,"SubsRev";#N/A,#N/A,TRUE,"CapEx";#N/A,#N/A,TRUE,"OpEx";#N/A,#N/A,TRUE,"SUs";#N/A,#N/A,TRUE,"OrgChart";#N/A,#N/A,TRUE,"Staff";#N/A,#N/A,TRUE,"P&amp;L";#N/A,#N/A,TRUE,"Cash";#N/A,#N/A,TRUE,"BS";#N/A,#N/A,TRUE,"Valuation";#N/A,#N/A,TRUE,"CapEx-Assumptions";#N/A,#N/A,TRUE,"OpEx-Assumptions"}</definedName>
    <definedName name="wewewe" localSheetId="6" hidden="1">{#N/A,#N/A,TRUE,"Cover";#N/A,#N/A,TRUE,"Sum";#N/A,#N/A,TRUE,"SubsRev";#N/A,#N/A,TRUE,"CapEx";#N/A,#N/A,TRUE,"OpEx";#N/A,#N/A,TRUE,"SUs";#N/A,#N/A,TRUE,"OrgChart";#N/A,#N/A,TRUE,"Staff";#N/A,#N/A,TRUE,"P&amp;L";#N/A,#N/A,TRUE,"Cash";#N/A,#N/A,TRUE,"BS";#N/A,#N/A,TRUE,"Valuation";#N/A,#N/A,TRUE,"CapEx-Assumptions";#N/A,#N/A,TRUE,"OpEx-Assumptions"}</definedName>
    <definedName name="wewewe" hidden="1">{#N/A,#N/A,TRUE,"Cover";#N/A,#N/A,TRUE,"Sum";#N/A,#N/A,TRUE,"SubsRev";#N/A,#N/A,TRUE,"CapEx";#N/A,#N/A,TRUE,"OpEx";#N/A,#N/A,TRUE,"SUs";#N/A,#N/A,TRUE,"OrgChart";#N/A,#N/A,TRUE,"Staff";#N/A,#N/A,TRUE,"P&amp;L";#N/A,#N/A,TRUE,"Cash";#N/A,#N/A,TRUE,"BS";#N/A,#N/A,TRUE,"Valuation";#N/A,#N/A,TRUE,"CapEx-Assumptions";#N/A,#N/A,TRUE,"OpEx-Assumptions"}</definedName>
    <definedName name="wewtre" hidden="1">48</definedName>
    <definedName name="WFEFWEF" localSheetId="4" hidden="1">Main.SAPF4Help()</definedName>
    <definedName name="WFEFWEF" localSheetId="0" hidden="1">Main.SAPF4Help()</definedName>
    <definedName name="WFEFWEF" localSheetId="2" hidden="1">Main.SAPF4Help()</definedName>
    <definedName name="WFEFWEF" localSheetId="6" hidden="1">Main.SAPF4Help()</definedName>
    <definedName name="WFEFWEF" hidden="1">Main.SAPF4Help()</definedName>
    <definedName name="wgrw" localSheetId="6" hidden="1">{#N/A,#N/A,FALSE,"BE";#N/A,#N/A,FALSE,"Bia";#N/A,#N/A,FALSE,"By";#N/A,#N/A,FALSE,"Bor";#N/A,#N/A,FALSE,"Gab";#N/A,#N/A,FALSE,"Gar";#N/A,#N/A,FALSE,"Lov";#N/A,#N/A,FALSE,"SJ";#N/A,#N/A,FALSE,"SM";#N/A,#N/A,FALSE,"Wb";#N/A,#N/A,FALSE,"Yok"}</definedName>
    <definedName name="wgrw" hidden="1">{#N/A,#N/A,FALSE,"BE";#N/A,#N/A,FALSE,"Bia";#N/A,#N/A,FALSE,"By";#N/A,#N/A,FALSE,"Bor";#N/A,#N/A,FALSE,"Gab";#N/A,#N/A,FALSE,"Gar";#N/A,#N/A,FALSE,"Lov";#N/A,#N/A,FALSE,"SJ";#N/A,#N/A,FALSE,"SM";#N/A,#N/A,FALSE,"Wb";#N/A,#N/A,FALSE,"Yok"}</definedName>
    <definedName name="wGWF" hidden="1">#REF!</definedName>
    <definedName name="what"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hat"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hat"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hat?" localSheetId="6" hidden="1">{#N/A,#N/A,FALSE,"BE";#N/A,#N/A,FALSE,"Bia";#N/A,#N/A,FALSE,"By";#N/A,#N/A,FALSE,"Bor";#N/A,#N/A,FALSE,"Gab";#N/A,#N/A,FALSE,"Gar";#N/A,#N/A,FALSE,"Lov";#N/A,#N/A,FALSE,"SJ";#N/A,#N/A,FALSE,"SM";#N/A,#N/A,FALSE,"Wb";#N/A,#N/A,FALSE,"Yok"}</definedName>
    <definedName name="what?" hidden="1">{#N/A,#N/A,FALSE,"BE";#N/A,#N/A,FALSE,"Bia";#N/A,#N/A,FALSE,"By";#N/A,#N/A,FALSE,"Bor";#N/A,#N/A,FALSE,"Gab";#N/A,#N/A,FALSE,"Gar";#N/A,#N/A,FALSE,"Lov";#N/A,#N/A,FALSE,"SJ";#N/A,#N/A,FALSE,"SM";#N/A,#N/A,FALSE,"Wb";#N/A,#N/A,FALSE,"Yok"}</definedName>
    <definedName name="what_1" localSheetId="6" hidden="1">{#N/A,#N/A,FALSE,"Scenario PivotTable"}</definedName>
    <definedName name="what_1" hidden="1">{#N/A,#N/A,FALSE,"Scenario PivotTable"}</definedName>
    <definedName name="what_1_1" localSheetId="6" hidden="1">{#N/A,#N/A,FALSE,"Scenario PivotTable"}</definedName>
    <definedName name="what_1_1" hidden="1">{#N/A,#N/A,FALSE,"Scenario PivotTable"}</definedName>
    <definedName name="what_2" localSheetId="6" hidden="1">{#N/A,#N/A,FALSE,"Scenario PivotTable"}</definedName>
    <definedName name="what_2" hidden="1">{#N/A,#N/A,FALSE,"Scenario PivotTable"}</definedName>
    <definedName name="what_2_1" localSheetId="6" hidden="1">{#N/A,#N/A,FALSE,"Scenario PivotTable"}</definedName>
    <definedName name="what_2_1" hidden="1">{#N/A,#N/A,FALSE,"Scenario PivotTable"}</definedName>
    <definedName name="what_2_1_1" localSheetId="6" hidden="1">{#N/A,#N/A,FALSE,"Scenario PivotTable"}</definedName>
    <definedName name="what_2_1_1" hidden="1">{#N/A,#N/A,FALSE,"Scenario PivotTable"}</definedName>
    <definedName name="what_2_1_1_1" localSheetId="6" hidden="1">{#N/A,#N/A,FALSE,"Scenario PivotTable"}</definedName>
    <definedName name="what_2_1_1_1" hidden="1">{#N/A,#N/A,FALSE,"Scenario PivotTable"}</definedName>
    <definedName name="what_2_1_2" localSheetId="6" hidden="1">{#N/A,#N/A,FALSE,"Scenario PivotTable"}</definedName>
    <definedName name="what_2_1_2" hidden="1">{#N/A,#N/A,FALSE,"Scenario PivotTable"}</definedName>
    <definedName name="what_2_1_2_1" localSheetId="6" hidden="1">{#N/A,#N/A,FALSE,"Scenario PivotTable"}</definedName>
    <definedName name="what_2_1_2_1" hidden="1">{#N/A,#N/A,FALSE,"Scenario PivotTable"}</definedName>
    <definedName name="what_2_1_3" localSheetId="6" hidden="1">{#N/A,#N/A,FALSE,"Scenario PivotTable"}</definedName>
    <definedName name="what_2_1_3" hidden="1">{#N/A,#N/A,FALSE,"Scenario PivotTable"}</definedName>
    <definedName name="what_2_2" localSheetId="6" hidden="1">{#N/A,#N/A,FALSE,"Scenario PivotTable"}</definedName>
    <definedName name="what_2_2" hidden="1">{#N/A,#N/A,FALSE,"Scenario PivotTable"}</definedName>
    <definedName name="what_2_2_1" localSheetId="6" hidden="1">{#N/A,#N/A,FALSE,"Scenario PivotTable"}</definedName>
    <definedName name="what_2_2_1" hidden="1">{#N/A,#N/A,FALSE,"Scenario PivotTable"}</definedName>
    <definedName name="what_2_2_1_1" localSheetId="6" hidden="1">{#N/A,#N/A,FALSE,"Scenario PivotTable"}</definedName>
    <definedName name="what_2_2_1_1" hidden="1">{#N/A,#N/A,FALSE,"Scenario PivotTable"}</definedName>
    <definedName name="what_2_2_2" localSheetId="6" hidden="1">{#N/A,#N/A,FALSE,"Scenario PivotTable"}</definedName>
    <definedName name="what_2_2_2" hidden="1">{#N/A,#N/A,FALSE,"Scenario PivotTable"}</definedName>
    <definedName name="what_2_3" localSheetId="6" hidden="1">{#N/A,#N/A,FALSE,"Scenario PivotTable"}</definedName>
    <definedName name="what_2_3" hidden="1">{#N/A,#N/A,FALSE,"Scenario PivotTable"}</definedName>
    <definedName name="what_2_3_1" localSheetId="6" hidden="1">{#N/A,#N/A,FALSE,"Scenario PivotTable"}</definedName>
    <definedName name="what_2_3_1" hidden="1">{#N/A,#N/A,FALSE,"Scenario PivotTable"}</definedName>
    <definedName name="what_2_4" localSheetId="6" hidden="1">{#N/A,#N/A,FALSE,"Scenario PivotTable"}</definedName>
    <definedName name="what_2_4" hidden="1">{#N/A,#N/A,FALSE,"Scenario PivotTable"}</definedName>
    <definedName name="what_3" localSheetId="6" hidden="1">{#N/A,#N/A,FALSE,"Scenario PivotTable"}</definedName>
    <definedName name="what_3" hidden="1">{#N/A,#N/A,FALSE,"Scenario PivotTable"}</definedName>
    <definedName name="what_3_1" localSheetId="6" hidden="1">{#N/A,#N/A,FALSE,"Scenario PivotTable"}</definedName>
    <definedName name="what_3_1" hidden="1">{#N/A,#N/A,FALSE,"Scenario PivotTable"}</definedName>
    <definedName name="what_3_1_1" localSheetId="6" hidden="1">{#N/A,#N/A,FALSE,"Scenario PivotTable"}</definedName>
    <definedName name="what_3_1_1" hidden="1">{#N/A,#N/A,FALSE,"Scenario PivotTable"}</definedName>
    <definedName name="what_3_1_1_1" localSheetId="6" hidden="1">{#N/A,#N/A,FALSE,"Scenario PivotTable"}</definedName>
    <definedName name="what_3_1_1_1" hidden="1">{#N/A,#N/A,FALSE,"Scenario PivotTable"}</definedName>
    <definedName name="what_3_1_2" localSheetId="6" hidden="1">{#N/A,#N/A,FALSE,"Scenario PivotTable"}</definedName>
    <definedName name="what_3_1_2" hidden="1">{#N/A,#N/A,FALSE,"Scenario PivotTable"}</definedName>
    <definedName name="what_3_1_2_1" localSheetId="6" hidden="1">{#N/A,#N/A,FALSE,"Scenario PivotTable"}</definedName>
    <definedName name="what_3_1_2_1" hidden="1">{#N/A,#N/A,FALSE,"Scenario PivotTable"}</definedName>
    <definedName name="what_3_1_3" localSheetId="6" hidden="1">{#N/A,#N/A,FALSE,"Scenario PivotTable"}</definedName>
    <definedName name="what_3_1_3" hidden="1">{#N/A,#N/A,FALSE,"Scenario PivotTable"}</definedName>
    <definedName name="what_3_2" localSheetId="6" hidden="1">{#N/A,#N/A,FALSE,"Scenario PivotTable"}</definedName>
    <definedName name="what_3_2" hidden="1">{#N/A,#N/A,FALSE,"Scenario PivotTable"}</definedName>
    <definedName name="what_3_2_1" localSheetId="6" hidden="1">{#N/A,#N/A,FALSE,"Scenario PivotTable"}</definedName>
    <definedName name="what_3_2_1" hidden="1">{#N/A,#N/A,FALSE,"Scenario PivotTable"}</definedName>
    <definedName name="what_3_2_1_1" localSheetId="6" hidden="1">{#N/A,#N/A,FALSE,"Scenario PivotTable"}</definedName>
    <definedName name="what_3_2_1_1" hidden="1">{#N/A,#N/A,FALSE,"Scenario PivotTable"}</definedName>
    <definedName name="what_3_2_2" localSheetId="6" hidden="1">{#N/A,#N/A,FALSE,"Scenario PivotTable"}</definedName>
    <definedName name="what_3_2_2" hidden="1">{#N/A,#N/A,FALSE,"Scenario PivotTable"}</definedName>
    <definedName name="what_3_3" localSheetId="6" hidden="1">{#N/A,#N/A,FALSE,"Scenario PivotTable"}</definedName>
    <definedName name="what_3_3" hidden="1">{#N/A,#N/A,FALSE,"Scenario PivotTable"}</definedName>
    <definedName name="what_3_3_1" localSheetId="6" hidden="1">{#N/A,#N/A,FALSE,"Scenario PivotTable"}</definedName>
    <definedName name="what_3_3_1" hidden="1">{#N/A,#N/A,FALSE,"Scenario PivotTable"}</definedName>
    <definedName name="what_3_4" localSheetId="6" hidden="1">{#N/A,#N/A,FALSE,"Scenario PivotTable"}</definedName>
    <definedName name="what_3_4" hidden="1">{#N/A,#N/A,FALSE,"Scenario PivotTable"}</definedName>
    <definedName name="what_4" localSheetId="6" hidden="1">{#N/A,#N/A,FALSE,"Scenario PivotTable"}</definedName>
    <definedName name="what_4" hidden="1">{#N/A,#N/A,FALSE,"Scenario PivotTable"}</definedName>
    <definedName name="what_4_1" localSheetId="6" hidden="1">{#N/A,#N/A,FALSE,"Scenario PivotTable"}</definedName>
    <definedName name="what_4_1" hidden="1">{#N/A,#N/A,FALSE,"Scenario PivotTable"}</definedName>
    <definedName name="what_4_1_1" localSheetId="6" hidden="1">{#N/A,#N/A,FALSE,"Scenario PivotTable"}</definedName>
    <definedName name="what_4_1_1" hidden="1">{#N/A,#N/A,FALSE,"Scenario PivotTable"}</definedName>
    <definedName name="what_4_1_1_1" localSheetId="6" hidden="1">{#N/A,#N/A,FALSE,"Scenario PivotTable"}</definedName>
    <definedName name="what_4_1_1_1" hidden="1">{#N/A,#N/A,FALSE,"Scenario PivotTable"}</definedName>
    <definedName name="what_4_1_2" localSheetId="6" hidden="1">{#N/A,#N/A,FALSE,"Scenario PivotTable"}</definedName>
    <definedName name="what_4_1_2" hidden="1">{#N/A,#N/A,FALSE,"Scenario PivotTable"}</definedName>
    <definedName name="what_4_1_2_1" localSheetId="6" hidden="1">{#N/A,#N/A,FALSE,"Scenario PivotTable"}</definedName>
    <definedName name="what_4_1_2_1" hidden="1">{#N/A,#N/A,FALSE,"Scenario PivotTable"}</definedName>
    <definedName name="what_4_1_3" localSheetId="6" hidden="1">{#N/A,#N/A,FALSE,"Scenario PivotTable"}</definedName>
    <definedName name="what_4_1_3" hidden="1">{#N/A,#N/A,FALSE,"Scenario PivotTable"}</definedName>
    <definedName name="what_4_2" localSheetId="6" hidden="1">{#N/A,#N/A,FALSE,"Scenario PivotTable"}</definedName>
    <definedName name="what_4_2" hidden="1">{#N/A,#N/A,FALSE,"Scenario PivotTable"}</definedName>
    <definedName name="what_4_2_1" localSheetId="6" hidden="1">{#N/A,#N/A,FALSE,"Scenario PivotTable"}</definedName>
    <definedName name="what_4_2_1" hidden="1">{#N/A,#N/A,FALSE,"Scenario PivotTable"}</definedName>
    <definedName name="what_4_2_1_1" localSheetId="6" hidden="1">{#N/A,#N/A,FALSE,"Scenario PivotTable"}</definedName>
    <definedName name="what_4_2_1_1" hidden="1">{#N/A,#N/A,FALSE,"Scenario PivotTable"}</definedName>
    <definedName name="what_4_2_2" localSheetId="6" hidden="1">{#N/A,#N/A,FALSE,"Scenario PivotTable"}</definedName>
    <definedName name="what_4_2_2" hidden="1">{#N/A,#N/A,FALSE,"Scenario PivotTable"}</definedName>
    <definedName name="what_4_3" localSheetId="6" hidden="1">{#N/A,#N/A,FALSE,"Scenario PivotTable"}</definedName>
    <definedName name="what_4_3" hidden="1">{#N/A,#N/A,FALSE,"Scenario PivotTable"}</definedName>
    <definedName name="what_4_3_1" localSheetId="6" hidden="1">{#N/A,#N/A,FALSE,"Scenario PivotTable"}</definedName>
    <definedName name="what_4_3_1" hidden="1">{#N/A,#N/A,FALSE,"Scenario PivotTable"}</definedName>
    <definedName name="what_4_4" localSheetId="6" hidden="1">{#N/A,#N/A,FALSE,"Scenario PivotTable"}</definedName>
    <definedName name="what_4_4" hidden="1">{#N/A,#N/A,FALSE,"Scenario PivotTable"}</definedName>
    <definedName name="what_5" localSheetId="6" hidden="1">{#N/A,#N/A,FALSE,"Scenario PivotTable"}</definedName>
    <definedName name="what_5" hidden="1">{#N/A,#N/A,FALSE,"Scenario PivotTable"}</definedName>
    <definedName name="what_5_1" localSheetId="6" hidden="1">{#N/A,#N/A,FALSE,"Scenario PivotTable"}</definedName>
    <definedName name="what_5_1" hidden="1">{#N/A,#N/A,FALSE,"Scenario PivotTable"}</definedName>
    <definedName name="what_5_1_1" localSheetId="6" hidden="1">{#N/A,#N/A,FALSE,"Scenario PivotTable"}</definedName>
    <definedName name="what_5_1_1" hidden="1">{#N/A,#N/A,FALSE,"Scenario PivotTable"}</definedName>
    <definedName name="what_5_1_1_1" localSheetId="6" hidden="1">{#N/A,#N/A,FALSE,"Scenario PivotTable"}</definedName>
    <definedName name="what_5_1_1_1" hidden="1">{#N/A,#N/A,FALSE,"Scenario PivotTable"}</definedName>
    <definedName name="what_5_1_2" localSheetId="6" hidden="1">{#N/A,#N/A,FALSE,"Scenario PivotTable"}</definedName>
    <definedName name="what_5_1_2" hidden="1">{#N/A,#N/A,FALSE,"Scenario PivotTable"}</definedName>
    <definedName name="what_5_1_2_1" localSheetId="6" hidden="1">{#N/A,#N/A,FALSE,"Scenario PivotTable"}</definedName>
    <definedName name="what_5_1_2_1" hidden="1">{#N/A,#N/A,FALSE,"Scenario PivotTable"}</definedName>
    <definedName name="what_5_1_3" localSheetId="6" hidden="1">{#N/A,#N/A,FALSE,"Scenario PivotTable"}</definedName>
    <definedName name="what_5_1_3" hidden="1">{#N/A,#N/A,FALSE,"Scenario PivotTable"}</definedName>
    <definedName name="what_5_2" localSheetId="6" hidden="1">{#N/A,#N/A,FALSE,"Scenario PivotTable"}</definedName>
    <definedName name="what_5_2" hidden="1">{#N/A,#N/A,FALSE,"Scenario PivotTable"}</definedName>
    <definedName name="what_5_2_1" localSheetId="6" hidden="1">{#N/A,#N/A,FALSE,"Scenario PivotTable"}</definedName>
    <definedName name="what_5_2_1" hidden="1">{#N/A,#N/A,FALSE,"Scenario PivotTable"}</definedName>
    <definedName name="what_5_2_1_1" localSheetId="6" hidden="1">{#N/A,#N/A,FALSE,"Scenario PivotTable"}</definedName>
    <definedName name="what_5_2_1_1" hidden="1">{#N/A,#N/A,FALSE,"Scenario PivotTable"}</definedName>
    <definedName name="what_5_2_2" localSheetId="6" hidden="1">{#N/A,#N/A,FALSE,"Scenario PivotTable"}</definedName>
    <definedName name="what_5_2_2" hidden="1">{#N/A,#N/A,FALSE,"Scenario PivotTable"}</definedName>
    <definedName name="what_5_3" localSheetId="6" hidden="1">{#N/A,#N/A,FALSE,"Scenario PivotTable"}</definedName>
    <definedName name="what_5_3" hidden="1">{#N/A,#N/A,FALSE,"Scenario PivotTable"}</definedName>
    <definedName name="what_5_3_1" localSheetId="6" hidden="1">{#N/A,#N/A,FALSE,"Scenario PivotTable"}</definedName>
    <definedName name="what_5_3_1" hidden="1">{#N/A,#N/A,FALSE,"Scenario PivotTable"}</definedName>
    <definedName name="what_5_4" localSheetId="6" hidden="1">{#N/A,#N/A,FALSE,"Scenario PivotTable"}</definedName>
    <definedName name="what_5_4" hidden="1">{#N/A,#N/A,FALSE,"Scenario PivotTable"}</definedName>
    <definedName name="WHAT_IF">#REF!</definedName>
    <definedName name="whichperiod">#REF!</definedName>
    <definedName name="White_Duration">#REF!</definedName>
    <definedName name="White_Fee">#REF!</definedName>
    <definedName name="White_Mix">#REF!</definedName>
    <definedName name="White_Spon_Fee">#REF!</definedName>
    <definedName name="will" localSheetId="6" hidden="1">{#N/A,#N/A,FALSE,"ASSUM"}</definedName>
    <definedName name="will" hidden="1">{#N/A,#N/A,FALSE,"ASSUM"}</definedName>
    <definedName name="willem"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illem"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in.gary" localSheetId="6" hidden="1">{#N/A,#N/A,FALSE,"Combo-Ass ";#N/A,#N/A,FALSE,"Combo-AD sum";#N/A,#N/A,FALSE,"Combo-Syn Sens";#N/A,#N/A,FALSE,"Combo-Contr";#N/A,#N/A,FALSE,"Combo-Credit Sum";#N/A,#N/A,FALSE,"Combo-Credit";#N/A,#N/A,FALSE,"Combo-AD";#N/A,#N/A,FALSE,"Combo-AD CF"}</definedName>
    <definedName name="win.gary" hidden="1">{#N/A,#N/A,FALSE,"Combo-Ass ";#N/A,#N/A,FALSE,"Combo-AD sum";#N/A,#N/A,FALSE,"Combo-Syn Sens";#N/A,#N/A,FALSE,"Combo-Contr";#N/A,#N/A,FALSE,"Combo-Credit Sum";#N/A,#N/A,FALSE,"Combo-Credit";#N/A,#N/A,FALSE,"Combo-AD";#N/A,#N/A,FALSE,"Combo-AD CF"}</definedName>
    <definedName name="WIP_Days">#REF!</definedName>
    <definedName name="WIPRADIOS">#REF!</definedName>
    <definedName name="wjegwheg" localSheetId="6" hidden="1">{#N/A,#N/A,FALSE,"Banksum";#N/A,#N/A,FALSE,"Banksum"}</definedName>
    <definedName name="wjegwheg" hidden="1">{#N/A,#N/A,FALSE,"Banksum";#N/A,#N/A,FALSE,"Banksum"}</definedName>
    <definedName name="wjsfir" hidden="1">0</definedName>
    <definedName name="wll" localSheetId="4">TAREK MAHMOUD</definedName>
    <definedName name="wll" localSheetId="2">TAREK MAHMOUD</definedName>
    <definedName name="wll" localSheetId="6">TAREK MAHMOUD</definedName>
    <definedName name="wll">TAREK MAHMOUD</definedName>
    <definedName name="wms" localSheetId="6" hidden="1">{"year1",#N/A,FALSE,"IZT";"year2",#N/A,FALSE,"IZT"}</definedName>
    <definedName name="wms" hidden="1">{"year1",#N/A,FALSE,"IZT";"year2",#N/A,FALSE,"IZT"}</definedName>
    <definedName name="wnd" localSheetId="0" hidden="1">{#N/A,#N/A,TRUE,"Proposal";#N/A,#N/A,TRUE,"Assumptions";#N/A,#N/A,TRUE,"Net Income";#N/A,#N/A,TRUE,"Balsheet";#N/A,#N/A,TRUE,"Capex";#N/A,#N/A,TRUE,"Volumes";#N/A,#N/A,TRUE,"Revenues";#N/A,#N/A,TRUE,"Var.Costs";#N/A,#N/A,TRUE,"Personnel";#N/A,#N/A,TRUE,"Other costs";#N/A,#N/A,TRUE,"MKTG and G&amp;A"}</definedName>
    <definedName name="wnd" localSheetId="6" hidden="1">{#N/A,#N/A,TRUE,"Proposal";#N/A,#N/A,TRUE,"Assumptions";#N/A,#N/A,TRUE,"Net Income";#N/A,#N/A,TRUE,"Balsheet";#N/A,#N/A,TRUE,"Capex";#N/A,#N/A,TRUE,"Volumes";#N/A,#N/A,TRUE,"Revenues";#N/A,#N/A,TRUE,"Var.Costs";#N/A,#N/A,TRUE,"Personnel";#N/A,#N/A,TRUE,"Other costs";#N/A,#N/A,TRUE,"MKTG and G&amp;A"}</definedName>
    <definedName name="wnd" hidden="1">{#N/A,#N/A,TRUE,"Proposal";#N/A,#N/A,TRUE,"Assumptions";#N/A,#N/A,TRUE,"Net Income";#N/A,#N/A,TRUE,"Balsheet";#N/A,#N/A,TRUE,"Capex";#N/A,#N/A,TRUE,"Volumes";#N/A,#N/A,TRUE,"Revenues";#N/A,#N/A,TRUE,"Var.Costs";#N/A,#N/A,TRUE,"Personnel";#N/A,#N/A,TRUE,"Other costs";#N/A,#N/A,TRUE,"MKTG and G&amp;A"}</definedName>
    <definedName name="Work_1_sor___ready_500_Li_Query">#REF!</definedName>
    <definedName name="working_1" localSheetId="0" hidden="1">{#N/A,#N/A,FALSE,"REPORT"}</definedName>
    <definedName name="working_1" localSheetId="6" hidden="1">{#N/A,#N/A,FALSE,"REPORT"}</definedName>
    <definedName name="working_1" hidden="1">{#N/A,#N/A,FALSE,"REPORT"}</definedName>
    <definedName name="working_1_1" localSheetId="0" hidden="1">{#N/A,#N/A,FALSE,"REPORT"}</definedName>
    <definedName name="working_1_1" localSheetId="6" hidden="1">{#N/A,#N/A,FALSE,"REPORT"}</definedName>
    <definedName name="working_1_1" hidden="1">{#N/A,#N/A,FALSE,"REPORT"}</definedName>
    <definedName name="working_2" localSheetId="0" hidden="1">{#N/A,#N/A,FALSE,"REPORT"}</definedName>
    <definedName name="working_2" localSheetId="6" hidden="1">{#N/A,#N/A,FALSE,"REPORT"}</definedName>
    <definedName name="working_2" hidden="1">{#N/A,#N/A,FALSE,"REPORT"}</definedName>
    <definedName name="working_3" localSheetId="0" hidden="1">{#N/A,#N/A,FALSE,"REPORT"}</definedName>
    <definedName name="working_3" localSheetId="6" hidden="1">{#N/A,#N/A,FALSE,"REPORT"}</definedName>
    <definedName name="working_3" hidden="1">{#N/A,#N/A,FALSE,"REPORT"}</definedName>
    <definedName name="working_4" localSheetId="0" hidden="1">{#N/A,#N/A,FALSE,"REPORT"}</definedName>
    <definedName name="working_4" localSheetId="6" hidden="1">{#N/A,#N/A,FALSE,"REPORT"}</definedName>
    <definedName name="working_4" hidden="1">{#N/A,#N/A,FALSE,"REPORT"}</definedName>
    <definedName name="working_5" localSheetId="0" hidden="1">{#N/A,#N/A,FALSE,"REPORT"}</definedName>
    <definedName name="working_5" localSheetId="6" hidden="1">{#N/A,#N/A,FALSE,"REPORT"}</definedName>
    <definedName name="working_5" hidden="1">{#N/A,#N/A,FALSE,"REPORT"}</definedName>
    <definedName name="WORKING_CAPITAL">#REF!</definedName>
    <definedName name="workings" localSheetId="0" hidden="1">{#N/A,#N/A,TRUE,"Cover";#N/A,#N/A,TRUE,"Sum";#N/A,#N/A,TRUE,"SubsRev";#N/A,#N/A,TRUE,"CapEx";#N/A,#N/A,TRUE,"OpEx";#N/A,#N/A,TRUE,"SUs";#N/A,#N/A,TRUE,"OrgChart";#N/A,#N/A,TRUE,"Staff";#N/A,#N/A,TRUE,"P&amp;L";#N/A,#N/A,TRUE,"Cash";#N/A,#N/A,TRUE,"BS";#N/A,#N/A,TRUE,"Valuation";#N/A,#N/A,TRUE,"CapEx-Assumptions";#N/A,#N/A,TRUE,"OpEx-Assumptions"}</definedName>
    <definedName name="workings" localSheetId="6" hidden="1">{#N/A,#N/A,TRUE,"Cover";#N/A,#N/A,TRUE,"Sum";#N/A,#N/A,TRUE,"SubsRev";#N/A,#N/A,TRUE,"CapEx";#N/A,#N/A,TRUE,"OpEx";#N/A,#N/A,TRUE,"SUs";#N/A,#N/A,TRUE,"OrgChart";#N/A,#N/A,TRUE,"Staff";#N/A,#N/A,TRUE,"P&amp;L";#N/A,#N/A,TRUE,"Cash";#N/A,#N/A,TRUE,"BS";#N/A,#N/A,TRUE,"Valuation";#N/A,#N/A,TRUE,"CapEx-Assumptions";#N/A,#N/A,TRUE,"OpEx-Assumptions"}</definedName>
    <definedName name="workings" hidden="1">{#N/A,#N/A,TRUE,"Cover";#N/A,#N/A,TRUE,"Sum";#N/A,#N/A,TRUE,"SubsRev";#N/A,#N/A,TRUE,"CapEx";#N/A,#N/A,TRUE,"OpEx";#N/A,#N/A,TRUE,"SUs";#N/A,#N/A,TRUE,"OrgChart";#N/A,#N/A,TRUE,"Staff";#N/A,#N/A,TRUE,"P&amp;L";#N/A,#N/A,TRUE,"Cash";#N/A,#N/A,TRUE,"BS";#N/A,#N/A,TRUE,"Valuation";#N/A,#N/A,TRUE,"CapEx-Assumptions";#N/A,#N/A,TRUE,"OpEx-Assumptions"}</definedName>
    <definedName name="workings1" localSheetId="0" hidden="1">{#N/A,#N/A,TRUE,"Cover";#N/A,#N/A,TRUE,"Sum";#N/A,#N/A,TRUE,"SubsRev";#N/A,#N/A,TRUE,"CapEx";#N/A,#N/A,TRUE,"OpEx";#N/A,#N/A,TRUE,"SUs";#N/A,#N/A,TRUE,"OrgChart";#N/A,#N/A,TRUE,"Staff";#N/A,#N/A,TRUE,"P&amp;L";#N/A,#N/A,TRUE,"Cash";#N/A,#N/A,TRUE,"BS";#N/A,#N/A,TRUE,"Valuation";#N/A,#N/A,TRUE,"CapEx-Assumptions";#N/A,#N/A,TRUE,"OpEx-Assumptions"}</definedName>
    <definedName name="workings1" localSheetId="6" hidden="1">{#N/A,#N/A,TRUE,"Cover";#N/A,#N/A,TRUE,"Sum";#N/A,#N/A,TRUE,"SubsRev";#N/A,#N/A,TRUE,"CapEx";#N/A,#N/A,TRUE,"OpEx";#N/A,#N/A,TRUE,"SUs";#N/A,#N/A,TRUE,"OrgChart";#N/A,#N/A,TRUE,"Staff";#N/A,#N/A,TRUE,"P&amp;L";#N/A,#N/A,TRUE,"Cash";#N/A,#N/A,TRUE,"BS";#N/A,#N/A,TRUE,"Valuation";#N/A,#N/A,TRUE,"CapEx-Assumptions";#N/A,#N/A,TRUE,"OpEx-Assumptions"}</definedName>
    <definedName name="workings1" hidden="1">{#N/A,#N/A,TRUE,"Cover";#N/A,#N/A,TRUE,"Sum";#N/A,#N/A,TRUE,"SubsRev";#N/A,#N/A,TRUE,"CapEx";#N/A,#N/A,TRUE,"OpEx";#N/A,#N/A,TRUE,"SUs";#N/A,#N/A,TRUE,"OrgChart";#N/A,#N/A,TRUE,"Staff";#N/A,#N/A,TRUE,"P&amp;L";#N/A,#N/A,TRUE,"Cash";#N/A,#N/A,TRUE,"BS";#N/A,#N/A,TRUE,"Valuation";#N/A,#N/A,TRUE,"CapEx-Assumptions";#N/A,#N/A,TRUE,"OpEx-Assumptions"}</definedName>
    <definedName name="works"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works"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wp" localSheetId="6" hidden="1">{#N/A,#N/A,FALSE,"FRONTPG";#N/A,#N/A,FALSE,"STATUSREC";#N/A,#N/A,FALSE,"INELIG";#N/A,#N/A,FALSE,"ARACTIV";#N/A,#N/A,FALSE,"ARANAL";#N/A,#N/A,FALSE,"INVANAL";#N/A,#N/A,FALSE,"BALSHT";#N/A,#N/A,FALSE,"INCSTMT";#N/A,#N/A,FALSE,"CASHFLOW";#N/A,#N/A,FALSE,"TREND";#N/A,#N/A,FALSE,"LIAB"}</definedName>
    <definedName name="wp" hidden="1">{#N/A,#N/A,FALSE,"FRONTPG";#N/A,#N/A,FALSE,"STATUSREC";#N/A,#N/A,FALSE,"INELIG";#N/A,#N/A,FALSE,"ARACTIV";#N/A,#N/A,FALSE,"ARANAL";#N/A,#N/A,FALSE,"INVANAL";#N/A,#N/A,FALSE,"BALSHT";#N/A,#N/A,FALSE,"INCSTMT";#N/A,#N/A,FALSE,"CASHFLOW";#N/A,#N/A,FALSE,"TREND";#N/A,#N/A,FALSE,"LIAB"}</definedName>
    <definedName name="WPIFHOWE" hidden="1">#REF!</definedName>
    <definedName name="wq"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wq"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wqadink" localSheetId="0" hidden="1">{#N/A,#N/A,FALSE,"Colombo";#N/A,#N/A,FALSE,"Colata";#N/A,#N/A,FALSE,"Colombo + Colata"}</definedName>
    <definedName name="wqadink" localSheetId="6" hidden="1">{#N/A,#N/A,FALSE,"Colombo";#N/A,#N/A,FALSE,"Colata";#N/A,#N/A,FALSE,"Colombo + Colata"}</definedName>
    <definedName name="wqadink" hidden="1">{#N/A,#N/A,FALSE,"Colombo";#N/A,#N/A,FALSE,"Colata";#N/A,#N/A,FALSE,"Colombo + Colata"}</definedName>
    <definedName name="wqed" hidden="1">#REF!</definedName>
    <definedName name="wqef" localSheetId="0" hidden="1">{#N/A,#N/A,FALSE,"Umsatz CH";#N/A,#N/A,FALSE,"ER CH";#N/A,#N/A,FALSE,"EA CH (2) ";#N/A,#N/A,FALSE,"EA CH";#N/A,#N/A,FALSE,"EA CH (3) ";#N/A,#N/A,FALSE,"EA CH (4)";#N/A,#N/A,FALSE,"KA CH";#N/A,#N/A,FALSE,"KA CH  (2)";#N/A,#N/A,FALSE,"KA CH  (3)";#N/A,#N/A,FALSE,"KA CH (4)"}</definedName>
    <definedName name="wqef" localSheetId="6" hidden="1">{#N/A,#N/A,FALSE,"Umsatz CH";#N/A,#N/A,FALSE,"ER CH";#N/A,#N/A,FALSE,"EA CH (2) ";#N/A,#N/A,FALSE,"EA CH";#N/A,#N/A,FALSE,"EA CH (3) ";#N/A,#N/A,FALSE,"EA CH (4)";#N/A,#N/A,FALSE,"KA CH";#N/A,#N/A,FALSE,"KA CH  (2)";#N/A,#N/A,FALSE,"KA CH  (3)";#N/A,#N/A,FALSE,"KA CH (4)"}</definedName>
    <definedName name="wqef" hidden="1">{#N/A,#N/A,FALSE,"Umsatz CH";#N/A,#N/A,FALSE,"ER CH";#N/A,#N/A,FALSE,"EA CH (2) ";#N/A,#N/A,FALSE,"EA CH";#N/A,#N/A,FALSE,"EA CH (3) ";#N/A,#N/A,FALSE,"EA CH (4)";#N/A,#N/A,FALSE,"KA CH";#N/A,#N/A,FALSE,"KA CH  (2)";#N/A,#N/A,FALSE,"KA CH  (3)";#N/A,#N/A,FALSE,"KA CH (4)"}</definedName>
    <definedName name="wqef_1" localSheetId="0" hidden="1">{#N/A,#N/A,FALSE,"Umsatz CH";#N/A,#N/A,FALSE,"ER CH";#N/A,#N/A,FALSE,"EA CH (2) ";#N/A,#N/A,FALSE,"EA CH";#N/A,#N/A,FALSE,"EA CH (3) ";#N/A,#N/A,FALSE,"EA CH (4)";#N/A,#N/A,FALSE,"KA CH";#N/A,#N/A,FALSE,"KA CH  (2)";#N/A,#N/A,FALSE,"KA CH  (3)";#N/A,#N/A,FALSE,"KA CH (4)"}</definedName>
    <definedName name="wqef_1" localSheetId="6" hidden="1">{#N/A,#N/A,FALSE,"Umsatz CH";#N/A,#N/A,FALSE,"ER CH";#N/A,#N/A,FALSE,"EA CH (2) ";#N/A,#N/A,FALSE,"EA CH";#N/A,#N/A,FALSE,"EA CH (3) ";#N/A,#N/A,FALSE,"EA CH (4)";#N/A,#N/A,FALSE,"KA CH";#N/A,#N/A,FALSE,"KA CH  (2)";#N/A,#N/A,FALSE,"KA CH  (3)";#N/A,#N/A,FALSE,"KA CH (4)"}</definedName>
    <definedName name="wqef_1" hidden="1">{#N/A,#N/A,FALSE,"Umsatz CH";#N/A,#N/A,FALSE,"ER CH";#N/A,#N/A,FALSE,"EA CH (2) ";#N/A,#N/A,FALSE,"EA CH";#N/A,#N/A,FALSE,"EA CH (3) ";#N/A,#N/A,FALSE,"EA CH (4)";#N/A,#N/A,FALSE,"KA CH";#N/A,#N/A,FALSE,"KA CH  (2)";#N/A,#N/A,FALSE,"KA CH  (3)";#N/A,#N/A,FALSE,"KA CH (4)"}</definedName>
    <definedName name="wqef_1_1" localSheetId="0" hidden="1">{#N/A,#N/A,FALSE,"Umsatz CH";#N/A,#N/A,FALSE,"ER CH";#N/A,#N/A,FALSE,"EA CH (2) ";#N/A,#N/A,FALSE,"EA CH";#N/A,#N/A,FALSE,"EA CH (3) ";#N/A,#N/A,FALSE,"EA CH (4)";#N/A,#N/A,FALSE,"KA CH";#N/A,#N/A,FALSE,"KA CH  (2)";#N/A,#N/A,FALSE,"KA CH  (3)";#N/A,#N/A,FALSE,"KA CH (4)"}</definedName>
    <definedName name="wqef_1_1" localSheetId="6" hidden="1">{#N/A,#N/A,FALSE,"Umsatz CH";#N/A,#N/A,FALSE,"ER CH";#N/A,#N/A,FALSE,"EA CH (2) ";#N/A,#N/A,FALSE,"EA CH";#N/A,#N/A,FALSE,"EA CH (3) ";#N/A,#N/A,FALSE,"EA CH (4)";#N/A,#N/A,FALSE,"KA CH";#N/A,#N/A,FALSE,"KA CH  (2)";#N/A,#N/A,FALSE,"KA CH  (3)";#N/A,#N/A,FALSE,"KA CH (4)"}</definedName>
    <definedName name="wqef_1_1" hidden="1">{#N/A,#N/A,FALSE,"Umsatz CH";#N/A,#N/A,FALSE,"ER CH";#N/A,#N/A,FALSE,"EA CH (2) ";#N/A,#N/A,FALSE,"EA CH";#N/A,#N/A,FALSE,"EA CH (3) ";#N/A,#N/A,FALSE,"EA CH (4)";#N/A,#N/A,FALSE,"KA CH";#N/A,#N/A,FALSE,"KA CH  (2)";#N/A,#N/A,FALSE,"KA CH  (3)";#N/A,#N/A,FALSE,"KA CH (4)"}</definedName>
    <definedName name="wqef_2" localSheetId="0" hidden="1">{#N/A,#N/A,FALSE,"Umsatz CH";#N/A,#N/A,FALSE,"ER CH";#N/A,#N/A,FALSE,"EA CH (2) ";#N/A,#N/A,FALSE,"EA CH";#N/A,#N/A,FALSE,"EA CH (3) ";#N/A,#N/A,FALSE,"EA CH (4)";#N/A,#N/A,FALSE,"KA CH";#N/A,#N/A,FALSE,"KA CH  (2)";#N/A,#N/A,FALSE,"KA CH  (3)";#N/A,#N/A,FALSE,"KA CH (4)"}</definedName>
    <definedName name="wqef_2" localSheetId="6" hidden="1">{#N/A,#N/A,FALSE,"Umsatz CH";#N/A,#N/A,FALSE,"ER CH";#N/A,#N/A,FALSE,"EA CH (2) ";#N/A,#N/A,FALSE,"EA CH";#N/A,#N/A,FALSE,"EA CH (3) ";#N/A,#N/A,FALSE,"EA CH (4)";#N/A,#N/A,FALSE,"KA CH";#N/A,#N/A,FALSE,"KA CH  (2)";#N/A,#N/A,FALSE,"KA CH  (3)";#N/A,#N/A,FALSE,"KA CH (4)"}</definedName>
    <definedName name="wqef_2" hidden="1">{#N/A,#N/A,FALSE,"Umsatz CH";#N/A,#N/A,FALSE,"ER CH";#N/A,#N/A,FALSE,"EA CH (2) ";#N/A,#N/A,FALSE,"EA CH";#N/A,#N/A,FALSE,"EA CH (3) ";#N/A,#N/A,FALSE,"EA CH (4)";#N/A,#N/A,FALSE,"KA CH";#N/A,#N/A,FALSE,"KA CH  (2)";#N/A,#N/A,FALSE,"KA CH  (3)";#N/A,#N/A,FALSE,"KA CH (4)"}</definedName>
    <definedName name="wqef_3" localSheetId="0" hidden="1">{#N/A,#N/A,FALSE,"Umsatz CH";#N/A,#N/A,FALSE,"ER CH";#N/A,#N/A,FALSE,"EA CH (2) ";#N/A,#N/A,FALSE,"EA CH";#N/A,#N/A,FALSE,"EA CH (3) ";#N/A,#N/A,FALSE,"EA CH (4)";#N/A,#N/A,FALSE,"KA CH";#N/A,#N/A,FALSE,"KA CH  (2)";#N/A,#N/A,FALSE,"KA CH  (3)";#N/A,#N/A,FALSE,"KA CH (4)"}</definedName>
    <definedName name="wqef_3" localSheetId="6" hidden="1">{#N/A,#N/A,FALSE,"Umsatz CH";#N/A,#N/A,FALSE,"ER CH";#N/A,#N/A,FALSE,"EA CH (2) ";#N/A,#N/A,FALSE,"EA CH";#N/A,#N/A,FALSE,"EA CH (3) ";#N/A,#N/A,FALSE,"EA CH (4)";#N/A,#N/A,FALSE,"KA CH";#N/A,#N/A,FALSE,"KA CH  (2)";#N/A,#N/A,FALSE,"KA CH  (3)";#N/A,#N/A,FALSE,"KA CH (4)"}</definedName>
    <definedName name="wqef_3" hidden="1">{#N/A,#N/A,FALSE,"Umsatz CH";#N/A,#N/A,FALSE,"ER CH";#N/A,#N/A,FALSE,"EA CH (2) ";#N/A,#N/A,FALSE,"EA CH";#N/A,#N/A,FALSE,"EA CH (3) ";#N/A,#N/A,FALSE,"EA CH (4)";#N/A,#N/A,FALSE,"KA CH";#N/A,#N/A,FALSE,"KA CH  (2)";#N/A,#N/A,FALSE,"KA CH  (3)";#N/A,#N/A,FALSE,"KA CH (4)"}</definedName>
    <definedName name="wqef_4" localSheetId="0" hidden="1">{#N/A,#N/A,FALSE,"Umsatz CH";#N/A,#N/A,FALSE,"ER CH";#N/A,#N/A,FALSE,"EA CH (2) ";#N/A,#N/A,FALSE,"EA CH";#N/A,#N/A,FALSE,"EA CH (3) ";#N/A,#N/A,FALSE,"EA CH (4)";#N/A,#N/A,FALSE,"KA CH";#N/A,#N/A,FALSE,"KA CH  (2)";#N/A,#N/A,FALSE,"KA CH  (3)";#N/A,#N/A,FALSE,"KA CH (4)"}</definedName>
    <definedName name="wqef_4" localSheetId="6" hidden="1">{#N/A,#N/A,FALSE,"Umsatz CH";#N/A,#N/A,FALSE,"ER CH";#N/A,#N/A,FALSE,"EA CH (2) ";#N/A,#N/A,FALSE,"EA CH";#N/A,#N/A,FALSE,"EA CH (3) ";#N/A,#N/A,FALSE,"EA CH (4)";#N/A,#N/A,FALSE,"KA CH";#N/A,#N/A,FALSE,"KA CH  (2)";#N/A,#N/A,FALSE,"KA CH  (3)";#N/A,#N/A,FALSE,"KA CH (4)"}</definedName>
    <definedName name="wqef_4" hidden="1">{#N/A,#N/A,FALSE,"Umsatz CH";#N/A,#N/A,FALSE,"ER CH";#N/A,#N/A,FALSE,"EA CH (2) ";#N/A,#N/A,FALSE,"EA CH";#N/A,#N/A,FALSE,"EA CH (3) ";#N/A,#N/A,FALSE,"EA CH (4)";#N/A,#N/A,FALSE,"KA CH";#N/A,#N/A,FALSE,"KA CH  (2)";#N/A,#N/A,FALSE,"KA CH  (3)";#N/A,#N/A,FALSE,"KA CH (4)"}</definedName>
    <definedName name="wqef_5" localSheetId="0" hidden="1">{#N/A,#N/A,FALSE,"Umsatz CH";#N/A,#N/A,FALSE,"ER CH";#N/A,#N/A,FALSE,"EA CH (2) ";#N/A,#N/A,FALSE,"EA CH";#N/A,#N/A,FALSE,"EA CH (3) ";#N/A,#N/A,FALSE,"EA CH (4)";#N/A,#N/A,FALSE,"KA CH";#N/A,#N/A,FALSE,"KA CH  (2)";#N/A,#N/A,FALSE,"KA CH  (3)";#N/A,#N/A,FALSE,"KA CH (4)"}</definedName>
    <definedName name="wqef_5" localSheetId="6" hidden="1">{#N/A,#N/A,FALSE,"Umsatz CH";#N/A,#N/A,FALSE,"ER CH";#N/A,#N/A,FALSE,"EA CH (2) ";#N/A,#N/A,FALSE,"EA CH";#N/A,#N/A,FALSE,"EA CH (3) ";#N/A,#N/A,FALSE,"EA CH (4)";#N/A,#N/A,FALSE,"KA CH";#N/A,#N/A,FALSE,"KA CH  (2)";#N/A,#N/A,FALSE,"KA CH  (3)";#N/A,#N/A,FALSE,"KA CH (4)"}</definedName>
    <definedName name="wqef_5" hidden="1">{#N/A,#N/A,FALSE,"Umsatz CH";#N/A,#N/A,FALSE,"ER CH";#N/A,#N/A,FALSE,"EA CH (2) ";#N/A,#N/A,FALSE,"EA CH";#N/A,#N/A,FALSE,"EA CH (3) ";#N/A,#N/A,FALSE,"EA CH (4)";#N/A,#N/A,FALSE,"KA CH";#N/A,#N/A,FALSE,"KA CH  (2)";#N/A,#N/A,FALSE,"KA CH  (3)";#N/A,#N/A,FALSE,"KA CH (4)"}</definedName>
    <definedName name="wqefh" localSheetId="6" hidden="1">{#N/A,#N/A,FALSE,"ACQ_GRAPHS";#N/A,#N/A,FALSE,"T_1 GRAPHS";#N/A,#N/A,FALSE,"T_2 GRAPHS";#N/A,#N/A,FALSE,"COMB_GRAPHS"}</definedName>
    <definedName name="wqefh" hidden="1">{#N/A,#N/A,FALSE,"ACQ_GRAPHS";#N/A,#N/A,FALSE,"T_1 GRAPHS";#N/A,#N/A,FALSE,"T_2 GRAPHS";#N/A,#N/A,FALSE,"COMB_GRAPHS"}</definedName>
    <definedName name="wqer" localSheetId="6" hidden="1">{#N/A,#N/A,TRUE,"Cover";#N/A,#N/A,TRUE,"Conts";#N/A,#N/A,TRUE,"VOS";#N/A,#N/A,TRUE,"Warrington";#N/A,#N/A,TRUE,"Widnes"}</definedName>
    <definedName name="wqer" hidden="1">{#N/A,#N/A,TRUE,"Cover";#N/A,#N/A,TRUE,"Conts";#N/A,#N/A,TRUE,"VOS";#N/A,#N/A,TRUE,"Warrington";#N/A,#N/A,TRUE,"Widnes"}</definedName>
    <definedName name="wqer_1" localSheetId="6" hidden="1">{#N/A,#N/A,TRUE,"Cover";#N/A,#N/A,TRUE,"Conts";#N/A,#N/A,TRUE,"VOS";#N/A,#N/A,TRUE,"Warrington";#N/A,#N/A,TRUE,"Widnes"}</definedName>
    <definedName name="wqer_1" hidden="1">{#N/A,#N/A,TRUE,"Cover";#N/A,#N/A,TRUE,"Conts";#N/A,#N/A,TRUE,"VOS";#N/A,#N/A,TRUE,"Warrington";#N/A,#N/A,TRUE,"Widnes"}</definedName>
    <definedName name="wqq" localSheetId="0" hidden="1">{#N/A,#N/A,FALSE,"M1";#N/A,#N/A,FALSE,"M1a";#N/A,#N/A,FALSE,"M2";#N/A,#N/A,FALSE,"M2a(i)";#N/A,#N/A,FALSE,"M2a(ii)";#N/A,#N/A,FALSE,"M3";#N/A,#N/A,FALSE,"M3a";#N/A,#N/A,FALSE,"M4";#N/A,#N/A,FALSE,"M5";#N/A,#N/A,FALSE,"M5a";#N/A,#N/A,FALSE,"M6";#N/A,#N/A,FALSE,"M7"}</definedName>
    <definedName name="wqq" localSheetId="6" hidden="1">{#N/A,#N/A,FALSE,"M1";#N/A,#N/A,FALSE,"M1a";#N/A,#N/A,FALSE,"M2";#N/A,#N/A,FALSE,"M2a(i)";#N/A,#N/A,FALSE,"M2a(ii)";#N/A,#N/A,FALSE,"M3";#N/A,#N/A,FALSE,"M3a";#N/A,#N/A,FALSE,"M4";#N/A,#N/A,FALSE,"M5";#N/A,#N/A,FALSE,"M5a";#N/A,#N/A,FALSE,"M6";#N/A,#N/A,FALSE,"M7"}</definedName>
    <definedName name="wqq" hidden="1">{#N/A,#N/A,FALSE,"M1";#N/A,#N/A,FALSE,"M1a";#N/A,#N/A,FALSE,"M2";#N/A,#N/A,FALSE,"M2a(i)";#N/A,#N/A,FALSE,"M2a(ii)";#N/A,#N/A,FALSE,"M3";#N/A,#N/A,FALSE,"M3a";#N/A,#N/A,FALSE,"M4";#N/A,#N/A,FALSE,"M5";#N/A,#N/A,FALSE,"M5a";#N/A,#N/A,FALSE,"M6";#N/A,#N/A,FALSE,"M7"}</definedName>
    <definedName name="wqqe" hidden="1">#REF!</definedName>
    <definedName name="WR" localSheetId="0" hidden="1">{#N/A,#N/A,FALSE,"Aging Summary";#N/A,#N/A,FALSE,"Ratio Analysis";#N/A,#N/A,FALSE,"Test 120 Day Accts";#N/A,#N/A,FALSE,"Tickmarks"}</definedName>
    <definedName name="WR" localSheetId="6" hidden="1">{#N/A,#N/A,FALSE,"Aging Summary";#N/A,#N/A,FALSE,"Ratio Analysis";#N/A,#N/A,FALSE,"Test 120 Day Accts";#N/A,#N/A,FALSE,"Tickmarks"}</definedName>
    <definedName name="WR" hidden="1">{#N/A,#N/A,FALSE,"Aging Summary";#N/A,#N/A,FALSE,"Ratio Analysis";#N/A,#N/A,FALSE,"Test 120 Day Accts";#N/A,#N/A,FALSE,"Tickmarks"}</definedName>
    <definedName name="WR_1" localSheetId="0" hidden="1">{#N/A,#N/A,FALSE,"Aging Summary";#N/A,#N/A,FALSE,"Ratio Analysis";#N/A,#N/A,FALSE,"Test 120 Day Accts";#N/A,#N/A,FALSE,"Tickmarks"}</definedName>
    <definedName name="WR_1" localSheetId="6" hidden="1">{#N/A,#N/A,FALSE,"Aging Summary";#N/A,#N/A,FALSE,"Ratio Analysis";#N/A,#N/A,FALSE,"Test 120 Day Accts";#N/A,#N/A,FALSE,"Tickmarks"}</definedName>
    <definedName name="WR_1" hidden="1">{#N/A,#N/A,FALSE,"Aging Summary";#N/A,#N/A,FALSE,"Ratio Analysis";#N/A,#N/A,FALSE,"Test 120 Day Accts";#N/A,#N/A,FALSE,"Tickmarks"}</definedName>
    <definedName name="wrgrw" localSheetId="6" hidden="1">{#N/A,#N/A,FALSE,"BE";#N/A,#N/A,FALSE,"Bia";#N/A,#N/A,FALSE,"By";#N/A,#N/A,FALSE,"Bor";#N/A,#N/A,FALSE,"Gab";#N/A,#N/A,FALSE,"Gar";#N/A,#N/A,FALSE,"Lov";#N/A,#N/A,FALSE,"SJ";#N/A,#N/A,FALSE,"SM";#N/A,#N/A,FALSE,"Wb";#N/A,#N/A,FALSE,"Yok"}</definedName>
    <definedName name="wrgrw" hidden="1">{#N/A,#N/A,FALSE,"BE";#N/A,#N/A,FALSE,"Bia";#N/A,#N/A,FALSE,"By";#N/A,#N/A,FALSE,"Bor";#N/A,#N/A,FALSE,"Gab";#N/A,#N/A,FALSE,"Gar";#N/A,#N/A,FALSE,"Lov";#N/A,#N/A,FALSE,"SJ";#N/A,#N/A,FALSE,"SM";#N/A,#N/A,FALSE,"Wb";#N/A,#N/A,FALSE,"Yok"}</definedName>
    <definedName name="wrn" localSheetId="0" hidden="1">{"cap_structure",#N/A,FALSE,"Graph-Mkt Cap";"price",#N/A,FALSE,"Graph-Price";"ebit",#N/A,FALSE,"Graph-EBITDA";"ebitda",#N/A,FALSE,"Graph-EBITDA"}</definedName>
    <definedName name="wrn" localSheetId="6" hidden="1">{"cap_structure",#N/A,FALSE,"Graph-Mkt Cap";"price",#N/A,FALSE,"Graph-Price";"ebit",#N/A,FALSE,"Graph-EBITDA";"ebitda",#N/A,FALSE,"Graph-EBITDA"}</definedName>
    <definedName name="wrn" hidden="1">{"cap_structure",#N/A,FALSE,"Graph-Mkt Cap";"price",#N/A,FALSE,"Graph-Price";"ebit",#N/A,FALSE,"Graph-EBITDA";"ebitda",#N/A,FALSE,"Graph-EBITDA"}</definedName>
    <definedName name="wrn.____EVERYTHING____." localSheetId="6"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EVERYTHING____."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OVERVIEW____." localSheetId="6" hidden="1">{"PRICES",#N/A,TRUE,"PRICES";"RESULTS",#N/A,TRUE,"RESULTS";"SECTOR1",#N/A,TRUE,"SECTOR 1";"SECTOR2",#N/A,TRUE,"SECTOR 2";"SECTOR3",#N/A,TRUE,"SECTOR 3";"SECTOR4",#N/A,TRUE,"SECTOR 4";"Sector 5",#N/A,TRUE,"SECTOR 5";"Normalized_Potential",#N/A,TRUE,"SECTOR 5";"SECTOR6",#N/A,TRUE,"SECTOR 6";"TOP",#N/A,TRUE,"PERATIOS";"BOTTOM",#N/A,TRUE,"PERATIOS"}</definedName>
    <definedName name="wrn.____OVERVIEW____." hidden="1">{"PRICES",#N/A,TRUE,"PRICES";"RESULTS",#N/A,TRUE,"RESULTS";"SECTOR1",#N/A,TRUE,"SECTOR 1";"SECTOR2",#N/A,TRUE,"SECTOR 2";"SECTOR3",#N/A,TRUE,"SECTOR 3";"SECTOR4",#N/A,TRUE,"SECTOR 4";"Sector 5",#N/A,TRUE,"SECTOR 5";"Normalized_Potential",#N/A,TRUE,"SECTOR 5";"SECTOR6",#N/A,TRUE,"SECTOR 6";"TOP",#N/A,TRUE,"PERATIOS";"BOTTOM",#N/A,TRUE,"PERATIOS"}</definedName>
    <definedName name="wrn.02INFORME." localSheetId="0" hidden="1">{"NORMAL",#N/A,FALSE,"02"}</definedName>
    <definedName name="wrn.02INFORME." localSheetId="6" hidden="1">{"NORMAL",#N/A,FALSE,"02"}</definedName>
    <definedName name="wrn.02INFORME." hidden="1">{"NORMAL",#N/A,FALSE,"02"}</definedName>
    <definedName name="wrn.1." localSheetId="0" hidden="1">{#N/A,#N/A,FALSE,"Calc";#N/A,#N/A,FALSE,"Sensitivity";#N/A,#N/A,FALSE,"LT Earn.Dil.";#N/A,#N/A,FALSE,"Dil. AVP"}</definedName>
    <definedName name="wrn.1." localSheetId="6" hidden="1">{#N/A,#N/A,FALSE,"Calc";#N/A,#N/A,FALSE,"Sensitivity";#N/A,#N/A,FALSE,"LT Earn.Dil.";#N/A,#N/A,FALSE,"Dil. AVP"}</definedName>
    <definedName name="wrn.1." hidden="1">{#N/A,#N/A,FALSE,"Calc";#N/A,#N/A,FALSE,"Sensitivity";#N/A,#N/A,FALSE,"LT Earn.Dil.";#N/A,#N/A,FALSE,"Dil. AVP"}</definedName>
    <definedName name="wrn.1.1" localSheetId="0" hidden="1">{#N/A,#N/A,FALSE,"Calc";#N/A,#N/A,FALSE,"Sensitivity";#N/A,#N/A,FALSE,"LT Earn.Dil.";#N/A,#N/A,FALSE,"Dil. AVP"}</definedName>
    <definedName name="wrn.1.1" localSheetId="6" hidden="1">{#N/A,#N/A,FALSE,"Calc";#N/A,#N/A,FALSE,"Sensitivity";#N/A,#N/A,FALSE,"LT Earn.Dil.";#N/A,#N/A,FALSE,"Dil. AVP"}</definedName>
    <definedName name="wrn.1.1" hidden="1">{#N/A,#N/A,FALSE,"Calc";#N/A,#N/A,FALSE,"Sensitivity";#N/A,#N/A,FALSE,"LT Earn.Dil.";#N/A,#N/A,FALSE,"Dil. AVP"}</definedName>
    <definedName name="wrn.1.1.2" localSheetId="0" hidden="1">{#N/A,#N/A,FALSE,"Calc";#N/A,#N/A,FALSE,"Sensitivity";#N/A,#N/A,FALSE,"LT Earn.Dil.";#N/A,#N/A,FALSE,"Dil. AVP"}</definedName>
    <definedName name="wrn.1.1.2" localSheetId="6" hidden="1">{#N/A,#N/A,FALSE,"Calc";#N/A,#N/A,FALSE,"Sensitivity";#N/A,#N/A,FALSE,"LT Earn.Dil.";#N/A,#N/A,FALSE,"Dil. AVP"}</definedName>
    <definedName name="wrn.1.1.2" hidden="1">{#N/A,#N/A,FALSE,"Calc";#N/A,#N/A,FALSE,"Sensitivity";#N/A,#N/A,FALSE,"LT Earn.Dil.";#N/A,#N/A,FALSE,"Dil. AVP"}</definedName>
    <definedName name="wrn.1.1.3" localSheetId="0" hidden="1">{#N/A,#N/A,FALSE,"Calc";#N/A,#N/A,FALSE,"Sensitivity";#N/A,#N/A,FALSE,"LT Earn.Dil.";#N/A,#N/A,FALSE,"Dil. AVP"}</definedName>
    <definedName name="wrn.1.1.3" localSheetId="6" hidden="1">{#N/A,#N/A,FALSE,"Calc";#N/A,#N/A,FALSE,"Sensitivity";#N/A,#N/A,FALSE,"LT Earn.Dil.";#N/A,#N/A,FALSE,"Dil. AVP"}</definedName>
    <definedName name="wrn.1.1.3" hidden="1">{#N/A,#N/A,FALSE,"Calc";#N/A,#N/A,FALSE,"Sensitivity";#N/A,#N/A,FALSE,"LT Earn.Dil.";#N/A,#N/A,FALSE,"Dil. AVP"}</definedName>
    <definedName name="wrn.1.2" localSheetId="0" hidden="1">{#N/A,#N/A,FALSE,"Calc";#N/A,#N/A,FALSE,"Sensitivity";#N/A,#N/A,FALSE,"LT Earn.Dil.";#N/A,#N/A,FALSE,"Dil. AVP"}</definedName>
    <definedName name="wrn.1.2" localSheetId="6" hidden="1">{#N/A,#N/A,FALSE,"Calc";#N/A,#N/A,FALSE,"Sensitivity";#N/A,#N/A,FALSE,"LT Earn.Dil.";#N/A,#N/A,FALSE,"Dil. AVP"}</definedName>
    <definedName name="wrn.1.2" hidden="1">{#N/A,#N/A,FALSE,"Calc";#N/A,#N/A,FALSE,"Sensitivity";#N/A,#N/A,FALSE,"LT Earn.Dil.";#N/A,#N/A,FALSE,"Dil. AVP"}</definedName>
    <definedName name="wrn.1.3" localSheetId="0" hidden="1">{#N/A,#N/A,FALSE,"Calc";#N/A,#N/A,FALSE,"Sensitivity";#N/A,#N/A,FALSE,"LT Earn.Dil.";#N/A,#N/A,FALSE,"Dil. AVP"}</definedName>
    <definedName name="wrn.1.3" localSheetId="6" hidden="1">{#N/A,#N/A,FALSE,"Calc";#N/A,#N/A,FALSE,"Sensitivity";#N/A,#N/A,FALSE,"LT Earn.Dil.";#N/A,#N/A,FALSE,"Dil. AVP"}</definedName>
    <definedName name="wrn.1.3" hidden="1">{#N/A,#N/A,FALSE,"Calc";#N/A,#N/A,FALSE,"Sensitivity";#N/A,#N/A,FALSE,"LT Earn.Dil.";#N/A,#N/A,FALSE,"Dil. AVP"}</definedName>
    <definedName name="wrn.111111" localSheetId="0" hidden="1">{#N/A,#N/A,FALSE,"Pharm";#N/A,#N/A,FALSE,"WWCM"}</definedName>
    <definedName name="wrn.111111" localSheetId="6" hidden="1">{#N/A,#N/A,FALSE,"Pharm";#N/A,#N/A,FALSE,"WWCM"}</definedName>
    <definedName name="wrn.111111" hidden="1">{#N/A,#N/A,FALSE,"Pharm";#N/A,#N/A,FALSE,"WWCM"}</definedName>
    <definedName name="wrn.111111_1" localSheetId="0" hidden="1">{#N/A,#N/A,FALSE,"Pharm";#N/A,#N/A,FALSE,"WWCM"}</definedName>
    <definedName name="wrn.111111_1" localSheetId="6" hidden="1">{#N/A,#N/A,FALSE,"Pharm";#N/A,#N/A,FALSE,"WWCM"}</definedName>
    <definedName name="wrn.111111_1" hidden="1">{#N/A,#N/A,FALSE,"Pharm";#N/A,#N/A,FALSE,"WWCM"}</definedName>
    <definedName name="wrn.111111_1_1" localSheetId="0" hidden="1">{#N/A,#N/A,FALSE,"Pharm";#N/A,#N/A,FALSE,"WWCM"}</definedName>
    <definedName name="wrn.111111_1_1" localSheetId="6" hidden="1">{#N/A,#N/A,FALSE,"Pharm";#N/A,#N/A,FALSE,"WWCM"}</definedName>
    <definedName name="wrn.111111_1_1" hidden="1">{#N/A,#N/A,FALSE,"Pharm";#N/A,#N/A,FALSE,"WWCM"}</definedName>
    <definedName name="wrn.111111_2" localSheetId="0" hidden="1">{#N/A,#N/A,FALSE,"Pharm";#N/A,#N/A,FALSE,"WWCM"}</definedName>
    <definedName name="wrn.111111_2" localSheetId="6" hidden="1">{#N/A,#N/A,FALSE,"Pharm";#N/A,#N/A,FALSE,"WWCM"}</definedName>
    <definedName name="wrn.111111_2" hidden="1">{#N/A,#N/A,FALSE,"Pharm";#N/A,#N/A,FALSE,"WWCM"}</definedName>
    <definedName name="wrn.111111_3" localSheetId="0" hidden="1">{#N/A,#N/A,FALSE,"Pharm";#N/A,#N/A,FALSE,"WWCM"}</definedName>
    <definedName name="wrn.111111_3" localSheetId="6" hidden="1">{#N/A,#N/A,FALSE,"Pharm";#N/A,#N/A,FALSE,"WWCM"}</definedName>
    <definedName name="wrn.111111_3" hidden="1">{#N/A,#N/A,FALSE,"Pharm";#N/A,#N/A,FALSE,"WWCM"}</definedName>
    <definedName name="wrn.111111_4" localSheetId="0" hidden="1">{#N/A,#N/A,FALSE,"Pharm";#N/A,#N/A,FALSE,"WWCM"}</definedName>
    <definedName name="wrn.111111_4" localSheetId="6" hidden="1">{#N/A,#N/A,FALSE,"Pharm";#N/A,#N/A,FALSE,"WWCM"}</definedName>
    <definedName name="wrn.111111_4" hidden="1">{#N/A,#N/A,FALSE,"Pharm";#N/A,#N/A,FALSE,"WWCM"}</definedName>
    <definedName name="wrn.111111_5" localSheetId="0" hidden="1">{#N/A,#N/A,FALSE,"Pharm";#N/A,#N/A,FALSE,"WWCM"}</definedName>
    <definedName name="wrn.111111_5" localSheetId="6" hidden="1">{#N/A,#N/A,FALSE,"Pharm";#N/A,#N/A,FALSE,"WWCM"}</definedName>
    <definedName name="wrn.111111_5" hidden="1">{#N/A,#N/A,FALSE,"Pharm";#N/A,#N/A,FALSE,"WWCM"}</definedName>
    <definedName name="wrn.1995." localSheetId="6" hidden="1">{#N/A,#N/A,FALSE,"Results_1995"}</definedName>
    <definedName name="wrn.1995." hidden="1">{#N/A,#N/A,FALSE,"Results_1995"}</definedName>
    <definedName name="wrn.1996." localSheetId="6" hidden="1">{#N/A,#N/A,FALSE,"Results_1996"}</definedName>
    <definedName name="wrn.1996." hidden="1">{#N/A,#N/A,FALSE,"Results_1996"}</definedName>
    <definedName name="wrn.1997." localSheetId="6" hidden="1">{#N/A,#N/A,FALSE,"Results_1997"}</definedName>
    <definedName name="wrn.1997." hidden="1">{#N/A,#N/A,FALSE,"Results_1997"}</definedName>
    <definedName name="wrn.1998." localSheetId="6" hidden="1">{#N/A,#N/A,FALSE,"Results_1998"}</definedName>
    <definedName name="wrn.1998." hidden="1">{#N/A,#N/A,FALSE,"Results_1998"}</definedName>
    <definedName name="wrn.1998._.Update."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wrn.1998._.Update."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wrn.1998._.Update." hidden="1">{#N/A,#N/A,TRUE,"COVER2";#N/A,#N/A,TRUE,"AGENDA";#N/A,#N/A,TRUE,"Cover";#N/A,#N/A,TRUE,"4M";#N/A,#N/A,TRUE,"FLP&amp;L4M";#N/A,#N/A,TRUE,"4MMC";#N/A,#N/A,TRUE,"Shp4M";#N/A,#N/A,TRUE,"M5";#N/A,#N/A,TRUE,"Q2";#N/A,#N/A,TRUE,"Q1vsQ2";#N/A,#N/A,TRUE,"M6";#N/A,#N/A,TRUE,"TY";#N/A,#N/A,TRUE,"FLP&amp;LTY";#N/A,#N/A,TRUE,"TYMC";#N/A,#N/A,TRUE,"ShpTY";#N/A,#N/A,TRUE,"8M";#N/A,#N/A,TRUE,"FLP&amp;L8M";#N/A,#N/A,TRUE,"8MMC";#N/A,#N/A,TRUE,"Shp8M"}</definedName>
    <definedName name="wrn.19cityDemand._.Report." localSheetId="0"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9cityDemand._.Report." localSheetId="6"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19cityDemand._.Report." hidden="1">{#N/A,#N/A,FALSE,"ALLcity";#N/A,#N/A,FALSE,"AUS01";#N/A,#N/A,FALSE,"ATL01";#N/A,#N/A,FALSE,"BOS01";#N/A,#N/A,FALSE,"CHI01";#N/A,#N/A,FALSE,"CHI02";#N/A,#N/A,FALSE,"DAL01";#N/A,#N/A,FALSE,"DEN01";#N/A,#N/A,FALSE,"FTW02";#N/A,#N/A,FALSE,"HOU01";#N/A,#N/A,FALSE,"LAX01";#N/A,#N/A,FALSE,"MIL01";#N/A,#N/A,FALSE,"NYC01";#N/A,#N/A,FALSE,"PHX01";#N/A,#N/A,FALSE,"POR01";#N/A,#N/A,FALSE,"SF01";#N/A,#N/A,FALSE,"SF02";#N/A,#N/A,FALSE,"SEA01";#N/A,#N/A,FALSE,"VEG01";#N/A,#N/A,FALSE,"WASHDC"}</definedName>
    <definedName name="WRN.2." localSheetId="0" hidden="1">{#N/A,#N/A,FALSE,"Calc";#N/A,#N/A,FALSE,"Sensitivity";#N/A,#N/A,FALSE,"LT Earn.Dil.";#N/A,#N/A,FALSE,"Dil. AVP"}</definedName>
    <definedName name="WRN.2." localSheetId="6" hidden="1">{#N/A,#N/A,FALSE,"Calc";#N/A,#N/A,FALSE,"Sensitivity";#N/A,#N/A,FALSE,"LT Earn.Dil.";#N/A,#N/A,FALSE,"Dil. AVP"}</definedName>
    <definedName name="WRN.2." hidden="1">{#N/A,#N/A,FALSE,"Calc";#N/A,#N/A,FALSE,"Sensitivity";#N/A,#N/A,FALSE,"LT Earn.Dil.";#N/A,#N/A,FALSE,"Dil. AVP"}</definedName>
    <definedName name="wrn.2._.pagers." localSheetId="0" hidden="1">{"Cover",#N/A,FALSE,"Cover";"Summary",#N/A,FALSE,"Summarpage"}</definedName>
    <definedName name="wrn.2._.pagers." localSheetId="6" hidden="1">{"Cover",#N/A,FALSE,"Cover";"Summary",#N/A,FALSE,"Summarpage"}</definedName>
    <definedName name="wrn.2._.pagers." hidden="1">{"Cover",#N/A,FALSE,"Cover";"Summary",#N/A,FALSE,"Summarpage"}</definedName>
    <definedName name="wrn.2.1.1.0_EVA_._.Realistic_Case." localSheetId="6" hidden="1">{#N/A,#N/A,FALSE,"EVA_RC"}</definedName>
    <definedName name="wrn.2.1.1.0_EVA_._.Realistic_Case." hidden="1">{#N/A,#N/A,FALSE,"EVA_RC"}</definedName>
    <definedName name="wrn.2.1.1.0_eva_._.Realistic_case1" localSheetId="6" hidden="1">{#N/A,#N/A,FALSE,"EVA_RC"}</definedName>
    <definedName name="wrn.2.1.1.0_eva_._.Realistic_case1" hidden="1">{#N/A,#N/A,FALSE,"EVA_RC"}</definedName>
    <definedName name="wrn.2.1.2.0_EVA_Strategic_Case." localSheetId="6" hidden="1">{#N/A,#N/A,FALSE,"EVA_SC"}</definedName>
    <definedName name="wrn.2.1.2.0_EVA_Strategic_Case." hidden="1">{#N/A,#N/A,FALSE,"EVA_SC"}</definedName>
    <definedName name="wrn.2.1.3.1_Assumptions." localSheetId="6" hidden="1">{#N/A,#N/A,FALSE,"ASSUM"}</definedName>
    <definedName name="wrn.2.1.3.1_Assumptions." hidden="1">{#N/A,#N/A,FALSE,"ASSUM"}</definedName>
    <definedName name="wrn.2.1.3.1_BU_Key_Drivers." localSheetId="6" hidden="1">{#N/A,#N/A,FALSE,"K_DRIV"}</definedName>
    <definedName name="wrn.2.1.3.1_BU_Key_Drivers." hidden="1">{#N/A,#N/A,FALSE,"K_DRIV"}</definedName>
    <definedName name="wrn.50._.50." localSheetId="0" hidden="1">{"assumption 50 50",#N/A,TRUE,"Merger";"has gets cash",#N/A,TRUE,"Merger";"accretion dilution",#N/A,TRUE,"Merger";"comparison credit stats",#N/A,TRUE,"Merger";"pf credit stats",#N/A,TRUE,"Merger";"pf sheets",#N/A,TRUE,"Merger"}</definedName>
    <definedName name="wrn.50._.50." localSheetId="6" hidden="1">{"assumption 50 50",#N/A,TRUE,"Merger";"has gets cash",#N/A,TRUE,"Merger";"accretion dilution",#N/A,TRUE,"Merger";"comparison credit stats",#N/A,TRUE,"Merger";"pf credit stats",#N/A,TRUE,"Merger";"pf sheets",#N/A,TRUE,"Merger"}</definedName>
    <definedName name="wrn.50._.50." hidden="1">{"assumption 50 50",#N/A,TRUE,"Merger";"has gets cash",#N/A,TRUE,"Merger";"accretion dilution",#N/A,TRUE,"Merger";"comparison credit stats",#N/A,TRUE,"Merger";"pf credit stats",#N/A,TRUE,"Merger";"pf sheets",#N/A,TRUE,"Merger"}</definedName>
    <definedName name="wrn.50_.501" localSheetId="0" hidden="1">{"assumption 50 50",#N/A,TRUE,"Merger";"has gets cash",#N/A,TRUE,"Merger";"accretion dilution",#N/A,TRUE,"Merger";"comparison credit stats",#N/A,TRUE,"Merger";"pf credit stats",#N/A,TRUE,"Merger";"pf sheets",#N/A,TRUE,"Merger"}</definedName>
    <definedName name="wrn.50_.501" localSheetId="6" hidden="1">{"assumption 50 50",#N/A,TRUE,"Merger";"has gets cash",#N/A,TRUE,"Merger";"accretion dilution",#N/A,TRUE,"Merger";"comparison credit stats",#N/A,TRUE,"Merger";"pf credit stats",#N/A,TRUE,"Merger";"pf sheets",#N/A,TRUE,"Merger"}</definedName>
    <definedName name="wrn.50_.501" hidden="1">{"assumption 50 50",#N/A,TRUE,"Merger";"has gets cash",#N/A,TRUE,"Merger";"accretion dilution",#N/A,TRUE,"Merger";"comparison credit stats",#N/A,TRUE,"Merger";"pf credit stats",#N/A,TRUE,"Merger";"pf sheets",#N/A,TRUE,"Merger"}</definedName>
    <definedName name="wrn.5a._.Co._.Ttl._.inc._.Buffer." localSheetId="0" hidden="1">{#N/A,#N/A,FALSE,"5 Company Total 2 inc buffer"}</definedName>
    <definedName name="wrn.5a._.Co._.Ttl._.inc._.Buffer." localSheetId="6" hidden="1">{#N/A,#N/A,FALSE,"5 Company Total 2 inc buffer"}</definedName>
    <definedName name="wrn.5a._.Co._.Ttl._.inc._.Buffer." hidden="1">{#N/A,#N/A,FALSE,"5 Company Total 2 inc buffer"}</definedName>
    <definedName name="wrn.5b._.Buffer." localSheetId="0" hidden="1">{#N/A,#N/A,FALSE,"Buffer"}</definedName>
    <definedName name="wrn.5b._.Buffer." localSheetId="6" hidden="1">{#N/A,#N/A,FALSE,"Buffer"}</definedName>
    <definedName name="wrn.5b._.Buffer." hidden="1">{#N/A,#N/A,FALSE,"Buffer"}</definedName>
    <definedName name="wrn.730." localSheetId="0" hidden="1">{#N/A,#N/A,FALSE,"REPORT"}</definedName>
    <definedName name="wrn.730." localSheetId="6" hidden="1">{#N/A,#N/A,FALSE,"REPORT"}</definedName>
    <definedName name="wrn.730." hidden="1">{#N/A,#N/A,FALSE,"REPORT"}</definedName>
    <definedName name="wrn.730._1" localSheetId="0" hidden="1">{#N/A,#N/A,FALSE,"REPORT"}</definedName>
    <definedName name="wrn.730._1" localSheetId="6" hidden="1">{#N/A,#N/A,FALSE,"REPORT"}</definedName>
    <definedName name="wrn.730._1" hidden="1">{#N/A,#N/A,FALSE,"REPORT"}</definedName>
    <definedName name="wrn.730._1_1" localSheetId="0" hidden="1">{#N/A,#N/A,FALSE,"REPORT"}</definedName>
    <definedName name="wrn.730._1_1" localSheetId="6" hidden="1">{#N/A,#N/A,FALSE,"REPORT"}</definedName>
    <definedName name="wrn.730._1_1" hidden="1">{#N/A,#N/A,FALSE,"REPORT"}</definedName>
    <definedName name="wrn.730._2" localSheetId="0" hidden="1">{#N/A,#N/A,FALSE,"REPORT"}</definedName>
    <definedName name="wrn.730._2" localSheetId="6" hidden="1">{#N/A,#N/A,FALSE,"REPORT"}</definedName>
    <definedName name="wrn.730._2" hidden="1">{#N/A,#N/A,FALSE,"REPORT"}</definedName>
    <definedName name="wrn.730._3" localSheetId="0" hidden="1">{#N/A,#N/A,FALSE,"REPORT"}</definedName>
    <definedName name="wrn.730._3" localSheetId="6" hidden="1">{#N/A,#N/A,FALSE,"REPORT"}</definedName>
    <definedName name="wrn.730._3" hidden="1">{#N/A,#N/A,FALSE,"REPORT"}</definedName>
    <definedName name="wrn.730._4" localSheetId="0" hidden="1">{#N/A,#N/A,FALSE,"REPORT"}</definedName>
    <definedName name="wrn.730._4" localSheetId="6" hidden="1">{#N/A,#N/A,FALSE,"REPORT"}</definedName>
    <definedName name="wrn.730._4" hidden="1">{#N/A,#N/A,FALSE,"REPORT"}</definedName>
    <definedName name="wrn.730._5" localSheetId="0" hidden="1">{#N/A,#N/A,FALSE,"REPORT"}</definedName>
    <definedName name="wrn.730._5" localSheetId="6" hidden="1">{#N/A,#N/A,FALSE,"REPORT"}</definedName>
    <definedName name="wrn.730._5" hidden="1">{#N/A,#N/A,FALSE,"REPORT"}</definedName>
    <definedName name="wrn.731" localSheetId="0" hidden="1">{#N/A,#N/A,FALSE,"REPORT"}</definedName>
    <definedName name="wrn.731" localSheetId="6" hidden="1">{#N/A,#N/A,FALSE,"REPORT"}</definedName>
    <definedName name="wrn.731" hidden="1">{#N/A,#N/A,FALSE,"REPORT"}</definedName>
    <definedName name="wrn.731_1" localSheetId="0" hidden="1">{#N/A,#N/A,FALSE,"REPORT"}</definedName>
    <definedName name="wrn.731_1" localSheetId="6" hidden="1">{#N/A,#N/A,FALSE,"REPORT"}</definedName>
    <definedName name="wrn.731_1" hidden="1">{#N/A,#N/A,FALSE,"REPORT"}</definedName>
    <definedName name="wrn.731_1_1" localSheetId="0" hidden="1">{#N/A,#N/A,FALSE,"REPORT"}</definedName>
    <definedName name="wrn.731_1_1" localSheetId="6" hidden="1">{#N/A,#N/A,FALSE,"REPORT"}</definedName>
    <definedName name="wrn.731_1_1" hidden="1">{#N/A,#N/A,FALSE,"REPORT"}</definedName>
    <definedName name="wrn.731_2" localSheetId="0" hidden="1">{#N/A,#N/A,FALSE,"REPORT"}</definedName>
    <definedName name="wrn.731_2" localSheetId="6" hidden="1">{#N/A,#N/A,FALSE,"REPORT"}</definedName>
    <definedName name="wrn.731_2" hidden="1">{#N/A,#N/A,FALSE,"REPORT"}</definedName>
    <definedName name="wrn.731_3" localSheetId="0" hidden="1">{#N/A,#N/A,FALSE,"REPORT"}</definedName>
    <definedName name="wrn.731_3" localSheetId="6" hidden="1">{#N/A,#N/A,FALSE,"REPORT"}</definedName>
    <definedName name="wrn.731_3" hidden="1">{#N/A,#N/A,FALSE,"REPORT"}</definedName>
    <definedName name="wrn.731_4" localSheetId="0" hidden="1">{#N/A,#N/A,FALSE,"REPORT"}</definedName>
    <definedName name="wrn.731_4" localSheetId="6" hidden="1">{#N/A,#N/A,FALSE,"REPORT"}</definedName>
    <definedName name="wrn.731_4" hidden="1">{#N/A,#N/A,FALSE,"REPORT"}</definedName>
    <definedName name="wrn.731_5" localSheetId="0" hidden="1">{#N/A,#N/A,FALSE,"REPORT"}</definedName>
    <definedName name="wrn.731_5" localSheetId="6" hidden="1">{#N/A,#N/A,FALSE,"REPORT"}</definedName>
    <definedName name="wrn.731_5" hidden="1">{#N/A,#N/A,FALSE,"REPORT"}</definedName>
    <definedName name="wrn.750." localSheetId="0" hidden="1">{#N/A,#N/A,FALSE,"REPORT"}</definedName>
    <definedName name="wrn.750." localSheetId="6" hidden="1">{#N/A,#N/A,FALSE,"REPORT"}</definedName>
    <definedName name="wrn.750." hidden="1">{#N/A,#N/A,FALSE,"REPORT"}</definedName>
    <definedName name="wrn.750._1" localSheetId="0" hidden="1">{#N/A,#N/A,FALSE,"REPORT"}</definedName>
    <definedName name="wrn.750._1" localSheetId="6" hidden="1">{#N/A,#N/A,FALSE,"REPORT"}</definedName>
    <definedName name="wrn.750._1" hidden="1">{#N/A,#N/A,FALSE,"REPORT"}</definedName>
    <definedName name="wrn.750._1_1" localSheetId="0" hidden="1">{#N/A,#N/A,FALSE,"REPORT"}</definedName>
    <definedName name="wrn.750._1_1" localSheetId="6" hidden="1">{#N/A,#N/A,FALSE,"REPORT"}</definedName>
    <definedName name="wrn.750._1_1" hidden="1">{#N/A,#N/A,FALSE,"REPORT"}</definedName>
    <definedName name="wrn.750._2" localSheetId="0" hidden="1">{#N/A,#N/A,FALSE,"REPORT"}</definedName>
    <definedName name="wrn.750._2" localSheetId="6" hidden="1">{#N/A,#N/A,FALSE,"REPORT"}</definedName>
    <definedName name="wrn.750._2" hidden="1">{#N/A,#N/A,FALSE,"REPORT"}</definedName>
    <definedName name="wrn.750._3" localSheetId="0" hidden="1">{#N/A,#N/A,FALSE,"REPORT"}</definedName>
    <definedName name="wrn.750._3" localSheetId="6" hidden="1">{#N/A,#N/A,FALSE,"REPORT"}</definedName>
    <definedName name="wrn.750._3" hidden="1">{#N/A,#N/A,FALSE,"REPORT"}</definedName>
    <definedName name="wrn.750._4" localSheetId="0" hidden="1">{#N/A,#N/A,FALSE,"REPORT"}</definedName>
    <definedName name="wrn.750._4" localSheetId="6" hidden="1">{#N/A,#N/A,FALSE,"REPORT"}</definedName>
    <definedName name="wrn.750._4" hidden="1">{#N/A,#N/A,FALSE,"REPORT"}</definedName>
    <definedName name="wrn.750._5" localSheetId="0" hidden="1">{#N/A,#N/A,FALSE,"REPORT"}</definedName>
    <definedName name="wrn.750._5" localSheetId="6" hidden="1">{#N/A,#N/A,FALSE,"REPORT"}</definedName>
    <definedName name="wrn.750._5" hidden="1">{#N/A,#N/A,FALSE,"REPORT"}</definedName>
    <definedName name="wrn.7501" localSheetId="0" hidden="1">{#N/A,#N/A,FALSE,"REPORT"}</definedName>
    <definedName name="wrn.7501" localSheetId="6" hidden="1">{#N/A,#N/A,FALSE,"REPORT"}</definedName>
    <definedName name="wrn.7501" hidden="1">{#N/A,#N/A,FALSE,"REPORT"}</definedName>
    <definedName name="wrn.7501_1" localSheetId="0" hidden="1">{#N/A,#N/A,FALSE,"REPORT"}</definedName>
    <definedName name="wrn.7501_1" localSheetId="6" hidden="1">{#N/A,#N/A,FALSE,"REPORT"}</definedName>
    <definedName name="wrn.7501_1" hidden="1">{#N/A,#N/A,FALSE,"REPORT"}</definedName>
    <definedName name="wrn.7501_1_1" localSheetId="0" hidden="1">{#N/A,#N/A,FALSE,"REPORT"}</definedName>
    <definedName name="wrn.7501_1_1" localSheetId="6" hidden="1">{#N/A,#N/A,FALSE,"REPORT"}</definedName>
    <definedName name="wrn.7501_1_1" hidden="1">{#N/A,#N/A,FALSE,"REPORT"}</definedName>
    <definedName name="wrn.7501_2" localSheetId="0" hidden="1">{#N/A,#N/A,FALSE,"REPORT"}</definedName>
    <definedName name="wrn.7501_2" localSheetId="6" hidden="1">{#N/A,#N/A,FALSE,"REPORT"}</definedName>
    <definedName name="wrn.7501_2" hidden="1">{#N/A,#N/A,FALSE,"REPORT"}</definedName>
    <definedName name="wrn.7501_3" localSheetId="0" hidden="1">{#N/A,#N/A,FALSE,"REPORT"}</definedName>
    <definedName name="wrn.7501_3" localSheetId="6" hidden="1">{#N/A,#N/A,FALSE,"REPORT"}</definedName>
    <definedName name="wrn.7501_3" hidden="1">{#N/A,#N/A,FALSE,"REPORT"}</definedName>
    <definedName name="wrn.7501_4" localSheetId="0" hidden="1">{#N/A,#N/A,FALSE,"REPORT"}</definedName>
    <definedName name="wrn.7501_4" localSheetId="6" hidden="1">{#N/A,#N/A,FALSE,"REPORT"}</definedName>
    <definedName name="wrn.7501_4" hidden="1">{#N/A,#N/A,FALSE,"REPORT"}</definedName>
    <definedName name="wrn.7501_5" localSheetId="0" hidden="1">{#N/A,#N/A,FALSE,"REPORT"}</definedName>
    <definedName name="wrn.7501_5" localSheetId="6" hidden="1">{#N/A,#N/A,FALSE,"REPORT"}</definedName>
    <definedName name="wrn.7501_5" hidden="1">{#N/A,#N/A,FALSE,"REPORT"}</definedName>
    <definedName name="wrn.760.16." localSheetId="0" hidden="1">{#N/A,#N/A,FALSE,"REPORT"}</definedName>
    <definedName name="wrn.760.16." localSheetId="6" hidden="1">{#N/A,#N/A,FALSE,"REPORT"}</definedName>
    <definedName name="wrn.760.16." hidden="1">{#N/A,#N/A,FALSE,"REPORT"}</definedName>
    <definedName name="wrn.760.16._1" localSheetId="0" hidden="1">{#N/A,#N/A,FALSE,"REPORT"}</definedName>
    <definedName name="wrn.760.16._1" localSheetId="6" hidden="1">{#N/A,#N/A,FALSE,"REPORT"}</definedName>
    <definedName name="wrn.760.16._1" hidden="1">{#N/A,#N/A,FALSE,"REPORT"}</definedName>
    <definedName name="wrn.760.16._1_1" localSheetId="0" hidden="1">{#N/A,#N/A,FALSE,"REPORT"}</definedName>
    <definedName name="wrn.760.16._1_1" localSheetId="6" hidden="1">{#N/A,#N/A,FALSE,"REPORT"}</definedName>
    <definedName name="wrn.760.16._1_1" hidden="1">{#N/A,#N/A,FALSE,"REPORT"}</definedName>
    <definedName name="wrn.760.16._2" localSheetId="0" hidden="1">{#N/A,#N/A,FALSE,"REPORT"}</definedName>
    <definedName name="wrn.760.16._2" localSheetId="6" hidden="1">{#N/A,#N/A,FALSE,"REPORT"}</definedName>
    <definedName name="wrn.760.16._2" hidden="1">{#N/A,#N/A,FALSE,"REPORT"}</definedName>
    <definedName name="wrn.760.16._3" localSheetId="0" hidden="1">{#N/A,#N/A,FALSE,"REPORT"}</definedName>
    <definedName name="wrn.760.16._3" localSheetId="6" hidden="1">{#N/A,#N/A,FALSE,"REPORT"}</definedName>
    <definedName name="wrn.760.16._3" hidden="1">{#N/A,#N/A,FALSE,"REPORT"}</definedName>
    <definedName name="wrn.760.16._4" localSheetId="0" hidden="1">{#N/A,#N/A,FALSE,"REPORT"}</definedName>
    <definedName name="wrn.760.16._4" localSheetId="6" hidden="1">{#N/A,#N/A,FALSE,"REPORT"}</definedName>
    <definedName name="wrn.760.16._4" hidden="1">{#N/A,#N/A,FALSE,"REPORT"}</definedName>
    <definedName name="wrn.760.16._5" localSheetId="0" hidden="1">{#N/A,#N/A,FALSE,"REPORT"}</definedName>
    <definedName name="wrn.760.16._5" localSheetId="6" hidden="1">{#N/A,#N/A,FALSE,"REPORT"}</definedName>
    <definedName name="wrn.760.16._5" hidden="1">{#N/A,#N/A,FALSE,"REPORT"}</definedName>
    <definedName name="wrn.7900" localSheetId="0" hidden="1">{#N/A,#N/A,FALSE,"REPORT"}</definedName>
    <definedName name="wrn.7900" localSheetId="6" hidden="1">{#N/A,#N/A,FALSE,"REPORT"}</definedName>
    <definedName name="wrn.7900" hidden="1">{#N/A,#N/A,FALSE,"REPORT"}</definedName>
    <definedName name="wrn.7900_1" localSheetId="0" hidden="1">{#N/A,#N/A,FALSE,"REPORT"}</definedName>
    <definedName name="wrn.7900_1" localSheetId="6" hidden="1">{#N/A,#N/A,FALSE,"REPORT"}</definedName>
    <definedName name="wrn.7900_1" hidden="1">{#N/A,#N/A,FALSE,"REPORT"}</definedName>
    <definedName name="wrn.7900_1_1" localSheetId="0" hidden="1">{#N/A,#N/A,FALSE,"REPORT"}</definedName>
    <definedName name="wrn.7900_1_1" localSheetId="6" hidden="1">{#N/A,#N/A,FALSE,"REPORT"}</definedName>
    <definedName name="wrn.7900_1_1" hidden="1">{#N/A,#N/A,FALSE,"REPORT"}</definedName>
    <definedName name="wrn.7900_2" localSheetId="0" hidden="1">{#N/A,#N/A,FALSE,"REPORT"}</definedName>
    <definedName name="wrn.7900_2" localSheetId="6" hidden="1">{#N/A,#N/A,FALSE,"REPORT"}</definedName>
    <definedName name="wrn.7900_2" hidden="1">{#N/A,#N/A,FALSE,"REPORT"}</definedName>
    <definedName name="wrn.7900_3" localSheetId="0" hidden="1">{#N/A,#N/A,FALSE,"REPORT"}</definedName>
    <definedName name="wrn.7900_3" localSheetId="6" hidden="1">{#N/A,#N/A,FALSE,"REPORT"}</definedName>
    <definedName name="wrn.7900_3" hidden="1">{#N/A,#N/A,FALSE,"REPORT"}</definedName>
    <definedName name="wrn.7900_4" localSheetId="0" hidden="1">{#N/A,#N/A,FALSE,"REPORT"}</definedName>
    <definedName name="wrn.7900_4" localSheetId="6" hidden="1">{#N/A,#N/A,FALSE,"REPORT"}</definedName>
    <definedName name="wrn.7900_4" hidden="1">{#N/A,#N/A,FALSE,"REPORT"}</definedName>
    <definedName name="wrn.7900_5" localSheetId="0" hidden="1">{#N/A,#N/A,FALSE,"REPORT"}</definedName>
    <definedName name="wrn.7900_5" localSheetId="6" hidden="1">{#N/A,#N/A,FALSE,"REPORT"}</definedName>
    <definedName name="wrn.7900_5" hidden="1">{#N/A,#N/A,FALSE,"REPORT"}</definedName>
    <definedName name="wrn.905" localSheetId="0" hidden="1">{#N/A,#N/A,FALSE,"REPORT"}</definedName>
    <definedName name="wrn.905" localSheetId="6" hidden="1">{#N/A,#N/A,FALSE,"REPORT"}</definedName>
    <definedName name="wrn.905" hidden="1">{#N/A,#N/A,FALSE,"REPORT"}</definedName>
    <definedName name="wrn.905_1" localSheetId="0" hidden="1">{#N/A,#N/A,FALSE,"REPORT"}</definedName>
    <definedName name="wrn.905_1" localSheetId="6" hidden="1">{#N/A,#N/A,FALSE,"REPORT"}</definedName>
    <definedName name="wrn.905_1" hidden="1">{#N/A,#N/A,FALSE,"REPORT"}</definedName>
    <definedName name="wrn.905_1_1" localSheetId="0" hidden="1">{#N/A,#N/A,FALSE,"REPORT"}</definedName>
    <definedName name="wrn.905_1_1" localSheetId="6" hidden="1">{#N/A,#N/A,FALSE,"REPORT"}</definedName>
    <definedName name="wrn.905_1_1" hidden="1">{#N/A,#N/A,FALSE,"REPORT"}</definedName>
    <definedName name="wrn.905_2" localSheetId="0" hidden="1">{#N/A,#N/A,FALSE,"REPORT"}</definedName>
    <definedName name="wrn.905_2" localSheetId="6" hidden="1">{#N/A,#N/A,FALSE,"REPORT"}</definedName>
    <definedName name="wrn.905_2" hidden="1">{#N/A,#N/A,FALSE,"REPORT"}</definedName>
    <definedName name="wrn.905_3" localSheetId="0" hidden="1">{#N/A,#N/A,FALSE,"REPORT"}</definedName>
    <definedName name="wrn.905_3" localSheetId="6" hidden="1">{#N/A,#N/A,FALSE,"REPORT"}</definedName>
    <definedName name="wrn.905_3" hidden="1">{#N/A,#N/A,FALSE,"REPORT"}</definedName>
    <definedName name="wrn.905_4" localSheetId="0" hidden="1">{#N/A,#N/A,FALSE,"REPORT"}</definedName>
    <definedName name="wrn.905_4" localSheetId="6" hidden="1">{#N/A,#N/A,FALSE,"REPORT"}</definedName>
    <definedName name="wrn.905_4" hidden="1">{#N/A,#N/A,FALSE,"REPORT"}</definedName>
    <definedName name="wrn.905_5" localSheetId="0" hidden="1">{#N/A,#N/A,FALSE,"REPORT"}</definedName>
    <definedName name="wrn.905_5" localSheetId="6" hidden="1">{#N/A,#N/A,FALSE,"REPORT"}</definedName>
    <definedName name="wrn.905_5" hidden="1">{#N/A,#N/A,FALSE,"REPORT"}</definedName>
    <definedName name="wrn.98FORCAST." localSheetId="0" hidden="1">{#N/A,#N/A,FALSE,"MARKETING"}</definedName>
    <definedName name="wrn.98FORCAST." localSheetId="6" hidden="1">{#N/A,#N/A,FALSE,"MARKETING"}</definedName>
    <definedName name="wrn.98FORCAST." hidden="1">{#N/A,#N/A,FALSE,"MARKETING"}</definedName>
    <definedName name="wrn.99999" localSheetId="0" hidden="1">{#N/A,#N/A,FALSE,"REPORT"}</definedName>
    <definedName name="wrn.99999" localSheetId="6" hidden="1">{#N/A,#N/A,FALSE,"REPORT"}</definedName>
    <definedName name="wrn.99999" hidden="1">{#N/A,#N/A,FALSE,"REPORT"}</definedName>
    <definedName name="wrn.99999_1" localSheetId="0" hidden="1">{#N/A,#N/A,FALSE,"REPORT"}</definedName>
    <definedName name="wrn.99999_1" localSheetId="6" hidden="1">{#N/A,#N/A,FALSE,"REPORT"}</definedName>
    <definedName name="wrn.99999_1" hidden="1">{#N/A,#N/A,FALSE,"REPORT"}</definedName>
    <definedName name="wrn.99999_1_1" localSheetId="0" hidden="1">{#N/A,#N/A,FALSE,"REPORT"}</definedName>
    <definedName name="wrn.99999_1_1" localSheetId="6" hidden="1">{#N/A,#N/A,FALSE,"REPORT"}</definedName>
    <definedName name="wrn.99999_1_1" hidden="1">{#N/A,#N/A,FALSE,"REPORT"}</definedName>
    <definedName name="wrn.99999_2" localSheetId="0" hidden="1">{#N/A,#N/A,FALSE,"REPORT"}</definedName>
    <definedName name="wrn.99999_2" localSheetId="6" hidden="1">{#N/A,#N/A,FALSE,"REPORT"}</definedName>
    <definedName name="wrn.99999_2" hidden="1">{#N/A,#N/A,FALSE,"REPORT"}</definedName>
    <definedName name="wrn.99999_3" localSheetId="0" hidden="1">{#N/A,#N/A,FALSE,"REPORT"}</definedName>
    <definedName name="wrn.99999_3" localSheetId="6" hidden="1">{#N/A,#N/A,FALSE,"REPORT"}</definedName>
    <definedName name="wrn.99999_3" hidden="1">{#N/A,#N/A,FALSE,"REPORT"}</definedName>
    <definedName name="wrn.99999_4" localSheetId="0" hidden="1">{#N/A,#N/A,FALSE,"REPORT"}</definedName>
    <definedName name="wrn.99999_4" localSheetId="6" hidden="1">{#N/A,#N/A,FALSE,"REPORT"}</definedName>
    <definedName name="wrn.99999_4" hidden="1">{#N/A,#N/A,FALSE,"REPORT"}</definedName>
    <definedName name="wrn.99999_5" localSheetId="0" hidden="1">{#N/A,#N/A,FALSE,"REPORT"}</definedName>
    <definedName name="wrn.99999_5" localSheetId="6" hidden="1">{#N/A,#N/A,FALSE,"REPORT"}</definedName>
    <definedName name="wrn.99999_5" hidden="1">{#N/A,#N/A,FALSE,"REPORT"}</definedName>
    <definedName name="wrn.A_VALUATION." localSheetId="6"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aa" localSheetId="0" hidden="1">{#N/A,#N/A,FALSE,"Pharm";#N/A,#N/A,FALSE,"WWCM"}</definedName>
    <definedName name="wrn.aaa" localSheetId="6" hidden="1">{#N/A,#N/A,FALSE,"Pharm";#N/A,#N/A,FALSE,"WWCM"}</definedName>
    <definedName name="wrn.aaa" hidden="1">{#N/A,#N/A,FALSE,"Pharm";#N/A,#N/A,FALSE,"WWCM"}</definedName>
    <definedName name="wrn.aaa_1" localSheetId="0" hidden="1">{#N/A,#N/A,FALSE,"Pharm";#N/A,#N/A,FALSE,"WWCM"}</definedName>
    <definedName name="wrn.aaa_1" localSheetId="6" hidden="1">{#N/A,#N/A,FALSE,"Pharm";#N/A,#N/A,FALSE,"WWCM"}</definedName>
    <definedName name="wrn.aaa_1" hidden="1">{#N/A,#N/A,FALSE,"Pharm";#N/A,#N/A,FALSE,"WWCM"}</definedName>
    <definedName name="wrn.aaa_1_1" localSheetId="0" hidden="1">{#N/A,#N/A,FALSE,"Pharm";#N/A,#N/A,FALSE,"WWCM"}</definedName>
    <definedName name="wrn.aaa_1_1" localSheetId="6" hidden="1">{#N/A,#N/A,FALSE,"Pharm";#N/A,#N/A,FALSE,"WWCM"}</definedName>
    <definedName name="wrn.aaa_1_1" hidden="1">{#N/A,#N/A,FALSE,"Pharm";#N/A,#N/A,FALSE,"WWCM"}</definedName>
    <definedName name="wrn.aaa_2" localSheetId="0" hidden="1">{#N/A,#N/A,FALSE,"Pharm";#N/A,#N/A,FALSE,"WWCM"}</definedName>
    <definedName name="wrn.aaa_2" localSheetId="6" hidden="1">{#N/A,#N/A,FALSE,"Pharm";#N/A,#N/A,FALSE,"WWCM"}</definedName>
    <definedName name="wrn.aaa_2" hidden="1">{#N/A,#N/A,FALSE,"Pharm";#N/A,#N/A,FALSE,"WWCM"}</definedName>
    <definedName name="wrn.aaa_3" localSheetId="0" hidden="1">{#N/A,#N/A,FALSE,"Pharm";#N/A,#N/A,FALSE,"WWCM"}</definedName>
    <definedName name="wrn.aaa_3" localSheetId="6" hidden="1">{#N/A,#N/A,FALSE,"Pharm";#N/A,#N/A,FALSE,"WWCM"}</definedName>
    <definedName name="wrn.aaa_3" hidden="1">{#N/A,#N/A,FALSE,"Pharm";#N/A,#N/A,FALSE,"WWCM"}</definedName>
    <definedName name="wrn.aaa_4" localSheetId="0" hidden="1">{#N/A,#N/A,FALSE,"Pharm";#N/A,#N/A,FALSE,"WWCM"}</definedName>
    <definedName name="wrn.aaa_4" localSheetId="6" hidden="1">{#N/A,#N/A,FALSE,"Pharm";#N/A,#N/A,FALSE,"WWCM"}</definedName>
    <definedName name="wrn.aaa_4" hidden="1">{#N/A,#N/A,FALSE,"Pharm";#N/A,#N/A,FALSE,"WWCM"}</definedName>
    <definedName name="wrn.aaa_5" localSheetId="0" hidden="1">{#N/A,#N/A,FALSE,"Pharm";#N/A,#N/A,FALSE,"WWCM"}</definedName>
    <definedName name="wrn.aaa_5" localSheetId="6" hidden="1">{#N/A,#N/A,FALSE,"Pharm";#N/A,#N/A,FALSE,"WWCM"}</definedName>
    <definedName name="wrn.aaa_5" hidden="1">{#N/A,#N/A,FALSE,"Pharm";#N/A,#N/A,FALSE,"WWCM"}</definedName>
    <definedName name="wrn.aaaaaaa" localSheetId="0" hidden="1">{#N/A,#N/A,FALSE,"Pharm";#N/A,#N/A,FALSE,"WWCM"}</definedName>
    <definedName name="wrn.aaaaaaa" localSheetId="6" hidden="1">{#N/A,#N/A,FALSE,"Pharm";#N/A,#N/A,FALSE,"WWCM"}</definedName>
    <definedName name="wrn.aaaaaaa" hidden="1">{#N/A,#N/A,FALSE,"Pharm";#N/A,#N/A,FALSE,"WWCM"}</definedName>
    <definedName name="wrn.aaaaaaa_1" localSheetId="0" hidden="1">{#N/A,#N/A,FALSE,"Pharm";#N/A,#N/A,FALSE,"WWCM"}</definedName>
    <definedName name="wrn.aaaaaaa_1" localSheetId="6" hidden="1">{#N/A,#N/A,FALSE,"Pharm";#N/A,#N/A,FALSE,"WWCM"}</definedName>
    <definedName name="wrn.aaaaaaa_1" hidden="1">{#N/A,#N/A,FALSE,"Pharm";#N/A,#N/A,FALSE,"WWCM"}</definedName>
    <definedName name="wrn.aaaaaaa_1_1" localSheetId="0" hidden="1">{#N/A,#N/A,FALSE,"Pharm";#N/A,#N/A,FALSE,"WWCM"}</definedName>
    <definedName name="wrn.aaaaaaa_1_1" localSheetId="6" hidden="1">{#N/A,#N/A,FALSE,"Pharm";#N/A,#N/A,FALSE,"WWCM"}</definedName>
    <definedName name="wrn.aaaaaaa_1_1" hidden="1">{#N/A,#N/A,FALSE,"Pharm";#N/A,#N/A,FALSE,"WWCM"}</definedName>
    <definedName name="wrn.aaaaaaa_2" localSheetId="0" hidden="1">{#N/A,#N/A,FALSE,"Pharm";#N/A,#N/A,FALSE,"WWCM"}</definedName>
    <definedName name="wrn.aaaaaaa_2" localSheetId="6" hidden="1">{#N/A,#N/A,FALSE,"Pharm";#N/A,#N/A,FALSE,"WWCM"}</definedName>
    <definedName name="wrn.aaaaaaa_2" hidden="1">{#N/A,#N/A,FALSE,"Pharm";#N/A,#N/A,FALSE,"WWCM"}</definedName>
    <definedName name="wrn.aaaaaaa_3" localSheetId="0" hidden="1">{#N/A,#N/A,FALSE,"Pharm";#N/A,#N/A,FALSE,"WWCM"}</definedName>
    <definedName name="wrn.aaaaaaa_3" localSheetId="6" hidden="1">{#N/A,#N/A,FALSE,"Pharm";#N/A,#N/A,FALSE,"WWCM"}</definedName>
    <definedName name="wrn.aaaaaaa_3" hidden="1">{#N/A,#N/A,FALSE,"Pharm";#N/A,#N/A,FALSE,"WWCM"}</definedName>
    <definedName name="wrn.aaaaaaa_4" localSheetId="0" hidden="1">{#N/A,#N/A,FALSE,"Pharm";#N/A,#N/A,FALSE,"WWCM"}</definedName>
    <definedName name="wrn.aaaaaaa_4" localSheetId="6" hidden="1">{#N/A,#N/A,FALSE,"Pharm";#N/A,#N/A,FALSE,"WWCM"}</definedName>
    <definedName name="wrn.aaaaaaa_4" hidden="1">{#N/A,#N/A,FALSE,"Pharm";#N/A,#N/A,FALSE,"WWCM"}</definedName>
    <definedName name="wrn.aaaaaaa_5" localSheetId="0" hidden="1">{#N/A,#N/A,FALSE,"Pharm";#N/A,#N/A,FALSE,"WWCM"}</definedName>
    <definedName name="wrn.aaaaaaa_5" localSheetId="6" hidden="1">{#N/A,#N/A,FALSE,"Pharm";#N/A,#N/A,FALSE,"WWCM"}</definedName>
    <definedName name="wrn.aaaaaaa_5" hidden="1">{#N/A,#N/A,FALSE,"Pharm";#N/A,#N/A,FALSE,"WWCM"}</definedName>
    <definedName name="wrn.abc." localSheetId="6" hidden="1">{"sensit",#N/A,FALSE,"WOLSELEY"}</definedName>
    <definedName name="wrn.abc." hidden="1">{"sensit",#N/A,FALSE,"WOLSELEY"}</definedName>
    <definedName name="wrn.Accounts." localSheetId="0" hidden="1">{"turnover",#N/A,FALSE;"profits",#N/A,FALSE;"cash",#N/A,FALSE}</definedName>
    <definedName name="wrn.Accounts." localSheetId="6" hidden="1">{"turnover",#N/A,FALSE;"profits",#N/A,FALSE;"cash",#N/A,FALSE}</definedName>
    <definedName name="wrn.Accounts." hidden="1">{"turnover",#N/A,FALSE;"profits",#N/A,FALSE;"cash",#N/A,FALSE}</definedName>
    <definedName name="wrn.Accounts._.and._.Assumptions." localSheetId="0" hidden="1">{"S&amp;U",#N/A,FALSE,"s&amp;u";"financing",#N/A,FALSE,"Input";"financing2",#N/A,FALSE,"Input";"Balance Sheet",#N/A,FALSE,"BS";"P&amp;L",#N/A,FALSE,"P&amp;L";"Cashflow",#N/A,FALSE,"CF"}</definedName>
    <definedName name="wrn.Accounts._.and._.Assumptions." localSheetId="6" hidden="1">{"S&amp;U",#N/A,FALSE,"s&amp;u";"financing",#N/A,FALSE,"Input";"financing2",#N/A,FALSE,"Input";"Balance Sheet",#N/A,FALSE,"BS";"P&amp;L",#N/A,FALSE,"P&amp;L";"Cashflow",#N/A,FALSE,"CF"}</definedName>
    <definedName name="wrn.Accounts._.and._.Assumptions." hidden="1">{"S&amp;U",#N/A,FALSE,"s&amp;u";"financing",#N/A,FALSE,"Input";"financing2",#N/A,FALSE,"Input";"Balance Sheet",#N/A,FALSE,"BS";"P&amp;L",#N/A,FALSE,"P&amp;L";"Cashflow",#N/A,FALSE,"CF"}</definedName>
    <definedName name="wrn.Accr_Dil." localSheetId="6" hidden="1">{#N/A,#N/A,FALSE,"Debt Accr";#N/A,#N/A,FALSE,"Stock Accr";#N/A,#N/A,FALSE,"Debt Stock Accr"}</definedName>
    <definedName name="wrn.Accr_Dil." hidden="1">{#N/A,#N/A,FALSE,"Debt Accr";#N/A,#N/A,FALSE,"Stock Accr";#N/A,#N/A,FALSE,"Debt Stock Accr"}</definedName>
    <definedName name="wrn.Accretion." localSheetId="0" hidden="1">{"Accretion",#N/A,FALSE,"Assum"}</definedName>
    <definedName name="wrn.Accretion." localSheetId="6" hidden="1">{"Accretion",#N/A,FALSE,"Assum"}</definedName>
    <definedName name="wrn.Accretion." hidden="1">{"Accretion",#N/A,FALSE,"Assum"}</definedName>
    <definedName name="wrn.ACK." localSheetId="0" hidden="1">{"Annual",#N/A,FALSE,"ACK";"Margins",#N/A,FALSE,"ACK";"Q",#N/A,FALSE,"QTRS."}</definedName>
    <definedName name="wrn.ACK." localSheetId="6" hidden="1">{"Annual",#N/A,FALSE,"ACK";"Margins",#N/A,FALSE,"ACK";"Q",#N/A,FALSE,"QTRS."}</definedName>
    <definedName name="wrn.ACK." hidden="1">{"Annual",#N/A,FALSE,"ACK";"Margins",#N/A,FALSE,"ACK";"Q",#N/A,FALSE,"QTRS."}</definedName>
    <definedName name="wrn.AcqState." localSheetId="6" hidden="1">{#N/A,#N/A,TRUE,"Acq-Ass";#N/A,#N/A,TRUE,"Acq-IS";#N/A,#N/A,TRUE,"Acq-BS";#N/A,#N/A,TRUE,"Acq-CF"}</definedName>
    <definedName name="wrn.AcqState." hidden="1">{#N/A,#N/A,TRUE,"Acq-Ass";#N/A,#N/A,TRUE,"Acq-IS";#N/A,#N/A,TRUE,"Acq-BS";#N/A,#N/A,TRUE,"Acq-CF"}</definedName>
    <definedName name="wrn.Acquiror." localSheetId="6"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uisition_matrix." localSheetId="0" hidden="1">{"Acq_matrix",#N/A,FALSE,"Acquisition Matrix"}</definedName>
    <definedName name="wrn.Acquisition_matrix." localSheetId="6" hidden="1">{"Acq_matrix",#N/A,FALSE,"Acquisition Matrix"}</definedName>
    <definedName name="wrn.Acquisition_matrix." hidden="1">{"Acq_matrix",#N/A,FALSE,"Acquisition Matrix"}</definedName>
    <definedName name="wrn.Acquisition_matrix2" localSheetId="0" hidden="1">{"Acq_matrix",#N/A,FALSE,"Acquisition Matrix"}</definedName>
    <definedName name="wrn.Acquisition_matrix2" localSheetId="6" hidden="1">{"Acq_matrix",#N/A,FALSE,"Acquisition Matrix"}</definedName>
    <definedName name="wrn.Acquisition_matrix2" hidden="1">{"Acq_matrix",#N/A,FALSE,"Acquisition Matrix"}</definedName>
    <definedName name="wrn.AcqVal." localSheetId="6" hidden="1">{#N/A,#N/A,FALSE,"Acq-Val";#N/A,#N/A,FALSE,"Acq-Mult Val"}</definedName>
    <definedName name="wrn.AcqVal." hidden="1">{#N/A,#N/A,FALSE,"Acq-Val";#N/A,#N/A,FALSE,"Acq-Mult Val"}</definedName>
    <definedName name="wrn.adj95." localSheetId="0" hidden="1">{"adj95mult",#N/A,FALSE,"COMPCO";"adj95est",#N/A,FALSE,"COMPCO"}</definedName>
    <definedName name="wrn.adj95." localSheetId="6" hidden="1">{"adj95mult",#N/A,FALSE,"COMPCO";"adj95est",#N/A,FALSE,"COMPCO"}</definedName>
    <definedName name="wrn.adj95." hidden="1">{"adj95mult",#N/A,FALSE,"COMPCO";"adj95est",#N/A,FALSE,"COMPCO"}</definedName>
    <definedName name="wrn.AGG.._.IND.." localSheetId="6" hidden="1">{"P_AND_L (AGG. IND.) (25)",#N/A,TRUE,"AGG. IND.";"Val_Cash (AGG. IND.) (25)",#N/A,TRUE,"AGG. IND.";"KEY_OPER (AGG. IND.) (25)",#N/A,TRUE,"AGG. IND.";"COMBINED (AGG. IND.) (25)",#N/A,TRUE,"AGG. IND.";"ANALYSIS (AGG. IND.) (25)",#N/A,TRUE,"AGG. IND."}</definedName>
    <definedName name="wrn.AGG.._.IND.." hidden="1">{"P_AND_L (AGG. IND.) (25)",#N/A,TRUE,"AGG. IND.";"Val_Cash (AGG. IND.) (25)",#N/A,TRUE,"AGG. IND.";"KEY_OPER (AGG. IND.) (25)",#N/A,TRUE,"AGG. IND.";"COMBINED (AGG. IND.) (25)",#N/A,TRUE,"AGG. IND.";"ANALYSIS (AGG. IND.) (25)",#N/A,TRUE,"AGG. IND."}</definedName>
    <definedName name="wrn.Aging._.and._.Trend._.Analysis." localSheetId="0" hidden="1">{#N/A,#N/A,FALSE,"Aging Summary";#N/A,#N/A,FALSE,"Ratio Analysis";#N/A,#N/A,FALSE,"Test 120 Day Accts";#N/A,#N/A,FALSE,"Tickmarks"}</definedName>
    <definedName name="wrn.Aging._.and._.Trend._.Analysis." localSheetId="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6"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1_1" localSheetId="0" hidden="1">{#N/A,#N/A,FALSE,"Aging Summary";#N/A,#N/A,FALSE,"Ratio Analysis";#N/A,#N/A,FALSE,"Test 120 Day Accts";#N/A,#N/A,FALSE,"Tickmarks"}</definedName>
    <definedName name="wrn.Aging._.and._.Trend._.Analysis._1_1" localSheetId="6" hidden="1">{#N/A,#N/A,FALSE,"Aging Summary";#N/A,#N/A,FALSE,"Ratio Analysis";#N/A,#N/A,FALSE,"Test 120 Day Accts";#N/A,#N/A,FALSE,"Tickmarks"}</definedName>
    <definedName name="wrn.Aging._.and._.Trend._.Analysis._1_1" hidden="1">{#N/A,#N/A,FALSE,"Aging Summary";#N/A,#N/A,FALSE,"Ratio Analysis";#N/A,#N/A,FALSE,"Test 120 Day Accts";#N/A,#N/A,FALSE,"Tickmarks"}</definedName>
    <definedName name="wrn.Aging._.and._.Trend._.Analysis._1_1_1" localSheetId="0" hidden="1">{#N/A,#N/A,FALSE,"Aging Summary";#N/A,#N/A,FALSE,"Ratio Analysis";#N/A,#N/A,FALSE,"Test 120 Day Accts";#N/A,#N/A,FALSE,"Tickmarks"}</definedName>
    <definedName name="wrn.Aging._.and._.Trend._.Analysis._1_1_1" localSheetId="6" hidden="1">{#N/A,#N/A,FALSE,"Aging Summary";#N/A,#N/A,FALSE,"Ratio Analysis";#N/A,#N/A,FALSE,"Test 120 Day Accts";#N/A,#N/A,FALSE,"Tickmarks"}</definedName>
    <definedName name="wrn.Aging._.and._.Trend._.Analysis._1_1_1" hidden="1">{#N/A,#N/A,FALSE,"Aging Summary";#N/A,#N/A,FALSE,"Ratio Analysis";#N/A,#N/A,FALSE,"Test 120 Day Accts";#N/A,#N/A,FALSE,"Tickmarks"}</definedName>
    <definedName name="wrn.Aging._.and._.Trend._.Analysis._1_1_1_1" localSheetId="0" hidden="1">{#N/A,#N/A,FALSE,"Aging Summary";#N/A,#N/A,FALSE,"Ratio Analysis";#N/A,#N/A,FALSE,"Test 120 Day Accts";#N/A,#N/A,FALSE,"Tickmarks"}</definedName>
    <definedName name="wrn.Aging._.and._.Trend._.Analysis._1_1_1_1" localSheetId="6" hidden="1">{#N/A,#N/A,FALSE,"Aging Summary";#N/A,#N/A,FALSE,"Ratio Analysis";#N/A,#N/A,FALSE,"Test 120 Day Accts";#N/A,#N/A,FALSE,"Tickmarks"}</definedName>
    <definedName name="wrn.Aging._.and._.Trend._.Analysis._1_1_1_1" hidden="1">{#N/A,#N/A,FALSE,"Aging Summary";#N/A,#N/A,FALSE,"Ratio Analysis";#N/A,#N/A,FALSE,"Test 120 Day Accts";#N/A,#N/A,FALSE,"Tickmarks"}</definedName>
    <definedName name="wrn.Aging._.and._.Trend._.Analysis._1_1_1_1_1" localSheetId="0" hidden="1">{#N/A,#N/A,FALSE,"Aging Summary";#N/A,#N/A,FALSE,"Ratio Analysis";#N/A,#N/A,FALSE,"Test 120 Day Accts";#N/A,#N/A,FALSE,"Tickmarks"}</definedName>
    <definedName name="wrn.Aging._.and._.Trend._.Analysis._1_1_1_1_1" localSheetId="6" hidden="1">{#N/A,#N/A,FALSE,"Aging Summary";#N/A,#N/A,FALSE,"Ratio Analysis";#N/A,#N/A,FALSE,"Test 120 Day Accts";#N/A,#N/A,FALSE,"Tickmarks"}</definedName>
    <definedName name="wrn.Aging._.and._.Trend._.Analysis._1_1_1_1_1" hidden="1">{#N/A,#N/A,FALSE,"Aging Summary";#N/A,#N/A,FALSE,"Ratio Analysis";#N/A,#N/A,FALSE,"Test 120 Day Accts";#N/A,#N/A,FALSE,"Tickmarks"}</definedName>
    <definedName name="wrn.Aging._.and._.Trend._.Analysis._1_1_1_1_2" localSheetId="0" hidden="1">{#N/A,#N/A,FALSE,"Aging Summary";#N/A,#N/A,FALSE,"Ratio Analysis";#N/A,#N/A,FALSE,"Test 120 Day Accts";#N/A,#N/A,FALSE,"Tickmarks"}</definedName>
    <definedName name="wrn.Aging._.and._.Trend._.Analysis._1_1_1_1_2" localSheetId="6" hidden="1">{#N/A,#N/A,FALSE,"Aging Summary";#N/A,#N/A,FALSE,"Ratio Analysis";#N/A,#N/A,FALSE,"Test 120 Day Accts";#N/A,#N/A,FALSE,"Tickmarks"}</definedName>
    <definedName name="wrn.Aging._.and._.Trend._.Analysis._1_1_1_1_2" hidden="1">{#N/A,#N/A,FALSE,"Aging Summary";#N/A,#N/A,FALSE,"Ratio Analysis";#N/A,#N/A,FALSE,"Test 120 Day Accts";#N/A,#N/A,FALSE,"Tickmarks"}</definedName>
    <definedName name="wrn.Aging._.and._.Trend._.Analysis._1_1_1_1_3" localSheetId="0" hidden="1">{#N/A,#N/A,FALSE,"Aging Summary";#N/A,#N/A,FALSE,"Ratio Analysis";#N/A,#N/A,FALSE,"Test 120 Day Accts";#N/A,#N/A,FALSE,"Tickmarks"}</definedName>
    <definedName name="wrn.Aging._.and._.Trend._.Analysis._1_1_1_1_3" localSheetId="6" hidden="1">{#N/A,#N/A,FALSE,"Aging Summary";#N/A,#N/A,FALSE,"Ratio Analysis";#N/A,#N/A,FALSE,"Test 120 Day Accts";#N/A,#N/A,FALSE,"Tickmarks"}</definedName>
    <definedName name="wrn.Aging._.and._.Trend._.Analysis._1_1_1_1_3" hidden="1">{#N/A,#N/A,FALSE,"Aging Summary";#N/A,#N/A,FALSE,"Ratio Analysis";#N/A,#N/A,FALSE,"Test 120 Day Accts";#N/A,#N/A,FALSE,"Tickmarks"}</definedName>
    <definedName name="wrn.Aging._.and._.Trend._.Analysis._1_1_1_1_4" localSheetId="0" hidden="1">{#N/A,#N/A,FALSE,"Aging Summary";#N/A,#N/A,FALSE,"Ratio Analysis";#N/A,#N/A,FALSE,"Test 120 Day Accts";#N/A,#N/A,FALSE,"Tickmarks"}</definedName>
    <definedName name="wrn.Aging._.and._.Trend._.Analysis._1_1_1_1_4" localSheetId="6" hidden="1">{#N/A,#N/A,FALSE,"Aging Summary";#N/A,#N/A,FALSE,"Ratio Analysis";#N/A,#N/A,FALSE,"Test 120 Day Accts";#N/A,#N/A,FALSE,"Tickmarks"}</definedName>
    <definedName name="wrn.Aging._.and._.Trend._.Analysis._1_1_1_1_4" hidden="1">{#N/A,#N/A,FALSE,"Aging Summary";#N/A,#N/A,FALSE,"Ratio Analysis";#N/A,#N/A,FALSE,"Test 120 Day Accts";#N/A,#N/A,FALSE,"Tickmarks"}</definedName>
    <definedName name="wrn.Aging._.and._.Trend._.Analysis._1_1_1_1_5" localSheetId="0" hidden="1">{#N/A,#N/A,FALSE,"Aging Summary";#N/A,#N/A,FALSE,"Ratio Analysis";#N/A,#N/A,FALSE,"Test 120 Day Accts";#N/A,#N/A,FALSE,"Tickmarks"}</definedName>
    <definedName name="wrn.Aging._.and._.Trend._.Analysis._1_1_1_1_5" localSheetId="6" hidden="1">{#N/A,#N/A,FALSE,"Aging Summary";#N/A,#N/A,FALSE,"Ratio Analysis";#N/A,#N/A,FALSE,"Test 120 Day Accts";#N/A,#N/A,FALSE,"Tickmarks"}</definedName>
    <definedName name="wrn.Aging._.and._.Trend._.Analysis._1_1_1_1_5" hidden="1">{#N/A,#N/A,FALSE,"Aging Summary";#N/A,#N/A,FALSE,"Ratio Analysis";#N/A,#N/A,FALSE,"Test 120 Day Accts";#N/A,#N/A,FALSE,"Tickmarks"}</definedName>
    <definedName name="wrn.Aging._.and._.Trend._.Analysis._1_1_1_2" localSheetId="0" hidden="1">{#N/A,#N/A,FALSE,"Aging Summary";#N/A,#N/A,FALSE,"Ratio Analysis";#N/A,#N/A,FALSE,"Test 120 Day Accts";#N/A,#N/A,FALSE,"Tickmarks"}</definedName>
    <definedName name="wrn.Aging._.and._.Trend._.Analysis._1_1_1_2" localSheetId="6" hidden="1">{#N/A,#N/A,FALSE,"Aging Summary";#N/A,#N/A,FALSE,"Ratio Analysis";#N/A,#N/A,FALSE,"Test 120 Day Accts";#N/A,#N/A,FALSE,"Tickmarks"}</definedName>
    <definedName name="wrn.Aging._.and._.Trend._.Analysis._1_1_1_2" hidden="1">{#N/A,#N/A,FALSE,"Aging Summary";#N/A,#N/A,FALSE,"Ratio Analysis";#N/A,#N/A,FALSE,"Test 120 Day Accts";#N/A,#N/A,FALSE,"Tickmarks"}</definedName>
    <definedName name="wrn.Aging._.and._.Trend._.Analysis._1_1_1_2_1" localSheetId="0" hidden="1">{#N/A,#N/A,FALSE,"Aging Summary";#N/A,#N/A,FALSE,"Ratio Analysis";#N/A,#N/A,FALSE,"Test 120 Day Accts";#N/A,#N/A,FALSE,"Tickmarks"}</definedName>
    <definedName name="wrn.Aging._.and._.Trend._.Analysis._1_1_1_2_1" localSheetId="6" hidden="1">{#N/A,#N/A,FALSE,"Aging Summary";#N/A,#N/A,FALSE,"Ratio Analysis";#N/A,#N/A,FALSE,"Test 120 Day Accts";#N/A,#N/A,FALSE,"Tickmarks"}</definedName>
    <definedName name="wrn.Aging._.and._.Trend._.Analysis._1_1_1_2_1" hidden="1">{#N/A,#N/A,FALSE,"Aging Summary";#N/A,#N/A,FALSE,"Ratio Analysis";#N/A,#N/A,FALSE,"Test 120 Day Accts";#N/A,#N/A,FALSE,"Tickmarks"}</definedName>
    <definedName name="wrn.Aging._.and._.Trend._.Analysis._1_1_1_2_2" localSheetId="0" hidden="1">{#N/A,#N/A,FALSE,"Aging Summary";#N/A,#N/A,FALSE,"Ratio Analysis";#N/A,#N/A,FALSE,"Test 120 Day Accts";#N/A,#N/A,FALSE,"Tickmarks"}</definedName>
    <definedName name="wrn.Aging._.and._.Trend._.Analysis._1_1_1_2_2" localSheetId="6" hidden="1">{#N/A,#N/A,FALSE,"Aging Summary";#N/A,#N/A,FALSE,"Ratio Analysis";#N/A,#N/A,FALSE,"Test 120 Day Accts";#N/A,#N/A,FALSE,"Tickmarks"}</definedName>
    <definedName name="wrn.Aging._.and._.Trend._.Analysis._1_1_1_2_2" hidden="1">{#N/A,#N/A,FALSE,"Aging Summary";#N/A,#N/A,FALSE,"Ratio Analysis";#N/A,#N/A,FALSE,"Test 120 Day Accts";#N/A,#N/A,FALSE,"Tickmarks"}</definedName>
    <definedName name="wrn.Aging._.and._.Trend._.Analysis._1_1_1_2_3" localSheetId="0" hidden="1">{#N/A,#N/A,FALSE,"Aging Summary";#N/A,#N/A,FALSE,"Ratio Analysis";#N/A,#N/A,FALSE,"Test 120 Day Accts";#N/A,#N/A,FALSE,"Tickmarks"}</definedName>
    <definedName name="wrn.Aging._.and._.Trend._.Analysis._1_1_1_2_3" localSheetId="6" hidden="1">{#N/A,#N/A,FALSE,"Aging Summary";#N/A,#N/A,FALSE,"Ratio Analysis";#N/A,#N/A,FALSE,"Test 120 Day Accts";#N/A,#N/A,FALSE,"Tickmarks"}</definedName>
    <definedName name="wrn.Aging._.and._.Trend._.Analysis._1_1_1_2_3" hidden="1">{#N/A,#N/A,FALSE,"Aging Summary";#N/A,#N/A,FALSE,"Ratio Analysis";#N/A,#N/A,FALSE,"Test 120 Day Accts";#N/A,#N/A,FALSE,"Tickmarks"}</definedName>
    <definedName name="wrn.Aging._.and._.Trend._.Analysis._1_1_1_2_4" localSheetId="0" hidden="1">{#N/A,#N/A,FALSE,"Aging Summary";#N/A,#N/A,FALSE,"Ratio Analysis";#N/A,#N/A,FALSE,"Test 120 Day Accts";#N/A,#N/A,FALSE,"Tickmarks"}</definedName>
    <definedName name="wrn.Aging._.and._.Trend._.Analysis._1_1_1_2_4" localSheetId="6" hidden="1">{#N/A,#N/A,FALSE,"Aging Summary";#N/A,#N/A,FALSE,"Ratio Analysis";#N/A,#N/A,FALSE,"Test 120 Day Accts";#N/A,#N/A,FALSE,"Tickmarks"}</definedName>
    <definedName name="wrn.Aging._.and._.Trend._.Analysis._1_1_1_2_4" hidden="1">{#N/A,#N/A,FALSE,"Aging Summary";#N/A,#N/A,FALSE,"Ratio Analysis";#N/A,#N/A,FALSE,"Test 120 Day Accts";#N/A,#N/A,FALSE,"Tickmarks"}</definedName>
    <definedName name="wrn.Aging._.and._.Trend._.Analysis._1_1_1_2_5" localSheetId="0" hidden="1">{#N/A,#N/A,FALSE,"Aging Summary";#N/A,#N/A,FALSE,"Ratio Analysis";#N/A,#N/A,FALSE,"Test 120 Day Accts";#N/A,#N/A,FALSE,"Tickmarks"}</definedName>
    <definedName name="wrn.Aging._.and._.Trend._.Analysis._1_1_1_2_5" localSheetId="6" hidden="1">{#N/A,#N/A,FALSE,"Aging Summary";#N/A,#N/A,FALSE,"Ratio Analysis";#N/A,#N/A,FALSE,"Test 120 Day Accts";#N/A,#N/A,FALSE,"Tickmarks"}</definedName>
    <definedName name="wrn.Aging._.and._.Trend._.Analysis._1_1_1_2_5" hidden="1">{#N/A,#N/A,FALSE,"Aging Summary";#N/A,#N/A,FALSE,"Ratio Analysis";#N/A,#N/A,FALSE,"Test 120 Day Accts";#N/A,#N/A,FALSE,"Tickmarks"}</definedName>
    <definedName name="wrn.Aging._.and._.Trend._.Analysis._1_1_1_3" localSheetId="0" hidden="1">{#N/A,#N/A,FALSE,"Aging Summary";#N/A,#N/A,FALSE,"Ratio Analysis";#N/A,#N/A,FALSE,"Test 120 Day Accts";#N/A,#N/A,FALSE,"Tickmarks"}</definedName>
    <definedName name="wrn.Aging._.and._.Trend._.Analysis._1_1_1_3" localSheetId="6" hidden="1">{#N/A,#N/A,FALSE,"Aging Summary";#N/A,#N/A,FALSE,"Ratio Analysis";#N/A,#N/A,FALSE,"Test 120 Day Accts";#N/A,#N/A,FALSE,"Tickmarks"}</definedName>
    <definedName name="wrn.Aging._.and._.Trend._.Analysis._1_1_1_3" hidden="1">{#N/A,#N/A,FALSE,"Aging Summary";#N/A,#N/A,FALSE,"Ratio Analysis";#N/A,#N/A,FALSE,"Test 120 Day Accts";#N/A,#N/A,FALSE,"Tickmarks"}</definedName>
    <definedName name="wrn.Aging._.and._.Trend._.Analysis._1_1_1_3_1" localSheetId="0" hidden="1">{#N/A,#N/A,FALSE,"Aging Summary";#N/A,#N/A,FALSE,"Ratio Analysis";#N/A,#N/A,FALSE,"Test 120 Day Accts";#N/A,#N/A,FALSE,"Tickmarks"}</definedName>
    <definedName name="wrn.Aging._.and._.Trend._.Analysis._1_1_1_3_1" localSheetId="6" hidden="1">{#N/A,#N/A,FALSE,"Aging Summary";#N/A,#N/A,FALSE,"Ratio Analysis";#N/A,#N/A,FALSE,"Test 120 Day Accts";#N/A,#N/A,FALSE,"Tickmarks"}</definedName>
    <definedName name="wrn.Aging._.and._.Trend._.Analysis._1_1_1_3_1" hidden="1">{#N/A,#N/A,FALSE,"Aging Summary";#N/A,#N/A,FALSE,"Ratio Analysis";#N/A,#N/A,FALSE,"Test 120 Day Accts";#N/A,#N/A,FALSE,"Tickmarks"}</definedName>
    <definedName name="wrn.Aging._.and._.Trend._.Analysis._1_1_1_3_2" localSheetId="0" hidden="1">{#N/A,#N/A,FALSE,"Aging Summary";#N/A,#N/A,FALSE,"Ratio Analysis";#N/A,#N/A,FALSE,"Test 120 Day Accts";#N/A,#N/A,FALSE,"Tickmarks"}</definedName>
    <definedName name="wrn.Aging._.and._.Trend._.Analysis._1_1_1_3_2" localSheetId="6" hidden="1">{#N/A,#N/A,FALSE,"Aging Summary";#N/A,#N/A,FALSE,"Ratio Analysis";#N/A,#N/A,FALSE,"Test 120 Day Accts";#N/A,#N/A,FALSE,"Tickmarks"}</definedName>
    <definedName name="wrn.Aging._.and._.Trend._.Analysis._1_1_1_3_2" hidden="1">{#N/A,#N/A,FALSE,"Aging Summary";#N/A,#N/A,FALSE,"Ratio Analysis";#N/A,#N/A,FALSE,"Test 120 Day Accts";#N/A,#N/A,FALSE,"Tickmarks"}</definedName>
    <definedName name="wrn.Aging._.and._.Trend._.Analysis._1_1_1_3_3" localSheetId="0" hidden="1">{#N/A,#N/A,FALSE,"Aging Summary";#N/A,#N/A,FALSE,"Ratio Analysis";#N/A,#N/A,FALSE,"Test 120 Day Accts";#N/A,#N/A,FALSE,"Tickmarks"}</definedName>
    <definedName name="wrn.Aging._.and._.Trend._.Analysis._1_1_1_3_3" localSheetId="6" hidden="1">{#N/A,#N/A,FALSE,"Aging Summary";#N/A,#N/A,FALSE,"Ratio Analysis";#N/A,#N/A,FALSE,"Test 120 Day Accts";#N/A,#N/A,FALSE,"Tickmarks"}</definedName>
    <definedName name="wrn.Aging._.and._.Trend._.Analysis._1_1_1_3_3" hidden="1">{#N/A,#N/A,FALSE,"Aging Summary";#N/A,#N/A,FALSE,"Ratio Analysis";#N/A,#N/A,FALSE,"Test 120 Day Accts";#N/A,#N/A,FALSE,"Tickmarks"}</definedName>
    <definedName name="wrn.Aging._.and._.Trend._.Analysis._1_1_1_3_4" localSheetId="0" hidden="1">{#N/A,#N/A,FALSE,"Aging Summary";#N/A,#N/A,FALSE,"Ratio Analysis";#N/A,#N/A,FALSE,"Test 120 Day Accts";#N/A,#N/A,FALSE,"Tickmarks"}</definedName>
    <definedName name="wrn.Aging._.and._.Trend._.Analysis._1_1_1_3_4" localSheetId="6" hidden="1">{#N/A,#N/A,FALSE,"Aging Summary";#N/A,#N/A,FALSE,"Ratio Analysis";#N/A,#N/A,FALSE,"Test 120 Day Accts";#N/A,#N/A,FALSE,"Tickmarks"}</definedName>
    <definedName name="wrn.Aging._.and._.Trend._.Analysis._1_1_1_3_4" hidden="1">{#N/A,#N/A,FALSE,"Aging Summary";#N/A,#N/A,FALSE,"Ratio Analysis";#N/A,#N/A,FALSE,"Test 120 Day Accts";#N/A,#N/A,FALSE,"Tickmarks"}</definedName>
    <definedName name="wrn.Aging._.and._.Trend._.Analysis._1_1_1_3_5" localSheetId="0" hidden="1">{#N/A,#N/A,FALSE,"Aging Summary";#N/A,#N/A,FALSE,"Ratio Analysis";#N/A,#N/A,FALSE,"Test 120 Day Accts";#N/A,#N/A,FALSE,"Tickmarks"}</definedName>
    <definedName name="wrn.Aging._.and._.Trend._.Analysis._1_1_1_3_5" localSheetId="6" hidden="1">{#N/A,#N/A,FALSE,"Aging Summary";#N/A,#N/A,FALSE,"Ratio Analysis";#N/A,#N/A,FALSE,"Test 120 Day Accts";#N/A,#N/A,FALSE,"Tickmarks"}</definedName>
    <definedName name="wrn.Aging._.and._.Trend._.Analysis._1_1_1_3_5" hidden="1">{#N/A,#N/A,FALSE,"Aging Summary";#N/A,#N/A,FALSE,"Ratio Analysis";#N/A,#N/A,FALSE,"Test 120 Day Accts";#N/A,#N/A,FALSE,"Tickmarks"}</definedName>
    <definedName name="wrn.Aging._.and._.Trend._.Analysis._1_1_1_4" localSheetId="0" hidden="1">{#N/A,#N/A,FALSE,"Aging Summary";#N/A,#N/A,FALSE,"Ratio Analysis";#N/A,#N/A,FALSE,"Test 120 Day Accts";#N/A,#N/A,FALSE,"Tickmarks"}</definedName>
    <definedName name="wrn.Aging._.and._.Trend._.Analysis._1_1_1_4" localSheetId="6" hidden="1">{#N/A,#N/A,FALSE,"Aging Summary";#N/A,#N/A,FALSE,"Ratio Analysis";#N/A,#N/A,FALSE,"Test 120 Day Accts";#N/A,#N/A,FALSE,"Tickmarks"}</definedName>
    <definedName name="wrn.Aging._.and._.Trend._.Analysis._1_1_1_4" hidden="1">{#N/A,#N/A,FALSE,"Aging Summary";#N/A,#N/A,FALSE,"Ratio Analysis";#N/A,#N/A,FALSE,"Test 120 Day Accts";#N/A,#N/A,FALSE,"Tickmarks"}</definedName>
    <definedName name="wrn.Aging._.and._.Trend._.Analysis._1_1_1_4_1" localSheetId="0" hidden="1">{#N/A,#N/A,FALSE,"Aging Summary";#N/A,#N/A,FALSE,"Ratio Analysis";#N/A,#N/A,FALSE,"Test 120 Day Accts";#N/A,#N/A,FALSE,"Tickmarks"}</definedName>
    <definedName name="wrn.Aging._.and._.Trend._.Analysis._1_1_1_4_1" localSheetId="6" hidden="1">{#N/A,#N/A,FALSE,"Aging Summary";#N/A,#N/A,FALSE,"Ratio Analysis";#N/A,#N/A,FALSE,"Test 120 Day Accts";#N/A,#N/A,FALSE,"Tickmarks"}</definedName>
    <definedName name="wrn.Aging._.and._.Trend._.Analysis._1_1_1_4_1" hidden="1">{#N/A,#N/A,FALSE,"Aging Summary";#N/A,#N/A,FALSE,"Ratio Analysis";#N/A,#N/A,FALSE,"Test 120 Day Accts";#N/A,#N/A,FALSE,"Tickmarks"}</definedName>
    <definedName name="wrn.Aging._.and._.Trend._.Analysis._1_1_1_4_2" localSheetId="0" hidden="1">{#N/A,#N/A,FALSE,"Aging Summary";#N/A,#N/A,FALSE,"Ratio Analysis";#N/A,#N/A,FALSE,"Test 120 Day Accts";#N/A,#N/A,FALSE,"Tickmarks"}</definedName>
    <definedName name="wrn.Aging._.and._.Trend._.Analysis._1_1_1_4_2" localSheetId="6" hidden="1">{#N/A,#N/A,FALSE,"Aging Summary";#N/A,#N/A,FALSE,"Ratio Analysis";#N/A,#N/A,FALSE,"Test 120 Day Accts";#N/A,#N/A,FALSE,"Tickmarks"}</definedName>
    <definedName name="wrn.Aging._.and._.Trend._.Analysis._1_1_1_4_2" hidden="1">{#N/A,#N/A,FALSE,"Aging Summary";#N/A,#N/A,FALSE,"Ratio Analysis";#N/A,#N/A,FALSE,"Test 120 Day Accts";#N/A,#N/A,FALSE,"Tickmarks"}</definedName>
    <definedName name="wrn.Aging._.and._.Trend._.Analysis._1_1_1_4_3" localSheetId="0" hidden="1">{#N/A,#N/A,FALSE,"Aging Summary";#N/A,#N/A,FALSE,"Ratio Analysis";#N/A,#N/A,FALSE,"Test 120 Day Accts";#N/A,#N/A,FALSE,"Tickmarks"}</definedName>
    <definedName name="wrn.Aging._.and._.Trend._.Analysis._1_1_1_4_3" localSheetId="6" hidden="1">{#N/A,#N/A,FALSE,"Aging Summary";#N/A,#N/A,FALSE,"Ratio Analysis";#N/A,#N/A,FALSE,"Test 120 Day Accts";#N/A,#N/A,FALSE,"Tickmarks"}</definedName>
    <definedName name="wrn.Aging._.and._.Trend._.Analysis._1_1_1_4_3" hidden="1">{#N/A,#N/A,FALSE,"Aging Summary";#N/A,#N/A,FALSE,"Ratio Analysis";#N/A,#N/A,FALSE,"Test 120 Day Accts";#N/A,#N/A,FALSE,"Tickmarks"}</definedName>
    <definedName name="wrn.Aging._.and._.Trend._.Analysis._1_1_1_4_4" localSheetId="0" hidden="1">{#N/A,#N/A,FALSE,"Aging Summary";#N/A,#N/A,FALSE,"Ratio Analysis";#N/A,#N/A,FALSE,"Test 120 Day Accts";#N/A,#N/A,FALSE,"Tickmarks"}</definedName>
    <definedName name="wrn.Aging._.and._.Trend._.Analysis._1_1_1_4_4" localSheetId="6" hidden="1">{#N/A,#N/A,FALSE,"Aging Summary";#N/A,#N/A,FALSE,"Ratio Analysis";#N/A,#N/A,FALSE,"Test 120 Day Accts";#N/A,#N/A,FALSE,"Tickmarks"}</definedName>
    <definedName name="wrn.Aging._.and._.Trend._.Analysis._1_1_1_4_4" hidden="1">{#N/A,#N/A,FALSE,"Aging Summary";#N/A,#N/A,FALSE,"Ratio Analysis";#N/A,#N/A,FALSE,"Test 120 Day Accts";#N/A,#N/A,FALSE,"Tickmarks"}</definedName>
    <definedName name="wrn.Aging._.and._.Trend._.Analysis._1_1_1_4_5" localSheetId="0" hidden="1">{#N/A,#N/A,FALSE,"Aging Summary";#N/A,#N/A,FALSE,"Ratio Analysis";#N/A,#N/A,FALSE,"Test 120 Day Accts";#N/A,#N/A,FALSE,"Tickmarks"}</definedName>
    <definedName name="wrn.Aging._.and._.Trend._.Analysis._1_1_1_4_5" localSheetId="6" hidden="1">{#N/A,#N/A,FALSE,"Aging Summary";#N/A,#N/A,FALSE,"Ratio Analysis";#N/A,#N/A,FALSE,"Test 120 Day Accts";#N/A,#N/A,FALSE,"Tickmarks"}</definedName>
    <definedName name="wrn.Aging._.and._.Trend._.Analysis._1_1_1_4_5" hidden="1">{#N/A,#N/A,FALSE,"Aging Summary";#N/A,#N/A,FALSE,"Ratio Analysis";#N/A,#N/A,FALSE,"Test 120 Day Accts";#N/A,#N/A,FALSE,"Tickmarks"}</definedName>
    <definedName name="wrn.Aging._.and._.Trend._.Analysis._1_1_1_5" localSheetId="0" hidden="1">{#N/A,#N/A,FALSE,"Aging Summary";#N/A,#N/A,FALSE,"Ratio Analysis";#N/A,#N/A,FALSE,"Test 120 Day Accts";#N/A,#N/A,FALSE,"Tickmarks"}</definedName>
    <definedName name="wrn.Aging._.and._.Trend._.Analysis._1_1_1_5" localSheetId="6" hidden="1">{#N/A,#N/A,FALSE,"Aging Summary";#N/A,#N/A,FALSE,"Ratio Analysis";#N/A,#N/A,FALSE,"Test 120 Day Accts";#N/A,#N/A,FALSE,"Tickmarks"}</definedName>
    <definedName name="wrn.Aging._.and._.Trend._.Analysis._1_1_1_5" hidden="1">{#N/A,#N/A,FALSE,"Aging Summary";#N/A,#N/A,FALSE,"Ratio Analysis";#N/A,#N/A,FALSE,"Test 120 Day Accts";#N/A,#N/A,FALSE,"Tickmarks"}</definedName>
    <definedName name="wrn.Aging._.and._.Trend._.Analysis._1_1_1_5_1" localSheetId="0" hidden="1">{#N/A,#N/A,FALSE,"Aging Summary";#N/A,#N/A,FALSE,"Ratio Analysis";#N/A,#N/A,FALSE,"Test 120 Day Accts";#N/A,#N/A,FALSE,"Tickmarks"}</definedName>
    <definedName name="wrn.Aging._.and._.Trend._.Analysis._1_1_1_5_1" localSheetId="6" hidden="1">{#N/A,#N/A,FALSE,"Aging Summary";#N/A,#N/A,FALSE,"Ratio Analysis";#N/A,#N/A,FALSE,"Test 120 Day Accts";#N/A,#N/A,FALSE,"Tickmarks"}</definedName>
    <definedName name="wrn.Aging._.and._.Trend._.Analysis._1_1_1_5_1" hidden="1">{#N/A,#N/A,FALSE,"Aging Summary";#N/A,#N/A,FALSE,"Ratio Analysis";#N/A,#N/A,FALSE,"Test 120 Day Accts";#N/A,#N/A,FALSE,"Tickmarks"}</definedName>
    <definedName name="wrn.Aging._.and._.Trend._.Analysis._1_1_1_5_2" localSheetId="0" hidden="1">{#N/A,#N/A,FALSE,"Aging Summary";#N/A,#N/A,FALSE,"Ratio Analysis";#N/A,#N/A,FALSE,"Test 120 Day Accts";#N/A,#N/A,FALSE,"Tickmarks"}</definedName>
    <definedName name="wrn.Aging._.and._.Trend._.Analysis._1_1_1_5_2" localSheetId="6" hidden="1">{#N/A,#N/A,FALSE,"Aging Summary";#N/A,#N/A,FALSE,"Ratio Analysis";#N/A,#N/A,FALSE,"Test 120 Day Accts";#N/A,#N/A,FALSE,"Tickmarks"}</definedName>
    <definedName name="wrn.Aging._.and._.Trend._.Analysis._1_1_1_5_2" hidden="1">{#N/A,#N/A,FALSE,"Aging Summary";#N/A,#N/A,FALSE,"Ratio Analysis";#N/A,#N/A,FALSE,"Test 120 Day Accts";#N/A,#N/A,FALSE,"Tickmarks"}</definedName>
    <definedName name="wrn.Aging._.and._.Trend._.Analysis._1_1_1_5_3" localSheetId="0" hidden="1">{#N/A,#N/A,FALSE,"Aging Summary";#N/A,#N/A,FALSE,"Ratio Analysis";#N/A,#N/A,FALSE,"Test 120 Day Accts";#N/A,#N/A,FALSE,"Tickmarks"}</definedName>
    <definedName name="wrn.Aging._.and._.Trend._.Analysis._1_1_1_5_3" localSheetId="6" hidden="1">{#N/A,#N/A,FALSE,"Aging Summary";#N/A,#N/A,FALSE,"Ratio Analysis";#N/A,#N/A,FALSE,"Test 120 Day Accts";#N/A,#N/A,FALSE,"Tickmarks"}</definedName>
    <definedName name="wrn.Aging._.and._.Trend._.Analysis._1_1_1_5_3" hidden="1">{#N/A,#N/A,FALSE,"Aging Summary";#N/A,#N/A,FALSE,"Ratio Analysis";#N/A,#N/A,FALSE,"Test 120 Day Accts";#N/A,#N/A,FALSE,"Tickmarks"}</definedName>
    <definedName name="wrn.Aging._.and._.Trend._.Analysis._1_1_1_5_4" localSheetId="0" hidden="1">{#N/A,#N/A,FALSE,"Aging Summary";#N/A,#N/A,FALSE,"Ratio Analysis";#N/A,#N/A,FALSE,"Test 120 Day Accts";#N/A,#N/A,FALSE,"Tickmarks"}</definedName>
    <definedName name="wrn.Aging._.and._.Trend._.Analysis._1_1_1_5_4" localSheetId="6" hidden="1">{#N/A,#N/A,FALSE,"Aging Summary";#N/A,#N/A,FALSE,"Ratio Analysis";#N/A,#N/A,FALSE,"Test 120 Day Accts";#N/A,#N/A,FALSE,"Tickmarks"}</definedName>
    <definedName name="wrn.Aging._.and._.Trend._.Analysis._1_1_1_5_4" hidden="1">{#N/A,#N/A,FALSE,"Aging Summary";#N/A,#N/A,FALSE,"Ratio Analysis";#N/A,#N/A,FALSE,"Test 120 Day Accts";#N/A,#N/A,FALSE,"Tickmarks"}</definedName>
    <definedName name="wrn.Aging._.and._.Trend._.Analysis._1_1_1_5_5" localSheetId="0" hidden="1">{#N/A,#N/A,FALSE,"Aging Summary";#N/A,#N/A,FALSE,"Ratio Analysis";#N/A,#N/A,FALSE,"Test 120 Day Accts";#N/A,#N/A,FALSE,"Tickmarks"}</definedName>
    <definedName name="wrn.Aging._.and._.Trend._.Analysis._1_1_1_5_5" localSheetId="6" hidden="1">{#N/A,#N/A,FALSE,"Aging Summary";#N/A,#N/A,FALSE,"Ratio Analysis";#N/A,#N/A,FALSE,"Test 120 Day Accts";#N/A,#N/A,FALSE,"Tickmarks"}</definedName>
    <definedName name="wrn.Aging._.and._.Trend._.Analysis._1_1_1_5_5" hidden="1">{#N/A,#N/A,FALSE,"Aging Summary";#N/A,#N/A,FALSE,"Ratio Analysis";#N/A,#N/A,FALSE,"Test 120 Day Accts";#N/A,#N/A,FALSE,"Tickmarks"}</definedName>
    <definedName name="wrn.Aging._.and._.Trend._.Analysis._1_1_2" localSheetId="0" hidden="1">{#N/A,#N/A,FALSE,"Aging Summary";#N/A,#N/A,FALSE,"Ratio Analysis";#N/A,#N/A,FALSE,"Test 120 Day Accts";#N/A,#N/A,FALSE,"Tickmarks"}</definedName>
    <definedName name="wrn.Aging._.and._.Trend._.Analysis._1_1_2" localSheetId="6" hidden="1">{#N/A,#N/A,FALSE,"Aging Summary";#N/A,#N/A,FALSE,"Ratio Analysis";#N/A,#N/A,FALSE,"Test 120 Day Accts";#N/A,#N/A,FALSE,"Tickmarks"}</definedName>
    <definedName name="wrn.Aging._.and._.Trend._.Analysis._1_1_2" hidden="1">{#N/A,#N/A,FALSE,"Aging Summary";#N/A,#N/A,FALSE,"Ratio Analysis";#N/A,#N/A,FALSE,"Test 120 Day Accts";#N/A,#N/A,FALSE,"Tickmarks"}</definedName>
    <definedName name="wrn.Aging._.and._.Trend._.Analysis._1_1_2_1" localSheetId="0" hidden="1">{#N/A,#N/A,FALSE,"Aging Summary";#N/A,#N/A,FALSE,"Ratio Analysis";#N/A,#N/A,FALSE,"Test 120 Day Accts";#N/A,#N/A,FALSE,"Tickmarks"}</definedName>
    <definedName name="wrn.Aging._.and._.Trend._.Analysis._1_1_2_1" localSheetId="6" hidden="1">{#N/A,#N/A,FALSE,"Aging Summary";#N/A,#N/A,FALSE,"Ratio Analysis";#N/A,#N/A,FALSE,"Test 120 Day Accts";#N/A,#N/A,FALSE,"Tickmarks"}</definedName>
    <definedName name="wrn.Aging._.and._.Trend._.Analysis._1_1_2_1" hidden="1">{#N/A,#N/A,FALSE,"Aging Summary";#N/A,#N/A,FALSE,"Ratio Analysis";#N/A,#N/A,FALSE,"Test 120 Day Accts";#N/A,#N/A,FALSE,"Tickmarks"}</definedName>
    <definedName name="wrn.Aging._.and._.Trend._.Analysis._1_1_2_1_1" localSheetId="0" hidden="1">{#N/A,#N/A,FALSE,"Aging Summary";#N/A,#N/A,FALSE,"Ratio Analysis";#N/A,#N/A,FALSE,"Test 120 Day Accts";#N/A,#N/A,FALSE,"Tickmarks"}</definedName>
    <definedName name="wrn.Aging._.and._.Trend._.Analysis._1_1_2_1_1" localSheetId="6" hidden="1">{#N/A,#N/A,FALSE,"Aging Summary";#N/A,#N/A,FALSE,"Ratio Analysis";#N/A,#N/A,FALSE,"Test 120 Day Accts";#N/A,#N/A,FALSE,"Tickmarks"}</definedName>
    <definedName name="wrn.Aging._.and._.Trend._.Analysis._1_1_2_1_1" hidden="1">{#N/A,#N/A,FALSE,"Aging Summary";#N/A,#N/A,FALSE,"Ratio Analysis";#N/A,#N/A,FALSE,"Test 120 Day Accts";#N/A,#N/A,FALSE,"Tickmarks"}</definedName>
    <definedName name="wrn.Aging._.and._.Trend._.Analysis._1_1_2_1_2" localSheetId="0" hidden="1">{#N/A,#N/A,FALSE,"Aging Summary";#N/A,#N/A,FALSE,"Ratio Analysis";#N/A,#N/A,FALSE,"Test 120 Day Accts";#N/A,#N/A,FALSE,"Tickmarks"}</definedName>
    <definedName name="wrn.Aging._.and._.Trend._.Analysis._1_1_2_1_2" localSheetId="6" hidden="1">{#N/A,#N/A,FALSE,"Aging Summary";#N/A,#N/A,FALSE,"Ratio Analysis";#N/A,#N/A,FALSE,"Test 120 Day Accts";#N/A,#N/A,FALSE,"Tickmarks"}</definedName>
    <definedName name="wrn.Aging._.and._.Trend._.Analysis._1_1_2_1_2" hidden="1">{#N/A,#N/A,FALSE,"Aging Summary";#N/A,#N/A,FALSE,"Ratio Analysis";#N/A,#N/A,FALSE,"Test 120 Day Accts";#N/A,#N/A,FALSE,"Tickmarks"}</definedName>
    <definedName name="wrn.Aging._.and._.Trend._.Analysis._1_1_2_1_3" localSheetId="0" hidden="1">{#N/A,#N/A,FALSE,"Aging Summary";#N/A,#N/A,FALSE,"Ratio Analysis";#N/A,#N/A,FALSE,"Test 120 Day Accts";#N/A,#N/A,FALSE,"Tickmarks"}</definedName>
    <definedName name="wrn.Aging._.and._.Trend._.Analysis._1_1_2_1_3" localSheetId="6" hidden="1">{#N/A,#N/A,FALSE,"Aging Summary";#N/A,#N/A,FALSE,"Ratio Analysis";#N/A,#N/A,FALSE,"Test 120 Day Accts";#N/A,#N/A,FALSE,"Tickmarks"}</definedName>
    <definedName name="wrn.Aging._.and._.Trend._.Analysis._1_1_2_1_3" hidden="1">{#N/A,#N/A,FALSE,"Aging Summary";#N/A,#N/A,FALSE,"Ratio Analysis";#N/A,#N/A,FALSE,"Test 120 Day Accts";#N/A,#N/A,FALSE,"Tickmarks"}</definedName>
    <definedName name="wrn.Aging._.and._.Trend._.Analysis._1_1_2_1_4" localSheetId="0" hidden="1">{#N/A,#N/A,FALSE,"Aging Summary";#N/A,#N/A,FALSE,"Ratio Analysis";#N/A,#N/A,FALSE,"Test 120 Day Accts";#N/A,#N/A,FALSE,"Tickmarks"}</definedName>
    <definedName name="wrn.Aging._.and._.Trend._.Analysis._1_1_2_1_4" localSheetId="6" hidden="1">{#N/A,#N/A,FALSE,"Aging Summary";#N/A,#N/A,FALSE,"Ratio Analysis";#N/A,#N/A,FALSE,"Test 120 Day Accts";#N/A,#N/A,FALSE,"Tickmarks"}</definedName>
    <definedName name="wrn.Aging._.and._.Trend._.Analysis._1_1_2_1_4" hidden="1">{#N/A,#N/A,FALSE,"Aging Summary";#N/A,#N/A,FALSE,"Ratio Analysis";#N/A,#N/A,FALSE,"Test 120 Day Accts";#N/A,#N/A,FALSE,"Tickmarks"}</definedName>
    <definedName name="wrn.Aging._.and._.Trend._.Analysis._1_1_2_1_5" localSheetId="0" hidden="1">{#N/A,#N/A,FALSE,"Aging Summary";#N/A,#N/A,FALSE,"Ratio Analysis";#N/A,#N/A,FALSE,"Test 120 Day Accts";#N/A,#N/A,FALSE,"Tickmarks"}</definedName>
    <definedName name="wrn.Aging._.and._.Trend._.Analysis._1_1_2_1_5" localSheetId="6" hidden="1">{#N/A,#N/A,FALSE,"Aging Summary";#N/A,#N/A,FALSE,"Ratio Analysis";#N/A,#N/A,FALSE,"Test 120 Day Accts";#N/A,#N/A,FALSE,"Tickmarks"}</definedName>
    <definedName name="wrn.Aging._.and._.Trend._.Analysis._1_1_2_1_5" hidden="1">{#N/A,#N/A,FALSE,"Aging Summary";#N/A,#N/A,FALSE,"Ratio Analysis";#N/A,#N/A,FALSE,"Test 120 Day Accts";#N/A,#N/A,FALSE,"Tickmarks"}</definedName>
    <definedName name="wrn.Aging._.and._.Trend._.Analysis._1_1_2_2" localSheetId="0" hidden="1">{#N/A,#N/A,FALSE,"Aging Summary";#N/A,#N/A,FALSE,"Ratio Analysis";#N/A,#N/A,FALSE,"Test 120 Day Accts";#N/A,#N/A,FALSE,"Tickmarks"}</definedName>
    <definedName name="wrn.Aging._.and._.Trend._.Analysis._1_1_2_2" localSheetId="6" hidden="1">{#N/A,#N/A,FALSE,"Aging Summary";#N/A,#N/A,FALSE,"Ratio Analysis";#N/A,#N/A,FALSE,"Test 120 Day Accts";#N/A,#N/A,FALSE,"Tickmarks"}</definedName>
    <definedName name="wrn.Aging._.and._.Trend._.Analysis._1_1_2_2" hidden="1">{#N/A,#N/A,FALSE,"Aging Summary";#N/A,#N/A,FALSE,"Ratio Analysis";#N/A,#N/A,FALSE,"Test 120 Day Accts";#N/A,#N/A,FALSE,"Tickmarks"}</definedName>
    <definedName name="wrn.Aging._.and._.Trend._.Analysis._1_1_2_2_1" localSheetId="0" hidden="1">{#N/A,#N/A,FALSE,"Aging Summary";#N/A,#N/A,FALSE,"Ratio Analysis";#N/A,#N/A,FALSE,"Test 120 Day Accts";#N/A,#N/A,FALSE,"Tickmarks"}</definedName>
    <definedName name="wrn.Aging._.and._.Trend._.Analysis._1_1_2_2_1" localSheetId="6" hidden="1">{#N/A,#N/A,FALSE,"Aging Summary";#N/A,#N/A,FALSE,"Ratio Analysis";#N/A,#N/A,FALSE,"Test 120 Day Accts";#N/A,#N/A,FALSE,"Tickmarks"}</definedName>
    <definedName name="wrn.Aging._.and._.Trend._.Analysis._1_1_2_2_1" hidden="1">{#N/A,#N/A,FALSE,"Aging Summary";#N/A,#N/A,FALSE,"Ratio Analysis";#N/A,#N/A,FALSE,"Test 120 Day Accts";#N/A,#N/A,FALSE,"Tickmarks"}</definedName>
    <definedName name="wrn.Aging._.and._.Trend._.Analysis._1_1_2_2_2" localSheetId="0" hidden="1">{#N/A,#N/A,FALSE,"Aging Summary";#N/A,#N/A,FALSE,"Ratio Analysis";#N/A,#N/A,FALSE,"Test 120 Day Accts";#N/A,#N/A,FALSE,"Tickmarks"}</definedName>
    <definedName name="wrn.Aging._.and._.Trend._.Analysis._1_1_2_2_2" localSheetId="6" hidden="1">{#N/A,#N/A,FALSE,"Aging Summary";#N/A,#N/A,FALSE,"Ratio Analysis";#N/A,#N/A,FALSE,"Test 120 Day Accts";#N/A,#N/A,FALSE,"Tickmarks"}</definedName>
    <definedName name="wrn.Aging._.and._.Trend._.Analysis._1_1_2_2_2" hidden="1">{#N/A,#N/A,FALSE,"Aging Summary";#N/A,#N/A,FALSE,"Ratio Analysis";#N/A,#N/A,FALSE,"Test 120 Day Accts";#N/A,#N/A,FALSE,"Tickmarks"}</definedName>
    <definedName name="wrn.Aging._.and._.Trend._.Analysis._1_1_2_2_3" localSheetId="0" hidden="1">{#N/A,#N/A,FALSE,"Aging Summary";#N/A,#N/A,FALSE,"Ratio Analysis";#N/A,#N/A,FALSE,"Test 120 Day Accts";#N/A,#N/A,FALSE,"Tickmarks"}</definedName>
    <definedName name="wrn.Aging._.and._.Trend._.Analysis._1_1_2_2_3" localSheetId="6" hidden="1">{#N/A,#N/A,FALSE,"Aging Summary";#N/A,#N/A,FALSE,"Ratio Analysis";#N/A,#N/A,FALSE,"Test 120 Day Accts";#N/A,#N/A,FALSE,"Tickmarks"}</definedName>
    <definedName name="wrn.Aging._.and._.Trend._.Analysis._1_1_2_2_3" hidden="1">{#N/A,#N/A,FALSE,"Aging Summary";#N/A,#N/A,FALSE,"Ratio Analysis";#N/A,#N/A,FALSE,"Test 120 Day Accts";#N/A,#N/A,FALSE,"Tickmarks"}</definedName>
    <definedName name="wrn.Aging._.and._.Trend._.Analysis._1_1_2_2_4" localSheetId="0" hidden="1">{#N/A,#N/A,FALSE,"Aging Summary";#N/A,#N/A,FALSE,"Ratio Analysis";#N/A,#N/A,FALSE,"Test 120 Day Accts";#N/A,#N/A,FALSE,"Tickmarks"}</definedName>
    <definedName name="wrn.Aging._.and._.Trend._.Analysis._1_1_2_2_4" localSheetId="6" hidden="1">{#N/A,#N/A,FALSE,"Aging Summary";#N/A,#N/A,FALSE,"Ratio Analysis";#N/A,#N/A,FALSE,"Test 120 Day Accts";#N/A,#N/A,FALSE,"Tickmarks"}</definedName>
    <definedName name="wrn.Aging._.and._.Trend._.Analysis._1_1_2_2_4" hidden="1">{#N/A,#N/A,FALSE,"Aging Summary";#N/A,#N/A,FALSE,"Ratio Analysis";#N/A,#N/A,FALSE,"Test 120 Day Accts";#N/A,#N/A,FALSE,"Tickmarks"}</definedName>
    <definedName name="wrn.Aging._.and._.Trend._.Analysis._1_1_2_2_5" localSheetId="0" hidden="1">{#N/A,#N/A,FALSE,"Aging Summary";#N/A,#N/A,FALSE,"Ratio Analysis";#N/A,#N/A,FALSE,"Test 120 Day Accts";#N/A,#N/A,FALSE,"Tickmarks"}</definedName>
    <definedName name="wrn.Aging._.and._.Trend._.Analysis._1_1_2_2_5" localSheetId="6" hidden="1">{#N/A,#N/A,FALSE,"Aging Summary";#N/A,#N/A,FALSE,"Ratio Analysis";#N/A,#N/A,FALSE,"Test 120 Day Accts";#N/A,#N/A,FALSE,"Tickmarks"}</definedName>
    <definedName name="wrn.Aging._.and._.Trend._.Analysis._1_1_2_2_5" hidden="1">{#N/A,#N/A,FALSE,"Aging Summary";#N/A,#N/A,FALSE,"Ratio Analysis";#N/A,#N/A,FALSE,"Test 120 Day Accts";#N/A,#N/A,FALSE,"Tickmarks"}</definedName>
    <definedName name="wrn.Aging._.and._.Trend._.Analysis._1_1_2_3" localSheetId="0" hidden="1">{#N/A,#N/A,FALSE,"Aging Summary";#N/A,#N/A,FALSE,"Ratio Analysis";#N/A,#N/A,FALSE,"Test 120 Day Accts";#N/A,#N/A,FALSE,"Tickmarks"}</definedName>
    <definedName name="wrn.Aging._.and._.Trend._.Analysis._1_1_2_3" localSheetId="6" hidden="1">{#N/A,#N/A,FALSE,"Aging Summary";#N/A,#N/A,FALSE,"Ratio Analysis";#N/A,#N/A,FALSE,"Test 120 Day Accts";#N/A,#N/A,FALSE,"Tickmarks"}</definedName>
    <definedName name="wrn.Aging._.and._.Trend._.Analysis._1_1_2_3" hidden="1">{#N/A,#N/A,FALSE,"Aging Summary";#N/A,#N/A,FALSE,"Ratio Analysis";#N/A,#N/A,FALSE,"Test 120 Day Accts";#N/A,#N/A,FALSE,"Tickmarks"}</definedName>
    <definedName name="wrn.Aging._.and._.Trend._.Analysis._1_1_2_3_1" localSheetId="0" hidden="1">{#N/A,#N/A,FALSE,"Aging Summary";#N/A,#N/A,FALSE,"Ratio Analysis";#N/A,#N/A,FALSE,"Test 120 Day Accts";#N/A,#N/A,FALSE,"Tickmarks"}</definedName>
    <definedName name="wrn.Aging._.and._.Trend._.Analysis._1_1_2_3_1" localSheetId="6" hidden="1">{#N/A,#N/A,FALSE,"Aging Summary";#N/A,#N/A,FALSE,"Ratio Analysis";#N/A,#N/A,FALSE,"Test 120 Day Accts";#N/A,#N/A,FALSE,"Tickmarks"}</definedName>
    <definedName name="wrn.Aging._.and._.Trend._.Analysis._1_1_2_3_1" hidden="1">{#N/A,#N/A,FALSE,"Aging Summary";#N/A,#N/A,FALSE,"Ratio Analysis";#N/A,#N/A,FALSE,"Test 120 Day Accts";#N/A,#N/A,FALSE,"Tickmarks"}</definedName>
    <definedName name="wrn.Aging._.and._.Trend._.Analysis._1_1_2_3_2" localSheetId="0" hidden="1">{#N/A,#N/A,FALSE,"Aging Summary";#N/A,#N/A,FALSE,"Ratio Analysis";#N/A,#N/A,FALSE,"Test 120 Day Accts";#N/A,#N/A,FALSE,"Tickmarks"}</definedName>
    <definedName name="wrn.Aging._.and._.Trend._.Analysis._1_1_2_3_2" localSheetId="6" hidden="1">{#N/A,#N/A,FALSE,"Aging Summary";#N/A,#N/A,FALSE,"Ratio Analysis";#N/A,#N/A,FALSE,"Test 120 Day Accts";#N/A,#N/A,FALSE,"Tickmarks"}</definedName>
    <definedName name="wrn.Aging._.and._.Trend._.Analysis._1_1_2_3_2" hidden="1">{#N/A,#N/A,FALSE,"Aging Summary";#N/A,#N/A,FALSE,"Ratio Analysis";#N/A,#N/A,FALSE,"Test 120 Day Accts";#N/A,#N/A,FALSE,"Tickmarks"}</definedName>
    <definedName name="wrn.Aging._.and._.Trend._.Analysis._1_1_2_3_3" localSheetId="0" hidden="1">{#N/A,#N/A,FALSE,"Aging Summary";#N/A,#N/A,FALSE,"Ratio Analysis";#N/A,#N/A,FALSE,"Test 120 Day Accts";#N/A,#N/A,FALSE,"Tickmarks"}</definedName>
    <definedName name="wrn.Aging._.and._.Trend._.Analysis._1_1_2_3_3" localSheetId="6" hidden="1">{#N/A,#N/A,FALSE,"Aging Summary";#N/A,#N/A,FALSE,"Ratio Analysis";#N/A,#N/A,FALSE,"Test 120 Day Accts";#N/A,#N/A,FALSE,"Tickmarks"}</definedName>
    <definedName name="wrn.Aging._.and._.Trend._.Analysis._1_1_2_3_3" hidden="1">{#N/A,#N/A,FALSE,"Aging Summary";#N/A,#N/A,FALSE,"Ratio Analysis";#N/A,#N/A,FALSE,"Test 120 Day Accts";#N/A,#N/A,FALSE,"Tickmarks"}</definedName>
    <definedName name="wrn.Aging._.and._.Trend._.Analysis._1_1_2_3_4" localSheetId="0" hidden="1">{#N/A,#N/A,FALSE,"Aging Summary";#N/A,#N/A,FALSE,"Ratio Analysis";#N/A,#N/A,FALSE,"Test 120 Day Accts";#N/A,#N/A,FALSE,"Tickmarks"}</definedName>
    <definedName name="wrn.Aging._.and._.Trend._.Analysis._1_1_2_3_4" localSheetId="6" hidden="1">{#N/A,#N/A,FALSE,"Aging Summary";#N/A,#N/A,FALSE,"Ratio Analysis";#N/A,#N/A,FALSE,"Test 120 Day Accts";#N/A,#N/A,FALSE,"Tickmarks"}</definedName>
    <definedName name="wrn.Aging._.and._.Trend._.Analysis._1_1_2_3_4" hidden="1">{#N/A,#N/A,FALSE,"Aging Summary";#N/A,#N/A,FALSE,"Ratio Analysis";#N/A,#N/A,FALSE,"Test 120 Day Accts";#N/A,#N/A,FALSE,"Tickmarks"}</definedName>
    <definedName name="wrn.Aging._.and._.Trend._.Analysis._1_1_2_3_5" localSheetId="0" hidden="1">{#N/A,#N/A,FALSE,"Aging Summary";#N/A,#N/A,FALSE,"Ratio Analysis";#N/A,#N/A,FALSE,"Test 120 Day Accts";#N/A,#N/A,FALSE,"Tickmarks"}</definedName>
    <definedName name="wrn.Aging._.and._.Trend._.Analysis._1_1_2_3_5" localSheetId="6" hidden="1">{#N/A,#N/A,FALSE,"Aging Summary";#N/A,#N/A,FALSE,"Ratio Analysis";#N/A,#N/A,FALSE,"Test 120 Day Accts";#N/A,#N/A,FALSE,"Tickmarks"}</definedName>
    <definedName name="wrn.Aging._.and._.Trend._.Analysis._1_1_2_3_5" hidden="1">{#N/A,#N/A,FALSE,"Aging Summary";#N/A,#N/A,FALSE,"Ratio Analysis";#N/A,#N/A,FALSE,"Test 120 Day Accts";#N/A,#N/A,FALSE,"Tickmarks"}</definedName>
    <definedName name="wrn.Aging._.and._.Trend._.Analysis._1_1_2_4" localSheetId="0" hidden="1">{#N/A,#N/A,FALSE,"Aging Summary";#N/A,#N/A,FALSE,"Ratio Analysis";#N/A,#N/A,FALSE,"Test 120 Day Accts";#N/A,#N/A,FALSE,"Tickmarks"}</definedName>
    <definedName name="wrn.Aging._.and._.Trend._.Analysis._1_1_2_4" localSheetId="6" hidden="1">{#N/A,#N/A,FALSE,"Aging Summary";#N/A,#N/A,FALSE,"Ratio Analysis";#N/A,#N/A,FALSE,"Test 120 Day Accts";#N/A,#N/A,FALSE,"Tickmarks"}</definedName>
    <definedName name="wrn.Aging._.and._.Trend._.Analysis._1_1_2_4" hidden="1">{#N/A,#N/A,FALSE,"Aging Summary";#N/A,#N/A,FALSE,"Ratio Analysis";#N/A,#N/A,FALSE,"Test 120 Day Accts";#N/A,#N/A,FALSE,"Tickmarks"}</definedName>
    <definedName name="wrn.Aging._.and._.Trend._.Analysis._1_1_2_4_1" localSheetId="0" hidden="1">{#N/A,#N/A,FALSE,"Aging Summary";#N/A,#N/A,FALSE,"Ratio Analysis";#N/A,#N/A,FALSE,"Test 120 Day Accts";#N/A,#N/A,FALSE,"Tickmarks"}</definedName>
    <definedName name="wrn.Aging._.and._.Trend._.Analysis._1_1_2_4_1" localSheetId="6" hidden="1">{#N/A,#N/A,FALSE,"Aging Summary";#N/A,#N/A,FALSE,"Ratio Analysis";#N/A,#N/A,FALSE,"Test 120 Day Accts";#N/A,#N/A,FALSE,"Tickmarks"}</definedName>
    <definedName name="wrn.Aging._.and._.Trend._.Analysis._1_1_2_4_1" hidden="1">{#N/A,#N/A,FALSE,"Aging Summary";#N/A,#N/A,FALSE,"Ratio Analysis";#N/A,#N/A,FALSE,"Test 120 Day Accts";#N/A,#N/A,FALSE,"Tickmarks"}</definedName>
    <definedName name="wrn.Aging._.and._.Trend._.Analysis._1_1_2_4_2" localSheetId="0" hidden="1">{#N/A,#N/A,FALSE,"Aging Summary";#N/A,#N/A,FALSE,"Ratio Analysis";#N/A,#N/A,FALSE,"Test 120 Day Accts";#N/A,#N/A,FALSE,"Tickmarks"}</definedName>
    <definedName name="wrn.Aging._.and._.Trend._.Analysis._1_1_2_4_2" localSheetId="6" hidden="1">{#N/A,#N/A,FALSE,"Aging Summary";#N/A,#N/A,FALSE,"Ratio Analysis";#N/A,#N/A,FALSE,"Test 120 Day Accts";#N/A,#N/A,FALSE,"Tickmarks"}</definedName>
    <definedName name="wrn.Aging._.and._.Trend._.Analysis._1_1_2_4_2" hidden="1">{#N/A,#N/A,FALSE,"Aging Summary";#N/A,#N/A,FALSE,"Ratio Analysis";#N/A,#N/A,FALSE,"Test 120 Day Accts";#N/A,#N/A,FALSE,"Tickmarks"}</definedName>
    <definedName name="wrn.Aging._.and._.Trend._.Analysis._1_1_2_4_3" localSheetId="0" hidden="1">{#N/A,#N/A,FALSE,"Aging Summary";#N/A,#N/A,FALSE,"Ratio Analysis";#N/A,#N/A,FALSE,"Test 120 Day Accts";#N/A,#N/A,FALSE,"Tickmarks"}</definedName>
    <definedName name="wrn.Aging._.and._.Trend._.Analysis._1_1_2_4_3" localSheetId="6" hidden="1">{#N/A,#N/A,FALSE,"Aging Summary";#N/A,#N/A,FALSE,"Ratio Analysis";#N/A,#N/A,FALSE,"Test 120 Day Accts";#N/A,#N/A,FALSE,"Tickmarks"}</definedName>
    <definedName name="wrn.Aging._.and._.Trend._.Analysis._1_1_2_4_3" hidden="1">{#N/A,#N/A,FALSE,"Aging Summary";#N/A,#N/A,FALSE,"Ratio Analysis";#N/A,#N/A,FALSE,"Test 120 Day Accts";#N/A,#N/A,FALSE,"Tickmarks"}</definedName>
    <definedName name="wrn.Aging._.and._.Trend._.Analysis._1_1_2_4_4" localSheetId="0" hidden="1">{#N/A,#N/A,FALSE,"Aging Summary";#N/A,#N/A,FALSE,"Ratio Analysis";#N/A,#N/A,FALSE,"Test 120 Day Accts";#N/A,#N/A,FALSE,"Tickmarks"}</definedName>
    <definedName name="wrn.Aging._.and._.Trend._.Analysis._1_1_2_4_4" localSheetId="6" hidden="1">{#N/A,#N/A,FALSE,"Aging Summary";#N/A,#N/A,FALSE,"Ratio Analysis";#N/A,#N/A,FALSE,"Test 120 Day Accts";#N/A,#N/A,FALSE,"Tickmarks"}</definedName>
    <definedName name="wrn.Aging._.and._.Trend._.Analysis._1_1_2_4_4" hidden="1">{#N/A,#N/A,FALSE,"Aging Summary";#N/A,#N/A,FALSE,"Ratio Analysis";#N/A,#N/A,FALSE,"Test 120 Day Accts";#N/A,#N/A,FALSE,"Tickmarks"}</definedName>
    <definedName name="wrn.Aging._.and._.Trend._.Analysis._1_1_2_4_5" localSheetId="0" hidden="1">{#N/A,#N/A,FALSE,"Aging Summary";#N/A,#N/A,FALSE,"Ratio Analysis";#N/A,#N/A,FALSE,"Test 120 Day Accts";#N/A,#N/A,FALSE,"Tickmarks"}</definedName>
    <definedName name="wrn.Aging._.and._.Trend._.Analysis._1_1_2_4_5" localSheetId="6" hidden="1">{#N/A,#N/A,FALSE,"Aging Summary";#N/A,#N/A,FALSE,"Ratio Analysis";#N/A,#N/A,FALSE,"Test 120 Day Accts";#N/A,#N/A,FALSE,"Tickmarks"}</definedName>
    <definedName name="wrn.Aging._.and._.Trend._.Analysis._1_1_2_4_5" hidden="1">{#N/A,#N/A,FALSE,"Aging Summary";#N/A,#N/A,FALSE,"Ratio Analysis";#N/A,#N/A,FALSE,"Test 120 Day Accts";#N/A,#N/A,FALSE,"Tickmarks"}</definedName>
    <definedName name="wrn.Aging._.and._.Trend._.Analysis._1_1_2_5" localSheetId="0" hidden="1">{#N/A,#N/A,FALSE,"Aging Summary";#N/A,#N/A,FALSE,"Ratio Analysis";#N/A,#N/A,FALSE,"Test 120 Day Accts";#N/A,#N/A,FALSE,"Tickmarks"}</definedName>
    <definedName name="wrn.Aging._.and._.Trend._.Analysis._1_1_2_5" localSheetId="6" hidden="1">{#N/A,#N/A,FALSE,"Aging Summary";#N/A,#N/A,FALSE,"Ratio Analysis";#N/A,#N/A,FALSE,"Test 120 Day Accts";#N/A,#N/A,FALSE,"Tickmarks"}</definedName>
    <definedName name="wrn.Aging._.and._.Trend._.Analysis._1_1_2_5" hidden="1">{#N/A,#N/A,FALSE,"Aging Summary";#N/A,#N/A,FALSE,"Ratio Analysis";#N/A,#N/A,FALSE,"Test 120 Day Accts";#N/A,#N/A,FALSE,"Tickmarks"}</definedName>
    <definedName name="wrn.Aging._.and._.Trend._.Analysis._1_1_2_5_1" localSheetId="0" hidden="1">{#N/A,#N/A,FALSE,"Aging Summary";#N/A,#N/A,FALSE,"Ratio Analysis";#N/A,#N/A,FALSE,"Test 120 Day Accts";#N/A,#N/A,FALSE,"Tickmarks"}</definedName>
    <definedName name="wrn.Aging._.and._.Trend._.Analysis._1_1_2_5_1" localSheetId="6" hidden="1">{#N/A,#N/A,FALSE,"Aging Summary";#N/A,#N/A,FALSE,"Ratio Analysis";#N/A,#N/A,FALSE,"Test 120 Day Accts";#N/A,#N/A,FALSE,"Tickmarks"}</definedName>
    <definedName name="wrn.Aging._.and._.Trend._.Analysis._1_1_2_5_1" hidden="1">{#N/A,#N/A,FALSE,"Aging Summary";#N/A,#N/A,FALSE,"Ratio Analysis";#N/A,#N/A,FALSE,"Test 120 Day Accts";#N/A,#N/A,FALSE,"Tickmarks"}</definedName>
    <definedName name="wrn.Aging._.and._.Trend._.Analysis._1_1_2_5_2" localSheetId="0" hidden="1">{#N/A,#N/A,FALSE,"Aging Summary";#N/A,#N/A,FALSE,"Ratio Analysis";#N/A,#N/A,FALSE,"Test 120 Day Accts";#N/A,#N/A,FALSE,"Tickmarks"}</definedName>
    <definedName name="wrn.Aging._.and._.Trend._.Analysis._1_1_2_5_2" localSheetId="6" hidden="1">{#N/A,#N/A,FALSE,"Aging Summary";#N/A,#N/A,FALSE,"Ratio Analysis";#N/A,#N/A,FALSE,"Test 120 Day Accts";#N/A,#N/A,FALSE,"Tickmarks"}</definedName>
    <definedName name="wrn.Aging._.and._.Trend._.Analysis._1_1_2_5_2" hidden="1">{#N/A,#N/A,FALSE,"Aging Summary";#N/A,#N/A,FALSE,"Ratio Analysis";#N/A,#N/A,FALSE,"Test 120 Day Accts";#N/A,#N/A,FALSE,"Tickmarks"}</definedName>
    <definedName name="wrn.Aging._.and._.Trend._.Analysis._1_1_2_5_3" localSheetId="0" hidden="1">{#N/A,#N/A,FALSE,"Aging Summary";#N/A,#N/A,FALSE,"Ratio Analysis";#N/A,#N/A,FALSE,"Test 120 Day Accts";#N/A,#N/A,FALSE,"Tickmarks"}</definedName>
    <definedName name="wrn.Aging._.and._.Trend._.Analysis._1_1_2_5_3" localSheetId="6" hidden="1">{#N/A,#N/A,FALSE,"Aging Summary";#N/A,#N/A,FALSE,"Ratio Analysis";#N/A,#N/A,FALSE,"Test 120 Day Accts";#N/A,#N/A,FALSE,"Tickmarks"}</definedName>
    <definedName name="wrn.Aging._.and._.Trend._.Analysis._1_1_2_5_3" hidden="1">{#N/A,#N/A,FALSE,"Aging Summary";#N/A,#N/A,FALSE,"Ratio Analysis";#N/A,#N/A,FALSE,"Test 120 Day Accts";#N/A,#N/A,FALSE,"Tickmarks"}</definedName>
    <definedName name="wrn.Aging._.and._.Trend._.Analysis._1_1_2_5_4" localSheetId="0" hidden="1">{#N/A,#N/A,FALSE,"Aging Summary";#N/A,#N/A,FALSE,"Ratio Analysis";#N/A,#N/A,FALSE,"Test 120 Day Accts";#N/A,#N/A,FALSE,"Tickmarks"}</definedName>
    <definedName name="wrn.Aging._.and._.Trend._.Analysis._1_1_2_5_4" localSheetId="6" hidden="1">{#N/A,#N/A,FALSE,"Aging Summary";#N/A,#N/A,FALSE,"Ratio Analysis";#N/A,#N/A,FALSE,"Test 120 Day Accts";#N/A,#N/A,FALSE,"Tickmarks"}</definedName>
    <definedName name="wrn.Aging._.and._.Trend._.Analysis._1_1_2_5_4" hidden="1">{#N/A,#N/A,FALSE,"Aging Summary";#N/A,#N/A,FALSE,"Ratio Analysis";#N/A,#N/A,FALSE,"Test 120 Day Accts";#N/A,#N/A,FALSE,"Tickmarks"}</definedName>
    <definedName name="wrn.Aging._.and._.Trend._.Analysis._1_1_2_5_5" localSheetId="0" hidden="1">{#N/A,#N/A,FALSE,"Aging Summary";#N/A,#N/A,FALSE,"Ratio Analysis";#N/A,#N/A,FALSE,"Test 120 Day Accts";#N/A,#N/A,FALSE,"Tickmarks"}</definedName>
    <definedName name="wrn.Aging._.and._.Trend._.Analysis._1_1_2_5_5" localSheetId="6" hidden="1">{#N/A,#N/A,FALSE,"Aging Summary";#N/A,#N/A,FALSE,"Ratio Analysis";#N/A,#N/A,FALSE,"Test 120 Day Accts";#N/A,#N/A,FALSE,"Tickmarks"}</definedName>
    <definedName name="wrn.Aging._.and._.Trend._.Analysis._1_1_2_5_5" hidden="1">{#N/A,#N/A,FALSE,"Aging Summary";#N/A,#N/A,FALSE,"Ratio Analysis";#N/A,#N/A,FALSE,"Test 120 Day Accts";#N/A,#N/A,FALSE,"Tickmarks"}</definedName>
    <definedName name="wrn.Aging._.and._.Trend._.Analysis._1_1_3" localSheetId="0" hidden="1">{#N/A,#N/A,FALSE,"Aging Summary";#N/A,#N/A,FALSE,"Ratio Analysis";#N/A,#N/A,FALSE,"Test 120 Day Accts";#N/A,#N/A,FALSE,"Tickmarks"}</definedName>
    <definedName name="wrn.Aging._.and._.Trend._.Analysis._1_1_3" localSheetId="6" hidden="1">{#N/A,#N/A,FALSE,"Aging Summary";#N/A,#N/A,FALSE,"Ratio Analysis";#N/A,#N/A,FALSE,"Test 120 Day Accts";#N/A,#N/A,FALSE,"Tickmarks"}</definedName>
    <definedName name="wrn.Aging._.and._.Trend._.Analysis._1_1_3" hidden="1">{#N/A,#N/A,FALSE,"Aging Summary";#N/A,#N/A,FALSE,"Ratio Analysis";#N/A,#N/A,FALSE,"Test 120 Day Accts";#N/A,#N/A,FALSE,"Tickmarks"}</definedName>
    <definedName name="wrn.Aging._.and._.Trend._.Analysis._1_1_3_1" localSheetId="0" hidden="1">{#N/A,#N/A,FALSE,"Aging Summary";#N/A,#N/A,FALSE,"Ratio Analysis";#N/A,#N/A,FALSE,"Test 120 Day Accts";#N/A,#N/A,FALSE,"Tickmarks"}</definedName>
    <definedName name="wrn.Aging._.and._.Trend._.Analysis._1_1_3_1" localSheetId="6" hidden="1">{#N/A,#N/A,FALSE,"Aging Summary";#N/A,#N/A,FALSE,"Ratio Analysis";#N/A,#N/A,FALSE,"Test 120 Day Accts";#N/A,#N/A,FALSE,"Tickmarks"}</definedName>
    <definedName name="wrn.Aging._.and._.Trend._.Analysis._1_1_3_1" hidden="1">{#N/A,#N/A,FALSE,"Aging Summary";#N/A,#N/A,FALSE,"Ratio Analysis";#N/A,#N/A,FALSE,"Test 120 Day Accts";#N/A,#N/A,FALSE,"Tickmarks"}</definedName>
    <definedName name="wrn.Aging._.and._.Trend._.Analysis._1_1_3_1_1" localSheetId="0" hidden="1">{#N/A,#N/A,FALSE,"Aging Summary";#N/A,#N/A,FALSE,"Ratio Analysis";#N/A,#N/A,FALSE,"Test 120 Day Accts";#N/A,#N/A,FALSE,"Tickmarks"}</definedName>
    <definedName name="wrn.Aging._.and._.Trend._.Analysis._1_1_3_1_1" localSheetId="6" hidden="1">{#N/A,#N/A,FALSE,"Aging Summary";#N/A,#N/A,FALSE,"Ratio Analysis";#N/A,#N/A,FALSE,"Test 120 Day Accts";#N/A,#N/A,FALSE,"Tickmarks"}</definedName>
    <definedName name="wrn.Aging._.and._.Trend._.Analysis._1_1_3_1_1" hidden="1">{#N/A,#N/A,FALSE,"Aging Summary";#N/A,#N/A,FALSE,"Ratio Analysis";#N/A,#N/A,FALSE,"Test 120 Day Accts";#N/A,#N/A,FALSE,"Tickmarks"}</definedName>
    <definedName name="wrn.Aging._.and._.Trend._.Analysis._1_1_3_1_2" localSheetId="0" hidden="1">{#N/A,#N/A,FALSE,"Aging Summary";#N/A,#N/A,FALSE,"Ratio Analysis";#N/A,#N/A,FALSE,"Test 120 Day Accts";#N/A,#N/A,FALSE,"Tickmarks"}</definedName>
    <definedName name="wrn.Aging._.and._.Trend._.Analysis._1_1_3_1_2" localSheetId="6" hidden="1">{#N/A,#N/A,FALSE,"Aging Summary";#N/A,#N/A,FALSE,"Ratio Analysis";#N/A,#N/A,FALSE,"Test 120 Day Accts";#N/A,#N/A,FALSE,"Tickmarks"}</definedName>
    <definedName name="wrn.Aging._.and._.Trend._.Analysis._1_1_3_1_2" hidden="1">{#N/A,#N/A,FALSE,"Aging Summary";#N/A,#N/A,FALSE,"Ratio Analysis";#N/A,#N/A,FALSE,"Test 120 Day Accts";#N/A,#N/A,FALSE,"Tickmarks"}</definedName>
    <definedName name="wrn.Aging._.and._.Trend._.Analysis._1_1_3_1_3" localSheetId="0" hidden="1">{#N/A,#N/A,FALSE,"Aging Summary";#N/A,#N/A,FALSE,"Ratio Analysis";#N/A,#N/A,FALSE,"Test 120 Day Accts";#N/A,#N/A,FALSE,"Tickmarks"}</definedName>
    <definedName name="wrn.Aging._.and._.Trend._.Analysis._1_1_3_1_3" localSheetId="6" hidden="1">{#N/A,#N/A,FALSE,"Aging Summary";#N/A,#N/A,FALSE,"Ratio Analysis";#N/A,#N/A,FALSE,"Test 120 Day Accts";#N/A,#N/A,FALSE,"Tickmarks"}</definedName>
    <definedName name="wrn.Aging._.and._.Trend._.Analysis._1_1_3_1_3" hidden="1">{#N/A,#N/A,FALSE,"Aging Summary";#N/A,#N/A,FALSE,"Ratio Analysis";#N/A,#N/A,FALSE,"Test 120 Day Accts";#N/A,#N/A,FALSE,"Tickmarks"}</definedName>
    <definedName name="wrn.Aging._.and._.Trend._.Analysis._1_1_3_1_4" localSheetId="0" hidden="1">{#N/A,#N/A,FALSE,"Aging Summary";#N/A,#N/A,FALSE,"Ratio Analysis";#N/A,#N/A,FALSE,"Test 120 Day Accts";#N/A,#N/A,FALSE,"Tickmarks"}</definedName>
    <definedName name="wrn.Aging._.and._.Trend._.Analysis._1_1_3_1_4" localSheetId="6" hidden="1">{#N/A,#N/A,FALSE,"Aging Summary";#N/A,#N/A,FALSE,"Ratio Analysis";#N/A,#N/A,FALSE,"Test 120 Day Accts";#N/A,#N/A,FALSE,"Tickmarks"}</definedName>
    <definedName name="wrn.Aging._.and._.Trend._.Analysis._1_1_3_1_4" hidden="1">{#N/A,#N/A,FALSE,"Aging Summary";#N/A,#N/A,FALSE,"Ratio Analysis";#N/A,#N/A,FALSE,"Test 120 Day Accts";#N/A,#N/A,FALSE,"Tickmarks"}</definedName>
    <definedName name="wrn.Aging._.and._.Trend._.Analysis._1_1_3_1_5" localSheetId="0" hidden="1">{#N/A,#N/A,FALSE,"Aging Summary";#N/A,#N/A,FALSE,"Ratio Analysis";#N/A,#N/A,FALSE,"Test 120 Day Accts";#N/A,#N/A,FALSE,"Tickmarks"}</definedName>
    <definedName name="wrn.Aging._.and._.Trend._.Analysis._1_1_3_1_5" localSheetId="6" hidden="1">{#N/A,#N/A,FALSE,"Aging Summary";#N/A,#N/A,FALSE,"Ratio Analysis";#N/A,#N/A,FALSE,"Test 120 Day Accts";#N/A,#N/A,FALSE,"Tickmarks"}</definedName>
    <definedName name="wrn.Aging._.and._.Trend._.Analysis._1_1_3_1_5" hidden="1">{#N/A,#N/A,FALSE,"Aging Summary";#N/A,#N/A,FALSE,"Ratio Analysis";#N/A,#N/A,FALSE,"Test 120 Day Accts";#N/A,#N/A,FALSE,"Tickmarks"}</definedName>
    <definedName name="wrn.Aging._.and._.Trend._.Analysis._1_1_3_2" localSheetId="0" hidden="1">{#N/A,#N/A,FALSE,"Aging Summary";#N/A,#N/A,FALSE,"Ratio Analysis";#N/A,#N/A,FALSE,"Test 120 Day Accts";#N/A,#N/A,FALSE,"Tickmarks"}</definedName>
    <definedName name="wrn.Aging._.and._.Trend._.Analysis._1_1_3_2" localSheetId="6" hidden="1">{#N/A,#N/A,FALSE,"Aging Summary";#N/A,#N/A,FALSE,"Ratio Analysis";#N/A,#N/A,FALSE,"Test 120 Day Accts";#N/A,#N/A,FALSE,"Tickmarks"}</definedName>
    <definedName name="wrn.Aging._.and._.Trend._.Analysis._1_1_3_2" hidden="1">{#N/A,#N/A,FALSE,"Aging Summary";#N/A,#N/A,FALSE,"Ratio Analysis";#N/A,#N/A,FALSE,"Test 120 Day Accts";#N/A,#N/A,FALSE,"Tickmarks"}</definedName>
    <definedName name="wrn.Aging._.and._.Trend._.Analysis._1_1_3_2_1" localSheetId="0" hidden="1">{#N/A,#N/A,FALSE,"Aging Summary";#N/A,#N/A,FALSE,"Ratio Analysis";#N/A,#N/A,FALSE,"Test 120 Day Accts";#N/A,#N/A,FALSE,"Tickmarks"}</definedName>
    <definedName name="wrn.Aging._.and._.Trend._.Analysis._1_1_3_2_1" localSheetId="6" hidden="1">{#N/A,#N/A,FALSE,"Aging Summary";#N/A,#N/A,FALSE,"Ratio Analysis";#N/A,#N/A,FALSE,"Test 120 Day Accts";#N/A,#N/A,FALSE,"Tickmarks"}</definedName>
    <definedName name="wrn.Aging._.and._.Trend._.Analysis._1_1_3_2_1" hidden="1">{#N/A,#N/A,FALSE,"Aging Summary";#N/A,#N/A,FALSE,"Ratio Analysis";#N/A,#N/A,FALSE,"Test 120 Day Accts";#N/A,#N/A,FALSE,"Tickmarks"}</definedName>
    <definedName name="wrn.Aging._.and._.Trend._.Analysis._1_1_3_2_2" localSheetId="0" hidden="1">{#N/A,#N/A,FALSE,"Aging Summary";#N/A,#N/A,FALSE,"Ratio Analysis";#N/A,#N/A,FALSE,"Test 120 Day Accts";#N/A,#N/A,FALSE,"Tickmarks"}</definedName>
    <definedName name="wrn.Aging._.and._.Trend._.Analysis._1_1_3_2_2" localSheetId="6" hidden="1">{#N/A,#N/A,FALSE,"Aging Summary";#N/A,#N/A,FALSE,"Ratio Analysis";#N/A,#N/A,FALSE,"Test 120 Day Accts";#N/A,#N/A,FALSE,"Tickmarks"}</definedName>
    <definedName name="wrn.Aging._.and._.Trend._.Analysis._1_1_3_2_2" hidden="1">{#N/A,#N/A,FALSE,"Aging Summary";#N/A,#N/A,FALSE,"Ratio Analysis";#N/A,#N/A,FALSE,"Test 120 Day Accts";#N/A,#N/A,FALSE,"Tickmarks"}</definedName>
    <definedName name="wrn.Aging._.and._.Trend._.Analysis._1_1_3_2_3" localSheetId="0" hidden="1">{#N/A,#N/A,FALSE,"Aging Summary";#N/A,#N/A,FALSE,"Ratio Analysis";#N/A,#N/A,FALSE,"Test 120 Day Accts";#N/A,#N/A,FALSE,"Tickmarks"}</definedName>
    <definedName name="wrn.Aging._.and._.Trend._.Analysis._1_1_3_2_3" localSheetId="6" hidden="1">{#N/A,#N/A,FALSE,"Aging Summary";#N/A,#N/A,FALSE,"Ratio Analysis";#N/A,#N/A,FALSE,"Test 120 Day Accts";#N/A,#N/A,FALSE,"Tickmarks"}</definedName>
    <definedName name="wrn.Aging._.and._.Trend._.Analysis._1_1_3_2_3" hidden="1">{#N/A,#N/A,FALSE,"Aging Summary";#N/A,#N/A,FALSE,"Ratio Analysis";#N/A,#N/A,FALSE,"Test 120 Day Accts";#N/A,#N/A,FALSE,"Tickmarks"}</definedName>
    <definedName name="wrn.Aging._.and._.Trend._.Analysis._1_1_3_2_4" localSheetId="0" hidden="1">{#N/A,#N/A,FALSE,"Aging Summary";#N/A,#N/A,FALSE,"Ratio Analysis";#N/A,#N/A,FALSE,"Test 120 Day Accts";#N/A,#N/A,FALSE,"Tickmarks"}</definedName>
    <definedName name="wrn.Aging._.and._.Trend._.Analysis._1_1_3_2_4" localSheetId="6" hidden="1">{#N/A,#N/A,FALSE,"Aging Summary";#N/A,#N/A,FALSE,"Ratio Analysis";#N/A,#N/A,FALSE,"Test 120 Day Accts";#N/A,#N/A,FALSE,"Tickmarks"}</definedName>
    <definedName name="wrn.Aging._.and._.Trend._.Analysis._1_1_3_2_4" hidden="1">{#N/A,#N/A,FALSE,"Aging Summary";#N/A,#N/A,FALSE,"Ratio Analysis";#N/A,#N/A,FALSE,"Test 120 Day Accts";#N/A,#N/A,FALSE,"Tickmarks"}</definedName>
    <definedName name="wrn.Aging._.and._.Trend._.Analysis._1_1_3_2_5" localSheetId="0" hidden="1">{#N/A,#N/A,FALSE,"Aging Summary";#N/A,#N/A,FALSE,"Ratio Analysis";#N/A,#N/A,FALSE,"Test 120 Day Accts";#N/A,#N/A,FALSE,"Tickmarks"}</definedName>
    <definedName name="wrn.Aging._.and._.Trend._.Analysis._1_1_3_2_5" localSheetId="6" hidden="1">{#N/A,#N/A,FALSE,"Aging Summary";#N/A,#N/A,FALSE,"Ratio Analysis";#N/A,#N/A,FALSE,"Test 120 Day Accts";#N/A,#N/A,FALSE,"Tickmarks"}</definedName>
    <definedName name="wrn.Aging._.and._.Trend._.Analysis._1_1_3_2_5" hidden="1">{#N/A,#N/A,FALSE,"Aging Summary";#N/A,#N/A,FALSE,"Ratio Analysis";#N/A,#N/A,FALSE,"Test 120 Day Accts";#N/A,#N/A,FALSE,"Tickmarks"}</definedName>
    <definedName name="wrn.Aging._.and._.Trend._.Analysis._1_1_3_3" localSheetId="0" hidden="1">{#N/A,#N/A,FALSE,"Aging Summary";#N/A,#N/A,FALSE,"Ratio Analysis";#N/A,#N/A,FALSE,"Test 120 Day Accts";#N/A,#N/A,FALSE,"Tickmarks"}</definedName>
    <definedName name="wrn.Aging._.and._.Trend._.Analysis._1_1_3_3" localSheetId="6" hidden="1">{#N/A,#N/A,FALSE,"Aging Summary";#N/A,#N/A,FALSE,"Ratio Analysis";#N/A,#N/A,FALSE,"Test 120 Day Accts";#N/A,#N/A,FALSE,"Tickmarks"}</definedName>
    <definedName name="wrn.Aging._.and._.Trend._.Analysis._1_1_3_3" hidden="1">{#N/A,#N/A,FALSE,"Aging Summary";#N/A,#N/A,FALSE,"Ratio Analysis";#N/A,#N/A,FALSE,"Test 120 Day Accts";#N/A,#N/A,FALSE,"Tickmarks"}</definedName>
    <definedName name="wrn.Aging._.and._.Trend._.Analysis._1_1_3_3_1" localSheetId="0" hidden="1">{#N/A,#N/A,FALSE,"Aging Summary";#N/A,#N/A,FALSE,"Ratio Analysis";#N/A,#N/A,FALSE,"Test 120 Day Accts";#N/A,#N/A,FALSE,"Tickmarks"}</definedName>
    <definedName name="wrn.Aging._.and._.Trend._.Analysis._1_1_3_3_1" localSheetId="6" hidden="1">{#N/A,#N/A,FALSE,"Aging Summary";#N/A,#N/A,FALSE,"Ratio Analysis";#N/A,#N/A,FALSE,"Test 120 Day Accts";#N/A,#N/A,FALSE,"Tickmarks"}</definedName>
    <definedName name="wrn.Aging._.and._.Trend._.Analysis._1_1_3_3_1" hidden="1">{#N/A,#N/A,FALSE,"Aging Summary";#N/A,#N/A,FALSE,"Ratio Analysis";#N/A,#N/A,FALSE,"Test 120 Day Accts";#N/A,#N/A,FALSE,"Tickmarks"}</definedName>
    <definedName name="wrn.Aging._.and._.Trend._.Analysis._1_1_3_3_2" localSheetId="0" hidden="1">{#N/A,#N/A,FALSE,"Aging Summary";#N/A,#N/A,FALSE,"Ratio Analysis";#N/A,#N/A,FALSE,"Test 120 Day Accts";#N/A,#N/A,FALSE,"Tickmarks"}</definedName>
    <definedName name="wrn.Aging._.and._.Trend._.Analysis._1_1_3_3_2" localSheetId="6" hidden="1">{#N/A,#N/A,FALSE,"Aging Summary";#N/A,#N/A,FALSE,"Ratio Analysis";#N/A,#N/A,FALSE,"Test 120 Day Accts";#N/A,#N/A,FALSE,"Tickmarks"}</definedName>
    <definedName name="wrn.Aging._.and._.Trend._.Analysis._1_1_3_3_2" hidden="1">{#N/A,#N/A,FALSE,"Aging Summary";#N/A,#N/A,FALSE,"Ratio Analysis";#N/A,#N/A,FALSE,"Test 120 Day Accts";#N/A,#N/A,FALSE,"Tickmarks"}</definedName>
    <definedName name="wrn.Aging._.and._.Trend._.Analysis._1_1_3_3_3" localSheetId="0" hidden="1">{#N/A,#N/A,FALSE,"Aging Summary";#N/A,#N/A,FALSE,"Ratio Analysis";#N/A,#N/A,FALSE,"Test 120 Day Accts";#N/A,#N/A,FALSE,"Tickmarks"}</definedName>
    <definedName name="wrn.Aging._.and._.Trend._.Analysis._1_1_3_3_3" localSheetId="6" hidden="1">{#N/A,#N/A,FALSE,"Aging Summary";#N/A,#N/A,FALSE,"Ratio Analysis";#N/A,#N/A,FALSE,"Test 120 Day Accts";#N/A,#N/A,FALSE,"Tickmarks"}</definedName>
    <definedName name="wrn.Aging._.and._.Trend._.Analysis._1_1_3_3_3" hidden="1">{#N/A,#N/A,FALSE,"Aging Summary";#N/A,#N/A,FALSE,"Ratio Analysis";#N/A,#N/A,FALSE,"Test 120 Day Accts";#N/A,#N/A,FALSE,"Tickmarks"}</definedName>
    <definedName name="wrn.Aging._.and._.Trend._.Analysis._1_1_3_3_4" localSheetId="0" hidden="1">{#N/A,#N/A,FALSE,"Aging Summary";#N/A,#N/A,FALSE,"Ratio Analysis";#N/A,#N/A,FALSE,"Test 120 Day Accts";#N/A,#N/A,FALSE,"Tickmarks"}</definedName>
    <definedName name="wrn.Aging._.and._.Trend._.Analysis._1_1_3_3_4" localSheetId="6" hidden="1">{#N/A,#N/A,FALSE,"Aging Summary";#N/A,#N/A,FALSE,"Ratio Analysis";#N/A,#N/A,FALSE,"Test 120 Day Accts";#N/A,#N/A,FALSE,"Tickmarks"}</definedName>
    <definedName name="wrn.Aging._.and._.Trend._.Analysis._1_1_3_3_4" hidden="1">{#N/A,#N/A,FALSE,"Aging Summary";#N/A,#N/A,FALSE,"Ratio Analysis";#N/A,#N/A,FALSE,"Test 120 Day Accts";#N/A,#N/A,FALSE,"Tickmarks"}</definedName>
    <definedName name="wrn.Aging._.and._.Trend._.Analysis._1_1_3_3_5" localSheetId="0" hidden="1">{#N/A,#N/A,FALSE,"Aging Summary";#N/A,#N/A,FALSE,"Ratio Analysis";#N/A,#N/A,FALSE,"Test 120 Day Accts";#N/A,#N/A,FALSE,"Tickmarks"}</definedName>
    <definedName name="wrn.Aging._.and._.Trend._.Analysis._1_1_3_3_5" localSheetId="6" hidden="1">{#N/A,#N/A,FALSE,"Aging Summary";#N/A,#N/A,FALSE,"Ratio Analysis";#N/A,#N/A,FALSE,"Test 120 Day Accts";#N/A,#N/A,FALSE,"Tickmarks"}</definedName>
    <definedName name="wrn.Aging._.and._.Trend._.Analysis._1_1_3_3_5" hidden="1">{#N/A,#N/A,FALSE,"Aging Summary";#N/A,#N/A,FALSE,"Ratio Analysis";#N/A,#N/A,FALSE,"Test 120 Day Accts";#N/A,#N/A,FALSE,"Tickmarks"}</definedName>
    <definedName name="wrn.Aging._.and._.Trend._.Analysis._1_1_3_4" localSheetId="0" hidden="1">{#N/A,#N/A,FALSE,"Aging Summary";#N/A,#N/A,FALSE,"Ratio Analysis";#N/A,#N/A,FALSE,"Test 120 Day Accts";#N/A,#N/A,FALSE,"Tickmarks"}</definedName>
    <definedName name="wrn.Aging._.and._.Trend._.Analysis._1_1_3_4" localSheetId="6" hidden="1">{#N/A,#N/A,FALSE,"Aging Summary";#N/A,#N/A,FALSE,"Ratio Analysis";#N/A,#N/A,FALSE,"Test 120 Day Accts";#N/A,#N/A,FALSE,"Tickmarks"}</definedName>
    <definedName name="wrn.Aging._.and._.Trend._.Analysis._1_1_3_4" hidden="1">{#N/A,#N/A,FALSE,"Aging Summary";#N/A,#N/A,FALSE,"Ratio Analysis";#N/A,#N/A,FALSE,"Test 120 Day Accts";#N/A,#N/A,FALSE,"Tickmarks"}</definedName>
    <definedName name="wrn.Aging._.and._.Trend._.Analysis._1_1_3_4_1" localSheetId="0" hidden="1">{#N/A,#N/A,FALSE,"Aging Summary";#N/A,#N/A,FALSE,"Ratio Analysis";#N/A,#N/A,FALSE,"Test 120 Day Accts";#N/A,#N/A,FALSE,"Tickmarks"}</definedName>
    <definedName name="wrn.Aging._.and._.Trend._.Analysis._1_1_3_4_1" localSheetId="6" hidden="1">{#N/A,#N/A,FALSE,"Aging Summary";#N/A,#N/A,FALSE,"Ratio Analysis";#N/A,#N/A,FALSE,"Test 120 Day Accts";#N/A,#N/A,FALSE,"Tickmarks"}</definedName>
    <definedName name="wrn.Aging._.and._.Trend._.Analysis._1_1_3_4_1" hidden="1">{#N/A,#N/A,FALSE,"Aging Summary";#N/A,#N/A,FALSE,"Ratio Analysis";#N/A,#N/A,FALSE,"Test 120 Day Accts";#N/A,#N/A,FALSE,"Tickmarks"}</definedName>
    <definedName name="wrn.Aging._.and._.Trend._.Analysis._1_1_3_4_2" localSheetId="0" hidden="1">{#N/A,#N/A,FALSE,"Aging Summary";#N/A,#N/A,FALSE,"Ratio Analysis";#N/A,#N/A,FALSE,"Test 120 Day Accts";#N/A,#N/A,FALSE,"Tickmarks"}</definedName>
    <definedName name="wrn.Aging._.and._.Trend._.Analysis._1_1_3_4_2" localSheetId="6" hidden="1">{#N/A,#N/A,FALSE,"Aging Summary";#N/A,#N/A,FALSE,"Ratio Analysis";#N/A,#N/A,FALSE,"Test 120 Day Accts";#N/A,#N/A,FALSE,"Tickmarks"}</definedName>
    <definedName name="wrn.Aging._.and._.Trend._.Analysis._1_1_3_4_2" hidden="1">{#N/A,#N/A,FALSE,"Aging Summary";#N/A,#N/A,FALSE,"Ratio Analysis";#N/A,#N/A,FALSE,"Test 120 Day Accts";#N/A,#N/A,FALSE,"Tickmarks"}</definedName>
    <definedName name="wrn.Aging._.and._.Trend._.Analysis._1_1_3_4_3" localSheetId="0" hidden="1">{#N/A,#N/A,FALSE,"Aging Summary";#N/A,#N/A,FALSE,"Ratio Analysis";#N/A,#N/A,FALSE,"Test 120 Day Accts";#N/A,#N/A,FALSE,"Tickmarks"}</definedName>
    <definedName name="wrn.Aging._.and._.Trend._.Analysis._1_1_3_4_3" localSheetId="6" hidden="1">{#N/A,#N/A,FALSE,"Aging Summary";#N/A,#N/A,FALSE,"Ratio Analysis";#N/A,#N/A,FALSE,"Test 120 Day Accts";#N/A,#N/A,FALSE,"Tickmarks"}</definedName>
    <definedName name="wrn.Aging._.and._.Trend._.Analysis._1_1_3_4_3" hidden="1">{#N/A,#N/A,FALSE,"Aging Summary";#N/A,#N/A,FALSE,"Ratio Analysis";#N/A,#N/A,FALSE,"Test 120 Day Accts";#N/A,#N/A,FALSE,"Tickmarks"}</definedName>
    <definedName name="wrn.Aging._.and._.Trend._.Analysis._1_1_3_4_4" localSheetId="0" hidden="1">{#N/A,#N/A,FALSE,"Aging Summary";#N/A,#N/A,FALSE,"Ratio Analysis";#N/A,#N/A,FALSE,"Test 120 Day Accts";#N/A,#N/A,FALSE,"Tickmarks"}</definedName>
    <definedName name="wrn.Aging._.and._.Trend._.Analysis._1_1_3_4_4" localSheetId="6" hidden="1">{#N/A,#N/A,FALSE,"Aging Summary";#N/A,#N/A,FALSE,"Ratio Analysis";#N/A,#N/A,FALSE,"Test 120 Day Accts";#N/A,#N/A,FALSE,"Tickmarks"}</definedName>
    <definedName name="wrn.Aging._.and._.Trend._.Analysis._1_1_3_4_4" hidden="1">{#N/A,#N/A,FALSE,"Aging Summary";#N/A,#N/A,FALSE,"Ratio Analysis";#N/A,#N/A,FALSE,"Test 120 Day Accts";#N/A,#N/A,FALSE,"Tickmarks"}</definedName>
    <definedName name="wrn.Aging._.and._.Trend._.Analysis._1_1_3_4_5" localSheetId="0" hidden="1">{#N/A,#N/A,FALSE,"Aging Summary";#N/A,#N/A,FALSE,"Ratio Analysis";#N/A,#N/A,FALSE,"Test 120 Day Accts";#N/A,#N/A,FALSE,"Tickmarks"}</definedName>
    <definedName name="wrn.Aging._.and._.Trend._.Analysis._1_1_3_4_5" localSheetId="6" hidden="1">{#N/A,#N/A,FALSE,"Aging Summary";#N/A,#N/A,FALSE,"Ratio Analysis";#N/A,#N/A,FALSE,"Test 120 Day Accts";#N/A,#N/A,FALSE,"Tickmarks"}</definedName>
    <definedName name="wrn.Aging._.and._.Trend._.Analysis._1_1_3_4_5" hidden="1">{#N/A,#N/A,FALSE,"Aging Summary";#N/A,#N/A,FALSE,"Ratio Analysis";#N/A,#N/A,FALSE,"Test 120 Day Accts";#N/A,#N/A,FALSE,"Tickmarks"}</definedName>
    <definedName name="wrn.Aging._.and._.Trend._.Analysis._1_1_3_5" localSheetId="0" hidden="1">{#N/A,#N/A,FALSE,"Aging Summary";#N/A,#N/A,FALSE,"Ratio Analysis";#N/A,#N/A,FALSE,"Test 120 Day Accts";#N/A,#N/A,FALSE,"Tickmarks"}</definedName>
    <definedName name="wrn.Aging._.and._.Trend._.Analysis._1_1_3_5" localSheetId="6" hidden="1">{#N/A,#N/A,FALSE,"Aging Summary";#N/A,#N/A,FALSE,"Ratio Analysis";#N/A,#N/A,FALSE,"Test 120 Day Accts";#N/A,#N/A,FALSE,"Tickmarks"}</definedName>
    <definedName name="wrn.Aging._.and._.Trend._.Analysis._1_1_3_5" hidden="1">{#N/A,#N/A,FALSE,"Aging Summary";#N/A,#N/A,FALSE,"Ratio Analysis";#N/A,#N/A,FALSE,"Test 120 Day Accts";#N/A,#N/A,FALSE,"Tickmarks"}</definedName>
    <definedName name="wrn.Aging._.and._.Trend._.Analysis._1_1_3_5_1" localSheetId="0" hidden="1">{#N/A,#N/A,FALSE,"Aging Summary";#N/A,#N/A,FALSE,"Ratio Analysis";#N/A,#N/A,FALSE,"Test 120 Day Accts";#N/A,#N/A,FALSE,"Tickmarks"}</definedName>
    <definedName name="wrn.Aging._.and._.Trend._.Analysis._1_1_3_5_1" localSheetId="6" hidden="1">{#N/A,#N/A,FALSE,"Aging Summary";#N/A,#N/A,FALSE,"Ratio Analysis";#N/A,#N/A,FALSE,"Test 120 Day Accts";#N/A,#N/A,FALSE,"Tickmarks"}</definedName>
    <definedName name="wrn.Aging._.and._.Trend._.Analysis._1_1_3_5_1" hidden="1">{#N/A,#N/A,FALSE,"Aging Summary";#N/A,#N/A,FALSE,"Ratio Analysis";#N/A,#N/A,FALSE,"Test 120 Day Accts";#N/A,#N/A,FALSE,"Tickmarks"}</definedName>
    <definedName name="wrn.Aging._.and._.Trend._.Analysis._1_1_3_5_2" localSheetId="0" hidden="1">{#N/A,#N/A,FALSE,"Aging Summary";#N/A,#N/A,FALSE,"Ratio Analysis";#N/A,#N/A,FALSE,"Test 120 Day Accts";#N/A,#N/A,FALSE,"Tickmarks"}</definedName>
    <definedName name="wrn.Aging._.and._.Trend._.Analysis._1_1_3_5_2" localSheetId="6" hidden="1">{#N/A,#N/A,FALSE,"Aging Summary";#N/A,#N/A,FALSE,"Ratio Analysis";#N/A,#N/A,FALSE,"Test 120 Day Accts";#N/A,#N/A,FALSE,"Tickmarks"}</definedName>
    <definedName name="wrn.Aging._.and._.Trend._.Analysis._1_1_3_5_2" hidden="1">{#N/A,#N/A,FALSE,"Aging Summary";#N/A,#N/A,FALSE,"Ratio Analysis";#N/A,#N/A,FALSE,"Test 120 Day Accts";#N/A,#N/A,FALSE,"Tickmarks"}</definedName>
    <definedName name="wrn.Aging._.and._.Trend._.Analysis._1_1_3_5_3" localSheetId="0" hidden="1">{#N/A,#N/A,FALSE,"Aging Summary";#N/A,#N/A,FALSE,"Ratio Analysis";#N/A,#N/A,FALSE,"Test 120 Day Accts";#N/A,#N/A,FALSE,"Tickmarks"}</definedName>
    <definedName name="wrn.Aging._.and._.Trend._.Analysis._1_1_3_5_3" localSheetId="6" hidden="1">{#N/A,#N/A,FALSE,"Aging Summary";#N/A,#N/A,FALSE,"Ratio Analysis";#N/A,#N/A,FALSE,"Test 120 Day Accts";#N/A,#N/A,FALSE,"Tickmarks"}</definedName>
    <definedName name="wrn.Aging._.and._.Trend._.Analysis._1_1_3_5_3" hidden="1">{#N/A,#N/A,FALSE,"Aging Summary";#N/A,#N/A,FALSE,"Ratio Analysis";#N/A,#N/A,FALSE,"Test 120 Day Accts";#N/A,#N/A,FALSE,"Tickmarks"}</definedName>
    <definedName name="wrn.Aging._.and._.Trend._.Analysis._1_1_3_5_4" localSheetId="0" hidden="1">{#N/A,#N/A,FALSE,"Aging Summary";#N/A,#N/A,FALSE,"Ratio Analysis";#N/A,#N/A,FALSE,"Test 120 Day Accts";#N/A,#N/A,FALSE,"Tickmarks"}</definedName>
    <definedName name="wrn.Aging._.and._.Trend._.Analysis._1_1_3_5_4" localSheetId="6" hidden="1">{#N/A,#N/A,FALSE,"Aging Summary";#N/A,#N/A,FALSE,"Ratio Analysis";#N/A,#N/A,FALSE,"Test 120 Day Accts";#N/A,#N/A,FALSE,"Tickmarks"}</definedName>
    <definedName name="wrn.Aging._.and._.Trend._.Analysis._1_1_3_5_4" hidden="1">{#N/A,#N/A,FALSE,"Aging Summary";#N/A,#N/A,FALSE,"Ratio Analysis";#N/A,#N/A,FALSE,"Test 120 Day Accts";#N/A,#N/A,FALSE,"Tickmarks"}</definedName>
    <definedName name="wrn.Aging._.and._.Trend._.Analysis._1_1_3_5_5" localSheetId="0" hidden="1">{#N/A,#N/A,FALSE,"Aging Summary";#N/A,#N/A,FALSE,"Ratio Analysis";#N/A,#N/A,FALSE,"Test 120 Day Accts";#N/A,#N/A,FALSE,"Tickmarks"}</definedName>
    <definedName name="wrn.Aging._.and._.Trend._.Analysis._1_1_3_5_5" localSheetId="6" hidden="1">{#N/A,#N/A,FALSE,"Aging Summary";#N/A,#N/A,FALSE,"Ratio Analysis";#N/A,#N/A,FALSE,"Test 120 Day Accts";#N/A,#N/A,FALSE,"Tickmarks"}</definedName>
    <definedName name="wrn.Aging._.and._.Trend._.Analysis._1_1_3_5_5" hidden="1">{#N/A,#N/A,FALSE,"Aging Summary";#N/A,#N/A,FALSE,"Ratio Analysis";#N/A,#N/A,FALSE,"Test 120 Day Accts";#N/A,#N/A,FALSE,"Tickmarks"}</definedName>
    <definedName name="wrn.Aging._.and._.Trend._.Analysis._1_1_4" localSheetId="0" hidden="1">{#N/A,#N/A,FALSE,"Aging Summary";#N/A,#N/A,FALSE,"Ratio Analysis";#N/A,#N/A,FALSE,"Test 120 Day Accts";#N/A,#N/A,FALSE,"Tickmarks"}</definedName>
    <definedName name="wrn.Aging._.and._.Trend._.Analysis._1_1_4" localSheetId="6" hidden="1">{#N/A,#N/A,FALSE,"Aging Summary";#N/A,#N/A,FALSE,"Ratio Analysis";#N/A,#N/A,FALSE,"Test 120 Day Accts";#N/A,#N/A,FALSE,"Tickmarks"}</definedName>
    <definedName name="wrn.Aging._.and._.Trend._.Analysis._1_1_4" hidden="1">{#N/A,#N/A,FALSE,"Aging Summary";#N/A,#N/A,FALSE,"Ratio Analysis";#N/A,#N/A,FALSE,"Test 120 Day Accts";#N/A,#N/A,FALSE,"Tickmarks"}</definedName>
    <definedName name="wrn.Aging._.and._.Trend._.Analysis._1_1_4_1" localSheetId="0" hidden="1">{#N/A,#N/A,FALSE,"Aging Summary";#N/A,#N/A,FALSE,"Ratio Analysis";#N/A,#N/A,FALSE,"Test 120 Day Accts";#N/A,#N/A,FALSE,"Tickmarks"}</definedName>
    <definedName name="wrn.Aging._.and._.Trend._.Analysis._1_1_4_1" localSheetId="6" hidden="1">{#N/A,#N/A,FALSE,"Aging Summary";#N/A,#N/A,FALSE,"Ratio Analysis";#N/A,#N/A,FALSE,"Test 120 Day Accts";#N/A,#N/A,FALSE,"Tickmarks"}</definedName>
    <definedName name="wrn.Aging._.and._.Trend._.Analysis._1_1_4_1" hidden="1">{#N/A,#N/A,FALSE,"Aging Summary";#N/A,#N/A,FALSE,"Ratio Analysis";#N/A,#N/A,FALSE,"Test 120 Day Accts";#N/A,#N/A,FALSE,"Tickmarks"}</definedName>
    <definedName name="wrn.Aging._.and._.Trend._.Analysis._1_1_4_1_1" localSheetId="0" hidden="1">{#N/A,#N/A,FALSE,"Aging Summary";#N/A,#N/A,FALSE,"Ratio Analysis";#N/A,#N/A,FALSE,"Test 120 Day Accts";#N/A,#N/A,FALSE,"Tickmarks"}</definedName>
    <definedName name="wrn.Aging._.and._.Trend._.Analysis._1_1_4_1_1" localSheetId="6" hidden="1">{#N/A,#N/A,FALSE,"Aging Summary";#N/A,#N/A,FALSE,"Ratio Analysis";#N/A,#N/A,FALSE,"Test 120 Day Accts";#N/A,#N/A,FALSE,"Tickmarks"}</definedName>
    <definedName name="wrn.Aging._.and._.Trend._.Analysis._1_1_4_1_1" hidden="1">{#N/A,#N/A,FALSE,"Aging Summary";#N/A,#N/A,FALSE,"Ratio Analysis";#N/A,#N/A,FALSE,"Test 120 Day Accts";#N/A,#N/A,FALSE,"Tickmarks"}</definedName>
    <definedName name="wrn.Aging._.and._.Trend._.Analysis._1_1_4_1_2" localSheetId="0" hidden="1">{#N/A,#N/A,FALSE,"Aging Summary";#N/A,#N/A,FALSE,"Ratio Analysis";#N/A,#N/A,FALSE,"Test 120 Day Accts";#N/A,#N/A,FALSE,"Tickmarks"}</definedName>
    <definedName name="wrn.Aging._.and._.Trend._.Analysis._1_1_4_1_2" localSheetId="6" hidden="1">{#N/A,#N/A,FALSE,"Aging Summary";#N/A,#N/A,FALSE,"Ratio Analysis";#N/A,#N/A,FALSE,"Test 120 Day Accts";#N/A,#N/A,FALSE,"Tickmarks"}</definedName>
    <definedName name="wrn.Aging._.and._.Trend._.Analysis._1_1_4_1_2" hidden="1">{#N/A,#N/A,FALSE,"Aging Summary";#N/A,#N/A,FALSE,"Ratio Analysis";#N/A,#N/A,FALSE,"Test 120 Day Accts";#N/A,#N/A,FALSE,"Tickmarks"}</definedName>
    <definedName name="wrn.Aging._.and._.Trend._.Analysis._1_1_4_1_3" localSheetId="0" hidden="1">{#N/A,#N/A,FALSE,"Aging Summary";#N/A,#N/A,FALSE,"Ratio Analysis";#N/A,#N/A,FALSE,"Test 120 Day Accts";#N/A,#N/A,FALSE,"Tickmarks"}</definedName>
    <definedName name="wrn.Aging._.and._.Trend._.Analysis._1_1_4_1_3" localSheetId="6" hidden="1">{#N/A,#N/A,FALSE,"Aging Summary";#N/A,#N/A,FALSE,"Ratio Analysis";#N/A,#N/A,FALSE,"Test 120 Day Accts";#N/A,#N/A,FALSE,"Tickmarks"}</definedName>
    <definedName name="wrn.Aging._.and._.Trend._.Analysis._1_1_4_1_3" hidden="1">{#N/A,#N/A,FALSE,"Aging Summary";#N/A,#N/A,FALSE,"Ratio Analysis";#N/A,#N/A,FALSE,"Test 120 Day Accts";#N/A,#N/A,FALSE,"Tickmarks"}</definedName>
    <definedName name="wrn.Aging._.and._.Trend._.Analysis._1_1_4_1_4" localSheetId="0" hidden="1">{#N/A,#N/A,FALSE,"Aging Summary";#N/A,#N/A,FALSE,"Ratio Analysis";#N/A,#N/A,FALSE,"Test 120 Day Accts";#N/A,#N/A,FALSE,"Tickmarks"}</definedName>
    <definedName name="wrn.Aging._.and._.Trend._.Analysis._1_1_4_1_4" localSheetId="6" hidden="1">{#N/A,#N/A,FALSE,"Aging Summary";#N/A,#N/A,FALSE,"Ratio Analysis";#N/A,#N/A,FALSE,"Test 120 Day Accts";#N/A,#N/A,FALSE,"Tickmarks"}</definedName>
    <definedName name="wrn.Aging._.and._.Trend._.Analysis._1_1_4_1_4" hidden="1">{#N/A,#N/A,FALSE,"Aging Summary";#N/A,#N/A,FALSE,"Ratio Analysis";#N/A,#N/A,FALSE,"Test 120 Day Accts";#N/A,#N/A,FALSE,"Tickmarks"}</definedName>
    <definedName name="wrn.Aging._.and._.Trend._.Analysis._1_1_4_1_5" localSheetId="0" hidden="1">{#N/A,#N/A,FALSE,"Aging Summary";#N/A,#N/A,FALSE,"Ratio Analysis";#N/A,#N/A,FALSE,"Test 120 Day Accts";#N/A,#N/A,FALSE,"Tickmarks"}</definedName>
    <definedName name="wrn.Aging._.and._.Trend._.Analysis._1_1_4_1_5" localSheetId="6" hidden="1">{#N/A,#N/A,FALSE,"Aging Summary";#N/A,#N/A,FALSE,"Ratio Analysis";#N/A,#N/A,FALSE,"Test 120 Day Accts";#N/A,#N/A,FALSE,"Tickmarks"}</definedName>
    <definedName name="wrn.Aging._.and._.Trend._.Analysis._1_1_4_1_5" hidden="1">{#N/A,#N/A,FALSE,"Aging Summary";#N/A,#N/A,FALSE,"Ratio Analysis";#N/A,#N/A,FALSE,"Test 120 Day Accts";#N/A,#N/A,FALSE,"Tickmarks"}</definedName>
    <definedName name="wrn.Aging._.and._.Trend._.Analysis._1_1_4_2" localSheetId="0" hidden="1">{#N/A,#N/A,FALSE,"Aging Summary";#N/A,#N/A,FALSE,"Ratio Analysis";#N/A,#N/A,FALSE,"Test 120 Day Accts";#N/A,#N/A,FALSE,"Tickmarks"}</definedName>
    <definedName name="wrn.Aging._.and._.Trend._.Analysis._1_1_4_2" localSheetId="6" hidden="1">{#N/A,#N/A,FALSE,"Aging Summary";#N/A,#N/A,FALSE,"Ratio Analysis";#N/A,#N/A,FALSE,"Test 120 Day Accts";#N/A,#N/A,FALSE,"Tickmarks"}</definedName>
    <definedName name="wrn.Aging._.and._.Trend._.Analysis._1_1_4_2" hidden="1">{#N/A,#N/A,FALSE,"Aging Summary";#N/A,#N/A,FALSE,"Ratio Analysis";#N/A,#N/A,FALSE,"Test 120 Day Accts";#N/A,#N/A,FALSE,"Tickmarks"}</definedName>
    <definedName name="wrn.Aging._.and._.Trend._.Analysis._1_1_4_2_1" localSheetId="0" hidden="1">{#N/A,#N/A,FALSE,"Aging Summary";#N/A,#N/A,FALSE,"Ratio Analysis";#N/A,#N/A,FALSE,"Test 120 Day Accts";#N/A,#N/A,FALSE,"Tickmarks"}</definedName>
    <definedName name="wrn.Aging._.and._.Trend._.Analysis._1_1_4_2_1" localSheetId="6" hidden="1">{#N/A,#N/A,FALSE,"Aging Summary";#N/A,#N/A,FALSE,"Ratio Analysis";#N/A,#N/A,FALSE,"Test 120 Day Accts";#N/A,#N/A,FALSE,"Tickmarks"}</definedName>
    <definedName name="wrn.Aging._.and._.Trend._.Analysis._1_1_4_2_1" hidden="1">{#N/A,#N/A,FALSE,"Aging Summary";#N/A,#N/A,FALSE,"Ratio Analysis";#N/A,#N/A,FALSE,"Test 120 Day Accts";#N/A,#N/A,FALSE,"Tickmarks"}</definedName>
    <definedName name="wrn.Aging._.and._.Trend._.Analysis._1_1_4_2_2" localSheetId="0" hidden="1">{#N/A,#N/A,FALSE,"Aging Summary";#N/A,#N/A,FALSE,"Ratio Analysis";#N/A,#N/A,FALSE,"Test 120 Day Accts";#N/A,#N/A,FALSE,"Tickmarks"}</definedName>
    <definedName name="wrn.Aging._.and._.Trend._.Analysis._1_1_4_2_2" localSheetId="6" hidden="1">{#N/A,#N/A,FALSE,"Aging Summary";#N/A,#N/A,FALSE,"Ratio Analysis";#N/A,#N/A,FALSE,"Test 120 Day Accts";#N/A,#N/A,FALSE,"Tickmarks"}</definedName>
    <definedName name="wrn.Aging._.and._.Trend._.Analysis._1_1_4_2_2" hidden="1">{#N/A,#N/A,FALSE,"Aging Summary";#N/A,#N/A,FALSE,"Ratio Analysis";#N/A,#N/A,FALSE,"Test 120 Day Accts";#N/A,#N/A,FALSE,"Tickmarks"}</definedName>
    <definedName name="wrn.Aging._.and._.Trend._.Analysis._1_1_4_2_3" localSheetId="0" hidden="1">{#N/A,#N/A,FALSE,"Aging Summary";#N/A,#N/A,FALSE,"Ratio Analysis";#N/A,#N/A,FALSE,"Test 120 Day Accts";#N/A,#N/A,FALSE,"Tickmarks"}</definedName>
    <definedName name="wrn.Aging._.and._.Trend._.Analysis._1_1_4_2_3" localSheetId="6" hidden="1">{#N/A,#N/A,FALSE,"Aging Summary";#N/A,#N/A,FALSE,"Ratio Analysis";#N/A,#N/A,FALSE,"Test 120 Day Accts";#N/A,#N/A,FALSE,"Tickmarks"}</definedName>
    <definedName name="wrn.Aging._.and._.Trend._.Analysis._1_1_4_2_3" hidden="1">{#N/A,#N/A,FALSE,"Aging Summary";#N/A,#N/A,FALSE,"Ratio Analysis";#N/A,#N/A,FALSE,"Test 120 Day Accts";#N/A,#N/A,FALSE,"Tickmarks"}</definedName>
    <definedName name="wrn.Aging._.and._.Trend._.Analysis._1_1_4_2_4" localSheetId="0" hidden="1">{#N/A,#N/A,FALSE,"Aging Summary";#N/A,#N/A,FALSE,"Ratio Analysis";#N/A,#N/A,FALSE,"Test 120 Day Accts";#N/A,#N/A,FALSE,"Tickmarks"}</definedName>
    <definedName name="wrn.Aging._.and._.Trend._.Analysis._1_1_4_2_4" localSheetId="6" hidden="1">{#N/A,#N/A,FALSE,"Aging Summary";#N/A,#N/A,FALSE,"Ratio Analysis";#N/A,#N/A,FALSE,"Test 120 Day Accts";#N/A,#N/A,FALSE,"Tickmarks"}</definedName>
    <definedName name="wrn.Aging._.and._.Trend._.Analysis._1_1_4_2_4" hidden="1">{#N/A,#N/A,FALSE,"Aging Summary";#N/A,#N/A,FALSE,"Ratio Analysis";#N/A,#N/A,FALSE,"Test 120 Day Accts";#N/A,#N/A,FALSE,"Tickmarks"}</definedName>
    <definedName name="wrn.Aging._.and._.Trend._.Analysis._1_1_4_2_5" localSheetId="0" hidden="1">{#N/A,#N/A,FALSE,"Aging Summary";#N/A,#N/A,FALSE,"Ratio Analysis";#N/A,#N/A,FALSE,"Test 120 Day Accts";#N/A,#N/A,FALSE,"Tickmarks"}</definedName>
    <definedName name="wrn.Aging._.and._.Trend._.Analysis._1_1_4_2_5" localSheetId="6" hidden="1">{#N/A,#N/A,FALSE,"Aging Summary";#N/A,#N/A,FALSE,"Ratio Analysis";#N/A,#N/A,FALSE,"Test 120 Day Accts";#N/A,#N/A,FALSE,"Tickmarks"}</definedName>
    <definedName name="wrn.Aging._.and._.Trend._.Analysis._1_1_4_2_5" hidden="1">{#N/A,#N/A,FALSE,"Aging Summary";#N/A,#N/A,FALSE,"Ratio Analysis";#N/A,#N/A,FALSE,"Test 120 Day Accts";#N/A,#N/A,FALSE,"Tickmarks"}</definedName>
    <definedName name="wrn.Aging._.and._.Trend._.Analysis._1_1_4_3" localSheetId="0" hidden="1">{#N/A,#N/A,FALSE,"Aging Summary";#N/A,#N/A,FALSE,"Ratio Analysis";#N/A,#N/A,FALSE,"Test 120 Day Accts";#N/A,#N/A,FALSE,"Tickmarks"}</definedName>
    <definedName name="wrn.Aging._.and._.Trend._.Analysis._1_1_4_3" localSheetId="6" hidden="1">{#N/A,#N/A,FALSE,"Aging Summary";#N/A,#N/A,FALSE,"Ratio Analysis";#N/A,#N/A,FALSE,"Test 120 Day Accts";#N/A,#N/A,FALSE,"Tickmarks"}</definedName>
    <definedName name="wrn.Aging._.and._.Trend._.Analysis._1_1_4_3" hidden="1">{#N/A,#N/A,FALSE,"Aging Summary";#N/A,#N/A,FALSE,"Ratio Analysis";#N/A,#N/A,FALSE,"Test 120 Day Accts";#N/A,#N/A,FALSE,"Tickmarks"}</definedName>
    <definedName name="wrn.Aging._.and._.Trend._.Analysis._1_1_4_3_1" localSheetId="0" hidden="1">{#N/A,#N/A,FALSE,"Aging Summary";#N/A,#N/A,FALSE,"Ratio Analysis";#N/A,#N/A,FALSE,"Test 120 Day Accts";#N/A,#N/A,FALSE,"Tickmarks"}</definedName>
    <definedName name="wrn.Aging._.and._.Trend._.Analysis._1_1_4_3_1" localSheetId="6" hidden="1">{#N/A,#N/A,FALSE,"Aging Summary";#N/A,#N/A,FALSE,"Ratio Analysis";#N/A,#N/A,FALSE,"Test 120 Day Accts";#N/A,#N/A,FALSE,"Tickmarks"}</definedName>
    <definedName name="wrn.Aging._.and._.Trend._.Analysis._1_1_4_3_1" hidden="1">{#N/A,#N/A,FALSE,"Aging Summary";#N/A,#N/A,FALSE,"Ratio Analysis";#N/A,#N/A,FALSE,"Test 120 Day Accts";#N/A,#N/A,FALSE,"Tickmarks"}</definedName>
    <definedName name="wrn.Aging._.and._.Trend._.Analysis._1_1_4_3_2" localSheetId="0" hidden="1">{#N/A,#N/A,FALSE,"Aging Summary";#N/A,#N/A,FALSE,"Ratio Analysis";#N/A,#N/A,FALSE,"Test 120 Day Accts";#N/A,#N/A,FALSE,"Tickmarks"}</definedName>
    <definedName name="wrn.Aging._.and._.Trend._.Analysis._1_1_4_3_2" localSheetId="6" hidden="1">{#N/A,#N/A,FALSE,"Aging Summary";#N/A,#N/A,FALSE,"Ratio Analysis";#N/A,#N/A,FALSE,"Test 120 Day Accts";#N/A,#N/A,FALSE,"Tickmarks"}</definedName>
    <definedName name="wrn.Aging._.and._.Trend._.Analysis._1_1_4_3_2" hidden="1">{#N/A,#N/A,FALSE,"Aging Summary";#N/A,#N/A,FALSE,"Ratio Analysis";#N/A,#N/A,FALSE,"Test 120 Day Accts";#N/A,#N/A,FALSE,"Tickmarks"}</definedName>
    <definedName name="wrn.Aging._.and._.Trend._.Analysis._1_1_4_3_3" localSheetId="0" hidden="1">{#N/A,#N/A,FALSE,"Aging Summary";#N/A,#N/A,FALSE,"Ratio Analysis";#N/A,#N/A,FALSE,"Test 120 Day Accts";#N/A,#N/A,FALSE,"Tickmarks"}</definedName>
    <definedName name="wrn.Aging._.and._.Trend._.Analysis._1_1_4_3_3" localSheetId="6" hidden="1">{#N/A,#N/A,FALSE,"Aging Summary";#N/A,#N/A,FALSE,"Ratio Analysis";#N/A,#N/A,FALSE,"Test 120 Day Accts";#N/A,#N/A,FALSE,"Tickmarks"}</definedName>
    <definedName name="wrn.Aging._.and._.Trend._.Analysis._1_1_4_3_3" hidden="1">{#N/A,#N/A,FALSE,"Aging Summary";#N/A,#N/A,FALSE,"Ratio Analysis";#N/A,#N/A,FALSE,"Test 120 Day Accts";#N/A,#N/A,FALSE,"Tickmarks"}</definedName>
    <definedName name="wrn.Aging._.and._.Trend._.Analysis._1_1_4_3_4" localSheetId="0" hidden="1">{#N/A,#N/A,FALSE,"Aging Summary";#N/A,#N/A,FALSE,"Ratio Analysis";#N/A,#N/A,FALSE,"Test 120 Day Accts";#N/A,#N/A,FALSE,"Tickmarks"}</definedName>
    <definedName name="wrn.Aging._.and._.Trend._.Analysis._1_1_4_3_4" localSheetId="6" hidden="1">{#N/A,#N/A,FALSE,"Aging Summary";#N/A,#N/A,FALSE,"Ratio Analysis";#N/A,#N/A,FALSE,"Test 120 Day Accts";#N/A,#N/A,FALSE,"Tickmarks"}</definedName>
    <definedName name="wrn.Aging._.and._.Trend._.Analysis._1_1_4_3_4" hidden="1">{#N/A,#N/A,FALSE,"Aging Summary";#N/A,#N/A,FALSE,"Ratio Analysis";#N/A,#N/A,FALSE,"Test 120 Day Accts";#N/A,#N/A,FALSE,"Tickmarks"}</definedName>
    <definedName name="wrn.Aging._.and._.Trend._.Analysis._1_1_4_3_5" localSheetId="0" hidden="1">{#N/A,#N/A,FALSE,"Aging Summary";#N/A,#N/A,FALSE,"Ratio Analysis";#N/A,#N/A,FALSE,"Test 120 Day Accts";#N/A,#N/A,FALSE,"Tickmarks"}</definedName>
    <definedName name="wrn.Aging._.and._.Trend._.Analysis._1_1_4_3_5" localSheetId="6" hidden="1">{#N/A,#N/A,FALSE,"Aging Summary";#N/A,#N/A,FALSE,"Ratio Analysis";#N/A,#N/A,FALSE,"Test 120 Day Accts";#N/A,#N/A,FALSE,"Tickmarks"}</definedName>
    <definedName name="wrn.Aging._.and._.Trend._.Analysis._1_1_4_3_5" hidden="1">{#N/A,#N/A,FALSE,"Aging Summary";#N/A,#N/A,FALSE,"Ratio Analysis";#N/A,#N/A,FALSE,"Test 120 Day Accts";#N/A,#N/A,FALSE,"Tickmarks"}</definedName>
    <definedName name="wrn.Aging._.and._.Trend._.Analysis._1_1_4_4" localSheetId="0" hidden="1">{#N/A,#N/A,FALSE,"Aging Summary";#N/A,#N/A,FALSE,"Ratio Analysis";#N/A,#N/A,FALSE,"Test 120 Day Accts";#N/A,#N/A,FALSE,"Tickmarks"}</definedName>
    <definedName name="wrn.Aging._.and._.Trend._.Analysis._1_1_4_4" localSheetId="6" hidden="1">{#N/A,#N/A,FALSE,"Aging Summary";#N/A,#N/A,FALSE,"Ratio Analysis";#N/A,#N/A,FALSE,"Test 120 Day Accts";#N/A,#N/A,FALSE,"Tickmarks"}</definedName>
    <definedName name="wrn.Aging._.and._.Trend._.Analysis._1_1_4_4" hidden="1">{#N/A,#N/A,FALSE,"Aging Summary";#N/A,#N/A,FALSE,"Ratio Analysis";#N/A,#N/A,FALSE,"Test 120 Day Accts";#N/A,#N/A,FALSE,"Tickmarks"}</definedName>
    <definedName name="wrn.Aging._.and._.Trend._.Analysis._1_1_4_4_1" localSheetId="0" hidden="1">{#N/A,#N/A,FALSE,"Aging Summary";#N/A,#N/A,FALSE,"Ratio Analysis";#N/A,#N/A,FALSE,"Test 120 Day Accts";#N/A,#N/A,FALSE,"Tickmarks"}</definedName>
    <definedName name="wrn.Aging._.and._.Trend._.Analysis._1_1_4_4_1" localSheetId="6" hidden="1">{#N/A,#N/A,FALSE,"Aging Summary";#N/A,#N/A,FALSE,"Ratio Analysis";#N/A,#N/A,FALSE,"Test 120 Day Accts";#N/A,#N/A,FALSE,"Tickmarks"}</definedName>
    <definedName name="wrn.Aging._.and._.Trend._.Analysis._1_1_4_4_1" hidden="1">{#N/A,#N/A,FALSE,"Aging Summary";#N/A,#N/A,FALSE,"Ratio Analysis";#N/A,#N/A,FALSE,"Test 120 Day Accts";#N/A,#N/A,FALSE,"Tickmarks"}</definedName>
    <definedName name="wrn.Aging._.and._.Trend._.Analysis._1_1_4_4_2" localSheetId="0" hidden="1">{#N/A,#N/A,FALSE,"Aging Summary";#N/A,#N/A,FALSE,"Ratio Analysis";#N/A,#N/A,FALSE,"Test 120 Day Accts";#N/A,#N/A,FALSE,"Tickmarks"}</definedName>
    <definedName name="wrn.Aging._.and._.Trend._.Analysis._1_1_4_4_2" localSheetId="6" hidden="1">{#N/A,#N/A,FALSE,"Aging Summary";#N/A,#N/A,FALSE,"Ratio Analysis";#N/A,#N/A,FALSE,"Test 120 Day Accts";#N/A,#N/A,FALSE,"Tickmarks"}</definedName>
    <definedName name="wrn.Aging._.and._.Trend._.Analysis._1_1_4_4_2" hidden="1">{#N/A,#N/A,FALSE,"Aging Summary";#N/A,#N/A,FALSE,"Ratio Analysis";#N/A,#N/A,FALSE,"Test 120 Day Accts";#N/A,#N/A,FALSE,"Tickmarks"}</definedName>
    <definedName name="wrn.Aging._.and._.Trend._.Analysis._1_1_4_4_3" localSheetId="0" hidden="1">{#N/A,#N/A,FALSE,"Aging Summary";#N/A,#N/A,FALSE,"Ratio Analysis";#N/A,#N/A,FALSE,"Test 120 Day Accts";#N/A,#N/A,FALSE,"Tickmarks"}</definedName>
    <definedName name="wrn.Aging._.and._.Trend._.Analysis._1_1_4_4_3" localSheetId="6" hidden="1">{#N/A,#N/A,FALSE,"Aging Summary";#N/A,#N/A,FALSE,"Ratio Analysis";#N/A,#N/A,FALSE,"Test 120 Day Accts";#N/A,#N/A,FALSE,"Tickmarks"}</definedName>
    <definedName name="wrn.Aging._.and._.Trend._.Analysis._1_1_4_4_3" hidden="1">{#N/A,#N/A,FALSE,"Aging Summary";#N/A,#N/A,FALSE,"Ratio Analysis";#N/A,#N/A,FALSE,"Test 120 Day Accts";#N/A,#N/A,FALSE,"Tickmarks"}</definedName>
    <definedName name="wrn.Aging._.and._.Trend._.Analysis._1_1_4_4_4" localSheetId="0" hidden="1">{#N/A,#N/A,FALSE,"Aging Summary";#N/A,#N/A,FALSE,"Ratio Analysis";#N/A,#N/A,FALSE,"Test 120 Day Accts";#N/A,#N/A,FALSE,"Tickmarks"}</definedName>
    <definedName name="wrn.Aging._.and._.Trend._.Analysis._1_1_4_4_4" localSheetId="6" hidden="1">{#N/A,#N/A,FALSE,"Aging Summary";#N/A,#N/A,FALSE,"Ratio Analysis";#N/A,#N/A,FALSE,"Test 120 Day Accts";#N/A,#N/A,FALSE,"Tickmarks"}</definedName>
    <definedName name="wrn.Aging._.and._.Trend._.Analysis._1_1_4_4_4" hidden="1">{#N/A,#N/A,FALSE,"Aging Summary";#N/A,#N/A,FALSE,"Ratio Analysis";#N/A,#N/A,FALSE,"Test 120 Day Accts";#N/A,#N/A,FALSE,"Tickmarks"}</definedName>
    <definedName name="wrn.Aging._.and._.Trend._.Analysis._1_1_4_4_5" localSheetId="0" hidden="1">{#N/A,#N/A,FALSE,"Aging Summary";#N/A,#N/A,FALSE,"Ratio Analysis";#N/A,#N/A,FALSE,"Test 120 Day Accts";#N/A,#N/A,FALSE,"Tickmarks"}</definedName>
    <definedName name="wrn.Aging._.and._.Trend._.Analysis._1_1_4_4_5" localSheetId="6" hidden="1">{#N/A,#N/A,FALSE,"Aging Summary";#N/A,#N/A,FALSE,"Ratio Analysis";#N/A,#N/A,FALSE,"Test 120 Day Accts";#N/A,#N/A,FALSE,"Tickmarks"}</definedName>
    <definedName name="wrn.Aging._.and._.Trend._.Analysis._1_1_4_4_5" hidden="1">{#N/A,#N/A,FALSE,"Aging Summary";#N/A,#N/A,FALSE,"Ratio Analysis";#N/A,#N/A,FALSE,"Test 120 Day Accts";#N/A,#N/A,FALSE,"Tickmarks"}</definedName>
    <definedName name="wrn.Aging._.and._.Trend._.Analysis._1_1_4_5" localSheetId="0" hidden="1">{#N/A,#N/A,FALSE,"Aging Summary";#N/A,#N/A,FALSE,"Ratio Analysis";#N/A,#N/A,FALSE,"Test 120 Day Accts";#N/A,#N/A,FALSE,"Tickmarks"}</definedName>
    <definedName name="wrn.Aging._.and._.Trend._.Analysis._1_1_4_5" localSheetId="6" hidden="1">{#N/A,#N/A,FALSE,"Aging Summary";#N/A,#N/A,FALSE,"Ratio Analysis";#N/A,#N/A,FALSE,"Test 120 Day Accts";#N/A,#N/A,FALSE,"Tickmarks"}</definedName>
    <definedName name="wrn.Aging._.and._.Trend._.Analysis._1_1_4_5" hidden="1">{#N/A,#N/A,FALSE,"Aging Summary";#N/A,#N/A,FALSE,"Ratio Analysis";#N/A,#N/A,FALSE,"Test 120 Day Accts";#N/A,#N/A,FALSE,"Tickmarks"}</definedName>
    <definedName name="wrn.Aging._.and._.Trend._.Analysis._1_1_4_5_1" localSheetId="0" hidden="1">{#N/A,#N/A,FALSE,"Aging Summary";#N/A,#N/A,FALSE,"Ratio Analysis";#N/A,#N/A,FALSE,"Test 120 Day Accts";#N/A,#N/A,FALSE,"Tickmarks"}</definedName>
    <definedName name="wrn.Aging._.and._.Trend._.Analysis._1_1_4_5_1" localSheetId="6" hidden="1">{#N/A,#N/A,FALSE,"Aging Summary";#N/A,#N/A,FALSE,"Ratio Analysis";#N/A,#N/A,FALSE,"Test 120 Day Accts";#N/A,#N/A,FALSE,"Tickmarks"}</definedName>
    <definedName name="wrn.Aging._.and._.Trend._.Analysis._1_1_4_5_1" hidden="1">{#N/A,#N/A,FALSE,"Aging Summary";#N/A,#N/A,FALSE,"Ratio Analysis";#N/A,#N/A,FALSE,"Test 120 Day Accts";#N/A,#N/A,FALSE,"Tickmarks"}</definedName>
    <definedName name="wrn.Aging._.and._.Trend._.Analysis._1_1_4_5_2" localSheetId="0" hidden="1">{#N/A,#N/A,FALSE,"Aging Summary";#N/A,#N/A,FALSE,"Ratio Analysis";#N/A,#N/A,FALSE,"Test 120 Day Accts";#N/A,#N/A,FALSE,"Tickmarks"}</definedName>
    <definedName name="wrn.Aging._.and._.Trend._.Analysis._1_1_4_5_2" localSheetId="6" hidden="1">{#N/A,#N/A,FALSE,"Aging Summary";#N/A,#N/A,FALSE,"Ratio Analysis";#N/A,#N/A,FALSE,"Test 120 Day Accts";#N/A,#N/A,FALSE,"Tickmarks"}</definedName>
    <definedName name="wrn.Aging._.and._.Trend._.Analysis._1_1_4_5_2" hidden="1">{#N/A,#N/A,FALSE,"Aging Summary";#N/A,#N/A,FALSE,"Ratio Analysis";#N/A,#N/A,FALSE,"Test 120 Day Accts";#N/A,#N/A,FALSE,"Tickmarks"}</definedName>
    <definedName name="wrn.Aging._.and._.Trend._.Analysis._1_1_4_5_3" localSheetId="0" hidden="1">{#N/A,#N/A,FALSE,"Aging Summary";#N/A,#N/A,FALSE,"Ratio Analysis";#N/A,#N/A,FALSE,"Test 120 Day Accts";#N/A,#N/A,FALSE,"Tickmarks"}</definedName>
    <definedName name="wrn.Aging._.and._.Trend._.Analysis._1_1_4_5_3" localSheetId="6" hidden="1">{#N/A,#N/A,FALSE,"Aging Summary";#N/A,#N/A,FALSE,"Ratio Analysis";#N/A,#N/A,FALSE,"Test 120 Day Accts";#N/A,#N/A,FALSE,"Tickmarks"}</definedName>
    <definedName name="wrn.Aging._.and._.Trend._.Analysis._1_1_4_5_3" hidden="1">{#N/A,#N/A,FALSE,"Aging Summary";#N/A,#N/A,FALSE,"Ratio Analysis";#N/A,#N/A,FALSE,"Test 120 Day Accts";#N/A,#N/A,FALSE,"Tickmarks"}</definedName>
    <definedName name="wrn.Aging._.and._.Trend._.Analysis._1_1_4_5_4" localSheetId="0" hidden="1">{#N/A,#N/A,FALSE,"Aging Summary";#N/A,#N/A,FALSE,"Ratio Analysis";#N/A,#N/A,FALSE,"Test 120 Day Accts";#N/A,#N/A,FALSE,"Tickmarks"}</definedName>
    <definedName name="wrn.Aging._.and._.Trend._.Analysis._1_1_4_5_4" localSheetId="6" hidden="1">{#N/A,#N/A,FALSE,"Aging Summary";#N/A,#N/A,FALSE,"Ratio Analysis";#N/A,#N/A,FALSE,"Test 120 Day Accts";#N/A,#N/A,FALSE,"Tickmarks"}</definedName>
    <definedName name="wrn.Aging._.and._.Trend._.Analysis._1_1_4_5_4" hidden="1">{#N/A,#N/A,FALSE,"Aging Summary";#N/A,#N/A,FALSE,"Ratio Analysis";#N/A,#N/A,FALSE,"Test 120 Day Accts";#N/A,#N/A,FALSE,"Tickmarks"}</definedName>
    <definedName name="wrn.Aging._.and._.Trend._.Analysis._1_1_4_5_5" localSheetId="0" hidden="1">{#N/A,#N/A,FALSE,"Aging Summary";#N/A,#N/A,FALSE,"Ratio Analysis";#N/A,#N/A,FALSE,"Test 120 Day Accts";#N/A,#N/A,FALSE,"Tickmarks"}</definedName>
    <definedName name="wrn.Aging._.and._.Trend._.Analysis._1_1_4_5_5" localSheetId="6" hidden="1">{#N/A,#N/A,FALSE,"Aging Summary";#N/A,#N/A,FALSE,"Ratio Analysis";#N/A,#N/A,FALSE,"Test 120 Day Accts";#N/A,#N/A,FALSE,"Tickmarks"}</definedName>
    <definedName name="wrn.Aging._.and._.Trend._.Analysis._1_1_4_5_5" hidden="1">{#N/A,#N/A,FALSE,"Aging Summary";#N/A,#N/A,FALSE,"Ratio Analysis";#N/A,#N/A,FALSE,"Test 120 Day Accts";#N/A,#N/A,FALSE,"Tickmarks"}</definedName>
    <definedName name="wrn.Aging._.and._.Trend._.Analysis._1_1_5" localSheetId="0" hidden="1">{#N/A,#N/A,FALSE,"Aging Summary";#N/A,#N/A,FALSE,"Ratio Analysis";#N/A,#N/A,FALSE,"Test 120 Day Accts";#N/A,#N/A,FALSE,"Tickmarks"}</definedName>
    <definedName name="wrn.Aging._.and._.Trend._.Analysis._1_1_5" localSheetId="6" hidden="1">{#N/A,#N/A,FALSE,"Aging Summary";#N/A,#N/A,FALSE,"Ratio Analysis";#N/A,#N/A,FALSE,"Test 120 Day Accts";#N/A,#N/A,FALSE,"Tickmarks"}</definedName>
    <definedName name="wrn.Aging._.and._.Trend._.Analysis._1_1_5" hidden="1">{#N/A,#N/A,FALSE,"Aging Summary";#N/A,#N/A,FALSE,"Ratio Analysis";#N/A,#N/A,FALSE,"Test 120 Day Accts";#N/A,#N/A,FALSE,"Tickmarks"}</definedName>
    <definedName name="wrn.Aging._.and._.Trend._.Analysis._1_1_5_1" localSheetId="0" hidden="1">{#N/A,#N/A,FALSE,"Aging Summary";#N/A,#N/A,FALSE,"Ratio Analysis";#N/A,#N/A,FALSE,"Test 120 Day Accts";#N/A,#N/A,FALSE,"Tickmarks"}</definedName>
    <definedName name="wrn.Aging._.and._.Trend._.Analysis._1_1_5_1" localSheetId="6" hidden="1">{#N/A,#N/A,FALSE,"Aging Summary";#N/A,#N/A,FALSE,"Ratio Analysis";#N/A,#N/A,FALSE,"Test 120 Day Accts";#N/A,#N/A,FALSE,"Tickmarks"}</definedName>
    <definedName name="wrn.Aging._.and._.Trend._.Analysis._1_1_5_1" hidden="1">{#N/A,#N/A,FALSE,"Aging Summary";#N/A,#N/A,FALSE,"Ratio Analysis";#N/A,#N/A,FALSE,"Test 120 Day Accts";#N/A,#N/A,FALSE,"Tickmarks"}</definedName>
    <definedName name="wrn.Aging._.and._.Trend._.Analysis._1_1_5_1_1" localSheetId="0" hidden="1">{#N/A,#N/A,FALSE,"Aging Summary";#N/A,#N/A,FALSE,"Ratio Analysis";#N/A,#N/A,FALSE,"Test 120 Day Accts";#N/A,#N/A,FALSE,"Tickmarks"}</definedName>
    <definedName name="wrn.Aging._.and._.Trend._.Analysis._1_1_5_1_1" localSheetId="6" hidden="1">{#N/A,#N/A,FALSE,"Aging Summary";#N/A,#N/A,FALSE,"Ratio Analysis";#N/A,#N/A,FALSE,"Test 120 Day Accts";#N/A,#N/A,FALSE,"Tickmarks"}</definedName>
    <definedName name="wrn.Aging._.and._.Trend._.Analysis._1_1_5_1_1" hidden="1">{#N/A,#N/A,FALSE,"Aging Summary";#N/A,#N/A,FALSE,"Ratio Analysis";#N/A,#N/A,FALSE,"Test 120 Day Accts";#N/A,#N/A,FALSE,"Tickmarks"}</definedName>
    <definedName name="wrn.Aging._.and._.Trend._.Analysis._1_1_5_1_2" localSheetId="0" hidden="1">{#N/A,#N/A,FALSE,"Aging Summary";#N/A,#N/A,FALSE,"Ratio Analysis";#N/A,#N/A,FALSE,"Test 120 Day Accts";#N/A,#N/A,FALSE,"Tickmarks"}</definedName>
    <definedName name="wrn.Aging._.and._.Trend._.Analysis._1_1_5_1_2" localSheetId="6" hidden="1">{#N/A,#N/A,FALSE,"Aging Summary";#N/A,#N/A,FALSE,"Ratio Analysis";#N/A,#N/A,FALSE,"Test 120 Day Accts";#N/A,#N/A,FALSE,"Tickmarks"}</definedName>
    <definedName name="wrn.Aging._.and._.Trend._.Analysis._1_1_5_1_2" hidden="1">{#N/A,#N/A,FALSE,"Aging Summary";#N/A,#N/A,FALSE,"Ratio Analysis";#N/A,#N/A,FALSE,"Test 120 Day Accts";#N/A,#N/A,FALSE,"Tickmarks"}</definedName>
    <definedName name="wrn.Aging._.and._.Trend._.Analysis._1_1_5_1_3" localSheetId="0" hidden="1">{#N/A,#N/A,FALSE,"Aging Summary";#N/A,#N/A,FALSE,"Ratio Analysis";#N/A,#N/A,FALSE,"Test 120 Day Accts";#N/A,#N/A,FALSE,"Tickmarks"}</definedName>
    <definedName name="wrn.Aging._.and._.Trend._.Analysis._1_1_5_1_3" localSheetId="6" hidden="1">{#N/A,#N/A,FALSE,"Aging Summary";#N/A,#N/A,FALSE,"Ratio Analysis";#N/A,#N/A,FALSE,"Test 120 Day Accts";#N/A,#N/A,FALSE,"Tickmarks"}</definedName>
    <definedName name="wrn.Aging._.and._.Trend._.Analysis._1_1_5_1_3" hidden="1">{#N/A,#N/A,FALSE,"Aging Summary";#N/A,#N/A,FALSE,"Ratio Analysis";#N/A,#N/A,FALSE,"Test 120 Day Accts";#N/A,#N/A,FALSE,"Tickmarks"}</definedName>
    <definedName name="wrn.Aging._.and._.Trend._.Analysis._1_1_5_1_4" localSheetId="0" hidden="1">{#N/A,#N/A,FALSE,"Aging Summary";#N/A,#N/A,FALSE,"Ratio Analysis";#N/A,#N/A,FALSE,"Test 120 Day Accts";#N/A,#N/A,FALSE,"Tickmarks"}</definedName>
    <definedName name="wrn.Aging._.and._.Trend._.Analysis._1_1_5_1_4" localSheetId="6" hidden="1">{#N/A,#N/A,FALSE,"Aging Summary";#N/A,#N/A,FALSE,"Ratio Analysis";#N/A,#N/A,FALSE,"Test 120 Day Accts";#N/A,#N/A,FALSE,"Tickmarks"}</definedName>
    <definedName name="wrn.Aging._.and._.Trend._.Analysis._1_1_5_1_4" hidden="1">{#N/A,#N/A,FALSE,"Aging Summary";#N/A,#N/A,FALSE,"Ratio Analysis";#N/A,#N/A,FALSE,"Test 120 Day Accts";#N/A,#N/A,FALSE,"Tickmarks"}</definedName>
    <definedName name="wrn.Aging._.and._.Trend._.Analysis._1_1_5_1_5" localSheetId="0" hidden="1">{#N/A,#N/A,FALSE,"Aging Summary";#N/A,#N/A,FALSE,"Ratio Analysis";#N/A,#N/A,FALSE,"Test 120 Day Accts";#N/A,#N/A,FALSE,"Tickmarks"}</definedName>
    <definedName name="wrn.Aging._.and._.Trend._.Analysis._1_1_5_1_5" localSheetId="6" hidden="1">{#N/A,#N/A,FALSE,"Aging Summary";#N/A,#N/A,FALSE,"Ratio Analysis";#N/A,#N/A,FALSE,"Test 120 Day Accts";#N/A,#N/A,FALSE,"Tickmarks"}</definedName>
    <definedName name="wrn.Aging._.and._.Trend._.Analysis._1_1_5_1_5" hidden="1">{#N/A,#N/A,FALSE,"Aging Summary";#N/A,#N/A,FALSE,"Ratio Analysis";#N/A,#N/A,FALSE,"Test 120 Day Accts";#N/A,#N/A,FALSE,"Tickmarks"}</definedName>
    <definedName name="wrn.Aging._.and._.Trend._.Analysis._1_1_5_2" localSheetId="0" hidden="1">{#N/A,#N/A,FALSE,"Aging Summary";#N/A,#N/A,FALSE,"Ratio Analysis";#N/A,#N/A,FALSE,"Test 120 Day Accts";#N/A,#N/A,FALSE,"Tickmarks"}</definedName>
    <definedName name="wrn.Aging._.and._.Trend._.Analysis._1_1_5_2" localSheetId="6" hidden="1">{#N/A,#N/A,FALSE,"Aging Summary";#N/A,#N/A,FALSE,"Ratio Analysis";#N/A,#N/A,FALSE,"Test 120 Day Accts";#N/A,#N/A,FALSE,"Tickmarks"}</definedName>
    <definedName name="wrn.Aging._.and._.Trend._.Analysis._1_1_5_2" hidden="1">{#N/A,#N/A,FALSE,"Aging Summary";#N/A,#N/A,FALSE,"Ratio Analysis";#N/A,#N/A,FALSE,"Test 120 Day Accts";#N/A,#N/A,FALSE,"Tickmarks"}</definedName>
    <definedName name="wrn.Aging._.and._.Trend._.Analysis._1_1_5_2_1" localSheetId="0" hidden="1">{#N/A,#N/A,FALSE,"Aging Summary";#N/A,#N/A,FALSE,"Ratio Analysis";#N/A,#N/A,FALSE,"Test 120 Day Accts";#N/A,#N/A,FALSE,"Tickmarks"}</definedName>
    <definedName name="wrn.Aging._.and._.Trend._.Analysis._1_1_5_2_1" localSheetId="6" hidden="1">{#N/A,#N/A,FALSE,"Aging Summary";#N/A,#N/A,FALSE,"Ratio Analysis";#N/A,#N/A,FALSE,"Test 120 Day Accts";#N/A,#N/A,FALSE,"Tickmarks"}</definedName>
    <definedName name="wrn.Aging._.and._.Trend._.Analysis._1_1_5_2_1" hidden="1">{#N/A,#N/A,FALSE,"Aging Summary";#N/A,#N/A,FALSE,"Ratio Analysis";#N/A,#N/A,FALSE,"Test 120 Day Accts";#N/A,#N/A,FALSE,"Tickmarks"}</definedName>
    <definedName name="wrn.Aging._.and._.Trend._.Analysis._1_1_5_2_2" localSheetId="0" hidden="1">{#N/A,#N/A,FALSE,"Aging Summary";#N/A,#N/A,FALSE,"Ratio Analysis";#N/A,#N/A,FALSE,"Test 120 Day Accts";#N/A,#N/A,FALSE,"Tickmarks"}</definedName>
    <definedName name="wrn.Aging._.and._.Trend._.Analysis._1_1_5_2_2" localSheetId="6" hidden="1">{#N/A,#N/A,FALSE,"Aging Summary";#N/A,#N/A,FALSE,"Ratio Analysis";#N/A,#N/A,FALSE,"Test 120 Day Accts";#N/A,#N/A,FALSE,"Tickmarks"}</definedName>
    <definedName name="wrn.Aging._.and._.Trend._.Analysis._1_1_5_2_2" hidden="1">{#N/A,#N/A,FALSE,"Aging Summary";#N/A,#N/A,FALSE,"Ratio Analysis";#N/A,#N/A,FALSE,"Test 120 Day Accts";#N/A,#N/A,FALSE,"Tickmarks"}</definedName>
    <definedName name="wrn.Aging._.and._.Trend._.Analysis._1_1_5_2_3" localSheetId="0" hidden="1">{#N/A,#N/A,FALSE,"Aging Summary";#N/A,#N/A,FALSE,"Ratio Analysis";#N/A,#N/A,FALSE,"Test 120 Day Accts";#N/A,#N/A,FALSE,"Tickmarks"}</definedName>
    <definedName name="wrn.Aging._.and._.Trend._.Analysis._1_1_5_2_3" localSheetId="6" hidden="1">{#N/A,#N/A,FALSE,"Aging Summary";#N/A,#N/A,FALSE,"Ratio Analysis";#N/A,#N/A,FALSE,"Test 120 Day Accts";#N/A,#N/A,FALSE,"Tickmarks"}</definedName>
    <definedName name="wrn.Aging._.and._.Trend._.Analysis._1_1_5_2_3" hidden="1">{#N/A,#N/A,FALSE,"Aging Summary";#N/A,#N/A,FALSE,"Ratio Analysis";#N/A,#N/A,FALSE,"Test 120 Day Accts";#N/A,#N/A,FALSE,"Tickmarks"}</definedName>
    <definedName name="wrn.Aging._.and._.Trend._.Analysis._1_1_5_2_4" localSheetId="0" hidden="1">{#N/A,#N/A,FALSE,"Aging Summary";#N/A,#N/A,FALSE,"Ratio Analysis";#N/A,#N/A,FALSE,"Test 120 Day Accts";#N/A,#N/A,FALSE,"Tickmarks"}</definedName>
    <definedName name="wrn.Aging._.and._.Trend._.Analysis._1_1_5_2_4" localSheetId="6" hidden="1">{#N/A,#N/A,FALSE,"Aging Summary";#N/A,#N/A,FALSE,"Ratio Analysis";#N/A,#N/A,FALSE,"Test 120 Day Accts";#N/A,#N/A,FALSE,"Tickmarks"}</definedName>
    <definedName name="wrn.Aging._.and._.Trend._.Analysis._1_1_5_2_4" hidden="1">{#N/A,#N/A,FALSE,"Aging Summary";#N/A,#N/A,FALSE,"Ratio Analysis";#N/A,#N/A,FALSE,"Test 120 Day Accts";#N/A,#N/A,FALSE,"Tickmarks"}</definedName>
    <definedName name="wrn.Aging._.and._.Trend._.Analysis._1_1_5_2_5" localSheetId="0" hidden="1">{#N/A,#N/A,FALSE,"Aging Summary";#N/A,#N/A,FALSE,"Ratio Analysis";#N/A,#N/A,FALSE,"Test 120 Day Accts";#N/A,#N/A,FALSE,"Tickmarks"}</definedName>
    <definedName name="wrn.Aging._.and._.Trend._.Analysis._1_1_5_2_5" localSheetId="6" hidden="1">{#N/A,#N/A,FALSE,"Aging Summary";#N/A,#N/A,FALSE,"Ratio Analysis";#N/A,#N/A,FALSE,"Test 120 Day Accts";#N/A,#N/A,FALSE,"Tickmarks"}</definedName>
    <definedName name="wrn.Aging._.and._.Trend._.Analysis._1_1_5_2_5" hidden="1">{#N/A,#N/A,FALSE,"Aging Summary";#N/A,#N/A,FALSE,"Ratio Analysis";#N/A,#N/A,FALSE,"Test 120 Day Accts";#N/A,#N/A,FALSE,"Tickmarks"}</definedName>
    <definedName name="wrn.Aging._.and._.Trend._.Analysis._1_1_5_3" localSheetId="0" hidden="1">{#N/A,#N/A,FALSE,"Aging Summary";#N/A,#N/A,FALSE,"Ratio Analysis";#N/A,#N/A,FALSE,"Test 120 Day Accts";#N/A,#N/A,FALSE,"Tickmarks"}</definedName>
    <definedName name="wrn.Aging._.and._.Trend._.Analysis._1_1_5_3" localSheetId="6" hidden="1">{#N/A,#N/A,FALSE,"Aging Summary";#N/A,#N/A,FALSE,"Ratio Analysis";#N/A,#N/A,FALSE,"Test 120 Day Accts";#N/A,#N/A,FALSE,"Tickmarks"}</definedName>
    <definedName name="wrn.Aging._.and._.Trend._.Analysis._1_1_5_3" hidden="1">{#N/A,#N/A,FALSE,"Aging Summary";#N/A,#N/A,FALSE,"Ratio Analysis";#N/A,#N/A,FALSE,"Test 120 Day Accts";#N/A,#N/A,FALSE,"Tickmarks"}</definedName>
    <definedName name="wrn.Aging._.and._.Trend._.Analysis._1_1_5_3_1" localSheetId="0" hidden="1">{#N/A,#N/A,FALSE,"Aging Summary";#N/A,#N/A,FALSE,"Ratio Analysis";#N/A,#N/A,FALSE,"Test 120 Day Accts";#N/A,#N/A,FALSE,"Tickmarks"}</definedName>
    <definedName name="wrn.Aging._.and._.Trend._.Analysis._1_1_5_3_1" localSheetId="6" hidden="1">{#N/A,#N/A,FALSE,"Aging Summary";#N/A,#N/A,FALSE,"Ratio Analysis";#N/A,#N/A,FALSE,"Test 120 Day Accts";#N/A,#N/A,FALSE,"Tickmarks"}</definedName>
    <definedName name="wrn.Aging._.and._.Trend._.Analysis._1_1_5_3_1" hidden="1">{#N/A,#N/A,FALSE,"Aging Summary";#N/A,#N/A,FALSE,"Ratio Analysis";#N/A,#N/A,FALSE,"Test 120 Day Accts";#N/A,#N/A,FALSE,"Tickmarks"}</definedName>
    <definedName name="wrn.Aging._.and._.Trend._.Analysis._1_1_5_3_2" localSheetId="0" hidden="1">{#N/A,#N/A,FALSE,"Aging Summary";#N/A,#N/A,FALSE,"Ratio Analysis";#N/A,#N/A,FALSE,"Test 120 Day Accts";#N/A,#N/A,FALSE,"Tickmarks"}</definedName>
    <definedName name="wrn.Aging._.and._.Trend._.Analysis._1_1_5_3_2" localSheetId="6" hidden="1">{#N/A,#N/A,FALSE,"Aging Summary";#N/A,#N/A,FALSE,"Ratio Analysis";#N/A,#N/A,FALSE,"Test 120 Day Accts";#N/A,#N/A,FALSE,"Tickmarks"}</definedName>
    <definedName name="wrn.Aging._.and._.Trend._.Analysis._1_1_5_3_2" hidden="1">{#N/A,#N/A,FALSE,"Aging Summary";#N/A,#N/A,FALSE,"Ratio Analysis";#N/A,#N/A,FALSE,"Test 120 Day Accts";#N/A,#N/A,FALSE,"Tickmarks"}</definedName>
    <definedName name="wrn.Aging._.and._.Trend._.Analysis._1_1_5_3_3" localSheetId="0" hidden="1">{#N/A,#N/A,FALSE,"Aging Summary";#N/A,#N/A,FALSE,"Ratio Analysis";#N/A,#N/A,FALSE,"Test 120 Day Accts";#N/A,#N/A,FALSE,"Tickmarks"}</definedName>
    <definedName name="wrn.Aging._.and._.Trend._.Analysis._1_1_5_3_3" localSheetId="6" hidden="1">{#N/A,#N/A,FALSE,"Aging Summary";#N/A,#N/A,FALSE,"Ratio Analysis";#N/A,#N/A,FALSE,"Test 120 Day Accts";#N/A,#N/A,FALSE,"Tickmarks"}</definedName>
    <definedName name="wrn.Aging._.and._.Trend._.Analysis._1_1_5_3_3" hidden="1">{#N/A,#N/A,FALSE,"Aging Summary";#N/A,#N/A,FALSE,"Ratio Analysis";#N/A,#N/A,FALSE,"Test 120 Day Accts";#N/A,#N/A,FALSE,"Tickmarks"}</definedName>
    <definedName name="wrn.Aging._.and._.Trend._.Analysis._1_1_5_3_4" localSheetId="0" hidden="1">{#N/A,#N/A,FALSE,"Aging Summary";#N/A,#N/A,FALSE,"Ratio Analysis";#N/A,#N/A,FALSE,"Test 120 Day Accts";#N/A,#N/A,FALSE,"Tickmarks"}</definedName>
    <definedName name="wrn.Aging._.and._.Trend._.Analysis._1_1_5_3_4" localSheetId="6" hidden="1">{#N/A,#N/A,FALSE,"Aging Summary";#N/A,#N/A,FALSE,"Ratio Analysis";#N/A,#N/A,FALSE,"Test 120 Day Accts";#N/A,#N/A,FALSE,"Tickmarks"}</definedName>
    <definedName name="wrn.Aging._.and._.Trend._.Analysis._1_1_5_3_4" hidden="1">{#N/A,#N/A,FALSE,"Aging Summary";#N/A,#N/A,FALSE,"Ratio Analysis";#N/A,#N/A,FALSE,"Test 120 Day Accts";#N/A,#N/A,FALSE,"Tickmarks"}</definedName>
    <definedName name="wrn.Aging._.and._.Trend._.Analysis._1_1_5_3_5" localSheetId="0" hidden="1">{#N/A,#N/A,FALSE,"Aging Summary";#N/A,#N/A,FALSE,"Ratio Analysis";#N/A,#N/A,FALSE,"Test 120 Day Accts";#N/A,#N/A,FALSE,"Tickmarks"}</definedName>
    <definedName name="wrn.Aging._.and._.Trend._.Analysis._1_1_5_3_5" localSheetId="6" hidden="1">{#N/A,#N/A,FALSE,"Aging Summary";#N/A,#N/A,FALSE,"Ratio Analysis";#N/A,#N/A,FALSE,"Test 120 Day Accts";#N/A,#N/A,FALSE,"Tickmarks"}</definedName>
    <definedName name="wrn.Aging._.and._.Trend._.Analysis._1_1_5_3_5" hidden="1">{#N/A,#N/A,FALSE,"Aging Summary";#N/A,#N/A,FALSE,"Ratio Analysis";#N/A,#N/A,FALSE,"Test 120 Day Accts";#N/A,#N/A,FALSE,"Tickmarks"}</definedName>
    <definedName name="wrn.Aging._.and._.Trend._.Analysis._1_1_5_4" localSheetId="0" hidden="1">{#N/A,#N/A,FALSE,"Aging Summary";#N/A,#N/A,FALSE,"Ratio Analysis";#N/A,#N/A,FALSE,"Test 120 Day Accts";#N/A,#N/A,FALSE,"Tickmarks"}</definedName>
    <definedName name="wrn.Aging._.and._.Trend._.Analysis._1_1_5_4" localSheetId="6" hidden="1">{#N/A,#N/A,FALSE,"Aging Summary";#N/A,#N/A,FALSE,"Ratio Analysis";#N/A,#N/A,FALSE,"Test 120 Day Accts";#N/A,#N/A,FALSE,"Tickmarks"}</definedName>
    <definedName name="wrn.Aging._.and._.Trend._.Analysis._1_1_5_4" hidden="1">{#N/A,#N/A,FALSE,"Aging Summary";#N/A,#N/A,FALSE,"Ratio Analysis";#N/A,#N/A,FALSE,"Test 120 Day Accts";#N/A,#N/A,FALSE,"Tickmarks"}</definedName>
    <definedName name="wrn.Aging._.and._.Trend._.Analysis._1_1_5_4_1" localSheetId="0" hidden="1">{#N/A,#N/A,FALSE,"Aging Summary";#N/A,#N/A,FALSE,"Ratio Analysis";#N/A,#N/A,FALSE,"Test 120 Day Accts";#N/A,#N/A,FALSE,"Tickmarks"}</definedName>
    <definedName name="wrn.Aging._.and._.Trend._.Analysis._1_1_5_4_1" localSheetId="6" hidden="1">{#N/A,#N/A,FALSE,"Aging Summary";#N/A,#N/A,FALSE,"Ratio Analysis";#N/A,#N/A,FALSE,"Test 120 Day Accts";#N/A,#N/A,FALSE,"Tickmarks"}</definedName>
    <definedName name="wrn.Aging._.and._.Trend._.Analysis._1_1_5_4_1" hidden="1">{#N/A,#N/A,FALSE,"Aging Summary";#N/A,#N/A,FALSE,"Ratio Analysis";#N/A,#N/A,FALSE,"Test 120 Day Accts";#N/A,#N/A,FALSE,"Tickmarks"}</definedName>
    <definedName name="wrn.Aging._.and._.Trend._.Analysis._1_1_5_4_2" localSheetId="0" hidden="1">{#N/A,#N/A,FALSE,"Aging Summary";#N/A,#N/A,FALSE,"Ratio Analysis";#N/A,#N/A,FALSE,"Test 120 Day Accts";#N/A,#N/A,FALSE,"Tickmarks"}</definedName>
    <definedName name="wrn.Aging._.and._.Trend._.Analysis._1_1_5_4_2" localSheetId="6" hidden="1">{#N/A,#N/A,FALSE,"Aging Summary";#N/A,#N/A,FALSE,"Ratio Analysis";#N/A,#N/A,FALSE,"Test 120 Day Accts";#N/A,#N/A,FALSE,"Tickmarks"}</definedName>
    <definedName name="wrn.Aging._.and._.Trend._.Analysis._1_1_5_4_2" hidden="1">{#N/A,#N/A,FALSE,"Aging Summary";#N/A,#N/A,FALSE,"Ratio Analysis";#N/A,#N/A,FALSE,"Test 120 Day Accts";#N/A,#N/A,FALSE,"Tickmarks"}</definedName>
    <definedName name="wrn.Aging._.and._.Trend._.Analysis._1_1_5_4_3" localSheetId="0" hidden="1">{#N/A,#N/A,FALSE,"Aging Summary";#N/A,#N/A,FALSE,"Ratio Analysis";#N/A,#N/A,FALSE,"Test 120 Day Accts";#N/A,#N/A,FALSE,"Tickmarks"}</definedName>
    <definedName name="wrn.Aging._.and._.Trend._.Analysis._1_1_5_4_3" localSheetId="6" hidden="1">{#N/A,#N/A,FALSE,"Aging Summary";#N/A,#N/A,FALSE,"Ratio Analysis";#N/A,#N/A,FALSE,"Test 120 Day Accts";#N/A,#N/A,FALSE,"Tickmarks"}</definedName>
    <definedName name="wrn.Aging._.and._.Trend._.Analysis._1_1_5_4_3" hidden="1">{#N/A,#N/A,FALSE,"Aging Summary";#N/A,#N/A,FALSE,"Ratio Analysis";#N/A,#N/A,FALSE,"Test 120 Day Accts";#N/A,#N/A,FALSE,"Tickmarks"}</definedName>
    <definedName name="wrn.Aging._.and._.Trend._.Analysis._1_1_5_4_4" localSheetId="0" hidden="1">{#N/A,#N/A,FALSE,"Aging Summary";#N/A,#N/A,FALSE,"Ratio Analysis";#N/A,#N/A,FALSE,"Test 120 Day Accts";#N/A,#N/A,FALSE,"Tickmarks"}</definedName>
    <definedName name="wrn.Aging._.and._.Trend._.Analysis._1_1_5_4_4" localSheetId="6" hidden="1">{#N/A,#N/A,FALSE,"Aging Summary";#N/A,#N/A,FALSE,"Ratio Analysis";#N/A,#N/A,FALSE,"Test 120 Day Accts";#N/A,#N/A,FALSE,"Tickmarks"}</definedName>
    <definedName name="wrn.Aging._.and._.Trend._.Analysis._1_1_5_4_4" hidden="1">{#N/A,#N/A,FALSE,"Aging Summary";#N/A,#N/A,FALSE,"Ratio Analysis";#N/A,#N/A,FALSE,"Test 120 Day Accts";#N/A,#N/A,FALSE,"Tickmarks"}</definedName>
    <definedName name="wrn.Aging._.and._.Trend._.Analysis._1_1_5_4_5" localSheetId="0" hidden="1">{#N/A,#N/A,FALSE,"Aging Summary";#N/A,#N/A,FALSE,"Ratio Analysis";#N/A,#N/A,FALSE,"Test 120 Day Accts";#N/A,#N/A,FALSE,"Tickmarks"}</definedName>
    <definedName name="wrn.Aging._.and._.Trend._.Analysis._1_1_5_4_5" localSheetId="6" hidden="1">{#N/A,#N/A,FALSE,"Aging Summary";#N/A,#N/A,FALSE,"Ratio Analysis";#N/A,#N/A,FALSE,"Test 120 Day Accts";#N/A,#N/A,FALSE,"Tickmarks"}</definedName>
    <definedName name="wrn.Aging._.and._.Trend._.Analysis._1_1_5_4_5" hidden="1">{#N/A,#N/A,FALSE,"Aging Summary";#N/A,#N/A,FALSE,"Ratio Analysis";#N/A,#N/A,FALSE,"Test 120 Day Accts";#N/A,#N/A,FALSE,"Tickmarks"}</definedName>
    <definedName name="wrn.Aging._.and._.Trend._.Analysis._1_1_5_5" localSheetId="0" hidden="1">{#N/A,#N/A,FALSE,"Aging Summary";#N/A,#N/A,FALSE,"Ratio Analysis";#N/A,#N/A,FALSE,"Test 120 Day Accts";#N/A,#N/A,FALSE,"Tickmarks"}</definedName>
    <definedName name="wrn.Aging._.and._.Trend._.Analysis._1_1_5_5" localSheetId="6" hidden="1">{#N/A,#N/A,FALSE,"Aging Summary";#N/A,#N/A,FALSE,"Ratio Analysis";#N/A,#N/A,FALSE,"Test 120 Day Accts";#N/A,#N/A,FALSE,"Tickmarks"}</definedName>
    <definedName name="wrn.Aging._.and._.Trend._.Analysis._1_1_5_5" hidden="1">{#N/A,#N/A,FALSE,"Aging Summary";#N/A,#N/A,FALSE,"Ratio Analysis";#N/A,#N/A,FALSE,"Test 120 Day Accts";#N/A,#N/A,FALSE,"Tickmarks"}</definedName>
    <definedName name="wrn.Aging._.and._.Trend._.Analysis._1_1_5_5_1" localSheetId="0" hidden="1">{#N/A,#N/A,FALSE,"Aging Summary";#N/A,#N/A,FALSE,"Ratio Analysis";#N/A,#N/A,FALSE,"Test 120 Day Accts";#N/A,#N/A,FALSE,"Tickmarks"}</definedName>
    <definedName name="wrn.Aging._.and._.Trend._.Analysis._1_1_5_5_1" localSheetId="6" hidden="1">{#N/A,#N/A,FALSE,"Aging Summary";#N/A,#N/A,FALSE,"Ratio Analysis";#N/A,#N/A,FALSE,"Test 120 Day Accts";#N/A,#N/A,FALSE,"Tickmarks"}</definedName>
    <definedName name="wrn.Aging._.and._.Trend._.Analysis._1_1_5_5_1" hidden="1">{#N/A,#N/A,FALSE,"Aging Summary";#N/A,#N/A,FALSE,"Ratio Analysis";#N/A,#N/A,FALSE,"Test 120 Day Accts";#N/A,#N/A,FALSE,"Tickmarks"}</definedName>
    <definedName name="wrn.Aging._.and._.Trend._.Analysis._1_1_5_5_2" localSheetId="0" hidden="1">{#N/A,#N/A,FALSE,"Aging Summary";#N/A,#N/A,FALSE,"Ratio Analysis";#N/A,#N/A,FALSE,"Test 120 Day Accts";#N/A,#N/A,FALSE,"Tickmarks"}</definedName>
    <definedName name="wrn.Aging._.and._.Trend._.Analysis._1_1_5_5_2" localSheetId="6" hidden="1">{#N/A,#N/A,FALSE,"Aging Summary";#N/A,#N/A,FALSE,"Ratio Analysis";#N/A,#N/A,FALSE,"Test 120 Day Accts";#N/A,#N/A,FALSE,"Tickmarks"}</definedName>
    <definedName name="wrn.Aging._.and._.Trend._.Analysis._1_1_5_5_2" hidden="1">{#N/A,#N/A,FALSE,"Aging Summary";#N/A,#N/A,FALSE,"Ratio Analysis";#N/A,#N/A,FALSE,"Test 120 Day Accts";#N/A,#N/A,FALSE,"Tickmarks"}</definedName>
    <definedName name="wrn.Aging._.and._.Trend._.Analysis._1_1_5_5_3" localSheetId="0" hidden="1">{#N/A,#N/A,FALSE,"Aging Summary";#N/A,#N/A,FALSE,"Ratio Analysis";#N/A,#N/A,FALSE,"Test 120 Day Accts";#N/A,#N/A,FALSE,"Tickmarks"}</definedName>
    <definedName name="wrn.Aging._.and._.Trend._.Analysis._1_1_5_5_3" localSheetId="6" hidden="1">{#N/A,#N/A,FALSE,"Aging Summary";#N/A,#N/A,FALSE,"Ratio Analysis";#N/A,#N/A,FALSE,"Test 120 Day Accts";#N/A,#N/A,FALSE,"Tickmarks"}</definedName>
    <definedName name="wrn.Aging._.and._.Trend._.Analysis._1_1_5_5_3" hidden="1">{#N/A,#N/A,FALSE,"Aging Summary";#N/A,#N/A,FALSE,"Ratio Analysis";#N/A,#N/A,FALSE,"Test 120 Day Accts";#N/A,#N/A,FALSE,"Tickmarks"}</definedName>
    <definedName name="wrn.Aging._.and._.Trend._.Analysis._1_1_5_5_4" localSheetId="0" hidden="1">{#N/A,#N/A,FALSE,"Aging Summary";#N/A,#N/A,FALSE,"Ratio Analysis";#N/A,#N/A,FALSE,"Test 120 Day Accts";#N/A,#N/A,FALSE,"Tickmarks"}</definedName>
    <definedName name="wrn.Aging._.and._.Trend._.Analysis._1_1_5_5_4" localSheetId="6" hidden="1">{#N/A,#N/A,FALSE,"Aging Summary";#N/A,#N/A,FALSE,"Ratio Analysis";#N/A,#N/A,FALSE,"Test 120 Day Accts";#N/A,#N/A,FALSE,"Tickmarks"}</definedName>
    <definedName name="wrn.Aging._.and._.Trend._.Analysis._1_1_5_5_4" hidden="1">{#N/A,#N/A,FALSE,"Aging Summary";#N/A,#N/A,FALSE,"Ratio Analysis";#N/A,#N/A,FALSE,"Test 120 Day Accts";#N/A,#N/A,FALSE,"Tickmarks"}</definedName>
    <definedName name="wrn.Aging._.and._.Trend._.Analysis._1_1_5_5_5" localSheetId="0" hidden="1">{#N/A,#N/A,FALSE,"Aging Summary";#N/A,#N/A,FALSE,"Ratio Analysis";#N/A,#N/A,FALSE,"Test 120 Day Accts";#N/A,#N/A,FALSE,"Tickmarks"}</definedName>
    <definedName name="wrn.Aging._.and._.Trend._.Analysis._1_1_5_5_5" localSheetId="6" hidden="1">{#N/A,#N/A,FALSE,"Aging Summary";#N/A,#N/A,FALSE,"Ratio Analysis";#N/A,#N/A,FALSE,"Test 120 Day Accts";#N/A,#N/A,FALSE,"Tickmarks"}</definedName>
    <definedName name="wrn.Aging._.and._.Trend._.Analysis._1_1_5_5_5" hidden="1">{#N/A,#N/A,FALSE,"Aging Summary";#N/A,#N/A,FALSE,"Ratio Analysis";#N/A,#N/A,FALSE,"Test 120 Day Accts";#N/A,#N/A,FALSE,"Tickmarks"}</definedName>
    <definedName name="wrn.Aging._.and._.Trend._.Analysis._1_2" localSheetId="0" hidden="1">{#N/A,#N/A,FALSE,"Aging Summary";#N/A,#N/A,FALSE,"Ratio Analysis";#N/A,#N/A,FALSE,"Test 120 Day Accts";#N/A,#N/A,FALSE,"Tickmarks"}</definedName>
    <definedName name="wrn.Aging._.and._.Trend._.Analysis._1_2" localSheetId="6" hidden="1">{#N/A,#N/A,FALSE,"Aging Summary";#N/A,#N/A,FALSE,"Ratio Analysis";#N/A,#N/A,FALSE,"Test 120 Day Accts";#N/A,#N/A,FALSE,"Tickmarks"}</definedName>
    <definedName name="wrn.Aging._.and._.Trend._.Analysis._1_2" hidden="1">{#N/A,#N/A,FALSE,"Aging Summary";#N/A,#N/A,FALSE,"Ratio Analysis";#N/A,#N/A,FALSE,"Test 120 Day Accts";#N/A,#N/A,FALSE,"Tickmarks"}</definedName>
    <definedName name="wrn.Aging._.and._.Trend._.Analysis._1_2_1" localSheetId="0" hidden="1">{#N/A,#N/A,FALSE,"Aging Summary";#N/A,#N/A,FALSE,"Ratio Analysis";#N/A,#N/A,FALSE,"Test 120 Day Accts";#N/A,#N/A,FALSE,"Tickmarks"}</definedName>
    <definedName name="wrn.Aging._.and._.Trend._.Analysis._1_2_1" localSheetId="6" hidden="1">{#N/A,#N/A,FALSE,"Aging Summary";#N/A,#N/A,FALSE,"Ratio Analysis";#N/A,#N/A,FALSE,"Test 120 Day Accts";#N/A,#N/A,FALSE,"Tickmarks"}</definedName>
    <definedName name="wrn.Aging._.and._.Trend._.Analysis._1_2_1" hidden="1">{#N/A,#N/A,FALSE,"Aging Summary";#N/A,#N/A,FALSE,"Ratio Analysis";#N/A,#N/A,FALSE,"Test 120 Day Accts";#N/A,#N/A,FALSE,"Tickmarks"}</definedName>
    <definedName name="wrn.Aging._.and._.Trend._.Analysis._1_2_1_1" localSheetId="0" hidden="1">{#N/A,#N/A,FALSE,"Aging Summary";#N/A,#N/A,FALSE,"Ratio Analysis";#N/A,#N/A,FALSE,"Test 120 Day Accts";#N/A,#N/A,FALSE,"Tickmarks"}</definedName>
    <definedName name="wrn.Aging._.and._.Trend._.Analysis._1_2_1_1" localSheetId="6" hidden="1">{#N/A,#N/A,FALSE,"Aging Summary";#N/A,#N/A,FALSE,"Ratio Analysis";#N/A,#N/A,FALSE,"Test 120 Day Accts";#N/A,#N/A,FALSE,"Tickmarks"}</definedName>
    <definedName name="wrn.Aging._.and._.Trend._.Analysis._1_2_1_1" hidden="1">{#N/A,#N/A,FALSE,"Aging Summary";#N/A,#N/A,FALSE,"Ratio Analysis";#N/A,#N/A,FALSE,"Test 120 Day Accts";#N/A,#N/A,FALSE,"Tickmarks"}</definedName>
    <definedName name="wrn.Aging._.and._.Trend._.Analysis._1_2_1_2" localSheetId="0" hidden="1">{#N/A,#N/A,FALSE,"Aging Summary";#N/A,#N/A,FALSE,"Ratio Analysis";#N/A,#N/A,FALSE,"Test 120 Day Accts";#N/A,#N/A,FALSE,"Tickmarks"}</definedName>
    <definedName name="wrn.Aging._.and._.Trend._.Analysis._1_2_1_2" localSheetId="6" hidden="1">{#N/A,#N/A,FALSE,"Aging Summary";#N/A,#N/A,FALSE,"Ratio Analysis";#N/A,#N/A,FALSE,"Test 120 Day Accts";#N/A,#N/A,FALSE,"Tickmarks"}</definedName>
    <definedName name="wrn.Aging._.and._.Trend._.Analysis._1_2_1_2" hidden="1">{#N/A,#N/A,FALSE,"Aging Summary";#N/A,#N/A,FALSE,"Ratio Analysis";#N/A,#N/A,FALSE,"Test 120 Day Accts";#N/A,#N/A,FALSE,"Tickmarks"}</definedName>
    <definedName name="wrn.Aging._.and._.Trend._.Analysis._1_2_1_3" localSheetId="0" hidden="1">{#N/A,#N/A,FALSE,"Aging Summary";#N/A,#N/A,FALSE,"Ratio Analysis";#N/A,#N/A,FALSE,"Test 120 Day Accts";#N/A,#N/A,FALSE,"Tickmarks"}</definedName>
    <definedName name="wrn.Aging._.and._.Trend._.Analysis._1_2_1_3" localSheetId="6" hidden="1">{#N/A,#N/A,FALSE,"Aging Summary";#N/A,#N/A,FALSE,"Ratio Analysis";#N/A,#N/A,FALSE,"Test 120 Day Accts";#N/A,#N/A,FALSE,"Tickmarks"}</definedName>
    <definedName name="wrn.Aging._.and._.Trend._.Analysis._1_2_1_3" hidden="1">{#N/A,#N/A,FALSE,"Aging Summary";#N/A,#N/A,FALSE,"Ratio Analysis";#N/A,#N/A,FALSE,"Test 120 Day Accts";#N/A,#N/A,FALSE,"Tickmarks"}</definedName>
    <definedName name="wrn.Aging._.and._.Trend._.Analysis._1_2_1_4" localSheetId="0" hidden="1">{#N/A,#N/A,FALSE,"Aging Summary";#N/A,#N/A,FALSE,"Ratio Analysis";#N/A,#N/A,FALSE,"Test 120 Day Accts";#N/A,#N/A,FALSE,"Tickmarks"}</definedName>
    <definedName name="wrn.Aging._.and._.Trend._.Analysis._1_2_1_4" localSheetId="6" hidden="1">{#N/A,#N/A,FALSE,"Aging Summary";#N/A,#N/A,FALSE,"Ratio Analysis";#N/A,#N/A,FALSE,"Test 120 Day Accts";#N/A,#N/A,FALSE,"Tickmarks"}</definedName>
    <definedName name="wrn.Aging._.and._.Trend._.Analysis._1_2_1_4" hidden="1">{#N/A,#N/A,FALSE,"Aging Summary";#N/A,#N/A,FALSE,"Ratio Analysis";#N/A,#N/A,FALSE,"Test 120 Day Accts";#N/A,#N/A,FALSE,"Tickmarks"}</definedName>
    <definedName name="wrn.Aging._.and._.Trend._.Analysis._1_2_1_5" localSheetId="0" hidden="1">{#N/A,#N/A,FALSE,"Aging Summary";#N/A,#N/A,FALSE,"Ratio Analysis";#N/A,#N/A,FALSE,"Test 120 Day Accts";#N/A,#N/A,FALSE,"Tickmarks"}</definedName>
    <definedName name="wrn.Aging._.and._.Trend._.Analysis._1_2_1_5" localSheetId="6" hidden="1">{#N/A,#N/A,FALSE,"Aging Summary";#N/A,#N/A,FALSE,"Ratio Analysis";#N/A,#N/A,FALSE,"Test 120 Day Accts";#N/A,#N/A,FALSE,"Tickmarks"}</definedName>
    <definedName name="wrn.Aging._.and._.Trend._.Analysis._1_2_1_5" hidden="1">{#N/A,#N/A,FALSE,"Aging Summary";#N/A,#N/A,FALSE,"Ratio Analysis";#N/A,#N/A,FALSE,"Test 120 Day Accts";#N/A,#N/A,FALSE,"Tickmarks"}</definedName>
    <definedName name="wrn.Aging._.and._.Trend._.Analysis._1_2_2" localSheetId="0" hidden="1">{#N/A,#N/A,FALSE,"Aging Summary";#N/A,#N/A,FALSE,"Ratio Analysis";#N/A,#N/A,FALSE,"Test 120 Day Accts";#N/A,#N/A,FALSE,"Tickmarks"}</definedName>
    <definedName name="wrn.Aging._.and._.Trend._.Analysis._1_2_2" localSheetId="6" hidden="1">{#N/A,#N/A,FALSE,"Aging Summary";#N/A,#N/A,FALSE,"Ratio Analysis";#N/A,#N/A,FALSE,"Test 120 Day Accts";#N/A,#N/A,FALSE,"Tickmarks"}</definedName>
    <definedName name="wrn.Aging._.and._.Trend._.Analysis._1_2_2" hidden="1">{#N/A,#N/A,FALSE,"Aging Summary";#N/A,#N/A,FALSE,"Ratio Analysis";#N/A,#N/A,FALSE,"Test 120 Day Accts";#N/A,#N/A,FALSE,"Tickmarks"}</definedName>
    <definedName name="wrn.Aging._.and._.Trend._.Analysis._1_2_2_1" localSheetId="0" hidden="1">{#N/A,#N/A,FALSE,"Aging Summary";#N/A,#N/A,FALSE,"Ratio Analysis";#N/A,#N/A,FALSE,"Test 120 Day Accts";#N/A,#N/A,FALSE,"Tickmarks"}</definedName>
    <definedName name="wrn.Aging._.and._.Trend._.Analysis._1_2_2_1" localSheetId="6" hidden="1">{#N/A,#N/A,FALSE,"Aging Summary";#N/A,#N/A,FALSE,"Ratio Analysis";#N/A,#N/A,FALSE,"Test 120 Day Accts";#N/A,#N/A,FALSE,"Tickmarks"}</definedName>
    <definedName name="wrn.Aging._.and._.Trend._.Analysis._1_2_2_1" hidden="1">{#N/A,#N/A,FALSE,"Aging Summary";#N/A,#N/A,FALSE,"Ratio Analysis";#N/A,#N/A,FALSE,"Test 120 Day Accts";#N/A,#N/A,FALSE,"Tickmarks"}</definedName>
    <definedName name="wrn.Aging._.and._.Trend._.Analysis._1_2_2_2" localSheetId="0" hidden="1">{#N/A,#N/A,FALSE,"Aging Summary";#N/A,#N/A,FALSE,"Ratio Analysis";#N/A,#N/A,FALSE,"Test 120 Day Accts";#N/A,#N/A,FALSE,"Tickmarks"}</definedName>
    <definedName name="wrn.Aging._.and._.Trend._.Analysis._1_2_2_2" localSheetId="6" hidden="1">{#N/A,#N/A,FALSE,"Aging Summary";#N/A,#N/A,FALSE,"Ratio Analysis";#N/A,#N/A,FALSE,"Test 120 Day Accts";#N/A,#N/A,FALSE,"Tickmarks"}</definedName>
    <definedName name="wrn.Aging._.and._.Trend._.Analysis._1_2_2_2" hidden="1">{#N/A,#N/A,FALSE,"Aging Summary";#N/A,#N/A,FALSE,"Ratio Analysis";#N/A,#N/A,FALSE,"Test 120 Day Accts";#N/A,#N/A,FALSE,"Tickmarks"}</definedName>
    <definedName name="wrn.Aging._.and._.Trend._.Analysis._1_2_2_3" localSheetId="0" hidden="1">{#N/A,#N/A,FALSE,"Aging Summary";#N/A,#N/A,FALSE,"Ratio Analysis";#N/A,#N/A,FALSE,"Test 120 Day Accts";#N/A,#N/A,FALSE,"Tickmarks"}</definedName>
    <definedName name="wrn.Aging._.and._.Trend._.Analysis._1_2_2_3" localSheetId="6" hidden="1">{#N/A,#N/A,FALSE,"Aging Summary";#N/A,#N/A,FALSE,"Ratio Analysis";#N/A,#N/A,FALSE,"Test 120 Day Accts";#N/A,#N/A,FALSE,"Tickmarks"}</definedName>
    <definedName name="wrn.Aging._.and._.Trend._.Analysis._1_2_2_3" hidden="1">{#N/A,#N/A,FALSE,"Aging Summary";#N/A,#N/A,FALSE,"Ratio Analysis";#N/A,#N/A,FALSE,"Test 120 Day Accts";#N/A,#N/A,FALSE,"Tickmarks"}</definedName>
    <definedName name="wrn.Aging._.and._.Trend._.Analysis._1_2_2_4" localSheetId="0" hidden="1">{#N/A,#N/A,FALSE,"Aging Summary";#N/A,#N/A,FALSE,"Ratio Analysis";#N/A,#N/A,FALSE,"Test 120 Day Accts";#N/A,#N/A,FALSE,"Tickmarks"}</definedName>
    <definedName name="wrn.Aging._.and._.Trend._.Analysis._1_2_2_4" localSheetId="6" hidden="1">{#N/A,#N/A,FALSE,"Aging Summary";#N/A,#N/A,FALSE,"Ratio Analysis";#N/A,#N/A,FALSE,"Test 120 Day Accts";#N/A,#N/A,FALSE,"Tickmarks"}</definedName>
    <definedName name="wrn.Aging._.and._.Trend._.Analysis._1_2_2_4" hidden="1">{#N/A,#N/A,FALSE,"Aging Summary";#N/A,#N/A,FALSE,"Ratio Analysis";#N/A,#N/A,FALSE,"Test 120 Day Accts";#N/A,#N/A,FALSE,"Tickmarks"}</definedName>
    <definedName name="wrn.Aging._.and._.Trend._.Analysis._1_2_2_5" localSheetId="0" hidden="1">{#N/A,#N/A,FALSE,"Aging Summary";#N/A,#N/A,FALSE,"Ratio Analysis";#N/A,#N/A,FALSE,"Test 120 Day Accts";#N/A,#N/A,FALSE,"Tickmarks"}</definedName>
    <definedName name="wrn.Aging._.and._.Trend._.Analysis._1_2_2_5" localSheetId="6" hidden="1">{#N/A,#N/A,FALSE,"Aging Summary";#N/A,#N/A,FALSE,"Ratio Analysis";#N/A,#N/A,FALSE,"Test 120 Day Accts";#N/A,#N/A,FALSE,"Tickmarks"}</definedName>
    <definedName name="wrn.Aging._.and._.Trend._.Analysis._1_2_2_5" hidden="1">{#N/A,#N/A,FALSE,"Aging Summary";#N/A,#N/A,FALSE,"Ratio Analysis";#N/A,#N/A,FALSE,"Test 120 Day Accts";#N/A,#N/A,FALSE,"Tickmarks"}</definedName>
    <definedName name="wrn.Aging._.and._.Trend._.Analysis._1_2_3" localSheetId="0" hidden="1">{#N/A,#N/A,FALSE,"Aging Summary";#N/A,#N/A,FALSE,"Ratio Analysis";#N/A,#N/A,FALSE,"Test 120 Day Accts";#N/A,#N/A,FALSE,"Tickmarks"}</definedName>
    <definedName name="wrn.Aging._.and._.Trend._.Analysis._1_2_3" localSheetId="6" hidden="1">{#N/A,#N/A,FALSE,"Aging Summary";#N/A,#N/A,FALSE,"Ratio Analysis";#N/A,#N/A,FALSE,"Test 120 Day Accts";#N/A,#N/A,FALSE,"Tickmarks"}</definedName>
    <definedName name="wrn.Aging._.and._.Trend._.Analysis._1_2_3" hidden="1">{#N/A,#N/A,FALSE,"Aging Summary";#N/A,#N/A,FALSE,"Ratio Analysis";#N/A,#N/A,FALSE,"Test 120 Day Accts";#N/A,#N/A,FALSE,"Tickmarks"}</definedName>
    <definedName name="wrn.Aging._.and._.Trend._.Analysis._1_2_3_1" localSheetId="0" hidden="1">{#N/A,#N/A,FALSE,"Aging Summary";#N/A,#N/A,FALSE,"Ratio Analysis";#N/A,#N/A,FALSE,"Test 120 Day Accts";#N/A,#N/A,FALSE,"Tickmarks"}</definedName>
    <definedName name="wrn.Aging._.and._.Trend._.Analysis._1_2_3_1" localSheetId="6" hidden="1">{#N/A,#N/A,FALSE,"Aging Summary";#N/A,#N/A,FALSE,"Ratio Analysis";#N/A,#N/A,FALSE,"Test 120 Day Accts";#N/A,#N/A,FALSE,"Tickmarks"}</definedName>
    <definedName name="wrn.Aging._.and._.Trend._.Analysis._1_2_3_1" hidden="1">{#N/A,#N/A,FALSE,"Aging Summary";#N/A,#N/A,FALSE,"Ratio Analysis";#N/A,#N/A,FALSE,"Test 120 Day Accts";#N/A,#N/A,FALSE,"Tickmarks"}</definedName>
    <definedName name="wrn.Aging._.and._.Trend._.Analysis._1_2_3_2" localSheetId="0" hidden="1">{#N/A,#N/A,FALSE,"Aging Summary";#N/A,#N/A,FALSE,"Ratio Analysis";#N/A,#N/A,FALSE,"Test 120 Day Accts";#N/A,#N/A,FALSE,"Tickmarks"}</definedName>
    <definedName name="wrn.Aging._.and._.Trend._.Analysis._1_2_3_2" localSheetId="6" hidden="1">{#N/A,#N/A,FALSE,"Aging Summary";#N/A,#N/A,FALSE,"Ratio Analysis";#N/A,#N/A,FALSE,"Test 120 Day Accts";#N/A,#N/A,FALSE,"Tickmarks"}</definedName>
    <definedName name="wrn.Aging._.and._.Trend._.Analysis._1_2_3_2" hidden="1">{#N/A,#N/A,FALSE,"Aging Summary";#N/A,#N/A,FALSE,"Ratio Analysis";#N/A,#N/A,FALSE,"Test 120 Day Accts";#N/A,#N/A,FALSE,"Tickmarks"}</definedName>
    <definedName name="wrn.Aging._.and._.Trend._.Analysis._1_2_3_3" localSheetId="0" hidden="1">{#N/A,#N/A,FALSE,"Aging Summary";#N/A,#N/A,FALSE,"Ratio Analysis";#N/A,#N/A,FALSE,"Test 120 Day Accts";#N/A,#N/A,FALSE,"Tickmarks"}</definedName>
    <definedName name="wrn.Aging._.and._.Trend._.Analysis._1_2_3_3" localSheetId="6" hidden="1">{#N/A,#N/A,FALSE,"Aging Summary";#N/A,#N/A,FALSE,"Ratio Analysis";#N/A,#N/A,FALSE,"Test 120 Day Accts";#N/A,#N/A,FALSE,"Tickmarks"}</definedName>
    <definedName name="wrn.Aging._.and._.Trend._.Analysis._1_2_3_3" hidden="1">{#N/A,#N/A,FALSE,"Aging Summary";#N/A,#N/A,FALSE,"Ratio Analysis";#N/A,#N/A,FALSE,"Test 120 Day Accts";#N/A,#N/A,FALSE,"Tickmarks"}</definedName>
    <definedName name="wrn.Aging._.and._.Trend._.Analysis._1_2_3_4" localSheetId="0" hidden="1">{#N/A,#N/A,FALSE,"Aging Summary";#N/A,#N/A,FALSE,"Ratio Analysis";#N/A,#N/A,FALSE,"Test 120 Day Accts";#N/A,#N/A,FALSE,"Tickmarks"}</definedName>
    <definedName name="wrn.Aging._.and._.Trend._.Analysis._1_2_3_4" localSheetId="6" hidden="1">{#N/A,#N/A,FALSE,"Aging Summary";#N/A,#N/A,FALSE,"Ratio Analysis";#N/A,#N/A,FALSE,"Test 120 Day Accts";#N/A,#N/A,FALSE,"Tickmarks"}</definedName>
    <definedName name="wrn.Aging._.and._.Trend._.Analysis._1_2_3_4" hidden="1">{#N/A,#N/A,FALSE,"Aging Summary";#N/A,#N/A,FALSE,"Ratio Analysis";#N/A,#N/A,FALSE,"Test 120 Day Accts";#N/A,#N/A,FALSE,"Tickmarks"}</definedName>
    <definedName name="wrn.Aging._.and._.Trend._.Analysis._1_2_3_5" localSheetId="0" hidden="1">{#N/A,#N/A,FALSE,"Aging Summary";#N/A,#N/A,FALSE,"Ratio Analysis";#N/A,#N/A,FALSE,"Test 120 Day Accts";#N/A,#N/A,FALSE,"Tickmarks"}</definedName>
    <definedName name="wrn.Aging._.and._.Trend._.Analysis._1_2_3_5" localSheetId="6" hidden="1">{#N/A,#N/A,FALSE,"Aging Summary";#N/A,#N/A,FALSE,"Ratio Analysis";#N/A,#N/A,FALSE,"Test 120 Day Accts";#N/A,#N/A,FALSE,"Tickmarks"}</definedName>
    <definedName name="wrn.Aging._.and._.Trend._.Analysis._1_2_3_5" hidden="1">{#N/A,#N/A,FALSE,"Aging Summary";#N/A,#N/A,FALSE,"Ratio Analysis";#N/A,#N/A,FALSE,"Test 120 Day Accts";#N/A,#N/A,FALSE,"Tickmarks"}</definedName>
    <definedName name="wrn.Aging._.and._.Trend._.Analysis._1_2_4" localSheetId="0" hidden="1">{#N/A,#N/A,FALSE,"Aging Summary";#N/A,#N/A,FALSE,"Ratio Analysis";#N/A,#N/A,FALSE,"Test 120 Day Accts";#N/A,#N/A,FALSE,"Tickmarks"}</definedName>
    <definedName name="wrn.Aging._.and._.Trend._.Analysis._1_2_4" localSheetId="6" hidden="1">{#N/A,#N/A,FALSE,"Aging Summary";#N/A,#N/A,FALSE,"Ratio Analysis";#N/A,#N/A,FALSE,"Test 120 Day Accts";#N/A,#N/A,FALSE,"Tickmarks"}</definedName>
    <definedName name="wrn.Aging._.and._.Trend._.Analysis._1_2_4" hidden="1">{#N/A,#N/A,FALSE,"Aging Summary";#N/A,#N/A,FALSE,"Ratio Analysis";#N/A,#N/A,FALSE,"Test 120 Day Accts";#N/A,#N/A,FALSE,"Tickmarks"}</definedName>
    <definedName name="wrn.Aging._.and._.Trend._.Analysis._1_2_4_1" localSheetId="0" hidden="1">{#N/A,#N/A,FALSE,"Aging Summary";#N/A,#N/A,FALSE,"Ratio Analysis";#N/A,#N/A,FALSE,"Test 120 Day Accts";#N/A,#N/A,FALSE,"Tickmarks"}</definedName>
    <definedName name="wrn.Aging._.and._.Trend._.Analysis._1_2_4_1" localSheetId="6" hidden="1">{#N/A,#N/A,FALSE,"Aging Summary";#N/A,#N/A,FALSE,"Ratio Analysis";#N/A,#N/A,FALSE,"Test 120 Day Accts";#N/A,#N/A,FALSE,"Tickmarks"}</definedName>
    <definedName name="wrn.Aging._.and._.Trend._.Analysis._1_2_4_1" hidden="1">{#N/A,#N/A,FALSE,"Aging Summary";#N/A,#N/A,FALSE,"Ratio Analysis";#N/A,#N/A,FALSE,"Test 120 Day Accts";#N/A,#N/A,FALSE,"Tickmarks"}</definedName>
    <definedName name="wrn.Aging._.and._.Trend._.Analysis._1_2_4_2" localSheetId="0" hidden="1">{#N/A,#N/A,FALSE,"Aging Summary";#N/A,#N/A,FALSE,"Ratio Analysis";#N/A,#N/A,FALSE,"Test 120 Day Accts";#N/A,#N/A,FALSE,"Tickmarks"}</definedName>
    <definedName name="wrn.Aging._.and._.Trend._.Analysis._1_2_4_2" localSheetId="6" hidden="1">{#N/A,#N/A,FALSE,"Aging Summary";#N/A,#N/A,FALSE,"Ratio Analysis";#N/A,#N/A,FALSE,"Test 120 Day Accts";#N/A,#N/A,FALSE,"Tickmarks"}</definedName>
    <definedName name="wrn.Aging._.and._.Trend._.Analysis._1_2_4_2" hidden="1">{#N/A,#N/A,FALSE,"Aging Summary";#N/A,#N/A,FALSE,"Ratio Analysis";#N/A,#N/A,FALSE,"Test 120 Day Accts";#N/A,#N/A,FALSE,"Tickmarks"}</definedName>
    <definedName name="wrn.Aging._.and._.Trend._.Analysis._1_2_4_3" localSheetId="0" hidden="1">{#N/A,#N/A,FALSE,"Aging Summary";#N/A,#N/A,FALSE,"Ratio Analysis";#N/A,#N/A,FALSE,"Test 120 Day Accts";#N/A,#N/A,FALSE,"Tickmarks"}</definedName>
    <definedName name="wrn.Aging._.and._.Trend._.Analysis._1_2_4_3" localSheetId="6" hidden="1">{#N/A,#N/A,FALSE,"Aging Summary";#N/A,#N/A,FALSE,"Ratio Analysis";#N/A,#N/A,FALSE,"Test 120 Day Accts";#N/A,#N/A,FALSE,"Tickmarks"}</definedName>
    <definedName name="wrn.Aging._.and._.Trend._.Analysis._1_2_4_3" hidden="1">{#N/A,#N/A,FALSE,"Aging Summary";#N/A,#N/A,FALSE,"Ratio Analysis";#N/A,#N/A,FALSE,"Test 120 Day Accts";#N/A,#N/A,FALSE,"Tickmarks"}</definedName>
    <definedName name="wrn.Aging._.and._.Trend._.Analysis._1_2_4_4" localSheetId="0" hidden="1">{#N/A,#N/A,FALSE,"Aging Summary";#N/A,#N/A,FALSE,"Ratio Analysis";#N/A,#N/A,FALSE,"Test 120 Day Accts";#N/A,#N/A,FALSE,"Tickmarks"}</definedName>
    <definedName name="wrn.Aging._.and._.Trend._.Analysis._1_2_4_4" localSheetId="6" hidden="1">{#N/A,#N/A,FALSE,"Aging Summary";#N/A,#N/A,FALSE,"Ratio Analysis";#N/A,#N/A,FALSE,"Test 120 Day Accts";#N/A,#N/A,FALSE,"Tickmarks"}</definedName>
    <definedName name="wrn.Aging._.and._.Trend._.Analysis._1_2_4_4" hidden="1">{#N/A,#N/A,FALSE,"Aging Summary";#N/A,#N/A,FALSE,"Ratio Analysis";#N/A,#N/A,FALSE,"Test 120 Day Accts";#N/A,#N/A,FALSE,"Tickmarks"}</definedName>
    <definedName name="wrn.Aging._.and._.Trend._.Analysis._1_2_4_5" localSheetId="0" hidden="1">{#N/A,#N/A,FALSE,"Aging Summary";#N/A,#N/A,FALSE,"Ratio Analysis";#N/A,#N/A,FALSE,"Test 120 Day Accts";#N/A,#N/A,FALSE,"Tickmarks"}</definedName>
    <definedName name="wrn.Aging._.and._.Trend._.Analysis._1_2_4_5" localSheetId="6" hidden="1">{#N/A,#N/A,FALSE,"Aging Summary";#N/A,#N/A,FALSE,"Ratio Analysis";#N/A,#N/A,FALSE,"Test 120 Day Accts";#N/A,#N/A,FALSE,"Tickmarks"}</definedName>
    <definedName name="wrn.Aging._.and._.Trend._.Analysis._1_2_4_5" hidden="1">{#N/A,#N/A,FALSE,"Aging Summary";#N/A,#N/A,FALSE,"Ratio Analysis";#N/A,#N/A,FALSE,"Test 120 Day Accts";#N/A,#N/A,FALSE,"Tickmarks"}</definedName>
    <definedName name="wrn.Aging._.and._.Trend._.Analysis._1_2_5" localSheetId="0" hidden="1">{#N/A,#N/A,FALSE,"Aging Summary";#N/A,#N/A,FALSE,"Ratio Analysis";#N/A,#N/A,FALSE,"Test 120 Day Accts";#N/A,#N/A,FALSE,"Tickmarks"}</definedName>
    <definedName name="wrn.Aging._.and._.Trend._.Analysis._1_2_5" localSheetId="6" hidden="1">{#N/A,#N/A,FALSE,"Aging Summary";#N/A,#N/A,FALSE,"Ratio Analysis";#N/A,#N/A,FALSE,"Test 120 Day Accts";#N/A,#N/A,FALSE,"Tickmarks"}</definedName>
    <definedName name="wrn.Aging._.and._.Trend._.Analysis._1_2_5" hidden="1">{#N/A,#N/A,FALSE,"Aging Summary";#N/A,#N/A,FALSE,"Ratio Analysis";#N/A,#N/A,FALSE,"Test 120 Day Accts";#N/A,#N/A,FALSE,"Tickmarks"}</definedName>
    <definedName name="wrn.Aging._.and._.Trend._.Analysis._1_2_5_1" localSheetId="0" hidden="1">{#N/A,#N/A,FALSE,"Aging Summary";#N/A,#N/A,FALSE,"Ratio Analysis";#N/A,#N/A,FALSE,"Test 120 Day Accts";#N/A,#N/A,FALSE,"Tickmarks"}</definedName>
    <definedName name="wrn.Aging._.and._.Trend._.Analysis._1_2_5_1" localSheetId="6" hidden="1">{#N/A,#N/A,FALSE,"Aging Summary";#N/A,#N/A,FALSE,"Ratio Analysis";#N/A,#N/A,FALSE,"Test 120 Day Accts";#N/A,#N/A,FALSE,"Tickmarks"}</definedName>
    <definedName name="wrn.Aging._.and._.Trend._.Analysis._1_2_5_1" hidden="1">{#N/A,#N/A,FALSE,"Aging Summary";#N/A,#N/A,FALSE,"Ratio Analysis";#N/A,#N/A,FALSE,"Test 120 Day Accts";#N/A,#N/A,FALSE,"Tickmarks"}</definedName>
    <definedName name="wrn.Aging._.and._.Trend._.Analysis._1_2_5_2" localSheetId="0" hidden="1">{#N/A,#N/A,FALSE,"Aging Summary";#N/A,#N/A,FALSE,"Ratio Analysis";#N/A,#N/A,FALSE,"Test 120 Day Accts";#N/A,#N/A,FALSE,"Tickmarks"}</definedName>
    <definedName name="wrn.Aging._.and._.Trend._.Analysis._1_2_5_2" localSheetId="6" hidden="1">{#N/A,#N/A,FALSE,"Aging Summary";#N/A,#N/A,FALSE,"Ratio Analysis";#N/A,#N/A,FALSE,"Test 120 Day Accts";#N/A,#N/A,FALSE,"Tickmarks"}</definedName>
    <definedName name="wrn.Aging._.and._.Trend._.Analysis._1_2_5_2" hidden="1">{#N/A,#N/A,FALSE,"Aging Summary";#N/A,#N/A,FALSE,"Ratio Analysis";#N/A,#N/A,FALSE,"Test 120 Day Accts";#N/A,#N/A,FALSE,"Tickmarks"}</definedName>
    <definedName name="wrn.Aging._.and._.Trend._.Analysis._1_2_5_3" localSheetId="0" hidden="1">{#N/A,#N/A,FALSE,"Aging Summary";#N/A,#N/A,FALSE,"Ratio Analysis";#N/A,#N/A,FALSE,"Test 120 Day Accts";#N/A,#N/A,FALSE,"Tickmarks"}</definedName>
    <definedName name="wrn.Aging._.and._.Trend._.Analysis._1_2_5_3" localSheetId="6" hidden="1">{#N/A,#N/A,FALSE,"Aging Summary";#N/A,#N/A,FALSE,"Ratio Analysis";#N/A,#N/A,FALSE,"Test 120 Day Accts";#N/A,#N/A,FALSE,"Tickmarks"}</definedName>
    <definedName name="wrn.Aging._.and._.Trend._.Analysis._1_2_5_3" hidden="1">{#N/A,#N/A,FALSE,"Aging Summary";#N/A,#N/A,FALSE,"Ratio Analysis";#N/A,#N/A,FALSE,"Test 120 Day Accts";#N/A,#N/A,FALSE,"Tickmarks"}</definedName>
    <definedName name="wrn.Aging._.and._.Trend._.Analysis._1_2_5_4" localSheetId="0" hidden="1">{#N/A,#N/A,FALSE,"Aging Summary";#N/A,#N/A,FALSE,"Ratio Analysis";#N/A,#N/A,FALSE,"Test 120 Day Accts";#N/A,#N/A,FALSE,"Tickmarks"}</definedName>
    <definedName name="wrn.Aging._.and._.Trend._.Analysis._1_2_5_4" localSheetId="6" hidden="1">{#N/A,#N/A,FALSE,"Aging Summary";#N/A,#N/A,FALSE,"Ratio Analysis";#N/A,#N/A,FALSE,"Test 120 Day Accts";#N/A,#N/A,FALSE,"Tickmarks"}</definedName>
    <definedName name="wrn.Aging._.and._.Trend._.Analysis._1_2_5_4" hidden="1">{#N/A,#N/A,FALSE,"Aging Summary";#N/A,#N/A,FALSE,"Ratio Analysis";#N/A,#N/A,FALSE,"Test 120 Day Accts";#N/A,#N/A,FALSE,"Tickmarks"}</definedName>
    <definedName name="wrn.Aging._.and._.Trend._.Analysis._1_2_5_5" localSheetId="0" hidden="1">{#N/A,#N/A,FALSE,"Aging Summary";#N/A,#N/A,FALSE,"Ratio Analysis";#N/A,#N/A,FALSE,"Test 120 Day Accts";#N/A,#N/A,FALSE,"Tickmarks"}</definedName>
    <definedName name="wrn.Aging._.and._.Trend._.Analysis._1_2_5_5" localSheetId="6" hidden="1">{#N/A,#N/A,FALSE,"Aging Summary";#N/A,#N/A,FALSE,"Ratio Analysis";#N/A,#N/A,FALSE,"Test 120 Day Accts";#N/A,#N/A,FALSE,"Tickmarks"}</definedName>
    <definedName name="wrn.Aging._.and._.Trend._.Analysis._1_2_5_5" hidden="1">{#N/A,#N/A,FALSE,"Aging Summary";#N/A,#N/A,FALSE,"Ratio Analysis";#N/A,#N/A,FALSE,"Test 120 Day Accts";#N/A,#N/A,FALSE,"Tickmarks"}</definedName>
    <definedName name="wrn.Aging._.and._.Trend._.Analysis._1_3" localSheetId="0" hidden="1">{#N/A,#N/A,FALSE,"Aging Summary";#N/A,#N/A,FALSE,"Ratio Analysis";#N/A,#N/A,FALSE,"Test 120 Day Accts";#N/A,#N/A,FALSE,"Tickmarks"}</definedName>
    <definedName name="wrn.Aging._.and._.Trend._.Analysis._1_3" localSheetId="6" hidden="1">{#N/A,#N/A,FALSE,"Aging Summary";#N/A,#N/A,FALSE,"Ratio Analysis";#N/A,#N/A,FALSE,"Test 120 Day Accts";#N/A,#N/A,FALSE,"Tickmarks"}</definedName>
    <definedName name="wrn.Aging._.and._.Trend._.Analysis._1_3" hidden="1">{#N/A,#N/A,FALSE,"Aging Summary";#N/A,#N/A,FALSE,"Ratio Analysis";#N/A,#N/A,FALSE,"Test 120 Day Accts";#N/A,#N/A,FALSE,"Tickmarks"}</definedName>
    <definedName name="wrn.Aging._.and._.Trend._.Analysis._1_3_1" localSheetId="0" hidden="1">{#N/A,#N/A,FALSE,"Aging Summary";#N/A,#N/A,FALSE,"Ratio Analysis";#N/A,#N/A,FALSE,"Test 120 Day Accts";#N/A,#N/A,FALSE,"Tickmarks"}</definedName>
    <definedName name="wrn.Aging._.and._.Trend._.Analysis._1_3_1" localSheetId="6" hidden="1">{#N/A,#N/A,FALSE,"Aging Summary";#N/A,#N/A,FALSE,"Ratio Analysis";#N/A,#N/A,FALSE,"Test 120 Day Accts";#N/A,#N/A,FALSE,"Tickmarks"}</definedName>
    <definedName name="wrn.Aging._.and._.Trend._.Analysis._1_3_1" hidden="1">{#N/A,#N/A,FALSE,"Aging Summary";#N/A,#N/A,FALSE,"Ratio Analysis";#N/A,#N/A,FALSE,"Test 120 Day Accts";#N/A,#N/A,FALSE,"Tickmarks"}</definedName>
    <definedName name="wrn.Aging._.and._.Trend._.Analysis._1_3_1_1" localSheetId="0" hidden="1">{#N/A,#N/A,FALSE,"Aging Summary";#N/A,#N/A,FALSE,"Ratio Analysis";#N/A,#N/A,FALSE,"Test 120 Day Accts";#N/A,#N/A,FALSE,"Tickmarks"}</definedName>
    <definedName name="wrn.Aging._.and._.Trend._.Analysis._1_3_1_1" localSheetId="6" hidden="1">{#N/A,#N/A,FALSE,"Aging Summary";#N/A,#N/A,FALSE,"Ratio Analysis";#N/A,#N/A,FALSE,"Test 120 Day Accts";#N/A,#N/A,FALSE,"Tickmarks"}</definedName>
    <definedName name="wrn.Aging._.and._.Trend._.Analysis._1_3_1_1" hidden="1">{#N/A,#N/A,FALSE,"Aging Summary";#N/A,#N/A,FALSE,"Ratio Analysis";#N/A,#N/A,FALSE,"Test 120 Day Accts";#N/A,#N/A,FALSE,"Tickmarks"}</definedName>
    <definedName name="wrn.Aging._.and._.Trend._.Analysis._1_3_1_2" localSheetId="0" hidden="1">{#N/A,#N/A,FALSE,"Aging Summary";#N/A,#N/A,FALSE,"Ratio Analysis";#N/A,#N/A,FALSE,"Test 120 Day Accts";#N/A,#N/A,FALSE,"Tickmarks"}</definedName>
    <definedName name="wrn.Aging._.and._.Trend._.Analysis._1_3_1_2" localSheetId="6" hidden="1">{#N/A,#N/A,FALSE,"Aging Summary";#N/A,#N/A,FALSE,"Ratio Analysis";#N/A,#N/A,FALSE,"Test 120 Day Accts";#N/A,#N/A,FALSE,"Tickmarks"}</definedName>
    <definedName name="wrn.Aging._.and._.Trend._.Analysis._1_3_1_2" hidden="1">{#N/A,#N/A,FALSE,"Aging Summary";#N/A,#N/A,FALSE,"Ratio Analysis";#N/A,#N/A,FALSE,"Test 120 Day Accts";#N/A,#N/A,FALSE,"Tickmarks"}</definedName>
    <definedName name="wrn.Aging._.and._.Trend._.Analysis._1_3_1_3" localSheetId="0" hidden="1">{#N/A,#N/A,FALSE,"Aging Summary";#N/A,#N/A,FALSE,"Ratio Analysis";#N/A,#N/A,FALSE,"Test 120 Day Accts";#N/A,#N/A,FALSE,"Tickmarks"}</definedName>
    <definedName name="wrn.Aging._.and._.Trend._.Analysis._1_3_1_3" localSheetId="6" hidden="1">{#N/A,#N/A,FALSE,"Aging Summary";#N/A,#N/A,FALSE,"Ratio Analysis";#N/A,#N/A,FALSE,"Test 120 Day Accts";#N/A,#N/A,FALSE,"Tickmarks"}</definedName>
    <definedName name="wrn.Aging._.and._.Trend._.Analysis._1_3_1_3" hidden="1">{#N/A,#N/A,FALSE,"Aging Summary";#N/A,#N/A,FALSE,"Ratio Analysis";#N/A,#N/A,FALSE,"Test 120 Day Accts";#N/A,#N/A,FALSE,"Tickmarks"}</definedName>
    <definedName name="wrn.Aging._.and._.Trend._.Analysis._1_3_1_4" localSheetId="0" hidden="1">{#N/A,#N/A,FALSE,"Aging Summary";#N/A,#N/A,FALSE,"Ratio Analysis";#N/A,#N/A,FALSE,"Test 120 Day Accts";#N/A,#N/A,FALSE,"Tickmarks"}</definedName>
    <definedName name="wrn.Aging._.and._.Trend._.Analysis._1_3_1_4" localSheetId="6" hidden="1">{#N/A,#N/A,FALSE,"Aging Summary";#N/A,#N/A,FALSE,"Ratio Analysis";#N/A,#N/A,FALSE,"Test 120 Day Accts";#N/A,#N/A,FALSE,"Tickmarks"}</definedName>
    <definedName name="wrn.Aging._.and._.Trend._.Analysis._1_3_1_4" hidden="1">{#N/A,#N/A,FALSE,"Aging Summary";#N/A,#N/A,FALSE,"Ratio Analysis";#N/A,#N/A,FALSE,"Test 120 Day Accts";#N/A,#N/A,FALSE,"Tickmarks"}</definedName>
    <definedName name="wrn.Aging._.and._.Trend._.Analysis._1_3_1_5" localSheetId="0" hidden="1">{#N/A,#N/A,FALSE,"Aging Summary";#N/A,#N/A,FALSE,"Ratio Analysis";#N/A,#N/A,FALSE,"Test 120 Day Accts";#N/A,#N/A,FALSE,"Tickmarks"}</definedName>
    <definedName name="wrn.Aging._.and._.Trend._.Analysis._1_3_1_5" localSheetId="6" hidden="1">{#N/A,#N/A,FALSE,"Aging Summary";#N/A,#N/A,FALSE,"Ratio Analysis";#N/A,#N/A,FALSE,"Test 120 Day Accts";#N/A,#N/A,FALSE,"Tickmarks"}</definedName>
    <definedName name="wrn.Aging._.and._.Trend._.Analysis._1_3_1_5" hidden="1">{#N/A,#N/A,FALSE,"Aging Summary";#N/A,#N/A,FALSE,"Ratio Analysis";#N/A,#N/A,FALSE,"Test 120 Day Accts";#N/A,#N/A,FALSE,"Tickmarks"}</definedName>
    <definedName name="wrn.Aging._.and._.Trend._.Analysis._1_3_2" localSheetId="0" hidden="1">{#N/A,#N/A,FALSE,"Aging Summary";#N/A,#N/A,FALSE,"Ratio Analysis";#N/A,#N/A,FALSE,"Test 120 Day Accts";#N/A,#N/A,FALSE,"Tickmarks"}</definedName>
    <definedName name="wrn.Aging._.and._.Trend._.Analysis._1_3_2" localSheetId="6" hidden="1">{#N/A,#N/A,FALSE,"Aging Summary";#N/A,#N/A,FALSE,"Ratio Analysis";#N/A,#N/A,FALSE,"Test 120 Day Accts";#N/A,#N/A,FALSE,"Tickmarks"}</definedName>
    <definedName name="wrn.Aging._.and._.Trend._.Analysis._1_3_2" hidden="1">{#N/A,#N/A,FALSE,"Aging Summary";#N/A,#N/A,FALSE,"Ratio Analysis";#N/A,#N/A,FALSE,"Test 120 Day Accts";#N/A,#N/A,FALSE,"Tickmarks"}</definedName>
    <definedName name="wrn.Aging._.and._.Trend._.Analysis._1_3_2_1" localSheetId="0" hidden="1">{#N/A,#N/A,FALSE,"Aging Summary";#N/A,#N/A,FALSE,"Ratio Analysis";#N/A,#N/A,FALSE,"Test 120 Day Accts";#N/A,#N/A,FALSE,"Tickmarks"}</definedName>
    <definedName name="wrn.Aging._.and._.Trend._.Analysis._1_3_2_1" localSheetId="6" hidden="1">{#N/A,#N/A,FALSE,"Aging Summary";#N/A,#N/A,FALSE,"Ratio Analysis";#N/A,#N/A,FALSE,"Test 120 Day Accts";#N/A,#N/A,FALSE,"Tickmarks"}</definedName>
    <definedName name="wrn.Aging._.and._.Trend._.Analysis._1_3_2_1" hidden="1">{#N/A,#N/A,FALSE,"Aging Summary";#N/A,#N/A,FALSE,"Ratio Analysis";#N/A,#N/A,FALSE,"Test 120 Day Accts";#N/A,#N/A,FALSE,"Tickmarks"}</definedName>
    <definedName name="wrn.Aging._.and._.Trend._.Analysis._1_3_2_2" localSheetId="0" hidden="1">{#N/A,#N/A,FALSE,"Aging Summary";#N/A,#N/A,FALSE,"Ratio Analysis";#N/A,#N/A,FALSE,"Test 120 Day Accts";#N/A,#N/A,FALSE,"Tickmarks"}</definedName>
    <definedName name="wrn.Aging._.and._.Trend._.Analysis._1_3_2_2" localSheetId="6" hidden="1">{#N/A,#N/A,FALSE,"Aging Summary";#N/A,#N/A,FALSE,"Ratio Analysis";#N/A,#N/A,FALSE,"Test 120 Day Accts";#N/A,#N/A,FALSE,"Tickmarks"}</definedName>
    <definedName name="wrn.Aging._.and._.Trend._.Analysis._1_3_2_2" hidden="1">{#N/A,#N/A,FALSE,"Aging Summary";#N/A,#N/A,FALSE,"Ratio Analysis";#N/A,#N/A,FALSE,"Test 120 Day Accts";#N/A,#N/A,FALSE,"Tickmarks"}</definedName>
    <definedName name="wrn.Aging._.and._.Trend._.Analysis._1_3_2_3" localSheetId="0" hidden="1">{#N/A,#N/A,FALSE,"Aging Summary";#N/A,#N/A,FALSE,"Ratio Analysis";#N/A,#N/A,FALSE,"Test 120 Day Accts";#N/A,#N/A,FALSE,"Tickmarks"}</definedName>
    <definedName name="wrn.Aging._.and._.Trend._.Analysis._1_3_2_3" localSheetId="6" hidden="1">{#N/A,#N/A,FALSE,"Aging Summary";#N/A,#N/A,FALSE,"Ratio Analysis";#N/A,#N/A,FALSE,"Test 120 Day Accts";#N/A,#N/A,FALSE,"Tickmarks"}</definedName>
    <definedName name="wrn.Aging._.and._.Trend._.Analysis._1_3_2_3" hidden="1">{#N/A,#N/A,FALSE,"Aging Summary";#N/A,#N/A,FALSE,"Ratio Analysis";#N/A,#N/A,FALSE,"Test 120 Day Accts";#N/A,#N/A,FALSE,"Tickmarks"}</definedName>
    <definedName name="wrn.Aging._.and._.Trend._.Analysis._1_3_2_4" localSheetId="0" hidden="1">{#N/A,#N/A,FALSE,"Aging Summary";#N/A,#N/A,FALSE,"Ratio Analysis";#N/A,#N/A,FALSE,"Test 120 Day Accts";#N/A,#N/A,FALSE,"Tickmarks"}</definedName>
    <definedName name="wrn.Aging._.and._.Trend._.Analysis._1_3_2_4" localSheetId="6" hidden="1">{#N/A,#N/A,FALSE,"Aging Summary";#N/A,#N/A,FALSE,"Ratio Analysis";#N/A,#N/A,FALSE,"Test 120 Day Accts";#N/A,#N/A,FALSE,"Tickmarks"}</definedName>
    <definedName name="wrn.Aging._.and._.Trend._.Analysis._1_3_2_4" hidden="1">{#N/A,#N/A,FALSE,"Aging Summary";#N/A,#N/A,FALSE,"Ratio Analysis";#N/A,#N/A,FALSE,"Test 120 Day Accts";#N/A,#N/A,FALSE,"Tickmarks"}</definedName>
    <definedName name="wrn.Aging._.and._.Trend._.Analysis._1_3_2_5" localSheetId="0" hidden="1">{#N/A,#N/A,FALSE,"Aging Summary";#N/A,#N/A,FALSE,"Ratio Analysis";#N/A,#N/A,FALSE,"Test 120 Day Accts";#N/A,#N/A,FALSE,"Tickmarks"}</definedName>
    <definedName name="wrn.Aging._.and._.Trend._.Analysis._1_3_2_5" localSheetId="6" hidden="1">{#N/A,#N/A,FALSE,"Aging Summary";#N/A,#N/A,FALSE,"Ratio Analysis";#N/A,#N/A,FALSE,"Test 120 Day Accts";#N/A,#N/A,FALSE,"Tickmarks"}</definedName>
    <definedName name="wrn.Aging._.and._.Trend._.Analysis._1_3_2_5" hidden="1">{#N/A,#N/A,FALSE,"Aging Summary";#N/A,#N/A,FALSE,"Ratio Analysis";#N/A,#N/A,FALSE,"Test 120 Day Accts";#N/A,#N/A,FALSE,"Tickmarks"}</definedName>
    <definedName name="wrn.Aging._.and._.Trend._.Analysis._1_3_3" localSheetId="0" hidden="1">{#N/A,#N/A,FALSE,"Aging Summary";#N/A,#N/A,FALSE,"Ratio Analysis";#N/A,#N/A,FALSE,"Test 120 Day Accts";#N/A,#N/A,FALSE,"Tickmarks"}</definedName>
    <definedName name="wrn.Aging._.and._.Trend._.Analysis._1_3_3" localSheetId="6" hidden="1">{#N/A,#N/A,FALSE,"Aging Summary";#N/A,#N/A,FALSE,"Ratio Analysis";#N/A,#N/A,FALSE,"Test 120 Day Accts";#N/A,#N/A,FALSE,"Tickmarks"}</definedName>
    <definedName name="wrn.Aging._.and._.Trend._.Analysis._1_3_3" hidden="1">{#N/A,#N/A,FALSE,"Aging Summary";#N/A,#N/A,FALSE,"Ratio Analysis";#N/A,#N/A,FALSE,"Test 120 Day Accts";#N/A,#N/A,FALSE,"Tickmarks"}</definedName>
    <definedName name="wrn.Aging._.and._.Trend._.Analysis._1_3_3_1" localSheetId="0" hidden="1">{#N/A,#N/A,FALSE,"Aging Summary";#N/A,#N/A,FALSE,"Ratio Analysis";#N/A,#N/A,FALSE,"Test 120 Day Accts";#N/A,#N/A,FALSE,"Tickmarks"}</definedName>
    <definedName name="wrn.Aging._.and._.Trend._.Analysis._1_3_3_1" localSheetId="6" hidden="1">{#N/A,#N/A,FALSE,"Aging Summary";#N/A,#N/A,FALSE,"Ratio Analysis";#N/A,#N/A,FALSE,"Test 120 Day Accts";#N/A,#N/A,FALSE,"Tickmarks"}</definedName>
    <definedName name="wrn.Aging._.and._.Trend._.Analysis._1_3_3_1" hidden="1">{#N/A,#N/A,FALSE,"Aging Summary";#N/A,#N/A,FALSE,"Ratio Analysis";#N/A,#N/A,FALSE,"Test 120 Day Accts";#N/A,#N/A,FALSE,"Tickmarks"}</definedName>
    <definedName name="wrn.Aging._.and._.Trend._.Analysis._1_3_3_2" localSheetId="0" hidden="1">{#N/A,#N/A,FALSE,"Aging Summary";#N/A,#N/A,FALSE,"Ratio Analysis";#N/A,#N/A,FALSE,"Test 120 Day Accts";#N/A,#N/A,FALSE,"Tickmarks"}</definedName>
    <definedName name="wrn.Aging._.and._.Trend._.Analysis._1_3_3_2" localSheetId="6" hidden="1">{#N/A,#N/A,FALSE,"Aging Summary";#N/A,#N/A,FALSE,"Ratio Analysis";#N/A,#N/A,FALSE,"Test 120 Day Accts";#N/A,#N/A,FALSE,"Tickmarks"}</definedName>
    <definedName name="wrn.Aging._.and._.Trend._.Analysis._1_3_3_2" hidden="1">{#N/A,#N/A,FALSE,"Aging Summary";#N/A,#N/A,FALSE,"Ratio Analysis";#N/A,#N/A,FALSE,"Test 120 Day Accts";#N/A,#N/A,FALSE,"Tickmarks"}</definedName>
    <definedName name="wrn.Aging._.and._.Trend._.Analysis._1_3_3_3" localSheetId="0" hidden="1">{#N/A,#N/A,FALSE,"Aging Summary";#N/A,#N/A,FALSE,"Ratio Analysis";#N/A,#N/A,FALSE,"Test 120 Day Accts";#N/A,#N/A,FALSE,"Tickmarks"}</definedName>
    <definedName name="wrn.Aging._.and._.Trend._.Analysis._1_3_3_3" localSheetId="6" hidden="1">{#N/A,#N/A,FALSE,"Aging Summary";#N/A,#N/A,FALSE,"Ratio Analysis";#N/A,#N/A,FALSE,"Test 120 Day Accts";#N/A,#N/A,FALSE,"Tickmarks"}</definedName>
    <definedName name="wrn.Aging._.and._.Trend._.Analysis._1_3_3_3" hidden="1">{#N/A,#N/A,FALSE,"Aging Summary";#N/A,#N/A,FALSE,"Ratio Analysis";#N/A,#N/A,FALSE,"Test 120 Day Accts";#N/A,#N/A,FALSE,"Tickmarks"}</definedName>
    <definedName name="wrn.Aging._.and._.Trend._.Analysis._1_3_3_4" localSheetId="0" hidden="1">{#N/A,#N/A,FALSE,"Aging Summary";#N/A,#N/A,FALSE,"Ratio Analysis";#N/A,#N/A,FALSE,"Test 120 Day Accts";#N/A,#N/A,FALSE,"Tickmarks"}</definedName>
    <definedName name="wrn.Aging._.and._.Trend._.Analysis._1_3_3_4" localSheetId="6" hidden="1">{#N/A,#N/A,FALSE,"Aging Summary";#N/A,#N/A,FALSE,"Ratio Analysis";#N/A,#N/A,FALSE,"Test 120 Day Accts";#N/A,#N/A,FALSE,"Tickmarks"}</definedName>
    <definedName name="wrn.Aging._.and._.Trend._.Analysis._1_3_3_4" hidden="1">{#N/A,#N/A,FALSE,"Aging Summary";#N/A,#N/A,FALSE,"Ratio Analysis";#N/A,#N/A,FALSE,"Test 120 Day Accts";#N/A,#N/A,FALSE,"Tickmarks"}</definedName>
    <definedName name="wrn.Aging._.and._.Trend._.Analysis._1_3_3_5" localSheetId="0" hidden="1">{#N/A,#N/A,FALSE,"Aging Summary";#N/A,#N/A,FALSE,"Ratio Analysis";#N/A,#N/A,FALSE,"Test 120 Day Accts";#N/A,#N/A,FALSE,"Tickmarks"}</definedName>
    <definedName name="wrn.Aging._.and._.Trend._.Analysis._1_3_3_5" localSheetId="6" hidden="1">{#N/A,#N/A,FALSE,"Aging Summary";#N/A,#N/A,FALSE,"Ratio Analysis";#N/A,#N/A,FALSE,"Test 120 Day Accts";#N/A,#N/A,FALSE,"Tickmarks"}</definedName>
    <definedName name="wrn.Aging._.and._.Trend._.Analysis._1_3_3_5" hidden="1">{#N/A,#N/A,FALSE,"Aging Summary";#N/A,#N/A,FALSE,"Ratio Analysis";#N/A,#N/A,FALSE,"Test 120 Day Accts";#N/A,#N/A,FALSE,"Tickmarks"}</definedName>
    <definedName name="wrn.Aging._.and._.Trend._.Analysis._1_3_4" localSheetId="0" hidden="1">{#N/A,#N/A,FALSE,"Aging Summary";#N/A,#N/A,FALSE,"Ratio Analysis";#N/A,#N/A,FALSE,"Test 120 Day Accts";#N/A,#N/A,FALSE,"Tickmarks"}</definedName>
    <definedName name="wrn.Aging._.and._.Trend._.Analysis._1_3_4" localSheetId="6" hidden="1">{#N/A,#N/A,FALSE,"Aging Summary";#N/A,#N/A,FALSE,"Ratio Analysis";#N/A,#N/A,FALSE,"Test 120 Day Accts";#N/A,#N/A,FALSE,"Tickmarks"}</definedName>
    <definedName name="wrn.Aging._.and._.Trend._.Analysis._1_3_4" hidden="1">{#N/A,#N/A,FALSE,"Aging Summary";#N/A,#N/A,FALSE,"Ratio Analysis";#N/A,#N/A,FALSE,"Test 120 Day Accts";#N/A,#N/A,FALSE,"Tickmarks"}</definedName>
    <definedName name="wrn.Aging._.and._.Trend._.Analysis._1_3_4_1" localSheetId="0" hidden="1">{#N/A,#N/A,FALSE,"Aging Summary";#N/A,#N/A,FALSE,"Ratio Analysis";#N/A,#N/A,FALSE,"Test 120 Day Accts";#N/A,#N/A,FALSE,"Tickmarks"}</definedName>
    <definedName name="wrn.Aging._.and._.Trend._.Analysis._1_3_4_1" localSheetId="6" hidden="1">{#N/A,#N/A,FALSE,"Aging Summary";#N/A,#N/A,FALSE,"Ratio Analysis";#N/A,#N/A,FALSE,"Test 120 Day Accts";#N/A,#N/A,FALSE,"Tickmarks"}</definedName>
    <definedName name="wrn.Aging._.and._.Trend._.Analysis._1_3_4_1" hidden="1">{#N/A,#N/A,FALSE,"Aging Summary";#N/A,#N/A,FALSE,"Ratio Analysis";#N/A,#N/A,FALSE,"Test 120 Day Accts";#N/A,#N/A,FALSE,"Tickmarks"}</definedName>
    <definedName name="wrn.Aging._.and._.Trend._.Analysis._1_3_4_2" localSheetId="0" hidden="1">{#N/A,#N/A,FALSE,"Aging Summary";#N/A,#N/A,FALSE,"Ratio Analysis";#N/A,#N/A,FALSE,"Test 120 Day Accts";#N/A,#N/A,FALSE,"Tickmarks"}</definedName>
    <definedName name="wrn.Aging._.and._.Trend._.Analysis._1_3_4_2" localSheetId="6" hidden="1">{#N/A,#N/A,FALSE,"Aging Summary";#N/A,#N/A,FALSE,"Ratio Analysis";#N/A,#N/A,FALSE,"Test 120 Day Accts";#N/A,#N/A,FALSE,"Tickmarks"}</definedName>
    <definedName name="wrn.Aging._.and._.Trend._.Analysis._1_3_4_2" hidden="1">{#N/A,#N/A,FALSE,"Aging Summary";#N/A,#N/A,FALSE,"Ratio Analysis";#N/A,#N/A,FALSE,"Test 120 Day Accts";#N/A,#N/A,FALSE,"Tickmarks"}</definedName>
    <definedName name="wrn.Aging._.and._.Trend._.Analysis._1_3_4_3" localSheetId="0" hidden="1">{#N/A,#N/A,FALSE,"Aging Summary";#N/A,#N/A,FALSE,"Ratio Analysis";#N/A,#N/A,FALSE,"Test 120 Day Accts";#N/A,#N/A,FALSE,"Tickmarks"}</definedName>
    <definedName name="wrn.Aging._.and._.Trend._.Analysis._1_3_4_3" localSheetId="6" hidden="1">{#N/A,#N/A,FALSE,"Aging Summary";#N/A,#N/A,FALSE,"Ratio Analysis";#N/A,#N/A,FALSE,"Test 120 Day Accts";#N/A,#N/A,FALSE,"Tickmarks"}</definedName>
    <definedName name="wrn.Aging._.and._.Trend._.Analysis._1_3_4_3" hidden="1">{#N/A,#N/A,FALSE,"Aging Summary";#N/A,#N/A,FALSE,"Ratio Analysis";#N/A,#N/A,FALSE,"Test 120 Day Accts";#N/A,#N/A,FALSE,"Tickmarks"}</definedName>
    <definedName name="wrn.Aging._.and._.Trend._.Analysis._1_3_4_4" localSheetId="0" hidden="1">{#N/A,#N/A,FALSE,"Aging Summary";#N/A,#N/A,FALSE,"Ratio Analysis";#N/A,#N/A,FALSE,"Test 120 Day Accts";#N/A,#N/A,FALSE,"Tickmarks"}</definedName>
    <definedName name="wrn.Aging._.and._.Trend._.Analysis._1_3_4_4" localSheetId="6" hidden="1">{#N/A,#N/A,FALSE,"Aging Summary";#N/A,#N/A,FALSE,"Ratio Analysis";#N/A,#N/A,FALSE,"Test 120 Day Accts";#N/A,#N/A,FALSE,"Tickmarks"}</definedName>
    <definedName name="wrn.Aging._.and._.Trend._.Analysis._1_3_4_4" hidden="1">{#N/A,#N/A,FALSE,"Aging Summary";#N/A,#N/A,FALSE,"Ratio Analysis";#N/A,#N/A,FALSE,"Test 120 Day Accts";#N/A,#N/A,FALSE,"Tickmarks"}</definedName>
    <definedName name="wrn.Aging._.and._.Trend._.Analysis._1_3_4_5" localSheetId="0" hidden="1">{#N/A,#N/A,FALSE,"Aging Summary";#N/A,#N/A,FALSE,"Ratio Analysis";#N/A,#N/A,FALSE,"Test 120 Day Accts";#N/A,#N/A,FALSE,"Tickmarks"}</definedName>
    <definedName name="wrn.Aging._.and._.Trend._.Analysis._1_3_4_5" localSheetId="6" hidden="1">{#N/A,#N/A,FALSE,"Aging Summary";#N/A,#N/A,FALSE,"Ratio Analysis";#N/A,#N/A,FALSE,"Test 120 Day Accts";#N/A,#N/A,FALSE,"Tickmarks"}</definedName>
    <definedName name="wrn.Aging._.and._.Trend._.Analysis._1_3_4_5" hidden="1">{#N/A,#N/A,FALSE,"Aging Summary";#N/A,#N/A,FALSE,"Ratio Analysis";#N/A,#N/A,FALSE,"Test 120 Day Accts";#N/A,#N/A,FALSE,"Tickmarks"}</definedName>
    <definedName name="wrn.Aging._.and._.Trend._.Analysis._1_3_5" localSheetId="0" hidden="1">{#N/A,#N/A,FALSE,"Aging Summary";#N/A,#N/A,FALSE,"Ratio Analysis";#N/A,#N/A,FALSE,"Test 120 Day Accts";#N/A,#N/A,FALSE,"Tickmarks"}</definedName>
    <definedName name="wrn.Aging._.and._.Trend._.Analysis._1_3_5" localSheetId="6" hidden="1">{#N/A,#N/A,FALSE,"Aging Summary";#N/A,#N/A,FALSE,"Ratio Analysis";#N/A,#N/A,FALSE,"Test 120 Day Accts";#N/A,#N/A,FALSE,"Tickmarks"}</definedName>
    <definedName name="wrn.Aging._.and._.Trend._.Analysis._1_3_5" hidden="1">{#N/A,#N/A,FALSE,"Aging Summary";#N/A,#N/A,FALSE,"Ratio Analysis";#N/A,#N/A,FALSE,"Test 120 Day Accts";#N/A,#N/A,FALSE,"Tickmarks"}</definedName>
    <definedName name="wrn.Aging._.and._.Trend._.Analysis._1_3_5_1" localSheetId="0" hidden="1">{#N/A,#N/A,FALSE,"Aging Summary";#N/A,#N/A,FALSE,"Ratio Analysis";#N/A,#N/A,FALSE,"Test 120 Day Accts";#N/A,#N/A,FALSE,"Tickmarks"}</definedName>
    <definedName name="wrn.Aging._.and._.Trend._.Analysis._1_3_5_1" localSheetId="6" hidden="1">{#N/A,#N/A,FALSE,"Aging Summary";#N/A,#N/A,FALSE,"Ratio Analysis";#N/A,#N/A,FALSE,"Test 120 Day Accts";#N/A,#N/A,FALSE,"Tickmarks"}</definedName>
    <definedName name="wrn.Aging._.and._.Trend._.Analysis._1_3_5_1" hidden="1">{#N/A,#N/A,FALSE,"Aging Summary";#N/A,#N/A,FALSE,"Ratio Analysis";#N/A,#N/A,FALSE,"Test 120 Day Accts";#N/A,#N/A,FALSE,"Tickmarks"}</definedName>
    <definedName name="wrn.Aging._.and._.Trend._.Analysis._1_3_5_2" localSheetId="0" hidden="1">{#N/A,#N/A,FALSE,"Aging Summary";#N/A,#N/A,FALSE,"Ratio Analysis";#N/A,#N/A,FALSE,"Test 120 Day Accts";#N/A,#N/A,FALSE,"Tickmarks"}</definedName>
    <definedName name="wrn.Aging._.and._.Trend._.Analysis._1_3_5_2" localSheetId="6" hidden="1">{#N/A,#N/A,FALSE,"Aging Summary";#N/A,#N/A,FALSE,"Ratio Analysis";#N/A,#N/A,FALSE,"Test 120 Day Accts";#N/A,#N/A,FALSE,"Tickmarks"}</definedName>
    <definedName name="wrn.Aging._.and._.Trend._.Analysis._1_3_5_2" hidden="1">{#N/A,#N/A,FALSE,"Aging Summary";#N/A,#N/A,FALSE,"Ratio Analysis";#N/A,#N/A,FALSE,"Test 120 Day Accts";#N/A,#N/A,FALSE,"Tickmarks"}</definedName>
    <definedName name="wrn.Aging._.and._.Trend._.Analysis._1_3_5_3" localSheetId="0" hidden="1">{#N/A,#N/A,FALSE,"Aging Summary";#N/A,#N/A,FALSE,"Ratio Analysis";#N/A,#N/A,FALSE,"Test 120 Day Accts";#N/A,#N/A,FALSE,"Tickmarks"}</definedName>
    <definedName name="wrn.Aging._.and._.Trend._.Analysis._1_3_5_3" localSheetId="6" hidden="1">{#N/A,#N/A,FALSE,"Aging Summary";#N/A,#N/A,FALSE,"Ratio Analysis";#N/A,#N/A,FALSE,"Test 120 Day Accts";#N/A,#N/A,FALSE,"Tickmarks"}</definedName>
    <definedName name="wrn.Aging._.and._.Trend._.Analysis._1_3_5_3" hidden="1">{#N/A,#N/A,FALSE,"Aging Summary";#N/A,#N/A,FALSE,"Ratio Analysis";#N/A,#N/A,FALSE,"Test 120 Day Accts";#N/A,#N/A,FALSE,"Tickmarks"}</definedName>
    <definedName name="wrn.Aging._.and._.Trend._.Analysis._1_3_5_4" localSheetId="0" hidden="1">{#N/A,#N/A,FALSE,"Aging Summary";#N/A,#N/A,FALSE,"Ratio Analysis";#N/A,#N/A,FALSE,"Test 120 Day Accts";#N/A,#N/A,FALSE,"Tickmarks"}</definedName>
    <definedName name="wrn.Aging._.and._.Trend._.Analysis._1_3_5_4" localSheetId="6" hidden="1">{#N/A,#N/A,FALSE,"Aging Summary";#N/A,#N/A,FALSE,"Ratio Analysis";#N/A,#N/A,FALSE,"Test 120 Day Accts";#N/A,#N/A,FALSE,"Tickmarks"}</definedName>
    <definedName name="wrn.Aging._.and._.Trend._.Analysis._1_3_5_4" hidden="1">{#N/A,#N/A,FALSE,"Aging Summary";#N/A,#N/A,FALSE,"Ratio Analysis";#N/A,#N/A,FALSE,"Test 120 Day Accts";#N/A,#N/A,FALSE,"Tickmarks"}</definedName>
    <definedName name="wrn.Aging._.and._.Trend._.Analysis._1_3_5_5" localSheetId="0" hidden="1">{#N/A,#N/A,FALSE,"Aging Summary";#N/A,#N/A,FALSE,"Ratio Analysis";#N/A,#N/A,FALSE,"Test 120 Day Accts";#N/A,#N/A,FALSE,"Tickmarks"}</definedName>
    <definedName name="wrn.Aging._.and._.Trend._.Analysis._1_3_5_5" localSheetId="6" hidden="1">{#N/A,#N/A,FALSE,"Aging Summary";#N/A,#N/A,FALSE,"Ratio Analysis";#N/A,#N/A,FALSE,"Test 120 Day Accts";#N/A,#N/A,FALSE,"Tickmarks"}</definedName>
    <definedName name="wrn.Aging._.and._.Trend._.Analysis._1_3_5_5" hidden="1">{#N/A,#N/A,FALSE,"Aging Summary";#N/A,#N/A,FALSE,"Ratio Analysis";#N/A,#N/A,FALSE,"Test 120 Day Accts";#N/A,#N/A,FALSE,"Tickmarks"}</definedName>
    <definedName name="wrn.Aging._.and._.Trend._.Analysis._1_4" localSheetId="0" hidden="1">{#N/A,#N/A,FALSE,"Aging Summary";#N/A,#N/A,FALSE,"Ratio Analysis";#N/A,#N/A,FALSE,"Test 120 Day Accts";#N/A,#N/A,FALSE,"Tickmarks"}</definedName>
    <definedName name="wrn.Aging._.and._.Trend._.Analysis._1_4" localSheetId="6" hidden="1">{#N/A,#N/A,FALSE,"Aging Summary";#N/A,#N/A,FALSE,"Ratio Analysis";#N/A,#N/A,FALSE,"Test 120 Day Accts";#N/A,#N/A,FALSE,"Tickmarks"}</definedName>
    <definedName name="wrn.Aging._.and._.Trend._.Analysis._1_4" hidden="1">{#N/A,#N/A,FALSE,"Aging Summary";#N/A,#N/A,FALSE,"Ratio Analysis";#N/A,#N/A,FALSE,"Test 120 Day Accts";#N/A,#N/A,FALSE,"Tickmarks"}</definedName>
    <definedName name="wrn.Aging._.and._.Trend._.Analysis._1_4_1" localSheetId="0" hidden="1">{#N/A,#N/A,FALSE,"Aging Summary";#N/A,#N/A,FALSE,"Ratio Analysis";#N/A,#N/A,FALSE,"Test 120 Day Accts";#N/A,#N/A,FALSE,"Tickmarks"}</definedName>
    <definedName name="wrn.Aging._.and._.Trend._.Analysis._1_4_1" localSheetId="6" hidden="1">{#N/A,#N/A,FALSE,"Aging Summary";#N/A,#N/A,FALSE,"Ratio Analysis";#N/A,#N/A,FALSE,"Test 120 Day Accts";#N/A,#N/A,FALSE,"Tickmarks"}</definedName>
    <definedName name="wrn.Aging._.and._.Trend._.Analysis._1_4_1" hidden="1">{#N/A,#N/A,FALSE,"Aging Summary";#N/A,#N/A,FALSE,"Ratio Analysis";#N/A,#N/A,FALSE,"Test 120 Day Accts";#N/A,#N/A,FALSE,"Tickmarks"}</definedName>
    <definedName name="wrn.Aging._.and._.Trend._.Analysis._1_4_1_1" localSheetId="0" hidden="1">{#N/A,#N/A,FALSE,"Aging Summary";#N/A,#N/A,FALSE,"Ratio Analysis";#N/A,#N/A,FALSE,"Test 120 Day Accts";#N/A,#N/A,FALSE,"Tickmarks"}</definedName>
    <definedName name="wrn.Aging._.and._.Trend._.Analysis._1_4_1_1" localSheetId="6" hidden="1">{#N/A,#N/A,FALSE,"Aging Summary";#N/A,#N/A,FALSE,"Ratio Analysis";#N/A,#N/A,FALSE,"Test 120 Day Accts";#N/A,#N/A,FALSE,"Tickmarks"}</definedName>
    <definedName name="wrn.Aging._.and._.Trend._.Analysis._1_4_1_1" hidden="1">{#N/A,#N/A,FALSE,"Aging Summary";#N/A,#N/A,FALSE,"Ratio Analysis";#N/A,#N/A,FALSE,"Test 120 Day Accts";#N/A,#N/A,FALSE,"Tickmarks"}</definedName>
    <definedName name="wrn.Aging._.and._.Trend._.Analysis._1_4_1_2" localSheetId="0" hidden="1">{#N/A,#N/A,FALSE,"Aging Summary";#N/A,#N/A,FALSE,"Ratio Analysis";#N/A,#N/A,FALSE,"Test 120 Day Accts";#N/A,#N/A,FALSE,"Tickmarks"}</definedName>
    <definedName name="wrn.Aging._.and._.Trend._.Analysis._1_4_1_2" localSheetId="6" hidden="1">{#N/A,#N/A,FALSE,"Aging Summary";#N/A,#N/A,FALSE,"Ratio Analysis";#N/A,#N/A,FALSE,"Test 120 Day Accts";#N/A,#N/A,FALSE,"Tickmarks"}</definedName>
    <definedName name="wrn.Aging._.and._.Trend._.Analysis._1_4_1_2" hidden="1">{#N/A,#N/A,FALSE,"Aging Summary";#N/A,#N/A,FALSE,"Ratio Analysis";#N/A,#N/A,FALSE,"Test 120 Day Accts";#N/A,#N/A,FALSE,"Tickmarks"}</definedName>
    <definedName name="wrn.Aging._.and._.Trend._.Analysis._1_4_1_3" localSheetId="0" hidden="1">{#N/A,#N/A,FALSE,"Aging Summary";#N/A,#N/A,FALSE,"Ratio Analysis";#N/A,#N/A,FALSE,"Test 120 Day Accts";#N/A,#N/A,FALSE,"Tickmarks"}</definedName>
    <definedName name="wrn.Aging._.and._.Trend._.Analysis._1_4_1_3" localSheetId="6" hidden="1">{#N/A,#N/A,FALSE,"Aging Summary";#N/A,#N/A,FALSE,"Ratio Analysis";#N/A,#N/A,FALSE,"Test 120 Day Accts";#N/A,#N/A,FALSE,"Tickmarks"}</definedName>
    <definedName name="wrn.Aging._.and._.Trend._.Analysis._1_4_1_3" hidden="1">{#N/A,#N/A,FALSE,"Aging Summary";#N/A,#N/A,FALSE,"Ratio Analysis";#N/A,#N/A,FALSE,"Test 120 Day Accts";#N/A,#N/A,FALSE,"Tickmarks"}</definedName>
    <definedName name="wrn.Aging._.and._.Trend._.Analysis._1_4_1_4" localSheetId="0" hidden="1">{#N/A,#N/A,FALSE,"Aging Summary";#N/A,#N/A,FALSE,"Ratio Analysis";#N/A,#N/A,FALSE,"Test 120 Day Accts";#N/A,#N/A,FALSE,"Tickmarks"}</definedName>
    <definedName name="wrn.Aging._.and._.Trend._.Analysis._1_4_1_4" localSheetId="6" hidden="1">{#N/A,#N/A,FALSE,"Aging Summary";#N/A,#N/A,FALSE,"Ratio Analysis";#N/A,#N/A,FALSE,"Test 120 Day Accts";#N/A,#N/A,FALSE,"Tickmarks"}</definedName>
    <definedName name="wrn.Aging._.and._.Trend._.Analysis._1_4_1_4" hidden="1">{#N/A,#N/A,FALSE,"Aging Summary";#N/A,#N/A,FALSE,"Ratio Analysis";#N/A,#N/A,FALSE,"Test 120 Day Accts";#N/A,#N/A,FALSE,"Tickmarks"}</definedName>
    <definedName name="wrn.Aging._.and._.Trend._.Analysis._1_4_1_5" localSheetId="0" hidden="1">{#N/A,#N/A,FALSE,"Aging Summary";#N/A,#N/A,FALSE,"Ratio Analysis";#N/A,#N/A,FALSE,"Test 120 Day Accts";#N/A,#N/A,FALSE,"Tickmarks"}</definedName>
    <definedName name="wrn.Aging._.and._.Trend._.Analysis._1_4_1_5" localSheetId="6" hidden="1">{#N/A,#N/A,FALSE,"Aging Summary";#N/A,#N/A,FALSE,"Ratio Analysis";#N/A,#N/A,FALSE,"Test 120 Day Accts";#N/A,#N/A,FALSE,"Tickmarks"}</definedName>
    <definedName name="wrn.Aging._.and._.Trend._.Analysis._1_4_1_5" hidden="1">{#N/A,#N/A,FALSE,"Aging Summary";#N/A,#N/A,FALSE,"Ratio Analysis";#N/A,#N/A,FALSE,"Test 120 Day Accts";#N/A,#N/A,FALSE,"Tickmarks"}</definedName>
    <definedName name="wrn.Aging._.and._.Trend._.Analysis._1_4_2" localSheetId="0" hidden="1">{#N/A,#N/A,FALSE,"Aging Summary";#N/A,#N/A,FALSE,"Ratio Analysis";#N/A,#N/A,FALSE,"Test 120 Day Accts";#N/A,#N/A,FALSE,"Tickmarks"}</definedName>
    <definedName name="wrn.Aging._.and._.Trend._.Analysis._1_4_2" localSheetId="6" hidden="1">{#N/A,#N/A,FALSE,"Aging Summary";#N/A,#N/A,FALSE,"Ratio Analysis";#N/A,#N/A,FALSE,"Test 120 Day Accts";#N/A,#N/A,FALSE,"Tickmarks"}</definedName>
    <definedName name="wrn.Aging._.and._.Trend._.Analysis._1_4_2" hidden="1">{#N/A,#N/A,FALSE,"Aging Summary";#N/A,#N/A,FALSE,"Ratio Analysis";#N/A,#N/A,FALSE,"Test 120 Day Accts";#N/A,#N/A,FALSE,"Tickmarks"}</definedName>
    <definedName name="wrn.Aging._.and._.Trend._.Analysis._1_4_2_1" localSheetId="0" hidden="1">{#N/A,#N/A,FALSE,"Aging Summary";#N/A,#N/A,FALSE,"Ratio Analysis";#N/A,#N/A,FALSE,"Test 120 Day Accts";#N/A,#N/A,FALSE,"Tickmarks"}</definedName>
    <definedName name="wrn.Aging._.and._.Trend._.Analysis._1_4_2_1" localSheetId="6" hidden="1">{#N/A,#N/A,FALSE,"Aging Summary";#N/A,#N/A,FALSE,"Ratio Analysis";#N/A,#N/A,FALSE,"Test 120 Day Accts";#N/A,#N/A,FALSE,"Tickmarks"}</definedName>
    <definedName name="wrn.Aging._.and._.Trend._.Analysis._1_4_2_1" hidden="1">{#N/A,#N/A,FALSE,"Aging Summary";#N/A,#N/A,FALSE,"Ratio Analysis";#N/A,#N/A,FALSE,"Test 120 Day Accts";#N/A,#N/A,FALSE,"Tickmarks"}</definedName>
    <definedName name="wrn.Aging._.and._.Trend._.Analysis._1_4_2_2" localSheetId="0" hidden="1">{#N/A,#N/A,FALSE,"Aging Summary";#N/A,#N/A,FALSE,"Ratio Analysis";#N/A,#N/A,FALSE,"Test 120 Day Accts";#N/A,#N/A,FALSE,"Tickmarks"}</definedName>
    <definedName name="wrn.Aging._.and._.Trend._.Analysis._1_4_2_2" localSheetId="6" hidden="1">{#N/A,#N/A,FALSE,"Aging Summary";#N/A,#N/A,FALSE,"Ratio Analysis";#N/A,#N/A,FALSE,"Test 120 Day Accts";#N/A,#N/A,FALSE,"Tickmarks"}</definedName>
    <definedName name="wrn.Aging._.and._.Trend._.Analysis._1_4_2_2" hidden="1">{#N/A,#N/A,FALSE,"Aging Summary";#N/A,#N/A,FALSE,"Ratio Analysis";#N/A,#N/A,FALSE,"Test 120 Day Accts";#N/A,#N/A,FALSE,"Tickmarks"}</definedName>
    <definedName name="wrn.Aging._.and._.Trend._.Analysis._1_4_2_3" localSheetId="0" hidden="1">{#N/A,#N/A,FALSE,"Aging Summary";#N/A,#N/A,FALSE,"Ratio Analysis";#N/A,#N/A,FALSE,"Test 120 Day Accts";#N/A,#N/A,FALSE,"Tickmarks"}</definedName>
    <definedName name="wrn.Aging._.and._.Trend._.Analysis._1_4_2_3" localSheetId="6" hidden="1">{#N/A,#N/A,FALSE,"Aging Summary";#N/A,#N/A,FALSE,"Ratio Analysis";#N/A,#N/A,FALSE,"Test 120 Day Accts";#N/A,#N/A,FALSE,"Tickmarks"}</definedName>
    <definedName name="wrn.Aging._.and._.Trend._.Analysis._1_4_2_3" hidden="1">{#N/A,#N/A,FALSE,"Aging Summary";#N/A,#N/A,FALSE,"Ratio Analysis";#N/A,#N/A,FALSE,"Test 120 Day Accts";#N/A,#N/A,FALSE,"Tickmarks"}</definedName>
    <definedName name="wrn.Aging._.and._.Trend._.Analysis._1_4_2_4" localSheetId="0" hidden="1">{#N/A,#N/A,FALSE,"Aging Summary";#N/A,#N/A,FALSE,"Ratio Analysis";#N/A,#N/A,FALSE,"Test 120 Day Accts";#N/A,#N/A,FALSE,"Tickmarks"}</definedName>
    <definedName name="wrn.Aging._.and._.Trend._.Analysis._1_4_2_4" localSheetId="6" hidden="1">{#N/A,#N/A,FALSE,"Aging Summary";#N/A,#N/A,FALSE,"Ratio Analysis";#N/A,#N/A,FALSE,"Test 120 Day Accts";#N/A,#N/A,FALSE,"Tickmarks"}</definedName>
    <definedName name="wrn.Aging._.and._.Trend._.Analysis._1_4_2_4" hidden="1">{#N/A,#N/A,FALSE,"Aging Summary";#N/A,#N/A,FALSE,"Ratio Analysis";#N/A,#N/A,FALSE,"Test 120 Day Accts";#N/A,#N/A,FALSE,"Tickmarks"}</definedName>
    <definedName name="wrn.Aging._.and._.Trend._.Analysis._1_4_2_5" localSheetId="0" hidden="1">{#N/A,#N/A,FALSE,"Aging Summary";#N/A,#N/A,FALSE,"Ratio Analysis";#N/A,#N/A,FALSE,"Test 120 Day Accts";#N/A,#N/A,FALSE,"Tickmarks"}</definedName>
    <definedName name="wrn.Aging._.and._.Trend._.Analysis._1_4_2_5" localSheetId="6" hidden="1">{#N/A,#N/A,FALSE,"Aging Summary";#N/A,#N/A,FALSE,"Ratio Analysis";#N/A,#N/A,FALSE,"Test 120 Day Accts";#N/A,#N/A,FALSE,"Tickmarks"}</definedName>
    <definedName name="wrn.Aging._.and._.Trend._.Analysis._1_4_2_5" hidden="1">{#N/A,#N/A,FALSE,"Aging Summary";#N/A,#N/A,FALSE,"Ratio Analysis";#N/A,#N/A,FALSE,"Test 120 Day Accts";#N/A,#N/A,FALSE,"Tickmarks"}</definedName>
    <definedName name="wrn.Aging._.and._.Trend._.Analysis._1_4_3" localSheetId="0" hidden="1">{#N/A,#N/A,FALSE,"Aging Summary";#N/A,#N/A,FALSE,"Ratio Analysis";#N/A,#N/A,FALSE,"Test 120 Day Accts";#N/A,#N/A,FALSE,"Tickmarks"}</definedName>
    <definedName name="wrn.Aging._.and._.Trend._.Analysis._1_4_3" localSheetId="6" hidden="1">{#N/A,#N/A,FALSE,"Aging Summary";#N/A,#N/A,FALSE,"Ratio Analysis";#N/A,#N/A,FALSE,"Test 120 Day Accts";#N/A,#N/A,FALSE,"Tickmarks"}</definedName>
    <definedName name="wrn.Aging._.and._.Trend._.Analysis._1_4_3" hidden="1">{#N/A,#N/A,FALSE,"Aging Summary";#N/A,#N/A,FALSE,"Ratio Analysis";#N/A,#N/A,FALSE,"Test 120 Day Accts";#N/A,#N/A,FALSE,"Tickmarks"}</definedName>
    <definedName name="wrn.Aging._.and._.Trend._.Analysis._1_4_3_1" localSheetId="0" hidden="1">{#N/A,#N/A,FALSE,"Aging Summary";#N/A,#N/A,FALSE,"Ratio Analysis";#N/A,#N/A,FALSE,"Test 120 Day Accts";#N/A,#N/A,FALSE,"Tickmarks"}</definedName>
    <definedName name="wrn.Aging._.and._.Trend._.Analysis._1_4_3_1" localSheetId="6" hidden="1">{#N/A,#N/A,FALSE,"Aging Summary";#N/A,#N/A,FALSE,"Ratio Analysis";#N/A,#N/A,FALSE,"Test 120 Day Accts";#N/A,#N/A,FALSE,"Tickmarks"}</definedName>
    <definedName name="wrn.Aging._.and._.Trend._.Analysis._1_4_3_1" hidden="1">{#N/A,#N/A,FALSE,"Aging Summary";#N/A,#N/A,FALSE,"Ratio Analysis";#N/A,#N/A,FALSE,"Test 120 Day Accts";#N/A,#N/A,FALSE,"Tickmarks"}</definedName>
    <definedName name="wrn.Aging._.and._.Trend._.Analysis._1_4_3_2" localSheetId="0" hidden="1">{#N/A,#N/A,FALSE,"Aging Summary";#N/A,#N/A,FALSE,"Ratio Analysis";#N/A,#N/A,FALSE,"Test 120 Day Accts";#N/A,#N/A,FALSE,"Tickmarks"}</definedName>
    <definedName name="wrn.Aging._.and._.Trend._.Analysis._1_4_3_2" localSheetId="6" hidden="1">{#N/A,#N/A,FALSE,"Aging Summary";#N/A,#N/A,FALSE,"Ratio Analysis";#N/A,#N/A,FALSE,"Test 120 Day Accts";#N/A,#N/A,FALSE,"Tickmarks"}</definedName>
    <definedName name="wrn.Aging._.and._.Trend._.Analysis._1_4_3_2" hidden="1">{#N/A,#N/A,FALSE,"Aging Summary";#N/A,#N/A,FALSE,"Ratio Analysis";#N/A,#N/A,FALSE,"Test 120 Day Accts";#N/A,#N/A,FALSE,"Tickmarks"}</definedName>
    <definedName name="wrn.Aging._.and._.Trend._.Analysis._1_4_3_3" localSheetId="0" hidden="1">{#N/A,#N/A,FALSE,"Aging Summary";#N/A,#N/A,FALSE,"Ratio Analysis";#N/A,#N/A,FALSE,"Test 120 Day Accts";#N/A,#N/A,FALSE,"Tickmarks"}</definedName>
    <definedName name="wrn.Aging._.and._.Trend._.Analysis._1_4_3_3" localSheetId="6" hidden="1">{#N/A,#N/A,FALSE,"Aging Summary";#N/A,#N/A,FALSE,"Ratio Analysis";#N/A,#N/A,FALSE,"Test 120 Day Accts";#N/A,#N/A,FALSE,"Tickmarks"}</definedName>
    <definedName name="wrn.Aging._.and._.Trend._.Analysis._1_4_3_3" hidden="1">{#N/A,#N/A,FALSE,"Aging Summary";#N/A,#N/A,FALSE,"Ratio Analysis";#N/A,#N/A,FALSE,"Test 120 Day Accts";#N/A,#N/A,FALSE,"Tickmarks"}</definedName>
    <definedName name="wrn.Aging._.and._.Trend._.Analysis._1_4_3_4" localSheetId="0" hidden="1">{#N/A,#N/A,FALSE,"Aging Summary";#N/A,#N/A,FALSE,"Ratio Analysis";#N/A,#N/A,FALSE,"Test 120 Day Accts";#N/A,#N/A,FALSE,"Tickmarks"}</definedName>
    <definedName name="wrn.Aging._.and._.Trend._.Analysis._1_4_3_4" localSheetId="6" hidden="1">{#N/A,#N/A,FALSE,"Aging Summary";#N/A,#N/A,FALSE,"Ratio Analysis";#N/A,#N/A,FALSE,"Test 120 Day Accts";#N/A,#N/A,FALSE,"Tickmarks"}</definedName>
    <definedName name="wrn.Aging._.and._.Trend._.Analysis._1_4_3_4" hidden="1">{#N/A,#N/A,FALSE,"Aging Summary";#N/A,#N/A,FALSE,"Ratio Analysis";#N/A,#N/A,FALSE,"Test 120 Day Accts";#N/A,#N/A,FALSE,"Tickmarks"}</definedName>
    <definedName name="wrn.Aging._.and._.Trend._.Analysis._1_4_3_5" localSheetId="0" hidden="1">{#N/A,#N/A,FALSE,"Aging Summary";#N/A,#N/A,FALSE,"Ratio Analysis";#N/A,#N/A,FALSE,"Test 120 Day Accts";#N/A,#N/A,FALSE,"Tickmarks"}</definedName>
    <definedName name="wrn.Aging._.and._.Trend._.Analysis._1_4_3_5" localSheetId="6" hidden="1">{#N/A,#N/A,FALSE,"Aging Summary";#N/A,#N/A,FALSE,"Ratio Analysis";#N/A,#N/A,FALSE,"Test 120 Day Accts";#N/A,#N/A,FALSE,"Tickmarks"}</definedName>
    <definedName name="wrn.Aging._.and._.Trend._.Analysis._1_4_3_5" hidden="1">{#N/A,#N/A,FALSE,"Aging Summary";#N/A,#N/A,FALSE,"Ratio Analysis";#N/A,#N/A,FALSE,"Test 120 Day Accts";#N/A,#N/A,FALSE,"Tickmarks"}</definedName>
    <definedName name="wrn.Aging._.and._.Trend._.Analysis._1_4_4" localSheetId="0" hidden="1">{#N/A,#N/A,FALSE,"Aging Summary";#N/A,#N/A,FALSE,"Ratio Analysis";#N/A,#N/A,FALSE,"Test 120 Day Accts";#N/A,#N/A,FALSE,"Tickmarks"}</definedName>
    <definedName name="wrn.Aging._.and._.Trend._.Analysis._1_4_4" localSheetId="6" hidden="1">{#N/A,#N/A,FALSE,"Aging Summary";#N/A,#N/A,FALSE,"Ratio Analysis";#N/A,#N/A,FALSE,"Test 120 Day Accts";#N/A,#N/A,FALSE,"Tickmarks"}</definedName>
    <definedName name="wrn.Aging._.and._.Trend._.Analysis._1_4_4" hidden="1">{#N/A,#N/A,FALSE,"Aging Summary";#N/A,#N/A,FALSE,"Ratio Analysis";#N/A,#N/A,FALSE,"Test 120 Day Accts";#N/A,#N/A,FALSE,"Tickmarks"}</definedName>
    <definedName name="wrn.Aging._.and._.Trend._.Analysis._1_4_4_1" localSheetId="0" hidden="1">{#N/A,#N/A,FALSE,"Aging Summary";#N/A,#N/A,FALSE,"Ratio Analysis";#N/A,#N/A,FALSE,"Test 120 Day Accts";#N/A,#N/A,FALSE,"Tickmarks"}</definedName>
    <definedName name="wrn.Aging._.and._.Trend._.Analysis._1_4_4_1" localSheetId="6" hidden="1">{#N/A,#N/A,FALSE,"Aging Summary";#N/A,#N/A,FALSE,"Ratio Analysis";#N/A,#N/A,FALSE,"Test 120 Day Accts";#N/A,#N/A,FALSE,"Tickmarks"}</definedName>
    <definedName name="wrn.Aging._.and._.Trend._.Analysis._1_4_4_1" hidden="1">{#N/A,#N/A,FALSE,"Aging Summary";#N/A,#N/A,FALSE,"Ratio Analysis";#N/A,#N/A,FALSE,"Test 120 Day Accts";#N/A,#N/A,FALSE,"Tickmarks"}</definedName>
    <definedName name="wrn.Aging._.and._.Trend._.Analysis._1_4_4_2" localSheetId="0" hidden="1">{#N/A,#N/A,FALSE,"Aging Summary";#N/A,#N/A,FALSE,"Ratio Analysis";#N/A,#N/A,FALSE,"Test 120 Day Accts";#N/A,#N/A,FALSE,"Tickmarks"}</definedName>
    <definedName name="wrn.Aging._.and._.Trend._.Analysis._1_4_4_2" localSheetId="6" hidden="1">{#N/A,#N/A,FALSE,"Aging Summary";#N/A,#N/A,FALSE,"Ratio Analysis";#N/A,#N/A,FALSE,"Test 120 Day Accts";#N/A,#N/A,FALSE,"Tickmarks"}</definedName>
    <definedName name="wrn.Aging._.and._.Trend._.Analysis._1_4_4_2" hidden="1">{#N/A,#N/A,FALSE,"Aging Summary";#N/A,#N/A,FALSE,"Ratio Analysis";#N/A,#N/A,FALSE,"Test 120 Day Accts";#N/A,#N/A,FALSE,"Tickmarks"}</definedName>
    <definedName name="wrn.Aging._.and._.Trend._.Analysis._1_4_4_3" localSheetId="0" hidden="1">{#N/A,#N/A,FALSE,"Aging Summary";#N/A,#N/A,FALSE,"Ratio Analysis";#N/A,#N/A,FALSE,"Test 120 Day Accts";#N/A,#N/A,FALSE,"Tickmarks"}</definedName>
    <definedName name="wrn.Aging._.and._.Trend._.Analysis._1_4_4_3" localSheetId="6" hidden="1">{#N/A,#N/A,FALSE,"Aging Summary";#N/A,#N/A,FALSE,"Ratio Analysis";#N/A,#N/A,FALSE,"Test 120 Day Accts";#N/A,#N/A,FALSE,"Tickmarks"}</definedName>
    <definedName name="wrn.Aging._.and._.Trend._.Analysis._1_4_4_3" hidden="1">{#N/A,#N/A,FALSE,"Aging Summary";#N/A,#N/A,FALSE,"Ratio Analysis";#N/A,#N/A,FALSE,"Test 120 Day Accts";#N/A,#N/A,FALSE,"Tickmarks"}</definedName>
    <definedName name="wrn.Aging._.and._.Trend._.Analysis._1_4_4_4" localSheetId="0" hidden="1">{#N/A,#N/A,FALSE,"Aging Summary";#N/A,#N/A,FALSE,"Ratio Analysis";#N/A,#N/A,FALSE,"Test 120 Day Accts";#N/A,#N/A,FALSE,"Tickmarks"}</definedName>
    <definedName name="wrn.Aging._.and._.Trend._.Analysis._1_4_4_4" localSheetId="6" hidden="1">{#N/A,#N/A,FALSE,"Aging Summary";#N/A,#N/A,FALSE,"Ratio Analysis";#N/A,#N/A,FALSE,"Test 120 Day Accts";#N/A,#N/A,FALSE,"Tickmarks"}</definedName>
    <definedName name="wrn.Aging._.and._.Trend._.Analysis._1_4_4_4" hidden="1">{#N/A,#N/A,FALSE,"Aging Summary";#N/A,#N/A,FALSE,"Ratio Analysis";#N/A,#N/A,FALSE,"Test 120 Day Accts";#N/A,#N/A,FALSE,"Tickmarks"}</definedName>
    <definedName name="wrn.Aging._.and._.Trend._.Analysis._1_4_4_5" localSheetId="0" hidden="1">{#N/A,#N/A,FALSE,"Aging Summary";#N/A,#N/A,FALSE,"Ratio Analysis";#N/A,#N/A,FALSE,"Test 120 Day Accts";#N/A,#N/A,FALSE,"Tickmarks"}</definedName>
    <definedName name="wrn.Aging._.and._.Trend._.Analysis._1_4_4_5" localSheetId="6" hidden="1">{#N/A,#N/A,FALSE,"Aging Summary";#N/A,#N/A,FALSE,"Ratio Analysis";#N/A,#N/A,FALSE,"Test 120 Day Accts";#N/A,#N/A,FALSE,"Tickmarks"}</definedName>
    <definedName name="wrn.Aging._.and._.Trend._.Analysis._1_4_4_5" hidden="1">{#N/A,#N/A,FALSE,"Aging Summary";#N/A,#N/A,FALSE,"Ratio Analysis";#N/A,#N/A,FALSE,"Test 120 Day Accts";#N/A,#N/A,FALSE,"Tickmarks"}</definedName>
    <definedName name="wrn.Aging._.and._.Trend._.Analysis._1_4_5" localSheetId="0" hidden="1">{#N/A,#N/A,FALSE,"Aging Summary";#N/A,#N/A,FALSE,"Ratio Analysis";#N/A,#N/A,FALSE,"Test 120 Day Accts";#N/A,#N/A,FALSE,"Tickmarks"}</definedName>
    <definedName name="wrn.Aging._.and._.Trend._.Analysis._1_4_5" localSheetId="6" hidden="1">{#N/A,#N/A,FALSE,"Aging Summary";#N/A,#N/A,FALSE,"Ratio Analysis";#N/A,#N/A,FALSE,"Test 120 Day Accts";#N/A,#N/A,FALSE,"Tickmarks"}</definedName>
    <definedName name="wrn.Aging._.and._.Trend._.Analysis._1_4_5" hidden="1">{#N/A,#N/A,FALSE,"Aging Summary";#N/A,#N/A,FALSE,"Ratio Analysis";#N/A,#N/A,FALSE,"Test 120 Day Accts";#N/A,#N/A,FALSE,"Tickmarks"}</definedName>
    <definedName name="wrn.Aging._.and._.Trend._.Analysis._1_4_5_1" localSheetId="0" hidden="1">{#N/A,#N/A,FALSE,"Aging Summary";#N/A,#N/A,FALSE,"Ratio Analysis";#N/A,#N/A,FALSE,"Test 120 Day Accts";#N/A,#N/A,FALSE,"Tickmarks"}</definedName>
    <definedName name="wrn.Aging._.and._.Trend._.Analysis._1_4_5_1" localSheetId="6" hidden="1">{#N/A,#N/A,FALSE,"Aging Summary";#N/A,#N/A,FALSE,"Ratio Analysis";#N/A,#N/A,FALSE,"Test 120 Day Accts";#N/A,#N/A,FALSE,"Tickmarks"}</definedName>
    <definedName name="wrn.Aging._.and._.Trend._.Analysis._1_4_5_1" hidden="1">{#N/A,#N/A,FALSE,"Aging Summary";#N/A,#N/A,FALSE,"Ratio Analysis";#N/A,#N/A,FALSE,"Test 120 Day Accts";#N/A,#N/A,FALSE,"Tickmarks"}</definedName>
    <definedName name="wrn.Aging._.and._.Trend._.Analysis._1_4_5_2" localSheetId="0" hidden="1">{#N/A,#N/A,FALSE,"Aging Summary";#N/A,#N/A,FALSE,"Ratio Analysis";#N/A,#N/A,FALSE,"Test 120 Day Accts";#N/A,#N/A,FALSE,"Tickmarks"}</definedName>
    <definedName name="wrn.Aging._.and._.Trend._.Analysis._1_4_5_2" localSheetId="6" hidden="1">{#N/A,#N/A,FALSE,"Aging Summary";#N/A,#N/A,FALSE,"Ratio Analysis";#N/A,#N/A,FALSE,"Test 120 Day Accts";#N/A,#N/A,FALSE,"Tickmarks"}</definedName>
    <definedName name="wrn.Aging._.and._.Trend._.Analysis._1_4_5_2" hidden="1">{#N/A,#N/A,FALSE,"Aging Summary";#N/A,#N/A,FALSE,"Ratio Analysis";#N/A,#N/A,FALSE,"Test 120 Day Accts";#N/A,#N/A,FALSE,"Tickmarks"}</definedName>
    <definedName name="wrn.Aging._.and._.Trend._.Analysis._1_4_5_3" localSheetId="0" hidden="1">{#N/A,#N/A,FALSE,"Aging Summary";#N/A,#N/A,FALSE,"Ratio Analysis";#N/A,#N/A,FALSE,"Test 120 Day Accts";#N/A,#N/A,FALSE,"Tickmarks"}</definedName>
    <definedName name="wrn.Aging._.and._.Trend._.Analysis._1_4_5_3" localSheetId="6" hidden="1">{#N/A,#N/A,FALSE,"Aging Summary";#N/A,#N/A,FALSE,"Ratio Analysis";#N/A,#N/A,FALSE,"Test 120 Day Accts";#N/A,#N/A,FALSE,"Tickmarks"}</definedName>
    <definedName name="wrn.Aging._.and._.Trend._.Analysis._1_4_5_3" hidden="1">{#N/A,#N/A,FALSE,"Aging Summary";#N/A,#N/A,FALSE,"Ratio Analysis";#N/A,#N/A,FALSE,"Test 120 Day Accts";#N/A,#N/A,FALSE,"Tickmarks"}</definedName>
    <definedName name="wrn.Aging._.and._.Trend._.Analysis._1_4_5_4" localSheetId="0" hidden="1">{#N/A,#N/A,FALSE,"Aging Summary";#N/A,#N/A,FALSE,"Ratio Analysis";#N/A,#N/A,FALSE,"Test 120 Day Accts";#N/A,#N/A,FALSE,"Tickmarks"}</definedName>
    <definedName name="wrn.Aging._.and._.Trend._.Analysis._1_4_5_4" localSheetId="6" hidden="1">{#N/A,#N/A,FALSE,"Aging Summary";#N/A,#N/A,FALSE,"Ratio Analysis";#N/A,#N/A,FALSE,"Test 120 Day Accts";#N/A,#N/A,FALSE,"Tickmarks"}</definedName>
    <definedName name="wrn.Aging._.and._.Trend._.Analysis._1_4_5_4" hidden="1">{#N/A,#N/A,FALSE,"Aging Summary";#N/A,#N/A,FALSE,"Ratio Analysis";#N/A,#N/A,FALSE,"Test 120 Day Accts";#N/A,#N/A,FALSE,"Tickmarks"}</definedName>
    <definedName name="wrn.Aging._.and._.Trend._.Analysis._1_4_5_5" localSheetId="0" hidden="1">{#N/A,#N/A,FALSE,"Aging Summary";#N/A,#N/A,FALSE,"Ratio Analysis";#N/A,#N/A,FALSE,"Test 120 Day Accts";#N/A,#N/A,FALSE,"Tickmarks"}</definedName>
    <definedName name="wrn.Aging._.and._.Trend._.Analysis._1_4_5_5" localSheetId="6" hidden="1">{#N/A,#N/A,FALSE,"Aging Summary";#N/A,#N/A,FALSE,"Ratio Analysis";#N/A,#N/A,FALSE,"Test 120 Day Accts";#N/A,#N/A,FALSE,"Tickmarks"}</definedName>
    <definedName name="wrn.Aging._.and._.Trend._.Analysis._1_4_5_5" hidden="1">{#N/A,#N/A,FALSE,"Aging Summary";#N/A,#N/A,FALSE,"Ratio Analysis";#N/A,#N/A,FALSE,"Test 120 Day Accts";#N/A,#N/A,FALSE,"Tickmarks"}</definedName>
    <definedName name="wrn.Aging._.and._.Trend._.Analysis._1_5" localSheetId="0" hidden="1">{#N/A,#N/A,FALSE,"Aging Summary";#N/A,#N/A,FALSE,"Ratio Analysis";#N/A,#N/A,FALSE,"Test 120 Day Accts";#N/A,#N/A,FALSE,"Tickmarks"}</definedName>
    <definedName name="wrn.Aging._.and._.Trend._.Analysis._1_5" localSheetId="6" hidden="1">{#N/A,#N/A,FALSE,"Aging Summary";#N/A,#N/A,FALSE,"Ratio Analysis";#N/A,#N/A,FALSE,"Test 120 Day Accts";#N/A,#N/A,FALSE,"Tickmarks"}</definedName>
    <definedName name="wrn.Aging._.and._.Trend._.Analysis._1_5" hidden="1">{#N/A,#N/A,FALSE,"Aging Summary";#N/A,#N/A,FALSE,"Ratio Analysis";#N/A,#N/A,FALSE,"Test 120 Day Accts";#N/A,#N/A,FALSE,"Tickmarks"}</definedName>
    <definedName name="wrn.Aging._.and._.Trend._.Analysis._1_5_1" localSheetId="0" hidden="1">{#N/A,#N/A,FALSE,"Aging Summary";#N/A,#N/A,FALSE,"Ratio Analysis";#N/A,#N/A,FALSE,"Test 120 Day Accts";#N/A,#N/A,FALSE,"Tickmarks"}</definedName>
    <definedName name="wrn.Aging._.and._.Trend._.Analysis._1_5_1" localSheetId="6" hidden="1">{#N/A,#N/A,FALSE,"Aging Summary";#N/A,#N/A,FALSE,"Ratio Analysis";#N/A,#N/A,FALSE,"Test 120 Day Accts";#N/A,#N/A,FALSE,"Tickmarks"}</definedName>
    <definedName name="wrn.Aging._.and._.Trend._.Analysis._1_5_1" hidden="1">{#N/A,#N/A,FALSE,"Aging Summary";#N/A,#N/A,FALSE,"Ratio Analysis";#N/A,#N/A,FALSE,"Test 120 Day Accts";#N/A,#N/A,FALSE,"Tickmarks"}</definedName>
    <definedName name="wrn.Aging._.and._.Trend._.Analysis._1_5_1_1" localSheetId="0" hidden="1">{#N/A,#N/A,FALSE,"Aging Summary";#N/A,#N/A,FALSE,"Ratio Analysis";#N/A,#N/A,FALSE,"Test 120 Day Accts";#N/A,#N/A,FALSE,"Tickmarks"}</definedName>
    <definedName name="wrn.Aging._.and._.Trend._.Analysis._1_5_1_1" localSheetId="6" hidden="1">{#N/A,#N/A,FALSE,"Aging Summary";#N/A,#N/A,FALSE,"Ratio Analysis";#N/A,#N/A,FALSE,"Test 120 Day Accts";#N/A,#N/A,FALSE,"Tickmarks"}</definedName>
    <definedName name="wrn.Aging._.and._.Trend._.Analysis._1_5_1_1" hidden="1">{#N/A,#N/A,FALSE,"Aging Summary";#N/A,#N/A,FALSE,"Ratio Analysis";#N/A,#N/A,FALSE,"Test 120 Day Accts";#N/A,#N/A,FALSE,"Tickmarks"}</definedName>
    <definedName name="wrn.Aging._.and._.Trend._.Analysis._1_5_1_2" localSheetId="0" hidden="1">{#N/A,#N/A,FALSE,"Aging Summary";#N/A,#N/A,FALSE,"Ratio Analysis";#N/A,#N/A,FALSE,"Test 120 Day Accts";#N/A,#N/A,FALSE,"Tickmarks"}</definedName>
    <definedName name="wrn.Aging._.and._.Trend._.Analysis._1_5_1_2" localSheetId="6" hidden="1">{#N/A,#N/A,FALSE,"Aging Summary";#N/A,#N/A,FALSE,"Ratio Analysis";#N/A,#N/A,FALSE,"Test 120 Day Accts";#N/A,#N/A,FALSE,"Tickmarks"}</definedName>
    <definedName name="wrn.Aging._.and._.Trend._.Analysis._1_5_1_2" hidden="1">{#N/A,#N/A,FALSE,"Aging Summary";#N/A,#N/A,FALSE,"Ratio Analysis";#N/A,#N/A,FALSE,"Test 120 Day Accts";#N/A,#N/A,FALSE,"Tickmarks"}</definedName>
    <definedName name="wrn.Aging._.and._.Trend._.Analysis._1_5_1_3" localSheetId="0" hidden="1">{#N/A,#N/A,FALSE,"Aging Summary";#N/A,#N/A,FALSE,"Ratio Analysis";#N/A,#N/A,FALSE,"Test 120 Day Accts";#N/A,#N/A,FALSE,"Tickmarks"}</definedName>
    <definedName name="wrn.Aging._.and._.Trend._.Analysis._1_5_1_3" localSheetId="6" hidden="1">{#N/A,#N/A,FALSE,"Aging Summary";#N/A,#N/A,FALSE,"Ratio Analysis";#N/A,#N/A,FALSE,"Test 120 Day Accts";#N/A,#N/A,FALSE,"Tickmarks"}</definedName>
    <definedName name="wrn.Aging._.and._.Trend._.Analysis._1_5_1_3" hidden="1">{#N/A,#N/A,FALSE,"Aging Summary";#N/A,#N/A,FALSE,"Ratio Analysis";#N/A,#N/A,FALSE,"Test 120 Day Accts";#N/A,#N/A,FALSE,"Tickmarks"}</definedName>
    <definedName name="wrn.Aging._.and._.Trend._.Analysis._1_5_1_4" localSheetId="0" hidden="1">{#N/A,#N/A,FALSE,"Aging Summary";#N/A,#N/A,FALSE,"Ratio Analysis";#N/A,#N/A,FALSE,"Test 120 Day Accts";#N/A,#N/A,FALSE,"Tickmarks"}</definedName>
    <definedName name="wrn.Aging._.and._.Trend._.Analysis._1_5_1_4" localSheetId="6" hidden="1">{#N/A,#N/A,FALSE,"Aging Summary";#N/A,#N/A,FALSE,"Ratio Analysis";#N/A,#N/A,FALSE,"Test 120 Day Accts";#N/A,#N/A,FALSE,"Tickmarks"}</definedName>
    <definedName name="wrn.Aging._.and._.Trend._.Analysis._1_5_1_4" hidden="1">{#N/A,#N/A,FALSE,"Aging Summary";#N/A,#N/A,FALSE,"Ratio Analysis";#N/A,#N/A,FALSE,"Test 120 Day Accts";#N/A,#N/A,FALSE,"Tickmarks"}</definedName>
    <definedName name="wrn.Aging._.and._.Trend._.Analysis._1_5_1_5" localSheetId="0" hidden="1">{#N/A,#N/A,FALSE,"Aging Summary";#N/A,#N/A,FALSE,"Ratio Analysis";#N/A,#N/A,FALSE,"Test 120 Day Accts";#N/A,#N/A,FALSE,"Tickmarks"}</definedName>
    <definedName name="wrn.Aging._.and._.Trend._.Analysis._1_5_1_5" localSheetId="6" hidden="1">{#N/A,#N/A,FALSE,"Aging Summary";#N/A,#N/A,FALSE,"Ratio Analysis";#N/A,#N/A,FALSE,"Test 120 Day Accts";#N/A,#N/A,FALSE,"Tickmarks"}</definedName>
    <definedName name="wrn.Aging._.and._.Trend._.Analysis._1_5_1_5" hidden="1">{#N/A,#N/A,FALSE,"Aging Summary";#N/A,#N/A,FALSE,"Ratio Analysis";#N/A,#N/A,FALSE,"Test 120 Day Accts";#N/A,#N/A,FALSE,"Tickmarks"}</definedName>
    <definedName name="wrn.Aging._.and._.Trend._.Analysis._1_5_2" localSheetId="0" hidden="1">{#N/A,#N/A,FALSE,"Aging Summary";#N/A,#N/A,FALSE,"Ratio Analysis";#N/A,#N/A,FALSE,"Test 120 Day Accts";#N/A,#N/A,FALSE,"Tickmarks"}</definedName>
    <definedName name="wrn.Aging._.and._.Trend._.Analysis._1_5_2" localSheetId="6" hidden="1">{#N/A,#N/A,FALSE,"Aging Summary";#N/A,#N/A,FALSE,"Ratio Analysis";#N/A,#N/A,FALSE,"Test 120 Day Accts";#N/A,#N/A,FALSE,"Tickmarks"}</definedName>
    <definedName name="wrn.Aging._.and._.Trend._.Analysis._1_5_2" hidden="1">{#N/A,#N/A,FALSE,"Aging Summary";#N/A,#N/A,FALSE,"Ratio Analysis";#N/A,#N/A,FALSE,"Test 120 Day Accts";#N/A,#N/A,FALSE,"Tickmarks"}</definedName>
    <definedName name="wrn.Aging._.and._.Trend._.Analysis._1_5_2_1" localSheetId="0" hidden="1">{#N/A,#N/A,FALSE,"Aging Summary";#N/A,#N/A,FALSE,"Ratio Analysis";#N/A,#N/A,FALSE,"Test 120 Day Accts";#N/A,#N/A,FALSE,"Tickmarks"}</definedName>
    <definedName name="wrn.Aging._.and._.Trend._.Analysis._1_5_2_1" localSheetId="6" hidden="1">{#N/A,#N/A,FALSE,"Aging Summary";#N/A,#N/A,FALSE,"Ratio Analysis";#N/A,#N/A,FALSE,"Test 120 Day Accts";#N/A,#N/A,FALSE,"Tickmarks"}</definedName>
    <definedName name="wrn.Aging._.and._.Trend._.Analysis._1_5_2_1" hidden="1">{#N/A,#N/A,FALSE,"Aging Summary";#N/A,#N/A,FALSE,"Ratio Analysis";#N/A,#N/A,FALSE,"Test 120 Day Accts";#N/A,#N/A,FALSE,"Tickmarks"}</definedName>
    <definedName name="wrn.Aging._.and._.Trend._.Analysis._1_5_2_2" localSheetId="0" hidden="1">{#N/A,#N/A,FALSE,"Aging Summary";#N/A,#N/A,FALSE,"Ratio Analysis";#N/A,#N/A,FALSE,"Test 120 Day Accts";#N/A,#N/A,FALSE,"Tickmarks"}</definedName>
    <definedName name="wrn.Aging._.and._.Trend._.Analysis._1_5_2_2" localSheetId="6" hidden="1">{#N/A,#N/A,FALSE,"Aging Summary";#N/A,#N/A,FALSE,"Ratio Analysis";#N/A,#N/A,FALSE,"Test 120 Day Accts";#N/A,#N/A,FALSE,"Tickmarks"}</definedName>
    <definedName name="wrn.Aging._.and._.Trend._.Analysis._1_5_2_2" hidden="1">{#N/A,#N/A,FALSE,"Aging Summary";#N/A,#N/A,FALSE,"Ratio Analysis";#N/A,#N/A,FALSE,"Test 120 Day Accts";#N/A,#N/A,FALSE,"Tickmarks"}</definedName>
    <definedName name="wrn.Aging._.and._.Trend._.Analysis._1_5_2_3" localSheetId="0" hidden="1">{#N/A,#N/A,FALSE,"Aging Summary";#N/A,#N/A,FALSE,"Ratio Analysis";#N/A,#N/A,FALSE,"Test 120 Day Accts";#N/A,#N/A,FALSE,"Tickmarks"}</definedName>
    <definedName name="wrn.Aging._.and._.Trend._.Analysis._1_5_2_3" localSheetId="6" hidden="1">{#N/A,#N/A,FALSE,"Aging Summary";#N/A,#N/A,FALSE,"Ratio Analysis";#N/A,#N/A,FALSE,"Test 120 Day Accts";#N/A,#N/A,FALSE,"Tickmarks"}</definedName>
    <definedName name="wrn.Aging._.and._.Trend._.Analysis._1_5_2_3" hidden="1">{#N/A,#N/A,FALSE,"Aging Summary";#N/A,#N/A,FALSE,"Ratio Analysis";#N/A,#N/A,FALSE,"Test 120 Day Accts";#N/A,#N/A,FALSE,"Tickmarks"}</definedName>
    <definedName name="wrn.Aging._.and._.Trend._.Analysis._1_5_2_4" localSheetId="0" hidden="1">{#N/A,#N/A,FALSE,"Aging Summary";#N/A,#N/A,FALSE,"Ratio Analysis";#N/A,#N/A,FALSE,"Test 120 Day Accts";#N/A,#N/A,FALSE,"Tickmarks"}</definedName>
    <definedName name="wrn.Aging._.and._.Trend._.Analysis._1_5_2_4" localSheetId="6" hidden="1">{#N/A,#N/A,FALSE,"Aging Summary";#N/A,#N/A,FALSE,"Ratio Analysis";#N/A,#N/A,FALSE,"Test 120 Day Accts";#N/A,#N/A,FALSE,"Tickmarks"}</definedName>
    <definedName name="wrn.Aging._.and._.Trend._.Analysis._1_5_2_4" hidden="1">{#N/A,#N/A,FALSE,"Aging Summary";#N/A,#N/A,FALSE,"Ratio Analysis";#N/A,#N/A,FALSE,"Test 120 Day Accts";#N/A,#N/A,FALSE,"Tickmarks"}</definedName>
    <definedName name="wrn.Aging._.and._.Trend._.Analysis._1_5_2_5" localSheetId="0" hidden="1">{#N/A,#N/A,FALSE,"Aging Summary";#N/A,#N/A,FALSE,"Ratio Analysis";#N/A,#N/A,FALSE,"Test 120 Day Accts";#N/A,#N/A,FALSE,"Tickmarks"}</definedName>
    <definedName name="wrn.Aging._.and._.Trend._.Analysis._1_5_2_5" localSheetId="6" hidden="1">{#N/A,#N/A,FALSE,"Aging Summary";#N/A,#N/A,FALSE,"Ratio Analysis";#N/A,#N/A,FALSE,"Test 120 Day Accts";#N/A,#N/A,FALSE,"Tickmarks"}</definedName>
    <definedName name="wrn.Aging._.and._.Trend._.Analysis._1_5_2_5" hidden="1">{#N/A,#N/A,FALSE,"Aging Summary";#N/A,#N/A,FALSE,"Ratio Analysis";#N/A,#N/A,FALSE,"Test 120 Day Accts";#N/A,#N/A,FALSE,"Tickmarks"}</definedName>
    <definedName name="wrn.Aging._.and._.Trend._.Analysis._1_5_3" localSheetId="0" hidden="1">{#N/A,#N/A,FALSE,"Aging Summary";#N/A,#N/A,FALSE,"Ratio Analysis";#N/A,#N/A,FALSE,"Test 120 Day Accts";#N/A,#N/A,FALSE,"Tickmarks"}</definedName>
    <definedName name="wrn.Aging._.and._.Trend._.Analysis._1_5_3" localSheetId="6" hidden="1">{#N/A,#N/A,FALSE,"Aging Summary";#N/A,#N/A,FALSE,"Ratio Analysis";#N/A,#N/A,FALSE,"Test 120 Day Accts";#N/A,#N/A,FALSE,"Tickmarks"}</definedName>
    <definedName name="wrn.Aging._.and._.Trend._.Analysis._1_5_3" hidden="1">{#N/A,#N/A,FALSE,"Aging Summary";#N/A,#N/A,FALSE,"Ratio Analysis";#N/A,#N/A,FALSE,"Test 120 Day Accts";#N/A,#N/A,FALSE,"Tickmarks"}</definedName>
    <definedName name="wrn.Aging._.and._.Trend._.Analysis._1_5_3_1" localSheetId="0" hidden="1">{#N/A,#N/A,FALSE,"Aging Summary";#N/A,#N/A,FALSE,"Ratio Analysis";#N/A,#N/A,FALSE,"Test 120 Day Accts";#N/A,#N/A,FALSE,"Tickmarks"}</definedName>
    <definedName name="wrn.Aging._.and._.Trend._.Analysis._1_5_3_1" localSheetId="6" hidden="1">{#N/A,#N/A,FALSE,"Aging Summary";#N/A,#N/A,FALSE,"Ratio Analysis";#N/A,#N/A,FALSE,"Test 120 Day Accts";#N/A,#N/A,FALSE,"Tickmarks"}</definedName>
    <definedName name="wrn.Aging._.and._.Trend._.Analysis._1_5_3_1" hidden="1">{#N/A,#N/A,FALSE,"Aging Summary";#N/A,#N/A,FALSE,"Ratio Analysis";#N/A,#N/A,FALSE,"Test 120 Day Accts";#N/A,#N/A,FALSE,"Tickmarks"}</definedName>
    <definedName name="wrn.Aging._.and._.Trend._.Analysis._1_5_3_2" localSheetId="0" hidden="1">{#N/A,#N/A,FALSE,"Aging Summary";#N/A,#N/A,FALSE,"Ratio Analysis";#N/A,#N/A,FALSE,"Test 120 Day Accts";#N/A,#N/A,FALSE,"Tickmarks"}</definedName>
    <definedName name="wrn.Aging._.and._.Trend._.Analysis._1_5_3_2" localSheetId="6" hidden="1">{#N/A,#N/A,FALSE,"Aging Summary";#N/A,#N/A,FALSE,"Ratio Analysis";#N/A,#N/A,FALSE,"Test 120 Day Accts";#N/A,#N/A,FALSE,"Tickmarks"}</definedName>
    <definedName name="wrn.Aging._.and._.Trend._.Analysis._1_5_3_2" hidden="1">{#N/A,#N/A,FALSE,"Aging Summary";#N/A,#N/A,FALSE,"Ratio Analysis";#N/A,#N/A,FALSE,"Test 120 Day Accts";#N/A,#N/A,FALSE,"Tickmarks"}</definedName>
    <definedName name="wrn.Aging._.and._.Trend._.Analysis._1_5_3_3" localSheetId="0" hidden="1">{#N/A,#N/A,FALSE,"Aging Summary";#N/A,#N/A,FALSE,"Ratio Analysis";#N/A,#N/A,FALSE,"Test 120 Day Accts";#N/A,#N/A,FALSE,"Tickmarks"}</definedName>
    <definedName name="wrn.Aging._.and._.Trend._.Analysis._1_5_3_3" localSheetId="6" hidden="1">{#N/A,#N/A,FALSE,"Aging Summary";#N/A,#N/A,FALSE,"Ratio Analysis";#N/A,#N/A,FALSE,"Test 120 Day Accts";#N/A,#N/A,FALSE,"Tickmarks"}</definedName>
    <definedName name="wrn.Aging._.and._.Trend._.Analysis._1_5_3_3" hidden="1">{#N/A,#N/A,FALSE,"Aging Summary";#N/A,#N/A,FALSE,"Ratio Analysis";#N/A,#N/A,FALSE,"Test 120 Day Accts";#N/A,#N/A,FALSE,"Tickmarks"}</definedName>
    <definedName name="wrn.Aging._.and._.Trend._.Analysis._1_5_3_4" localSheetId="0" hidden="1">{#N/A,#N/A,FALSE,"Aging Summary";#N/A,#N/A,FALSE,"Ratio Analysis";#N/A,#N/A,FALSE,"Test 120 Day Accts";#N/A,#N/A,FALSE,"Tickmarks"}</definedName>
    <definedName name="wrn.Aging._.and._.Trend._.Analysis._1_5_3_4" localSheetId="6" hidden="1">{#N/A,#N/A,FALSE,"Aging Summary";#N/A,#N/A,FALSE,"Ratio Analysis";#N/A,#N/A,FALSE,"Test 120 Day Accts";#N/A,#N/A,FALSE,"Tickmarks"}</definedName>
    <definedName name="wrn.Aging._.and._.Trend._.Analysis._1_5_3_4" hidden="1">{#N/A,#N/A,FALSE,"Aging Summary";#N/A,#N/A,FALSE,"Ratio Analysis";#N/A,#N/A,FALSE,"Test 120 Day Accts";#N/A,#N/A,FALSE,"Tickmarks"}</definedName>
    <definedName name="wrn.Aging._.and._.Trend._.Analysis._1_5_3_5" localSheetId="0" hidden="1">{#N/A,#N/A,FALSE,"Aging Summary";#N/A,#N/A,FALSE,"Ratio Analysis";#N/A,#N/A,FALSE,"Test 120 Day Accts";#N/A,#N/A,FALSE,"Tickmarks"}</definedName>
    <definedName name="wrn.Aging._.and._.Trend._.Analysis._1_5_3_5" localSheetId="6" hidden="1">{#N/A,#N/A,FALSE,"Aging Summary";#N/A,#N/A,FALSE,"Ratio Analysis";#N/A,#N/A,FALSE,"Test 120 Day Accts";#N/A,#N/A,FALSE,"Tickmarks"}</definedName>
    <definedName name="wrn.Aging._.and._.Trend._.Analysis._1_5_3_5" hidden="1">{#N/A,#N/A,FALSE,"Aging Summary";#N/A,#N/A,FALSE,"Ratio Analysis";#N/A,#N/A,FALSE,"Test 120 Day Accts";#N/A,#N/A,FALSE,"Tickmarks"}</definedName>
    <definedName name="wrn.Aging._.and._.Trend._.Analysis._1_5_4" localSheetId="0" hidden="1">{#N/A,#N/A,FALSE,"Aging Summary";#N/A,#N/A,FALSE,"Ratio Analysis";#N/A,#N/A,FALSE,"Test 120 Day Accts";#N/A,#N/A,FALSE,"Tickmarks"}</definedName>
    <definedName name="wrn.Aging._.and._.Trend._.Analysis._1_5_4" localSheetId="6" hidden="1">{#N/A,#N/A,FALSE,"Aging Summary";#N/A,#N/A,FALSE,"Ratio Analysis";#N/A,#N/A,FALSE,"Test 120 Day Accts";#N/A,#N/A,FALSE,"Tickmarks"}</definedName>
    <definedName name="wrn.Aging._.and._.Trend._.Analysis._1_5_4" hidden="1">{#N/A,#N/A,FALSE,"Aging Summary";#N/A,#N/A,FALSE,"Ratio Analysis";#N/A,#N/A,FALSE,"Test 120 Day Accts";#N/A,#N/A,FALSE,"Tickmarks"}</definedName>
    <definedName name="wrn.Aging._.and._.Trend._.Analysis._1_5_4_1" localSheetId="0" hidden="1">{#N/A,#N/A,FALSE,"Aging Summary";#N/A,#N/A,FALSE,"Ratio Analysis";#N/A,#N/A,FALSE,"Test 120 Day Accts";#N/A,#N/A,FALSE,"Tickmarks"}</definedName>
    <definedName name="wrn.Aging._.and._.Trend._.Analysis._1_5_4_1" localSheetId="6" hidden="1">{#N/A,#N/A,FALSE,"Aging Summary";#N/A,#N/A,FALSE,"Ratio Analysis";#N/A,#N/A,FALSE,"Test 120 Day Accts";#N/A,#N/A,FALSE,"Tickmarks"}</definedName>
    <definedName name="wrn.Aging._.and._.Trend._.Analysis._1_5_4_1" hidden="1">{#N/A,#N/A,FALSE,"Aging Summary";#N/A,#N/A,FALSE,"Ratio Analysis";#N/A,#N/A,FALSE,"Test 120 Day Accts";#N/A,#N/A,FALSE,"Tickmarks"}</definedName>
    <definedName name="wrn.Aging._.and._.Trend._.Analysis._1_5_4_2" localSheetId="0" hidden="1">{#N/A,#N/A,FALSE,"Aging Summary";#N/A,#N/A,FALSE,"Ratio Analysis";#N/A,#N/A,FALSE,"Test 120 Day Accts";#N/A,#N/A,FALSE,"Tickmarks"}</definedName>
    <definedName name="wrn.Aging._.and._.Trend._.Analysis._1_5_4_2" localSheetId="6" hidden="1">{#N/A,#N/A,FALSE,"Aging Summary";#N/A,#N/A,FALSE,"Ratio Analysis";#N/A,#N/A,FALSE,"Test 120 Day Accts";#N/A,#N/A,FALSE,"Tickmarks"}</definedName>
    <definedName name="wrn.Aging._.and._.Trend._.Analysis._1_5_4_2" hidden="1">{#N/A,#N/A,FALSE,"Aging Summary";#N/A,#N/A,FALSE,"Ratio Analysis";#N/A,#N/A,FALSE,"Test 120 Day Accts";#N/A,#N/A,FALSE,"Tickmarks"}</definedName>
    <definedName name="wrn.Aging._.and._.Trend._.Analysis._1_5_4_3" localSheetId="0" hidden="1">{#N/A,#N/A,FALSE,"Aging Summary";#N/A,#N/A,FALSE,"Ratio Analysis";#N/A,#N/A,FALSE,"Test 120 Day Accts";#N/A,#N/A,FALSE,"Tickmarks"}</definedName>
    <definedName name="wrn.Aging._.and._.Trend._.Analysis._1_5_4_3" localSheetId="6" hidden="1">{#N/A,#N/A,FALSE,"Aging Summary";#N/A,#N/A,FALSE,"Ratio Analysis";#N/A,#N/A,FALSE,"Test 120 Day Accts";#N/A,#N/A,FALSE,"Tickmarks"}</definedName>
    <definedName name="wrn.Aging._.and._.Trend._.Analysis._1_5_4_3" hidden="1">{#N/A,#N/A,FALSE,"Aging Summary";#N/A,#N/A,FALSE,"Ratio Analysis";#N/A,#N/A,FALSE,"Test 120 Day Accts";#N/A,#N/A,FALSE,"Tickmarks"}</definedName>
    <definedName name="wrn.Aging._.and._.Trend._.Analysis._1_5_4_4" localSheetId="0" hidden="1">{#N/A,#N/A,FALSE,"Aging Summary";#N/A,#N/A,FALSE,"Ratio Analysis";#N/A,#N/A,FALSE,"Test 120 Day Accts";#N/A,#N/A,FALSE,"Tickmarks"}</definedName>
    <definedName name="wrn.Aging._.and._.Trend._.Analysis._1_5_4_4" localSheetId="6" hidden="1">{#N/A,#N/A,FALSE,"Aging Summary";#N/A,#N/A,FALSE,"Ratio Analysis";#N/A,#N/A,FALSE,"Test 120 Day Accts";#N/A,#N/A,FALSE,"Tickmarks"}</definedName>
    <definedName name="wrn.Aging._.and._.Trend._.Analysis._1_5_4_4" hidden="1">{#N/A,#N/A,FALSE,"Aging Summary";#N/A,#N/A,FALSE,"Ratio Analysis";#N/A,#N/A,FALSE,"Test 120 Day Accts";#N/A,#N/A,FALSE,"Tickmarks"}</definedName>
    <definedName name="wrn.Aging._.and._.Trend._.Analysis._1_5_4_5" localSheetId="0" hidden="1">{#N/A,#N/A,FALSE,"Aging Summary";#N/A,#N/A,FALSE,"Ratio Analysis";#N/A,#N/A,FALSE,"Test 120 Day Accts";#N/A,#N/A,FALSE,"Tickmarks"}</definedName>
    <definedName name="wrn.Aging._.and._.Trend._.Analysis._1_5_4_5" localSheetId="6" hidden="1">{#N/A,#N/A,FALSE,"Aging Summary";#N/A,#N/A,FALSE,"Ratio Analysis";#N/A,#N/A,FALSE,"Test 120 Day Accts";#N/A,#N/A,FALSE,"Tickmarks"}</definedName>
    <definedName name="wrn.Aging._.and._.Trend._.Analysis._1_5_4_5" hidden="1">{#N/A,#N/A,FALSE,"Aging Summary";#N/A,#N/A,FALSE,"Ratio Analysis";#N/A,#N/A,FALSE,"Test 120 Day Accts";#N/A,#N/A,FALSE,"Tickmarks"}</definedName>
    <definedName name="wrn.Aging._.and._.Trend._.Analysis._1_5_5" localSheetId="0" hidden="1">{#N/A,#N/A,FALSE,"Aging Summary";#N/A,#N/A,FALSE,"Ratio Analysis";#N/A,#N/A,FALSE,"Test 120 Day Accts";#N/A,#N/A,FALSE,"Tickmarks"}</definedName>
    <definedName name="wrn.Aging._.and._.Trend._.Analysis._1_5_5" localSheetId="6" hidden="1">{#N/A,#N/A,FALSE,"Aging Summary";#N/A,#N/A,FALSE,"Ratio Analysis";#N/A,#N/A,FALSE,"Test 120 Day Accts";#N/A,#N/A,FALSE,"Tickmarks"}</definedName>
    <definedName name="wrn.Aging._.and._.Trend._.Analysis._1_5_5" hidden="1">{#N/A,#N/A,FALSE,"Aging Summary";#N/A,#N/A,FALSE,"Ratio Analysis";#N/A,#N/A,FALSE,"Test 120 Day Accts";#N/A,#N/A,FALSE,"Tickmarks"}</definedName>
    <definedName name="wrn.Aging._.and._.Trend._.Analysis._1_5_5_1" localSheetId="0" hidden="1">{#N/A,#N/A,FALSE,"Aging Summary";#N/A,#N/A,FALSE,"Ratio Analysis";#N/A,#N/A,FALSE,"Test 120 Day Accts";#N/A,#N/A,FALSE,"Tickmarks"}</definedName>
    <definedName name="wrn.Aging._.and._.Trend._.Analysis._1_5_5_1" localSheetId="6" hidden="1">{#N/A,#N/A,FALSE,"Aging Summary";#N/A,#N/A,FALSE,"Ratio Analysis";#N/A,#N/A,FALSE,"Test 120 Day Accts";#N/A,#N/A,FALSE,"Tickmarks"}</definedName>
    <definedName name="wrn.Aging._.and._.Trend._.Analysis._1_5_5_1" hidden="1">{#N/A,#N/A,FALSE,"Aging Summary";#N/A,#N/A,FALSE,"Ratio Analysis";#N/A,#N/A,FALSE,"Test 120 Day Accts";#N/A,#N/A,FALSE,"Tickmarks"}</definedName>
    <definedName name="wrn.Aging._.and._.Trend._.Analysis._1_5_5_2" localSheetId="0" hidden="1">{#N/A,#N/A,FALSE,"Aging Summary";#N/A,#N/A,FALSE,"Ratio Analysis";#N/A,#N/A,FALSE,"Test 120 Day Accts";#N/A,#N/A,FALSE,"Tickmarks"}</definedName>
    <definedName name="wrn.Aging._.and._.Trend._.Analysis._1_5_5_2" localSheetId="6" hidden="1">{#N/A,#N/A,FALSE,"Aging Summary";#N/A,#N/A,FALSE,"Ratio Analysis";#N/A,#N/A,FALSE,"Test 120 Day Accts";#N/A,#N/A,FALSE,"Tickmarks"}</definedName>
    <definedName name="wrn.Aging._.and._.Trend._.Analysis._1_5_5_2" hidden="1">{#N/A,#N/A,FALSE,"Aging Summary";#N/A,#N/A,FALSE,"Ratio Analysis";#N/A,#N/A,FALSE,"Test 120 Day Accts";#N/A,#N/A,FALSE,"Tickmarks"}</definedName>
    <definedName name="wrn.Aging._.and._.Trend._.Analysis._1_5_5_3" localSheetId="0" hidden="1">{#N/A,#N/A,FALSE,"Aging Summary";#N/A,#N/A,FALSE,"Ratio Analysis";#N/A,#N/A,FALSE,"Test 120 Day Accts";#N/A,#N/A,FALSE,"Tickmarks"}</definedName>
    <definedName name="wrn.Aging._.and._.Trend._.Analysis._1_5_5_3" localSheetId="6" hidden="1">{#N/A,#N/A,FALSE,"Aging Summary";#N/A,#N/A,FALSE,"Ratio Analysis";#N/A,#N/A,FALSE,"Test 120 Day Accts";#N/A,#N/A,FALSE,"Tickmarks"}</definedName>
    <definedName name="wrn.Aging._.and._.Trend._.Analysis._1_5_5_3" hidden="1">{#N/A,#N/A,FALSE,"Aging Summary";#N/A,#N/A,FALSE,"Ratio Analysis";#N/A,#N/A,FALSE,"Test 120 Day Accts";#N/A,#N/A,FALSE,"Tickmarks"}</definedName>
    <definedName name="wrn.Aging._.and._.Trend._.Analysis._1_5_5_4" localSheetId="0" hidden="1">{#N/A,#N/A,FALSE,"Aging Summary";#N/A,#N/A,FALSE,"Ratio Analysis";#N/A,#N/A,FALSE,"Test 120 Day Accts";#N/A,#N/A,FALSE,"Tickmarks"}</definedName>
    <definedName name="wrn.Aging._.and._.Trend._.Analysis._1_5_5_4" localSheetId="6" hidden="1">{#N/A,#N/A,FALSE,"Aging Summary";#N/A,#N/A,FALSE,"Ratio Analysis";#N/A,#N/A,FALSE,"Test 120 Day Accts";#N/A,#N/A,FALSE,"Tickmarks"}</definedName>
    <definedName name="wrn.Aging._.and._.Trend._.Analysis._1_5_5_4" hidden="1">{#N/A,#N/A,FALSE,"Aging Summary";#N/A,#N/A,FALSE,"Ratio Analysis";#N/A,#N/A,FALSE,"Test 120 Day Accts";#N/A,#N/A,FALSE,"Tickmarks"}</definedName>
    <definedName name="wrn.Aging._.and._.Trend._.Analysis._1_5_5_5" localSheetId="0" hidden="1">{#N/A,#N/A,FALSE,"Aging Summary";#N/A,#N/A,FALSE,"Ratio Analysis";#N/A,#N/A,FALSE,"Test 120 Day Accts";#N/A,#N/A,FALSE,"Tickmarks"}</definedName>
    <definedName name="wrn.Aging._.and._.Trend._.Analysis._1_5_5_5" localSheetId="6" hidden="1">{#N/A,#N/A,FALSE,"Aging Summary";#N/A,#N/A,FALSE,"Ratio Analysis";#N/A,#N/A,FALSE,"Test 120 Day Accts";#N/A,#N/A,FALSE,"Tickmarks"}</definedName>
    <definedName name="wrn.Aging._.and._.Trend._.Analysis._1_5_5_5"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6"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2_1" localSheetId="0" hidden="1">{#N/A,#N/A,FALSE,"Aging Summary";#N/A,#N/A,FALSE,"Ratio Analysis";#N/A,#N/A,FALSE,"Test 120 Day Accts";#N/A,#N/A,FALSE,"Tickmarks"}</definedName>
    <definedName name="wrn.Aging._.and._.Trend._.Analysis._2_1" localSheetId="6" hidden="1">{#N/A,#N/A,FALSE,"Aging Summary";#N/A,#N/A,FALSE,"Ratio Analysis";#N/A,#N/A,FALSE,"Test 120 Day Accts";#N/A,#N/A,FALSE,"Tickmarks"}</definedName>
    <definedName name="wrn.Aging._.and._.Trend._.Analysis._2_1" hidden="1">{#N/A,#N/A,FALSE,"Aging Summary";#N/A,#N/A,FALSE,"Ratio Analysis";#N/A,#N/A,FALSE,"Test 120 Day Accts";#N/A,#N/A,FALSE,"Tickmarks"}</definedName>
    <definedName name="wrn.Aging._.and._.Trend._.Analysis._2_1_1" localSheetId="0" hidden="1">{#N/A,#N/A,FALSE,"Aging Summary";#N/A,#N/A,FALSE,"Ratio Analysis";#N/A,#N/A,FALSE,"Test 120 Day Accts";#N/A,#N/A,FALSE,"Tickmarks"}</definedName>
    <definedName name="wrn.Aging._.and._.Trend._.Analysis._2_1_1" localSheetId="6" hidden="1">{#N/A,#N/A,FALSE,"Aging Summary";#N/A,#N/A,FALSE,"Ratio Analysis";#N/A,#N/A,FALSE,"Test 120 Day Accts";#N/A,#N/A,FALSE,"Tickmarks"}</definedName>
    <definedName name="wrn.Aging._.and._.Trend._.Analysis._2_1_1" hidden="1">{#N/A,#N/A,FALSE,"Aging Summary";#N/A,#N/A,FALSE,"Ratio Analysis";#N/A,#N/A,FALSE,"Test 120 Day Accts";#N/A,#N/A,FALSE,"Tickmarks"}</definedName>
    <definedName name="wrn.Aging._.and._.Trend._.Analysis._2_1_1_1" localSheetId="0" hidden="1">{#N/A,#N/A,FALSE,"Aging Summary";#N/A,#N/A,FALSE,"Ratio Analysis";#N/A,#N/A,FALSE,"Test 120 Day Accts";#N/A,#N/A,FALSE,"Tickmarks"}</definedName>
    <definedName name="wrn.Aging._.and._.Trend._.Analysis._2_1_1_1" localSheetId="6" hidden="1">{#N/A,#N/A,FALSE,"Aging Summary";#N/A,#N/A,FALSE,"Ratio Analysis";#N/A,#N/A,FALSE,"Test 120 Day Accts";#N/A,#N/A,FALSE,"Tickmarks"}</definedName>
    <definedName name="wrn.Aging._.and._.Trend._.Analysis._2_1_1_1" hidden="1">{#N/A,#N/A,FALSE,"Aging Summary";#N/A,#N/A,FALSE,"Ratio Analysis";#N/A,#N/A,FALSE,"Test 120 Day Accts";#N/A,#N/A,FALSE,"Tickmarks"}</definedName>
    <definedName name="wrn.Aging._.and._.Trend._.Analysis._2_1_1_2" localSheetId="0" hidden="1">{#N/A,#N/A,FALSE,"Aging Summary";#N/A,#N/A,FALSE,"Ratio Analysis";#N/A,#N/A,FALSE,"Test 120 Day Accts";#N/A,#N/A,FALSE,"Tickmarks"}</definedName>
    <definedName name="wrn.Aging._.and._.Trend._.Analysis._2_1_1_2" localSheetId="6" hidden="1">{#N/A,#N/A,FALSE,"Aging Summary";#N/A,#N/A,FALSE,"Ratio Analysis";#N/A,#N/A,FALSE,"Test 120 Day Accts";#N/A,#N/A,FALSE,"Tickmarks"}</definedName>
    <definedName name="wrn.Aging._.and._.Trend._.Analysis._2_1_1_2" hidden="1">{#N/A,#N/A,FALSE,"Aging Summary";#N/A,#N/A,FALSE,"Ratio Analysis";#N/A,#N/A,FALSE,"Test 120 Day Accts";#N/A,#N/A,FALSE,"Tickmarks"}</definedName>
    <definedName name="wrn.Aging._.and._.Trend._.Analysis._2_1_1_3" localSheetId="0" hidden="1">{#N/A,#N/A,FALSE,"Aging Summary";#N/A,#N/A,FALSE,"Ratio Analysis";#N/A,#N/A,FALSE,"Test 120 Day Accts";#N/A,#N/A,FALSE,"Tickmarks"}</definedName>
    <definedName name="wrn.Aging._.and._.Trend._.Analysis._2_1_1_3" localSheetId="6" hidden="1">{#N/A,#N/A,FALSE,"Aging Summary";#N/A,#N/A,FALSE,"Ratio Analysis";#N/A,#N/A,FALSE,"Test 120 Day Accts";#N/A,#N/A,FALSE,"Tickmarks"}</definedName>
    <definedName name="wrn.Aging._.and._.Trend._.Analysis._2_1_1_3" hidden="1">{#N/A,#N/A,FALSE,"Aging Summary";#N/A,#N/A,FALSE,"Ratio Analysis";#N/A,#N/A,FALSE,"Test 120 Day Accts";#N/A,#N/A,FALSE,"Tickmarks"}</definedName>
    <definedName name="wrn.Aging._.and._.Trend._.Analysis._2_1_1_4" localSheetId="0" hidden="1">{#N/A,#N/A,FALSE,"Aging Summary";#N/A,#N/A,FALSE,"Ratio Analysis";#N/A,#N/A,FALSE,"Test 120 Day Accts";#N/A,#N/A,FALSE,"Tickmarks"}</definedName>
    <definedName name="wrn.Aging._.and._.Trend._.Analysis._2_1_1_4" localSheetId="6" hidden="1">{#N/A,#N/A,FALSE,"Aging Summary";#N/A,#N/A,FALSE,"Ratio Analysis";#N/A,#N/A,FALSE,"Test 120 Day Accts";#N/A,#N/A,FALSE,"Tickmarks"}</definedName>
    <definedName name="wrn.Aging._.and._.Trend._.Analysis._2_1_1_4" hidden="1">{#N/A,#N/A,FALSE,"Aging Summary";#N/A,#N/A,FALSE,"Ratio Analysis";#N/A,#N/A,FALSE,"Test 120 Day Accts";#N/A,#N/A,FALSE,"Tickmarks"}</definedName>
    <definedName name="wrn.Aging._.and._.Trend._.Analysis._2_1_1_5" localSheetId="0" hidden="1">{#N/A,#N/A,FALSE,"Aging Summary";#N/A,#N/A,FALSE,"Ratio Analysis";#N/A,#N/A,FALSE,"Test 120 Day Accts";#N/A,#N/A,FALSE,"Tickmarks"}</definedName>
    <definedName name="wrn.Aging._.and._.Trend._.Analysis._2_1_1_5" localSheetId="6" hidden="1">{#N/A,#N/A,FALSE,"Aging Summary";#N/A,#N/A,FALSE,"Ratio Analysis";#N/A,#N/A,FALSE,"Test 120 Day Accts";#N/A,#N/A,FALSE,"Tickmarks"}</definedName>
    <definedName name="wrn.Aging._.and._.Trend._.Analysis._2_1_1_5" hidden="1">{#N/A,#N/A,FALSE,"Aging Summary";#N/A,#N/A,FALSE,"Ratio Analysis";#N/A,#N/A,FALSE,"Test 120 Day Accts";#N/A,#N/A,FALSE,"Tickmarks"}</definedName>
    <definedName name="wrn.Aging._.and._.Trend._.Analysis._2_1_2" localSheetId="0" hidden="1">{#N/A,#N/A,FALSE,"Aging Summary";#N/A,#N/A,FALSE,"Ratio Analysis";#N/A,#N/A,FALSE,"Test 120 Day Accts";#N/A,#N/A,FALSE,"Tickmarks"}</definedName>
    <definedName name="wrn.Aging._.and._.Trend._.Analysis._2_1_2" localSheetId="6" hidden="1">{#N/A,#N/A,FALSE,"Aging Summary";#N/A,#N/A,FALSE,"Ratio Analysis";#N/A,#N/A,FALSE,"Test 120 Day Accts";#N/A,#N/A,FALSE,"Tickmarks"}</definedName>
    <definedName name="wrn.Aging._.and._.Trend._.Analysis._2_1_2" hidden="1">{#N/A,#N/A,FALSE,"Aging Summary";#N/A,#N/A,FALSE,"Ratio Analysis";#N/A,#N/A,FALSE,"Test 120 Day Accts";#N/A,#N/A,FALSE,"Tickmarks"}</definedName>
    <definedName name="wrn.Aging._.and._.Trend._.Analysis._2_1_2_1" localSheetId="0" hidden="1">{#N/A,#N/A,FALSE,"Aging Summary";#N/A,#N/A,FALSE,"Ratio Analysis";#N/A,#N/A,FALSE,"Test 120 Day Accts";#N/A,#N/A,FALSE,"Tickmarks"}</definedName>
    <definedName name="wrn.Aging._.and._.Trend._.Analysis._2_1_2_1" localSheetId="6" hidden="1">{#N/A,#N/A,FALSE,"Aging Summary";#N/A,#N/A,FALSE,"Ratio Analysis";#N/A,#N/A,FALSE,"Test 120 Day Accts";#N/A,#N/A,FALSE,"Tickmarks"}</definedName>
    <definedName name="wrn.Aging._.and._.Trend._.Analysis._2_1_2_1" hidden="1">{#N/A,#N/A,FALSE,"Aging Summary";#N/A,#N/A,FALSE,"Ratio Analysis";#N/A,#N/A,FALSE,"Test 120 Day Accts";#N/A,#N/A,FALSE,"Tickmarks"}</definedName>
    <definedName name="wrn.Aging._.and._.Trend._.Analysis._2_1_2_2" localSheetId="0" hidden="1">{#N/A,#N/A,FALSE,"Aging Summary";#N/A,#N/A,FALSE,"Ratio Analysis";#N/A,#N/A,FALSE,"Test 120 Day Accts";#N/A,#N/A,FALSE,"Tickmarks"}</definedName>
    <definedName name="wrn.Aging._.and._.Trend._.Analysis._2_1_2_2" localSheetId="6" hidden="1">{#N/A,#N/A,FALSE,"Aging Summary";#N/A,#N/A,FALSE,"Ratio Analysis";#N/A,#N/A,FALSE,"Test 120 Day Accts";#N/A,#N/A,FALSE,"Tickmarks"}</definedName>
    <definedName name="wrn.Aging._.and._.Trend._.Analysis._2_1_2_2" hidden="1">{#N/A,#N/A,FALSE,"Aging Summary";#N/A,#N/A,FALSE,"Ratio Analysis";#N/A,#N/A,FALSE,"Test 120 Day Accts";#N/A,#N/A,FALSE,"Tickmarks"}</definedName>
    <definedName name="wrn.Aging._.and._.Trend._.Analysis._2_1_2_3" localSheetId="0" hidden="1">{#N/A,#N/A,FALSE,"Aging Summary";#N/A,#N/A,FALSE,"Ratio Analysis";#N/A,#N/A,FALSE,"Test 120 Day Accts";#N/A,#N/A,FALSE,"Tickmarks"}</definedName>
    <definedName name="wrn.Aging._.and._.Trend._.Analysis._2_1_2_3" localSheetId="6" hidden="1">{#N/A,#N/A,FALSE,"Aging Summary";#N/A,#N/A,FALSE,"Ratio Analysis";#N/A,#N/A,FALSE,"Test 120 Day Accts";#N/A,#N/A,FALSE,"Tickmarks"}</definedName>
    <definedName name="wrn.Aging._.and._.Trend._.Analysis._2_1_2_3" hidden="1">{#N/A,#N/A,FALSE,"Aging Summary";#N/A,#N/A,FALSE,"Ratio Analysis";#N/A,#N/A,FALSE,"Test 120 Day Accts";#N/A,#N/A,FALSE,"Tickmarks"}</definedName>
    <definedName name="wrn.Aging._.and._.Trend._.Analysis._2_1_2_4" localSheetId="0" hidden="1">{#N/A,#N/A,FALSE,"Aging Summary";#N/A,#N/A,FALSE,"Ratio Analysis";#N/A,#N/A,FALSE,"Test 120 Day Accts";#N/A,#N/A,FALSE,"Tickmarks"}</definedName>
    <definedName name="wrn.Aging._.and._.Trend._.Analysis._2_1_2_4" localSheetId="6" hidden="1">{#N/A,#N/A,FALSE,"Aging Summary";#N/A,#N/A,FALSE,"Ratio Analysis";#N/A,#N/A,FALSE,"Test 120 Day Accts";#N/A,#N/A,FALSE,"Tickmarks"}</definedName>
    <definedName name="wrn.Aging._.and._.Trend._.Analysis._2_1_2_4" hidden="1">{#N/A,#N/A,FALSE,"Aging Summary";#N/A,#N/A,FALSE,"Ratio Analysis";#N/A,#N/A,FALSE,"Test 120 Day Accts";#N/A,#N/A,FALSE,"Tickmarks"}</definedName>
    <definedName name="wrn.Aging._.and._.Trend._.Analysis._2_1_2_5" localSheetId="0" hidden="1">{#N/A,#N/A,FALSE,"Aging Summary";#N/A,#N/A,FALSE,"Ratio Analysis";#N/A,#N/A,FALSE,"Test 120 Day Accts";#N/A,#N/A,FALSE,"Tickmarks"}</definedName>
    <definedName name="wrn.Aging._.and._.Trend._.Analysis._2_1_2_5" localSheetId="6" hidden="1">{#N/A,#N/A,FALSE,"Aging Summary";#N/A,#N/A,FALSE,"Ratio Analysis";#N/A,#N/A,FALSE,"Test 120 Day Accts";#N/A,#N/A,FALSE,"Tickmarks"}</definedName>
    <definedName name="wrn.Aging._.and._.Trend._.Analysis._2_1_2_5" hidden="1">{#N/A,#N/A,FALSE,"Aging Summary";#N/A,#N/A,FALSE,"Ratio Analysis";#N/A,#N/A,FALSE,"Test 120 Day Accts";#N/A,#N/A,FALSE,"Tickmarks"}</definedName>
    <definedName name="wrn.Aging._.and._.Trend._.Analysis._2_1_3" localSheetId="0" hidden="1">{#N/A,#N/A,FALSE,"Aging Summary";#N/A,#N/A,FALSE,"Ratio Analysis";#N/A,#N/A,FALSE,"Test 120 Day Accts";#N/A,#N/A,FALSE,"Tickmarks"}</definedName>
    <definedName name="wrn.Aging._.and._.Trend._.Analysis._2_1_3" localSheetId="6" hidden="1">{#N/A,#N/A,FALSE,"Aging Summary";#N/A,#N/A,FALSE,"Ratio Analysis";#N/A,#N/A,FALSE,"Test 120 Day Accts";#N/A,#N/A,FALSE,"Tickmarks"}</definedName>
    <definedName name="wrn.Aging._.and._.Trend._.Analysis._2_1_3" hidden="1">{#N/A,#N/A,FALSE,"Aging Summary";#N/A,#N/A,FALSE,"Ratio Analysis";#N/A,#N/A,FALSE,"Test 120 Day Accts";#N/A,#N/A,FALSE,"Tickmarks"}</definedName>
    <definedName name="wrn.Aging._.and._.Trend._.Analysis._2_1_3_1" localSheetId="0" hidden="1">{#N/A,#N/A,FALSE,"Aging Summary";#N/A,#N/A,FALSE,"Ratio Analysis";#N/A,#N/A,FALSE,"Test 120 Day Accts";#N/A,#N/A,FALSE,"Tickmarks"}</definedName>
    <definedName name="wrn.Aging._.and._.Trend._.Analysis._2_1_3_1" localSheetId="6" hidden="1">{#N/A,#N/A,FALSE,"Aging Summary";#N/A,#N/A,FALSE,"Ratio Analysis";#N/A,#N/A,FALSE,"Test 120 Day Accts";#N/A,#N/A,FALSE,"Tickmarks"}</definedName>
    <definedName name="wrn.Aging._.and._.Trend._.Analysis._2_1_3_1" hidden="1">{#N/A,#N/A,FALSE,"Aging Summary";#N/A,#N/A,FALSE,"Ratio Analysis";#N/A,#N/A,FALSE,"Test 120 Day Accts";#N/A,#N/A,FALSE,"Tickmarks"}</definedName>
    <definedName name="wrn.Aging._.and._.Trend._.Analysis._2_1_3_2" localSheetId="0" hidden="1">{#N/A,#N/A,FALSE,"Aging Summary";#N/A,#N/A,FALSE,"Ratio Analysis";#N/A,#N/A,FALSE,"Test 120 Day Accts";#N/A,#N/A,FALSE,"Tickmarks"}</definedName>
    <definedName name="wrn.Aging._.and._.Trend._.Analysis._2_1_3_2" localSheetId="6" hidden="1">{#N/A,#N/A,FALSE,"Aging Summary";#N/A,#N/A,FALSE,"Ratio Analysis";#N/A,#N/A,FALSE,"Test 120 Day Accts";#N/A,#N/A,FALSE,"Tickmarks"}</definedName>
    <definedName name="wrn.Aging._.and._.Trend._.Analysis._2_1_3_2" hidden="1">{#N/A,#N/A,FALSE,"Aging Summary";#N/A,#N/A,FALSE,"Ratio Analysis";#N/A,#N/A,FALSE,"Test 120 Day Accts";#N/A,#N/A,FALSE,"Tickmarks"}</definedName>
    <definedName name="wrn.Aging._.and._.Trend._.Analysis._2_1_3_3" localSheetId="0" hidden="1">{#N/A,#N/A,FALSE,"Aging Summary";#N/A,#N/A,FALSE,"Ratio Analysis";#N/A,#N/A,FALSE,"Test 120 Day Accts";#N/A,#N/A,FALSE,"Tickmarks"}</definedName>
    <definedName name="wrn.Aging._.and._.Trend._.Analysis._2_1_3_3" localSheetId="6" hidden="1">{#N/A,#N/A,FALSE,"Aging Summary";#N/A,#N/A,FALSE,"Ratio Analysis";#N/A,#N/A,FALSE,"Test 120 Day Accts";#N/A,#N/A,FALSE,"Tickmarks"}</definedName>
    <definedName name="wrn.Aging._.and._.Trend._.Analysis._2_1_3_3" hidden="1">{#N/A,#N/A,FALSE,"Aging Summary";#N/A,#N/A,FALSE,"Ratio Analysis";#N/A,#N/A,FALSE,"Test 120 Day Accts";#N/A,#N/A,FALSE,"Tickmarks"}</definedName>
    <definedName name="wrn.Aging._.and._.Trend._.Analysis._2_1_3_4" localSheetId="0" hidden="1">{#N/A,#N/A,FALSE,"Aging Summary";#N/A,#N/A,FALSE,"Ratio Analysis";#N/A,#N/A,FALSE,"Test 120 Day Accts";#N/A,#N/A,FALSE,"Tickmarks"}</definedName>
    <definedName name="wrn.Aging._.and._.Trend._.Analysis._2_1_3_4" localSheetId="6" hidden="1">{#N/A,#N/A,FALSE,"Aging Summary";#N/A,#N/A,FALSE,"Ratio Analysis";#N/A,#N/A,FALSE,"Test 120 Day Accts";#N/A,#N/A,FALSE,"Tickmarks"}</definedName>
    <definedName name="wrn.Aging._.and._.Trend._.Analysis._2_1_3_4" hidden="1">{#N/A,#N/A,FALSE,"Aging Summary";#N/A,#N/A,FALSE,"Ratio Analysis";#N/A,#N/A,FALSE,"Test 120 Day Accts";#N/A,#N/A,FALSE,"Tickmarks"}</definedName>
    <definedName name="wrn.Aging._.and._.Trend._.Analysis._2_1_3_5" localSheetId="0" hidden="1">{#N/A,#N/A,FALSE,"Aging Summary";#N/A,#N/A,FALSE,"Ratio Analysis";#N/A,#N/A,FALSE,"Test 120 Day Accts";#N/A,#N/A,FALSE,"Tickmarks"}</definedName>
    <definedName name="wrn.Aging._.and._.Trend._.Analysis._2_1_3_5" localSheetId="6" hidden="1">{#N/A,#N/A,FALSE,"Aging Summary";#N/A,#N/A,FALSE,"Ratio Analysis";#N/A,#N/A,FALSE,"Test 120 Day Accts";#N/A,#N/A,FALSE,"Tickmarks"}</definedName>
    <definedName name="wrn.Aging._.and._.Trend._.Analysis._2_1_3_5" hidden="1">{#N/A,#N/A,FALSE,"Aging Summary";#N/A,#N/A,FALSE,"Ratio Analysis";#N/A,#N/A,FALSE,"Test 120 Day Accts";#N/A,#N/A,FALSE,"Tickmarks"}</definedName>
    <definedName name="wrn.Aging._.and._.Trend._.Analysis._2_1_4" localSheetId="0" hidden="1">{#N/A,#N/A,FALSE,"Aging Summary";#N/A,#N/A,FALSE,"Ratio Analysis";#N/A,#N/A,FALSE,"Test 120 Day Accts";#N/A,#N/A,FALSE,"Tickmarks"}</definedName>
    <definedName name="wrn.Aging._.and._.Trend._.Analysis._2_1_4" localSheetId="6" hidden="1">{#N/A,#N/A,FALSE,"Aging Summary";#N/A,#N/A,FALSE,"Ratio Analysis";#N/A,#N/A,FALSE,"Test 120 Day Accts";#N/A,#N/A,FALSE,"Tickmarks"}</definedName>
    <definedName name="wrn.Aging._.and._.Trend._.Analysis._2_1_4" hidden="1">{#N/A,#N/A,FALSE,"Aging Summary";#N/A,#N/A,FALSE,"Ratio Analysis";#N/A,#N/A,FALSE,"Test 120 Day Accts";#N/A,#N/A,FALSE,"Tickmarks"}</definedName>
    <definedName name="wrn.Aging._.and._.Trend._.Analysis._2_1_4_1" localSheetId="0" hidden="1">{#N/A,#N/A,FALSE,"Aging Summary";#N/A,#N/A,FALSE,"Ratio Analysis";#N/A,#N/A,FALSE,"Test 120 Day Accts";#N/A,#N/A,FALSE,"Tickmarks"}</definedName>
    <definedName name="wrn.Aging._.and._.Trend._.Analysis._2_1_4_1" localSheetId="6" hidden="1">{#N/A,#N/A,FALSE,"Aging Summary";#N/A,#N/A,FALSE,"Ratio Analysis";#N/A,#N/A,FALSE,"Test 120 Day Accts";#N/A,#N/A,FALSE,"Tickmarks"}</definedName>
    <definedName name="wrn.Aging._.and._.Trend._.Analysis._2_1_4_1" hidden="1">{#N/A,#N/A,FALSE,"Aging Summary";#N/A,#N/A,FALSE,"Ratio Analysis";#N/A,#N/A,FALSE,"Test 120 Day Accts";#N/A,#N/A,FALSE,"Tickmarks"}</definedName>
    <definedName name="wrn.Aging._.and._.Trend._.Analysis._2_1_4_2" localSheetId="0" hidden="1">{#N/A,#N/A,FALSE,"Aging Summary";#N/A,#N/A,FALSE,"Ratio Analysis";#N/A,#N/A,FALSE,"Test 120 Day Accts";#N/A,#N/A,FALSE,"Tickmarks"}</definedName>
    <definedName name="wrn.Aging._.and._.Trend._.Analysis._2_1_4_2" localSheetId="6" hidden="1">{#N/A,#N/A,FALSE,"Aging Summary";#N/A,#N/A,FALSE,"Ratio Analysis";#N/A,#N/A,FALSE,"Test 120 Day Accts";#N/A,#N/A,FALSE,"Tickmarks"}</definedName>
    <definedName name="wrn.Aging._.and._.Trend._.Analysis._2_1_4_2" hidden="1">{#N/A,#N/A,FALSE,"Aging Summary";#N/A,#N/A,FALSE,"Ratio Analysis";#N/A,#N/A,FALSE,"Test 120 Day Accts";#N/A,#N/A,FALSE,"Tickmarks"}</definedName>
    <definedName name="wrn.Aging._.and._.Trend._.Analysis._2_1_4_3" localSheetId="0" hidden="1">{#N/A,#N/A,FALSE,"Aging Summary";#N/A,#N/A,FALSE,"Ratio Analysis";#N/A,#N/A,FALSE,"Test 120 Day Accts";#N/A,#N/A,FALSE,"Tickmarks"}</definedName>
    <definedName name="wrn.Aging._.and._.Trend._.Analysis._2_1_4_3" localSheetId="6" hidden="1">{#N/A,#N/A,FALSE,"Aging Summary";#N/A,#N/A,FALSE,"Ratio Analysis";#N/A,#N/A,FALSE,"Test 120 Day Accts";#N/A,#N/A,FALSE,"Tickmarks"}</definedName>
    <definedName name="wrn.Aging._.and._.Trend._.Analysis._2_1_4_3" hidden="1">{#N/A,#N/A,FALSE,"Aging Summary";#N/A,#N/A,FALSE,"Ratio Analysis";#N/A,#N/A,FALSE,"Test 120 Day Accts";#N/A,#N/A,FALSE,"Tickmarks"}</definedName>
    <definedName name="wrn.Aging._.and._.Trend._.Analysis._2_1_4_4" localSheetId="0" hidden="1">{#N/A,#N/A,FALSE,"Aging Summary";#N/A,#N/A,FALSE,"Ratio Analysis";#N/A,#N/A,FALSE,"Test 120 Day Accts";#N/A,#N/A,FALSE,"Tickmarks"}</definedName>
    <definedName name="wrn.Aging._.and._.Trend._.Analysis._2_1_4_4" localSheetId="6" hidden="1">{#N/A,#N/A,FALSE,"Aging Summary";#N/A,#N/A,FALSE,"Ratio Analysis";#N/A,#N/A,FALSE,"Test 120 Day Accts";#N/A,#N/A,FALSE,"Tickmarks"}</definedName>
    <definedName name="wrn.Aging._.and._.Trend._.Analysis._2_1_4_4" hidden="1">{#N/A,#N/A,FALSE,"Aging Summary";#N/A,#N/A,FALSE,"Ratio Analysis";#N/A,#N/A,FALSE,"Test 120 Day Accts";#N/A,#N/A,FALSE,"Tickmarks"}</definedName>
    <definedName name="wrn.Aging._.and._.Trend._.Analysis._2_1_4_5" localSheetId="0" hidden="1">{#N/A,#N/A,FALSE,"Aging Summary";#N/A,#N/A,FALSE,"Ratio Analysis";#N/A,#N/A,FALSE,"Test 120 Day Accts";#N/A,#N/A,FALSE,"Tickmarks"}</definedName>
    <definedName name="wrn.Aging._.and._.Trend._.Analysis._2_1_4_5" localSheetId="6" hidden="1">{#N/A,#N/A,FALSE,"Aging Summary";#N/A,#N/A,FALSE,"Ratio Analysis";#N/A,#N/A,FALSE,"Test 120 Day Accts";#N/A,#N/A,FALSE,"Tickmarks"}</definedName>
    <definedName name="wrn.Aging._.and._.Trend._.Analysis._2_1_4_5" hidden="1">{#N/A,#N/A,FALSE,"Aging Summary";#N/A,#N/A,FALSE,"Ratio Analysis";#N/A,#N/A,FALSE,"Test 120 Day Accts";#N/A,#N/A,FALSE,"Tickmarks"}</definedName>
    <definedName name="wrn.Aging._.and._.Trend._.Analysis._2_1_5" localSheetId="0" hidden="1">{#N/A,#N/A,FALSE,"Aging Summary";#N/A,#N/A,FALSE,"Ratio Analysis";#N/A,#N/A,FALSE,"Test 120 Day Accts";#N/A,#N/A,FALSE,"Tickmarks"}</definedName>
    <definedName name="wrn.Aging._.and._.Trend._.Analysis._2_1_5" localSheetId="6" hidden="1">{#N/A,#N/A,FALSE,"Aging Summary";#N/A,#N/A,FALSE,"Ratio Analysis";#N/A,#N/A,FALSE,"Test 120 Day Accts";#N/A,#N/A,FALSE,"Tickmarks"}</definedName>
    <definedName name="wrn.Aging._.and._.Trend._.Analysis._2_1_5" hidden="1">{#N/A,#N/A,FALSE,"Aging Summary";#N/A,#N/A,FALSE,"Ratio Analysis";#N/A,#N/A,FALSE,"Test 120 Day Accts";#N/A,#N/A,FALSE,"Tickmarks"}</definedName>
    <definedName name="wrn.Aging._.and._.Trend._.Analysis._2_1_5_1" localSheetId="0" hidden="1">{#N/A,#N/A,FALSE,"Aging Summary";#N/A,#N/A,FALSE,"Ratio Analysis";#N/A,#N/A,FALSE,"Test 120 Day Accts";#N/A,#N/A,FALSE,"Tickmarks"}</definedName>
    <definedName name="wrn.Aging._.and._.Trend._.Analysis._2_1_5_1" localSheetId="6" hidden="1">{#N/A,#N/A,FALSE,"Aging Summary";#N/A,#N/A,FALSE,"Ratio Analysis";#N/A,#N/A,FALSE,"Test 120 Day Accts";#N/A,#N/A,FALSE,"Tickmarks"}</definedName>
    <definedName name="wrn.Aging._.and._.Trend._.Analysis._2_1_5_1" hidden="1">{#N/A,#N/A,FALSE,"Aging Summary";#N/A,#N/A,FALSE,"Ratio Analysis";#N/A,#N/A,FALSE,"Test 120 Day Accts";#N/A,#N/A,FALSE,"Tickmarks"}</definedName>
    <definedName name="wrn.Aging._.and._.Trend._.Analysis._2_1_5_2" localSheetId="0" hidden="1">{#N/A,#N/A,FALSE,"Aging Summary";#N/A,#N/A,FALSE,"Ratio Analysis";#N/A,#N/A,FALSE,"Test 120 Day Accts";#N/A,#N/A,FALSE,"Tickmarks"}</definedName>
    <definedName name="wrn.Aging._.and._.Trend._.Analysis._2_1_5_2" localSheetId="6" hidden="1">{#N/A,#N/A,FALSE,"Aging Summary";#N/A,#N/A,FALSE,"Ratio Analysis";#N/A,#N/A,FALSE,"Test 120 Day Accts";#N/A,#N/A,FALSE,"Tickmarks"}</definedName>
    <definedName name="wrn.Aging._.and._.Trend._.Analysis._2_1_5_2" hidden="1">{#N/A,#N/A,FALSE,"Aging Summary";#N/A,#N/A,FALSE,"Ratio Analysis";#N/A,#N/A,FALSE,"Test 120 Day Accts";#N/A,#N/A,FALSE,"Tickmarks"}</definedName>
    <definedName name="wrn.Aging._.and._.Trend._.Analysis._2_1_5_3" localSheetId="0" hidden="1">{#N/A,#N/A,FALSE,"Aging Summary";#N/A,#N/A,FALSE,"Ratio Analysis";#N/A,#N/A,FALSE,"Test 120 Day Accts";#N/A,#N/A,FALSE,"Tickmarks"}</definedName>
    <definedName name="wrn.Aging._.and._.Trend._.Analysis._2_1_5_3" localSheetId="6" hidden="1">{#N/A,#N/A,FALSE,"Aging Summary";#N/A,#N/A,FALSE,"Ratio Analysis";#N/A,#N/A,FALSE,"Test 120 Day Accts";#N/A,#N/A,FALSE,"Tickmarks"}</definedName>
    <definedName name="wrn.Aging._.and._.Trend._.Analysis._2_1_5_3" hidden="1">{#N/A,#N/A,FALSE,"Aging Summary";#N/A,#N/A,FALSE,"Ratio Analysis";#N/A,#N/A,FALSE,"Test 120 Day Accts";#N/A,#N/A,FALSE,"Tickmarks"}</definedName>
    <definedName name="wrn.Aging._.and._.Trend._.Analysis._2_1_5_4" localSheetId="0" hidden="1">{#N/A,#N/A,FALSE,"Aging Summary";#N/A,#N/A,FALSE,"Ratio Analysis";#N/A,#N/A,FALSE,"Test 120 Day Accts";#N/A,#N/A,FALSE,"Tickmarks"}</definedName>
    <definedName name="wrn.Aging._.and._.Trend._.Analysis._2_1_5_4" localSheetId="6" hidden="1">{#N/A,#N/A,FALSE,"Aging Summary";#N/A,#N/A,FALSE,"Ratio Analysis";#N/A,#N/A,FALSE,"Test 120 Day Accts";#N/A,#N/A,FALSE,"Tickmarks"}</definedName>
    <definedName name="wrn.Aging._.and._.Trend._.Analysis._2_1_5_4" hidden="1">{#N/A,#N/A,FALSE,"Aging Summary";#N/A,#N/A,FALSE,"Ratio Analysis";#N/A,#N/A,FALSE,"Test 120 Day Accts";#N/A,#N/A,FALSE,"Tickmarks"}</definedName>
    <definedName name="wrn.Aging._.and._.Trend._.Analysis._2_1_5_5" localSheetId="0" hidden="1">{#N/A,#N/A,FALSE,"Aging Summary";#N/A,#N/A,FALSE,"Ratio Analysis";#N/A,#N/A,FALSE,"Test 120 Day Accts";#N/A,#N/A,FALSE,"Tickmarks"}</definedName>
    <definedName name="wrn.Aging._.and._.Trend._.Analysis._2_1_5_5" localSheetId="6" hidden="1">{#N/A,#N/A,FALSE,"Aging Summary";#N/A,#N/A,FALSE,"Ratio Analysis";#N/A,#N/A,FALSE,"Test 120 Day Accts";#N/A,#N/A,FALSE,"Tickmarks"}</definedName>
    <definedName name="wrn.Aging._.and._.Trend._.Analysis._2_1_5_5" hidden="1">{#N/A,#N/A,FALSE,"Aging Summary";#N/A,#N/A,FALSE,"Ratio Analysis";#N/A,#N/A,FALSE,"Test 120 Day Accts";#N/A,#N/A,FALSE,"Tickmarks"}</definedName>
    <definedName name="wrn.Aging._.and._.Trend._.Analysis._2_2" localSheetId="0" hidden="1">{#N/A,#N/A,FALSE,"Aging Summary";#N/A,#N/A,FALSE,"Ratio Analysis";#N/A,#N/A,FALSE,"Test 120 Day Accts";#N/A,#N/A,FALSE,"Tickmarks"}</definedName>
    <definedName name="wrn.Aging._.and._.Trend._.Analysis._2_2" localSheetId="6" hidden="1">{#N/A,#N/A,FALSE,"Aging Summary";#N/A,#N/A,FALSE,"Ratio Analysis";#N/A,#N/A,FALSE,"Test 120 Day Accts";#N/A,#N/A,FALSE,"Tickmarks"}</definedName>
    <definedName name="wrn.Aging._.and._.Trend._.Analysis._2_2" hidden="1">{#N/A,#N/A,FALSE,"Aging Summary";#N/A,#N/A,FALSE,"Ratio Analysis";#N/A,#N/A,FALSE,"Test 120 Day Accts";#N/A,#N/A,FALSE,"Tickmarks"}</definedName>
    <definedName name="wrn.Aging._.and._.Trend._.Analysis._2_2_1" localSheetId="0" hidden="1">{#N/A,#N/A,FALSE,"Aging Summary";#N/A,#N/A,FALSE,"Ratio Analysis";#N/A,#N/A,FALSE,"Test 120 Day Accts";#N/A,#N/A,FALSE,"Tickmarks"}</definedName>
    <definedName name="wrn.Aging._.and._.Trend._.Analysis._2_2_1" localSheetId="6" hidden="1">{#N/A,#N/A,FALSE,"Aging Summary";#N/A,#N/A,FALSE,"Ratio Analysis";#N/A,#N/A,FALSE,"Test 120 Day Accts";#N/A,#N/A,FALSE,"Tickmarks"}</definedName>
    <definedName name="wrn.Aging._.and._.Trend._.Analysis._2_2_1" hidden="1">{#N/A,#N/A,FALSE,"Aging Summary";#N/A,#N/A,FALSE,"Ratio Analysis";#N/A,#N/A,FALSE,"Test 120 Day Accts";#N/A,#N/A,FALSE,"Tickmarks"}</definedName>
    <definedName name="wrn.Aging._.and._.Trend._.Analysis._2_2_1_1" localSheetId="0" hidden="1">{#N/A,#N/A,FALSE,"Aging Summary";#N/A,#N/A,FALSE,"Ratio Analysis";#N/A,#N/A,FALSE,"Test 120 Day Accts";#N/A,#N/A,FALSE,"Tickmarks"}</definedName>
    <definedName name="wrn.Aging._.and._.Trend._.Analysis._2_2_1_1" localSheetId="6" hidden="1">{#N/A,#N/A,FALSE,"Aging Summary";#N/A,#N/A,FALSE,"Ratio Analysis";#N/A,#N/A,FALSE,"Test 120 Day Accts";#N/A,#N/A,FALSE,"Tickmarks"}</definedName>
    <definedName name="wrn.Aging._.and._.Trend._.Analysis._2_2_1_1" hidden="1">{#N/A,#N/A,FALSE,"Aging Summary";#N/A,#N/A,FALSE,"Ratio Analysis";#N/A,#N/A,FALSE,"Test 120 Day Accts";#N/A,#N/A,FALSE,"Tickmarks"}</definedName>
    <definedName name="wrn.Aging._.and._.Trend._.Analysis._2_2_1_2" localSheetId="0" hidden="1">{#N/A,#N/A,FALSE,"Aging Summary";#N/A,#N/A,FALSE,"Ratio Analysis";#N/A,#N/A,FALSE,"Test 120 Day Accts";#N/A,#N/A,FALSE,"Tickmarks"}</definedName>
    <definedName name="wrn.Aging._.and._.Trend._.Analysis._2_2_1_2" localSheetId="6" hidden="1">{#N/A,#N/A,FALSE,"Aging Summary";#N/A,#N/A,FALSE,"Ratio Analysis";#N/A,#N/A,FALSE,"Test 120 Day Accts";#N/A,#N/A,FALSE,"Tickmarks"}</definedName>
    <definedName name="wrn.Aging._.and._.Trend._.Analysis._2_2_1_2" hidden="1">{#N/A,#N/A,FALSE,"Aging Summary";#N/A,#N/A,FALSE,"Ratio Analysis";#N/A,#N/A,FALSE,"Test 120 Day Accts";#N/A,#N/A,FALSE,"Tickmarks"}</definedName>
    <definedName name="wrn.Aging._.and._.Trend._.Analysis._2_2_1_3" localSheetId="0" hidden="1">{#N/A,#N/A,FALSE,"Aging Summary";#N/A,#N/A,FALSE,"Ratio Analysis";#N/A,#N/A,FALSE,"Test 120 Day Accts";#N/A,#N/A,FALSE,"Tickmarks"}</definedName>
    <definedName name="wrn.Aging._.and._.Trend._.Analysis._2_2_1_3" localSheetId="6" hidden="1">{#N/A,#N/A,FALSE,"Aging Summary";#N/A,#N/A,FALSE,"Ratio Analysis";#N/A,#N/A,FALSE,"Test 120 Day Accts";#N/A,#N/A,FALSE,"Tickmarks"}</definedName>
    <definedName name="wrn.Aging._.and._.Trend._.Analysis._2_2_1_3" hidden="1">{#N/A,#N/A,FALSE,"Aging Summary";#N/A,#N/A,FALSE,"Ratio Analysis";#N/A,#N/A,FALSE,"Test 120 Day Accts";#N/A,#N/A,FALSE,"Tickmarks"}</definedName>
    <definedName name="wrn.Aging._.and._.Trend._.Analysis._2_2_1_4" localSheetId="0" hidden="1">{#N/A,#N/A,FALSE,"Aging Summary";#N/A,#N/A,FALSE,"Ratio Analysis";#N/A,#N/A,FALSE,"Test 120 Day Accts";#N/A,#N/A,FALSE,"Tickmarks"}</definedName>
    <definedName name="wrn.Aging._.and._.Trend._.Analysis._2_2_1_4" localSheetId="6" hidden="1">{#N/A,#N/A,FALSE,"Aging Summary";#N/A,#N/A,FALSE,"Ratio Analysis";#N/A,#N/A,FALSE,"Test 120 Day Accts";#N/A,#N/A,FALSE,"Tickmarks"}</definedName>
    <definedName name="wrn.Aging._.and._.Trend._.Analysis._2_2_1_4" hidden="1">{#N/A,#N/A,FALSE,"Aging Summary";#N/A,#N/A,FALSE,"Ratio Analysis";#N/A,#N/A,FALSE,"Test 120 Day Accts";#N/A,#N/A,FALSE,"Tickmarks"}</definedName>
    <definedName name="wrn.Aging._.and._.Trend._.Analysis._2_2_1_5" localSheetId="0" hidden="1">{#N/A,#N/A,FALSE,"Aging Summary";#N/A,#N/A,FALSE,"Ratio Analysis";#N/A,#N/A,FALSE,"Test 120 Day Accts";#N/A,#N/A,FALSE,"Tickmarks"}</definedName>
    <definedName name="wrn.Aging._.and._.Trend._.Analysis._2_2_1_5" localSheetId="6" hidden="1">{#N/A,#N/A,FALSE,"Aging Summary";#N/A,#N/A,FALSE,"Ratio Analysis";#N/A,#N/A,FALSE,"Test 120 Day Accts";#N/A,#N/A,FALSE,"Tickmarks"}</definedName>
    <definedName name="wrn.Aging._.and._.Trend._.Analysis._2_2_1_5" hidden="1">{#N/A,#N/A,FALSE,"Aging Summary";#N/A,#N/A,FALSE,"Ratio Analysis";#N/A,#N/A,FALSE,"Test 120 Day Accts";#N/A,#N/A,FALSE,"Tickmarks"}</definedName>
    <definedName name="wrn.Aging._.and._.Trend._.Analysis._2_2_2" localSheetId="0" hidden="1">{#N/A,#N/A,FALSE,"Aging Summary";#N/A,#N/A,FALSE,"Ratio Analysis";#N/A,#N/A,FALSE,"Test 120 Day Accts";#N/A,#N/A,FALSE,"Tickmarks"}</definedName>
    <definedName name="wrn.Aging._.and._.Trend._.Analysis._2_2_2" localSheetId="6" hidden="1">{#N/A,#N/A,FALSE,"Aging Summary";#N/A,#N/A,FALSE,"Ratio Analysis";#N/A,#N/A,FALSE,"Test 120 Day Accts";#N/A,#N/A,FALSE,"Tickmarks"}</definedName>
    <definedName name="wrn.Aging._.and._.Trend._.Analysis._2_2_2" hidden="1">{#N/A,#N/A,FALSE,"Aging Summary";#N/A,#N/A,FALSE,"Ratio Analysis";#N/A,#N/A,FALSE,"Test 120 Day Accts";#N/A,#N/A,FALSE,"Tickmarks"}</definedName>
    <definedName name="wrn.Aging._.and._.Trend._.Analysis._2_2_2_1" localSheetId="0" hidden="1">{#N/A,#N/A,FALSE,"Aging Summary";#N/A,#N/A,FALSE,"Ratio Analysis";#N/A,#N/A,FALSE,"Test 120 Day Accts";#N/A,#N/A,FALSE,"Tickmarks"}</definedName>
    <definedName name="wrn.Aging._.and._.Trend._.Analysis._2_2_2_1" localSheetId="6" hidden="1">{#N/A,#N/A,FALSE,"Aging Summary";#N/A,#N/A,FALSE,"Ratio Analysis";#N/A,#N/A,FALSE,"Test 120 Day Accts";#N/A,#N/A,FALSE,"Tickmarks"}</definedName>
    <definedName name="wrn.Aging._.and._.Trend._.Analysis._2_2_2_1" hidden="1">{#N/A,#N/A,FALSE,"Aging Summary";#N/A,#N/A,FALSE,"Ratio Analysis";#N/A,#N/A,FALSE,"Test 120 Day Accts";#N/A,#N/A,FALSE,"Tickmarks"}</definedName>
    <definedName name="wrn.Aging._.and._.Trend._.Analysis._2_2_2_2" localSheetId="0" hidden="1">{#N/A,#N/A,FALSE,"Aging Summary";#N/A,#N/A,FALSE,"Ratio Analysis";#N/A,#N/A,FALSE,"Test 120 Day Accts";#N/A,#N/A,FALSE,"Tickmarks"}</definedName>
    <definedName name="wrn.Aging._.and._.Trend._.Analysis._2_2_2_2" localSheetId="6" hidden="1">{#N/A,#N/A,FALSE,"Aging Summary";#N/A,#N/A,FALSE,"Ratio Analysis";#N/A,#N/A,FALSE,"Test 120 Day Accts";#N/A,#N/A,FALSE,"Tickmarks"}</definedName>
    <definedName name="wrn.Aging._.and._.Trend._.Analysis._2_2_2_2" hidden="1">{#N/A,#N/A,FALSE,"Aging Summary";#N/A,#N/A,FALSE,"Ratio Analysis";#N/A,#N/A,FALSE,"Test 120 Day Accts";#N/A,#N/A,FALSE,"Tickmarks"}</definedName>
    <definedName name="wrn.Aging._.and._.Trend._.Analysis._2_2_2_3" localSheetId="0" hidden="1">{#N/A,#N/A,FALSE,"Aging Summary";#N/A,#N/A,FALSE,"Ratio Analysis";#N/A,#N/A,FALSE,"Test 120 Day Accts";#N/A,#N/A,FALSE,"Tickmarks"}</definedName>
    <definedName name="wrn.Aging._.and._.Trend._.Analysis._2_2_2_3" localSheetId="6" hidden="1">{#N/A,#N/A,FALSE,"Aging Summary";#N/A,#N/A,FALSE,"Ratio Analysis";#N/A,#N/A,FALSE,"Test 120 Day Accts";#N/A,#N/A,FALSE,"Tickmarks"}</definedName>
    <definedName name="wrn.Aging._.and._.Trend._.Analysis._2_2_2_3" hidden="1">{#N/A,#N/A,FALSE,"Aging Summary";#N/A,#N/A,FALSE,"Ratio Analysis";#N/A,#N/A,FALSE,"Test 120 Day Accts";#N/A,#N/A,FALSE,"Tickmarks"}</definedName>
    <definedName name="wrn.Aging._.and._.Trend._.Analysis._2_2_2_4" localSheetId="0" hidden="1">{#N/A,#N/A,FALSE,"Aging Summary";#N/A,#N/A,FALSE,"Ratio Analysis";#N/A,#N/A,FALSE,"Test 120 Day Accts";#N/A,#N/A,FALSE,"Tickmarks"}</definedName>
    <definedName name="wrn.Aging._.and._.Trend._.Analysis._2_2_2_4" localSheetId="6" hidden="1">{#N/A,#N/A,FALSE,"Aging Summary";#N/A,#N/A,FALSE,"Ratio Analysis";#N/A,#N/A,FALSE,"Test 120 Day Accts";#N/A,#N/A,FALSE,"Tickmarks"}</definedName>
    <definedName name="wrn.Aging._.and._.Trend._.Analysis._2_2_2_4" hidden="1">{#N/A,#N/A,FALSE,"Aging Summary";#N/A,#N/A,FALSE,"Ratio Analysis";#N/A,#N/A,FALSE,"Test 120 Day Accts";#N/A,#N/A,FALSE,"Tickmarks"}</definedName>
    <definedName name="wrn.Aging._.and._.Trend._.Analysis._2_2_2_5" localSheetId="0" hidden="1">{#N/A,#N/A,FALSE,"Aging Summary";#N/A,#N/A,FALSE,"Ratio Analysis";#N/A,#N/A,FALSE,"Test 120 Day Accts";#N/A,#N/A,FALSE,"Tickmarks"}</definedName>
    <definedName name="wrn.Aging._.and._.Trend._.Analysis._2_2_2_5" localSheetId="6" hidden="1">{#N/A,#N/A,FALSE,"Aging Summary";#N/A,#N/A,FALSE,"Ratio Analysis";#N/A,#N/A,FALSE,"Test 120 Day Accts";#N/A,#N/A,FALSE,"Tickmarks"}</definedName>
    <definedName name="wrn.Aging._.and._.Trend._.Analysis._2_2_2_5" hidden="1">{#N/A,#N/A,FALSE,"Aging Summary";#N/A,#N/A,FALSE,"Ratio Analysis";#N/A,#N/A,FALSE,"Test 120 Day Accts";#N/A,#N/A,FALSE,"Tickmarks"}</definedName>
    <definedName name="wrn.Aging._.and._.Trend._.Analysis._2_2_3" localSheetId="0" hidden="1">{#N/A,#N/A,FALSE,"Aging Summary";#N/A,#N/A,FALSE,"Ratio Analysis";#N/A,#N/A,FALSE,"Test 120 Day Accts";#N/A,#N/A,FALSE,"Tickmarks"}</definedName>
    <definedName name="wrn.Aging._.and._.Trend._.Analysis._2_2_3" localSheetId="6" hidden="1">{#N/A,#N/A,FALSE,"Aging Summary";#N/A,#N/A,FALSE,"Ratio Analysis";#N/A,#N/A,FALSE,"Test 120 Day Accts";#N/A,#N/A,FALSE,"Tickmarks"}</definedName>
    <definedName name="wrn.Aging._.and._.Trend._.Analysis._2_2_3" hidden="1">{#N/A,#N/A,FALSE,"Aging Summary";#N/A,#N/A,FALSE,"Ratio Analysis";#N/A,#N/A,FALSE,"Test 120 Day Accts";#N/A,#N/A,FALSE,"Tickmarks"}</definedName>
    <definedName name="wrn.Aging._.and._.Trend._.Analysis._2_2_3_1" localSheetId="0" hidden="1">{#N/A,#N/A,FALSE,"Aging Summary";#N/A,#N/A,FALSE,"Ratio Analysis";#N/A,#N/A,FALSE,"Test 120 Day Accts";#N/A,#N/A,FALSE,"Tickmarks"}</definedName>
    <definedName name="wrn.Aging._.and._.Trend._.Analysis._2_2_3_1" localSheetId="6" hidden="1">{#N/A,#N/A,FALSE,"Aging Summary";#N/A,#N/A,FALSE,"Ratio Analysis";#N/A,#N/A,FALSE,"Test 120 Day Accts";#N/A,#N/A,FALSE,"Tickmarks"}</definedName>
    <definedName name="wrn.Aging._.and._.Trend._.Analysis._2_2_3_1" hidden="1">{#N/A,#N/A,FALSE,"Aging Summary";#N/A,#N/A,FALSE,"Ratio Analysis";#N/A,#N/A,FALSE,"Test 120 Day Accts";#N/A,#N/A,FALSE,"Tickmarks"}</definedName>
    <definedName name="wrn.Aging._.and._.Trend._.Analysis._2_2_3_2" localSheetId="0" hidden="1">{#N/A,#N/A,FALSE,"Aging Summary";#N/A,#N/A,FALSE,"Ratio Analysis";#N/A,#N/A,FALSE,"Test 120 Day Accts";#N/A,#N/A,FALSE,"Tickmarks"}</definedName>
    <definedName name="wrn.Aging._.and._.Trend._.Analysis._2_2_3_2" localSheetId="6" hidden="1">{#N/A,#N/A,FALSE,"Aging Summary";#N/A,#N/A,FALSE,"Ratio Analysis";#N/A,#N/A,FALSE,"Test 120 Day Accts";#N/A,#N/A,FALSE,"Tickmarks"}</definedName>
    <definedName name="wrn.Aging._.and._.Trend._.Analysis._2_2_3_2" hidden="1">{#N/A,#N/A,FALSE,"Aging Summary";#N/A,#N/A,FALSE,"Ratio Analysis";#N/A,#N/A,FALSE,"Test 120 Day Accts";#N/A,#N/A,FALSE,"Tickmarks"}</definedName>
    <definedName name="wrn.Aging._.and._.Trend._.Analysis._2_2_3_3" localSheetId="0" hidden="1">{#N/A,#N/A,FALSE,"Aging Summary";#N/A,#N/A,FALSE,"Ratio Analysis";#N/A,#N/A,FALSE,"Test 120 Day Accts";#N/A,#N/A,FALSE,"Tickmarks"}</definedName>
    <definedName name="wrn.Aging._.and._.Trend._.Analysis._2_2_3_3" localSheetId="6" hidden="1">{#N/A,#N/A,FALSE,"Aging Summary";#N/A,#N/A,FALSE,"Ratio Analysis";#N/A,#N/A,FALSE,"Test 120 Day Accts";#N/A,#N/A,FALSE,"Tickmarks"}</definedName>
    <definedName name="wrn.Aging._.and._.Trend._.Analysis._2_2_3_3" hidden="1">{#N/A,#N/A,FALSE,"Aging Summary";#N/A,#N/A,FALSE,"Ratio Analysis";#N/A,#N/A,FALSE,"Test 120 Day Accts";#N/A,#N/A,FALSE,"Tickmarks"}</definedName>
    <definedName name="wrn.Aging._.and._.Trend._.Analysis._2_2_3_4" localSheetId="0" hidden="1">{#N/A,#N/A,FALSE,"Aging Summary";#N/A,#N/A,FALSE,"Ratio Analysis";#N/A,#N/A,FALSE,"Test 120 Day Accts";#N/A,#N/A,FALSE,"Tickmarks"}</definedName>
    <definedName name="wrn.Aging._.and._.Trend._.Analysis._2_2_3_4" localSheetId="6" hidden="1">{#N/A,#N/A,FALSE,"Aging Summary";#N/A,#N/A,FALSE,"Ratio Analysis";#N/A,#N/A,FALSE,"Test 120 Day Accts";#N/A,#N/A,FALSE,"Tickmarks"}</definedName>
    <definedName name="wrn.Aging._.and._.Trend._.Analysis._2_2_3_4" hidden="1">{#N/A,#N/A,FALSE,"Aging Summary";#N/A,#N/A,FALSE,"Ratio Analysis";#N/A,#N/A,FALSE,"Test 120 Day Accts";#N/A,#N/A,FALSE,"Tickmarks"}</definedName>
    <definedName name="wrn.Aging._.and._.Trend._.Analysis._2_2_3_5" localSheetId="0" hidden="1">{#N/A,#N/A,FALSE,"Aging Summary";#N/A,#N/A,FALSE,"Ratio Analysis";#N/A,#N/A,FALSE,"Test 120 Day Accts";#N/A,#N/A,FALSE,"Tickmarks"}</definedName>
    <definedName name="wrn.Aging._.and._.Trend._.Analysis._2_2_3_5" localSheetId="6" hidden="1">{#N/A,#N/A,FALSE,"Aging Summary";#N/A,#N/A,FALSE,"Ratio Analysis";#N/A,#N/A,FALSE,"Test 120 Day Accts";#N/A,#N/A,FALSE,"Tickmarks"}</definedName>
    <definedName name="wrn.Aging._.and._.Trend._.Analysis._2_2_3_5" hidden="1">{#N/A,#N/A,FALSE,"Aging Summary";#N/A,#N/A,FALSE,"Ratio Analysis";#N/A,#N/A,FALSE,"Test 120 Day Accts";#N/A,#N/A,FALSE,"Tickmarks"}</definedName>
    <definedName name="wrn.Aging._.and._.Trend._.Analysis._2_2_4" localSheetId="0" hidden="1">{#N/A,#N/A,FALSE,"Aging Summary";#N/A,#N/A,FALSE,"Ratio Analysis";#N/A,#N/A,FALSE,"Test 120 Day Accts";#N/A,#N/A,FALSE,"Tickmarks"}</definedName>
    <definedName name="wrn.Aging._.and._.Trend._.Analysis._2_2_4" localSheetId="6" hidden="1">{#N/A,#N/A,FALSE,"Aging Summary";#N/A,#N/A,FALSE,"Ratio Analysis";#N/A,#N/A,FALSE,"Test 120 Day Accts";#N/A,#N/A,FALSE,"Tickmarks"}</definedName>
    <definedName name="wrn.Aging._.and._.Trend._.Analysis._2_2_4" hidden="1">{#N/A,#N/A,FALSE,"Aging Summary";#N/A,#N/A,FALSE,"Ratio Analysis";#N/A,#N/A,FALSE,"Test 120 Day Accts";#N/A,#N/A,FALSE,"Tickmarks"}</definedName>
    <definedName name="wrn.Aging._.and._.Trend._.Analysis._2_2_4_1" localSheetId="0" hidden="1">{#N/A,#N/A,FALSE,"Aging Summary";#N/A,#N/A,FALSE,"Ratio Analysis";#N/A,#N/A,FALSE,"Test 120 Day Accts";#N/A,#N/A,FALSE,"Tickmarks"}</definedName>
    <definedName name="wrn.Aging._.and._.Trend._.Analysis._2_2_4_1" localSheetId="6" hidden="1">{#N/A,#N/A,FALSE,"Aging Summary";#N/A,#N/A,FALSE,"Ratio Analysis";#N/A,#N/A,FALSE,"Test 120 Day Accts";#N/A,#N/A,FALSE,"Tickmarks"}</definedName>
    <definedName name="wrn.Aging._.and._.Trend._.Analysis._2_2_4_1" hidden="1">{#N/A,#N/A,FALSE,"Aging Summary";#N/A,#N/A,FALSE,"Ratio Analysis";#N/A,#N/A,FALSE,"Test 120 Day Accts";#N/A,#N/A,FALSE,"Tickmarks"}</definedName>
    <definedName name="wrn.Aging._.and._.Trend._.Analysis._2_2_4_2" localSheetId="0" hidden="1">{#N/A,#N/A,FALSE,"Aging Summary";#N/A,#N/A,FALSE,"Ratio Analysis";#N/A,#N/A,FALSE,"Test 120 Day Accts";#N/A,#N/A,FALSE,"Tickmarks"}</definedName>
    <definedName name="wrn.Aging._.and._.Trend._.Analysis._2_2_4_2" localSheetId="6" hidden="1">{#N/A,#N/A,FALSE,"Aging Summary";#N/A,#N/A,FALSE,"Ratio Analysis";#N/A,#N/A,FALSE,"Test 120 Day Accts";#N/A,#N/A,FALSE,"Tickmarks"}</definedName>
    <definedName name="wrn.Aging._.and._.Trend._.Analysis._2_2_4_2" hidden="1">{#N/A,#N/A,FALSE,"Aging Summary";#N/A,#N/A,FALSE,"Ratio Analysis";#N/A,#N/A,FALSE,"Test 120 Day Accts";#N/A,#N/A,FALSE,"Tickmarks"}</definedName>
    <definedName name="wrn.Aging._.and._.Trend._.Analysis._2_2_4_3" localSheetId="0" hidden="1">{#N/A,#N/A,FALSE,"Aging Summary";#N/A,#N/A,FALSE,"Ratio Analysis";#N/A,#N/A,FALSE,"Test 120 Day Accts";#N/A,#N/A,FALSE,"Tickmarks"}</definedName>
    <definedName name="wrn.Aging._.and._.Trend._.Analysis._2_2_4_3" localSheetId="6" hidden="1">{#N/A,#N/A,FALSE,"Aging Summary";#N/A,#N/A,FALSE,"Ratio Analysis";#N/A,#N/A,FALSE,"Test 120 Day Accts";#N/A,#N/A,FALSE,"Tickmarks"}</definedName>
    <definedName name="wrn.Aging._.and._.Trend._.Analysis._2_2_4_3" hidden="1">{#N/A,#N/A,FALSE,"Aging Summary";#N/A,#N/A,FALSE,"Ratio Analysis";#N/A,#N/A,FALSE,"Test 120 Day Accts";#N/A,#N/A,FALSE,"Tickmarks"}</definedName>
    <definedName name="wrn.Aging._.and._.Trend._.Analysis._2_2_4_4" localSheetId="0" hidden="1">{#N/A,#N/A,FALSE,"Aging Summary";#N/A,#N/A,FALSE,"Ratio Analysis";#N/A,#N/A,FALSE,"Test 120 Day Accts";#N/A,#N/A,FALSE,"Tickmarks"}</definedName>
    <definedName name="wrn.Aging._.and._.Trend._.Analysis._2_2_4_4" localSheetId="6" hidden="1">{#N/A,#N/A,FALSE,"Aging Summary";#N/A,#N/A,FALSE,"Ratio Analysis";#N/A,#N/A,FALSE,"Test 120 Day Accts";#N/A,#N/A,FALSE,"Tickmarks"}</definedName>
    <definedName name="wrn.Aging._.and._.Trend._.Analysis._2_2_4_4" hidden="1">{#N/A,#N/A,FALSE,"Aging Summary";#N/A,#N/A,FALSE,"Ratio Analysis";#N/A,#N/A,FALSE,"Test 120 Day Accts";#N/A,#N/A,FALSE,"Tickmarks"}</definedName>
    <definedName name="wrn.Aging._.and._.Trend._.Analysis._2_2_4_5" localSheetId="0" hidden="1">{#N/A,#N/A,FALSE,"Aging Summary";#N/A,#N/A,FALSE,"Ratio Analysis";#N/A,#N/A,FALSE,"Test 120 Day Accts";#N/A,#N/A,FALSE,"Tickmarks"}</definedName>
    <definedName name="wrn.Aging._.and._.Trend._.Analysis._2_2_4_5" localSheetId="6" hidden="1">{#N/A,#N/A,FALSE,"Aging Summary";#N/A,#N/A,FALSE,"Ratio Analysis";#N/A,#N/A,FALSE,"Test 120 Day Accts";#N/A,#N/A,FALSE,"Tickmarks"}</definedName>
    <definedName name="wrn.Aging._.and._.Trend._.Analysis._2_2_4_5" hidden="1">{#N/A,#N/A,FALSE,"Aging Summary";#N/A,#N/A,FALSE,"Ratio Analysis";#N/A,#N/A,FALSE,"Test 120 Day Accts";#N/A,#N/A,FALSE,"Tickmarks"}</definedName>
    <definedName name="wrn.Aging._.and._.Trend._.Analysis._2_2_5" localSheetId="0" hidden="1">{#N/A,#N/A,FALSE,"Aging Summary";#N/A,#N/A,FALSE,"Ratio Analysis";#N/A,#N/A,FALSE,"Test 120 Day Accts";#N/A,#N/A,FALSE,"Tickmarks"}</definedName>
    <definedName name="wrn.Aging._.and._.Trend._.Analysis._2_2_5" localSheetId="6" hidden="1">{#N/A,#N/A,FALSE,"Aging Summary";#N/A,#N/A,FALSE,"Ratio Analysis";#N/A,#N/A,FALSE,"Test 120 Day Accts";#N/A,#N/A,FALSE,"Tickmarks"}</definedName>
    <definedName name="wrn.Aging._.and._.Trend._.Analysis._2_2_5" hidden="1">{#N/A,#N/A,FALSE,"Aging Summary";#N/A,#N/A,FALSE,"Ratio Analysis";#N/A,#N/A,FALSE,"Test 120 Day Accts";#N/A,#N/A,FALSE,"Tickmarks"}</definedName>
    <definedName name="wrn.Aging._.and._.Trend._.Analysis._2_2_5_1" localSheetId="0" hidden="1">{#N/A,#N/A,FALSE,"Aging Summary";#N/A,#N/A,FALSE,"Ratio Analysis";#N/A,#N/A,FALSE,"Test 120 Day Accts";#N/A,#N/A,FALSE,"Tickmarks"}</definedName>
    <definedName name="wrn.Aging._.and._.Trend._.Analysis._2_2_5_1" localSheetId="6" hidden="1">{#N/A,#N/A,FALSE,"Aging Summary";#N/A,#N/A,FALSE,"Ratio Analysis";#N/A,#N/A,FALSE,"Test 120 Day Accts";#N/A,#N/A,FALSE,"Tickmarks"}</definedName>
    <definedName name="wrn.Aging._.and._.Trend._.Analysis._2_2_5_1" hidden="1">{#N/A,#N/A,FALSE,"Aging Summary";#N/A,#N/A,FALSE,"Ratio Analysis";#N/A,#N/A,FALSE,"Test 120 Day Accts";#N/A,#N/A,FALSE,"Tickmarks"}</definedName>
    <definedName name="wrn.Aging._.and._.Trend._.Analysis._2_2_5_2" localSheetId="0" hidden="1">{#N/A,#N/A,FALSE,"Aging Summary";#N/A,#N/A,FALSE,"Ratio Analysis";#N/A,#N/A,FALSE,"Test 120 Day Accts";#N/A,#N/A,FALSE,"Tickmarks"}</definedName>
    <definedName name="wrn.Aging._.and._.Trend._.Analysis._2_2_5_2" localSheetId="6" hidden="1">{#N/A,#N/A,FALSE,"Aging Summary";#N/A,#N/A,FALSE,"Ratio Analysis";#N/A,#N/A,FALSE,"Test 120 Day Accts";#N/A,#N/A,FALSE,"Tickmarks"}</definedName>
    <definedName name="wrn.Aging._.and._.Trend._.Analysis._2_2_5_2" hidden="1">{#N/A,#N/A,FALSE,"Aging Summary";#N/A,#N/A,FALSE,"Ratio Analysis";#N/A,#N/A,FALSE,"Test 120 Day Accts";#N/A,#N/A,FALSE,"Tickmarks"}</definedName>
    <definedName name="wrn.Aging._.and._.Trend._.Analysis._2_2_5_3" localSheetId="0" hidden="1">{#N/A,#N/A,FALSE,"Aging Summary";#N/A,#N/A,FALSE,"Ratio Analysis";#N/A,#N/A,FALSE,"Test 120 Day Accts";#N/A,#N/A,FALSE,"Tickmarks"}</definedName>
    <definedName name="wrn.Aging._.and._.Trend._.Analysis._2_2_5_3" localSheetId="6" hidden="1">{#N/A,#N/A,FALSE,"Aging Summary";#N/A,#N/A,FALSE,"Ratio Analysis";#N/A,#N/A,FALSE,"Test 120 Day Accts";#N/A,#N/A,FALSE,"Tickmarks"}</definedName>
    <definedName name="wrn.Aging._.and._.Trend._.Analysis._2_2_5_3" hidden="1">{#N/A,#N/A,FALSE,"Aging Summary";#N/A,#N/A,FALSE,"Ratio Analysis";#N/A,#N/A,FALSE,"Test 120 Day Accts";#N/A,#N/A,FALSE,"Tickmarks"}</definedName>
    <definedName name="wrn.Aging._.and._.Trend._.Analysis._2_2_5_4" localSheetId="0" hidden="1">{#N/A,#N/A,FALSE,"Aging Summary";#N/A,#N/A,FALSE,"Ratio Analysis";#N/A,#N/A,FALSE,"Test 120 Day Accts";#N/A,#N/A,FALSE,"Tickmarks"}</definedName>
    <definedName name="wrn.Aging._.and._.Trend._.Analysis._2_2_5_4" localSheetId="6" hidden="1">{#N/A,#N/A,FALSE,"Aging Summary";#N/A,#N/A,FALSE,"Ratio Analysis";#N/A,#N/A,FALSE,"Test 120 Day Accts";#N/A,#N/A,FALSE,"Tickmarks"}</definedName>
    <definedName name="wrn.Aging._.and._.Trend._.Analysis._2_2_5_4" hidden="1">{#N/A,#N/A,FALSE,"Aging Summary";#N/A,#N/A,FALSE,"Ratio Analysis";#N/A,#N/A,FALSE,"Test 120 Day Accts";#N/A,#N/A,FALSE,"Tickmarks"}</definedName>
    <definedName name="wrn.Aging._.and._.Trend._.Analysis._2_2_5_5" localSheetId="0" hidden="1">{#N/A,#N/A,FALSE,"Aging Summary";#N/A,#N/A,FALSE,"Ratio Analysis";#N/A,#N/A,FALSE,"Test 120 Day Accts";#N/A,#N/A,FALSE,"Tickmarks"}</definedName>
    <definedName name="wrn.Aging._.and._.Trend._.Analysis._2_2_5_5" localSheetId="6" hidden="1">{#N/A,#N/A,FALSE,"Aging Summary";#N/A,#N/A,FALSE,"Ratio Analysis";#N/A,#N/A,FALSE,"Test 120 Day Accts";#N/A,#N/A,FALSE,"Tickmarks"}</definedName>
    <definedName name="wrn.Aging._.and._.Trend._.Analysis._2_2_5_5" hidden="1">{#N/A,#N/A,FALSE,"Aging Summary";#N/A,#N/A,FALSE,"Ratio Analysis";#N/A,#N/A,FALSE,"Test 120 Day Accts";#N/A,#N/A,FALSE,"Tickmarks"}</definedName>
    <definedName name="wrn.Aging._.and._.Trend._.Analysis._2_3" localSheetId="0" hidden="1">{#N/A,#N/A,FALSE,"Aging Summary";#N/A,#N/A,FALSE,"Ratio Analysis";#N/A,#N/A,FALSE,"Test 120 Day Accts";#N/A,#N/A,FALSE,"Tickmarks"}</definedName>
    <definedName name="wrn.Aging._.and._.Trend._.Analysis._2_3" localSheetId="6" hidden="1">{#N/A,#N/A,FALSE,"Aging Summary";#N/A,#N/A,FALSE,"Ratio Analysis";#N/A,#N/A,FALSE,"Test 120 Day Accts";#N/A,#N/A,FALSE,"Tickmarks"}</definedName>
    <definedName name="wrn.Aging._.and._.Trend._.Analysis._2_3" hidden="1">{#N/A,#N/A,FALSE,"Aging Summary";#N/A,#N/A,FALSE,"Ratio Analysis";#N/A,#N/A,FALSE,"Test 120 Day Accts";#N/A,#N/A,FALSE,"Tickmarks"}</definedName>
    <definedName name="wrn.Aging._.and._.Trend._.Analysis._2_3_1" localSheetId="0" hidden="1">{#N/A,#N/A,FALSE,"Aging Summary";#N/A,#N/A,FALSE,"Ratio Analysis";#N/A,#N/A,FALSE,"Test 120 Day Accts";#N/A,#N/A,FALSE,"Tickmarks"}</definedName>
    <definedName name="wrn.Aging._.and._.Trend._.Analysis._2_3_1" localSheetId="6" hidden="1">{#N/A,#N/A,FALSE,"Aging Summary";#N/A,#N/A,FALSE,"Ratio Analysis";#N/A,#N/A,FALSE,"Test 120 Day Accts";#N/A,#N/A,FALSE,"Tickmarks"}</definedName>
    <definedName name="wrn.Aging._.and._.Trend._.Analysis._2_3_1" hidden="1">{#N/A,#N/A,FALSE,"Aging Summary";#N/A,#N/A,FALSE,"Ratio Analysis";#N/A,#N/A,FALSE,"Test 120 Day Accts";#N/A,#N/A,FALSE,"Tickmarks"}</definedName>
    <definedName name="wrn.Aging._.and._.Trend._.Analysis._2_3_1_1" localSheetId="0" hidden="1">{#N/A,#N/A,FALSE,"Aging Summary";#N/A,#N/A,FALSE,"Ratio Analysis";#N/A,#N/A,FALSE,"Test 120 Day Accts";#N/A,#N/A,FALSE,"Tickmarks"}</definedName>
    <definedName name="wrn.Aging._.and._.Trend._.Analysis._2_3_1_1" localSheetId="6" hidden="1">{#N/A,#N/A,FALSE,"Aging Summary";#N/A,#N/A,FALSE,"Ratio Analysis";#N/A,#N/A,FALSE,"Test 120 Day Accts";#N/A,#N/A,FALSE,"Tickmarks"}</definedName>
    <definedName name="wrn.Aging._.and._.Trend._.Analysis._2_3_1_1" hidden="1">{#N/A,#N/A,FALSE,"Aging Summary";#N/A,#N/A,FALSE,"Ratio Analysis";#N/A,#N/A,FALSE,"Test 120 Day Accts";#N/A,#N/A,FALSE,"Tickmarks"}</definedName>
    <definedName name="wrn.Aging._.and._.Trend._.Analysis._2_3_1_2" localSheetId="0" hidden="1">{#N/A,#N/A,FALSE,"Aging Summary";#N/A,#N/A,FALSE,"Ratio Analysis";#N/A,#N/A,FALSE,"Test 120 Day Accts";#N/A,#N/A,FALSE,"Tickmarks"}</definedName>
    <definedName name="wrn.Aging._.and._.Trend._.Analysis._2_3_1_2" localSheetId="6" hidden="1">{#N/A,#N/A,FALSE,"Aging Summary";#N/A,#N/A,FALSE,"Ratio Analysis";#N/A,#N/A,FALSE,"Test 120 Day Accts";#N/A,#N/A,FALSE,"Tickmarks"}</definedName>
    <definedName name="wrn.Aging._.and._.Trend._.Analysis._2_3_1_2" hidden="1">{#N/A,#N/A,FALSE,"Aging Summary";#N/A,#N/A,FALSE,"Ratio Analysis";#N/A,#N/A,FALSE,"Test 120 Day Accts";#N/A,#N/A,FALSE,"Tickmarks"}</definedName>
    <definedName name="wrn.Aging._.and._.Trend._.Analysis._2_3_1_3" localSheetId="0" hidden="1">{#N/A,#N/A,FALSE,"Aging Summary";#N/A,#N/A,FALSE,"Ratio Analysis";#N/A,#N/A,FALSE,"Test 120 Day Accts";#N/A,#N/A,FALSE,"Tickmarks"}</definedName>
    <definedName name="wrn.Aging._.and._.Trend._.Analysis._2_3_1_3" localSheetId="6" hidden="1">{#N/A,#N/A,FALSE,"Aging Summary";#N/A,#N/A,FALSE,"Ratio Analysis";#N/A,#N/A,FALSE,"Test 120 Day Accts";#N/A,#N/A,FALSE,"Tickmarks"}</definedName>
    <definedName name="wrn.Aging._.and._.Trend._.Analysis._2_3_1_3" hidden="1">{#N/A,#N/A,FALSE,"Aging Summary";#N/A,#N/A,FALSE,"Ratio Analysis";#N/A,#N/A,FALSE,"Test 120 Day Accts";#N/A,#N/A,FALSE,"Tickmarks"}</definedName>
    <definedName name="wrn.Aging._.and._.Trend._.Analysis._2_3_1_4" localSheetId="0" hidden="1">{#N/A,#N/A,FALSE,"Aging Summary";#N/A,#N/A,FALSE,"Ratio Analysis";#N/A,#N/A,FALSE,"Test 120 Day Accts";#N/A,#N/A,FALSE,"Tickmarks"}</definedName>
    <definedName name="wrn.Aging._.and._.Trend._.Analysis._2_3_1_4" localSheetId="6" hidden="1">{#N/A,#N/A,FALSE,"Aging Summary";#N/A,#N/A,FALSE,"Ratio Analysis";#N/A,#N/A,FALSE,"Test 120 Day Accts";#N/A,#N/A,FALSE,"Tickmarks"}</definedName>
    <definedName name="wrn.Aging._.and._.Trend._.Analysis._2_3_1_4" hidden="1">{#N/A,#N/A,FALSE,"Aging Summary";#N/A,#N/A,FALSE,"Ratio Analysis";#N/A,#N/A,FALSE,"Test 120 Day Accts";#N/A,#N/A,FALSE,"Tickmarks"}</definedName>
    <definedName name="wrn.Aging._.and._.Trend._.Analysis._2_3_1_5" localSheetId="0" hidden="1">{#N/A,#N/A,FALSE,"Aging Summary";#N/A,#N/A,FALSE,"Ratio Analysis";#N/A,#N/A,FALSE,"Test 120 Day Accts";#N/A,#N/A,FALSE,"Tickmarks"}</definedName>
    <definedName name="wrn.Aging._.and._.Trend._.Analysis._2_3_1_5" localSheetId="6" hidden="1">{#N/A,#N/A,FALSE,"Aging Summary";#N/A,#N/A,FALSE,"Ratio Analysis";#N/A,#N/A,FALSE,"Test 120 Day Accts";#N/A,#N/A,FALSE,"Tickmarks"}</definedName>
    <definedName name="wrn.Aging._.and._.Trend._.Analysis._2_3_1_5" hidden="1">{#N/A,#N/A,FALSE,"Aging Summary";#N/A,#N/A,FALSE,"Ratio Analysis";#N/A,#N/A,FALSE,"Test 120 Day Accts";#N/A,#N/A,FALSE,"Tickmarks"}</definedName>
    <definedName name="wrn.Aging._.and._.Trend._.Analysis._2_3_2" localSheetId="0" hidden="1">{#N/A,#N/A,FALSE,"Aging Summary";#N/A,#N/A,FALSE,"Ratio Analysis";#N/A,#N/A,FALSE,"Test 120 Day Accts";#N/A,#N/A,FALSE,"Tickmarks"}</definedName>
    <definedName name="wrn.Aging._.and._.Trend._.Analysis._2_3_2" localSheetId="6" hidden="1">{#N/A,#N/A,FALSE,"Aging Summary";#N/A,#N/A,FALSE,"Ratio Analysis";#N/A,#N/A,FALSE,"Test 120 Day Accts";#N/A,#N/A,FALSE,"Tickmarks"}</definedName>
    <definedName name="wrn.Aging._.and._.Trend._.Analysis._2_3_2" hidden="1">{#N/A,#N/A,FALSE,"Aging Summary";#N/A,#N/A,FALSE,"Ratio Analysis";#N/A,#N/A,FALSE,"Test 120 Day Accts";#N/A,#N/A,FALSE,"Tickmarks"}</definedName>
    <definedName name="wrn.Aging._.and._.Trend._.Analysis._2_3_2_1" localSheetId="0" hidden="1">{#N/A,#N/A,FALSE,"Aging Summary";#N/A,#N/A,FALSE,"Ratio Analysis";#N/A,#N/A,FALSE,"Test 120 Day Accts";#N/A,#N/A,FALSE,"Tickmarks"}</definedName>
    <definedName name="wrn.Aging._.and._.Trend._.Analysis._2_3_2_1" localSheetId="6" hidden="1">{#N/A,#N/A,FALSE,"Aging Summary";#N/A,#N/A,FALSE,"Ratio Analysis";#N/A,#N/A,FALSE,"Test 120 Day Accts";#N/A,#N/A,FALSE,"Tickmarks"}</definedName>
    <definedName name="wrn.Aging._.and._.Trend._.Analysis._2_3_2_1" hidden="1">{#N/A,#N/A,FALSE,"Aging Summary";#N/A,#N/A,FALSE,"Ratio Analysis";#N/A,#N/A,FALSE,"Test 120 Day Accts";#N/A,#N/A,FALSE,"Tickmarks"}</definedName>
    <definedName name="wrn.Aging._.and._.Trend._.Analysis._2_3_2_2" localSheetId="0" hidden="1">{#N/A,#N/A,FALSE,"Aging Summary";#N/A,#N/A,FALSE,"Ratio Analysis";#N/A,#N/A,FALSE,"Test 120 Day Accts";#N/A,#N/A,FALSE,"Tickmarks"}</definedName>
    <definedName name="wrn.Aging._.and._.Trend._.Analysis._2_3_2_2" localSheetId="6" hidden="1">{#N/A,#N/A,FALSE,"Aging Summary";#N/A,#N/A,FALSE,"Ratio Analysis";#N/A,#N/A,FALSE,"Test 120 Day Accts";#N/A,#N/A,FALSE,"Tickmarks"}</definedName>
    <definedName name="wrn.Aging._.and._.Trend._.Analysis._2_3_2_2" hidden="1">{#N/A,#N/A,FALSE,"Aging Summary";#N/A,#N/A,FALSE,"Ratio Analysis";#N/A,#N/A,FALSE,"Test 120 Day Accts";#N/A,#N/A,FALSE,"Tickmarks"}</definedName>
    <definedName name="wrn.Aging._.and._.Trend._.Analysis._2_3_2_3" localSheetId="0" hidden="1">{#N/A,#N/A,FALSE,"Aging Summary";#N/A,#N/A,FALSE,"Ratio Analysis";#N/A,#N/A,FALSE,"Test 120 Day Accts";#N/A,#N/A,FALSE,"Tickmarks"}</definedName>
    <definedName name="wrn.Aging._.and._.Trend._.Analysis._2_3_2_3" localSheetId="6" hidden="1">{#N/A,#N/A,FALSE,"Aging Summary";#N/A,#N/A,FALSE,"Ratio Analysis";#N/A,#N/A,FALSE,"Test 120 Day Accts";#N/A,#N/A,FALSE,"Tickmarks"}</definedName>
    <definedName name="wrn.Aging._.and._.Trend._.Analysis._2_3_2_3" hidden="1">{#N/A,#N/A,FALSE,"Aging Summary";#N/A,#N/A,FALSE,"Ratio Analysis";#N/A,#N/A,FALSE,"Test 120 Day Accts";#N/A,#N/A,FALSE,"Tickmarks"}</definedName>
    <definedName name="wrn.Aging._.and._.Trend._.Analysis._2_3_2_4" localSheetId="0" hidden="1">{#N/A,#N/A,FALSE,"Aging Summary";#N/A,#N/A,FALSE,"Ratio Analysis";#N/A,#N/A,FALSE,"Test 120 Day Accts";#N/A,#N/A,FALSE,"Tickmarks"}</definedName>
    <definedName name="wrn.Aging._.and._.Trend._.Analysis._2_3_2_4" localSheetId="6" hidden="1">{#N/A,#N/A,FALSE,"Aging Summary";#N/A,#N/A,FALSE,"Ratio Analysis";#N/A,#N/A,FALSE,"Test 120 Day Accts";#N/A,#N/A,FALSE,"Tickmarks"}</definedName>
    <definedName name="wrn.Aging._.and._.Trend._.Analysis._2_3_2_4" hidden="1">{#N/A,#N/A,FALSE,"Aging Summary";#N/A,#N/A,FALSE,"Ratio Analysis";#N/A,#N/A,FALSE,"Test 120 Day Accts";#N/A,#N/A,FALSE,"Tickmarks"}</definedName>
    <definedName name="wrn.Aging._.and._.Trend._.Analysis._2_3_2_5" localSheetId="0" hidden="1">{#N/A,#N/A,FALSE,"Aging Summary";#N/A,#N/A,FALSE,"Ratio Analysis";#N/A,#N/A,FALSE,"Test 120 Day Accts";#N/A,#N/A,FALSE,"Tickmarks"}</definedName>
    <definedName name="wrn.Aging._.and._.Trend._.Analysis._2_3_2_5" localSheetId="6" hidden="1">{#N/A,#N/A,FALSE,"Aging Summary";#N/A,#N/A,FALSE,"Ratio Analysis";#N/A,#N/A,FALSE,"Test 120 Day Accts";#N/A,#N/A,FALSE,"Tickmarks"}</definedName>
    <definedName name="wrn.Aging._.and._.Trend._.Analysis._2_3_2_5" hidden="1">{#N/A,#N/A,FALSE,"Aging Summary";#N/A,#N/A,FALSE,"Ratio Analysis";#N/A,#N/A,FALSE,"Test 120 Day Accts";#N/A,#N/A,FALSE,"Tickmarks"}</definedName>
    <definedName name="wrn.Aging._.and._.Trend._.Analysis._2_3_3" localSheetId="0" hidden="1">{#N/A,#N/A,FALSE,"Aging Summary";#N/A,#N/A,FALSE,"Ratio Analysis";#N/A,#N/A,FALSE,"Test 120 Day Accts";#N/A,#N/A,FALSE,"Tickmarks"}</definedName>
    <definedName name="wrn.Aging._.and._.Trend._.Analysis._2_3_3" localSheetId="6" hidden="1">{#N/A,#N/A,FALSE,"Aging Summary";#N/A,#N/A,FALSE,"Ratio Analysis";#N/A,#N/A,FALSE,"Test 120 Day Accts";#N/A,#N/A,FALSE,"Tickmarks"}</definedName>
    <definedName name="wrn.Aging._.and._.Trend._.Analysis._2_3_3" hidden="1">{#N/A,#N/A,FALSE,"Aging Summary";#N/A,#N/A,FALSE,"Ratio Analysis";#N/A,#N/A,FALSE,"Test 120 Day Accts";#N/A,#N/A,FALSE,"Tickmarks"}</definedName>
    <definedName name="wrn.Aging._.and._.Trend._.Analysis._2_3_3_1" localSheetId="0" hidden="1">{#N/A,#N/A,FALSE,"Aging Summary";#N/A,#N/A,FALSE,"Ratio Analysis";#N/A,#N/A,FALSE,"Test 120 Day Accts";#N/A,#N/A,FALSE,"Tickmarks"}</definedName>
    <definedName name="wrn.Aging._.and._.Trend._.Analysis._2_3_3_1" localSheetId="6" hidden="1">{#N/A,#N/A,FALSE,"Aging Summary";#N/A,#N/A,FALSE,"Ratio Analysis";#N/A,#N/A,FALSE,"Test 120 Day Accts";#N/A,#N/A,FALSE,"Tickmarks"}</definedName>
    <definedName name="wrn.Aging._.and._.Trend._.Analysis._2_3_3_1" hidden="1">{#N/A,#N/A,FALSE,"Aging Summary";#N/A,#N/A,FALSE,"Ratio Analysis";#N/A,#N/A,FALSE,"Test 120 Day Accts";#N/A,#N/A,FALSE,"Tickmarks"}</definedName>
    <definedName name="wrn.Aging._.and._.Trend._.Analysis._2_3_3_2" localSheetId="0" hidden="1">{#N/A,#N/A,FALSE,"Aging Summary";#N/A,#N/A,FALSE,"Ratio Analysis";#N/A,#N/A,FALSE,"Test 120 Day Accts";#N/A,#N/A,FALSE,"Tickmarks"}</definedName>
    <definedName name="wrn.Aging._.and._.Trend._.Analysis._2_3_3_2" localSheetId="6" hidden="1">{#N/A,#N/A,FALSE,"Aging Summary";#N/A,#N/A,FALSE,"Ratio Analysis";#N/A,#N/A,FALSE,"Test 120 Day Accts";#N/A,#N/A,FALSE,"Tickmarks"}</definedName>
    <definedName name="wrn.Aging._.and._.Trend._.Analysis._2_3_3_2" hidden="1">{#N/A,#N/A,FALSE,"Aging Summary";#N/A,#N/A,FALSE,"Ratio Analysis";#N/A,#N/A,FALSE,"Test 120 Day Accts";#N/A,#N/A,FALSE,"Tickmarks"}</definedName>
    <definedName name="wrn.Aging._.and._.Trend._.Analysis._2_3_3_3" localSheetId="0" hidden="1">{#N/A,#N/A,FALSE,"Aging Summary";#N/A,#N/A,FALSE,"Ratio Analysis";#N/A,#N/A,FALSE,"Test 120 Day Accts";#N/A,#N/A,FALSE,"Tickmarks"}</definedName>
    <definedName name="wrn.Aging._.and._.Trend._.Analysis._2_3_3_3" localSheetId="6" hidden="1">{#N/A,#N/A,FALSE,"Aging Summary";#N/A,#N/A,FALSE,"Ratio Analysis";#N/A,#N/A,FALSE,"Test 120 Day Accts";#N/A,#N/A,FALSE,"Tickmarks"}</definedName>
    <definedName name="wrn.Aging._.and._.Trend._.Analysis._2_3_3_3" hidden="1">{#N/A,#N/A,FALSE,"Aging Summary";#N/A,#N/A,FALSE,"Ratio Analysis";#N/A,#N/A,FALSE,"Test 120 Day Accts";#N/A,#N/A,FALSE,"Tickmarks"}</definedName>
    <definedName name="wrn.Aging._.and._.Trend._.Analysis._2_3_3_4" localSheetId="0" hidden="1">{#N/A,#N/A,FALSE,"Aging Summary";#N/A,#N/A,FALSE,"Ratio Analysis";#N/A,#N/A,FALSE,"Test 120 Day Accts";#N/A,#N/A,FALSE,"Tickmarks"}</definedName>
    <definedName name="wrn.Aging._.and._.Trend._.Analysis._2_3_3_4" localSheetId="6" hidden="1">{#N/A,#N/A,FALSE,"Aging Summary";#N/A,#N/A,FALSE,"Ratio Analysis";#N/A,#N/A,FALSE,"Test 120 Day Accts";#N/A,#N/A,FALSE,"Tickmarks"}</definedName>
    <definedName name="wrn.Aging._.and._.Trend._.Analysis._2_3_3_4" hidden="1">{#N/A,#N/A,FALSE,"Aging Summary";#N/A,#N/A,FALSE,"Ratio Analysis";#N/A,#N/A,FALSE,"Test 120 Day Accts";#N/A,#N/A,FALSE,"Tickmarks"}</definedName>
    <definedName name="wrn.Aging._.and._.Trend._.Analysis._2_3_3_5" localSheetId="0" hidden="1">{#N/A,#N/A,FALSE,"Aging Summary";#N/A,#N/A,FALSE,"Ratio Analysis";#N/A,#N/A,FALSE,"Test 120 Day Accts";#N/A,#N/A,FALSE,"Tickmarks"}</definedName>
    <definedName name="wrn.Aging._.and._.Trend._.Analysis._2_3_3_5" localSheetId="6" hidden="1">{#N/A,#N/A,FALSE,"Aging Summary";#N/A,#N/A,FALSE,"Ratio Analysis";#N/A,#N/A,FALSE,"Test 120 Day Accts";#N/A,#N/A,FALSE,"Tickmarks"}</definedName>
    <definedName name="wrn.Aging._.and._.Trend._.Analysis._2_3_3_5" hidden="1">{#N/A,#N/A,FALSE,"Aging Summary";#N/A,#N/A,FALSE,"Ratio Analysis";#N/A,#N/A,FALSE,"Test 120 Day Accts";#N/A,#N/A,FALSE,"Tickmarks"}</definedName>
    <definedName name="wrn.Aging._.and._.Trend._.Analysis._2_3_4" localSheetId="0" hidden="1">{#N/A,#N/A,FALSE,"Aging Summary";#N/A,#N/A,FALSE,"Ratio Analysis";#N/A,#N/A,FALSE,"Test 120 Day Accts";#N/A,#N/A,FALSE,"Tickmarks"}</definedName>
    <definedName name="wrn.Aging._.and._.Trend._.Analysis._2_3_4" localSheetId="6" hidden="1">{#N/A,#N/A,FALSE,"Aging Summary";#N/A,#N/A,FALSE,"Ratio Analysis";#N/A,#N/A,FALSE,"Test 120 Day Accts";#N/A,#N/A,FALSE,"Tickmarks"}</definedName>
    <definedName name="wrn.Aging._.and._.Trend._.Analysis._2_3_4" hidden="1">{#N/A,#N/A,FALSE,"Aging Summary";#N/A,#N/A,FALSE,"Ratio Analysis";#N/A,#N/A,FALSE,"Test 120 Day Accts";#N/A,#N/A,FALSE,"Tickmarks"}</definedName>
    <definedName name="wrn.Aging._.and._.Trend._.Analysis._2_3_4_1" localSheetId="0" hidden="1">{#N/A,#N/A,FALSE,"Aging Summary";#N/A,#N/A,FALSE,"Ratio Analysis";#N/A,#N/A,FALSE,"Test 120 Day Accts";#N/A,#N/A,FALSE,"Tickmarks"}</definedName>
    <definedName name="wrn.Aging._.and._.Trend._.Analysis._2_3_4_1" localSheetId="6" hidden="1">{#N/A,#N/A,FALSE,"Aging Summary";#N/A,#N/A,FALSE,"Ratio Analysis";#N/A,#N/A,FALSE,"Test 120 Day Accts";#N/A,#N/A,FALSE,"Tickmarks"}</definedName>
    <definedName name="wrn.Aging._.and._.Trend._.Analysis._2_3_4_1" hidden="1">{#N/A,#N/A,FALSE,"Aging Summary";#N/A,#N/A,FALSE,"Ratio Analysis";#N/A,#N/A,FALSE,"Test 120 Day Accts";#N/A,#N/A,FALSE,"Tickmarks"}</definedName>
    <definedName name="wrn.Aging._.and._.Trend._.Analysis._2_3_4_2" localSheetId="0" hidden="1">{#N/A,#N/A,FALSE,"Aging Summary";#N/A,#N/A,FALSE,"Ratio Analysis";#N/A,#N/A,FALSE,"Test 120 Day Accts";#N/A,#N/A,FALSE,"Tickmarks"}</definedName>
    <definedName name="wrn.Aging._.and._.Trend._.Analysis._2_3_4_2" localSheetId="6" hidden="1">{#N/A,#N/A,FALSE,"Aging Summary";#N/A,#N/A,FALSE,"Ratio Analysis";#N/A,#N/A,FALSE,"Test 120 Day Accts";#N/A,#N/A,FALSE,"Tickmarks"}</definedName>
    <definedName name="wrn.Aging._.and._.Trend._.Analysis._2_3_4_2" hidden="1">{#N/A,#N/A,FALSE,"Aging Summary";#N/A,#N/A,FALSE,"Ratio Analysis";#N/A,#N/A,FALSE,"Test 120 Day Accts";#N/A,#N/A,FALSE,"Tickmarks"}</definedName>
    <definedName name="wrn.Aging._.and._.Trend._.Analysis._2_3_4_3" localSheetId="0" hidden="1">{#N/A,#N/A,FALSE,"Aging Summary";#N/A,#N/A,FALSE,"Ratio Analysis";#N/A,#N/A,FALSE,"Test 120 Day Accts";#N/A,#N/A,FALSE,"Tickmarks"}</definedName>
    <definedName name="wrn.Aging._.and._.Trend._.Analysis._2_3_4_3" localSheetId="6" hidden="1">{#N/A,#N/A,FALSE,"Aging Summary";#N/A,#N/A,FALSE,"Ratio Analysis";#N/A,#N/A,FALSE,"Test 120 Day Accts";#N/A,#N/A,FALSE,"Tickmarks"}</definedName>
    <definedName name="wrn.Aging._.and._.Trend._.Analysis._2_3_4_3" hidden="1">{#N/A,#N/A,FALSE,"Aging Summary";#N/A,#N/A,FALSE,"Ratio Analysis";#N/A,#N/A,FALSE,"Test 120 Day Accts";#N/A,#N/A,FALSE,"Tickmarks"}</definedName>
    <definedName name="wrn.Aging._.and._.Trend._.Analysis._2_3_4_4" localSheetId="0" hidden="1">{#N/A,#N/A,FALSE,"Aging Summary";#N/A,#N/A,FALSE,"Ratio Analysis";#N/A,#N/A,FALSE,"Test 120 Day Accts";#N/A,#N/A,FALSE,"Tickmarks"}</definedName>
    <definedName name="wrn.Aging._.and._.Trend._.Analysis._2_3_4_4" localSheetId="6" hidden="1">{#N/A,#N/A,FALSE,"Aging Summary";#N/A,#N/A,FALSE,"Ratio Analysis";#N/A,#N/A,FALSE,"Test 120 Day Accts";#N/A,#N/A,FALSE,"Tickmarks"}</definedName>
    <definedName name="wrn.Aging._.and._.Trend._.Analysis._2_3_4_4" hidden="1">{#N/A,#N/A,FALSE,"Aging Summary";#N/A,#N/A,FALSE,"Ratio Analysis";#N/A,#N/A,FALSE,"Test 120 Day Accts";#N/A,#N/A,FALSE,"Tickmarks"}</definedName>
    <definedName name="wrn.Aging._.and._.Trend._.Analysis._2_3_4_5" localSheetId="0" hidden="1">{#N/A,#N/A,FALSE,"Aging Summary";#N/A,#N/A,FALSE,"Ratio Analysis";#N/A,#N/A,FALSE,"Test 120 Day Accts";#N/A,#N/A,FALSE,"Tickmarks"}</definedName>
    <definedName name="wrn.Aging._.and._.Trend._.Analysis._2_3_4_5" localSheetId="6" hidden="1">{#N/A,#N/A,FALSE,"Aging Summary";#N/A,#N/A,FALSE,"Ratio Analysis";#N/A,#N/A,FALSE,"Test 120 Day Accts";#N/A,#N/A,FALSE,"Tickmarks"}</definedName>
    <definedName name="wrn.Aging._.and._.Trend._.Analysis._2_3_4_5" hidden="1">{#N/A,#N/A,FALSE,"Aging Summary";#N/A,#N/A,FALSE,"Ratio Analysis";#N/A,#N/A,FALSE,"Test 120 Day Accts";#N/A,#N/A,FALSE,"Tickmarks"}</definedName>
    <definedName name="wrn.Aging._.and._.Trend._.Analysis._2_3_5" localSheetId="0" hidden="1">{#N/A,#N/A,FALSE,"Aging Summary";#N/A,#N/A,FALSE,"Ratio Analysis";#N/A,#N/A,FALSE,"Test 120 Day Accts";#N/A,#N/A,FALSE,"Tickmarks"}</definedName>
    <definedName name="wrn.Aging._.and._.Trend._.Analysis._2_3_5" localSheetId="6" hidden="1">{#N/A,#N/A,FALSE,"Aging Summary";#N/A,#N/A,FALSE,"Ratio Analysis";#N/A,#N/A,FALSE,"Test 120 Day Accts";#N/A,#N/A,FALSE,"Tickmarks"}</definedName>
    <definedName name="wrn.Aging._.and._.Trend._.Analysis._2_3_5" hidden="1">{#N/A,#N/A,FALSE,"Aging Summary";#N/A,#N/A,FALSE,"Ratio Analysis";#N/A,#N/A,FALSE,"Test 120 Day Accts";#N/A,#N/A,FALSE,"Tickmarks"}</definedName>
    <definedName name="wrn.Aging._.and._.Trend._.Analysis._2_3_5_1" localSheetId="0" hidden="1">{#N/A,#N/A,FALSE,"Aging Summary";#N/A,#N/A,FALSE,"Ratio Analysis";#N/A,#N/A,FALSE,"Test 120 Day Accts";#N/A,#N/A,FALSE,"Tickmarks"}</definedName>
    <definedName name="wrn.Aging._.and._.Trend._.Analysis._2_3_5_1" localSheetId="6" hidden="1">{#N/A,#N/A,FALSE,"Aging Summary";#N/A,#N/A,FALSE,"Ratio Analysis";#N/A,#N/A,FALSE,"Test 120 Day Accts";#N/A,#N/A,FALSE,"Tickmarks"}</definedName>
    <definedName name="wrn.Aging._.and._.Trend._.Analysis._2_3_5_1" hidden="1">{#N/A,#N/A,FALSE,"Aging Summary";#N/A,#N/A,FALSE,"Ratio Analysis";#N/A,#N/A,FALSE,"Test 120 Day Accts";#N/A,#N/A,FALSE,"Tickmarks"}</definedName>
    <definedName name="wrn.Aging._.and._.Trend._.Analysis._2_3_5_2" localSheetId="0" hidden="1">{#N/A,#N/A,FALSE,"Aging Summary";#N/A,#N/A,FALSE,"Ratio Analysis";#N/A,#N/A,FALSE,"Test 120 Day Accts";#N/A,#N/A,FALSE,"Tickmarks"}</definedName>
    <definedName name="wrn.Aging._.and._.Trend._.Analysis._2_3_5_2" localSheetId="6" hidden="1">{#N/A,#N/A,FALSE,"Aging Summary";#N/A,#N/A,FALSE,"Ratio Analysis";#N/A,#N/A,FALSE,"Test 120 Day Accts";#N/A,#N/A,FALSE,"Tickmarks"}</definedName>
    <definedName name="wrn.Aging._.and._.Trend._.Analysis._2_3_5_2" hidden="1">{#N/A,#N/A,FALSE,"Aging Summary";#N/A,#N/A,FALSE,"Ratio Analysis";#N/A,#N/A,FALSE,"Test 120 Day Accts";#N/A,#N/A,FALSE,"Tickmarks"}</definedName>
    <definedName name="wrn.Aging._.and._.Trend._.Analysis._2_3_5_3" localSheetId="0" hidden="1">{#N/A,#N/A,FALSE,"Aging Summary";#N/A,#N/A,FALSE,"Ratio Analysis";#N/A,#N/A,FALSE,"Test 120 Day Accts";#N/A,#N/A,FALSE,"Tickmarks"}</definedName>
    <definedName name="wrn.Aging._.and._.Trend._.Analysis._2_3_5_3" localSheetId="6" hidden="1">{#N/A,#N/A,FALSE,"Aging Summary";#N/A,#N/A,FALSE,"Ratio Analysis";#N/A,#N/A,FALSE,"Test 120 Day Accts";#N/A,#N/A,FALSE,"Tickmarks"}</definedName>
    <definedName name="wrn.Aging._.and._.Trend._.Analysis._2_3_5_3" hidden="1">{#N/A,#N/A,FALSE,"Aging Summary";#N/A,#N/A,FALSE,"Ratio Analysis";#N/A,#N/A,FALSE,"Test 120 Day Accts";#N/A,#N/A,FALSE,"Tickmarks"}</definedName>
    <definedName name="wrn.Aging._.and._.Trend._.Analysis._2_3_5_4" localSheetId="0" hidden="1">{#N/A,#N/A,FALSE,"Aging Summary";#N/A,#N/A,FALSE,"Ratio Analysis";#N/A,#N/A,FALSE,"Test 120 Day Accts";#N/A,#N/A,FALSE,"Tickmarks"}</definedName>
    <definedName name="wrn.Aging._.and._.Trend._.Analysis._2_3_5_4" localSheetId="6" hidden="1">{#N/A,#N/A,FALSE,"Aging Summary";#N/A,#N/A,FALSE,"Ratio Analysis";#N/A,#N/A,FALSE,"Test 120 Day Accts";#N/A,#N/A,FALSE,"Tickmarks"}</definedName>
    <definedName name="wrn.Aging._.and._.Trend._.Analysis._2_3_5_4" hidden="1">{#N/A,#N/A,FALSE,"Aging Summary";#N/A,#N/A,FALSE,"Ratio Analysis";#N/A,#N/A,FALSE,"Test 120 Day Accts";#N/A,#N/A,FALSE,"Tickmarks"}</definedName>
    <definedName name="wrn.Aging._.and._.Trend._.Analysis._2_3_5_5" localSheetId="0" hidden="1">{#N/A,#N/A,FALSE,"Aging Summary";#N/A,#N/A,FALSE,"Ratio Analysis";#N/A,#N/A,FALSE,"Test 120 Day Accts";#N/A,#N/A,FALSE,"Tickmarks"}</definedName>
    <definedName name="wrn.Aging._.and._.Trend._.Analysis._2_3_5_5" localSheetId="6" hidden="1">{#N/A,#N/A,FALSE,"Aging Summary";#N/A,#N/A,FALSE,"Ratio Analysis";#N/A,#N/A,FALSE,"Test 120 Day Accts";#N/A,#N/A,FALSE,"Tickmarks"}</definedName>
    <definedName name="wrn.Aging._.and._.Trend._.Analysis._2_3_5_5" hidden="1">{#N/A,#N/A,FALSE,"Aging Summary";#N/A,#N/A,FALSE,"Ratio Analysis";#N/A,#N/A,FALSE,"Test 120 Day Accts";#N/A,#N/A,FALSE,"Tickmarks"}</definedName>
    <definedName name="wrn.Aging._.and._.Trend._.Analysis._2_4" localSheetId="0" hidden="1">{#N/A,#N/A,FALSE,"Aging Summary";#N/A,#N/A,FALSE,"Ratio Analysis";#N/A,#N/A,FALSE,"Test 120 Day Accts";#N/A,#N/A,FALSE,"Tickmarks"}</definedName>
    <definedName name="wrn.Aging._.and._.Trend._.Analysis._2_4" localSheetId="6" hidden="1">{#N/A,#N/A,FALSE,"Aging Summary";#N/A,#N/A,FALSE,"Ratio Analysis";#N/A,#N/A,FALSE,"Test 120 Day Accts";#N/A,#N/A,FALSE,"Tickmarks"}</definedName>
    <definedName name="wrn.Aging._.and._.Trend._.Analysis._2_4" hidden="1">{#N/A,#N/A,FALSE,"Aging Summary";#N/A,#N/A,FALSE,"Ratio Analysis";#N/A,#N/A,FALSE,"Test 120 Day Accts";#N/A,#N/A,FALSE,"Tickmarks"}</definedName>
    <definedName name="wrn.Aging._.and._.Trend._.Analysis._2_4_1" localSheetId="0" hidden="1">{#N/A,#N/A,FALSE,"Aging Summary";#N/A,#N/A,FALSE,"Ratio Analysis";#N/A,#N/A,FALSE,"Test 120 Day Accts";#N/A,#N/A,FALSE,"Tickmarks"}</definedName>
    <definedName name="wrn.Aging._.and._.Trend._.Analysis._2_4_1" localSheetId="6" hidden="1">{#N/A,#N/A,FALSE,"Aging Summary";#N/A,#N/A,FALSE,"Ratio Analysis";#N/A,#N/A,FALSE,"Test 120 Day Accts";#N/A,#N/A,FALSE,"Tickmarks"}</definedName>
    <definedName name="wrn.Aging._.and._.Trend._.Analysis._2_4_1" hidden="1">{#N/A,#N/A,FALSE,"Aging Summary";#N/A,#N/A,FALSE,"Ratio Analysis";#N/A,#N/A,FALSE,"Test 120 Day Accts";#N/A,#N/A,FALSE,"Tickmarks"}</definedName>
    <definedName name="wrn.Aging._.and._.Trend._.Analysis._2_4_1_1" localSheetId="0" hidden="1">{#N/A,#N/A,FALSE,"Aging Summary";#N/A,#N/A,FALSE,"Ratio Analysis";#N/A,#N/A,FALSE,"Test 120 Day Accts";#N/A,#N/A,FALSE,"Tickmarks"}</definedName>
    <definedName name="wrn.Aging._.and._.Trend._.Analysis._2_4_1_1" localSheetId="6" hidden="1">{#N/A,#N/A,FALSE,"Aging Summary";#N/A,#N/A,FALSE,"Ratio Analysis";#N/A,#N/A,FALSE,"Test 120 Day Accts";#N/A,#N/A,FALSE,"Tickmarks"}</definedName>
    <definedName name="wrn.Aging._.and._.Trend._.Analysis._2_4_1_1" hidden="1">{#N/A,#N/A,FALSE,"Aging Summary";#N/A,#N/A,FALSE,"Ratio Analysis";#N/A,#N/A,FALSE,"Test 120 Day Accts";#N/A,#N/A,FALSE,"Tickmarks"}</definedName>
    <definedName name="wrn.Aging._.and._.Trend._.Analysis._2_4_1_2" localSheetId="0" hidden="1">{#N/A,#N/A,FALSE,"Aging Summary";#N/A,#N/A,FALSE,"Ratio Analysis";#N/A,#N/A,FALSE,"Test 120 Day Accts";#N/A,#N/A,FALSE,"Tickmarks"}</definedName>
    <definedName name="wrn.Aging._.and._.Trend._.Analysis._2_4_1_2" localSheetId="6" hidden="1">{#N/A,#N/A,FALSE,"Aging Summary";#N/A,#N/A,FALSE,"Ratio Analysis";#N/A,#N/A,FALSE,"Test 120 Day Accts";#N/A,#N/A,FALSE,"Tickmarks"}</definedName>
    <definedName name="wrn.Aging._.and._.Trend._.Analysis._2_4_1_2" hidden="1">{#N/A,#N/A,FALSE,"Aging Summary";#N/A,#N/A,FALSE,"Ratio Analysis";#N/A,#N/A,FALSE,"Test 120 Day Accts";#N/A,#N/A,FALSE,"Tickmarks"}</definedName>
    <definedName name="wrn.Aging._.and._.Trend._.Analysis._2_4_1_3" localSheetId="0" hidden="1">{#N/A,#N/A,FALSE,"Aging Summary";#N/A,#N/A,FALSE,"Ratio Analysis";#N/A,#N/A,FALSE,"Test 120 Day Accts";#N/A,#N/A,FALSE,"Tickmarks"}</definedName>
    <definedName name="wrn.Aging._.and._.Trend._.Analysis._2_4_1_3" localSheetId="6" hidden="1">{#N/A,#N/A,FALSE,"Aging Summary";#N/A,#N/A,FALSE,"Ratio Analysis";#N/A,#N/A,FALSE,"Test 120 Day Accts";#N/A,#N/A,FALSE,"Tickmarks"}</definedName>
    <definedName name="wrn.Aging._.and._.Trend._.Analysis._2_4_1_3" hidden="1">{#N/A,#N/A,FALSE,"Aging Summary";#N/A,#N/A,FALSE,"Ratio Analysis";#N/A,#N/A,FALSE,"Test 120 Day Accts";#N/A,#N/A,FALSE,"Tickmarks"}</definedName>
    <definedName name="wrn.Aging._.and._.Trend._.Analysis._2_4_1_4" localSheetId="0" hidden="1">{#N/A,#N/A,FALSE,"Aging Summary";#N/A,#N/A,FALSE,"Ratio Analysis";#N/A,#N/A,FALSE,"Test 120 Day Accts";#N/A,#N/A,FALSE,"Tickmarks"}</definedName>
    <definedName name="wrn.Aging._.and._.Trend._.Analysis._2_4_1_4" localSheetId="6" hidden="1">{#N/A,#N/A,FALSE,"Aging Summary";#N/A,#N/A,FALSE,"Ratio Analysis";#N/A,#N/A,FALSE,"Test 120 Day Accts";#N/A,#N/A,FALSE,"Tickmarks"}</definedName>
    <definedName name="wrn.Aging._.and._.Trend._.Analysis._2_4_1_4" hidden="1">{#N/A,#N/A,FALSE,"Aging Summary";#N/A,#N/A,FALSE,"Ratio Analysis";#N/A,#N/A,FALSE,"Test 120 Day Accts";#N/A,#N/A,FALSE,"Tickmarks"}</definedName>
    <definedName name="wrn.Aging._.and._.Trend._.Analysis._2_4_1_5" localSheetId="0" hidden="1">{#N/A,#N/A,FALSE,"Aging Summary";#N/A,#N/A,FALSE,"Ratio Analysis";#N/A,#N/A,FALSE,"Test 120 Day Accts";#N/A,#N/A,FALSE,"Tickmarks"}</definedName>
    <definedName name="wrn.Aging._.and._.Trend._.Analysis._2_4_1_5" localSheetId="6" hidden="1">{#N/A,#N/A,FALSE,"Aging Summary";#N/A,#N/A,FALSE,"Ratio Analysis";#N/A,#N/A,FALSE,"Test 120 Day Accts";#N/A,#N/A,FALSE,"Tickmarks"}</definedName>
    <definedName name="wrn.Aging._.and._.Trend._.Analysis._2_4_1_5" hidden="1">{#N/A,#N/A,FALSE,"Aging Summary";#N/A,#N/A,FALSE,"Ratio Analysis";#N/A,#N/A,FALSE,"Test 120 Day Accts";#N/A,#N/A,FALSE,"Tickmarks"}</definedName>
    <definedName name="wrn.Aging._.and._.Trend._.Analysis._2_4_2" localSheetId="0" hidden="1">{#N/A,#N/A,FALSE,"Aging Summary";#N/A,#N/A,FALSE,"Ratio Analysis";#N/A,#N/A,FALSE,"Test 120 Day Accts";#N/A,#N/A,FALSE,"Tickmarks"}</definedName>
    <definedName name="wrn.Aging._.and._.Trend._.Analysis._2_4_2" localSheetId="6" hidden="1">{#N/A,#N/A,FALSE,"Aging Summary";#N/A,#N/A,FALSE,"Ratio Analysis";#N/A,#N/A,FALSE,"Test 120 Day Accts";#N/A,#N/A,FALSE,"Tickmarks"}</definedName>
    <definedName name="wrn.Aging._.and._.Trend._.Analysis._2_4_2" hidden="1">{#N/A,#N/A,FALSE,"Aging Summary";#N/A,#N/A,FALSE,"Ratio Analysis";#N/A,#N/A,FALSE,"Test 120 Day Accts";#N/A,#N/A,FALSE,"Tickmarks"}</definedName>
    <definedName name="wrn.Aging._.and._.Trend._.Analysis._2_4_2_1" localSheetId="0" hidden="1">{#N/A,#N/A,FALSE,"Aging Summary";#N/A,#N/A,FALSE,"Ratio Analysis";#N/A,#N/A,FALSE,"Test 120 Day Accts";#N/A,#N/A,FALSE,"Tickmarks"}</definedName>
    <definedName name="wrn.Aging._.and._.Trend._.Analysis._2_4_2_1" localSheetId="6" hidden="1">{#N/A,#N/A,FALSE,"Aging Summary";#N/A,#N/A,FALSE,"Ratio Analysis";#N/A,#N/A,FALSE,"Test 120 Day Accts";#N/A,#N/A,FALSE,"Tickmarks"}</definedName>
    <definedName name="wrn.Aging._.and._.Trend._.Analysis._2_4_2_1" hidden="1">{#N/A,#N/A,FALSE,"Aging Summary";#N/A,#N/A,FALSE,"Ratio Analysis";#N/A,#N/A,FALSE,"Test 120 Day Accts";#N/A,#N/A,FALSE,"Tickmarks"}</definedName>
    <definedName name="wrn.Aging._.and._.Trend._.Analysis._2_4_2_2" localSheetId="0" hidden="1">{#N/A,#N/A,FALSE,"Aging Summary";#N/A,#N/A,FALSE,"Ratio Analysis";#N/A,#N/A,FALSE,"Test 120 Day Accts";#N/A,#N/A,FALSE,"Tickmarks"}</definedName>
    <definedName name="wrn.Aging._.and._.Trend._.Analysis._2_4_2_2" localSheetId="6" hidden="1">{#N/A,#N/A,FALSE,"Aging Summary";#N/A,#N/A,FALSE,"Ratio Analysis";#N/A,#N/A,FALSE,"Test 120 Day Accts";#N/A,#N/A,FALSE,"Tickmarks"}</definedName>
    <definedName name="wrn.Aging._.and._.Trend._.Analysis._2_4_2_2" hidden="1">{#N/A,#N/A,FALSE,"Aging Summary";#N/A,#N/A,FALSE,"Ratio Analysis";#N/A,#N/A,FALSE,"Test 120 Day Accts";#N/A,#N/A,FALSE,"Tickmarks"}</definedName>
    <definedName name="wrn.Aging._.and._.Trend._.Analysis._2_4_2_3" localSheetId="0" hidden="1">{#N/A,#N/A,FALSE,"Aging Summary";#N/A,#N/A,FALSE,"Ratio Analysis";#N/A,#N/A,FALSE,"Test 120 Day Accts";#N/A,#N/A,FALSE,"Tickmarks"}</definedName>
    <definedName name="wrn.Aging._.and._.Trend._.Analysis._2_4_2_3" localSheetId="6" hidden="1">{#N/A,#N/A,FALSE,"Aging Summary";#N/A,#N/A,FALSE,"Ratio Analysis";#N/A,#N/A,FALSE,"Test 120 Day Accts";#N/A,#N/A,FALSE,"Tickmarks"}</definedName>
    <definedName name="wrn.Aging._.and._.Trend._.Analysis._2_4_2_3" hidden="1">{#N/A,#N/A,FALSE,"Aging Summary";#N/A,#N/A,FALSE,"Ratio Analysis";#N/A,#N/A,FALSE,"Test 120 Day Accts";#N/A,#N/A,FALSE,"Tickmarks"}</definedName>
    <definedName name="wrn.Aging._.and._.Trend._.Analysis._2_4_2_4" localSheetId="0" hidden="1">{#N/A,#N/A,FALSE,"Aging Summary";#N/A,#N/A,FALSE,"Ratio Analysis";#N/A,#N/A,FALSE,"Test 120 Day Accts";#N/A,#N/A,FALSE,"Tickmarks"}</definedName>
    <definedName name="wrn.Aging._.and._.Trend._.Analysis._2_4_2_4" localSheetId="6" hidden="1">{#N/A,#N/A,FALSE,"Aging Summary";#N/A,#N/A,FALSE,"Ratio Analysis";#N/A,#N/A,FALSE,"Test 120 Day Accts";#N/A,#N/A,FALSE,"Tickmarks"}</definedName>
    <definedName name="wrn.Aging._.and._.Trend._.Analysis._2_4_2_4" hidden="1">{#N/A,#N/A,FALSE,"Aging Summary";#N/A,#N/A,FALSE,"Ratio Analysis";#N/A,#N/A,FALSE,"Test 120 Day Accts";#N/A,#N/A,FALSE,"Tickmarks"}</definedName>
    <definedName name="wrn.Aging._.and._.Trend._.Analysis._2_4_2_5" localSheetId="0" hidden="1">{#N/A,#N/A,FALSE,"Aging Summary";#N/A,#N/A,FALSE,"Ratio Analysis";#N/A,#N/A,FALSE,"Test 120 Day Accts";#N/A,#N/A,FALSE,"Tickmarks"}</definedName>
    <definedName name="wrn.Aging._.and._.Trend._.Analysis._2_4_2_5" localSheetId="6" hidden="1">{#N/A,#N/A,FALSE,"Aging Summary";#N/A,#N/A,FALSE,"Ratio Analysis";#N/A,#N/A,FALSE,"Test 120 Day Accts";#N/A,#N/A,FALSE,"Tickmarks"}</definedName>
    <definedName name="wrn.Aging._.and._.Trend._.Analysis._2_4_2_5" hidden="1">{#N/A,#N/A,FALSE,"Aging Summary";#N/A,#N/A,FALSE,"Ratio Analysis";#N/A,#N/A,FALSE,"Test 120 Day Accts";#N/A,#N/A,FALSE,"Tickmarks"}</definedName>
    <definedName name="wrn.Aging._.and._.Trend._.Analysis._2_4_3" localSheetId="0" hidden="1">{#N/A,#N/A,FALSE,"Aging Summary";#N/A,#N/A,FALSE,"Ratio Analysis";#N/A,#N/A,FALSE,"Test 120 Day Accts";#N/A,#N/A,FALSE,"Tickmarks"}</definedName>
    <definedName name="wrn.Aging._.and._.Trend._.Analysis._2_4_3" localSheetId="6" hidden="1">{#N/A,#N/A,FALSE,"Aging Summary";#N/A,#N/A,FALSE,"Ratio Analysis";#N/A,#N/A,FALSE,"Test 120 Day Accts";#N/A,#N/A,FALSE,"Tickmarks"}</definedName>
    <definedName name="wrn.Aging._.and._.Trend._.Analysis._2_4_3" hidden="1">{#N/A,#N/A,FALSE,"Aging Summary";#N/A,#N/A,FALSE,"Ratio Analysis";#N/A,#N/A,FALSE,"Test 120 Day Accts";#N/A,#N/A,FALSE,"Tickmarks"}</definedName>
    <definedName name="wrn.Aging._.and._.Trend._.Analysis._2_4_3_1" localSheetId="0" hidden="1">{#N/A,#N/A,FALSE,"Aging Summary";#N/A,#N/A,FALSE,"Ratio Analysis";#N/A,#N/A,FALSE,"Test 120 Day Accts";#N/A,#N/A,FALSE,"Tickmarks"}</definedName>
    <definedName name="wrn.Aging._.and._.Trend._.Analysis._2_4_3_1" localSheetId="6" hidden="1">{#N/A,#N/A,FALSE,"Aging Summary";#N/A,#N/A,FALSE,"Ratio Analysis";#N/A,#N/A,FALSE,"Test 120 Day Accts";#N/A,#N/A,FALSE,"Tickmarks"}</definedName>
    <definedName name="wrn.Aging._.and._.Trend._.Analysis._2_4_3_1" hidden="1">{#N/A,#N/A,FALSE,"Aging Summary";#N/A,#N/A,FALSE,"Ratio Analysis";#N/A,#N/A,FALSE,"Test 120 Day Accts";#N/A,#N/A,FALSE,"Tickmarks"}</definedName>
    <definedName name="wrn.Aging._.and._.Trend._.Analysis._2_4_3_2" localSheetId="0" hidden="1">{#N/A,#N/A,FALSE,"Aging Summary";#N/A,#N/A,FALSE,"Ratio Analysis";#N/A,#N/A,FALSE,"Test 120 Day Accts";#N/A,#N/A,FALSE,"Tickmarks"}</definedName>
    <definedName name="wrn.Aging._.and._.Trend._.Analysis._2_4_3_2" localSheetId="6" hidden="1">{#N/A,#N/A,FALSE,"Aging Summary";#N/A,#N/A,FALSE,"Ratio Analysis";#N/A,#N/A,FALSE,"Test 120 Day Accts";#N/A,#N/A,FALSE,"Tickmarks"}</definedName>
    <definedName name="wrn.Aging._.and._.Trend._.Analysis._2_4_3_2" hidden="1">{#N/A,#N/A,FALSE,"Aging Summary";#N/A,#N/A,FALSE,"Ratio Analysis";#N/A,#N/A,FALSE,"Test 120 Day Accts";#N/A,#N/A,FALSE,"Tickmarks"}</definedName>
    <definedName name="wrn.Aging._.and._.Trend._.Analysis._2_4_3_3" localSheetId="0" hidden="1">{#N/A,#N/A,FALSE,"Aging Summary";#N/A,#N/A,FALSE,"Ratio Analysis";#N/A,#N/A,FALSE,"Test 120 Day Accts";#N/A,#N/A,FALSE,"Tickmarks"}</definedName>
    <definedName name="wrn.Aging._.and._.Trend._.Analysis._2_4_3_3" localSheetId="6" hidden="1">{#N/A,#N/A,FALSE,"Aging Summary";#N/A,#N/A,FALSE,"Ratio Analysis";#N/A,#N/A,FALSE,"Test 120 Day Accts";#N/A,#N/A,FALSE,"Tickmarks"}</definedName>
    <definedName name="wrn.Aging._.and._.Trend._.Analysis._2_4_3_3" hidden="1">{#N/A,#N/A,FALSE,"Aging Summary";#N/A,#N/A,FALSE,"Ratio Analysis";#N/A,#N/A,FALSE,"Test 120 Day Accts";#N/A,#N/A,FALSE,"Tickmarks"}</definedName>
    <definedName name="wrn.Aging._.and._.Trend._.Analysis._2_4_3_4" localSheetId="0" hidden="1">{#N/A,#N/A,FALSE,"Aging Summary";#N/A,#N/A,FALSE,"Ratio Analysis";#N/A,#N/A,FALSE,"Test 120 Day Accts";#N/A,#N/A,FALSE,"Tickmarks"}</definedName>
    <definedName name="wrn.Aging._.and._.Trend._.Analysis._2_4_3_4" localSheetId="6" hidden="1">{#N/A,#N/A,FALSE,"Aging Summary";#N/A,#N/A,FALSE,"Ratio Analysis";#N/A,#N/A,FALSE,"Test 120 Day Accts";#N/A,#N/A,FALSE,"Tickmarks"}</definedName>
    <definedName name="wrn.Aging._.and._.Trend._.Analysis._2_4_3_4" hidden="1">{#N/A,#N/A,FALSE,"Aging Summary";#N/A,#N/A,FALSE,"Ratio Analysis";#N/A,#N/A,FALSE,"Test 120 Day Accts";#N/A,#N/A,FALSE,"Tickmarks"}</definedName>
    <definedName name="wrn.Aging._.and._.Trend._.Analysis._2_4_3_5" localSheetId="0" hidden="1">{#N/A,#N/A,FALSE,"Aging Summary";#N/A,#N/A,FALSE,"Ratio Analysis";#N/A,#N/A,FALSE,"Test 120 Day Accts";#N/A,#N/A,FALSE,"Tickmarks"}</definedName>
    <definedName name="wrn.Aging._.and._.Trend._.Analysis._2_4_3_5" localSheetId="6" hidden="1">{#N/A,#N/A,FALSE,"Aging Summary";#N/A,#N/A,FALSE,"Ratio Analysis";#N/A,#N/A,FALSE,"Test 120 Day Accts";#N/A,#N/A,FALSE,"Tickmarks"}</definedName>
    <definedName name="wrn.Aging._.and._.Trend._.Analysis._2_4_3_5" hidden="1">{#N/A,#N/A,FALSE,"Aging Summary";#N/A,#N/A,FALSE,"Ratio Analysis";#N/A,#N/A,FALSE,"Test 120 Day Accts";#N/A,#N/A,FALSE,"Tickmarks"}</definedName>
    <definedName name="wrn.Aging._.and._.Trend._.Analysis._2_4_4" localSheetId="0" hidden="1">{#N/A,#N/A,FALSE,"Aging Summary";#N/A,#N/A,FALSE,"Ratio Analysis";#N/A,#N/A,FALSE,"Test 120 Day Accts";#N/A,#N/A,FALSE,"Tickmarks"}</definedName>
    <definedName name="wrn.Aging._.and._.Trend._.Analysis._2_4_4" localSheetId="6" hidden="1">{#N/A,#N/A,FALSE,"Aging Summary";#N/A,#N/A,FALSE,"Ratio Analysis";#N/A,#N/A,FALSE,"Test 120 Day Accts";#N/A,#N/A,FALSE,"Tickmarks"}</definedName>
    <definedName name="wrn.Aging._.and._.Trend._.Analysis._2_4_4" hidden="1">{#N/A,#N/A,FALSE,"Aging Summary";#N/A,#N/A,FALSE,"Ratio Analysis";#N/A,#N/A,FALSE,"Test 120 Day Accts";#N/A,#N/A,FALSE,"Tickmarks"}</definedName>
    <definedName name="wrn.Aging._.and._.Trend._.Analysis._2_4_4_1" localSheetId="0" hidden="1">{#N/A,#N/A,FALSE,"Aging Summary";#N/A,#N/A,FALSE,"Ratio Analysis";#N/A,#N/A,FALSE,"Test 120 Day Accts";#N/A,#N/A,FALSE,"Tickmarks"}</definedName>
    <definedName name="wrn.Aging._.and._.Trend._.Analysis._2_4_4_1" localSheetId="6" hidden="1">{#N/A,#N/A,FALSE,"Aging Summary";#N/A,#N/A,FALSE,"Ratio Analysis";#N/A,#N/A,FALSE,"Test 120 Day Accts";#N/A,#N/A,FALSE,"Tickmarks"}</definedName>
    <definedName name="wrn.Aging._.and._.Trend._.Analysis._2_4_4_1" hidden="1">{#N/A,#N/A,FALSE,"Aging Summary";#N/A,#N/A,FALSE,"Ratio Analysis";#N/A,#N/A,FALSE,"Test 120 Day Accts";#N/A,#N/A,FALSE,"Tickmarks"}</definedName>
    <definedName name="wrn.Aging._.and._.Trend._.Analysis._2_4_4_2" localSheetId="0" hidden="1">{#N/A,#N/A,FALSE,"Aging Summary";#N/A,#N/A,FALSE,"Ratio Analysis";#N/A,#N/A,FALSE,"Test 120 Day Accts";#N/A,#N/A,FALSE,"Tickmarks"}</definedName>
    <definedName name="wrn.Aging._.and._.Trend._.Analysis._2_4_4_2" localSheetId="6" hidden="1">{#N/A,#N/A,FALSE,"Aging Summary";#N/A,#N/A,FALSE,"Ratio Analysis";#N/A,#N/A,FALSE,"Test 120 Day Accts";#N/A,#N/A,FALSE,"Tickmarks"}</definedName>
    <definedName name="wrn.Aging._.and._.Trend._.Analysis._2_4_4_2" hidden="1">{#N/A,#N/A,FALSE,"Aging Summary";#N/A,#N/A,FALSE,"Ratio Analysis";#N/A,#N/A,FALSE,"Test 120 Day Accts";#N/A,#N/A,FALSE,"Tickmarks"}</definedName>
    <definedName name="wrn.Aging._.and._.Trend._.Analysis._2_4_4_3" localSheetId="0" hidden="1">{#N/A,#N/A,FALSE,"Aging Summary";#N/A,#N/A,FALSE,"Ratio Analysis";#N/A,#N/A,FALSE,"Test 120 Day Accts";#N/A,#N/A,FALSE,"Tickmarks"}</definedName>
    <definedName name="wrn.Aging._.and._.Trend._.Analysis._2_4_4_3" localSheetId="6" hidden="1">{#N/A,#N/A,FALSE,"Aging Summary";#N/A,#N/A,FALSE,"Ratio Analysis";#N/A,#N/A,FALSE,"Test 120 Day Accts";#N/A,#N/A,FALSE,"Tickmarks"}</definedName>
    <definedName name="wrn.Aging._.and._.Trend._.Analysis._2_4_4_3" hidden="1">{#N/A,#N/A,FALSE,"Aging Summary";#N/A,#N/A,FALSE,"Ratio Analysis";#N/A,#N/A,FALSE,"Test 120 Day Accts";#N/A,#N/A,FALSE,"Tickmarks"}</definedName>
    <definedName name="wrn.Aging._.and._.Trend._.Analysis._2_4_4_4" localSheetId="0" hidden="1">{#N/A,#N/A,FALSE,"Aging Summary";#N/A,#N/A,FALSE,"Ratio Analysis";#N/A,#N/A,FALSE,"Test 120 Day Accts";#N/A,#N/A,FALSE,"Tickmarks"}</definedName>
    <definedName name="wrn.Aging._.and._.Trend._.Analysis._2_4_4_4" localSheetId="6" hidden="1">{#N/A,#N/A,FALSE,"Aging Summary";#N/A,#N/A,FALSE,"Ratio Analysis";#N/A,#N/A,FALSE,"Test 120 Day Accts";#N/A,#N/A,FALSE,"Tickmarks"}</definedName>
    <definedName name="wrn.Aging._.and._.Trend._.Analysis._2_4_4_4" hidden="1">{#N/A,#N/A,FALSE,"Aging Summary";#N/A,#N/A,FALSE,"Ratio Analysis";#N/A,#N/A,FALSE,"Test 120 Day Accts";#N/A,#N/A,FALSE,"Tickmarks"}</definedName>
    <definedName name="wrn.Aging._.and._.Trend._.Analysis._2_4_4_5" localSheetId="0" hidden="1">{#N/A,#N/A,FALSE,"Aging Summary";#N/A,#N/A,FALSE,"Ratio Analysis";#N/A,#N/A,FALSE,"Test 120 Day Accts";#N/A,#N/A,FALSE,"Tickmarks"}</definedName>
    <definedName name="wrn.Aging._.and._.Trend._.Analysis._2_4_4_5" localSheetId="6" hidden="1">{#N/A,#N/A,FALSE,"Aging Summary";#N/A,#N/A,FALSE,"Ratio Analysis";#N/A,#N/A,FALSE,"Test 120 Day Accts";#N/A,#N/A,FALSE,"Tickmarks"}</definedName>
    <definedName name="wrn.Aging._.and._.Trend._.Analysis._2_4_4_5" hidden="1">{#N/A,#N/A,FALSE,"Aging Summary";#N/A,#N/A,FALSE,"Ratio Analysis";#N/A,#N/A,FALSE,"Test 120 Day Accts";#N/A,#N/A,FALSE,"Tickmarks"}</definedName>
    <definedName name="wrn.Aging._.and._.Trend._.Analysis._2_4_5" localSheetId="0" hidden="1">{#N/A,#N/A,FALSE,"Aging Summary";#N/A,#N/A,FALSE,"Ratio Analysis";#N/A,#N/A,FALSE,"Test 120 Day Accts";#N/A,#N/A,FALSE,"Tickmarks"}</definedName>
    <definedName name="wrn.Aging._.and._.Trend._.Analysis._2_4_5" localSheetId="6" hidden="1">{#N/A,#N/A,FALSE,"Aging Summary";#N/A,#N/A,FALSE,"Ratio Analysis";#N/A,#N/A,FALSE,"Test 120 Day Accts";#N/A,#N/A,FALSE,"Tickmarks"}</definedName>
    <definedName name="wrn.Aging._.and._.Trend._.Analysis._2_4_5" hidden="1">{#N/A,#N/A,FALSE,"Aging Summary";#N/A,#N/A,FALSE,"Ratio Analysis";#N/A,#N/A,FALSE,"Test 120 Day Accts";#N/A,#N/A,FALSE,"Tickmarks"}</definedName>
    <definedName name="wrn.Aging._.and._.Trend._.Analysis._2_4_5_1" localSheetId="0" hidden="1">{#N/A,#N/A,FALSE,"Aging Summary";#N/A,#N/A,FALSE,"Ratio Analysis";#N/A,#N/A,FALSE,"Test 120 Day Accts";#N/A,#N/A,FALSE,"Tickmarks"}</definedName>
    <definedName name="wrn.Aging._.and._.Trend._.Analysis._2_4_5_1" localSheetId="6" hidden="1">{#N/A,#N/A,FALSE,"Aging Summary";#N/A,#N/A,FALSE,"Ratio Analysis";#N/A,#N/A,FALSE,"Test 120 Day Accts";#N/A,#N/A,FALSE,"Tickmarks"}</definedName>
    <definedName name="wrn.Aging._.and._.Trend._.Analysis._2_4_5_1" hidden="1">{#N/A,#N/A,FALSE,"Aging Summary";#N/A,#N/A,FALSE,"Ratio Analysis";#N/A,#N/A,FALSE,"Test 120 Day Accts";#N/A,#N/A,FALSE,"Tickmarks"}</definedName>
    <definedName name="wrn.Aging._.and._.Trend._.Analysis._2_4_5_2" localSheetId="0" hidden="1">{#N/A,#N/A,FALSE,"Aging Summary";#N/A,#N/A,FALSE,"Ratio Analysis";#N/A,#N/A,FALSE,"Test 120 Day Accts";#N/A,#N/A,FALSE,"Tickmarks"}</definedName>
    <definedName name="wrn.Aging._.and._.Trend._.Analysis._2_4_5_2" localSheetId="6" hidden="1">{#N/A,#N/A,FALSE,"Aging Summary";#N/A,#N/A,FALSE,"Ratio Analysis";#N/A,#N/A,FALSE,"Test 120 Day Accts";#N/A,#N/A,FALSE,"Tickmarks"}</definedName>
    <definedName name="wrn.Aging._.and._.Trend._.Analysis._2_4_5_2" hidden="1">{#N/A,#N/A,FALSE,"Aging Summary";#N/A,#N/A,FALSE,"Ratio Analysis";#N/A,#N/A,FALSE,"Test 120 Day Accts";#N/A,#N/A,FALSE,"Tickmarks"}</definedName>
    <definedName name="wrn.Aging._.and._.Trend._.Analysis._2_4_5_3" localSheetId="0" hidden="1">{#N/A,#N/A,FALSE,"Aging Summary";#N/A,#N/A,FALSE,"Ratio Analysis";#N/A,#N/A,FALSE,"Test 120 Day Accts";#N/A,#N/A,FALSE,"Tickmarks"}</definedName>
    <definedName name="wrn.Aging._.and._.Trend._.Analysis._2_4_5_3" localSheetId="6" hidden="1">{#N/A,#N/A,FALSE,"Aging Summary";#N/A,#N/A,FALSE,"Ratio Analysis";#N/A,#N/A,FALSE,"Test 120 Day Accts";#N/A,#N/A,FALSE,"Tickmarks"}</definedName>
    <definedName name="wrn.Aging._.and._.Trend._.Analysis._2_4_5_3" hidden="1">{#N/A,#N/A,FALSE,"Aging Summary";#N/A,#N/A,FALSE,"Ratio Analysis";#N/A,#N/A,FALSE,"Test 120 Day Accts";#N/A,#N/A,FALSE,"Tickmarks"}</definedName>
    <definedName name="wrn.Aging._.and._.Trend._.Analysis._2_4_5_4" localSheetId="0" hidden="1">{#N/A,#N/A,FALSE,"Aging Summary";#N/A,#N/A,FALSE,"Ratio Analysis";#N/A,#N/A,FALSE,"Test 120 Day Accts";#N/A,#N/A,FALSE,"Tickmarks"}</definedName>
    <definedName name="wrn.Aging._.and._.Trend._.Analysis._2_4_5_4" localSheetId="6" hidden="1">{#N/A,#N/A,FALSE,"Aging Summary";#N/A,#N/A,FALSE,"Ratio Analysis";#N/A,#N/A,FALSE,"Test 120 Day Accts";#N/A,#N/A,FALSE,"Tickmarks"}</definedName>
    <definedName name="wrn.Aging._.and._.Trend._.Analysis._2_4_5_4" hidden="1">{#N/A,#N/A,FALSE,"Aging Summary";#N/A,#N/A,FALSE,"Ratio Analysis";#N/A,#N/A,FALSE,"Test 120 Day Accts";#N/A,#N/A,FALSE,"Tickmarks"}</definedName>
    <definedName name="wrn.Aging._.and._.Trend._.Analysis._2_4_5_5" localSheetId="0" hidden="1">{#N/A,#N/A,FALSE,"Aging Summary";#N/A,#N/A,FALSE,"Ratio Analysis";#N/A,#N/A,FALSE,"Test 120 Day Accts";#N/A,#N/A,FALSE,"Tickmarks"}</definedName>
    <definedName name="wrn.Aging._.and._.Trend._.Analysis._2_4_5_5" localSheetId="6" hidden="1">{#N/A,#N/A,FALSE,"Aging Summary";#N/A,#N/A,FALSE,"Ratio Analysis";#N/A,#N/A,FALSE,"Test 120 Day Accts";#N/A,#N/A,FALSE,"Tickmarks"}</definedName>
    <definedName name="wrn.Aging._.and._.Trend._.Analysis._2_4_5_5" hidden="1">{#N/A,#N/A,FALSE,"Aging Summary";#N/A,#N/A,FALSE,"Ratio Analysis";#N/A,#N/A,FALSE,"Test 120 Day Accts";#N/A,#N/A,FALSE,"Tickmarks"}</definedName>
    <definedName name="wrn.Aging._.and._.Trend._.Analysis._2_5" localSheetId="0" hidden="1">{#N/A,#N/A,FALSE,"Aging Summary";#N/A,#N/A,FALSE,"Ratio Analysis";#N/A,#N/A,FALSE,"Test 120 Day Accts";#N/A,#N/A,FALSE,"Tickmarks"}</definedName>
    <definedName name="wrn.Aging._.and._.Trend._.Analysis._2_5" localSheetId="6" hidden="1">{#N/A,#N/A,FALSE,"Aging Summary";#N/A,#N/A,FALSE,"Ratio Analysis";#N/A,#N/A,FALSE,"Test 120 Day Accts";#N/A,#N/A,FALSE,"Tickmarks"}</definedName>
    <definedName name="wrn.Aging._.and._.Trend._.Analysis._2_5" hidden="1">{#N/A,#N/A,FALSE,"Aging Summary";#N/A,#N/A,FALSE,"Ratio Analysis";#N/A,#N/A,FALSE,"Test 120 Day Accts";#N/A,#N/A,FALSE,"Tickmarks"}</definedName>
    <definedName name="wrn.Aging._.and._.Trend._.Analysis._2_5_1" localSheetId="0" hidden="1">{#N/A,#N/A,FALSE,"Aging Summary";#N/A,#N/A,FALSE,"Ratio Analysis";#N/A,#N/A,FALSE,"Test 120 Day Accts";#N/A,#N/A,FALSE,"Tickmarks"}</definedName>
    <definedName name="wrn.Aging._.and._.Trend._.Analysis._2_5_1" localSheetId="6" hidden="1">{#N/A,#N/A,FALSE,"Aging Summary";#N/A,#N/A,FALSE,"Ratio Analysis";#N/A,#N/A,FALSE,"Test 120 Day Accts";#N/A,#N/A,FALSE,"Tickmarks"}</definedName>
    <definedName name="wrn.Aging._.and._.Trend._.Analysis._2_5_1" hidden="1">{#N/A,#N/A,FALSE,"Aging Summary";#N/A,#N/A,FALSE,"Ratio Analysis";#N/A,#N/A,FALSE,"Test 120 Day Accts";#N/A,#N/A,FALSE,"Tickmarks"}</definedName>
    <definedName name="wrn.Aging._.and._.Trend._.Analysis._2_5_1_1" localSheetId="0" hidden="1">{#N/A,#N/A,FALSE,"Aging Summary";#N/A,#N/A,FALSE,"Ratio Analysis";#N/A,#N/A,FALSE,"Test 120 Day Accts";#N/A,#N/A,FALSE,"Tickmarks"}</definedName>
    <definedName name="wrn.Aging._.and._.Trend._.Analysis._2_5_1_1" localSheetId="6" hidden="1">{#N/A,#N/A,FALSE,"Aging Summary";#N/A,#N/A,FALSE,"Ratio Analysis";#N/A,#N/A,FALSE,"Test 120 Day Accts";#N/A,#N/A,FALSE,"Tickmarks"}</definedName>
    <definedName name="wrn.Aging._.and._.Trend._.Analysis._2_5_1_1" hidden="1">{#N/A,#N/A,FALSE,"Aging Summary";#N/A,#N/A,FALSE,"Ratio Analysis";#N/A,#N/A,FALSE,"Test 120 Day Accts";#N/A,#N/A,FALSE,"Tickmarks"}</definedName>
    <definedName name="wrn.Aging._.and._.Trend._.Analysis._2_5_1_2" localSheetId="0" hidden="1">{#N/A,#N/A,FALSE,"Aging Summary";#N/A,#N/A,FALSE,"Ratio Analysis";#N/A,#N/A,FALSE,"Test 120 Day Accts";#N/A,#N/A,FALSE,"Tickmarks"}</definedName>
    <definedName name="wrn.Aging._.and._.Trend._.Analysis._2_5_1_2" localSheetId="6" hidden="1">{#N/A,#N/A,FALSE,"Aging Summary";#N/A,#N/A,FALSE,"Ratio Analysis";#N/A,#N/A,FALSE,"Test 120 Day Accts";#N/A,#N/A,FALSE,"Tickmarks"}</definedName>
    <definedName name="wrn.Aging._.and._.Trend._.Analysis._2_5_1_2" hidden="1">{#N/A,#N/A,FALSE,"Aging Summary";#N/A,#N/A,FALSE,"Ratio Analysis";#N/A,#N/A,FALSE,"Test 120 Day Accts";#N/A,#N/A,FALSE,"Tickmarks"}</definedName>
    <definedName name="wrn.Aging._.and._.Trend._.Analysis._2_5_1_3" localSheetId="0" hidden="1">{#N/A,#N/A,FALSE,"Aging Summary";#N/A,#N/A,FALSE,"Ratio Analysis";#N/A,#N/A,FALSE,"Test 120 Day Accts";#N/A,#N/A,FALSE,"Tickmarks"}</definedName>
    <definedName name="wrn.Aging._.and._.Trend._.Analysis._2_5_1_3" localSheetId="6" hidden="1">{#N/A,#N/A,FALSE,"Aging Summary";#N/A,#N/A,FALSE,"Ratio Analysis";#N/A,#N/A,FALSE,"Test 120 Day Accts";#N/A,#N/A,FALSE,"Tickmarks"}</definedName>
    <definedName name="wrn.Aging._.and._.Trend._.Analysis._2_5_1_3" hidden="1">{#N/A,#N/A,FALSE,"Aging Summary";#N/A,#N/A,FALSE,"Ratio Analysis";#N/A,#N/A,FALSE,"Test 120 Day Accts";#N/A,#N/A,FALSE,"Tickmarks"}</definedName>
    <definedName name="wrn.Aging._.and._.Trend._.Analysis._2_5_1_4" localSheetId="0" hidden="1">{#N/A,#N/A,FALSE,"Aging Summary";#N/A,#N/A,FALSE,"Ratio Analysis";#N/A,#N/A,FALSE,"Test 120 Day Accts";#N/A,#N/A,FALSE,"Tickmarks"}</definedName>
    <definedName name="wrn.Aging._.and._.Trend._.Analysis._2_5_1_4" localSheetId="6" hidden="1">{#N/A,#N/A,FALSE,"Aging Summary";#N/A,#N/A,FALSE,"Ratio Analysis";#N/A,#N/A,FALSE,"Test 120 Day Accts";#N/A,#N/A,FALSE,"Tickmarks"}</definedName>
    <definedName name="wrn.Aging._.and._.Trend._.Analysis._2_5_1_4" hidden="1">{#N/A,#N/A,FALSE,"Aging Summary";#N/A,#N/A,FALSE,"Ratio Analysis";#N/A,#N/A,FALSE,"Test 120 Day Accts";#N/A,#N/A,FALSE,"Tickmarks"}</definedName>
    <definedName name="wrn.Aging._.and._.Trend._.Analysis._2_5_1_5" localSheetId="0" hidden="1">{#N/A,#N/A,FALSE,"Aging Summary";#N/A,#N/A,FALSE,"Ratio Analysis";#N/A,#N/A,FALSE,"Test 120 Day Accts";#N/A,#N/A,FALSE,"Tickmarks"}</definedName>
    <definedName name="wrn.Aging._.and._.Trend._.Analysis._2_5_1_5" localSheetId="6" hidden="1">{#N/A,#N/A,FALSE,"Aging Summary";#N/A,#N/A,FALSE,"Ratio Analysis";#N/A,#N/A,FALSE,"Test 120 Day Accts";#N/A,#N/A,FALSE,"Tickmarks"}</definedName>
    <definedName name="wrn.Aging._.and._.Trend._.Analysis._2_5_1_5" hidden="1">{#N/A,#N/A,FALSE,"Aging Summary";#N/A,#N/A,FALSE,"Ratio Analysis";#N/A,#N/A,FALSE,"Test 120 Day Accts";#N/A,#N/A,FALSE,"Tickmarks"}</definedName>
    <definedName name="wrn.Aging._.and._.Trend._.Analysis._2_5_2" localSheetId="0" hidden="1">{#N/A,#N/A,FALSE,"Aging Summary";#N/A,#N/A,FALSE,"Ratio Analysis";#N/A,#N/A,FALSE,"Test 120 Day Accts";#N/A,#N/A,FALSE,"Tickmarks"}</definedName>
    <definedName name="wrn.Aging._.and._.Trend._.Analysis._2_5_2" localSheetId="6" hidden="1">{#N/A,#N/A,FALSE,"Aging Summary";#N/A,#N/A,FALSE,"Ratio Analysis";#N/A,#N/A,FALSE,"Test 120 Day Accts";#N/A,#N/A,FALSE,"Tickmarks"}</definedName>
    <definedName name="wrn.Aging._.and._.Trend._.Analysis._2_5_2" hidden="1">{#N/A,#N/A,FALSE,"Aging Summary";#N/A,#N/A,FALSE,"Ratio Analysis";#N/A,#N/A,FALSE,"Test 120 Day Accts";#N/A,#N/A,FALSE,"Tickmarks"}</definedName>
    <definedName name="wrn.Aging._.and._.Trend._.Analysis._2_5_2_1" localSheetId="0" hidden="1">{#N/A,#N/A,FALSE,"Aging Summary";#N/A,#N/A,FALSE,"Ratio Analysis";#N/A,#N/A,FALSE,"Test 120 Day Accts";#N/A,#N/A,FALSE,"Tickmarks"}</definedName>
    <definedName name="wrn.Aging._.and._.Trend._.Analysis._2_5_2_1" localSheetId="6" hidden="1">{#N/A,#N/A,FALSE,"Aging Summary";#N/A,#N/A,FALSE,"Ratio Analysis";#N/A,#N/A,FALSE,"Test 120 Day Accts";#N/A,#N/A,FALSE,"Tickmarks"}</definedName>
    <definedName name="wrn.Aging._.and._.Trend._.Analysis._2_5_2_1" hidden="1">{#N/A,#N/A,FALSE,"Aging Summary";#N/A,#N/A,FALSE,"Ratio Analysis";#N/A,#N/A,FALSE,"Test 120 Day Accts";#N/A,#N/A,FALSE,"Tickmarks"}</definedName>
    <definedName name="wrn.Aging._.and._.Trend._.Analysis._2_5_2_2" localSheetId="0" hidden="1">{#N/A,#N/A,FALSE,"Aging Summary";#N/A,#N/A,FALSE,"Ratio Analysis";#N/A,#N/A,FALSE,"Test 120 Day Accts";#N/A,#N/A,FALSE,"Tickmarks"}</definedName>
    <definedName name="wrn.Aging._.and._.Trend._.Analysis._2_5_2_2" localSheetId="6" hidden="1">{#N/A,#N/A,FALSE,"Aging Summary";#N/A,#N/A,FALSE,"Ratio Analysis";#N/A,#N/A,FALSE,"Test 120 Day Accts";#N/A,#N/A,FALSE,"Tickmarks"}</definedName>
    <definedName name="wrn.Aging._.and._.Trend._.Analysis._2_5_2_2" hidden="1">{#N/A,#N/A,FALSE,"Aging Summary";#N/A,#N/A,FALSE,"Ratio Analysis";#N/A,#N/A,FALSE,"Test 120 Day Accts";#N/A,#N/A,FALSE,"Tickmarks"}</definedName>
    <definedName name="wrn.Aging._.and._.Trend._.Analysis._2_5_2_3" localSheetId="0" hidden="1">{#N/A,#N/A,FALSE,"Aging Summary";#N/A,#N/A,FALSE,"Ratio Analysis";#N/A,#N/A,FALSE,"Test 120 Day Accts";#N/A,#N/A,FALSE,"Tickmarks"}</definedName>
    <definedName name="wrn.Aging._.and._.Trend._.Analysis._2_5_2_3" localSheetId="6" hidden="1">{#N/A,#N/A,FALSE,"Aging Summary";#N/A,#N/A,FALSE,"Ratio Analysis";#N/A,#N/A,FALSE,"Test 120 Day Accts";#N/A,#N/A,FALSE,"Tickmarks"}</definedName>
    <definedName name="wrn.Aging._.and._.Trend._.Analysis._2_5_2_3" hidden="1">{#N/A,#N/A,FALSE,"Aging Summary";#N/A,#N/A,FALSE,"Ratio Analysis";#N/A,#N/A,FALSE,"Test 120 Day Accts";#N/A,#N/A,FALSE,"Tickmarks"}</definedName>
    <definedName name="wrn.Aging._.and._.Trend._.Analysis._2_5_2_4" localSheetId="0" hidden="1">{#N/A,#N/A,FALSE,"Aging Summary";#N/A,#N/A,FALSE,"Ratio Analysis";#N/A,#N/A,FALSE,"Test 120 Day Accts";#N/A,#N/A,FALSE,"Tickmarks"}</definedName>
    <definedName name="wrn.Aging._.and._.Trend._.Analysis._2_5_2_4" localSheetId="6" hidden="1">{#N/A,#N/A,FALSE,"Aging Summary";#N/A,#N/A,FALSE,"Ratio Analysis";#N/A,#N/A,FALSE,"Test 120 Day Accts";#N/A,#N/A,FALSE,"Tickmarks"}</definedName>
    <definedName name="wrn.Aging._.and._.Trend._.Analysis._2_5_2_4" hidden="1">{#N/A,#N/A,FALSE,"Aging Summary";#N/A,#N/A,FALSE,"Ratio Analysis";#N/A,#N/A,FALSE,"Test 120 Day Accts";#N/A,#N/A,FALSE,"Tickmarks"}</definedName>
    <definedName name="wrn.Aging._.and._.Trend._.Analysis._2_5_2_5" localSheetId="0" hidden="1">{#N/A,#N/A,FALSE,"Aging Summary";#N/A,#N/A,FALSE,"Ratio Analysis";#N/A,#N/A,FALSE,"Test 120 Day Accts";#N/A,#N/A,FALSE,"Tickmarks"}</definedName>
    <definedName name="wrn.Aging._.and._.Trend._.Analysis._2_5_2_5" localSheetId="6" hidden="1">{#N/A,#N/A,FALSE,"Aging Summary";#N/A,#N/A,FALSE,"Ratio Analysis";#N/A,#N/A,FALSE,"Test 120 Day Accts";#N/A,#N/A,FALSE,"Tickmarks"}</definedName>
    <definedName name="wrn.Aging._.and._.Trend._.Analysis._2_5_2_5" hidden="1">{#N/A,#N/A,FALSE,"Aging Summary";#N/A,#N/A,FALSE,"Ratio Analysis";#N/A,#N/A,FALSE,"Test 120 Day Accts";#N/A,#N/A,FALSE,"Tickmarks"}</definedName>
    <definedName name="wrn.Aging._.and._.Trend._.Analysis._2_5_3" localSheetId="0" hidden="1">{#N/A,#N/A,FALSE,"Aging Summary";#N/A,#N/A,FALSE,"Ratio Analysis";#N/A,#N/A,FALSE,"Test 120 Day Accts";#N/A,#N/A,FALSE,"Tickmarks"}</definedName>
    <definedName name="wrn.Aging._.and._.Trend._.Analysis._2_5_3" localSheetId="6" hidden="1">{#N/A,#N/A,FALSE,"Aging Summary";#N/A,#N/A,FALSE,"Ratio Analysis";#N/A,#N/A,FALSE,"Test 120 Day Accts";#N/A,#N/A,FALSE,"Tickmarks"}</definedName>
    <definedName name="wrn.Aging._.and._.Trend._.Analysis._2_5_3" hidden="1">{#N/A,#N/A,FALSE,"Aging Summary";#N/A,#N/A,FALSE,"Ratio Analysis";#N/A,#N/A,FALSE,"Test 120 Day Accts";#N/A,#N/A,FALSE,"Tickmarks"}</definedName>
    <definedName name="wrn.Aging._.and._.Trend._.Analysis._2_5_3_1" localSheetId="0" hidden="1">{#N/A,#N/A,FALSE,"Aging Summary";#N/A,#N/A,FALSE,"Ratio Analysis";#N/A,#N/A,FALSE,"Test 120 Day Accts";#N/A,#N/A,FALSE,"Tickmarks"}</definedName>
    <definedName name="wrn.Aging._.and._.Trend._.Analysis._2_5_3_1" localSheetId="6" hidden="1">{#N/A,#N/A,FALSE,"Aging Summary";#N/A,#N/A,FALSE,"Ratio Analysis";#N/A,#N/A,FALSE,"Test 120 Day Accts";#N/A,#N/A,FALSE,"Tickmarks"}</definedName>
    <definedName name="wrn.Aging._.and._.Trend._.Analysis._2_5_3_1" hidden="1">{#N/A,#N/A,FALSE,"Aging Summary";#N/A,#N/A,FALSE,"Ratio Analysis";#N/A,#N/A,FALSE,"Test 120 Day Accts";#N/A,#N/A,FALSE,"Tickmarks"}</definedName>
    <definedName name="wrn.Aging._.and._.Trend._.Analysis._2_5_3_2" localSheetId="0" hidden="1">{#N/A,#N/A,FALSE,"Aging Summary";#N/A,#N/A,FALSE,"Ratio Analysis";#N/A,#N/A,FALSE,"Test 120 Day Accts";#N/A,#N/A,FALSE,"Tickmarks"}</definedName>
    <definedName name="wrn.Aging._.and._.Trend._.Analysis._2_5_3_2" localSheetId="6" hidden="1">{#N/A,#N/A,FALSE,"Aging Summary";#N/A,#N/A,FALSE,"Ratio Analysis";#N/A,#N/A,FALSE,"Test 120 Day Accts";#N/A,#N/A,FALSE,"Tickmarks"}</definedName>
    <definedName name="wrn.Aging._.and._.Trend._.Analysis._2_5_3_2" hidden="1">{#N/A,#N/A,FALSE,"Aging Summary";#N/A,#N/A,FALSE,"Ratio Analysis";#N/A,#N/A,FALSE,"Test 120 Day Accts";#N/A,#N/A,FALSE,"Tickmarks"}</definedName>
    <definedName name="wrn.Aging._.and._.Trend._.Analysis._2_5_3_3" localSheetId="0" hidden="1">{#N/A,#N/A,FALSE,"Aging Summary";#N/A,#N/A,FALSE,"Ratio Analysis";#N/A,#N/A,FALSE,"Test 120 Day Accts";#N/A,#N/A,FALSE,"Tickmarks"}</definedName>
    <definedName name="wrn.Aging._.and._.Trend._.Analysis._2_5_3_3" localSheetId="6" hidden="1">{#N/A,#N/A,FALSE,"Aging Summary";#N/A,#N/A,FALSE,"Ratio Analysis";#N/A,#N/A,FALSE,"Test 120 Day Accts";#N/A,#N/A,FALSE,"Tickmarks"}</definedName>
    <definedName name="wrn.Aging._.and._.Trend._.Analysis._2_5_3_3" hidden="1">{#N/A,#N/A,FALSE,"Aging Summary";#N/A,#N/A,FALSE,"Ratio Analysis";#N/A,#N/A,FALSE,"Test 120 Day Accts";#N/A,#N/A,FALSE,"Tickmarks"}</definedName>
    <definedName name="wrn.Aging._.and._.Trend._.Analysis._2_5_3_4" localSheetId="0" hidden="1">{#N/A,#N/A,FALSE,"Aging Summary";#N/A,#N/A,FALSE,"Ratio Analysis";#N/A,#N/A,FALSE,"Test 120 Day Accts";#N/A,#N/A,FALSE,"Tickmarks"}</definedName>
    <definedName name="wrn.Aging._.and._.Trend._.Analysis._2_5_3_4" localSheetId="6" hidden="1">{#N/A,#N/A,FALSE,"Aging Summary";#N/A,#N/A,FALSE,"Ratio Analysis";#N/A,#N/A,FALSE,"Test 120 Day Accts";#N/A,#N/A,FALSE,"Tickmarks"}</definedName>
    <definedName name="wrn.Aging._.and._.Trend._.Analysis._2_5_3_4" hidden="1">{#N/A,#N/A,FALSE,"Aging Summary";#N/A,#N/A,FALSE,"Ratio Analysis";#N/A,#N/A,FALSE,"Test 120 Day Accts";#N/A,#N/A,FALSE,"Tickmarks"}</definedName>
    <definedName name="wrn.Aging._.and._.Trend._.Analysis._2_5_3_5" localSheetId="0" hidden="1">{#N/A,#N/A,FALSE,"Aging Summary";#N/A,#N/A,FALSE,"Ratio Analysis";#N/A,#N/A,FALSE,"Test 120 Day Accts";#N/A,#N/A,FALSE,"Tickmarks"}</definedName>
    <definedName name="wrn.Aging._.and._.Trend._.Analysis._2_5_3_5" localSheetId="6" hidden="1">{#N/A,#N/A,FALSE,"Aging Summary";#N/A,#N/A,FALSE,"Ratio Analysis";#N/A,#N/A,FALSE,"Test 120 Day Accts";#N/A,#N/A,FALSE,"Tickmarks"}</definedName>
    <definedName name="wrn.Aging._.and._.Trend._.Analysis._2_5_3_5" hidden="1">{#N/A,#N/A,FALSE,"Aging Summary";#N/A,#N/A,FALSE,"Ratio Analysis";#N/A,#N/A,FALSE,"Test 120 Day Accts";#N/A,#N/A,FALSE,"Tickmarks"}</definedName>
    <definedName name="wrn.Aging._.and._.Trend._.Analysis._2_5_4" localSheetId="0" hidden="1">{#N/A,#N/A,FALSE,"Aging Summary";#N/A,#N/A,FALSE,"Ratio Analysis";#N/A,#N/A,FALSE,"Test 120 Day Accts";#N/A,#N/A,FALSE,"Tickmarks"}</definedName>
    <definedName name="wrn.Aging._.and._.Trend._.Analysis._2_5_4" localSheetId="6" hidden="1">{#N/A,#N/A,FALSE,"Aging Summary";#N/A,#N/A,FALSE,"Ratio Analysis";#N/A,#N/A,FALSE,"Test 120 Day Accts";#N/A,#N/A,FALSE,"Tickmarks"}</definedName>
    <definedName name="wrn.Aging._.and._.Trend._.Analysis._2_5_4" hidden="1">{#N/A,#N/A,FALSE,"Aging Summary";#N/A,#N/A,FALSE,"Ratio Analysis";#N/A,#N/A,FALSE,"Test 120 Day Accts";#N/A,#N/A,FALSE,"Tickmarks"}</definedName>
    <definedName name="wrn.Aging._.and._.Trend._.Analysis._2_5_4_1" localSheetId="0" hidden="1">{#N/A,#N/A,FALSE,"Aging Summary";#N/A,#N/A,FALSE,"Ratio Analysis";#N/A,#N/A,FALSE,"Test 120 Day Accts";#N/A,#N/A,FALSE,"Tickmarks"}</definedName>
    <definedName name="wrn.Aging._.and._.Trend._.Analysis._2_5_4_1" localSheetId="6" hidden="1">{#N/A,#N/A,FALSE,"Aging Summary";#N/A,#N/A,FALSE,"Ratio Analysis";#N/A,#N/A,FALSE,"Test 120 Day Accts";#N/A,#N/A,FALSE,"Tickmarks"}</definedName>
    <definedName name="wrn.Aging._.and._.Trend._.Analysis._2_5_4_1" hidden="1">{#N/A,#N/A,FALSE,"Aging Summary";#N/A,#N/A,FALSE,"Ratio Analysis";#N/A,#N/A,FALSE,"Test 120 Day Accts";#N/A,#N/A,FALSE,"Tickmarks"}</definedName>
    <definedName name="wrn.Aging._.and._.Trend._.Analysis._2_5_4_2" localSheetId="0" hidden="1">{#N/A,#N/A,FALSE,"Aging Summary";#N/A,#N/A,FALSE,"Ratio Analysis";#N/A,#N/A,FALSE,"Test 120 Day Accts";#N/A,#N/A,FALSE,"Tickmarks"}</definedName>
    <definedName name="wrn.Aging._.and._.Trend._.Analysis._2_5_4_2" localSheetId="6" hidden="1">{#N/A,#N/A,FALSE,"Aging Summary";#N/A,#N/A,FALSE,"Ratio Analysis";#N/A,#N/A,FALSE,"Test 120 Day Accts";#N/A,#N/A,FALSE,"Tickmarks"}</definedName>
    <definedName name="wrn.Aging._.and._.Trend._.Analysis._2_5_4_2" hidden="1">{#N/A,#N/A,FALSE,"Aging Summary";#N/A,#N/A,FALSE,"Ratio Analysis";#N/A,#N/A,FALSE,"Test 120 Day Accts";#N/A,#N/A,FALSE,"Tickmarks"}</definedName>
    <definedName name="wrn.Aging._.and._.Trend._.Analysis._2_5_4_3" localSheetId="0" hidden="1">{#N/A,#N/A,FALSE,"Aging Summary";#N/A,#N/A,FALSE,"Ratio Analysis";#N/A,#N/A,FALSE,"Test 120 Day Accts";#N/A,#N/A,FALSE,"Tickmarks"}</definedName>
    <definedName name="wrn.Aging._.and._.Trend._.Analysis._2_5_4_3" localSheetId="6" hidden="1">{#N/A,#N/A,FALSE,"Aging Summary";#N/A,#N/A,FALSE,"Ratio Analysis";#N/A,#N/A,FALSE,"Test 120 Day Accts";#N/A,#N/A,FALSE,"Tickmarks"}</definedName>
    <definedName name="wrn.Aging._.and._.Trend._.Analysis._2_5_4_3" hidden="1">{#N/A,#N/A,FALSE,"Aging Summary";#N/A,#N/A,FALSE,"Ratio Analysis";#N/A,#N/A,FALSE,"Test 120 Day Accts";#N/A,#N/A,FALSE,"Tickmarks"}</definedName>
    <definedName name="wrn.Aging._.and._.Trend._.Analysis._2_5_4_4" localSheetId="0" hidden="1">{#N/A,#N/A,FALSE,"Aging Summary";#N/A,#N/A,FALSE,"Ratio Analysis";#N/A,#N/A,FALSE,"Test 120 Day Accts";#N/A,#N/A,FALSE,"Tickmarks"}</definedName>
    <definedName name="wrn.Aging._.and._.Trend._.Analysis._2_5_4_4" localSheetId="6" hidden="1">{#N/A,#N/A,FALSE,"Aging Summary";#N/A,#N/A,FALSE,"Ratio Analysis";#N/A,#N/A,FALSE,"Test 120 Day Accts";#N/A,#N/A,FALSE,"Tickmarks"}</definedName>
    <definedName name="wrn.Aging._.and._.Trend._.Analysis._2_5_4_4" hidden="1">{#N/A,#N/A,FALSE,"Aging Summary";#N/A,#N/A,FALSE,"Ratio Analysis";#N/A,#N/A,FALSE,"Test 120 Day Accts";#N/A,#N/A,FALSE,"Tickmarks"}</definedName>
    <definedName name="wrn.Aging._.and._.Trend._.Analysis._2_5_4_5" localSheetId="0" hidden="1">{#N/A,#N/A,FALSE,"Aging Summary";#N/A,#N/A,FALSE,"Ratio Analysis";#N/A,#N/A,FALSE,"Test 120 Day Accts";#N/A,#N/A,FALSE,"Tickmarks"}</definedName>
    <definedName name="wrn.Aging._.and._.Trend._.Analysis._2_5_4_5" localSheetId="6" hidden="1">{#N/A,#N/A,FALSE,"Aging Summary";#N/A,#N/A,FALSE,"Ratio Analysis";#N/A,#N/A,FALSE,"Test 120 Day Accts";#N/A,#N/A,FALSE,"Tickmarks"}</definedName>
    <definedName name="wrn.Aging._.and._.Trend._.Analysis._2_5_4_5" hidden="1">{#N/A,#N/A,FALSE,"Aging Summary";#N/A,#N/A,FALSE,"Ratio Analysis";#N/A,#N/A,FALSE,"Test 120 Day Accts";#N/A,#N/A,FALSE,"Tickmarks"}</definedName>
    <definedName name="wrn.Aging._.and._.Trend._.Analysis._2_5_5" localSheetId="0" hidden="1">{#N/A,#N/A,FALSE,"Aging Summary";#N/A,#N/A,FALSE,"Ratio Analysis";#N/A,#N/A,FALSE,"Test 120 Day Accts";#N/A,#N/A,FALSE,"Tickmarks"}</definedName>
    <definedName name="wrn.Aging._.and._.Trend._.Analysis._2_5_5" localSheetId="6" hidden="1">{#N/A,#N/A,FALSE,"Aging Summary";#N/A,#N/A,FALSE,"Ratio Analysis";#N/A,#N/A,FALSE,"Test 120 Day Accts";#N/A,#N/A,FALSE,"Tickmarks"}</definedName>
    <definedName name="wrn.Aging._.and._.Trend._.Analysis._2_5_5" hidden="1">{#N/A,#N/A,FALSE,"Aging Summary";#N/A,#N/A,FALSE,"Ratio Analysis";#N/A,#N/A,FALSE,"Test 120 Day Accts";#N/A,#N/A,FALSE,"Tickmarks"}</definedName>
    <definedName name="wrn.Aging._.and._.Trend._.Analysis._2_5_5_1" localSheetId="0" hidden="1">{#N/A,#N/A,FALSE,"Aging Summary";#N/A,#N/A,FALSE,"Ratio Analysis";#N/A,#N/A,FALSE,"Test 120 Day Accts";#N/A,#N/A,FALSE,"Tickmarks"}</definedName>
    <definedName name="wrn.Aging._.and._.Trend._.Analysis._2_5_5_1" localSheetId="6" hidden="1">{#N/A,#N/A,FALSE,"Aging Summary";#N/A,#N/A,FALSE,"Ratio Analysis";#N/A,#N/A,FALSE,"Test 120 Day Accts";#N/A,#N/A,FALSE,"Tickmarks"}</definedName>
    <definedName name="wrn.Aging._.and._.Trend._.Analysis._2_5_5_1" hidden="1">{#N/A,#N/A,FALSE,"Aging Summary";#N/A,#N/A,FALSE,"Ratio Analysis";#N/A,#N/A,FALSE,"Test 120 Day Accts";#N/A,#N/A,FALSE,"Tickmarks"}</definedName>
    <definedName name="wrn.Aging._.and._.Trend._.Analysis._2_5_5_2" localSheetId="0" hidden="1">{#N/A,#N/A,FALSE,"Aging Summary";#N/A,#N/A,FALSE,"Ratio Analysis";#N/A,#N/A,FALSE,"Test 120 Day Accts";#N/A,#N/A,FALSE,"Tickmarks"}</definedName>
    <definedName name="wrn.Aging._.and._.Trend._.Analysis._2_5_5_2" localSheetId="6" hidden="1">{#N/A,#N/A,FALSE,"Aging Summary";#N/A,#N/A,FALSE,"Ratio Analysis";#N/A,#N/A,FALSE,"Test 120 Day Accts";#N/A,#N/A,FALSE,"Tickmarks"}</definedName>
    <definedName name="wrn.Aging._.and._.Trend._.Analysis._2_5_5_2" hidden="1">{#N/A,#N/A,FALSE,"Aging Summary";#N/A,#N/A,FALSE,"Ratio Analysis";#N/A,#N/A,FALSE,"Test 120 Day Accts";#N/A,#N/A,FALSE,"Tickmarks"}</definedName>
    <definedName name="wrn.Aging._.and._.Trend._.Analysis._2_5_5_3" localSheetId="0" hidden="1">{#N/A,#N/A,FALSE,"Aging Summary";#N/A,#N/A,FALSE,"Ratio Analysis";#N/A,#N/A,FALSE,"Test 120 Day Accts";#N/A,#N/A,FALSE,"Tickmarks"}</definedName>
    <definedName name="wrn.Aging._.and._.Trend._.Analysis._2_5_5_3" localSheetId="6" hidden="1">{#N/A,#N/A,FALSE,"Aging Summary";#N/A,#N/A,FALSE,"Ratio Analysis";#N/A,#N/A,FALSE,"Test 120 Day Accts";#N/A,#N/A,FALSE,"Tickmarks"}</definedName>
    <definedName name="wrn.Aging._.and._.Trend._.Analysis._2_5_5_3" hidden="1">{#N/A,#N/A,FALSE,"Aging Summary";#N/A,#N/A,FALSE,"Ratio Analysis";#N/A,#N/A,FALSE,"Test 120 Day Accts";#N/A,#N/A,FALSE,"Tickmarks"}</definedName>
    <definedName name="wrn.Aging._.and._.Trend._.Analysis._2_5_5_4" localSheetId="0" hidden="1">{#N/A,#N/A,FALSE,"Aging Summary";#N/A,#N/A,FALSE,"Ratio Analysis";#N/A,#N/A,FALSE,"Test 120 Day Accts";#N/A,#N/A,FALSE,"Tickmarks"}</definedName>
    <definedName name="wrn.Aging._.and._.Trend._.Analysis._2_5_5_4" localSheetId="6" hidden="1">{#N/A,#N/A,FALSE,"Aging Summary";#N/A,#N/A,FALSE,"Ratio Analysis";#N/A,#N/A,FALSE,"Test 120 Day Accts";#N/A,#N/A,FALSE,"Tickmarks"}</definedName>
    <definedName name="wrn.Aging._.and._.Trend._.Analysis._2_5_5_4" hidden="1">{#N/A,#N/A,FALSE,"Aging Summary";#N/A,#N/A,FALSE,"Ratio Analysis";#N/A,#N/A,FALSE,"Test 120 Day Accts";#N/A,#N/A,FALSE,"Tickmarks"}</definedName>
    <definedName name="wrn.Aging._.and._.Trend._.Analysis._2_5_5_5" localSheetId="0" hidden="1">{#N/A,#N/A,FALSE,"Aging Summary";#N/A,#N/A,FALSE,"Ratio Analysis";#N/A,#N/A,FALSE,"Test 120 Day Accts";#N/A,#N/A,FALSE,"Tickmarks"}</definedName>
    <definedName name="wrn.Aging._.and._.Trend._.Analysis._2_5_5_5" localSheetId="6" hidden="1">{#N/A,#N/A,FALSE,"Aging Summary";#N/A,#N/A,FALSE,"Ratio Analysis";#N/A,#N/A,FALSE,"Test 120 Day Accts";#N/A,#N/A,FALSE,"Tickmarks"}</definedName>
    <definedName name="wrn.Aging._.and._.Trend._.Analysis._2_5_5_5"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6"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3_1" localSheetId="0" hidden="1">{#N/A,#N/A,FALSE,"Aging Summary";#N/A,#N/A,FALSE,"Ratio Analysis";#N/A,#N/A,FALSE,"Test 120 Day Accts";#N/A,#N/A,FALSE,"Tickmarks"}</definedName>
    <definedName name="wrn.Aging._.and._.Trend._.Analysis._3_1" localSheetId="6" hidden="1">{#N/A,#N/A,FALSE,"Aging Summary";#N/A,#N/A,FALSE,"Ratio Analysis";#N/A,#N/A,FALSE,"Test 120 Day Accts";#N/A,#N/A,FALSE,"Tickmarks"}</definedName>
    <definedName name="wrn.Aging._.and._.Trend._.Analysis._3_1" hidden="1">{#N/A,#N/A,FALSE,"Aging Summary";#N/A,#N/A,FALSE,"Ratio Analysis";#N/A,#N/A,FALSE,"Test 120 Day Accts";#N/A,#N/A,FALSE,"Tickmarks"}</definedName>
    <definedName name="wrn.Aging._.and._.Trend._.Analysis._3_1_1" localSheetId="0" hidden="1">{#N/A,#N/A,FALSE,"Aging Summary";#N/A,#N/A,FALSE,"Ratio Analysis";#N/A,#N/A,FALSE,"Test 120 Day Accts";#N/A,#N/A,FALSE,"Tickmarks"}</definedName>
    <definedName name="wrn.Aging._.and._.Trend._.Analysis._3_1_1" localSheetId="6" hidden="1">{#N/A,#N/A,FALSE,"Aging Summary";#N/A,#N/A,FALSE,"Ratio Analysis";#N/A,#N/A,FALSE,"Test 120 Day Accts";#N/A,#N/A,FALSE,"Tickmarks"}</definedName>
    <definedName name="wrn.Aging._.and._.Trend._.Analysis._3_1_1" hidden="1">{#N/A,#N/A,FALSE,"Aging Summary";#N/A,#N/A,FALSE,"Ratio Analysis";#N/A,#N/A,FALSE,"Test 120 Day Accts";#N/A,#N/A,FALSE,"Tickmarks"}</definedName>
    <definedName name="wrn.Aging._.and._.Trend._.Analysis._3_1_2" localSheetId="0" hidden="1">{#N/A,#N/A,FALSE,"Aging Summary";#N/A,#N/A,FALSE,"Ratio Analysis";#N/A,#N/A,FALSE,"Test 120 Day Accts";#N/A,#N/A,FALSE,"Tickmarks"}</definedName>
    <definedName name="wrn.Aging._.and._.Trend._.Analysis._3_1_2" localSheetId="6" hidden="1">{#N/A,#N/A,FALSE,"Aging Summary";#N/A,#N/A,FALSE,"Ratio Analysis";#N/A,#N/A,FALSE,"Test 120 Day Accts";#N/A,#N/A,FALSE,"Tickmarks"}</definedName>
    <definedName name="wrn.Aging._.and._.Trend._.Analysis._3_1_2" hidden="1">{#N/A,#N/A,FALSE,"Aging Summary";#N/A,#N/A,FALSE,"Ratio Analysis";#N/A,#N/A,FALSE,"Test 120 Day Accts";#N/A,#N/A,FALSE,"Tickmarks"}</definedName>
    <definedName name="wrn.Aging._.and._.Trend._.Analysis._3_1_3" localSheetId="0" hidden="1">{#N/A,#N/A,FALSE,"Aging Summary";#N/A,#N/A,FALSE,"Ratio Analysis";#N/A,#N/A,FALSE,"Test 120 Day Accts";#N/A,#N/A,FALSE,"Tickmarks"}</definedName>
    <definedName name="wrn.Aging._.and._.Trend._.Analysis._3_1_3" localSheetId="6" hidden="1">{#N/A,#N/A,FALSE,"Aging Summary";#N/A,#N/A,FALSE,"Ratio Analysis";#N/A,#N/A,FALSE,"Test 120 Day Accts";#N/A,#N/A,FALSE,"Tickmarks"}</definedName>
    <definedName name="wrn.Aging._.and._.Trend._.Analysis._3_1_3" hidden="1">{#N/A,#N/A,FALSE,"Aging Summary";#N/A,#N/A,FALSE,"Ratio Analysis";#N/A,#N/A,FALSE,"Test 120 Day Accts";#N/A,#N/A,FALSE,"Tickmarks"}</definedName>
    <definedName name="wrn.Aging._.and._.Trend._.Analysis._3_1_4" localSheetId="0" hidden="1">{#N/A,#N/A,FALSE,"Aging Summary";#N/A,#N/A,FALSE,"Ratio Analysis";#N/A,#N/A,FALSE,"Test 120 Day Accts";#N/A,#N/A,FALSE,"Tickmarks"}</definedName>
    <definedName name="wrn.Aging._.and._.Trend._.Analysis._3_1_4" localSheetId="6" hidden="1">{#N/A,#N/A,FALSE,"Aging Summary";#N/A,#N/A,FALSE,"Ratio Analysis";#N/A,#N/A,FALSE,"Test 120 Day Accts";#N/A,#N/A,FALSE,"Tickmarks"}</definedName>
    <definedName name="wrn.Aging._.and._.Trend._.Analysis._3_1_4" hidden="1">{#N/A,#N/A,FALSE,"Aging Summary";#N/A,#N/A,FALSE,"Ratio Analysis";#N/A,#N/A,FALSE,"Test 120 Day Accts";#N/A,#N/A,FALSE,"Tickmarks"}</definedName>
    <definedName name="wrn.Aging._.and._.Trend._.Analysis._3_1_5" localSheetId="0" hidden="1">{#N/A,#N/A,FALSE,"Aging Summary";#N/A,#N/A,FALSE,"Ratio Analysis";#N/A,#N/A,FALSE,"Test 120 Day Accts";#N/A,#N/A,FALSE,"Tickmarks"}</definedName>
    <definedName name="wrn.Aging._.and._.Trend._.Analysis._3_1_5" localSheetId="6" hidden="1">{#N/A,#N/A,FALSE,"Aging Summary";#N/A,#N/A,FALSE,"Ratio Analysis";#N/A,#N/A,FALSE,"Test 120 Day Accts";#N/A,#N/A,FALSE,"Tickmarks"}</definedName>
    <definedName name="wrn.Aging._.and._.Trend._.Analysis._3_1_5" hidden="1">{#N/A,#N/A,FALSE,"Aging Summary";#N/A,#N/A,FALSE,"Ratio Analysis";#N/A,#N/A,FALSE,"Test 120 Day Accts";#N/A,#N/A,FALSE,"Tickmarks"}</definedName>
    <definedName name="wrn.Aging._.and._.Trend._.Analysis._3_2" localSheetId="0" hidden="1">{#N/A,#N/A,FALSE,"Aging Summary";#N/A,#N/A,FALSE,"Ratio Analysis";#N/A,#N/A,FALSE,"Test 120 Day Accts";#N/A,#N/A,FALSE,"Tickmarks"}</definedName>
    <definedName name="wrn.Aging._.and._.Trend._.Analysis._3_2" localSheetId="6" hidden="1">{#N/A,#N/A,FALSE,"Aging Summary";#N/A,#N/A,FALSE,"Ratio Analysis";#N/A,#N/A,FALSE,"Test 120 Day Accts";#N/A,#N/A,FALSE,"Tickmarks"}</definedName>
    <definedName name="wrn.Aging._.and._.Trend._.Analysis._3_2" hidden="1">{#N/A,#N/A,FALSE,"Aging Summary";#N/A,#N/A,FALSE,"Ratio Analysis";#N/A,#N/A,FALSE,"Test 120 Day Accts";#N/A,#N/A,FALSE,"Tickmarks"}</definedName>
    <definedName name="wrn.Aging._.and._.Trend._.Analysis._3_2_1" localSheetId="0" hidden="1">{#N/A,#N/A,FALSE,"Aging Summary";#N/A,#N/A,FALSE,"Ratio Analysis";#N/A,#N/A,FALSE,"Test 120 Day Accts";#N/A,#N/A,FALSE,"Tickmarks"}</definedName>
    <definedName name="wrn.Aging._.and._.Trend._.Analysis._3_2_1" localSheetId="6" hidden="1">{#N/A,#N/A,FALSE,"Aging Summary";#N/A,#N/A,FALSE,"Ratio Analysis";#N/A,#N/A,FALSE,"Test 120 Day Accts";#N/A,#N/A,FALSE,"Tickmarks"}</definedName>
    <definedName name="wrn.Aging._.and._.Trend._.Analysis._3_2_1" hidden="1">{#N/A,#N/A,FALSE,"Aging Summary";#N/A,#N/A,FALSE,"Ratio Analysis";#N/A,#N/A,FALSE,"Test 120 Day Accts";#N/A,#N/A,FALSE,"Tickmarks"}</definedName>
    <definedName name="wrn.Aging._.and._.Trend._.Analysis._3_2_2" localSheetId="0" hidden="1">{#N/A,#N/A,FALSE,"Aging Summary";#N/A,#N/A,FALSE,"Ratio Analysis";#N/A,#N/A,FALSE,"Test 120 Day Accts";#N/A,#N/A,FALSE,"Tickmarks"}</definedName>
    <definedName name="wrn.Aging._.and._.Trend._.Analysis._3_2_2" localSheetId="6" hidden="1">{#N/A,#N/A,FALSE,"Aging Summary";#N/A,#N/A,FALSE,"Ratio Analysis";#N/A,#N/A,FALSE,"Test 120 Day Accts";#N/A,#N/A,FALSE,"Tickmarks"}</definedName>
    <definedName name="wrn.Aging._.and._.Trend._.Analysis._3_2_2" hidden="1">{#N/A,#N/A,FALSE,"Aging Summary";#N/A,#N/A,FALSE,"Ratio Analysis";#N/A,#N/A,FALSE,"Test 120 Day Accts";#N/A,#N/A,FALSE,"Tickmarks"}</definedName>
    <definedName name="wrn.Aging._.and._.Trend._.Analysis._3_2_3" localSheetId="0" hidden="1">{#N/A,#N/A,FALSE,"Aging Summary";#N/A,#N/A,FALSE,"Ratio Analysis";#N/A,#N/A,FALSE,"Test 120 Day Accts";#N/A,#N/A,FALSE,"Tickmarks"}</definedName>
    <definedName name="wrn.Aging._.and._.Trend._.Analysis._3_2_3" localSheetId="6" hidden="1">{#N/A,#N/A,FALSE,"Aging Summary";#N/A,#N/A,FALSE,"Ratio Analysis";#N/A,#N/A,FALSE,"Test 120 Day Accts";#N/A,#N/A,FALSE,"Tickmarks"}</definedName>
    <definedName name="wrn.Aging._.and._.Trend._.Analysis._3_2_3" hidden="1">{#N/A,#N/A,FALSE,"Aging Summary";#N/A,#N/A,FALSE,"Ratio Analysis";#N/A,#N/A,FALSE,"Test 120 Day Accts";#N/A,#N/A,FALSE,"Tickmarks"}</definedName>
    <definedName name="wrn.Aging._.and._.Trend._.Analysis._3_2_4" localSheetId="0" hidden="1">{#N/A,#N/A,FALSE,"Aging Summary";#N/A,#N/A,FALSE,"Ratio Analysis";#N/A,#N/A,FALSE,"Test 120 Day Accts";#N/A,#N/A,FALSE,"Tickmarks"}</definedName>
    <definedName name="wrn.Aging._.and._.Trend._.Analysis._3_2_4" localSheetId="6" hidden="1">{#N/A,#N/A,FALSE,"Aging Summary";#N/A,#N/A,FALSE,"Ratio Analysis";#N/A,#N/A,FALSE,"Test 120 Day Accts";#N/A,#N/A,FALSE,"Tickmarks"}</definedName>
    <definedName name="wrn.Aging._.and._.Trend._.Analysis._3_2_4" hidden="1">{#N/A,#N/A,FALSE,"Aging Summary";#N/A,#N/A,FALSE,"Ratio Analysis";#N/A,#N/A,FALSE,"Test 120 Day Accts";#N/A,#N/A,FALSE,"Tickmarks"}</definedName>
    <definedName name="wrn.Aging._.and._.Trend._.Analysis._3_2_5" localSheetId="0" hidden="1">{#N/A,#N/A,FALSE,"Aging Summary";#N/A,#N/A,FALSE,"Ratio Analysis";#N/A,#N/A,FALSE,"Test 120 Day Accts";#N/A,#N/A,FALSE,"Tickmarks"}</definedName>
    <definedName name="wrn.Aging._.and._.Trend._.Analysis._3_2_5" localSheetId="6" hidden="1">{#N/A,#N/A,FALSE,"Aging Summary";#N/A,#N/A,FALSE,"Ratio Analysis";#N/A,#N/A,FALSE,"Test 120 Day Accts";#N/A,#N/A,FALSE,"Tickmarks"}</definedName>
    <definedName name="wrn.Aging._.and._.Trend._.Analysis._3_2_5" hidden="1">{#N/A,#N/A,FALSE,"Aging Summary";#N/A,#N/A,FALSE,"Ratio Analysis";#N/A,#N/A,FALSE,"Test 120 Day Accts";#N/A,#N/A,FALSE,"Tickmarks"}</definedName>
    <definedName name="wrn.Aging._.and._.Trend._.Analysis._3_3" localSheetId="0" hidden="1">{#N/A,#N/A,FALSE,"Aging Summary";#N/A,#N/A,FALSE,"Ratio Analysis";#N/A,#N/A,FALSE,"Test 120 Day Accts";#N/A,#N/A,FALSE,"Tickmarks"}</definedName>
    <definedName name="wrn.Aging._.and._.Trend._.Analysis._3_3" localSheetId="6" hidden="1">{#N/A,#N/A,FALSE,"Aging Summary";#N/A,#N/A,FALSE,"Ratio Analysis";#N/A,#N/A,FALSE,"Test 120 Day Accts";#N/A,#N/A,FALSE,"Tickmarks"}</definedName>
    <definedName name="wrn.Aging._.and._.Trend._.Analysis._3_3" hidden="1">{#N/A,#N/A,FALSE,"Aging Summary";#N/A,#N/A,FALSE,"Ratio Analysis";#N/A,#N/A,FALSE,"Test 120 Day Accts";#N/A,#N/A,FALSE,"Tickmarks"}</definedName>
    <definedName name="wrn.Aging._.and._.Trend._.Analysis._3_3_1" localSheetId="0" hidden="1">{#N/A,#N/A,FALSE,"Aging Summary";#N/A,#N/A,FALSE,"Ratio Analysis";#N/A,#N/A,FALSE,"Test 120 Day Accts";#N/A,#N/A,FALSE,"Tickmarks"}</definedName>
    <definedName name="wrn.Aging._.and._.Trend._.Analysis._3_3_1" localSheetId="6" hidden="1">{#N/A,#N/A,FALSE,"Aging Summary";#N/A,#N/A,FALSE,"Ratio Analysis";#N/A,#N/A,FALSE,"Test 120 Day Accts";#N/A,#N/A,FALSE,"Tickmarks"}</definedName>
    <definedName name="wrn.Aging._.and._.Trend._.Analysis._3_3_1" hidden="1">{#N/A,#N/A,FALSE,"Aging Summary";#N/A,#N/A,FALSE,"Ratio Analysis";#N/A,#N/A,FALSE,"Test 120 Day Accts";#N/A,#N/A,FALSE,"Tickmarks"}</definedName>
    <definedName name="wrn.Aging._.and._.Trend._.Analysis._3_3_2" localSheetId="0" hidden="1">{#N/A,#N/A,FALSE,"Aging Summary";#N/A,#N/A,FALSE,"Ratio Analysis";#N/A,#N/A,FALSE,"Test 120 Day Accts";#N/A,#N/A,FALSE,"Tickmarks"}</definedName>
    <definedName name="wrn.Aging._.and._.Trend._.Analysis._3_3_2" localSheetId="6" hidden="1">{#N/A,#N/A,FALSE,"Aging Summary";#N/A,#N/A,FALSE,"Ratio Analysis";#N/A,#N/A,FALSE,"Test 120 Day Accts";#N/A,#N/A,FALSE,"Tickmarks"}</definedName>
    <definedName name="wrn.Aging._.and._.Trend._.Analysis._3_3_2" hidden="1">{#N/A,#N/A,FALSE,"Aging Summary";#N/A,#N/A,FALSE,"Ratio Analysis";#N/A,#N/A,FALSE,"Test 120 Day Accts";#N/A,#N/A,FALSE,"Tickmarks"}</definedName>
    <definedName name="wrn.Aging._.and._.Trend._.Analysis._3_3_3" localSheetId="0" hidden="1">{#N/A,#N/A,FALSE,"Aging Summary";#N/A,#N/A,FALSE,"Ratio Analysis";#N/A,#N/A,FALSE,"Test 120 Day Accts";#N/A,#N/A,FALSE,"Tickmarks"}</definedName>
    <definedName name="wrn.Aging._.and._.Trend._.Analysis._3_3_3" localSheetId="6" hidden="1">{#N/A,#N/A,FALSE,"Aging Summary";#N/A,#N/A,FALSE,"Ratio Analysis";#N/A,#N/A,FALSE,"Test 120 Day Accts";#N/A,#N/A,FALSE,"Tickmarks"}</definedName>
    <definedName name="wrn.Aging._.and._.Trend._.Analysis._3_3_3" hidden="1">{#N/A,#N/A,FALSE,"Aging Summary";#N/A,#N/A,FALSE,"Ratio Analysis";#N/A,#N/A,FALSE,"Test 120 Day Accts";#N/A,#N/A,FALSE,"Tickmarks"}</definedName>
    <definedName name="wrn.Aging._.and._.Trend._.Analysis._3_3_4" localSheetId="0" hidden="1">{#N/A,#N/A,FALSE,"Aging Summary";#N/A,#N/A,FALSE,"Ratio Analysis";#N/A,#N/A,FALSE,"Test 120 Day Accts";#N/A,#N/A,FALSE,"Tickmarks"}</definedName>
    <definedName name="wrn.Aging._.and._.Trend._.Analysis._3_3_4" localSheetId="6" hidden="1">{#N/A,#N/A,FALSE,"Aging Summary";#N/A,#N/A,FALSE,"Ratio Analysis";#N/A,#N/A,FALSE,"Test 120 Day Accts";#N/A,#N/A,FALSE,"Tickmarks"}</definedName>
    <definedName name="wrn.Aging._.and._.Trend._.Analysis._3_3_4" hidden="1">{#N/A,#N/A,FALSE,"Aging Summary";#N/A,#N/A,FALSE,"Ratio Analysis";#N/A,#N/A,FALSE,"Test 120 Day Accts";#N/A,#N/A,FALSE,"Tickmarks"}</definedName>
    <definedName name="wrn.Aging._.and._.Trend._.Analysis._3_3_5" localSheetId="0" hidden="1">{#N/A,#N/A,FALSE,"Aging Summary";#N/A,#N/A,FALSE,"Ratio Analysis";#N/A,#N/A,FALSE,"Test 120 Day Accts";#N/A,#N/A,FALSE,"Tickmarks"}</definedName>
    <definedName name="wrn.Aging._.and._.Trend._.Analysis._3_3_5" localSheetId="6" hidden="1">{#N/A,#N/A,FALSE,"Aging Summary";#N/A,#N/A,FALSE,"Ratio Analysis";#N/A,#N/A,FALSE,"Test 120 Day Accts";#N/A,#N/A,FALSE,"Tickmarks"}</definedName>
    <definedName name="wrn.Aging._.and._.Trend._.Analysis._3_3_5" hidden="1">{#N/A,#N/A,FALSE,"Aging Summary";#N/A,#N/A,FALSE,"Ratio Analysis";#N/A,#N/A,FALSE,"Test 120 Day Accts";#N/A,#N/A,FALSE,"Tickmarks"}</definedName>
    <definedName name="wrn.Aging._.and._.Trend._.Analysis._3_4" localSheetId="0" hidden="1">{#N/A,#N/A,FALSE,"Aging Summary";#N/A,#N/A,FALSE,"Ratio Analysis";#N/A,#N/A,FALSE,"Test 120 Day Accts";#N/A,#N/A,FALSE,"Tickmarks"}</definedName>
    <definedName name="wrn.Aging._.and._.Trend._.Analysis._3_4" localSheetId="6" hidden="1">{#N/A,#N/A,FALSE,"Aging Summary";#N/A,#N/A,FALSE,"Ratio Analysis";#N/A,#N/A,FALSE,"Test 120 Day Accts";#N/A,#N/A,FALSE,"Tickmarks"}</definedName>
    <definedName name="wrn.Aging._.and._.Trend._.Analysis._3_4" hidden="1">{#N/A,#N/A,FALSE,"Aging Summary";#N/A,#N/A,FALSE,"Ratio Analysis";#N/A,#N/A,FALSE,"Test 120 Day Accts";#N/A,#N/A,FALSE,"Tickmarks"}</definedName>
    <definedName name="wrn.Aging._.and._.Trend._.Analysis._3_4_1" localSheetId="0" hidden="1">{#N/A,#N/A,FALSE,"Aging Summary";#N/A,#N/A,FALSE,"Ratio Analysis";#N/A,#N/A,FALSE,"Test 120 Day Accts";#N/A,#N/A,FALSE,"Tickmarks"}</definedName>
    <definedName name="wrn.Aging._.and._.Trend._.Analysis._3_4_1" localSheetId="6" hidden="1">{#N/A,#N/A,FALSE,"Aging Summary";#N/A,#N/A,FALSE,"Ratio Analysis";#N/A,#N/A,FALSE,"Test 120 Day Accts";#N/A,#N/A,FALSE,"Tickmarks"}</definedName>
    <definedName name="wrn.Aging._.and._.Trend._.Analysis._3_4_1" hidden="1">{#N/A,#N/A,FALSE,"Aging Summary";#N/A,#N/A,FALSE,"Ratio Analysis";#N/A,#N/A,FALSE,"Test 120 Day Accts";#N/A,#N/A,FALSE,"Tickmarks"}</definedName>
    <definedName name="wrn.Aging._.and._.Trend._.Analysis._3_4_2" localSheetId="0" hidden="1">{#N/A,#N/A,FALSE,"Aging Summary";#N/A,#N/A,FALSE,"Ratio Analysis";#N/A,#N/A,FALSE,"Test 120 Day Accts";#N/A,#N/A,FALSE,"Tickmarks"}</definedName>
    <definedName name="wrn.Aging._.and._.Trend._.Analysis._3_4_2" localSheetId="6" hidden="1">{#N/A,#N/A,FALSE,"Aging Summary";#N/A,#N/A,FALSE,"Ratio Analysis";#N/A,#N/A,FALSE,"Test 120 Day Accts";#N/A,#N/A,FALSE,"Tickmarks"}</definedName>
    <definedName name="wrn.Aging._.and._.Trend._.Analysis._3_4_2" hidden="1">{#N/A,#N/A,FALSE,"Aging Summary";#N/A,#N/A,FALSE,"Ratio Analysis";#N/A,#N/A,FALSE,"Test 120 Day Accts";#N/A,#N/A,FALSE,"Tickmarks"}</definedName>
    <definedName name="wrn.Aging._.and._.Trend._.Analysis._3_4_3" localSheetId="0" hidden="1">{#N/A,#N/A,FALSE,"Aging Summary";#N/A,#N/A,FALSE,"Ratio Analysis";#N/A,#N/A,FALSE,"Test 120 Day Accts";#N/A,#N/A,FALSE,"Tickmarks"}</definedName>
    <definedName name="wrn.Aging._.and._.Trend._.Analysis._3_4_3" localSheetId="6" hidden="1">{#N/A,#N/A,FALSE,"Aging Summary";#N/A,#N/A,FALSE,"Ratio Analysis";#N/A,#N/A,FALSE,"Test 120 Day Accts";#N/A,#N/A,FALSE,"Tickmarks"}</definedName>
    <definedName name="wrn.Aging._.and._.Trend._.Analysis._3_4_3" hidden="1">{#N/A,#N/A,FALSE,"Aging Summary";#N/A,#N/A,FALSE,"Ratio Analysis";#N/A,#N/A,FALSE,"Test 120 Day Accts";#N/A,#N/A,FALSE,"Tickmarks"}</definedName>
    <definedName name="wrn.Aging._.and._.Trend._.Analysis._3_4_4" localSheetId="0" hidden="1">{#N/A,#N/A,FALSE,"Aging Summary";#N/A,#N/A,FALSE,"Ratio Analysis";#N/A,#N/A,FALSE,"Test 120 Day Accts";#N/A,#N/A,FALSE,"Tickmarks"}</definedName>
    <definedName name="wrn.Aging._.and._.Trend._.Analysis._3_4_4" localSheetId="6" hidden="1">{#N/A,#N/A,FALSE,"Aging Summary";#N/A,#N/A,FALSE,"Ratio Analysis";#N/A,#N/A,FALSE,"Test 120 Day Accts";#N/A,#N/A,FALSE,"Tickmarks"}</definedName>
    <definedName name="wrn.Aging._.and._.Trend._.Analysis._3_4_4" hidden="1">{#N/A,#N/A,FALSE,"Aging Summary";#N/A,#N/A,FALSE,"Ratio Analysis";#N/A,#N/A,FALSE,"Test 120 Day Accts";#N/A,#N/A,FALSE,"Tickmarks"}</definedName>
    <definedName name="wrn.Aging._.and._.Trend._.Analysis._3_4_5" localSheetId="0" hidden="1">{#N/A,#N/A,FALSE,"Aging Summary";#N/A,#N/A,FALSE,"Ratio Analysis";#N/A,#N/A,FALSE,"Test 120 Day Accts";#N/A,#N/A,FALSE,"Tickmarks"}</definedName>
    <definedName name="wrn.Aging._.and._.Trend._.Analysis._3_4_5" localSheetId="6" hidden="1">{#N/A,#N/A,FALSE,"Aging Summary";#N/A,#N/A,FALSE,"Ratio Analysis";#N/A,#N/A,FALSE,"Test 120 Day Accts";#N/A,#N/A,FALSE,"Tickmarks"}</definedName>
    <definedName name="wrn.Aging._.and._.Trend._.Analysis._3_4_5" hidden="1">{#N/A,#N/A,FALSE,"Aging Summary";#N/A,#N/A,FALSE,"Ratio Analysis";#N/A,#N/A,FALSE,"Test 120 Day Accts";#N/A,#N/A,FALSE,"Tickmarks"}</definedName>
    <definedName name="wrn.Aging._.and._.Trend._.Analysis._3_5" localSheetId="0" hidden="1">{#N/A,#N/A,FALSE,"Aging Summary";#N/A,#N/A,FALSE,"Ratio Analysis";#N/A,#N/A,FALSE,"Test 120 Day Accts";#N/A,#N/A,FALSE,"Tickmarks"}</definedName>
    <definedName name="wrn.Aging._.and._.Trend._.Analysis._3_5" localSheetId="6" hidden="1">{#N/A,#N/A,FALSE,"Aging Summary";#N/A,#N/A,FALSE,"Ratio Analysis";#N/A,#N/A,FALSE,"Test 120 Day Accts";#N/A,#N/A,FALSE,"Tickmarks"}</definedName>
    <definedName name="wrn.Aging._.and._.Trend._.Analysis._3_5" hidden="1">{#N/A,#N/A,FALSE,"Aging Summary";#N/A,#N/A,FALSE,"Ratio Analysis";#N/A,#N/A,FALSE,"Test 120 Day Accts";#N/A,#N/A,FALSE,"Tickmarks"}</definedName>
    <definedName name="wrn.Aging._.and._.Trend._.Analysis._3_5_1" localSheetId="0" hidden="1">{#N/A,#N/A,FALSE,"Aging Summary";#N/A,#N/A,FALSE,"Ratio Analysis";#N/A,#N/A,FALSE,"Test 120 Day Accts";#N/A,#N/A,FALSE,"Tickmarks"}</definedName>
    <definedName name="wrn.Aging._.and._.Trend._.Analysis._3_5_1" localSheetId="6" hidden="1">{#N/A,#N/A,FALSE,"Aging Summary";#N/A,#N/A,FALSE,"Ratio Analysis";#N/A,#N/A,FALSE,"Test 120 Day Accts";#N/A,#N/A,FALSE,"Tickmarks"}</definedName>
    <definedName name="wrn.Aging._.and._.Trend._.Analysis._3_5_1" hidden="1">{#N/A,#N/A,FALSE,"Aging Summary";#N/A,#N/A,FALSE,"Ratio Analysis";#N/A,#N/A,FALSE,"Test 120 Day Accts";#N/A,#N/A,FALSE,"Tickmarks"}</definedName>
    <definedName name="wrn.Aging._.and._.Trend._.Analysis._3_5_2" localSheetId="0" hidden="1">{#N/A,#N/A,FALSE,"Aging Summary";#N/A,#N/A,FALSE,"Ratio Analysis";#N/A,#N/A,FALSE,"Test 120 Day Accts";#N/A,#N/A,FALSE,"Tickmarks"}</definedName>
    <definedName name="wrn.Aging._.and._.Trend._.Analysis._3_5_2" localSheetId="6" hidden="1">{#N/A,#N/A,FALSE,"Aging Summary";#N/A,#N/A,FALSE,"Ratio Analysis";#N/A,#N/A,FALSE,"Test 120 Day Accts";#N/A,#N/A,FALSE,"Tickmarks"}</definedName>
    <definedName name="wrn.Aging._.and._.Trend._.Analysis._3_5_2" hidden="1">{#N/A,#N/A,FALSE,"Aging Summary";#N/A,#N/A,FALSE,"Ratio Analysis";#N/A,#N/A,FALSE,"Test 120 Day Accts";#N/A,#N/A,FALSE,"Tickmarks"}</definedName>
    <definedName name="wrn.Aging._.and._.Trend._.Analysis._3_5_3" localSheetId="0" hidden="1">{#N/A,#N/A,FALSE,"Aging Summary";#N/A,#N/A,FALSE,"Ratio Analysis";#N/A,#N/A,FALSE,"Test 120 Day Accts";#N/A,#N/A,FALSE,"Tickmarks"}</definedName>
    <definedName name="wrn.Aging._.and._.Trend._.Analysis._3_5_3" localSheetId="6" hidden="1">{#N/A,#N/A,FALSE,"Aging Summary";#N/A,#N/A,FALSE,"Ratio Analysis";#N/A,#N/A,FALSE,"Test 120 Day Accts";#N/A,#N/A,FALSE,"Tickmarks"}</definedName>
    <definedName name="wrn.Aging._.and._.Trend._.Analysis._3_5_3" hidden="1">{#N/A,#N/A,FALSE,"Aging Summary";#N/A,#N/A,FALSE,"Ratio Analysis";#N/A,#N/A,FALSE,"Test 120 Day Accts";#N/A,#N/A,FALSE,"Tickmarks"}</definedName>
    <definedName name="wrn.Aging._.and._.Trend._.Analysis._3_5_4" localSheetId="0" hidden="1">{#N/A,#N/A,FALSE,"Aging Summary";#N/A,#N/A,FALSE,"Ratio Analysis";#N/A,#N/A,FALSE,"Test 120 Day Accts";#N/A,#N/A,FALSE,"Tickmarks"}</definedName>
    <definedName name="wrn.Aging._.and._.Trend._.Analysis._3_5_4" localSheetId="6" hidden="1">{#N/A,#N/A,FALSE,"Aging Summary";#N/A,#N/A,FALSE,"Ratio Analysis";#N/A,#N/A,FALSE,"Test 120 Day Accts";#N/A,#N/A,FALSE,"Tickmarks"}</definedName>
    <definedName name="wrn.Aging._.and._.Trend._.Analysis._3_5_4" hidden="1">{#N/A,#N/A,FALSE,"Aging Summary";#N/A,#N/A,FALSE,"Ratio Analysis";#N/A,#N/A,FALSE,"Test 120 Day Accts";#N/A,#N/A,FALSE,"Tickmarks"}</definedName>
    <definedName name="wrn.Aging._.and._.Trend._.Analysis._3_5_5" localSheetId="0" hidden="1">{#N/A,#N/A,FALSE,"Aging Summary";#N/A,#N/A,FALSE,"Ratio Analysis";#N/A,#N/A,FALSE,"Test 120 Day Accts";#N/A,#N/A,FALSE,"Tickmarks"}</definedName>
    <definedName name="wrn.Aging._.and._.Trend._.Analysis._3_5_5" localSheetId="6" hidden="1">{#N/A,#N/A,FALSE,"Aging Summary";#N/A,#N/A,FALSE,"Ratio Analysis";#N/A,#N/A,FALSE,"Test 120 Day Accts";#N/A,#N/A,FALSE,"Tickmarks"}</definedName>
    <definedName name="wrn.Aging._.and._.Trend._.Analysis._3_5_5"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6"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4_1" localSheetId="0" hidden="1">{#N/A,#N/A,FALSE,"Aging Summary";#N/A,#N/A,FALSE,"Ratio Analysis";#N/A,#N/A,FALSE,"Test 120 Day Accts";#N/A,#N/A,FALSE,"Tickmarks"}</definedName>
    <definedName name="wrn.Aging._.and._.Trend._.Analysis._4_1" localSheetId="6" hidden="1">{#N/A,#N/A,FALSE,"Aging Summary";#N/A,#N/A,FALSE,"Ratio Analysis";#N/A,#N/A,FALSE,"Test 120 Day Accts";#N/A,#N/A,FALSE,"Tickmarks"}</definedName>
    <definedName name="wrn.Aging._.and._.Trend._.Analysis._4_1" hidden="1">{#N/A,#N/A,FALSE,"Aging Summary";#N/A,#N/A,FALSE,"Ratio Analysis";#N/A,#N/A,FALSE,"Test 120 Day Accts";#N/A,#N/A,FALSE,"Tickmarks"}</definedName>
    <definedName name="wrn.Aging._.and._.Trend._.Analysis._4_1_1" localSheetId="0" hidden="1">{#N/A,#N/A,FALSE,"Aging Summary";#N/A,#N/A,FALSE,"Ratio Analysis";#N/A,#N/A,FALSE,"Test 120 Day Accts";#N/A,#N/A,FALSE,"Tickmarks"}</definedName>
    <definedName name="wrn.Aging._.and._.Trend._.Analysis._4_1_1" localSheetId="6" hidden="1">{#N/A,#N/A,FALSE,"Aging Summary";#N/A,#N/A,FALSE,"Ratio Analysis";#N/A,#N/A,FALSE,"Test 120 Day Accts";#N/A,#N/A,FALSE,"Tickmarks"}</definedName>
    <definedName name="wrn.Aging._.and._.Trend._.Analysis._4_1_1" hidden="1">{#N/A,#N/A,FALSE,"Aging Summary";#N/A,#N/A,FALSE,"Ratio Analysis";#N/A,#N/A,FALSE,"Test 120 Day Accts";#N/A,#N/A,FALSE,"Tickmarks"}</definedName>
    <definedName name="wrn.Aging._.and._.Trend._.Analysis._4_1_2" localSheetId="0" hidden="1">{#N/A,#N/A,FALSE,"Aging Summary";#N/A,#N/A,FALSE,"Ratio Analysis";#N/A,#N/A,FALSE,"Test 120 Day Accts";#N/A,#N/A,FALSE,"Tickmarks"}</definedName>
    <definedName name="wrn.Aging._.and._.Trend._.Analysis._4_1_2" localSheetId="6" hidden="1">{#N/A,#N/A,FALSE,"Aging Summary";#N/A,#N/A,FALSE,"Ratio Analysis";#N/A,#N/A,FALSE,"Test 120 Day Accts";#N/A,#N/A,FALSE,"Tickmarks"}</definedName>
    <definedName name="wrn.Aging._.and._.Trend._.Analysis._4_1_2" hidden="1">{#N/A,#N/A,FALSE,"Aging Summary";#N/A,#N/A,FALSE,"Ratio Analysis";#N/A,#N/A,FALSE,"Test 120 Day Accts";#N/A,#N/A,FALSE,"Tickmarks"}</definedName>
    <definedName name="wrn.Aging._.and._.Trend._.Analysis._4_1_3" localSheetId="0" hidden="1">{#N/A,#N/A,FALSE,"Aging Summary";#N/A,#N/A,FALSE,"Ratio Analysis";#N/A,#N/A,FALSE,"Test 120 Day Accts";#N/A,#N/A,FALSE,"Tickmarks"}</definedName>
    <definedName name="wrn.Aging._.and._.Trend._.Analysis._4_1_3" localSheetId="6" hidden="1">{#N/A,#N/A,FALSE,"Aging Summary";#N/A,#N/A,FALSE,"Ratio Analysis";#N/A,#N/A,FALSE,"Test 120 Day Accts";#N/A,#N/A,FALSE,"Tickmarks"}</definedName>
    <definedName name="wrn.Aging._.and._.Trend._.Analysis._4_1_3" hidden="1">{#N/A,#N/A,FALSE,"Aging Summary";#N/A,#N/A,FALSE,"Ratio Analysis";#N/A,#N/A,FALSE,"Test 120 Day Accts";#N/A,#N/A,FALSE,"Tickmarks"}</definedName>
    <definedName name="wrn.Aging._.and._.Trend._.Analysis._4_1_4" localSheetId="0" hidden="1">{#N/A,#N/A,FALSE,"Aging Summary";#N/A,#N/A,FALSE,"Ratio Analysis";#N/A,#N/A,FALSE,"Test 120 Day Accts";#N/A,#N/A,FALSE,"Tickmarks"}</definedName>
    <definedName name="wrn.Aging._.and._.Trend._.Analysis._4_1_4" localSheetId="6" hidden="1">{#N/A,#N/A,FALSE,"Aging Summary";#N/A,#N/A,FALSE,"Ratio Analysis";#N/A,#N/A,FALSE,"Test 120 Day Accts";#N/A,#N/A,FALSE,"Tickmarks"}</definedName>
    <definedName name="wrn.Aging._.and._.Trend._.Analysis._4_1_4" hidden="1">{#N/A,#N/A,FALSE,"Aging Summary";#N/A,#N/A,FALSE,"Ratio Analysis";#N/A,#N/A,FALSE,"Test 120 Day Accts";#N/A,#N/A,FALSE,"Tickmarks"}</definedName>
    <definedName name="wrn.Aging._.and._.Trend._.Analysis._4_1_5" localSheetId="0" hidden="1">{#N/A,#N/A,FALSE,"Aging Summary";#N/A,#N/A,FALSE,"Ratio Analysis";#N/A,#N/A,FALSE,"Test 120 Day Accts";#N/A,#N/A,FALSE,"Tickmarks"}</definedName>
    <definedName name="wrn.Aging._.and._.Trend._.Analysis._4_1_5" localSheetId="6" hidden="1">{#N/A,#N/A,FALSE,"Aging Summary";#N/A,#N/A,FALSE,"Ratio Analysis";#N/A,#N/A,FALSE,"Test 120 Day Accts";#N/A,#N/A,FALSE,"Tickmarks"}</definedName>
    <definedName name="wrn.Aging._.and._.Trend._.Analysis._4_1_5" hidden="1">{#N/A,#N/A,FALSE,"Aging Summary";#N/A,#N/A,FALSE,"Ratio Analysis";#N/A,#N/A,FALSE,"Test 120 Day Accts";#N/A,#N/A,FALSE,"Tickmarks"}</definedName>
    <definedName name="wrn.Aging._.and._.Trend._.Analysis._4_2" localSheetId="0" hidden="1">{#N/A,#N/A,FALSE,"Aging Summary";#N/A,#N/A,FALSE,"Ratio Analysis";#N/A,#N/A,FALSE,"Test 120 Day Accts";#N/A,#N/A,FALSE,"Tickmarks"}</definedName>
    <definedName name="wrn.Aging._.and._.Trend._.Analysis._4_2" localSheetId="6" hidden="1">{#N/A,#N/A,FALSE,"Aging Summary";#N/A,#N/A,FALSE,"Ratio Analysis";#N/A,#N/A,FALSE,"Test 120 Day Accts";#N/A,#N/A,FALSE,"Tickmarks"}</definedName>
    <definedName name="wrn.Aging._.and._.Trend._.Analysis._4_2" hidden="1">{#N/A,#N/A,FALSE,"Aging Summary";#N/A,#N/A,FALSE,"Ratio Analysis";#N/A,#N/A,FALSE,"Test 120 Day Accts";#N/A,#N/A,FALSE,"Tickmarks"}</definedName>
    <definedName name="wrn.Aging._.and._.Trend._.Analysis._4_2_1" localSheetId="0" hidden="1">{#N/A,#N/A,FALSE,"Aging Summary";#N/A,#N/A,FALSE,"Ratio Analysis";#N/A,#N/A,FALSE,"Test 120 Day Accts";#N/A,#N/A,FALSE,"Tickmarks"}</definedName>
    <definedName name="wrn.Aging._.and._.Trend._.Analysis._4_2_1" localSheetId="6" hidden="1">{#N/A,#N/A,FALSE,"Aging Summary";#N/A,#N/A,FALSE,"Ratio Analysis";#N/A,#N/A,FALSE,"Test 120 Day Accts";#N/A,#N/A,FALSE,"Tickmarks"}</definedName>
    <definedName name="wrn.Aging._.and._.Trend._.Analysis._4_2_1" hidden="1">{#N/A,#N/A,FALSE,"Aging Summary";#N/A,#N/A,FALSE,"Ratio Analysis";#N/A,#N/A,FALSE,"Test 120 Day Accts";#N/A,#N/A,FALSE,"Tickmarks"}</definedName>
    <definedName name="wrn.Aging._.and._.Trend._.Analysis._4_2_2" localSheetId="0" hidden="1">{#N/A,#N/A,FALSE,"Aging Summary";#N/A,#N/A,FALSE,"Ratio Analysis";#N/A,#N/A,FALSE,"Test 120 Day Accts";#N/A,#N/A,FALSE,"Tickmarks"}</definedName>
    <definedName name="wrn.Aging._.and._.Trend._.Analysis._4_2_2" localSheetId="6" hidden="1">{#N/A,#N/A,FALSE,"Aging Summary";#N/A,#N/A,FALSE,"Ratio Analysis";#N/A,#N/A,FALSE,"Test 120 Day Accts";#N/A,#N/A,FALSE,"Tickmarks"}</definedName>
    <definedName name="wrn.Aging._.and._.Trend._.Analysis._4_2_2" hidden="1">{#N/A,#N/A,FALSE,"Aging Summary";#N/A,#N/A,FALSE,"Ratio Analysis";#N/A,#N/A,FALSE,"Test 120 Day Accts";#N/A,#N/A,FALSE,"Tickmarks"}</definedName>
    <definedName name="wrn.Aging._.and._.Trend._.Analysis._4_2_3" localSheetId="0" hidden="1">{#N/A,#N/A,FALSE,"Aging Summary";#N/A,#N/A,FALSE,"Ratio Analysis";#N/A,#N/A,FALSE,"Test 120 Day Accts";#N/A,#N/A,FALSE,"Tickmarks"}</definedName>
    <definedName name="wrn.Aging._.and._.Trend._.Analysis._4_2_3" localSheetId="6" hidden="1">{#N/A,#N/A,FALSE,"Aging Summary";#N/A,#N/A,FALSE,"Ratio Analysis";#N/A,#N/A,FALSE,"Test 120 Day Accts";#N/A,#N/A,FALSE,"Tickmarks"}</definedName>
    <definedName name="wrn.Aging._.and._.Trend._.Analysis._4_2_3" hidden="1">{#N/A,#N/A,FALSE,"Aging Summary";#N/A,#N/A,FALSE,"Ratio Analysis";#N/A,#N/A,FALSE,"Test 120 Day Accts";#N/A,#N/A,FALSE,"Tickmarks"}</definedName>
    <definedName name="wrn.Aging._.and._.Trend._.Analysis._4_2_4" localSheetId="0" hidden="1">{#N/A,#N/A,FALSE,"Aging Summary";#N/A,#N/A,FALSE,"Ratio Analysis";#N/A,#N/A,FALSE,"Test 120 Day Accts";#N/A,#N/A,FALSE,"Tickmarks"}</definedName>
    <definedName name="wrn.Aging._.and._.Trend._.Analysis._4_2_4" localSheetId="6" hidden="1">{#N/A,#N/A,FALSE,"Aging Summary";#N/A,#N/A,FALSE,"Ratio Analysis";#N/A,#N/A,FALSE,"Test 120 Day Accts";#N/A,#N/A,FALSE,"Tickmarks"}</definedName>
    <definedName name="wrn.Aging._.and._.Trend._.Analysis._4_2_4" hidden="1">{#N/A,#N/A,FALSE,"Aging Summary";#N/A,#N/A,FALSE,"Ratio Analysis";#N/A,#N/A,FALSE,"Test 120 Day Accts";#N/A,#N/A,FALSE,"Tickmarks"}</definedName>
    <definedName name="wrn.Aging._.and._.Trend._.Analysis._4_2_5" localSheetId="0" hidden="1">{#N/A,#N/A,FALSE,"Aging Summary";#N/A,#N/A,FALSE,"Ratio Analysis";#N/A,#N/A,FALSE,"Test 120 Day Accts";#N/A,#N/A,FALSE,"Tickmarks"}</definedName>
    <definedName name="wrn.Aging._.and._.Trend._.Analysis._4_2_5" localSheetId="6" hidden="1">{#N/A,#N/A,FALSE,"Aging Summary";#N/A,#N/A,FALSE,"Ratio Analysis";#N/A,#N/A,FALSE,"Test 120 Day Accts";#N/A,#N/A,FALSE,"Tickmarks"}</definedName>
    <definedName name="wrn.Aging._.and._.Trend._.Analysis._4_2_5" hidden="1">{#N/A,#N/A,FALSE,"Aging Summary";#N/A,#N/A,FALSE,"Ratio Analysis";#N/A,#N/A,FALSE,"Test 120 Day Accts";#N/A,#N/A,FALSE,"Tickmarks"}</definedName>
    <definedName name="wrn.Aging._.and._.Trend._.Analysis._4_3" localSheetId="0" hidden="1">{#N/A,#N/A,FALSE,"Aging Summary";#N/A,#N/A,FALSE,"Ratio Analysis";#N/A,#N/A,FALSE,"Test 120 Day Accts";#N/A,#N/A,FALSE,"Tickmarks"}</definedName>
    <definedName name="wrn.Aging._.and._.Trend._.Analysis._4_3" localSheetId="6" hidden="1">{#N/A,#N/A,FALSE,"Aging Summary";#N/A,#N/A,FALSE,"Ratio Analysis";#N/A,#N/A,FALSE,"Test 120 Day Accts";#N/A,#N/A,FALSE,"Tickmarks"}</definedName>
    <definedName name="wrn.Aging._.and._.Trend._.Analysis._4_3" hidden="1">{#N/A,#N/A,FALSE,"Aging Summary";#N/A,#N/A,FALSE,"Ratio Analysis";#N/A,#N/A,FALSE,"Test 120 Day Accts";#N/A,#N/A,FALSE,"Tickmarks"}</definedName>
    <definedName name="wrn.Aging._.and._.Trend._.Analysis._4_3_1" localSheetId="0" hidden="1">{#N/A,#N/A,FALSE,"Aging Summary";#N/A,#N/A,FALSE,"Ratio Analysis";#N/A,#N/A,FALSE,"Test 120 Day Accts";#N/A,#N/A,FALSE,"Tickmarks"}</definedName>
    <definedName name="wrn.Aging._.and._.Trend._.Analysis._4_3_1" localSheetId="6" hidden="1">{#N/A,#N/A,FALSE,"Aging Summary";#N/A,#N/A,FALSE,"Ratio Analysis";#N/A,#N/A,FALSE,"Test 120 Day Accts";#N/A,#N/A,FALSE,"Tickmarks"}</definedName>
    <definedName name="wrn.Aging._.and._.Trend._.Analysis._4_3_1" hidden="1">{#N/A,#N/A,FALSE,"Aging Summary";#N/A,#N/A,FALSE,"Ratio Analysis";#N/A,#N/A,FALSE,"Test 120 Day Accts";#N/A,#N/A,FALSE,"Tickmarks"}</definedName>
    <definedName name="wrn.Aging._.and._.Trend._.Analysis._4_3_2" localSheetId="0" hidden="1">{#N/A,#N/A,FALSE,"Aging Summary";#N/A,#N/A,FALSE,"Ratio Analysis";#N/A,#N/A,FALSE,"Test 120 Day Accts";#N/A,#N/A,FALSE,"Tickmarks"}</definedName>
    <definedName name="wrn.Aging._.and._.Trend._.Analysis._4_3_2" localSheetId="6" hidden="1">{#N/A,#N/A,FALSE,"Aging Summary";#N/A,#N/A,FALSE,"Ratio Analysis";#N/A,#N/A,FALSE,"Test 120 Day Accts";#N/A,#N/A,FALSE,"Tickmarks"}</definedName>
    <definedName name="wrn.Aging._.and._.Trend._.Analysis._4_3_2" hidden="1">{#N/A,#N/A,FALSE,"Aging Summary";#N/A,#N/A,FALSE,"Ratio Analysis";#N/A,#N/A,FALSE,"Test 120 Day Accts";#N/A,#N/A,FALSE,"Tickmarks"}</definedName>
    <definedName name="wrn.Aging._.and._.Trend._.Analysis._4_3_3" localSheetId="0" hidden="1">{#N/A,#N/A,FALSE,"Aging Summary";#N/A,#N/A,FALSE,"Ratio Analysis";#N/A,#N/A,FALSE,"Test 120 Day Accts";#N/A,#N/A,FALSE,"Tickmarks"}</definedName>
    <definedName name="wrn.Aging._.and._.Trend._.Analysis._4_3_3" localSheetId="6" hidden="1">{#N/A,#N/A,FALSE,"Aging Summary";#N/A,#N/A,FALSE,"Ratio Analysis";#N/A,#N/A,FALSE,"Test 120 Day Accts";#N/A,#N/A,FALSE,"Tickmarks"}</definedName>
    <definedName name="wrn.Aging._.and._.Trend._.Analysis._4_3_3" hidden="1">{#N/A,#N/A,FALSE,"Aging Summary";#N/A,#N/A,FALSE,"Ratio Analysis";#N/A,#N/A,FALSE,"Test 120 Day Accts";#N/A,#N/A,FALSE,"Tickmarks"}</definedName>
    <definedName name="wrn.Aging._.and._.Trend._.Analysis._4_3_4" localSheetId="0" hidden="1">{#N/A,#N/A,FALSE,"Aging Summary";#N/A,#N/A,FALSE,"Ratio Analysis";#N/A,#N/A,FALSE,"Test 120 Day Accts";#N/A,#N/A,FALSE,"Tickmarks"}</definedName>
    <definedName name="wrn.Aging._.and._.Trend._.Analysis._4_3_4" localSheetId="6" hidden="1">{#N/A,#N/A,FALSE,"Aging Summary";#N/A,#N/A,FALSE,"Ratio Analysis";#N/A,#N/A,FALSE,"Test 120 Day Accts";#N/A,#N/A,FALSE,"Tickmarks"}</definedName>
    <definedName name="wrn.Aging._.and._.Trend._.Analysis._4_3_4" hidden="1">{#N/A,#N/A,FALSE,"Aging Summary";#N/A,#N/A,FALSE,"Ratio Analysis";#N/A,#N/A,FALSE,"Test 120 Day Accts";#N/A,#N/A,FALSE,"Tickmarks"}</definedName>
    <definedName name="wrn.Aging._.and._.Trend._.Analysis._4_3_5" localSheetId="0" hidden="1">{#N/A,#N/A,FALSE,"Aging Summary";#N/A,#N/A,FALSE,"Ratio Analysis";#N/A,#N/A,FALSE,"Test 120 Day Accts";#N/A,#N/A,FALSE,"Tickmarks"}</definedName>
    <definedName name="wrn.Aging._.and._.Trend._.Analysis._4_3_5" localSheetId="6" hidden="1">{#N/A,#N/A,FALSE,"Aging Summary";#N/A,#N/A,FALSE,"Ratio Analysis";#N/A,#N/A,FALSE,"Test 120 Day Accts";#N/A,#N/A,FALSE,"Tickmarks"}</definedName>
    <definedName name="wrn.Aging._.and._.Trend._.Analysis._4_3_5" hidden="1">{#N/A,#N/A,FALSE,"Aging Summary";#N/A,#N/A,FALSE,"Ratio Analysis";#N/A,#N/A,FALSE,"Test 120 Day Accts";#N/A,#N/A,FALSE,"Tickmarks"}</definedName>
    <definedName name="wrn.Aging._.and._.Trend._.Analysis._4_4" localSheetId="0" hidden="1">{#N/A,#N/A,FALSE,"Aging Summary";#N/A,#N/A,FALSE,"Ratio Analysis";#N/A,#N/A,FALSE,"Test 120 Day Accts";#N/A,#N/A,FALSE,"Tickmarks"}</definedName>
    <definedName name="wrn.Aging._.and._.Trend._.Analysis._4_4" localSheetId="6" hidden="1">{#N/A,#N/A,FALSE,"Aging Summary";#N/A,#N/A,FALSE,"Ratio Analysis";#N/A,#N/A,FALSE,"Test 120 Day Accts";#N/A,#N/A,FALSE,"Tickmarks"}</definedName>
    <definedName name="wrn.Aging._.and._.Trend._.Analysis._4_4" hidden="1">{#N/A,#N/A,FALSE,"Aging Summary";#N/A,#N/A,FALSE,"Ratio Analysis";#N/A,#N/A,FALSE,"Test 120 Day Accts";#N/A,#N/A,FALSE,"Tickmarks"}</definedName>
    <definedName name="wrn.Aging._.and._.Trend._.Analysis._4_4_1" localSheetId="0" hidden="1">{#N/A,#N/A,FALSE,"Aging Summary";#N/A,#N/A,FALSE,"Ratio Analysis";#N/A,#N/A,FALSE,"Test 120 Day Accts";#N/A,#N/A,FALSE,"Tickmarks"}</definedName>
    <definedName name="wrn.Aging._.and._.Trend._.Analysis._4_4_1" localSheetId="6" hidden="1">{#N/A,#N/A,FALSE,"Aging Summary";#N/A,#N/A,FALSE,"Ratio Analysis";#N/A,#N/A,FALSE,"Test 120 Day Accts";#N/A,#N/A,FALSE,"Tickmarks"}</definedName>
    <definedName name="wrn.Aging._.and._.Trend._.Analysis._4_4_1" hidden="1">{#N/A,#N/A,FALSE,"Aging Summary";#N/A,#N/A,FALSE,"Ratio Analysis";#N/A,#N/A,FALSE,"Test 120 Day Accts";#N/A,#N/A,FALSE,"Tickmarks"}</definedName>
    <definedName name="wrn.Aging._.and._.Trend._.Analysis._4_4_2" localSheetId="0" hidden="1">{#N/A,#N/A,FALSE,"Aging Summary";#N/A,#N/A,FALSE,"Ratio Analysis";#N/A,#N/A,FALSE,"Test 120 Day Accts";#N/A,#N/A,FALSE,"Tickmarks"}</definedName>
    <definedName name="wrn.Aging._.and._.Trend._.Analysis._4_4_2" localSheetId="6" hidden="1">{#N/A,#N/A,FALSE,"Aging Summary";#N/A,#N/A,FALSE,"Ratio Analysis";#N/A,#N/A,FALSE,"Test 120 Day Accts";#N/A,#N/A,FALSE,"Tickmarks"}</definedName>
    <definedName name="wrn.Aging._.and._.Trend._.Analysis._4_4_2" hidden="1">{#N/A,#N/A,FALSE,"Aging Summary";#N/A,#N/A,FALSE,"Ratio Analysis";#N/A,#N/A,FALSE,"Test 120 Day Accts";#N/A,#N/A,FALSE,"Tickmarks"}</definedName>
    <definedName name="wrn.Aging._.and._.Trend._.Analysis._4_4_3" localSheetId="0" hidden="1">{#N/A,#N/A,FALSE,"Aging Summary";#N/A,#N/A,FALSE,"Ratio Analysis";#N/A,#N/A,FALSE,"Test 120 Day Accts";#N/A,#N/A,FALSE,"Tickmarks"}</definedName>
    <definedName name="wrn.Aging._.and._.Trend._.Analysis._4_4_3" localSheetId="6" hidden="1">{#N/A,#N/A,FALSE,"Aging Summary";#N/A,#N/A,FALSE,"Ratio Analysis";#N/A,#N/A,FALSE,"Test 120 Day Accts";#N/A,#N/A,FALSE,"Tickmarks"}</definedName>
    <definedName name="wrn.Aging._.and._.Trend._.Analysis._4_4_3" hidden="1">{#N/A,#N/A,FALSE,"Aging Summary";#N/A,#N/A,FALSE,"Ratio Analysis";#N/A,#N/A,FALSE,"Test 120 Day Accts";#N/A,#N/A,FALSE,"Tickmarks"}</definedName>
    <definedName name="wrn.Aging._.and._.Trend._.Analysis._4_4_4" localSheetId="0" hidden="1">{#N/A,#N/A,FALSE,"Aging Summary";#N/A,#N/A,FALSE,"Ratio Analysis";#N/A,#N/A,FALSE,"Test 120 Day Accts";#N/A,#N/A,FALSE,"Tickmarks"}</definedName>
    <definedName name="wrn.Aging._.and._.Trend._.Analysis._4_4_4" localSheetId="6" hidden="1">{#N/A,#N/A,FALSE,"Aging Summary";#N/A,#N/A,FALSE,"Ratio Analysis";#N/A,#N/A,FALSE,"Test 120 Day Accts";#N/A,#N/A,FALSE,"Tickmarks"}</definedName>
    <definedName name="wrn.Aging._.and._.Trend._.Analysis._4_4_4" hidden="1">{#N/A,#N/A,FALSE,"Aging Summary";#N/A,#N/A,FALSE,"Ratio Analysis";#N/A,#N/A,FALSE,"Test 120 Day Accts";#N/A,#N/A,FALSE,"Tickmarks"}</definedName>
    <definedName name="wrn.Aging._.and._.Trend._.Analysis._4_4_5" localSheetId="0" hidden="1">{#N/A,#N/A,FALSE,"Aging Summary";#N/A,#N/A,FALSE,"Ratio Analysis";#N/A,#N/A,FALSE,"Test 120 Day Accts";#N/A,#N/A,FALSE,"Tickmarks"}</definedName>
    <definedName name="wrn.Aging._.and._.Trend._.Analysis._4_4_5" localSheetId="6" hidden="1">{#N/A,#N/A,FALSE,"Aging Summary";#N/A,#N/A,FALSE,"Ratio Analysis";#N/A,#N/A,FALSE,"Test 120 Day Accts";#N/A,#N/A,FALSE,"Tickmarks"}</definedName>
    <definedName name="wrn.Aging._.and._.Trend._.Analysis._4_4_5" hidden="1">{#N/A,#N/A,FALSE,"Aging Summary";#N/A,#N/A,FALSE,"Ratio Analysis";#N/A,#N/A,FALSE,"Test 120 Day Accts";#N/A,#N/A,FALSE,"Tickmarks"}</definedName>
    <definedName name="wrn.Aging._.and._.Trend._.Analysis._4_5" localSheetId="0" hidden="1">{#N/A,#N/A,FALSE,"Aging Summary";#N/A,#N/A,FALSE,"Ratio Analysis";#N/A,#N/A,FALSE,"Test 120 Day Accts";#N/A,#N/A,FALSE,"Tickmarks"}</definedName>
    <definedName name="wrn.Aging._.and._.Trend._.Analysis._4_5" localSheetId="6" hidden="1">{#N/A,#N/A,FALSE,"Aging Summary";#N/A,#N/A,FALSE,"Ratio Analysis";#N/A,#N/A,FALSE,"Test 120 Day Accts";#N/A,#N/A,FALSE,"Tickmarks"}</definedName>
    <definedName name="wrn.Aging._.and._.Trend._.Analysis._4_5" hidden="1">{#N/A,#N/A,FALSE,"Aging Summary";#N/A,#N/A,FALSE,"Ratio Analysis";#N/A,#N/A,FALSE,"Test 120 Day Accts";#N/A,#N/A,FALSE,"Tickmarks"}</definedName>
    <definedName name="wrn.Aging._.and._.Trend._.Analysis._4_5_1" localSheetId="0" hidden="1">{#N/A,#N/A,FALSE,"Aging Summary";#N/A,#N/A,FALSE,"Ratio Analysis";#N/A,#N/A,FALSE,"Test 120 Day Accts";#N/A,#N/A,FALSE,"Tickmarks"}</definedName>
    <definedName name="wrn.Aging._.and._.Trend._.Analysis._4_5_1" localSheetId="6" hidden="1">{#N/A,#N/A,FALSE,"Aging Summary";#N/A,#N/A,FALSE,"Ratio Analysis";#N/A,#N/A,FALSE,"Test 120 Day Accts";#N/A,#N/A,FALSE,"Tickmarks"}</definedName>
    <definedName name="wrn.Aging._.and._.Trend._.Analysis._4_5_1" hidden="1">{#N/A,#N/A,FALSE,"Aging Summary";#N/A,#N/A,FALSE,"Ratio Analysis";#N/A,#N/A,FALSE,"Test 120 Day Accts";#N/A,#N/A,FALSE,"Tickmarks"}</definedName>
    <definedName name="wrn.Aging._.and._.Trend._.Analysis._4_5_2" localSheetId="0" hidden="1">{#N/A,#N/A,FALSE,"Aging Summary";#N/A,#N/A,FALSE,"Ratio Analysis";#N/A,#N/A,FALSE,"Test 120 Day Accts";#N/A,#N/A,FALSE,"Tickmarks"}</definedName>
    <definedName name="wrn.Aging._.and._.Trend._.Analysis._4_5_2" localSheetId="6" hidden="1">{#N/A,#N/A,FALSE,"Aging Summary";#N/A,#N/A,FALSE,"Ratio Analysis";#N/A,#N/A,FALSE,"Test 120 Day Accts";#N/A,#N/A,FALSE,"Tickmarks"}</definedName>
    <definedName name="wrn.Aging._.and._.Trend._.Analysis._4_5_2" hidden="1">{#N/A,#N/A,FALSE,"Aging Summary";#N/A,#N/A,FALSE,"Ratio Analysis";#N/A,#N/A,FALSE,"Test 120 Day Accts";#N/A,#N/A,FALSE,"Tickmarks"}</definedName>
    <definedName name="wrn.Aging._.and._.Trend._.Analysis._4_5_3" localSheetId="0" hidden="1">{#N/A,#N/A,FALSE,"Aging Summary";#N/A,#N/A,FALSE,"Ratio Analysis";#N/A,#N/A,FALSE,"Test 120 Day Accts";#N/A,#N/A,FALSE,"Tickmarks"}</definedName>
    <definedName name="wrn.Aging._.and._.Trend._.Analysis._4_5_3" localSheetId="6" hidden="1">{#N/A,#N/A,FALSE,"Aging Summary";#N/A,#N/A,FALSE,"Ratio Analysis";#N/A,#N/A,FALSE,"Test 120 Day Accts";#N/A,#N/A,FALSE,"Tickmarks"}</definedName>
    <definedName name="wrn.Aging._.and._.Trend._.Analysis._4_5_3" hidden="1">{#N/A,#N/A,FALSE,"Aging Summary";#N/A,#N/A,FALSE,"Ratio Analysis";#N/A,#N/A,FALSE,"Test 120 Day Accts";#N/A,#N/A,FALSE,"Tickmarks"}</definedName>
    <definedName name="wrn.Aging._.and._.Trend._.Analysis._4_5_4" localSheetId="0" hidden="1">{#N/A,#N/A,FALSE,"Aging Summary";#N/A,#N/A,FALSE,"Ratio Analysis";#N/A,#N/A,FALSE,"Test 120 Day Accts";#N/A,#N/A,FALSE,"Tickmarks"}</definedName>
    <definedName name="wrn.Aging._.and._.Trend._.Analysis._4_5_4" localSheetId="6" hidden="1">{#N/A,#N/A,FALSE,"Aging Summary";#N/A,#N/A,FALSE,"Ratio Analysis";#N/A,#N/A,FALSE,"Test 120 Day Accts";#N/A,#N/A,FALSE,"Tickmarks"}</definedName>
    <definedName name="wrn.Aging._.and._.Trend._.Analysis._4_5_4" hidden="1">{#N/A,#N/A,FALSE,"Aging Summary";#N/A,#N/A,FALSE,"Ratio Analysis";#N/A,#N/A,FALSE,"Test 120 Day Accts";#N/A,#N/A,FALSE,"Tickmarks"}</definedName>
    <definedName name="wrn.Aging._.and._.Trend._.Analysis._4_5_5" localSheetId="0" hidden="1">{#N/A,#N/A,FALSE,"Aging Summary";#N/A,#N/A,FALSE,"Ratio Analysis";#N/A,#N/A,FALSE,"Test 120 Day Accts";#N/A,#N/A,FALSE,"Tickmarks"}</definedName>
    <definedName name="wrn.Aging._.and._.Trend._.Analysis._4_5_5" localSheetId="6" hidden="1">{#N/A,#N/A,FALSE,"Aging Summary";#N/A,#N/A,FALSE,"Ratio Analysis";#N/A,#N/A,FALSE,"Test 120 Day Accts";#N/A,#N/A,FALSE,"Tickmarks"}</definedName>
    <definedName name="wrn.Aging._.and._.Trend._.Analysis._4_5_5"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6"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ging._.and._.Trend._.Analysis._5_1" localSheetId="0" hidden="1">{#N/A,#N/A,FALSE,"Aging Summary";#N/A,#N/A,FALSE,"Ratio Analysis";#N/A,#N/A,FALSE,"Test 120 Day Accts";#N/A,#N/A,FALSE,"Tickmarks"}</definedName>
    <definedName name="wrn.Aging._.and._.Trend._.Analysis._5_1" localSheetId="6" hidden="1">{#N/A,#N/A,FALSE,"Aging Summary";#N/A,#N/A,FALSE,"Ratio Analysis";#N/A,#N/A,FALSE,"Test 120 Day Accts";#N/A,#N/A,FALSE,"Tickmarks"}</definedName>
    <definedName name="wrn.Aging._.and._.Trend._.Analysis._5_1" hidden="1">{#N/A,#N/A,FALSE,"Aging Summary";#N/A,#N/A,FALSE,"Ratio Analysis";#N/A,#N/A,FALSE,"Test 120 Day Accts";#N/A,#N/A,FALSE,"Tickmarks"}</definedName>
    <definedName name="wrn.Aging._.and._.Trend._.Analysis._5_1_1" localSheetId="0" hidden="1">{#N/A,#N/A,FALSE,"Aging Summary";#N/A,#N/A,FALSE,"Ratio Analysis";#N/A,#N/A,FALSE,"Test 120 Day Accts";#N/A,#N/A,FALSE,"Tickmarks"}</definedName>
    <definedName name="wrn.Aging._.and._.Trend._.Analysis._5_1_1" localSheetId="6" hidden="1">{#N/A,#N/A,FALSE,"Aging Summary";#N/A,#N/A,FALSE,"Ratio Analysis";#N/A,#N/A,FALSE,"Test 120 Day Accts";#N/A,#N/A,FALSE,"Tickmarks"}</definedName>
    <definedName name="wrn.Aging._.and._.Trend._.Analysis._5_1_1" hidden="1">{#N/A,#N/A,FALSE,"Aging Summary";#N/A,#N/A,FALSE,"Ratio Analysis";#N/A,#N/A,FALSE,"Test 120 Day Accts";#N/A,#N/A,FALSE,"Tickmarks"}</definedName>
    <definedName name="wrn.Aging._.and._.Trend._.Analysis._5_1_2" localSheetId="0" hidden="1">{#N/A,#N/A,FALSE,"Aging Summary";#N/A,#N/A,FALSE,"Ratio Analysis";#N/A,#N/A,FALSE,"Test 120 Day Accts";#N/A,#N/A,FALSE,"Tickmarks"}</definedName>
    <definedName name="wrn.Aging._.and._.Trend._.Analysis._5_1_2" localSheetId="6" hidden="1">{#N/A,#N/A,FALSE,"Aging Summary";#N/A,#N/A,FALSE,"Ratio Analysis";#N/A,#N/A,FALSE,"Test 120 Day Accts";#N/A,#N/A,FALSE,"Tickmarks"}</definedName>
    <definedName name="wrn.Aging._.and._.Trend._.Analysis._5_1_2" hidden="1">{#N/A,#N/A,FALSE,"Aging Summary";#N/A,#N/A,FALSE,"Ratio Analysis";#N/A,#N/A,FALSE,"Test 120 Day Accts";#N/A,#N/A,FALSE,"Tickmarks"}</definedName>
    <definedName name="wrn.Aging._.and._.Trend._.Analysis._5_1_3" localSheetId="0" hidden="1">{#N/A,#N/A,FALSE,"Aging Summary";#N/A,#N/A,FALSE,"Ratio Analysis";#N/A,#N/A,FALSE,"Test 120 Day Accts";#N/A,#N/A,FALSE,"Tickmarks"}</definedName>
    <definedName name="wrn.Aging._.and._.Trend._.Analysis._5_1_3" localSheetId="6" hidden="1">{#N/A,#N/A,FALSE,"Aging Summary";#N/A,#N/A,FALSE,"Ratio Analysis";#N/A,#N/A,FALSE,"Test 120 Day Accts";#N/A,#N/A,FALSE,"Tickmarks"}</definedName>
    <definedName name="wrn.Aging._.and._.Trend._.Analysis._5_1_3" hidden="1">{#N/A,#N/A,FALSE,"Aging Summary";#N/A,#N/A,FALSE,"Ratio Analysis";#N/A,#N/A,FALSE,"Test 120 Day Accts";#N/A,#N/A,FALSE,"Tickmarks"}</definedName>
    <definedName name="wrn.Aging._.and._.Trend._.Analysis._5_1_4" localSheetId="0" hidden="1">{#N/A,#N/A,FALSE,"Aging Summary";#N/A,#N/A,FALSE,"Ratio Analysis";#N/A,#N/A,FALSE,"Test 120 Day Accts";#N/A,#N/A,FALSE,"Tickmarks"}</definedName>
    <definedName name="wrn.Aging._.and._.Trend._.Analysis._5_1_4" localSheetId="6" hidden="1">{#N/A,#N/A,FALSE,"Aging Summary";#N/A,#N/A,FALSE,"Ratio Analysis";#N/A,#N/A,FALSE,"Test 120 Day Accts";#N/A,#N/A,FALSE,"Tickmarks"}</definedName>
    <definedName name="wrn.Aging._.and._.Trend._.Analysis._5_1_4" hidden="1">{#N/A,#N/A,FALSE,"Aging Summary";#N/A,#N/A,FALSE,"Ratio Analysis";#N/A,#N/A,FALSE,"Test 120 Day Accts";#N/A,#N/A,FALSE,"Tickmarks"}</definedName>
    <definedName name="wrn.Aging._.and._.Trend._.Analysis._5_1_5" localSheetId="0" hidden="1">{#N/A,#N/A,FALSE,"Aging Summary";#N/A,#N/A,FALSE,"Ratio Analysis";#N/A,#N/A,FALSE,"Test 120 Day Accts";#N/A,#N/A,FALSE,"Tickmarks"}</definedName>
    <definedName name="wrn.Aging._.and._.Trend._.Analysis._5_1_5" localSheetId="6" hidden="1">{#N/A,#N/A,FALSE,"Aging Summary";#N/A,#N/A,FALSE,"Ratio Analysis";#N/A,#N/A,FALSE,"Test 120 Day Accts";#N/A,#N/A,FALSE,"Tickmarks"}</definedName>
    <definedName name="wrn.Aging._.and._.Trend._.Analysis._5_1_5" hidden="1">{#N/A,#N/A,FALSE,"Aging Summary";#N/A,#N/A,FALSE,"Ratio Analysis";#N/A,#N/A,FALSE,"Test 120 Day Accts";#N/A,#N/A,FALSE,"Tickmarks"}</definedName>
    <definedName name="wrn.Aging._.and._.Trend._.Analysis._5_2" localSheetId="0" hidden="1">{#N/A,#N/A,FALSE,"Aging Summary";#N/A,#N/A,FALSE,"Ratio Analysis";#N/A,#N/A,FALSE,"Test 120 Day Accts";#N/A,#N/A,FALSE,"Tickmarks"}</definedName>
    <definedName name="wrn.Aging._.and._.Trend._.Analysis._5_2" localSheetId="6" hidden="1">{#N/A,#N/A,FALSE,"Aging Summary";#N/A,#N/A,FALSE,"Ratio Analysis";#N/A,#N/A,FALSE,"Test 120 Day Accts";#N/A,#N/A,FALSE,"Tickmarks"}</definedName>
    <definedName name="wrn.Aging._.and._.Trend._.Analysis._5_2" hidden="1">{#N/A,#N/A,FALSE,"Aging Summary";#N/A,#N/A,FALSE,"Ratio Analysis";#N/A,#N/A,FALSE,"Test 120 Day Accts";#N/A,#N/A,FALSE,"Tickmarks"}</definedName>
    <definedName name="wrn.Aging._.and._.Trend._.Analysis._5_2_1" localSheetId="0" hidden="1">{#N/A,#N/A,FALSE,"Aging Summary";#N/A,#N/A,FALSE,"Ratio Analysis";#N/A,#N/A,FALSE,"Test 120 Day Accts";#N/A,#N/A,FALSE,"Tickmarks"}</definedName>
    <definedName name="wrn.Aging._.and._.Trend._.Analysis._5_2_1" localSheetId="6" hidden="1">{#N/A,#N/A,FALSE,"Aging Summary";#N/A,#N/A,FALSE,"Ratio Analysis";#N/A,#N/A,FALSE,"Test 120 Day Accts";#N/A,#N/A,FALSE,"Tickmarks"}</definedName>
    <definedName name="wrn.Aging._.and._.Trend._.Analysis._5_2_1" hidden="1">{#N/A,#N/A,FALSE,"Aging Summary";#N/A,#N/A,FALSE,"Ratio Analysis";#N/A,#N/A,FALSE,"Test 120 Day Accts";#N/A,#N/A,FALSE,"Tickmarks"}</definedName>
    <definedName name="wrn.Aging._.and._.Trend._.Analysis._5_2_2" localSheetId="0" hidden="1">{#N/A,#N/A,FALSE,"Aging Summary";#N/A,#N/A,FALSE,"Ratio Analysis";#N/A,#N/A,FALSE,"Test 120 Day Accts";#N/A,#N/A,FALSE,"Tickmarks"}</definedName>
    <definedName name="wrn.Aging._.and._.Trend._.Analysis._5_2_2" localSheetId="6" hidden="1">{#N/A,#N/A,FALSE,"Aging Summary";#N/A,#N/A,FALSE,"Ratio Analysis";#N/A,#N/A,FALSE,"Test 120 Day Accts";#N/A,#N/A,FALSE,"Tickmarks"}</definedName>
    <definedName name="wrn.Aging._.and._.Trend._.Analysis._5_2_2" hidden="1">{#N/A,#N/A,FALSE,"Aging Summary";#N/A,#N/A,FALSE,"Ratio Analysis";#N/A,#N/A,FALSE,"Test 120 Day Accts";#N/A,#N/A,FALSE,"Tickmarks"}</definedName>
    <definedName name="wrn.Aging._.and._.Trend._.Analysis._5_2_3" localSheetId="0" hidden="1">{#N/A,#N/A,FALSE,"Aging Summary";#N/A,#N/A,FALSE,"Ratio Analysis";#N/A,#N/A,FALSE,"Test 120 Day Accts";#N/A,#N/A,FALSE,"Tickmarks"}</definedName>
    <definedName name="wrn.Aging._.and._.Trend._.Analysis._5_2_3" localSheetId="6" hidden="1">{#N/A,#N/A,FALSE,"Aging Summary";#N/A,#N/A,FALSE,"Ratio Analysis";#N/A,#N/A,FALSE,"Test 120 Day Accts";#N/A,#N/A,FALSE,"Tickmarks"}</definedName>
    <definedName name="wrn.Aging._.and._.Trend._.Analysis._5_2_3" hidden="1">{#N/A,#N/A,FALSE,"Aging Summary";#N/A,#N/A,FALSE,"Ratio Analysis";#N/A,#N/A,FALSE,"Test 120 Day Accts";#N/A,#N/A,FALSE,"Tickmarks"}</definedName>
    <definedName name="wrn.Aging._.and._.Trend._.Analysis._5_2_4" localSheetId="0" hidden="1">{#N/A,#N/A,FALSE,"Aging Summary";#N/A,#N/A,FALSE,"Ratio Analysis";#N/A,#N/A,FALSE,"Test 120 Day Accts";#N/A,#N/A,FALSE,"Tickmarks"}</definedName>
    <definedName name="wrn.Aging._.and._.Trend._.Analysis._5_2_4" localSheetId="6" hidden="1">{#N/A,#N/A,FALSE,"Aging Summary";#N/A,#N/A,FALSE,"Ratio Analysis";#N/A,#N/A,FALSE,"Test 120 Day Accts";#N/A,#N/A,FALSE,"Tickmarks"}</definedName>
    <definedName name="wrn.Aging._.and._.Trend._.Analysis._5_2_4" hidden="1">{#N/A,#N/A,FALSE,"Aging Summary";#N/A,#N/A,FALSE,"Ratio Analysis";#N/A,#N/A,FALSE,"Test 120 Day Accts";#N/A,#N/A,FALSE,"Tickmarks"}</definedName>
    <definedName name="wrn.Aging._.and._.Trend._.Analysis._5_2_5" localSheetId="0" hidden="1">{#N/A,#N/A,FALSE,"Aging Summary";#N/A,#N/A,FALSE,"Ratio Analysis";#N/A,#N/A,FALSE,"Test 120 Day Accts";#N/A,#N/A,FALSE,"Tickmarks"}</definedName>
    <definedName name="wrn.Aging._.and._.Trend._.Analysis._5_2_5" localSheetId="6" hidden="1">{#N/A,#N/A,FALSE,"Aging Summary";#N/A,#N/A,FALSE,"Ratio Analysis";#N/A,#N/A,FALSE,"Test 120 Day Accts";#N/A,#N/A,FALSE,"Tickmarks"}</definedName>
    <definedName name="wrn.Aging._.and._.Trend._.Analysis._5_2_5" hidden="1">{#N/A,#N/A,FALSE,"Aging Summary";#N/A,#N/A,FALSE,"Ratio Analysis";#N/A,#N/A,FALSE,"Test 120 Day Accts";#N/A,#N/A,FALSE,"Tickmarks"}</definedName>
    <definedName name="wrn.Aging._.and._.Trend._.Analysis._5_3" localSheetId="0" hidden="1">{#N/A,#N/A,FALSE,"Aging Summary";#N/A,#N/A,FALSE,"Ratio Analysis";#N/A,#N/A,FALSE,"Test 120 Day Accts";#N/A,#N/A,FALSE,"Tickmarks"}</definedName>
    <definedName name="wrn.Aging._.and._.Trend._.Analysis._5_3" localSheetId="6" hidden="1">{#N/A,#N/A,FALSE,"Aging Summary";#N/A,#N/A,FALSE,"Ratio Analysis";#N/A,#N/A,FALSE,"Test 120 Day Accts";#N/A,#N/A,FALSE,"Tickmarks"}</definedName>
    <definedName name="wrn.Aging._.and._.Trend._.Analysis._5_3" hidden="1">{#N/A,#N/A,FALSE,"Aging Summary";#N/A,#N/A,FALSE,"Ratio Analysis";#N/A,#N/A,FALSE,"Test 120 Day Accts";#N/A,#N/A,FALSE,"Tickmarks"}</definedName>
    <definedName name="wrn.Aging._.and._.Trend._.Analysis._5_3_1" localSheetId="0" hidden="1">{#N/A,#N/A,FALSE,"Aging Summary";#N/A,#N/A,FALSE,"Ratio Analysis";#N/A,#N/A,FALSE,"Test 120 Day Accts";#N/A,#N/A,FALSE,"Tickmarks"}</definedName>
    <definedName name="wrn.Aging._.and._.Trend._.Analysis._5_3_1" localSheetId="6" hidden="1">{#N/A,#N/A,FALSE,"Aging Summary";#N/A,#N/A,FALSE,"Ratio Analysis";#N/A,#N/A,FALSE,"Test 120 Day Accts";#N/A,#N/A,FALSE,"Tickmarks"}</definedName>
    <definedName name="wrn.Aging._.and._.Trend._.Analysis._5_3_1" hidden="1">{#N/A,#N/A,FALSE,"Aging Summary";#N/A,#N/A,FALSE,"Ratio Analysis";#N/A,#N/A,FALSE,"Test 120 Day Accts";#N/A,#N/A,FALSE,"Tickmarks"}</definedName>
    <definedName name="wrn.Aging._.and._.Trend._.Analysis._5_3_2" localSheetId="0" hidden="1">{#N/A,#N/A,FALSE,"Aging Summary";#N/A,#N/A,FALSE,"Ratio Analysis";#N/A,#N/A,FALSE,"Test 120 Day Accts";#N/A,#N/A,FALSE,"Tickmarks"}</definedName>
    <definedName name="wrn.Aging._.and._.Trend._.Analysis._5_3_2" localSheetId="6" hidden="1">{#N/A,#N/A,FALSE,"Aging Summary";#N/A,#N/A,FALSE,"Ratio Analysis";#N/A,#N/A,FALSE,"Test 120 Day Accts";#N/A,#N/A,FALSE,"Tickmarks"}</definedName>
    <definedName name="wrn.Aging._.and._.Trend._.Analysis._5_3_2" hidden="1">{#N/A,#N/A,FALSE,"Aging Summary";#N/A,#N/A,FALSE,"Ratio Analysis";#N/A,#N/A,FALSE,"Test 120 Day Accts";#N/A,#N/A,FALSE,"Tickmarks"}</definedName>
    <definedName name="wrn.Aging._.and._.Trend._.Analysis._5_3_3" localSheetId="0" hidden="1">{#N/A,#N/A,FALSE,"Aging Summary";#N/A,#N/A,FALSE,"Ratio Analysis";#N/A,#N/A,FALSE,"Test 120 Day Accts";#N/A,#N/A,FALSE,"Tickmarks"}</definedName>
    <definedName name="wrn.Aging._.and._.Trend._.Analysis._5_3_3" localSheetId="6" hidden="1">{#N/A,#N/A,FALSE,"Aging Summary";#N/A,#N/A,FALSE,"Ratio Analysis";#N/A,#N/A,FALSE,"Test 120 Day Accts";#N/A,#N/A,FALSE,"Tickmarks"}</definedName>
    <definedName name="wrn.Aging._.and._.Trend._.Analysis._5_3_3" hidden="1">{#N/A,#N/A,FALSE,"Aging Summary";#N/A,#N/A,FALSE,"Ratio Analysis";#N/A,#N/A,FALSE,"Test 120 Day Accts";#N/A,#N/A,FALSE,"Tickmarks"}</definedName>
    <definedName name="wrn.Aging._.and._.Trend._.Analysis._5_3_4" localSheetId="0" hidden="1">{#N/A,#N/A,FALSE,"Aging Summary";#N/A,#N/A,FALSE,"Ratio Analysis";#N/A,#N/A,FALSE,"Test 120 Day Accts";#N/A,#N/A,FALSE,"Tickmarks"}</definedName>
    <definedName name="wrn.Aging._.and._.Trend._.Analysis._5_3_4" localSheetId="6" hidden="1">{#N/A,#N/A,FALSE,"Aging Summary";#N/A,#N/A,FALSE,"Ratio Analysis";#N/A,#N/A,FALSE,"Test 120 Day Accts";#N/A,#N/A,FALSE,"Tickmarks"}</definedName>
    <definedName name="wrn.Aging._.and._.Trend._.Analysis._5_3_4" hidden="1">{#N/A,#N/A,FALSE,"Aging Summary";#N/A,#N/A,FALSE,"Ratio Analysis";#N/A,#N/A,FALSE,"Test 120 Day Accts";#N/A,#N/A,FALSE,"Tickmarks"}</definedName>
    <definedName name="wrn.Aging._.and._.Trend._.Analysis._5_3_5" localSheetId="0" hidden="1">{#N/A,#N/A,FALSE,"Aging Summary";#N/A,#N/A,FALSE,"Ratio Analysis";#N/A,#N/A,FALSE,"Test 120 Day Accts";#N/A,#N/A,FALSE,"Tickmarks"}</definedName>
    <definedName name="wrn.Aging._.and._.Trend._.Analysis._5_3_5" localSheetId="6" hidden="1">{#N/A,#N/A,FALSE,"Aging Summary";#N/A,#N/A,FALSE,"Ratio Analysis";#N/A,#N/A,FALSE,"Test 120 Day Accts";#N/A,#N/A,FALSE,"Tickmarks"}</definedName>
    <definedName name="wrn.Aging._.and._.Trend._.Analysis._5_3_5" hidden="1">{#N/A,#N/A,FALSE,"Aging Summary";#N/A,#N/A,FALSE,"Ratio Analysis";#N/A,#N/A,FALSE,"Test 120 Day Accts";#N/A,#N/A,FALSE,"Tickmarks"}</definedName>
    <definedName name="wrn.Aging._.and._.Trend._.Analysis._5_4" localSheetId="0" hidden="1">{#N/A,#N/A,FALSE,"Aging Summary";#N/A,#N/A,FALSE,"Ratio Analysis";#N/A,#N/A,FALSE,"Test 120 Day Accts";#N/A,#N/A,FALSE,"Tickmarks"}</definedName>
    <definedName name="wrn.Aging._.and._.Trend._.Analysis._5_4" localSheetId="6" hidden="1">{#N/A,#N/A,FALSE,"Aging Summary";#N/A,#N/A,FALSE,"Ratio Analysis";#N/A,#N/A,FALSE,"Test 120 Day Accts";#N/A,#N/A,FALSE,"Tickmarks"}</definedName>
    <definedName name="wrn.Aging._.and._.Trend._.Analysis._5_4" hidden="1">{#N/A,#N/A,FALSE,"Aging Summary";#N/A,#N/A,FALSE,"Ratio Analysis";#N/A,#N/A,FALSE,"Test 120 Day Accts";#N/A,#N/A,FALSE,"Tickmarks"}</definedName>
    <definedName name="wrn.Aging._.and._.Trend._.Analysis._5_4_1" localSheetId="0" hidden="1">{#N/A,#N/A,FALSE,"Aging Summary";#N/A,#N/A,FALSE,"Ratio Analysis";#N/A,#N/A,FALSE,"Test 120 Day Accts";#N/A,#N/A,FALSE,"Tickmarks"}</definedName>
    <definedName name="wrn.Aging._.and._.Trend._.Analysis._5_4_1" localSheetId="6" hidden="1">{#N/A,#N/A,FALSE,"Aging Summary";#N/A,#N/A,FALSE,"Ratio Analysis";#N/A,#N/A,FALSE,"Test 120 Day Accts";#N/A,#N/A,FALSE,"Tickmarks"}</definedName>
    <definedName name="wrn.Aging._.and._.Trend._.Analysis._5_4_1" hidden="1">{#N/A,#N/A,FALSE,"Aging Summary";#N/A,#N/A,FALSE,"Ratio Analysis";#N/A,#N/A,FALSE,"Test 120 Day Accts";#N/A,#N/A,FALSE,"Tickmarks"}</definedName>
    <definedName name="wrn.Aging._.and._.Trend._.Analysis._5_4_2" localSheetId="0" hidden="1">{#N/A,#N/A,FALSE,"Aging Summary";#N/A,#N/A,FALSE,"Ratio Analysis";#N/A,#N/A,FALSE,"Test 120 Day Accts";#N/A,#N/A,FALSE,"Tickmarks"}</definedName>
    <definedName name="wrn.Aging._.and._.Trend._.Analysis._5_4_2" localSheetId="6" hidden="1">{#N/A,#N/A,FALSE,"Aging Summary";#N/A,#N/A,FALSE,"Ratio Analysis";#N/A,#N/A,FALSE,"Test 120 Day Accts";#N/A,#N/A,FALSE,"Tickmarks"}</definedName>
    <definedName name="wrn.Aging._.and._.Trend._.Analysis._5_4_2" hidden="1">{#N/A,#N/A,FALSE,"Aging Summary";#N/A,#N/A,FALSE,"Ratio Analysis";#N/A,#N/A,FALSE,"Test 120 Day Accts";#N/A,#N/A,FALSE,"Tickmarks"}</definedName>
    <definedName name="wrn.Aging._.and._.Trend._.Analysis._5_4_3" localSheetId="0" hidden="1">{#N/A,#N/A,FALSE,"Aging Summary";#N/A,#N/A,FALSE,"Ratio Analysis";#N/A,#N/A,FALSE,"Test 120 Day Accts";#N/A,#N/A,FALSE,"Tickmarks"}</definedName>
    <definedName name="wrn.Aging._.and._.Trend._.Analysis._5_4_3" localSheetId="6" hidden="1">{#N/A,#N/A,FALSE,"Aging Summary";#N/A,#N/A,FALSE,"Ratio Analysis";#N/A,#N/A,FALSE,"Test 120 Day Accts";#N/A,#N/A,FALSE,"Tickmarks"}</definedName>
    <definedName name="wrn.Aging._.and._.Trend._.Analysis._5_4_3" hidden="1">{#N/A,#N/A,FALSE,"Aging Summary";#N/A,#N/A,FALSE,"Ratio Analysis";#N/A,#N/A,FALSE,"Test 120 Day Accts";#N/A,#N/A,FALSE,"Tickmarks"}</definedName>
    <definedName name="wrn.Aging._.and._.Trend._.Analysis._5_4_4" localSheetId="0" hidden="1">{#N/A,#N/A,FALSE,"Aging Summary";#N/A,#N/A,FALSE,"Ratio Analysis";#N/A,#N/A,FALSE,"Test 120 Day Accts";#N/A,#N/A,FALSE,"Tickmarks"}</definedName>
    <definedName name="wrn.Aging._.and._.Trend._.Analysis._5_4_4" localSheetId="6" hidden="1">{#N/A,#N/A,FALSE,"Aging Summary";#N/A,#N/A,FALSE,"Ratio Analysis";#N/A,#N/A,FALSE,"Test 120 Day Accts";#N/A,#N/A,FALSE,"Tickmarks"}</definedName>
    <definedName name="wrn.Aging._.and._.Trend._.Analysis._5_4_4" hidden="1">{#N/A,#N/A,FALSE,"Aging Summary";#N/A,#N/A,FALSE,"Ratio Analysis";#N/A,#N/A,FALSE,"Test 120 Day Accts";#N/A,#N/A,FALSE,"Tickmarks"}</definedName>
    <definedName name="wrn.Aging._.and._.Trend._.Analysis._5_4_5" localSheetId="0" hidden="1">{#N/A,#N/A,FALSE,"Aging Summary";#N/A,#N/A,FALSE,"Ratio Analysis";#N/A,#N/A,FALSE,"Test 120 Day Accts";#N/A,#N/A,FALSE,"Tickmarks"}</definedName>
    <definedName name="wrn.Aging._.and._.Trend._.Analysis._5_4_5" localSheetId="6" hidden="1">{#N/A,#N/A,FALSE,"Aging Summary";#N/A,#N/A,FALSE,"Ratio Analysis";#N/A,#N/A,FALSE,"Test 120 Day Accts";#N/A,#N/A,FALSE,"Tickmarks"}</definedName>
    <definedName name="wrn.Aging._.and._.Trend._.Analysis._5_4_5" hidden="1">{#N/A,#N/A,FALSE,"Aging Summary";#N/A,#N/A,FALSE,"Ratio Analysis";#N/A,#N/A,FALSE,"Test 120 Day Accts";#N/A,#N/A,FALSE,"Tickmarks"}</definedName>
    <definedName name="wrn.Aging._.and._.Trend._.Analysis._5_5" localSheetId="0" hidden="1">{#N/A,#N/A,FALSE,"Aging Summary";#N/A,#N/A,FALSE,"Ratio Analysis";#N/A,#N/A,FALSE,"Test 120 Day Accts";#N/A,#N/A,FALSE,"Tickmarks"}</definedName>
    <definedName name="wrn.Aging._.and._.Trend._.Analysis._5_5" localSheetId="6" hidden="1">{#N/A,#N/A,FALSE,"Aging Summary";#N/A,#N/A,FALSE,"Ratio Analysis";#N/A,#N/A,FALSE,"Test 120 Day Accts";#N/A,#N/A,FALSE,"Tickmarks"}</definedName>
    <definedName name="wrn.Aging._.and._.Trend._.Analysis._5_5" hidden="1">{#N/A,#N/A,FALSE,"Aging Summary";#N/A,#N/A,FALSE,"Ratio Analysis";#N/A,#N/A,FALSE,"Test 120 Day Accts";#N/A,#N/A,FALSE,"Tickmarks"}</definedName>
    <definedName name="wrn.Aging._.and._.Trend._.Analysis._5_5_1" localSheetId="0" hidden="1">{#N/A,#N/A,FALSE,"Aging Summary";#N/A,#N/A,FALSE,"Ratio Analysis";#N/A,#N/A,FALSE,"Test 120 Day Accts";#N/A,#N/A,FALSE,"Tickmarks"}</definedName>
    <definedName name="wrn.Aging._.and._.Trend._.Analysis._5_5_1" localSheetId="6" hidden="1">{#N/A,#N/A,FALSE,"Aging Summary";#N/A,#N/A,FALSE,"Ratio Analysis";#N/A,#N/A,FALSE,"Test 120 Day Accts";#N/A,#N/A,FALSE,"Tickmarks"}</definedName>
    <definedName name="wrn.Aging._.and._.Trend._.Analysis._5_5_1" hidden="1">{#N/A,#N/A,FALSE,"Aging Summary";#N/A,#N/A,FALSE,"Ratio Analysis";#N/A,#N/A,FALSE,"Test 120 Day Accts";#N/A,#N/A,FALSE,"Tickmarks"}</definedName>
    <definedName name="wrn.Aging._.and._.Trend._.Analysis._5_5_2" localSheetId="0" hidden="1">{#N/A,#N/A,FALSE,"Aging Summary";#N/A,#N/A,FALSE,"Ratio Analysis";#N/A,#N/A,FALSE,"Test 120 Day Accts";#N/A,#N/A,FALSE,"Tickmarks"}</definedName>
    <definedName name="wrn.Aging._.and._.Trend._.Analysis._5_5_2" localSheetId="6" hidden="1">{#N/A,#N/A,FALSE,"Aging Summary";#N/A,#N/A,FALSE,"Ratio Analysis";#N/A,#N/A,FALSE,"Test 120 Day Accts";#N/A,#N/A,FALSE,"Tickmarks"}</definedName>
    <definedName name="wrn.Aging._.and._.Trend._.Analysis._5_5_2" hidden="1">{#N/A,#N/A,FALSE,"Aging Summary";#N/A,#N/A,FALSE,"Ratio Analysis";#N/A,#N/A,FALSE,"Test 120 Day Accts";#N/A,#N/A,FALSE,"Tickmarks"}</definedName>
    <definedName name="wrn.Aging._.and._.Trend._.Analysis._5_5_3" localSheetId="0" hidden="1">{#N/A,#N/A,FALSE,"Aging Summary";#N/A,#N/A,FALSE,"Ratio Analysis";#N/A,#N/A,FALSE,"Test 120 Day Accts";#N/A,#N/A,FALSE,"Tickmarks"}</definedName>
    <definedName name="wrn.Aging._.and._.Trend._.Analysis._5_5_3" localSheetId="6" hidden="1">{#N/A,#N/A,FALSE,"Aging Summary";#N/A,#N/A,FALSE,"Ratio Analysis";#N/A,#N/A,FALSE,"Test 120 Day Accts";#N/A,#N/A,FALSE,"Tickmarks"}</definedName>
    <definedName name="wrn.Aging._.and._.Trend._.Analysis._5_5_3" hidden="1">{#N/A,#N/A,FALSE,"Aging Summary";#N/A,#N/A,FALSE,"Ratio Analysis";#N/A,#N/A,FALSE,"Test 120 Day Accts";#N/A,#N/A,FALSE,"Tickmarks"}</definedName>
    <definedName name="wrn.Aging._.and._.Trend._.Analysis._5_5_4" localSheetId="0" hidden="1">{#N/A,#N/A,FALSE,"Aging Summary";#N/A,#N/A,FALSE,"Ratio Analysis";#N/A,#N/A,FALSE,"Test 120 Day Accts";#N/A,#N/A,FALSE,"Tickmarks"}</definedName>
    <definedName name="wrn.Aging._.and._.Trend._.Analysis._5_5_4" localSheetId="6" hidden="1">{#N/A,#N/A,FALSE,"Aging Summary";#N/A,#N/A,FALSE,"Ratio Analysis";#N/A,#N/A,FALSE,"Test 120 Day Accts";#N/A,#N/A,FALSE,"Tickmarks"}</definedName>
    <definedName name="wrn.Aging._.and._.Trend._.Analysis._5_5_4" hidden="1">{#N/A,#N/A,FALSE,"Aging Summary";#N/A,#N/A,FALSE,"Ratio Analysis";#N/A,#N/A,FALSE,"Test 120 Day Accts";#N/A,#N/A,FALSE,"Tickmarks"}</definedName>
    <definedName name="wrn.Aging._.and._.Trend._.Analysis._5_5_5" localSheetId="0" hidden="1">{#N/A,#N/A,FALSE,"Aging Summary";#N/A,#N/A,FALSE,"Ratio Analysis";#N/A,#N/A,FALSE,"Test 120 Day Accts";#N/A,#N/A,FALSE,"Tickmarks"}</definedName>
    <definedName name="wrn.Aging._.and._.Trend._.Analysis._5_5_5" localSheetId="6" hidden="1">{#N/A,#N/A,FALSE,"Aging Summary";#N/A,#N/A,FALSE,"Ratio Analysis";#N/A,#N/A,FALSE,"Test 120 Day Accts";#N/A,#N/A,FALSE,"Tickmarks"}</definedName>
    <definedName name="wrn.Aging._.and._.Trend._.Analysis._5_5_5" hidden="1">{#N/A,#N/A,FALSE,"Aging Summary";#N/A,#N/A,FALSE,"Ratio Analysis";#N/A,#N/A,FALSE,"Test 120 Day Accts";#N/A,#N/A,FALSE,"Tickmarks"}</definedName>
    <definedName name="wrn.Aito._.Comp" localSheetId="0" hidden="1">{#N/A,#N/A,FALSE,"Sheet1"}</definedName>
    <definedName name="wrn.Aito._.Comp" localSheetId="6" hidden="1">{#N/A,#N/A,FALSE,"Sheet1"}</definedName>
    <definedName name="wrn.Aito._.Comp" hidden="1">{#N/A,#N/A,FALSE,"Sheet1"}</definedName>
    <definedName name="wrn.Al._.Mukairin." localSheetId="0"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wrn.Al._.Mukairin." localSheetId="6"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wrn.Al._.Mukairin." hidden="1">{#N/A,#N/A,FALSE,"BS";#N/A,#N/A,FALSE,"IS";#N/A,#N/A,FALSE,"CF";#N/A,#N/A,FALSE,"Template";#N/A,#N/A,FALSE,"PB (formatted)";#N/A,#N/A,FALSE,"PE (formatted)";#N/A,#N/A,FALSE,"Beta";#N/A,#N/A,FALSE,"Goodwill Factor";#N/A,#N/A,FALSE,"Exit Multiple";#N/A,#N/A,FALSE,"Summary of Value";#N/A,#N/A,FALSE,"Summary of Value";#N/A,#N/A,FALSE,"Cash Flows";#N/A,#N/A,FALSE,"Normalized Cash Flow";#N/A,#N/A,FALSE,"Terminal Value";#N/A,#N/A,FALSE,"Income Statement (2)";#N/A,#N/A,FALSE,"Balance Sheet Data";#N/A,#N/A,FALSE,"Sensitivity Table"}</definedName>
    <definedName name="wrn.ALAN." localSheetId="0" hidden="1">{"CREDIT STATISTICS",#N/A,FALSE,"STATS";"CF_AND_IS",#N/A,FALSE,"PLAN";"DEBT SCHEDULE",#N/A,FALSE,"PLAN";"SUBSCRIBERS",#N/A,FALSE,"PLAN";"DETAIL_REV",#N/A,FALSE,"PLAN";"DETAIL_EXPENSE",#N/A,FALSE,"PLAN";"SALES_AND EXP_DRIVERS",#N/A,FALSE,"PLAN";"FIXED ASSETS",#N/A,FALSE,"PLAN";"DEPRECIATION SCHEDULE",#N/A,FALSE,"PLAN"}</definedName>
    <definedName name="wrn.ALAN." localSheetId="6" hidden="1">{"CREDIT STATISTICS",#N/A,FALSE,"STATS";"CF_AND_IS",#N/A,FALSE,"PLAN";"DEBT SCHEDULE",#N/A,FALSE,"PLAN";"SUBSCRIBERS",#N/A,FALSE,"PLAN";"DETAIL_REV",#N/A,FALSE,"PLAN";"DETAIL_EXPENSE",#N/A,FALSE,"PLAN";"SALES_AND EXP_DRIVERS",#N/A,FALSE,"PLAN";"FIXED ASSETS",#N/A,FALSE,"PLAN";"DEPRECIATION SCHEDULE",#N/A,FALSE,"PLAN"}</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ex." localSheetId="0" hidden="1">{#N/A,#N/A,FALSE,"TradeSumm";#N/A,#N/A,FALSE,"StatsSumm"}</definedName>
    <definedName name="wrn.Alex." localSheetId="6" hidden="1">{#N/A,#N/A,FALSE,"TradeSumm";#N/A,#N/A,FALSE,"StatsSumm"}</definedName>
    <definedName name="wrn.Alex." hidden="1">{#N/A,#N/A,FALSE,"TradeSumm";#N/A,#N/A,FALSE,"StatsSumm"}</definedName>
    <definedName name="wrn.all" localSheetId="0" hidden="1">{"PAGE1",#N/A,FALSE,"YIELDS";"PAGE2",#N/A,FALSE,"YIELDS";"PAGE3",#N/A,FALSE,"YIELDS"}</definedName>
    <definedName name="wrn.all" localSheetId="6" hidden="1">{"PAGE1",#N/A,FALSE,"YIELDS";"PAGE2",#N/A,FALSE,"YIELDS";"PAGE3",#N/A,FALSE,"YIELDS"}</definedName>
    <definedName name="wrn.all" hidden="1">{"PAGE1",#N/A,FALSE,"YIELDS";"PAGE2",#N/A,FALSE,"YIELDS";"PAGE3",#N/A,FALSE,"YIELDS"}</definedName>
    <definedName name="wrn.ALL." localSheetId="0" hidden="1">{#N/A,#N/A,FALSE,"ASSUMPTIONS";#N/A,#N/A,FALSE,"Valuation Summary";"page1",#N/A,FALSE,"PRESENTATION";"page2",#N/A,FALSE,"PRESENTATION";#N/A,#N/A,FALSE,"ORIGINAL_ROLLBACK"}</definedName>
    <definedName name="wrn.ALL." localSheetId="6" hidden="1">{#N/A,#N/A,FALSE,"ASSUMPTIONS";#N/A,#N/A,FALSE,"Valuation Summary";"page1",#N/A,FALSE,"PRESENTATION";"page2",#N/A,FALSE,"PRESENTATION";#N/A,#N/A,FALSE,"ORIGINAL_ROLLBACK"}</definedName>
    <definedName name="wrn.ALL." hidden="1">{#N/A,#N/A,FALSE,"ASSUMPTIONS";#N/A,#N/A,FALSE,"Valuation Summary";"page1",#N/A,FALSE,"PRESENTATION";"page2",#N/A,FALSE,"PRESENTATION";#N/A,#N/A,FALSE,"ORIGINAL_ROLLBACK"}</definedName>
    <definedName name="wrn.All._.Company._.Analyses." localSheetId="0"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localSheetId="6"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localSheetId="0" hidden="1">{"equity comps",#N/A,FALSE,"CS Comps";"equity comps",#N/A,FALSE,"PS Comps";"equity comps",#N/A,FALSE,"GIC_Comps";"equity comps",#N/A,FALSE,"GIC2_Comps";"debt comps",#N/A,FALSE,"CS Comps";"debt comps",#N/A,FALSE,"PS Comps";"debt comps",#N/A,FALSE,"GIC_Comps";"debt comps",#N/A,FALSE,"GIC2_Comps"}</definedName>
    <definedName name="wrn.all._.comps." localSheetId="6" hidden="1">{"equity comps",#N/A,FALSE,"CS Comps";"equity comps",#N/A,FALSE,"PS Comps";"equity comps",#N/A,FALSE,"GIC_Comps";"equity comps",#N/A,FALSE,"GIC2_Comps";"debt comps",#N/A,FALSE,"CS Comps";"debt comps",#N/A,FALSE,"PS Comps";"debt comps",#N/A,FALSE,"GIC_Comps";"debt comps",#N/A,FALSE,"GIC2_Comps"}</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comps.1" localSheetId="0" hidden="1">{"equity comps",#N/A,FALSE,"CS Comps";"equity comps",#N/A,FALSE,"PS Comps";"equity comps",#N/A,FALSE,"GIC_Comps";"equity comps",#N/A,FALSE,"GIC2_Comps";"debt comps",#N/A,FALSE,"CS Comps";"debt comps",#N/A,FALSE,"PS Comps";"debt comps",#N/A,FALSE,"GIC_Comps";"debt comps",#N/A,FALSE,"GIC2_Comps"}</definedName>
    <definedName name="wrn.all._.comps.1" localSheetId="6" hidden="1">{"equity comps",#N/A,FALSE,"CS Comps";"equity comps",#N/A,FALSE,"PS Comps";"equity comps",#N/A,FALSE,"GIC_Comps";"equity comps",#N/A,FALSE,"GIC2_Comps";"debt comps",#N/A,FALSE,"CS Comps";"debt comps",#N/A,FALSE,"PS Comps";"debt comps",#N/A,FALSE,"GIC_Comps";"debt comps",#N/A,FALSE,"GIC2_Comps"}</definedName>
    <definedName name="wrn.all._.comps.1" hidden="1">{"equity comps",#N/A,FALSE,"CS Comps";"equity comps",#N/A,FALSE,"PS Comps";"equity comps",#N/A,FALSE,"GIC_Comps";"equity comps",#N/A,FALSE,"GIC2_Comps";"debt comps",#N/A,FALSE,"CS Comps";"debt comps",#N/A,FALSE,"PS Comps";"debt comps",#N/A,FALSE,"GIC_Comps";"debt comps",#N/A,FALSE,"GIC2_Comps"}</definedName>
    <definedName name="wrn.All._.Exhibits." localSheetId="0" hidden="1">{"Base",#N/A,FALSE,"DCF Calculation - Scenario 1";"Dollar",#N/A,FALSE,"Consolidated - Scenario 1";"CS",#N/A,FALSE,"Consolidated - Scenario 1";"Base",#N/A,FALSE,"New Facilities - Scenario 1";"Inc Stmt Dollar",#N/A,FALSE,"Houston Central";"Inc Stmt CS",#N/A,FALSE,"Houston Central";"Inc Stmt Dollar",#N/A,FALSE,"Victoria";"Inc Stmt CS",#N/A,FALSE,"Victoria";"Inc Stmt Dollar",#N/A,FALSE,"Denver";"Inc Stmt CS",#N/A,FALSE,"Denver";"Inc Stmt Dollar",#N/A,FALSE,"Amarillo";"Inc Stmt CS",#N/A,FALSE,"Amarillo";"Inc Stmt Dollar",#N/A,FALSE,"Kokomo";"Inc Stmt CS",#N/A,FALSE,"Kokomo";"Inc Stmt Dollar",#N/A,FALSE,"San Angelo";"Inc Stmt CS",#N/A,FALSE,"San Angelo";"Inc Stmt Dollar",#N/A,FALSE,"Mandan";"Inc Stmt CS",#N/A,FALSE,"Mandan";"Inc Stmt Dollar",#N/A,FALSE,"Fargo";"Inc Stmt CS",#N/A,FALSE,"Fargo";"Inc Stmt Dollar",#N/A,FALSE,"Lima";"Inc Stmt CS",#N/A,FALSE,"Lima";"Inc Stmt Dollar",#N/A,FALSE,"Mansfield";"Inc Stmt CS",#N/A,FALSE,"Mansfield";"Inc Stmt Dollar",#N/A,FALSE,"Detroit";"Inc Stmt CS",#N/A,FALSE,"Detroit";"Inc Stmt Dollar",#N/A,FALSE,"Harrisburg";"Inc Stmt CS",#N/A,FALSE,"Harrisburg";"Inc Stmt Dollar",#N/A,FALSE,"Savannah";"Inc Stmt CS",#N/A,FALSE,"Savannah";"Inc Stmt Dollar",#N/A,FALSE,"Easton";"Inc Stmt CS",#N/A,FALSE,"Easton"}</definedName>
    <definedName name="wrn.All._.Exhibits." localSheetId="6" hidden="1">{"Base",#N/A,FALSE,"DCF Calculation - Scenario 1";"Dollar",#N/A,FALSE,"Consolidated - Scenario 1";"CS",#N/A,FALSE,"Consolidated - Scenario 1";"Base",#N/A,FALSE,"New Facilities - Scenario 1";"Inc Stmt Dollar",#N/A,FALSE,"Houston Central";"Inc Stmt CS",#N/A,FALSE,"Houston Central";"Inc Stmt Dollar",#N/A,FALSE,"Victoria";"Inc Stmt CS",#N/A,FALSE,"Victoria";"Inc Stmt Dollar",#N/A,FALSE,"Denver";"Inc Stmt CS",#N/A,FALSE,"Denver";"Inc Stmt Dollar",#N/A,FALSE,"Amarillo";"Inc Stmt CS",#N/A,FALSE,"Amarillo";"Inc Stmt Dollar",#N/A,FALSE,"Kokomo";"Inc Stmt CS",#N/A,FALSE,"Kokomo";"Inc Stmt Dollar",#N/A,FALSE,"San Angelo";"Inc Stmt CS",#N/A,FALSE,"San Angelo";"Inc Stmt Dollar",#N/A,FALSE,"Mandan";"Inc Stmt CS",#N/A,FALSE,"Mandan";"Inc Stmt Dollar",#N/A,FALSE,"Fargo";"Inc Stmt CS",#N/A,FALSE,"Fargo";"Inc Stmt Dollar",#N/A,FALSE,"Lima";"Inc Stmt CS",#N/A,FALSE,"Lima";"Inc Stmt Dollar",#N/A,FALSE,"Mansfield";"Inc Stmt CS",#N/A,FALSE,"Mansfield";"Inc Stmt Dollar",#N/A,FALSE,"Detroit";"Inc Stmt CS",#N/A,FALSE,"Detroit";"Inc Stmt Dollar",#N/A,FALSE,"Harrisburg";"Inc Stmt CS",#N/A,FALSE,"Harrisburg";"Inc Stmt Dollar",#N/A,FALSE,"Savannah";"Inc Stmt CS",#N/A,FALSE,"Savannah";"Inc Stmt Dollar",#N/A,FALSE,"Easton";"Inc Stmt CS",#N/A,FALSE,"Easton"}</definedName>
    <definedName name="wrn.All._.Exhibits." hidden="1">{"Base",#N/A,FALSE,"DCF Calculation - Scenario 1";"Dollar",#N/A,FALSE,"Consolidated - Scenario 1";"CS",#N/A,FALSE,"Consolidated - Scenario 1";"Base",#N/A,FALSE,"New Facilities - Scenario 1";"Inc Stmt Dollar",#N/A,FALSE,"Houston Central";"Inc Stmt CS",#N/A,FALSE,"Houston Central";"Inc Stmt Dollar",#N/A,FALSE,"Victoria";"Inc Stmt CS",#N/A,FALSE,"Victoria";"Inc Stmt Dollar",#N/A,FALSE,"Denver";"Inc Stmt CS",#N/A,FALSE,"Denver";"Inc Stmt Dollar",#N/A,FALSE,"Amarillo";"Inc Stmt CS",#N/A,FALSE,"Amarillo";"Inc Stmt Dollar",#N/A,FALSE,"Kokomo";"Inc Stmt CS",#N/A,FALSE,"Kokomo";"Inc Stmt Dollar",#N/A,FALSE,"San Angelo";"Inc Stmt CS",#N/A,FALSE,"San Angelo";"Inc Stmt Dollar",#N/A,FALSE,"Mandan";"Inc Stmt CS",#N/A,FALSE,"Mandan";"Inc Stmt Dollar",#N/A,FALSE,"Fargo";"Inc Stmt CS",#N/A,FALSE,"Fargo";"Inc Stmt Dollar",#N/A,FALSE,"Lima";"Inc Stmt CS",#N/A,FALSE,"Lima";"Inc Stmt Dollar",#N/A,FALSE,"Mansfield";"Inc Stmt CS",#N/A,FALSE,"Mansfield";"Inc Stmt Dollar",#N/A,FALSE,"Detroit";"Inc Stmt CS",#N/A,FALSE,"Detroit";"Inc Stmt Dollar",#N/A,FALSE,"Harrisburg";"Inc Stmt CS",#N/A,FALSE,"Harrisburg";"Inc Stmt Dollar",#N/A,FALSE,"Savannah";"Inc Stmt CS",#N/A,FALSE,"Savannah";"Inc Stmt Dollar",#N/A,FALSE,"Easton";"Inc Stmt CS",#N/A,FALSE,"Easton"}</definedName>
    <definedName name="wrn.All._.Financials." localSheetId="0" hidden="1">{#N/A,#N/A,TRUE,"Assumptions";#N/A,#N/A,TRUE,"Op Projection";#N/A,#N/A,TRUE,"Capital";#N/A,#N/A,TRUE,"Income";#N/A,#N/A,TRUE,"Balance";#N/A,#N/A,TRUE,"Sources&amp;Uses"}</definedName>
    <definedName name="wrn.All._.Financials." localSheetId="6" hidden="1">{#N/A,#N/A,TRUE,"Assumptions";#N/A,#N/A,TRUE,"Op Projection";#N/A,#N/A,TRUE,"Capital";#N/A,#N/A,TRUE,"Income";#N/A,#N/A,TRUE,"Balance";#N/A,#N/A,TRUE,"Sources&amp;Uses"}</definedName>
    <definedName name="wrn.All._.Financials." hidden="1">{#N/A,#N/A,TRUE,"Assumptions";#N/A,#N/A,TRUE,"Op Projection";#N/A,#N/A,TRUE,"Capital";#N/A,#N/A,TRUE,"Income";#N/A,#N/A,TRUE,"Balance";#N/A,#N/A,TRUE,"Sources&amp;Uses"}</definedName>
    <definedName name="wrn.all._.gulp._.sheets." localSheetId="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input." localSheetId="0"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localSheetId="6"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Inputs." localSheetId="6" hidden="1">{#N/A,#N/A,FALSE,"Primary";#N/A,#N/A,FALSE,"Secondary";#N/A,#N/A,FALSE,"Latent";#N/A,#N/A,FALSE,"Demand Inputs";#N/A,#N/A,FALSE,"Supply Addn";#N/A,#N/A,FALSE,"Mkt Pen"}</definedName>
    <definedName name="wrn.All._.Inputs." hidden="1">{#N/A,#N/A,FALSE,"Primary";#N/A,#N/A,FALSE,"Secondary";#N/A,#N/A,FALSE,"Latent";#N/A,#N/A,FALSE,"Demand Inputs";#N/A,#N/A,FALSE,"Supply Addn";#N/A,#N/A,FALSE,"Mkt Pen"}</definedName>
    <definedName name="wrn.all._.lines." localSheetId="6"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lines._1" localSheetId="6" hidden="1">{#N/A,#N/A,FALSE,"Summary";#N/A,#N/A,FALSE,"3TJ";#N/A,#N/A,FALSE,"3TN";#N/A,#N/A,FALSE,"3TP";#N/A,#N/A,FALSE,"3SJ";#N/A,#N/A,FALSE,"3CJ";#N/A,#N/A,FALSE,"3CN";#N/A,#N/A,FALSE,"3CP";#N/A,#N/A,FALSE,"3A"}</definedName>
    <definedName name="wrn.all._.lines._1" hidden="1">{#N/A,#N/A,FALSE,"Summary";#N/A,#N/A,FALSE,"3TJ";#N/A,#N/A,FALSE,"3TN";#N/A,#N/A,FALSE,"3TP";#N/A,#N/A,FALSE,"3SJ";#N/A,#N/A,FALSE,"3CJ";#N/A,#N/A,FALSE,"3CN";#N/A,#N/A,FALSE,"3CP";#N/A,#N/A,FALSE,"3A"}</definedName>
    <definedName name="wrn.All._.Pages."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localSheetId="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Front"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reports." localSheetId="6" hidden="1">{"p&amp;l",#N/A,TRUE,"BPLN5YR3";"cashflow",#N/A,TRUE,"BPLN5YR3";"Balance Sheet",#N/A,TRUE,"BPLN5YR3"}</definedName>
    <definedName name="wrn.all._.reports." hidden="1">{"p&amp;l",#N/A,TRUE,"BPLN5YR3";"cashflow",#N/A,TRUE,"BPLN5YR3";"Balance Sheet",#N/A,TRUE,"BPLN5YR3"}</definedName>
    <definedName name="wrn.ALL._.SHEETS." localSheetId="6"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Stock_10_12_14." localSheetId="0"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localSheetId="6"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Stock_10_12_14."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wrn.ALL._1" localSheetId="0" hidden="1">{#N/A,#N/A,FALSE,"ASSUMPTIONS";#N/A,#N/A,FALSE,"Valuation Summary";"page1",#N/A,FALSE,"PRESENTATION";"page2",#N/A,FALSE,"PRESENTATION";#N/A,#N/A,FALSE,"ORIGINAL_ROLLBACK"}</definedName>
    <definedName name="wrn.ALL._1" localSheetId="6" hidden="1">{#N/A,#N/A,FALSE,"ASSUMPTIONS";#N/A,#N/A,FALSE,"Valuation Summary";"page1",#N/A,FALSE,"PRESENTATION";"page2",#N/A,FALSE,"PRESENTATION";#N/A,#N/A,FALSE,"ORIGINAL_ROLLBACK"}</definedName>
    <definedName name="wrn.ALL._1" hidden="1">{#N/A,#N/A,FALSE,"ASSUMPTIONS";#N/A,#N/A,FALSE,"Valuation Summary";"page1",#N/A,FALSE,"PRESENTATION";"page2",#N/A,FALSE,"PRESENTATION";#N/A,#N/A,FALSE,"ORIGINAL_ROLLBACK"}</definedName>
    <definedName name="wrn.all.2" localSheetId="0" hidden="1">{#N/A,#N/A,FALSE,"DCF";#N/A,#N/A,FALSE,"WACC";#N/A,#N/A,FALSE,"Sales_EBIT";#N/A,#N/A,FALSE,"Capex_Depreciation";#N/A,#N/A,FALSE,"WC";#N/A,#N/A,FALSE,"Interest";#N/A,#N/A,FALSE,"Assumptions"}</definedName>
    <definedName name="wrn.all.2" localSheetId="6" hidden="1">{#N/A,#N/A,FALSE,"DCF";#N/A,#N/A,FALSE,"WACC";#N/A,#N/A,FALSE,"Sales_EBIT";#N/A,#N/A,FALSE,"Capex_Depreciation";#N/A,#N/A,FALSE,"WC";#N/A,#N/A,FALSE,"Interest";#N/A,#N/A,FALSE,"Assumptions"}</definedName>
    <definedName name="wrn.all.2" hidden="1">{#N/A,#N/A,FALSE,"DCF";#N/A,#N/A,FALSE,"WACC";#N/A,#N/A,FALSE,"Sales_EBIT";#N/A,#N/A,FALSE,"Capex_Depreciation";#N/A,#N/A,FALSE,"WC";#N/A,#N/A,FALSE,"Interest";#N/A,#N/A,FALSE,"Assumptions"}</definedName>
    <definedName name="wrn.All_Models." localSheetId="6"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RECOS." localSheetId="6"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wrn.ALL_RECOS." hidden="1">{#N/A,#N/A,FALSE,"510";#N/A,#N/A,FALSE,"510-745";#N/A,#N/A,FALSE,"515";#N/A,#N/A,FALSE,"520";#N/A,#N/A,FALSE,"525";#N/A,#N/A,FALSE,"530";#N/A,#N/A,FALSE,"530-745";#N/A,#N/A,FALSE,"535";#N/A,#N/A,FALSE,"540";#N/A,#N/A,FALSE,"545";#N/A,#N/A,FALSE,"550";#N/A,#N/A,FALSE,"555";#N/A,#N/A,FALSE,"560";#N/A,#N/A,FALSE,"565";#N/A,#N/A,FALSE,"599";#N/A,#N/A,FALSE,"600-700";#N/A,#N/A,FALSE,"600-999";#N/A,#N/A,FALSE,"602";#N/A,#N/A,FALSE,"610";#N/A,#N/A,FALSE,"611";#N/A,#N/A,FALSE,"615";#N/A,#N/A,FALSE,"630";#N/A,#N/A,FALSE,"640";#N/A,#N/A,FALSE,"700";#N/A,#N/A,FALSE,"705";#N/A,#N/A,FALSE,"710";#N/A,#N/A,FALSE,"750";#N/A,#N/A,FALSE,"790";#N/A,#N/A,FALSE,"800-600";#N/A,#N/A,FALSE,"800-610";#N/A,#N/A,FALSE,"800-910";#N/A,#N/A,FALSE,"205";#N/A,#N/A,FALSE,"210";#N/A,#N/A,FALSE,"220";#N/A,#N/A,FALSE,"225";#N/A,#N/A,FALSE,"230";#N/A,#N/A,FALSE,"235";#N/A,#N/A,FALSE,"245";#N/A,#N/A,FALSE,"260";#N/A,#N/A,FALSE,"264";#N/A,#N/A,FALSE,"265";#N/A,#N/A,FALSE,"266";#N/A,#N/A,FALSE,"275";#N/A,#N/A,FALSE,"287";#N/A,#N/A,FALSE,"292";#N/A,#N/A,FALSE,"294";#N/A,#N/A,FALSE,"305";#N/A,#N/A,FALSE,"316";#N/A,#N/A,FALSE,"317";#N/A,#N/A,FALSE,"325";#N/A,#N/A,FALSE,"405";#N/A,#N/A,FALSE,"407";#N/A,#N/A,FALSE,"999-999-999"}</definedName>
    <definedName name="wrn.All_Sheets." localSheetId="6"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2." localSheetId="0" hidden="1">{#N/A,#N/A,FALSE,"DCF";#N/A,#N/A,FALSE,"WACC";#N/A,#N/A,FALSE,"Sales_EBIT";#N/A,#N/A,FALSE,"Capex_Depreciation";#N/A,#N/A,FALSE,"WC";#N/A,#N/A,FALSE,"Interest";#N/A,#N/A,FALSE,"Assumptions"}</definedName>
    <definedName name="wrn.ALL2." localSheetId="6" hidden="1">{#N/A,#N/A,FALSE,"DCF";#N/A,#N/A,FALSE,"WACC";#N/A,#N/A,FALSE,"Sales_EBIT";#N/A,#N/A,FALSE,"Capex_Depreciation";#N/A,#N/A,FALSE,"WC";#N/A,#N/A,FALSE,"Interest";#N/A,#N/A,FALSE,"Assumptions"}</definedName>
    <definedName name="wrn.ALL2." hidden="1">{#N/A,#N/A,FALSE,"DCF";#N/A,#N/A,FALSE,"WACC";#N/A,#N/A,FALSE,"Sales_EBIT";#N/A,#N/A,FALSE,"Capex_Depreciation";#N/A,#N/A,FALSE,"WC";#N/A,#N/A,FALSE,"Interest";#N/A,#N/A,FALSE,"Assumptions"}</definedName>
    <definedName name="wrn.all3" localSheetId="6" hidden="1">{#N/A,#N/A,FALSE,"assumptions";#N/A,#N/A,FALSE,"v_projcy";#N/A,#N/A,FALSE,"tar_proj";#N/A,#N/A,FALSE,"contrib_annual";#N/A,#N/A,FALSE,"Proforma";#N/A,#N/A,FALSE,"purc_97";#N/A,#N/A,FALSE,"syn_purc_97";#N/A,#N/A,FALSE,"pool_97";#N/A,#N/A,FALSE,"syn_pool_97";#N/A,#N/A,FALSE,"pool1_FY2"}</definedName>
    <definedName name="wrn.all3" hidden="1">{#N/A,#N/A,FALSE,"assumptions";#N/A,#N/A,FALSE,"v_projcy";#N/A,#N/A,FALSE,"tar_proj";#N/A,#N/A,FALSE,"contrib_annual";#N/A,#N/A,FALSE,"Proforma";#N/A,#N/A,FALSE,"purc_97";#N/A,#N/A,FALSE,"syn_purc_97";#N/A,#N/A,FALSE,"pool_97";#N/A,#N/A,FALSE,"syn_pool_97";#N/A,#N/A,FALSE,"pool1_FY2"}</definedName>
    <definedName name="wrn.ALL4" localSheetId="6" hidden="1">{#N/A,#N/A,FALSE,"ASSUMPTIONS";#N/A,#N/A,FALSE,"Valuation Summary";"page1",#N/A,FALSE,"PRESENTATION";"page2",#N/A,FALSE,"PRESENTATION";#N/A,#N/A,FALSE,"ORIGINAL_ROLLBACK"}</definedName>
    <definedName name="wrn.ALL4" hidden="1">{#N/A,#N/A,FALSE,"ASSUMPTIONS";#N/A,#N/A,FALSE,"Valuation Summary";"page1",#N/A,FALSE,"PRESENTATION";"page2",#N/A,FALSE,"PRESENTATION";#N/A,#N/A,FALSE,"ORIGINAL_ROLLBACK"}</definedName>
    <definedName name="wrn.ALL5" localSheetId="6" hidden="1">{#N/A,#N/A,FALSE,"ASSUMPTIONS";#N/A,#N/A,FALSE,"Valuation Summary";"page1",#N/A,FALSE,"PRESENTATION";"page2",#N/A,FALSE,"PRESENTATION";#N/A,#N/A,FALSE,"ORIGINAL_ROLLBACK"}</definedName>
    <definedName name="wrn.ALL5" hidden="1">{#N/A,#N/A,FALSE,"ASSUMPTIONS";#N/A,#N/A,FALSE,"Valuation Summary";"page1",#N/A,FALSE,"PRESENTATION";"page2",#N/A,FALSE,"PRESENTATION";#N/A,#N/A,FALSE,"ORIGINAL_ROLLBACK"}</definedName>
    <definedName name="wrn.ALL6" localSheetId="6" hidden="1">{#N/A,#N/A,FALSE,"ASSUMPTIONS";#N/A,#N/A,FALSE,"Valuation Summary";"page1",#N/A,FALSE,"PRESENTATION";"page2",#N/A,FALSE,"PRESENTATION";#N/A,#N/A,FALSE,"ORIGINAL_ROLLBACK"}</definedName>
    <definedName name="wrn.ALL6" hidden="1">{#N/A,#N/A,FALSE,"ASSUMPTIONS";#N/A,#N/A,FALSE,"Valuation Summary";"page1",#N/A,FALSE,"PRESENTATION";"page2",#N/A,FALSE,"PRESENTATION";#N/A,#N/A,FALSE,"ORIGINAL_ROLLBACK"}</definedName>
    <definedName name="wrn.ALL8" localSheetId="6" hidden="1">{#N/A,#N/A,FALSE,"ASSUMPTIONS";#N/A,#N/A,FALSE,"Valuation Summary";"page1",#N/A,FALSE,"PRESENTATION";"page2",#N/A,FALSE,"PRESENTATION";#N/A,#N/A,FALSE,"ORIGINAL_ROLLBACK"}</definedName>
    <definedName name="wrn.ALL8" hidden="1">{#N/A,#N/A,FALSE,"ASSUMPTIONS";#N/A,#N/A,FALSE,"Valuation Summary";"page1",#N/A,FALSE,"PRESENTATION";"page2",#N/A,FALSE,"PRESENTATION";#N/A,#N/A,FALSE,"ORIGINAL_ROLLBACK"}</definedName>
    <definedName name="wrn.ALLbutPREMIUM." localSheetId="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egati." localSheetId="0" hidden="1">{#N/A,#N/A,FALSE,"Leather SpA P&amp;L A1";#N/A,#N/A,FALSE,"Leather SpA balance sheet A2";#N/A,#N/A,FALSE,"Leather SpA Cash flow A3";#N/A,#N/A,FALSE,"Assumptions A4"}</definedName>
    <definedName name="wrn.Allegati." localSheetId="6" hidden="1">{#N/A,#N/A,FALSE,"Leather SpA P&amp;L A1";#N/A,#N/A,FALSE,"Leather SpA balance sheet A2";#N/A,#N/A,FALSE,"Leather SpA Cash flow A3";#N/A,#N/A,FALSE,"Assumptions A4"}</definedName>
    <definedName name="wrn.Allegati." hidden="1">{#N/A,#N/A,FALSE,"Leather SpA P&amp;L A1";#N/A,#N/A,FALSE,"Leather SpA balance sheet A2";#N/A,#N/A,FALSE,"Leather SpA Cash flow A3";#N/A,#N/A,FALSE,"Assumptions A4"}</definedName>
    <definedName name="wrn.AllModels." localSheetId="6" hidden="1">{#N/A,#N/A,FALSE,"AD_Purchase";#N/A,#N/A,FALSE,"Credit";#N/A,#N/A,FALSE,"PF Acquisition";#N/A,#N/A,FALSE,"PF Offering"}</definedName>
    <definedName name="wrn.AllModels." hidden="1">{#N/A,#N/A,FALSE,"AD_Purchase";#N/A,#N/A,FALSE,"Credit";#N/A,#N/A,FALSE,"PF Acquisition";#N/A,#N/A,FALSE,"PF Offering"}</definedName>
    <definedName name="wrn.Alloutput." localSheetId="0"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localSheetId="6"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pages." localSheetId="0" hidden="1">{#N/A,#N/A,TRUE,"Historicals";#N/A,#N/A,TRUE,"Charts";#N/A,#N/A,TRUE,"Forecasts"}</definedName>
    <definedName name="wrn.allpages." localSheetId="6" hidden="1">{#N/A,#N/A,TRUE,"Historicals";#N/A,#N/A,TRUE,"Charts";#N/A,#N/A,TRUE,"Forecasts"}</definedName>
    <definedName name="wrn.allpages." hidden="1">{#N/A,#N/A,TRUE,"Historicals";#N/A,#N/A,TRUE,"Charts";#N/A,#N/A,TRUE,"Forecasts"}</definedName>
    <definedName name="wrn.AllSupport." localSheetId="0" hidden="1">{#N/A,#N/A,FALSE,"F-Trade debtors";#N/A,#N/A,FALSE,"F-Jnls by type";#N/A,#N/A,FALSE,"F-B sheet";#N/A,#N/A,FALSE,"F-Billings phasing";#N/A,#N/A,FALSE,"F-Vat";#N/A,#N/A,FALSE,"F-Cost split";#N/A,#N/A,FALSE,"F-Stock";#N/A,#N/A,FALSE,"F-Crs 30";#N/A,#N/A,FALSE,"F-Acc &amp; pre";#N/A,#N/A,FALSE,"F-Wages";#N/A,#N/A,FALSE,"F-Recharges";#N/A,#N/A,FALSE,"F-Fix assets";#N/A,#N/A,FALSE,"F-Int co";#N/A,#N/A,FALSE,"F-Man res";#N/A,#N/A,FALSE,"F-MR wages";#N/A,#N/A,FALSE,"F-Crs 45";#N/A,#N/A,FALSE,"vs MB"}</definedName>
    <definedName name="wrn.AllSupport." localSheetId="6" hidden="1">{#N/A,#N/A,FALSE,"F-Trade debtors";#N/A,#N/A,FALSE,"F-Jnls by type";#N/A,#N/A,FALSE,"F-B sheet";#N/A,#N/A,FALSE,"F-Billings phasing";#N/A,#N/A,FALSE,"F-Vat";#N/A,#N/A,FALSE,"F-Cost split";#N/A,#N/A,FALSE,"F-Stock";#N/A,#N/A,FALSE,"F-Crs 30";#N/A,#N/A,FALSE,"F-Acc &amp; pre";#N/A,#N/A,FALSE,"F-Wages";#N/A,#N/A,FALSE,"F-Recharges";#N/A,#N/A,FALSE,"F-Fix assets";#N/A,#N/A,FALSE,"F-Int co";#N/A,#N/A,FALSE,"F-Man res";#N/A,#N/A,FALSE,"F-MR wages";#N/A,#N/A,FALSE,"F-Crs 45";#N/A,#N/A,FALSE,"vs MB"}</definedName>
    <definedName name="wrn.AllSupport." hidden="1">{#N/A,#N/A,FALSE,"F-Trade debtors";#N/A,#N/A,FALSE,"F-Jnls by type";#N/A,#N/A,FALSE,"F-B sheet";#N/A,#N/A,FALSE,"F-Billings phasing";#N/A,#N/A,FALSE,"F-Vat";#N/A,#N/A,FALSE,"F-Cost split";#N/A,#N/A,FALSE,"F-Stock";#N/A,#N/A,FALSE,"F-Crs 30";#N/A,#N/A,FALSE,"F-Acc &amp; pre";#N/A,#N/A,FALSE,"F-Wages";#N/A,#N/A,FALSE,"F-Recharges";#N/A,#N/A,FALSE,"F-Fix assets";#N/A,#N/A,FALSE,"F-Int co";#N/A,#N/A,FALSE,"F-Man res";#N/A,#N/A,FALSE,"F-MR wages";#N/A,#N/A,FALSE,"F-Crs 45";#N/A,#N/A,FALSE,"vs MB"}</definedName>
    <definedName name="wrn.America._.Online." localSheetId="0" hidden="1">{#N/A,#N/A,FALSE,"Intro";#N/A,#N/A,FALSE,"Inc. St.";#N/A,#N/A,FALSE,"CalYear";#N/A,#N/A,FALSE,"FYear";#N/A,#N/A,FALSE,"Subs";#N/A,#N/A,FALSE,"Other Revs";#N/A,#N/A,FALSE,"Deals";#N/A,#N/A,FALSE,"RevsYear";#N/A,#N/A,FALSE,"Balance";#N/A,#N/A,FALSE,"OpCashFlow";#N/A,#N/A,FALSE,"Val.";#N/A,#N/A,FALSE,"DCFVal"}</definedName>
    <definedName name="wrn.America._.Online." localSheetId="6" hidden="1">{#N/A,#N/A,FALSE,"Intro";#N/A,#N/A,FALSE,"Inc. St.";#N/A,#N/A,FALSE,"CalYear";#N/A,#N/A,FALSE,"FYear";#N/A,#N/A,FALSE,"Subs";#N/A,#N/A,FALSE,"Other Revs";#N/A,#N/A,FALSE,"Deals";#N/A,#N/A,FALSE,"RevsYear";#N/A,#N/A,FALSE,"Balance";#N/A,#N/A,FALSE,"OpCashFlow";#N/A,#N/A,FALSE,"Val.";#N/A,#N/A,FALSE,"DCFVal"}</definedName>
    <definedName name="wrn.America._.Online." hidden="1">{#N/A,#N/A,FALSE,"Intro";#N/A,#N/A,FALSE,"Inc. St.";#N/A,#N/A,FALSE,"CalYear";#N/A,#N/A,FALSE,"FYear";#N/A,#N/A,FALSE,"Subs";#N/A,#N/A,FALSE,"Other Revs";#N/A,#N/A,FALSE,"Deals";#N/A,#N/A,FALSE,"RevsYear";#N/A,#N/A,FALSE,"Balance";#N/A,#N/A,FALSE,"OpCashFlow";#N/A,#N/A,FALSE,"Val.";#N/A,#N/A,FALSE,"DCFVal"}</definedName>
    <definedName name="wrn.AMP._.Report." localSheetId="6" hidden="1">{#N/A,#N/A,FALSE,"Others AMP";#N/A,#N/A,FALSE,"S4 AMP";#N/A,#N/A,FALSE,"S5 Amp Tunnels"}</definedName>
    <definedName name="wrn.AMP._.Report." hidden="1">{#N/A,#N/A,FALSE,"Others AMP";#N/A,#N/A,FALSE,"S4 AMP";#N/A,#N/A,FALSE,"S5 Amp Tunnels"}</definedName>
    <definedName name="wrn.AMSA." localSheetId="6" hidden="1">{#N/A,#N/A,FALSE,"EARNINGS";#N/A,#N/A,FALSE,"FINANCIAL";#N/A,#N/A,FALSE,"OPERATIONAL"}</definedName>
    <definedName name="wrn.AMSA." hidden="1">{#N/A,#N/A,FALSE,"EARNINGS";#N/A,#N/A,FALSE,"FINANCIAL";#N/A,#N/A,FALSE,"OPERATIONAL"}</definedName>
    <definedName name="wrn.anexos." localSheetId="6" hidden="1">{#N/A,#N/A,FALSE,"Page1";#N/A,#N/A,FALSE,"Page2";#N/A,#N/A,FALSE,"Page3";#N/A,#N/A,FALSE,"Page4";#N/A,#N/A,FALSE,"Page5";#N/A,#N/A,FALSE,"Page6";#N/A,#N/A,FALSE,"Page7";#N/A,#N/A,FALSE,"Page8";#N/A,#N/A,FALSE,"Page9";#N/A,#N/A,FALSE,"Page10";#N/A,#N/A,FALSE,"Page11"}</definedName>
    <definedName name="wrn.anexos." hidden="1">{#N/A,#N/A,FALSE,"Page1";#N/A,#N/A,FALSE,"Page2";#N/A,#N/A,FALSE,"Page3";#N/A,#N/A,FALSE,"Page4";#N/A,#N/A,FALSE,"Page5";#N/A,#N/A,FALSE,"Page6";#N/A,#N/A,FALSE,"Page7";#N/A,#N/A,FALSE,"Page8";#N/A,#N/A,FALSE,"Page9";#N/A,#N/A,FALSE,"Page10";#N/A,#N/A,FALSE,"Page11"}</definedName>
    <definedName name="wrn.Annual." localSheetId="0" hidden="1">{"Full annual",#N/A,FALSE,"Master"}</definedName>
    <definedName name="wrn.Annual." localSheetId="6" hidden="1">{"Full annual",#N/A,FALSE,"Master"}</definedName>
    <definedName name="wrn.Annual." hidden="1">{"Full annual",#N/A,FALSE,"Master"}</definedName>
    <definedName name="wrn.Appendix." localSheetId="0" hidden="1">{#N/A,#N/A,TRUE,"Lines";#N/A,#N/A,TRUE,"Stations";#N/A,#N/A,TRUE,"Cap. Expenses";#N/A,#N/A,TRUE,"Land";#N/A,#N/A,TRUE,"Cen Proces Sys";#N/A,#N/A,TRUE,"telecom";#N/A,#N/A,TRUE,"Other"}</definedName>
    <definedName name="wrn.Appendix." localSheetId="6" hidden="1">{#N/A,#N/A,TRUE,"Lines";#N/A,#N/A,TRUE,"Stations";#N/A,#N/A,TRUE,"Cap. Expenses";#N/A,#N/A,TRUE,"Land";#N/A,#N/A,TRUE,"Cen Proces Sys";#N/A,#N/A,TRUE,"telecom";#N/A,#N/A,TRUE,"Other"}</definedName>
    <definedName name="wrn.Appendix." hidden="1">{#N/A,#N/A,TRUE,"Lines";#N/A,#N/A,TRUE,"Stations";#N/A,#N/A,TRUE,"Cap. Expenses";#N/A,#N/A,TRUE,"Land";#N/A,#N/A,TRUE,"Cen Proces Sys";#N/A,#N/A,TRUE,"telecom";#N/A,#N/A,TRUE,"Other"}</definedName>
    <definedName name="wrn.Approval." hidden="1">#N/A</definedName>
    <definedName name="wrn.Approval2." hidden="1">#N/A</definedName>
    <definedName name="wrn.AQUIROR._.DCF." localSheetId="0" hidden="1">{"AQUIRORDCF",#N/A,FALSE,"Merger consequences";"Acquirorassns",#N/A,FALSE,"Merger consequences"}</definedName>
    <definedName name="wrn.AQUIROR._.DCF." localSheetId="6" hidden="1">{"AQUIRORDCF",#N/A,FALSE,"Merger consequences";"Acquirorassns",#N/A,FALSE,"Merger consequences"}</definedName>
    <definedName name="wrn.AQUIROR._.DCF." hidden="1">{"AQUIRORDCF",#N/A,FALSE,"Merger consequences";"Acquirorassns",#N/A,FALSE,"Merger consequences"}</definedName>
    <definedName name="wrn.Asia." localSheetId="0"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localSheetId="6"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tion._.Book." localSheetId="0" hidden="1">{#N/A,#N/A,FALSE,"Model Assumptions"}</definedName>
    <definedName name="wrn.Assumption._.Book." localSheetId="6" hidden="1">{#N/A,#N/A,FALSE,"Model Assumptions"}</definedName>
    <definedName name="wrn.Assumption._.Book." hidden="1">{#N/A,#N/A,FALSE,"Model Assumptions"}</definedName>
    <definedName name="wrn.assumptions." localSheetId="0" hidden="1">{"casespecific",#N/A,FALSE,"Assumptions"}</definedName>
    <definedName name="wrn.assumptions." localSheetId="6" hidden="1">{"casespecific",#N/A,FALSE,"Assumptions"}</definedName>
    <definedName name="wrn.assumptions." hidden="1">{"casespecific",#N/A,FALSE,"Assumptions"}</definedName>
    <definedName name="wrn.Auto._.Comp." localSheetId="0" hidden="1">{#N/A,#N/A,FALSE,"Sheet1"}</definedName>
    <definedName name="wrn.Auto._.Comp." localSheetId="6" hidden="1">{#N/A,#N/A,FALSE,"Sheet1"}</definedName>
    <definedName name="wrn.Auto._.Comp." hidden="1">{#N/A,#N/A,FALSE,"Sheet1"}</definedName>
    <definedName name="wrn.Auto._.Comp2." localSheetId="0" hidden="1">{#N/A,#N/A,FALSE,"Sheet1"}</definedName>
    <definedName name="wrn.Auto._.Comp2." localSheetId="6" hidden="1">{#N/A,#N/A,FALSE,"Sheet1"}</definedName>
    <definedName name="wrn.Auto._.Comp2." hidden="1">{#N/A,#N/A,FALSE,"Sheet1"}</definedName>
    <definedName name="wrn.Auto._.Comps" localSheetId="0" hidden="1">{#N/A,#N/A,FALSE,"Sheet1"}</definedName>
    <definedName name="wrn.Auto._.Comps" localSheetId="6" hidden="1">{#N/A,#N/A,FALSE,"Sheet1"}</definedName>
    <definedName name="wrn.Auto._.Comps" hidden="1">{#N/A,#N/A,FALSE,"Sheet1"}</definedName>
    <definedName name="wrn.autos._scomp." localSheetId="0" hidden="1">{#N/A,#N/A,FALSE,"Sheet1"}</definedName>
    <definedName name="wrn.autos._scomp." localSheetId="6" hidden="1">{#N/A,#N/A,FALSE,"Sheet1"}</definedName>
    <definedName name="wrn.autos._scomp." hidden="1">{#N/A,#N/A,FALSE,"Sheet1"}</definedName>
    <definedName name="wrn.away." localSheetId="0" hidden="1">{"away stand alones",#N/A,FALSE,"Target"}</definedName>
    <definedName name="wrn.away." localSheetId="6" hidden="1">{"away stand alones",#N/A,FALSE,"Target"}</definedName>
    <definedName name="wrn.away." hidden="1">{"away stand alones",#N/A,FALSE,"Target"}</definedName>
    <definedName name="wrn.Back._.Page." localSheetId="0" hidden="1">{"Back Page",#N/A,FALSE,"Front and Back"}</definedName>
    <definedName name="wrn.Back._.Page." localSheetId="6" hidden="1">{"Back Page",#N/A,FALSE,"Front and Back"}</definedName>
    <definedName name="wrn.Back._.Page." hidden="1">{"Back Page",#N/A,FALSE,"Front and Back"}</definedName>
    <definedName name="wrn.Back._.Page.2" localSheetId="6" hidden="1">{"Back Page",#N/A,FALSE,"Front and Back"}</definedName>
    <definedName name="wrn.Back._.Page.2" hidden="1">{"Back Page",#N/A,FALSE,"Front and Back"}</definedName>
    <definedName name="wrn.Balance._.LAVIPHARM." localSheetId="6" hidden="1">{#N/A,#N/A,FALSE,"Sheet29";#N/A,#N/A,FALSE,"Sheet25";#N/A,#N/A,FALSE,"Sheet24";#N/A,#N/A,FALSE,"Sheet27";#N/A,#N/A,FALSE,"Sheet26";#N/A,#N/A,FALSE,"Sheet30"}</definedName>
    <definedName name="wrn.Balance._.LAVIPHARM." hidden="1">{#N/A,#N/A,FALSE,"Sheet29";#N/A,#N/A,FALSE,"Sheet25";#N/A,#N/A,FALSE,"Sheet24";#N/A,#N/A,FALSE,"Sheet27";#N/A,#N/A,FALSE,"Sheet26";#N/A,#N/A,FALSE,"Sheet30"}</definedName>
    <definedName name="wrn.balance._.sheet." localSheetId="0" hidden="1">{"bs",#N/A,FALSE,"SCF"}</definedName>
    <definedName name="wrn.balance._.sheet." localSheetId="6" hidden="1">{"bs",#N/A,FALSE,"SCF"}</definedName>
    <definedName name="wrn.balance._.sheet." hidden="1">{"bs",#N/A,FALSE,"SCF"}</definedName>
    <definedName name="wrn.BALSHE." localSheetId="6" hidden="1">{#N/A,#N/A,FALSE,"BALR$97";#N/A,#N/A,FALSE,"INCR$97";#N/A,#N/A,FALSE,"BALUS$97";#N/A,#N/A,FALSE,"FINANC97";#N/A,#N/A,FALSE,"CFLOW97";#N/A,#N/A,FALSE,"INCUS$97";#N/A,#N/A,FALSE,"CASH97";#N/A,#N/A,FALSE,"STOCKH97"}</definedName>
    <definedName name="wrn.BALSHE." hidden="1">{#N/A,#N/A,FALSE,"BALR$97";#N/A,#N/A,FALSE,"INCR$97";#N/A,#N/A,FALSE,"BALUS$97";#N/A,#N/A,FALSE,"FINANC97";#N/A,#N/A,FALSE,"CFLOW97";#N/A,#N/A,FALSE,"INCUS$97";#N/A,#N/A,FALSE,"CASH97";#N/A,#N/A,FALSE,"STOCKH97"}</definedName>
    <definedName name="wrn.BALSHEGESPA." localSheetId="6" hidden="1">{#N/A,#N/A,FALSE,"BALUS$97";#N/A,#N/A,FALSE,"INCUS$97";#N/A,#N/A,FALSE,"BALR$97";#N/A,#N/A,FALSE,"INCR$97";#N/A,#N/A,FALSE,"STOCKH97";#N/A,#N/A,FALSE,"FINANC97";#N/A,#N/A,FALSE,"CFLOW97"}</definedName>
    <definedName name="wrn.BALSHEGESPA." hidden="1">{#N/A,#N/A,FALSE,"BALUS$97";#N/A,#N/A,FALSE,"INCUS$97";#N/A,#N/A,FALSE,"BALR$97";#N/A,#N/A,FALSE,"INCR$97";#N/A,#N/A,FALSE,"STOCKH97";#N/A,#N/A,FALSE,"FINANC97";#N/A,#N/A,FALSE,"CFLOW97"}</definedName>
    <definedName name="wrn.Bank." localSheetId="0" hidden="1">{"OPL1",#N/A,FALSE,"PL";"OpAnal",#N/A,FALSE,"Op";"BS2",#N/A,FALSE,"BS";"CF1(a)",#N/A,FALSE,"Op"}</definedName>
    <definedName name="wrn.Bank." localSheetId="6" hidden="1">{"OPL1",#N/A,FALSE,"PL";"OpAnal",#N/A,FALSE,"Op";"BS2",#N/A,FALSE,"BS";"CF1(a)",#N/A,FALSE,"Op"}</definedName>
    <definedName name="wrn.Bank." hidden="1">{"OPL1",#N/A,FALSE,"PL";"OpAnal",#N/A,FALSE,"Op";"BS2",#N/A,FALSE,"BS";"CF1(a)",#N/A,FALSE,"Op"}</definedName>
    <definedName name="wrn.Barbara._.Modular._.Indirects." localSheetId="6"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arbara._.Modular._.Indirects._1" localSheetId="6" hidden="1">{#N/A,#N/A,FALSE,"COVER";#N/A,#N/A,FALSE,"RECAP";#N/A,#N/A,FALSE,"SANTA BARBARA NONMANUAL";#N/A,#N/A,FALSE,"CEQUIP";#N/A,#N/A,FALSE,"WRATE";#N/A,#N/A,FALSE,"INDIRECT";#N/A,#N/A,FALSE,"TRAIN";#N/A,#N/A,FALSE,"MANLOADED SCHEDULE"}</definedName>
    <definedName name="wrn.Barbara._.Modular._.Indirects._1" hidden="1">{#N/A,#N/A,FALSE,"COVER";#N/A,#N/A,FALSE,"RECAP";#N/A,#N/A,FALSE,"SANTA BARBARA NONMANUAL";#N/A,#N/A,FALSE,"CEQUIP";#N/A,#N/A,FALSE,"WRATE";#N/A,#N/A,FALSE,"INDIRECT";#N/A,#N/A,FALSE,"TRAIN";#N/A,#N/A,FALSE,"MANLOADED SCHEDULE"}</definedName>
    <definedName name="wrn.Base._.Case." localSheetId="6" hidden="1">{#N/A,#N/A,TRUE,"Sum";#N/A,#N/A,TRUE,"Assump";#N/A,#N/A,TRUE,"Main CF";#N/A,#N/A,TRUE,"Indices";#N/A,#N/A,TRUE,"Other Ass";#N/A,#N/A,TRUE,"Constr";#N/A,#N/A,TRUE,"Vols";#N/A,#N/A,TRUE,"Revs&amp;Costs";#N/A,#N/A,TRUE,"SchDebt";#N/A,#N/A,TRUE,"CashDSRAsSB";#N/A,#N/A,TRUE,"Tax";#N/A,#N/A,TRUE,"P&amp;L BS ";#N/A,#N/A,TRUE,"GraphConst";#N/A,#N/A,TRUE,"GraphOper"}</definedName>
    <definedName name="wrn.Base._.Case." hidden="1">{#N/A,#N/A,TRUE,"Sum";#N/A,#N/A,TRUE,"Assump";#N/A,#N/A,TRUE,"Main CF";#N/A,#N/A,TRUE,"Indices";#N/A,#N/A,TRUE,"Other Ass";#N/A,#N/A,TRUE,"Constr";#N/A,#N/A,TRUE,"Vols";#N/A,#N/A,TRUE,"Revs&amp;Costs";#N/A,#N/A,TRUE,"SchDebt";#N/A,#N/A,TRUE,"CashDSRAsSB";#N/A,#N/A,TRUE,"Tax";#N/A,#N/A,TRUE,"P&amp;L BS ";#N/A,#N/A,TRUE,"GraphConst";#N/A,#N/A,TRUE,"GraphOper"}</definedName>
    <definedName name="wrn.Base._.Case._.Scenario." localSheetId="0" hidden="1">{#N/A,#N/A,TRUE,"Valuation IRR";#N/A,#N/A,TRUE,"BS";#N/A,#N/A,TRUE,"IC";#N/A,#N/A,TRUE,"CF";#N/A,#N/A,TRUE,"equity";#N/A,#N/A,TRUE,"Revenu";#N/A,#N/A,TRUE,"Revenu (2)";#N/A,#N/A,TRUE,"Professional cost (Prep Year)";#N/A,#N/A,TRUE,"Professional cost (Business Ad)";#N/A,#N/A,TRUE,"Professional cost (I.T MANAGEM)";#N/A,#N/A,TRUE,"Professional cost (Medicine)";#N/A,#N/A,TRUE,"Professional cost (Health)";#N/A,#N/A,TRUE,"Admin";#N/A,#N/A,TRUE,"Fixed Assets";#N/A,#N/A,TRUE,"Summary Projections"}</definedName>
    <definedName name="wrn.Base._.Case._.Scenario." localSheetId="6" hidden="1">{#N/A,#N/A,TRUE,"Valuation IRR";#N/A,#N/A,TRUE,"BS";#N/A,#N/A,TRUE,"IC";#N/A,#N/A,TRUE,"CF";#N/A,#N/A,TRUE,"equity";#N/A,#N/A,TRUE,"Revenu";#N/A,#N/A,TRUE,"Revenu (2)";#N/A,#N/A,TRUE,"Professional cost (Prep Year)";#N/A,#N/A,TRUE,"Professional cost (Business Ad)";#N/A,#N/A,TRUE,"Professional cost (I.T MANAGEM)";#N/A,#N/A,TRUE,"Professional cost (Medicine)";#N/A,#N/A,TRUE,"Professional cost (Health)";#N/A,#N/A,TRUE,"Admin";#N/A,#N/A,TRUE,"Fixed Assets";#N/A,#N/A,TRUE,"Summary Projections"}</definedName>
    <definedName name="wrn.Base._.Case._.Scenario." hidden="1">{#N/A,#N/A,TRUE,"Valuation IRR";#N/A,#N/A,TRUE,"BS";#N/A,#N/A,TRUE,"IC";#N/A,#N/A,TRUE,"CF";#N/A,#N/A,TRUE,"equity";#N/A,#N/A,TRUE,"Revenu";#N/A,#N/A,TRUE,"Revenu (2)";#N/A,#N/A,TRUE,"Professional cost (Prep Year)";#N/A,#N/A,TRUE,"Professional cost (Business Ad)";#N/A,#N/A,TRUE,"Professional cost (I.T MANAGEM)";#N/A,#N/A,TRUE,"Professional cost (Medicine)";#N/A,#N/A,TRUE,"Professional cost (Health)";#N/A,#N/A,TRUE,"Admin";#N/A,#N/A,TRUE,"Fixed Assets";#N/A,#N/A,TRUE,"Summary Projections"}</definedName>
    <definedName name="wrn.BaseYearDemand." localSheetId="6" hidden="1">{"Base Year Demand",#N/A,FALSE,"Demand-Base Year"}</definedName>
    <definedName name="wrn.BaseYearDemand." hidden="1">{"Base Year Demand",#N/A,FALSE,"Demand-Base Year"}</definedName>
    <definedName name="wrn.basics." localSheetId="6" hidden="1">{#N/A,#N/A,FALSE,"TSUM";#N/A,#N/A,FALSE,"shares";#N/A,#N/A,FALSE,"earnout";#N/A,#N/A,FALSE,"Heaty";#N/A,#N/A,FALSE,"self-tend";#N/A,#N/A,FALSE,"self-sum"}</definedName>
    <definedName name="wrn.basics." hidden="1">{#N/A,#N/A,FALSE,"TSUM";#N/A,#N/A,FALSE,"shares";#N/A,#N/A,FALSE,"earnout";#N/A,#N/A,FALSE,"Heaty";#N/A,#N/A,FALSE,"self-tend";#N/A,#N/A,FALSE,"self-sum"}</definedName>
    <definedName name="wrn.BCI." localSheetId="6" hidden="1">{"FRONT (BCI) (25)",#N/A,TRUE,"BCI";"PRO_LOSS (BCI) (23)",#N/A,TRUE,"BCI";"CASH_VAL (BCI) (25)",#N/A,TRUE,"BCI";"CASHMODEL (BCI) (25)",#N/A,TRUE,"BCI";"MODELS1 (BCI) (25)",#N/A,TRUE,"BCI";"MODELS2 (BCI) (25)",#N/A,TRUE,"BCI";"MODELS3 (BCI) (25)",#N/A,TRUE,"BCI";"IND VALUE (BCI) (25)",#N/A,TRUE,"BCI"}</definedName>
    <definedName name="wrn.BCI." hidden="1">{"FRONT (BCI) (25)",#N/A,TRUE,"BCI";"PRO_LOSS (BCI) (23)",#N/A,TRUE,"BCI";"CASH_VAL (BCI) (25)",#N/A,TRUE,"BCI";"CASHMODEL (BCI) (25)",#N/A,TRUE,"BCI";"MODELS1 (BCI) (25)",#N/A,TRUE,"BCI";"MODELS2 (BCI) (25)",#N/A,TRUE,"BCI";"MODELS3 (BCI) (25)",#N/A,TRUE,"BCI";"IND VALUE (BCI) (25)",#N/A,TRUE,"BCI"}</definedName>
    <definedName name="wrn.BEL." localSheetId="0" hidden="1">{"IS",#N/A,FALSE,"IS";"RPTIS",#N/A,FALSE,"RPTIS";"STATS",#N/A,FALSE,"STATS";"CELL",#N/A,FALSE,"CELL";"BS",#N/A,FALSE,"BS"}</definedName>
    <definedName name="wrn.BEL." localSheetId="6" hidden="1">{"IS",#N/A,FALSE,"IS";"RPTIS",#N/A,FALSE,"RPTIS";"STATS",#N/A,FALSE,"STATS";"CELL",#N/A,FALSE,"CELL";"BS",#N/A,FALSE,"BS"}</definedName>
    <definedName name="wrn.BEL." hidden="1">{"IS",#N/A,FALSE,"IS";"RPTIS",#N/A,FALSE,"RPTIS";"STATS",#N/A,FALSE,"STATS";"CELL",#N/A,FALSE,"CELL";"BS",#N/A,FALSE,"BS"}</definedName>
    <definedName name="wrn.belknap._.package." localSheetId="0" hidden="1">{#N/A,#N/A,TRUE,"income statement";#N/A,#N/A,TRUE,"balance sheet";#N/A,#N/A,TRUE,"cash flow";#N/A,#N/A,TRUE,"borrowing base";#N/A,#N/A,TRUE,"primary assumptions";#N/A,#N/A,TRUE,"finishing assumptions";#N/A,#N/A,TRUE,"dist. assumptions";#N/A,#N/A,TRUE,"sales summary";#N/A,#N/A,TRUE,"costs per ton";#N/A,#N/A,TRUE,"cogs";#N/A,#N/A,TRUE,"Coke";#N/A,#N/A,TRUE,"coke conversion";#N/A,#N/A,TRUE,"BF #1";#N/A,#N/A,TRUE,"bf1 conversion";#N/A,#N/A,TRUE,"BF #5";#N/A,#N/A,TRUE,"bf5 conversion";#N/A,#N/A,TRUE,"BOF";#N/A,#N/A,TRUE,"bof conversion";#N/A,#N/A,TRUE,"EAF";#N/A,#N/A,TRUE,"eaf conversion";#N/A,#N/A,TRUE,"Caster";#N/A,#N/A,TRUE,"caster conversion";#N/A,#N/A,TRUE,"HSM";#N/A,#N/A,TRUE,"hsm conversion";#N/A,#N/A,TRUE,"Stbnvl";#N/A,#N/A,TRUE,"Allenport";#N/A,#N/A,TRUE,"Yorkville";#N/A,#N/A,TRUE,"MF";#N/A,#N/A,TRUE,"Canfield";#N/A,#N/A,TRUE,"WCC"}</definedName>
    <definedName name="wrn.belknap._.package." localSheetId="6" hidden="1">{#N/A,#N/A,TRUE,"income statement";#N/A,#N/A,TRUE,"balance sheet";#N/A,#N/A,TRUE,"cash flow";#N/A,#N/A,TRUE,"borrowing base";#N/A,#N/A,TRUE,"primary assumptions";#N/A,#N/A,TRUE,"finishing assumptions";#N/A,#N/A,TRUE,"dist. assumptions";#N/A,#N/A,TRUE,"sales summary";#N/A,#N/A,TRUE,"costs per ton";#N/A,#N/A,TRUE,"cogs";#N/A,#N/A,TRUE,"Coke";#N/A,#N/A,TRUE,"coke conversion";#N/A,#N/A,TRUE,"BF #1";#N/A,#N/A,TRUE,"bf1 conversion";#N/A,#N/A,TRUE,"BF #5";#N/A,#N/A,TRUE,"bf5 conversion";#N/A,#N/A,TRUE,"BOF";#N/A,#N/A,TRUE,"bof conversion";#N/A,#N/A,TRUE,"EAF";#N/A,#N/A,TRUE,"eaf conversion";#N/A,#N/A,TRUE,"Caster";#N/A,#N/A,TRUE,"caster conversion";#N/A,#N/A,TRUE,"HSM";#N/A,#N/A,TRUE,"hsm conversion";#N/A,#N/A,TRUE,"Stbnvl";#N/A,#N/A,TRUE,"Allenport";#N/A,#N/A,TRUE,"Yorkville";#N/A,#N/A,TRUE,"MF";#N/A,#N/A,TRUE,"Canfield";#N/A,#N/A,TRUE,"WCC"}</definedName>
    <definedName name="wrn.belknap._.package." hidden="1">{#N/A,#N/A,TRUE,"income statement";#N/A,#N/A,TRUE,"balance sheet";#N/A,#N/A,TRUE,"cash flow";#N/A,#N/A,TRUE,"borrowing base";#N/A,#N/A,TRUE,"primary assumptions";#N/A,#N/A,TRUE,"finishing assumptions";#N/A,#N/A,TRUE,"dist. assumptions";#N/A,#N/A,TRUE,"sales summary";#N/A,#N/A,TRUE,"costs per ton";#N/A,#N/A,TRUE,"cogs";#N/A,#N/A,TRUE,"Coke";#N/A,#N/A,TRUE,"coke conversion";#N/A,#N/A,TRUE,"BF #1";#N/A,#N/A,TRUE,"bf1 conversion";#N/A,#N/A,TRUE,"BF #5";#N/A,#N/A,TRUE,"bf5 conversion";#N/A,#N/A,TRUE,"BOF";#N/A,#N/A,TRUE,"bof conversion";#N/A,#N/A,TRUE,"EAF";#N/A,#N/A,TRUE,"eaf conversion";#N/A,#N/A,TRUE,"Caster";#N/A,#N/A,TRUE,"caster conversion";#N/A,#N/A,TRUE,"HSM";#N/A,#N/A,TRUE,"hsm conversion";#N/A,#N/A,TRUE,"Stbnvl";#N/A,#N/A,TRUE,"Allenport";#N/A,#N/A,TRUE,"Yorkville";#N/A,#N/A,TRUE,"MF";#N/A,#N/A,TRUE,"Canfield";#N/A,#N/A,TRUE,"WCC"}</definedName>
    <definedName name="wrn.Berre." localSheetId="0" hidden="1">{#N/A,#N/A,FALSE,"BLE-1";#N/A,#N/A,FALSE,"BLE-2";#N/A,#N/A,FALSE,"T-5";#N/A,#N/A,FALSE,"BLE-3";#N/A,#N/A,FALSE,"T-6";#N/A,#N/A,FALSE,"BLE-4";#N/A,#N/A,FALSE,"T-7";#N/A,#N/A,FALSE,"BLE-5";#N/A,#N/A,FALSE,"T-8"}</definedName>
    <definedName name="wrn.Berre." localSheetId="6" hidden="1">{#N/A,#N/A,FALSE,"BLE-1";#N/A,#N/A,FALSE,"BLE-2";#N/A,#N/A,FALSE,"T-5";#N/A,#N/A,FALSE,"BLE-3";#N/A,#N/A,FALSE,"T-6";#N/A,#N/A,FALSE,"BLE-4";#N/A,#N/A,FALSE,"T-7";#N/A,#N/A,FALSE,"BLE-5";#N/A,#N/A,FALSE,"T-8"}</definedName>
    <definedName name="wrn.Berre." hidden="1">{#N/A,#N/A,FALSE,"BLE-1";#N/A,#N/A,FALSE,"BLE-2";#N/A,#N/A,FALSE,"T-5";#N/A,#N/A,FALSE,"BLE-3";#N/A,#N/A,FALSE,"T-6";#N/A,#N/A,FALSE,"BLE-4";#N/A,#N/A,FALSE,"T-7";#N/A,#N/A,FALSE,"BLE-5";#N/A,#N/A,FALSE,"T-8"}</definedName>
    <definedName name="wrn.Bewegungsbilanz." localSheetId="0" hidden="1">{#N/A,#N/A,FALSE,"Mittelherkunft";#N/A,#N/A,FALSE,"Mittelverwendung"}</definedName>
    <definedName name="wrn.Bewegungsbilanz." localSheetId="6" hidden="1">{#N/A,#N/A,FALSE,"Mittelherkunft";#N/A,#N/A,FALSE,"Mittelverwendung"}</definedName>
    <definedName name="wrn.Bewegungsbilanz." hidden="1">{#N/A,#N/A,FALSE,"Mittelherkunft";#N/A,#N/A,FALSE,"Mittelverwendung"}</definedName>
    <definedName name="wrn.bil._.completo." localSheetId="0" hidden="1">{"bilancio completo",#N/A,TRUE,"Bilancio 1996"}</definedName>
    <definedName name="wrn.bil._.completo." localSheetId="6" hidden="1">{"bilancio completo",#N/A,TRUE,"Bilancio 1996"}</definedName>
    <definedName name="wrn.bil._.completo." hidden="1">{"bilancio completo",#N/A,TRUE,"Bilancio 1996"}</definedName>
    <definedName name="wrn.bil._.senza._.variazioni." localSheetId="0" hidden="1">{"bil senza variazioni",#N/A,FALSE,"Bilancio 1996"}</definedName>
    <definedName name="wrn.bil._.senza._.variazioni." localSheetId="6" hidden="1">{"bil senza variazioni",#N/A,FALSE,"Bilancio 1996"}</definedName>
    <definedName name="wrn.bil._.senza._.variazioni." hidden="1">{"bil senza variazioni",#N/A,FALSE,"Bilancio 1996"}</definedName>
    <definedName name="wrn.Bilan." localSheetId="0" hidden="1">{#N/A,#N/A,FALSE,"Bilan"}</definedName>
    <definedName name="wrn.Bilan." localSheetId="6" hidden="1">{#N/A,#N/A,FALSE,"Bilan"}</definedName>
    <definedName name="wrn.Bilan." hidden="1">{#N/A,#N/A,FALSE,"Bilan"}</definedName>
    <definedName name="wrn.Bilancio." localSheetId="0" hidden="1">{#N/A,#N/A,TRUE,"Attivo";#N/A,#N/A,TRUE,"Passivo";#N/A,#N/A,TRUE,"Conto Economico"}</definedName>
    <definedName name="wrn.Bilancio." localSheetId="6" hidden="1">{#N/A,#N/A,TRUE,"Attivo";#N/A,#N/A,TRUE,"Passivo";#N/A,#N/A,TRUE,"Conto Economico"}</definedName>
    <definedName name="wrn.Bilancio." hidden="1">{#N/A,#N/A,TRUE,"Attivo";#N/A,#N/A,TRUE,"Passivo";#N/A,#N/A,TRUE,"Conto Economico"}</definedName>
    <definedName name="wrn.Bilancio_semestrale." localSheetId="0" hidden="1">{"Bilancio non rettificato",#N/A,FALSE,"A";"Bilancio Rettifiche",#N/A,FALSE,"B";"Bilancio Rettifiche",#N/A,FALSE,"C";"movimenti",#N/A,FALSE,"D";"amm",#N/A,FALSE,"D";"cpl",#N/A,FALSE,"D";"cola",#N/A,FALSE,"D";"imposte",#N/A,FALSE,"D"}</definedName>
    <definedName name="wrn.Bilancio_semestrale." localSheetId="6" hidden="1">{"Bilancio non rettificato",#N/A,FALSE,"A";"Bilancio Rettifiche",#N/A,FALSE,"B";"Bilancio Rettifiche",#N/A,FALSE,"C";"movimenti",#N/A,FALSE,"D";"amm",#N/A,FALSE,"D";"cpl",#N/A,FALSE,"D";"cola",#N/A,FALSE,"D";"imposte",#N/A,FALSE,"D"}</definedName>
    <definedName name="wrn.Bilancio_semestrale." hidden="1">{"Bilancio non rettificato",#N/A,FALSE,"A";"Bilancio Rettifiche",#N/A,FALSE,"B";"Bilancio Rettifiche",#N/A,FALSE,"C";"movimenti",#N/A,FALSE,"D";"amm",#N/A,FALSE,"D";"cpl",#N/A,FALSE,"D";"cola",#N/A,FALSE,"D";"imposte",#N/A,FALSE,"D"}</definedName>
    <definedName name="wrn.Bilanz." localSheetId="0" hidden="1">{#N/A,#N/A,FALSE,"Layout Aktiva";#N/A,#N/A,FALSE,"Layout Passiva"}</definedName>
    <definedName name="wrn.Bilanz." localSheetId="6" hidden="1">{#N/A,#N/A,FALSE,"Layout Aktiva";#N/A,#N/A,FALSE,"Layout Passiva"}</definedName>
    <definedName name="wrn.Bilanz." hidden="1">{#N/A,#N/A,FALSE,"Layout Aktiva";#N/A,#N/A,FALSE,"Layout Passiva"}</definedName>
    <definedName name="wrn.billan." localSheetId="0" hidden="1">{#N/A,#N/A,FALSE,"PA";#N/A,#N/A,FALSE,"PA"}</definedName>
    <definedName name="wrn.billan." localSheetId="6" hidden="1">{#N/A,#N/A,FALSE,"PA";#N/A,#N/A,FALSE,"PA"}</definedName>
    <definedName name="wrn.billan." hidden="1">{#N/A,#N/A,FALSE,"PA";#N/A,#N/A,FALSE,"PA"}</definedName>
    <definedName name="wrn.bm"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_1"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_1"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1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2"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2"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3"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3"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3"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4"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4"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4"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5"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5"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m_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Book._.Output." localSheetId="6" hidden="1">{#N/A,#N/A,FALSE,"Title";#N/A,#N/A,FALSE,"Inputs";#N/A,#N/A,FALSE,"Impact";#N/A,#N/A,FALSE,"Sources &amp; Uses";#N/A,#N/A,FALSE,"Capitalization Impact";#N/A,#N/A,FALSE,"NEWCO Projections"}</definedName>
    <definedName name="wrn.Book._.Output." hidden="1">{#N/A,#N/A,FALSE,"Title";#N/A,#N/A,FALSE,"Inputs";#N/A,#N/A,FALSE,"Impact";#N/A,#N/A,FALSE,"Sources &amp; Uses";#N/A,#N/A,FALSE,"Capitalization Impact";#N/A,#N/A,FALSE,"NEWCO Projections"}</definedName>
    <definedName name="wrn.BOTH." localSheetId="6" hidden="1">{"pros",#N/A,FALSE,"Prospects";"ctry",#N/A,FALSE,"Countries"}</definedName>
    <definedName name="wrn.BOTH." hidden="1">{"pros",#N/A,FALSE,"Prospects";"ctry",#N/A,FALSE,"Countries"}</definedName>
    <definedName name="wrn.Both._.Outputs." localSheetId="6" hidden="1">{"LTV Output",#N/A,FALSE,"Output";"DCR Output",#N/A,FALSE,"Output"}</definedName>
    <definedName name="wrn.Both._.Outputs." hidden="1">{"LTV Output",#N/A,FALSE,"Output";"DCR Output",#N/A,FALSE,"Output"}</definedName>
    <definedName name="wrn.BP._.print." localSheetId="0" hidden="1">{#N/A,#N/A,FALSE,"BANNERS";#N/A,#N/A,FALSE,"Market";#N/A,#N/A,FALSE,"Tel Rev";#N/A,#N/A,FALSE,"Revenues IOL";#N/A,#N/A,FALSE,"Invest";#N/A,#N/A,FALSE,"Op Cost1";#N/A,#N/A,FALSE,"Op Cost2";#N/A,#N/A,FALSE,"Oth_&amp;_Tot_Revenues";#N/A,#N/A,FALSE,"Fin Mod";#N/A,#N/A,FALSE,"FinMod_RoW";#N/A,#N/A,FALSE,"P&amp;E Burocrat";#N/A,#N/A,FALSE,"cash flow"}</definedName>
    <definedName name="wrn.BP._.print." localSheetId="6" hidden="1">{#N/A,#N/A,FALSE,"BANNERS";#N/A,#N/A,FALSE,"Market";#N/A,#N/A,FALSE,"Tel Rev";#N/A,#N/A,FALSE,"Revenues IOL";#N/A,#N/A,FALSE,"Invest";#N/A,#N/A,FALSE,"Op Cost1";#N/A,#N/A,FALSE,"Op Cost2";#N/A,#N/A,FALSE,"Oth_&amp;_Tot_Revenues";#N/A,#N/A,FALSE,"Fin Mod";#N/A,#N/A,FALSE,"FinMod_RoW";#N/A,#N/A,FALSE,"P&amp;E Burocrat";#N/A,#N/A,FALSE,"cash flow"}</definedName>
    <definedName name="wrn.BP._.print." hidden="1">{#N/A,#N/A,FALSE,"BANNERS";#N/A,#N/A,FALSE,"Market";#N/A,#N/A,FALSE,"Tel Rev";#N/A,#N/A,FALSE,"Revenues IOL";#N/A,#N/A,FALSE,"Invest";#N/A,#N/A,FALSE,"Op Cost1";#N/A,#N/A,FALSE,"Op Cost2";#N/A,#N/A,FALSE,"Oth_&amp;_Tot_Revenues";#N/A,#N/A,FALSE,"Fin Mod";#N/A,#N/A,FALSE,"FinMod_RoW";#N/A,#N/A,FALSE,"P&amp;E Burocrat";#N/A,#N/A,FALSE,"cash flow"}</definedName>
    <definedName name="wrn.BPB." localSheetId="6" hidden="1">{"PROF_LOSS (BPB) (25)",#N/A,TRUE,"BPB";"PROF_LOSS (BPB) (23)",#N/A,TRUE,"BPB";"CASH_VAL (BPB) (25)",#N/A,TRUE,"BPB";"ANAYLSIS (BPB) (25)",#N/A,TRUE,"BPB";"GEOGRAPHY (BPB) (25)",#N/A,TRUE,"BPB";"BUILDING (BPB) (25)",#N/A,TRUE,"BPB"}</definedName>
    <definedName name="wrn.BPB." hidden="1">{"PROF_LOSS (BPB) (25)",#N/A,TRUE,"BPB";"PROF_LOSS (BPB) (23)",#N/A,TRUE,"BPB";"CASH_VAL (BPB) (25)",#N/A,TRUE,"BPB";"ANAYLSIS (BPB) (25)",#N/A,TRUE,"BPB";"GEOGRAPHY (BPB) (25)",#N/A,TRUE,"BPB";"BUILDING (BPB) (25)",#N/A,TRUE,"BPB"}</definedName>
    <definedName name="wrn.BPlan." localSheetId="0" hidden="1">{#N/A,#N/A,FALSE,"F_Plan";#N/A,#N/A,FALSE,"Parameter"}</definedName>
    <definedName name="wrn.BPlan." localSheetId="6" hidden="1">{#N/A,#N/A,FALSE,"F_Plan";#N/A,#N/A,FALSE,"Parameter"}</definedName>
    <definedName name="wrn.BPlan." hidden="1">{#N/A,#N/A,FALSE,"F_Plan";#N/A,#N/A,FALSE,"Parameter"}</definedName>
    <definedName name="wrn.Branch._.detailed._.expenses." localSheetId="6" hidden="1">{#N/A,#N/A,FALSE,"NW Area Mgr";#N/A,#N/A,FALSE,"Nine West";#N/A,#N/A,FALSE,"Bertie";#N/A,#N/A,FALSE,"SSG Outlet";#N/A,#N/A,FALSE,"Conc Area Mgr";#N/A,#N/A,FALSE,"Allders";#N/A,#N/A,FALSE,"Beatties";#N/A,#N/A,FALSE,"Bentalls";#N/A,#N/A,FALSE,"B Thomas";#N/A,#N/A,FALSE,"Debenhams";#N/A,#N/A,FALSE,"De Gruchy";#N/A,#N/A,FALSE,"Denners";#N/A,#N/A,FALSE,"Fenwick";#N/A,#N/A,FALSE,"HoF";#N/A,#N/A,FALSE,"Jarrolds";#N/A,#N/A,FALSE,"McEwans";#N/A,#N/A,FALSE,"Top Shop";#N/A,#N/A,FALSE,"Selfridges";#N/A,#N/A,FALSE,"PaT Area Mgr";#N/A,#N/A,FALSE,"Pied A Terre";#N/A,#N/A,FALSE,"Wholesale";#N/A,#N/A,FALSE,"Chelsea Cobbler"}</definedName>
    <definedName name="wrn.Branch._.detailed._.expenses." hidden="1">{#N/A,#N/A,FALSE,"NW Area Mgr";#N/A,#N/A,FALSE,"Nine West";#N/A,#N/A,FALSE,"Bertie";#N/A,#N/A,FALSE,"SSG Outlet";#N/A,#N/A,FALSE,"Conc Area Mgr";#N/A,#N/A,FALSE,"Allders";#N/A,#N/A,FALSE,"Beatties";#N/A,#N/A,FALSE,"Bentalls";#N/A,#N/A,FALSE,"B Thomas";#N/A,#N/A,FALSE,"Debenhams";#N/A,#N/A,FALSE,"De Gruchy";#N/A,#N/A,FALSE,"Denners";#N/A,#N/A,FALSE,"Fenwick";#N/A,#N/A,FALSE,"HoF";#N/A,#N/A,FALSE,"Jarrolds";#N/A,#N/A,FALSE,"McEwans";#N/A,#N/A,FALSE,"Top Shop";#N/A,#N/A,FALSE,"Selfridges";#N/A,#N/A,FALSE,"PaT Area Mgr";#N/A,#N/A,FALSE,"Pied A Terre";#N/A,#N/A,FALSE,"Wholesale";#N/A,#N/A,FALSE,"Chelsea Cobbler"}</definedName>
    <definedName name="wrn.BRASS." localSheetId="6" hidden="1">{"BRASS P AND L",#N/A,FALSE,"REDLAND";"BRASS BALANCE",#N/A,FALSE,"REDLAND";"BRASS TCE",#N/A,FALSE,"REDLAND";"GERMAN STATS",#N/A,FALSE,"REDLAND"}</definedName>
    <definedName name="wrn.BRASS." hidden="1">{"BRASS P AND L",#N/A,FALSE,"REDLAND";"BRASS BALANCE",#N/A,FALSE,"REDLAND";"BRASS TCE",#N/A,FALSE,"REDLAND";"GERMAN STATS",#N/A,FALSE,"REDLAND"}</definedName>
    <definedName name="wrn.BRF._.Report." localSheetId="0" hidden="1">{#N/A,#N/A,FALSE,"BRF Cover";#N/A,#N/A,FALSE,"BRF Bus. Assumptions";#N/A,#N/A,FALSE,"BRF Unit Price";#N/A,#N/A,FALSE,"FINASSUMP";#N/A,#N/A,FALSE,"RISK";#N/A,#N/A,FALSE,"PRETAX EARN CHANGES";#N/A,#N/A,FALSE,"Earnings Cash Compare";#N/A,#N/A,FALSE,"Revenue Changes";#N/A,#N/A,FALSE,"CASH FLOW CHANGES";#N/A,#N/A,FALSE,"ROS CHANGES";#N/A,#N/A,FALSE,"9XX COSTS";#N/A,#N/A,FALSE,"ISSUES";#N/A,#N/A,FALSE,"FIN SUM";#N/A,#N/A,FALSE,"FINSUM DEL BASED"}</definedName>
    <definedName name="wrn.BRF._.Report." localSheetId="6" hidden="1">{#N/A,#N/A,FALSE,"BRF Cover";#N/A,#N/A,FALSE,"BRF Bus. Assumptions";#N/A,#N/A,FALSE,"BRF Unit Price";#N/A,#N/A,FALSE,"FINASSUMP";#N/A,#N/A,FALSE,"RISK";#N/A,#N/A,FALSE,"PRETAX EARN CHANGES";#N/A,#N/A,FALSE,"Earnings Cash Compare";#N/A,#N/A,FALSE,"Revenue Changes";#N/A,#N/A,FALSE,"CASH FLOW CHANGES";#N/A,#N/A,FALSE,"ROS CHANGES";#N/A,#N/A,FALSE,"9XX COSTS";#N/A,#N/A,FALSE,"ISSUES";#N/A,#N/A,FALSE,"FIN SUM";#N/A,#N/A,FALSE,"FINSUM DEL BASED"}</definedName>
    <definedName name="wrn.BRF._.Report." hidden="1">{#N/A,#N/A,FALSE,"BRF Cover";#N/A,#N/A,FALSE,"BRF Bus. Assumptions";#N/A,#N/A,FALSE,"BRF Unit Price";#N/A,#N/A,FALSE,"FINASSUMP";#N/A,#N/A,FALSE,"RISK";#N/A,#N/A,FALSE,"PRETAX EARN CHANGES";#N/A,#N/A,FALSE,"Earnings Cash Compare";#N/A,#N/A,FALSE,"Revenue Changes";#N/A,#N/A,FALSE,"CASH FLOW CHANGES";#N/A,#N/A,FALSE,"ROS CHANGES";#N/A,#N/A,FALSE,"9XX COSTS";#N/A,#N/A,FALSE,"ISSUES";#N/A,#N/A,FALSE,"FIN SUM";#N/A,#N/A,FALSE,"FINSUM DEL BASED"}</definedName>
    <definedName name="wrn.brian." localSheetId="0" hidden="1">{#N/A,#N/A,FALSE,"output";#N/A,#N/A,FALSE,"contrib";#N/A,#N/A,FALSE,"profile";#N/A,#N/A,FALSE,"comps"}</definedName>
    <definedName name="wrn.brian." localSheetId="6" hidden="1">{#N/A,#N/A,FALSE,"output";#N/A,#N/A,FALSE,"contrib";#N/A,#N/A,FALSE,"profile";#N/A,#N/A,FALSE,"comps"}</definedName>
    <definedName name="wrn.brian." hidden="1">{#N/A,#N/A,FALSE,"output";#N/A,#N/A,FALSE,"contrib";#N/A,#N/A,FALSE,"profile";#N/A,#N/A,FALSE,"comps"}</definedName>
    <definedName name="wrn.BS._.Std." localSheetId="6" hidden="1">{"UK Balance Sheet",#N/A,FALSE,"B SHEET"}</definedName>
    <definedName name="wrn.BS._.Std." hidden="1">{"UK Balance Sheet",#N/A,FALSE,"B SHEET"}</definedName>
    <definedName name="wrn.bs1." localSheetId="0" hidden="1">{"bs",#N/A,FALSE,"BS";"pl",#N/A,FALSE,"PL"}</definedName>
    <definedName name="wrn.bs1." localSheetId="6" hidden="1">{"bs",#N/A,FALSE,"BS";"pl",#N/A,FALSE,"PL"}</definedName>
    <definedName name="wrn.bs1." hidden="1">{"bs",#N/A,FALSE,"BS";"pl",#N/A,FALSE,"PL"}</definedName>
    <definedName name="wrn.bsall." localSheetId="0" hidden="1">{"bs",#N/A,FALSE,"BS";"pl",#N/A,FALSE,"PL";"res",#N/A,FALSE,"S.CAP,RES";"loans",#N/A,FALSE,"Loans";"inv",#N/A,FALSE,"C.Assets";"fa",#N/A,FALSE,"F.Assets";"ca",#N/A,FALSE,"C.Assets";"cl",#N/A,FALSE,"CL,Sales,Income";"ovh",#N/A,FALSE,"OVH"}</definedName>
    <definedName name="wrn.bsall." localSheetId="6" hidden="1">{"bs",#N/A,FALSE,"BS";"pl",#N/A,FALSE,"PL";"res",#N/A,FALSE,"S.CAP,RES";"loans",#N/A,FALSE,"Loans";"inv",#N/A,FALSE,"C.Assets";"fa",#N/A,FALSE,"F.Assets";"ca",#N/A,FALSE,"C.Assets";"cl",#N/A,FALSE,"CL,Sales,Income";"ovh",#N/A,FALSE,"OVH"}</definedName>
    <definedName name="wrn.bsall." hidden="1">{"bs",#N/A,FALSE,"BS";"pl",#N/A,FALSE,"PL";"res",#N/A,FALSE,"S.CAP,RES";"loans",#N/A,FALSE,"Loans";"inv",#N/A,FALSE,"C.Assets";"fa",#N/A,FALSE,"F.Assets";"ca",#N/A,FALSE,"C.Assets";"cl",#N/A,FALSE,"CL,Sales,Income";"ovh",#N/A,FALSE,"OVH"}</definedName>
    <definedName name="wrn.bud." localSheetId="0" hidden="1">{#N/A,#N/A,FALSE,"BudRec";#N/A,#N/A,FALSE,"P&amp;L";#N/A,#N/A,FALSE,"Net Assets";#N/A,#N/A,FALSE,"Cash Flow";#N/A,#N/A,FALSE,"Supplementary";#N/A,#N/A,FALSE,"Fixed assets";#N/A,#N/A,FALSE,"Capex 1";#N/A,#N/A,FALSE,"Capex 2";#N/A,#N/A,FALSE,"Sales,direct mat";#N/A,#N/A,FALSE,"Variables";#N/A,#N/A,FALSE,"Overheads";#N/A,#N/A,FALSE,"P&amp;L % of sales"}</definedName>
    <definedName name="wrn.bud." localSheetId="6" hidden="1">{#N/A,#N/A,FALSE,"BudRec";#N/A,#N/A,FALSE,"P&amp;L";#N/A,#N/A,FALSE,"Net Assets";#N/A,#N/A,FALSE,"Cash Flow";#N/A,#N/A,FALSE,"Supplementary";#N/A,#N/A,FALSE,"Fixed assets";#N/A,#N/A,FALSE,"Capex 1";#N/A,#N/A,FALSE,"Capex 2";#N/A,#N/A,FALSE,"Sales,direct mat";#N/A,#N/A,FALSE,"Variables";#N/A,#N/A,FALSE,"Overheads";#N/A,#N/A,FALSE,"P&amp;L % of sales"}</definedName>
    <definedName name="wrn.bud." hidden="1">{#N/A,#N/A,FALSE,"BudRec";#N/A,#N/A,FALSE,"P&amp;L";#N/A,#N/A,FALSE,"Net Assets";#N/A,#N/A,FALSE,"Cash Flow";#N/A,#N/A,FALSE,"Supplementary";#N/A,#N/A,FALSE,"Fixed assets";#N/A,#N/A,FALSE,"Capex 1";#N/A,#N/A,FALSE,"Capex 2";#N/A,#N/A,FALSE,"Sales,direct mat";#N/A,#N/A,FALSE,"Variables";#N/A,#N/A,FALSE,"Overheads";#N/A,#N/A,FALSE,"P&amp;L % of sales"}</definedName>
    <definedName name="wrn.BUDGET." localSheetId="0" hidden="1">{"BUDGET",#N/A,FALSE,"budget cassa"}</definedName>
    <definedName name="wrn.BUDGET." localSheetId="6" hidden="1">{"BUDGET",#N/A,FALSE,"budget cassa"}</definedName>
    <definedName name="wrn.BUDGET." hidden="1">{"BUDGET",#N/A,FALSE,"budget cassa"}</definedName>
    <definedName name="wrn.Budget._.2002._.Operating._.Units." localSheetId="6"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2002._.Operating._.Units." hidden="1">{#N/A,#N/A,FALSE,"Earning Summary";#N/A,#N/A,FALSE,"csxwt hong kong";#N/A,#N/A,FALSE,"slot 292";#N/A,#N/A,FALSE,"soict";#N/A,#N/A,FALSE,"otlhk";#N/A,#N/A,FALSE,"csxwt xiamen";#N/A,#N/A,FALSE,"csxwt adelaide";#N/A,#N/A,FALSE,"csxwtg bv";#N/A,#N/A,FALSE,"csxwtg kg";#N/A,#N/A,FALSE,"haina";#N/A,#N/A,FALSE,"wcs";#N/A,#N/A,FALSE,"tmr";#N/A,#N/A,FALSE,"slo";#N/A,#N/A,FALSE,"corp";#N/A,#N/A,FALSE,"sloi";#N/A,#N/A,FALSE,"csx tml mgmt";#N/A,#N/A,FALSE,"csxwt europe";#N/A,#N/A,FALSE,"pac container";#N/A,#N/A,FALSE,"csx asia";#N/A,#N/A,FALSE,"csx orient";#N/A,#N/A,FALSE,"finman"}</definedName>
    <definedName name="wrn.Budget._.2005." localSheetId="6" hidden="1">{#N/A,#N/A,TRUE,"Titel";#N/A,#N/A,TRUE,"Titel en voorbladen";#N/A,#N/A,TRUE,"Tabblad Formatie 1";#N/A,#N/A,TRUE,"Formatiebegroting Bijlage . 1";#N/A,#N/A,TRUE,"Tabblad Toelichting 2";#N/A,#N/A,TRUE,"Toelichting Budget Bijlage 2";#N/A,#N/A,TRUE,"Tabblad Invloed 3";#N/A,#N/A,TRUE,"Invloed Bijlage 3";#N/A,#N/A,TRUE,"Tabblad  strategisch niveau 4 ";#N/A,#N/A,TRUE,"Strategisch niveau Bijlage 4";#N/A,#N/A,TRUE,"Tabblad Tactisch niveau 5 ";#N/A,#N/A,TRUE,"Tactisch niveau Bijlage 5";#N/A,#N/A,TRUE,"Tabblad Kosten Operation. niv 6";#N/A,#N/A,TRUE,"Operationeel niveau Bijlage  6";#N/A,#N/A,TRUE,"Tabblad LE overzichten 7 ";#N/A,#N/A,TRUE,"LE overzichten 7";#N/A,#N/A,TRUE,"Tabblad Afdelingen en M2 8";#N/A,#N/A,TRUE,"M2 en afdelingen 8";#N/A,#N/A,TRUE,"Tabblad Doorbelstingspr 9 ";#N/A,#N/A,TRUE,"Doorbelast. procedure Bijlage 9";#N/A,#N/A,TRUE,"Tabblad MTP 10";#N/A,#N/A,TRUE,"MTP  2005  2009 Bijlage 10";#N/A,#N/A,TRUE,"Tabblad Besparingsvoorst. 11";#N/A,#N/A,TRUE,"Besparingsvoorstellen 11";#N/A,#N/A,TRUE,"Tabblad Opleidingskosten 12";#N/A,#N/A,TRUE,"Opleidingskosten 12";#N/A,#N/A,TRUE,"Tabblad Bijlagen 13";#N/A,#N/A,TRUE,"Bijlagen 13";#N/A,#N/A,TRUE,"Tabblad Cateringkosten 14";#N/A,#N/A,TRUE,"Cateringkosten  14";#N/A,#N/A,TRUE,"Tabblad Energiekosten 15";#N/A,#N/A,TRUE,"Energiekosten 15";#N/A,#N/A,TRUE,"Tabblad Copieerkosten 16";#N/A,#N/A,TRUE," Copieerkosten 16"}</definedName>
    <definedName name="wrn.Budget._.2005." hidden="1">{#N/A,#N/A,TRUE,"Titel";#N/A,#N/A,TRUE,"Titel en voorbladen";#N/A,#N/A,TRUE,"Tabblad Formatie 1";#N/A,#N/A,TRUE,"Formatiebegroting Bijlage . 1";#N/A,#N/A,TRUE,"Tabblad Toelichting 2";#N/A,#N/A,TRUE,"Toelichting Budget Bijlage 2";#N/A,#N/A,TRUE,"Tabblad Invloed 3";#N/A,#N/A,TRUE,"Invloed Bijlage 3";#N/A,#N/A,TRUE,"Tabblad  strategisch niveau 4 ";#N/A,#N/A,TRUE,"Strategisch niveau Bijlage 4";#N/A,#N/A,TRUE,"Tabblad Tactisch niveau 5 ";#N/A,#N/A,TRUE,"Tactisch niveau Bijlage 5";#N/A,#N/A,TRUE,"Tabblad Kosten Operation. niv 6";#N/A,#N/A,TRUE,"Operationeel niveau Bijlage  6";#N/A,#N/A,TRUE,"Tabblad LE overzichten 7 ";#N/A,#N/A,TRUE,"LE overzichten 7";#N/A,#N/A,TRUE,"Tabblad Afdelingen en M2 8";#N/A,#N/A,TRUE,"M2 en afdelingen 8";#N/A,#N/A,TRUE,"Tabblad Doorbelstingspr 9 ";#N/A,#N/A,TRUE,"Doorbelast. procedure Bijlage 9";#N/A,#N/A,TRUE,"Tabblad MTP 10";#N/A,#N/A,TRUE,"MTP  2005  2009 Bijlage 10";#N/A,#N/A,TRUE,"Tabblad Besparingsvoorst. 11";#N/A,#N/A,TRUE,"Besparingsvoorstellen 11";#N/A,#N/A,TRUE,"Tabblad Opleidingskosten 12";#N/A,#N/A,TRUE,"Opleidingskosten 12";#N/A,#N/A,TRUE,"Tabblad Bijlagen 13";#N/A,#N/A,TRUE,"Bijlagen 13";#N/A,#N/A,TRUE,"Tabblad Cateringkosten 14";#N/A,#N/A,TRUE,"Cateringkosten  14";#N/A,#N/A,TRUE,"Tabblad Energiekosten 15";#N/A,#N/A,TRUE,"Energiekosten 15";#N/A,#N/A,TRUE,"Tabblad Copieerkosten 16";#N/A,#N/A,TRUE," Copieerkosten 16"}</definedName>
    <definedName name="wrn.budget_con_banche." localSheetId="0" hidden="1">{"budget_con_banche_",#N/A,FALSE,"budget cassa"}</definedName>
    <definedName name="wrn.budget_con_banche." localSheetId="6" hidden="1">{"budget_con_banche_",#N/A,FALSE,"budget cassa"}</definedName>
    <definedName name="wrn.budget_con_banche." hidden="1">{"budget_con_banche_",#N/A,FALSE,"budget cassa"}</definedName>
    <definedName name="wrn.BUILDING._.VALUE." localSheetId="6"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BUILDING._.VALUE."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Buildups." localSheetId="0" hidden="1">{"ACQ",#N/A,FALSE,"ACQUISITIONS";"ACQF",#N/A,FALSE,"ACQUISITIONS";"PF",#N/A,FALSE,"PROYECTOVILA";"PV",#N/A,FALSE,"PROYECTOVILA";"Fee Dev",#N/A,FALSE,"DEVELOPMENT GROWTH";"gd",#N/A,FALSE,"DEVELOPMENT GROWTH"}</definedName>
    <definedName name="wrn.Buildups." localSheetId="6" hidden="1">{"ACQ",#N/A,FALSE,"ACQUISITIONS";"ACQF",#N/A,FALSE,"ACQUISITIONS";"PF",#N/A,FALSE,"PROYECTOVILA";"PV",#N/A,FALSE,"PROYECTOVILA";"Fee Dev",#N/A,FALSE,"DEVELOPMENT GROWTH";"gd",#N/A,FALSE,"DEVELOPMENT GROWTH"}</definedName>
    <definedName name="wrn.Buildups." hidden="1">{"ACQ",#N/A,FALSE,"ACQUISITIONS";"ACQF",#N/A,FALSE,"ACQUISITIONS";"PF",#N/A,FALSE,"PROYECTOVILA";"PV",#N/A,FALSE,"PROYECTOVILA";"Fee Dev",#N/A,FALSE,"DEVELOPMENT GROWTH";"gd",#N/A,FALSE,"DEVELOPMENT GROWTH"}</definedName>
    <definedName name="wrn.bullshit1." localSheetId="6" hidden="1">{#N/A,#N/A,FALSE,"Sheet1";#N/A,#N/A,FALSE,"Summary";#N/A,#N/A,FALSE,"proj1";#N/A,#N/A,FALSE,"proj2"}</definedName>
    <definedName name="wrn.bullshit1." hidden="1">{#N/A,#N/A,FALSE,"Sheet1";#N/A,#N/A,FALSE,"Summary";#N/A,#N/A,FALSE,"proj1";#N/A,#N/A,FALSE,"proj2"}</definedName>
    <definedName name="wrn.Business._.Plan._.Package." localSheetId="0" hidden="1">{#N/A,#N/A,TRUE,"income statement";#N/A,#N/A,TRUE,"balance sheet";#N/A,#N/A,TRUE,"cash flow";#N/A,#N/A,TRUE,"borrowing base";#N/A,#N/A,TRUE,"sales summary"}</definedName>
    <definedName name="wrn.Business._.Plan._.Package." localSheetId="6" hidden="1">{#N/A,#N/A,TRUE,"income statement";#N/A,#N/A,TRUE,"balance sheet";#N/A,#N/A,TRUE,"cash flow";#N/A,#N/A,TRUE,"borrowing base";#N/A,#N/A,TRUE,"sales summary"}</definedName>
    <definedName name="wrn.Business._.Plan._.Package." hidden="1">{#N/A,#N/A,TRUE,"income statement";#N/A,#N/A,TRUE,"balance sheet";#N/A,#N/A,TRUE,"cash flow";#N/A,#N/A,TRUE,"borrowing base";#N/A,#N/A,TRUE,"sales summary"}</definedName>
    <definedName name="wrn.business._.plan._.with._.detail." localSheetId="0" hidden="1">{#N/A,#N/A,TRUE,"income statement";#N/A,#N/A,TRUE,"balance sheet";#N/A,#N/A,TRUE,"cash flow";#N/A,#N/A,TRUE,"borrowing base";#N/A,#N/A,TRUE,"sales summary";#N/A,#N/A,TRUE,"costs per ton";#N/A,#N/A,TRUE,"primary assumptions";#N/A,#N/A,TRUE,"finishing assumptions"}</definedName>
    <definedName name="wrn.business._.plan._.with._.detail." localSheetId="6" hidden="1">{#N/A,#N/A,TRUE,"income statement";#N/A,#N/A,TRUE,"balance sheet";#N/A,#N/A,TRUE,"cash flow";#N/A,#N/A,TRUE,"borrowing base";#N/A,#N/A,TRUE,"sales summary";#N/A,#N/A,TRUE,"costs per ton";#N/A,#N/A,TRUE,"primary assumptions";#N/A,#N/A,TRUE,"finishing assumptions"}</definedName>
    <definedName name="wrn.business._.plan._.with._.detail." hidden="1">{#N/A,#N/A,TRUE,"income statement";#N/A,#N/A,TRUE,"balance sheet";#N/A,#N/A,TRUE,"cash flow";#N/A,#N/A,TRUE,"borrowing base";#N/A,#N/A,TRUE,"sales summary";#N/A,#N/A,TRUE,"costs per ton";#N/A,#N/A,TRUE,"primary assumptions";#N/A,#N/A,TRUE,"finishing assumptions"}</definedName>
    <definedName name="wrn.C._.15." localSheetId="6" hidden="1">{#N/A,#N/A,FALSE,"RESUMO";#N/A,#N/A,FALSE,"DISTRIB";#N/A,#N/A,FALSE,"CB";#N/A,#N/A,FALSE,"FERTCUB";#N/A,#N/A,FALSE,"FERTCAT";#N/A,#N/A,FALSE,"TRADE";#N/A,#N/A,FALSE,"DISTSELGA"}</definedName>
    <definedName name="wrn.C._.15." hidden="1">{#N/A,#N/A,FALSE,"RESUMO";#N/A,#N/A,FALSE,"DISTRIB";#N/A,#N/A,FALSE,"CB";#N/A,#N/A,FALSE,"FERTCUB";#N/A,#N/A,FALSE,"FERTCAT";#N/A,#N/A,FALSE,"TRADE";#N/A,#N/A,FALSE,"DISTSELGA"}</definedName>
    <definedName name="wrn.Capital._.Expenditure." localSheetId="0" hidden="1">{#N/A,#N/A,FALSE,"CE-Build";#N/A,#N/A,FALSE,"CE-Equ.";#N/A,#N/A,FALSE,"CE-Computer";#N/A,#N/A,FALSE,"CE-BFurn.";#N/A,#N/A,FALSE,"CE-Accom.";#N/A,#N/A,FALSE,"CE-Vehicle";#N/A,#N/A,FALSE,"CE-Total"}</definedName>
    <definedName name="wrn.Capital._.Expenditure." localSheetId="6" hidden="1">{#N/A,#N/A,FALSE,"CE-Build";#N/A,#N/A,FALSE,"CE-Equ.";#N/A,#N/A,FALSE,"CE-Computer";#N/A,#N/A,FALSE,"CE-BFurn.";#N/A,#N/A,FALSE,"CE-Accom.";#N/A,#N/A,FALSE,"CE-Vehicle";#N/A,#N/A,FALSE,"CE-Total"}</definedName>
    <definedName name="wrn.Capital._.Expenditure." hidden="1">{#N/A,#N/A,FALSE,"CE-Build";#N/A,#N/A,FALSE,"CE-Equ.";#N/A,#N/A,FALSE,"CE-Computer";#N/A,#N/A,FALSE,"CE-BFurn.";#N/A,#N/A,FALSE,"CE-Accom.";#N/A,#N/A,FALSE,"CE-Vehicle";#N/A,#N/A,FALSE,"CE-Total"}</definedName>
    <definedName name="wrn.Capital._.Spending._.1998." localSheetId="6" hidden="1">{#N/A,#N/A,TRUE,"Total Allocation";#N/A,#N/A,TRUE,"Capital Software";#N/A,#N/A,TRUE,"Misc";#N/A,#N/A,TRUE,"NAOG"}</definedName>
    <definedName name="wrn.Capital._.Spending._.1998." hidden="1">{#N/A,#N/A,TRUE,"Total Allocation";#N/A,#N/A,TRUE,"Capital Software";#N/A,#N/A,TRUE,"Misc";#N/A,#N/A,TRUE,"NAOG"}</definedName>
    <definedName name="wrn.CARADON." localSheetId="6" hidden="1">{"FRONT (CARADON) (23)",#N/A,TRUE,"CARADON";"PROF_LOSS (CARADON) (23)",#N/A,TRUE,"CARADON";"CASHFLOW (CARADON) (23)",#N/A,TRUE,"CARADON";"ANALYSIS (CARADON) (23)",#N/A,TRUE,"CARADON";"RECONCILIATION (CARADON) (23)",#N/A,TRUE,"CARADON";"OPER_SUMMURY (CARADON) (23)",#N/A,TRUE,"CARADON"}</definedName>
    <definedName name="wrn.CARADON." hidden="1">{"FRONT (CARADON) (23)",#N/A,TRUE,"CARADON";"PROF_LOSS (CARADON) (23)",#N/A,TRUE,"CARADON";"CASHFLOW (CARADON) (23)",#N/A,TRUE,"CARADON";"ANALYSIS (CARADON) (23)",#N/A,TRUE,"CARADON";"RECONCILIATION (CARADON) (23)",#N/A,TRUE,"CARADON";"OPER_SUMMURY (CARADON) (23)",#N/A,TRUE,"CARADON"}</definedName>
    <definedName name="wrn.Cardiovasculars." localSheetId="0" hidden="1">{#N/A,#N/A,FALSE,"Card";#N/A,#N/A,FALSE,"Prav";#N/A,#N/A,FALSE,"Irbe";#N/A,#N/A,FALSE,"Plavix";#N/A,#N/A,FALSE,"Capt";#N/A,#N/A,FALSE,"Fosi"}</definedName>
    <definedName name="wrn.Cardiovasculars." localSheetId="6" hidden="1">{#N/A,#N/A,FALSE,"Card";#N/A,#N/A,FALSE,"Prav";#N/A,#N/A,FALSE,"Irbe";#N/A,#N/A,FALSE,"Plavix";#N/A,#N/A,FALSE,"Capt";#N/A,#N/A,FALSE,"Fosi"}</definedName>
    <definedName name="wrn.Cardiovasculars." hidden="1">{#N/A,#N/A,FALSE,"Card";#N/A,#N/A,FALSE,"Prav";#N/A,#N/A,FALSE,"Irbe";#N/A,#N/A,FALSE,"Plavix";#N/A,#N/A,FALSE,"Capt";#N/A,#N/A,FALSE,"Fosi"}</definedName>
    <definedName name="wrn.Cardiovasculars._1" localSheetId="0" hidden="1">{#N/A,#N/A,FALSE,"Card";#N/A,#N/A,FALSE,"Prav";#N/A,#N/A,FALSE,"Irbe";#N/A,#N/A,FALSE,"Plavix";#N/A,#N/A,FALSE,"Capt";#N/A,#N/A,FALSE,"Fosi"}</definedName>
    <definedName name="wrn.Cardiovasculars._1" localSheetId="6" hidden="1">{#N/A,#N/A,FALSE,"Card";#N/A,#N/A,FALSE,"Prav";#N/A,#N/A,FALSE,"Irbe";#N/A,#N/A,FALSE,"Plavix";#N/A,#N/A,FALSE,"Capt";#N/A,#N/A,FALSE,"Fosi"}</definedName>
    <definedName name="wrn.Cardiovasculars._1" hidden="1">{#N/A,#N/A,FALSE,"Card";#N/A,#N/A,FALSE,"Prav";#N/A,#N/A,FALSE,"Irbe";#N/A,#N/A,FALSE,"Plavix";#N/A,#N/A,FALSE,"Capt";#N/A,#N/A,FALSE,"Fosi"}</definedName>
    <definedName name="wrn.Cardiovasculars._1_1" localSheetId="0" hidden="1">{#N/A,#N/A,FALSE,"Card";#N/A,#N/A,FALSE,"Prav";#N/A,#N/A,FALSE,"Irbe";#N/A,#N/A,FALSE,"Plavix";#N/A,#N/A,FALSE,"Capt";#N/A,#N/A,FALSE,"Fosi"}</definedName>
    <definedName name="wrn.Cardiovasculars._1_1" localSheetId="6" hidden="1">{#N/A,#N/A,FALSE,"Card";#N/A,#N/A,FALSE,"Prav";#N/A,#N/A,FALSE,"Irbe";#N/A,#N/A,FALSE,"Plavix";#N/A,#N/A,FALSE,"Capt";#N/A,#N/A,FALSE,"Fosi"}</definedName>
    <definedName name="wrn.Cardiovasculars._1_1" hidden="1">{#N/A,#N/A,FALSE,"Card";#N/A,#N/A,FALSE,"Prav";#N/A,#N/A,FALSE,"Irbe";#N/A,#N/A,FALSE,"Plavix";#N/A,#N/A,FALSE,"Capt";#N/A,#N/A,FALSE,"Fosi"}</definedName>
    <definedName name="wrn.Cardiovasculars._2" localSheetId="0" hidden="1">{#N/A,#N/A,FALSE,"Card";#N/A,#N/A,FALSE,"Prav";#N/A,#N/A,FALSE,"Irbe";#N/A,#N/A,FALSE,"Plavix";#N/A,#N/A,FALSE,"Capt";#N/A,#N/A,FALSE,"Fosi"}</definedName>
    <definedName name="wrn.Cardiovasculars._2" localSheetId="6" hidden="1">{#N/A,#N/A,FALSE,"Card";#N/A,#N/A,FALSE,"Prav";#N/A,#N/A,FALSE,"Irbe";#N/A,#N/A,FALSE,"Plavix";#N/A,#N/A,FALSE,"Capt";#N/A,#N/A,FALSE,"Fosi"}</definedName>
    <definedName name="wrn.Cardiovasculars._2" hidden="1">{#N/A,#N/A,FALSE,"Card";#N/A,#N/A,FALSE,"Prav";#N/A,#N/A,FALSE,"Irbe";#N/A,#N/A,FALSE,"Plavix";#N/A,#N/A,FALSE,"Capt";#N/A,#N/A,FALSE,"Fosi"}</definedName>
    <definedName name="wrn.Cardiovasculars._3" localSheetId="0" hidden="1">{#N/A,#N/A,FALSE,"Card";#N/A,#N/A,FALSE,"Prav";#N/A,#N/A,FALSE,"Irbe";#N/A,#N/A,FALSE,"Plavix";#N/A,#N/A,FALSE,"Capt";#N/A,#N/A,FALSE,"Fosi"}</definedName>
    <definedName name="wrn.Cardiovasculars._3" localSheetId="6" hidden="1">{#N/A,#N/A,FALSE,"Card";#N/A,#N/A,FALSE,"Prav";#N/A,#N/A,FALSE,"Irbe";#N/A,#N/A,FALSE,"Plavix";#N/A,#N/A,FALSE,"Capt";#N/A,#N/A,FALSE,"Fosi"}</definedName>
    <definedName name="wrn.Cardiovasculars._3" hidden="1">{#N/A,#N/A,FALSE,"Card";#N/A,#N/A,FALSE,"Prav";#N/A,#N/A,FALSE,"Irbe";#N/A,#N/A,FALSE,"Plavix";#N/A,#N/A,FALSE,"Capt";#N/A,#N/A,FALSE,"Fosi"}</definedName>
    <definedName name="wrn.Cardiovasculars._4" localSheetId="0" hidden="1">{#N/A,#N/A,FALSE,"Card";#N/A,#N/A,FALSE,"Prav";#N/A,#N/A,FALSE,"Irbe";#N/A,#N/A,FALSE,"Plavix";#N/A,#N/A,FALSE,"Capt";#N/A,#N/A,FALSE,"Fosi"}</definedName>
    <definedName name="wrn.Cardiovasculars._4" localSheetId="6" hidden="1">{#N/A,#N/A,FALSE,"Card";#N/A,#N/A,FALSE,"Prav";#N/A,#N/A,FALSE,"Irbe";#N/A,#N/A,FALSE,"Plavix";#N/A,#N/A,FALSE,"Capt";#N/A,#N/A,FALSE,"Fosi"}</definedName>
    <definedName name="wrn.Cardiovasculars._4" hidden="1">{#N/A,#N/A,FALSE,"Card";#N/A,#N/A,FALSE,"Prav";#N/A,#N/A,FALSE,"Irbe";#N/A,#N/A,FALSE,"Plavix";#N/A,#N/A,FALSE,"Capt";#N/A,#N/A,FALSE,"Fosi"}</definedName>
    <definedName name="wrn.Cardiovasculars._5" localSheetId="0" hidden="1">{#N/A,#N/A,FALSE,"Card";#N/A,#N/A,FALSE,"Prav";#N/A,#N/A,FALSE,"Irbe";#N/A,#N/A,FALSE,"Plavix";#N/A,#N/A,FALSE,"Capt";#N/A,#N/A,FALSE,"Fosi"}</definedName>
    <definedName name="wrn.Cardiovasculars._5" localSheetId="6" hidden="1">{#N/A,#N/A,FALSE,"Card";#N/A,#N/A,FALSE,"Prav";#N/A,#N/A,FALSE,"Irbe";#N/A,#N/A,FALSE,"Plavix";#N/A,#N/A,FALSE,"Capt";#N/A,#N/A,FALSE,"Fosi"}</definedName>
    <definedName name="wrn.Cardiovasculars._5" hidden="1">{#N/A,#N/A,FALSE,"Card";#N/A,#N/A,FALSE,"Prav";#N/A,#N/A,FALSE,"Irbe";#N/A,#N/A,FALSE,"Plavix";#N/A,#N/A,FALSE,"Capt";#N/A,#N/A,FALSE,"Fosi"}</definedName>
    <definedName name="wrn.cash." localSheetId="0" hidden="1">{"assumption cash",#N/A,TRUE,"Merger";"has gets cash",#N/A,TRUE,"Merger";"accretion dilution",#N/A,TRUE,"Merger";"comparison credit stats",#N/A,TRUE,"Merger";"pf credit stats",#N/A,TRUE,"Merger";"pf sheets",#N/A,TRUE,"Merger"}</definedName>
    <definedName name="wrn.cash." localSheetId="6" hidden="1">{"assumption cash",#N/A,TRUE,"Merger";"has gets cash",#N/A,TRUE,"Merger";"accretion dilution",#N/A,TRUE,"Merger";"comparison credit stats",#N/A,TRUE,"Merger";"pf credit stats",#N/A,TRUE,"Merger";"pf sheets",#N/A,TRUE,"Merger"}</definedName>
    <definedName name="wrn.cash." hidden="1">{"assumption cash",#N/A,TRUE,"Merger";"has gets cash",#N/A,TRUE,"Merger";"accretion dilution",#N/A,TRUE,"Merger";"comparison credit stats",#N/A,TRUE,"Merger";"pf credit stats",#N/A,TRUE,"Merger";"pf sheets",#N/A,TRUE,"Merger"}</definedName>
    <definedName name="wrn.Cash._.Flow." localSheetId="0" hidden="1">{#N/A,#N/A,FALSE,"Layout Cash Flow"}</definedName>
    <definedName name="wrn.Cash._.Flow." localSheetId="6" hidden="1">{#N/A,#N/A,FALSE,"Layout Cash Flow"}</definedName>
    <definedName name="wrn.Cash._.Flow." hidden="1">{#N/A,#N/A,FALSE,"Layout Cash Flow"}</definedName>
    <definedName name="wrn.Cash._.Flow._.Forecast._.and._.Details." localSheetId="6" hidden="1">{#N/A,#N/A,FALSE,"monthly";#N/A,#N/A,FALSE,"fcst detail"}</definedName>
    <definedName name="wrn.Cash._.Flow._.Forecast._.and._.Details." hidden="1">{#N/A,#N/A,FALSE,"monthly";#N/A,#N/A,FALSE,"fcst detail"}</definedName>
    <definedName name="wrn.cash2." localSheetId="0" hidden="1">{#N/A,#N/A,FALSE,"KGFORE94"}</definedName>
    <definedName name="wrn.cash2." localSheetId="6" hidden="1">{#N/A,#N/A,FALSE,"KGFORE94"}</definedName>
    <definedName name="wrn.cash2." hidden="1">{#N/A,#N/A,FALSE,"KGFORE94"}</definedName>
    <definedName name="wrn.cashflow." localSheetId="6" hidden="1">{"cashflow",#N/A,FALSE,"BPLN5YR3"}</definedName>
    <definedName name="wrn.cashflow." hidden="1">{"cashflow",#N/A,FALSE,"BPLN5YR3"}</definedName>
    <definedName name="wrn.Caucedo._.Financials." localSheetId="6" hidden="1">{#N/A,#N/A,FALSE,"Cover"}</definedName>
    <definedName name="wrn.Caucedo._.Financials." hidden="1">{#N/A,#N/A,FALSE,"Cover"}</definedName>
    <definedName name="wrn.CBUDBF." localSheetId="0" hidden="1">{#N/A,#N/A,FALSE,"HOT";#N/A,#N/A,FALSE,"EXT";#N/A,#N/A,FALSE,"COE";#N/A,#N/A,FALSE,"PRN";#N/A,#N/A,FALSE,"ALU";#N/A,#N/A,FALSE,"REC";#N/A,#N/A,FALSE,"PAK";#N/A,#N/A,FALSE,"SCHIAVI";#N/A,#N/A,FALSE,"TOTAL"}</definedName>
    <definedName name="wrn.CBUDBF." localSheetId="6" hidden="1">{#N/A,#N/A,FALSE,"HOT";#N/A,#N/A,FALSE,"EXT";#N/A,#N/A,FALSE,"COE";#N/A,#N/A,FALSE,"PRN";#N/A,#N/A,FALSE,"ALU";#N/A,#N/A,FALSE,"REC";#N/A,#N/A,FALSE,"PAK";#N/A,#N/A,FALSE,"SCHIAVI";#N/A,#N/A,FALSE,"TOTAL"}</definedName>
    <definedName name="wrn.CBUDBF." hidden="1">{#N/A,#N/A,FALSE,"HOT";#N/A,#N/A,FALSE,"EXT";#N/A,#N/A,FALSE,"COE";#N/A,#N/A,FALSE,"PRN";#N/A,#N/A,FALSE,"ALU";#N/A,#N/A,FALSE,"REC";#N/A,#N/A,FALSE,"PAK";#N/A,#N/A,FALSE,"SCHIAVI";#N/A,#N/A,FALSE,"TOTAL"}</definedName>
    <definedName name="wrn.Central._.Nervous._.System." localSheetId="0" hidden="1">{#N/A,#N/A,FALSE,"CNS";#N/A,#N/A,FALSE,"Serz";#N/A,#N/A,FALSE,"Ace"}</definedName>
    <definedName name="wrn.Central._.Nervous._.System." localSheetId="6" hidden="1">{#N/A,#N/A,FALSE,"CNS";#N/A,#N/A,FALSE,"Serz";#N/A,#N/A,FALSE,"Ace"}</definedName>
    <definedName name="wrn.Central._.Nervous._.System." hidden="1">{#N/A,#N/A,FALSE,"CNS";#N/A,#N/A,FALSE,"Serz";#N/A,#N/A,FALSE,"Ace"}</definedName>
    <definedName name="wrn.Central._.Nervous._.System._1" localSheetId="0" hidden="1">{#N/A,#N/A,FALSE,"CNS";#N/A,#N/A,FALSE,"Serz";#N/A,#N/A,FALSE,"Ace"}</definedName>
    <definedName name="wrn.Central._.Nervous._.System._1" localSheetId="6" hidden="1">{#N/A,#N/A,FALSE,"CNS";#N/A,#N/A,FALSE,"Serz";#N/A,#N/A,FALSE,"Ace"}</definedName>
    <definedName name="wrn.Central._.Nervous._.System._1" hidden="1">{#N/A,#N/A,FALSE,"CNS";#N/A,#N/A,FALSE,"Serz";#N/A,#N/A,FALSE,"Ace"}</definedName>
    <definedName name="wrn.Central._.Nervous._.System._1_1" localSheetId="0" hidden="1">{#N/A,#N/A,FALSE,"CNS";#N/A,#N/A,FALSE,"Serz";#N/A,#N/A,FALSE,"Ace"}</definedName>
    <definedName name="wrn.Central._.Nervous._.System._1_1" localSheetId="6" hidden="1">{#N/A,#N/A,FALSE,"CNS";#N/A,#N/A,FALSE,"Serz";#N/A,#N/A,FALSE,"Ace"}</definedName>
    <definedName name="wrn.Central._.Nervous._.System._1_1" hidden="1">{#N/A,#N/A,FALSE,"CNS";#N/A,#N/A,FALSE,"Serz";#N/A,#N/A,FALSE,"Ace"}</definedName>
    <definedName name="wrn.Central._.Nervous._.System._2" localSheetId="0" hidden="1">{#N/A,#N/A,FALSE,"CNS";#N/A,#N/A,FALSE,"Serz";#N/A,#N/A,FALSE,"Ace"}</definedName>
    <definedName name="wrn.Central._.Nervous._.System._2" localSheetId="6" hidden="1">{#N/A,#N/A,FALSE,"CNS";#N/A,#N/A,FALSE,"Serz";#N/A,#N/A,FALSE,"Ace"}</definedName>
    <definedName name="wrn.Central._.Nervous._.System._2" hidden="1">{#N/A,#N/A,FALSE,"CNS";#N/A,#N/A,FALSE,"Serz";#N/A,#N/A,FALSE,"Ace"}</definedName>
    <definedName name="wrn.Central._.Nervous._.System._3" localSheetId="0" hidden="1">{#N/A,#N/A,FALSE,"CNS";#N/A,#N/A,FALSE,"Serz";#N/A,#N/A,FALSE,"Ace"}</definedName>
    <definedName name="wrn.Central._.Nervous._.System._3" localSheetId="6" hidden="1">{#N/A,#N/A,FALSE,"CNS";#N/A,#N/A,FALSE,"Serz";#N/A,#N/A,FALSE,"Ace"}</definedName>
    <definedName name="wrn.Central._.Nervous._.System._3" hidden="1">{#N/A,#N/A,FALSE,"CNS";#N/A,#N/A,FALSE,"Serz";#N/A,#N/A,FALSE,"Ace"}</definedName>
    <definedName name="wrn.Central._.Nervous._.System._4" localSheetId="0" hidden="1">{#N/A,#N/A,FALSE,"CNS";#N/A,#N/A,FALSE,"Serz";#N/A,#N/A,FALSE,"Ace"}</definedName>
    <definedName name="wrn.Central._.Nervous._.System._4" localSheetId="6" hidden="1">{#N/A,#N/A,FALSE,"CNS";#N/A,#N/A,FALSE,"Serz";#N/A,#N/A,FALSE,"Ace"}</definedName>
    <definedName name="wrn.Central._.Nervous._.System._4" hidden="1">{#N/A,#N/A,FALSE,"CNS";#N/A,#N/A,FALSE,"Serz";#N/A,#N/A,FALSE,"Ace"}</definedName>
    <definedName name="wrn.Central._.Nervous._.System._5" localSheetId="0" hidden="1">{#N/A,#N/A,FALSE,"CNS";#N/A,#N/A,FALSE,"Serz";#N/A,#N/A,FALSE,"Ace"}</definedName>
    <definedName name="wrn.Central._.Nervous._.System._5" localSheetId="6" hidden="1">{#N/A,#N/A,FALSE,"CNS";#N/A,#N/A,FALSE,"Serz";#N/A,#N/A,FALSE,"Ace"}</definedName>
    <definedName name="wrn.Central._.Nervous._.System._5" hidden="1">{#N/A,#N/A,FALSE,"CNS";#N/A,#N/A,FALSE,"Serz";#N/A,#N/A,FALSE,"Ace"}</definedName>
    <definedName name="wrn.CEO_black._.white." localSheetId="0" hidden="1">{"ceo_fin",#N/A,FALSE,"2-financial";"ceo_ops",#N/A,FALSE,"3-operating";"ceo_trad",#N/A,FALSE,"GRP";"ceo_rev",#N/A,FALSE,"GRP";"ceo_opex",#N/A,FALSE,"GRP";"ceo_manp",#N/A,FALSE,"GRP";"ceo_capex",#N/A,FALSE,"GRP";"ceo_bank",#N/A,FALSE,"BANK full";"ceo_mkt val",#N/A,FALSE,"Mkt Val";"ceo_Mkt_cons",#N/A,FALSE,"mkt con"}</definedName>
    <definedName name="wrn.CEO_black._.white." localSheetId="6" hidden="1">{"ceo_fin",#N/A,FALSE,"2-financial";"ceo_ops",#N/A,FALSE,"3-operating";"ceo_trad",#N/A,FALSE,"GRP";"ceo_rev",#N/A,FALSE,"GRP";"ceo_opex",#N/A,FALSE,"GRP";"ceo_manp",#N/A,FALSE,"GRP";"ceo_capex",#N/A,FALSE,"GRP";"ceo_bank",#N/A,FALSE,"BANK full";"ceo_mkt val",#N/A,FALSE,"Mkt Val";"ceo_Mkt_cons",#N/A,FALSE,"mkt con"}</definedName>
    <definedName name="wrn.CEO_black._.white." hidden="1">{"ceo_fin",#N/A,FALSE,"2-financial";"ceo_ops",#N/A,FALSE,"3-operating";"ceo_trad",#N/A,FALSE,"GRP";"ceo_rev",#N/A,FALSE,"GRP";"ceo_opex",#N/A,FALSE,"GRP";"ceo_manp",#N/A,FALSE,"GRP";"ceo_capex",#N/A,FALSE,"GRP";"ceo_bank",#N/A,FALSE,"BANK full";"ceo_mkt val",#N/A,FALSE,"Mkt Val";"ceo_Mkt_cons",#N/A,FALSE,"mkt con"}</definedName>
    <definedName name="wrn.CEO_colour." localSheetId="0" hidden="1">{"ceo_shareh",#N/A,FALSE,"SHARES";"ceo_debth",#N/A,FALSE,"CHART"}</definedName>
    <definedName name="wrn.CEO_colour." localSheetId="6" hidden="1">{"ceo_shareh",#N/A,FALSE,"SHARES";"ceo_debth",#N/A,FALSE,"CHART"}</definedName>
    <definedName name="wrn.CEO_colour." hidden="1">{"ceo_shareh",#N/A,FALSE,"SHARES";"ceo_debth",#N/A,FALSE,"CHART"}</definedName>
    <definedName name="wrn.CGIC._.PLICO._.Statutory._.Results." localSheetId="0"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localSheetId="6"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hart._.Printouts." localSheetId="0" hidden="1">{"2 Area",#N/A,TRUE,"Area";"2 Bar",#N/A,TRUE,"Area";"SSB Bar",#N/A,TRUE,"Area";"2 Stacked Bar",#N/A,TRUE,"Area";"2 Stacked Bar 100",#N/A,TRUE,"Area";"2 Stacked Col",#N/A,TRUE,"Area";"2 Stacked Col 100",#N/A,TRUE,"Area";"2 HiLow",#N/A,TRUE,"Area";"2 Line",#N/A,TRUE,"Area";"2 Scatter",#N/A,TRUE,"Area";"2 ColumnLine",#N/A,TRUE,"Area";"2 ScatterLine",#N/A,TRUE,"Area";"2 Football",#N/A,TRUE,"Area";"2 DAPS",#N/A,TRUE,"Area";"2 Rover",#N/A,TRUE,"Area";"2 Student1",#N/A,TRUE,"Area";"2 Student2",#N/A,TRUE,"Area";"2 Student3",#N/A,TRUE,"Area";"2 Column",#N/A,TRUE,"Area";"2 League",#N/A,TRUE,"Area";"2 Pies",#N/A,TRUE,"Area"}</definedName>
    <definedName name="wrn.Chart._.Printouts." localSheetId="6" hidden="1">{"2 Area",#N/A,TRUE,"Area";"2 Bar",#N/A,TRUE,"Area";"SSB Bar",#N/A,TRUE,"Area";"2 Stacked Bar",#N/A,TRUE,"Area";"2 Stacked Bar 100",#N/A,TRUE,"Area";"2 Stacked Col",#N/A,TRUE,"Area";"2 Stacked Col 100",#N/A,TRUE,"Area";"2 HiLow",#N/A,TRUE,"Area";"2 Line",#N/A,TRUE,"Area";"2 Scatter",#N/A,TRUE,"Area";"2 ColumnLine",#N/A,TRUE,"Area";"2 ScatterLine",#N/A,TRUE,"Area";"2 Football",#N/A,TRUE,"Area";"2 DAPS",#N/A,TRUE,"Area";"2 Rover",#N/A,TRUE,"Area";"2 Student1",#N/A,TRUE,"Area";"2 Student2",#N/A,TRUE,"Area";"2 Student3",#N/A,TRUE,"Area";"2 Column",#N/A,TRUE,"Area";"2 League",#N/A,TRUE,"Area";"2 Pies",#N/A,TRUE,"Area"}</definedName>
    <definedName name="wrn.Chart._.Printouts." hidden="1">{"2 Area",#N/A,TRUE,"Area";"2 Bar",#N/A,TRUE,"Area";"SSB Bar",#N/A,TRUE,"Area";"2 Stacked Bar",#N/A,TRUE,"Area";"2 Stacked Bar 100",#N/A,TRUE,"Area";"2 Stacked Col",#N/A,TRUE,"Area";"2 Stacked Col 100",#N/A,TRUE,"Area";"2 HiLow",#N/A,TRUE,"Area";"2 Line",#N/A,TRUE,"Area";"2 Scatter",#N/A,TRUE,"Area";"2 ColumnLine",#N/A,TRUE,"Area";"2 ScatterLine",#N/A,TRUE,"Area";"2 Football",#N/A,TRUE,"Area";"2 DAPS",#N/A,TRUE,"Area";"2 Rover",#N/A,TRUE,"Area";"2 Student1",#N/A,TRUE,"Area";"2 Student2",#N/A,TRUE,"Area";"2 Student3",#N/A,TRUE,"Area";"2 Column",#N/A,TRUE,"Area";"2 League",#N/A,TRUE,"Area";"2 Pies",#N/A,TRUE,"Area"}</definedName>
    <definedName name="wrn.charts." localSheetId="0" hidden="1">{"newyork",#N/A,FALSE,"Plots-Annually";"florida",#N/A,FALSE,"Plots-Annually"}</definedName>
    <definedName name="wrn.charts." localSheetId="6" hidden="1">{"newyork",#N/A,FALSE,"Plots-Annually";"florida",#N/A,FALSE,"Plots-Annually"}</definedName>
    <definedName name="wrn.charts." hidden="1">{"newyork",#N/A,FALSE,"Plots-Annually";"florida",#N/A,FALSE,"Plots-Annually"}</definedName>
    <definedName name="wrn.CHIEF._.REVIEW." localSheetId="6"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HIEF._.REVIEW._1" localSheetId="6" hidden="1">{#N/A,#N/A,FALSE,"Q&amp;AE";#N/A,#N/A,FALSE,"Params";#N/A,#N/A,FALSE,"ReconE";#N/A,#N/A,FALSE,"CostCompE";#N/A,#N/A,FALSE,"SummaryE";#N/A,#N/A,FALSE,"Detail";#N/A,#N/A,FALSE,"PayItem"}</definedName>
    <definedName name="wrn.CHIEF._.REVIEW._1" hidden="1">{#N/A,#N/A,FALSE,"Q&amp;AE";#N/A,#N/A,FALSE,"Params";#N/A,#N/A,FALSE,"ReconE";#N/A,#N/A,FALSE,"CostCompE";#N/A,#N/A,FALSE,"SummaryE";#N/A,#N/A,FALSE,"Detail";#N/A,#N/A,FALSE,"PayItem"}</definedName>
    <definedName name="wrn.CIRCUITS." localSheetId="6" hidden="1">{"DBANK",#N/A,FALSE,"PriceE";"CKTS",#N/A,FALSE,"PriceE"}</definedName>
    <definedName name="wrn.CIRCUITS." hidden="1">{"DBANK",#N/A,FALSE,"PriceE";"CKTS",#N/A,FALSE,"PriceE"}</definedName>
    <definedName name="wrn.CIRCUITS._1" localSheetId="6" hidden="1">{"DBANK",#N/A,FALSE,"PriceE";"CKTS",#N/A,FALSE,"PriceE"}</definedName>
    <definedName name="wrn.CIRCUITS._1" hidden="1">{"DBANK",#N/A,FALSE,"PriceE";"CKTS",#N/A,FALSE,"PriceE"}</definedName>
    <definedName name="wrn.CIS." localSheetId="0"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localSheetId="6"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ombination." localSheetId="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ED." localSheetId="0" hidden="1">{#N/A,#N/A,FALSE,"INPUTS";#N/A,#N/A,FALSE,"PROFORMA BSHEET";#N/A,#N/A,FALSE,"COMBINED";#N/A,#N/A,FALSE,"HIGH YIELD";#N/A,#N/A,FALSE,"COMB_GRAPHS"}</definedName>
    <definedName name="wrn.COMBINED." localSheetId="6" hidden="1">{#N/A,#N/A,FALSE,"INPUTS";#N/A,#N/A,FALSE,"PROFORMA BSHEET";#N/A,#N/A,FALSE,"COMBINED";#N/A,#N/A,FALSE,"HIGH YIELD";#N/A,#N/A,FALSE,"COMB_GRAPHS"}</definedName>
    <definedName name="wrn.COMBINED." hidden="1">{#N/A,#N/A,FALSE,"INPUTS";#N/A,#N/A,FALSE,"PROFORMA BSHEET";#N/A,#N/A,FALSE,"COMBINED";#N/A,#N/A,FALSE,"HIGH YIELD";#N/A,#N/A,FALSE,"COMB_GRAPHS"}</definedName>
    <definedName name="wrn.ComboResults." localSheetId="6"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6" hidden="1">{#N/A,#N/A,FALSE,"Combo-Ass ";#N/A,#N/A,FALSE,"Combo-IS";#N/A,#N/A,FALSE,"Combo-BS";#N/A,#N/A,FALSE,"Combo-CF"}</definedName>
    <definedName name="wrn.ComboState." hidden="1">{#N/A,#N/A,FALSE,"Combo-Ass ";#N/A,#N/A,FALSE,"Combo-IS";#N/A,#N/A,FALSE,"Combo-BS";#N/A,#N/A,FALSE,"Combo-CF"}</definedName>
    <definedName name="wrn.comision._.ejecutiva._.mayo._.98." localSheetId="0" hidden="1">{#N/A,#N/A,FALSE,"ingtemat";"HOJARESUMIDA",#N/A,FALSE,"calc1998-2007";"hipotesis tematicos",#N/A,FALSE,"calc1998-2007";"HIPÓTESIS CABLE",#N/A,FALSE,"calc1998-2007";#N/A,#N/A,FALSE,"Proyección 1998-2007";"estadistica de ventas",#N/A,FALSE,"estad.ventas"}</definedName>
    <definedName name="wrn.comision._.ejecutiva._.mayo._.98." localSheetId="6" hidden="1">{#N/A,#N/A,FALSE,"ingtemat";"HOJARESUMIDA",#N/A,FALSE,"calc1998-2007";"hipotesis tematicos",#N/A,FALSE,"calc1998-2007";"HIPÓTESIS CABLE",#N/A,FALSE,"calc1998-2007";#N/A,#N/A,FALSE,"Proyección 1998-2007";"estadistica de ventas",#N/A,FALSE,"estad.ventas"}</definedName>
    <definedName name="wrn.comision._.ejecutiva._.mayo._.98." hidden="1">{#N/A,#N/A,FALSE,"ingtemat";"HOJARESUMIDA",#N/A,FALSE,"calc1998-2007";"hipotesis tematicos",#N/A,FALSE,"calc1998-2007";"HIPÓTESIS CABLE",#N/A,FALSE,"calc1998-2007";#N/A,#N/A,FALSE,"Proyección 1998-2007";"estadistica de ventas",#N/A,FALSE,"estad.ventas"}</definedName>
    <definedName name="wrn.COMMISSION." localSheetId="0" hidden="1">{"FORM17",#N/A,FALSE,"Commission1";"FORM17.1",#N/A,FALSE,"Commission2"}</definedName>
    <definedName name="wrn.COMMISSION." localSheetId="6" hidden="1">{"FORM17",#N/A,FALSE,"Commission1";"FORM17.1",#N/A,FALSE,"Commission2"}</definedName>
    <definedName name="wrn.COMMISSION." hidden="1">{"FORM17",#N/A,FALSE,"Commission1";"FORM17.1",#N/A,FALSE,"Commission2"}</definedName>
    <definedName name="wrn.COMPCO." localSheetId="0" hidden="1">{"Page1",#N/A,FALSE,"CompCo";"Page2",#N/A,FALSE,"CompCo"}</definedName>
    <definedName name="wrn.COMPCO." localSheetId="6" hidden="1">{"Page1",#N/A,FALSE,"CompCo";"Page2",#N/A,FALSE,"CompCo"}</definedName>
    <definedName name="wrn.COMPCO." hidden="1">{"Page1",#N/A,FALSE,"CompCo";"Page2",#N/A,FALSE,"CompCo"}</definedName>
    <definedName name="wrn.Complete." localSheetId="0" hidden="1">{#N/A,#N/A,TRUE,"DCF Summary";#N/A,#N/A,TRUE,"Casema";#N/A,#N/A,TRUE,"UK";#N/A,#N/A,TRUE,"RCF";#N/A,#N/A,TRUE,"Intercable CZ";#N/A,#N/A,TRUE,"Interkabel P";#N/A,#N/A,TRUE,"LBO-Total";#N/A,#N/A,TRUE,"LBO-Casema"}</definedName>
    <definedName name="wrn.Complete." localSheetId="6" hidden="1">{#N/A,#N/A,TRUE,"DCF Summary";#N/A,#N/A,TRUE,"Casema";#N/A,#N/A,TRUE,"UK";#N/A,#N/A,TRUE,"RCF";#N/A,#N/A,TRUE,"Intercable CZ";#N/A,#N/A,TRUE,"Interkabel P";#N/A,#N/A,TRUE,"LBO-Total";#N/A,#N/A,TRUE,"LBO-Casema"}</definedName>
    <definedName name="wrn.Complete." hidden="1">{#N/A,#N/A,TRUE,"DCF Summary";#N/A,#N/A,TRUE,"Casema";#N/A,#N/A,TRUE,"UK";#N/A,#N/A,TRUE,"RCF";#N/A,#N/A,TRUE,"Intercable CZ";#N/A,#N/A,TRUE,"Interkabel P";#N/A,#N/A,TRUE,"LBO-Total";#N/A,#N/A,TRUE,"LBO-Casema"}</definedName>
    <definedName name="wrn.Complete._.Repor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o." localSheetId="0" hidden="1">{"Completo",#N/A,FALSE,"ONNET2B"}</definedName>
    <definedName name="wrn.Completo." localSheetId="6" hidden="1">{"Completo",#N/A,FALSE,"ONNET2B"}</definedName>
    <definedName name="wrn.Completo." hidden="1">{"Completo",#N/A,FALSE,"ONNET2B"}</definedName>
    <definedName name="wrn.comps." localSheetId="0" hidden="1">{"comps",#N/A,FALSE,"comps";"notes",#N/A,FALSE,"comps"}</definedName>
    <definedName name="wrn.comps." localSheetId="6" hidden="1">{"comps",#N/A,FALSE,"comps";"notes",#N/A,FALSE,"comps"}</definedName>
    <definedName name="wrn.comps." hidden="1">{"comps",#N/A,FALSE,"comps";"notes",#N/A,FALSE,"comps"}</definedName>
    <definedName name="wrn.Comps1_Printing." localSheetId="0" hidden="1">{"comps1_1",#N/A,FALSE,"Comps1";"comps1_2",#N/A,FALSE,"Comps1";"comps1_3",#N/A,FALSE,"Comps1";"comps1_4",#N/A,FALSE,"Comps1";"comps1_5",#N/A,FALSE,"Comps1"}</definedName>
    <definedName name="wrn.Comps1_Printing." localSheetId="6" hidden="1">{"comps1_1",#N/A,FALSE,"Comps1";"comps1_2",#N/A,FALSE,"Comps1";"comps1_3",#N/A,FALSE,"Comps1";"comps1_4",#N/A,FALSE,"Comps1";"comps1_5",#N/A,FALSE,"Comps1"}</definedName>
    <definedName name="wrn.Comps1_Printing." hidden="1">{"comps1_1",#N/A,FALSE,"Comps1";"comps1_2",#N/A,FALSE,"Comps1";"comps1_3",#N/A,FALSE,"Comps1";"comps1_4",#N/A,FALSE,"Comps1";"comps1_5",#N/A,FALSE,"Comps1"}</definedName>
    <definedName name="wrn.Comps2_Printing." localSheetId="0" hidden="1">{"comps2_1",#N/A,FALSE,"Comps2";"comps2_2",#N/A,FALSE,"Comps2";"comps2_3",#N/A,FALSE,"Comps2";"comps2_4",#N/A,FALSE,"Comps2";"comps2_5",#N/A,FALSE,"Comps2"}</definedName>
    <definedName name="wrn.Comps2_Printing." localSheetId="6" hidden="1">{"comps2_1",#N/A,FALSE,"Comps2";"comps2_2",#N/A,FALSE,"Comps2";"comps2_3",#N/A,FALSE,"Comps2";"comps2_4",#N/A,FALSE,"Comps2";"comps2_5",#N/A,FALSE,"Comps2"}</definedName>
    <definedName name="wrn.Comps2_Printing." hidden="1">{"comps2_1",#N/A,FALSE,"Comps2";"comps2_2",#N/A,FALSE,"Comps2";"comps2_3",#N/A,FALSE,"Comps2";"comps2_4",#N/A,FALSE,"Comps2";"comps2_5",#N/A,FALSE,"Comps2"}</definedName>
    <definedName name="wrn.condensate." localSheetId="0" hidden="1">{"condensate",#N/A,FALSE,"CNTRYTYPE"}</definedName>
    <definedName name="wrn.condensate." localSheetId="6" hidden="1">{"condensate",#N/A,FALSE,"CNTRYTYPE"}</definedName>
    <definedName name="wrn.condensate." hidden="1">{"condensate",#N/A,FALSE,"CNTRYTYPE"}</definedName>
    <definedName name="wrn.consol." localSheetId="0" hidden="1">{"cons",#N/A,TRUE,"MAY95"}</definedName>
    <definedName name="wrn.consol." localSheetId="6" hidden="1">{"cons",#N/A,TRUE,"MAY95"}</definedName>
    <definedName name="wrn.consol." hidden="1">{"cons",#N/A,TRUE,"MAY95"}</definedName>
    <definedName name="wrn.Consol._.adjusts." localSheetId="0" hidden="1">{"adjPL1",#N/A,FALSE,"adj";"adjPL2",#N/A,FALSE,"adj";"adjPL2a",#N/A,FALSE,"adj";"adjPL2b",#N/A,FALSE,"adj";"adjPL3",#N/A,FALSE,"adj";"adjPL4",#N/A,FALSE,"adj";"adjPL5",#N/A,FALSE,"adj";"adjBS2",#N/A,FALSE,"adj";"adjBS3",#N/A,FALSE,"adj";"adjCF1",#N/A,FALSE,"adj";"adjCF4",#N/A,FALSE,"adj"}</definedName>
    <definedName name="wrn.Consol._.adjusts." localSheetId="6" hidden="1">{"adjPL1",#N/A,FALSE,"adj";"adjPL2",#N/A,FALSE,"adj";"adjPL2a",#N/A,FALSE,"adj";"adjPL2b",#N/A,FALSE,"adj";"adjPL3",#N/A,FALSE,"adj";"adjPL4",#N/A,FALSE,"adj";"adjPL5",#N/A,FALSE,"adj";"adjBS2",#N/A,FALSE,"adj";"adjBS3",#N/A,FALSE,"adj";"adjCF1",#N/A,FALSE,"adj";"adjCF4",#N/A,FALSE,"adj"}</definedName>
    <definedName name="wrn.Consol._.adjusts." hidden="1">{"adjPL1",#N/A,FALSE,"adj";"adjPL2",#N/A,FALSE,"adj";"adjPL2a",#N/A,FALSE,"adj";"adjPL2b",#N/A,FALSE,"adj";"adjPL3",#N/A,FALSE,"adj";"adjPL4",#N/A,FALSE,"adj";"adjPL5",#N/A,FALSE,"adj";"adjBS2",#N/A,FALSE,"adj";"adjBS3",#N/A,FALSE,"adj";"adjCF1",#N/A,FALSE,"adj";"adjCF4",#N/A,FALSE,"adj"}</definedName>
    <definedName name="wrn.Consol._.Sum._.Div." localSheetId="6" hidden="1">{#N/A,#N/A,FALSE,"UK CONSOL GB£";#N/A,#N/A,FALSE,"Summary UK";#N/A,#N/A,FALSE,"SSG Div";#N/A,#N/A,FALSE,"Nine West Div";#N/A,#N/A,FALSE,"PaT Div"}</definedName>
    <definedName name="wrn.Consol._.Sum._.Div." hidden="1">{#N/A,#N/A,FALSE,"UK CONSOL GB£";#N/A,#N/A,FALSE,"Summary UK";#N/A,#N/A,FALSE,"SSG Div";#N/A,#N/A,FALSE,"Nine West Div";#N/A,#N/A,FALSE,"PaT Div"}</definedName>
    <definedName name="wrn.Consolidated._.Schedules." localSheetId="0"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chedules." localSheetId="6"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chedules." hidden="1">{"Title",#N/A,FALSE,"Title";"PL.1",#N/A,FALSE,"con";"PL.2a",#N/A,FALSE,"con";"PL.2",#N/A,FALSE,"con";"PL.2b",#N/A,FALSE,"con";"PL.2c",#N/A,FALSE,"con";"PL.2d",#N/A,FALSE,"con";"PL.3",#N/A,FALSE,"con";"PL.4",#N/A,FALSE,"con";"PL.5",#N/A,FALSE,"con";"PL.1.mth",#N/A,FALSE,"con";"PL.2a.mth",#N/A,FALSE,"con";"PL.2.mth",#N/A,FALSE,"con";"PL.2b.mth",#N/A,FALSE,"con";"PL.2c.mth",#N/A,FALSE,"con";"PL.2d.mth",#N/A,FALSE,"con";"PL.3.mth",#N/A,FALSE,"con";"PL.4.mth",#N/A,FALSE,"con";"PL.5.mth",#N/A,FALSE,"con";"PL.1.cum",#N/A,FALSE,"con";"PL.2a.cum",#N/A,FALSE,"con";"PL.2.cum",#N/A,FALSE,"con";"PL.2b.cum",#N/A,FALSE,"con";"PL.2c.cum",#N/A,FALSE,"con";"PL.2d.cum",#N/A,FALSE,"con";"PL.3.cum",#N/A,FALSE,"con";"PL.4.cum",#N/A,FALSE,"con";"PL.5.cum",#N/A,FALSE,"con";"BS.1",#N/A,FALSE,"con";"BS.2",#N/A,FALSE,"con";"BS.3",#N/A,FALSE,"con";"CF.1",#N/A,FALSE,"con";"CF.2",#N/A,FALSE,"con"}</definedName>
    <definedName name="wrn.Consolidated._.Statements." localSheetId="6" hidden="1">{"view1",#N/A,FALSE,"EARN (US$)";"view1",#N/A,FALSE,"DASTBS (US$)";"view1",#N/A,FALSE,"DASTCF (US$)"}</definedName>
    <definedName name="wrn.Consolidated._.Statements." hidden="1">{"view1",#N/A,FALSE,"EARN (US$)";"view1",#N/A,FALSE,"DASTBS (US$)";"view1",#N/A,FALSE,"DASTCF (US$)"}</definedName>
    <definedName name="wrn.CONSOLIDATION." localSheetId="0" hidden="1">{"PAGE1",#N/A,FALSE,"Consolidation";"PAGE2",#N/A,FALSE,"Consolidation";"PAGE3",#N/A,FALSE,"Consolidation";"PAGE4",#N/A,FALSE,"Consolidation";"PAGE5",#N/A,FALSE,"Consolidation";"PAGE6",#N/A,FALSE,"Consolidation";"PAGE7",#N/A,FALSE,"Consolidation"}</definedName>
    <definedName name="wrn.CONSOLIDATION." localSheetId="6" hidden="1">{"PAGE1",#N/A,FALSE,"Consolidation";"PAGE2",#N/A,FALSE,"Consolidation";"PAGE3",#N/A,FALSE,"Consolidation";"PAGE4",#N/A,FALSE,"Consolidation";"PAGE5",#N/A,FALSE,"Consolidation";"PAGE6",#N/A,FALSE,"Consolidation";"PAGE7",#N/A,FALSE,"Consolidation"}</definedName>
    <definedName name="wrn.CONSOLIDATION." hidden="1">{"PAGE1",#N/A,FALSE,"Consolidation";"PAGE2",#N/A,FALSE,"Consolidation";"PAGE3",#N/A,FALSE,"Consolidation";"PAGE4",#N/A,FALSE,"Consolidation";"PAGE5",#N/A,FALSE,"Consolidation";"PAGE6",#N/A,FALSE,"Consolidation";"PAGE7",#N/A,FALSE,"Consolidation"}</definedName>
    <definedName name="wrn.Consolidation._.Adjustments." localSheetId="0"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olidation._.Adjustments." localSheetId="6"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olidation._.Adjustments." hidden="1">{"xPL.1",#N/A,FALSE,"adj";"xPL.2a",#N/A,FALSE,"adj";"xPL.2",#N/A,FALSE,"adj";"xPL.3",#N/A,FALSE,"adj";"xPL.4",#N/A,FALSE,"adj";"xPL.1.mth",#N/A,FALSE,"adj";"xPL.5",#N/A,FALSE,"adj";"xBS.1",#N/A,FALSE,"adj";"xBS.2",#N/A,FALSE,"adj";"xBS.3",#N/A,FALSE,"adj";"xCF.1",#N/A,FALSE,"adj";"xCF.2",#N/A,FALSE,"adj";"xPL.2a.mth",#N/A,FALSE,"adj";"xPL.2.mth",#N/A,FALSE,"adj";"xPL.2b.mth",#N/A,FALSE,"adj";"xPL.3.mth",#N/A,FALSE,"adj";"xPL.4.mth",#N/A,FALSE,"adj";"xPL.2.cum",#N/A,FALSE,"adj";"xPL.5.mth",#N/A,FALSE,"adj";"xPL.1.cum",#N/A,FALSE,"adj";"xPL.2.cum",#N/A,FALSE,"adj";"xPL.2a.cum",#N/A,FALSE,"adj";"xPL.2b.cum",#N/A,FALSE,"adj";"xPL.3.cum",#N/A,FALSE,"adj";"xPL.4.cum",#N/A,FALSE,"adj";"xPL.5.cum",#N/A,FALSE,"adj"}</definedName>
    <definedName name="wrn.Construction._.Period._.Summary." localSheetId="6" hidden="1">{#N/A,#N/A,FALSE,"Construction Period (Annual)"}</definedName>
    <definedName name="wrn.Construction._.Period._.Summary." hidden="1">{#N/A,#N/A,FALSE,"Construction Period (Annual)"}</definedName>
    <definedName name="wrn.Construction_Monthly." localSheetId="6" hidden="1">{#N/A,#N/A,FALSE,"CAPEX&amp;Loans"}</definedName>
    <definedName name="wrn.Construction_Monthly." hidden="1">{#N/A,#N/A,FALSE,"CAPEX&amp;Loans"}</definedName>
    <definedName name="wrn.Consumer._.Medicines." localSheetId="0" hidden="1">{#N/A,#N/A,FALSE,"OTC";#N/A,#N/A,FALSE,"Ther";#N/A,#N/A,FALSE,"Temp";#N/A,#N/A,FALSE,"Exce";#N/A,#N/A,FALSE,"Buff";#N/A,#N/A,FALSE,"Picot";#N/A,#N/A,FALSE,"Luftal";#N/A,#N/A,FALSE,"Comt"}</definedName>
    <definedName name="wrn.Consumer._.Medicines." localSheetId="6" hidden="1">{#N/A,#N/A,FALSE,"OTC";#N/A,#N/A,FALSE,"Ther";#N/A,#N/A,FALSE,"Temp";#N/A,#N/A,FALSE,"Exce";#N/A,#N/A,FALSE,"Buff";#N/A,#N/A,FALSE,"Picot";#N/A,#N/A,FALSE,"Luftal";#N/A,#N/A,FALSE,"Comt"}</definedName>
    <definedName name="wrn.Consumer._.Medicines." hidden="1">{#N/A,#N/A,FALSE,"OTC";#N/A,#N/A,FALSE,"Ther";#N/A,#N/A,FALSE,"Temp";#N/A,#N/A,FALSE,"Exce";#N/A,#N/A,FALSE,"Buff";#N/A,#N/A,FALSE,"Picot";#N/A,#N/A,FALSE,"Luftal";#N/A,#N/A,FALSE,"Comt"}</definedName>
    <definedName name="wrn.Consumer._.Medicines._1" localSheetId="0" hidden="1">{#N/A,#N/A,FALSE,"OTC";#N/A,#N/A,FALSE,"Ther";#N/A,#N/A,FALSE,"Temp";#N/A,#N/A,FALSE,"Exce";#N/A,#N/A,FALSE,"Buff";#N/A,#N/A,FALSE,"Picot";#N/A,#N/A,FALSE,"Luftal";#N/A,#N/A,FALSE,"Comt"}</definedName>
    <definedName name="wrn.Consumer._.Medicines._1" localSheetId="6" hidden="1">{#N/A,#N/A,FALSE,"OTC";#N/A,#N/A,FALSE,"Ther";#N/A,#N/A,FALSE,"Temp";#N/A,#N/A,FALSE,"Exce";#N/A,#N/A,FALSE,"Buff";#N/A,#N/A,FALSE,"Picot";#N/A,#N/A,FALSE,"Luftal";#N/A,#N/A,FALSE,"Comt"}</definedName>
    <definedName name="wrn.Consumer._.Medicines._1" hidden="1">{#N/A,#N/A,FALSE,"OTC";#N/A,#N/A,FALSE,"Ther";#N/A,#N/A,FALSE,"Temp";#N/A,#N/A,FALSE,"Exce";#N/A,#N/A,FALSE,"Buff";#N/A,#N/A,FALSE,"Picot";#N/A,#N/A,FALSE,"Luftal";#N/A,#N/A,FALSE,"Comt"}</definedName>
    <definedName name="wrn.Consumer._.Medicines._1_1" localSheetId="0" hidden="1">{#N/A,#N/A,FALSE,"OTC";#N/A,#N/A,FALSE,"Ther";#N/A,#N/A,FALSE,"Temp";#N/A,#N/A,FALSE,"Exce";#N/A,#N/A,FALSE,"Buff";#N/A,#N/A,FALSE,"Picot";#N/A,#N/A,FALSE,"Luftal";#N/A,#N/A,FALSE,"Comt"}</definedName>
    <definedName name="wrn.Consumer._.Medicines._1_1" localSheetId="6" hidden="1">{#N/A,#N/A,FALSE,"OTC";#N/A,#N/A,FALSE,"Ther";#N/A,#N/A,FALSE,"Temp";#N/A,#N/A,FALSE,"Exce";#N/A,#N/A,FALSE,"Buff";#N/A,#N/A,FALSE,"Picot";#N/A,#N/A,FALSE,"Luftal";#N/A,#N/A,FALSE,"Comt"}</definedName>
    <definedName name="wrn.Consumer._.Medicines._1_1" hidden="1">{#N/A,#N/A,FALSE,"OTC";#N/A,#N/A,FALSE,"Ther";#N/A,#N/A,FALSE,"Temp";#N/A,#N/A,FALSE,"Exce";#N/A,#N/A,FALSE,"Buff";#N/A,#N/A,FALSE,"Picot";#N/A,#N/A,FALSE,"Luftal";#N/A,#N/A,FALSE,"Comt"}</definedName>
    <definedName name="wrn.Consumer._.Medicines._2" localSheetId="0" hidden="1">{#N/A,#N/A,FALSE,"OTC";#N/A,#N/A,FALSE,"Ther";#N/A,#N/A,FALSE,"Temp";#N/A,#N/A,FALSE,"Exce";#N/A,#N/A,FALSE,"Buff";#N/A,#N/A,FALSE,"Picot";#N/A,#N/A,FALSE,"Luftal";#N/A,#N/A,FALSE,"Comt"}</definedName>
    <definedName name="wrn.Consumer._.Medicines._2" localSheetId="6" hidden="1">{#N/A,#N/A,FALSE,"OTC";#N/A,#N/A,FALSE,"Ther";#N/A,#N/A,FALSE,"Temp";#N/A,#N/A,FALSE,"Exce";#N/A,#N/A,FALSE,"Buff";#N/A,#N/A,FALSE,"Picot";#N/A,#N/A,FALSE,"Luftal";#N/A,#N/A,FALSE,"Comt"}</definedName>
    <definedName name="wrn.Consumer._.Medicines._2" hidden="1">{#N/A,#N/A,FALSE,"OTC";#N/A,#N/A,FALSE,"Ther";#N/A,#N/A,FALSE,"Temp";#N/A,#N/A,FALSE,"Exce";#N/A,#N/A,FALSE,"Buff";#N/A,#N/A,FALSE,"Picot";#N/A,#N/A,FALSE,"Luftal";#N/A,#N/A,FALSE,"Comt"}</definedName>
    <definedName name="wrn.Consumer._.Medicines._3" localSheetId="0" hidden="1">{#N/A,#N/A,FALSE,"OTC";#N/A,#N/A,FALSE,"Ther";#N/A,#N/A,FALSE,"Temp";#N/A,#N/A,FALSE,"Exce";#N/A,#N/A,FALSE,"Buff";#N/A,#N/A,FALSE,"Picot";#N/A,#N/A,FALSE,"Luftal";#N/A,#N/A,FALSE,"Comt"}</definedName>
    <definedName name="wrn.Consumer._.Medicines._3" localSheetId="6" hidden="1">{#N/A,#N/A,FALSE,"OTC";#N/A,#N/A,FALSE,"Ther";#N/A,#N/A,FALSE,"Temp";#N/A,#N/A,FALSE,"Exce";#N/A,#N/A,FALSE,"Buff";#N/A,#N/A,FALSE,"Picot";#N/A,#N/A,FALSE,"Luftal";#N/A,#N/A,FALSE,"Comt"}</definedName>
    <definedName name="wrn.Consumer._.Medicines._3" hidden="1">{#N/A,#N/A,FALSE,"OTC";#N/A,#N/A,FALSE,"Ther";#N/A,#N/A,FALSE,"Temp";#N/A,#N/A,FALSE,"Exce";#N/A,#N/A,FALSE,"Buff";#N/A,#N/A,FALSE,"Picot";#N/A,#N/A,FALSE,"Luftal";#N/A,#N/A,FALSE,"Comt"}</definedName>
    <definedName name="wrn.Consumer._.Medicines._4" localSheetId="0" hidden="1">{#N/A,#N/A,FALSE,"OTC";#N/A,#N/A,FALSE,"Ther";#N/A,#N/A,FALSE,"Temp";#N/A,#N/A,FALSE,"Exce";#N/A,#N/A,FALSE,"Buff";#N/A,#N/A,FALSE,"Picot";#N/A,#N/A,FALSE,"Luftal";#N/A,#N/A,FALSE,"Comt"}</definedName>
    <definedName name="wrn.Consumer._.Medicines._4" localSheetId="6" hidden="1">{#N/A,#N/A,FALSE,"OTC";#N/A,#N/A,FALSE,"Ther";#N/A,#N/A,FALSE,"Temp";#N/A,#N/A,FALSE,"Exce";#N/A,#N/A,FALSE,"Buff";#N/A,#N/A,FALSE,"Picot";#N/A,#N/A,FALSE,"Luftal";#N/A,#N/A,FALSE,"Comt"}</definedName>
    <definedName name="wrn.Consumer._.Medicines._4" hidden="1">{#N/A,#N/A,FALSE,"OTC";#N/A,#N/A,FALSE,"Ther";#N/A,#N/A,FALSE,"Temp";#N/A,#N/A,FALSE,"Exce";#N/A,#N/A,FALSE,"Buff";#N/A,#N/A,FALSE,"Picot";#N/A,#N/A,FALSE,"Luftal";#N/A,#N/A,FALSE,"Comt"}</definedName>
    <definedName name="wrn.Consumer._.Medicines._5" localSheetId="0" hidden="1">{#N/A,#N/A,FALSE,"OTC";#N/A,#N/A,FALSE,"Ther";#N/A,#N/A,FALSE,"Temp";#N/A,#N/A,FALSE,"Exce";#N/A,#N/A,FALSE,"Buff";#N/A,#N/A,FALSE,"Picot";#N/A,#N/A,FALSE,"Luftal";#N/A,#N/A,FALSE,"Comt"}</definedName>
    <definedName name="wrn.Consumer._.Medicines._5" localSheetId="6" hidden="1">{#N/A,#N/A,FALSE,"OTC";#N/A,#N/A,FALSE,"Ther";#N/A,#N/A,FALSE,"Temp";#N/A,#N/A,FALSE,"Exce";#N/A,#N/A,FALSE,"Buff";#N/A,#N/A,FALSE,"Picot";#N/A,#N/A,FALSE,"Luftal";#N/A,#N/A,FALSE,"Comt"}</definedName>
    <definedName name="wrn.Consumer._.Medicines._5" hidden="1">{#N/A,#N/A,FALSE,"OTC";#N/A,#N/A,FALSE,"Ther";#N/A,#N/A,FALSE,"Temp";#N/A,#N/A,FALSE,"Exce";#N/A,#N/A,FALSE,"Buff";#N/A,#N/A,FALSE,"Picot";#N/A,#N/A,FALSE,"Luftal";#N/A,#N/A,FALSE,"Comt"}</definedName>
    <definedName name="wrn.Continous._.Page._.Numbers._.DCF." localSheetId="0"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inous._.Page._.Numbers._.DCF." localSheetId="6"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inous._.Page._.Numbers._.DCF." hidden="1">{#N/A,#N/A,TRUE,"Cover Page";#N/A,#N/A,TRUE,"Assumptions MPM";#N/A,#N/A,TRUE,"Summary Sheet MPM";#N/A,#N/A,TRUE,"Output MPM";#N/A,#N/A,TRUE,"Input MPM";#N/A,#N/A,TRUE,"Assets MPM";#N/A,#N/A,TRUE,"Valuation Summary MPM";#N/A,#N/A,TRUE,"KMK";#N/A,#N/A,TRUE,"Demag";#N/A,#N/A,TRUE,"Van Dorn";#N/A,#N/A,TRUE,"Billion";#N/A,#N/A,TRUE,"Berstorff";#N/A,#N/A,TRUE,"Assumptions Netstal";#N/A,#N/A,TRUE,"Summary Sheet Netstal";#N/A,#N/A,TRUE,"Output Netstal";#N/A,#N/A,TRUE,"Input Netstal";#N/A,#N/A,TRUE,"Assets Netstal";#N/A,#N/A,TRUE,"Valuation Summary Netstal";#N/A,#N/A,TRUE,"Growth Assumpt BUs";#N/A,#N/A,TRUE,"Growth Analysis";#N/A,#N/A,TRUE,"Assumptions MPM ex N";#N/A,#N/A,TRUE,"Summary Sheet MPM ex N";#N/A,#N/A,TRUE,"Output MPM ex N";#N/A,#N/A,TRUE,"Input MPM ex N";#N/A,#N/A,TRUE,"Assets MPM ex N";#N/A,#N/A,TRUE,"Valuation Summary MPM ex N"}</definedName>
    <definedName name="wrn.contribution." localSheetId="0" hidden="1">{#N/A,#N/A,FALSE,"Contribution Analysis"}</definedName>
    <definedName name="wrn.contribution." localSheetId="6" hidden="1">{#N/A,#N/A,FALSE,"Contribution Analysis"}</definedName>
    <definedName name="wrn.contribution." hidden="1">{#N/A,#N/A,FALSE,"Contribution Analysis"}</definedName>
    <definedName name="wrn.contributory._.asset._.charges." localSheetId="0" hidden="1">{"contributory1",#N/A,FALSE,"Contributory Assets Detail";"contributory2",#N/A,FALSE,"Contributory Assets Detail"}</definedName>
    <definedName name="wrn.contributory._.asset._.charges." localSheetId="6"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ooper." localSheetId="0" hidden="1">{#N/A,#N/A,TRUE,"Pro Forma";#N/A,#N/A,TRUE,"PF_Bal";#N/A,#N/A,TRUE,"PF_INC";#N/A,#N/A,TRUE,"CBE";#N/A,#N/A,TRUE,"SWK"}</definedName>
    <definedName name="wrn.cooper." localSheetId="6" hidden="1">{#N/A,#N/A,TRUE,"Pro Forma";#N/A,#N/A,TRUE,"PF_Bal";#N/A,#N/A,TRUE,"PF_INC";#N/A,#N/A,TRUE,"CBE";#N/A,#N/A,TRUE,"SWK"}</definedName>
    <definedName name="wrn.cooper." hidden="1">{#N/A,#N/A,TRUE,"Pro Forma";#N/A,#N/A,TRUE,"PF_Bal";#N/A,#N/A,TRUE,"PF_INC";#N/A,#N/A,TRUE,"CBE";#N/A,#N/A,TRUE,"SWK"}</definedName>
    <definedName name="wrn.corso_forecast." localSheetId="0" hidden="1">{"ce_storici",#N/A,FALSE}</definedName>
    <definedName name="wrn.corso_forecast." localSheetId="6" hidden="1">{"ce_storici",#N/A,FALSE}</definedName>
    <definedName name="wrn.corso_forecast." hidden="1">{"ce_storici",#N/A,FALSE}</definedName>
    <definedName name="wrn.Cosmos._.Report." hidden="1">#N/A</definedName>
    <definedName name="wrn.COST_SHEETS." localSheetId="6" hidden="1">{#N/A,#N/A,FALSE,"WBS 1.06";#N/A,#N/A,FALSE,"WBS 1.14";#N/A,#N/A,FALSE,"WBS 1.17";#N/A,#N/A,FALSE,"WBS 1.18"}</definedName>
    <definedName name="wrn.COST_SHEETS." hidden="1">{#N/A,#N/A,FALSE,"WBS 1.06";#N/A,#N/A,FALSE,"WBS 1.14";#N/A,#N/A,FALSE,"WBS 1.17";#N/A,#N/A,FALSE,"WBS 1.18"}</definedName>
    <definedName name="wrn.COST_SHEETS._1" localSheetId="6" hidden="1">{#N/A,#N/A,FALSE,"WBS 1.06";#N/A,#N/A,FALSE,"WBS 1.14";#N/A,#N/A,FALSE,"WBS 1.17";#N/A,#N/A,FALSE,"WBS 1.18"}</definedName>
    <definedName name="wrn.COST_SHEETS._1" hidden="1">{#N/A,#N/A,FALSE,"WBS 1.06";#N/A,#N/A,FALSE,"WBS 1.14";#N/A,#N/A,FALSE,"WBS 1.17";#N/A,#N/A,FALSE,"WBS 1.18"}</definedName>
    <definedName name="wrn.Covenants." localSheetId="0" hidden="1">{"Covenants",#N/A,FALSE,"Covs";"quarterly covenants",#N/A,FALSE,"Covs";"quarterly projections",#N/A,FALSE,"Covs"}</definedName>
    <definedName name="wrn.Covenants." localSheetId="6" hidden="1">{"Covenants",#N/A,FALSE,"Covs";"quarterly covenants",#N/A,FALSE,"Covs";"quarterly projections",#N/A,FALSE,"Covs"}</definedName>
    <definedName name="wrn.Covenants." hidden="1">{"Covenants",#N/A,FALSE,"Covs";"quarterly covenants",#N/A,FALSE,"Covs";"quarterly projections",#N/A,FALSE,"Covs"}</definedName>
    <definedName name="wrn.Cover." localSheetId="0" hidden="1">{"coverall",#N/A,FALSE,"Definitions";"cover1",#N/A,FALSE,"Definitions";"cover2",#N/A,FALSE,"Definitions";"cover3",#N/A,FALSE,"Definitions";"cover4",#N/A,FALSE,"Definitions";"cover5",#N/A,FALSE,"Definitions";"blank",#N/A,FALSE,"Definitions"}</definedName>
    <definedName name="wrn.Cover." localSheetId="6" hidden="1">{"coverall",#N/A,FALSE,"Definitions";"cover1",#N/A,FALSE,"Definitions";"cover2",#N/A,FALSE,"Definitions";"cover3",#N/A,FALSE,"Definitions";"cover4",#N/A,FALSE,"Definitions";"cover5",#N/A,FALSE,"Definitions";"blank",#N/A,FALSE,"Definitions"}</definedName>
    <definedName name="wrn.Cover." hidden="1">{"coverall",#N/A,FALSE,"Definitions";"cover1",#N/A,FALSE,"Definitions";"cover2",#N/A,FALSE,"Definitions";"cover3",#N/A,FALSE,"Definitions";"cover4",#N/A,FALSE,"Definitions";"cover5",#N/A,FALSE,"Definitions";"blank",#N/A,FALSE,"Definitions"}</definedName>
    <definedName name="wrn.Covers." localSheetId="6" hidden="1">{"view1",#N/A,FALSE,"MOTEARN";"view1",#N/A,FALSE,"Bal Sht";"view1",#N/A,FALSE,"Cash Flows"}</definedName>
    <definedName name="wrn.Covers." hidden="1">{"view1",#N/A,FALSE,"MOTEARN";"view1",#N/A,FALSE,"Bal Sht";"view1",#N/A,FALSE,"Cash Flows"}</definedName>
    <definedName name="wrn.cowboy." localSheetId="0" hidden="1">{"assumptions",#N/A,FALSE,"Assumption Summary";"proforma97",#N/A,FALSE,"97 pro forma";"sensitivity97",#N/A,FALSE,"97 sensitivity ";"proforma98",#N/A,FALSE,"98 pro forma";"sensitivity98",#N/A,FALSE,"98 sensitivity"}</definedName>
    <definedName name="wrn.cowboy." localSheetId="6" hidden="1">{"assumptions",#N/A,FALSE,"Assumption Summary";"proforma97",#N/A,FALSE,"97 pro forma";"sensitivity97",#N/A,FALSE,"97 sensitivity ";"proforma98",#N/A,FALSE,"98 pro forma";"sensitivity98",#N/A,FALSE,"98 sensitivity"}</definedName>
    <definedName name="wrn.cowboy."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6" hidden="1">{"assumptions",#N/A,FALSE,"Assumption Summary";"proforma97",#N/A,FALSE,"97 pro forma";"sensitivity97",#N/A,FALSE,"97 sensitivity ";"proforma98",#N/A,FALSE,"98 pro forma";"sensitivity98",#N/A,FALSE,"98 sensitivity"}</definedName>
    <definedName name="wrn.cowboy2"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6" hidden="1">{"assumptions",#N/A,FALSE,"Assumption Summary";"proforma97",#N/A,FALSE,"97 pro forma";"sensitivity97",#N/A,FALSE,"97 sensitivity ";"proforma98",#N/A,FALSE,"98 pro forma";"sensitivity98",#N/A,FALSE,"98 sensitivity"}</definedName>
    <definedName name="wrn.cowboy3"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6" hidden="1">{"assumptions",#N/A,FALSE,"Assumption Summary";"proforma97",#N/A,FALSE,"97 pro forma";"sensitivity97",#N/A,FALSE,"97 sensitivity ";"proforma98",#N/A,FALSE,"98 pro forma";"sensitivity98",#N/A,FALSE,"98 sensitivity"}</definedName>
    <definedName name="wrn.cowboy4" hidden="1">{"assumptions",#N/A,FALSE,"Assumption Summary";"proforma97",#N/A,FALSE,"97 pro forma";"sensitivity97",#N/A,FALSE,"97 sensitivity ";"proforma98",#N/A,FALSE,"98 pro forma";"sensitivity98",#N/A,FALSE,"98 sensitivity"}</definedName>
    <definedName name="wrn.CRH." localSheetId="6" hidden="1">{"FRONT (CRH) (25)",#N/A,TRUE,"CRH";"P_AND_L (CRH) (25)",#N/A,TRUE,"CRH";"CASH_AND_VAL (CRH) (25)",#N/A,TRUE,"CRH";"CASHFLOW (CRH) (25)",#N/A,TRUE,"CRH";"MODELS (CRH) (25)",#N/A,TRUE,"CRH"}</definedName>
    <definedName name="wrn.CRH." hidden="1">{"FRONT (CRH) (25)",#N/A,TRUE,"CRH";"P_AND_L (CRH) (25)",#N/A,TRUE,"CRH";"CASH_AND_VAL (CRH) (25)",#N/A,TRUE,"CRH";"CASHFLOW (CRH) (25)",#N/A,TRUE,"CRH";"MODELS (CRH) (25)",#N/A,TRUE,"CRH"}</definedName>
    <definedName name="wrn.CRT." localSheetId="0"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localSheetId="6"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rude." localSheetId="0" hidden="1">{"Padd1crd",#N/A,FALSE,"REFINERY";"padd2crd",#N/A,FALSE,"REFINERY";"padd3crd",#N/A,FALSE,"REFINERY";"padd4crd",#N/A,FALSE,"REFINERY";"padd5crd",#N/A,FALSE,"REFINERY"}</definedName>
    <definedName name="wrn.crude." localSheetId="6" hidden="1">{"Padd1crd",#N/A,FALSE,"REFINERY";"padd2crd",#N/A,FALSE,"REFINERY";"padd3crd",#N/A,FALSE,"REFINERY";"padd4crd",#N/A,FALSE,"REFINERY";"padd5crd",#N/A,FALSE,"REFINERY"}</definedName>
    <definedName name="wrn.crude." hidden="1">{"Padd1crd",#N/A,FALSE,"REFINERY";"padd2crd",#N/A,FALSE,"REFINERY";"padd3crd",#N/A,FALSE,"REFINERY";"padd4crd",#N/A,FALSE,"REFINERY";"padd5crd",#N/A,FALSE,"REFINERY"}</definedName>
    <definedName name="wrn.csc." localSheetId="0" hidden="1">{"orixcsc",#N/A,FALSE,"ORIX CSC";"orixcsc2",#N/A,FALSE,"ORIX CSC"}</definedName>
    <definedName name="wrn.csc." localSheetId="6" hidden="1">{"orixcsc",#N/A,FALSE,"ORIX CSC";"orixcsc2",#N/A,FALSE,"ORIX CSC"}</definedName>
    <definedName name="wrn.csc." hidden="1">{"orixcsc",#N/A,FALSE,"ORIX CSC";"orixcsc2",#N/A,FALSE,"ORIX CSC"}</definedName>
    <definedName name="wrn.csc2." localSheetId="0" hidden="1">{#N/A,#N/A,FALSE,"ORIX CSC"}</definedName>
    <definedName name="wrn.csc2." localSheetId="6" hidden="1">{#N/A,#N/A,FALSE,"ORIX CSC"}</definedName>
    <definedName name="wrn.csc2." hidden="1">{#N/A,#N/A,FALSE,"ORIX CSC"}</definedName>
    <definedName name="wrn.CSXWT._.Budget._.2002." localSheetId="6"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SXWT._.Budget._.2002." hidden="1">{#N/A,#N/A,FALSE,"Earning Summary";#N/A,#N/A,FALSE,"QTR SUMM";#N/A,#N/A,FALSE,"csxwt hong kong";#N/A,#N/A,FALSE,"soict";#N/A,#N/A,FALSE,"otlhk";#N/A,#N/A,FALSE,"csxwt xiamen";#N/A,#N/A,FALSE,"csxwt adelaide";#N/A,#N/A,FALSE,"csxwtg bv";#N/A,#N/A,FALSE,"csxwtg kg";#N/A,#N/A,FALSE,"haina";#N/A,#N/A,FALSE,"wcs";#N/A,#N/A,FALSE,"tmr";#N/A,#N/A,FALSE,"ATL";#N/A,#N/A,FALSE,"CSXOT";#N/A,#N/A,FALSE,"act";#N/A,#N/A,FALSE,"ATL YANTIAN";#N/A,#N/A,FALSE,"VOS";#N/A,#N/A,FALSE,"CAUCEDO";#N/A,#N/A,FALSE,"CABELLO"}</definedName>
    <definedName name="wrn.CumAndAdj." localSheetId="0"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mAndAdj." localSheetId="6"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mAndAdj." hidden="1">{"PL1",#N/A,FALSE,"cum";"PL2a",#N/A,FALSE,"cum";"PL2",#N/A,FALSE,"cum";"PL2b",#N/A,FALSE,"cum";"PL3",#N/A,FALSE,"cum";"PL4",#N/A,FALSE,"cum";"PL5",#N/A,FALSE,"cum";"cumBS2",#N/A,FALSE,"cum";"cumBS3",#N/A,FALSE,"cum";"cumCF",#N/A,FALSE,"cum";"cumFA",#N/A,FALSE,"cum";"adjPL1",#N/A,FALSE,"adj";"adjPL2a",#N/A,FALSE,"adj";"adjPL2",#N/A,FALSE,"adj";"adjPL2b",#N/A,FALSE,"adj";"adjPL3",#N/A,FALSE,"adj";"adjPL4",#N/A,FALSE,"adj";"adjPL5",#N/A,FALSE,"adj";"adjBS2",#N/A,FALSE,"adj";"adjBS3",#N/A,FALSE,"adj";"adjCF1",#N/A,FALSE,"adj";"adjCF4",#N/A,FALSE,"adj"}</definedName>
    <definedName name="wrn.CUPID." localSheetId="6" hidden="1">{"Guide",#N/A,FALSE,"Guidant";"Boston Sci",#N/A,FALSE,"Boston Scientific";"Medtro",#N/A,FALSE,"Medtronic";"St. Jude",#N/A,FALSE,"St. Jude";"Pfi",#N/A,FALSE,"Pfizer";"Bard",#N/A,FALSE,"Bard";"Johns",#N/A,FALSE,"Johnson"}</definedName>
    <definedName name="wrn.CUPID." hidden="1">{"Guide",#N/A,FALSE,"Guidant";"Boston Sci",#N/A,FALSE,"Boston Scientific";"Medtro",#N/A,FALSE,"Medtronic";"St. Jude",#N/A,FALSE,"St. Jude";"Pfi",#N/A,FALSE,"Pfizer";"Bard",#N/A,FALSE,"Bard";"Johns",#N/A,FALSE,"Johnson"}</definedName>
    <definedName name="wrn.d"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wrn.DAILY." localSheetId="6" hidden="1">{"DET6GG1TRIM",#N/A,FALSE,"Stampa";"DET6GG2TRIM",#N/A,FALSE,"Stampa";"DET6GG3TRIM",#N/A,FALSE,"Stampa";"DET6GG4TRIM",#N/A,FALSE,"Stampa";"DETLUN1TRIM",#N/A,FALSE,"Stampa";"DETLUN2TRIM",#N/A,FALSE,"Stampa";"DETLUN3TRIM",#N/A,FALSE,"Stampa";"DETLUN4TRIM",#N/A,FALSE,"Stampa";"DET3DS1TRIM",#N/A,FALSE,"Stampa";"DET3DS2TRIM",#N/A,FALSE,"Stampa";"DET3DS3TRIM",#N/A,FALSE,"Stampa";"DET3DS4TRIM",#N/A,FALSE,"Stampa";"DETCLG1TRIM",#N/A,FALSE,"Stampa";"DETCLG2TRIM",#N/A,FALSE,"Stampa";"DETCLG3TRIM",#N/A,FALSE,"Stampa";"DETCLG4TRIM",#N/A,FALSE,"Stampa";"DETSYS1TRIM",#N/A,FALSE,"Stampa";"DETSYS2TRIM",#N/A,FALSE,"Stampa";"DETSYS3TRIM",#N/A,FALSE,"Stampa";"DETSYS4TRIM",#N/A,FALSE,"Stampa";"DETTOT1TRIM",#N/A,FALSE,"Stampa";"DETTOT2TRIM",#N/A,FALSE,"Stampa";"DETTOT3TRIM",#N/A,FALSE,"Stampa";"DETTOT4TRIM",#N/A,FALSE,"Stampa"}</definedName>
    <definedName name="wrn.DAILY." hidden="1">{"DET6GG1TRIM",#N/A,FALSE,"Stampa";"DET6GG2TRIM",#N/A,FALSE,"Stampa";"DET6GG3TRIM",#N/A,FALSE,"Stampa";"DET6GG4TRIM",#N/A,FALSE,"Stampa";"DETLUN1TRIM",#N/A,FALSE,"Stampa";"DETLUN2TRIM",#N/A,FALSE,"Stampa";"DETLUN3TRIM",#N/A,FALSE,"Stampa";"DETLUN4TRIM",#N/A,FALSE,"Stampa";"DET3DS1TRIM",#N/A,FALSE,"Stampa";"DET3DS2TRIM",#N/A,FALSE,"Stampa";"DET3DS3TRIM",#N/A,FALSE,"Stampa";"DET3DS4TRIM",#N/A,FALSE,"Stampa";"DETCLG1TRIM",#N/A,FALSE,"Stampa";"DETCLG2TRIM",#N/A,FALSE,"Stampa";"DETCLG3TRIM",#N/A,FALSE,"Stampa";"DETCLG4TRIM",#N/A,FALSE,"Stampa";"DETSYS1TRIM",#N/A,FALSE,"Stampa";"DETSYS2TRIM",#N/A,FALSE,"Stampa";"DETSYS3TRIM",#N/A,FALSE,"Stampa";"DETSYS4TRIM",#N/A,FALSE,"Stampa";"DETTOT1TRIM",#N/A,FALSE,"Stampa";"DETTOT2TRIM",#N/A,FALSE,"Stampa";"DETTOT3TRIM",#N/A,FALSE,"Stampa";"DETTOT4TRIM",#N/A,FALSE,"Stampa"}</definedName>
    <definedName name="wrn.Daily._.Cash._.Movement." localSheetId="0" hidden="1">{#N/A,#N/A,FALSE,"Sheet1"}</definedName>
    <definedName name="wrn.Daily._.Cash._.Movement." localSheetId="6" hidden="1">{#N/A,#N/A,FALSE,"Sheet1"}</definedName>
    <definedName name="wrn.Daily._.Cash._.Movement." hidden="1">{#N/A,#N/A,FALSE,"Sheet1"}</definedName>
    <definedName name="wrn.Danilo." localSheetId="0" hidden="1">{#N/A,#N/A,TRUE,"Main Issues";#N/A,#N/A,TRUE,"Income statement ($)"}</definedName>
    <definedName name="wrn.Danilo." localSheetId="6" hidden="1">{#N/A,#N/A,TRUE,"Main Issues";#N/A,#N/A,TRUE,"Income statement ($)"}</definedName>
    <definedName name="wrn.Danilo." hidden="1">{#N/A,#N/A,TRUE,"Main Issues";#N/A,#N/A,TRUE,"Income statement ($)"}</definedName>
    <definedName name="wrn.Darwin." localSheetId="0" hidden="1">{#N/A,#N/A,FALSE,"Title";#N/A,#N/A,FALSE,"Assumptions";#N/A,#N/A,FALSE,"Bidder";#N/A,#N/A,FALSE,"Target";#N/A,#N/A,FALSE,"Curr";#N/A,#N/A,FALSE,"Prosp";#N/A,#N/A,FALSE,"Prosp+1";#N/A,#N/A,FALSE,"Summary";#N/A,#N/A,FALSE,"Debtsched";#N/A,#N/A,FALSE,"Sensitivities"}</definedName>
    <definedName name="wrn.Darwin." localSheetId="6" hidden="1">{#N/A,#N/A,FALSE,"Title";#N/A,#N/A,FALSE,"Assumptions";#N/A,#N/A,FALSE,"Bidder";#N/A,#N/A,FALSE,"Target";#N/A,#N/A,FALSE,"Curr";#N/A,#N/A,FALSE,"Prosp";#N/A,#N/A,FALSE,"Prosp+1";#N/A,#N/A,FALSE,"Summary";#N/A,#N/A,FALSE,"Debtsched";#N/A,#N/A,FALSE,"Sensitivities"}</definedName>
    <definedName name="wrn.Darwin." hidden="1">{#N/A,#N/A,FALSE,"Title";#N/A,#N/A,FALSE,"Assumptions";#N/A,#N/A,FALSE,"Bidder";#N/A,#N/A,FALSE,"Target";#N/A,#N/A,FALSE,"Curr";#N/A,#N/A,FALSE,"Prosp";#N/A,#N/A,FALSE,"Prosp+1";#N/A,#N/A,FALSE,"Summary";#N/A,#N/A,FALSE,"Debtsched";#N/A,#N/A,FALSE,"Sensitivities"}</definedName>
    <definedName name="wrn.database." localSheetId="0" hidden="1">{"subs",#N/A,FALSE,"database ";"proportional",#N/A,FALSE,"database "}</definedName>
    <definedName name="wrn.database." localSheetId="6" hidden="1">{"subs",#N/A,FALSE,"database ";"proportional",#N/A,FALSE,"database "}</definedName>
    <definedName name="wrn.database." hidden="1">{"subs",#N/A,FALSE,"database ";"proportional",#N/A,FALSE,"database "}</definedName>
    <definedName name="wrn.David." localSheetId="6" hidden="1">{#N/A,#N/A,FALSE,"UK Consol Short";#N/A,#N/A,FALSE,"Summary UK - Short"}</definedName>
    <definedName name="wrn.David." hidden="1">{#N/A,#N/A,FALSE,"UK Consol Short";#N/A,#N/A,FALSE,"Summary UK - Short"}</definedName>
    <definedName name="wrn.DCF." localSheetId="0" hidden="1">{"DCF",#N/A,FALSE,"CF"}</definedName>
    <definedName name="wrn.DCF." localSheetId="6" hidden="1">{"DCF",#N/A,FALSE,"CF"}</definedName>
    <definedName name="wrn.DCF." hidden="1">{"DCF",#N/A,FALSE,"CF"}</definedName>
    <definedName name="wrn.DCF._.I." localSheetId="0" hidden="1">{#N/A,#N/A,FALSE,"Cover";#N/A,#N/A,FALSE,"Pres ";#N/A,#N/A,FALSE,"Outputs";#N/A,#N/A,FALSE,"Sensitivities";#N/A,#N/A,FALSE,"Graphs";#N/A,#N/A,FALSE,"DCF I (In)"}</definedName>
    <definedName name="wrn.DCF._.I." localSheetId="6" hidden="1">{#N/A,#N/A,FALSE,"Cover";#N/A,#N/A,FALSE,"Pres ";#N/A,#N/A,FALSE,"Outputs";#N/A,#N/A,FALSE,"Sensitivities";#N/A,#N/A,FALSE,"Graphs";#N/A,#N/A,FALSE,"DCF I (In)"}</definedName>
    <definedName name="wrn.DCF._.I." hidden="1">{#N/A,#N/A,FALSE,"Cover";#N/A,#N/A,FALSE,"Pres ";#N/A,#N/A,FALSE,"Outputs";#N/A,#N/A,FALSE,"Sensitivities";#N/A,#N/A,FALSE,"Graphs";#N/A,#N/A,FALSE,"DCF I (In)"}</definedName>
    <definedName name="wrn.DCF._.II._.Report." localSheetId="6" hidden="1">{#N/A,#N/A,FALSE,"Cover";#N/A,#N/A,FALSE,"Pres";#N/A,#N/A,FALSE,"Output";#N/A,#N/A,FALSE,"DCF";#N/A,#N/A,FALSE,"Control (In)";#N/A,#N/A,FALSE,"Broker (In)";#N/A,#N/A,FALSE,"In-House (In)";#N/A,#N/A,FALSE,"Ass";#N/A,#N/A,FALSE,"WACC";#N/A,#N/A,FALSE,"Check (In)"}</definedName>
    <definedName name="wrn.DCF._.II._.Report." hidden="1">{#N/A,#N/A,FALSE,"Cover";#N/A,#N/A,FALSE,"Pres";#N/A,#N/A,FALSE,"Output";#N/A,#N/A,FALSE,"DCF";#N/A,#N/A,FALSE,"Control (In)";#N/A,#N/A,FALSE,"Broker (In)";#N/A,#N/A,FALSE,"In-House (In)";#N/A,#N/A,FALSE,"Ass";#N/A,#N/A,FALSE,"WACC";#N/A,#N/A,FALSE,"Check (In)"}</definedName>
    <definedName name="wrn.DCF._.III._.Report." localSheetId="0" hidden="1">{#N/A,#N/A,FALSE,"Cover";#N/A,#N/A,FALSE,"Pres ";#N/A,#N/A,FALSE,"Outputs";#N/A,#N/A,FALSE,"DCF ";#N/A,#N/A,FALSE,"CFS";#N/A,#N/A,FALSE,"BS";#N/A,#N/A,FALSE,"PL";#N/A,#N/A,FALSE,"Control (In)";#N/A,#N/A,FALSE,"Broker (In)";#N/A,#N/A,FALSE,"In-House (In)";#N/A,#N/A,FALSE,"WACC";#N/A,#N/A,FALSE,"Ass";#N/A,#N/A,FALSE,"Check"}</definedName>
    <definedName name="wrn.DCF._.III._.Report." localSheetId="6" hidden="1">{#N/A,#N/A,FALSE,"Cover";#N/A,#N/A,FALSE,"Pres ";#N/A,#N/A,FALSE,"Outputs";#N/A,#N/A,FALSE,"DCF ";#N/A,#N/A,FALSE,"CFS";#N/A,#N/A,FALSE,"BS";#N/A,#N/A,FALSE,"PL";#N/A,#N/A,FALSE,"Control (In)";#N/A,#N/A,FALSE,"Broker (In)";#N/A,#N/A,FALSE,"In-House (In)";#N/A,#N/A,FALSE,"WACC";#N/A,#N/A,FALSE,"Ass";#N/A,#N/A,FALSE,"Check"}</definedName>
    <definedName name="wrn.DCF._.III._.Report." hidden="1">{#N/A,#N/A,FALSE,"Cover";#N/A,#N/A,FALSE,"Pres ";#N/A,#N/A,FALSE,"Outputs";#N/A,#N/A,FALSE,"DCF ";#N/A,#N/A,FALSE,"CFS";#N/A,#N/A,FALSE,"BS";#N/A,#N/A,FALSE,"PL";#N/A,#N/A,FALSE,"Control (In)";#N/A,#N/A,FALSE,"Broker (In)";#N/A,#N/A,FALSE,"In-House (In)";#N/A,#N/A,FALSE,"WACC";#N/A,#N/A,FALSE,"Ass";#N/A,#N/A,FALSE,"Check"}</definedName>
    <definedName name="wrn.DCF._.Only." localSheetId="0" hidden="1">{#N/A,#N/A,FALSE,"DCF Summary";#N/A,#N/A,FALSE,"Casema";#N/A,#N/A,FALSE,"Casema NoTel";#N/A,#N/A,FALSE,"UK";#N/A,#N/A,FALSE,"RCF";#N/A,#N/A,FALSE,"Intercable CZ";#N/A,#N/A,FALSE,"Interkabel P"}</definedName>
    <definedName name="wrn.DCF._.Only." localSheetId="6" hidden="1">{#N/A,#N/A,FALSE,"DCF Summary";#N/A,#N/A,FALSE,"Casema";#N/A,#N/A,FALSE,"Casema NoTel";#N/A,#N/A,FALSE,"UK";#N/A,#N/A,FALSE,"RCF";#N/A,#N/A,FALSE,"Intercable CZ";#N/A,#N/A,FALSE,"Interkabel P"}</definedName>
    <definedName name="wrn.DCF._.Only." hidden="1">{#N/A,#N/A,FALSE,"DCF Summary";#N/A,#N/A,FALSE,"Casema";#N/A,#N/A,FALSE,"Casema NoTel";#N/A,#N/A,FALSE,"UK";#N/A,#N/A,FALSE,"RCF";#N/A,#N/A,FALSE,"Intercable CZ";#N/A,#N/A,FALSE,"Interkabel P"}</definedName>
    <definedName name="wrn.DCF_Terminal_Value_qchm." localSheetId="0" hidden="1">{"qchm_dcf",#N/A,FALSE,"QCHMDCF2";"qchm_terminal",#N/A,FALSE,"QCHMDCF2"}</definedName>
    <definedName name="wrn.DCF_Terminal_Value_qchm." localSheetId="6" hidden="1">{"qchm_dcf",#N/A,FALSE,"QCHMDCF2";"qchm_terminal",#N/A,FALSE,"QCHMDCF2"}</definedName>
    <definedName name="wrn.DCF_Terminal_Value_qchm." hidden="1">{"qchm_dcf",#N/A,FALSE,"QCHMDCF2";"qchm_terminal",#N/A,FALSE,"QCHMDCF2"}</definedName>
    <definedName name="wrn.dcf2" localSheetId="0" hidden="1">{"mgmt forecast",#N/A,FALSE,"Mgmt Forecast";"dcf table",#N/A,FALSE,"Mgmt Forecast";"sensitivity",#N/A,FALSE,"Mgmt Forecast";"table inputs",#N/A,FALSE,"Mgmt Forecast";"calculations",#N/A,FALSE,"Mgmt Forecast"}</definedName>
    <definedName name="wrn.dcf2" localSheetId="6" hidden="1">{"mgmt forecast",#N/A,FALSE,"Mgmt Forecast";"dcf table",#N/A,FALSE,"Mgmt Forecast";"sensitivity",#N/A,FALSE,"Mgmt Forecast";"table inputs",#N/A,FALSE,"Mgmt Forecast";"calculations",#N/A,FALSE,"Mgmt Forecast"}</definedName>
    <definedName name="wrn.dcf2" hidden="1">{"mgmt forecast",#N/A,FALSE,"Mgmt Forecast";"dcf table",#N/A,FALSE,"Mgmt Forecast";"sensitivity",#N/A,FALSE,"Mgmt Forecast";"table inputs",#N/A,FALSE,"Mgmt Forecast";"calculations",#N/A,FALSE,"Mgmt Forecast"}</definedName>
    <definedName name="wrn.dcf3" localSheetId="0" hidden="1">{"mgmt forecast",#N/A,FALSE,"Mgmt Forecast";"dcf table",#N/A,FALSE,"Mgmt Forecast";"sensitivity",#N/A,FALSE,"Mgmt Forecast";"table inputs",#N/A,FALSE,"Mgmt Forecast";"calculations",#N/A,FALSE,"Mgmt Forecast"}</definedName>
    <definedName name="wrn.dcf3" localSheetId="6" hidden="1">{"mgmt forecast",#N/A,FALSE,"Mgmt Forecast";"dcf table",#N/A,FALSE,"Mgmt Forecast";"sensitivity",#N/A,FALSE,"Mgmt Forecast";"table inputs",#N/A,FALSE,"Mgmt Forecast";"calculations",#N/A,FALSE,"Mgmt Forecast"}</definedName>
    <definedName name="wrn.dcf3" hidden="1">{"mgmt forecast",#N/A,FALSE,"Mgmt Forecast";"dcf table",#N/A,FALSE,"Mgmt Forecast";"sensitivity",#N/A,FALSE,"Mgmt Forecast";"table inputs",#N/A,FALSE,"Mgmt Forecast";"calculations",#N/A,FALSE,"Mgmt Forecast"}</definedName>
    <definedName name="wrn.dcf4" localSheetId="0" hidden="1">{"mgmt forecast",#N/A,FALSE,"Mgmt Forecast";"dcf table",#N/A,FALSE,"Mgmt Forecast";"sensitivity",#N/A,FALSE,"Mgmt Forecast";"table inputs",#N/A,FALSE,"Mgmt Forecast";"calculations",#N/A,FALSE,"Mgmt Forecast"}</definedName>
    <definedName name="wrn.dcf4" localSheetId="6" hidden="1">{"mgmt forecast",#N/A,FALSE,"Mgmt Forecast";"dcf table",#N/A,FALSE,"Mgmt Forecast";"sensitivity",#N/A,FALSE,"Mgmt Forecast";"table inputs",#N/A,FALSE,"Mgmt Forecast";"calculations",#N/A,FALSE,"Mgmt Forecast"}</definedName>
    <definedName name="wrn.dcf4" hidden="1">{"mgmt forecast",#N/A,FALSE,"Mgmt Forecast";"dcf table",#N/A,FALSE,"Mgmt Forecast";"sensitivity",#N/A,FALSE,"Mgmt Forecast";"table inputs",#N/A,FALSE,"Mgmt Forecast";"calculations",#N/A,FALSE,"Mgmt Forecast"}</definedName>
    <definedName name="wrn.dcf5" localSheetId="0" hidden="1">{"mgmt forecast",#N/A,FALSE,"Mgmt Forecast";"dcf table",#N/A,FALSE,"Mgmt Forecast";"sensitivity",#N/A,FALSE,"Mgmt Forecast";"table inputs",#N/A,FALSE,"Mgmt Forecast";"calculations",#N/A,FALSE,"Mgmt Forecast"}</definedName>
    <definedName name="wrn.dcf5" localSheetId="6" hidden="1">{"mgmt forecast",#N/A,FALSE,"Mgmt Forecast";"dcf table",#N/A,FALSE,"Mgmt Forecast";"sensitivity",#N/A,FALSE,"Mgmt Forecast";"table inputs",#N/A,FALSE,"Mgmt Forecast";"calculations",#N/A,FALSE,"Mgmt Forecast"}</definedName>
    <definedName name="wrn.dcf5" hidden="1">{"mgmt forecast",#N/A,FALSE,"Mgmt Forecast";"dcf table",#N/A,FALSE,"Mgmt Forecast";"sensitivity",#N/A,FALSE,"Mgmt Forecast";"table inputs",#N/A,FALSE,"Mgmt Forecast";"calculations",#N/A,FALSE,"Mgmt Forecast"}</definedName>
    <definedName name="wrn.DCFEpervier." localSheetId="0"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localSheetId="6"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FEpervier." hidden="1">{#N/A,#N/A,FALSE,"Inc. Statement-DCF";#N/A,#N/A,FALSE,"Assumptions";#N/A,#N/A,FALSE,"Inputs - Sales (KFF)";#N/A,#N/A,FALSE,"Inputs - Margins %";#N/A,#N/A,FALSE,"Inputs - Units";#N/A,#N/A,FALSE,"Output - Prices";#N/A,#N/A,FALSE,"Outputs - Margins (KFF)";#N/A,#N/A,FALSE,"Outputs - Costs";#N/A,#N/A,FALSE,"Outputs - Costs % ";#N/A,#N/A,FALSE,"Output - Units % Inc.";#N/A,#N/A,FALSE,"Output - Sales % Inc";#N/A,#N/A,FALSE,"Output - Prices % Inc.";#N/A,#N/A,FALSE,"WACC"}</definedName>
    <definedName name="wrn.DCR._.Output." localSheetId="6" hidden="1">{"DCR Output",#N/A,FALSE,"Output"}</definedName>
    <definedName name="wrn.DCR._.Output." hidden="1">{"DCR Output",#N/A,FALSE,"Output"}</definedName>
    <definedName name="wrn.DECIMAL." localSheetId="0" hidden="1">{"DECIMAL",#N/A,FALSE,"02"}</definedName>
    <definedName name="wrn.DECIMAL." localSheetId="6" hidden="1">{"DECIMAL",#N/A,FALSE,"02"}</definedName>
    <definedName name="wrn.DECIMAL." hidden="1">{"DECIMAL",#N/A,FALSE,"02"}</definedName>
    <definedName name="wrn.Delchamps." localSheetId="0" hidden="1">{"Operating Data",#N/A,TRUE,"Sheet1";"Valuation Matrix",#N/A,TRUE,"Sheet1";"Sales Analysis",#N/A,TRUE,"Sheet1";"Closed Remodelled New",#N/A,TRUE,"Sheet1";"Competitive and FSP",#N/A,TRUE,"Sheet1";"Working Capital and Capex",#N/A,TRUE,"Sheet1";"depreciation",#N/A,TRUE,"Sheet1"}</definedName>
    <definedName name="wrn.Delchamps." localSheetId="6" hidden="1">{"Operating Data",#N/A,TRUE,"Sheet1";"Valuation Matrix",#N/A,TRUE,"Sheet1";"Sales Analysis",#N/A,TRUE,"Sheet1";"Closed Remodelled New",#N/A,TRUE,"Sheet1";"Competitive and FSP",#N/A,TRUE,"Sheet1";"Working Capital and Capex",#N/A,TRUE,"Sheet1";"depreciation",#N/A,TRUE,"Sheet1"}</definedName>
    <definedName name="wrn.Delchamps." hidden="1">{"Operating Data",#N/A,TRUE,"Sheet1";"Valuation Matrix",#N/A,TRUE,"Sheet1";"Sales Analysis",#N/A,TRUE,"Sheet1";"Closed Remodelled New",#N/A,TRUE,"Sheet1";"Competitive and FSP",#N/A,TRUE,"Sheet1";"Working Capital and Capex",#N/A,TRUE,"Sheet1";"depreciation",#N/A,TRUE,"Sheet1"}</definedName>
    <definedName name="wrn.DELTA." localSheetId="0" hidden="1">{"table II 1",#N/A,FALSE,"DTables";"table II 2",#N/A,FALSE,"DTables";"table III 3",#N/A,FALSE,"DTables";"table III 4",#N/A,FALSE,"DTables"}</definedName>
    <definedName name="wrn.DELTA." localSheetId="6" hidden="1">{"table II 1",#N/A,FALSE,"DTables";"table II 2",#N/A,FALSE,"DTables";"table III 3",#N/A,FALSE,"DTables";"table III 4",#N/A,FALSE,"DTables"}</definedName>
    <definedName name="wrn.DELTA." hidden="1">{"table II 1",#N/A,FALSE,"DTables";"table II 2",#N/A,FALSE,"DTables";"table III 3",#N/A,FALSE,"DTables";"table III 4",#N/A,FALSE,"DTables"}</definedName>
    <definedName name="wrn.DELVTAB." localSheetId="0" hidden="1">{"TOPOFCIF",#N/A,FALSE,"FREIGHT -DEST. CALCULATIONS";"CIFROUTE",#N/A,FALSE,"FREIGHT -DEST. CALCULATIONS";"TKRCIF",#N/A,FALSE,"FREIGHT -DEST. CALCULATIONS";"TABLEI",#N/A,FALSE,"FREIGHT -DEST. CALCULATIONS";"TABLEII",#N/A,FALSE,"FREIGHT -DEST. CALCULATIONS";"TABLEIII",#N/A,FALSE,"FREIGHT -DEST. CALCULATIONS";"TABLEIV",#N/A,FALSE,"FREIGHT -DEST. CALCULATIONS";"TABLEV",#N/A,FALSE,"FREIGHT -DEST. CALCULATIONS"}</definedName>
    <definedName name="wrn.DELVTAB." localSheetId="6" hidden="1">{"TOPOFCIF",#N/A,FALSE,"FREIGHT -DEST. CALCULATIONS";"CIFROUTE",#N/A,FALSE,"FREIGHT -DEST. CALCULATIONS";"TKRCIF",#N/A,FALSE,"FREIGHT -DEST. CALCULATIONS";"TABLEI",#N/A,FALSE,"FREIGHT -DEST. CALCULATIONS";"TABLEII",#N/A,FALSE,"FREIGHT -DEST. CALCULATIONS";"TABLEIII",#N/A,FALSE,"FREIGHT -DEST. CALCULATIONS";"TABLEIV",#N/A,FALSE,"FREIGHT -DEST. CALCULATIONS";"TABLEV",#N/A,FALSE,"FREIGHT -DEST. CALCULATIONS"}</definedName>
    <definedName name="wrn.DELVTAB." hidden="1">{"TOPOFCIF",#N/A,FALSE,"FREIGHT -DEST. CALCULATIONS";"CIFROUTE",#N/A,FALSE,"FREIGHT -DEST. CALCULATIONS";"TKRCIF",#N/A,FALSE,"FREIGHT -DEST. CALCULATIONS";"TABLEI",#N/A,FALSE,"FREIGHT -DEST. CALCULATIONS";"TABLEII",#N/A,FALSE,"FREIGHT -DEST. CALCULATIONS";"TABLEIII",#N/A,FALSE,"FREIGHT -DEST. CALCULATIONS";"TABLEIV",#N/A,FALSE,"FREIGHT -DEST. CALCULATIONS";"TABLEV",#N/A,FALSE,"FREIGHT -DEST. CALCULATIONS"}</definedName>
    <definedName name="wrn.Demand._.Calcs." localSheetId="6" hidden="1">{#N/A,#N/A,FALSE,"Demand Calcs"}</definedName>
    <definedName name="wrn.Demand._.Calcs." hidden="1">{#N/A,#N/A,FALSE,"Demand Calcs"}</definedName>
    <definedName name="wrn.Demand._.Inputs." localSheetId="6" hidden="1">{#N/A,#N/A,FALSE,"Demand Inputs"}</definedName>
    <definedName name="wrn.Demand._.Inputs." hidden="1">{#N/A,#N/A,FALSE,"Demand Inputs"}</definedName>
    <definedName name="wrn.Demand._.MT." localSheetId="0" hidden="1">{"Demand by Product MT",#N/A,TRUE,"PRDEMPOR";"Demand by Sector MT",#N/A,TRUE,"PRDEMPOR"}</definedName>
    <definedName name="wrn.Demand._.MT." localSheetId="6" hidden="1">{"Demand by Product MT",#N/A,TRUE,"PRDEMPOR";"Demand by Sector MT",#N/A,TRUE,"PRDEMPOR"}</definedName>
    <definedName name="wrn.Demand._.MT." hidden="1">{"Demand by Product MT",#N/A,TRUE,"PRDEMPOR";"Demand by Sector MT",#N/A,TRUE,"PRDEMPOR"}</definedName>
    <definedName name="wrn.Demand._.MTOE." localSheetId="0" hidden="1">{"Demand by Product MTOE",#N/A,TRUE,"PRDEMPOR";"Demand by Sector MTOE",#N/A,TRUE,"PRDEMPOR"}</definedName>
    <definedName name="wrn.Demand._.MTOE." localSheetId="6" hidden="1">{"Demand by Product MTOE",#N/A,TRUE,"PRDEMPOR";"Demand by Sector MTOE",#N/A,TRUE,"PRDEMPOR"}</definedName>
    <definedName name="wrn.Demand._.MTOE." hidden="1">{"Demand by Product MTOE",#N/A,TRUE,"PRDEMPOR";"Demand by Sector MTOE",#N/A,TRUE,"PRDEMPOR"}</definedName>
    <definedName name="wrn.Demographic._.report." localSheetId="6"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mographic._.report." hidden="1">{"view1",#N/A,TRUE,"Income R";"view1",#N/A,TRUE,"Children R";"view1",#N/A,TRUE,"Census R";"view1",#N/A,TRUE,"Income R2";"view1",#N/A,TRUE,"children R2";"view1",#N/A,TRUE,"Census R2";"view1",#N/A,TRUE,"Income H";"view1",#N/A,TRUE,"Children H";"view1",#N/A,TRUE,"Census H";"view1",#N/A,TRUE,"Income H2";"view1",#N/A,TRUE,"Children H2";"view1",#N/A,TRUE,"Census H2";"view1",#N/A,TRUE,"Income PIx";"view1",#N/A,TRUE,"Children PIx";"view1",#N/A,TRUE,"Census PIx";"view1",#N/A,TRUE,"Income PIx2";"view1",#N/A,TRUE,"Children PIx2";"view1",#N/A,TRUE,"Census PIx2"}</definedName>
    <definedName name="wrn.detail." localSheetId="0" hidden="1">{#N/A,#N/A,FALSE,"TOTAL SSS";#N/A,#N/A,FALSE,"SES Y93";#N/A,#N/A,FALSE,"SES AW FEE";#N/A,#N/A,FALSE,"DSP BK14";#N/A,#N/A,FALSE,"DSP BK14 AW FEE";#N/A,#N/A,FALSE,"DSP BLK 14 FPLOE";#N/A,#N/A,FALSE,"DSP BLK 14 FPLOE";#N/A,#N/A,FALSE,"S14 DESGN";#N/A,#N/A,FALSE,"DSP BLK 18";#N/A,#N/A,FALSE,"DSP BLK 18 AW FEE";#N/A,#N/A,FALSE,"DSP BL18 FFP";#N/A,#N/A,FALSE,"DSP BLK18 CPAF";#N/A,#N/A,FALSE,"DSP BLK 23";#N/A,#N/A,FALSE,"DSP BLK 23 AW FEE";#N/A,#N/A,FALSE,"DSP 23 TERM";#N/A,#N/A,FALSE,"H2O DAMAGE";#N/A,#N/A,FALSE,"DSP ENG";#N/A,#N/A,FALSE,"SBIR";#N/A,#N/A,FALSE,"SBIR STUDY";#N/A,#N/A,FALSE,"CTPP";#N/A,#N/A,FALSE,"CTPP AW FEE";#N/A,#N/A,FALSE,"JTAGS";#N/A,#N/A,FALSE,"TSD";#N/A,#N/A,FALSE,"TSDE";#N/A,#N/A,FALSE,"SRSU";#N/A,#N/A,FALSE,"SRSU Spares";#N/A,#N/A,FALSE,"TSS";#N/A,#N/A,FALSE,"LVI";#N/A,#N/A,FALSE,"GS14";#N/A,#N/A,FALSE,"GS14 CPFF";#N/A,#N/A,FALSE,"GCO";#N/A,#N/A,FALSE,"GCO";#N/A,#N/A,FALSE,"PUP";#N/A,#N/A,FALSE,"CENTRAL FP";#N/A,#N/A,FALSE,"CENTRAL CPFF";#N/A,#N/A,FALSE,"CENTRAL TERM";#N/A,#N/A,FALSE,"WAM";#N/A,#N/A,FALSE,"SPIRIT III";#N/A,#N/A,FALSE,"LLUM";#N/A,#N/A,FALSE,"Mixed Signal";#N/A,#N/A,FALSE,"HGCDTE";#N/A,#N/A,FALSE,"CO INV";#N/A,#N/A,FALSE,"MISC"}</definedName>
    <definedName name="wrn.detail." localSheetId="6" hidden="1">{#N/A,#N/A,FALSE,"TOTAL SSS";#N/A,#N/A,FALSE,"SES Y93";#N/A,#N/A,FALSE,"SES AW FEE";#N/A,#N/A,FALSE,"DSP BK14";#N/A,#N/A,FALSE,"DSP BK14 AW FEE";#N/A,#N/A,FALSE,"DSP BLK 14 FPLOE";#N/A,#N/A,FALSE,"DSP BLK 14 FPLOE";#N/A,#N/A,FALSE,"S14 DESGN";#N/A,#N/A,FALSE,"DSP BLK 18";#N/A,#N/A,FALSE,"DSP BLK 18 AW FEE";#N/A,#N/A,FALSE,"DSP BL18 FFP";#N/A,#N/A,FALSE,"DSP BLK18 CPAF";#N/A,#N/A,FALSE,"DSP BLK 23";#N/A,#N/A,FALSE,"DSP BLK 23 AW FEE";#N/A,#N/A,FALSE,"DSP 23 TERM";#N/A,#N/A,FALSE,"H2O DAMAGE";#N/A,#N/A,FALSE,"DSP ENG";#N/A,#N/A,FALSE,"SBIR";#N/A,#N/A,FALSE,"SBIR STUDY";#N/A,#N/A,FALSE,"CTPP";#N/A,#N/A,FALSE,"CTPP AW FEE";#N/A,#N/A,FALSE,"JTAGS";#N/A,#N/A,FALSE,"TSD";#N/A,#N/A,FALSE,"TSDE";#N/A,#N/A,FALSE,"SRSU";#N/A,#N/A,FALSE,"SRSU Spares";#N/A,#N/A,FALSE,"TSS";#N/A,#N/A,FALSE,"LVI";#N/A,#N/A,FALSE,"GS14";#N/A,#N/A,FALSE,"GS14 CPFF";#N/A,#N/A,FALSE,"GCO";#N/A,#N/A,FALSE,"GCO";#N/A,#N/A,FALSE,"PUP";#N/A,#N/A,FALSE,"CENTRAL FP";#N/A,#N/A,FALSE,"CENTRAL CPFF";#N/A,#N/A,FALSE,"CENTRAL TERM";#N/A,#N/A,FALSE,"WAM";#N/A,#N/A,FALSE,"SPIRIT III";#N/A,#N/A,FALSE,"LLUM";#N/A,#N/A,FALSE,"Mixed Signal";#N/A,#N/A,FALSE,"HGCDTE";#N/A,#N/A,FALSE,"CO INV";#N/A,#N/A,FALSE,"MISC"}</definedName>
    <definedName name="wrn.detail." hidden="1">{#N/A,#N/A,FALSE,"TOTAL SSS";#N/A,#N/A,FALSE,"SES Y93";#N/A,#N/A,FALSE,"SES AW FEE";#N/A,#N/A,FALSE,"DSP BK14";#N/A,#N/A,FALSE,"DSP BK14 AW FEE";#N/A,#N/A,FALSE,"DSP BLK 14 FPLOE";#N/A,#N/A,FALSE,"DSP BLK 14 FPLOE";#N/A,#N/A,FALSE,"S14 DESGN";#N/A,#N/A,FALSE,"DSP BLK 18";#N/A,#N/A,FALSE,"DSP BLK 18 AW FEE";#N/A,#N/A,FALSE,"DSP BL18 FFP";#N/A,#N/A,FALSE,"DSP BLK18 CPAF";#N/A,#N/A,FALSE,"DSP BLK 23";#N/A,#N/A,FALSE,"DSP BLK 23 AW FEE";#N/A,#N/A,FALSE,"DSP 23 TERM";#N/A,#N/A,FALSE,"H2O DAMAGE";#N/A,#N/A,FALSE,"DSP ENG";#N/A,#N/A,FALSE,"SBIR";#N/A,#N/A,FALSE,"SBIR STUDY";#N/A,#N/A,FALSE,"CTPP";#N/A,#N/A,FALSE,"CTPP AW FEE";#N/A,#N/A,FALSE,"JTAGS";#N/A,#N/A,FALSE,"TSD";#N/A,#N/A,FALSE,"TSDE";#N/A,#N/A,FALSE,"SRSU";#N/A,#N/A,FALSE,"SRSU Spares";#N/A,#N/A,FALSE,"TSS";#N/A,#N/A,FALSE,"LVI";#N/A,#N/A,FALSE,"GS14";#N/A,#N/A,FALSE,"GS14 CPFF";#N/A,#N/A,FALSE,"GCO";#N/A,#N/A,FALSE,"GCO";#N/A,#N/A,FALSE,"PUP";#N/A,#N/A,FALSE,"CENTRAL FP";#N/A,#N/A,FALSE,"CENTRAL CPFF";#N/A,#N/A,FALSE,"CENTRAL TERM";#N/A,#N/A,FALSE,"WAM";#N/A,#N/A,FALSE,"SPIRIT III";#N/A,#N/A,FALSE,"LLUM";#N/A,#N/A,FALSE,"Mixed Signal";#N/A,#N/A,FALSE,"HGCDTE";#N/A,#N/A,FALSE,"CO INV";#N/A,#N/A,FALSE,"MISC"}</definedName>
    <definedName name="wrn.Detail._.Balance._.Sheet." localSheetId="0" hidden="1">{#N/A,#N/A,FALSE,"Detail"}</definedName>
    <definedName name="wrn.Detail._.Balance._.Sheet." localSheetId="6" hidden="1">{#N/A,#N/A,FALSE,"Detail"}</definedName>
    <definedName name="wrn.Detail._.Balance._.Sheet." hidden="1">{#N/A,#N/A,FALSE,"Detail"}</definedName>
    <definedName name="wrn.Detail._.Balance._.Sheet._1" localSheetId="0" hidden="1">{#N/A,#N/A,FALSE,"Detail"}</definedName>
    <definedName name="wrn.Detail._.Balance._.Sheet._1" localSheetId="6" hidden="1">{#N/A,#N/A,FALSE,"Detail"}</definedName>
    <definedName name="wrn.Detail._.Balance._.Sheet._1" hidden="1">{#N/A,#N/A,FALSE,"Detail"}</definedName>
    <definedName name="wrn.Detail._.Balance._.Sheet._1_1" localSheetId="0" hidden="1">{#N/A,#N/A,FALSE,"Detail"}</definedName>
    <definedName name="wrn.Detail._.Balance._.Sheet._1_1" localSheetId="6" hidden="1">{#N/A,#N/A,FALSE,"Detail"}</definedName>
    <definedName name="wrn.Detail._.Balance._.Sheet._1_1" hidden="1">{#N/A,#N/A,FALSE,"Detail"}</definedName>
    <definedName name="wrn.Detail._.Balance._.Sheet._2" localSheetId="0" hidden="1">{#N/A,#N/A,FALSE,"Detail"}</definedName>
    <definedName name="wrn.Detail._.Balance._.Sheet._2" localSheetId="6" hidden="1">{#N/A,#N/A,FALSE,"Detail"}</definedName>
    <definedName name="wrn.Detail._.Balance._.Sheet._2" hidden="1">{#N/A,#N/A,FALSE,"Detail"}</definedName>
    <definedName name="wrn.Detail._.Balance._.Sheet._3" localSheetId="0" hidden="1">{#N/A,#N/A,FALSE,"Detail"}</definedName>
    <definedName name="wrn.Detail._.Balance._.Sheet._3" localSheetId="6" hidden="1">{#N/A,#N/A,FALSE,"Detail"}</definedName>
    <definedName name="wrn.Detail._.Balance._.Sheet._3" hidden="1">{#N/A,#N/A,FALSE,"Detail"}</definedName>
    <definedName name="wrn.Detail._.Balance._.Sheet._4" localSheetId="0" hidden="1">{#N/A,#N/A,FALSE,"Detail"}</definedName>
    <definedName name="wrn.Detail._.Balance._.Sheet._4" localSheetId="6" hidden="1">{#N/A,#N/A,FALSE,"Detail"}</definedName>
    <definedName name="wrn.Detail._.Balance._.Sheet._4" hidden="1">{#N/A,#N/A,FALSE,"Detail"}</definedName>
    <definedName name="wrn.Detail._.Balance._.Sheet._5" localSheetId="0" hidden="1">{#N/A,#N/A,FALSE,"Detail"}</definedName>
    <definedName name="wrn.Detail._.Balance._.Sheet._5" localSheetId="6" hidden="1">{#N/A,#N/A,FALSE,"Detail"}</definedName>
    <definedName name="wrn.Detail._.Balance._.Sheet._5" hidden="1">{#N/A,#N/A,FALSE,"Detail"}</definedName>
    <definedName name="wrn.Detail_Projection." localSheetId="0" hidden="1">{#N/A,#N/A,FALSE,"Detail YTD"}</definedName>
    <definedName name="wrn.Detail_Projection." localSheetId="6" hidden="1">{#N/A,#N/A,FALSE,"Detail YTD"}</definedName>
    <definedName name="wrn.Detail_Projection." hidden="1">{#N/A,#N/A,FALSE,"Detail YTD"}</definedName>
    <definedName name="wrn.Detail_Projection._1" localSheetId="0" hidden="1">{#N/A,#N/A,FALSE,"Detail YTD"}</definedName>
    <definedName name="wrn.Detail_Projection._1" localSheetId="6" hidden="1">{#N/A,#N/A,FALSE,"Detail YTD"}</definedName>
    <definedName name="wrn.Detail_Projection._1" hidden="1">{#N/A,#N/A,FALSE,"Detail YTD"}</definedName>
    <definedName name="wrn.Detail_Projection._1_1" localSheetId="0" hidden="1">{#N/A,#N/A,FALSE,"Detail YTD"}</definedName>
    <definedName name="wrn.Detail_Projection._1_1" localSheetId="6" hidden="1">{#N/A,#N/A,FALSE,"Detail YTD"}</definedName>
    <definedName name="wrn.Detail_Projection._1_1" hidden="1">{#N/A,#N/A,FALSE,"Detail YTD"}</definedName>
    <definedName name="wrn.Detail_Projection._2" localSheetId="0" hidden="1">{#N/A,#N/A,FALSE,"Detail YTD"}</definedName>
    <definedName name="wrn.Detail_Projection._2" localSheetId="6" hidden="1">{#N/A,#N/A,FALSE,"Detail YTD"}</definedName>
    <definedName name="wrn.Detail_Projection._2" hidden="1">{#N/A,#N/A,FALSE,"Detail YTD"}</definedName>
    <definedName name="wrn.Detail_Projection._3" localSheetId="0" hidden="1">{#N/A,#N/A,FALSE,"Detail YTD"}</definedName>
    <definedName name="wrn.Detail_Projection._3" localSheetId="6" hidden="1">{#N/A,#N/A,FALSE,"Detail YTD"}</definedName>
    <definedName name="wrn.Detail_Projection._3" hidden="1">{#N/A,#N/A,FALSE,"Detail YTD"}</definedName>
    <definedName name="wrn.Detail_Projection._4" localSheetId="0" hidden="1">{#N/A,#N/A,FALSE,"Detail YTD"}</definedName>
    <definedName name="wrn.Detail_Projection._4" localSheetId="6" hidden="1">{#N/A,#N/A,FALSE,"Detail YTD"}</definedName>
    <definedName name="wrn.Detail_Projection._4" hidden="1">{#N/A,#N/A,FALSE,"Detail YTD"}</definedName>
    <definedName name="wrn.Detail_Projection._5" localSheetId="0" hidden="1">{#N/A,#N/A,FALSE,"Detail YTD"}</definedName>
    <definedName name="wrn.Detail_Projection._5" localSheetId="6" hidden="1">{#N/A,#N/A,FALSE,"Detail YTD"}</definedName>
    <definedName name="wrn.Detail_Projection._5" hidden="1">{#N/A,#N/A,FALSE,"Detail YTD"}</definedName>
    <definedName name="wrn.Detailed._.P._.and._.L." localSheetId="0" hidden="1">{"P and L Detail Page 1",#N/A,FALSE,"Data";"P and L Detail Page 2",#N/A,FALSE,"Data"}</definedName>
    <definedName name="wrn.Detailed._.P._.and._.L." localSheetId="6" hidden="1">{"P and L Detail Page 1",#N/A,FALSE,"Data";"P and L Detail Page 2",#N/A,FALSE,"Data"}</definedName>
    <definedName name="wrn.Detailed._.P._.and._.L." hidden="1">{"P and L Detail Page 1",#N/A,FALSE,"Data";"P and L Detail Page 2",#N/A,FALSE,"Data"}</definedName>
    <definedName name="wrn.Detailed._.P._.and._.L.2" localSheetId="6" hidden="1">{"P and L Detail Page 1",#N/A,FALSE,"Data";"P and L Detail Page 2",#N/A,FALSE,"Data"}</definedName>
    <definedName name="wrn.Detailed._.P._.and._.L.2" hidden="1">{"P and L Detail Page 1",#N/A,FALSE,"Data";"P and L Detail Page 2",#N/A,FALSE,"Data"}</definedName>
    <definedName name="wrn.Details." localSheetId="6" hidden="1">{"Details",#N/A,FALSE,"ROCE Projection"}</definedName>
    <definedName name="wrn.Details." hidden="1">{"Details",#N/A,FALSE,"ROCE Projection"}</definedName>
    <definedName name="wrn.Details._1" localSheetId="6" hidden="1">{"Details",#N/A,FALSE,"ROCE Projection"}</definedName>
    <definedName name="wrn.Details._1" hidden="1">{"Details",#N/A,FALSE,"ROCE Projection"}</definedName>
    <definedName name="wrn.Details._1_1" localSheetId="6" hidden="1">{"Details",#N/A,FALSE,"ROCE Projection"}</definedName>
    <definedName name="wrn.Details._1_1" hidden="1">{"Details",#N/A,FALSE,"ROCE Projection"}</definedName>
    <definedName name="wrn.Details._2" localSheetId="6" hidden="1">{"Details",#N/A,FALSE,"ROCE Projection"}</definedName>
    <definedName name="wrn.Details._2" hidden="1">{"Details",#N/A,FALSE,"ROCE Projection"}</definedName>
    <definedName name="wrn.Details._2_1" localSheetId="6" hidden="1">{"Details",#N/A,FALSE,"ROCE Projection"}</definedName>
    <definedName name="wrn.Details._2_1" hidden="1">{"Details",#N/A,FALSE,"ROCE Projection"}</definedName>
    <definedName name="wrn.Details._2_1_1" localSheetId="6" hidden="1">{"Details",#N/A,FALSE,"ROCE Projection"}</definedName>
    <definedName name="wrn.Details._2_1_1" hidden="1">{"Details",#N/A,FALSE,"ROCE Projection"}</definedName>
    <definedName name="wrn.Details._2_1_1_1" localSheetId="6" hidden="1">{"Details",#N/A,FALSE,"ROCE Projection"}</definedName>
    <definedName name="wrn.Details._2_1_1_1" hidden="1">{"Details",#N/A,FALSE,"ROCE Projection"}</definedName>
    <definedName name="wrn.Details._2_1_2" localSheetId="6" hidden="1">{"Details",#N/A,FALSE,"ROCE Projection"}</definedName>
    <definedName name="wrn.Details._2_1_2" hidden="1">{"Details",#N/A,FALSE,"ROCE Projection"}</definedName>
    <definedName name="wrn.Details._2_1_2_1" localSheetId="6" hidden="1">{"Details",#N/A,FALSE,"ROCE Projection"}</definedName>
    <definedName name="wrn.Details._2_1_2_1" hidden="1">{"Details",#N/A,FALSE,"ROCE Projection"}</definedName>
    <definedName name="wrn.Details._2_1_3" localSheetId="6" hidden="1">{"Details",#N/A,FALSE,"ROCE Projection"}</definedName>
    <definedName name="wrn.Details._2_1_3" hidden="1">{"Details",#N/A,FALSE,"ROCE Projection"}</definedName>
    <definedName name="wrn.Details._2_2" localSheetId="6" hidden="1">{"Details",#N/A,FALSE,"ROCE Projection"}</definedName>
    <definedName name="wrn.Details._2_2" hidden="1">{"Details",#N/A,FALSE,"ROCE Projection"}</definedName>
    <definedName name="wrn.Details._2_2_1" localSheetId="6" hidden="1">{"Details",#N/A,FALSE,"ROCE Projection"}</definedName>
    <definedName name="wrn.Details._2_2_1" hidden="1">{"Details",#N/A,FALSE,"ROCE Projection"}</definedName>
    <definedName name="wrn.Details._2_2_1_1" localSheetId="6" hidden="1">{"Details",#N/A,FALSE,"ROCE Projection"}</definedName>
    <definedName name="wrn.Details._2_2_1_1" hidden="1">{"Details",#N/A,FALSE,"ROCE Projection"}</definedName>
    <definedName name="wrn.Details._2_2_2" localSheetId="6" hidden="1">{"Details",#N/A,FALSE,"ROCE Projection"}</definedName>
    <definedName name="wrn.Details._2_2_2" hidden="1">{"Details",#N/A,FALSE,"ROCE Projection"}</definedName>
    <definedName name="wrn.Details._2_3" localSheetId="6" hidden="1">{"Details",#N/A,FALSE,"ROCE Projection"}</definedName>
    <definedName name="wrn.Details._2_3" hidden="1">{"Details",#N/A,FALSE,"ROCE Projection"}</definedName>
    <definedName name="wrn.Details._2_3_1" localSheetId="6" hidden="1">{"Details",#N/A,FALSE,"ROCE Projection"}</definedName>
    <definedName name="wrn.Details._2_3_1" hidden="1">{"Details",#N/A,FALSE,"ROCE Projection"}</definedName>
    <definedName name="wrn.Details._2_4" localSheetId="6" hidden="1">{"Details",#N/A,FALSE,"ROCE Projection"}</definedName>
    <definedName name="wrn.Details._2_4" hidden="1">{"Details",#N/A,FALSE,"ROCE Projection"}</definedName>
    <definedName name="wrn.Details._3" localSheetId="6" hidden="1">{"Details",#N/A,FALSE,"ROCE Projection"}</definedName>
    <definedName name="wrn.Details._3" hidden="1">{"Details",#N/A,FALSE,"ROCE Projection"}</definedName>
    <definedName name="wrn.Details._3_1" localSheetId="6" hidden="1">{"Details",#N/A,FALSE,"ROCE Projection"}</definedName>
    <definedName name="wrn.Details._3_1" hidden="1">{"Details",#N/A,FALSE,"ROCE Projection"}</definedName>
    <definedName name="wrn.Details._3_1_1" localSheetId="6" hidden="1">{"Details",#N/A,FALSE,"ROCE Projection"}</definedName>
    <definedName name="wrn.Details._3_1_1" hidden="1">{"Details",#N/A,FALSE,"ROCE Projection"}</definedName>
    <definedName name="wrn.Details._3_1_1_1" localSheetId="6" hidden="1">{"Details",#N/A,FALSE,"ROCE Projection"}</definedName>
    <definedName name="wrn.Details._3_1_1_1" hidden="1">{"Details",#N/A,FALSE,"ROCE Projection"}</definedName>
    <definedName name="wrn.Details._3_1_2" localSheetId="6" hidden="1">{"Details",#N/A,FALSE,"ROCE Projection"}</definedName>
    <definedName name="wrn.Details._3_1_2" hidden="1">{"Details",#N/A,FALSE,"ROCE Projection"}</definedName>
    <definedName name="wrn.Details._3_1_2_1" localSheetId="6" hidden="1">{"Details",#N/A,FALSE,"ROCE Projection"}</definedName>
    <definedName name="wrn.Details._3_1_2_1" hidden="1">{"Details",#N/A,FALSE,"ROCE Projection"}</definedName>
    <definedName name="wrn.Details._3_1_3" localSheetId="6" hidden="1">{"Details",#N/A,FALSE,"ROCE Projection"}</definedName>
    <definedName name="wrn.Details._3_1_3" hidden="1">{"Details",#N/A,FALSE,"ROCE Projection"}</definedName>
    <definedName name="wrn.Details._3_2" localSheetId="6" hidden="1">{"Details",#N/A,FALSE,"ROCE Projection"}</definedName>
    <definedName name="wrn.Details._3_2" hidden="1">{"Details",#N/A,FALSE,"ROCE Projection"}</definedName>
    <definedName name="wrn.Details._3_2_1" localSheetId="6" hidden="1">{"Details",#N/A,FALSE,"ROCE Projection"}</definedName>
    <definedName name="wrn.Details._3_2_1" hidden="1">{"Details",#N/A,FALSE,"ROCE Projection"}</definedName>
    <definedName name="wrn.Details._3_2_1_1" localSheetId="6" hidden="1">{"Details",#N/A,FALSE,"ROCE Projection"}</definedName>
    <definedName name="wrn.Details._3_2_1_1" hidden="1">{"Details",#N/A,FALSE,"ROCE Projection"}</definedName>
    <definedName name="wrn.Details._3_2_2" localSheetId="6" hidden="1">{"Details",#N/A,FALSE,"ROCE Projection"}</definedName>
    <definedName name="wrn.Details._3_2_2" hidden="1">{"Details",#N/A,FALSE,"ROCE Projection"}</definedName>
    <definedName name="wrn.Details._3_3" localSheetId="6" hidden="1">{"Details",#N/A,FALSE,"ROCE Projection"}</definedName>
    <definedName name="wrn.Details._3_3" hidden="1">{"Details",#N/A,FALSE,"ROCE Projection"}</definedName>
    <definedName name="wrn.Details._3_3_1" localSheetId="6" hidden="1">{"Details",#N/A,FALSE,"ROCE Projection"}</definedName>
    <definedName name="wrn.Details._3_3_1" hidden="1">{"Details",#N/A,FALSE,"ROCE Projection"}</definedName>
    <definedName name="wrn.Details._3_4" localSheetId="6" hidden="1">{"Details",#N/A,FALSE,"ROCE Projection"}</definedName>
    <definedName name="wrn.Details._3_4" hidden="1">{"Details",#N/A,FALSE,"ROCE Projection"}</definedName>
    <definedName name="wrn.Details._4" localSheetId="6" hidden="1">{"Details",#N/A,FALSE,"ROCE Projection"}</definedName>
    <definedName name="wrn.Details._4" hidden="1">{"Details",#N/A,FALSE,"ROCE Projection"}</definedName>
    <definedName name="wrn.Details._4_1" localSheetId="6" hidden="1">{"Details",#N/A,FALSE,"ROCE Projection"}</definedName>
    <definedName name="wrn.Details._4_1" hidden="1">{"Details",#N/A,FALSE,"ROCE Projection"}</definedName>
    <definedName name="wrn.Details._4_1_1" localSheetId="6" hidden="1">{"Details",#N/A,FALSE,"ROCE Projection"}</definedName>
    <definedName name="wrn.Details._4_1_1" hidden="1">{"Details",#N/A,FALSE,"ROCE Projection"}</definedName>
    <definedName name="wrn.Details._4_1_1_1" localSheetId="6" hidden="1">{"Details",#N/A,FALSE,"ROCE Projection"}</definedName>
    <definedName name="wrn.Details._4_1_1_1" hidden="1">{"Details",#N/A,FALSE,"ROCE Projection"}</definedName>
    <definedName name="wrn.Details._4_1_2" localSheetId="6" hidden="1">{"Details",#N/A,FALSE,"ROCE Projection"}</definedName>
    <definedName name="wrn.Details._4_1_2" hidden="1">{"Details",#N/A,FALSE,"ROCE Projection"}</definedName>
    <definedName name="wrn.Details._4_1_2_1" localSheetId="6" hidden="1">{"Details",#N/A,FALSE,"ROCE Projection"}</definedName>
    <definedName name="wrn.Details._4_1_2_1" hidden="1">{"Details",#N/A,FALSE,"ROCE Projection"}</definedName>
    <definedName name="wrn.Details._4_1_3" localSheetId="6" hidden="1">{"Details",#N/A,FALSE,"ROCE Projection"}</definedName>
    <definedName name="wrn.Details._4_1_3" hidden="1">{"Details",#N/A,FALSE,"ROCE Projection"}</definedName>
    <definedName name="wrn.Details._4_2" localSheetId="6" hidden="1">{"Details",#N/A,FALSE,"ROCE Projection"}</definedName>
    <definedName name="wrn.Details._4_2" hidden="1">{"Details",#N/A,FALSE,"ROCE Projection"}</definedName>
    <definedName name="wrn.Details._4_2_1" localSheetId="6" hidden="1">{"Details",#N/A,FALSE,"ROCE Projection"}</definedName>
    <definedName name="wrn.Details._4_2_1" hidden="1">{"Details",#N/A,FALSE,"ROCE Projection"}</definedName>
    <definedName name="wrn.Details._4_2_1_1" localSheetId="6" hidden="1">{"Details",#N/A,FALSE,"ROCE Projection"}</definedName>
    <definedName name="wrn.Details._4_2_1_1" hidden="1">{"Details",#N/A,FALSE,"ROCE Projection"}</definedName>
    <definedName name="wrn.Details._4_2_2" localSheetId="6" hidden="1">{"Details",#N/A,FALSE,"ROCE Projection"}</definedName>
    <definedName name="wrn.Details._4_2_2" hidden="1">{"Details",#N/A,FALSE,"ROCE Projection"}</definedName>
    <definedName name="wrn.Details._4_3" localSheetId="6" hidden="1">{"Details",#N/A,FALSE,"ROCE Projection"}</definedName>
    <definedName name="wrn.Details._4_3" hidden="1">{"Details",#N/A,FALSE,"ROCE Projection"}</definedName>
    <definedName name="wrn.Details._4_3_1" localSheetId="6" hidden="1">{"Details",#N/A,FALSE,"ROCE Projection"}</definedName>
    <definedName name="wrn.Details._4_3_1" hidden="1">{"Details",#N/A,FALSE,"ROCE Projection"}</definedName>
    <definedName name="wrn.Details._4_4" localSheetId="6" hidden="1">{"Details",#N/A,FALSE,"ROCE Projection"}</definedName>
    <definedName name="wrn.Details._4_4" hidden="1">{"Details",#N/A,FALSE,"ROCE Projection"}</definedName>
    <definedName name="wrn.Details._5" localSheetId="6" hidden="1">{"Details",#N/A,FALSE,"ROCE Projection"}</definedName>
    <definedName name="wrn.Details._5" hidden="1">{"Details",#N/A,FALSE,"ROCE Projection"}</definedName>
    <definedName name="wrn.Details._5_1" localSheetId="6" hidden="1">{"Details",#N/A,FALSE,"ROCE Projection"}</definedName>
    <definedName name="wrn.Details._5_1" hidden="1">{"Details",#N/A,FALSE,"ROCE Projection"}</definedName>
    <definedName name="wrn.Details._5_1_1" localSheetId="6" hidden="1">{"Details",#N/A,FALSE,"ROCE Projection"}</definedName>
    <definedName name="wrn.Details._5_1_1" hidden="1">{"Details",#N/A,FALSE,"ROCE Projection"}</definedName>
    <definedName name="wrn.Details._5_1_1_1" localSheetId="6" hidden="1">{"Details",#N/A,FALSE,"ROCE Projection"}</definedName>
    <definedName name="wrn.Details._5_1_1_1" hidden="1">{"Details",#N/A,FALSE,"ROCE Projection"}</definedName>
    <definedName name="wrn.Details._5_1_2" localSheetId="6" hidden="1">{"Details",#N/A,FALSE,"ROCE Projection"}</definedName>
    <definedName name="wrn.Details._5_1_2" hidden="1">{"Details",#N/A,FALSE,"ROCE Projection"}</definedName>
    <definedName name="wrn.Details._5_1_2_1" localSheetId="6" hidden="1">{"Details",#N/A,FALSE,"ROCE Projection"}</definedName>
    <definedName name="wrn.Details._5_1_2_1" hidden="1">{"Details",#N/A,FALSE,"ROCE Projection"}</definedName>
    <definedName name="wrn.Details._5_1_3" localSheetId="6" hidden="1">{"Details",#N/A,FALSE,"ROCE Projection"}</definedName>
    <definedName name="wrn.Details._5_1_3" hidden="1">{"Details",#N/A,FALSE,"ROCE Projection"}</definedName>
    <definedName name="wrn.Details._5_2" localSheetId="6" hidden="1">{"Details",#N/A,FALSE,"ROCE Projection"}</definedName>
    <definedName name="wrn.Details._5_2" hidden="1">{"Details",#N/A,FALSE,"ROCE Projection"}</definedName>
    <definedName name="wrn.Details._5_2_1" localSheetId="6" hidden="1">{"Details",#N/A,FALSE,"ROCE Projection"}</definedName>
    <definedName name="wrn.Details._5_2_1" hidden="1">{"Details",#N/A,FALSE,"ROCE Projection"}</definedName>
    <definedName name="wrn.Details._5_2_1_1" localSheetId="6" hidden="1">{"Details",#N/A,FALSE,"ROCE Projection"}</definedName>
    <definedName name="wrn.Details._5_2_1_1" hidden="1">{"Details",#N/A,FALSE,"ROCE Projection"}</definedName>
    <definedName name="wrn.Details._5_2_2" localSheetId="6" hidden="1">{"Details",#N/A,FALSE,"ROCE Projection"}</definedName>
    <definedName name="wrn.Details._5_2_2" hidden="1">{"Details",#N/A,FALSE,"ROCE Projection"}</definedName>
    <definedName name="wrn.Details._5_3" localSheetId="6" hidden="1">{"Details",#N/A,FALSE,"ROCE Projection"}</definedName>
    <definedName name="wrn.Details._5_3" hidden="1">{"Details",#N/A,FALSE,"ROCE Projection"}</definedName>
    <definedName name="wrn.Details._5_3_1" localSheetId="6" hidden="1">{"Details",#N/A,FALSE,"ROCE Projection"}</definedName>
    <definedName name="wrn.Details._5_3_1" hidden="1">{"Details",#N/A,FALSE,"ROCE Projection"}</definedName>
    <definedName name="wrn.Details._5_4" localSheetId="6" hidden="1">{"Details",#N/A,FALSE,"ROCE Projection"}</definedName>
    <definedName name="wrn.Details._5_4" hidden="1">{"Details",#N/A,FALSE,"ROCE Projection"}</definedName>
    <definedName name="wrn.detalles._.total." localSheetId="0" hidden="1">{"total","abonados garantia",FALSE,"detalle19982007"}</definedName>
    <definedName name="wrn.detalles._.total." localSheetId="6" hidden="1">{"total","abonados garantia",FALSE,"detalle19982007"}</definedName>
    <definedName name="wrn.detalles._.total." hidden="1">{"total","abonados garantia",FALSE,"detalle19982007"}</definedName>
    <definedName name="wrn.Differences._.only." localSheetId="6" hidden="1">{#N/A,#N/A,FALSE,"Other OT Diffs ";#N/A,#N/A,FALSE,"AMP OT DIFFS";#N/A,#N/A,FALSE,"Spend Diffs"}</definedName>
    <definedName name="wrn.Differences._.only." hidden="1">{#N/A,#N/A,FALSE,"Other OT Diffs ";#N/A,#N/A,FALSE,"AMP OT DIFFS";#N/A,#N/A,FALSE,"Spend Diffs"}</definedName>
    <definedName name="wrn.dil_anal." localSheetId="0" hidden="1">{"hiden",#N/A,FALSE,"14";"hidden",#N/A,FALSE,"16";"hidden",#N/A,FALSE,"18";"hidden",#N/A,FALSE,"20"}</definedName>
    <definedName name="wrn.dil_anal." localSheetId="6" hidden="1">{"hiden",#N/A,FALSE,"14";"hidden",#N/A,FALSE,"16";"hidden",#N/A,FALSE,"18";"hidden",#N/A,FALSE,"20"}</definedName>
    <definedName name="wrn.dil_anal." hidden="1">{"hiden",#N/A,FALSE,"14";"hidden",#N/A,FALSE,"16";"hidden",#N/A,FALSE,"18";"hidden",#N/A,FALSE,"20"}</definedName>
    <definedName name="wrn.dil_anal.1" localSheetId="0" hidden="1">{"hiden",#N/A,FALSE,"14";"hidden",#N/A,FALSE,"16";"hidden",#N/A,FALSE,"18";"hidden",#N/A,FALSE,"20"}</definedName>
    <definedName name="wrn.dil_anal.1" localSheetId="6" hidden="1">{"hiden",#N/A,FALSE,"14";"hidden",#N/A,FALSE,"16";"hidden",#N/A,FALSE,"18";"hidden",#N/A,FALSE,"20"}</definedName>
    <definedName name="wrn.dil_anal.1" hidden="1">{"hiden",#N/A,FALSE,"14";"hidden",#N/A,FALSE,"16";"hidden",#N/A,FALSE,"18";"hidden",#N/A,FALSE,"20"}</definedName>
    <definedName name="wrn.djall." localSheetId="0" hidden="1">{"djcash",#N/A,FALSE,"DJann";"djinc",#N/A,FALSE,"DJann";"djtaxes",#N/A,FALSE,"DJann";"djbuspub",#N/A,FALSE,"DJann";"djwall",#N/A,FALSE,"DJann";"djcompprs",#N/A,FALSE,"DJann";"djteler",#N/A,FALSE,"DJann"}</definedName>
    <definedName name="wrn.djall." localSheetId="6" hidden="1">{"djcash",#N/A,FALSE,"DJann";"djinc",#N/A,FALSE,"DJann";"djtaxes",#N/A,FALSE,"DJann";"djbuspub",#N/A,FALSE,"DJann";"djwall",#N/A,FALSE,"DJann";"djcompprs",#N/A,FALSE,"DJann";"djteler",#N/A,FALSE,"DJann"}</definedName>
    <definedName name="wrn.djall." hidden="1">{"djcash",#N/A,FALSE,"DJann";"djinc",#N/A,FALSE,"DJann";"djtaxes",#N/A,FALSE,"DJann";"djbuspub",#N/A,FALSE,"DJann";"djwall",#N/A,FALSE,"DJann";"djcompprs",#N/A,FALSE,"DJann";"djteler",#N/A,FALSE,"DJann"}</definedName>
    <definedName name="wrn.document." localSheetId="0" hidden="1">{"consolidated",#N/A,FALSE,"Sheet1";"cms",#N/A,FALSE,"Sheet1";"fse",#N/A,FALSE,"Sheet1"}</definedName>
    <definedName name="wrn.document." localSheetId="6" hidden="1">{"consolidated",#N/A,FALSE,"Sheet1";"cms",#N/A,FALSE,"Sheet1";"fse",#N/A,FALSE,"Sheet1"}</definedName>
    <definedName name="wrn.document." hidden="1">{"consolidated",#N/A,FALSE,"Sheet1";"cms",#N/A,FALSE,"Sheet1";"fse",#N/A,FALSE,"Sheet1"}</definedName>
    <definedName name="wrn.document.1" localSheetId="0" hidden="1">{"comp",#N/A,FALSE,"SPEC";"footnotes",#N/A,FALSE,"SPEC"}</definedName>
    <definedName name="wrn.document.1" localSheetId="6" hidden="1">{"comp",#N/A,FALSE,"SPEC";"footnotes",#N/A,FALSE,"SPEC"}</definedName>
    <definedName name="wrn.document.1" hidden="1">{"comp",#N/A,FALSE,"SPEC";"footnotes",#N/A,FALSE,"SPEC"}</definedName>
    <definedName name="wrn.documentaero." localSheetId="0" hidden="1">{"comps2",#N/A,FALSE,"AERO";"footnotes",#N/A,FALSE,"AERO"}</definedName>
    <definedName name="wrn.documentaero." localSheetId="6" hidden="1">{"comps2",#N/A,FALSE,"AERO";"footnotes",#N/A,FALSE,"AERO"}</definedName>
    <definedName name="wrn.documentaero." hidden="1">{"comps2",#N/A,FALSE,"AERO";"footnotes",#N/A,FALSE,"AERO"}</definedName>
    <definedName name="wrn.documentaero.1" localSheetId="0" hidden="1">{"comps2",#N/A,FALSE,"AERO";"footnotes",#N/A,FALSE,"AERO"}</definedName>
    <definedName name="wrn.documentaero.1" localSheetId="6" hidden="1">{"comps2",#N/A,FALSE,"AERO";"footnotes",#N/A,FALSE,"AERO"}</definedName>
    <definedName name="wrn.documentaero.1" hidden="1">{"comps2",#N/A,FALSE,"AERO";"footnotes",#N/A,FALSE,"AERO"}</definedName>
    <definedName name="wrn.documentation." localSheetId="0" hidden="1">{"documentation1",#N/A,FALSE,"Documentation";"documentation2",#N/A,FALSE,"Documentation"}</definedName>
    <definedName name="wrn.documentation." localSheetId="6" hidden="1">{"documentation1",#N/A,FALSE,"Documentation";"documentation2",#N/A,FALSE,"Documentation"}</definedName>
    <definedName name="wrn.documentation." hidden="1">{"documentation1",#N/A,FALSE,"Documentation";"documentation2",#N/A,FALSE,"Documentation"}</definedName>
    <definedName name="wrn.documenthand." localSheetId="0" hidden="1">{"comps",#N/A,FALSE,"HANDPACK";"footnotes",#N/A,FALSE,"HANDPACK"}</definedName>
    <definedName name="wrn.documenthand." localSheetId="6" hidden="1">{"comps",#N/A,FALSE,"HANDPACK";"footnotes",#N/A,FALSE,"HANDPACK"}</definedName>
    <definedName name="wrn.documenthand." hidden="1">{"comps",#N/A,FALSE,"HANDPACK";"footnotes",#N/A,FALSE,"HANDPACK"}</definedName>
    <definedName name="wrn.documenthand.1" localSheetId="0" hidden="1">{"comps",#N/A,FALSE,"HANDPACK";"footnotes",#N/A,FALSE,"HANDPACK"}</definedName>
    <definedName name="wrn.documenthand.1" localSheetId="6" hidden="1">{"comps",#N/A,FALSE,"HANDPACK";"footnotes",#N/A,FALSE,"HANDPACK"}</definedName>
    <definedName name="wrn.documenthand.1" hidden="1">{"comps",#N/A,FALSE,"HANDPACK";"footnotes",#N/A,FALSE,"HANDPACK"}</definedName>
    <definedName name="wrn.DOLAR." localSheetId="6" hidden="1">{#N/A,#N/A,FALSE,"BALUS$96";#N/A,#N/A,FALSE,"INCUS$96";#N/A,#N/A,FALSE,"CASH96";#N/A,#N/A,FALSE,"FINANC96";#N/A,#N/A,FALSE,"CFLOW96"}</definedName>
    <definedName name="wrn.DOLAR." hidden="1">{#N/A,#N/A,FALSE,"BALUS$96";#N/A,#N/A,FALSE,"INCUS$96";#N/A,#N/A,FALSE,"CASH96";#N/A,#N/A,FALSE,"FINANC96";#N/A,#N/A,FALSE,"CFLOW96"}</definedName>
    <definedName name="wrn.Dom." localSheetId="0" hidden="1">{"Dom_qty",#N/A,FALSE,"Domestic";"Dom_sell",#N/A,FALSE,"Domestic";"Dom_misc",#N/A,FALSE,"Domestic"}</definedName>
    <definedName name="wrn.Dom." localSheetId="6" hidden="1">{"Dom_qty",#N/A,FALSE,"Domestic";"Dom_sell",#N/A,FALSE,"Domestic";"Dom_misc",#N/A,FALSE,"Domestic"}</definedName>
    <definedName name="wrn.Dom." hidden="1">{"Dom_qty",#N/A,FALSE,"Domestic";"Dom_sell",#N/A,FALSE,"Domestic";"Dom_misc",#N/A,FALSE,"Domestic"}</definedName>
    <definedName name="wrn.Don." localSheetId="6" hidden="1">{#N/A,#N/A,FALSE,"UK Consol Short";#N/A,#N/A,FALSE,"Summary UK - Short"}</definedName>
    <definedName name="wrn.Don." hidden="1">{#N/A,#N/A,FALSE,"UK Consol Short";#N/A,#N/A,FALSE,"Summary UK - Short"}</definedName>
    <definedName name="wrn.Druck." localSheetId="6" hidden="1">{#N/A,#N/A,FALSE,"Phase I";#N/A,#N/A,FALSE,"Phase II";#N/A,#N/A,FALSE,"Phase III"}</definedName>
    <definedName name="wrn.Druck." hidden="1">{#N/A,#N/A,FALSE,"Phase I";#N/A,#N/A,FALSE,"Phase II";#N/A,#N/A,FALSE,"Phase III"}</definedName>
    <definedName name="wrn.Druck._.Monatsreporting." localSheetId="0" hidden="1">{#N/A,#N/A,TRUE,"0 Deckbl.";#N/A,#N/A,TRUE,"S 1 Komm";#N/A,#N/A,TRUE,"S 1a Komm";#N/A,#N/A,TRUE,"S 1b Komm";#N/A,#N/A,TRUE,"S  2 DBR";#N/A,#N/A,TRUE,"S  3 Sparten";#N/A,#N/A,TRUE,"S 4  Betr. K.";#N/A,#N/A,TRUE,"6 Bilanz";#N/A,#N/A,TRUE,"6a Bilanz ";#N/A,#N/A,TRUE,"6b Bilanz ";#N/A,#N/A,TRUE,"7 GS I";#N/A,#N/A,TRUE,"S 8 EQ-GuV"}</definedName>
    <definedName name="wrn.Druck._.Monatsreporting." localSheetId="6" hidden="1">{#N/A,#N/A,TRUE,"0 Deckbl.";#N/A,#N/A,TRUE,"S 1 Komm";#N/A,#N/A,TRUE,"S 1a Komm";#N/A,#N/A,TRUE,"S 1b Komm";#N/A,#N/A,TRUE,"S  2 DBR";#N/A,#N/A,TRUE,"S  3 Sparten";#N/A,#N/A,TRUE,"S 4  Betr. K.";#N/A,#N/A,TRUE,"6 Bilanz";#N/A,#N/A,TRUE,"6a Bilanz ";#N/A,#N/A,TRUE,"6b Bilanz ";#N/A,#N/A,TRUE,"7 GS I";#N/A,#N/A,TRUE,"S 8 EQ-GuV"}</definedName>
    <definedName name="wrn.Druck._.Monatsreporting." hidden="1">{#N/A,#N/A,TRUE,"0 Deckbl.";#N/A,#N/A,TRUE,"S 1 Komm";#N/A,#N/A,TRUE,"S 1a Komm";#N/A,#N/A,TRUE,"S 1b Komm";#N/A,#N/A,TRUE,"S  2 DBR";#N/A,#N/A,TRUE,"S  3 Sparten";#N/A,#N/A,TRUE,"S 4  Betr. K.";#N/A,#N/A,TRUE,"6 Bilanz";#N/A,#N/A,TRUE,"6a Bilanz ";#N/A,#N/A,TRUE,"6b Bilanz ";#N/A,#N/A,TRUE,"7 GS I";#N/A,#N/A,TRUE,"S 8 EQ-GuV"}</definedName>
    <definedName name="wrn.Drucken._.H.C.._.Starck."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1"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1_1"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1_1"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1_1"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2"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2"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2"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3"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3"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3"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4"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4"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4"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5" localSheetId="0"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5" localSheetId="6" hidden="1">{#N/A,#N/A,FALSE,"Rohstoffnotierungen";#N/A,#N/A,FALSE,"ER HCST Erw. 99";#N/A,#N/A,FALSE,"ER HCST Plan 00";#N/A,#N/A,FALSE,"Umsatz KG";#N/A,#N/A,FALSE,"ER HCST";#N/A,#N/A,FALSE,"EA ST (2)";#N/A,#N/A,FALSE,"EA ST";#N/A,#N/A,FALSE,"EA ST (3)";#N/A,#N/A,FALSE,"EA ST (4)";#N/A,#N/A,FALSE,"KA ST  (2)";#N/A,#N/A,FALSE,"KA ST";#N/A,#N/A,FALSE,"KA ST  (3)";#N/A,#N/A,FALSE,"KA ST (4)"}</definedName>
    <definedName name="wrn.Drucken._.H.C.._.Starck._5" hidden="1">{#N/A,#N/A,FALSE,"Rohstoffnotierungen";#N/A,#N/A,FALSE,"ER HCST Erw. 99";#N/A,#N/A,FALSE,"ER HCST Plan 00";#N/A,#N/A,FALSE,"Umsatz KG";#N/A,#N/A,FALSE,"ER HCST";#N/A,#N/A,FALSE,"EA ST (2)";#N/A,#N/A,FALSE,"EA ST";#N/A,#N/A,FALSE,"EA ST (3)";#N/A,#N/A,FALSE,"EA ST (4)";#N/A,#N/A,FALSE,"KA ST  (2)";#N/A,#N/A,FALSE,"KA ST";#N/A,#N/A,FALSE,"KA ST  (3)";#N/A,#N/A,FALSE,"KA ST (4)"}</definedName>
    <definedName name="wrn.Earnings._.Model."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conomic._.Value._.Added._.Analysis." localSheetId="0" hidden="1">{"EVA",#N/A,FALSE,"EVA";"WACC",#N/A,FALSE,"WACC"}</definedName>
    <definedName name="wrn.Economic._.Value._.Added._.Analysis." localSheetId="6" hidden="1">{"EVA",#N/A,FALSE,"EVA";"WACC",#N/A,FALSE,"WACC"}</definedName>
    <definedName name="wrn.Economic._.Value._.Added._.Analysis." hidden="1">{"EVA",#N/A,FALSE,"EVA";"WACC",#N/A,FALSE,"WACC"}</definedName>
    <definedName name="wrn.ecpall." localSheetId="0" hidden="1">{"ecpcash",#N/A,FALSE,"ECPann";"ecpinc",#N/A,FALSE,"ECPann";"ecpindia",#N/A,FALSE,"ECPann";"ecpmun",#N/A,FALSE,"ECPann";"ecpphoenix",#N/A,FALSE,"ECPann";"ecpothe",#N/A,FALSE,"ECPann";"ecpbalsht",#N/A,FALSE,"ECPann"}</definedName>
    <definedName name="wrn.ecpall." localSheetId="6" hidden="1">{"ecpcash",#N/A,FALSE,"ECPann";"ecpinc",#N/A,FALSE,"ECPann";"ecpindia",#N/A,FALSE,"ECPann";"ecpmun",#N/A,FALSE,"ECPann";"ecpphoenix",#N/A,FALSE,"ECPann";"ecpothe",#N/A,FALSE,"ECPann";"ecpbalsht",#N/A,FALSE,"ECPann"}</definedName>
    <definedName name="wrn.ecpall." hidden="1">{"ecpcash",#N/A,FALSE,"ECPann";"ecpinc",#N/A,FALSE,"ECPann";"ecpindia",#N/A,FALSE,"ECPann";"ecpmun",#N/A,FALSE,"ECPann";"ecpphoenix",#N/A,FALSE,"ECPann";"ecpothe",#N/A,FALSE,"ECPann";"ecpbalsht",#N/A,FALSE,"ECPann"}</definedName>
    <definedName name="wrn.Eilbericht_UBA." localSheetId="6" hidden="1">{"Eilbericht_UBA",#N/A,FALSE,"EB"}</definedName>
    <definedName name="wrn.Eilbericht_UBA." hidden="1">{"Eilbericht_UBA",#N/A,FALSE,"EB"}</definedName>
    <definedName name="wrn.EMM._.detail._.edition." localSheetId="0" hidden="1">{#N/A,#N/A,TRUE,"Cover";#N/A,#N/A,TRUE,"Content";"Orders EMM",#N/A,TRUE,"Order Sales";"project EMM",#N/A,TRUE,"Project Control";"Cash EMM",#N/A,TRUE,"Cash Control";"KPI EMM",#N/A,TRUE,"KPI-EMM";"Empl EMM",#N/A,TRUE,"Employees"}</definedName>
    <definedName name="wrn.EMM._.detail._.edition." localSheetId="6" hidden="1">{#N/A,#N/A,TRUE,"Cover";#N/A,#N/A,TRUE,"Content";"Orders EMM",#N/A,TRUE,"Order Sales";"project EMM",#N/A,TRUE,"Project Control";"Cash EMM",#N/A,TRUE,"Cash Control";"KPI EMM",#N/A,TRUE,"KPI-EMM";"Empl EMM",#N/A,TRUE,"Employees"}</definedName>
    <definedName name="wrn.EMM._.detail._.edition." hidden="1">{#N/A,#N/A,TRUE,"Cover";#N/A,#N/A,TRUE,"Content";"Orders EMM",#N/A,TRUE,"Order Sales";"project EMM",#N/A,TRUE,"Project Control";"Cash EMM",#N/A,TRUE,"Cash Control";"KPI EMM",#N/A,TRUE,"KPI-EMM";"Empl EMM",#N/A,TRUE,"Employees"}</definedName>
    <definedName name="wrn.Employee._.Efficiency." localSheetId="0" hidden="1">{"Employee Efficiency",#N/A,FALSE,"Benchmarking"}</definedName>
    <definedName name="wrn.Employee._.Efficiency." localSheetId="6" hidden="1">{"Employee Efficiency",#N/A,FALSE,"Benchmarking"}</definedName>
    <definedName name="wrn.Employee._.Efficiency." hidden="1">{"Employee Efficiency",#N/A,FALSE,"Benchmarking"}</definedName>
    <definedName name="wrn.equity._.comps." localSheetId="0" hidden="1">{"equity comps",#N/A,FALSE,"CS Comps";"equity comps",#N/A,FALSE,"PS Comps";"equity comps",#N/A,FALSE,"GIC_Comps";"equity comps",#N/A,FALSE,"GIC2_Comps"}</definedName>
    <definedName name="wrn.equity._.comps." localSheetId="6" hidden="1">{"equity comps",#N/A,FALSE,"CS Comps";"equity comps",#N/A,FALSE,"PS Comps";"equity comps",#N/A,FALSE,"GIC_Comps";"equity comps",#N/A,FALSE,"GIC2_Comps"}</definedName>
    <definedName name="wrn.equity._.comps." hidden="1">{"equity comps",#N/A,FALSE,"CS Comps";"equity comps",#N/A,FALSE,"PS Comps";"equity comps",#N/A,FALSE,"GIC_Comps";"equity comps",#N/A,FALSE,"GIC2_Comps"}</definedName>
    <definedName name="wrn.equity._.comps.1" localSheetId="0" hidden="1">{"equity comps",#N/A,FALSE,"CS Comps";"equity comps",#N/A,FALSE,"PS Comps";"equity comps",#N/A,FALSE,"GIC_Comps";"equity comps",#N/A,FALSE,"GIC2_Comps"}</definedName>
    <definedName name="wrn.equity._.comps.1" localSheetId="6" hidden="1">{"equity comps",#N/A,FALSE,"CS Comps";"equity comps",#N/A,FALSE,"PS Comps";"equity comps",#N/A,FALSE,"GIC_Comps";"equity comps",#N/A,FALSE,"GIC2_Comps"}</definedName>
    <definedName name="wrn.equity._.comps.1" hidden="1">{"equity comps",#N/A,FALSE,"CS Comps";"equity comps",#N/A,FALSE,"PS Comps";"equity comps",#N/A,FALSE,"GIC_Comps";"equity comps",#N/A,FALSE,"GIC2_Comps"}</definedName>
    <definedName name="wrn.Ergebnisbericht_UBA." localSheetId="6" hidden="1">{"Ergebnisbericht_UBA",#N/A,FALSE,"MB"}</definedName>
    <definedName name="wrn.Ergebnisbericht_UBA." hidden="1">{"Ergebnisbericht_UBA",#N/A,FALSE,"MB"}</definedName>
    <definedName name="wrn.ETH." localSheetId="0" hidden="1">{"AnnMarg.",#N/A,FALSE,"ETHAN";"Q",#N/A,FALSE,"Qtrs."}</definedName>
    <definedName name="wrn.ETH." localSheetId="6" hidden="1">{"AnnMarg.",#N/A,FALSE,"ETHAN";"Q",#N/A,FALSE,"Qtrs."}</definedName>
    <definedName name="wrn.ETH." hidden="1">{"AnnMarg.",#N/A,FALSE,"ETHAN";"Q",#N/A,FALSE,"Qtrs."}</definedName>
    <definedName name="wrn.Europe." localSheetId="0"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localSheetId="6"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verything." localSheetId="0"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localSheetId="6"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cess." localSheetId="0" hidden="1">{#N/A,#N/A,FALSE,"PROFIT 11-95"}</definedName>
    <definedName name="wrn.Excess." localSheetId="6" hidden="1">{#N/A,#N/A,FALSE,"PROFIT 11-95"}</definedName>
    <definedName name="wrn.Excess." hidden="1">{#N/A,#N/A,FALSE,"PROFIT 11-95"}</definedName>
    <definedName name="wrn.Exhibit_draft_report." localSheetId="0" hidden="1">{"Historic",#N/A,FALSE,"Historic IS";"BS",#N/A,FALSE,"DCF BS conversion";"Market_summary_2",#N/A,FALSE,"Market summary";"GCM_summary",#N/A,FALSE,"Market approach";"DCF",#N/A,FALSE,"DCF Projected IS unlevered";"DCF_value",#N/A,FALSE,"DCF Indications of value"}</definedName>
    <definedName name="wrn.Exhibit_draft_report." localSheetId="6" hidden="1">{"Historic",#N/A,FALSE,"Historic IS";"BS",#N/A,FALSE,"DCF BS conversion";"Market_summary_2",#N/A,FALSE,"Market summary";"GCM_summary",#N/A,FALSE,"Market approach";"DCF",#N/A,FALSE,"DCF Projected IS unlevered";"DCF_value",#N/A,FALSE,"DCF Indications of value"}</definedName>
    <definedName name="wrn.Exhibit_draft_report." hidden="1">{"Historic",#N/A,FALSE,"Historic IS";"BS",#N/A,FALSE,"DCF BS conversion";"Market_summary_2",#N/A,FALSE,"Market summary";"GCM_summary",#N/A,FALSE,"Market approach";"DCF",#N/A,FALSE,"DCF Projected IS unlevered";"DCF_value",#N/A,FALSE,"DCF Indications of value"}</definedName>
    <definedName name="wrn.EXHIBITS." localSheetId="0" hidden="1">{"summary1",#N/A,FALSE,"Summary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wrn.EXHIBITS." localSheetId="6" hidden="1">{"summary1",#N/A,FALSE,"Summary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wrn.EXHIBITS." hidden="1">{"summary1",#N/A,FALSE,"Summary of Values";"weighted average returns",#N/A,FALSE,"WACC and WARA";"revenue graph",#N/A,FALSE,"Revenue Graph";"historical acquirer",#N/A,FALSE,"Historical Performance";"historical target",#N/A,FALSE,"Historical Performance";"revenue detail 1",#N/A,FALSE,"Revenue Detail";"revenue detail 2",#N/A,FALSE,"Revenue Detail";"revenue detail 3",#N/A,FALSE,"Revenue Detail";"revenue detail 4",#N/A,FALSE,"Revenue Detail";"gross_margin1",#N/A,FALSE,"Gross Margin Detail";"gross_margin2",#N/A,FALSE,"Gross Margin Detail";"developed income statement",#N/A,FALSE,"Abbreviated Income Statement";"inprocess income statement",#N/A,FALSE,"Abbreviated Income Statement";"developed valuation",#N/A,FALSE,"Valuation Analysis";"inprocess valuation",#N/A,FALSE,"Valuation Analysis";"trademark1",#N/A,FALSE,"Trademark(s) and Trade Name(s)";"contributory1",#N/A,FALSE,"Contributory Assets Detail";"contributory2",#N/A,FALSE,"Contributory Assets Detail";"fixed asset detail",#N/A,FALSE,"Fixed Asset Detail"}</definedName>
    <definedName name="wrn.Exp." localSheetId="0" hidden="1">{"Exp_qty",#N/A,FALSE,"Export";"Exp_sell",#N/A,FALSE,"Export";"Exp_misc",#N/A,FALSE,"Export"}</definedName>
    <definedName name="wrn.Exp." localSheetId="6" hidden="1">{"Exp_qty",#N/A,FALSE,"Export";"Exp_sell",#N/A,FALSE,"Export";"Exp_misc",#N/A,FALSE,"Export"}</definedName>
    <definedName name="wrn.Exp." hidden="1">{"Exp_qty",#N/A,FALSE,"Export";"Exp_sell",#N/A,FALSE,"Export";"Exp_misc",#N/A,FALSE,"Export"}</definedName>
    <definedName name="wrn.ExpCompSet." localSheetId="0" hidden="1">{"ExpCompSet",#N/A,FALSE,"Export Comp. Sets"}</definedName>
    <definedName name="wrn.ExpCompSet." localSheetId="6" hidden="1">{"ExpCompSet",#N/A,FALSE,"Export Comp. Sets"}</definedName>
    <definedName name="wrn.ExpCompSet." hidden="1">{"ExpCompSet",#N/A,FALSE,"Export Comp. Sets"}</definedName>
    <definedName name="wrn.External." localSheetId="0" hidden="1">{"External_Annual_Income",#N/A,FALSE,"External";"External_Quarterly_Income",#N/A,FALSE,"External"}</definedName>
    <definedName name="wrn.External." localSheetId="6" hidden="1">{"External_Annual_Income",#N/A,FALSE,"External";"External_Quarterly_Income",#N/A,FALSE,"External"}</definedName>
    <definedName name="wrn.External." hidden="1">{"External_Annual_Income",#N/A,FALSE,"External";"External_Quarterly_Income",#N/A,FALSE,"External"}</definedName>
    <definedName name="wrn.Fair._.Share._.Calcs." localSheetId="6" hidden="1">{#N/A,#N/A,FALSE,"Fair Share"}</definedName>
    <definedName name="wrn.Fair._.Share._.Calcs." hidden="1">{#N/A,#N/A,FALSE,"Fair Share"}</definedName>
    <definedName name="wrn.FB" localSheetId="0" hidden="1">{"FCB_ALL",#N/A,FALSE,"FCB"}</definedName>
    <definedName name="wrn.FB" localSheetId="6" hidden="1">{"FCB_ALL",#N/A,FALSE,"FCB"}</definedName>
    <definedName name="wrn.FB" hidden="1">{"FCB_ALL",#N/A,FALSE,"FCB"}</definedName>
    <definedName name="wrn.fb." localSheetId="0" hidden="1">{"AnnMarg",#N/A,FALSE,"FALCON";"Q",#N/A,FALSE,"Qtrs."}</definedName>
    <definedName name="wrn.fb." localSheetId="6" hidden="1">{"AnnMarg",#N/A,FALSE,"FALCON";"Q",#N/A,FALSE,"Qtrs."}</definedName>
    <definedName name="wrn.fb." hidden="1">{"AnnMarg",#N/A,FALSE,"FALCON";"Q",#N/A,FALSE,"Qtrs."}</definedName>
    <definedName name="wrn.FCB." localSheetId="0" hidden="1">{"FCB_ALL",#N/A,FALSE,"FCB"}</definedName>
    <definedName name="wrn.FCB." localSheetId="6" hidden="1">{"FCB_ALL",#N/A,FALSE,"FCB"}</definedName>
    <definedName name="wrn.FCB." hidden="1">{"FCB_ALL",#N/A,FALSE,"FCB"}</definedName>
    <definedName name="wrn.fcb2" localSheetId="0" hidden="1">{"FCB_ALL",#N/A,FALSE,"FCB"}</definedName>
    <definedName name="wrn.fcb2" localSheetId="6" hidden="1">{"FCB_ALL",#N/A,FALSE,"FCB"}</definedName>
    <definedName name="wrn.fcb2" hidden="1">{"FCB_ALL",#N/A,FALSE,"FCB"}</definedName>
    <definedName name="wrn.Fcst._.by._.Mon." localSheetId="0" hidden="1">{"Fcst by Mon Full",#N/A,FALSE,"Tot PalmPalm";"Fcst by Mon Full",#N/A,FALSE,"Tot Device";"Fcst by Mon Full",#N/A,FALSE,"Platform";"Fcst by Mon Full",#N/A,FALSE,"Palm.Net";"Fcst by Mon Full",#N/A,FALSE,"Elim"}</definedName>
    <definedName name="wrn.Fcst._.by._.Mon." localSheetId="6"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0" hidden="1">{"Fcst by Qtr Full",#N/A,FALSE,"Tot PalmPalm";"Fcst by Qtr Full",#N/A,FALSE,"Tot Device";"Fcst by Qtr Full",#N/A,FALSE,"Platform";"Fcst by Qtr Full",#N/A,FALSE,"Palm.Net";"Fcst by Qtr Full",#N/A,FALSE,"Elim"}</definedName>
    <definedName name="wrn.Fcst._.by._.Qtr." localSheetId="6"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FR." localSheetId="0" hidden="1">{"header",#N/A,FALSE,"Header";"summary",#N/A,FALSE,"Summary";"profit&amp;loss",#N/A,FALSE,"GRP";"balance sheet",#N/A,FALSE,"Bal Sht";"manpower",#N/A,FALSE,"GRP";"capex",#N/A,FALSE,"GRP";"bank",#N/A,FALSE,"BANK";"mktvalue",#N/A,FALSE,"Mkt Val";#N/A,#N/A,FALSE,"CloProj2003"}</definedName>
    <definedName name="wrn.FFR." localSheetId="6" hidden="1">{"header",#N/A,FALSE,"Header";"summary",#N/A,FALSE,"Summary";"profit&amp;loss",#N/A,FALSE,"GRP";"balance sheet",#N/A,FALSE,"Bal Sht";"manpower",#N/A,FALSE,"GRP";"capex",#N/A,FALSE,"GRP";"bank",#N/A,FALSE,"BANK";"mktvalue",#N/A,FALSE,"Mkt Val";#N/A,#N/A,FALSE,"CloProj2003"}</definedName>
    <definedName name="wrn.FFR." hidden="1">{"header",#N/A,FALSE,"Header";"summary",#N/A,FALSE,"Summary";"profit&amp;loss",#N/A,FALSE,"GRP";"balance sheet",#N/A,FALSE,"Bal Sht";"manpower",#N/A,FALSE,"GRP";"capex",#N/A,FALSE,"GRP";"bank",#N/A,FALSE,"BANK";"mktvalue",#N/A,FALSE,"Mkt Val";#N/A,#N/A,FALSE,"CloProj2003"}</definedName>
    <definedName name="wrn.Figaro._.Valuation._.Summary." localSheetId="0" hidden="1">{#N/A,#N/A,TRUE,"Cover";#N/A,#N/A,TRUE,"Graphs BD";#N/A,#N/A,TRUE,"Matrix-BD";#N/A,#N/A,TRUE,"Matrix-BD (2)";#N/A,#N/A,TRUE,"Margin Matrix BD";#N/A,#N/A,TRUE,"P&amp;L BD";#N/A,#N/A,TRUE,"Financials BD"}</definedName>
    <definedName name="wrn.Figaro._.Valuation._.Summary." localSheetId="6" hidden="1">{#N/A,#N/A,TRUE,"Cover";#N/A,#N/A,TRUE,"Graphs BD";#N/A,#N/A,TRUE,"Matrix-BD";#N/A,#N/A,TRUE,"Matrix-BD (2)";#N/A,#N/A,TRUE,"Margin Matrix BD";#N/A,#N/A,TRUE,"P&amp;L BD";#N/A,#N/A,TRUE,"Financials BD"}</definedName>
    <definedName name="wrn.Figaro._.Valuation._.Summary." hidden="1">{#N/A,#N/A,TRUE,"Cover";#N/A,#N/A,TRUE,"Graphs BD";#N/A,#N/A,TRUE,"Matrix-BD";#N/A,#N/A,TRUE,"Matrix-BD (2)";#N/A,#N/A,TRUE,"Margin Matrix BD";#N/A,#N/A,TRUE,"P&amp;L BD";#N/A,#N/A,TRUE,"Financials BD"}</definedName>
    <definedName name="wrn.Filter." localSheetId="6"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l._.closure." localSheetId="0" hidden="1">{"profit&amp;loss",#N/A,FALSE,"GRP";"revenue",#N/A,FALSE,"GRP";"manpower",#N/A,FALSE,"GRP";"capex",#N/A,FALSE,"GRP";"provisions",#N/A,FALSE,"GRP"}</definedName>
    <definedName name="wrn.final._.closure." localSheetId="6" hidden="1">{"profit&amp;loss",#N/A,FALSE,"GRP";"revenue",#N/A,FALSE,"GRP";"manpower",#N/A,FALSE,"GRP";"capex",#N/A,FALSE,"GRP";"provisions",#N/A,FALSE,"GRP"}</definedName>
    <definedName name="wrn.final._.closure." hidden="1">{"profit&amp;loss",#N/A,FALSE,"GRP";"revenue",#N/A,FALSE,"GRP";"manpower",#N/A,FALSE,"GRP";"capex",#N/A,FALSE,"GRP";"provisions",#N/A,FALSE,"GRP"}</definedName>
    <definedName name="wrn.FINAL._.ESTIMATE." localSheetId="6"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L._.ESTIMATE._1" localSheetId="6" hidden="1">{#N/A,#N/A,FALSE,"ProjInfo";#N/A,#N/A,FALSE,"Params";#N/A,#N/A,FALSE,"Q&amp;AE";#N/A,#N/A,FALSE,"CostCompE";#N/A,#N/A,FALSE,"SummaryE";#N/A,#N/A,FALSE,"PayItem";#N/A,#N/A,FALSE,"Detail";#N/A,#N/A,FALSE,"ReconE"}</definedName>
    <definedName name="wrn.FINAL._.ESTIMATE._1" hidden="1">{#N/A,#N/A,FALSE,"ProjInfo";#N/A,#N/A,FALSE,"Params";#N/A,#N/A,FALSE,"Q&amp;AE";#N/A,#N/A,FALSE,"CostCompE";#N/A,#N/A,FALSE,"SummaryE";#N/A,#N/A,FALSE,"PayItem";#N/A,#N/A,FALSE,"Detail";#N/A,#N/A,FALSE,"ReconE"}</definedName>
    <definedName name="wrn.Final._.Output." localSheetId="6" hidden="1">{#N/A,#N/A,FALSE,"Final Output"}</definedName>
    <definedName name="wrn.Final._.Output." hidden="1">{#N/A,#N/A,FALSE,"Final Output"}</definedName>
    <definedName name="wrn.Final._.Package." localSheetId="0" hidden="1">{#N/A,#N/A,FALSE,"Cover Page";#N/A,#N/A,FALSE,"Hilites &amp; Trends";#N/A,#N/A,FALSE,"Balance Sheet";#N/A,#N/A,FALSE,"Profit &amp; Loss";#N/A,#N/A,FALSE,"LOB - CONSOL";#N/A,#N/A,FALSE,"CONSOLIDATED";#N/A,#N/A,FALSE,"Exposure";#N/A,#N/A,FALSE,"Summary";#N/A,#N/A,FALSE,"Summary (2)";#N/A,#N/A,FALSE,"Cover (2)";#N/A,#N/A,FALSE,"Detail"}</definedName>
    <definedName name="wrn.Final._.Package." localSheetId="6" hidden="1">{#N/A,#N/A,FALSE,"Cover Page";#N/A,#N/A,FALSE,"Hilites &amp; Trends";#N/A,#N/A,FALSE,"Balance Sheet";#N/A,#N/A,FALSE,"Profit &amp; Loss";#N/A,#N/A,FALSE,"LOB - CONSOL";#N/A,#N/A,FALSE,"CONSOLIDATED";#N/A,#N/A,FALSE,"Exposure";#N/A,#N/A,FALSE,"Summary";#N/A,#N/A,FALSE,"Summary (2)";#N/A,#N/A,FALSE,"Cover (2)";#N/A,#N/A,FALSE,"Detail"}</definedName>
    <definedName name="wrn.Final._.Package." hidden="1">{#N/A,#N/A,FALSE,"Cover Page";#N/A,#N/A,FALSE,"Hilites &amp; Trends";#N/A,#N/A,FALSE,"Balance Sheet";#N/A,#N/A,FALSE,"Profit &amp; Loss";#N/A,#N/A,FALSE,"LOB - CONSOL";#N/A,#N/A,FALSE,"CONSOLIDATED";#N/A,#N/A,FALSE,"Exposure";#N/A,#N/A,FALSE,"Summary";#N/A,#N/A,FALSE,"Summary (2)";#N/A,#N/A,FALSE,"Cover (2)";#N/A,#N/A,FALSE,"Detail"}</definedName>
    <definedName name="wrn.Financial._.Output." localSheetId="0" hidden="1">{"P and L",#N/A,FALSE,"Financial Output";"Cashflow",#N/A,FALSE,"Financial Output";"Balance Sheet",#N/A,FALSE,"Financial Output"}</definedName>
    <definedName name="wrn.Financial._.Output." localSheetId="6" hidden="1">{"P and L",#N/A,FALSE,"Financial Output";"Cashflow",#N/A,FALSE,"Financial Output";"Balance Sheet",#N/A,FALSE,"Financial Output"}</definedName>
    <definedName name="wrn.Financial._.Output." hidden="1">{"P and L",#N/A,FALSE,"Financial Output";"Cashflow",#N/A,FALSE,"Financial Output";"Balance Sheet",#N/A,FALSE,"Financial Output"}</definedName>
    <definedName name="wrn.Financial._.Output.2" localSheetId="6"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nancial._.Statements." localSheetId="0" hidden="1">{"Consolidated Balance Sheet",#N/A,FALSE,"Sheet2";"Consolidating Balance Sheet",#N/A,FALSE,"Sheet2";"Consolidated Income Statement",#N/A,FALSE,"Sheet2";"Consolidating Income Statement",#N/A,FALSE,"Sheet2";"Statement of Stockholders equity",#N/A,FALSE,"Sheet2"}</definedName>
    <definedName name="wrn.Financial._.Statements." localSheetId="6" hidden="1">{"Consolidated Balance Sheet",#N/A,FALSE,"Sheet2";"Consolidating Balance Sheet",#N/A,FALSE,"Sheet2";"Consolidated Income Statement",#N/A,FALSE,"Sheet2";"Consolidating Income Statement",#N/A,FALSE,"Sheet2";"Statement of Stockholders equity",#N/A,FALSE,"Sheet2"}</definedName>
    <definedName name="wrn.Financial._.Statements." hidden="1">{"Consolidated Balance Sheet",#N/A,FALSE,"Sheet2";"Consolidating Balance Sheet",#N/A,FALSE,"Sheet2";"Consolidated Income Statement",#N/A,FALSE,"Sheet2";"Consolidating Income Statement",#N/A,FALSE,"Sheet2";"Statement of Stockholders equity",#N/A,FALSE,"Sheet2"}</definedName>
    <definedName name="wrn.Financials._.YTD." localSheetId="0" hidden="1">{"YTD",#N/A,FALSE,"Consolidated"}</definedName>
    <definedName name="wrn.Financials._.YTD." localSheetId="6" hidden="1">{"YTD",#N/A,FALSE,"Consolidated"}</definedName>
    <definedName name="wrn.Financials._.YTD." hidden="1">{"YTD",#N/A,FALSE,"Consolidated"}</definedName>
    <definedName name="wrn.Financials_long." localSheetId="0" hidden="1">{"IS",#N/A,FALSE,"Financials2 (Expanded)";"bsa",#N/A,FALSE,"Financials2 (Expanded)";"BS",#N/A,FALSE,"Financials2 (Expanded)";"CF",#N/A,FALSE,"Financials2 (Expanded)"}</definedName>
    <definedName name="wrn.Financials_long." localSheetId="6" hidden="1">{"IS",#N/A,FALSE,"Financials2 (Expanded)";"bsa",#N/A,FALSE,"Financials2 (Expanded)";"BS",#N/A,FALSE,"Financials2 (Expanded)";"CF",#N/A,FALSE,"Financials2 (Expanded)"}</definedName>
    <definedName name="wrn.Financials_long." hidden="1">{"IS",#N/A,FALSE,"Financials2 (Expanded)";"bsa",#N/A,FALSE,"Financials2 (Expanded)";"BS",#N/A,FALSE,"Financials2 (Expanded)";"CF",#N/A,FALSE,"Financials2 (Expanded)"}</definedName>
    <definedName name="wrn.Finanzbedarfsrechnung." localSheetId="0" hidden="1">{#N/A,#N/A,FALSE,"Finanzbedarfsrechnung"}</definedName>
    <definedName name="wrn.Finanzbedarfsrechnung." localSheetId="6" hidden="1">{#N/A,#N/A,FALSE,"Finanzbedarfsrechnung"}</definedName>
    <definedName name="wrn.Finanzbedarfsrechnung." hidden="1">{#N/A,#N/A,FALSE,"Finanzbedarfsrechnung"}</definedName>
    <definedName name="wrn.FIRST." localSheetId="0" hidden="1">{#N/A,#N/A,FALSE,"1979";#N/A,#N/A,FALSE,"1980";#N/A,#N/A,FALSE,"1981";#N/A,#N/A,FALSE,"1982";#N/A,#N/A,FALSE,"1983";#N/A,#N/A,FALSE,"1984";#N/A,#N/A,FALSE,"1985";#N/A,#N/A,FALSE,"1986";#N/A,#N/A,FALSE,"1987";#N/A,#N/A,FALSE,"1988";#N/A,#N/A,FALSE,"1989";#N/A,#N/A,FALSE,"1990";#N/A,#N/A,FALSE,"1991";#N/A,#N/A,FALSE,"1992";#N/A,#N/A,FALSE,"1993";#N/A,#N/A,FALSE,"1994"}</definedName>
    <definedName name="wrn.FIRST." localSheetId="6" hidden="1">{#N/A,#N/A,FALSE,"1979";#N/A,#N/A,FALSE,"1980";#N/A,#N/A,FALSE,"1981";#N/A,#N/A,FALSE,"1982";#N/A,#N/A,FALSE,"1983";#N/A,#N/A,FALSE,"1984";#N/A,#N/A,FALSE,"1985";#N/A,#N/A,FALSE,"1986";#N/A,#N/A,FALSE,"1987";#N/A,#N/A,FALSE,"1988";#N/A,#N/A,FALSE,"1989";#N/A,#N/A,FALSE,"1990";#N/A,#N/A,FALSE,"1991";#N/A,#N/A,FALSE,"1992";#N/A,#N/A,FALSE,"1993";#N/A,#N/A,FALSE,"1994"}</definedName>
    <definedName name="wrn.FIRST." hidden="1">{#N/A,#N/A,FALSE,"1979";#N/A,#N/A,FALSE,"1980";#N/A,#N/A,FALSE,"1981";#N/A,#N/A,FALSE,"1982";#N/A,#N/A,FALSE,"1983";#N/A,#N/A,FALSE,"1984";#N/A,#N/A,FALSE,"1985";#N/A,#N/A,FALSE,"1986";#N/A,#N/A,FALSE,"1987";#N/A,#N/A,FALSE,"1988";#N/A,#N/A,FALSE,"1989";#N/A,#N/A,FALSE,"1990";#N/A,#N/A,FALSE,"1991";#N/A,#N/A,FALSE,"1992";#N/A,#N/A,FALSE,"1993";#N/A,#N/A,FALSE,"1994"}</definedName>
    <definedName name="wrn.First._.Grap._.on._.Things." localSheetId="6" hidden="1">{#N/A,#N/A,FALSE,"Overview"}</definedName>
    <definedName name="wrn.First._.Grap._.on._.Things." hidden="1">{#N/A,#N/A,FALSE,"Overview"}</definedName>
    <definedName name="wrn.First._.half." localSheetId="6" hidden="1">{#N/A,#N/A,TRUE,"Inflation";#N/A,#N/A,TRUE,"HCA Summary";#N/A,#N/A,TRUE,"Operating ratio graphs";#N/A,#N/A,TRUE,"HCA";#N/A,#N/A,TRUE,"Revenue";#N/A,#N/A,TRUE,"Opex";#N/A,#N/A,TRUE,"Fixed assets";#N/A,#N/A,TRUE,"Reserves"}</definedName>
    <definedName name="wrn.First._.half." hidden="1">{#N/A,#N/A,TRUE,"Inflation";#N/A,#N/A,TRUE,"HCA Summary";#N/A,#N/A,TRUE,"Operating ratio graphs";#N/A,#N/A,TRUE,"HCA";#N/A,#N/A,TRUE,"Revenue";#N/A,#N/A,TRUE,"Opex";#N/A,#N/A,TRUE,"Fixed assets";#N/A,#N/A,TRUE,"Reserves"}</definedName>
    <definedName name="wrn.FIRST2" localSheetId="0" hidden="1">{#N/A,#N/A,FALSE,"1979";#N/A,#N/A,FALSE,"1980";#N/A,#N/A,FALSE,"1981";#N/A,#N/A,FALSE,"1982";#N/A,#N/A,FALSE,"1983";#N/A,#N/A,FALSE,"1984";#N/A,#N/A,FALSE,"1985";#N/A,#N/A,FALSE,"1986";#N/A,#N/A,FALSE,"1987";#N/A,#N/A,FALSE,"1988";#N/A,#N/A,FALSE,"1989";#N/A,#N/A,FALSE,"1990";#N/A,#N/A,FALSE,"1991";#N/A,#N/A,FALSE,"1992";#N/A,#N/A,FALSE,"1993";#N/A,#N/A,FALSE,"1994"}</definedName>
    <definedName name="wrn.FIRST2" localSheetId="6" hidden="1">{#N/A,#N/A,FALSE,"1979";#N/A,#N/A,FALSE,"1980";#N/A,#N/A,FALSE,"1981";#N/A,#N/A,FALSE,"1982";#N/A,#N/A,FALSE,"1983";#N/A,#N/A,FALSE,"1984";#N/A,#N/A,FALSE,"1985";#N/A,#N/A,FALSE,"1986";#N/A,#N/A,FALSE,"1987";#N/A,#N/A,FALSE,"1988";#N/A,#N/A,FALSE,"1989";#N/A,#N/A,FALSE,"1990";#N/A,#N/A,FALSE,"1991";#N/A,#N/A,FALSE,"1992";#N/A,#N/A,FALSE,"1993";#N/A,#N/A,FALSE,"1994"}</definedName>
    <definedName name="wrn.FIRST2" hidden="1">{#N/A,#N/A,FALSE,"1979";#N/A,#N/A,FALSE,"1980";#N/A,#N/A,FALSE,"1981";#N/A,#N/A,FALSE,"1982";#N/A,#N/A,FALSE,"1983";#N/A,#N/A,FALSE,"1984";#N/A,#N/A,FALSE,"1985";#N/A,#N/A,FALSE,"1986";#N/A,#N/A,FALSE,"1987";#N/A,#N/A,FALSE,"1988";#N/A,#N/A,FALSE,"1989";#N/A,#N/A,FALSE,"1990";#N/A,#N/A,FALSE,"1991";#N/A,#N/A,FALSE,"1992";#N/A,#N/A,FALSE,"1993";#N/A,#N/A,FALSE,"1994"}</definedName>
    <definedName name="wrn.first2." localSheetId="6" hidden="1">{#N/A,#N/A,FALSE,"sum-don";#N/A,#N/A,FALSE,"inc-don"}</definedName>
    <definedName name="wrn.first2." hidden="1">{#N/A,#N/A,FALSE,"sum-don";#N/A,#N/A,FALSE,"inc-don"}</definedName>
    <definedName name="wrn.first3" localSheetId="0" hidden="1">{#N/A,#N/A,FALSE,"1979";#N/A,#N/A,FALSE,"1980";#N/A,#N/A,FALSE,"1981";#N/A,#N/A,FALSE,"1982";#N/A,#N/A,FALSE,"1983";#N/A,#N/A,FALSE,"1984";#N/A,#N/A,FALSE,"1985";#N/A,#N/A,FALSE,"1986";#N/A,#N/A,FALSE,"1987";#N/A,#N/A,FALSE,"1988";#N/A,#N/A,FALSE,"1989";#N/A,#N/A,FALSE,"1990";#N/A,#N/A,FALSE,"1991";#N/A,#N/A,FALSE,"1992";#N/A,#N/A,FALSE,"1993";#N/A,#N/A,FALSE,"1994"}</definedName>
    <definedName name="wrn.first3" localSheetId="6" hidden="1">{#N/A,#N/A,FALSE,"1979";#N/A,#N/A,FALSE,"1980";#N/A,#N/A,FALSE,"1981";#N/A,#N/A,FALSE,"1982";#N/A,#N/A,FALSE,"1983";#N/A,#N/A,FALSE,"1984";#N/A,#N/A,FALSE,"1985";#N/A,#N/A,FALSE,"1986";#N/A,#N/A,FALSE,"1987";#N/A,#N/A,FALSE,"1988";#N/A,#N/A,FALSE,"1989";#N/A,#N/A,FALSE,"1990";#N/A,#N/A,FALSE,"1991";#N/A,#N/A,FALSE,"1992";#N/A,#N/A,FALSE,"1993";#N/A,#N/A,FALSE,"1994"}</definedName>
    <definedName name="wrn.first3" hidden="1">{#N/A,#N/A,FALSE,"1979";#N/A,#N/A,FALSE,"1980";#N/A,#N/A,FALSE,"1981";#N/A,#N/A,FALSE,"1982";#N/A,#N/A,FALSE,"1983";#N/A,#N/A,FALSE,"1984";#N/A,#N/A,FALSE,"1985";#N/A,#N/A,FALSE,"1986";#N/A,#N/A,FALSE,"1987";#N/A,#N/A,FALSE,"1988";#N/A,#N/A,FALSE,"1989";#N/A,#N/A,FALSE,"1990";#N/A,#N/A,FALSE,"1991";#N/A,#N/A,FALSE,"1992";#N/A,#N/A,FALSE,"1993";#N/A,#N/A,FALSE,"1994"}</definedName>
    <definedName name="wrn.first3." localSheetId="6" hidden="1">{#N/A,#N/A,FALSE,"Summary";#N/A,#N/A,FALSE,"proj1";#N/A,#N/A,FALSE,"proj2"}</definedName>
    <definedName name="wrn.first3." hidden="1">{#N/A,#N/A,FALSE,"Summary";#N/A,#N/A,FALSE,"proj1";#N/A,#N/A,FALSE,"proj2"}</definedName>
    <definedName name="wrn.first4." localSheetId="6" hidden="1">{#N/A,#N/A,FALSE,"Summary";#N/A,#N/A,FALSE,"proj1";#N/A,#N/A,FALSE,"proj2";#N/A,#N/A,FALSE,"DCF"}</definedName>
    <definedName name="wrn.first4." hidden="1">{#N/A,#N/A,FALSE,"Summary";#N/A,#N/A,FALSE,"proj1";#N/A,#N/A,FALSE,"proj2";#N/A,#N/A,FALSE,"DCF"}</definedName>
    <definedName name="wrn.Five._.Year._.Record." localSheetId="0" hidden="1">{"Five Year Record",#N/A,FALSE,"Front and Back"}</definedName>
    <definedName name="wrn.Five._.Year._.Record." localSheetId="6" hidden="1">{"Five Year Record",#N/A,FALSE,"Front and Back"}</definedName>
    <definedName name="wrn.Five._.Year._.Record." hidden="1">{"Five Year Record",#N/A,FALSE,"Front and Back"}</definedName>
    <definedName name="wrn.Five._.Year._.Record.2" localSheetId="6" hidden="1">{"Five Year Record",#N/A,FALSE,"Front and Back"}</definedName>
    <definedName name="wrn.Five._.Year._.Record.2" hidden="1">{"Five Year Record",#N/A,FALSE,"Front and Back"}</definedName>
    <definedName name="wrn.FIXED._.ASSETS." localSheetId="6" hidden="1">{#N/A,#N/A,TRUE,"FA 1 &amp; 2";#N/A,#N/A,TRUE,"FA 3 &amp; 4";#N/A,#N/A,TRUE,"FA 5 &amp; 6";#N/A,#N/A,TRUE,"FA 7 &amp; 8";#N/A,#N/A,TRUE,"FA 9 &amp; 10";#N/A,#N/A,TRUE,"FA 11";#N/A,#N/A,TRUE,"FA 12";#N/A,#N/A,TRUE,"FA 13";#N/A,#N/A,TRUE,"FA 14 &amp; 15"}</definedName>
    <definedName name="wrn.FIXED._.ASSETS." hidden="1">{#N/A,#N/A,TRUE,"FA 1 &amp; 2";#N/A,#N/A,TRUE,"FA 3 &amp; 4";#N/A,#N/A,TRUE,"FA 5 &amp; 6";#N/A,#N/A,TRUE,"FA 7 &amp; 8";#N/A,#N/A,TRUE,"FA 9 &amp; 10";#N/A,#N/A,TRUE,"FA 11";#N/A,#N/A,TRUE,"FA 12";#N/A,#N/A,TRUE,"FA 13";#N/A,#N/A,TRUE,"FA 14 &amp; 15"}</definedName>
    <definedName name="wrn.Flash." localSheetId="0" hidden="1">{#N/A,#N/A,FALSE,"JKFLASH2";#N/A,#N/A,FALSE,"Page 4";#N/A,#N/A,FALSE,"page 3"}</definedName>
    <definedName name="wrn.Flash." localSheetId="6" hidden="1">{#N/A,#N/A,FALSE,"JKFLASH2";#N/A,#N/A,FALSE,"Page 4";#N/A,#N/A,FALSE,"page 3"}</definedName>
    <definedName name="wrn.Flash." hidden="1">{#N/A,#N/A,FALSE,"JKFLASH2";#N/A,#N/A,FALSE,"Page 4";#N/A,#N/A,FALSE,"page 3"}</definedName>
    <definedName name="wrn.FOBCALC." localSheetId="0" hidden="1">{"TOPOFFOB",#N/A,FALSE,"FREIGHT - FOB CALCULATIONS";"TABLEI",#N/A,FALSE,"FREIGHT - FOB CALCULATIONS";"TNKRFOB",#N/A,FALSE,"FREIGHT - FOB CALCULATIONS";"TABLEII",#N/A,FALSE,"FREIGHT - FOB CALCULATIONS";"TABLEIII",#N/A,FALSE,"FREIGHT - FOB CALCULATIONS";"TABLEIV",#N/A,FALSE,"FREIGHT - FOB CALCULATIONS";"TABLEV",#N/A,FALSE,"FREIGHT - FOB CALCULATIONS";"TABLEVI",#N/A,FALSE,"FREIGHT - FOB CALCULATIONS";"TABLEVII",#N/A,FALSE,"FREIGHT - FOB CALCULATIONS";"TABLEIX",#N/A,FALSE,"FREIGHT - FOB CALCULATIONS";"TABLEVIII",#N/A,FALSE,"FREIGHT - FOB CALCULATIONS";"TABLEX",#N/A,FALSE,"FREIGHT - FOB CALCULATIONS";"TABLEXI",#N/A,FALSE,"FREIGHT - FOB CALCULATIONS";"TABLEXII",#N/A,FALSE,"FREIGHT - FOB CALCULATIONS";"TABLEXIII",#N/A,FALSE,"FREIGHT - FOB CALCULATIONS"}</definedName>
    <definedName name="wrn.FOBCALC." localSheetId="6" hidden="1">{"TOPOFFOB",#N/A,FALSE,"FREIGHT - FOB CALCULATIONS";"TABLEI",#N/A,FALSE,"FREIGHT - FOB CALCULATIONS";"TNKRFOB",#N/A,FALSE,"FREIGHT - FOB CALCULATIONS";"TABLEII",#N/A,FALSE,"FREIGHT - FOB CALCULATIONS";"TABLEIII",#N/A,FALSE,"FREIGHT - FOB CALCULATIONS";"TABLEIV",#N/A,FALSE,"FREIGHT - FOB CALCULATIONS";"TABLEV",#N/A,FALSE,"FREIGHT - FOB CALCULATIONS";"TABLEVI",#N/A,FALSE,"FREIGHT - FOB CALCULATIONS";"TABLEVII",#N/A,FALSE,"FREIGHT - FOB CALCULATIONS";"TABLEIX",#N/A,FALSE,"FREIGHT - FOB CALCULATIONS";"TABLEVIII",#N/A,FALSE,"FREIGHT - FOB CALCULATIONS";"TABLEX",#N/A,FALSE,"FREIGHT - FOB CALCULATIONS";"TABLEXI",#N/A,FALSE,"FREIGHT - FOB CALCULATIONS";"TABLEXII",#N/A,FALSE,"FREIGHT - FOB CALCULATIONS";"TABLEXIII",#N/A,FALSE,"FREIGHT - FOB CALCULATIONS"}</definedName>
    <definedName name="wrn.FOBCALC." hidden="1">{"TOPOFFOB",#N/A,FALSE,"FREIGHT - FOB CALCULATIONS";"TABLEI",#N/A,FALSE,"FREIGHT - FOB CALCULATIONS";"TNKRFOB",#N/A,FALSE,"FREIGHT - FOB CALCULATIONS";"TABLEII",#N/A,FALSE,"FREIGHT - FOB CALCULATIONS";"TABLEIII",#N/A,FALSE,"FREIGHT - FOB CALCULATIONS";"TABLEIV",#N/A,FALSE,"FREIGHT - FOB CALCULATIONS";"TABLEV",#N/A,FALSE,"FREIGHT - FOB CALCULATIONS";"TABLEVI",#N/A,FALSE,"FREIGHT - FOB CALCULATIONS";"TABLEVII",#N/A,FALSE,"FREIGHT - FOB CALCULATIONS";"TABLEIX",#N/A,FALSE,"FREIGHT - FOB CALCULATIONS";"TABLEVIII",#N/A,FALSE,"FREIGHT - FOB CALCULATIONS";"TABLEX",#N/A,FALSE,"FREIGHT - FOB CALCULATIONS";"TABLEXI",#N/A,FALSE,"FREIGHT - FOB CALCULATIONS";"TABLEXII",#N/A,FALSE,"FREIGHT - FOB CALCULATIONS";"TABLEXIII",#N/A,FALSE,"FREIGHT - FOB CALCULATIONS"}</definedName>
    <definedName name="wrn.for._.TenneT." localSheetId="0"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 localSheetId="6"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_.TenneT." hidden="1">{#N/A,#N/A,TRUE,"Cover";#N/A,#N/A,TRUE,"Corrections";#N/A,#N/A,TRUE,"Tariffs DTe";#N/A,#N/A,TRUE,"Revenues";#N/A,#N/A,TRUE,"Energie&amp;Vermogen";#N/A,#N/A,TRUE,"TPA";#N/A,#N/A,TRUE,"Opex 1";#N/A,#N/A,TRUE,"Capital Expenditures";#N/A,#N/A,TRUE,"Budget TenneT";#N/A,#N/A,TRUE,"P&amp;L";#N/A,#N/A,TRUE,"BS";#N/A,#N/A,TRUE,"Debt";#N/A,#N/A,TRUE,"Lines";#N/A,#N/A,TRUE,"Stations";#N/A,#N/A,TRUE,"Cap. Expenses";#N/A,#N/A,TRUE,"Land";#N/A,#N/A,TRUE,"Cen Proces Sys";#N/A,#N/A,TRUE,"telecom";#N/A,#N/A,TRUE,"Other"}</definedName>
    <definedName name="wrn.FORM1." localSheetId="0" hidden="1">{#N/A,#N/A,FALSE,"COMP"}</definedName>
    <definedName name="wrn.FORM1." localSheetId="6" hidden="1">{#N/A,#N/A,FALSE,"COMP"}</definedName>
    <definedName name="wrn.FORM1." hidden="1">{#N/A,#N/A,FALSE,"COMP"}</definedName>
    <definedName name="wrn.Front._.Page." localSheetId="0" hidden="1">{"Front Page",#N/A,FALSE,"Front and Back"}</definedName>
    <definedName name="wrn.Front._.Page." localSheetId="6" hidden="1">{"Front Page",#N/A,FALSE,"Front and Back"}</definedName>
    <definedName name="wrn.Front._.Page." hidden="1">{"Front Page",#N/A,FALSE,"Front and Back"}</definedName>
    <definedName name="wrn.Front._.Page.2" localSheetId="6" hidden="1">{"Front Page",#N/A,FALSE,"Front and Back"}</definedName>
    <definedName name="wrn.Front._.Page.2" hidden="1">{"Front Page",#N/A,FALSE,"Front and Back"}</definedName>
    <definedName name="wrn.Front._.section." localSheetId="6" hidden="1">{#N/A,#N/A,TRUE,"Cover";#N/A,#N/A,TRUE,"Scenario Inputs"}</definedName>
    <definedName name="wrn.Front._.section." hidden="1">{#N/A,#N/A,TRUE,"Cover";#N/A,#N/A,TRUE,"Scenario Inputs"}</definedName>
    <definedName name="wrn.frully." localSheetId="0" hidden="1">{#N/A,#N/A,FALSE,"P&amp;L"}</definedName>
    <definedName name="wrn.frully." localSheetId="6" hidden="1">{#N/A,#N/A,FALSE,"P&amp;L"}</definedName>
    <definedName name="wrn.frully." hidden="1">{#N/A,#N/A,FALSE,"P&amp;L"}</definedName>
    <definedName name="wrn.frully._.smodel." localSheetId="0" hidden="1">{#N/A,#N/A,TRUE,"Cover sheet";#N/A,#N/A,TRUE,"DCF analysis";#N/A,#N/A,TRUE,"WACC calculation"}</definedName>
    <definedName name="wrn.frully._.smodel." localSheetId="6" hidden="1">{#N/A,#N/A,TRUE,"Cover sheet";#N/A,#N/A,TRUE,"DCF analysis";#N/A,#N/A,TRUE,"WACC calculation"}</definedName>
    <definedName name="wrn.frully._.smodel." hidden="1">{#N/A,#N/A,TRUE,"Cover sheet";#N/A,#N/A,TRUE,"DCF analysis";#N/A,#N/A,TRUE,"WACC calculation"}</definedName>
    <definedName name="wrn.Fuel._.oil._.option." localSheetId="6" hidden="1">{"FUEL OIL",#N/A,FALSE,"Option"}</definedName>
    <definedName name="wrn.Fuel._.oil._.option." hidden="1">{"FUEL OIL",#N/A,FALSE,"Option"}</definedName>
    <definedName name="wrn.Fuel._.oil._.option._1" localSheetId="6" hidden="1">{"FUEL OIL",#N/A,FALSE,"Option"}</definedName>
    <definedName name="wrn.Fuel._.oil._.option._1" hidden="1">{"FUEL OIL",#N/A,FALSE,"Option"}</definedName>
    <definedName name="wrn.FULL." localSheetId="0" hidden="1">{"divisions",#N/A,TRUE,"Drivers";"PandL_Ratios",#N/A,TRUE,"P&amp;L"}</definedName>
    <definedName name="wrn.FULL." localSheetId="6" hidden="1">{"divisions",#N/A,TRUE,"Drivers";"PandL_Ratios",#N/A,TRUE,"P&amp;L"}</definedName>
    <definedName name="wrn.FULL." hidden="1">{"divisions",#N/A,TRUE,"Drivers";"PandL_Ratios",#N/A,TRUE,"P&amp;L"}</definedName>
    <definedName name="wrn.Full._.Model." localSheetId="0" hidden="1">{#N/A,#N/A,TRUE,"Cover sheet";#N/A,#N/A,TRUE,"DCF analysis";#N/A,#N/A,TRUE,"WACC calculation"}</definedName>
    <definedName name="wrn.Full._.Model." localSheetId="6" hidden="1">{#N/A,#N/A,TRUE,"Cover sheet";#N/A,#N/A,TRUE,"DCF analysis";#N/A,#N/A,TRUE,"WACC calculation"}</definedName>
    <definedName name="wrn.Full._.Model." hidden="1">{#N/A,#N/A,TRUE,"Cover sheet";#N/A,#N/A,TRUE,"DCF analysis";#N/A,#N/A,TRUE,"WACC calculation"}</definedName>
    <definedName name="wrn.Full._.Monty." localSheetId="0"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localSheetId="6" hidden="1">{"ROIC",#N/A,FALSE,"ROIC";"Graphs",#N/A,FALSE,"TY analysis";"fcf",#N/A,FALSE,"FCF";"Matrix_2004",#N/A,FALSE,"MATRIX(2004)";"matrix_2008",#N/A,FALSE,"MATRIX(2008)";"FS_Condensed",#N/A,FALSE,"Financial Statements2";"TAXES",#N/A,FALSE,"Taxes";"DEBT_INVEST",#N/A,FALSE,"Debt&amp;Investment Schedule";"Main_menu",#N/A,FALSE,"Main Menu"}</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Package." localSheetId="0"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 localSheetId="6"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ackage." hidden="1">{#N/A,#N/A,FALSE,"COVER";#N/A,#N/A,FALSE,"INDEX";#N/A,#N/A,FALSE,"P1000 P&amp;L";#N/A,#N/A,FALSE,"B1000 Balance Sheet";#N/A,#N/A,FALSE,"P1100 Turnover";#N/A,#N/A,FALSE,"P1200 Exceptional";#N/A,#N/A,FALSE,"P1300 Interest";#N/A,#N/A,FALSE,"P1400 Dividends";#N/A,#N/A,FALSE,"P1500 Other P&amp;L Details";#N/A,#N/A,FALSE,"P1600 Profit Reconciliation";#N/A,#N/A,FALSE,"B1100 Tangible Assets";#N/A,#N/A,FALSE,"B1110 Plant and Equipment";#N/A,#N/A,FALSE,"B1120 FA Disps &amp; Historic Cost";#N/A,#N/A,FALSE,"B1200 Investment in Subs";#N/A,#N/A,FALSE,"B1210 Provision in Subs";#N/A,#N/A,FALSE,"B1300 Asso, Other Invs &amp; G'will";#N/A,#N/A,FALSE,"B1400 Stocks";#N/A,#N/A,FALSE,"B1500 Debtors";#N/A,#N/A,FALSE,"B1600 Current Asset Investments";#N/A,#N/A,FALSE,"B1700 Cash, Bank, Loans";#N/A,#N/A,FALSE,"B1800 Creditors &lt; 1 Year";#N/A,#N/A,FALSE,"B1900 Creditors &gt; 1 Year";#N/A,#N/A,FALSE,"B2000 Leasing and Provisions";#N/A,#N/A,FALSE,"B2100 Intra Group";#N/A,#N/A,FALSE,"B2200 Assoc, Cap Com, Conting";#N/A,#N/A,FALSE,"B3000 Share Capital &amp; Reserves";#N/A,#N/A,FALSE,"T1000 Taxation";#N/A,#N/A,FALSE,"D1000 Derivatives etc";#N/A,#N/A,FALSE,"R1000 Related Party"}</definedName>
    <definedName name="wrn.Full._.Print." localSheetId="6" hidden="1">{"Compco",#N/A,FALSE,"CWS";"Summary",#N/A,FALSE,"CWS";"WACC",#N/A,FALSE,"CWS"}</definedName>
    <definedName name="wrn.Full._.Print." hidden="1">{"Compco",#N/A,FALSE,"CWS";"Summary",#N/A,FALSE,"CWS";"WACC",#N/A,FALSE,"CWS"}</definedName>
    <definedName name="wrn.Full._.Print._.Out." localSheetId="6" hidden="1">{"Cover",#N/A,TRUE,"Cover Sheet";"Summary",#N/A,TRUE,"Summary";"Assumptions",#N/A,TRUE,"Assumptions";#N/A,#N/A,TRUE,"Broker Mean";"Acquirer",#N/A,TRUE,"A - Acquirer";"Target",#N/A,TRUE,"T-Target";"Combined (Full)",#N/A,TRUE,"Combined Group";#N/A,#N/A,TRUE,"Comp ROIC";#N/A,#N/A,TRUE,"Sensitivity";#N/A,#N/A,TRUE,"Credit Graph";#N/A,#N/A,TRUE,"Debt Schedule"}</definedName>
    <definedName name="wrn.Full._.Print._.Out." hidden="1">{"Cover",#N/A,TRUE,"Cover Sheet";"Summary",#N/A,TRUE,"Summary";"Assumptions",#N/A,TRUE,"Assumptions";#N/A,#N/A,TRUE,"Broker Mean";"Acquirer",#N/A,TRUE,"A - Acquirer";"Target",#N/A,TRUE,"T-Target";"Combined (Full)",#N/A,TRUE,"Combined Group";#N/A,#N/A,TRUE,"Comp ROIC";#N/A,#N/A,TRUE,"Sensitivity";#N/A,#N/A,TRUE,"Credit Graph";#N/A,#N/A,TRUE,"Debt Schedule"}</definedName>
    <definedName name="wrn.Full._.report." localSheetId="0" hidden="1">{"Full annual",#N/A,FALSE,"Master";"P and L halfyearly",#N/A,FALSE,"Master";"Underlying halfyearly",#N/A,FALSE,"Master"}</definedName>
    <definedName name="wrn.Full._.Report." localSheetId="6" hidden="1">{#N/A,#N/A,TRUE,"Income Statement";#N/A,#N/A,TRUE,"Gas Assumptions";#N/A,#N/A,TRUE,"DCF";#N/A,#N/A,TRUE,"Depreciation Matrix";#N/A,#N/A,TRUE,"Matrix";#N/A,#N/A,TRUE,"Matrix_Perpetuity"}</definedName>
    <definedName name="wrn.Full._.Report." hidden="1">{#N/A,#N/A,TRUE,"Income Statement";#N/A,#N/A,TRUE,"Gas Assumptions";#N/A,#N/A,TRUE,"DCF";#N/A,#N/A,TRUE,"Depreciation Matrix";#N/A,#N/A,TRUE,"Matrix";#N/A,#N/A,TRUE,"Matrix_Perpetuity"}</definedName>
    <definedName name="wrn.Full._.without._.data." localSheetId="0"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localSheetId="6"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y." localSheetId="0" hidden="1">{#N/A,#N/A,FALSE,"P&amp;L"}</definedName>
    <definedName name="wrn.fully." localSheetId="6" hidden="1">{#N/A,#N/A,FALSE,"P&amp;L"}</definedName>
    <definedName name="wrn.fully." hidden="1">{#N/A,#N/A,FALSE,"P&amp;L"}</definedName>
    <definedName name="wrn.fully._.Model" localSheetId="0" hidden="1">{#N/A,#N/A,TRUE,"Cover sheet";#N/A,#N/A,TRUE,"DCF analysis";#N/A,#N/A,TRUE,"WACC calculation"}</definedName>
    <definedName name="wrn.fully._.Model" localSheetId="6" hidden="1">{#N/A,#N/A,TRUE,"Cover sheet";#N/A,#N/A,TRUE,"DCF analysis";#N/A,#N/A,TRUE,"WACC calculation"}</definedName>
    <definedName name="wrn.fully._.Model" hidden="1">{#N/A,#N/A,TRUE,"Cover sheet";#N/A,#N/A,TRUE,"DCF analysis";#N/A,#N/A,TRUE,"WACC calculation"}</definedName>
    <definedName name="wrn.FY96sbp99" localSheetId="0" hidden="1">{#N/A,#N/A,FALSE,"FY97";#N/A,#N/A,FALSE,"FY98";#N/A,#N/A,FALSE,"FY99";#N/A,#N/A,FALSE,"FY00";#N/A,#N/A,FALSE,"FY01"}</definedName>
    <definedName name="wrn.FY96sbp99" localSheetId="6" hidden="1">{#N/A,#N/A,FALSE,"FY97";#N/A,#N/A,FALSE,"FY98";#N/A,#N/A,FALSE,"FY99";#N/A,#N/A,FALSE,"FY00";#N/A,#N/A,FALSE,"FY01"}</definedName>
    <definedName name="wrn.FY96sbp99" hidden="1">{#N/A,#N/A,FALSE,"FY97";#N/A,#N/A,FALSE,"FY98";#N/A,#N/A,FALSE,"FY99";#N/A,#N/A,FALSE,"FY00";#N/A,#N/A,FALSE,"FY01"}</definedName>
    <definedName name="wrn.FY97SBP." localSheetId="0" hidden="1">{#N/A,#N/A,FALSE,"FY97";#N/A,#N/A,FALSE,"FY98";#N/A,#N/A,FALSE,"FY99";#N/A,#N/A,FALSE,"FY00";#N/A,#N/A,FALSE,"FY01"}</definedName>
    <definedName name="wrn.FY97SBP." localSheetId="6" hidden="1">{#N/A,#N/A,FALSE,"FY97";#N/A,#N/A,FALSE,"FY98";#N/A,#N/A,FALSE,"FY99";#N/A,#N/A,FALSE,"FY00";#N/A,#N/A,FALSE,"FY01"}</definedName>
    <definedName name="wrn.FY97SBP." hidden="1">{#N/A,#N/A,FALSE,"FY97";#N/A,#N/A,FALSE,"FY98";#N/A,#N/A,FALSE,"FY99";#N/A,#N/A,FALSE,"FY00";#N/A,#N/A,FALSE,"FY01"}</definedName>
    <definedName name="wrn.FY97SBP._1" localSheetId="0" hidden="1">{#N/A,#N/A,FALSE,"FY97";#N/A,#N/A,FALSE,"FY98";#N/A,#N/A,FALSE,"FY99";#N/A,#N/A,FALSE,"FY00";#N/A,#N/A,FALSE,"FY01"}</definedName>
    <definedName name="wrn.FY97SBP._1" localSheetId="6" hidden="1">{#N/A,#N/A,FALSE,"FY97";#N/A,#N/A,FALSE,"FY98";#N/A,#N/A,FALSE,"FY99";#N/A,#N/A,FALSE,"FY00";#N/A,#N/A,FALSE,"FY01"}</definedName>
    <definedName name="wrn.FY97SBP._1" hidden="1">{#N/A,#N/A,FALSE,"FY97";#N/A,#N/A,FALSE,"FY98";#N/A,#N/A,FALSE,"FY99";#N/A,#N/A,FALSE,"FY00";#N/A,#N/A,FALSE,"FY01"}</definedName>
    <definedName name="wrn.FY97SBP2" localSheetId="0" hidden="1">{#N/A,#N/A,FALSE,"FY97";#N/A,#N/A,FALSE,"FY98";#N/A,#N/A,FALSE,"FY99";#N/A,#N/A,FALSE,"FY00";#N/A,#N/A,FALSE,"FY01"}</definedName>
    <definedName name="wrn.FY97SBP2" localSheetId="6" hidden="1">{#N/A,#N/A,FALSE,"FY97";#N/A,#N/A,FALSE,"FY98";#N/A,#N/A,FALSE,"FY99";#N/A,#N/A,FALSE,"FY00";#N/A,#N/A,FALSE,"FY01"}</definedName>
    <definedName name="wrn.FY97SBP2" hidden="1">{#N/A,#N/A,FALSE,"FY97";#N/A,#N/A,FALSE,"FY98";#N/A,#N/A,FALSE,"FY99";#N/A,#N/A,FALSE,"FY00";#N/A,#N/A,FALSE,"FY01"}</definedName>
    <definedName name="wrn.GASCOND." localSheetId="0" hidden="1">{"GASCOND",#N/A,FALSE,"CONDENSATE";"CRUDECOND",#N/A,FALSE,"CONDENSATE";"TOTALCOND",#N/A,FALSE,"CONDENSATE"}</definedName>
    <definedName name="wrn.GASCOND." localSheetId="6" hidden="1">{"GASCOND",#N/A,FALSE,"CONDENSATE";"CRUDECOND",#N/A,FALSE,"CONDENSATE";"TOTALCOND",#N/A,FALSE,"CONDENSATE"}</definedName>
    <definedName name="wrn.GASCOND." hidden="1">{"GASCOND",#N/A,FALSE,"CONDENSATE";"CRUDECOND",#N/A,FALSE,"CONDENSATE";"TOTALCOND",#N/A,FALSE,"CONDENSATE"}</definedName>
    <definedName name="wrn.GASODEM." localSheetId="0" hidden="1">{"monthly",#N/A,FALSE,"GASODEM";"qtr to yr",#N/A,FALSE,"GASODEM"}</definedName>
    <definedName name="wrn.GASODEM." localSheetId="6" hidden="1">{"monthly",#N/A,FALSE,"GASODEM";"qtr to yr",#N/A,FALSE,"GASODEM"}</definedName>
    <definedName name="wrn.GASODEM." hidden="1">{"monthly",#N/A,FALSE,"GASODEM";"qtr to yr",#N/A,FALSE,"GASODEM"}</definedName>
    <definedName name="wrn.GB._.99." localSheetId="0" hidden="1">{#N/A,#N/A,FALSE,"Umsatz 99";#N/A,#N/A,FALSE,"ER 99 "}</definedName>
    <definedName name="wrn.GB._.99." localSheetId="6" hidden="1">{#N/A,#N/A,FALSE,"Umsatz 99";#N/A,#N/A,FALSE,"ER 99 "}</definedName>
    <definedName name="wrn.GB._.99." hidden="1">{#N/A,#N/A,FALSE,"Umsatz 99";#N/A,#N/A,FALSE,"ER 99 "}</definedName>
    <definedName name="wrn.GB._.99._1" localSheetId="0" hidden="1">{#N/A,#N/A,FALSE,"Umsatz 99";#N/A,#N/A,FALSE,"ER 99 "}</definedName>
    <definedName name="wrn.GB._.99._1" localSheetId="6" hidden="1">{#N/A,#N/A,FALSE,"Umsatz 99";#N/A,#N/A,FALSE,"ER 99 "}</definedName>
    <definedName name="wrn.GB._.99._1" hidden="1">{#N/A,#N/A,FALSE,"Umsatz 99";#N/A,#N/A,FALSE,"ER 99 "}</definedName>
    <definedName name="wrn.GB._.99._1_1" localSheetId="0" hidden="1">{#N/A,#N/A,FALSE,"Umsatz 99";#N/A,#N/A,FALSE,"ER 99 "}</definedName>
    <definedName name="wrn.GB._.99._1_1" localSheetId="6" hidden="1">{#N/A,#N/A,FALSE,"Umsatz 99";#N/A,#N/A,FALSE,"ER 99 "}</definedName>
    <definedName name="wrn.GB._.99._1_1" hidden="1">{#N/A,#N/A,FALSE,"Umsatz 99";#N/A,#N/A,FALSE,"ER 99 "}</definedName>
    <definedName name="wrn.GB._.99._2" localSheetId="0" hidden="1">{#N/A,#N/A,FALSE,"Umsatz 99";#N/A,#N/A,FALSE,"ER 99 "}</definedName>
    <definedName name="wrn.GB._.99._2" localSheetId="6" hidden="1">{#N/A,#N/A,FALSE,"Umsatz 99";#N/A,#N/A,FALSE,"ER 99 "}</definedName>
    <definedName name="wrn.GB._.99._2" hidden="1">{#N/A,#N/A,FALSE,"Umsatz 99";#N/A,#N/A,FALSE,"ER 99 "}</definedName>
    <definedName name="wrn.GB._.99._3" localSheetId="0" hidden="1">{#N/A,#N/A,FALSE,"Umsatz 99";#N/A,#N/A,FALSE,"ER 99 "}</definedName>
    <definedName name="wrn.GB._.99._3" localSheetId="6" hidden="1">{#N/A,#N/A,FALSE,"Umsatz 99";#N/A,#N/A,FALSE,"ER 99 "}</definedName>
    <definedName name="wrn.GB._.99._3" hidden="1">{#N/A,#N/A,FALSE,"Umsatz 99";#N/A,#N/A,FALSE,"ER 99 "}</definedName>
    <definedName name="wrn.GB._.99._4" localSheetId="0" hidden="1">{#N/A,#N/A,FALSE,"Umsatz 99";#N/A,#N/A,FALSE,"ER 99 "}</definedName>
    <definedName name="wrn.GB._.99._4" localSheetId="6" hidden="1">{#N/A,#N/A,FALSE,"Umsatz 99";#N/A,#N/A,FALSE,"ER 99 "}</definedName>
    <definedName name="wrn.GB._.99._4" hidden="1">{#N/A,#N/A,FALSE,"Umsatz 99";#N/A,#N/A,FALSE,"ER 99 "}</definedName>
    <definedName name="wrn.GB._.99._5" localSheetId="0" hidden="1">{#N/A,#N/A,FALSE,"Umsatz 99";#N/A,#N/A,FALSE,"ER 99 "}</definedName>
    <definedName name="wrn.GB._.99._5" localSheetId="6" hidden="1">{#N/A,#N/A,FALSE,"Umsatz 99";#N/A,#N/A,FALSE,"ER 99 "}</definedName>
    <definedName name="wrn.GB._.99._5" hidden="1">{#N/A,#N/A,FALSE,"Umsatz 99";#N/A,#N/A,FALSE,"ER 99 "}</definedName>
    <definedName name="wrn.GB._.CH." localSheetId="0" hidden="1">{#N/A,#N/A,FALSE,"Umsatz CH";#N/A,#N/A,FALSE,"ER CH";#N/A,#N/A,FALSE,"EA CH (2) ";#N/A,#N/A,FALSE,"EA CH";#N/A,#N/A,FALSE,"EA CH (3) ";#N/A,#N/A,FALSE,"EA CH (4)";#N/A,#N/A,FALSE,"KA CH";#N/A,#N/A,FALSE,"KA CH  (2)";#N/A,#N/A,FALSE,"KA CH  (3)";#N/A,#N/A,FALSE,"KA CH (4)"}</definedName>
    <definedName name="wrn.GB._.CH." localSheetId="6" hidden="1">{#N/A,#N/A,FALSE,"Umsatz CH";#N/A,#N/A,FALSE,"ER CH";#N/A,#N/A,FALSE,"EA CH (2) ";#N/A,#N/A,FALSE,"EA CH";#N/A,#N/A,FALSE,"EA CH (3) ";#N/A,#N/A,FALSE,"EA CH (4)";#N/A,#N/A,FALSE,"KA CH";#N/A,#N/A,FALSE,"KA CH  (2)";#N/A,#N/A,FALSE,"KA CH  (3)";#N/A,#N/A,FALSE,"KA CH (4)"}</definedName>
    <definedName name="wrn.GB._.CH." hidden="1">{#N/A,#N/A,FALSE,"Umsatz CH";#N/A,#N/A,FALSE,"ER CH";#N/A,#N/A,FALSE,"EA CH (2) ";#N/A,#N/A,FALSE,"EA CH";#N/A,#N/A,FALSE,"EA CH (3) ";#N/A,#N/A,FALSE,"EA CH (4)";#N/A,#N/A,FALSE,"KA CH";#N/A,#N/A,FALSE,"KA CH  (2)";#N/A,#N/A,FALSE,"KA CH  (3)";#N/A,#N/A,FALSE,"KA CH (4)"}</definedName>
    <definedName name="wrn.GB._.CH._1" localSheetId="0" hidden="1">{#N/A,#N/A,FALSE,"Umsatz CH";#N/A,#N/A,FALSE,"ER CH";#N/A,#N/A,FALSE,"EA CH (2) ";#N/A,#N/A,FALSE,"EA CH";#N/A,#N/A,FALSE,"EA CH (3) ";#N/A,#N/A,FALSE,"EA CH (4)";#N/A,#N/A,FALSE,"KA CH";#N/A,#N/A,FALSE,"KA CH  (2)";#N/A,#N/A,FALSE,"KA CH  (3)";#N/A,#N/A,FALSE,"KA CH (4)"}</definedName>
    <definedName name="wrn.GB._.CH._1" localSheetId="6" hidden="1">{#N/A,#N/A,FALSE,"Umsatz CH";#N/A,#N/A,FALSE,"ER CH";#N/A,#N/A,FALSE,"EA CH (2) ";#N/A,#N/A,FALSE,"EA CH";#N/A,#N/A,FALSE,"EA CH (3) ";#N/A,#N/A,FALSE,"EA CH (4)";#N/A,#N/A,FALSE,"KA CH";#N/A,#N/A,FALSE,"KA CH  (2)";#N/A,#N/A,FALSE,"KA CH  (3)";#N/A,#N/A,FALSE,"KA CH (4)"}</definedName>
    <definedName name="wrn.GB._.CH._1" hidden="1">{#N/A,#N/A,FALSE,"Umsatz CH";#N/A,#N/A,FALSE,"ER CH";#N/A,#N/A,FALSE,"EA CH (2) ";#N/A,#N/A,FALSE,"EA CH";#N/A,#N/A,FALSE,"EA CH (3) ";#N/A,#N/A,FALSE,"EA CH (4)";#N/A,#N/A,FALSE,"KA CH";#N/A,#N/A,FALSE,"KA CH  (2)";#N/A,#N/A,FALSE,"KA CH  (3)";#N/A,#N/A,FALSE,"KA CH (4)"}</definedName>
    <definedName name="wrn.GB._.CH._1_1" localSheetId="0" hidden="1">{#N/A,#N/A,FALSE,"Umsatz CH";#N/A,#N/A,FALSE,"ER CH";#N/A,#N/A,FALSE,"EA CH (2) ";#N/A,#N/A,FALSE,"EA CH";#N/A,#N/A,FALSE,"EA CH (3) ";#N/A,#N/A,FALSE,"EA CH (4)";#N/A,#N/A,FALSE,"KA CH";#N/A,#N/A,FALSE,"KA CH  (2)";#N/A,#N/A,FALSE,"KA CH  (3)";#N/A,#N/A,FALSE,"KA CH (4)"}</definedName>
    <definedName name="wrn.GB._.CH._1_1" localSheetId="6" hidden="1">{#N/A,#N/A,FALSE,"Umsatz CH";#N/A,#N/A,FALSE,"ER CH";#N/A,#N/A,FALSE,"EA CH (2) ";#N/A,#N/A,FALSE,"EA CH";#N/A,#N/A,FALSE,"EA CH (3) ";#N/A,#N/A,FALSE,"EA CH (4)";#N/A,#N/A,FALSE,"KA CH";#N/A,#N/A,FALSE,"KA CH  (2)";#N/A,#N/A,FALSE,"KA CH  (3)";#N/A,#N/A,FALSE,"KA CH (4)"}</definedName>
    <definedName name="wrn.GB._.CH._1_1" hidden="1">{#N/A,#N/A,FALSE,"Umsatz CH";#N/A,#N/A,FALSE,"ER CH";#N/A,#N/A,FALSE,"EA CH (2) ";#N/A,#N/A,FALSE,"EA CH";#N/A,#N/A,FALSE,"EA CH (3) ";#N/A,#N/A,FALSE,"EA CH (4)";#N/A,#N/A,FALSE,"KA CH";#N/A,#N/A,FALSE,"KA CH  (2)";#N/A,#N/A,FALSE,"KA CH  (3)";#N/A,#N/A,FALSE,"KA CH (4)"}</definedName>
    <definedName name="wrn.GB._.CH._2" localSheetId="0" hidden="1">{#N/A,#N/A,FALSE,"Umsatz CH";#N/A,#N/A,FALSE,"ER CH";#N/A,#N/A,FALSE,"EA CH (2) ";#N/A,#N/A,FALSE,"EA CH";#N/A,#N/A,FALSE,"EA CH (3) ";#N/A,#N/A,FALSE,"EA CH (4)";#N/A,#N/A,FALSE,"KA CH";#N/A,#N/A,FALSE,"KA CH  (2)";#N/A,#N/A,FALSE,"KA CH  (3)";#N/A,#N/A,FALSE,"KA CH (4)"}</definedName>
    <definedName name="wrn.GB._.CH._2" localSheetId="6" hidden="1">{#N/A,#N/A,FALSE,"Umsatz CH";#N/A,#N/A,FALSE,"ER CH";#N/A,#N/A,FALSE,"EA CH (2) ";#N/A,#N/A,FALSE,"EA CH";#N/A,#N/A,FALSE,"EA CH (3) ";#N/A,#N/A,FALSE,"EA CH (4)";#N/A,#N/A,FALSE,"KA CH";#N/A,#N/A,FALSE,"KA CH  (2)";#N/A,#N/A,FALSE,"KA CH  (3)";#N/A,#N/A,FALSE,"KA CH (4)"}</definedName>
    <definedName name="wrn.GB._.CH._2" hidden="1">{#N/A,#N/A,FALSE,"Umsatz CH";#N/A,#N/A,FALSE,"ER CH";#N/A,#N/A,FALSE,"EA CH (2) ";#N/A,#N/A,FALSE,"EA CH";#N/A,#N/A,FALSE,"EA CH (3) ";#N/A,#N/A,FALSE,"EA CH (4)";#N/A,#N/A,FALSE,"KA CH";#N/A,#N/A,FALSE,"KA CH  (2)";#N/A,#N/A,FALSE,"KA CH  (3)";#N/A,#N/A,FALSE,"KA CH (4)"}</definedName>
    <definedName name="wrn.GB._.CH._3" localSheetId="0" hidden="1">{#N/A,#N/A,FALSE,"Umsatz CH";#N/A,#N/A,FALSE,"ER CH";#N/A,#N/A,FALSE,"EA CH (2) ";#N/A,#N/A,FALSE,"EA CH";#N/A,#N/A,FALSE,"EA CH (3) ";#N/A,#N/A,FALSE,"EA CH (4)";#N/A,#N/A,FALSE,"KA CH";#N/A,#N/A,FALSE,"KA CH  (2)";#N/A,#N/A,FALSE,"KA CH  (3)";#N/A,#N/A,FALSE,"KA CH (4)"}</definedName>
    <definedName name="wrn.GB._.CH._3" localSheetId="6" hidden="1">{#N/A,#N/A,FALSE,"Umsatz CH";#N/A,#N/A,FALSE,"ER CH";#N/A,#N/A,FALSE,"EA CH (2) ";#N/A,#N/A,FALSE,"EA CH";#N/A,#N/A,FALSE,"EA CH (3) ";#N/A,#N/A,FALSE,"EA CH (4)";#N/A,#N/A,FALSE,"KA CH";#N/A,#N/A,FALSE,"KA CH  (2)";#N/A,#N/A,FALSE,"KA CH  (3)";#N/A,#N/A,FALSE,"KA CH (4)"}</definedName>
    <definedName name="wrn.GB._.CH._3" hidden="1">{#N/A,#N/A,FALSE,"Umsatz CH";#N/A,#N/A,FALSE,"ER CH";#N/A,#N/A,FALSE,"EA CH (2) ";#N/A,#N/A,FALSE,"EA CH";#N/A,#N/A,FALSE,"EA CH (3) ";#N/A,#N/A,FALSE,"EA CH (4)";#N/A,#N/A,FALSE,"KA CH";#N/A,#N/A,FALSE,"KA CH  (2)";#N/A,#N/A,FALSE,"KA CH  (3)";#N/A,#N/A,FALSE,"KA CH (4)"}</definedName>
    <definedName name="wrn.GB._.CH._4" localSheetId="0" hidden="1">{#N/A,#N/A,FALSE,"Umsatz CH";#N/A,#N/A,FALSE,"ER CH";#N/A,#N/A,FALSE,"EA CH (2) ";#N/A,#N/A,FALSE,"EA CH";#N/A,#N/A,FALSE,"EA CH (3) ";#N/A,#N/A,FALSE,"EA CH (4)";#N/A,#N/A,FALSE,"KA CH";#N/A,#N/A,FALSE,"KA CH  (2)";#N/A,#N/A,FALSE,"KA CH  (3)";#N/A,#N/A,FALSE,"KA CH (4)"}</definedName>
    <definedName name="wrn.GB._.CH._4" localSheetId="6" hidden="1">{#N/A,#N/A,FALSE,"Umsatz CH";#N/A,#N/A,FALSE,"ER CH";#N/A,#N/A,FALSE,"EA CH (2) ";#N/A,#N/A,FALSE,"EA CH";#N/A,#N/A,FALSE,"EA CH (3) ";#N/A,#N/A,FALSE,"EA CH (4)";#N/A,#N/A,FALSE,"KA CH";#N/A,#N/A,FALSE,"KA CH  (2)";#N/A,#N/A,FALSE,"KA CH  (3)";#N/A,#N/A,FALSE,"KA CH (4)"}</definedName>
    <definedName name="wrn.GB._.CH._4" hidden="1">{#N/A,#N/A,FALSE,"Umsatz CH";#N/A,#N/A,FALSE,"ER CH";#N/A,#N/A,FALSE,"EA CH (2) ";#N/A,#N/A,FALSE,"EA CH";#N/A,#N/A,FALSE,"EA CH (3) ";#N/A,#N/A,FALSE,"EA CH (4)";#N/A,#N/A,FALSE,"KA CH";#N/A,#N/A,FALSE,"KA CH  (2)";#N/A,#N/A,FALSE,"KA CH  (3)";#N/A,#N/A,FALSE,"KA CH (4)"}</definedName>
    <definedName name="wrn.GB._.CH._5" localSheetId="0" hidden="1">{#N/A,#N/A,FALSE,"Umsatz CH";#N/A,#N/A,FALSE,"ER CH";#N/A,#N/A,FALSE,"EA CH (2) ";#N/A,#N/A,FALSE,"EA CH";#N/A,#N/A,FALSE,"EA CH (3) ";#N/A,#N/A,FALSE,"EA CH (4)";#N/A,#N/A,FALSE,"KA CH";#N/A,#N/A,FALSE,"KA CH  (2)";#N/A,#N/A,FALSE,"KA CH  (3)";#N/A,#N/A,FALSE,"KA CH (4)"}</definedName>
    <definedName name="wrn.GB._.CH._5" localSheetId="6" hidden="1">{#N/A,#N/A,FALSE,"Umsatz CH";#N/A,#N/A,FALSE,"ER CH";#N/A,#N/A,FALSE,"EA CH (2) ";#N/A,#N/A,FALSE,"EA CH";#N/A,#N/A,FALSE,"EA CH (3) ";#N/A,#N/A,FALSE,"EA CH (4)";#N/A,#N/A,FALSE,"KA CH";#N/A,#N/A,FALSE,"KA CH  (2)";#N/A,#N/A,FALSE,"KA CH  (3)";#N/A,#N/A,FALSE,"KA CH (4)"}</definedName>
    <definedName name="wrn.GB._.CH._5" hidden="1">{#N/A,#N/A,FALSE,"Umsatz CH";#N/A,#N/A,FALSE,"ER CH";#N/A,#N/A,FALSE,"EA CH (2) ";#N/A,#N/A,FALSE,"EA CH";#N/A,#N/A,FALSE,"EA CH (3) ";#N/A,#N/A,FALSE,"EA CH (4)";#N/A,#N/A,FALSE,"KA CH";#N/A,#N/A,FALSE,"KA CH  (2)";#N/A,#N/A,FALSE,"KA CH  (3)";#N/A,#N/A,FALSE,"KA CH (4)"}</definedName>
    <definedName name="wrn.GB._.EO." localSheetId="0" hidden="1">{#N/A,#N/A,FALSE,"Umsatz EO BP";#N/A,#N/A,FALSE,"Umsatz EO OP";#N/A,#N/A,FALSE,"ER EO BP";#N/A,#N/A,FALSE,"ER EO OP";#N/A,#N/A,FALSE,"EA EO (2)";#N/A,#N/A,FALSE,"EA EO";#N/A,#N/A,FALSE,"EA EO (3)";#N/A,#N/A,FALSE,"EA EO (4)";#N/A,#N/A,FALSE,"KA EO  (2)";#N/A,#N/A,FALSE,"KA EO";#N/A,#N/A,FALSE,"KA EO  (3)";#N/A,#N/A,FALSE,"KA EO (4)"}</definedName>
    <definedName name="wrn.GB._.EO." localSheetId="6" hidden="1">{#N/A,#N/A,FALSE,"Umsatz EO BP";#N/A,#N/A,FALSE,"Umsatz EO OP";#N/A,#N/A,FALSE,"ER EO BP";#N/A,#N/A,FALSE,"ER EO OP";#N/A,#N/A,FALSE,"EA EO (2)";#N/A,#N/A,FALSE,"EA EO";#N/A,#N/A,FALSE,"EA EO (3)";#N/A,#N/A,FALSE,"EA EO (4)";#N/A,#N/A,FALSE,"KA EO  (2)";#N/A,#N/A,FALSE,"KA EO";#N/A,#N/A,FALSE,"KA EO  (3)";#N/A,#N/A,FALSE,"KA EO (4)"}</definedName>
    <definedName name="wrn.GB._.EO." hidden="1">{#N/A,#N/A,FALSE,"Umsatz EO BP";#N/A,#N/A,FALSE,"Umsatz EO OP";#N/A,#N/A,FALSE,"ER EO BP";#N/A,#N/A,FALSE,"ER EO OP";#N/A,#N/A,FALSE,"EA EO (2)";#N/A,#N/A,FALSE,"EA EO";#N/A,#N/A,FALSE,"EA EO (3)";#N/A,#N/A,FALSE,"EA EO (4)";#N/A,#N/A,FALSE,"KA EO  (2)";#N/A,#N/A,FALSE,"KA EO";#N/A,#N/A,FALSE,"KA EO  (3)";#N/A,#N/A,FALSE,"KA EO (4)"}</definedName>
    <definedName name="wrn.GB._.EO._1" localSheetId="0" hidden="1">{#N/A,#N/A,FALSE,"Umsatz EO BP";#N/A,#N/A,FALSE,"Umsatz EO OP";#N/A,#N/A,FALSE,"ER EO BP";#N/A,#N/A,FALSE,"ER EO OP";#N/A,#N/A,FALSE,"EA EO (2)";#N/A,#N/A,FALSE,"EA EO";#N/A,#N/A,FALSE,"EA EO (3)";#N/A,#N/A,FALSE,"EA EO (4)";#N/A,#N/A,FALSE,"KA EO  (2)";#N/A,#N/A,FALSE,"KA EO";#N/A,#N/A,FALSE,"KA EO  (3)";#N/A,#N/A,FALSE,"KA EO (4)"}</definedName>
    <definedName name="wrn.GB._.EO._1" localSheetId="6" hidden="1">{#N/A,#N/A,FALSE,"Umsatz EO BP";#N/A,#N/A,FALSE,"Umsatz EO OP";#N/A,#N/A,FALSE,"ER EO BP";#N/A,#N/A,FALSE,"ER EO OP";#N/A,#N/A,FALSE,"EA EO (2)";#N/A,#N/A,FALSE,"EA EO";#N/A,#N/A,FALSE,"EA EO (3)";#N/A,#N/A,FALSE,"EA EO (4)";#N/A,#N/A,FALSE,"KA EO  (2)";#N/A,#N/A,FALSE,"KA EO";#N/A,#N/A,FALSE,"KA EO  (3)";#N/A,#N/A,FALSE,"KA EO (4)"}</definedName>
    <definedName name="wrn.GB._.EO._1" hidden="1">{#N/A,#N/A,FALSE,"Umsatz EO BP";#N/A,#N/A,FALSE,"Umsatz EO OP";#N/A,#N/A,FALSE,"ER EO BP";#N/A,#N/A,FALSE,"ER EO OP";#N/A,#N/A,FALSE,"EA EO (2)";#N/A,#N/A,FALSE,"EA EO";#N/A,#N/A,FALSE,"EA EO (3)";#N/A,#N/A,FALSE,"EA EO (4)";#N/A,#N/A,FALSE,"KA EO  (2)";#N/A,#N/A,FALSE,"KA EO";#N/A,#N/A,FALSE,"KA EO  (3)";#N/A,#N/A,FALSE,"KA EO (4)"}</definedName>
    <definedName name="wrn.GB._.EO._1_1" localSheetId="0" hidden="1">{#N/A,#N/A,FALSE,"Umsatz EO BP";#N/A,#N/A,FALSE,"Umsatz EO OP";#N/A,#N/A,FALSE,"ER EO BP";#N/A,#N/A,FALSE,"ER EO OP";#N/A,#N/A,FALSE,"EA EO (2)";#N/A,#N/A,FALSE,"EA EO";#N/A,#N/A,FALSE,"EA EO (3)";#N/A,#N/A,FALSE,"EA EO (4)";#N/A,#N/A,FALSE,"KA EO  (2)";#N/A,#N/A,FALSE,"KA EO";#N/A,#N/A,FALSE,"KA EO  (3)";#N/A,#N/A,FALSE,"KA EO (4)"}</definedName>
    <definedName name="wrn.GB._.EO._1_1" localSheetId="6" hidden="1">{#N/A,#N/A,FALSE,"Umsatz EO BP";#N/A,#N/A,FALSE,"Umsatz EO OP";#N/A,#N/A,FALSE,"ER EO BP";#N/A,#N/A,FALSE,"ER EO OP";#N/A,#N/A,FALSE,"EA EO (2)";#N/A,#N/A,FALSE,"EA EO";#N/A,#N/A,FALSE,"EA EO (3)";#N/A,#N/A,FALSE,"EA EO (4)";#N/A,#N/A,FALSE,"KA EO  (2)";#N/A,#N/A,FALSE,"KA EO";#N/A,#N/A,FALSE,"KA EO  (3)";#N/A,#N/A,FALSE,"KA EO (4)"}</definedName>
    <definedName name="wrn.GB._.EO._1_1" hidden="1">{#N/A,#N/A,FALSE,"Umsatz EO BP";#N/A,#N/A,FALSE,"Umsatz EO OP";#N/A,#N/A,FALSE,"ER EO BP";#N/A,#N/A,FALSE,"ER EO OP";#N/A,#N/A,FALSE,"EA EO (2)";#N/A,#N/A,FALSE,"EA EO";#N/A,#N/A,FALSE,"EA EO (3)";#N/A,#N/A,FALSE,"EA EO (4)";#N/A,#N/A,FALSE,"KA EO  (2)";#N/A,#N/A,FALSE,"KA EO";#N/A,#N/A,FALSE,"KA EO  (3)";#N/A,#N/A,FALSE,"KA EO (4)"}</definedName>
    <definedName name="wrn.GB._.EO._2" localSheetId="0" hidden="1">{#N/A,#N/A,FALSE,"Umsatz EO BP";#N/A,#N/A,FALSE,"Umsatz EO OP";#N/A,#N/A,FALSE,"ER EO BP";#N/A,#N/A,FALSE,"ER EO OP";#N/A,#N/A,FALSE,"EA EO (2)";#N/A,#N/A,FALSE,"EA EO";#N/A,#N/A,FALSE,"EA EO (3)";#N/A,#N/A,FALSE,"EA EO (4)";#N/A,#N/A,FALSE,"KA EO  (2)";#N/A,#N/A,FALSE,"KA EO";#N/A,#N/A,FALSE,"KA EO  (3)";#N/A,#N/A,FALSE,"KA EO (4)"}</definedName>
    <definedName name="wrn.GB._.EO._2" localSheetId="6" hidden="1">{#N/A,#N/A,FALSE,"Umsatz EO BP";#N/A,#N/A,FALSE,"Umsatz EO OP";#N/A,#N/A,FALSE,"ER EO BP";#N/A,#N/A,FALSE,"ER EO OP";#N/A,#N/A,FALSE,"EA EO (2)";#N/A,#N/A,FALSE,"EA EO";#N/A,#N/A,FALSE,"EA EO (3)";#N/A,#N/A,FALSE,"EA EO (4)";#N/A,#N/A,FALSE,"KA EO  (2)";#N/A,#N/A,FALSE,"KA EO";#N/A,#N/A,FALSE,"KA EO  (3)";#N/A,#N/A,FALSE,"KA EO (4)"}</definedName>
    <definedName name="wrn.GB._.EO._2" hidden="1">{#N/A,#N/A,FALSE,"Umsatz EO BP";#N/A,#N/A,FALSE,"Umsatz EO OP";#N/A,#N/A,FALSE,"ER EO BP";#N/A,#N/A,FALSE,"ER EO OP";#N/A,#N/A,FALSE,"EA EO (2)";#N/A,#N/A,FALSE,"EA EO";#N/A,#N/A,FALSE,"EA EO (3)";#N/A,#N/A,FALSE,"EA EO (4)";#N/A,#N/A,FALSE,"KA EO  (2)";#N/A,#N/A,FALSE,"KA EO";#N/A,#N/A,FALSE,"KA EO  (3)";#N/A,#N/A,FALSE,"KA EO (4)"}</definedName>
    <definedName name="wrn.GB._.EO._3" localSheetId="0" hidden="1">{#N/A,#N/A,FALSE,"Umsatz EO BP";#N/A,#N/A,FALSE,"Umsatz EO OP";#N/A,#N/A,FALSE,"ER EO BP";#N/A,#N/A,FALSE,"ER EO OP";#N/A,#N/A,FALSE,"EA EO (2)";#N/A,#N/A,FALSE,"EA EO";#N/A,#N/A,FALSE,"EA EO (3)";#N/A,#N/A,FALSE,"EA EO (4)";#N/A,#N/A,FALSE,"KA EO  (2)";#N/A,#N/A,FALSE,"KA EO";#N/A,#N/A,FALSE,"KA EO  (3)";#N/A,#N/A,FALSE,"KA EO (4)"}</definedName>
    <definedName name="wrn.GB._.EO._3" localSheetId="6" hidden="1">{#N/A,#N/A,FALSE,"Umsatz EO BP";#N/A,#N/A,FALSE,"Umsatz EO OP";#N/A,#N/A,FALSE,"ER EO BP";#N/A,#N/A,FALSE,"ER EO OP";#N/A,#N/A,FALSE,"EA EO (2)";#N/A,#N/A,FALSE,"EA EO";#N/A,#N/A,FALSE,"EA EO (3)";#N/A,#N/A,FALSE,"EA EO (4)";#N/A,#N/A,FALSE,"KA EO  (2)";#N/A,#N/A,FALSE,"KA EO";#N/A,#N/A,FALSE,"KA EO  (3)";#N/A,#N/A,FALSE,"KA EO (4)"}</definedName>
    <definedName name="wrn.GB._.EO._3" hidden="1">{#N/A,#N/A,FALSE,"Umsatz EO BP";#N/A,#N/A,FALSE,"Umsatz EO OP";#N/A,#N/A,FALSE,"ER EO BP";#N/A,#N/A,FALSE,"ER EO OP";#N/A,#N/A,FALSE,"EA EO (2)";#N/A,#N/A,FALSE,"EA EO";#N/A,#N/A,FALSE,"EA EO (3)";#N/A,#N/A,FALSE,"EA EO (4)";#N/A,#N/A,FALSE,"KA EO  (2)";#N/A,#N/A,FALSE,"KA EO";#N/A,#N/A,FALSE,"KA EO  (3)";#N/A,#N/A,FALSE,"KA EO (4)"}</definedName>
    <definedName name="wrn.GB._.EO._4" localSheetId="0" hidden="1">{#N/A,#N/A,FALSE,"Umsatz EO BP";#N/A,#N/A,FALSE,"Umsatz EO OP";#N/A,#N/A,FALSE,"ER EO BP";#N/A,#N/A,FALSE,"ER EO OP";#N/A,#N/A,FALSE,"EA EO (2)";#N/A,#N/A,FALSE,"EA EO";#N/A,#N/A,FALSE,"EA EO (3)";#N/A,#N/A,FALSE,"EA EO (4)";#N/A,#N/A,FALSE,"KA EO  (2)";#N/A,#N/A,FALSE,"KA EO";#N/A,#N/A,FALSE,"KA EO  (3)";#N/A,#N/A,FALSE,"KA EO (4)"}</definedName>
    <definedName name="wrn.GB._.EO._4" localSheetId="6" hidden="1">{#N/A,#N/A,FALSE,"Umsatz EO BP";#N/A,#N/A,FALSE,"Umsatz EO OP";#N/A,#N/A,FALSE,"ER EO BP";#N/A,#N/A,FALSE,"ER EO OP";#N/A,#N/A,FALSE,"EA EO (2)";#N/A,#N/A,FALSE,"EA EO";#N/A,#N/A,FALSE,"EA EO (3)";#N/A,#N/A,FALSE,"EA EO (4)";#N/A,#N/A,FALSE,"KA EO  (2)";#N/A,#N/A,FALSE,"KA EO";#N/A,#N/A,FALSE,"KA EO  (3)";#N/A,#N/A,FALSE,"KA EO (4)"}</definedName>
    <definedName name="wrn.GB._.EO._4" hidden="1">{#N/A,#N/A,FALSE,"Umsatz EO BP";#N/A,#N/A,FALSE,"Umsatz EO OP";#N/A,#N/A,FALSE,"ER EO BP";#N/A,#N/A,FALSE,"ER EO OP";#N/A,#N/A,FALSE,"EA EO (2)";#N/A,#N/A,FALSE,"EA EO";#N/A,#N/A,FALSE,"EA EO (3)";#N/A,#N/A,FALSE,"EA EO (4)";#N/A,#N/A,FALSE,"KA EO  (2)";#N/A,#N/A,FALSE,"KA EO";#N/A,#N/A,FALSE,"KA EO  (3)";#N/A,#N/A,FALSE,"KA EO (4)"}</definedName>
    <definedName name="wrn.GB._.EO._5" localSheetId="0" hidden="1">{#N/A,#N/A,FALSE,"Umsatz EO BP";#N/A,#N/A,FALSE,"Umsatz EO OP";#N/A,#N/A,FALSE,"ER EO BP";#N/A,#N/A,FALSE,"ER EO OP";#N/A,#N/A,FALSE,"EA EO (2)";#N/A,#N/A,FALSE,"EA EO";#N/A,#N/A,FALSE,"EA EO (3)";#N/A,#N/A,FALSE,"EA EO (4)";#N/A,#N/A,FALSE,"KA EO  (2)";#N/A,#N/A,FALSE,"KA EO";#N/A,#N/A,FALSE,"KA EO  (3)";#N/A,#N/A,FALSE,"KA EO (4)"}</definedName>
    <definedName name="wrn.GB._.EO._5" localSheetId="6" hidden="1">{#N/A,#N/A,FALSE,"Umsatz EO BP";#N/A,#N/A,FALSE,"Umsatz EO OP";#N/A,#N/A,FALSE,"ER EO BP";#N/A,#N/A,FALSE,"ER EO OP";#N/A,#N/A,FALSE,"EA EO (2)";#N/A,#N/A,FALSE,"EA EO";#N/A,#N/A,FALSE,"EA EO (3)";#N/A,#N/A,FALSE,"EA EO (4)";#N/A,#N/A,FALSE,"KA EO  (2)";#N/A,#N/A,FALSE,"KA EO";#N/A,#N/A,FALSE,"KA EO  (3)";#N/A,#N/A,FALSE,"KA EO (4)"}</definedName>
    <definedName name="wrn.GB._.EO._5" hidden="1">{#N/A,#N/A,FALSE,"Umsatz EO BP";#N/A,#N/A,FALSE,"Umsatz EO OP";#N/A,#N/A,FALSE,"ER EO BP";#N/A,#N/A,FALSE,"ER EO OP";#N/A,#N/A,FALSE,"EA EO (2)";#N/A,#N/A,FALSE,"EA EO";#N/A,#N/A,FALSE,"EA EO (3)";#N/A,#N/A,FALSE,"EA EO (4)";#N/A,#N/A,FALSE,"KA EO  (2)";#N/A,#N/A,FALSE,"KA EO";#N/A,#N/A,FALSE,"KA EO  (3)";#N/A,#N/A,FALSE,"KA EO (4)"}</definedName>
    <definedName name="wrn.GB._.HM." localSheetId="0" hidden="1">{#N/A,#N/A,FALSE,"Umsatz HM";#N/A,#N/A,FALSE,"ER HM";#N/A,#N/A,FALSE,"EA HM  (2)";#N/A,#N/A,FALSE,"EA HM ";#N/A,#N/A,FALSE,"EA HM  (4)";#N/A,#N/A,FALSE,"EA HM  (3)";#N/A,#N/A,FALSE,"KA HM  (2)";#N/A,#N/A,FALSE,"KA HM";#N/A,#N/A,FALSE,"KA HM  (3)";#N/A,#N/A,FALSE,"KA HM (4)"}</definedName>
    <definedName name="wrn.GB._.HM." localSheetId="6" hidden="1">{#N/A,#N/A,FALSE,"Umsatz HM";#N/A,#N/A,FALSE,"ER HM";#N/A,#N/A,FALSE,"EA HM  (2)";#N/A,#N/A,FALSE,"EA HM ";#N/A,#N/A,FALSE,"EA HM  (4)";#N/A,#N/A,FALSE,"EA HM  (3)";#N/A,#N/A,FALSE,"KA HM  (2)";#N/A,#N/A,FALSE,"KA HM";#N/A,#N/A,FALSE,"KA HM  (3)";#N/A,#N/A,FALSE,"KA HM (4)"}</definedName>
    <definedName name="wrn.GB._.HM." hidden="1">{#N/A,#N/A,FALSE,"Umsatz HM";#N/A,#N/A,FALSE,"ER HM";#N/A,#N/A,FALSE,"EA HM  (2)";#N/A,#N/A,FALSE,"EA HM ";#N/A,#N/A,FALSE,"EA HM  (4)";#N/A,#N/A,FALSE,"EA HM  (3)";#N/A,#N/A,FALSE,"KA HM  (2)";#N/A,#N/A,FALSE,"KA HM";#N/A,#N/A,FALSE,"KA HM  (3)";#N/A,#N/A,FALSE,"KA HM (4)"}</definedName>
    <definedName name="wrn.GB._.HM._1" localSheetId="0" hidden="1">{#N/A,#N/A,FALSE,"Umsatz HM";#N/A,#N/A,FALSE,"ER HM";#N/A,#N/A,FALSE,"EA HM  (2)";#N/A,#N/A,FALSE,"EA HM ";#N/A,#N/A,FALSE,"EA HM  (4)";#N/A,#N/A,FALSE,"EA HM  (3)";#N/A,#N/A,FALSE,"KA HM  (2)";#N/A,#N/A,FALSE,"KA HM";#N/A,#N/A,FALSE,"KA HM  (3)";#N/A,#N/A,FALSE,"KA HM (4)"}</definedName>
    <definedName name="wrn.GB._.HM._1" localSheetId="6" hidden="1">{#N/A,#N/A,FALSE,"Umsatz HM";#N/A,#N/A,FALSE,"ER HM";#N/A,#N/A,FALSE,"EA HM  (2)";#N/A,#N/A,FALSE,"EA HM ";#N/A,#N/A,FALSE,"EA HM  (4)";#N/A,#N/A,FALSE,"EA HM  (3)";#N/A,#N/A,FALSE,"KA HM  (2)";#N/A,#N/A,FALSE,"KA HM";#N/A,#N/A,FALSE,"KA HM  (3)";#N/A,#N/A,FALSE,"KA HM (4)"}</definedName>
    <definedName name="wrn.GB._.HM._1" hidden="1">{#N/A,#N/A,FALSE,"Umsatz HM";#N/A,#N/A,FALSE,"ER HM";#N/A,#N/A,FALSE,"EA HM  (2)";#N/A,#N/A,FALSE,"EA HM ";#N/A,#N/A,FALSE,"EA HM  (4)";#N/A,#N/A,FALSE,"EA HM  (3)";#N/A,#N/A,FALSE,"KA HM  (2)";#N/A,#N/A,FALSE,"KA HM";#N/A,#N/A,FALSE,"KA HM  (3)";#N/A,#N/A,FALSE,"KA HM (4)"}</definedName>
    <definedName name="wrn.GB._.HM._1_1" localSheetId="0" hidden="1">{#N/A,#N/A,FALSE,"Umsatz HM";#N/A,#N/A,FALSE,"ER HM";#N/A,#N/A,FALSE,"EA HM  (2)";#N/A,#N/A,FALSE,"EA HM ";#N/A,#N/A,FALSE,"EA HM  (4)";#N/A,#N/A,FALSE,"EA HM  (3)";#N/A,#N/A,FALSE,"KA HM  (2)";#N/A,#N/A,FALSE,"KA HM";#N/A,#N/A,FALSE,"KA HM  (3)";#N/A,#N/A,FALSE,"KA HM (4)"}</definedName>
    <definedName name="wrn.GB._.HM._1_1" localSheetId="6" hidden="1">{#N/A,#N/A,FALSE,"Umsatz HM";#N/A,#N/A,FALSE,"ER HM";#N/A,#N/A,FALSE,"EA HM  (2)";#N/A,#N/A,FALSE,"EA HM ";#N/A,#N/A,FALSE,"EA HM  (4)";#N/A,#N/A,FALSE,"EA HM  (3)";#N/A,#N/A,FALSE,"KA HM  (2)";#N/A,#N/A,FALSE,"KA HM";#N/A,#N/A,FALSE,"KA HM  (3)";#N/A,#N/A,FALSE,"KA HM (4)"}</definedName>
    <definedName name="wrn.GB._.HM._1_1" hidden="1">{#N/A,#N/A,FALSE,"Umsatz HM";#N/A,#N/A,FALSE,"ER HM";#N/A,#N/A,FALSE,"EA HM  (2)";#N/A,#N/A,FALSE,"EA HM ";#N/A,#N/A,FALSE,"EA HM  (4)";#N/A,#N/A,FALSE,"EA HM  (3)";#N/A,#N/A,FALSE,"KA HM  (2)";#N/A,#N/A,FALSE,"KA HM";#N/A,#N/A,FALSE,"KA HM  (3)";#N/A,#N/A,FALSE,"KA HM (4)"}</definedName>
    <definedName name="wrn.GB._.HM._2" localSheetId="0" hidden="1">{#N/A,#N/A,FALSE,"Umsatz HM";#N/A,#N/A,FALSE,"ER HM";#N/A,#N/A,FALSE,"EA HM  (2)";#N/A,#N/A,FALSE,"EA HM ";#N/A,#N/A,FALSE,"EA HM  (4)";#N/A,#N/A,FALSE,"EA HM  (3)";#N/A,#N/A,FALSE,"KA HM  (2)";#N/A,#N/A,FALSE,"KA HM";#N/A,#N/A,FALSE,"KA HM  (3)";#N/A,#N/A,FALSE,"KA HM (4)"}</definedName>
    <definedName name="wrn.GB._.HM._2" localSheetId="6" hidden="1">{#N/A,#N/A,FALSE,"Umsatz HM";#N/A,#N/A,FALSE,"ER HM";#N/A,#N/A,FALSE,"EA HM  (2)";#N/A,#N/A,FALSE,"EA HM ";#N/A,#N/A,FALSE,"EA HM  (4)";#N/A,#N/A,FALSE,"EA HM  (3)";#N/A,#N/A,FALSE,"KA HM  (2)";#N/A,#N/A,FALSE,"KA HM";#N/A,#N/A,FALSE,"KA HM  (3)";#N/A,#N/A,FALSE,"KA HM (4)"}</definedName>
    <definedName name="wrn.GB._.HM._2" hidden="1">{#N/A,#N/A,FALSE,"Umsatz HM";#N/A,#N/A,FALSE,"ER HM";#N/A,#N/A,FALSE,"EA HM  (2)";#N/A,#N/A,FALSE,"EA HM ";#N/A,#N/A,FALSE,"EA HM  (4)";#N/A,#N/A,FALSE,"EA HM  (3)";#N/A,#N/A,FALSE,"KA HM  (2)";#N/A,#N/A,FALSE,"KA HM";#N/A,#N/A,FALSE,"KA HM  (3)";#N/A,#N/A,FALSE,"KA HM (4)"}</definedName>
    <definedName name="wrn.GB._.HM._3" localSheetId="0" hidden="1">{#N/A,#N/A,FALSE,"Umsatz HM";#N/A,#N/A,FALSE,"ER HM";#N/A,#N/A,FALSE,"EA HM  (2)";#N/A,#N/A,FALSE,"EA HM ";#N/A,#N/A,FALSE,"EA HM  (4)";#N/A,#N/A,FALSE,"EA HM  (3)";#N/A,#N/A,FALSE,"KA HM  (2)";#N/A,#N/A,FALSE,"KA HM";#N/A,#N/A,FALSE,"KA HM  (3)";#N/A,#N/A,FALSE,"KA HM (4)"}</definedName>
    <definedName name="wrn.GB._.HM._3" localSheetId="6" hidden="1">{#N/A,#N/A,FALSE,"Umsatz HM";#N/A,#N/A,FALSE,"ER HM";#N/A,#N/A,FALSE,"EA HM  (2)";#N/A,#N/A,FALSE,"EA HM ";#N/A,#N/A,FALSE,"EA HM  (4)";#N/A,#N/A,FALSE,"EA HM  (3)";#N/A,#N/A,FALSE,"KA HM  (2)";#N/A,#N/A,FALSE,"KA HM";#N/A,#N/A,FALSE,"KA HM  (3)";#N/A,#N/A,FALSE,"KA HM (4)"}</definedName>
    <definedName name="wrn.GB._.HM._3" hidden="1">{#N/A,#N/A,FALSE,"Umsatz HM";#N/A,#N/A,FALSE,"ER HM";#N/A,#N/A,FALSE,"EA HM  (2)";#N/A,#N/A,FALSE,"EA HM ";#N/A,#N/A,FALSE,"EA HM  (4)";#N/A,#N/A,FALSE,"EA HM  (3)";#N/A,#N/A,FALSE,"KA HM  (2)";#N/A,#N/A,FALSE,"KA HM";#N/A,#N/A,FALSE,"KA HM  (3)";#N/A,#N/A,FALSE,"KA HM (4)"}</definedName>
    <definedName name="wrn.GB._.HM._4" localSheetId="0" hidden="1">{#N/A,#N/A,FALSE,"Umsatz HM";#N/A,#N/A,FALSE,"ER HM";#N/A,#N/A,FALSE,"EA HM  (2)";#N/A,#N/A,FALSE,"EA HM ";#N/A,#N/A,FALSE,"EA HM  (4)";#N/A,#N/A,FALSE,"EA HM  (3)";#N/A,#N/A,FALSE,"KA HM  (2)";#N/A,#N/A,FALSE,"KA HM";#N/A,#N/A,FALSE,"KA HM  (3)";#N/A,#N/A,FALSE,"KA HM (4)"}</definedName>
    <definedName name="wrn.GB._.HM._4" localSheetId="6" hidden="1">{#N/A,#N/A,FALSE,"Umsatz HM";#N/A,#N/A,FALSE,"ER HM";#N/A,#N/A,FALSE,"EA HM  (2)";#N/A,#N/A,FALSE,"EA HM ";#N/A,#N/A,FALSE,"EA HM  (4)";#N/A,#N/A,FALSE,"EA HM  (3)";#N/A,#N/A,FALSE,"KA HM  (2)";#N/A,#N/A,FALSE,"KA HM";#N/A,#N/A,FALSE,"KA HM  (3)";#N/A,#N/A,FALSE,"KA HM (4)"}</definedName>
    <definedName name="wrn.GB._.HM._4" hidden="1">{#N/A,#N/A,FALSE,"Umsatz HM";#N/A,#N/A,FALSE,"ER HM";#N/A,#N/A,FALSE,"EA HM  (2)";#N/A,#N/A,FALSE,"EA HM ";#N/A,#N/A,FALSE,"EA HM  (4)";#N/A,#N/A,FALSE,"EA HM  (3)";#N/A,#N/A,FALSE,"KA HM  (2)";#N/A,#N/A,FALSE,"KA HM";#N/A,#N/A,FALSE,"KA HM  (3)";#N/A,#N/A,FALSE,"KA HM (4)"}</definedName>
    <definedName name="wrn.GB._.HM._5" localSheetId="0" hidden="1">{#N/A,#N/A,FALSE,"Umsatz HM";#N/A,#N/A,FALSE,"ER HM";#N/A,#N/A,FALSE,"EA HM  (2)";#N/A,#N/A,FALSE,"EA HM ";#N/A,#N/A,FALSE,"EA HM  (4)";#N/A,#N/A,FALSE,"EA HM  (3)";#N/A,#N/A,FALSE,"KA HM  (2)";#N/A,#N/A,FALSE,"KA HM";#N/A,#N/A,FALSE,"KA HM  (3)";#N/A,#N/A,FALSE,"KA HM (4)"}</definedName>
    <definedName name="wrn.GB._.HM._5" localSheetId="6" hidden="1">{#N/A,#N/A,FALSE,"Umsatz HM";#N/A,#N/A,FALSE,"ER HM";#N/A,#N/A,FALSE,"EA HM  (2)";#N/A,#N/A,FALSE,"EA HM ";#N/A,#N/A,FALSE,"EA HM  (4)";#N/A,#N/A,FALSE,"EA HM  (3)";#N/A,#N/A,FALSE,"KA HM  (2)";#N/A,#N/A,FALSE,"KA HM";#N/A,#N/A,FALSE,"KA HM  (3)";#N/A,#N/A,FALSE,"KA HM (4)"}</definedName>
    <definedName name="wrn.GB._.HM._5" hidden="1">{#N/A,#N/A,FALSE,"Umsatz HM";#N/A,#N/A,FALSE,"ER HM";#N/A,#N/A,FALSE,"EA HM  (2)";#N/A,#N/A,FALSE,"EA HM ";#N/A,#N/A,FALSE,"EA HM  (4)";#N/A,#N/A,FALSE,"EA HM  (3)";#N/A,#N/A,FALSE,"KA HM  (2)";#N/A,#N/A,FALSE,"KA HM";#N/A,#N/A,FALSE,"KA HM  (3)";#N/A,#N/A,FALSE,"KA HM (4)"}</definedName>
    <definedName name="wrn.GB._.OK." localSheetId="0" hidden="1">{#N/A,#N/A,FALSE,"Umsatz OK";#N/A,#N/A,FALSE,"ER OK ";#N/A,#N/A,FALSE,"EA OK (2)";#N/A,#N/A,FALSE,"EA OK";#N/A,#N/A,FALSE,"EA OK (3)";#N/A,#N/A,FALSE,"EA OK (4)";#N/A,#N/A,FALSE,"KA OK  (2)";#N/A,#N/A,FALSE,"KA OK";#N/A,#N/A,FALSE,"KA OK  (3)";#N/A,#N/A,FALSE,"KA OK (4)"}</definedName>
    <definedName name="wrn.GB._.OK." localSheetId="6" hidden="1">{#N/A,#N/A,FALSE,"Umsatz OK";#N/A,#N/A,FALSE,"ER OK ";#N/A,#N/A,FALSE,"EA OK (2)";#N/A,#N/A,FALSE,"EA OK";#N/A,#N/A,FALSE,"EA OK (3)";#N/A,#N/A,FALSE,"EA OK (4)";#N/A,#N/A,FALSE,"KA OK  (2)";#N/A,#N/A,FALSE,"KA OK";#N/A,#N/A,FALSE,"KA OK  (3)";#N/A,#N/A,FALSE,"KA OK (4)"}</definedName>
    <definedName name="wrn.GB._.OK." hidden="1">{#N/A,#N/A,FALSE,"Umsatz OK";#N/A,#N/A,FALSE,"ER OK ";#N/A,#N/A,FALSE,"EA OK (2)";#N/A,#N/A,FALSE,"EA OK";#N/A,#N/A,FALSE,"EA OK (3)";#N/A,#N/A,FALSE,"EA OK (4)";#N/A,#N/A,FALSE,"KA OK  (2)";#N/A,#N/A,FALSE,"KA OK";#N/A,#N/A,FALSE,"KA OK  (3)";#N/A,#N/A,FALSE,"KA OK (4)"}</definedName>
    <definedName name="wrn.GB._.OK._1" localSheetId="0" hidden="1">{#N/A,#N/A,FALSE,"Umsatz OK";#N/A,#N/A,FALSE,"ER OK ";#N/A,#N/A,FALSE,"EA OK (2)";#N/A,#N/A,FALSE,"EA OK";#N/A,#N/A,FALSE,"EA OK (3)";#N/A,#N/A,FALSE,"EA OK (4)";#N/A,#N/A,FALSE,"KA OK  (2)";#N/A,#N/A,FALSE,"KA OK";#N/A,#N/A,FALSE,"KA OK  (3)";#N/A,#N/A,FALSE,"KA OK (4)"}</definedName>
    <definedName name="wrn.GB._.OK._1" localSheetId="6" hidden="1">{#N/A,#N/A,FALSE,"Umsatz OK";#N/A,#N/A,FALSE,"ER OK ";#N/A,#N/A,FALSE,"EA OK (2)";#N/A,#N/A,FALSE,"EA OK";#N/A,#N/A,FALSE,"EA OK (3)";#N/A,#N/A,FALSE,"EA OK (4)";#N/A,#N/A,FALSE,"KA OK  (2)";#N/A,#N/A,FALSE,"KA OK";#N/A,#N/A,FALSE,"KA OK  (3)";#N/A,#N/A,FALSE,"KA OK (4)"}</definedName>
    <definedName name="wrn.GB._.OK._1" hidden="1">{#N/A,#N/A,FALSE,"Umsatz OK";#N/A,#N/A,FALSE,"ER OK ";#N/A,#N/A,FALSE,"EA OK (2)";#N/A,#N/A,FALSE,"EA OK";#N/A,#N/A,FALSE,"EA OK (3)";#N/A,#N/A,FALSE,"EA OK (4)";#N/A,#N/A,FALSE,"KA OK  (2)";#N/A,#N/A,FALSE,"KA OK";#N/A,#N/A,FALSE,"KA OK  (3)";#N/A,#N/A,FALSE,"KA OK (4)"}</definedName>
    <definedName name="wrn.GB._.OK._1_1" localSheetId="0" hidden="1">{#N/A,#N/A,FALSE,"Umsatz OK";#N/A,#N/A,FALSE,"ER OK ";#N/A,#N/A,FALSE,"EA OK (2)";#N/A,#N/A,FALSE,"EA OK";#N/A,#N/A,FALSE,"EA OK (3)";#N/A,#N/A,FALSE,"EA OK (4)";#N/A,#N/A,FALSE,"KA OK  (2)";#N/A,#N/A,FALSE,"KA OK";#N/A,#N/A,FALSE,"KA OK  (3)";#N/A,#N/A,FALSE,"KA OK (4)"}</definedName>
    <definedName name="wrn.GB._.OK._1_1" localSheetId="6" hidden="1">{#N/A,#N/A,FALSE,"Umsatz OK";#N/A,#N/A,FALSE,"ER OK ";#N/A,#N/A,FALSE,"EA OK (2)";#N/A,#N/A,FALSE,"EA OK";#N/A,#N/A,FALSE,"EA OK (3)";#N/A,#N/A,FALSE,"EA OK (4)";#N/A,#N/A,FALSE,"KA OK  (2)";#N/A,#N/A,FALSE,"KA OK";#N/A,#N/A,FALSE,"KA OK  (3)";#N/A,#N/A,FALSE,"KA OK (4)"}</definedName>
    <definedName name="wrn.GB._.OK._1_1" hidden="1">{#N/A,#N/A,FALSE,"Umsatz OK";#N/A,#N/A,FALSE,"ER OK ";#N/A,#N/A,FALSE,"EA OK (2)";#N/A,#N/A,FALSE,"EA OK";#N/A,#N/A,FALSE,"EA OK (3)";#N/A,#N/A,FALSE,"EA OK (4)";#N/A,#N/A,FALSE,"KA OK  (2)";#N/A,#N/A,FALSE,"KA OK";#N/A,#N/A,FALSE,"KA OK  (3)";#N/A,#N/A,FALSE,"KA OK (4)"}</definedName>
    <definedName name="wrn.GB._.OK._2" localSheetId="0" hidden="1">{#N/A,#N/A,FALSE,"Umsatz OK";#N/A,#N/A,FALSE,"ER OK ";#N/A,#N/A,FALSE,"EA OK (2)";#N/A,#N/A,FALSE,"EA OK";#N/A,#N/A,FALSE,"EA OK (3)";#N/A,#N/A,FALSE,"EA OK (4)";#N/A,#N/A,FALSE,"KA OK  (2)";#N/A,#N/A,FALSE,"KA OK";#N/A,#N/A,FALSE,"KA OK  (3)";#N/A,#N/A,FALSE,"KA OK (4)"}</definedName>
    <definedName name="wrn.GB._.OK._2" localSheetId="6" hidden="1">{#N/A,#N/A,FALSE,"Umsatz OK";#N/A,#N/A,FALSE,"ER OK ";#N/A,#N/A,FALSE,"EA OK (2)";#N/A,#N/A,FALSE,"EA OK";#N/A,#N/A,FALSE,"EA OK (3)";#N/A,#N/A,FALSE,"EA OK (4)";#N/A,#N/A,FALSE,"KA OK  (2)";#N/A,#N/A,FALSE,"KA OK";#N/A,#N/A,FALSE,"KA OK  (3)";#N/A,#N/A,FALSE,"KA OK (4)"}</definedName>
    <definedName name="wrn.GB._.OK._2" hidden="1">{#N/A,#N/A,FALSE,"Umsatz OK";#N/A,#N/A,FALSE,"ER OK ";#N/A,#N/A,FALSE,"EA OK (2)";#N/A,#N/A,FALSE,"EA OK";#N/A,#N/A,FALSE,"EA OK (3)";#N/A,#N/A,FALSE,"EA OK (4)";#N/A,#N/A,FALSE,"KA OK  (2)";#N/A,#N/A,FALSE,"KA OK";#N/A,#N/A,FALSE,"KA OK  (3)";#N/A,#N/A,FALSE,"KA OK (4)"}</definedName>
    <definedName name="wrn.GB._.OK._3" localSheetId="0" hidden="1">{#N/A,#N/A,FALSE,"Umsatz OK";#N/A,#N/A,FALSE,"ER OK ";#N/A,#N/A,FALSE,"EA OK (2)";#N/A,#N/A,FALSE,"EA OK";#N/A,#N/A,FALSE,"EA OK (3)";#N/A,#N/A,FALSE,"EA OK (4)";#N/A,#N/A,FALSE,"KA OK  (2)";#N/A,#N/A,FALSE,"KA OK";#N/A,#N/A,FALSE,"KA OK  (3)";#N/A,#N/A,FALSE,"KA OK (4)"}</definedName>
    <definedName name="wrn.GB._.OK._3" localSheetId="6" hidden="1">{#N/A,#N/A,FALSE,"Umsatz OK";#N/A,#N/A,FALSE,"ER OK ";#N/A,#N/A,FALSE,"EA OK (2)";#N/A,#N/A,FALSE,"EA OK";#N/A,#N/A,FALSE,"EA OK (3)";#N/A,#N/A,FALSE,"EA OK (4)";#N/A,#N/A,FALSE,"KA OK  (2)";#N/A,#N/A,FALSE,"KA OK";#N/A,#N/A,FALSE,"KA OK  (3)";#N/A,#N/A,FALSE,"KA OK (4)"}</definedName>
    <definedName name="wrn.GB._.OK._3" hidden="1">{#N/A,#N/A,FALSE,"Umsatz OK";#N/A,#N/A,FALSE,"ER OK ";#N/A,#N/A,FALSE,"EA OK (2)";#N/A,#N/A,FALSE,"EA OK";#N/A,#N/A,FALSE,"EA OK (3)";#N/A,#N/A,FALSE,"EA OK (4)";#N/A,#N/A,FALSE,"KA OK  (2)";#N/A,#N/A,FALSE,"KA OK";#N/A,#N/A,FALSE,"KA OK  (3)";#N/A,#N/A,FALSE,"KA OK (4)"}</definedName>
    <definedName name="wrn.GB._.OK._4" localSheetId="0" hidden="1">{#N/A,#N/A,FALSE,"Umsatz OK";#N/A,#N/A,FALSE,"ER OK ";#N/A,#N/A,FALSE,"EA OK (2)";#N/A,#N/A,FALSE,"EA OK";#N/A,#N/A,FALSE,"EA OK (3)";#N/A,#N/A,FALSE,"EA OK (4)";#N/A,#N/A,FALSE,"KA OK  (2)";#N/A,#N/A,FALSE,"KA OK";#N/A,#N/A,FALSE,"KA OK  (3)";#N/A,#N/A,FALSE,"KA OK (4)"}</definedName>
    <definedName name="wrn.GB._.OK._4" localSheetId="6" hidden="1">{#N/A,#N/A,FALSE,"Umsatz OK";#N/A,#N/A,FALSE,"ER OK ";#N/A,#N/A,FALSE,"EA OK (2)";#N/A,#N/A,FALSE,"EA OK";#N/A,#N/A,FALSE,"EA OK (3)";#N/A,#N/A,FALSE,"EA OK (4)";#N/A,#N/A,FALSE,"KA OK  (2)";#N/A,#N/A,FALSE,"KA OK";#N/A,#N/A,FALSE,"KA OK  (3)";#N/A,#N/A,FALSE,"KA OK (4)"}</definedName>
    <definedName name="wrn.GB._.OK._4" hidden="1">{#N/A,#N/A,FALSE,"Umsatz OK";#N/A,#N/A,FALSE,"ER OK ";#N/A,#N/A,FALSE,"EA OK (2)";#N/A,#N/A,FALSE,"EA OK";#N/A,#N/A,FALSE,"EA OK (3)";#N/A,#N/A,FALSE,"EA OK (4)";#N/A,#N/A,FALSE,"KA OK  (2)";#N/A,#N/A,FALSE,"KA OK";#N/A,#N/A,FALSE,"KA OK  (3)";#N/A,#N/A,FALSE,"KA OK (4)"}</definedName>
    <definedName name="wrn.GB._.OK._5" localSheetId="0" hidden="1">{#N/A,#N/A,FALSE,"Umsatz OK";#N/A,#N/A,FALSE,"ER OK ";#N/A,#N/A,FALSE,"EA OK (2)";#N/A,#N/A,FALSE,"EA OK";#N/A,#N/A,FALSE,"EA OK (3)";#N/A,#N/A,FALSE,"EA OK (4)";#N/A,#N/A,FALSE,"KA OK  (2)";#N/A,#N/A,FALSE,"KA OK";#N/A,#N/A,FALSE,"KA OK  (3)";#N/A,#N/A,FALSE,"KA OK (4)"}</definedName>
    <definedName name="wrn.GB._.OK._5" localSheetId="6" hidden="1">{#N/A,#N/A,FALSE,"Umsatz OK";#N/A,#N/A,FALSE,"ER OK ";#N/A,#N/A,FALSE,"EA OK (2)";#N/A,#N/A,FALSE,"EA OK";#N/A,#N/A,FALSE,"EA OK (3)";#N/A,#N/A,FALSE,"EA OK (4)";#N/A,#N/A,FALSE,"KA OK  (2)";#N/A,#N/A,FALSE,"KA OK";#N/A,#N/A,FALSE,"KA OK  (3)";#N/A,#N/A,FALSE,"KA OK (4)"}</definedName>
    <definedName name="wrn.GB._.OK._5" hidden="1">{#N/A,#N/A,FALSE,"Umsatz OK";#N/A,#N/A,FALSE,"ER OK ";#N/A,#N/A,FALSE,"EA OK (2)";#N/A,#N/A,FALSE,"EA OK";#N/A,#N/A,FALSE,"EA OK (3)";#N/A,#N/A,FALSE,"EA OK (4)";#N/A,#N/A,FALSE,"KA OK  (2)";#N/A,#N/A,FALSE,"KA OK";#N/A,#N/A,FALSE,"KA OK  (3)";#N/A,#N/A,FALSE,"KA OK (4)"}</definedName>
    <definedName name="wrn.gb._hm." localSheetId="0" hidden="1">{#N/A,#N/A,FALSE,"Umsatz CH";#N/A,#N/A,FALSE,"ER CH";#N/A,#N/A,FALSE,"EA CH (2) ";#N/A,#N/A,FALSE,"EA CH";#N/A,#N/A,FALSE,"EA CH (3) ";#N/A,#N/A,FALSE,"EA CH (4)";#N/A,#N/A,FALSE,"KA CH";#N/A,#N/A,FALSE,"KA CH  (2)";#N/A,#N/A,FALSE,"KA CH  (3)";#N/A,#N/A,FALSE,"KA CH (4)"}</definedName>
    <definedName name="wrn.gb._hm." localSheetId="6" hidden="1">{#N/A,#N/A,FALSE,"Umsatz CH";#N/A,#N/A,FALSE,"ER CH";#N/A,#N/A,FALSE,"EA CH (2) ";#N/A,#N/A,FALSE,"EA CH";#N/A,#N/A,FALSE,"EA CH (3) ";#N/A,#N/A,FALSE,"EA CH (4)";#N/A,#N/A,FALSE,"KA CH";#N/A,#N/A,FALSE,"KA CH  (2)";#N/A,#N/A,FALSE,"KA CH  (3)";#N/A,#N/A,FALSE,"KA CH (4)"}</definedName>
    <definedName name="wrn.gb._hm." hidden="1">{#N/A,#N/A,FALSE,"Umsatz CH";#N/A,#N/A,FALSE,"ER CH";#N/A,#N/A,FALSE,"EA CH (2) ";#N/A,#N/A,FALSE,"EA CH";#N/A,#N/A,FALSE,"EA CH (3) ";#N/A,#N/A,FALSE,"EA CH (4)";#N/A,#N/A,FALSE,"KA CH";#N/A,#N/A,FALSE,"KA CH  (2)";#N/A,#N/A,FALSE,"KA CH  (3)";#N/A,#N/A,FALSE,"KA CH (4)"}</definedName>
    <definedName name="wrn.gb._hm._1" localSheetId="0" hidden="1">{#N/A,#N/A,FALSE,"Umsatz CH";#N/A,#N/A,FALSE,"ER CH";#N/A,#N/A,FALSE,"EA CH (2) ";#N/A,#N/A,FALSE,"EA CH";#N/A,#N/A,FALSE,"EA CH (3) ";#N/A,#N/A,FALSE,"EA CH (4)";#N/A,#N/A,FALSE,"KA CH";#N/A,#N/A,FALSE,"KA CH  (2)";#N/A,#N/A,FALSE,"KA CH  (3)";#N/A,#N/A,FALSE,"KA CH (4)"}</definedName>
    <definedName name="wrn.gb._hm._1" localSheetId="6" hidden="1">{#N/A,#N/A,FALSE,"Umsatz CH";#N/A,#N/A,FALSE,"ER CH";#N/A,#N/A,FALSE,"EA CH (2) ";#N/A,#N/A,FALSE,"EA CH";#N/A,#N/A,FALSE,"EA CH (3) ";#N/A,#N/A,FALSE,"EA CH (4)";#N/A,#N/A,FALSE,"KA CH";#N/A,#N/A,FALSE,"KA CH  (2)";#N/A,#N/A,FALSE,"KA CH  (3)";#N/A,#N/A,FALSE,"KA CH (4)"}</definedName>
    <definedName name="wrn.gb._hm._1" hidden="1">{#N/A,#N/A,FALSE,"Umsatz CH";#N/A,#N/A,FALSE,"ER CH";#N/A,#N/A,FALSE,"EA CH (2) ";#N/A,#N/A,FALSE,"EA CH";#N/A,#N/A,FALSE,"EA CH (3) ";#N/A,#N/A,FALSE,"EA CH (4)";#N/A,#N/A,FALSE,"KA CH";#N/A,#N/A,FALSE,"KA CH  (2)";#N/A,#N/A,FALSE,"KA CH  (3)";#N/A,#N/A,FALSE,"KA CH (4)"}</definedName>
    <definedName name="wrn.gb._hm._1_1" localSheetId="0" hidden="1">{#N/A,#N/A,FALSE,"Umsatz CH";#N/A,#N/A,FALSE,"ER CH";#N/A,#N/A,FALSE,"EA CH (2) ";#N/A,#N/A,FALSE,"EA CH";#N/A,#N/A,FALSE,"EA CH (3) ";#N/A,#N/A,FALSE,"EA CH (4)";#N/A,#N/A,FALSE,"KA CH";#N/A,#N/A,FALSE,"KA CH  (2)";#N/A,#N/A,FALSE,"KA CH  (3)";#N/A,#N/A,FALSE,"KA CH (4)"}</definedName>
    <definedName name="wrn.gb._hm._1_1" localSheetId="6" hidden="1">{#N/A,#N/A,FALSE,"Umsatz CH";#N/A,#N/A,FALSE,"ER CH";#N/A,#N/A,FALSE,"EA CH (2) ";#N/A,#N/A,FALSE,"EA CH";#N/A,#N/A,FALSE,"EA CH (3) ";#N/A,#N/A,FALSE,"EA CH (4)";#N/A,#N/A,FALSE,"KA CH";#N/A,#N/A,FALSE,"KA CH  (2)";#N/A,#N/A,FALSE,"KA CH  (3)";#N/A,#N/A,FALSE,"KA CH (4)"}</definedName>
    <definedName name="wrn.gb._hm._1_1" hidden="1">{#N/A,#N/A,FALSE,"Umsatz CH";#N/A,#N/A,FALSE,"ER CH";#N/A,#N/A,FALSE,"EA CH (2) ";#N/A,#N/A,FALSE,"EA CH";#N/A,#N/A,FALSE,"EA CH (3) ";#N/A,#N/A,FALSE,"EA CH (4)";#N/A,#N/A,FALSE,"KA CH";#N/A,#N/A,FALSE,"KA CH  (2)";#N/A,#N/A,FALSE,"KA CH  (3)";#N/A,#N/A,FALSE,"KA CH (4)"}</definedName>
    <definedName name="wrn.gb._hm._2" localSheetId="0" hidden="1">{#N/A,#N/A,FALSE,"Umsatz CH";#N/A,#N/A,FALSE,"ER CH";#N/A,#N/A,FALSE,"EA CH (2) ";#N/A,#N/A,FALSE,"EA CH";#N/A,#N/A,FALSE,"EA CH (3) ";#N/A,#N/A,FALSE,"EA CH (4)";#N/A,#N/A,FALSE,"KA CH";#N/A,#N/A,FALSE,"KA CH  (2)";#N/A,#N/A,FALSE,"KA CH  (3)";#N/A,#N/A,FALSE,"KA CH (4)"}</definedName>
    <definedName name="wrn.gb._hm._2" localSheetId="6" hidden="1">{#N/A,#N/A,FALSE,"Umsatz CH";#N/A,#N/A,FALSE,"ER CH";#N/A,#N/A,FALSE,"EA CH (2) ";#N/A,#N/A,FALSE,"EA CH";#N/A,#N/A,FALSE,"EA CH (3) ";#N/A,#N/A,FALSE,"EA CH (4)";#N/A,#N/A,FALSE,"KA CH";#N/A,#N/A,FALSE,"KA CH  (2)";#N/A,#N/A,FALSE,"KA CH  (3)";#N/A,#N/A,FALSE,"KA CH (4)"}</definedName>
    <definedName name="wrn.gb._hm._2" hidden="1">{#N/A,#N/A,FALSE,"Umsatz CH";#N/A,#N/A,FALSE,"ER CH";#N/A,#N/A,FALSE,"EA CH (2) ";#N/A,#N/A,FALSE,"EA CH";#N/A,#N/A,FALSE,"EA CH (3) ";#N/A,#N/A,FALSE,"EA CH (4)";#N/A,#N/A,FALSE,"KA CH";#N/A,#N/A,FALSE,"KA CH  (2)";#N/A,#N/A,FALSE,"KA CH  (3)";#N/A,#N/A,FALSE,"KA CH (4)"}</definedName>
    <definedName name="wrn.gb._hm._3" localSheetId="0" hidden="1">{#N/A,#N/A,FALSE,"Umsatz CH";#N/A,#N/A,FALSE,"ER CH";#N/A,#N/A,FALSE,"EA CH (2) ";#N/A,#N/A,FALSE,"EA CH";#N/A,#N/A,FALSE,"EA CH (3) ";#N/A,#N/A,FALSE,"EA CH (4)";#N/A,#N/A,FALSE,"KA CH";#N/A,#N/A,FALSE,"KA CH  (2)";#N/A,#N/A,FALSE,"KA CH  (3)";#N/A,#N/A,FALSE,"KA CH (4)"}</definedName>
    <definedName name="wrn.gb._hm._3" localSheetId="6" hidden="1">{#N/A,#N/A,FALSE,"Umsatz CH";#N/A,#N/A,FALSE,"ER CH";#N/A,#N/A,FALSE,"EA CH (2) ";#N/A,#N/A,FALSE,"EA CH";#N/A,#N/A,FALSE,"EA CH (3) ";#N/A,#N/A,FALSE,"EA CH (4)";#N/A,#N/A,FALSE,"KA CH";#N/A,#N/A,FALSE,"KA CH  (2)";#N/A,#N/A,FALSE,"KA CH  (3)";#N/A,#N/A,FALSE,"KA CH (4)"}</definedName>
    <definedName name="wrn.gb._hm._3" hidden="1">{#N/A,#N/A,FALSE,"Umsatz CH";#N/A,#N/A,FALSE,"ER CH";#N/A,#N/A,FALSE,"EA CH (2) ";#N/A,#N/A,FALSE,"EA CH";#N/A,#N/A,FALSE,"EA CH (3) ";#N/A,#N/A,FALSE,"EA CH (4)";#N/A,#N/A,FALSE,"KA CH";#N/A,#N/A,FALSE,"KA CH  (2)";#N/A,#N/A,FALSE,"KA CH  (3)";#N/A,#N/A,FALSE,"KA CH (4)"}</definedName>
    <definedName name="wrn.gb._hm._4" localSheetId="0" hidden="1">{#N/A,#N/A,FALSE,"Umsatz CH";#N/A,#N/A,FALSE,"ER CH";#N/A,#N/A,FALSE,"EA CH (2) ";#N/A,#N/A,FALSE,"EA CH";#N/A,#N/A,FALSE,"EA CH (3) ";#N/A,#N/A,FALSE,"EA CH (4)";#N/A,#N/A,FALSE,"KA CH";#N/A,#N/A,FALSE,"KA CH  (2)";#N/A,#N/A,FALSE,"KA CH  (3)";#N/A,#N/A,FALSE,"KA CH (4)"}</definedName>
    <definedName name="wrn.gb._hm._4" localSheetId="6" hidden="1">{#N/A,#N/A,FALSE,"Umsatz CH";#N/A,#N/A,FALSE,"ER CH";#N/A,#N/A,FALSE,"EA CH (2) ";#N/A,#N/A,FALSE,"EA CH";#N/A,#N/A,FALSE,"EA CH (3) ";#N/A,#N/A,FALSE,"EA CH (4)";#N/A,#N/A,FALSE,"KA CH";#N/A,#N/A,FALSE,"KA CH  (2)";#N/A,#N/A,FALSE,"KA CH  (3)";#N/A,#N/A,FALSE,"KA CH (4)"}</definedName>
    <definedName name="wrn.gb._hm._4" hidden="1">{#N/A,#N/A,FALSE,"Umsatz CH";#N/A,#N/A,FALSE,"ER CH";#N/A,#N/A,FALSE,"EA CH (2) ";#N/A,#N/A,FALSE,"EA CH";#N/A,#N/A,FALSE,"EA CH (3) ";#N/A,#N/A,FALSE,"EA CH (4)";#N/A,#N/A,FALSE,"KA CH";#N/A,#N/A,FALSE,"KA CH  (2)";#N/A,#N/A,FALSE,"KA CH  (3)";#N/A,#N/A,FALSE,"KA CH (4)"}</definedName>
    <definedName name="wrn.gb._hm._5" localSheetId="0" hidden="1">{#N/A,#N/A,FALSE,"Umsatz CH";#N/A,#N/A,FALSE,"ER CH";#N/A,#N/A,FALSE,"EA CH (2) ";#N/A,#N/A,FALSE,"EA CH";#N/A,#N/A,FALSE,"EA CH (3) ";#N/A,#N/A,FALSE,"EA CH (4)";#N/A,#N/A,FALSE,"KA CH";#N/A,#N/A,FALSE,"KA CH  (2)";#N/A,#N/A,FALSE,"KA CH  (3)";#N/A,#N/A,FALSE,"KA CH (4)"}</definedName>
    <definedName name="wrn.gb._hm._5" localSheetId="6" hidden="1">{#N/A,#N/A,FALSE,"Umsatz CH";#N/A,#N/A,FALSE,"ER CH";#N/A,#N/A,FALSE,"EA CH (2) ";#N/A,#N/A,FALSE,"EA CH";#N/A,#N/A,FALSE,"EA CH (3) ";#N/A,#N/A,FALSE,"EA CH (4)";#N/A,#N/A,FALSE,"KA CH";#N/A,#N/A,FALSE,"KA CH  (2)";#N/A,#N/A,FALSE,"KA CH  (3)";#N/A,#N/A,FALSE,"KA CH (4)"}</definedName>
    <definedName name="wrn.gb._hm._5" hidden="1">{#N/A,#N/A,FALSE,"Umsatz CH";#N/A,#N/A,FALSE,"ER CH";#N/A,#N/A,FALSE,"EA CH (2) ";#N/A,#N/A,FALSE,"EA CH";#N/A,#N/A,FALSE,"EA CH (3) ";#N/A,#N/A,FALSE,"EA CH (4)";#N/A,#N/A,FALSE,"KA CH";#N/A,#N/A,FALSE,"KA CH  (2)";#N/A,#N/A,FALSE,"KA CH  (3)";#N/A,#N/A,FALSE,"KA CH (4)"}</definedName>
    <definedName name="wrn.gb_lll" localSheetId="0" hidden="1">{#N/A,#N/A,FALSE,"Umsatz CH";#N/A,#N/A,FALSE,"ER CH";#N/A,#N/A,FALSE,"EA CH (2) ";#N/A,#N/A,FALSE,"EA CH";#N/A,#N/A,FALSE,"EA CH (3) ";#N/A,#N/A,FALSE,"EA CH (4)";#N/A,#N/A,FALSE,"KA CH";#N/A,#N/A,FALSE,"KA CH  (2)";#N/A,#N/A,FALSE,"KA CH  (3)";#N/A,#N/A,FALSE,"KA CH (4)"}</definedName>
    <definedName name="wrn.gb_lll" localSheetId="6" hidden="1">{#N/A,#N/A,FALSE,"Umsatz CH";#N/A,#N/A,FALSE,"ER CH";#N/A,#N/A,FALSE,"EA CH (2) ";#N/A,#N/A,FALSE,"EA CH";#N/A,#N/A,FALSE,"EA CH (3) ";#N/A,#N/A,FALSE,"EA CH (4)";#N/A,#N/A,FALSE,"KA CH";#N/A,#N/A,FALSE,"KA CH  (2)";#N/A,#N/A,FALSE,"KA CH  (3)";#N/A,#N/A,FALSE,"KA CH (4)"}</definedName>
    <definedName name="wrn.gb_lll" hidden="1">{#N/A,#N/A,FALSE,"Umsatz CH";#N/A,#N/A,FALSE,"ER CH";#N/A,#N/A,FALSE,"EA CH (2) ";#N/A,#N/A,FALSE,"EA CH";#N/A,#N/A,FALSE,"EA CH (3) ";#N/A,#N/A,FALSE,"EA CH (4)";#N/A,#N/A,FALSE,"KA CH";#N/A,#N/A,FALSE,"KA CH  (2)";#N/A,#N/A,FALSE,"KA CH  (3)";#N/A,#N/A,FALSE,"KA CH (4)"}</definedName>
    <definedName name="wrn.gb_lll_1" localSheetId="0" hidden="1">{#N/A,#N/A,FALSE,"Umsatz CH";#N/A,#N/A,FALSE,"ER CH";#N/A,#N/A,FALSE,"EA CH (2) ";#N/A,#N/A,FALSE,"EA CH";#N/A,#N/A,FALSE,"EA CH (3) ";#N/A,#N/A,FALSE,"EA CH (4)";#N/A,#N/A,FALSE,"KA CH";#N/A,#N/A,FALSE,"KA CH  (2)";#N/A,#N/A,FALSE,"KA CH  (3)";#N/A,#N/A,FALSE,"KA CH (4)"}</definedName>
    <definedName name="wrn.gb_lll_1" localSheetId="6" hidden="1">{#N/A,#N/A,FALSE,"Umsatz CH";#N/A,#N/A,FALSE,"ER CH";#N/A,#N/A,FALSE,"EA CH (2) ";#N/A,#N/A,FALSE,"EA CH";#N/A,#N/A,FALSE,"EA CH (3) ";#N/A,#N/A,FALSE,"EA CH (4)";#N/A,#N/A,FALSE,"KA CH";#N/A,#N/A,FALSE,"KA CH  (2)";#N/A,#N/A,FALSE,"KA CH  (3)";#N/A,#N/A,FALSE,"KA CH (4)"}</definedName>
    <definedName name="wrn.gb_lll_1" hidden="1">{#N/A,#N/A,FALSE,"Umsatz CH";#N/A,#N/A,FALSE,"ER CH";#N/A,#N/A,FALSE,"EA CH (2) ";#N/A,#N/A,FALSE,"EA CH";#N/A,#N/A,FALSE,"EA CH (3) ";#N/A,#N/A,FALSE,"EA CH (4)";#N/A,#N/A,FALSE,"KA CH";#N/A,#N/A,FALSE,"KA CH  (2)";#N/A,#N/A,FALSE,"KA CH  (3)";#N/A,#N/A,FALSE,"KA CH (4)"}</definedName>
    <definedName name="wrn.gb_lll_1_1" localSheetId="0" hidden="1">{#N/A,#N/A,FALSE,"Umsatz CH";#N/A,#N/A,FALSE,"ER CH";#N/A,#N/A,FALSE,"EA CH (2) ";#N/A,#N/A,FALSE,"EA CH";#N/A,#N/A,FALSE,"EA CH (3) ";#N/A,#N/A,FALSE,"EA CH (4)";#N/A,#N/A,FALSE,"KA CH";#N/A,#N/A,FALSE,"KA CH  (2)";#N/A,#N/A,FALSE,"KA CH  (3)";#N/A,#N/A,FALSE,"KA CH (4)"}</definedName>
    <definedName name="wrn.gb_lll_1_1" localSheetId="6" hidden="1">{#N/A,#N/A,FALSE,"Umsatz CH";#N/A,#N/A,FALSE,"ER CH";#N/A,#N/A,FALSE,"EA CH (2) ";#N/A,#N/A,FALSE,"EA CH";#N/A,#N/A,FALSE,"EA CH (3) ";#N/A,#N/A,FALSE,"EA CH (4)";#N/A,#N/A,FALSE,"KA CH";#N/A,#N/A,FALSE,"KA CH  (2)";#N/A,#N/A,FALSE,"KA CH  (3)";#N/A,#N/A,FALSE,"KA CH (4)"}</definedName>
    <definedName name="wrn.gb_lll_1_1" hidden="1">{#N/A,#N/A,FALSE,"Umsatz CH";#N/A,#N/A,FALSE,"ER CH";#N/A,#N/A,FALSE,"EA CH (2) ";#N/A,#N/A,FALSE,"EA CH";#N/A,#N/A,FALSE,"EA CH (3) ";#N/A,#N/A,FALSE,"EA CH (4)";#N/A,#N/A,FALSE,"KA CH";#N/A,#N/A,FALSE,"KA CH  (2)";#N/A,#N/A,FALSE,"KA CH  (3)";#N/A,#N/A,FALSE,"KA CH (4)"}</definedName>
    <definedName name="wrn.gb_lll_2" localSheetId="0" hidden="1">{#N/A,#N/A,FALSE,"Umsatz CH";#N/A,#N/A,FALSE,"ER CH";#N/A,#N/A,FALSE,"EA CH (2) ";#N/A,#N/A,FALSE,"EA CH";#N/A,#N/A,FALSE,"EA CH (3) ";#N/A,#N/A,FALSE,"EA CH (4)";#N/A,#N/A,FALSE,"KA CH";#N/A,#N/A,FALSE,"KA CH  (2)";#N/A,#N/A,FALSE,"KA CH  (3)";#N/A,#N/A,FALSE,"KA CH (4)"}</definedName>
    <definedName name="wrn.gb_lll_2" localSheetId="6" hidden="1">{#N/A,#N/A,FALSE,"Umsatz CH";#N/A,#N/A,FALSE,"ER CH";#N/A,#N/A,FALSE,"EA CH (2) ";#N/A,#N/A,FALSE,"EA CH";#N/A,#N/A,FALSE,"EA CH (3) ";#N/A,#N/A,FALSE,"EA CH (4)";#N/A,#N/A,FALSE,"KA CH";#N/A,#N/A,FALSE,"KA CH  (2)";#N/A,#N/A,FALSE,"KA CH  (3)";#N/A,#N/A,FALSE,"KA CH (4)"}</definedName>
    <definedName name="wrn.gb_lll_2" hidden="1">{#N/A,#N/A,FALSE,"Umsatz CH";#N/A,#N/A,FALSE,"ER CH";#N/A,#N/A,FALSE,"EA CH (2) ";#N/A,#N/A,FALSE,"EA CH";#N/A,#N/A,FALSE,"EA CH (3) ";#N/A,#N/A,FALSE,"EA CH (4)";#N/A,#N/A,FALSE,"KA CH";#N/A,#N/A,FALSE,"KA CH  (2)";#N/A,#N/A,FALSE,"KA CH  (3)";#N/A,#N/A,FALSE,"KA CH (4)"}</definedName>
    <definedName name="wrn.gb_lll_3" localSheetId="0" hidden="1">{#N/A,#N/A,FALSE,"Umsatz CH";#N/A,#N/A,FALSE,"ER CH";#N/A,#N/A,FALSE,"EA CH (2) ";#N/A,#N/A,FALSE,"EA CH";#N/A,#N/A,FALSE,"EA CH (3) ";#N/A,#N/A,FALSE,"EA CH (4)";#N/A,#N/A,FALSE,"KA CH";#N/A,#N/A,FALSE,"KA CH  (2)";#N/A,#N/A,FALSE,"KA CH  (3)";#N/A,#N/A,FALSE,"KA CH (4)"}</definedName>
    <definedName name="wrn.gb_lll_3" localSheetId="6" hidden="1">{#N/A,#N/A,FALSE,"Umsatz CH";#N/A,#N/A,FALSE,"ER CH";#N/A,#N/A,FALSE,"EA CH (2) ";#N/A,#N/A,FALSE,"EA CH";#N/A,#N/A,FALSE,"EA CH (3) ";#N/A,#N/A,FALSE,"EA CH (4)";#N/A,#N/A,FALSE,"KA CH";#N/A,#N/A,FALSE,"KA CH  (2)";#N/A,#N/A,FALSE,"KA CH  (3)";#N/A,#N/A,FALSE,"KA CH (4)"}</definedName>
    <definedName name="wrn.gb_lll_3" hidden="1">{#N/A,#N/A,FALSE,"Umsatz CH";#N/A,#N/A,FALSE,"ER CH";#N/A,#N/A,FALSE,"EA CH (2) ";#N/A,#N/A,FALSE,"EA CH";#N/A,#N/A,FALSE,"EA CH (3) ";#N/A,#N/A,FALSE,"EA CH (4)";#N/A,#N/A,FALSE,"KA CH";#N/A,#N/A,FALSE,"KA CH  (2)";#N/A,#N/A,FALSE,"KA CH  (3)";#N/A,#N/A,FALSE,"KA CH (4)"}</definedName>
    <definedName name="wrn.gb_lll_4" localSheetId="0" hidden="1">{#N/A,#N/A,FALSE,"Umsatz CH";#N/A,#N/A,FALSE,"ER CH";#N/A,#N/A,FALSE,"EA CH (2) ";#N/A,#N/A,FALSE,"EA CH";#N/A,#N/A,FALSE,"EA CH (3) ";#N/A,#N/A,FALSE,"EA CH (4)";#N/A,#N/A,FALSE,"KA CH";#N/A,#N/A,FALSE,"KA CH  (2)";#N/A,#N/A,FALSE,"KA CH  (3)";#N/A,#N/A,FALSE,"KA CH (4)"}</definedName>
    <definedName name="wrn.gb_lll_4" localSheetId="6" hidden="1">{#N/A,#N/A,FALSE,"Umsatz CH";#N/A,#N/A,FALSE,"ER CH";#N/A,#N/A,FALSE,"EA CH (2) ";#N/A,#N/A,FALSE,"EA CH";#N/A,#N/A,FALSE,"EA CH (3) ";#N/A,#N/A,FALSE,"EA CH (4)";#N/A,#N/A,FALSE,"KA CH";#N/A,#N/A,FALSE,"KA CH  (2)";#N/A,#N/A,FALSE,"KA CH  (3)";#N/A,#N/A,FALSE,"KA CH (4)"}</definedName>
    <definedName name="wrn.gb_lll_4" hidden="1">{#N/A,#N/A,FALSE,"Umsatz CH";#N/A,#N/A,FALSE,"ER CH";#N/A,#N/A,FALSE,"EA CH (2) ";#N/A,#N/A,FALSE,"EA CH";#N/A,#N/A,FALSE,"EA CH (3) ";#N/A,#N/A,FALSE,"EA CH (4)";#N/A,#N/A,FALSE,"KA CH";#N/A,#N/A,FALSE,"KA CH  (2)";#N/A,#N/A,FALSE,"KA CH  (3)";#N/A,#N/A,FALSE,"KA CH (4)"}</definedName>
    <definedName name="wrn.gb_lll_5" localSheetId="0" hidden="1">{#N/A,#N/A,FALSE,"Umsatz CH";#N/A,#N/A,FALSE,"ER CH";#N/A,#N/A,FALSE,"EA CH (2) ";#N/A,#N/A,FALSE,"EA CH";#N/A,#N/A,FALSE,"EA CH (3) ";#N/A,#N/A,FALSE,"EA CH (4)";#N/A,#N/A,FALSE,"KA CH";#N/A,#N/A,FALSE,"KA CH  (2)";#N/A,#N/A,FALSE,"KA CH  (3)";#N/A,#N/A,FALSE,"KA CH (4)"}</definedName>
    <definedName name="wrn.gb_lll_5" localSheetId="6" hidden="1">{#N/A,#N/A,FALSE,"Umsatz CH";#N/A,#N/A,FALSE,"ER CH";#N/A,#N/A,FALSE,"EA CH (2) ";#N/A,#N/A,FALSE,"EA CH";#N/A,#N/A,FALSE,"EA CH (3) ";#N/A,#N/A,FALSE,"EA CH (4)";#N/A,#N/A,FALSE,"KA CH";#N/A,#N/A,FALSE,"KA CH  (2)";#N/A,#N/A,FALSE,"KA CH  (3)";#N/A,#N/A,FALSE,"KA CH (4)"}</definedName>
    <definedName name="wrn.gb_lll_5" hidden="1">{#N/A,#N/A,FALSE,"Umsatz CH";#N/A,#N/A,FALSE,"ER CH";#N/A,#N/A,FALSE,"EA CH (2) ";#N/A,#N/A,FALSE,"EA CH";#N/A,#N/A,FALSE,"EA CH (3) ";#N/A,#N/A,FALSE,"EA CH (4)";#N/A,#N/A,FALSE,"KA CH";#N/A,#N/A,FALSE,"KA CH  (2)";#N/A,#N/A,FALSE,"KA CH  (3)";#N/A,#N/A,FALSE,"KA CH (4)"}</definedName>
    <definedName name="wrn.GCIall." localSheetId="0" hidden="1">{"gcicash",#N/A,FALSE,"GCIINC";"gciinc",#N/A,FALSE,"GCIINC";"gciexclusa",#N/A,FALSE,"GCIINC";"usatdy",#N/A,FALSE,"GCIINC"}</definedName>
    <definedName name="wrn.GCIall." localSheetId="6" hidden="1">{"gcicash",#N/A,FALSE,"GCIINC";"gciinc",#N/A,FALSE,"GCIINC";"gciexclusa",#N/A,FALSE,"GCIINC";"usatdy",#N/A,FALSE,"GCIINC"}</definedName>
    <definedName name="wrn.GCIall." hidden="1">{"gcicash",#N/A,FALSE,"GCIINC";"gciinc",#N/A,FALSE,"GCIINC";"gciexclusa",#N/A,FALSE,"GCIINC";"usatdy",#N/A,FALSE,"GCIINC"}</definedName>
    <definedName name="wrn.Gefran." localSheetId="0" hidden="1">{"CECons",#N/A,FALSE,"CE"}</definedName>
    <definedName name="wrn.Gefran." localSheetId="6" hidden="1">{"CECons",#N/A,FALSE,"CE"}</definedName>
    <definedName name="wrn.Gefran." hidden="1">{"CECons",#N/A,FALSE,"CE"}</definedName>
    <definedName name="wrn.General._.OTC." localSheetId="0" hidden="1">{#N/A,#N/A,FALSE,"Title Page (3)";#N/A,#N/A,FALSE,"YTD - OTC";#N/A,#N/A,FALSE,"MTH - OTC"}</definedName>
    <definedName name="wrn.General._.OTC." localSheetId="6" hidden="1">{#N/A,#N/A,FALSE,"Title Page (3)";#N/A,#N/A,FALSE,"YTD - OTC";#N/A,#N/A,FALSE,"MTH - OTC"}</definedName>
    <definedName name="wrn.General._.OTC." hidden="1">{#N/A,#N/A,FALSE,"Title Page (3)";#N/A,#N/A,FALSE,"YTD - OTC";#N/A,#N/A,FALSE,"MTH - OTC"}</definedName>
    <definedName name="wrn.General._.OTC._1" localSheetId="0" hidden="1">{#N/A,#N/A,FALSE,"Title Page (3)";#N/A,#N/A,FALSE,"YTD - OTC";#N/A,#N/A,FALSE,"MTH - OTC"}</definedName>
    <definedName name="wrn.General._.OTC._1" localSheetId="6" hidden="1">{#N/A,#N/A,FALSE,"Title Page (3)";#N/A,#N/A,FALSE,"YTD - OTC";#N/A,#N/A,FALSE,"MTH - OTC"}</definedName>
    <definedName name="wrn.General._.OTC._1" hidden="1">{#N/A,#N/A,FALSE,"Title Page (3)";#N/A,#N/A,FALSE,"YTD - OTC";#N/A,#N/A,FALSE,"MTH - OTC"}</definedName>
    <definedName name="wrn.General._.OTC._1_1" localSheetId="0" hidden="1">{#N/A,#N/A,FALSE,"Title Page (3)";#N/A,#N/A,FALSE,"YTD - OTC";#N/A,#N/A,FALSE,"MTH - OTC"}</definedName>
    <definedName name="wrn.General._.OTC._1_1" localSheetId="6" hidden="1">{#N/A,#N/A,FALSE,"Title Page (3)";#N/A,#N/A,FALSE,"YTD - OTC";#N/A,#N/A,FALSE,"MTH - OTC"}</definedName>
    <definedName name="wrn.General._.OTC._1_1" hidden="1">{#N/A,#N/A,FALSE,"Title Page (3)";#N/A,#N/A,FALSE,"YTD - OTC";#N/A,#N/A,FALSE,"MTH - OTC"}</definedName>
    <definedName name="wrn.General._.OTC._2" localSheetId="0" hidden="1">{#N/A,#N/A,FALSE,"Title Page (3)";#N/A,#N/A,FALSE,"YTD - OTC";#N/A,#N/A,FALSE,"MTH - OTC"}</definedName>
    <definedName name="wrn.General._.OTC._2" localSheetId="6" hidden="1">{#N/A,#N/A,FALSE,"Title Page (3)";#N/A,#N/A,FALSE,"YTD - OTC";#N/A,#N/A,FALSE,"MTH - OTC"}</definedName>
    <definedName name="wrn.General._.OTC._2" hidden="1">{#N/A,#N/A,FALSE,"Title Page (3)";#N/A,#N/A,FALSE,"YTD - OTC";#N/A,#N/A,FALSE,"MTH - OTC"}</definedName>
    <definedName name="wrn.General._.OTC._3" localSheetId="0" hidden="1">{#N/A,#N/A,FALSE,"Title Page (3)";#N/A,#N/A,FALSE,"YTD - OTC";#N/A,#N/A,FALSE,"MTH - OTC"}</definedName>
    <definedName name="wrn.General._.OTC._3" localSheetId="6" hidden="1">{#N/A,#N/A,FALSE,"Title Page (3)";#N/A,#N/A,FALSE,"YTD - OTC";#N/A,#N/A,FALSE,"MTH - OTC"}</definedName>
    <definedName name="wrn.General._.OTC._3" hidden="1">{#N/A,#N/A,FALSE,"Title Page (3)";#N/A,#N/A,FALSE,"YTD - OTC";#N/A,#N/A,FALSE,"MTH - OTC"}</definedName>
    <definedName name="wrn.General._.OTC._4" localSheetId="0" hidden="1">{#N/A,#N/A,FALSE,"Title Page (3)";#N/A,#N/A,FALSE,"YTD - OTC";#N/A,#N/A,FALSE,"MTH - OTC"}</definedName>
    <definedName name="wrn.General._.OTC._4" localSheetId="6" hidden="1">{#N/A,#N/A,FALSE,"Title Page (3)";#N/A,#N/A,FALSE,"YTD - OTC";#N/A,#N/A,FALSE,"MTH - OTC"}</definedName>
    <definedName name="wrn.General._.OTC._4" hidden="1">{#N/A,#N/A,FALSE,"Title Page (3)";#N/A,#N/A,FALSE,"YTD - OTC";#N/A,#N/A,FALSE,"MTH - OTC"}</definedName>
    <definedName name="wrn.General._.OTC._5" localSheetId="0" hidden="1">{#N/A,#N/A,FALSE,"Title Page (3)";#N/A,#N/A,FALSE,"YTD - OTC";#N/A,#N/A,FALSE,"MTH - OTC"}</definedName>
    <definedName name="wrn.General._.OTC._5" localSheetId="6" hidden="1">{#N/A,#N/A,FALSE,"Title Page (3)";#N/A,#N/A,FALSE,"YTD - OTC";#N/A,#N/A,FALSE,"MTH - OTC"}</definedName>
    <definedName name="wrn.General._.OTC._5" hidden="1">{#N/A,#N/A,FALSE,"Title Page (3)";#N/A,#N/A,FALSE,"YTD - OTC";#N/A,#N/A,FALSE,"MTH - OTC"}</definedName>
    <definedName name="wrn.General._.Pharm." localSheetId="0" hidden="1">{#N/A,#N/A,FALSE,"Title Page (2)";#N/A,#N/A,FALSE,"YTD - Pharm";#N/A,#N/A,FALSE,"MTH - Pharm"}</definedName>
    <definedName name="wrn.General._.Pharm." localSheetId="6" hidden="1">{#N/A,#N/A,FALSE,"Title Page (2)";#N/A,#N/A,FALSE,"YTD - Pharm";#N/A,#N/A,FALSE,"MTH - Pharm"}</definedName>
    <definedName name="wrn.General._.Pharm." hidden="1">{#N/A,#N/A,FALSE,"Title Page (2)";#N/A,#N/A,FALSE,"YTD - Pharm";#N/A,#N/A,FALSE,"MTH - Pharm"}</definedName>
    <definedName name="wrn.General._.Pharm._1" localSheetId="0" hidden="1">{#N/A,#N/A,FALSE,"Title Page (2)";#N/A,#N/A,FALSE,"YTD - Pharm";#N/A,#N/A,FALSE,"MTH - Pharm"}</definedName>
    <definedName name="wrn.General._.Pharm._1" localSheetId="6" hidden="1">{#N/A,#N/A,FALSE,"Title Page (2)";#N/A,#N/A,FALSE,"YTD - Pharm";#N/A,#N/A,FALSE,"MTH - Pharm"}</definedName>
    <definedName name="wrn.General._.Pharm._1" hidden="1">{#N/A,#N/A,FALSE,"Title Page (2)";#N/A,#N/A,FALSE,"YTD - Pharm";#N/A,#N/A,FALSE,"MTH - Pharm"}</definedName>
    <definedName name="wrn.General._.Pharm._1_1" localSheetId="0" hidden="1">{#N/A,#N/A,FALSE,"Title Page (2)";#N/A,#N/A,FALSE,"YTD - Pharm";#N/A,#N/A,FALSE,"MTH - Pharm"}</definedName>
    <definedName name="wrn.General._.Pharm._1_1" localSheetId="6" hidden="1">{#N/A,#N/A,FALSE,"Title Page (2)";#N/A,#N/A,FALSE,"YTD - Pharm";#N/A,#N/A,FALSE,"MTH - Pharm"}</definedName>
    <definedName name="wrn.General._.Pharm._1_1" hidden="1">{#N/A,#N/A,FALSE,"Title Page (2)";#N/A,#N/A,FALSE,"YTD - Pharm";#N/A,#N/A,FALSE,"MTH - Pharm"}</definedName>
    <definedName name="wrn.General._.Pharm._2" localSheetId="0" hidden="1">{#N/A,#N/A,FALSE,"Title Page (2)";#N/A,#N/A,FALSE,"YTD - Pharm";#N/A,#N/A,FALSE,"MTH - Pharm"}</definedName>
    <definedName name="wrn.General._.Pharm._2" localSheetId="6" hidden="1">{#N/A,#N/A,FALSE,"Title Page (2)";#N/A,#N/A,FALSE,"YTD - Pharm";#N/A,#N/A,FALSE,"MTH - Pharm"}</definedName>
    <definedName name="wrn.General._.Pharm._2" hidden="1">{#N/A,#N/A,FALSE,"Title Page (2)";#N/A,#N/A,FALSE,"YTD - Pharm";#N/A,#N/A,FALSE,"MTH - Pharm"}</definedName>
    <definedName name="wrn.General._.Pharm._3" localSheetId="0" hidden="1">{#N/A,#N/A,FALSE,"Title Page (2)";#N/A,#N/A,FALSE,"YTD - Pharm";#N/A,#N/A,FALSE,"MTH - Pharm"}</definedName>
    <definedName name="wrn.General._.Pharm._3" localSheetId="6" hidden="1">{#N/A,#N/A,FALSE,"Title Page (2)";#N/A,#N/A,FALSE,"YTD - Pharm";#N/A,#N/A,FALSE,"MTH - Pharm"}</definedName>
    <definedName name="wrn.General._.Pharm._3" hidden="1">{#N/A,#N/A,FALSE,"Title Page (2)";#N/A,#N/A,FALSE,"YTD - Pharm";#N/A,#N/A,FALSE,"MTH - Pharm"}</definedName>
    <definedName name="wrn.General._.Pharm._4" localSheetId="0" hidden="1">{#N/A,#N/A,FALSE,"Title Page (2)";#N/A,#N/A,FALSE,"YTD - Pharm";#N/A,#N/A,FALSE,"MTH - Pharm"}</definedName>
    <definedName name="wrn.General._.Pharm._4" localSheetId="6" hidden="1">{#N/A,#N/A,FALSE,"Title Page (2)";#N/A,#N/A,FALSE,"YTD - Pharm";#N/A,#N/A,FALSE,"MTH - Pharm"}</definedName>
    <definedName name="wrn.General._.Pharm._4" hidden="1">{#N/A,#N/A,FALSE,"Title Page (2)";#N/A,#N/A,FALSE,"YTD - Pharm";#N/A,#N/A,FALSE,"MTH - Pharm"}</definedName>
    <definedName name="wrn.General._.Pharm._5" localSheetId="0" hidden="1">{#N/A,#N/A,FALSE,"Title Page (2)";#N/A,#N/A,FALSE,"YTD - Pharm";#N/A,#N/A,FALSE,"MTH - Pharm"}</definedName>
    <definedName name="wrn.General._.Pharm._5" localSheetId="6" hidden="1">{#N/A,#N/A,FALSE,"Title Page (2)";#N/A,#N/A,FALSE,"YTD - Pharm";#N/A,#N/A,FALSE,"MTH - Pharm"}</definedName>
    <definedName name="wrn.General._.Pharm._5" hidden="1">{#N/A,#N/A,FALSE,"Title Page (2)";#N/A,#N/A,FALSE,"YTD - Pharm";#N/A,#N/A,FALSE,"MTH - Pharm"}</definedName>
    <definedName name="wrn.General._.Total." localSheetId="0" hidden="1">{#N/A,#N/A,FALSE,"Title Page (4)";#N/A,#N/A,FALSE,"YTD - Total";#N/A,#N/A,FALSE,"MTH - Total"}</definedName>
    <definedName name="wrn.General._.Total." localSheetId="6" hidden="1">{#N/A,#N/A,FALSE,"Title Page (4)";#N/A,#N/A,FALSE,"YTD - Total";#N/A,#N/A,FALSE,"MTH - Total"}</definedName>
    <definedName name="wrn.General._.Total." hidden="1">{#N/A,#N/A,FALSE,"Title Page (4)";#N/A,#N/A,FALSE,"YTD - Total";#N/A,#N/A,FALSE,"MTH - Total"}</definedName>
    <definedName name="wrn.General._.Total._1" localSheetId="0" hidden="1">{#N/A,#N/A,FALSE,"Title Page (4)";#N/A,#N/A,FALSE,"YTD - Total";#N/A,#N/A,FALSE,"MTH - Total"}</definedName>
    <definedName name="wrn.General._.Total._1" localSheetId="6" hidden="1">{#N/A,#N/A,FALSE,"Title Page (4)";#N/A,#N/A,FALSE,"YTD - Total";#N/A,#N/A,FALSE,"MTH - Total"}</definedName>
    <definedName name="wrn.General._.Total._1" hidden="1">{#N/A,#N/A,FALSE,"Title Page (4)";#N/A,#N/A,FALSE,"YTD - Total";#N/A,#N/A,FALSE,"MTH - Total"}</definedName>
    <definedName name="wrn.General._.Total._1_1" localSheetId="0" hidden="1">{#N/A,#N/A,FALSE,"Title Page (4)";#N/A,#N/A,FALSE,"YTD - Total";#N/A,#N/A,FALSE,"MTH - Total"}</definedName>
    <definedName name="wrn.General._.Total._1_1" localSheetId="6" hidden="1">{#N/A,#N/A,FALSE,"Title Page (4)";#N/A,#N/A,FALSE,"YTD - Total";#N/A,#N/A,FALSE,"MTH - Total"}</definedName>
    <definedName name="wrn.General._.Total._1_1" hidden="1">{#N/A,#N/A,FALSE,"Title Page (4)";#N/A,#N/A,FALSE,"YTD - Total";#N/A,#N/A,FALSE,"MTH - Total"}</definedName>
    <definedName name="wrn.General._.Total._2" localSheetId="0" hidden="1">{#N/A,#N/A,FALSE,"Title Page (4)";#N/A,#N/A,FALSE,"YTD - Total";#N/A,#N/A,FALSE,"MTH - Total"}</definedName>
    <definedName name="wrn.General._.Total._2" localSheetId="6" hidden="1">{#N/A,#N/A,FALSE,"Title Page (4)";#N/A,#N/A,FALSE,"YTD - Total";#N/A,#N/A,FALSE,"MTH - Total"}</definedName>
    <definedName name="wrn.General._.Total._2" hidden="1">{#N/A,#N/A,FALSE,"Title Page (4)";#N/A,#N/A,FALSE,"YTD - Total";#N/A,#N/A,FALSE,"MTH - Total"}</definedName>
    <definedName name="wrn.General._.Total._3" localSheetId="0" hidden="1">{#N/A,#N/A,FALSE,"Title Page (4)";#N/A,#N/A,FALSE,"YTD - Total";#N/A,#N/A,FALSE,"MTH - Total"}</definedName>
    <definedName name="wrn.General._.Total._3" localSheetId="6" hidden="1">{#N/A,#N/A,FALSE,"Title Page (4)";#N/A,#N/A,FALSE,"YTD - Total";#N/A,#N/A,FALSE,"MTH - Total"}</definedName>
    <definedName name="wrn.General._.Total._3" hidden="1">{#N/A,#N/A,FALSE,"Title Page (4)";#N/A,#N/A,FALSE,"YTD - Total";#N/A,#N/A,FALSE,"MTH - Total"}</definedName>
    <definedName name="wrn.General._.Total._4" localSheetId="0" hidden="1">{#N/A,#N/A,FALSE,"Title Page (4)";#N/A,#N/A,FALSE,"YTD - Total";#N/A,#N/A,FALSE,"MTH - Total"}</definedName>
    <definedName name="wrn.General._.Total._4" localSheetId="6" hidden="1">{#N/A,#N/A,FALSE,"Title Page (4)";#N/A,#N/A,FALSE,"YTD - Total";#N/A,#N/A,FALSE,"MTH - Total"}</definedName>
    <definedName name="wrn.General._.Total._4" hidden="1">{#N/A,#N/A,FALSE,"Title Page (4)";#N/A,#N/A,FALSE,"YTD - Total";#N/A,#N/A,FALSE,"MTH - Total"}</definedName>
    <definedName name="wrn.General._.Total._5" localSheetId="0" hidden="1">{#N/A,#N/A,FALSE,"Title Page (4)";#N/A,#N/A,FALSE,"YTD - Total";#N/A,#N/A,FALSE,"MTH - Total"}</definedName>
    <definedName name="wrn.General._.Total._5" localSheetId="6" hidden="1">{#N/A,#N/A,FALSE,"Title Page (4)";#N/A,#N/A,FALSE,"YTD - Total";#N/A,#N/A,FALSE,"MTH - Total"}</definedName>
    <definedName name="wrn.General._.Total._5" hidden="1">{#N/A,#N/A,FALSE,"Title Page (4)";#N/A,#N/A,FALSE,"YTD - Total";#N/A,#N/A,FALSE,"MTH - Total"}</definedName>
    <definedName name="wrn.Geographic._.Trends." localSheetId="0" hidden="1">{"Geographic P1",#N/A,FALSE,"Division &amp; Geog"}</definedName>
    <definedName name="wrn.Geographic._.Trends." localSheetId="6" hidden="1">{"Geographic P1",#N/A,FALSE,"Division &amp; Geog"}</definedName>
    <definedName name="wrn.Geographic._.Trends." hidden="1">{"Geographic P1",#N/A,FALSE,"Division &amp; Geog"}</definedName>
    <definedName name="wrn.Geographic._.Trends.2" localSheetId="6" hidden="1">{"Geographic P1",#N/A,FALSE,"Division &amp; Geog"}</definedName>
    <definedName name="wrn.Geographic._.Trends.2" hidden="1">{"Geographic P1",#N/A,FALSE,"Division &amp; Geog"}</definedName>
    <definedName name="wrn.Gesamtausdruck." localSheetId="0" hidden="1">{#N/A,#N/A,TRUE,"Sensonic";#N/A,#N/A,TRUE,"Combimeter";#N/A,#N/A,TRUE,"HKV";#N/A,#N/A,TRUE,"TV";#N/A,#N/A,TRUE,"WZ";#N/A,#N/A,TRUE,"PrepHeatCon";#N/A,#N/A,TRUE,"Sonstiges";#N/A,#N/A,TRUE,"Abrechnung";#N/A,#N/A,TRUE,"Investitionen";#N/A,#N/A,TRUE,"Personal";#N/A,#N/A,TRUE,"sonstige Kosten u. Erträge";#N/A,#N/A,TRUE,"BER";#N/A,#N/A,TRUE,"Monatsaufteilung Budget 1997"}</definedName>
    <definedName name="wrn.Gesamtausdruck."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wrn.Gesamtausdruck." hidden="1">{#N/A,#N/A,TRUE,"Sensonic";#N/A,#N/A,TRUE,"Combimeter";#N/A,#N/A,TRUE,"HKV";#N/A,#N/A,TRUE,"TV";#N/A,#N/A,TRUE,"WZ";#N/A,#N/A,TRUE,"PrepHeatCon";#N/A,#N/A,TRUE,"Sonstiges";#N/A,#N/A,TRUE,"Abrechnung";#N/A,#N/A,TRUE,"Investitionen";#N/A,#N/A,TRUE,"Personal";#N/A,#N/A,TRUE,"sonstige Kosten u. Erträge";#N/A,#N/A,TRUE,"BER";#N/A,#N/A,TRUE,"Monatsaufteilung Budget 1997"}</definedName>
    <definedName name="wrn.GRAFICOS." localSheetId="6" hidden="1">{#N/A,#N/A,FALSE,"CAPEX";#N/A,#N/A,FALSE,"NETSALES";#N/A,#N/A,FALSE,"GMSTPP";#N/A,#N/A,FALSE,"GMTOTAL";#N/A,#N/A,FALSE,"FERTIL";#N/A,#N/A,FALSE,"STPP";#N/A,#N/A,FALSE,"CBLACK";#N/A,#N/A,FALSE,"OPERTINCOME"}</definedName>
    <definedName name="wrn.GRAFICOS." hidden="1">{#N/A,#N/A,FALSE,"CAPEX";#N/A,#N/A,FALSE,"NETSALES";#N/A,#N/A,FALSE,"GMSTPP";#N/A,#N/A,FALSE,"GMTOTAL";#N/A,#N/A,FALSE,"FERTIL";#N/A,#N/A,FALSE,"STPP";#N/A,#N/A,FALSE,"CBLACK";#N/A,#N/A,FALSE,"OPERTINCOME"}</definedName>
    <definedName name="wrn.GRAHAM." localSheetId="6" hidden="1">{"FRONT (GRAHAM) (30)",#N/A,TRUE,"GRAHAM";"P_AND_L (GRAHAM) (30)",#N/A,TRUE,"GRAHAM";"CASH_AND_VAL (GRAHAM) (30)",#N/A,TRUE,"GRAHAM";"HISTORIC PERFORMANCE (GRAHAM) (30)",#N/A,TRUE,"GRAHAM"}</definedName>
    <definedName name="wrn.GRAHAM." hidden="1">{"FRONT (GRAHAM) (30)",#N/A,TRUE,"GRAHAM";"P_AND_L (GRAHAM) (30)",#N/A,TRUE,"GRAHAM";"CASH_AND_VAL (GRAHAM) (30)",#N/A,TRUE,"GRAHAM";"HISTORIC PERFORMANCE (GRAHAM) (30)",#N/A,TRUE,"GRAHAM"}</definedName>
    <definedName name="wrn.Graph._.edition." localSheetId="0" hidden="1">{#N/A,#N/A,FALSE,"KPI-EMM-Graph";#N/A,#N/A,FALSE,"Cost Graph";#N/A,#N/A,FALSE,"Cash graph";#N/A,#N/A,FALSE,"Order Sales Graph"}</definedName>
    <definedName name="wrn.Graph._.edition." localSheetId="6" hidden="1">{#N/A,#N/A,FALSE,"KPI-EMM-Graph";#N/A,#N/A,FALSE,"Cost Graph";#N/A,#N/A,FALSE,"Cash graph";#N/A,#N/A,FALSE,"Order Sales Graph"}</definedName>
    <definedName name="wrn.Graph._.edition." hidden="1">{#N/A,#N/A,FALSE,"KPI-EMM-Graph";#N/A,#N/A,FALSE,"Cost Graph";#N/A,#N/A,FALSE,"Cash graph";#N/A,#N/A,FALSE,"Order Sales Graph"}</definedName>
    <definedName name="wrn.GRAPHS." localSheetId="0" hidden="1">{#N/A,#N/A,FALSE,"ACQ_GRAPHS";#N/A,#N/A,FALSE,"T_1 GRAPHS";#N/A,#N/A,FALSE,"T_2 GRAPHS";#N/A,#N/A,FALSE,"COMB_GRAPHS"}</definedName>
    <definedName name="wrn.GRAPHS." localSheetId="6" hidden="1">{#N/A,#N/A,FALSE,"ACQ_GRAPHS";#N/A,#N/A,FALSE,"T_1 GRAPHS";#N/A,#N/A,FALSE,"T_2 GRAPHS";#N/A,#N/A,FALSE,"COMB_GRAPHS"}</definedName>
    <definedName name="wrn.GRAPHS." hidden="1">{#N/A,#N/A,FALSE,"ACQ_GRAPHS";#N/A,#N/A,FALSE,"T_1 GRAPHS";#N/A,#N/A,FALSE,"T_2 GRAPHS";#N/A,#N/A,FALSE,"COMB_GRAPHS"}</definedName>
    <definedName name="wrn.GRF_1." localSheetId="0" hidden="1">{"VISTA_1",#N/A,FALSE,"GRAFO"}</definedName>
    <definedName name="wrn.GRF_1." localSheetId="6" hidden="1">{"VISTA_1",#N/A,FALSE,"GRAFO"}</definedName>
    <definedName name="wrn.GRF_1." hidden="1">{"VISTA_1",#N/A,FALSE,"GRAFO"}</definedName>
    <definedName name="wrn.gross._.margin._.detail." localSheetId="0" hidden="1">{"gross_margin1",#N/A,FALSE,"Gross Margin Detail";"gross_margin2",#N/A,FALSE,"Gross Margin Detail"}</definedName>
    <definedName name="wrn.gross._.margin._.detail." localSheetId="6" hidden="1">{"gross_margin1",#N/A,FALSE,"Gross Margin Detail";"gross_margin2",#N/A,FALSE,"Gross Margin Detail"}</definedName>
    <definedName name="wrn.gross._.margin._.detail." hidden="1">{"gross_margin1",#N/A,FALSE,"Gross Margin Detail";"gross_margin2",#N/A,FALSE,"Gross Margin Detail"}</definedName>
    <definedName name="wrn.gti._.qtrly._.stats." localSheetId="0" hidden="1">{"GTI monthly IS",#N/A,FALSE,"gti";#N/A,#N/A,FALSE,"gti"}</definedName>
    <definedName name="wrn.gti._.qtrly._.stats." localSheetId="6" hidden="1">{"GTI monthly IS",#N/A,FALSE,"gti";#N/A,#N/A,FALSE,"gti"}</definedName>
    <definedName name="wrn.gti._.qtrly._.stats." hidden="1">{"GTI monthly IS",#N/A,FALSE,"gti";#N/A,#N/A,FALSE,"gti"}</definedName>
    <definedName name="wrn.GuV." localSheetId="0" hidden="1">{#N/A,#N/A,FALSE,"Layout GuV"}</definedName>
    <definedName name="wrn.GuV." localSheetId="6" hidden="1">{#N/A,#N/A,FALSE,"Layout GuV"}</definedName>
    <definedName name="wrn.GuV." hidden="1">{#N/A,#N/A,FALSE,"Layout GuV"}</definedName>
    <definedName name="wrn.handout." localSheetId="0" hidden="1">{#N/A,#N/A,FALSE,"Income Statement";#N/A,#N/A,FALSE,"Annual Income Statement";#N/A,#N/A,FALSE,"Balance Sheet";#N/A,#N/A,FALSE,"Cash Flow"}</definedName>
    <definedName name="wrn.handout." localSheetId="6" hidden="1">{#N/A,#N/A,FALSE,"Income Statement";#N/A,#N/A,FALSE,"Annual Income Statement";#N/A,#N/A,FALSE,"Balance Sheet";#N/A,#N/A,FALSE,"Cash Flow"}</definedName>
    <definedName name="wrn.handout." hidden="1">{#N/A,#N/A,FALSE,"Income Statement";#N/A,#N/A,FALSE,"Annual Income Statement";#N/A,#N/A,FALSE,"Balance Sheet";#N/A,#N/A,FALSE,"Cash Flow"}</definedName>
    <definedName name="wrn.HANSON." localSheetId="6" hidden="1">{"P AND L (HANSON) (25)",#N/A,TRUE,"HANSON";"CASHFLOW (HANSON) (25)",#N/A,TRUE,"HANSON";"VALUATION (HANSON) (23)",#N/A,TRUE,"HANSON";"MODELS (HANSON) (25)",#N/A,TRUE,"HANSON";"CASHMODEL (HANSON) (25)",#N/A,TRUE,"HANSON";"BRICKS (HANSON) (25)",#N/A,TRUE,"HANSON";"ARC (HANSON) (25)",#N/A,TRUE,"HANSON";"VALUATION (HANSON) (25)",#N/A,TRUE,"HANSON"}</definedName>
    <definedName name="wrn.HANSON." hidden="1">{"P AND L (HANSON) (25)",#N/A,TRUE,"HANSON";"CASHFLOW (HANSON) (25)",#N/A,TRUE,"HANSON";"VALUATION (HANSON) (23)",#N/A,TRUE,"HANSON";"MODELS (HANSON) (25)",#N/A,TRUE,"HANSON";"CASHMODEL (HANSON) (25)",#N/A,TRUE,"HANSON";"BRICKS (HANSON) (25)",#N/A,TRUE,"HANSON";"ARC (HANSON) (25)",#N/A,TRUE,"HANSON";"VALUATION (HANSON) (25)",#N/A,TRUE,"HANSON"}</definedName>
    <definedName name="wrn.HEAT." localSheetId="6" hidden="1">{#N/A,#N/A,FALSE,"Heat";#N/A,#N/A,FALSE,"DCF";#N/A,#N/A,FALSE,"LBO";#N/A,#N/A,FALSE,"A";#N/A,#N/A,FALSE,"C";#N/A,#N/A,FALSE,"impd";#N/A,#N/A,FALSE,"Accr-Dilu"}</definedName>
    <definedName name="wrn.HEAT." hidden="1">{#N/A,#N/A,FALSE,"Heat";#N/A,#N/A,FALSE,"DCF";#N/A,#N/A,FALSE,"LBO";#N/A,#N/A,FALSE,"A";#N/A,#N/A,FALSE,"C";#N/A,#N/A,FALSE,"impd";#N/A,#N/A,FALSE,"Accr-Dilu"}</definedName>
    <definedName name="wrn.heavy." localSheetId="0" hidden="1">{"heavy",#N/A,FALSE,"CNTRYTYPE"}</definedName>
    <definedName name="wrn.heavy." localSheetId="6" hidden="1">{"heavy",#N/A,FALSE,"CNTRYTYPE"}</definedName>
    <definedName name="wrn.heavy." hidden="1">{"heavy",#N/A,FALSE,"CNTRYTYPE"}</definedName>
    <definedName name="wrn.HEAVYSIDE." localSheetId="6" hidden="1">{#N/A,#N/A,FALSE,"HEAVYSIDE";"HEAVYSIDE",#N/A,FALSE,"HEAVYSIDE";"HEAVYSIDE2",#N/A,FALSE,"HEAVYSIDE"}</definedName>
    <definedName name="wrn.HEAVYSIDE." hidden="1">{#N/A,#N/A,FALSE,"HEAVYSIDE";"HEAVYSIDE",#N/A,FALSE,"HEAVYSIDE";"HEAVYSIDE2",#N/A,FALSE,"HEAVYSIDE"}</definedName>
    <definedName name="wrn.HEPWORTH." localSheetId="6" hidden="1">{"FRONT (HEPWORTH) (25)",#N/A,TRUE,"HEPWORTH";"P_AND_L (HEPWORTH) (25)",#N/A,TRUE,"HEPWORTH";"CASH_AND_VAL (HEPWORTH) (25)",#N/A,TRUE,"HEPWORTH";"MODELS (HEPWORTH) (25)",#N/A,TRUE,"HEPWORTH"}</definedName>
    <definedName name="wrn.HEPWORTH." hidden="1">{"FRONT (HEPWORTH) (25)",#N/A,TRUE,"HEPWORTH";"P_AND_L (HEPWORTH) (25)",#N/A,TRUE,"HEPWORTH";"CASH_AND_VAL (HEPWORTH) (25)",#N/A,TRUE,"HEPWORTH";"MODELS (HEPWORTH) (25)",#N/A,TRUE,"HEPWORTH"}</definedName>
    <definedName name="wrn.HEW." localSheetId="0" hidden="1">{#N/A,#N/A,FALSE,"Cover";#N/A,#N/A,FALSE,"Sensit";#N/A,#N/A,FALSE,"HEW";#N/A,#N/A,FALSE,"Bilanz";#N/A,#N/A,FALSE,"Aufbringung";#N/A,#N/A,FALSE,"Absatz";#N/A,#N/A,FALSE,"Durchleitung";#N/A,#N/A,FALSE,"Konzession";#N/A,#N/A,FALSE,"Personal";#N/A,#N/A,FALSE,"WC ";#N/A,#N/A,FALSE,"Capex Deprec ";#N/A,#N/A,FALSE,"Steuern";#N/A,#N/A,FALSE," Rente";#N/A,#N/A,FALSE," EBITDA"}</definedName>
    <definedName name="wrn.HEW." localSheetId="6" hidden="1">{#N/A,#N/A,FALSE,"Cover";#N/A,#N/A,FALSE,"Sensit";#N/A,#N/A,FALSE,"HEW";#N/A,#N/A,FALSE,"Bilanz";#N/A,#N/A,FALSE,"Aufbringung";#N/A,#N/A,FALSE,"Absatz";#N/A,#N/A,FALSE,"Durchleitung";#N/A,#N/A,FALSE,"Konzession";#N/A,#N/A,FALSE,"Personal";#N/A,#N/A,FALSE,"WC ";#N/A,#N/A,FALSE,"Capex Deprec ";#N/A,#N/A,FALSE,"Steuern";#N/A,#N/A,FALSE," Rente";#N/A,#N/A,FALSE," EBITDA"}</definedName>
    <definedName name="wrn.HEW." hidden="1">{#N/A,#N/A,FALSE,"Cover";#N/A,#N/A,FALSE,"Sensit";#N/A,#N/A,FALSE,"HEW";#N/A,#N/A,FALSE,"Bilanz";#N/A,#N/A,FALSE,"Aufbringung";#N/A,#N/A,FALSE,"Absatz";#N/A,#N/A,FALSE,"Durchleitung";#N/A,#N/A,FALSE,"Konzession";#N/A,#N/A,FALSE,"Personal";#N/A,#N/A,FALSE,"WC ";#N/A,#N/A,FALSE,"Capex Deprec ";#N/A,#N/A,FALSE,"Steuern";#N/A,#N/A,FALSE," Rente";#N/A,#N/A,FALSE," EBITDA"}</definedName>
    <definedName name="wrn.HEYWOOD." localSheetId="6" hidden="1">{"FRONT (HEYWOOD W) (25)",#N/A,TRUE,"HEYWOOD W";"P_AND_L (HEYWOOD W) (25)",#N/A,TRUE,"HEYWOOD W";"CASH_AND_VAL (HEYWOOD W) (25)",#N/A,TRUE,"HEYWOOD W";"USAMODEL (HEYWOOD W) (25)",#N/A,TRUE,"HEYWOOD W";"UKMODEL (HEYWOOD W) (25)",#N/A,TRUE,"HEYWOOD W"}</definedName>
    <definedName name="wrn.HEYWOOD." hidden="1">{"FRONT (HEYWOOD W) (25)",#N/A,TRUE,"HEYWOOD W";"P_AND_L (HEYWOOD W) (25)",#N/A,TRUE,"HEYWOOD W";"CASH_AND_VAL (HEYWOOD W) (25)",#N/A,TRUE,"HEYWOOD W";"USAMODEL (HEYWOOD W) (25)",#N/A,TRUE,"HEYWOOD W";"UKMODEL (HEYWOOD W) (25)",#N/A,TRUE,"HEYWOOD W"}</definedName>
    <definedName name="wrn.HGW." localSheetId="0" hidden="1">{#N/A,#N/A,FALSE,"Cover";#N/A,#N/A,FALSE,"Gas";#N/A,#N/A,FALSE,"Umsatz";#N/A,#N/A,FALSE,"Kosten";#N/A,#N/A,FALSE,"Capex Deprec";#N/A,#N/A,FALSE,"WC";#N/A,#N/A,FALSE,"Rückstellungen";#N/A,#N/A,FALSE,"Rente";#N/A,#N/A,FALSE,"EBITDA"}</definedName>
    <definedName name="wrn.HGW." localSheetId="6" hidden="1">{#N/A,#N/A,FALSE,"Cover";#N/A,#N/A,FALSE,"Gas";#N/A,#N/A,FALSE,"Umsatz";#N/A,#N/A,FALSE,"Kosten";#N/A,#N/A,FALSE,"Capex Deprec";#N/A,#N/A,FALSE,"WC";#N/A,#N/A,FALSE,"Rückstellungen";#N/A,#N/A,FALSE,"Rente";#N/A,#N/A,FALSE,"EBITDA"}</definedName>
    <definedName name="wrn.HGW." hidden="1">{#N/A,#N/A,FALSE,"Cover";#N/A,#N/A,FALSE,"Gas";#N/A,#N/A,FALSE,"Umsatz";#N/A,#N/A,FALSE,"Kosten";#N/A,#N/A,FALSE,"Capex Deprec";#N/A,#N/A,FALSE,"WC";#N/A,#N/A,FALSE,"Rückstellungen";#N/A,#N/A,FALSE,"Rente";#N/A,#N/A,FALSE,"EBITDA"}</definedName>
    <definedName name="wrn.Hipótesis._.A." localSheetId="0" hidden="1">{#N/A,"Hipótesis A",FALSE,"desglose";#N/A,#N/A,FALSE,"p&amp;g";#N/A,#N/A,FALSE,"detallder+dob (A)";#N/A,#N/A,FALSE,"costotitulo(A)";#N/A,#N/A,FALSE,"costohora(A)"}</definedName>
    <definedName name="wrn.Hipótesis._.A." localSheetId="6" hidden="1">{#N/A,"Hipótesis A",FALSE,"desglose";#N/A,#N/A,FALSE,"p&amp;g";#N/A,#N/A,FALSE,"detallder+dob (A)";#N/A,#N/A,FALSE,"costotitulo(A)";#N/A,#N/A,FALSE,"costohora(A)"}</definedName>
    <definedName name="wrn.Hipótesis._.A." hidden="1">{#N/A,"Hipótesis A",FALSE,"desglose";#N/A,#N/A,FALSE,"p&amp;g";#N/A,#N/A,FALSE,"detallder+dob (A)";#N/A,#N/A,FALSE,"costotitulo(A)";#N/A,#N/A,FALSE,"costohora(A)"}</definedName>
    <definedName name="wrn.Hipótesis._.B." localSheetId="0" hidden="1">{#N/A,"Hipótesis B",FALSE,"desglose";#N/A,#N/A,FALSE,"p&amp;g";#N/A,#N/A,FALSE,"detallder+dob (B)";#N/A,#N/A,FALSE,"costotitulo(B)";#N/A,#N/A,FALSE,"costohora(B)"}</definedName>
    <definedName name="wrn.Hipótesis._.B." localSheetId="6" hidden="1">{#N/A,"Hipótesis B",FALSE,"desglose";#N/A,#N/A,FALSE,"p&amp;g";#N/A,#N/A,FALSE,"detallder+dob (B)";#N/A,#N/A,FALSE,"costotitulo(B)";#N/A,#N/A,FALSE,"costohora(B)"}</definedName>
    <definedName name="wrn.Hipótesis._.B." hidden="1">{#N/A,"Hipótesis B",FALSE,"desglose";#N/A,#N/A,FALSE,"p&amp;g";#N/A,#N/A,FALSE,"detallder+dob (B)";#N/A,#N/A,FALSE,"costotitulo(B)";#N/A,#N/A,FALSE,"costohora(B)"}</definedName>
    <definedName name="wrn.Hipótesis._.C." localSheetId="0" hidden="1">{#N/A,"Hipótesis C",FALSE,"desglose";#N/A,#N/A,FALSE,"p&amp;g";#N/A,#N/A,FALSE,"detallder+dob (C)";#N/A,#N/A,FALSE,"costotitulo(C)";#N/A,#N/A,FALSE,"costohora(C)"}</definedName>
    <definedName name="wrn.Hipótesis._.C." localSheetId="6" hidden="1">{#N/A,"Hipótesis C",FALSE,"desglose";#N/A,#N/A,FALSE,"p&amp;g";#N/A,#N/A,FALSE,"detallder+dob (C)";#N/A,#N/A,FALSE,"costotitulo(C)";#N/A,#N/A,FALSE,"costohora(C)"}</definedName>
    <definedName name="wrn.Hipótesis._.C." hidden="1">{#N/A,"Hipótesis C",FALSE,"desglose";#N/A,#N/A,FALSE,"p&amp;g";#N/A,#N/A,FALSE,"detallder+dob (C)";#N/A,#N/A,FALSE,"costotitulo(C)";#N/A,#N/A,FALSE,"costohora(C)"}</definedName>
    <definedName name="wrn.Historical._.Cost._.PWC." localSheetId="0" hidden="1">{#N/A,#N/A,TRUE,"Cover His PWC";#N/A,#N/A,TRUE,"P&amp;L";#N/A,#N/A,TRUE,"BS";#N/A,#N/A,TRUE,"Depreciation";#N/A,#N/A,TRUE,"GRAPHS";#N/A,#N/A,TRUE,"DCF EBITDA Multiple";#N/A,#N/A,TRUE,"DCF Perpetual Growth"}</definedName>
    <definedName name="wrn.Historical._.Cost._.PWC." localSheetId="6" hidden="1">{#N/A,#N/A,TRUE,"Cover His PWC";#N/A,#N/A,TRUE,"P&amp;L";#N/A,#N/A,TRUE,"BS";#N/A,#N/A,TRUE,"Depreciation";#N/A,#N/A,TRUE,"GRAPHS";#N/A,#N/A,TRUE,"DCF EBITDA Multiple";#N/A,#N/A,TRUE,"DCF Perpetual Growth"}</definedName>
    <definedName name="wrn.Historical._.Cost._.PWC." hidden="1">{#N/A,#N/A,TRUE,"Cover His PWC";#N/A,#N/A,TRUE,"P&amp;L";#N/A,#N/A,TRUE,"BS";#N/A,#N/A,TRUE,"Depreciation";#N/A,#N/A,TRUE,"GRAPHS";#N/A,#N/A,TRUE,"DCF EBITDA Multiple";#N/A,#N/A,TRUE,"DCF Perpetual Growth"}</definedName>
    <definedName name="wrn.Historical._.Cost._.TenneT." localSheetId="0" hidden="1">{#N/A,#N/A,TRUE,"Cover His T";#N/A,#N/A,TRUE,"P&amp;L";#N/A,#N/A,TRUE,"BS";#N/A,#N/A,TRUE,"Depreciation";#N/A,#N/A,TRUE,"GRAPHS";#N/A,#N/A,TRUE,"DCF EBITDA Multiple";#N/A,#N/A,TRUE,"DCF Perpetual Growth"}</definedName>
    <definedName name="wrn.Historical._.Cost._.TenneT." localSheetId="6" hidden="1">{#N/A,#N/A,TRUE,"Cover His T";#N/A,#N/A,TRUE,"P&amp;L";#N/A,#N/A,TRUE,"BS";#N/A,#N/A,TRUE,"Depreciation";#N/A,#N/A,TRUE,"GRAPHS";#N/A,#N/A,TRUE,"DCF EBITDA Multiple";#N/A,#N/A,TRUE,"DCF Perpetual Growth"}</definedName>
    <definedName name="wrn.Historical._.Cost._.TenneT." hidden="1">{#N/A,#N/A,TRUE,"Cover His T";#N/A,#N/A,TRUE,"P&amp;L";#N/A,#N/A,TRUE,"BS";#N/A,#N/A,TRUE,"Depreciation";#N/A,#N/A,TRUE,"GRAPHS";#N/A,#N/A,TRUE,"DCF EBITDA Multiple";#N/A,#N/A,TRUE,"DCF Perpetual Growth"}</definedName>
    <definedName name="wrn.historical._.performance." localSheetId="0" hidden="1">{"historical acquirer",#N/A,FALSE,"Historical Performance";"historical target",#N/A,FALSE,"Historical Performance"}</definedName>
    <definedName name="wrn.historical._.performance." localSheetId="6" hidden="1">{"historical acquirer",#N/A,FALSE,"Historical Performance";"historical target",#N/A,FALSE,"Historical Performance"}</definedName>
    <definedName name="wrn.historical._.performance." hidden="1">{"historical acquirer",#N/A,FALSE,"Historical Performance";"historical target",#N/A,FALSE,"Historical Performance"}</definedName>
    <definedName name="wrn.hup." localSheetId="6" hidden="1">{#N/A,#N/A,FALSE,"3-Year Plan Review Schedule USD";#N/A,#N/A,FALSE,"Earning Summary USD";#N/A,#N/A,FALSE,"Assumptions USD"}</definedName>
    <definedName name="wrn.hup." hidden="1">{#N/A,#N/A,FALSE,"3-Year Plan Review Schedule USD";#N/A,#N/A,FALSE,"Earning Summary USD";#N/A,#N/A,FALSE,"Assumptions USD"}</definedName>
    <definedName name="wrn.Hydraulic." localSheetId="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6"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Hyg._.Acq." localSheetId="0" hidden="1">{#N/A,#N/A,FALSE,"main";#N/A,#N/A,FALSE,"100% Cash";#N/A,#N/A,FALSE,"100% Stock"}</definedName>
    <definedName name="wrn.Hyg._.Acq." localSheetId="6" hidden="1">{#N/A,#N/A,FALSE,"main";#N/A,#N/A,FALSE,"100% Cash";#N/A,#N/A,FALSE,"100% Stock"}</definedName>
    <definedName name="wrn.Hyg._.Acq." hidden="1">{#N/A,#N/A,FALSE,"main";#N/A,#N/A,FALSE,"100% Cash";#N/A,#N/A,FALSE,"100% Stock"}</definedName>
    <definedName name="wrn.IBSTOCK." localSheetId="6" hidden="1">{"FRONT",#N/A,FALSE,"IBSTOCK - NEW";"P_AND_L",#N/A,FALSE,"IBSTOCK - NEW";"UK_BRICKS",#N/A,FALSE,"IBSTOCK - NEW";"CASH_AND_VAL",#N/A,FALSE,"IBSTOCK - NEW"}</definedName>
    <definedName name="wrn.IBSTOCK." hidden="1">{"FRONT",#N/A,FALSE,"IBSTOCK - NEW";"P_AND_L",#N/A,FALSE,"IBSTOCK - NEW";"UK_BRICKS",#N/A,FALSE,"IBSTOCK - NEW";"CASH_AND_VAL",#N/A,FALSE,"IBSTOCK - NEW"}</definedName>
    <definedName name="wrn.IGRONICbasicdata." localSheetId="0" hidden="1">{"IGRONIC2",#N/A,FALSE,"IG fixed RONIC";"IGRONIC1",#N/A,FALSE,"IG fixed RONIC"}</definedName>
    <definedName name="wrn.IGRONICbasicdata." localSheetId="6" hidden="1">{"IGRONIC2",#N/A,FALSE,"IG fixed RONIC";"IGRONIC1",#N/A,FALSE,"IG fixed RONIC"}</definedName>
    <definedName name="wrn.IGRONICbasicdata." hidden="1">{"IGRONIC2",#N/A,FALSE,"IG fixed RONIC";"IGRONIC1",#N/A,FALSE,"IG fixed RONIC"}</definedName>
    <definedName name="wrn.IGRONICbasicdata2" localSheetId="0" hidden="1">{"IGRONIC2",#N/A,FALSE,"IG fixed RONIC";"IGRONIC1",#N/A,FALSE,"IG fixed RONIC"}</definedName>
    <definedName name="wrn.IGRONICbasicdata2" localSheetId="6" hidden="1">{"IGRONIC2",#N/A,FALSE,"IG fixed RONIC";"IGRONIC1",#N/A,FALSE,"IG fixed RONIC"}</definedName>
    <definedName name="wrn.IGRONICbasicdata2" hidden="1">{"IGRONIC2",#N/A,FALSE,"IG fixed RONIC";"IGRONIC1",#N/A,FALSE,"IG fixed RONIC"}</definedName>
    <definedName name="wrn.imp." localSheetId="0" hidden="1">{"vue1",#N/A,FALSE,"synthese";"vue2",#N/A,FALSE,"synthese"}</definedName>
    <definedName name="wrn.imp." localSheetId="6" hidden="1">{"vue1",#N/A,FALSE,"synthese";"vue2",#N/A,FALSE,"synthese"}</definedName>
    <definedName name="wrn.imp." hidden="1">{"vue1",#N/A,FALSE,"synthese";"vue2",#N/A,FALSE,"synthese"}</definedName>
    <definedName name="wrn.imp.2" localSheetId="0" hidden="1">{"vue1",#N/A,FALSE,"synthese";"vue2",#N/A,FALSE,"synthese"}</definedName>
    <definedName name="wrn.imp.2" localSheetId="6" hidden="1">{"vue1",#N/A,FALSE,"synthese";"vue2",#N/A,FALSE,"synthese"}</definedName>
    <definedName name="wrn.imp.2" hidden="1">{"vue1",#N/A,FALSE,"synthese";"vue2",#N/A,FALSE,"synthese"}</definedName>
    <definedName name="wrn.imp.3" localSheetId="0" hidden="1">{"vue1",#N/A,FALSE,"synthese";"vue2",#N/A,FALSE,"synthese"}</definedName>
    <definedName name="wrn.imp.3" localSheetId="6" hidden="1">{"vue1",#N/A,FALSE,"synthese";"vue2",#N/A,FALSE,"synthese"}</definedName>
    <definedName name="wrn.imp.3" hidden="1">{"vue1",#N/A,FALSE,"synthese";"vue2",#N/A,FALSE,"synthese"}</definedName>
    <definedName name="wrn.Impression._.FC1." localSheetId="6" hidden="1">{#N/A,#N/A,FALSE,"Summary";#N/A,#N/A,FALSE,"Assumptions";#N/A,#N/A,FALSE,"Initial Construction Budget";#N/A,#N/A,FALSE,"Sensitivity";#N/A,#N/A,FALSE,"Construction Phase";#N/A,#N/A,FALSE,"Rev. &amp; Costs - Cal. Yr";#N/A,#N/A,FALSE,"Cashflow Cal. Yr";#N/A,#N/A,FALSE,"P&amp;L+BS"}</definedName>
    <definedName name="wrn.Impression._.FC1." hidden="1">{#N/A,#N/A,FALSE,"Summary";#N/A,#N/A,FALSE,"Assumptions";#N/A,#N/A,FALSE,"Initial Construction Budget";#N/A,#N/A,FALSE,"Sensitivity";#N/A,#N/A,FALSE,"Construction Phase";#N/A,#N/A,FALSE,"Rev. &amp; Costs - Cal. Yr";#N/A,#N/A,FALSE,"Cashflow Cal. Yr";#N/A,#N/A,FALSE,"P&amp;L+BS"}</definedName>
    <definedName name="wrn.Impression._.globale." localSheetId="6" hidden="1">{#N/A,#N/A,TRUE,"Index";#N/A,#N/A,TRUE,"Summary";#N/A,#N/A,TRUE,"Assumptions";#N/A,#N/A,TRUE,"Construction Budget";#N/A,#N/A,TRUE,"Sensitivity";#N/A,#N/A,TRUE,"Economic Assumptions";#N/A,#N/A,TRUE,"Technical Assumptions";#N/A,#N/A,TRUE,"Construction Phase";#N/A,#N/A,TRUE,"VAT";#N/A,#N/A,TRUE,"Rev. &amp; Costs ";#N/A,#N/A,TRUE,"Debt ";#N/A,#N/A,TRUE,"Tax ";#N/A,#N/A,TRUE,"P&amp;L+BS ";#N/A,#N/A,TRUE,"Cashflow";#N/A,#N/A,TRUE,"IRR "}</definedName>
    <definedName name="wrn.Impression._.globale." hidden="1">{#N/A,#N/A,TRUE,"Index";#N/A,#N/A,TRUE,"Summary";#N/A,#N/A,TRUE,"Assumptions";#N/A,#N/A,TRUE,"Construction Budget";#N/A,#N/A,TRUE,"Sensitivity";#N/A,#N/A,TRUE,"Economic Assumptions";#N/A,#N/A,TRUE,"Technical Assumptions";#N/A,#N/A,TRUE,"Construction Phase";#N/A,#N/A,TRUE,"VAT";#N/A,#N/A,TRUE,"Rev. &amp; Costs ";#N/A,#N/A,TRUE,"Debt ";#N/A,#N/A,TRUE,"Tax ";#N/A,#N/A,TRUE,"P&amp;L+BS ";#N/A,#N/A,TRUE,"Cashflow";#N/A,#N/A,TRUE,"IRR "}</definedName>
    <definedName name="wrn.imprim."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mprim." localSheetId="6"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mprim."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MPRIME." localSheetId="6" hidden="1">{#N/A,#N/A,FALSE,"RESUMO CUB.";#N/A,#N/A,FALSE,"S.SIMPLES PÓ";#N/A,#N/A,FALSE,"S.SIMPLES GR.";#N/A,#N/A,FALSE,"S.S.GR.AMON.";#N/A,#N/A,FALSE,"N.P.K.";#N/A,#N/A,FALSE,"A.S.CHEMIBAU";#N/A,#N/A,FALSE,"A.S.DPG";#N/A,#N/A,FALSE,"A.FOSFÓR.";#N/A,#N/A,FALSE,"A.FLUOSSIL.";#N/A,#N/A,FALSE,"A.S.INDUSTR.";#N/A,#N/A,FALSE,"YOKARIN"}</definedName>
    <definedName name="wrn.IMPRIME." hidden="1">{#N/A,#N/A,FALSE,"RESUMO CUB.";#N/A,#N/A,FALSE,"S.SIMPLES PÓ";#N/A,#N/A,FALSE,"S.SIMPLES GR.";#N/A,#N/A,FALSE,"S.S.GR.AMON.";#N/A,#N/A,FALSE,"N.P.K.";#N/A,#N/A,FALSE,"A.S.CHEMIBAU";#N/A,#N/A,FALSE,"A.S.DPG";#N/A,#N/A,FALSE,"A.FOSFÓR.";#N/A,#N/A,FALSE,"A.FLUOSSIL.";#N/A,#N/A,FALSE,"A.S.INDUSTR.";#N/A,#N/A,FALSE,"YOKARIN"}</definedName>
    <definedName name="wrn.imprimir." localSheetId="6" hidden="1">{#N/A,#N/A,FALSE,"BALUS$97";#N/A,#N/A,FALSE,"INCUS$97";#N/A,#N/A,FALSE,"BALR$97";#N/A,#N/A,FALSE,"INCR$97";#N/A,#N/A,FALSE,"STOCKH97";#N/A,#N/A,FALSE,"FINANC97";#N/A,#N/A,FALSE,"CFLOW97"}</definedName>
    <definedName name="wrn.imprimir." hidden="1">{#N/A,#N/A,FALSE,"BALUS$97";#N/A,#N/A,FALSE,"INCUS$97";#N/A,#N/A,FALSE,"BALR$97";#N/A,#N/A,FALSE,"INCR$97";#N/A,#N/A,FALSE,"STOCKH97";#N/A,#N/A,FALSE,"FINANC97";#N/A,#N/A,FALSE,"CFLOW97"}</definedName>
    <definedName name="wrn.IMPRIMIR._.TODOS." localSheetId="6" hidden="1">{#N/A,#N/A,FALSE,"ATIVO";#N/A,#N/A,FALSE,"PASSIVO";#N/A,#N/A,FALSE,"L&amp;P";#N/A,#N/A,FALSE,"INTEREST"}</definedName>
    <definedName name="wrn.IMPRIMIR._.TODOS." hidden="1">{#N/A,#N/A,FALSE,"ATIVO";#N/A,#N/A,FALSE,"PASSIVO";#N/A,#N/A,FALSE,"L&amp;P";#N/A,#N/A,FALSE,"INTEREST"}</definedName>
    <definedName name="wrn.INCOME." localSheetId="0" hidden="1">{"INCOME",#N/A,FALSE,"KGFORE94";"cash2",#N/A,FALSE,"KGFORE94"}</definedName>
    <definedName name="wrn.INCOME." localSheetId="6" hidden="1">{"INCOME",#N/A,FALSE,"KGFORE94";"cash2",#N/A,FALSE,"KGFORE94"}</definedName>
    <definedName name="wrn.INCOME." hidden="1">{"INCOME",#N/A,FALSE,"KGFORE94";"cash2",#N/A,FALSE,"KGFORE94"}</definedName>
    <definedName name="wrn.income._.statement." localSheetId="0" hidden="1">{"income statement",#N/A,FALSE,"ATLAS-A"}</definedName>
    <definedName name="wrn.income._.statement." localSheetId="6" hidden="1">{"income statement",#N/A,FALSE,"ATLAS-A"}</definedName>
    <definedName name="wrn.income._.statement." hidden="1">{"income statement",#N/A,FALSE,"ATLAS-A"}</definedName>
    <definedName name="wrn.income._.statements." localSheetId="0" hidden="1">{#N/A,#N/A,FALSE,"1996PL";#N/A,#N/A,FALSE,"1997PL";#N/A,#N/A,FALSE,"1998PL";#N/A,#N/A,FALSE,"1999PL"}</definedName>
    <definedName name="wrn.income._.statements." localSheetId="6" hidden="1">{#N/A,#N/A,FALSE,"1996PL";#N/A,#N/A,FALSE,"1997PL";#N/A,#N/A,FALSE,"1998PL";#N/A,#N/A,FALSE,"1999PL"}</definedName>
    <definedName name="wrn.income._.statements." hidden="1">{#N/A,#N/A,FALSE,"1996PL";#N/A,#N/A,FALSE,"1997PL";#N/A,#N/A,FALSE,"1998PL";#N/A,#N/A,FALSE,"1999PL"}</definedName>
    <definedName name="wrn.INDICADORES." localSheetId="6" hidden="1">{"PARTE1",#N/A,FALSE,"Plan1"}</definedName>
    <definedName name="wrn.INDICADORES." hidden="1">{"PARTE1",#N/A,FALSE,"Plan1"}</definedName>
    <definedName name="wrn.indices." localSheetId="6" hidden="1">{#N/A,#N/A,FALSE,"GRAFICO";#N/A,#N/A,FALSE,"INDICE 10%";#N/A,#N/A,FALSE,"INDICE 20%"}</definedName>
    <definedName name="wrn.indices." hidden="1">{#N/A,#N/A,FALSE,"GRAFICO";#N/A,#N/A,FALSE,"INDICE 10%";#N/A,#N/A,FALSE,"INDICE 20%"}</definedName>
    <definedName name="wrn.Industry.xls." localSheetId="6"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Infectious._.Diseases." localSheetId="0" hidden="1">{#N/A,#N/A,FALSE,"Anti";#N/A,#N/A,FALSE,"Cefa";#N/A,#N/A,FALSE,"Ceph";#N/A,#N/A,FALSE,"Cefp";#N/A,#N/A,FALSE,"Cefe";#N/A,#N/A,FALSE,"Pens";#N/A,#N/A,FALSE,"Ampi";#N/A,#N/A,FALSE,"Amox";#N/A,#N/A,FALSE,"Isox";#N/A,#N/A,FALSE,"Aztr";#N/A,#N/A,FALSE,"Videx";#N/A,#N/A,FALSE,"Zerit"}</definedName>
    <definedName name="wrn.Infectious._.Diseases." localSheetId="6" hidden="1">{#N/A,#N/A,FALSE,"Anti";#N/A,#N/A,FALSE,"Cefa";#N/A,#N/A,FALSE,"Ceph";#N/A,#N/A,FALSE,"Cefp";#N/A,#N/A,FALSE,"Cefe";#N/A,#N/A,FALSE,"Pens";#N/A,#N/A,FALSE,"Ampi";#N/A,#N/A,FALSE,"Amox";#N/A,#N/A,FALSE,"Isox";#N/A,#N/A,FALSE,"Aztr";#N/A,#N/A,FALSE,"Videx";#N/A,#N/A,FALSE,"Zerit"}</definedName>
    <definedName name="wrn.Infectious._.Diseases." hidden="1">{#N/A,#N/A,FALSE,"Anti";#N/A,#N/A,FALSE,"Cefa";#N/A,#N/A,FALSE,"Ceph";#N/A,#N/A,FALSE,"Cefp";#N/A,#N/A,FALSE,"Cefe";#N/A,#N/A,FALSE,"Pens";#N/A,#N/A,FALSE,"Ampi";#N/A,#N/A,FALSE,"Amox";#N/A,#N/A,FALSE,"Isox";#N/A,#N/A,FALSE,"Aztr";#N/A,#N/A,FALSE,"Videx";#N/A,#N/A,FALSE,"Zerit"}</definedName>
    <definedName name="wrn.Infectious._.Diseases._1" localSheetId="0" hidden="1">{#N/A,#N/A,FALSE,"Anti";#N/A,#N/A,FALSE,"Cefa";#N/A,#N/A,FALSE,"Ceph";#N/A,#N/A,FALSE,"Cefp";#N/A,#N/A,FALSE,"Cefe";#N/A,#N/A,FALSE,"Pens";#N/A,#N/A,FALSE,"Ampi";#N/A,#N/A,FALSE,"Amox";#N/A,#N/A,FALSE,"Isox";#N/A,#N/A,FALSE,"Aztr";#N/A,#N/A,FALSE,"Videx";#N/A,#N/A,FALSE,"Zerit"}</definedName>
    <definedName name="wrn.Infectious._.Diseases._1" localSheetId="6" hidden="1">{#N/A,#N/A,FALSE,"Anti";#N/A,#N/A,FALSE,"Cefa";#N/A,#N/A,FALSE,"Ceph";#N/A,#N/A,FALSE,"Cefp";#N/A,#N/A,FALSE,"Cefe";#N/A,#N/A,FALSE,"Pens";#N/A,#N/A,FALSE,"Ampi";#N/A,#N/A,FALSE,"Amox";#N/A,#N/A,FALSE,"Isox";#N/A,#N/A,FALSE,"Aztr";#N/A,#N/A,FALSE,"Videx";#N/A,#N/A,FALSE,"Zerit"}</definedName>
    <definedName name="wrn.Infectious._.Diseases._1" hidden="1">{#N/A,#N/A,FALSE,"Anti";#N/A,#N/A,FALSE,"Cefa";#N/A,#N/A,FALSE,"Ceph";#N/A,#N/A,FALSE,"Cefp";#N/A,#N/A,FALSE,"Cefe";#N/A,#N/A,FALSE,"Pens";#N/A,#N/A,FALSE,"Ampi";#N/A,#N/A,FALSE,"Amox";#N/A,#N/A,FALSE,"Isox";#N/A,#N/A,FALSE,"Aztr";#N/A,#N/A,FALSE,"Videx";#N/A,#N/A,FALSE,"Zerit"}</definedName>
    <definedName name="wrn.Infectious._.Diseases._1_1" localSheetId="0" hidden="1">{#N/A,#N/A,FALSE,"Anti";#N/A,#N/A,FALSE,"Cefa";#N/A,#N/A,FALSE,"Ceph";#N/A,#N/A,FALSE,"Cefp";#N/A,#N/A,FALSE,"Cefe";#N/A,#N/A,FALSE,"Pens";#N/A,#N/A,FALSE,"Ampi";#N/A,#N/A,FALSE,"Amox";#N/A,#N/A,FALSE,"Isox";#N/A,#N/A,FALSE,"Aztr";#N/A,#N/A,FALSE,"Videx";#N/A,#N/A,FALSE,"Zerit"}</definedName>
    <definedName name="wrn.Infectious._.Diseases._1_1" localSheetId="6" hidden="1">{#N/A,#N/A,FALSE,"Anti";#N/A,#N/A,FALSE,"Cefa";#N/A,#N/A,FALSE,"Ceph";#N/A,#N/A,FALSE,"Cefp";#N/A,#N/A,FALSE,"Cefe";#N/A,#N/A,FALSE,"Pens";#N/A,#N/A,FALSE,"Ampi";#N/A,#N/A,FALSE,"Amox";#N/A,#N/A,FALSE,"Isox";#N/A,#N/A,FALSE,"Aztr";#N/A,#N/A,FALSE,"Videx";#N/A,#N/A,FALSE,"Zerit"}</definedName>
    <definedName name="wrn.Infectious._.Diseases._1_1" hidden="1">{#N/A,#N/A,FALSE,"Anti";#N/A,#N/A,FALSE,"Cefa";#N/A,#N/A,FALSE,"Ceph";#N/A,#N/A,FALSE,"Cefp";#N/A,#N/A,FALSE,"Cefe";#N/A,#N/A,FALSE,"Pens";#N/A,#N/A,FALSE,"Ampi";#N/A,#N/A,FALSE,"Amox";#N/A,#N/A,FALSE,"Isox";#N/A,#N/A,FALSE,"Aztr";#N/A,#N/A,FALSE,"Videx";#N/A,#N/A,FALSE,"Zerit"}</definedName>
    <definedName name="wrn.Infectious._.Diseases._2" localSheetId="0" hidden="1">{#N/A,#N/A,FALSE,"Anti";#N/A,#N/A,FALSE,"Cefa";#N/A,#N/A,FALSE,"Ceph";#N/A,#N/A,FALSE,"Cefp";#N/A,#N/A,FALSE,"Cefe";#N/A,#N/A,FALSE,"Pens";#N/A,#N/A,FALSE,"Ampi";#N/A,#N/A,FALSE,"Amox";#N/A,#N/A,FALSE,"Isox";#N/A,#N/A,FALSE,"Aztr";#N/A,#N/A,FALSE,"Videx";#N/A,#N/A,FALSE,"Zerit"}</definedName>
    <definedName name="wrn.Infectious._.Diseases._2" localSheetId="6" hidden="1">{#N/A,#N/A,FALSE,"Anti";#N/A,#N/A,FALSE,"Cefa";#N/A,#N/A,FALSE,"Ceph";#N/A,#N/A,FALSE,"Cefp";#N/A,#N/A,FALSE,"Cefe";#N/A,#N/A,FALSE,"Pens";#N/A,#N/A,FALSE,"Ampi";#N/A,#N/A,FALSE,"Amox";#N/A,#N/A,FALSE,"Isox";#N/A,#N/A,FALSE,"Aztr";#N/A,#N/A,FALSE,"Videx";#N/A,#N/A,FALSE,"Zerit"}</definedName>
    <definedName name="wrn.Infectious._.Diseases._2" hidden="1">{#N/A,#N/A,FALSE,"Anti";#N/A,#N/A,FALSE,"Cefa";#N/A,#N/A,FALSE,"Ceph";#N/A,#N/A,FALSE,"Cefp";#N/A,#N/A,FALSE,"Cefe";#N/A,#N/A,FALSE,"Pens";#N/A,#N/A,FALSE,"Ampi";#N/A,#N/A,FALSE,"Amox";#N/A,#N/A,FALSE,"Isox";#N/A,#N/A,FALSE,"Aztr";#N/A,#N/A,FALSE,"Videx";#N/A,#N/A,FALSE,"Zerit"}</definedName>
    <definedName name="wrn.Infectious._.Diseases._3" localSheetId="0" hidden="1">{#N/A,#N/A,FALSE,"Anti";#N/A,#N/A,FALSE,"Cefa";#N/A,#N/A,FALSE,"Ceph";#N/A,#N/A,FALSE,"Cefp";#N/A,#N/A,FALSE,"Cefe";#N/A,#N/A,FALSE,"Pens";#N/A,#N/A,FALSE,"Ampi";#N/A,#N/A,FALSE,"Amox";#N/A,#N/A,FALSE,"Isox";#N/A,#N/A,FALSE,"Aztr";#N/A,#N/A,FALSE,"Videx";#N/A,#N/A,FALSE,"Zerit"}</definedName>
    <definedName name="wrn.Infectious._.Diseases._3" localSheetId="6" hidden="1">{#N/A,#N/A,FALSE,"Anti";#N/A,#N/A,FALSE,"Cefa";#N/A,#N/A,FALSE,"Ceph";#N/A,#N/A,FALSE,"Cefp";#N/A,#N/A,FALSE,"Cefe";#N/A,#N/A,FALSE,"Pens";#N/A,#N/A,FALSE,"Ampi";#N/A,#N/A,FALSE,"Amox";#N/A,#N/A,FALSE,"Isox";#N/A,#N/A,FALSE,"Aztr";#N/A,#N/A,FALSE,"Videx";#N/A,#N/A,FALSE,"Zerit"}</definedName>
    <definedName name="wrn.Infectious._.Diseases._3" hidden="1">{#N/A,#N/A,FALSE,"Anti";#N/A,#N/A,FALSE,"Cefa";#N/A,#N/A,FALSE,"Ceph";#N/A,#N/A,FALSE,"Cefp";#N/A,#N/A,FALSE,"Cefe";#N/A,#N/A,FALSE,"Pens";#N/A,#N/A,FALSE,"Ampi";#N/A,#N/A,FALSE,"Amox";#N/A,#N/A,FALSE,"Isox";#N/A,#N/A,FALSE,"Aztr";#N/A,#N/A,FALSE,"Videx";#N/A,#N/A,FALSE,"Zerit"}</definedName>
    <definedName name="wrn.Infectious._.Diseases._4" localSheetId="0" hidden="1">{#N/A,#N/A,FALSE,"Anti";#N/A,#N/A,FALSE,"Cefa";#N/A,#N/A,FALSE,"Ceph";#N/A,#N/A,FALSE,"Cefp";#N/A,#N/A,FALSE,"Cefe";#N/A,#N/A,FALSE,"Pens";#N/A,#N/A,FALSE,"Ampi";#N/A,#N/A,FALSE,"Amox";#N/A,#N/A,FALSE,"Isox";#N/A,#N/A,FALSE,"Aztr";#N/A,#N/A,FALSE,"Videx";#N/A,#N/A,FALSE,"Zerit"}</definedName>
    <definedName name="wrn.Infectious._.Diseases._4" localSheetId="6" hidden="1">{#N/A,#N/A,FALSE,"Anti";#N/A,#N/A,FALSE,"Cefa";#N/A,#N/A,FALSE,"Ceph";#N/A,#N/A,FALSE,"Cefp";#N/A,#N/A,FALSE,"Cefe";#N/A,#N/A,FALSE,"Pens";#N/A,#N/A,FALSE,"Ampi";#N/A,#N/A,FALSE,"Amox";#N/A,#N/A,FALSE,"Isox";#N/A,#N/A,FALSE,"Aztr";#N/A,#N/A,FALSE,"Videx";#N/A,#N/A,FALSE,"Zerit"}</definedName>
    <definedName name="wrn.Infectious._.Diseases._4" hidden="1">{#N/A,#N/A,FALSE,"Anti";#N/A,#N/A,FALSE,"Cefa";#N/A,#N/A,FALSE,"Ceph";#N/A,#N/A,FALSE,"Cefp";#N/A,#N/A,FALSE,"Cefe";#N/A,#N/A,FALSE,"Pens";#N/A,#N/A,FALSE,"Ampi";#N/A,#N/A,FALSE,"Amox";#N/A,#N/A,FALSE,"Isox";#N/A,#N/A,FALSE,"Aztr";#N/A,#N/A,FALSE,"Videx";#N/A,#N/A,FALSE,"Zerit"}</definedName>
    <definedName name="wrn.Infectious._.Diseases._5" localSheetId="0" hidden="1">{#N/A,#N/A,FALSE,"Anti";#N/A,#N/A,FALSE,"Cefa";#N/A,#N/A,FALSE,"Ceph";#N/A,#N/A,FALSE,"Cefp";#N/A,#N/A,FALSE,"Cefe";#N/A,#N/A,FALSE,"Pens";#N/A,#N/A,FALSE,"Ampi";#N/A,#N/A,FALSE,"Amox";#N/A,#N/A,FALSE,"Isox";#N/A,#N/A,FALSE,"Aztr";#N/A,#N/A,FALSE,"Videx";#N/A,#N/A,FALSE,"Zerit"}</definedName>
    <definedName name="wrn.Infectious._.Diseases._5" localSheetId="6" hidden="1">{#N/A,#N/A,FALSE,"Anti";#N/A,#N/A,FALSE,"Cefa";#N/A,#N/A,FALSE,"Ceph";#N/A,#N/A,FALSE,"Cefp";#N/A,#N/A,FALSE,"Cefe";#N/A,#N/A,FALSE,"Pens";#N/A,#N/A,FALSE,"Ampi";#N/A,#N/A,FALSE,"Amox";#N/A,#N/A,FALSE,"Isox";#N/A,#N/A,FALSE,"Aztr";#N/A,#N/A,FALSE,"Videx";#N/A,#N/A,FALSE,"Zerit"}</definedName>
    <definedName name="wrn.Infectious._.Diseases._5" hidden="1">{#N/A,#N/A,FALSE,"Anti";#N/A,#N/A,FALSE,"Cefa";#N/A,#N/A,FALSE,"Ceph";#N/A,#N/A,FALSE,"Cefp";#N/A,#N/A,FALSE,"Cefe";#N/A,#N/A,FALSE,"Pens";#N/A,#N/A,FALSE,"Ampi";#N/A,#N/A,FALSE,"Amox";#N/A,#N/A,FALSE,"Isox";#N/A,#N/A,FALSE,"Aztr";#N/A,#N/A,FALSE,"Videx";#N/A,#N/A,FALSE,"Zerit"}</definedName>
    <definedName name="wrn.Input." localSheetId="0" hidden="1">{"Instructions",#N/A,FALSE,"Instructions";"general input",#N/A,FALSE,"General Input";"Input",#N/A,FALSE,"Cocos-Template";"Definitions",#N/A,FALSE,"Comments"}</definedName>
    <definedName name="wrn.Input." localSheetId="6" hidden="1">{"Instructions",#N/A,FALSE,"Instructions";"general input",#N/A,FALSE,"General Input";"Input",#N/A,FALSE,"Cocos-Template";"Definitions",#N/A,FALSE,"Comments"}</definedName>
    <definedName name="wrn.Input." hidden="1">{"Instructions",#N/A,FALSE,"Instructions";"general input",#N/A,FALSE,"General Input";"Input",#N/A,FALSE,"Cocos-Template";"Definitions",#N/A,FALSE,"Comments"}</definedName>
    <definedName name="wrn.Input._.and._.Growths." localSheetId="0" hidden="1">{"Product Demands Input",#N/A,TRUE,"PRDEMPOR";"Annual Growth Rates",#N/A,TRUE,"PRDEMPOR"}</definedName>
    <definedName name="wrn.Input._.and._.Growths." localSheetId="6" hidden="1">{"Product Demands Input",#N/A,TRUE,"PRDEMPOR";"Annual Growth Rates",#N/A,TRUE,"PRDEMPOR"}</definedName>
    <definedName name="wrn.Input._.and._.Growths." hidden="1">{"Product Demands Input",#N/A,TRUE,"PRDEMPOR";"Annual Growth Rates",#N/A,TRUE,"PRDEMPOR"}</definedName>
    <definedName name="wrn.input._.and._.output." localSheetId="6"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_.sheet." localSheetId="0" hidden="1">{#N/A,#N/A,FALSE,"TICKERS INPUT SHEET"}</definedName>
    <definedName name="wrn.input._.sheet." localSheetId="6" hidden="1">{#N/A,#N/A,FALSE,"TICKERS INPUT SHEET"}</definedName>
    <definedName name="wrn.input._.sheet." hidden="1">{#N/A,#N/A,FALSE,"TICKERS INPUT SHEET"}</definedName>
    <definedName name="wrn.Inputs." localSheetId="6" hidden="1">{#N/A,#N/A,FALSE,"Input"}</definedName>
    <definedName name="wrn.Inputs." hidden="1">{#N/A,#N/A,FALSE,"Input"}</definedName>
    <definedName name="wrn.Inputsheet_ProjectInput." localSheetId="0" hidden="1">{"ProjectInput",#N/A,FALSE,"INPUT-AREA"}</definedName>
    <definedName name="wrn.Inputsheet_ProjectInput." localSheetId="6" hidden="1">{"ProjectInput",#N/A,FALSE,"INPUT-AREA"}</definedName>
    <definedName name="wrn.Inputsheet_ProjectInput." hidden="1">{"ProjectInput",#N/A,FALSE,"INPUT-AREA"}</definedName>
    <definedName name="wrn.Instructor._.Tips." localSheetId="0" hidden="1">{"Area 1",#N/A,TRUE,"Area";"Bar 1",#N/A,TRUE,"Area";"Salomon Bar 1",#N/A,TRUE,"Area";"Stacked Bar 1",#N/A,TRUE,"Area";"Stacked Bar 100 1",#N/A,TRUE,"Area";"Stacked Col 1",#N/A,TRUE,"Area";"Stacked Col 100 1",#N/A,TRUE,"Area";"HiLow 1",#N/A,TRUE,"Area";"Line 1",#N/A,TRUE,"Area";"Scatter 1",#N/A,TRUE,"Area";"ColLine 1",#N/A,TRUE,"Area";"Scatterline 1",#N/A,TRUE,"Area";"Football 1",#N/A,TRUE,"Area";"DAPS 1",#N/A,TRUE,"Area";"Rover 1",#N/A,TRUE,"Area";"Exchange 1",#N/A,TRUE,"Area";"Histogram 1",#N/A,TRUE,"Area";"Price Vol 1",#N/A,TRUE,"Area";"Interactive 1",#N/A,TRUE,"Area";"Column 1",#N/A,TRUE,"Area";"League 1",#N/A,TRUE,"Area";"Pie 1",#N/A,TRUE,"Area"}</definedName>
    <definedName name="wrn.Instructor._.Tips." localSheetId="6" hidden="1">{"Area 1",#N/A,TRUE,"Area";"Bar 1",#N/A,TRUE,"Area";"Salomon Bar 1",#N/A,TRUE,"Area";"Stacked Bar 1",#N/A,TRUE,"Area";"Stacked Bar 100 1",#N/A,TRUE,"Area";"Stacked Col 1",#N/A,TRUE,"Area";"Stacked Col 100 1",#N/A,TRUE,"Area";"HiLow 1",#N/A,TRUE,"Area";"Line 1",#N/A,TRUE,"Area";"Scatter 1",#N/A,TRUE,"Area";"ColLine 1",#N/A,TRUE,"Area";"Scatterline 1",#N/A,TRUE,"Area";"Football 1",#N/A,TRUE,"Area";"DAPS 1",#N/A,TRUE,"Area";"Rover 1",#N/A,TRUE,"Area";"Exchange 1",#N/A,TRUE,"Area";"Histogram 1",#N/A,TRUE,"Area";"Price Vol 1",#N/A,TRUE,"Area";"Interactive 1",#N/A,TRUE,"Area";"Column 1",#N/A,TRUE,"Area";"League 1",#N/A,TRUE,"Area";"Pie 1",#N/A,TRUE,"Area"}</definedName>
    <definedName name="wrn.Instructor._.Tips." hidden="1">{"Area 1",#N/A,TRUE,"Area";"Bar 1",#N/A,TRUE,"Area";"Salomon Bar 1",#N/A,TRUE,"Area";"Stacked Bar 1",#N/A,TRUE,"Area";"Stacked Bar 100 1",#N/A,TRUE,"Area";"Stacked Col 1",#N/A,TRUE,"Area";"Stacked Col 100 1",#N/A,TRUE,"Area";"HiLow 1",#N/A,TRUE,"Area";"Line 1",#N/A,TRUE,"Area";"Scatter 1",#N/A,TRUE,"Area";"ColLine 1",#N/A,TRUE,"Area";"Scatterline 1",#N/A,TRUE,"Area";"Football 1",#N/A,TRUE,"Area";"DAPS 1",#N/A,TRUE,"Area";"Rover 1",#N/A,TRUE,"Area";"Exchange 1",#N/A,TRUE,"Area";"Histogram 1",#N/A,TRUE,"Area";"Price Vol 1",#N/A,TRUE,"Area";"Interactive 1",#N/A,TRUE,"Area";"Column 1",#N/A,TRUE,"Area";"League 1",#N/A,TRUE,"Area";"Pie 1",#N/A,TRUE,"Area"}</definedName>
    <definedName name="wrn.interim._.closure." localSheetId="0" hidden="1">{"profit&amp;loss",#N/A,FALSE,"GRP";"revenue",#N/A,FALSE,"GRP";"capex1",#N/A,FALSE,"GRP";"provisions",#N/A,FALSE,"GRP"}</definedName>
    <definedName name="wrn.interim._.closure." localSheetId="6" hidden="1">{"profit&amp;loss",#N/A,FALSE,"GRP";"revenue",#N/A,FALSE,"GRP";"capex1",#N/A,FALSE,"GRP";"provisions",#N/A,FALSE,"GRP"}</definedName>
    <definedName name="wrn.interim._.closure." hidden="1">{"profit&amp;loss",#N/A,FALSE,"GRP";"revenue",#N/A,FALSE,"GRP";"capex1",#N/A,FALSE,"GRP";"provisions",#N/A,FALSE,"GRP"}</definedName>
    <definedName name="wrn.international." localSheetId="0" hidden="1">{"sweden",#N/A,FALSE,"Sweden";"germany",#N/A,FALSE,"Germany";"portugal",#N/A,FALSE,"Portugal";"belgium",#N/A,FALSE,"Belgium";"japan",#N/A,FALSE,"Japan ";"italy",#N/A,FALSE,"Italy";"spain",#N/A,FALSE,"Spain";"korea",#N/A,FALSE,"Korea"}</definedName>
    <definedName name="wrn.international." localSheetId="6" hidden="1">{"sweden",#N/A,FALSE,"Sweden";"germany",#N/A,FALSE,"Germany";"portugal",#N/A,FALSE,"Portugal";"belgium",#N/A,FALSE,"Belgium";"japan",#N/A,FALSE,"Japan ";"italy",#N/A,FALSE,"Italy";"spain",#N/A,FALSE,"Spain";"korea",#N/A,FALSE,"Korea"}</definedName>
    <definedName name="wrn.international." hidden="1">{"sweden",#N/A,FALSE,"Sweden";"germany",#N/A,FALSE,"Germany";"portugal",#N/A,FALSE,"Portugal";"belgium",#N/A,FALSE,"Belgium";"japan",#N/A,FALSE,"Japan ";"italy",#N/A,FALSE,"Italy";"spain",#N/A,FALSE,"Spain";"korea",#N/A,FALSE,"Korea"}</definedName>
    <definedName name="wrn.International._.Totals." localSheetId="0" hidden="1">{"International Total",#N/A,FALSE,"Sheet1";"Mexico (5)",#N/A,FALSE,"Sheet1";"Mexico (37)",#N/A,FALSE,"Sheet1";"Puerto Rico (10)",#N/A,FALSE,"Sheet1"}</definedName>
    <definedName name="wrn.International._.Totals." localSheetId="6" hidden="1">{"International Total",#N/A,FALSE,"Sheet1";"Mexico (5)",#N/A,FALSE,"Sheet1";"Mexico (37)",#N/A,FALSE,"Sheet1";"Puerto Rico (10)",#N/A,FALSE,"Sheet1"}</definedName>
    <definedName name="wrn.International._.Totals." hidden="1">{"International Total",#N/A,FALSE,"Sheet1";"Mexico (5)",#N/A,FALSE,"Sheet1";"Mexico (37)",#N/A,FALSE,"Sheet1";"Puerto Rico (10)",#N/A,FALSE,"Sheet1"}</definedName>
    <definedName name="wrn.Introduction." localSheetId="0"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 localSheetId="6"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ntroduction." hidden="1">{#N/A,#N/A,TRUE,"Cover";#N/A,#N/A,TRUE,"Valuation Summary";#N/A,#N/A,TRUE,"Valuation Summary (2)";#N/A,#N/A,TRUE,"FCF Summary";#N/A,#N/A,TRUE,"Macro Assumptions";#N/A,#N/A,TRUE,"Tariffs DTe";#N/A,#N/A,TRUE,"Revenues";#N/A,#N/A,TRUE,"System Services";#N/A,#N/A,TRUE,"TPA";#N/A,#N/A,TRUE,"Opex 1";#N/A,#N/A,TRUE,"Opex";#N/A,#N/A,TRUE,"Assumptions";#N/A,#N/A,TRUE,"Capital Expenditures";#N/A,#N/A,TRUE,"WACC_DTe";#N/A,#N/A,TRUE,"WACC";#N/A,#N/A,TRUE,"TComps";#N/A,#N/A,TRUE,"AComps";#N/A,#N/A,TRUE,"ACompsG"}</definedName>
    <definedName name="wrn.ipovalue." localSheetId="6" hidden="1">{#N/A,#N/A,FALSE,"puboff";#N/A,#N/A,FALSE,"valuation";#N/A,#N/A,FALSE,"finanalsis";#N/A,#N/A,FALSE,"split";#N/A,#N/A,FALSE,"ownership"}</definedName>
    <definedName name="wrn.ipovalue." hidden="1">{#N/A,#N/A,FALSE,"puboff";#N/A,#N/A,FALSE,"valuation";#N/A,#N/A,FALSE,"finanalsis";#N/A,#N/A,FALSE,"split";#N/A,#N/A,FALSE,"ownership"}</definedName>
    <definedName name="wrn.ISCG._.model." localSheetId="6"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Izt." localSheetId="6" hidden="1">{"year1",#N/A,FALSE,"IZT";"year2",#N/A,FALSE,"IZT"}</definedName>
    <definedName name="wrn.Izt." hidden="1">{"year1",#N/A,FALSE,"IZT";"year2",#N/A,FALSE,"IZT"}</definedName>
    <definedName name="wrn.JBB_Print." localSheetId="6" hidden="1">{#N/A,#N/A,FALSE,"Header";"JBB_IS",#N/A,FALSE,"IS";"JBB_BS",#N/A,FALSE,"BS";"JBB_CF",#N/A,FALSE,"CF";"JBB_FA",#N/A,FALSE,"FA";"JBB_IC",#N/A,FALSE,"Interco"}</definedName>
    <definedName name="wrn.JBB_Print." hidden="1">{#N/A,#N/A,FALSE,"Header";"JBB_IS",#N/A,FALSE,"IS";"JBB_BS",#N/A,FALSE,"BS";"JBB_CF",#N/A,FALSE,"CF";"JBB_FA",#N/A,FALSE,"FA";"JBB_IC",#N/A,FALSE,"Interco"}</definedName>
    <definedName name="wrn.jev." localSheetId="0" hidden="1">{"prt_jev",#N/A,FALSE,"Sheet1"}</definedName>
    <definedName name="wrn.jev." localSheetId="6" hidden="1">{"prt_jev",#N/A,FALSE,"Sheet1"}</definedName>
    <definedName name="wrn.jev." hidden="1">{"prt_jev",#N/A,FALSE,"Sheet1"}</definedName>
    <definedName name="wrn.John." localSheetId="6" hidden="1">{#N/A,#N/A,FALSE,"UK Consol Short"}</definedName>
    <definedName name="wrn.John." hidden="1">{#N/A,#N/A,FALSE,"UK Consol Short"}</definedName>
    <definedName name="wrn.JPLOUT." localSheetId="0" hidden="1">{#N/A,#N/A,TRUE,"HOT";#N/A,#N/A,TRUE,"EXT";#N/A,#N/A,TRUE,"COE";#N/A,#N/A,TRUE,"PRN";#N/A,#N/A,TRUE,"ALU";#N/A,#N/A,TRUE,"REC";#N/A,#N/A,TRUE,"PAK";#N/A,#N/A,TRUE,"SCH";#N/A,#N/A,TRUE,"OTH";#N/A,#N/A,TRUE,"RECAP TOTAUX"}</definedName>
    <definedName name="wrn.JPLOUT." localSheetId="6" hidden="1">{#N/A,#N/A,TRUE,"HOT";#N/A,#N/A,TRUE,"EXT";#N/A,#N/A,TRUE,"COE";#N/A,#N/A,TRUE,"PRN";#N/A,#N/A,TRUE,"ALU";#N/A,#N/A,TRUE,"REC";#N/A,#N/A,TRUE,"PAK";#N/A,#N/A,TRUE,"SCH";#N/A,#N/A,TRUE,"OTH";#N/A,#N/A,TRUE,"RECAP TOTAUX"}</definedName>
    <definedName name="wrn.JPLOUT." hidden="1">{#N/A,#N/A,TRUE,"HOT";#N/A,#N/A,TRUE,"EXT";#N/A,#N/A,TRUE,"COE";#N/A,#N/A,TRUE,"PRN";#N/A,#N/A,TRUE,"ALU";#N/A,#N/A,TRUE,"REC";#N/A,#N/A,TRUE,"PAK";#N/A,#N/A,TRUE,"SCH";#N/A,#N/A,TRUE,"OTH";#N/A,#N/A,TRUE,"RECAP TOTAUX"}</definedName>
    <definedName name="wrn.juegocompleto." localSheetId="0" hidden="1">{#N/A,#N/A,FALSE,"ingtemysat";#N/A,#N/A,FALSE,"ingtemycab";#N/A,#N/A,FALSE,"Hipoproy9807";#N/A,#N/A,FALSE,"unineg";#N/A,#N/A,FALSE,"detall9807";#N/A,#N/A,FALSE,"costohora";#N/A,"tasa de repetición de 12",FALSE,"costotitulo";#N/A,"tasa de repetición de 10",FALSE,"costotitulo"}</definedName>
    <definedName name="wrn.juegocompleto." localSheetId="6" hidden="1">{#N/A,#N/A,FALSE,"ingtemysat";#N/A,#N/A,FALSE,"ingtemycab";#N/A,#N/A,FALSE,"Hipoproy9807";#N/A,#N/A,FALSE,"unineg";#N/A,#N/A,FALSE,"detall9807";#N/A,#N/A,FALSE,"costohora";#N/A,"tasa de repetición de 12",FALSE,"costotitulo";#N/A,"tasa de repetición de 10",FALSE,"costotitulo"}</definedName>
    <definedName name="wrn.juegocompleto." hidden="1">{#N/A,#N/A,FALSE,"ingtemysat";#N/A,#N/A,FALSE,"ingtemycab";#N/A,#N/A,FALSE,"Hipoproy9807";#N/A,#N/A,FALSE,"unineg";#N/A,#N/A,FALSE,"detall9807";#N/A,#N/A,FALSE,"costohora";#N/A,"tasa de repetición de 12",FALSE,"costotitulo";#N/A,"tasa de repetición de 10",FALSE,"costotitulo"}</definedName>
    <definedName name="wrn.Julie." localSheetId="6" hidden="1">{#N/A,#N/A,FALSE,"UK Consol Short"}</definedName>
    <definedName name="wrn.Julie." hidden="1">{#N/A,#N/A,FALSE,"UK Consol Short"}</definedName>
    <definedName name="wrn.Justin." localSheetId="6" hidden="1">{#N/A,#N/A,FALSE,"UK Consol Short"}</definedName>
    <definedName name="wrn.Justin." hidden="1">{#N/A,#N/A,FALSE,"UK Consol Short"}</definedName>
    <definedName name="wrn.K3._.Annual." localSheetId="0" hidden="1">{"K3Cash",#N/A,FALSE,"Ann";"K3Income",#N/A,FALSE,"Ann";"K3Educ",#N/A,FALSE,"Ann";"K3media",#N/A,FALSE,"Ann";"K3Info",#N/A,FALSE,"Ann";"K3Valuation",#N/A,FALSE,"Ann"}</definedName>
    <definedName name="wrn.K3._.Annual." localSheetId="6" hidden="1">{"K3Cash",#N/A,FALSE,"Ann";"K3Income",#N/A,FALSE,"Ann";"K3Educ",#N/A,FALSE,"Ann";"K3media",#N/A,FALSE,"Ann";"K3Info",#N/A,FALSE,"Ann";"K3Valuation",#N/A,FALSE,"Ann"}</definedName>
    <definedName name="wrn.K3._.Annual." hidden="1">{"K3Cash",#N/A,FALSE,"Ann";"K3Income",#N/A,FALSE,"Ann";"K3Educ",#N/A,FALSE,"Ann";"K3media",#N/A,FALSE,"Ann";"K3Info",#N/A,FALSE,"Ann";"K3Valuation",#N/A,FALSE,"Ann"}</definedName>
    <definedName name="wrn.K3._.Quarterly." localSheetId="0" hidden="1">{"K3 first",#N/A,FALSE,"Qtr.";"K3 second",#N/A,FALSE,"Qtr.";"K3 Third",#N/A,FALSE,"Qtr.";"K3 Fourth",#N/A,FALSE,"Qtr.";"K3 Full",#N/A,FALSE,"Qtr."}</definedName>
    <definedName name="wrn.K3._.Quarterly." localSheetId="6" hidden="1">{"K3 first",#N/A,FALSE,"Qtr.";"K3 second",#N/A,FALSE,"Qtr.";"K3 Third",#N/A,FALSE,"Qtr.";"K3 Fourth",#N/A,FALSE,"Qtr.";"K3 Full",#N/A,FALSE,"Qtr."}</definedName>
    <definedName name="wrn.K3._.Quarterly." hidden="1">{"K3 first",#N/A,FALSE,"Qtr.";"K3 second",#N/A,FALSE,"Qtr.";"K3 Third",#N/A,FALSE,"Qtr.";"K3 Fourth",#N/A,FALSE,"Qtr.";"K3 Full",#N/A,FALSE,"Qtr."}</definedName>
    <definedName name="wrn.Kenngb." localSheetId="0" hidden="1">{#N/A,#N/A,FALSE,"SKG_SC";#N/A,#N/A,FALSE,"SKG_KP";#N/A,#N/A,FALSE,"SCG_KC";#N/A,#N/A,FALSE,"SKG_PM";#N/A,#N/A,FALSE,"SKG_Asta";#N/A,#N/A,FALSE,"SKG_DE";#N/A,#N/A,FALSE,"SKG_FA";#N/A,#N/A,FALSE,"SKG_EM";#N/A,#N/A,FALSE,"SKG_AK";#N/A,#N/A,FALSE,"SKG_CER";#N/A,#N/A,FALSE,"SKG_BA";#N/A,#N/A,FALSE,"SKG_KO"}</definedName>
    <definedName name="wrn.Kenngb." localSheetId="6" hidden="1">{#N/A,#N/A,FALSE,"SKG_SC";#N/A,#N/A,FALSE,"SKG_KP";#N/A,#N/A,FALSE,"SCG_KC";#N/A,#N/A,FALSE,"SKG_PM";#N/A,#N/A,FALSE,"SKG_Asta";#N/A,#N/A,FALSE,"SKG_DE";#N/A,#N/A,FALSE,"SKG_FA";#N/A,#N/A,FALSE,"SKG_EM";#N/A,#N/A,FALSE,"SKG_AK";#N/A,#N/A,FALSE,"SKG_CER";#N/A,#N/A,FALSE,"SKG_BA";#N/A,#N/A,FALSE,"SKG_KO"}</definedName>
    <definedName name="wrn.Kenngb." hidden="1">{#N/A,#N/A,FALSE,"SKG_SC";#N/A,#N/A,FALSE,"SKG_KP";#N/A,#N/A,FALSE,"SCG_KC";#N/A,#N/A,FALSE,"SKG_PM";#N/A,#N/A,FALSE,"SKG_Asta";#N/A,#N/A,FALSE,"SKG_DE";#N/A,#N/A,FALSE,"SKG_FA";#N/A,#N/A,FALSE,"SKG_EM";#N/A,#N/A,FALSE,"SKG_AK";#N/A,#N/A,FALSE,"SKG_CER";#N/A,#N/A,FALSE,"SKG_BA";#N/A,#N/A,FALSE,"SKG_KO"}</definedName>
    <definedName name="wrn.KKW." localSheetId="0" hidden="1">{#N/A,#N/A,FALSE,"Cover";#N/A,#N/A,FALSE,"KKW Sum";#N/A,#N/A,FALSE,"KKW Basisdaten";#N/A,#N/A,FALSE,"DEPRKKW";#N/A,#N/A,FALSE,"Krü";#N/A,#N/A,FALSE,"Bru";#N/A,#N/A,FALSE,"Bro";#N/A,#N/A,FALSE,"Sta"}</definedName>
    <definedName name="wrn.KKW." localSheetId="6" hidden="1">{#N/A,#N/A,FALSE,"Cover";#N/A,#N/A,FALSE,"KKW Sum";#N/A,#N/A,FALSE,"KKW Basisdaten";#N/A,#N/A,FALSE,"DEPRKKW";#N/A,#N/A,FALSE,"Krü";#N/A,#N/A,FALSE,"Bru";#N/A,#N/A,FALSE,"Bro";#N/A,#N/A,FALSE,"Sta"}</definedName>
    <definedName name="wrn.KKW." hidden="1">{#N/A,#N/A,FALSE,"Cover";#N/A,#N/A,FALSE,"KKW Sum";#N/A,#N/A,FALSE,"KKW Basisdaten";#N/A,#N/A,FALSE,"DEPRKKW";#N/A,#N/A,FALSE,"Krü";#N/A,#N/A,FALSE,"Bru";#N/A,#N/A,FALSE,"Bro";#N/A,#N/A,FALSE,"Sta"}</definedName>
    <definedName name="wrn.Kleinwort._.Benson._.Tables." localSheetId="0" hidden="1">{#N/A,#N/A,FALSE,"Forecast - Gulf";#N/A,#N/A,FALSE,"Forecast, NYH";#N/A,#N/A,FALSE,"PR-Vol";#N/A,#N/A,FALSE,"PR-Comp";#N/A,#N/A,FALSE,"PR-OpExp";#N/A,#N/A,FALSE,"PR-Adj";#N/A,#N/A,FALSE,"PR-DCF";#N/A,#N/A,FALSE,"Crude,St. Croix";#N/A,#N/A,FALSE,"SC-Vol";#N/A,#N/A,FALSE,"SC-Comp";#N/A,#N/A,FALSE,"SC-OpExp";#N/A,#N/A,FALSE,"SC-Adj";#N/A,#N/A,FALSE,"SC-DCF";#N/A,#N/A,FALSE,"SL-DCF"}</definedName>
    <definedName name="wrn.Kleinwort._.Benson._.Tables." localSheetId="6" hidden="1">{#N/A,#N/A,FALSE,"Forecast - Gulf";#N/A,#N/A,FALSE,"Forecast, NYH";#N/A,#N/A,FALSE,"PR-Vol";#N/A,#N/A,FALSE,"PR-Comp";#N/A,#N/A,FALSE,"PR-OpExp";#N/A,#N/A,FALSE,"PR-Adj";#N/A,#N/A,FALSE,"PR-DCF";#N/A,#N/A,FALSE,"Crude,St. Croix";#N/A,#N/A,FALSE,"SC-Vol";#N/A,#N/A,FALSE,"SC-Comp";#N/A,#N/A,FALSE,"SC-OpExp";#N/A,#N/A,FALSE,"SC-Adj";#N/A,#N/A,FALSE,"SC-DCF";#N/A,#N/A,FALSE,"SL-DCF"}</definedName>
    <definedName name="wrn.Kleinwort._.Benson._.Tables." hidden="1">{#N/A,#N/A,FALSE,"Forecast - Gulf";#N/A,#N/A,FALSE,"Forecast, NYH";#N/A,#N/A,FALSE,"PR-Vol";#N/A,#N/A,FALSE,"PR-Comp";#N/A,#N/A,FALSE,"PR-OpExp";#N/A,#N/A,FALSE,"PR-Adj";#N/A,#N/A,FALSE,"PR-DCF";#N/A,#N/A,FALSE,"Crude,St. Croix";#N/A,#N/A,FALSE,"SC-Vol";#N/A,#N/A,FALSE,"SC-Comp";#N/A,#N/A,FALSE,"SC-OpExp";#N/A,#N/A,FALSE,"SC-Adj";#N/A,#N/A,FALSE,"SC-DCF";#N/A,#N/A,FALSE,"SL-DCF"}</definedName>
    <definedName name="wrn.Komplettausdruck." localSheetId="0" hidden="1">{#N/A,#N/A,FALSE,"Layout Aktiva";#N/A,#N/A,FALSE,"Layout Passiva";#N/A,#N/A,FALSE,"Layout GuV";#N/A,#N/A,FALSE,"Layout Cash Flow";#N/A,#N/A,FALSE,"Mittelherkunft";#N/A,#N/A,FALSE,"Mittelverwendung";#N/A,#N/A,FALSE,"Finanzbedarfsrechnung"}</definedName>
    <definedName name="wrn.Komplettausdruck." localSheetId="6" hidden="1">{#N/A,#N/A,FALSE,"Layout Aktiva";#N/A,#N/A,FALSE,"Layout Passiva";#N/A,#N/A,FALSE,"Layout GuV";#N/A,#N/A,FALSE,"Layout Cash Flow";#N/A,#N/A,FALSE,"Mittelherkunft";#N/A,#N/A,FALSE,"Mittelverwendung";#N/A,#N/A,FALSE,"Finanzbedarfsrechnung"}</definedName>
    <definedName name="wrn.Komplettausdruck." hidden="1">{#N/A,#N/A,FALSE,"Layout Aktiva";#N/A,#N/A,FALSE,"Layout Passiva";#N/A,#N/A,FALSE,"Layout GuV";#N/A,#N/A,FALSE,"Layout Cash Flow";#N/A,#N/A,FALSE,"Mittelherkunft";#N/A,#N/A,FALSE,"Mittelverwendung";#N/A,#N/A,FALSE,"Finanzbedarfsrechnung"}</definedName>
    <definedName name="wrn.kriall." localSheetId="0" hidden="1">{"kricash",#N/A,FALSE,"INC";"kriinc",#N/A,FALSE,"INC";"krimiami",#N/A,FALSE,"INC";"kriother",#N/A,FALSE,"INC";"kripapers",#N/A,FALSE,"INC"}</definedName>
    <definedName name="wrn.kriall." localSheetId="6" hidden="1">{"kricash",#N/A,FALSE,"INC";"kriinc",#N/A,FALSE,"INC";"krimiami",#N/A,FALSE,"INC";"kriother",#N/A,FALSE,"INC";"kripapers",#N/A,FALSE,"INC"}</definedName>
    <definedName name="wrn.kriall." hidden="1">{"kricash",#N/A,FALSE,"INC";"kriinc",#N/A,FALSE,"INC";"krimiami",#N/A,FALSE,"INC";"kriother",#N/A,FALSE,"INC";"kripapers",#N/A,FALSE,"INC"}</definedName>
    <definedName name="wrn.Lalit." localSheetId="6" hidden="1">{#N/A,#N/A,FALSE,"Banksum";#N/A,#N/A,FALSE,"Banksum"}</definedName>
    <definedName name="wrn.Lalit." hidden="1">{#N/A,#N/A,FALSE,"Banksum";#N/A,#N/A,FALSE,"Banksum"}</definedName>
    <definedName name="wrn.Latent._.Demand._.Inputs." localSheetId="6" hidden="1">{#N/A,#N/A,FALSE,"Latent"}</definedName>
    <definedName name="wrn.Latent._.Demand._.Inputs." hidden="1">{#N/A,#N/A,FALSE,"Latent"}</definedName>
    <definedName name="wrn.LBO._.Summary." localSheetId="0" hidden="1">{"LBO Summary",#N/A,FALSE,"Summary"}</definedName>
    <definedName name="wrn.LBO._.Summary." localSheetId="6" hidden="1">{"LBO Summary",#N/A,FALSE,"Summary"}</definedName>
    <definedName name="wrn.LBO._.Summary." hidden="1">{"LBO Summary",#N/A,FALSE,"Summary"}</definedName>
    <definedName name="wrn.LBO2." localSheetId="6" hidden="1">{"IPO1",#N/A,FALSE,"LBO2";"IPO2",#N/A,FALSE,"LBO2";"IPO3",#N/A,FALSE,"LBO2";"IPO4",#N/A,FALSE,"LBO2";"IPO5",#N/A,FALSE,"LBO2";"IPO6",#N/A,FALSE,"LBO2";"IPO7",#N/A,FALSE,"LBO2";"IPO8",#N/A,FALSE,"LBO2";"IPO9",#N/A,FALSE,"LBO2";"IPO10",#N/A,FALSE,"LBO2"}</definedName>
    <definedName name="wrn.LBO2." hidden="1">{"IPO1",#N/A,FALSE,"LBO2";"IPO2",#N/A,FALSE,"LBO2";"IPO3",#N/A,FALSE,"LBO2";"IPO4",#N/A,FALSE,"LBO2";"IPO5",#N/A,FALSE,"LBO2";"IPO6",#N/A,FALSE,"LBO2";"IPO7",#N/A,FALSE,"LBO2";"IPO8",#N/A,FALSE,"LBO2";"IPO9",#N/A,FALSE,"LBO2";"IPO10",#N/A,FALSE,"LBO2"}</definedName>
    <definedName name="wrn.Leasing." localSheetId="6" hidden="1">{"Input",#N/A,FALSE,"Leasing";"Inv_ekv1",#N/A,FALSE,"Leasing";"Inv_ekv2",#N/A,FALSE,"Leasing";"Lease1",#N/A,FALSE,"Leasing";"Lease2",#N/A,FALSE,"Leasing";"Tax",#N/A,FALSE,"Leasing"}</definedName>
    <definedName name="wrn.Leasing." hidden="1">{"Input",#N/A,FALSE,"Leasing";"Inv_ekv1",#N/A,FALSE,"Leasing";"Inv_ekv2",#N/A,FALSE,"Leasing";"Lease1",#N/A,FALSE,"Leasing";"Lease2",#N/A,FALSE,"Leasing";"Tax",#N/A,FALSE,"Leasing"}</definedName>
    <definedName name="wrn.LFJ._.Dec._.report." localSheetId="0" hidden="1">{#N/A,#N/A,TRUE,"Adjustments"}</definedName>
    <definedName name="wrn.LFJ._.Dec._.report." localSheetId="6" hidden="1">{#N/A,#N/A,TRUE,"Adjustments"}</definedName>
    <definedName name="wrn.LFJ._.Dec._.report." hidden="1">{#N/A,#N/A,TRUE,"Adjustments"}</definedName>
    <definedName name="wrn.LFJ._.detailed._.pack." localSheetId="0" hidden="1">{"Balance sheet",#N/A,TRUE,"BS";"Income statement",#N/A,TRUE,"P&amp;L";"Adjustments",#N/A,TRUE,"Adjustments";"CF 99 adjusted",#N/A,TRUE,"CF 99 adjusted";"Note 1A",#N/A,TRUE,"PP&amp;E";"Note 1B",#N/A,TRUE,"PP&amp;E";"Land",#N/A,TRUE,"Land";"Note 2A",#N/A,TRUE,"Int. FA";"Note 2B",#N/A,TRUE,"Int. FA";"Note 3",#N/A,TRUE,"Stock";"Note 4",#N/A,TRUE,"Trade receivables";"Note 5",#N/A,TRUE,"Due from Pers";"Note 6",#N/A,TRUE,"Prepayments";"Note 7",#N/A,TRUE,"Advances on PPE";"Note 8",#N/A,TRUE,"Adv to suppliers";"Note 9",#N/A,TRUE,"Other Dr";"Note 10",#N/A,TRUE,"Cash &amp; eq";"Note 11A",#N/A,TRUE,"Changes in Eq";"Note 11B",#N/A,TRUE,"Changes in Eq";"Note 12",#N/A,TRUE,"Non-current borrowings";"Note 13",#N/A,TRUE,"Provisions";"Note 14",#N/A,TRUE,"Current borrowings";"Note 15",#N/A,TRUE,"Trade payables";"Note 16",#N/A,TRUE,"Notes payable";"Note 17",#N/A,TRUE,"RP";"Note 17A",#N/A,TRUE,"RP transactions";"Note 18",#N/A,TRUE,"Due to Pers";"Note 19",#N/A,TRUE,"CNSS &amp; tax";"Note 19A",#N/A,TRUE,"MOF tax assessment";"Note 20",#N/A,TRUE,"Accruals";"Note 21",#N/A,TRUE,"Other Cr";"Note 22",#N/A,TRUE,"LC";"Note 22A",#N/A,TRUE,"LC note";"Note 23",#N/A,TRUE,"LG";"Note 24",#N/A,TRUE,"Sales";"Note 25A",#N/A,TRUE,"62 to 69 allocation 99";"Note 25B",#N/A,TRUE,"62 to 67 allocation 98"}</definedName>
    <definedName name="wrn.LFJ._.detailed._.pack." localSheetId="6" hidden="1">{"Balance sheet",#N/A,TRUE,"BS";"Income statement",#N/A,TRUE,"P&amp;L";"Adjustments",#N/A,TRUE,"Adjustments";"CF 99 adjusted",#N/A,TRUE,"CF 99 adjusted";"Note 1A",#N/A,TRUE,"PP&amp;E";"Note 1B",#N/A,TRUE,"PP&amp;E";"Land",#N/A,TRUE,"Land";"Note 2A",#N/A,TRUE,"Int. FA";"Note 2B",#N/A,TRUE,"Int. FA";"Note 3",#N/A,TRUE,"Stock";"Note 4",#N/A,TRUE,"Trade receivables";"Note 5",#N/A,TRUE,"Due from Pers";"Note 6",#N/A,TRUE,"Prepayments";"Note 7",#N/A,TRUE,"Advances on PPE";"Note 8",#N/A,TRUE,"Adv to suppliers";"Note 9",#N/A,TRUE,"Other Dr";"Note 10",#N/A,TRUE,"Cash &amp; eq";"Note 11A",#N/A,TRUE,"Changes in Eq";"Note 11B",#N/A,TRUE,"Changes in Eq";"Note 12",#N/A,TRUE,"Non-current borrowings";"Note 13",#N/A,TRUE,"Provisions";"Note 14",#N/A,TRUE,"Current borrowings";"Note 15",#N/A,TRUE,"Trade payables";"Note 16",#N/A,TRUE,"Notes payable";"Note 17",#N/A,TRUE,"RP";"Note 17A",#N/A,TRUE,"RP transactions";"Note 18",#N/A,TRUE,"Due to Pers";"Note 19",#N/A,TRUE,"CNSS &amp; tax";"Note 19A",#N/A,TRUE,"MOF tax assessment";"Note 20",#N/A,TRUE,"Accruals";"Note 21",#N/A,TRUE,"Other Cr";"Note 22",#N/A,TRUE,"LC";"Note 22A",#N/A,TRUE,"LC note";"Note 23",#N/A,TRUE,"LG";"Note 24",#N/A,TRUE,"Sales";"Note 25A",#N/A,TRUE,"62 to 69 allocation 99";"Note 25B",#N/A,TRUE,"62 to 67 allocation 98"}</definedName>
    <definedName name="wrn.LFJ._.detailed._.pack." hidden="1">{"Balance sheet",#N/A,TRUE,"BS";"Income statement",#N/A,TRUE,"P&amp;L";"Adjustments",#N/A,TRUE,"Adjustments";"CF 99 adjusted",#N/A,TRUE,"CF 99 adjusted";"Note 1A",#N/A,TRUE,"PP&amp;E";"Note 1B",#N/A,TRUE,"PP&amp;E";"Land",#N/A,TRUE,"Land";"Note 2A",#N/A,TRUE,"Int. FA";"Note 2B",#N/A,TRUE,"Int. FA";"Note 3",#N/A,TRUE,"Stock";"Note 4",#N/A,TRUE,"Trade receivables";"Note 5",#N/A,TRUE,"Due from Pers";"Note 6",#N/A,TRUE,"Prepayments";"Note 7",#N/A,TRUE,"Advances on PPE";"Note 8",#N/A,TRUE,"Adv to suppliers";"Note 9",#N/A,TRUE,"Other Dr";"Note 10",#N/A,TRUE,"Cash &amp; eq";"Note 11A",#N/A,TRUE,"Changes in Eq";"Note 11B",#N/A,TRUE,"Changes in Eq";"Note 12",#N/A,TRUE,"Non-current borrowings";"Note 13",#N/A,TRUE,"Provisions";"Note 14",#N/A,TRUE,"Current borrowings";"Note 15",#N/A,TRUE,"Trade payables";"Note 16",#N/A,TRUE,"Notes payable";"Note 17",#N/A,TRUE,"RP";"Note 17A",#N/A,TRUE,"RP transactions";"Note 18",#N/A,TRUE,"Due to Pers";"Note 19",#N/A,TRUE,"CNSS &amp; tax";"Note 19A",#N/A,TRUE,"MOF tax assessment";"Note 20",#N/A,TRUE,"Accruals";"Note 21",#N/A,TRUE,"Other Cr";"Note 22",#N/A,TRUE,"LC";"Note 22A",#N/A,TRUE,"LC note";"Note 23",#N/A,TRUE,"LG";"Note 24",#N/A,TRUE,"Sales";"Note 25A",#N/A,TRUE,"62 to 69 allocation 99";"Note 25B",#N/A,TRUE,"62 to 67 allocation 98"}</definedName>
    <definedName name="wrn.light._.sour." localSheetId="0" hidden="1">{"light sour",#N/A,FALSE,"CNTRYTYPE"}</definedName>
    <definedName name="wrn.light._.sour." localSheetId="6" hidden="1">{"light sour",#N/A,FALSE,"CNTRYTYPE"}</definedName>
    <definedName name="wrn.light._.sour." hidden="1">{"light sour",#N/A,FALSE,"CNTRYTYPE"}</definedName>
    <definedName name="wrn.LIGHTSIDE." localSheetId="6" hidden="1">{"light1",#N/A,FALSE,"LIGHTSIDE";"light2",#N/A,FALSE,"LIGHTSIDE";"light3",#N/A,FALSE,"LIGHTSIDE";"light4",#N/A,FALSE,"LIGHTSIDE"}</definedName>
    <definedName name="wrn.LIGHTSIDE." hidden="1">{"light1",#N/A,FALSE,"LIGHTSIDE";"light2",#N/A,FALSE,"LIGHTSIDE";"light3",#N/A,FALSE,"LIGHTSIDE";"light4",#N/A,FALSE,"LIGHTSIDE"}</definedName>
    <definedName name="wrn.Line._.Efficiency." localSheetId="0" hidden="1">{"Line Efficiency",#N/A,FALSE,"Benchmarking"}</definedName>
    <definedName name="wrn.Line._.Efficiency." localSheetId="6" hidden="1">{"Line Efficiency",#N/A,FALSE,"Benchmarking"}</definedName>
    <definedName name="wrn.Line._.Efficiency." hidden="1">{"Line Efficiency",#N/A,FALSE,"Benchmarking"}</definedName>
    <definedName name="wrn.LTV._.Output." localSheetId="6" hidden="1">{"LTV Output",#N/A,FALSE,"Output"}</definedName>
    <definedName name="wrn.LTV._.Output." hidden="1">{"LTV Output",#N/A,FALSE,"Output"}</definedName>
    <definedName name="wrn.M._.Pack." localSheetId="0" hidden="1">{#N/A,#N/A,FALSE,"M1";#N/A,#N/A,FALSE,"M1a";#N/A,#N/A,FALSE,"M2";#N/A,#N/A,FALSE,"M2a(ii)";#N/A,#N/A,FALSE,"M3";#N/A,#N/A,FALSE,"M3a";#N/A,#N/A,FALSE,"M4";#N/A,#N/A,FALSE,"M5";#N/A,#N/A,FALSE,"M5a";#N/A,#N/A,FALSE,"M6";#N/A,#N/A,FALSE,"M7"}</definedName>
    <definedName name="wrn.M._.Pack." localSheetId="6" hidden="1">{#N/A,#N/A,FALSE,"M1";#N/A,#N/A,FALSE,"M1a";#N/A,#N/A,FALSE,"M2";#N/A,#N/A,FALSE,"M2a(ii)";#N/A,#N/A,FALSE,"M3";#N/A,#N/A,FALSE,"M3a";#N/A,#N/A,FALSE,"M4";#N/A,#N/A,FALSE,"M5";#N/A,#N/A,FALSE,"M5a";#N/A,#N/A,FALSE,"M6";#N/A,#N/A,FALSE,"M7"}</definedName>
    <definedName name="wrn.M._.Pack." hidden="1">{#N/A,#N/A,FALSE,"M1";#N/A,#N/A,FALSE,"M1a";#N/A,#N/A,FALSE,"M2";#N/A,#N/A,FALSE,"M2a(ii)";#N/A,#N/A,FALSE,"M3";#N/A,#N/A,FALSE,"M3a";#N/A,#N/A,FALSE,"M4";#N/A,#N/A,FALSE,"M5";#N/A,#N/A,FALSE,"M5a";#N/A,#N/A,FALSE,"M6";#N/A,#N/A,FALSE,"M7"}</definedName>
    <definedName name="wrn.Main._.Report._.All._.Sections." localSheetId="0"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in._.Report._.All._.Sections." localSheetId="6"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in._.Report._.All._.Sections."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ine." localSheetId="6" hidden="1">{"Assumptions",#N/A,TRUE,"Assumptions";"Income",#N/A,TRUE,"Income";"Balance",#N/A,TRUE,"Balance"}</definedName>
    <definedName name="wrn.Maine." hidden="1">{"Assumptions",#N/A,TRUE,"Assumptions";"Income",#N/A,TRUE,"Income";"Balance",#N/A,TRUE,"Balance"}</definedName>
    <definedName name="wrn.Maine2." localSheetId="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TENANCE._.PLAN._.96." localSheetId="0" hidden="1">{"PAGE1",#N/A,TRUE,"1996";"PAGE2",#N/A,TRUE,"1996";"PAGE3",#N/A,TRUE,"1996";"PAGE4",#N/A,TRUE,"1996"}</definedName>
    <definedName name="wrn.MAINTENANCE._.PLAN._.96." localSheetId="6" hidden="1">{"PAGE1",#N/A,TRUE,"1996";"PAGE2",#N/A,TRUE,"1996";"PAGE3",#N/A,TRUE,"1996";"PAGE4",#N/A,TRUE,"1996"}</definedName>
    <definedName name="wrn.MAINTENANCE._.PLAN._.96." hidden="1">{"PAGE1",#N/A,TRUE,"1996";"PAGE2",#N/A,TRUE,"1996";"PAGE3",#N/A,TRUE,"1996";"PAGE4",#N/A,TRUE,"1996"}</definedName>
    <definedName name="wrn.MAINTENANCE._.PLAN._.97." localSheetId="0" hidden="1">{"PAGE1_97",#N/A,TRUE,"1997";"PAGE2_97",#N/A,TRUE,"1997";"PAGE3_97",#N/A,TRUE,"1997";"PAGE4_97",#N/A,TRUE,"1997"}</definedName>
    <definedName name="wrn.MAINTENANCE._.PLAN._.97." localSheetId="6" hidden="1">{"PAGE1_97",#N/A,TRUE,"1997";"PAGE2_97",#N/A,TRUE,"1997";"PAGE3_97",#N/A,TRUE,"1997";"PAGE4_97",#N/A,TRUE,"1997"}</definedName>
    <definedName name="wrn.MAINTENANCE._.PLAN._.97." hidden="1">{"PAGE1_97",#N/A,TRUE,"1997";"PAGE2_97",#N/A,TRUE,"1997";"PAGE3_97",#N/A,TRUE,"1997";"PAGE4_97",#N/A,TRUE,"1997"}</definedName>
    <definedName name="wrn.Makina._.Projeksiyon." localSheetId="6" hidden="1">{"Bilanço",#N/A,FALSE,"GenelProjeksiyon_Aggregate4";"GelirGider",#N/A,FALSE,"GenelProjeksiyon_Aggregate4";"FonAkım",#N/A,FALSE,"GenelProjeksiyon_Aggregate4"}</definedName>
    <definedName name="wrn.Makina._.Projeksiyon." hidden="1">{"Bilanço",#N/A,FALSE,"GenelProjeksiyon_Aggregate4";"GelirGider",#N/A,FALSE,"GenelProjeksiyon_Aggregate4";"FonAkım",#N/A,FALSE,"GenelProjeksiyon_Aggregate4"}</definedName>
    <definedName name="wrn.man._.accs." localSheetId="0" hidden="1">{#N/A,#N/A,FALSE,"P&amp;L";#N/A,#N/A,FALSE,"BS";#N/A,#N/A,FALSE,"SPLIT";#N/A,#N/A,FALSE,"RATIOS";#N/A,#N/A,FALSE,"TURN ";#N/A,#N/A,FALSE,"%s"}</definedName>
    <definedName name="wrn.man._.accs." localSheetId="6" hidden="1">{#N/A,#N/A,FALSE,"P&amp;L";#N/A,#N/A,FALSE,"BS";#N/A,#N/A,FALSE,"SPLIT";#N/A,#N/A,FALSE,"RATIOS";#N/A,#N/A,FALSE,"TURN ";#N/A,#N/A,FALSE,"%s"}</definedName>
    <definedName name="wrn.man._.accs." hidden="1">{#N/A,#N/A,FALSE,"P&amp;L";#N/A,#N/A,FALSE,"BS";#N/A,#N/A,FALSE,"SPLIT";#N/A,#N/A,FALSE,"RATIOS";#N/A,#N/A,FALSE,"TURN ";#N/A,#N/A,FALSE,"%s"}</definedName>
    <definedName name="wrn.Man._.Power." localSheetId="0" hidden="1">{#N/A,#N/A,FALSE,"Mech";#N/A,#N/A,FALSE,"Body";#N/A,#N/A,FALSE,"Machine";#N/A,#N/A,FALSE,"Forklift";#N/A,#N/A,FALSE,"OtherHC";#N/A,#N/A,FALSE,"Total"}</definedName>
    <definedName name="wrn.Man._.Power." localSheetId="6" hidden="1">{#N/A,#N/A,FALSE,"Mech";#N/A,#N/A,FALSE,"Body";#N/A,#N/A,FALSE,"Machine";#N/A,#N/A,FALSE,"Forklift";#N/A,#N/A,FALSE,"OtherHC";#N/A,#N/A,FALSE,"Total"}</definedName>
    <definedName name="wrn.Man._.Power." hidden="1">{#N/A,#N/A,FALSE,"Mech";#N/A,#N/A,FALSE,"Body";#N/A,#N/A,FALSE,"Machine";#N/A,#N/A,FALSE,"Forklift";#N/A,#N/A,FALSE,"OtherHC";#N/A,#N/A,FALSE,"Total"}</definedName>
    <definedName name="wrn.Man._.Power.1" localSheetId="0" hidden="1">{#N/A,#N/A,FALSE,"Mech";#N/A,#N/A,FALSE,"Body";#N/A,#N/A,FALSE,"Machine";#N/A,#N/A,FALSE,"Forklift";#N/A,#N/A,FALSE,"OtherHC";#N/A,#N/A,FALSE,"Total"}</definedName>
    <definedName name="wrn.Man._.Power.1" localSheetId="6" hidden="1">{#N/A,#N/A,FALSE,"Mech";#N/A,#N/A,FALSE,"Body";#N/A,#N/A,FALSE,"Machine";#N/A,#N/A,FALSE,"Forklift";#N/A,#N/A,FALSE,"OtherHC";#N/A,#N/A,FALSE,"Total"}</definedName>
    <definedName name="wrn.Man._.Power.1" hidden="1">{#N/A,#N/A,FALSE,"Mech";#N/A,#N/A,FALSE,"Body";#N/A,#N/A,FALSE,"Machine";#N/A,#N/A,FALSE,"Forklift";#N/A,#N/A,FALSE,"OtherHC";#N/A,#N/A,FALSE,"Total"}</definedName>
    <definedName name="wrn.MANUFACTURERS." localSheetId="6" hidden="1">{"summary",#N/A,FALSE,"MANUFACTURERS"}</definedName>
    <definedName name="wrn.MANUFACTURERS." hidden="1">{"summary",#N/A,FALSE,"MANUFACTURERS"}</definedName>
    <definedName name="wrn.MARLEY." localSheetId="6" hidden="1">{"FRONT",#N/A,TRUE,"MARLEY";"P_AND_L",#N/A,TRUE,"MARLEY";"CASH_AND_VAL",#N/A,TRUE,"MARLEY";"MODELS",#N/A,TRUE,"MARLEY"}</definedName>
    <definedName name="wrn.MARLEY." hidden="1">{"FRONT",#N/A,TRUE,"MARLEY";"P_AND_L",#N/A,TRUE,"MARLEY";"CASH_AND_VAL",#N/A,TRUE,"MARLEY";"MODELS",#N/A,TRUE,"MARLEY"}</definedName>
    <definedName name="wrn.MARSHALLS." localSheetId="6" hidden="1">{"PANDL (MARSHALLS) (25)",#N/A,TRUE,"MARSHALLS";"CASHFLOW (MARSHALLS) (25)",#N/A,TRUE,"MARSHALLS";"VALUATION (MARSHALLS) (25)",#N/A,TRUE,"MARSHALLS";"MODELS (MARSHALLS) (25)",#N/A,TRUE,"MARSHALLS"}</definedName>
    <definedName name="wrn.MARSHALLS." hidden="1">{"PANDL (MARSHALLS) (25)",#N/A,TRUE,"MARSHALLS";"CASHFLOW (MARSHALLS) (25)",#N/A,TRUE,"MARSHALLS";"VALUATION (MARSHALLS) (25)",#N/A,TRUE,"MARSHALLS";"MODELS (MARSHALLS) (25)",#N/A,TRUE,"MARSHALLS"}</definedName>
    <definedName name="wrn.Massimo." localSheetId="0"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wrn.Massimo." localSheetId="6"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wrn.Massimo."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wrn.Master." localSheetId="6" hidden="1">{#N/A,#N/A,TRUE,"ProFormaProfit";#N/A,#N/A,TRUE,"ProFormaCash";#N/A,#N/A,TRUE,"Depreciation";#N/A,#N/A,TRUE,"Assets";#N/A,#N/A,TRUE,"Revenue";#N/A,#N/A,TRUE,"EstimatedPurchase"}</definedName>
    <definedName name="wrn.Master." hidden="1">{#N/A,#N/A,TRUE,"ProFormaProfit";#N/A,#N/A,TRUE,"ProFormaCash";#N/A,#N/A,TRUE,"Depreciation";#N/A,#N/A,TRUE,"Assets";#N/A,#N/A,TRUE,"Revenue";#N/A,#N/A,TRUE,"EstimatedPurchase"}</definedName>
    <definedName name="wrn.Master_Income." localSheetId="0" hidden="1">{"Annual_Income",#N/A,FALSE,"Master Model";"Quarterly_Income",#N/A,FALSE,"Master Model"}</definedName>
    <definedName name="wrn.Master_Income." localSheetId="6" hidden="1">{"Annual_Income",#N/A,FALSE,"Master Model";"Quarterly_Income",#N/A,FALSE,"Master Model"}</definedName>
    <definedName name="wrn.Master_Income." hidden="1">{"Annual_Income",#N/A,FALSE,"Master Model";"Quarterly_Income",#N/A,FALSE,"Master Model"}</definedName>
    <definedName name="wrn.May._.21." localSheetId="0"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 localSheetId="6"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ay._.21." hidden="1">{#N/A,#N/A,TRUE,"Cover";#N/A,#N/A,TRUE,"Tariffs DTe";#N/A,#N/A,TRUE,"Revenues";#N/A,#N/A,TRUE,"Operating Expenses";#N/A,#N/A,TRUE,"Energy &amp; Power";#N/A,#N/A,TRUE,"Grid Costs";#N/A,#N/A,TRUE,"TPA";#N/A,#N/A,TRUE,"Maintenance";#N/A,#N/A,TRUE,"Personnel";#N/A,#N/A,TRUE,"General";#N/A,#N/A,TRUE,"P&amp;L";#N/A,#N/A,TRUE,"Capital Expenditures";#N/A,#N/A,TRUE,"Assumptions";#N/A,#N/A,TRUE,"Working Capital";#N/A,#N/A,TRUE,"Cash";#N/A,#N/A,TRUE,"Equity";#N/A,#N/A,TRUE,"Deferred Income";#N/A,#N/A,TRUE,"Provisions";#N/A,#N/A,TRUE,"Debt";#N/A,#N/A,TRUE,"BS";#N/A,#N/A,TRUE,"WACC_DTe"}</definedName>
    <definedName name="wrn.MDS1." localSheetId="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localSheetId="6"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edical._.Ratio." hidden="1">#N/A</definedName>
    <definedName name="wrn.memo." localSheetId="0" hidden="1">{#N/A,#N/A,TRUE,"financial";#N/A,#N/A,TRUE,"plants"}</definedName>
    <definedName name="wrn.memo." localSheetId="6" hidden="1">{#N/A,#N/A,TRUE,"financial";#N/A,#N/A,TRUE,"plants"}</definedName>
    <definedName name="wrn.memo." hidden="1">{#N/A,#N/A,TRUE,"financial";#N/A,#N/A,TRUE,"plants"}</definedName>
    <definedName name="wrn.MERCHANTS." localSheetId="6" hidden="1">{"merchants",#N/A,FALSE,"MERCHANTS";"merchants2",#N/A,FALSE,"MERCHANTS"}</definedName>
    <definedName name="wrn.MERCHANTS." hidden="1">{"merchants",#N/A,FALSE,"MERCHANTS";"merchants2",#N/A,FALSE,"MERCHANTS"}</definedName>
    <definedName name="wrn.merge." localSheetId="6" hidden="1">{#N/A,#N/A,FALSE,"IPO";#N/A,#N/A,FALSE,"DCF";#N/A,#N/A,FALSE,"LBO";#N/A,#N/A,FALSE,"MULT_VAL";#N/A,#N/A,FALSE,"Status Quo";#N/A,#N/A,FALSE,"Recap"}</definedName>
    <definedName name="wrn.merge." hidden="1">{#N/A,#N/A,FALSE,"IPO";#N/A,#N/A,FALSE,"DCF";#N/A,#N/A,FALSE,"LBO";#N/A,#N/A,FALSE,"MULT_VAL";#N/A,#N/A,FALSE,"Status Quo";#N/A,#N/A,FALSE,"Recap"}</definedName>
    <definedName name="wrn.merger." localSheetId="0"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localSheetId="6"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Con." localSheetId="0" hidden="1">{"Output",#N/A,FALSE,"Simpson1";"Backup",#N/A,FALSE,"Simpson1"}</definedName>
    <definedName name="wrn.MergerCon." localSheetId="6" hidden="1">{"Output",#N/A,FALSE,"Simpson1";"Backup",#N/A,FALSE,"Simpson1"}</definedName>
    <definedName name="wrn.MergerCon." hidden="1">{"Output",#N/A,FALSE,"Simpson1";"Backup",#N/A,FALSE,"Simpson1"}</definedName>
    <definedName name="wrn.MES." localSheetId="6" hidden="1">{#N/A,#N/A,FALSE,"US$MEDIO"}</definedName>
    <definedName name="wrn.MES." hidden="1">{#N/A,#N/A,FALSE,"US$MEDIO"}</definedName>
    <definedName name="wrn.MEYER." localSheetId="6" hidden="1">{"FRONT (MEYER) (23)",#N/A,TRUE,"MEYER";"P AND L (MEYER) (23)",#N/A,TRUE,"MEYER";"CASH AND VAL (MEYER) (23)",#N/A,TRUE,"MEYER";"DCF (MEYER) (23)",#N/A,TRUE,"MEYER";"JEWSON (MEYER) (23)",#N/A,TRUE,"MEYER";"HARCROS (MEYER) (23)",#N/A,TRUE,"MEYER";"PONT (MEYER) (23)",#N/A,TRUE,"MEYER"}</definedName>
    <definedName name="wrn.MEYER." hidden="1">{"FRONT (MEYER) (23)",#N/A,TRUE,"MEYER";"P AND L (MEYER) (23)",#N/A,TRUE,"MEYER";"CASH AND VAL (MEYER) (23)",#N/A,TRUE,"MEYER";"DCF (MEYER) (23)",#N/A,TRUE,"MEYER";"JEWSON (MEYER) (23)",#N/A,TRUE,"MEYER";"HARCROS (MEYER) (23)",#N/A,TRUE,"MEYER";"PONT (MEYER) (23)",#N/A,TRUE,"MEYER"}</definedName>
    <definedName name="wrn.Mgmt._.Report._.Operating._.Units." localSheetId="6"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gmt._.Report._.Operating._.Units." hidden="1">{#N/A,#N/A,TRUE,"SUMMARY";#N/A,#N/A,TRUE,"MO";#N/A,#N/A,TRUE,"csxwt hong kong";#N/A,#N/A,TRUE,"soict";#N/A,#N/A,TRUE,"csxwtg bv";#N/A,#N/A,TRUE,"csxwt xiamen";#N/A,#N/A,TRUE,"csxwt adelaide";#N/A,#N/A,TRUE,"otlhk";#N/A,#N/A,TRUE,"haina";#N/A,#N/A,TRUE,"wcs";#N/A,#N/A,TRUE,"ATL";#N/A,#N/A,TRUE,"ATLY";#N/A,#N/A,TRUE,"act";#N/A,#N/A,TRUE,"tmr";#N/A,#N/A,TRUE,"VOS";#N/A,#N/A,TRUE,"CABELLO";#N/A,#N/A,TRUE,"CSXOT";#N/A,#N/A,TRUE,"csxwtg kg ";#N/A,#N/A,TRUE,"wcs shanghai";#N/A,#N/A,TRUE,"csxwt dominicana";#N/A,#N/A,TRUE,"corp";#N/A,#N/A,TRUE,"elim"}</definedName>
    <definedName name="wrn.mhpall." localSheetId="0" hidden="1">{"mhpcash",#N/A,FALSE,"MHPNEWX";"mhpinc",#N/A,FALSE,"MHPNEWX";"mhptax",#N/A,FALSE,"MHPNEWX";"mhpbroad",#N/A,FALSE,"MHPNEWX";"mhpeduc",#N/A,FALSE,"MHPNEWX";"mhpfin",#N/A,FALSE,"MHPNEWX";"mhpinfo",#N/A,FALSE,"MHPNEWX"}</definedName>
    <definedName name="wrn.mhpall." localSheetId="6" hidden="1">{"mhpcash",#N/A,FALSE,"MHPNEWX";"mhpinc",#N/A,FALSE,"MHPNEWX";"mhptax",#N/A,FALSE,"MHPNEWX";"mhpbroad",#N/A,FALSE,"MHPNEWX";"mhpeduc",#N/A,FALSE,"MHPNEWX";"mhpfin",#N/A,FALSE,"MHPNEWX";"mhpinfo",#N/A,FALSE,"MHPNEWX"}</definedName>
    <definedName name="wrn.mhpall." hidden="1">{"mhpcash",#N/A,FALSE,"MHPNEWX";"mhpinc",#N/A,FALSE,"MHPNEWX";"mhptax",#N/A,FALSE,"MHPNEWX";"mhpbroad",#N/A,FALSE,"MHPNEWX";"mhpeduc",#N/A,FALSE,"MHPNEWX";"mhpfin",#N/A,FALSE,"MHPNEWX";"mhpinfo",#N/A,FALSE,"MHPNEWX"}</definedName>
    <definedName name="wrn.minorco." localSheetId="6" hidden="1">{#N/A,#N/A,FALSE,"EARNINGS";#N/A,#N/A,FALSE,"FINANCIAL";#N/A,#N/A,FALSE,"OPERATIONAL"}</definedName>
    <definedName name="wrn.minorco." hidden="1">{#N/A,#N/A,FALSE,"EARNINGS";#N/A,#N/A,FALSE,"FINANCIAL";#N/A,#N/A,FALSE,"OPERATIONAL"}</definedName>
    <definedName name="wrn.MNDLand." localSheetId="0" hidden="1">{#N/A,#N/A,FALSE,"D ";#N/A,#N/A,FALSE,"BELG";#N/A,#N/A,FALSE,"BNL";#N/A,#N/A,FALSE,"BENEL.";#N/A,#N/A,FALSE,"ENTBELC";#N/A,#N/A,FALSE,"DK";#N/A,#N/A,FALSE,"FR";#N/A,#N/A,FALSE,"GRIE";#N/A,#N/A,FALSE,"GB";#N/A,#N/A,FALSE,"IT";#N/A,#N/A,FALSE,"ÖST";#N/A,#N/A,FALSE,"POR";#N/A,#N/A,FALSE,"SCHW";#N/A,#N/A,FALSE,"CH";#N/A,#N/A,FALSE,"SPA";#N/A,#N/A,FALSE,"POL";#N/A,#N/A,FALSE,"LIT";#N/A,#N/A,FALSE,"ÜBNI";#N/A,#N/A,FALSE,"ÜPER";#N/A,#N/A,FALSE,"Üübrige";#N/A,#N/A,FALSE,"SUMND";#N/A,#N/A,FALSE,"SUNED";#N/A,#N/A,FALSE,"MND2001";#N/A,#N/A,FALSE,"MND2002 (2)";#N/A,#N/A,FALSE,"ASSAS"}</definedName>
    <definedName name="wrn.MNDLand." localSheetId="6" hidden="1">{#N/A,#N/A,FALSE,"D ";#N/A,#N/A,FALSE,"BELG";#N/A,#N/A,FALSE,"BNL";#N/A,#N/A,FALSE,"BENEL.";#N/A,#N/A,FALSE,"ENTBELC";#N/A,#N/A,FALSE,"DK";#N/A,#N/A,FALSE,"FR";#N/A,#N/A,FALSE,"GRIE";#N/A,#N/A,FALSE,"GB";#N/A,#N/A,FALSE,"IT";#N/A,#N/A,FALSE,"ÖST";#N/A,#N/A,FALSE,"POR";#N/A,#N/A,FALSE,"SCHW";#N/A,#N/A,FALSE,"CH";#N/A,#N/A,FALSE,"SPA";#N/A,#N/A,FALSE,"POL";#N/A,#N/A,FALSE,"LIT";#N/A,#N/A,FALSE,"ÜBNI";#N/A,#N/A,FALSE,"ÜPER";#N/A,#N/A,FALSE,"Üübrige";#N/A,#N/A,FALSE,"SUMND";#N/A,#N/A,FALSE,"SUNED";#N/A,#N/A,FALSE,"MND2001";#N/A,#N/A,FALSE,"MND2002 (2)";#N/A,#N/A,FALSE,"ASSAS"}</definedName>
    <definedName name="wrn.MNDLand." hidden="1">{#N/A,#N/A,FALSE,"D ";#N/A,#N/A,FALSE,"BELG";#N/A,#N/A,FALSE,"BNL";#N/A,#N/A,FALSE,"BENEL.";#N/A,#N/A,FALSE,"ENTBELC";#N/A,#N/A,FALSE,"DK";#N/A,#N/A,FALSE,"FR";#N/A,#N/A,FALSE,"GRIE";#N/A,#N/A,FALSE,"GB";#N/A,#N/A,FALSE,"IT";#N/A,#N/A,FALSE,"ÖST";#N/A,#N/A,FALSE,"POR";#N/A,#N/A,FALSE,"SCHW";#N/A,#N/A,FALSE,"CH";#N/A,#N/A,FALSE,"SPA";#N/A,#N/A,FALSE,"POL";#N/A,#N/A,FALSE,"LIT";#N/A,#N/A,FALSE,"ÜBNI";#N/A,#N/A,FALSE,"ÜPER";#N/A,#N/A,FALSE,"Üübrige";#N/A,#N/A,FALSE,"SUMND";#N/A,#N/A,FALSE,"SUNED";#N/A,#N/A,FALSE,"MND2001";#N/A,#N/A,FALSE,"MND2002 (2)";#N/A,#N/A,FALSE,"ASSAS"}</definedName>
    <definedName name="wrn.MNDProd." localSheetId="0" hidden="1">{#N/A,#N/A,FALSE,"BLKR";#N/A,#N/A,FALSE,"BLAN";#N/A,#N/A,FALSE,"PEKR";#N/A,#N/A,FALSE,"PERAN";#N/A,#N/A,FALSE,"SUP";#N/A,#N/A,FALSE,"MGPL";#N/A,#N/A,FALSE,"NPK12+7+16";#N/A,#N/A,FALSE,"NPK Olive";#N/A,#N/A,FALSE,"3X15";#N/A,#N/A,FALSE,"elite";#N/A,#N/A,FALSE,"landw.";#N/A,#N/A,FALSE,"Vorpr.";#N/A,#N/A,FALSE,"ETP";#N/A,#N/A,FALSE,"NPK S";#N/A,#N/A,FALSE,"BLE";#N/A,#N/A,FALSE,"NPK S (3)";#N/A,#N/A,FALSE,"ETA";#N/A,#N/A,FALSE,"NPK CL (2)";#N/A,#N/A,FALSE,"NPK CL (3)";#N/A,#N/A,FALSE,"ET 25";#N/A,#N/A,FALSE,"SU NPKS SCL CL";#N/A,#N/A,FALSE,"BAS";#N/A,#N/A,FALSE,"ASS";#N/A,#N/A,FALSE,"NOVA";#N/A,#N/A,FALSE,"ET26N";#N/A,#N/A,FALSE,"ASMND (N)";#N/A,#N/A,FALSE,"EMD2001"}</definedName>
    <definedName name="wrn.MNDProd." localSheetId="6" hidden="1">{#N/A,#N/A,FALSE,"BLKR";#N/A,#N/A,FALSE,"BLAN";#N/A,#N/A,FALSE,"PEKR";#N/A,#N/A,FALSE,"PERAN";#N/A,#N/A,FALSE,"SUP";#N/A,#N/A,FALSE,"MGPL";#N/A,#N/A,FALSE,"NPK12+7+16";#N/A,#N/A,FALSE,"NPK Olive";#N/A,#N/A,FALSE,"3X15";#N/A,#N/A,FALSE,"elite";#N/A,#N/A,FALSE,"landw.";#N/A,#N/A,FALSE,"Vorpr.";#N/A,#N/A,FALSE,"ETP";#N/A,#N/A,FALSE,"NPK S";#N/A,#N/A,FALSE,"BLE";#N/A,#N/A,FALSE,"NPK S (3)";#N/A,#N/A,FALSE,"ETA";#N/A,#N/A,FALSE,"NPK CL (2)";#N/A,#N/A,FALSE,"NPK CL (3)";#N/A,#N/A,FALSE,"ET 25";#N/A,#N/A,FALSE,"SU NPKS SCL CL";#N/A,#N/A,FALSE,"BAS";#N/A,#N/A,FALSE,"ASS";#N/A,#N/A,FALSE,"NOVA";#N/A,#N/A,FALSE,"ET26N";#N/A,#N/A,FALSE,"ASMND (N)";#N/A,#N/A,FALSE,"EMD2001"}</definedName>
    <definedName name="wrn.MNDProd." hidden="1">{#N/A,#N/A,FALSE,"BLKR";#N/A,#N/A,FALSE,"BLAN";#N/A,#N/A,FALSE,"PEKR";#N/A,#N/A,FALSE,"PERAN";#N/A,#N/A,FALSE,"SUP";#N/A,#N/A,FALSE,"MGPL";#N/A,#N/A,FALSE,"NPK12+7+16";#N/A,#N/A,FALSE,"NPK Olive";#N/A,#N/A,FALSE,"3X15";#N/A,#N/A,FALSE,"elite";#N/A,#N/A,FALSE,"landw.";#N/A,#N/A,FALSE,"Vorpr.";#N/A,#N/A,FALSE,"ETP";#N/A,#N/A,FALSE,"NPK S";#N/A,#N/A,FALSE,"BLE";#N/A,#N/A,FALSE,"NPK S (3)";#N/A,#N/A,FALSE,"ETA";#N/A,#N/A,FALSE,"NPK CL (2)";#N/A,#N/A,FALSE,"NPK CL (3)";#N/A,#N/A,FALSE,"ET 25";#N/A,#N/A,FALSE,"SU NPKS SCL CL";#N/A,#N/A,FALSE,"BAS";#N/A,#N/A,FALSE,"ASS";#N/A,#N/A,FALSE,"NOVA";#N/A,#N/A,FALSE,"ET26N";#N/A,#N/A,FALSE,"ASMND (N)";#N/A,#N/A,FALSE,"EMD2001"}</definedName>
    <definedName name="wrn.MOBIL." localSheetId="0" hidden="1">{"quarter",#N/A,FALSE,"MOB"}</definedName>
    <definedName name="wrn.MOBIL." localSheetId="6" hidden="1">{"quarter",#N/A,FALSE,"MOB"}</definedName>
    <definedName name="wrn.MOBIL." hidden="1">{"quarter",#N/A,FALSE,"MOB"}</definedName>
    <definedName name="wrn.mobile." localSheetId="0" hidden="1">{#N/A,#N/A,FALSE,"Denmark";#N/A,#N/A,FALSE,"Denmark"}</definedName>
    <definedName name="wrn.mobile." localSheetId="6" hidden="1">{#N/A,#N/A,FALSE,"Denmark";#N/A,#N/A,FALSE,"Denmark"}</definedName>
    <definedName name="wrn.mobile." hidden="1">{#N/A,#N/A,FALSE,"Denmark";#N/A,#N/A,FALSE,"Denmark"}</definedName>
    <definedName name="wrn.MoD._.Summary." localSheetId="0" hidden="1">{"Summary sheet",#N/A,TRUE,"Output pres";"Proforma 1 and 2",#N/A,TRUE,"Ratios";"Proforma 3,4 and 5",#N/A,TRUE,"FS";"Proforma 8,9 and 10",#N/A,TRUE,"Calcs"}</definedName>
    <definedName name="wrn.MoD._.Summary." localSheetId="6" hidden="1">{"Summary sheet",#N/A,TRUE,"Output pres";"Proforma 1 and 2",#N/A,TRUE,"Ratios";"Proforma 3,4 and 5",#N/A,TRUE,"FS";"Proforma 8,9 and 10",#N/A,TRUE,"Calcs"}</definedName>
    <definedName name="wrn.MoD._.Summary." hidden="1">{"Summary sheet",#N/A,TRUE,"Output pres";"Proforma 1 and 2",#N/A,TRUE,"Ratios";"Proforma 3,4 and 5",#N/A,TRUE,"FS";"Proforma 8,9 and 10",#N/A,TRUE,"Calcs"}</definedName>
    <definedName name="wrn.Model." localSheetId="0" hidden="1">{#N/A,#N/A,FALSE,"Cover";#N/A,#N/A,FALSE,"LUMI";#N/A,#N/A,FALSE,"COMD";#N/A,#N/A,FALSE,"Valuation";#N/A,#N/A,FALSE,"Assumptions";#N/A,#N/A,FALSE,"Pooling";#N/A,#N/A,FALSE,"BalanceSheet"}</definedName>
    <definedName name="wrn.Model." localSheetId="6" hidden="1">{#N/A,#N/A,FALSE,"Cover";#N/A,#N/A,FALSE,"LUMI";#N/A,#N/A,FALSE,"COMD";#N/A,#N/A,FALSE,"Valuation";#N/A,#N/A,FALSE,"Assumptions";#N/A,#N/A,FALSE,"Pooling";#N/A,#N/A,FALSE,"BalanceSheet"}</definedName>
    <definedName name="wrn.Model." hidden="1">{#N/A,#N/A,FALSE,"Cover";#N/A,#N/A,FALSE,"LUMI";#N/A,#N/A,FALSE,"COMD";#N/A,#N/A,FALSE,"Valuation";#N/A,#N/A,FALSE,"Assumptions";#N/A,#N/A,FALSE,"Pooling";#N/A,#N/A,FALSE,"BalanceSheet"}</definedName>
    <definedName name="wrn.Modello." localSheetId="0" hidden="1">{#N/A,#N/A,TRUE,"Proposal";#N/A,#N/A,TRUE,"Assumptions";#N/A,#N/A,TRUE,"Net Income";#N/A,#N/A,TRUE,"Balsheet";#N/A,#N/A,TRUE,"Capex";#N/A,#N/A,TRUE,"Volumes";#N/A,#N/A,TRUE,"Revenues";#N/A,#N/A,TRUE,"Var.Costs";#N/A,#N/A,TRUE,"Personnel";#N/A,#N/A,TRUE,"Other costs";#N/A,#N/A,TRUE,"MKTG and G&amp;A"}</definedName>
    <definedName name="wrn.Modello." localSheetId="6" hidden="1">{#N/A,#N/A,TRUE,"Proposal";#N/A,#N/A,TRUE,"Assumptions";#N/A,#N/A,TRUE,"Net Income";#N/A,#N/A,TRUE,"Balsheet";#N/A,#N/A,TRUE,"Capex";#N/A,#N/A,TRUE,"Volumes";#N/A,#N/A,TRUE,"Revenues";#N/A,#N/A,TRUE,"Var.Costs";#N/A,#N/A,TRUE,"Personnel";#N/A,#N/A,TRUE,"Other costs";#N/A,#N/A,TRUE,"MKTG and G&amp;A"}</definedName>
    <definedName name="wrn.Modello." hidden="1">{#N/A,#N/A,TRUE,"Proposal";#N/A,#N/A,TRUE,"Assumptions";#N/A,#N/A,TRUE,"Net Income";#N/A,#N/A,TRUE,"Balsheet";#N/A,#N/A,TRUE,"Capex";#N/A,#N/A,TRUE,"Volumes";#N/A,#N/A,TRUE,"Revenues";#N/A,#N/A,TRUE,"Var.Costs";#N/A,#N/A,TRUE,"Personnel";#N/A,#N/A,TRUE,"Other costs";#N/A,#N/A,TRUE,"MKTG and G&amp;A"}</definedName>
    <definedName name="wrn.Monatsabschluß." localSheetId="0" hidden="1">{#N/A,#N/A,FALSE,"Finanzplan";#N/A,#N/A,FALSE,"Bilanz";#N/A,#N/A,FALSE,"GuV"}</definedName>
    <definedName name="wrn.Monatsabschluß." localSheetId="6" hidden="1">{#N/A,#N/A,FALSE,"Finanzplan";#N/A,#N/A,FALSE,"Bilanz";#N/A,#N/A,FALSE,"GuV"}</definedName>
    <definedName name="wrn.Monatsabschluß." hidden="1">{#N/A,#N/A,FALSE,"Finanzplan";#N/A,#N/A,FALSE,"Bilanz";#N/A,#N/A,FALSE,"GuV"}</definedName>
    <definedName name="wrn.Monthend._.Prints." localSheetId="0" hidden="1">{#N/A,#N/A,FALSE,"75 head";#N/A,#N/A,FALSE,"Total Area";#N/A,#N/A,FALSE,"101 bitt";#N/A,#N/A,FALSE,"102 cov";#N/A,#N/A,FALSE,"103 craw - Internal";#N/A,#N/A,FALSE,"103 craw - External";#N/A,#N/A,FALSE,"104 hull";#N/A,#N/A,FALSE,"105 ilke";#N/A,#N/A,FALSE,"106 leed";#N/A,#N/A,FALSE,"107 lewi";#N/A,#N/A,FALSE,"108 new";#N/A,#N/A,FALSE,"109 nott";#N/A,#N/A,FALSE,"110 port";#N/A,#N/A,FALSE,"111 shef";#N/A,#N/A,FALSE,"112 west";#N/A,#N/A,FALSE,"113 whit";#N/A,#N/A,FALSE,"114 expr";#N/A,#N/A,FALSE,"115 wort";#N/A,#N/A,FALSE,"130 blac";#N/A,#N/A,FALSE,"131 pete";#N/A,#N/A,FALSE,"132 burn";#N/A,#N/A,FALSE,"133 scun";#N/A,#N/A,FALSE,"134 shre";#N/A,#N/A,FALSE,"135 wiga";#N/A,#N/A,FALSE,"136 stry";#N/A,#N/A,FALSE,"140 glas";#N/A,#N/A,FALSE,"141 stir";#N/A,#N/A,FALSE,"142 ashf";#N/A,#N/A,FALSE,"143 chat";#N/A,#N/A,FALSE,"144 grav";#N/A,#N/A,FALSE,"145 maid";#N/A,#N/A,FALSE,"146 carl";#N/A,#N/A,FALSE,"147 keig";#N/A,#N/A,FALSE,"148 marg";#N/A,#N/A,FALSE,"149 st h";#N/A,#N/A,FALSE,"150 torq";#N/A,#N/A,FALSE,"151 wash";#N/A,#N/A,FALSE,"152 well";#N/A,#N/A,FALSE,"153 macc";#N/A,#N/A,FALSE,"154 purl";#N/A,#N/A,FALSE,"A Moran Region";#N/A,#N/A,FALSE,"E Bishop Region";#N/A,#N/A,FALSE,"J Atkinson Region";#N/A,#N/A,FALSE,"Constant Internal - 22 ";#N/A,#N/A,FALSE,"Constant External - 22";#N/A,#N/A,FALSE,"New External - 15";#N/A,#N/A,FALSE,"Total Excl. Corp Internal";#N/A,#N/A,FALSE,"Total Excl. Corp External";#N/A,#N/A,FALSE,"Total Internal";#N/A,#N/A,FALSE,"Total External"}</definedName>
    <definedName name="wrn.Monthend._.Prints." localSheetId="6" hidden="1">{#N/A,#N/A,FALSE,"75 head";#N/A,#N/A,FALSE,"Total Area";#N/A,#N/A,FALSE,"101 bitt";#N/A,#N/A,FALSE,"102 cov";#N/A,#N/A,FALSE,"103 craw - Internal";#N/A,#N/A,FALSE,"103 craw - External";#N/A,#N/A,FALSE,"104 hull";#N/A,#N/A,FALSE,"105 ilke";#N/A,#N/A,FALSE,"106 leed";#N/A,#N/A,FALSE,"107 lewi";#N/A,#N/A,FALSE,"108 new";#N/A,#N/A,FALSE,"109 nott";#N/A,#N/A,FALSE,"110 port";#N/A,#N/A,FALSE,"111 shef";#N/A,#N/A,FALSE,"112 west";#N/A,#N/A,FALSE,"113 whit";#N/A,#N/A,FALSE,"114 expr";#N/A,#N/A,FALSE,"115 wort";#N/A,#N/A,FALSE,"130 blac";#N/A,#N/A,FALSE,"131 pete";#N/A,#N/A,FALSE,"132 burn";#N/A,#N/A,FALSE,"133 scun";#N/A,#N/A,FALSE,"134 shre";#N/A,#N/A,FALSE,"135 wiga";#N/A,#N/A,FALSE,"136 stry";#N/A,#N/A,FALSE,"140 glas";#N/A,#N/A,FALSE,"141 stir";#N/A,#N/A,FALSE,"142 ashf";#N/A,#N/A,FALSE,"143 chat";#N/A,#N/A,FALSE,"144 grav";#N/A,#N/A,FALSE,"145 maid";#N/A,#N/A,FALSE,"146 carl";#N/A,#N/A,FALSE,"147 keig";#N/A,#N/A,FALSE,"148 marg";#N/A,#N/A,FALSE,"149 st h";#N/A,#N/A,FALSE,"150 torq";#N/A,#N/A,FALSE,"151 wash";#N/A,#N/A,FALSE,"152 well";#N/A,#N/A,FALSE,"153 macc";#N/A,#N/A,FALSE,"154 purl";#N/A,#N/A,FALSE,"A Moran Region";#N/A,#N/A,FALSE,"E Bishop Region";#N/A,#N/A,FALSE,"J Atkinson Region";#N/A,#N/A,FALSE,"Constant Internal - 22 ";#N/A,#N/A,FALSE,"Constant External - 22";#N/A,#N/A,FALSE,"New External - 15";#N/A,#N/A,FALSE,"Total Excl. Corp Internal";#N/A,#N/A,FALSE,"Total Excl. Corp External";#N/A,#N/A,FALSE,"Total Internal";#N/A,#N/A,FALSE,"Total External"}</definedName>
    <definedName name="wrn.Monthend._.Prints." hidden="1">{#N/A,#N/A,FALSE,"75 head";#N/A,#N/A,FALSE,"Total Area";#N/A,#N/A,FALSE,"101 bitt";#N/A,#N/A,FALSE,"102 cov";#N/A,#N/A,FALSE,"103 craw - Internal";#N/A,#N/A,FALSE,"103 craw - External";#N/A,#N/A,FALSE,"104 hull";#N/A,#N/A,FALSE,"105 ilke";#N/A,#N/A,FALSE,"106 leed";#N/A,#N/A,FALSE,"107 lewi";#N/A,#N/A,FALSE,"108 new";#N/A,#N/A,FALSE,"109 nott";#N/A,#N/A,FALSE,"110 port";#N/A,#N/A,FALSE,"111 shef";#N/A,#N/A,FALSE,"112 west";#N/A,#N/A,FALSE,"113 whit";#N/A,#N/A,FALSE,"114 expr";#N/A,#N/A,FALSE,"115 wort";#N/A,#N/A,FALSE,"130 blac";#N/A,#N/A,FALSE,"131 pete";#N/A,#N/A,FALSE,"132 burn";#N/A,#N/A,FALSE,"133 scun";#N/A,#N/A,FALSE,"134 shre";#N/A,#N/A,FALSE,"135 wiga";#N/A,#N/A,FALSE,"136 stry";#N/A,#N/A,FALSE,"140 glas";#N/A,#N/A,FALSE,"141 stir";#N/A,#N/A,FALSE,"142 ashf";#N/A,#N/A,FALSE,"143 chat";#N/A,#N/A,FALSE,"144 grav";#N/A,#N/A,FALSE,"145 maid";#N/A,#N/A,FALSE,"146 carl";#N/A,#N/A,FALSE,"147 keig";#N/A,#N/A,FALSE,"148 marg";#N/A,#N/A,FALSE,"149 st h";#N/A,#N/A,FALSE,"150 torq";#N/A,#N/A,FALSE,"151 wash";#N/A,#N/A,FALSE,"152 well";#N/A,#N/A,FALSE,"153 macc";#N/A,#N/A,FALSE,"154 purl";#N/A,#N/A,FALSE,"A Moran Region";#N/A,#N/A,FALSE,"E Bishop Region";#N/A,#N/A,FALSE,"J Atkinson Region";#N/A,#N/A,FALSE,"Constant Internal - 22 ";#N/A,#N/A,FALSE,"Constant External - 22";#N/A,#N/A,FALSE,"New External - 15";#N/A,#N/A,FALSE,"Total Excl. Corp Internal";#N/A,#N/A,FALSE,"Total Excl. Corp External";#N/A,#N/A,FALSE,"Total Internal";#N/A,#N/A,FALSE,"Total External"}</definedName>
    <definedName name="wrn.Monthly._.MIS._.Fa.10_01." localSheetId="0" hidden="1">{#N/A,#N/A,TRUE,"Overview";#N/A,#N/A,TRUE,"P&amp;L summary";#N/A,#N/A,TRUE,"pers.exp._op. inc._interest";#N/A,#N/A,TRUE,"op. expenses";#N/A,#N/A,TRUE,"non-op. inc_expense";#N/A,#N/A,TRUE,"balance sheet";#N/A,#N/A,TRUE,"key-figures"}</definedName>
    <definedName name="wrn.Monthly._.MIS._.Fa.10_01." localSheetId="6" hidden="1">{#N/A,#N/A,TRUE,"Overview";#N/A,#N/A,TRUE,"P&amp;L summary";#N/A,#N/A,TRUE,"pers.exp._op. inc._interest";#N/A,#N/A,TRUE,"op. expenses";#N/A,#N/A,TRUE,"non-op. inc_expense";#N/A,#N/A,TRUE,"balance sheet";#N/A,#N/A,TRUE,"key-figures"}</definedName>
    <definedName name="wrn.Monthly._.MIS._.Fa.10_01." hidden="1">{#N/A,#N/A,TRUE,"Overview";#N/A,#N/A,TRUE,"P&amp;L summary";#N/A,#N/A,TRUE,"pers.exp._op. inc._interest";#N/A,#N/A,TRUE,"op. expenses";#N/A,#N/A,TRUE,"non-op. inc_expense";#N/A,#N/A,TRUE,"balance sheet";#N/A,#N/A,TRUE,"key-figures"}</definedName>
    <definedName name="wrn.Monthly._.MIS._.Fa.26." localSheetId="0" hidden="1">{#N/A,#N/A,TRUE,"Overview";#N/A,#N/A,TRUE,"P&amp;L summary";#N/A,#N/A,TRUE,"pers.exp._op. inc._interest";#N/A,#N/A,TRUE,"op. expenses";#N/A,#N/A,TRUE,"non-op. inc_expense";#N/A,#N/A,TRUE,"balance sheet";#N/A,#N/A,TRUE,"article (3500)";#N/A,#N/A,TRUE,"article (3600)";#N/A,#N/A,TRUE,"article (3700)";#N/A,#N/A,TRUE,"article (3900)";#N/A,#N/A,TRUE,"article (3800)";#N/A,#N/A,TRUE,"MC 1 3rd (4800)";#N/A,#N/A,TRUE,"MC 1 OEM_PL (4900)";#N/A,#N/A,TRUE,"countries (LA)";#N/A,#N/A,TRUE,"Top 25";#N/A,#N/A,TRUE,"key-figures"}</definedName>
    <definedName name="wrn.Monthly._.MIS._.Fa.26." localSheetId="6" hidden="1">{#N/A,#N/A,TRUE,"Overview";#N/A,#N/A,TRUE,"P&amp;L summary";#N/A,#N/A,TRUE,"pers.exp._op. inc._interest";#N/A,#N/A,TRUE,"op. expenses";#N/A,#N/A,TRUE,"non-op. inc_expense";#N/A,#N/A,TRUE,"balance sheet";#N/A,#N/A,TRUE,"article (3500)";#N/A,#N/A,TRUE,"article (3600)";#N/A,#N/A,TRUE,"article (3700)";#N/A,#N/A,TRUE,"article (3900)";#N/A,#N/A,TRUE,"article (3800)";#N/A,#N/A,TRUE,"MC 1 3rd (4800)";#N/A,#N/A,TRUE,"MC 1 OEM_PL (4900)";#N/A,#N/A,TRUE,"countries (LA)";#N/A,#N/A,TRUE,"Top 25";#N/A,#N/A,TRUE,"key-figures"}</definedName>
    <definedName name="wrn.Monthly._.MIS._.Fa.26." hidden="1">{#N/A,#N/A,TRUE,"Overview";#N/A,#N/A,TRUE,"P&amp;L summary";#N/A,#N/A,TRUE,"pers.exp._op. inc._interest";#N/A,#N/A,TRUE,"op. expenses";#N/A,#N/A,TRUE,"non-op. inc_expense";#N/A,#N/A,TRUE,"balance sheet";#N/A,#N/A,TRUE,"article (3500)";#N/A,#N/A,TRUE,"article (3600)";#N/A,#N/A,TRUE,"article (3700)";#N/A,#N/A,TRUE,"article (3900)";#N/A,#N/A,TRUE,"article (3800)";#N/A,#N/A,TRUE,"MC 1 3rd (4800)";#N/A,#N/A,TRUE,"MC 1 OEM_PL (4900)";#N/A,#N/A,TRUE,"countries (LA)";#N/A,#N/A,TRUE,"Top 25";#N/A,#N/A,TRUE,"key-figures"}</definedName>
    <definedName name="wrn.Monthly._.MIS._.Fa.31." localSheetId="0" hidden="1">{#N/A,#N/A,TRUE,"Overview";#N/A,#N/A,TRUE,"P&amp;L summary";#N/A,#N/A,TRUE,"pers.exp._op. inc._interest";#N/A,#N/A,TRUE,"op. expenses";#N/A,#N/A,TRUE,"non-op. inc_expense";#N/A,#N/A,TRUE,"balance sheet";#N/A,#N/A,TRUE,"article (3500)";#N/A,#N/A,TRUE,"article (3600)";#N/A,#N/A,TRUE,"article (3700)";#N/A,#N/A,TRUE,"control MC 1";#N/A,#N/A,TRUE,"MC 1 3rd (4800)";#N/A,#N/A,TRUE,"countries (LA)";#N/A,#N/A,TRUE,"Top 25";#N/A,#N/A,TRUE,"key-figures"}</definedName>
    <definedName name="wrn.Monthly._.MIS._.Fa.31." localSheetId="6" hidden="1">{#N/A,#N/A,TRUE,"Overview";#N/A,#N/A,TRUE,"P&amp;L summary";#N/A,#N/A,TRUE,"pers.exp._op. inc._interest";#N/A,#N/A,TRUE,"op. expenses";#N/A,#N/A,TRUE,"non-op. inc_expense";#N/A,#N/A,TRUE,"balance sheet";#N/A,#N/A,TRUE,"article (3500)";#N/A,#N/A,TRUE,"article (3600)";#N/A,#N/A,TRUE,"article (3700)";#N/A,#N/A,TRUE,"control MC 1";#N/A,#N/A,TRUE,"MC 1 3rd (4800)";#N/A,#N/A,TRUE,"countries (LA)";#N/A,#N/A,TRUE,"Top 25";#N/A,#N/A,TRUE,"key-figures"}</definedName>
    <definedName name="wrn.Monthly._.MIS._.Fa.31." hidden="1">{#N/A,#N/A,TRUE,"Overview";#N/A,#N/A,TRUE,"P&amp;L summary";#N/A,#N/A,TRUE,"pers.exp._op. inc._interest";#N/A,#N/A,TRUE,"op. expenses";#N/A,#N/A,TRUE,"non-op. inc_expense";#N/A,#N/A,TRUE,"balance sheet";#N/A,#N/A,TRUE,"article (3500)";#N/A,#N/A,TRUE,"article (3600)";#N/A,#N/A,TRUE,"article (3700)";#N/A,#N/A,TRUE,"control MC 1";#N/A,#N/A,TRUE,"MC 1 3rd (4800)";#N/A,#N/A,TRUE,"countries (LA)";#N/A,#N/A,TRUE,"Top 25";#N/A,#N/A,TRUE,"key-figures"}</definedName>
    <definedName name="wrn.Monthly._.MIS._.Fa.50." localSheetId="0" hidden="1">{#N/A,#N/A,TRUE,"Overview";#N/A,#N/A,TRUE,"P&amp;L summary";#N/A,#N/A,TRUE,"pers.exp._op. inc._interest";#N/A,#N/A,TRUE,"op. expenses";#N/A,#N/A,TRUE,"non-op. inc_expense"}</definedName>
    <definedName name="wrn.Monthly._.MIS._.Fa.50." localSheetId="6" hidden="1">{#N/A,#N/A,TRUE,"Overview";#N/A,#N/A,TRUE,"P&amp;L summary";#N/A,#N/A,TRUE,"pers.exp._op. inc._interest";#N/A,#N/A,TRUE,"op. expenses";#N/A,#N/A,TRUE,"non-op. inc_expense"}</definedName>
    <definedName name="wrn.Monthly._.MIS._.Fa.50." hidden="1">{#N/A,#N/A,TRUE,"Overview";#N/A,#N/A,TRUE,"P&amp;L summary";#N/A,#N/A,TRUE,"pers.exp._op. inc._interest";#N/A,#N/A,TRUE,"op. expenses";#N/A,#N/A,TRUE,"non-op. inc_expense"}</definedName>
    <definedName name="wrn.Monthly._.MIS._.Fa.53_91." localSheetId="0" hidden="1">{#N/A,#N/A,TRUE,"Overview";#N/A,#N/A,TRUE,"P&amp;L summary";#N/A,#N/A,TRUE,"pers.exp._op. inc._interest";#N/A,#N/A,TRUE,"op. expenses";#N/A,#N/A,TRUE,"non-op. inc_expense"}</definedName>
    <definedName name="wrn.Monthly._.MIS._.Fa.53_91." localSheetId="6" hidden="1">{#N/A,#N/A,TRUE,"Overview";#N/A,#N/A,TRUE,"P&amp;L summary";#N/A,#N/A,TRUE,"pers.exp._op. inc._interest";#N/A,#N/A,TRUE,"op. expenses";#N/A,#N/A,TRUE,"non-op. inc_expense"}</definedName>
    <definedName name="wrn.Monthly._.MIS._.Fa.53_91." hidden="1">{#N/A,#N/A,TRUE,"Overview";#N/A,#N/A,TRUE,"P&amp;L summary";#N/A,#N/A,TRUE,"pers.exp._op. inc._interest";#N/A,#N/A,TRUE,"op. expenses";#N/A,#N/A,TRUE,"non-op. inc_expense"}</definedName>
    <definedName name="wrn.Monthly._.MIS._.Fa.59." localSheetId="0" hidden="1">{#N/A,#N/A,TRUE,"Overview";#N/A,#N/A,TRUE,"P&amp;L summary";#N/A,#N/A,TRUE,"pers.exp._op. inc._interest";#N/A,#N/A,TRUE,"op. expenses";#N/A,#N/A,TRUE,"non-op. inc_expense";#N/A,#N/A,TRUE,"article (3500)";#N/A,#N/A,TRUE,"article (3600)";#N/A,#N/A,TRUE,"article (3900)";#N/A,#N/A,TRUE,"MC 1 3rd (4800)";#N/A,#N/A,TRUE,"MC 1 OEM_PL (4900)";#N/A,#N/A,TRUE,"key-figures"}</definedName>
    <definedName name="wrn.Monthly._.MIS._.Fa.59." localSheetId="6" hidden="1">{#N/A,#N/A,TRUE,"Overview";#N/A,#N/A,TRUE,"P&amp;L summary";#N/A,#N/A,TRUE,"pers.exp._op. inc._interest";#N/A,#N/A,TRUE,"op. expenses";#N/A,#N/A,TRUE,"non-op. inc_expense";#N/A,#N/A,TRUE,"article (3500)";#N/A,#N/A,TRUE,"article (3600)";#N/A,#N/A,TRUE,"article (3900)";#N/A,#N/A,TRUE,"MC 1 3rd (4800)";#N/A,#N/A,TRUE,"MC 1 OEM_PL (4900)";#N/A,#N/A,TRUE,"key-figures"}</definedName>
    <definedName name="wrn.Monthly._.MIS._.Fa.59." hidden="1">{#N/A,#N/A,TRUE,"Overview";#N/A,#N/A,TRUE,"P&amp;L summary";#N/A,#N/A,TRUE,"pers.exp._op. inc._interest";#N/A,#N/A,TRUE,"op. expenses";#N/A,#N/A,TRUE,"non-op. inc_expense";#N/A,#N/A,TRUE,"article (3500)";#N/A,#N/A,TRUE,"article (3600)";#N/A,#N/A,TRUE,"article (3900)";#N/A,#N/A,TRUE,"MC 1 3rd (4800)";#N/A,#N/A,TRUE,"MC 1 OEM_PL (4900)";#N/A,#N/A,TRUE,"key-figures"}</definedName>
    <definedName name="wrn.Monthly._.MIS._.Fa.60." localSheetId="0" hidden="1">{#N/A,#N/A,TRUE,"Overview";#N/A,#N/A,TRUE,"P&amp;L summary";#N/A,#N/A,TRUE,"pers.exp._op. inc._interest";#N/A,#N/A,TRUE,"op. expenses";#N/A,#N/A,TRUE,"non-op. inc_expense";#N/A,#N/A,TRUE,"article (3500)";#N/A,#N/A,TRUE,"article (3700)";#N/A,#N/A,TRUE,"article (3900)";#N/A,#N/A,TRUE,"MC 1 3rd (4800)";#N/A,#N/A,TRUE,"MC 1 OEM_PL (4900)";#N/A,#N/A,TRUE,"countries (Europe)";#N/A,#N/A,TRUE,"key-figures"}</definedName>
    <definedName name="wrn.Monthly._.MIS._.Fa.60." localSheetId="6" hidden="1">{#N/A,#N/A,TRUE,"Overview";#N/A,#N/A,TRUE,"P&amp;L summary";#N/A,#N/A,TRUE,"pers.exp._op. inc._interest";#N/A,#N/A,TRUE,"op. expenses";#N/A,#N/A,TRUE,"non-op. inc_expense";#N/A,#N/A,TRUE,"article (3500)";#N/A,#N/A,TRUE,"article (3700)";#N/A,#N/A,TRUE,"article (3900)";#N/A,#N/A,TRUE,"MC 1 3rd (4800)";#N/A,#N/A,TRUE,"MC 1 OEM_PL (4900)";#N/A,#N/A,TRUE,"countries (Europe)";#N/A,#N/A,TRUE,"key-figures"}</definedName>
    <definedName name="wrn.Monthly._.MIS._.Fa.60." hidden="1">{#N/A,#N/A,TRUE,"Overview";#N/A,#N/A,TRUE,"P&amp;L summary";#N/A,#N/A,TRUE,"pers.exp._op. inc._interest";#N/A,#N/A,TRUE,"op. expenses";#N/A,#N/A,TRUE,"non-op. inc_expense";#N/A,#N/A,TRUE,"article (3500)";#N/A,#N/A,TRUE,"article (3700)";#N/A,#N/A,TRUE,"article (3900)";#N/A,#N/A,TRUE,"MC 1 3rd (4800)";#N/A,#N/A,TRUE,"MC 1 OEM_PL (4900)";#N/A,#N/A,TRUE,"countries (Europe)";#N/A,#N/A,TRUE,"key-figures"}</definedName>
    <definedName name="wrn.Monthly._.MIS._.Fa.73." localSheetId="0" hidden="1">{#N/A,#N/A,TRUE,"Overview";#N/A,#N/A,TRUE,"P&amp;L summary";#N/A,#N/A,TRUE,"pers.exp._op. inc._interest";#N/A,#N/A,TRUE,"op. expenses";#N/A,#N/A,TRUE,"non-op. inc_expense";#N/A,#N/A,TRUE,"balance sheet";#N/A,#N/A,TRUE,"article (3800)";#N/A,#N/A,TRUE,"countries (Europe)";#N/A,#N/A,TRUE,"key-figures"}</definedName>
    <definedName name="wrn.Monthly._.MIS._.Fa.73." localSheetId="6" hidden="1">{#N/A,#N/A,TRUE,"Overview";#N/A,#N/A,TRUE,"P&amp;L summary";#N/A,#N/A,TRUE,"pers.exp._op. inc._interest";#N/A,#N/A,TRUE,"op. expenses";#N/A,#N/A,TRUE,"non-op. inc_expense";#N/A,#N/A,TRUE,"balance sheet";#N/A,#N/A,TRUE,"article (3800)";#N/A,#N/A,TRUE,"countries (Europe)";#N/A,#N/A,TRUE,"key-figures"}</definedName>
    <definedName name="wrn.Monthly._.MIS._.Fa.73." hidden="1">{#N/A,#N/A,TRUE,"Overview";#N/A,#N/A,TRUE,"P&amp;L summary";#N/A,#N/A,TRUE,"pers.exp._op. inc._interest";#N/A,#N/A,TRUE,"op. expenses";#N/A,#N/A,TRUE,"non-op. inc_expense";#N/A,#N/A,TRUE,"balance sheet";#N/A,#N/A,TRUE,"article (3800)";#N/A,#N/A,TRUE,"countries (Europe)";#N/A,#N/A,TRUE,"key-figures"}</definedName>
    <definedName name="wrn.Monthly._.MIS._.Fa.74." localSheetId="0" hidden="1">{#N/A,#N/A,TRUE,"Overview";#N/A,#N/A,TRUE,"P&amp;L summary";#N/A,#N/A,TRUE,"pers.exp._op. inc._interest";#N/A,#N/A,TRUE,"op. expenses";#N/A,#N/A,TRUE,"non-op. inc_expense";#N/A,#N/A,TRUE,"balance sheet";#N/A,#N/A,TRUE,"article (3500)";#N/A,#N/A,TRUE,"article (3600)";#N/A,#N/A,TRUE,"article (3700)";#N/A,#N/A,TRUE,"article (3900)";#N/A,#N/A,TRUE,"new products";#N/A,#N/A,TRUE,"MC 1 3rd (4800)";#N/A,#N/A,TRUE,"MC 1 OEM_PL (4900)";#N/A,#N/A,TRUE,"countries (full)";#N/A,#N/A,TRUE,"Top 25";#N/A,#N/A,TRUE,"key-figures"}</definedName>
    <definedName name="wrn.Monthly._.MIS._.Fa.74." localSheetId="6" hidden="1">{#N/A,#N/A,TRUE,"Overview";#N/A,#N/A,TRUE,"P&amp;L summary";#N/A,#N/A,TRUE,"pers.exp._op. inc._interest";#N/A,#N/A,TRUE,"op. expenses";#N/A,#N/A,TRUE,"non-op. inc_expense";#N/A,#N/A,TRUE,"balance sheet";#N/A,#N/A,TRUE,"article (3500)";#N/A,#N/A,TRUE,"article (3600)";#N/A,#N/A,TRUE,"article (3700)";#N/A,#N/A,TRUE,"article (3900)";#N/A,#N/A,TRUE,"new products";#N/A,#N/A,TRUE,"MC 1 3rd (4800)";#N/A,#N/A,TRUE,"MC 1 OEM_PL (4900)";#N/A,#N/A,TRUE,"countries (full)";#N/A,#N/A,TRUE,"Top 25";#N/A,#N/A,TRUE,"key-figures"}</definedName>
    <definedName name="wrn.Monthly._.MIS._.Fa.74." hidden="1">{#N/A,#N/A,TRUE,"Overview";#N/A,#N/A,TRUE,"P&amp;L summary";#N/A,#N/A,TRUE,"pers.exp._op. inc._interest";#N/A,#N/A,TRUE,"op. expenses";#N/A,#N/A,TRUE,"non-op. inc_expense";#N/A,#N/A,TRUE,"balance sheet";#N/A,#N/A,TRUE,"article (3500)";#N/A,#N/A,TRUE,"article (3600)";#N/A,#N/A,TRUE,"article (3700)";#N/A,#N/A,TRUE,"article (3900)";#N/A,#N/A,TRUE,"new products";#N/A,#N/A,TRUE,"MC 1 3rd (4800)";#N/A,#N/A,TRUE,"MC 1 OEM_PL (4900)";#N/A,#N/A,TRUE,"countries (full)";#N/A,#N/A,TRUE,"Top 25";#N/A,#N/A,TRUE,"key-figures"}</definedName>
    <definedName name="wrn.Monthly._.MIS._.Fa.78_20_21." localSheetId="0" hidden="1">{#N/A,#N/A,TRUE,"Overview";#N/A,#N/A,TRUE,"P&amp;L summary";#N/A,#N/A,TRUE,"pers.exp._op. inc._interest";#N/A,#N/A,TRUE,"op. expenses";#N/A,#N/A,TRUE,"non-op. inc_expense";#N/A,#N/A,TRUE,"balance sheet";#N/A,#N/A,TRUE,"article (3500)";#N/A,#N/A,TRUE,"new products";#N/A,#N/A,TRUE,"MC 1 3rd (4800)";#N/A,#N/A,TRUE,"countries (Europe)";#N/A,#N/A,TRUE,"Top 25";#N/A,#N/A,TRUE,"key-figures"}</definedName>
    <definedName name="wrn.Monthly._.MIS._.Fa.78_20_21." localSheetId="6" hidden="1">{#N/A,#N/A,TRUE,"Overview";#N/A,#N/A,TRUE,"P&amp;L summary";#N/A,#N/A,TRUE,"pers.exp._op. inc._interest";#N/A,#N/A,TRUE,"op. expenses";#N/A,#N/A,TRUE,"non-op. inc_expense";#N/A,#N/A,TRUE,"balance sheet";#N/A,#N/A,TRUE,"article (3500)";#N/A,#N/A,TRUE,"new products";#N/A,#N/A,TRUE,"MC 1 3rd (4800)";#N/A,#N/A,TRUE,"countries (Europe)";#N/A,#N/A,TRUE,"Top 25";#N/A,#N/A,TRUE,"key-figures"}</definedName>
    <definedName name="wrn.Monthly._.MIS._.Fa.78_20_21." hidden="1">{#N/A,#N/A,TRUE,"Overview";#N/A,#N/A,TRUE,"P&amp;L summary";#N/A,#N/A,TRUE,"pers.exp._op. inc._interest";#N/A,#N/A,TRUE,"op. expenses";#N/A,#N/A,TRUE,"non-op. inc_expense";#N/A,#N/A,TRUE,"balance sheet";#N/A,#N/A,TRUE,"article (3500)";#N/A,#N/A,TRUE,"new products";#N/A,#N/A,TRUE,"MC 1 3rd (4800)";#N/A,#N/A,TRUE,"countries (Europe)";#N/A,#N/A,TRUE,"Top 25";#N/A,#N/A,TRUE,"key-figures"}</definedName>
    <definedName name="wrn.Monthly._.Report." localSheetId="6" hidden="1">{#N/A,#N/A,FALSE,"Monthly";#N/A,#N/A,FALSE,"Hong Kong";#N/A,#N/A,FALSE,"New York";#N/A,#N/A,FALSE,"London";#N/A,#N/A,FALSE,"Singapore";#N/A,#N/A,FALSE,"Australia";#N/A,#N/A,FALSE,"Korea"}</definedName>
    <definedName name="wrn.Monthly._.Report." hidden="1">{#N/A,#N/A,FALSE,"Monthly";#N/A,#N/A,FALSE,"Hong Kong";#N/A,#N/A,FALSE,"New York";#N/A,#N/A,FALSE,"London";#N/A,#N/A,FALSE,"Singapore";#N/A,#N/A,FALSE,"Australia";#N/A,#N/A,FALSE,"Korea"}</definedName>
    <definedName name="wrn.Monthly._.report._.Group." localSheetId="6" hidden="1">{"Page 1",#N/A,FALSE,"Page1";"Overw",#N/A,FALSE,"Overw";"OvW2",#N/A,FALSE,"Overw (2)";"Op Prof YTD",#N/A,FALSE,"Op Prof YTD";"Key ind",#N/A,FALSE,"Key-ind";"Market",#N/A,FALSE,"Market";"K fig 1",#N/A,FALSE,"K-fig 1";"K fig 2",#N/A,FALSE,"K-fig 2"}</definedName>
    <definedName name="wrn.Monthly._.report._.Group." hidden="1">{"Page 1",#N/A,FALSE,"Page1";"Overw",#N/A,FALSE,"Overw";"OvW2",#N/A,FALSE,"Overw (2)";"Op Prof YTD",#N/A,FALSE,"Op Prof YTD";"Key ind",#N/A,FALSE,"Key-ind";"Market",#N/A,FALSE,"Market";"K fig 1",#N/A,FALSE,"K-fig 1";"K fig 2",#N/A,FALSE,"K-fig 2"}</definedName>
    <definedName name="wrn.Multiples._.Calculation." localSheetId="0" hidden="1">{#N/A,#N/A,FALSE,"GCM Data Sum";#N/A,#N/A,FALSE,"TIC-Calculation";#N/A,#N/A,FALSE,"TIC  Multiples";#N/A,#N/A,FALSE,"P-E &amp; Price to Book Multiples";#N/A,#N/A,FALSE,"Margins-EBITDA-to-Growth"}</definedName>
    <definedName name="wrn.Multiples._.Calculation." localSheetId="6" hidden="1">{#N/A,#N/A,FALSE,"GCM Data Sum";#N/A,#N/A,FALSE,"TIC-Calculation";#N/A,#N/A,FALSE,"TIC  Multiples";#N/A,#N/A,FALSE,"P-E &amp; Price to Book Multiples";#N/A,#N/A,FALSE,"Margins-EBITDA-to-Growth"}</definedName>
    <definedName name="wrn.Multiples._.Calculation." hidden="1">{#N/A,#N/A,FALSE,"GCM Data Sum";#N/A,#N/A,FALSE,"TIC-Calculation";#N/A,#N/A,FALSE,"TIC  Multiples";#N/A,#N/A,FALSE,"P-E &amp; Price to Book Multiples";#N/A,#N/A,FALSE,"Margins-EBITDA-to-Growth"}</definedName>
    <definedName name="wrn.NAVEEN." localSheetId="0" hidden="1">{#N/A,#N/A,FALSE,"BS";#N/A,#N/A,FALSE,"PL";#N/A,#N/A,FALSE,"Schdl 1,2,3";#N/A,#N/A,FALSE,"Schd 4";#N/A,#N/A,FALSE,"Sch -5,6 (2)";#N/A,#N/A,FALSE,"Schd 7,8,9,10";#N/A,#N/A,FALSE,"Schd 11";#N/A,#N/A,FALSE,"schd 12, 13,14"}</definedName>
    <definedName name="wrn.NAVEEN." localSheetId="6" hidden="1">{#N/A,#N/A,FALSE,"BS";#N/A,#N/A,FALSE,"PL";#N/A,#N/A,FALSE,"Schdl 1,2,3";#N/A,#N/A,FALSE,"Schd 4";#N/A,#N/A,FALSE,"Sch -5,6 (2)";#N/A,#N/A,FALSE,"Schd 7,8,9,10";#N/A,#N/A,FALSE,"Schd 11";#N/A,#N/A,FALSE,"schd 12, 13,14"}</definedName>
    <definedName name="wrn.NAVEEN." hidden="1">{#N/A,#N/A,FALSE,"BS";#N/A,#N/A,FALSE,"PL";#N/A,#N/A,FALSE,"Schdl 1,2,3";#N/A,#N/A,FALSE,"Schd 4";#N/A,#N/A,FALSE,"Sch -5,6 (2)";#N/A,#N/A,FALSE,"Schd 7,8,9,10";#N/A,#N/A,FALSE,"Schd 11";#N/A,#N/A,FALSE,"schd 12, 13,14"}</definedName>
    <definedName name="wrn.NET._.CIRCULATION." localSheetId="6" hidden="1">{"NETCIRC",#N/A,FALSE,"Net CIrc";"NETCIRCMON",#N/A,FALSE,"Net CIrc"}</definedName>
    <definedName name="wrn.NET._.CIRCULATION." hidden="1">{"NETCIRC",#N/A,FALSE,"Net CIrc";"NETCIRCMON",#N/A,FALSE,"Net CIrc"}</definedName>
    <definedName name="wrn.new." localSheetId="0" hidden="1">{"rpt print",#N/A,FALSE,"MULTIPLE";#N/A,#N/A,FALSE,"ORFORM";#N/A,#N/A,FALSE,"MAC4843";#N/A,#N/A,FALSE,"M4843-2";#N/A,#N/A,FALSE,"M4843-2B";#N/A,#N/A,FALSE,"BCA "}</definedName>
    <definedName name="wrn.new." localSheetId="6" hidden="1">{"rpt print",#N/A,FALSE,"MULTIPLE";#N/A,#N/A,FALSE,"ORFORM";#N/A,#N/A,FALSE,"MAC4843";#N/A,#N/A,FALSE,"M4843-2";#N/A,#N/A,FALSE,"M4843-2B";#N/A,#N/A,FALSE,"BCA "}</definedName>
    <definedName name="wrn.new." hidden="1">{"rpt print",#N/A,FALSE,"MULTIPLE";#N/A,#N/A,FALSE,"ORFORM";#N/A,#N/A,FALSE,"MAC4843";#N/A,#N/A,FALSE,"M4843-2";#N/A,#N/A,FALSE,"M4843-2B";#N/A,#N/A,FALSE,"BCA "}</definedName>
    <definedName name="wrn.New._.York." localSheetId="0" hidden="1">{"NY PRICES",#N/A,FALSE,"CURRENT";"NY PRICES B",#N/A,FALSE,"CURRENT";"NY PRICES",#N/A,FALSE,"CONSTANT";"NY PRICES B",#N/A,FALSE,"CONSTANT"}</definedName>
    <definedName name="wrn.New._.York." localSheetId="6" hidden="1">{"NY PRICES",#N/A,FALSE,"CURRENT";"NY PRICES B",#N/A,FALSE,"CURRENT";"NY PRICES",#N/A,FALSE,"CONSTANT";"NY PRICES B",#N/A,FALSE,"CONSTANT"}</definedName>
    <definedName name="wrn.New._.York." hidden="1">{"NY PRICES",#N/A,FALSE,"CURRENT";"NY PRICES B",#N/A,FALSE,"CURRENT";"NY PRICES",#N/A,FALSE,"CONSTANT";"NY PRICES B",#N/A,FALSE,"CONSTANT"}</definedName>
    <definedName name="wrn.newest." localSheetId="6" hidden="1">{#N/A,#N/A,TRUE,"TS";#N/A,#N/A,TRUE,"Combo";#N/A,#N/A,TRUE,"FAIR";#N/A,#N/A,TRUE,"RBC";#N/A,#N/A,TRUE,"xxxx"}</definedName>
    <definedName name="wrn.newest." hidden="1">{#N/A,#N/A,TRUE,"TS";#N/A,#N/A,TRUE,"Combo";#N/A,#N/A,TRUE,"FAIR";#N/A,#N/A,TRUE,"RBC";#N/A,#N/A,TRUE,"xxxx"}</definedName>
    <definedName name="wrn.NORCROS." localSheetId="6" hidden="1">{"FRONT (NORCROS) (25)",#N/A,TRUE,"NORCROS";"P_AND_L (NORCROS) (25)",#N/A,TRUE,"NORCROS";"CASH_AND_VAL (NORCROS) (25)",#N/A,TRUE,"NORCROS";"SUMVAL (NORCROS) (23)",#N/A,TRUE,"NORCROS"}</definedName>
    <definedName name="wrn.NORCROS." hidden="1">{"FRONT (NORCROS) (25)",#N/A,TRUE,"NORCROS";"P_AND_L (NORCROS) (25)",#N/A,TRUE,"NORCROS";"CASH_AND_VAL (NORCROS) (25)",#N/A,TRUE,"NORCROS";"SUMVAL (NORCROS) (23)",#N/A,TRUE,"NORCROS"}</definedName>
    <definedName name="wrn.Normal." localSheetId="0" hidden="1">{#N/A,#N/A,FALSE,"Market Values I";#N/A,#N/A,FALSE,"Market Values II";#N/A,#N/A,FALSE,"DT Shareholding";#N/A,#N/A,FALSE,"Purchase of Sprint1";#N/A,#N/A,FALSE,"Purchase of Sprint2";#N/A,#N/A,FALSE,"Financial Impact1";#N/A,#N/A,FALSE,"Financial Impact2";#N/A,#N/A,FALSE,"Financial Impact3";#N/A,#N/A,FALSE,"Flowback"}</definedName>
    <definedName name="wrn.Normal." localSheetId="6" hidden="1">{#N/A,#N/A,FALSE,"Market Values I";#N/A,#N/A,FALSE,"Market Values II";#N/A,#N/A,FALSE,"DT Shareholding";#N/A,#N/A,FALSE,"Purchase of Sprint1";#N/A,#N/A,FALSE,"Purchase of Sprint2";#N/A,#N/A,FALSE,"Financial Impact1";#N/A,#N/A,FALSE,"Financial Impact2";#N/A,#N/A,FALSE,"Financial Impact3";#N/A,#N/A,FALSE,"Flowback"}</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WE._.1995." localSheetId="0" hidden="1">{"input",#N/A,TRUE,"1995 Quality";"basedata",#N/A,TRUE,"1995 Quality";"diff",#N/A,TRUE,"1995 Quality"}</definedName>
    <definedName name="wrn.NWE._.1995." localSheetId="6" hidden="1">{"input",#N/A,TRUE,"1995 Quality";"basedata",#N/A,TRUE,"1995 Quality";"diff",#N/A,TRUE,"1995 Quality"}</definedName>
    <definedName name="wrn.NWE._.1995." hidden="1">{"input",#N/A,TRUE,"1995 Quality";"basedata",#N/A,TRUE,"1995 Quality";"diff",#N/A,TRUE,"1995 Quality"}</definedName>
    <definedName name="wrn.NWE._.2000." localSheetId="0" hidden="1">{"input",#N/A,FALSE,"Year 2000";"basedata",#N/A,FALSE,"Year 2000";"diff",#N/A,FALSE,"Year 2000"}</definedName>
    <definedName name="wrn.NWE._.2000." localSheetId="6" hidden="1">{"input",#N/A,FALSE,"Year 2000";"basedata",#N/A,FALSE,"Year 2000";"diff",#N/A,FALSE,"Year 2000"}</definedName>
    <definedName name="wrn.NWE._.2000." hidden="1">{"input",#N/A,FALSE,"Year 2000";"basedata",#N/A,FALSE,"Year 2000";"diff",#N/A,FALSE,"Year 2000"}</definedName>
    <definedName name="wrn.nytaann." localSheetId="0" hidden="1">{"nytacash",#N/A,FALSE,"GLOBEINC";"nytainc",#N/A,FALSE,"GLOBEINC";"nytanyt",#N/A,FALSE,"GLOBEINC";"nytareg",#N/A,FALSE,"GLOBEINC";"nytaglobe",#N/A,FALSE,"GLOBEINC";"nytapprttl",#N/A,FALSE,"GLOBEINC"}</definedName>
    <definedName name="wrn.nytaann." localSheetId="6" hidden="1">{"nytacash",#N/A,FALSE,"GLOBEINC";"nytainc",#N/A,FALSE,"GLOBEINC";"nytanyt",#N/A,FALSE,"GLOBEINC";"nytareg",#N/A,FALSE,"GLOBEINC";"nytaglobe",#N/A,FALSE,"GLOBEINC";"nytapprttl",#N/A,FALSE,"GLOBEINC"}</definedName>
    <definedName name="wrn.nytaann." hidden="1">{"nytacash",#N/A,FALSE,"GLOBEINC";"nytainc",#N/A,FALSE,"GLOBEINC";"nytanyt",#N/A,FALSE,"GLOBEINC";"nytareg",#N/A,FALSE,"GLOBEINC";"nytaglobe",#N/A,FALSE,"GLOBEINC";"nytapprttl",#N/A,FALSE,"GLOBEINC"}</definedName>
    <definedName name="wrn.Occupancy._.Calcs." localSheetId="6" hidden="1">{#N/A,#N/A,FALSE,"Occ. Calcs"}</definedName>
    <definedName name="wrn.Occupancy._.Calcs." hidden="1">{#N/A,#N/A,FALSE,"Occ. Calcs"}</definedName>
    <definedName name="wrn.OCS._.REPORT." localSheetId="6" hidden="1">{#N/A,#N/A,FALSE,"Cover";#N/A,#N/A,FALSE,"Index";#N/A,#N/A,FALSE,"Spec";#N/A,#N/A,FALSE,"Breakdown";#N/A,#N/A,FALSE,"Cost Plan"}</definedName>
    <definedName name="wrn.OCS._.REPORT." hidden="1">{#N/A,#N/A,FALSE,"Cover";#N/A,#N/A,FALSE,"Index";#N/A,#N/A,FALSE,"Spec";#N/A,#N/A,FALSE,"Breakdown";#N/A,#N/A,FALSE,"Cost Plan"}</definedName>
    <definedName name="wrn.offering." localSheetId="0" hidden="1">{"nwp1",#N/A,FALSE,"pro forma offering";"first sensitivity",#N/A,FALSE,"pro forma offering";"summary",#N/A,FALSE,"pro forma offering";"ownership",#N/A,FALSE,"pro forma offering";"pf1",#N/A,FALSE,"pro forma offering";"data tables",#N/A,FALSE,"pro forma offering"}</definedName>
    <definedName name="wrn.offering." localSheetId="6" hidden="1">{"nwp1",#N/A,FALSE,"pro forma offering";"first sensitivity",#N/A,FALSE,"pro forma offering";"summary",#N/A,FALSE,"pro forma offering";"ownership",#N/A,FALSE,"pro forma offering";"pf1",#N/A,FALSE,"pro forma offering";"data tables",#N/A,FALSE,"pro forma offering"}</definedName>
    <definedName name="wrn.offering." hidden="1">{"nwp1",#N/A,FALSE,"pro forma offering";"first sensitivity",#N/A,FALSE,"pro forma offering";"summary",#N/A,FALSE,"pro forma offering";"ownership",#N/A,FALSE,"pro forma offering";"pf1",#N/A,FALSE,"pro forma offering";"data tables",#N/A,FALSE,"pro forma offering"}</definedName>
    <definedName name="wrn.Olk._.by._.Qtr." localSheetId="0" hidden="1">{"Olk by Qtr Full",#N/A,FALSE,"Tot PalmPalm";"Olk by Qtr Full",#N/A,FALSE,"Tot Device";"Olk by Qtr Full",#N/A,FALSE,"Platform";"Olk by Qtr Full",#N/A,FALSE,"Palm.Net";"Olk by Qtr Full",#N/A,FALSE,"Elim"}</definedName>
    <definedName name="wrn.Olk._.by._.Qtr." localSheetId="6"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man._.Trading._.One._.year._.Budget." localSheetId="6" hidden="1">{#N/A,#N/A,TRUE,"Production &amp; Sales";#N/A,#N/A,TRUE,"Variable cost details";#N/A,#N/A,TRUE,"Variable cost sammary";#N/A,#N/A,TRUE,"Depreciation";#N/A,#N/A,TRUE,"Fixed cost details";#N/A,#N/A,TRUE,"Fixed cost sammary";#N/A,#N/A,TRUE,"Budget Sammary"}</definedName>
    <definedName name="wrn.Oman._.Trading._.One._.year._.Budget." hidden="1">{#N/A,#N/A,TRUE,"Production &amp; Sales";#N/A,#N/A,TRUE,"Variable cost details";#N/A,#N/A,TRUE,"Variable cost sammary";#N/A,#N/A,TRUE,"Depreciation";#N/A,#N/A,TRUE,"Fixed cost details";#N/A,#N/A,TRUE,"Fixed cost sammary";#N/A,#N/A,TRUE,"Budget Sammary"}</definedName>
    <definedName name="wrn.Oncology." localSheetId="0" hidden="1">{#N/A,#N/A,FALSE,"Onco";#N/A,#N/A,FALSE,"Taxol";#N/A,#N/A,FALSE,"UFT";#N/A,#N/A,FALSE,"Carb"}</definedName>
    <definedName name="wrn.Oncology." localSheetId="6" hidden="1">{#N/A,#N/A,FALSE,"Onco";#N/A,#N/A,FALSE,"Taxol";#N/A,#N/A,FALSE,"UFT";#N/A,#N/A,FALSE,"Carb"}</definedName>
    <definedName name="wrn.Oncology." hidden="1">{#N/A,#N/A,FALSE,"Onco";#N/A,#N/A,FALSE,"Taxol";#N/A,#N/A,FALSE,"UFT";#N/A,#N/A,FALSE,"Carb"}</definedName>
    <definedName name="wrn.Oncology._1" localSheetId="0" hidden="1">{#N/A,#N/A,FALSE,"Onco";#N/A,#N/A,FALSE,"Taxol";#N/A,#N/A,FALSE,"UFT";#N/A,#N/A,FALSE,"Carb"}</definedName>
    <definedName name="wrn.Oncology._1" localSheetId="6" hidden="1">{#N/A,#N/A,FALSE,"Onco";#N/A,#N/A,FALSE,"Taxol";#N/A,#N/A,FALSE,"UFT";#N/A,#N/A,FALSE,"Carb"}</definedName>
    <definedName name="wrn.Oncology._1" hidden="1">{#N/A,#N/A,FALSE,"Onco";#N/A,#N/A,FALSE,"Taxol";#N/A,#N/A,FALSE,"UFT";#N/A,#N/A,FALSE,"Carb"}</definedName>
    <definedName name="wrn.Oncology._1_1" localSheetId="0" hidden="1">{#N/A,#N/A,FALSE,"Onco";#N/A,#N/A,FALSE,"Taxol";#N/A,#N/A,FALSE,"UFT";#N/A,#N/A,FALSE,"Carb"}</definedName>
    <definedName name="wrn.Oncology._1_1" localSheetId="6" hidden="1">{#N/A,#N/A,FALSE,"Onco";#N/A,#N/A,FALSE,"Taxol";#N/A,#N/A,FALSE,"UFT";#N/A,#N/A,FALSE,"Carb"}</definedName>
    <definedName name="wrn.Oncology._1_1" hidden="1">{#N/A,#N/A,FALSE,"Onco";#N/A,#N/A,FALSE,"Taxol";#N/A,#N/A,FALSE,"UFT";#N/A,#N/A,FALSE,"Carb"}</definedName>
    <definedName name="wrn.Oncology._2" localSheetId="0" hidden="1">{#N/A,#N/A,FALSE,"Onco";#N/A,#N/A,FALSE,"Taxol";#N/A,#N/A,FALSE,"UFT";#N/A,#N/A,FALSE,"Carb"}</definedName>
    <definedName name="wrn.Oncology._2" localSheetId="6" hidden="1">{#N/A,#N/A,FALSE,"Onco";#N/A,#N/A,FALSE,"Taxol";#N/A,#N/A,FALSE,"UFT";#N/A,#N/A,FALSE,"Carb"}</definedName>
    <definedName name="wrn.Oncology._2" hidden="1">{#N/A,#N/A,FALSE,"Onco";#N/A,#N/A,FALSE,"Taxol";#N/A,#N/A,FALSE,"UFT";#N/A,#N/A,FALSE,"Carb"}</definedName>
    <definedName name="wrn.Oncology._3" localSheetId="0" hidden="1">{#N/A,#N/A,FALSE,"Onco";#N/A,#N/A,FALSE,"Taxol";#N/A,#N/A,FALSE,"UFT";#N/A,#N/A,FALSE,"Carb"}</definedName>
    <definedName name="wrn.Oncology._3" localSheetId="6" hidden="1">{#N/A,#N/A,FALSE,"Onco";#N/A,#N/A,FALSE,"Taxol";#N/A,#N/A,FALSE,"UFT";#N/A,#N/A,FALSE,"Carb"}</definedName>
    <definedName name="wrn.Oncology._3" hidden="1">{#N/A,#N/A,FALSE,"Onco";#N/A,#N/A,FALSE,"Taxol";#N/A,#N/A,FALSE,"UFT";#N/A,#N/A,FALSE,"Carb"}</definedName>
    <definedName name="wrn.Oncology._4" localSheetId="0" hidden="1">{#N/A,#N/A,FALSE,"Onco";#N/A,#N/A,FALSE,"Taxol";#N/A,#N/A,FALSE,"UFT";#N/A,#N/A,FALSE,"Carb"}</definedName>
    <definedName name="wrn.Oncology._4" localSheetId="6" hidden="1">{#N/A,#N/A,FALSE,"Onco";#N/A,#N/A,FALSE,"Taxol";#N/A,#N/A,FALSE,"UFT";#N/A,#N/A,FALSE,"Carb"}</definedName>
    <definedName name="wrn.Oncology._4" hidden="1">{#N/A,#N/A,FALSE,"Onco";#N/A,#N/A,FALSE,"Taxol";#N/A,#N/A,FALSE,"UFT";#N/A,#N/A,FALSE,"Carb"}</definedName>
    <definedName name="wrn.Oncology._5" localSheetId="0" hidden="1">{#N/A,#N/A,FALSE,"Onco";#N/A,#N/A,FALSE,"Taxol";#N/A,#N/A,FALSE,"UFT";#N/A,#N/A,FALSE,"Carb"}</definedName>
    <definedName name="wrn.Oncology._5" localSheetId="6" hidden="1">{#N/A,#N/A,FALSE,"Onco";#N/A,#N/A,FALSE,"Taxol";#N/A,#N/A,FALSE,"UFT";#N/A,#N/A,FALSE,"Carb"}</definedName>
    <definedName name="wrn.Oncology._5" hidden="1">{#N/A,#N/A,FALSE,"Onco";#N/A,#N/A,FALSE,"Taxol";#N/A,#N/A,FALSE,"UFT";#N/A,#N/A,FALSE,"Carb"}</definedName>
    <definedName name="wrn.one." localSheetId="0" hidden="1">{"page1",#N/A,FALSE,"A";"page2",#N/A,FALSE,"A"}</definedName>
    <definedName name="wrn.one." localSheetId="6" hidden="1">{"page1",#N/A,FALSE,"A";"page2",#N/A,FALSE,"A"}</definedName>
    <definedName name="wrn.one." hidden="1">{"page1",#N/A,FALSE,"A";"page2",#N/A,FALSE,"A"}</definedName>
    <definedName name="wrn.Operating._.Period._.Summary." localSheetId="6" hidden="1">{#N/A,#N/A,FALSE,"Operating Period"}</definedName>
    <definedName name="wrn.Operating._.Period._.Summary." hidden="1">{#N/A,#N/A,FALSE,"Operating Period"}</definedName>
    <definedName name="wrn.ORFORMS." localSheetId="0" hidden="1">{#N/A,#N/A,FALSE,"MAC4843";#N/A,#N/A,FALSE,"M4843-1";#N/A,#N/A,FALSE,"M4843-1B";#N/A,#N/A,FALSE,"M4843-2";#N/A,#N/A,FALSE,"M4843-2B";#N/A,#N/A,FALSE,"M4843-3";#N/A,#N/A,FALSE,"M4843-4";#N/A,#N/A,FALSE,"M4843-5";#N/A,#N/A,FALSE,"M4843-5B ";#N/A,#N/A,FALSE,"Savings";#N/A,#N/A,FALSE,"FO-front";#N/A,#N/A,FALSE,"Estimate";#N/A,#N/A,FALSE,"Checklist";#N/A,#N/A,FALSE,"RFP";#N/A,#N/A,FALSE,"Sole Source";#N/A,#N/A,FALSE,"Equip List";#N/A,#N/A,FALSE,"PERSONAL NPV";#N/A,#N/A,FALSE,"MULTIPLE";#N/A,#N/A,FALSE,"BCA "}</definedName>
    <definedName name="wrn.ORFORMS." localSheetId="6" hidden="1">{#N/A,#N/A,FALSE,"MAC4843";#N/A,#N/A,FALSE,"M4843-1";#N/A,#N/A,FALSE,"M4843-1B";#N/A,#N/A,FALSE,"M4843-2";#N/A,#N/A,FALSE,"M4843-2B";#N/A,#N/A,FALSE,"M4843-3";#N/A,#N/A,FALSE,"M4843-4";#N/A,#N/A,FALSE,"M4843-5";#N/A,#N/A,FALSE,"M4843-5B ";#N/A,#N/A,FALSE,"Savings";#N/A,#N/A,FALSE,"FO-front";#N/A,#N/A,FALSE,"Estimate";#N/A,#N/A,FALSE,"Checklist";#N/A,#N/A,FALSE,"RFP";#N/A,#N/A,FALSE,"Sole Source";#N/A,#N/A,FALSE,"Equip List";#N/A,#N/A,FALSE,"PERSONAL NPV";#N/A,#N/A,FALSE,"MULTIPLE";#N/A,#N/A,FALSE,"BCA "}</definedName>
    <definedName name="wrn.ORFORMS." hidden="1">{#N/A,#N/A,FALSE,"MAC4843";#N/A,#N/A,FALSE,"M4843-1";#N/A,#N/A,FALSE,"M4843-1B";#N/A,#N/A,FALSE,"M4843-2";#N/A,#N/A,FALSE,"M4843-2B";#N/A,#N/A,FALSE,"M4843-3";#N/A,#N/A,FALSE,"M4843-4";#N/A,#N/A,FALSE,"M4843-5";#N/A,#N/A,FALSE,"M4843-5B ";#N/A,#N/A,FALSE,"Savings";#N/A,#N/A,FALSE,"FO-front";#N/A,#N/A,FALSE,"Estimate";#N/A,#N/A,FALSE,"Checklist";#N/A,#N/A,FALSE,"RFP";#N/A,#N/A,FALSE,"Sole Source";#N/A,#N/A,FALSE,"Equip List";#N/A,#N/A,FALSE,"PERSONAL NPV";#N/A,#N/A,FALSE,"MULTIPLE";#N/A,#N/A,FALSE,"BCA "}</definedName>
    <definedName name="wrn.OTC._.Market._.Report." localSheetId="0" hidden="1">{#N/A,#N/A,FALSE,"Sales Graph";#N/A,#N/A,FALSE,"BUC Graph";#N/A,#N/A,FALSE,"P&amp;L - YTD"}</definedName>
    <definedName name="wrn.OTC._.Market._.Report." localSheetId="6" hidden="1">{#N/A,#N/A,FALSE,"Sales Graph";#N/A,#N/A,FALSE,"BUC Graph";#N/A,#N/A,FALSE,"P&amp;L - YTD"}</definedName>
    <definedName name="wrn.OTC._.Market._.Report." hidden="1">{#N/A,#N/A,FALSE,"Sales Graph";#N/A,#N/A,FALSE,"BUC Graph";#N/A,#N/A,FALSE,"P&amp;L - YTD"}</definedName>
    <definedName name="wrn.OTC._.Market._.Report._1" localSheetId="0" hidden="1">{#N/A,#N/A,FALSE,"Sales Graph";#N/A,#N/A,FALSE,"BUC Graph";#N/A,#N/A,FALSE,"P&amp;L - YTD"}</definedName>
    <definedName name="wrn.OTC._.Market._.Report._1" localSheetId="6" hidden="1">{#N/A,#N/A,FALSE,"Sales Graph";#N/A,#N/A,FALSE,"BUC Graph";#N/A,#N/A,FALSE,"P&amp;L - YTD"}</definedName>
    <definedName name="wrn.OTC._.Market._.Report._1" hidden="1">{#N/A,#N/A,FALSE,"Sales Graph";#N/A,#N/A,FALSE,"BUC Graph";#N/A,#N/A,FALSE,"P&amp;L - YTD"}</definedName>
    <definedName name="wrn.OTC._.Market._.Report._1_1" localSheetId="0" hidden="1">{#N/A,#N/A,FALSE,"Sales Graph";#N/A,#N/A,FALSE,"BUC Graph";#N/A,#N/A,FALSE,"P&amp;L - YTD"}</definedName>
    <definedName name="wrn.OTC._.Market._.Report._1_1" localSheetId="6" hidden="1">{#N/A,#N/A,FALSE,"Sales Graph";#N/A,#N/A,FALSE,"BUC Graph";#N/A,#N/A,FALSE,"P&amp;L - YTD"}</definedName>
    <definedName name="wrn.OTC._.Market._.Report._1_1" hidden="1">{#N/A,#N/A,FALSE,"Sales Graph";#N/A,#N/A,FALSE,"BUC Graph";#N/A,#N/A,FALSE,"P&amp;L - YTD"}</definedName>
    <definedName name="wrn.OTC._.Market._.Report._2" localSheetId="0" hidden="1">{#N/A,#N/A,FALSE,"Sales Graph";#N/A,#N/A,FALSE,"BUC Graph";#N/A,#N/A,FALSE,"P&amp;L - YTD"}</definedName>
    <definedName name="wrn.OTC._.Market._.Report._2" localSheetId="6" hidden="1">{#N/A,#N/A,FALSE,"Sales Graph";#N/A,#N/A,FALSE,"BUC Graph";#N/A,#N/A,FALSE,"P&amp;L - YTD"}</definedName>
    <definedName name="wrn.OTC._.Market._.Report._2" hidden="1">{#N/A,#N/A,FALSE,"Sales Graph";#N/A,#N/A,FALSE,"BUC Graph";#N/A,#N/A,FALSE,"P&amp;L - YTD"}</definedName>
    <definedName name="wrn.OTC._.Market._.Report._3" localSheetId="0" hidden="1">{#N/A,#N/A,FALSE,"Sales Graph";#N/A,#N/A,FALSE,"BUC Graph";#N/A,#N/A,FALSE,"P&amp;L - YTD"}</definedName>
    <definedName name="wrn.OTC._.Market._.Report._3" localSheetId="6" hidden="1">{#N/A,#N/A,FALSE,"Sales Graph";#N/A,#N/A,FALSE,"BUC Graph";#N/A,#N/A,FALSE,"P&amp;L - YTD"}</definedName>
    <definedName name="wrn.OTC._.Market._.Report._3" hidden="1">{#N/A,#N/A,FALSE,"Sales Graph";#N/A,#N/A,FALSE,"BUC Graph";#N/A,#N/A,FALSE,"P&amp;L - YTD"}</definedName>
    <definedName name="wrn.OTC._.Market._.Report._4" localSheetId="0" hidden="1">{#N/A,#N/A,FALSE,"Sales Graph";#N/A,#N/A,FALSE,"BUC Graph";#N/A,#N/A,FALSE,"P&amp;L - YTD"}</definedName>
    <definedName name="wrn.OTC._.Market._.Report._4" localSheetId="6" hidden="1">{#N/A,#N/A,FALSE,"Sales Graph";#N/A,#N/A,FALSE,"BUC Graph";#N/A,#N/A,FALSE,"P&amp;L - YTD"}</definedName>
    <definedName name="wrn.OTC._.Market._.Report._4" hidden="1">{#N/A,#N/A,FALSE,"Sales Graph";#N/A,#N/A,FALSE,"BUC Graph";#N/A,#N/A,FALSE,"P&amp;L - YTD"}</definedName>
    <definedName name="wrn.OTC._.Market._.Report._5" localSheetId="0" hidden="1">{#N/A,#N/A,FALSE,"Sales Graph";#N/A,#N/A,FALSE,"BUC Graph";#N/A,#N/A,FALSE,"P&amp;L - YTD"}</definedName>
    <definedName name="wrn.OTC._.Market._.Report._5" localSheetId="6" hidden="1">{#N/A,#N/A,FALSE,"Sales Graph";#N/A,#N/A,FALSE,"BUC Graph";#N/A,#N/A,FALSE,"P&amp;L - YTD"}</definedName>
    <definedName name="wrn.OTC._.Market._.Report._5" hidden="1">{#N/A,#N/A,FALSE,"Sales Graph";#N/A,#N/A,FALSE,"BUC Graph";#N/A,#N/A,FALSE,"P&amp;L - YTD"}</definedName>
    <definedName name="wrn.Other._.Pharm." localSheetId="0" hidden="1">{#N/A,#N/A,FALSE,"Other";#N/A,#N/A,FALSE,"Ace";#N/A,#N/A,FALSE,"Derm"}</definedName>
    <definedName name="wrn.Other._.Pharm." localSheetId="6" hidden="1">{#N/A,#N/A,FALSE,"Other";#N/A,#N/A,FALSE,"Ace";#N/A,#N/A,FALSE,"Derm"}</definedName>
    <definedName name="wrn.Other._.Pharm." hidden="1">{#N/A,#N/A,FALSE,"Other";#N/A,#N/A,FALSE,"Ace";#N/A,#N/A,FALSE,"Derm"}</definedName>
    <definedName name="wrn.Other._.Pharm._1" localSheetId="0" hidden="1">{#N/A,#N/A,FALSE,"Other";#N/A,#N/A,FALSE,"Ace";#N/A,#N/A,FALSE,"Derm"}</definedName>
    <definedName name="wrn.Other._.Pharm._1" localSheetId="6" hidden="1">{#N/A,#N/A,FALSE,"Other";#N/A,#N/A,FALSE,"Ace";#N/A,#N/A,FALSE,"Derm"}</definedName>
    <definedName name="wrn.Other._.Pharm._1" hidden="1">{#N/A,#N/A,FALSE,"Other";#N/A,#N/A,FALSE,"Ace";#N/A,#N/A,FALSE,"Derm"}</definedName>
    <definedName name="wrn.Other._.Pharm._1_1" localSheetId="0" hidden="1">{#N/A,#N/A,FALSE,"Other";#N/A,#N/A,FALSE,"Ace";#N/A,#N/A,FALSE,"Derm"}</definedName>
    <definedName name="wrn.Other._.Pharm._1_1" localSheetId="6" hidden="1">{#N/A,#N/A,FALSE,"Other";#N/A,#N/A,FALSE,"Ace";#N/A,#N/A,FALSE,"Derm"}</definedName>
    <definedName name="wrn.Other._.Pharm._1_1" hidden="1">{#N/A,#N/A,FALSE,"Other";#N/A,#N/A,FALSE,"Ace";#N/A,#N/A,FALSE,"Derm"}</definedName>
    <definedName name="wrn.Other._.Pharm._2" localSheetId="0" hidden="1">{#N/A,#N/A,FALSE,"Other";#N/A,#N/A,FALSE,"Ace";#N/A,#N/A,FALSE,"Derm"}</definedName>
    <definedName name="wrn.Other._.Pharm._2" localSheetId="6" hidden="1">{#N/A,#N/A,FALSE,"Other";#N/A,#N/A,FALSE,"Ace";#N/A,#N/A,FALSE,"Derm"}</definedName>
    <definedName name="wrn.Other._.Pharm._2" hidden="1">{#N/A,#N/A,FALSE,"Other";#N/A,#N/A,FALSE,"Ace";#N/A,#N/A,FALSE,"Derm"}</definedName>
    <definedName name="wrn.Other._.Pharm._3" localSheetId="0" hidden="1">{#N/A,#N/A,FALSE,"Other";#N/A,#N/A,FALSE,"Ace";#N/A,#N/A,FALSE,"Derm"}</definedName>
    <definedName name="wrn.Other._.Pharm._3" localSheetId="6" hidden="1">{#N/A,#N/A,FALSE,"Other";#N/A,#N/A,FALSE,"Ace";#N/A,#N/A,FALSE,"Derm"}</definedName>
    <definedName name="wrn.Other._.Pharm._3" hidden="1">{#N/A,#N/A,FALSE,"Other";#N/A,#N/A,FALSE,"Ace";#N/A,#N/A,FALSE,"Derm"}</definedName>
    <definedName name="wrn.Other._.Pharm._4" localSheetId="0" hidden="1">{#N/A,#N/A,FALSE,"Other";#N/A,#N/A,FALSE,"Ace";#N/A,#N/A,FALSE,"Derm"}</definedName>
    <definedName name="wrn.Other._.Pharm._4" localSheetId="6" hidden="1">{#N/A,#N/A,FALSE,"Other";#N/A,#N/A,FALSE,"Ace";#N/A,#N/A,FALSE,"Derm"}</definedName>
    <definedName name="wrn.Other._.Pharm._4" hidden="1">{#N/A,#N/A,FALSE,"Other";#N/A,#N/A,FALSE,"Ace";#N/A,#N/A,FALSE,"Derm"}</definedName>
    <definedName name="wrn.Other._.Pharm._5" localSheetId="0" hidden="1">{#N/A,#N/A,FALSE,"Other";#N/A,#N/A,FALSE,"Ace";#N/A,#N/A,FALSE,"Derm"}</definedName>
    <definedName name="wrn.Other._.Pharm._5" localSheetId="6" hidden="1">{#N/A,#N/A,FALSE,"Other";#N/A,#N/A,FALSE,"Ace";#N/A,#N/A,FALSE,"Derm"}</definedName>
    <definedName name="wrn.Other._.Pharm._5" hidden="1">{#N/A,#N/A,FALSE,"Other";#N/A,#N/A,FALSE,"Ace";#N/A,#N/A,FALSE,"Derm"}</definedName>
    <definedName name="wrn.OUTLOOK._.vs._.ACT." localSheetId="0" hidden="1">{#N/A,#N/A,TRUE,"CUSTHOT";#N/A,#N/A,TRUE,"CUSTEXT";#N/A,#N/A,TRUE,"CUSTCOE";#N/A,#N/A,TRUE,"CUSTPRN";#N/A,#N/A,TRUE,"CUSTALU";#N/A,#N/A,TRUE,"CUSTREC";#N/A,#N/A,TRUE,"CUSTPAK";#N/A,#N/A,TRUE,"CUSTOTH ";#N/A,#N/A,TRUE,"CUSTTOT"}</definedName>
    <definedName name="wrn.OUTLOOK._.vs._.ACT." localSheetId="6" hidden="1">{#N/A,#N/A,TRUE,"CUSTHOT";#N/A,#N/A,TRUE,"CUSTEXT";#N/A,#N/A,TRUE,"CUSTCOE";#N/A,#N/A,TRUE,"CUSTPRN";#N/A,#N/A,TRUE,"CUSTALU";#N/A,#N/A,TRUE,"CUSTREC";#N/A,#N/A,TRUE,"CUSTPAK";#N/A,#N/A,TRUE,"CUSTOTH ";#N/A,#N/A,TRUE,"CUSTTOT"}</definedName>
    <definedName name="wrn.OUTLOOK._.vs._.ACT." hidden="1">{#N/A,#N/A,TRUE,"CUSTHOT";#N/A,#N/A,TRUE,"CUSTEXT";#N/A,#N/A,TRUE,"CUSTCOE";#N/A,#N/A,TRUE,"CUSTPRN";#N/A,#N/A,TRUE,"CUSTALU";#N/A,#N/A,TRUE,"CUSTREC";#N/A,#N/A,TRUE,"CUSTPAK";#N/A,#N/A,TRUE,"CUSTOTH ";#N/A,#N/A,TRUE,"CUSTTOT"}</definedName>
    <definedName name="wrn.Output." localSheetId="0"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 localSheetId="6"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outputs." localSheetId="0" hidden="1">{#N/A,#N/A,FALSE,"Outputs"}</definedName>
    <definedName name="wrn.outputs." localSheetId="6" hidden="1">{#N/A,#N/A,FALSE,"Outputs"}</definedName>
    <definedName name="wrn.outputs." hidden="1">{#N/A,#N/A,FALSE,"Outputs"}</definedName>
    <definedName name="wrn.p" localSheetId="0" hidden="1">{#N/A,#N/A,FALSE,"1";#N/A,#N/A,FALSE,"2";#N/A,#N/A,FALSE,"16 - 17";#N/A,#N/A,FALSE,"18 - 19";#N/A,#N/A,FALSE,"26";#N/A,#N/A,FALSE,"27";#N/A,#N/A,FALSE,"28"}</definedName>
    <definedName name="wrn.p" localSheetId="6" hidden="1">{#N/A,#N/A,FALSE,"1";#N/A,#N/A,FALSE,"2";#N/A,#N/A,FALSE,"16 - 17";#N/A,#N/A,FALSE,"18 - 19";#N/A,#N/A,FALSE,"26";#N/A,#N/A,FALSE,"27";#N/A,#N/A,FALSE,"28"}</definedName>
    <definedName name="wrn.p" hidden="1">{#N/A,#N/A,FALSE,"1";#N/A,#N/A,FALSE,"2";#N/A,#N/A,FALSE,"16 - 17";#N/A,#N/A,FALSE,"18 - 19";#N/A,#N/A,FALSE,"26";#N/A,#N/A,FALSE,"27";#N/A,#N/A,FALSE,"28"}</definedName>
    <definedName name="wrn.P._.and._.L._.halfyearly." localSheetId="0" hidden="1">{"P and L halfyearly",#N/A,FALSE,"Master"}</definedName>
    <definedName name="wrn.P._.and._.L._.halfyearly." localSheetId="6" hidden="1">{"P and L halfyearly",#N/A,FALSE,"Master"}</definedName>
    <definedName name="wrn.P._.and._.L._.halfyearly." hidden="1">{"P and L halfyearly",#N/A,FALSE,"Master"}</definedName>
    <definedName name="wrn.p_1" localSheetId="0" hidden="1">{#N/A,#N/A,FALSE,"1";#N/A,#N/A,FALSE,"2";#N/A,#N/A,FALSE,"16 - 17";#N/A,#N/A,FALSE,"18 - 19";#N/A,#N/A,FALSE,"26";#N/A,#N/A,FALSE,"27";#N/A,#N/A,FALSE,"28"}</definedName>
    <definedName name="wrn.p_1" localSheetId="6" hidden="1">{#N/A,#N/A,FALSE,"1";#N/A,#N/A,FALSE,"2";#N/A,#N/A,FALSE,"16 - 17";#N/A,#N/A,FALSE,"18 - 19";#N/A,#N/A,FALSE,"26";#N/A,#N/A,FALSE,"27";#N/A,#N/A,FALSE,"28"}</definedName>
    <definedName name="wrn.p_1" hidden="1">{#N/A,#N/A,FALSE,"1";#N/A,#N/A,FALSE,"2";#N/A,#N/A,FALSE,"16 - 17";#N/A,#N/A,FALSE,"18 - 19";#N/A,#N/A,FALSE,"26";#N/A,#N/A,FALSE,"27";#N/A,#N/A,FALSE,"28"}</definedName>
    <definedName name="wrn.p_1_1" localSheetId="0" hidden="1">{#N/A,#N/A,FALSE,"1";#N/A,#N/A,FALSE,"2";#N/A,#N/A,FALSE,"16 - 17";#N/A,#N/A,FALSE,"18 - 19";#N/A,#N/A,FALSE,"26";#N/A,#N/A,FALSE,"27";#N/A,#N/A,FALSE,"28"}</definedName>
    <definedName name="wrn.p_1_1" localSheetId="6" hidden="1">{#N/A,#N/A,FALSE,"1";#N/A,#N/A,FALSE,"2";#N/A,#N/A,FALSE,"16 - 17";#N/A,#N/A,FALSE,"18 - 19";#N/A,#N/A,FALSE,"26";#N/A,#N/A,FALSE,"27";#N/A,#N/A,FALSE,"28"}</definedName>
    <definedName name="wrn.p_1_1" hidden="1">{#N/A,#N/A,FALSE,"1";#N/A,#N/A,FALSE,"2";#N/A,#N/A,FALSE,"16 - 17";#N/A,#N/A,FALSE,"18 - 19";#N/A,#N/A,FALSE,"26";#N/A,#N/A,FALSE,"27";#N/A,#N/A,FALSE,"28"}</definedName>
    <definedName name="wrn.p_2" localSheetId="0" hidden="1">{#N/A,#N/A,FALSE,"1";#N/A,#N/A,FALSE,"2";#N/A,#N/A,FALSE,"16 - 17";#N/A,#N/A,FALSE,"18 - 19";#N/A,#N/A,FALSE,"26";#N/A,#N/A,FALSE,"27";#N/A,#N/A,FALSE,"28"}</definedName>
    <definedName name="wrn.p_2" localSheetId="6" hidden="1">{#N/A,#N/A,FALSE,"1";#N/A,#N/A,FALSE,"2";#N/A,#N/A,FALSE,"16 - 17";#N/A,#N/A,FALSE,"18 - 19";#N/A,#N/A,FALSE,"26";#N/A,#N/A,FALSE,"27";#N/A,#N/A,FALSE,"28"}</definedName>
    <definedName name="wrn.p_2" hidden="1">{#N/A,#N/A,FALSE,"1";#N/A,#N/A,FALSE,"2";#N/A,#N/A,FALSE,"16 - 17";#N/A,#N/A,FALSE,"18 - 19";#N/A,#N/A,FALSE,"26";#N/A,#N/A,FALSE,"27";#N/A,#N/A,FALSE,"28"}</definedName>
    <definedName name="wrn.p_3" localSheetId="0" hidden="1">{#N/A,#N/A,FALSE,"1";#N/A,#N/A,FALSE,"2";#N/A,#N/A,FALSE,"16 - 17";#N/A,#N/A,FALSE,"18 - 19";#N/A,#N/A,FALSE,"26";#N/A,#N/A,FALSE,"27";#N/A,#N/A,FALSE,"28"}</definedName>
    <definedName name="wrn.p_3" localSheetId="6" hidden="1">{#N/A,#N/A,FALSE,"1";#N/A,#N/A,FALSE,"2";#N/A,#N/A,FALSE,"16 - 17";#N/A,#N/A,FALSE,"18 - 19";#N/A,#N/A,FALSE,"26";#N/A,#N/A,FALSE,"27";#N/A,#N/A,FALSE,"28"}</definedName>
    <definedName name="wrn.p_3" hidden="1">{#N/A,#N/A,FALSE,"1";#N/A,#N/A,FALSE,"2";#N/A,#N/A,FALSE,"16 - 17";#N/A,#N/A,FALSE,"18 - 19";#N/A,#N/A,FALSE,"26";#N/A,#N/A,FALSE,"27";#N/A,#N/A,FALSE,"28"}</definedName>
    <definedName name="wrn.p_4" localSheetId="0" hidden="1">{#N/A,#N/A,FALSE,"1";#N/A,#N/A,FALSE,"2";#N/A,#N/A,FALSE,"16 - 17";#N/A,#N/A,FALSE,"18 - 19";#N/A,#N/A,FALSE,"26";#N/A,#N/A,FALSE,"27";#N/A,#N/A,FALSE,"28"}</definedName>
    <definedName name="wrn.p_4" localSheetId="6" hidden="1">{#N/A,#N/A,FALSE,"1";#N/A,#N/A,FALSE,"2";#N/A,#N/A,FALSE,"16 - 17";#N/A,#N/A,FALSE,"18 - 19";#N/A,#N/A,FALSE,"26";#N/A,#N/A,FALSE,"27";#N/A,#N/A,FALSE,"28"}</definedName>
    <definedName name="wrn.p_4" hidden="1">{#N/A,#N/A,FALSE,"1";#N/A,#N/A,FALSE,"2";#N/A,#N/A,FALSE,"16 - 17";#N/A,#N/A,FALSE,"18 - 19";#N/A,#N/A,FALSE,"26";#N/A,#N/A,FALSE,"27";#N/A,#N/A,FALSE,"28"}</definedName>
    <definedName name="wrn.p_5" localSheetId="0" hidden="1">{#N/A,#N/A,FALSE,"1";#N/A,#N/A,FALSE,"2";#N/A,#N/A,FALSE,"16 - 17";#N/A,#N/A,FALSE,"18 - 19";#N/A,#N/A,FALSE,"26";#N/A,#N/A,FALSE,"27";#N/A,#N/A,FALSE,"28"}</definedName>
    <definedName name="wrn.p_5" localSheetId="6" hidden="1">{#N/A,#N/A,FALSE,"1";#N/A,#N/A,FALSE,"2";#N/A,#N/A,FALSE,"16 - 17";#N/A,#N/A,FALSE,"18 - 19";#N/A,#N/A,FALSE,"26";#N/A,#N/A,FALSE,"27";#N/A,#N/A,FALSE,"28"}</definedName>
    <definedName name="wrn.p_5" hidden="1">{#N/A,#N/A,FALSE,"1";#N/A,#N/A,FALSE,"2";#N/A,#N/A,FALSE,"16 - 17";#N/A,#N/A,FALSE,"18 - 19";#N/A,#N/A,FALSE,"26";#N/A,#N/A,FALSE,"27";#N/A,#N/A,FALSE,"28"}</definedName>
    <definedName name="wrn.Pack" localSheetId="0" hidden="1">{#N/A,#N/A,FALSE,"Overview";#N/A,#N/A,FALSE,"ProfitAnalysis";#N/A,#N/A,FALSE,"Cashflow";#N/A,#N/A,FALSE,"Capital";#N/A,#N/A,FALSE,"CapDelta";#N/A,#N/A,FALSE,"Grad&amp;Pric"}</definedName>
    <definedName name="wrn.Pack" localSheetId="6" hidden="1">{#N/A,#N/A,FALSE,"Overview";#N/A,#N/A,FALSE,"ProfitAnalysis";#N/A,#N/A,FALSE,"Cashflow";#N/A,#N/A,FALSE,"Capital";#N/A,#N/A,FALSE,"CapDelta";#N/A,#N/A,FALSE,"Grad&amp;Pric"}</definedName>
    <definedName name="wrn.Pack" hidden="1">{#N/A,#N/A,FALSE,"Overview";#N/A,#N/A,FALSE,"ProfitAnalysis";#N/A,#N/A,FALSE,"Cashflow";#N/A,#N/A,FALSE,"Capital";#N/A,#N/A,FALSE,"CapDelta";#N/A,#N/A,FALSE,"Grad&amp;Pric"}</definedName>
    <definedName name="wrn.Pack." localSheetId="0" hidden="1">{#N/A,#N/A,FALSE,"Overview";#N/A,#N/A,FALSE,"ProfitAnalysis";#N/A,#N/A,FALSE,"Cashflow";#N/A,#N/A,FALSE,"Capital";#N/A,#N/A,FALSE,"CapDelta";#N/A,#N/A,FALSE,"Grad&amp;Pric"}</definedName>
    <definedName name="wrn.Pack." localSheetId="6" hidden="1">{#N/A,#N/A,FALSE,"Overview";#N/A,#N/A,FALSE,"ProfitAnalysis";#N/A,#N/A,FALSE,"Cashflow";#N/A,#N/A,FALSE,"Capital";#N/A,#N/A,FALSE,"CapDelta";#N/A,#N/A,FALSE,"Grad&amp;Pric"}</definedName>
    <definedName name="wrn.Pack." hidden="1">{#N/A,#N/A,FALSE,"Overview";#N/A,#N/A,FALSE,"ProfitAnalysis";#N/A,#N/A,FALSE,"Cashflow";#N/A,#N/A,FALSE,"Capital";#N/A,#N/A,FALSE,"CapDelta";#N/A,#N/A,FALSE,"Grad&amp;Pric"}</definedName>
    <definedName name="wrn.Pack._.Report." localSheetId="6" hidden="1">{#N/A,#N/A,FALSE,"UK CONSOL GB£";#N/A,#N/A,FALSE,"UK Consol Short";#N/A,#N/A,FALSE,"Summary UK";#N/A,#N/A,FALSE,"Summary UK - Short"}</definedName>
    <definedName name="wrn.Pack._.Report." hidden="1">{#N/A,#N/A,FALSE,"UK CONSOL GB£";#N/A,#N/A,FALSE,"UK Consol Short";#N/A,#N/A,FALSE,"Summary UK";#N/A,#N/A,FALSE,"Summary UK - Short"}</definedName>
    <definedName name="wrn.packer._.1." localSheetId="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g_1." localSheetId="0" hidden="1">{#N/A,#N/A,FALSE,"COPERTINA"}</definedName>
    <definedName name="wrn.pag_1." localSheetId="6" hidden="1">{#N/A,#N/A,FALSE,"COPERTINA"}</definedName>
    <definedName name="wrn.pag_1." hidden="1">{#N/A,#N/A,FALSE,"COPERTINA"}</definedName>
    <definedName name="wrn.Pages._.1._.to._.8." localSheetId="6" hidden="1">{#N/A,#N/A,FALSE,"UK CONSOL GB£";#N/A,#N/A,FALSE,"UK CONSOL NOV00"}</definedName>
    <definedName name="wrn.Pages._.1._.to._.8." hidden="1">{#N/A,#N/A,FALSE,"UK CONSOL GB£";#N/A,#N/A,FALSE,"UK CONSOL NOV00"}</definedName>
    <definedName name="wrn.PandL._.GROUP." localSheetId="6" hidden="1">{#N/A,#N/A,FALSE,"Sheet13";#N/A,#N/A,FALSE,"Sheet23 (2)";#N/A,#N/A,FALSE,"Sheet1";#N/A,#N/A,FALSE,"Sheet16";#N/A,#N/A,FALSE,"Sheet20";#N/A,#N/A,FALSE,"Sheet19";#N/A,#N/A,FALSE,"Sheet18";#N/A,#N/A,FALSE,"Sheet17";#N/A,#N/A,FALSE,"Sheet22";#N/A,#N/A,FALSE,"Sheet21";#N/A,#N/A,FALSE,"Sheet10"}</definedName>
    <definedName name="wrn.PandL._.GROUP." hidden="1">{#N/A,#N/A,FALSE,"Sheet13";#N/A,#N/A,FALSE,"Sheet23 (2)";#N/A,#N/A,FALSE,"Sheet1";#N/A,#N/A,FALSE,"Sheet16";#N/A,#N/A,FALSE,"Sheet20";#N/A,#N/A,FALSE,"Sheet19";#N/A,#N/A,FALSE,"Sheet18";#N/A,#N/A,FALSE,"Sheet17";#N/A,#N/A,FALSE,"Sheet22";#N/A,#N/A,FALSE,"Sheet21";#N/A,#N/A,FALSE,"Sheet10"}</definedName>
    <definedName name="wrn.PandL._.LAVIPHARM._.AE." localSheetId="6" hidden="1">{#N/A,#N/A,FALSE,"Sheet9";#N/A,#N/A,FALSE,"Sheet23";#N/A,#N/A,FALSE,"Sheet5";#N/A,#N/A,FALSE,"Sheet6";#N/A,#N/A,FALSE,"Sheet7";#N/A,#N/A,FALSE,"Sheet8";#N/A,#N/A,FALSE,"Sheet3";#N/A,#N/A,FALSE,"Sheet4";#N/A,#N/A,FALSE,"Sheet11"}</definedName>
    <definedName name="wrn.PandL._.LAVIPHARM._.AE." hidden="1">{#N/A,#N/A,FALSE,"Sheet9";#N/A,#N/A,FALSE,"Sheet23";#N/A,#N/A,FALSE,"Sheet5";#N/A,#N/A,FALSE,"Sheet6";#N/A,#N/A,FALSE,"Sheet7";#N/A,#N/A,FALSE,"Sheet8";#N/A,#N/A,FALSE,"Sheet3";#N/A,#N/A,FALSE,"Sheet4";#N/A,#N/A,FALSE,"Sheet11"}</definedName>
    <definedName name="wrn.PandL9mnth." localSheetId="6" hidden="1">{#N/A,#N/A,FALSE,"Sheet10";#N/A,#N/A,FALSE,"Sheet9";#N/A,#N/A,FALSE,"Sheet5";#N/A,#N/A,FALSE,"Sheet33";#N/A,#N/A,FALSE,"Sheet13";#N/A,#N/A,FALSE,"Sheet20";#N/A,#N/A,FALSE,"Sheet19";#N/A,#N/A,FALSE,"Sheet18";#N/A,#N/A,FALSE,"Sheet17";#N/A,#N/A,FALSE,"Sheet22";#N/A,#N/A,FALSE,"Sheet1";#N/A,#N/A,FALSE,"Sheet32";#N/A,#N/A,FALSE,"Sheet21";#N/A,#N/A,FALSE,"Sheet15"}</definedName>
    <definedName name="wrn.PandL9mnth." hidden="1">{#N/A,#N/A,FALSE,"Sheet10";#N/A,#N/A,FALSE,"Sheet9";#N/A,#N/A,FALSE,"Sheet5";#N/A,#N/A,FALSE,"Sheet33";#N/A,#N/A,FALSE,"Sheet13";#N/A,#N/A,FALSE,"Sheet20";#N/A,#N/A,FALSE,"Sheet19";#N/A,#N/A,FALSE,"Sheet18";#N/A,#N/A,FALSE,"Sheet17";#N/A,#N/A,FALSE,"Sheet22";#N/A,#N/A,FALSE,"Sheet1";#N/A,#N/A,FALSE,"Sheet32";#N/A,#N/A,FALSE,"Sheet21";#N/A,#N/A,FALSE,"Sheet15"}</definedName>
    <definedName name="wrn.Patrick." localSheetId="6" hidden="1">{#N/A,#N/A,FALSE,"UK CONSOL GB£";#N/A,#N/A,FALSE,"Summary UK";#N/A,#N/A,FALSE,"SSG Div";#N/A,#N/A,FALSE,"Nine West Div";#N/A,#N/A,FALSE,"PaT Div";#N/A,#N/A,FALSE,"SSG Outlet Summary"}</definedName>
    <definedName name="wrn.Patrick." hidden="1">{#N/A,#N/A,FALSE,"UK CONSOL GB£";#N/A,#N/A,FALSE,"Summary UK";#N/A,#N/A,FALSE,"SSG Div";#N/A,#N/A,FALSE,"Nine West Div";#N/A,#N/A,FALSE,"PaT Div";#N/A,#N/A,FALSE,"SSG Outlet Summary"}</definedName>
    <definedName name="wrn.PDDManning." localSheetId="6" hidden="1">{#N/A,#N/A,TRUE,"CoverPage";#N/A,#N/A,TRUE,"Objective";#N/A,#N/A,TRUE,"TeamNorm";#N/A,#N/A,TRUE,"SUMMARY";#N/A,#N/A,TRUE,"PAE";#N/A,#N/A,TRUE,"PBE";#N/A,#N/A,TRUE,"PCE";#N/A,#N/A,TRUE,"PTE ";#N/A,#N/A,TRUE,"PPE";#N/A,#N/A,TRUE,"PIE";#N/A,#N/A,TRUE,"PSE";#N/A,#N/A,TRUE,"PAW";#N/A,#N/A,TRUE,"PBW";#N/A,#N/A,TRUE,"PCW";#N/A,#N/A,TRUE,"PTW";#N/A,#N/A,TRUE,"PPW";#N/A,#N/A,TRUE,"PIW";#N/A,#N/A,TRUE,"PSW";#N/A,#N/A,TRUE,"PME";#N/A,#N/A,TRUE,"SSE";#N/A,#N/A,TRUE,"HSE"}</definedName>
    <definedName name="wrn.PDDManning." hidden="1">{#N/A,#N/A,TRUE,"CoverPage";#N/A,#N/A,TRUE,"Objective";#N/A,#N/A,TRUE,"TeamNorm";#N/A,#N/A,TRUE,"SUMMARY";#N/A,#N/A,TRUE,"PAE";#N/A,#N/A,TRUE,"PBE";#N/A,#N/A,TRUE,"PCE";#N/A,#N/A,TRUE,"PTE ";#N/A,#N/A,TRUE,"PPE";#N/A,#N/A,TRUE,"PIE";#N/A,#N/A,TRUE,"PSE";#N/A,#N/A,TRUE,"PAW";#N/A,#N/A,TRUE,"PBW";#N/A,#N/A,TRUE,"PCW";#N/A,#N/A,TRUE,"PTW";#N/A,#N/A,TRUE,"PPW";#N/A,#N/A,TRUE,"PIW";#N/A,#N/A,TRUE,"PSW";#N/A,#N/A,TRUE,"PME";#N/A,#N/A,TRUE,"SSE";#N/A,#N/A,TRUE,"HSE"}</definedName>
    <definedName name="wrn.PENDENCIAS." localSheetId="6" hidden="1">{#N/A,#N/A,FALSE,"GERAL";#N/A,#N/A,FALSE,"012-96";#N/A,#N/A,FALSE,"018-96";#N/A,#N/A,FALSE,"027-96";#N/A,#N/A,FALSE,"059-96";#N/A,#N/A,FALSE,"076-96";#N/A,#N/A,FALSE,"019-97";#N/A,#N/A,FALSE,"021-97";#N/A,#N/A,FALSE,"022-97";#N/A,#N/A,FALSE,"028-97"}</definedName>
    <definedName name="wrn.PENDENCIAS." hidden="1">{#N/A,#N/A,FALSE,"GERAL";#N/A,#N/A,FALSE,"012-96";#N/A,#N/A,FALSE,"018-96";#N/A,#N/A,FALSE,"027-96";#N/A,#N/A,FALSE,"059-96";#N/A,#N/A,FALSE,"076-96";#N/A,#N/A,FALSE,"019-97";#N/A,#N/A,FALSE,"021-97";#N/A,#N/A,FALSE,"022-97";#N/A,#N/A,FALSE,"028-97"}</definedName>
    <definedName name="wrn.Penetration." localSheetId="6" hidden="1">{#N/A,#N/A,FALSE,"Mkt Pen"}</definedName>
    <definedName name="wrn.Penetration." hidden="1">{#N/A,#N/A,FALSE,"Mkt Pen"}</definedName>
    <definedName name="wrn.perimeter._.comp." localSheetId="0" hidden="1">{#N/A,#N/A,TRUE,"comp";#N/A,#N/A,TRUE,"notes"}</definedName>
    <definedName name="wrn.perimeter._.comp." localSheetId="6" hidden="1">{#N/A,#N/A,TRUE,"comp";#N/A,#N/A,TRUE,"notes"}</definedName>
    <definedName name="wrn.perimeter._.comp." hidden="1">{#N/A,#N/A,TRUE,"comp";#N/A,#N/A,TRUE,"notes"}</definedName>
    <definedName name="wrn.Period._.End." localSheetId="6" hidden="1">{#N/A,#N/A,FALSE,"Spo Ole";#N/A,#N/A,FALSE,"Spool";#N/A,#N/A,FALSE,"AMP OT Diffs";#N/A,#N/A,FALSE,"Other OT Diffs ";#N/A,#N/A,FALSE,"Spend Diffs"}</definedName>
    <definedName name="wrn.Period._.End." hidden="1">{#N/A,#N/A,FALSE,"Spo Ole";#N/A,#N/A,FALSE,"Spool";#N/A,#N/A,FALSE,"AMP OT Diffs";#N/A,#N/A,FALSE,"Other OT Diffs ";#N/A,#N/A,FALSE,"Spend Diffs"}</definedName>
    <definedName name="wrn.PERPACKPG3." localSheetId="0" hidden="1">{"DJH3",#N/A,FALSE,"PFL00805";"PJB3",#N/A,FALSE,"PFL00805";"JMD3",#N/A,FALSE,"PFL00805";"DNB3",#N/A,FALSE,"PFL00805";"MJP3",#N/A,FALSE,"PFL00805";"RAB3",#N/A,FALSE,"PFL00805";"GJW3",#N/A,FALSE,"PFL00805";"MASTER3",#N/A,FALSE,"PFL00805"}</definedName>
    <definedName name="wrn.PERPACKPG3." localSheetId="6" hidden="1">{"DJH3",#N/A,FALSE,"PFL00805";"PJB3",#N/A,FALSE,"PFL00805";"JMD3",#N/A,FALSE,"PFL00805";"DNB3",#N/A,FALSE,"PFL00805";"MJP3",#N/A,FALSE,"PFL00805";"RAB3",#N/A,FALSE,"PFL00805";"GJW3",#N/A,FALSE,"PFL00805";"MASTER3",#N/A,FALSE,"PFL00805"}</definedName>
    <definedName name="wrn.PERPACKPG3." hidden="1">{"DJH3",#N/A,FALSE,"PFL00805";"PJB3",#N/A,FALSE,"PFL00805";"JMD3",#N/A,FALSE,"PFL00805";"DNB3",#N/A,FALSE,"PFL00805";"MJP3",#N/A,FALSE,"PFL00805";"RAB3",#N/A,FALSE,"PFL00805";"GJW3",#N/A,FALSE,"PFL00805";"MASTER3",#N/A,FALSE,"PFL00805"}</definedName>
    <definedName name="wrn.PERPACKPG3._1" localSheetId="0" hidden="1">{"DJH3",#N/A,FALSE,"PFL00805";"PJB3",#N/A,FALSE,"PFL00805";"JMD3",#N/A,FALSE,"PFL00805";"DNB3",#N/A,FALSE,"PFL00805";"MJP3",#N/A,FALSE,"PFL00805";"RAB3",#N/A,FALSE,"PFL00805";"GJW3",#N/A,FALSE,"PFL00805";"MASTER3",#N/A,FALSE,"PFL00805"}</definedName>
    <definedName name="wrn.PERPACKPG3._1" localSheetId="6" hidden="1">{"DJH3",#N/A,FALSE,"PFL00805";"PJB3",#N/A,FALSE,"PFL00805";"JMD3",#N/A,FALSE,"PFL00805";"DNB3",#N/A,FALSE,"PFL00805";"MJP3",#N/A,FALSE,"PFL00805";"RAB3",#N/A,FALSE,"PFL00805";"GJW3",#N/A,FALSE,"PFL00805";"MASTER3",#N/A,FALSE,"PFL00805"}</definedName>
    <definedName name="wrn.PERPACKPG3._1" hidden="1">{"DJH3",#N/A,FALSE,"PFL00805";"PJB3",#N/A,FALSE,"PFL00805";"JMD3",#N/A,FALSE,"PFL00805";"DNB3",#N/A,FALSE,"PFL00805";"MJP3",#N/A,FALSE,"PFL00805";"RAB3",#N/A,FALSE,"PFL00805";"GJW3",#N/A,FALSE,"PFL00805";"MASTER3",#N/A,FALSE,"PFL00805"}</definedName>
    <definedName name="wrn.PERSONNEL." localSheetId="0" hidden="1">{"FORM16",#N/A,TRUE,"Personnel1";"FORM16.2",#N/A,TRUE,"Personnel2";"FORM16.2",#N/A,TRUE,"Personnel3";"FORM16.3",#N/A,TRUE,"Personnel4";"FORM16.4",#N/A,TRUE,"Personnel5"}</definedName>
    <definedName name="wrn.PERSONNEL." localSheetId="6" hidden="1">{"FORM16",#N/A,TRUE,"Personnel1";"FORM16.2",#N/A,TRUE,"Personnel2";"FORM16.2",#N/A,TRUE,"Personnel3";"FORM16.3",#N/A,TRUE,"Personnel4";"FORM16.4",#N/A,TRUE,"Personnel5"}</definedName>
    <definedName name="wrn.PERSONNEL." hidden="1">{"FORM16",#N/A,TRUE,"Personnel1";"FORM16.2",#N/A,TRUE,"Personnel2";"FORM16.2",#N/A,TRUE,"Personnel3";"FORM16.3",#N/A,TRUE,"Personnel4";"FORM16.4",#N/A,TRUE,"Personnel5"}</definedName>
    <definedName name="wrn.Petit." localSheetId="0" hidden="1">{#N/A,#N/A,FALSE,"PC-1";#N/A,#N/A,FALSE,"PC-2";#N/A,#N/A,FALSE,"T-9";#N/A,#N/A,FALSE,"PC-3";#N/A,#N/A,FALSE,"T-10";#N/A,#N/A,FALSE,"PC-4";#N/A,#N/A,FALSE,"T-11";#N/A,#N/A,FALSE,"PC-5";#N/A,#N/A,FALSE,"T-12"}</definedName>
    <definedName name="wrn.Petit." localSheetId="6" hidden="1">{#N/A,#N/A,FALSE,"PC-1";#N/A,#N/A,FALSE,"PC-2";#N/A,#N/A,FALSE,"T-9";#N/A,#N/A,FALSE,"PC-3";#N/A,#N/A,FALSE,"T-10";#N/A,#N/A,FALSE,"PC-4";#N/A,#N/A,FALSE,"T-11";#N/A,#N/A,FALSE,"PC-5";#N/A,#N/A,FALSE,"T-12"}</definedName>
    <definedName name="wrn.Petit." hidden="1">{#N/A,#N/A,FALSE,"PC-1";#N/A,#N/A,FALSE,"PC-2";#N/A,#N/A,FALSE,"T-9";#N/A,#N/A,FALSE,"PC-3";#N/A,#N/A,FALSE,"T-10";#N/A,#N/A,FALSE,"PC-4";#N/A,#N/A,FALSE,"T-11";#N/A,#N/A,FALSE,"PC-5";#N/A,#N/A,FALSE,"T-12"}</definedName>
    <definedName name="wrn.PEWC1." localSheetId="0" hidden="1">{"Graphic",#N/A,TRUE,"Graphic"}</definedName>
    <definedName name="wrn.PEWC1." localSheetId="6" hidden="1">{"Graphic",#N/A,TRUE,"Graphic"}</definedName>
    <definedName name="wrn.PEWC1." hidden="1">{"Graphic",#N/A,TRUE,"Graphic"}</definedName>
    <definedName name="wrn.PEWC1._1" localSheetId="0" hidden="1">{"Graphic",#N/A,TRUE,"Graphic"}</definedName>
    <definedName name="wrn.PEWC1._1" localSheetId="6" hidden="1">{"Graphic",#N/A,TRUE,"Graphic"}</definedName>
    <definedName name="wrn.PEWC1._1" hidden="1">{"Graphic",#N/A,TRUE,"Graphic"}</definedName>
    <definedName name="wrn.PEWC1_1" localSheetId="0" hidden="1">{"Graphic",#N/A,TRUE,"Graphic"}</definedName>
    <definedName name="wrn.PEWC1_1" localSheetId="6" hidden="1">{"Graphic",#N/A,TRUE,"Graphic"}</definedName>
    <definedName name="wrn.PEWC1_1" hidden="1">{"Graphic",#N/A,TRUE,"Graphic"}</definedName>
    <definedName name="wrn.PEWC1_1_1" localSheetId="0" hidden="1">{"Graphic",#N/A,TRUE,"Graphic"}</definedName>
    <definedName name="wrn.PEWC1_1_1" localSheetId="6" hidden="1">{"Graphic",#N/A,TRUE,"Graphic"}</definedName>
    <definedName name="wrn.PEWC1_1_1" hidden="1">{"Graphic",#N/A,TRUE,"Graphic"}</definedName>
    <definedName name="wrn.PEWC2." localSheetId="0" hidden="1">{"Graphic",#N/A,TRUE,"Graphic"}</definedName>
    <definedName name="wrn.PEWC2." localSheetId="6" hidden="1">{"Graphic",#N/A,TRUE,"Graphic"}</definedName>
    <definedName name="wrn.PEWC2." hidden="1">{"Graphic",#N/A,TRUE,"Graphic"}</definedName>
    <definedName name="wrn.PEWC2._1" localSheetId="0" hidden="1">{"Graphic",#N/A,TRUE,"Graphic"}</definedName>
    <definedName name="wrn.PEWC2._1" localSheetId="6" hidden="1">{"Graphic",#N/A,TRUE,"Graphic"}</definedName>
    <definedName name="wrn.PEWC2._1" hidden="1">{"Graphic",#N/A,TRUE,"Graphic"}</definedName>
    <definedName name="wrn.PEWC3." localSheetId="0" hidden="1">{"Graphic",#N/A,TRUE,"Graphic"}</definedName>
    <definedName name="wrn.PEWC3." localSheetId="6" hidden="1">{"Graphic",#N/A,TRUE,"Graphic"}</definedName>
    <definedName name="wrn.PEWC3." hidden="1">{"Graphic",#N/A,TRUE,"Graphic"}</definedName>
    <definedName name="wrn.PEWC3._1" localSheetId="0" hidden="1">{"Graphic",#N/A,TRUE,"Graphic"}</definedName>
    <definedName name="wrn.PEWC3._1" localSheetId="6" hidden="1">{"Graphic",#N/A,TRUE,"Graphic"}</definedName>
    <definedName name="wrn.PEWC3._1" hidden="1">{"Graphic",#N/A,TRUE,"Graphic"}</definedName>
    <definedName name="wrn.Pharm._.Market._.Report." localSheetId="0" hidden="1">{#N/A,#N/A,FALSE,"Sales Graph";#N/A,#N/A,FALSE,"PSBM";#N/A,#N/A,FALSE,"BUC Graph";#N/A,#N/A,FALSE,"P&amp;L - YTD"}</definedName>
    <definedName name="wrn.Pharm._.Market._.Report." localSheetId="6" hidden="1">{#N/A,#N/A,FALSE,"Sales Graph";#N/A,#N/A,FALSE,"PSBM";#N/A,#N/A,FALSE,"BUC Graph";#N/A,#N/A,FALSE,"P&amp;L - YTD"}</definedName>
    <definedName name="wrn.Pharm._.Market._.Report." hidden="1">{#N/A,#N/A,FALSE,"Sales Graph";#N/A,#N/A,FALSE,"PSBM";#N/A,#N/A,FALSE,"BUC Graph";#N/A,#N/A,FALSE,"P&amp;L - YTD"}</definedName>
    <definedName name="wrn.Pharm._.Market._.Report._1" localSheetId="0" hidden="1">{#N/A,#N/A,FALSE,"Sales Graph";#N/A,#N/A,FALSE,"PSBM";#N/A,#N/A,FALSE,"BUC Graph";#N/A,#N/A,FALSE,"P&amp;L - YTD"}</definedName>
    <definedName name="wrn.Pharm._.Market._.Report._1" localSheetId="6" hidden="1">{#N/A,#N/A,FALSE,"Sales Graph";#N/A,#N/A,FALSE,"PSBM";#N/A,#N/A,FALSE,"BUC Graph";#N/A,#N/A,FALSE,"P&amp;L - YTD"}</definedName>
    <definedName name="wrn.Pharm._.Market._.Report._1" hidden="1">{#N/A,#N/A,FALSE,"Sales Graph";#N/A,#N/A,FALSE,"PSBM";#N/A,#N/A,FALSE,"BUC Graph";#N/A,#N/A,FALSE,"P&amp;L - YTD"}</definedName>
    <definedName name="wrn.Pharm._.Market._.Report._1_1" localSheetId="0" hidden="1">{#N/A,#N/A,FALSE,"Sales Graph";#N/A,#N/A,FALSE,"PSBM";#N/A,#N/A,FALSE,"BUC Graph";#N/A,#N/A,FALSE,"P&amp;L - YTD"}</definedName>
    <definedName name="wrn.Pharm._.Market._.Report._1_1" localSheetId="6" hidden="1">{#N/A,#N/A,FALSE,"Sales Graph";#N/A,#N/A,FALSE,"PSBM";#N/A,#N/A,FALSE,"BUC Graph";#N/A,#N/A,FALSE,"P&amp;L - YTD"}</definedName>
    <definedName name="wrn.Pharm._.Market._.Report._1_1" hidden="1">{#N/A,#N/A,FALSE,"Sales Graph";#N/A,#N/A,FALSE,"PSBM";#N/A,#N/A,FALSE,"BUC Graph";#N/A,#N/A,FALSE,"P&amp;L - YTD"}</definedName>
    <definedName name="wrn.Pharm._.Market._.Report._2" localSheetId="0" hidden="1">{#N/A,#N/A,FALSE,"Sales Graph";#N/A,#N/A,FALSE,"PSBM";#N/A,#N/A,FALSE,"BUC Graph";#N/A,#N/A,FALSE,"P&amp;L - YTD"}</definedName>
    <definedName name="wrn.Pharm._.Market._.Report._2" localSheetId="6" hidden="1">{#N/A,#N/A,FALSE,"Sales Graph";#N/A,#N/A,FALSE,"PSBM";#N/A,#N/A,FALSE,"BUC Graph";#N/A,#N/A,FALSE,"P&amp;L - YTD"}</definedName>
    <definedName name="wrn.Pharm._.Market._.Report._2" hidden="1">{#N/A,#N/A,FALSE,"Sales Graph";#N/A,#N/A,FALSE,"PSBM";#N/A,#N/A,FALSE,"BUC Graph";#N/A,#N/A,FALSE,"P&amp;L - YTD"}</definedName>
    <definedName name="wrn.Pharm._.Market._.Report._3" localSheetId="0" hidden="1">{#N/A,#N/A,FALSE,"Sales Graph";#N/A,#N/A,FALSE,"PSBM";#N/A,#N/A,FALSE,"BUC Graph";#N/A,#N/A,FALSE,"P&amp;L - YTD"}</definedName>
    <definedName name="wrn.Pharm._.Market._.Report._3" localSheetId="6" hidden="1">{#N/A,#N/A,FALSE,"Sales Graph";#N/A,#N/A,FALSE,"PSBM";#N/A,#N/A,FALSE,"BUC Graph";#N/A,#N/A,FALSE,"P&amp;L - YTD"}</definedName>
    <definedName name="wrn.Pharm._.Market._.Report._3" hidden="1">{#N/A,#N/A,FALSE,"Sales Graph";#N/A,#N/A,FALSE,"PSBM";#N/A,#N/A,FALSE,"BUC Graph";#N/A,#N/A,FALSE,"P&amp;L - YTD"}</definedName>
    <definedName name="wrn.Pharm._.Market._.Report._4" localSheetId="0" hidden="1">{#N/A,#N/A,FALSE,"Sales Graph";#N/A,#N/A,FALSE,"PSBM";#N/A,#N/A,FALSE,"BUC Graph";#N/A,#N/A,FALSE,"P&amp;L - YTD"}</definedName>
    <definedName name="wrn.Pharm._.Market._.Report._4" localSheetId="6" hidden="1">{#N/A,#N/A,FALSE,"Sales Graph";#N/A,#N/A,FALSE,"PSBM";#N/A,#N/A,FALSE,"BUC Graph";#N/A,#N/A,FALSE,"P&amp;L - YTD"}</definedName>
    <definedName name="wrn.Pharm._.Market._.Report._4" hidden="1">{#N/A,#N/A,FALSE,"Sales Graph";#N/A,#N/A,FALSE,"PSBM";#N/A,#N/A,FALSE,"BUC Graph";#N/A,#N/A,FALSE,"P&amp;L - YTD"}</definedName>
    <definedName name="wrn.Pharm._.Market._.Report._5" localSheetId="0" hidden="1">{#N/A,#N/A,FALSE,"Sales Graph";#N/A,#N/A,FALSE,"PSBM";#N/A,#N/A,FALSE,"BUC Graph";#N/A,#N/A,FALSE,"P&amp;L - YTD"}</definedName>
    <definedName name="wrn.Pharm._.Market._.Report._5" localSheetId="6" hidden="1">{#N/A,#N/A,FALSE,"Sales Graph";#N/A,#N/A,FALSE,"PSBM";#N/A,#N/A,FALSE,"BUC Graph";#N/A,#N/A,FALSE,"P&amp;L - YTD"}</definedName>
    <definedName name="wrn.Pharm._.Market._.Report._5" hidden="1">{#N/A,#N/A,FALSE,"Sales Graph";#N/A,#N/A,FALSE,"PSBM";#N/A,#N/A,FALSE,"BUC Graph";#N/A,#N/A,FALSE,"P&amp;L - YTD"}</definedName>
    <definedName name="wrn.Pharmaceuticals."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_1"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_1"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1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2"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2"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3"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3"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3"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4"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4"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4"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5"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5"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harmaceuticals._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wrn.Pianocomp." localSheetId="0" hidden="1">{"page_1",#N/A,TRUE,"Sheet1";"page_2",#N/A,TRUE,"Sheet1";"page_notes",#N/A,TRUE,"Sheet1"}</definedName>
    <definedName name="wrn.Pianocomp." localSheetId="6" hidden="1">{"page_1",#N/A,TRUE,"Sheet1";"page_2",#N/A,TRUE,"Sheet1";"page_notes",#N/A,TRUE,"Sheet1"}</definedName>
    <definedName name="wrn.Pianocomp." hidden="1">{"page_1",#N/A,TRUE,"Sheet1";"page_2",#N/A,TRUE,"Sheet1";"page_notes",#N/A,TRUE,"Sheet1"}</definedName>
    <definedName name="wrn.PILKINGTON." localSheetId="6" hidden="1">{"FRONT (PILKINGTON) (25)",#N/A,TRUE,"PILKINGTON";"P_AND_L (PILKINGTON) (25)",#N/A,TRUE,"PILKINGTON";"CASH_AND_VAL (PILKINGTON) (25)",#N/A,TRUE,"PILKINGTON";"VALUATION (PILKINGTON) (25)",#N/A,TRUE,"PILKINGTON";"MODELS (PILKINGTON) (25)",#N/A,TRUE,"PILKINGTON";"SENSITIV (PILKINGTON) (25)",#N/A,TRUE,"PILKINGTON";"P_AND_VOL (PILKINGTON) (25)",#N/A,TRUE,"PILKINGTON";"INVINC (PILKINGTON) (25)",#N/A,TRUE,"PILKINGTON"}</definedName>
    <definedName name="wrn.PILKINGTON." hidden="1">{"FRONT (PILKINGTON) (25)",#N/A,TRUE,"PILKINGTON";"P_AND_L (PILKINGTON) (25)",#N/A,TRUE,"PILKINGTON";"CASH_AND_VAL (PILKINGTON) (25)",#N/A,TRUE,"PILKINGTON";"VALUATION (PILKINGTON) (25)",#N/A,TRUE,"PILKINGTON";"MODELS (PILKINGTON) (25)",#N/A,TRUE,"PILKINGTON";"SENSITIV (PILKINGTON) (25)",#N/A,TRUE,"PILKINGTON";"P_AND_VOL (PILKINGTON) (25)",#N/A,TRUE,"PILKINGTON";"INVINC (PILKINGTON) (25)",#N/A,TRUE,"PILKINGTON"}</definedName>
    <definedName name="wrn.PL._.PRINT." localSheetId="6" hidden="1">{"VIEW1",#N/A,FALSE,"P&amp;L Account 2001-2002";"VIEW2",#N/A,FALSE,"P&amp;L Account 2001-2002";"VIEW3",#N/A,FALSE,"P&amp;L Account 2001-2002";"VIEW4",#N/A,FALSE,"P&amp;L Account 2001-2002"}</definedName>
    <definedName name="wrn.PL._.PRINT." hidden="1">{"VIEW1",#N/A,FALSE,"P&amp;L Account 2001-2002";"VIEW2",#N/A,FALSE,"P&amp;L Account 2001-2002";"VIEW3",#N/A,FALSE,"P&amp;L Account 2001-2002";"VIEW4",#N/A,FALSE,"P&amp;L Account 2001-2002"}</definedName>
    <definedName name="wrn.Placer._.Dome." localSheetId="0" hidden="1">{"Placer Dome Mines",#N/A,FALSE,"PDG";"Placer Dome Summary",#N/A,FALSE,"PDG"}</definedName>
    <definedName name="wrn.Placer._.Dome." localSheetId="6" hidden="1">{"Placer Dome Mines",#N/A,FALSE,"PDG";"Placer Dome Summary",#N/A,FALSE,"PDG"}</definedName>
    <definedName name="wrn.Placer._.Dome." hidden="1">{"Placer Dome Mines",#N/A,FALSE,"PDG";"Placer Dome Summary",#N/A,FALSE,"PDG"}</definedName>
    <definedName name="wrn.PLAN." localSheetId="0" hidden="1">{"AZO Inter BS",#N/A,FALSE,"Sheet1";"AZO Mexico BS",#N/A,FALSE,"Sheet1";"AZO PR BS",#N/A,FALSE,"Sheet1"}</definedName>
    <definedName name="wrn.PLAN." localSheetId="6" hidden="1">{"AZO Inter BS",#N/A,FALSE,"Sheet1";"AZO Mexico BS",#N/A,FALSE,"Sheet1";"AZO PR BS",#N/A,FALSE,"Sheet1"}</definedName>
    <definedName name="wrn.PLAN." hidden="1">{"AZO Inter BS",#N/A,FALSE,"Sheet1";"AZO Mexico BS",#N/A,FALSE,"Sheet1";"AZO PR BS",#N/A,FALSE,"Sheet1"}</definedName>
    <definedName name="wrn.PMW._.Gruppe._.00_99." localSheetId="0" hidden="1">{#N/A,#N/A,FALSE,"PMW Gruppe 00_99";#N/A,#N/A,FALSE,"PMW KG 00_99";#N/A,#N/A,FALSE,"PMW Inc. 00_99";#N/A,#N/A,FALSE,"PMW VTECH 00_99";#N/A,#N/A,FALSE,"PMW Thail. 00_99";#N/A,#N/A,FALSE,"PMW Canada 00_99";#N/A,#N/A,FALSE,"Währungsabw. 00_99"}</definedName>
    <definedName name="wrn.PMW._.Gruppe._.00_99." localSheetId="6" hidden="1">{#N/A,#N/A,FALSE,"PMW Gruppe 00_99";#N/A,#N/A,FALSE,"PMW KG 00_99";#N/A,#N/A,FALSE,"PMW Inc. 00_99";#N/A,#N/A,FALSE,"PMW VTECH 00_99";#N/A,#N/A,FALSE,"PMW Thail. 00_99";#N/A,#N/A,FALSE,"PMW Canada 00_99";#N/A,#N/A,FALSE,"Währungsabw. 00_99"}</definedName>
    <definedName name="wrn.PMW._.Gruppe._.00_99." hidden="1">{#N/A,#N/A,FALSE,"PMW Gruppe 00_99";#N/A,#N/A,FALSE,"PMW KG 00_99";#N/A,#N/A,FALSE,"PMW Inc. 00_99";#N/A,#N/A,FALSE,"PMW VTECH 00_99";#N/A,#N/A,FALSE,"PMW Thail. 00_99";#N/A,#N/A,FALSE,"PMW Canada 00_99";#N/A,#N/A,FALSE,"Währungsabw. 00_99"}</definedName>
    <definedName name="wrn.PMW._.Gruppe._.00_99._1" localSheetId="0" hidden="1">{#N/A,#N/A,FALSE,"PMW Gruppe 00_99";#N/A,#N/A,FALSE,"PMW KG 00_99";#N/A,#N/A,FALSE,"PMW Inc. 00_99";#N/A,#N/A,FALSE,"PMW VTECH 00_99";#N/A,#N/A,FALSE,"PMW Thail. 00_99";#N/A,#N/A,FALSE,"PMW Canada 00_99";#N/A,#N/A,FALSE,"Währungsabw. 00_99"}</definedName>
    <definedName name="wrn.PMW._.Gruppe._.00_99._1" localSheetId="6" hidden="1">{#N/A,#N/A,FALSE,"PMW Gruppe 00_99";#N/A,#N/A,FALSE,"PMW KG 00_99";#N/A,#N/A,FALSE,"PMW Inc. 00_99";#N/A,#N/A,FALSE,"PMW VTECH 00_99";#N/A,#N/A,FALSE,"PMW Thail. 00_99";#N/A,#N/A,FALSE,"PMW Canada 00_99";#N/A,#N/A,FALSE,"Währungsabw. 00_99"}</definedName>
    <definedName name="wrn.PMW._.Gruppe._.00_99._1" hidden="1">{#N/A,#N/A,FALSE,"PMW Gruppe 00_99";#N/A,#N/A,FALSE,"PMW KG 00_99";#N/A,#N/A,FALSE,"PMW Inc. 00_99";#N/A,#N/A,FALSE,"PMW VTECH 00_99";#N/A,#N/A,FALSE,"PMW Thail. 00_99";#N/A,#N/A,FALSE,"PMW Canada 00_99";#N/A,#N/A,FALSE,"Währungsabw. 00_99"}</definedName>
    <definedName name="wrn.PMW._.Gruppe._.00_99._1_1" localSheetId="0" hidden="1">{#N/A,#N/A,FALSE,"PMW Gruppe 00_99";#N/A,#N/A,FALSE,"PMW KG 00_99";#N/A,#N/A,FALSE,"PMW Inc. 00_99";#N/A,#N/A,FALSE,"PMW VTECH 00_99";#N/A,#N/A,FALSE,"PMW Thail. 00_99";#N/A,#N/A,FALSE,"PMW Canada 00_99";#N/A,#N/A,FALSE,"Währungsabw. 00_99"}</definedName>
    <definedName name="wrn.PMW._.Gruppe._.00_99._1_1" localSheetId="6" hidden="1">{#N/A,#N/A,FALSE,"PMW Gruppe 00_99";#N/A,#N/A,FALSE,"PMW KG 00_99";#N/A,#N/A,FALSE,"PMW Inc. 00_99";#N/A,#N/A,FALSE,"PMW VTECH 00_99";#N/A,#N/A,FALSE,"PMW Thail. 00_99";#N/A,#N/A,FALSE,"PMW Canada 00_99";#N/A,#N/A,FALSE,"Währungsabw. 00_99"}</definedName>
    <definedName name="wrn.PMW._.Gruppe._.00_99._1_1" hidden="1">{#N/A,#N/A,FALSE,"PMW Gruppe 00_99";#N/A,#N/A,FALSE,"PMW KG 00_99";#N/A,#N/A,FALSE,"PMW Inc. 00_99";#N/A,#N/A,FALSE,"PMW VTECH 00_99";#N/A,#N/A,FALSE,"PMW Thail. 00_99";#N/A,#N/A,FALSE,"PMW Canada 00_99";#N/A,#N/A,FALSE,"Währungsabw. 00_99"}</definedName>
    <definedName name="wrn.PMW._.Gruppe._.00_99._2" localSheetId="0" hidden="1">{#N/A,#N/A,FALSE,"PMW Gruppe 00_99";#N/A,#N/A,FALSE,"PMW KG 00_99";#N/A,#N/A,FALSE,"PMW Inc. 00_99";#N/A,#N/A,FALSE,"PMW VTECH 00_99";#N/A,#N/A,FALSE,"PMW Thail. 00_99";#N/A,#N/A,FALSE,"PMW Canada 00_99";#N/A,#N/A,FALSE,"Währungsabw. 00_99"}</definedName>
    <definedName name="wrn.PMW._.Gruppe._.00_99._2" localSheetId="6" hidden="1">{#N/A,#N/A,FALSE,"PMW Gruppe 00_99";#N/A,#N/A,FALSE,"PMW KG 00_99";#N/A,#N/A,FALSE,"PMW Inc. 00_99";#N/A,#N/A,FALSE,"PMW VTECH 00_99";#N/A,#N/A,FALSE,"PMW Thail. 00_99";#N/A,#N/A,FALSE,"PMW Canada 00_99";#N/A,#N/A,FALSE,"Währungsabw. 00_99"}</definedName>
    <definedName name="wrn.PMW._.Gruppe._.00_99._2" hidden="1">{#N/A,#N/A,FALSE,"PMW Gruppe 00_99";#N/A,#N/A,FALSE,"PMW KG 00_99";#N/A,#N/A,FALSE,"PMW Inc. 00_99";#N/A,#N/A,FALSE,"PMW VTECH 00_99";#N/A,#N/A,FALSE,"PMW Thail. 00_99";#N/A,#N/A,FALSE,"PMW Canada 00_99";#N/A,#N/A,FALSE,"Währungsabw. 00_99"}</definedName>
    <definedName name="wrn.PMW._.Gruppe._.00_99._3" localSheetId="0" hidden="1">{#N/A,#N/A,FALSE,"PMW Gruppe 00_99";#N/A,#N/A,FALSE,"PMW KG 00_99";#N/A,#N/A,FALSE,"PMW Inc. 00_99";#N/A,#N/A,FALSE,"PMW VTECH 00_99";#N/A,#N/A,FALSE,"PMW Thail. 00_99";#N/A,#N/A,FALSE,"PMW Canada 00_99";#N/A,#N/A,FALSE,"Währungsabw. 00_99"}</definedName>
    <definedName name="wrn.PMW._.Gruppe._.00_99._3" localSheetId="6" hidden="1">{#N/A,#N/A,FALSE,"PMW Gruppe 00_99";#N/A,#N/A,FALSE,"PMW KG 00_99";#N/A,#N/A,FALSE,"PMW Inc. 00_99";#N/A,#N/A,FALSE,"PMW VTECH 00_99";#N/A,#N/A,FALSE,"PMW Thail. 00_99";#N/A,#N/A,FALSE,"PMW Canada 00_99";#N/A,#N/A,FALSE,"Währungsabw. 00_99"}</definedName>
    <definedName name="wrn.PMW._.Gruppe._.00_99._3" hidden="1">{#N/A,#N/A,FALSE,"PMW Gruppe 00_99";#N/A,#N/A,FALSE,"PMW KG 00_99";#N/A,#N/A,FALSE,"PMW Inc. 00_99";#N/A,#N/A,FALSE,"PMW VTECH 00_99";#N/A,#N/A,FALSE,"PMW Thail. 00_99";#N/A,#N/A,FALSE,"PMW Canada 00_99";#N/A,#N/A,FALSE,"Währungsabw. 00_99"}</definedName>
    <definedName name="wrn.PMW._.Gruppe._.00_99._4" localSheetId="0" hidden="1">{#N/A,#N/A,FALSE,"PMW Gruppe 00_99";#N/A,#N/A,FALSE,"PMW KG 00_99";#N/A,#N/A,FALSE,"PMW Inc. 00_99";#N/A,#N/A,FALSE,"PMW VTECH 00_99";#N/A,#N/A,FALSE,"PMW Thail. 00_99";#N/A,#N/A,FALSE,"PMW Canada 00_99";#N/A,#N/A,FALSE,"Währungsabw. 00_99"}</definedName>
    <definedName name="wrn.PMW._.Gruppe._.00_99._4" localSheetId="6" hidden="1">{#N/A,#N/A,FALSE,"PMW Gruppe 00_99";#N/A,#N/A,FALSE,"PMW KG 00_99";#N/A,#N/A,FALSE,"PMW Inc. 00_99";#N/A,#N/A,FALSE,"PMW VTECH 00_99";#N/A,#N/A,FALSE,"PMW Thail. 00_99";#N/A,#N/A,FALSE,"PMW Canada 00_99";#N/A,#N/A,FALSE,"Währungsabw. 00_99"}</definedName>
    <definedName name="wrn.PMW._.Gruppe._.00_99._4" hidden="1">{#N/A,#N/A,FALSE,"PMW Gruppe 00_99";#N/A,#N/A,FALSE,"PMW KG 00_99";#N/A,#N/A,FALSE,"PMW Inc. 00_99";#N/A,#N/A,FALSE,"PMW VTECH 00_99";#N/A,#N/A,FALSE,"PMW Thail. 00_99";#N/A,#N/A,FALSE,"PMW Canada 00_99";#N/A,#N/A,FALSE,"Währungsabw. 00_99"}</definedName>
    <definedName name="wrn.PMW._.Gruppe._.00_99._5" localSheetId="0" hidden="1">{#N/A,#N/A,FALSE,"PMW Gruppe 00_99";#N/A,#N/A,FALSE,"PMW KG 00_99";#N/A,#N/A,FALSE,"PMW Inc. 00_99";#N/A,#N/A,FALSE,"PMW VTECH 00_99";#N/A,#N/A,FALSE,"PMW Thail. 00_99";#N/A,#N/A,FALSE,"PMW Canada 00_99";#N/A,#N/A,FALSE,"Währungsabw. 00_99"}</definedName>
    <definedName name="wrn.PMW._.Gruppe._.00_99._5" localSheetId="6" hidden="1">{#N/A,#N/A,FALSE,"PMW Gruppe 00_99";#N/A,#N/A,FALSE,"PMW KG 00_99";#N/A,#N/A,FALSE,"PMW Inc. 00_99";#N/A,#N/A,FALSE,"PMW VTECH 00_99";#N/A,#N/A,FALSE,"PMW Thail. 00_99";#N/A,#N/A,FALSE,"PMW Canada 00_99";#N/A,#N/A,FALSE,"Währungsabw. 00_99"}</definedName>
    <definedName name="wrn.PMW._.Gruppe._.00_99._5" hidden="1">{#N/A,#N/A,FALSE,"PMW Gruppe 00_99";#N/A,#N/A,FALSE,"PMW KG 00_99";#N/A,#N/A,FALSE,"PMW Inc. 00_99";#N/A,#N/A,FALSE,"PMW VTECH 00_99";#N/A,#N/A,FALSE,"PMW Thail. 00_99";#N/A,#N/A,FALSE,"PMW Canada 00_99";#N/A,#N/A,FALSE,"Währungsabw. 00_99"}</definedName>
    <definedName name="wrn.PMW._.Gruppe._.99_98n." localSheetId="0" hidden="1">{#N/A,#N/A,FALSE,"PMW Gruppe 99_98";#N/A,#N/A,FALSE,"PMW KG 98_99";#N/A,#N/A,FALSE,"PMW Inc. 99_98";#N/A,#N/A,FALSE,"PMW VTECH 99_98";#N/A,#N/A,FALSE,"PMW Thail. 99_98";#N/A,#N/A,FALSE,"PMW Canada 99_98";#N/A,#N/A,FALSE,"Währungsabw. 99_98"}</definedName>
    <definedName name="wrn.PMW._.Gruppe._.99_98n." localSheetId="6" hidden="1">{#N/A,#N/A,FALSE,"PMW Gruppe 99_98";#N/A,#N/A,FALSE,"PMW KG 98_99";#N/A,#N/A,FALSE,"PMW Inc. 99_98";#N/A,#N/A,FALSE,"PMW VTECH 99_98";#N/A,#N/A,FALSE,"PMW Thail. 99_98";#N/A,#N/A,FALSE,"PMW Canada 99_98";#N/A,#N/A,FALSE,"Währungsabw. 99_98"}</definedName>
    <definedName name="wrn.PMW._.Gruppe._.99_98n." hidden="1">{#N/A,#N/A,FALSE,"PMW Gruppe 99_98";#N/A,#N/A,FALSE,"PMW KG 98_99";#N/A,#N/A,FALSE,"PMW Inc. 99_98";#N/A,#N/A,FALSE,"PMW VTECH 99_98";#N/A,#N/A,FALSE,"PMW Thail. 99_98";#N/A,#N/A,FALSE,"PMW Canada 99_98";#N/A,#N/A,FALSE,"Währungsabw. 99_98"}</definedName>
    <definedName name="wrn.PMW._.Gruppe._.99_98n._1" localSheetId="0" hidden="1">{#N/A,#N/A,FALSE,"PMW Gruppe 99_98";#N/A,#N/A,FALSE,"PMW KG 98_99";#N/A,#N/A,FALSE,"PMW Inc. 99_98";#N/A,#N/A,FALSE,"PMW VTECH 99_98";#N/A,#N/A,FALSE,"PMW Thail. 99_98";#N/A,#N/A,FALSE,"PMW Canada 99_98";#N/A,#N/A,FALSE,"Währungsabw. 99_98"}</definedName>
    <definedName name="wrn.PMW._.Gruppe._.99_98n._1" localSheetId="6" hidden="1">{#N/A,#N/A,FALSE,"PMW Gruppe 99_98";#N/A,#N/A,FALSE,"PMW KG 98_99";#N/A,#N/A,FALSE,"PMW Inc. 99_98";#N/A,#N/A,FALSE,"PMW VTECH 99_98";#N/A,#N/A,FALSE,"PMW Thail. 99_98";#N/A,#N/A,FALSE,"PMW Canada 99_98";#N/A,#N/A,FALSE,"Währungsabw. 99_98"}</definedName>
    <definedName name="wrn.PMW._.Gruppe._.99_98n._1" hidden="1">{#N/A,#N/A,FALSE,"PMW Gruppe 99_98";#N/A,#N/A,FALSE,"PMW KG 98_99";#N/A,#N/A,FALSE,"PMW Inc. 99_98";#N/A,#N/A,FALSE,"PMW VTECH 99_98";#N/A,#N/A,FALSE,"PMW Thail. 99_98";#N/A,#N/A,FALSE,"PMW Canada 99_98";#N/A,#N/A,FALSE,"Währungsabw. 99_98"}</definedName>
    <definedName name="wrn.PMW._.Gruppe._.99_98n._1_1" localSheetId="0" hidden="1">{#N/A,#N/A,FALSE,"PMW Gruppe 99_98";#N/A,#N/A,FALSE,"PMW KG 98_99";#N/A,#N/A,FALSE,"PMW Inc. 99_98";#N/A,#N/A,FALSE,"PMW VTECH 99_98";#N/A,#N/A,FALSE,"PMW Thail. 99_98";#N/A,#N/A,FALSE,"PMW Canada 99_98";#N/A,#N/A,FALSE,"Währungsabw. 99_98"}</definedName>
    <definedName name="wrn.PMW._.Gruppe._.99_98n._1_1" localSheetId="6" hidden="1">{#N/A,#N/A,FALSE,"PMW Gruppe 99_98";#N/A,#N/A,FALSE,"PMW KG 98_99";#N/A,#N/A,FALSE,"PMW Inc. 99_98";#N/A,#N/A,FALSE,"PMW VTECH 99_98";#N/A,#N/A,FALSE,"PMW Thail. 99_98";#N/A,#N/A,FALSE,"PMW Canada 99_98";#N/A,#N/A,FALSE,"Währungsabw. 99_98"}</definedName>
    <definedName name="wrn.PMW._.Gruppe._.99_98n._1_1" hidden="1">{#N/A,#N/A,FALSE,"PMW Gruppe 99_98";#N/A,#N/A,FALSE,"PMW KG 98_99";#N/A,#N/A,FALSE,"PMW Inc. 99_98";#N/A,#N/A,FALSE,"PMW VTECH 99_98";#N/A,#N/A,FALSE,"PMW Thail. 99_98";#N/A,#N/A,FALSE,"PMW Canada 99_98";#N/A,#N/A,FALSE,"Währungsabw. 99_98"}</definedName>
    <definedName name="wrn.PMW._.Gruppe._.99_98n._2" localSheetId="0" hidden="1">{#N/A,#N/A,FALSE,"PMW Gruppe 99_98";#N/A,#N/A,FALSE,"PMW KG 98_99";#N/A,#N/A,FALSE,"PMW Inc. 99_98";#N/A,#N/A,FALSE,"PMW VTECH 99_98";#N/A,#N/A,FALSE,"PMW Thail. 99_98";#N/A,#N/A,FALSE,"PMW Canada 99_98";#N/A,#N/A,FALSE,"Währungsabw. 99_98"}</definedName>
    <definedName name="wrn.PMW._.Gruppe._.99_98n._2" localSheetId="6" hidden="1">{#N/A,#N/A,FALSE,"PMW Gruppe 99_98";#N/A,#N/A,FALSE,"PMW KG 98_99";#N/A,#N/A,FALSE,"PMW Inc. 99_98";#N/A,#N/A,FALSE,"PMW VTECH 99_98";#N/A,#N/A,FALSE,"PMW Thail. 99_98";#N/A,#N/A,FALSE,"PMW Canada 99_98";#N/A,#N/A,FALSE,"Währungsabw. 99_98"}</definedName>
    <definedName name="wrn.PMW._.Gruppe._.99_98n._2" hidden="1">{#N/A,#N/A,FALSE,"PMW Gruppe 99_98";#N/A,#N/A,FALSE,"PMW KG 98_99";#N/A,#N/A,FALSE,"PMW Inc. 99_98";#N/A,#N/A,FALSE,"PMW VTECH 99_98";#N/A,#N/A,FALSE,"PMW Thail. 99_98";#N/A,#N/A,FALSE,"PMW Canada 99_98";#N/A,#N/A,FALSE,"Währungsabw. 99_98"}</definedName>
    <definedName name="wrn.PMW._.Gruppe._.99_98n._3" localSheetId="0" hidden="1">{#N/A,#N/A,FALSE,"PMW Gruppe 99_98";#N/A,#N/A,FALSE,"PMW KG 98_99";#N/A,#N/A,FALSE,"PMW Inc. 99_98";#N/A,#N/A,FALSE,"PMW VTECH 99_98";#N/A,#N/A,FALSE,"PMW Thail. 99_98";#N/A,#N/A,FALSE,"PMW Canada 99_98";#N/A,#N/A,FALSE,"Währungsabw. 99_98"}</definedName>
    <definedName name="wrn.PMW._.Gruppe._.99_98n._3" localSheetId="6" hidden="1">{#N/A,#N/A,FALSE,"PMW Gruppe 99_98";#N/A,#N/A,FALSE,"PMW KG 98_99";#N/A,#N/A,FALSE,"PMW Inc. 99_98";#N/A,#N/A,FALSE,"PMW VTECH 99_98";#N/A,#N/A,FALSE,"PMW Thail. 99_98";#N/A,#N/A,FALSE,"PMW Canada 99_98";#N/A,#N/A,FALSE,"Währungsabw. 99_98"}</definedName>
    <definedName name="wrn.PMW._.Gruppe._.99_98n._3" hidden="1">{#N/A,#N/A,FALSE,"PMW Gruppe 99_98";#N/A,#N/A,FALSE,"PMW KG 98_99";#N/A,#N/A,FALSE,"PMW Inc. 99_98";#N/A,#N/A,FALSE,"PMW VTECH 99_98";#N/A,#N/A,FALSE,"PMW Thail. 99_98";#N/A,#N/A,FALSE,"PMW Canada 99_98";#N/A,#N/A,FALSE,"Währungsabw. 99_98"}</definedName>
    <definedName name="wrn.PMW._.Gruppe._.99_98n._4" localSheetId="0" hidden="1">{#N/A,#N/A,FALSE,"PMW Gruppe 99_98";#N/A,#N/A,FALSE,"PMW KG 98_99";#N/A,#N/A,FALSE,"PMW Inc. 99_98";#N/A,#N/A,FALSE,"PMW VTECH 99_98";#N/A,#N/A,FALSE,"PMW Thail. 99_98";#N/A,#N/A,FALSE,"PMW Canada 99_98";#N/A,#N/A,FALSE,"Währungsabw. 99_98"}</definedName>
    <definedName name="wrn.PMW._.Gruppe._.99_98n._4" localSheetId="6" hidden="1">{#N/A,#N/A,FALSE,"PMW Gruppe 99_98";#N/A,#N/A,FALSE,"PMW KG 98_99";#N/A,#N/A,FALSE,"PMW Inc. 99_98";#N/A,#N/A,FALSE,"PMW VTECH 99_98";#N/A,#N/A,FALSE,"PMW Thail. 99_98";#N/A,#N/A,FALSE,"PMW Canada 99_98";#N/A,#N/A,FALSE,"Währungsabw. 99_98"}</definedName>
    <definedName name="wrn.PMW._.Gruppe._.99_98n._4" hidden="1">{#N/A,#N/A,FALSE,"PMW Gruppe 99_98";#N/A,#N/A,FALSE,"PMW KG 98_99";#N/A,#N/A,FALSE,"PMW Inc. 99_98";#N/A,#N/A,FALSE,"PMW VTECH 99_98";#N/A,#N/A,FALSE,"PMW Thail. 99_98";#N/A,#N/A,FALSE,"PMW Canada 99_98";#N/A,#N/A,FALSE,"Währungsabw. 99_98"}</definedName>
    <definedName name="wrn.PMW._.Gruppe._.99_98n._5" localSheetId="0" hidden="1">{#N/A,#N/A,FALSE,"PMW Gruppe 99_98";#N/A,#N/A,FALSE,"PMW KG 98_99";#N/A,#N/A,FALSE,"PMW Inc. 99_98";#N/A,#N/A,FALSE,"PMW VTECH 99_98";#N/A,#N/A,FALSE,"PMW Thail. 99_98";#N/A,#N/A,FALSE,"PMW Canada 99_98";#N/A,#N/A,FALSE,"Währungsabw. 99_98"}</definedName>
    <definedName name="wrn.PMW._.Gruppe._.99_98n._5" localSheetId="6" hidden="1">{#N/A,#N/A,FALSE,"PMW Gruppe 99_98";#N/A,#N/A,FALSE,"PMW KG 98_99";#N/A,#N/A,FALSE,"PMW Inc. 99_98";#N/A,#N/A,FALSE,"PMW VTECH 99_98";#N/A,#N/A,FALSE,"PMW Thail. 99_98";#N/A,#N/A,FALSE,"PMW Canada 99_98";#N/A,#N/A,FALSE,"Währungsabw. 99_98"}</definedName>
    <definedName name="wrn.PMW._.Gruppe._.99_98n._5" hidden="1">{#N/A,#N/A,FALSE,"PMW Gruppe 99_98";#N/A,#N/A,FALSE,"PMW KG 98_99";#N/A,#N/A,FALSE,"PMW Inc. 99_98";#N/A,#N/A,FALSE,"PMW VTECH 99_98";#N/A,#N/A,FALSE,"PMW Thail. 99_98";#N/A,#N/A,FALSE,"PMW Canada 99_98";#N/A,#N/A,FALSE,"Währungsabw. 99_98"}</definedName>
    <definedName name="wrn.Polycomp._.Monthly." localSheetId="6" hidden="1">{"Page1",#N/A,FALSE,"Page1";"Overview",#N/A,FALSE,"Overview";"result",#N/A,FALSE,"Result";"Charts1",#N/A,FALSE,"Charts1";"Charts2",#N/A,FALSE,"Charts2"}</definedName>
    <definedName name="wrn.Polycomp._.Monthly." hidden="1">{"Page1",#N/A,FALSE,"Page1";"Overview",#N/A,FALSE,"Overview";"result",#N/A,FALSE,"Result";"Charts1",#N/A,FALSE,"Charts1";"Charts2",#N/A,FALSE,"Charts2"}</definedName>
    <definedName name="wrn.Port._.Reading." localSheetId="0" hidden="1">{#N/A,#N/A,FALSE,"PR-CIF";#N/A,#N/A,FALSE,"PR-Vol";#N/A,#N/A,FALSE,"PR-Comp";#N/A,#N/A,FALSE,"PR-GM";#N/A,#N/A,FALSE,"PR-OpExp";#N/A,#N/A,FALSE,"PR-Adj";#N/A,#N/A,FALSE,"PR-Tax";#N/A,#N/A,FALSE,"PR-DCF"}</definedName>
    <definedName name="wrn.Port._.Reading." localSheetId="6" hidden="1">{#N/A,#N/A,FALSE,"PR-CIF";#N/A,#N/A,FALSE,"PR-Vol";#N/A,#N/A,FALSE,"PR-Comp";#N/A,#N/A,FALSE,"PR-GM";#N/A,#N/A,FALSE,"PR-OpExp";#N/A,#N/A,FALSE,"PR-Adj";#N/A,#N/A,FALSE,"PR-Tax";#N/A,#N/A,FALSE,"PR-DCF"}</definedName>
    <definedName name="wrn.Port._.Reading." hidden="1">{#N/A,#N/A,FALSE,"PR-CIF";#N/A,#N/A,FALSE,"PR-Vol";#N/A,#N/A,FALSE,"PR-Comp";#N/A,#N/A,FALSE,"PR-GM";#N/A,#N/A,FALSE,"PR-OpExp";#N/A,#N/A,FALSE,"PR-Adj";#N/A,#N/A,FALSE,"PR-Tax";#N/A,#N/A,FALSE,"PR-DCF"}</definedName>
    <definedName name="wrn.ppp" localSheetId="0" hidden="1">{#N/A,#N/A,FALSE,"1";#N/A,#N/A,FALSE,"2";#N/A,#N/A,FALSE,"16 - 17";#N/A,#N/A,FALSE,"18 - 19";#N/A,#N/A,FALSE,"26";#N/A,#N/A,FALSE,"27";#N/A,#N/A,FALSE,"28"}</definedName>
    <definedName name="wrn.ppp" localSheetId="6" hidden="1">{#N/A,#N/A,FALSE,"1";#N/A,#N/A,FALSE,"2";#N/A,#N/A,FALSE,"16 - 17";#N/A,#N/A,FALSE,"18 - 19";#N/A,#N/A,FALSE,"26";#N/A,#N/A,FALSE,"27";#N/A,#N/A,FALSE,"28"}</definedName>
    <definedName name="wrn.ppp" hidden="1">{#N/A,#N/A,FALSE,"1";#N/A,#N/A,FALSE,"2";#N/A,#N/A,FALSE,"16 - 17";#N/A,#N/A,FALSE,"18 - 19";#N/A,#N/A,FALSE,"26";#N/A,#N/A,FALSE,"27";#N/A,#N/A,FALSE,"28"}</definedName>
    <definedName name="wrn.ppp_1" localSheetId="0" hidden="1">{#N/A,#N/A,FALSE,"1";#N/A,#N/A,FALSE,"2";#N/A,#N/A,FALSE,"16 - 17";#N/A,#N/A,FALSE,"18 - 19";#N/A,#N/A,FALSE,"26";#N/A,#N/A,FALSE,"27";#N/A,#N/A,FALSE,"28"}</definedName>
    <definedName name="wrn.ppp_1" localSheetId="6" hidden="1">{#N/A,#N/A,FALSE,"1";#N/A,#N/A,FALSE,"2";#N/A,#N/A,FALSE,"16 - 17";#N/A,#N/A,FALSE,"18 - 19";#N/A,#N/A,FALSE,"26";#N/A,#N/A,FALSE,"27";#N/A,#N/A,FALSE,"28"}</definedName>
    <definedName name="wrn.ppp_1" hidden="1">{#N/A,#N/A,FALSE,"1";#N/A,#N/A,FALSE,"2";#N/A,#N/A,FALSE,"16 - 17";#N/A,#N/A,FALSE,"18 - 19";#N/A,#N/A,FALSE,"26";#N/A,#N/A,FALSE,"27";#N/A,#N/A,FALSE,"28"}</definedName>
    <definedName name="wrn.ppp_1_1" localSheetId="0" hidden="1">{#N/A,#N/A,FALSE,"1";#N/A,#N/A,FALSE,"2";#N/A,#N/A,FALSE,"16 - 17";#N/A,#N/A,FALSE,"18 - 19";#N/A,#N/A,FALSE,"26";#N/A,#N/A,FALSE,"27";#N/A,#N/A,FALSE,"28"}</definedName>
    <definedName name="wrn.ppp_1_1" localSheetId="6" hidden="1">{#N/A,#N/A,FALSE,"1";#N/A,#N/A,FALSE,"2";#N/A,#N/A,FALSE,"16 - 17";#N/A,#N/A,FALSE,"18 - 19";#N/A,#N/A,FALSE,"26";#N/A,#N/A,FALSE,"27";#N/A,#N/A,FALSE,"28"}</definedName>
    <definedName name="wrn.ppp_1_1" hidden="1">{#N/A,#N/A,FALSE,"1";#N/A,#N/A,FALSE,"2";#N/A,#N/A,FALSE,"16 - 17";#N/A,#N/A,FALSE,"18 - 19";#N/A,#N/A,FALSE,"26";#N/A,#N/A,FALSE,"27";#N/A,#N/A,FALSE,"28"}</definedName>
    <definedName name="wrn.ppp_2" localSheetId="0" hidden="1">{#N/A,#N/A,FALSE,"1";#N/A,#N/A,FALSE,"2";#N/A,#N/A,FALSE,"16 - 17";#N/A,#N/A,FALSE,"18 - 19";#N/A,#N/A,FALSE,"26";#N/A,#N/A,FALSE,"27";#N/A,#N/A,FALSE,"28"}</definedName>
    <definedName name="wrn.ppp_2" localSheetId="6" hidden="1">{#N/A,#N/A,FALSE,"1";#N/A,#N/A,FALSE,"2";#N/A,#N/A,FALSE,"16 - 17";#N/A,#N/A,FALSE,"18 - 19";#N/A,#N/A,FALSE,"26";#N/A,#N/A,FALSE,"27";#N/A,#N/A,FALSE,"28"}</definedName>
    <definedName name="wrn.ppp_2" hidden="1">{#N/A,#N/A,FALSE,"1";#N/A,#N/A,FALSE,"2";#N/A,#N/A,FALSE,"16 - 17";#N/A,#N/A,FALSE,"18 - 19";#N/A,#N/A,FALSE,"26";#N/A,#N/A,FALSE,"27";#N/A,#N/A,FALSE,"28"}</definedName>
    <definedName name="wrn.ppp_3" localSheetId="0" hidden="1">{#N/A,#N/A,FALSE,"1";#N/A,#N/A,FALSE,"2";#N/A,#N/A,FALSE,"16 - 17";#N/A,#N/A,FALSE,"18 - 19";#N/A,#N/A,FALSE,"26";#N/A,#N/A,FALSE,"27";#N/A,#N/A,FALSE,"28"}</definedName>
    <definedName name="wrn.ppp_3" localSheetId="6" hidden="1">{#N/A,#N/A,FALSE,"1";#N/A,#N/A,FALSE,"2";#N/A,#N/A,FALSE,"16 - 17";#N/A,#N/A,FALSE,"18 - 19";#N/A,#N/A,FALSE,"26";#N/A,#N/A,FALSE,"27";#N/A,#N/A,FALSE,"28"}</definedName>
    <definedName name="wrn.ppp_3" hidden="1">{#N/A,#N/A,FALSE,"1";#N/A,#N/A,FALSE,"2";#N/A,#N/A,FALSE,"16 - 17";#N/A,#N/A,FALSE,"18 - 19";#N/A,#N/A,FALSE,"26";#N/A,#N/A,FALSE,"27";#N/A,#N/A,FALSE,"28"}</definedName>
    <definedName name="wrn.ppp_4" localSheetId="0" hidden="1">{#N/A,#N/A,FALSE,"1";#N/A,#N/A,FALSE,"2";#N/A,#N/A,FALSE,"16 - 17";#N/A,#N/A,FALSE,"18 - 19";#N/A,#N/A,FALSE,"26";#N/A,#N/A,FALSE,"27";#N/A,#N/A,FALSE,"28"}</definedName>
    <definedName name="wrn.ppp_4" localSheetId="6" hidden="1">{#N/A,#N/A,FALSE,"1";#N/A,#N/A,FALSE,"2";#N/A,#N/A,FALSE,"16 - 17";#N/A,#N/A,FALSE,"18 - 19";#N/A,#N/A,FALSE,"26";#N/A,#N/A,FALSE,"27";#N/A,#N/A,FALSE,"28"}</definedName>
    <definedName name="wrn.ppp_4" hidden="1">{#N/A,#N/A,FALSE,"1";#N/A,#N/A,FALSE,"2";#N/A,#N/A,FALSE,"16 - 17";#N/A,#N/A,FALSE,"18 - 19";#N/A,#N/A,FALSE,"26";#N/A,#N/A,FALSE,"27";#N/A,#N/A,FALSE,"28"}</definedName>
    <definedName name="wrn.ppp_5" localSheetId="0" hidden="1">{#N/A,#N/A,FALSE,"1";#N/A,#N/A,FALSE,"2";#N/A,#N/A,FALSE,"16 - 17";#N/A,#N/A,FALSE,"18 - 19";#N/A,#N/A,FALSE,"26";#N/A,#N/A,FALSE,"27";#N/A,#N/A,FALSE,"28"}</definedName>
    <definedName name="wrn.ppp_5" localSheetId="6" hidden="1">{#N/A,#N/A,FALSE,"1";#N/A,#N/A,FALSE,"2";#N/A,#N/A,FALSE,"16 - 17";#N/A,#N/A,FALSE,"18 - 19";#N/A,#N/A,FALSE,"26";#N/A,#N/A,FALSE,"27";#N/A,#N/A,FALSE,"28"}</definedName>
    <definedName name="wrn.ppp_5" hidden="1">{#N/A,#N/A,FALSE,"1";#N/A,#N/A,FALSE,"2";#N/A,#N/A,FALSE,"16 - 17";#N/A,#N/A,FALSE,"18 - 19";#N/A,#N/A,FALSE,"26";#N/A,#N/A,FALSE,"27";#N/A,#N/A,FALSE,"28"}</definedName>
    <definedName name="wrn.pr3sty." localSheetId="6" hidden="1">{#N/A,#N/A,FALSE,"intag";#N/A,#N/A,FALSE,"budg";#N/A,#N/A,FALSE,"samtl"}</definedName>
    <definedName name="wrn.pr3sty." hidden="1">{#N/A,#N/A,FALSE,"intag";#N/A,#N/A,FALSE,"budg";#N/A,#N/A,FALSE,"samtl"}</definedName>
    <definedName name="wrn.pr3sty.neu" localSheetId="6" hidden="1">{#N/A,#N/A,FALSE,"intag";#N/A,#N/A,FALSE,"budg";#N/A,#N/A,FALSE,"samtl"}</definedName>
    <definedName name="wrn.pr3sty.neu" hidden="1">{#N/A,#N/A,FALSE,"intag";#N/A,#N/A,FALSE,"budg";#N/A,#N/A,FALSE,"samtl"}</definedName>
    <definedName name="wrn.prem." localSheetId="0" hidden="1">{#N/A,#N/A,FALSE,"incmo";#N/A,#N/A,FALSE,"incqtr";#N/A,#N/A,FALSE,"incytd"}</definedName>
    <definedName name="wrn.prem." localSheetId="6" hidden="1">{#N/A,#N/A,FALSE,"incmo";#N/A,#N/A,FALSE,"incqtr";#N/A,#N/A,FALSE,"incytd"}</definedName>
    <definedName name="wrn.prem." hidden="1">{#N/A,#N/A,FALSE,"incmo";#N/A,#N/A,FALSE,"incqtr";#N/A,#N/A,FALSE,"incytd"}</definedName>
    <definedName name="wrn.PRES_OUT." localSheetId="0" hidden="1">{"page1",#N/A,FALSE,"PRESENTATION";"page2",#N/A,FALSE,"PRESENTATION";#N/A,#N/A,FALSE,"Valuation Summary"}</definedName>
    <definedName name="wrn.PRES_OUT." localSheetId="6" hidden="1">{"page1",#N/A,FALSE,"PRESENTATION";"page2",#N/A,FALSE,"PRESENTATION";#N/A,#N/A,FALSE,"Valuation Summary"}</definedName>
    <definedName name="wrn.PRES_OUT." hidden="1">{"page1",#N/A,FALSE,"PRESENTATION";"page2",#N/A,FALSE,"PRESENTATION";#N/A,#N/A,FALSE,"Valuation Summary"}</definedName>
    <definedName name="wrn.PRES_OUT._1" localSheetId="0" hidden="1">{"page1",#N/A,FALSE,"PRESENTATION";"page2",#N/A,FALSE,"PRESENTATION";#N/A,#N/A,FALSE,"Valuation Summary"}</definedName>
    <definedName name="wrn.PRES_OUT._1" localSheetId="6" hidden="1">{"page1",#N/A,FALSE,"PRESENTATION";"page2",#N/A,FALSE,"PRESENTATION";#N/A,#N/A,FALSE,"Valuation Summary"}</definedName>
    <definedName name="wrn.PRES_OUT._1" hidden="1">{"page1",#N/A,FALSE,"PRESENTATION";"page2",#N/A,FALSE,"PRESENTATION";#N/A,#N/A,FALSE,"Valuation Summary"}</definedName>
    <definedName name="wrn.PRES_OUT2" localSheetId="6" hidden="1">{"page1",#N/A,FALSE,"PRESENTATION";"page2",#N/A,FALSE,"PRESENTATION";#N/A,#N/A,FALSE,"Valuation Summary"}</definedName>
    <definedName name="wrn.PRES_OUT2" hidden="1">{"page1",#N/A,FALSE,"PRESENTATION";"page2",#N/A,FALSE,"PRESENTATION";#N/A,#N/A,FALSE,"Valuation Summary"}</definedName>
    <definedName name="wrn.Pres_OUT3" localSheetId="6" hidden="1">{"page1",#N/A,FALSE,"PRESENTATION";"page2",#N/A,FALSE,"PRESENTATION";#N/A,#N/A,FALSE,"Valuation Summary"}</definedName>
    <definedName name="wrn.Pres_OUT3" hidden="1">{"page1",#N/A,FALSE,"PRESENTATION";"page2",#N/A,FALSE,"PRESENTATION";#N/A,#N/A,FALSE,"Valuation Summary"}</definedName>
    <definedName name="wrn.PRES_OUT4" localSheetId="6" hidden="1">{"page1",#N/A,FALSE,"PRESENTATION";"page2",#N/A,FALSE,"PRESENTATION";#N/A,#N/A,FALSE,"Valuation Summary"}</definedName>
    <definedName name="wrn.PRES_OUT4" hidden="1">{"page1",#N/A,FALSE,"PRESENTATION";"page2",#N/A,FALSE,"PRESENTATION";#N/A,#N/A,FALSE,"Valuation Summary"}</definedName>
    <definedName name="wrn.PRES_OUT5" localSheetId="6" hidden="1">{"page1",#N/A,FALSE,"PRESENTATION";"page2",#N/A,FALSE,"PRESENTATION";#N/A,#N/A,FALSE,"Valuation Summary"}</definedName>
    <definedName name="wrn.PRES_OUT5" hidden="1">{"page1",#N/A,FALSE,"PRESENTATION";"page2",#N/A,FALSE,"PRESENTATION";#N/A,#N/A,FALSE,"Valuation Summary"}</definedName>
    <definedName name="wrn.PRES_OUT6" localSheetId="6" hidden="1">{"page1",#N/A,FALSE,"PRESENTATION";"page2",#N/A,FALSE,"PRESENTATION";#N/A,#N/A,FALSE,"Valuation Summary"}</definedName>
    <definedName name="wrn.PRES_OUT6" hidden="1">{"page1",#N/A,FALSE,"PRESENTATION";"page2",#N/A,FALSE,"PRESENTATION";#N/A,#N/A,FALSE,"Valuation Summary"}</definedName>
    <definedName name="wrn.PRES_OUT8" localSheetId="6" hidden="1">{"page1",#N/A,FALSE,"PRESENTATION";"page2",#N/A,FALSE,"PRESENTATION";#N/A,#N/A,FALSE,"Valuation Summary"}</definedName>
    <definedName name="wrn.PRES_OUT8" hidden="1">{"page1",#N/A,FALSE,"PRESENTATION";"page2",#N/A,FALSE,"PRESENTATION";#N/A,#N/A,FALSE,"Valuation Summary"}</definedName>
    <definedName name="wrn.Presentation." localSheetId="0" hidden="1">{#N/A,#N/A,TRUE,"Cover";#N/A,#N/A,TRUE,"Sum";#N/A,#N/A,TRUE,"SubsRev";#N/A,#N/A,TRUE,"CapEx";#N/A,#N/A,TRUE,"OpEx";#N/A,#N/A,TRUE,"SUs";#N/A,#N/A,TRUE,"OrgChart";#N/A,#N/A,TRUE,"Staff";#N/A,#N/A,TRUE,"P&amp;L";#N/A,#N/A,TRUE,"Cash";#N/A,#N/A,TRUE,"BS";#N/A,#N/A,TRUE,"Valuation";#N/A,#N/A,TRUE,"CapEx-Assumptions";#N/A,#N/A,TRUE,"OpEx-Assumptions"}</definedName>
    <definedName name="wrn.Presentation." localSheetId="6" hidden="1">{#N/A,#N/A,TRUE,"Cover";#N/A,#N/A,TRUE,"Sum";#N/A,#N/A,TRUE,"SubsRev";#N/A,#N/A,TRUE,"CapEx";#N/A,#N/A,TRUE,"OpEx";#N/A,#N/A,TRUE,"SUs";#N/A,#N/A,TRUE,"OrgChart";#N/A,#N/A,TRUE,"Staff";#N/A,#N/A,TRUE,"P&amp;L";#N/A,#N/A,TRUE,"Cash";#N/A,#N/A,TRUE,"BS";#N/A,#N/A,TRUE,"Valuation";#N/A,#N/A,TRUE,"CapEx-Assumptions";#N/A,#N/A,TRUE,"OpEx-Assumptions"}</definedName>
    <definedName name="wrn.Presentation." hidden="1">{#N/A,#N/A,TRUE,"Cover";#N/A,#N/A,TRUE,"Sum";#N/A,#N/A,TRUE,"SubsRev";#N/A,#N/A,TRUE,"CapEx";#N/A,#N/A,TRUE,"OpEx";#N/A,#N/A,TRUE,"SUs";#N/A,#N/A,TRUE,"OrgChart";#N/A,#N/A,TRUE,"Staff";#N/A,#N/A,TRUE,"P&amp;L";#N/A,#N/A,TRUE,"Cash";#N/A,#N/A,TRUE,"BS";#N/A,#N/A,TRUE,"Valuation";#N/A,#N/A,TRUE,"CapEx-Assumptions";#N/A,#N/A,TRUE,"OpEx-Assumptions"}</definedName>
    <definedName name="wrn.Presentation._.copies." localSheetId="6" hidden="1">{"outturn",#N/A,TRUE,"HCA";#N/A,#N/A,TRUE,"HCA Summary";#N/A,#N/A,TRUE,"Operating ratio graphs";"Profit and loss",#N/A,TRUE,"HCA"}</definedName>
    <definedName name="wrn.Presentation._.copies." hidden="1">{"outturn",#N/A,TRUE,"HCA";#N/A,#N/A,TRUE,"HCA Summary";#N/A,#N/A,TRUE,"Operating ratio graphs";"Profit and loss",#N/A,TRUE,"HCA"}</definedName>
    <definedName name="wrn.Presentation._.Version._.but._.No._.WC._.Slide." localSheetId="0"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esentation._.Version._.but._.No._.WC._.Slide." localSheetId="6"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esentation._.Version._.but._.No._.WC._.Slide." hidden="1">{"Presentation View",#N/A,TRUE,"Cover";"Presentation View",#N/A,TRUE,"Hilight_YTD";"Presentation View",#N/A,TRUE,"BridgeP";"Presentation View",#N/A,TRUE,"Bridge00";"Presentation View",#N/A,TRUE,"cnsoled_IS";"Presentation View",#N/A,TRUE,"cnsol_incYTD v plan";"Presentation View",#N/A,TRUE,"cnsol_incYTD v PY";"Presentation View",#N/A,TRUE,"Fcst1 qtrly";"Presentation View",#N/A,TRUE,"Fcst1 Qtrly Earnings";"Presentation View",#N/A,TRUE,"AR";"Presentation View",#N/A,TRUE,"INV";"Presentation View",#N/A,TRUE,"Inc Trend";"Presentation View",#N/A,TRUE,"cnsol_inc v p";"Presentation View",#N/A,TRUE,"cnsol_inc v PY";"Presentation View",#N/A,TRUE,"F1 BS";"Presentation View2",#N/A,TRUE,"cash flow";"Presentation View",#N/A,TRUE,"TITLE PF";"Presentation View",#N/A,TRUE,"cnsol_incYTDpf v PYpf";"Presentation View",#N/A,TRUE,"cnsol_inc v PYpf";"Presentation View",#N/A,TRUE,"CapExPF";"Presentation View",#N/A,TRUE,"Major Projects";"Presentation View",#N/A,TRUE,"MAR"}</definedName>
    <definedName name="wrn.presentation2" localSheetId="0" hidden="1">{#N/A,#N/A,TRUE,"Cover";#N/A,#N/A,TRUE,"Sum";#N/A,#N/A,TRUE,"SubsRev";#N/A,#N/A,TRUE,"CapEx";#N/A,#N/A,TRUE,"OpEx";#N/A,#N/A,TRUE,"SUs";#N/A,#N/A,TRUE,"OrgChart";#N/A,#N/A,TRUE,"Staff";#N/A,#N/A,TRUE,"P&amp;L";#N/A,#N/A,TRUE,"Cash";#N/A,#N/A,TRUE,"BS";#N/A,#N/A,TRUE,"Valuation";#N/A,#N/A,TRUE,"CapEx-Assumptions";#N/A,#N/A,TRUE,"OpEx-Assumptions"}</definedName>
    <definedName name="wrn.presentation2" localSheetId="6" hidden="1">{#N/A,#N/A,TRUE,"Cover";#N/A,#N/A,TRUE,"Sum";#N/A,#N/A,TRUE,"SubsRev";#N/A,#N/A,TRUE,"CapEx";#N/A,#N/A,TRUE,"OpEx";#N/A,#N/A,TRUE,"SUs";#N/A,#N/A,TRUE,"OrgChart";#N/A,#N/A,TRUE,"Staff";#N/A,#N/A,TRUE,"P&amp;L";#N/A,#N/A,TRUE,"Cash";#N/A,#N/A,TRUE,"BS";#N/A,#N/A,TRUE,"Valuation";#N/A,#N/A,TRUE,"CapEx-Assumptions";#N/A,#N/A,TRUE,"OpEx-Assumptions"}</definedName>
    <definedName name="wrn.presentation2" hidden="1">{#N/A,#N/A,TRUE,"Cover";#N/A,#N/A,TRUE,"Sum";#N/A,#N/A,TRUE,"SubsRev";#N/A,#N/A,TRUE,"CapEx";#N/A,#N/A,TRUE,"OpEx";#N/A,#N/A,TRUE,"SUs";#N/A,#N/A,TRUE,"OrgChart";#N/A,#N/A,TRUE,"Staff";#N/A,#N/A,TRUE,"P&amp;L";#N/A,#N/A,TRUE,"Cash";#N/A,#N/A,TRUE,"BS";#N/A,#N/A,TRUE,"Valuation";#N/A,#N/A,TRUE,"CapEx-Assumptions";#N/A,#N/A,TRUE,"OpEx-Assumptions"}</definedName>
    <definedName name="wrn.Primary._.Competition." localSheetId="6" hidden="1">{#N/A,#N/A,FALSE,"Primary"}</definedName>
    <definedName name="wrn.Primary._.Competition." hidden="1">{#N/A,#N/A,FALSE,"Primary"}</definedName>
    <definedName name="wrn.PrimeCo." localSheetId="0" hidden="1">{"print 1",#N/A,FALSE,"PrimeCo PCS";"print 2",#N/A,FALSE,"PrimeCo PCS";"valuation",#N/A,FALSE,"PrimeCo PCS"}</definedName>
    <definedName name="wrn.PrimeCo." localSheetId="6" hidden="1">{"print 1",#N/A,FALSE,"PrimeCo PCS";"print 2",#N/A,FALSE,"PrimeCo PCS";"valuation",#N/A,FALSE,"PrimeCo PCS"}</definedName>
    <definedName name="wrn.PrimeCo." hidden="1">{"print 1",#N/A,FALSE,"PrimeCo PCS";"print 2",#N/A,FALSE,"PrimeCo PCS";"valuation",#N/A,FALSE,"PrimeCo PCS"}</definedName>
    <definedName name="wrn.prin2._.all." localSheetId="0" hidden="1">{#N/A,#N/A,FALSE,"Pharm";#N/A,#N/A,FALSE,"WWCM"}</definedName>
    <definedName name="wrn.prin2._.all." localSheetId="6" hidden="1">{#N/A,#N/A,FALSE,"Pharm";#N/A,#N/A,FALSE,"WWCM"}</definedName>
    <definedName name="wrn.prin2._.all." hidden="1">{#N/A,#N/A,FALSE,"Pharm";#N/A,#N/A,FALSE,"WWCM"}</definedName>
    <definedName name="wrn.prin2._.all._1" localSheetId="0" hidden="1">{#N/A,#N/A,FALSE,"Pharm";#N/A,#N/A,FALSE,"WWCM"}</definedName>
    <definedName name="wrn.prin2._.all._1" localSheetId="6" hidden="1">{#N/A,#N/A,FALSE,"Pharm";#N/A,#N/A,FALSE,"WWCM"}</definedName>
    <definedName name="wrn.prin2._.all._1" hidden="1">{#N/A,#N/A,FALSE,"Pharm";#N/A,#N/A,FALSE,"WWCM"}</definedName>
    <definedName name="wrn.prin2._.all._1_1" localSheetId="0" hidden="1">{#N/A,#N/A,FALSE,"Pharm";#N/A,#N/A,FALSE,"WWCM"}</definedName>
    <definedName name="wrn.prin2._.all._1_1" localSheetId="6" hidden="1">{#N/A,#N/A,FALSE,"Pharm";#N/A,#N/A,FALSE,"WWCM"}</definedName>
    <definedName name="wrn.prin2._.all._1_1" hidden="1">{#N/A,#N/A,FALSE,"Pharm";#N/A,#N/A,FALSE,"WWCM"}</definedName>
    <definedName name="wrn.prin2._.all._2" localSheetId="0" hidden="1">{#N/A,#N/A,FALSE,"Pharm";#N/A,#N/A,FALSE,"WWCM"}</definedName>
    <definedName name="wrn.prin2._.all._2" localSheetId="6" hidden="1">{#N/A,#N/A,FALSE,"Pharm";#N/A,#N/A,FALSE,"WWCM"}</definedName>
    <definedName name="wrn.prin2._.all._2" hidden="1">{#N/A,#N/A,FALSE,"Pharm";#N/A,#N/A,FALSE,"WWCM"}</definedName>
    <definedName name="wrn.prin2._.all._3" localSheetId="0" hidden="1">{#N/A,#N/A,FALSE,"Pharm";#N/A,#N/A,FALSE,"WWCM"}</definedName>
    <definedName name="wrn.prin2._.all._3" localSheetId="6" hidden="1">{#N/A,#N/A,FALSE,"Pharm";#N/A,#N/A,FALSE,"WWCM"}</definedName>
    <definedName name="wrn.prin2._.all._3" hidden="1">{#N/A,#N/A,FALSE,"Pharm";#N/A,#N/A,FALSE,"WWCM"}</definedName>
    <definedName name="wrn.prin2._.all._4" localSheetId="0" hidden="1">{#N/A,#N/A,FALSE,"Pharm";#N/A,#N/A,FALSE,"WWCM"}</definedName>
    <definedName name="wrn.prin2._.all._4" localSheetId="6" hidden="1">{#N/A,#N/A,FALSE,"Pharm";#N/A,#N/A,FALSE,"WWCM"}</definedName>
    <definedName name="wrn.prin2._.all._4" hidden="1">{#N/A,#N/A,FALSE,"Pharm";#N/A,#N/A,FALSE,"WWCM"}</definedName>
    <definedName name="wrn.prin2._.all._5" localSheetId="0" hidden="1">{#N/A,#N/A,FALSE,"Pharm";#N/A,#N/A,FALSE,"WWCM"}</definedName>
    <definedName name="wrn.prin2._.all._5" localSheetId="6" hidden="1">{#N/A,#N/A,FALSE,"Pharm";#N/A,#N/A,FALSE,"WWCM"}</definedName>
    <definedName name="wrn.prin2._.all._5" hidden="1">{#N/A,#N/A,FALSE,"Pharm";#N/A,#N/A,FALSE,"WWCM"}</definedName>
    <definedName name="wrn.prin3" localSheetId="0" hidden="1">{#N/A,#N/A,FALSE,"Pharm";#N/A,#N/A,FALSE,"WWCM"}</definedName>
    <definedName name="wrn.prin3" localSheetId="6" hidden="1">{#N/A,#N/A,FALSE,"Pharm";#N/A,#N/A,FALSE,"WWCM"}</definedName>
    <definedName name="wrn.prin3" hidden="1">{#N/A,#N/A,FALSE,"Pharm";#N/A,#N/A,FALSE,"WWCM"}</definedName>
    <definedName name="wrn.prin3_1" localSheetId="0" hidden="1">{#N/A,#N/A,FALSE,"Pharm";#N/A,#N/A,FALSE,"WWCM"}</definedName>
    <definedName name="wrn.prin3_1" localSheetId="6" hidden="1">{#N/A,#N/A,FALSE,"Pharm";#N/A,#N/A,FALSE,"WWCM"}</definedName>
    <definedName name="wrn.prin3_1" hidden="1">{#N/A,#N/A,FALSE,"Pharm";#N/A,#N/A,FALSE,"WWCM"}</definedName>
    <definedName name="wrn.prin3_1_1" localSheetId="0" hidden="1">{#N/A,#N/A,FALSE,"Pharm";#N/A,#N/A,FALSE,"WWCM"}</definedName>
    <definedName name="wrn.prin3_1_1" localSheetId="6" hidden="1">{#N/A,#N/A,FALSE,"Pharm";#N/A,#N/A,FALSE,"WWCM"}</definedName>
    <definedName name="wrn.prin3_1_1" hidden="1">{#N/A,#N/A,FALSE,"Pharm";#N/A,#N/A,FALSE,"WWCM"}</definedName>
    <definedName name="wrn.prin3_2" localSheetId="0" hidden="1">{#N/A,#N/A,FALSE,"Pharm";#N/A,#N/A,FALSE,"WWCM"}</definedName>
    <definedName name="wrn.prin3_2" localSheetId="6" hidden="1">{#N/A,#N/A,FALSE,"Pharm";#N/A,#N/A,FALSE,"WWCM"}</definedName>
    <definedName name="wrn.prin3_2" hidden="1">{#N/A,#N/A,FALSE,"Pharm";#N/A,#N/A,FALSE,"WWCM"}</definedName>
    <definedName name="wrn.prin3_3" localSheetId="0" hidden="1">{#N/A,#N/A,FALSE,"Pharm";#N/A,#N/A,FALSE,"WWCM"}</definedName>
    <definedName name="wrn.prin3_3" localSheetId="6" hidden="1">{#N/A,#N/A,FALSE,"Pharm";#N/A,#N/A,FALSE,"WWCM"}</definedName>
    <definedName name="wrn.prin3_3" hidden="1">{#N/A,#N/A,FALSE,"Pharm";#N/A,#N/A,FALSE,"WWCM"}</definedName>
    <definedName name="wrn.prin3_4" localSheetId="0" hidden="1">{#N/A,#N/A,FALSE,"Pharm";#N/A,#N/A,FALSE,"WWCM"}</definedName>
    <definedName name="wrn.prin3_4" localSheetId="6" hidden="1">{#N/A,#N/A,FALSE,"Pharm";#N/A,#N/A,FALSE,"WWCM"}</definedName>
    <definedName name="wrn.prin3_4" hidden="1">{#N/A,#N/A,FALSE,"Pharm";#N/A,#N/A,FALSE,"WWCM"}</definedName>
    <definedName name="wrn.prin3_5" localSheetId="0" hidden="1">{#N/A,#N/A,FALSE,"Pharm";#N/A,#N/A,FALSE,"WWCM"}</definedName>
    <definedName name="wrn.prin3_5" localSheetId="6" hidden="1">{#N/A,#N/A,FALSE,"Pharm";#N/A,#N/A,FALSE,"WWCM"}</definedName>
    <definedName name="wrn.prin3_5" hidden="1">{#N/A,#N/A,FALSE,"Pharm";#N/A,#N/A,FALSE,"WWCM"}</definedName>
    <definedName name="wrn.principais." localSheetId="6" hidden="1">{#N/A,#N/A,FALSE,"AMSA611";#N/A,#N/A,FALSE,"STACFLOW"}</definedName>
    <definedName name="wrn.principais." hidden="1">{#N/A,#N/A,FALSE,"AMSA611";#N/A,#N/A,FALSE,"STACFLOW"}</definedName>
    <definedName name="wrn.Principale." localSheetId="0" hidden="1">{"Principale",#N/A,TRUE,"ONNET2B"}</definedName>
    <definedName name="wrn.Principale." localSheetId="6" hidden="1">{"Principale",#N/A,TRUE,"ONNET2B"}</definedName>
    <definedName name="wrn.Principale." hidden="1">{"Principale",#N/A,TRUE,"ONNET2B"}</definedName>
    <definedName name="wrn.print" localSheetId="0" hidden="1">{"page1",#N/A,FALSE,"PROFORMA";"page2",#N/A,FALSE,"PROFORMA";"page3",#N/A,FALSE,"PROFORMA";"page4",#N/A,FALSE,"PROFORMA";"page5",#N/A,FALSE,"PROFORMA";"page6",#N/A,FALSE,"PROFORMA";"page7",#N/A,FALSE,"PROFORMA";"page8",#N/A,FALSE,"PROFORMA"}</definedName>
    <definedName name="wrn.print" localSheetId="6" hidden="1">{"page1",#N/A,FALSE,"PROFORMA";"page2",#N/A,FALSE,"PROFORMA";"page3",#N/A,FALSE,"PROFORMA";"page4",#N/A,FALSE,"PROFORMA";"page5",#N/A,FALSE,"PROFORMA";"page6",#N/A,FALSE,"PROFORMA";"page7",#N/A,FALSE,"PROFORMA";"page8",#N/A,FALSE,"PROFORMA"}</definedName>
    <definedName name="wrn.print" hidden="1">{"page1",#N/A,FALSE,"PROFORMA";"page2",#N/A,FALSE,"PROFORMA";"page3",#N/A,FALSE,"PROFORMA";"page4",#N/A,FALSE,"PROFORMA";"page5",#N/A,FALSE,"PROFORMA";"page6",#N/A,FALSE,"PROFORMA";"page7",#N/A,FALSE,"PROFORMA";"page8",#N/A,FALSE,"PROFORMA"}</definedName>
    <definedName name="wrn.Print." localSheetId="0" hidden="1">{"vi1",#N/A,FALSE,"Financial Statements";"vi2",#N/A,FALSE,"Financial Statements";#N/A,#N/A,FALSE,"DCF"}</definedName>
    <definedName name="wrn.Print." localSheetId="6" hidden="1">{"vi1",#N/A,FALSE,"Financial Statements";"vi2",#N/A,FALSE,"Financial Statements";#N/A,#N/A,FALSE,"DCF"}</definedName>
    <definedName name="wrn.Print." hidden="1">{"vi1",#N/A,FALSE,"Financial Statements";"vi2",#N/A,FALSE,"Financial Statements";#N/A,#N/A,FALSE,"DCF"}</definedName>
    <definedName name="wrn.print._.all." localSheetId="0"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 localSheetId="6"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 hidden="1">{"all_other_prp",#N/A,FALSE,"All Other PP";"all_other_prp",#N/A,FALSE,"All Other PDC";"all_other_prp",#N/A,FALSE,"All Other PUD";"all_other_prp",#N/A,FALSE,"Boon PP";"all_other_prp",#N/A,FALSE,"Boon PDC";"all_other_prp",#N/A,FALSE,"Boon PUD";"all_other_prp",#N/A,FALSE,"Fash PP";"all_other_prp",#N/A,FALSE,"Fash PUD";"all_other_prp",#N/A,FALSE,"GB PP";"all_other_prp",#N/A,FALSE,"GB PUD";"all_other_prp",#N/A,FALSE,"GC PUD";"all_other_prp",#N/A,FALSE,"Logan PP";"all_other_prp",#N/A,FALSE,"Logan PDC";"all_other_prp",#N/A,FALSE,"Logan PUD";"all_other_prp",#N/A,FALSE,"Miss PP";"all_other_prp",#N/A,FALSE,"MS PP";"all_other_prp",#N/A,FALSE,"Ver PP";"all_other_prp",#N/A,FALSE,"Ind PUD";"all_other_prp",#N/A,FALSE,"ET All";"all_other_prp",#N/A,FALSE,"N Lans PP";"all_other_prp",#N/A,FALSE,"N Lans PDC";"all_other_prp",#N/A,FALSE,"N Lans PUD";"all_other_prp",#N/A,FALSE,"Opel PP";"all_other_prp",#N/A,FALSE,"Opel PUD";"all_other_prp",#N/A,FALSE,"TC PP";"all_other_prp",#N/A,FALSE,"TC PDC";"all_other_prp",#N/A,FALSE,"TC PUD";"all_other_prp",#N/A,FALSE,"Whelan PP";"all_other_prp",#N/A,FALSE,"Whelan PDC";"all_other_prp",#N/A,FALSE,"Whelan PUD";"all_other_prp",#N/A,FALSE,"WS PP";"all_other_prp",#N/A,FALSE,"WS PDC";"all_other_prp",#N/A,FALSE,"WS PUD";"all_other_prp",#N/A,FALSE,"UK PUD"}</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localSheetId="6"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Exhibits." localSheetId="0" hidden="1">{"Inc Stmt Dollar",#N/A,FALSE,"IS";"Inc Stmt CS",#N/A,FALSE,"IS";"BS Dollar",#N/A,FALSE,"BS";"BS CS",#N/A,FALSE,"BS";"CF Dollar",#N/A,FALSE,"CF";"Ratio No.1",#N/A,FALSE,"Ratio";"Ratio No.2",#N/A,FALSE,"Ratio"}</definedName>
    <definedName name="wrn.Print._.All._.Exhibits." localSheetId="6" hidden="1">{"Inc Stmt Dollar",#N/A,FALSE,"IS";"Inc Stmt CS",#N/A,FALSE,"IS";"BS Dollar",#N/A,FALSE,"BS";"BS CS",#N/A,FALSE,"BS";"CF Dollar",#N/A,FALSE,"CF";"Ratio No.1",#N/A,FALSE,"Ratio";"Ratio No.2",#N/A,FALSE,"Ratio"}</definedName>
    <definedName name="wrn.Print._.All._.Exhibits." hidden="1">{"Inc Stmt Dollar",#N/A,FALSE,"IS";"Inc Stmt CS",#N/A,FALSE,"IS";"BS Dollar",#N/A,FALSE,"BS";"BS CS",#N/A,FALSE,"BS";"CF Dollar",#N/A,FALSE,"CF";"Ratio No.1",#N/A,FALSE,"Ratio";"Ratio No.2",#N/A,FALSE,"Ratio"}</definedName>
    <definedName name="wrn.Print._.all._.GLI._.Reports." localSheetId="0" hidden="1">{"GLI-Income Statement",#N/A,FALSE,"gli";"GLI - Balance Sheet Wksht",#N/A,FALSE,"gli";"GLI-Cash Flow",#N/A,FALSE,"gli";"GLI Qtrly Stats",#N/A,FALSE,"gli"}</definedName>
    <definedName name="wrn.Print._.all._.GLI._.Reports." localSheetId="6" hidden="1">{"GLI-Income Statement",#N/A,FALSE,"gli";"GLI - Balance Sheet Wksht",#N/A,FALSE,"gli";"GLI-Cash Flow",#N/A,FALSE,"gli";"GLI Qtrly Stats",#N/A,FALSE,"gli"}</definedName>
    <definedName name="wrn.Print._.all._.GLI._.Reports." hidden="1">{"GLI-Income Statement",#N/A,FALSE,"gli";"GLI - Balance Sheet Wksht",#N/A,FALSE,"gli";"GLI-Cash Flow",#N/A,FALSE,"gli";"GLI Qtrly Stats",#N/A,FALSE,"gli"}</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localSheetId="6"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6"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all._.sheets." localSheetId="0" hidden="1">{"summary",#N/A,FALSE,"Valuation Analysis";"assumptions1",#N/A,FALSE,"Valuation Analysis";"assumptions2",#N/A,FALSE,"Valuation Analysis"}</definedName>
    <definedName name="wrn.print._.all._.sheets." localSheetId="6" hidden="1">{"summary",#N/A,FALSE,"Valuation Analysis";"assumptions1",#N/A,FALSE,"Valuation Analysis";"assumptions2",#N/A,FALSE,"Valuation Analysis"}</definedName>
    <definedName name="wrn.print._.all._.sheets." hidden="1">{"summary",#N/A,FALSE,"Valuation Analysis";"assumptions1",#N/A,FALSE,"Valuation Analysis";"assumptions2",#N/A,FALSE,"Valuation Analysis"}</definedName>
    <definedName name="wrn.Print._.All._.Valuation." localSheetId="0" hidden="1">{#N/A,#N/A,FALSE,"Clyd. Comps";#N/A,#N/A,FALSE,"Sum of Parts";#N/A,#N/A,FALSE,"York. Comps";#N/A,#N/A,FALSE,"North. Comps";#N/A,#N/A,FALSE,"NIB Comps";#N/A,#N/A,FALSE,"Clyd. DCF";#N/A,#N/A,FALSE,"York. DCF";#N/A,#N/A,FALSE,"North. DCF";#N/A,#N/A,FALSE,"NIB DCF";#N/A,#N/A,FALSE,"Clyd. DTPF";#N/A,#N/A,FALSE,"York. DTPF";#N/A,#N/A,FALSE,"North. DTPF";#N/A,#N/A,FALSE,"NIB DTPF"}</definedName>
    <definedName name="wrn.Print._.All._.Valuation." localSheetId="6" hidden="1">{#N/A,#N/A,FALSE,"Clyd. Comps";#N/A,#N/A,FALSE,"Sum of Parts";#N/A,#N/A,FALSE,"York. Comps";#N/A,#N/A,FALSE,"North. Comps";#N/A,#N/A,FALSE,"NIB Comps";#N/A,#N/A,FALSE,"Clyd. DCF";#N/A,#N/A,FALSE,"York. DCF";#N/A,#N/A,FALSE,"North. DCF";#N/A,#N/A,FALSE,"NIB DCF";#N/A,#N/A,FALSE,"Clyd. DTPF";#N/A,#N/A,FALSE,"York. DTPF";#N/A,#N/A,FALSE,"North. DTPF";#N/A,#N/A,FALSE,"NIB DTPF"}</definedName>
    <definedName name="wrn.Print._.All._.Valuation." hidden="1">{#N/A,#N/A,FALSE,"Clyd. Comps";#N/A,#N/A,FALSE,"Sum of Parts";#N/A,#N/A,FALSE,"York. Comps";#N/A,#N/A,FALSE,"North. Comps";#N/A,#N/A,FALSE,"NIB Comps";#N/A,#N/A,FALSE,"Clyd. DCF";#N/A,#N/A,FALSE,"York. DCF";#N/A,#N/A,FALSE,"North. DCF";#N/A,#N/A,FALSE,"NIB DCF";#N/A,#N/A,FALSE,"Clyd. DTPF";#N/A,#N/A,FALSE,"York. DTPF";#N/A,#N/A,FALSE,"North. DTPF";#N/A,#N/A,FALSE,"NIB DTPF"}</definedName>
    <definedName name="wrn.PRINT._.ALL._1" localSheetId="0" hidden="1">{#N/A,#N/A,FALSE,"Pharm";#N/A,#N/A,FALSE,"WWCM"}</definedName>
    <definedName name="wrn.PRINT._.ALL._1" localSheetId="6" hidden="1">{#N/A,#N/A,FALSE,"Pharm";#N/A,#N/A,FALSE,"WWCM"}</definedName>
    <definedName name="wrn.PRINT._.ALL._1" hidden="1">{#N/A,#N/A,FALSE,"Pharm";#N/A,#N/A,FALSE,"WWCM"}</definedName>
    <definedName name="wrn.PRINT._.ALL._1_1" localSheetId="0" hidden="1">{#N/A,#N/A,FALSE,"Pharm";#N/A,#N/A,FALSE,"WWCM"}</definedName>
    <definedName name="wrn.PRINT._.ALL._1_1" localSheetId="6" hidden="1">{#N/A,#N/A,FALSE,"Pharm";#N/A,#N/A,FALSE,"WWCM"}</definedName>
    <definedName name="wrn.PRINT._.ALL._1_1" hidden="1">{#N/A,#N/A,FALSE,"Pharm";#N/A,#N/A,FALSE,"WWCM"}</definedName>
    <definedName name="wrn.PRINT._.ALL._2" localSheetId="0" hidden="1">{#N/A,#N/A,FALSE,"Pharm";#N/A,#N/A,FALSE,"WWCM"}</definedName>
    <definedName name="wrn.PRINT._.ALL._2" localSheetId="6" hidden="1">{#N/A,#N/A,FALSE,"Pharm";#N/A,#N/A,FALSE,"WWCM"}</definedName>
    <definedName name="wrn.PRINT._.ALL._2" hidden="1">{#N/A,#N/A,FALSE,"Pharm";#N/A,#N/A,FALSE,"WWCM"}</definedName>
    <definedName name="wrn.PRINT._.ALL._3" localSheetId="0" hidden="1">{#N/A,#N/A,FALSE,"Pharm";#N/A,#N/A,FALSE,"WWCM"}</definedName>
    <definedName name="wrn.PRINT._.ALL._3" localSheetId="6" hidden="1">{#N/A,#N/A,FALSE,"Pharm";#N/A,#N/A,FALSE,"WWCM"}</definedName>
    <definedName name="wrn.PRINT._.ALL._3" hidden="1">{#N/A,#N/A,FALSE,"Pharm";#N/A,#N/A,FALSE,"WWCM"}</definedName>
    <definedName name="wrn.PRINT._.ALL._4" localSheetId="0" hidden="1">{#N/A,#N/A,FALSE,"Pharm";#N/A,#N/A,FALSE,"WWCM"}</definedName>
    <definedName name="wrn.PRINT._.ALL._4" localSheetId="6" hidden="1">{#N/A,#N/A,FALSE,"Pharm";#N/A,#N/A,FALSE,"WWCM"}</definedName>
    <definedName name="wrn.PRINT._.ALL._4" hidden="1">{#N/A,#N/A,FALSE,"Pharm";#N/A,#N/A,FALSE,"WWCM"}</definedName>
    <definedName name="wrn.PRINT._.ALL._5" localSheetId="0" hidden="1">{#N/A,#N/A,FALSE,"Pharm";#N/A,#N/A,FALSE,"WWCM"}</definedName>
    <definedName name="wrn.PRINT._.ALL._5" localSheetId="6" hidden="1">{#N/A,#N/A,FALSE,"Pharm";#N/A,#N/A,FALSE,"WWCM"}</definedName>
    <definedName name="wrn.PRINT._.ALL._5" hidden="1">{#N/A,#N/A,FALSE,"Pharm";#N/A,#N/A,FALSE,"WWCM"}</definedName>
    <definedName name="wrn.PRINT._.ALL.2" localSheetId="0" hidden="1">{#N/A,#N/A,FALSE,"Pharm";#N/A,#N/A,FALSE,"WWCM"}</definedName>
    <definedName name="wrn.PRINT._.ALL.2" localSheetId="6" hidden="1">{#N/A,#N/A,FALSE,"Pharm";#N/A,#N/A,FALSE,"WWCM"}</definedName>
    <definedName name="wrn.PRINT._.ALL.2" hidden="1">{#N/A,#N/A,FALSE,"Pharm";#N/A,#N/A,FALSE,"WWCM"}</definedName>
    <definedName name="wrn.PRINT._.ALL.2_1" localSheetId="0" hidden="1">{#N/A,#N/A,FALSE,"Pharm";#N/A,#N/A,FALSE,"WWCM"}</definedName>
    <definedName name="wrn.PRINT._.ALL.2_1" localSheetId="6" hidden="1">{#N/A,#N/A,FALSE,"Pharm";#N/A,#N/A,FALSE,"WWCM"}</definedName>
    <definedName name="wrn.PRINT._.ALL.2_1" hidden="1">{#N/A,#N/A,FALSE,"Pharm";#N/A,#N/A,FALSE,"WWCM"}</definedName>
    <definedName name="wrn.PRINT._.ALL.2_1_1" localSheetId="0" hidden="1">{#N/A,#N/A,FALSE,"Pharm";#N/A,#N/A,FALSE,"WWCM"}</definedName>
    <definedName name="wrn.PRINT._.ALL.2_1_1" localSheetId="6" hidden="1">{#N/A,#N/A,FALSE,"Pharm";#N/A,#N/A,FALSE,"WWCM"}</definedName>
    <definedName name="wrn.PRINT._.ALL.2_1_1" hidden="1">{#N/A,#N/A,FALSE,"Pharm";#N/A,#N/A,FALSE,"WWCM"}</definedName>
    <definedName name="wrn.PRINT._.ALL.2_2" localSheetId="0" hidden="1">{#N/A,#N/A,FALSE,"Pharm";#N/A,#N/A,FALSE,"WWCM"}</definedName>
    <definedName name="wrn.PRINT._.ALL.2_2" localSheetId="6" hidden="1">{#N/A,#N/A,FALSE,"Pharm";#N/A,#N/A,FALSE,"WWCM"}</definedName>
    <definedName name="wrn.PRINT._.ALL.2_2" hidden="1">{#N/A,#N/A,FALSE,"Pharm";#N/A,#N/A,FALSE,"WWCM"}</definedName>
    <definedName name="wrn.PRINT._.ALL.2_3" localSheetId="0" hidden="1">{#N/A,#N/A,FALSE,"Pharm";#N/A,#N/A,FALSE,"WWCM"}</definedName>
    <definedName name="wrn.PRINT._.ALL.2_3" localSheetId="6" hidden="1">{#N/A,#N/A,FALSE,"Pharm";#N/A,#N/A,FALSE,"WWCM"}</definedName>
    <definedName name="wrn.PRINT._.ALL.2_3" hidden="1">{#N/A,#N/A,FALSE,"Pharm";#N/A,#N/A,FALSE,"WWCM"}</definedName>
    <definedName name="wrn.PRINT._.ALL.2_4" localSheetId="0" hidden="1">{#N/A,#N/A,FALSE,"Pharm";#N/A,#N/A,FALSE,"WWCM"}</definedName>
    <definedName name="wrn.PRINT._.ALL.2_4" localSheetId="6" hidden="1">{#N/A,#N/A,FALSE,"Pharm";#N/A,#N/A,FALSE,"WWCM"}</definedName>
    <definedName name="wrn.PRINT._.ALL.2_4" hidden="1">{#N/A,#N/A,FALSE,"Pharm";#N/A,#N/A,FALSE,"WWCM"}</definedName>
    <definedName name="wrn.PRINT._.ALL.2_5" localSheetId="0" hidden="1">{#N/A,#N/A,FALSE,"Pharm";#N/A,#N/A,FALSE,"WWCM"}</definedName>
    <definedName name="wrn.PRINT._.ALL.2_5" localSheetId="6" hidden="1">{#N/A,#N/A,FALSE,"Pharm";#N/A,#N/A,FALSE,"WWCM"}</definedName>
    <definedName name="wrn.PRINT._.ALL.2_5" hidden="1">{#N/A,#N/A,FALSE,"Pharm";#N/A,#N/A,FALSE,"WWCM"}</definedName>
    <definedName name="wrn.print._.all2" localSheetId="0" hidden="1">{#N/A,#N/A,FALSE,"Pharm";#N/A,#N/A,FALSE,"WWCM"}</definedName>
    <definedName name="wrn.print._.all2" localSheetId="6" hidden="1">{#N/A,#N/A,FALSE,"Pharm";#N/A,#N/A,FALSE,"WWCM"}</definedName>
    <definedName name="wrn.print._.all2" hidden="1">{#N/A,#N/A,FALSE,"Pharm";#N/A,#N/A,FALSE,"WWCM"}</definedName>
    <definedName name="wrn.print._.all2_1" localSheetId="0" hidden="1">{#N/A,#N/A,FALSE,"Pharm";#N/A,#N/A,FALSE,"WWCM"}</definedName>
    <definedName name="wrn.print._.all2_1" localSheetId="6" hidden="1">{#N/A,#N/A,FALSE,"Pharm";#N/A,#N/A,FALSE,"WWCM"}</definedName>
    <definedName name="wrn.print._.all2_1" hidden="1">{#N/A,#N/A,FALSE,"Pharm";#N/A,#N/A,FALSE,"WWCM"}</definedName>
    <definedName name="wrn.print._.all2_1_1" localSheetId="0" hidden="1">{#N/A,#N/A,FALSE,"Pharm";#N/A,#N/A,FALSE,"WWCM"}</definedName>
    <definedName name="wrn.print._.all2_1_1" localSheetId="6" hidden="1">{#N/A,#N/A,FALSE,"Pharm";#N/A,#N/A,FALSE,"WWCM"}</definedName>
    <definedName name="wrn.print._.all2_1_1" hidden="1">{#N/A,#N/A,FALSE,"Pharm";#N/A,#N/A,FALSE,"WWCM"}</definedName>
    <definedName name="wrn.print._.all2_2" localSheetId="0" hidden="1">{#N/A,#N/A,FALSE,"Pharm";#N/A,#N/A,FALSE,"WWCM"}</definedName>
    <definedName name="wrn.print._.all2_2" localSheetId="6" hidden="1">{#N/A,#N/A,FALSE,"Pharm";#N/A,#N/A,FALSE,"WWCM"}</definedName>
    <definedName name="wrn.print._.all2_2" hidden="1">{#N/A,#N/A,FALSE,"Pharm";#N/A,#N/A,FALSE,"WWCM"}</definedName>
    <definedName name="wrn.print._.all2_3" localSheetId="0" hidden="1">{#N/A,#N/A,FALSE,"Pharm";#N/A,#N/A,FALSE,"WWCM"}</definedName>
    <definedName name="wrn.print._.all2_3" localSheetId="6" hidden="1">{#N/A,#N/A,FALSE,"Pharm";#N/A,#N/A,FALSE,"WWCM"}</definedName>
    <definedName name="wrn.print._.all2_3" hidden="1">{#N/A,#N/A,FALSE,"Pharm";#N/A,#N/A,FALSE,"WWCM"}</definedName>
    <definedName name="wrn.print._.all2_4" localSheetId="0" hidden="1">{#N/A,#N/A,FALSE,"Pharm";#N/A,#N/A,FALSE,"WWCM"}</definedName>
    <definedName name="wrn.print._.all2_4" localSheetId="6" hidden="1">{#N/A,#N/A,FALSE,"Pharm";#N/A,#N/A,FALSE,"WWCM"}</definedName>
    <definedName name="wrn.print._.all2_4" hidden="1">{#N/A,#N/A,FALSE,"Pharm";#N/A,#N/A,FALSE,"WWCM"}</definedName>
    <definedName name="wrn.print._.all2_5" localSheetId="0" hidden="1">{#N/A,#N/A,FALSE,"Pharm";#N/A,#N/A,FALSE,"WWCM"}</definedName>
    <definedName name="wrn.print._.all2_5" localSheetId="6" hidden="1">{#N/A,#N/A,FALSE,"Pharm";#N/A,#N/A,FALSE,"WWCM"}</definedName>
    <definedName name="wrn.print._.all2_5" hidden="1">{#N/A,#N/A,FALSE,"Pharm";#N/A,#N/A,FALSE,"WWCM"}</definedName>
    <definedName name="wrn.Print._.Blank._.Exhibit." localSheetId="0" hidden="1">{"Extra 1",#N/A,FALSE,"Blank"}</definedName>
    <definedName name="wrn.Print._.Blank._.Exhibit." localSheetId="6" hidden="1">{"Extra 1",#N/A,FALSE,"Blank"}</definedName>
    <definedName name="wrn.Print._.Blank._.Exhibit." hidden="1">{"Extra 1",#N/A,FALSE,"Blank"}</definedName>
    <definedName name="wrn.Print._.BS._.Exhibits." localSheetId="0" hidden="1">{"BS Dollar",#N/A,FALSE,"BS";"BS CS",#N/A,FALSE,"BS"}</definedName>
    <definedName name="wrn.Print._.BS._.Exhibits." localSheetId="6" hidden="1">{"BS Dollar",#N/A,FALSE,"BS";"BS CS",#N/A,FALSE,"BS"}</definedName>
    <definedName name="wrn.Print._.BS._.Exhibits." hidden="1">{"BS Dollar",#N/A,FALSE,"BS";"BS CS",#N/A,FALSE,"BS"}</definedName>
    <definedName name="wrn.Print._.Cashflow._.Analysis." localSheetId="0" hidden="1">{"CASHFLOWANAL1",#N/A,FALSE,"Cashflow Analysis";"CASHFLOWANAL2",#N/A,FALSE,"Cashflow Analysis"}</definedName>
    <definedName name="wrn.Print._.Cashflow._.Analysis." localSheetId="6" hidden="1">{"CASHFLOWANAL1",#N/A,FALSE,"Cashflow Analysis";"CASHFLOWANAL2",#N/A,FALSE,"Cashflow Analysis"}</definedName>
    <definedName name="wrn.Print._.Cashflow._.Analysis." hidden="1">{"CASHFLOWANAL1",#N/A,FALSE,"Cashflow Analysis";"CASHFLOWANAL2",#N/A,FALSE,"Cashflow Analysis"}</definedName>
    <definedName name="wrn.Print._.Cashflow._.Analysis._1" localSheetId="0" hidden="1">{"CASHFLOWANAL1",#N/A,FALSE,"Cashflow Analysis";"CASHFLOWANAL2",#N/A,FALSE,"Cashflow Analysis"}</definedName>
    <definedName name="wrn.Print._.Cashflow._.Analysis._1" localSheetId="6" hidden="1">{"CASHFLOWANAL1",#N/A,FALSE,"Cashflow Analysis";"CASHFLOWANAL2",#N/A,FALSE,"Cashflow Analysis"}</definedName>
    <definedName name="wrn.Print._.Cashflow._.Analysis._1" hidden="1">{"CASHFLOWANAL1",#N/A,FALSE,"Cashflow Analysis";"CASHFLOWANAL2",#N/A,FALSE,"Cashflow Analysis"}</definedName>
    <definedName name="wrn.Print._.Centre._.Report." localSheetId="0" hidden="1">{"PRINTCENTRE1",#N/A,FALSE,"Print Centre";"PRINTCENTRE2",#N/A,FALSE,"Print Centre"}</definedName>
    <definedName name="wrn.Print._.Centre._.Report." localSheetId="6" hidden="1">{"PRINTCENTRE1",#N/A,FALSE,"Print Centre";"PRINTCENTRE2",#N/A,FALSE,"Print Centre"}</definedName>
    <definedName name="wrn.Print._.Centre._.Report." hidden="1">{"PRINTCENTRE1",#N/A,FALSE,"Print Centre";"PRINTCENTRE2",#N/A,FALSE,"Print Centre"}</definedName>
    <definedName name="wrn.Print._.Centre._.Report._1" localSheetId="0" hidden="1">{"PRINTCENTRE1",#N/A,FALSE,"Print Centre";"PRINTCENTRE2",#N/A,FALSE,"Print Centre"}</definedName>
    <definedName name="wrn.Print._.Centre._.Report._1" localSheetId="6" hidden="1">{"PRINTCENTRE1",#N/A,FALSE,"Print Centre";"PRINTCENTRE2",#N/A,FALSE,"Print Centre"}</definedName>
    <definedName name="wrn.Print._.Centre._.Report._1" hidden="1">{"PRINTCENTRE1",#N/A,FALSE,"Print Centre";"PRINTCENTRE2",#N/A,FALSE,"Print Centre"}</definedName>
    <definedName name="wrn.Print._.CF._.Exhibit." localSheetId="0" hidden="1">{"CF Dollar",#N/A,FALSE,"CF"}</definedName>
    <definedName name="wrn.Print._.CF._.Exhibit." localSheetId="6" hidden="1">{"CF Dollar",#N/A,FALSE,"CF"}</definedName>
    <definedName name="wrn.Print._.CF._.Exhibit." hidden="1">{"CF Dollar",#N/A,FALSE,"CF"}</definedName>
    <definedName name="wrn.Print._.Document._.Pages." localSheetId="0"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wrn.Print._.Document._.Pages." localSheetId="6"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wrn.Print._.Document._.Pages." hidden="1">{#N/A,#N/A,FALSE,"Assumptions";#N/A,#N/A,FALSE,"Switches";#N/A,#N/A,FALSE,"Bidder P&amp;L";#N/A,#N/A,FALSE,"Bidder BS";#N/A,#N/A,FALSE,"Target P&amp;L";#N/A,#N/A,FALSE,"Target BS";#N/A,#N/A,FALSE,"Target Options";#N/A,#N/A,FALSE,"Comb P&amp;L Acq Yr";#N/A,#N/A,FALSE,"Comb P&amp;L Acq Yr + 1";#N/A,#N/A,FALSE,"Comb P&amp;L Acq Yr + 2";#N/A,#N/A,FALSE,"Comb P&amp;L Acq Yr + 3";#N/A,#N/A,FALSE,"Comb P&amp;L Acq Yr + 4";#N/A,#N/A,FALSE,"Comb P&amp;L Acq Yr + 5";#N/A,#N/A,FALSE,"Comb BS";#N/A,#N/A,FALSE,"Consid Mix"}</definedName>
    <definedName name="wrn.PRINT._.DONC._.CONS._.TOTALS." localSheetId="0" hidden="1">{"DONC CONS RPT",#N/A,TRUE,"Doncaster"}</definedName>
    <definedName name="wrn.PRINT._.DONC._.CONS._.TOTALS." localSheetId="6" hidden="1">{"DONC CONS RPT",#N/A,TRUE,"Doncaster"}</definedName>
    <definedName name="wrn.PRINT._.DONC._.CONS._.TOTALS." hidden="1">{"DONC CONS RPT",#N/A,TRUE,"Doncaster"}</definedName>
    <definedName name="wrn.print._.graphs." localSheetId="0" hidden="1">{"cap_structure",#N/A,FALSE,"Graph-Mkt Cap";"price",#N/A,FALSE,"Graph-Price";"ebit",#N/A,FALSE,"Graph-EBITDA";"ebitda",#N/A,FALSE,"Graph-EBITDA"}</definedName>
    <definedName name="wrn.print._.graphs." localSheetId="6"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IS._.Exhibits." localSheetId="0" hidden="1">{"Inc Stmt Dollar",#N/A,FALSE,"IS";"Inc Stmt CS",#N/A,FALSE,"IS"}</definedName>
    <definedName name="wrn.Print._.IS._.Exhibits." localSheetId="6" hidden="1">{"Inc Stmt Dollar",#N/A,FALSE,"IS";"Inc Stmt CS",#N/A,FALSE,"IS"}</definedName>
    <definedName name="wrn.Print._.IS._.Exhibits." hidden="1">{"Inc Stmt Dollar",#N/A,FALSE,"IS";"Inc Stmt CS",#N/A,FALSE,"IS"}</definedName>
    <definedName name="wrn.Print._.Model." localSheetId="0" hidden="1">{#N/A,#N/A,TRUE,"Contents";#N/A,#N/A,TRUE,"Scenarios";#N/A,#N/A,TRUE,"SensitivitiesPower";#N/A,#N/A,TRUE,"SensitivitiesGas";#N/A,#N/A,TRUE,"SensitivitiesWater";#N/A,#N/A,TRUE,"Fixed Cost allocation table";#N/A,#N/A,TRUE,"Fixed Cost SWS Forecast";#N/A,#N/A,TRUE,"Revenue per Client";#N/A,#N/A,TRUE,"Supply margin per Client";#N/A,#N/A,TRUE,"DCFCoverPower";#N/A,#N/A,TRUE,"Power Volume &amp; Price Forecast";#N/A,#N/A,TRUE,"Assumption Book";#N/A,#N/A,TRUE,"RevenuesPower";#N/A,#N/A,TRUE,"Power Pricing";#N/A,#N/A,TRUE,"CostsPower";#N/A,#N/A,TRUE,"Power Fixco Allocation&amp;Forecast";#N/A,#N/A,TRUE,"WaccCompPower";#N/A,#N/A,TRUE,"WaccPower";#N/A,#N/A,TRUE,"MatrixPower";#N/A,#N/A,TRUE,"DCFCoverGas";#N/A,#N/A,TRUE,"CostGas";#N/A,#N/A,TRUE,"RevenuesGas";#N/A,#N/A,TRUE,"Gas Fixco Allocation&amp;Forecast";#N/A,#N/A,TRUE,"Gas Volume &amp; Price Forecast";#N/A,#N/A,TRUE,"WaccGas";#N/A,#N/A,TRUE,"WaccCompGas";#N/A,#N/A,TRUE,"MatrixGas";#N/A,#N/A,TRUE,"DCFCoverWater";#N/A,#N/A,TRUE,"Water Volume &amp; Price Forecast";#N/A,#N/A,TRUE,"Water Pricing";#N/A,#N/A,TRUE,"RevenuesWater";#N/A,#N/A,TRUE,"CostWater";#N/A,#N/A,TRUE,"WaccCompWater";#N/A,#N/A,TRUE,"WaccWater";#N/A,#N/A,TRUE,"MatrixWater";#N/A,#N/A,TRUE,"DCFCoverVersorgung";#N/A,#N/A,TRUE,"DCFOverviewPower";#N/A,#N/A,TRUE,"DCFOverviewGas";#N/A,#N/A,TRUE,"DCFOverviewWater";#N/A,#N/A,TRUE,"DCFOverviewVersorgung";#N/A,#N/A,TRUE,"ValuePower";#N/A,#N/A,TRUE,"ValueGas";#N/A,#N/A,TRUE,"ValueVersorgung";#N/A,#N/A,TRUE,"ValueWater";#N/A,#N/A,TRUE,"PlanPower";#N/A,#N/A,TRUE,"PlanGas";#N/A,#N/A,TRUE,"PlanWater";#N/A,#N/A,TRUE,"PlanVersorgung";#N/A,#N/A,TRUE,"DCFPower";#N/A,#N/A,TRUE,"DCFGas";#N/A,#N/A,TRUE,"DCFWater";#N/A,#N/A,TRUE,"DCFVersorgung";#N/A,#N/A,TRUE,"MatrixVersorgung"}</definedName>
    <definedName name="wrn.Print._.Model." localSheetId="6" hidden="1">{#N/A,#N/A,TRUE,"Contents";#N/A,#N/A,TRUE,"Scenarios";#N/A,#N/A,TRUE,"SensitivitiesPower";#N/A,#N/A,TRUE,"SensitivitiesGas";#N/A,#N/A,TRUE,"SensitivitiesWater";#N/A,#N/A,TRUE,"Fixed Cost allocation table";#N/A,#N/A,TRUE,"Fixed Cost SWS Forecast";#N/A,#N/A,TRUE,"Revenue per Client";#N/A,#N/A,TRUE,"Supply margin per Client";#N/A,#N/A,TRUE,"DCFCoverPower";#N/A,#N/A,TRUE,"Power Volume &amp; Price Forecast";#N/A,#N/A,TRUE,"Assumption Book";#N/A,#N/A,TRUE,"RevenuesPower";#N/A,#N/A,TRUE,"Power Pricing";#N/A,#N/A,TRUE,"CostsPower";#N/A,#N/A,TRUE,"Power Fixco Allocation&amp;Forecast";#N/A,#N/A,TRUE,"WaccCompPower";#N/A,#N/A,TRUE,"WaccPower";#N/A,#N/A,TRUE,"MatrixPower";#N/A,#N/A,TRUE,"DCFCoverGas";#N/A,#N/A,TRUE,"CostGas";#N/A,#N/A,TRUE,"RevenuesGas";#N/A,#N/A,TRUE,"Gas Fixco Allocation&amp;Forecast";#N/A,#N/A,TRUE,"Gas Volume &amp; Price Forecast";#N/A,#N/A,TRUE,"WaccGas";#N/A,#N/A,TRUE,"WaccCompGas";#N/A,#N/A,TRUE,"MatrixGas";#N/A,#N/A,TRUE,"DCFCoverWater";#N/A,#N/A,TRUE,"Water Volume &amp; Price Forecast";#N/A,#N/A,TRUE,"Water Pricing";#N/A,#N/A,TRUE,"RevenuesWater";#N/A,#N/A,TRUE,"CostWater";#N/A,#N/A,TRUE,"WaccCompWater";#N/A,#N/A,TRUE,"WaccWater";#N/A,#N/A,TRUE,"MatrixWater";#N/A,#N/A,TRUE,"DCFCoverVersorgung";#N/A,#N/A,TRUE,"DCFOverviewPower";#N/A,#N/A,TRUE,"DCFOverviewGas";#N/A,#N/A,TRUE,"DCFOverviewWater";#N/A,#N/A,TRUE,"DCFOverviewVersorgung";#N/A,#N/A,TRUE,"ValuePower";#N/A,#N/A,TRUE,"ValueGas";#N/A,#N/A,TRUE,"ValueVersorgung";#N/A,#N/A,TRUE,"ValueWater";#N/A,#N/A,TRUE,"PlanPower";#N/A,#N/A,TRUE,"PlanGas";#N/A,#N/A,TRUE,"PlanWater";#N/A,#N/A,TRUE,"PlanVersorgung";#N/A,#N/A,TRUE,"DCFPower";#N/A,#N/A,TRUE,"DCFGas";#N/A,#N/A,TRUE,"DCFWater";#N/A,#N/A,TRUE,"DCFVersorgung";#N/A,#N/A,TRUE,"MatrixVersorgung"}</definedName>
    <definedName name="wrn.Print._.Model." hidden="1">{#N/A,#N/A,TRUE,"Contents";#N/A,#N/A,TRUE,"Scenarios";#N/A,#N/A,TRUE,"SensitivitiesPower";#N/A,#N/A,TRUE,"SensitivitiesGas";#N/A,#N/A,TRUE,"SensitivitiesWater";#N/A,#N/A,TRUE,"Fixed Cost allocation table";#N/A,#N/A,TRUE,"Fixed Cost SWS Forecast";#N/A,#N/A,TRUE,"Revenue per Client";#N/A,#N/A,TRUE,"Supply margin per Client";#N/A,#N/A,TRUE,"DCFCoverPower";#N/A,#N/A,TRUE,"Power Volume &amp; Price Forecast";#N/A,#N/A,TRUE,"Assumption Book";#N/A,#N/A,TRUE,"RevenuesPower";#N/A,#N/A,TRUE,"Power Pricing";#N/A,#N/A,TRUE,"CostsPower";#N/A,#N/A,TRUE,"Power Fixco Allocation&amp;Forecast";#N/A,#N/A,TRUE,"WaccCompPower";#N/A,#N/A,TRUE,"WaccPower";#N/A,#N/A,TRUE,"MatrixPower";#N/A,#N/A,TRUE,"DCFCoverGas";#N/A,#N/A,TRUE,"CostGas";#N/A,#N/A,TRUE,"RevenuesGas";#N/A,#N/A,TRUE,"Gas Fixco Allocation&amp;Forecast";#N/A,#N/A,TRUE,"Gas Volume &amp; Price Forecast";#N/A,#N/A,TRUE,"WaccGas";#N/A,#N/A,TRUE,"WaccCompGas";#N/A,#N/A,TRUE,"MatrixGas";#N/A,#N/A,TRUE,"DCFCoverWater";#N/A,#N/A,TRUE,"Water Volume &amp; Price Forecast";#N/A,#N/A,TRUE,"Water Pricing";#N/A,#N/A,TRUE,"RevenuesWater";#N/A,#N/A,TRUE,"CostWater";#N/A,#N/A,TRUE,"WaccCompWater";#N/A,#N/A,TRUE,"WaccWater";#N/A,#N/A,TRUE,"MatrixWater";#N/A,#N/A,TRUE,"DCFCoverVersorgung";#N/A,#N/A,TRUE,"DCFOverviewPower";#N/A,#N/A,TRUE,"DCFOverviewGas";#N/A,#N/A,TRUE,"DCFOverviewWater";#N/A,#N/A,TRUE,"DCFOverviewVersorgung";#N/A,#N/A,TRUE,"ValuePower";#N/A,#N/A,TRUE,"ValueGas";#N/A,#N/A,TRUE,"ValueVersorgung";#N/A,#N/A,TRUE,"ValueWater";#N/A,#N/A,TRUE,"PlanPower";#N/A,#N/A,TRUE,"PlanGas";#N/A,#N/A,TRUE,"PlanWater";#N/A,#N/A,TRUE,"PlanVersorgung";#N/A,#N/A,TRUE,"DCFPower";#N/A,#N/A,TRUE,"DCFGas";#N/A,#N/A,TRUE,"DCFWater";#N/A,#N/A,TRUE,"DCFVersorgung";#N/A,#N/A,TRUE,"MatrixVersorgung"}</definedName>
    <definedName name="wrn.Print._.monthly._.report." localSheetId="6" hidden="1">{#N/A,#N/A,FALSE,"1st Page";#N/A,#N/A,FALSE,"BSC";#N/A,#N/A,FALSE,"KPIs";#N/A,#N/A,FALSE,"Financial Report";#N/A,#N/A,FALSE,"Sales";#N/A,#N/A,FALSE,"Fixed costs"}</definedName>
    <definedName name="wrn.Print._.monthly._.report." hidden="1">{#N/A,#N/A,FALSE,"1st Page";#N/A,#N/A,FALSE,"BSC";#N/A,#N/A,FALSE,"KPIs";#N/A,#N/A,FALSE,"Financial Report";#N/A,#N/A,FALSE,"Sales";#N/A,#N/A,FALSE,"Fixed costs"}</definedName>
    <definedName name="wrn.Print._.NWE._.Condensates." localSheetId="0" hidden="1">{"NWE Condensate 01",#N/A,FALSE,"Plots Condensates (NWE)";"NWE Condensate 02",#N/A,FALSE,"Plots Condensates (NWE)";"NWE Condensate 03",#N/A,FALSE,"Plots Condensates (NWE)"}</definedName>
    <definedName name="wrn.Print._.NWE._.Condensates." localSheetId="6" hidden="1">{"NWE Condensate 01",#N/A,FALSE,"Plots Condensates (NWE)";"NWE Condensate 02",#N/A,FALSE,"Plots Condensates (NWE)";"NWE Condensate 03",#N/A,FALSE,"Plots Condensates (NWE)"}</definedName>
    <definedName name="wrn.Print._.NWE._.Condensates." hidden="1">{"NWE Condensate 01",#N/A,FALSE,"Plots Condensates (NWE)";"NWE Condensate 02",#N/A,FALSE,"Plots Condensates (NWE)";"NWE Condensate 03",#N/A,FALSE,"Plots Condensates (NWE)"}</definedName>
    <definedName name="wrn.print._.offshore." localSheetId="0" hidden="1">{"off_at",#N/A,FALSE,"Off AT POT";"off_bt",#N/A,FALSE,"Off POT"}</definedName>
    <definedName name="wrn.print._.offshore." localSheetId="6" hidden="1">{"off_at",#N/A,FALSE,"Off AT POT";"off_bt",#N/A,FALSE,"Off POT"}</definedName>
    <definedName name="wrn.print._.offshore." hidden="1">{"off_at",#N/A,FALSE,"Off AT POT";"off_bt",#N/A,FALSE,"Off POT"}</definedName>
    <definedName name="wrn.Print._.Out._.1." localSheetId="0" hidden="1">{"Five Year",#N/A,FALSE,"Summary (2)";"Month 1 and Years",#N/A,FALSE,"Cash Budget"}</definedName>
    <definedName name="wrn.Print._.Out._.1." localSheetId="6" hidden="1">{"Five Year",#N/A,FALSE,"Summary (2)";"Month 1 and Years",#N/A,FALSE,"Cash Budget"}</definedName>
    <definedName name="wrn.Print._.Out._.1." hidden="1">{"Five Year",#N/A,FALSE,"Summary (2)";"Month 1 and Years",#N/A,FALSE,"Cash Budget"}</definedName>
    <definedName name="wrn.Print._.Out._.1._1" localSheetId="0" hidden="1">{"Five Year",#N/A,FALSE,"Summary (2)";"Month 1 and Years",#N/A,FALSE,"Cash Budget"}</definedName>
    <definedName name="wrn.Print._.Out._.1._1" localSheetId="6" hidden="1">{"Five Year",#N/A,FALSE,"Summary (2)";"Month 1 and Years",#N/A,FALSE,"Cash Budget"}</definedName>
    <definedName name="wrn.Print._.Out._.1._1" hidden="1">{"Five Year",#N/A,FALSE,"Summary (2)";"Month 1 and Years",#N/A,FALSE,"Cash Budget"}</definedName>
    <definedName name="wrn.Print._.out._.18th._.September." localSheetId="6" hidden="1">{#N/A,#N/A,TRUE,"Contents";#N/A,#N/A,TRUE,"Assumptions";#N/A,#N/A,TRUE,"Subs";#N/A,#N/A,TRUE,"Usage";#N/A,#N/A,TRUE,"Revenues";#N/A,#N/A,TRUE,"Opex";#N/A,#N/A,TRUE,"Capex and depreciation";#N/A,#N/A,TRUE,"Full Financials";#N/A,#N/A,TRUE,"Financing Module";#N/A,#N/A,TRUE,"Quarterly financials";#N/A,#N/A,TRUE,"Key Indicators";#N/A,#N/A,TRUE,"DCF valuation";#N/A,#N/A,TRUE,"IRRs"}</definedName>
    <definedName name="wrn.Print._.out._.18th._.September." hidden="1">{#N/A,#N/A,TRUE,"Contents";#N/A,#N/A,TRUE,"Assumptions";#N/A,#N/A,TRUE,"Subs";#N/A,#N/A,TRUE,"Usage";#N/A,#N/A,TRUE,"Revenues";#N/A,#N/A,TRUE,"Opex";#N/A,#N/A,TRUE,"Capex and depreciation";#N/A,#N/A,TRUE,"Full Financials";#N/A,#N/A,TRUE,"Financing Module";#N/A,#N/A,TRUE,"Quarterly financials";#N/A,#N/A,TRUE,"Key Indicators";#N/A,#N/A,TRUE,"DCF valuation";#N/A,#N/A,TRUE,"IRRs"}</definedName>
    <definedName name="wrn.Print._.out._.4._.Sept." localSheetId="6" hidden="1">{#N/A,#N/A,TRUE,"Contents";#N/A,#N/A,TRUE,"Subs";#N/A,#N/A,TRUE,"Usage";#N/A,#N/A,TRUE,"Revenues";#N/A,#N/A,TRUE,"Opex";#N/A,#N/A,TRUE,"Capex and depreciation";#N/A,#N/A,TRUE,"Full Financials";#N/A,#N/A,TRUE,"Financing Module";#N/A,#N/A,TRUE,"Quarterly financials";#N/A,#N/A,TRUE,"Key Indicators";#N/A,#N/A,TRUE,"DCF valuation";#N/A,#N/A,TRUE,"Sensitivity Analysis"}</definedName>
    <definedName name="wrn.Print._.out._.4._.Sept." hidden="1">{#N/A,#N/A,TRUE,"Contents";#N/A,#N/A,TRUE,"Subs";#N/A,#N/A,TRUE,"Usage";#N/A,#N/A,TRUE,"Revenues";#N/A,#N/A,TRUE,"Opex";#N/A,#N/A,TRUE,"Capex and depreciation";#N/A,#N/A,TRUE,"Full Financials";#N/A,#N/A,TRUE,"Financing Module";#N/A,#N/A,TRUE,"Quarterly financials";#N/A,#N/A,TRUE,"Key Indicators";#N/A,#N/A,TRUE,"DCF valuation";#N/A,#N/A,TRUE,"Sensitivity Analysis"}</definedName>
    <definedName name="wrn.print._.pages." localSheetId="0" hidden="1">{#N/A,#N/A,FALSE,"Spain MKT";#N/A,#N/A,FALSE,"Assumptions";#N/A,#N/A,FALSE,"Adve";#N/A,#N/A,FALSE,"E-Commerce";#N/A,#N/A,FALSE,"Opex";#N/A,#N/A,FALSE,"P&amp;L";#N/A,#N/A,FALSE,"FCF &amp; DCF"}</definedName>
    <definedName name="wrn.print._.pages." localSheetId="6" hidden="1">{#N/A,#N/A,FALSE,"Spain MKT";#N/A,#N/A,FALSE,"Assumptions";#N/A,#N/A,FALSE,"Adve";#N/A,#N/A,FALSE,"E-Commerce";#N/A,#N/A,FALSE,"Opex";#N/A,#N/A,FALSE,"P&amp;L";#N/A,#N/A,FALSE,"FCF &amp; DCF"}</definedName>
    <definedName name="wrn.print._.pages." hidden="1">{#N/A,#N/A,FALSE,"Spain MKT";#N/A,#N/A,FALSE,"Assumptions";#N/A,#N/A,FALSE,"Adve";#N/A,#N/A,FALSE,"E-Commerce";#N/A,#N/A,FALSE,"Opex";#N/A,#N/A,FALSE,"P&amp;L";#N/A,#N/A,FALSE,"FCF &amp; DCF"}</definedName>
    <definedName name="wrn.print._.pages2." localSheetId="0" hidden="1">{#N/A,#N/A,FALSE,"Spain MKT";#N/A,#N/A,FALSE,"Assumptions";#N/A,#N/A,FALSE,"Adve";#N/A,#N/A,FALSE,"E-Commerce";#N/A,#N/A,FALSE,"Opex";#N/A,#N/A,FALSE,"P&amp;L";#N/A,#N/A,FALSE,"FCF &amp; DCF"}</definedName>
    <definedName name="wrn.print._.pages2." localSheetId="6" hidden="1">{#N/A,#N/A,FALSE,"Spain MKT";#N/A,#N/A,FALSE,"Assumptions";#N/A,#N/A,FALSE,"Adve";#N/A,#N/A,FALSE,"E-Commerce";#N/A,#N/A,FALSE,"Opex";#N/A,#N/A,FALSE,"P&amp;L";#N/A,#N/A,FALSE,"FCF &amp; DCF"}</definedName>
    <definedName name="wrn.print._.pages2." hidden="1">{#N/A,#N/A,FALSE,"Spain MKT";#N/A,#N/A,FALSE,"Assumptions";#N/A,#N/A,FALSE,"Adve";#N/A,#N/A,FALSE,"E-Commerce";#N/A,#N/A,FALSE,"Opex";#N/A,#N/A,FALSE,"P&amp;L";#N/A,#N/A,FALSE,"FCF &amp; DCF"}</definedName>
    <definedName name="wrn.Print._.Plots." localSheetId="0" hidden="1">{"Plot1",#N/A,FALSE,"Plots";"plot2",#N/A,FALSE,"Plots";"plot3",#N/A,FALSE,"Plots";"plot4",#N/A,FALSE,"Plots";"plot5",#N/A,FALSE,"Plots";"plot6",#N/A,FALSE,"Plots"}</definedName>
    <definedName name="wrn.Print._.Plots." localSheetId="6" hidden="1">{"Plot1",#N/A,FALSE,"Plots";"plot2",#N/A,FALSE,"Plots";"plot3",#N/A,FALSE,"Plots";"plot4",#N/A,FALSE,"Plots";"plot5",#N/A,FALSE,"Plots";"plot6",#N/A,FALSE,"Plots"}</definedName>
    <definedName name="wrn.Print._.Plots." hidden="1">{"Plot1",#N/A,FALSE,"Plots";"plot2",#N/A,FALSE,"Plots";"plot3",#N/A,FALSE,"Plots";"plot4",#N/A,FALSE,"Plots";"plot5",#N/A,FALSE,"Plots";"plot6",#N/A,FALSE,"Plots"}</definedName>
    <definedName name="wrn.Print._.Plots._.Summary." localSheetId="0" hidden="1">{"Summary 01",#N/A,FALSE,"Plots Summary";"Summary 02",#N/A,FALSE,"Plots Summary";"Summary 03",#N/A,FALSE,"Plots Summary";"Summary 04",#N/A,FALSE,"Plots Summary";"Summary 05",#N/A,FALSE,"Plots Summary";"Summary 06",#N/A,FALSE,"Plots Summary";"Summary 07",#N/A,FALSE,"Plots Summary"}</definedName>
    <definedName name="wrn.Print._.Plots._.Summary." localSheetId="6" hidden="1">{"Summary 01",#N/A,FALSE,"Plots Summary";"Summary 02",#N/A,FALSE,"Plots Summary";"Summary 03",#N/A,FALSE,"Plots Summary";"Summary 04",#N/A,FALSE,"Plots Summary";"Summary 05",#N/A,FALSE,"Plots Summary";"Summary 06",#N/A,FALSE,"Plots Summary";"Summary 07",#N/A,FALSE,"Plots Summary"}</definedName>
    <definedName name="wrn.Print._.Plots._.Summary." hidden="1">{"Summary 01",#N/A,FALSE,"Plots Summary";"Summary 02",#N/A,FALSE,"Plots Summary";"Summary 03",#N/A,FALSE,"Plots Summary";"Summary 04",#N/A,FALSE,"Plots Summary";"Summary 05",#N/A,FALSE,"Plots Summary";"Summary 06",#N/A,FALSE,"Plots Summary";"Summary 07",#N/A,FALSE,"Plots Summary"}</definedName>
    <definedName name="wrn.Print._.Ratio._.Exhibits." localSheetId="0" hidden="1">{"Ratio No.1",#N/A,FALSE,"Ratio";"Ratio No.2",#N/A,FALSE,"Ratio"}</definedName>
    <definedName name="wrn.Print._.Ratio._.Exhibits." localSheetId="6" hidden="1">{"Ratio No.1",#N/A,FALSE,"Ratio";"Ratio No.2",#N/A,FALSE,"Ratio"}</definedName>
    <definedName name="wrn.Print._.Ratio._.Exhibits." hidden="1">{"Ratio No.1",#N/A,FALSE,"Ratio";"Ratio No.2",#N/A,FALSE,"Ratio"}</definedName>
    <definedName name="wrn.print._.raw._.data._.entry." localSheetId="0" hidden="1">{"inputs raw data",#N/A,TRUE,"INPUT"}</definedName>
    <definedName name="wrn.print._.raw._.data._.entry." localSheetId="6" hidden="1">{"inputs raw data",#N/A,TRUE,"INPUT"}</definedName>
    <definedName name="wrn.print._.raw._.data._.entry." hidden="1">{"inputs raw data",#N/A,TRUE,"INPUT"}</definedName>
    <definedName name="wrn.Print._.Results._.A4." localSheetId="0" hidden="1">{"Valuation",#N/A,TRUE,"Valuation Summary";"Financial Statements",#N/A,TRUE,"Results";"Results",#N/A,TRUE,"Results";"Ratios",#N/A,TRUE,"Results";"P2 Summary",#N/A,TRUE,"Results"}</definedName>
    <definedName name="wrn.Print._.Results._.A4." localSheetId="6"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localSheetId="6"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Print._.Shared._.Costs." localSheetId="0" hidden="1">{"SHAREDCOST1",#N/A,FALSE,"Shared Costs";"SHAREDCOST2",#N/A,FALSE,"Shared Costs"}</definedName>
    <definedName name="wrn.Print._.Shared._.Costs." localSheetId="6" hidden="1">{"SHAREDCOST1",#N/A,FALSE,"Shared Costs";"SHAREDCOST2",#N/A,FALSE,"Shared Costs"}</definedName>
    <definedName name="wrn.Print._.Shared._.Costs." hidden="1">{"SHAREDCOST1",#N/A,FALSE,"Shared Costs";"SHAREDCOST2",#N/A,FALSE,"Shared Costs"}</definedName>
    <definedName name="wrn.Print._.Shared._.Costs._1" localSheetId="0" hidden="1">{"SHAREDCOST1",#N/A,FALSE,"Shared Costs";"SHAREDCOST2",#N/A,FALSE,"Shared Costs"}</definedName>
    <definedName name="wrn.Print._.Shared._.Costs._1" localSheetId="6" hidden="1">{"SHAREDCOST1",#N/A,FALSE,"Shared Costs";"SHAREDCOST2",#N/A,FALSE,"Shared Costs"}</definedName>
    <definedName name="wrn.Print._.Shared._.Costs._1" hidden="1">{"SHAREDCOST1",#N/A,FALSE,"Shared Costs";"SHAREDCOST2",#N/A,FALSE,"Shared Costs"}</definedName>
    <definedName name="wrn.Print._.Sing._.Condensates." localSheetId="0" hidden="1">{"Sing Condensate 01",#N/A,FALSE,"Plots Condensates (Singapore)";"Sing Condensate 02",#N/A,FALSE,"Plots Condensates (Singapore)";"Sing Condensate 03",#N/A,FALSE,"Plots Condensates (Singapore)";"Sing Condensate 04",#N/A,FALSE,"Plots Condensates (Singapore)";"Sing Condensate 05",#N/A,FALSE,"Plots Condensates (Singapore)";"Sing Condensate 06",#N/A,FALSE,"Plots Condensates (Singapore)"}</definedName>
    <definedName name="wrn.Print._.Sing._.Condensates." localSheetId="6" hidden="1">{"Sing Condensate 01",#N/A,FALSE,"Plots Condensates (Singapore)";"Sing Condensate 02",#N/A,FALSE,"Plots Condensates (Singapore)";"Sing Condensate 03",#N/A,FALSE,"Plots Condensates (Singapore)";"Sing Condensate 04",#N/A,FALSE,"Plots Condensates (Singapore)";"Sing Condensate 05",#N/A,FALSE,"Plots Condensates (Singapore)";"Sing Condensate 06",#N/A,FALSE,"Plots Condensates (Singapore)"}</definedName>
    <definedName name="wrn.Print._.Sing._.Condensates." hidden="1">{"Sing Condensate 01",#N/A,FALSE,"Plots Condensates (Singapore)";"Sing Condensate 02",#N/A,FALSE,"Plots Condensates (Singapore)";"Sing Condensate 03",#N/A,FALSE,"Plots Condensates (Singapore)";"Sing Condensate 04",#N/A,FALSE,"Plots Condensates (Singapore)";"Sing Condensate 05",#N/A,FALSE,"Plots Condensates (Singapore)";"Sing Condensate 06",#N/A,FALSE,"Plots Condensates (Singapore)"}</definedName>
    <definedName name="wrn.print._.standalone." localSheetId="0" hidden="1">{"standalone1",#N/A,FALSE,"DCFBase";"standalone2",#N/A,FALSE,"DCFBase"}</definedName>
    <definedName name="wrn.print._.standalone." localSheetId="6" hidden="1">{"standalone1",#N/A,FALSE,"DCFBase";"standalone2",#N/A,FALSE,"DCFBase"}</definedName>
    <definedName name="wrn.print._.standalone." hidden="1">{"standalone1",#N/A,FALSE,"DCFBase";"standalone2",#N/A,FALSE,"DCFBase"}</definedName>
    <definedName name="wrn.Print._.Summary." localSheetId="0" hidden="1">{"SUMMARY1",#N/A,FALSE,"Summary";"SUMMARY2",#N/A,FALSE,"Summary"}</definedName>
    <definedName name="wrn.Print._.Summary." localSheetId="6" hidden="1">{"SUMMARY1",#N/A,FALSE,"Summary";"SUMMARY2",#N/A,FALSE,"Summary"}</definedName>
    <definedName name="wrn.Print._.Summary." hidden="1">{"SUMMARY1",#N/A,FALSE,"Summary";"SUMMARY2",#N/A,FALSE,"Summary"}</definedName>
    <definedName name="wrn.print._.summary._.sheets." localSheetId="0" hidden="1">{"summary1",#N/A,TRUE,"Comps";"summary2",#N/A,TRUE,"Comps";"summary3",#N/A,TRUE,"Comps"}</definedName>
    <definedName name="wrn.print._.summary._.sheets." localSheetId="6" hidden="1">{"summary1",#N/A,TRUE,"Comps";"summary2",#N/A,TRUE,"Comps";"summary3",#N/A,TRUE,"Comps"}</definedName>
    <definedName name="wrn.print._.summary._.sheets." hidden="1">{"summary1",#N/A,TRUE,"Comps";"summary2",#N/A,TRUE,"Comps";"summary3",#N/A,TRUE,"Comps"}</definedName>
    <definedName name="wrn.Print._.Summary._1" localSheetId="0" hidden="1">{"SUMMARY1",#N/A,FALSE,"Summary";"SUMMARY2",#N/A,FALSE,"Summary"}</definedName>
    <definedName name="wrn.Print._.Summary._1" localSheetId="6" hidden="1">{"SUMMARY1",#N/A,FALSE,"Summary";"SUMMARY2",#N/A,FALSE,"Summary"}</definedName>
    <definedName name="wrn.Print._.Summary._1" hidden="1">{"SUMMARY1",#N/A,FALSE,"Summary";"SUMMARY2",#N/A,FALSE,"Summary"}</definedName>
    <definedName name="wrn.Print._.the._.lot." localSheetId="0" hidden="1">{"First Page",#N/A,FALSE,"Surfactants LBO";"Second Page",#N/A,FALSE,"Surfactants LBO"}</definedName>
    <definedName name="wrn.Print._.the._.lot." localSheetId="6" hidden="1">{"First Page",#N/A,FALSE,"Surfactants LBO";"Second Page",#N/A,FALSE,"Surfactants LBO"}</definedName>
    <definedName name="wrn.Print._.the._.lot." hidden="1">{"First Page",#N/A,FALSE,"Surfactants LBO";"Second Page",#N/A,FALSE,"Surfactants LBO"}</definedName>
    <definedName name="wrn.Print._.Underlying._.Figures." localSheetId="0" hidden="1">{#N/A,#N/A,FALSE,"Clyd. Income";#N/A,#N/A,FALSE,"York. Income";#N/A,#N/A,FALSE,"North. Income";#N/A,#N/A,FALSE,"NIB Income";#N/A,#N/A,FALSE,"NAB UK Total"}</definedName>
    <definedName name="wrn.Print._.Underlying._.Figures." localSheetId="6" hidden="1">{#N/A,#N/A,FALSE,"Clyd. Income";#N/A,#N/A,FALSE,"York. Income";#N/A,#N/A,FALSE,"North. Income";#N/A,#N/A,FALSE,"NIB Income";#N/A,#N/A,FALSE,"NAB UK Total"}</definedName>
    <definedName name="wrn.Print._.Underlying._.Figures." hidden="1">{#N/A,#N/A,FALSE,"Clyd. Income";#N/A,#N/A,FALSE,"York. Income";#N/A,#N/A,FALSE,"North. Income";#N/A,#N/A,FALSE,"NIB Income";#N/A,#N/A,FALSE,"NAB UK Total"}</definedName>
    <definedName name="wrn.Print._.USGC._.Condensates." localSheetId="0" hidden="1">{"USGC Condensate 01",#N/A,FALSE,"Plots Condensates (USGC)";"USGC Condensate 02",#N/A,FALSE,"Plots Condensates (USGC)";"USGC Condensate 03",#N/A,FALSE,"Plots Condensates (USGC)";"USGC Condensate 04",#N/A,FALSE,"Plots Condensates (USGC)";"USGC Condensate 05",#N/A,FALSE,"Plots Condensates (USGC)";"USGC Condensate 06",#N/A,FALSE,"Plots Condensates (USGC)";"USGC Condensate 07",#N/A,FALSE,"Plots Condensates (USGC)"}</definedName>
    <definedName name="wrn.Print._.USGC._.Condensates." localSheetId="6" hidden="1">{"USGC Condensate 01",#N/A,FALSE,"Plots Condensates (USGC)";"USGC Condensate 02",#N/A,FALSE,"Plots Condensates (USGC)";"USGC Condensate 03",#N/A,FALSE,"Plots Condensates (USGC)";"USGC Condensate 04",#N/A,FALSE,"Plots Condensates (USGC)";"USGC Condensate 05",#N/A,FALSE,"Plots Condensates (USGC)";"USGC Condensate 06",#N/A,FALSE,"Plots Condensates (USGC)";"USGC Condensate 07",#N/A,FALSE,"Plots Condensates (USGC)"}</definedName>
    <definedName name="wrn.Print._.USGC._.Condensates." hidden="1">{"USGC Condensate 01",#N/A,FALSE,"Plots Condensates (USGC)";"USGC Condensate 02",#N/A,FALSE,"Plots Condensates (USGC)";"USGC Condensate 03",#N/A,FALSE,"Plots Condensates (USGC)";"USGC Condensate 04",#N/A,FALSE,"Plots Condensates (USGC)";"USGC Condensate 05",#N/A,FALSE,"Plots Condensates (USGC)";"USGC Condensate 06",#N/A,FALSE,"Plots Condensates (USGC)";"USGC Condensate 07",#N/A,FALSE,"Plots Condensates (USGC)"}</definedName>
    <definedName name="wrn.Print._.whole._.Report." localSheetId="0" hidden="1">{#N/A,#N/A,TRUE,"WaccPower";#N/A,#N/A,TRUE,"Model Assumptions";#N/A,#N/A,TRUE,"Financial Assumptions";#N/A,#N/A,TRUE,"Scenarios";#N/A,#N/A,TRUE,"SensitivitiesPower";#N/A,#N/A,TRUE,"SensitivitiesGas";#N/A,#N/A,TRUE,"Fixed Cost allocation table";#N/A,#N/A,TRUE,"SensitivitiesWater";#N/A,#N/A,TRUE,"Fixed Cost SWS Forecast";#N/A,#N/A,TRUE,"Historic balance sheet";#N/A,#N/A,TRUE,"Revenue per Client";#N/A,#N/A,TRUE,"Supply margin per Client";#N/A,#N/A,TRUE,"Multiples Calculation";#N/A,#N/A,TRUE,"Stadtwerke Comps";#N/A,#N/A,TRUE,"Electricity Comps";#N/A,#N/A,TRUE,"Gas Comps";#N/A,#N/A,TRUE,"Water Comps";#N/A,#N/A,TRUE,"DCFCoverPower";#N/A,#N/A,TRUE,"Power Volume &amp; Price Forecast";#N/A,#N/A,TRUE,"Stromabgabe 1999";#N/A,#N/A,TRUE,"RevenuesPower";#N/A,#N/A,TRUE,"Power Pricing";#N/A,#N/A,TRUE,"CostsPower";#N/A,#N/A,TRUE,"PlanPower";#N/A,#N/A,TRUE,"DCFPower";#N/A,#N/A,TRUE,"ValuePower";#N/A,#N/A,TRUE,"WaccCompPower";#N/A,#N/A,TRUE,"MatrixPower";#N/A,#N/A,TRUE,"DCFCoverGas";#N/A,#N/A,TRUE,"DCFOverviewGas";#N/A,#N/A,TRUE,"Gas Pricing";#N/A,#N/A,TRUE,"RevenuesGas";#N/A,#N/A,TRUE,"CostGas";#N/A,#N/A,TRUE,"Gas Volume &amp; Price Forecast";#N/A,#N/A,TRUE,"PlanGas";#N/A,#N/A,TRUE,"DCFGas";#N/A,#N/A,TRUE,"ValueGas";#N/A,#N/A,TRUE,"WaccGas";#N/A,#N/A,TRUE,"WaccCompGas";#N/A,#N/A,TRUE,"MatrixGas";#N/A,#N/A,TRUE,"DCFCoverWater";#N/A,#N/A,TRUE,"DCFCoverWater";#N/A,#N/A,TRUE,"Water Volume &amp; Price Forecast";#N/A,#N/A,TRUE,"Water Pricing";#N/A,#N/A,TRUE,"RevenuesWater";#N/A,#N/A,TRUE,"CostWater";#N/A,#N/A,TRUE,"PlanWater";#N/A,#N/A,TRUE,"DCFWater";#N/A,#N/A,TRUE,"ValueWater";#N/A,#N/A,TRUE,"WaccWater";#N/A,#N/A,TRUE,"WaccCompWater";#N/A,#N/A,TRUE,"MatrixWater";#N/A,#N/A,TRUE,"DCFCoverVersorgung";#N/A,#N/A,TRUE,"DCFOverviewPower";#N/A,#N/A,TRUE,"DCFOverviewWater";#N/A,#N/A,TRUE,"DCFOverviewVersorgung";#N/A,#N/A,TRUE,"PlanVersorgung";#N/A,#N/A,TRUE,"DCFVersorgung";#N/A,#N/A,TRUE,"ValueVersorgung";#N/A,#N/A,TRUE,"WaccVersorgung";#N/A,#N/A,TRUE,"WaccCompVersorgung";#N/A,#N/A,TRUE,"MatrixVersorgung"}</definedName>
    <definedName name="wrn.Print._.whole._.Report." localSheetId="6" hidden="1">{#N/A,#N/A,TRUE,"WaccPower";#N/A,#N/A,TRUE,"Model Assumptions";#N/A,#N/A,TRUE,"Financial Assumptions";#N/A,#N/A,TRUE,"Scenarios";#N/A,#N/A,TRUE,"SensitivitiesPower";#N/A,#N/A,TRUE,"SensitivitiesGas";#N/A,#N/A,TRUE,"Fixed Cost allocation table";#N/A,#N/A,TRUE,"SensitivitiesWater";#N/A,#N/A,TRUE,"Fixed Cost SWS Forecast";#N/A,#N/A,TRUE,"Historic balance sheet";#N/A,#N/A,TRUE,"Revenue per Client";#N/A,#N/A,TRUE,"Supply margin per Client";#N/A,#N/A,TRUE,"Multiples Calculation";#N/A,#N/A,TRUE,"Stadtwerke Comps";#N/A,#N/A,TRUE,"Electricity Comps";#N/A,#N/A,TRUE,"Gas Comps";#N/A,#N/A,TRUE,"Water Comps";#N/A,#N/A,TRUE,"DCFCoverPower";#N/A,#N/A,TRUE,"Power Volume &amp; Price Forecast";#N/A,#N/A,TRUE,"Stromabgabe 1999";#N/A,#N/A,TRUE,"RevenuesPower";#N/A,#N/A,TRUE,"Power Pricing";#N/A,#N/A,TRUE,"CostsPower";#N/A,#N/A,TRUE,"PlanPower";#N/A,#N/A,TRUE,"DCFPower";#N/A,#N/A,TRUE,"ValuePower";#N/A,#N/A,TRUE,"WaccCompPower";#N/A,#N/A,TRUE,"MatrixPower";#N/A,#N/A,TRUE,"DCFCoverGas";#N/A,#N/A,TRUE,"DCFOverviewGas";#N/A,#N/A,TRUE,"Gas Pricing";#N/A,#N/A,TRUE,"RevenuesGas";#N/A,#N/A,TRUE,"CostGas";#N/A,#N/A,TRUE,"Gas Volume &amp; Price Forecast";#N/A,#N/A,TRUE,"PlanGas";#N/A,#N/A,TRUE,"DCFGas";#N/A,#N/A,TRUE,"ValueGas";#N/A,#N/A,TRUE,"WaccGas";#N/A,#N/A,TRUE,"WaccCompGas";#N/A,#N/A,TRUE,"MatrixGas";#N/A,#N/A,TRUE,"DCFCoverWater";#N/A,#N/A,TRUE,"DCFCoverWater";#N/A,#N/A,TRUE,"Water Volume &amp; Price Forecast";#N/A,#N/A,TRUE,"Water Pricing";#N/A,#N/A,TRUE,"RevenuesWater";#N/A,#N/A,TRUE,"CostWater";#N/A,#N/A,TRUE,"PlanWater";#N/A,#N/A,TRUE,"DCFWater";#N/A,#N/A,TRUE,"ValueWater";#N/A,#N/A,TRUE,"WaccWater";#N/A,#N/A,TRUE,"WaccCompWater";#N/A,#N/A,TRUE,"MatrixWater";#N/A,#N/A,TRUE,"DCFCoverVersorgung";#N/A,#N/A,TRUE,"DCFOverviewPower";#N/A,#N/A,TRUE,"DCFOverviewWater";#N/A,#N/A,TRUE,"DCFOverviewVersorgung";#N/A,#N/A,TRUE,"PlanVersorgung";#N/A,#N/A,TRUE,"DCFVersorgung";#N/A,#N/A,TRUE,"ValueVersorgung";#N/A,#N/A,TRUE,"WaccVersorgung";#N/A,#N/A,TRUE,"WaccCompVersorgung";#N/A,#N/A,TRUE,"MatrixVersorgung"}</definedName>
    <definedName name="wrn.Print._.whole._.Report." hidden="1">{#N/A,#N/A,TRUE,"WaccPower";#N/A,#N/A,TRUE,"Model Assumptions";#N/A,#N/A,TRUE,"Financial Assumptions";#N/A,#N/A,TRUE,"Scenarios";#N/A,#N/A,TRUE,"SensitivitiesPower";#N/A,#N/A,TRUE,"SensitivitiesGas";#N/A,#N/A,TRUE,"Fixed Cost allocation table";#N/A,#N/A,TRUE,"SensitivitiesWater";#N/A,#N/A,TRUE,"Fixed Cost SWS Forecast";#N/A,#N/A,TRUE,"Historic balance sheet";#N/A,#N/A,TRUE,"Revenue per Client";#N/A,#N/A,TRUE,"Supply margin per Client";#N/A,#N/A,TRUE,"Multiples Calculation";#N/A,#N/A,TRUE,"Stadtwerke Comps";#N/A,#N/A,TRUE,"Electricity Comps";#N/A,#N/A,TRUE,"Gas Comps";#N/A,#N/A,TRUE,"Water Comps";#N/A,#N/A,TRUE,"DCFCoverPower";#N/A,#N/A,TRUE,"Power Volume &amp; Price Forecast";#N/A,#N/A,TRUE,"Stromabgabe 1999";#N/A,#N/A,TRUE,"RevenuesPower";#N/A,#N/A,TRUE,"Power Pricing";#N/A,#N/A,TRUE,"CostsPower";#N/A,#N/A,TRUE,"PlanPower";#N/A,#N/A,TRUE,"DCFPower";#N/A,#N/A,TRUE,"ValuePower";#N/A,#N/A,TRUE,"WaccCompPower";#N/A,#N/A,TRUE,"MatrixPower";#N/A,#N/A,TRUE,"DCFCoverGas";#N/A,#N/A,TRUE,"DCFOverviewGas";#N/A,#N/A,TRUE,"Gas Pricing";#N/A,#N/A,TRUE,"RevenuesGas";#N/A,#N/A,TRUE,"CostGas";#N/A,#N/A,TRUE,"Gas Volume &amp; Price Forecast";#N/A,#N/A,TRUE,"PlanGas";#N/A,#N/A,TRUE,"DCFGas";#N/A,#N/A,TRUE,"ValueGas";#N/A,#N/A,TRUE,"WaccGas";#N/A,#N/A,TRUE,"WaccCompGas";#N/A,#N/A,TRUE,"MatrixGas";#N/A,#N/A,TRUE,"DCFCoverWater";#N/A,#N/A,TRUE,"DCFCoverWater";#N/A,#N/A,TRUE,"Water Volume &amp; Price Forecast";#N/A,#N/A,TRUE,"Water Pricing";#N/A,#N/A,TRUE,"RevenuesWater";#N/A,#N/A,TRUE,"CostWater";#N/A,#N/A,TRUE,"PlanWater";#N/A,#N/A,TRUE,"DCFWater";#N/A,#N/A,TRUE,"ValueWater";#N/A,#N/A,TRUE,"WaccWater";#N/A,#N/A,TRUE,"WaccCompWater";#N/A,#N/A,TRUE,"MatrixWater";#N/A,#N/A,TRUE,"DCFCoverVersorgung";#N/A,#N/A,TRUE,"DCFOverviewPower";#N/A,#N/A,TRUE,"DCFOverviewWater";#N/A,#N/A,TRUE,"DCFOverviewVersorgung";#N/A,#N/A,TRUE,"PlanVersorgung";#N/A,#N/A,TRUE,"DCFVersorgung";#N/A,#N/A,TRUE,"ValueVersorgung";#N/A,#N/A,TRUE,"WaccVersorgung";#N/A,#N/A,TRUE,"WaccCompVersorgung";#N/A,#N/A,TRUE,"MatrixVersorgung"}</definedName>
    <definedName name="wrn.print._1"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_1"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_1"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_2"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_2"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_3"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1_3"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2"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2"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2_1"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2_1"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2_2"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2_2"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3"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3"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3_1"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3_1"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3_2"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3_2"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4"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4"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5" localSheetId="6"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5" hidden="1">{"content",#N/A,FALSE,"content";"conbs",#N/A,FALSE,"consobs";"bs",#N/A,FALSE,"historicBS";"is",#N/A,FALSE,"historicIS";"ratio",#N/A,FALSE,"ratios";"dcf",#N/A,FALSE,"DCF";"capm",#N/A,FALSE,"capm";"glcbs",#N/A,FALSE,"GLCBS";"glccsbs",#N/A,FALSE,"GLCCSBS";"glcis",#N/A,FALSE,"GLCIS";"glccsis",#N/A,FALSE,"GLCCSIS";"glcratio1",#N/A,FALSE,"GLC-ratios1";"glcratio2",#N/A,FALSE,"GLC-ratios2";"norm",#N/A,FALSE,"normalized";"glcap",#N/A,FALSE,"glcapproach";"trans",#N/A,FALSE,"Transactions";"sum",#N/A,FALSE,"summary";"control",#N/A,FALSE,"control";"market",#N/A,FALSE,"marketibility";"reg",#N/A,FALSE,"regression";#N/A,#N/A,FALSE,"DCF support"}</definedName>
    <definedName name="wrn.print._all1." localSheetId="0" hidden="1">{#N/A,#N/A,FALSE,"Pharm";#N/A,#N/A,FALSE,"WWCM"}</definedName>
    <definedName name="wrn.print._all1." localSheetId="6" hidden="1">{#N/A,#N/A,FALSE,"Pharm";#N/A,#N/A,FALSE,"WWCM"}</definedName>
    <definedName name="wrn.print._all1." hidden="1">{#N/A,#N/A,FALSE,"Pharm";#N/A,#N/A,FALSE,"WWCM"}</definedName>
    <definedName name="wrn.print._all1._1" localSheetId="0" hidden="1">{#N/A,#N/A,FALSE,"Pharm";#N/A,#N/A,FALSE,"WWCM"}</definedName>
    <definedName name="wrn.print._all1._1" localSheetId="6" hidden="1">{#N/A,#N/A,FALSE,"Pharm";#N/A,#N/A,FALSE,"WWCM"}</definedName>
    <definedName name="wrn.print._all1._1" hidden="1">{#N/A,#N/A,FALSE,"Pharm";#N/A,#N/A,FALSE,"WWCM"}</definedName>
    <definedName name="wrn.print._all1._1_1" localSheetId="0" hidden="1">{#N/A,#N/A,FALSE,"Pharm";#N/A,#N/A,FALSE,"WWCM"}</definedName>
    <definedName name="wrn.print._all1._1_1" localSheetId="6" hidden="1">{#N/A,#N/A,FALSE,"Pharm";#N/A,#N/A,FALSE,"WWCM"}</definedName>
    <definedName name="wrn.print._all1._1_1" hidden="1">{#N/A,#N/A,FALSE,"Pharm";#N/A,#N/A,FALSE,"WWCM"}</definedName>
    <definedName name="wrn.print._all1._2" localSheetId="0" hidden="1">{#N/A,#N/A,FALSE,"Pharm";#N/A,#N/A,FALSE,"WWCM"}</definedName>
    <definedName name="wrn.print._all1._2" localSheetId="6" hidden="1">{#N/A,#N/A,FALSE,"Pharm";#N/A,#N/A,FALSE,"WWCM"}</definedName>
    <definedName name="wrn.print._all1._2" hidden="1">{#N/A,#N/A,FALSE,"Pharm";#N/A,#N/A,FALSE,"WWCM"}</definedName>
    <definedName name="wrn.print._all1._3" localSheetId="0" hidden="1">{#N/A,#N/A,FALSE,"Pharm";#N/A,#N/A,FALSE,"WWCM"}</definedName>
    <definedName name="wrn.print._all1._3" localSheetId="6" hidden="1">{#N/A,#N/A,FALSE,"Pharm";#N/A,#N/A,FALSE,"WWCM"}</definedName>
    <definedName name="wrn.print._all1._3" hidden="1">{#N/A,#N/A,FALSE,"Pharm";#N/A,#N/A,FALSE,"WWCM"}</definedName>
    <definedName name="wrn.print._all1._4" localSheetId="0" hidden="1">{#N/A,#N/A,FALSE,"Pharm";#N/A,#N/A,FALSE,"WWCM"}</definedName>
    <definedName name="wrn.print._all1._4" localSheetId="6" hidden="1">{#N/A,#N/A,FALSE,"Pharm";#N/A,#N/A,FALSE,"WWCM"}</definedName>
    <definedName name="wrn.print._all1._4" hidden="1">{#N/A,#N/A,FALSE,"Pharm";#N/A,#N/A,FALSE,"WWCM"}</definedName>
    <definedName name="wrn.print._all1._5" localSheetId="0" hidden="1">{#N/A,#N/A,FALSE,"Pharm";#N/A,#N/A,FALSE,"WWCM"}</definedName>
    <definedName name="wrn.print._all1._5" localSheetId="6" hidden="1">{#N/A,#N/A,FALSE,"Pharm";#N/A,#N/A,FALSE,"WWCM"}</definedName>
    <definedName name="wrn.print._all1._5" hidden="1">{#N/A,#N/A,FALSE,"Pharm";#N/A,#N/A,FALSE,"WWCM"}</definedName>
    <definedName name="wrn.print_1" localSheetId="0" hidden="1">{#N/A,#N/A,FALSE,"Pharm";#N/A,#N/A,FALSE,"WWCM"}</definedName>
    <definedName name="wrn.print_1" localSheetId="6" hidden="1">{#N/A,#N/A,FALSE,"Pharm";#N/A,#N/A,FALSE,"WWCM"}</definedName>
    <definedName name="wrn.print_1" hidden="1">{#N/A,#N/A,FALSE,"Pharm";#N/A,#N/A,FALSE,"WWCM"}</definedName>
    <definedName name="wrn.print_1_1" localSheetId="0" hidden="1">{#N/A,#N/A,FALSE,"Pharm";#N/A,#N/A,FALSE,"WWCM"}</definedName>
    <definedName name="wrn.print_1_1" localSheetId="6" hidden="1">{#N/A,#N/A,FALSE,"Pharm";#N/A,#N/A,FALSE,"WWCM"}</definedName>
    <definedName name="wrn.print_1_1" hidden="1">{#N/A,#N/A,FALSE,"Pharm";#N/A,#N/A,FALSE,"WWCM"}</definedName>
    <definedName name="wrn.print_2" localSheetId="0" hidden="1">{#N/A,#N/A,FALSE,"Pharm";#N/A,#N/A,FALSE,"WWCM"}</definedName>
    <definedName name="wrn.print_2" localSheetId="6" hidden="1">{#N/A,#N/A,FALSE,"Pharm";#N/A,#N/A,FALSE,"WWCM"}</definedName>
    <definedName name="wrn.print_2" hidden="1">{#N/A,#N/A,FALSE,"Pharm";#N/A,#N/A,FALSE,"WWCM"}</definedName>
    <definedName name="wrn.print_3" localSheetId="0" hidden="1">{#N/A,#N/A,FALSE,"Pharm";#N/A,#N/A,FALSE,"WWCM"}</definedName>
    <definedName name="wrn.print_3" localSheetId="6" hidden="1">{#N/A,#N/A,FALSE,"Pharm";#N/A,#N/A,FALSE,"WWCM"}</definedName>
    <definedName name="wrn.print_3" hidden="1">{#N/A,#N/A,FALSE,"Pharm";#N/A,#N/A,FALSE,"WWCM"}</definedName>
    <definedName name="wrn.print_4" localSheetId="0" hidden="1">{#N/A,#N/A,FALSE,"Pharm";#N/A,#N/A,FALSE,"WWCM"}</definedName>
    <definedName name="wrn.print_4" localSheetId="6" hidden="1">{#N/A,#N/A,FALSE,"Pharm";#N/A,#N/A,FALSE,"WWCM"}</definedName>
    <definedName name="wrn.print_4" hidden="1">{#N/A,#N/A,FALSE,"Pharm";#N/A,#N/A,FALSE,"WWCM"}</definedName>
    <definedName name="wrn.print_5" localSheetId="0" hidden="1">{#N/A,#N/A,FALSE,"Pharm";#N/A,#N/A,FALSE,"WWCM"}</definedName>
    <definedName name="wrn.print_5" localSheetId="6" hidden="1">{#N/A,#N/A,FALSE,"Pharm";#N/A,#N/A,FALSE,"WWCM"}</definedName>
    <definedName name="wrn.print_5" hidden="1">{#N/A,#N/A,FALSE,"Pharm";#N/A,#N/A,FALSE,"WWCM"}</definedName>
    <definedName name="wrn.Print_All." localSheetId="0" hidden="1">{"Datamkt_Print",#N/A,TRUE,"Input";"Datafin_Print",#N/A,TRUE,"Input";"Marges_Print",#N/A,TRUE,"Output";"Multiples_Print",#N/A,TRUE,"Output"}</definedName>
    <definedName name="wrn.Print_All." localSheetId="6" hidden="1">{"Datamkt_Print",#N/A,TRUE,"Input";"Datafin_Print",#N/A,TRUE,"Input";"Marges_Print",#N/A,TRUE,"Output";"Multiples_Print",#N/A,TRUE,"Output"}</definedName>
    <definedName name="wrn.Print_All." hidden="1">{"Datamkt_Print",#N/A,TRUE,"Input";"Datafin_Print",#N/A,TRUE,"Input";"Marges_Print",#N/A,TRUE,"Output";"Multiples_Print",#N/A,TRUE,"Output"}</definedName>
    <definedName name="wrn.Print_Buyer." localSheetId="0" hidden="1">{#N/A,"DR",FALSE,"increm pf";#N/A,"MAMSI",FALSE,"increm pf";#N/A,"MAXI",FALSE,"increm pf";#N/A,"PCAM",FALSE,"increm pf";#N/A,"PHSV",FALSE,"increm pf";#N/A,"SIE",FALSE,"increm pf"}</definedName>
    <definedName name="wrn.Print_Buyer." localSheetId="6" hidden="1">{#N/A,"DR",FALSE,"increm pf";#N/A,"MAMSI",FALSE,"increm pf";#N/A,"MAXI",FALSE,"increm pf";#N/A,"PCAM",FALSE,"increm pf";#N/A,"PHSV",FALSE,"increm pf";#N/A,"SIE",FALSE,"increm pf"}</definedName>
    <definedName name="wrn.Print_Buyer." hidden="1">{#N/A,"DR",FALSE,"increm pf";#N/A,"MAMSI",FALSE,"increm pf";#N/A,"MAXI",FALSE,"increm pf";#N/A,"PCAM",FALSE,"increm pf";#N/A,"PHSV",FALSE,"increm pf";#N/A,"SIE",FALSE,"increm pf"}</definedName>
    <definedName name="wrn.Print_Comps_Report." localSheetId="0" hidden="1">{"comps1_1",#N/A,FALSE,"Comps1";"comps1_2",#N/A,FALSE,"Comps1";"comps1_3",#N/A,FALSE,"Comps1";"comps1_4",#N/A,FALSE,"Comps1";"comps1_5",#N/A,FALSE,"Comps1";"comps2_1",#N/A,FALSE,"Comps2";"comps2_2",#N/A,FALSE,"Comps2";"comps2_3",#N/A,FALSE,"Comps2";"comps2_4",#N/A,FALSE,"Comps2";"comps2_5",#N/A,FALSE,"Comps2"}</definedName>
    <definedName name="wrn.Print_Comps_Report." localSheetId="6" hidden="1">{"comps1_1",#N/A,FALSE,"Comps1";"comps1_2",#N/A,FALSE,"Comps1";"comps1_3",#N/A,FALSE,"Comps1";"comps1_4",#N/A,FALSE,"Comps1";"comps1_5",#N/A,FALSE,"Comps1";"comps2_1",#N/A,FALSE,"Comps2";"comps2_2",#N/A,FALSE,"Comps2";"comps2_3",#N/A,FALSE,"Comps2";"comps2_4",#N/A,FALSE,"Comps2";"comps2_5",#N/A,FALSE,"Comps2"}</definedName>
    <definedName name="wrn.Print_Comps_Report." hidden="1">{"comps1_1",#N/A,FALSE,"Comps1";"comps1_2",#N/A,FALSE,"Comps1";"comps1_3",#N/A,FALSE,"Comps1";"comps1_4",#N/A,FALSE,"Comps1";"comps1_5",#N/A,FALSE,"Comps1";"comps2_1",#N/A,FALSE,"Comps2";"comps2_2",#N/A,FALSE,"Comps2";"comps2_3",#N/A,FALSE,"Comps2";"comps2_4",#N/A,FALSE,"Comps2";"comps2_5",#N/A,FALSE,"Comps2"}</definedName>
    <definedName name="wrn.Print_Input." localSheetId="0" hidden="1">{"Datamkt_Print",#N/A,TRUE,"Input";"Datafin_Print",#N/A,TRUE,"Input"}</definedName>
    <definedName name="wrn.Print_Input." localSheetId="6" hidden="1">{"Datamkt_Print",#N/A,TRUE,"Input";"Datafin_Print",#N/A,TRUE,"Input"}</definedName>
    <definedName name="wrn.Print_Input." hidden="1">{"Datamkt_Print",#N/A,TRUE,"Input";"Datafin_Print",#N/A,TRUE,"Input"}</definedName>
    <definedName name="wrn.Print_model." localSheetId="0"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_model." localSheetId="6"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_model." hidden="1">{"toc",#N/A,TRUE,"TOC";"summary",#N/A,TRUE,"Summary";"credit_stats",#N/A,TRUE,"South Operating";"capital_structure",#N/A,TRUE,"Cap Structure";"income",#N/A,TRUE,"South Operating";"Margins_growth",#N/A,TRUE,"South Operating";"dep_amort_capx",#N/A,TRUE,"South Operating";"balance",#N/A,TRUE,"South Operating";"Balance_acq",#N/A,TRUE,"South Operating";"cash",#N/A,TRUE,"South Operating";"capitalization",#N/A,TRUE,"South Operating";"tax",#N/A,TRUE,"South Operating";"returns",#N/A,TRUE,"Returns";"return_calc",#N/A,TRUE,"Returns";"dep_tax",#N/A,TRUE,"South Operating";"dep_book",#N/A,TRUE,"South Operating";"fees",#N/A,TRUE,"Expenses";"tax_benefits",#N/A,TRUE,"Tax Benefits";"scenarios",#N/A,TRUE,"Operating Scenarios"}</definedName>
    <definedName name="wrn.Print_Output." localSheetId="0" hidden="1">{"Marges_Print",#N/A,TRUE,"Output";"Multiples_Print",#N/A,TRUE,"Output"}</definedName>
    <definedName name="wrn.Print_Output." localSheetId="6" hidden="1">{"Marges_Print",#N/A,TRUE,"Output";"Multiples_Print",#N/A,TRUE,"Output"}</definedName>
    <definedName name="wrn.Print_Output." hidden="1">{"Marges_Print",#N/A,TRUE,"Output";"Multiples_Print",#N/A,TRUE,"Output"}</definedName>
    <definedName name="wrn.Print_Régressions." localSheetId="0" hidden="1">{#N/A,#N/A,FALSE,"Régression"}</definedName>
    <definedName name="wrn.Print_Régressions." localSheetId="6" hidden="1">{#N/A,#N/A,FALSE,"Régression"}</definedName>
    <definedName name="wrn.Print_Régressions." hidden="1">{#N/A,#N/A,FALSE,"Régression"}</definedName>
    <definedName name="wrn.Print_Target." localSheetId="0"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localSheetId="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2" localSheetId="0" hidden="1">{#N/A,#N/A,FALSE,"Pharm";#N/A,#N/A,FALSE,"WWCM"}</definedName>
    <definedName name="wrn.print2" localSheetId="6" hidden="1">{#N/A,#N/A,FALSE,"Pharm";#N/A,#N/A,FALSE,"WWCM"}</definedName>
    <definedName name="wrn.print2" hidden="1">{#N/A,#N/A,FALSE,"Pharm";#N/A,#N/A,FALSE,"WWCM"}</definedName>
    <definedName name="wrn.print2_1" localSheetId="0" hidden="1">{#N/A,#N/A,FALSE,"Pharm";#N/A,#N/A,FALSE,"WWCM"}</definedName>
    <definedName name="wrn.print2_1" localSheetId="6" hidden="1">{#N/A,#N/A,FALSE,"Pharm";#N/A,#N/A,FALSE,"WWCM"}</definedName>
    <definedName name="wrn.print2_1" hidden="1">{#N/A,#N/A,FALSE,"Pharm";#N/A,#N/A,FALSE,"WWCM"}</definedName>
    <definedName name="wrn.print2_1_1" localSheetId="0" hidden="1">{#N/A,#N/A,FALSE,"Pharm";#N/A,#N/A,FALSE,"WWCM"}</definedName>
    <definedName name="wrn.print2_1_1" localSheetId="6" hidden="1">{#N/A,#N/A,FALSE,"Pharm";#N/A,#N/A,FALSE,"WWCM"}</definedName>
    <definedName name="wrn.print2_1_1" hidden="1">{#N/A,#N/A,FALSE,"Pharm";#N/A,#N/A,FALSE,"WWCM"}</definedName>
    <definedName name="wrn.print2_2" localSheetId="0" hidden="1">{#N/A,#N/A,FALSE,"Pharm";#N/A,#N/A,FALSE,"WWCM"}</definedName>
    <definedName name="wrn.print2_2" localSheetId="6" hidden="1">{#N/A,#N/A,FALSE,"Pharm";#N/A,#N/A,FALSE,"WWCM"}</definedName>
    <definedName name="wrn.print2_2" hidden="1">{#N/A,#N/A,FALSE,"Pharm";#N/A,#N/A,FALSE,"WWCM"}</definedName>
    <definedName name="wrn.print2_3" localSheetId="0" hidden="1">{#N/A,#N/A,FALSE,"Pharm";#N/A,#N/A,FALSE,"WWCM"}</definedName>
    <definedName name="wrn.print2_3" localSheetId="6" hidden="1">{#N/A,#N/A,FALSE,"Pharm";#N/A,#N/A,FALSE,"WWCM"}</definedName>
    <definedName name="wrn.print2_3" hidden="1">{#N/A,#N/A,FALSE,"Pharm";#N/A,#N/A,FALSE,"WWCM"}</definedName>
    <definedName name="wrn.print2_4" localSheetId="0" hidden="1">{#N/A,#N/A,FALSE,"Pharm";#N/A,#N/A,FALSE,"WWCM"}</definedName>
    <definedName name="wrn.print2_4" localSheetId="6" hidden="1">{#N/A,#N/A,FALSE,"Pharm";#N/A,#N/A,FALSE,"WWCM"}</definedName>
    <definedName name="wrn.print2_4" hidden="1">{#N/A,#N/A,FALSE,"Pharm";#N/A,#N/A,FALSE,"WWCM"}</definedName>
    <definedName name="wrn.print2_5" localSheetId="0" hidden="1">{#N/A,#N/A,FALSE,"Pharm";#N/A,#N/A,FALSE,"WWCM"}</definedName>
    <definedName name="wrn.print2_5" localSheetId="6" hidden="1">{#N/A,#N/A,FALSE,"Pharm";#N/A,#N/A,FALSE,"WWCM"}</definedName>
    <definedName name="wrn.print2_5" hidden="1">{#N/A,#N/A,FALSE,"Pharm";#N/A,#N/A,FALSE,"WWCM"}</definedName>
    <definedName name="wrn.PrintAll." localSheetId="0" hidden="1">{"PA1",#N/A,FALSE,"BORDMW";"pa2",#N/A,FALSE,"BORDMW";"PA3",#N/A,FALSE,"BORDMW";"PA4",#N/A,FALSE,"BORDMW"}</definedName>
    <definedName name="wrn.PrintAll." localSheetId="6" hidden="1">{"PA1",#N/A,FALSE,"BORDMW";"pa2",#N/A,FALSE,"BORDMW";"PA3",#N/A,FALSE,"BORDMW";"PA4",#N/A,FALSE,"BORDMW"}</definedName>
    <definedName name="wrn.PrintAll." hidden="1">{"PA1",#N/A,FALSE,"BORDMW";"pa2",#N/A,FALSE,"BORDMW";"PA3",#N/A,FALSE,"BORDMW";"PA4",#N/A,FALSE,"BORDMW"}</definedName>
    <definedName name="wrn.PrintallD." localSheetId="6"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D._1" localSheetId="6" hidden="1">{#N/A,#N/A,FALSE,"SumD";#N/A,#N/A,FALSE,"ElecD";#N/A,#N/A,FALSE,"MechD";#N/A,#N/A,FALSE,"GeotD";#N/A,#N/A,FALSE,"PrcsD";#N/A,#N/A,FALSE,"TunnD";#N/A,#N/A,FALSE,"CivlD";#N/A,#N/A,FALSE,"NtwkD";#N/A,#N/A,FALSE,"EstgD";#N/A,#N/A,FALSE,"PEngD"}</definedName>
    <definedName name="wrn.PrintallD._1" hidden="1">{#N/A,#N/A,FALSE,"SumD";#N/A,#N/A,FALSE,"ElecD";#N/A,#N/A,FALSE,"MechD";#N/A,#N/A,FALSE,"GeotD";#N/A,#N/A,FALSE,"PrcsD";#N/A,#N/A,FALSE,"TunnD";#N/A,#N/A,FALSE,"CivlD";#N/A,#N/A,FALSE,"NtwkD";#N/A,#N/A,FALSE,"EstgD";#N/A,#N/A,FALSE,"PEngD"}</definedName>
    <definedName name="wrn.PrintallG." localSheetId="6"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allG._1" localSheetId="6" hidden="1">{#N/A,#N/A,FALSE,"SumG";#N/A,#N/A,FALSE,"ElecG";#N/A,#N/A,FALSE,"MechG";#N/A,#N/A,FALSE,"GeotG";#N/A,#N/A,FALSE,"PrcsG";#N/A,#N/A,FALSE,"TunnG";#N/A,#N/A,FALSE,"CivlG";#N/A,#N/A,FALSE,"NtwkG";#N/A,#N/A,FALSE,"EstgG";#N/A,#N/A,FALSE,"PEngG"}</definedName>
    <definedName name="wrn.PrintallG._1" hidden="1">{#N/A,#N/A,FALSE,"SumG";#N/A,#N/A,FALSE,"ElecG";#N/A,#N/A,FALSE,"MechG";#N/A,#N/A,FALSE,"GeotG";#N/A,#N/A,FALSE,"PrcsG";#N/A,#N/A,FALSE,"TunnG";#N/A,#N/A,FALSE,"CivlG";#N/A,#N/A,FALSE,"NtwkG";#N/A,#N/A,FALSE,"EstgG";#N/A,#N/A,FALSE,"PEngG"}</definedName>
    <definedName name="wrn.PrintCap." localSheetId="0" hidden="1">{"page1",#N/A,FALSE,"Capital";"page2",#N/A,FALSE,"Capital";"page3",#N/A,FALSE,"Capital"}</definedName>
    <definedName name="wrn.PrintCap." localSheetId="6" hidden="1">{"page1",#N/A,FALSE,"Capital";"page2",#N/A,FALSE,"Capital";"page3",#N/A,FALSE,"Capital"}</definedName>
    <definedName name="wrn.PrintCap." hidden="1">{"page1",#N/A,FALSE,"Capital";"page2",#N/A,FALSE,"Capital";"page3",#N/A,FALSE,"Capital"}</definedName>
    <definedName name="wrn.Printing._.Report." localSheetId="0"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Printing._.Report." localSheetId="6"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Printing._.Report."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Printing._.the._.transactions._.sheets." localSheetId="0" hidden="1">{#N/A,#N/A,FALSE,"Eastern";#N/A,#N/A,FALSE,"Western"}</definedName>
    <definedName name="wrn.Printing._.the._.transactions._.sheets." localSheetId="6" hidden="1">{#N/A,#N/A,FALSE,"Eastern";#N/A,#N/A,FALSE,"Western"}</definedName>
    <definedName name="wrn.Printing._.the._.transactions._.sheets." hidden="1">{#N/A,#N/A,FALSE,"Eastern";#N/A,#N/A,FALSE,"Western"}</definedName>
    <definedName name="wrn.printo." localSheetId="0" hidden="1">{#N/A,#N/A,FALSE,"Trading-Mult ";#N/A,#N/A,FALSE,"M&amp;A info"}</definedName>
    <definedName name="wrn.printo." localSheetId="6" hidden="1">{#N/A,#N/A,FALSE,"Trading-Mult ";#N/A,#N/A,FALSE,"M&amp;A info"}</definedName>
    <definedName name="wrn.printo." hidden="1">{#N/A,#N/A,FALSE,"Trading-Mult ";#N/A,#N/A,FALSE,"M&amp;A info"}</definedName>
    <definedName name="wrn.printout." localSheetId="0" hidden="1">{#N/A,#N/A,FALSE,"BANNERS";#N/A,#N/A,FALSE,"Market";#N/A,#N/A,FALSE,"# of POP MAN";#N/A,#N/A,FALSE,"Penet Input";#N/A,#N/A,FALSE,"Tel Rev";#N/A,#N/A,FALSE,"Invest";#N/A,#N/A,FALSE,"Op Cost1";#N/A,#N/A,FALSE,"Op Cost2";#N/A,#N/A,FALSE,"Oth_&amp;_Tot_Revenues";#N/A,#N/A,FALSE,"Fin Mod";#N/A,#N/A,FALSE,"P&amp;E Burocrat";#N/A,#N/A,FALSE,"cash flow"}</definedName>
    <definedName name="wrn.printout." localSheetId="6" hidden="1">{#N/A,#N/A,FALSE,"BANNERS";#N/A,#N/A,FALSE,"Market";#N/A,#N/A,FALSE,"# of POP MAN";#N/A,#N/A,FALSE,"Penet Input";#N/A,#N/A,FALSE,"Tel Rev";#N/A,#N/A,FALSE,"Invest";#N/A,#N/A,FALSE,"Op Cost1";#N/A,#N/A,FALSE,"Op Cost2";#N/A,#N/A,FALSE,"Oth_&amp;_Tot_Revenues";#N/A,#N/A,FALSE,"Fin Mod";#N/A,#N/A,FALSE,"P&amp;E Burocrat";#N/A,#N/A,FALSE,"cash flow"}</definedName>
    <definedName name="wrn.printout." hidden="1">{#N/A,#N/A,FALSE,"BANNERS";#N/A,#N/A,FALSE,"Market";#N/A,#N/A,FALSE,"# of POP MAN";#N/A,#N/A,FALSE,"Penet Input";#N/A,#N/A,FALSE,"Tel Rev";#N/A,#N/A,FALSE,"Invest";#N/A,#N/A,FALSE,"Op Cost1";#N/A,#N/A,FALSE,"Op Cost2";#N/A,#N/A,FALSE,"Oth_&amp;_Tot_Revenues";#N/A,#N/A,FALSE,"Fin Mod";#N/A,#N/A,FALSE,"P&amp;E Burocrat";#N/A,#N/A,FALSE,"cash flow"}</definedName>
    <definedName name="wrn.printqtr." localSheetId="0" hidden="1">{"nytasecond",#N/A,FALSE,"NYTQTRS";"nytafirst",#N/A,FALSE,"NYTQTRS";"nytathird",#N/A,FALSE,"NYTQTRS";"nytafourth",#N/A,FALSE,"NYTQTRS";"nytafull",#N/A,FALSE,"NYTQTRS"}</definedName>
    <definedName name="wrn.printqtr." localSheetId="6" hidden="1">{"nytasecond",#N/A,FALSE,"NYTQTRS";"nytafirst",#N/A,FALSE,"NYTQTRS";"nytathird",#N/A,FALSE,"NYTQTRS";"nytafourth",#N/A,FALSE,"NYTQTRS";"nytafull",#N/A,FALSE,"NYTQTRS"}</definedName>
    <definedName name="wrn.printqtr." hidden="1">{"nytasecond",#N/A,FALSE,"NYTQTRS";"nytafirst",#N/A,FALSE,"NYTQTRS";"nytathird",#N/A,FALSE,"NYTQTRS";"nytafourth",#N/A,FALSE,"NYTQTRS";"nytafull",#N/A,FALSE,"NYTQTRS"}</definedName>
    <definedName name="wrn.printreg." localSheetId="6" hidden="1">{#N/A,#N/A,FALSE,"Sheet2"}</definedName>
    <definedName name="wrn.printreg." hidden="1">{#N/A,#N/A,FALSE,"Sheet2"}</definedName>
    <definedName name="wrn.PRINTREP." localSheetId="0" hidden="1">{"PRINTREP",#N/A,FALSE,"Sheet1"}</definedName>
    <definedName name="wrn.PRINTREP." localSheetId="6" hidden="1">{"PRINTREP",#N/A,FALSE,"Sheet1"}</definedName>
    <definedName name="wrn.PRINTREP." hidden="1">{"PRINTREP",#N/A,FALSE,"Sheet1"}</definedName>
    <definedName name="wrn.printsyns." localSheetId="0" hidden="1">{"dcfsyn",#N/A,FALSE,"DCFSYN";"senssyn",#N/A,FALSE,"DCFSYN"}</definedName>
    <definedName name="wrn.printsyns." localSheetId="6" hidden="1">{"dcfsyn",#N/A,FALSE,"DCFSYN";"senssyn",#N/A,FALSE,"DCFSYN"}</definedName>
    <definedName name="wrn.printsyns." hidden="1">{"dcfsyn",#N/A,FALSE,"DCFSYN";"senssyn",#N/A,FALSE,"DCFSYN"}</definedName>
    <definedName name="wrn.PRODTABLES." localSheetId="0" hidden="1">{"GAS1",#N/A,FALSE,"LTSUPDEM";"GAS2",#N/A,FALSE,"LTSUPDEM";"RFG1",#N/A,FALSE,"LTSUPDEM";"RFG2",#N/A,FALSE,"LTSUPDEM";"OXY1",#N/A,FALSE,"LTSUPDEM";"OXY2",#N/A,FALSE,"LTSUPDEM";"OTHERGAS1",#N/A,FALSE,"LTSUPDEM";"OTHERGAS2",#N/A,FALSE,"LTSUPDEM";"JETKERO1",#N/A,FALSE,"LTSUPDEM";"JETKERO2",#N/A,FALSE,"LTSUPDEM";"JETNAPH1",#N/A,FALSE,"LTSUPDEM";"JETNAPH2",#N/A,FALSE,"LTSUPDEM";"DIESEL1",#N/A,FALSE,"LTSUPDEM";"DIESEL2",#N/A,FALSE,"LTSUPDEM";"LSDIESEL1",#N/A,FALSE,"LTSUPDEM";"LSDIESEL2",#N/A,FALSE,"LTSUPDEM";"STDDIESEL1",#N/A,FALSE,"LTSUPDEM";"STDDIESEL2",#N/A,FALSE,"LTSUPDEM";"RESID1",#N/A,FALSE,"LTSUPDEM";"RESID2",#N/A,FALSE,"LTSUPDEM";"AVGAS1",#N/A,FALSE,"LTSUPDEM";"AVGAS2",#N/A,FALSE,"LTSUPDEM";"ASPHALT1",#N/A,FALSE,"LTSUPDEM";"ASPHALT2",#N/A,FALSE,"LTSUPDEM";"COKE1",#N/A,FALSE,"LTSUPDEM";"COKE2",#N/A,FALSE,"LTSUPDEM"}</definedName>
    <definedName name="wrn.PRODTABLES." localSheetId="6" hidden="1">{"GAS1",#N/A,FALSE,"LTSUPDEM";"GAS2",#N/A,FALSE,"LTSUPDEM";"RFG1",#N/A,FALSE,"LTSUPDEM";"RFG2",#N/A,FALSE,"LTSUPDEM";"OXY1",#N/A,FALSE,"LTSUPDEM";"OXY2",#N/A,FALSE,"LTSUPDEM";"OTHERGAS1",#N/A,FALSE,"LTSUPDEM";"OTHERGAS2",#N/A,FALSE,"LTSUPDEM";"JETKERO1",#N/A,FALSE,"LTSUPDEM";"JETKERO2",#N/A,FALSE,"LTSUPDEM";"JETNAPH1",#N/A,FALSE,"LTSUPDEM";"JETNAPH2",#N/A,FALSE,"LTSUPDEM";"DIESEL1",#N/A,FALSE,"LTSUPDEM";"DIESEL2",#N/A,FALSE,"LTSUPDEM";"LSDIESEL1",#N/A,FALSE,"LTSUPDEM";"LSDIESEL2",#N/A,FALSE,"LTSUPDEM";"STDDIESEL1",#N/A,FALSE,"LTSUPDEM";"STDDIESEL2",#N/A,FALSE,"LTSUPDEM";"RESID1",#N/A,FALSE,"LTSUPDEM";"RESID2",#N/A,FALSE,"LTSUPDEM";"AVGAS1",#N/A,FALSE,"LTSUPDEM";"AVGAS2",#N/A,FALSE,"LTSUPDEM";"ASPHALT1",#N/A,FALSE,"LTSUPDEM";"ASPHALT2",#N/A,FALSE,"LTSUPDEM";"COKE1",#N/A,FALSE,"LTSUPDEM";"COKE2",#N/A,FALSE,"LTSUPDEM"}</definedName>
    <definedName name="wrn.PRODTABLES." hidden="1">{"GAS1",#N/A,FALSE,"LTSUPDEM";"GAS2",#N/A,FALSE,"LTSUPDEM";"RFG1",#N/A,FALSE,"LTSUPDEM";"RFG2",#N/A,FALSE,"LTSUPDEM";"OXY1",#N/A,FALSE,"LTSUPDEM";"OXY2",#N/A,FALSE,"LTSUPDEM";"OTHERGAS1",#N/A,FALSE,"LTSUPDEM";"OTHERGAS2",#N/A,FALSE,"LTSUPDEM";"JETKERO1",#N/A,FALSE,"LTSUPDEM";"JETKERO2",#N/A,FALSE,"LTSUPDEM";"JETNAPH1",#N/A,FALSE,"LTSUPDEM";"JETNAPH2",#N/A,FALSE,"LTSUPDEM";"DIESEL1",#N/A,FALSE,"LTSUPDEM";"DIESEL2",#N/A,FALSE,"LTSUPDEM";"LSDIESEL1",#N/A,FALSE,"LTSUPDEM";"LSDIESEL2",#N/A,FALSE,"LTSUPDEM";"STDDIESEL1",#N/A,FALSE,"LTSUPDEM";"STDDIESEL2",#N/A,FALSE,"LTSUPDEM";"RESID1",#N/A,FALSE,"LTSUPDEM";"RESID2",#N/A,FALSE,"LTSUPDEM";"AVGAS1",#N/A,FALSE,"LTSUPDEM";"AVGAS2",#N/A,FALSE,"LTSUPDEM";"ASPHALT1",#N/A,FALSE,"LTSUPDEM";"ASPHALT2",#N/A,FALSE,"LTSUPDEM";"COKE1",#N/A,FALSE,"LTSUPDEM";"COKE2",#N/A,FALSE,"LTSUPDEM"}</definedName>
    <definedName name="wrn.PRODUCT." localSheetId="0" hidden="1">{#N/A,#N/A,FALSE,"Intro General";#N/A,#N/A,FALSE,"ABP_OUTL";#N/A,#N/A,FALSE,"Weekintro";#N/A,#N/A,FALSE,"Week Prod"}</definedName>
    <definedName name="wrn.PRODUCT." localSheetId="6" hidden="1">{#N/A,#N/A,FALSE,"Intro General";#N/A,#N/A,FALSE,"ABP_OUTL";#N/A,#N/A,FALSE,"Weekintro";#N/A,#N/A,FALSE,"Week Prod"}</definedName>
    <definedName name="wrn.PRODUCT." hidden="1">{#N/A,#N/A,FALSE,"Intro General";#N/A,#N/A,FALSE,"ABP_OUTL";#N/A,#N/A,FALSE,"Weekintro";#N/A,#N/A,FALSE,"Week Prod"}</definedName>
    <definedName name="wrn.products" localSheetId="0" hidden="1">{#N/A,#N/A,FALSE,"1";#N/A,#N/A,FALSE,"2";#N/A,#N/A,FALSE,"16 - 17";#N/A,#N/A,FALSE,"18 - 19";#N/A,#N/A,FALSE,"26";#N/A,#N/A,FALSE,"27";#N/A,#N/A,FALSE,"28"}</definedName>
    <definedName name="wrn.products" localSheetId="6" hidden="1">{#N/A,#N/A,FALSE,"1";#N/A,#N/A,FALSE,"2";#N/A,#N/A,FALSE,"16 - 17";#N/A,#N/A,FALSE,"18 - 19";#N/A,#N/A,FALSE,"26";#N/A,#N/A,FALSE,"27";#N/A,#N/A,FALSE,"28"}</definedName>
    <definedName name="wrn.products" hidden="1">{#N/A,#N/A,FALSE,"1";#N/A,#N/A,FALSE,"2";#N/A,#N/A,FALSE,"16 - 17";#N/A,#N/A,FALSE,"18 - 19";#N/A,#N/A,FALSE,"26";#N/A,#N/A,FALSE,"27";#N/A,#N/A,FALSE,"28"}</definedName>
    <definedName name="wrn.Products." localSheetId="0" hidden="1">{#N/A,#N/A,FALSE,"1";#N/A,#N/A,FALSE,"2";#N/A,#N/A,FALSE,"16 - 17";#N/A,#N/A,FALSE,"18 - 19";#N/A,#N/A,FALSE,"26";#N/A,#N/A,FALSE,"27";#N/A,#N/A,FALSE,"28"}</definedName>
    <definedName name="wrn.Products." localSheetId="6" hidden="1">{#N/A,#N/A,FALSE,"1";#N/A,#N/A,FALSE,"2";#N/A,#N/A,FALSE,"16 - 17";#N/A,#N/A,FALSE,"18 - 19";#N/A,#N/A,FALSE,"26";#N/A,#N/A,FALSE,"27";#N/A,#N/A,FALSE,"28"}</definedName>
    <definedName name="wrn.Products." hidden="1">{#N/A,#N/A,FALSE,"1";#N/A,#N/A,FALSE,"2";#N/A,#N/A,FALSE,"16 - 17";#N/A,#N/A,FALSE,"18 - 19";#N/A,#N/A,FALSE,"26";#N/A,#N/A,FALSE,"27";#N/A,#N/A,FALSE,"28"}</definedName>
    <definedName name="wrn.Products._1" localSheetId="0" hidden="1">{#N/A,#N/A,FALSE,"1";#N/A,#N/A,FALSE,"2";#N/A,#N/A,FALSE,"16 - 17";#N/A,#N/A,FALSE,"18 - 19";#N/A,#N/A,FALSE,"26";#N/A,#N/A,FALSE,"27";#N/A,#N/A,FALSE,"28"}</definedName>
    <definedName name="wrn.Products._1" localSheetId="6" hidden="1">{#N/A,#N/A,FALSE,"1";#N/A,#N/A,FALSE,"2";#N/A,#N/A,FALSE,"16 - 17";#N/A,#N/A,FALSE,"18 - 19";#N/A,#N/A,FALSE,"26";#N/A,#N/A,FALSE,"27";#N/A,#N/A,FALSE,"28"}</definedName>
    <definedName name="wrn.Products._1" hidden="1">{#N/A,#N/A,FALSE,"1";#N/A,#N/A,FALSE,"2";#N/A,#N/A,FALSE,"16 - 17";#N/A,#N/A,FALSE,"18 - 19";#N/A,#N/A,FALSE,"26";#N/A,#N/A,FALSE,"27";#N/A,#N/A,FALSE,"28"}</definedName>
    <definedName name="wrn.Products._1_1" localSheetId="0" hidden="1">{#N/A,#N/A,FALSE,"1";#N/A,#N/A,FALSE,"2";#N/A,#N/A,FALSE,"16 - 17";#N/A,#N/A,FALSE,"18 - 19";#N/A,#N/A,FALSE,"26";#N/A,#N/A,FALSE,"27";#N/A,#N/A,FALSE,"28"}</definedName>
    <definedName name="wrn.Products._1_1" localSheetId="6" hidden="1">{#N/A,#N/A,FALSE,"1";#N/A,#N/A,FALSE,"2";#N/A,#N/A,FALSE,"16 - 17";#N/A,#N/A,FALSE,"18 - 19";#N/A,#N/A,FALSE,"26";#N/A,#N/A,FALSE,"27";#N/A,#N/A,FALSE,"28"}</definedName>
    <definedName name="wrn.Products._1_1" hidden="1">{#N/A,#N/A,FALSE,"1";#N/A,#N/A,FALSE,"2";#N/A,#N/A,FALSE,"16 - 17";#N/A,#N/A,FALSE,"18 - 19";#N/A,#N/A,FALSE,"26";#N/A,#N/A,FALSE,"27";#N/A,#N/A,FALSE,"28"}</definedName>
    <definedName name="wrn.Products._2" localSheetId="0" hidden="1">{#N/A,#N/A,FALSE,"1";#N/A,#N/A,FALSE,"2";#N/A,#N/A,FALSE,"16 - 17";#N/A,#N/A,FALSE,"18 - 19";#N/A,#N/A,FALSE,"26";#N/A,#N/A,FALSE,"27";#N/A,#N/A,FALSE,"28"}</definedName>
    <definedName name="wrn.Products._2" localSheetId="6" hidden="1">{#N/A,#N/A,FALSE,"1";#N/A,#N/A,FALSE,"2";#N/A,#N/A,FALSE,"16 - 17";#N/A,#N/A,FALSE,"18 - 19";#N/A,#N/A,FALSE,"26";#N/A,#N/A,FALSE,"27";#N/A,#N/A,FALSE,"28"}</definedName>
    <definedName name="wrn.Products._2" hidden="1">{#N/A,#N/A,FALSE,"1";#N/A,#N/A,FALSE,"2";#N/A,#N/A,FALSE,"16 - 17";#N/A,#N/A,FALSE,"18 - 19";#N/A,#N/A,FALSE,"26";#N/A,#N/A,FALSE,"27";#N/A,#N/A,FALSE,"28"}</definedName>
    <definedName name="wrn.Products._3" localSheetId="0" hidden="1">{#N/A,#N/A,FALSE,"1";#N/A,#N/A,FALSE,"2";#N/A,#N/A,FALSE,"16 - 17";#N/A,#N/A,FALSE,"18 - 19";#N/A,#N/A,FALSE,"26";#N/A,#N/A,FALSE,"27";#N/A,#N/A,FALSE,"28"}</definedName>
    <definedName name="wrn.Products._3" localSheetId="6" hidden="1">{#N/A,#N/A,FALSE,"1";#N/A,#N/A,FALSE,"2";#N/A,#N/A,FALSE,"16 - 17";#N/A,#N/A,FALSE,"18 - 19";#N/A,#N/A,FALSE,"26";#N/A,#N/A,FALSE,"27";#N/A,#N/A,FALSE,"28"}</definedName>
    <definedName name="wrn.Products._3" hidden="1">{#N/A,#N/A,FALSE,"1";#N/A,#N/A,FALSE,"2";#N/A,#N/A,FALSE,"16 - 17";#N/A,#N/A,FALSE,"18 - 19";#N/A,#N/A,FALSE,"26";#N/A,#N/A,FALSE,"27";#N/A,#N/A,FALSE,"28"}</definedName>
    <definedName name="wrn.Products._4" localSheetId="0" hidden="1">{#N/A,#N/A,FALSE,"1";#N/A,#N/A,FALSE,"2";#N/A,#N/A,FALSE,"16 - 17";#N/A,#N/A,FALSE,"18 - 19";#N/A,#N/A,FALSE,"26";#N/A,#N/A,FALSE,"27";#N/A,#N/A,FALSE,"28"}</definedName>
    <definedName name="wrn.Products._4" localSheetId="6" hidden="1">{#N/A,#N/A,FALSE,"1";#N/A,#N/A,FALSE,"2";#N/A,#N/A,FALSE,"16 - 17";#N/A,#N/A,FALSE,"18 - 19";#N/A,#N/A,FALSE,"26";#N/A,#N/A,FALSE,"27";#N/A,#N/A,FALSE,"28"}</definedName>
    <definedName name="wrn.Products._4" hidden="1">{#N/A,#N/A,FALSE,"1";#N/A,#N/A,FALSE,"2";#N/A,#N/A,FALSE,"16 - 17";#N/A,#N/A,FALSE,"18 - 19";#N/A,#N/A,FALSE,"26";#N/A,#N/A,FALSE,"27";#N/A,#N/A,FALSE,"28"}</definedName>
    <definedName name="wrn.Products._5" localSheetId="0" hidden="1">{#N/A,#N/A,FALSE,"1";#N/A,#N/A,FALSE,"2";#N/A,#N/A,FALSE,"16 - 17";#N/A,#N/A,FALSE,"18 - 19";#N/A,#N/A,FALSE,"26";#N/A,#N/A,FALSE,"27";#N/A,#N/A,FALSE,"28"}</definedName>
    <definedName name="wrn.Products._5" localSheetId="6" hidden="1">{#N/A,#N/A,FALSE,"1";#N/A,#N/A,FALSE,"2";#N/A,#N/A,FALSE,"16 - 17";#N/A,#N/A,FALSE,"18 - 19";#N/A,#N/A,FALSE,"26";#N/A,#N/A,FALSE,"27";#N/A,#N/A,FALSE,"28"}</definedName>
    <definedName name="wrn.Products._5" hidden="1">{#N/A,#N/A,FALSE,"1";#N/A,#N/A,FALSE,"2";#N/A,#N/A,FALSE,"16 - 17";#N/A,#N/A,FALSE,"18 - 19";#N/A,#N/A,FALSE,"26";#N/A,#N/A,FALSE,"27";#N/A,#N/A,FALSE,"28"}</definedName>
    <definedName name="wrn.products_1" localSheetId="0" hidden="1">{#N/A,#N/A,FALSE,"1";#N/A,#N/A,FALSE,"2";#N/A,#N/A,FALSE,"16 - 17";#N/A,#N/A,FALSE,"18 - 19";#N/A,#N/A,FALSE,"26";#N/A,#N/A,FALSE,"27";#N/A,#N/A,FALSE,"28"}</definedName>
    <definedName name="wrn.products_1" localSheetId="6" hidden="1">{#N/A,#N/A,FALSE,"1";#N/A,#N/A,FALSE,"2";#N/A,#N/A,FALSE,"16 - 17";#N/A,#N/A,FALSE,"18 - 19";#N/A,#N/A,FALSE,"26";#N/A,#N/A,FALSE,"27";#N/A,#N/A,FALSE,"28"}</definedName>
    <definedName name="wrn.products_1" hidden="1">{#N/A,#N/A,FALSE,"1";#N/A,#N/A,FALSE,"2";#N/A,#N/A,FALSE,"16 - 17";#N/A,#N/A,FALSE,"18 - 19";#N/A,#N/A,FALSE,"26";#N/A,#N/A,FALSE,"27";#N/A,#N/A,FALSE,"28"}</definedName>
    <definedName name="wrn.products_1_1" localSheetId="0" hidden="1">{#N/A,#N/A,FALSE,"1";#N/A,#N/A,FALSE,"2";#N/A,#N/A,FALSE,"16 - 17";#N/A,#N/A,FALSE,"18 - 19";#N/A,#N/A,FALSE,"26";#N/A,#N/A,FALSE,"27";#N/A,#N/A,FALSE,"28"}</definedName>
    <definedName name="wrn.products_1_1" localSheetId="6" hidden="1">{#N/A,#N/A,FALSE,"1";#N/A,#N/A,FALSE,"2";#N/A,#N/A,FALSE,"16 - 17";#N/A,#N/A,FALSE,"18 - 19";#N/A,#N/A,FALSE,"26";#N/A,#N/A,FALSE,"27";#N/A,#N/A,FALSE,"28"}</definedName>
    <definedName name="wrn.products_1_1" hidden="1">{#N/A,#N/A,FALSE,"1";#N/A,#N/A,FALSE,"2";#N/A,#N/A,FALSE,"16 - 17";#N/A,#N/A,FALSE,"18 - 19";#N/A,#N/A,FALSE,"26";#N/A,#N/A,FALSE,"27";#N/A,#N/A,FALSE,"28"}</definedName>
    <definedName name="wrn.products_2" localSheetId="0" hidden="1">{#N/A,#N/A,FALSE,"1";#N/A,#N/A,FALSE,"2";#N/A,#N/A,FALSE,"16 - 17";#N/A,#N/A,FALSE,"18 - 19";#N/A,#N/A,FALSE,"26";#N/A,#N/A,FALSE,"27";#N/A,#N/A,FALSE,"28"}</definedName>
    <definedName name="wrn.products_2" localSheetId="6" hidden="1">{#N/A,#N/A,FALSE,"1";#N/A,#N/A,FALSE,"2";#N/A,#N/A,FALSE,"16 - 17";#N/A,#N/A,FALSE,"18 - 19";#N/A,#N/A,FALSE,"26";#N/A,#N/A,FALSE,"27";#N/A,#N/A,FALSE,"28"}</definedName>
    <definedName name="wrn.products_2" hidden="1">{#N/A,#N/A,FALSE,"1";#N/A,#N/A,FALSE,"2";#N/A,#N/A,FALSE,"16 - 17";#N/A,#N/A,FALSE,"18 - 19";#N/A,#N/A,FALSE,"26";#N/A,#N/A,FALSE,"27";#N/A,#N/A,FALSE,"28"}</definedName>
    <definedName name="wrn.products_3" localSheetId="0" hidden="1">{#N/A,#N/A,FALSE,"1";#N/A,#N/A,FALSE,"2";#N/A,#N/A,FALSE,"16 - 17";#N/A,#N/A,FALSE,"18 - 19";#N/A,#N/A,FALSE,"26";#N/A,#N/A,FALSE,"27";#N/A,#N/A,FALSE,"28"}</definedName>
    <definedName name="wrn.products_3" localSheetId="6" hidden="1">{#N/A,#N/A,FALSE,"1";#N/A,#N/A,FALSE,"2";#N/A,#N/A,FALSE,"16 - 17";#N/A,#N/A,FALSE,"18 - 19";#N/A,#N/A,FALSE,"26";#N/A,#N/A,FALSE,"27";#N/A,#N/A,FALSE,"28"}</definedName>
    <definedName name="wrn.products_3" hidden="1">{#N/A,#N/A,FALSE,"1";#N/A,#N/A,FALSE,"2";#N/A,#N/A,FALSE,"16 - 17";#N/A,#N/A,FALSE,"18 - 19";#N/A,#N/A,FALSE,"26";#N/A,#N/A,FALSE,"27";#N/A,#N/A,FALSE,"28"}</definedName>
    <definedName name="wrn.products_4" localSheetId="0" hidden="1">{#N/A,#N/A,FALSE,"1";#N/A,#N/A,FALSE,"2";#N/A,#N/A,FALSE,"16 - 17";#N/A,#N/A,FALSE,"18 - 19";#N/A,#N/A,FALSE,"26";#N/A,#N/A,FALSE,"27";#N/A,#N/A,FALSE,"28"}</definedName>
    <definedName name="wrn.products_4" localSheetId="6" hidden="1">{#N/A,#N/A,FALSE,"1";#N/A,#N/A,FALSE,"2";#N/A,#N/A,FALSE,"16 - 17";#N/A,#N/A,FALSE,"18 - 19";#N/A,#N/A,FALSE,"26";#N/A,#N/A,FALSE,"27";#N/A,#N/A,FALSE,"28"}</definedName>
    <definedName name="wrn.products_4" hidden="1">{#N/A,#N/A,FALSE,"1";#N/A,#N/A,FALSE,"2";#N/A,#N/A,FALSE,"16 - 17";#N/A,#N/A,FALSE,"18 - 19";#N/A,#N/A,FALSE,"26";#N/A,#N/A,FALSE,"27";#N/A,#N/A,FALSE,"28"}</definedName>
    <definedName name="wrn.products_5" localSheetId="0" hidden="1">{#N/A,#N/A,FALSE,"1";#N/A,#N/A,FALSE,"2";#N/A,#N/A,FALSE,"16 - 17";#N/A,#N/A,FALSE,"18 - 19";#N/A,#N/A,FALSE,"26";#N/A,#N/A,FALSE,"27";#N/A,#N/A,FALSE,"28"}</definedName>
    <definedName name="wrn.products_5" localSheetId="6" hidden="1">{#N/A,#N/A,FALSE,"1";#N/A,#N/A,FALSE,"2";#N/A,#N/A,FALSE,"16 - 17";#N/A,#N/A,FALSE,"18 - 19";#N/A,#N/A,FALSE,"26";#N/A,#N/A,FALSE,"27";#N/A,#N/A,FALSE,"28"}</definedName>
    <definedName name="wrn.products_5" hidden="1">{#N/A,#N/A,FALSE,"1";#N/A,#N/A,FALSE,"2";#N/A,#N/A,FALSE,"16 - 17";#N/A,#N/A,FALSE,"18 - 19";#N/A,#N/A,FALSE,"26";#N/A,#N/A,FALSE,"27";#N/A,#N/A,FALSE,"28"}</definedName>
    <definedName name="wrn.profit." localSheetId="0" hidden="1">{#N/A,#N/A,TRUE,"PROFIT 11-95"}</definedName>
    <definedName name="wrn.profit." localSheetId="6" hidden="1">{#N/A,#N/A,TRUE,"PROFIT 11-95"}</definedName>
    <definedName name="wrn.profit." hidden="1">{#N/A,#N/A,TRUE,"PROFIT 11-95"}</definedName>
    <definedName name="wrn.profit._.and._.loss." localSheetId="6" hidden="1">{"p&amp;l",#N/A,FALSE,"BPLN5YR3"}</definedName>
    <definedName name="wrn.profit._.and._.loss." hidden="1">{"p&amp;l",#N/A,FALSE,"BPLN5YR3"}</definedName>
    <definedName name="wrn.Profit._.and._.loss._.account._.detail." localSheetId="6" hidden="1">{#N/A,#N/A,FALSE,"HCA";#N/A,#N/A,FALSE,"Revenue";#N/A,#N/A,FALSE,"Opex";#N/A,#N/A,FALSE,"AMP"}</definedName>
    <definedName name="wrn.Profit._.and._.loss._.account._.detail." hidden="1">{#N/A,#N/A,FALSE,"HCA";#N/A,#N/A,FALSE,"Revenue";#N/A,#N/A,FALSE,"Opex";#N/A,#N/A,FALSE,"AMP"}</definedName>
    <definedName name="wrn.PROFIT._.LOSS._.BY._.DEPT." localSheetId="0" hidden="1">{"LVL1 PL REV",#N/A,FALSE,"LVL1 PL";"LVL1 PL CGS",#N/A,FALSE,"LVL1 PL";"LVL1 PL SM",#N/A,FALSE,"LVL1 PL";"LVL1 PL RD",#N/A,FALSE,"LVL1 PL";"LVL1 PL GA",#N/A,FALSE,"LVL1 PL";"LVL1 PL NIAT",#N/A,FALSE,"LVL1 PL"}</definedName>
    <definedName name="wrn.PROFIT._.LOSS._.BY._.DEPT." localSheetId="6" hidden="1">{"LVL1 PL REV",#N/A,FALSE,"LVL1 PL";"LVL1 PL CGS",#N/A,FALSE,"LVL1 PL";"LVL1 PL SM",#N/A,FALSE,"LVL1 PL";"LVL1 PL RD",#N/A,FALSE,"LVL1 PL";"LVL1 PL GA",#N/A,FALSE,"LVL1 PL";"LVL1 PL NIAT",#N/A,FALSE,"LVL1 PL"}</definedName>
    <definedName name="wrn.PROFIT._.LOSS._.BY._.DEPT." hidden="1">{"LVL1 PL REV",#N/A,FALSE,"LVL1 PL";"LVL1 PL CGS",#N/A,FALSE,"LVL1 PL";"LVL1 PL SM",#N/A,FALSE,"LVL1 PL";"LVL1 PL RD",#N/A,FALSE,"LVL1 PL";"LVL1 PL GA",#N/A,FALSE,"LVL1 PL";"LVL1 PL NIAT",#N/A,FALSE,"LVL1 PL"}</definedName>
    <definedName name="WRN.PROFIT1" localSheetId="0" hidden="1">{#N/A,#N/A,TRUE,"PROFIT 11-95"}</definedName>
    <definedName name="WRN.PROFIT1" localSheetId="6" hidden="1">{#N/A,#N/A,TRUE,"PROFIT 11-95"}</definedName>
    <definedName name="WRN.PROFIT1" hidden="1">{#N/A,#N/A,TRUE,"PROFIT 11-95"}</definedName>
    <definedName name="wrn.Projected._.Data._.and._.Subject._.Company._.Data." localSheetId="0" hidden="1">{#N/A,#N/A,FALSE,"Projected Data &amp; SUBJECT-INPUTS"}</definedName>
    <definedName name="wrn.Projected._.Data._.and._.Subject._.Company._.Data." localSheetId="6" hidden="1">{#N/A,#N/A,FALSE,"Projected Data &amp; SUBJECT-INPUTS"}</definedName>
    <definedName name="wrn.Projected._.Data._.and._.Subject._.Company._.Data." hidden="1">{#N/A,#N/A,FALSE,"Projected Data &amp; SUBJECT-INPUTS"}</definedName>
    <definedName name="wrn.PROJOUR." localSheetId="0" hidden="1">{#N/A,#N/A,FALSE,"DEFINITIF";#N/A,#N/A,FALSE,"DETAILS"}</definedName>
    <definedName name="wrn.PROJOUR." localSheetId="6" hidden="1">{#N/A,#N/A,FALSE,"DEFINITIF";#N/A,#N/A,FALSE,"DETAILS"}</definedName>
    <definedName name="wrn.PROJOUR." hidden="1">{#N/A,#N/A,FALSE,"DEFINITIF";#N/A,#N/A,FALSE,"DETAILS"}</definedName>
    <definedName name="wrn.ProMonte." localSheetId="0" hidden="1">{#N/A,#N/A,FALSE,"Assump";"view1",#N/A,FALSE,"P&amp;L";"view2",#N/A,FALSE,"P&amp;L";#N/A,#N/A,FALSE,"P&amp;L PERC";"view1",#N/A,FALSE,"BS";"view2",#N/A,FALSE,"BS";#N/A,#N/A,FALSE,"CF";#N/A,#N/A,FALSE,"Debt Rep";#N/A,#N/A,FALSE,"Ratios";#N/A,#N/A,FALSE,"adjusted BS";#N/A,#N/A,FALSE,"96-97 P&amp;L";#N/A,#N/A,FALSE,"96-97 BS"}</definedName>
    <definedName name="wrn.ProMonte." localSheetId="6" hidden="1">{#N/A,#N/A,FALSE,"Assump";"view1",#N/A,FALSE,"P&amp;L";"view2",#N/A,FALSE,"P&amp;L";#N/A,#N/A,FALSE,"P&amp;L PERC";"view1",#N/A,FALSE,"BS";"view2",#N/A,FALSE,"BS";#N/A,#N/A,FALSE,"CF";#N/A,#N/A,FALSE,"Debt Rep";#N/A,#N/A,FALSE,"Ratios";#N/A,#N/A,FALSE,"adjusted BS";#N/A,#N/A,FALSE,"96-97 P&amp;L";#N/A,#N/A,FALSE,"96-97 BS"}</definedName>
    <definedName name="wrn.ProMonte." hidden="1">{#N/A,#N/A,FALSE,"Assump";"view1",#N/A,FALSE,"P&amp;L";"view2",#N/A,FALSE,"P&amp;L";#N/A,#N/A,FALSE,"P&amp;L PERC";"view1",#N/A,FALSE,"BS";"view2",#N/A,FALSE,"BS";#N/A,#N/A,FALSE,"CF";#N/A,#N/A,FALSE,"Debt Rep";#N/A,#N/A,FALSE,"Ratios";#N/A,#N/A,FALSE,"adjusted BS";#N/A,#N/A,FALSE,"96-97 P&amp;L";#N/A,#N/A,FALSE,"96-97 BS"}</definedName>
    <definedName name="wrn.pror" localSheetId="0" hidden="1">{#N/A,#N/A,FALSE,"Pharm";#N/A,#N/A,FALSE,"WWCM"}</definedName>
    <definedName name="wrn.pror" localSheetId="6" hidden="1">{#N/A,#N/A,FALSE,"Pharm";#N/A,#N/A,FALSE,"WWCM"}</definedName>
    <definedName name="wrn.pror" hidden="1">{#N/A,#N/A,FALSE,"Pharm";#N/A,#N/A,FALSE,"WWCM"}</definedName>
    <definedName name="wrn.pror_1" localSheetId="0" hidden="1">{#N/A,#N/A,FALSE,"Pharm";#N/A,#N/A,FALSE,"WWCM"}</definedName>
    <definedName name="wrn.pror_1" localSheetId="6" hidden="1">{#N/A,#N/A,FALSE,"Pharm";#N/A,#N/A,FALSE,"WWCM"}</definedName>
    <definedName name="wrn.pror_1" hidden="1">{#N/A,#N/A,FALSE,"Pharm";#N/A,#N/A,FALSE,"WWCM"}</definedName>
    <definedName name="wrn.pror_1_1" localSheetId="0" hidden="1">{#N/A,#N/A,FALSE,"Pharm";#N/A,#N/A,FALSE,"WWCM"}</definedName>
    <definedName name="wrn.pror_1_1" localSheetId="6" hidden="1">{#N/A,#N/A,FALSE,"Pharm";#N/A,#N/A,FALSE,"WWCM"}</definedName>
    <definedName name="wrn.pror_1_1" hidden="1">{#N/A,#N/A,FALSE,"Pharm";#N/A,#N/A,FALSE,"WWCM"}</definedName>
    <definedName name="wrn.pror_2" localSheetId="0" hidden="1">{#N/A,#N/A,FALSE,"Pharm";#N/A,#N/A,FALSE,"WWCM"}</definedName>
    <definedName name="wrn.pror_2" localSheetId="6" hidden="1">{#N/A,#N/A,FALSE,"Pharm";#N/A,#N/A,FALSE,"WWCM"}</definedName>
    <definedName name="wrn.pror_2" hidden="1">{#N/A,#N/A,FALSE,"Pharm";#N/A,#N/A,FALSE,"WWCM"}</definedName>
    <definedName name="wrn.pror_3" localSheetId="0" hidden="1">{#N/A,#N/A,FALSE,"Pharm";#N/A,#N/A,FALSE,"WWCM"}</definedName>
    <definedName name="wrn.pror_3" localSheetId="6" hidden="1">{#N/A,#N/A,FALSE,"Pharm";#N/A,#N/A,FALSE,"WWCM"}</definedName>
    <definedName name="wrn.pror_3" hidden="1">{#N/A,#N/A,FALSE,"Pharm";#N/A,#N/A,FALSE,"WWCM"}</definedName>
    <definedName name="wrn.pror_4" localSheetId="0" hidden="1">{#N/A,#N/A,FALSE,"Pharm";#N/A,#N/A,FALSE,"WWCM"}</definedName>
    <definedName name="wrn.pror_4" localSheetId="6" hidden="1">{#N/A,#N/A,FALSE,"Pharm";#N/A,#N/A,FALSE,"WWCM"}</definedName>
    <definedName name="wrn.pror_4" hidden="1">{#N/A,#N/A,FALSE,"Pharm";#N/A,#N/A,FALSE,"WWCM"}</definedName>
    <definedName name="wrn.pror_5" localSheetId="0" hidden="1">{#N/A,#N/A,FALSE,"Pharm";#N/A,#N/A,FALSE,"WWCM"}</definedName>
    <definedName name="wrn.pror_5" localSheetId="6" hidden="1">{#N/A,#N/A,FALSE,"Pharm";#N/A,#N/A,FALSE,"WWCM"}</definedName>
    <definedName name="wrn.pror_5" hidden="1">{#N/A,#N/A,FALSE,"Pharm";#N/A,#N/A,FALSE,"WWCM"}</definedName>
    <definedName name="wrn.PROV.IR96." localSheetId="6" hidden="1">{#N/A,#N/A,FALSE,"DEMPROV IR";#N/A,#N/A,FALSE,"INC.FISC";#N/A,#N/A,FALSE,"LUCRO REAL";#N/A,#N/A,FALSE,"L.LIQ.M";#N/A,#N/A,FALSE,"PROV96";#N/A,#N/A,FALSE,"L.LIQU.";#N/A,#N/A,FALSE,"ADIEXCL";#N/A,#N/A,FALSE,"PAT-VT96";#N/A,#N/A,FALSE,"DPO.INC."}</definedName>
    <definedName name="wrn.PROV.IR96." hidden="1">{#N/A,#N/A,FALSE,"DEMPROV IR";#N/A,#N/A,FALSE,"INC.FISC";#N/A,#N/A,FALSE,"LUCRO REAL";#N/A,#N/A,FALSE,"L.LIQ.M";#N/A,#N/A,FALSE,"PROV96";#N/A,#N/A,FALSE,"L.LIQU.";#N/A,#N/A,FALSE,"ADIEXCL";#N/A,#N/A,FALSE,"PAT-VT96";#N/A,#N/A,FALSE,"DPO.INC."}</definedName>
    <definedName name="wrn.Proyección._.2007." localSheetId="0" hidden="1">{#N/A,#N/A,TRUE,"ingtemat"}</definedName>
    <definedName name="wrn.Proyección._.2007." localSheetId="6" hidden="1">{#N/A,#N/A,TRUE,"ingtemat"}</definedName>
    <definedName name="wrn.Proyección._.2007." hidden="1">{#N/A,#N/A,TRUE,"ingtemat"}</definedName>
    <definedName name="wrn.prueba." localSheetId="0" hidden="1">{#N/A,#N/A,FALSE,"Proyección 1998-2007"}</definedName>
    <definedName name="wrn.prueba." localSheetId="6" hidden="1">{#N/A,#N/A,FALSE,"Proyección 1998-2007"}</definedName>
    <definedName name="wrn.prueba." hidden="1">{#N/A,#N/A,FALSE,"Proyección 1998-2007"}</definedName>
    <definedName name="wrn.Pulp." localSheetId="0" hidden="1">{"Pulp Production",#N/A,FALSE,"Pulp";"Pulp Earnings",#N/A,FALSE,"Pulp"}</definedName>
    <definedName name="wrn.Pulp." localSheetId="6" hidden="1">{"Pulp Production",#N/A,FALSE,"Pulp";"Pulp Earnings",#N/A,FALSE,"Pulp"}</definedName>
    <definedName name="wrn.Pulp." hidden="1">{"Pulp Production",#N/A,FALSE,"Pulp";"Pulp Earnings",#N/A,FALSE,"Pulp"}</definedName>
    <definedName name="wrn.Pump." localSheetId="6"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uarterrep." localSheetId="6" hidden="1">{#N/A,#N/A,FALSE,"Sheet2"}</definedName>
    <definedName name="wrn.quarterrep." hidden="1">{#N/A,#N/A,FALSE,"Sheet2"}</definedName>
    <definedName name="wrn.quick." localSheetId="0"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localSheetId="6"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R1_Sh1." localSheetId="0" hidden="1">{"V_sh1_01",#N/A,FALSE,"Sh1_ver_iso"}</definedName>
    <definedName name="wrn.R1_Sh1." localSheetId="6" hidden="1">{"V_sh1_01",#N/A,FALSE,"Sh1_ver_iso"}</definedName>
    <definedName name="wrn.R1_Sh1." hidden="1">{"V_sh1_01",#N/A,FALSE,"Sh1_ver_iso"}</definedName>
    <definedName name="wrn.R2_Sh2." localSheetId="0" hidden="1">{"V_sh1_01",#N/A,TRUE,"Sh1_"}</definedName>
    <definedName name="wrn.R2_Sh2." localSheetId="6" hidden="1">{"V_sh1_01",#N/A,TRUE,"Sh1_"}</definedName>
    <definedName name="wrn.R2_Sh2." hidden="1">{"V_sh1_01",#N/A,TRUE,"Sh1_"}</definedName>
    <definedName name="wrn.Ramlagan._.Choudhary." localSheetId="6" hidden="1">{#N/A,#N/A,FALSE,"wages- mAY '01";#N/A,#N/A,FALSE,"wages- mAY '01"}</definedName>
    <definedName name="wrn.Ramlagan._.Choudhary." hidden="1">{#N/A,#N/A,FALSE,"wages- mAY '01";#N/A,#N/A,FALSE,"wages- mAY '01"}</definedName>
    <definedName name="wrn.Range_1." localSheetId="0" hidden="1">{#N/A,#N/A,FALSE,"Sheet1"}</definedName>
    <definedName name="wrn.Range_1." localSheetId="6" hidden="1">{#N/A,#N/A,FALSE,"Sheet1"}</definedName>
    <definedName name="wrn.Range_1." hidden="1">{#N/A,#N/A,FALSE,"Sheet1"}</definedName>
    <definedName name="wrn.Range_2." localSheetId="0" hidden="1">{#N/A,#N/A,TRUE,"Sheet1";#N/A,#N/A,TRUE,"Sheet1"}</definedName>
    <definedName name="wrn.Range_2." localSheetId="6" hidden="1">{#N/A,#N/A,TRUE,"Sheet1";#N/A,#N/A,TRUE,"Sheet1"}</definedName>
    <definedName name="wrn.Range_2." hidden="1">{#N/A,#N/A,TRUE,"Sheet1";#N/A,#N/A,TRUE,"Sheet1"}</definedName>
    <definedName name="wrn.Raph." localSheetId="6" hidden="1">{#N/A,#N/A,TRUE,"Title";#N/A,#N/A,TRUE,"Contents List";#N/A,#N/A,TRUE,"Switches";#N/A,#N/A,TRUE,"General Input ";#N/A,#N/A,TRUE,"Line Input ";#N/A,#N/A,TRUE,"Revenue Input ";#N/A,#N/A,TRUE,"OPEX Input ";#N/A,#N/A,TRUE,"CAPEX Input ";#N/A,#N/A,TRUE,"Financial Input ";#N/A,#N/A,TRUE,"Opening Balance Sheet Input ";#N/A,#N/A,TRUE,"Revenue Calc  ";#N/A,#N/A,TRUE,"Price Cap ";#N/A,#N/A,TRUE,"Opex Calc ";#N/A,#N/A,TRUE,"Capex Calc";#N/A,#N/A,TRUE,"Tax etc ";#N/A,#N/A,TRUE,"Cellular model";#N/A,#N/A,TRUE,"Accounts-Telekom Austria";#N/A,#N/A,TRUE,"Accounts-Mobilkom";#N/A,#N/A,TRUE,"Accounts-Datakom";#N/A,#N/A,TRUE,"Accounts-Consolidated";#N/A,#N/A,TRUE,"DCF - Telekom Austria";#N/A,#N/A,TRUE,"DCF - Mobilkom";#N/A,#N/A,TRUE,"Ratios ";#N/A,#N/A,TRUE,"Ratios for DR2 "}</definedName>
    <definedName name="wrn.Raph." hidden="1">{#N/A,#N/A,TRUE,"Title";#N/A,#N/A,TRUE,"Contents List";#N/A,#N/A,TRUE,"Switches";#N/A,#N/A,TRUE,"General Input ";#N/A,#N/A,TRUE,"Line Input ";#N/A,#N/A,TRUE,"Revenue Input ";#N/A,#N/A,TRUE,"OPEX Input ";#N/A,#N/A,TRUE,"CAPEX Input ";#N/A,#N/A,TRUE,"Financial Input ";#N/A,#N/A,TRUE,"Opening Balance Sheet Input ";#N/A,#N/A,TRUE,"Revenue Calc  ";#N/A,#N/A,TRUE,"Price Cap ";#N/A,#N/A,TRUE,"Opex Calc ";#N/A,#N/A,TRUE,"Capex Calc";#N/A,#N/A,TRUE,"Tax etc ";#N/A,#N/A,TRUE,"Cellular model";#N/A,#N/A,TRUE,"Accounts-Telekom Austria";#N/A,#N/A,TRUE,"Accounts-Mobilkom";#N/A,#N/A,TRUE,"Accounts-Datakom";#N/A,#N/A,TRUE,"Accounts-Consolidated";#N/A,#N/A,TRUE,"DCF - Telekom Austria";#N/A,#N/A,TRUE,"DCF - Mobilkom";#N/A,#N/A,TRUE,"Ratios ";#N/A,#N/A,TRUE,"Ratios for DR2 "}</definedName>
    <definedName name="wrn.REAL." localSheetId="6" hidden="1">{#N/A,#N/A,FALSE,"BALR$96";#N/A,#N/A,FALSE,"INCR$96"}</definedName>
    <definedName name="wrn.REAL." hidden="1">{#N/A,#N/A,FALSE,"BALR$96";#N/A,#N/A,FALSE,"INCR$96"}</definedName>
    <definedName name="wrn.REDLAND." localSheetId="6" hidden="1">{"FRONT (REDLAND) (25)",#N/A,FALSE,"REDLAND";"P_AND_L (REDLAND) (25)",#N/A,FALSE,"REDLAND";"CASH_AND_VAL (REDLAND) (25)",#N/A,FALSE,"REDLAND";"OPERATIONAL_FORCASTS (REDLAND) (25)",#N/A,FALSE,"REDLAND";"MODELS (REDLAND) (25)",#N/A,FALSE,"REDLAND";"IND.VAL2 (REDLAND) (25)",#N/A,FALSE,"REDLAND";"IND.VAL1 (REDLAND) (25)",#N/A,FALSE,"REDLAND";"GERMAN STATS (REDLAND) (25)",#N/A,FALSE,"REDLAND";"BRASS TCE (REDLAND) (25)",#N/A,FALSE,"REDLAND";"BRASS P AND L (REDLAND) (25)",#N/A,FALSE,"REDLAND";"BRASS BALANCE (REDLAND) (25)",#N/A,FALSE,"REDLAND";"SUMPARTS (REDLAND) (23)",#N/A,FALSE,"REDLAND"}</definedName>
    <definedName name="wrn.REDLAND." hidden="1">{"FRONT (REDLAND) (25)",#N/A,FALSE,"REDLAND";"P_AND_L (REDLAND) (25)",#N/A,FALSE,"REDLAND";"CASH_AND_VAL (REDLAND) (25)",#N/A,FALSE,"REDLAND";"OPERATIONAL_FORCASTS (REDLAND) (25)",#N/A,FALSE,"REDLAND";"MODELS (REDLAND) (25)",#N/A,FALSE,"REDLAND";"IND.VAL2 (REDLAND) (25)",#N/A,FALSE,"REDLAND";"IND.VAL1 (REDLAND) (25)",#N/A,FALSE,"REDLAND";"GERMAN STATS (REDLAND) (25)",#N/A,FALSE,"REDLAND";"BRASS TCE (REDLAND) (25)",#N/A,FALSE,"REDLAND";"BRASS P AND L (REDLAND) (25)",#N/A,FALSE,"REDLAND";"BRASS BALANCE (REDLAND) (25)",#N/A,FALSE,"REDLAND";"SUMPARTS (REDLAND) (23)",#N/A,FALSE,"REDLAND"}</definedName>
    <definedName name="wrn.reduced._.IPO2." localSheetId="6" hidden="1">{"red1",#N/A,FALSE,"LBO2";"red2",#N/A,FALSE,"LBO2";"red3",#N/A,FALSE,"LBO2";"red4",#N/A,FALSE,"LBO2";"red5",#N/A,FALSE,"LBO2";"red6",#N/A,FALSE,"LBO2";"red7",#N/A,FALSE,"LBO2";"red8",#N/A,FALSE,"LBO2";"red9",#N/A,FALSE,"LBO2";"IPO10",#N/A,FALSE,"LBO2"}</definedName>
    <definedName name="wrn.reduced._.IPO2." hidden="1">{"red1",#N/A,FALSE,"LBO2";"red2",#N/A,FALSE,"LBO2";"red3",#N/A,FALSE,"LBO2";"red4",#N/A,FALSE,"LBO2";"red5",#N/A,FALSE,"LBO2";"red6",#N/A,FALSE,"LBO2";"red7",#N/A,FALSE,"LBO2";"red8",#N/A,FALSE,"LBO2";"red9",#N/A,FALSE,"LBO2";"IPO10",#N/A,FALSE,"LBO2"}</definedName>
    <definedName name="wrn.Redundant._.Equipment._.Option." localSheetId="6" hidden="1">{"pumps",#N/A,FALSE,"Option"}</definedName>
    <definedName name="wrn.Redundant._.Equipment._.Option." hidden="1">{"pumps",#N/A,FALSE,"Option"}</definedName>
    <definedName name="wrn.Redundant._.Equipment._.Option._1" localSheetId="6" hidden="1">{"pumps",#N/A,FALSE,"Option"}</definedName>
    <definedName name="wrn.Redundant._.Equipment._.Option._1" hidden="1">{"pumps",#N/A,FALSE,"Option"}</definedName>
    <definedName name="wrn.REFINERY." localSheetId="0" hidden="1">{"Padd I to III",#N/A,FALSE,"REFINERY";"Padd IV to US",#N/A,FALSE,"REFINERY";"Crude Balance I",#N/A,FALSE,"REFINERY";"Crude Balance II",#N/A,FALSE,"REFINERY"}</definedName>
    <definedName name="wrn.REFINERY." localSheetId="6" hidden="1">{"Padd I to III",#N/A,FALSE,"REFINERY";"Padd IV to US",#N/A,FALSE,"REFINERY";"Crude Balance I",#N/A,FALSE,"REFINERY";"Crude Balance II",#N/A,FALSE,"REFINERY"}</definedName>
    <definedName name="wrn.REFINERY." hidden="1">{"Padd I to III",#N/A,FALSE,"REFINERY";"Padd IV to US",#N/A,FALSE,"REFINERY";"Crude Balance I",#N/A,FALSE,"REFINERY";"Crude Balance II",#N/A,FALSE,"REFINERY"}</definedName>
    <definedName name="wrn.region." localSheetId="0" hidden="1">{"Region",#N/A,FALSE,"CNTRYTYPE"}</definedName>
    <definedName name="wrn.region." localSheetId="6" hidden="1">{"Region",#N/A,FALSE,"CNTRYTYPE"}</definedName>
    <definedName name="wrn.region." hidden="1">{"Region",#N/A,FALSE,"CNTRYTYPE"}</definedName>
    <definedName name="wrn.Reich." localSheetId="0" hidden="1">{#N/A,#N/A,FALSE,"RS-1";#N/A,#N/A,FALSE,"RS-2";#N/A,#N/A,FALSE,"T-13";#N/A,#N/A,FALSE,"RS-3";#N/A,#N/A,FALSE,"T-14";#N/A,#N/A,FALSE,"RS-4";#N/A,#N/A,FALSE,"T-15";#N/A,#N/A,FALSE,"RS-5";#N/A,#N/A,FALSE,"T-16"}</definedName>
    <definedName name="wrn.Reich." localSheetId="6" hidden="1">{#N/A,#N/A,FALSE,"RS-1";#N/A,#N/A,FALSE,"RS-2";#N/A,#N/A,FALSE,"T-13";#N/A,#N/A,FALSE,"RS-3";#N/A,#N/A,FALSE,"T-14";#N/A,#N/A,FALSE,"RS-4";#N/A,#N/A,FALSE,"T-15";#N/A,#N/A,FALSE,"RS-5";#N/A,#N/A,FALSE,"T-16"}</definedName>
    <definedName name="wrn.Reich." hidden="1">{#N/A,#N/A,FALSE,"RS-1";#N/A,#N/A,FALSE,"RS-2";#N/A,#N/A,FALSE,"T-13";#N/A,#N/A,FALSE,"RS-3";#N/A,#N/A,FALSE,"T-14";#N/A,#N/A,FALSE,"RS-4";#N/A,#N/A,FALSE,"T-15";#N/A,#N/A,FALSE,"RS-5";#N/A,#N/A,FALSE,"T-16"}</definedName>
    <definedName name="wrn.Relatório._.1." localSheetId="0" hidden="1">{"FS`s",#N/A,TRUE,"FS's";"Icome St",#N/A,TRUE,"Income St.";"Balance Sh",#N/A,TRUE,"Balance Sh.";"Gross Margin",#N/A,TRUE,"Gross Margin"}</definedName>
    <definedName name="wrn.Relatório._.1." localSheetId="6" hidden="1">{"FS`s",#N/A,TRUE,"FS's";"Icome St",#N/A,TRUE,"Income St.";"Balance Sh",#N/A,TRUE,"Balance Sh.";"Gross Margin",#N/A,TRUE,"Gross Margin"}</definedName>
    <definedName name="wrn.Relatório._.1." hidden="1">{"FS`s",#N/A,TRUE,"FS's";"Icome St",#N/A,TRUE,"Income St.";"Balance Sh",#N/A,TRUE,"Balance Sh.";"Gross Margin",#N/A,TRUE,"Gross Margin"}</definedName>
    <definedName name="wrn.RELEVANTSHEETS." localSheetId="6" hidden="1">{#N/A,#N/A,FALSE,"AD_Purch";#N/A,#N/A,FALSE,"Projections";#N/A,#N/A,FALSE,"DCF";#N/A,#N/A,FALSE,"Mkt Val"}</definedName>
    <definedName name="wrn.RELEVANTSHEETS." hidden="1">{#N/A,#N/A,FALSE,"AD_Purch";#N/A,#N/A,FALSE,"Projections";#N/A,#N/A,FALSE,"DCF";#N/A,#N/A,FALSE,"Mkt Val"}</definedName>
    <definedName name="wrn.Renewal." hidden="1">#N/A</definedName>
    <definedName name="wrn.Renewal._.Justification." hidden="1">#N/A</definedName>
    <definedName name="wrn.rep." localSheetId="0" hidden="1">{"test",#N/A,FALSE,"Y";"test2",#N/A,FALSE,"Y"}</definedName>
    <definedName name="wrn.rep." localSheetId="6" hidden="1">{"test",#N/A,FALSE,"Y";"test2",#N/A,FALSE,"Y"}</definedName>
    <definedName name="wrn.rep." hidden="1">{"test",#N/A,FALSE,"Y";"test2",#N/A,FALSE,"Y"}</definedName>
    <definedName name="wrn.Replacement._.Cost." localSheetId="0" hidden="1">{#N/A,#N/A,TRUE,"Cover Repl";#N/A,#N/A,TRUE,"P&amp;L";#N/A,#N/A,TRUE,"P&amp;L (2)";#N/A,#N/A,TRUE,"BS";#N/A,#N/A,TRUE,"Depreciation";#N/A,#N/A,TRUE,"GRAPHS";#N/A,#N/A,TRUE,"DCF EBITDA Multiple";#N/A,#N/A,TRUE,"DCF Perpetual Growth"}</definedName>
    <definedName name="wrn.Replacement._.Cost." localSheetId="6" hidden="1">{#N/A,#N/A,TRUE,"Cover Repl";#N/A,#N/A,TRUE,"P&amp;L";#N/A,#N/A,TRUE,"P&amp;L (2)";#N/A,#N/A,TRUE,"BS";#N/A,#N/A,TRUE,"Depreciation";#N/A,#N/A,TRUE,"GRAPHS";#N/A,#N/A,TRUE,"DCF EBITDA Multiple";#N/A,#N/A,TRUE,"DCF Perpetual Growth"}</definedName>
    <definedName name="wrn.Replacement._.Cost." hidden="1">{#N/A,#N/A,TRUE,"Cover Repl";#N/A,#N/A,TRUE,"P&amp;L";#N/A,#N/A,TRUE,"P&amp;L (2)";#N/A,#N/A,TRUE,"BS";#N/A,#N/A,TRUE,"Depreciation";#N/A,#N/A,TRUE,"GRAPHS";#N/A,#N/A,TRUE,"DCF EBITDA Multiple";#N/A,#N/A,TRUE,"DCF Perpetual Growth"}</definedName>
    <definedName name="wrn.report." localSheetId="0" hidden="1">{#N/A,#N/A,FALSE,"Summary_netback";#N/A,#N/A,FALSE,"Summary_value"}</definedName>
    <definedName name="wrn.report." localSheetId="6" hidden="1">{#N/A,#N/A,FALSE,"Summary_netback";#N/A,#N/A,FALSE,"Summary_value"}</definedName>
    <definedName name="wrn.report." hidden="1">{#N/A,#N/A,FALSE,"Summary_netback";#N/A,#N/A,FALSE,"Summary_value"}</definedName>
    <definedName name="wrn.Report._.1." localSheetId="0" hidden="1">{"Page 1",#N/A,FALSE,"Daily calendar";"Backlog",#N/A,FALSE,"Daily calendar"}</definedName>
    <definedName name="wrn.Report._.1." localSheetId="6" hidden="1">{"Page 1",#N/A,FALSE,"Daily calendar";"Backlog",#N/A,FALSE,"Daily calendar"}</definedName>
    <definedName name="wrn.Report._.1." hidden="1">{"Page 1",#N/A,FALSE,"Daily calendar";"Backlog",#N/A,FALSE,"Daily calendar"}</definedName>
    <definedName name="wrn.Report._.Exhibits." localSheetId="0" hidden="1">{"Inc Stmt Exhibit",#N/A,FALSE,"IS";"BS Exhibit",#N/A,FALSE,"BS";"Ratio No.1",#N/A,FALSE,"Ratio";"Ratio No.2",#N/A,FALSE,"Ratio"}</definedName>
    <definedName name="wrn.Report._.Exhibits." localSheetId="6" hidden="1">{"Inc Stmt Exhibit",#N/A,FALSE,"IS";"BS Exhibit",#N/A,FALSE,"BS";"Ratio No.1",#N/A,FALSE,"Ratio";"Ratio No.2",#N/A,FALSE,"Ratio"}</definedName>
    <definedName name="wrn.Report._.Exhibits." hidden="1">{"Inc Stmt Exhibit",#N/A,FALSE,"IS";"BS Exhibit",#N/A,FALSE,"BS";"Ratio No.1",#N/A,FALSE,"Ratio";"Ratio No.2",#N/A,FALSE,"Ratio"}</definedName>
    <definedName name="wrn.Report_Page." localSheetId="0" hidden="1">{"Annual_Income",#N/A,FALSE,"Report Page";"Balance_Cash_Flow",#N/A,FALSE,"Report Page";"Quarterly_Income",#N/A,FALSE,"Report Page"}</definedName>
    <definedName name="wrn.Report_Page." localSheetId="6" hidden="1">{"Annual_Income",#N/A,FALSE,"Report Page";"Balance_Cash_Flow",#N/A,FALSE,"Report Page";"Quarterly_Income",#N/A,FALSE,"Report Page"}</definedName>
    <definedName name="wrn.Report_Page." hidden="1">{"Annual_Income",#N/A,FALSE,"Report Page";"Balance_Cash_Flow",#N/A,FALSE,"Report Page";"Quarterly_Income",#N/A,FALSE,"Report Page"}</definedName>
    <definedName name="wrn.Report_PR_1." localSheetId="6" hidden="1">{"PR1","pr1",TRUE,"Sch PR-1"}</definedName>
    <definedName name="wrn.Report_PR_1." hidden="1">{"PR1","pr1",TRUE,"Sch PR-1"}</definedName>
    <definedName name="wrn.Report1." localSheetId="0" hidden="1">{#N/A,#N/A,TRUE,"TOC";#N/A,#N/A,TRUE,"Assum";#N/A,#N/A,TRUE,"Op-BS";#N/A,#N/A,TRUE,"IS";#N/A,#N/A,TRUE,"BSCF";#N/A,#N/A,TRUE,"Ratios";#N/A,#N/A,TRUE,"Sens";#N/A,#N/A,TRUE,"Holmes_IS";#N/A,#N/A,TRUE,"Holmes_BSCF";#N/A,#N/A,TRUE,"Holmes_Rat";#N/A,#N/A,TRUE,"Hound_IS";#N/A,#N/A,TRUE,"Hound_BSCF";#N/A,#N/A,TRUE,"Hound_Rat";#N/A,#N/A,TRUE,"Hound_DCF1"}</definedName>
    <definedName name="wrn.Report1." localSheetId="6" hidden="1">{#N/A,#N/A,TRUE,"TOC";#N/A,#N/A,TRUE,"Assum";#N/A,#N/A,TRUE,"Op-BS";#N/A,#N/A,TRUE,"IS";#N/A,#N/A,TRUE,"BSCF";#N/A,#N/A,TRUE,"Ratios";#N/A,#N/A,TRUE,"Sens";#N/A,#N/A,TRUE,"Holmes_IS";#N/A,#N/A,TRUE,"Holmes_BSCF";#N/A,#N/A,TRUE,"Holmes_Rat";#N/A,#N/A,TRUE,"Hound_IS";#N/A,#N/A,TRUE,"Hound_BSCF";#N/A,#N/A,TRUE,"Hound_Rat";#N/A,#N/A,TRUE,"Hound_DCF1"}</definedName>
    <definedName name="wrn.Report1." hidden="1">{#N/A,#N/A,TRUE,"TOC";#N/A,#N/A,TRUE,"Assum";#N/A,#N/A,TRUE,"Op-BS";#N/A,#N/A,TRUE,"IS";#N/A,#N/A,TRUE,"BSCF";#N/A,#N/A,TRUE,"Ratios";#N/A,#N/A,TRUE,"Sens";#N/A,#N/A,TRUE,"Holmes_IS";#N/A,#N/A,TRUE,"Holmes_BSCF";#N/A,#N/A,TRUE,"Holmes_Rat";#N/A,#N/A,TRUE,"Hound_IS";#N/A,#N/A,TRUE,"Hound_BSCF";#N/A,#N/A,TRUE,"Hound_Rat";#N/A,#N/A,TRUE,"Hound_DCF1"}</definedName>
    <definedName name="wrn.Responsabili." localSheetId="0" hidden="1">{"cuccoli",#N/A,FALSE,"SintFixed (3)";"tagliarini",#N/A,FALSE,"SintFixed (3)";"savino",#N/A,FALSE,"SintFixed (3)";"donati",#N/A,FALSE,"SintFixed (3)";"gatti",#N/A,FALSE,"SintFixed (3)";"sigliano",#N/A,FALSE,"SintFixed (3)"}</definedName>
    <definedName name="wrn.Responsabili." localSheetId="6" hidden="1">{"cuccoli",#N/A,FALSE,"SintFixed (3)";"tagliarini",#N/A,FALSE,"SintFixed (3)";"savino",#N/A,FALSE,"SintFixed (3)";"donati",#N/A,FALSE,"SintFixed (3)";"gatti",#N/A,FALSE,"SintFixed (3)";"sigliano",#N/A,FALSE,"SintFixed (3)"}</definedName>
    <definedName name="wrn.Responsabili." hidden="1">{"cuccoli",#N/A,FALSE,"SintFixed (3)";"tagliarini",#N/A,FALSE,"SintFixed (3)";"savino",#N/A,FALSE,"SintFixed (3)";"donati",#N/A,FALSE,"SintFixed (3)";"gatti",#N/A,FALSE,"SintFixed (3)";"sigliano",#N/A,FALSE,"SintFixed (3)"}</definedName>
    <definedName name="wrn.RESULTS." localSheetId="0" hidden="1">{#N/A,#N/A,FALSE,"HMF";#N/A,#N/A,FALSE,"FACIL";#N/A,#N/A,FALSE,"HMFINANCE";#N/A,#N/A,FALSE,"HMEUROPE";#N/A,#N/A,FALSE,"HHAB CONSO";#N/A,#N/A,FALSE,"PAB";#N/A,#N/A,FALSE,"MMC";#N/A,#N/A,FALSE,"THAI";#N/A,#N/A,FALSE,"SINPA";#N/A,#N/A,FALSE,"POLAND"}</definedName>
    <definedName name="wrn.RESULTS." localSheetId="6" hidden="1">{#N/A,#N/A,FALSE,"HMF";#N/A,#N/A,FALSE,"FACIL";#N/A,#N/A,FALSE,"HMFINANCE";#N/A,#N/A,FALSE,"HMEUROPE";#N/A,#N/A,FALSE,"HHAB CONSO";#N/A,#N/A,FALSE,"PAB";#N/A,#N/A,FALSE,"MMC";#N/A,#N/A,FALSE,"THAI";#N/A,#N/A,FALSE,"SINPA";#N/A,#N/A,FALSE,"POLAND"}</definedName>
    <definedName name="wrn.RESULTS." hidden="1">{#N/A,#N/A,FALSE,"HMF";#N/A,#N/A,FALSE,"FACIL";#N/A,#N/A,FALSE,"HMFINANCE";#N/A,#N/A,FALSE,"HMEUROPE";#N/A,#N/A,FALSE,"HHAB CONSO";#N/A,#N/A,FALSE,"PAB";#N/A,#N/A,FALSE,"MMC";#N/A,#N/A,FALSE,"THAI";#N/A,#N/A,FALSE,"SINPA";#N/A,#N/A,FALSE,"POLAND"}</definedName>
    <definedName name="wrn.RETURNS." localSheetId="6"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_.ON._.INV." localSheetId="6" hidden="1">{"RETURNINVEST",#N/A,FALSE,"ROI (%)";"RETURNS2",#N/A,FALSE,"ROI (%)";"RETURNS3",#N/A,FALSE,"ROI (%)"}</definedName>
    <definedName name="wrn.RETURNS._.ON._.INV." hidden="1">{"RETURNINVEST",#N/A,FALSE,"ROI (%)";"RETURNS2",#N/A,FALSE,"ROI (%)";"RETURNS3",#N/A,FALSE,"ROI (%)"}</definedName>
    <definedName name="wrn.REV._.A._.RPTS." localSheetId="0" hidden="1">{#N/A,#N/A,FALSE,"ORFORM";#N/A,#N/A,FALSE,"MULTIPLE";#N/A,#N/A,FALSE,"RFFO Form";#N/A,#N/A,FALSE,"Estimate Sheet";#N/A,#N/A,FALSE,"MAC4843";#N/A,#N/A,FALSE,"M4843-2";#N/A,#N/A,FALSE,"M4843-2B";#N/A,#N/A,FALSE,"BCA "}</definedName>
    <definedName name="wrn.REV._.A._.RPTS." localSheetId="6" hidden="1">{#N/A,#N/A,FALSE,"ORFORM";#N/A,#N/A,FALSE,"MULTIPLE";#N/A,#N/A,FALSE,"RFFO Form";#N/A,#N/A,FALSE,"Estimate Sheet";#N/A,#N/A,FALSE,"MAC4843";#N/A,#N/A,FALSE,"M4843-2";#N/A,#N/A,FALSE,"M4843-2B";#N/A,#N/A,FALSE,"BCA "}</definedName>
    <definedName name="wrn.REV._.A._.RPTS." hidden="1">{#N/A,#N/A,FALSE,"ORFORM";#N/A,#N/A,FALSE,"MULTIPLE";#N/A,#N/A,FALSE,"RFFO Form";#N/A,#N/A,FALSE,"Estimate Sheet";#N/A,#N/A,FALSE,"MAC4843";#N/A,#N/A,FALSE,"M4843-2";#N/A,#N/A,FALSE,"M4843-2B";#N/A,#N/A,FALSE,"BCA "}</definedName>
    <definedName name="wrn.REV1." localSheetId="0" hidden="1">{"FORM1",#N/A,FALSE,"Revenue";"FORMTR",#N/A,FALSE,"Revenue";"FORM3.1",#N/A,FALSE,"Revenue"}</definedName>
    <definedName name="wrn.REV1." localSheetId="6" hidden="1">{"FORM1",#N/A,FALSE,"Revenue";"FORMTR",#N/A,FALSE,"Revenue";"FORM3.1",#N/A,FALSE,"Revenue"}</definedName>
    <definedName name="wrn.REV1." hidden="1">{"FORM1",#N/A,FALSE,"Revenue";"FORMTR",#N/A,FALSE,"Revenue";"FORM3.1",#N/A,FALSE,"Revenue"}</definedName>
    <definedName name="wrn.Revenue."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wrn.Revenue."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wrn.Revenue."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wrn.revenue._.detail." localSheetId="0" hidden="1">{"revenue detail 1",#N/A,FALSE,"Revenue Detail";"revenue detail 2",#N/A,FALSE,"Revenue Detail";"revenue detail 3",#N/A,FALSE,"Revenue Detail";"revenue detail 4",#N/A,FALSE,"Revenue Detail"}</definedName>
    <definedName name="wrn.revenue._.detail." localSheetId="6"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enue._.Details." localSheetId="0" hidden="1">{"Revenue by Industry Chart",#N/A,FALSE,"Mix";"Annual Revenue Detail",#N/A,FALSE,"Mix";"Quarterly Revenue Detail",#N/A,FALSE,"Mix"}</definedName>
    <definedName name="wrn.Revenue._.Details." localSheetId="6" hidden="1">{"Revenue by Industry Chart",#N/A,FALSE,"Mix";"Annual Revenue Detail",#N/A,FALSE,"Mix";"Quarterly Revenue Detail",#N/A,FALSE,"Mix"}</definedName>
    <definedName name="wrn.Revenue._.Details." hidden="1">{"Revenue by Industry Chart",#N/A,FALSE,"Mix";"Annual Revenue Detail",#N/A,FALSE,"Mix";"Quarterly Revenue Detail",#N/A,FALSE,"Mix"}</definedName>
    <definedName name="wrn.revenue._.graph." localSheetId="0" hidden="1">{"revenue graph",#N/A,FALSE,"Revenue Graph"}</definedName>
    <definedName name="wrn.revenue._.graph." localSheetId="6" hidden="1">{"revenue graph",#N/A,FALSE,"Revenue Graph"}</definedName>
    <definedName name="wrn.revenue._.graph." hidden="1">{"revenue graph",#N/A,FALSE,"Revenue Graph"}</definedName>
    <definedName name="wrn.review." localSheetId="6" hidden="1">{#N/A,#N/A,FALSE,"FRONTPG";#N/A,#N/A,FALSE,"STATUSREC";#N/A,#N/A,FALSE,"INELIG";#N/A,#N/A,FALSE,"ARACTIV";#N/A,#N/A,FALSE,"ARANAL";#N/A,#N/A,FALSE,"INVANAL";#N/A,#N/A,FALSE,"BALSHT";#N/A,#N/A,FALSE,"INCSTMT";#N/A,#N/A,FALSE,"CASHFLOW";#N/A,#N/A,FALSE,"TREND";#N/A,#N/A,FALSE,"LIAB"}</definedName>
    <definedName name="wrn.review." hidden="1">{#N/A,#N/A,FALSE,"FRONTPG";#N/A,#N/A,FALSE,"STATUSREC";#N/A,#N/A,FALSE,"INELIG";#N/A,#N/A,FALSE,"ARACTIV";#N/A,#N/A,FALSE,"ARANAL";#N/A,#N/A,FALSE,"INVANAL";#N/A,#N/A,FALSE,"BALSHT";#N/A,#N/A,FALSE,"INCSTMT";#N/A,#N/A,FALSE,"CASHFLOW";#N/A,#N/A,FALSE,"TREND";#N/A,#N/A,FALSE,"LIAB"}</definedName>
    <definedName name="wrn.Review._.Schedules." localSheetId="0"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Schedules." localSheetId="6"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eview._.Schedules." hidden="1">{"title",#N/A,FALSE,"Title";"OPL1",#N/A,FALSE,"PL";"OPL1(r)",#N/A,FALSE,"PL";"OPL1(r2)",#N/A,FALSE,"PL";"OPL1(bud)",#N/A,FALSE,"PL";"OpAnal",#N/A,FALSE,"Op";"OPL2a",#N/A,FALSE,"PL";"OPL2",#N/A,FALSE,"PL";"OPL2b",#N/A,FALSE,"PL";"OPL2c",#N/A,FALSE,"PL";"OPL2d",#N/A,FALSE,"PL";"PL_Pd_Act_vs_Bud",#N/A,FALSE,"mth";"Pl_Pd_Act_vs_Fcst",#N/A,FALSE,"mth";"PL_Cum_Act_vs_Bud",#N/A,FALSE,"cum";"PL-Cum_Act_vs_Fcst",#N/A,FALSE,"cum";"Seg01",#N/A,FALSE,"PL";"Seg02",#N/A,FALSE,"PL";"seg01(mth)",#N/A,FALSE,"PL";"seg02(mth)",#N/A,FALSE,"PL";"BS2",#N/A,FALSE,"BS";"BS4",#N/A,FALSE,"BS";"CF1(a)",#N/A,FALSE,"CF";"CF2",#N/A,FALSE,"CF";"CF3",#N/A,FALSE,"CF"}</definedName>
    <definedName name="wrn.riepilogo." localSheetId="0" hidden="1">{"riepilogo",#N/A,FALSE,"budget cassa"}</definedName>
    <definedName name="wrn.riepilogo." localSheetId="6" hidden="1">{"riepilogo",#N/A,FALSE,"budget cassa"}</definedName>
    <definedName name="wrn.riepilogo." hidden="1">{"riepilogo",#N/A,FALSE,"budget cassa"}</definedName>
    <definedName name="wrn.RMC." localSheetId="6" hidden="1">{"FRONT (RMC) (25)",#N/A,TRUE,"RMC";"P_AND_L (RMC) (25)",#N/A,TRUE,"RMC";"CASH_AND_VAL (RMC) (25)",#N/A,TRUE,"RMC";"INDVAL (RMC) (25)",#N/A,TRUE,"RMC"}</definedName>
    <definedName name="wrn.RMC." hidden="1">{"FRONT (RMC) (25)",#N/A,TRUE,"RMC";"P_AND_L (RMC) (25)",#N/A,TRUE,"RMC";"CASH_AND_VAL (RMC) (25)",#N/A,TRUE,"RMC";"INDVAL (RMC) (25)",#N/A,TRUE,"RMC"}</definedName>
    <definedName name="wrn.ROCE._.breakup._.Summary." localSheetId="6" hidden="1">{"ROCE Summ",#N/A,FALSE,"Property Management Exps"}</definedName>
    <definedName name="wrn.ROCE._.breakup._.Summary." hidden="1">{"ROCE Summ",#N/A,FALSE,"Property Management Exps"}</definedName>
    <definedName name="wrn.ROCE._.breakup._.Summary._1" localSheetId="6" hidden="1">{"ROCE Summ",#N/A,FALSE,"Property Management Exps"}</definedName>
    <definedName name="wrn.ROCE._.breakup._.Summary._1" hidden="1">{"ROCE Summ",#N/A,FALSE,"Property Management Exps"}</definedName>
    <definedName name="wrn.ROCE._.breakup._.Summary._1_1" localSheetId="6" hidden="1">{"ROCE Summ",#N/A,FALSE,"Property Management Exps"}</definedName>
    <definedName name="wrn.ROCE._.breakup._.Summary._1_1" hidden="1">{"ROCE Summ",#N/A,FALSE,"Property Management Exps"}</definedName>
    <definedName name="wrn.ROCE._.breakup._.Summary._2" localSheetId="6" hidden="1">{"ROCE Summ",#N/A,FALSE,"Property Management Exps"}</definedName>
    <definedName name="wrn.ROCE._.breakup._.Summary._2" hidden="1">{"ROCE Summ",#N/A,FALSE,"Property Management Exps"}</definedName>
    <definedName name="wrn.ROCE._.breakup._.Summary._2_1" localSheetId="6" hidden="1">{"ROCE Summ",#N/A,FALSE,"Property Management Exps"}</definedName>
    <definedName name="wrn.ROCE._.breakup._.Summary._2_1" hidden="1">{"ROCE Summ",#N/A,FALSE,"Property Management Exps"}</definedName>
    <definedName name="wrn.ROCE._.breakup._.Summary._2_1_1" localSheetId="6" hidden="1">{"ROCE Summ",#N/A,FALSE,"Property Management Exps"}</definedName>
    <definedName name="wrn.ROCE._.breakup._.Summary._2_1_1" hidden="1">{"ROCE Summ",#N/A,FALSE,"Property Management Exps"}</definedName>
    <definedName name="wrn.ROCE._.breakup._.Summary._2_1_1_1" localSheetId="6" hidden="1">{"ROCE Summ",#N/A,FALSE,"Property Management Exps"}</definedName>
    <definedName name="wrn.ROCE._.breakup._.Summary._2_1_1_1" hidden="1">{"ROCE Summ",#N/A,FALSE,"Property Management Exps"}</definedName>
    <definedName name="wrn.ROCE._.breakup._.Summary._2_1_2" localSheetId="6" hidden="1">{"ROCE Summ",#N/A,FALSE,"Property Management Exps"}</definedName>
    <definedName name="wrn.ROCE._.breakup._.Summary._2_1_2" hidden="1">{"ROCE Summ",#N/A,FALSE,"Property Management Exps"}</definedName>
    <definedName name="wrn.ROCE._.breakup._.Summary._2_1_2_1" localSheetId="6" hidden="1">{"ROCE Summ",#N/A,FALSE,"Property Management Exps"}</definedName>
    <definedName name="wrn.ROCE._.breakup._.Summary._2_1_2_1" hidden="1">{"ROCE Summ",#N/A,FALSE,"Property Management Exps"}</definedName>
    <definedName name="wrn.ROCE._.breakup._.Summary._2_1_3" localSheetId="6" hidden="1">{"ROCE Summ",#N/A,FALSE,"Property Management Exps"}</definedName>
    <definedName name="wrn.ROCE._.breakup._.Summary._2_1_3" hidden="1">{"ROCE Summ",#N/A,FALSE,"Property Management Exps"}</definedName>
    <definedName name="wrn.ROCE._.breakup._.Summary._2_2" localSheetId="6" hidden="1">{"ROCE Summ",#N/A,FALSE,"Property Management Exps"}</definedName>
    <definedName name="wrn.ROCE._.breakup._.Summary._2_2" hidden="1">{"ROCE Summ",#N/A,FALSE,"Property Management Exps"}</definedName>
    <definedName name="wrn.ROCE._.breakup._.Summary._2_2_1" localSheetId="6" hidden="1">{"ROCE Summ",#N/A,FALSE,"Property Management Exps"}</definedName>
    <definedName name="wrn.ROCE._.breakup._.Summary._2_2_1" hidden="1">{"ROCE Summ",#N/A,FALSE,"Property Management Exps"}</definedName>
    <definedName name="wrn.ROCE._.breakup._.Summary._2_2_1_1" localSheetId="6" hidden="1">{"ROCE Summ",#N/A,FALSE,"Property Management Exps"}</definedName>
    <definedName name="wrn.ROCE._.breakup._.Summary._2_2_1_1" hidden="1">{"ROCE Summ",#N/A,FALSE,"Property Management Exps"}</definedName>
    <definedName name="wrn.ROCE._.breakup._.Summary._2_2_2" localSheetId="6" hidden="1">{"ROCE Summ",#N/A,FALSE,"Property Management Exps"}</definedName>
    <definedName name="wrn.ROCE._.breakup._.Summary._2_2_2" hidden="1">{"ROCE Summ",#N/A,FALSE,"Property Management Exps"}</definedName>
    <definedName name="wrn.ROCE._.breakup._.Summary._2_3" localSheetId="6" hidden="1">{"ROCE Summ",#N/A,FALSE,"Property Management Exps"}</definedName>
    <definedName name="wrn.ROCE._.breakup._.Summary._2_3" hidden="1">{"ROCE Summ",#N/A,FALSE,"Property Management Exps"}</definedName>
    <definedName name="wrn.ROCE._.breakup._.Summary._2_3_1" localSheetId="6" hidden="1">{"ROCE Summ",#N/A,FALSE,"Property Management Exps"}</definedName>
    <definedName name="wrn.ROCE._.breakup._.Summary._2_3_1" hidden="1">{"ROCE Summ",#N/A,FALSE,"Property Management Exps"}</definedName>
    <definedName name="wrn.ROCE._.breakup._.Summary._2_4" localSheetId="6" hidden="1">{"ROCE Summ",#N/A,FALSE,"Property Management Exps"}</definedName>
    <definedName name="wrn.ROCE._.breakup._.Summary._2_4" hidden="1">{"ROCE Summ",#N/A,FALSE,"Property Management Exps"}</definedName>
    <definedName name="wrn.ROCE._.breakup._.Summary._3" localSheetId="6" hidden="1">{"ROCE Summ",#N/A,FALSE,"Property Management Exps"}</definedName>
    <definedName name="wrn.ROCE._.breakup._.Summary._3" hidden="1">{"ROCE Summ",#N/A,FALSE,"Property Management Exps"}</definedName>
    <definedName name="wrn.ROCE._.breakup._.Summary._3_1" localSheetId="6" hidden="1">{"ROCE Summ",#N/A,FALSE,"Property Management Exps"}</definedName>
    <definedName name="wrn.ROCE._.breakup._.Summary._3_1" hidden="1">{"ROCE Summ",#N/A,FALSE,"Property Management Exps"}</definedName>
    <definedName name="wrn.ROCE._.breakup._.Summary._3_1_1" localSheetId="6" hidden="1">{"ROCE Summ",#N/A,FALSE,"Property Management Exps"}</definedName>
    <definedName name="wrn.ROCE._.breakup._.Summary._3_1_1" hidden="1">{"ROCE Summ",#N/A,FALSE,"Property Management Exps"}</definedName>
    <definedName name="wrn.ROCE._.breakup._.Summary._3_1_1_1" localSheetId="6" hidden="1">{"ROCE Summ",#N/A,FALSE,"Property Management Exps"}</definedName>
    <definedName name="wrn.ROCE._.breakup._.Summary._3_1_1_1" hidden="1">{"ROCE Summ",#N/A,FALSE,"Property Management Exps"}</definedName>
    <definedName name="wrn.ROCE._.breakup._.Summary._3_1_2" localSheetId="6" hidden="1">{"ROCE Summ",#N/A,FALSE,"Property Management Exps"}</definedName>
    <definedName name="wrn.ROCE._.breakup._.Summary._3_1_2" hidden="1">{"ROCE Summ",#N/A,FALSE,"Property Management Exps"}</definedName>
    <definedName name="wrn.ROCE._.breakup._.Summary._3_1_2_1" localSheetId="6" hidden="1">{"ROCE Summ",#N/A,FALSE,"Property Management Exps"}</definedName>
    <definedName name="wrn.ROCE._.breakup._.Summary._3_1_2_1" hidden="1">{"ROCE Summ",#N/A,FALSE,"Property Management Exps"}</definedName>
    <definedName name="wrn.ROCE._.breakup._.Summary._3_1_3" localSheetId="6" hidden="1">{"ROCE Summ",#N/A,FALSE,"Property Management Exps"}</definedName>
    <definedName name="wrn.ROCE._.breakup._.Summary._3_1_3" hidden="1">{"ROCE Summ",#N/A,FALSE,"Property Management Exps"}</definedName>
    <definedName name="wrn.ROCE._.breakup._.Summary._3_2" localSheetId="6" hidden="1">{"ROCE Summ",#N/A,FALSE,"Property Management Exps"}</definedName>
    <definedName name="wrn.ROCE._.breakup._.Summary._3_2" hidden="1">{"ROCE Summ",#N/A,FALSE,"Property Management Exps"}</definedName>
    <definedName name="wrn.ROCE._.breakup._.Summary._3_2_1" localSheetId="6" hidden="1">{"ROCE Summ",#N/A,FALSE,"Property Management Exps"}</definedName>
    <definedName name="wrn.ROCE._.breakup._.Summary._3_2_1" hidden="1">{"ROCE Summ",#N/A,FALSE,"Property Management Exps"}</definedName>
    <definedName name="wrn.ROCE._.breakup._.Summary._3_2_1_1" localSheetId="6" hidden="1">{"ROCE Summ",#N/A,FALSE,"Property Management Exps"}</definedName>
    <definedName name="wrn.ROCE._.breakup._.Summary._3_2_1_1" hidden="1">{"ROCE Summ",#N/A,FALSE,"Property Management Exps"}</definedName>
    <definedName name="wrn.ROCE._.breakup._.Summary._3_2_2" localSheetId="6" hidden="1">{"ROCE Summ",#N/A,FALSE,"Property Management Exps"}</definedName>
    <definedName name="wrn.ROCE._.breakup._.Summary._3_2_2" hidden="1">{"ROCE Summ",#N/A,FALSE,"Property Management Exps"}</definedName>
    <definedName name="wrn.ROCE._.breakup._.Summary._3_3" localSheetId="6" hidden="1">{"ROCE Summ",#N/A,FALSE,"Property Management Exps"}</definedName>
    <definedName name="wrn.ROCE._.breakup._.Summary._3_3" hidden="1">{"ROCE Summ",#N/A,FALSE,"Property Management Exps"}</definedName>
    <definedName name="wrn.ROCE._.breakup._.Summary._3_3_1" localSheetId="6" hidden="1">{"ROCE Summ",#N/A,FALSE,"Property Management Exps"}</definedName>
    <definedName name="wrn.ROCE._.breakup._.Summary._3_3_1" hidden="1">{"ROCE Summ",#N/A,FALSE,"Property Management Exps"}</definedName>
    <definedName name="wrn.ROCE._.breakup._.Summary._3_4" localSheetId="6" hidden="1">{"ROCE Summ",#N/A,FALSE,"Property Management Exps"}</definedName>
    <definedName name="wrn.ROCE._.breakup._.Summary._3_4" hidden="1">{"ROCE Summ",#N/A,FALSE,"Property Management Exps"}</definedName>
    <definedName name="wrn.ROCE._.breakup._.Summary._4" localSheetId="6" hidden="1">{"ROCE Summ",#N/A,FALSE,"Property Management Exps"}</definedName>
    <definedName name="wrn.ROCE._.breakup._.Summary._4" hidden="1">{"ROCE Summ",#N/A,FALSE,"Property Management Exps"}</definedName>
    <definedName name="wrn.ROCE._.breakup._.Summary._4_1" localSheetId="6" hidden="1">{"ROCE Summ",#N/A,FALSE,"Property Management Exps"}</definedName>
    <definedName name="wrn.ROCE._.breakup._.Summary._4_1" hidden="1">{"ROCE Summ",#N/A,FALSE,"Property Management Exps"}</definedName>
    <definedName name="wrn.ROCE._.breakup._.Summary._4_1_1" localSheetId="6" hidden="1">{"ROCE Summ",#N/A,FALSE,"Property Management Exps"}</definedName>
    <definedName name="wrn.ROCE._.breakup._.Summary._4_1_1" hidden="1">{"ROCE Summ",#N/A,FALSE,"Property Management Exps"}</definedName>
    <definedName name="wrn.ROCE._.breakup._.Summary._4_1_1_1" localSheetId="6" hidden="1">{"ROCE Summ",#N/A,FALSE,"Property Management Exps"}</definedName>
    <definedName name="wrn.ROCE._.breakup._.Summary._4_1_1_1" hidden="1">{"ROCE Summ",#N/A,FALSE,"Property Management Exps"}</definedName>
    <definedName name="wrn.ROCE._.breakup._.Summary._4_1_2" localSheetId="6" hidden="1">{"ROCE Summ",#N/A,FALSE,"Property Management Exps"}</definedName>
    <definedName name="wrn.ROCE._.breakup._.Summary._4_1_2" hidden="1">{"ROCE Summ",#N/A,FALSE,"Property Management Exps"}</definedName>
    <definedName name="wrn.ROCE._.breakup._.Summary._4_1_2_1" localSheetId="6" hidden="1">{"ROCE Summ",#N/A,FALSE,"Property Management Exps"}</definedName>
    <definedName name="wrn.ROCE._.breakup._.Summary._4_1_2_1" hidden="1">{"ROCE Summ",#N/A,FALSE,"Property Management Exps"}</definedName>
    <definedName name="wrn.ROCE._.breakup._.Summary._4_1_3" localSheetId="6" hidden="1">{"ROCE Summ",#N/A,FALSE,"Property Management Exps"}</definedName>
    <definedName name="wrn.ROCE._.breakup._.Summary._4_1_3" hidden="1">{"ROCE Summ",#N/A,FALSE,"Property Management Exps"}</definedName>
    <definedName name="wrn.ROCE._.breakup._.Summary._4_2" localSheetId="6" hidden="1">{"ROCE Summ",#N/A,FALSE,"Property Management Exps"}</definedName>
    <definedName name="wrn.ROCE._.breakup._.Summary._4_2" hidden="1">{"ROCE Summ",#N/A,FALSE,"Property Management Exps"}</definedName>
    <definedName name="wrn.ROCE._.breakup._.Summary._4_2_1" localSheetId="6" hidden="1">{"ROCE Summ",#N/A,FALSE,"Property Management Exps"}</definedName>
    <definedName name="wrn.ROCE._.breakup._.Summary._4_2_1" hidden="1">{"ROCE Summ",#N/A,FALSE,"Property Management Exps"}</definedName>
    <definedName name="wrn.ROCE._.breakup._.Summary._4_2_1_1" localSheetId="6" hidden="1">{"ROCE Summ",#N/A,FALSE,"Property Management Exps"}</definedName>
    <definedName name="wrn.ROCE._.breakup._.Summary._4_2_1_1" hidden="1">{"ROCE Summ",#N/A,FALSE,"Property Management Exps"}</definedName>
    <definedName name="wrn.ROCE._.breakup._.Summary._4_2_2" localSheetId="6" hidden="1">{"ROCE Summ",#N/A,FALSE,"Property Management Exps"}</definedName>
    <definedName name="wrn.ROCE._.breakup._.Summary._4_2_2" hidden="1">{"ROCE Summ",#N/A,FALSE,"Property Management Exps"}</definedName>
    <definedName name="wrn.ROCE._.breakup._.Summary._4_3" localSheetId="6" hidden="1">{"ROCE Summ",#N/A,FALSE,"Property Management Exps"}</definedName>
    <definedName name="wrn.ROCE._.breakup._.Summary._4_3" hidden="1">{"ROCE Summ",#N/A,FALSE,"Property Management Exps"}</definedName>
    <definedName name="wrn.ROCE._.breakup._.Summary._4_3_1" localSheetId="6" hidden="1">{"ROCE Summ",#N/A,FALSE,"Property Management Exps"}</definedName>
    <definedName name="wrn.ROCE._.breakup._.Summary._4_3_1" hidden="1">{"ROCE Summ",#N/A,FALSE,"Property Management Exps"}</definedName>
    <definedName name="wrn.ROCE._.breakup._.Summary._4_4" localSheetId="6" hidden="1">{"ROCE Summ",#N/A,FALSE,"Property Management Exps"}</definedName>
    <definedName name="wrn.ROCE._.breakup._.Summary._4_4" hidden="1">{"ROCE Summ",#N/A,FALSE,"Property Management Exps"}</definedName>
    <definedName name="wrn.ROCE._.breakup._.Summary._5" localSheetId="6" hidden="1">{"ROCE Summ",#N/A,FALSE,"Property Management Exps"}</definedName>
    <definedName name="wrn.ROCE._.breakup._.Summary._5" hidden="1">{"ROCE Summ",#N/A,FALSE,"Property Management Exps"}</definedName>
    <definedName name="wrn.ROCE._.breakup._.Summary._5_1" localSheetId="6" hidden="1">{"ROCE Summ",#N/A,FALSE,"Property Management Exps"}</definedName>
    <definedName name="wrn.ROCE._.breakup._.Summary._5_1" hidden="1">{"ROCE Summ",#N/A,FALSE,"Property Management Exps"}</definedName>
    <definedName name="wrn.ROCE._.breakup._.Summary._5_1_1" localSheetId="6" hidden="1">{"ROCE Summ",#N/A,FALSE,"Property Management Exps"}</definedName>
    <definedName name="wrn.ROCE._.breakup._.Summary._5_1_1" hidden="1">{"ROCE Summ",#N/A,FALSE,"Property Management Exps"}</definedName>
    <definedName name="wrn.ROCE._.breakup._.Summary._5_1_1_1" localSheetId="6" hidden="1">{"ROCE Summ",#N/A,FALSE,"Property Management Exps"}</definedName>
    <definedName name="wrn.ROCE._.breakup._.Summary._5_1_1_1" hidden="1">{"ROCE Summ",#N/A,FALSE,"Property Management Exps"}</definedName>
    <definedName name="wrn.ROCE._.breakup._.Summary._5_1_2" localSheetId="6" hidden="1">{"ROCE Summ",#N/A,FALSE,"Property Management Exps"}</definedName>
    <definedName name="wrn.ROCE._.breakup._.Summary._5_1_2" hidden="1">{"ROCE Summ",#N/A,FALSE,"Property Management Exps"}</definedName>
    <definedName name="wrn.ROCE._.breakup._.Summary._5_1_2_1" localSheetId="6" hidden="1">{"ROCE Summ",#N/A,FALSE,"Property Management Exps"}</definedName>
    <definedName name="wrn.ROCE._.breakup._.Summary._5_1_2_1" hidden="1">{"ROCE Summ",#N/A,FALSE,"Property Management Exps"}</definedName>
    <definedName name="wrn.ROCE._.breakup._.Summary._5_1_3" localSheetId="6" hidden="1">{"ROCE Summ",#N/A,FALSE,"Property Management Exps"}</definedName>
    <definedName name="wrn.ROCE._.breakup._.Summary._5_1_3" hidden="1">{"ROCE Summ",#N/A,FALSE,"Property Management Exps"}</definedName>
    <definedName name="wrn.ROCE._.breakup._.Summary._5_2" localSheetId="6" hidden="1">{"ROCE Summ",#N/A,FALSE,"Property Management Exps"}</definedName>
    <definedName name="wrn.ROCE._.breakup._.Summary._5_2" hidden="1">{"ROCE Summ",#N/A,FALSE,"Property Management Exps"}</definedName>
    <definedName name="wrn.ROCE._.breakup._.Summary._5_2_1" localSheetId="6" hidden="1">{"ROCE Summ",#N/A,FALSE,"Property Management Exps"}</definedName>
    <definedName name="wrn.ROCE._.breakup._.Summary._5_2_1" hidden="1">{"ROCE Summ",#N/A,FALSE,"Property Management Exps"}</definedName>
    <definedName name="wrn.ROCE._.breakup._.Summary._5_2_1_1" localSheetId="6" hidden="1">{"ROCE Summ",#N/A,FALSE,"Property Management Exps"}</definedName>
    <definedName name="wrn.ROCE._.breakup._.Summary._5_2_1_1" hidden="1">{"ROCE Summ",#N/A,FALSE,"Property Management Exps"}</definedName>
    <definedName name="wrn.ROCE._.breakup._.Summary._5_2_2" localSheetId="6" hidden="1">{"ROCE Summ",#N/A,FALSE,"Property Management Exps"}</definedName>
    <definedName name="wrn.ROCE._.breakup._.Summary._5_2_2" hidden="1">{"ROCE Summ",#N/A,FALSE,"Property Management Exps"}</definedName>
    <definedName name="wrn.ROCE._.breakup._.Summary._5_3" localSheetId="6" hidden="1">{"ROCE Summ",#N/A,FALSE,"Property Management Exps"}</definedName>
    <definedName name="wrn.ROCE._.breakup._.Summary._5_3" hidden="1">{"ROCE Summ",#N/A,FALSE,"Property Management Exps"}</definedName>
    <definedName name="wrn.ROCE._.breakup._.Summary._5_3_1" localSheetId="6" hidden="1">{"ROCE Summ",#N/A,FALSE,"Property Management Exps"}</definedName>
    <definedName name="wrn.ROCE._.breakup._.Summary._5_3_1" hidden="1">{"ROCE Summ",#N/A,FALSE,"Property Management Exps"}</definedName>
    <definedName name="wrn.ROCE._.breakup._.Summary._5_4" localSheetId="6" hidden="1">{"ROCE Summ",#N/A,FALSE,"Property Management Exps"}</definedName>
    <definedName name="wrn.ROCE._.breakup._.Summary._5_4" hidden="1">{"ROCE Summ",#N/A,FALSE,"Property Management Exps"}</definedName>
    <definedName name="wrn.RPT." localSheetId="0" hidden="1">{"QTR",#N/A,FALSE,"Qtr_new_format";"A3",#N/A,FALSE,"Qtr_new_format"}</definedName>
    <definedName name="wrn.RPT." localSheetId="6" hidden="1">{"QTR",#N/A,FALSE,"Qtr_new_format";"A3",#N/A,FALSE,"Qtr_new_format"}</definedName>
    <definedName name="wrn.RPT." hidden="1">{"QTR",#N/A,FALSE,"Qtr_new_format";"A3",#N/A,FALSE,"Qtr_new_format"}</definedName>
    <definedName name="wrn.RPU._.Data." localSheetId="0" hidden="1">{#N/A,#N/A,FALSE,"Demand";#N/A,#N/A,FALSE,"Revenue";#N/A,#N/A,FALSE,"Intermediation"}</definedName>
    <definedName name="wrn.RPU._.Data." localSheetId="6" hidden="1">{#N/A,#N/A,FALSE,"Demand";#N/A,#N/A,FALSE,"Revenue";#N/A,#N/A,FALSE,"Intermediation"}</definedName>
    <definedName name="wrn.RPU._.Data." hidden="1">{#N/A,#N/A,FALSE,"Demand";#N/A,#N/A,FALSE,"Revenue";#N/A,#N/A,FALSE,"Intermediation"}</definedName>
    <definedName name="wrn.RUGBY." localSheetId="6" hidden="1">{"FRONT (RUGBY) (25)",#N/A,TRUE,"RUGBY";"P_AND_L (RUGBY) (25)",#N/A,TRUE,"RUGBY";"CASH_AND_VAL (RUGBY) (25)",#N/A,TRUE,"RUGBY";"VALUE (RUGBY) (25)",#N/A,TRUE,"RUGBY";"SENSIT (RUGBY) (25)",#N/A,TRUE,"RUGBY";"models1 (RUGBY) (25)",#N/A,TRUE,"RUGBY";"MODELS (RUGBY) (25)",#N/A,TRUE,"RUGBY";"JOINERY (RUGBY) (25)",#N/A,TRUE,"RUGBY"}</definedName>
    <definedName name="wrn.RUGBY." hidden="1">{"FRONT (RUGBY) (25)",#N/A,TRUE,"RUGBY";"P_AND_L (RUGBY) (25)",#N/A,TRUE,"RUGBY";"CASH_AND_VAL (RUGBY) (25)",#N/A,TRUE,"RUGBY";"VALUE (RUGBY) (25)",#N/A,TRUE,"RUGBY";"SENSIT (RUGBY) (25)",#N/A,TRUE,"RUGBY";"models1 (RUGBY) (25)",#N/A,TRUE,"RUGBY";"MODELS (RUGBY) (25)",#N/A,TRUE,"RUGBY";"JOINERY (RUGBY) (25)",#N/A,TRUE,"RUGBY"}</definedName>
    <definedName name="wrn.RUSSELL." localSheetId="6" hidden="1">{"FRONT (A. RUSSELL) (25)",#N/A,TRUE,"A. RUSSELL";"P_AND_L (A. RUSSELL) (25)",#N/A,TRUE,"A. RUSSELL";"CASH_AND_VAL (A. RUSSELL) (25)",#N/A,TRUE,"A. RUSSELL"}</definedName>
    <definedName name="wrn.RUSSELL." hidden="1">{"FRONT (A. RUSSELL) (25)",#N/A,TRUE,"A. RUSSELL";"P_AND_L (A. RUSSELL) (25)",#N/A,TRUE,"A. RUSSELL";"CASH_AND_VAL (A. RUSSELL) (25)",#N/A,TRUE,"A. RUSSELL"}</definedName>
    <definedName name="wrn.RWReport1." localSheetId="0" hidden="1">{#N/A,"S 4000 ",TRUE,"Sheet1";#N/A,"S 4001 ",TRUE,"Sheet1";#N/A,"S 4009 ",TRUE,"Sheet1";#N/A,"S 4100 ",TRUE,"Sheet1";#N/A,"S 4200 ",TRUE,"Sheet1";#N/A,"S 4510 ",TRUE,"Sheet1";#N/A,"S 4520 ",TRUE,"Sheet1"}</definedName>
    <definedName name="wrn.RWReport1." localSheetId="6" hidden="1">{#N/A,"S 4000 ",TRUE,"Sheet1";#N/A,"S 4001 ",TRUE,"Sheet1";#N/A,"S 4009 ",TRUE,"Sheet1";#N/A,"S 4100 ",TRUE,"Sheet1";#N/A,"S 4200 ",TRUE,"Sheet1";#N/A,"S 4510 ",TRUE,"Sheet1";#N/A,"S 4520 ",TRUE,"Sheet1"}</definedName>
    <definedName name="wrn.RWReport1." hidden="1">{#N/A,"S 4000 ",TRUE,"Sheet1";#N/A,"S 4001 ",TRUE,"Sheet1";#N/A,"S 4009 ",TRUE,"Sheet1";#N/A,"S 4100 ",TRUE,"Sheet1";#N/A,"S 4200 ",TRUE,"Sheet1";#N/A,"S 4510 ",TRUE,"Sheet1";#N/A,"S 4520 ",TRUE,"Sheet1"}</definedName>
    <definedName name="wrn.RWReport1._1" localSheetId="0" hidden="1">{#N/A,"S 4000 ",TRUE,"Sheet1";#N/A,"S 4001 ",TRUE,"Sheet1";#N/A,"S 4009 ",TRUE,"Sheet1";#N/A,"S 4100 ",TRUE,"Sheet1";#N/A,"S 4200 ",TRUE,"Sheet1";#N/A,"S 4510 ",TRUE,"Sheet1";#N/A,"S 4520 ",TRUE,"Sheet1"}</definedName>
    <definedName name="wrn.RWReport1._1" localSheetId="6" hidden="1">{#N/A,"S 4000 ",TRUE,"Sheet1";#N/A,"S 4001 ",TRUE,"Sheet1";#N/A,"S 4009 ",TRUE,"Sheet1";#N/A,"S 4100 ",TRUE,"Sheet1";#N/A,"S 4200 ",TRUE,"Sheet1";#N/A,"S 4510 ",TRUE,"Sheet1";#N/A,"S 4520 ",TRUE,"Sheet1"}</definedName>
    <definedName name="wrn.RWReport1._1" hidden="1">{#N/A,"S 4000 ",TRUE,"Sheet1";#N/A,"S 4001 ",TRUE,"Sheet1";#N/A,"S 4009 ",TRUE,"Sheet1";#N/A,"S 4100 ",TRUE,"Sheet1";#N/A,"S 4200 ",TRUE,"Sheet1";#N/A,"S 4510 ",TRUE,"Sheet1";#N/A,"S 4520 ",TRUE,"Sheet1"}</definedName>
    <definedName name="wrn.RWReport1._1_1" localSheetId="0" hidden="1">{#N/A,"S 4000 ",TRUE,"Sheet1";#N/A,"S 4001 ",TRUE,"Sheet1";#N/A,"S 4009 ",TRUE,"Sheet1";#N/A,"S 4100 ",TRUE,"Sheet1";#N/A,"S 4200 ",TRUE,"Sheet1";#N/A,"S 4510 ",TRUE,"Sheet1";#N/A,"S 4520 ",TRUE,"Sheet1"}</definedName>
    <definedName name="wrn.RWReport1._1_1" localSheetId="6" hidden="1">{#N/A,"S 4000 ",TRUE,"Sheet1";#N/A,"S 4001 ",TRUE,"Sheet1";#N/A,"S 4009 ",TRUE,"Sheet1";#N/A,"S 4100 ",TRUE,"Sheet1";#N/A,"S 4200 ",TRUE,"Sheet1";#N/A,"S 4510 ",TRUE,"Sheet1";#N/A,"S 4520 ",TRUE,"Sheet1"}</definedName>
    <definedName name="wrn.RWReport1._1_1" hidden="1">{#N/A,"S 4000 ",TRUE,"Sheet1";#N/A,"S 4001 ",TRUE,"Sheet1";#N/A,"S 4009 ",TRUE,"Sheet1";#N/A,"S 4100 ",TRUE,"Sheet1";#N/A,"S 4200 ",TRUE,"Sheet1";#N/A,"S 4510 ",TRUE,"Sheet1";#N/A,"S 4520 ",TRUE,"Sheet1"}</definedName>
    <definedName name="wrn.RWReport1._2" localSheetId="0" hidden="1">{#N/A,"S 4000 ",TRUE,"Sheet1";#N/A,"S 4001 ",TRUE,"Sheet1";#N/A,"S 4009 ",TRUE,"Sheet1";#N/A,"S 4100 ",TRUE,"Sheet1";#N/A,"S 4200 ",TRUE,"Sheet1";#N/A,"S 4510 ",TRUE,"Sheet1";#N/A,"S 4520 ",TRUE,"Sheet1"}</definedName>
    <definedName name="wrn.RWReport1._2" localSheetId="6" hidden="1">{#N/A,"S 4000 ",TRUE,"Sheet1";#N/A,"S 4001 ",TRUE,"Sheet1";#N/A,"S 4009 ",TRUE,"Sheet1";#N/A,"S 4100 ",TRUE,"Sheet1";#N/A,"S 4200 ",TRUE,"Sheet1";#N/A,"S 4510 ",TRUE,"Sheet1";#N/A,"S 4520 ",TRUE,"Sheet1"}</definedName>
    <definedName name="wrn.RWReport1._2" hidden="1">{#N/A,"S 4000 ",TRUE,"Sheet1";#N/A,"S 4001 ",TRUE,"Sheet1";#N/A,"S 4009 ",TRUE,"Sheet1";#N/A,"S 4100 ",TRUE,"Sheet1";#N/A,"S 4200 ",TRUE,"Sheet1";#N/A,"S 4510 ",TRUE,"Sheet1";#N/A,"S 4520 ",TRUE,"Sheet1"}</definedName>
    <definedName name="wrn.sales." localSheetId="0" hidden="1">{"sales",#N/A,FALSE,"Sales";"sales existing",#N/A,FALSE,"Sales";"sales rd1",#N/A,FALSE,"Sales";"sales rd2",#N/A,FALSE,"Sales"}</definedName>
    <definedName name="wrn.sales." localSheetId="6" hidden="1">{"sales",#N/A,FALSE,"Sales";"sales existing",#N/A,FALSE,"Sales";"sales rd1",#N/A,FALSE,"Sales";"sales rd2",#N/A,FALSE,"Sales"}</definedName>
    <definedName name="wrn.sales." hidden="1">{"sales",#N/A,FALSE,"Sales";"sales existing",#N/A,FALSE,"Sales";"sales rd1",#N/A,FALSE,"Sales";"sales rd2",#N/A,FALSE,"Sales"}</definedName>
    <definedName name="wrn.SAMPLE." localSheetId="0" hidden="1">{#N/A,#N/A,TRUE,"Crude";#N/A,#N/A,TRUE,"Products"}</definedName>
    <definedName name="wrn.SAMPLE." localSheetId="6" hidden="1">{#N/A,#N/A,TRUE,"Crude";#N/A,#N/A,TRUE,"Products"}</definedName>
    <definedName name="wrn.SAMPLE." hidden="1">{#N/A,#N/A,TRUE,"Crude";#N/A,#N/A,TRUE,"Products"}</definedName>
    <definedName name="wrn.Sapere." localSheetId="6"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_PRES." localSheetId="0" hidden="1">{#N/A,#N/A,TRUE,"Sheet16"}</definedName>
    <definedName name="wrn.SB_PRES." localSheetId="6" hidden="1">{#N/A,#N/A,TRUE,"Sheet16"}</definedName>
    <definedName name="wrn.SB_PRES." hidden="1">{#N/A,#N/A,TRUE,"Sheet16"}</definedName>
    <definedName name="wrn.SCA._.Acq.." localSheetId="0" hidden="1">{#N/A,#N/A,FALSE,"main";#N/A,#N/A,FALSE,"Pooling";#N/A,#N/A,FALSE,"Purchase"}</definedName>
    <definedName name="wrn.SCA._.Acq.." localSheetId="6" hidden="1">{#N/A,#N/A,FALSE,"main";#N/A,#N/A,FALSE,"Pooling";#N/A,#N/A,FALSE,"Purchase"}</definedName>
    <definedName name="wrn.SCA._.Acq.." hidden="1">{#N/A,#N/A,FALSE,"main";#N/A,#N/A,FALSE,"Pooling";#N/A,#N/A,FALSE,"Purchase"}</definedName>
    <definedName name="wrn.SCA._.AcqDisv." localSheetId="0" hidden="1">{#N/A,#N/A,FALSE,"main";#N/A,#N/A,FALSE,"Purchase"}</definedName>
    <definedName name="wrn.SCA._.AcqDisv." localSheetId="6" hidden="1">{#N/A,#N/A,FALSE,"main";#N/A,#N/A,FALSE,"Purchase"}</definedName>
    <definedName name="wrn.SCA._.AcqDisv." hidden="1">{#N/A,#N/A,FALSE,"main";#N/A,#N/A,FALSE,"Purchase"}</definedName>
    <definedName name="wrn.SCHED11." localSheetId="0" hidden="1">{"sch11",#N/A,FALSE,"Pub rights";"sch11a",#N/A,FALSE,"Pub rights";"sch11b",#N/A,FALSE,"Pub rights";"sch11c",#N/A,FALSE,"Pub rights";"sch11d",#N/A,FALSE,"Pub rights";"sch11e",#N/A,FALSE,"Pub rights"}</definedName>
    <definedName name="wrn.SCHED11." localSheetId="6" hidden="1">{"sch11",#N/A,FALSE,"Pub rights";"sch11a",#N/A,FALSE,"Pub rights";"sch11b",#N/A,FALSE,"Pub rights";"sch11c",#N/A,FALSE,"Pub rights";"sch11d",#N/A,FALSE,"Pub rights";"sch11e",#N/A,FALSE,"Pub rights"}</definedName>
    <definedName name="wrn.SCHED11." hidden="1">{"sch11",#N/A,FALSE,"Pub rights";"sch11a",#N/A,FALSE,"Pub rights";"sch11b",#N/A,FALSE,"Pub rights";"sch11c",#N/A,FALSE,"Pub rights";"sch11d",#N/A,FALSE,"Pub rights";"sch11e",#N/A,FALSE,"Pub rights"}</definedName>
    <definedName name="wrn.SCHED11._1" localSheetId="0" hidden="1">{"sch11",#N/A,FALSE,"Pub rights";"sch11a",#N/A,FALSE,"Pub rights";"sch11b",#N/A,FALSE,"Pub rights";"sch11c",#N/A,FALSE,"Pub rights";"sch11d",#N/A,FALSE,"Pub rights";"sch11e",#N/A,FALSE,"Pub rights"}</definedName>
    <definedName name="wrn.SCHED11._1" localSheetId="6" hidden="1">{"sch11",#N/A,FALSE,"Pub rights";"sch11a",#N/A,FALSE,"Pub rights";"sch11b",#N/A,FALSE,"Pub rights";"sch11c",#N/A,FALSE,"Pub rights";"sch11d",#N/A,FALSE,"Pub rights";"sch11e",#N/A,FALSE,"Pub rights"}</definedName>
    <definedName name="wrn.SCHED11._1" hidden="1">{"sch11",#N/A,FALSE,"Pub rights";"sch11a",#N/A,FALSE,"Pub rights";"sch11b",#N/A,FALSE,"Pub rights";"sch11c",#N/A,FALSE,"Pub rights";"sch11d",#N/A,FALSE,"Pub rights";"sch11e",#N/A,FALSE,"Pub rights"}</definedName>
    <definedName name="wrn.SCHED12." localSheetId="0" hidden="1">{"sch12",#N/A,FALSE,"Goodwill";"sch12a",#N/A,FALSE,"Goodwill";"sch12b",#N/A,FALSE,"Goodwill";"sch12c",#N/A,FALSE,"Goodwill";"sch12d",#N/A,FALSE,"Goodwill";"sch12e",#N/A,FALSE,"Goodwill";"sch12f",#N/A,FALSE,"Goodwill"}</definedName>
    <definedName name="wrn.SCHED12." localSheetId="6" hidden="1">{"sch12",#N/A,FALSE,"Goodwill";"sch12a",#N/A,FALSE,"Goodwill";"sch12b",#N/A,FALSE,"Goodwill";"sch12c",#N/A,FALSE,"Goodwill";"sch12d",#N/A,FALSE,"Goodwill";"sch12e",#N/A,FALSE,"Goodwill";"sch12f",#N/A,FALSE,"Goodwill"}</definedName>
    <definedName name="wrn.SCHED12." hidden="1">{"sch12",#N/A,FALSE,"Goodwill";"sch12a",#N/A,FALSE,"Goodwill";"sch12b",#N/A,FALSE,"Goodwill";"sch12c",#N/A,FALSE,"Goodwill";"sch12d",#N/A,FALSE,"Goodwill";"sch12e",#N/A,FALSE,"Goodwill";"sch12f",#N/A,FALSE,"Goodwill"}</definedName>
    <definedName name="wrn.SCHED12._1" localSheetId="0" hidden="1">{"sch12",#N/A,FALSE,"Goodwill";"sch12a",#N/A,FALSE,"Goodwill";"sch12b",#N/A,FALSE,"Goodwill";"sch12c",#N/A,FALSE,"Goodwill";"sch12d",#N/A,FALSE,"Goodwill";"sch12e",#N/A,FALSE,"Goodwill";"sch12f",#N/A,FALSE,"Goodwill"}</definedName>
    <definedName name="wrn.SCHED12._1" localSheetId="6" hidden="1">{"sch12",#N/A,FALSE,"Goodwill";"sch12a",#N/A,FALSE,"Goodwill";"sch12b",#N/A,FALSE,"Goodwill";"sch12c",#N/A,FALSE,"Goodwill";"sch12d",#N/A,FALSE,"Goodwill";"sch12e",#N/A,FALSE,"Goodwill";"sch12f",#N/A,FALSE,"Goodwill"}</definedName>
    <definedName name="wrn.SCHED12._1" hidden="1">{"sch12",#N/A,FALSE,"Goodwill";"sch12a",#N/A,FALSE,"Goodwill";"sch12b",#N/A,FALSE,"Goodwill";"sch12c",#N/A,FALSE,"Goodwill";"sch12d",#N/A,FALSE,"Goodwill";"sch12e",#N/A,FALSE,"Goodwill";"sch12f",#N/A,FALSE,"Goodwill"}</definedName>
    <definedName name="wrn.SCHED13." localSheetId="0" hidden="1">{"sch13",#N/A,FALSE,"Tangibles";"sch13a",#N/A,FALSE,"Tangibles";"sch13b",#N/A,FALSE,"Tangibles";"SCH13CC",#N/A,FALSE,"Tangibles";"sch13c",#N/A,FALSE,"Tangibles";"sch13d",#N/A,FALSE,"Tangibles";"sch13e",#N/A,FALSE,"Tangibles"}</definedName>
    <definedName name="wrn.SCHED13." localSheetId="6" hidden="1">{"sch13",#N/A,FALSE,"Tangibles";"sch13a",#N/A,FALSE,"Tangibles";"sch13b",#N/A,FALSE,"Tangibles";"SCH13CC",#N/A,FALSE,"Tangibles";"sch13c",#N/A,FALSE,"Tangibles";"sch13d",#N/A,FALSE,"Tangibles";"sch13e",#N/A,FALSE,"Tangibles"}</definedName>
    <definedName name="wrn.SCHED13." hidden="1">{"sch13",#N/A,FALSE,"Tangibles";"sch13a",#N/A,FALSE,"Tangibles";"sch13b",#N/A,FALSE,"Tangibles";"SCH13CC",#N/A,FALSE,"Tangibles";"sch13c",#N/A,FALSE,"Tangibles";"sch13d",#N/A,FALSE,"Tangibles";"sch13e",#N/A,FALSE,"Tangibles"}</definedName>
    <definedName name="wrn.SCHED13._1" localSheetId="0" hidden="1">{"sch13",#N/A,FALSE,"Tangibles";"sch13a",#N/A,FALSE,"Tangibles";"sch13b",#N/A,FALSE,"Tangibles";"SCH13CC",#N/A,FALSE,"Tangibles";"sch13c",#N/A,FALSE,"Tangibles";"sch13d",#N/A,FALSE,"Tangibles";"sch13e",#N/A,FALSE,"Tangibles"}</definedName>
    <definedName name="wrn.SCHED13._1" localSheetId="6" hidden="1">{"sch13",#N/A,FALSE,"Tangibles";"sch13a",#N/A,FALSE,"Tangibles";"sch13b",#N/A,FALSE,"Tangibles";"SCH13CC",#N/A,FALSE,"Tangibles";"sch13c",#N/A,FALSE,"Tangibles";"sch13d",#N/A,FALSE,"Tangibles";"sch13e",#N/A,FALSE,"Tangibles"}</definedName>
    <definedName name="wrn.SCHED13._1" hidden="1">{"sch13",#N/A,FALSE,"Tangibles";"sch13a",#N/A,FALSE,"Tangibles";"sch13b",#N/A,FALSE,"Tangibles";"SCH13CC",#N/A,FALSE,"Tangibles";"sch13c",#N/A,FALSE,"Tangibles";"sch13d",#N/A,FALSE,"Tangibles";"sch13e",#N/A,FALSE,"Tangibles"}</definedName>
    <definedName name="wrn.SCHED15." localSheetId="0" hidden="1">{"sch15",#N/A,FALSE,"Inv in subs";"sch15a",#N/A,FALSE,"Inv in subs";"sch15b",#N/A,FALSE,"Inv in subs";"sch15c",#N/A,FALSE,"Inv in subs";"sch15d",#N/A,FALSE,"Inv in subs"}</definedName>
    <definedName name="wrn.SCHED15." localSheetId="6" hidden="1">{"sch15",#N/A,FALSE,"Inv in subs";"sch15a",#N/A,FALSE,"Inv in subs";"sch15b",#N/A,FALSE,"Inv in subs";"sch15c",#N/A,FALSE,"Inv in subs";"sch15d",#N/A,FALSE,"Inv in subs"}</definedName>
    <definedName name="wrn.SCHED15." hidden="1">{"sch15",#N/A,FALSE,"Inv in subs";"sch15a",#N/A,FALSE,"Inv in subs";"sch15b",#N/A,FALSE,"Inv in subs";"sch15c",#N/A,FALSE,"Inv in subs";"sch15d",#N/A,FALSE,"Inv in subs"}</definedName>
    <definedName name="wrn.SCHED15._1" localSheetId="0" hidden="1">{"sch15",#N/A,FALSE,"Inv in subs";"sch15a",#N/A,FALSE,"Inv in subs";"sch15b",#N/A,FALSE,"Inv in subs";"sch15c",#N/A,FALSE,"Inv in subs";"sch15d",#N/A,FALSE,"Inv in subs"}</definedName>
    <definedName name="wrn.SCHED15._1" localSheetId="6" hidden="1">{"sch15",#N/A,FALSE,"Inv in subs";"sch15a",#N/A,FALSE,"Inv in subs";"sch15b",#N/A,FALSE,"Inv in subs";"sch15c",#N/A,FALSE,"Inv in subs";"sch15d",#N/A,FALSE,"Inv in subs"}</definedName>
    <definedName name="wrn.SCHED15._1" hidden="1">{"sch15",#N/A,FALSE,"Inv in subs";"sch15a",#N/A,FALSE,"Inv in subs";"sch15b",#N/A,FALSE,"Inv in subs";"sch15c",#N/A,FALSE,"Inv in subs";"sch15d",#N/A,FALSE,"Inv in subs"}</definedName>
    <definedName name="wrn.SCHED16." localSheetId="0" hidden="1">{"sch16",#N/A,FALSE,"Assoc";"sch16b",#N/A,FALSE,"Assoc";"sch16c",#N/A,FALSE,"Assoc";"sch16d",#N/A,FALSE,"Assoc";"sch16e",#N/A,FALSE,"Assoc";"sch16f",#N/A,FALSE,"Assoc"}</definedName>
    <definedName name="wrn.SCHED16." localSheetId="6" hidden="1">{"sch16",#N/A,FALSE,"Assoc";"sch16b",#N/A,FALSE,"Assoc";"sch16c",#N/A,FALSE,"Assoc";"sch16d",#N/A,FALSE,"Assoc";"sch16e",#N/A,FALSE,"Assoc";"sch16f",#N/A,FALSE,"Assoc"}</definedName>
    <definedName name="wrn.SCHED16." hidden="1">{"sch16",#N/A,FALSE,"Assoc";"sch16b",#N/A,FALSE,"Assoc";"sch16c",#N/A,FALSE,"Assoc";"sch16d",#N/A,FALSE,"Assoc";"sch16e",#N/A,FALSE,"Assoc";"sch16f",#N/A,FALSE,"Assoc"}</definedName>
    <definedName name="wrn.SCHED16._1" localSheetId="0" hidden="1">{"sch16",#N/A,FALSE,"Assoc";"sch16b",#N/A,FALSE,"Assoc";"sch16c",#N/A,FALSE,"Assoc";"sch16d",#N/A,FALSE,"Assoc";"sch16e",#N/A,FALSE,"Assoc";"sch16f",#N/A,FALSE,"Assoc"}</definedName>
    <definedName name="wrn.SCHED16._1" localSheetId="6" hidden="1">{"sch16",#N/A,FALSE,"Assoc";"sch16b",#N/A,FALSE,"Assoc";"sch16c",#N/A,FALSE,"Assoc";"sch16d",#N/A,FALSE,"Assoc";"sch16e",#N/A,FALSE,"Assoc";"sch16f",#N/A,FALSE,"Assoc"}</definedName>
    <definedName name="wrn.SCHED16._1" hidden="1">{"sch16",#N/A,FALSE,"Assoc";"sch16b",#N/A,FALSE,"Assoc";"sch16c",#N/A,FALSE,"Assoc";"sch16d",#N/A,FALSE,"Assoc";"sch16e",#N/A,FALSE,"Assoc";"sch16f",#N/A,FALSE,"Assoc"}</definedName>
    <definedName name="wrn.SCHED17." localSheetId="0" hidden="1">{"sch17",#N/A,FALSE,"Oth Inv";"sch17a",#N/A,FALSE,"Oth Inv";"sch17b",#N/A,FALSE,"Oth Inv"}</definedName>
    <definedName name="wrn.SCHED17." localSheetId="6" hidden="1">{"sch17",#N/A,FALSE,"Oth Inv";"sch17a",#N/A,FALSE,"Oth Inv";"sch17b",#N/A,FALSE,"Oth Inv"}</definedName>
    <definedName name="wrn.SCHED17." hidden="1">{"sch17",#N/A,FALSE,"Oth Inv";"sch17a",#N/A,FALSE,"Oth Inv";"sch17b",#N/A,FALSE,"Oth Inv"}</definedName>
    <definedName name="wrn.SCHED17._1" localSheetId="0" hidden="1">{"sch17",#N/A,FALSE,"Oth Inv";"sch17a",#N/A,FALSE,"Oth Inv";"sch17b",#N/A,FALSE,"Oth Inv"}</definedName>
    <definedName name="wrn.SCHED17._1" localSheetId="6" hidden="1">{"sch17",#N/A,FALSE,"Oth Inv";"sch17a",#N/A,FALSE,"Oth Inv";"sch17b",#N/A,FALSE,"Oth Inv"}</definedName>
    <definedName name="wrn.SCHED17._1" hidden="1">{"sch17",#N/A,FALSE,"Oth Inv";"sch17a",#N/A,FALSE,"Oth Inv";"sch17b",#N/A,FALSE,"Oth Inv"}</definedName>
    <definedName name="wrn.SCHED19." localSheetId="0" hidden="1">{"sch19",#N/A,FALSE,"Debtors &lt; 1 yr";"sch19a",#N/A,FALSE,"Debtors &lt; 1 yr";"sch19b",#N/A,FALSE,"Debtors &lt; 1 yr"}</definedName>
    <definedName name="wrn.SCHED19." localSheetId="6" hidden="1">{"sch19",#N/A,FALSE,"Debtors &lt; 1 yr";"sch19a",#N/A,FALSE,"Debtors &lt; 1 yr";"sch19b",#N/A,FALSE,"Debtors &lt; 1 yr"}</definedName>
    <definedName name="wrn.SCHED19." hidden="1">{"sch19",#N/A,FALSE,"Debtors &lt; 1 yr";"sch19a",#N/A,FALSE,"Debtors &lt; 1 yr";"sch19b",#N/A,FALSE,"Debtors &lt; 1 yr"}</definedName>
    <definedName name="wrn.SCHED19._1" localSheetId="0" hidden="1">{"sch19",#N/A,FALSE,"Debtors &lt; 1 yr";"sch19a",#N/A,FALSE,"Debtors &lt; 1 yr";"sch19b",#N/A,FALSE,"Debtors &lt; 1 yr"}</definedName>
    <definedName name="wrn.SCHED19._1" localSheetId="6" hidden="1">{"sch19",#N/A,FALSE,"Debtors &lt; 1 yr";"sch19a",#N/A,FALSE,"Debtors &lt; 1 yr";"sch19b",#N/A,FALSE,"Debtors &lt; 1 yr"}</definedName>
    <definedName name="wrn.SCHED19._1" hidden="1">{"sch19",#N/A,FALSE,"Debtors &lt; 1 yr";"sch19a",#N/A,FALSE,"Debtors &lt; 1 yr";"sch19b",#N/A,FALSE,"Debtors &lt; 1 yr"}</definedName>
    <definedName name="wrn.SCHED23." localSheetId="0" hidden="1">{"sch23",#N/A,FALSE,"Loans";"sch23a",#N/A,FALSE,"Loans"}</definedName>
    <definedName name="wrn.SCHED23." localSheetId="6" hidden="1">{"sch23",#N/A,FALSE,"Loans";"sch23a",#N/A,FALSE,"Loans"}</definedName>
    <definedName name="wrn.SCHED23." hidden="1">{"sch23",#N/A,FALSE,"Loans";"sch23a",#N/A,FALSE,"Loans"}</definedName>
    <definedName name="wrn.SCHED23._1" localSheetId="0" hidden="1">{"sch23",#N/A,FALSE,"Loans";"sch23a",#N/A,FALSE,"Loans"}</definedName>
    <definedName name="wrn.SCHED23._1" localSheetId="6" hidden="1">{"sch23",#N/A,FALSE,"Loans";"sch23a",#N/A,FALSE,"Loans"}</definedName>
    <definedName name="wrn.SCHED23._1" hidden="1">{"sch23",#N/A,FALSE,"Loans";"sch23a",#N/A,FALSE,"Loans"}</definedName>
    <definedName name="wrn.SCHED24." localSheetId="0" hidden="1">{"sch24",#N/A,FALSE,"Creditors &lt; 1yr";"sch24a",#N/A,FALSE,"Creditors &lt; 1yr";"sch24b",#N/A,FALSE,"Creditors &lt; 1yr"}</definedName>
    <definedName name="wrn.SCHED24." localSheetId="6" hidden="1">{"sch24",#N/A,FALSE,"Creditors &lt; 1yr";"sch24a",#N/A,FALSE,"Creditors &lt; 1yr";"sch24b",#N/A,FALSE,"Creditors &lt; 1yr"}</definedName>
    <definedName name="wrn.SCHED24." hidden="1">{"sch24",#N/A,FALSE,"Creditors &lt; 1yr";"sch24a",#N/A,FALSE,"Creditors &lt; 1yr";"sch24b",#N/A,FALSE,"Creditors &lt; 1yr"}</definedName>
    <definedName name="wrn.SCHED24._1" localSheetId="0" hidden="1">{"sch24",#N/A,FALSE,"Creditors &lt; 1yr";"sch24a",#N/A,FALSE,"Creditors &lt; 1yr";"sch24b",#N/A,FALSE,"Creditors &lt; 1yr"}</definedName>
    <definedName name="wrn.SCHED24._1" localSheetId="6" hidden="1">{"sch24",#N/A,FALSE,"Creditors &lt; 1yr";"sch24a",#N/A,FALSE,"Creditors &lt; 1yr";"sch24b",#N/A,FALSE,"Creditors &lt; 1yr"}</definedName>
    <definedName name="wrn.SCHED24._1" hidden="1">{"sch24",#N/A,FALSE,"Creditors &lt; 1yr";"sch24a",#N/A,FALSE,"Creditors &lt; 1yr";"sch24b",#N/A,FALSE,"Creditors &lt; 1yr"}</definedName>
    <definedName name="wrn.SCHED25." localSheetId="0" hidden="1">{"sch25",#N/A,FALSE,"Provisions &lt;1yr";"sch25a",#N/A,FALSE,"Provisions &lt;1yr"}</definedName>
    <definedName name="wrn.SCHED25." localSheetId="6" hidden="1">{"sch25",#N/A,FALSE,"Provisions &lt;1yr";"sch25a",#N/A,FALSE,"Provisions &lt;1yr"}</definedName>
    <definedName name="wrn.SCHED25." hidden="1">{"sch25",#N/A,FALSE,"Provisions &lt;1yr";"sch25a",#N/A,FALSE,"Provisions &lt;1yr"}</definedName>
    <definedName name="wrn.SCHED25._1" localSheetId="0" hidden="1">{"sch25",#N/A,FALSE,"Provisions &lt;1yr";"sch25a",#N/A,FALSE,"Provisions &lt;1yr"}</definedName>
    <definedName name="wrn.SCHED25._1" localSheetId="6" hidden="1">{"sch25",#N/A,FALSE,"Provisions &lt;1yr";"sch25a",#N/A,FALSE,"Provisions &lt;1yr"}</definedName>
    <definedName name="wrn.SCHED25._1" hidden="1">{"sch25",#N/A,FALSE,"Provisions &lt;1yr";"sch25a",#N/A,FALSE,"Provisions &lt;1yr"}</definedName>
    <definedName name="wrn.SCHED27." localSheetId="0" hidden="1">{"sch27",#N/A,FALSE,"Provisions &gt;1yr";"sch27a",#N/A,FALSE,"Provisions &gt;1yr"}</definedName>
    <definedName name="wrn.SCHED27." localSheetId="6" hidden="1">{"sch27",#N/A,FALSE,"Provisions &gt;1yr";"sch27a",#N/A,FALSE,"Provisions &gt;1yr"}</definedName>
    <definedName name="wrn.SCHED27." hidden="1">{"sch27",#N/A,FALSE,"Provisions &gt;1yr";"sch27a",#N/A,FALSE,"Provisions &gt;1yr"}</definedName>
    <definedName name="wrn.SCHED27._1" localSheetId="0" hidden="1">{"sch27",#N/A,FALSE,"Provisions &gt;1yr";"sch27a",#N/A,FALSE,"Provisions &gt;1yr"}</definedName>
    <definedName name="wrn.SCHED27._1" localSheetId="6" hidden="1">{"sch27",#N/A,FALSE,"Provisions &gt;1yr";"sch27a",#N/A,FALSE,"Provisions &gt;1yr"}</definedName>
    <definedName name="wrn.SCHED27._1" hidden="1">{"sch27",#N/A,FALSE,"Provisions &gt;1yr";"sch27a",#N/A,FALSE,"Provisions &gt;1yr"}</definedName>
    <definedName name="wrn.SCHED3." localSheetId="0" hidden="1">{"scha",#N/A,FALSE,"Turnover";"schb",#N/A,FALSE,"Turnover";"schc",#N/A,FALSE,"Turnover";"schd",#N/A,FALSE,"Turnover"}</definedName>
    <definedName name="wrn.SCHED3." localSheetId="6" hidden="1">{"scha",#N/A,FALSE,"Turnover";"schb",#N/A,FALSE,"Turnover";"schc",#N/A,FALSE,"Turnover";"schd",#N/A,FALSE,"Turnover"}</definedName>
    <definedName name="wrn.SCHED3." hidden="1">{"scha",#N/A,FALSE,"Turnover";"schb",#N/A,FALSE,"Turnover";"schc",#N/A,FALSE,"Turnover";"schd",#N/A,FALSE,"Turnover"}</definedName>
    <definedName name="wrn.SCHED3._1" localSheetId="0" hidden="1">{"scha",#N/A,FALSE,"Turnover";"schb",#N/A,FALSE,"Turnover";"schc",#N/A,FALSE,"Turnover";"schd",#N/A,FALSE,"Turnover"}</definedName>
    <definedName name="wrn.SCHED3._1" localSheetId="6" hidden="1">{"scha",#N/A,FALSE,"Turnover";"schb",#N/A,FALSE,"Turnover";"schc",#N/A,FALSE,"Turnover";"schd",#N/A,FALSE,"Turnover"}</definedName>
    <definedName name="wrn.SCHED3._1" hidden="1">{"scha",#N/A,FALSE,"Turnover";"schb",#N/A,FALSE,"Turnover";"schc",#N/A,FALSE,"Turnover";"schd",#N/A,FALSE,"Turnover"}</definedName>
    <definedName name="wrn.SCHED30." localSheetId="0" hidden="1">{"sch30",#N/A,FALSE,"Reserves";"sch30a",#N/A,FALSE,"Reserves";"sch30b",#N/A,FALSE,"Reserves"}</definedName>
    <definedName name="wrn.SCHED30." localSheetId="6" hidden="1">{"sch30",#N/A,FALSE,"Reserves";"sch30a",#N/A,FALSE,"Reserves";"sch30b",#N/A,FALSE,"Reserves"}</definedName>
    <definedName name="wrn.SCHED30." hidden="1">{"sch30",#N/A,FALSE,"Reserves";"sch30a",#N/A,FALSE,"Reserves";"sch30b",#N/A,FALSE,"Reserves"}</definedName>
    <definedName name="wrn.SCHED30._1" localSheetId="0" hidden="1">{"sch30",#N/A,FALSE,"Reserves";"sch30a",#N/A,FALSE,"Reserves";"sch30b",#N/A,FALSE,"Reserves"}</definedName>
    <definedName name="wrn.SCHED30._1" localSheetId="6" hidden="1">{"sch30",#N/A,FALSE,"Reserves";"sch30a",#N/A,FALSE,"Reserves";"sch30b",#N/A,FALSE,"Reserves"}</definedName>
    <definedName name="wrn.SCHED30._1" hidden="1">{"sch30",#N/A,FALSE,"Reserves";"sch30a",#N/A,FALSE,"Reserves";"sch30b",#N/A,FALSE,"Reserves"}</definedName>
    <definedName name="wrn.SCHED31." localSheetId="0" hidden="1">{"sch31",#N/A,FALSE,"MI";"sch31a",#N/A,FALSE,"MI"}</definedName>
    <definedName name="wrn.SCHED31." localSheetId="6" hidden="1">{"sch31",#N/A,FALSE,"MI";"sch31a",#N/A,FALSE,"MI"}</definedName>
    <definedName name="wrn.SCHED31." hidden="1">{"sch31",#N/A,FALSE,"MI";"sch31a",#N/A,FALSE,"MI"}</definedName>
    <definedName name="wrn.SCHED31._1" localSheetId="0" hidden="1">{"sch31",#N/A,FALSE,"MI";"sch31a",#N/A,FALSE,"MI"}</definedName>
    <definedName name="wrn.SCHED31._1" localSheetId="6" hidden="1">{"sch31",#N/A,FALSE,"MI";"sch31a",#N/A,FALSE,"MI"}</definedName>
    <definedName name="wrn.SCHED31._1" hidden="1">{"sch31",#N/A,FALSE,"MI";"sch31a",#N/A,FALSE,"MI"}</definedName>
    <definedName name="wrn.SCHED34." localSheetId="0" hidden="1">{"sch34",#N/A,FALSE,"Flash rec";"sch34a",#N/A,FALSE,"Flash rec";"sch34b",#N/A,FALSE,"Flash rec"}</definedName>
    <definedName name="wrn.SCHED34." localSheetId="6" hidden="1">{"sch34",#N/A,FALSE,"Flash rec";"sch34a",#N/A,FALSE,"Flash rec";"sch34b",#N/A,FALSE,"Flash rec"}</definedName>
    <definedName name="wrn.SCHED34." hidden="1">{"sch34",#N/A,FALSE,"Flash rec";"sch34a",#N/A,FALSE,"Flash rec";"sch34b",#N/A,FALSE,"Flash rec"}</definedName>
    <definedName name="wrn.SCHED34._1" localSheetId="0" hidden="1">{"sch34",#N/A,FALSE,"Flash rec";"sch34a",#N/A,FALSE,"Flash rec";"sch34b",#N/A,FALSE,"Flash rec"}</definedName>
    <definedName name="wrn.SCHED34._1" localSheetId="6" hidden="1">{"sch34",#N/A,FALSE,"Flash rec";"sch34a",#N/A,FALSE,"Flash rec";"sch34b",#N/A,FALSE,"Flash rec"}</definedName>
    <definedName name="wrn.SCHED34._1" hidden="1">{"sch34",#N/A,FALSE,"Flash rec";"sch34a",#N/A,FALSE,"Flash rec";"sch34b",#N/A,FALSE,"Flash rec"}</definedName>
    <definedName name="wrn.SCHED4." localSheetId="0" hidden="1">{"sch4a",#N/A,FALSE,"Expenses";"sch4b",#N/A,FALSE,"Expenses";"sch4c",#N/A,FALSE,"Expenses";"schd",#N/A,FALSE,"Expenses"}</definedName>
    <definedName name="wrn.SCHED4." localSheetId="6" hidden="1">{"sch4a",#N/A,FALSE,"Expenses";"sch4b",#N/A,FALSE,"Expenses";"sch4c",#N/A,FALSE,"Expenses";"schd",#N/A,FALSE,"Expenses"}</definedName>
    <definedName name="wrn.SCHED4." hidden="1">{"sch4a",#N/A,FALSE,"Expenses";"sch4b",#N/A,FALSE,"Expenses";"sch4c",#N/A,FALSE,"Expenses";"schd",#N/A,FALSE,"Expenses"}</definedName>
    <definedName name="wrn.SCHED4._1" localSheetId="0" hidden="1">{"sch4a",#N/A,FALSE,"Expenses";"sch4b",#N/A,FALSE,"Expenses";"sch4c",#N/A,FALSE,"Expenses";"schd",#N/A,FALSE,"Expenses"}</definedName>
    <definedName name="wrn.SCHED4._1" localSheetId="6" hidden="1">{"sch4a",#N/A,FALSE,"Expenses";"sch4b",#N/A,FALSE,"Expenses";"sch4c",#N/A,FALSE,"Expenses";"schd",#N/A,FALSE,"Expenses"}</definedName>
    <definedName name="wrn.SCHED4._1" hidden="1">{"sch4a",#N/A,FALSE,"Expenses";"sch4b",#N/A,FALSE,"Expenses";"sch4c",#N/A,FALSE,"Expenses";"schd",#N/A,FALSE,"Expenses"}</definedName>
    <definedName name="wrn.SCHED6." localSheetId="0" hidden="1">{"sch6",#N/A,FALSE,"Inv income";"scha",#N/A,FALSE,"Inv income";"schb",#N/A,FALSE,"Inv income";"schc",#N/A,FALSE,"Inv income"}</definedName>
    <definedName name="wrn.SCHED6." localSheetId="6" hidden="1">{"sch6",#N/A,FALSE,"Inv income";"scha",#N/A,FALSE,"Inv income";"schb",#N/A,FALSE,"Inv income";"schc",#N/A,FALSE,"Inv income"}</definedName>
    <definedName name="wrn.SCHED6." hidden="1">{"sch6",#N/A,FALSE,"Inv income";"scha",#N/A,FALSE,"Inv income";"schb",#N/A,FALSE,"Inv income";"schc",#N/A,FALSE,"Inv income"}</definedName>
    <definedName name="wrn.SCHED6._1" localSheetId="0" hidden="1">{"sch6",#N/A,FALSE,"Inv income";"scha",#N/A,FALSE,"Inv income";"schb",#N/A,FALSE,"Inv income";"schc",#N/A,FALSE,"Inv income"}</definedName>
    <definedName name="wrn.SCHED6._1" localSheetId="6" hidden="1">{"sch6",#N/A,FALSE,"Inv income";"scha",#N/A,FALSE,"Inv income";"schb",#N/A,FALSE,"Inv income";"schc",#N/A,FALSE,"Inv income"}</definedName>
    <definedName name="wrn.SCHED6._1" hidden="1">{"sch6",#N/A,FALSE,"Inv income";"scha",#N/A,FALSE,"Inv income";"schb",#N/A,FALSE,"Inv income";"schc",#N/A,FALSE,"Inv income"}</definedName>
    <definedName name="wrn.SCHED7." localSheetId="0" hidden="1">{"sch7a",#N/A,FALSE,"Interest pd";"sch7b",#N/A,FALSE,"Interest pd"}</definedName>
    <definedName name="wrn.SCHED7." localSheetId="6" hidden="1">{"sch7a",#N/A,FALSE,"Interest pd";"sch7b",#N/A,FALSE,"Interest pd"}</definedName>
    <definedName name="wrn.SCHED7." hidden="1">{"sch7a",#N/A,FALSE,"Interest pd";"sch7b",#N/A,FALSE,"Interest pd"}</definedName>
    <definedName name="wrn.SCHED7._1" localSheetId="0" hidden="1">{"sch7a",#N/A,FALSE,"Interest pd";"sch7b",#N/A,FALSE,"Interest pd"}</definedName>
    <definedName name="wrn.SCHED7._1" localSheetId="6" hidden="1">{"sch7a",#N/A,FALSE,"Interest pd";"sch7b",#N/A,FALSE,"Interest pd"}</definedName>
    <definedName name="wrn.SCHED7._1" hidden="1">{"sch7a",#N/A,FALSE,"Interest pd";"sch7b",#N/A,FALSE,"Interest pd"}</definedName>
    <definedName name="wrn.Second._.half." localSheetId="6" hidden="1">{#N/A,#N/A,TRUE,"Provisions and pensions";#N/A,#N/A,TRUE,"AMP";#N/A,#N/A,TRUE,"Debt";#N/A,#N/A,TRUE,"WC";#N/A,#N/A,TRUE,"Cash";#N/A,#N/A,TRUE,"Divis";#N/A,#N/A,TRUE,"Tax";#N/A,#N/A,TRUE,"Losses and ACT";#N/A,#N/A,TRUE,"Profit uplifts";#N/A,#N/A,TRUE,"Enhancement data"}</definedName>
    <definedName name="wrn.Second._.half." hidden="1">{#N/A,#N/A,TRUE,"Provisions and pensions";#N/A,#N/A,TRUE,"AMP";#N/A,#N/A,TRUE,"Debt";#N/A,#N/A,TRUE,"WC";#N/A,#N/A,TRUE,"Cash";#N/A,#N/A,TRUE,"Divis";#N/A,#N/A,TRUE,"Tax";#N/A,#N/A,TRUE,"Losses and ACT";#N/A,#N/A,TRUE,"Profit uplifts";#N/A,#N/A,TRUE,"Enhancement data"}</definedName>
    <definedName name="wrn.Secondary._.Competition." localSheetId="6" hidden="1">{#N/A,#N/A,FALSE,"Secondary"}</definedName>
    <definedName name="wrn.Secondary._.Competition." hidden="1">{#N/A,#N/A,FALSE,"Secondary"}</definedName>
    <definedName name="wrn.Segments." localSheetId="6"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ns." localSheetId="0" hidden="1">{#N/A,#N/A,FALSE,"Sensitivities";#N/A,#N/A,FALSE,"Sensitivities2"}</definedName>
    <definedName name="wrn.sens." localSheetId="6" hidden="1">{#N/A,#N/A,FALSE,"Sensitivities";#N/A,#N/A,FALSE,"Sensitivities2"}</definedName>
    <definedName name="wrn.sens." hidden="1">{#N/A,#N/A,FALSE,"Sensitivities";#N/A,#N/A,FALSE,"Sensitivities2"}</definedName>
    <definedName name="wrn.sens3." localSheetId="0" hidden="1">{#N/A,#N/A,TRUE,"DCF";#N/A,#N/A,TRUE,"DCF"}</definedName>
    <definedName name="wrn.sens3." localSheetId="6" hidden="1">{#N/A,#N/A,TRUE,"DCF";#N/A,#N/A,TRUE,"DCF"}</definedName>
    <definedName name="wrn.sens3." hidden="1">{#N/A,#N/A,TRUE,"DCF";#N/A,#N/A,TRUE,"DCF"}</definedName>
    <definedName name="wrn.Sensitivity." localSheetId="0" hidden="1">{#N/A,#N/A,FALSE,"Sensitivity"}</definedName>
    <definedName name="wrn.Sensitivity." localSheetId="6" hidden="1">{#N/A,#N/A,FALSE,"Sensitivity"}</definedName>
    <definedName name="wrn.Sensitivity." hidden="1">{#N/A,#N/A,FALSE,"Sensitivity"}</definedName>
    <definedName name="wrn.sensitivity._.analyses." localSheetId="0" hidden="1">{"general",#N/A,FALSE,"Assumptions"}</definedName>
    <definedName name="wrn.sensitivity._.analyses." localSheetId="6" hidden="1">{"general",#N/A,FALSE,"Assumptions"}</definedName>
    <definedName name="wrn.sensitivity._.analyses." hidden="1">{"general",#N/A,FALSE,"Assumptions"}</definedName>
    <definedName name="wrn.Seven._.Page." localSheetId="0" hidden="1">{"Income",#N/A,FALSE,"income";"Sales",#N/A,FALSE,"income";"Critical",#N/A,FALSE,"income";"Market",#N/A,FALSE,"Market";"Returns",#N/A,FALSE,"returns";"Balance",#N/A,FALSE,"balance";"Cash Flow",#N/A,FALSE,"balance"}</definedName>
    <definedName name="wrn.Seven._.Page." localSheetId="6" hidden="1">{"Income",#N/A,FALSE,"income";"Sales",#N/A,FALSE,"income";"Critical",#N/A,FALSE,"income";"Market",#N/A,FALSE,"Market";"Returns",#N/A,FALSE,"returns";"Balance",#N/A,FALSE,"balance";"Cash Flow",#N/A,FALSE,"balance"}</definedName>
    <definedName name="wrn.Seven._.Page." hidden="1">{"Income",#N/A,FALSE,"income";"Sales",#N/A,FALSE,"income";"Critical",#N/A,FALSE,"income";"Market",#N/A,FALSE,"Market";"Returns",#N/A,FALSE,"returns";"Balance",#N/A,FALSE,"balance";"Cash Flow",#N/A,FALSE,"balance"}</definedName>
    <definedName name="wrn.sfjsf" localSheetId="6" hidden="1">{#N/A,#N/A,TRUE,"Tar-Ass";#N/A,#N/A,TRUE,"Tar-Ass LBO";#N/A,#N/A,TRUE,"LBO Ret";#N/A,#N/A,TRUE,"Tar-BS LBO";#N/A,#N/A,TRUE,"Tar-IS LBO";#N/A,#N/A,TRUE,"Tar-CF LBO";#N/A,#N/A,TRUE,"Tar-Debt LBO";#N/A,#N/A,TRUE,"Tar-Int LBO";#N/A,#N/A,TRUE,"Tar-Taxes LBO";#N/A,#N/A,TRUE,"Tar-Val LBO"}</definedName>
    <definedName name="wrn.sfjsf" hidden="1">{#N/A,#N/A,TRUE,"Tar-Ass";#N/A,#N/A,TRUE,"Tar-Ass LBO";#N/A,#N/A,TRUE,"LBO Ret";#N/A,#N/A,TRUE,"Tar-BS LBO";#N/A,#N/A,TRUE,"Tar-IS LBO";#N/A,#N/A,TRUE,"Tar-CF LBO";#N/A,#N/A,TRUE,"Tar-Debt LBO";#N/A,#N/A,TRUE,"Tar-Int LBO";#N/A,#N/A,TRUE,"Tar-Taxes LBO";#N/A,#N/A,TRUE,"Tar-Val LBO"}</definedName>
    <definedName name="wrn.sfull." localSheetId="0" hidden="1">{#N/A,#N/A,FALSE,"P&amp;L"}</definedName>
    <definedName name="wrn.sfull." localSheetId="6" hidden="1">{#N/A,#N/A,FALSE,"P&amp;L"}</definedName>
    <definedName name="wrn.sfull." hidden="1">{#N/A,#N/A,FALSE,"P&amp;L"}</definedName>
    <definedName name="wrn.sfull._._model" localSheetId="0" hidden="1">{#N/A,#N/A,TRUE,"Cover sheet";#N/A,#N/A,TRUE,"DCF analysis";#N/A,#N/A,TRUE,"WACC calculation"}</definedName>
    <definedName name="wrn.sfull._._model" localSheetId="6" hidden="1">{#N/A,#N/A,TRUE,"Cover sheet";#N/A,#N/A,TRUE,"DCF analysis";#N/A,#N/A,TRUE,"WACC calculation"}</definedName>
    <definedName name="wrn.sfull._._model" hidden="1">{#N/A,#N/A,TRUE,"Cover sheet";#N/A,#N/A,TRUE,"DCF analysis";#N/A,#N/A,TRUE,"WACC calculation"}</definedName>
    <definedName name="wrn.SHARPE." localSheetId="6" hidden="1">{"FRONT (SHARPE &amp; FISHER) (25)",#N/A,TRUE,"SHARPE &amp; FISHER";"P AND L (SHARPE &amp; FISHER) (25)",#N/A,TRUE,"SHARPE &amp; FISHER";"CASH AND VAL (SHARPE &amp; FISHER) (25)",#N/A,TRUE,"SHARPE &amp; FISHER"}</definedName>
    <definedName name="wrn.SHARPE." hidden="1">{"FRONT (SHARPE &amp; FISHER) (25)",#N/A,TRUE,"SHARPE &amp; FISHER";"P AND L (SHARPE &amp; FISHER) (25)",#N/A,TRUE,"SHARPE &amp; FISHER";"CASH AND VAL (SHARPE &amp; FISHER) (25)",#N/A,TRUE,"SHARPE &amp; FISHER"}</definedName>
    <definedName name="wrn.SHORT." localSheetId="0" hidden="1">{"CREDIT STATISTICS",#N/A,FALSE,"STATS";"CF_AND_IS",#N/A,FALSE,"PLAN";"BALSHEET",#N/A,FALSE,"BALANCE SHEET"}</definedName>
    <definedName name="wrn.SHORT." localSheetId="6" hidden="1">{"CREDIT STATISTICS",#N/A,FALSE,"STATS";"CF_AND_IS",#N/A,FALSE,"PLAN";"BALSHEET",#N/A,FALSE,"BALANCE SHEET"}</definedName>
    <definedName name="wrn.SHORT." hidden="1">{"CREDIT STATISTICS",#N/A,FALSE,"STATS";"CF_AND_IS",#N/A,FALSE,"PLAN";"BALSHEET",#N/A,FALSE,"BALANCE SHEET"}</definedName>
    <definedName name="wrn.Short._.Form._.Print._.Out." localSheetId="6" hidden="1">{"Summary",#N/A,TRUE,"Summary";"Assumptions",#N/A,TRUE,"Assumptions";"Combined (Short)",#N/A,TRUE,"Combined Group"}</definedName>
    <definedName name="wrn.Short._.Form._.Print._.Out." hidden="1">{"Summary",#N/A,TRUE,"Summary";"Assumptions",#N/A,TRUE,"Assumptions";"Combined (Short)",#N/A,TRUE,"Combined Group"}</definedName>
    <definedName name="wrn.Short._.Reports." localSheetId="6" hidden="1">{#N/A,#N/A,FALSE,"UK Consol Short";#N/A,#N/A,FALSE,"Summary UK - Short"}</definedName>
    <definedName name="wrn.Short._.Reports." hidden="1">{#N/A,#N/A,FALSE,"UK Consol Short";#N/A,#N/A,FALSE,"Summary UK - Short"}</definedName>
    <definedName name="wrn.Shorten._.Version." localSheetId="0" hidden="1">{#N/A,#N/A,FALSE,"changes";#N/A,#N/A,FALSE,"Assumptions";"view1",#N/A,FALSE,"BE Analysis";"view2",#N/A,FALSE,"BE Analysis";#N/A,#N/A,FALSE,"DCF Calculation - Scenario 1";"Dollar",#N/A,FALSE,"Consolidated - Scenario 1";"CS",#N/A,FALSE,"Consolidated - Scenario 1"}</definedName>
    <definedName name="wrn.Shorten._.Version." localSheetId="6" hidden="1">{#N/A,#N/A,FALSE,"changes";#N/A,#N/A,FALSE,"Assumptions";"view1",#N/A,FALSE,"BE Analysis";"view2",#N/A,FALSE,"BE Analysis";#N/A,#N/A,FALSE,"DCF Calculation - Scenario 1";"Dollar",#N/A,FALSE,"Consolidated - Scenario 1";"CS",#N/A,FALSE,"Consolidated - Scenario 1"}</definedName>
    <definedName name="wrn.Shorten._.Version." hidden="1">{#N/A,#N/A,FALSE,"changes";#N/A,#N/A,FALSE,"Assumptions";"view1",#N/A,FALSE,"BE Analysis";"view2",#N/A,FALSE,"BE Analysis";#N/A,#N/A,FALSE,"DCF Calculation - Scenario 1";"Dollar",#N/A,FALSE,"Consolidated - Scenario 1";"CS",#N/A,FALSE,"Consolidated - Scenario 1"}</definedName>
    <definedName name="wrn.SIG." localSheetId="6" hidden="1">{"FRONT (SIG) (25)",#N/A,TRUE,"SIG";"P AND L (SIG) (25)",#N/A,TRUE,"SIG";"CASH AND VAL (SIG) (25)",#N/A,TRUE,"SIG";"MODELS (SIG) (25)",#N/A,TRUE,"SIG"}</definedName>
    <definedName name="wrn.SIG." hidden="1">{"FRONT (SIG) (25)",#N/A,TRUE,"SIG";"P AND L (SIG) (25)",#N/A,TRUE,"SIG";"CASH AND VAL (SIG) (25)",#N/A,TRUE,"SIG";"MODELS (SIG) (25)",#N/A,TRUE,"SIG"}</definedName>
    <definedName name="wrn.Single._.scenario._.print._.out." localSheetId="6" hidden="1">{#N/A,#N/A,FALSE,"Sub cover";#N/A,#N/A,FALSE,"Revenue";#N/A,#N/A,FALSE,"Costs";#N/A,#N/A,FALSE,"Fin Statements";#N/A,#N/A,FALSE,"Margins";#N/A,#N/A,FALSE,"DCF"}</definedName>
    <definedName name="wrn.Single._.scenario._.print._.out." hidden="1">{#N/A,#N/A,FALSE,"Sub cover";#N/A,#N/A,FALSE,"Revenue";#N/A,#N/A,FALSE,"Costs";#N/A,#N/A,FALSE,"Fin Statements";#N/A,#N/A,FALSE,"Margins";#N/A,#N/A,FALSE,"DCF"}</definedName>
    <definedName name="wrn.Site._.Rep._.Ssund." localSheetId="6" hidden="1">{#N/A,#N/A,FALSE,"Cover";#N/A,#N/A,FALSE,"BSC";#N/A,#N/A,FALSE,"Sum 1";#N/A,#N/A,FALSE,"Cr plant";#N/A,#N/A,FALSE,"PO plant 1"}</definedName>
    <definedName name="wrn.Site._.Rep._.Ssund." hidden="1">{#N/A,#N/A,FALSE,"Cover";#N/A,#N/A,FALSE,"BSC";#N/A,#N/A,FALSE,"Sum 1";#N/A,#N/A,FALSE,"Cr plant";#N/A,#N/A,FALSE,"PO plant 1"}</definedName>
    <definedName name="wrn.SITUKRAFT." localSheetId="0" hidden="1">{#N/A,#N/A,FALSE,"REC 95 - 96 LC";#N/A,#N/A,FALSE,"REC 95 - 96 BEF";#N/A,#N/A,FALSE,"95 VS 96"}</definedName>
    <definedName name="wrn.SITUKRAFT." localSheetId="6" hidden="1">{#N/A,#N/A,FALSE,"REC 95 - 96 LC";#N/A,#N/A,FALSE,"REC 95 - 96 BEF";#N/A,#N/A,FALSE,"95 VS 96"}</definedName>
    <definedName name="wrn.SITUKRAFT." hidden="1">{#N/A,#N/A,FALSE,"REC 95 - 96 LC";#N/A,#N/A,FALSE,"REC 95 - 96 BEF";#N/A,#N/A,FALSE,"95 VS 96"}</definedName>
    <definedName name="wrn.Six._.Page." localSheetId="0" hidden="1">{"Income",#N/A,FALSE,"Earnings";"Critical Measures",#N/A,FALSE,"Earnings";"Balance",#N/A,FALSE,"Balance";"Cash Flow",#N/A,FALSE,"Balance";"Market",#N/A,FALSE,"Market";"Returns",#N/A,FALSE,"Returns"}</definedName>
    <definedName name="wrn.Six._.Page." localSheetId="6" hidden="1">{"Income",#N/A,FALSE,"Earnings";"Critical Measures",#N/A,FALSE,"Earnings";"Balance",#N/A,FALSE,"Balance";"Cash Flow",#N/A,FALSE,"Balance";"Market",#N/A,FALSE,"Market";"Returns",#N/A,FALSE,"Returns"}</definedName>
    <definedName name="wrn.Six._.Page." hidden="1">{"Income",#N/A,FALSE,"Earnings";"Critical Measures",#N/A,FALSE,"Earnings";"Balance",#N/A,FALSE,"Balance";"Cash Flow",#N/A,FALSE,"Balance";"Market",#N/A,FALSE,"Market";"Returns",#N/A,FALSE,"Returns"}</definedName>
    <definedName name="wrn.Sixpage." localSheetId="0" hidden="1">{"Income",#N/A,FALSE,"income";"Critical",#N/A,FALSE,"income";"Balance",#N/A,FALSE,"Balance";"Cash Flow",#N/A,FALSE,"Balance";"Returns",#N/A,FALSE,"Returns";"Market",#N/A,FALSE,"Market"}</definedName>
    <definedName name="wrn.Sixpage." localSheetId="6" hidden="1">{"Income",#N/A,FALSE,"income";"Critical",#N/A,FALSE,"income";"Balance",#N/A,FALSE,"Balance";"Cash Flow",#N/A,FALSE,"Balance";"Returns",#N/A,FALSE,"Returns";"Market",#N/A,FALSE,"Market"}</definedName>
    <definedName name="wrn.Sixpage." hidden="1">{"Income",#N/A,FALSE,"income";"Critical",#N/A,FALSE,"income";"Balance",#N/A,FALSE,"Balance";"Cash Flow",#N/A,FALSE,"Balance";"Returns",#N/A,FALSE,"Returns";"Market",#N/A,FALSE,"Market"}</definedName>
    <definedName name="wrn.SKSCS1." localSheetId="0" hidden="1">{#N/A,#N/A,FALSE,"Antony Financials";#N/A,#N/A,FALSE,"Cowboy Financials";#N/A,#N/A,FALSE,"Combined";#N/A,#N/A,FALSE,"Valuematrix";#N/A,#N/A,FALSE,"DCFAntony";#N/A,#N/A,FALSE,"DCFCowboy";#N/A,#N/A,FALSE,"DCFCombined"}</definedName>
    <definedName name="wrn.SKSCS1." localSheetId="6" hidden="1">{#N/A,#N/A,FALSE,"Antony Financials";#N/A,#N/A,FALSE,"Cowboy Financials";#N/A,#N/A,FALSE,"Combined";#N/A,#N/A,FALSE,"Valuematrix";#N/A,#N/A,FALSE,"DCFAntony";#N/A,#N/A,FALSE,"DCFCowboy";#N/A,#N/A,FALSE,"DCFCombined"}</definedName>
    <definedName name="wrn.SKSCS1." hidden="1">{#N/A,#N/A,FALSE,"Antony Financials";#N/A,#N/A,FALSE,"Cowboy Financials";#N/A,#N/A,FALSE,"Combined";#N/A,#N/A,FALSE,"Valuematrix";#N/A,#N/A,FALSE,"DCFAntony";#N/A,#N/A,FALSE,"DCFCowboy";#N/A,#N/A,FALSE,"DCFCombined"}</definedName>
    <definedName name="wrn.Soluzioni." localSheetId="0" hidden="1">{#N/A,#N/A,FALSE,"P&amp;L proj";#N/A,#N/A,FALSE,"Balance sheet proj";#N/A,#N/A,FALSE,"cf proj";#N/A,#N/A,FALSE,"IRR";#N/A,#N/A,FALSE,"Wacc";#N/A,#N/A,FALSE,"DCF";#N/A,#N/A,FALSE,"APV";#N/A,#N/A,FALSE,"comparables";#N/A,#N/A,FALSE,"Valuation"}</definedName>
    <definedName name="wrn.Soluzioni." localSheetId="6" hidden="1">{#N/A,#N/A,FALSE,"P&amp;L proj";#N/A,#N/A,FALSE,"Balance sheet proj";#N/A,#N/A,FALSE,"cf proj";#N/A,#N/A,FALSE,"IRR";#N/A,#N/A,FALSE,"Wacc";#N/A,#N/A,FALSE,"DCF";#N/A,#N/A,FALSE,"APV";#N/A,#N/A,FALSE,"comparables";#N/A,#N/A,FALSE,"Valuation"}</definedName>
    <definedName name="wrn.Soluzioni." hidden="1">{#N/A,#N/A,FALSE,"P&amp;L proj";#N/A,#N/A,FALSE,"Balance sheet proj";#N/A,#N/A,FALSE,"cf proj";#N/A,#N/A,FALSE,"IRR";#N/A,#N/A,FALSE,"Wacc";#N/A,#N/A,FALSE,"DCF";#N/A,#N/A,FALSE,"APV";#N/A,#N/A,FALSE,"comparables";#N/A,#N/A,FALSE,"Valuation"}</definedName>
    <definedName name="wrn.Sonstige." localSheetId="0" hidden="1">{#N/A,#N/A,FALSE,"Produkte Erw.";#N/A,#N/A,FALSE,"Produkte Plan";#N/A,#N/A,FALSE,"Leistungen Erw.";#N/A,#N/A,FALSE,"Leistungen Plan";#N/A,#N/A,FALSE,"KA Allg.Kosten (2)";#N/A,#N/A,FALSE,"KA All.Kosten"}</definedName>
    <definedName name="wrn.Sonstige." localSheetId="6" hidden="1">{#N/A,#N/A,FALSE,"Produkte Erw.";#N/A,#N/A,FALSE,"Produkte Plan";#N/A,#N/A,FALSE,"Leistungen Erw.";#N/A,#N/A,FALSE,"Leistungen Plan";#N/A,#N/A,FALSE,"KA Allg.Kosten (2)";#N/A,#N/A,FALSE,"KA All.Kosten"}</definedName>
    <definedName name="wrn.Sonstige." hidden="1">{#N/A,#N/A,FALSE,"Produkte Erw.";#N/A,#N/A,FALSE,"Produkte Plan";#N/A,#N/A,FALSE,"Leistungen Erw.";#N/A,#N/A,FALSE,"Leistungen Plan";#N/A,#N/A,FALSE,"KA Allg.Kosten (2)";#N/A,#N/A,FALSE,"KA All.Kosten"}</definedName>
    <definedName name="wrn.Sonstige._1" localSheetId="0" hidden="1">{#N/A,#N/A,FALSE,"Produkte Erw.";#N/A,#N/A,FALSE,"Produkte Plan";#N/A,#N/A,FALSE,"Leistungen Erw.";#N/A,#N/A,FALSE,"Leistungen Plan";#N/A,#N/A,FALSE,"KA Allg.Kosten (2)";#N/A,#N/A,FALSE,"KA All.Kosten"}</definedName>
    <definedName name="wrn.Sonstige._1" localSheetId="6" hidden="1">{#N/A,#N/A,FALSE,"Produkte Erw.";#N/A,#N/A,FALSE,"Produkte Plan";#N/A,#N/A,FALSE,"Leistungen Erw.";#N/A,#N/A,FALSE,"Leistungen Plan";#N/A,#N/A,FALSE,"KA Allg.Kosten (2)";#N/A,#N/A,FALSE,"KA All.Kosten"}</definedName>
    <definedName name="wrn.Sonstige._1" hidden="1">{#N/A,#N/A,FALSE,"Produkte Erw.";#N/A,#N/A,FALSE,"Produkte Plan";#N/A,#N/A,FALSE,"Leistungen Erw.";#N/A,#N/A,FALSE,"Leistungen Plan";#N/A,#N/A,FALSE,"KA Allg.Kosten (2)";#N/A,#N/A,FALSE,"KA All.Kosten"}</definedName>
    <definedName name="wrn.Sonstige._1_1" localSheetId="0" hidden="1">{#N/A,#N/A,FALSE,"Produkte Erw.";#N/A,#N/A,FALSE,"Produkte Plan";#N/A,#N/A,FALSE,"Leistungen Erw.";#N/A,#N/A,FALSE,"Leistungen Plan";#N/A,#N/A,FALSE,"KA Allg.Kosten (2)";#N/A,#N/A,FALSE,"KA All.Kosten"}</definedName>
    <definedName name="wrn.Sonstige._1_1" localSheetId="6" hidden="1">{#N/A,#N/A,FALSE,"Produkte Erw.";#N/A,#N/A,FALSE,"Produkte Plan";#N/A,#N/A,FALSE,"Leistungen Erw.";#N/A,#N/A,FALSE,"Leistungen Plan";#N/A,#N/A,FALSE,"KA Allg.Kosten (2)";#N/A,#N/A,FALSE,"KA All.Kosten"}</definedName>
    <definedName name="wrn.Sonstige._1_1" hidden="1">{#N/A,#N/A,FALSE,"Produkte Erw.";#N/A,#N/A,FALSE,"Produkte Plan";#N/A,#N/A,FALSE,"Leistungen Erw.";#N/A,#N/A,FALSE,"Leistungen Plan";#N/A,#N/A,FALSE,"KA Allg.Kosten (2)";#N/A,#N/A,FALSE,"KA All.Kosten"}</definedName>
    <definedName name="wrn.Sonstige._2" localSheetId="0" hidden="1">{#N/A,#N/A,FALSE,"Produkte Erw.";#N/A,#N/A,FALSE,"Produkte Plan";#N/A,#N/A,FALSE,"Leistungen Erw.";#N/A,#N/A,FALSE,"Leistungen Plan";#N/A,#N/A,FALSE,"KA Allg.Kosten (2)";#N/A,#N/A,FALSE,"KA All.Kosten"}</definedName>
    <definedName name="wrn.Sonstige._2" localSheetId="6" hidden="1">{#N/A,#N/A,FALSE,"Produkte Erw.";#N/A,#N/A,FALSE,"Produkte Plan";#N/A,#N/A,FALSE,"Leistungen Erw.";#N/A,#N/A,FALSE,"Leistungen Plan";#N/A,#N/A,FALSE,"KA Allg.Kosten (2)";#N/A,#N/A,FALSE,"KA All.Kosten"}</definedName>
    <definedName name="wrn.Sonstige._2" hidden="1">{#N/A,#N/A,FALSE,"Produkte Erw.";#N/A,#N/A,FALSE,"Produkte Plan";#N/A,#N/A,FALSE,"Leistungen Erw.";#N/A,#N/A,FALSE,"Leistungen Plan";#N/A,#N/A,FALSE,"KA Allg.Kosten (2)";#N/A,#N/A,FALSE,"KA All.Kosten"}</definedName>
    <definedName name="wrn.Sonstige._3" localSheetId="0" hidden="1">{#N/A,#N/A,FALSE,"Produkte Erw.";#N/A,#N/A,FALSE,"Produkte Plan";#N/A,#N/A,FALSE,"Leistungen Erw.";#N/A,#N/A,FALSE,"Leistungen Plan";#N/A,#N/A,FALSE,"KA Allg.Kosten (2)";#N/A,#N/A,FALSE,"KA All.Kosten"}</definedName>
    <definedName name="wrn.Sonstige._3" localSheetId="6" hidden="1">{#N/A,#N/A,FALSE,"Produkte Erw.";#N/A,#N/A,FALSE,"Produkte Plan";#N/A,#N/A,FALSE,"Leistungen Erw.";#N/A,#N/A,FALSE,"Leistungen Plan";#N/A,#N/A,FALSE,"KA Allg.Kosten (2)";#N/A,#N/A,FALSE,"KA All.Kosten"}</definedName>
    <definedName name="wrn.Sonstige._3" hidden="1">{#N/A,#N/A,FALSE,"Produkte Erw.";#N/A,#N/A,FALSE,"Produkte Plan";#N/A,#N/A,FALSE,"Leistungen Erw.";#N/A,#N/A,FALSE,"Leistungen Plan";#N/A,#N/A,FALSE,"KA Allg.Kosten (2)";#N/A,#N/A,FALSE,"KA All.Kosten"}</definedName>
    <definedName name="wrn.Sonstige._4" localSheetId="0" hidden="1">{#N/A,#N/A,FALSE,"Produkte Erw.";#N/A,#N/A,FALSE,"Produkte Plan";#N/A,#N/A,FALSE,"Leistungen Erw.";#N/A,#N/A,FALSE,"Leistungen Plan";#N/A,#N/A,FALSE,"KA Allg.Kosten (2)";#N/A,#N/A,FALSE,"KA All.Kosten"}</definedName>
    <definedName name="wrn.Sonstige._4" localSheetId="6" hidden="1">{#N/A,#N/A,FALSE,"Produkte Erw.";#N/A,#N/A,FALSE,"Produkte Plan";#N/A,#N/A,FALSE,"Leistungen Erw.";#N/A,#N/A,FALSE,"Leistungen Plan";#N/A,#N/A,FALSE,"KA Allg.Kosten (2)";#N/A,#N/A,FALSE,"KA All.Kosten"}</definedName>
    <definedName name="wrn.Sonstige._4" hidden="1">{#N/A,#N/A,FALSE,"Produkte Erw.";#N/A,#N/A,FALSE,"Produkte Plan";#N/A,#N/A,FALSE,"Leistungen Erw.";#N/A,#N/A,FALSE,"Leistungen Plan";#N/A,#N/A,FALSE,"KA Allg.Kosten (2)";#N/A,#N/A,FALSE,"KA All.Kosten"}</definedName>
    <definedName name="wrn.Sonstige._5" localSheetId="0" hidden="1">{#N/A,#N/A,FALSE,"Produkte Erw.";#N/A,#N/A,FALSE,"Produkte Plan";#N/A,#N/A,FALSE,"Leistungen Erw.";#N/A,#N/A,FALSE,"Leistungen Plan";#N/A,#N/A,FALSE,"KA Allg.Kosten (2)";#N/A,#N/A,FALSE,"KA All.Kosten"}</definedName>
    <definedName name="wrn.Sonstige._5" localSheetId="6" hidden="1">{#N/A,#N/A,FALSE,"Produkte Erw.";#N/A,#N/A,FALSE,"Produkte Plan";#N/A,#N/A,FALSE,"Leistungen Erw.";#N/A,#N/A,FALSE,"Leistungen Plan";#N/A,#N/A,FALSE,"KA Allg.Kosten (2)";#N/A,#N/A,FALSE,"KA All.Kosten"}</definedName>
    <definedName name="wrn.Sonstige._5" hidden="1">{#N/A,#N/A,FALSE,"Produkte Erw.";#N/A,#N/A,FALSE,"Produkte Plan";#N/A,#N/A,FALSE,"Leistungen Erw.";#N/A,#N/A,FALSE,"Leistungen Plan";#N/A,#N/A,FALSE,"KA Allg.Kosten (2)";#N/A,#N/A,FALSE,"KA All.Kosten"}</definedName>
    <definedName name="wrn.Soy._.infl." localSheetId="0" hidden="1">{#N/A,#N/A,FALSE,"GENERAL BACK-END INFLUENCE";#N/A,#N/A,FALSE,"PRICE AND VOLUME INFLUENCE";#N/A,#N/A,FALSE,"Share Influence"}</definedName>
    <definedName name="wrn.Soy._.infl." localSheetId="6" hidden="1">{#N/A,#N/A,FALSE,"GENERAL BACK-END INFLUENCE";#N/A,#N/A,FALSE,"PRICE AND VOLUME INFLUENCE";#N/A,#N/A,FALSE,"Share Influence"}</definedName>
    <definedName name="wrn.Soy._.infl." hidden="1">{#N/A,#N/A,FALSE,"GENERAL BACK-END INFLUENCE";#N/A,#N/A,FALSE,"PRICE AND VOLUME INFLUENCE";#N/A,#N/A,FALSE,"Share Influence"}</definedName>
    <definedName name="wrn.Specificaties._.balans." localSheetId="6" hidden="1">{#N/A,#N/A,FALSE,"IVA";#N/A,#N/A,FALSE,"Verloop IVA";#N/A,#N/A,FALSE,"MVA";#N/A,#N/A,FALSE,"Bijdr 3en";#N/A,#N/A,FALSE,"Deeln groepmy";#N/A,#N/A,FALSE,"Minderh deeln";#N/A,#N/A,FALSE,"Verloop vorderingen op deelnemi";#N/A,#N/A,FALSE,"Verloop overige leningen";#N/A,#N/A,FALSE,"Voorraden";#N/A,#N/A,FALSE,"Debiteuren";#N/A,#N/A,FALSE,"Te vord. bel_soc last.";#N/A,#N/A,FALSE,"Ov vord";#N/A,#N/A,FALSE,"LM";#N/A,#N/A,FALSE,"Verloop EV";#N/A,#N/A,FALSE,"Koers ANG";#N/A,#N/A,FALSE,"Minderhbel. 3en";#N/A,#N/A,FALSE,"Voorziening";#N/A,#N/A,FALSE,"LLS extern";#N/A,#N/A,FALSE,"Bankkr.";#N/A,#N/A,FALSE,"Cred";#N/A,#N/A,FALSE,"ICL";#N/A,#N/A,FALSE,"Bel_soc last. credit";#N/A,#N/A,FALSE,"Ov. schulden"}</definedName>
    <definedName name="wrn.Specificaties._.balans." hidden="1">{#N/A,#N/A,FALSE,"IVA";#N/A,#N/A,FALSE,"Verloop IVA";#N/A,#N/A,FALSE,"MVA";#N/A,#N/A,FALSE,"Bijdr 3en";#N/A,#N/A,FALSE,"Deeln groepmy";#N/A,#N/A,FALSE,"Minderh deeln";#N/A,#N/A,FALSE,"Verloop vorderingen op deelnemi";#N/A,#N/A,FALSE,"Verloop overige leningen";#N/A,#N/A,FALSE,"Voorraden";#N/A,#N/A,FALSE,"Debiteuren";#N/A,#N/A,FALSE,"Te vord. bel_soc last.";#N/A,#N/A,FALSE,"Ov vord";#N/A,#N/A,FALSE,"LM";#N/A,#N/A,FALSE,"Verloop EV";#N/A,#N/A,FALSE,"Koers ANG";#N/A,#N/A,FALSE,"Minderhbel. 3en";#N/A,#N/A,FALSE,"Voorziening";#N/A,#N/A,FALSE,"LLS extern";#N/A,#N/A,FALSE,"Bankkr.";#N/A,#N/A,FALSE,"Cred";#N/A,#N/A,FALSE,"ICL";#N/A,#N/A,FALSE,"Bel_soc last. credit";#N/A,#N/A,FALSE,"Ov. schulden"}</definedName>
    <definedName name="wrn.Specificaties._.W._.V." localSheetId="6" hidden="1">{#N/A,#N/A,TRUE,"Ext. omzet";#N/A,#N/A,TRUE,"Ext. kostprijs";#N/A,#N/A,TRUE,"BM";#N/A,#N/A,TRUE,"Ov. bedr. opbr.";#N/A,#N/A,TRUE,"Geact. eigen kst";#N/A,#N/A,TRUE,"Diensten 3en_ mat";#N/A,#N/A,TRUE,"Pers. kst";#N/A,#N/A,TRUE,"Afschr";#N/A,#N/A,TRUE,"Afschr categorie";#N/A,#N/A,TRUE,"Ov. bedr.kst";#N/A,#N/A,TRUE,"Except.";#N/A,#N/A,TRUE,"Res. niet gecons deeln.";#N/A,#N/A,TRUE,"Fin B&amp;L";#N/A,#N/A,TRUE,"VPB";#N/A,#N/A,TRUE,"Aandeel 3en"}</definedName>
    <definedName name="wrn.Specificaties._.W._.V." hidden="1">{#N/A,#N/A,TRUE,"Ext. omzet";#N/A,#N/A,TRUE,"Ext. kostprijs";#N/A,#N/A,TRUE,"BM";#N/A,#N/A,TRUE,"Ov. bedr. opbr.";#N/A,#N/A,TRUE,"Geact. eigen kst";#N/A,#N/A,TRUE,"Diensten 3en_ mat";#N/A,#N/A,TRUE,"Pers. kst";#N/A,#N/A,TRUE,"Afschr";#N/A,#N/A,TRUE,"Afschr categorie";#N/A,#N/A,TRUE,"Ov. bedr.kst";#N/A,#N/A,TRUE,"Except.";#N/A,#N/A,TRUE,"Res. niet gecons deeln.";#N/A,#N/A,TRUE,"Fin B&amp;L";#N/A,#N/A,TRUE,"VPB";#N/A,#N/A,TRUE,"Aandeel 3en"}</definedName>
    <definedName name="wrn.Spend._.by._.driver." localSheetId="6" hidden="1">{"ECML Programme",#N/A,TRUE,"Summary";"Leeds 1st Programme",#N/A,TRUE,"Summary";"Sunderland Direct",#N/A,TRUE,"Summary";"Customer driven",#N/A,TRUE,"Summary";"Safety",#N/A,TRUE,"Summary";"Legal requirement",#N/A,TRUE,"Summary";"Performance",#N/A,TRUE,"Summary";"Renewal of failed asset",#N/A,TRUE,"Summary";"Signalling renewals",#N/A,TRUE,"Summary";"Track renewals",#N/A,TRUE,"Summary";"SRP",#N/A,TRUE,"Summary";"Structures renewals",#N/A,TRUE,"Summary";"Scheme completion",#N/A,TRUE,"Summary"}</definedName>
    <definedName name="wrn.Spend._.by._.driver." hidden="1">{"ECML Programme",#N/A,TRUE,"Summary";"Leeds 1st Programme",#N/A,TRUE,"Summary";"Sunderland Direct",#N/A,TRUE,"Summary";"Customer driven",#N/A,TRUE,"Summary";"Safety",#N/A,TRUE,"Summary";"Legal requirement",#N/A,TRUE,"Summary";"Performance",#N/A,TRUE,"Summary";"Renewal of failed asset",#N/A,TRUE,"Summary";"Signalling renewals",#N/A,TRUE,"Summary";"Track renewals",#N/A,TRUE,"Summary";"SRP",#N/A,TRUE,"Summary";"Structures renewals",#N/A,TRUE,"Summary";"Scheme completion",#N/A,TRUE,"Summary"}</definedName>
    <definedName name="wrn.Spend._.by._.Funding._.Catagory." localSheetId="6" hidden="1">{"AMP Property",#N/A,FALSE,"Summary";"AMP Track",#N/A,FALSE,"Summary";"Backlog 1 and 2",#N/A,FALSE,"Summary";"Backlog 3",#N/A,FALSE,"Summary";"AMP Structures",#N/A,FALSE,"Summary";"Stready State",#N/A,FALSE,"Summary";"Improvement",#N/A,FALSE,"Summary";"Enhancement",#N/A,FALSE,"Summary"}</definedName>
    <definedName name="wrn.Spend._.by._.Funding._.Catagory." hidden="1">{"AMP Property",#N/A,FALSE,"Summary";"AMP Track",#N/A,FALSE,"Summary";"Backlog 1 and 2",#N/A,FALSE,"Summary";"Backlog 3",#N/A,FALSE,"Summary";"AMP Structures",#N/A,FALSE,"Summary";"Stready State",#N/A,FALSE,"Summary";"Improvement",#N/A,FALSE,"Summary";"Enhancement",#N/A,FALSE,"Summary"}</definedName>
    <definedName name="wrn.spinto." localSheetId="0" hidden="1">{#N/A,#N/A,FALSE,"Trading-Mult ";#N/A,#N/A,FALSE,"M&amp;A info"}</definedName>
    <definedName name="wrn.spinto." localSheetId="6" hidden="1">{#N/A,#N/A,FALSE,"Trading-Mult ";#N/A,#N/A,FALSE,"M&amp;A info"}</definedName>
    <definedName name="wrn.spinto." hidden="1">{#N/A,#N/A,FALSE,"Trading-Mult ";#N/A,#N/A,FALSE,"M&amp;A info"}</definedName>
    <definedName name="wrn.Spool._.And._.Spool._.Only." localSheetId="6" hidden="1">{#N/A,#N/A,FALSE,"Spo Ole";#N/A,#N/A,FALSE,"Spool"}</definedName>
    <definedName name="wrn.Spool._.And._.Spool._.Only." hidden="1">{#N/A,#N/A,FALSE,"Spo Ole";#N/A,#N/A,FALSE,"Spool"}</definedName>
    <definedName name="wrn.SPRING._.RAM." localSheetId="6" hidden="1">{"FRONT (SPRING RAM) (29)",#N/A,TRUE,"SPRING RAM";"P_AND_L (SPRING RAM) (29)",#N/A,TRUE,"SPRING RAM";"CASH_AND_VAL (SPRING RAM) (29)",#N/A,TRUE,"SPRING RAM"}</definedName>
    <definedName name="wrn.SPRING._.RAM." hidden="1">{"FRONT (SPRING RAM) (29)",#N/A,TRUE,"SPRING RAM";"P_AND_L (SPRING RAM) (29)",#N/A,TRUE,"SPRING RAM";"CASH_AND_VAL (SPRING RAM) (29)",#N/A,TRUE,"SPRING RAM"}</definedName>
    <definedName name="wrn.sprint." localSheetId="0" hidden="1">{#N/A,#N/A,FALSE,"Trading-Mult ";#N/A,#N/A,FALSE,"M&amp;A info"}</definedName>
    <definedName name="wrn.sprint." localSheetId="6" hidden="1">{#N/A,#N/A,FALSE,"Trading-Mult ";#N/A,#N/A,FALSE,"M&amp;A info"}</definedName>
    <definedName name="wrn.sprint." hidden="1">{#N/A,#N/A,FALSE,"Trading-Mult ";#N/A,#N/A,FALSE,"M&amp;A info"}</definedName>
    <definedName name="wrn.sspall." localSheetId="0" hidden="1">{"sspcash",#N/A,FALSE,"EWSINCX";"sspinc",#N/A,FALSE,"EWSINCX";"ssptax",#N/A,FALSE,"EWSINCX";"ssppub",#N/A,FALSE,"EWSINCX";"sspperchgetc",#N/A,FALSE,"EWSINCX";"sspevan",#N/A,FALSE,"EWSINCX";"sspbroad",#N/A,FALSE,"EWSINCX";"sspbroadcont",#N/A,FALSE,"EWSINCX";"sspcable",#N/A,FALSE,"EWSINCX";"sspent",#N/A,FALSE,"EWSINCX"}</definedName>
    <definedName name="wrn.sspall." localSheetId="6" hidden="1">{"sspcash",#N/A,FALSE,"EWSINCX";"sspinc",#N/A,FALSE,"EWSINCX";"ssptax",#N/A,FALSE,"EWSINCX";"ssppub",#N/A,FALSE,"EWSINCX";"sspperchgetc",#N/A,FALSE,"EWSINCX";"sspevan",#N/A,FALSE,"EWSINCX";"sspbroad",#N/A,FALSE,"EWSINCX";"sspbroadcont",#N/A,FALSE,"EWSINCX";"sspcable",#N/A,FALSE,"EWSINCX";"sspent",#N/A,FALSE,"EWSINCX"}</definedName>
    <definedName name="wrn.sspall." hidden="1">{"sspcash",#N/A,FALSE,"EWSINCX";"sspinc",#N/A,FALSE,"EWSINCX";"ssptax",#N/A,FALSE,"EWSINCX";"ssppub",#N/A,FALSE,"EWSINCX";"sspperchgetc",#N/A,FALSE,"EWSINCX";"sspevan",#N/A,FALSE,"EWSINCX";"sspbroad",#N/A,FALSE,"EWSINCX";"sspbroadcont",#N/A,FALSE,"EWSINCX";"sspcable",#N/A,FALSE,"EWSINCX";"sspent",#N/A,FALSE,"EWSINCX"}</definedName>
    <definedName name="wrn.St.._.Croix." localSheetId="0" hidden="1">{#N/A,#N/A,FALSE,"Crude,St. Croix";#N/A,#N/A,FALSE,"SC-CIF";#N/A,#N/A,FALSE,"SC-Vol";#N/A,#N/A,FALSE,"SC-Comp";#N/A,#N/A,FALSE,"SC-GM";#N/A,#N/A,FALSE,"SC-OpExp";#N/A,#N/A,FALSE,"SC-Adj";#N/A,#N/A,FALSE,"SC-Tax";#N/A,#N/A,FALSE,"SC-DCF"}</definedName>
    <definedName name="wrn.St.._.Croix." localSheetId="6" hidden="1">{#N/A,#N/A,FALSE,"Crude,St. Croix";#N/A,#N/A,FALSE,"SC-CIF";#N/A,#N/A,FALSE,"SC-Vol";#N/A,#N/A,FALSE,"SC-Comp";#N/A,#N/A,FALSE,"SC-GM";#N/A,#N/A,FALSE,"SC-OpExp";#N/A,#N/A,FALSE,"SC-Adj";#N/A,#N/A,FALSE,"SC-Tax";#N/A,#N/A,FALSE,"SC-DCF"}</definedName>
    <definedName name="wrn.St.._.Croix." hidden="1">{#N/A,#N/A,FALSE,"Crude,St. Croix";#N/A,#N/A,FALSE,"SC-CIF";#N/A,#N/A,FALSE,"SC-Vol";#N/A,#N/A,FALSE,"SC-Comp";#N/A,#N/A,FALSE,"SC-GM";#N/A,#N/A,FALSE,"SC-OpExp";#N/A,#N/A,FALSE,"SC-Adj";#N/A,#N/A,FALSE,"SC-Tax";#N/A,#N/A,FALSE,"SC-DCF"}</definedName>
    <definedName name="wrn.Staffing." localSheetId="0" hidden="1">{#N/A,#N/A,FALSE,"Assessment";#N/A,#N/A,FALSE,"Staffing";#N/A,#N/A,FALSE,"Hires";#N/A,#N/A,FALSE,"Assumptions"}</definedName>
    <definedName name="wrn.Staffing." localSheetId="6" hidden="1">{#N/A,#N/A,FALSE,"Assessment";#N/A,#N/A,FALSE,"Staffing";#N/A,#N/A,FALSE,"Hires";#N/A,#N/A,FALSE,"Assumptions"}</definedName>
    <definedName name="wrn.Staffing." hidden="1">{#N/A,#N/A,FALSE,"Assessment";#N/A,#N/A,FALSE,"Staffing";#N/A,#N/A,FALSE,"Hires";#N/A,#N/A,FALSE,"Assumptions"}</definedName>
    <definedName name="wrn.Staffing._1" localSheetId="0" hidden="1">{#N/A,#N/A,FALSE,"Assessment";#N/A,#N/A,FALSE,"Staffing";#N/A,#N/A,FALSE,"Hires";#N/A,#N/A,FALSE,"Assumptions"}</definedName>
    <definedName name="wrn.Staffing._1" localSheetId="6" hidden="1">{#N/A,#N/A,FALSE,"Assessment";#N/A,#N/A,FALSE,"Staffing";#N/A,#N/A,FALSE,"Hires";#N/A,#N/A,FALSE,"Assumptions"}</definedName>
    <definedName name="wrn.Staffing._1" hidden="1">{#N/A,#N/A,FALSE,"Assessment";#N/A,#N/A,FALSE,"Staffing";#N/A,#N/A,FALSE,"Hires";#N/A,#N/A,FALSE,"Assumptions"}</definedName>
    <definedName name="wrn.Staffing1" localSheetId="0" hidden="1">{#N/A,#N/A,FALSE,"Assessment";#N/A,#N/A,FALSE,"Staffing";#N/A,#N/A,FALSE,"Hires";#N/A,#N/A,FALSE,"Assumptions"}</definedName>
    <definedName name="wrn.Staffing1" localSheetId="6" hidden="1">{#N/A,#N/A,FALSE,"Assessment";#N/A,#N/A,FALSE,"Staffing";#N/A,#N/A,FALSE,"Hires";#N/A,#N/A,FALSE,"Assumptions"}</definedName>
    <definedName name="wrn.Staffing1" hidden="1">{#N/A,#N/A,FALSE,"Assessment";#N/A,#N/A,FALSE,"Staffing";#N/A,#N/A,FALSE,"Hires";#N/A,#N/A,FALSE,"Assumptions"}</definedName>
    <definedName name="wrn.Staffing1_1" localSheetId="0" hidden="1">{#N/A,#N/A,FALSE,"Assessment";#N/A,#N/A,FALSE,"Staffing";#N/A,#N/A,FALSE,"Hires";#N/A,#N/A,FALSE,"Assumptions"}</definedName>
    <definedName name="wrn.Staffing1_1" localSheetId="6" hidden="1">{#N/A,#N/A,FALSE,"Assessment";#N/A,#N/A,FALSE,"Staffing";#N/A,#N/A,FALSE,"Hires";#N/A,#N/A,FALSE,"Assumptions"}</definedName>
    <definedName name="wrn.Staffing1_1" hidden="1">{#N/A,#N/A,FALSE,"Assessment";#N/A,#N/A,FALSE,"Staffing";#N/A,#N/A,FALSE,"Hires";#N/A,#N/A,FALSE,"Assumptions"}</definedName>
    <definedName name="wrn.stand_alone." localSheetId="0" hidden="1">{#N/A,#N/A,FALSE,"CBE";#N/A,#N/A,FALSE,"SWK"}</definedName>
    <definedName name="wrn.stand_alone." localSheetId="6" hidden="1">{#N/A,#N/A,FALSE,"CBE";#N/A,#N/A,FALSE,"SWK"}</definedName>
    <definedName name="wrn.stand_alone." hidden="1">{#N/A,#N/A,FALSE,"CBE";#N/A,#N/A,FALSE,"SWK"}</definedName>
    <definedName name="wrn.STAND_ALONE_BOTH." localSheetId="0" hidden="1">{"FCB_ALL",#N/A,FALSE,"FCB";"GREY_ALL",#N/A,FALSE,"GREY"}</definedName>
    <definedName name="wrn.STAND_ALONE_BOTH." localSheetId="6" hidden="1">{"FCB_ALL",#N/A,FALSE,"FCB";"GREY_ALL",#N/A,FALSE,"GREY"}</definedName>
    <definedName name="wrn.STAND_ALONE_BOTH." hidden="1">{"FCB_ALL",#N/A,FALSE,"FCB";"GREY_ALL",#N/A,FALSE,"GREY"}</definedName>
    <definedName name="wrn.Standard." localSheetId="0" hidden="1">{#N/A,#N/A,FALSE,"Service + Produktion kum";#N/A,#N/A,FALSE,"Produktion kum";#N/A,#N/A,FALSE,"Service kum";#N/A,#N/A,FALSE,"Service Monat";#N/A,#N/A,FALSE,"CARAT"}</definedName>
    <definedName name="wrn.Standard." localSheetId="6" hidden="1">{#N/A,#N/A,FALSE,"Service + Produktion kum";#N/A,#N/A,FALSE,"Produktion kum";#N/A,#N/A,FALSE,"Service kum";#N/A,#N/A,FALSE,"Service Monat";#N/A,#N/A,FALSE,"CARAT"}</definedName>
    <definedName name="wrn.Standard." hidden="1">{#N/A,#N/A,FALSE,"Service + Produktion kum";#N/A,#N/A,FALSE,"Produktion kum";#N/A,#N/A,FALSE,"Service kum";#N/A,#N/A,FALSE,"Service Monat";#N/A,#N/A,FALSE,"CARAT"}</definedName>
    <definedName name="wrn.Stef." localSheetId="6" hidden="1">{#N/A,#N/A,FALSE,"UK CONSOL GB£";#N/A,#N/A,FALSE,"UK Consol Short";#N/A,#N/A,FALSE,"Summary UK";#N/A,#N/A,FALSE,"Summary UK - Short"}</definedName>
    <definedName name="wrn.Stef." hidden="1">{#N/A,#N/A,FALSE,"UK CONSOL GB£";#N/A,#N/A,FALSE,"UK Consol Short";#N/A,#N/A,FALSE,"Summary UK";#N/A,#N/A,FALSE,"Summary UK - Short"}</definedName>
    <definedName name="wrn.stef._.budget." localSheetId="6" hidden="1">{#N/A,#N/A,FALSE,"CONC TOT";#N/A,#N/A,FALSE,"ALLDERS";#N/A,#N/A,FALSE,"BEATTIES";#N/A,#N/A,FALSE,"BENTALLS";#N/A,#N/A,FALSE,"BT";#N/A,#N/A,FALSE,"DEBENHAMS";#N/A,#N/A,FALSE,"DE GRUCHY";#N/A,#N/A,FALSE,"DENNERS";#N/A,#N/A,FALSE,"FENWICK";#N/A,#N/A,FALSE,"HoF";#N/A,#N/A,FALSE,"JARROLD";#N/A,#N/A,FALSE,"McEWANS";#N/A,#N/A,FALSE,"SELFRIDGES";#N/A,#N/A,FALSE,"BURTONS";#N/A,#N/A,FALSE,"NEW HOF";#N/A,#N/A,FALSE,"NEW DEB";#N/A,#N/A,FALSE,"DIVISIONAL"}</definedName>
    <definedName name="wrn.stef._.budget." hidden="1">{#N/A,#N/A,FALSE,"CONC TOT";#N/A,#N/A,FALSE,"ALLDERS";#N/A,#N/A,FALSE,"BEATTIES";#N/A,#N/A,FALSE,"BENTALLS";#N/A,#N/A,FALSE,"BT";#N/A,#N/A,FALSE,"DEBENHAMS";#N/A,#N/A,FALSE,"DE GRUCHY";#N/A,#N/A,FALSE,"DENNERS";#N/A,#N/A,FALSE,"FENWICK";#N/A,#N/A,FALSE,"HoF";#N/A,#N/A,FALSE,"JARROLD";#N/A,#N/A,FALSE,"McEWANS";#N/A,#N/A,FALSE,"SELFRIDGES";#N/A,#N/A,FALSE,"BURTONS";#N/A,#N/A,FALSE,"NEW HOF";#N/A,#N/A,FALSE,"NEW DEB";#N/A,#N/A,FALSE,"DIVISIONAL"}</definedName>
    <definedName name="wrn.Stef._.Budgets." localSheetId="6" hidden="1">{#N/A,#N/A,FALSE,"TOTAL";#N/A,#N/A,FALSE,"PAT RETAIL";#N/A,#N/A,FALSE,"PAT OUTLETS";#N/A,#N/A,FALSE,"2100 DIV";#N/A,#N/A,FALSE,"2101 SLOANE ST";#N/A,#N/A,FALSE,"2104 19 SMS";#N/A,#N/A,FALSE,"2105 PRINCES SQ";#N/A,#N/A,FALSE,"2106 33G KINGS ";#N/A,#N/A,FALSE,"2107 JAMES ST";#N/A,#N/A,FALSE,"2108 HAMPSTEAD";#N/A,#N/A,FALSE,"2109 HIGH ST K";#N/A,#N/A,FALSE,"2116 NEAL ST";#N/A,#N/A,FALSE,"2117 BRIGHTON";#N/A,#N/A,FALSE,"2122 BRENT X";#N/A,#N/A,FALSE,"2123 LEEDS";#N/A,#N/A,FALSE,"2124 WINDSOR";#N/A,#N/A,FALSE,"2125 BLUEWATER";#N/A,#N/A,FALSE,"2126 RICHMOND";#N/A,#N/A,FALSE,"2128 BIRMINGHAM";#N/A,#N/A,FALSE,"2141 NOTTINGHAM";#N/A,#N/A,FALSE,"2132 HOF GLASGO";#N/A,#N/A,FALSE,"2133 HOF M'TER";#N/A,#N/A,FALSE,"2134 SELFRIDGES";#N/A,#N/A,FALSE,"2135 HOF B'HAM";#N/A,#N/A,FALSE,"2136 HOF M CLTH";#N/A,#N/A,FALSE,"2137 D J CLTH";#N/A,#N/A,FALSE,"2138 HOF G CLTH";#N/A,#N/A,FALSE,"2139 HNICHOLS";#N/A,#N/A,FALSE,"2250 D&amp;J";#N/A,#N/A,FALSE,"2119 SWINDON";#N/A,#N/A,FALSE,"2127 CHESHIRE O";#N/A,#N/A,FALSE,"2140 YORK O"}</definedName>
    <definedName name="wrn.Stef._.Budgets." hidden="1">{#N/A,#N/A,FALSE,"TOTAL";#N/A,#N/A,FALSE,"PAT RETAIL";#N/A,#N/A,FALSE,"PAT OUTLETS";#N/A,#N/A,FALSE,"2100 DIV";#N/A,#N/A,FALSE,"2101 SLOANE ST";#N/A,#N/A,FALSE,"2104 19 SMS";#N/A,#N/A,FALSE,"2105 PRINCES SQ";#N/A,#N/A,FALSE,"2106 33G KINGS ";#N/A,#N/A,FALSE,"2107 JAMES ST";#N/A,#N/A,FALSE,"2108 HAMPSTEAD";#N/A,#N/A,FALSE,"2109 HIGH ST K";#N/A,#N/A,FALSE,"2116 NEAL ST";#N/A,#N/A,FALSE,"2117 BRIGHTON";#N/A,#N/A,FALSE,"2122 BRENT X";#N/A,#N/A,FALSE,"2123 LEEDS";#N/A,#N/A,FALSE,"2124 WINDSOR";#N/A,#N/A,FALSE,"2125 BLUEWATER";#N/A,#N/A,FALSE,"2126 RICHMOND";#N/A,#N/A,FALSE,"2128 BIRMINGHAM";#N/A,#N/A,FALSE,"2141 NOTTINGHAM";#N/A,#N/A,FALSE,"2132 HOF GLASGO";#N/A,#N/A,FALSE,"2133 HOF M'TER";#N/A,#N/A,FALSE,"2134 SELFRIDGES";#N/A,#N/A,FALSE,"2135 HOF B'HAM";#N/A,#N/A,FALSE,"2136 HOF M CLTH";#N/A,#N/A,FALSE,"2137 D J CLTH";#N/A,#N/A,FALSE,"2138 HOF G CLTH";#N/A,#N/A,FALSE,"2139 HNICHOLS";#N/A,#N/A,FALSE,"2250 D&amp;J";#N/A,#N/A,FALSE,"2119 SWINDON";#N/A,#N/A,FALSE,"2127 CHESHIRE O";#N/A,#N/A,FALSE,"2140 YORK O"}</definedName>
    <definedName name="wrn.Stef._.Short._.Report." localSheetId="6" hidden="1">{#N/A,#N/A,FALSE,"UK Consol Short";#N/A,#N/A,FALSE,"UK CONSOL GB£";#N/A,#N/A,FALSE,"Summary UK - Short";#N/A,#N/A,FALSE,"Summary UK"}</definedName>
    <definedName name="wrn.Stef._.Short._.Report." hidden="1">{#N/A,#N/A,FALSE,"UK Consol Short";#N/A,#N/A,FALSE,"UK CONSOL GB£";#N/A,#N/A,FALSE,"Summary UK - Short";#N/A,#N/A,FALSE,"Summary UK"}</definedName>
    <definedName name="wrn.STG._.BLDG._.ENCLOSURE." localSheetId="6" hidden="1">{"turbine",#N/A,FALSE,"Option"}</definedName>
    <definedName name="wrn.STG._.BLDG._.ENCLOSURE." hidden="1">{"turbine",#N/A,FALSE,"Option"}</definedName>
    <definedName name="wrn.STG._.BLDG._.ENCLOSURE._1" localSheetId="6" hidden="1">{"turbine",#N/A,FALSE,"Option"}</definedName>
    <definedName name="wrn.STG._.BLDG._.ENCLOSURE._1" hidden="1">{"turbine",#N/A,FALSE,"Option"}</definedName>
    <definedName name="wrn.struckgi." localSheetId="6" hidden="1">{#N/A,#N/A,TRUE,"arnitower";#N/A,#N/A,TRUE,"arnigarage "}</definedName>
    <definedName name="wrn.struckgi." hidden="1">{#N/A,#N/A,TRUE,"arnitower";#N/A,#N/A,TRUE,"arnigarage "}</definedName>
    <definedName name="wrn.struckgi._1" localSheetId="6" hidden="1">{#N/A,#N/A,TRUE,"arnitower";#N/A,#N/A,TRUE,"arnigarage "}</definedName>
    <definedName name="wrn.struckgi._1" hidden="1">{#N/A,#N/A,TRUE,"arnitower";#N/A,#N/A,TRUE,"arnigarage "}</definedName>
    <definedName name="wrn.SUBREGION." localSheetId="0" hidden="1">{"SUBREGION",#N/A,FALSE,"CNTRYTYPE"}</definedName>
    <definedName name="wrn.SUBREGION." localSheetId="6" hidden="1">{"SUBREGION",#N/A,FALSE,"CNTRYTYPE"}</definedName>
    <definedName name="wrn.SUBREGION." hidden="1">{"SUBREGION",#N/A,FALSE,"CNTRYTYPE"}</definedName>
    <definedName name="wrn.sultan." localSheetId="6" hidden="1">{#N/A,#N/A,TRUE,"Acq-Ass";#N/A,#N/A,TRUE,"Acq-IS";#N/A,#N/A,TRUE,"Acq-BS";#N/A,#N/A,TRUE,"Acq-CF";#N/A,#N/A,TRUE,"Acq-Proj";#N/A,#N/A,TRUE,"Acq-CapEx";#N/A,#N/A,TRUE,"Acq-Debt";#N/A,#N/A,TRUE,"Acq-Int";#N/A,#N/A,TRUE,"Acq-BD";#N/A,#N/A,TRUE,"Acq-TD";#N/A,#N/A,TRUE,"Acq-Taxes";#N/A,#N/A,TRUE,"Acq-Credit";#N/A,#N/A,TRUE,"Acq-Val";#N/A,#N/A,TRUE,"Acq-Mult Val"}</definedName>
    <definedName name="wrn.sultan." hidden="1">{#N/A,#N/A,TRUE,"Acq-Ass";#N/A,#N/A,TRUE,"Acq-IS";#N/A,#N/A,TRUE,"Acq-BS";#N/A,#N/A,TRUE,"Acq-CF";#N/A,#N/A,TRUE,"Acq-Proj";#N/A,#N/A,TRUE,"Acq-CapEx";#N/A,#N/A,TRUE,"Acq-Debt";#N/A,#N/A,TRUE,"Acq-Int";#N/A,#N/A,TRUE,"Acq-BD";#N/A,#N/A,TRUE,"Acq-TD";#N/A,#N/A,TRUE,"Acq-Taxes";#N/A,#N/A,TRUE,"Acq-Credit";#N/A,#N/A,TRUE,"Acq-Val";#N/A,#N/A,TRUE,"Acq-Mult Val"}</definedName>
    <definedName name="wrn.Sum._.Uk._.and._.Divs." localSheetId="6" hidden="1">{#N/A,#N/A,FALSE,"Summary UK";#N/A,#N/A,FALSE,"SSG Div";#N/A,#N/A,FALSE,"Nine West Div";#N/A,#N/A,FALSE,"PaT Div"}</definedName>
    <definedName name="wrn.Sum._.Uk._.and._.Divs." hidden="1">{#N/A,#N/A,FALSE,"Summary UK";#N/A,#N/A,FALSE,"SSG Div";#N/A,#N/A,FALSE,"Nine West Div";#N/A,#N/A,FALSE,"PaT Div"}</definedName>
    <definedName name="wrn.SumInfo." localSheetId="6" hidden="1">{#N/A,#N/A,FALSE,"Sum";#N/A,#N/A,FALSE,"Assump";#N/A,#N/A,FALSE,"Main CF"}</definedName>
    <definedName name="wrn.SumInfo." hidden="1">{#N/A,#N/A,FALSE,"Sum";#N/A,#N/A,FALSE,"Assump";#N/A,#N/A,FALSE,"Main CF"}</definedName>
    <definedName name="wrn.Summ_Assum_Graphs." localSheetId="0" hidden="1">{#N/A,#N/A,TRUE,"Initial";#N/A,#N/A,TRUE,"Graphs"}</definedName>
    <definedName name="wrn.Summ_Assum_Graphs." localSheetId="6" hidden="1">{#N/A,#N/A,TRUE,"Initial";#N/A,#N/A,TRUE,"Graphs"}</definedName>
    <definedName name="wrn.Summ_Assum_Graphs." hidden="1">{#N/A,#N/A,TRUE,"Initial";#N/A,#N/A,TRUE,"Graphs"}</definedName>
    <definedName name="wrn.summ4." localSheetId="6" hidden="1">{#N/A,#N/A,FALSE,"summ";#N/A,#N/A,FALSE,"q1";#N/A,#N/A,FALSE,"summ_alt";#N/A,#N/A,FALSE,"stock_nozero";#N/A,#N/A,FALSE,"1995"}</definedName>
    <definedName name="wrn.summ4." hidden="1">{#N/A,#N/A,FALSE,"summ";#N/A,#N/A,FALSE,"q1";#N/A,#N/A,FALSE,"summ_alt";#N/A,#N/A,FALSE,"stock_nozero";#N/A,#N/A,FALSE,"1995"}</definedName>
    <definedName name="wrn.summaries." localSheetId="0"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ies." localSheetId="6"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ies." hidden="1">{#N/A,#N/A,FALSE,"YTD SALES";#N/A,#N/A,FALSE,"MONTH SALES";#N/A,#N/A,FALSE,"YTD PROFIT";#N/A,#N/A,FALSE,"MONTH PROFIT";#N/A,#N/A,FALSE,"MONTH PROFIT %";#N/A,#N/A,FALSE,"YTD AWARDS";#N/A,#N/A,FALSE,"MONTH AWARDS";#N/A,#N/A,FALSE,"FUNDED BACKLOG";#N/A,#N/A,FALSE,"CONTRACT BACKLOG";#N/A,#N/A,FALSE,"CONTRACT AWARDS";#N/A,#N/A,FALSE,"CONTRACT VALUES";#N/A,#N/A,FALSE,"YTD WIP";#N/A,#N/A,FALSE,"MONTH WIP";#N/A,#N/A,FALSE,"GROSS INVENTORY";#N/A,#N/A,FALSE,"PP";#N/A,#N/A,FALSE,"NET INVENTORY";#N/A,#N/A,FALSE,"RECEIVABLES"}</definedName>
    <definedName name="wrn.Summary." localSheetId="0" hidden="1">{"Growth Supply Demand",#N/A,TRUE,"Summary";"Primary Energy Balance",#N/A,TRUE,"Summary"}</definedName>
    <definedName name="wrn.Summary." localSheetId="6" hidden="1">{"Growth Supply Demand",#N/A,TRUE,"Summary";"Primary Energy Balance",#N/A,TRUE,"Summary"}</definedName>
    <definedName name="wrn.Summary." hidden="1">{"Growth Supply Demand",#N/A,TRUE,"Summary";"Primary Energy Balance",#N/A,TRUE,"Summary"}</definedName>
    <definedName name="wrn.Summary._.Output." localSheetId="6" hidden="1">{#N/A,#N/A,FALSE,"Title";#N/A,#N/A,FALSE,"Inputs";#N/A,#N/A,FALSE,"Impact"}</definedName>
    <definedName name="wrn.Summary._.Output." hidden="1">{#N/A,#N/A,FALSE,"Title";#N/A,#N/A,FALSE,"Inputs";#N/A,#N/A,FALSE,"Impact"}</definedName>
    <definedName name="wrn.Summary._.Projections." localSheetId="6" hidden="1">{#N/A,#N/A,FALSE,"Summary - Forte";#N/A,#N/A,FALSE,"Summary - ITT"}</definedName>
    <definedName name="wrn.Summary._.Projections." hidden="1">{#N/A,#N/A,FALSE,"Summary - Forte";#N/A,#N/A,FALSE,"Summary - ITT"}</definedName>
    <definedName name="wrn.summary._.schedules." localSheetId="0" hidden="1">{"summary1",#N/A,FALSE,"Summary of Values";"summary2",#N/A,FALSE,"Summary of Values"}</definedName>
    <definedName name="wrn.summary._.schedules." localSheetId="6" hidden="1">{"summary1",#N/A,FALSE,"Summary of Values";"summary2",#N/A,FALSE,"Summary of Values"}</definedName>
    <definedName name="wrn.summary._.schedules." hidden="1">{"summary1",#N/A,FALSE,"Summary of Values";"summary2",#N/A,FALSE,"Summary of Values"}</definedName>
    <definedName name="wrn.Summary._.with._.short._.outputs." localSheetId="0"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localSheetId="6"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localSheetId="6" hidden="1">{"Summary",#N/A,FALSE,"ROCE Projection"}</definedName>
    <definedName name="wrn.Summary._1" hidden="1">{"Summary",#N/A,FALSE,"ROCE Projection"}</definedName>
    <definedName name="wrn.Summary._1_1" localSheetId="6" hidden="1">{"Summary",#N/A,FALSE,"ROCE Projection"}</definedName>
    <definedName name="wrn.Summary._1_1" hidden="1">{"Summary",#N/A,FALSE,"ROCE Projection"}</definedName>
    <definedName name="wrn.Summary._2" localSheetId="6" hidden="1">{"Summary",#N/A,FALSE,"ROCE Projection"}</definedName>
    <definedName name="wrn.Summary._2" hidden="1">{"Summary",#N/A,FALSE,"ROCE Projection"}</definedName>
    <definedName name="wrn.Summary._2_1" localSheetId="6" hidden="1">{"Summary",#N/A,FALSE,"ROCE Projection"}</definedName>
    <definedName name="wrn.Summary._2_1" hidden="1">{"Summary",#N/A,FALSE,"ROCE Projection"}</definedName>
    <definedName name="wrn.Summary._2_1_1" localSheetId="6" hidden="1">{"Summary",#N/A,FALSE,"ROCE Projection"}</definedName>
    <definedName name="wrn.Summary._2_1_1" hidden="1">{"Summary",#N/A,FALSE,"ROCE Projection"}</definedName>
    <definedName name="wrn.Summary._2_1_1_1" localSheetId="6" hidden="1">{"Summary",#N/A,FALSE,"ROCE Projection"}</definedName>
    <definedName name="wrn.Summary._2_1_1_1" hidden="1">{"Summary",#N/A,FALSE,"ROCE Projection"}</definedName>
    <definedName name="wrn.Summary._2_1_2" localSheetId="6" hidden="1">{"Summary",#N/A,FALSE,"ROCE Projection"}</definedName>
    <definedName name="wrn.Summary._2_1_2" hidden="1">{"Summary",#N/A,FALSE,"ROCE Projection"}</definedName>
    <definedName name="wrn.Summary._2_1_2_1" localSheetId="6" hidden="1">{"Summary",#N/A,FALSE,"ROCE Projection"}</definedName>
    <definedName name="wrn.Summary._2_1_2_1" hidden="1">{"Summary",#N/A,FALSE,"ROCE Projection"}</definedName>
    <definedName name="wrn.Summary._2_1_3" localSheetId="6" hidden="1">{"Summary",#N/A,FALSE,"ROCE Projection"}</definedName>
    <definedName name="wrn.Summary._2_1_3" hidden="1">{"Summary",#N/A,FALSE,"ROCE Projection"}</definedName>
    <definedName name="wrn.Summary._2_2" localSheetId="6" hidden="1">{"Summary",#N/A,FALSE,"ROCE Projection"}</definedName>
    <definedName name="wrn.Summary._2_2" hidden="1">{"Summary",#N/A,FALSE,"ROCE Projection"}</definedName>
    <definedName name="wrn.Summary._2_2_1" localSheetId="6" hidden="1">{"Summary",#N/A,FALSE,"ROCE Projection"}</definedName>
    <definedName name="wrn.Summary._2_2_1" hidden="1">{"Summary",#N/A,FALSE,"ROCE Projection"}</definedName>
    <definedName name="wrn.Summary._2_2_1_1" localSheetId="6" hidden="1">{"Summary",#N/A,FALSE,"ROCE Projection"}</definedName>
    <definedName name="wrn.Summary._2_2_1_1" hidden="1">{"Summary",#N/A,FALSE,"ROCE Projection"}</definedName>
    <definedName name="wrn.Summary._2_2_2" localSheetId="6" hidden="1">{"Summary",#N/A,FALSE,"ROCE Projection"}</definedName>
    <definedName name="wrn.Summary._2_2_2" hidden="1">{"Summary",#N/A,FALSE,"ROCE Projection"}</definedName>
    <definedName name="wrn.Summary._2_3" localSheetId="6" hidden="1">{"Summary",#N/A,FALSE,"ROCE Projection"}</definedName>
    <definedName name="wrn.Summary._2_3" hidden="1">{"Summary",#N/A,FALSE,"ROCE Projection"}</definedName>
    <definedName name="wrn.Summary._2_3_1" localSheetId="6" hidden="1">{"Summary",#N/A,FALSE,"ROCE Projection"}</definedName>
    <definedName name="wrn.Summary._2_3_1" hidden="1">{"Summary",#N/A,FALSE,"ROCE Projection"}</definedName>
    <definedName name="wrn.Summary._2_4" localSheetId="6" hidden="1">{"Summary",#N/A,FALSE,"ROCE Projection"}</definedName>
    <definedName name="wrn.Summary._2_4" hidden="1">{"Summary",#N/A,FALSE,"ROCE Projection"}</definedName>
    <definedName name="wrn.Summary._3" localSheetId="6" hidden="1">{"Summary",#N/A,FALSE,"ROCE Projection"}</definedName>
    <definedName name="wrn.Summary._3" hidden="1">{"Summary",#N/A,FALSE,"ROCE Projection"}</definedName>
    <definedName name="wrn.Summary._3_1" localSheetId="6" hidden="1">{"Summary",#N/A,FALSE,"ROCE Projection"}</definedName>
    <definedName name="wrn.Summary._3_1" hidden="1">{"Summary",#N/A,FALSE,"ROCE Projection"}</definedName>
    <definedName name="wrn.Summary._3_1_1" localSheetId="6" hidden="1">{"Summary",#N/A,FALSE,"ROCE Projection"}</definedName>
    <definedName name="wrn.Summary._3_1_1" hidden="1">{"Summary",#N/A,FALSE,"ROCE Projection"}</definedName>
    <definedName name="wrn.Summary._3_1_1_1" localSheetId="6" hidden="1">{"Summary",#N/A,FALSE,"ROCE Projection"}</definedName>
    <definedName name="wrn.Summary._3_1_1_1" hidden="1">{"Summary",#N/A,FALSE,"ROCE Projection"}</definedName>
    <definedName name="wrn.Summary._3_1_2" localSheetId="6" hidden="1">{"Summary",#N/A,FALSE,"ROCE Projection"}</definedName>
    <definedName name="wrn.Summary._3_1_2" hidden="1">{"Summary",#N/A,FALSE,"ROCE Projection"}</definedName>
    <definedName name="wrn.Summary._3_1_2_1" localSheetId="6" hidden="1">{"Summary",#N/A,FALSE,"ROCE Projection"}</definedName>
    <definedName name="wrn.Summary._3_1_2_1" hidden="1">{"Summary",#N/A,FALSE,"ROCE Projection"}</definedName>
    <definedName name="wrn.Summary._3_1_3" localSheetId="6" hidden="1">{"Summary",#N/A,FALSE,"ROCE Projection"}</definedName>
    <definedName name="wrn.Summary._3_1_3" hidden="1">{"Summary",#N/A,FALSE,"ROCE Projection"}</definedName>
    <definedName name="wrn.Summary._3_2" localSheetId="6" hidden="1">{"Summary",#N/A,FALSE,"ROCE Projection"}</definedName>
    <definedName name="wrn.Summary._3_2" hidden="1">{"Summary",#N/A,FALSE,"ROCE Projection"}</definedName>
    <definedName name="wrn.Summary._3_2_1" localSheetId="6" hidden="1">{"Summary",#N/A,FALSE,"ROCE Projection"}</definedName>
    <definedName name="wrn.Summary._3_2_1" hidden="1">{"Summary",#N/A,FALSE,"ROCE Projection"}</definedName>
    <definedName name="wrn.Summary._3_2_1_1" localSheetId="6" hidden="1">{"Summary",#N/A,FALSE,"ROCE Projection"}</definedName>
    <definedName name="wrn.Summary._3_2_1_1" hidden="1">{"Summary",#N/A,FALSE,"ROCE Projection"}</definedName>
    <definedName name="wrn.Summary._3_2_2" localSheetId="6" hidden="1">{"Summary",#N/A,FALSE,"ROCE Projection"}</definedName>
    <definedName name="wrn.Summary._3_2_2" hidden="1">{"Summary",#N/A,FALSE,"ROCE Projection"}</definedName>
    <definedName name="wrn.Summary._3_3" localSheetId="6" hidden="1">{"Summary",#N/A,FALSE,"ROCE Projection"}</definedName>
    <definedName name="wrn.Summary._3_3" hidden="1">{"Summary",#N/A,FALSE,"ROCE Projection"}</definedName>
    <definedName name="wrn.Summary._3_3_1" localSheetId="6" hidden="1">{"Summary",#N/A,FALSE,"ROCE Projection"}</definedName>
    <definedName name="wrn.Summary._3_3_1" hidden="1">{"Summary",#N/A,FALSE,"ROCE Projection"}</definedName>
    <definedName name="wrn.Summary._3_4" localSheetId="6" hidden="1">{"Summary",#N/A,FALSE,"ROCE Projection"}</definedName>
    <definedName name="wrn.Summary._3_4" hidden="1">{"Summary",#N/A,FALSE,"ROCE Projection"}</definedName>
    <definedName name="wrn.Summary._4" localSheetId="6" hidden="1">{"Summary",#N/A,FALSE,"ROCE Projection"}</definedName>
    <definedName name="wrn.Summary._4" hidden="1">{"Summary",#N/A,FALSE,"ROCE Projection"}</definedName>
    <definedName name="wrn.Summary._4_1" localSheetId="6" hidden="1">{"Summary",#N/A,FALSE,"ROCE Projection"}</definedName>
    <definedName name="wrn.Summary._4_1" hidden="1">{"Summary",#N/A,FALSE,"ROCE Projection"}</definedName>
    <definedName name="wrn.Summary._4_1_1" localSheetId="6" hidden="1">{"Summary",#N/A,FALSE,"ROCE Projection"}</definedName>
    <definedName name="wrn.Summary._4_1_1" hidden="1">{"Summary",#N/A,FALSE,"ROCE Projection"}</definedName>
    <definedName name="wrn.Summary._4_1_1_1" localSheetId="6" hidden="1">{"Summary",#N/A,FALSE,"ROCE Projection"}</definedName>
    <definedName name="wrn.Summary._4_1_1_1" hidden="1">{"Summary",#N/A,FALSE,"ROCE Projection"}</definedName>
    <definedName name="wrn.Summary._4_1_2" localSheetId="6" hidden="1">{"Summary",#N/A,FALSE,"ROCE Projection"}</definedName>
    <definedName name="wrn.Summary._4_1_2" hidden="1">{"Summary",#N/A,FALSE,"ROCE Projection"}</definedName>
    <definedName name="wrn.Summary._4_1_2_1" localSheetId="6" hidden="1">{"Summary",#N/A,FALSE,"ROCE Projection"}</definedName>
    <definedName name="wrn.Summary._4_1_2_1" hidden="1">{"Summary",#N/A,FALSE,"ROCE Projection"}</definedName>
    <definedName name="wrn.Summary._4_1_3" localSheetId="6" hidden="1">{"Summary",#N/A,FALSE,"ROCE Projection"}</definedName>
    <definedName name="wrn.Summary._4_1_3" hidden="1">{"Summary",#N/A,FALSE,"ROCE Projection"}</definedName>
    <definedName name="wrn.Summary._4_2" localSheetId="6" hidden="1">{"Summary",#N/A,FALSE,"ROCE Projection"}</definedName>
    <definedName name="wrn.Summary._4_2" hidden="1">{"Summary",#N/A,FALSE,"ROCE Projection"}</definedName>
    <definedName name="wrn.Summary._4_2_1" localSheetId="6" hidden="1">{"Summary",#N/A,FALSE,"ROCE Projection"}</definedName>
    <definedName name="wrn.Summary._4_2_1" hidden="1">{"Summary",#N/A,FALSE,"ROCE Projection"}</definedName>
    <definedName name="wrn.Summary._4_2_1_1" localSheetId="6" hidden="1">{"Summary",#N/A,FALSE,"ROCE Projection"}</definedName>
    <definedName name="wrn.Summary._4_2_1_1" hidden="1">{"Summary",#N/A,FALSE,"ROCE Projection"}</definedName>
    <definedName name="wrn.Summary._4_2_2" localSheetId="6" hidden="1">{"Summary",#N/A,FALSE,"ROCE Projection"}</definedName>
    <definedName name="wrn.Summary._4_2_2" hidden="1">{"Summary",#N/A,FALSE,"ROCE Projection"}</definedName>
    <definedName name="wrn.Summary._4_3" localSheetId="6" hidden="1">{"Summary",#N/A,FALSE,"ROCE Projection"}</definedName>
    <definedName name="wrn.Summary._4_3" hidden="1">{"Summary",#N/A,FALSE,"ROCE Projection"}</definedName>
    <definedName name="wrn.Summary._4_3_1" localSheetId="6" hidden="1">{"Summary",#N/A,FALSE,"ROCE Projection"}</definedName>
    <definedName name="wrn.Summary._4_3_1" hidden="1">{"Summary",#N/A,FALSE,"ROCE Projection"}</definedName>
    <definedName name="wrn.Summary._4_4" localSheetId="6" hidden="1">{"Summary",#N/A,FALSE,"ROCE Projection"}</definedName>
    <definedName name="wrn.Summary._4_4" hidden="1">{"Summary",#N/A,FALSE,"ROCE Projection"}</definedName>
    <definedName name="wrn.Summary._5" localSheetId="6" hidden="1">{"Summary",#N/A,FALSE,"ROCE Projection"}</definedName>
    <definedName name="wrn.Summary._5" hidden="1">{"Summary",#N/A,FALSE,"ROCE Projection"}</definedName>
    <definedName name="wrn.Summary._5_1" localSheetId="6" hidden="1">{"Summary",#N/A,FALSE,"ROCE Projection"}</definedName>
    <definedName name="wrn.Summary._5_1" hidden="1">{"Summary",#N/A,FALSE,"ROCE Projection"}</definedName>
    <definedName name="wrn.Summary._5_1_1" localSheetId="6" hidden="1">{"Summary",#N/A,FALSE,"ROCE Projection"}</definedName>
    <definedName name="wrn.Summary._5_1_1" hidden="1">{"Summary",#N/A,FALSE,"ROCE Projection"}</definedName>
    <definedName name="wrn.Summary._5_1_1_1" localSheetId="6" hidden="1">{"Summary",#N/A,FALSE,"ROCE Projection"}</definedName>
    <definedName name="wrn.Summary._5_1_1_1" hidden="1">{"Summary",#N/A,FALSE,"ROCE Projection"}</definedName>
    <definedName name="wrn.Summary._5_1_2" localSheetId="6" hidden="1">{"Summary",#N/A,FALSE,"ROCE Projection"}</definedName>
    <definedName name="wrn.Summary._5_1_2" hidden="1">{"Summary",#N/A,FALSE,"ROCE Projection"}</definedName>
    <definedName name="wrn.Summary._5_1_2_1" localSheetId="6" hidden="1">{"Summary",#N/A,FALSE,"ROCE Projection"}</definedName>
    <definedName name="wrn.Summary._5_1_2_1" hidden="1">{"Summary",#N/A,FALSE,"ROCE Projection"}</definedName>
    <definedName name="wrn.Summary._5_1_3" localSheetId="6" hidden="1">{"Summary",#N/A,FALSE,"ROCE Projection"}</definedName>
    <definedName name="wrn.Summary._5_1_3" hidden="1">{"Summary",#N/A,FALSE,"ROCE Projection"}</definedName>
    <definedName name="wrn.Summary._5_2" localSheetId="6" hidden="1">{"Summary",#N/A,FALSE,"ROCE Projection"}</definedName>
    <definedName name="wrn.Summary._5_2" hidden="1">{"Summary",#N/A,FALSE,"ROCE Projection"}</definedName>
    <definedName name="wrn.Summary._5_2_1" localSheetId="6" hidden="1">{"Summary",#N/A,FALSE,"ROCE Projection"}</definedName>
    <definedName name="wrn.Summary._5_2_1" hidden="1">{"Summary",#N/A,FALSE,"ROCE Projection"}</definedName>
    <definedName name="wrn.Summary._5_2_1_1" localSheetId="6" hidden="1">{"Summary",#N/A,FALSE,"ROCE Projection"}</definedName>
    <definedName name="wrn.Summary._5_2_1_1" hidden="1">{"Summary",#N/A,FALSE,"ROCE Projection"}</definedName>
    <definedName name="wrn.Summary._5_2_2" localSheetId="6" hidden="1">{"Summary",#N/A,FALSE,"ROCE Projection"}</definedName>
    <definedName name="wrn.Summary._5_2_2" hidden="1">{"Summary",#N/A,FALSE,"ROCE Projection"}</definedName>
    <definedName name="wrn.Summary._5_3" localSheetId="6" hidden="1">{"Summary",#N/A,FALSE,"ROCE Projection"}</definedName>
    <definedName name="wrn.Summary._5_3" hidden="1">{"Summary",#N/A,FALSE,"ROCE Projection"}</definedName>
    <definedName name="wrn.Summary._5_3_1" localSheetId="6" hidden="1">{"Summary",#N/A,FALSE,"ROCE Projection"}</definedName>
    <definedName name="wrn.Summary._5_3_1" hidden="1">{"Summary",#N/A,FALSE,"ROCE Projection"}</definedName>
    <definedName name="wrn.Summary._5_4" localSheetId="6" hidden="1">{"Summary",#N/A,FALSE,"ROCE Projection"}</definedName>
    <definedName name="wrn.Summary._5_4" hidden="1">{"Summary",#N/A,FALSE,"ROCE Projection"}</definedName>
    <definedName name="wrn.SummaryPgs." localSheetId="0" hidden="1">{#N/A,#N/A,FALSE,"CreditStat";#N/A,#N/A,FALSE,"SPbrkup";#N/A,#N/A,FALSE,"MerSPsyn";#N/A,#N/A,FALSE,"MerSPwKCsyn";#N/A,#N/A,FALSE,"MerSPwKCsyn (2)";#N/A,#N/A,FALSE,"CreditStat (2)"}</definedName>
    <definedName name="wrn.SummaryPgs." localSheetId="6" hidden="1">{#N/A,#N/A,FALSE,"CreditStat";#N/A,#N/A,FALSE,"SPbrkup";#N/A,#N/A,FALSE,"MerSPsyn";#N/A,#N/A,FALSE,"MerSPwKCsyn";#N/A,#N/A,FALSE,"MerSPwKCsyn (2)";#N/A,#N/A,FALSE,"CreditStat (2)"}</definedName>
    <definedName name="wrn.SummaryPgs." hidden="1">{#N/A,#N/A,FALSE,"CreditStat";#N/A,#N/A,FALSE,"SPbrkup";#N/A,#N/A,FALSE,"MerSPsyn";#N/A,#N/A,FALSE,"MerSPwKCsyn";#N/A,#N/A,FALSE,"MerSPwKCsyn (2)";#N/A,#N/A,FALSE,"CreditStat (2)"}</definedName>
    <definedName name="wrn.SUNRISE." localSheetId="0" hidden="1">{#N/A,#N/A,TRUE,"income statement";#N/A,#N/A,TRUE,"balance sheet";#N/A,#N/A,TRUE,"cash flow";#N/A,#N/A,TRUE,"borrowing base";#N/A,#N/A,TRUE,"primary assumptions";#N/A,#N/A,TRUE,"finishing assumptions";#N/A,#N/A,TRUE,"sales summary";#N/A,#N/A,TRUE,"costs per ton";#N/A,#N/A,TRUE,"Coke";#N/A,#N/A,TRUE,"coke conversion";#N/A,#N/A,TRUE,"BF #1";#N/A,#N/A,TRUE,"bf1 conversion";#N/A,#N/A,TRUE,"BF #5";#N/A,#N/A,TRUE,"bf5 conversion";#N/A,#N/A,TRUE,"BOF";#N/A,#N/A,TRUE,"bof conversion";#N/A,#N/A,TRUE,"EAF";#N/A,#N/A,TRUE,"eaf conversion";#N/A,#N/A,TRUE,"Caster";#N/A,#N/A,TRUE,"caster conversion";#N/A,#N/A,TRUE,"HSM";#N/A,#N/A,TRUE,"hsm conversion";#N/A,#N/A,TRUE,"Stbnvl";#N/A,#N/A,TRUE,"Allenport";#N/A,#N/A,TRUE,"Yorkville";#N/A,#N/A,TRUE,"MF";#N/A,#N/A,TRUE,"WCC"}</definedName>
    <definedName name="wrn.SUNRISE." localSheetId="6" hidden="1">{#N/A,#N/A,TRUE,"income statement";#N/A,#N/A,TRUE,"balance sheet";#N/A,#N/A,TRUE,"cash flow";#N/A,#N/A,TRUE,"borrowing base";#N/A,#N/A,TRUE,"primary assumptions";#N/A,#N/A,TRUE,"finishing assumptions";#N/A,#N/A,TRUE,"sales summary";#N/A,#N/A,TRUE,"costs per ton";#N/A,#N/A,TRUE,"Coke";#N/A,#N/A,TRUE,"coke conversion";#N/A,#N/A,TRUE,"BF #1";#N/A,#N/A,TRUE,"bf1 conversion";#N/A,#N/A,TRUE,"BF #5";#N/A,#N/A,TRUE,"bf5 conversion";#N/A,#N/A,TRUE,"BOF";#N/A,#N/A,TRUE,"bof conversion";#N/A,#N/A,TRUE,"EAF";#N/A,#N/A,TRUE,"eaf conversion";#N/A,#N/A,TRUE,"Caster";#N/A,#N/A,TRUE,"caster conversion";#N/A,#N/A,TRUE,"HSM";#N/A,#N/A,TRUE,"hsm conversion";#N/A,#N/A,TRUE,"Stbnvl";#N/A,#N/A,TRUE,"Allenport";#N/A,#N/A,TRUE,"Yorkville";#N/A,#N/A,TRUE,"MF";#N/A,#N/A,TRUE,"WCC"}</definedName>
    <definedName name="wrn.SUNRISE." hidden="1">{#N/A,#N/A,TRUE,"income statement";#N/A,#N/A,TRUE,"balance sheet";#N/A,#N/A,TRUE,"cash flow";#N/A,#N/A,TRUE,"borrowing base";#N/A,#N/A,TRUE,"primary assumptions";#N/A,#N/A,TRUE,"finishing assumptions";#N/A,#N/A,TRUE,"sales summary";#N/A,#N/A,TRUE,"costs per ton";#N/A,#N/A,TRUE,"Coke";#N/A,#N/A,TRUE,"coke conversion";#N/A,#N/A,TRUE,"BF #1";#N/A,#N/A,TRUE,"bf1 conversion";#N/A,#N/A,TRUE,"BF #5";#N/A,#N/A,TRUE,"bf5 conversion";#N/A,#N/A,TRUE,"BOF";#N/A,#N/A,TRUE,"bof conversion";#N/A,#N/A,TRUE,"EAF";#N/A,#N/A,TRUE,"eaf conversion";#N/A,#N/A,TRUE,"Caster";#N/A,#N/A,TRUE,"caster conversion";#N/A,#N/A,TRUE,"HSM";#N/A,#N/A,TRUE,"hsm conversion";#N/A,#N/A,TRUE,"Stbnvl";#N/A,#N/A,TRUE,"Allenport";#N/A,#N/A,TRUE,"Yorkville";#N/A,#N/A,TRUE,"MF";#N/A,#N/A,TRUE,"WCC"}</definedName>
    <definedName name="wrn.SUNTO." localSheetId="6" hidden="1">{"SUNCOM",#N/A,FALSE,"Stampa";"SUN6GG",#N/A,FALSE,"Stampa";"SUNLUN",#N/A,FALSE,"Stampa";"SUN3DS",#N/A,FALSE,"Stampa";"SUNSYS",#N/A,FALSE,"Stampa";"SUNCLG",#N/A,FALSE,"Stampa"}</definedName>
    <definedName name="wrn.SUNTO." hidden="1">{"SUNCOM",#N/A,FALSE,"Stampa";"SUN6GG",#N/A,FALSE,"Stampa";"SUNLUN",#N/A,FALSE,"Stampa";"SUN3DS",#N/A,FALSE,"Stampa";"SUNSYS",#N/A,FALSE,"Stampa";"SUNCLG",#N/A,FALSE,"Stampa"}</definedName>
    <definedName name="wrn.Supply._.Additions." localSheetId="6" hidden="1">{#N/A,#N/A,FALSE,"Supply Addn"}</definedName>
    <definedName name="wrn.Supply._.Additions." hidden="1">{#N/A,#N/A,FALSE,"Supply Addn"}</definedName>
    <definedName name="wrn.sweet." localSheetId="0" hidden="1">{"sweet",#N/A,FALSE,"CNTRYTYPE"}</definedName>
    <definedName name="wrn.sweet." localSheetId="6" hidden="1">{"sweet",#N/A,FALSE,"CNTRYTYPE"}</definedName>
    <definedName name="wrn.sweet." hidden="1">{"sweet",#N/A,FALSE,"CNTRYTYPE"}</definedName>
    <definedName name="wrn.synthèse1." localSheetId="0" hidden="1">{"synth",#N/A,FALSE,"RATIOS CONSO";"synth",#N/A,FALSE,"CA CONSO";"synth",#N/A,FALSE,"RO CONSO";"synth",#N/A,FALSE,"EBITDA CONSO";"synth",#N/A,FALSE,"CAPEX CONSO";"synth",#N/A,FALSE,"Disponible"}</definedName>
    <definedName name="wrn.synthèse1." localSheetId="6" hidden="1">{"synth",#N/A,FALSE,"RATIOS CONSO";"synth",#N/A,FALSE,"CA CONSO";"synth",#N/A,FALSE,"RO CONSO";"synth",#N/A,FALSE,"EBITDA CONSO";"synth",#N/A,FALSE,"CAPEX CONSO";"synth",#N/A,FALSE,"Disponible"}</definedName>
    <definedName name="wrn.synthèse1." hidden="1">{"synth",#N/A,FALSE,"RATIOS CONSO";"synth",#N/A,FALSE,"CA CONSO";"synth",#N/A,FALSE,"RO CONSO";"synth",#N/A,FALSE,"EBITDA CONSO";"synth",#N/A,FALSE,"CAPEX CONSO";"synth",#N/A,FALSE,"Disponible"}</definedName>
    <definedName name="wrn.synthèse2." localSheetId="0" hidden="1">{"synth",#N/A,TRUE,"Disponible";"synth",#N/A,TRUE,"CAPEX CONSO"}</definedName>
    <definedName name="wrn.synthèse2." localSheetId="6" hidden="1">{"synth",#N/A,TRUE,"Disponible";"synth",#N/A,TRUE,"CAPEX CONSO"}</definedName>
    <definedName name="wrn.synthèse2." hidden="1">{"synth",#N/A,TRUE,"Disponible";"synth",#N/A,TRUE,"CAPEX CONSO"}</definedName>
    <definedName name="wrn.Tableaux._.A." localSheetId="0" hidden="1">{#N/A,#N/A,FALSE,"Tabl. A1";#N/A,#N/A,FALSE,"Tabl. A1 b";#N/A,#N/A,FALSE,"Tabl. A2";#N/A,#N/A,FALSE,"Tabl. A2-1";#N/A,#N/A,FALSE,"Tabl. A2-2"}</definedName>
    <definedName name="wrn.Tableaux._.A." localSheetId="6" hidden="1">{#N/A,#N/A,FALSE,"Tabl. A1";#N/A,#N/A,FALSE,"Tabl. A1 b";#N/A,#N/A,FALSE,"Tabl. A2";#N/A,#N/A,FALSE,"Tabl. A2-1";#N/A,#N/A,FALSE,"Tabl. A2-2"}</definedName>
    <definedName name="wrn.Tableaux._.A." hidden="1">{#N/A,#N/A,FALSE,"Tabl. A1";#N/A,#N/A,FALSE,"Tabl. A1 b";#N/A,#N/A,FALSE,"Tabl. A2";#N/A,#N/A,FALSE,"Tabl. A2-1";#N/A,#N/A,FALSE,"Tabl. A2-2"}</definedName>
    <definedName name="wrn.Tableaux._.D." localSheetId="0" hidden="1">{#N/A,#N/A,FALSE,"Tabl. D1";#N/A,#N/A,FALSE,"Tabl. D1 b";#N/A,#N/A,FALSE,"Tabl. D2";#N/A,#N/A,FALSE,"Tabl. D2 b";#N/A,#N/A,FALSE,"Tabl. D3";#N/A,#N/A,FALSE,"Tabl. D4";#N/A,#N/A,FALSE,"Tabl. D5"}</definedName>
    <definedName name="wrn.Tableaux._.D." localSheetId="6" hidden="1">{#N/A,#N/A,FALSE,"Tabl. D1";#N/A,#N/A,FALSE,"Tabl. D1 b";#N/A,#N/A,FALSE,"Tabl. D2";#N/A,#N/A,FALSE,"Tabl. D2 b";#N/A,#N/A,FALSE,"Tabl. D3";#N/A,#N/A,FALSE,"Tabl. D4";#N/A,#N/A,FALSE,"Tabl. D5"}</definedName>
    <definedName name="wrn.Tableaux._.D." hidden="1">{#N/A,#N/A,FALSE,"Tabl. D1";#N/A,#N/A,FALSE,"Tabl. D1 b";#N/A,#N/A,FALSE,"Tabl. D2";#N/A,#N/A,FALSE,"Tabl. D2 b";#N/A,#N/A,FALSE,"Tabl. D3";#N/A,#N/A,FALSE,"Tabl. D4";#N/A,#N/A,FALSE,"Tabl. D5"}</definedName>
    <definedName name="wrn.Tableaux._.F." localSheetId="0" hidden="1">{#N/A,#N/A,FALSE,"Tabl. FB300";#N/A,#N/A,FALSE,"Tabl. FB350";#N/A,#N/A,FALSE,"Tabl. FB400";#N/A,#N/A,FALSE,"Tabl. FB500";#N/A,#N/A,FALSE,"Tabl. FS090"}</definedName>
    <definedName name="wrn.Tableaux._.F." localSheetId="6" hidden="1">{#N/A,#N/A,FALSE,"Tabl. FB300";#N/A,#N/A,FALSE,"Tabl. FB350";#N/A,#N/A,FALSE,"Tabl. FB400";#N/A,#N/A,FALSE,"Tabl. FB500";#N/A,#N/A,FALSE,"Tabl. FS090"}</definedName>
    <definedName name="wrn.Tableaux._.F." hidden="1">{#N/A,#N/A,FALSE,"Tabl. FB300";#N/A,#N/A,FALSE,"Tabl. FB350";#N/A,#N/A,FALSE,"Tabl. FB400";#N/A,#N/A,FALSE,"Tabl. FB500";#N/A,#N/A,FALSE,"Tabl. FS090"}</definedName>
    <definedName name="wrn.Tableaux._.G." localSheetId="0" hidden="1">{#N/A,#N/A,FALSE,"Tabl. G1";#N/A,#N/A,FALSE,"Tabl. G2"}</definedName>
    <definedName name="wrn.Tableaux._.G." localSheetId="6" hidden="1">{#N/A,#N/A,FALSE,"Tabl. G1";#N/A,#N/A,FALSE,"Tabl. G2"}</definedName>
    <definedName name="wrn.Tableaux._.G." hidden="1">{#N/A,#N/A,FALSE,"Tabl. G1";#N/A,#N/A,FALSE,"Tabl. G2"}</definedName>
    <definedName name="wrn.Tableaux._.H." localSheetId="0" hidden="1">{#N/A,#N/A,FALSE,"Tabl. H1";#N/A,#N/A,FALSE,"Tabl. H2"}</definedName>
    <definedName name="wrn.Tableaux._.H." localSheetId="6" hidden="1">{#N/A,#N/A,FALSE,"Tabl. H1";#N/A,#N/A,FALSE,"Tabl. H2"}</definedName>
    <definedName name="wrn.Tableaux._.H." hidden="1">{#N/A,#N/A,FALSE,"Tabl. H1";#N/A,#N/A,FALSE,"Tabl. H2"}</definedName>
    <definedName name="wrn.Tables." localSheetId="0" hidden="1">{"Current",#N/A,FALSE,"Currentcal";"Current B",#N/A,FALSE,"Currentcal";"Constant",#N/A,FALSE,"Constantcal";"Constant B",#N/A,FALSE,"Constantcal"}</definedName>
    <definedName name="wrn.Tables." localSheetId="6" hidden="1">{"Current",#N/A,FALSE,"Currentcal";"Current B",#N/A,FALSE,"Currentcal";"Constant",#N/A,FALSE,"Constantcal";"Constant B",#N/A,FALSE,"Constantcal"}</definedName>
    <definedName name="wrn.Tables." hidden="1">{"Current",#N/A,FALSE,"Currentcal";"Current B",#N/A,FALSE,"Currentcal";"Constant",#N/A,FALSE,"Constantcal";"Constant B",#N/A,FALSE,"Constantcal"}</definedName>
    <definedName name="wrn.Target." localSheetId="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_.DCF." localSheetId="0" hidden="1">{"targetdcf",#N/A,FALSE,"Merger consequences";"TARGETASSU",#N/A,FALSE,"Merger consequences";"TERMINAL VALUE",#N/A,FALSE,"Merger consequences"}</definedName>
    <definedName name="wrn.TARGET._.DCF." localSheetId="6" hidden="1">{"targetdcf",#N/A,FALSE,"Merger consequences";"TARGETASSU",#N/A,FALSE,"Merger consequences";"TERMINAL VALUE",#N/A,FALSE,"Merger consequences"}</definedName>
    <definedName name="wrn.TARGET._.DCF." hidden="1">{"targetdcf",#N/A,FALSE,"Merger consequences";"TARGETASSU",#N/A,FALSE,"Merger consequences";"TERMINAL VALUE",#N/A,FALSE,"Merger consequences"}</definedName>
    <definedName name="wrn.TargetLBO." localSheetId="6"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6" hidden="1">{#N/A,#N/A,FALSE,"Tar-Ass";#N/A,#N/A,FALSE,"Tar-IS";#N/A,#N/A,FALSE,"Tar-BS";#N/A,#N/A,FALSE,"Tar-Adg BS";#N/A,#N/A,FALSE,"Tar-CF"}</definedName>
    <definedName name="wrn.TargetState." hidden="1">{#N/A,#N/A,FALSE,"Tar-Ass";#N/A,#N/A,FALSE,"Tar-IS";#N/A,#N/A,FALSE,"Tar-BS";#N/A,#N/A,FALSE,"Tar-Adg BS";#N/A,#N/A,FALSE,"Tar-CF"}</definedName>
    <definedName name="wrn.TargetVal." localSheetId="6"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riff._.Analysis." localSheetId="0" hidden="1">{"Tarifica91",#N/A,FALSE,"Tariffs";"Tarifica92",#N/A,FALSE,"Tariffs";"Tarifica93",#N/A,FALSE,"Tariffs";"Tarifica94",#N/A,FALSE,"Tariffs";"Tarifica95",#N/A,FALSE,"Tariffs";"Tarifica96",#N/A,FALSE,"Tariffs"}</definedName>
    <definedName name="wrn.Tariff._.Analysis." localSheetId="6" hidden="1">{"Tarifica91",#N/A,FALSE,"Tariffs";"Tarifica92",#N/A,FALSE,"Tariffs";"Tarifica93",#N/A,FALSE,"Tariffs";"Tarifica94",#N/A,FALSE,"Tariffs";"Tarifica95",#N/A,FALSE,"Tariffs";"Tarifica96",#N/A,FALSE,"Tariffs"}</definedName>
    <definedName name="wrn.Tariff._.Analysis." hidden="1">{"Tarifica91",#N/A,FALSE,"Tariffs";"Tarifica92",#N/A,FALSE,"Tariffs";"Tarifica93",#N/A,FALSE,"Tariffs";"Tarifica94",#N/A,FALSE,"Tariffs";"Tarifica95",#N/A,FALSE,"Tariffs";"Tarifica96",#N/A,FALSE,"Tariffs"}</definedName>
    <definedName name="wrn.Tariff._.Comaprison." localSheetId="0" hidden="1">{"Tariff Comparison",#N/A,FALSE,"Benchmarking";"Tariff Comparison 2",#N/A,FALSE,"Benchmarking";"Tariff Comparison 3",#N/A,FALSE,"Benchmarking"}</definedName>
    <definedName name="wrn.Tariff._.Comaprison." localSheetId="6" hidden="1">{"Tariff Comparison",#N/A,FALSE,"Benchmarking";"Tariff Comparison 2",#N/A,FALSE,"Benchmarking";"Tariff Comparison 3",#N/A,FALSE,"Benchmarking"}</definedName>
    <definedName name="wrn.Tariff._.Comaprison." hidden="1">{"Tariff Comparison",#N/A,FALSE,"Benchmarking";"Tariff Comparison 2",#N/A,FALSE,"Benchmarking";"Tariff Comparison 3",#N/A,FALSE,"Benchmarking"}</definedName>
    <definedName name="wrn.TARMAC." localSheetId="6" hidden="1">{"FRONT (TARMAC) (25)",#N/A,TRUE,"TARMAC";"P_AND_L (TARMAC) (25)",#N/A,TRUE,"TARMAC";"CASH AND VAL (TARMAC) (25)",#N/A,TRUE,"TARMAC";"MODELS (TARMAC) (25)",#N/A,TRUE,"TARMAC";"MODELS2 (TARMAC) (25)",#N/A,TRUE,"TARMAC";"INDUSTRIAL (TARMAC) (25)",#N/A,TRUE,"TARMAC"}</definedName>
    <definedName name="wrn.TARMAC." hidden="1">{"FRONT (TARMAC) (25)",#N/A,TRUE,"TARMAC";"P_AND_L (TARMAC) (25)",#N/A,TRUE,"TARMAC";"CASH AND VAL (TARMAC) (25)",#N/A,TRUE,"TARMAC";"MODELS (TARMAC) (25)",#N/A,TRUE,"TARMAC";"MODELS2 (TARMAC) (25)",#N/A,TRUE,"TARMAC";"INDUSTRIAL (TARMAC) (25)",#N/A,TRUE,"TARMAC"}</definedName>
    <definedName name="wrn.Tax._.copies." localSheetId="6" hidden="1">{#N/A,#N/A,TRUE,"HCA";#N/A,#N/A,TRUE,"Tax";#N/A,#N/A,TRUE,"Losses and ACT";#N/A,#N/A,TRUE,"Divis";#N/A,#N/A,TRUE,"Reserves";#N/A,#N/A,TRUE,"Enhancement data"}</definedName>
    <definedName name="wrn.Tax._.copies." hidden="1">{#N/A,#N/A,TRUE,"HCA";#N/A,#N/A,TRUE,"Tax";#N/A,#N/A,TRUE,"Losses and ACT";#N/A,#N/A,TRUE,"Divis";#N/A,#N/A,TRUE,"Reserves";#N/A,#N/A,TRUE,"Enhancement data"}</definedName>
    <definedName name="wrn.TAX._.PACKAGE._.REPORT."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_1"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_1"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_1"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_2"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_2"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1_2"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2"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2"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2"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2_1"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2_1"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2_1"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3"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3"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1_3"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_1"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_1"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_1"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_2"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_2"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2_2"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3"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3"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3"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3_1"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3_1"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3_1"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4" localSheetId="0"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4" localSheetId="6"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AX._.PACKAGE._.REPORT._4" hidden="1">{#N/A,#N/A,TRUE,"Index";#N/A,#N/A,TRUE,"Sch 1";#N/A,#N/A,TRUE,"Sch 2A";#N/A,#N/A,TRUE,"Sch 2B";#N/A,#N/A,TRUE,"Sch 2C";#N/A,#N/A,TRUE,"Sch 3";#N/A,#N/A,TRUE,"Sch 4";#N/A,#N/A,TRUE,"Sch 5";#N/A,#N/A,TRUE,"Sch 6";#N/A,#N/A,TRUE,"Sch 7";#N/A,#N/A,TRUE,"Sch 8A";#N/A,#N/A,TRUE,"Sch 8B";#N/A,#N/A,TRUE,"Sch 9";#N/A,#N/A,TRUE,"Sch 10";#N/A,#N/A,TRUE,"Sch 11";#N/A,#N/A,TRUE,"Sch 12";#N/A,#N/A,TRUE,"Sch 13A";#N/A,#N/A,TRUE,"Sch 13B";#N/A,#N/A,TRUE,"Sch 13C";#N/A,#N/A,TRUE,"Sch 13D";#N/A,#N/A,TRUE,"Sch 14";#N/A,#N/A,TRUE,"Sch 15";#N/A,#N/A,TRUE,"Sch 16A";#N/A,#N/A,TRUE,"Sch 16B";#N/A,#N/A,TRUE,"Sch 17A, B, C, D";#N/A,#N/A,TRUE,"Sch 18A";#N/A,#N/A,TRUE,"Sch 18B";#N/A,#N/A,TRUE,"Sch 19";#N/A,#N/A,TRUE,"Sch 20";#N/A,#N/A,TRUE,"Sch 21"}</definedName>
    <definedName name="wrn.TCR." localSheetId="0" hidden="1">{#N/A,#N/A,FALSE,"title";#N/A,#N/A,FALSE,"AVE VEH";#N/A,#N/A,FALSE,"METRICS";#N/A,#N/A,FALSE,"Prod Cost";#N/A,#N/A,FALSE,"CMTOTCST";#N/A,#N/A,FALSE,"Roadmap";#N/A,#N/A,FALSE,"Road Text";#N/A,#N/A,FALSE,"VAVE";#N/A,#N/A,FALSE,"Warranty #1";#N/A,#N/A,FALSE,"Warranty #2";#N/A,#N/A,FALSE,"Purchasing"}</definedName>
    <definedName name="wrn.TCR." localSheetId="6" hidden="1">{#N/A,#N/A,FALSE,"title";#N/A,#N/A,FALSE,"AVE VEH";#N/A,#N/A,FALSE,"METRICS";#N/A,#N/A,FALSE,"Prod Cost";#N/A,#N/A,FALSE,"CMTOTCST";#N/A,#N/A,FALSE,"Roadmap";#N/A,#N/A,FALSE,"Road Text";#N/A,#N/A,FALSE,"VAVE";#N/A,#N/A,FALSE,"Warranty #1";#N/A,#N/A,FALSE,"Warranty #2";#N/A,#N/A,FALSE,"Purchasing"}</definedName>
    <definedName name="wrn.TCR." hidden="1">{#N/A,#N/A,FALSE,"title";#N/A,#N/A,FALSE,"AVE VEH";#N/A,#N/A,FALSE,"METRICS";#N/A,#N/A,FALSE,"Prod Cost";#N/A,#N/A,FALSE,"CMTOTCST";#N/A,#N/A,FALSE,"Roadmap";#N/A,#N/A,FALSE,"Road Text";#N/A,#N/A,FALSE,"VAVE";#N/A,#N/A,FALSE,"Warranty #1";#N/A,#N/A,FALSE,"Warranty #2";#N/A,#N/A,FALSE,"Purchasing"}</definedName>
    <definedName name="wrn.technology." localSheetId="0" hidden="1">{"developed valuation",#N/A,FALSE,"Valuation Analysis";"developed income statement",#N/A,FALSE,"Abbreviated Income Statement";"inprocess valuation",#N/A,FALSE,"Valuation Analysis";"inprocess income statement",#N/A,FALSE,"Abbreviated Income Statement"}</definedName>
    <definedName name="wrn.technology." localSheetId="6"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elecom." localSheetId="6" hidden="1">{#N/A,#N/A,FALSE,"EARNINGS";#N/A,#N/A,FALSE,"BALANCE";#N/A,#N/A,FALSE,"CASHFLOW"}</definedName>
    <definedName name="wrn.telecom." hidden="1">{#N/A,#N/A,FALSE,"EARNINGS";#N/A,#N/A,FALSE,"BALANCE";#N/A,#N/A,FALSE,"CASHFLOW"}</definedName>
    <definedName name="wrn.TEO." localSheetId="6" hidden="1">{#N/A,#N/A,FALSE,"EARNINGS";#N/A,#N/A,FALSE,"BALANCE";#N/A,#N/A,FALSE,"CASHFLOW"}</definedName>
    <definedName name="wrn.TEO." hidden="1">{#N/A,#N/A,FALSE,"EARNINGS";#N/A,#N/A,FALSE,"BALANCE";#N/A,#N/A,FALSE,"CASHFLOW"}</definedName>
    <definedName name="wrn.test." localSheetId="0" hidden="1">{"test2",#N/A,TRUE,"Prices"}</definedName>
    <definedName name="wrn.test." localSheetId="6" hidden="1">{"test2",#N/A,TRUE,"Prices"}</definedName>
    <definedName name="wrn.test." hidden="1">{"test2",#N/A,TRUE,"Prices"}</definedName>
    <definedName name="wrn.Test._.1." localSheetId="0" hidden="1">{#N/A,#N/A,FALSE,"FK Plan_Ist"}</definedName>
    <definedName name="wrn.Test._.1." localSheetId="6" hidden="1">{#N/A,#N/A,FALSE,"FK Plan_Ist"}</definedName>
    <definedName name="wrn.Test._.1." hidden="1">{#N/A,#N/A,FALSE,"FK Plan_Ist"}</definedName>
    <definedName name="wrn.Test._.1._1" localSheetId="0" hidden="1">{#N/A,#N/A,FALSE,"FK Plan_Ist"}</definedName>
    <definedName name="wrn.Test._.1._1" localSheetId="6" hidden="1">{#N/A,#N/A,FALSE,"FK Plan_Ist"}</definedName>
    <definedName name="wrn.Test._.1._1" hidden="1">{#N/A,#N/A,FALSE,"FK Plan_Ist"}</definedName>
    <definedName name="wrn.Test._.1._1_1" localSheetId="0" hidden="1">{#N/A,#N/A,FALSE,"FK Plan_Ist"}</definedName>
    <definedName name="wrn.Test._.1._1_1" localSheetId="6" hidden="1">{#N/A,#N/A,FALSE,"FK Plan_Ist"}</definedName>
    <definedName name="wrn.Test._.1._1_1" hidden="1">{#N/A,#N/A,FALSE,"FK Plan_Ist"}</definedName>
    <definedName name="wrn.Test._.1._2" localSheetId="0" hidden="1">{#N/A,#N/A,FALSE,"FK Plan_Ist"}</definedName>
    <definedName name="wrn.Test._.1._2" localSheetId="6" hidden="1">{#N/A,#N/A,FALSE,"FK Plan_Ist"}</definedName>
    <definedName name="wrn.Test._.1._2" hidden="1">{#N/A,#N/A,FALSE,"FK Plan_Ist"}</definedName>
    <definedName name="wrn.Test._.1._3" localSheetId="0" hidden="1">{#N/A,#N/A,FALSE,"FK Plan_Ist"}</definedName>
    <definedName name="wrn.Test._.1._3" localSheetId="6" hidden="1">{#N/A,#N/A,FALSE,"FK Plan_Ist"}</definedName>
    <definedName name="wrn.Test._.1._3" hidden="1">{#N/A,#N/A,FALSE,"FK Plan_Ist"}</definedName>
    <definedName name="wrn.Test._.1._4" localSheetId="0" hidden="1">{#N/A,#N/A,FALSE,"FK Plan_Ist"}</definedName>
    <definedName name="wrn.Test._.1._4" localSheetId="6" hidden="1">{#N/A,#N/A,FALSE,"FK Plan_Ist"}</definedName>
    <definedName name="wrn.Test._.1._4" hidden="1">{#N/A,#N/A,FALSE,"FK Plan_Ist"}</definedName>
    <definedName name="wrn.test.2" localSheetId="6" hidden="1">{#N/A,#N/A,FALSE,"Calculator"}</definedName>
    <definedName name="wrn.test.2" hidden="1">{#N/A,#N/A,FALSE,"Calculator"}</definedName>
    <definedName name="wrn.test.2_1" localSheetId="6" hidden="1">{#N/A,#N/A,FALSE,"Calculator"}</definedName>
    <definedName name="wrn.test.2_1" hidden="1">{#N/A,#N/A,FALSE,"Calculator"}</definedName>
    <definedName name="wrn.test_report." localSheetId="6" hidden="1">{"test",#N/A,TRUE,"I.1 - CO only"}</definedName>
    <definedName name="wrn.test_report." hidden="1">{"test",#N/A,TRUE,"I.1 - CO only"}</definedName>
    <definedName name="wrn.test_reportCPF" localSheetId="6" hidden="1">{"test",#N/A,TRUE,"I.1 - CO only"}</definedName>
    <definedName name="wrn.test_reportCPF" hidden="1">{"test",#N/A,TRUE,"I.1 - CO only"}</definedName>
    <definedName name="wrn.test1." localSheetId="6" hidden="1">{#N/A,#N/A,FALSE,"Calculator"}</definedName>
    <definedName name="wrn.test1." hidden="1">{#N/A,#N/A,FALSE,"Calculator"}</definedName>
    <definedName name="wrn.test1._1" localSheetId="6" hidden="1">{#N/A,#N/A,FALSE,"Calculator"}</definedName>
    <definedName name="wrn.test1._1" hidden="1">{#N/A,#N/A,FALSE,"Calculator"}</definedName>
    <definedName name="wrn.test2" localSheetId="6" hidden="1">{#N/A,#N/A,FALSE,"Calculator"}</definedName>
    <definedName name="wrn.test2" hidden="1">{#N/A,#N/A,FALSE,"Calculator"}</definedName>
    <definedName name="wrn.Test2." localSheetId="0" hidden="1">{#N/A,#N/A,FALSE,"FK Plan_Ist"}</definedName>
    <definedName name="wrn.Test2." localSheetId="6" hidden="1">{#N/A,#N/A,FALSE,"FK Plan_Ist"}</definedName>
    <definedName name="wrn.Test2." hidden="1">{#N/A,#N/A,FALSE,"FK Plan_Ist"}</definedName>
    <definedName name="wrn.Test2._1" localSheetId="0" hidden="1">{#N/A,#N/A,FALSE,"FK Plan_Ist"}</definedName>
    <definedName name="wrn.Test2._1" localSheetId="6" hidden="1">{#N/A,#N/A,FALSE,"FK Plan_Ist"}</definedName>
    <definedName name="wrn.Test2._1" hidden="1">{#N/A,#N/A,FALSE,"FK Plan_Ist"}</definedName>
    <definedName name="wrn.Test2._1_1" localSheetId="0" hidden="1">{#N/A,#N/A,FALSE,"FK Plan_Ist"}</definedName>
    <definedName name="wrn.Test2._1_1" localSheetId="6" hidden="1">{#N/A,#N/A,FALSE,"FK Plan_Ist"}</definedName>
    <definedName name="wrn.Test2._1_1" hidden="1">{#N/A,#N/A,FALSE,"FK Plan_Ist"}</definedName>
    <definedName name="wrn.Test2._2" localSheetId="0" hidden="1">{#N/A,#N/A,FALSE,"FK Plan_Ist"}</definedName>
    <definedName name="wrn.Test2._2" localSheetId="6" hidden="1">{#N/A,#N/A,FALSE,"FK Plan_Ist"}</definedName>
    <definedName name="wrn.Test2._2" hidden="1">{#N/A,#N/A,FALSE,"FK Plan_Ist"}</definedName>
    <definedName name="wrn.Test2._3" localSheetId="0" hidden="1">{#N/A,#N/A,FALSE,"FK Plan_Ist"}</definedName>
    <definedName name="wrn.Test2._3" localSheetId="6" hidden="1">{#N/A,#N/A,FALSE,"FK Plan_Ist"}</definedName>
    <definedName name="wrn.Test2._3" hidden="1">{#N/A,#N/A,FALSE,"FK Plan_Ist"}</definedName>
    <definedName name="wrn.Test2._4" localSheetId="0" hidden="1">{#N/A,#N/A,FALSE,"FK Plan_Ist"}</definedName>
    <definedName name="wrn.Test2._4" localSheetId="6" hidden="1">{#N/A,#N/A,FALSE,"FK Plan_Ist"}</definedName>
    <definedName name="wrn.Test2._4" hidden="1">{#N/A,#N/A,FALSE,"FK Plan_Ist"}</definedName>
    <definedName name="wrn.test2_1" localSheetId="6" hidden="1">{#N/A,#N/A,FALSE,"Calculator"}</definedName>
    <definedName name="wrn.test2_1" hidden="1">{#N/A,#N/A,FALSE,"Calculator"}</definedName>
    <definedName name="wrn.test3" localSheetId="6" hidden="1">{#N/A,#N/A,FALSE,"Calculator"}</definedName>
    <definedName name="wrn.test3" hidden="1">{#N/A,#N/A,FALSE,"Calculator"}</definedName>
    <definedName name="wrn.test3_1" localSheetId="6" hidden="1">{#N/A,#N/A,FALSE,"Calculator"}</definedName>
    <definedName name="wrn.test3_1" hidden="1">{#N/A,#N/A,FALSE,"Calculator"}</definedName>
    <definedName name="wrn.Thomas_Case." localSheetId="0" hidden="1">{#N/A,#N/A,TRUE,"Thomas Case";#N/A,#N/A,TRUE,"Corporate Overhead";#N/A,#N/A,TRUE,"Arizona";#N/A,#N/A,TRUE,"Cal";#N/A,#N/A,TRUE,"Illinois";#N/A,#N/A,TRUE,"Indiana";#N/A,#N/A,TRUE,"Ohio";#N/A,#N/A,TRUE,"Pennsylvania";#N/A,#N/A,TRUE,"Growth";#N/A,#N/A,TRUE,"Anthem";#N/A,#N/A,TRUE,"Pipeline"}</definedName>
    <definedName name="wrn.Thomas_Case." localSheetId="6" hidden="1">{#N/A,#N/A,TRUE,"Thomas Case";#N/A,#N/A,TRUE,"Corporate Overhead";#N/A,#N/A,TRUE,"Arizona";#N/A,#N/A,TRUE,"Cal";#N/A,#N/A,TRUE,"Illinois";#N/A,#N/A,TRUE,"Indiana";#N/A,#N/A,TRUE,"Ohio";#N/A,#N/A,TRUE,"Pennsylvania";#N/A,#N/A,TRUE,"Growth";#N/A,#N/A,TRUE,"Anthem";#N/A,#N/A,TRUE,"Pipeline"}</definedName>
    <definedName name="wrn.Thomas_Case." hidden="1">{#N/A,#N/A,TRUE,"Thomas Case";#N/A,#N/A,TRUE,"Corporate Overhead";#N/A,#N/A,TRUE,"Arizona";#N/A,#N/A,TRUE,"Cal";#N/A,#N/A,TRUE,"Illinois";#N/A,#N/A,TRUE,"Indiana";#N/A,#N/A,TRUE,"Ohio";#N/A,#N/A,TRUE,"Pennsylvania";#N/A,#N/A,TRUE,"Growth";#N/A,#N/A,TRUE,"Anthem";#N/A,#N/A,TRUE,"Pipeline"}</definedName>
    <definedName name="wrn.TMCALL." localSheetId="0" hidden="1">{"tmccash",#N/A,FALSE,"INCX";"tmcinc",#N/A,FALSE,"INCX";"tmcpretx",#N/A,FALSE,"INCX";"tmcadrev",#N/A,FALSE,"INCX";"tmcbooks",#N/A,FALSE,"INCX"}</definedName>
    <definedName name="wrn.TMCALL." localSheetId="6" hidden="1">{"tmccash",#N/A,FALSE,"INCX";"tmcinc",#N/A,FALSE,"INCX";"tmcpretx",#N/A,FALSE,"INCX";"tmcadrev",#N/A,FALSE,"INCX";"tmcbooks",#N/A,FALSE,"INCX"}</definedName>
    <definedName name="wrn.TMCALL." hidden="1">{"tmccash",#N/A,FALSE,"INCX";"tmcinc",#N/A,FALSE,"INCX";"tmcpretx",#N/A,FALSE,"INCX";"tmcadrev",#N/A,FALSE,"INCX";"tmcbooks",#N/A,FALSE,"INCX"}</definedName>
    <definedName name="wrn.todos." localSheetId="6" hidden="1">{#N/A,#N/A,FALSE,"AMSA611";#N/A,#N/A,FALSE,"STACFLOW";#N/A,#N/A,FALSE,"Page1";#N/A,#N/A,FALSE,"Page2";#N/A,#N/A,FALSE,"Page3";#N/A,#N/A,FALSE,"Page4";#N/A,#N/A,FALSE,"Page5";#N/A,#N/A,FALSE,"Page6";#N/A,#N/A,FALSE,"Page7";#N/A,#N/A,FALSE,"Page8";#N/A,#N/A,FALSE,"Page9";#N/A,#N/A,FALSE,"Page10";#N/A,#N/A,FALSE,"Page11"}</definedName>
    <definedName name="wrn.todos." hidden="1">{#N/A,#N/A,FALSE,"AMSA611";#N/A,#N/A,FALSE,"STACFLOW";#N/A,#N/A,FALSE,"Page1";#N/A,#N/A,FALSE,"Page2";#N/A,#N/A,FALSE,"Page3";#N/A,#N/A,FALSE,"Page4";#N/A,#N/A,FALSE,"Page5";#N/A,#N/A,FALSE,"Page6";#N/A,#N/A,FALSE,"Page7";#N/A,#N/A,FALSE,"Page8";#N/A,#N/A,FALSE,"Page9";#N/A,#N/A,FALSE,"Page10";#N/A,#N/A,FALSE,"Page11"}</definedName>
    <definedName name="wrn.TOOL." localSheetId="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0" hidden="1">{"total",#N/A,FALSE,"CNTRYTYPE"}</definedName>
    <definedName name="wrn.total." localSheetId="6" hidden="1">{"total",#N/A,FALSE,"CNTRYTYPE"}</definedName>
    <definedName name="wrn.total." hidden="1">{"total",#N/A,FALSE,"CNTRYTYPE"}</definedName>
    <definedName name="wrn.Total._.Business."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_1"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_1"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1_1"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2"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2"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2"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3"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3"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3"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4"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4"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4"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5" localSheetId="0"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5" localSheetId="6"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Business._5" hidden="1">{#N/A,#N/A,FALSE,"Total";#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N/A,#N/A,FALSE,"OTC";#N/A,#N/A,FALSE,"Ther";#N/A,#N/A,FALSE,"Temp";#N/A,#N/A,FALSE,"Exce";#N/A,#N/A,FALSE,"Buff";#N/A,#N/A,FALSE,"Picot";#N/A,#N/A,FALSE,"Luftal";#N/A,#N/A,FALSE,"Comt"}</definedName>
    <definedName name="wrn.Total._.Market._.Report." localSheetId="0" hidden="1">{#N/A,#N/A,FALSE,"Sales Graph";#N/A,#N/A,FALSE,"BUC Graph";#N/A,#N/A,FALSE,"P&amp;L - YTD"}</definedName>
    <definedName name="wrn.Total._.Market._.Report." localSheetId="6" hidden="1">{#N/A,#N/A,FALSE,"Sales Graph";#N/A,#N/A,FALSE,"BUC Graph";#N/A,#N/A,FALSE,"P&amp;L - YTD"}</definedName>
    <definedName name="wrn.Total._.Market._.Report." hidden="1">{#N/A,#N/A,FALSE,"Sales Graph";#N/A,#N/A,FALSE,"BUC Graph";#N/A,#N/A,FALSE,"P&amp;L - YTD"}</definedName>
    <definedName name="wrn.Total._.Market._.Report._1" localSheetId="0" hidden="1">{#N/A,#N/A,FALSE,"Sales Graph";#N/A,#N/A,FALSE,"BUC Graph";#N/A,#N/A,FALSE,"P&amp;L - YTD"}</definedName>
    <definedName name="wrn.Total._.Market._.Report._1" localSheetId="6" hidden="1">{#N/A,#N/A,FALSE,"Sales Graph";#N/A,#N/A,FALSE,"BUC Graph";#N/A,#N/A,FALSE,"P&amp;L - YTD"}</definedName>
    <definedName name="wrn.Total._.Market._.Report._1" hidden="1">{#N/A,#N/A,FALSE,"Sales Graph";#N/A,#N/A,FALSE,"BUC Graph";#N/A,#N/A,FALSE,"P&amp;L - YTD"}</definedName>
    <definedName name="wrn.Total._.Market._.Report._1_1" localSheetId="0" hidden="1">{#N/A,#N/A,FALSE,"Sales Graph";#N/A,#N/A,FALSE,"BUC Graph";#N/A,#N/A,FALSE,"P&amp;L - YTD"}</definedName>
    <definedName name="wrn.Total._.Market._.Report._1_1" localSheetId="6" hidden="1">{#N/A,#N/A,FALSE,"Sales Graph";#N/A,#N/A,FALSE,"BUC Graph";#N/A,#N/A,FALSE,"P&amp;L - YTD"}</definedName>
    <definedName name="wrn.Total._.Market._.Report._1_1" hidden="1">{#N/A,#N/A,FALSE,"Sales Graph";#N/A,#N/A,FALSE,"BUC Graph";#N/A,#N/A,FALSE,"P&amp;L - YTD"}</definedName>
    <definedName name="wrn.Total._.Market._.Report._2" localSheetId="0" hidden="1">{#N/A,#N/A,FALSE,"Sales Graph";#N/A,#N/A,FALSE,"BUC Graph";#N/A,#N/A,FALSE,"P&amp;L - YTD"}</definedName>
    <definedName name="wrn.Total._.Market._.Report._2" localSheetId="6" hidden="1">{#N/A,#N/A,FALSE,"Sales Graph";#N/A,#N/A,FALSE,"BUC Graph";#N/A,#N/A,FALSE,"P&amp;L - YTD"}</definedName>
    <definedName name="wrn.Total._.Market._.Report._2" hidden="1">{#N/A,#N/A,FALSE,"Sales Graph";#N/A,#N/A,FALSE,"BUC Graph";#N/A,#N/A,FALSE,"P&amp;L - YTD"}</definedName>
    <definedName name="wrn.Total._.Market._.Report._3" localSheetId="0" hidden="1">{#N/A,#N/A,FALSE,"Sales Graph";#N/A,#N/A,FALSE,"BUC Graph";#N/A,#N/A,FALSE,"P&amp;L - YTD"}</definedName>
    <definedName name="wrn.Total._.Market._.Report._3" localSheetId="6" hidden="1">{#N/A,#N/A,FALSE,"Sales Graph";#N/A,#N/A,FALSE,"BUC Graph";#N/A,#N/A,FALSE,"P&amp;L - YTD"}</definedName>
    <definedName name="wrn.Total._.Market._.Report._3" hidden="1">{#N/A,#N/A,FALSE,"Sales Graph";#N/A,#N/A,FALSE,"BUC Graph";#N/A,#N/A,FALSE,"P&amp;L - YTD"}</definedName>
    <definedName name="wrn.Total._.Market._.Report._4" localSheetId="0" hidden="1">{#N/A,#N/A,FALSE,"Sales Graph";#N/A,#N/A,FALSE,"BUC Graph";#N/A,#N/A,FALSE,"P&amp;L - YTD"}</definedName>
    <definedName name="wrn.Total._.Market._.Report._4" localSheetId="6" hidden="1">{#N/A,#N/A,FALSE,"Sales Graph";#N/A,#N/A,FALSE,"BUC Graph";#N/A,#N/A,FALSE,"P&amp;L - YTD"}</definedName>
    <definedName name="wrn.Total._.Market._.Report._4" hidden="1">{#N/A,#N/A,FALSE,"Sales Graph";#N/A,#N/A,FALSE,"BUC Graph";#N/A,#N/A,FALSE,"P&amp;L - YTD"}</definedName>
    <definedName name="wrn.Total._.Market._.Report._5" localSheetId="0" hidden="1">{#N/A,#N/A,FALSE,"Sales Graph";#N/A,#N/A,FALSE,"BUC Graph";#N/A,#N/A,FALSE,"P&amp;L - YTD"}</definedName>
    <definedName name="wrn.Total._.Market._.Report._5" localSheetId="6" hidden="1">{#N/A,#N/A,FALSE,"Sales Graph";#N/A,#N/A,FALSE,"BUC Graph";#N/A,#N/A,FALSE,"P&amp;L - YTD"}</definedName>
    <definedName name="wrn.Total._.Market._.Report._5" hidden="1">{#N/A,#N/A,FALSE,"Sales Graph";#N/A,#N/A,FALSE,"BUC Graph";#N/A,#N/A,FALSE,"P&amp;L - YTD"}</definedName>
    <definedName name="wrn.Total._.Print." localSheetId="0" hidden="1">{#N/A,#N/A,TRUE,"Cover Sheet";#N/A,#N/A,TRUE,"Contents";#N/A,#N/A,TRUE,"Model Assumptions";#N/A,#N/A,TRUE,"Financial Assumptions";#N/A,#N/A,TRUE,"Scenarios";#N/A,#N/A,TRUE,"SensitivitiesPower";#N/A,#N/A,TRUE,"SensitivitiesGas";#N/A,#N/A,TRUE,"SensitivitiesWater";#N/A,#N/A,TRUE,"Fixed Cost allocation table";#N/A,#N/A,TRUE,"Historic balance sheet";#N/A,#N/A,TRUE,"Stadtwerke Comps";#N/A,#N/A,TRUE,"Electricity Comps";#N/A,#N/A,TRUE,"Gas Comps";#N/A,#N/A,TRUE,"Water Comps";#N/A,#N/A,TRUE,"DCFCoverPower";#N/A,#N/A,TRUE,"DCFOverviewPower";#N/A,#N/A,TRUE,"RevenuesPower";#N/A,#N/A,TRUE,"CostsPower";#N/A,#N/A,TRUE,"PlanPower";#N/A,#N/A,TRUE,"DCFPower";#N/A,#N/A,TRUE,"ValuePower";#N/A,#N/A,TRUE,"WaccPower";#N/A,#N/A,TRUE,"WaccCompPower";#N/A,#N/A,TRUE,"MatrixPower";#N/A,#N/A,TRUE,"DCFCoverGas";#N/A,#N/A,TRUE,"DCFOverviewGas";#N/A,#N/A,TRUE,"RevenuesGas";#N/A,#N/A,TRUE,"CostGas";#N/A,#N/A,TRUE,"PlanGas";#N/A,#N/A,TRUE,"DCFGas";#N/A,#N/A,TRUE,"ValueGas";#N/A,#N/A,TRUE,"WaccGas";#N/A,#N/A,TRUE,"WaccCompGas";#N/A,#N/A,TRUE,"MatrixGas";#N/A,#N/A,TRUE,"DCFCoverWater";#N/A,#N/A,TRUE,"DCFOverviewWater";#N/A,#N/A,TRUE,"RevenuesWater";#N/A,#N/A,TRUE,"CostWater";#N/A,#N/A,TRUE,"PlanWater";#N/A,#N/A,TRUE,"DCFWater";#N/A,#N/A,TRUE,"ValueWater";#N/A,#N/A,TRUE,"WaccWater";#N/A,#N/A,TRUE,"WaccWater";#N/A,#N/A,TRUE,"WaccCompWater";#N/A,#N/A,TRUE,"MatrixWater";#N/A,#N/A,TRUE,"DCFCoverVersorgung";#N/A,#N/A,TRUE,"DCFOverviewVersorgung";#N/A,#N/A,TRUE,"PlanVersorgung";#N/A,#N/A,TRUE,"DCFVersorgung";#N/A,#N/A,TRUE,"ValueVersorgung";#N/A,#N/A,TRUE,"WaccVersorgung";#N/A,#N/A,TRUE,"WaccCompVersorgung";#N/A,#N/A,TRUE,"MatrixVersorgung"}</definedName>
    <definedName name="wrn.Total._.Print." localSheetId="6" hidden="1">{#N/A,#N/A,TRUE,"Cover Sheet";#N/A,#N/A,TRUE,"Contents";#N/A,#N/A,TRUE,"Model Assumptions";#N/A,#N/A,TRUE,"Financial Assumptions";#N/A,#N/A,TRUE,"Scenarios";#N/A,#N/A,TRUE,"SensitivitiesPower";#N/A,#N/A,TRUE,"SensitivitiesGas";#N/A,#N/A,TRUE,"SensitivitiesWater";#N/A,#N/A,TRUE,"Fixed Cost allocation table";#N/A,#N/A,TRUE,"Historic balance sheet";#N/A,#N/A,TRUE,"Stadtwerke Comps";#N/A,#N/A,TRUE,"Electricity Comps";#N/A,#N/A,TRUE,"Gas Comps";#N/A,#N/A,TRUE,"Water Comps";#N/A,#N/A,TRUE,"DCFCoverPower";#N/A,#N/A,TRUE,"DCFOverviewPower";#N/A,#N/A,TRUE,"RevenuesPower";#N/A,#N/A,TRUE,"CostsPower";#N/A,#N/A,TRUE,"PlanPower";#N/A,#N/A,TRUE,"DCFPower";#N/A,#N/A,TRUE,"ValuePower";#N/A,#N/A,TRUE,"WaccPower";#N/A,#N/A,TRUE,"WaccCompPower";#N/A,#N/A,TRUE,"MatrixPower";#N/A,#N/A,TRUE,"DCFCoverGas";#N/A,#N/A,TRUE,"DCFOverviewGas";#N/A,#N/A,TRUE,"RevenuesGas";#N/A,#N/A,TRUE,"CostGas";#N/A,#N/A,TRUE,"PlanGas";#N/A,#N/A,TRUE,"DCFGas";#N/A,#N/A,TRUE,"ValueGas";#N/A,#N/A,TRUE,"WaccGas";#N/A,#N/A,TRUE,"WaccCompGas";#N/A,#N/A,TRUE,"MatrixGas";#N/A,#N/A,TRUE,"DCFCoverWater";#N/A,#N/A,TRUE,"DCFOverviewWater";#N/A,#N/A,TRUE,"RevenuesWater";#N/A,#N/A,TRUE,"CostWater";#N/A,#N/A,TRUE,"PlanWater";#N/A,#N/A,TRUE,"DCFWater";#N/A,#N/A,TRUE,"ValueWater";#N/A,#N/A,TRUE,"WaccWater";#N/A,#N/A,TRUE,"WaccWater";#N/A,#N/A,TRUE,"WaccCompWater";#N/A,#N/A,TRUE,"MatrixWater";#N/A,#N/A,TRUE,"DCFCoverVersorgung";#N/A,#N/A,TRUE,"DCFOverviewVersorgung";#N/A,#N/A,TRUE,"PlanVersorgung";#N/A,#N/A,TRUE,"DCFVersorgung";#N/A,#N/A,TRUE,"ValueVersorgung";#N/A,#N/A,TRUE,"WaccVersorgung";#N/A,#N/A,TRUE,"WaccCompVersorgung";#N/A,#N/A,TRUE,"MatrixVersorgung"}</definedName>
    <definedName name="wrn.Total._.Print." hidden="1">{#N/A,#N/A,TRUE,"Cover Sheet";#N/A,#N/A,TRUE,"Contents";#N/A,#N/A,TRUE,"Model Assumptions";#N/A,#N/A,TRUE,"Financial Assumptions";#N/A,#N/A,TRUE,"Scenarios";#N/A,#N/A,TRUE,"SensitivitiesPower";#N/A,#N/A,TRUE,"SensitivitiesGas";#N/A,#N/A,TRUE,"SensitivitiesWater";#N/A,#N/A,TRUE,"Fixed Cost allocation table";#N/A,#N/A,TRUE,"Historic balance sheet";#N/A,#N/A,TRUE,"Stadtwerke Comps";#N/A,#N/A,TRUE,"Electricity Comps";#N/A,#N/A,TRUE,"Gas Comps";#N/A,#N/A,TRUE,"Water Comps";#N/A,#N/A,TRUE,"DCFCoverPower";#N/A,#N/A,TRUE,"DCFOverviewPower";#N/A,#N/A,TRUE,"RevenuesPower";#N/A,#N/A,TRUE,"CostsPower";#N/A,#N/A,TRUE,"PlanPower";#N/A,#N/A,TRUE,"DCFPower";#N/A,#N/A,TRUE,"ValuePower";#N/A,#N/A,TRUE,"WaccPower";#N/A,#N/A,TRUE,"WaccCompPower";#N/A,#N/A,TRUE,"MatrixPower";#N/A,#N/A,TRUE,"DCFCoverGas";#N/A,#N/A,TRUE,"DCFOverviewGas";#N/A,#N/A,TRUE,"RevenuesGas";#N/A,#N/A,TRUE,"CostGas";#N/A,#N/A,TRUE,"PlanGas";#N/A,#N/A,TRUE,"DCFGas";#N/A,#N/A,TRUE,"ValueGas";#N/A,#N/A,TRUE,"WaccGas";#N/A,#N/A,TRUE,"WaccCompGas";#N/A,#N/A,TRUE,"MatrixGas";#N/A,#N/A,TRUE,"DCFCoverWater";#N/A,#N/A,TRUE,"DCFOverviewWater";#N/A,#N/A,TRUE,"RevenuesWater";#N/A,#N/A,TRUE,"CostWater";#N/A,#N/A,TRUE,"PlanWater";#N/A,#N/A,TRUE,"DCFWater";#N/A,#N/A,TRUE,"ValueWater";#N/A,#N/A,TRUE,"WaccWater";#N/A,#N/A,TRUE,"WaccWater";#N/A,#N/A,TRUE,"WaccCompWater";#N/A,#N/A,TRUE,"MatrixWater";#N/A,#N/A,TRUE,"DCFCoverVersorgung";#N/A,#N/A,TRUE,"DCFOverviewVersorgung";#N/A,#N/A,TRUE,"PlanVersorgung";#N/A,#N/A,TRUE,"DCFVersorgung";#N/A,#N/A,TRUE,"ValueVersorgung";#N/A,#N/A,TRUE,"WaccVersorgung";#N/A,#N/A,TRUE,"WaccCompVersorgung";#N/A,#N/A,TRUE,"MatrixVersorgung"}</definedName>
    <definedName name="wrn.totalcomp." localSheetId="0" hidden="1">{"comp1",#N/A,FALSE,"COMPS";"footnotes",#N/A,FALSE,"COMPS"}</definedName>
    <definedName name="wrn.totalcomp." localSheetId="6" hidden="1">{"comp1",#N/A,FALSE,"COMPS";"footnotes",#N/A,FALSE,"COMPS"}</definedName>
    <definedName name="wrn.totalcomp." hidden="1">{"comp1",#N/A,FALSE,"COMPS";"footnotes",#N/A,FALSE,"COMPS"}</definedName>
    <definedName name="wrn.totalcomp.1" localSheetId="0" hidden="1">{"comp1",#N/A,FALSE,"COMPS";"footnotes",#N/A,FALSE,"COMPS"}</definedName>
    <definedName name="wrn.totalcomp.1" localSheetId="6" hidden="1">{"comp1",#N/A,FALSE,"COMPS";"footnotes",#N/A,FALSE,"COMPS"}</definedName>
    <definedName name="wrn.totalcomp.1" hidden="1">{"comp1",#N/A,FALSE,"COMPS";"footnotes",#N/A,FALSE,"COMPS"}</definedName>
    <definedName name="wrn.Totar." localSheetId="0" hidden="1">{"Totax",#N/A,FALSE,"Sheet1";#N/A,#N/A,FALSE,"Law Output"}</definedName>
    <definedName name="wrn.Totar." localSheetId="6" hidden="1">{"Totax",#N/A,FALSE,"Sheet1";#N/A,#N/A,FALSE,"Law Output"}</definedName>
    <definedName name="wrn.Totar." hidden="1">{"Totax",#N/A,FALSE,"Sheet1";#N/A,#N/A,FALSE,"Law Output"}</definedName>
    <definedName name="wrn.Tout._.Sauf._.BG." localSheetId="0"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localSheetId="6"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demark._.and._.trade._.name." localSheetId="0" hidden="1">{"trademark1",#N/A,FALSE,"Trademark(s) and Trade Name(s)"}</definedName>
    <definedName name="wrn.trademark._.and._.trade._.name." localSheetId="6" hidden="1">{"trademark1",#N/A,FALSE,"Trademark(s) and Trade Name(s)"}</definedName>
    <definedName name="wrn.trademark._.and._.trade._.name." hidden="1">{"trademark1",#N/A,FALSE,"Trademark(s) and Trade Name(s)"}</definedName>
    <definedName name="wrn.trans._.sum." localSheetId="0" hidden="1">{"trans assumptions",#N/A,FALSE,"Merger";"trans accretion",#N/A,FALSE,"Merger"}</definedName>
    <definedName name="wrn.trans._.sum." localSheetId="6" hidden="1">{"trans assumptions",#N/A,FALSE,"Merger";"trans accretion",#N/A,FALSE,"Merger"}</definedName>
    <definedName name="wrn.trans._.sum." hidden="1">{"trans assumptions",#N/A,FALSE,"Merger";"trans accretion",#N/A,FALSE,"Merger"}</definedName>
    <definedName name="wrn.TransPrcd_123." localSheetId="6" hidden="1">{#N/A,#N/A,TRUE,"TransPrcd 1";#N/A,#N/A,TRUE,"TransPrcd 2";#N/A,#N/A,TRUE,"TransPrcd 3"}</definedName>
    <definedName name="wrn.TransPrcd_123." hidden="1">{#N/A,#N/A,TRUE,"TransPrcd 1";#N/A,#N/A,TRUE,"TransPrcd 2";#N/A,#N/A,TRUE,"TransPrcd 3"}</definedName>
    <definedName name="wrn.TRAVIS._.PERKINS." localSheetId="6" hidden="1">{"FRONT (TRAVIS PERK) (25)",#N/A,TRUE,"TRAVIS PERK";"P_AND_L (TRAVIS PERK) (25)",#N/A,TRUE,"TRAVIS PERK";"CASH_AND_VAL (TRAVIS PERK) (25)",#N/A,TRUE,"TRAVIS PERK"}</definedName>
    <definedName name="wrn.TRAVIS._.PERKINS." hidden="1">{"FRONT (TRAVIS PERK) (25)",#N/A,TRUE,"TRAVIS PERK";"P_AND_L (TRAVIS PERK) (25)",#N/A,TRUE,"TRAVIS PERK";"CASH_AND_VAL (TRAVIS PERK) (25)",#N/A,TRUE,"TRAVIS PERK"}</definedName>
    <definedName name="wrn.trball." localSheetId="0" hidden="1">{"trbcash",#N/A,FALSE,"INCPF";"trbinc",#N/A,FALSE,"INCPF";"trbchic",#N/A,FALSE,"INCPF";"trbadrev",#N/A,FALSE,"INCPF";"trbstns",#N/A,FALSE,"INCPF";"trbtvstns",#N/A,FALSE,"INCPF"}</definedName>
    <definedName name="wrn.trball." localSheetId="6" hidden="1">{"trbcash",#N/A,FALSE,"INCPF";"trbinc",#N/A,FALSE,"INCPF";"trbchic",#N/A,FALSE,"INCPF";"trbadrev",#N/A,FALSE,"INCPF";"trbstns",#N/A,FALSE,"INCPF";"trbtvstns",#N/A,FALSE,"INCPF"}</definedName>
    <definedName name="wrn.trball." hidden="1">{"trbcash",#N/A,FALSE,"INCPF";"trbinc",#N/A,FALSE,"INCPF";"trbchic",#N/A,FALSE,"INCPF";"trbadrev",#N/A,FALSE,"INCPF";"trbstns",#N/A,FALSE,"INCPF";"trbtvstns",#N/A,FALSE,"INCPF"}</definedName>
    <definedName name="wrn.trevor._.book." localSheetId="0" hidden="1">{#N/A,#N/A,FALSE,"TOTAL";#N/A,#N/A,FALSE,"tenet";#N/A,#N/A,FALSE,"ornda"}</definedName>
    <definedName name="wrn.trevor._.book." localSheetId="6" hidden="1">{#N/A,#N/A,FALSE,"TOTAL";#N/A,#N/A,FALSE,"tenet";#N/A,#N/A,FALSE,"ornda"}</definedName>
    <definedName name="wrn.trevor._.book." hidden="1">{#N/A,#N/A,FALSE,"TOTAL";#N/A,#N/A,FALSE,"tenet";#N/A,#N/A,FALSE,"ornda"}</definedName>
    <definedName name="wrn.Tweety." localSheetId="0" hidden="1">{#N/A,#N/A,FALSE,"A&amp;E";#N/A,#N/A,FALSE,"HighTop";#N/A,#N/A,FALSE,"JG";#N/A,#N/A,FALSE,"RI";#N/A,#N/A,FALSE,"woHT";#N/A,#N/A,FALSE,"woHT&amp;JG"}</definedName>
    <definedName name="wrn.Tweety." localSheetId="6" hidden="1">{#N/A,#N/A,FALSE,"A&amp;E";#N/A,#N/A,FALSE,"HighTop";#N/A,#N/A,FALSE,"JG";#N/A,#N/A,FALSE,"RI";#N/A,#N/A,FALSE,"woHT";#N/A,#N/A,FALSE,"woHT&amp;JG"}</definedName>
    <definedName name="wrn.Tweety." hidden="1">{#N/A,#N/A,FALSE,"A&amp;E";#N/A,#N/A,FALSE,"HighTop";#N/A,#N/A,FALSE,"JG";#N/A,#N/A,FALSE,"RI";#N/A,#N/A,FALSE,"woHT";#N/A,#N/A,FALSE,"woHT&amp;JG"}</definedName>
    <definedName name="wrn.TWO." localSheetId="6" hidden="1">{#N/A,#N/A,FALSE,"INT INC(EXP)";#N/A,#N/A,FALSE,"MISCE";#N/A,#N/A,FALSE,"GAM SCSC INTRNL";#N/A,#N/A,FALSE,"IRAQ NET INT";#N/A,#N/A,FALSE,"IRAQ NET INT"}</definedName>
    <definedName name="wrn.TWO." hidden="1">{#N/A,#N/A,FALSE,"INT INC(EXP)";#N/A,#N/A,FALSE,"MISCE";#N/A,#N/A,FALSE,"GAM SCSC INTRNL";#N/A,#N/A,FALSE,"IRAQ NET INT";#N/A,#N/A,FALSE,"IRAQ NET INT"}</definedName>
    <definedName name="wrn.UHCO._.Statutory._.Results." localSheetId="0" hidden="1">{#N/A,#N/A,FALSE,"UHCO Statutory Info ----&gt;";#N/A,#N/A,FALSE,"UHCO Source_Use";#N/A,#N/A,FALSE,"UHCO_Debt Paydown";#N/A,#N/A,FALSE,"Union Bankers";#N/A,#N/A,FALSE,"Penn Life";#N/A,#N/A,FALSE,"Constitution"}</definedName>
    <definedName name="wrn.UHCO._.Statutory._.Results." localSheetId="6" hidden="1">{#N/A,#N/A,FALSE,"UHCO Statutory Info ----&gt;";#N/A,#N/A,FALSE,"UHCO Source_Use";#N/A,#N/A,FALSE,"UHCO_Debt Paydown";#N/A,#N/A,FALSE,"Union Bankers";#N/A,#N/A,FALSE,"Penn Life";#N/A,#N/A,FALSE,"Constitution"}</definedName>
    <definedName name="wrn.UHCO._.Statutory._.Results." hidden="1">{#N/A,#N/A,FALSE,"UHCO Statutory Info ----&gt;";#N/A,#N/A,FALSE,"UHCO Source_Use";#N/A,#N/A,FALSE,"UHCO_Debt Paydown";#N/A,#N/A,FALSE,"Union Bankers";#N/A,#N/A,FALSE,"Penn Life";#N/A,#N/A,FALSE,"Constitution"}</definedName>
    <definedName name="wrn.Umsatz." localSheetId="0" hidden="1">{#N/A,#N/A,FALSE,"Umsatz";#N/A,#N/A,FALSE,"Base V.02";#N/A,#N/A,FALSE,"Charts"}</definedName>
    <definedName name="wrn.Umsatz." localSheetId="6" hidden="1">{#N/A,#N/A,FALSE,"Umsatz";#N/A,#N/A,FALSE,"Base V.02";#N/A,#N/A,FALSE,"Charts"}</definedName>
    <definedName name="wrn.Umsatz." hidden="1">{#N/A,#N/A,FALSE,"Umsatz";#N/A,#N/A,FALSE,"Base V.02";#N/A,#N/A,FALSE,"Charts"}</definedName>
    <definedName name="wrn.Underlying._.halfyearly." localSheetId="0" hidden="1">{"Underlying halfyearly",#N/A,FALSE,"Master"}</definedName>
    <definedName name="wrn.Underlying._.halfyearly." localSheetId="6" hidden="1">{"Underlying halfyearly",#N/A,FALSE,"Master"}</definedName>
    <definedName name="wrn.Underlying._.halfyearly." hidden="1">{"Underlying halfyearly",#N/A,FALSE,"Master"}</definedName>
    <definedName name="wrn.up." localSheetId="0" hidden="1">{"up stand alones",#N/A,FALSE,"Acquiror"}</definedName>
    <definedName name="wrn.up." localSheetId="6" hidden="1">{"up stand alones",#N/A,FALSE,"Acquiror"}</definedName>
    <definedName name="wrn.up." hidden="1">{"up stand alones",#N/A,FALSE,"Acquiror"}</definedName>
    <definedName name="wrn.US._.Flash._.Report." localSheetId="6" hidden="1">{#N/A,#N/A,FALSE,"IS GBP";#N/A,#N/A,FALSE,"IS USD";"US Balance Sheet",#N/A,FALSE,"B SHEET";"UK Balance Sheet",#N/A,FALSE,"B SHEET"}</definedName>
    <definedName name="wrn.US._.Flash._.Report." hidden="1">{#N/A,#N/A,FALSE,"IS GBP";#N/A,#N/A,FALSE,"IS USD";"US Balance Sheet",#N/A,FALSE,"B SHEET";"UK Balance Sheet",#N/A,FALSE,"B SHEET"}</definedName>
    <definedName name="wrn.USD._.overzichten." localSheetId="6" hidden="1">{#N/A,#N/A,FALSE,"Earning Summary USD";#N/A,#N/A,FALSE,"3-Year Plan Review Schedule"}</definedName>
    <definedName name="wrn.USD._.overzichten." hidden="1">{#N/A,#N/A,FALSE,"Earning Summary USD";#N/A,#N/A,FALSE,"3-Year Plan Review Schedule"}</definedName>
    <definedName name="wrn.USGC._.Forecast." localSheetId="0" hidden="1">{#N/A,#N/A,FALSE,"I-1";#N/A,#N/A,FALSE,"I-2";#N/A,#N/A,FALSE,"Forecast, NYH";#N/A,#N/A,FALSE,"Forecast - Gulf";#N/A,#N/A,FALSE,"Ratios";#N/A,#N/A,FALSE,"Yields, Bpd";#N/A,#N/A,FALSE,"Yields, %";#N/A,#N/A,FALSE,"Crude_USGC";#N/A,#N/A,FALSE,"Prices, Gulf";#N/A,#N/A,FALSE,"Prices, NYH";#N/A,#N/A,FALSE,"Differentials"}</definedName>
    <definedName name="wrn.USGC._.Forecast." localSheetId="6" hidden="1">{#N/A,#N/A,FALSE,"I-1";#N/A,#N/A,FALSE,"I-2";#N/A,#N/A,FALSE,"Forecast, NYH";#N/A,#N/A,FALSE,"Forecast - Gulf";#N/A,#N/A,FALSE,"Ratios";#N/A,#N/A,FALSE,"Yields, Bpd";#N/A,#N/A,FALSE,"Yields, %";#N/A,#N/A,FALSE,"Crude_USGC";#N/A,#N/A,FALSE,"Prices, Gulf";#N/A,#N/A,FALSE,"Prices, NYH";#N/A,#N/A,FALSE,"Differentials"}</definedName>
    <definedName name="wrn.USGC._.Forecast." hidden="1">{#N/A,#N/A,FALSE,"I-1";#N/A,#N/A,FALSE,"I-2";#N/A,#N/A,FALSE,"Forecast, NYH";#N/A,#N/A,FALSE,"Forecast - Gulf";#N/A,#N/A,FALSE,"Ratios";#N/A,#N/A,FALSE,"Yields, Bpd";#N/A,#N/A,FALSE,"Yields, %";#N/A,#N/A,FALSE,"Crude_USGC";#N/A,#N/A,FALSE,"Prices, Gulf";#N/A,#N/A,FALSE,"Prices, NYH";#N/A,#N/A,FALSE,"Differentials"}</definedName>
    <definedName name="wrn.USW." localSheetId="0" hidden="1">{"IS",#N/A,FALSE,"IS";"RPTIS",#N/A,FALSE,"RPTIS";"STATS",#N/A,FALSE,"STATS";"BS",#N/A,FALSE,"BS"}</definedName>
    <definedName name="wrn.USW." localSheetId="6" hidden="1">{"IS",#N/A,FALSE,"IS";"RPTIS",#N/A,FALSE,"RPTIS";"STATS",#N/A,FALSE,"STATS";"BS",#N/A,FALSE,"BS"}</definedName>
    <definedName name="wrn.USW." hidden="1">{"IS",#N/A,FALSE,"IS";"RPTIS",#N/A,FALSE,"RPTIS";"STATS",#N/A,FALSE,"STATS";"BS",#N/A,FALSE,"BS"}</definedName>
    <definedName name="wrn.VALUATION." localSheetId="0" hidden="1">{#N/A,#N/A,FALSE,"Valuation Assumptions";#N/A,#N/A,FALSE,"Summary";#N/A,#N/A,FALSE,"DCF";#N/A,#N/A,FALSE,"Valuation";#N/A,#N/A,FALSE,"WACC";#N/A,#N/A,FALSE,"UBVH";#N/A,#N/A,FALSE,"Free Cash Flow"}</definedName>
    <definedName name="wrn.VALUATION." localSheetId="6" hidden="1">{#N/A,#N/A,FALSE,"Valuation Assumptions";#N/A,#N/A,FALSE,"Summary";#N/A,#N/A,FALSE,"DCF";#N/A,#N/A,FALSE,"Valuation";#N/A,#N/A,FALSE,"WACC";#N/A,#N/A,FALSE,"UBVH";#N/A,#N/A,FALSE,"Free Cash Flow"}</definedName>
    <definedName name="wrn.VALUATION." hidden="1">{#N/A,#N/A,FALSE,"Valuation Assumptions";#N/A,#N/A,FALSE,"Summary";#N/A,#N/A,FALSE,"DCF";#N/A,#N/A,FALSE,"Valuation";#N/A,#N/A,FALSE,"WACC";#N/A,#N/A,FALSE,"UBVH";#N/A,#N/A,FALSE,"Free Cash Flow"}</definedName>
    <definedName name="wrn.Valuation._.Committee." localSheetId="0"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 localSheetId="6"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Committee." hidden="1">{#N/A,#N/A,TRUE,"Cover";#N/A,#N/A,TRUE,"Macro Assumptions";#N/A,#N/A,TRUE,"Tariffs DTe";#N/A,#N/A,TRUE,"2000 Revenues";#N/A,#N/A,TRUE,"Initial RAB";#N/A,#N/A,TRUE,"inflated RAB";#N/A,#N/A,TRUE,"Budget TenneT";#N/A,#N/A,TRUE,"Revenues";#N/A,#N/A,TRUE,"Operating Expenses";#N/A,#N/A,TRUE,"Energy &amp; Power";#N/A,#N/A,TRUE,"Grid Costs";#N/A,#N/A,TRUE,"TPA";#N/A,#N/A,TRUE,"Maintenance";#N/A,#N/A,TRUE,"Personnel";#N/A,#N/A,TRUE,"General";#N/A,#N/A,TRUE,"Depr";#N/A,#N/A,TRUE,"P&amp;L";#N/A,#N/A,TRUE,"Fixed Assets_Sum";#N/A,#N/A,TRUE,"Assumptions";#N/A,#N/A,TRUE,"FA";#N/A,#N/A,TRUE,"CapEx";#N/A,#N/A,TRUE,"Work in Progress";#N/A,#N/A,TRUE,"Working Capital";#N/A,#N/A,TRUE,"Cash";#N/A,#N/A,TRUE,"Equity";#N/A,#N/A,TRUE,"Provisions";#N/A,#N/A,TRUE,"Debt";#N/A,#N/A,TRUE,"BS";#N/A,#N/A,TRUE,"CF";#N/A,#N/A,TRUE,"Lines";#N/A,#N/A,TRUE,"Stations";#N/A,#N/A,TRUE,"Cap. Expenses";#N/A,#N/A,TRUE,"Land";#N/A,#N/A,TRUE,"Cen Proces Sys";#N/A,#N/A,TRUE,"IT";#N/A,#N/A,TRUE,"telecom";#N/A,#N/A,TRUE,"Other";#N/A,#N/A,TRUE,"WACC_DTe_pre";#N/A,#N/A,TRUE,"WACC_DTe_post";#N/A,#N/A,TRUE,"Wacc";#N/A,#N/A,TRUE,"DCF EBITDA Multiple";#N/A,#N/A,TRUE,"DCF Perpetual Growth";#N/A,#N/A,TRUE,"RAB (DTe)";#N/A,#N/A,TRUE,"P&amp;L (2)";#N/A,#N/A,TRUE,"TComps"}</definedName>
    <definedName name="wrn.Valuation._.Summaries." localSheetId="0" hidden="1">{#N/A,#N/A,FALSE,"Cover Sheet";#N/A,#N/A,FALSE,"Financial Assumptions";#N/A,#N/A,FALSE,"DCFOverviewPower";#N/A,#N/A,FALSE,"DCFOverviewGas";#N/A,#N/A,FALSE,"DCFOverviewWater";#N/A,#N/A,FALSE,"DCFOverviewVersorgung"}</definedName>
    <definedName name="wrn.Valuation._.Summaries." localSheetId="6" hidden="1">{#N/A,#N/A,FALSE,"Cover Sheet";#N/A,#N/A,FALSE,"Financial Assumptions";#N/A,#N/A,FALSE,"DCFOverviewPower";#N/A,#N/A,FALSE,"DCFOverviewGas";#N/A,#N/A,FALSE,"DCFOverviewWater";#N/A,#N/A,FALSE,"DCFOverviewVersorgung"}</definedName>
    <definedName name="wrn.Valuation._.Summaries." hidden="1">{#N/A,#N/A,FALSE,"Cover Sheet";#N/A,#N/A,FALSE,"Financial Assumptions";#N/A,#N/A,FALSE,"DCFOverviewPower";#N/A,#N/A,FALSE,"DCFOverviewGas";#N/A,#N/A,FALSE,"DCFOverviewWater";#N/A,#N/A,FALSE,"DCFOverviewVersorgung"}</definedName>
    <definedName name="wrn.Versorgungs._.GmbH._.Data." localSheetId="0" hidden="1">{#N/A,#N/A,FALSE,"DCFCoverVersorgung";#N/A,#N/A,FALSE,"DCFOverviewVersorgung";#N/A,#N/A,FALSE,"PlanVersorgung";#N/A,#N/A,FALSE,"DCFVersorgung";#N/A,#N/A,FALSE,"ValueVersorgung";#N/A,#N/A,FALSE,"WaccVersorgung";#N/A,#N/A,FALSE,"WaccVersorgung";#N/A,#N/A,FALSE,"WaccCompVersorgung";#N/A,#N/A,FALSE,"MatrixVersorgung"}</definedName>
    <definedName name="wrn.Versorgungs._.GmbH._.Data." localSheetId="6" hidden="1">{#N/A,#N/A,FALSE,"DCFCoverVersorgung";#N/A,#N/A,FALSE,"DCFOverviewVersorgung";#N/A,#N/A,FALSE,"PlanVersorgung";#N/A,#N/A,FALSE,"DCFVersorgung";#N/A,#N/A,FALSE,"ValueVersorgung";#N/A,#N/A,FALSE,"WaccVersorgung";#N/A,#N/A,FALSE,"WaccVersorgung";#N/A,#N/A,FALSE,"WaccCompVersorgung";#N/A,#N/A,FALSE,"MatrixVersorgung"}</definedName>
    <definedName name="wrn.Versorgungs._.GmbH._.Data." hidden="1">{#N/A,#N/A,FALSE,"DCFCoverVersorgung";#N/A,#N/A,FALSE,"DCFOverviewVersorgung";#N/A,#N/A,FALSE,"PlanVersorgung";#N/A,#N/A,FALSE,"DCFVersorgung";#N/A,#N/A,FALSE,"ValueVersorgung";#N/A,#N/A,FALSE,"WaccVersorgung";#N/A,#N/A,FALSE,"WaccVersorgung";#N/A,#N/A,FALSE,"WaccCompVersorgung";#N/A,#N/A,FALSE,"MatrixVersorgung"}</definedName>
    <definedName name="wrn.W." localSheetId="0" hidden="1">{"CAT",#N/A,FALSE,"Title Page"}</definedName>
    <definedName name="wrn.W." localSheetId="6" hidden="1">{"CAT",#N/A,FALSE,"Title Page"}</definedName>
    <definedName name="wrn.W." hidden="1">{"CAT",#N/A,FALSE,"Title Page"}</definedName>
    <definedName name="wrn.Wacc." localSheetId="0" hidden="1">{"Area1",#N/A,FALSE,"OREWACC";"Area2",#N/A,FALSE,"OREWACC"}</definedName>
    <definedName name="wrn.Wacc." localSheetId="6" hidden="1">{"Area1",#N/A,FALSE,"OREWACC";"Area2",#N/A,FALSE,"OREWACC"}</definedName>
    <definedName name="wrn.Wacc." hidden="1">{"Area1",#N/A,FALSE,"OREWACC";"Area2",#N/A,FALSE,"OREWACC"}</definedName>
    <definedName name="wrn.Warrington._.Widnes._.QS._.Costs." localSheetId="6" hidden="1">{#N/A,#N/A,TRUE,"Cover";#N/A,#N/A,TRUE,"Conts";#N/A,#N/A,TRUE,"VOS";#N/A,#N/A,TRUE,"Warrington";#N/A,#N/A,TRUE,"Widnes"}</definedName>
    <definedName name="wrn.Warrington._.Widnes._.QS._.Costs." hidden="1">{#N/A,#N/A,TRUE,"Cover";#N/A,#N/A,TRUE,"Conts";#N/A,#N/A,TRUE,"VOS";#N/A,#N/A,TRUE,"Warrington";#N/A,#N/A,TRUE,"Widnes"}</definedName>
    <definedName name="wrn.Warrington._.Widnes._.QS._.Costs._1" localSheetId="6" hidden="1">{#N/A,#N/A,TRUE,"Cover";#N/A,#N/A,TRUE,"Conts";#N/A,#N/A,TRUE,"VOS";#N/A,#N/A,TRUE,"Warrington";#N/A,#N/A,TRUE,"Widnes"}</definedName>
    <definedName name="wrn.Warrington._.Widnes._.QS._.Costs._1" hidden="1">{#N/A,#N/A,TRUE,"Cover";#N/A,#N/A,TRUE,"Conts";#N/A,#N/A,TRUE,"VOS";#N/A,#N/A,TRUE,"Warrington";#N/A,#N/A,TRUE,"Widnes"}</definedName>
    <definedName name="wrn.weeks._.1._.to._.52." localSheetId="6" hidden="1">{"Quarter1",#N/A,FALSE,"Sheet1";"Quarter2",#N/A,FALSE,"Sheet1";"Quarter3",#N/A,FALSE,"Sheet1";"Quarter4",#N/A,FALSE,"Sheet1"}</definedName>
    <definedName name="wrn.weeks._.1._.to._.52." hidden="1">{"Quarter1",#N/A,FALSE,"Sheet1";"Quarter2",#N/A,FALSE,"Sheet1";"Quarter3",#N/A,FALSE,"Sheet1";"Quarter4",#N/A,FALSE,"Sheet1"}</definedName>
    <definedName name="wrn.WHOLE." localSheetId="0" hidden="1">{#N/A,#N/A,FALSE,"assumptions";#N/A,#N/A,FALSE,"contrib_annual";#N/A,#N/A,FALSE,"historic";#N/A,#N/A,FALSE,"Proforma";#N/A,#N/A,FALSE,"CALENDARIZED";#N/A,#N/A,FALSE,"Has_gets";#N/A,#N/A,FALSE,"DILUTION"}</definedName>
    <definedName name="wrn.WHOLE." localSheetId="6" hidden="1">{#N/A,#N/A,FALSE,"assumptions";#N/A,#N/A,FALSE,"contrib_annual";#N/A,#N/A,FALSE,"historic";#N/A,#N/A,FALSE,"Proforma";#N/A,#N/A,FALSE,"CALENDARIZED";#N/A,#N/A,FALSE,"Has_gets";#N/A,#N/A,FALSE,"DILUTION"}</definedName>
    <definedName name="wrn.WHOLE." hidden="1">{#N/A,#N/A,FALSE,"assumptions";#N/A,#N/A,FALSE,"contrib_annual";#N/A,#N/A,FALSE,"historic";#N/A,#N/A,FALSE,"Proforma";#N/A,#N/A,FALSE,"CALENDARIZED";#N/A,#N/A,FALSE,"Has_gets";#N/A,#N/A,FALSE,"DILUTION"}</definedName>
    <definedName name="wrn.WholeModel." localSheetId="0" hidden="1">{#N/A,#N/A,TRUE,"Initial";#N/A,#N/A,TRUE,"CFs_P&amp;L_B&amp;S";#N/A,#N/A,TRUE,"Inv&amp;Fin";#N/A,#N/A,TRUE,"Depreciation";#N/A,#N/A,TRUE,"Energy";#N/A,#N/A,TRUE,"Index";#N/A,#N/A,TRUE,"Graphs";#N/A,#N/A,TRUE,"T_Contest"}</definedName>
    <definedName name="wrn.WholeModel." localSheetId="6" hidden="1">{#N/A,#N/A,TRUE,"Initial";#N/A,#N/A,TRUE,"CFs_P&amp;L_B&amp;S";#N/A,#N/A,TRUE,"Inv&amp;Fin";#N/A,#N/A,TRUE,"Depreciation";#N/A,#N/A,TRUE,"Energy";#N/A,#N/A,TRUE,"Index";#N/A,#N/A,TRUE,"Graphs";#N/A,#N/A,TRUE,"T_Contest"}</definedName>
    <definedName name="wrn.WholeModel." hidden="1">{#N/A,#N/A,TRUE,"Initial";#N/A,#N/A,TRUE,"CFs_P&amp;L_B&amp;S";#N/A,#N/A,TRUE,"Inv&amp;Fin";#N/A,#N/A,TRUE,"Depreciation";#N/A,#N/A,TRUE,"Energy";#N/A,#N/A,TRUE,"Index";#N/A,#N/A,TRUE,"Graphs";#N/A,#N/A,TRUE,"T_Contest"}</definedName>
    <definedName name="wrn.WHOUSE._.CT." localSheetId="6" hidden="1">{"WESTINGHOUSE",#N/A,FALSE,"Option"}</definedName>
    <definedName name="wrn.WHOUSE._.CT." hidden="1">{"WESTINGHOUSE",#N/A,FALSE,"Option"}</definedName>
    <definedName name="wrn.WHOUSE._.CT._1" localSheetId="6" hidden="1">{"WESTINGHOUSE",#N/A,FALSE,"Option"}</definedName>
    <definedName name="wrn.WHOUSE._.CT._1" hidden="1">{"WESTINGHOUSE",#N/A,FALSE,"Option"}</definedName>
    <definedName name="wrn.wicor." localSheetId="6" hidden="1">{#N/A,#N/A,FALSE,"FACTSHEETS";#N/A,#N/A,FALSE,"pump";#N/A,#N/A,FALSE,"filter"}</definedName>
    <definedName name="wrn.wicor." hidden="1">{#N/A,#N/A,FALSE,"FACTSHEETS";#N/A,#N/A,FALSE,"pump";#N/A,#N/A,FALSE,"filter"}</definedName>
    <definedName name="wrn.wkst." localSheetId="0" hidden="1">{"prt_wksht",#N/A,FALSE,"Sheet1"}</definedName>
    <definedName name="wrn.wkst." localSheetId="6" hidden="1">{"prt_wksht",#N/A,FALSE,"Sheet1"}</definedName>
    <definedName name="wrn.wkst." hidden="1">{"prt_wksht",#N/A,FALSE,"Sheet1"}</definedName>
    <definedName name="wrn.WOLSELEY." localSheetId="6" hidden="1">{"FRONT (WOLSELEY) (23)",#N/A,TRUE,"WOLSELEY";"P AND L (WOLSELEY) (23)",#N/A,TRUE,"WOLSELEY";"CASH AND VAL (WOLSELEY) (23)",#N/A,TRUE,"WOLSELEY";"VALUATION (WOLSELEY) (23)",#N/A,TRUE,"WOLSELEY";"VALUATION (WOLSELEY) (21)",#N/A,TRUE,"WOLSELEY";"CASHFLOWVAL (WOLSELEY) (23)",#N/A,TRUE,"WOLSELEY";"MODELS3 (WOLSELEY) (23)",#N/A,TRUE,"WOLSELEY";"MODELS2 (WOLSELEY) (23)",#N/A,TRUE,"WOLSELEY";"MODELS (WOLSELEY) (23)",#N/A,TRUE,"WOLSELEY"}</definedName>
    <definedName name="wrn.WOLSELEY." hidden="1">{"FRONT (WOLSELEY) (23)",#N/A,TRUE,"WOLSELEY";"P AND L (WOLSELEY) (23)",#N/A,TRUE,"WOLSELEY";"CASH AND VAL (WOLSELEY) (23)",#N/A,TRUE,"WOLSELEY";"VALUATION (WOLSELEY) (23)",#N/A,TRUE,"WOLSELEY";"VALUATION (WOLSELEY) (21)",#N/A,TRUE,"WOLSELEY";"CASHFLOWVAL (WOLSELEY) (23)",#N/A,TRUE,"WOLSELEY";"MODELS3 (WOLSELEY) (23)",#N/A,TRUE,"WOLSELEY";"MODELS2 (WOLSELEY) (23)",#N/A,TRUE,"WOLSELEY";"MODELS (WOLSELEY) (23)",#N/A,TRUE,"WOLSELEY"}</definedName>
    <definedName name="wrn.work._.paper._.shcedules." localSheetId="0" hidden="1">{"summary1",#N/A,FALSE,"Summary of Values";"summary2",#N/A,FALSE,"Summary of Values";"weighted average returns",#N/A,FALSE,"WACC and WARA";"fixed asset detail",#N/A,FALSE,"Fixed Asset Detail"}</definedName>
    <definedName name="wrn.work._.paper._.shcedules." localSheetId="6"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rn.Working._.Version." localSheetId="0"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Working._.Version." localSheetId="6"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Working._.Version." hidden="1">{"Working View with Notes2",#N/A,TRUE,"Hilight_YTD";"Working View with Notes2",#N/A,TRUE,"BridgeP";"Working View with Notes2",#N/A,TRUE,"Bridge00";"Working View with Notes2",#N/A,TRUE,"cnsoled_IS";"Working View with Notes2",#N/A,TRUE,"cnsol_incYTD v plan";"Working View with Notes2",#N/A,TRUE,"cnsol_incYTD v PY";"Working View with Notes2",#N/A,TRUE,"Fcst1 qtrly";"Working View with Notes2",#N/A,TRUE,"Fcst1 Qtrly Earnings";"Working View with Notes2",#N/A,TRUE,"AR";"Working View with Notes2",#N/A,TRUE,"INV";"Working View with Notes2",#N/A,TRUE,"Inc Trend";"Working View with Notes2",#N/A,TRUE,"cnsol_inc v p";"Working View with Notes2",#N/A,TRUE,"cnsol_inc v PY";"Working View with Notes2",#N/A,TRUE,"F1 BS";"Working View with Notes2",#N/A,TRUE,"cash flow";"Working View with Notes2",#N/A,TRUE,"TITLE PF";"Working View with Notes2",#N/A,TRUE,"cnsol_incYTDpf v PYpf";"Working View with Notes2",#N/A,TRUE,"cnsol_inc v PYpf";"Working View with Notes2",#N/A,TRUE,"CapExPF";"Working View with Notes2",#N/A,TRUE,"Major Projects";"Working View with Notes2",#N/A,TRUE,"MAR"}</definedName>
    <definedName name="wrn.WPAPERS." localSheetId="6" hidden="1">{#N/A,#N/A,FALSE,"ATIVO";#N/A,#N/A,FALSE,"PASSIVO";#N/A,#N/A,FALSE,"L&amp;P";#N/A,#N/A,FALSE,"INTEREST";#N/A,#N/A,FALSE,"IRDIFERIDO"}</definedName>
    <definedName name="wrn.WPAPERS." hidden="1">{#N/A,#N/A,FALSE,"ATIVO";#N/A,#N/A,FALSE,"PASSIVO";#N/A,#N/A,FALSE,"L&amp;P";#N/A,#N/A,FALSE,"INTEREST";#N/A,#N/A,FALSE,"IRDIFERIDO"}</definedName>
    <definedName name="wrn.wpoall." localSheetId="0" hidden="1">{"wpocash",#N/A,FALSE,"WPOALLT";"wpoinc",#N/A,FALSE,"WPOALLT";"wpoexcl",#N/A,FALSE,"WPOALLT";"wpocable",#N/A,FALSE,"WPOALLT";"wpobroad",#N/A,FALSE,"WPOALLT";"wpopost",#N/A,FALSE,"WPOALLT";"wponwsweek",#N/A,FALSE,"WPOALLT"}</definedName>
    <definedName name="wrn.wpoall." localSheetId="6" hidden="1">{"wpocash",#N/A,FALSE,"WPOALLT";"wpoinc",#N/A,FALSE,"WPOALLT";"wpoexcl",#N/A,FALSE,"WPOALLT";"wpocable",#N/A,FALSE,"WPOALLT";"wpobroad",#N/A,FALSE,"WPOALLT";"wpopost",#N/A,FALSE,"WPOALLT";"wponwsweek",#N/A,FALSE,"WPOALLT"}</definedName>
    <definedName name="wrn.wpoall." hidden="1">{"wpocash",#N/A,FALSE,"WPOALLT";"wpoinc",#N/A,FALSE,"WPOALLT";"wpoexcl",#N/A,FALSE,"WPOALLT";"wpocable",#N/A,FALSE,"WPOALLT";"wpobroad",#N/A,FALSE,"WPOALLT";"wpopost",#N/A,FALSE,"WPOALLT";"wponwsweek",#N/A,FALSE,"WPOALLT"}</definedName>
    <definedName name="wrn.WSTS._.Trade._.Statistics." localSheetId="0" hidden="1">{#N/A,#N/A,FALSE,"Table of Contents";#N/A,#N/A,FALSE,"Overview";#N/A,#N/A,FALSE,"Data"}</definedName>
    <definedName name="wrn.WSTS._.Trade._.Statistics." localSheetId="6" hidden="1">{#N/A,#N/A,FALSE,"Table of Contents";#N/A,#N/A,FALSE,"Overview";#N/A,#N/A,FALSE,"Data"}</definedName>
    <definedName name="wrn.WSTS._.Trade._.Statistics." hidden="1">{#N/A,#N/A,FALSE,"Table of Contents";#N/A,#N/A,FALSE,"Overview";#N/A,#N/A,FALSE,"Data"}</definedName>
    <definedName name="wrn.WTCModel." localSheetId="6" hidden="1">{#N/A,#N/A,TRUE,"A";#N/A,#N/A,TRUE,"IS";#N/A,#N/A,TRUE,"CF";#N/A,#N/A,TRUE,"BS";#N/A,#N/A,TRUE,"REV";#N/A,#N/A,TRUE,"OPS";#N/A,#N/A,TRUE,"ADM";#N/A,#N/A,TRUE,"AST";#N/A,#N/A,TRUE,"DEP"}</definedName>
    <definedName name="wrn.WTCModel." hidden="1">{#N/A,#N/A,TRUE,"A";#N/A,#N/A,TRUE,"IS";#N/A,#N/A,TRUE,"CF";#N/A,#N/A,TRUE,"BS";#N/A,#N/A,TRUE,"REV";#N/A,#N/A,TRUE,"OPS";#N/A,#N/A,TRUE,"ADM";#N/A,#N/A,TRUE,"AST";#N/A,#N/A,TRUE,"DEP"}</definedName>
    <definedName name="wrn.Yahoo." localSheetId="0" hidden="1">{#N/A,#N/A,FALSE,"Inc. St.";#N/A,#N/A,FALSE,"FYear";#N/A,#N/A,FALSE,"Revs.";#N/A,#N/A,FALSE,"RevsYear";#N/A,#N/A,FALSE,"Balance";#N/A,#N/A,FALSE,"CompVal";#N/A,#N/A,FALSE,"Val.";#N/A,#N/A,FALSE,"DCFval"}</definedName>
    <definedName name="wrn.Yahoo." localSheetId="6" hidden="1">{#N/A,#N/A,FALSE,"Inc. St.";#N/A,#N/A,FALSE,"FYear";#N/A,#N/A,FALSE,"Revs.";#N/A,#N/A,FALSE,"RevsYear";#N/A,#N/A,FALSE,"Balance";#N/A,#N/A,FALSE,"CompVal";#N/A,#N/A,FALSE,"Val.";#N/A,#N/A,FALSE,"DCFval"}</definedName>
    <definedName name="wrn.Yahoo." hidden="1">{#N/A,#N/A,FALSE,"Inc. St.";#N/A,#N/A,FALSE,"FYear";#N/A,#N/A,FALSE,"Revs.";#N/A,#N/A,FALSE,"RevsYear";#N/A,#N/A,FALSE,"Balance";#N/A,#N/A,FALSE,"CompVal";#N/A,#N/A,FALSE,"Val.";#N/A,#N/A,FALSE,"DCFval"}</definedName>
    <definedName name="wrn.zolfo._.package." localSheetId="0" hidden="1">{#N/A,#N/A,TRUE,"income statement";#N/A,#N/A,TRUE,"balance sheet";#N/A,#N/A,TRUE,"cash flow";#N/A,#N/A,TRUE,"primary assumptions";#N/A,#N/A,TRUE,"finishing assumptions";#N/A,#N/A,TRUE,"dist. assumptions";#N/A,#N/A,TRUE,"borrowing base";#N/A,#N/A,TRUE,"sales summary";#N/A,#N/A,TRUE,"costs per ton";#N/A,#N/A,TRUE,"cogs";#N/A,#N/A,TRUE,"Coke";#N/A,#N/A,TRUE,"coke conversion";#N/A,#N/A,TRUE,"BF #1";#N/A,#N/A,TRUE,"bf1 conversion";#N/A,#N/A,TRUE,"BF #5";#N/A,#N/A,TRUE,"bf5 conversion";#N/A,#N/A,TRUE,"BOF";#N/A,#N/A,TRUE,"bof conversion";#N/A,#N/A,TRUE,"EAF";#N/A,#N/A,TRUE,"eaf conversion";#N/A,#N/A,TRUE,"Caster";#N/A,#N/A,TRUE,"caster conversion";#N/A,#N/A,TRUE,"HSM";#N/A,#N/A,TRUE,"hsm conversion";#N/A,#N/A,TRUE,"Stbnvl";#N/A,#N/A,TRUE,"stbvl pickler";#N/A,#N/A,TRUE,"stbvl 14";#N/A,#N/A,TRUE,"stbvl slitter";#N/A,#N/A,TRUE,"Allenport";#N/A,#N/A,TRUE,"alport pickler";#N/A,#N/A,TRUE,"alport tandem";#N/A,#N/A,TRUE,"alport anneal";#N/A,#N/A,TRUE,"alport temper";#N/A,#N/A,TRUE,"Yorkville";#N/A,#N/A,TRUE,"ykvl pickler";#N/A,#N/A,TRUE,"ykvl tandem";#N/A,#N/A,TRUE,"ykvl cont annel";#N/A,#N/A,TRUE,"ykvl washer";#N/A,#N/A,TRUE,"ykvl batch anneal";#N/A,#N/A,TRUE,"ykvl 8";#N/A,#N/A,TRUE,"ykvl 11";#N/A,#N/A,TRUE,"ykvl DR";#N/A,#N/A,TRUE,"MF";#N/A,#N/A,TRUE,"mf 36";#N/A,#N/A,TRUE,"mf 48";#N/A,#N/A,TRUE,"mf 60";#N/A,#N/A,TRUE,"Canfield";#N/A,#N/A,TRUE,"can eg";#N/A,#N/A,TRUE,"can paint";#N/A,#N/A,TRUE,"can oscilate";#N/A,#N/A,TRUE,"can slitter";#N/A,#N/A,TRUE,"WCC"}</definedName>
    <definedName name="wrn.zolfo._.package." localSheetId="6" hidden="1">{#N/A,#N/A,TRUE,"income statement";#N/A,#N/A,TRUE,"balance sheet";#N/A,#N/A,TRUE,"cash flow";#N/A,#N/A,TRUE,"primary assumptions";#N/A,#N/A,TRUE,"finishing assumptions";#N/A,#N/A,TRUE,"dist. assumptions";#N/A,#N/A,TRUE,"borrowing base";#N/A,#N/A,TRUE,"sales summary";#N/A,#N/A,TRUE,"costs per ton";#N/A,#N/A,TRUE,"cogs";#N/A,#N/A,TRUE,"Coke";#N/A,#N/A,TRUE,"coke conversion";#N/A,#N/A,TRUE,"BF #1";#N/A,#N/A,TRUE,"bf1 conversion";#N/A,#N/A,TRUE,"BF #5";#N/A,#N/A,TRUE,"bf5 conversion";#N/A,#N/A,TRUE,"BOF";#N/A,#N/A,TRUE,"bof conversion";#N/A,#N/A,TRUE,"EAF";#N/A,#N/A,TRUE,"eaf conversion";#N/A,#N/A,TRUE,"Caster";#N/A,#N/A,TRUE,"caster conversion";#N/A,#N/A,TRUE,"HSM";#N/A,#N/A,TRUE,"hsm conversion";#N/A,#N/A,TRUE,"Stbnvl";#N/A,#N/A,TRUE,"stbvl pickler";#N/A,#N/A,TRUE,"stbvl 14";#N/A,#N/A,TRUE,"stbvl slitter";#N/A,#N/A,TRUE,"Allenport";#N/A,#N/A,TRUE,"alport pickler";#N/A,#N/A,TRUE,"alport tandem";#N/A,#N/A,TRUE,"alport anneal";#N/A,#N/A,TRUE,"alport temper";#N/A,#N/A,TRUE,"Yorkville";#N/A,#N/A,TRUE,"ykvl pickler";#N/A,#N/A,TRUE,"ykvl tandem";#N/A,#N/A,TRUE,"ykvl cont annel";#N/A,#N/A,TRUE,"ykvl washer";#N/A,#N/A,TRUE,"ykvl batch anneal";#N/A,#N/A,TRUE,"ykvl 8";#N/A,#N/A,TRUE,"ykvl 11";#N/A,#N/A,TRUE,"ykvl DR";#N/A,#N/A,TRUE,"MF";#N/A,#N/A,TRUE,"mf 36";#N/A,#N/A,TRUE,"mf 48";#N/A,#N/A,TRUE,"mf 60";#N/A,#N/A,TRUE,"Canfield";#N/A,#N/A,TRUE,"can eg";#N/A,#N/A,TRUE,"can paint";#N/A,#N/A,TRUE,"can oscilate";#N/A,#N/A,TRUE,"can slitter";#N/A,#N/A,TRUE,"WCC"}</definedName>
    <definedName name="wrn.zolfo._.package." hidden="1">{#N/A,#N/A,TRUE,"income statement";#N/A,#N/A,TRUE,"balance sheet";#N/A,#N/A,TRUE,"cash flow";#N/A,#N/A,TRUE,"primary assumptions";#N/A,#N/A,TRUE,"finishing assumptions";#N/A,#N/A,TRUE,"dist. assumptions";#N/A,#N/A,TRUE,"borrowing base";#N/A,#N/A,TRUE,"sales summary";#N/A,#N/A,TRUE,"costs per ton";#N/A,#N/A,TRUE,"cogs";#N/A,#N/A,TRUE,"Coke";#N/A,#N/A,TRUE,"coke conversion";#N/A,#N/A,TRUE,"BF #1";#N/A,#N/A,TRUE,"bf1 conversion";#N/A,#N/A,TRUE,"BF #5";#N/A,#N/A,TRUE,"bf5 conversion";#N/A,#N/A,TRUE,"BOF";#N/A,#N/A,TRUE,"bof conversion";#N/A,#N/A,TRUE,"EAF";#N/A,#N/A,TRUE,"eaf conversion";#N/A,#N/A,TRUE,"Caster";#N/A,#N/A,TRUE,"caster conversion";#N/A,#N/A,TRUE,"HSM";#N/A,#N/A,TRUE,"hsm conversion";#N/A,#N/A,TRUE,"Stbnvl";#N/A,#N/A,TRUE,"stbvl pickler";#N/A,#N/A,TRUE,"stbvl 14";#N/A,#N/A,TRUE,"stbvl slitter";#N/A,#N/A,TRUE,"Allenport";#N/A,#N/A,TRUE,"alport pickler";#N/A,#N/A,TRUE,"alport tandem";#N/A,#N/A,TRUE,"alport anneal";#N/A,#N/A,TRUE,"alport temper";#N/A,#N/A,TRUE,"Yorkville";#N/A,#N/A,TRUE,"ykvl pickler";#N/A,#N/A,TRUE,"ykvl tandem";#N/A,#N/A,TRUE,"ykvl cont annel";#N/A,#N/A,TRUE,"ykvl washer";#N/A,#N/A,TRUE,"ykvl batch anneal";#N/A,#N/A,TRUE,"ykvl 8";#N/A,#N/A,TRUE,"ykvl 11";#N/A,#N/A,TRUE,"ykvl DR";#N/A,#N/A,TRUE,"MF";#N/A,#N/A,TRUE,"mf 36";#N/A,#N/A,TRUE,"mf 48";#N/A,#N/A,TRUE,"mf 60";#N/A,#N/A,TRUE,"Canfield";#N/A,#N/A,TRUE,"can eg";#N/A,#N/A,TRUE,"can paint";#N/A,#N/A,TRUE,"can oscilate";#N/A,#N/A,TRUE,"can slitter";#N/A,#N/A,TRUE,"WCC"}</definedName>
    <definedName name="wrn.דוח._.כספי._.מלא." localSheetId="6" hidden="1">{"Balance Sheet",#N/A,FALSE,"Appendix C.F.";"P&amp;L",#N/A,FALSE,"Appendix C.F.";"Equity Q",#N/A,FALSE,"Appendix C.F.";"Equity Anual",#N/A,FALSE,"Appendix C.F.";"Equity $",#N/A,FALSE,"Appendix C.F.";"Cash flow",#N/A,FALSE,"Appendix C.F.";"Appendix C.F.",#N/A,FALSE,"Appendix C.F."}</definedName>
    <definedName name="wrn.דוח._.כספי._.מלא." hidden="1">{"Balance Sheet",#N/A,FALSE,"Appendix C.F.";"P&amp;L",#N/A,FALSE,"Appendix C.F.";"Equity Q",#N/A,FALSE,"Appendix C.F.";"Equity Anual",#N/A,FALSE,"Appendix C.F.";"Equity $",#N/A,FALSE,"Appendix C.F.";"Cash flow",#N/A,FALSE,"Appendix C.F.";"Appendix C.F.",#N/A,FALSE,"Appendix C.F."}</definedName>
    <definedName name="wrn.דוח._.עבור._.כרמלה." localSheetId="6" hidden="1">{"רווח גולמי",#N/A,FALSE,"הסברים";"ריכוז",#N/A,FALSE,"הסברים";"מלאי חומרי גלם",#N/A,FALSE,"הסברים";"תהליך",#N/A,FALSE,"הסברים";"תוצג",#N/A,FALSE,"הסברים";"דוגמאות",#N/A,FALSE,"הסברים";"פיפו",#N/A,FALSE,"הסברים";"תרומה",#N/A,FALSE,"הסברים";"פיצול מכירות",#N/A,FALSE,"הסברים";"הסברים",#N/A,FALSE,"הסברים"}</definedName>
    <definedName name="wrn.דוח._.עבור._.כרמלה." hidden="1">{"רווח גולמי",#N/A,FALSE,"הסברים";"ריכוז",#N/A,FALSE,"הסברים";"מלאי חומרי גלם",#N/A,FALSE,"הסברים";"תהליך",#N/A,FALSE,"הסברים";"תוצג",#N/A,FALSE,"הסברים";"דוגמאות",#N/A,FALSE,"הסברים";"פיפו",#N/A,FALSE,"הסברים";"תרומה",#N/A,FALSE,"הסברים";"פיצול מכירות",#N/A,FALSE,"הסברים";"הסברים",#N/A,FALSE,"הסברים"}</definedName>
    <definedName name="wrn.דוח._.עבור._.מבקרים." localSheetId="6" hidden="1">{"הנהח",#N/A,FALSE,"הסברים";"מלאי חומרי גלם",#N/A,FALSE,"הסברים";"תהליך",#N/A,FALSE,"הסברים";"תוצג",#N/A,FALSE,"הסברים";"רווח גולמי",#N/A,FALSE,"הסברים"}</definedName>
    <definedName name="wrn.דוח._.עבור._.מבקרים." hidden="1">{"הנהח",#N/A,FALSE,"הסברים";"מלאי חומרי גלם",#N/A,FALSE,"הסברים";"תהליך",#N/A,FALSE,"הסברים";"תוצג",#N/A,FALSE,"הסברים";"רווח גולמי",#N/A,FALSE,"הסברים"}</definedName>
    <definedName name="wrn.عوض." localSheetId="0" hidden="1">{#N/A,#N/A,FALSE,"ورقة1"}</definedName>
    <definedName name="wrn.عوض." localSheetId="6" hidden="1">{#N/A,#N/A,FALSE,"ورقة1"}</definedName>
    <definedName name="wrn.عوض." hidden="1">{#N/A,#N/A,FALSE,"ورقة1"}</definedName>
    <definedName name="wrn.경영실적분석."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wrn.경영실적분석."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wrn.보고서." localSheetId="0" hidden="1">{#N/A,#N/A,FALSE,"Sheet1";#N/A,#N/A,FALSE,"기평9607"}</definedName>
    <definedName name="wrn.보고서." localSheetId="6" hidden="1">{#N/A,#N/A,FALSE,"Sheet1";#N/A,#N/A,FALSE,"기평9607"}</definedName>
    <definedName name="wrn.보고서." hidden="1">{#N/A,#N/A,FALSE,"Sheet1";#N/A,#N/A,FALSE,"기평9607"}</definedName>
    <definedName name="wrn.손익보고." localSheetId="6"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월별._.경영._.실적._.분석."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wrn.월별._.경영._.실적._.분석."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wrn1.1.1" localSheetId="0" hidden="1">{#N/A,#N/A,FALSE,"Calc";#N/A,#N/A,FALSE,"Sensitivity";#N/A,#N/A,FALSE,"LT Earn.Dil.";#N/A,#N/A,FALSE,"Dil. AVP"}</definedName>
    <definedName name="wrn1.1.1" localSheetId="6" hidden="1">{#N/A,#N/A,FALSE,"Calc";#N/A,#N/A,FALSE,"Sensitivity";#N/A,#N/A,FALSE,"LT Earn.Dil.";#N/A,#N/A,FALSE,"Dil. AVP"}</definedName>
    <definedName name="wrn1.1.1" hidden="1">{#N/A,#N/A,FALSE,"Calc";#N/A,#N/A,FALSE,"Sensitivity";#N/A,#N/A,FALSE,"LT Earn.Dil.";#N/A,#N/A,FALSE,"Dil. AVP"}</definedName>
    <definedName name="wrn1.Revenue."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wrn1.Revenue."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wrn1.Revenue."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wrn2.all" localSheetId="0" hidden="1">{"PAGE1",#N/A,FALSE,"YIELDS";"PAGE2",#N/A,FALSE,"YIELDS";"PAGE3",#N/A,FALSE,"YIELDS"}</definedName>
    <definedName name="wrn2.all" localSheetId="6" hidden="1">{"PAGE1",#N/A,FALSE,"YIELDS";"PAGE2",#N/A,FALSE,"YIELDS";"PAGE3",#N/A,FALSE,"YIELDS"}</definedName>
    <definedName name="wrn2.all" hidden="1">{"PAGE1",#N/A,FALSE,"YIELDS";"PAGE2",#N/A,FALSE,"YIELDS";"PAGE3",#N/A,FALSE,"YIELDS"}</definedName>
    <definedName name="wrn2.all." localSheetId="0" hidden="1">{"PAGE1",#N/A,FALSE,"YIELDS";"PAGE2",#N/A,FALSE,"YIELDS";"PAGE3",#N/A,FALSE,"YIELDS"}</definedName>
    <definedName name="wrn2.all." localSheetId="6" hidden="1">{"PAGE1",#N/A,FALSE,"YIELDS";"PAGE2",#N/A,FALSE,"YIELDS";"PAGE3",#N/A,FALSE,"YIELDS"}</definedName>
    <definedName name="wrn2.all." hidden="1">{"PAGE1",#N/A,FALSE,"YIELDS";"PAGE2",#N/A,FALSE,"YIELDS";"PAGE3",#N/A,FALSE,"YIELDS"}</definedName>
    <definedName name="wrn2.Bplan." localSheetId="0" hidden="1">{#N/A,#N/A,FALSE,"F_Plan";#N/A,#N/A,FALSE,"Parameter"}</definedName>
    <definedName name="wrn2.Bplan." localSheetId="6" hidden="1">{#N/A,#N/A,FALSE,"F_Plan";#N/A,#N/A,FALSE,"Parameter"}</definedName>
    <definedName name="wrn2.Bplan." hidden="1">{#N/A,#N/A,FALSE,"F_Plan";#N/A,#N/A,FALSE,"Parameter"}</definedName>
    <definedName name="WRN2.Document" localSheetId="0" hidden="1">{"consolidated",#N/A,FALSE,"Sheet1";"cms",#N/A,FALSE,"Sheet1";"fse",#N/A,FALSE,"Sheet1"}</definedName>
    <definedName name="WRN2.Document" localSheetId="6" hidden="1">{"consolidated",#N/A,FALSE,"Sheet1";"cms",#N/A,FALSE,"Sheet1";"fse",#N/A,FALSE,"Sheet1"}</definedName>
    <definedName name="WRN2.Document" hidden="1">{"consolidated",#N/A,FALSE,"Sheet1";"cms",#N/A,FALSE,"Sheet1";"fse",#N/A,FALSE,"Sheet1"}</definedName>
    <definedName name="wrn2.gasodem." localSheetId="0" hidden="1">{"monthly",#N/A,FALSE,"GASODEM";"qtr to yr",#N/A,FALSE,"GASODEM"}</definedName>
    <definedName name="wrn2.gasodem." localSheetId="6" hidden="1">{"monthly",#N/A,FALSE,"GASODEM";"qtr to yr",#N/A,FALSE,"GASODEM"}</definedName>
    <definedName name="wrn2.gasodem." hidden="1">{"monthly",#N/A,FALSE,"GASODEM";"qtr to yr",#N/A,FALSE,"GASODEM"}</definedName>
    <definedName name="wrn3.ALL." localSheetId="0" hidden="1">{#N/A,#N/A,FALSE,"DCF";#N/A,#N/A,FALSE,"WACC";#N/A,#N/A,FALSE,"Sales_EBIT";#N/A,#N/A,FALSE,"Capex_Depreciation";#N/A,#N/A,FALSE,"WC";#N/A,#N/A,FALSE,"Interest";#N/A,#N/A,FALSE,"Assumptions"}</definedName>
    <definedName name="wrn3.ALL." localSheetId="6" hidden="1">{#N/A,#N/A,FALSE,"DCF";#N/A,#N/A,FALSE,"WACC";#N/A,#N/A,FALSE,"Sales_EBIT";#N/A,#N/A,FALSE,"Capex_Depreciation";#N/A,#N/A,FALSE,"WC";#N/A,#N/A,FALSE,"Interest";#N/A,#N/A,FALSE,"Assumptions"}</definedName>
    <definedName name="wrn3.ALL." hidden="1">{#N/A,#N/A,FALSE,"DCF";#N/A,#N/A,FALSE,"WACC";#N/A,#N/A,FALSE,"Sales_EBIT";#N/A,#N/A,FALSE,"Capex_Depreciation";#N/A,#N/A,FALSE,"WC";#N/A,#N/A,FALSE,"Interest";#N/A,#N/A,FALSE,"Assumptions"}</definedName>
    <definedName name="wrna.prod" localSheetId="0" hidden="1">{#N/A,#N/A,FALSE,"1";#N/A,#N/A,FALSE,"2";#N/A,#N/A,FALSE,"16 - 17";#N/A,#N/A,FALSE,"18 - 19";#N/A,#N/A,FALSE,"26";#N/A,#N/A,FALSE,"27";#N/A,#N/A,FALSE,"28"}</definedName>
    <definedName name="wrna.prod" localSheetId="6" hidden="1">{#N/A,#N/A,FALSE,"1";#N/A,#N/A,FALSE,"2";#N/A,#N/A,FALSE,"16 - 17";#N/A,#N/A,FALSE,"18 - 19";#N/A,#N/A,FALSE,"26";#N/A,#N/A,FALSE,"27";#N/A,#N/A,FALSE,"28"}</definedName>
    <definedName name="wrna.prod" hidden="1">{#N/A,#N/A,FALSE,"1";#N/A,#N/A,FALSE,"2";#N/A,#N/A,FALSE,"16 - 17";#N/A,#N/A,FALSE,"18 - 19";#N/A,#N/A,FALSE,"26";#N/A,#N/A,FALSE,"27";#N/A,#N/A,FALSE,"28"}</definedName>
    <definedName name="wrna.prod_1" localSheetId="0" hidden="1">{#N/A,#N/A,FALSE,"1";#N/A,#N/A,FALSE,"2";#N/A,#N/A,FALSE,"16 - 17";#N/A,#N/A,FALSE,"18 - 19";#N/A,#N/A,FALSE,"26";#N/A,#N/A,FALSE,"27";#N/A,#N/A,FALSE,"28"}</definedName>
    <definedName name="wrna.prod_1" localSheetId="6" hidden="1">{#N/A,#N/A,FALSE,"1";#N/A,#N/A,FALSE,"2";#N/A,#N/A,FALSE,"16 - 17";#N/A,#N/A,FALSE,"18 - 19";#N/A,#N/A,FALSE,"26";#N/A,#N/A,FALSE,"27";#N/A,#N/A,FALSE,"28"}</definedName>
    <definedName name="wrna.prod_1" hidden="1">{#N/A,#N/A,FALSE,"1";#N/A,#N/A,FALSE,"2";#N/A,#N/A,FALSE,"16 - 17";#N/A,#N/A,FALSE,"18 - 19";#N/A,#N/A,FALSE,"26";#N/A,#N/A,FALSE,"27";#N/A,#N/A,FALSE,"28"}</definedName>
    <definedName name="wrna.prod_1_1" localSheetId="0" hidden="1">{#N/A,#N/A,FALSE,"1";#N/A,#N/A,FALSE,"2";#N/A,#N/A,FALSE,"16 - 17";#N/A,#N/A,FALSE,"18 - 19";#N/A,#N/A,FALSE,"26";#N/A,#N/A,FALSE,"27";#N/A,#N/A,FALSE,"28"}</definedName>
    <definedName name="wrna.prod_1_1" localSheetId="6" hidden="1">{#N/A,#N/A,FALSE,"1";#N/A,#N/A,FALSE,"2";#N/A,#N/A,FALSE,"16 - 17";#N/A,#N/A,FALSE,"18 - 19";#N/A,#N/A,FALSE,"26";#N/A,#N/A,FALSE,"27";#N/A,#N/A,FALSE,"28"}</definedName>
    <definedName name="wrna.prod_1_1" hidden="1">{#N/A,#N/A,FALSE,"1";#N/A,#N/A,FALSE,"2";#N/A,#N/A,FALSE,"16 - 17";#N/A,#N/A,FALSE,"18 - 19";#N/A,#N/A,FALSE,"26";#N/A,#N/A,FALSE,"27";#N/A,#N/A,FALSE,"28"}</definedName>
    <definedName name="wrna.prod_2" localSheetId="0" hidden="1">{#N/A,#N/A,FALSE,"1";#N/A,#N/A,FALSE,"2";#N/A,#N/A,FALSE,"16 - 17";#N/A,#N/A,FALSE,"18 - 19";#N/A,#N/A,FALSE,"26";#N/A,#N/A,FALSE,"27";#N/A,#N/A,FALSE,"28"}</definedName>
    <definedName name="wrna.prod_2" localSheetId="6" hidden="1">{#N/A,#N/A,FALSE,"1";#N/A,#N/A,FALSE,"2";#N/A,#N/A,FALSE,"16 - 17";#N/A,#N/A,FALSE,"18 - 19";#N/A,#N/A,FALSE,"26";#N/A,#N/A,FALSE,"27";#N/A,#N/A,FALSE,"28"}</definedName>
    <definedName name="wrna.prod_2" hidden="1">{#N/A,#N/A,FALSE,"1";#N/A,#N/A,FALSE,"2";#N/A,#N/A,FALSE,"16 - 17";#N/A,#N/A,FALSE,"18 - 19";#N/A,#N/A,FALSE,"26";#N/A,#N/A,FALSE,"27";#N/A,#N/A,FALSE,"28"}</definedName>
    <definedName name="wrna.prod_3" localSheetId="0" hidden="1">{#N/A,#N/A,FALSE,"1";#N/A,#N/A,FALSE,"2";#N/A,#N/A,FALSE,"16 - 17";#N/A,#N/A,FALSE,"18 - 19";#N/A,#N/A,FALSE,"26";#N/A,#N/A,FALSE,"27";#N/A,#N/A,FALSE,"28"}</definedName>
    <definedName name="wrna.prod_3" localSheetId="6" hidden="1">{#N/A,#N/A,FALSE,"1";#N/A,#N/A,FALSE,"2";#N/A,#N/A,FALSE,"16 - 17";#N/A,#N/A,FALSE,"18 - 19";#N/A,#N/A,FALSE,"26";#N/A,#N/A,FALSE,"27";#N/A,#N/A,FALSE,"28"}</definedName>
    <definedName name="wrna.prod_3" hidden="1">{#N/A,#N/A,FALSE,"1";#N/A,#N/A,FALSE,"2";#N/A,#N/A,FALSE,"16 - 17";#N/A,#N/A,FALSE,"18 - 19";#N/A,#N/A,FALSE,"26";#N/A,#N/A,FALSE,"27";#N/A,#N/A,FALSE,"28"}</definedName>
    <definedName name="wrna.prod_4" localSheetId="0" hidden="1">{#N/A,#N/A,FALSE,"1";#N/A,#N/A,FALSE,"2";#N/A,#N/A,FALSE,"16 - 17";#N/A,#N/A,FALSE,"18 - 19";#N/A,#N/A,FALSE,"26";#N/A,#N/A,FALSE,"27";#N/A,#N/A,FALSE,"28"}</definedName>
    <definedName name="wrna.prod_4" localSheetId="6" hidden="1">{#N/A,#N/A,FALSE,"1";#N/A,#N/A,FALSE,"2";#N/A,#N/A,FALSE,"16 - 17";#N/A,#N/A,FALSE,"18 - 19";#N/A,#N/A,FALSE,"26";#N/A,#N/A,FALSE,"27";#N/A,#N/A,FALSE,"28"}</definedName>
    <definedName name="wrna.prod_4" hidden="1">{#N/A,#N/A,FALSE,"1";#N/A,#N/A,FALSE,"2";#N/A,#N/A,FALSE,"16 - 17";#N/A,#N/A,FALSE,"18 - 19";#N/A,#N/A,FALSE,"26";#N/A,#N/A,FALSE,"27";#N/A,#N/A,FALSE,"28"}</definedName>
    <definedName name="wrna.prod_5" localSheetId="0" hidden="1">{#N/A,#N/A,FALSE,"1";#N/A,#N/A,FALSE,"2";#N/A,#N/A,FALSE,"16 - 17";#N/A,#N/A,FALSE,"18 - 19";#N/A,#N/A,FALSE,"26";#N/A,#N/A,FALSE,"27";#N/A,#N/A,FALSE,"28"}</definedName>
    <definedName name="wrna.prod_5" localSheetId="6" hidden="1">{#N/A,#N/A,FALSE,"1";#N/A,#N/A,FALSE,"2";#N/A,#N/A,FALSE,"16 - 17";#N/A,#N/A,FALSE,"18 - 19";#N/A,#N/A,FALSE,"26";#N/A,#N/A,FALSE,"27";#N/A,#N/A,FALSE,"28"}</definedName>
    <definedName name="wrna.prod_5" hidden="1">{#N/A,#N/A,FALSE,"1";#N/A,#N/A,FALSE,"2";#N/A,#N/A,FALSE,"16 - 17";#N/A,#N/A,FALSE,"18 - 19";#N/A,#N/A,FALSE,"26";#N/A,#N/A,FALSE,"27";#N/A,#N/A,FALSE,"28"}</definedName>
    <definedName name="wrnfull" localSheetId="0" hidden="1">{#N/A,#N/A,FALSE,"Cover";#N/A,#N/A,FALSE,"Instr";#N/A,#N/A,FALSE,"Pres";#N/A,#N/A,FALSE,"Outputs";#N/A,#N/A,FALSE,"Control (In)";#N/A,#N/A,FALSE,"Bidder (In)";#N/A,#N/A,FALSE,"Target (In)";#N/A,#N/A,FALSE,"PL";#N/A,#N/A,FALSE,"BS";#N/A,#N/A,FALSE,"Disposal (In)";#N/A,#N/A,FALSE,"Options (In)";#N/A,#N/A,FALSE,"EV";#N/A,#N/A,FALSE,"Check (In)"}</definedName>
    <definedName name="wrnfull" localSheetId="6" hidden="1">{#N/A,#N/A,FALSE,"Cover";#N/A,#N/A,FALSE,"Instr";#N/A,#N/A,FALSE,"Pres";#N/A,#N/A,FALSE,"Outputs";#N/A,#N/A,FALSE,"Control (In)";#N/A,#N/A,FALSE,"Bidder (In)";#N/A,#N/A,FALSE,"Target (In)";#N/A,#N/A,FALSE,"PL";#N/A,#N/A,FALSE,"BS";#N/A,#N/A,FALSE,"Disposal (In)";#N/A,#N/A,FALSE,"Options (In)";#N/A,#N/A,FALSE,"EV";#N/A,#N/A,FALSE,"Check (In)"}</definedName>
    <definedName name="wrnfull" hidden="1">{#N/A,#N/A,FALSE,"Cover";#N/A,#N/A,FALSE,"Instr";#N/A,#N/A,FALSE,"Pres";#N/A,#N/A,FALSE,"Outputs";#N/A,#N/A,FALSE,"Control (In)";#N/A,#N/A,FALSE,"Bidder (In)";#N/A,#N/A,FALSE,"Target (In)";#N/A,#N/A,FALSE,"PL";#N/A,#N/A,FALSE,"BS";#N/A,#N/A,FALSE,"Disposal (In)";#N/A,#N/A,FALSE,"Options (In)";#N/A,#N/A,FALSE,"EV";#N/A,#N/A,FALSE,"Check (In)"}</definedName>
    <definedName name="wrnfy97" localSheetId="0" hidden="1">{#N/A,#N/A,FALSE,"FY97";#N/A,#N/A,FALSE,"FY98";#N/A,#N/A,FALSE,"FY99";#N/A,#N/A,FALSE,"FY00";#N/A,#N/A,FALSE,"FY01"}</definedName>
    <definedName name="wrnfy97" localSheetId="6" hidden="1">{#N/A,#N/A,FALSE,"FY97";#N/A,#N/A,FALSE,"FY98";#N/A,#N/A,FALSE,"FY99";#N/A,#N/A,FALSE,"FY00";#N/A,#N/A,FALSE,"FY01"}</definedName>
    <definedName name="wrnfy97" hidden="1">{#N/A,#N/A,FALSE,"FY97";#N/A,#N/A,FALSE,"FY98";#N/A,#N/A,FALSE,"FY99";#N/A,#N/A,FALSE,"FY00";#N/A,#N/A,FALSE,"FY01"}</definedName>
    <definedName name="WRR" localSheetId="0" hidden="1">{#N/A,#N/A,FALSE,"Pharm";#N/A,#N/A,FALSE,"WWCM"}</definedName>
    <definedName name="WRR" localSheetId="6" hidden="1">{#N/A,#N/A,FALSE,"Pharm";#N/A,#N/A,FALSE,"WWCM"}</definedName>
    <definedName name="WRR" hidden="1">{#N/A,#N/A,FALSE,"Pharm";#N/A,#N/A,FALSE,"WWCM"}</definedName>
    <definedName name="WRR_1" localSheetId="0" hidden="1">{#N/A,#N/A,FALSE,"Pharm";#N/A,#N/A,FALSE,"WWCM"}</definedName>
    <definedName name="WRR_1" localSheetId="6" hidden="1">{#N/A,#N/A,FALSE,"Pharm";#N/A,#N/A,FALSE,"WWCM"}</definedName>
    <definedName name="WRR_1" hidden="1">{#N/A,#N/A,FALSE,"Pharm";#N/A,#N/A,FALSE,"WWCM"}</definedName>
    <definedName name="WRR_1_1" localSheetId="0" hidden="1">{#N/A,#N/A,FALSE,"Pharm";#N/A,#N/A,FALSE,"WWCM"}</definedName>
    <definedName name="WRR_1_1" localSheetId="6" hidden="1">{#N/A,#N/A,FALSE,"Pharm";#N/A,#N/A,FALSE,"WWCM"}</definedName>
    <definedName name="WRR_1_1" hidden="1">{#N/A,#N/A,FALSE,"Pharm";#N/A,#N/A,FALSE,"WWCM"}</definedName>
    <definedName name="WRR_2" localSheetId="0" hidden="1">{#N/A,#N/A,FALSE,"Pharm";#N/A,#N/A,FALSE,"WWCM"}</definedName>
    <definedName name="WRR_2" localSheetId="6" hidden="1">{#N/A,#N/A,FALSE,"Pharm";#N/A,#N/A,FALSE,"WWCM"}</definedName>
    <definedName name="WRR_2" hidden="1">{#N/A,#N/A,FALSE,"Pharm";#N/A,#N/A,FALSE,"WWCM"}</definedName>
    <definedName name="WRR_3" localSheetId="0" hidden="1">{#N/A,#N/A,FALSE,"Pharm";#N/A,#N/A,FALSE,"WWCM"}</definedName>
    <definedName name="WRR_3" localSheetId="6" hidden="1">{#N/A,#N/A,FALSE,"Pharm";#N/A,#N/A,FALSE,"WWCM"}</definedName>
    <definedName name="WRR_3" hidden="1">{#N/A,#N/A,FALSE,"Pharm";#N/A,#N/A,FALSE,"WWCM"}</definedName>
    <definedName name="WRR_4" localSheetId="0" hidden="1">{#N/A,#N/A,FALSE,"Pharm";#N/A,#N/A,FALSE,"WWCM"}</definedName>
    <definedName name="WRR_4" localSheetId="6" hidden="1">{#N/A,#N/A,FALSE,"Pharm";#N/A,#N/A,FALSE,"WWCM"}</definedName>
    <definedName name="WRR_4" hidden="1">{#N/A,#N/A,FALSE,"Pharm";#N/A,#N/A,FALSE,"WWCM"}</definedName>
    <definedName name="WRR_5" localSheetId="0" hidden="1">{#N/A,#N/A,FALSE,"Pharm";#N/A,#N/A,FALSE,"WWCM"}</definedName>
    <definedName name="WRR_5" localSheetId="6" hidden="1">{#N/A,#N/A,FALSE,"Pharm";#N/A,#N/A,FALSE,"WWCM"}</definedName>
    <definedName name="WRR_5" hidden="1">{#N/A,#N/A,FALSE,"Pharm";#N/A,#N/A,FALSE,"WWCM"}</definedName>
    <definedName name="wrrrrr" localSheetId="0" hidden="1">{#N/A,#N/A,FALSE,"REPORT"}</definedName>
    <definedName name="wrrrrr" localSheetId="6" hidden="1">{#N/A,#N/A,FALSE,"REPORT"}</definedName>
    <definedName name="wrrrrr" hidden="1">{#N/A,#N/A,FALSE,"REPORT"}</definedName>
    <definedName name="wrrrrr_1" localSheetId="0" hidden="1">{#N/A,#N/A,FALSE,"REPORT"}</definedName>
    <definedName name="wrrrrr_1" localSheetId="6" hidden="1">{#N/A,#N/A,FALSE,"REPORT"}</definedName>
    <definedName name="wrrrrr_1" hidden="1">{#N/A,#N/A,FALSE,"REPORT"}</definedName>
    <definedName name="wrrrrr_1_1" localSheetId="0" hidden="1">{#N/A,#N/A,FALSE,"REPORT"}</definedName>
    <definedName name="wrrrrr_1_1" localSheetId="6" hidden="1">{#N/A,#N/A,FALSE,"REPORT"}</definedName>
    <definedName name="wrrrrr_1_1" hidden="1">{#N/A,#N/A,FALSE,"REPORT"}</definedName>
    <definedName name="wrrrrr_2" localSheetId="0" hidden="1">{#N/A,#N/A,FALSE,"REPORT"}</definedName>
    <definedName name="wrrrrr_2" localSheetId="6" hidden="1">{#N/A,#N/A,FALSE,"REPORT"}</definedName>
    <definedName name="wrrrrr_2" hidden="1">{#N/A,#N/A,FALSE,"REPORT"}</definedName>
    <definedName name="wrrrrr_3" localSheetId="0" hidden="1">{#N/A,#N/A,FALSE,"REPORT"}</definedName>
    <definedName name="wrrrrr_3" localSheetId="6" hidden="1">{#N/A,#N/A,FALSE,"REPORT"}</definedName>
    <definedName name="wrrrrr_3" hidden="1">{#N/A,#N/A,FALSE,"REPORT"}</definedName>
    <definedName name="wrrrrr_4" localSheetId="0" hidden="1">{#N/A,#N/A,FALSE,"REPORT"}</definedName>
    <definedName name="wrrrrr_4" localSheetId="6" hidden="1">{#N/A,#N/A,FALSE,"REPORT"}</definedName>
    <definedName name="wrrrrr_4" hidden="1">{#N/A,#N/A,FALSE,"REPORT"}</definedName>
    <definedName name="wrrrrr_5" localSheetId="0" hidden="1">{#N/A,#N/A,FALSE,"REPORT"}</definedName>
    <definedName name="wrrrrr_5" localSheetId="6" hidden="1">{#N/A,#N/A,FALSE,"REPORT"}</definedName>
    <definedName name="wrrrrr_5" hidden="1">{#N/A,#N/A,FALSE,"REPORT"}</definedName>
    <definedName name="wrt"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wrt"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wrwer" localSheetId="0" hidden="1">{#N/A,#N/A,FALSE,"Umsatz 99";#N/A,#N/A,FALSE,"ER 99 "}</definedName>
    <definedName name="wrwer" localSheetId="6" hidden="1">{#N/A,#N/A,FALSE,"Umsatz 99";#N/A,#N/A,FALSE,"ER 99 "}</definedName>
    <definedName name="wrwer" hidden="1">{#N/A,#N/A,FALSE,"Umsatz 99";#N/A,#N/A,FALSE,"ER 99 "}</definedName>
    <definedName name="wrwer_1" localSheetId="0" hidden="1">{#N/A,#N/A,FALSE,"Umsatz 99";#N/A,#N/A,FALSE,"ER 99 "}</definedName>
    <definedName name="wrwer_1" localSheetId="6" hidden="1">{#N/A,#N/A,FALSE,"Umsatz 99";#N/A,#N/A,FALSE,"ER 99 "}</definedName>
    <definedName name="wrwer_1" hidden="1">{#N/A,#N/A,FALSE,"Umsatz 99";#N/A,#N/A,FALSE,"ER 99 "}</definedName>
    <definedName name="wrwer_1_1" localSheetId="0" hidden="1">{#N/A,#N/A,FALSE,"Umsatz 99";#N/A,#N/A,FALSE,"ER 99 "}</definedName>
    <definedName name="wrwer_1_1" localSheetId="6" hidden="1">{#N/A,#N/A,FALSE,"Umsatz 99";#N/A,#N/A,FALSE,"ER 99 "}</definedName>
    <definedName name="wrwer_1_1" hidden="1">{#N/A,#N/A,FALSE,"Umsatz 99";#N/A,#N/A,FALSE,"ER 99 "}</definedName>
    <definedName name="wrwer_2" localSheetId="0" hidden="1">{#N/A,#N/A,FALSE,"Umsatz 99";#N/A,#N/A,FALSE,"ER 99 "}</definedName>
    <definedName name="wrwer_2" localSheetId="6" hidden="1">{#N/A,#N/A,FALSE,"Umsatz 99";#N/A,#N/A,FALSE,"ER 99 "}</definedName>
    <definedName name="wrwer_2" hidden="1">{#N/A,#N/A,FALSE,"Umsatz 99";#N/A,#N/A,FALSE,"ER 99 "}</definedName>
    <definedName name="wrwer_3" localSheetId="0" hidden="1">{#N/A,#N/A,FALSE,"Umsatz 99";#N/A,#N/A,FALSE,"ER 99 "}</definedName>
    <definedName name="wrwer_3" localSheetId="6" hidden="1">{#N/A,#N/A,FALSE,"Umsatz 99";#N/A,#N/A,FALSE,"ER 99 "}</definedName>
    <definedName name="wrwer_3" hidden="1">{#N/A,#N/A,FALSE,"Umsatz 99";#N/A,#N/A,FALSE,"ER 99 "}</definedName>
    <definedName name="wrwer_4" localSheetId="0" hidden="1">{#N/A,#N/A,FALSE,"Umsatz 99";#N/A,#N/A,FALSE,"ER 99 "}</definedName>
    <definedName name="wrwer_4" localSheetId="6" hidden="1">{#N/A,#N/A,FALSE,"Umsatz 99";#N/A,#N/A,FALSE,"ER 99 "}</definedName>
    <definedName name="wrwer_4" hidden="1">{#N/A,#N/A,FALSE,"Umsatz 99";#N/A,#N/A,FALSE,"ER 99 "}</definedName>
    <definedName name="wrwer_5" localSheetId="0" hidden="1">{#N/A,#N/A,FALSE,"Umsatz 99";#N/A,#N/A,FALSE,"ER 99 "}</definedName>
    <definedName name="wrwer_5" localSheetId="6" hidden="1">{#N/A,#N/A,FALSE,"Umsatz 99";#N/A,#N/A,FALSE,"ER 99 "}</definedName>
    <definedName name="wrwer_5" hidden="1">{#N/A,#N/A,FALSE,"Umsatz 99";#N/A,#N/A,FALSE,"ER 99 "}</definedName>
    <definedName name="wsetm" localSheetId="6" hidden="1">{#N/A,#N/A,FALSE,"Eastern";#N/A,#N/A,FALSE,"Western"}</definedName>
    <definedName name="wsetm" hidden="1">{#N/A,#N/A,FALSE,"Eastern";#N/A,#N/A,FALSE,"Western"}</definedName>
    <definedName name="wsgwef" hidden="1">#REF!</definedName>
    <definedName name="wsr" localSheetId="6" hidden="1">{#N/A,#N/A,FALSE,"Assessment";#N/A,#N/A,FALSE,"Staffing";#N/A,#N/A,FALSE,"Hires";#N/A,#N/A,FALSE,"Assumptions"}</definedName>
    <definedName name="wsr" hidden="1">{#N/A,#N/A,FALSE,"Assessment";#N/A,#N/A,FALSE,"Staffing";#N/A,#N/A,FALSE,"Hires";#N/A,#N/A,FALSE,"Assumptions"}</definedName>
    <definedName name="wss" hidden="1">#REF!</definedName>
    <definedName name="wsww" localSheetId="6" hidden="1">{#N/A,#N/A,TRUE,"FA 1 &amp; 2";#N/A,#N/A,TRUE,"FA 3 &amp; 4";#N/A,#N/A,TRUE,"FA 5 &amp; 6";#N/A,#N/A,TRUE,"FA 7 &amp; 8";#N/A,#N/A,TRUE,"FA 9 &amp; 10";#N/A,#N/A,TRUE,"FA 11";#N/A,#N/A,TRUE,"FA 12";#N/A,#N/A,TRUE,"FA 13";#N/A,#N/A,TRUE,"FA 14 &amp; 15"}</definedName>
    <definedName name="wsww" hidden="1">{#N/A,#N/A,TRUE,"FA 1 &amp; 2";#N/A,#N/A,TRUE,"FA 3 &amp; 4";#N/A,#N/A,TRUE,"FA 5 &amp; 6";#N/A,#N/A,TRUE,"FA 7 &amp; 8";#N/A,#N/A,TRUE,"FA 9 &amp; 10";#N/A,#N/A,TRUE,"FA 11";#N/A,#N/A,TRUE,"FA 12";#N/A,#N/A,TRUE,"FA 13";#N/A,#N/A,TRUE,"FA 14 &amp; 15"}</definedName>
    <definedName name="wt" localSheetId="0" hidden="1">{#N/A,#N/A,FALSE,"FY97";#N/A,#N/A,FALSE,"FY98";#N/A,#N/A,FALSE,"FY99";#N/A,#N/A,FALSE,"FY00";#N/A,#N/A,FALSE,"FY01"}</definedName>
    <definedName name="wt" localSheetId="6" hidden="1">{#N/A,#N/A,FALSE,"FY97";#N/A,#N/A,FALSE,"FY98";#N/A,#N/A,FALSE,"FY99";#N/A,#N/A,FALSE,"FY00";#N/A,#N/A,FALSE,"FY01"}</definedName>
    <definedName name="wt" hidden="1">{#N/A,#N/A,FALSE,"FY97";#N/A,#N/A,FALSE,"FY98";#N/A,#N/A,FALSE,"FY99";#N/A,#N/A,FALSE,"FY00";#N/A,#N/A,FALSE,"FY01"}</definedName>
    <definedName name="wv" localSheetId="0" hidden="1">{#N/A,#N/A,FALSE,"Pharm";#N/A,#N/A,FALSE,"WWCM"}</definedName>
    <definedName name="wv" localSheetId="6" hidden="1">{#N/A,#N/A,FALSE,"Pharm";#N/A,#N/A,FALSE,"WWCM"}</definedName>
    <definedName name="wv" hidden="1">{#N/A,#N/A,FALSE,"Pharm";#N/A,#N/A,FALSE,"WWCM"}</definedName>
    <definedName name="wv_1" localSheetId="0" hidden="1">{#N/A,#N/A,FALSE,"Pharm";#N/A,#N/A,FALSE,"WWCM"}</definedName>
    <definedName name="wv_1" localSheetId="6" hidden="1">{#N/A,#N/A,FALSE,"Pharm";#N/A,#N/A,FALSE,"WWCM"}</definedName>
    <definedName name="wv_1" hidden="1">{#N/A,#N/A,FALSE,"Pharm";#N/A,#N/A,FALSE,"WWCM"}</definedName>
    <definedName name="wv_1_1" localSheetId="0" hidden="1">{#N/A,#N/A,FALSE,"Pharm";#N/A,#N/A,FALSE,"WWCM"}</definedName>
    <definedName name="wv_1_1" localSheetId="6" hidden="1">{#N/A,#N/A,FALSE,"Pharm";#N/A,#N/A,FALSE,"WWCM"}</definedName>
    <definedName name="wv_1_1" hidden="1">{#N/A,#N/A,FALSE,"Pharm";#N/A,#N/A,FALSE,"WWCM"}</definedName>
    <definedName name="wv_2" localSheetId="0" hidden="1">{#N/A,#N/A,FALSE,"Pharm";#N/A,#N/A,FALSE,"WWCM"}</definedName>
    <definedName name="wv_2" localSheetId="6" hidden="1">{#N/A,#N/A,FALSE,"Pharm";#N/A,#N/A,FALSE,"WWCM"}</definedName>
    <definedName name="wv_2" hidden="1">{#N/A,#N/A,FALSE,"Pharm";#N/A,#N/A,FALSE,"WWCM"}</definedName>
    <definedName name="wv_3" localSheetId="0" hidden="1">{#N/A,#N/A,FALSE,"Pharm";#N/A,#N/A,FALSE,"WWCM"}</definedName>
    <definedName name="wv_3" localSheetId="6" hidden="1">{#N/A,#N/A,FALSE,"Pharm";#N/A,#N/A,FALSE,"WWCM"}</definedName>
    <definedName name="wv_3" hidden="1">{#N/A,#N/A,FALSE,"Pharm";#N/A,#N/A,FALSE,"WWCM"}</definedName>
    <definedName name="wv_4" localSheetId="0" hidden="1">{#N/A,#N/A,FALSE,"Pharm";#N/A,#N/A,FALSE,"WWCM"}</definedName>
    <definedName name="wv_4" localSheetId="6" hidden="1">{#N/A,#N/A,FALSE,"Pharm";#N/A,#N/A,FALSE,"WWCM"}</definedName>
    <definedName name="wv_4" hidden="1">{#N/A,#N/A,FALSE,"Pharm";#N/A,#N/A,FALSE,"WWCM"}</definedName>
    <definedName name="wv_5" localSheetId="0" hidden="1">{#N/A,#N/A,FALSE,"Pharm";#N/A,#N/A,FALSE,"WWCM"}</definedName>
    <definedName name="wv_5" localSheetId="6" hidden="1">{#N/A,#N/A,FALSE,"Pharm";#N/A,#N/A,FALSE,"WWCM"}</definedName>
    <definedName name="wv_5" hidden="1">{#N/A,#N/A,FALSE,"Pharm";#N/A,#N/A,FALSE,"WWCM"}</definedName>
    <definedName name="wvu.ALL."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wvu.ALL."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wvu.ALL."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wvu.cash." localSheetId="0" hidden="1">{TRUE,TRUE,-1.25,-15.5,456.75,279.75,FALSE,FALSE,TRUE,TRUE,0,1,18,1,199,6,3,4,TRUE,TRUE,3,TRUE,1,TRUE,100,"Swvu.cash.","ACwvu.cash.",1,FALSE,FALSE,0.511811023622047,0.511811023622047,0.511811023622047,0.511811023622047,1,"","",FALSE,FALSE,FALSE,FALSE,1,#N/A,1,1,#DIV/0!,FALSE,"Rwvu.cash.",#N/A,FALSE,FALSE}</definedName>
    <definedName name="wvu.cash." localSheetId="6" hidden="1">{TRUE,TRUE,-1.25,-15.5,456.75,279.75,FALSE,FALSE,TRUE,TRUE,0,1,18,1,199,6,3,4,TRUE,TRUE,3,TRUE,1,TRUE,100,"Swvu.cash.","ACwvu.cash.",1,FALSE,FALSE,0.511811023622047,0.511811023622047,0.511811023622047,0.511811023622047,1,"","",FALSE,FALSE,FALSE,FALSE,1,#N/A,1,1,#DIV/0!,FALSE,"Rwvu.cash.",#N/A,FALSE,FALS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ce_storici." localSheetId="0" hidden="1">{TRUE,TRUE,-1.25,-15.5,484.5,301.5,FALSE,FALSE,TRUE,TRUE,0,1,#N/A,13,#N/A,7.06382978723404,20.2352941176471,1,FALSE,FALSE,3,TRUE,1,FALSE,100,"Swvu.ce_storici.","ACwvu.ce_storici.",1,FALSE,FALSE,0.36,0.44,0.984251968503937,0.984251968503937,2,"&amp;C&amp;B&amp;UBangers Distribution Italia S.p.A.","",TRUE,TRUE,FALSE,FALSE,1,110,#N/A,#N/A,"=R12C1:R242C6,R12C8,R12C8,R12C8:R75C20,R12C22:R242C30",FALSE,#N/A,#N/A,FALSE,FALSE}</definedName>
    <definedName name="wvu.ce_storici." localSheetId="6" hidden="1">{TRUE,TRUE,-1.25,-15.5,484.5,301.5,FALSE,FALSE,TRUE,TRUE,0,1,#N/A,13,#N/A,7.06382978723404,20.2352941176471,1,FALSE,FALSE,3,TRUE,1,FALSE,100,"Swvu.ce_storici.","ACwvu.ce_storici.",1,FALSE,FALSE,0.36,0.44,0.984251968503937,0.984251968503937,2,"&amp;C&amp;B&amp;UBangers Distribution Italia S.p.A.","",TRUE,TRUE,FALSE,FALSE,1,110,#N/A,#N/A,"=R12C1:R242C6,R12C8,R12C8,R12C8:R75C20,R12C22:R242C30",FALSE,#N/A,#N/A,FALSE,FALSE}</definedName>
    <definedName name="wvu.ce_storici." hidden="1">{TRUE,TRUE,-1.25,-15.5,484.5,301.5,FALSE,FALSE,TRUE,TRUE,0,1,#N/A,13,#N/A,7.06382978723404,20.2352941176471,1,FALSE,FALSE,3,TRUE,1,FALSE,100,"Swvu.ce_storici.","ACwvu.ce_storici.",1,FALSE,FALSE,0.36,0.44,0.984251968503937,0.984251968503937,2,"&amp;C&amp;B&amp;UBangers Distribution Italia S.p.A.","",TRUE,TRUE,FALSE,FALSE,1,110,#N/A,#N/A,"=R12C1:R242C6,R12C8,R12C8,R12C8:R75C20,R12C22:R242C30",FALSE,#N/A,#N/A,FALSE,FALSE}</definedName>
    <definedName name="wvu.daily._.update._.global._.sheet." localSheetId="0" hidden="1">{TRUE,TRUE,-1.25,-15.5,456.75,276.75,FALSE,FALSE,TRUE,TRUE,0,1,2,1,21,1,4,4,TRUE,TRUE,3,TRUE,1,TRUE,100,"Swvu.daily._.update._.global._.sheet.","ACwvu.daily._.update._.global._.sheet.",#N/A,FALSE,FALSE,0.393700787401575,0.393700787401575,0.984251968503937,0.984251968503937,1,"&amp;CUTILITIES : KEY DATA
&amp;A&amp;R&amp;D","&amp;LNB : Lyonnaise, Viag estimates based upon TED&amp;CPage &amp;P&amp;REuropean Yields are Gross",TRUE,FALSE,FALSE,FALSE,1,#N/A,1,1,FALSE,FALSE,#N/A,#N/A,FALSE,FALSE,FALSE,9,65532,65532,FALSE,FALSE,TRUE,TRUE,TRUE}</definedName>
    <definedName name="wvu.daily._.update._.global._.sheet." localSheetId="6" hidden="1">{TRUE,TRUE,-1.25,-15.5,456.75,276.75,FALSE,FALSE,TRUE,TRUE,0,1,2,1,21,1,4,4,TRUE,TRUE,3,TRUE,1,TRUE,100,"Swvu.daily._.update._.global._.sheet.","ACwvu.daily._.update._.global._.sheet.",#N/A,FALSE,FALSE,0.393700787401575,0.393700787401575,0.984251968503937,0.984251968503937,1,"&amp;CUTILITIES : KEY DATA
&amp;A&amp;R&amp;D","&amp;LNB : Lyonnaise, Viag estimates based upon TED&amp;CPage &amp;P&amp;REuropean Yields are Gross",TRUE,FALSE,FALSE,FALSE,1,#N/A,1,1,FALSE,FALSE,#N/A,#N/A,FALSE,FALSE,FALSE,9,65532,65532,FALSE,FALSE,TRUE,TRUE,TRUE}</definedName>
    <definedName name="wvu.daily._.update._.global._.sheet." hidden="1">{TRUE,TRUE,-1.25,-15.5,456.75,276.75,FALSE,FALSE,TRUE,TRUE,0,1,2,1,21,1,4,4,TRUE,TRUE,3,TRUE,1,TRUE,100,"Swvu.daily._.update._.global._.sheet.","ACwvu.daily._.update._.global._.sheet.",#N/A,FALSE,FALSE,0.393700787401575,0.393700787401575,0.984251968503937,0.984251968503937,1,"&amp;CUTILITIES : KEY DATA
&amp;A&amp;R&amp;D","&amp;LNB : Lyonnaise, Viag estimates based upon TED&amp;CPage &amp;P&amp;REuropean Yields are Gross",TRUE,FALSE,FALSE,FALSE,1,#N/A,1,1,FALSE,FALSE,#N/A,#N/A,FALSE,FALSE,FALSE,9,65532,65532,FALSE,FALSE,TRUE,TRUE,TRUE}</definedName>
    <definedName name="wvu.daily._.update._.summary." localSheetId="0" hidden="1">{TRUE,TRUE,-1.25,-15.5,456.75,276.75,FALSE,FALSE,TRUE,TRUE,0,1,2,1,5,1,4,4,TRUE,TRUE,3,TRUE,1,TRUE,100,"Swvu.daily._.update._.summary.","ACwvu.daily._.update._.summary.",#N/A,FALSE,FALSE,0.393700787401575,0.393700787401575,0.984251968503937,0.984251968503937,2,"&amp;C&amp;A&amp;R&amp;D","&amp;LNB : Lyonnaise, Viag estimates based upon TED&amp;CPage &amp;P&amp;REuropean Yields are Gross",TRUE,FALSE,FALSE,FALSE,1,#N/A,1,1,"=R1C1:R37C16",FALSE,#N/A,#N/A,FALSE,FALSE,FALSE,9,65532,65532,FALSE,FALSE,TRUE,TRUE,TRUE}</definedName>
    <definedName name="wvu.daily._.update._.summary." localSheetId="6" hidden="1">{TRUE,TRUE,-1.25,-15.5,456.75,276.75,FALSE,FALSE,TRUE,TRUE,0,1,2,1,5,1,4,4,TRUE,TRUE,3,TRUE,1,TRUE,100,"Swvu.daily._.update._.summary.","ACwvu.daily._.update._.summary.",#N/A,FALSE,FALSE,0.393700787401575,0.393700787401575,0.984251968503937,0.984251968503937,2,"&amp;C&amp;A&amp;R&amp;D","&amp;LNB : Lyonnaise, Viag estimates based upon TED&amp;CPage &amp;P&amp;REuropean Yields are Gross",TRUE,FALSE,FALSE,FALSE,1,#N/A,1,1,"=R1C1:R37C16",FALSE,#N/A,#N/A,FALSE,FALSE,FALSE,9,65532,65532,FALSE,FALSE,TRUE,TRUE,TRUE}</definedName>
    <definedName name="wvu.daily._.update._.summary." hidden="1">{TRUE,TRUE,-1.25,-15.5,456.75,276.75,FALSE,FALSE,TRUE,TRUE,0,1,2,1,5,1,4,4,TRUE,TRUE,3,TRUE,1,TRUE,100,"Swvu.daily._.update._.summary.","ACwvu.daily._.update._.summary.",#N/A,FALSE,FALSE,0.393700787401575,0.393700787401575,0.984251968503937,0.984251968503937,2,"&amp;C&amp;A&amp;R&amp;D","&amp;LNB : Lyonnaise, Viag estimates based upon TED&amp;CPage &amp;P&amp;REuropean Yields are Gross",TRUE,FALSE,FALSE,FALSE,1,#N/A,1,1,"=R1C1:R37C16",FALSE,#N/A,#N/A,FALSE,FALSE,FALSE,9,65532,65532,FALSE,FALSE,TRUE,TRUE,TRUE}</definedName>
    <definedName name="wvu.dd." localSheetId="0" hidden="1">{TRUE,TRUE,-1.25,-15.5,484.5,301.5,FALSE,FALSE,TRUE,TRUE,0,1,#N/A,9,#N/A,7.578125,17.4117647058824,1,FALSE,FALSE,3,TRUE,1,FALSE,100,"Swvu.dd.","ACwvu.dd.",1,FALSE,FALSE,0.748031496062992,0.354330708661417,1.73228346456693,0.275590551181102,1,"&amp;L&amp;10PASFIN - Servizi Finanziari S.p.A.
&amp;I Mergers  and Acquisitions&amp;R&amp;10Data di stampa: &amp;D
 Ore:      &amp;T","&amp;R&amp;""Times New Roman""Pagina &amp;P",FALSE,FALSE,FALSE,FALSE,1,100,#N/A,#N/A,"=R59C1:R283C7",FALSE,#N/A,#N/A,FALSE,FALSE}</definedName>
    <definedName name="wvu.dd." localSheetId="6" hidden="1">{TRUE,TRUE,-1.25,-15.5,484.5,301.5,FALSE,FALSE,TRUE,TRUE,0,1,#N/A,9,#N/A,7.578125,17.4117647058824,1,FALSE,FALSE,3,TRUE,1,FALSE,100,"Swvu.dd.","ACwvu.dd.",1,FALSE,FALSE,0.748031496062992,0.354330708661417,1.73228346456693,0.275590551181102,1,"&amp;L&amp;10PASFIN - Servizi Finanziari S.p.A.
&amp;I Mergers  and Acquisitions&amp;R&amp;10Data di stampa: &amp;D
 Ore:      &amp;T","&amp;R&amp;""Times New Roman""Pagina &amp;P",FALSE,FALSE,FALSE,FALSE,1,100,#N/A,#N/A,"=R59C1:R283C7",FALSE,#N/A,#N/A,FALSE,FALSE}</definedName>
    <definedName name="wvu.dd." hidden="1">{TRUE,TRUE,-1.25,-15.5,484.5,301.5,FALSE,FALSE,TRUE,TRUE,0,1,#N/A,9,#N/A,7.578125,17.4117647058824,1,FALSE,FALSE,3,TRUE,1,FALSE,100,"Swvu.dd.","ACwvu.dd.",1,FALSE,FALSE,0.748031496062992,0.354330708661417,1.73228346456693,0.275590551181102,1,"&amp;L&amp;10PASFIN - Servizi Finanziari S.p.A.
&amp;I Mergers  and Acquisitions&amp;R&amp;10Data di stampa: &amp;D
 Ore:      &amp;T","&amp;R&amp;""Times New Roman""Pagina &amp;P",FALSE,FALSE,FALSE,FALSE,1,100,#N/A,#N/A,"=R59C1:R283C7",FALSE,#N/A,#N/A,FALSE,FALSE}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profits." localSheetId="0" hidden="1">{TRUE,TRUE,-1.25,-15.5,456.75,279.75,FALSE,FALSE,TRUE,TRUE,0,1,21,1,127,6,3,4,TRUE,TRUE,3,TRUE,1,TRUE,100,"Swvu.profits.","ACwvu.profits.",1,FALSE,FALSE,0.511811023622047,0.511811023622047,0.511811023622047,0.511811023622047,1,"","",FALSE,FALSE,FALSE,FALSE,1,#N/A,1,1,#DIV/0!,FALSE,"Rwvu.profits.",#N/A,FALSE,FALSE}</definedName>
    <definedName name="wvu.profits." localSheetId="6" hidden="1">{TRUE,TRUE,-1.25,-15.5,456.75,279.75,FALSE,FALSE,TRUE,TRUE,0,1,21,1,127,6,3,4,TRUE,TRUE,3,TRUE,1,TRUE,100,"Swvu.profits.","ACwvu.profits.",1,FALSE,FALSE,0.511811023622047,0.511811023622047,0.511811023622047,0.511811023622047,1,"","",FALSE,FALSE,FALSE,FALSE,1,#N/A,1,1,#DIV/0!,FALSE,"Rwvu.profits.",#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urnover." localSheetId="0" hidden="1">{TRUE,TRUE,-1.25,-15.5,456.75,279.75,FALSE,FALSE,TRUE,TRUE,0,1,8,1,4,6,3,4,TRUE,TRUE,3,TRUE,1,TRUE,100,"Swvu.turnover.","ACwvu.turnover.",1,FALSE,FALSE,0.511811023622047,0.511811023622047,0.511811023622047,0.511811023622047,1,"","",FALSE,FALSE,FALSE,FALSE,1,#N/A,1,1,#DIV/0!,FALSE,"Rwvu.turnover.",#N/A,FALSE,FALSE}</definedName>
    <definedName name="wvu.turnover." localSheetId="6" hidden="1">{TRUE,TRUE,-1.25,-15.5,456.75,279.75,FALSE,FALSE,TRUE,TRUE,0,1,8,1,4,6,3,4,TRUE,TRUE,3,TRUE,1,TRUE,100,"Swvu.turnover.","ACwvu.turnover.",1,FALSE,FALSE,0.511811023622047,0.511811023622047,0.511811023622047,0.511811023622047,1,"","",FALSE,FALSE,FALSE,FALSE,1,#N/A,1,1,#DIV/0!,FALSE,"Rwvu.turnover.",#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WVU1.1ALL" localSheetId="0"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WVU1.1ALL" localSheetId="6"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WVU1.1ALL" hidden="1">{TRUE,TRUE,13.75,16,456,262.5,FALSE,TRUE,TRUE,TRUE,0,1,#N/A,7,#N/A,9.4375,9.14285714285714,1,FALSE,FALSE,1,TRUE,1,FALSE,75,"Swvu.ALL.","ACwvu.ALL.",#N/A,FALSE,FALSE,0.236220472440945,0.236220472440945,0.236220472440945,1.10236220472441,1,"","",TRUE,FALSE,FALSE,FALSE,1,100,#N/A,#N/A,FALSE,FALSE,"Rwvu.ALL.",#N/A,FALSE,FALSE,FALSE,9,0,0,FALSE,FALSE,TRUE,TRUE,TRUE}</definedName>
    <definedName name="wvwvsdf" hidden="1">#REF!</definedName>
    <definedName name="ww" localSheetId="0" hidden="1">{"DEBAN","COMPANIES",TRUE}</definedName>
    <definedName name="ww" localSheetId="6" hidden="1">{"DEBAN","COMPANIES",TRUE}</definedName>
    <definedName name="ww" hidden="1">{"DEBAN","COMPANIES",TRUE}</definedName>
    <definedName name="ww_1" localSheetId="0" hidden="1">{#N/A,#N/A,FALSE,"Pharm";#N/A,#N/A,FALSE,"WWCM"}</definedName>
    <definedName name="ww_1" localSheetId="6" hidden="1">{#N/A,#N/A,FALSE,"Pharm";#N/A,#N/A,FALSE,"WWCM"}</definedName>
    <definedName name="ww_1" hidden="1">{#N/A,#N/A,FALSE,"Pharm";#N/A,#N/A,FALSE,"WWCM"}</definedName>
    <definedName name="ww_1_1" localSheetId="0" hidden="1">{#N/A,#N/A,FALSE,"Pharm";#N/A,#N/A,FALSE,"WWCM"}</definedName>
    <definedName name="ww_1_1" localSheetId="6" hidden="1">{#N/A,#N/A,FALSE,"Pharm";#N/A,#N/A,FALSE,"WWCM"}</definedName>
    <definedName name="ww_1_1" hidden="1">{#N/A,#N/A,FALSE,"Pharm";#N/A,#N/A,FALSE,"WWCM"}</definedName>
    <definedName name="ww_2" localSheetId="0" hidden="1">{#N/A,#N/A,FALSE,"Pharm";#N/A,#N/A,FALSE,"WWCM"}</definedName>
    <definedName name="ww_2" localSheetId="6" hidden="1">{#N/A,#N/A,FALSE,"Pharm";#N/A,#N/A,FALSE,"WWCM"}</definedName>
    <definedName name="ww_2" hidden="1">{#N/A,#N/A,FALSE,"Pharm";#N/A,#N/A,FALSE,"WWCM"}</definedName>
    <definedName name="ww_3" localSheetId="0" hidden="1">{#N/A,#N/A,FALSE,"Pharm";#N/A,#N/A,FALSE,"WWCM"}</definedName>
    <definedName name="ww_3" localSheetId="6" hidden="1">{#N/A,#N/A,FALSE,"Pharm";#N/A,#N/A,FALSE,"WWCM"}</definedName>
    <definedName name="ww_3" hidden="1">{#N/A,#N/A,FALSE,"Pharm";#N/A,#N/A,FALSE,"WWCM"}</definedName>
    <definedName name="ww_4" localSheetId="0" hidden="1">{#N/A,#N/A,FALSE,"Pharm";#N/A,#N/A,FALSE,"WWCM"}</definedName>
    <definedName name="ww_4" localSheetId="6" hidden="1">{#N/A,#N/A,FALSE,"Pharm";#N/A,#N/A,FALSE,"WWCM"}</definedName>
    <definedName name="ww_4" hidden="1">{#N/A,#N/A,FALSE,"Pharm";#N/A,#N/A,FALSE,"WWCM"}</definedName>
    <definedName name="ww_5" localSheetId="0" hidden="1">{#N/A,#N/A,FALSE,"Pharm";#N/A,#N/A,FALSE,"WWCM"}</definedName>
    <definedName name="ww_5" localSheetId="6" hidden="1">{#N/A,#N/A,FALSE,"Pharm";#N/A,#N/A,FALSE,"WWCM"}</definedName>
    <definedName name="ww_5" hidden="1">{#N/A,#N/A,FALSE,"Pharm";#N/A,#N/A,FALSE,"WWCM"}</definedName>
    <definedName name="wwc" localSheetId="6" hidden="1">{"VIEW1",#N/A,FALSE,"P&amp;L Account 2001-2002";"VIEW2",#N/A,FALSE,"P&amp;L Account 2001-2002";"VIEW3",#N/A,FALSE,"P&amp;L Account 2001-2002";"VIEW4",#N/A,FALSE,"P&amp;L Account 2001-2002"}</definedName>
    <definedName name="wwc" hidden="1">{"VIEW1",#N/A,FALSE,"P&amp;L Account 2001-2002";"VIEW2",#N/A,FALSE,"P&amp;L Account 2001-2002";"VIEW3",#N/A,FALSE,"P&amp;L Account 2001-2002";"VIEW4",#N/A,FALSE,"P&amp;L Account 2001-2002"}</definedName>
    <definedName name="wwe.kkjk" localSheetId="0" hidden="1">{#N/A,#N/A,FALSE,"Umsatz CH";#N/A,#N/A,FALSE,"ER CH";#N/A,#N/A,FALSE,"EA CH (2) ";#N/A,#N/A,FALSE,"EA CH";#N/A,#N/A,FALSE,"EA CH (3) ";#N/A,#N/A,FALSE,"EA CH (4)";#N/A,#N/A,FALSE,"KA CH";#N/A,#N/A,FALSE,"KA CH  (2)";#N/A,#N/A,FALSE,"KA CH  (3)";#N/A,#N/A,FALSE,"KA CH (4)"}</definedName>
    <definedName name="wwe.kkjk" localSheetId="6" hidden="1">{#N/A,#N/A,FALSE,"Umsatz CH";#N/A,#N/A,FALSE,"ER CH";#N/A,#N/A,FALSE,"EA CH (2) ";#N/A,#N/A,FALSE,"EA CH";#N/A,#N/A,FALSE,"EA CH (3) ";#N/A,#N/A,FALSE,"EA CH (4)";#N/A,#N/A,FALSE,"KA CH";#N/A,#N/A,FALSE,"KA CH  (2)";#N/A,#N/A,FALSE,"KA CH  (3)";#N/A,#N/A,FALSE,"KA CH (4)"}</definedName>
    <definedName name="wwe.kkjk" hidden="1">{#N/A,#N/A,FALSE,"Umsatz CH";#N/A,#N/A,FALSE,"ER CH";#N/A,#N/A,FALSE,"EA CH (2) ";#N/A,#N/A,FALSE,"EA CH";#N/A,#N/A,FALSE,"EA CH (3) ";#N/A,#N/A,FALSE,"EA CH (4)";#N/A,#N/A,FALSE,"KA CH";#N/A,#N/A,FALSE,"KA CH  (2)";#N/A,#N/A,FALSE,"KA CH  (3)";#N/A,#N/A,FALSE,"KA CH (4)"}</definedName>
    <definedName name="wwe.kkjk_1" localSheetId="0" hidden="1">{#N/A,#N/A,FALSE,"Umsatz CH";#N/A,#N/A,FALSE,"ER CH";#N/A,#N/A,FALSE,"EA CH (2) ";#N/A,#N/A,FALSE,"EA CH";#N/A,#N/A,FALSE,"EA CH (3) ";#N/A,#N/A,FALSE,"EA CH (4)";#N/A,#N/A,FALSE,"KA CH";#N/A,#N/A,FALSE,"KA CH  (2)";#N/A,#N/A,FALSE,"KA CH  (3)";#N/A,#N/A,FALSE,"KA CH (4)"}</definedName>
    <definedName name="wwe.kkjk_1" localSheetId="6" hidden="1">{#N/A,#N/A,FALSE,"Umsatz CH";#N/A,#N/A,FALSE,"ER CH";#N/A,#N/A,FALSE,"EA CH (2) ";#N/A,#N/A,FALSE,"EA CH";#N/A,#N/A,FALSE,"EA CH (3) ";#N/A,#N/A,FALSE,"EA CH (4)";#N/A,#N/A,FALSE,"KA CH";#N/A,#N/A,FALSE,"KA CH  (2)";#N/A,#N/A,FALSE,"KA CH  (3)";#N/A,#N/A,FALSE,"KA CH (4)"}</definedName>
    <definedName name="wwe.kkjk_1" hidden="1">{#N/A,#N/A,FALSE,"Umsatz CH";#N/A,#N/A,FALSE,"ER CH";#N/A,#N/A,FALSE,"EA CH (2) ";#N/A,#N/A,FALSE,"EA CH";#N/A,#N/A,FALSE,"EA CH (3) ";#N/A,#N/A,FALSE,"EA CH (4)";#N/A,#N/A,FALSE,"KA CH";#N/A,#N/A,FALSE,"KA CH  (2)";#N/A,#N/A,FALSE,"KA CH  (3)";#N/A,#N/A,FALSE,"KA CH (4)"}</definedName>
    <definedName name="wwe.kkjk_1_1" localSheetId="0" hidden="1">{#N/A,#N/A,FALSE,"Umsatz CH";#N/A,#N/A,FALSE,"ER CH";#N/A,#N/A,FALSE,"EA CH (2) ";#N/A,#N/A,FALSE,"EA CH";#N/A,#N/A,FALSE,"EA CH (3) ";#N/A,#N/A,FALSE,"EA CH (4)";#N/A,#N/A,FALSE,"KA CH";#N/A,#N/A,FALSE,"KA CH  (2)";#N/A,#N/A,FALSE,"KA CH  (3)";#N/A,#N/A,FALSE,"KA CH (4)"}</definedName>
    <definedName name="wwe.kkjk_1_1" localSheetId="6" hidden="1">{#N/A,#N/A,FALSE,"Umsatz CH";#N/A,#N/A,FALSE,"ER CH";#N/A,#N/A,FALSE,"EA CH (2) ";#N/A,#N/A,FALSE,"EA CH";#N/A,#N/A,FALSE,"EA CH (3) ";#N/A,#N/A,FALSE,"EA CH (4)";#N/A,#N/A,FALSE,"KA CH";#N/A,#N/A,FALSE,"KA CH  (2)";#N/A,#N/A,FALSE,"KA CH  (3)";#N/A,#N/A,FALSE,"KA CH (4)"}</definedName>
    <definedName name="wwe.kkjk_1_1" hidden="1">{#N/A,#N/A,FALSE,"Umsatz CH";#N/A,#N/A,FALSE,"ER CH";#N/A,#N/A,FALSE,"EA CH (2) ";#N/A,#N/A,FALSE,"EA CH";#N/A,#N/A,FALSE,"EA CH (3) ";#N/A,#N/A,FALSE,"EA CH (4)";#N/A,#N/A,FALSE,"KA CH";#N/A,#N/A,FALSE,"KA CH  (2)";#N/A,#N/A,FALSE,"KA CH  (3)";#N/A,#N/A,FALSE,"KA CH (4)"}</definedName>
    <definedName name="wwe.kkjk_2" localSheetId="0" hidden="1">{#N/A,#N/A,FALSE,"Umsatz CH";#N/A,#N/A,FALSE,"ER CH";#N/A,#N/A,FALSE,"EA CH (2) ";#N/A,#N/A,FALSE,"EA CH";#N/A,#N/A,FALSE,"EA CH (3) ";#N/A,#N/A,FALSE,"EA CH (4)";#N/A,#N/A,FALSE,"KA CH";#N/A,#N/A,FALSE,"KA CH  (2)";#N/A,#N/A,FALSE,"KA CH  (3)";#N/A,#N/A,FALSE,"KA CH (4)"}</definedName>
    <definedName name="wwe.kkjk_2" localSheetId="6" hidden="1">{#N/A,#N/A,FALSE,"Umsatz CH";#N/A,#N/A,FALSE,"ER CH";#N/A,#N/A,FALSE,"EA CH (2) ";#N/A,#N/A,FALSE,"EA CH";#N/A,#N/A,FALSE,"EA CH (3) ";#N/A,#N/A,FALSE,"EA CH (4)";#N/A,#N/A,FALSE,"KA CH";#N/A,#N/A,FALSE,"KA CH  (2)";#N/A,#N/A,FALSE,"KA CH  (3)";#N/A,#N/A,FALSE,"KA CH (4)"}</definedName>
    <definedName name="wwe.kkjk_2" hidden="1">{#N/A,#N/A,FALSE,"Umsatz CH";#N/A,#N/A,FALSE,"ER CH";#N/A,#N/A,FALSE,"EA CH (2) ";#N/A,#N/A,FALSE,"EA CH";#N/A,#N/A,FALSE,"EA CH (3) ";#N/A,#N/A,FALSE,"EA CH (4)";#N/A,#N/A,FALSE,"KA CH";#N/A,#N/A,FALSE,"KA CH  (2)";#N/A,#N/A,FALSE,"KA CH  (3)";#N/A,#N/A,FALSE,"KA CH (4)"}</definedName>
    <definedName name="wwe.kkjk_3" localSheetId="0" hidden="1">{#N/A,#N/A,FALSE,"Umsatz CH";#N/A,#N/A,FALSE,"ER CH";#N/A,#N/A,FALSE,"EA CH (2) ";#N/A,#N/A,FALSE,"EA CH";#N/A,#N/A,FALSE,"EA CH (3) ";#N/A,#N/A,FALSE,"EA CH (4)";#N/A,#N/A,FALSE,"KA CH";#N/A,#N/A,FALSE,"KA CH  (2)";#N/A,#N/A,FALSE,"KA CH  (3)";#N/A,#N/A,FALSE,"KA CH (4)"}</definedName>
    <definedName name="wwe.kkjk_3" localSheetId="6" hidden="1">{#N/A,#N/A,FALSE,"Umsatz CH";#N/A,#N/A,FALSE,"ER CH";#N/A,#N/A,FALSE,"EA CH (2) ";#N/A,#N/A,FALSE,"EA CH";#N/A,#N/A,FALSE,"EA CH (3) ";#N/A,#N/A,FALSE,"EA CH (4)";#N/A,#N/A,FALSE,"KA CH";#N/A,#N/A,FALSE,"KA CH  (2)";#N/A,#N/A,FALSE,"KA CH  (3)";#N/A,#N/A,FALSE,"KA CH (4)"}</definedName>
    <definedName name="wwe.kkjk_3" hidden="1">{#N/A,#N/A,FALSE,"Umsatz CH";#N/A,#N/A,FALSE,"ER CH";#N/A,#N/A,FALSE,"EA CH (2) ";#N/A,#N/A,FALSE,"EA CH";#N/A,#N/A,FALSE,"EA CH (3) ";#N/A,#N/A,FALSE,"EA CH (4)";#N/A,#N/A,FALSE,"KA CH";#N/A,#N/A,FALSE,"KA CH  (2)";#N/A,#N/A,FALSE,"KA CH  (3)";#N/A,#N/A,FALSE,"KA CH (4)"}</definedName>
    <definedName name="wwe.kkjk_4" localSheetId="0" hidden="1">{#N/A,#N/A,FALSE,"Umsatz CH";#N/A,#N/A,FALSE,"ER CH";#N/A,#N/A,FALSE,"EA CH (2) ";#N/A,#N/A,FALSE,"EA CH";#N/A,#N/A,FALSE,"EA CH (3) ";#N/A,#N/A,FALSE,"EA CH (4)";#N/A,#N/A,FALSE,"KA CH";#N/A,#N/A,FALSE,"KA CH  (2)";#N/A,#N/A,FALSE,"KA CH  (3)";#N/A,#N/A,FALSE,"KA CH (4)"}</definedName>
    <definedName name="wwe.kkjk_4" localSheetId="6" hidden="1">{#N/A,#N/A,FALSE,"Umsatz CH";#N/A,#N/A,FALSE,"ER CH";#N/A,#N/A,FALSE,"EA CH (2) ";#N/A,#N/A,FALSE,"EA CH";#N/A,#N/A,FALSE,"EA CH (3) ";#N/A,#N/A,FALSE,"EA CH (4)";#N/A,#N/A,FALSE,"KA CH";#N/A,#N/A,FALSE,"KA CH  (2)";#N/A,#N/A,FALSE,"KA CH  (3)";#N/A,#N/A,FALSE,"KA CH (4)"}</definedName>
    <definedName name="wwe.kkjk_4" hidden="1">{#N/A,#N/A,FALSE,"Umsatz CH";#N/A,#N/A,FALSE,"ER CH";#N/A,#N/A,FALSE,"EA CH (2) ";#N/A,#N/A,FALSE,"EA CH";#N/A,#N/A,FALSE,"EA CH (3) ";#N/A,#N/A,FALSE,"EA CH (4)";#N/A,#N/A,FALSE,"KA CH";#N/A,#N/A,FALSE,"KA CH  (2)";#N/A,#N/A,FALSE,"KA CH  (3)";#N/A,#N/A,FALSE,"KA CH (4)"}</definedName>
    <definedName name="wwe.kkjk_5" localSheetId="0" hidden="1">{#N/A,#N/A,FALSE,"Umsatz CH";#N/A,#N/A,FALSE,"ER CH";#N/A,#N/A,FALSE,"EA CH (2) ";#N/A,#N/A,FALSE,"EA CH";#N/A,#N/A,FALSE,"EA CH (3) ";#N/A,#N/A,FALSE,"EA CH (4)";#N/A,#N/A,FALSE,"KA CH";#N/A,#N/A,FALSE,"KA CH  (2)";#N/A,#N/A,FALSE,"KA CH  (3)";#N/A,#N/A,FALSE,"KA CH (4)"}</definedName>
    <definedName name="wwe.kkjk_5" localSheetId="6" hidden="1">{#N/A,#N/A,FALSE,"Umsatz CH";#N/A,#N/A,FALSE,"ER CH";#N/A,#N/A,FALSE,"EA CH (2) ";#N/A,#N/A,FALSE,"EA CH";#N/A,#N/A,FALSE,"EA CH (3) ";#N/A,#N/A,FALSE,"EA CH (4)";#N/A,#N/A,FALSE,"KA CH";#N/A,#N/A,FALSE,"KA CH  (2)";#N/A,#N/A,FALSE,"KA CH  (3)";#N/A,#N/A,FALSE,"KA CH (4)"}</definedName>
    <definedName name="wwe.kkjk_5" hidden="1">{#N/A,#N/A,FALSE,"Umsatz CH";#N/A,#N/A,FALSE,"ER CH";#N/A,#N/A,FALSE,"EA CH (2) ";#N/A,#N/A,FALSE,"EA CH";#N/A,#N/A,FALSE,"EA CH (3) ";#N/A,#N/A,FALSE,"EA CH (4)";#N/A,#N/A,FALSE,"KA CH";#N/A,#N/A,FALSE,"KA CH  (2)";#N/A,#N/A,FALSE,"KA CH  (3)";#N/A,#N/A,FALSE,"KA CH (4)"}</definedName>
    <definedName name="www" localSheetId="0" hidden="1">{"Graphic",#N/A,TRUE,"Graphic"}</definedName>
    <definedName name="www" localSheetId="6" hidden="1">{"Graphic",#N/A,TRUE,"Graphic"}</definedName>
    <definedName name="www" hidden="1">{"Graphic",#N/A,TRUE,"Graphic"}</definedName>
    <definedName name="www_1" localSheetId="0" hidden="1">{"Graphic",#N/A,TRUE,"Graphic"}</definedName>
    <definedName name="www_1" localSheetId="6" hidden="1">{"Graphic",#N/A,TRUE,"Graphic"}</definedName>
    <definedName name="www_1" hidden="1">{"Graphic",#N/A,TRUE,"Graphic"}</definedName>
    <definedName name="wwww" localSheetId="0" hidden="1">{#N/A,#N/A,FALSE,"PROFIT 11-95"}</definedName>
    <definedName name="wwww" localSheetId="6" hidden="1">{#N/A,#N/A,FALSE,"PROFIT 11-95"}</definedName>
    <definedName name="wwww" hidden="1">{#N/A,#N/A,FALSE,"PROFIT 11-95"}</definedName>
    <definedName name="wwww_1" localSheetId="0" hidden="1">{#N/A,#N/A,FALSE,"Produkte Erw.";#N/A,#N/A,FALSE,"Produkte Plan";#N/A,#N/A,FALSE,"Leistungen Erw.";#N/A,#N/A,FALSE,"Leistungen Plan";#N/A,#N/A,FALSE,"KA Allg.Kosten (2)";#N/A,#N/A,FALSE,"KA All.Kosten"}</definedName>
    <definedName name="wwww_1" localSheetId="6" hidden="1">{#N/A,#N/A,FALSE,"Produkte Erw.";#N/A,#N/A,FALSE,"Produkte Plan";#N/A,#N/A,FALSE,"Leistungen Erw.";#N/A,#N/A,FALSE,"Leistungen Plan";#N/A,#N/A,FALSE,"KA Allg.Kosten (2)";#N/A,#N/A,FALSE,"KA All.Kosten"}</definedName>
    <definedName name="wwww_1" hidden="1">{#N/A,#N/A,FALSE,"Produkte Erw.";#N/A,#N/A,FALSE,"Produkte Plan";#N/A,#N/A,FALSE,"Leistungen Erw.";#N/A,#N/A,FALSE,"Leistungen Plan";#N/A,#N/A,FALSE,"KA Allg.Kosten (2)";#N/A,#N/A,FALSE,"KA All.Kosten"}</definedName>
    <definedName name="wwww_1_1" localSheetId="0" hidden="1">{#N/A,#N/A,FALSE,"Produkte Erw.";#N/A,#N/A,FALSE,"Produkte Plan";#N/A,#N/A,FALSE,"Leistungen Erw.";#N/A,#N/A,FALSE,"Leistungen Plan";#N/A,#N/A,FALSE,"KA Allg.Kosten (2)";#N/A,#N/A,FALSE,"KA All.Kosten"}</definedName>
    <definedName name="wwww_1_1" localSheetId="6" hidden="1">{#N/A,#N/A,FALSE,"Produkte Erw.";#N/A,#N/A,FALSE,"Produkte Plan";#N/A,#N/A,FALSE,"Leistungen Erw.";#N/A,#N/A,FALSE,"Leistungen Plan";#N/A,#N/A,FALSE,"KA Allg.Kosten (2)";#N/A,#N/A,FALSE,"KA All.Kosten"}</definedName>
    <definedName name="wwww_1_1" hidden="1">{#N/A,#N/A,FALSE,"Produkte Erw.";#N/A,#N/A,FALSE,"Produkte Plan";#N/A,#N/A,FALSE,"Leistungen Erw.";#N/A,#N/A,FALSE,"Leistungen Plan";#N/A,#N/A,FALSE,"KA Allg.Kosten (2)";#N/A,#N/A,FALSE,"KA All.Kosten"}</definedName>
    <definedName name="wwww_2" localSheetId="0" hidden="1">{#N/A,#N/A,FALSE,"Produkte Erw.";#N/A,#N/A,FALSE,"Produkte Plan";#N/A,#N/A,FALSE,"Leistungen Erw.";#N/A,#N/A,FALSE,"Leistungen Plan";#N/A,#N/A,FALSE,"KA Allg.Kosten (2)";#N/A,#N/A,FALSE,"KA All.Kosten"}</definedName>
    <definedName name="wwww_2" localSheetId="6" hidden="1">{#N/A,#N/A,FALSE,"Produkte Erw.";#N/A,#N/A,FALSE,"Produkte Plan";#N/A,#N/A,FALSE,"Leistungen Erw.";#N/A,#N/A,FALSE,"Leistungen Plan";#N/A,#N/A,FALSE,"KA Allg.Kosten (2)";#N/A,#N/A,FALSE,"KA All.Kosten"}</definedName>
    <definedName name="wwww_2" hidden="1">{#N/A,#N/A,FALSE,"Produkte Erw.";#N/A,#N/A,FALSE,"Produkte Plan";#N/A,#N/A,FALSE,"Leistungen Erw.";#N/A,#N/A,FALSE,"Leistungen Plan";#N/A,#N/A,FALSE,"KA Allg.Kosten (2)";#N/A,#N/A,FALSE,"KA All.Kosten"}</definedName>
    <definedName name="wwww_3" localSheetId="0" hidden="1">{#N/A,#N/A,FALSE,"Produkte Erw.";#N/A,#N/A,FALSE,"Produkte Plan";#N/A,#N/A,FALSE,"Leistungen Erw.";#N/A,#N/A,FALSE,"Leistungen Plan";#N/A,#N/A,FALSE,"KA Allg.Kosten (2)";#N/A,#N/A,FALSE,"KA All.Kosten"}</definedName>
    <definedName name="wwww_3" localSheetId="6" hidden="1">{#N/A,#N/A,FALSE,"Produkte Erw.";#N/A,#N/A,FALSE,"Produkte Plan";#N/A,#N/A,FALSE,"Leistungen Erw.";#N/A,#N/A,FALSE,"Leistungen Plan";#N/A,#N/A,FALSE,"KA Allg.Kosten (2)";#N/A,#N/A,FALSE,"KA All.Kosten"}</definedName>
    <definedName name="wwww_3" hidden="1">{#N/A,#N/A,FALSE,"Produkte Erw.";#N/A,#N/A,FALSE,"Produkte Plan";#N/A,#N/A,FALSE,"Leistungen Erw.";#N/A,#N/A,FALSE,"Leistungen Plan";#N/A,#N/A,FALSE,"KA Allg.Kosten (2)";#N/A,#N/A,FALSE,"KA All.Kosten"}</definedName>
    <definedName name="wwww_4" localSheetId="0" hidden="1">{#N/A,#N/A,FALSE,"Produkte Erw.";#N/A,#N/A,FALSE,"Produkte Plan";#N/A,#N/A,FALSE,"Leistungen Erw.";#N/A,#N/A,FALSE,"Leistungen Plan";#N/A,#N/A,FALSE,"KA Allg.Kosten (2)";#N/A,#N/A,FALSE,"KA All.Kosten"}</definedName>
    <definedName name="wwww_4" localSheetId="6" hidden="1">{#N/A,#N/A,FALSE,"Produkte Erw.";#N/A,#N/A,FALSE,"Produkte Plan";#N/A,#N/A,FALSE,"Leistungen Erw.";#N/A,#N/A,FALSE,"Leistungen Plan";#N/A,#N/A,FALSE,"KA Allg.Kosten (2)";#N/A,#N/A,FALSE,"KA All.Kosten"}</definedName>
    <definedName name="wwww_4" hidden="1">{#N/A,#N/A,FALSE,"Produkte Erw.";#N/A,#N/A,FALSE,"Produkte Plan";#N/A,#N/A,FALSE,"Leistungen Erw.";#N/A,#N/A,FALSE,"Leistungen Plan";#N/A,#N/A,FALSE,"KA Allg.Kosten (2)";#N/A,#N/A,FALSE,"KA All.Kosten"}</definedName>
    <definedName name="wwww_5" localSheetId="0" hidden="1">{#N/A,#N/A,FALSE,"Produkte Erw.";#N/A,#N/A,FALSE,"Produkte Plan";#N/A,#N/A,FALSE,"Leistungen Erw.";#N/A,#N/A,FALSE,"Leistungen Plan";#N/A,#N/A,FALSE,"KA Allg.Kosten (2)";#N/A,#N/A,FALSE,"KA All.Kosten"}</definedName>
    <definedName name="wwww_5" localSheetId="6" hidden="1">{#N/A,#N/A,FALSE,"Produkte Erw.";#N/A,#N/A,FALSE,"Produkte Plan";#N/A,#N/A,FALSE,"Leistungen Erw.";#N/A,#N/A,FALSE,"Leistungen Plan";#N/A,#N/A,FALSE,"KA Allg.Kosten (2)";#N/A,#N/A,FALSE,"KA All.Kosten"}</definedName>
    <definedName name="wwww_5" hidden="1">{#N/A,#N/A,FALSE,"Produkte Erw.";#N/A,#N/A,FALSE,"Produkte Plan";#N/A,#N/A,FALSE,"Leistungen Erw.";#N/A,#N/A,FALSE,"Leistungen Plan";#N/A,#N/A,FALSE,"KA Allg.Kosten (2)";#N/A,#N/A,FALSE,"KA All.Kosten"}</definedName>
    <definedName name="wwwww" localSheetId="0" hidden="1">{"DEBAN","COMPANIES",TRUE}</definedName>
    <definedName name="wwwww" localSheetId="6" hidden="1">{"Graphic",#N/A,TRUE,"Graphic"}</definedName>
    <definedName name="wwwww" hidden="1">{"Graphic",#N/A,TRUE,"Graphic"}</definedName>
    <definedName name="wwwww_1" localSheetId="0" hidden="1">{"Graphic",#N/A,TRUE,"Graphic"}</definedName>
    <definedName name="wwwww_1" localSheetId="6" hidden="1">{"Graphic",#N/A,TRUE,"Graphic"}</definedName>
    <definedName name="wwwww_1" hidden="1">{"Graphic",#N/A,TRUE,"Graphic"}</definedName>
    <definedName name="wwwwww" localSheetId="6" hidden="1">{#N/A,#N/A,TRUE,"FA 1 &amp; 2";#N/A,#N/A,TRUE,"FA 3 &amp; 4";#N/A,#N/A,TRUE,"FA 5 &amp; 6";#N/A,#N/A,TRUE,"FA 7 &amp; 8";#N/A,#N/A,TRUE,"FA 9 &amp; 10";#N/A,#N/A,TRUE,"FA 11";#N/A,#N/A,TRUE,"FA 12";#N/A,#N/A,TRUE,"FA 13";#N/A,#N/A,TRUE,"FA 14 &amp; 15"}</definedName>
    <definedName name="wwwwww" hidden="1">{#N/A,#N/A,TRUE,"FA 1 &amp; 2";#N/A,#N/A,TRUE,"FA 3 &amp; 4";#N/A,#N/A,TRUE,"FA 5 &amp; 6";#N/A,#N/A,TRUE,"FA 7 &amp; 8";#N/A,#N/A,TRUE,"FA 9 &amp; 10";#N/A,#N/A,TRUE,"FA 11";#N/A,#N/A,TRUE,"FA 12";#N/A,#N/A,TRUE,"FA 13";#N/A,#N/A,TRUE,"FA 14 &amp; 15"}</definedName>
    <definedName name="wwwwwww" localSheetId="6" hidden="1">{#N/A,#N/A,TRUE,"FA 1 &amp; 2";#N/A,#N/A,TRUE,"FA 3 &amp; 4";#N/A,#N/A,TRUE,"FA 5 &amp; 6";#N/A,#N/A,TRUE,"FA 7 &amp; 8";#N/A,#N/A,TRUE,"FA 9 &amp; 10";#N/A,#N/A,TRUE,"FA 11";#N/A,#N/A,TRUE,"FA 12";#N/A,#N/A,TRUE,"FA 13";#N/A,#N/A,TRUE,"FA 14 &amp; 15"}</definedName>
    <definedName name="wwwwwww" hidden="1">{#N/A,#N/A,TRUE,"FA 1 &amp; 2";#N/A,#N/A,TRUE,"FA 3 &amp; 4";#N/A,#N/A,TRUE,"FA 5 &amp; 6";#N/A,#N/A,TRUE,"FA 7 &amp; 8";#N/A,#N/A,TRUE,"FA 9 &amp; 10";#N/A,#N/A,TRUE,"FA 11";#N/A,#N/A,TRUE,"FA 12";#N/A,#N/A,TRUE,"FA 13";#N/A,#N/A,TRUE,"FA 14 &amp; 15"}</definedName>
    <definedName name="WWWWWWWWWWWWWWWWWWWWWW" hidden="1">#REF!</definedName>
    <definedName name="wx" localSheetId="0" hidden="1">{#N/A,#N/A,FALSE,"Pharm";#N/A,#N/A,FALSE,"WWCM"}</definedName>
    <definedName name="wx" localSheetId="6" hidden="1">{#N/A,#N/A,FALSE,"Pharm";#N/A,#N/A,FALSE,"WWCM"}</definedName>
    <definedName name="wx" hidden="1">{#N/A,#N/A,FALSE,"Pharm";#N/A,#N/A,FALSE,"WWCM"}</definedName>
    <definedName name="wx_1" localSheetId="0" hidden="1">{#N/A,#N/A,FALSE,"Pharm";#N/A,#N/A,FALSE,"WWCM"}</definedName>
    <definedName name="wx_1" localSheetId="6" hidden="1">{#N/A,#N/A,FALSE,"Pharm";#N/A,#N/A,FALSE,"WWCM"}</definedName>
    <definedName name="wx_1" hidden="1">{#N/A,#N/A,FALSE,"Pharm";#N/A,#N/A,FALSE,"WWCM"}</definedName>
    <definedName name="wx_1_1" localSheetId="0" hidden="1">{#N/A,#N/A,FALSE,"Pharm";#N/A,#N/A,FALSE,"WWCM"}</definedName>
    <definedName name="wx_1_1" localSheetId="6" hidden="1">{#N/A,#N/A,FALSE,"Pharm";#N/A,#N/A,FALSE,"WWCM"}</definedName>
    <definedName name="wx_1_1" hidden="1">{#N/A,#N/A,FALSE,"Pharm";#N/A,#N/A,FALSE,"WWCM"}</definedName>
    <definedName name="wx_2" localSheetId="0" hidden="1">{#N/A,#N/A,FALSE,"Pharm";#N/A,#N/A,FALSE,"WWCM"}</definedName>
    <definedName name="wx_2" localSheetId="6" hidden="1">{#N/A,#N/A,FALSE,"Pharm";#N/A,#N/A,FALSE,"WWCM"}</definedName>
    <definedName name="wx_2" hidden="1">{#N/A,#N/A,FALSE,"Pharm";#N/A,#N/A,FALSE,"WWCM"}</definedName>
    <definedName name="wx_3" localSheetId="0" hidden="1">{#N/A,#N/A,FALSE,"Pharm";#N/A,#N/A,FALSE,"WWCM"}</definedName>
    <definedName name="wx_3" localSheetId="6" hidden="1">{#N/A,#N/A,FALSE,"Pharm";#N/A,#N/A,FALSE,"WWCM"}</definedName>
    <definedName name="wx_3" hidden="1">{#N/A,#N/A,FALSE,"Pharm";#N/A,#N/A,FALSE,"WWCM"}</definedName>
    <definedName name="wx_4" localSheetId="0" hidden="1">{#N/A,#N/A,FALSE,"Pharm";#N/A,#N/A,FALSE,"WWCM"}</definedName>
    <definedName name="wx_4" localSheetId="6" hidden="1">{#N/A,#N/A,FALSE,"Pharm";#N/A,#N/A,FALSE,"WWCM"}</definedName>
    <definedName name="wx_4" hidden="1">{#N/A,#N/A,FALSE,"Pharm";#N/A,#N/A,FALSE,"WWCM"}</definedName>
    <definedName name="wx_5" localSheetId="0" hidden="1">{#N/A,#N/A,FALSE,"Pharm";#N/A,#N/A,FALSE,"WWCM"}</definedName>
    <definedName name="wx_5" localSheetId="6" hidden="1">{#N/A,#N/A,FALSE,"Pharm";#N/A,#N/A,FALSE,"WWCM"}</definedName>
    <definedName name="wx_5" hidden="1">{#N/A,#N/A,FALSE,"Pharm";#N/A,#N/A,FALSE,"WWCM"}</definedName>
    <definedName name="wxs" localSheetId="6" hidden="1">{#N/A,#N/A,TRUE,"HCA";#N/A,#N/A,TRUE,"Tax";#N/A,#N/A,TRUE,"Losses and ACT";#N/A,#N/A,TRUE,"Divis";#N/A,#N/A,TRUE,"Reserves";#N/A,#N/A,TRUE,"Enhancement data"}</definedName>
    <definedName name="wxs" hidden="1">{#N/A,#N/A,TRUE,"HCA";#N/A,#N/A,TRUE,"Tax";#N/A,#N/A,TRUE,"Losses and ACT";#N/A,#N/A,TRUE,"Divis";#N/A,#N/A,TRUE,"Reserves";#N/A,#N/A,TRUE,"Enhancement data"}</definedName>
    <definedName name="W행">#REF!</definedName>
    <definedName name="x" localSheetId="0" hidden="1">{#N/A,#N/A,TRUE,"PROFIT 11-95"}</definedName>
    <definedName name="x" localSheetId="6" hidden="1">{#N/A,#N/A,TRUE,"PROFIT 11-95"}</definedName>
    <definedName name="x" hidden="1">{#N/A,#N/A,TRUE,"PROFIT 11-95"}</definedName>
    <definedName name="x_1" localSheetId="0" hidden="1">{#N/A,#N/A,FALSE,"REPORT"}</definedName>
    <definedName name="x_1" localSheetId="6" hidden="1">{#N/A,#N/A,FALSE,"REPORT"}</definedName>
    <definedName name="x_1" hidden="1">{#N/A,#N/A,FALSE,"REPORT"}</definedName>
    <definedName name="x_1_1" localSheetId="0" hidden="1">{#N/A,#N/A,FALSE,"REPORT"}</definedName>
    <definedName name="x_1_1" localSheetId="6" hidden="1">{#N/A,#N/A,FALSE,"REPORT"}</definedName>
    <definedName name="x_1_1" hidden="1">{#N/A,#N/A,FALSE,"REPORT"}</definedName>
    <definedName name="x_2" localSheetId="0" hidden="1">{#N/A,#N/A,FALSE,"REPORT"}</definedName>
    <definedName name="x_2" localSheetId="6" hidden="1">{#N/A,#N/A,FALSE,"REPORT"}</definedName>
    <definedName name="x_2" hidden="1">{#N/A,#N/A,FALSE,"REPORT"}</definedName>
    <definedName name="x_3" localSheetId="0" hidden="1">{#N/A,#N/A,FALSE,"REPORT"}</definedName>
    <definedName name="x_3" localSheetId="6" hidden="1">{#N/A,#N/A,FALSE,"REPORT"}</definedName>
    <definedName name="x_3" hidden="1">{#N/A,#N/A,FALSE,"REPORT"}</definedName>
    <definedName name="x_4" localSheetId="0" hidden="1">{#N/A,#N/A,FALSE,"REPORT"}</definedName>
    <definedName name="x_4" localSheetId="6" hidden="1">{#N/A,#N/A,FALSE,"REPORT"}</definedName>
    <definedName name="x_4" hidden="1">{#N/A,#N/A,FALSE,"REPORT"}</definedName>
    <definedName name="x_5" localSheetId="0" hidden="1">{#N/A,#N/A,FALSE,"REPORT"}</definedName>
    <definedName name="x_5" localSheetId="6" hidden="1">{#N/A,#N/A,FALSE,"REPORT"}</definedName>
    <definedName name="x_5" hidden="1">{#N/A,#N/A,FALSE,"REPORT"}</definedName>
    <definedName name="X0" localSheetId="0" hidden="1">{#N/A,#N/A,TRUE,"COVER2";#N/A,#N/A,TRUE,"AGENDA";#N/A,#N/A,TRUE,"Cover";#N/A,#N/A,TRUE,"4M";#N/A,#N/A,TRUE,"FLP&amp;L4M";#N/A,#N/A,TRUE,"4MMC";#N/A,#N/A,TRUE,"Shp4M";#N/A,#N/A,TRUE,"M5";#N/A,#N/A,TRUE,"Q2";#N/A,#N/A,TRUE,"Q1vsQ2";#N/A,#N/A,TRUE,"M6";#N/A,#N/A,TRUE,"TY";#N/A,#N/A,TRUE,"FLP&amp;LTY";#N/A,#N/A,TRUE,"TYMC";#N/A,#N/A,TRUE,"ShpTY";#N/A,#N/A,TRUE,"8M";#N/A,#N/A,TRUE,"FLP&amp;L8M";#N/A,#N/A,TRUE,"8MMC";#N/A,#N/A,TRUE,"Shp8M"}</definedName>
    <definedName name="X0" localSheetId="6" hidden="1">{#N/A,#N/A,TRUE,"COVER2";#N/A,#N/A,TRUE,"AGENDA";#N/A,#N/A,TRUE,"Cover";#N/A,#N/A,TRUE,"4M";#N/A,#N/A,TRUE,"FLP&amp;L4M";#N/A,#N/A,TRUE,"4MMC";#N/A,#N/A,TRUE,"Shp4M";#N/A,#N/A,TRUE,"M5";#N/A,#N/A,TRUE,"Q2";#N/A,#N/A,TRUE,"Q1vsQ2";#N/A,#N/A,TRUE,"M6";#N/A,#N/A,TRUE,"TY";#N/A,#N/A,TRUE,"FLP&amp;LTY";#N/A,#N/A,TRUE,"TYMC";#N/A,#N/A,TRUE,"ShpTY";#N/A,#N/A,TRUE,"8M";#N/A,#N/A,TRUE,"FLP&amp;L8M";#N/A,#N/A,TRUE,"8MMC";#N/A,#N/A,TRUE,"Shp8M"}</definedName>
    <definedName name="X0" hidden="1">{#N/A,#N/A,TRUE,"COVER2";#N/A,#N/A,TRUE,"AGENDA";#N/A,#N/A,TRUE,"Cover";#N/A,#N/A,TRUE,"4M";#N/A,#N/A,TRUE,"FLP&amp;L4M";#N/A,#N/A,TRUE,"4MMC";#N/A,#N/A,TRUE,"Shp4M";#N/A,#N/A,TRUE,"M5";#N/A,#N/A,TRUE,"Q2";#N/A,#N/A,TRUE,"Q1vsQ2";#N/A,#N/A,TRUE,"M6";#N/A,#N/A,TRUE,"TY";#N/A,#N/A,TRUE,"FLP&amp;LTY";#N/A,#N/A,TRUE,"TYMC";#N/A,#N/A,TRUE,"ShpTY";#N/A,#N/A,TRUE,"8M";#N/A,#N/A,TRUE,"FLP&amp;L8M";#N/A,#N/A,TRUE,"8MMC";#N/A,#N/A,TRUE,"Shp8M"}</definedName>
    <definedName name="XAct2">#REF!</definedName>
    <definedName name="xaxis" hidden="1">#REF!</definedName>
    <definedName name="xc" localSheetId="0" hidden="1">{#N/A,#N/A,FALSE,"Work progress mensile";#N/A,#N/A,FALSE,"Work progress mensile IE1"}</definedName>
    <definedName name="xc" localSheetId="6" hidden="1">{#N/A,#N/A,FALSE,"Work progress mensile";#N/A,#N/A,FALSE,"Work progress mensile IE1"}</definedName>
    <definedName name="xc" hidden="1">{#N/A,#N/A,FALSE,"Work progress mensile";#N/A,#N/A,FALSE,"Work progress mensile IE1"}</definedName>
    <definedName name="xc_1" localSheetId="6" hidden="1">{#N/A,#N/A,FALSE,"SumD";#N/A,#N/A,FALSE,"ElecD";#N/A,#N/A,FALSE,"MechD";#N/A,#N/A,FALSE,"GeotD";#N/A,#N/A,FALSE,"PrcsD";#N/A,#N/A,FALSE,"TunnD";#N/A,#N/A,FALSE,"CivlD";#N/A,#N/A,FALSE,"NtwkD";#N/A,#N/A,FALSE,"EstgD";#N/A,#N/A,FALSE,"PEngD"}</definedName>
    <definedName name="xc_1" hidden="1">{#N/A,#N/A,FALSE,"SumD";#N/A,#N/A,FALSE,"ElecD";#N/A,#N/A,FALSE,"MechD";#N/A,#N/A,FALSE,"GeotD";#N/A,#N/A,FALSE,"PrcsD";#N/A,#N/A,FALSE,"TunnD";#N/A,#N/A,FALSE,"CivlD";#N/A,#N/A,FALSE,"NtwkD";#N/A,#N/A,FALSE,"EstgD";#N/A,#N/A,FALSE,"PEngD"}</definedName>
    <definedName name="xccvbcbvcb" localSheetId="0" hidden="1">{"comps2",#N/A,FALSE,"AERO";"footnotes",#N/A,FALSE,"AERO"}</definedName>
    <definedName name="xccvbcbvcb" localSheetId="6" hidden="1">{"comps2",#N/A,FALSE,"AERO";"footnotes",#N/A,FALSE,"AERO"}</definedName>
    <definedName name="xccvbcbvcb" hidden="1">{"comps2",#N/A,FALSE,"AERO";"footnotes",#N/A,FALSE,"AERO"}</definedName>
    <definedName name="xct" localSheetId="6" hidden="1">{"year1",#N/A,FALSE,"IZT";"year2",#N/A,FALSE,"IZT"}</definedName>
    <definedName name="xct" hidden="1">{"year1",#N/A,FALSE,"IZT";"year2",#N/A,FALSE,"IZT"}</definedName>
    <definedName name="xcv" localSheetId="0" hidden="1">{#N/A,#N/A,FALSE,"Pharm";#N/A,#N/A,FALSE,"WWCM"}</definedName>
    <definedName name="xcv" localSheetId="6" hidden="1">{#N/A,#N/A,FALSE,"Pharm";#N/A,#N/A,FALSE,"WWCM"}</definedName>
    <definedName name="xcv" hidden="1">{#N/A,#N/A,FALSE,"Pharm";#N/A,#N/A,FALSE,"WWCM"}</definedName>
    <definedName name="xcv_1" localSheetId="0" hidden="1">{#N/A,#N/A,FALSE,"Pharm";#N/A,#N/A,FALSE,"WWCM"}</definedName>
    <definedName name="xcv_1" localSheetId="6" hidden="1">{#N/A,#N/A,FALSE,"Pharm";#N/A,#N/A,FALSE,"WWCM"}</definedName>
    <definedName name="xcv_1" hidden="1">{#N/A,#N/A,FALSE,"Pharm";#N/A,#N/A,FALSE,"WWCM"}</definedName>
    <definedName name="xcv_1_1" localSheetId="0" hidden="1">{#N/A,#N/A,FALSE,"Pharm";#N/A,#N/A,FALSE,"WWCM"}</definedName>
    <definedName name="xcv_1_1" localSheetId="6" hidden="1">{#N/A,#N/A,FALSE,"Pharm";#N/A,#N/A,FALSE,"WWCM"}</definedName>
    <definedName name="xcv_1_1" hidden="1">{#N/A,#N/A,FALSE,"Pharm";#N/A,#N/A,FALSE,"WWCM"}</definedName>
    <definedName name="xcv_2" localSheetId="0" hidden="1">{#N/A,#N/A,FALSE,"Pharm";#N/A,#N/A,FALSE,"WWCM"}</definedName>
    <definedName name="xcv_2" localSheetId="6" hidden="1">{#N/A,#N/A,FALSE,"Pharm";#N/A,#N/A,FALSE,"WWCM"}</definedName>
    <definedName name="xcv_2" hidden="1">{#N/A,#N/A,FALSE,"Pharm";#N/A,#N/A,FALSE,"WWCM"}</definedName>
    <definedName name="xcv_3" localSheetId="0" hidden="1">{#N/A,#N/A,FALSE,"Pharm";#N/A,#N/A,FALSE,"WWCM"}</definedName>
    <definedName name="xcv_3" localSheetId="6" hidden="1">{#N/A,#N/A,FALSE,"Pharm";#N/A,#N/A,FALSE,"WWCM"}</definedName>
    <definedName name="xcv_3" hidden="1">{#N/A,#N/A,FALSE,"Pharm";#N/A,#N/A,FALSE,"WWCM"}</definedName>
    <definedName name="xcv_4" localSheetId="0" hidden="1">{#N/A,#N/A,FALSE,"Pharm";#N/A,#N/A,FALSE,"WWCM"}</definedName>
    <definedName name="xcv_4" localSheetId="6" hidden="1">{#N/A,#N/A,FALSE,"Pharm";#N/A,#N/A,FALSE,"WWCM"}</definedName>
    <definedName name="xcv_4" hidden="1">{#N/A,#N/A,FALSE,"Pharm";#N/A,#N/A,FALSE,"WWCM"}</definedName>
    <definedName name="xcv_5" localSheetId="0" hidden="1">{#N/A,#N/A,FALSE,"Pharm";#N/A,#N/A,FALSE,"WWCM"}</definedName>
    <definedName name="xcv_5" localSheetId="6" hidden="1">{#N/A,#N/A,FALSE,"Pharm";#N/A,#N/A,FALSE,"WWCM"}</definedName>
    <definedName name="xcv_5" hidden="1">{#N/A,#N/A,FALSE,"Pharm";#N/A,#N/A,FALSE,"WWCM"}</definedName>
    <definedName name="XCVBN" localSheetId="0" hidden="1">{#N/A,#N/A,FALSE,"Tabl. G1";#N/A,#N/A,FALSE,"Tabl. G2"}</definedName>
    <definedName name="XCVBN" localSheetId="6" hidden="1">{#N/A,#N/A,FALSE,"Tabl. G1";#N/A,#N/A,FALSE,"Tabl. G2"}</definedName>
    <definedName name="XCVBN" hidden="1">{#N/A,#N/A,FALSE,"Tabl. G1";#N/A,#N/A,FALSE,"Tabl. G2"}</definedName>
    <definedName name="xcvbxcvbcx" localSheetId="0" hidden="1">{#N/A,#N/A,FALSE,"Umsatz EO BP";#N/A,#N/A,FALSE,"Umsatz EO OP";#N/A,#N/A,FALSE,"ER EO BP";#N/A,#N/A,FALSE,"ER EO OP";#N/A,#N/A,FALSE,"EA EO (2)";#N/A,#N/A,FALSE,"EA EO";#N/A,#N/A,FALSE,"EA EO (3)";#N/A,#N/A,FALSE,"EA EO (4)";#N/A,#N/A,FALSE,"KA EO  (2)";#N/A,#N/A,FALSE,"KA EO";#N/A,#N/A,FALSE,"KA EO  (3)";#N/A,#N/A,FALSE,"KA EO (4)"}</definedName>
    <definedName name="xcvbxcvbcx" localSheetId="6" hidden="1">{#N/A,#N/A,FALSE,"Umsatz EO BP";#N/A,#N/A,FALSE,"Umsatz EO OP";#N/A,#N/A,FALSE,"ER EO BP";#N/A,#N/A,FALSE,"ER EO OP";#N/A,#N/A,FALSE,"EA EO (2)";#N/A,#N/A,FALSE,"EA EO";#N/A,#N/A,FALSE,"EA EO (3)";#N/A,#N/A,FALSE,"EA EO (4)";#N/A,#N/A,FALSE,"KA EO  (2)";#N/A,#N/A,FALSE,"KA EO";#N/A,#N/A,FALSE,"KA EO  (3)";#N/A,#N/A,FALSE,"KA EO (4)"}</definedName>
    <definedName name="xcvbxcvbcx" hidden="1">{#N/A,#N/A,FALSE,"Umsatz EO BP";#N/A,#N/A,FALSE,"Umsatz EO OP";#N/A,#N/A,FALSE,"ER EO BP";#N/A,#N/A,FALSE,"ER EO OP";#N/A,#N/A,FALSE,"EA EO (2)";#N/A,#N/A,FALSE,"EA EO";#N/A,#N/A,FALSE,"EA EO (3)";#N/A,#N/A,FALSE,"EA EO (4)";#N/A,#N/A,FALSE,"KA EO  (2)";#N/A,#N/A,FALSE,"KA EO";#N/A,#N/A,FALSE,"KA EO  (3)";#N/A,#N/A,FALSE,"KA EO (4)"}</definedName>
    <definedName name="xcvbxcvbcx_1" localSheetId="0" hidden="1">{#N/A,#N/A,FALSE,"Umsatz EO BP";#N/A,#N/A,FALSE,"Umsatz EO OP";#N/A,#N/A,FALSE,"ER EO BP";#N/A,#N/A,FALSE,"ER EO OP";#N/A,#N/A,FALSE,"EA EO (2)";#N/A,#N/A,FALSE,"EA EO";#N/A,#N/A,FALSE,"EA EO (3)";#N/A,#N/A,FALSE,"EA EO (4)";#N/A,#N/A,FALSE,"KA EO  (2)";#N/A,#N/A,FALSE,"KA EO";#N/A,#N/A,FALSE,"KA EO  (3)";#N/A,#N/A,FALSE,"KA EO (4)"}</definedName>
    <definedName name="xcvbxcvbcx_1" localSheetId="6" hidden="1">{#N/A,#N/A,FALSE,"Umsatz EO BP";#N/A,#N/A,FALSE,"Umsatz EO OP";#N/A,#N/A,FALSE,"ER EO BP";#N/A,#N/A,FALSE,"ER EO OP";#N/A,#N/A,FALSE,"EA EO (2)";#N/A,#N/A,FALSE,"EA EO";#N/A,#N/A,FALSE,"EA EO (3)";#N/A,#N/A,FALSE,"EA EO (4)";#N/A,#N/A,FALSE,"KA EO  (2)";#N/A,#N/A,FALSE,"KA EO";#N/A,#N/A,FALSE,"KA EO  (3)";#N/A,#N/A,FALSE,"KA EO (4)"}</definedName>
    <definedName name="xcvbxcvbcx_1" hidden="1">{#N/A,#N/A,FALSE,"Umsatz EO BP";#N/A,#N/A,FALSE,"Umsatz EO OP";#N/A,#N/A,FALSE,"ER EO BP";#N/A,#N/A,FALSE,"ER EO OP";#N/A,#N/A,FALSE,"EA EO (2)";#N/A,#N/A,FALSE,"EA EO";#N/A,#N/A,FALSE,"EA EO (3)";#N/A,#N/A,FALSE,"EA EO (4)";#N/A,#N/A,FALSE,"KA EO  (2)";#N/A,#N/A,FALSE,"KA EO";#N/A,#N/A,FALSE,"KA EO  (3)";#N/A,#N/A,FALSE,"KA EO (4)"}</definedName>
    <definedName name="xcvbxcvbcx_1_1" localSheetId="0" hidden="1">{#N/A,#N/A,FALSE,"Umsatz EO BP";#N/A,#N/A,FALSE,"Umsatz EO OP";#N/A,#N/A,FALSE,"ER EO BP";#N/A,#N/A,FALSE,"ER EO OP";#N/A,#N/A,FALSE,"EA EO (2)";#N/A,#N/A,FALSE,"EA EO";#N/A,#N/A,FALSE,"EA EO (3)";#N/A,#N/A,FALSE,"EA EO (4)";#N/A,#N/A,FALSE,"KA EO  (2)";#N/A,#N/A,FALSE,"KA EO";#N/A,#N/A,FALSE,"KA EO  (3)";#N/A,#N/A,FALSE,"KA EO (4)"}</definedName>
    <definedName name="xcvbxcvbcx_1_1" localSheetId="6" hidden="1">{#N/A,#N/A,FALSE,"Umsatz EO BP";#N/A,#N/A,FALSE,"Umsatz EO OP";#N/A,#N/A,FALSE,"ER EO BP";#N/A,#N/A,FALSE,"ER EO OP";#N/A,#N/A,FALSE,"EA EO (2)";#N/A,#N/A,FALSE,"EA EO";#N/A,#N/A,FALSE,"EA EO (3)";#N/A,#N/A,FALSE,"EA EO (4)";#N/A,#N/A,FALSE,"KA EO  (2)";#N/A,#N/A,FALSE,"KA EO";#N/A,#N/A,FALSE,"KA EO  (3)";#N/A,#N/A,FALSE,"KA EO (4)"}</definedName>
    <definedName name="xcvbxcvbcx_1_1" hidden="1">{#N/A,#N/A,FALSE,"Umsatz EO BP";#N/A,#N/A,FALSE,"Umsatz EO OP";#N/A,#N/A,FALSE,"ER EO BP";#N/A,#N/A,FALSE,"ER EO OP";#N/A,#N/A,FALSE,"EA EO (2)";#N/A,#N/A,FALSE,"EA EO";#N/A,#N/A,FALSE,"EA EO (3)";#N/A,#N/A,FALSE,"EA EO (4)";#N/A,#N/A,FALSE,"KA EO  (2)";#N/A,#N/A,FALSE,"KA EO";#N/A,#N/A,FALSE,"KA EO  (3)";#N/A,#N/A,FALSE,"KA EO (4)"}</definedName>
    <definedName name="xcvbxcvbcx_2" localSheetId="0" hidden="1">{#N/A,#N/A,FALSE,"Umsatz EO BP";#N/A,#N/A,FALSE,"Umsatz EO OP";#N/A,#N/A,FALSE,"ER EO BP";#N/A,#N/A,FALSE,"ER EO OP";#N/A,#N/A,FALSE,"EA EO (2)";#N/A,#N/A,FALSE,"EA EO";#N/A,#N/A,FALSE,"EA EO (3)";#N/A,#N/A,FALSE,"EA EO (4)";#N/A,#N/A,FALSE,"KA EO  (2)";#N/A,#N/A,FALSE,"KA EO";#N/A,#N/A,FALSE,"KA EO  (3)";#N/A,#N/A,FALSE,"KA EO (4)"}</definedName>
    <definedName name="xcvbxcvbcx_2" localSheetId="6" hidden="1">{#N/A,#N/A,FALSE,"Umsatz EO BP";#N/A,#N/A,FALSE,"Umsatz EO OP";#N/A,#N/A,FALSE,"ER EO BP";#N/A,#N/A,FALSE,"ER EO OP";#N/A,#N/A,FALSE,"EA EO (2)";#N/A,#N/A,FALSE,"EA EO";#N/A,#N/A,FALSE,"EA EO (3)";#N/A,#N/A,FALSE,"EA EO (4)";#N/A,#N/A,FALSE,"KA EO  (2)";#N/A,#N/A,FALSE,"KA EO";#N/A,#N/A,FALSE,"KA EO  (3)";#N/A,#N/A,FALSE,"KA EO (4)"}</definedName>
    <definedName name="xcvbxcvbcx_2" hidden="1">{#N/A,#N/A,FALSE,"Umsatz EO BP";#N/A,#N/A,FALSE,"Umsatz EO OP";#N/A,#N/A,FALSE,"ER EO BP";#N/A,#N/A,FALSE,"ER EO OP";#N/A,#N/A,FALSE,"EA EO (2)";#N/A,#N/A,FALSE,"EA EO";#N/A,#N/A,FALSE,"EA EO (3)";#N/A,#N/A,FALSE,"EA EO (4)";#N/A,#N/A,FALSE,"KA EO  (2)";#N/A,#N/A,FALSE,"KA EO";#N/A,#N/A,FALSE,"KA EO  (3)";#N/A,#N/A,FALSE,"KA EO (4)"}</definedName>
    <definedName name="xcvbxcvbcx_3" localSheetId="0" hidden="1">{#N/A,#N/A,FALSE,"Umsatz EO BP";#N/A,#N/A,FALSE,"Umsatz EO OP";#N/A,#N/A,FALSE,"ER EO BP";#N/A,#N/A,FALSE,"ER EO OP";#N/A,#N/A,FALSE,"EA EO (2)";#N/A,#N/A,FALSE,"EA EO";#N/A,#N/A,FALSE,"EA EO (3)";#N/A,#N/A,FALSE,"EA EO (4)";#N/A,#N/A,FALSE,"KA EO  (2)";#N/A,#N/A,FALSE,"KA EO";#N/A,#N/A,FALSE,"KA EO  (3)";#N/A,#N/A,FALSE,"KA EO (4)"}</definedName>
    <definedName name="xcvbxcvbcx_3" localSheetId="6" hidden="1">{#N/A,#N/A,FALSE,"Umsatz EO BP";#N/A,#N/A,FALSE,"Umsatz EO OP";#N/A,#N/A,FALSE,"ER EO BP";#N/A,#N/A,FALSE,"ER EO OP";#N/A,#N/A,FALSE,"EA EO (2)";#N/A,#N/A,FALSE,"EA EO";#N/A,#N/A,FALSE,"EA EO (3)";#N/A,#N/A,FALSE,"EA EO (4)";#N/A,#N/A,FALSE,"KA EO  (2)";#N/A,#N/A,FALSE,"KA EO";#N/A,#N/A,FALSE,"KA EO  (3)";#N/A,#N/A,FALSE,"KA EO (4)"}</definedName>
    <definedName name="xcvbxcvbcx_3" hidden="1">{#N/A,#N/A,FALSE,"Umsatz EO BP";#N/A,#N/A,FALSE,"Umsatz EO OP";#N/A,#N/A,FALSE,"ER EO BP";#N/A,#N/A,FALSE,"ER EO OP";#N/A,#N/A,FALSE,"EA EO (2)";#N/A,#N/A,FALSE,"EA EO";#N/A,#N/A,FALSE,"EA EO (3)";#N/A,#N/A,FALSE,"EA EO (4)";#N/A,#N/A,FALSE,"KA EO  (2)";#N/A,#N/A,FALSE,"KA EO";#N/A,#N/A,FALSE,"KA EO  (3)";#N/A,#N/A,FALSE,"KA EO (4)"}</definedName>
    <definedName name="xcvbxcvbcx_4" localSheetId="0" hidden="1">{#N/A,#N/A,FALSE,"Umsatz EO BP";#N/A,#N/A,FALSE,"Umsatz EO OP";#N/A,#N/A,FALSE,"ER EO BP";#N/A,#N/A,FALSE,"ER EO OP";#N/A,#N/A,FALSE,"EA EO (2)";#N/A,#N/A,FALSE,"EA EO";#N/A,#N/A,FALSE,"EA EO (3)";#N/A,#N/A,FALSE,"EA EO (4)";#N/A,#N/A,FALSE,"KA EO  (2)";#N/A,#N/A,FALSE,"KA EO";#N/A,#N/A,FALSE,"KA EO  (3)";#N/A,#N/A,FALSE,"KA EO (4)"}</definedName>
    <definedName name="xcvbxcvbcx_4" localSheetId="6" hidden="1">{#N/A,#N/A,FALSE,"Umsatz EO BP";#N/A,#N/A,FALSE,"Umsatz EO OP";#N/A,#N/A,FALSE,"ER EO BP";#N/A,#N/A,FALSE,"ER EO OP";#N/A,#N/A,FALSE,"EA EO (2)";#N/A,#N/A,FALSE,"EA EO";#N/A,#N/A,FALSE,"EA EO (3)";#N/A,#N/A,FALSE,"EA EO (4)";#N/A,#N/A,FALSE,"KA EO  (2)";#N/A,#N/A,FALSE,"KA EO";#N/A,#N/A,FALSE,"KA EO  (3)";#N/A,#N/A,FALSE,"KA EO (4)"}</definedName>
    <definedName name="xcvbxcvbcx_4" hidden="1">{#N/A,#N/A,FALSE,"Umsatz EO BP";#N/A,#N/A,FALSE,"Umsatz EO OP";#N/A,#N/A,FALSE,"ER EO BP";#N/A,#N/A,FALSE,"ER EO OP";#N/A,#N/A,FALSE,"EA EO (2)";#N/A,#N/A,FALSE,"EA EO";#N/A,#N/A,FALSE,"EA EO (3)";#N/A,#N/A,FALSE,"EA EO (4)";#N/A,#N/A,FALSE,"KA EO  (2)";#N/A,#N/A,FALSE,"KA EO";#N/A,#N/A,FALSE,"KA EO  (3)";#N/A,#N/A,FALSE,"KA EO (4)"}</definedName>
    <definedName name="xcvbxcvbcx_5" localSheetId="0" hidden="1">{#N/A,#N/A,FALSE,"Umsatz EO BP";#N/A,#N/A,FALSE,"Umsatz EO OP";#N/A,#N/A,FALSE,"ER EO BP";#N/A,#N/A,FALSE,"ER EO OP";#N/A,#N/A,FALSE,"EA EO (2)";#N/A,#N/A,FALSE,"EA EO";#N/A,#N/A,FALSE,"EA EO (3)";#N/A,#N/A,FALSE,"EA EO (4)";#N/A,#N/A,FALSE,"KA EO  (2)";#N/A,#N/A,FALSE,"KA EO";#N/A,#N/A,FALSE,"KA EO  (3)";#N/A,#N/A,FALSE,"KA EO (4)"}</definedName>
    <definedName name="xcvbxcvbcx_5" localSheetId="6" hidden="1">{#N/A,#N/A,FALSE,"Umsatz EO BP";#N/A,#N/A,FALSE,"Umsatz EO OP";#N/A,#N/A,FALSE,"ER EO BP";#N/A,#N/A,FALSE,"ER EO OP";#N/A,#N/A,FALSE,"EA EO (2)";#N/A,#N/A,FALSE,"EA EO";#N/A,#N/A,FALSE,"EA EO (3)";#N/A,#N/A,FALSE,"EA EO (4)";#N/A,#N/A,FALSE,"KA EO  (2)";#N/A,#N/A,FALSE,"KA EO";#N/A,#N/A,FALSE,"KA EO  (3)";#N/A,#N/A,FALSE,"KA EO (4)"}</definedName>
    <definedName name="xcvbxcvbcx_5" hidden="1">{#N/A,#N/A,FALSE,"Umsatz EO BP";#N/A,#N/A,FALSE,"Umsatz EO OP";#N/A,#N/A,FALSE,"ER EO BP";#N/A,#N/A,FALSE,"ER EO OP";#N/A,#N/A,FALSE,"EA EO (2)";#N/A,#N/A,FALSE,"EA EO";#N/A,#N/A,FALSE,"EA EO (3)";#N/A,#N/A,FALSE,"EA EO (4)";#N/A,#N/A,FALSE,"KA EO  (2)";#N/A,#N/A,FALSE,"KA EO";#N/A,#N/A,FALSE,"KA EO  (3)";#N/A,#N/A,FALSE,"KA EO (4)"}</definedName>
    <definedName name="xcvc" localSheetId="0" hidden="1">{#N/A,#N/A,FALSE,"Hip.Bas";#N/A,#N/A,FALSE,"ventas";#N/A,#N/A,FALSE,"ingre-Año";#N/A,#N/A,FALSE,"ventas-Año";#N/A,#N/A,FALSE,"Costepro";#N/A,#N/A,FALSE,"inversion";#N/A,#N/A,FALSE,"personal";#N/A,#N/A,FALSE,"Gastos-V";#N/A,#N/A,FALSE,"Circulante";#N/A,#N/A,FALSE,"CONSOLI";#N/A,#N/A,FALSE,"Es-Fin";#N/A,#N/A,FALSE,"Margen-P"}</definedName>
    <definedName name="xcvc" localSheetId="6" hidden="1">{#N/A,#N/A,FALSE,"Hip.Bas";#N/A,#N/A,FALSE,"ventas";#N/A,#N/A,FALSE,"ingre-Año";#N/A,#N/A,FALSE,"ventas-Año";#N/A,#N/A,FALSE,"Costepro";#N/A,#N/A,FALSE,"inversion";#N/A,#N/A,FALSE,"personal";#N/A,#N/A,FALSE,"Gastos-V";#N/A,#N/A,FALSE,"Circulante";#N/A,#N/A,FALSE,"CONSOLI";#N/A,#N/A,FALSE,"Es-Fin";#N/A,#N/A,FALSE,"Margen-P"}</definedName>
    <definedName name="xcvc" hidden="1">{#N/A,#N/A,FALSE,"Hip.Bas";#N/A,#N/A,FALSE,"ventas";#N/A,#N/A,FALSE,"ingre-Año";#N/A,#N/A,FALSE,"ventas-Año";#N/A,#N/A,FALSE,"Costepro";#N/A,#N/A,FALSE,"inversion";#N/A,#N/A,FALSE,"personal";#N/A,#N/A,FALSE,"Gastos-V";#N/A,#N/A,FALSE,"Circulante";#N/A,#N/A,FALSE,"CONSOLI";#N/A,#N/A,FALSE,"Es-Fin";#N/A,#N/A,FALSE,"Margen-P"}</definedName>
    <definedName name="xd" localSheetId="0" hidden="1">{#N/A,#N/A,FALSE,"Work progress mensile";#N/A,#N/A,FALSE,"Work progress mensile IE1"}</definedName>
    <definedName name="xd" localSheetId="6" hidden="1">{#N/A,#N/A,FALSE,"Work progress mensile";#N/A,#N/A,FALSE,"Work progress mensile IE1"}</definedName>
    <definedName name="xd" hidden="1">{#N/A,#N/A,FALSE,"Work progress mensile";#N/A,#N/A,FALSE,"Work progress mensile IE1"}</definedName>
    <definedName name="XDS" localSheetId="6" hidden="1">{"VIEW1",#N/A,FALSE,"P&amp;L Account 2001-2002";"VIEW2",#N/A,FALSE,"P&amp;L Account 2001-2002";"VIEW3",#N/A,FALSE,"P&amp;L Account 2001-2002";"VIEW4",#N/A,FALSE,"P&amp;L Account 2001-2002"}</definedName>
    <definedName name="XDS" hidden="1">{"VIEW1",#N/A,FALSE,"P&amp;L Account 2001-2002";"VIEW2",#N/A,FALSE,"P&amp;L Account 2001-2002";"VIEW3",#N/A,FALSE,"P&amp;L Account 2001-2002";"VIEW4",#N/A,FALSE,"P&amp;L Account 2001-2002"}</definedName>
    <definedName name="xe" localSheetId="0" hidden="1">{#N/A,#N/A,FALSE,"Work progress mensile";#N/A,#N/A,FALSE,"Work progress mensile IE1"}</definedName>
    <definedName name="xe" localSheetId="6" hidden="1">{#N/A,#N/A,FALSE,"Work progress mensile";#N/A,#N/A,FALSE,"Work progress mensile IE1"}</definedName>
    <definedName name="xe" hidden="1">{#N/A,#N/A,FALSE,"Work progress mensile";#N/A,#N/A,FALSE,"Work progress mensile IE1"}</definedName>
    <definedName name="xee" localSheetId="0" hidden="1">{"NORMAL",#N/A,FALSE,"02"}</definedName>
    <definedName name="xee" localSheetId="6" hidden="1">{"NORMAL",#N/A,FALSE,"02"}</definedName>
    <definedName name="xee" hidden="1">{"NORMAL",#N/A,FALSE,"02"}</definedName>
    <definedName name="xeee" localSheetId="0" hidden="1">{#N/A,#N/A,FALSE,"Work progress mensile";#N/A,#N/A,FALSE,"Work progress mensile IE1"}</definedName>
    <definedName name="xeee" localSheetId="6" hidden="1">{#N/A,#N/A,FALSE,"Work progress mensile";#N/A,#N/A,FALSE,"Work progress mensile IE1"}</definedName>
    <definedName name="xeee" hidden="1">{#N/A,#N/A,FALSE,"Work progress mensile";#N/A,#N/A,FALSE,"Work progress mensile IE1"}</definedName>
    <definedName name="xg" localSheetId="0" hidden="1">{"DECIMAL",#N/A,FALSE,"02"}</definedName>
    <definedName name="xg" localSheetId="6" hidden="1">{"DECIMAL",#N/A,FALSE,"02"}</definedName>
    <definedName name="xg" hidden="1">{"DECIMAL",#N/A,FALSE,"02"}</definedName>
    <definedName name="xj" localSheetId="0" hidden="1">{#N/A,#N/A,FALSE,"Work progress mensile";#N/A,#N/A,FALSE,"Work progress mensile IE1"}</definedName>
    <definedName name="xj" localSheetId="6" hidden="1">{#N/A,#N/A,FALSE,"Work progress mensile";#N/A,#N/A,FALSE,"Work progress mensile IE1"}</definedName>
    <definedName name="xj" hidden="1">{#N/A,#N/A,FALSE,"Work progress mensile";#N/A,#N/A,FALSE,"Work progress mensile IE1"}</definedName>
    <definedName name="xjj" localSheetId="0" hidden="1">{"DECIMAL",#N/A,FALSE,"02"}</definedName>
    <definedName name="xjj" localSheetId="6" hidden="1">{"DECIMAL",#N/A,FALSE,"02"}</definedName>
    <definedName name="xjj" hidden="1">{"DECIMAL",#N/A,FALSE,"02"}</definedName>
    <definedName name="xjjj" localSheetId="0" hidden="1">{#N/A,#N/A,FALSE,"Work progress mensile";#N/A,#N/A,FALSE,"Work progress mensile IE1"}</definedName>
    <definedName name="xjjj" localSheetId="6" hidden="1">{#N/A,#N/A,FALSE,"Work progress mensile";#N/A,#N/A,FALSE,"Work progress mensile IE1"}</definedName>
    <definedName name="xjjj" hidden="1">{#N/A,#N/A,FALSE,"Work progress mensile";#N/A,#N/A,FALSE,"Work progress mensile IE1"}</definedName>
    <definedName name="XLDW_UID" hidden="1">"us005514"</definedName>
    <definedName name="XLDW_VER" hidden="1">"Office 97 1.1"</definedName>
    <definedName name="XLMLwidth">#REF!</definedName>
    <definedName name="XLMOrientationP1L2">#REF!</definedName>
    <definedName name="XLMPwidth">#REF!</definedName>
    <definedName name="xls." localSheetId="6" hidden="1">{"'Break down'!$A$4"}</definedName>
    <definedName name="xls." hidden="1">{"'Break down'!$A$4"}</definedName>
    <definedName name="xlx" localSheetId="0" hidden="1">{#N/A,#N/A,FALSE,"PMW Gruppe 99_98";#N/A,#N/A,FALSE,"PMW KG 98_99";#N/A,#N/A,FALSE,"PMW Inc. 99_98";#N/A,#N/A,FALSE,"PMW VTECH 99_98";#N/A,#N/A,FALSE,"PMW Thail. 99_98";#N/A,#N/A,FALSE,"PMW Canada 99_98";#N/A,#N/A,FALSE,"Währungsabw. 99_98"}</definedName>
    <definedName name="xlx" localSheetId="6" hidden="1">{#N/A,#N/A,FALSE,"PMW Gruppe 99_98";#N/A,#N/A,FALSE,"PMW KG 98_99";#N/A,#N/A,FALSE,"PMW Inc. 99_98";#N/A,#N/A,FALSE,"PMW VTECH 99_98";#N/A,#N/A,FALSE,"PMW Thail. 99_98";#N/A,#N/A,FALSE,"PMW Canada 99_98";#N/A,#N/A,FALSE,"Währungsabw. 99_98"}</definedName>
    <definedName name="xlx" hidden="1">{#N/A,#N/A,FALSE,"PMW Gruppe 99_98";#N/A,#N/A,FALSE,"PMW KG 98_99";#N/A,#N/A,FALSE,"PMW Inc. 99_98";#N/A,#N/A,FALSE,"PMW VTECH 99_98";#N/A,#N/A,FALSE,"PMW Thail. 99_98";#N/A,#N/A,FALSE,"PMW Canada 99_98";#N/A,#N/A,FALSE,"Währungsabw. 99_98"}</definedName>
    <definedName name="xlx_1" localSheetId="0" hidden="1">{#N/A,#N/A,FALSE,"PMW Gruppe 99_98";#N/A,#N/A,FALSE,"PMW KG 98_99";#N/A,#N/A,FALSE,"PMW Inc. 99_98";#N/A,#N/A,FALSE,"PMW VTECH 99_98";#N/A,#N/A,FALSE,"PMW Thail. 99_98";#N/A,#N/A,FALSE,"PMW Canada 99_98";#N/A,#N/A,FALSE,"Währungsabw. 99_98"}</definedName>
    <definedName name="xlx_1" localSheetId="6" hidden="1">{#N/A,#N/A,FALSE,"PMW Gruppe 99_98";#N/A,#N/A,FALSE,"PMW KG 98_99";#N/A,#N/A,FALSE,"PMW Inc. 99_98";#N/A,#N/A,FALSE,"PMW VTECH 99_98";#N/A,#N/A,FALSE,"PMW Thail. 99_98";#N/A,#N/A,FALSE,"PMW Canada 99_98";#N/A,#N/A,FALSE,"Währungsabw. 99_98"}</definedName>
    <definedName name="xlx_1" hidden="1">{#N/A,#N/A,FALSE,"PMW Gruppe 99_98";#N/A,#N/A,FALSE,"PMW KG 98_99";#N/A,#N/A,FALSE,"PMW Inc. 99_98";#N/A,#N/A,FALSE,"PMW VTECH 99_98";#N/A,#N/A,FALSE,"PMW Thail. 99_98";#N/A,#N/A,FALSE,"PMW Canada 99_98";#N/A,#N/A,FALSE,"Währungsabw. 99_98"}</definedName>
    <definedName name="xlx_1_1" localSheetId="0" hidden="1">{#N/A,#N/A,FALSE,"PMW Gruppe 99_98";#N/A,#N/A,FALSE,"PMW KG 98_99";#N/A,#N/A,FALSE,"PMW Inc. 99_98";#N/A,#N/A,FALSE,"PMW VTECH 99_98";#N/A,#N/A,FALSE,"PMW Thail. 99_98";#N/A,#N/A,FALSE,"PMW Canada 99_98";#N/A,#N/A,FALSE,"Währungsabw. 99_98"}</definedName>
    <definedName name="xlx_1_1" localSheetId="6" hidden="1">{#N/A,#N/A,FALSE,"PMW Gruppe 99_98";#N/A,#N/A,FALSE,"PMW KG 98_99";#N/A,#N/A,FALSE,"PMW Inc. 99_98";#N/A,#N/A,FALSE,"PMW VTECH 99_98";#N/A,#N/A,FALSE,"PMW Thail. 99_98";#N/A,#N/A,FALSE,"PMW Canada 99_98";#N/A,#N/A,FALSE,"Währungsabw. 99_98"}</definedName>
    <definedName name="xlx_1_1" hidden="1">{#N/A,#N/A,FALSE,"PMW Gruppe 99_98";#N/A,#N/A,FALSE,"PMW KG 98_99";#N/A,#N/A,FALSE,"PMW Inc. 99_98";#N/A,#N/A,FALSE,"PMW VTECH 99_98";#N/A,#N/A,FALSE,"PMW Thail. 99_98";#N/A,#N/A,FALSE,"PMW Canada 99_98";#N/A,#N/A,FALSE,"Währungsabw. 99_98"}</definedName>
    <definedName name="xlx_2" localSheetId="0" hidden="1">{#N/A,#N/A,FALSE,"PMW Gruppe 99_98";#N/A,#N/A,FALSE,"PMW KG 98_99";#N/A,#N/A,FALSE,"PMW Inc. 99_98";#N/A,#N/A,FALSE,"PMW VTECH 99_98";#N/A,#N/A,FALSE,"PMW Thail. 99_98";#N/A,#N/A,FALSE,"PMW Canada 99_98";#N/A,#N/A,FALSE,"Währungsabw. 99_98"}</definedName>
    <definedName name="xlx_2" localSheetId="6" hidden="1">{#N/A,#N/A,FALSE,"PMW Gruppe 99_98";#N/A,#N/A,FALSE,"PMW KG 98_99";#N/A,#N/A,FALSE,"PMW Inc. 99_98";#N/A,#N/A,FALSE,"PMW VTECH 99_98";#N/A,#N/A,FALSE,"PMW Thail. 99_98";#N/A,#N/A,FALSE,"PMW Canada 99_98";#N/A,#N/A,FALSE,"Währungsabw. 99_98"}</definedName>
    <definedName name="xlx_2" hidden="1">{#N/A,#N/A,FALSE,"PMW Gruppe 99_98";#N/A,#N/A,FALSE,"PMW KG 98_99";#N/A,#N/A,FALSE,"PMW Inc. 99_98";#N/A,#N/A,FALSE,"PMW VTECH 99_98";#N/A,#N/A,FALSE,"PMW Thail. 99_98";#N/A,#N/A,FALSE,"PMW Canada 99_98";#N/A,#N/A,FALSE,"Währungsabw. 99_98"}</definedName>
    <definedName name="xlx_3" localSheetId="0" hidden="1">{#N/A,#N/A,FALSE,"PMW Gruppe 99_98";#N/A,#N/A,FALSE,"PMW KG 98_99";#N/A,#N/A,FALSE,"PMW Inc. 99_98";#N/A,#N/A,FALSE,"PMW VTECH 99_98";#N/A,#N/A,FALSE,"PMW Thail. 99_98";#N/A,#N/A,FALSE,"PMW Canada 99_98";#N/A,#N/A,FALSE,"Währungsabw. 99_98"}</definedName>
    <definedName name="xlx_3" localSheetId="6" hidden="1">{#N/A,#N/A,FALSE,"PMW Gruppe 99_98";#N/A,#N/A,FALSE,"PMW KG 98_99";#N/A,#N/A,FALSE,"PMW Inc. 99_98";#N/A,#N/A,FALSE,"PMW VTECH 99_98";#N/A,#N/A,FALSE,"PMW Thail. 99_98";#N/A,#N/A,FALSE,"PMW Canada 99_98";#N/A,#N/A,FALSE,"Währungsabw. 99_98"}</definedName>
    <definedName name="xlx_3" hidden="1">{#N/A,#N/A,FALSE,"PMW Gruppe 99_98";#N/A,#N/A,FALSE,"PMW KG 98_99";#N/A,#N/A,FALSE,"PMW Inc. 99_98";#N/A,#N/A,FALSE,"PMW VTECH 99_98";#N/A,#N/A,FALSE,"PMW Thail. 99_98";#N/A,#N/A,FALSE,"PMW Canada 99_98";#N/A,#N/A,FALSE,"Währungsabw. 99_98"}</definedName>
    <definedName name="xlx_4" localSheetId="0" hidden="1">{#N/A,#N/A,FALSE,"PMW Gruppe 99_98";#N/A,#N/A,FALSE,"PMW KG 98_99";#N/A,#N/A,FALSE,"PMW Inc. 99_98";#N/A,#N/A,FALSE,"PMW VTECH 99_98";#N/A,#N/A,FALSE,"PMW Thail. 99_98";#N/A,#N/A,FALSE,"PMW Canada 99_98";#N/A,#N/A,FALSE,"Währungsabw. 99_98"}</definedName>
    <definedName name="xlx_4" localSheetId="6" hidden="1">{#N/A,#N/A,FALSE,"PMW Gruppe 99_98";#N/A,#N/A,FALSE,"PMW KG 98_99";#N/A,#N/A,FALSE,"PMW Inc. 99_98";#N/A,#N/A,FALSE,"PMW VTECH 99_98";#N/A,#N/A,FALSE,"PMW Thail. 99_98";#N/A,#N/A,FALSE,"PMW Canada 99_98";#N/A,#N/A,FALSE,"Währungsabw. 99_98"}</definedName>
    <definedName name="xlx_4" hidden="1">{#N/A,#N/A,FALSE,"PMW Gruppe 99_98";#N/A,#N/A,FALSE,"PMW KG 98_99";#N/A,#N/A,FALSE,"PMW Inc. 99_98";#N/A,#N/A,FALSE,"PMW VTECH 99_98";#N/A,#N/A,FALSE,"PMW Thail. 99_98";#N/A,#N/A,FALSE,"PMW Canada 99_98";#N/A,#N/A,FALSE,"Währungsabw. 99_98"}</definedName>
    <definedName name="xlx_5" localSheetId="0" hidden="1">{#N/A,#N/A,FALSE,"PMW Gruppe 99_98";#N/A,#N/A,FALSE,"PMW KG 98_99";#N/A,#N/A,FALSE,"PMW Inc. 99_98";#N/A,#N/A,FALSE,"PMW VTECH 99_98";#N/A,#N/A,FALSE,"PMW Thail. 99_98";#N/A,#N/A,FALSE,"PMW Canada 99_98";#N/A,#N/A,FALSE,"Währungsabw. 99_98"}</definedName>
    <definedName name="xlx_5" localSheetId="6" hidden="1">{#N/A,#N/A,FALSE,"PMW Gruppe 99_98";#N/A,#N/A,FALSE,"PMW KG 98_99";#N/A,#N/A,FALSE,"PMW Inc. 99_98";#N/A,#N/A,FALSE,"PMW VTECH 99_98";#N/A,#N/A,FALSE,"PMW Thail. 99_98";#N/A,#N/A,FALSE,"PMW Canada 99_98";#N/A,#N/A,FALSE,"Währungsabw. 99_98"}</definedName>
    <definedName name="xlx_5" hidden="1">{#N/A,#N/A,FALSE,"PMW Gruppe 99_98";#N/A,#N/A,FALSE,"PMW KG 98_99";#N/A,#N/A,FALSE,"PMW Inc. 99_98";#N/A,#N/A,FALSE,"PMW VTECH 99_98";#N/A,#N/A,FALSE,"PMW Thail. 99_98";#N/A,#N/A,FALSE,"PMW Canada 99_98";#N/A,#N/A,FALSE,"Währungsabw. 99_98"}</definedName>
    <definedName name="xociue" localSheetId="0" hidden="1">{"vue1",#N/A,FALSE,"synthese";"vue2",#N/A,FALSE,"synthese"}</definedName>
    <definedName name="xociue" localSheetId="6" hidden="1">{"vue1",#N/A,FALSE,"synthese";"vue2",#N/A,FALSE,"synthese"}</definedName>
    <definedName name="xociue" hidden="1">{"vue1",#N/A,FALSE,"synthese";"vue2",#N/A,FALSE,"synthese"}</definedName>
    <definedName name="xp" localSheetId="0" hidden="1">{#N/A,#N/A,FALSE,"Work progress mensile";#N/A,#N/A,FALSE,"Work progress mensile IE1"}</definedName>
    <definedName name="xp" localSheetId="6" hidden="1">{#N/A,#N/A,FALSE,"Work progress mensile";#N/A,#N/A,FALSE,"Work progress mensile IE1"}</definedName>
    <definedName name="xp" hidden="1">{#N/A,#N/A,FALSE,"Work progress mensile";#N/A,#N/A,FALSE,"Work progress mensile IE1"}</definedName>
    <definedName name="xpp" localSheetId="0" hidden="1">{"DECIMAL",#N/A,FALSE,"02"}</definedName>
    <definedName name="xpp" localSheetId="6" hidden="1">{"DECIMAL",#N/A,FALSE,"02"}</definedName>
    <definedName name="xpp" hidden="1">{"DECIMAL",#N/A,FALSE,"02"}</definedName>
    <definedName name="xq" localSheetId="0" hidden="1">{#N/A,#N/A,FALSE,"Work progress mensile";#N/A,#N/A,FALSE,"Work progress mensile IE1"}</definedName>
    <definedName name="xq" localSheetId="6" hidden="1">{#N/A,#N/A,FALSE,"Work progress mensile";#N/A,#N/A,FALSE,"Work progress mensile IE1"}</definedName>
    <definedName name="xq" hidden="1">{#N/A,#N/A,FALSE,"Work progress mensile";#N/A,#N/A,FALSE,"Work progress mensile IE1"}</definedName>
    <definedName name="xqz"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xqz"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XREF"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7" hidden="1">#REF!</definedName>
    <definedName name="XREF_COLUMN_18" hidden="1">#REF!</definedName>
    <definedName name="XREF_COLUMN_2" hidden="1">#REF!</definedName>
    <definedName name="XREF_COLUMN_25" hidden="1">#REF!</definedName>
    <definedName name="XREF_COLUMN_3" hidden="1">#REF!</definedName>
    <definedName name="XREF_COLUMN_30" hidden="1">#REF!</definedName>
    <definedName name="XREF_COLUMN_31"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4</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9" hidden="1">#REF!</definedName>
    <definedName name="XRefCopy3Row" hidden="1">#REF!</definedName>
    <definedName name="XRefCopy4" hidden="1">#REF!</definedName>
    <definedName name="XRefCopy40Row" hidden="1">#REF!</definedName>
    <definedName name="XRefCopy49Row" hidden="1">#REF!</definedName>
    <definedName name="XRefCopy4Row" hidden="1">#REF!</definedName>
    <definedName name="XRefCopy5" hidden="1">#REF!</definedName>
    <definedName name="XRefCopy50Row" hidden="1">#REF!</definedName>
    <definedName name="XRefCopy51Row" hidden="1">#REF!</definedName>
    <definedName name="XRefCopy52Row" hidden="1">#REF!</definedName>
    <definedName name="XRefCopy53Row" hidden="1">#REF!</definedName>
    <definedName name="XRefCopy55Row" hidden="1">#REF!</definedName>
    <definedName name="XRefCopy56" hidden="1">#REF!</definedName>
    <definedName name="XRefCopy56Row" hidden="1">#REF!</definedName>
    <definedName name="XRefCopy57" hidden="1">#REF!</definedName>
    <definedName name="XRefCopy58" hidden="1">#REF!</definedName>
    <definedName name="XRefCopy5Row" hidden="1">#REF!</definedName>
    <definedName name="XRefCopy6" hidden="1">#REF!</definedName>
    <definedName name="XRefCopy61" hidden="1">#REF!</definedName>
    <definedName name="XRefCopy63Row" hidden="1">#REF!</definedName>
    <definedName name="XRefCopy64Row" hidden="1">#REF!</definedName>
    <definedName name="XRefCopy65Row" hidden="1">#REF!</definedName>
    <definedName name="XRefCopy66" hidden="1">#REF!</definedName>
    <definedName name="XRefCopy66Row" hidden="1">#REF!</definedName>
    <definedName name="XRefCopy67Row" hidden="1">#REF!</definedName>
    <definedName name="XRefCopy68Row" hidden="1">#REF!</definedName>
    <definedName name="XRefCopy69Row" hidden="1">#REF!</definedName>
    <definedName name="XRefCopy6Row" hidden="1">#REF!</definedName>
    <definedName name="XRefCopy7" hidden="1">#REF!</definedName>
    <definedName name="XRefCopy70Row" hidden="1">#REF!</definedName>
    <definedName name="XRefCopy71Row" hidden="1">#REF!</definedName>
    <definedName name="XRefCopy72Row" hidden="1">#REF!</definedName>
    <definedName name="XRefCopy73Row" hidden="1">#REF!</definedName>
    <definedName name="XRefCopy74Row" hidden="1">#REF!</definedName>
    <definedName name="XRefCopy75Row" hidden="1">#REF!</definedName>
    <definedName name="XRefCopy76Row" hidden="1">#REF!</definedName>
    <definedName name="XRefCopy77Row" hidden="1">#REF!</definedName>
    <definedName name="XRefCopy78Row" hidden="1">#REF!</definedName>
    <definedName name="XRefCopy7Row" hidden="1">#REF!</definedName>
    <definedName name="XRefCopy8" hidden="1">#REF!</definedName>
    <definedName name="XRefCopy82Row" hidden="1">#REF!</definedName>
    <definedName name="XRefCopy8Row" hidden="1">#REF!</definedName>
    <definedName name="XRefCopy9" hidden="1">#REF!</definedName>
    <definedName name="XRefCopy9Row" hidden="1">#REF!</definedName>
    <definedName name="XRefCopyRangeCount" hidden="1">4</definedName>
    <definedName name="XRefPaste1" hidden="1">#REF!</definedName>
    <definedName name="XRefPaste10"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Row" hidden="1">#REF!</definedName>
    <definedName name="XRefPaste105Row" hidden="1">#REF!</definedName>
    <definedName name="XRefPaste106" hidden="1">#REF!</definedName>
    <definedName name="XRefPaste106Row" hidden="1">#REF!</definedName>
    <definedName name="XRefPaste107Row" hidden="1">#REF!</definedName>
    <definedName name="XRefPaste108Row" hidden="1">#REF!</definedName>
    <definedName name="XRefPaste10Row" hidden="1">#REF!</definedName>
    <definedName name="XRefPaste11" hidden="1">#REF!</definedName>
    <definedName name="XRefPaste111Row" hidden="1">#REF!</definedName>
    <definedName name="XRefPaste112Row" hidden="1">#REF!</definedName>
    <definedName name="XRefPaste117" hidden="1">#REF!</definedName>
    <definedName name="XRefPaste11Row" hidden="1">#REF!</definedName>
    <definedName name="XRefPaste12" hidden="1">#REF!</definedName>
    <definedName name="XRefPaste120" hidden="1">#REF!</definedName>
    <definedName name="XRefPaste120Row" hidden="1">#REF!</definedName>
    <definedName name="XRefPaste121Row" hidden="1">#REF!</definedName>
    <definedName name="XRefPaste122Row" hidden="1">#REF!</definedName>
    <definedName name="XRefPaste123Row" hidden="1">#REF!</definedName>
    <definedName name="XRefPaste124Row" hidden="1">#REF!</definedName>
    <definedName name="XRefPaste126Row" hidden="1">#REF!</definedName>
    <definedName name="XRefPaste127Row" hidden="1">#REF!</definedName>
    <definedName name="XRefPaste128Row" hidden="1">#REF!</definedName>
    <definedName name="XRefPaste129Row" hidden="1">#REF!</definedName>
    <definedName name="XRefPaste12Row" hidden="1">#REF!</definedName>
    <definedName name="XRefPaste13" hidden="1">#REF!</definedName>
    <definedName name="XRefPaste130Row" hidden="1">#REF!</definedName>
    <definedName name="XRefPaste131Row" hidden="1">#REF!</definedName>
    <definedName name="XRefPaste132Row" hidden="1">#REF!</definedName>
    <definedName name="XRefPaste133Row" hidden="1">#REF!</definedName>
    <definedName name="XRefPaste134Row" hidden="1">#REF!</definedName>
    <definedName name="XRefPaste135Row" hidden="1">#REF!</definedName>
    <definedName name="XRefPaste136Row" hidden="1">#REF!</definedName>
    <definedName name="XRefPaste137Row" hidden="1">#REF!</definedName>
    <definedName name="XRefPaste138Row" hidden="1">#REF!</definedName>
    <definedName name="XRefPaste139"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4" hidden="1">#REF!</definedName>
    <definedName name="XRefPaste24Row" hidden="1">#REF!</definedName>
    <definedName name="XRefPaste25"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1" hidden="1">#REF!</definedName>
    <definedName name="XRefPaste31Row" hidden="1">#REF!</definedName>
    <definedName name="XRefPaste32" hidden="1">#REF!</definedName>
    <definedName name="XRefPaste32Row" hidden="1">#REF!</definedName>
    <definedName name="XRefPaste35" hidden="1">#REF!</definedName>
    <definedName name="XRefPaste35Row" hidden="1">#REF!</definedName>
    <definedName name="XRefPaste37"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3" hidden="1">#REF!</definedName>
    <definedName name="XRefPaste43Row" hidden="1">#REF!</definedName>
    <definedName name="XRefPaste44" hidden="1">#REF!</definedName>
    <definedName name="XRefPaste45" hidden="1">#REF!</definedName>
    <definedName name="XRefPaste45Row" hidden="1">#REF!</definedName>
    <definedName name="XRefPaste49" hidden="1">#REF!</definedName>
    <definedName name="XRefPaste4Row" hidden="1">#REF!</definedName>
    <definedName name="XRefPaste5" hidden="1">#REF!</definedName>
    <definedName name="XRefPaste51" hidden="1">#REF!</definedName>
    <definedName name="XRefPaste52" hidden="1">#REF!</definedName>
    <definedName name="XRefPaste57Row" hidden="1">#REF!</definedName>
    <definedName name="XRefPaste59Row" hidden="1">#REF!</definedName>
    <definedName name="XRefPaste5Row" hidden="1">#REF!</definedName>
    <definedName name="XRefPaste6" hidden="1">#REF!</definedName>
    <definedName name="XRefPaste62Row" hidden="1">#REF!</definedName>
    <definedName name="XRefPaste63Row" hidden="1">#REF!</definedName>
    <definedName name="XRefPaste64Row" hidden="1">#REF!</definedName>
    <definedName name="XRefPaste65Row" hidden="1">#REF!</definedName>
    <definedName name="XRefPaste67Row" hidden="1">#REF!</definedName>
    <definedName name="XRefPaste68Row" hidden="1">#REF!</definedName>
    <definedName name="XRefPaste69Row" hidden="1">#REF!</definedName>
    <definedName name="XRefPaste6Row" hidden="1">#REF!</definedName>
    <definedName name="XRefPaste7" hidden="1">#REF!</definedName>
    <definedName name="XRefPaste70Row" hidden="1">#REF!</definedName>
    <definedName name="XRefPaste71Row" hidden="1">#REF!</definedName>
    <definedName name="XRefPaste75Row" hidden="1">#REF!</definedName>
    <definedName name="XRefPaste7Row" hidden="1">#REF!</definedName>
    <definedName name="XRefPaste8" hidden="1">#REF!</definedName>
    <definedName name="XRefPaste8Row" hidden="1">#REF!</definedName>
    <definedName name="XRefPaste9" hidden="1">#REF!</definedName>
    <definedName name="XRefPaste99Row" hidden="1">#REF!</definedName>
    <definedName name="XRefPaste9Row" hidden="1">#REF!</definedName>
    <definedName name="XRefPasteRangeCount" hidden="1">6</definedName>
    <definedName name="xrm" localSheetId="0" hidden="1">{"vue1",#N/A,FALSE,"synthese";"vue2",#N/A,FALSE,"synthese"}</definedName>
    <definedName name="xrm" localSheetId="6" hidden="1">{"vue1",#N/A,FALSE,"synthese";"vue2",#N/A,FALSE,"synthese"}</definedName>
    <definedName name="xrm" hidden="1">{"vue1",#N/A,FALSE,"synthese";"vue2",#N/A,FALSE,"synthese"}</definedName>
    <definedName name="xrm2" localSheetId="0" hidden="1">{"vue1",#N/A,FALSE,"synthese";"vue2",#N/A,FALSE,"synthese"}</definedName>
    <definedName name="xrm2" localSheetId="6" hidden="1">{"vue1",#N/A,FALSE,"synthese";"vue2",#N/A,FALSE,"synthese"}</definedName>
    <definedName name="xrm2" hidden="1">{"vue1",#N/A,FALSE,"synthese";"vue2",#N/A,FALSE,"synthese"}</definedName>
    <definedName name="xRng_00809b6a5d4a42eda148b7b9cb4b5bf1">#REF!</definedName>
    <definedName name="xRng_03a7ed6f56204e42a49e0bf853d4a8fe">#REF!</definedName>
    <definedName name="xRng_06b733779b784ded9e1907f5e67d2501">#REF!</definedName>
    <definedName name="xRng_11ecc6903c524a10acce0cc8419c3424">#REF!</definedName>
    <definedName name="xRng_12426ec4146f4a9ea1e57917324cf96c">#REF!</definedName>
    <definedName name="xRng_126c62b3e5664fa3b01f87051ecdd29e">#REF!</definedName>
    <definedName name="xRng_16cf23682b824fec83ad85496b2b6fb9">#REF!</definedName>
    <definedName name="xRng_17001f0f823848799d6e2b633f2b9531">#REF!</definedName>
    <definedName name="xRng_1b15bd696e56465cb6bac9260d973808">#REF!</definedName>
    <definedName name="xRng_1c1c8d50459f435b84c66fd78618384b">#REF!</definedName>
    <definedName name="xRng_1db7a7e848444a0b9e8424b5a4ffc8a3">#REF!</definedName>
    <definedName name="xRng_1f51e03a3e88471caa08b145c0a5a171">#REF!</definedName>
    <definedName name="xRng_3b18280db2d1400bba0341bdabac7936">#REF!</definedName>
    <definedName name="xRng_3c78794e225c4957a83e700e0af07dc3">#REF!</definedName>
    <definedName name="xRng_3dc67a304f2848758fb0f837d85ae9ee">#REF!</definedName>
    <definedName name="xRng_3fabae8a498849ceabb486835a65d47b">#REF!</definedName>
    <definedName name="xRng_4174415662e44d6684db77091bc4efb4">#REF!</definedName>
    <definedName name="xRng_4dfc625a62f74b0f8cae66c2018d4ae8">#REF!</definedName>
    <definedName name="xRng_51890c7d058b421f81cf8e64107608a7">#REF!</definedName>
    <definedName name="xRng_544c7de4a416415493e7c33139ab48ee">#REF!</definedName>
    <definedName name="xRng_5c3072eef02b46b292f1622cfcb1de05">#REF!</definedName>
    <definedName name="xRng_61844711dc5f43d296041a63a99597f8">#REF!</definedName>
    <definedName name="xRng_6348e85b911048d1bab9252b200919ee">#REF!</definedName>
    <definedName name="xRng_6e58b2d6f0404ed6ac9781545e7aa83a">#REF!</definedName>
    <definedName name="xRng_7757fc06f8ea416aa922ddeb91beb98c">#REF!</definedName>
    <definedName name="xRng_7a62c27ae49547e69c41787f93706aee">#REF!</definedName>
    <definedName name="xRng_7d816023549743ae904f06106ceb665c">#REF!</definedName>
    <definedName name="xRng_83497ada211349dfa85beeeb823ebd0d">#REF!</definedName>
    <definedName name="xRng_87d4603330e8488bb5de3660d98ad5b5">#REF!</definedName>
    <definedName name="xRng_8e417d65033f40d29cd5543a7df0ce81">#REF!</definedName>
    <definedName name="xRng_948be99780ab41f7a4c6bb76475d6ed8">#REF!</definedName>
    <definedName name="xRng_9498d76919c449e28c91bb22b27d6c40">#REF!</definedName>
    <definedName name="xRng_9ba966c2da704d00b2c487d53f321138">#REF!</definedName>
    <definedName name="xRng_a1636e0210b94f4d9d5f026394ff3c3d">#REF!</definedName>
    <definedName name="xRng_a4c589f462d6495e9df7d6638b3f0124">#REF!</definedName>
    <definedName name="xRng_a5b29fcf666d4775bd7bda27d2059ca0">#REF!</definedName>
    <definedName name="xRng_a9215ce1af5d4242b133161dce3c7612">#REF!</definedName>
    <definedName name="xRng_abf9f60a46644401b94866652e149381">#REF!</definedName>
    <definedName name="xRng_b563b7a9f6a540ce8557230268f9de29">#REF!</definedName>
    <definedName name="xRng_b63d1bd007b441c8978590ca53e0a4f6">#REF!</definedName>
    <definedName name="xRng_b671fd42507b46e78faf2dc47028bf4d">#REF!</definedName>
    <definedName name="xRng_bad73821847b452f89062bf22b36900e">#REF!</definedName>
    <definedName name="xRng_bbcd643ca28f46a9b21cd66f7f2221d7">#REF!</definedName>
    <definedName name="xRng_bc1827e1a21f4831a778a6e1b24a3bff">#REF!</definedName>
    <definedName name="xRng_bd1e959cb8254804b95a3cbb963f3fc9">#REF!</definedName>
    <definedName name="xRng_be4c8c29935742e5b4e8bff8344cd4c9">#REF!</definedName>
    <definedName name="xRng_c47791643202413eb50f01f83d728e6c">#REF!</definedName>
    <definedName name="xRng_c7b4957b3906486e84694719c38fc177">#REF!</definedName>
    <definedName name="xRng_c7fe31be8acb4db69fbe91e5979f8a82">#REF!</definedName>
    <definedName name="xRng_c8f5de15819742d9b8e979992e5995cb">#REF!</definedName>
    <definedName name="xRng_d336b0425e6f4139992ec8047d48fcbc">#REF!</definedName>
    <definedName name="xRng_d604b2d637af4b3684cd77c15bf423c2">#REF!</definedName>
    <definedName name="xRng_d69f001f554f4024bd812e4e931cea1b">#REF!</definedName>
    <definedName name="xRng_e47547f1b42a42d1bdbefc58ef968a3a">#REF!</definedName>
    <definedName name="xRng_e90e202e447d494f8c67f2e4cf2fb760">#REF!</definedName>
    <definedName name="xRng_eb4b7eb2eac44f3086a7b5b9b1b31212">#REF!</definedName>
    <definedName name="xRng_ece2b4854236442fa77fdf0bec1b86bd">#REF!</definedName>
    <definedName name="xRng_edd4319554e14de8bfc42d41ae614d08">#REF!</definedName>
    <definedName name="xRng_f78b62b62d704ee5be5a5c5ec7e6e06b">#REF!</definedName>
    <definedName name="xRng_fa02f45a654d4281ac54b6082f0df30b">#REF!</definedName>
    <definedName name="xrtr" localSheetId="0" hidden="1">{#N/A,#N/A,FALSE,"main";#N/A,#N/A,FALSE,"Pooling";#N/A,#N/A,FALSE,"Purchase"}</definedName>
    <definedName name="xrtr" localSheetId="6" hidden="1">{#N/A,#N/A,FALSE,"main";#N/A,#N/A,FALSE,"Pooling";#N/A,#N/A,FALSE,"Purchase"}</definedName>
    <definedName name="xrtr" hidden="1">{#N/A,#N/A,FALSE,"main";#N/A,#N/A,FALSE,"Pooling";#N/A,#N/A,FALSE,"Purchase"}</definedName>
    <definedName name="xs" localSheetId="0" hidden="1">{"VISTA_1",#N/A,FALSE,"GRAFO"}</definedName>
    <definedName name="xs" localSheetId="6" hidden="1">{"VISTA_1",#N/A,FALSE,"GRAFO"}</definedName>
    <definedName name="xs" hidden="1">{"VISTA_1",#N/A,FALSE,"GRAFO"}</definedName>
    <definedName name="xss" localSheetId="0" hidden="1">{#N/A,#N/A,FALSE,"Work progress mensile";#N/A,#N/A,FALSE,"Work progress mensile IE1"}</definedName>
    <definedName name="xss" localSheetId="6" hidden="1">{#N/A,#N/A,FALSE,"Work progress mensile";#N/A,#N/A,FALSE,"Work progress mensile IE1"}</definedName>
    <definedName name="xss" hidden="1">{#N/A,#N/A,FALSE,"Work progress mensile";#N/A,#N/A,FALSE,"Work progress mensile IE1"}</definedName>
    <definedName name="xtz" localSheetId="0"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xtz" localSheetId="6"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xtz" hidden="1">{#N/A,#N/A,FALSE,"Clinic";#N/A,#N/A,FALSE,"Dentistry";#N/A,#N/A,FALSE,"Endocrinology";#N/A,#N/A,FALSE,"Pediatrics";#N/A,#N/A,FALSE,"Urologists";#N/A,#N/A,FALSE,"General Surgery";#N/A,#N/A,FALSE,"Orthopedics";#N/A,#N/A,FALSE,"Neurologists";#N/A,#N/A,FALSE,"Internal medicine cardiology";#N/A,#N/A,FALSE,"Dermatology";#N/A,#N/A,FALSE,"Gastro";#N/A,#N/A,FALSE,"OBGYN";#N/A,#N/A,FALSE,"ENT";#N/A,#N/A,FALSE,"Chiropractice";#N/A,#N/A,FALSE,"Sundrycosts";#N/A,#N/A,FALSE,"Salaries";#N/A,#N/A,FALSE,"Sheet5";#N/A,#N/A,FALSE,"Annual profit";#N/A,#N/A,FALSE,"Capital spend";#N/A,#N/A,FALSE,"Other costs";#N/A,#N/A,FALSE,"Blacklock data";#N/A,#N/A,FALSE,"Indirect labour";#N/A,#N/A,FALSE,"Contributions";#N/A,#N/A,FALSE,"LABORATORY";#N/A,#N/A,FALSE,"Spare 1"}</definedName>
    <definedName name="xu" localSheetId="0" hidden="1">{#N/A,#N/A,FALSE,"Work progress mensile";#N/A,#N/A,FALSE,"Work progress mensile IE1"}</definedName>
    <definedName name="xu" localSheetId="6" hidden="1">{#N/A,#N/A,FALSE,"Work progress mensile";#N/A,#N/A,FALSE,"Work progress mensile IE1"}</definedName>
    <definedName name="xu" hidden="1">{#N/A,#N/A,FALSE,"Work progress mensile";#N/A,#N/A,FALSE,"Work progress mensile IE1"}</definedName>
    <definedName name="xuu" localSheetId="0" hidden="1">{#N/A,#N/A,FALSE,"Work progress mensile";#N/A,#N/A,FALSE,"Work progress mensile IE1"}</definedName>
    <definedName name="xuu" localSheetId="6" hidden="1">{#N/A,#N/A,FALSE,"Work progress mensile";#N/A,#N/A,FALSE,"Work progress mensile IE1"}</definedName>
    <definedName name="xuu" hidden="1">{#N/A,#N/A,FALSE,"Work progress mensile";#N/A,#N/A,FALSE,"Work progress mensile IE1"}</definedName>
    <definedName name="xuuu" localSheetId="0" hidden="1">{"DECIMAL",#N/A,FALSE,"02"}</definedName>
    <definedName name="xuuu" localSheetId="6" hidden="1">{"DECIMAL",#N/A,FALSE,"02"}</definedName>
    <definedName name="xuuu" hidden="1">{"DECIMAL",#N/A,FALSE,"02"}</definedName>
    <definedName name="XVCWXV" hidden="1">#REF!</definedName>
    <definedName name="xw" localSheetId="0" hidden="1">{#N/A,#N/A,FALSE,"Work progress mensile";#N/A,#N/A,FALSE,"Work progress mensile IE1"}</definedName>
    <definedName name="xw" localSheetId="6" hidden="1">{#N/A,#N/A,FALSE,"Work progress mensile";#N/A,#N/A,FALSE,"Work progress mensile IE1"}</definedName>
    <definedName name="xw" hidden="1">{#N/A,#N/A,FALSE,"Work progress mensile";#N/A,#N/A,FALSE,"Work progress mensile IE1"}</definedName>
    <definedName name="xww" localSheetId="0" hidden="1">{#N/A,#N/A,FALSE,"Work progress mensile";#N/A,#N/A,FALSE,"Work progress mensile IE1"}</definedName>
    <definedName name="xww" localSheetId="6" hidden="1">{#N/A,#N/A,FALSE,"Work progress mensile";#N/A,#N/A,FALSE,"Work progress mensile IE1"}</definedName>
    <definedName name="xww" hidden="1">{#N/A,#N/A,FALSE,"Work progress mensile";#N/A,#N/A,FALSE,"Work progress mensile IE1"}</definedName>
    <definedName name="xwww" localSheetId="0" hidden="1">{"NORMAL",#N/A,FALSE,"02"}</definedName>
    <definedName name="xwww" localSheetId="6" hidden="1">{"NORMAL",#N/A,FALSE,"02"}</definedName>
    <definedName name="xwww" hidden="1">{"NORMAL",#N/A,FALSE,"02"}</definedName>
    <definedName name="xx" localSheetId="0" hidden="1">{#N/A,#N/A,FALSE,"MAC4843";#N/A,#N/A,FALSE,"M4843-1";#N/A,#N/A,FALSE,"M4843-1B";#N/A,#N/A,FALSE,"M4843-2";#N/A,#N/A,FALSE,"M4843-2B";#N/A,#N/A,FALSE,"M4843-3";#N/A,#N/A,FALSE,"M4843-4";#N/A,#N/A,FALSE,"M4843-5";#N/A,#N/A,FALSE,"M4843-5B ";#N/A,#N/A,FALSE,"Savings";#N/A,#N/A,FALSE,"FO-front";#N/A,#N/A,FALSE,"Estimate";#N/A,#N/A,FALSE,"Checklist";#N/A,#N/A,FALSE,"RFP";#N/A,#N/A,FALSE,"Sole Source";#N/A,#N/A,FALSE,"Equip List";#N/A,#N/A,FALSE,"PERSONAL NPV";#N/A,#N/A,FALSE,"MULTIPLE";#N/A,#N/A,FALSE,"BCA "}</definedName>
    <definedName name="xx" localSheetId="6" hidden="1">{#N/A,#N/A,FALSE,"MAC4843";#N/A,#N/A,FALSE,"M4843-1";#N/A,#N/A,FALSE,"M4843-1B";#N/A,#N/A,FALSE,"M4843-2";#N/A,#N/A,FALSE,"M4843-2B";#N/A,#N/A,FALSE,"M4843-3";#N/A,#N/A,FALSE,"M4843-4";#N/A,#N/A,FALSE,"M4843-5";#N/A,#N/A,FALSE,"M4843-5B ";#N/A,#N/A,FALSE,"Savings";#N/A,#N/A,FALSE,"FO-front";#N/A,#N/A,FALSE,"Estimate";#N/A,#N/A,FALSE,"Checklist";#N/A,#N/A,FALSE,"RFP";#N/A,#N/A,FALSE,"Sole Source";#N/A,#N/A,FALSE,"Equip List";#N/A,#N/A,FALSE,"PERSONAL NPV";#N/A,#N/A,FALSE,"MULTIPLE";#N/A,#N/A,FALSE,"BCA "}</definedName>
    <definedName name="xx" hidden="1">{#N/A,#N/A,FALSE,"MAC4843";#N/A,#N/A,FALSE,"M4843-1";#N/A,#N/A,FALSE,"M4843-1B";#N/A,#N/A,FALSE,"M4843-2";#N/A,#N/A,FALSE,"M4843-2B";#N/A,#N/A,FALSE,"M4843-3";#N/A,#N/A,FALSE,"M4843-4";#N/A,#N/A,FALSE,"M4843-5";#N/A,#N/A,FALSE,"M4843-5B ";#N/A,#N/A,FALSE,"Savings";#N/A,#N/A,FALSE,"FO-front";#N/A,#N/A,FALSE,"Estimate";#N/A,#N/A,FALSE,"Checklist";#N/A,#N/A,FALSE,"RFP";#N/A,#N/A,FALSE,"Sole Source";#N/A,#N/A,FALSE,"Equip List";#N/A,#N/A,FALSE,"PERSONAL NPV";#N/A,#N/A,FALSE,"MULTIPLE";#N/A,#N/A,FALSE,"BCA "}</definedName>
    <definedName name="xx_1" localSheetId="0" hidden="1">{#N/A,#N/A,FALSE,"REPORT"}</definedName>
    <definedName name="xx_1" localSheetId="6" hidden="1">{#N/A,#N/A,FALSE,"REPORT"}</definedName>
    <definedName name="xx_1" hidden="1">{#N/A,#N/A,FALSE,"REPORT"}</definedName>
    <definedName name="xx_1_1" localSheetId="0" hidden="1">{#N/A,#N/A,FALSE,"REPORT"}</definedName>
    <definedName name="xx_1_1" localSheetId="6" hidden="1">{#N/A,#N/A,FALSE,"REPORT"}</definedName>
    <definedName name="xx_1_1" hidden="1">{#N/A,#N/A,FALSE,"REPORT"}</definedName>
    <definedName name="xx_2" localSheetId="0" hidden="1">{#N/A,#N/A,FALSE,"REPORT"}</definedName>
    <definedName name="xx_2" localSheetId="6" hidden="1">{#N/A,#N/A,FALSE,"REPORT"}</definedName>
    <definedName name="xx_2" hidden="1">{#N/A,#N/A,FALSE,"REPORT"}</definedName>
    <definedName name="xx_3" localSheetId="0" hidden="1">{#N/A,#N/A,FALSE,"REPORT"}</definedName>
    <definedName name="xx_3" localSheetId="6" hidden="1">{#N/A,#N/A,FALSE,"REPORT"}</definedName>
    <definedName name="xx_3" hidden="1">{#N/A,#N/A,FALSE,"REPORT"}</definedName>
    <definedName name="xx_4" localSheetId="0" hidden="1">{#N/A,#N/A,FALSE,"REPORT"}</definedName>
    <definedName name="xx_4" localSheetId="6" hidden="1">{#N/A,#N/A,FALSE,"REPORT"}</definedName>
    <definedName name="xx_4" hidden="1">{#N/A,#N/A,FALSE,"REPORT"}</definedName>
    <definedName name="xx_5" localSheetId="0" hidden="1">{#N/A,#N/A,FALSE,"REPORT"}</definedName>
    <definedName name="xx_5" localSheetId="6" hidden="1">{#N/A,#N/A,FALSE,"REPORT"}</definedName>
    <definedName name="xx_5" hidden="1">{#N/A,#N/A,FALSE,"REPORT"}</definedName>
    <definedName name="xxcxc" localSheetId="0" hidden="1">{#N/A,#N/A,FALSE,"Umsatz CH";#N/A,#N/A,FALSE,"ER CH";#N/A,#N/A,FALSE,"EA CH (2) ";#N/A,#N/A,FALSE,"EA CH";#N/A,#N/A,FALSE,"EA CH (3) ";#N/A,#N/A,FALSE,"EA CH (4)";#N/A,#N/A,FALSE,"KA CH";#N/A,#N/A,FALSE,"KA CH  (2)";#N/A,#N/A,FALSE,"KA CH  (3)";#N/A,#N/A,FALSE,"KA CH (4)"}</definedName>
    <definedName name="xxcxc" localSheetId="6" hidden="1">{#N/A,#N/A,FALSE,"Umsatz CH";#N/A,#N/A,FALSE,"ER CH";#N/A,#N/A,FALSE,"EA CH (2) ";#N/A,#N/A,FALSE,"EA CH";#N/A,#N/A,FALSE,"EA CH (3) ";#N/A,#N/A,FALSE,"EA CH (4)";#N/A,#N/A,FALSE,"KA CH";#N/A,#N/A,FALSE,"KA CH  (2)";#N/A,#N/A,FALSE,"KA CH  (3)";#N/A,#N/A,FALSE,"KA CH (4)"}</definedName>
    <definedName name="xxcxc" hidden="1">{#N/A,#N/A,FALSE,"Umsatz CH";#N/A,#N/A,FALSE,"ER CH";#N/A,#N/A,FALSE,"EA CH (2) ";#N/A,#N/A,FALSE,"EA CH";#N/A,#N/A,FALSE,"EA CH (3) ";#N/A,#N/A,FALSE,"EA CH (4)";#N/A,#N/A,FALSE,"KA CH";#N/A,#N/A,FALSE,"KA CH  (2)";#N/A,#N/A,FALSE,"KA CH  (3)";#N/A,#N/A,FALSE,"KA CH (4)"}</definedName>
    <definedName name="xxcxc_1" localSheetId="0" hidden="1">{#N/A,#N/A,FALSE,"Umsatz CH";#N/A,#N/A,FALSE,"ER CH";#N/A,#N/A,FALSE,"EA CH (2) ";#N/A,#N/A,FALSE,"EA CH";#N/A,#N/A,FALSE,"EA CH (3) ";#N/A,#N/A,FALSE,"EA CH (4)";#N/A,#N/A,FALSE,"KA CH";#N/A,#N/A,FALSE,"KA CH  (2)";#N/A,#N/A,FALSE,"KA CH  (3)";#N/A,#N/A,FALSE,"KA CH (4)"}</definedName>
    <definedName name="xxcxc_1" localSheetId="6" hidden="1">{#N/A,#N/A,FALSE,"Umsatz CH";#N/A,#N/A,FALSE,"ER CH";#N/A,#N/A,FALSE,"EA CH (2) ";#N/A,#N/A,FALSE,"EA CH";#N/A,#N/A,FALSE,"EA CH (3) ";#N/A,#N/A,FALSE,"EA CH (4)";#N/A,#N/A,FALSE,"KA CH";#N/A,#N/A,FALSE,"KA CH  (2)";#N/A,#N/A,FALSE,"KA CH  (3)";#N/A,#N/A,FALSE,"KA CH (4)"}</definedName>
    <definedName name="xxcxc_1" hidden="1">{#N/A,#N/A,FALSE,"Umsatz CH";#N/A,#N/A,FALSE,"ER CH";#N/A,#N/A,FALSE,"EA CH (2) ";#N/A,#N/A,FALSE,"EA CH";#N/A,#N/A,FALSE,"EA CH (3) ";#N/A,#N/A,FALSE,"EA CH (4)";#N/A,#N/A,FALSE,"KA CH";#N/A,#N/A,FALSE,"KA CH  (2)";#N/A,#N/A,FALSE,"KA CH  (3)";#N/A,#N/A,FALSE,"KA CH (4)"}</definedName>
    <definedName name="xxcxc_1_1" localSheetId="0" hidden="1">{#N/A,#N/A,FALSE,"Umsatz CH";#N/A,#N/A,FALSE,"ER CH";#N/A,#N/A,FALSE,"EA CH (2) ";#N/A,#N/A,FALSE,"EA CH";#N/A,#N/A,FALSE,"EA CH (3) ";#N/A,#N/A,FALSE,"EA CH (4)";#N/A,#N/A,FALSE,"KA CH";#N/A,#N/A,FALSE,"KA CH  (2)";#N/A,#N/A,FALSE,"KA CH  (3)";#N/A,#N/A,FALSE,"KA CH (4)"}</definedName>
    <definedName name="xxcxc_1_1" localSheetId="6" hidden="1">{#N/A,#N/A,FALSE,"Umsatz CH";#N/A,#N/A,FALSE,"ER CH";#N/A,#N/A,FALSE,"EA CH (2) ";#N/A,#N/A,FALSE,"EA CH";#N/A,#N/A,FALSE,"EA CH (3) ";#N/A,#N/A,FALSE,"EA CH (4)";#N/A,#N/A,FALSE,"KA CH";#N/A,#N/A,FALSE,"KA CH  (2)";#N/A,#N/A,FALSE,"KA CH  (3)";#N/A,#N/A,FALSE,"KA CH (4)"}</definedName>
    <definedName name="xxcxc_1_1" hidden="1">{#N/A,#N/A,FALSE,"Umsatz CH";#N/A,#N/A,FALSE,"ER CH";#N/A,#N/A,FALSE,"EA CH (2) ";#N/A,#N/A,FALSE,"EA CH";#N/A,#N/A,FALSE,"EA CH (3) ";#N/A,#N/A,FALSE,"EA CH (4)";#N/A,#N/A,FALSE,"KA CH";#N/A,#N/A,FALSE,"KA CH  (2)";#N/A,#N/A,FALSE,"KA CH  (3)";#N/A,#N/A,FALSE,"KA CH (4)"}</definedName>
    <definedName name="xxcxc_2" localSheetId="0" hidden="1">{#N/A,#N/A,FALSE,"Umsatz CH";#N/A,#N/A,FALSE,"ER CH";#N/A,#N/A,FALSE,"EA CH (2) ";#N/A,#N/A,FALSE,"EA CH";#N/A,#N/A,FALSE,"EA CH (3) ";#N/A,#N/A,FALSE,"EA CH (4)";#N/A,#N/A,FALSE,"KA CH";#N/A,#N/A,FALSE,"KA CH  (2)";#N/A,#N/A,FALSE,"KA CH  (3)";#N/A,#N/A,FALSE,"KA CH (4)"}</definedName>
    <definedName name="xxcxc_2" localSheetId="6" hidden="1">{#N/A,#N/A,FALSE,"Umsatz CH";#N/A,#N/A,FALSE,"ER CH";#N/A,#N/A,FALSE,"EA CH (2) ";#N/A,#N/A,FALSE,"EA CH";#N/A,#N/A,FALSE,"EA CH (3) ";#N/A,#N/A,FALSE,"EA CH (4)";#N/A,#N/A,FALSE,"KA CH";#N/A,#N/A,FALSE,"KA CH  (2)";#N/A,#N/A,FALSE,"KA CH  (3)";#N/A,#N/A,FALSE,"KA CH (4)"}</definedName>
    <definedName name="xxcxc_2" hidden="1">{#N/A,#N/A,FALSE,"Umsatz CH";#N/A,#N/A,FALSE,"ER CH";#N/A,#N/A,FALSE,"EA CH (2) ";#N/A,#N/A,FALSE,"EA CH";#N/A,#N/A,FALSE,"EA CH (3) ";#N/A,#N/A,FALSE,"EA CH (4)";#N/A,#N/A,FALSE,"KA CH";#N/A,#N/A,FALSE,"KA CH  (2)";#N/A,#N/A,FALSE,"KA CH  (3)";#N/A,#N/A,FALSE,"KA CH (4)"}</definedName>
    <definedName name="xxcxc_3" localSheetId="0" hidden="1">{#N/A,#N/A,FALSE,"Umsatz CH";#N/A,#N/A,FALSE,"ER CH";#N/A,#N/A,FALSE,"EA CH (2) ";#N/A,#N/A,FALSE,"EA CH";#N/A,#N/A,FALSE,"EA CH (3) ";#N/A,#N/A,FALSE,"EA CH (4)";#N/A,#N/A,FALSE,"KA CH";#N/A,#N/A,FALSE,"KA CH  (2)";#N/A,#N/A,FALSE,"KA CH  (3)";#N/A,#N/A,FALSE,"KA CH (4)"}</definedName>
    <definedName name="xxcxc_3" localSheetId="6" hidden="1">{#N/A,#N/A,FALSE,"Umsatz CH";#N/A,#N/A,FALSE,"ER CH";#N/A,#N/A,FALSE,"EA CH (2) ";#N/A,#N/A,FALSE,"EA CH";#N/A,#N/A,FALSE,"EA CH (3) ";#N/A,#N/A,FALSE,"EA CH (4)";#N/A,#N/A,FALSE,"KA CH";#N/A,#N/A,FALSE,"KA CH  (2)";#N/A,#N/A,FALSE,"KA CH  (3)";#N/A,#N/A,FALSE,"KA CH (4)"}</definedName>
    <definedName name="xxcxc_3" hidden="1">{#N/A,#N/A,FALSE,"Umsatz CH";#N/A,#N/A,FALSE,"ER CH";#N/A,#N/A,FALSE,"EA CH (2) ";#N/A,#N/A,FALSE,"EA CH";#N/A,#N/A,FALSE,"EA CH (3) ";#N/A,#N/A,FALSE,"EA CH (4)";#N/A,#N/A,FALSE,"KA CH";#N/A,#N/A,FALSE,"KA CH  (2)";#N/A,#N/A,FALSE,"KA CH  (3)";#N/A,#N/A,FALSE,"KA CH (4)"}</definedName>
    <definedName name="xxcxc_4" localSheetId="0" hidden="1">{#N/A,#N/A,FALSE,"Umsatz CH";#N/A,#N/A,FALSE,"ER CH";#N/A,#N/A,FALSE,"EA CH (2) ";#N/A,#N/A,FALSE,"EA CH";#N/A,#N/A,FALSE,"EA CH (3) ";#N/A,#N/A,FALSE,"EA CH (4)";#N/A,#N/A,FALSE,"KA CH";#N/A,#N/A,FALSE,"KA CH  (2)";#N/A,#N/A,FALSE,"KA CH  (3)";#N/A,#N/A,FALSE,"KA CH (4)"}</definedName>
    <definedName name="xxcxc_4" localSheetId="6" hidden="1">{#N/A,#N/A,FALSE,"Umsatz CH";#N/A,#N/A,FALSE,"ER CH";#N/A,#N/A,FALSE,"EA CH (2) ";#N/A,#N/A,FALSE,"EA CH";#N/A,#N/A,FALSE,"EA CH (3) ";#N/A,#N/A,FALSE,"EA CH (4)";#N/A,#N/A,FALSE,"KA CH";#N/A,#N/A,FALSE,"KA CH  (2)";#N/A,#N/A,FALSE,"KA CH  (3)";#N/A,#N/A,FALSE,"KA CH (4)"}</definedName>
    <definedName name="xxcxc_4" hidden="1">{#N/A,#N/A,FALSE,"Umsatz CH";#N/A,#N/A,FALSE,"ER CH";#N/A,#N/A,FALSE,"EA CH (2) ";#N/A,#N/A,FALSE,"EA CH";#N/A,#N/A,FALSE,"EA CH (3) ";#N/A,#N/A,FALSE,"EA CH (4)";#N/A,#N/A,FALSE,"KA CH";#N/A,#N/A,FALSE,"KA CH  (2)";#N/A,#N/A,FALSE,"KA CH  (3)";#N/A,#N/A,FALSE,"KA CH (4)"}</definedName>
    <definedName name="xxcxc_5" localSheetId="0" hidden="1">{#N/A,#N/A,FALSE,"Umsatz CH";#N/A,#N/A,FALSE,"ER CH";#N/A,#N/A,FALSE,"EA CH (2) ";#N/A,#N/A,FALSE,"EA CH";#N/A,#N/A,FALSE,"EA CH (3) ";#N/A,#N/A,FALSE,"EA CH (4)";#N/A,#N/A,FALSE,"KA CH";#N/A,#N/A,FALSE,"KA CH  (2)";#N/A,#N/A,FALSE,"KA CH  (3)";#N/A,#N/A,FALSE,"KA CH (4)"}</definedName>
    <definedName name="xxcxc_5" localSheetId="6" hidden="1">{#N/A,#N/A,FALSE,"Umsatz CH";#N/A,#N/A,FALSE,"ER CH";#N/A,#N/A,FALSE,"EA CH (2) ";#N/A,#N/A,FALSE,"EA CH";#N/A,#N/A,FALSE,"EA CH (3) ";#N/A,#N/A,FALSE,"EA CH (4)";#N/A,#N/A,FALSE,"KA CH";#N/A,#N/A,FALSE,"KA CH  (2)";#N/A,#N/A,FALSE,"KA CH  (3)";#N/A,#N/A,FALSE,"KA CH (4)"}</definedName>
    <definedName name="xxcxc_5" hidden="1">{#N/A,#N/A,FALSE,"Umsatz CH";#N/A,#N/A,FALSE,"ER CH";#N/A,#N/A,FALSE,"EA CH (2) ";#N/A,#N/A,FALSE,"EA CH";#N/A,#N/A,FALSE,"EA CH (3) ";#N/A,#N/A,FALSE,"EA CH (4)";#N/A,#N/A,FALSE,"KA CH";#N/A,#N/A,FALSE,"KA CH  (2)";#N/A,#N/A,FALSE,"KA CH  (3)";#N/A,#N/A,FALSE,"KA CH (4)"}</definedName>
    <definedName name="xxs">#REF!</definedName>
    <definedName name="xxx" hidden="1">#REF!</definedName>
    <definedName name="xxx.gb._Hm." localSheetId="0" hidden="1">{#N/A,#N/A,FALSE,"Umsatz HM";#N/A,#N/A,FALSE,"ER HM";#N/A,#N/A,FALSE,"EA HM  (2)";#N/A,#N/A,FALSE,"EA HM ";#N/A,#N/A,FALSE,"EA HM  (4)";#N/A,#N/A,FALSE,"EA HM  (3)";#N/A,#N/A,FALSE,"KA HM  (2)";#N/A,#N/A,FALSE,"KA HM";#N/A,#N/A,FALSE,"KA HM  (3)";#N/A,#N/A,FALSE,"KA HM (4)"}</definedName>
    <definedName name="xxx.gb._Hm." localSheetId="6" hidden="1">{#N/A,#N/A,FALSE,"Umsatz HM";#N/A,#N/A,FALSE,"ER HM";#N/A,#N/A,FALSE,"EA HM  (2)";#N/A,#N/A,FALSE,"EA HM ";#N/A,#N/A,FALSE,"EA HM  (4)";#N/A,#N/A,FALSE,"EA HM  (3)";#N/A,#N/A,FALSE,"KA HM  (2)";#N/A,#N/A,FALSE,"KA HM";#N/A,#N/A,FALSE,"KA HM  (3)";#N/A,#N/A,FALSE,"KA HM (4)"}</definedName>
    <definedName name="xxx.gb._Hm." hidden="1">{#N/A,#N/A,FALSE,"Umsatz HM";#N/A,#N/A,FALSE,"ER HM";#N/A,#N/A,FALSE,"EA HM  (2)";#N/A,#N/A,FALSE,"EA HM ";#N/A,#N/A,FALSE,"EA HM  (4)";#N/A,#N/A,FALSE,"EA HM  (3)";#N/A,#N/A,FALSE,"KA HM  (2)";#N/A,#N/A,FALSE,"KA HM";#N/A,#N/A,FALSE,"KA HM  (3)";#N/A,#N/A,FALSE,"KA HM (4)"}</definedName>
    <definedName name="xxx.gb._Hm._1" localSheetId="0" hidden="1">{#N/A,#N/A,FALSE,"Umsatz HM";#N/A,#N/A,FALSE,"ER HM";#N/A,#N/A,FALSE,"EA HM  (2)";#N/A,#N/A,FALSE,"EA HM ";#N/A,#N/A,FALSE,"EA HM  (4)";#N/A,#N/A,FALSE,"EA HM  (3)";#N/A,#N/A,FALSE,"KA HM  (2)";#N/A,#N/A,FALSE,"KA HM";#N/A,#N/A,FALSE,"KA HM  (3)";#N/A,#N/A,FALSE,"KA HM (4)"}</definedName>
    <definedName name="xxx.gb._Hm._1" localSheetId="6" hidden="1">{#N/A,#N/A,FALSE,"Umsatz HM";#N/A,#N/A,FALSE,"ER HM";#N/A,#N/A,FALSE,"EA HM  (2)";#N/A,#N/A,FALSE,"EA HM ";#N/A,#N/A,FALSE,"EA HM  (4)";#N/A,#N/A,FALSE,"EA HM  (3)";#N/A,#N/A,FALSE,"KA HM  (2)";#N/A,#N/A,FALSE,"KA HM";#N/A,#N/A,FALSE,"KA HM  (3)";#N/A,#N/A,FALSE,"KA HM (4)"}</definedName>
    <definedName name="xxx.gb._Hm._1" hidden="1">{#N/A,#N/A,FALSE,"Umsatz HM";#N/A,#N/A,FALSE,"ER HM";#N/A,#N/A,FALSE,"EA HM  (2)";#N/A,#N/A,FALSE,"EA HM ";#N/A,#N/A,FALSE,"EA HM  (4)";#N/A,#N/A,FALSE,"EA HM  (3)";#N/A,#N/A,FALSE,"KA HM  (2)";#N/A,#N/A,FALSE,"KA HM";#N/A,#N/A,FALSE,"KA HM  (3)";#N/A,#N/A,FALSE,"KA HM (4)"}</definedName>
    <definedName name="xxx.gb._Hm._1_1" localSheetId="0" hidden="1">{#N/A,#N/A,FALSE,"Umsatz HM";#N/A,#N/A,FALSE,"ER HM";#N/A,#N/A,FALSE,"EA HM  (2)";#N/A,#N/A,FALSE,"EA HM ";#N/A,#N/A,FALSE,"EA HM  (4)";#N/A,#N/A,FALSE,"EA HM  (3)";#N/A,#N/A,FALSE,"KA HM  (2)";#N/A,#N/A,FALSE,"KA HM";#N/A,#N/A,FALSE,"KA HM  (3)";#N/A,#N/A,FALSE,"KA HM (4)"}</definedName>
    <definedName name="xxx.gb._Hm._1_1" localSheetId="6" hidden="1">{#N/A,#N/A,FALSE,"Umsatz HM";#N/A,#N/A,FALSE,"ER HM";#N/A,#N/A,FALSE,"EA HM  (2)";#N/A,#N/A,FALSE,"EA HM ";#N/A,#N/A,FALSE,"EA HM  (4)";#N/A,#N/A,FALSE,"EA HM  (3)";#N/A,#N/A,FALSE,"KA HM  (2)";#N/A,#N/A,FALSE,"KA HM";#N/A,#N/A,FALSE,"KA HM  (3)";#N/A,#N/A,FALSE,"KA HM (4)"}</definedName>
    <definedName name="xxx.gb._Hm._1_1" hidden="1">{#N/A,#N/A,FALSE,"Umsatz HM";#N/A,#N/A,FALSE,"ER HM";#N/A,#N/A,FALSE,"EA HM  (2)";#N/A,#N/A,FALSE,"EA HM ";#N/A,#N/A,FALSE,"EA HM  (4)";#N/A,#N/A,FALSE,"EA HM  (3)";#N/A,#N/A,FALSE,"KA HM  (2)";#N/A,#N/A,FALSE,"KA HM";#N/A,#N/A,FALSE,"KA HM  (3)";#N/A,#N/A,FALSE,"KA HM (4)"}</definedName>
    <definedName name="xxx.gb._Hm._2" localSheetId="0" hidden="1">{#N/A,#N/A,FALSE,"Umsatz HM";#N/A,#N/A,FALSE,"ER HM";#N/A,#N/A,FALSE,"EA HM  (2)";#N/A,#N/A,FALSE,"EA HM ";#N/A,#N/A,FALSE,"EA HM  (4)";#N/A,#N/A,FALSE,"EA HM  (3)";#N/A,#N/A,FALSE,"KA HM  (2)";#N/A,#N/A,FALSE,"KA HM";#N/A,#N/A,FALSE,"KA HM  (3)";#N/A,#N/A,FALSE,"KA HM (4)"}</definedName>
    <definedName name="xxx.gb._Hm._2" localSheetId="6" hidden="1">{#N/A,#N/A,FALSE,"Umsatz HM";#N/A,#N/A,FALSE,"ER HM";#N/A,#N/A,FALSE,"EA HM  (2)";#N/A,#N/A,FALSE,"EA HM ";#N/A,#N/A,FALSE,"EA HM  (4)";#N/A,#N/A,FALSE,"EA HM  (3)";#N/A,#N/A,FALSE,"KA HM  (2)";#N/A,#N/A,FALSE,"KA HM";#N/A,#N/A,FALSE,"KA HM  (3)";#N/A,#N/A,FALSE,"KA HM (4)"}</definedName>
    <definedName name="xxx.gb._Hm._2" hidden="1">{#N/A,#N/A,FALSE,"Umsatz HM";#N/A,#N/A,FALSE,"ER HM";#N/A,#N/A,FALSE,"EA HM  (2)";#N/A,#N/A,FALSE,"EA HM ";#N/A,#N/A,FALSE,"EA HM  (4)";#N/A,#N/A,FALSE,"EA HM  (3)";#N/A,#N/A,FALSE,"KA HM  (2)";#N/A,#N/A,FALSE,"KA HM";#N/A,#N/A,FALSE,"KA HM  (3)";#N/A,#N/A,FALSE,"KA HM (4)"}</definedName>
    <definedName name="xxx.gb._Hm._3" localSheetId="0" hidden="1">{#N/A,#N/A,FALSE,"Umsatz HM";#N/A,#N/A,FALSE,"ER HM";#N/A,#N/A,FALSE,"EA HM  (2)";#N/A,#N/A,FALSE,"EA HM ";#N/A,#N/A,FALSE,"EA HM  (4)";#N/A,#N/A,FALSE,"EA HM  (3)";#N/A,#N/A,FALSE,"KA HM  (2)";#N/A,#N/A,FALSE,"KA HM";#N/A,#N/A,FALSE,"KA HM  (3)";#N/A,#N/A,FALSE,"KA HM (4)"}</definedName>
    <definedName name="xxx.gb._Hm._3" localSheetId="6" hidden="1">{#N/A,#N/A,FALSE,"Umsatz HM";#N/A,#N/A,FALSE,"ER HM";#N/A,#N/A,FALSE,"EA HM  (2)";#N/A,#N/A,FALSE,"EA HM ";#N/A,#N/A,FALSE,"EA HM  (4)";#N/A,#N/A,FALSE,"EA HM  (3)";#N/A,#N/A,FALSE,"KA HM  (2)";#N/A,#N/A,FALSE,"KA HM";#N/A,#N/A,FALSE,"KA HM  (3)";#N/A,#N/A,FALSE,"KA HM (4)"}</definedName>
    <definedName name="xxx.gb._Hm._3" hidden="1">{#N/A,#N/A,FALSE,"Umsatz HM";#N/A,#N/A,FALSE,"ER HM";#N/A,#N/A,FALSE,"EA HM  (2)";#N/A,#N/A,FALSE,"EA HM ";#N/A,#N/A,FALSE,"EA HM  (4)";#N/A,#N/A,FALSE,"EA HM  (3)";#N/A,#N/A,FALSE,"KA HM  (2)";#N/A,#N/A,FALSE,"KA HM";#N/A,#N/A,FALSE,"KA HM  (3)";#N/A,#N/A,FALSE,"KA HM (4)"}</definedName>
    <definedName name="xxx.gb._Hm._4" localSheetId="0" hidden="1">{#N/A,#N/A,FALSE,"Umsatz HM";#N/A,#N/A,FALSE,"ER HM";#N/A,#N/A,FALSE,"EA HM  (2)";#N/A,#N/A,FALSE,"EA HM ";#N/A,#N/A,FALSE,"EA HM  (4)";#N/A,#N/A,FALSE,"EA HM  (3)";#N/A,#N/A,FALSE,"KA HM  (2)";#N/A,#N/A,FALSE,"KA HM";#N/A,#N/A,FALSE,"KA HM  (3)";#N/A,#N/A,FALSE,"KA HM (4)"}</definedName>
    <definedName name="xxx.gb._Hm._4" localSheetId="6" hidden="1">{#N/A,#N/A,FALSE,"Umsatz HM";#N/A,#N/A,FALSE,"ER HM";#N/A,#N/A,FALSE,"EA HM  (2)";#N/A,#N/A,FALSE,"EA HM ";#N/A,#N/A,FALSE,"EA HM  (4)";#N/A,#N/A,FALSE,"EA HM  (3)";#N/A,#N/A,FALSE,"KA HM  (2)";#N/A,#N/A,FALSE,"KA HM";#N/A,#N/A,FALSE,"KA HM  (3)";#N/A,#N/A,FALSE,"KA HM (4)"}</definedName>
    <definedName name="xxx.gb._Hm._4" hidden="1">{#N/A,#N/A,FALSE,"Umsatz HM";#N/A,#N/A,FALSE,"ER HM";#N/A,#N/A,FALSE,"EA HM  (2)";#N/A,#N/A,FALSE,"EA HM ";#N/A,#N/A,FALSE,"EA HM  (4)";#N/A,#N/A,FALSE,"EA HM  (3)";#N/A,#N/A,FALSE,"KA HM  (2)";#N/A,#N/A,FALSE,"KA HM";#N/A,#N/A,FALSE,"KA HM  (3)";#N/A,#N/A,FALSE,"KA HM (4)"}</definedName>
    <definedName name="xxx.gb._Hm._5" localSheetId="0" hidden="1">{#N/A,#N/A,FALSE,"Umsatz HM";#N/A,#N/A,FALSE,"ER HM";#N/A,#N/A,FALSE,"EA HM  (2)";#N/A,#N/A,FALSE,"EA HM ";#N/A,#N/A,FALSE,"EA HM  (4)";#N/A,#N/A,FALSE,"EA HM  (3)";#N/A,#N/A,FALSE,"KA HM  (2)";#N/A,#N/A,FALSE,"KA HM";#N/A,#N/A,FALSE,"KA HM  (3)";#N/A,#N/A,FALSE,"KA HM (4)"}</definedName>
    <definedName name="xxx.gb._Hm._5" localSheetId="6" hidden="1">{#N/A,#N/A,FALSE,"Umsatz HM";#N/A,#N/A,FALSE,"ER HM";#N/A,#N/A,FALSE,"EA HM  (2)";#N/A,#N/A,FALSE,"EA HM ";#N/A,#N/A,FALSE,"EA HM  (4)";#N/A,#N/A,FALSE,"EA HM  (3)";#N/A,#N/A,FALSE,"KA HM  (2)";#N/A,#N/A,FALSE,"KA HM";#N/A,#N/A,FALSE,"KA HM  (3)";#N/A,#N/A,FALSE,"KA HM (4)"}</definedName>
    <definedName name="xxx.gb._Hm._5" hidden="1">{#N/A,#N/A,FALSE,"Umsatz HM";#N/A,#N/A,FALSE,"ER HM";#N/A,#N/A,FALSE,"EA HM  (2)";#N/A,#N/A,FALSE,"EA HM ";#N/A,#N/A,FALSE,"EA HM  (4)";#N/A,#N/A,FALSE,"EA HM  (3)";#N/A,#N/A,FALSE,"KA HM  (2)";#N/A,#N/A,FALSE,"KA HM";#N/A,#N/A,FALSE,"KA HM  (3)";#N/A,#N/A,FALSE,"KA HM (4)"}</definedName>
    <definedName name="XXX_1" localSheetId="0" hidden="1">{#N/A,#N/A,FALSE,"Other";#N/A,#N/A,FALSE,"Ace";#N/A,#N/A,FALSE,"Derm"}</definedName>
    <definedName name="XXX_1" localSheetId="6" hidden="1">{#N/A,#N/A,FALSE,"Other";#N/A,#N/A,FALSE,"Ace";#N/A,#N/A,FALSE,"Derm"}</definedName>
    <definedName name="XXX_1" hidden="1">{#N/A,#N/A,FALSE,"Other";#N/A,#N/A,FALSE,"Ace";#N/A,#N/A,FALSE,"Derm"}</definedName>
    <definedName name="XXX_1_1" localSheetId="0" hidden="1">{#N/A,#N/A,FALSE,"Other";#N/A,#N/A,FALSE,"Ace";#N/A,#N/A,FALSE,"Derm"}</definedName>
    <definedName name="XXX_1_1" localSheetId="6" hidden="1">{#N/A,#N/A,FALSE,"Other";#N/A,#N/A,FALSE,"Ace";#N/A,#N/A,FALSE,"Derm"}</definedName>
    <definedName name="XXX_1_1" hidden="1">{#N/A,#N/A,FALSE,"Other";#N/A,#N/A,FALSE,"Ace";#N/A,#N/A,FALSE,"Derm"}</definedName>
    <definedName name="XXX_2" localSheetId="0" hidden="1">{#N/A,#N/A,FALSE,"Other";#N/A,#N/A,FALSE,"Ace";#N/A,#N/A,FALSE,"Derm"}</definedName>
    <definedName name="XXX_2" localSheetId="6" hidden="1">{#N/A,#N/A,FALSE,"Other";#N/A,#N/A,FALSE,"Ace";#N/A,#N/A,FALSE,"Derm"}</definedName>
    <definedName name="XXX_2" hidden="1">{#N/A,#N/A,FALSE,"Other";#N/A,#N/A,FALSE,"Ace";#N/A,#N/A,FALSE,"Derm"}</definedName>
    <definedName name="XXX_3" localSheetId="0" hidden="1">{#N/A,#N/A,FALSE,"Other";#N/A,#N/A,FALSE,"Ace";#N/A,#N/A,FALSE,"Derm"}</definedName>
    <definedName name="XXX_3" localSheetId="6" hidden="1">{#N/A,#N/A,FALSE,"Other";#N/A,#N/A,FALSE,"Ace";#N/A,#N/A,FALSE,"Derm"}</definedName>
    <definedName name="XXX_3" hidden="1">{#N/A,#N/A,FALSE,"Other";#N/A,#N/A,FALSE,"Ace";#N/A,#N/A,FALSE,"Derm"}</definedName>
    <definedName name="XXX_4" localSheetId="0" hidden="1">{#N/A,#N/A,FALSE,"Other";#N/A,#N/A,FALSE,"Ace";#N/A,#N/A,FALSE,"Derm"}</definedName>
    <definedName name="XXX_4" localSheetId="6" hidden="1">{#N/A,#N/A,FALSE,"Other";#N/A,#N/A,FALSE,"Ace";#N/A,#N/A,FALSE,"Derm"}</definedName>
    <definedName name="XXX_4" hidden="1">{#N/A,#N/A,FALSE,"Other";#N/A,#N/A,FALSE,"Ace";#N/A,#N/A,FALSE,"Derm"}</definedName>
    <definedName name="XXX_5" localSheetId="0" hidden="1">{#N/A,#N/A,FALSE,"Other";#N/A,#N/A,FALSE,"Ace";#N/A,#N/A,FALSE,"Derm"}</definedName>
    <definedName name="XXX_5" localSheetId="6" hidden="1">{#N/A,#N/A,FALSE,"Other";#N/A,#N/A,FALSE,"Ace";#N/A,#N/A,FALSE,"Derm"}</definedName>
    <definedName name="XXX_5" hidden="1">{#N/A,#N/A,FALSE,"Other";#N/A,#N/A,FALSE,"Ace";#N/A,#N/A,FALSE,"Derm"}</definedName>
    <definedName name="xxxx" localSheetId="0" hidden="1">{#N/A,#N/A,TRUE,"PROFIT 11-95"}</definedName>
    <definedName name="xxxx" localSheetId="6" hidden="1">{#N/A,#N/A,TRUE,"PROFIT 11-95"}</definedName>
    <definedName name="xxxx" hidden="1">{#N/A,#N/A,TRUE,"PROFIT 11-95"}</definedName>
    <definedName name="xxxxx" localSheetId="0" hidden="1">{"monthly",#N/A,FALSE,"GASODEM";"qtr to yr",#N/A,FALSE,"GASODEM"}</definedName>
    <definedName name="xxxxx" localSheetId="6" hidden="1">{"monthly",#N/A,FALSE,"GASODEM";"qtr to yr",#N/A,FALSE,"GASODEM"}</definedName>
    <definedName name="xxxxx" hidden="1">{"monthly",#N/A,FALSE,"GASODEM";"qtr to yr",#N/A,FALSE,"GASODEM"}</definedName>
    <definedName name="xxxxx_1" localSheetId="0" hidden="1">{#N/A,#N/A,FALSE,"Pharm";#N/A,#N/A,FALSE,"WWCM"}</definedName>
    <definedName name="xxxxx_1" localSheetId="6" hidden="1">{#N/A,#N/A,FALSE,"Pharm";#N/A,#N/A,FALSE,"WWCM"}</definedName>
    <definedName name="xxxxx_1" hidden="1">{#N/A,#N/A,FALSE,"Pharm";#N/A,#N/A,FALSE,"WWCM"}</definedName>
    <definedName name="xxxxx_1_1" localSheetId="0" hidden="1">{#N/A,#N/A,FALSE,"Pharm";#N/A,#N/A,FALSE,"WWCM"}</definedName>
    <definedName name="xxxxx_1_1" localSheetId="6" hidden="1">{#N/A,#N/A,FALSE,"Pharm";#N/A,#N/A,FALSE,"WWCM"}</definedName>
    <definedName name="xxxxx_1_1" hidden="1">{#N/A,#N/A,FALSE,"Pharm";#N/A,#N/A,FALSE,"WWCM"}</definedName>
    <definedName name="xxxxx_2" localSheetId="0" hidden="1">{#N/A,#N/A,FALSE,"Pharm";#N/A,#N/A,FALSE,"WWCM"}</definedName>
    <definedName name="xxxxx_2" localSheetId="6" hidden="1">{#N/A,#N/A,FALSE,"Pharm";#N/A,#N/A,FALSE,"WWCM"}</definedName>
    <definedName name="xxxxx_2" hidden="1">{#N/A,#N/A,FALSE,"Pharm";#N/A,#N/A,FALSE,"WWCM"}</definedName>
    <definedName name="xxxxx_3" localSheetId="0" hidden="1">{#N/A,#N/A,FALSE,"Pharm";#N/A,#N/A,FALSE,"WWCM"}</definedName>
    <definedName name="xxxxx_3" localSheetId="6" hidden="1">{#N/A,#N/A,FALSE,"Pharm";#N/A,#N/A,FALSE,"WWCM"}</definedName>
    <definedName name="xxxxx_3" hidden="1">{#N/A,#N/A,FALSE,"Pharm";#N/A,#N/A,FALSE,"WWCM"}</definedName>
    <definedName name="xxxxx_4" localSheetId="0" hidden="1">{#N/A,#N/A,FALSE,"Pharm";#N/A,#N/A,FALSE,"WWCM"}</definedName>
    <definedName name="xxxxx_4" localSheetId="6" hidden="1">{#N/A,#N/A,FALSE,"Pharm";#N/A,#N/A,FALSE,"WWCM"}</definedName>
    <definedName name="xxxxx_4" hidden="1">{#N/A,#N/A,FALSE,"Pharm";#N/A,#N/A,FALSE,"WWCM"}</definedName>
    <definedName name="xxxxx_5" localSheetId="0" hidden="1">{#N/A,#N/A,FALSE,"Pharm";#N/A,#N/A,FALSE,"WWCM"}</definedName>
    <definedName name="xxxxx_5" localSheetId="6" hidden="1">{#N/A,#N/A,FALSE,"Pharm";#N/A,#N/A,FALSE,"WWCM"}</definedName>
    <definedName name="xxxxx_5" hidden="1">{#N/A,#N/A,FALSE,"Pharm";#N/A,#N/A,FALSE,"WWCM"}</definedName>
    <definedName name="xxxxxx" localSheetId="4" hidden="1">Main.SAPF4Help()</definedName>
    <definedName name="xxxxxx" localSheetId="0" hidden="1">Main.SAPF4Help()</definedName>
    <definedName name="xxxxxx" localSheetId="2" hidden="1">Main.SAPF4Help()</definedName>
    <definedName name="xxxxxx" localSheetId="6" hidden="1">Main.SAPF4Help()</definedName>
    <definedName name="xxxxxx" hidden="1">Main.SAPF4Help()</definedName>
    <definedName name="xxxxxxx" localSheetId="6" hidden="1">{#N/A,#N/A,TRUE,"FA 1 &amp; 2";#N/A,#N/A,TRUE,"FA 3 &amp; 4";#N/A,#N/A,TRUE,"FA 5 &amp; 6";#N/A,#N/A,TRUE,"FA 7 &amp; 8";#N/A,#N/A,TRUE,"FA 9 &amp; 10";#N/A,#N/A,TRUE,"FA 11";#N/A,#N/A,TRUE,"FA 12";#N/A,#N/A,TRUE,"FA 13";#N/A,#N/A,TRUE,"FA 14 &amp; 15"}</definedName>
    <definedName name="xxxxxxx" hidden="1">{#N/A,#N/A,TRUE,"FA 1 &amp; 2";#N/A,#N/A,TRUE,"FA 3 &amp; 4";#N/A,#N/A,TRUE,"FA 5 &amp; 6";#N/A,#N/A,TRUE,"FA 7 &amp; 8";#N/A,#N/A,TRUE,"FA 9 &amp; 10";#N/A,#N/A,TRUE,"FA 11";#N/A,#N/A,TRUE,"FA 12";#N/A,#N/A,TRUE,"FA 13";#N/A,#N/A,TRUE,"FA 14 &amp; 15"}</definedName>
    <definedName name="xxxxxxxxx" localSheetId="4" hidden="1">Main.SAPF4Help()</definedName>
    <definedName name="xxxxxxxxx" localSheetId="0" hidden="1">Main.SAPF4Help()</definedName>
    <definedName name="xxxxxxxxx" localSheetId="2" hidden="1">Main.SAPF4Help()</definedName>
    <definedName name="xxxxxxxxx" localSheetId="6" hidden="1">Main.SAPF4Help()</definedName>
    <definedName name="xxxxxxxxx" hidden="1">Main.SAPF4Help()</definedName>
    <definedName name="XXXXXXXXXX" hidden="1">#REF!</definedName>
    <definedName name="xxxxxxxxxxx" localSheetId="6" hidden="1">{#N/A,#N/A,FALSE,"Eastern";#N/A,#N/A,FALSE,"Western"}</definedName>
    <definedName name="xxxxxxxxxxx" hidden="1">{#N/A,#N/A,FALSE,"Eastern";#N/A,#N/A,FALSE,"Western"}</definedName>
    <definedName name="xxxxxxxxxxxx" localSheetId="0" hidden="1">{#N/A,#N/A,FALSE,"Work progress mensile";#N/A,#N/A,FALSE,"Work progress mensile IE1"}</definedName>
    <definedName name="xxxxxxxxxxxx" localSheetId="6" hidden="1">{#N/A,#N/A,FALSE,"Work progress mensile";#N/A,#N/A,FALSE,"Work progress mensile IE1"}</definedName>
    <definedName name="xxxxxxxxxxxx" hidden="1">{#N/A,#N/A,FALSE,"Work progress mensile";#N/A,#N/A,FALSE,"Work progress mensile IE1"}</definedName>
    <definedName name="xxxxxxxxxxxxxxxxxxxxxx_\" hidden="1">#REF!</definedName>
    <definedName name="XXXXXXXXXXXXXXXXXXXXXXXXX" hidden="1">#REF!</definedName>
    <definedName name="XXXXXXXXXXXXXXXXXXXXXXXXXXXX" hidden="1">#REF!</definedName>
    <definedName name="xxxxxxxxxxxxxxxxxxxxxxxxxxxxxxxxxxxxxxxxxx" hidden="1">#REF!</definedName>
    <definedName name="XXXXXXXXXXXXXXXXXXXXXXXXXXXXXXXXY" hidden="1">#REF!</definedName>
    <definedName name="xy" localSheetId="0" hidden="1">{#N/A,#N/A,FALSE,"Work progress mensile";#N/A,#N/A,FALSE,"Work progress mensile IE1"}</definedName>
    <definedName name="xy" localSheetId="6" hidden="1">{#N/A,#N/A,FALSE,"Work progress mensile";#N/A,#N/A,FALSE,"Work progress mensile IE1"}</definedName>
    <definedName name="xy" hidden="1">{#N/A,#N/A,FALSE,"Work progress mensile";#N/A,#N/A,FALSE,"Work progress mensile IE1"}</definedName>
    <definedName name="xyy" localSheetId="0" hidden="1">{#N/A,#N/A,FALSE,"Work progress mensile";#N/A,#N/A,FALSE,"Work progress mensile IE1"}</definedName>
    <definedName name="xyy" localSheetId="6" hidden="1">{#N/A,#N/A,FALSE,"Work progress mensile";#N/A,#N/A,FALSE,"Work progress mensile IE1"}</definedName>
    <definedName name="xyy" hidden="1">{#N/A,#N/A,FALSE,"Work progress mensile";#N/A,#N/A,FALSE,"Work progress mensile IE1"}</definedName>
    <definedName name="xyz" localSheetId="0" hidden="1">{#N/A,#N/A,FALSE,"PROFIT 11-95"}</definedName>
    <definedName name="xyz" localSheetId="6" hidden="1">{#N/A,#N/A,FALSE,"PROFIT 11-95"}</definedName>
    <definedName name="xyz" hidden="1">{#N/A,#N/A,FALSE,"PROFIT 11-95"}</definedName>
    <definedName name="xyzyyuxxxxxxxxxxxxxxxxxxxty" hidden="1">#REF!</definedName>
    <definedName name="xyzzzzzzzzzzzzzzzzzzzz" hidden="1">#REF!</definedName>
    <definedName name="xzcer" localSheetId="0" hidden="1">{"vue1",#N/A,FALSE,"synthese";"vue2",#N/A,FALSE,"synthese"}</definedName>
    <definedName name="xzcer" localSheetId="6" hidden="1">{"vue1",#N/A,FALSE,"synthese";"vue2",#N/A,FALSE,"synthese"}</definedName>
    <definedName name="xzcer" hidden="1">{"vue1",#N/A,FALSE,"synthese";"vue2",#N/A,FALSE,"synthese"}</definedName>
    <definedName name="X행">#REF!</definedName>
    <definedName name="y" localSheetId="0" hidden="1">{"Diesel",#N/A,FALSE,"HOUSTON"}</definedName>
    <definedName name="y" localSheetId="6" hidden="1">{"Diesel",#N/A,FALSE,"HOUSTON"}</definedName>
    <definedName name="y" hidden="1">{"Diesel",#N/A,FALSE,"HOUSTON"}</definedName>
    <definedName name="y_1" localSheetId="0" hidden="1">{#N/A,#N/A,FALSE,"Pharm";#N/A,#N/A,FALSE,"WWCM"}</definedName>
    <definedName name="y_1" localSheetId="6" hidden="1">{#N/A,#N/A,FALSE,"Pharm";#N/A,#N/A,FALSE,"WWCM"}</definedName>
    <definedName name="y_1" hidden="1">{#N/A,#N/A,FALSE,"Pharm";#N/A,#N/A,FALSE,"WWCM"}</definedName>
    <definedName name="y_1_1" localSheetId="0" hidden="1">{#N/A,#N/A,FALSE,"Pharm";#N/A,#N/A,FALSE,"WWCM"}</definedName>
    <definedName name="y_1_1" localSheetId="6" hidden="1">{#N/A,#N/A,FALSE,"Pharm";#N/A,#N/A,FALSE,"WWCM"}</definedName>
    <definedName name="y_1_1" hidden="1">{#N/A,#N/A,FALSE,"Pharm";#N/A,#N/A,FALSE,"WWCM"}</definedName>
    <definedName name="y_2" localSheetId="0" hidden="1">{#N/A,#N/A,FALSE,"Pharm";#N/A,#N/A,FALSE,"WWCM"}</definedName>
    <definedName name="y_2" localSheetId="6" hidden="1">{#N/A,#N/A,FALSE,"Pharm";#N/A,#N/A,FALSE,"WWCM"}</definedName>
    <definedName name="y_2" hidden="1">{#N/A,#N/A,FALSE,"Pharm";#N/A,#N/A,FALSE,"WWCM"}</definedName>
    <definedName name="y_3" localSheetId="0" hidden="1">{#N/A,#N/A,FALSE,"Pharm";#N/A,#N/A,FALSE,"WWCM"}</definedName>
    <definedName name="y_3" localSheetId="6" hidden="1">{#N/A,#N/A,FALSE,"Pharm";#N/A,#N/A,FALSE,"WWCM"}</definedName>
    <definedName name="y_3" hidden="1">{#N/A,#N/A,FALSE,"Pharm";#N/A,#N/A,FALSE,"WWCM"}</definedName>
    <definedName name="y_4" localSheetId="0" hidden="1">{#N/A,#N/A,FALSE,"Pharm";#N/A,#N/A,FALSE,"WWCM"}</definedName>
    <definedName name="y_4" localSheetId="6" hidden="1">{#N/A,#N/A,FALSE,"Pharm";#N/A,#N/A,FALSE,"WWCM"}</definedName>
    <definedName name="y_4" hidden="1">{#N/A,#N/A,FALSE,"Pharm";#N/A,#N/A,FALSE,"WWCM"}</definedName>
    <definedName name="y_5" localSheetId="0" hidden="1">{#N/A,#N/A,FALSE,"Pharm";#N/A,#N/A,FALSE,"WWCM"}</definedName>
    <definedName name="y_5" localSheetId="6" hidden="1">{#N/A,#N/A,FALSE,"Pharm";#N/A,#N/A,FALSE,"WWCM"}</definedName>
    <definedName name="y_5" hidden="1">{#N/A,#N/A,FALSE,"Pharm";#N/A,#N/A,FALSE,"WWCM"}</definedName>
    <definedName name="y1HType" hidden="1">#REF!</definedName>
    <definedName name="Yahoo" localSheetId="0" hidden="1">{#N/A,#N/A,FALSE,"Inc. St.";#N/A,#N/A,FALSE,"FYear";#N/A,#N/A,FALSE,"Revs.";#N/A,#N/A,FALSE,"RevsYear";#N/A,#N/A,FALSE,"Balance";#N/A,#N/A,FALSE,"CompVal";#N/A,#N/A,FALSE,"Val.";#N/A,#N/A,FALSE,"DCFval"}</definedName>
    <definedName name="Yahoo" localSheetId="6" hidden="1">{#N/A,#N/A,FALSE,"Inc. St.";#N/A,#N/A,FALSE,"FYear";#N/A,#N/A,FALSE,"Revs.";#N/A,#N/A,FALSE,"RevsYear";#N/A,#N/A,FALSE,"Balance";#N/A,#N/A,FALSE,"CompVal";#N/A,#N/A,FALSE,"Val.";#N/A,#N/A,FALSE,"DCFval"}</definedName>
    <definedName name="Yahoo" hidden="1">{#N/A,#N/A,FALSE,"Inc. St.";#N/A,#N/A,FALSE,"FYear";#N/A,#N/A,FALSE,"Revs.";#N/A,#N/A,FALSE,"RevsYear";#N/A,#N/A,FALSE,"Balance";#N/A,#N/A,FALSE,"CompVal";#N/A,#N/A,FALSE,"Val.";#N/A,#N/A,FALSE,"DCFval"}</definedName>
    <definedName name="YANBU">#REF!</definedName>
    <definedName name="Yash"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Yash" localSheetId="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Yash"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YBN" localSheetId="0" hidden="1">{#N/A,#N/A,FALSE,"Tabl. A1";#N/A,#N/A,FALSE,"Tabl. A1 b";#N/A,#N/A,FALSE,"Tabl. A2";#N/A,#N/A,FALSE,"Tabl. A2-1";#N/A,#N/A,FALSE,"Tabl. A2-2"}</definedName>
    <definedName name="YBN" localSheetId="6" hidden="1">{#N/A,#N/A,FALSE,"Tabl. A1";#N/A,#N/A,FALSE,"Tabl. A1 b";#N/A,#N/A,FALSE,"Tabl. A2";#N/A,#N/A,FALSE,"Tabl. A2-1";#N/A,#N/A,FALSE,"Tabl. A2-2"}</definedName>
    <definedName name="YBN" hidden="1">{#N/A,#N/A,FALSE,"Tabl. A1";#N/A,#N/A,FALSE,"Tabl. A1 b";#N/A,#N/A,FALSE,"Tabl. A2";#N/A,#N/A,FALSE,"Tabl. A2-1";#N/A,#N/A,FALSE,"Tabl. A2-2"}</definedName>
    <definedName name="Ye_Bal_Amt4" hidden="1">#REF!</definedName>
    <definedName name="Year0Lapse_Ratio">#REF!</definedName>
    <definedName name="Year0Lives_per_case">#REF!</definedName>
    <definedName name="Year0Proposals_AgentOf1">#REF!</definedName>
    <definedName name="Year0Proposals_AgentOf2">#REF!</definedName>
    <definedName name="Year0Proposals_AgentOf3">#REF!</definedName>
    <definedName name="Year0Proposals_AgentOf4">#REF!</definedName>
    <definedName name="Year1">#REF!</definedName>
    <definedName name="Year1Closed_Cases">#REF!</definedName>
    <definedName name="Year1GWP">#REF!</definedName>
    <definedName name="Year1Lapse_Ratio">#REF!</definedName>
    <definedName name="Year1Lives_per_case">#REF!</definedName>
    <definedName name="Year1NB_GWP">#REF!</definedName>
    <definedName name="Year1Premium_per_life">#REF!</definedName>
    <definedName name="Year1Proposals_AgentOf1">#REF!</definedName>
    <definedName name="Year1Proposals_AgentOf2">#REF!</definedName>
    <definedName name="Year1Proposals_AgentOf3">#REF!</definedName>
    <definedName name="Year1Proposals_AgentOf4">#REF!</definedName>
    <definedName name="Year1Proposals_rejection_rate">#REF!</definedName>
    <definedName name="Year1RB_GWP">#REF!</definedName>
    <definedName name="Year1Total_Proposals">#REF!</definedName>
    <definedName name="Year2Closed_Cases">#REF!</definedName>
    <definedName name="Year2GWP">#REF!</definedName>
    <definedName name="Year2Lapse_Ratio">#REF!</definedName>
    <definedName name="Year2Lives_per_case">#REF!</definedName>
    <definedName name="Year2NB_GWP">#REF!</definedName>
    <definedName name="Year2Premium_per_life">#REF!</definedName>
    <definedName name="Year2Proposals_AgentOf1">#REF!</definedName>
    <definedName name="Year2Proposals_AgentOf2">#REF!</definedName>
    <definedName name="Year2Proposals_AgentOf3">#REF!</definedName>
    <definedName name="Year2Proposals_AgentOf4">#REF!</definedName>
    <definedName name="Year2Proposals_rejection_rate">#REF!</definedName>
    <definedName name="Year2RB_GWP">#REF!</definedName>
    <definedName name="Year2Total_Proposals">#REF!</definedName>
    <definedName name="Year3">#REF!</definedName>
    <definedName name="Year3Closed_Cases">#REF!</definedName>
    <definedName name="Year3GWP">#REF!</definedName>
    <definedName name="Year3Lives_per_case">#REF!</definedName>
    <definedName name="Year3NB_GWP">#REF!</definedName>
    <definedName name="Year3Premium_per_life">#REF!</definedName>
    <definedName name="Year3Proposals_AgentOf1">#REF!</definedName>
    <definedName name="Year3Proposals_AgentOf2">#REF!</definedName>
    <definedName name="Year3Proposals_AgentOf3">#REF!</definedName>
    <definedName name="Year3Proposals_AgentOf4">#REF!</definedName>
    <definedName name="Year3Proposals_rejection_rate">#REF!</definedName>
    <definedName name="Year3RB_GWP">#REF!</definedName>
    <definedName name="Year3Total_Proposals">#REF!</definedName>
    <definedName name="Year4">#REF!</definedName>
    <definedName name="YearEnd">#REF!</definedName>
    <definedName name="YearEndDay">#REF!</definedName>
    <definedName name="YearEndMonth">#REF!</definedName>
    <definedName name="YEARHIGH" hidden="1">"YEARHIGH"</definedName>
    <definedName name="YearIndexEPS">#REF!</definedName>
    <definedName name="YearInput">#REF!</definedName>
    <definedName name="YEARLOW" hidden="1">"YEARLOW"</definedName>
    <definedName name="YearOther">#REF!</definedName>
    <definedName name="YearStart1">#REF!</definedName>
    <definedName name="YearStart2">#REF!</definedName>
    <definedName name="YearStart3">#REF!</definedName>
    <definedName name="YearStart4">#REF!</definedName>
    <definedName name="YearStart5">#REF!</definedName>
    <definedName name="YearStart6">#REF!</definedName>
    <definedName name="YearStart7">#REF!</definedName>
    <definedName name="YearStress">#REF!</definedName>
    <definedName name="YEN">#REF!</definedName>
    <definedName name="yfj" localSheetId="0" hidden="1">{#N/A,#N/A,TRUE,"Cover sheet";#N/A,#N/A,TRUE,"INPUTS";#N/A,#N/A,TRUE,"OUTPUTS";#N/A,#N/A,TRUE,"VALUATION"}</definedName>
    <definedName name="yfj" localSheetId="6" hidden="1">{#N/A,#N/A,TRUE,"Cover sheet";#N/A,#N/A,TRUE,"INPUTS";#N/A,#N/A,TRUE,"OUTPUTS";#N/A,#N/A,TRUE,"VALUATION"}</definedName>
    <definedName name="yfj" hidden="1">{#N/A,#N/A,TRUE,"Cover sheet";#N/A,#N/A,TRUE,"INPUTS";#N/A,#N/A,TRUE,"OUTPUTS";#N/A,#N/A,TRUE,"VALUATION"}</definedName>
    <definedName name="YFJHGJHHGKJ" localSheetId="6" hidden="1">{"VIEW1",#N/A,FALSE,"P&amp;L Account 2001-2002";"VIEW2",#N/A,FALSE,"P&amp;L Account 2001-2002";"VIEW3",#N/A,FALSE,"P&amp;L Account 2001-2002";"VIEW4",#N/A,FALSE,"P&amp;L Account 2001-2002"}</definedName>
    <definedName name="YFJHGJHHGKJ" hidden="1">{"VIEW1",#N/A,FALSE,"P&amp;L Account 2001-2002";"VIEW2",#N/A,FALSE,"P&amp;L Account 2001-2002";"VIEW3",#N/A,FALSE,"P&amp;L Account 2001-2002";"VIEW4",#N/A,FALSE,"P&amp;L Account 2001-2002"}</definedName>
    <definedName name="yg">#REF!</definedName>
    <definedName name="YGC" localSheetId="0" hidden="1">{#N/A,#N/A,TRUE,"PROFIT 11-95"}</definedName>
    <definedName name="YGC" localSheetId="6" hidden="1">{#N/A,#N/A,TRUE,"PROFIT 11-95"}</definedName>
    <definedName name="YGC" hidden="1">{#N/A,#N/A,TRUE,"PROFIT 11-95"}</definedName>
    <definedName name="yhb" localSheetId="6"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yhb" hidden="1">{#N/A,#N/A,FALSE,"East Anglia";#N/A,#N/A,FALSE,"Great Western";#N/A,#N/A,FALSE,"LNE";#N/A,#N/A,FALSE,"Midlands";#N/A,#N/A,FALSE,"Scotland";#N/A,#N/A,FALSE,"North West";#N/A,#N/A,FALSE,"Southern";#N/A,#N/A,FALSE,"Central";#N/A,#N/A,FALSE,"MS";#N/A,#N/A,FALSE,"WCML";#N/A,#N/A,FALSE,"TL2000";#N/A,#N/A,FALSE,"Corporate";#N/A,#N/A,FALSE,"CTRL";#N/A,#N/A,FALSE,"Intra-group Summary";"year1",#N/A,FALSE,"IZT";"year2",#N/A,FALSE,"IZT"}</definedName>
    <definedName name="YHGH" localSheetId="0" hidden="1">{"'INDICE'!$A$1:$K$13","'1'!$A$1:$CC$78","'2'!$A$1:$P$78","'3'!$A$1:$CI$78","'4'!$A$1:$Q$78"}</definedName>
    <definedName name="YHGH" localSheetId="6" hidden="1">{"'INDICE'!$A$1:$K$13","'1'!$A$1:$CC$78","'2'!$A$1:$P$78","'3'!$A$1:$CI$78","'4'!$A$1:$Q$78"}</definedName>
    <definedName name="YHGH" hidden="1">{"'INDICE'!$A$1:$K$13","'1'!$A$1:$CC$78","'2'!$A$1:$P$78","'3'!$A$1:$CI$78","'4'!$A$1:$Q$78"}</definedName>
    <definedName name="YHGH_1" localSheetId="0" hidden="1">{"'INDICE'!$A$1:$K$13","'1'!$A$1:$CC$78","'2'!$A$1:$P$78","'3'!$A$1:$CI$78","'4'!$A$1:$Q$78"}</definedName>
    <definedName name="YHGH_1" localSheetId="6" hidden="1">{"'INDICE'!$A$1:$K$13","'1'!$A$1:$CC$78","'2'!$A$1:$P$78","'3'!$A$1:$CI$78","'4'!$A$1:$Q$78"}</definedName>
    <definedName name="YHGH_1" hidden="1">{"'INDICE'!$A$1:$K$13","'1'!$A$1:$CC$78","'2'!$A$1:$P$78","'3'!$A$1:$CI$78","'4'!$A$1:$Q$78"}</definedName>
    <definedName name="yjguj"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yjguj"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yktyk" localSheetId="0" hidden="1">{#N/A,#N/A,FALSE,"Assessment";#N/A,#N/A,FALSE,"Staffing";#N/A,#N/A,FALSE,"Hires";#N/A,#N/A,FALSE,"Assumptions"}</definedName>
    <definedName name="yktyk" localSheetId="6" hidden="1">{#N/A,#N/A,FALSE,"Assessment";#N/A,#N/A,FALSE,"Staffing";#N/A,#N/A,FALSE,"Hires";#N/A,#N/A,FALSE,"Assumptions"}</definedName>
    <definedName name="yktyk" hidden="1">{#N/A,#N/A,FALSE,"Assessment";#N/A,#N/A,FALSE,"Staffing";#N/A,#N/A,FALSE,"Hires";#N/A,#N/A,FALSE,"Assumptions"}</definedName>
    <definedName name="yktyk_1" localSheetId="0" hidden="1">{#N/A,#N/A,FALSE,"Assessment";#N/A,#N/A,FALSE,"Staffing";#N/A,#N/A,FALSE,"Hires";#N/A,#N/A,FALSE,"Assumptions"}</definedName>
    <definedName name="yktyk_1" localSheetId="6" hidden="1">{#N/A,#N/A,FALSE,"Assessment";#N/A,#N/A,FALSE,"Staffing";#N/A,#N/A,FALSE,"Hires";#N/A,#N/A,FALSE,"Assumptions"}</definedName>
    <definedName name="yktyk_1" hidden="1">{#N/A,#N/A,FALSE,"Assessment";#N/A,#N/A,FALSE,"Staffing";#N/A,#N/A,FALSE,"Hires";#N/A,#N/A,FALSE,"Assumptions"}</definedName>
    <definedName name="yo" localSheetId="0" hidden="1">{#N/A,#N/A,FALSE,"Eastern";#N/A,#N/A,FALSE,"Western"}</definedName>
    <definedName name="yo" localSheetId="6" hidden="1">{#N/A,#N/A,FALSE,"Eastern";#N/A,#N/A,FALSE,"Western"}</definedName>
    <definedName name="yo" hidden="1">{#N/A,#N/A,FALSE,"Eastern";#N/A,#N/A,FALSE,"Western"}</definedName>
    <definedName name="Yr_End__Actv_Amt5" hidden="1">#REF!</definedName>
    <definedName name="Yr_End_OP_Amt2" hidden="1">#REF!</definedName>
    <definedName name="yr10res">#REF!</definedName>
    <definedName name="yr1res">#REF!</definedName>
    <definedName name="yr2res">#REF!</definedName>
    <definedName name="yr3res">#REF!</definedName>
    <definedName name="yr4res">#REF!</definedName>
    <definedName name="yr5res">#REF!</definedName>
    <definedName name="yr6res">#REF!</definedName>
    <definedName name="yr7res">#REF!</definedName>
    <definedName name="yr8res">#REF!</definedName>
    <definedName name="yr9res">#REF!</definedName>
    <definedName name="yrInt">#REF!</definedName>
    <definedName name="yrtiyu"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rtiyu"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rtiyu"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rtr" localSheetId="0" hidden="1">{"inputs raw data",#N/A,TRUE,"INPUT"}</definedName>
    <definedName name="yrtr" localSheetId="6" hidden="1">{"inputs raw data",#N/A,TRUE,"INPUT"}</definedName>
    <definedName name="yrtr" hidden="1">{"inputs raw data",#N/A,TRUE,"INPUT"}</definedName>
    <definedName name="yrtti"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rtti"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rtti"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ry" localSheetId="0" hidden="1">{"consolidated",#N/A,FALSE,"Sheet1";"cms",#N/A,FALSE,"Sheet1";"fse",#N/A,FALSE,"Sheet1"}</definedName>
    <definedName name="yry" localSheetId="6" hidden="1">{"consolidated",#N/A,FALSE,"Sheet1";"cms",#N/A,FALSE,"Sheet1";"fse",#N/A,FALSE,"Sheet1"}</definedName>
    <definedName name="yry" hidden="1">{"consolidated",#N/A,FALSE,"Sheet1";"cms",#N/A,FALSE,"Sheet1";"fse",#N/A,FALSE,"Sheet1"}</definedName>
    <definedName name="yt" localSheetId="6" hidden="1">{#N/A,#N/A,TRUE,"Cover";#N/A,#N/A,TRUE,"Conts";#N/A,#N/A,TRUE,"VOS";#N/A,#N/A,TRUE,"Warrington";#N/A,#N/A,TRUE,"Widnes"}</definedName>
    <definedName name="yt" hidden="1">{#N/A,#N/A,TRUE,"Cover";#N/A,#N/A,TRUE,"Conts";#N/A,#N/A,TRUE,"VOS";#N/A,#N/A,TRUE,"Warrington";#N/A,#N/A,TRUE,"Widnes"}</definedName>
    <definedName name="yt_1" localSheetId="6" hidden="1">{#N/A,#N/A,TRUE,"Cover";#N/A,#N/A,TRUE,"Conts";#N/A,#N/A,TRUE,"VOS";#N/A,#N/A,TRUE,"Warrington";#N/A,#N/A,TRUE,"Widnes"}</definedName>
    <definedName name="yt_1" hidden="1">{#N/A,#N/A,TRUE,"Cover";#N/A,#N/A,TRUE,"Conts";#N/A,#N/A,TRUE,"VOS";#N/A,#N/A,TRUE,"Warrington";#N/A,#N/A,TRUE,"Widnes"}</definedName>
    <definedName name="YTD">#REF!</definedName>
    <definedName name="Ytd_Actv_Amt4" hidden="1">#REF!</definedName>
    <definedName name="Ytd_Actv_Amt5" hidden="1">#REF!</definedName>
    <definedName name="Ytd_Bal_Amt1" hidden="1">#REF!</definedName>
    <definedName name="Ytd_Bal_Amt2" hidden="1">#REF!</definedName>
    <definedName name="Ytd_Bal_Amt3" hidden="1">#REF!</definedName>
    <definedName name="Ytd_Bal_Amt4" hidden="1">#REF!</definedName>
    <definedName name="Ytd_Bal_Amt5" hidden="1">#REF!</definedName>
    <definedName name="Ytd_Bal_Amt6" hidden="1">#REF!</definedName>
    <definedName name="Ytd_OP_Amt2" hidden="1">#REF!</definedName>
    <definedName name="YTHBVFR" localSheetId="0" hidden="1">{#N/A,#N/A,FALSE,"Tabl. FB300";#N/A,#N/A,FALSE,"Tabl. FB350";#N/A,#N/A,FALSE,"Tabl. FB400";#N/A,#N/A,FALSE,"Tabl. FB500";#N/A,#N/A,FALSE,"Tabl. FS090"}</definedName>
    <definedName name="YTHBVFR" localSheetId="6" hidden="1">{#N/A,#N/A,FALSE,"Tabl. FB300";#N/A,#N/A,FALSE,"Tabl. FB350";#N/A,#N/A,FALSE,"Tabl. FB400";#N/A,#N/A,FALSE,"Tabl. FB500";#N/A,#N/A,FALSE,"Tabl. FS090"}</definedName>
    <definedName name="YTHBVFR" hidden="1">{#N/A,#N/A,FALSE,"Tabl. FB300";#N/A,#N/A,FALSE,"Tabl. FB350";#N/A,#N/A,FALSE,"Tabl. FB400";#N/A,#N/A,FALSE,"Tabl. FB500";#N/A,#N/A,FALSE,"Tabl. FS090"}</definedName>
    <definedName name="ytkyt" localSheetId="0" hidden="1">{#N/A,#N/A,FALSE,"Assessment";#N/A,#N/A,FALSE,"Staffing";#N/A,#N/A,FALSE,"Hires";#N/A,#N/A,FALSE,"Assumptions"}</definedName>
    <definedName name="ytkyt" localSheetId="6" hidden="1">{#N/A,#N/A,FALSE,"Assessment";#N/A,#N/A,FALSE,"Staffing";#N/A,#N/A,FALSE,"Hires";#N/A,#N/A,FALSE,"Assumptions"}</definedName>
    <definedName name="ytkyt" hidden="1">{#N/A,#N/A,FALSE,"Assessment";#N/A,#N/A,FALSE,"Staffing";#N/A,#N/A,FALSE,"Hires";#N/A,#N/A,FALSE,"Assumptions"}</definedName>
    <definedName name="ytkyt_1" localSheetId="0" hidden="1">{#N/A,#N/A,FALSE,"Assessment";#N/A,#N/A,FALSE,"Staffing";#N/A,#N/A,FALSE,"Hires";#N/A,#N/A,FALSE,"Assumptions"}</definedName>
    <definedName name="ytkyt_1" localSheetId="6" hidden="1">{#N/A,#N/A,FALSE,"Assessment";#N/A,#N/A,FALSE,"Staffing";#N/A,#N/A,FALSE,"Hires";#N/A,#N/A,FALSE,"Assumptions"}</definedName>
    <definedName name="ytkyt_1" hidden="1">{#N/A,#N/A,FALSE,"Assessment";#N/A,#N/A,FALSE,"Staffing";#N/A,#N/A,FALSE,"Hires";#N/A,#N/A,FALSE,"Assumptions"}</definedName>
    <definedName name="ytr" localSheetId="0" hidden="1">{"DJH3",#N/A,FALSE,"PFL00805";"PJB3",#N/A,FALSE,"PFL00805";"JMD3",#N/A,FALSE,"PFL00805";"DNB3",#N/A,FALSE,"PFL00805";"MJP3",#N/A,FALSE,"PFL00805";"RAB3",#N/A,FALSE,"PFL00805";"GJW3",#N/A,FALSE,"PFL00805";"MASTER3",#N/A,FALSE,"PFL00805"}</definedName>
    <definedName name="ytr" localSheetId="6" hidden="1">{"DJH3",#N/A,FALSE,"PFL00805";"PJB3",#N/A,FALSE,"PFL00805";"JMD3",#N/A,FALSE,"PFL00805";"DNB3",#N/A,FALSE,"PFL00805";"MJP3",#N/A,FALSE,"PFL00805";"RAB3",#N/A,FALSE,"PFL00805";"GJW3",#N/A,FALSE,"PFL00805";"MASTER3",#N/A,FALSE,"PFL00805"}</definedName>
    <definedName name="ytr" hidden="1">{"DJH3",#N/A,FALSE,"PFL00805";"PJB3",#N/A,FALSE,"PFL00805";"JMD3",#N/A,FALSE,"PFL00805";"DNB3",#N/A,FALSE,"PFL00805";"MJP3",#N/A,FALSE,"PFL00805";"RAB3",#N/A,FALSE,"PFL00805";"GJW3",#N/A,FALSE,"PFL00805";"MASTER3",#N/A,FALSE,"PFL00805"}</definedName>
    <definedName name="ytr_1" localSheetId="0" hidden="1">{"DJH3",#N/A,FALSE,"PFL00805";"PJB3",#N/A,FALSE,"PFL00805";"JMD3",#N/A,FALSE,"PFL00805";"DNB3",#N/A,FALSE,"PFL00805";"MJP3",#N/A,FALSE,"PFL00805";"RAB3",#N/A,FALSE,"PFL00805";"GJW3",#N/A,FALSE,"PFL00805";"MASTER3",#N/A,FALSE,"PFL00805"}</definedName>
    <definedName name="ytr_1" localSheetId="6" hidden="1">{"DJH3",#N/A,FALSE,"PFL00805";"PJB3",#N/A,FALSE,"PFL00805";"JMD3",#N/A,FALSE,"PFL00805";"DNB3",#N/A,FALSE,"PFL00805";"MJP3",#N/A,FALSE,"PFL00805";"RAB3",#N/A,FALSE,"PFL00805";"GJW3",#N/A,FALSE,"PFL00805";"MASTER3",#N/A,FALSE,"PFL00805"}</definedName>
    <definedName name="ytr_1" hidden="1">{"DJH3",#N/A,FALSE,"PFL00805";"PJB3",#N/A,FALSE,"PFL00805";"JMD3",#N/A,FALSE,"PFL00805";"DNB3",#N/A,FALSE,"PFL00805";"MJP3",#N/A,FALSE,"PFL00805";"RAB3",#N/A,FALSE,"PFL00805";"GJW3",#N/A,FALSE,"PFL00805";"MASTER3",#N/A,FALSE,"PFL00805"}</definedName>
    <definedName name="ytu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tut" localSheetId="6"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tu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yu">#REF!</definedName>
    <definedName name="YU87N" localSheetId="0" hidden="1">{#N/A,#N/A,FALSE,"Tabl. G1";#N/A,#N/A,FALSE,"Tabl. G2"}</definedName>
    <definedName name="YU87N" localSheetId="6" hidden="1">{#N/A,#N/A,FALSE,"Tabl. G1";#N/A,#N/A,FALSE,"Tabl. G2"}</definedName>
    <definedName name="YU87N" hidden="1">{#N/A,#N/A,FALSE,"Tabl. G1";#N/A,#N/A,FALSE,"Tabl. G2"}</definedName>
    <definedName name="YUC" localSheetId="0" hidden="1">{#N/A,#N/A,FALSE,"Tabl. H1";#N/A,#N/A,FALSE,"Tabl. H2"}</definedName>
    <definedName name="YUC" localSheetId="6" hidden="1">{#N/A,#N/A,FALSE,"Tabl. H1";#N/A,#N/A,FALSE,"Tabl. H2"}</definedName>
    <definedName name="YUC" hidden="1">{#N/A,#N/A,FALSE,"Tabl. H1";#N/A,#N/A,FALSE,"Tabl. H2"}</definedName>
    <definedName name="yuiy" hidden="1">#REF!</definedName>
    <definedName name="YUU" localSheetId="0" hidden="1">{"assumption 50 50",#N/A,TRUE,"Merger";"has gets cash",#N/A,TRUE,"Merger";"accretion dilution",#N/A,TRUE,"Merger";"comparison credit stats",#N/A,TRUE,"Merger";"pf credit stats",#N/A,TRUE,"Merger";"pf sheets",#N/A,TRUE,"Merger"}</definedName>
    <definedName name="YUU" localSheetId="6" hidden="1">{"assumption 50 50",#N/A,TRUE,"Merger";"has gets cash",#N/A,TRUE,"Merger";"accretion dilution",#N/A,TRUE,"Merger";"comparison credit stats",#N/A,TRUE,"Merger";"pf credit stats",#N/A,TRUE,"Merger";"pf sheets",#N/A,TRUE,"Merger"}</definedName>
    <definedName name="YUU" hidden="1">{"assumption 50 50",#N/A,TRUE,"Merger";"has gets cash",#N/A,TRUE,"Merger";"accretion dilution",#N/A,TRUE,"Merger";"comparison credit stats",#N/A,TRUE,"Merger";"pf credit stats",#N/A,TRUE,"Merger";"pf sheets",#N/A,TRUE,"Merger"}</definedName>
    <definedName name="yxcxycxy" localSheetId="0" hidden="1">{#N/A,#N/A,FALSE,"Umsatz 99";#N/A,#N/A,FALSE,"ER 99 "}</definedName>
    <definedName name="yxcxycxy" localSheetId="6" hidden="1">{#N/A,#N/A,FALSE,"Umsatz 99";#N/A,#N/A,FALSE,"ER 99 "}</definedName>
    <definedName name="yxcxycxy" hidden="1">{#N/A,#N/A,FALSE,"Umsatz 99";#N/A,#N/A,FALSE,"ER 99 "}</definedName>
    <definedName name="yxcxycxy_1" localSheetId="0" hidden="1">{#N/A,#N/A,FALSE,"Umsatz 99";#N/A,#N/A,FALSE,"ER 99 "}</definedName>
    <definedName name="yxcxycxy_1" localSheetId="6" hidden="1">{#N/A,#N/A,FALSE,"Umsatz 99";#N/A,#N/A,FALSE,"ER 99 "}</definedName>
    <definedName name="yxcxycxy_1" hidden="1">{#N/A,#N/A,FALSE,"Umsatz 99";#N/A,#N/A,FALSE,"ER 99 "}</definedName>
    <definedName name="yxcxycxy_1_1" localSheetId="0" hidden="1">{#N/A,#N/A,FALSE,"Umsatz 99";#N/A,#N/A,FALSE,"ER 99 "}</definedName>
    <definedName name="yxcxycxy_1_1" localSheetId="6" hidden="1">{#N/A,#N/A,FALSE,"Umsatz 99";#N/A,#N/A,FALSE,"ER 99 "}</definedName>
    <definedName name="yxcxycxy_1_1" hidden="1">{#N/A,#N/A,FALSE,"Umsatz 99";#N/A,#N/A,FALSE,"ER 99 "}</definedName>
    <definedName name="yxcxycxy_2" localSheetId="0" hidden="1">{#N/A,#N/A,FALSE,"Umsatz 99";#N/A,#N/A,FALSE,"ER 99 "}</definedName>
    <definedName name="yxcxycxy_2" localSheetId="6" hidden="1">{#N/A,#N/A,FALSE,"Umsatz 99";#N/A,#N/A,FALSE,"ER 99 "}</definedName>
    <definedName name="yxcxycxy_2" hidden="1">{#N/A,#N/A,FALSE,"Umsatz 99";#N/A,#N/A,FALSE,"ER 99 "}</definedName>
    <definedName name="yxcxycxy_3" localSheetId="0" hidden="1">{#N/A,#N/A,FALSE,"Umsatz 99";#N/A,#N/A,FALSE,"ER 99 "}</definedName>
    <definedName name="yxcxycxy_3" localSheetId="6" hidden="1">{#N/A,#N/A,FALSE,"Umsatz 99";#N/A,#N/A,FALSE,"ER 99 "}</definedName>
    <definedName name="yxcxycxy_3" hidden="1">{#N/A,#N/A,FALSE,"Umsatz 99";#N/A,#N/A,FALSE,"ER 99 "}</definedName>
    <definedName name="yxcxycxy_4" localSheetId="0" hidden="1">{#N/A,#N/A,FALSE,"Umsatz 99";#N/A,#N/A,FALSE,"ER 99 "}</definedName>
    <definedName name="yxcxycxy_4" localSheetId="6" hidden="1">{#N/A,#N/A,FALSE,"Umsatz 99";#N/A,#N/A,FALSE,"ER 99 "}</definedName>
    <definedName name="yxcxycxy_4" hidden="1">{#N/A,#N/A,FALSE,"Umsatz 99";#N/A,#N/A,FALSE,"ER 99 "}</definedName>
    <definedName name="yxcxycxy_5" localSheetId="0" hidden="1">{#N/A,#N/A,FALSE,"Umsatz 99";#N/A,#N/A,FALSE,"ER 99 "}</definedName>
    <definedName name="yxcxycxy_5" localSheetId="6" hidden="1">{#N/A,#N/A,FALSE,"Umsatz 99";#N/A,#N/A,FALSE,"ER 99 "}</definedName>
    <definedName name="yxcxycxy_5" hidden="1">{#N/A,#N/A,FALSE,"Umsatz 99";#N/A,#N/A,FALSE,"ER 99 "}</definedName>
    <definedName name="YY" localSheetId="0" hidden="1">{#N/A,#N/A,FALSE,"Tabl. A1";#N/A,#N/A,FALSE,"Tabl. A1 b";#N/A,#N/A,FALSE,"Tabl. A2";#N/A,#N/A,FALSE,"Tabl. A2-1";#N/A,#N/A,FALSE,"Tabl. A2-2"}</definedName>
    <definedName name="YY" localSheetId="6" hidden="1">{#N/A,#N/A,FALSE,"Tabl. A1";#N/A,#N/A,FALSE,"Tabl. A1 b";#N/A,#N/A,FALSE,"Tabl. A2";#N/A,#N/A,FALSE,"Tabl. A2-1";#N/A,#N/A,FALSE,"Tabl. A2-2"}</definedName>
    <definedName name="YY" hidden="1">{#N/A,#N/A,FALSE,"Tabl. A1";#N/A,#N/A,FALSE,"Tabl. A1 b";#N/A,#N/A,FALSE,"Tabl. A2";#N/A,#N/A,FALSE,"Tabl. A2-1";#N/A,#N/A,FALSE,"Tabl. A2-2"}</definedName>
    <definedName name="yy.7" localSheetId="0" hidden="1">{#N/A,#N/A,FALSE,"PMW Gruppe 00_99";#N/A,#N/A,FALSE,"PMW KG 00_99";#N/A,#N/A,FALSE,"PMW Inc. 00_99";#N/A,#N/A,FALSE,"PMW VTECH 00_99";#N/A,#N/A,FALSE,"PMW Thail. 00_99";#N/A,#N/A,FALSE,"PMW Canada 00_99";#N/A,#N/A,FALSE,"Währungsabw. 00_99"}</definedName>
    <definedName name="yy.7" localSheetId="6" hidden="1">{#N/A,#N/A,FALSE,"PMW Gruppe 00_99";#N/A,#N/A,FALSE,"PMW KG 00_99";#N/A,#N/A,FALSE,"PMW Inc. 00_99";#N/A,#N/A,FALSE,"PMW VTECH 00_99";#N/A,#N/A,FALSE,"PMW Thail. 00_99";#N/A,#N/A,FALSE,"PMW Canada 00_99";#N/A,#N/A,FALSE,"Währungsabw. 00_99"}</definedName>
    <definedName name="yy.7" hidden="1">{#N/A,#N/A,FALSE,"PMW Gruppe 00_99";#N/A,#N/A,FALSE,"PMW KG 00_99";#N/A,#N/A,FALSE,"PMW Inc. 00_99";#N/A,#N/A,FALSE,"PMW VTECH 00_99";#N/A,#N/A,FALSE,"PMW Thail. 00_99";#N/A,#N/A,FALSE,"PMW Canada 00_99";#N/A,#N/A,FALSE,"Währungsabw. 00_99"}</definedName>
    <definedName name="yy.7_1" localSheetId="0" hidden="1">{#N/A,#N/A,FALSE,"PMW Gruppe 00_99";#N/A,#N/A,FALSE,"PMW KG 00_99";#N/A,#N/A,FALSE,"PMW Inc. 00_99";#N/A,#N/A,FALSE,"PMW VTECH 00_99";#N/A,#N/A,FALSE,"PMW Thail. 00_99";#N/A,#N/A,FALSE,"PMW Canada 00_99";#N/A,#N/A,FALSE,"Währungsabw. 00_99"}</definedName>
    <definedName name="yy.7_1" localSheetId="6" hidden="1">{#N/A,#N/A,FALSE,"PMW Gruppe 00_99";#N/A,#N/A,FALSE,"PMW KG 00_99";#N/A,#N/A,FALSE,"PMW Inc. 00_99";#N/A,#N/A,FALSE,"PMW VTECH 00_99";#N/A,#N/A,FALSE,"PMW Thail. 00_99";#N/A,#N/A,FALSE,"PMW Canada 00_99";#N/A,#N/A,FALSE,"Währungsabw. 00_99"}</definedName>
    <definedName name="yy.7_1" hidden="1">{#N/A,#N/A,FALSE,"PMW Gruppe 00_99";#N/A,#N/A,FALSE,"PMW KG 00_99";#N/A,#N/A,FALSE,"PMW Inc. 00_99";#N/A,#N/A,FALSE,"PMW VTECH 00_99";#N/A,#N/A,FALSE,"PMW Thail. 00_99";#N/A,#N/A,FALSE,"PMW Canada 00_99";#N/A,#N/A,FALSE,"Währungsabw. 00_99"}</definedName>
    <definedName name="yy.7_1_1" localSheetId="0" hidden="1">{#N/A,#N/A,FALSE,"PMW Gruppe 00_99";#N/A,#N/A,FALSE,"PMW KG 00_99";#N/A,#N/A,FALSE,"PMW Inc. 00_99";#N/A,#N/A,FALSE,"PMW VTECH 00_99";#N/A,#N/A,FALSE,"PMW Thail. 00_99";#N/A,#N/A,FALSE,"PMW Canada 00_99";#N/A,#N/A,FALSE,"Währungsabw. 00_99"}</definedName>
    <definedName name="yy.7_1_1" localSheetId="6" hidden="1">{#N/A,#N/A,FALSE,"PMW Gruppe 00_99";#N/A,#N/A,FALSE,"PMW KG 00_99";#N/A,#N/A,FALSE,"PMW Inc. 00_99";#N/A,#N/A,FALSE,"PMW VTECH 00_99";#N/A,#N/A,FALSE,"PMW Thail. 00_99";#N/A,#N/A,FALSE,"PMW Canada 00_99";#N/A,#N/A,FALSE,"Währungsabw. 00_99"}</definedName>
    <definedName name="yy.7_1_1" hidden="1">{#N/A,#N/A,FALSE,"PMW Gruppe 00_99";#N/A,#N/A,FALSE,"PMW KG 00_99";#N/A,#N/A,FALSE,"PMW Inc. 00_99";#N/A,#N/A,FALSE,"PMW VTECH 00_99";#N/A,#N/A,FALSE,"PMW Thail. 00_99";#N/A,#N/A,FALSE,"PMW Canada 00_99";#N/A,#N/A,FALSE,"Währungsabw. 00_99"}</definedName>
    <definedName name="yy.7_2" localSheetId="0" hidden="1">{#N/A,#N/A,FALSE,"PMW Gruppe 00_99";#N/A,#N/A,FALSE,"PMW KG 00_99";#N/A,#N/A,FALSE,"PMW Inc. 00_99";#N/A,#N/A,FALSE,"PMW VTECH 00_99";#N/A,#N/A,FALSE,"PMW Thail. 00_99";#N/A,#N/A,FALSE,"PMW Canada 00_99";#N/A,#N/A,FALSE,"Währungsabw. 00_99"}</definedName>
    <definedName name="yy.7_2" localSheetId="6" hidden="1">{#N/A,#N/A,FALSE,"PMW Gruppe 00_99";#N/A,#N/A,FALSE,"PMW KG 00_99";#N/A,#N/A,FALSE,"PMW Inc. 00_99";#N/A,#N/A,FALSE,"PMW VTECH 00_99";#N/A,#N/A,FALSE,"PMW Thail. 00_99";#N/A,#N/A,FALSE,"PMW Canada 00_99";#N/A,#N/A,FALSE,"Währungsabw. 00_99"}</definedName>
    <definedName name="yy.7_2" hidden="1">{#N/A,#N/A,FALSE,"PMW Gruppe 00_99";#N/A,#N/A,FALSE,"PMW KG 00_99";#N/A,#N/A,FALSE,"PMW Inc. 00_99";#N/A,#N/A,FALSE,"PMW VTECH 00_99";#N/A,#N/A,FALSE,"PMW Thail. 00_99";#N/A,#N/A,FALSE,"PMW Canada 00_99";#N/A,#N/A,FALSE,"Währungsabw. 00_99"}</definedName>
    <definedName name="yy.7_3" localSheetId="0" hidden="1">{#N/A,#N/A,FALSE,"PMW Gruppe 00_99";#N/A,#N/A,FALSE,"PMW KG 00_99";#N/A,#N/A,FALSE,"PMW Inc. 00_99";#N/A,#N/A,FALSE,"PMW VTECH 00_99";#N/A,#N/A,FALSE,"PMW Thail. 00_99";#N/A,#N/A,FALSE,"PMW Canada 00_99";#N/A,#N/A,FALSE,"Währungsabw. 00_99"}</definedName>
    <definedName name="yy.7_3" localSheetId="6" hidden="1">{#N/A,#N/A,FALSE,"PMW Gruppe 00_99";#N/A,#N/A,FALSE,"PMW KG 00_99";#N/A,#N/A,FALSE,"PMW Inc. 00_99";#N/A,#N/A,FALSE,"PMW VTECH 00_99";#N/A,#N/A,FALSE,"PMW Thail. 00_99";#N/A,#N/A,FALSE,"PMW Canada 00_99";#N/A,#N/A,FALSE,"Währungsabw. 00_99"}</definedName>
    <definedName name="yy.7_3" hidden="1">{#N/A,#N/A,FALSE,"PMW Gruppe 00_99";#N/A,#N/A,FALSE,"PMW KG 00_99";#N/A,#N/A,FALSE,"PMW Inc. 00_99";#N/A,#N/A,FALSE,"PMW VTECH 00_99";#N/A,#N/A,FALSE,"PMW Thail. 00_99";#N/A,#N/A,FALSE,"PMW Canada 00_99";#N/A,#N/A,FALSE,"Währungsabw. 00_99"}</definedName>
    <definedName name="yy.7_4" localSheetId="0" hidden="1">{#N/A,#N/A,FALSE,"PMW Gruppe 00_99";#N/A,#N/A,FALSE,"PMW KG 00_99";#N/A,#N/A,FALSE,"PMW Inc. 00_99";#N/A,#N/A,FALSE,"PMW VTECH 00_99";#N/A,#N/A,FALSE,"PMW Thail. 00_99";#N/A,#N/A,FALSE,"PMW Canada 00_99";#N/A,#N/A,FALSE,"Währungsabw. 00_99"}</definedName>
    <definedName name="yy.7_4" localSheetId="6" hidden="1">{#N/A,#N/A,FALSE,"PMW Gruppe 00_99";#N/A,#N/A,FALSE,"PMW KG 00_99";#N/A,#N/A,FALSE,"PMW Inc. 00_99";#N/A,#N/A,FALSE,"PMW VTECH 00_99";#N/A,#N/A,FALSE,"PMW Thail. 00_99";#N/A,#N/A,FALSE,"PMW Canada 00_99";#N/A,#N/A,FALSE,"Währungsabw. 00_99"}</definedName>
    <definedName name="yy.7_4" hidden="1">{#N/A,#N/A,FALSE,"PMW Gruppe 00_99";#N/A,#N/A,FALSE,"PMW KG 00_99";#N/A,#N/A,FALSE,"PMW Inc. 00_99";#N/A,#N/A,FALSE,"PMW VTECH 00_99";#N/A,#N/A,FALSE,"PMW Thail. 00_99";#N/A,#N/A,FALSE,"PMW Canada 00_99";#N/A,#N/A,FALSE,"Währungsabw. 00_99"}</definedName>
    <definedName name="yy.7_5" localSheetId="0" hidden="1">{#N/A,#N/A,FALSE,"PMW Gruppe 00_99";#N/A,#N/A,FALSE,"PMW KG 00_99";#N/A,#N/A,FALSE,"PMW Inc. 00_99";#N/A,#N/A,FALSE,"PMW VTECH 00_99";#N/A,#N/A,FALSE,"PMW Thail. 00_99";#N/A,#N/A,FALSE,"PMW Canada 00_99";#N/A,#N/A,FALSE,"Währungsabw. 00_99"}</definedName>
    <definedName name="yy.7_5" localSheetId="6" hidden="1">{#N/A,#N/A,FALSE,"PMW Gruppe 00_99";#N/A,#N/A,FALSE,"PMW KG 00_99";#N/A,#N/A,FALSE,"PMW Inc. 00_99";#N/A,#N/A,FALSE,"PMW VTECH 00_99";#N/A,#N/A,FALSE,"PMW Thail. 00_99";#N/A,#N/A,FALSE,"PMW Canada 00_99";#N/A,#N/A,FALSE,"Währungsabw. 00_99"}</definedName>
    <definedName name="yy.7_5" hidden="1">{#N/A,#N/A,FALSE,"PMW Gruppe 00_99";#N/A,#N/A,FALSE,"PMW KG 00_99";#N/A,#N/A,FALSE,"PMW Inc. 00_99";#N/A,#N/A,FALSE,"PMW VTECH 00_99";#N/A,#N/A,FALSE,"PMW Thail. 00_99";#N/A,#N/A,FALSE,"PMW Canada 00_99";#N/A,#N/A,FALSE,"Währungsabw. 00_99"}</definedName>
    <definedName name="yyy" localSheetId="0" hidden="1">{"Bilancio non rettificato",#N/A,FALSE,"A";"Bilancio Rettifiche",#N/A,FALSE,"B";"Bilancio Rettifiche",#N/A,FALSE,"C";"movimenti",#N/A,FALSE,"D";"amm",#N/A,FALSE,"D";"cpl",#N/A,FALSE,"D";"cola",#N/A,FALSE,"D";"imposte",#N/A,FALSE,"D"}</definedName>
    <definedName name="yyy" localSheetId="6" hidden="1">{"Bilancio non rettificato",#N/A,FALSE,"A";"Bilancio Rettifiche",#N/A,FALSE,"B";"Bilancio Rettifiche",#N/A,FALSE,"C";"movimenti",#N/A,FALSE,"D";"amm",#N/A,FALSE,"D";"cpl",#N/A,FALSE,"D";"cola",#N/A,FALSE,"D";"imposte",#N/A,FALSE,"D"}</definedName>
    <definedName name="yyy" hidden="1">{"Bilancio non rettificato",#N/A,FALSE,"A";"Bilancio Rettifiche",#N/A,FALSE,"B";"Bilancio Rettifiche",#N/A,FALSE,"C";"movimenti",#N/A,FALSE,"D";"amm",#N/A,FALSE,"D";"cpl",#N/A,FALSE,"D";"cola",#N/A,FALSE,"D";"imposte",#N/A,FALSE,"D"}</definedName>
    <definedName name="yyy_1" localSheetId="0" hidden="1">{#N/A,#N/A,FALSE,"Other";#N/A,#N/A,FALSE,"Ace";#N/A,#N/A,FALSE,"Derm"}</definedName>
    <definedName name="yyy_1" localSheetId="6" hidden="1">{#N/A,#N/A,FALSE,"Other";#N/A,#N/A,FALSE,"Ace";#N/A,#N/A,FALSE,"Derm"}</definedName>
    <definedName name="yyy_1" hidden="1">{#N/A,#N/A,FALSE,"Other";#N/A,#N/A,FALSE,"Ace";#N/A,#N/A,FALSE,"Derm"}</definedName>
    <definedName name="yyy_1_1" localSheetId="0" hidden="1">{#N/A,#N/A,FALSE,"Other";#N/A,#N/A,FALSE,"Ace";#N/A,#N/A,FALSE,"Derm"}</definedName>
    <definedName name="yyy_1_1" localSheetId="6" hidden="1">{#N/A,#N/A,FALSE,"Other";#N/A,#N/A,FALSE,"Ace";#N/A,#N/A,FALSE,"Derm"}</definedName>
    <definedName name="yyy_1_1" hidden="1">{#N/A,#N/A,FALSE,"Other";#N/A,#N/A,FALSE,"Ace";#N/A,#N/A,FALSE,"Derm"}</definedName>
    <definedName name="yyy_2" localSheetId="0" hidden="1">{#N/A,#N/A,FALSE,"Other";#N/A,#N/A,FALSE,"Ace";#N/A,#N/A,FALSE,"Derm"}</definedName>
    <definedName name="yyy_2" localSheetId="6" hidden="1">{#N/A,#N/A,FALSE,"Other";#N/A,#N/A,FALSE,"Ace";#N/A,#N/A,FALSE,"Derm"}</definedName>
    <definedName name="yyy_2" hidden="1">{#N/A,#N/A,FALSE,"Other";#N/A,#N/A,FALSE,"Ace";#N/A,#N/A,FALSE,"Derm"}</definedName>
    <definedName name="yyy_3" localSheetId="0" hidden="1">{#N/A,#N/A,FALSE,"Other";#N/A,#N/A,FALSE,"Ace";#N/A,#N/A,FALSE,"Derm"}</definedName>
    <definedName name="yyy_3" localSheetId="6" hidden="1">{#N/A,#N/A,FALSE,"Other";#N/A,#N/A,FALSE,"Ace";#N/A,#N/A,FALSE,"Derm"}</definedName>
    <definedName name="yyy_3" hidden="1">{#N/A,#N/A,FALSE,"Other";#N/A,#N/A,FALSE,"Ace";#N/A,#N/A,FALSE,"Derm"}</definedName>
    <definedName name="yyy_4" localSheetId="0" hidden="1">{#N/A,#N/A,FALSE,"Other";#N/A,#N/A,FALSE,"Ace";#N/A,#N/A,FALSE,"Derm"}</definedName>
    <definedName name="yyy_4" localSheetId="6" hidden="1">{#N/A,#N/A,FALSE,"Other";#N/A,#N/A,FALSE,"Ace";#N/A,#N/A,FALSE,"Derm"}</definedName>
    <definedName name="yyy_4" hidden="1">{#N/A,#N/A,FALSE,"Other";#N/A,#N/A,FALSE,"Ace";#N/A,#N/A,FALSE,"Derm"}</definedName>
    <definedName name="yyy_5" localSheetId="0" hidden="1">{#N/A,#N/A,FALSE,"Other";#N/A,#N/A,FALSE,"Ace";#N/A,#N/A,FALSE,"Derm"}</definedName>
    <definedName name="yyy_5" localSheetId="6" hidden="1">{#N/A,#N/A,FALSE,"Other";#N/A,#N/A,FALSE,"Ace";#N/A,#N/A,FALSE,"Derm"}</definedName>
    <definedName name="yyy_5" hidden="1">{#N/A,#N/A,FALSE,"Other";#N/A,#N/A,FALSE,"Ace";#N/A,#N/A,FALSE,"Derm"}</definedName>
    <definedName name="yyyyyyyyyyyyyyyyyyyr" localSheetId="0" hidden="1">{#N/A,#N/A,FALSE,"Assessment";#N/A,#N/A,FALSE,"Staffing";#N/A,#N/A,FALSE,"Hires";#N/A,#N/A,FALSE,"Assumptions"}</definedName>
    <definedName name="yyyyyyyyyyyyyyyyyyyr" localSheetId="6" hidden="1">{#N/A,#N/A,FALSE,"Assessment";#N/A,#N/A,FALSE,"Staffing";#N/A,#N/A,FALSE,"Hires";#N/A,#N/A,FALSE,"Assumptions"}</definedName>
    <definedName name="yyyyyyyyyyyyyyyyyyyr" hidden="1">{#N/A,#N/A,FALSE,"Assessment";#N/A,#N/A,FALSE,"Staffing";#N/A,#N/A,FALSE,"Hires";#N/A,#N/A,FALSE,"Assumptions"}</definedName>
    <definedName name="yyyyyyyyyyyyyyyyyyyr_1" localSheetId="0" hidden="1">{#N/A,#N/A,FALSE,"Assessment";#N/A,#N/A,FALSE,"Staffing";#N/A,#N/A,FALSE,"Hires";#N/A,#N/A,FALSE,"Assumptions"}</definedName>
    <definedName name="yyyyyyyyyyyyyyyyyyyr_1" localSheetId="6" hidden="1">{#N/A,#N/A,FALSE,"Assessment";#N/A,#N/A,FALSE,"Staffing";#N/A,#N/A,FALSE,"Hires";#N/A,#N/A,FALSE,"Assumptions"}</definedName>
    <definedName name="yyyyyyyyyyyyyyyyyyyr_1" hidden="1">{#N/A,#N/A,FALSE,"Assessment";#N/A,#N/A,FALSE,"Staffing";#N/A,#N/A,FALSE,"Hires";#N/A,#N/A,FALSE,"Assumptions"}</definedName>
    <definedName name="z" hidden="1">#REF!</definedName>
    <definedName name="z.l" localSheetId="0" hidden="1">{#N/A,#N/A,FALSE,"KA CH  (2)"}</definedName>
    <definedName name="z.l" localSheetId="6" hidden="1">{#N/A,#N/A,FALSE,"KA CH  (2)"}</definedName>
    <definedName name="z.l" hidden="1">{#N/A,#N/A,FALSE,"KA CH  (2)"}</definedName>
    <definedName name="z.l_1" localSheetId="0" hidden="1">{#N/A,#N/A,FALSE,"KA CH  (2)"}</definedName>
    <definedName name="z.l_1" localSheetId="6" hidden="1">{#N/A,#N/A,FALSE,"KA CH  (2)"}</definedName>
    <definedName name="z.l_1" hidden="1">{#N/A,#N/A,FALSE,"KA CH  (2)"}</definedName>
    <definedName name="z.l_1_1" localSheetId="0" hidden="1">{#N/A,#N/A,FALSE,"KA CH  (2)"}</definedName>
    <definedName name="z.l_1_1" localSheetId="6" hidden="1">{#N/A,#N/A,FALSE,"KA CH  (2)"}</definedName>
    <definedName name="z.l_1_1" hidden="1">{#N/A,#N/A,FALSE,"KA CH  (2)"}</definedName>
    <definedName name="z.l_2" localSheetId="0" hidden="1">{#N/A,#N/A,FALSE,"KA CH  (2)"}</definedName>
    <definedName name="z.l_2" localSheetId="6" hidden="1">{#N/A,#N/A,FALSE,"KA CH  (2)"}</definedName>
    <definedName name="z.l_2" hidden="1">{#N/A,#N/A,FALSE,"KA CH  (2)"}</definedName>
    <definedName name="z.l_3" localSheetId="0" hidden="1">{#N/A,#N/A,FALSE,"KA CH  (2)"}</definedName>
    <definedName name="z.l_3" localSheetId="6" hidden="1">{#N/A,#N/A,FALSE,"KA CH  (2)"}</definedName>
    <definedName name="z.l_3" hidden="1">{#N/A,#N/A,FALSE,"KA CH  (2)"}</definedName>
    <definedName name="z.l_4" localSheetId="0" hidden="1">{#N/A,#N/A,FALSE,"KA CH  (2)"}</definedName>
    <definedName name="z.l_4" localSheetId="6" hidden="1">{#N/A,#N/A,FALSE,"KA CH  (2)"}</definedName>
    <definedName name="z.l_4" hidden="1">{#N/A,#N/A,FALSE,"KA CH  (2)"}</definedName>
    <definedName name="z.l_5" localSheetId="0" hidden="1">{#N/A,#N/A,FALSE,"KA CH  (2)"}</definedName>
    <definedName name="z.l_5" localSheetId="6" hidden="1">{#N/A,#N/A,FALSE,"KA CH  (2)"}</definedName>
    <definedName name="z.l_5" hidden="1">{#N/A,#N/A,FALSE,"KA CH  (2)"}</definedName>
    <definedName name="Z_066CE14F_E2F0_4E1C_AE1F_C01A326C7D41_.wvu.PrintArea" hidden="1">#REF!</definedName>
    <definedName name="Z_0A7D38B0_1138_4832_A4C3_585866060381_.wvu.Cols" hidden="1">#REF!</definedName>
    <definedName name="Z_0E5612F1_1C5C_4147_BE42_908BDE0B1405_.wvu.FilterData" hidden="1">#REF!</definedName>
    <definedName name="Z_0E5612F1_1C5C_4147_BE42_908BDE0B1405_.wvu.PrintTitles" hidden="1">#REF!</definedName>
    <definedName name="Z_0FD90076_A307_405A_8FFE_74FB888B156A_.wvu.Cols" hidden="1">#REF!,#REF!</definedName>
    <definedName name="Z_0FD90076_A307_405A_8FFE_74FB888B156A_.wvu.FilterData" hidden="1">#REF!</definedName>
    <definedName name="Z_151C847C_F869_11D1_B680_00A02416AF98_.wvu.Cols" hidden="1">#REF!</definedName>
    <definedName name="Z_151C847C_F869_11D1_B680_00A02416AF98_.wvu.PrintTitles" hidden="1">#REF!,#REF!</definedName>
    <definedName name="Z_2891AF67_639B_11D2_AA4E_AB73DC59AB4D_.wvu.PrintArea" hidden="1">#REF!</definedName>
    <definedName name="Z_2891AF68_639B_11D2_AA4E_AB73DC59AB4D_.wvu.PrintArea" hidden="1">#REF!</definedName>
    <definedName name="Z_2E5A90F7_30B2_43FA_AD92_72EDBB6DE8DC_.wvu.Cols" hidden="1">#REF!</definedName>
    <definedName name="Z_2E5A90F7_30B2_43FA_AD92_72EDBB6DE8DC_.wvu.PrintTitles" hidden="1">#REF!</definedName>
    <definedName name="Z_2E5A90F7_30B2_43FA_AD92_72EDBB6DE8DC_.wvu.Rows" hidden="1">#REF!</definedName>
    <definedName name="Z_3B2BD80A_19E6_4936_A648_D9E16F075199_.wvu.Cols" hidden="1">#REF!</definedName>
    <definedName name="Z_3B2BD80A_19E6_4936_A648_D9E16F075199_.wvu.PrintArea" hidden="1">#REF!</definedName>
    <definedName name="Z_3B2BD80A_19E6_4936_A648_D9E16F075199_.wvu.PrintTitles" hidden="1">#REF!,#REF!</definedName>
    <definedName name="Z_4EF4AE70_D04E_46F0_B310_02F2014DA1CB_.wvu.Cols" hidden="1">#REF!</definedName>
    <definedName name="Z_557F7523_1502_11D2_8B95_00A0C9B6775A_.wvu.Cols" hidden="1">#REF!</definedName>
    <definedName name="Z_557F7524_1502_11D2_8B95_00A0C9B6775A_.wvu.Cols" hidden="1">#REF!</definedName>
    <definedName name="Z_5A2C290B_06A0_47AE_AD45_8582799715EE_.wvu.Cols" hidden="1">#REF!,#REF!</definedName>
    <definedName name="Z_5A2C290B_06A0_47AE_AD45_8582799715EE_.wvu.FilterData" hidden="1">#REF!</definedName>
    <definedName name="Z_60FA13F0_C7AB_11D5_82BE_0060B0F04987_.wvu.Rows" hidden="1">#REF!</definedName>
    <definedName name="Z_742165F1_5B02_4951_BB6E_9F2297D11612_.wvu.FilterData" hidden="1">#REF!</definedName>
    <definedName name="Z_79F71445_F256_11D1_B7A1_006097337DE3_.wvu.Cols" hidden="1">#REF!,#REF!,#REF!,#REF!,#REF!,#REF!,#REF!,#REF!,#REF!,#REF!,#REF!,#REF!</definedName>
    <definedName name="Z_893D3CDD_E6EC_4FBE_9F4B_7C063AADDAA3_.wvu.FilterData" hidden="1">#REF!</definedName>
    <definedName name="Z_893D3CDD_E6EC_4FBE_9F4B_7C063AADDAA3_.wvu.PrintTitles" hidden="1">#REF!</definedName>
    <definedName name="Z_893D3CDD_E6EC_4FBE_9F4B_7C063AADDAA3_.wvu.Rows" hidden="1">#REF!</definedName>
    <definedName name="Z_8CF2B6A4_F3B2_11D1_B7A1_006097337DE3_.wvu.Cols" hidden="1">#REF!,#REF!,#REF!,#REF!,#REF!,#REF!,#REF!,#REF!,#REF!,#REF!,#REF!,#REF!</definedName>
    <definedName name="Z_8CF2B6A5_F3B2_11D1_B7A1_006097337DE3_.wvu.Cols" hidden="1">#REF!,#REF!,#REF!,#REF!,#REF!,#REF!,#REF!,#REF!,#REF!,#REF!,#REF!,#REF!</definedName>
    <definedName name="Z_8CF2B6A6_F3B2_11D1_B7A1_006097337DE3_.wvu.Cols" hidden="1">#REF!,#REF!,#REF!,#REF!,#REF!,#REF!,#REF!,#REF!,#REF!,#REF!,#REF!,#REF!</definedName>
    <definedName name="Z_8CF2B6A7_F3B2_11D1_B7A1_006097337DE3_.wvu.Cols" hidden="1">#REF!,#REF!,#REF!,#REF!,#REF!,#REF!,#REF!,#REF!,#REF!,#REF!,#REF!,#REF!</definedName>
    <definedName name="Z_911FCEE4_2CBF_4A90_9E55_ED72CBEECF9A_.wvu.FilterData" hidden="1">#REF!</definedName>
    <definedName name="Z_97B47281_496C_11D7_BB62_0000394D783A_.wvu.Rows" hidden="1">#REF!,#REF!</definedName>
    <definedName name="Z_9AB953AD_3105_11D2_8B95_00A0C9B6775A_.wvu.Cols" hidden="1">#REF!</definedName>
    <definedName name="Z_9AB953AD_3105_11D2_8B95_00A0C9B6775A_.wvu.PrintArea" hidden="1">#REF!</definedName>
    <definedName name="Z_9AB953AD_3105_11D2_8B95_00A0C9B6775A_.wvu.PrintTitles" hidden="1">#REF!</definedName>
    <definedName name="Z_9AB953AE_3105_11D2_8B95_00A0C9B6775A_.wvu.Cols" hidden="1">#REF!</definedName>
    <definedName name="Z_9AB953AE_3105_11D2_8B95_00A0C9B6775A_.wvu.PrintArea" hidden="1">#REF!</definedName>
    <definedName name="Z_9AB953AE_3105_11D2_8B95_00A0C9B6775A_.wvu.PrintTitles" hidden="1">#REF!</definedName>
    <definedName name="Z_9AB953AE_3105_11D2_8B95_00A0C9B6775A_.wvu.Rows" hidden="1">#REF!,#REF!,#REF!,#REF!,#REF!,#REF!,#REF!,#REF!,#REF!,#REF!,#REF!,#REF!,#REF!,#REF!,#REF!,#REF!,#REF!,#REF!,#REF!,#REF!,#REF!,#REF!,#REF!,#REF!,#REF!,#REF!,#REF!,#REF!,#REF!,#REF!,#REF!</definedName>
    <definedName name="Z_9AB953AF_3105_11D2_8B95_00A0C9B6775A_.wvu.Cols" hidden="1">#REF!</definedName>
    <definedName name="Z_9AB953AF_3105_11D2_8B95_00A0C9B6775A_.wvu.PrintArea" hidden="1">#REF!</definedName>
    <definedName name="Z_9AB953AF_3105_11D2_8B95_00A0C9B6775A_.wvu.PrintTitles" hidden="1">#REF!</definedName>
    <definedName name="Z_9AB953AF_3105_11D2_8B95_00A0C9B6775A_.wvu.Rows" hidden="1">#REF!,#REF!,#REF!,#REF!,#REF!,#REF!,#REF!,#REF!,#REF!,#REF!,#REF!,#REF!,#REF!,#REF!,#REF!,#REF!,#REF!,#REF!,#REF!,#REF!,#REF!,#REF!,#REF!,#REF!,#REF!,#REF!,#REF!,#REF!,#REF!,#REF!,#REF!</definedName>
    <definedName name="Z_ACDDAD89_9395_4EC9_B253_1D4CE09D74B1_.wvu.Rows" hidden="1">#REF!,#REF!,#REF!,#REF!,#REF!,#REF!,#REF!,#REF!,#REF!,#REF!,#REF!,#REF!,#REF!,#REF!,#REF!,#REF!,#REF!,#REF!,#REF!,#REF!</definedName>
    <definedName name="Z_ACFCE1D4_BFEF_44CA_AB19_84B9CFC2780F_.wvu.FilterData" hidden="1">#REF!</definedName>
    <definedName name="Z_ACFCE1D4_BFEF_44CA_AB19_84B9CFC2780F_.wvu.PrintArea" hidden="1">#REF!</definedName>
    <definedName name="Z_ACFCE1D4_BFEF_44CA_AB19_84B9CFC2780F_.wvu.PrintTitles" hidden="1">#REF!</definedName>
    <definedName name="Z_ACFCE1D4_BFEF_44CA_AB19_84B9CFC2780F_.wvu.Rows" hidden="1">#REF!</definedName>
    <definedName name="Z_BBDA1A24_3814_11D2_8B95_00A0C9B6775A_.wvu.Cols" hidden="1">#REF!</definedName>
    <definedName name="Z_C3AA129C_E110_4542_B5BC_3B9C5588B8DF_.wvu.FilterData" hidden="1">#REF!</definedName>
    <definedName name="Z_C3AA129C_E110_4542_B5BC_3B9C5588B8DF_.wvu.Rows" hidden="1">#REF!,#REF!,#REF!</definedName>
    <definedName name="Z_C4987C22_A4BC_4088_8093_02A2E532FBED_.wvu.FilterData" hidden="1">#REF!</definedName>
    <definedName name="Z_C4987C22_A4BC_4088_8093_02A2E532FBED_.wvu.PrintTitles" hidden="1">#REF!</definedName>
    <definedName name="Z_D381F601_F8CA_4D80_9EDC_1267441827A3_.wvu.Cols" hidden="1">#REF!,#REF!</definedName>
    <definedName name="Z_D381F601_F8CA_4D80_9EDC_1267441827A3_.wvu.FilterData" hidden="1">#REF!</definedName>
    <definedName name="Z_F146CEBC_F75B_401C_8199_756C7AA1D6E3_.wvu.Rows" hidden="1">#REF!,#REF!</definedName>
    <definedName name="Z_F8A287BF_980C_4986_B08C_54EAB9AA17CB_.wvu.FilterData" hidden="1">#REF!</definedName>
    <definedName name="Z_F8A287BF_980C_4986_B08C_54EAB9AA17CB_.wvu.PrintTitles" hidden="1">#REF!</definedName>
    <definedName name="Z_FD54ECB1_613D_11D4_B15F_00D0B70FB564_.wvu.Cols" hidden="1">#REF!</definedName>
    <definedName name="Z_FD54ECB1_613D_11D4_B15F_00D0B70FB564_.wvu.PrintTitles" hidden="1">#REF!</definedName>
    <definedName name="Z_Z_Z_Z" hidden="1">#REF!</definedName>
    <definedName name="za" localSheetId="0" hidden="1">{"VISTA_1",#N/A,FALSE,"GRAFO"}</definedName>
    <definedName name="za" localSheetId="6" hidden="1">{"VISTA_1",#N/A,FALSE,"GRAFO"}</definedName>
    <definedName name="za" hidden="1">{"VISTA_1",#N/A,FALSE,"GRAFO"}</definedName>
    <definedName name="zaazaz" localSheetId="0" hidden="1">{"vue1",#N/A,FALSE,"synthese";"vue2",#N/A,FALSE,"synthese"}</definedName>
    <definedName name="zaazaz" localSheetId="6" hidden="1">{"vue1",#N/A,FALSE,"synthese";"vue2",#N/A,FALSE,"synthese"}</definedName>
    <definedName name="zaazaz" hidden="1">{"vue1",#N/A,FALSE,"synthese";"vue2",#N/A,FALSE,"synthese"}</definedName>
    <definedName name="ZAE" hidden="1">#REF!</definedName>
    <definedName name="zaed" localSheetId="6" hidden="1">{#N/A,#N/A,TRUE,"Cover";#N/A,#N/A,TRUE,"Conts";#N/A,#N/A,TRUE,"VOS";#N/A,#N/A,TRUE,"Warrington";#N/A,#N/A,TRUE,"Widnes"}</definedName>
    <definedName name="zaed" hidden="1">{#N/A,#N/A,TRUE,"Cover";#N/A,#N/A,TRUE,"Conts";#N/A,#N/A,TRUE,"VOS";#N/A,#N/A,TRUE,"Warrington";#N/A,#N/A,TRUE,"Widnes"}</definedName>
    <definedName name="zaed_1" localSheetId="6" hidden="1">{#N/A,#N/A,TRUE,"Cover";#N/A,#N/A,TRUE,"Conts";#N/A,#N/A,TRUE,"VOS";#N/A,#N/A,TRUE,"Warrington";#N/A,#N/A,TRUE,"Widnes"}</definedName>
    <definedName name="zaed_1" hidden="1">{#N/A,#N/A,TRUE,"Cover";#N/A,#N/A,TRUE,"Conts";#N/A,#N/A,TRUE,"VOS";#N/A,#N/A,TRUE,"Warrington";#N/A,#N/A,TRUE,"Widnes"}</definedName>
    <definedName name="Zakat">#REF!</definedName>
    <definedName name="Zakat_expense">#REF!</definedName>
    <definedName name="Zakat_payable">#REF!</definedName>
    <definedName name="Zakat_payment">#REF!</definedName>
    <definedName name="Zakt_Tax_for_the_Year">#REF!</definedName>
    <definedName name="zap" localSheetId="6"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zap" hidden="1">{#N/A,#N/A,FALSE,"Title";#N/A,#N/A,FALSE,"Index";#N/A,#N/A,FALSE,"Comm";#N/A,#N/A,FALSE,"A1";#N/A,#N/A,FALSE,"A2";#N/A,#N/A,FALSE,"A3";#N/A,#N/A,FALSE,"A4";#N/A,#N/A,FALSE,"A5";#N/A,#N/A,FALSE,"A6";#N/A,#N/A,FALSE,"A7";#N/A,#N/A,FALSE,"A8";#N/A,#N/A,FALSE,"A9";#N/A,#N/A,FALSE,"B1";#N/A,#N/A,FALSE,"B2";#N/A,#N/A,FALSE,"C1";#N/A,#N/A,FALSE,"C2";#N/A,#N/A,FALSE,"C3";#N/A,#N/A,FALSE,"C4";#N/A,#N/A,FALSE,"C5";#N/A,#N/A,FALSE,"D1";#N/A,#N/A,FALSE,"D2";#N/A,#N/A,FALSE,"D3";#N/A,#N/A,FALSE,"E1";#N/A,#N/A,FALSE,"E2";#N/A,#N/A,FALSE,"H1";#N/A,#N/A,FALSE,"H2";#N/A,#N/A,FALSE,"Summ";#N/A,#N/A,FALSE,"H3";#N/A,#N/A,FALSE,"H4";#N/A,#N/A,FALSE,"A10"}</definedName>
    <definedName name="zaq" localSheetId="0" hidden="1">{#N/A,#N/A,FALSE,"Calc";#N/A,#N/A,FALSE,"Sensitivity";#N/A,#N/A,FALSE,"LT Earn.Dil.";#N/A,#N/A,FALSE,"Dil. AVP"}</definedName>
    <definedName name="zaq" localSheetId="6" hidden="1">{#N/A,#N/A,FALSE,"Calc";#N/A,#N/A,FALSE,"Sensitivity";#N/A,#N/A,FALSE,"LT Earn.Dil.";#N/A,#N/A,FALSE,"Dil. AVP"}</definedName>
    <definedName name="zaq" hidden="1">{#N/A,#N/A,FALSE,"Calc";#N/A,#N/A,FALSE,"Sensitivity";#N/A,#N/A,FALSE,"LT Earn.Dil.";#N/A,#N/A,FALSE,"Dil. AVP"}</definedName>
    <definedName name="ZcScSAfs" localSheetId="0" hidden="1">{#N/A,#N/A,TRUE,"Cover";#N/A,#N/A,TRUE,"Sum";#N/A,#N/A,TRUE,"SubsRev";#N/A,#N/A,TRUE,"CapEx";#N/A,#N/A,TRUE,"OpEx";#N/A,#N/A,TRUE,"SUs";#N/A,#N/A,TRUE,"OrgChart";#N/A,#N/A,TRUE,"Staff";#N/A,#N/A,TRUE,"P&amp;L";#N/A,#N/A,TRUE,"Cash";#N/A,#N/A,TRUE,"BS";#N/A,#N/A,TRUE,"Valuation";#N/A,#N/A,TRUE,"CapEx-Assumptions";#N/A,#N/A,TRUE,"OpEx-Assumptions"}</definedName>
    <definedName name="ZcScSAfs" localSheetId="6" hidden="1">{#N/A,#N/A,TRUE,"Cover";#N/A,#N/A,TRUE,"Sum";#N/A,#N/A,TRUE,"SubsRev";#N/A,#N/A,TRUE,"CapEx";#N/A,#N/A,TRUE,"OpEx";#N/A,#N/A,TRUE,"SUs";#N/A,#N/A,TRUE,"OrgChart";#N/A,#N/A,TRUE,"Staff";#N/A,#N/A,TRUE,"P&amp;L";#N/A,#N/A,TRUE,"Cash";#N/A,#N/A,TRUE,"BS";#N/A,#N/A,TRUE,"Valuation";#N/A,#N/A,TRUE,"CapEx-Assumptions";#N/A,#N/A,TRUE,"OpEx-Assumptions"}</definedName>
    <definedName name="ZcScSAfs" hidden="1">{#N/A,#N/A,TRUE,"Cover";#N/A,#N/A,TRUE,"Sum";#N/A,#N/A,TRUE,"SubsRev";#N/A,#N/A,TRUE,"CapEx";#N/A,#N/A,TRUE,"OpEx";#N/A,#N/A,TRUE,"SUs";#N/A,#N/A,TRUE,"OrgChart";#N/A,#N/A,TRUE,"Staff";#N/A,#N/A,TRUE,"P&amp;L";#N/A,#N/A,TRUE,"Cash";#N/A,#N/A,TRUE,"BS";#N/A,#N/A,TRUE,"Valuation";#N/A,#N/A,TRUE,"CapEx-Assumptions";#N/A,#N/A,TRUE,"OpEx-Assumptions"}</definedName>
    <definedName name="zedaqzd" localSheetId="0" hidden="1">{#N/A,#N/A,FALSE,"Operations";#N/A,#N/A,FALSE,"Financials"}</definedName>
    <definedName name="zedaqzd" localSheetId="6" hidden="1">{#N/A,#N/A,FALSE,"Operations";#N/A,#N/A,FALSE,"Financials"}</definedName>
    <definedName name="zedaqzd" hidden="1">{#N/A,#N/A,FALSE,"Operations";#N/A,#N/A,FALSE,"Financials"}</definedName>
    <definedName name="zedre" localSheetId="0" hidden="1">{"vue1",#N/A,FALSE,"synthese";"vue2",#N/A,FALSE,"synthese"}</definedName>
    <definedName name="zedre" localSheetId="6" hidden="1">{"vue1",#N/A,FALSE,"synthese";"vue2",#N/A,FALSE,"synthese"}</definedName>
    <definedName name="zedre" hidden="1">{"vue1",#N/A,FALSE,"synthese";"vue2",#N/A,FALSE,"synthese"}</definedName>
    <definedName name="zefz" localSheetId="0" hidden="1">{"First Page",#N/A,FALSE,"Surfactants LBO";"Second Page",#N/A,FALSE,"Surfactants LBO"}</definedName>
    <definedName name="zefz" localSheetId="6" hidden="1">{"First Page",#N/A,FALSE,"Surfactants LBO";"Second Page",#N/A,FALSE,"Surfactants LBO"}</definedName>
    <definedName name="zefz" hidden="1">{"First Page",#N/A,FALSE,"Surfactants LBO";"Second Page",#N/A,FALSE,"Surfactants LBO"}</definedName>
    <definedName name="zen" localSheetId="6" hidden="1">{#N/A,#N/A,TRUE,"Inflation";#N/A,#N/A,TRUE,"HCA Summary";#N/A,#N/A,TRUE,"Operating ratio graphs";#N/A,#N/A,TRUE,"HCA";#N/A,#N/A,TRUE,"Revenue";#N/A,#N/A,TRUE,"Opex";#N/A,#N/A,TRUE,"Fixed assets";#N/A,#N/A,TRUE,"Reserves"}</definedName>
    <definedName name="zen" hidden="1">{#N/A,#N/A,TRUE,"Inflation";#N/A,#N/A,TRUE,"HCA Summary";#N/A,#N/A,TRUE,"Operating ratio graphs";#N/A,#N/A,TRUE,"HCA";#N/A,#N/A,TRUE,"Revenue";#N/A,#N/A,TRUE,"Opex";#N/A,#N/A,TRUE,"Fixed assets";#N/A,#N/A,TRUE,"Reserves"}</definedName>
    <definedName name="zer" localSheetId="0" hidden="1">{#N/A,#N/A,FALSE,"Calc";#N/A,#N/A,FALSE,"Sensitivity";#N/A,#N/A,FALSE,"LT Earn.Dil.";#N/A,#N/A,FALSE,"Dil. AVP"}</definedName>
    <definedName name="zer" localSheetId="6" hidden="1">{#N/A,#N/A,FALSE,"Calc";#N/A,#N/A,FALSE,"Sensitivity";#N/A,#N/A,FALSE,"LT Earn.Dil.";#N/A,#N/A,FALSE,"Dil. AVP"}</definedName>
    <definedName name="zer" hidden="1">{#N/A,#N/A,FALSE,"Calc";#N/A,#N/A,FALSE,"Sensitivity";#N/A,#N/A,FALSE,"LT Earn.Dil.";#N/A,#N/A,FALSE,"Dil. AVP"}</definedName>
    <definedName name="ZERTRET" hidden="1">#REF!</definedName>
    <definedName name="zerwe" localSheetId="0" hidden="1">{"vue1",#N/A,FALSE,"synthese";"vue2",#N/A,FALSE,"synthese"}</definedName>
    <definedName name="zerwe" localSheetId="6" hidden="1">{"vue1",#N/A,FALSE,"synthese";"vue2",#N/A,FALSE,"synthese"}</definedName>
    <definedName name="zerwe" hidden="1">{"vue1",#N/A,FALSE,"synthese";"vue2",#N/A,FALSE,"synthese"}</definedName>
    <definedName name="ZETEHFN" hidden="1">#REF!</definedName>
    <definedName name="zezrzrzerz" localSheetId="0" hidden="1">{"equity comps",#N/A,FALSE,"CS Comps";"equity comps",#N/A,FALSE,"PS Comps";"equity comps",#N/A,FALSE,"GIC_Comps";"equity comps",#N/A,FALSE,"GIC2_Comps"}</definedName>
    <definedName name="zezrzrzerz" localSheetId="6" hidden="1">{"equity comps",#N/A,FALSE,"CS Comps";"equity comps",#N/A,FALSE,"PS Comps";"equity comps",#N/A,FALSE,"GIC_Comps";"equity comps",#N/A,FALSE,"GIC2_Comps"}</definedName>
    <definedName name="zezrzrzerz" hidden="1">{"equity comps",#N/A,FALSE,"CS Comps";"equity comps",#N/A,FALSE,"PS Comps";"equity comps",#N/A,FALSE,"GIC_Comps";"equity comps",#N/A,FALSE,"GIC2_Comps"}</definedName>
    <definedName name="zhguz" localSheetId="0" hidden="1">{"DCF","UPSIDE CASE",FALSE,"Sheet1";"DCF","BASE CASE",FALSE,"Sheet1";"DCF","DOWNSIDE CASE",FALSE,"Sheet1"}</definedName>
    <definedName name="zhguz" localSheetId="6" hidden="1">{"DCF","UPSIDE CASE",FALSE,"Sheet1";"DCF","BASE CASE",FALSE,"Sheet1";"DCF","DOWNSIDE CASE",FALSE,"Sheet1"}</definedName>
    <definedName name="zhguz" hidden="1">{"DCF","UPSIDE CASE",FALSE,"Sheet1";"DCF","BASE CASE",FALSE,"Sheet1";"DCF","DOWNSIDE CASE",FALSE,"Sheet1"}</definedName>
    <definedName name="zhu" localSheetId="0" hidden="1">{#N/A,#N/A,FALSE,"REPORT"}</definedName>
    <definedName name="zhu" localSheetId="6" hidden="1">{#N/A,#N/A,FALSE,"REPORT"}</definedName>
    <definedName name="zhu" hidden="1">{#N/A,#N/A,FALSE,"REPORT"}</definedName>
    <definedName name="zhu_1" localSheetId="0" hidden="1">{#N/A,#N/A,FALSE,"REPORT"}</definedName>
    <definedName name="zhu_1" localSheetId="6" hidden="1">{#N/A,#N/A,FALSE,"REPORT"}</definedName>
    <definedName name="zhu_1" hidden="1">{#N/A,#N/A,FALSE,"REPORT"}</definedName>
    <definedName name="zhu_1_1" localSheetId="0" hidden="1">{#N/A,#N/A,FALSE,"REPORT"}</definedName>
    <definedName name="zhu_1_1" localSheetId="6" hidden="1">{#N/A,#N/A,FALSE,"REPORT"}</definedName>
    <definedName name="zhu_1_1" hidden="1">{#N/A,#N/A,FALSE,"REPORT"}</definedName>
    <definedName name="zhu_2" localSheetId="0" hidden="1">{#N/A,#N/A,FALSE,"REPORT"}</definedName>
    <definedName name="zhu_2" localSheetId="6" hidden="1">{#N/A,#N/A,FALSE,"REPORT"}</definedName>
    <definedName name="zhu_2" hidden="1">{#N/A,#N/A,FALSE,"REPORT"}</definedName>
    <definedName name="zhu_3" localSheetId="0" hidden="1">{#N/A,#N/A,FALSE,"REPORT"}</definedName>
    <definedName name="zhu_3" localSheetId="6" hidden="1">{#N/A,#N/A,FALSE,"REPORT"}</definedName>
    <definedName name="zhu_3" hidden="1">{#N/A,#N/A,FALSE,"REPORT"}</definedName>
    <definedName name="zhu_4" localSheetId="0" hidden="1">{#N/A,#N/A,FALSE,"REPORT"}</definedName>
    <definedName name="zhu_4" localSheetId="6" hidden="1">{#N/A,#N/A,FALSE,"REPORT"}</definedName>
    <definedName name="zhu_4" hidden="1">{#N/A,#N/A,FALSE,"REPORT"}</definedName>
    <definedName name="zhu_5" localSheetId="0" hidden="1">{#N/A,#N/A,FALSE,"REPORT"}</definedName>
    <definedName name="zhu_5" localSheetId="6" hidden="1">{#N/A,#N/A,FALSE,"REPORT"}</definedName>
    <definedName name="zhu_5" hidden="1">{#N/A,#N/A,FALSE,"REPORT"}</definedName>
    <definedName name="zhutr" localSheetId="0" hidden="1">{#N/A,#N/A,FALSE,"REPORT"}</definedName>
    <definedName name="zhutr" localSheetId="6" hidden="1">{#N/A,#N/A,FALSE,"REPORT"}</definedName>
    <definedName name="zhutr" hidden="1">{#N/A,#N/A,FALSE,"REPORT"}</definedName>
    <definedName name="zhutr_1" localSheetId="0" hidden="1">{#N/A,#N/A,FALSE,"REPORT"}</definedName>
    <definedName name="zhutr_1" localSheetId="6" hidden="1">{#N/A,#N/A,FALSE,"REPORT"}</definedName>
    <definedName name="zhutr_1" hidden="1">{#N/A,#N/A,FALSE,"REPORT"}</definedName>
    <definedName name="zhutr_1_1" localSheetId="0" hidden="1">{#N/A,#N/A,FALSE,"REPORT"}</definedName>
    <definedName name="zhutr_1_1" localSheetId="6" hidden="1">{#N/A,#N/A,FALSE,"REPORT"}</definedName>
    <definedName name="zhutr_1_1" hidden="1">{#N/A,#N/A,FALSE,"REPORT"}</definedName>
    <definedName name="zhutr_2" localSheetId="0" hidden="1">{#N/A,#N/A,FALSE,"REPORT"}</definedName>
    <definedName name="zhutr_2" localSheetId="6" hidden="1">{#N/A,#N/A,FALSE,"REPORT"}</definedName>
    <definedName name="zhutr_2" hidden="1">{#N/A,#N/A,FALSE,"REPORT"}</definedName>
    <definedName name="zhutr_3" localSheetId="0" hidden="1">{#N/A,#N/A,FALSE,"REPORT"}</definedName>
    <definedName name="zhutr_3" localSheetId="6" hidden="1">{#N/A,#N/A,FALSE,"REPORT"}</definedName>
    <definedName name="zhutr_3" hidden="1">{#N/A,#N/A,FALSE,"REPORT"}</definedName>
    <definedName name="zhutr_4" localSheetId="0" hidden="1">{#N/A,#N/A,FALSE,"REPORT"}</definedName>
    <definedName name="zhutr_4" localSheetId="6" hidden="1">{#N/A,#N/A,FALSE,"REPORT"}</definedName>
    <definedName name="zhutr_4" hidden="1">{#N/A,#N/A,FALSE,"REPORT"}</definedName>
    <definedName name="zhutr_5" localSheetId="0" hidden="1">{#N/A,#N/A,FALSE,"REPORT"}</definedName>
    <definedName name="zhutr_5" localSheetId="6" hidden="1">{#N/A,#N/A,FALSE,"REPORT"}</definedName>
    <definedName name="zhutr_5" hidden="1">{#N/A,#N/A,FALSE,"REPORT"}</definedName>
    <definedName name="Ziad">#REF!</definedName>
    <definedName name="zioio" localSheetId="0" hidden="1">{#N/A,#N/A,FALSE,"Umsatz CH";#N/A,#N/A,FALSE,"ER CH";#N/A,#N/A,FALSE,"EA CH (2) ";#N/A,#N/A,FALSE,"EA CH";#N/A,#N/A,FALSE,"EA CH (3) ";#N/A,#N/A,FALSE,"EA CH (4)";#N/A,#N/A,FALSE,"KA CH";#N/A,#N/A,FALSE,"KA CH  (2)";#N/A,#N/A,FALSE,"KA CH  (3)";#N/A,#N/A,FALSE,"KA CH (4)"}</definedName>
    <definedName name="zioio" localSheetId="6" hidden="1">{#N/A,#N/A,FALSE,"Umsatz CH";#N/A,#N/A,FALSE,"ER CH";#N/A,#N/A,FALSE,"EA CH (2) ";#N/A,#N/A,FALSE,"EA CH";#N/A,#N/A,FALSE,"EA CH (3) ";#N/A,#N/A,FALSE,"EA CH (4)";#N/A,#N/A,FALSE,"KA CH";#N/A,#N/A,FALSE,"KA CH  (2)";#N/A,#N/A,FALSE,"KA CH  (3)";#N/A,#N/A,FALSE,"KA CH (4)"}</definedName>
    <definedName name="zioio" hidden="1">{#N/A,#N/A,FALSE,"Umsatz CH";#N/A,#N/A,FALSE,"ER CH";#N/A,#N/A,FALSE,"EA CH (2) ";#N/A,#N/A,FALSE,"EA CH";#N/A,#N/A,FALSE,"EA CH (3) ";#N/A,#N/A,FALSE,"EA CH (4)";#N/A,#N/A,FALSE,"KA CH";#N/A,#N/A,FALSE,"KA CH  (2)";#N/A,#N/A,FALSE,"KA CH  (3)";#N/A,#N/A,FALSE,"KA CH (4)"}</definedName>
    <definedName name="zioio_1" localSheetId="0" hidden="1">{#N/A,#N/A,FALSE,"Umsatz CH";#N/A,#N/A,FALSE,"ER CH";#N/A,#N/A,FALSE,"EA CH (2) ";#N/A,#N/A,FALSE,"EA CH";#N/A,#N/A,FALSE,"EA CH (3) ";#N/A,#N/A,FALSE,"EA CH (4)";#N/A,#N/A,FALSE,"KA CH";#N/A,#N/A,FALSE,"KA CH  (2)";#N/A,#N/A,FALSE,"KA CH  (3)";#N/A,#N/A,FALSE,"KA CH (4)"}</definedName>
    <definedName name="zioio_1" localSheetId="6" hidden="1">{#N/A,#N/A,FALSE,"Umsatz CH";#N/A,#N/A,FALSE,"ER CH";#N/A,#N/A,FALSE,"EA CH (2) ";#N/A,#N/A,FALSE,"EA CH";#N/A,#N/A,FALSE,"EA CH (3) ";#N/A,#N/A,FALSE,"EA CH (4)";#N/A,#N/A,FALSE,"KA CH";#N/A,#N/A,FALSE,"KA CH  (2)";#N/A,#N/A,FALSE,"KA CH  (3)";#N/A,#N/A,FALSE,"KA CH (4)"}</definedName>
    <definedName name="zioio_1" hidden="1">{#N/A,#N/A,FALSE,"Umsatz CH";#N/A,#N/A,FALSE,"ER CH";#N/A,#N/A,FALSE,"EA CH (2) ";#N/A,#N/A,FALSE,"EA CH";#N/A,#N/A,FALSE,"EA CH (3) ";#N/A,#N/A,FALSE,"EA CH (4)";#N/A,#N/A,FALSE,"KA CH";#N/A,#N/A,FALSE,"KA CH  (2)";#N/A,#N/A,FALSE,"KA CH  (3)";#N/A,#N/A,FALSE,"KA CH (4)"}</definedName>
    <definedName name="zioio_1_1" localSheetId="0" hidden="1">{#N/A,#N/A,FALSE,"Umsatz CH";#N/A,#N/A,FALSE,"ER CH";#N/A,#N/A,FALSE,"EA CH (2) ";#N/A,#N/A,FALSE,"EA CH";#N/A,#N/A,FALSE,"EA CH (3) ";#N/A,#N/A,FALSE,"EA CH (4)";#N/A,#N/A,FALSE,"KA CH";#N/A,#N/A,FALSE,"KA CH  (2)";#N/A,#N/A,FALSE,"KA CH  (3)";#N/A,#N/A,FALSE,"KA CH (4)"}</definedName>
    <definedName name="zioio_1_1" localSheetId="6" hidden="1">{#N/A,#N/A,FALSE,"Umsatz CH";#N/A,#N/A,FALSE,"ER CH";#N/A,#N/A,FALSE,"EA CH (2) ";#N/A,#N/A,FALSE,"EA CH";#N/A,#N/A,FALSE,"EA CH (3) ";#N/A,#N/A,FALSE,"EA CH (4)";#N/A,#N/A,FALSE,"KA CH";#N/A,#N/A,FALSE,"KA CH  (2)";#N/A,#N/A,FALSE,"KA CH  (3)";#N/A,#N/A,FALSE,"KA CH (4)"}</definedName>
    <definedName name="zioio_1_1" hidden="1">{#N/A,#N/A,FALSE,"Umsatz CH";#N/A,#N/A,FALSE,"ER CH";#N/A,#N/A,FALSE,"EA CH (2) ";#N/A,#N/A,FALSE,"EA CH";#N/A,#N/A,FALSE,"EA CH (3) ";#N/A,#N/A,FALSE,"EA CH (4)";#N/A,#N/A,FALSE,"KA CH";#N/A,#N/A,FALSE,"KA CH  (2)";#N/A,#N/A,FALSE,"KA CH  (3)";#N/A,#N/A,FALSE,"KA CH (4)"}</definedName>
    <definedName name="zioio_2" localSheetId="0" hidden="1">{#N/A,#N/A,FALSE,"Umsatz CH";#N/A,#N/A,FALSE,"ER CH";#N/A,#N/A,FALSE,"EA CH (2) ";#N/A,#N/A,FALSE,"EA CH";#N/A,#N/A,FALSE,"EA CH (3) ";#N/A,#N/A,FALSE,"EA CH (4)";#N/A,#N/A,FALSE,"KA CH";#N/A,#N/A,FALSE,"KA CH  (2)";#N/A,#N/A,FALSE,"KA CH  (3)";#N/A,#N/A,FALSE,"KA CH (4)"}</definedName>
    <definedName name="zioio_2" localSheetId="6" hidden="1">{#N/A,#N/A,FALSE,"Umsatz CH";#N/A,#N/A,FALSE,"ER CH";#N/A,#N/A,FALSE,"EA CH (2) ";#N/A,#N/A,FALSE,"EA CH";#N/A,#N/A,FALSE,"EA CH (3) ";#N/A,#N/A,FALSE,"EA CH (4)";#N/A,#N/A,FALSE,"KA CH";#N/A,#N/A,FALSE,"KA CH  (2)";#N/A,#N/A,FALSE,"KA CH  (3)";#N/A,#N/A,FALSE,"KA CH (4)"}</definedName>
    <definedName name="zioio_2" hidden="1">{#N/A,#N/A,FALSE,"Umsatz CH";#N/A,#N/A,FALSE,"ER CH";#N/A,#N/A,FALSE,"EA CH (2) ";#N/A,#N/A,FALSE,"EA CH";#N/A,#N/A,FALSE,"EA CH (3) ";#N/A,#N/A,FALSE,"EA CH (4)";#N/A,#N/A,FALSE,"KA CH";#N/A,#N/A,FALSE,"KA CH  (2)";#N/A,#N/A,FALSE,"KA CH  (3)";#N/A,#N/A,FALSE,"KA CH (4)"}</definedName>
    <definedName name="zioio_3" localSheetId="0" hidden="1">{#N/A,#N/A,FALSE,"Umsatz CH";#N/A,#N/A,FALSE,"ER CH";#N/A,#N/A,FALSE,"EA CH (2) ";#N/A,#N/A,FALSE,"EA CH";#N/A,#N/A,FALSE,"EA CH (3) ";#N/A,#N/A,FALSE,"EA CH (4)";#N/A,#N/A,FALSE,"KA CH";#N/A,#N/A,FALSE,"KA CH  (2)";#N/A,#N/A,FALSE,"KA CH  (3)";#N/A,#N/A,FALSE,"KA CH (4)"}</definedName>
    <definedName name="zioio_3" localSheetId="6" hidden="1">{#N/A,#N/A,FALSE,"Umsatz CH";#N/A,#N/A,FALSE,"ER CH";#N/A,#N/A,FALSE,"EA CH (2) ";#N/A,#N/A,FALSE,"EA CH";#N/A,#N/A,FALSE,"EA CH (3) ";#N/A,#N/A,FALSE,"EA CH (4)";#N/A,#N/A,FALSE,"KA CH";#N/A,#N/A,FALSE,"KA CH  (2)";#N/A,#N/A,FALSE,"KA CH  (3)";#N/A,#N/A,FALSE,"KA CH (4)"}</definedName>
    <definedName name="zioio_3" hidden="1">{#N/A,#N/A,FALSE,"Umsatz CH";#N/A,#N/A,FALSE,"ER CH";#N/A,#N/A,FALSE,"EA CH (2) ";#N/A,#N/A,FALSE,"EA CH";#N/A,#N/A,FALSE,"EA CH (3) ";#N/A,#N/A,FALSE,"EA CH (4)";#N/A,#N/A,FALSE,"KA CH";#N/A,#N/A,FALSE,"KA CH  (2)";#N/A,#N/A,FALSE,"KA CH  (3)";#N/A,#N/A,FALSE,"KA CH (4)"}</definedName>
    <definedName name="zioio_4" localSheetId="0" hidden="1">{#N/A,#N/A,FALSE,"Umsatz CH";#N/A,#N/A,FALSE,"ER CH";#N/A,#N/A,FALSE,"EA CH (2) ";#N/A,#N/A,FALSE,"EA CH";#N/A,#N/A,FALSE,"EA CH (3) ";#N/A,#N/A,FALSE,"EA CH (4)";#N/A,#N/A,FALSE,"KA CH";#N/A,#N/A,FALSE,"KA CH  (2)";#N/A,#N/A,FALSE,"KA CH  (3)";#N/A,#N/A,FALSE,"KA CH (4)"}</definedName>
    <definedName name="zioio_4" localSheetId="6" hidden="1">{#N/A,#N/A,FALSE,"Umsatz CH";#N/A,#N/A,FALSE,"ER CH";#N/A,#N/A,FALSE,"EA CH (2) ";#N/A,#N/A,FALSE,"EA CH";#N/A,#N/A,FALSE,"EA CH (3) ";#N/A,#N/A,FALSE,"EA CH (4)";#N/A,#N/A,FALSE,"KA CH";#N/A,#N/A,FALSE,"KA CH  (2)";#N/A,#N/A,FALSE,"KA CH  (3)";#N/A,#N/A,FALSE,"KA CH (4)"}</definedName>
    <definedName name="zioio_4" hidden="1">{#N/A,#N/A,FALSE,"Umsatz CH";#N/A,#N/A,FALSE,"ER CH";#N/A,#N/A,FALSE,"EA CH (2) ";#N/A,#N/A,FALSE,"EA CH";#N/A,#N/A,FALSE,"EA CH (3) ";#N/A,#N/A,FALSE,"EA CH (4)";#N/A,#N/A,FALSE,"KA CH";#N/A,#N/A,FALSE,"KA CH  (2)";#N/A,#N/A,FALSE,"KA CH  (3)";#N/A,#N/A,FALSE,"KA CH (4)"}</definedName>
    <definedName name="zioio_5" localSheetId="0" hidden="1">{#N/A,#N/A,FALSE,"Umsatz CH";#N/A,#N/A,FALSE,"ER CH";#N/A,#N/A,FALSE,"EA CH (2) ";#N/A,#N/A,FALSE,"EA CH";#N/A,#N/A,FALSE,"EA CH (3) ";#N/A,#N/A,FALSE,"EA CH (4)";#N/A,#N/A,FALSE,"KA CH";#N/A,#N/A,FALSE,"KA CH  (2)";#N/A,#N/A,FALSE,"KA CH  (3)";#N/A,#N/A,FALSE,"KA CH (4)"}</definedName>
    <definedName name="zioio_5" localSheetId="6" hidden="1">{#N/A,#N/A,FALSE,"Umsatz CH";#N/A,#N/A,FALSE,"ER CH";#N/A,#N/A,FALSE,"EA CH (2) ";#N/A,#N/A,FALSE,"EA CH";#N/A,#N/A,FALSE,"EA CH (3) ";#N/A,#N/A,FALSE,"EA CH (4)";#N/A,#N/A,FALSE,"KA CH";#N/A,#N/A,FALSE,"KA CH  (2)";#N/A,#N/A,FALSE,"KA CH  (3)";#N/A,#N/A,FALSE,"KA CH (4)"}</definedName>
    <definedName name="zioio_5" hidden="1">{#N/A,#N/A,FALSE,"Umsatz CH";#N/A,#N/A,FALSE,"ER CH";#N/A,#N/A,FALSE,"EA CH (2) ";#N/A,#N/A,FALSE,"EA CH";#N/A,#N/A,FALSE,"EA CH (3) ";#N/A,#N/A,FALSE,"EA CH (4)";#N/A,#N/A,FALSE,"KA CH";#N/A,#N/A,FALSE,"KA CH  (2)";#N/A,#N/A,FALSE,"KA CH  (3)";#N/A,#N/A,FALSE,"KA CH (4)"}</definedName>
    <definedName name="zn" localSheetId="0" hidden="1">{"NORMAL",#N/A,FALSE,"02"}</definedName>
    <definedName name="zn" localSheetId="6" hidden="1">{"NORMAL",#N/A,FALSE,"02"}</definedName>
    <definedName name="zn" hidden="1">{"NORMAL",#N/A,FALSE,"02"}</definedName>
    <definedName name="znd" localSheetId="0" hidden="1">{"DECIMAL",#N/A,FALSE,"02"}</definedName>
    <definedName name="znd" localSheetId="6" hidden="1">{"DECIMAL",#N/A,FALSE,"02"}</definedName>
    <definedName name="znd" hidden="1">{"DECIMAL",#N/A,FALSE,"02"}</definedName>
    <definedName name="zPack" localSheetId="0"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ack" localSheetId="6"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ack" hidden="1">{"Sch00",#N/A,FALSE,"1";"Contents",#N/A,FALSE,"1";"Sch01",#N/A,FALSE,"2";"Sch02",#N/A,FALSE,"2";"Sch03",#N/A,FALSE,"2";"Sch04",#N/A,FALSE,"2";"Sch05",#N/A,FALSE,"2";"Sch06",#N/A,FALSE,"2";"Sch07",#N/A,FALSE,"3";"Sch08",#N/A,FALSE,"3";"Sch09",#N/A,FALSE,"3";"Sch10",#N/A,FALSE,"3";"Sch11",#N/A,FALSE,"3";"Sch12",#N/A,FALSE,"3";"Sch13",#N/A,FALSE,"3";"Sch14a",#N/A,FALSE,"3";"Sch14b",#N/A,FALSE,"3";"Sch15a",#N/A,FALSE,"3";"Sch15b",#N/A,FALSE,"3";"Sch16",#N/A,FALSE,"3";"Sch17",#N/A,FALSE,"2";"Sch18",#N/A,FALSE,"3";"Sch19",#N/A,FALSE,"2";"Sch20",#N/A,FALSE,"2";"Sch21",#N/A,FALSE,"2";"Sch22",#N/A,FALSE,"3";"Sch23",#N/A,FALSE,"3";"Sch24",#N/A,FALSE,"3";"Sch25",#N/A,FALSE,"3";"Sch26",#N/A,FALSE,"2";"Sch27",#N/A,FALSE,"3";"Sch28",#N/A,FALSE,"3";"Sch29",#N/A,FALSE,"3";"Sch30",#N/A,FALSE,"3"}</definedName>
    <definedName name="zpe" localSheetId="6" hidden="1">{#N/A,#N/A,FALSE,"HCA";#N/A,#N/A,FALSE,"Revenue";#N/A,#N/A,FALSE,"Opex";#N/A,#N/A,FALSE,"AMP"}</definedName>
    <definedName name="zpe" hidden="1">{#N/A,#N/A,FALSE,"HCA";#N/A,#N/A,FALSE,"Revenue";#N/A,#N/A,FALSE,"Opex";#N/A,#N/A,FALSE,"AMP"}</definedName>
    <definedName name="zpm" localSheetId="6" hidden="1">{#N/A,#N/A,TRUE,"FA 1 &amp; 2";#N/A,#N/A,TRUE,"FA 3 &amp; 4";#N/A,#N/A,TRUE,"FA 5 &amp; 6";#N/A,#N/A,TRUE,"FA 7 &amp; 8";#N/A,#N/A,TRUE,"FA 9 &amp; 10";#N/A,#N/A,TRUE,"FA 11";#N/A,#N/A,TRUE,"FA 12";#N/A,#N/A,TRUE,"FA 13";#N/A,#N/A,TRUE,"FA 14 &amp; 15"}</definedName>
    <definedName name="zpm" hidden="1">{#N/A,#N/A,TRUE,"FA 1 &amp; 2";#N/A,#N/A,TRUE,"FA 3 &amp; 4";#N/A,#N/A,TRUE,"FA 5 &amp; 6";#N/A,#N/A,TRUE,"FA 7 &amp; 8";#N/A,#N/A,TRUE,"FA 9 &amp; 10";#N/A,#N/A,TRUE,"FA 11";#N/A,#N/A,TRUE,"FA 12";#N/A,#N/A,TRUE,"FA 13";#N/A,#N/A,TRUE,"FA 14 &amp; 15"}</definedName>
    <definedName name="zpo" localSheetId="6" hidden="1">{#N/A,#N/A,TRUE,"Provisions and pensions";#N/A,#N/A,TRUE,"AMP";#N/A,#N/A,TRUE,"Debt";#N/A,#N/A,TRUE,"WC";#N/A,#N/A,TRUE,"Cash";#N/A,#N/A,TRUE,"Divis";#N/A,#N/A,TRUE,"Tax";#N/A,#N/A,TRUE,"Losses and ACT";#N/A,#N/A,TRUE,"Profit uplifts";#N/A,#N/A,TRUE,"Enhancement data"}</definedName>
    <definedName name="zpo" hidden="1">{#N/A,#N/A,TRUE,"Provisions and pensions";#N/A,#N/A,TRUE,"AMP";#N/A,#N/A,TRUE,"Debt";#N/A,#N/A,TRUE,"WC";#N/A,#N/A,TRUE,"Cash";#N/A,#N/A,TRUE,"Divis";#N/A,#N/A,TRUE,"Tax";#N/A,#N/A,TRUE,"Losses and ACT";#N/A,#N/A,TRUE,"Profit uplifts";#N/A,#N/A,TRUE,"Enhancement data"}</definedName>
    <definedName name="zpoiuer" localSheetId="0" hidden="1">{#N/A,#N/A,TRUE,"Sensonic";#N/A,#N/A,TRUE,"Combimeter";#N/A,#N/A,TRUE,"HKV";#N/A,#N/A,TRUE,"TV";#N/A,#N/A,TRUE,"WZ";#N/A,#N/A,TRUE,"PrepHeatCon";#N/A,#N/A,TRUE,"Sonstiges";#N/A,#N/A,TRUE,"Abrechnung";#N/A,#N/A,TRUE,"Investitionen";#N/A,#N/A,TRUE,"Personal";#N/A,#N/A,TRUE,"sonstige Kosten u. Erträge";#N/A,#N/A,TRUE,"BER";#N/A,#N/A,TRUE,"Monatsaufteilung Budget 1997"}</definedName>
    <definedName name="zpoiuer" localSheetId="6" hidden="1">{#N/A,#N/A,TRUE,"Sensonic";#N/A,#N/A,TRUE,"Combimeter";#N/A,#N/A,TRUE,"HKV";#N/A,#N/A,TRUE,"TV";#N/A,#N/A,TRUE,"WZ";#N/A,#N/A,TRUE,"PrepHeatCon";#N/A,#N/A,TRUE,"Sonstiges";#N/A,#N/A,TRUE,"Abrechnung";#N/A,#N/A,TRUE,"Investitionen";#N/A,#N/A,TRUE,"Personal";#N/A,#N/A,TRUE,"sonstige Kosten u. Erträge";#N/A,#N/A,TRUE,"BER";#N/A,#N/A,TRUE,"Monatsaufteilung Budget 1997"}</definedName>
    <definedName name="zpoiuer" hidden="1">{#N/A,#N/A,TRUE,"Sensonic";#N/A,#N/A,TRUE,"Combimeter";#N/A,#N/A,TRUE,"HKV";#N/A,#N/A,TRUE,"TV";#N/A,#N/A,TRUE,"WZ";#N/A,#N/A,TRUE,"PrepHeatCon";#N/A,#N/A,TRUE,"Sonstiges";#N/A,#N/A,TRUE,"Abrechnung";#N/A,#N/A,TRUE,"Investitionen";#N/A,#N/A,TRUE,"Personal";#N/A,#N/A,TRUE,"sonstige Kosten u. Erträge";#N/A,#N/A,TRUE,"BER";#N/A,#N/A,TRUE,"Monatsaufteilung Budget 1997"}</definedName>
    <definedName name="zse" localSheetId="6"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se_1" localSheetId="6" hidden="1">{#N/A,#N/A,FALSE,"SumG";#N/A,#N/A,FALSE,"ElecG";#N/A,#N/A,FALSE,"MechG";#N/A,#N/A,FALSE,"GeotG";#N/A,#N/A,FALSE,"PrcsG";#N/A,#N/A,FALSE,"TunnG";#N/A,#N/A,FALSE,"CivlG";#N/A,#N/A,FALSE,"NtwkG";#N/A,#N/A,FALSE,"EstgG";#N/A,#N/A,FALSE,"PEngG"}</definedName>
    <definedName name="zse_1" hidden="1">{#N/A,#N/A,FALSE,"SumG";#N/A,#N/A,FALSE,"ElecG";#N/A,#N/A,FALSE,"MechG";#N/A,#N/A,FALSE,"GeotG";#N/A,#N/A,FALSE,"PrcsG";#N/A,#N/A,FALSE,"TunnG";#N/A,#N/A,FALSE,"CivlG";#N/A,#N/A,FALSE,"NtwkG";#N/A,#N/A,FALSE,"EstgG";#N/A,#N/A,FALSE,"PEngG"}</definedName>
    <definedName name="ZSZ"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_1"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_1"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1_1"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2"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2"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2"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3"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3"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3"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4"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4"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4"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5" localSheetId="0"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5" localSheetId="6"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SZ_5" hidden="1">{#N/A,#N/A,FALSE,"Phar";#N/A,#N/A,FALSE,"Card";#N/A,#N/A,FALSE,"Prav";#N/A,#N/A,FALSE,"Irbe";#N/A,#N/A,FALSE,"Plavix";#N/A,#N/A,FALSE,"Capt";#N/A,#N/A,FALSE,"Fosi";#N/A,#N/A,FALSE,"Anti";#N/A,#N/A,FALSE,"Cefa";#N/A,#N/A,FALSE,"Ceph";#N/A,#N/A,FALSE,"Cefp";#N/A,#N/A,FALSE,"Cefe";#N/A,#N/A,FALSE,"Pens";#N/A,#N/A,FALSE,"Ampi";#N/A,#N/A,FALSE,"Amox";#N/A,#N/A,FALSE,"Isox";#N/A,#N/A,FALSE,"Aztr";#N/A,#N/A,FALSE,"Videx";#N/A,#N/A,FALSE,"Zerit";#N/A,#N/A,FALSE,"CNS";#N/A,#N/A,FALSE,"Serz";#N/A,#N/A,FALSE,"Onco";#N/A,#N/A,FALSE,"Taxol";#N/A,#N/A,FALSE,"UFT";#N/A,#N/A,FALSE,"Carb";#N/A,#N/A,FALSE,"Derm";#N/A,#N/A,FALSE,"Other";#N/A,#N/A,FALSE,"Ace"}</definedName>
    <definedName name="ztax" localSheetId="0"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tax" localSheetId="6"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tax" hidden="1">{"Tax01a",#N/A,FALSE,"4";"Tax01b",#N/A,FALSE,"4";"Tax02",#N/A,FALSE,"4";"Tax03",#N/A,FALSE,"4";"Tax04",#N/A,FALSE,"4";"Tax05",#N/A,FALSE,"4";"Tax06",#N/A,FALSE,"4";"Tax07",#N/A,FALSE,"4";"Tax08",#N/A,FALSE,"4";"Tax09",#N/A,FALSE,"4";"Tax10",#N/A,FALSE,"4";"Tax11",#N/A,FALSE,"4";"Tax12",#N/A,FALSE,"4";"Tax13",#N/A,FALSE,"4";"Tax14",#N/A,FALSE,"4";"Tax15",#N/A,FALSE,"4";"Tax16",#N/A,FALSE,"4";"Tax17",#N/A,FALSE,"4";"Tax18",#N/A,FALSE,"4"}</definedName>
    <definedName name="ZWX" localSheetId="0" hidden="1">{#N/A,#N/A,FALSE,"Tabl. A1";#N/A,#N/A,FALSE,"Tabl. A1 b";#N/A,#N/A,FALSE,"Tabl. A2";#N/A,#N/A,FALSE,"Tabl. A2-1";#N/A,#N/A,FALSE,"Tabl. A2-2"}</definedName>
    <definedName name="ZWX" localSheetId="6" hidden="1">{#N/A,#N/A,FALSE,"Tabl. A1";#N/A,#N/A,FALSE,"Tabl. A1 b";#N/A,#N/A,FALSE,"Tabl. A2";#N/A,#N/A,FALSE,"Tabl. A2-1";#N/A,#N/A,FALSE,"Tabl. A2-2"}</definedName>
    <definedName name="ZWX" hidden="1">{#N/A,#N/A,FALSE,"Tabl. A1";#N/A,#N/A,FALSE,"Tabl. A1 b";#N/A,#N/A,FALSE,"Tabl. A2";#N/A,#N/A,FALSE,"Tabl. A2-1";#N/A,#N/A,FALSE,"Tabl. A2-2"}</definedName>
    <definedName name="zx" localSheetId="0" hidden="1">{"DECIMAL",#N/A,FALSE,"02"}</definedName>
    <definedName name="zx" localSheetId="6" hidden="1">{"DECIMAL",#N/A,FALSE,"02"}</definedName>
    <definedName name="zx" hidden="1">{"DECIMAL",#N/A,FALSE,"02"}</definedName>
    <definedName name="zxc" localSheetId="0" hidden="1">{#N/A,#N/A,FALSE,"PROFIT 11-95"}</definedName>
    <definedName name="zxc" localSheetId="6" hidden="1">{#N/A,#N/A,FALSE,"PROFIT 11-95"}</definedName>
    <definedName name="zxc" hidden="1">{#N/A,#N/A,FALSE,"PROFIT 11-95"}</definedName>
    <definedName name="zxdvzdv" localSheetId="6" hidden="1">{#N/A,#N/A,TRUE,"Cover";#N/A,#N/A,TRUE,"Conts";#N/A,#N/A,TRUE,"VOS";#N/A,#N/A,TRUE,"Warrington";#N/A,#N/A,TRUE,"Widnes"}</definedName>
    <definedName name="zxdvzdv" hidden="1">{#N/A,#N/A,TRUE,"Cover";#N/A,#N/A,TRUE,"Conts";#N/A,#N/A,TRUE,"VOS";#N/A,#N/A,TRUE,"Warrington";#N/A,#N/A,TRUE,"Widnes"}</definedName>
    <definedName name="zxdvzdv_1" localSheetId="6" hidden="1">{#N/A,#N/A,TRUE,"Cover";#N/A,#N/A,TRUE,"Conts";#N/A,#N/A,TRUE,"VOS";#N/A,#N/A,TRUE,"Warrington";#N/A,#N/A,TRUE,"Widnes"}</definedName>
    <definedName name="zxdvzdv_1" hidden="1">{#N/A,#N/A,TRUE,"Cover";#N/A,#N/A,TRUE,"Conts";#N/A,#N/A,TRUE,"VOS";#N/A,#N/A,TRUE,"Warrington";#N/A,#N/A,TRUE,"Widnes"}</definedName>
    <definedName name="zz" hidden="1">#REF!</definedName>
    <definedName name="zz_1" localSheetId="0" hidden="1">{#N/A,#N/A,FALSE,"KA CH  (2)"}</definedName>
    <definedName name="zz_1" localSheetId="6" hidden="1">{#N/A,#N/A,FALSE,"KA CH  (2)"}</definedName>
    <definedName name="zz_1" hidden="1">{#N/A,#N/A,FALSE,"KA CH  (2)"}</definedName>
    <definedName name="zz_1_1" localSheetId="0" hidden="1">{#N/A,#N/A,FALSE,"KA CH  (2)"}</definedName>
    <definedName name="zz_1_1" localSheetId="6" hidden="1">{#N/A,#N/A,FALSE,"KA CH  (2)"}</definedName>
    <definedName name="zz_1_1" hidden="1">{#N/A,#N/A,FALSE,"KA CH  (2)"}</definedName>
    <definedName name="zz_2" localSheetId="0" hidden="1">{#N/A,#N/A,FALSE,"KA CH  (2)"}</definedName>
    <definedName name="zz_2" localSheetId="6" hidden="1">{#N/A,#N/A,FALSE,"KA CH  (2)"}</definedName>
    <definedName name="zz_2" hidden="1">{#N/A,#N/A,FALSE,"KA CH  (2)"}</definedName>
    <definedName name="zz_3" localSheetId="0" hidden="1">{#N/A,#N/A,FALSE,"KA CH  (2)"}</definedName>
    <definedName name="zz_3" localSheetId="6" hidden="1">{#N/A,#N/A,FALSE,"KA CH  (2)"}</definedName>
    <definedName name="zz_3" hidden="1">{#N/A,#N/A,FALSE,"KA CH  (2)"}</definedName>
    <definedName name="zz_4" localSheetId="0" hidden="1">{#N/A,#N/A,FALSE,"KA CH  (2)"}</definedName>
    <definedName name="zz_4" localSheetId="6" hidden="1">{#N/A,#N/A,FALSE,"KA CH  (2)"}</definedName>
    <definedName name="zz_4" hidden="1">{#N/A,#N/A,FALSE,"KA CH  (2)"}</definedName>
    <definedName name="zz_5" localSheetId="0" hidden="1">{#N/A,#N/A,FALSE,"KA CH  (2)"}</definedName>
    <definedName name="zz_5" localSheetId="6" hidden="1">{#N/A,#N/A,FALSE,"KA CH  (2)"}</definedName>
    <definedName name="zz_5" hidden="1">{#N/A,#N/A,FALSE,"KA CH  (2)"}</definedName>
    <definedName name="zza4pg" localSheetId="0" hidden="1">{#N/A,#N/A,FALSE,"REPORT"}</definedName>
    <definedName name="zza4pg" localSheetId="6" hidden="1">{#N/A,#N/A,FALSE,"REPORT"}</definedName>
    <definedName name="zza4pg" hidden="1">{#N/A,#N/A,FALSE,"REPORT"}</definedName>
    <definedName name="zza4pg_1" localSheetId="0" hidden="1">{#N/A,#N/A,FALSE,"REPORT"}</definedName>
    <definedName name="zza4pg_1" localSheetId="6" hidden="1">{#N/A,#N/A,FALSE,"REPORT"}</definedName>
    <definedName name="zza4pg_1" hidden="1">{#N/A,#N/A,FALSE,"REPORT"}</definedName>
    <definedName name="zza4pg_1_1" localSheetId="0" hidden="1">{#N/A,#N/A,FALSE,"REPORT"}</definedName>
    <definedName name="zza4pg_1_1" localSheetId="6" hidden="1">{#N/A,#N/A,FALSE,"REPORT"}</definedName>
    <definedName name="zza4pg_1_1" hidden="1">{#N/A,#N/A,FALSE,"REPORT"}</definedName>
    <definedName name="zza4pg_2" localSheetId="0" hidden="1">{#N/A,#N/A,FALSE,"REPORT"}</definedName>
    <definedName name="zza4pg_2" localSheetId="6" hidden="1">{#N/A,#N/A,FALSE,"REPORT"}</definedName>
    <definedName name="zza4pg_2" hidden="1">{#N/A,#N/A,FALSE,"REPORT"}</definedName>
    <definedName name="zza4pg_3" localSheetId="0" hidden="1">{#N/A,#N/A,FALSE,"REPORT"}</definedName>
    <definedName name="zza4pg_3" localSheetId="6" hidden="1">{#N/A,#N/A,FALSE,"REPORT"}</definedName>
    <definedName name="zza4pg_3" hidden="1">{#N/A,#N/A,FALSE,"REPORT"}</definedName>
    <definedName name="zza4pg_4" localSheetId="0" hidden="1">{#N/A,#N/A,FALSE,"REPORT"}</definedName>
    <definedName name="zza4pg_4" localSheetId="6" hidden="1">{#N/A,#N/A,FALSE,"REPORT"}</definedName>
    <definedName name="zza4pg_4" hidden="1">{#N/A,#N/A,FALSE,"REPORT"}</definedName>
    <definedName name="zza4pg_5" localSheetId="0" hidden="1">{#N/A,#N/A,FALSE,"REPORT"}</definedName>
    <definedName name="zza4pg_5" localSheetId="6" hidden="1">{#N/A,#N/A,FALSE,"REPORT"}</definedName>
    <definedName name="zza4pg_5" hidden="1">{#N/A,#N/A,FALSE,"REPORT"}</definedName>
    <definedName name="zzee" localSheetId="0" hidden="1">{#N/A,#N/A,FALSE,"Pharm";#N/A,#N/A,FALSE,"WWCM"}</definedName>
    <definedName name="zzee" localSheetId="6" hidden="1">{#N/A,#N/A,FALSE,"Pharm";#N/A,#N/A,FALSE,"WWCM"}</definedName>
    <definedName name="zzee" hidden="1">{#N/A,#N/A,FALSE,"Pharm";#N/A,#N/A,FALSE,"WWCM"}</definedName>
    <definedName name="zzee_1" localSheetId="0" hidden="1">{#N/A,#N/A,FALSE,"Pharm";#N/A,#N/A,FALSE,"WWCM"}</definedName>
    <definedName name="zzee_1" localSheetId="6" hidden="1">{#N/A,#N/A,FALSE,"Pharm";#N/A,#N/A,FALSE,"WWCM"}</definedName>
    <definedName name="zzee_1" hidden="1">{#N/A,#N/A,FALSE,"Pharm";#N/A,#N/A,FALSE,"WWCM"}</definedName>
    <definedName name="zzee_1_1" localSheetId="0" hidden="1">{#N/A,#N/A,FALSE,"Pharm";#N/A,#N/A,FALSE,"WWCM"}</definedName>
    <definedName name="zzee_1_1" localSheetId="6" hidden="1">{#N/A,#N/A,FALSE,"Pharm";#N/A,#N/A,FALSE,"WWCM"}</definedName>
    <definedName name="zzee_1_1" hidden="1">{#N/A,#N/A,FALSE,"Pharm";#N/A,#N/A,FALSE,"WWCM"}</definedName>
    <definedName name="zzee_2" localSheetId="0" hidden="1">{#N/A,#N/A,FALSE,"Pharm";#N/A,#N/A,FALSE,"WWCM"}</definedName>
    <definedName name="zzee_2" localSheetId="6" hidden="1">{#N/A,#N/A,FALSE,"Pharm";#N/A,#N/A,FALSE,"WWCM"}</definedName>
    <definedName name="zzee_2" hidden="1">{#N/A,#N/A,FALSE,"Pharm";#N/A,#N/A,FALSE,"WWCM"}</definedName>
    <definedName name="zzee_3" localSheetId="0" hidden="1">{#N/A,#N/A,FALSE,"Pharm";#N/A,#N/A,FALSE,"WWCM"}</definedName>
    <definedName name="zzee_3" localSheetId="6" hidden="1">{#N/A,#N/A,FALSE,"Pharm";#N/A,#N/A,FALSE,"WWCM"}</definedName>
    <definedName name="zzee_3" hidden="1">{#N/A,#N/A,FALSE,"Pharm";#N/A,#N/A,FALSE,"WWCM"}</definedName>
    <definedName name="zzee_4" localSheetId="0" hidden="1">{#N/A,#N/A,FALSE,"Pharm";#N/A,#N/A,FALSE,"WWCM"}</definedName>
    <definedName name="zzee_4" localSheetId="6" hidden="1">{#N/A,#N/A,FALSE,"Pharm";#N/A,#N/A,FALSE,"WWCM"}</definedName>
    <definedName name="zzee_4" hidden="1">{#N/A,#N/A,FALSE,"Pharm";#N/A,#N/A,FALSE,"WWCM"}</definedName>
    <definedName name="zzee_5" localSheetId="0" hidden="1">{#N/A,#N/A,FALSE,"Pharm";#N/A,#N/A,FALSE,"WWCM"}</definedName>
    <definedName name="zzee_5" localSheetId="6" hidden="1">{#N/A,#N/A,FALSE,"Pharm";#N/A,#N/A,FALSE,"WWCM"}</definedName>
    <definedName name="zzee_5" hidden="1">{#N/A,#N/A,FALSE,"Pharm";#N/A,#N/A,FALSE,"WWCM"}</definedName>
    <definedName name="zzi.7"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1_1"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1_1"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1_1"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2"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2"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2"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3"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3"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3"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4"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4"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4"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5" localSheetId="0"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5" localSheetId="6"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i.7_5" hidden="1">{#N/A,#N/A,FALSE,"Rohstoffnotierungen";#N/A,#N/A,FALSE,"Umsatz OPE";#N/A,#N/A,FALSE,"ER HCST Erw. 99";#N/A,#N/A,FALSE,"ER HCST Plan 00";#N/A,#N/A,FALSE,"Umsatz KG";#N/A,#N/A,FALSE,"ER HCST";#N/A,#N/A,FALSE,"EA ST (2)";#N/A,#N/A,FALSE,"EA ST";#N/A,#N/A,FALSE,"EA ST (3)";#N/A,#N/A,FALSE,"EA ST (4)";#N/A,#N/A,FALSE,"KA ST  (2)";#N/A,#N/A,FALSE,"KA ST";#N/A,#N/A,FALSE,"KA ST  (3)";#N/A,#N/A,FALSE,"KA ST (4)"}</definedName>
    <definedName name="zzz">#REF!</definedName>
    <definedName name="zzz_1" localSheetId="0" hidden="1">{#N/A,#N/A,FALSE,"Umsatz CH";#N/A,#N/A,FALSE,"ER CH";#N/A,#N/A,FALSE,"EA CH (2) ";#N/A,#N/A,FALSE,"EA CH";#N/A,#N/A,FALSE,"EA CH (3) ";#N/A,#N/A,FALSE,"EA CH (4)";#N/A,#N/A,FALSE,"KA CH";#N/A,#N/A,FALSE,"KA CH  (2)";#N/A,#N/A,FALSE,"KA CH  (3)";#N/A,#N/A,FALSE,"KA CH (4)"}</definedName>
    <definedName name="zzz_1" localSheetId="6" hidden="1">{#N/A,#N/A,FALSE,"Umsatz CH";#N/A,#N/A,FALSE,"ER CH";#N/A,#N/A,FALSE,"EA CH (2) ";#N/A,#N/A,FALSE,"EA CH";#N/A,#N/A,FALSE,"EA CH (3) ";#N/A,#N/A,FALSE,"EA CH (4)";#N/A,#N/A,FALSE,"KA CH";#N/A,#N/A,FALSE,"KA CH  (2)";#N/A,#N/A,FALSE,"KA CH  (3)";#N/A,#N/A,FALSE,"KA CH (4)"}</definedName>
    <definedName name="zzz_1" hidden="1">{#N/A,#N/A,FALSE,"Umsatz CH";#N/A,#N/A,FALSE,"ER CH";#N/A,#N/A,FALSE,"EA CH (2) ";#N/A,#N/A,FALSE,"EA CH";#N/A,#N/A,FALSE,"EA CH (3) ";#N/A,#N/A,FALSE,"EA CH (4)";#N/A,#N/A,FALSE,"KA CH";#N/A,#N/A,FALSE,"KA CH  (2)";#N/A,#N/A,FALSE,"KA CH  (3)";#N/A,#N/A,FALSE,"KA CH (4)"}</definedName>
    <definedName name="zzz_1_1" localSheetId="0" hidden="1">{#N/A,#N/A,FALSE,"Umsatz CH";#N/A,#N/A,FALSE,"ER CH";#N/A,#N/A,FALSE,"EA CH (2) ";#N/A,#N/A,FALSE,"EA CH";#N/A,#N/A,FALSE,"EA CH (3) ";#N/A,#N/A,FALSE,"EA CH (4)";#N/A,#N/A,FALSE,"KA CH";#N/A,#N/A,FALSE,"KA CH  (2)";#N/A,#N/A,FALSE,"KA CH  (3)";#N/A,#N/A,FALSE,"KA CH (4)"}</definedName>
    <definedName name="zzz_1_1" localSheetId="6" hidden="1">{#N/A,#N/A,FALSE,"Umsatz CH";#N/A,#N/A,FALSE,"ER CH";#N/A,#N/A,FALSE,"EA CH (2) ";#N/A,#N/A,FALSE,"EA CH";#N/A,#N/A,FALSE,"EA CH (3) ";#N/A,#N/A,FALSE,"EA CH (4)";#N/A,#N/A,FALSE,"KA CH";#N/A,#N/A,FALSE,"KA CH  (2)";#N/A,#N/A,FALSE,"KA CH  (3)";#N/A,#N/A,FALSE,"KA CH (4)"}</definedName>
    <definedName name="zzz_1_1" hidden="1">{#N/A,#N/A,FALSE,"Umsatz CH";#N/A,#N/A,FALSE,"ER CH";#N/A,#N/A,FALSE,"EA CH (2) ";#N/A,#N/A,FALSE,"EA CH";#N/A,#N/A,FALSE,"EA CH (3) ";#N/A,#N/A,FALSE,"EA CH (4)";#N/A,#N/A,FALSE,"KA CH";#N/A,#N/A,FALSE,"KA CH  (2)";#N/A,#N/A,FALSE,"KA CH  (3)";#N/A,#N/A,FALSE,"KA CH (4)"}</definedName>
    <definedName name="zzz_2" localSheetId="0" hidden="1">{#N/A,#N/A,FALSE,"Umsatz CH";#N/A,#N/A,FALSE,"ER CH";#N/A,#N/A,FALSE,"EA CH (2) ";#N/A,#N/A,FALSE,"EA CH";#N/A,#N/A,FALSE,"EA CH (3) ";#N/A,#N/A,FALSE,"EA CH (4)";#N/A,#N/A,FALSE,"KA CH";#N/A,#N/A,FALSE,"KA CH  (2)";#N/A,#N/A,FALSE,"KA CH  (3)";#N/A,#N/A,FALSE,"KA CH (4)"}</definedName>
    <definedName name="zzz_2" localSheetId="6" hidden="1">{#N/A,#N/A,FALSE,"Umsatz CH";#N/A,#N/A,FALSE,"ER CH";#N/A,#N/A,FALSE,"EA CH (2) ";#N/A,#N/A,FALSE,"EA CH";#N/A,#N/A,FALSE,"EA CH (3) ";#N/A,#N/A,FALSE,"EA CH (4)";#N/A,#N/A,FALSE,"KA CH";#N/A,#N/A,FALSE,"KA CH  (2)";#N/A,#N/A,FALSE,"KA CH  (3)";#N/A,#N/A,FALSE,"KA CH (4)"}</definedName>
    <definedName name="zzz_2" hidden="1">{#N/A,#N/A,FALSE,"Umsatz CH";#N/A,#N/A,FALSE,"ER CH";#N/A,#N/A,FALSE,"EA CH (2) ";#N/A,#N/A,FALSE,"EA CH";#N/A,#N/A,FALSE,"EA CH (3) ";#N/A,#N/A,FALSE,"EA CH (4)";#N/A,#N/A,FALSE,"KA CH";#N/A,#N/A,FALSE,"KA CH  (2)";#N/A,#N/A,FALSE,"KA CH  (3)";#N/A,#N/A,FALSE,"KA CH (4)"}</definedName>
    <definedName name="zzz_3" localSheetId="0" hidden="1">{#N/A,#N/A,FALSE,"Umsatz CH";#N/A,#N/A,FALSE,"ER CH";#N/A,#N/A,FALSE,"EA CH (2) ";#N/A,#N/A,FALSE,"EA CH";#N/A,#N/A,FALSE,"EA CH (3) ";#N/A,#N/A,FALSE,"EA CH (4)";#N/A,#N/A,FALSE,"KA CH";#N/A,#N/A,FALSE,"KA CH  (2)";#N/A,#N/A,FALSE,"KA CH  (3)";#N/A,#N/A,FALSE,"KA CH (4)"}</definedName>
    <definedName name="zzz_3" localSheetId="6" hidden="1">{#N/A,#N/A,FALSE,"Umsatz CH";#N/A,#N/A,FALSE,"ER CH";#N/A,#N/A,FALSE,"EA CH (2) ";#N/A,#N/A,FALSE,"EA CH";#N/A,#N/A,FALSE,"EA CH (3) ";#N/A,#N/A,FALSE,"EA CH (4)";#N/A,#N/A,FALSE,"KA CH";#N/A,#N/A,FALSE,"KA CH  (2)";#N/A,#N/A,FALSE,"KA CH  (3)";#N/A,#N/A,FALSE,"KA CH (4)"}</definedName>
    <definedName name="zzz_3" hidden="1">{#N/A,#N/A,FALSE,"Umsatz CH";#N/A,#N/A,FALSE,"ER CH";#N/A,#N/A,FALSE,"EA CH (2) ";#N/A,#N/A,FALSE,"EA CH";#N/A,#N/A,FALSE,"EA CH (3) ";#N/A,#N/A,FALSE,"EA CH (4)";#N/A,#N/A,FALSE,"KA CH";#N/A,#N/A,FALSE,"KA CH  (2)";#N/A,#N/A,FALSE,"KA CH  (3)";#N/A,#N/A,FALSE,"KA CH (4)"}</definedName>
    <definedName name="zzz_4" localSheetId="0" hidden="1">{#N/A,#N/A,FALSE,"Umsatz CH";#N/A,#N/A,FALSE,"ER CH";#N/A,#N/A,FALSE,"EA CH (2) ";#N/A,#N/A,FALSE,"EA CH";#N/A,#N/A,FALSE,"EA CH (3) ";#N/A,#N/A,FALSE,"EA CH (4)";#N/A,#N/A,FALSE,"KA CH";#N/A,#N/A,FALSE,"KA CH  (2)";#N/A,#N/A,FALSE,"KA CH  (3)";#N/A,#N/A,FALSE,"KA CH (4)"}</definedName>
    <definedName name="zzz_4" localSheetId="6" hidden="1">{#N/A,#N/A,FALSE,"Umsatz CH";#N/A,#N/A,FALSE,"ER CH";#N/A,#N/A,FALSE,"EA CH (2) ";#N/A,#N/A,FALSE,"EA CH";#N/A,#N/A,FALSE,"EA CH (3) ";#N/A,#N/A,FALSE,"EA CH (4)";#N/A,#N/A,FALSE,"KA CH";#N/A,#N/A,FALSE,"KA CH  (2)";#N/A,#N/A,FALSE,"KA CH  (3)";#N/A,#N/A,FALSE,"KA CH (4)"}</definedName>
    <definedName name="zzz_4" hidden="1">{#N/A,#N/A,FALSE,"Umsatz CH";#N/A,#N/A,FALSE,"ER CH";#N/A,#N/A,FALSE,"EA CH (2) ";#N/A,#N/A,FALSE,"EA CH";#N/A,#N/A,FALSE,"EA CH (3) ";#N/A,#N/A,FALSE,"EA CH (4)";#N/A,#N/A,FALSE,"KA CH";#N/A,#N/A,FALSE,"KA CH  (2)";#N/A,#N/A,FALSE,"KA CH  (3)";#N/A,#N/A,FALSE,"KA CH (4)"}</definedName>
    <definedName name="zzz_5" localSheetId="0" hidden="1">{#N/A,#N/A,FALSE,"Umsatz CH";#N/A,#N/A,FALSE,"ER CH";#N/A,#N/A,FALSE,"EA CH (2) ";#N/A,#N/A,FALSE,"EA CH";#N/A,#N/A,FALSE,"EA CH (3) ";#N/A,#N/A,FALSE,"EA CH (4)";#N/A,#N/A,FALSE,"KA CH";#N/A,#N/A,FALSE,"KA CH  (2)";#N/A,#N/A,FALSE,"KA CH  (3)";#N/A,#N/A,FALSE,"KA CH (4)"}</definedName>
    <definedName name="zzz_5" localSheetId="6" hidden="1">{#N/A,#N/A,FALSE,"Umsatz CH";#N/A,#N/A,FALSE,"ER CH";#N/A,#N/A,FALSE,"EA CH (2) ";#N/A,#N/A,FALSE,"EA CH";#N/A,#N/A,FALSE,"EA CH (3) ";#N/A,#N/A,FALSE,"EA CH (4)";#N/A,#N/A,FALSE,"KA CH";#N/A,#N/A,FALSE,"KA CH  (2)";#N/A,#N/A,FALSE,"KA CH  (3)";#N/A,#N/A,FALSE,"KA CH (4)"}</definedName>
    <definedName name="zzz_5" hidden="1">{#N/A,#N/A,FALSE,"Umsatz CH";#N/A,#N/A,FALSE,"ER CH";#N/A,#N/A,FALSE,"EA CH (2) ";#N/A,#N/A,FALSE,"EA CH";#N/A,#N/A,FALSE,"EA CH (3) ";#N/A,#N/A,FALSE,"EA CH (4)";#N/A,#N/A,FALSE,"KA CH";#N/A,#N/A,FALSE,"KA CH  (2)";#N/A,#N/A,FALSE,"KA CH  (3)";#N/A,#N/A,FALSE,"KA CH (4)"}</definedName>
    <definedName name="ZZZ1" hidden="1">#REF!</definedName>
    <definedName name="ZZZ2" hidden="1">#REF!</definedName>
    <definedName name="ZZZ3" hidden="1">#REF!</definedName>
    <definedName name="zzz4" hidden="1">#REF!</definedName>
    <definedName name="zzz5" hidden="1">#REF!</definedName>
    <definedName name="zzz6" hidden="1">#REF!</definedName>
    <definedName name="zzz7" hidden="1">#REF!</definedName>
    <definedName name="ZZZA" localSheetId="0" hidden="1">{"equity comps",#N/A,FALSE,"CS Comps";"equity comps",#N/A,FALSE,"PS Comps";"equity comps",#N/A,FALSE,"GIC_Comps";"equity comps",#N/A,FALSE,"GIC2_Comps";"debt comps",#N/A,FALSE,"CS Comps";"debt comps",#N/A,FALSE,"PS Comps";"debt comps",#N/A,FALSE,"GIC_Comps";"debt comps",#N/A,FALSE,"GIC2_Comps"}</definedName>
    <definedName name="ZZZA" localSheetId="6" hidden="1">{"equity comps",#N/A,FALSE,"CS Comps";"equity comps",#N/A,FALSE,"PS Comps";"equity comps",#N/A,FALSE,"GIC_Comps";"equity comps",#N/A,FALSE,"GIC2_Comps";"debt comps",#N/A,FALSE,"CS Comps";"debt comps",#N/A,FALSE,"PS Comps";"debt comps",#N/A,FALSE,"GIC_Comps";"debt comps",#N/A,FALSE,"GIC2_Comps"}</definedName>
    <definedName name="ZZZA" hidden="1">{"equity comps",#N/A,FALSE,"CS Comps";"equity comps",#N/A,FALSE,"PS Comps";"equity comps",#N/A,FALSE,"GIC_Comps";"equity comps",#N/A,FALSE,"GIC2_Comps";"debt comps",#N/A,FALSE,"CS Comps";"debt comps",#N/A,FALSE,"PS Comps";"debt comps",#N/A,FALSE,"GIC_Comps";"debt comps",#N/A,FALSE,"GIC2_Comps"}</definedName>
    <definedName name="zzzz" localSheetId="0" hidden="1">{#N/A,#N/A,FALSE,"Work progress mensile";#N/A,#N/A,FALSE,"Work progress mensile IE1"}</definedName>
    <definedName name="zzzz" localSheetId="6" hidden="1">{#N/A,#N/A,FALSE,"Work progress mensile";#N/A,#N/A,FALSE,"Work progress mensile IE1"}</definedName>
    <definedName name="zzzz" hidden="1">{#N/A,#N/A,FALSE,"Work progress mensile";#N/A,#N/A,FALSE,"Work progress mensile IE1"}</definedName>
    <definedName name="zzzzz" localSheetId="0" hidden="1">{#N/A,#N/A,FALSE,"REPORT"}</definedName>
    <definedName name="zzzzz" localSheetId="6" hidden="1">{#N/A,#N/A,FALSE,"REPORT"}</definedName>
    <definedName name="zzzzz" hidden="1">{#N/A,#N/A,FALSE,"REPORT"}</definedName>
    <definedName name="zzzzz_1" localSheetId="0" hidden="1">{#N/A,#N/A,FALSE,"REPORT"}</definedName>
    <definedName name="zzzzz_1" localSheetId="6" hidden="1">{#N/A,#N/A,FALSE,"REPORT"}</definedName>
    <definedName name="zzzzz_1" hidden="1">{#N/A,#N/A,FALSE,"REPORT"}</definedName>
    <definedName name="zzzzz_1_1" localSheetId="0" hidden="1">{#N/A,#N/A,FALSE,"REPORT"}</definedName>
    <definedName name="zzzzz_1_1" localSheetId="6" hidden="1">{#N/A,#N/A,FALSE,"REPORT"}</definedName>
    <definedName name="zzzzz_1_1" hidden="1">{#N/A,#N/A,FALSE,"REPORT"}</definedName>
    <definedName name="zzzzz_2" localSheetId="0" hidden="1">{#N/A,#N/A,FALSE,"REPORT"}</definedName>
    <definedName name="zzzzz_2" localSheetId="6" hidden="1">{#N/A,#N/A,FALSE,"REPORT"}</definedName>
    <definedName name="zzzzz_2" hidden="1">{#N/A,#N/A,FALSE,"REPORT"}</definedName>
    <definedName name="zzzzz_3" localSheetId="0" hidden="1">{#N/A,#N/A,FALSE,"REPORT"}</definedName>
    <definedName name="zzzzz_3" localSheetId="6" hidden="1">{#N/A,#N/A,FALSE,"REPORT"}</definedName>
    <definedName name="zzzzz_3" hidden="1">{#N/A,#N/A,FALSE,"REPORT"}</definedName>
    <definedName name="zzzzz_4" localSheetId="0" hidden="1">{#N/A,#N/A,FALSE,"REPORT"}</definedName>
    <definedName name="zzzzz_4" localSheetId="6" hidden="1">{#N/A,#N/A,FALSE,"REPORT"}</definedName>
    <definedName name="zzzzz_4" hidden="1">{#N/A,#N/A,FALSE,"REPORT"}</definedName>
    <definedName name="zzzzz_5" localSheetId="0" hidden="1">{#N/A,#N/A,FALSE,"REPORT"}</definedName>
    <definedName name="zzzzz_5" localSheetId="6" hidden="1">{#N/A,#N/A,FALSE,"REPORT"}</definedName>
    <definedName name="zzzzz_5" hidden="1">{#N/A,#N/A,FALSE,"REPORT"}</definedName>
    <definedName name="zzzzzz" localSheetId="0" hidden="1">{#N/A,#N/A,FALSE,"Work progress mensile";#N/A,#N/A,FALSE,"Work progress mensile IE1"}</definedName>
    <definedName name="zzzzzz" localSheetId="6" hidden="1">{#N/A,#N/A,FALSE,"Work progress mensile";#N/A,#N/A,FALSE,"Work progress mensile IE1"}</definedName>
    <definedName name="zzzzzz" hidden="1">{#N/A,#N/A,FALSE,"Work progress mensile";#N/A,#N/A,FALSE,"Work progress mensile IE1"}</definedName>
    <definedName name="zzzzzzzzz" localSheetId="0" hidden="1">{"'INDICE'!$A$1:$K$13","'1'!$A$1:$CC$78","'2'!$A$1:$P$78","'3'!$A$1:$CI$78","'4'!$A$1:$Q$78"}</definedName>
    <definedName name="zzzzzzzzz" localSheetId="6" hidden="1">{"'INDICE'!$A$1:$K$13","'1'!$A$1:$CC$78","'2'!$A$1:$P$78","'3'!$A$1:$CI$78","'4'!$A$1:$Q$78"}</definedName>
    <definedName name="zzzzzzzzz" hidden="1">{"'INDICE'!$A$1:$K$13","'1'!$A$1:$CC$78","'2'!$A$1:$P$78","'3'!$A$1:$CI$78","'4'!$A$1:$Q$78"}</definedName>
    <definedName name="zzzzzzzzz_1" localSheetId="0" hidden="1">{"'INDICE'!$A$1:$K$13","'1'!$A$1:$CC$78","'2'!$A$1:$P$78","'3'!$A$1:$CI$78","'4'!$A$1:$Q$78"}</definedName>
    <definedName name="zzzzzzzzz_1" localSheetId="6" hidden="1">{"'INDICE'!$A$1:$K$13","'1'!$A$1:$CC$78","'2'!$A$1:$P$78","'3'!$A$1:$CI$78","'4'!$A$1:$Q$78"}</definedName>
    <definedName name="zzzzzzzzz_1" hidden="1">{"'INDICE'!$A$1:$K$13","'1'!$A$1:$CC$78","'2'!$A$1:$P$78","'3'!$A$1:$CI$78","'4'!$A$1:$Q$78"}</definedName>
    <definedName name="ZZZZZZZZZZ" hidden="1">#REF!</definedName>
    <definedName name="ZZZZZZZZZZZZZZZ" localSheetId="0" hidden="1">{#N/A,#N/A,FALSE,"Tabl. FB300";#N/A,#N/A,FALSE,"Tabl. FB350";#N/A,#N/A,FALSE,"Tabl. FB400";#N/A,#N/A,FALSE,"Tabl. FB500";#N/A,#N/A,FALSE,"Tabl. FS090"}</definedName>
    <definedName name="ZZZZZZZZZZZZZZZ" localSheetId="6" hidden="1">{#N/A,#N/A,FALSE,"Tabl. FB300";#N/A,#N/A,FALSE,"Tabl. FB350";#N/A,#N/A,FALSE,"Tabl. FB400";#N/A,#N/A,FALSE,"Tabl. FB500";#N/A,#N/A,FALSE,"Tabl. FS090"}</definedName>
    <definedName name="ZZZZZZZZZZZZZZZ" hidden="1">{#N/A,#N/A,FALSE,"Tabl. FB300";#N/A,#N/A,FALSE,"Tabl. FB350";#N/A,#N/A,FALSE,"Tabl. FB400";#N/A,#N/A,FALSE,"Tabl. FB500";#N/A,#N/A,FALSE,"Tabl. FS090"}</definedName>
    <definedName name="zzzzzzzzzzzzzzzzzzzzzzzzzzzzzzzzzz" hidden="1">#REF!</definedName>
    <definedName name="あ" hidden="1">#REF!</definedName>
    <definedName name="ああああ" hidden="1">#REF!</definedName>
    <definedName name="あああああ" hidden="1">#REF!</definedName>
    <definedName name="ぐ" hidden="1">#REF!</definedName>
    <definedName name="トータル" localSheetId="0" hidden="1">{#N/A,#N/A,FALSE,"Mech";#N/A,#N/A,FALSE,"Body";#N/A,#N/A,FALSE,"Machine";#N/A,#N/A,FALSE,"Forklift";#N/A,#N/A,FALSE,"OtherHC";#N/A,#N/A,FALSE,"Total"}</definedName>
    <definedName name="トータル" localSheetId="6" hidden="1">{#N/A,#N/A,FALSE,"Mech";#N/A,#N/A,FALSE,"Body";#N/A,#N/A,FALSE,"Machine";#N/A,#N/A,FALSE,"Forklift";#N/A,#N/A,FALSE,"OtherHC";#N/A,#N/A,FALSE,"Total"}</definedName>
    <definedName name="トータル" hidden="1">{#N/A,#N/A,FALSE,"Mech";#N/A,#N/A,FALSE,"Body";#N/A,#N/A,FALSE,"Machine";#N/A,#N/A,FALSE,"Forklift";#N/A,#N/A,FALSE,"OtherHC";#N/A,#N/A,FALSE,"Total"}</definedName>
    <definedName name="とと" hidden="1">#REF!</definedName>
    <definedName name="ש" localSheetId="6" hidden="1">{"Balance Sheet",#N/A,FALSE,"Appendix C.F.";"P&amp;L",#N/A,FALSE,"Appendix C.F.";"Equity Q",#N/A,FALSE,"Appendix C.F.";"Equity Anual",#N/A,FALSE,"Appendix C.F.";"Equity $",#N/A,FALSE,"Appendix C.F.";"Cash flow",#N/A,FALSE,"Appendix C.F.";"Appendix C.F.",#N/A,FALSE,"Appendix C.F."}</definedName>
    <definedName name="ש" hidden="1">{"Balance Sheet",#N/A,FALSE,"Appendix C.F.";"P&amp;L",#N/A,FALSE,"Appendix C.F.";"Equity Q",#N/A,FALSE,"Appendix C.F.";"Equity Anual",#N/A,FALSE,"Appendix C.F.";"Equity $",#N/A,FALSE,"Appendix C.F.";"Cash flow",#N/A,FALSE,"Appendix C.F.";"Appendix C.F.",#N/A,FALSE,"Appendix C.F."}</definedName>
    <definedName name="ءء" localSheetId="0" hidden="1">{#N/A,#N/A,TRUE,"PROFIT 11-95"}</definedName>
    <definedName name="ءء" localSheetId="6" hidden="1">{#N/A,#N/A,TRUE,"PROFIT 11-95"}</definedName>
    <definedName name="ءء" hidden="1">{#N/A,#N/A,TRUE,"PROFIT 11-95"}</definedName>
    <definedName name="ءءء" localSheetId="0" hidden="1">{#N/A,#N/A,TRUE,"PROFIT 11-95"}</definedName>
    <definedName name="ءءء" localSheetId="6" hidden="1">{#N/A,#N/A,TRUE,"PROFIT 11-95"}</definedName>
    <definedName name="ءءء" hidden="1">{#N/A,#N/A,TRUE,"PROFIT 11-95"}</definedName>
    <definedName name="ءءءء" localSheetId="0" hidden="1">{#N/A,#N/A,FALSE,"PROFIT 11-95"}</definedName>
    <definedName name="ءءءء" localSheetId="6" hidden="1">{#N/A,#N/A,FALSE,"PROFIT 11-95"}</definedName>
    <definedName name="ءءءء" hidden="1">{#N/A,#N/A,FALSE,"PROFIT 11-95"}</definedName>
    <definedName name="ءؤءؤ" localSheetId="0" hidden="1">{#N/A,#N/A,FALSE,"PROFIT 11-95"}</definedName>
    <definedName name="ءؤءؤ" localSheetId="6" hidden="1">{#N/A,#N/A,FALSE,"PROFIT 11-95"}</definedName>
    <definedName name="ءؤءؤ" hidden="1">{#N/A,#N/A,FALSE,"PROFIT 11-95"}</definedName>
    <definedName name="إجماليات">#REF!</definedName>
    <definedName name="إقفال">#REF!</definedName>
    <definedName name="الدليل">#REF!</definedName>
    <definedName name="القائمة">#REF!</definedName>
    <definedName name="المراكز">#REF!</definedName>
    <definedName name="المصروفات">#REF!</definedName>
    <definedName name="بب" localSheetId="0" hidden="1">{#N/A,#N/A,FALSE,"Mech";#N/A,#N/A,FALSE,"Body";#N/A,#N/A,FALSE,"Machine";#N/A,#N/A,FALSE,"Forklift";#N/A,#N/A,FALSE,"OtherHC";#N/A,#N/A,FALSE,"Total"}</definedName>
    <definedName name="بب" localSheetId="6" hidden="1">{#N/A,#N/A,FALSE,"Mech";#N/A,#N/A,FALSE,"Body";#N/A,#N/A,FALSE,"Machine";#N/A,#N/A,FALSE,"Forklift";#N/A,#N/A,FALSE,"OtherHC";#N/A,#N/A,FALSE,"Total"}</definedName>
    <definedName name="بب" hidden="1">{#N/A,#N/A,FALSE,"Mech";#N/A,#N/A,FALSE,"Body";#N/A,#N/A,FALSE,"Machine";#N/A,#N/A,FALSE,"Forklift";#N/A,#N/A,FALSE,"OtherHC";#N/A,#N/A,FALSE,"Total"}</definedName>
    <definedName name="ببب" hidden="1">#REF!</definedName>
    <definedName name="بببب" localSheetId="0" hidden="1">{#N/A,#N/A,TRUE,"PROFIT 11-95"}</definedName>
    <definedName name="بببب" localSheetId="6" hidden="1">{#N/A,#N/A,TRUE,"PROFIT 11-95"}</definedName>
    <definedName name="بببب" hidden="1">{#N/A,#N/A,TRUE,"PROFIT 11-95"}</definedName>
    <definedName name="برؤ" localSheetId="0" hidden="1">{#N/A,#N/A,FALSE,"CE-Build";#N/A,#N/A,FALSE,"CE-Equ.";#N/A,#N/A,FALSE,"CE-Computer";#N/A,#N/A,FALSE,"CE-BFurn.";#N/A,#N/A,FALSE,"CE-Accom.";#N/A,#N/A,FALSE,"CE-Vehicle";#N/A,#N/A,FALSE,"CE-Total"}</definedName>
    <definedName name="برؤ" localSheetId="6" hidden="1">{#N/A,#N/A,FALSE,"CE-Build";#N/A,#N/A,FALSE,"CE-Equ.";#N/A,#N/A,FALSE,"CE-Computer";#N/A,#N/A,FALSE,"CE-BFurn.";#N/A,#N/A,FALSE,"CE-Accom.";#N/A,#N/A,FALSE,"CE-Vehicle";#N/A,#N/A,FALSE,"CE-Total"}</definedName>
    <definedName name="برؤ" hidden="1">{#N/A,#N/A,FALSE,"CE-Build";#N/A,#N/A,FALSE,"CE-Equ.";#N/A,#N/A,FALSE,"CE-Computer";#N/A,#N/A,FALSE,"CE-BFurn.";#N/A,#N/A,FALSE,"CE-Accom.";#N/A,#N/A,FALSE,"CE-Vehicle";#N/A,#N/A,FALSE,"CE-Total"}</definedName>
    <definedName name="بفق">#REF!</definedName>
    <definedName name="بؤرء" localSheetId="0" hidden="1">{#N/A,#N/A,FALSE,"PROFIT 11-95"}</definedName>
    <definedName name="بؤرء" localSheetId="6" hidden="1">{#N/A,#N/A,FALSE,"PROFIT 11-95"}</definedName>
    <definedName name="بؤرء" hidden="1">{#N/A,#N/A,FALSE,"PROFIT 11-95"}</definedName>
    <definedName name="بيانات">#REF!</definedName>
    <definedName name="رقق" localSheetId="0" hidden="1">{#N/A,#N/A,FALSE,"Mech";#N/A,#N/A,FALSE,"Body";#N/A,#N/A,FALSE,"Machine";#N/A,#N/A,FALSE,"Forklift";#N/A,#N/A,FALSE,"OtherHC";#N/A,#N/A,FALSE,"Total"}</definedName>
    <definedName name="رقق" localSheetId="6" hidden="1">{#N/A,#N/A,FALSE,"Mech";#N/A,#N/A,FALSE,"Body";#N/A,#N/A,FALSE,"Machine";#N/A,#N/A,FALSE,"Forklift";#N/A,#N/A,FALSE,"OtherHC";#N/A,#N/A,FALSE,"Total"}</definedName>
    <definedName name="رقق" hidden="1">{#N/A,#N/A,FALSE,"Mech";#N/A,#N/A,FALSE,"Body";#N/A,#N/A,FALSE,"Machine";#N/A,#N/A,FALSE,"Forklift";#N/A,#N/A,FALSE,"OtherHC";#N/A,#N/A,FALSE,"Total"}</definedName>
    <definedName name="ز">#REF!</definedName>
    <definedName name="سس" localSheetId="0" hidden="1">{#N/A,#N/A,FALSE,"PROFIT 11-95"}</definedName>
    <definedName name="سس" localSheetId="6" hidden="1">{#N/A,#N/A,FALSE,"PROFIT 11-95"}</definedName>
    <definedName name="سس" hidden="1">{#N/A,#N/A,FALSE,"PROFIT 11-95"}</definedName>
    <definedName name="ش" localSheetId="0" hidden="1">{#N/A,#N/A,FALSE,"PROFIT 11-95"}</definedName>
    <definedName name="ش" localSheetId="6" hidden="1">{#N/A,#N/A,FALSE,"PROFIT 11-95"}</definedName>
    <definedName name="ش" hidden="1">{#N/A,#N/A,FALSE,"PROFIT 11-95"}</definedName>
    <definedName name="شش" localSheetId="0" hidden="1">{#N/A,#N/A,FALSE,"PROFIT 11-95"}</definedName>
    <definedName name="شش" localSheetId="6" hidden="1">{#N/A,#N/A,FALSE,"PROFIT 11-95"}</definedName>
    <definedName name="شش" hidden="1">{#N/A,#N/A,FALSE,"PROFIT 11-95"}</definedName>
    <definedName name="شش1032">#REF!</definedName>
    <definedName name="غ">#REF!</definedName>
    <definedName name="ل78">#REF!</definedName>
    <definedName name="لائ205">#REF!</definedName>
    <definedName name="ؤءؤ" localSheetId="0" hidden="1">{#N/A,#N/A,FALSE,"PA";#N/A,#N/A,FALSE,"PA"}</definedName>
    <definedName name="ؤءؤ" localSheetId="6" hidden="1">{#N/A,#N/A,FALSE,"PA";#N/A,#N/A,FALSE,"PA"}</definedName>
    <definedName name="ؤءؤ" hidden="1">{#N/A,#N/A,FALSE,"PA";#N/A,#N/A,FALSE,"PA"}</definedName>
    <definedName name="ؤبؤ" localSheetId="0" hidden="1">{#N/A,#N/A,TRUE,"PROFIT 11-95"}</definedName>
    <definedName name="ؤبؤ" localSheetId="6" hidden="1">{#N/A,#N/A,TRUE,"PROFIT 11-95"}</definedName>
    <definedName name="ؤبؤ" hidden="1">{#N/A,#N/A,TRUE,"PROFIT 11-95"}</definedName>
    <definedName name="ؤبي" localSheetId="0" hidden="1">{#N/A,#N/A,TRUE,"PROFIT 11-95"}</definedName>
    <definedName name="ؤبي" localSheetId="6" hidden="1">{#N/A,#N/A,TRUE,"PROFIT 11-95"}</definedName>
    <definedName name="ؤبي" hidden="1">{#N/A,#N/A,TRUE,"PROFIT 11-95"}</definedName>
    <definedName name="ؤر" localSheetId="0" hidden="1">{#N/A,#N/A,FALSE,"PROFIT 11-95"}</definedName>
    <definedName name="ؤر" localSheetId="6" hidden="1">{#N/A,#N/A,FALSE,"PROFIT 11-95"}</definedName>
    <definedName name="ؤر" hidden="1">{#N/A,#N/A,FALSE,"PROFIT 11-95"}</definedName>
    <definedName name="ؤرؤء" localSheetId="0" hidden="1">{#N/A,#N/A,FALSE,"PROFIT 11-95"}</definedName>
    <definedName name="ؤرؤء" localSheetId="6" hidden="1">{#N/A,#N/A,FALSE,"PROFIT 11-95"}</definedName>
    <definedName name="ؤرؤء" hidden="1">{#N/A,#N/A,FALSE,"PROFIT 11-95"}</definedName>
    <definedName name="ؤؤؤ" localSheetId="0" hidden="1">{#N/A,#N/A,FALSE,"PA";#N/A,#N/A,FALSE,"PA"}</definedName>
    <definedName name="ؤؤؤ" localSheetId="6" hidden="1">{#N/A,#N/A,FALSE,"PA";#N/A,#N/A,FALSE,"PA"}</definedName>
    <definedName name="ؤؤؤ" hidden="1">{#N/A,#N/A,FALSE,"PA";#N/A,#N/A,FALSE,"PA"}</definedName>
    <definedName name="ي88">#REF!</definedName>
    <definedName name="يبي" localSheetId="0" hidden="1">{#N/A,#N/A,FALSE,"PA";#N/A,#N/A,FALSE,"PA"}</definedName>
    <definedName name="يبي" localSheetId="6" hidden="1">{#N/A,#N/A,FALSE,"PA";#N/A,#N/A,FALSE,"PA"}</definedName>
    <definedName name="يبي" hidden="1">{#N/A,#N/A,FALSE,"PA";#N/A,#N/A,FALSE,"PA"}</definedName>
    <definedName name="يؤيص" localSheetId="0" hidden="1">{#N/A,#N/A,TRUE,"PROFIT 11-95"}</definedName>
    <definedName name="يؤيص" localSheetId="6" hidden="1">{#N/A,#N/A,TRUE,"PROFIT 11-95"}</definedName>
    <definedName name="يؤيص" hidden="1">{#N/A,#N/A,TRUE,"PROFIT 11-95"}</definedName>
    <definedName name="ㄱ" localSheetId="6" hidden="1">{#N/A,#N/A,FALSE,"손익표지";#N/A,#N/A,FALSE,"손익계산";#N/A,#N/A,FALSE,"일반관리비";#N/A,#N/A,FALSE,"영업외수익";#N/A,#N/A,FALSE,"영업외비용";#N/A,#N/A,FALSE,"매출액";#N/A,#N/A,FALSE,"요약손익";#N/A,#N/A,FALSE,"요약대차";#N/A,#N/A,FALSE,"매출채권현황";#N/A,#N/A,FALSE,"매출채권명세"}</definedName>
    <definedName name="ㄱ" hidden="1">{#N/A,#N/A,FALSE,"손익표지";#N/A,#N/A,FALSE,"손익계산";#N/A,#N/A,FALSE,"일반관리비";#N/A,#N/A,FALSE,"영업외수익";#N/A,#N/A,FALSE,"영업외비용";#N/A,#N/A,FALSE,"매출액";#N/A,#N/A,FALSE,"요약손익";#N/A,#N/A,FALSE,"요약대차";#N/A,#N/A,FALSE,"매출채권현황";#N/A,#N/A,FALSE,"매출채권명세"}</definedName>
    <definedName name="ㄱ4ㄱ" localSheetId="6" hidden="1">{"'매출'!$A$1:$I$22"}</definedName>
    <definedName name="ㄱ4ㄱ" hidden="1">{"'매출'!$A$1:$I$22"}</definedName>
    <definedName name="ㄱㄱㄱ" localSheetId="6"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ㄱㄷ" hidden="1">#REF!</definedName>
    <definedName name="감" hidden="1">#REF!</definedName>
    <definedName name="개발화학피앤비" localSheetId="6" hidden="1">{#N/A,#N/A,FALSE,"손익표지";#N/A,#N/A,FALSE,"손익계산";#N/A,#N/A,FALSE,"일반관리비";#N/A,#N/A,FALSE,"영업외수익";#N/A,#N/A,FALSE,"영업외비용";#N/A,#N/A,FALSE,"매출액";#N/A,#N/A,FALSE,"요약손익";#N/A,#N/A,FALSE,"요약대차";#N/A,#N/A,FALSE,"매출채권현황";#N/A,#N/A,FALSE,"매출채권명세"}</definedName>
    <definedName name="개발화학피앤비" hidden="1">{#N/A,#N/A,FALSE,"손익표지";#N/A,#N/A,FALSE,"손익계산";#N/A,#N/A,FALSE,"일반관리비";#N/A,#N/A,FALSE,"영업외수익";#N/A,#N/A,FALSE,"영업외비용";#N/A,#N/A,FALSE,"매출액";#N/A,#N/A,FALSE,"요약손익";#N/A,#N/A,FALSE,"요약대차";#N/A,#N/A,FALSE,"매출채권현황";#N/A,#N/A,FALSE,"매출채권명세"}</definedName>
    <definedName name="개선안" localSheetId="6" hidden="1">{#N/A,#N/A,FALSE,"손익표지";#N/A,#N/A,FALSE,"손익계산";#N/A,#N/A,FALSE,"일반관리비";#N/A,#N/A,FALSE,"영업외수익";#N/A,#N/A,FALSE,"영업외비용";#N/A,#N/A,FALSE,"매출액";#N/A,#N/A,FALSE,"요약손익";#N/A,#N/A,FALSE,"요약대차";#N/A,#N/A,FALSE,"매출채권현황";#N/A,#N/A,FALSE,"매출채권명세"}</definedName>
    <definedName name="개선안" hidden="1">{#N/A,#N/A,FALSE,"손익표지";#N/A,#N/A,FALSE,"손익계산";#N/A,#N/A,FALSE,"일반관리비";#N/A,#N/A,FALSE,"영업외수익";#N/A,#N/A,FALSE,"영업외비용";#N/A,#N/A,FALSE,"매출액";#N/A,#N/A,FALSE,"요약손익";#N/A,#N/A,FALSE,"요약대차";#N/A,#N/A,FALSE,"매출채권현황";#N/A,#N/A,FALSE,"매출채권명세"}</definedName>
    <definedName name="계획대비">#REF!</definedName>
    <definedName name="고" localSheetId="0" hidden="1">{#N/A,#N/A,FALSE,"REPORT"}</definedName>
    <definedName name="고" localSheetId="6" hidden="1">{#N/A,#N/A,FALSE,"REPORT"}</definedName>
    <definedName name="고" hidden="1">{#N/A,#N/A,FALSE,"REPORT"}</definedName>
    <definedName name="고_1" localSheetId="0" hidden="1">{#N/A,#N/A,FALSE,"REPORT"}</definedName>
    <definedName name="고_1" localSheetId="6" hidden="1">{#N/A,#N/A,FALSE,"REPORT"}</definedName>
    <definedName name="고_1" hidden="1">{#N/A,#N/A,FALSE,"REPORT"}</definedName>
    <definedName name="고_1_1" localSheetId="0" hidden="1">{#N/A,#N/A,FALSE,"REPORT"}</definedName>
    <definedName name="고_1_1" localSheetId="6" hidden="1">{#N/A,#N/A,FALSE,"REPORT"}</definedName>
    <definedName name="고_1_1" hidden="1">{#N/A,#N/A,FALSE,"REPORT"}</definedName>
    <definedName name="고_2" localSheetId="0" hidden="1">{#N/A,#N/A,FALSE,"REPORT"}</definedName>
    <definedName name="고_2" localSheetId="6" hidden="1">{#N/A,#N/A,FALSE,"REPORT"}</definedName>
    <definedName name="고_2" hidden="1">{#N/A,#N/A,FALSE,"REPORT"}</definedName>
    <definedName name="고_3" localSheetId="0" hidden="1">{#N/A,#N/A,FALSE,"REPORT"}</definedName>
    <definedName name="고_3" localSheetId="6" hidden="1">{#N/A,#N/A,FALSE,"REPORT"}</definedName>
    <definedName name="고_3" hidden="1">{#N/A,#N/A,FALSE,"REPORT"}</definedName>
    <definedName name="고_4" localSheetId="0" hidden="1">{#N/A,#N/A,FALSE,"REPORT"}</definedName>
    <definedName name="고_4" localSheetId="6" hidden="1">{#N/A,#N/A,FALSE,"REPORT"}</definedName>
    <definedName name="고_4" hidden="1">{#N/A,#N/A,FALSE,"REPORT"}</definedName>
    <definedName name="고_5" localSheetId="0" hidden="1">{#N/A,#N/A,FALSE,"REPORT"}</definedName>
    <definedName name="고_5" localSheetId="6" hidden="1">{#N/A,#N/A,FALSE,"REPORT"}</definedName>
    <definedName name="고_5" hidden="1">{#N/A,#N/A,FALSE,"REPORT"}</definedName>
    <definedName name="고정보증" hidden="1">#REF!</definedName>
    <definedName name="고정보증금" hidden="1">#REF!</definedName>
    <definedName name="고정성보증" hidden="1">#REF!</definedName>
    <definedName name="공정" hidden="1">#REF!</definedName>
    <definedName name="광주공장" hidden="1">#REF!</definedName>
    <definedName name="구미" localSheetId="6"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국내abs">#REF!</definedName>
    <definedName name="기성" localSheetId="6"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6"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혁신"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기술혁신"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기안갑">#REF!</definedName>
    <definedName name="기안을">#REF!</definedName>
    <definedName name="기획" localSheetId="6"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 hidden="1">#REF!</definedName>
    <definedName name="김영선" localSheetId="6" hidden="1">{#N/A,#N/A,FALSE,"손익표지";#N/A,#N/A,FALSE,"손익계산";#N/A,#N/A,FALSE,"일반관리비";#N/A,#N/A,FALSE,"영업외수익";#N/A,#N/A,FALSE,"영업외비용";#N/A,#N/A,FALSE,"매출액";#N/A,#N/A,FALSE,"요약손익";#N/A,#N/A,FALSE,"요약대차";#N/A,#N/A,FALSE,"매출채권현황";#N/A,#N/A,FALSE,"매출채권명세"}</definedName>
    <definedName name="김영선" hidden="1">{#N/A,#N/A,FALSE,"손익표지";#N/A,#N/A,FALSE,"손익계산";#N/A,#N/A,FALSE,"일반관리비";#N/A,#N/A,FALSE,"영업외수익";#N/A,#N/A,FALSE,"영업외비용";#N/A,#N/A,FALSE,"매출액";#N/A,#N/A,FALSE,"요약손익";#N/A,#N/A,FALSE,"요약대차";#N/A,#N/A,FALSE,"매출채권현황";#N/A,#N/A,FALSE,"매출채권명세"}</definedName>
    <definedName name="김영선1" localSheetId="6" hidden="1">{#N/A,#N/A,FALSE,"손익표지";#N/A,#N/A,FALSE,"손익계산";#N/A,#N/A,FALSE,"일반관리비";#N/A,#N/A,FALSE,"영업외수익";#N/A,#N/A,FALSE,"영업외비용";#N/A,#N/A,FALSE,"매출액";#N/A,#N/A,FALSE,"요약손익";#N/A,#N/A,FALSE,"요약대차";#N/A,#N/A,FALSE,"매출채권현황";#N/A,#N/A,FALSE,"매출채권명세"}</definedName>
    <definedName name="김영선1"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6"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ㄴ"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ㄴ"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ㄴㅇ"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ㄴㅇ"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ㄹㅀㅇㄹ"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ㄹㅀㅇㄹ"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ㅇㄹㄴㅇㄹ"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ㄴㅇㄹㄴㅇㄹ"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ㄴㅇㅁㅀㄴ" localSheetId="6" hidden="1">{"'매출'!$A$1:$I$22"}</definedName>
    <definedName name="ㄴㅇㅁㅀㄴ" hidden="1">{"'매출'!$A$1:$I$22"}</definedName>
    <definedName name="ㄴ아ㅣㅓㄴㄹ이ㅏㅓㄹ"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아ㅣㅓㄴㄹ이ㅏㅓㄹ"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ㄴ어라ㅣㄴㅇ">#REF!</definedName>
    <definedName name="남규석">#REF!</definedName>
    <definedName name="내수마감">#REF!,#REF!,#REF!,#REF!,#REF!,#REF!,#REF!,#REF!,#REF!,#REF!</definedName>
    <definedName name="누계"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누계"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누계_종합">#REF!</definedName>
    <definedName name="뉴셀" localSheetId="6"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ㅇ노ㅗㄶ호" localSheetId="0" hidden="1">{#N/A,#N/A,FALSE,"REPORT"}</definedName>
    <definedName name="ㄶㅇ노ㅗㄶ호" localSheetId="6" hidden="1">{#N/A,#N/A,FALSE,"REPORT"}</definedName>
    <definedName name="ㄶㅇ노ㅗㄶ호" hidden="1">{#N/A,#N/A,FALSE,"REPORT"}</definedName>
    <definedName name="ㄶㅇ노ㅗㄶ호_1" localSheetId="0" hidden="1">{#N/A,#N/A,FALSE,"REPORT"}</definedName>
    <definedName name="ㄶㅇ노ㅗㄶ호_1" localSheetId="6" hidden="1">{#N/A,#N/A,FALSE,"REPORT"}</definedName>
    <definedName name="ㄶㅇ노ㅗㄶ호_1" hidden="1">{#N/A,#N/A,FALSE,"REPORT"}</definedName>
    <definedName name="ㄶㅇ노ㅗㄶ호_1_1" localSheetId="0" hidden="1">{#N/A,#N/A,FALSE,"REPORT"}</definedName>
    <definedName name="ㄶㅇ노ㅗㄶ호_1_1" localSheetId="6" hidden="1">{#N/A,#N/A,FALSE,"REPORT"}</definedName>
    <definedName name="ㄶㅇ노ㅗㄶ호_1_1" hidden="1">{#N/A,#N/A,FALSE,"REPORT"}</definedName>
    <definedName name="ㄶㅇ노ㅗㄶ호_2" localSheetId="0" hidden="1">{#N/A,#N/A,FALSE,"REPORT"}</definedName>
    <definedName name="ㄶㅇ노ㅗㄶ호_2" localSheetId="6" hidden="1">{#N/A,#N/A,FALSE,"REPORT"}</definedName>
    <definedName name="ㄶㅇ노ㅗㄶ호_2" hidden="1">{#N/A,#N/A,FALSE,"REPORT"}</definedName>
    <definedName name="ㄶㅇ노ㅗㄶ호_3" localSheetId="0" hidden="1">{#N/A,#N/A,FALSE,"REPORT"}</definedName>
    <definedName name="ㄶㅇ노ㅗㄶ호_3" localSheetId="6" hidden="1">{#N/A,#N/A,FALSE,"REPORT"}</definedName>
    <definedName name="ㄶㅇ노ㅗㄶ호_3" hidden="1">{#N/A,#N/A,FALSE,"REPORT"}</definedName>
    <definedName name="ㄶㅇ노ㅗㄶ호_4" localSheetId="0" hidden="1">{#N/A,#N/A,FALSE,"REPORT"}</definedName>
    <definedName name="ㄶㅇ노ㅗㄶ호_4" localSheetId="6" hidden="1">{#N/A,#N/A,FALSE,"REPORT"}</definedName>
    <definedName name="ㄶㅇ노ㅗㄶ호_4" hidden="1">{#N/A,#N/A,FALSE,"REPORT"}</definedName>
    <definedName name="ㄶㅇ노ㅗㄶ호_5" localSheetId="0" hidden="1">{#N/A,#N/A,FALSE,"REPORT"}</definedName>
    <definedName name="ㄶㅇ노ㅗㄶ호_5" localSheetId="6" hidden="1">{#N/A,#N/A,FALSE,"REPORT"}</definedName>
    <definedName name="ㄶㅇ노ㅗㄶ호_5" hidden="1">{#N/A,#N/A,FALSE,"REPORT"}</definedName>
    <definedName name="ㄷㄷ"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ㄷㄷ"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단기보증금" hidden="1">#REF!</definedName>
    <definedName name="대상"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대상"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대일" localSheetId="6"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6"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회">#REF!</definedName>
    <definedName name="ㄹㄹ"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ㄹㄹ"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ㄹㅇ" localSheetId="6" hidden="1">{"'매출'!$A$1:$I$22"}</definedName>
    <definedName name="ㄹㅇ" hidden="1">{"'매출'!$A$1:$I$22"}</definedName>
    <definedName name="ㅁ" hidden="1">#REF!</definedName>
    <definedName name="ㅁㅁ" localSheetId="6" hidden="1">{#N/A,#N/A,FALSE,"손익표지";#N/A,#N/A,FALSE,"손익계산";#N/A,#N/A,FALSE,"일반관리비";#N/A,#N/A,FALSE,"영업외수익";#N/A,#N/A,FALSE,"영업외비용";#N/A,#N/A,FALSE,"매출액";#N/A,#N/A,FALSE,"요약손익";#N/A,#N/A,FALSE,"요약대차";#N/A,#N/A,FALSE,"매출채권현황";#N/A,#N/A,FALSE,"매출채권명세"}</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6"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계획수정"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매출계획수정"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목차" localSheetId="6" hidden="1">{#N/A,#N/A,FALSE,"손익표지";#N/A,#N/A,FALSE,"손익계산";#N/A,#N/A,FALSE,"일반관리비";#N/A,#N/A,FALSE,"영업외수익";#N/A,#N/A,FALSE,"영업외비용";#N/A,#N/A,FALSE,"매출액";#N/A,#N/A,FALSE,"요약손익";#N/A,#N/A,FALSE,"요약대차";#N/A,#N/A,FALSE,"매출채권현황";#N/A,#N/A,FALSE,"매출채권명세"}</definedName>
    <definedName name="목차" hidden="1">{#N/A,#N/A,FALSE,"손익표지";#N/A,#N/A,FALSE,"손익계산";#N/A,#N/A,FALSE,"일반관리비";#N/A,#N/A,FALSE,"영업외수익";#N/A,#N/A,FALSE,"영업외비용";#N/A,#N/A,FALSE,"매출액";#N/A,#N/A,FALSE,"요약손익";#N/A,#N/A,FALSE,"요약대차";#N/A,#N/A,FALSE,"매출채권현황";#N/A,#N/A,FALSE,"매출채권명세"}</definedName>
    <definedName name="목차1" localSheetId="6" hidden="1">{#N/A,#N/A,FALSE,"손익표지";#N/A,#N/A,FALSE,"손익계산";#N/A,#N/A,FALSE,"일반관리비";#N/A,#N/A,FALSE,"영업외수익";#N/A,#N/A,FALSE,"영업외비용";#N/A,#N/A,FALSE,"매출액";#N/A,#N/A,FALSE,"요약손익";#N/A,#N/A,FALSE,"요약대차";#N/A,#N/A,FALSE,"매출채권현황";#N/A,#N/A,FALSE,"매출채권명세"}</definedName>
    <definedName name="목차1" hidden="1">{#N/A,#N/A,FALSE,"손익표지";#N/A,#N/A,FALSE,"손익계산";#N/A,#N/A,FALSE,"일반관리비";#N/A,#N/A,FALSE,"영업외수익";#N/A,#N/A,FALSE,"영업외비용";#N/A,#N/A,FALSE,"매출액";#N/A,#N/A,FALSE,"요약손익";#N/A,#N/A,FALSE,"요약대차";#N/A,#N/A,FALSE,"매출채권현황";#N/A,#N/A,FALSE,"매출채권명세"}</definedName>
    <definedName name="몰라" hidden="1">#REF!</definedName>
    <definedName name="문성수" localSheetId="6"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미애" localSheetId="0" hidden="1">{#N/A,#N/A,FALSE,"REPORT"}</definedName>
    <definedName name="미애" localSheetId="6" hidden="1">{#N/A,#N/A,FALSE,"REPORT"}</definedName>
    <definedName name="미애" hidden="1">{#N/A,#N/A,FALSE,"REPORT"}</definedName>
    <definedName name="미애_1" localSheetId="0" hidden="1">{#N/A,#N/A,FALSE,"REPORT"}</definedName>
    <definedName name="미애_1" localSheetId="6" hidden="1">{#N/A,#N/A,FALSE,"REPORT"}</definedName>
    <definedName name="미애_1" hidden="1">{#N/A,#N/A,FALSE,"REPORT"}</definedName>
    <definedName name="미애_1_1" localSheetId="0" hidden="1">{#N/A,#N/A,FALSE,"REPORT"}</definedName>
    <definedName name="미애_1_1" localSheetId="6" hidden="1">{#N/A,#N/A,FALSE,"REPORT"}</definedName>
    <definedName name="미애_1_1" hidden="1">{#N/A,#N/A,FALSE,"REPORT"}</definedName>
    <definedName name="미애_2" localSheetId="0" hidden="1">{#N/A,#N/A,FALSE,"REPORT"}</definedName>
    <definedName name="미애_2" localSheetId="6" hidden="1">{#N/A,#N/A,FALSE,"REPORT"}</definedName>
    <definedName name="미애_2" hidden="1">{#N/A,#N/A,FALSE,"REPORT"}</definedName>
    <definedName name="미애_3" localSheetId="0" hidden="1">{#N/A,#N/A,FALSE,"REPORT"}</definedName>
    <definedName name="미애_3" localSheetId="6" hidden="1">{#N/A,#N/A,FALSE,"REPORT"}</definedName>
    <definedName name="미애_3" hidden="1">{#N/A,#N/A,FALSE,"REPORT"}</definedName>
    <definedName name="미애_4" localSheetId="0" hidden="1">{#N/A,#N/A,FALSE,"REPORT"}</definedName>
    <definedName name="미애_4" localSheetId="6" hidden="1">{#N/A,#N/A,FALSE,"REPORT"}</definedName>
    <definedName name="미애_4" hidden="1">{#N/A,#N/A,FALSE,"REPORT"}</definedName>
    <definedName name="미애_5" localSheetId="0" hidden="1">{#N/A,#N/A,FALSE,"REPORT"}</definedName>
    <definedName name="미애_5" localSheetId="6" hidden="1">{#N/A,#N/A,FALSE,"REPORT"}</definedName>
    <definedName name="미애_5" hidden="1">{#N/A,#N/A,FALSE,"REPORT"}</definedName>
    <definedName name="미착기명세서" hidden="1">#REF!</definedName>
    <definedName name="민자사업" localSheetId="6"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박부장님"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박부장님"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방청A">#REF!</definedName>
    <definedName name="방청B">#REF!</definedName>
    <definedName name="병근" localSheetId="6" hidden="1">{#N/A,#N/A,FALSE,"손익표지";#N/A,#N/A,FALSE,"손익계산";#N/A,#N/A,FALSE,"일반관리비";#N/A,#N/A,FALSE,"영업외수익";#N/A,#N/A,FALSE,"영업외비용";#N/A,#N/A,FALSE,"매출액";#N/A,#N/A,FALSE,"요약손익";#N/A,#N/A,FALSE,"요약대차";#N/A,#N/A,FALSE,"매출채권현황";#N/A,#N/A,FALSE,"매출채권명세"}</definedName>
    <definedName name="병근"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6"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2"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보고2"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보고용">#REF!,#REF!,#REF!,#REF!,#REF!,#REF!,#REF!,#REF!,#REF!,#REF!,#REF!,#REF!,#REF!</definedName>
    <definedName name="부구분">#REF!,#REF!,#REF!,#REF!</definedName>
    <definedName name="비2" localSheetId="6" hidden="1">{#N/A,#N/A,FALSE,"손익표지";#N/A,#N/A,FALSE,"손익계산";#N/A,#N/A,FALSE,"일반관리비";#N/A,#N/A,FALSE,"영업외수익";#N/A,#N/A,FALSE,"영업외비용";#N/A,#N/A,FALSE,"매출액";#N/A,#N/A,FALSE,"요약손익";#N/A,#N/A,FALSE,"요약대차";#N/A,#N/A,FALSE,"매출채권현황";#N/A,#N/A,FALSE,"매출채권명세"}</definedName>
    <definedName name="비2" hidden="1">{#N/A,#N/A,FALSE,"손익표지";#N/A,#N/A,FALSE,"손익계산";#N/A,#N/A,FALSE,"일반관리비";#N/A,#N/A,FALSE,"영업외수익";#N/A,#N/A,FALSE,"영업외비용";#N/A,#N/A,FALSE,"매출액";#N/A,#N/A,FALSE,"요약손익";#N/A,#N/A,FALSE,"요약대차";#N/A,#N/A,FALSE,"매출채권현황";#N/A,#N/A,FALSE,"매출채권명세"}</definedName>
    <definedName name="ㅅ"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ㅅ"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사"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사"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사업법인수량계획"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사업법인수량계획"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사업부별" hidden="1">0</definedName>
    <definedName name="사업부성과"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사업부성과"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생산성"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생산성"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선급1" hidden="1">#REF!</definedName>
    <definedName name="선급금" hidden="1">#REF!</definedName>
    <definedName name="선급금1" hidden="1">#REF!</definedName>
    <definedName name="선급비용2" hidden="1">#REF!</definedName>
    <definedName name="설치일정" localSheetId="6" hidden="1">{"'매출'!$A$1:$I$22"}</definedName>
    <definedName name="설치일정" hidden="1">{"'매출'!$A$1:$I$22"}</definedName>
    <definedName name="세금" hidden="1">#REF!</definedName>
    <definedName name="세금과" hidden="1">#REF!</definedName>
    <definedName name="세연" localSheetId="6" hidden="1">{#N/A,#N/A,FALSE,"손익표지";#N/A,#N/A,FALSE,"손익계산";#N/A,#N/A,FALSE,"일반관리비";#N/A,#N/A,FALSE,"영업외수익";#N/A,#N/A,FALSE,"영업외비용";#N/A,#N/A,FALSE,"매출액";#N/A,#N/A,FALSE,"요약손익";#N/A,#N/A,FALSE,"요약대차";#N/A,#N/A,FALSE,"매출채권현황";#N/A,#N/A,FALSE,"매출채권명세"}</definedName>
    <definedName name="세연" hidden="1">{#N/A,#N/A,FALSE,"손익표지";#N/A,#N/A,FALSE,"손익계산";#N/A,#N/A,FALSE,"일반관리비";#N/A,#N/A,FALSE,"영업외수익";#N/A,#N/A,FALSE,"영업외비용";#N/A,#N/A,FALSE,"매출액";#N/A,#N/A,FALSE,"요약손익";#N/A,#N/A,FALSE,"요약대차";#N/A,#N/A,FALSE,"매출채권현황";#N/A,#N/A,FALSE,"매출채권명세"}</definedName>
    <definedName name="세연1" localSheetId="6" hidden="1">{#N/A,#N/A,FALSE,"손익표지";#N/A,#N/A,FALSE,"손익계산";#N/A,#N/A,FALSE,"일반관리비";#N/A,#N/A,FALSE,"영업외수익";#N/A,#N/A,FALSE,"영업외비용";#N/A,#N/A,FALSE,"매출액";#N/A,#N/A,FALSE,"요약손익";#N/A,#N/A,FALSE,"요약대차";#N/A,#N/A,FALSE,"매출채권현황";#N/A,#N/A,FALSE,"매출채권명세"}</definedName>
    <definedName name="세연1"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6" hidden="1">{"'매출'!$A$1:$I$22"}</definedName>
    <definedName name="손익" hidden="1">{"'매출'!$A$1:$I$22"}</definedName>
    <definedName name="손익3" localSheetId="6" hidden="1">{#N/A,#N/A,FALSE,"손익표지";#N/A,#N/A,FALSE,"손익계산";#N/A,#N/A,FALSE,"일반관리비";#N/A,#N/A,FALSE,"영업외수익";#N/A,#N/A,FALSE,"영업외비용";#N/A,#N/A,FALSE,"매출액";#N/A,#N/A,FALSE,"요약손익";#N/A,#N/A,FALSE,"요약대차";#N/A,#N/A,FALSE,"매출채권현황";#N/A,#N/A,FALSE,"매출채권명세"}</definedName>
    <definedName name="손익3" hidden="1">{#N/A,#N/A,FALSE,"손익표지";#N/A,#N/A,FALSE,"손익계산";#N/A,#N/A,FALSE,"일반관리비";#N/A,#N/A,FALSE,"영업외수익";#N/A,#N/A,FALSE,"영업외비용";#N/A,#N/A,FALSE,"매출액";#N/A,#N/A,FALSE,"요약손익";#N/A,#N/A,FALSE,"요약대차";#N/A,#N/A,FALSE,"매출채권현황";#N/A,#N/A,FALSE,"매출채권명세"}</definedName>
    <definedName name="시설투자2" localSheetId="6" hidden="1">{"'매출'!$A$1:$I$22"}</definedName>
    <definedName name="시설투자2" hidden="1">{"'매출'!$A$1:$I$22"}</definedName>
    <definedName name="실적">#REF!,#REF!,#REF!</definedName>
    <definedName name="ㅇㄴㄹ"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ㅇㄴㄹ"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ㅇㄴㄹㄴㅇㄹㄴㅇㄹ"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ㅇㄴㄹㄴㅇㄹㄴㅇㄹ"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ㅇㄹ" localSheetId="6" hidden="1">{"'매출'!$A$1:$I$22"}</definedName>
    <definedName name="ㅇㄹ" hidden="1">{"'매출'!$A$1:$I$22"}</definedName>
    <definedName name="ㅇㅇ" localSheetId="6" hidden="1">{#N/A,#N/A,FALSE,"손익표지";#N/A,#N/A,FALSE,"손익계산";#N/A,#N/A,FALSE,"일반관리비";#N/A,#N/A,FALSE,"영업외수익";#N/A,#N/A,FALSE,"영업외비용";#N/A,#N/A,FALSE,"매출액";#N/A,#N/A,FALSE,"요약손익";#N/A,#N/A,FALSE,"요약대차";#N/A,#N/A,FALSE,"매출채권현황";#N/A,#N/A,FALSE,"매출채권명세"}</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 localSheetId="6" hidden="1">{#N/A,#N/A,FALSE,"손익표지";#N/A,#N/A,FALSE,"손익계산";#N/A,#N/A,FALSE,"일반관리비";#N/A,#N/A,FALSE,"영업외수익";#N/A,#N/A,FALSE,"영업외비용";#N/A,#N/A,FALSE,"매출액";#N/A,#N/A,FALSE,"요약손익";#N/A,#N/A,FALSE,"요약대차";#N/A,#N/A,FALSE,"매출채권현황";#N/A,#N/A,FALSE,"매출채권명세"}</definedName>
    <definedName name="아" hidden="1">{#N/A,#N/A,FALSE,"손익표지";#N/A,#N/A,FALSE,"손익계산";#N/A,#N/A,FALSE,"일반관리비";#N/A,#N/A,FALSE,"영업외수익";#N/A,#N/A,FALSE,"영업외비용";#N/A,#N/A,FALSE,"매출액";#N/A,#N/A,FALSE,"요약손익";#N/A,#N/A,FALSE,"요약대차";#N/A,#N/A,FALSE,"매출채권현황";#N/A,#N/A,FALSE,"매출채권명세"}</definedName>
    <definedName name="아이" hidden="1">#REF!</definedName>
    <definedName name="양식" localSheetId="6" hidden="1">{#N/A,#N/A,FALSE,"손익표지";#N/A,#N/A,FALSE,"손익계산";#N/A,#N/A,FALSE,"일반관리비";#N/A,#N/A,FALSE,"영업외수익";#N/A,#N/A,FALSE,"영업외비용";#N/A,#N/A,FALSE,"매출액";#N/A,#N/A,FALSE,"요약손익";#N/A,#N/A,FALSE,"요약대차";#N/A,#N/A,FALSE,"매출채권현황";#N/A,#N/A,FALSE,"매출채권명세"}</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얼"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얼"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없애버림" localSheetId="6"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6"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소" hidden="1">#REF!</definedName>
    <definedName name="연습" localSheetId="6" hidden="1">{#N/A,#N/A,FALSE,"손익표지";#N/A,#N/A,FALSE,"손익계산";#N/A,#N/A,FALSE,"일반관리비";#N/A,#N/A,FALSE,"영업외수익";#N/A,#N/A,FALSE,"영업외비용";#N/A,#N/A,FALSE,"매출액";#N/A,#N/A,FALSE,"요약손익";#N/A,#N/A,FALSE,"요약대차";#N/A,#N/A,FALSE,"매출채권현황";#N/A,#N/A,FALSE,"매출채권명세"}</definedName>
    <definedName name="연습" hidden="1">{#N/A,#N/A,FALSE,"손익표지";#N/A,#N/A,FALSE,"손익계산";#N/A,#N/A,FALSE,"일반관리비";#N/A,#N/A,FALSE,"영업외수익";#N/A,#N/A,FALSE,"영업외비용";#N/A,#N/A,FALSE,"매출액";#N/A,#N/A,FALSE,"요약손익";#N/A,#N/A,FALSE,"요약대차";#N/A,#N/A,FALSE,"매출채권현황";#N/A,#N/A,FALSE,"매출채권명세"}</definedName>
    <definedName name="연습1" localSheetId="6" hidden="1">{#N/A,#N/A,FALSE,"손익표지";#N/A,#N/A,FALSE,"손익계산";#N/A,#N/A,FALSE,"일반관리비";#N/A,#N/A,FALSE,"영업외수익";#N/A,#N/A,FALSE,"영업외비용";#N/A,#N/A,FALSE,"매출액";#N/A,#N/A,FALSE,"요약손익";#N/A,#N/A,FALSE,"요약대차";#N/A,#N/A,FALSE,"매출채권현황";#N/A,#N/A,FALSE,"매출채권명세"}</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localSheetId="6"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외손익2" localSheetId="6" hidden="1">{"'매출'!$A$1:$I$22"}</definedName>
    <definedName name="영외손익2" hidden="1">{"'매출'!$A$1:$I$22"}</definedName>
    <definedName name="예수" hidden="1">#REF!</definedName>
    <definedName name="예수금" hidden="1">#REF!</definedName>
    <definedName name="예수금대장" hidden="1">#REF!</definedName>
    <definedName name="오인원">#REF!</definedName>
    <definedName name="왜이래" localSheetId="6"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6"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6"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6"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이름" hidden="1">#REF!</definedName>
    <definedName name="이정">#REF!</definedName>
    <definedName name="인력"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인력"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인력G"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인력G"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인원현황2" localSheetId="6"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localSheetId="6"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6"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일">#REF!,#REF!,#REF!,#REF!,#REF!,#REF!,#REF!,#REF!</definedName>
    <definedName name="일자별" localSheetId="6"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ㅈㄷㄱㅈㄱ"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ㅈㄷㄱㅈㄱ"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ㅈㅅㅎㄴㅋ옷커아라ㅕㅛㅗㅓㅗㅓㅗㅓㅣㅓㅚㅏㅣㅓㅘㅗ히ㅗ호ㅘ하ㅗ하ㅗ하ㅗㅎ" localSheetId="6" hidden="1">{"'매출'!$A$1:$I$22"}</definedName>
    <definedName name="ㅈㅅㅎㄴㅋ옷커아라ㅕㅛㅗㅓㅗㅓㅗㅓㅣㅓㅚㅏㅣㅓㅘㅗ히ㅗ호ㅘ하ㅗ하ㅗ하ㅗㅎ" hidden="1">{"'매출'!$A$1:$I$22"}</definedName>
    <definedName name="ㅈㅈ"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ㅈㅈ"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ㅈㅈㅈ"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ㅈㅈㅈ"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자재재고"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자재재고"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자ㅏㄷ"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자ㅏㄷ"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작성1"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작성1"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작성기준"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작성기준"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장단점분석"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장단점분석"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재고"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재고"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재고감축" localSheetId="6" hidden="1">{"'매출'!$A$1:$I$22"}</definedName>
    <definedName name="재고감축" hidden="1">{"'매출'!$A$1:$I$22"}</definedName>
    <definedName name="전자" localSheetId="6"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전"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전전"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정봉용" localSheetId="6"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6"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6"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6"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목">#REF!</definedName>
    <definedName name="종합어음" localSheetId="6"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간매출실적"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주간매출실적"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중국"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중국"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중국손익"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중국손익"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지역A" hidden="1">#REF!</definedName>
    <definedName name="직급공정" hidden="1">#REF!</definedName>
    <definedName name="진짜연습" localSheetId="6" hidden="1">{#N/A,#N/A,FALSE,"손익표지";#N/A,#N/A,FALSE,"손익계산";#N/A,#N/A,FALSE,"일반관리비";#N/A,#N/A,FALSE,"영업외수익";#N/A,#N/A,FALSE,"영업외비용";#N/A,#N/A,FALSE,"매출액";#N/A,#N/A,FALSE,"요약손익";#N/A,#N/A,FALSE,"요약대차";#N/A,#N/A,FALSE,"매출채권현황";#N/A,#N/A,FALSE,"매출채권명세"}</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6"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첨부" localSheetId="6" hidden="1">{#N/A,#N/A,FALSE,"손익표지";#N/A,#N/A,FALSE,"손익계산";#N/A,#N/A,FALSE,"일반관리비";#N/A,#N/A,FALSE,"영업외수익";#N/A,#N/A,FALSE,"영업외비용";#N/A,#N/A,FALSE,"매출액";#N/A,#N/A,FALSE,"요약손익";#N/A,#N/A,FALSE,"요약대차";#N/A,#N/A,FALSE,"매출채권현황";#N/A,#N/A,FALSE,"매출채권명세"}</definedName>
    <definedName name="첨부" hidden="1">{#N/A,#N/A,FALSE,"손익표지";#N/A,#N/A,FALSE,"손익계산";#N/A,#N/A,FALSE,"일반관리비";#N/A,#N/A,FALSE,"영업외수익";#N/A,#N/A,FALSE,"영업외비용";#N/A,#N/A,FALSE,"매출액";#N/A,#N/A,FALSE,"요약손익";#N/A,#N/A,FALSE,"요약대차";#N/A,#N/A,FALSE,"매출채권현황";#N/A,#N/A,FALSE,"매출채권명세"}</definedName>
    <definedName name="최종" localSheetId="6" hidden="1">{#N/A,#N/A,FALSE,"손익표지";#N/A,#N/A,FALSE,"손익계산";#N/A,#N/A,FALSE,"일반관리비";#N/A,#N/A,FALSE,"영업외수익";#N/A,#N/A,FALSE,"영업외비용";#N/A,#N/A,FALSE,"매출액";#N/A,#N/A,FALSE,"요약손익";#N/A,#N/A,FALSE,"요약대차";#N/A,#N/A,FALSE,"매출채권현황";#N/A,#N/A,FALSE,"매출채권명세"}</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6"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6"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가" localSheetId="6" hidden="1">{"'매출'!$A$1:$I$22"}</definedName>
    <definedName name="추가" hidden="1">{"'매출'!$A$1:$I$22"}</definedName>
    <definedName name="퇴충연결식" hidden="1">#REF!</definedName>
    <definedName name="파일" hidden="1">#REF!</definedName>
    <definedName name="판매마감">#REF!,#REF!,#REF!,#REF!</definedName>
    <definedName name="팔레" localSheetId="6"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 localSheetId="6" hidden="1">{#N/A,#N/A,FALSE,"손익표지";#N/A,#N/A,FALSE,"손익계산";#N/A,#N/A,FALSE,"일반관리비";#N/A,#N/A,FALSE,"영업외수익";#N/A,#N/A,FALSE,"영업외비용";#N/A,#N/A,FALSE,"매출액";#N/A,#N/A,FALSE,"요약손익";#N/A,#N/A,FALSE,"요약대차";#N/A,#N/A,FALSE,"매출채권현황";#N/A,#N/A,FALSE,"매출채권명세"}</definedName>
    <definedName name="평균" hidden="1">{#N/A,#N/A,FALSE,"손익표지";#N/A,#N/A,FALSE,"손익계산";#N/A,#N/A,FALSE,"일반관리비";#N/A,#N/A,FALSE,"영업외수익";#N/A,#N/A,FALSE,"영업외비용";#N/A,#N/A,FALSE,"매출액";#N/A,#N/A,FALSE,"요약손익";#N/A,#N/A,FALSE,"요약대차";#N/A,#N/A,FALSE,"매출채권현황";#N/A,#N/A,FALSE,"매출채권명세"}</definedName>
    <definedName name="ㅎ"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ㅎ"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ㅎㄳ록ㅌ"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ㅎㄳ록ㅌ"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ㅎㅎㅎㅎ" hidden="1">#REF!</definedName>
    <definedName name="ㅎㅎ호ㅎ"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ㅎㅎ호ㅎ"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하반기차입금계획" localSheetId="6"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_1월">#REF!</definedName>
    <definedName name="합계_2월">#REF!</definedName>
    <definedName name="합계_3월">#REF!</definedName>
    <definedName name="합계_4월">#REF!</definedName>
    <definedName name="합계_5월">#REF!</definedName>
    <definedName name="합계_6월">#REF!</definedName>
    <definedName name="합계_7월">#REF!</definedName>
    <definedName name="혁신과제"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혁신과제"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현금" hidden="1">#REF!</definedName>
    <definedName name="홍성태" localSheetId="6"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6"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ㅏ"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ㅏㅣㄴ어라ㅣㄴ">#REF!</definedName>
    <definedName name="ㅐ"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ㅐ"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ㅓ"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ㅓ"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ㅓㅏㅓㅏ"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ㅓㅏㅓㅏ"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ㅗㅗ" localSheetId="6"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ㅗㅗ" hidden="1">{#N/A,#N/A,FALSE,"표지";#N/A,#N/A,FALSE,"매출내수";#N/A,#N/A,FALSE,"수출CBU";#N/A,#N/A,FALSE,"수출DEF";#N/A,#N/A,FALSE,"수출CKD";#N/A,#N/A,FALSE,"매출이익";#N/A,#N/A,FALSE,"판관비";#N/A,#N/A,FALSE,"영외비";#N/A,#N/A,FALSE,"경상이익";#N/A,#N/A,FALSE,"제조MWO";#N/A,#N/A,FALSE,"대당원가";#N/A,#N/A,FALSE,"제조MGT";#N/A,#N/A,FALSE,"노+경";#N/A,#N/A,FALSE,"손익실적";#N/A,#N/A,FALSE,"비용실적";#N/A,#N/A,FALSE,"직급인원";#N/A,#N/A,FALSE,"부서인력";#N/A,#N/A,FALSE,"투자실적";#N/A,#N/A,FALSE,"재고";#N/A,#N/A,FALSE,"호부진";#N/A,#N/A,FALSE,"누계호부진";#N/A,#N/A,FALSE,"실적요약";#N/A,#N/A,FALSE,"PRO-MIX"}</definedName>
    <definedName name="ㅜ" localSheetId="6" hidden="1">{"'매출'!$A$1:$I$22"}</definedName>
    <definedName name="ㅜ" hidden="1">{"'매출'!$A$1:$I$22"}</definedName>
    <definedName name="ㅠ"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ㅠ"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ㅡ"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ㅡ"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ㅡㅡ"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ㅡㅡ"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ㅣ니니니" localSheetId="6" hidden="1">{#N/A,#N/A,FALSE,"손익표지";#N/A,#N/A,FALSE,"손익계산";#N/A,#N/A,FALSE,"일반관리비";#N/A,#N/A,FALSE,"영업외수익";#N/A,#N/A,FALSE,"영업외비용";#N/A,#N/A,FALSE,"매출액";#N/A,#N/A,FALSE,"요약손익";#N/A,#N/A,FALSE,"요약대차";#N/A,#N/A,FALSE,"매출채권현황";#N/A,#N/A,FALSE,"매출채권명세"}</definedName>
    <definedName name="ㅣ니니니" hidden="1">{#N/A,#N/A,FALSE,"손익표지";#N/A,#N/A,FALSE,"손익계산";#N/A,#N/A,FALSE,"일반관리비";#N/A,#N/A,FALSE,"영업외수익";#N/A,#N/A,FALSE,"영업외비용";#N/A,#N/A,FALSE,"매출액";#N/A,#N/A,FALSE,"요약손익";#N/A,#N/A,FALSE,"요약대차";#N/A,#N/A,FALSE,"매출채권현황";#N/A,#N/A,FALSE,"매출채권명세"}</definedName>
    <definedName name="ㅣㅣ" localSheetId="6"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ㅣㅣ" hidden="1">{#N/A,#N/A,TRUE,"호부진";#N/A,#N/A,TRUE,"누계호부진";#N/A,#N/A,TRUE,"실적요약";#N/A,#N/A,TRUE,"매출내수";#N/A,#N/A,TRUE,"수출CBU";#N/A,#N/A,TRUE,"지역매출(1)";#N/A,#N/A,TRUE,"지역매출(2)";#N/A,#N/A,TRUE,"수출DEF";#N/A,#N/A,TRUE,"수출CKD";#N/A,#N/A,TRUE,"매출이익";#N/A,#N/A,TRUE,"판관비";#N/A,#N/A,TRUE,"영외비";#N/A,#N/A,TRUE,"경상이익";#N/A,#N/A,TRUE,"제조MWO";#N/A,#N/A,TRUE,"대당원가";#N/A,#N/A,TRUE,"제조MGT";#N/A,#N/A,TRUE,"노+경";#N/A,#N/A,TRUE,"손익실적";#N/A,#N/A,TRUE,"비용실적";#N/A,#N/A,TRUE,"직급인원";#N/A,#N/A,TRUE,"부서인력";#N/A,#N/A,TRUE,"인원변동내역";#N/A,#N/A,TRUE,"투자실적";#N/A,#N/A,TRUE,"재고";#N/A,#N/A,TRUE,"PRO-MIX"}</definedName>
    <definedName name="提示" hidden="1">#REF!</definedName>
    <definedName name="提示２" hidden="1">#REF!</definedName>
    <definedName name="集約" hidden="1">#REF!</definedName>
    <definedName name="集約2" hidden="1">255</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20" l="1"/>
  <c r="C40" i="20"/>
  <c r="C39" i="20"/>
  <c r="H7" i="37"/>
  <c r="I7" i="37"/>
  <c r="J7" i="37"/>
  <c r="C37" i="20"/>
  <c r="J27" i="33"/>
  <c r="I27" i="33"/>
  <c r="H27" i="33"/>
  <c r="G27" i="33"/>
  <c r="D88" i="33"/>
  <c r="S30" i="20"/>
  <c r="S33" i="20" s="1"/>
  <c r="R30" i="20"/>
  <c r="R33" i="20" s="1"/>
  <c r="Q30" i="20"/>
  <c r="Q33" i="20" s="1"/>
  <c r="P30" i="20"/>
  <c r="P33" i="20" s="1"/>
  <c r="O30" i="20"/>
  <c r="O33" i="20" s="1"/>
  <c r="N30" i="20"/>
  <c r="N33" i="20" s="1"/>
  <c r="M30" i="20"/>
  <c r="M33" i="20" s="1"/>
  <c r="L30" i="20"/>
  <c r="L33" i="20" s="1"/>
  <c r="K30" i="20"/>
  <c r="K33" i="20" s="1"/>
  <c r="J30" i="20"/>
  <c r="J33" i="20" s="1"/>
  <c r="I30" i="20"/>
  <c r="I33" i="20" s="1"/>
  <c r="H30" i="20"/>
  <c r="H33" i="20" s="1"/>
  <c r="G30" i="20"/>
  <c r="G33" i="20" s="1"/>
  <c r="F30" i="20"/>
  <c r="F33" i="20" s="1"/>
  <c r="E30" i="20"/>
  <c r="E33" i="20" s="1"/>
  <c r="D30" i="20"/>
  <c r="D33" i="20" s="1"/>
  <c r="C5" i="33"/>
  <c r="I69" i="33" s="1"/>
  <c r="C4" i="33"/>
  <c r="L69" i="33" l="1"/>
  <c r="S69" i="33"/>
  <c r="J69" i="33"/>
  <c r="K69" i="33"/>
  <c r="M69" i="33"/>
  <c r="N69" i="33"/>
  <c r="O69" i="33"/>
  <c r="D69" i="33"/>
  <c r="P69" i="33"/>
  <c r="E69" i="33"/>
  <c r="Q69" i="33"/>
  <c r="F69" i="33"/>
  <c r="R69" i="33"/>
  <c r="G69" i="33"/>
  <c r="H69" i="33"/>
  <c r="D114" i="33" l="1"/>
  <c r="B1" i="33"/>
  <c r="D82" i="33" l="1"/>
  <c r="D87" i="33"/>
  <c r="D100" i="33" s="1"/>
  <c r="D92" i="33"/>
  <c r="E61" i="20"/>
  <c r="F61" i="20" s="1"/>
  <c r="G61" i="20" s="1"/>
  <c r="H61" i="20" s="1"/>
  <c r="I61" i="20" s="1"/>
  <c r="J61" i="20" s="1"/>
  <c r="K61" i="20" s="1"/>
  <c r="L61" i="20" s="1"/>
  <c r="M61" i="20" s="1"/>
  <c r="N61" i="20" s="1"/>
  <c r="O61" i="20" s="1"/>
  <c r="P61" i="20" s="1"/>
  <c r="Q61" i="20" s="1"/>
  <c r="R61" i="20" s="1"/>
  <c r="S61" i="20" s="1"/>
  <c r="K15" i="33"/>
  <c r="C78" i="33"/>
  <c r="B56" i="36" l="1"/>
  <c r="B54" i="36"/>
  <c r="B53" i="36"/>
  <c r="B52" i="36"/>
  <c r="B51" i="36"/>
  <c r="B49" i="36"/>
  <c r="B46" i="36"/>
  <c r="B45" i="36"/>
  <c r="B43" i="36"/>
  <c r="B42" i="36"/>
  <c r="B13" i="36" l="1"/>
  <c r="B40" i="36" s="1"/>
  <c r="D19" i="33" l="1"/>
  <c r="E68" i="20"/>
  <c r="H68" i="20"/>
  <c r="D70" i="33" l="1"/>
  <c r="D28" i="33"/>
  <c r="D33" i="33"/>
  <c r="L27" i="3"/>
  <c r="J27" i="3"/>
  <c r="I27" i="3"/>
  <c r="M27" i="3"/>
  <c r="M28" i="3" s="1"/>
  <c r="L28" i="3"/>
  <c r="K28" i="3"/>
  <c r="J28" i="3"/>
  <c r="I28" i="3"/>
  <c r="V23" i="3"/>
  <c r="W23" i="3" s="1"/>
  <c r="N27" i="3" l="1"/>
  <c r="N28" i="3" l="1"/>
  <c r="O27" i="3"/>
  <c r="O28" i="3" l="1"/>
  <c r="P27" i="3"/>
  <c r="P28" i="3" l="1"/>
  <c r="Q27" i="3"/>
  <c r="Q28" i="3" l="1"/>
  <c r="R27" i="3"/>
  <c r="R28" i="3" l="1"/>
  <c r="S27" i="3"/>
  <c r="S28" i="3" l="1"/>
  <c r="T27" i="3"/>
  <c r="T28" i="3" l="1"/>
  <c r="U27" i="3"/>
  <c r="U28" i="3" l="1"/>
  <c r="V27" i="3"/>
  <c r="W27" i="3" l="1"/>
  <c r="W28" i="3" s="1"/>
  <c r="V28" i="3"/>
  <c r="G68" i="20" l="1"/>
  <c r="F68" i="20"/>
  <c r="C68" i="20" l="1"/>
  <c r="S52" i="20"/>
  <c r="R52" i="20"/>
  <c r="Q52" i="20"/>
  <c r="P52" i="20"/>
  <c r="O52" i="20"/>
  <c r="N52" i="20"/>
  <c r="M52" i="20"/>
  <c r="L52" i="20"/>
  <c r="K52" i="20"/>
  <c r="J52" i="20"/>
  <c r="I52" i="20"/>
  <c r="H52" i="20"/>
  <c r="G52" i="20"/>
  <c r="F52" i="20"/>
  <c r="E52" i="20"/>
  <c r="D52" i="20"/>
  <c r="I41" i="20" l="1"/>
  <c r="S41" i="20"/>
  <c r="R41" i="20"/>
  <c r="Q41" i="20"/>
  <c r="P41" i="20"/>
  <c r="O41" i="20"/>
  <c r="N41" i="20"/>
  <c r="M41" i="20"/>
  <c r="L41" i="20"/>
  <c r="K41" i="20"/>
  <c r="J41" i="20"/>
  <c r="H41" i="20"/>
  <c r="G41" i="20"/>
  <c r="F41" i="20"/>
  <c r="E41" i="20"/>
  <c r="D41" i="20"/>
  <c r="D30" i="33" s="1"/>
  <c r="D75" i="33" l="1"/>
  <c r="D78" i="33" l="1" a="1"/>
  <c r="D78" i="33" s="1"/>
  <c r="D86" i="33"/>
  <c r="D96" i="33"/>
  <c r="D57" i="33"/>
  <c r="D8" i="20"/>
  <c r="C8" i="33" s="1"/>
  <c r="C65" i="20"/>
  <c r="S67" i="20"/>
  <c r="R67" i="20"/>
  <c r="Q67" i="20"/>
  <c r="P67" i="20"/>
  <c r="O67" i="20"/>
  <c r="N67" i="20"/>
  <c r="M67" i="20"/>
  <c r="L67" i="20"/>
  <c r="K67" i="20"/>
  <c r="J67" i="20"/>
  <c r="I67" i="20"/>
  <c r="H67" i="20"/>
  <c r="G67" i="20"/>
  <c r="F67" i="20"/>
  <c r="J69" i="20" l="1"/>
  <c r="M69" i="20"/>
  <c r="O69" i="20"/>
  <c r="P69" i="20"/>
  <c r="F69" i="20"/>
  <c r="S69" i="20"/>
  <c r="H69" i="20"/>
  <c r="N69" i="20"/>
  <c r="Q69" i="20"/>
  <c r="R69" i="20"/>
  <c r="I69" i="20"/>
  <c r="L69" i="20"/>
  <c r="G69" i="20"/>
  <c r="K69" i="20"/>
  <c r="E66" i="20"/>
  <c r="D28" i="20"/>
  <c r="D29" i="33" s="1"/>
  <c r="E28" i="20"/>
  <c r="F28" i="20"/>
  <c r="G28" i="20"/>
  <c r="J505" i="3"/>
  <c r="K505" i="3" s="1"/>
  <c r="L505" i="3" s="1"/>
  <c r="M505" i="3" s="1"/>
  <c r="N505" i="3" s="1"/>
  <c r="O505" i="3" s="1"/>
  <c r="P505" i="3" s="1"/>
  <c r="Q505" i="3" s="1"/>
  <c r="R505" i="3" s="1"/>
  <c r="S505" i="3" s="1"/>
  <c r="T505" i="3" s="1"/>
  <c r="U505" i="3" s="1"/>
  <c r="V505" i="3" s="1"/>
  <c r="W505" i="3" s="1"/>
  <c r="I505" i="3"/>
  <c r="C66" i="20" l="1"/>
  <c r="E67" i="20"/>
  <c r="V109" i="2"/>
  <c r="U109" i="2"/>
  <c r="T109" i="2"/>
  <c r="S109" i="2"/>
  <c r="R109" i="2"/>
  <c r="Q109" i="2"/>
  <c r="P109" i="2"/>
  <c r="O109" i="2"/>
  <c r="N109" i="2"/>
  <c r="M109" i="2"/>
  <c r="L109" i="2"/>
  <c r="K109" i="2"/>
  <c r="J109" i="2"/>
  <c r="I109" i="2"/>
  <c r="H109" i="2"/>
  <c r="H738" i="3"/>
  <c r="H682" i="3"/>
  <c r="E69" i="20" l="1"/>
  <c r="C67" i="20"/>
  <c r="C69" i="20" s="1"/>
  <c r="D45" i="33"/>
  <c r="H761" i="3"/>
  <c r="V2" i="2"/>
  <c r="U2" i="2"/>
  <c r="T2" i="2"/>
  <c r="S2" i="2"/>
  <c r="R2" i="2"/>
  <c r="Q2" i="2"/>
  <c r="P2" i="2"/>
  <c r="O2" i="2"/>
  <c r="N2" i="2"/>
  <c r="M2" i="2"/>
  <c r="L2" i="2"/>
  <c r="K2" i="2"/>
  <c r="J2" i="2"/>
  <c r="I2" i="2"/>
  <c r="H2" i="2"/>
  <c r="G2" i="2"/>
  <c r="G668" i="3" l="1"/>
  <c r="H636" i="3"/>
  <c r="H647" i="3" s="1"/>
  <c r="H635" i="3"/>
  <c r="H646" i="3" s="1"/>
  <c r="I635" i="3" s="1"/>
  <c r="H634" i="3"/>
  <c r="H645" i="3" s="1"/>
  <c r="I634" i="3" s="1"/>
  <c r="H633" i="3"/>
  <c r="H644" i="3" s="1"/>
  <c r="I633" i="3" s="1"/>
  <c r="H632" i="3"/>
  <c r="H643" i="3" s="1"/>
  <c r="E4" i="20"/>
  <c r="F4" i="20" s="1"/>
  <c r="G4" i="20" s="1"/>
  <c r="H4" i="20" s="1"/>
  <c r="I4" i="20" s="1"/>
  <c r="J4" i="20" s="1"/>
  <c r="K4" i="20" s="1"/>
  <c r="L4" i="20" s="1"/>
  <c r="M4" i="20" s="1"/>
  <c r="N4" i="20" s="1"/>
  <c r="O4" i="20" s="1"/>
  <c r="P4" i="20" s="1"/>
  <c r="Q4" i="20" s="1"/>
  <c r="R4" i="20" s="1"/>
  <c r="S4" i="20" s="1"/>
  <c r="I632" i="3" l="1"/>
  <c r="I643" i="3" s="1"/>
  <c r="J632" i="3" s="1"/>
  <c r="I644" i="3"/>
  <c r="I636" i="3"/>
  <c r="I647" i="3" s="1"/>
  <c r="H640" i="3"/>
  <c r="I645" i="3"/>
  <c r="I646" i="3"/>
  <c r="J636" i="3" l="1"/>
  <c r="J647" i="3" s="1"/>
  <c r="J633" i="3"/>
  <c r="J644" i="3" s="1"/>
  <c r="J635" i="3"/>
  <c r="J646" i="3" s="1"/>
  <c r="J634" i="3"/>
  <c r="J645" i="3" s="1"/>
  <c r="K634" i="3" s="1"/>
  <c r="K645" i="3" s="1"/>
  <c r="J643" i="3"/>
  <c r="D25" i="33"/>
  <c r="E3" i="33"/>
  <c r="F3" i="33" s="1"/>
  <c r="E2" i="33"/>
  <c r="E114" i="33" l="1"/>
  <c r="E19" i="33"/>
  <c r="E27" i="33" s="1"/>
  <c r="E87" i="33"/>
  <c r="E100" i="33" s="1"/>
  <c r="K635" i="3"/>
  <c r="K646" i="3" s="1"/>
  <c r="K633" i="3"/>
  <c r="K644" i="3" s="1"/>
  <c r="K636" i="3"/>
  <c r="K647" i="3" s="1"/>
  <c r="K632" i="3"/>
  <c r="K643" i="3" s="1"/>
  <c r="L634" i="3"/>
  <c r="L645" i="3" s="1"/>
  <c r="E25" i="33"/>
  <c r="D50" i="33"/>
  <c r="F25" i="33"/>
  <c r="G3" i="33"/>
  <c r="F2" i="33"/>
  <c r="S51" i="20"/>
  <c r="R51" i="20"/>
  <c r="Q51" i="20"/>
  <c r="P51" i="20"/>
  <c r="O51" i="20"/>
  <c r="N51" i="20"/>
  <c r="M51" i="20"/>
  <c r="L51" i="20"/>
  <c r="K51" i="20"/>
  <c r="J51" i="20"/>
  <c r="I51" i="20"/>
  <c r="H51" i="20"/>
  <c r="G51" i="20"/>
  <c r="F51" i="20"/>
  <c r="E51" i="20"/>
  <c r="D51" i="20"/>
  <c r="H681" i="3"/>
  <c r="F114" i="33" l="1"/>
  <c r="E28" i="33"/>
  <c r="E45" i="33" s="1"/>
  <c r="E33" i="33"/>
  <c r="C5" i="36" s="1"/>
  <c r="E30" i="33"/>
  <c r="E29" i="33"/>
  <c r="F87" i="33"/>
  <c r="F100" i="33" s="1"/>
  <c r="E50" i="33"/>
  <c r="F19" i="33"/>
  <c r="F27" i="33" s="1"/>
  <c r="L632" i="3"/>
  <c r="L643" i="3" s="1"/>
  <c r="L635" i="3"/>
  <c r="L646" i="3" s="1"/>
  <c r="L636" i="3"/>
  <c r="L647" i="3" s="1"/>
  <c r="L633" i="3"/>
  <c r="L644" i="3" s="1"/>
  <c r="M634" i="3"/>
  <c r="M645" i="3" s="1"/>
  <c r="N634" i="3" s="1"/>
  <c r="N645" i="3" s="1"/>
  <c r="O634" i="3" s="1"/>
  <c r="O645" i="3" s="1"/>
  <c r="P634" i="3" s="1"/>
  <c r="P645" i="3" s="1"/>
  <c r="G2" i="33"/>
  <c r="G25" i="33"/>
  <c r="H3" i="33"/>
  <c r="D14" i="20"/>
  <c r="D16" i="20"/>
  <c r="S28" i="20"/>
  <c r="R28" i="20"/>
  <c r="Q28" i="20"/>
  <c r="P28" i="20"/>
  <c r="O28" i="20"/>
  <c r="N28" i="20"/>
  <c r="M28" i="20"/>
  <c r="L28" i="20"/>
  <c r="K28" i="20"/>
  <c r="J28" i="20"/>
  <c r="I28" i="20"/>
  <c r="H28" i="20"/>
  <c r="G114" i="33" l="1"/>
  <c r="E75" i="33"/>
  <c r="G87" i="33"/>
  <c r="G100" i="33" s="1"/>
  <c r="D43" i="33"/>
  <c r="E43" i="33"/>
  <c r="C14" i="36" s="1"/>
  <c r="F43" i="33"/>
  <c r="D14" i="36" s="1"/>
  <c r="S35" i="20"/>
  <c r="Q35" i="20"/>
  <c r="L35" i="20"/>
  <c r="R35" i="20"/>
  <c r="O35" i="20"/>
  <c r="F35" i="20"/>
  <c r="M35" i="20"/>
  <c r="N35" i="20"/>
  <c r="P35" i="20"/>
  <c r="G35" i="20"/>
  <c r="E35" i="20"/>
  <c r="F50" i="33"/>
  <c r="F33" i="33"/>
  <c r="F28" i="33"/>
  <c r="F29" i="33"/>
  <c r="F30" i="33"/>
  <c r="D35" i="20"/>
  <c r="G19" i="33"/>
  <c r="C16" i="36"/>
  <c r="M633" i="3"/>
  <c r="M644" i="3" s="1"/>
  <c r="N633" i="3" s="1"/>
  <c r="N644" i="3" s="1"/>
  <c r="O633" i="3" s="1"/>
  <c r="O644" i="3" s="1"/>
  <c r="P633" i="3" s="1"/>
  <c r="P644" i="3" s="1"/>
  <c r="Q633" i="3" s="1"/>
  <c r="Q644" i="3" s="1"/>
  <c r="M636" i="3"/>
  <c r="M647" i="3" s="1"/>
  <c r="N636" i="3" s="1"/>
  <c r="N647" i="3" s="1"/>
  <c r="O636" i="3" s="1"/>
  <c r="O647" i="3" s="1"/>
  <c r="P636" i="3" s="1"/>
  <c r="P647" i="3" s="1"/>
  <c r="Q636" i="3" s="1"/>
  <c r="Q647" i="3" s="1"/>
  <c r="M635" i="3"/>
  <c r="M646" i="3" s="1"/>
  <c r="N635" i="3" s="1"/>
  <c r="N646" i="3" s="1"/>
  <c r="O635" i="3" s="1"/>
  <c r="O646" i="3" s="1"/>
  <c r="M632" i="3"/>
  <c r="M643" i="3" s="1"/>
  <c r="N632" i="3" s="1"/>
  <c r="N643" i="3" s="1"/>
  <c r="O632" i="3" s="1"/>
  <c r="O643" i="3" s="1"/>
  <c r="P632" i="3" s="1"/>
  <c r="P643" i="3" s="1"/>
  <c r="Q632" i="3" s="1"/>
  <c r="Q643" i="3" s="1"/>
  <c r="Q634" i="3"/>
  <c r="Q645" i="3" s="1"/>
  <c r="H25" i="33"/>
  <c r="I3" i="33"/>
  <c r="H2" i="33"/>
  <c r="D17" i="20"/>
  <c r="E57" i="33" l="1"/>
  <c r="F31" i="33"/>
  <c r="E86" i="33"/>
  <c r="E96" i="33"/>
  <c r="F75" i="33"/>
  <c r="F57" i="33" s="1"/>
  <c r="H114" i="33"/>
  <c r="H87" i="33"/>
  <c r="H100" i="33" s="1"/>
  <c r="G43" i="33"/>
  <c r="E14" i="36" s="1"/>
  <c r="E31" i="33"/>
  <c r="I35" i="20"/>
  <c r="H35" i="20"/>
  <c r="J35" i="20"/>
  <c r="K35" i="20"/>
  <c r="D27" i="33"/>
  <c r="D31" i="33" s="1"/>
  <c r="G50" i="33"/>
  <c r="F45" i="33"/>
  <c r="D16" i="36" s="1"/>
  <c r="G33" i="33"/>
  <c r="G28" i="33"/>
  <c r="G30" i="33"/>
  <c r="G29" i="33"/>
  <c r="D5" i="36"/>
  <c r="D20" i="36"/>
  <c r="C20" i="36"/>
  <c r="H19" i="33"/>
  <c r="C33" i="20"/>
  <c r="P635" i="3"/>
  <c r="P646" i="3" s="1"/>
  <c r="Q635" i="3" s="1"/>
  <c r="Q646" i="3" s="1"/>
  <c r="R635" i="3" s="1"/>
  <c r="R646" i="3" s="1"/>
  <c r="R634" i="3"/>
  <c r="R645" i="3" s="1"/>
  <c r="R633" i="3"/>
  <c r="R644" i="3" s="1"/>
  <c r="R632" i="3"/>
  <c r="R643" i="3" s="1"/>
  <c r="R636" i="3"/>
  <c r="R647" i="3" s="1"/>
  <c r="I2" i="33"/>
  <c r="I25" i="33"/>
  <c r="J3" i="33"/>
  <c r="G31" i="33" l="1"/>
  <c r="F96" i="33"/>
  <c r="I114" i="33"/>
  <c r="G75" i="33"/>
  <c r="G57" i="33" s="1"/>
  <c r="F86" i="33"/>
  <c r="C6" i="36"/>
  <c r="D6" i="36"/>
  <c r="I87" i="33"/>
  <c r="I100" i="33" s="1"/>
  <c r="H43" i="33"/>
  <c r="F14" i="36" s="1"/>
  <c r="G45" i="33"/>
  <c r="E16" i="36" s="1"/>
  <c r="H33" i="33"/>
  <c r="H30" i="33"/>
  <c r="H28" i="33"/>
  <c r="H29" i="33"/>
  <c r="E5" i="36"/>
  <c r="D45" i="36"/>
  <c r="C45" i="36"/>
  <c r="E20" i="36"/>
  <c r="I19" i="33"/>
  <c r="O54" i="20"/>
  <c r="I53" i="20"/>
  <c r="N54" i="20"/>
  <c r="H53" i="20"/>
  <c r="M54" i="20"/>
  <c r="G53" i="20"/>
  <c r="L54" i="20"/>
  <c r="F53" i="20"/>
  <c r="K54" i="20"/>
  <c r="E53" i="20"/>
  <c r="J54" i="20"/>
  <c r="D53" i="20"/>
  <c r="I54" i="20"/>
  <c r="H54" i="20"/>
  <c r="G54" i="20"/>
  <c r="F54" i="20"/>
  <c r="E54" i="20"/>
  <c r="D54" i="20"/>
  <c r="S53" i="20"/>
  <c r="R53" i="20"/>
  <c r="Q53" i="20"/>
  <c r="P53" i="20"/>
  <c r="O53" i="20"/>
  <c r="N53" i="20"/>
  <c r="S54" i="20"/>
  <c r="M53" i="20"/>
  <c r="R54" i="20"/>
  <c r="L53" i="20"/>
  <c r="Q54" i="20"/>
  <c r="K53" i="20"/>
  <c r="P54" i="20"/>
  <c r="J53" i="20"/>
  <c r="S636" i="3"/>
  <c r="S647" i="3" s="1"/>
  <c r="S635" i="3"/>
  <c r="S646" i="3" s="1"/>
  <c r="S632" i="3"/>
  <c r="S643" i="3" s="1"/>
  <c r="S633" i="3"/>
  <c r="S644" i="3" s="1"/>
  <c r="S634" i="3"/>
  <c r="S645" i="3" s="1"/>
  <c r="J2" i="33"/>
  <c r="J25" i="33"/>
  <c r="K3" i="33"/>
  <c r="H31" i="33" l="1"/>
  <c r="H75" i="33"/>
  <c r="H57" i="33" s="1"/>
  <c r="J114" i="33"/>
  <c r="G86" i="33"/>
  <c r="G96" i="33"/>
  <c r="E6" i="36"/>
  <c r="H50" i="33"/>
  <c r="J87" i="33"/>
  <c r="J100" i="33" s="1"/>
  <c r="D44" i="33"/>
  <c r="E44" i="33"/>
  <c r="C15" i="36" s="1"/>
  <c r="H44" i="33"/>
  <c r="G44" i="33"/>
  <c r="F44" i="33"/>
  <c r="I43" i="33"/>
  <c r="G14" i="36" s="1"/>
  <c r="I44" i="33"/>
  <c r="G15" i="36" s="1"/>
  <c r="I50" i="33"/>
  <c r="H45" i="33"/>
  <c r="F16" i="36" s="1"/>
  <c r="I33" i="33"/>
  <c r="I30" i="33"/>
  <c r="I28" i="33"/>
  <c r="I29" i="33"/>
  <c r="F5" i="36"/>
  <c r="E45" i="36"/>
  <c r="J19" i="33"/>
  <c r="T632" i="3"/>
  <c r="T643" i="3" s="1"/>
  <c r="T634" i="3"/>
  <c r="T645" i="3" s="1"/>
  <c r="T635" i="3"/>
  <c r="T646" i="3" s="1"/>
  <c r="T636" i="3"/>
  <c r="T647" i="3" s="1"/>
  <c r="T633" i="3"/>
  <c r="T644" i="3" s="1"/>
  <c r="J55" i="20"/>
  <c r="H55" i="20"/>
  <c r="E55" i="20"/>
  <c r="F55" i="20"/>
  <c r="K25" i="33"/>
  <c r="L3" i="33"/>
  <c r="K2" i="33"/>
  <c r="G55" i="20"/>
  <c r="I55" i="20"/>
  <c r="K55" i="20"/>
  <c r="I31" i="33" l="1"/>
  <c r="F20" i="36"/>
  <c r="F45" i="36" s="1"/>
  <c r="I75" i="33"/>
  <c r="I96" i="33" s="1"/>
  <c r="H96" i="33"/>
  <c r="H86" i="33"/>
  <c r="K114" i="33"/>
  <c r="F6" i="36"/>
  <c r="K87" i="33"/>
  <c r="K100" i="33" s="1"/>
  <c r="J43" i="33"/>
  <c r="H14" i="36" s="1"/>
  <c r="J44" i="33"/>
  <c r="H15" i="36" s="1"/>
  <c r="I45" i="33"/>
  <c r="G16" i="36" s="1"/>
  <c r="G41" i="36" s="1"/>
  <c r="J33" i="33"/>
  <c r="J28" i="33"/>
  <c r="J30" i="33"/>
  <c r="J29" i="33"/>
  <c r="G5" i="36"/>
  <c r="C41" i="36"/>
  <c r="G20" i="36"/>
  <c r="F15" i="36"/>
  <c r="F41" i="36" s="1"/>
  <c r="E15" i="36"/>
  <c r="E41" i="36" s="1"/>
  <c r="D15" i="36"/>
  <c r="D41" i="36" s="1"/>
  <c r="K19" i="33"/>
  <c r="U634" i="3"/>
  <c r="U645" i="3" s="1"/>
  <c r="U632" i="3"/>
  <c r="U643" i="3" s="1"/>
  <c r="U633" i="3"/>
  <c r="U644" i="3" s="1"/>
  <c r="U636" i="3"/>
  <c r="U647" i="3" s="1"/>
  <c r="U635" i="3"/>
  <c r="U646" i="3" s="1"/>
  <c r="L2" i="33"/>
  <c r="L25" i="33"/>
  <c r="M3" i="33"/>
  <c r="J31" i="33" l="1"/>
  <c r="I57" i="33"/>
  <c r="J75" i="33"/>
  <c r="J57" i="33" s="1"/>
  <c r="L114" i="33"/>
  <c r="G6" i="36"/>
  <c r="J50" i="33"/>
  <c r="L87" i="33"/>
  <c r="L100" i="33" s="1"/>
  <c r="K44" i="33"/>
  <c r="I15" i="36" s="1"/>
  <c r="K43" i="33"/>
  <c r="I14" i="36" s="1"/>
  <c r="K50" i="33"/>
  <c r="J45" i="33"/>
  <c r="H16" i="36" s="1"/>
  <c r="H41" i="36" s="1"/>
  <c r="K33" i="33"/>
  <c r="K29" i="33"/>
  <c r="K27" i="33"/>
  <c r="K30" i="33"/>
  <c r="K28" i="33"/>
  <c r="H5" i="36"/>
  <c r="G45" i="36"/>
  <c r="L19" i="33"/>
  <c r="V632" i="3"/>
  <c r="V643" i="3" s="1"/>
  <c r="V634" i="3"/>
  <c r="V645" i="3" s="1"/>
  <c r="V635" i="3"/>
  <c r="V646" i="3" s="1"/>
  <c r="V633" i="3"/>
  <c r="V644" i="3" s="1"/>
  <c r="V636" i="3"/>
  <c r="V647" i="3" s="1"/>
  <c r="N3" i="33"/>
  <c r="M25" i="33"/>
  <c r="M2" i="33"/>
  <c r="K31" i="33" l="1"/>
  <c r="H20" i="36"/>
  <c r="H45" i="36" s="1"/>
  <c r="J96" i="33"/>
  <c r="K75" i="33"/>
  <c r="K57" i="33" s="1"/>
  <c r="M114" i="33"/>
  <c r="H6" i="36"/>
  <c r="M87" i="33"/>
  <c r="M100" i="33" s="1"/>
  <c r="L43" i="33"/>
  <c r="J14" i="36" s="1"/>
  <c r="L44" i="33"/>
  <c r="K45" i="33"/>
  <c r="I16" i="36" s="1"/>
  <c r="I41" i="36" s="1"/>
  <c r="L50" i="33"/>
  <c r="L33" i="33"/>
  <c r="L27" i="33"/>
  <c r="L28" i="33"/>
  <c r="L45" i="33" s="1"/>
  <c r="L29" i="33"/>
  <c r="L30" i="33"/>
  <c r="I5" i="36"/>
  <c r="I20" i="36"/>
  <c r="M19" i="33"/>
  <c r="W633" i="3"/>
  <c r="W644" i="3" s="1"/>
  <c r="W635" i="3"/>
  <c r="W646" i="3" s="1"/>
  <c r="W634" i="3"/>
  <c r="W645" i="3" s="1"/>
  <c r="W636" i="3"/>
  <c r="W647" i="3" s="1"/>
  <c r="W632" i="3"/>
  <c r="W643" i="3" s="1"/>
  <c r="O3" i="33"/>
  <c r="N25" i="33"/>
  <c r="N2" i="33"/>
  <c r="L75" i="33" l="1"/>
  <c r="M75" i="33" s="1"/>
  <c r="M57" i="33" s="1"/>
  <c r="L31" i="33"/>
  <c r="K96" i="33"/>
  <c r="I6" i="36"/>
  <c r="N87" i="33"/>
  <c r="N100" i="33" s="1"/>
  <c r="M44" i="33"/>
  <c r="M43" i="33"/>
  <c r="K14" i="36" s="1"/>
  <c r="L57" i="33"/>
  <c r="M50" i="33"/>
  <c r="M33" i="33"/>
  <c r="M28" i="33"/>
  <c r="M27" i="33"/>
  <c r="M29" i="33"/>
  <c r="M30" i="33"/>
  <c r="J5" i="36"/>
  <c r="I45" i="36"/>
  <c r="J20" i="36"/>
  <c r="N19" i="33"/>
  <c r="O2" i="33"/>
  <c r="P3" i="33"/>
  <c r="O25" i="33"/>
  <c r="L96" i="33" l="1"/>
  <c r="M31" i="33"/>
  <c r="O114" i="33"/>
  <c r="O87" i="33"/>
  <c r="O100" i="33" s="1"/>
  <c r="N44" i="33"/>
  <c r="N43" i="33"/>
  <c r="L14" i="36" s="1"/>
  <c r="M14" i="36" s="1"/>
  <c r="N50" i="33"/>
  <c r="M45" i="33"/>
  <c r="K16" i="36" s="1"/>
  <c r="N75" i="33"/>
  <c r="M96" i="33"/>
  <c r="N33" i="33"/>
  <c r="N29" i="33"/>
  <c r="N30" i="33"/>
  <c r="N27" i="33"/>
  <c r="N28" i="33"/>
  <c r="K5" i="36"/>
  <c r="J45" i="36"/>
  <c r="K20" i="36"/>
  <c r="O19" i="33"/>
  <c r="P2" i="33"/>
  <c r="Q3" i="33"/>
  <c r="P25" i="33"/>
  <c r="N31" i="33" l="1"/>
  <c r="P114" i="33"/>
  <c r="K6" i="36"/>
  <c r="C35" i="36"/>
  <c r="D35" i="36" s="1"/>
  <c r="N114" i="33"/>
  <c r="P87" i="33"/>
  <c r="P100" i="33" s="1"/>
  <c r="O43" i="33"/>
  <c r="O44" i="33"/>
  <c r="N96" i="33"/>
  <c r="N57" i="33"/>
  <c r="N45" i="33"/>
  <c r="L16" i="36" s="1"/>
  <c r="O70" i="33"/>
  <c r="O51" i="33" s="1"/>
  <c r="O50" i="33"/>
  <c r="O75" i="33"/>
  <c r="O57" i="33" s="1"/>
  <c r="O33" i="33"/>
  <c r="O30" i="33"/>
  <c r="O28" i="33"/>
  <c r="O45" i="33" s="1"/>
  <c r="O29" i="33"/>
  <c r="O27" i="33"/>
  <c r="L5" i="36"/>
  <c r="M5" i="36" s="1"/>
  <c r="K45" i="36"/>
  <c r="C36" i="36"/>
  <c r="D36" i="36" s="1"/>
  <c r="L20" i="36"/>
  <c r="M20" i="36" s="1"/>
  <c r="P19" i="33"/>
  <c r="Q2" i="33"/>
  <c r="R3" i="33"/>
  <c r="Q25" i="33"/>
  <c r="O31" i="33" l="1"/>
  <c r="Q114" i="33"/>
  <c r="L6" i="36"/>
  <c r="Q87" i="33"/>
  <c r="Q100" i="33" s="1"/>
  <c r="P43" i="33"/>
  <c r="P44" i="33"/>
  <c r="O96" i="33"/>
  <c r="P75" i="33"/>
  <c r="P70" i="33"/>
  <c r="P51" i="33" s="1"/>
  <c r="P50" i="33"/>
  <c r="P33" i="33"/>
  <c r="P29" i="33"/>
  <c r="P27" i="33"/>
  <c r="P28" i="33"/>
  <c r="P45" i="33" s="1"/>
  <c r="P30" i="33"/>
  <c r="L45" i="36"/>
  <c r="M45" i="36" s="1"/>
  <c r="Q19" i="33"/>
  <c r="R2" i="33"/>
  <c r="R25" i="33"/>
  <c r="S3" i="33"/>
  <c r="P31" i="33" l="1"/>
  <c r="R114" i="33"/>
  <c r="Q75" i="33"/>
  <c r="Q96" i="33" s="1"/>
  <c r="P96" i="33"/>
  <c r="R87" i="33"/>
  <c r="R100" i="33" s="1"/>
  <c r="Q43" i="33"/>
  <c r="Q44" i="33"/>
  <c r="P57" i="33"/>
  <c r="Q70" i="33"/>
  <c r="Q51" i="33" s="1"/>
  <c r="Q50" i="33"/>
  <c r="Q33" i="33"/>
  <c r="Q30" i="33"/>
  <c r="Q29" i="33"/>
  <c r="Q27" i="33"/>
  <c r="Q28" i="33"/>
  <c r="Q45" i="33" s="1"/>
  <c r="R19" i="33"/>
  <c r="S25" i="33"/>
  <c r="S2" i="33"/>
  <c r="Q31" i="33" l="1"/>
  <c r="S114" i="33"/>
  <c r="Q57" i="33"/>
  <c r="R75" i="33"/>
  <c r="R96" i="33" s="1"/>
  <c r="S87" i="33"/>
  <c r="S100" i="33" s="1"/>
  <c r="R44" i="33"/>
  <c r="R43" i="33"/>
  <c r="R70" i="33"/>
  <c r="R51" i="33" s="1"/>
  <c r="R50" i="33"/>
  <c r="R33" i="33"/>
  <c r="R30" i="33"/>
  <c r="R29" i="33"/>
  <c r="R28" i="33"/>
  <c r="R45" i="33" s="1"/>
  <c r="R27" i="33"/>
  <c r="S19" i="33"/>
  <c r="C12" i="33"/>
  <c r="R31" i="33" l="1"/>
  <c r="R57" i="33"/>
  <c r="S50" i="33"/>
  <c r="S43" i="33"/>
  <c r="S44" i="33"/>
  <c r="S70" i="33"/>
  <c r="S51" i="33" s="1"/>
  <c r="S33" i="33"/>
  <c r="U33" i="33" s="1"/>
  <c r="S27" i="33"/>
  <c r="S29" i="33"/>
  <c r="S28" i="33"/>
  <c r="S45" i="33" s="1"/>
  <c r="S30" i="33"/>
  <c r="S31" i="33" l="1"/>
  <c r="U69" i="33"/>
  <c r="S75" i="33"/>
  <c r="U50" i="33"/>
  <c r="U43" i="33"/>
  <c r="S96" i="33" l="1"/>
  <c r="U96" i="33" s="1"/>
  <c r="U75" i="33"/>
  <c r="S57" i="33"/>
  <c r="U57" i="33" s="1"/>
  <c r="H726" i="3" l="1"/>
  <c r="H731" i="3" s="1"/>
  <c r="R94" i="2"/>
  <c r="S94" i="2"/>
  <c r="T94" i="2"/>
  <c r="U94" i="2"/>
  <c r="V94" i="2"/>
  <c r="R61" i="2"/>
  <c r="S61" i="2"/>
  <c r="T61" i="2"/>
  <c r="U61" i="2"/>
  <c r="V61" i="2"/>
  <c r="R51" i="2"/>
  <c r="S51" i="2"/>
  <c r="T51" i="2"/>
  <c r="U51" i="2"/>
  <c r="V51" i="2"/>
  <c r="R13" i="2"/>
  <c r="S13" i="2"/>
  <c r="T13" i="2"/>
  <c r="U13" i="2"/>
  <c r="V13" i="2"/>
  <c r="P557" i="3"/>
  <c r="Q557" i="3"/>
  <c r="R557" i="3"/>
  <c r="S557" i="3"/>
  <c r="T557" i="3"/>
  <c r="U557" i="3"/>
  <c r="V557" i="3"/>
  <c r="W557" i="3"/>
  <c r="X557" i="3"/>
  <c r="Y557" i="3"/>
  <c r="Z557" i="3"/>
  <c r="AA557" i="3"/>
  <c r="AB557" i="3"/>
  <c r="AC557" i="3"/>
  <c r="Q94" i="2"/>
  <c r="P94" i="2"/>
  <c r="O94" i="2"/>
  <c r="N94" i="2"/>
  <c r="M94" i="2"/>
  <c r="L94" i="2"/>
  <c r="K94" i="2"/>
  <c r="J94" i="2"/>
  <c r="I94" i="2"/>
  <c r="H94" i="2"/>
  <c r="G94" i="2"/>
  <c r="I653" i="3" l="1"/>
  <c r="J653" i="3"/>
  <c r="K653" i="3"/>
  <c r="U653" i="3"/>
  <c r="H654" i="3"/>
  <c r="I654" i="3"/>
  <c r="J654" i="3"/>
  <c r="K654" i="3"/>
  <c r="L654" i="3"/>
  <c r="M654" i="3"/>
  <c r="N654" i="3"/>
  <c r="O654" i="3"/>
  <c r="P654" i="3"/>
  <c r="Q654" i="3"/>
  <c r="R654" i="3"/>
  <c r="S654" i="3"/>
  <c r="T654" i="3"/>
  <c r="U654" i="3"/>
  <c r="H655" i="3"/>
  <c r="L655" i="3"/>
  <c r="M655" i="3"/>
  <c r="N655" i="3"/>
  <c r="O655" i="3"/>
  <c r="P655" i="3"/>
  <c r="Q655" i="3"/>
  <c r="R655" i="3"/>
  <c r="S655" i="3"/>
  <c r="T655" i="3"/>
  <c r="U655" i="3"/>
  <c r="H656" i="3"/>
  <c r="I656" i="3"/>
  <c r="J656" i="3"/>
  <c r="K656" i="3"/>
  <c r="L656" i="3"/>
  <c r="M656" i="3"/>
  <c r="N656" i="3"/>
  <c r="O656" i="3"/>
  <c r="P656" i="3"/>
  <c r="Q656" i="3"/>
  <c r="R656" i="3"/>
  <c r="S656" i="3"/>
  <c r="T656" i="3"/>
  <c r="W656" i="3"/>
  <c r="H657" i="3"/>
  <c r="I657" i="3"/>
  <c r="J657" i="3"/>
  <c r="K657" i="3"/>
  <c r="L657" i="3"/>
  <c r="M657" i="3"/>
  <c r="N657" i="3"/>
  <c r="O657" i="3"/>
  <c r="P657" i="3"/>
  <c r="Q657" i="3"/>
  <c r="R657" i="3"/>
  <c r="S657" i="3"/>
  <c r="T657" i="3"/>
  <c r="U657" i="3"/>
  <c r="Q51" i="2"/>
  <c r="P51" i="2"/>
  <c r="O51" i="2"/>
  <c r="N51" i="2"/>
  <c r="M51" i="2"/>
  <c r="L51" i="2"/>
  <c r="K51" i="2"/>
  <c r="J51" i="2"/>
  <c r="I51" i="2"/>
  <c r="H51" i="2"/>
  <c r="G51" i="2"/>
  <c r="V655" i="3" l="1"/>
  <c r="W655" i="3"/>
  <c r="V654" i="3"/>
  <c r="W654" i="3"/>
  <c r="V657" i="3"/>
  <c r="W657" i="3"/>
  <c r="V653" i="3"/>
  <c r="T649" i="3"/>
  <c r="K649" i="3"/>
  <c r="H649" i="3"/>
  <c r="T653" i="3"/>
  <c r="T659" i="3" s="1"/>
  <c r="V649" i="3"/>
  <c r="V656" i="3"/>
  <c r="S649" i="3"/>
  <c r="U649" i="3"/>
  <c r="U656" i="3"/>
  <c r="U659" i="3" s="1"/>
  <c r="R649" i="3"/>
  <c r="R653" i="3"/>
  <c r="R659" i="3" s="1"/>
  <c r="S653" i="3"/>
  <c r="S659" i="3" s="1"/>
  <c r="J649" i="3"/>
  <c r="I649" i="3"/>
  <c r="Q649" i="3"/>
  <c r="P649" i="3"/>
  <c r="K655" i="3"/>
  <c r="K659" i="3" s="1"/>
  <c r="Q653" i="3"/>
  <c r="Q659" i="3" s="1"/>
  <c r="O649" i="3"/>
  <c r="H653" i="3"/>
  <c r="H659" i="3" s="1"/>
  <c r="J655" i="3"/>
  <c r="J659" i="3" s="1"/>
  <c r="P653" i="3"/>
  <c r="P659" i="3" s="1"/>
  <c r="N649" i="3"/>
  <c r="I655" i="3"/>
  <c r="I659" i="3" s="1"/>
  <c r="O653" i="3"/>
  <c r="O659" i="3" s="1"/>
  <c r="M649" i="3"/>
  <c r="N653" i="3"/>
  <c r="N659" i="3" s="1"/>
  <c r="L649" i="3"/>
  <c r="M653" i="3"/>
  <c r="M659" i="3" s="1"/>
  <c r="L653" i="3"/>
  <c r="L659" i="3" s="1"/>
  <c r="V659" i="3" l="1"/>
  <c r="U18" i="2" s="1"/>
  <c r="W649" i="3"/>
  <c r="W653" i="3"/>
  <c r="W659" i="3" s="1"/>
  <c r="Q18" i="2"/>
  <c r="M18" i="2"/>
  <c r="T18" i="2"/>
  <c r="K18" i="2"/>
  <c r="J18" i="2"/>
  <c r="N18" i="2"/>
  <c r="R18" i="2"/>
  <c r="O18" i="2"/>
  <c r="P18" i="2"/>
  <c r="L18" i="2"/>
  <c r="I18" i="2"/>
  <c r="S18" i="2"/>
  <c r="N93" i="2" l="1"/>
  <c r="O93" i="2"/>
  <c r="R93" i="2"/>
  <c r="K93" i="2"/>
  <c r="S93" i="2"/>
  <c r="I93" i="2"/>
  <c r="P93" i="2"/>
  <c r="U93" i="2"/>
  <c r="J93" i="2"/>
  <c r="T93" i="2"/>
  <c r="M93" i="2"/>
  <c r="Q93" i="2"/>
  <c r="L93" i="2"/>
  <c r="V18" i="2"/>
  <c r="V93" i="2" l="1"/>
  <c r="G654" i="3"/>
  <c r="G655" i="3"/>
  <c r="G656" i="3"/>
  <c r="G657" i="3"/>
  <c r="G653" i="3"/>
  <c r="Q61" i="2"/>
  <c r="P61" i="2"/>
  <c r="O61" i="2"/>
  <c r="N61" i="2"/>
  <c r="M61" i="2"/>
  <c r="L61" i="2"/>
  <c r="K61" i="2"/>
  <c r="J61" i="2"/>
  <c r="I61" i="2"/>
  <c r="H61" i="2"/>
  <c r="G61" i="2"/>
  <c r="Q13" i="2"/>
  <c r="P13" i="2"/>
  <c r="O13" i="2"/>
  <c r="N13" i="2"/>
  <c r="M13" i="2"/>
  <c r="L13" i="2"/>
  <c r="K13" i="2"/>
  <c r="J13" i="2"/>
  <c r="I13" i="2"/>
  <c r="H13" i="2"/>
  <c r="G13" i="2"/>
  <c r="W640" i="3"/>
  <c r="V105" i="2" s="1"/>
  <c r="V640" i="3"/>
  <c r="U105" i="2" s="1"/>
  <c r="U640" i="3"/>
  <c r="T105" i="2" s="1"/>
  <c r="T640" i="3"/>
  <c r="S105" i="2" s="1"/>
  <c r="S640" i="3"/>
  <c r="R105" i="2" s="1"/>
  <c r="R640" i="3"/>
  <c r="Q105" i="2" s="1"/>
  <c r="Q640" i="3"/>
  <c r="P105" i="2" s="1"/>
  <c r="P640" i="3"/>
  <c r="O105" i="2" s="1"/>
  <c r="O640" i="3"/>
  <c r="N105" i="2" s="1"/>
  <c r="N640" i="3"/>
  <c r="M105" i="2" s="1"/>
  <c r="M640" i="3"/>
  <c r="L105" i="2" s="1"/>
  <c r="L640" i="3"/>
  <c r="K105" i="2" s="1"/>
  <c r="K640" i="3"/>
  <c r="J105" i="2" s="1"/>
  <c r="J640" i="3"/>
  <c r="I105" i="2" s="1"/>
  <c r="I640" i="3"/>
  <c r="H105" i="2" s="1"/>
  <c r="G105" i="2"/>
  <c r="M557" i="3"/>
  <c r="L557" i="3"/>
  <c r="K557" i="3"/>
  <c r="H557" i="3"/>
  <c r="N556" i="3"/>
  <c r="J555" i="3"/>
  <c r="J557" i="3" s="1"/>
  <c r="I555" i="3"/>
  <c r="L553" i="3"/>
  <c r="K553" i="3"/>
  <c r="J553" i="3"/>
  <c r="I553" i="3"/>
  <c r="H553" i="3"/>
  <c r="N552" i="3"/>
  <c r="G372" i="3" s="1"/>
  <c r="N550" i="3"/>
  <c r="K549" i="3"/>
  <c r="J549" i="3"/>
  <c r="I549" i="3"/>
  <c r="H549" i="3"/>
  <c r="N548" i="3"/>
  <c r="N546" i="3"/>
  <c r="N545" i="3"/>
  <c r="N544" i="3"/>
  <c r="H512" i="3" s="1"/>
  <c r="N543" i="3"/>
  <c r="N542" i="3"/>
  <c r="N541" i="3"/>
  <c r="G595" i="3" s="1"/>
  <c r="M539" i="3"/>
  <c r="L539" i="3"/>
  <c r="K539" i="3"/>
  <c r="J539" i="3"/>
  <c r="I539" i="3"/>
  <c r="H539" i="3"/>
  <c r="N538" i="3"/>
  <c r="N537" i="3"/>
  <c r="N536" i="3"/>
  <c r="N535" i="3"/>
  <c r="N534" i="3"/>
  <c r="N533" i="3"/>
  <c r="M532" i="3"/>
  <c r="J532" i="3"/>
  <c r="I532" i="3"/>
  <c r="H532" i="3"/>
  <c r="N531" i="3"/>
  <c r="N530" i="3"/>
  <c r="G588" i="3" s="1"/>
  <c r="N529" i="3"/>
  <c r="G581" i="3" s="1"/>
  <c r="N528" i="3"/>
  <c r="G573" i="3" s="1"/>
  <c r="N527" i="3"/>
  <c r="K526" i="3"/>
  <c r="K532" i="3" s="1"/>
  <c r="H495" i="3"/>
  <c r="I495" i="3" s="1"/>
  <c r="H16" i="2" s="1"/>
  <c r="W436" i="3"/>
  <c r="W440" i="3" s="1"/>
  <c r="V436" i="3"/>
  <c r="V440" i="3" s="1"/>
  <c r="U436" i="3"/>
  <c r="U440" i="3" s="1"/>
  <c r="T436" i="3"/>
  <c r="T440" i="3" s="1"/>
  <c r="S436" i="3"/>
  <c r="S440" i="3" s="1"/>
  <c r="R436" i="3"/>
  <c r="R440" i="3" s="1"/>
  <c r="Q436" i="3"/>
  <c r="Q440" i="3" s="1"/>
  <c r="P436" i="3"/>
  <c r="P440" i="3" s="1"/>
  <c r="O436" i="3"/>
  <c r="O440" i="3" s="1"/>
  <c r="N436" i="3"/>
  <c r="N440" i="3" s="1"/>
  <c r="M436" i="3"/>
  <c r="M440" i="3" s="1"/>
  <c r="L436" i="3"/>
  <c r="L440" i="3" s="1"/>
  <c r="K436" i="3"/>
  <c r="K440" i="3" s="1"/>
  <c r="J436" i="3"/>
  <c r="J440" i="3" s="1"/>
  <c r="I436" i="3"/>
  <c r="I440" i="3" s="1"/>
  <c r="H436" i="3"/>
  <c r="H440" i="3" s="1"/>
  <c r="W428" i="3"/>
  <c r="V428" i="3"/>
  <c r="U428" i="3"/>
  <c r="T428" i="3"/>
  <c r="S428" i="3"/>
  <c r="R428" i="3"/>
  <c r="Q428" i="3"/>
  <c r="P428" i="3"/>
  <c r="O428" i="3"/>
  <c r="N428" i="3"/>
  <c r="M428" i="3"/>
  <c r="L428" i="3"/>
  <c r="K428" i="3"/>
  <c r="J428" i="3"/>
  <c r="I428" i="3"/>
  <c r="H428" i="3"/>
  <c r="H364" i="3"/>
  <c r="H348" i="3"/>
  <c r="H380" i="3" s="1"/>
  <c r="H331" i="3"/>
  <c r="H319" i="3"/>
  <c r="I319" i="3" s="1"/>
  <c r="J319" i="3" s="1"/>
  <c r="H300" i="3"/>
  <c r="H288" i="3"/>
  <c r="I288" i="3" s="1"/>
  <c r="J288" i="3" s="1"/>
  <c r="H269" i="3"/>
  <c r="H257" i="3"/>
  <c r="I257" i="3" s="1"/>
  <c r="J257" i="3" s="1"/>
  <c r="K257" i="3" s="1"/>
  <c r="H238" i="3"/>
  <c r="H226" i="3"/>
  <c r="H180" i="3"/>
  <c r="H168" i="3"/>
  <c r="H142" i="3"/>
  <c r="H130" i="3"/>
  <c r="H104" i="3"/>
  <c r="H92" i="3"/>
  <c r="I59" i="3"/>
  <c r="H59" i="3"/>
  <c r="H189" i="3" s="1"/>
  <c r="W25" i="3"/>
  <c r="W38" i="3" s="1"/>
  <c r="W42" i="3" s="1"/>
  <c r="W46" i="3" s="1"/>
  <c r="V25" i="3"/>
  <c r="U25" i="3"/>
  <c r="T25" i="3"/>
  <c r="T38" i="3" s="1"/>
  <c r="T42" i="3" s="1"/>
  <c r="T46" i="3" s="1"/>
  <c r="S25" i="3"/>
  <c r="R25" i="3"/>
  <c r="R38" i="3" s="1"/>
  <c r="R42" i="3" s="1"/>
  <c r="R46" i="3" s="1"/>
  <c r="R138" i="3" s="1"/>
  <c r="R142" i="3" s="1"/>
  <c r="Q25" i="3"/>
  <c r="Q29" i="3" s="1"/>
  <c r="Q32" i="3" s="1"/>
  <c r="P25" i="3"/>
  <c r="P29" i="3" s="1"/>
  <c r="O25" i="3"/>
  <c r="O29" i="3" s="1"/>
  <c r="N25" i="3"/>
  <c r="N38" i="3" s="1"/>
  <c r="N42" i="3" s="1"/>
  <c r="N46" i="3" s="1"/>
  <c r="M25" i="3"/>
  <c r="M29" i="3" s="1"/>
  <c r="M422" i="3" s="1"/>
  <c r="L25" i="3"/>
  <c r="L29" i="3" s="1"/>
  <c r="K25" i="3"/>
  <c r="K38" i="3" s="1"/>
  <c r="K42" i="3" s="1"/>
  <c r="K46" i="3" s="1"/>
  <c r="J25" i="3"/>
  <c r="J29" i="3" s="1"/>
  <c r="I25" i="3"/>
  <c r="H25" i="3"/>
  <c r="H29" i="3" s="1"/>
  <c r="X23" i="2"/>
  <c r="X22" i="2"/>
  <c r="X20" i="2"/>
  <c r="X19" i="2"/>
  <c r="G659" i="3" l="1"/>
  <c r="D60" i="20"/>
  <c r="E60" i="20"/>
  <c r="E70" i="33" s="1"/>
  <c r="E51" i="33" s="1"/>
  <c r="M60" i="20"/>
  <c r="M70" i="33" s="1"/>
  <c r="M51" i="33" s="1"/>
  <c r="L60" i="20"/>
  <c r="L70" i="33" s="1"/>
  <c r="L51" i="33" s="1"/>
  <c r="F60" i="20"/>
  <c r="F70" i="33" s="1"/>
  <c r="F51" i="33" s="1"/>
  <c r="N60" i="20"/>
  <c r="N70" i="33" s="1"/>
  <c r="N51" i="33" s="1"/>
  <c r="O60" i="20"/>
  <c r="H60" i="20"/>
  <c r="H70" i="33" s="1"/>
  <c r="H51" i="33" s="1"/>
  <c r="P60" i="20"/>
  <c r="I60" i="20"/>
  <c r="I70" i="33" s="1"/>
  <c r="I51" i="33" s="1"/>
  <c r="Q60" i="20"/>
  <c r="G60" i="20"/>
  <c r="G70" i="33" s="1"/>
  <c r="G51" i="33" s="1"/>
  <c r="J60" i="20"/>
  <c r="J70" i="33" s="1"/>
  <c r="J51" i="33" s="1"/>
  <c r="R60" i="20"/>
  <c r="K60" i="20"/>
  <c r="K70" i="33" s="1"/>
  <c r="K51" i="33" s="1"/>
  <c r="S60" i="20"/>
  <c r="P108" i="2"/>
  <c r="Q771" i="3" s="1"/>
  <c r="S108" i="2"/>
  <c r="T771" i="3" s="1"/>
  <c r="U108" i="2"/>
  <c r="V771" i="3" s="1"/>
  <c r="J108" i="2"/>
  <c r="K771" i="3" s="1"/>
  <c r="V108" i="2"/>
  <c r="W771" i="3" s="1"/>
  <c r="K108" i="2"/>
  <c r="L771" i="3" s="1"/>
  <c r="Q108" i="2"/>
  <c r="R771" i="3" s="1"/>
  <c r="R108" i="2"/>
  <c r="S771" i="3" s="1"/>
  <c r="N108" i="2"/>
  <c r="O771" i="3" s="1"/>
  <c r="H108" i="2"/>
  <c r="I771" i="3" s="1"/>
  <c r="T108" i="2"/>
  <c r="U771" i="3" s="1"/>
  <c r="I108" i="2"/>
  <c r="J771" i="3" s="1"/>
  <c r="L108" i="2"/>
  <c r="M771" i="3" s="1"/>
  <c r="M108" i="2"/>
  <c r="N771" i="3" s="1"/>
  <c r="O108" i="2"/>
  <c r="P771" i="3" s="1"/>
  <c r="H369" i="3"/>
  <c r="H371" i="3" s="1"/>
  <c r="H367" i="3"/>
  <c r="H370" i="3"/>
  <c r="G96" i="2" s="1"/>
  <c r="O557" i="3"/>
  <c r="G749" i="3"/>
  <c r="H745" i="3" s="1"/>
  <c r="G597" i="3"/>
  <c r="G649" i="3"/>
  <c r="G670" i="3" s="1"/>
  <c r="H182" i="3"/>
  <c r="H190" i="3" s="1"/>
  <c r="H191" i="3" s="1"/>
  <c r="H192" i="3" s="1"/>
  <c r="R29" i="3"/>
  <c r="R32" i="3" s="1"/>
  <c r="O38" i="3"/>
  <c r="O42" i="3" s="1"/>
  <c r="O46" i="3" s="1"/>
  <c r="O67" i="3" s="1"/>
  <c r="P38" i="3"/>
  <c r="P42" i="3" s="1"/>
  <c r="P46" i="3" s="1"/>
  <c r="P49" i="3" s="1"/>
  <c r="Q38" i="3"/>
  <c r="Q42" i="3" s="1"/>
  <c r="Q46" i="3" s="1"/>
  <c r="Q67" i="3" s="1"/>
  <c r="H68" i="3"/>
  <c r="H387" i="3"/>
  <c r="K540" i="3"/>
  <c r="H271" i="3"/>
  <c r="H274" i="3" s="1"/>
  <c r="H176" i="3"/>
  <c r="W29" i="3"/>
  <c r="W32" i="3" s="1"/>
  <c r="Z13" i="2"/>
  <c r="L32" i="3"/>
  <c r="L100" i="3"/>
  <c r="L104" i="3" s="1"/>
  <c r="P100" i="3"/>
  <c r="P104" i="3" s="1"/>
  <c r="P32" i="3"/>
  <c r="P66" i="3"/>
  <c r="G16" i="2"/>
  <c r="H351" i="3"/>
  <c r="H498" i="3"/>
  <c r="X13" i="2"/>
  <c r="H540" i="3"/>
  <c r="K29" i="3"/>
  <c r="K32" i="3" s="1"/>
  <c r="L38" i="3"/>
  <c r="L42" i="3" s="1"/>
  <c r="L46" i="3" s="1"/>
  <c r="L138" i="3" s="1"/>
  <c r="L142" i="3" s="1"/>
  <c r="I540" i="3"/>
  <c r="I554" i="3"/>
  <c r="M38" i="3"/>
  <c r="M42" i="3" s="1"/>
  <c r="M46" i="3" s="1"/>
  <c r="M138" i="3" s="1"/>
  <c r="M142" i="3" s="1"/>
  <c r="M100" i="3"/>
  <c r="M104" i="3" s="1"/>
  <c r="J540" i="3"/>
  <c r="J554" i="3"/>
  <c r="J558" i="3" s="1"/>
  <c r="N29" i="3"/>
  <c r="N32" i="3" s="1"/>
  <c r="K554" i="3"/>
  <c r="K558" i="3" s="1"/>
  <c r="M113" i="3"/>
  <c r="L526" i="3"/>
  <c r="L547" i="3" s="1"/>
  <c r="M66" i="3"/>
  <c r="H422" i="3"/>
  <c r="H66" i="3"/>
  <c r="H100" i="3"/>
  <c r="H359" i="3"/>
  <c r="H361" i="3" s="1"/>
  <c r="H106" i="3"/>
  <c r="H32" i="3"/>
  <c r="I92" i="3"/>
  <c r="J422" i="3"/>
  <c r="J113" i="3"/>
  <c r="J100" i="3"/>
  <c r="J104" i="3" s="1"/>
  <c r="J66" i="3"/>
  <c r="J32" i="3"/>
  <c r="I168" i="3"/>
  <c r="H38" i="3"/>
  <c r="H42" i="3" s="1"/>
  <c r="H46" i="3" s="1"/>
  <c r="T49" i="3"/>
  <c r="T151" i="3"/>
  <c r="T138" i="3"/>
  <c r="T142" i="3" s="1"/>
  <c r="T67" i="3"/>
  <c r="U38" i="3"/>
  <c r="U42" i="3" s="1"/>
  <c r="U46" i="3" s="1"/>
  <c r="U29" i="3"/>
  <c r="K67" i="3"/>
  <c r="K151" i="3"/>
  <c r="K49" i="3"/>
  <c r="K138" i="3"/>
  <c r="K142" i="3" s="1"/>
  <c r="I189" i="3"/>
  <c r="J59" i="3"/>
  <c r="I176" i="3"/>
  <c r="I180" i="3" s="1"/>
  <c r="I68" i="3"/>
  <c r="I62" i="3"/>
  <c r="N138" i="3"/>
  <c r="N142" i="3" s="1"/>
  <c r="N151" i="3"/>
  <c r="N49" i="3"/>
  <c r="N67" i="3"/>
  <c r="J38" i="3"/>
  <c r="J42" i="3" s="1"/>
  <c r="J46" i="3" s="1"/>
  <c r="I38" i="3"/>
  <c r="I42" i="3" s="1"/>
  <c r="I46" i="3" s="1"/>
  <c r="I29" i="3"/>
  <c r="V29" i="3"/>
  <c r="V38" i="3"/>
  <c r="V42" i="3" s="1"/>
  <c r="V46" i="3" s="1"/>
  <c r="S29" i="3"/>
  <c r="S38" i="3"/>
  <c r="S42" i="3" s="1"/>
  <c r="S46" i="3" s="1"/>
  <c r="T29" i="3"/>
  <c r="H113" i="3"/>
  <c r="M453" i="3"/>
  <c r="M430" i="3"/>
  <c r="M442" i="3" s="1"/>
  <c r="L422" i="3"/>
  <c r="L66" i="3"/>
  <c r="L113" i="3"/>
  <c r="M32" i="3"/>
  <c r="Q66" i="3"/>
  <c r="R67" i="3"/>
  <c r="R49" i="3"/>
  <c r="R151" i="3"/>
  <c r="K288" i="3"/>
  <c r="W67" i="3"/>
  <c r="W138" i="3"/>
  <c r="W142" i="3" s="1"/>
  <c r="W49" i="3"/>
  <c r="W151" i="3"/>
  <c r="P422" i="3"/>
  <c r="P113" i="3"/>
  <c r="H144" i="3"/>
  <c r="I130" i="3"/>
  <c r="O422" i="3"/>
  <c r="O113" i="3"/>
  <c r="O100" i="3"/>
  <c r="O104" i="3" s="1"/>
  <c r="O66" i="3"/>
  <c r="O32" i="3"/>
  <c r="Q422" i="3"/>
  <c r="Q113" i="3"/>
  <c r="Q100" i="3"/>
  <c r="Q104" i="3" s="1"/>
  <c r="I226" i="3"/>
  <c r="H240" i="3"/>
  <c r="L257" i="3"/>
  <c r="H62" i="3"/>
  <c r="H302" i="3"/>
  <c r="K319" i="3"/>
  <c r="H388" i="3"/>
  <c r="H580" i="3" s="1"/>
  <c r="H595" i="3" s="1"/>
  <c r="G58" i="2" s="1"/>
  <c r="I498" i="3"/>
  <c r="J495" i="3"/>
  <c r="I16" i="2" s="1"/>
  <c r="H381" i="3"/>
  <c r="I557" i="3"/>
  <c r="N555" i="3"/>
  <c r="M540" i="3"/>
  <c r="N539" i="3"/>
  <c r="H554" i="3"/>
  <c r="H558" i="3" s="1"/>
  <c r="H333" i="3"/>
  <c r="K21" i="36" l="1"/>
  <c r="L21" i="36"/>
  <c r="H372" i="3"/>
  <c r="D51" i="33"/>
  <c r="D21" i="36"/>
  <c r="G101" i="2"/>
  <c r="N557" i="3"/>
  <c r="H185" i="3"/>
  <c r="R422" i="3"/>
  <c r="R430" i="3" s="1"/>
  <c r="R442" i="3" s="1"/>
  <c r="Q138" i="3"/>
  <c r="Q142" i="3" s="1"/>
  <c r="K422" i="3"/>
  <c r="K453" i="3" s="1"/>
  <c r="R66" i="3"/>
  <c r="R100" i="3"/>
  <c r="R104" i="3" s="1"/>
  <c r="R113" i="3"/>
  <c r="W422" i="3"/>
  <c r="W453" i="3" s="1"/>
  <c r="H581" i="3"/>
  <c r="G46" i="2" s="1"/>
  <c r="H588" i="3"/>
  <c r="G47" i="2" s="1"/>
  <c r="O151" i="3"/>
  <c r="Q49" i="3"/>
  <c r="H377" i="3"/>
  <c r="O138" i="3"/>
  <c r="O142" i="3" s="1"/>
  <c r="P67" i="3"/>
  <c r="H389" i="3"/>
  <c r="H396" i="3" s="1"/>
  <c r="G11" i="2" s="1"/>
  <c r="O49" i="3"/>
  <c r="K561" i="3"/>
  <c r="P138" i="3"/>
  <c r="P142" i="3" s="1"/>
  <c r="P151" i="3"/>
  <c r="Q151" i="3"/>
  <c r="N100" i="3"/>
  <c r="N104" i="3" s="1"/>
  <c r="L67" i="3"/>
  <c r="N113" i="3"/>
  <c r="L151" i="3"/>
  <c r="H561" i="3"/>
  <c r="L49" i="3"/>
  <c r="N422" i="3"/>
  <c r="N453" i="3" s="1"/>
  <c r="W113" i="3"/>
  <c r="W66" i="3"/>
  <c r="J561" i="3"/>
  <c r="W100" i="3"/>
  <c r="W104" i="3" s="1"/>
  <c r="N66" i="3"/>
  <c r="N526" i="3"/>
  <c r="L532" i="3"/>
  <c r="L540" i="3" s="1"/>
  <c r="M67" i="3"/>
  <c r="M151" i="3"/>
  <c r="M49" i="3"/>
  <c r="K100" i="3"/>
  <c r="K104" i="3" s="1"/>
  <c r="M547" i="3"/>
  <c r="N547" i="3" s="1"/>
  <c r="N549" i="3" s="1"/>
  <c r="L549" i="3"/>
  <c r="L554" i="3" s="1"/>
  <c r="L558" i="3" s="1"/>
  <c r="K66" i="3"/>
  <c r="I558" i="3"/>
  <c r="I561" i="3" s="1"/>
  <c r="K113" i="3"/>
  <c r="M361" i="3"/>
  <c r="U361" i="3"/>
  <c r="I361" i="3"/>
  <c r="T361" i="3"/>
  <c r="S361" i="3"/>
  <c r="Q361" i="3"/>
  <c r="P361" i="3"/>
  <c r="L361" i="3"/>
  <c r="O361" i="3"/>
  <c r="R361" i="3"/>
  <c r="N361" i="3"/>
  <c r="W361" i="3"/>
  <c r="V361" i="3"/>
  <c r="K361" i="3"/>
  <c r="J361" i="3"/>
  <c r="J67" i="3"/>
  <c r="J138" i="3"/>
  <c r="J142" i="3" s="1"/>
  <c r="J151" i="3"/>
  <c r="J49" i="3"/>
  <c r="K495" i="3"/>
  <c r="J16" i="2" s="1"/>
  <c r="J498" i="3"/>
  <c r="O453" i="3"/>
  <c r="O430" i="3"/>
  <c r="O442" i="3" s="1"/>
  <c r="L288" i="3"/>
  <c r="I32" i="3"/>
  <c r="I113" i="3"/>
  <c r="I100" i="3"/>
  <c r="I104" i="3" s="1"/>
  <c r="I66" i="3"/>
  <c r="I422" i="3"/>
  <c r="V100" i="3"/>
  <c r="V104" i="3" s="1"/>
  <c r="V66" i="3"/>
  <c r="V113" i="3"/>
  <c r="V422" i="3"/>
  <c r="V32" i="3"/>
  <c r="I182" i="3"/>
  <c r="J168" i="3"/>
  <c r="U49" i="3"/>
  <c r="U151" i="3"/>
  <c r="U138" i="3"/>
  <c r="U142" i="3" s="1"/>
  <c r="U67" i="3"/>
  <c r="S138" i="3"/>
  <c r="S142" i="3" s="1"/>
  <c r="S67" i="3"/>
  <c r="S49" i="3"/>
  <c r="S151" i="3"/>
  <c r="M467" i="3"/>
  <c r="M445" i="3"/>
  <c r="J430" i="3"/>
  <c r="J442" i="3" s="1"/>
  <c r="J453" i="3"/>
  <c r="H453" i="3"/>
  <c r="H430" i="3"/>
  <c r="H442" i="3" s="1"/>
  <c r="H151" i="3"/>
  <c r="H67" i="3"/>
  <c r="H69" i="3" s="1"/>
  <c r="H138" i="3"/>
  <c r="H49" i="3"/>
  <c r="M257" i="3"/>
  <c r="T422" i="3"/>
  <c r="T100" i="3"/>
  <c r="T104" i="3" s="1"/>
  <c r="T32" i="3"/>
  <c r="T66" i="3"/>
  <c r="T113" i="3"/>
  <c r="P453" i="3"/>
  <c r="P430" i="3"/>
  <c r="P442" i="3" s="1"/>
  <c r="S422" i="3"/>
  <c r="S113" i="3"/>
  <c r="S32" i="3"/>
  <c r="S66" i="3"/>
  <c r="S100" i="3"/>
  <c r="S104" i="3" s="1"/>
  <c r="L319" i="3"/>
  <c r="Q453" i="3"/>
  <c r="Q430" i="3"/>
  <c r="Q442" i="3" s="1"/>
  <c r="L430" i="3"/>
  <c r="L442" i="3" s="1"/>
  <c r="L453" i="3"/>
  <c r="I138" i="3"/>
  <c r="I142" i="3" s="1"/>
  <c r="I144" i="3" s="1"/>
  <c r="I151" i="3"/>
  <c r="I67" i="3"/>
  <c r="I49" i="3"/>
  <c r="U422" i="3"/>
  <c r="U100" i="3"/>
  <c r="U104" i="3" s="1"/>
  <c r="U32" i="3"/>
  <c r="U66" i="3"/>
  <c r="U113" i="3"/>
  <c r="J130" i="3"/>
  <c r="H395" i="3"/>
  <c r="H198" i="3"/>
  <c r="G9" i="2" s="1"/>
  <c r="H114" i="3"/>
  <c r="H115" i="3" s="1"/>
  <c r="H116" i="3" s="1"/>
  <c r="H109" i="3"/>
  <c r="H152" i="3"/>
  <c r="H147" i="3"/>
  <c r="J226" i="3"/>
  <c r="H378" i="3"/>
  <c r="H305" i="3"/>
  <c r="J92" i="3"/>
  <c r="I359" i="3"/>
  <c r="H376" i="3"/>
  <c r="H243" i="3"/>
  <c r="H379" i="3"/>
  <c r="H336" i="3"/>
  <c r="V67" i="3"/>
  <c r="V138" i="3"/>
  <c r="V142" i="3" s="1"/>
  <c r="V49" i="3"/>
  <c r="V151" i="3"/>
  <c r="K59" i="3"/>
  <c r="J176" i="3"/>
  <c r="J180" i="3" s="1"/>
  <c r="J62" i="3"/>
  <c r="J189" i="3"/>
  <c r="J68" i="3"/>
  <c r="U70" i="33" l="1"/>
  <c r="L46" i="36"/>
  <c r="K46" i="36"/>
  <c r="J21" i="36"/>
  <c r="F21" i="36"/>
  <c r="D46" i="36"/>
  <c r="H21" i="36"/>
  <c r="I21" i="36"/>
  <c r="E21" i="36"/>
  <c r="G21" i="36"/>
  <c r="C21" i="36"/>
  <c r="U51" i="33"/>
  <c r="G70" i="2"/>
  <c r="I369" i="3"/>
  <c r="I371" i="3" s="1"/>
  <c r="N532" i="3"/>
  <c r="N540" i="3" s="1"/>
  <c r="G118" i="2"/>
  <c r="H662" i="3"/>
  <c r="I662" i="3" s="1"/>
  <c r="J662" i="3" s="1"/>
  <c r="K662" i="3" s="1"/>
  <c r="G18" i="2"/>
  <c r="H663" i="3"/>
  <c r="H665" i="3"/>
  <c r="I665" i="3" s="1"/>
  <c r="J665" i="3" s="1"/>
  <c r="K665" i="3" s="1"/>
  <c r="L665" i="3" s="1"/>
  <c r="M665" i="3" s="1"/>
  <c r="N665" i="3" s="1"/>
  <c r="O665" i="3" s="1"/>
  <c r="P665" i="3" s="1"/>
  <c r="Q665" i="3" s="1"/>
  <c r="R665" i="3" s="1"/>
  <c r="S665" i="3" s="1"/>
  <c r="T665" i="3" s="1"/>
  <c r="U665" i="3" s="1"/>
  <c r="V665" i="3" s="1"/>
  <c r="W665" i="3" s="1"/>
  <c r="H664" i="3"/>
  <c r="I664" i="3" s="1"/>
  <c r="H666" i="3"/>
  <c r="I666" i="3" s="1"/>
  <c r="J666" i="3" s="1"/>
  <c r="K666" i="3" s="1"/>
  <c r="L666" i="3" s="1"/>
  <c r="M666" i="3" s="1"/>
  <c r="N666" i="3" s="1"/>
  <c r="O666" i="3" s="1"/>
  <c r="P666" i="3" s="1"/>
  <c r="Q666" i="3" s="1"/>
  <c r="R666" i="3" s="1"/>
  <c r="S666" i="3" s="1"/>
  <c r="T666" i="3" s="1"/>
  <c r="U666" i="3" s="1"/>
  <c r="V666" i="3" s="1"/>
  <c r="W666" i="3" s="1"/>
  <c r="R453" i="3"/>
  <c r="K430" i="3"/>
  <c r="K442" i="3" s="1"/>
  <c r="K467" i="3" s="1"/>
  <c r="W430" i="3"/>
  <c r="W442" i="3" s="1"/>
  <c r="W467" i="3" s="1"/>
  <c r="J69" i="3"/>
  <c r="J234" i="3" s="1"/>
  <c r="J238" i="3" s="1"/>
  <c r="J240" i="3" s="1"/>
  <c r="N430" i="3"/>
  <c r="N442" i="3" s="1"/>
  <c r="N445" i="3" s="1"/>
  <c r="I106" i="3"/>
  <c r="I109" i="3" s="1"/>
  <c r="I364" i="3"/>
  <c r="M549" i="3"/>
  <c r="M551" i="3"/>
  <c r="H382" i="3"/>
  <c r="H383" i="3" s="1"/>
  <c r="H573" i="3"/>
  <c r="G8" i="2"/>
  <c r="L561" i="3"/>
  <c r="H478" i="3"/>
  <c r="H482" i="3" s="1"/>
  <c r="H394" i="3"/>
  <c r="H397" i="3" s="1"/>
  <c r="H344" i="3"/>
  <c r="H296" i="3"/>
  <c r="H72" i="3"/>
  <c r="H265" i="3"/>
  <c r="H327" i="3"/>
  <c r="H197" i="3"/>
  <c r="H199" i="3" s="1"/>
  <c r="H234" i="3"/>
  <c r="I147" i="3"/>
  <c r="I152" i="3"/>
  <c r="I153" i="3" s="1"/>
  <c r="I154" i="3" s="1"/>
  <c r="S453" i="3"/>
  <c r="S430" i="3"/>
  <c r="S442" i="3" s="1"/>
  <c r="I69" i="3"/>
  <c r="O445" i="3"/>
  <c r="O467" i="3"/>
  <c r="I453" i="3"/>
  <c r="I430" i="3"/>
  <c r="I442" i="3" s="1"/>
  <c r="L467" i="3"/>
  <c r="L445" i="3"/>
  <c r="J445" i="3"/>
  <c r="J467" i="3"/>
  <c r="I185" i="3"/>
  <c r="I190" i="3"/>
  <c r="I191" i="3" s="1"/>
  <c r="I192" i="3" s="1"/>
  <c r="T453" i="3"/>
  <c r="T430" i="3"/>
  <c r="T442" i="3" s="1"/>
  <c r="H467" i="3"/>
  <c r="H445" i="3"/>
  <c r="P445" i="3"/>
  <c r="P467" i="3"/>
  <c r="Q467" i="3"/>
  <c r="Q445" i="3"/>
  <c r="J182" i="3"/>
  <c r="K168" i="3"/>
  <c r="K130" i="3"/>
  <c r="J144" i="3"/>
  <c r="N257" i="3"/>
  <c r="U453" i="3"/>
  <c r="U430" i="3"/>
  <c r="U442" i="3" s="1"/>
  <c r="J359" i="3"/>
  <c r="J364" i="3" s="1"/>
  <c r="J370" i="3" s="1"/>
  <c r="J106" i="3"/>
  <c r="K92" i="3"/>
  <c r="H153" i="3"/>
  <c r="H154" i="3" s="1"/>
  <c r="V430" i="3"/>
  <c r="V442" i="3" s="1"/>
  <c r="V453" i="3"/>
  <c r="K498" i="3"/>
  <c r="L495" i="3"/>
  <c r="K16" i="2" s="1"/>
  <c r="K226" i="3"/>
  <c r="M288" i="3"/>
  <c r="M319" i="3"/>
  <c r="K176" i="3"/>
  <c r="K180" i="3" s="1"/>
  <c r="K189" i="3"/>
  <c r="K62" i="3"/>
  <c r="K68" i="3"/>
  <c r="K69" i="3" s="1"/>
  <c r="L59" i="3"/>
  <c r="R467" i="3"/>
  <c r="R445" i="3"/>
  <c r="M21" i="36" l="1"/>
  <c r="G46" i="36"/>
  <c r="E46" i="36"/>
  <c r="I46" i="36"/>
  <c r="H46" i="36"/>
  <c r="F46" i="36"/>
  <c r="J46" i="36"/>
  <c r="C46" i="36"/>
  <c r="H668" i="3"/>
  <c r="H670" i="3" s="1"/>
  <c r="I663" i="3"/>
  <c r="I668" i="3" s="1"/>
  <c r="I670" i="3" s="1"/>
  <c r="H50" i="2" s="1"/>
  <c r="H769" i="3"/>
  <c r="I96" i="2"/>
  <c r="I387" i="3"/>
  <c r="I370" i="3"/>
  <c r="I372" i="3" s="1"/>
  <c r="K445" i="3"/>
  <c r="G45" i="2"/>
  <c r="H597" i="3"/>
  <c r="G93" i="2"/>
  <c r="J664" i="3"/>
  <c r="N467" i="3"/>
  <c r="L662" i="3"/>
  <c r="I8" i="2"/>
  <c r="W445" i="3"/>
  <c r="J394" i="3"/>
  <c r="J327" i="3"/>
  <c r="J331" i="3" s="1"/>
  <c r="J333" i="3" s="1"/>
  <c r="J336" i="3" s="1"/>
  <c r="J296" i="3"/>
  <c r="J300" i="3" s="1"/>
  <c r="J302" i="3" s="1"/>
  <c r="J305" i="3" s="1"/>
  <c r="J478" i="3"/>
  <c r="J482" i="3" s="1"/>
  <c r="J485" i="3" s="1"/>
  <c r="I114" i="3"/>
  <c r="I115" i="3" s="1"/>
  <c r="I116" i="3" s="1"/>
  <c r="I395" i="3"/>
  <c r="J265" i="3"/>
  <c r="J269" i="3" s="1"/>
  <c r="J271" i="3" s="1"/>
  <c r="J377" i="3" s="1"/>
  <c r="J72" i="3"/>
  <c r="J344" i="3"/>
  <c r="J348" i="3" s="1"/>
  <c r="J380" i="3" s="1"/>
  <c r="J573" i="3"/>
  <c r="J197" i="3"/>
  <c r="I198" i="3"/>
  <c r="H9" i="2" s="1"/>
  <c r="I367" i="3"/>
  <c r="I381" i="3"/>
  <c r="K573" i="3"/>
  <c r="J8" i="2"/>
  <c r="G10" i="2"/>
  <c r="H485" i="3"/>
  <c r="G15" i="2"/>
  <c r="I573" i="3"/>
  <c r="H8" i="2"/>
  <c r="M553" i="3"/>
  <c r="M554" i="3" s="1"/>
  <c r="M558" i="3" s="1"/>
  <c r="M561" i="3" s="1"/>
  <c r="N551" i="3"/>
  <c r="L189" i="3"/>
  <c r="L68" i="3"/>
  <c r="L69" i="3" s="1"/>
  <c r="L62" i="3"/>
  <c r="L176" i="3"/>
  <c r="L180" i="3" s="1"/>
  <c r="M59" i="3"/>
  <c r="O257" i="3"/>
  <c r="K394" i="3"/>
  <c r="K344" i="3"/>
  <c r="K348" i="3" s="1"/>
  <c r="K296" i="3"/>
  <c r="K300" i="3" s="1"/>
  <c r="K302" i="3" s="1"/>
  <c r="K234" i="3"/>
  <c r="K238" i="3" s="1"/>
  <c r="K197" i="3"/>
  <c r="K478" i="3"/>
  <c r="K482" i="3" s="1"/>
  <c r="K72" i="3"/>
  <c r="K265" i="3"/>
  <c r="K269" i="3" s="1"/>
  <c r="K271" i="3" s="1"/>
  <c r="K327" i="3"/>
  <c r="K331" i="3" s="1"/>
  <c r="K333" i="3" s="1"/>
  <c r="J395" i="3"/>
  <c r="J114" i="3"/>
  <c r="J115" i="3" s="1"/>
  <c r="J116" i="3" s="1"/>
  <c r="J109" i="3"/>
  <c r="J198" i="3"/>
  <c r="I9" i="2" s="1"/>
  <c r="V467" i="3"/>
  <c r="V445" i="3"/>
  <c r="J381" i="3"/>
  <c r="J367" i="3"/>
  <c r="J243" i="3"/>
  <c r="J376" i="3"/>
  <c r="J387" i="3"/>
  <c r="J152" i="3"/>
  <c r="J153" i="3" s="1"/>
  <c r="J154" i="3" s="1"/>
  <c r="J147" i="3"/>
  <c r="T467" i="3"/>
  <c r="T445" i="3"/>
  <c r="L226" i="3"/>
  <c r="M495" i="3"/>
  <c r="L16" i="2" s="1"/>
  <c r="L498" i="3"/>
  <c r="N288" i="3"/>
  <c r="I467" i="3"/>
  <c r="I445" i="3"/>
  <c r="K182" i="3"/>
  <c r="L168" i="3"/>
  <c r="S467" i="3"/>
  <c r="S445" i="3"/>
  <c r="H451" i="3"/>
  <c r="H456" i="3" s="1"/>
  <c r="H460" i="3" s="1"/>
  <c r="H398" i="3"/>
  <c r="H401" i="3"/>
  <c r="K359" i="3"/>
  <c r="K364" i="3" s="1"/>
  <c r="K106" i="3"/>
  <c r="L92" i="3"/>
  <c r="H200" i="3"/>
  <c r="H203" i="3"/>
  <c r="N319" i="3"/>
  <c r="K144" i="3"/>
  <c r="L130" i="3"/>
  <c r="U467" i="3"/>
  <c r="U445" i="3"/>
  <c r="I478" i="3"/>
  <c r="I482" i="3" s="1"/>
  <c r="I394" i="3"/>
  <c r="I327" i="3"/>
  <c r="I331" i="3" s="1"/>
  <c r="I333" i="3" s="1"/>
  <c r="I344" i="3"/>
  <c r="I348" i="3" s="1"/>
  <c r="I296" i="3"/>
  <c r="I300" i="3" s="1"/>
  <c r="I302" i="3" s="1"/>
  <c r="I265" i="3"/>
  <c r="I269" i="3" s="1"/>
  <c r="I271" i="3" s="1"/>
  <c r="I197" i="3"/>
  <c r="I72" i="3"/>
  <c r="I234" i="3"/>
  <c r="I238" i="3" s="1"/>
  <c r="J190" i="3"/>
  <c r="J191" i="3" s="1"/>
  <c r="J192" i="3" s="1"/>
  <c r="J185" i="3"/>
  <c r="M46" i="36" l="1"/>
  <c r="J663" i="3"/>
  <c r="H598" i="3"/>
  <c r="G99" i="2" s="1"/>
  <c r="H96" i="2"/>
  <c r="K387" i="3"/>
  <c r="K370" i="3"/>
  <c r="J45" i="2"/>
  <c r="I45" i="2"/>
  <c r="H45" i="2"/>
  <c r="I10" i="2"/>
  <c r="I15" i="2"/>
  <c r="M662" i="3"/>
  <c r="K664" i="3"/>
  <c r="J274" i="3"/>
  <c r="J379" i="3"/>
  <c r="J378" i="3"/>
  <c r="J388" i="3"/>
  <c r="J351" i="3"/>
  <c r="K388" i="3"/>
  <c r="H10" i="2"/>
  <c r="I199" i="3"/>
  <c r="I203" i="3" s="1"/>
  <c r="H707" i="3"/>
  <c r="H709" i="3" s="1"/>
  <c r="H739" i="3" s="1"/>
  <c r="G109" i="2" s="1"/>
  <c r="N553" i="3"/>
  <c r="N554" i="3" s="1"/>
  <c r="N558" i="3" s="1"/>
  <c r="N561" i="3" s="1"/>
  <c r="K8" i="2"/>
  <c r="L573" i="3"/>
  <c r="I485" i="3"/>
  <c r="H15" i="2"/>
  <c r="G12" i="2"/>
  <c r="K485" i="3"/>
  <c r="J15" i="2"/>
  <c r="J199" i="3"/>
  <c r="J203" i="3" s="1"/>
  <c r="O319" i="3"/>
  <c r="L359" i="3"/>
  <c r="L364" i="3" s="1"/>
  <c r="L106" i="3"/>
  <c r="M92" i="3"/>
  <c r="M176" i="3"/>
  <c r="M180" i="3" s="1"/>
  <c r="M62" i="3"/>
  <c r="M68" i="3"/>
  <c r="M69" i="3" s="1"/>
  <c r="M189" i="3"/>
  <c r="N59" i="3"/>
  <c r="K240" i="3"/>
  <c r="I377" i="3"/>
  <c r="I274" i="3"/>
  <c r="M226" i="3"/>
  <c r="P257" i="3"/>
  <c r="O288" i="3"/>
  <c r="L394" i="3"/>
  <c r="L344" i="3"/>
  <c r="L348" i="3" s="1"/>
  <c r="L296" i="3"/>
  <c r="L300" i="3" s="1"/>
  <c r="L302" i="3" s="1"/>
  <c r="L478" i="3"/>
  <c r="L482" i="3" s="1"/>
  <c r="L327" i="3"/>
  <c r="L331" i="3" s="1"/>
  <c r="L333" i="3" s="1"/>
  <c r="L234" i="3"/>
  <c r="L238" i="3" s="1"/>
  <c r="L240" i="3" s="1"/>
  <c r="L265" i="3"/>
  <c r="L269" i="3" s="1"/>
  <c r="L271" i="3" s="1"/>
  <c r="L197" i="3"/>
  <c r="L72" i="3"/>
  <c r="I378" i="3"/>
  <c r="I305" i="3"/>
  <c r="K378" i="3"/>
  <c r="K305" i="3"/>
  <c r="I380" i="3"/>
  <c r="I351" i="3"/>
  <c r="K351" i="3"/>
  <c r="K380" i="3"/>
  <c r="I379" i="3"/>
  <c r="I336" i="3"/>
  <c r="K379" i="3"/>
  <c r="K336" i="3"/>
  <c r="K381" i="3"/>
  <c r="K367" i="3"/>
  <c r="K274" i="3"/>
  <c r="K377" i="3"/>
  <c r="K152" i="3"/>
  <c r="K153" i="3" s="1"/>
  <c r="K154" i="3" s="1"/>
  <c r="K147" i="3"/>
  <c r="K190" i="3"/>
  <c r="K191" i="3" s="1"/>
  <c r="K192" i="3" s="1"/>
  <c r="K185" i="3"/>
  <c r="N495" i="3"/>
  <c r="M16" i="2" s="1"/>
  <c r="M498" i="3"/>
  <c r="K395" i="3"/>
  <c r="K114" i="3"/>
  <c r="K115" i="3" s="1"/>
  <c r="K116" i="3" s="1"/>
  <c r="K109" i="3"/>
  <c r="K198" i="3"/>
  <c r="J9" i="2" s="1"/>
  <c r="M130" i="3"/>
  <c r="L144" i="3"/>
  <c r="I388" i="3"/>
  <c r="I240" i="3"/>
  <c r="M168" i="3"/>
  <c r="L182" i="3"/>
  <c r="H468" i="3"/>
  <c r="H469" i="3" s="1"/>
  <c r="H463" i="3"/>
  <c r="K663" i="3" l="1"/>
  <c r="J668" i="3"/>
  <c r="J670" i="3" s="1"/>
  <c r="I50" i="2" s="1"/>
  <c r="J10" i="2"/>
  <c r="J382" i="3"/>
  <c r="J383" i="3" s="1"/>
  <c r="L387" i="3"/>
  <c r="L370" i="3"/>
  <c r="J96" i="2"/>
  <c r="J389" i="3"/>
  <c r="J396" i="3" s="1"/>
  <c r="J580" i="3"/>
  <c r="K389" i="3"/>
  <c r="K396" i="3" s="1"/>
  <c r="J11" i="2" s="1"/>
  <c r="K580" i="3"/>
  <c r="I389" i="3"/>
  <c r="I396" i="3" s="1"/>
  <c r="I580" i="3"/>
  <c r="K45" i="2"/>
  <c r="L664" i="3"/>
  <c r="N662" i="3"/>
  <c r="I200" i="3"/>
  <c r="K199" i="3"/>
  <c r="K200" i="3" s="1"/>
  <c r="L8" i="2"/>
  <c r="M573" i="3"/>
  <c r="L485" i="3"/>
  <c r="K15" i="2"/>
  <c r="J200" i="3"/>
  <c r="G31" i="2"/>
  <c r="H472" i="3"/>
  <c r="G14" i="2"/>
  <c r="N130" i="3"/>
  <c r="M144" i="3"/>
  <c r="N189" i="3"/>
  <c r="N176" i="3"/>
  <c r="N180" i="3" s="1"/>
  <c r="N68" i="3"/>
  <c r="N69" i="3" s="1"/>
  <c r="N62" i="3"/>
  <c r="O59" i="3"/>
  <c r="L376" i="3"/>
  <c r="L243" i="3"/>
  <c r="M478" i="3"/>
  <c r="M482" i="3" s="1"/>
  <c r="M394" i="3"/>
  <c r="M344" i="3"/>
  <c r="M348" i="3" s="1"/>
  <c r="M296" i="3"/>
  <c r="M300" i="3" s="1"/>
  <c r="M302" i="3" s="1"/>
  <c r="M234" i="3"/>
  <c r="M238" i="3" s="1"/>
  <c r="M265" i="3"/>
  <c r="M269" i="3" s="1"/>
  <c r="M271" i="3" s="1"/>
  <c r="M327" i="3"/>
  <c r="M331" i="3" s="1"/>
  <c r="M333" i="3" s="1"/>
  <c r="M72" i="3"/>
  <c r="M197" i="3"/>
  <c r="L378" i="3"/>
  <c r="L305" i="3"/>
  <c r="L190" i="3"/>
  <c r="L191" i="3" s="1"/>
  <c r="L192" i="3" s="1"/>
  <c r="L185" i="3"/>
  <c r="L380" i="3"/>
  <c r="L351" i="3"/>
  <c r="M359" i="3"/>
  <c r="M364" i="3" s="1"/>
  <c r="M370" i="3" s="1"/>
  <c r="N92" i="3"/>
  <c r="M106" i="3"/>
  <c r="M182" i="3"/>
  <c r="N168" i="3"/>
  <c r="O495" i="3"/>
  <c r="N16" i="2" s="1"/>
  <c r="N498" i="3"/>
  <c r="L395" i="3"/>
  <c r="L114" i="3"/>
  <c r="L115" i="3" s="1"/>
  <c r="L116" i="3" s="1"/>
  <c r="L109" i="3"/>
  <c r="L198" i="3"/>
  <c r="K9" i="2" s="1"/>
  <c r="N226" i="3"/>
  <c r="L379" i="3"/>
  <c r="L336" i="3"/>
  <c r="Q257" i="3"/>
  <c r="L274" i="3"/>
  <c r="L377" i="3"/>
  <c r="L388" i="3"/>
  <c r="P288" i="3"/>
  <c r="K243" i="3"/>
  <c r="K376" i="3"/>
  <c r="K382" i="3" s="1"/>
  <c r="K383" i="3" s="1"/>
  <c r="P319" i="3"/>
  <c r="I376" i="3"/>
  <c r="I382" i="3" s="1"/>
  <c r="I383" i="3" s="1"/>
  <c r="I243" i="3"/>
  <c r="L381" i="3"/>
  <c r="L367" i="3"/>
  <c r="L152" i="3"/>
  <c r="L153" i="3" s="1"/>
  <c r="L154" i="3" s="1"/>
  <c r="L147" i="3"/>
  <c r="L663" i="3" l="1"/>
  <c r="K668" i="3"/>
  <c r="K670" i="3" s="1"/>
  <c r="J50" i="2" s="1"/>
  <c r="G106" i="2"/>
  <c r="G108" i="2" s="1"/>
  <c r="H771" i="3" s="1"/>
  <c r="H683" i="3"/>
  <c r="I397" i="3"/>
  <c r="I451" i="3" s="1"/>
  <c r="I456" i="3" s="1"/>
  <c r="I460" i="3" s="1"/>
  <c r="I463" i="3" s="1"/>
  <c r="H11" i="2"/>
  <c r="H12" i="2" s="1"/>
  <c r="J397" i="3"/>
  <c r="J451" i="3" s="1"/>
  <c r="J456" i="3" s="1"/>
  <c r="J460" i="3" s="1"/>
  <c r="J468" i="3" s="1"/>
  <c r="J469" i="3" s="1"/>
  <c r="I11" i="2"/>
  <c r="I12" i="2" s="1"/>
  <c r="I31" i="2" s="1"/>
  <c r="G17" i="2"/>
  <c r="K10" i="2"/>
  <c r="J12" i="2"/>
  <c r="J31" i="2" s="1"/>
  <c r="L96" i="2"/>
  <c r="K96" i="2"/>
  <c r="K397" i="3"/>
  <c r="K398" i="3" s="1"/>
  <c r="K581" i="3"/>
  <c r="K595" i="3"/>
  <c r="J58" i="2" s="1"/>
  <c r="K588" i="3"/>
  <c r="J47" i="2" s="1"/>
  <c r="H711" i="3"/>
  <c r="G111" i="2"/>
  <c r="L389" i="3"/>
  <c r="L396" i="3" s="1"/>
  <c r="L580" i="3"/>
  <c r="I595" i="3"/>
  <c r="H58" i="2" s="1"/>
  <c r="I588" i="3"/>
  <c r="H47" i="2" s="1"/>
  <c r="I581" i="3"/>
  <c r="J595" i="3"/>
  <c r="I58" i="2" s="1"/>
  <c r="J581" i="3"/>
  <c r="J588" i="3"/>
  <c r="I47" i="2" s="1"/>
  <c r="L45" i="2"/>
  <c r="K203" i="3"/>
  <c r="O662" i="3"/>
  <c r="M664" i="3"/>
  <c r="L199" i="3"/>
  <c r="L203" i="3" s="1"/>
  <c r="N573" i="3"/>
  <c r="M8" i="2"/>
  <c r="M485" i="3"/>
  <c r="L15" i="2"/>
  <c r="M388" i="3"/>
  <c r="M580" i="3" s="1"/>
  <c r="N359" i="3"/>
  <c r="N364" i="3" s="1"/>
  <c r="O92" i="3"/>
  <c r="N106" i="3"/>
  <c r="M377" i="3"/>
  <c r="M274" i="3"/>
  <c r="M381" i="3"/>
  <c r="M367" i="3"/>
  <c r="R257" i="3"/>
  <c r="M378" i="3"/>
  <c r="M305" i="3"/>
  <c r="O130" i="3"/>
  <c r="N144" i="3"/>
  <c r="Q319" i="3"/>
  <c r="O498" i="3"/>
  <c r="P495" i="3"/>
  <c r="O16" i="2" s="1"/>
  <c r="Q288" i="3"/>
  <c r="L382" i="3"/>
  <c r="L383" i="3" s="1"/>
  <c r="O189" i="3"/>
  <c r="O68" i="3"/>
  <c r="O69" i="3" s="1"/>
  <c r="O62" i="3"/>
  <c r="O176" i="3"/>
  <c r="O180" i="3" s="1"/>
  <c r="P59" i="3"/>
  <c r="M240" i="3"/>
  <c r="N182" i="3"/>
  <c r="O168" i="3"/>
  <c r="O226" i="3"/>
  <c r="M190" i="3"/>
  <c r="M191" i="3" s="1"/>
  <c r="M192" i="3" s="1"/>
  <c r="M185" i="3"/>
  <c r="N265" i="3"/>
  <c r="N269" i="3" s="1"/>
  <c r="N271" i="3" s="1"/>
  <c r="N478" i="3"/>
  <c r="N482" i="3" s="1"/>
  <c r="N344" i="3"/>
  <c r="N348" i="3" s="1"/>
  <c r="N327" i="3"/>
  <c r="N331" i="3" s="1"/>
  <c r="N333" i="3" s="1"/>
  <c r="N296" i="3"/>
  <c r="N300" i="3" s="1"/>
  <c r="N302" i="3" s="1"/>
  <c r="N234" i="3"/>
  <c r="N238" i="3" s="1"/>
  <c r="N197" i="3"/>
  <c r="N72" i="3"/>
  <c r="N394" i="3"/>
  <c r="M152" i="3"/>
  <c r="M153" i="3" s="1"/>
  <c r="M154" i="3" s="1"/>
  <c r="M147" i="3"/>
  <c r="M380" i="3"/>
  <c r="M351" i="3"/>
  <c r="M387" i="3"/>
  <c r="M395" i="3"/>
  <c r="M114" i="3"/>
  <c r="M115" i="3" s="1"/>
  <c r="M116" i="3" s="1"/>
  <c r="M109" i="3"/>
  <c r="M198" i="3"/>
  <c r="M379" i="3"/>
  <c r="M336" i="3"/>
  <c r="M663" i="3" l="1"/>
  <c r="L668" i="3"/>
  <c r="L670" i="3" s="1"/>
  <c r="K50" i="2" s="1"/>
  <c r="I681" i="3"/>
  <c r="I683" i="3" s="1"/>
  <c r="G52" i="2"/>
  <c r="D58" i="20"/>
  <c r="D22" i="33" s="1"/>
  <c r="I707" i="3"/>
  <c r="H717" i="3"/>
  <c r="H730" i="3" s="1"/>
  <c r="I468" i="3"/>
  <c r="I469" i="3" s="1"/>
  <c r="I472" i="3" s="1"/>
  <c r="J401" i="3"/>
  <c r="J398" i="3"/>
  <c r="J463" i="3"/>
  <c r="I398" i="3"/>
  <c r="I401" i="3"/>
  <c r="G21" i="2"/>
  <c r="G32" i="2"/>
  <c r="K11" i="2"/>
  <c r="K12" i="2" s="1"/>
  <c r="K31" i="2" s="1"/>
  <c r="K401" i="3"/>
  <c r="K451" i="3"/>
  <c r="K456" i="3" s="1"/>
  <c r="K460" i="3" s="1"/>
  <c r="K463" i="3" s="1"/>
  <c r="N387" i="3"/>
  <c r="N370" i="3"/>
  <c r="L397" i="3"/>
  <c r="L451" i="3" s="1"/>
  <c r="L456" i="3" s="1"/>
  <c r="L460" i="3" s="1"/>
  <c r="G69" i="2"/>
  <c r="J46" i="2"/>
  <c r="K597" i="3"/>
  <c r="M588" i="3"/>
  <c r="L47" i="2" s="1"/>
  <c r="M581" i="3"/>
  <c r="M595" i="3"/>
  <c r="L58" i="2" s="1"/>
  <c r="H46" i="2"/>
  <c r="I597" i="3"/>
  <c r="L595" i="3"/>
  <c r="K58" i="2" s="1"/>
  <c r="L588" i="3"/>
  <c r="K47" i="2" s="1"/>
  <c r="L581" i="3"/>
  <c r="I46" i="2"/>
  <c r="J597" i="3"/>
  <c r="M45" i="2"/>
  <c r="L200" i="3"/>
  <c r="N664" i="3"/>
  <c r="P662" i="3"/>
  <c r="O573" i="3"/>
  <c r="N8" i="2"/>
  <c r="M199" i="3"/>
  <c r="M200" i="3" s="1"/>
  <c r="L9" i="2"/>
  <c r="J472" i="3"/>
  <c r="I14" i="2"/>
  <c r="M389" i="3"/>
  <c r="M396" i="3" s="1"/>
  <c r="N388" i="3"/>
  <c r="N485" i="3"/>
  <c r="M15" i="2"/>
  <c r="H31" i="2"/>
  <c r="R288" i="3"/>
  <c r="N378" i="3"/>
  <c r="N305" i="3"/>
  <c r="P168" i="3"/>
  <c r="O182" i="3"/>
  <c r="P498" i="3"/>
  <c r="Q495" i="3"/>
  <c r="P16" i="2" s="1"/>
  <c r="S257" i="3"/>
  <c r="N379" i="3"/>
  <c r="N336" i="3"/>
  <c r="N190" i="3"/>
  <c r="N191" i="3" s="1"/>
  <c r="N192" i="3" s="1"/>
  <c r="N185" i="3"/>
  <c r="N351" i="3"/>
  <c r="N380" i="3"/>
  <c r="M376" i="3"/>
  <c r="M382" i="3" s="1"/>
  <c r="M383" i="3" s="1"/>
  <c r="M243" i="3"/>
  <c r="P68" i="3"/>
  <c r="P69" i="3" s="1"/>
  <c r="Q59" i="3"/>
  <c r="P176" i="3"/>
  <c r="P180" i="3" s="1"/>
  <c r="P189" i="3"/>
  <c r="P62" i="3"/>
  <c r="N377" i="3"/>
  <c r="N274" i="3"/>
  <c r="R319" i="3"/>
  <c r="O327" i="3"/>
  <c r="O331" i="3" s="1"/>
  <c r="O333" i="3" s="1"/>
  <c r="O265" i="3"/>
  <c r="O269" i="3" s="1"/>
  <c r="O271" i="3" s="1"/>
  <c r="O478" i="3"/>
  <c r="O482" i="3" s="1"/>
  <c r="O197" i="3"/>
  <c r="O296" i="3"/>
  <c r="O300" i="3" s="1"/>
  <c r="O302" i="3" s="1"/>
  <c r="O72" i="3"/>
  <c r="O234" i="3"/>
  <c r="O238" i="3" s="1"/>
  <c r="O240" i="3" s="1"/>
  <c r="O344" i="3"/>
  <c r="O348" i="3" s="1"/>
  <c r="O394" i="3"/>
  <c r="N395" i="3"/>
  <c r="N109" i="3"/>
  <c r="N198" i="3"/>
  <c r="N114" i="3"/>
  <c r="N115" i="3" s="1"/>
  <c r="N116" i="3" s="1"/>
  <c r="N147" i="3"/>
  <c r="N152" i="3"/>
  <c r="N153" i="3" s="1"/>
  <c r="N154" i="3" s="1"/>
  <c r="O359" i="3"/>
  <c r="O364" i="3" s="1"/>
  <c r="O370" i="3" s="1"/>
  <c r="P92" i="3"/>
  <c r="O106" i="3"/>
  <c r="N240" i="3"/>
  <c r="P130" i="3"/>
  <c r="O144" i="3"/>
  <c r="N381" i="3"/>
  <c r="N367" i="3"/>
  <c r="P226" i="3"/>
  <c r="D113" i="33" l="1"/>
  <c r="D97" i="33" s="1"/>
  <c r="D32" i="33"/>
  <c r="H503" i="3"/>
  <c r="H507" i="3" s="1"/>
  <c r="N663" i="3"/>
  <c r="M668" i="3"/>
  <c r="M670" i="3" s="1"/>
  <c r="L50" i="2" s="1"/>
  <c r="H14" i="2"/>
  <c r="H17" i="2" s="1"/>
  <c r="J681" i="3"/>
  <c r="J683" i="3" s="1"/>
  <c r="H52" i="2"/>
  <c r="G24" i="2"/>
  <c r="L11" i="2"/>
  <c r="H732" i="3"/>
  <c r="G113" i="2" s="1"/>
  <c r="I709" i="3"/>
  <c r="G33" i="2"/>
  <c r="L10" i="2"/>
  <c r="I17" i="2"/>
  <c r="L401" i="3"/>
  <c r="L398" i="3"/>
  <c r="K468" i="3"/>
  <c r="K469" i="3" s="1"/>
  <c r="J14" i="2" s="1"/>
  <c r="M96" i="2"/>
  <c r="J598" i="3"/>
  <c r="I99" i="2" s="1"/>
  <c r="I598" i="3"/>
  <c r="H99" i="2" s="1"/>
  <c r="N96" i="2"/>
  <c r="K598" i="3"/>
  <c r="J99" i="2" s="1"/>
  <c r="G84" i="2"/>
  <c r="L46" i="2"/>
  <c r="M597" i="3"/>
  <c r="N389" i="3"/>
  <c r="N396" i="3" s="1"/>
  <c r="N580" i="3"/>
  <c r="K46" i="2"/>
  <c r="L597" i="3"/>
  <c r="N45" i="2"/>
  <c r="Q662" i="3"/>
  <c r="O664" i="3"/>
  <c r="P573" i="3"/>
  <c r="O8" i="2"/>
  <c r="O485" i="3"/>
  <c r="N15" i="2"/>
  <c r="N199" i="3"/>
  <c r="N203" i="3" s="1"/>
  <c r="M9" i="2"/>
  <c r="M203" i="3"/>
  <c r="M397" i="3"/>
  <c r="Q130" i="3"/>
  <c r="P144" i="3"/>
  <c r="S288" i="3"/>
  <c r="N376" i="3"/>
  <c r="N382" i="3" s="1"/>
  <c r="N383" i="3" s="1"/>
  <c r="N243" i="3"/>
  <c r="O395" i="3"/>
  <c r="O198" i="3"/>
  <c r="N9" i="2" s="1"/>
  <c r="O109" i="3"/>
  <c r="O114" i="3"/>
  <c r="O115" i="3" s="1"/>
  <c r="O116" i="3" s="1"/>
  <c r="O380" i="3"/>
  <c r="O351" i="3"/>
  <c r="O243" i="3"/>
  <c r="O376" i="3"/>
  <c r="O377" i="3"/>
  <c r="O274" i="3"/>
  <c r="O336" i="3"/>
  <c r="O379" i="3"/>
  <c r="O152" i="3"/>
  <c r="O153" i="3" s="1"/>
  <c r="O154" i="3" s="1"/>
  <c r="O147" i="3"/>
  <c r="O388" i="3"/>
  <c r="O580" i="3" s="1"/>
  <c r="L468" i="3"/>
  <c r="L469" i="3" s="1"/>
  <c r="L463" i="3"/>
  <c r="T257" i="3"/>
  <c r="Q226" i="3"/>
  <c r="O305" i="3"/>
  <c r="O378" i="3"/>
  <c r="R59" i="3"/>
  <c r="Q176" i="3"/>
  <c r="Q180" i="3" s="1"/>
  <c r="Q68" i="3"/>
  <c r="Q69" i="3" s="1"/>
  <c r="Q189" i="3"/>
  <c r="Q62" i="3"/>
  <c r="Q498" i="3"/>
  <c r="R495" i="3"/>
  <c r="Q16" i="2" s="1"/>
  <c r="O190" i="3"/>
  <c r="O191" i="3" s="1"/>
  <c r="O192" i="3" s="1"/>
  <c r="O185" i="3"/>
  <c r="Q168" i="3"/>
  <c r="P182" i="3"/>
  <c r="S319" i="3"/>
  <c r="P359" i="3"/>
  <c r="P364" i="3" s="1"/>
  <c r="P106" i="3"/>
  <c r="Q92" i="3"/>
  <c r="O381" i="3"/>
  <c r="O367" i="3"/>
  <c r="O387" i="3"/>
  <c r="P327" i="3"/>
  <c r="P331" i="3" s="1"/>
  <c r="P333" i="3" s="1"/>
  <c r="P478" i="3"/>
  <c r="P482" i="3" s="1"/>
  <c r="P296" i="3"/>
  <c r="P300" i="3" s="1"/>
  <c r="P302" i="3" s="1"/>
  <c r="P344" i="3"/>
  <c r="P348" i="3" s="1"/>
  <c r="P197" i="3"/>
  <c r="P72" i="3"/>
  <c r="P234" i="3"/>
  <c r="P238" i="3" s="1"/>
  <c r="P240" i="3" s="1"/>
  <c r="P265" i="3"/>
  <c r="P269" i="3" s="1"/>
  <c r="P271" i="3" s="1"/>
  <c r="P394" i="3"/>
  <c r="D107" i="33" l="1"/>
  <c r="D34" i="33"/>
  <c r="D52" i="33"/>
  <c r="O663" i="3"/>
  <c r="N668" i="3"/>
  <c r="N670" i="3" s="1"/>
  <c r="M50" i="2" s="1"/>
  <c r="K681" i="3"/>
  <c r="K683" i="3" s="1"/>
  <c r="I52" i="2"/>
  <c r="L12" i="2"/>
  <c r="L31" i="2" s="1"/>
  <c r="H32" i="2"/>
  <c r="E58" i="20"/>
  <c r="E22" i="33" s="1"/>
  <c r="I21" i="2"/>
  <c r="F58" i="20"/>
  <c r="F22" i="33" s="1"/>
  <c r="F113" i="33" s="1"/>
  <c r="M11" i="2"/>
  <c r="H733" i="3"/>
  <c r="G97" i="2"/>
  <c r="G85" i="2"/>
  <c r="H111" i="2"/>
  <c r="I711" i="3"/>
  <c r="G25" i="2"/>
  <c r="G59" i="20"/>
  <c r="G47" i="33" s="1"/>
  <c r="E59" i="20"/>
  <c r="E47" i="33" s="1"/>
  <c r="F59" i="20"/>
  <c r="F47" i="33" s="1"/>
  <c r="I32" i="2"/>
  <c r="X16" i="2"/>
  <c r="N10" i="2"/>
  <c r="M10" i="2"/>
  <c r="J17" i="2"/>
  <c r="K472" i="3"/>
  <c r="M598" i="3"/>
  <c r="L99" i="2" s="1"/>
  <c r="P387" i="3"/>
  <c r="P370" i="3"/>
  <c r="L598" i="3"/>
  <c r="K99" i="2" s="1"/>
  <c r="N397" i="3"/>
  <c r="N398" i="3" s="1"/>
  <c r="N595" i="3"/>
  <c r="M58" i="2" s="1"/>
  <c r="N581" i="3"/>
  <c r="N588" i="3"/>
  <c r="M47" i="2" s="1"/>
  <c r="O595" i="3"/>
  <c r="N58" i="2" s="1"/>
  <c r="O581" i="3"/>
  <c r="O588" i="3"/>
  <c r="N47" i="2" s="1"/>
  <c r="O45" i="2"/>
  <c r="P664" i="3"/>
  <c r="R662" i="3"/>
  <c r="N200" i="3"/>
  <c r="M451" i="3"/>
  <c r="M456" i="3" s="1"/>
  <c r="M460" i="3" s="1"/>
  <c r="M398" i="3"/>
  <c r="M401" i="3"/>
  <c r="P485" i="3"/>
  <c r="O15" i="2"/>
  <c r="O199" i="3"/>
  <c r="O203" i="3" s="1"/>
  <c r="L472" i="3"/>
  <c r="K14" i="2"/>
  <c r="Q573" i="3"/>
  <c r="P8" i="2"/>
  <c r="O389" i="3"/>
  <c r="O396" i="3" s="1"/>
  <c r="Q182" i="3"/>
  <c r="R168" i="3"/>
  <c r="S495" i="3"/>
  <c r="R16" i="2" s="1"/>
  <c r="R498" i="3"/>
  <c r="O382" i="3"/>
  <c r="O383" i="3" s="1"/>
  <c r="P152" i="3"/>
  <c r="P153" i="3" s="1"/>
  <c r="P154" i="3" s="1"/>
  <c r="P147" i="3"/>
  <c r="Q144" i="3"/>
  <c r="R130" i="3"/>
  <c r="P336" i="3"/>
  <c r="P379" i="3"/>
  <c r="R226" i="3"/>
  <c r="P243" i="3"/>
  <c r="P376" i="3"/>
  <c r="T288" i="3"/>
  <c r="P377" i="3"/>
  <c r="P274" i="3"/>
  <c r="U257" i="3"/>
  <c r="P388" i="3"/>
  <c r="Q359" i="3"/>
  <c r="Q364" i="3" s="1"/>
  <c r="Q370" i="3" s="1"/>
  <c r="R92" i="3"/>
  <c r="Q106" i="3"/>
  <c r="P395" i="3"/>
  <c r="P198" i="3"/>
  <c r="O9" i="2" s="1"/>
  <c r="P114" i="3"/>
  <c r="P115" i="3" s="1"/>
  <c r="P116" i="3" s="1"/>
  <c r="P109" i="3"/>
  <c r="Q394" i="3"/>
  <c r="Q327" i="3"/>
  <c r="Q331" i="3" s="1"/>
  <c r="Q333" i="3" s="1"/>
  <c r="Q478" i="3"/>
  <c r="Q482" i="3" s="1"/>
  <c r="Q344" i="3"/>
  <c r="Q348" i="3" s="1"/>
  <c r="Q197" i="3"/>
  <c r="Q265" i="3"/>
  <c r="Q269" i="3" s="1"/>
  <c r="Q271" i="3" s="1"/>
  <c r="Q234" i="3"/>
  <c r="Q238" i="3" s="1"/>
  <c r="Q240" i="3" s="1"/>
  <c r="Q296" i="3"/>
  <c r="Q300" i="3" s="1"/>
  <c r="Q302" i="3" s="1"/>
  <c r="Q72" i="3"/>
  <c r="P381" i="3"/>
  <c r="P367" i="3"/>
  <c r="P380" i="3"/>
  <c r="P351" i="3"/>
  <c r="R68" i="3"/>
  <c r="R69" i="3" s="1"/>
  <c r="R62" i="3"/>
  <c r="S59" i="3"/>
  <c r="R189" i="3"/>
  <c r="R176" i="3"/>
  <c r="R180" i="3" s="1"/>
  <c r="P378" i="3"/>
  <c r="P305" i="3"/>
  <c r="T319" i="3"/>
  <c r="P190" i="3"/>
  <c r="P191" i="3" s="1"/>
  <c r="P192" i="3" s="1"/>
  <c r="P185" i="3"/>
  <c r="E113" i="33" l="1"/>
  <c r="F32" i="33"/>
  <c r="F34" i="33" s="1"/>
  <c r="F52" i="33"/>
  <c r="E32" i="33"/>
  <c r="E34" i="33" s="1"/>
  <c r="E52" i="33"/>
  <c r="I33" i="2"/>
  <c r="J503" i="3"/>
  <c r="J507" i="3" s="1"/>
  <c r="P663" i="3"/>
  <c r="O668" i="3"/>
  <c r="O670" i="3" s="1"/>
  <c r="N50" i="2" s="1"/>
  <c r="L681" i="3"/>
  <c r="L683" i="3" s="1"/>
  <c r="J52" i="2"/>
  <c r="J21" i="2"/>
  <c r="G58" i="20"/>
  <c r="G22" i="33" s="1"/>
  <c r="G113" i="33" s="1"/>
  <c r="M12" i="2"/>
  <c r="M31" i="2" s="1"/>
  <c r="N11" i="2"/>
  <c r="N12" i="2" s="1"/>
  <c r="G91" i="2"/>
  <c r="G34" i="2"/>
  <c r="H69" i="2"/>
  <c r="J707" i="3"/>
  <c r="I717" i="3"/>
  <c r="I730" i="3" s="1"/>
  <c r="G65" i="2"/>
  <c r="I729" i="3"/>
  <c r="H59" i="20"/>
  <c r="H47" i="33" s="1"/>
  <c r="I59" i="20"/>
  <c r="I47" i="33" s="1"/>
  <c r="O10" i="2"/>
  <c r="J32" i="2"/>
  <c r="N401" i="3"/>
  <c r="O96" i="2"/>
  <c r="P96" i="2"/>
  <c r="N451" i="3"/>
  <c r="N456" i="3" s="1"/>
  <c r="N460" i="3" s="1"/>
  <c r="N468" i="3" s="1"/>
  <c r="N469" i="3" s="1"/>
  <c r="N472" i="3" s="1"/>
  <c r="N46" i="2"/>
  <c r="O597" i="3"/>
  <c r="P389" i="3"/>
  <c r="P396" i="3" s="1"/>
  <c r="P580" i="3"/>
  <c r="M46" i="2"/>
  <c r="N597" i="3"/>
  <c r="P45" i="2"/>
  <c r="S662" i="3"/>
  <c r="Q664" i="3"/>
  <c r="K17" i="2"/>
  <c r="P199" i="3"/>
  <c r="P200" i="3" s="1"/>
  <c r="O200" i="3"/>
  <c r="M468" i="3"/>
  <c r="M469" i="3" s="1"/>
  <c r="M463" i="3"/>
  <c r="Q8" i="2"/>
  <c r="R573" i="3"/>
  <c r="Q485" i="3"/>
  <c r="P15" i="2"/>
  <c r="O397" i="3"/>
  <c r="Q376" i="3"/>
  <c r="Q243" i="3"/>
  <c r="Q381" i="3"/>
  <c r="Q367" i="3"/>
  <c r="S176" i="3"/>
  <c r="S180" i="3" s="1"/>
  <c r="S68" i="3"/>
  <c r="S69" i="3" s="1"/>
  <c r="S62" i="3"/>
  <c r="S189" i="3"/>
  <c r="T59" i="3"/>
  <c r="S226" i="3"/>
  <c r="Q380" i="3"/>
  <c r="Q351" i="3"/>
  <c r="V257" i="3"/>
  <c r="T495" i="3"/>
  <c r="S16" i="2" s="1"/>
  <c r="S498" i="3"/>
  <c r="Q378" i="3"/>
  <c r="Q305" i="3"/>
  <c r="Q388" i="3"/>
  <c r="Q580" i="3" s="1"/>
  <c r="Q377" i="3"/>
  <c r="Q274" i="3"/>
  <c r="R344" i="3"/>
  <c r="R348" i="3" s="1"/>
  <c r="R327" i="3"/>
  <c r="R331" i="3" s="1"/>
  <c r="R333" i="3" s="1"/>
  <c r="R265" i="3"/>
  <c r="R269" i="3" s="1"/>
  <c r="R271" i="3" s="1"/>
  <c r="R197" i="3"/>
  <c r="R72" i="3"/>
  <c r="R478" i="3"/>
  <c r="R482" i="3" s="1"/>
  <c r="R394" i="3"/>
  <c r="R234" i="3"/>
  <c r="R238" i="3" s="1"/>
  <c r="R240" i="3" s="1"/>
  <c r="R296" i="3"/>
  <c r="R300" i="3" s="1"/>
  <c r="R302" i="3" s="1"/>
  <c r="Q387" i="3"/>
  <c r="S92" i="3"/>
  <c r="R106" i="3"/>
  <c r="R359" i="3"/>
  <c r="R364" i="3" s="1"/>
  <c r="R370" i="3" s="1"/>
  <c r="Q336" i="3"/>
  <c r="Q379" i="3"/>
  <c r="R182" i="3"/>
  <c r="S168" i="3"/>
  <c r="U319" i="3"/>
  <c r="R144" i="3"/>
  <c r="S130" i="3"/>
  <c r="Q190" i="3"/>
  <c r="Q191" i="3" s="1"/>
  <c r="Q192" i="3" s="1"/>
  <c r="Q185" i="3"/>
  <c r="P382" i="3"/>
  <c r="P383" i="3" s="1"/>
  <c r="Q109" i="3"/>
  <c r="Q198" i="3"/>
  <c r="Q114" i="3"/>
  <c r="Q115" i="3" s="1"/>
  <c r="Q116" i="3" s="1"/>
  <c r="Q395" i="3"/>
  <c r="U288" i="3"/>
  <c r="Q147" i="3"/>
  <c r="Q152" i="3"/>
  <c r="Q153" i="3" s="1"/>
  <c r="Q154" i="3" s="1"/>
  <c r="C10" i="33" l="1"/>
  <c r="C4" i="36"/>
  <c r="D4" i="36"/>
  <c r="E107" i="33"/>
  <c r="E97" i="33"/>
  <c r="G32" i="33"/>
  <c r="G34" i="33" s="1"/>
  <c r="G52" i="33"/>
  <c r="F107" i="33"/>
  <c r="F97" i="33"/>
  <c r="D22" i="36"/>
  <c r="D47" i="36" s="1"/>
  <c r="C22" i="36"/>
  <c r="J33" i="2"/>
  <c r="K503" i="3"/>
  <c r="K507" i="3" s="1"/>
  <c r="Q663" i="3"/>
  <c r="P668" i="3"/>
  <c r="P670" i="3" s="1"/>
  <c r="O50" i="2" s="1"/>
  <c r="M681" i="3"/>
  <c r="M683" i="3" s="1"/>
  <c r="K52" i="2"/>
  <c r="H58" i="20"/>
  <c r="H22" i="33" s="1"/>
  <c r="H113" i="33" s="1"/>
  <c r="O11" i="2"/>
  <c r="O12" i="2" s="1"/>
  <c r="O31" i="2" s="1"/>
  <c r="H84" i="2"/>
  <c r="J709" i="3"/>
  <c r="N463" i="3"/>
  <c r="S573" i="3"/>
  <c r="R45" i="2" s="1"/>
  <c r="R8" i="2"/>
  <c r="M14" i="2"/>
  <c r="O598" i="3"/>
  <c r="N99" i="2" s="1"/>
  <c r="N598" i="3"/>
  <c r="M99" i="2" s="1"/>
  <c r="Q96" i="2"/>
  <c r="Q595" i="3"/>
  <c r="P58" i="2" s="1"/>
  <c r="Q588" i="3"/>
  <c r="P47" i="2" s="1"/>
  <c r="Q581" i="3"/>
  <c r="P595" i="3"/>
  <c r="O58" i="2" s="1"/>
  <c r="P581" i="3"/>
  <c r="P588" i="3"/>
  <c r="O47" i="2" s="1"/>
  <c r="P397" i="3"/>
  <c r="P401" i="3" s="1"/>
  <c r="Q45" i="2"/>
  <c r="R664" i="3"/>
  <c r="T662" i="3"/>
  <c r="Q389" i="3"/>
  <c r="Q396" i="3" s="1"/>
  <c r="P203" i="3"/>
  <c r="Q199" i="3"/>
  <c r="Q200" i="3" s="1"/>
  <c r="P9" i="2"/>
  <c r="M472" i="3"/>
  <c r="L14" i="2"/>
  <c r="R485" i="3"/>
  <c r="Q15" i="2"/>
  <c r="O401" i="3"/>
  <c r="O451" i="3"/>
  <c r="O456" i="3" s="1"/>
  <c r="O460" i="3" s="1"/>
  <c r="O398" i="3"/>
  <c r="K32" i="2"/>
  <c r="K21" i="2"/>
  <c r="L503" i="3" s="1"/>
  <c r="L507" i="3" s="1"/>
  <c r="N31" i="2"/>
  <c r="Z8" i="2"/>
  <c r="X8" i="2"/>
  <c r="V319" i="3"/>
  <c r="S182" i="3"/>
  <c r="T168" i="3"/>
  <c r="R274" i="3"/>
  <c r="R377" i="3"/>
  <c r="R351" i="3"/>
  <c r="R380" i="3"/>
  <c r="R198" i="3"/>
  <c r="R109" i="3"/>
  <c r="R395" i="3"/>
  <c r="R114" i="3"/>
  <c r="R115" i="3" s="1"/>
  <c r="R116" i="3" s="1"/>
  <c r="W257" i="3"/>
  <c r="R336" i="3"/>
  <c r="R379" i="3"/>
  <c r="R367" i="3"/>
  <c r="R381" i="3"/>
  <c r="T226" i="3"/>
  <c r="R376" i="3"/>
  <c r="R243" i="3"/>
  <c r="T92" i="3"/>
  <c r="S359" i="3"/>
  <c r="S364" i="3" s="1"/>
  <c r="S106" i="3"/>
  <c r="R387" i="3"/>
  <c r="U495" i="3"/>
  <c r="T16" i="2" s="1"/>
  <c r="T498" i="3"/>
  <c r="S478" i="3"/>
  <c r="S482" i="3" s="1"/>
  <c r="S327" i="3"/>
  <c r="S331" i="3" s="1"/>
  <c r="S333" i="3" s="1"/>
  <c r="S296" i="3"/>
  <c r="S300" i="3" s="1"/>
  <c r="S302" i="3" s="1"/>
  <c r="S265" i="3"/>
  <c r="S269" i="3" s="1"/>
  <c r="S271" i="3" s="1"/>
  <c r="S72" i="3"/>
  <c r="S197" i="3"/>
  <c r="S234" i="3"/>
  <c r="S238" i="3" s="1"/>
  <c r="S240" i="3" s="1"/>
  <c r="S394" i="3"/>
  <c r="S344" i="3"/>
  <c r="S348" i="3" s="1"/>
  <c r="R185" i="3"/>
  <c r="R190" i="3"/>
  <c r="R191" i="3" s="1"/>
  <c r="R192" i="3" s="1"/>
  <c r="S144" i="3"/>
  <c r="T130" i="3"/>
  <c r="R305" i="3"/>
  <c r="R378" i="3"/>
  <c r="T189" i="3"/>
  <c r="T68" i="3"/>
  <c r="T69" i="3" s="1"/>
  <c r="U59" i="3"/>
  <c r="T62" i="3"/>
  <c r="T176" i="3"/>
  <c r="T180" i="3" s="1"/>
  <c r="R147" i="3"/>
  <c r="R152" i="3"/>
  <c r="R153" i="3" s="1"/>
  <c r="R154" i="3" s="1"/>
  <c r="R388" i="3"/>
  <c r="R580" i="3" s="1"/>
  <c r="Q382" i="3"/>
  <c r="Q383" i="3" s="1"/>
  <c r="V288" i="3"/>
  <c r="E4" i="36" l="1"/>
  <c r="G107" i="33"/>
  <c r="G97" i="33"/>
  <c r="H32" i="33"/>
  <c r="H34" i="33" s="1"/>
  <c r="H52" i="33"/>
  <c r="E22" i="36"/>
  <c r="E47" i="36" s="1"/>
  <c r="C47" i="36"/>
  <c r="R663" i="3"/>
  <c r="Q668" i="3"/>
  <c r="Q670" i="3" s="1"/>
  <c r="P50" i="2" s="1"/>
  <c r="I111" i="2"/>
  <c r="N681" i="3"/>
  <c r="N683" i="3" s="1"/>
  <c r="L52" i="2"/>
  <c r="P11" i="2"/>
  <c r="J711" i="3"/>
  <c r="J59" i="20"/>
  <c r="J47" i="33" s="1"/>
  <c r="K59" i="20"/>
  <c r="K47" i="33" s="1"/>
  <c r="X15" i="2"/>
  <c r="P10" i="2"/>
  <c r="M17" i="2"/>
  <c r="S387" i="3"/>
  <c r="S370" i="3"/>
  <c r="T573" i="3"/>
  <c r="S45" i="2" s="1"/>
  <c r="S8" i="2"/>
  <c r="S485" i="3"/>
  <c r="R15" i="2"/>
  <c r="P398" i="3"/>
  <c r="P451" i="3"/>
  <c r="P456" i="3" s="1"/>
  <c r="P460" i="3" s="1"/>
  <c r="P463" i="3" s="1"/>
  <c r="O46" i="2"/>
  <c r="P597" i="3"/>
  <c r="P46" i="2"/>
  <c r="Q597" i="3"/>
  <c r="R581" i="3"/>
  <c r="R588" i="3"/>
  <c r="Q47" i="2" s="1"/>
  <c r="R595" i="3"/>
  <c r="Q58" i="2" s="1"/>
  <c r="U662" i="3"/>
  <c r="S664" i="3"/>
  <c r="Q397" i="3"/>
  <c r="Q401" i="3" s="1"/>
  <c r="L17" i="2"/>
  <c r="K33" i="2"/>
  <c r="Q203" i="3"/>
  <c r="O463" i="3"/>
  <c r="O468" i="3"/>
  <c r="O469" i="3" s="1"/>
  <c r="R199" i="3"/>
  <c r="R200" i="3" s="1"/>
  <c r="Q9" i="2"/>
  <c r="U226" i="3"/>
  <c r="S376" i="3"/>
  <c r="S243" i="3"/>
  <c r="U498" i="3"/>
  <c r="V495" i="3"/>
  <c r="U16" i="2" s="1"/>
  <c r="R389" i="3"/>
  <c r="R396" i="3" s="1"/>
  <c r="T182" i="3"/>
  <c r="U168" i="3"/>
  <c r="S274" i="3"/>
  <c r="S377" i="3"/>
  <c r="S147" i="3"/>
  <c r="S152" i="3"/>
  <c r="S153" i="3" s="1"/>
  <c r="S154" i="3" s="1"/>
  <c r="S305" i="3"/>
  <c r="S378" i="3"/>
  <c r="S379" i="3"/>
  <c r="S336" i="3"/>
  <c r="V59" i="3"/>
  <c r="U176" i="3"/>
  <c r="U180" i="3" s="1"/>
  <c r="U62" i="3"/>
  <c r="U68" i="3"/>
  <c r="U69" i="3" s="1"/>
  <c r="U189" i="3"/>
  <c r="S351" i="3"/>
  <c r="S380" i="3"/>
  <c r="S395" i="3"/>
  <c r="S198" i="3"/>
  <c r="S109" i="3"/>
  <c r="S114" i="3"/>
  <c r="S115" i="3" s="1"/>
  <c r="S116" i="3" s="1"/>
  <c r="S185" i="3"/>
  <c r="S190" i="3"/>
  <c r="S191" i="3" s="1"/>
  <c r="S192" i="3" s="1"/>
  <c r="T144" i="3"/>
  <c r="U130" i="3"/>
  <c r="T478" i="3"/>
  <c r="T482" i="3" s="1"/>
  <c r="T296" i="3"/>
  <c r="T300" i="3" s="1"/>
  <c r="T302" i="3" s="1"/>
  <c r="T394" i="3"/>
  <c r="T265" i="3"/>
  <c r="T269" i="3" s="1"/>
  <c r="T271" i="3" s="1"/>
  <c r="T327" i="3"/>
  <c r="T331" i="3" s="1"/>
  <c r="T333" i="3" s="1"/>
  <c r="T72" i="3"/>
  <c r="T234" i="3"/>
  <c r="T238" i="3" s="1"/>
  <c r="T344" i="3"/>
  <c r="T348" i="3" s="1"/>
  <c r="T197" i="3"/>
  <c r="S381" i="3"/>
  <c r="S367" i="3"/>
  <c r="W319" i="3"/>
  <c r="S388" i="3"/>
  <c r="T106" i="3"/>
  <c r="T359" i="3"/>
  <c r="T364" i="3" s="1"/>
  <c r="T370" i="3" s="1"/>
  <c r="U92" i="3"/>
  <c r="W288" i="3"/>
  <c r="R382" i="3"/>
  <c r="R383" i="3" s="1"/>
  <c r="F4" i="36" l="1"/>
  <c r="H107" i="33"/>
  <c r="H97" i="33"/>
  <c r="F22" i="36"/>
  <c r="S663" i="3"/>
  <c r="R668" i="3"/>
  <c r="R670" i="3" s="1"/>
  <c r="Q50" i="2" s="1"/>
  <c r="J717" i="3"/>
  <c r="J730" i="3" s="1"/>
  <c r="O681" i="3"/>
  <c r="O683" i="3" s="1"/>
  <c r="M52" i="2"/>
  <c r="M21" i="2"/>
  <c r="J58" i="20"/>
  <c r="J22" i="33" s="1"/>
  <c r="J113" i="33" s="1"/>
  <c r="I58" i="20"/>
  <c r="P12" i="2"/>
  <c r="P31" i="2" s="1"/>
  <c r="Q11" i="2"/>
  <c r="X11" i="2" s="1"/>
  <c r="K707" i="3"/>
  <c r="K709" i="3" s="1"/>
  <c r="I69" i="2"/>
  <c r="M32" i="2"/>
  <c r="T485" i="3"/>
  <c r="S15" i="2"/>
  <c r="U573" i="3"/>
  <c r="T45" i="2" s="1"/>
  <c r="T8" i="2"/>
  <c r="S199" i="3"/>
  <c r="S203" i="3" s="1"/>
  <c r="R9" i="2"/>
  <c r="S96" i="2"/>
  <c r="R96" i="2"/>
  <c r="Q598" i="3"/>
  <c r="P99" i="2" s="1"/>
  <c r="P598" i="3"/>
  <c r="O99" i="2" s="1"/>
  <c r="P468" i="3"/>
  <c r="P469" i="3" s="1"/>
  <c r="P472" i="3" s="1"/>
  <c r="Q46" i="2"/>
  <c r="R597" i="3"/>
  <c r="S389" i="3"/>
  <c r="S396" i="3" s="1"/>
  <c r="S580" i="3"/>
  <c r="T664" i="3"/>
  <c r="V662" i="3"/>
  <c r="Q451" i="3"/>
  <c r="Q456" i="3" s="1"/>
  <c r="Q460" i="3" s="1"/>
  <c r="Q398" i="3"/>
  <c r="R203" i="3"/>
  <c r="O472" i="3"/>
  <c r="N14" i="2"/>
  <c r="R397" i="3"/>
  <c r="R401" i="3" s="1"/>
  <c r="X9" i="2"/>
  <c r="Q10" i="2"/>
  <c r="L21" i="2"/>
  <c r="M503" i="3" s="1"/>
  <c r="M507" i="3" s="1"/>
  <c r="L32" i="2"/>
  <c r="T351" i="3"/>
  <c r="T380" i="3"/>
  <c r="W495" i="3"/>
  <c r="V498" i="3"/>
  <c r="T388" i="3"/>
  <c r="T580" i="3" s="1"/>
  <c r="T395" i="3"/>
  <c r="T114" i="3"/>
  <c r="T115" i="3" s="1"/>
  <c r="T116" i="3" s="1"/>
  <c r="T198" i="3"/>
  <c r="T109" i="3"/>
  <c r="T379" i="3"/>
  <c r="T336" i="3"/>
  <c r="T274" i="3"/>
  <c r="T377" i="3"/>
  <c r="S382" i="3"/>
  <c r="S383" i="3" s="1"/>
  <c r="T305" i="3"/>
  <c r="T378" i="3"/>
  <c r="U478" i="3"/>
  <c r="U482" i="3" s="1"/>
  <c r="U394" i="3"/>
  <c r="U234" i="3"/>
  <c r="U238" i="3" s="1"/>
  <c r="U240" i="3" s="1"/>
  <c r="U197" i="3"/>
  <c r="U296" i="3"/>
  <c r="U300" i="3" s="1"/>
  <c r="U302" i="3" s="1"/>
  <c r="U265" i="3"/>
  <c r="U269" i="3" s="1"/>
  <c r="U271" i="3" s="1"/>
  <c r="U344" i="3"/>
  <c r="U348" i="3" s="1"/>
  <c r="U327" i="3"/>
  <c r="U331" i="3" s="1"/>
  <c r="U333" i="3" s="1"/>
  <c r="U72" i="3"/>
  <c r="T240" i="3"/>
  <c r="U106" i="3"/>
  <c r="V92" i="3"/>
  <c r="U359" i="3"/>
  <c r="U364" i="3" s="1"/>
  <c r="U370" i="3" s="1"/>
  <c r="T367" i="3"/>
  <c r="T381" i="3"/>
  <c r="U144" i="3"/>
  <c r="V130" i="3"/>
  <c r="V226" i="3"/>
  <c r="T152" i="3"/>
  <c r="T153" i="3" s="1"/>
  <c r="T154" i="3" s="1"/>
  <c r="T147" i="3"/>
  <c r="V168" i="3"/>
  <c r="U182" i="3"/>
  <c r="T387" i="3"/>
  <c r="W59" i="3"/>
  <c r="V189" i="3"/>
  <c r="V176" i="3"/>
  <c r="V180" i="3" s="1"/>
  <c r="V62" i="3"/>
  <c r="V68" i="3"/>
  <c r="V69" i="3" s="1"/>
  <c r="T185" i="3"/>
  <c r="T190" i="3"/>
  <c r="T191" i="3" s="1"/>
  <c r="T192" i="3" s="1"/>
  <c r="J32" i="33" l="1"/>
  <c r="J34" i="33" s="1"/>
  <c r="J52" i="33"/>
  <c r="I22" i="33"/>
  <c r="F47" i="36"/>
  <c r="M33" i="2"/>
  <c r="N503" i="3"/>
  <c r="N507" i="3" s="1"/>
  <c r="T663" i="3"/>
  <c r="S668" i="3"/>
  <c r="S670" i="3" s="1"/>
  <c r="R50" i="2" s="1"/>
  <c r="J111" i="2"/>
  <c r="P681" i="3"/>
  <c r="P683" i="3" s="1"/>
  <c r="N52" i="2"/>
  <c r="I84" i="2"/>
  <c r="K711" i="3"/>
  <c r="L59" i="20"/>
  <c r="L47" i="33" s="1"/>
  <c r="M59" i="20"/>
  <c r="M47" i="33" s="1"/>
  <c r="R10" i="2"/>
  <c r="O14" i="2"/>
  <c r="S397" i="3"/>
  <c r="S451" i="3" s="1"/>
  <c r="S456" i="3" s="1"/>
  <c r="S460" i="3" s="1"/>
  <c r="R11" i="2"/>
  <c r="W498" i="3"/>
  <c r="V16" i="2"/>
  <c r="T96" i="2"/>
  <c r="S200" i="3"/>
  <c r="V573" i="3"/>
  <c r="U45" i="2" s="1"/>
  <c r="U8" i="2"/>
  <c r="T199" i="3"/>
  <c r="T200" i="3" s="1"/>
  <c r="S9" i="2"/>
  <c r="U485" i="3"/>
  <c r="T15" i="2"/>
  <c r="R598" i="3"/>
  <c r="Q99" i="2" s="1"/>
  <c r="S581" i="3"/>
  <c r="R46" i="2" s="1"/>
  <c r="S588" i="3"/>
  <c r="R47" i="2" s="1"/>
  <c r="S595" i="3"/>
  <c r="R58" i="2" s="1"/>
  <c r="T595" i="3"/>
  <c r="S58" i="2" s="1"/>
  <c r="T581" i="3"/>
  <c r="S46" i="2" s="1"/>
  <c r="T588" i="3"/>
  <c r="S47" i="2" s="1"/>
  <c r="W662" i="3"/>
  <c r="U664" i="3"/>
  <c r="Q463" i="3"/>
  <c r="Q468" i="3"/>
  <c r="Q469" i="3" s="1"/>
  <c r="L33" i="2"/>
  <c r="T389" i="3"/>
  <c r="T396" i="3" s="1"/>
  <c r="R398" i="3"/>
  <c r="R451" i="3"/>
  <c r="R456" i="3" s="1"/>
  <c r="R460" i="3" s="1"/>
  <c r="R468" i="3" s="1"/>
  <c r="R469" i="3" s="1"/>
  <c r="Q12" i="2"/>
  <c r="X10" i="2"/>
  <c r="N17" i="2"/>
  <c r="U367" i="3"/>
  <c r="U381" i="3"/>
  <c r="U190" i="3"/>
  <c r="U191" i="3" s="1"/>
  <c r="U192" i="3" s="1"/>
  <c r="U185" i="3"/>
  <c r="V182" i="3"/>
  <c r="W168" i="3"/>
  <c r="U395" i="3"/>
  <c r="U198" i="3"/>
  <c r="U114" i="3"/>
  <c r="U115" i="3" s="1"/>
  <c r="U116" i="3" s="1"/>
  <c r="U109" i="3"/>
  <c r="T376" i="3"/>
  <c r="T382" i="3" s="1"/>
  <c r="T383" i="3" s="1"/>
  <c r="T243" i="3"/>
  <c r="U376" i="3"/>
  <c r="U243" i="3"/>
  <c r="U379" i="3"/>
  <c r="U336" i="3"/>
  <c r="V234" i="3"/>
  <c r="V238" i="3" s="1"/>
  <c r="V197" i="3"/>
  <c r="V394" i="3"/>
  <c r="V72" i="3"/>
  <c r="V296" i="3"/>
  <c r="V300" i="3" s="1"/>
  <c r="V302" i="3" s="1"/>
  <c r="V478" i="3"/>
  <c r="V482" i="3" s="1"/>
  <c r="V265" i="3"/>
  <c r="V269" i="3" s="1"/>
  <c r="V271" i="3" s="1"/>
  <c r="V327" i="3"/>
  <c r="V331" i="3" s="1"/>
  <c r="V333" i="3" s="1"/>
  <c r="V344" i="3"/>
  <c r="V348" i="3" s="1"/>
  <c r="W226" i="3"/>
  <c r="U380" i="3"/>
  <c r="U351" i="3"/>
  <c r="V359" i="3"/>
  <c r="V364" i="3" s="1"/>
  <c r="W92" i="3"/>
  <c r="V106" i="3"/>
  <c r="U387" i="3"/>
  <c r="U377" i="3"/>
  <c r="U274" i="3"/>
  <c r="W130" i="3"/>
  <c r="W144" i="3" s="1"/>
  <c r="V144" i="3"/>
  <c r="U378" i="3"/>
  <c r="U305" i="3"/>
  <c r="U152" i="3"/>
  <c r="U153" i="3" s="1"/>
  <c r="U154" i="3" s="1"/>
  <c r="U147" i="3"/>
  <c r="W189" i="3"/>
  <c r="W176" i="3"/>
  <c r="W180" i="3" s="1"/>
  <c r="W62" i="3"/>
  <c r="W68" i="3"/>
  <c r="W69" i="3" s="1"/>
  <c r="U388" i="3"/>
  <c r="U580" i="3" s="1"/>
  <c r="I113" i="33" l="1"/>
  <c r="I52" i="33" s="1"/>
  <c r="H4" i="36"/>
  <c r="I32" i="33"/>
  <c r="I34" i="33" s="1"/>
  <c r="J107" i="33"/>
  <c r="J97" i="33"/>
  <c r="H22" i="36"/>
  <c r="H47" i="36" s="1"/>
  <c r="U663" i="3"/>
  <c r="T668" i="3"/>
  <c r="T670" i="3" s="1"/>
  <c r="S50" i="2" s="1"/>
  <c r="Q681" i="3"/>
  <c r="Q683" i="3" s="1"/>
  <c r="O52" i="2"/>
  <c r="K717" i="3"/>
  <c r="K730" i="3" s="1"/>
  <c r="K58" i="20"/>
  <c r="K22" i="33" s="1"/>
  <c r="K113" i="33" s="1"/>
  <c r="J69" i="2"/>
  <c r="L707" i="3"/>
  <c r="L709" i="3" s="1"/>
  <c r="N59" i="20"/>
  <c r="N47" i="33" s="1"/>
  <c r="R12" i="2"/>
  <c r="R31" i="2" s="1"/>
  <c r="S10" i="2"/>
  <c r="O17" i="2"/>
  <c r="S401" i="3"/>
  <c r="S398" i="3"/>
  <c r="T203" i="3"/>
  <c r="T397" i="3"/>
  <c r="T401" i="3" s="1"/>
  <c r="S11" i="2"/>
  <c r="U199" i="3"/>
  <c r="U203" i="3" s="1"/>
  <c r="T9" i="2"/>
  <c r="V485" i="3"/>
  <c r="U15" i="2"/>
  <c r="W573" i="3"/>
  <c r="V45" i="2" s="1"/>
  <c r="V8" i="2"/>
  <c r="V387" i="3"/>
  <c r="V370" i="3"/>
  <c r="S597" i="3"/>
  <c r="T597" i="3"/>
  <c r="U581" i="3"/>
  <c r="T46" i="2" s="1"/>
  <c r="U588" i="3"/>
  <c r="T47" i="2" s="1"/>
  <c r="U595" i="3"/>
  <c r="T58" i="2" s="1"/>
  <c r="V664" i="3"/>
  <c r="Q472" i="3"/>
  <c r="P14" i="2"/>
  <c r="W182" i="3"/>
  <c r="W190" i="3" s="1"/>
  <c r="W191" i="3" s="1"/>
  <c r="W192" i="3" s="1"/>
  <c r="R463" i="3"/>
  <c r="R472" i="3"/>
  <c r="Q14" i="2"/>
  <c r="V388" i="3"/>
  <c r="Q31" i="2"/>
  <c r="X12" i="2"/>
  <c r="N32" i="2"/>
  <c r="N21" i="2"/>
  <c r="O503" i="3" s="1"/>
  <c r="O507" i="3" s="1"/>
  <c r="U389" i="3"/>
  <c r="U396" i="3" s="1"/>
  <c r="V336" i="3"/>
  <c r="V379" i="3"/>
  <c r="W152" i="3"/>
  <c r="W153" i="3" s="1"/>
  <c r="W154" i="3" s="1"/>
  <c r="W147" i="3"/>
  <c r="V147" i="3"/>
  <c r="V152" i="3"/>
  <c r="V153" i="3" s="1"/>
  <c r="V154" i="3" s="1"/>
  <c r="V190" i="3"/>
  <c r="V191" i="3" s="1"/>
  <c r="V192" i="3" s="1"/>
  <c r="V185" i="3"/>
  <c r="V240" i="3"/>
  <c r="V351" i="3"/>
  <c r="V380" i="3"/>
  <c r="V274" i="3"/>
  <c r="V377" i="3"/>
  <c r="W359" i="3"/>
  <c r="W364" i="3" s="1"/>
  <c r="W370" i="3" s="1"/>
  <c r="W106" i="3"/>
  <c r="V378" i="3"/>
  <c r="V305" i="3"/>
  <c r="W394" i="3"/>
  <c r="W344" i="3"/>
  <c r="W348" i="3" s="1"/>
  <c r="W296" i="3"/>
  <c r="W300" i="3" s="1"/>
  <c r="W302" i="3" s="1"/>
  <c r="W234" i="3"/>
  <c r="W238" i="3" s="1"/>
  <c r="W197" i="3"/>
  <c r="W72" i="3"/>
  <c r="W327" i="3"/>
  <c r="W331" i="3" s="1"/>
  <c r="W333" i="3" s="1"/>
  <c r="W478" i="3"/>
  <c r="W482" i="3" s="1"/>
  <c r="W265" i="3"/>
  <c r="W269" i="3" s="1"/>
  <c r="W271" i="3" s="1"/>
  <c r="U382" i="3"/>
  <c r="U383" i="3" s="1"/>
  <c r="V395" i="3"/>
  <c r="V114" i="3"/>
  <c r="V115" i="3" s="1"/>
  <c r="V116" i="3" s="1"/>
  <c r="V198" i="3"/>
  <c r="V109" i="3"/>
  <c r="S468" i="3"/>
  <c r="S469" i="3" s="1"/>
  <c r="S463" i="3"/>
  <c r="V381" i="3"/>
  <c r="V367" i="3"/>
  <c r="K32" i="33" l="1"/>
  <c r="K34" i="33" s="1"/>
  <c r="K52" i="33"/>
  <c r="I97" i="33"/>
  <c r="I107" i="33"/>
  <c r="G22" i="36"/>
  <c r="G4" i="36"/>
  <c r="S12" i="2"/>
  <c r="S31" i="2" s="1"/>
  <c r="V663" i="3"/>
  <c r="U668" i="3"/>
  <c r="U670" i="3" s="1"/>
  <c r="T50" i="2" s="1"/>
  <c r="R681" i="3"/>
  <c r="R683" i="3" s="1"/>
  <c r="P52" i="2"/>
  <c r="O21" i="2"/>
  <c r="L58" i="20"/>
  <c r="L22" i="33" s="1"/>
  <c r="L113" i="33" s="1"/>
  <c r="J84" i="2"/>
  <c r="K111" i="2"/>
  <c r="L711" i="3"/>
  <c r="T10" i="2"/>
  <c r="P17" i="2"/>
  <c r="O32" i="2"/>
  <c r="U200" i="3"/>
  <c r="T398" i="3"/>
  <c r="T451" i="3"/>
  <c r="T456" i="3" s="1"/>
  <c r="T460" i="3" s="1"/>
  <c r="T468" i="3" s="1"/>
  <c r="T469" i="3" s="1"/>
  <c r="T472" i="3" s="1"/>
  <c r="S472" i="3"/>
  <c r="R14" i="2"/>
  <c r="V199" i="3"/>
  <c r="V200" i="3" s="1"/>
  <c r="U9" i="2"/>
  <c r="T598" i="3"/>
  <c r="S99" i="2" s="1"/>
  <c r="S598" i="3"/>
  <c r="R99" i="2" s="1"/>
  <c r="V96" i="2"/>
  <c r="W485" i="3"/>
  <c r="V15" i="2"/>
  <c r="U397" i="3"/>
  <c r="U398" i="3" s="1"/>
  <c r="T11" i="2"/>
  <c r="U96" i="2"/>
  <c r="V389" i="3"/>
  <c r="V396" i="3" s="1"/>
  <c r="V580" i="3"/>
  <c r="U597" i="3"/>
  <c r="X14" i="2"/>
  <c r="W664" i="3"/>
  <c r="W185" i="3"/>
  <c r="Q17" i="2"/>
  <c r="W388" i="3"/>
  <c r="W580" i="3" s="1"/>
  <c r="N33" i="2"/>
  <c r="W378" i="3"/>
  <c r="W305" i="3"/>
  <c r="W380" i="3"/>
  <c r="W351" i="3"/>
  <c r="W379" i="3"/>
  <c r="W336" i="3"/>
  <c r="W377" i="3"/>
  <c r="W274" i="3"/>
  <c r="W114" i="3"/>
  <c r="W115" i="3" s="1"/>
  <c r="W116" i="3" s="1"/>
  <c r="W395" i="3"/>
  <c r="W198" i="3"/>
  <c r="W109" i="3"/>
  <c r="V243" i="3"/>
  <c r="V376" i="3"/>
  <c r="V382" i="3" s="1"/>
  <c r="V383" i="3" s="1"/>
  <c r="W381" i="3"/>
  <c r="W367" i="3"/>
  <c r="W240" i="3"/>
  <c r="W387" i="3"/>
  <c r="I4" i="36" l="1"/>
  <c r="L32" i="33"/>
  <c r="L52" i="33"/>
  <c r="K107" i="33"/>
  <c r="K97" i="33"/>
  <c r="I22" i="36"/>
  <c r="I47" i="36" s="1"/>
  <c r="G47" i="36"/>
  <c r="O33" i="2"/>
  <c r="P503" i="3"/>
  <c r="P507" i="3" s="1"/>
  <c r="W663" i="3"/>
  <c r="W668" i="3" s="1"/>
  <c r="W670" i="3" s="1"/>
  <c r="V50" i="2" s="1"/>
  <c r="V668" i="3"/>
  <c r="V670" i="3" s="1"/>
  <c r="U50" i="2" s="1"/>
  <c r="S681" i="3"/>
  <c r="S683" i="3" s="1"/>
  <c r="Q52" i="2"/>
  <c r="T12" i="2"/>
  <c r="T31" i="2" s="1"/>
  <c r="N58" i="20"/>
  <c r="N22" i="33" s="1"/>
  <c r="N113" i="33" s="1"/>
  <c r="P32" i="2"/>
  <c r="M58" i="20"/>
  <c r="M22" i="33" s="1"/>
  <c r="M113" i="33" s="1"/>
  <c r="L717" i="3"/>
  <c r="L730" i="3" s="1"/>
  <c r="M707" i="3"/>
  <c r="K69" i="2"/>
  <c r="P21" i="2"/>
  <c r="O59" i="20"/>
  <c r="O47" i="33" s="1"/>
  <c r="P59" i="20"/>
  <c r="P47" i="33" s="1"/>
  <c r="U10" i="2"/>
  <c r="X17" i="2"/>
  <c r="R17" i="2"/>
  <c r="S14" i="2"/>
  <c r="T463" i="3"/>
  <c r="U451" i="3"/>
  <c r="U456" i="3" s="1"/>
  <c r="U460" i="3" s="1"/>
  <c r="U468" i="3" s="1"/>
  <c r="U469" i="3" s="1"/>
  <c r="U401" i="3"/>
  <c r="V203" i="3"/>
  <c r="U598" i="3"/>
  <c r="T99" i="2" s="1"/>
  <c r="W199" i="3"/>
  <c r="W200" i="3" s="1"/>
  <c r="V9" i="2"/>
  <c r="V397" i="3"/>
  <c r="V398" i="3" s="1"/>
  <c r="U11" i="2"/>
  <c r="W595" i="3"/>
  <c r="V58" i="2" s="1"/>
  <c r="W588" i="3"/>
  <c r="V47" i="2" s="1"/>
  <c r="W581" i="3"/>
  <c r="V46" i="2" s="1"/>
  <c r="V588" i="3"/>
  <c r="U47" i="2" s="1"/>
  <c r="V595" i="3"/>
  <c r="U58" i="2" s="1"/>
  <c r="V581" i="3"/>
  <c r="U46" i="2" s="1"/>
  <c r="Q21" i="2"/>
  <c r="R503" i="3" s="1"/>
  <c r="R507" i="3" s="1"/>
  <c r="Z17" i="2"/>
  <c r="Q32" i="2"/>
  <c r="W389" i="3"/>
  <c r="W396" i="3" s="1"/>
  <c r="W243" i="3"/>
  <c r="W376" i="3"/>
  <c r="W382" i="3" s="1"/>
  <c r="W383" i="3" s="1"/>
  <c r="J4" i="36" l="1"/>
  <c r="L34" i="33"/>
  <c r="M32" i="33"/>
  <c r="M34" i="33" s="1"/>
  <c r="M52" i="33"/>
  <c r="L107" i="33"/>
  <c r="L97" i="33"/>
  <c r="N32" i="33"/>
  <c r="N34" i="33" s="1"/>
  <c r="N52" i="33"/>
  <c r="J22" i="36"/>
  <c r="J47" i="36" s="1"/>
  <c r="P33" i="2"/>
  <c r="Q503" i="3"/>
  <c r="Q507" i="3" s="1"/>
  <c r="T681" i="3"/>
  <c r="T683" i="3" s="1"/>
  <c r="R52" i="2"/>
  <c r="R21" i="2"/>
  <c r="O58" i="20"/>
  <c r="K84" i="2"/>
  <c r="M709" i="3"/>
  <c r="Q59" i="20"/>
  <c r="Q47" i="33" s="1"/>
  <c r="S17" i="2"/>
  <c r="R32" i="2"/>
  <c r="V10" i="2"/>
  <c r="U12" i="2"/>
  <c r="U31" i="2" s="1"/>
  <c r="U463" i="3"/>
  <c r="V451" i="3"/>
  <c r="V456" i="3" s="1"/>
  <c r="V460" i="3" s="1"/>
  <c r="V463" i="3" s="1"/>
  <c r="V401" i="3"/>
  <c r="W203" i="3"/>
  <c r="U472" i="3"/>
  <c r="T14" i="2"/>
  <c r="W397" i="3"/>
  <c r="W401" i="3" s="1"/>
  <c r="V11" i="2"/>
  <c r="V597" i="3"/>
  <c r="W597" i="3"/>
  <c r="Q33" i="2"/>
  <c r="M97" i="33" l="1"/>
  <c r="M107" i="33"/>
  <c r="N107" i="33"/>
  <c r="N97" i="33"/>
  <c r="K4" i="36"/>
  <c r="L4" i="36"/>
  <c r="O22" i="33"/>
  <c r="O113" i="33" s="1"/>
  <c r="L22" i="36"/>
  <c r="L47" i="36" s="1"/>
  <c r="K22" i="36"/>
  <c r="K47" i="36" s="1"/>
  <c r="R33" i="2"/>
  <c r="S503" i="3"/>
  <c r="S507" i="3" s="1"/>
  <c r="U681" i="3"/>
  <c r="U683" i="3" s="1"/>
  <c r="S52" i="2"/>
  <c r="S32" i="2"/>
  <c r="P58" i="20"/>
  <c r="L111" i="2"/>
  <c r="M711" i="3"/>
  <c r="V12" i="2"/>
  <c r="V31" i="2" s="1"/>
  <c r="S21" i="2"/>
  <c r="T17" i="2"/>
  <c r="V468" i="3"/>
  <c r="V469" i="3" s="1"/>
  <c r="V472" i="3" s="1"/>
  <c r="W398" i="3"/>
  <c r="W598" i="3"/>
  <c r="V99" i="2" s="1"/>
  <c r="V598" i="3"/>
  <c r="U99" i="2" s="1"/>
  <c r="W451" i="3"/>
  <c r="W456" i="3" s="1"/>
  <c r="W460" i="3" s="1"/>
  <c r="W468" i="3" s="1"/>
  <c r="W469" i="3" s="1"/>
  <c r="O32" i="33" l="1"/>
  <c r="O34" i="33" s="1"/>
  <c r="O52" i="33"/>
  <c r="M4" i="36"/>
  <c r="M47" i="36"/>
  <c r="P22" i="33"/>
  <c r="P113" i="33" s="1"/>
  <c r="M22" i="36"/>
  <c r="S33" i="2"/>
  <c r="T503" i="3"/>
  <c r="T507" i="3" s="1"/>
  <c r="V681" i="3"/>
  <c r="V683" i="3" s="1"/>
  <c r="T52" i="2"/>
  <c r="T21" i="2"/>
  <c r="Q58" i="20"/>
  <c r="M717" i="3"/>
  <c r="M730" i="3" s="1"/>
  <c r="N707" i="3"/>
  <c r="L69" i="2"/>
  <c r="T32" i="2"/>
  <c r="R59" i="20"/>
  <c r="R47" i="33" s="1"/>
  <c r="S59" i="20"/>
  <c r="S47" i="33" s="1"/>
  <c r="U14" i="2"/>
  <c r="W463" i="3"/>
  <c r="W472" i="3"/>
  <c r="V14" i="2"/>
  <c r="P32" i="33" l="1"/>
  <c r="P34" i="33" s="1"/>
  <c r="O107" i="33"/>
  <c r="O97" i="33"/>
  <c r="Q22" i="33"/>
  <c r="Q113" i="33" s="1"/>
  <c r="T33" i="2"/>
  <c r="U503" i="3"/>
  <c r="U507" i="3" s="1"/>
  <c r="W681" i="3"/>
  <c r="W683" i="3" s="1"/>
  <c r="V52" i="2" s="1"/>
  <c r="U52" i="2"/>
  <c r="L84" i="2"/>
  <c r="N709" i="3"/>
  <c r="U17" i="2"/>
  <c r="V17" i="2"/>
  <c r="P52" i="33" l="1"/>
  <c r="P97" i="33"/>
  <c r="P107" i="33"/>
  <c r="Q32" i="33"/>
  <c r="Q34" i="33" s="1"/>
  <c r="U32" i="2"/>
  <c r="R58" i="20"/>
  <c r="U21" i="2"/>
  <c r="V21" i="2"/>
  <c r="S58" i="20"/>
  <c r="M111" i="2"/>
  <c r="N711" i="3"/>
  <c r="V32" i="2"/>
  <c r="Q52" i="33" l="1"/>
  <c r="Q97" i="33"/>
  <c r="Q107" i="33"/>
  <c r="R22" i="33"/>
  <c r="R113" i="33" s="1"/>
  <c r="S22" i="33"/>
  <c r="V33" i="2"/>
  <c r="W503" i="3"/>
  <c r="W507" i="3" s="1"/>
  <c r="U33" i="2"/>
  <c r="V503" i="3"/>
  <c r="V507" i="3" s="1"/>
  <c r="N717" i="3"/>
  <c r="N730" i="3" s="1"/>
  <c r="M69" i="2"/>
  <c r="O707" i="3"/>
  <c r="S113" i="33" l="1"/>
  <c r="U22" i="33"/>
  <c r="S32" i="33"/>
  <c r="S34" i="33" s="1"/>
  <c r="R32" i="33"/>
  <c r="R34" i="33" s="1"/>
  <c r="O709" i="3"/>
  <c r="M84" i="2"/>
  <c r="R52" i="33" l="1"/>
  <c r="R97" i="33"/>
  <c r="R107" i="33"/>
  <c r="S52" i="33"/>
  <c r="S97" i="33"/>
  <c r="S107" i="33"/>
  <c r="U107" i="33" s="1"/>
  <c r="D34" i="36"/>
  <c r="D37" i="36" s="1"/>
  <c r="U32" i="33"/>
  <c r="N111" i="2"/>
  <c r="O711" i="3"/>
  <c r="U97" i="33" l="1"/>
  <c r="U52" i="33"/>
  <c r="O717" i="3"/>
  <c r="O730" i="3" s="1"/>
  <c r="N69" i="2"/>
  <c r="P707" i="3"/>
  <c r="P709" i="3" l="1"/>
  <c r="N84" i="2"/>
  <c r="O111" i="2" l="1"/>
  <c r="P711" i="3"/>
  <c r="O69" i="2" l="1"/>
  <c r="P717" i="3"/>
  <c r="P730" i="3" s="1"/>
  <c r="Q707" i="3"/>
  <c r="Q709" i="3" l="1"/>
  <c r="O84" i="2"/>
  <c r="P111" i="2" l="1"/>
  <c r="Q711" i="3"/>
  <c r="P69" i="2" l="1"/>
  <c r="R707" i="3"/>
  <c r="Q717" i="3"/>
  <c r="Q730" i="3" s="1"/>
  <c r="R709" i="3" l="1"/>
  <c r="P84" i="2"/>
  <c r="Q111" i="2" l="1"/>
  <c r="R711" i="3"/>
  <c r="R717" i="3" l="1"/>
  <c r="R730" i="3" s="1"/>
  <c r="Q69" i="2"/>
  <c r="S707" i="3"/>
  <c r="S709" i="3" s="1"/>
  <c r="R111" i="2" l="1"/>
  <c r="Q84" i="2"/>
  <c r="S711" i="3"/>
  <c r="S717" i="3" l="1"/>
  <c r="S730" i="3" s="1"/>
  <c r="R69" i="2"/>
  <c r="R84" i="2" s="1"/>
  <c r="T707" i="3"/>
  <c r="T709" i="3" s="1"/>
  <c r="S111" i="2" l="1"/>
  <c r="T711" i="3"/>
  <c r="T717" i="3" l="1"/>
  <c r="T730" i="3" s="1"/>
  <c r="S69" i="2"/>
  <c r="U707" i="3"/>
  <c r="U709" i="3" l="1"/>
  <c r="S84" i="2"/>
  <c r="T111" i="2" l="1"/>
  <c r="U711" i="3"/>
  <c r="U717" i="3" l="1"/>
  <c r="U730" i="3" s="1"/>
  <c r="V707" i="3"/>
  <c r="T69" i="2"/>
  <c r="T84" i="2" l="1"/>
  <c r="V709" i="3"/>
  <c r="U111" i="2" l="1"/>
  <c r="V711" i="3"/>
  <c r="W707" i="3" l="1"/>
  <c r="V717" i="3"/>
  <c r="V730" i="3" s="1"/>
  <c r="U69" i="2"/>
  <c r="W709" i="3" l="1"/>
  <c r="U84" i="2"/>
  <c r="V111" i="2" l="1"/>
  <c r="W711" i="3"/>
  <c r="V69" i="2" l="1"/>
  <c r="W717" i="3"/>
  <c r="W730" i="3" s="1"/>
  <c r="V84" i="2" l="1"/>
  <c r="D56" i="33" l="1"/>
  <c r="D35" i="33" s="1"/>
  <c r="D36" i="33" s="1"/>
  <c r="D85" i="33" l="1"/>
  <c r="D95" i="33"/>
  <c r="G71" i="2"/>
  <c r="H70" i="2"/>
  <c r="H101" i="2"/>
  <c r="J369" i="3"/>
  <c r="J371" i="3" s="1"/>
  <c r="I101" i="2" l="1"/>
  <c r="J372" i="3"/>
  <c r="H71" i="2"/>
  <c r="K369" i="3" l="1"/>
  <c r="K371" i="3" s="1"/>
  <c r="I70" i="2"/>
  <c r="I71" i="2" l="1"/>
  <c r="J101" i="2"/>
  <c r="K372" i="3"/>
  <c r="J70" i="2" l="1"/>
  <c r="L369" i="3"/>
  <c r="L371" i="3" s="1"/>
  <c r="K101" i="2" l="1"/>
  <c r="L372" i="3"/>
  <c r="J71" i="2"/>
  <c r="M369" i="3" l="1"/>
  <c r="M371" i="3" s="1"/>
  <c r="K70" i="2"/>
  <c r="K71" i="2" l="1"/>
  <c r="L101" i="2"/>
  <c r="M372" i="3"/>
  <c r="N369" i="3" l="1"/>
  <c r="N371" i="3" s="1"/>
  <c r="L70" i="2"/>
  <c r="L71" i="2" l="1"/>
  <c r="M101" i="2"/>
  <c r="N372" i="3"/>
  <c r="O369" i="3" l="1"/>
  <c r="O371" i="3" s="1"/>
  <c r="M70" i="2"/>
  <c r="M71" i="2" l="1"/>
  <c r="N101" i="2"/>
  <c r="O372" i="3"/>
  <c r="P369" i="3" l="1"/>
  <c r="P371" i="3" s="1"/>
  <c r="N70" i="2"/>
  <c r="N71" i="2" l="1"/>
  <c r="O101" i="2"/>
  <c r="P372" i="3"/>
  <c r="O70" i="2" l="1"/>
  <c r="Q369" i="3"/>
  <c r="Q371" i="3" s="1"/>
  <c r="P101" i="2" l="1"/>
  <c r="Q372" i="3"/>
  <c r="O71" i="2"/>
  <c r="P70" i="2" l="1"/>
  <c r="R369" i="3"/>
  <c r="R371" i="3" s="1"/>
  <c r="Q101" i="2" l="1"/>
  <c r="R372" i="3"/>
  <c r="P71" i="2"/>
  <c r="Q70" i="2" l="1"/>
  <c r="S369" i="3"/>
  <c r="S371" i="3" s="1"/>
  <c r="R101" i="2" l="1"/>
  <c r="S372" i="3"/>
  <c r="Q71" i="2"/>
  <c r="T369" i="3" l="1"/>
  <c r="T371" i="3" s="1"/>
  <c r="R70" i="2"/>
  <c r="R71" i="2" l="1"/>
  <c r="S101" i="2"/>
  <c r="T372" i="3"/>
  <c r="S70" i="2" l="1"/>
  <c r="U369" i="3"/>
  <c r="U371" i="3" s="1"/>
  <c r="T101" i="2" l="1"/>
  <c r="U372" i="3"/>
  <c r="S71" i="2"/>
  <c r="T70" i="2" l="1"/>
  <c r="V369" i="3"/>
  <c r="V371" i="3" s="1"/>
  <c r="U101" i="2" l="1"/>
  <c r="V372" i="3"/>
  <c r="T71" i="2"/>
  <c r="U70" i="2" l="1"/>
  <c r="W369" i="3"/>
  <c r="W371" i="3" s="1"/>
  <c r="V101" i="2" l="1"/>
  <c r="W372" i="3"/>
  <c r="V70" i="2" s="1"/>
  <c r="U71" i="2"/>
  <c r="V71" i="2" l="1"/>
  <c r="H37" i="2" l="1"/>
  <c r="H56" i="2"/>
  <c r="I56" i="2"/>
  <c r="I37" i="2"/>
  <c r="M56" i="2"/>
  <c r="M37" i="2"/>
  <c r="J56" i="2"/>
  <c r="J37" i="2"/>
  <c r="R37" i="2"/>
  <c r="R56" i="2"/>
  <c r="U56" i="2"/>
  <c r="U37" i="2"/>
  <c r="K56" i="2"/>
  <c r="K37" i="2"/>
  <c r="Q56" i="2"/>
  <c r="Q37" i="2"/>
  <c r="S37" i="2"/>
  <c r="S56" i="2"/>
  <c r="O56" i="2"/>
  <c r="O37" i="2"/>
  <c r="V37" i="2"/>
  <c r="V56" i="2"/>
  <c r="P37" i="2"/>
  <c r="P56" i="2"/>
  <c r="T37" i="2"/>
  <c r="T56" i="2"/>
  <c r="N37" i="2"/>
  <c r="N56" i="2"/>
  <c r="L56" i="2"/>
  <c r="L37" i="2"/>
  <c r="H18" i="2"/>
  <c r="G50" i="2"/>
  <c r="H93" i="2" l="1"/>
  <c r="X18" i="2"/>
  <c r="H21" i="2"/>
  <c r="I503" i="3" s="1"/>
  <c r="I507" i="3" s="1"/>
  <c r="G56" i="2"/>
  <c r="G37" i="2"/>
  <c r="H33" i="2" l="1"/>
  <c r="X21" i="2"/>
  <c r="H779" i="3" l="1"/>
  <c r="H741" i="3" s="1"/>
  <c r="I779" i="3"/>
  <c r="I741" i="3" s="1"/>
  <c r="H116" i="2" s="1"/>
  <c r="J779" i="3"/>
  <c r="J741" i="3" s="1"/>
  <c r="I116" i="2" s="1"/>
  <c r="K779" i="3"/>
  <c r="K741" i="3" s="1"/>
  <c r="J116" i="2" s="1"/>
  <c r="L779" i="3"/>
  <c r="L741" i="3" s="1"/>
  <c r="K116" i="2" s="1"/>
  <c r="M779" i="3"/>
  <c r="M741" i="3" s="1"/>
  <c r="L116" i="2" s="1"/>
  <c r="N779" i="3"/>
  <c r="N741" i="3" s="1"/>
  <c r="M116" i="2" s="1"/>
  <c r="O779" i="3"/>
  <c r="O741" i="3" s="1"/>
  <c r="N116" i="2" s="1"/>
  <c r="P779" i="3"/>
  <c r="P741" i="3" s="1"/>
  <c r="O116" i="2" s="1"/>
  <c r="Q779" i="3"/>
  <c r="Q741" i="3" s="1"/>
  <c r="P116" i="2" s="1"/>
  <c r="R779" i="3"/>
  <c r="R741" i="3" s="1"/>
  <c r="Q116" i="2" s="1"/>
  <c r="S779" i="3"/>
  <c r="S741" i="3" s="1"/>
  <c r="R116" i="2" s="1"/>
  <c r="T779" i="3"/>
  <c r="T741" i="3" s="1"/>
  <c r="S116" i="2" s="1"/>
  <c r="U779" i="3"/>
  <c r="U741" i="3" s="1"/>
  <c r="T116" i="2" s="1"/>
  <c r="V779" i="3"/>
  <c r="V741" i="3" s="1"/>
  <c r="U116" i="2" s="1"/>
  <c r="W779" i="3"/>
  <c r="W741" i="3" s="1"/>
  <c r="V116" i="2" s="1"/>
  <c r="H742" i="3" l="1"/>
  <c r="H73" i="2" s="1"/>
  <c r="G73" i="2" s="1"/>
  <c r="G116" i="2"/>
  <c r="I738" i="3" l="1"/>
  <c r="I742" i="3" s="1"/>
  <c r="I73" i="2" s="1"/>
  <c r="J738" i="3" l="1"/>
  <c r="J742" i="3" s="1"/>
  <c r="J73" i="2" s="1"/>
  <c r="K738" i="3" l="1"/>
  <c r="K742" i="3" s="1"/>
  <c r="K73" i="2" s="1"/>
  <c r="L738" i="3" l="1"/>
  <c r="L742" i="3" s="1"/>
  <c r="L73" i="2" s="1"/>
  <c r="M738" i="3" l="1"/>
  <c r="M742" i="3" s="1"/>
  <c r="M73" i="2" s="1"/>
  <c r="N738" i="3" l="1"/>
  <c r="N742" i="3" s="1"/>
  <c r="N73" i="2" s="1"/>
  <c r="O738" i="3" l="1"/>
  <c r="O742" i="3" s="1"/>
  <c r="O73" i="2" s="1"/>
  <c r="P738" i="3" l="1"/>
  <c r="P742" i="3" s="1"/>
  <c r="P73" i="2" s="1"/>
  <c r="Q738" i="3" l="1"/>
  <c r="Q742" i="3" s="1"/>
  <c r="Q73" i="2" s="1"/>
  <c r="R738" i="3" l="1"/>
  <c r="R742" i="3" s="1"/>
  <c r="R73" i="2" s="1"/>
  <c r="S738" i="3" l="1"/>
  <c r="S742" i="3" s="1"/>
  <c r="S73" i="2" s="1"/>
  <c r="T738" i="3" l="1"/>
  <c r="T742" i="3" s="1"/>
  <c r="T73" i="2" s="1"/>
  <c r="U738" i="3" l="1"/>
  <c r="U742" i="3" s="1"/>
  <c r="U73" i="2" s="1"/>
  <c r="V738" i="3" l="1"/>
  <c r="V742" i="3" s="1"/>
  <c r="V73" i="2" s="1"/>
  <c r="W738" i="3" l="1"/>
  <c r="W742" i="3" s="1"/>
  <c r="H510" i="3" l="1"/>
  <c r="H513" i="3"/>
  <c r="H514" i="3" l="1"/>
  <c r="G102" i="2" s="1"/>
  <c r="H515" i="3"/>
  <c r="G26" i="2"/>
  <c r="G27" i="2" l="1"/>
  <c r="G60" i="2"/>
  <c r="I512" i="3"/>
  <c r="G103" i="2"/>
  <c r="H770" i="3" l="1"/>
  <c r="G35" i="2"/>
  <c r="H746" i="3"/>
  <c r="H762" i="3" l="1"/>
  <c r="H763" i="3" l="1"/>
  <c r="G115" i="2" s="1"/>
  <c r="H772" i="3" s="1"/>
  <c r="H773" i="3" s="1"/>
  <c r="H776" i="3" s="1"/>
  <c r="H764" i="3"/>
  <c r="H747" i="3"/>
  <c r="H749" i="3" l="1"/>
  <c r="G63" i="2"/>
  <c r="I761" i="3"/>
  <c r="H778" i="3"/>
  <c r="H782" i="3"/>
  <c r="H723" i="3" s="1"/>
  <c r="H780" i="3" l="1"/>
  <c r="H722" i="3"/>
  <c r="G74" i="2"/>
  <c r="G76" i="2" s="1"/>
  <c r="I745" i="3"/>
  <c r="G112" i="2" l="1"/>
  <c r="G117" i="2" s="1"/>
  <c r="G119" i="2" s="1"/>
  <c r="G120" i="2" s="1"/>
  <c r="H724" i="3"/>
  <c r="G83" i="2"/>
  <c r="G66" i="2" l="1"/>
  <c r="G67" i="2" s="1"/>
  <c r="G72" i="2" s="1"/>
  <c r="G77" i="2" s="1"/>
  <c r="I720" i="3"/>
  <c r="G43" i="2"/>
  <c r="G49" i="2" s="1"/>
  <c r="G57" i="2" s="1"/>
  <c r="H118" i="2"/>
  <c r="G79" i="2" l="1"/>
  <c r="I769" i="3"/>
  <c r="I726" i="3"/>
  <c r="I731" i="3" s="1"/>
  <c r="H24" i="2" l="1"/>
  <c r="I732" i="3"/>
  <c r="H113" i="2" s="1"/>
  <c r="H25" i="2" l="1"/>
  <c r="H97" i="2"/>
  <c r="H85" i="2"/>
  <c r="I733" i="3"/>
  <c r="J729" i="3" l="1"/>
  <c r="H65" i="2"/>
  <c r="H34" i="2"/>
  <c r="H91" i="2"/>
  <c r="I510" i="3"/>
  <c r="J510" i="3"/>
  <c r="K510" i="3"/>
  <c r="L510" i="3"/>
  <c r="M510" i="3"/>
  <c r="N510" i="3"/>
  <c r="O510" i="3"/>
  <c r="P510" i="3"/>
  <c r="Q510" i="3"/>
  <c r="R510" i="3"/>
  <c r="S510" i="3"/>
  <c r="T510" i="3"/>
  <c r="U510" i="3"/>
  <c r="V510" i="3"/>
  <c r="W510" i="3"/>
  <c r="I513" i="3"/>
  <c r="J513" i="3"/>
  <c r="I26" i="2" s="1"/>
  <c r="K513" i="3"/>
  <c r="J26" i="2" s="1"/>
  <c r="L513" i="3"/>
  <c r="K26" i="2" s="1"/>
  <c r="M513" i="3"/>
  <c r="L26" i="2" s="1"/>
  <c r="N513" i="3"/>
  <c r="M26" i="2" s="1"/>
  <c r="O513" i="3"/>
  <c r="N26" i="2" s="1"/>
  <c r="P513" i="3"/>
  <c r="Q513" i="3"/>
  <c r="R513" i="3"/>
  <c r="S513" i="3"/>
  <c r="T513" i="3"/>
  <c r="U513" i="3"/>
  <c r="T26" i="2" s="1"/>
  <c r="V513" i="3"/>
  <c r="W513" i="3"/>
  <c r="O26" i="2"/>
  <c r="P26" i="2"/>
  <c r="Q26" i="2"/>
  <c r="R26" i="2"/>
  <c r="S26" i="2"/>
  <c r="U26" i="2"/>
  <c r="V26" i="2"/>
  <c r="I514" i="3" l="1"/>
  <c r="H26" i="2"/>
  <c r="H27" i="2" l="1"/>
  <c r="X26" i="2"/>
  <c r="H102" i="2"/>
  <c r="I515" i="3"/>
  <c r="J512" i="3" l="1"/>
  <c r="H60" i="2"/>
  <c r="H103" i="2"/>
  <c r="I746" i="3"/>
  <c r="H35" i="2"/>
  <c r="I762" i="3" l="1"/>
  <c r="I770" i="3"/>
  <c r="J514" i="3"/>
  <c r="I102" i="2" s="1"/>
  <c r="J515" i="3" l="1"/>
  <c r="I747" i="3"/>
  <c r="I763" i="3"/>
  <c r="H115" i="2" s="1"/>
  <c r="I772" i="3" s="1"/>
  <c r="I773" i="3" s="1"/>
  <c r="I776" i="3" s="1"/>
  <c r="I782" i="3" l="1"/>
  <c r="I723" i="3" s="1"/>
  <c r="I778" i="3"/>
  <c r="I749" i="3"/>
  <c r="K512" i="3"/>
  <c r="I60" i="2"/>
  <c r="I764" i="3"/>
  <c r="H74" i="2" l="1"/>
  <c r="H76" i="2" s="1"/>
  <c r="J745" i="3"/>
  <c r="H63" i="2"/>
  <c r="J761" i="3"/>
  <c r="I780" i="3"/>
  <c r="I722" i="3"/>
  <c r="K514" i="3"/>
  <c r="J102" i="2" s="1"/>
  <c r="K515" i="3" l="1"/>
  <c r="H112" i="2"/>
  <c r="H117" i="2" s="1"/>
  <c r="H119" i="2" s="1"/>
  <c r="H120" i="2" s="1"/>
  <c r="I724" i="3"/>
  <c r="H83" i="2"/>
  <c r="J720" i="3" l="1"/>
  <c r="H66" i="2"/>
  <c r="H67" i="2" s="1"/>
  <c r="H72" i="2" s="1"/>
  <c r="H77" i="2" s="1"/>
  <c r="L512" i="3"/>
  <c r="J60" i="2"/>
  <c r="I118" i="2"/>
  <c r="H43" i="2"/>
  <c r="H49" i="2" s="1"/>
  <c r="H57" i="2" s="1"/>
  <c r="J769" i="3" l="1"/>
  <c r="L514" i="3"/>
  <c r="K102" i="2" s="1"/>
  <c r="J726" i="3"/>
  <c r="J731" i="3" s="1"/>
  <c r="H79" i="2"/>
  <c r="L515" i="3" l="1"/>
  <c r="I24" i="2"/>
  <c r="J732" i="3"/>
  <c r="I113" i="2" s="1"/>
  <c r="J733" i="3" l="1"/>
  <c r="M512" i="3"/>
  <c r="K60" i="2"/>
  <c r="I97" i="2"/>
  <c r="I85" i="2"/>
  <c r="I25" i="2"/>
  <c r="I65" i="2"/>
  <c r="K729" i="3"/>
  <c r="I34" i="2" l="1"/>
  <c r="I91" i="2"/>
  <c r="I103" i="2" s="1"/>
  <c r="I27" i="2"/>
  <c r="M514" i="3"/>
  <c r="L102" i="2" s="1"/>
  <c r="M515" i="3" l="1"/>
  <c r="J746" i="3"/>
  <c r="I35" i="2"/>
  <c r="J770" i="3"/>
  <c r="J762" i="3" l="1"/>
  <c r="N512" i="3"/>
  <c r="L60" i="2"/>
  <c r="N514" i="3" l="1"/>
  <c r="M102" i="2" s="1"/>
  <c r="J747" i="3"/>
  <c r="J763" i="3"/>
  <c r="I115" i="2" s="1"/>
  <c r="J772" i="3" s="1"/>
  <c r="J773" i="3" s="1"/>
  <c r="J776" i="3" s="1"/>
  <c r="J764" i="3" l="1"/>
  <c r="I63" i="2" s="1"/>
  <c r="J749" i="3"/>
  <c r="J778" i="3"/>
  <c r="J782" i="3"/>
  <c r="J723" i="3" s="1"/>
  <c r="N515" i="3"/>
  <c r="K761" i="3" l="1"/>
  <c r="J780" i="3"/>
  <c r="J722" i="3"/>
  <c r="O512" i="3"/>
  <c r="M60" i="2"/>
  <c r="I74" i="2"/>
  <c r="I76" i="2" s="1"/>
  <c r="K745" i="3"/>
  <c r="I112" i="2" l="1"/>
  <c r="I117" i="2" s="1"/>
  <c r="I119" i="2" s="1"/>
  <c r="I120" i="2" s="1"/>
  <c r="J724" i="3"/>
  <c r="I83" i="2"/>
  <c r="O514" i="3"/>
  <c r="N102" i="2" s="1"/>
  <c r="O515" i="3" l="1"/>
  <c r="K720" i="3"/>
  <c r="I66" i="2"/>
  <c r="I67" i="2" s="1"/>
  <c r="I72" i="2" s="1"/>
  <c r="I77" i="2" s="1"/>
  <c r="J118" i="2"/>
  <c r="I43" i="2"/>
  <c r="I49" i="2" s="1"/>
  <c r="I57" i="2" s="1"/>
  <c r="K769" i="3" l="1"/>
  <c r="K726" i="3"/>
  <c r="K731" i="3" s="1"/>
  <c r="I79" i="2"/>
  <c r="P512" i="3"/>
  <c r="N60" i="2"/>
  <c r="J24" i="2" l="1"/>
  <c r="K732" i="3"/>
  <c r="J113" i="2" s="1"/>
  <c r="P514" i="3"/>
  <c r="O102" i="2" s="1"/>
  <c r="P515" i="3" l="1"/>
  <c r="O60" i="2" s="1"/>
  <c r="K733" i="3"/>
  <c r="L729" i="3" s="1"/>
  <c r="J25" i="2"/>
  <c r="J85" i="2"/>
  <c r="J97" i="2"/>
  <c r="Q512" i="3" l="1"/>
  <c r="J65" i="2"/>
  <c r="J34" i="2"/>
  <c r="J91" i="2"/>
  <c r="J103" i="2" s="1"/>
  <c r="J27" i="2"/>
  <c r="Q514" i="3"/>
  <c r="P102" i="2" s="1"/>
  <c r="J35" i="2" l="1"/>
  <c r="K746" i="3"/>
  <c r="Q515" i="3"/>
  <c r="K770" i="3"/>
  <c r="K762" i="3" l="1"/>
  <c r="P60" i="2"/>
  <c r="R512" i="3"/>
  <c r="R514" i="3" l="1"/>
  <c r="Q102" i="2" s="1"/>
  <c r="K747" i="3"/>
  <c r="K763" i="3"/>
  <c r="J115" i="2" s="1"/>
  <c r="K772" i="3" s="1"/>
  <c r="K773" i="3" s="1"/>
  <c r="K776" i="3" s="1"/>
  <c r="K764" i="3" l="1"/>
  <c r="K749" i="3"/>
  <c r="K782" i="3"/>
  <c r="K723" i="3" s="1"/>
  <c r="K778" i="3"/>
  <c r="R515" i="3"/>
  <c r="S512" i="3" l="1"/>
  <c r="Q60" i="2"/>
  <c r="K780" i="3"/>
  <c r="K722" i="3"/>
  <c r="J74" i="2"/>
  <c r="J76" i="2" s="1"/>
  <c r="L745" i="3"/>
  <c r="L761" i="3"/>
  <c r="J63" i="2"/>
  <c r="J83" i="2" l="1"/>
  <c r="J112" i="2"/>
  <c r="J117" i="2" s="1"/>
  <c r="J119" i="2" s="1"/>
  <c r="J120" i="2" s="1"/>
  <c r="K724" i="3"/>
  <c r="S514" i="3"/>
  <c r="R102" i="2" s="1"/>
  <c r="S515" i="3" l="1"/>
  <c r="K118" i="2"/>
  <c r="J43" i="2"/>
  <c r="J49" i="2" s="1"/>
  <c r="J57" i="2" s="1"/>
  <c r="L720" i="3"/>
  <c r="J66" i="2"/>
  <c r="J67" i="2" s="1"/>
  <c r="J72" i="2" s="1"/>
  <c r="J77" i="2" s="1"/>
  <c r="J79" i="2" l="1"/>
  <c r="L769" i="3"/>
  <c r="L726" i="3"/>
  <c r="L731" i="3" s="1"/>
  <c r="T512" i="3"/>
  <c r="R60" i="2"/>
  <c r="K24" i="2" l="1"/>
  <c r="L732" i="3"/>
  <c r="K113" i="2" s="1"/>
  <c r="T514" i="3"/>
  <c r="S102" i="2" s="1"/>
  <c r="L733" i="3" l="1"/>
  <c r="M729" i="3" s="1"/>
  <c r="T515" i="3"/>
  <c r="K65" i="2"/>
  <c r="K25" i="2"/>
  <c r="K97" i="2"/>
  <c r="K85" i="2"/>
  <c r="K34" i="2" l="1"/>
  <c r="K91" i="2"/>
  <c r="K103" i="2" s="1"/>
  <c r="K27" i="2"/>
  <c r="U512" i="3"/>
  <c r="S60" i="2"/>
  <c r="U514" i="3" l="1"/>
  <c r="T102" i="2" s="1"/>
  <c r="L770" i="3"/>
  <c r="L746" i="3"/>
  <c r="K35" i="2"/>
  <c r="L762" i="3" l="1"/>
  <c r="U515" i="3"/>
  <c r="L747" i="3" l="1"/>
  <c r="L763" i="3"/>
  <c r="K115" i="2" s="1"/>
  <c r="L772" i="3" s="1"/>
  <c r="L773" i="3" s="1"/>
  <c r="L776" i="3" s="1"/>
  <c r="V512" i="3"/>
  <c r="T60" i="2"/>
  <c r="L782" i="3" l="1"/>
  <c r="L723" i="3" s="1"/>
  <c r="L778" i="3"/>
  <c r="V514" i="3"/>
  <c r="U102" i="2" s="1"/>
  <c r="L764" i="3"/>
  <c r="L749" i="3"/>
  <c r="K63" i="2" l="1"/>
  <c r="M761" i="3"/>
  <c r="K74" i="2"/>
  <c r="K76" i="2" s="1"/>
  <c r="M745" i="3"/>
  <c r="V515" i="3"/>
  <c r="L780" i="3"/>
  <c r="L722" i="3"/>
  <c r="U60" i="2" l="1"/>
  <c r="W512" i="3"/>
  <c r="K112" i="2"/>
  <c r="K117" i="2" s="1"/>
  <c r="K119" i="2" s="1"/>
  <c r="K120" i="2" s="1"/>
  <c r="L724" i="3"/>
  <c r="K83" i="2"/>
  <c r="L118" i="2" l="1"/>
  <c r="K43" i="2"/>
  <c r="K49" i="2" s="1"/>
  <c r="K57" i="2" s="1"/>
  <c r="W514" i="3"/>
  <c r="V102" i="2" s="1"/>
  <c r="M720" i="3"/>
  <c r="K66" i="2"/>
  <c r="K67" i="2" s="1"/>
  <c r="K72" i="2" s="1"/>
  <c r="K77" i="2" s="1"/>
  <c r="W515" i="3" l="1"/>
  <c r="V60" i="2" s="1"/>
  <c r="M726" i="3"/>
  <c r="M731" i="3" s="1"/>
  <c r="K79" i="2"/>
  <c r="M769" i="3"/>
  <c r="L24" i="2" l="1"/>
  <c r="M732" i="3"/>
  <c r="L113" i="2" s="1"/>
  <c r="M733" i="3" l="1"/>
  <c r="L85" i="2"/>
  <c r="L25" i="2"/>
  <c r="L97" i="2"/>
  <c r="L27" i="2" l="1"/>
  <c r="L34" i="2"/>
  <c r="L91" i="2"/>
  <c r="L103" i="2" s="1"/>
  <c r="N729" i="3"/>
  <c r="L65" i="2"/>
  <c r="M770" i="3" l="1"/>
  <c r="L35" i="2"/>
  <c r="M746" i="3"/>
  <c r="M762" i="3" l="1"/>
  <c r="M747" i="3" l="1"/>
  <c r="M763" i="3"/>
  <c r="L115" i="2" s="1"/>
  <c r="M772" i="3" s="1"/>
  <c r="M773" i="3" s="1"/>
  <c r="M776" i="3" s="1"/>
  <c r="M782" i="3" l="1"/>
  <c r="M723" i="3" s="1"/>
  <c r="M778" i="3"/>
  <c r="M764" i="3"/>
  <c r="M749" i="3"/>
  <c r="M780" i="3" l="1"/>
  <c r="M722" i="3"/>
  <c r="L74" i="2"/>
  <c r="L76" i="2" s="1"/>
  <c r="N745" i="3"/>
  <c r="N761" i="3"/>
  <c r="L63" i="2"/>
  <c r="L83" i="2" l="1"/>
  <c r="L112" i="2"/>
  <c r="L117" i="2" s="1"/>
  <c r="L119" i="2" s="1"/>
  <c r="L120" i="2" s="1"/>
  <c r="M724" i="3"/>
  <c r="N720" i="3" l="1"/>
  <c r="L66" i="2"/>
  <c r="L67" i="2" s="1"/>
  <c r="L72" i="2" s="1"/>
  <c r="L77" i="2" s="1"/>
  <c r="M118" i="2"/>
  <c r="L43" i="2"/>
  <c r="L49" i="2" s="1"/>
  <c r="L57" i="2" s="1"/>
  <c r="L79" i="2" l="1"/>
  <c r="N769" i="3"/>
  <c r="N726" i="3"/>
  <c r="N731" i="3" s="1"/>
  <c r="M24" i="2" l="1"/>
  <c r="N732" i="3"/>
  <c r="M113" i="2" s="1"/>
  <c r="N733" i="3" l="1"/>
  <c r="M85" i="2"/>
  <c r="M25" i="2"/>
  <c r="M97" i="2"/>
  <c r="M34" i="2" l="1"/>
  <c r="M27" i="2"/>
  <c r="M91" i="2"/>
  <c r="M103" i="2" s="1"/>
  <c r="O729" i="3"/>
  <c r="M65" i="2"/>
  <c r="N770" i="3" l="1"/>
  <c r="N746" i="3"/>
  <c r="M35" i="2"/>
  <c r="N762" i="3" l="1"/>
  <c r="N747" i="3" l="1"/>
  <c r="N763" i="3"/>
  <c r="M115" i="2" s="1"/>
  <c r="N772" i="3" s="1"/>
  <c r="N773" i="3" s="1"/>
  <c r="N776" i="3" s="1"/>
  <c r="N764" i="3" l="1"/>
  <c r="O761" i="3" s="1"/>
  <c r="N749" i="3"/>
  <c r="N778" i="3"/>
  <c r="N782" i="3"/>
  <c r="N723" i="3" s="1"/>
  <c r="M63" i="2" l="1"/>
  <c r="N780" i="3"/>
  <c r="N722" i="3"/>
  <c r="M74" i="2"/>
  <c r="M76" i="2" s="1"/>
  <c r="O745" i="3"/>
  <c r="M83" i="2" l="1"/>
  <c r="M112" i="2"/>
  <c r="M117" i="2" s="1"/>
  <c r="M119" i="2" s="1"/>
  <c r="M120" i="2" s="1"/>
  <c r="N724" i="3"/>
  <c r="N118" i="2" l="1"/>
  <c r="M43" i="2"/>
  <c r="M49" i="2" s="1"/>
  <c r="M57" i="2" s="1"/>
  <c r="O720" i="3"/>
  <c r="M66" i="2"/>
  <c r="M67" i="2" s="1"/>
  <c r="M72" i="2" s="1"/>
  <c r="M77" i="2" s="1"/>
  <c r="M79" i="2" l="1"/>
  <c r="O726" i="3"/>
  <c r="O731" i="3" s="1"/>
  <c r="O769" i="3"/>
  <c r="N24" i="2" l="1"/>
  <c r="O732" i="3"/>
  <c r="N113" i="2" s="1"/>
  <c r="O733" i="3" l="1"/>
  <c r="N85" i="2"/>
  <c r="N25" i="2"/>
  <c r="N97" i="2"/>
  <c r="N65" i="2" l="1"/>
  <c r="P729" i="3"/>
  <c r="N27" i="2"/>
  <c r="N34" i="2"/>
  <c r="N91" i="2"/>
  <c r="N103" i="2" s="1"/>
  <c r="O746" i="3" l="1"/>
  <c r="N35" i="2"/>
  <c r="O770" i="3"/>
  <c r="O762" i="3" l="1"/>
  <c r="O747" i="3" l="1"/>
  <c r="O763" i="3"/>
  <c r="N115" i="2" s="1"/>
  <c r="O772" i="3" s="1"/>
  <c r="O773" i="3" s="1"/>
  <c r="O776" i="3" s="1"/>
  <c r="O764" i="3"/>
  <c r="N63" i="2" l="1"/>
  <c r="P761" i="3"/>
  <c r="O749" i="3"/>
  <c r="O778" i="3"/>
  <c r="O782" i="3"/>
  <c r="O723" i="3" s="1"/>
  <c r="P745" i="3" l="1"/>
  <c r="N74" i="2"/>
  <c r="N76" i="2" s="1"/>
  <c r="O780" i="3"/>
  <c r="O722" i="3"/>
  <c r="N112" i="2" l="1"/>
  <c r="N117" i="2" s="1"/>
  <c r="N119" i="2" s="1"/>
  <c r="N120" i="2" s="1"/>
  <c r="O724" i="3"/>
  <c r="N83" i="2"/>
  <c r="P720" i="3" l="1"/>
  <c r="N66" i="2"/>
  <c r="N67" i="2" s="1"/>
  <c r="N72" i="2" s="1"/>
  <c r="N77" i="2" s="1"/>
  <c r="O118" i="2"/>
  <c r="N43" i="2"/>
  <c r="N49" i="2" s="1"/>
  <c r="N57" i="2" s="1"/>
  <c r="N79" i="2" l="1"/>
  <c r="P769" i="3"/>
  <c r="P726" i="3"/>
  <c r="P731" i="3" s="1"/>
  <c r="O24" i="2" l="1"/>
  <c r="P732" i="3"/>
  <c r="O113" i="2" s="1"/>
  <c r="P733" i="3" l="1"/>
  <c r="O85" i="2"/>
  <c r="O25" i="2"/>
  <c r="O97" i="2"/>
  <c r="O65" i="2"/>
  <c r="Q729" i="3"/>
  <c r="O27" i="2" l="1"/>
  <c r="O34" i="2"/>
  <c r="O91" i="2"/>
  <c r="O103" i="2" s="1"/>
  <c r="P770" i="3" l="1"/>
  <c r="O35" i="2"/>
  <c r="P746" i="3"/>
  <c r="P762" i="3" l="1"/>
  <c r="P747" i="3" l="1"/>
  <c r="P763" i="3"/>
  <c r="O115" i="2" s="1"/>
  <c r="P772" i="3" s="1"/>
  <c r="P773" i="3" s="1"/>
  <c r="P776" i="3" s="1"/>
  <c r="P764" i="3" l="1"/>
  <c r="Q761" i="3" s="1"/>
  <c r="O63" i="2"/>
  <c r="P778" i="3"/>
  <c r="P782" i="3"/>
  <c r="P723" i="3" s="1"/>
  <c r="P749" i="3"/>
  <c r="P780" i="3" l="1"/>
  <c r="P722" i="3"/>
  <c r="Q745" i="3"/>
  <c r="O74" i="2"/>
  <c r="O76" i="2" s="1"/>
  <c r="O83" i="2" l="1"/>
  <c r="O112" i="2"/>
  <c r="O117" i="2" s="1"/>
  <c r="O119" i="2" s="1"/>
  <c r="O120" i="2" s="1"/>
  <c r="P724" i="3"/>
  <c r="Q720" i="3" l="1"/>
  <c r="O66" i="2"/>
  <c r="O67" i="2" s="1"/>
  <c r="O72" i="2" s="1"/>
  <c r="O77" i="2" s="1"/>
  <c r="P118" i="2"/>
  <c r="O43" i="2"/>
  <c r="O49" i="2" s="1"/>
  <c r="O57" i="2" s="1"/>
  <c r="O79" i="2" l="1"/>
  <c r="Q769" i="3"/>
  <c r="Q726" i="3"/>
  <c r="Q731" i="3" s="1"/>
  <c r="P24" i="2" l="1"/>
  <c r="Q732" i="3"/>
  <c r="P113" i="2" s="1"/>
  <c r="Q733" i="3" l="1"/>
  <c r="P25" i="2"/>
  <c r="P85" i="2"/>
  <c r="P97" i="2"/>
  <c r="P27" i="2" l="1"/>
  <c r="P34" i="2"/>
  <c r="P91" i="2"/>
  <c r="P103" i="2" s="1"/>
  <c r="P65" i="2"/>
  <c r="R729" i="3"/>
  <c r="Q770" i="3" l="1"/>
  <c r="P35" i="2"/>
  <c r="Q746" i="3"/>
  <c r="Q762" i="3" l="1"/>
  <c r="Q747" i="3" l="1"/>
  <c r="Q763" i="3"/>
  <c r="P115" i="2" s="1"/>
  <c r="Q772" i="3" s="1"/>
  <c r="Q773" i="3" s="1"/>
  <c r="Q776" i="3" s="1"/>
  <c r="Q764" i="3" l="1"/>
  <c r="Q749" i="3"/>
  <c r="Q782" i="3"/>
  <c r="Q723" i="3" s="1"/>
  <c r="Q778" i="3"/>
  <c r="R745" i="3" l="1"/>
  <c r="P74" i="2"/>
  <c r="P76" i="2" s="1"/>
  <c r="Q780" i="3"/>
  <c r="Q722" i="3"/>
  <c r="R761" i="3"/>
  <c r="P63" i="2"/>
  <c r="P83" i="2" l="1"/>
  <c r="P112" i="2"/>
  <c r="P117" i="2" s="1"/>
  <c r="P119" i="2" s="1"/>
  <c r="P120" i="2" s="1"/>
  <c r="Q724" i="3"/>
  <c r="R720" i="3" l="1"/>
  <c r="P66" i="2"/>
  <c r="P67" i="2" s="1"/>
  <c r="P72" i="2" s="1"/>
  <c r="P77" i="2" s="1"/>
  <c r="Q118" i="2"/>
  <c r="P43" i="2"/>
  <c r="P49" i="2" s="1"/>
  <c r="P57" i="2" s="1"/>
  <c r="P79" i="2" l="1"/>
  <c r="R769" i="3"/>
  <c r="R726" i="3"/>
  <c r="R731" i="3" s="1"/>
  <c r="Q24" i="2" l="1"/>
  <c r="R732" i="3"/>
  <c r="Q113" i="2" s="1"/>
  <c r="R733" i="3" l="1"/>
  <c r="Q65" i="2" s="1"/>
  <c r="S729" i="3"/>
  <c r="Q85" i="2"/>
  <c r="Q97" i="2"/>
  <c r="Q25" i="2"/>
  <c r="X24" i="2"/>
  <c r="Q27" i="2" l="1"/>
  <c r="Q34" i="2"/>
  <c r="Q91" i="2"/>
  <c r="Q103" i="2" s="1"/>
  <c r="X25" i="2"/>
  <c r="R770" i="3" l="1"/>
  <c r="Q35" i="2"/>
  <c r="R746" i="3"/>
  <c r="X27" i="2"/>
  <c r="R762" i="3" l="1"/>
  <c r="R747" i="3" l="1"/>
  <c r="R763" i="3"/>
  <c r="Q115" i="2" s="1"/>
  <c r="R772" i="3" s="1"/>
  <c r="R773" i="3" s="1"/>
  <c r="R776" i="3" s="1"/>
  <c r="R778" i="3" l="1"/>
  <c r="R782" i="3"/>
  <c r="R723" i="3" s="1"/>
  <c r="R764" i="3"/>
  <c r="R749" i="3"/>
  <c r="S745" i="3" l="1"/>
  <c r="Q74" i="2"/>
  <c r="Q76" i="2" s="1"/>
  <c r="S761" i="3"/>
  <c r="Q63" i="2"/>
  <c r="R722" i="3"/>
  <c r="R780" i="3"/>
  <c r="Q112" i="2" l="1"/>
  <c r="Q117" i="2" s="1"/>
  <c r="Q119" i="2" s="1"/>
  <c r="Q120" i="2" s="1"/>
  <c r="R724" i="3"/>
  <c r="Q83" i="2"/>
  <c r="S720" i="3" l="1"/>
  <c r="Q66" i="2"/>
  <c r="Q67" i="2" s="1"/>
  <c r="Q72" i="2" s="1"/>
  <c r="Q77" i="2" s="1"/>
  <c r="R118" i="2"/>
  <c r="Q43" i="2"/>
  <c r="Q49" i="2" s="1"/>
  <c r="Q57" i="2" s="1"/>
  <c r="S769" i="3" l="1"/>
  <c r="Q79" i="2"/>
  <c r="S726" i="3"/>
  <c r="S731" i="3" s="1"/>
  <c r="R24" i="2" l="1"/>
  <c r="S732" i="3"/>
  <c r="R113" i="2" s="1"/>
  <c r="S733" i="3" l="1"/>
  <c r="R85" i="2"/>
  <c r="R97" i="2"/>
  <c r="R25" i="2"/>
  <c r="T729" i="3" l="1"/>
  <c r="R65" i="2"/>
  <c r="R27" i="2"/>
  <c r="R34" i="2"/>
  <c r="R91" i="2"/>
  <c r="R103" i="2" s="1"/>
  <c r="S770" i="3" l="1"/>
  <c r="R35" i="2"/>
  <c r="S746" i="3"/>
  <c r="S762" i="3" l="1"/>
  <c r="S747" i="3" l="1"/>
  <c r="S763" i="3"/>
  <c r="R115" i="2" s="1"/>
  <c r="S772" i="3" s="1"/>
  <c r="S773" i="3" s="1"/>
  <c r="S776" i="3" s="1"/>
  <c r="S764" i="3" l="1"/>
  <c r="S782" i="3"/>
  <c r="S723" i="3" s="1"/>
  <c r="S778" i="3"/>
  <c r="T761" i="3"/>
  <c r="R63" i="2"/>
  <c r="S749" i="3"/>
  <c r="S722" i="3" l="1"/>
  <c r="S780" i="3"/>
  <c r="T745" i="3"/>
  <c r="R74" i="2"/>
  <c r="R76" i="2" s="1"/>
  <c r="R83" i="2" l="1"/>
  <c r="R112" i="2"/>
  <c r="R117" i="2" s="1"/>
  <c r="R119" i="2" s="1"/>
  <c r="R120" i="2" s="1"/>
  <c r="S724" i="3"/>
  <c r="T720" i="3" l="1"/>
  <c r="R66" i="2"/>
  <c r="R67" i="2" s="1"/>
  <c r="R72" i="2" s="1"/>
  <c r="R77" i="2" s="1"/>
  <c r="S118" i="2"/>
  <c r="R43" i="2"/>
  <c r="R49" i="2" s="1"/>
  <c r="R57" i="2" s="1"/>
  <c r="T769" i="3" l="1"/>
  <c r="T726" i="3"/>
  <c r="T731" i="3" s="1"/>
  <c r="R79" i="2"/>
  <c r="S24" i="2" l="1"/>
  <c r="T732" i="3"/>
  <c r="S113" i="2" s="1"/>
  <c r="T733" i="3" l="1"/>
  <c r="S65" i="2" s="1"/>
  <c r="S85" i="2"/>
  <c r="S97" i="2"/>
  <c r="S25" i="2"/>
  <c r="U729" i="3" l="1"/>
  <c r="S27" i="2"/>
  <c r="S34" i="2"/>
  <c r="S91" i="2"/>
  <c r="S103" i="2" s="1"/>
  <c r="T770" i="3" l="1"/>
  <c r="S35" i="2"/>
  <c r="T746" i="3"/>
  <c r="T762" i="3" l="1"/>
  <c r="T747" i="3" l="1"/>
  <c r="T763" i="3"/>
  <c r="S115" i="2" s="1"/>
  <c r="T772" i="3" s="1"/>
  <c r="T773" i="3" s="1"/>
  <c r="T776" i="3" s="1"/>
  <c r="T782" i="3" l="1"/>
  <c r="T723" i="3" s="1"/>
  <c r="T778" i="3"/>
  <c r="T764" i="3"/>
  <c r="T749" i="3"/>
  <c r="T780" i="3" l="1"/>
  <c r="T722" i="3"/>
  <c r="U745" i="3"/>
  <c r="S74" i="2"/>
  <c r="S76" i="2" s="1"/>
  <c r="U761" i="3"/>
  <c r="S63" i="2"/>
  <c r="S83" i="2" l="1"/>
  <c r="S112" i="2"/>
  <c r="S117" i="2" s="1"/>
  <c r="S119" i="2" s="1"/>
  <c r="S120" i="2" s="1"/>
  <c r="T724" i="3"/>
  <c r="S43" i="2" l="1"/>
  <c r="S49" i="2" s="1"/>
  <c r="S57" i="2" s="1"/>
  <c r="T118" i="2"/>
  <c r="U720" i="3"/>
  <c r="S66" i="2"/>
  <c r="S67" i="2" s="1"/>
  <c r="S72" i="2" s="1"/>
  <c r="S77" i="2" s="1"/>
  <c r="U769" i="3" l="1"/>
  <c r="U726" i="3"/>
  <c r="U731" i="3" s="1"/>
  <c r="S79" i="2"/>
  <c r="T24" i="2" l="1"/>
  <c r="U732" i="3"/>
  <c r="T113" i="2" s="1"/>
  <c r="U733" i="3" l="1"/>
  <c r="V729" i="3" s="1"/>
  <c r="T85" i="2"/>
  <c r="T97" i="2"/>
  <c r="T25" i="2"/>
  <c r="T65" i="2" l="1"/>
  <c r="T91" i="2"/>
  <c r="T103" i="2" s="1"/>
  <c r="T27" i="2"/>
  <c r="T34" i="2"/>
  <c r="T35" i="2" l="1"/>
  <c r="U746" i="3"/>
  <c r="U770" i="3"/>
  <c r="U762" i="3" l="1"/>
  <c r="U747" i="3" l="1"/>
  <c r="U763" i="3"/>
  <c r="T115" i="2" s="1"/>
  <c r="U772" i="3" s="1"/>
  <c r="U773" i="3" s="1"/>
  <c r="U776" i="3" s="1"/>
  <c r="U782" i="3" l="1"/>
  <c r="U723" i="3" s="1"/>
  <c r="U778" i="3"/>
  <c r="U764" i="3"/>
  <c r="U749" i="3"/>
  <c r="V745" i="3" l="1"/>
  <c r="T74" i="2"/>
  <c r="T76" i="2" s="1"/>
  <c r="T63" i="2"/>
  <c r="V761" i="3"/>
  <c r="U722" i="3"/>
  <c r="U780" i="3"/>
  <c r="T83" i="2" l="1"/>
  <c r="T112" i="2"/>
  <c r="T117" i="2" s="1"/>
  <c r="T119" i="2" s="1"/>
  <c r="T120" i="2" s="1"/>
  <c r="U724" i="3"/>
  <c r="T66" i="2" l="1"/>
  <c r="T67" i="2" s="1"/>
  <c r="T72" i="2" s="1"/>
  <c r="T77" i="2" s="1"/>
  <c r="V720" i="3"/>
  <c r="U118" i="2"/>
  <c r="T43" i="2"/>
  <c r="T49" i="2" s="1"/>
  <c r="T57" i="2" s="1"/>
  <c r="V769" i="3" l="1"/>
  <c r="V726" i="3"/>
  <c r="V731" i="3" s="1"/>
  <c r="T79" i="2"/>
  <c r="U24" i="2" l="1"/>
  <c r="V732" i="3"/>
  <c r="U113" i="2" s="1"/>
  <c r="V733" i="3" l="1"/>
  <c r="W729" i="3" s="1"/>
  <c r="U85" i="2"/>
  <c r="U97" i="2"/>
  <c r="U25" i="2"/>
  <c r="U65" i="2" l="1"/>
  <c r="U91" i="2"/>
  <c r="U103" i="2" s="1"/>
  <c r="U34" i="2"/>
  <c r="U27" i="2"/>
  <c r="U35" i="2" l="1"/>
  <c r="V746" i="3"/>
  <c r="V770" i="3"/>
  <c r="V762" i="3" l="1"/>
  <c r="V747" i="3" l="1"/>
  <c r="V763" i="3"/>
  <c r="U115" i="2" s="1"/>
  <c r="V772" i="3" s="1"/>
  <c r="V773" i="3" s="1"/>
  <c r="V776" i="3" s="1"/>
  <c r="V782" i="3" l="1"/>
  <c r="V723" i="3" s="1"/>
  <c r="V778" i="3"/>
  <c r="V764" i="3"/>
  <c r="V749" i="3"/>
  <c r="V722" i="3" l="1"/>
  <c r="V780" i="3"/>
  <c r="W745" i="3"/>
  <c r="U74" i="2"/>
  <c r="U76" i="2" s="1"/>
  <c r="U63" i="2"/>
  <c r="W761" i="3"/>
  <c r="U83" i="2" l="1"/>
  <c r="U112" i="2"/>
  <c r="U117" i="2" s="1"/>
  <c r="U119" i="2" s="1"/>
  <c r="U120" i="2" s="1"/>
  <c r="V724" i="3"/>
  <c r="U43" i="2" l="1"/>
  <c r="U49" i="2" s="1"/>
  <c r="U57" i="2" s="1"/>
  <c r="V118" i="2"/>
  <c r="U66" i="2"/>
  <c r="U67" i="2" s="1"/>
  <c r="U72" i="2" s="1"/>
  <c r="U77" i="2" s="1"/>
  <c r="W720" i="3"/>
  <c r="W769" i="3" l="1"/>
  <c r="W726" i="3"/>
  <c r="W731" i="3" s="1"/>
  <c r="U79" i="2"/>
  <c r="V24" i="2" l="1"/>
  <c r="W732" i="3"/>
  <c r="V113" i="2" s="1"/>
  <c r="W733" i="3" l="1"/>
  <c r="V65" i="2" s="1"/>
  <c r="V25" i="2"/>
  <c r="V85" i="2"/>
  <c r="V97" i="2"/>
  <c r="V91" i="2" l="1"/>
  <c r="V103" i="2" s="1"/>
  <c r="V34" i="2"/>
  <c r="V27" i="2"/>
  <c r="V35" i="2" l="1"/>
  <c r="W746" i="3"/>
  <c r="W770" i="3"/>
  <c r="W762" i="3" l="1"/>
  <c r="W747" i="3" l="1"/>
  <c r="W763" i="3"/>
  <c r="V115" i="2" s="1"/>
  <c r="W772" i="3" s="1"/>
  <c r="W773" i="3" s="1"/>
  <c r="W776" i="3" s="1"/>
  <c r="W778" i="3" l="1"/>
  <c r="W782" i="3"/>
  <c r="W723" i="3" s="1"/>
  <c r="W764" i="3"/>
  <c r="V63" i="2" s="1"/>
  <c r="W749" i="3"/>
  <c r="V74" i="2" s="1"/>
  <c r="V76" i="2" s="1"/>
  <c r="V83" i="2" l="1"/>
  <c r="W722" i="3"/>
  <c r="W780" i="3"/>
  <c r="V112" i="2" l="1"/>
  <c r="V117" i="2" s="1"/>
  <c r="V119" i="2" s="1"/>
  <c r="V120" i="2" s="1"/>
  <c r="V43" i="2" s="1"/>
  <c r="V49" i="2" s="1"/>
  <c r="V57" i="2" s="1"/>
  <c r="W724" i="3"/>
  <c r="V66" i="2" s="1"/>
  <c r="V67" i="2" s="1"/>
  <c r="V72" i="2" s="1"/>
  <c r="V77" i="2" s="1"/>
  <c r="V79" i="2" l="1"/>
  <c r="G9" i="33" l="1"/>
  <c r="L55" i="20" l="1"/>
  <c r="O55" i="20"/>
  <c r="Q55" i="20"/>
  <c r="D55" i="20"/>
  <c r="N55" i="20"/>
  <c r="P55" i="20"/>
  <c r="R55" i="20"/>
  <c r="S55" i="20"/>
  <c r="L15" i="36" l="1"/>
  <c r="L41" i="36" s="1"/>
  <c r="K15" i="36"/>
  <c r="K41" i="36" s="1"/>
  <c r="M55" i="20"/>
  <c r="J15" i="36" l="1"/>
  <c r="U44" i="33"/>
  <c r="M15" i="36" l="1"/>
  <c r="D59" i="33"/>
  <c r="D98" i="33" l="1"/>
  <c r="D42" i="33" l="1"/>
  <c r="D37" i="33" l="1"/>
  <c r="D38" i="33" s="1"/>
  <c r="D46" i="33" l="1"/>
  <c r="U27" i="33" l="1"/>
  <c r="U28" i="33"/>
  <c r="U29" i="33"/>
  <c r="U30" i="33"/>
  <c r="J6" i="36" l="1"/>
  <c r="M6" i="36" s="1"/>
  <c r="U31" i="33"/>
  <c r="U45" i="33"/>
  <c r="J16" i="36"/>
  <c r="J41" i="36" l="1"/>
  <c r="M41" i="36" s="1"/>
  <c r="M16" i="36"/>
  <c r="G8" i="33"/>
  <c r="G11" i="33" s="1"/>
  <c r="H9" i="33" s="1"/>
  <c r="H11" i="33" s="1"/>
  <c r="E42" i="33" l="1"/>
  <c r="C7" i="36"/>
  <c r="F42" i="33"/>
  <c r="D7" i="36"/>
  <c r="D13" i="36" l="1"/>
  <c r="D40" i="36" s="1"/>
  <c r="G42" i="33"/>
  <c r="E7" i="36"/>
  <c r="C13" i="36"/>
  <c r="D47" i="33"/>
  <c r="D48" i="33" s="1"/>
  <c r="E13" i="36" l="1"/>
  <c r="E40" i="36" s="1"/>
  <c r="U47" i="33"/>
  <c r="C40" i="36"/>
  <c r="H42" i="33" l="1"/>
  <c r="F7" i="36"/>
  <c r="D83" i="33"/>
  <c r="D93" i="33"/>
  <c r="I42" i="33"/>
  <c r="G7" i="36"/>
  <c r="G13" i="36" l="1"/>
  <c r="G40" i="36" s="1"/>
  <c r="J42" i="33"/>
  <c r="H7" i="36"/>
  <c r="F13" i="36"/>
  <c r="H13" i="36" l="1"/>
  <c r="H40" i="36" s="1"/>
  <c r="K42" i="33"/>
  <c r="I7" i="36"/>
  <c r="F40" i="36"/>
  <c r="I13" i="36" l="1"/>
  <c r="I40" i="36" s="1"/>
  <c r="L42" i="33"/>
  <c r="J7" i="36"/>
  <c r="J13" i="36" l="1"/>
  <c r="M42" i="33"/>
  <c r="K7" i="36"/>
  <c r="K13" i="36" l="1"/>
  <c r="K40" i="36" s="1"/>
  <c r="N42" i="33"/>
  <c r="L7" i="36"/>
  <c r="J40" i="36"/>
  <c r="L13" i="36" l="1"/>
  <c r="M13" i="36" s="1"/>
  <c r="M7" i="36"/>
  <c r="O37" i="33"/>
  <c r="O46" i="33" s="1"/>
  <c r="O42" i="33"/>
  <c r="L40" i="36" l="1"/>
  <c r="M40" i="36" s="1"/>
  <c r="O48" i="33"/>
  <c r="O83" i="33" s="1"/>
  <c r="P37" i="33"/>
  <c r="P42" i="33"/>
  <c r="P48" i="33" l="1"/>
  <c r="P93" i="33" s="1"/>
  <c r="O93" i="33"/>
  <c r="Q37" i="33"/>
  <c r="Q42" i="33"/>
  <c r="P83" i="33" l="1"/>
  <c r="Q48" i="33"/>
  <c r="Q93" i="33" s="1"/>
  <c r="R37" i="33"/>
  <c r="R42" i="33"/>
  <c r="Q83" i="33" l="1"/>
  <c r="R48" i="33"/>
  <c r="R93" i="33" s="1"/>
  <c r="R83" i="33" l="1"/>
  <c r="S37" i="33"/>
  <c r="S42" i="33"/>
  <c r="S48" i="33" s="1"/>
  <c r="U34" i="33"/>
  <c r="S93" i="33" l="1"/>
  <c r="U42" i="33"/>
  <c r="S83" i="33" l="1"/>
  <c r="N53" i="33" l="1"/>
  <c r="L23" i="36"/>
  <c r="L24" i="36" s="1"/>
  <c r="N54" i="33" l="1"/>
  <c r="N94" i="33" s="1"/>
  <c r="L48" i="36"/>
  <c r="L49" i="36" s="1"/>
  <c r="D53" i="33"/>
  <c r="D54" i="33" s="1"/>
  <c r="E53" i="33"/>
  <c r="E54" i="33" s="1"/>
  <c r="F53" i="33"/>
  <c r="F54" i="33" s="1"/>
  <c r="G53" i="33"/>
  <c r="G54" i="33" s="1"/>
  <c r="H53" i="33"/>
  <c r="H54" i="33" s="1"/>
  <c r="I53" i="33"/>
  <c r="I54" i="33" s="1"/>
  <c r="J53" i="33"/>
  <c r="J54" i="33" s="1"/>
  <c r="K53" i="33"/>
  <c r="K54" i="33" s="1"/>
  <c r="L53" i="33"/>
  <c r="L54" i="33" s="1"/>
  <c r="M53" i="33"/>
  <c r="M54" i="33" s="1"/>
  <c r="C23" i="36"/>
  <c r="C24" i="36" s="1"/>
  <c r="D23" i="36"/>
  <c r="D24" i="36" s="1"/>
  <c r="E23" i="36"/>
  <c r="E48" i="36" s="1"/>
  <c r="E49" i="36" s="1"/>
  <c r="F23" i="36"/>
  <c r="F24" i="36" s="1"/>
  <c r="G23" i="36"/>
  <c r="G24" i="36" s="1"/>
  <c r="H23" i="36"/>
  <c r="H48" i="36" s="1"/>
  <c r="H49" i="36" s="1"/>
  <c r="I23" i="36"/>
  <c r="I24" i="36" s="1"/>
  <c r="J23" i="36"/>
  <c r="J48" i="36" s="1"/>
  <c r="J49" i="36" s="1"/>
  <c r="K23" i="36"/>
  <c r="K48" i="36" s="1"/>
  <c r="K49" i="36" s="1"/>
  <c r="E24" i="36"/>
  <c r="N84" i="33" l="1"/>
  <c r="C48" i="36"/>
  <c r="C49" i="36" s="1"/>
  <c r="J24" i="36"/>
  <c r="K24" i="36"/>
  <c r="M94" i="33"/>
  <c r="M84" i="33"/>
  <c r="D48" i="36"/>
  <c r="D49" i="36" s="1"/>
  <c r="L84" i="33"/>
  <c r="I48" i="36"/>
  <c r="I49" i="36" s="1"/>
  <c r="H24" i="36"/>
  <c r="F48" i="36"/>
  <c r="D84" i="33"/>
  <c r="D94" i="33"/>
  <c r="L94" i="33"/>
  <c r="K94" i="33"/>
  <c r="K84" i="33"/>
  <c r="J94" i="33"/>
  <c r="J84" i="33"/>
  <c r="I94" i="33"/>
  <c r="I84" i="33"/>
  <c r="G84" i="33"/>
  <c r="G94" i="33"/>
  <c r="G48" i="36"/>
  <c r="G49" i="36" s="1"/>
  <c r="F84" i="33"/>
  <c r="F94" i="33"/>
  <c r="E84" i="33"/>
  <c r="E94" i="33"/>
  <c r="M23" i="36"/>
  <c r="M24" i="36" s="1"/>
  <c r="D99" i="33" l="1"/>
  <c r="D101" i="33" s="1"/>
  <c r="D106" i="33" s="1"/>
  <c r="F49" i="36"/>
  <c r="M48" i="36"/>
  <c r="M49" i="36" s="1"/>
  <c r="H84" i="33"/>
  <c r="H94" i="33"/>
  <c r="D102" i="33" l="1"/>
  <c r="D104" i="33" s="1"/>
  <c r="D108" i="33" s="1"/>
  <c r="D109" i="33" s="1"/>
  <c r="D103" i="33" l="1"/>
  <c r="D76" i="33" s="1"/>
  <c r="D77" i="33" s="1"/>
  <c r="D60" i="33"/>
  <c r="D58" i="33" l="1"/>
  <c r="D61" i="33" s="1"/>
  <c r="D64" i="33" s="1"/>
  <c r="D65" i="33" s="1"/>
  <c r="D72" i="33"/>
  <c r="E74" i="33"/>
  <c r="E63" i="33" l="1"/>
  <c r="D66" i="33"/>
  <c r="E78" i="33" a="1"/>
  <c r="E78" i="33" s="1"/>
  <c r="E56" i="33" l="1"/>
  <c r="E85" i="33" s="1"/>
  <c r="E82" i="33"/>
  <c r="E92" i="33"/>
  <c r="C27" i="36" l="1"/>
  <c r="C52" i="36" s="1"/>
  <c r="E95" i="33"/>
  <c r="E35" i="33"/>
  <c r="E36" i="33" s="1"/>
  <c r="C8" i="36" l="1"/>
  <c r="E37" i="33"/>
  <c r="E38" i="33" s="1"/>
  <c r="E46" i="33" l="1"/>
  <c r="E48" i="33" s="1"/>
  <c r="C9" i="36"/>
  <c r="C10" i="36" s="1"/>
  <c r="C17" i="36" l="1"/>
  <c r="C18" i="36" l="1"/>
  <c r="C42" i="36"/>
  <c r="E83" i="33"/>
  <c r="E93" i="33"/>
  <c r="E88" i="33" l="1"/>
  <c r="E59" i="33" s="1"/>
  <c r="C43" i="36"/>
  <c r="E98" i="33" l="1"/>
  <c r="E99" i="33" l="1"/>
  <c r="E101" i="33" s="1"/>
  <c r="E106" i="33" s="1"/>
  <c r="E102" i="33" l="1"/>
  <c r="E104" i="33" s="1"/>
  <c r="E108" i="33" s="1"/>
  <c r="E109" i="33" s="1"/>
  <c r="E103" i="33" l="1"/>
  <c r="E76" i="33" s="1"/>
  <c r="E60" i="33"/>
  <c r="E58" i="33" l="1"/>
  <c r="E61" i="33" s="1"/>
  <c r="E64" i="33" s="1"/>
  <c r="E65" i="33" s="1"/>
  <c r="E77" i="33"/>
  <c r="F74" i="33" s="1"/>
  <c r="C28" i="36"/>
  <c r="E72" i="33" l="1"/>
  <c r="C26" i="36"/>
  <c r="C51" i="36" s="1"/>
  <c r="F63" i="33"/>
  <c r="E66" i="33"/>
  <c r="C53" i="36"/>
  <c r="F78" i="33" a="1"/>
  <c r="F78" i="33" s="1"/>
  <c r="C29" i="36" l="1"/>
  <c r="C31" i="36" s="1"/>
  <c r="F56" i="33"/>
  <c r="F95" i="33" s="1"/>
  <c r="C54" i="36"/>
  <c r="F82" i="33"/>
  <c r="F92" i="33"/>
  <c r="F85" i="33" l="1"/>
  <c r="D27" i="36"/>
  <c r="D52" i="36" s="1"/>
  <c r="F35" i="33"/>
  <c r="C56" i="36"/>
  <c r="F36" i="33" l="1"/>
  <c r="F37" i="33" s="1"/>
  <c r="D8" i="36"/>
  <c r="F38" i="33" l="1"/>
  <c r="D9" i="36"/>
  <c r="D10" i="36" s="1"/>
  <c r="F46" i="33"/>
  <c r="F48" i="33" s="1"/>
  <c r="D17" i="36" l="1"/>
  <c r="D18" i="36" l="1"/>
  <c r="D42" i="36"/>
  <c r="F83" i="33"/>
  <c r="F93" i="33"/>
  <c r="F88" i="33" l="1"/>
  <c r="F59" i="33" s="1"/>
  <c r="D43" i="36"/>
  <c r="F98" i="33" l="1"/>
  <c r="F99" i="33" l="1"/>
  <c r="F101" i="33" s="1"/>
  <c r="F106" i="33" s="1"/>
  <c r="F102" i="33" l="1"/>
  <c r="F104" i="33" s="1"/>
  <c r="F108" i="33" s="1"/>
  <c r="F109" i="33" s="1"/>
  <c r="F103" i="33" l="1"/>
  <c r="F76" i="33" s="1"/>
  <c r="F58" i="33" s="1"/>
  <c r="F60" i="33"/>
  <c r="F77" i="33" l="1"/>
  <c r="G74" i="33" s="1"/>
  <c r="F61" i="33"/>
  <c r="F64" i="33" s="1"/>
  <c r="F65" i="33" s="1"/>
  <c r="D28" i="36"/>
  <c r="D26" i="36"/>
  <c r="F72" i="33" l="1"/>
  <c r="D51" i="36"/>
  <c r="D29" i="36"/>
  <c r="G63" i="33"/>
  <c r="F66" i="33"/>
  <c r="G78" i="33" a="1"/>
  <c r="G78" i="33" s="1"/>
  <c r="D53" i="36"/>
  <c r="G56" i="33" l="1"/>
  <c r="G35" i="33" s="1"/>
  <c r="G82" i="33"/>
  <c r="G92" i="33"/>
  <c r="D31" i="36"/>
  <c r="D54" i="36"/>
  <c r="E27" i="36" l="1"/>
  <c r="E52" i="36" s="1"/>
  <c r="G95" i="33"/>
  <c r="G85" i="33"/>
  <c r="G36" i="33"/>
  <c r="E8" i="36"/>
  <c r="D56" i="36"/>
  <c r="G37" i="33" l="1"/>
  <c r="G38" i="33" l="1"/>
  <c r="E9" i="36"/>
  <c r="E10" i="36" s="1"/>
  <c r="G46" i="33"/>
  <c r="G48" i="33" s="1"/>
  <c r="E17" i="36" l="1"/>
  <c r="E18" i="36" l="1"/>
  <c r="E42" i="36"/>
  <c r="G83" i="33"/>
  <c r="G93" i="33"/>
  <c r="G88" i="33" l="1"/>
  <c r="G59" i="33" s="1"/>
  <c r="E43" i="36"/>
  <c r="G98" i="33" l="1"/>
  <c r="G99" i="33" l="1"/>
  <c r="G101" i="33" s="1"/>
  <c r="G106" i="33" s="1"/>
  <c r="G102" i="33" l="1"/>
  <c r="G104" i="33" s="1"/>
  <c r="G108" i="33" s="1"/>
  <c r="G109" i="33" s="1"/>
  <c r="G103" i="33" l="1"/>
  <c r="G76" i="33" s="1"/>
  <c r="G58" i="33" s="1"/>
  <c r="G60" i="33"/>
  <c r="G77" i="33" l="1"/>
  <c r="H74" i="33" s="1"/>
  <c r="G61" i="33"/>
  <c r="G64" i="33" s="1"/>
  <c r="G65" i="33" s="1"/>
  <c r="E26" i="36"/>
  <c r="E28" i="36"/>
  <c r="G72" i="33" l="1"/>
  <c r="E53" i="36"/>
  <c r="H63" i="33"/>
  <c r="G66" i="33"/>
  <c r="E51" i="36"/>
  <c r="E29" i="36"/>
  <c r="H78" i="33" a="1"/>
  <c r="H78" i="33" s="1"/>
  <c r="H56" i="33" s="1"/>
  <c r="F27" i="36" l="1"/>
  <c r="H35" i="33"/>
  <c r="H85" i="33"/>
  <c r="H95" i="33"/>
  <c r="E31" i="36"/>
  <c r="E54" i="36"/>
  <c r="H82" i="33"/>
  <c r="H92" i="33"/>
  <c r="H36" i="33" l="1"/>
  <c r="F8" i="36"/>
  <c r="E56" i="36"/>
  <c r="F52" i="36"/>
  <c r="H37" i="33" l="1"/>
  <c r="H38" i="33" l="1"/>
  <c r="F9" i="36"/>
  <c r="F10" i="36" s="1"/>
  <c r="H46" i="33"/>
  <c r="H48" i="33" s="1"/>
  <c r="F17" i="36" l="1"/>
  <c r="H93" i="33" l="1"/>
  <c r="H83" i="33"/>
  <c r="H88" i="33" s="1"/>
  <c r="F18" i="36"/>
  <c r="F42" i="36"/>
  <c r="F43" i="36" l="1"/>
  <c r="H59" i="33"/>
  <c r="H98" i="33" l="1"/>
  <c r="H99" i="33" s="1"/>
  <c r="H101" i="33" s="1"/>
  <c r="H106" i="33" s="1"/>
  <c r="H102" i="33" l="1"/>
  <c r="H103" i="33" l="1"/>
  <c r="H76" i="33" l="1"/>
  <c r="H58" i="33" s="1"/>
  <c r="H104" i="33"/>
  <c r="H108" i="33" s="1"/>
  <c r="H109" i="33" s="1"/>
  <c r="H60" i="33" s="1"/>
  <c r="F28" i="36" s="1"/>
  <c r="H77" i="33" l="1"/>
  <c r="I74" i="33" s="1"/>
  <c r="H61" i="33"/>
  <c r="H64" i="33" s="1"/>
  <c r="H65" i="33" s="1"/>
  <c r="F26" i="36"/>
  <c r="F53" i="36"/>
  <c r="H72" i="33" l="1"/>
  <c r="F51" i="36"/>
  <c r="F29" i="36"/>
  <c r="I63" i="33"/>
  <c r="H66" i="33"/>
  <c r="I78" i="33" a="1"/>
  <c r="I78" i="33" s="1"/>
  <c r="I56" i="33" s="1"/>
  <c r="G27" i="36" l="1"/>
  <c r="I35" i="33"/>
  <c r="I85" i="33"/>
  <c r="I95" i="33"/>
  <c r="F31" i="36"/>
  <c r="I82" i="33"/>
  <c r="I92" i="33"/>
  <c r="F54" i="36"/>
  <c r="I36" i="33" l="1"/>
  <c r="G8" i="36"/>
  <c r="F56" i="36"/>
  <c r="G52" i="36"/>
  <c r="I37" i="33" l="1"/>
  <c r="I38" i="33" l="1"/>
  <c r="G9" i="36"/>
  <c r="G10" i="36" s="1"/>
  <c r="I46" i="33"/>
  <c r="I48" i="33" s="1"/>
  <c r="G17" i="36" l="1"/>
  <c r="I83" i="33" l="1"/>
  <c r="I88" i="33" s="1"/>
  <c r="I93" i="33"/>
  <c r="G18" i="36"/>
  <c r="G42" i="36"/>
  <c r="G43" i="36" l="1"/>
  <c r="I59" i="33"/>
  <c r="I98" i="33" l="1"/>
  <c r="I99" i="33" s="1"/>
  <c r="I101" i="33" s="1"/>
  <c r="I106" i="33" s="1"/>
  <c r="I102" i="33" l="1"/>
  <c r="I103" i="33" l="1"/>
  <c r="I76" i="33" s="1"/>
  <c r="I104" i="33" l="1"/>
  <c r="I108" i="33" s="1"/>
  <c r="I109" i="33" s="1"/>
  <c r="I60" i="33" s="1"/>
  <c r="G28" i="36" s="1"/>
  <c r="G53" i="36" s="1"/>
  <c r="I58" i="33"/>
  <c r="I77" i="33"/>
  <c r="I61" i="33" l="1"/>
  <c r="I64" i="33" s="1"/>
  <c r="I65" i="33" s="1"/>
  <c r="J74" i="33"/>
  <c r="I72" i="33"/>
  <c r="G26" i="36"/>
  <c r="J63" i="33" l="1"/>
  <c r="I66" i="33"/>
  <c r="G51" i="36"/>
  <c r="G29" i="36"/>
  <c r="J78" i="33" a="1"/>
  <c r="J78" i="33" s="1"/>
  <c r="J56" i="33" s="1"/>
  <c r="H27" i="36" l="1"/>
  <c r="H52" i="36" s="1"/>
  <c r="J95" i="33"/>
  <c r="J85" i="33"/>
  <c r="J35" i="33"/>
  <c r="G31" i="36"/>
  <c r="G54" i="36"/>
  <c r="J82" i="33"/>
  <c r="J92" i="33"/>
  <c r="J36" i="33" l="1"/>
  <c r="H8" i="36"/>
  <c r="G56" i="36"/>
  <c r="J37" i="33" l="1"/>
  <c r="J38" i="33" l="1"/>
  <c r="H9" i="36"/>
  <c r="H10" i="36" s="1"/>
  <c r="J46" i="33"/>
  <c r="J48" i="33" s="1"/>
  <c r="H17" i="36" l="1"/>
  <c r="H18" i="36" s="1"/>
  <c r="J83" i="33"/>
  <c r="J93" i="33"/>
  <c r="J88" i="33" l="1"/>
  <c r="J59" i="33" s="1"/>
  <c r="J98" i="33" s="1"/>
  <c r="J99" i="33" s="1"/>
  <c r="J101" i="33" s="1"/>
  <c r="J106" i="33" s="1"/>
  <c r="H42" i="36"/>
  <c r="H43" i="36" s="1"/>
  <c r="J102" i="33" l="1"/>
  <c r="J103" i="33" l="1"/>
  <c r="J76" i="33" s="1"/>
  <c r="J104" i="33" l="1"/>
  <c r="J108" i="33" s="1"/>
  <c r="J109" i="33" s="1"/>
  <c r="J60" i="33" s="1"/>
  <c r="H28" i="36" s="1"/>
  <c r="H53" i="36" s="1"/>
  <c r="J58" i="33"/>
  <c r="J77" i="33"/>
  <c r="J61" i="33" l="1"/>
  <c r="J64" i="33" s="1"/>
  <c r="J65" i="33" s="1"/>
  <c r="K74" i="33"/>
  <c r="J72" i="33"/>
  <c r="H26" i="36"/>
  <c r="K63" i="33" l="1"/>
  <c r="J66" i="33"/>
  <c r="H29" i="36"/>
  <c r="H31" i="36" s="1"/>
  <c r="H51" i="36"/>
  <c r="H54" i="36" s="1"/>
  <c r="H56" i="36" s="1"/>
  <c r="K78" i="33" a="1"/>
  <c r="K78" i="33" s="1"/>
  <c r="K56" i="33" s="1"/>
  <c r="I27" i="36" l="1"/>
  <c r="I52" i="36" s="1"/>
  <c r="K35" i="33"/>
  <c r="K85" i="33"/>
  <c r="K95" i="33"/>
  <c r="K82" i="33"/>
  <c r="K92" i="33"/>
  <c r="K36" i="33" l="1"/>
  <c r="K37" i="33" s="1"/>
  <c r="I8" i="36"/>
  <c r="K38" i="33" l="1"/>
  <c r="I9" i="36"/>
  <c r="I10" i="36" s="1"/>
  <c r="K46" i="33"/>
  <c r="K48" i="33" s="1"/>
  <c r="I17" i="36" l="1"/>
  <c r="I42" i="36" s="1"/>
  <c r="I43" i="36" s="1"/>
  <c r="K83" i="33"/>
  <c r="K93" i="33"/>
  <c r="I18" i="36" l="1"/>
  <c r="K88" i="33"/>
  <c r="K59" i="33" s="1"/>
  <c r="K98" i="33" s="1"/>
  <c r="K99" i="33" s="1"/>
  <c r="K101" i="33" s="1"/>
  <c r="K106" i="33" s="1"/>
  <c r="K102" i="33" l="1"/>
  <c r="K103" i="33" l="1"/>
  <c r="K76" i="33" s="1"/>
  <c r="K104" i="33" l="1"/>
  <c r="K108" i="33" s="1"/>
  <c r="K109" i="33" s="1"/>
  <c r="K60" i="33" s="1"/>
  <c r="I28" i="36" s="1"/>
  <c r="I53" i="36" s="1"/>
  <c r="K58" i="33"/>
  <c r="K77" i="33"/>
  <c r="K61" i="33" l="1"/>
  <c r="K64" i="33" s="1"/>
  <c r="K65" i="33" s="1"/>
  <c r="L74" i="33"/>
  <c r="K72" i="33"/>
  <c r="I26" i="36"/>
  <c r="L63" i="33" l="1"/>
  <c r="K66" i="33"/>
  <c r="I29" i="36"/>
  <c r="I31" i="36" s="1"/>
  <c r="I51" i="36"/>
  <c r="I54" i="36" s="1"/>
  <c r="I56" i="36" s="1"/>
  <c r="L78" i="33" a="1"/>
  <c r="L78" i="33" s="1"/>
  <c r="L56" i="33" s="1"/>
  <c r="L35" i="33" l="1"/>
  <c r="J27" i="36"/>
  <c r="J52" i="36" s="1"/>
  <c r="L85" i="33"/>
  <c r="L95" i="33"/>
  <c r="L82" i="33"/>
  <c r="L92" i="33"/>
  <c r="L36" i="33" l="1"/>
  <c r="L37" i="33" s="1"/>
  <c r="J8" i="36"/>
  <c r="L38" i="33" l="1"/>
  <c r="J9" i="36"/>
  <c r="J10" i="36" s="1"/>
  <c r="L46" i="33"/>
  <c r="J17" i="36" l="1"/>
  <c r="J42" i="36" s="1"/>
  <c r="J43" i="36" s="1"/>
  <c r="L48" i="33"/>
  <c r="L83" i="33" s="1"/>
  <c r="L88" i="33" l="1"/>
  <c r="L59" i="33" s="1"/>
  <c r="L98" i="33" s="1"/>
  <c r="J18" i="36"/>
  <c r="L93" i="33"/>
  <c r="L99" i="33" l="1"/>
  <c r="L101" i="33" s="1"/>
  <c r="L106" i="33" s="1"/>
  <c r="L102" i="33" l="1"/>
  <c r="L103" i="33" s="1"/>
  <c r="L76" i="33" s="1"/>
  <c r="L104" i="33" l="1"/>
  <c r="L108" i="33" s="1"/>
  <c r="L109" i="33" s="1"/>
  <c r="L60" i="33" s="1"/>
  <c r="J28" i="36" s="1"/>
  <c r="J53" i="36" s="1"/>
  <c r="L58" i="33"/>
  <c r="L77" i="33"/>
  <c r="L61" i="33" l="1"/>
  <c r="L64" i="33" s="1"/>
  <c r="L65" i="33" s="1"/>
  <c r="M74" i="33"/>
  <c r="L72" i="33"/>
  <c r="J26" i="36"/>
  <c r="L66" i="33" l="1"/>
  <c r="M63" i="33"/>
  <c r="J29" i="36"/>
  <c r="J31" i="36" s="1"/>
  <c r="J51" i="36"/>
  <c r="J54" i="36" s="1"/>
  <c r="J56" i="36" s="1"/>
  <c r="M78" i="33" a="1"/>
  <c r="M78" i="33" s="1"/>
  <c r="M56" i="33" s="1"/>
  <c r="M35" i="33" l="1"/>
  <c r="M85" i="33"/>
  <c r="M95" i="33"/>
  <c r="K27" i="36"/>
  <c r="K52" i="36" s="1"/>
  <c r="M82" i="33"/>
  <c r="M92" i="33"/>
  <c r="M36" i="33" l="1"/>
  <c r="M37" i="33" s="1"/>
  <c r="K8" i="36"/>
  <c r="M38" i="33" l="1"/>
  <c r="K9" i="36"/>
  <c r="K10" i="36" s="1"/>
  <c r="M46" i="33"/>
  <c r="M48" i="33" s="1"/>
  <c r="K17" i="36" l="1"/>
  <c r="K42" i="36" s="1"/>
  <c r="K43" i="36" s="1"/>
  <c r="M83" i="33"/>
  <c r="M93" i="33"/>
  <c r="M88" i="33" l="1"/>
  <c r="M59" i="33" s="1"/>
  <c r="M98" i="33" s="1"/>
  <c r="M99" i="33" s="1"/>
  <c r="M101" i="33" s="1"/>
  <c r="M106" i="33" s="1"/>
  <c r="K18" i="36"/>
  <c r="M102" i="33" l="1"/>
  <c r="M103" i="33" l="1"/>
  <c r="M76" i="33" s="1"/>
  <c r="M58" i="33" l="1"/>
  <c r="M77" i="33"/>
  <c r="M104" i="33"/>
  <c r="M108" i="33" s="1"/>
  <c r="M109" i="33" s="1"/>
  <c r="M60" i="33" s="1"/>
  <c r="K28" i="36" s="1"/>
  <c r="K53" i="36" s="1"/>
  <c r="M61" i="33" l="1"/>
  <c r="M64" i="33" s="1"/>
  <c r="M65" i="33" s="1"/>
  <c r="N74" i="33"/>
  <c r="M72" i="33"/>
  <c r="K26" i="36"/>
  <c r="N63" i="33" l="1"/>
  <c r="M66" i="33"/>
  <c r="K29" i="36"/>
  <c r="K31" i="36" s="1"/>
  <c r="K51" i="36"/>
  <c r="K54" i="36" s="1"/>
  <c r="K56" i="36" s="1"/>
  <c r="N78" i="33" a="1"/>
  <c r="N78" i="33" s="1"/>
  <c r="N56" i="33" s="1"/>
  <c r="N85" i="33" l="1"/>
  <c r="N95" i="33"/>
  <c r="N35" i="33"/>
  <c r="L27" i="36"/>
  <c r="N82" i="33"/>
  <c r="N92" i="33"/>
  <c r="N36" i="33" l="1"/>
  <c r="L8" i="36"/>
  <c r="L52" i="36"/>
  <c r="M52" i="36" s="1"/>
  <c r="M27" i="36"/>
  <c r="M8" i="36" l="1"/>
  <c r="N37" i="33"/>
  <c r="N38" i="33" l="1"/>
  <c r="L9" i="36"/>
  <c r="L10" i="36" s="1"/>
  <c r="M10" i="36" s="1"/>
  <c r="U37" i="33"/>
  <c r="N46" i="33"/>
  <c r="L17" i="36" s="1"/>
  <c r="M9" i="36" l="1"/>
  <c r="U46" i="33"/>
  <c r="U48" i="33" s="1"/>
  <c r="N48" i="33"/>
  <c r="N83" i="33" s="1"/>
  <c r="U83" i="33" s="1"/>
  <c r="L18" i="36"/>
  <c r="M18" i="36" s="1"/>
  <c r="L42" i="36"/>
  <c r="M17" i="36"/>
  <c r="N88" i="33" l="1"/>
  <c r="N59" i="33" s="1"/>
  <c r="N98" i="33" s="1"/>
  <c r="N93" i="33"/>
  <c r="U93" i="33" s="1"/>
  <c r="L43" i="36"/>
  <c r="M43" i="36" s="1"/>
  <c r="M42" i="36"/>
  <c r="N99" i="33" l="1"/>
  <c r="N101" i="33" s="1"/>
  <c r="N106" i="33" s="1"/>
  <c r="N102" i="33" l="1"/>
  <c r="N103" i="33" s="1"/>
  <c r="N76" i="33" s="1"/>
  <c r="N58" i="33" l="1"/>
  <c r="N77" i="33"/>
  <c r="N104" i="33"/>
  <c r="N108" i="33" s="1"/>
  <c r="N109" i="33" s="1"/>
  <c r="N60" i="33" s="1"/>
  <c r="L28" i="36" s="1"/>
  <c r="N61" i="33" l="1"/>
  <c r="N64" i="33" s="1"/>
  <c r="N65" i="33" s="1"/>
  <c r="O74" i="33"/>
  <c r="N72" i="33"/>
  <c r="L53" i="36"/>
  <c r="M53" i="36" s="1"/>
  <c r="M28" i="36"/>
  <c r="L26" i="36"/>
  <c r="L29" i="36" l="1"/>
  <c r="L51" i="36"/>
  <c r="M26" i="36"/>
  <c r="O63" i="33"/>
  <c r="N66" i="33"/>
  <c r="O78" i="33" a="1"/>
  <c r="O78" i="33" s="1"/>
  <c r="O56" i="33" s="1"/>
  <c r="O85" i="33" l="1"/>
  <c r="O95" i="33"/>
  <c r="O35" i="33"/>
  <c r="O36" i="33" s="1"/>
  <c r="O92" i="33"/>
  <c r="O82" i="33"/>
  <c r="L54" i="36"/>
  <c r="M51" i="36"/>
  <c r="L31" i="36"/>
  <c r="M29" i="36"/>
  <c r="L56" i="36" l="1"/>
  <c r="M54" i="36"/>
  <c r="O38" i="33"/>
  <c r="O53" i="33"/>
  <c r="O54" i="33" s="1"/>
  <c r="P53" i="33"/>
  <c r="P54" i="33" s="1"/>
  <c r="Q53" i="33"/>
  <c r="R53" i="33"/>
  <c r="S53" i="33"/>
  <c r="S54" i="33" l="1"/>
  <c r="S84" i="33" s="1"/>
  <c r="R54" i="33"/>
  <c r="R84" i="33" s="1"/>
  <c r="Q54" i="33"/>
  <c r="Q94" i="33" s="1"/>
  <c r="U53" i="33"/>
  <c r="P94" i="33"/>
  <c r="P84" i="33"/>
  <c r="Q84" i="33" l="1"/>
  <c r="S94" i="33"/>
  <c r="R94" i="33"/>
  <c r="O94" i="33"/>
  <c r="U54" i="33"/>
  <c r="O84" i="33"/>
  <c r="U94" i="33" l="1"/>
  <c r="O88" i="33"/>
  <c r="O59" i="33" s="1"/>
  <c r="U84" i="33"/>
  <c r="O98" i="33" l="1"/>
  <c r="O99" i="33" s="1"/>
  <c r="O101" i="33" s="1"/>
  <c r="O106" i="33" s="1"/>
  <c r="O102" i="33" l="1"/>
  <c r="O103" i="33" l="1"/>
  <c r="O76" i="33" s="1"/>
  <c r="O77" i="33" l="1"/>
  <c r="O58" i="33"/>
  <c r="O104" i="33"/>
  <c r="O108" i="33" s="1"/>
  <c r="O109" i="33" s="1"/>
  <c r="O60" i="33" l="1"/>
  <c r="O61" i="33" s="1"/>
  <c r="O72" i="33"/>
  <c r="P74" i="33"/>
  <c r="P78" i="33" l="1" a="1"/>
  <c r="P78" i="33" s="1"/>
  <c r="P56" i="33" s="1"/>
  <c r="O64" i="33"/>
  <c r="O65" i="33" s="1"/>
  <c r="P63" i="33" l="1"/>
  <c r="O66" i="33"/>
  <c r="P85" i="33"/>
  <c r="P95" i="33"/>
  <c r="P35" i="33"/>
  <c r="P36" i="33" s="1"/>
  <c r="P38" i="33" l="1"/>
  <c r="P82" i="33"/>
  <c r="P88" i="33" s="1"/>
  <c r="P92" i="33"/>
  <c r="P59" i="33" l="1"/>
  <c r="P98" i="33" l="1"/>
  <c r="P99" i="33" s="1"/>
  <c r="P101" i="33" s="1"/>
  <c r="P106" i="33" s="1"/>
  <c r="P102" i="33" l="1"/>
  <c r="P103" i="33" l="1"/>
  <c r="P76" i="33" s="1"/>
  <c r="P58" i="33" l="1"/>
  <c r="P77" i="33"/>
  <c r="P104" i="33"/>
  <c r="P108" i="33" s="1"/>
  <c r="P109" i="33" s="1"/>
  <c r="P60" i="33" l="1"/>
  <c r="Q74" i="33"/>
  <c r="P72" i="33"/>
  <c r="P61" i="33" l="1"/>
  <c r="P64" i="33" s="1"/>
  <c r="P65" i="33" s="1"/>
  <c r="Q78" i="33" a="1"/>
  <c r="Q78" i="33" s="1"/>
  <c r="Q56" i="33" s="1"/>
  <c r="Q63" i="33" l="1"/>
  <c r="Q92" i="33" s="1"/>
  <c r="P66" i="33"/>
  <c r="Q85" i="33"/>
  <c r="Q95" i="33"/>
  <c r="Q35" i="33"/>
  <c r="Q36" i="33" s="1"/>
  <c r="Q82" i="33" l="1"/>
  <c r="Q88" i="33" s="1"/>
  <c r="Q59" i="33" s="1"/>
  <c r="Q38" i="33"/>
  <c r="Q98" i="33" l="1"/>
  <c r="Q99" i="33" s="1"/>
  <c r="Q101" i="33" s="1"/>
  <c r="Q106" i="33" s="1"/>
  <c r="Q102" i="33" l="1"/>
  <c r="Q103" i="33" l="1"/>
  <c r="Q76" i="33" s="1"/>
  <c r="Q104" i="33" l="1"/>
  <c r="Q108" i="33" s="1"/>
  <c r="Q109" i="33" s="1"/>
  <c r="Q60" i="33" s="1"/>
  <c r="Q58" i="33"/>
  <c r="Q77" i="33"/>
  <c r="Q61" i="33" l="1"/>
  <c r="Q64" i="33" s="1"/>
  <c r="Q65" i="33" s="1"/>
  <c r="R74" i="33"/>
  <c r="Q72" i="33"/>
  <c r="R63" i="33" l="1"/>
  <c r="Q66" i="33"/>
  <c r="R78" i="33" a="1"/>
  <c r="R78" i="33" s="1"/>
  <c r="R56" i="33" s="1"/>
  <c r="R35" i="33" l="1"/>
  <c r="R36" i="33" s="1"/>
  <c r="R95" i="33"/>
  <c r="R85" i="33"/>
  <c r="R92" i="33"/>
  <c r="R82" i="33"/>
  <c r="R88" i="33" s="1"/>
  <c r="R59" i="33" l="1"/>
  <c r="R38" i="33"/>
  <c r="R98" i="33" l="1"/>
  <c r="R99" i="33" s="1"/>
  <c r="R101" i="33" s="1"/>
  <c r="R106" i="33" s="1"/>
  <c r="R102" i="33" l="1"/>
  <c r="R103" i="33" l="1"/>
  <c r="R76" i="33" s="1"/>
  <c r="R58" i="33" l="1"/>
  <c r="R77" i="33"/>
  <c r="R104" i="33"/>
  <c r="R108" i="33" s="1"/>
  <c r="R109" i="33" s="1"/>
  <c r="R60" i="33" l="1"/>
  <c r="S74" i="33"/>
  <c r="R72" i="33"/>
  <c r="R61" i="33" l="1"/>
  <c r="R64" i="33" s="1"/>
  <c r="R65" i="33" s="1"/>
  <c r="S78" i="33" a="1"/>
  <c r="S78" i="33" s="1"/>
  <c r="S56" i="33" l="1"/>
  <c r="S35" i="33" s="1"/>
  <c r="S36" i="33" s="1"/>
  <c r="U78" i="33"/>
  <c r="S63" i="33"/>
  <c r="S92" i="33" s="1"/>
  <c r="R66" i="33"/>
  <c r="S85" i="33" l="1"/>
  <c r="U85" i="33" s="1"/>
  <c r="U56" i="33"/>
  <c r="S95" i="33"/>
  <c r="U95" i="33" s="1"/>
  <c r="S82" i="33"/>
  <c r="U35" i="33"/>
  <c r="S88" i="33" l="1"/>
  <c r="U88" i="33" s="1"/>
  <c r="U36" i="33"/>
  <c r="S38" i="33"/>
  <c r="U38" i="33" s="1"/>
  <c r="C88" i="33" l="1"/>
  <c r="K8" i="33" s="1"/>
  <c r="K10" i="33" s="1"/>
  <c r="S59" i="33"/>
  <c r="S98" i="33" s="1"/>
  <c r="U59" i="33" l="1"/>
  <c r="S99" i="33"/>
  <c r="S101" i="33" s="1"/>
  <c r="S106" i="33" s="1"/>
  <c r="U106" i="33" s="1"/>
  <c r="U98" i="33"/>
  <c r="S102" i="33" l="1"/>
  <c r="S103" i="33" s="1"/>
  <c r="S76" i="33" l="1"/>
  <c r="U76" i="33" s="1"/>
  <c r="U103" i="33"/>
  <c r="S104" i="33"/>
  <c r="S108" i="33" s="1"/>
  <c r="S77" i="33" l="1"/>
  <c r="S72" i="33" s="1"/>
  <c r="C72" i="33" s="1"/>
  <c r="S58" i="33"/>
  <c r="U58" i="33" s="1"/>
  <c r="S109" i="33"/>
  <c r="C109" i="33" s="1"/>
  <c r="U108" i="33"/>
  <c r="S60" i="33" l="1"/>
  <c r="U109" i="33"/>
  <c r="U60" i="33" l="1"/>
  <c r="U61" i="33" s="1"/>
  <c r="S61" i="33"/>
  <c r="S64" i="33" s="1"/>
  <c r="S65" i="33" s="1"/>
  <c r="S66" i="33" s="1"/>
  <c r="C66" i="33" s="1"/>
  <c r="F4"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{Dallah Investment} Ziad Nawfal</author>
  </authors>
  <commentList>
    <comment ref="E68" authorId="0" shapeId="0" xr:uid="{4459DB00-FE6C-488B-86D8-67F884060046}">
      <text>
        <r>
          <rPr>
            <b/>
            <sz val="9"/>
            <color indexed="81"/>
            <rFont val="Tahoma"/>
            <family val="2"/>
          </rPr>
          <t>{Dallah Investment} Ziad Nawfal:</t>
        </r>
        <r>
          <rPr>
            <sz val="9"/>
            <color indexed="81"/>
            <rFont val="Tahoma"/>
            <family val="2"/>
          </rPr>
          <t xml:space="preserve">
Excluding Hotel Land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tc={C737473B-CA67-4A18-95D9-20CC9AFE05B6}</author>
  </authors>
  <commentList>
    <comment ref="B45" authorId="0" shapeId="0" xr:uid="{C737473B-CA67-4A18-95D9-20CC9AFE05B6}">
      <text>
        <t>[Threaded comment]
Your version of Excel allows you to read this threaded comment; however, any edits to it will get removed if the file is opened in a newer version of Excel. Learn more: https://go.microsoft.com/fwlink/?linkid=870924
Comment:
    Deducted as Capex under “Investing”</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<sst xmlns="http://schemas.openxmlformats.org/spreadsheetml/2006/main" count="1168" uniqueCount="540">
  <si>
    <t>Dallah Real Estate -  Religious Hospitality Group (operational assets only)</t>
  </si>
  <si>
    <t>Consolidated Financial Statements</t>
  </si>
  <si>
    <t>PROFIT &amp; LOSS</t>
  </si>
  <si>
    <t>SARm</t>
  </si>
  <si>
    <t>FY25</t>
  </si>
  <si>
    <t>FY26</t>
  </si>
  <si>
    <t>FY27</t>
  </si>
  <si>
    <t>FY28</t>
  </si>
  <si>
    <t>FY29</t>
  </si>
  <si>
    <t>FY30</t>
  </si>
  <si>
    <t>FY31</t>
  </si>
  <si>
    <t>FY32</t>
  </si>
  <si>
    <t>FY33</t>
  </si>
  <si>
    <t>FY34</t>
  </si>
  <si>
    <t>FY35</t>
  </si>
  <si>
    <t>FY36</t>
  </si>
  <si>
    <t>FY37</t>
  </si>
  <si>
    <t>FY38</t>
  </si>
  <si>
    <t>FY39</t>
  </si>
  <si>
    <t>FY40</t>
  </si>
  <si>
    <t>FY25-35</t>
  </si>
  <si>
    <t>Revenue</t>
  </si>
  <si>
    <t>CAGR</t>
  </si>
  <si>
    <t>Direct Costs</t>
  </si>
  <si>
    <t>Gross Operating Income</t>
  </si>
  <si>
    <t>Indirect costs</t>
  </si>
  <si>
    <t>Gross Operating Profit</t>
  </si>
  <si>
    <t>Rental Income</t>
  </si>
  <si>
    <t>Management Fee</t>
  </si>
  <si>
    <t>Replacement Reserve</t>
  </si>
  <si>
    <t>Rent/Leases &amp; Insurance</t>
  </si>
  <si>
    <t>EBITDA</t>
  </si>
  <si>
    <t>Depreciation</t>
  </si>
  <si>
    <t>Amortisation of ROU asset (non-cash)</t>
  </si>
  <si>
    <t>Amortization - Pre Opening Costs</t>
  </si>
  <si>
    <t>EBIT</t>
  </si>
  <si>
    <t>Other Income</t>
  </si>
  <si>
    <t>Other Expenses</t>
  </si>
  <si>
    <t>Interest Expense</t>
  </si>
  <si>
    <t>EBT</t>
  </si>
  <si>
    <t>Zakat/Tax</t>
  </si>
  <si>
    <t>Net Profit/(Loss)</t>
  </si>
  <si>
    <t>Margin KPIs</t>
  </si>
  <si>
    <t>GOP</t>
  </si>
  <si>
    <t>Net profit</t>
  </si>
  <si>
    <t>EBITDA / asset base</t>
  </si>
  <si>
    <t>BALANCE SHEET</t>
  </si>
  <si>
    <t>SAR</t>
  </si>
  <si>
    <t>Dec'25</t>
  </si>
  <si>
    <t>Dec'26</t>
  </si>
  <si>
    <t>Dec'27</t>
  </si>
  <si>
    <t>Dec'28</t>
  </si>
  <si>
    <t>Dec'29</t>
  </si>
  <si>
    <t>Dec'30</t>
  </si>
  <si>
    <t>Dec'31</t>
  </si>
  <si>
    <t>Dec'32</t>
  </si>
  <si>
    <t>Dec'33</t>
  </si>
  <si>
    <t>Dec'34</t>
  </si>
  <si>
    <t>Dec'35</t>
  </si>
  <si>
    <t>Dec'36</t>
  </si>
  <si>
    <t>Dec'37</t>
  </si>
  <si>
    <t>Dec'38</t>
  </si>
  <si>
    <t>Dec'39</t>
  </si>
  <si>
    <t>Dec'40</t>
  </si>
  <si>
    <t xml:space="preserve">Cash and Cash Equivalent </t>
  </si>
  <si>
    <t>Investment Deposit</t>
  </si>
  <si>
    <t>Accounts Receivable</t>
  </si>
  <si>
    <t>Inventory</t>
  </si>
  <si>
    <t>Prepaid Expenses &amp; Other Receivables</t>
  </si>
  <si>
    <t>Due from Related Party</t>
  </si>
  <si>
    <t>Total Current Assets</t>
  </si>
  <si>
    <t>Property, Plant and Equipment</t>
  </si>
  <si>
    <t>CWIP</t>
  </si>
  <si>
    <t>Land</t>
  </si>
  <si>
    <t>Investment property</t>
  </si>
  <si>
    <t>Right of Use Assets</t>
  </si>
  <si>
    <t>Pre-Opening Costs</t>
  </si>
  <si>
    <t>Total Non-Current Assets</t>
  </si>
  <si>
    <t>Total Assets</t>
  </si>
  <si>
    <t>Accounts Payable</t>
  </si>
  <si>
    <t>Accrued Expense and other Payables</t>
  </si>
  <si>
    <t>Due to Related Party</t>
  </si>
  <si>
    <t>Zakat/Tax Payable</t>
  </si>
  <si>
    <t>Dividend Payable</t>
  </si>
  <si>
    <t>Lease Liabilities - Current Portion</t>
  </si>
  <si>
    <t>Interest Paybles</t>
  </si>
  <si>
    <t>Bank Overdraft</t>
  </si>
  <si>
    <t>Total Current Liabilities</t>
  </si>
  <si>
    <t>Lease Liabilities - Non-Current Portion</t>
  </si>
  <si>
    <t>Long Term Debt</t>
  </si>
  <si>
    <t>EOSB</t>
  </si>
  <si>
    <t>Total Non-Current Liabilities</t>
  </si>
  <si>
    <t>Total Liabilities</t>
  </si>
  <si>
    <t>Share Capital</t>
  </si>
  <si>
    <t>Accumulated Profit/(Losses)</t>
  </si>
  <si>
    <t>Total Equity</t>
  </si>
  <si>
    <t>Total Equity and Liabilities</t>
  </si>
  <si>
    <t>Check</t>
  </si>
  <si>
    <t>Leverage Ratios</t>
  </si>
  <si>
    <t>Debt to Equity</t>
  </si>
  <si>
    <t>Debt to EBITDA</t>
  </si>
  <si>
    <t>Debt service coverage</t>
  </si>
  <si>
    <t>INDIRECT CASH FLOW</t>
  </si>
  <si>
    <t>Adjustment of Non-Cash Items</t>
  </si>
  <si>
    <t>Amortization Lease (IFRS 16)</t>
  </si>
  <si>
    <t>Amortization-Pre-Operating Costs</t>
  </si>
  <si>
    <t>EOSB Provision</t>
  </si>
  <si>
    <t>Gain/(Loss) on Sale of PPE</t>
  </si>
  <si>
    <t>Inc/(Dec) in Working Capital</t>
  </si>
  <si>
    <t>EOSB Paid</t>
  </si>
  <si>
    <t>Zakat/Tax Paid</t>
  </si>
  <si>
    <t>Cashflow From Operating Activities</t>
  </si>
  <si>
    <t>Investment in Short Term Deposit</t>
  </si>
  <si>
    <t>Purchase of PPE</t>
  </si>
  <si>
    <t>Proceeds from Sale of PPE</t>
  </si>
  <si>
    <t>Cashflow from Investing Activities</t>
  </si>
  <si>
    <t>Inc/(Dec) in Share Capital</t>
  </si>
  <si>
    <t>Due to Related Parties</t>
  </si>
  <si>
    <t>Inc/(Dec) in Long Term Debt</t>
  </si>
  <si>
    <t>Inc/(Dec) in Bank Overdraft</t>
  </si>
  <si>
    <t>Interest Paid</t>
  </si>
  <si>
    <t>Loss Absorbed</t>
  </si>
  <si>
    <t>Dividend Paid</t>
  </si>
  <si>
    <t>Equity Injection to Meet Minimum Cash Requirment</t>
  </si>
  <si>
    <t>Cashflow from Financing Activities</t>
  </si>
  <si>
    <t>Opening Cash</t>
  </si>
  <si>
    <t>Net Cash</t>
  </si>
  <si>
    <t>Closing Cash</t>
  </si>
  <si>
    <t>Checks</t>
  </si>
  <si>
    <t>MAAD: Basis of preparation (input sources and key assumptions)</t>
  </si>
  <si>
    <t>SOURCE OF INPUTS / ASSUMPTIONS</t>
  </si>
  <si>
    <t>Room revenue</t>
  </si>
  <si>
    <t>F&amp;B revenue</t>
  </si>
  <si>
    <t>OOD revenue</t>
  </si>
  <si>
    <t>Input / assumption source</t>
  </si>
  <si>
    <r>
      <rPr>
        <b/>
        <sz val="9.5"/>
        <color theme="1"/>
        <rFont val="Calibri"/>
        <family val="2"/>
        <scheme val="minor"/>
      </rPr>
      <t>Formula =</t>
    </r>
    <r>
      <rPr>
        <sz val="9.5"/>
        <color theme="1"/>
        <rFont val="Calibri"/>
        <family val="2"/>
        <scheme val="minor"/>
      </rPr>
      <t xml:space="preserve"> total number of rooms x number of nights in a year x occupancy x ADR</t>
    </r>
  </si>
  <si>
    <t>Total number of rooms</t>
  </si>
  <si>
    <t>Maad Consolidated Valuation Model</t>
  </si>
  <si>
    <t>Number of nights in a year</t>
  </si>
  <si>
    <t>&gt;</t>
  </si>
  <si>
    <t>Occupancy</t>
  </si>
  <si>
    <t>FY25 approved operator budget &amp; Maad Consolidated Valuation Model</t>
  </si>
  <si>
    <t>Number of Occupied Rooms</t>
  </si>
  <si>
    <t>ADR</t>
  </si>
  <si>
    <t>FS source</t>
  </si>
  <si>
    <t>Variance</t>
  </si>
  <si>
    <r>
      <rPr>
        <b/>
        <sz val="9.5"/>
        <color theme="1"/>
        <rFont val="Calibri"/>
        <family val="2"/>
        <scheme val="minor"/>
      </rPr>
      <t>Formula =</t>
    </r>
    <r>
      <rPr>
        <sz val="9.5"/>
        <color theme="1"/>
        <rFont val="Calibri"/>
        <family val="2"/>
        <scheme val="minor"/>
      </rPr>
      <t xml:space="preserve"> number of occupied rooms x guests per room x F&amp;B spend per room</t>
    </r>
  </si>
  <si>
    <t>Guests per Room</t>
  </si>
  <si>
    <t>Number of Guests</t>
  </si>
  <si>
    <t>F&amp;B spend per Guest</t>
  </si>
  <si>
    <r>
      <rPr>
        <b/>
        <sz val="9.5"/>
        <color theme="1"/>
        <rFont val="Calibri"/>
        <family val="2"/>
        <scheme val="minor"/>
      </rPr>
      <t>Formula =</t>
    </r>
    <r>
      <rPr>
        <sz val="9.5"/>
        <color theme="1"/>
        <rFont val="Calibri"/>
        <family val="2"/>
        <scheme val="minor"/>
      </rPr>
      <t xml:space="preserve"> FY25 OOD revenue (operator budget) x Management growth assumption</t>
    </r>
  </si>
  <si>
    <t>FY25 OOD revenue (operator budget)</t>
  </si>
  <si>
    <t>OOD revenue growth</t>
  </si>
  <si>
    <t>Total revenue</t>
  </si>
  <si>
    <t>Room</t>
  </si>
  <si>
    <t>F&amp;B</t>
  </si>
  <si>
    <t>OOD</t>
  </si>
  <si>
    <t>Direct costs</t>
  </si>
  <si>
    <t>Room direct costs</t>
  </si>
  <si>
    <t>F&amp;B direct costs</t>
  </si>
  <si>
    <t>OOD direct costs</t>
  </si>
  <si>
    <r>
      <rPr>
        <b/>
        <sz val="9.5"/>
        <color theme="1"/>
        <rFont val="Calibri"/>
        <family val="2"/>
        <scheme val="minor"/>
      </rPr>
      <t>Formula =</t>
    </r>
    <r>
      <rPr>
        <sz val="9.5"/>
        <color theme="1"/>
        <rFont val="Calibri"/>
        <family val="2"/>
        <scheme val="minor"/>
      </rPr>
      <t xml:space="preserve"> salary costs + non-salary costs</t>
    </r>
  </si>
  <si>
    <t>Salary costs (fixed)</t>
  </si>
  <si>
    <r>
      <rPr>
        <b/>
        <sz val="9.5"/>
        <color theme="1"/>
        <rFont val="Calibri"/>
        <family val="2"/>
        <scheme val="minor"/>
      </rPr>
      <t>Formula =</t>
    </r>
    <r>
      <rPr>
        <sz val="9.5"/>
        <color theme="1"/>
        <rFont val="Calibri"/>
        <family val="2"/>
        <scheme val="minor"/>
      </rPr>
      <t xml:space="preserve"> FY25 salary costs (operator budget) x inflation</t>
    </r>
  </si>
  <si>
    <t>FY25 salary costs (operator budget)</t>
  </si>
  <si>
    <t>Inflation</t>
  </si>
  <si>
    <t>NA</t>
  </si>
  <si>
    <t>Non-salary costs (variable)</t>
  </si>
  <si>
    <r>
      <rPr>
        <b/>
        <sz val="9.5"/>
        <color theme="1"/>
        <rFont val="Calibri"/>
        <family val="2"/>
        <scheme val="minor"/>
      </rPr>
      <t>Formula =</t>
    </r>
    <r>
      <rPr>
        <sz val="9.5"/>
        <color theme="1"/>
        <rFont val="Calibri"/>
        <family val="2"/>
        <scheme val="minor"/>
      </rPr>
      <t xml:space="preserve"> room revenue x non-salary cost ratio </t>
    </r>
  </si>
  <si>
    <t>FY25 non-salary costs (operator budget)</t>
  </si>
  <si>
    <t>Non-salary cost ratio (as a percentage of revenue)</t>
  </si>
  <si>
    <t>FY25 approved operator budget</t>
  </si>
  <si>
    <t>Department profitability (Room)</t>
  </si>
  <si>
    <t>Gross operating income</t>
  </si>
  <si>
    <t>Gross operating margin</t>
  </si>
  <si>
    <r>
      <rPr>
        <b/>
        <sz val="9.5"/>
        <color theme="1"/>
        <rFont val="Calibri"/>
        <family val="2"/>
        <scheme val="minor"/>
      </rPr>
      <t>Formula =</t>
    </r>
    <r>
      <rPr>
        <sz val="9.5"/>
        <color theme="1"/>
        <rFont val="Calibri"/>
        <family val="2"/>
        <scheme val="minor"/>
      </rPr>
      <t xml:space="preserve"> F&amp;B revenue x non-salary cost ratio </t>
    </r>
  </si>
  <si>
    <t>Department profitability (F&amp;B)</t>
  </si>
  <si>
    <t>Department profitability (OOD)</t>
  </si>
  <si>
    <t>1.3.</t>
  </si>
  <si>
    <t>G&amp;A</t>
  </si>
  <si>
    <t>IT</t>
  </si>
  <si>
    <t>Sales &amp; marketing</t>
  </si>
  <si>
    <t>POM</t>
  </si>
  <si>
    <t>Energy</t>
  </si>
  <si>
    <r>
      <rPr>
        <b/>
        <sz val="9.5"/>
        <color theme="1"/>
        <rFont val="Calibri"/>
        <family val="2"/>
        <scheme val="minor"/>
      </rPr>
      <t>Formula =</t>
    </r>
    <r>
      <rPr>
        <sz val="9.5"/>
        <color theme="1"/>
        <rFont val="Calibri"/>
        <family val="2"/>
        <scheme val="minor"/>
      </rPr>
      <t xml:space="preserve"> total revenue x non-salary cost ratio </t>
    </r>
  </si>
  <si>
    <t>G&amp;A costs</t>
  </si>
  <si>
    <t>IT costs</t>
  </si>
  <si>
    <t>Sales &amp; marketing costs</t>
  </si>
  <si>
    <t>POM costs</t>
  </si>
  <si>
    <t>Energy costs</t>
  </si>
  <si>
    <t>FY25 EOSB charge (operator budget)</t>
  </si>
  <si>
    <t>Total salaries</t>
  </si>
  <si>
    <t>EOSB costs</t>
  </si>
  <si>
    <t>Indirect costs (by category)</t>
  </si>
  <si>
    <t>Total indirect expenses</t>
  </si>
  <si>
    <t>As a percentage of revenue</t>
  </si>
  <si>
    <t>Indirect costs (by type)</t>
  </si>
  <si>
    <t>Salary (fixed)</t>
  </si>
  <si>
    <t>Non-salary (variable)</t>
  </si>
  <si>
    <t>Gross operating profit</t>
  </si>
  <si>
    <t>GOP margin</t>
  </si>
  <si>
    <t>Rental income</t>
  </si>
  <si>
    <t>No formula = taken directly from the Valuation model with no adjustments</t>
  </si>
  <si>
    <t>Rental income (as per the "Valuation Model")</t>
  </si>
  <si>
    <t>Management fee</t>
  </si>
  <si>
    <t>Base management fee</t>
  </si>
  <si>
    <t>Incentive fee</t>
  </si>
  <si>
    <r>
      <rPr>
        <b/>
        <sz val="9.5"/>
        <color theme="1"/>
        <rFont val="Calibri"/>
        <family val="2"/>
        <scheme val="minor"/>
      </rPr>
      <t>Formula =</t>
    </r>
    <r>
      <rPr>
        <sz val="9.5"/>
        <color theme="1"/>
        <rFont val="Calibri"/>
        <family val="2"/>
        <scheme val="minor"/>
      </rPr>
      <t xml:space="preserve"> base fees (as a % of room revenue) + technology service fees</t>
    </r>
  </si>
  <si>
    <t>Base fee</t>
  </si>
  <si>
    <r>
      <rPr>
        <b/>
        <sz val="9.5"/>
        <color theme="1"/>
        <rFont val="Calibri"/>
        <family val="2"/>
        <scheme val="minor"/>
      </rPr>
      <t>Formula =</t>
    </r>
    <r>
      <rPr>
        <sz val="9.5"/>
        <color theme="1"/>
        <rFont val="Calibri"/>
        <family val="2"/>
        <scheme val="minor"/>
      </rPr>
      <t xml:space="preserve"> room revenue x base management fees</t>
    </r>
  </si>
  <si>
    <t>License fees</t>
  </si>
  <si>
    <t>Signed HMA agreement</t>
  </si>
  <si>
    <t>Marketing contribution</t>
  </si>
  <si>
    <t>Reservation contribution</t>
  </si>
  <si>
    <t>Frequency marketing (assumption that only 20% of room revenue = loyalty program))</t>
  </si>
  <si>
    <t>Signed HMA agreement &amp; additional assumption for loyalty program</t>
  </si>
  <si>
    <t>Total base fee (as a % of room revenue)</t>
  </si>
  <si>
    <t>Technology service fee</t>
  </si>
  <si>
    <r>
      <rPr>
        <b/>
        <sz val="9.5"/>
        <color theme="1"/>
        <rFont val="Calibri"/>
        <family val="2"/>
        <scheme val="minor"/>
      </rPr>
      <t>Formula =</t>
    </r>
    <r>
      <rPr>
        <sz val="9.5"/>
        <color theme="1"/>
        <rFont val="Calibri"/>
        <family val="2"/>
        <scheme val="minor"/>
      </rPr>
      <t xml:space="preserve"> number of rooms x technology service fee</t>
    </r>
  </si>
  <si>
    <t>Number of rooms</t>
  </si>
  <si>
    <t>Technology service fee per room</t>
  </si>
  <si>
    <t>Incentive management fee</t>
  </si>
  <si>
    <r>
      <rPr>
        <b/>
        <sz val="9.5"/>
        <color theme="1"/>
        <rFont val="Calibri"/>
        <family val="2"/>
        <scheme val="minor"/>
      </rPr>
      <t>Formula =</t>
    </r>
    <r>
      <rPr>
        <sz val="9.5"/>
        <color theme="1"/>
        <rFont val="Calibri"/>
        <family val="2"/>
        <scheme val="minor"/>
      </rPr>
      <t xml:space="preserve"> adjusted GOP x incentive fee</t>
    </r>
  </si>
  <si>
    <t>License fee</t>
  </si>
  <si>
    <t>Replacement reserve fund</t>
  </si>
  <si>
    <t>Adjusted gross operating profit</t>
  </si>
  <si>
    <t>Total management fee</t>
  </si>
  <si>
    <t>Replacement reserve</t>
  </si>
  <si>
    <t>Formula = total revenue x replacement reserve %</t>
  </si>
  <si>
    <t>Replacement reserve %</t>
  </si>
  <si>
    <t>Rent &amp; insurance</t>
  </si>
  <si>
    <t>FY25 rent &amp; insurance (operator budget)</t>
  </si>
  <si>
    <t>Zakat</t>
  </si>
  <si>
    <t>Dividend</t>
  </si>
  <si>
    <t>Equity</t>
  </si>
  <si>
    <t>Zakat rate</t>
  </si>
  <si>
    <t>Zakat charge</t>
  </si>
  <si>
    <t>Adjustments to opening balance sheet</t>
  </si>
  <si>
    <t>Dec'24</t>
  </si>
  <si>
    <t>Adj. 1</t>
  </si>
  <si>
    <t>Adj. 2</t>
  </si>
  <si>
    <t>Adj. 3</t>
  </si>
  <si>
    <t>Adj. 4</t>
  </si>
  <si>
    <t>Adj. 5</t>
  </si>
  <si>
    <t>Unadjusted</t>
  </si>
  <si>
    <t>Land transfer</t>
  </si>
  <si>
    <t>Capital injection</t>
  </si>
  <si>
    <t>Settle legacy AP</t>
  </si>
  <si>
    <t>Interest payment</t>
  </si>
  <si>
    <t>Capitalise interest</t>
  </si>
  <si>
    <t>Adjusted</t>
  </si>
  <si>
    <t>Assets = Liabilities + Equity</t>
  </si>
  <si>
    <t>Working capital</t>
  </si>
  <si>
    <t>Accounts receivable</t>
  </si>
  <si>
    <r>
      <rPr>
        <b/>
        <sz val="9.5"/>
        <color theme="1"/>
        <rFont val="Calibri"/>
        <family val="2"/>
        <scheme val="minor"/>
      </rPr>
      <t>Formula =</t>
    </r>
    <r>
      <rPr>
        <sz val="9.5"/>
        <color theme="1"/>
        <rFont val="Calibri"/>
        <family val="2"/>
        <scheme val="minor"/>
      </rPr>
      <t xml:space="preserve"> total revenue * credit sales % * ( DSO / 365 )</t>
    </r>
  </si>
  <si>
    <t>Credit sales as a % of total revenue</t>
  </si>
  <si>
    <t>New assumption - validate with Management</t>
  </si>
  <si>
    <t>DSO (based on FY21-FY24 average for Dallah Taibah - oldest operating business)</t>
  </si>
  <si>
    <t>Based on historical actuals for Dallah Taibah</t>
  </si>
  <si>
    <r>
      <rPr>
        <b/>
        <sz val="9.5"/>
        <color theme="1"/>
        <rFont val="Calibri"/>
        <family val="2"/>
        <scheme val="minor"/>
      </rPr>
      <t>Formula =</t>
    </r>
    <r>
      <rPr>
        <sz val="9.5"/>
        <color theme="1"/>
        <rFont val="Calibri"/>
        <family val="2"/>
        <scheme val="minor"/>
      </rPr>
      <t xml:space="preserve"> total non-salary costs * ( DIO / 365 )</t>
    </r>
  </si>
  <si>
    <t>DIO (based on FY21-FY24 average for Dallah Taibah - oldest operating business)</t>
  </si>
  <si>
    <t>Prepaid expenses</t>
  </si>
  <si>
    <r>
      <rPr>
        <b/>
        <sz val="9.5"/>
        <color theme="1"/>
        <rFont val="Calibri"/>
        <family val="2"/>
        <scheme val="minor"/>
      </rPr>
      <t>Formula =</t>
    </r>
    <r>
      <rPr>
        <sz val="9.5"/>
        <color theme="1"/>
        <rFont val="Calibri"/>
        <family val="2"/>
        <scheme val="minor"/>
      </rPr>
      <t xml:space="preserve"> total non-salary costs * ( DPPO / 365 )</t>
    </r>
  </si>
  <si>
    <t>DPPO (based on FY21-FY24 average for Dallah Taibah - oldest operating business)</t>
  </si>
  <si>
    <t>Accounts payables</t>
  </si>
  <si>
    <r>
      <rPr>
        <b/>
        <sz val="9.5"/>
        <color theme="1"/>
        <rFont val="Calibri"/>
        <family val="2"/>
        <scheme val="minor"/>
      </rPr>
      <t>Formula =</t>
    </r>
    <r>
      <rPr>
        <sz val="9.5"/>
        <color theme="1"/>
        <rFont val="Calibri"/>
        <family val="2"/>
        <scheme val="minor"/>
      </rPr>
      <t xml:space="preserve"> total non-salary costs * ( DPO / 365 )</t>
    </r>
  </si>
  <si>
    <t>DPO (based on FY21-FY24 average for Dallah Taibah - oldest operating business)</t>
  </si>
  <si>
    <t>PPE (including CWIP)</t>
  </si>
  <si>
    <t>Additions (capex)</t>
  </si>
  <si>
    <t>Disposals</t>
  </si>
  <si>
    <t>Depreciation rates</t>
  </si>
  <si>
    <t>Vehicles</t>
  </si>
  <si>
    <t>Audited financial statements</t>
  </si>
  <si>
    <t>Furniture &amp; Fixtures</t>
  </si>
  <si>
    <t>Building &amp; Leasehold Improvements</t>
  </si>
  <si>
    <t>Equipments</t>
  </si>
  <si>
    <t>Office Equipments</t>
  </si>
  <si>
    <r>
      <rPr>
        <b/>
        <sz val="9.5"/>
        <color theme="1"/>
        <rFont val="Calibri"/>
        <family val="2"/>
        <scheme val="minor"/>
      </rPr>
      <t>Formula =</t>
    </r>
    <r>
      <rPr>
        <sz val="9.5"/>
        <color theme="1"/>
        <rFont val="Calibri"/>
        <family val="2"/>
        <scheme val="minor"/>
      </rPr>
      <t xml:space="preserve"> closing PPE cost * capex rates (see below)</t>
    </r>
  </si>
  <si>
    <t>Capex rates</t>
  </si>
  <si>
    <t>Capex (SAR)</t>
  </si>
  <si>
    <t>Total capex</t>
  </si>
  <si>
    <t>No disposals assumed</t>
  </si>
  <si>
    <t>Assumed that the full balance gets transferred to PPE in FY26</t>
  </si>
  <si>
    <t>Advised by Management in meeting on 20.03.24</t>
  </si>
  <si>
    <t>Due to / from related parties</t>
  </si>
  <si>
    <t>Due to related parties</t>
  </si>
  <si>
    <t>Assumed not to be repaid / unwound over the forecast period</t>
  </si>
  <si>
    <t>Long term debt</t>
  </si>
  <si>
    <t>Note: principal &amp; interest assumed to be paid in cash for the purposes of determining cash shortfall</t>
  </si>
  <si>
    <t>Principal</t>
  </si>
  <si>
    <t>Interest</t>
  </si>
  <si>
    <t>Principal repayment schedule (based on the latest term sheet from SNB)</t>
  </si>
  <si>
    <t>SNB Indicative Term Sheet (adjusted to reflect missed historical payments)</t>
  </si>
  <si>
    <t>Balance sheet schedule</t>
  </si>
  <si>
    <t>Opening (based on the adjusted debt amount)</t>
  </si>
  <si>
    <t>Repayments</t>
  </si>
  <si>
    <t>Closing</t>
  </si>
  <si>
    <t>SAIBOR + 3% (based on the latest term sheet from SNB)</t>
  </si>
  <si>
    <t>SNB Indicative Term Sheet</t>
  </si>
  <si>
    <t>CASH FLOW</t>
  </si>
  <si>
    <r>
      <rPr>
        <b/>
        <u/>
        <sz val="9.5"/>
        <color theme="1"/>
        <rFont val="Calibri"/>
        <family val="2"/>
        <scheme val="minor"/>
      </rPr>
      <t>Overview</t>
    </r>
    <r>
      <rPr>
        <sz val="9.5"/>
        <color theme="1"/>
        <rFont val="Calibri"/>
        <family val="2"/>
        <scheme val="minor"/>
      </rPr>
      <t xml:space="preserve">
- An indirect cash flow driven from the P&amp;L and BS assumptions</t>
    </r>
  </si>
  <si>
    <t>Assumed zero dividend</t>
  </si>
  <si>
    <t>AR</t>
  </si>
  <si>
    <t>Non Salary Costs</t>
  </si>
  <si>
    <t>Prepaid Expenses</t>
  </si>
  <si>
    <t>AP</t>
  </si>
  <si>
    <t>Total Closing</t>
  </si>
  <si>
    <t>Total</t>
  </si>
  <si>
    <t>Closing Cost PPE</t>
  </si>
  <si>
    <t>Accumulated Depriciation</t>
  </si>
  <si>
    <t>PPE NBV</t>
  </si>
  <si>
    <t>Working Capital</t>
  </si>
  <si>
    <t>Change in WC</t>
  </si>
  <si>
    <t>EOSB Opeining</t>
  </si>
  <si>
    <t>Provison</t>
  </si>
  <si>
    <t>Paid</t>
  </si>
  <si>
    <t>EOSB Closing</t>
  </si>
  <si>
    <t>Retained Earnings</t>
  </si>
  <si>
    <t>Opening</t>
  </si>
  <si>
    <t>Net Profit / Loss</t>
  </si>
  <si>
    <t>Dividends</t>
  </si>
  <si>
    <t>Adjustments</t>
  </si>
  <si>
    <t>Charge for the Year</t>
  </si>
  <si>
    <t>Paid During the Year</t>
  </si>
  <si>
    <t>Additions</t>
  </si>
  <si>
    <t>Additions Minimum Cash</t>
  </si>
  <si>
    <t>Closing Balance</t>
  </si>
  <si>
    <t xml:space="preserve">Interest expense </t>
  </si>
  <si>
    <t>Total Interest Expense</t>
  </si>
  <si>
    <t>Interest Expense Loan</t>
  </si>
  <si>
    <t>Interest Expense Bank Overdraft</t>
  </si>
  <si>
    <t>Minimum Cash Calculation</t>
  </si>
  <si>
    <t>Opening Balance</t>
  </si>
  <si>
    <t>Cashflows from operations</t>
  </si>
  <si>
    <t>Cashflows from investing</t>
  </si>
  <si>
    <t>Cashflows from financing (exl. equity &amp; Bank Overdraft)</t>
  </si>
  <si>
    <t>Total Cash Available</t>
  </si>
  <si>
    <t>Minimum Cash Required</t>
  </si>
  <si>
    <t>Cash Deficit for Minimum Cash Balance</t>
  </si>
  <si>
    <t>Bank Overdraft Repayment</t>
  </si>
  <si>
    <t>x</t>
  </si>
  <si>
    <t>Unearned revenue</t>
  </si>
  <si>
    <t>Statutory reserve</t>
  </si>
  <si>
    <t>YES</t>
  </si>
  <si>
    <t>Phase 2</t>
  </si>
  <si>
    <t>Phase 3</t>
  </si>
  <si>
    <t>Terminal Year</t>
  </si>
  <si>
    <t>Terminal Value</t>
  </si>
  <si>
    <t>Flag</t>
  </si>
  <si>
    <t xml:space="preserve"> </t>
  </si>
  <si>
    <t>End of Sheet</t>
  </si>
  <si>
    <t>Net Income</t>
  </si>
  <si>
    <t>Land Occupied</t>
  </si>
  <si>
    <t>Phase 1</t>
  </si>
  <si>
    <t>Proceeds from sale</t>
  </si>
  <si>
    <t>sqm</t>
  </si>
  <si>
    <t>Capex</t>
  </si>
  <si>
    <t>Capex for Land Sale</t>
  </si>
  <si>
    <t>Gain / Loss</t>
  </si>
  <si>
    <t>Cash proceeds</t>
  </si>
  <si>
    <t>Land Value (Phase 2 &amp;3)</t>
  </si>
  <si>
    <t>Book Value (Assumes full land)</t>
  </si>
  <si>
    <t>Year Number</t>
  </si>
  <si>
    <t xml:space="preserve">Year </t>
  </si>
  <si>
    <t>Equity (Cash)</t>
  </si>
  <si>
    <t>Taxes Payable</t>
  </si>
  <si>
    <t>Cashflow Statement</t>
  </si>
  <si>
    <t>Less Changes in WC</t>
  </si>
  <si>
    <t>Opening Cash Balance</t>
  </si>
  <si>
    <t>Net Change In Cash</t>
  </si>
  <si>
    <t>Closing Cash Balance</t>
  </si>
  <si>
    <t xml:space="preserve">Opening </t>
  </si>
  <si>
    <t>Repayment</t>
  </si>
  <si>
    <t>Cash Flow from Operations</t>
  </si>
  <si>
    <t>Cash Available for Debt Repayment</t>
  </si>
  <si>
    <t>Cash Flow from Investments</t>
  </si>
  <si>
    <t>Cash Available</t>
  </si>
  <si>
    <t>Minimum Cash Requirement</t>
  </si>
  <si>
    <t>Dividend Payment</t>
  </si>
  <si>
    <t>Retail</t>
  </si>
  <si>
    <t>Retail operating expenses</t>
  </si>
  <si>
    <t>Retail Net Revenue</t>
  </si>
  <si>
    <t>Retail Revenue</t>
  </si>
  <si>
    <t>Residential operating expenses</t>
  </si>
  <si>
    <t>Residential Net Revenue</t>
  </si>
  <si>
    <t>Changes in WC</t>
  </si>
  <si>
    <t>Capex (Purchase of PPE)</t>
  </si>
  <si>
    <t>Capex Required</t>
  </si>
  <si>
    <t>Downside</t>
  </si>
  <si>
    <t>Base</t>
  </si>
  <si>
    <t>Upside</t>
  </si>
  <si>
    <t>Advance Received from Customers</t>
  </si>
  <si>
    <t>Retail Revenue Received</t>
  </si>
  <si>
    <t xml:space="preserve">Revenue Received from Sale </t>
  </si>
  <si>
    <t>Revenue Received from Sale</t>
  </si>
  <si>
    <t xml:space="preserve">Voco Hotel Dividends </t>
  </si>
  <si>
    <t>Strictly Confidential</t>
  </si>
  <si>
    <t>Valuation Model</t>
  </si>
  <si>
    <t>Table of Contents</t>
  </si>
  <si>
    <t>Project Maad</t>
  </si>
  <si>
    <t>Assumptions</t>
  </si>
  <si>
    <t>FS</t>
  </si>
  <si>
    <t>Payment % of Opening Balance</t>
  </si>
  <si>
    <r>
      <rPr>
        <b/>
        <u/>
        <sz val="9.5"/>
        <color theme="1"/>
        <rFont val="Calibri"/>
        <family val="2"/>
        <scheme val="minor"/>
      </rPr>
      <t>Overview</t>
    </r>
    <r>
      <rPr>
        <sz val="9.5"/>
        <color theme="1"/>
        <rFont val="Calibri"/>
        <family val="2"/>
        <scheme val="minor"/>
      </rPr>
      <t xml:space="preserve">
- FY25 P&amp;L is the approved operator budget
- FY26 - FY35 is primarily based upon the input assumptions from A&amp;M model</t>
    </r>
  </si>
  <si>
    <t>xx</t>
  </si>
  <si>
    <t>Don't delete</t>
  </si>
  <si>
    <t>Declared During the Year</t>
  </si>
  <si>
    <t>Dividend % of Net Income</t>
  </si>
  <si>
    <t>Addition</t>
  </si>
  <si>
    <t>Minimum Cash Equity Injection</t>
  </si>
  <si>
    <t>Cash Revolver</t>
  </si>
  <si>
    <t>Book Value (SR/sqm)</t>
  </si>
  <si>
    <t>Market Value (Phase 2 &amp; 3) (SR/sqm)</t>
  </si>
  <si>
    <t>Phase 2&amp;3 - Revenue on Cash Basis</t>
  </si>
  <si>
    <t>Phase 2&amp;3 - Revenue and CoS</t>
  </si>
  <si>
    <t>Value of Undeveloped Land (Phase 2 and 3)</t>
  </si>
  <si>
    <t>Minimum Cash Req.</t>
  </si>
  <si>
    <t>Equity (In-Kind)</t>
  </si>
  <si>
    <t>VOCO + Land Valuation (at Fund Inception)</t>
  </si>
  <si>
    <t>Fund AUM</t>
  </si>
  <si>
    <t>Total AUMs</t>
  </si>
  <si>
    <t>EBITDA (Phase 1,2,3 and Fund)</t>
  </si>
  <si>
    <t>Phase 2&amp;3 - Residential Cost of Sale</t>
  </si>
  <si>
    <t>Income Statement</t>
  </si>
  <si>
    <r>
      <rPr>
        <u/>
        <sz val="9.5"/>
        <color theme="1"/>
        <rFont val="Calibri"/>
        <family val="2"/>
        <scheme val="minor"/>
      </rPr>
      <t>Add back</t>
    </r>
    <r>
      <rPr>
        <sz val="9.5"/>
        <color theme="1"/>
        <rFont val="Calibri"/>
        <family val="2"/>
        <scheme val="minor"/>
      </rPr>
      <t>: Cost of Sale for (Phase 2 &amp; 3) - on accrual basis</t>
    </r>
  </si>
  <si>
    <t>Less Taxes paid</t>
  </si>
  <si>
    <t>Tax expense</t>
  </si>
  <si>
    <t>Interest expense</t>
  </si>
  <si>
    <t>Financial Statements</t>
  </si>
  <si>
    <t>Capex as per KPMG HBU</t>
  </si>
  <si>
    <t>Cashflow from Operations</t>
  </si>
  <si>
    <t>Cashflow from Investing</t>
  </si>
  <si>
    <t>Equity injection - cash</t>
  </si>
  <si>
    <t>Capex to Fund</t>
  </si>
  <si>
    <t>Source: KPMG HBU Report</t>
  </si>
  <si>
    <t>Less: Land Cost (Phase 2&amp;3)</t>
  </si>
  <si>
    <t>Was SR 1,680,000,000 in KPMG Valuation Report dated December 2023</t>
  </si>
  <si>
    <t>Source</t>
  </si>
  <si>
    <t>HBU</t>
  </si>
  <si>
    <t>Mgmt</t>
  </si>
  <si>
    <t>Cashflow From Operations</t>
  </si>
  <si>
    <t>Cashflow From Investing</t>
  </si>
  <si>
    <t>Cashflow From Financing</t>
  </si>
  <si>
    <t>A&amp;M</t>
  </si>
  <si>
    <t>Equity Cash Injection Requirment</t>
  </si>
  <si>
    <r>
      <t xml:space="preserve">Drawdown </t>
    </r>
    <r>
      <rPr>
        <i/>
        <sz val="9.5"/>
        <color theme="9" tint="-0.499984740745262"/>
        <rFont val="Calibri"/>
        <family val="2"/>
        <scheme val="minor"/>
      </rPr>
      <t>(covering 100% of Ph2&amp;3 development cost up to a limit)</t>
    </r>
    <r>
      <rPr>
        <sz val="9.5"/>
        <color theme="9" tint="-0.499984740745262"/>
        <rFont val="Calibri"/>
        <family val="2"/>
        <scheme val="minor"/>
      </rPr>
      <t xml:space="preserve">  </t>
    </r>
    <r>
      <rPr>
        <b/>
        <sz val="9.5"/>
        <color theme="9" tint="-0.499984740745262"/>
        <rFont val="Calibri"/>
        <family val="2"/>
        <scheme val="minor"/>
      </rPr>
      <t>-------&gt;</t>
    </r>
  </si>
  <si>
    <t>Required Equity Injection (in Cash)  -------&gt;</t>
  </si>
  <si>
    <t>Cash Sweep</t>
  </si>
  <si>
    <t>Cash Available for Debt and Dividend Payment</t>
  </si>
  <si>
    <t xml:space="preserve">Phase 2&amp;3 Dividends </t>
  </si>
  <si>
    <t>Cap Rate (on EBITDA) - implied</t>
  </si>
  <si>
    <t>Valuation of VOCO Hotel, as of Dec 2024</t>
  </si>
  <si>
    <r>
      <rPr>
        <b/>
        <u/>
        <sz val="9.5"/>
        <color theme="1"/>
        <rFont val="Calibri"/>
        <family val="2"/>
        <scheme val="minor"/>
      </rPr>
      <t>Overview</t>
    </r>
    <r>
      <rPr>
        <sz val="9.5"/>
        <color theme="1"/>
        <rFont val="Calibri"/>
        <family val="2"/>
        <scheme val="minor"/>
      </rPr>
      <t xml:space="preserve">
- 31 Dec'24 balance sheet taken as the starting position
- Adjustments made to reflect one-off transactions (see below)
- Assumptions applied to unwind / roll forward Dec'24 adjusted balance sheet</t>
    </r>
  </si>
  <si>
    <t xml:space="preserve">Rates % </t>
  </si>
  <si>
    <t>Cap Rate (on EBITDA), upon Exit</t>
  </si>
  <si>
    <t xml:space="preserve">VOCO Valuation </t>
  </si>
  <si>
    <t>Fund Assumptions &amp; KPMG Extract</t>
  </si>
  <si>
    <t>Phase 2&amp;3 - Residential Revenue (net of VAT, net of opex)</t>
  </si>
  <si>
    <r>
      <rPr>
        <u/>
        <sz val="9.5"/>
        <color theme="1"/>
        <rFont val="Calibri"/>
        <family val="2"/>
        <scheme val="minor"/>
      </rPr>
      <t>Remove</t>
    </r>
    <r>
      <rPr>
        <sz val="9.5"/>
        <color theme="1"/>
        <rFont val="Calibri"/>
        <family val="2"/>
        <scheme val="minor"/>
      </rPr>
      <t>: Residential Revenue for (Phase 2 &amp; 3) - on accrual basis</t>
    </r>
  </si>
  <si>
    <r>
      <rPr>
        <u/>
        <sz val="9.5"/>
        <color theme="1"/>
        <rFont val="Calibri"/>
        <family val="2"/>
        <scheme val="minor"/>
      </rPr>
      <t>Add</t>
    </r>
    <r>
      <rPr>
        <sz val="9.5"/>
        <color theme="1"/>
        <rFont val="Calibri"/>
        <family val="2"/>
        <scheme val="minor"/>
      </rPr>
      <t>: Residential Revenue and Advanced - received on cash basis as per KPMG report</t>
    </r>
  </si>
  <si>
    <t>Capex - Phase 2&amp;3 (without land / in-kind)</t>
  </si>
  <si>
    <t>Hospitality Operating Expenses</t>
  </si>
  <si>
    <t>Hospitality Net Revenue</t>
  </si>
  <si>
    <t>Hospitality Revenue Received</t>
  </si>
  <si>
    <t>This is based on Scenario 7 of the KPMG HBU (2025)</t>
  </si>
  <si>
    <t>Less: Capex (relatex to Hospitality)</t>
  </si>
  <si>
    <t>Capex to Fund (exclusing Hospitality)</t>
  </si>
  <si>
    <t xml:space="preserve">Phase 2&amp;3 - Hospitality EBITDA </t>
  </si>
  <si>
    <t>Phase 2&amp;3 - Retail EBITDA</t>
  </si>
  <si>
    <t>Capex - Voco Hotel</t>
  </si>
  <si>
    <t>Total Revenue Received in Cash</t>
  </si>
  <si>
    <t>Phase 1 - Key Outputs (from A&amp;M Study)</t>
  </si>
  <si>
    <t>Phase 2&amp;3 - EBITDA</t>
  </si>
  <si>
    <t>VOCO Hotel - EBITDA</t>
  </si>
  <si>
    <t>Phase 1 - Retail EBITDA</t>
  </si>
  <si>
    <r>
      <t xml:space="preserve">Debt for development </t>
    </r>
    <r>
      <rPr>
        <i/>
        <sz val="9.5"/>
        <color theme="1"/>
        <rFont val="Calibri"/>
        <family val="2"/>
        <scheme val="minor"/>
      </rPr>
      <t>(limit)</t>
    </r>
  </si>
  <si>
    <t>Live Case &gt;&gt;&gt;&gt;</t>
  </si>
  <si>
    <t>Fund Manager</t>
  </si>
  <si>
    <t>Income Statements</t>
  </si>
  <si>
    <t>Operations EBITDA from Phase 1 - Hotel</t>
  </si>
  <si>
    <t xml:space="preserve">Operations EBITDA from Phase 1 - Retail </t>
  </si>
  <si>
    <t>Operations EBITDA from Phases 2 and 3</t>
  </si>
  <si>
    <t>Fund EBITDA</t>
  </si>
  <si>
    <t>Zakat/Tax expense</t>
  </si>
  <si>
    <t>Fund Net Income</t>
  </si>
  <si>
    <t>Cashflow Statements</t>
  </si>
  <si>
    <t>Add back: Cost of Sale for (Phase 2 &amp; 3) - on accrual basis</t>
  </si>
  <si>
    <t>Less Taxes paid and changes in W/C</t>
  </si>
  <si>
    <t>Capex - Phases 2&amp;3 (excluding land)</t>
  </si>
  <si>
    <t>Loan Principal</t>
  </si>
  <si>
    <t>Loan Interest</t>
  </si>
  <si>
    <t>Terminal CF</t>
  </si>
  <si>
    <t>TV</t>
  </si>
  <si>
    <t>Voco Hotel</t>
  </si>
  <si>
    <t>5-Star Hotel</t>
  </si>
  <si>
    <t>Retail Component</t>
  </si>
  <si>
    <t>Total Terminal Value</t>
  </si>
  <si>
    <t>Potential "New Loan &amp; Dividend" Repayment Capacity</t>
  </si>
  <si>
    <t>Cash Available for Refinance/Initial Debt Repayment &amp; Dividend</t>
  </si>
  <si>
    <t>Calculated</t>
  </si>
  <si>
    <t>Hard Coded</t>
  </si>
  <si>
    <t>From a Built-in Macro</t>
  </si>
  <si>
    <t>Voco Sale %</t>
  </si>
  <si>
    <t>Terminal Value (VOCO)</t>
  </si>
  <si>
    <t>Sale Proceeds - Voco Hotel</t>
  </si>
  <si>
    <t>Voco Hotel - Sale Proceeds Dividend</t>
  </si>
  <si>
    <t>VOCO Actual EBITDA</t>
  </si>
  <si>
    <t>n/a</t>
  </si>
  <si>
    <t>VOCO Capex</t>
  </si>
  <si>
    <t>Interest  - Debt for Development</t>
  </si>
  <si>
    <t>Principal -  Debt for Development</t>
  </si>
  <si>
    <t>Principal - Repayment Debt for Development</t>
  </si>
  <si>
    <t>Equity Injection - Cash</t>
  </si>
  <si>
    <t>Debt for Development</t>
  </si>
  <si>
    <t>Finance Cost</t>
  </si>
  <si>
    <t>Principal - Drawdown Debt for Developmeny</t>
  </si>
  <si>
    <t>Principal - Debt for Development</t>
  </si>
  <si>
    <t>Principal - Repayment (Debt for Development)</t>
  </si>
  <si>
    <t>Totals</t>
  </si>
  <si>
    <t>Adjustments to revenue and cost of sales (accrual to cash)</t>
  </si>
  <si>
    <t>Add: Residential Revenue and Advances - received in cash</t>
  </si>
  <si>
    <t>Remove: Residential Revenue for (Phase 2&amp;3) - accrual basis</t>
  </si>
  <si>
    <t>Sale Proceeds - 5-Star Hotel and Retail</t>
  </si>
  <si>
    <t>Phase 2 &amp; 3</t>
  </si>
  <si>
    <t>Shareholding %</t>
  </si>
  <si>
    <t>DIH</t>
  </si>
  <si>
    <t>3rd Party</t>
  </si>
  <si>
    <t>%</t>
  </si>
  <si>
    <t>Phase 1 Retail EBITDA</t>
  </si>
  <si>
    <t>Phase 1 Retail EBITDA Growth Rate</t>
  </si>
  <si>
    <t>Total Development Cost (Without Land)</t>
  </si>
  <si>
    <t>Consolidated Fund</t>
  </si>
  <si>
    <t>Sale Proceeds - 5 Star Hotel, Retail &amp; VOCO Retail</t>
  </si>
  <si>
    <t>Revenue Sensitivity</t>
  </si>
  <si>
    <t>Phase 2&amp;3 - Revenue Sensitivity Analysis</t>
  </si>
  <si>
    <t>PPT</t>
  </si>
  <si>
    <r>
      <t xml:space="preserve">Residential </t>
    </r>
    <r>
      <rPr>
        <i/>
        <sz val="9.5"/>
        <color rgb="FF00B050"/>
        <rFont val="Calibri"/>
        <family val="2"/>
        <scheme val="minor"/>
      </rPr>
      <t>(net of VAT)</t>
    </r>
  </si>
  <si>
    <r>
      <t xml:space="preserve">Residential </t>
    </r>
    <r>
      <rPr>
        <b/>
        <sz val="9.5"/>
        <color rgb="FFC00000"/>
        <rFont val="Calibri"/>
        <family val="2"/>
        <scheme val="minor"/>
      </rPr>
      <t>(sensitized)</t>
    </r>
  </si>
  <si>
    <r>
      <t xml:space="preserve">Residential cost of sales </t>
    </r>
    <r>
      <rPr>
        <i/>
        <sz val="9.5"/>
        <color rgb="FF00B050"/>
        <rFont val="Calibri"/>
        <family val="2"/>
        <scheme val="minor"/>
      </rPr>
      <t>(net of VAT)</t>
    </r>
  </si>
  <si>
    <r>
      <t xml:space="preserve">Hospitality </t>
    </r>
    <r>
      <rPr>
        <i/>
        <sz val="9.5"/>
        <color rgb="FF00B050"/>
        <rFont val="Calibri"/>
        <family val="2"/>
        <scheme val="minor"/>
      </rPr>
      <t>(net of VAT)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</si>
</sst>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1" formatCode="_(* #,##0_);_(* \(#,##0\);_(* &quot;-&quot;_);_(@_)"/>
    <numFmt numFmtId="43" formatCode="_(* #,##0.00_);_(* \(#,##0.00\);_(* &quot;-&quot;??_);_(@_)"/>
    <numFmt numFmtId="164" formatCode="_-* #,##0.00_-;\-* #,##0.00_-;_-* &quot;-&quot;??_-;_-@_-"/>
    <numFmt numFmtId="165" formatCode="_(* #,##0.0_);_(* \(#,##0.0\);_(* &quot;-&quot;??_);_(@_)"/>
    <numFmt numFmtId="166" formatCode="_(* #,##0_);_(* \(#,##0\);_(* &quot;-&quot;??_);_(@_)"/>
    <numFmt numFmtId="167" formatCode="0.0%"/>
    <numFmt numFmtId="168" formatCode="#,##0_);\(#,##0\);&quot;-&quot;_);@_)"/>
    <numFmt numFmtId="169" formatCode="#,##0.0%\ ;\(#,##0.0%\);&quot; - &quot;\%\ ;_(@_)"/>
    <numFmt numFmtId="170" formatCode="#,##0.0_);\(#,##0.0\);&quot; - &quot;_);@_)"/>
    <numFmt numFmtId="171" formatCode="0.0\x"/>
    <numFmt numFmtId="172" formatCode="#,##0_);\(#,##0\);&quot;- &quot;"/>
    <numFmt numFmtId="173" formatCode="0.0"/>
    <numFmt numFmtId="174" formatCode="_-* #,##0_-;\-* #,##0_-;_-* &quot;-&quot;??_-;_-@_-"/>
    <numFmt numFmtId="175" formatCode="_-* #,##0.0_-;\-* #,##0.0_-;_-* &quot;-&quot;??_-;_-@_-"/>
    <numFmt numFmtId="176" formatCode="[$-409]d\-mmm\-yy;@"/>
    <numFmt numFmtId="177" formatCode="&quot;Year &quot;0"/>
    <numFmt numFmtId="178" formatCode="[$-409]dd\-mmm\-yy;@"/>
    <numFmt numFmtId="179" formatCode="_(#,##0_)_%;\(#,##0\)_%;_(&quot;–&quot;_)_%;_(@_)_%"/>
    <numFmt numFmtId="180" formatCode="&quot;Yes&quot;;&quot;ERROR&quot;;&quot;No&quot;;&quot;ERROR&quot;"/>
    <numFmt numFmtId="181" formatCode="0.000%"/>
    <numFmt numFmtId="182" formatCode="0.0000%"/>
  </numFmts>
  <fonts count="55">
    <font>
      <sz val="11"/>
      <color theme="1"/>
      <name val="Calibri"/>
      <family val="2"/>
      <scheme val="minor"/>
    </font>
    <font>
      <sz val="11"/>
      <color theme="1"/>
      <name val="Calibri"/>
      <family val="2"/>
      <scheme val="minor"/>
    </font>
    <font>
      <sz val="12"/>
      <color theme="1"/>
      <name val="Calibri"/>
      <family val="2"/>
      <scheme val="minor"/>
    </font>
    <font>
      <b/>
      <sz val="9.5"/>
      <color theme="0"/>
      <name val="Calibri"/>
      <family val="2"/>
      <scheme val="minor"/>
    </font>
    <font>
      <sz val="9.5"/>
      <color theme="1"/>
      <name val="Calibri"/>
      <family val="2"/>
      <scheme val="minor"/>
    </font>
    <font>
      <i/>
      <sz val="9.5"/>
      <color theme="0"/>
      <name val="Calibri"/>
      <family val="2"/>
      <scheme val="minor"/>
    </font>
    <font>
      <b/>
      <i/>
      <sz val="9.5"/>
      <color theme="1"/>
      <name val="Calibri"/>
      <family val="2"/>
      <scheme val="minor"/>
    </font>
    <font>
      <sz val="9.5"/>
      <name val="Calibri"/>
      <family val="2"/>
      <scheme val="minor"/>
    </font>
    <font>
      <b/>
      <sz val="9.5"/>
      <color rgb="FF000000"/>
      <name val="Calibri"/>
      <family val="2"/>
      <scheme val="minor"/>
    </font>
    <font>
      <b/>
      <sz val="9.5"/>
      <name val="Calibri"/>
      <family val="2"/>
      <scheme val="minor"/>
    </font>
    <font>
      <sz val="9.5"/>
      <color rgb="FFFF0000"/>
      <name val="Calibri"/>
      <family val="2"/>
      <scheme val="minor"/>
    </font>
    <font>
      <i/>
      <sz val="9.5"/>
      <color theme="1"/>
      <name val="Calibri"/>
      <family val="2"/>
      <scheme val="minor"/>
    </font>
    <font>
      <b/>
      <sz val="9.5"/>
      <color theme="1"/>
      <name val="Calibri"/>
      <family val="2"/>
      <scheme val="minor"/>
    </font>
    <font>
      <sz val="9.5"/>
      <color rgb="FF646464"/>
      <name val="Calibri"/>
      <family val="2"/>
      <scheme val="minor"/>
    </font>
    <font>
      <b/>
      <u/>
      <sz val="9.5"/>
      <color theme="1"/>
      <name val="Calibri"/>
      <family val="2"/>
      <scheme val="minor"/>
    </font>
    <font>
      <sz val="9.5"/>
      <color rgb="FF3F3F76"/>
      <name val="Calibri"/>
      <family val="2"/>
      <scheme val="minor"/>
    </font>
    <font>
      <b/>
      <sz val="10"/>
      <color rgb="FF3F3F3F"/>
      <name val="Arial (body)"/>
      <family val="2"/>
    </font>
    <font>
      <b/>
      <sz val="9.5"/>
      <color rgb="FF3F3F3F"/>
      <name val="Calibri"/>
      <family val="2"/>
      <scheme val="minor"/>
    </font>
    <font>
      <b/>
      <i/>
      <sz val="9.5"/>
      <color theme="0"/>
      <name val="Calibri"/>
      <family val="2"/>
      <scheme val="minor"/>
    </font>
    <font>
      <sz val="9.5"/>
      <color rgb="FF3F3F3F"/>
      <name val="Calibri"/>
      <family val="2"/>
      <scheme val="minor"/>
    </font>
    <font>
      <i/>
      <sz val="9.5"/>
      <color rgb="FF3F3F3F"/>
      <name val="Calibri"/>
      <family val="2"/>
      <scheme val="minor"/>
    </font>
    <font>
      <sz val="9.5"/>
      <color theme="0"/>
      <name val="Calibri"/>
      <family val="2"/>
      <scheme val="minor"/>
    </font>
    <font>
      <b/>
      <sz val="11"/>
      <color theme="1"/>
      <name val="Calibri"/>
      <family val="2"/>
      <scheme val="minor"/>
    </font>
    <font>
      <sz val="11"/>
      <color theme="1"/>
      <name val="Calibri"/>
      <family val="2"/>
    </font>
    <font>
      <sz val="10"/>
      <color theme="1"/>
      <name val="Calibri"/>
      <family val="2"/>
    </font>
    <font>
      <u/>
      <sz val="11"/>
      <color theme="10"/>
      <name val="Calibri"/>
      <family val="2"/>
      <scheme val="minor"/>
    </font>
    <font>
      <sz val="10"/>
      <color theme="1"/>
      <name val="Calibri"/>
      <family val="2"/>
      <scheme val="minor"/>
    </font>
    <font>
      <u/>
      <sz val="12"/>
      <color theme="10"/>
      <name val="Calibri"/>
      <family val="2"/>
      <scheme val="minor"/>
    </font>
    <font>
      <u/>
      <sz val="10"/>
      <color theme="10"/>
      <name val="Arial"/>
      <family val="2"/>
    </font>
    <font>
      <b/>
      <sz val="9.5"/>
      <color rgb="FF132E57"/>
      <name val="Calibri"/>
      <family val="2"/>
      <scheme val="minor"/>
    </font>
    <font>
      <sz val="9.5"/>
      <color rgb="FF000000"/>
      <name val="Calibri"/>
      <family val="2"/>
      <scheme val="minor"/>
    </font>
    <font>
      <b/>
      <sz val="9.5"/>
      <color rgb="FF0000FF"/>
      <name val="Calibri"/>
      <family val="2"/>
      <scheme val="minor"/>
    </font>
    <font>
      <sz val="9.5"/>
      <color rgb="FF0000FF"/>
      <name val="Calibri"/>
      <family val="2"/>
      <scheme val="minor"/>
    </font>
    <font>
      <sz val="9.5"/>
      <color rgb="FF00B050"/>
      <name val="Calibri"/>
      <family val="2"/>
      <scheme val="minor"/>
    </font>
    <font>
      <b/>
      <sz val="9.5"/>
      <color rgb="FFFF0000"/>
      <name val="Calibri"/>
      <family val="2"/>
      <scheme val="minor"/>
    </font>
    <font>
      <i/>
      <sz val="9.5"/>
      <color rgb="FF0000FF"/>
      <name val="Calibri"/>
      <family val="2"/>
      <scheme val="minor"/>
    </font>
    <font>
      <b/>
      <sz val="12.5"/>
      <color rgb="FF37416A"/>
      <name val="Calibri"/>
      <family val="2"/>
      <scheme val="minor"/>
    </font>
    <font>
      <u/>
      <sz val="9.5"/>
      <color theme="1"/>
      <name val="Calibri"/>
      <family val="2"/>
      <scheme val="minor"/>
    </font>
    <font>
      <sz val="9.5"/>
      <color theme="9" tint="-0.499984740745262"/>
      <name val="Calibri"/>
      <family val="2"/>
      <scheme val="minor"/>
    </font>
    <font>
      <i/>
      <sz val="9.5"/>
      <color theme="9" tint="-0.499984740745262"/>
      <name val="Calibri"/>
      <family val="2"/>
      <scheme val="minor"/>
    </font>
    <font>
      <b/>
      <sz val="9.5"/>
      <color theme="9" tint="-0.499984740745262"/>
      <name val="Calibri"/>
      <family val="2"/>
      <scheme val="minor"/>
    </font>
    <font>
      <sz val="9"/>
      <color indexed="81"/>
      <name val="Tahoma"/>
      <family val="2"/>
    </font>
    <font>
      <b/>
      <sz val="9"/>
      <color indexed="81"/>
      <name val="Tahoma"/>
      <family val="2"/>
    </font>
    <font>
      <b/>
      <sz val="10"/>
      <color rgb="FFFFFFFF"/>
      <name val="Calibri"/>
      <family val="2"/>
    </font>
    <font>
      <sz val="10"/>
      <color rgb="FF000000"/>
      <name val="Calibri"/>
      <family val="2"/>
    </font>
    <font>
      <b/>
      <sz val="10"/>
      <color rgb="FF000000"/>
      <name val="Calibri"/>
      <family val="2"/>
    </font>
    <font>
      <b/>
      <sz val="10"/>
      <color rgb="FF000000"/>
      <name val="Calibri"/>
      <family val="2"/>
    </font>
    <font>
      <sz val="10"/>
      <color rgb="FF000000"/>
      <name val="Calibri"/>
      <family val="2"/>
    </font>
    <font>
      <b/>
      <sz val="10"/>
      <color rgb="FFFFFFFF"/>
      <name val="Calibri"/>
      <family val="2"/>
    </font>
    <font>
      <b/>
      <i/>
      <sz val="9.5"/>
      <color rgb="FFFF0000"/>
      <name val="Calibri"/>
      <family val="2"/>
      <scheme val="minor"/>
    </font>
    <font>
      <b/>
      <sz val="9.5"/>
      <color rgb="FFC00000"/>
      <name val="Calibri"/>
      <family val="2"/>
      <scheme val="minor"/>
    </font>
    <font>
      <i/>
      <sz val="9.5"/>
      <color rgb="FF00B050"/>
      <name val="Calibri"/>
      <family val="2"/>
      <scheme val="minor"/>
    </font>
    <font>
      <sz val="9.5"/>
      <color rgb="FFC00000"/>
      <name val="Calibri"/>
      <family val="2"/>
      <scheme val="minor"/>
    </font>
    <font>
      <b/>
      <u/>
      <sz val="9.5"/>
      <name val="Calibri"/>
      <family val="2"/>
      <scheme val="minor"/>
    </font>
    <font>
      <u/>
      <sz val="9.5"/>
      <color theme="10"/>
      <name val="Calibri"/>
      <family val="2"/>
      <scheme val="minor"/>
    </font>
  </fonts>
  <fills count="30">
    <fill>
      <patternFill patternType="none"/>
    </fill>
    <fill>
      <patternFill patternType="gray125"/>
    </fill>
    <fill>
      <patternFill patternType="solid">
        <fgColor rgb="FFFFCC99"/>
      </patternFill>
    </fill>
    <fill>
      <patternFill patternType="solid">
        <fgColor rgb="FFF2F2F2"/>
      </patternFill>
    </fill>
    <fill>
      <patternFill patternType="solid">
        <fgColor rgb="FF37416A"/>
        <bgColor indexed="64"/>
      </patternFill>
    </fill>
    <fill>
      <patternFill patternType="solid">
        <fgColor theme="9"/>
        <bgColor indexed="64"/>
      </patternFill>
    </fill>
    <fill>
      <patternFill patternType="solid">
        <fgColor theme="4"/>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DCE6F2"/>
        <bgColor indexed="64"/>
      </patternFill>
    </fill>
    <fill>
      <patternFill patternType="solid">
        <fgColor theme="3" tint="0.89999084444715716"/>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3366"/>
        <bgColor rgb="FF000000"/>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rgb="FF002060"/>
        <bgColor indexed="64"/>
      </patternFill>
    </fill>
    <fill>
      <patternFill patternType="solid">
        <fgColor theme="4" tint="-0.499984740745262"/>
        <bgColor indexed="64"/>
      </patternFill>
    </fill>
    <fill>
      <patternFill patternType="solid">
        <fgColor rgb="FFF2F2F2"/>
        <bgColor indexed="64"/>
      </patternFill>
    </fill>
    <fill>
      <patternFill patternType="solid">
        <fgColor theme="1"/>
        <bgColor indexed="64"/>
      </patternFill>
    </fill>
    <fill>
      <patternFill patternType="solid">
        <fgColor theme="4" tint="-0.249977111117893"/>
        <bgColor indexed="64"/>
      </patternFill>
    </fill>
    <fill>
      <patternFill patternType="solid">
        <fgColor theme="9" tint="-0.499984740745262"/>
        <bgColor indexed="64"/>
      </patternFill>
    </fill>
    <fill>
      <patternFill patternType="solid">
        <fgColor theme="6" tint="0.79998168889431442"/>
        <bgColor indexed="64"/>
      </patternFill>
    </fill>
    <fill>
      <patternFill patternType="solid">
        <fgColor rgb="FF262D5C"/>
        <bgColor indexed="64"/>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bottom/>
      <diagonal/>
    </border>
    <border>
      <left style="medium">
        <color theme="0"/>
      </left>
      <right/>
      <top style="thin">
        <color rgb="FF5E8AB4"/>
      </top>
      <bottom style="medium">
        <color rgb="FF5E8AB4"/>
      </bottom>
      <diagonal/>
    </border>
    <border>
      <left/>
      <right style="medium">
        <color theme="0"/>
      </right>
      <top style="thin">
        <color rgb="FF5E8AB4"/>
      </top>
      <bottom style="medium">
        <color rgb="FF5E8AB4"/>
      </bottom>
      <diagonal/>
    </border>
    <border>
      <left style="medium">
        <color theme="0"/>
      </left>
      <right style="medium">
        <color theme="0"/>
      </right>
      <top style="thin">
        <color rgb="FF5E8AB4"/>
      </top>
      <bottom style="medium">
        <color rgb="FF5E8AB4"/>
      </bottom>
      <diagonal/>
    </border>
    <border>
      <left/>
      <right/>
      <top style="thin">
        <color rgb="FF5E8AB4"/>
      </top>
      <bottom style="medium">
        <color rgb="FF5E8AB4"/>
      </bottom>
      <diagonal/>
    </border>
    <border>
      <left style="medium">
        <color theme="0"/>
      </left>
      <right style="medium">
        <color theme="0"/>
      </right>
      <top style="thin">
        <color rgb="FF5E8AB4"/>
      </top>
      <bottom/>
      <diagonal/>
    </border>
    <border>
      <left/>
      <right style="medium">
        <color theme="0"/>
      </right>
      <top/>
      <bottom/>
      <diagonal/>
    </border>
    <border>
      <left/>
      <right/>
      <top style="thin">
        <color indexed="64"/>
      </top>
      <bottom/>
      <diagonal/>
    </border>
    <border>
      <left style="dotted">
        <color auto="1"/>
      </left>
      <right style="dotted">
        <color auto="1"/>
      </right>
      <top style="dotted">
        <color auto="1"/>
      </top>
      <bottom style="dotted">
        <color auto="1"/>
      </bottom>
      <diagonal/>
    </border>
    <border>
      <left/>
      <right style="dashed">
        <color auto="1"/>
      </right>
      <top style="dashed">
        <color auto="1"/>
      </top>
      <bottom style="dashed">
        <color auto="1"/>
      </bottom>
      <diagonal/>
    </border>
    <border>
      <left/>
      <right/>
      <top/>
      <bottom style="thin">
        <color indexed="64"/>
      </bottom>
      <diagonal/>
    </border>
    <border>
      <left/>
      <right/>
      <top style="thin">
        <color indexed="64"/>
      </top>
      <bottom style="thin">
        <color indexed="64"/>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thin">
        <color indexed="64"/>
      </left>
      <right/>
      <top style="thin">
        <color indexed="64"/>
      </top>
      <bottom style="thin">
        <color indexed="64"/>
      </bottom>
      <diagonal/>
    </border>
    <border>
      <left style="thick">
        <color rgb="FF37416A"/>
      </left>
      <right/>
      <top style="thick">
        <color rgb="FF37416A"/>
      </top>
      <bottom/>
      <diagonal/>
    </border>
    <border>
      <left/>
      <right/>
      <top style="thick">
        <color rgb="FF37416A"/>
      </top>
      <bottom/>
      <diagonal/>
    </border>
    <border>
      <left/>
      <right style="thick">
        <color rgb="FF37416A"/>
      </right>
      <top style="thick">
        <color rgb="FF37416A"/>
      </top>
      <bottom/>
      <diagonal/>
    </border>
    <border>
      <left style="thick">
        <color rgb="FF37416A"/>
      </left>
      <right/>
      <top/>
      <bottom/>
      <diagonal/>
    </border>
    <border>
      <left/>
      <right style="thick">
        <color rgb="FF37416A"/>
      </right>
      <top/>
      <bottom/>
      <diagonal/>
    </border>
    <border>
      <left style="thick">
        <color rgb="FF37416A"/>
      </left>
      <right/>
      <top/>
      <bottom style="thick">
        <color rgb="FF37416A"/>
      </bottom>
      <diagonal/>
    </border>
    <border>
      <left/>
      <right/>
      <top/>
      <bottom style="thick">
        <color rgb="FF37416A"/>
      </bottom>
      <diagonal/>
    </border>
    <border>
      <left/>
      <right style="thick">
        <color rgb="FF37416A"/>
      </right>
      <top/>
      <bottom style="thick">
        <color rgb="FF37416A"/>
      </bottom>
      <diagonal/>
    </border>
    <border>
      <left/>
      <right/>
      <top style="thin">
        <color rgb="FF3F3F3F"/>
      </top>
      <bottom/>
      <diagonal/>
    </border>
    <border>
      <left/>
      <right/>
      <top style="thin">
        <color indexed="64"/>
      </top>
      <bottom style="medium">
        <color indexed="64"/>
      </bottom>
      <diagonal/>
    </border>
  </borders>
  <cellStyleXfs count="32">
    <xf numFmtId="0" fontId="0" fillId="0" borderId="0"/>
    <xf numFmtId="43" fontId="1" fillId="0" borderId="0" applyFont="0" applyFill="0" applyBorder="0" applyAlignment="0" applyProtection="0"/>
    <xf numFmtId="0" fontId="2" fillId="0" borderId="0"/>
    <xf numFmtId="9" fontId="2" fillId="0" borderId="0" applyFont="0" applyFill="0" applyBorder="0" applyAlignment="0" applyProtection="0"/>
    <xf numFmtId="164" fontId="1" fillId="0" borderId="0" applyFont="0" applyFill="0" applyBorder="0" applyAlignment="0" applyProtection="0"/>
    <xf numFmtId="0" fontId="1" fillId="0" borderId="0"/>
    <xf numFmtId="41" fontId="2" fillId="0" borderId="0" applyFont="0" applyFill="0" applyBorder="0" applyAlignment="0" applyProtection="0"/>
    <xf numFmtId="0" fontId="16" fillId="3" borderId="2" applyNumberFormat="0" applyAlignment="0" applyProtection="0"/>
    <xf numFmtId="43" fontId="23" fillId="0" borderId="0" applyFont="0" applyFill="0" applyBorder="0" applyAlignment="0" applyProtection="0"/>
    <xf numFmtId="0" fontId="24" fillId="0" borderId="0"/>
    <xf numFmtId="164" fontId="24" fillId="0" borderId="0" applyFont="0" applyFill="0" applyBorder="0" applyAlignment="0" applyProtection="0"/>
    <xf numFmtId="9" fontId="24" fillId="0" borderId="0" applyFont="0" applyFill="0" applyBorder="0" applyAlignment="0" applyProtection="0"/>
    <xf numFmtId="164" fontId="1" fillId="0" borderId="0" applyFont="0" applyFill="0" applyBorder="0" applyAlignment="0" applyProtection="0"/>
    <xf numFmtId="0" fontId="1" fillId="0" borderId="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26" fillId="0" borderId="0"/>
    <xf numFmtId="43" fontId="26" fillId="0" borderId="0" applyFont="0" applyFill="0" applyBorder="0" applyAlignment="0" applyProtection="0"/>
    <xf numFmtId="9" fontId="26" fillId="0" borderId="0" applyFont="0" applyFill="0" applyBorder="0" applyAlignment="0" applyProtection="0"/>
    <xf numFmtId="43" fontId="1" fillId="0" borderId="0" applyFont="0" applyFill="0" applyBorder="0" applyAlignment="0" applyProtection="0"/>
    <xf numFmtId="0" fontId="25" fillId="0" borderId="0" applyNumberForma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0" fontId="25"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cellStyleXfs>
  <cellXfs count="348">
    <xf numFmtId="0" fontId="0" fillId="0" borderId="0" xfId="0"/>
    <xf numFmtId="0" fontId="3" fillId="4" borderId="0" xfId="2" applyFont="1" applyFill="1"/>
    <xf numFmtId="0" fontId="4" fillId="0" borderId="0" xfId="2" applyFont="1"/>
    <xf numFmtId="0" fontId="6" fillId="0" borderId="0" xfId="2" applyFont="1"/>
    <xf numFmtId="9" fontId="4" fillId="0" borderId="0" xfId="3" applyFont="1"/>
    <xf numFmtId="0" fontId="3" fillId="6" borderId="3" xfId="2" applyFont="1" applyFill="1" applyBorder="1" applyAlignment="1">
      <alignment horizontal="left" vertical="center"/>
    </xf>
    <xf numFmtId="0" fontId="3" fillId="5" borderId="3" xfId="2" applyFont="1" applyFill="1" applyBorder="1" applyAlignment="1">
      <alignment horizontal="right" vertical="center"/>
    </xf>
    <xf numFmtId="0" fontId="3" fillId="6" borderId="3" xfId="2" applyFont="1" applyFill="1" applyBorder="1" applyAlignment="1">
      <alignment horizontal="right" vertical="center"/>
    </xf>
    <xf numFmtId="165" fontId="7" fillId="0" borderId="3" xfId="4" applyNumberFormat="1" applyFont="1" applyBorder="1"/>
    <xf numFmtId="9" fontId="7" fillId="8" borderId="3" xfId="3" applyFont="1" applyFill="1" applyBorder="1"/>
    <xf numFmtId="9" fontId="7" fillId="8" borderId="0" xfId="3" applyFont="1" applyFill="1" applyBorder="1"/>
    <xf numFmtId="9" fontId="7" fillId="0" borderId="3" xfId="3" applyFont="1" applyBorder="1"/>
    <xf numFmtId="9" fontId="7" fillId="0" borderId="0" xfId="3" applyFont="1" applyBorder="1"/>
    <xf numFmtId="0" fontId="8" fillId="0" borderId="0" xfId="2" applyFont="1" applyAlignment="1">
      <alignment horizontal="left"/>
    </xf>
    <xf numFmtId="165" fontId="9" fillId="0" borderId="5" xfId="4" applyNumberFormat="1" applyFont="1" applyBorder="1" applyAlignment="1">
      <alignment horizontal="right"/>
    </xf>
    <xf numFmtId="165" fontId="9" fillId="0" borderId="5" xfId="4" applyNumberFormat="1" applyFont="1" applyFill="1" applyBorder="1" applyAlignment="1">
      <alignment horizontal="right"/>
    </xf>
    <xf numFmtId="165" fontId="7" fillId="0" borderId="3" xfId="4" applyNumberFormat="1" applyFont="1" applyFill="1" applyBorder="1"/>
    <xf numFmtId="165" fontId="9" fillId="0" borderId="6" xfId="4" applyNumberFormat="1" applyFont="1" applyFill="1" applyBorder="1" applyAlignment="1">
      <alignment horizontal="right"/>
    </xf>
    <xf numFmtId="166" fontId="4" fillId="0" borderId="0" xfId="2" applyNumberFormat="1" applyFont="1"/>
    <xf numFmtId="167" fontId="4" fillId="0" borderId="0" xfId="3" applyNumberFormat="1" applyFont="1"/>
    <xf numFmtId="0" fontId="8" fillId="9" borderId="0" xfId="2" applyFont="1" applyFill="1" applyAlignment="1">
      <alignment horizontal="left"/>
    </xf>
    <xf numFmtId="165" fontId="9" fillId="9" borderId="6" xfId="4" applyNumberFormat="1" applyFont="1" applyFill="1" applyBorder="1" applyAlignment="1">
      <alignment horizontal="right"/>
    </xf>
    <xf numFmtId="166" fontId="10" fillId="0" borderId="0" xfId="4" applyNumberFormat="1" applyFont="1"/>
    <xf numFmtId="166" fontId="7" fillId="0" borderId="0" xfId="4" applyNumberFormat="1" applyFont="1"/>
    <xf numFmtId="168" fontId="4" fillId="0" borderId="0" xfId="4" applyNumberFormat="1" applyFont="1"/>
    <xf numFmtId="0" fontId="4" fillId="8" borderId="0" xfId="2" applyFont="1" applyFill="1"/>
    <xf numFmtId="9" fontId="4" fillId="8" borderId="0" xfId="3" applyFont="1" applyFill="1"/>
    <xf numFmtId="165" fontId="4" fillId="0" borderId="0" xfId="2" applyNumberFormat="1" applyFont="1"/>
    <xf numFmtId="0" fontId="8" fillId="0" borderId="7" xfId="2" applyFont="1" applyBorder="1" applyAlignment="1">
      <alignment horizontal="left"/>
    </xf>
    <xf numFmtId="0" fontId="8" fillId="9" borderId="7" xfId="2" applyFont="1" applyFill="1" applyBorder="1" applyAlignment="1">
      <alignment horizontal="left"/>
    </xf>
    <xf numFmtId="0" fontId="11" fillId="0" borderId="0" xfId="2" applyFont="1"/>
    <xf numFmtId="166" fontId="4" fillId="0" borderId="0" xfId="4" applyNumberFormat="1" applyFont="1"/>
    <xf numFmtId="168" fontId="4" fillId="0" borderId="0" xfId="4" applyNumberFormat="1" applyFont="1" applyFill="1"/>
    <xf numFmtId="165" fontId="9" fillId="0" borderId="8" xfId="4" applyNumberFormat="1" applyFont="1" applyFill="1" applyBorder="1" applyAlignment="1">
      <alignment horizontal="right"/>
    </xf>
    <xf numFmtId="0" fontId="12" fillId="0" borderId="0" xfId="2" applyFont="1"/>
    <xf numFmtId="166" fontId="12" fillId="0" borderId="0" xfId="4" applyNumberFormat="1" applyFont="1" applyBorder="1"/>
    <xf numFmtId="166" fontId="11" fillId="0" borderId="0" xfId="4" applyNumberFormat="1" applyFont="1"/>
    <xf numFmtId="41" fontId="4" fillId="0" borderId="0" xfId="6" applyFont="1"/>
    <xf numFmtId="172" fontId="13" fillId="0" borderId="0" xfId="2" applyNumberFormat="1" applyFont="1" applyAlignment="1">
      <alignment horizontal="left" vertical="center"/>
    </xf>
    <xf numFmtId="172" fontId="13" fillId="0" borderId="0" xfId="2" applyNumberFormat="1" applyFont="1" applyAlignment="1">
      <alignment horizontal="right" vertical="center"/>
    </xf>
    <xf numFmtId="0" fontId="4" fillId="0" borderId="0" xfId="2" applyFont="1" applyAlignment="1">
      <alignment vertical="center"/>
    </xf>
    <xf numFmtId="0" fontId="4" fillId="0" borderId="0" xfId="2" applyFont="1" applyAlignment="1">
      <alignment horizontal="center" vertical="center"/>
    </xf>
    <xf numFmtId="0" fontId="4" fillId="8" borderId="0" xfId="2" quotePrefix="1" applyFont="1" applyFill="1" applyAlignment="1">
      <alignment vertical="top" wrapText="1"/>
    </xf>
    <xf numFmtId="173" fontId="3" fillId="4" borderId="0" xfId="2" applyNumberFormat="1" applyFont="1" applyFill="1" applyAlignment="1">
      <alignment horizontal="center"/>
    </xf>
    <xf numFmtId="0" fontId="4" fillId="13" borderId="0" xfId="2" quotePrefix="1" applyFont="1" applyFill="1" applyAlignment="1">
      <alignment vertical="top" wrapText="1"/>
    </xf>
    <xf numFmtId="0" fontId="4" fillId="0" borderId="0" xfId="2" applyFont="1" applyAlignment="1">
      <alignment horizontal="left" indent="1"/>
    </xf>
    <xf numFmtId="0" fontId="11" fillId="12" borderId="0" xfId="2" applyFont="1" applyFill="1" applyAlignment="1">
      <alignment horizontal="left" vertical="center"/>
    </xf>
    <xf numFmtId="174" fontId="15" fillId="2" borderId="1" xfId="4" applyNumberFormat="1" applyFont="1" applyFill="1" applyBorder="1"/>
    <xf numFmtId="0" fontId="4" fillId="0" borderId="0" xfId="2" applyFont="1" applyAlignment="1">
      <alignment horizontal="left" vertical="center" indent="1"/>
    </xf>
    <xf numFmtId="0" fontId="11" fillId="0" borderId="0" xfId="2" applyFont="1" applyAlignment="1">
      <alignment vertical="center"/>
    </xf>
    <xf numFmtId="0" fontId="4" fillId="12" borderId="0" xfId="2" applyFont="1" applyFill="1" applyAlignment="1">
      <alignment horizontal="center"/>
    </xf>
    <xf numFmtId="0" fontId="12" fillId="0" borderId="0" xfId="2" applyFont="1" applyAlignment="1">
      <alignment horizontal="left" vertical="center" indent="1"/>
    </xf>
    <xf numFmtId="174" fontId="17" fillId="3" borderId="2" xfId="7" applyNumberFormat="1" applyFont="1" applyAlignment="1">
      <alignment vertical="center"/>
    </xf>
    <xf numFmtId="0" fontId="12" fillId="14" borderId="0" xfId="2" applyFont="1" applyFill="1" applyAlignment="1">
      <alignment horizontal="left" vertical="center" indent="1"/>
    </xf>
    <xf numFmtId="174" fontId="17" fillId="14" borderId="2" xfId="7" applyNumberFormat="1" applyFont="1" applyFill="1" applyAlignment="1">
      <alignment vertical="center"/>
    </xf>
    <xf numFmtId="0" fontId="11" fillId="0" borderId="0" xfId="2" applyFont="1" applyAlignment="1">
      <alignment horizontal="left" vertical="center" indent="2"/>
    </xf>
    <xf numFmtId="174" fontId="11" fillId="0" borderId="0" xfId="2" applyNumberFormat="1" applyFont="1" applyAlignment="1">
      <alignment vertical="center"/>
    </xf>
    <xf numFmtId="0" fontId="18" fillId="4" borderId="0" xfId="2" applyFont="1" applyFill="1"/>
    <xf numFmtId="0" fontId="11" fillId="0" borderId="0" xfId="2" applyFont="1" applyAlignment="1">
      <alignment horizontal="left" vertical="center" indent="1"/>
    </xf>
    <xf numFmtId="175" fontId="11" fillId="0" borderId="0" xfId="2" applyNumberFormat="1" applyFont="1" applyAlignment="1">
      <alignment vertical="center"/>
    </xf>
    <xf numFmtId="174" fontId="4" fillId="0" borderId="0" xfId="2" applyNumberFormat="1" applyFont="1" applyAlignment="1">
      <alignment vertical="center"/>
    </xf>
    <xf numFmtId="0" fontId="14" fillId="15" borderId="0" xfId="2" applyFont="1" applyFill="1" applyAlignment="1">
      <alignment horizontal="left" vertical="center" indent="1"/>
    </xf>
    <xf numFmtId="0" fontId="4" fillId="15" borderId="0" xfId="2" applyFont="1" applyFill="1" applyAlignment="1">
      <alignment horizontal="left" vertical="center" indent="2"/>
    </xf>
    <xf numFmtId="174" fontId="19" fillId="15" borderId="2" xfId="7" applyNumberFormat="1" applyFont="1" applyFill="1" applyAlignment="1">
      <alignment vertical="center"/>
    </xf>
    <xf numFmtId="166" fontId="19" fillId="15" borderId="2" xfId="7" applyNumberFormat="1" applyFont="1" applyFill="1" applyAlignment="1">
      <alignment vertical="center"/>
    </xf>
    <xf numFmtId="0" fontId="12" fillId="15" borderId="0" xfId="2" applyFont="1" applyFill="1" applyAlignment="1">
      <alignment horizontal="left" vertical="center" indent="2"/>
    </xf>
    <xf numFmtId="174" fontId="17" fillId="15" borderId="2" xfId="7" applyNumberFormat="1" applyFont="1" applyFill="1" applyAlignment="1">
      <alignment vertical="center"/>
    </xf>
    <xf numFmtId="0" fontId="14" fillId="0" borderId="0" xfId="2" applyFont="1" applyAlignment="1">
      <alignment horizontal="left" vertical="center" indent="1"/>
    </xf>
    <xf numFmtId="0" fontId="4" fillId="13" borderId="0" xfId="2" quotePrefix="1" applyFont="1" applyFill="1" applyAlignment="1">
      <alignment horizontal="left" vertical="top" wrapText="1" indent="1"/>
    </xf>
    <xf numFmtId="167" fontId="15" fillId="2" borderId="1" xfId="3" applyNumberFormat="1" applyFont="1" applyFill="1" applyBorder="1" applyAlignment="1">
      <alignment horizontal="right"/>
    </xf>
    <xf numFmtId="167" fontId="15" fillId="2" borderId="1" xfId="3" applyNumberFormat="1" applyFont="1" applyFill="1" applyBorder="1"/>
    <xf numFmtId="0" fontId="12" fillId="0" borderId="0" xfId="2" applyFont="1" applyAlignment="1">
      <alignment horizontal="left" indent="1"/>
    </xf>
    <xf numFmtId="0" fontId="11" fillId="15" borderId="0" xfId="2" applyFont="1" applyFill="1" applyAlignment="1">
      <alignment horizontal="left" vertical="center" indent="2"/>
    </xf>
    <xf numFmtId="9" fontId="20" fillId="15" borderId="2" xfId="3" applyFont="1" applyFill="1" applyBorder="1" applyAlignment="1">
      <alignment vertical="center"/>
    </xf>
    <xf numFmtId="175" fontId="15" fillId="2" borderId="1" xfId="4" applyNumberFormat="1" applyFont="1" applyFill="1" applyBorder="1" applyAlignment="1">
      <alignment horizontal="right"/>
    </xf>
    <xf numFmtId="167" fontId="20" fillId="15" borderId="2" xfId="3" applyNumberFormat="1" applyFont="1" applyFill="1" applyBorder="1" applyAlignment="1">
      <alignment vertical="center"/>
    </xf>
    <xf numFmtId="167" fontId="17" fillId="3" borderId="2" xfId="3" applyNumberFormat="1" applyFont="1" applyFill="1" applyBorder="1" applyAlignment="1">
      <alignment vertical="center"/>
    </xf>
    <xf numFmtId="166" fontId="17" fillId="3" borderId="2" xfId="7" applyNumberFormat="1" applyFont="1" applyAlignment="1">
      <alignment vertical="center"/>
    </xf>
    <xf numFmtId="166" fontId="17" fillId="14" borderId="2" xfId="7" applyNumberFormat="1" applyFont="1" applyFill="1" applyAlignment="1">
      <alignment vertical="center"/>
    </xf>
    <xf numFmtId="173" fontId="3" fillId="4" borderId="0" xfId="2" applyNumberFormat="1" applyFont="1" applyFill="1" applyAlignment="1">
      <alignment horizontal="left"/>
    </xf>
    <xf numFmtId="0" fontId="9" fillId="11" borderId="9" xfId="2" applyFont="1" applyFill="1" applyBorder="1" applyAlignment="1">
      <alignment horizontal="right" vertical="center"/>
    </xf>
    <xf numFmtId="0" fontId="7" fillId="11" borderId="9" xfId="2" applyFont="1" applyFill="1" applyBorder="1" applyAlignment="1">
      <alignment horizontal="right" vertical="center"/>
    </xf>
    <xf numFmtId="0" fontId="21" fillId="6" borderId="3" xfId="2" applyFont="1" applyFill="1" applyBorder="1" applyAlignment="1">
      <alignment horizontal="right" vertical="center"/>
    </xf>
    <xf numFmtId="0" fontId="21" fillId="5" borderId="3" xfId="2" applyFont="1" applyFill="1" applyBorder="1" applyAlignment="1">
      <alignment horizontal="right" vertical="center"/>
    </xf>
    <xf numFmtId="166" fontId="7" fillId="0" borderId="3" xfId="4" applyNumberFormat="1" applyFont="1" applyBorder="1"/>
    <xf numFmtId="166" fontId="7" fillId="7" borderId="3" xfId="4" applyNumberFormat="1" applyFont="1" applyFill="1" applyBorder="1"/>
    <xf numFmtId="0" fontId="8" fillId="0" borderId="7" xfId="2" applyFont="1" applyBorder="1"/>
    <xf numFmtId="166" fontId="9" fillId="13" borderId="6" xfId="4" applyNumberFormat="1" applyFont="1" applyFill="1" applyBorder="1" applyAlignment="1">
      <alignment horizontal="right"/>
    </xf>
    <xf numFmtId="166" fontId="9" fillId="0" borderId="6" xfId="4" applyNumberFormat="1" applyFont="1" applyFill="1" applyBorder="1" applyAlignment="1">
      <alignment horizontal="right"/>
    </xf>
    <xf numFmtId="166" fontId="9" fillId="7" borderId="6" xfId="4" applyNumberFormat="1" applyFont="1" applyFill="1" applyBorder="1" applyAlignment="1">
      <alignment horizontal="right"/>
    </xf>
    <xf numFmtId="0" fontId="8" fillId="9" borderId="7" xfId="2" applyFont="1" applyFill="1" applyBorder="1"/>
    <xf numFmtId="166" fontId="9" fillId="9" borderId="6" xfId="4" applyNumberFormat="1" applyFont="1" applyFill="1" applyBorder="1" applyAlignment="1">
      <alignment horizontal="right"/>
    </xf>
    <xf numFmtId="0" fontId="14" fillId="0" borderId="0" xfId="2" applyFont="1" applyAlignment="1">
      <alignment vertical="center"/>
    </xf>
    <xf numFmtId="0" fontId="10" fillId="0" borderId="0" xfId="2" applyFont="1" applyAlignment="1">
      <alignment vertical="center"/>
    </xf>
    <xf numFmtId="166" fontId="4" fillId="0" borderId="0" xfId="1" applyNumberFormat="1" applyFont="1" applyAlignment="1">
      <alignment vertical="center"/>
    </xf>
    <xf numFmtId="166" fontId="4" fillId="0" borderId="0" xfId="2" applyNumberFormat="1" applyFont="1" applyAlignment="1">
      <alignment vertical="center"/>
    </xf>
    <xf numFmtId="0" fontId="12" fillId="0" borderId="0" xfId="2" applyFont="1" applyAlignment="1">
      <alignment vertical="center"/>
    </xf>
    <xf numFmtId="43" fontId="4" fillId="0" borderId="0" xfId="2" applyNumberFormat="1" applyFont="1"/>
    <xf numFmtId="165" fontId="4" fillId="0" borderId="0" xfId="1" applyNumberFormat="1" applyFont="1"/>
    <xf numFmtId="166" fontId="17" fillId="3" borderId="2" xfId="1" applyNumberFormat="1" applyFont="1" applyFill="1" applyBorder="1" applyAlignment="1">
      <alignment vertical="center"/>
    </xf>
    <xf numFmtId="0" fontId="12" fillId="0" borderId="10" xfId="2" applyFont="1" applyBorder="1"/>
    <xf numFmtId="166" fontId="12" fillId="0" borderId="10" xfId="2" applyNumberFormat="1" applyFont="1" applyBorder="1"/>
    <xf numFmtId="0" fontId="12" fillId="0" borderId="10" xfId="2" applyFont="1" applyBorder="1" applyAlignment="1">
      <alignment vertical="center"/>
    </xf>
    <xf numFmtId="166" fontId="12" fillId="0" borderId="10" xfId="2" applyNumberFormat="1" applyFont="1" applyBorder="1" applyAlignment="1">
      <alignment vertical="center"/>
    </xf>
    <xf numFmtId="166" fontId="12" fillId="0" borderId="0" xfId="2" applyNumberFormat="1" applyFont="1"/>
    <xf numFmtId="166" fontId="17" fillId="24" borderId="2" xfId="7" applyNumberFormat="1" applyFont="1" applyFill="1" applyAlignment="1">
      <alignment vertical="center"/>
    </xf>
    <xf numFmtId="0" fontId="3" fillId="23" borderId="0" xfId="2" applyFont="1" applyFill="1"/>
    <xf numFmtId="0" fontId="5" fillId="23" borderId="0" xfId="2" applyFont="1" applyFill="1"/>
    <xf numFmtId="0" fontId="9" fillId="23" borderId="0" xfId="2" applyFont="1" applyFill="1" applyAlignment="1">
      <alignment horizontal="left" vertical="center" indent="1"/>
    </xf>
    <xf numFmtId="0" fontId="9" fillId="23" borderId="0" xfId="2" applyFont="1" applyFill="1" applyAlignment="1">
      <alignment horizontal="center" vertical="center"/>
    </xf>
    <xf numFmtId="0" fontId="4" fillId="23" borderId="0" xfId="2" applyFont="1" applyFill="1"/>
    <xf numFmtId="0" fontId="3" fillId="23" borderId="3" xfId="2" applyFont="1" applyFill="1" applyBorder="1" applyAlignment="1">
      <alignment horizontal="right"/>
    </xf>
    <xf numFmtId="0" fontId="3" fillId="23" borderId="0" xfId="2" applyFont="1" applyFill="1" applyAlignment="1">
      <alignment horizontal="left" vertical="center"/>
    </xf>
    <xf numFmtId="0" fontId="4" fillId="25" borderId="0" xfId="2" applyFont="1" applyFill="1"/>
    <xf numFmtId="0" fontId="5" fillId="25" borderId="0" xfId="2" applyFont="1" applyFill="1"/>
    <xf numFmtId="0" fontId="4" fillId="0" borderId="0" xfId="9" applyFont="1"/>
    <xf numFmtId="0" fontId="4" fillId="0" borderId="0" xfId="5" applyFont="1"/>
    <xf numFmtId="0" fontId="3" fillId="4" borderId="19" xfId="2" applyFont="1" applyFill="1" applyBorder="1"/>
    <xf numFmtId="0" fontId="3" fillId="4" borderId="20" xfId="2" applyFont="1" applyFill="1" applyBorder="1"/>
    <xf numFmtId="0" fontId="3" fillId="4" borderId="21" xfId="2" applyFont="1" applyFill="1" applyBorder="1"/>
    <xf numFmtId="0" fontId="3" fillId="4" borderId="22" xfId="2" applyFont="1" applyFill="1" applyBorder="1"/>
    <xf numFmtId="0" fontId="3" fillId="4" borderId="23" xfId="2" applyFont="1" applyFill="1" applyBorder="1"/>
    <xf numFmtId="0" fontId="4" fillId="0" borderId="22" xfId="5" applyFont="1" applyBorder="1"/>
    <xf numFmtId="0" fontId="4" fillId="0" borderId="23" xfId="5" applyFont="1" applyBorder="1"/>
    <xf numFmtId="0" fontId="29" fillId="0" borderId="0" xfId="5" applyFont="1" applyAlignment="1">
      <alignment horizontal="right"/>
    </xf>
    <xf numFmtId="0" fontId="12" fillId="0" borderId="0" xfId="5" applyFont="1"/>
    <xf numFmtId="0" fontId="4" fillId="0" borderId="0" xfId="5" applyFont="1" applyProtection="1">
      <protection locked="0"/>
    </xf>
    <xf numFmtId="0" fontId="29" fillId="0" borderId="0" xfId="5" applyFont="1" applyAlignment="1" applyProtection="1">
      <alignment horizontal="left"/>
      <protection locked="0"/>
    </xf>
    <xf numFmtId="0" fontId="4" fillId="0" borderId="0" xfId="5" applyFont="1" applyAlignment="1">
      <alignment horizontal="centerContinuous"/>
    </xf>
    <xf numFmtId="0" fontId="29" fillId="0" borderId="0" xfId="5" applyFont="1" applyAlignment="1" applyProtection="1">
      <alignment horizontal="centerContinuous"/>
      <protection locked="0"/>
    </xf>
    <xf numFmtId="179" fontId="30" fillId="0" borderId="0" xfId="31" applyNumberFormat="1" applyFont="1" applyFill="1" applyBorder="1" applyAlignment="1" applyProtection="1">
      <alignment horizontal="left"/>
      <protection locked="0"/>
    </xf>
    <xf numFmtId="180" fontId="30" fillId="0" borderId="0" xfId="31" applyNumberFormat="1" applyFont="1" applyFill="1" applyBorder="1" applyAlignment="1" applyProtection="1">
      <alignment horizontal="center"/>
      <protection locked="0"/>
    </xf>
    <xf numFmtId="0" fontId="4" fillId="0" borderId="24" xfId="5" applyFont="1" applyBorder="1"/>
    <xf numFmtId="0" fontId="4" fillId="0" borderId="25" xfId="5" applyFont="1" applyBorder="1"/>
    <xf numFmtId="0" fontId="4" fillId="0" borderId="26" xfId="5" applyFont="1" applyBorder="1"/>
    <xf numFmtId="37" fontId="3" fillId="18" borderId="0" xfId="9" applyNumberFormat="1" applyFont="1" applyFill="1" applyAlignment="1">
      <alignment vertical="center"/>
    </xf>
    <xf numFmtId="0" fontId="3" fillId="23" borderId="0" xfId="0" applyFont="1" applyFill="1" applyAlignment="1">
      <alignment vertical="center"/>
    </xf>
    <xf numFmtId="0" fontId="4" fillId="23" borderId="0" xfId="0" applyFont="1" applyFill="1" applyAlignment="1">
      <alignment vertical="center"/>
    </xf>
    <xf numFmtId="0" fontId="12" fillId="0" borderId="0" xfId="0" applyFont="1"/>
    <xf numFmtId="0" fontId="4" fillId="0" borderId="0" xfId="0" applyFont="1"/>
    <xf numFmtId="177" fontId="3" fillId="23" borderId="0" xfId="0" applyNumberFormat="1" applyFont="1" applyFill="1" applyAlignment="1">
      <alignment horizontal="center" vertical="center"/>
    </xf>
    <xf numFmtId="0" fontId="3" fillId="23" borderId="0" xfId="0" applyFont="1" applyFill="1" applyAlignment="1">
      <alignment horizontal="center" vertical="center"/>
    </xf>
    <xf numFmtId="15" fontId="3" fillId="23" borderId="0" xfId="0" applyNumberFormat="1" applyFont="1" applyFill="1" applyAlignment="1">
      <alignment horizontal="center" vertical="center"/>
    </xf>
    <xf numFmtId="0" fontId="4" fillId="0" borderId="0" xfId="0" applyFont="1" applyAlignment="1">
      <alignment horizontal="center"/>
    </xf>
    <xf numFmtId="43" fontId="4" fillId="0" borderId="0" xfId="0" applyNumberFormat="1" applyFont="1"/>
    <xf numFmtId="0" fontId="4" fillId="0" borderId="0" xfId="0" applyFont="1" applyAlignment="1">
      <alignment vertical="center" wrapText="1"/>
    </xf>
    <xf numFmtId="0" fontId="12" fillId="0" borderId="13" xfId="0" applyFont="1" applyBorder="1" applyAlignment="1">
      <alignment vertical="center"/>
    </xf>
    <xf numFmtId="166" fontId="12" fillId="0" borderId="0" xfId="1" applyNumberFormat="1" applyFont="1" applyAlignment="1">
      <alignment horizontal="center" vertical="center"/>
    </xf>
    <xf numFmtId="0" fontId="12" fillId="0" borderId="0" xfId="0" applyFont="1" applyAlignment="1">
      <alignment vertical="center"/>
    </xf>
    <xf numFmtId="0" fontId="4" fillId="0" borderId="0" xfId="0" applyFont="1" applyAlignment="1">
      <alignment vertical="center"/>
    </xf>
    <xf numFmtId="166" fontId="12" fillId="0" borderId="0" xfId="0" applyNumberFormat="1" applyFont="1" applyAlignment="1">
      <alignment horizontal="center"/>
    </xf>
    <xf numFmtId="166" fontId="7" fillId="0" borderId="10" xfId="1" applyNumberFormat="1" applyFont="1" applyFill="1" applyBorder="1" applyAlignment="1">
      <alignment vertical="center"/>
    </xf>
    <xf numFmtId="0" fontId="4" fillId="0" borderId="13" xfId="0" applyFont="1" applyBorder="1" applyAlignment="1">
      <alignment vertical="center"/>
    </xf>
    <xf numFmtId="0" fontId="12" fillId="0" borderId="10" xfId="0" applyFont="1" applyBorder="1"/>
    <xf numFmtId="166" fontId="12" fillId="0" borderId="10" xfId="0" applyNumberFormat="1" applyFont="1" applyBorder="1"/>
    <xf numFmtId="166" fontId="12" fillId="0" borderId="10" xfId="27" applyNumberFormat="1" applyFont="1" applyBorder="1" applyAlignment="1">
      <alignment vertical="center"/>
    </xf>
    <xf numFmtId="0" fontId="3" fillId="23" borderId="0" xfId="0" applyFont="1" applyFill="1"/>
    <xf numFmtId="0" fontId="21" fillId="23" borderId="0" xfId="0" applyFont="1" applyFill="1"/>
    <xf numFmtId="166" fontId="4" fillId="0" borderId="0" xfId="0" applyNumberFormat="1" applyFont="1"/>
    <xf numFmtId="0" fontId="34" fillId="10" borderId="0" xfId="0" applyFont="1" applyFill="1" applyAlignment="1">
      <alignment vertical="center" wrapText="1"/>
    </xf>
    <xf numFmtId="166" fontId="34" fillId="10" borderId="0" xfId="27" applyNumberFormat="1" applyFont="1" applyFill="1" applyAlignment="1">
      <alignment vertical="center"/>
    </xf>
    <xf numFmtId="166" fontId="34" fillId="10" borderId="0" xfId="1" applyNumberFormat="1" applyFont="1" applyFill="1"/>
    <xf numFmtId="0" fontId="12" fillId="21" borderId="18" xfId="0" applyFont="1" applyFill="1" applyBorder="1" applyAlignment="1">
      <alignment vertical="center"/>
    </xf>
    <xf numFmtId="176" fontId="9" fillId="21" borderId="14" xfId="0" applyNumberFormat="1" applyFont="1" applyFill="1" applyBorder="1" applyAlignment="1">
      <alignment horizontal="center"/>
    </xf>
    <xf numFmtId="0" fontId="4" fillId="0" borderId="0" xfId="0" applyFont="1" applyAlignment="1">
      <alignment horizontal="left"/>
    </xf>
    <xf numFmtId="166" fontId="4" fillId="0" borderId="0" xfId="1" applyNumberFormat="1" applyFont="1" applyAlignment="1">
      <alignment horizontal="center" vertical="center"/>
    </xf>
    <xf numFmtId="0" fontId="12" fillId="0" borderId="14" xfId="0" applyFont="1" applyBorder="1"/>
    <xf numFmtId="166" fontId="12" fillId="0" borderId="14" xfId="1" applyNumberFormat="1" applyFont="1" applyBorder="1" applyAlignment="1">
      <alignment horizontal="center" vertical="center"/>
    </xf>
    <xf numFmtId="166" fontId="12" fillId="0" borderId="14" xfId="1" applyNumberFormat="1" applyFont="1" applyBorder="1" applyAlignment="1">
      <alignment horizontal="center"/>
    </xf>
    <xf numFmtId="166" fontId="4" fillId="0" borderId="0" xfId="1" applyNumberFormat="1" applyFont="1" applyAlignment="1">
      <alignment horizontal="center"/>
    </xf>
    <xf numFmtId="166" fontId="12" fillId="0" borderId="0" xfId="1" applyNumberFormat="1" applyFont="1" applyBorder="1" applyAlignment="1">
      <alignment horizontal="center"/>
    </xf>
    <xf numFmtId="0" fontId="12" fillId="21" borderId="14" xfId="0" applyFont="1" applyFill="1" applyBorder="1" applyAlignment="1">
      <alignment horizontal="center" vertical="center"/>
    </xf>
    <xf numFmtId="166" fontId="4" fillId="0" borderId="0" xfId="1" applyNumberFormat="1" applyFont="1" applyFill="1" applyAlignment="1">
      <alignment horizontal="center"/>
    </xf>
    <xf numFmtId="166" fontId="12" fillId="0" borderId="14" xfId="1" applyNumberFormat="1" applyFont="1" applyFill="1" applyBorder="1" applyAlignment="1">
      <alignment horizontal="center"/>
    </xf>
    <xf numFmtId="166" fontId="12" fillId="0" borderId="0" xfId="1" applyNumberFormat="1" applyFont="1" applyAlignment="1">
      <alignment horizontal="center"/>
    </xf>
    <xf numFmtId="166" fontId="4" fillId="0" borderId="0" xfId="1" applyNumberFormat="1" applyFont="1" applyAlignment="1"/>
    <xf numFmtId="166" fontId="12" fillId="0" borderId="0" xfId="1" applyNumberFormat="1" applyFont="1" applyFill="1" applyBorder="1" applyAlignment="1">
      <alignment horizontal="center"/>
    </xf>
    <xf numFmtId="0" fontId="3" fillId="22" borderId="0" xfId="0" applyFont="1" applyFill="1"/>
    <xf numFmtId="0" fontId="21" fillId="22" borderId="0" xfId="0" applyFont="1" applyFill="1"/>
    <xf numFmtId="166" fontId="21" fillId="22" borderId="0" xfId="1" applyNumberFormat="1" applyFont="1" applyFill="1" applyAlignment="1">
      <alignment horizontal="center"/>
    </xf>
    <xf numFmtId="166" fontId="4" fillId="0" borderId="0" xfId="1" applyNumberFormat="1" applyFont="1" applyFill="1" applyAlignment="1"/>
    <xf numFmtId="166" fontId="33" fillId="0" borderId="0" xfId="1" applyNumberFormat="1" applyFont="1" applyAlignment="1"/>
    <xf numFmtId="166" fontId="12" fillId="0" borderId="0" xfId="0" applyNumberFormat="1" applyFont="1"/>
    <xf numFmtId="166" fontId="12" fillId="0" borderId="0" xfId="1" applyNumberFormat="1" applyFont="1" applyFill="1" applyAlignment="1"/>
    <xf numFmtId="166" fontId="12" fillId="0" borderId="0" xfId="1" applyNumberFormat="1" applyFont="1" applyAlignment="1"/>
    <xf numFmtId="166" fontId="4" fillId="0" borderId="0" xfId="1" applyNumberFormat="1" applyFont="1"/>
    <xf numFmtId="9" fontId="4" fillId="0" borderId="0" xfId="26" applyFont="1" applyAlignment="1"/>
    <xf numFmtId="0" fontId="21" fillId="22" borderId="0" xfId="0" applyFont="1" applyFill="1" applyAlignment="1">
      <alignment horizontal="center"/>
    </xf>
    <xf numFmtId="38" fontId="12" fillId="0" borderId="0" xfId="0" applyNumberFormat="1" applyFont="1"/>
    <xf numFmtId="0" fontId="12" fillId="17" borderId="0" xfId="0" applyFont="1" applyFill="1"/>
    <xf numFmtId="10" fontId="4" fillId="0" borderId="0" xfId="26" applyNumberFormat="1" applyFont="1" applyAlignment="1"/>
    <xf numFmtId="166" fontId="4" fillId="20" borderId="0" xfId="1" applyNumberFormat="1" applyFont="1" applyFill="1" applyBorder="1" applyAlignment="1">
      <alignment horizontal="center" vertical="center"/>
    </xf>
    <xf numFmtId="166" fontId="32" fillId="0" borderId="0" xfId="0" applyNumberFormat="1" applyFont="1"/>
    <xf numFmtId="166" fontId="12" fillId="17" borderId="0" xfId="1" applyNumberFormat="1" applyFont="1" applyFill="1" applyAlignment="1"/>
    <xf numFmtId="166" fontId="4" fillId="0" borderId="0" xfId="1" applyNumberFormat="1" applyFont="1" applyFill="1" applyBorder="1" applyAlignment="1"/>
    <xf numFmtId="0" fontId="4" fillId="25" borderId="0" xfId="0" applyFont="1" applyFill="1"/>
    <xf numFmtId="0" fontId="5" fillId="25" borderId="0" xfId="0" applyFont="1" applyFill="1"/>
    <xf numFmtId="173" fontId="3" fillId="26" borderId="0" xfId="2" applyNumberFormat="1" applyFont="1" applyFill="1" applyAlignment="1">
      <alignment horizontal="center"/>
    </xf>
    <xf numFmtId="0" fontId="3" fillId="26" borderId="0" xfId="2" applyFont="1" applyFill="1"/>
    <xf numFmtId="0" fontId="3" fillId="19" borderId="3" xfId="2" applyFont="1" applyFill="1" applyBorder="1" applyAlignment="1">
      <alignment horizontal="right" vertical="center"/>
    </xf>
    <xf numFmtId="165" fontId="9" fillId="17" borderId="8" xfId="4" applyNumberFormat="1" applyFont="1" applyFill="1" applyBorder="1" applyAlignment="1">
      <alignment horizontal="right"/>
    </xf>
    <xf numFmtId="165" fontId="7" fillId="17" borderId="3" xfId="4" applyNumberFormat="1" applyFont="1" applyFill="1" applyBorder="1"/>
    <xf numFmtId="165" fontId="9" fillId="17" borderId="6" xfId="4" applyNumberFormat="1" applyFont="1" applyFill="1" applyBorder="1" applyAlignment="1">
      <alignment horizontal="right"/>
    </xf>
    <xf numFmtId="166" fontId="7" fillId="17" borderId="3" xfId="4" applyNumberFormat="1" applyFont="1" applyFill="1" applyBorder="1"/>
    <xf numFmtId="165" fontId="9" fillId="17" borderId="4" xfId="4" applyNumberFormat="1" applyFont="1" applyFill="1" applyBorder="1" applyAlignment="1">
      <alignment horizontal="right"/>
    </xf>
    <xf numFmtId="174" fontId="32" fillId="2" borderId="1" xfId="4" applyNumberFormat="1" applyFont="1" applyFill="1" applyBorder="1"/>
    <xf numFmtId="9" fontId="32" fillId="2" borderId="1" xfId="3" applyFont="1" applyFill="1" applyBorder="1"/>
    <xf numFmtId="174" fontId="35" fillId="0" borderId="0" xfId="4" applyNumberFormat="1" applyFont="1" applyAlignment="1">
      <alignment vertical="center"/>
    </xf>
    <xf numFmtId="175" fontId="32" fillId="2" borderId="1" xfId="4" applyNumberFormat="1" applyFont="1" applyFill="1" applyBorder="1"/>
    <xf numFmtId="174" fontId="31" fillId="3" borderId="2" xfId="7" applyNumberFormat="1" applyFont="1" applyAlignment="1">
      <alignment vertical="center"/>
    </xf>
    <xf numFmtId="9" fontId="32" fillId="12" borderId="1" xfId="3" applyFont="1" applyFill="1" applyBorder="1"/>
    <xf numFmtId="174" fontId="32" fillId="0" borderId="0" xfId="4" applyNumberFormat="1" applyFont="1" applyAlignment="1">
      <alignment vertical="center"/>
    </xf>
    <xf numFmtId="167" fontId="32" fillId="2" borderId="1" xfId="3" applyNumberFormat="1" applyFont="1" applyFill="1" applyBorder="1"/>
    <xf numFmtId="166" fontId="31" fillId="3" borderId="2" xfId="7" applyNumberFormat="1" applyFont="1" applyAlignment="1">
      <alignment vertical="center"/>
    </xf>
    <xf numFmtId="167" fontId="32" fillId="12" borderId="1" xfId="3" applyNumberFormat="1" applyFont="1" applyFill="1" applyBorder="1"/>
    <xf numFmtId="166" fontId="32" fillId="13" borderId="3" xfId="4" applyNumberFormat="1" applyFont="1" applyFill="1" applyBorder="1"/>
    <xf numFmtId="166" fontId="32" fillId="0" borderId="3" xfId="4" applyNumberFormat="1" applyFont="1" applyBorder="1"/>
    <xf numFmtId="0" fontId="32" fillId="0" borderId="0" xfId="2" applyFont="1" applyAlignment="1">
      <alignment vertical="center"/>
    </xf>
    <xf numFmtId="0" fontId="32" fillId="0" borderId="0" xfId="2" applyFont="1"/>
    <xf numFmtId="166" fontId="32" fillId="0" borderId="0" xfId="2" applyNumberFormat="1" applyFont="1" applyAlignment="1">
      <alignment vertical="center"/>
    </xf>
    <xf numFmtId="166" fontId="32" fillId="0" borderId="0" xfId="2" applyNumberFormat="1" applyFont="1"/>
    <xf numFmtId="0" fontId="21" fillId="0" borderId="0" xfId="2" applyFont="1" applyAlignment="1">
      <alignment vertical="center"/>
    </xf>
    <xf numFmtId="0" fontId="21" fillId="0" borderId="0" xfId="2" applyFont="1"/>
    <xf numFmtId="174" fontId="19" fillId="3" borderId="2" xfId="7" applyNumberFormat="1" applyFont="1" applyAlignment="1">
      <alignment vertical="center"/>
    </xf>
    <xf numFmtId="174" fontId="4" fillId="3" borderId="2" xfId="7" applyNumberFormat="1" applyFont="1" applyAlignment="1">
      <alignment vertical="center"/>
    </xf>
    <xf numFmtId="174" fontId="12" fillId="3" borderId="2" xfId="7" applyNumberFormat="1" applyFont="1" applyAlignment="1">
      <alignment vertical="center"/>
    </xf>
    <xf numFmtId="0" fontId="31" fillId="16" borderId="0" xfId="0" applyFont="1" applyFill="1" applyAlignment="1">
      <alignment horizontal="center"/>
    </xf>
    <xf numFmtId="0" fontId="36" fillId="0" borderId="0" xfId="5" applyFont="1" applyProtection="1">
      <protection locked="0"/>
    </xf>
    <xf numFmtId="0" fontId="25" fillId="0" borderId="0" xfId="29" applyBorder="1"/>
    <xf numFmtId="0" fontId="34" fillId="0" borderId="0" xfId="2" applyFont="1" applyAlignment="1">
      <alignment horizontal="center"/>
    </xf>
    <xf numFmtId="166" fontId="4" fillId="8" borderId="0" xfId="2" applyNumberFormat="1" applyFont="1" applyFill="1" applyAlignment="1">
      <alignment vertical="center"/>
    </xf>
    <xf numFmtId="0" fontId="12" fillId="0" borderId="0" xfId="2" applyFont="1" applyAlignment="1">
      <alignment horizontal="right" vertical="center"/>
    </xf>
    <xf numFmtId="9" fontId="32" fillId="0" borderId="0" xfId="26" applyFont="1"/>
    <xf numFmtId="166" fontId="12" fillId="0" borderId="0" xfId="2" applyNumberFormat="1" applyFont="1" applyAlignment="1">
      <alignment vertical="center"/>
    </xf>
    <xf numFmtId="174" fontId="31" fillId="3" borderId="27" xfId="7" applyNumberFormat="1" applyFont="1" applyBorder="1" applyAlignment="1">
      <alignment vertical="center"/>
    </xf>
    <xf numFmtId="0" fontId="12" fillId="0" borderId="0" xfId="0" applyFont="1" applyAlignment="1">
      <alignment horizontal="left"/>
    </xf>
    <xf numFmtId="166" fontId="12" fillId="0" borderId="10" xfId="1" applyNumberFormat="1" applyFont="1" applyBorder="1" applyAlignment="1"/>
    <xf numFmtId="166" fontId="12" fillId="0" borderId="10" xfId="1" applyNumberFormat="1" applyFont="1" applyBorder="1" applyAlignment="1">
      <alignment horizontal="center" vertical="center"/>
    </xf>
    <xf numFmtId="166" fontId="4" fillId="20" borderId="13" xfId="1" applyNumberFormat="1" applyFont="1" applyFill="1" applyBorder="1" applyAlignment="1">
      <alignment horizontal="center" vertical="center"/>
    </xf>
    <xf numFmtId="166" fontId="12" fillId="0" borderId="0" xfId="0" applyNumberFormat="1" applyFont="1" applyAlignment="1">
      <alignment horizontal="right"/>
    </xf>
    <xf numFmtId="0" fontId="3" fillId="27" borderId="0" xfId="0" applyFont="1" applyFill="1"/>
    <xf numFmtId="0" fontId="21" fillId="27" borderId="0" xfId="0" applyFont="1" applyFill="1"/>
    <xf numFmtId="166" fontId="21" fillId="27" borderId="0" xfId="1" applyNumberFormat="1" applyFont="1" applyFill="1" applyAlignment="1">
      <alignment horizontal="center"/>
    </xf>
    <xf numFmtId="166" fontId="21" fillId="27" borderId="0" xfId="0" applyNumberFormat="1" applyFont="1" applyFill="1"/>
    <xf numFmtId="166" fontId="3" fillId="27" borderId="0" xfId="1" applyNumberFormat="1" applyFont="1" applyFill="1" applyAlignment="1"/>
    <xf numFmtId="0" fontId="12" fillId="28" borderId="0" xfId="0" applyFont="1" applyFill="1"/>
    <xf numFmtId="0" fontId="38" fillId="0" borderId="0" xfId="0" applyFont="1"/>
    <xf numFmtId="166" fontId="38" fillId="0" borderId="0" xfId="0" applyNumberFormat="1" applyFont="1"/>
    <xf numFmtId="0" fontId="40" fillId="0" borderId="0" xfId="0" applyFont="1"/>
    <xf numFmtId="166" fontId="9" fillId="28" borderId="0" xfId="1" applyNumberFormat="1" applyFont="1" applyFill="1" applyAlignment="1"/>
    <xf numFmtId="166" fontId="7" fillId="0" borderId="0" xfId="1" applyNumberFormat="1" applyFont="1" applyFill="1" applyBorder="1" applyAlignment="1">
      <alignment vertical="center"/>
    </xf>
    <xf numFmtId="10" fontId="7" fillId="0" borderId="0" xfId="26" applyNumberFormat="1" applyFont="1" applyFill="1" applyBorder="1" applyAlignment="1">
      <alignment vertical="center"/>
    </xf>
    <xf numFmtId="178" fontId="3" fillId="23" borderId="0" xfId="0" applyNumberFormat="1" applyFont="1" applyFill="1" applyAlignment="1">
      <alignment horizontal="right"/>
    </xf>
    <xf numFmtId="0" fontId="10" fillId="0" borderId="0" xfId="4" applyNumberFormat="1" applyFont="1"/>
    <xf numFmtId="9" fontId="4" fillId="0" borderId="0" xfId="26" applyFont="1" applyAlignment="1">
      <alignment vertical="center"/>
    </xf>
    <xf numFmtId="167" fontId="4" fillId="0" borderId="0" xfId="26" applyNumberFormat="1" applyFont="1" applyAlignment="1">
      <alignment vertical="center"/>
    </xf>
    <xf numFmtId="10" fontId="4" fillId="0" borderId="0" xfId="26" applyNumberFormat="1" applyFont="1" applyAlignment="1">
      <alignment vertical="center"/>
    </xf>
    <xf numFmtId="181" fontId="4" fillId="0" borderId="0" xfId="26" applyNumberFormat="1" applyFont="1" applyAlignment="1">
      <alignment vertical="center"/>
    </xf>
    <xf numFmtId="182" fontId="4" fillId="0" borderId="0" xfId="26" applyNumberFormat="1" applyFont="1" applyAlignment="1">
      <alignment vertical="center"/>
    </xf>
    <xf numFmtId="0" fontId="4" fillId="0" borderId="13" xfId="0" applyFont="1" applyBorder="1"/>
    <xf numFmtId="0" fontId="12" fillId="0" borderId="13" xfId="0" applyFont="1" applyBorder="1"/>
    <xf numFmtId="10" fontId="32" fillId="16" borderId="11" xfId="26" applyNumberFormat="1" applyFont="1" applyFill="1" applyBorder="1" applyAlignment="1">
      <alignment vertical="center"/>
    </xf>
    <xf numFmtId="166" fontId="32" fillId="16" borderId="11" xfId="1" applyNumberFormat="1" applyFont="1" applyFill="1" applyBorder="1" applyAlignment="1">
      <alignment vertical="center"/>
    </xf>
    <xf numFmtId="166" fontId="31" fillId="16" borderId="11" xfId="1" applyNumberFormat="1" applyFont="1" applyFill="1" applyBorder="1" applyAlignment="1">
      <alignment vertical="center"/>
    </xf>
    <xf numFmtId="0" fontId="31" fillId="16" borderId="11" xfId="1" applyNumberFormat="1" applyFont="1" applyFill="1" applyBorder="1" applyAlignment="1">
      <alignment horizontal="center" vertical="center"/>
    </xf>
    <xf numFmtId="166" fontId="33" fillId="0" borderId="0" xfId="1" applyNumberFormat="1" applyFont="1" applyFill="1" applyBorder="1" applyAlignment="1">
      <alignment vertical="center"/>
    </xf>
    <xf numFmtId="166" fontId="0" fillId="0" borderId="0" xfId="1" applyNumberFormat="1" applyFont="1"/>
    <xf numFmtId="0" fontId="43" fillId="29" borderId="0" xfId="0" applyFont="1" applyFill="1" applyAlignment="1">
      <alignment horizontal="left" wrapText="1" indent="1" readingOrder="1"/>
    </xf>
    <xf numFmtId="0" fontId="43" fillId="29" borderId="0" xfId="0" applyFont="1" applyFill="1" applyAlignment="1">
      <alignment horizontal="right" wrapText="1" readingOrder="1"/>
    </xf>
    <xf numFmtId="43" fontId="44" fillId="0" borderId="0" xfId="1" applyFont="1" applyAlignment="1">
      <alignment horizontal="left" wrapText="1" indent="1" readingOrder="1"/>
    </xf>
    <xf numFmtId="166" fontId="44" fillId="0" borderId="0" xfId="1" applyNumberFormat="1" applyFont="1" applyAlignment="1">
      <alignment horizontal="right" wrapText="1" readingOrder="1"/>
    </xf>
    <xf numFmtId="43" fontId="45" fillId="0" borderId="0" xfId="1" applyFont="1" applyFill="1" applyAlignment="1">
      <alignment horizontal="left" wrapText="1" indent="1" readingOrder="1"/>
    </xf>
    <xf numFmtId="166" fontId="45" fillId="0" borderId="10" xfId="1" applyNumberFormat="1" applyFont="1" applyFill="1" applyBorder="1" applyAlignment="1">
      <alignment horizontal="right" wrapText="1" readingOrder="1"/>
    </xf>
    <xf numFmtId="43" fontId="44" fillId="0" borderId="0" xfId="1" applyFont="1" applyFill="1" applyAlignment="1">
      <alignment horizontal="left" wrapText="1" indent="1" readingOrder="1"/>
    </xf>
    <xf numFmtId="166" fontId="44" fillId="0" borderId="0" xfId="1" applyNumberFormat="1" applyFont="1" applyFill="1" applyAlignment="1">
      <alignment horizontal="right" wrapText="1" readingOrder="1"/>
    </xf>
    <xf numFmtId="166" fontId="45" fillId="0" borderId="28" xfId="1" applyNumberFormat="1" applyFont="1" applyFill="1" applyBorder="1" applyAlignment="1">
      <alignment horizontal="right" wrapText="1" readingOrder="1"/>
    </xf>
    <xf numFmtId="43" fontId="46" fillId="0" borderId="0" xfId="1" applyFont="1" applyAlignment="1">
      <alignment horizontal="left" wrapText="1" indent="1" readingOrder="1"/>
    </xf>
    <xf numFmtId="166" fontId="22" fillId="0" borderId="0" xfId="1" applyNumberFormat="1" applyFont="1"/>
    <xf numFmtId="43" fontId="47" fillId="0" borderId="0" xfId="1" applyFont="1" applyAlignment="1">
      <alignment horizontal="left" wrapText="1" indent="1" readingOrder="1"/>
    </xf>
    <xf numFmtId="166" fontId="22" fillId="0" borderId="10" xfId="1" applyNumberFormat="1" applyFont="1" applyBorder="1"/>
    <xf numFmtId="166" fontId="22" fillId="0" borderId="28" xfId="1" applyNumberFormat="1" applyFont="1" applyBorder="1"/>
    <xf numFmtId="0" fontId="22" fillId="0" borderId="0" xfId="0" applyFont="1"/>
    <xf numFmtId="10" fontId="32" fillId="16" borderId="15" xfId="26" applyNumberFormat="1" applyFont="1" applyFill="1" applyBorder="1" applyAlignment="1">
      <alignment vertical="center"/>
    </xf>
    <xf numFmtId="10" fontId="32" fillId="16" borderId="16" xfId="26" applyNumberFormat="1" applyFont="1" applyFill="1" applyBorder="1" applyAlignment="1">
      <alignment vertical="center"/>
    </xf>
    <xf numFmtId="166" fontId="32" fillId="16" borderId="17" xfId="1" applyNumberFormat="1" applyFont="1" applyFill="1" applyBorder="1" applyAlignment="1">
      <alignment vertical="center"/>
    </xf>
    <xf numFmtId="10" fontId="33" fillId="0" borderId="0" xfId="26" applyNumberFormat="1" applyFont="1" applyFill="1" applyBorder="1" applyAlignment="1">
      <alignment vertical="center"/>
    </xf>
    <xf numFmtId="0" fontId="48" fillId="29" borderId="0" xfId="0" applyFont="1" applyFill="1" applyAlignment="1">
      <alignment horizontal="left" wrapText="1" indent="1" readingOrder="1"/>
    </xf>
    <xf numFmtId="0" fontId="48" fillId="29" borderId="0" xfId="0" applyFont="1" applyFill="1" applyAlignment="1">
      <alignment horizontal="right" wrapText="1" readingOrder="1"/>
    </xf>
    <xf numFmtId="166" fontId="32" fillId="16" borderId="11" xfId="1" applyNumberFormat="1" applyFont="1" applyFill="1" applyBorder="1" applyAlignment="1">
      <alignment horizontal="center"/>
    </xf>
    <xf numFmtId="166" fontId="12" fillId="0" borderId="0" xfId="1" applyNumberFormat="1" applyFont="1" applyFill="1" applyBorder="1" applyAlignment="1"/>
    <xf numFmtId="166" fontId="4" fillId="0" borderId="0" xfId="1" applyNumberFormat="1" applyFont="1" applyBorder="1" applyAlignment="1">
      <alignment vertical="center" wrapText="1"/>
    </xf>
    <xf numFmtId="166" fontId="0" fillId="0" borderId="0" xfId="1" applyNumberFormat="1" applyFont="1" applyAlignment="1">
      <alignment horizontal="right"/>
    </xf>
    <xf numFmtId="0" fontId="22" fillId="0" borderId="0" xfId="0" applyFont="1" applyAlignment="1">
      <alignment horizontal="right"/>
    </xf>
    <xf numFmtId="10" fontId="4" fillId="16" borderId="11" xfId="26" applyNumberFormat="1" applyFont="1" applyFill="1" applyBorder="1" applyAlignment="1">
      <alignment vertical="center"/>
    </xf>
    <xf numFmtId="166" fontId="44" fillId="21" borderId="0" xfId="1" applyNumberFormat="1" applyFont="1" applyFill="1" applyAlignment="1">
      <alignment horizontal="right" wrapText="1" readingOrder="1"/>
    </xf>
    <xf numFmtId="166" fontId="45" fillId="21" borderId="10" xfId="1" applyNumberFormat="1" applyFont="1" applyFill="1" applyBorder="1" applyAlignment="1">
      <alignment horizontal="right" wrapText="1" readingOrder="1"/>
    </xf>
    <xf numFmtId="166" fontId="45" fillId="21" borderId="28" xfId="1" applyNumberFormat="1" applyFont="1" applyFill="1" applyBorder="1" applyAlignment="1">
      <alignment horizontal="right" wrapText="1" readingOrder="1"/>
    </xf>
    <xf numFmtId="166" fontId="22" fillId="21" borderId="0" xfId="1" applyNumberFormat="1" applyFont="1" applyFill="1"/>
    <xf numFmtId="166" fontId="0" fillId="21" borderId="0" xfId="1" applyNumberFormat="1" applyFont="1" applyFill="1"/>
    <xf numFmtId="166" fontId="22" fillId="21" borderId="10" xfId="1" applyNumberFormat="1" applyFont="1" applyFill="1" applyBorder="1"/>
    <xf numFmtId="0" fontId="0" fillId="21" borderId="0" xfId="0" applyFill="1"/>
    <xf numFmtId="43" fontId="44" fillId="0" borderId="0" xfId="1" applyFont="1" applyAlignment="1">
      <alignment horizontal="left" indent="1" readingOrder="1"/>
    </xf>
    <xf numFmtId="0" fontId="12" fillId="0" borderId="11" xfId="1" applyNumberFormat="1" applyFont="1" applyFill="1" applyBorder="1" applyAlignment="1">
      <alignment horizontal="center" vertical="center"/>
    </xf>
    <xf numFmtId="166" fontId="12" fillId="17" borderId="0" xfId="0" applyNumberFormat="1" applyFont="1" applyFill="1"/>
    <xf numFmtId="0" fontId="21" fillId="25" borderId="0" xfId="0" applyFont="1" applyFill="1"/>
    <xf numFmtId="0" fontId="21" fillId="25" borderId="0" xfId="0" applyFont="1" applyFill="1" applyAlignment="1">
      <alignment horizontal="center"/>
    </xf>
    <xf numFmtId="167" fontId="32" fillId="16" borderId="11" xfId="0" applyNumberFormat="1" applyFont="1" applyFill="1" applyBorder="1" applyAlignment="1">
      <alignment horizontal="center"/>
    </xf>
    <xf numFmtId="0" fontId="49" fillId="0" borderId="0" xfId="0" applyFont="1"/>
    <xf numFmtId="0" fontId="3" fillId="18" borderId="0" xfId="9" applyFont="1" applyFill="1" applyAlignment="1">
      <alignment vertical="center"/>
    </xf>
    <xf numFmtId="0" fontId="6" fillId="0" borderId="0" xfId="2" applyFont="1" applyAlignment="1">
      <alignment vertical="center"/>
    </xf>
    <xf numFmtId="0" fontId="4" fillId="0" borderId="10" xfId="0" applyFont="1" applyBorder="1"/>
    <xf numFmtId="0" fontId="4" fillId="0" borderId="10" xfId="2" applyFont="1" applyBorder="1" applyAlignment="1">
      <alignment vertical="center"/>
    </xf>
    <xf numFmtId="0" fontId="11" fillId="0" borderId="0" xfId="0" applyFont="1"/>
    <xf numFmtId="0" fontId="12" fillId="0" borderId="14" xfId="0" applyFont="1" applyBorder="1" applyAlignment="1">
      <alignment vertical="center"/>
    </xf>
    <xf numFmtId="166" fontId="12" fillId="0" borderId="14" xfId="0" applyNumberFormat="1" applyFont="1" applyBorder="1"/>
    <xf numFmtId="0" fontId="11" fillId="0" borderId="14" xfId="0" applyFont="1" applyBorder="1"/>
    <xf numFmtId="166" fontId="12" fillId="0" borderId="0" xfId="1" applyNumberFormat="1" applyFont="1"/>
    <xf numFmtId="166" fontId="50" fillId="0" borderId="0" xfId="0" applyNumberFormat="1" applyFont="1"/>
    <xf numFmtId="166" fontId="32" fillId="0" borderId="0" xfId="1" applyNumberFormat="1" applyFont="1"/>
    <xf numFmtId="3" fontId="4" fillId="0" borderId="0" xfId="0" applyNumberFormat="1" applyFont="1"/>
    <xf numFmtId="3" fontId="12" fillId="0" borderId="10" xfId="0" applyNumberFormat="1" applyFont="1" applyBorder="1"/>
    <xf numFmtId="166" fontId="12" fillId="0" borderId="10" xfId="1" applyNumberFormat="1" applyFont="1" applyBorder="1"/>
    <xf numFmtId="3" fontId="12" fillId="0" borderId="0" xfId="0" applyNumberFormat="1" applyFont="1"/>
    <xf numFmtId="166" fontId="12" fillId="0" borderId="0" xfId="1" applyNumberFormat="1" applyFont="1" applyBorder="1"/>
    <xf numFmtId="167" fontId="4" fillId="0" borderId="0" xfId="26" applyNumberFormat="1" applyFont="1" applyBorder="1"/>
    <xf numFmtId="166" fontId="52" fillId="0" borderId="0" xfId="1" applyNumberFormat="1" applyFont="1"/>
    <xf numFmtId="3" fontId="12" fillId="0" borderId="14" xfId="0" applyNumberFormat="1" applyFont="1" applyBorder="1"/>
    <xf numFmtId="166" fontId="12" fillId="0" borderId="14" xfId="1" applyNumberFormat="1" applyFont="1" applyBorder="1"/>
    <xf numFmtId="167" fontId="32" fillId="16" borderId="11" xfId="26" applyNumberFormat="1" applyFont="1" applyFill="1" applyBorder="1" applyAlignment="1">
      <alignment vertical="center"/>
    </xf>
    <xf numFmtId="166" fontId="4" fillId="0" borderId="0" xfId="1" applyNumberFormat="1" applyFont="1" applyFill="1"/>
    <xf numFmtId="0" fontId="53" fillId="0" borderId="0" xfId="5" applyFont="1" applyAlignment="1">
      <alignment horizontal="left"/>
    </xf>
    <xf numFmtId="0" fontId="7" fillId="10" borderId="0" xfId="5" applyFont="1" applyFill="1" applyAlignment="1">
      <alignment horizontal="left"/>
    </xf>
    <xf numFmtId="169" fontId="7" fillId="10" borderId="0" xfId="3" applyNumberFormat="1" applyFont="1" applyFill="1" applyAlignment="1">
      <alignment horizontal="right"/>
    </xf>
    <xf numFmtId="170" fontId="11" fillId="0" borderId="0" xfId="4" applyNumberFormat="1" applyFont="1"/>
    <xf numFmtId="43" fontId="7" fillId="0" borderId="0" xfId="1" applyFont="1" applyFill="1" applyAlignment="1">
      <alignment horizontal="right"/>
    </xf>
    <xf numFmtId="169" fontId="7" fillId="0" borderId="0" xfId="3" applyNumberFormat="1" applyFont="1" applyFill="1" applyAlignment="1">
      <alignment horizontal="right"/>
    </xf>
    <xf numFmtId="171" fontId="7" fillId="10" borderId="0" xfId="3" applyNumberFormat="1" applyFont="1" applyFill="1" applyAlignment="1">
      <alignment horizontal="right"/>
    </xf>
    <xf numFmtId="43" fontId="12" fillId="16" borderId="12" xfId="1" applyFont="1" applyFill="1" applyBorder="1" applyAlignment="1"/>
    <xf numFmtId="0" fontId="29" fillId="0" borderId="13" xfId="5" applyFont="1" applyBorder="1" applyProtection="1">
      <protection locked="0"/>
    </xf>
    <xf numFmtId="0" fontId="54" fillId="0" borderId="0" xfId="29" applyFont="1" applyBorder="1"/>
    <xf numFmtId="0" fontId="0" fillId="0" borderId="0" xfId="0" applyAlignment="1">
      <alignment horizontal="center"/>
    </xf>
    <xf numFmtId="177" fontId="3" fillId="23" borderId="0" xfId="0" applyNumberFormat="1" applyFont="1" applyFill="1" applyAlignment="1">
      <alignment horizontal="right" vertical="center"/>
    </xf>
    <xf numFmtId="15" fontId="3" fillId="23" borderId="0" xfId="0" applyNumberFormat="1" applyFont="1" applyFill="1" applyAlignment="1">
      <alignment horizontal="right" vertical="center"/>
    </xf>
    <xf numFmtId="0" fontId="12" fillId="0" borderId="0" xfId="0" applyFont="1" applyAlignment="1">
      <alignment horizontal="right"/>
    </xf>
    <xf numFmtId="10" fontId="4" fillId="0" borderId="0" xfId="26" applyNumberFormat="1" applyFont="1" applyFill="1" applyBorder="1" applyAlignment="1">
      <alignment vertical="center"/>
    </xf>
    <xf numFmtId="10" fontId="4" fillId="0" borderId="10" xfId="26" applyNumberFormat="1" applyFont="1" applyFill="1" applyBorder="1" applyAlignment="1">
      <alignment vertical="center"/>
    </xf>
    <xf numFmtId="43" fontId="4" fillId="0" borderId="0" xfId="2" applyNumberFormat="1" applyFont="1" applyAlignment="1">
      <alignment vertical="center"/>
    </xf>
    <xf numFmtId="9" fontId="4" fillId="0" borderId="0" xfId="26" applyFont="1"/>
  </cellXfs>
  <cellStyles count="32">
    <cellStyle name="Comma" xfId="1" builtinId="3"/>
    <cellStyle name="Comma [0] 2" xfId="6" xr:uid="{7ECB9AFF-E75B-402C-AC30-112DB2BC8950}"/>
    <cellStyle name="Comma 2" xfId="8" xr:uid="{B4A4BD1D-E875-432B-B50E-4B8C55BE3A98}"/>
    <cellStyle name="Comma 2 3" xfId="21" xr:uid="{95EB1A1F-88D6-411C-AED0-6465B54BF177}"/>
    <cellStyle name="Comma 3" xfId="14" xr:uid="{EC10B190-BB16-453F-958B-D83BB4BD5338}"/>
    <cellStyle name="Comma 3 2" xfId="27" xr:uid="{CBA02B0E-A3E7-4972-B9A4-3B7B5EB58C5A}"/>
    <cellStyle name="Comma 4" xfId="28" xr:uid="{96B84EC3-2D22-4A65-B894-F49368DAE355}"/>
    <cellStyle name="Comma 5 2" xfId="10" xr:uid="{D018B2DB-4D22-4E6B-90F5-F35859B00E13}"/>
    <cellStyle name="Comma 5 3 2" xfId="17" xr:uid="{44BD420A-8E71-4D91-9607-62ACDB3556E4}"/>
    <cellStyle name="Comma 6" xfId="19" xr:uid="{73468328-21DB-4744-AE7B-4A92C71088AD}"/>
    <cellStyle name="Comma 7 2" xfId="12" xr:uid="{DEAB65A5-FC34-4AE6-9E91-61A85E4B3DBD}"/>
    <cellStyle name="Comma 8" xfId="4" xr:uid="{7E5D9FF9-12D7-4B8D-A6CB-D5C25B94FE05}"/>
    <cellStyle name="Hyperlink" xfId="29" builtinId="8"/>
    <cellStyle name="Hyperlink 2" xfId="22" xr:uid="{1382998E-6E29-4A55-A827-93CC1CC3314B}"/>
    <cellStyle name="Hyperlink 2 2" xfId="31" xr:uid="{B6963023-9DF4-4855-ADD2-144E49030B2E}"/>
    <cellStyle name="Hyperlink 3" xfId="30" xr:uid="{48EAB303-B335-4D85-8C02-B35F837ECFC0}"/>
    <cellStyle name="Normal" xfId="0" builtinId="0"/>
    <cellStyle name="Normal 2" xfId="2" xr:uid="{0ED93395-9C99-4936-946A-02A7358C3EA3}"/>
    <cellStyle name="Normal 2 2 2 2 2" xfId="5" xr:uid="{EA11D6A1-AAD6-4F58-9F0A-B40C4D51FB2B}"/>
    <cellStyle name="Normal 2 2 2 3" xfId="25" xr:uid="{FBB06790-156C-4650-95DC-F5552B7C67F5}"/>
    <cellStyle name="Normal 2 2 3" xfId="13" xr:uid="{5AC6D289-5B88-4EA1-843A-89A7537A2E0C}"/>
    <cellStyle name="Normal 4" xfId="18" xr:uid="{5039F533-9657-4186-AD34-83FBC60816C8}"/>
    <cellStyle name="Normal 4 2 2 2" xfId="15" xr:uid="{878B9CE4-C36F-4439-8096-98EB53268E54}"/>
    <cellStyle name="Normal 4 3" xfId="9" xr:uid="{717CD9AE-6BEA-435D-B84A-822AA39ED1FB}"/>
    <cellStyle name="Output 2" xfId="7" xr:uid="{CE02A430-8A41-4A9F-A156-078709D93FF4}"/>
    <cellStyle name="Per cent 3" xfId="11" xr:uid="{10F86B81-989B-4FD6-B924-567365657814}"/>
    <cellStyle name="Percent" xfId="26" builtinId="5"/>
    <cellStyle name="Percent 2" xfId="3" xr:uid="{397A817E-5377-42FD-93EC-A530624BD08B}"/>
    <cellStyle name="Percent 2 3 2" xfId="24" xr:uid="{5654A194-F2D5-4B80-83A1-B63B92A4B3CA}"/>
    <cellStyle name="Percent 2 4" xfId="23" xr:uid="{3A04CC1E-B5C1-49AD-9F44-11BB62E1E719}"/>
    <cellStyle name="Percent 4 2 2" xfId="16" xr:uid="{A49DBBC4-80AB-422B-95E1-C554BA1C67FB}"/>
    <cellStyle name="Percent 5" xfId="20" xr:uid="{2E9CAA59-6667-43FD-9404-452F132D72B2}"/>
  </cellStyles>
  <dxfs count="45">
    <dxf>
      <font>
        <color rgb="FFFF0000"/>
      </font>
    </dxf>
    <dxf>
      <font>
        <color rgb="FFFF0000"/>
      </font>
    </dxf>
    <dxf>
      <font>
        <color rgb="FFFF0000"/>
      </font>
    </dxf>
    <dxf>
      <font>
        <b/>
        <i val="0"/>
        <color rgb="FF00B050"/>
      </font>
    </dxf>
    <dxf>
      <font>
        <color rgb="FFFF0000"/>
      </font>
    </dxf>
    <dxf>
      <font>
        <color rgb="FFFF0000"/>
      </font>
      <fill>
        <patternFill patternType="none">
          <bgColor auto="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b/>
        <i val="0"/>
        <color rgb="FF00B050"/>
      </font>
    </dxf>
    <dxf>
      <font>
        <color rgb="FFFF0000"/>
      </font>
    </dxf>
    <dxf>
      <font>
        <color rgb="FF006100"/>
      </font>
      <fill>
        <patternFill>
          <bgColor rgb="FFC6EFCE"/>
        </patternFill>
      </fill>
    </dxf>
    <dxf>
      <font>
        <color rgb="FFC00000"/>
      </font>
      <fill>
        <patternFill>
          <bgColor theme="5" tint="0.79998168889431442"/>
        </patternFill>
      </fill>
    </dxf>
    <dxf>
      <font>
        <color rgb="FF9C0006"/>
      </font>
      <fill>
        <patternFill>
          <bgColor rgb="FFFFC7CE"/>
        </patternFill>
      </fill>
    </dxf>
    <dxf>
      <font>
        <color rgb="FF006100"/>
      </font>
      <fill>
        <patternFill>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C00000"/>
      </font>
      <fill>
        <patternFill>
          <bgColor theme="5" tint="0.79998168889431442"/>
        </patternFill>
      </fill>
    </dxf>
    <dxf>
      <font>
        <color rgb="FFFF0000"/>
      </font>
    </dxf>
    <dxf>
      <font>
        <color rgb="FFFF0000"/>
      </font>
    </dxf>
    <dxf>
      <font>
        <b/>
        <i val="0"/>
        <color theme="0"/>
      </font>
      <fill>
        <patternFill>
          <fgColor auto="1"/>
          <bgColor rgb="FFFA621C"/>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10</xdr:col>
      <xdr:colOff>9526</xdr:colOff>
      <xdr:row>3</xdr:row>
      <xdr:rowOff>28575</xdr:rowOff>
    </xdr:from>
    <xdr:to>
      <xdr:col>11</xdr:col>
      <xdr:colOff>47626</xdr:colOff>
      <xdr:row>4</xdr:row>
      <xdr:rowOff>171450</xdr:rowOff>
    </xdr:to>
    <xdr:sp macro="[0]!CashInEquityCheck" textlink="">
      <xdr:nvSpPr>
        <xdr:cNvPr id="2" name="Rectangle: Rounded Corners 1">
          <a:extLst>
            <a:ext uri="{FF2B5EF4-FFF2-40B4-BE49-F238E27FC236}">
              <a16:creationId xmlns:a16="http://schemas.microsoft.com/office/drawing/2014/main" id="{B2FAC9CE-E863-552E-6E29-AFA922775DDA}"/>
            </a:ext>
          </a:extLst>
        </xdr:cNvPr>
        <xdr:cNvSpPr/>
      </xdr:nvSpPr>
      <xdr:spPr>
        <a:xfrm>
          <a:off x="11972926" y="571500"/>
          <a:ext cx="1123950" cy="323850"/>
        </a:xfrm>
        <a:prstGeom prst="roundRect">
          <a:avLst/>
        </a:prstGeom>
        <a:solidFill>
          <a:schemeClr val="accent1">
            <a:lumMod val="75000"/>
          </a:schemeClr>
        </a:solidFill>
        <a:ln>
          <a:solidFill>
            <a:schemeClr val="bg1">
              <a:lumMod val="95000"/>
            </a:schemeClr>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Cash in Equity</a:t>
          </a:r>
        </a:p>
      </xdr:txBody>
    </xdr:sp>
    <xdr:clientData/>
  </xdr:twoCellAnchor>
</xdr:wsDr>
</file>

<file path=xl/persons/person.xml><?xml version="1.0" encoding="utf-8"?>
<personList xmlns="http://schemas.microsoft.com/office/spreadsheetml/2018/threadedcomments" xmlns:x="http://schemas.openxmlformats.org/spreadsheetml/2006/main">
  <person displayName="{Dallah Investment} Ziad Nawfal" id="{7E6F6CB4-626F-4617-ABA6-C219FE8BC60F}" userId="S::Z.Nawfal@Dallah.com::76a13ad7-32e5-40cb-bf84-1e6ec944235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5" dT="2025-10-01T12:09:59.80" personId="{7E6F6CB4-626F-4617-ABA6-C219FE8BC60F}" id="{C737473B-CA67-4A18-95D9-20CC9AFE05B6}">
    <text>Deducted as Capex under “Investing”</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6C9A5-7000-46C0-BB26-B5DD7144432F}">
  <sheetPr codeName="Sheet3">
    <pageSetUpPr fitToPage="1"/>
  </sheetPr>
  <dimension ref="A1:Q16"/>
  <sheetViews>
    <sheetView showGridLines="0" zoomScale="80" zoomScaleNormal="80" zoomScaleSheetLayoutView="85" workbookViewId="0">
      <selection activeCell="E7" sqref="E7"/>
    </sheetView>
  </sheetViews>
  <sheetFormatPr defaultColWidth="8.44140625" defaultRowHeight="19.5" customHeight="1"/>
  <cols>
    <col min="1" max="1" width="4.33203125" style="116" customWidth="1"/>
    <col min="2" max="2" width="4.5546875" style="116" customWidth="1"/>
    <col min="3" max="3" width="19.77734375" style="116" customWidth="1"/>
    <col min="4" max="11" width="9.88671875" style="116" customWidth="1"/>
    <col min="12" max="12" width="24.6640625" style="116" customWidth="1"/>
    <col min="13" max="13" width="9.88671875" style="116" customWidth="1"/>
    <col min="14" max="14" width="4.5546875" style="116" customWidth="1"/>
    <col min="15" max="15" width="8.44140625" style="116" customWidth="1"/>
    <col min="16" max="16" width="18.5546875" style="116" bestFit="1" customWidth="1"/>
    <col min="17" max="16384" width="8.44140625" style="116"/>
  </cols>
  <sheetData>
    <row r="1" spans="1:17" ht="19.5" customHeight="1" thickBot="1">
      <c r="A1" s="115"/>
    </row>
    <row r="2" spans="1:17" ht="19.5" customHeight="1" thickTop="1">
      <c r="B2" s="117"/>
      <c r="C2" s="118"/>
      <c r="D2" s="118"/>
      <c r="E2" s="118"/>
      <c r="F2" s="118"/>
      <c r="G2" s="118"/>
      <c r="H2" s="118"/>
      <c r="I2" s="118"/>
      <c r="J2" s="118"/>
      <c r="K2" s="118"/>
      <c r="L2" s="118"/>
      <c r="M2" s="118"/>
      <c r="N2" s="119"/>
    </row>
    <row r="3" spans="1:17" ht="19.5" customHeight="1">
      <c r="B3" s="120"/>
      <c r="C3" s="1"/>
      <c r="D3" s="1"/>
      <c r="E3" s="1"/>
      <c r="F3" s="1"/>
      <c r="G3" s="1"/>
      <c r="H3" s="1"/>
      <c r="I3" s="1"/>
      <c r="J3" s="1"/>
      <c r="K3" s="1"/>
      <c r="L3" s="1"/>
      <c r="M3" s="1"/>
      <c r="N3" s="121"/>
    </row>
    <row r="4" spans="1:17" ht="19.5" customHeight="1">
      <c r="B4" s="120"/>
      <c r="C4" s="1"/>
      <c r="D4" s="1"/>
      <c r="E4" s="1"/>
      <c r="F4" s="1"/>
      <c r="G4" s="1"/>
      <c r="H4" s="1"/>
      <c r="I4" s="1"/>
      <c r="J4" s="1"/>
      <c r="K4" s="1"/>
      <c r="L4" s="1"/>
      <c r="M4" s="1"/>
      <c r="N4" s="121"/>
    </row>
    <row r="5" spans="1:17" ht="19.5" customHeight="1">
      <c r="B5" s="120"/>
      <c r="C5" s="1"/>
      <c r="D5" s="1"/>
      <c r="E5" s="1"/>
      <c r="F5" s="1"/>
      <c r="G5" s="1"/>
      <c r="H5" s="1"/>
      <c r="I5" s="1"/>
      <c r="J5" s="1"/>
      <c r="K5" s="1"/>
      <c r="L5" s="1"/>
      <c r="M5" s="1"/>
      <c r="N5" s="121"/>
    </row>
    <row r="6" spans="1:17" ht="19.5" customHeight="1">
      <c r="B6" s="122"/>
      <c r="N6" s="123"/>
    </row>
    <row r="7" spans="1:17" ht="28.5" customHeight="1">
      <c r="B7" s="122"/>
      <c r="C7" s="227" t="s">
        <v>399</v>
      </c>
      <c r="M7" s="124" t="s">
        <v>396</v>
      </c>
      <c r="N7" s="123"/>
    </row>
    <row r="8" spans="1:17" ht="16.8">
      <c r="B8" s="122"/>
      <c r="C8" s="227" t="s">
        <v>397</v>
      </c>
      <c r="K8" s="125"/>
      <c r="N8" s="123"/>
      <c r="Q8" s="125"/>
    </row>
    <row r="9" spans="1:17" ht="19.5" customHeight="1">
      <c r="B9" s="122"/>
      <c r="C9" s="126"/>
      <c r="K9" s="125"/>
      <c r="N9" s="123"/>
      <c r="Q9" s="125"/>
    </row>
    <row r="10" spans="1:17" ht="19.5" customHeight="1">
      <c r="B10" s="122"/>
      <c r="C10" s="338" t="s">
        <v>398</v>
      </c>
      <c r="H10" s="127"/>
      <c r="I10" s="128"/>
      <c r="J10" s="128"/>
      <c r="K10" s="128"/>
      <c r="L10" s="128"/>
      <c r="M10" s="129"/>
      <c r="N10" s="123"/>
    </row>
    <row r="11" spans="1:17" ht="19.5" customHeight="1">
      <c r="B11" s="122"/>
      <c r="C11" s="339" t="s">
        <v>400</v>
      </c>
      <c r="H11" s="130"/>
      <c r="M11" s="131"/>
      <c r="N11" s="123"/>
    </row>
    <row r="12" spans="1:17" ht="19.5" customHeight="1">
      <c r="B12" s="122"/>
      <c r="C12" s="339" t="s">
        <v>401</v>
      </c>
      <c r="H12" s="130"/>
      <c r="L12" s="130"/>
      <c r="M12" s="131"/>
      <c r="N12" s="123"/>
    </row>
    <row r="13" spans="1:17" ht="19.5" customHeight="1">
      <c r="B13" s="122"/>
      <c r="C13" s="339" t="s">
        <v>438</v>
      </c>
      <c r="H13" s="130"/>
      <c r="L13" s="130"/>
      <c r="M13" s="131"/>
      <c r="N13" s="123"/>
    </row>
    <row r="14" spans="1:17" ht="19.5" customHeight="1">
      <c r="B14" s="122"/>
      <c r="C14" s="228" t="s">
        <v>531</v>
      </c>
      <c r="H14" s="130"/>
      <c r="L14" s="130"/>
      <c r="M14" s="131"/>
      <c r="N14" s="123"/>
    </row>
    <row r="15" spans="1:17" ht="19.5" customHeight="1" thickBot="1">
      <c r="B15" s="132"/>
      <c r="C15" s="133"/>
      <c r="D15" s="133"/>
      <c r="E15" s="133"/>
      <c r="F15" s="133"/>
      <c r="G15" s="133"/>
      <c r="H15" s="133"/>
      <c r="I15" s="133"/>
      <c r="J15" s="133"/>
      <c r="K15" s="133"/>
      <c r="L15" s="133"/>
      <c r="M15" s="133"/>
      <c r="N15" s="134" t="s">
        <v>349</v>
      </c>
    </row>
    <row r="16" spans="1:17" ht="19.5" customHeight="1" thickTop="1"/>
  </sheetData>
  <conditionalFormatting sqref="M11:M14">
    <cfRule type="expression" dxfId="44" priority="1">
      <formula>M11=1</formula>
    </cfRule>
  </conditionalFormatting>
  <hyperlinks>
    <hyperlink ref="C11" location="Assumptions!A1" display="Assumptions" xr:uid="{6047CA80-9199-44A8-8436-C50D516A6889}"/>
    <hyperlink ref="C12" location="FS!A1" display="FS" xr:uid="{B43680B3-98F3-4787-96F9-F703893358E7}"/>
    <hyperlink ref="C13" location="HBU!A1" display="HBU" xr:uid="{BCD9DA61-6C69-4292-8E96-D1FBA2188E90}"/>
    <hyperlink ref="C14" location="'Consolidated Fund'!A1" display="Consolidated Fund" xr:uid="{A1842486-5DB3-46C5-A0D7-A05653799A00}"/>
  </hyperlinks>
  <printOptions horizontalCentered="1" verticalCentered="1"/>
  <pageMargins left="0.31496062992125984" right="0.31496062992125984" top="0.31496062992125984" bottom="0.31496062992125984" header="0.31496062992125984" footer="0.31496062992125984"/>
  <pageSetup scale="77"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361E0-C842-4610-B1D6-415355C0D34A}">
  <sheetPr published="0" codeName="Sheet2">
    <tabColor theme="5" tint="0.59999389629810485"/>
  </sheetPr>
  <dimension ref="A1:BB784"/>
  <sheetViews>
    <sheetView showGridLines="0" zoomScale="80" zoomScaleNormal="80" workbookViewId="0">
      <pane xSplit="6" ySplit="3" topLeftCell="G374" activePane="bottomRight" state="frozen"/>
      <selection activeCell="AE6" sqref="AE6"/>
      <selection pane="topRight" activeCell="AE6" sqref="AE6"/>
      <selection pane="bottomLeft" activeCell="AE6" sqref="AE6"/>
      <selection pane="bottomRight" activeCell="I399" sqref="I399:L399"/>
    </sheetView>
  </sheetViews>
  <sheetFormatPr defaultColWidth="10" defaultRowHeight="12.6" outlineLevelRow="1" outlineLevelCol="1"/>
  <cols>
    <col min="1" max="1" width="2.21875" style="2" customWidth="1"/>
    <col min="2" max="3" width="4.21875" style="2" customWidth="1"/>
    <col min="4" max="4" width="57.44140625" style="2" customWidth="1"/>
    <col min="5" max="5" width="55.77734375" style="2" hidden="1" customWidth="1" outlineLevel="1"/>
    <col min="6" max="6" width="8.33203125" style="2" bestFit="1" customWidth="1" collapsed="1"/>
    <col min="7" max="7" width="16.77734375" style="2" customWidth="1"/>
    <col min="8" max="8" width="18.6640625" style="2" bestFit="1" customWidth="1"/>
    <col min="9" max="17" width="13.77734375" style="2" customWidth="1"/>
    <col min="18" max="20" width="14.6640625" style="2" bestFit="1" customWidth="1"/>
    <col min="21" max="23" width="15.6640625" style="2" bestFit="1" customWidth="1"/>
    <col min="24" max="25" width="12.21875" style="2" bestFit="1" customWidth="1"/>
    <col min="26" max="29" width="11.6640625" style="2" bestFit="1" customWidth="1"/>
    <col min="30" max="16384" width="10" style="2"/>
  </cols>
  <sheetData>
    <row r="1" spans="2:23" ht="15" customHeight="1">
      <c r="B1" s="112" t="s">
        <v>129</v>
      </c>
      <c r="C1" s="108"/>
      <c r="D1" s="108"/>
      <c r="E1" s="109"/>
      <c r="F1" s="110"/>
      <c r="G1" s="111">
        <v>2024</v>
      </c>
      <c r="H1" s="111">
        <v>2025</v>
      </c>
      <c r="I1" s="111">
        <v>2026</v>
      </c>
      <c r="J1" s="111">
        <v>2027</v>
      </c>
      <c r="K1" s="111">
        <v>2028</v>
      </c>
      <c r="L1" s="111">
        <v>2029</v>
      </c>
      <c r="M1" s="111">
        <v>2030</v>
      </c>
      <c r="N1" s="111">
        <v>2031</v>
      </c>
      <c r="O1" s="111">
        <v>2032</v>
      </c>
      <c r="P1" s="111">
        <v>2033</v>
      </c>
      <c r="Q1" s="111">
        <v>2034</v>
      </c>
      <c r="R1" s="111">
        <v>2035</v>
      </c>
      <c r="S1" s="111">
        <v>2036</v>
      </c>
      <c r="T1" s="111">
        <v>2037</v>
      </c>
      <c r="U1" s="111">
        <v>2038</v>
      </c>
      <c r="V1" s="111">
        <v>2039</v>
      </c>
      <c r="W1" s="111">
        <v>2040</v>
      </c>
    </row>
    <row r="2" spans="2:23" ht="15" hidden="1" customHeight="1">
      <c r="D2" s="38"/>
      <c r="E2" s="38"/>
      <c r="H2" s="39"/>
      <c r="I2" s="39"/>
      <c r="J2" s="39"/>
      <c r="K2" s="39"/>
      <c r="L2" s="39"/>
      <c r="M2" s="39"/>
      <c r="N2" s="39"/>
      <c r="O2" s="39"/>
      <c r="P2" s="39"/>
      <c r="Q2" s="39"/>
      <c r="R2" s="39"/>
      <c r="S2" s="39"/>
      <c r="T2" s="39"/>
      <c r="U2" s="39"/>
      <c r="V2" s="39"/>
      <c r="W2" s="39"/>
    </row>
    <row r="3" spans="2:23" s="40" customFormat="1" ht="3.75" customHeight="1"/>
    <row r="4" spans="2:23" s="40" customFormat="1" ht="3.75" customHeight="1">
      <c r="B4" s="41"/>
      <c r="C4" s="41"/>
    </row>
    <row r="5" spans="2:23" s="40" customFormat="1" ht="15" customHeight="1">
      <c r="B5" s="197">
        <v>1</v>
      </c>
      <c r="C5" s="197"/>
      <c r="D5" s="198" t="s">
        <v>2</v>
      </c>
      <c r="E5" s="198" t="s">
        <v>130</v>
      </c>
      <c r="F5" s="198"/>
      <c r="G5" s="198"/>
      <c r="H5" s="198"/>
      <c r="I5" s="198"/>
      <c r="J5" s="198"/>
      <c r="K5" s="198"/>
      <c r="L5" s="198"/>
      <c r="M5" s="198"/>
      <c r="N5" s="198"/>
      <c r="O5" s="198"/>
      <c r="P5" s="198"/>
      <c r="Q5" s="198"/>
      <c r="R5" s="198"/>
      <c r="S5" s="198"/>
      <c r="T5" s="198"/>
      <c r="U5" s="198"/>
      <c r="V5" s="198"/>
      <c r="W5" s="198"/>
    </row>
    <row r="6" spans="2:23" s="40" customFormat="1" ht="7.5" customHeight="1">
      <c r="B6" s="221"/>
      <c r="C6" s="221"/>
    </row>
    <row r="7" spans="2:23" s="40" customFormat="1" ht="57" customHeight="1">
      <c r="B7" s="221"/>
      <c r="C7" s="221"/>
      <c r="D7" s="42" t="s">
        <v>403</v>
      </c>
    </row>
    <row r="8" spans="2:23" s="40" customFormat="1" ht="15" customHeight="1">
      <c r="B8" s="221"/>
      <c r="C8" s="221"/>
    </row>
    <row r="9" spans="2:23" s="40" customFormat="1" ht="15" customHeight="1">
      <c r="B9" s="221"/>
      <c r="C9" s="43">
        <v>1.1000000000000001</v>
      </c>
      <c r="D9" s="1" t="s">
        <v>21</v>
      </c>
      <c r="E9" s="1"/>
      <c r="F9" s="1"/>
      <c r="G9" s="1"/>
      <c r="H9" s="1"/>
      <c r="I9" s="1"/>
      <c r="J9" s="1"/>
      <c r="K9" s="1"/>
      <c r="L9" s="1"/>
      <c r="M9" s="1"/>
      <c r="N9" s="1"/>
      <c r="O9" s="1"/>
      <c r="P9" s="1"/>
      <c r="Q9" s="1"/>
      <c r="R9" s="1"/>
      <c r="S9" s="1"/>
      <c r="T9" s="1"/>
      <c r="U9" s="1"/>
      <c r="V9" s="1"/>
      <c r="W9" s="1"/>
    </row>
    <row r="10" spans="2:23" s="40" customFormat="1" ht="7.5" customHeight="1"/>
    <row r="11" spans="2:23" s="40" customFormat="1" ht="15" customHeight="1">
      <c r="D11" s="42" t="s">
        <v>131</v>
      </c>
    </row>
    <row r="12" spans="2:23" s="40" customFormat="1" ht="15" customHeight="1">
      <c r="D12" s="42" t="s">
        <v>132</v>
      </c>
    </row>
    <row r="13" spans="2:23" s="40" customFormat="1" ht="15" customHeight="1">
      <c r="D13" s="42" t="s">
        <v>133</v>
      </c>
    </row>
    <row r="14" spans="2:23" s="40" customFormat="1" ht="15" customHeight="1"/>
    <row r="15" spans="2:23" s="40" customFormat="1" ht="15" customHeight="1">
      <c r="D15" s="1" t="s">
        <v>131</v>
      </c>
      <c r="E15" s="1" t="s">
        <v>134</v>
      </c>
      <c r="F15" s="1"/>
      <c r="G15" s="1"/>
      <c r="H15" s="1"/>
      <c r="I15" s="1"/>
      <c r="J15" s="1"/>
      <c r="K15" s="1"/>
      <c r="L15" s="1"/>
      <c r="M15" s="1"/>
      <c r="N15" s="1"/>
      <c r="O15" s="1"/>
      <c r="P15" s="1"/>
      <c r="Q15" s="1"/>
      <c r="R15" s="1"/>
      <c r="S15" s="1"/>
      <c r="T15" s="1"/>
      <c r="U15" s="1"/>
      <c r="V15" s="1"/>
      <c r="W15" s="1"/>
    </row>
    <row r="16" spans="2:23" s="40" customFormat="1" ht="7.5" customHeight="1"/>
    <row r="17" spans="2:23" s="40" customFormat="1" ht="15" customHeight="1">
      <c r="D17" s="44" t="s">
        <v>135</v>
      </c>
    </row>
    <row r="18" spans="2:23" s="40" customFormat="1" ht="7.5" customHeight="1"/>
    <row r="19" spans="2:23" ht="15" customHeight="1">
      <c r="B19" s="40"/>
      <c r="D19" s="45" t="s">
        <v>136</v>
      </c>
      <c r="E19" s="46" t="s">
        <v>137</v>
      </c>
      <c r="H19" s="205">
        <v>4321</v>
      </c>
      <c r="I19" s="205">
        <v>4321</v>
      </c>
      <c r="J19" s="205">
        <v>4321</v>
      </c>
      <c r="K19" s="205">
        <v>4321</v>
      </c>
      <c r="L19" s="205">
        <v>4321</v>
      </c>
      <c r="M19" s="205">
        <v>4321</v>
      </c>
      <c r="N19" s="205">
        <v>4321</v>
      </c>
      <c r="O19" s="205">
        <v>4321</v>
      </c>
      <c r="P19" s="205">
        <v>4321</v>
      </c>
      <c r="Q19" s="205">
        <v>4321</v>
      </c>
      <c r="R19" s="205">
        <v>4321</v>
      </c>
      <c r="S19" s="205">
        <v>4321</v>
      </c>
      <c r="T19" s="205">
        <v>4321</v>
      </c>
      <c r="U19" s="205">
        <v>4321</v>
      </c>
      <c r="V19" s="205">
        <v>4321</v>
      </c>
      <c r="W19" s="205">
        <v>4321</v>
      </c>
    </row>
    <row r="20" spans="2:23" s="40" customFormat="1" ht="15" customHeight="1">
      <c r="D20" s="48"/>
      <c r="E20" s="49"/>
    </row>
    <row r="21" spans="2:23" s="40" customFormat="1" ht="15" customHeight="1">
      <c r="D21" s="48" t="s">
        <v>138</v>
      </c>
      <c r="E21" s="46" t="s">
        <v>137</v>
      </c>
      <c r="H21" s="205">
        <v>365</v>
      </c>
      <c r="I21" s="205">
        <v>365</v>
      </c>
      <c r="J21" s="205">
        <v>365</v>
      </c>
      <c r="K21" s="205">
        <v>366</v>
      </c>
      <c r="L21" s="205">
        <v>365</v>
      </c>
      <c r="M21" s="205">
        <v>365</v>
      </c>
      <c r="N21" s="205">
        <v>365</v>
      </c>
      <c r="O21" s="205">
        <v>366</v>
      </c>
      <c r="P21" s="205">
        <v>365</v>
      </c>
      <c r="Q21" s="205">
        <v>365</v>
      </c>
      <c r="R21" s="205">
        <v>365</v>
      </c>
      <c r="S21" s="205">
        <v>366</v>
      </c>
      <c r="T21" s="205">
        <v>365</v>
      </c>
      <c r="U21" s="205">
        <v>365</v>
      </c>
      <c r="V21" s="205">
        <v>365</v>
      </c>
      <c r="W21" s="205">
        <v>366</v>
      </c>
    </row>
    <row r="22" spans="2:23" s="40" customFormat="1" ht="15" customHeight="1">
      <c r="D22" s="48"/>
      <c r="E22" s="49"/>
    </row>
    <row r="23" spans="2:23" ht="15" customHeight="1">
      <c r="B23" s="50" t="s">
        <v>139</v>
      </c>
      <c r="D23" s="45" t="s">
        <v>140</v>
      </c>
      <c r="E23" s="46" t="s">
        <v>141</v>
      </c>
      <c r="H23" s="206">
        <v>0.61358000000000001</v>
      </c>
      <c r="I23" s="206">
        <v>0.61358000000000001</v>
      </c>
      <c r="J23" s="206">
        <v>0.65</v>
      </c>
      <c r="K23" s="206">
        <v>0.65</v>
      </c>
      <c r="L23" s="206">
        <v>0.65</v>
      </c>
      <c r="M23" s="206">
        <v>0.67</v>
      </c>
      <c r="N23" s="206">
        <v>0.67</v>
      </c>
      <c r="O23" s="206">
        <v>0.67</v>
      </c>
      <c r="P23" s="206">
        <v>0.67</v>
      </c>
      <c r="Q23" s="206">
        <v>0.67</v>
      </c>
      <c r="R23" s="206">
        <v>0.67</v>
      </c>
      <c r="S23" s="206">
        <v>0.67</v>
      </c>
      <c r="T23" s="206">
        <v>0.67</v>
      </c>
      <c r="U23" s="206">
        <v>0.69</v>
      </c>
      <c r="V23" s="206">
        <f>U23</f>
        <v>0.69</v>
      </c>
      <c r="W23" s="206">
        <f>V23</f>
        <v>0.69</v>
      </c>
    </row>
    <row r="24" spans="2:23" s="40" customFormat="1" ht="15" customHeight="1">
      <c r="D24" s="48"/>
      <c r="E24" s="49"/>
    </row>
    <row r="25" spans="2:23" s="40" customFormat="1" ht="15" customHeight="1">
      <c r="D25" s="51" t="s">
        <v>142</v>
      </c>
      <c r="E25" s="49"/>
      <c r="H25" s="52">
        <f t="shared" ref="H25:W25" si="0">H19*H21*H23</f>
        <v>967716.9007</v>
      </c>
      <c r="I25" s="52">
        <f t="shared" si="0"/>
        <v>967716.9007</v>
      </c>
      <c r="J25" s="52">
        <f t="shared" si="0"/>
        <v>1025157.25</v>
      </c>
      <c r="K25" s="52">
        <f>K19*K21*K23</f>
        <v>1027965.9</v>
      </c>
      <c r="L25" s="52">
        <f t="shared" si="0"/>
        <v>1025157.25</v>
      </c>
      <c r="M25" s="52">
        <f t="shared" si="0"/>
        <v>1056700.55</v>
      </c>
      <c r="N25" s="52">
        <f t="shared" si="0"/>
        <v>1056700.55</v>
      </c>
      <c r="O25" s="52">
        <f t="shared" si="0"/>
        <v>1059595.6200000001</v>
      </c>
      <c r="P25" s="52">
        <f t="shared" si="0"/>
        <v>1056700.55</v>
      </c>
      <c r="Q25" s="52">
        <f t="shared" si="0"/>
        <v>1056700.55</v>
      </c>
      <c r="R25" s="52">
        <f t="shared" si="0"/>
        <v>1056700.55</v>
      </c>
      <c r="S25" s="52">
        <f t="shared" si="0"/>
        <v>1059595.6200000001</v>
      </c>
      <c r="T25" s="52">
        <f t="shared" si="0"/>
        <v>1056700.55</v>
      </c>
      <c r="U25" s="52">
        <f t="shared" si="0"/>
        <v>1088243.8499999999</v>
      </c>
      <c r="V25" s="52">
        <f t="shared" si="0"/>
        <v>1088243.8499999999</v>
      </c>
      <c r="W25" s="52">
        <f t="shared" si="0"/>
        <v>1091225.3399999999</v>
      </c>
    </row>
    <row r="26" spans="2:23" s="40" customFormat="1" ht="15" customHeight="1">
      <c r="D26" s="48"/>
      <c r="E26" s="49"/>
    </row>
    <row r="27" spans="2:23" ht="15" customHeight="1">
      <c r="B27" s="50" t="s">
        <v>139</v>
      </c>
      <c r="D27" s="45" t="s">
        <v>143</v>
      </c>
      <c r="E27" s="46" t="s">
        <v>141</v>
      </c>
      <c r="H27" s="205">
        <v>256.61271900000003</v>
      </c>
      <c r="I27" s="205">
        <f>H27*1.2</f>
        <v>307.93526280000003</v>
      </c>
      <c r="J27" s="205">
        <f>I27*1.153</f>
        <v>355.04935800840002</v>
      </c>
      <c r="K27" s="205">
        <v>393.36523157784916</v>
      </c>
      <c r="L27" s="205">
        <f>K27*1.075</f>
        <v>422.86762394618785</v>
      </c>
      <c r="M27" s="205">
        <f t="shared" ref="M27:V27" si="1">L27*1.023</f>
        <v>432.59357929695011</v>
      </c>
      <c r="N27" s="205">
        <f t="shared" si="1"/>
        <v>442.54323162077992</v>
      </c>
      <c r="O27" s="205">
        <f t="shared" si="1"/>
        <v>452.72172594805784</v>
      </c>
      <c r="P27" s="205">
        <f t="shared" si="1"/>
        <v>463.13432564486311</v>
      </c>
      <c r="Q27" s="205">
        <f t="shared" si="1"/>
        <v>473.78641513469495</v>
      </c>
      <c r="R27" s="205">
        <f t="shared" si="1"/>
        <v>484.68350268279289</v>
      </c>
      <c r="S27" s="205">
        <f t="shared" si="1"/>
        <v>495.8312232444971</v>
      </c>
      <c r="T27" s="205">
        <f t="shared" si="1"/>
        <v>507.23534137912048</v>
      </c>
      <c r="U27" s="205">
        <f t="shared" si="1"/>
        <v>518.9017542308402</v>
      </c>
      <c r="V27" s="205">
        <f t="shared" si="1"/>
        <v>530.83649457814943</v>
      </c>
      <c r="W27" s="205">
        <f>V27*1.023</f>
        <v>543.04573395344687</v>
      </c>
    </row>
    <row r="28" spans="2:23" s="40" customFormat="1" ht="15" customHeight="1">
      <c r="D28" s="48"/>
      <c r="E28" s="49"/>
      <c r="I28" s="257">
        <f>I27/H27-1</f>
        <v>0.19999999999999996</v>
      </c>
      <c r="J28" s="258">
        <f t="shared" ref="J28:S28" si="2">J27/I27-1</f>
        <v>0.15300000000000002</v>
      </c>
      <c r="K28" s="258">
        <f t="shared" si="2"/>
        <v>0.10791703380165707</v>
      </c>
      <c r="L28" s="255">
        <f t="shared" si="2"/>
        <v>7.4999999999999956E-2</v>
      </c>
      <c r="M28" s="255">
        <f t="shared" si="2"/>
        <v>2.2999999999999909E-2</v>
      </c>
      <c r="N28" s="255">
        <f t="shared" si="2"/>
        <v>2.2999999999999909E-2</v>
      </c>
      <c r="O28" s="255">
        <f t="shared" si="2"/>
        <v>2.2999999999999909E-2</v>
      </c>
      <c r="P28" s="255">
        <f t="shared" si="2"/>
        <v>2.2999999999999909E-2</v>
      </c>
      <c r="Q28" s="255">
        <f t="shared" si="2"/>
        <v>2.2999999999999909E-2</v>
      </c>
      <c r="R28" s="255">
        <f t="shared" si="2"/>
        <v>2.2999999999999909E-2</v>
      </c>
      <c r="S28" s="255">
        <f t="shared" si="2"/>
        <v>2.2999999999999909E-2</v>
      </c>
      <c r="T28" s="256">
        <f t="shared" ref="T28" si="3">T27/S27-1</f>
        <v>2.2999999999999909E-2</v>
      </c>
      <c r="U28" s="255">
        <f t="shared" ref="U28" si="4">U27/T27-1</f>
        <v>2.2999999999999909E-2</v>
      </c>
      <c r="V28" s="257">
        <f t="shared" ref="V28" si="5">V27/U27-1</f>
        <v>2.2999999999999909E-2</v>
      </c>
      <c r="W28" s="255">
        <f t="shared" ref="W28" si="6">W27/V27-1</f>
        <v>2.2999999999999909E-2</v>
      </c>
    </row>
    <row r="29" spans="2:23" s="40" customFormat="1" ht="15" customHeight="1">
      <c r="D29" s="53" t="s">
        <v>131</v>
      </c>
      <c r="H29" s="54">
        <f t="shared" ref="H29:W29" si="7">H25*H27</f>
        <v>248328465.11088002</v>
      </c>
      <c r="I29" s="54">
        <f t="shared" si="7"/>
        <v>297994158.13305604</v>
      </c>
      <c r="J29" s="54">
        <f t="shared" si="7"/>
        <v>363981423.47015685</v>
      </c>
      <c r="K29" s="54">
        <f t="shared" si="7"/>
        <v>404366044.30763215</v>
      </c>
      <c r="L29" s="54">
        <f t="shared" si="7"/>
        <v>433505810.47870809</v>
      </c>
      <c r="M29" s="54">
        <f t="shared" si="7"/>
        <v>457121873.16955584</v>
      </c>
      <c r="N29" s="54">
        <f t="shared" si="7"/>
        <v>467635676.25245553</v>
      </c>
      <c r="O29" s="54">
        <f t="shared" si="7"/>
        <v>479701957.89340246</v>
      </c>
      <c r="P29" s="54">
        <f t="shared" si="7"/>
        <v>489394296.632806</v>
      </c>
      <c r="Q29" s="54">
        <f t="shared" si="7"/>
        <v>500650365.45536047</v>
      </c>
      <c r="R29" s="54">
        <f t="shared" si="7"/>
        <v>512165323.86083376</v>
      </c>
      <c r="S29" s="54">
        <f t="shared" si="7"/>
        <v>525380592.40911138</v>
      </c>
      <c r="T29" s="54">
        <f t="shared" si="7"/>
        <v>535995864.2147544</v>
      </c>
      <c r="U29" s="54">
        <f t="shared" si="7"/>
        <v>564691642.79592323</v>
      </c>
      <c r="V29" s="54">
        <f t="shared" si="7"/>
        <v>577679550.5802294</v>
      </c>
      <c r="W29" s="54">
        <f t="shared" si="7"/>
        <v>592585265.66889954</v>
      </c>
    </row>
    <row r="30" spans="2:23" s="40" customFormat="1" ht="15" customHeight="1">
      <c r="E30" s="49"/>
    </row>
    <row r="31" spans="2:23" s="40" customFormat="1" ht="15" hidden="1" customHeight="1" outlineLevel="1">
      <c r="D31" s="55" t="s">
        <v>144</v>
      </c>
      <c r="E31" s="49"/>
      <c r="F31" s="49"/>
      <c r="G31" s="49"/>
      <c r="H31" s="207">
        <v>248328465.11088002</v>
      </c>
      <c r="I31" s="207">
        <v>297994158.13305604</v>
      </c>
      <c r="J31" s="207">
        <v>363981423.47015685</v>
      </c>
      <c r="K31" s="207">
        <v>404366044.30763215</v>
      </c>
      <c r="L31" s="207">
        <v>412536227.08811003</v>
      </c>
      <c r="M31" s="207">
        <v>422024560.31113654</v>
      </c>
      <c r="N31" s="207">
        <v>431731125.19829267</v>
      </c>
      <c r="O31" s="207">
        <v>442870971.0534091</v>
      </c>
      <c r="P31" s="207">
        <v>451819142.72264391</v>
      </c>
      <c r="Q31" s="207">
        <v>462210983.0052647</v>
      </c>
      <c r="R31" s="207">
        <v>472841835.61438572</v>
      </c>
      <c r="S31" s="207">
        <v>485042450.43032074</v>
      </c>
      <c r="T31" s="207">
        <v>494842693.38368738</v>
      </c>
      <c r="U31" s="207">
        <v>506224075.33151215</v>
      </c>
      <c r="V31" s="207">
        <v>517867229.06413692</v>
      </c>
      <c r="W31" s="207">
        <v>529778175.33261228</v>
      </c>
    </row>
    <row r="32" spans="2:23" s="40" customFormat="1" ht="15" hidden="1" customHeight="1" outlineLevel="1">
      <c r="D32" s="55" t="s">
        <v>145</v>
      </c>
      <c r="E32" s="49"/>
      <c r="F32" s="49"/>
      <c r="G32" s="49"/>
      <c r="H32" s="56">
        <f>H29-H31</f>
        <v>0</v>
      </c>
      <c r="I32" s="56">
        <f t="shared" ref="I32:W32" si="8">I29-I31</f>
        <v>0</v>
      </c>
      <c r="J32" s="56">
        <f t="shared" si="8"/>
        <v>0</v>
      </c>
      <c r="K32" s="56">
        <f t="shared" si="8"/>
        <v>0</v>
      </c>
      <c r="L32" s="56">
        <f t="shared" si="8"/>
        <v>20969583.390598059</v>
      </c>
      <c r="M32" s="56">
        <f t="shared" si="8"/>
        <v>35097312.858419299</v>
      </c>
      <c r="N32" s="56">
        <f t="shared" si="8"/>
        <v>35904551.05416286</v>
      </c>
      <c r="O32" s="56">
        <f t="shared" si="8"/>
        <v>36830986.839993358</v>
      </c>
      <c r="P32" s="56">
        <f t="shared" si="8"/>
        <v>37575153.910162091</v>
      </c>
      <c r="Q32" s="56">
        <f t="shared" si="8"/>
        <v>38439382.450095773</v>
      </c>
      <c r="R32" s="56">
        <f t="shared" si="8"/>
        <v>39323488.24644804</v>
      </c>
      <c r="S32" s="56">
        <f t="shared" si="8"/>
        <v>40338141.978790641</v>
      </c>
      <c r="T32" s="56">
        <f t="shared" si="8"/>
        <v>41153170.831067026</v>
      </c>
      <c r="U32" s="56">
        <f t="shared" si="8"/>
        <v>58467567.46441108</v>
      </c>
      <c r="V32" s="56">
        <f t="shared" si="8"/>
        <v>59812321.516092479</v>
      </c>
      <c r="W32" s="56">
        <f t="shared" si="8"/>
        <v>62807090.33628726</v>
      </c>
    </row>
    <row r="33" spans="2:23" s="40" customFormat="1" ht="15" hidden="1" customHeight="1" outlineLevel="1">
      <c r="E33" s="49"/>
    </row>
    <row r="34" spans="2:23" s="40" customFormat="1" ht="15" customHeight="1" collapsed="1">
      <c r="D34" s="1" t="s">
        <v>132</v>
      </c>
      <c r="E34" s="57"/>
      <c r="F34" s="1"/>
      <c r="G34" s="1"/>
      <c r="H34" s="1"/>
      <c r="I34" s="1"/>
      <c r="J34" s="1"/>
      <c r="K34" s="1"/>
      <c r="L34" s="1"/>
      <c r="M34" s="1"/>
      <c r="N34" s="1"/>
      <c r="O34" s="1"/>
      <c r="P34" s="1"/>
      <c r="Q34" s="1"/>
      <c r="R34" s="1"/>
      <c r="S34" s="1"/>
      <c r="T34" s="1"/>
      <c r="U34" s="1"/>
      <c r="V34" s="1"/>
      <c r="W34" s="1"/>
    </row>
    <row r="35" spans="2:23" s="40" customFormat="1" ht="7.5" customHeight="1">
      <c r="E35" s="49"/>
    </row>
    <row r="36" spans="2:23" s="40" customFormat="1" ht="15" customHeight="1">
      <c r="D36" s="44" t="s">
        <v>146</v>
      </c>
      <c r="E36" s="49"/>
    </row>
    <row r="37" spans="2:23" s="40" customFormat="1" ht="7.5" customHeight="1">
      <c r="E37" s="49"/>
    </row>
    <row r="38" spans="2:23" s="40" customFormat="1" ht="15" customHeight="1">
      <c r="D38" s="51" t="s">
        <v>142</v>
      </c>
      <c r="E38" s="49"/>
      <c r="H38" s="52">
        <f t="shared" ref="H38:W38" si="9">H25</f>
        <v>967716.9007</v>
      </c>
      <c r="I38" s="52">
        <f t="shared" si="9"/>
        <v>967716.9007</v>
      </c>
      <c r="J38" s="52">
        <f t="shared" si="9"/>
        <v>1025157.25</v>
      </c>
      <c r="K38" s="52">
        <f t="shared" si="9"/>
        <v>1027965.9</v>
      </c>
      <c r="L38" s="52">
        <f t="shared" si="9"/>
        <v>1025157.25</v>
      </c>
      <c r="M38" s="52">
        <f t="shared" si="9"/>
        <v>1056700.55</v>
      </c>
      <c r="N38" s="52">
        <f t="shared" si="9"/>
        <v>1056700.55</v>
      </c>
      <c r="O38" s="52">
        <f t="shared" si="9"/>
        <v>1059595.6200000001</v>
      </c>
      <c r="P38" s="52">
        <f t="shared" si="9"/>
        <v>1056700.55</v>
      </c>
      <c r="Q38" s="52">
        <f t="shared" si="9"/>
        <v>1056700.55</v>
      </c>
      <c r="R38" s="52">
        <f t="shared" si="9"/>
        <v>1056700.55</v>
      </c>
      <c r="S38" s="52">
        <f t="shared" si="9"/>
        <v>1059595.6200000001</v>
      </c>
      <c r="T38" s="52">
        <f t="shared" si="9"/>
        <v>1056700.55</v>
      </c>
      <c r="U38" s="52">
        <f t="shared" si="9"/>
        <v>1088243.8499999999</v>
      </c>
      <c r="V38" s="52">
        <f t="shared" si="9"/>
        <v>1088243.8499999999</v>
      </c>
      <c r="W38" s="52">
        <f t="shared" si="9"/>
        <v>1091225.3399999999</v>
      </c>
    </row>
    <row r="39" spans="2:23" s="40" customFormat="1" ht="15" customHeight="1">
      <c r="D39" s="48"/>
      <c r="E39" s="49"/>
    </row>
    <row r="40" spans="2:23" ht="15" customHeight="1">
      <c r="B40" s="50" t="s">
        <v>139</v>
      </c>
      <c r="D40" s="45" t="s">
        <v>147</v>
      </c>
      <c r="E40" s="46" t="s">
        <v>141</v>
      </c>
      <c r="H40" s="208">
        <v>3.2371400000000001</v>
      </c>
      <c r="I40" s="208">
        <v>3.2371400000000001</v>
      </c>
      <c r="J40" s="208">
        <v>3.2371400000000001</v>
      </c>
      <c r="K40" s="208">
        <v>3.2371400000000001</v>
      </c>
      <c r="L40" s="208">
        <v>3.2371400000000001</v>
      </c>
      <c r="M40" s="208">
        <v>3.2371400000000001</v>
      </c>
      <c r="N40" s="208">
        <v>3.2371400000000001</v>
      </c>
      <c r="O40" s="208">
        <v>3.2371400000000001</v>
      </c>
      <c r="P40" s="208">
        <v>3.2371400000000001</v>
      </c>
      <c r="Q40" s="208">
        <v>3.2371400000000001</v>
      </c>
      <c r="R40" s="208">
        <v>3.2371400000000001</v>
      </c>
      <c r="S40" s="208">
        <v>3.2371400000000001</v>
      </c>
      <c r="T40" s="208">
        <v>3.2371400000000001</v>
      </c>
      <c r="U40" s="208">
        <v>3.2371400000000001</v>
      </c>
      <c r="V40" s="208">
        <v>3.2371400000000001</v>
      </c>
      <c r="W40" s="208">
        <v>3.2371400000000001</v>
      </c>
    </row>
    <row r="41" spans="2:23" ht="15" customHeight="1">
      <c r="E41" s="30"/>
    </row>
    <row r="42" spans="2:23" s="40" customFormat="1" ht="15" customHeight="1">
      <c r="D42" s="51" t="s">
        <v>148</v>
      </c>
      <c r="E42" s="49"/>
      <c r="H42" s="52">
        <f>ROUND(H38*H40,0)</f>
        <v>3132635</v>
      </c>
      <c r="I42" s="52">
        <f t="shared" ref="I42:W42" si="10">ROUND(I38*I40,0)</f>
        <v>3132635</v>
      </c>
      <c r="J42" s="52">
        <f t="shared" si="10"/>
        <v>3318578</v>
      </c>
      <c r="K42" s="52">
        <f t="shared" si="10"/>
        <v>3327670</v>
      </c>
      <c r="L42" s="52">
        <f t="shared" si="10"/>
        <v>3318578</v>
      </c>
      <c r="M42" s="52">
        <f t="shared" si="10"/>
        <v>3420688</v>
      </c>
      <c r="N42" s="52">
        <f t="shared" si="10"/>
        <v>3420688</v>
      </c>
      <c r="O42" s="52">
        <f t="shared" si="10"/>
        <v>3430059</v>
      </c>
      <c r="P42" s="52">
        <f t="shared" si="10"/>
        <v>3420688</v>
      </c>
      <c r="Q42" s="52">
        <f t="shared" si="10"/>
        <v>3420688</v>
      </c>
      <c r="R42" s="52">
        <f t="shared" si="10"/>
        <v>3420688</v>
      </c>
      <c r="S42" s="52">
        <f t="shared" si="10"/>
        <v>3430059</v>
      </c>
      <c r="T42" s="52">
        <f t="shared" si="10"/>
        <v>3420688</v>
      </c>
      <c r="U42" s="52">
        <f t="shared" si="10"/>
        <v>3522798</v>
      </c>
      <c r="V42" s="52">
        <f t="shared" si="10"/>
        <v>3522798</v>
      </c>
      <c r="W42" s="52">
        <f t="shared" si="10"/>
        <v>3532449</v>
      </c>
    </row>
    <row r="43" spans="2:23" s="40" customFormat="1" ht="15" customHeight="1">
      <c r="E43" s="49"/>
    </row>
    <row r="44" spans="2:23" ht="15" customHeight="1">
      <c r="B44" s="50" t="s">
        <v>139</v>
      </c>
      <c r="D44" s="45" t="s">
        <v>149</v>
      </c>
      <c r="E44" s="46" t="s">
        <v>141</v>
      </c>
      <c r="H44" s="208">
        <v>14.226114139771594</v>
      </c>
      <c r="I44" s="208">
        <v>17.071336967725916</v>
      </c>
      <c r="J44" s="208">
        <v>19.683243084733139</v>
      </c>
      <c r="K44" s="208">
        <v>21.807403490683633</v>
      </c>
      <c r="L44" s="208">
        <v>22.308970500797312</v>
      </c>
      <c r="M44" s="208">
        <v>22.822076822315648</v>
      </c>
      <c r="N44" s="208">
        <v>23.346984589228899</v>
      </c>
      <c r="O44" s="208">
        <v>23.883968735824627</v>
      </c>
      <c r="P44" s="208">
        <v>24.433296435181131</v>
      </c>
      <c r="Q44" s="208">
        <v>24.995262253190301</v>
      </c>
      <c r="R44" s="208">
        <v>25.570153285013671</v>
      </c>
      <c r="S44" s="208">
        <v>26.158270644992161</v>
      </c>
      <c r="T44" s="208">
        <v>26.759906947212073</v>
      </c>
      <c r="U44" s="208">
        <v>27.37538480699795</v>
      </c>
      <c r="V44" s="208">
        <v>28.0050186575589</v>
      </c>
      <c r="W44" s="208">
        <v>28.5708619521156</v>
      </c>
    </row>
    <row r="45" spans="2:23" s="40" customFormat="1" ht="15" customHeight="1">
      <c r="D45" s="48"/>
      <c r="E45" s="49"/>
    </row>
    <row r="46" spans="2:23" s="40" customFormat="1" ht="15" customHeight="1">
      <c r="D46" s="53" t="s">
        <v>132</v>
      </c>
      <c r="H46" s="54">
        <f t="shared" ref="H46:W46" si="11">H42*H44</f>
        <v>44565223.068243384</v>
      </c>
      <c r="I46" s="54">
        <f t="shared" si="11"/>
        <v>53478267.681892075</v>
      </c>
      <c r="J46" s="54">
        <f t="shared" si="11"/>
        <v>65320377.469647527</v>
      </c>
      <c r="K46" s="54">
        <f t="shared" si="11"/>
        <v>72567842.373843208</v>
      </c>
      <c r="L46" s="54">
        <f t="shared" si="11"/>
        <v>74034058.706594944</v>
      </c>
      <c r="M46" s="54">
        <f t="shared" si="11"/>
        <v>78067204.321173266</v>
      </c>
      <c r="N46" s="54">
        <f t="shared" si="11"/>
        <v>79862750.02056022</v>
      </c>
      <c r="O46" s="54">
        <f t="shared" si="11"/>
        <v>81923421.918033883</v>
      </c>
      <c r="P46" s="54">
        <f t="shared" si="11"/>
        <v>83578683.916266873</v>
      </c>
      <c r="Q46" s="54">
        <f t="shared" si="11"/>
        <v>85500993.646341026</v>
      </c>
      <c r="R46" s="54">
        <f t="shared" si="11"/>
        <v>87467516.500206843</v>
      </c>
      <c r="S46" s="54">
        <f t="shared" si="11"/>
        <v>89724411.65029116</v>
      </c>
      <c r="T46" s="54">
        <f t="shared" si="11"/>
        <v>91537292.575444967</v>
      </c>
      <c r="U46" s="54">
        <f t="shared" si="11"/>
        <v>96437950.847322762</v>
      </c>
      <c r="V46" s="54">
        <f t="shared" si="11"/>
        <v>98656023.71681118</v>
      </c>
      <c r="W46" s="54">
        <f t="shared" si="11"/>
        <v>100925112.7318888</v>
      </c>
    </row>
    <row r="47" spans="2:23" s="40" customFormat="1" ht="15" customHeight="1">
      <c r="E47" s="49"/>
    </row>
    <row r="48" spans="2:23" s="40" customFormat="1" ht="15" hidden="1" customHeight="1" outlineLevel="1">
      <c r="D48" s="58" t="s">
        <v>144</v>
      </c>
      <c r="E48" s="49"/>
      <c r="F48" s="49"/>
      <c r="G48" s="49"/>
      <c r="H48" s="207">
        <v>44565223.068243384</v>
      </c>
      <c r="I48" s="207">
        <v>53478267.681892075</v>
      </c>
      <c r="J48" s="207">
        <v>65320377.469647527</v>
      </c>
      <c r="K48" s="207">
        <v>72567842.373843208</v>
      </c>
      <c r="L48" s="207">
        <v>74034058.706594944</v>
      </c>
      <c r="M48" s="207">
        <v>75736842.056846619</v>
      </c>
      <c r="N48" s="207">
        <v>77478789.424154058</v>
      </c>
      <c r="O48" s="207">
        <v>79477966.243141532</v>
      </c>
      <c r="P48" s="207">
        <v>81083800.01727052</v>
      </c>
      <c r="Q48" s="207">
        <v>82948727.417667761</v>
      </c>
      <c r="R48" s="207">
        <v>84856548.148274094</v>
      </c>
      <c r="S48" s="207">
        <v>87046092.477221057</v>
      </c>
      <c r="T48" s="207">
        <v>88804838.477065146</v>
      </c>
      <c r="U48" s="207">
        <v>90847349.762037635</v>
      </c>
      <c r="V48" s="207">
        <v>92936838.806564495</v>
      </c>
      <c r="W48" s="207">
        <v>95074400.192196518</v>
      </c>
    </row>
    <row r="49" spans="2:23" s="40" customFormat="1" ht="15" hidden="1" customHeight="1" outlineLevel="1">
      <c r="D49" s="58" t="s">
        <v>145</v>
      </c>
      <c r="E49" s="49"/>
      <c r="F49" s="49"/>
      <c r="G49" s="49"/>
      <c r="H49" s="59">
        <f>H46-H48</f>
        <v>0</v>
      </c>
      <c r="I49" s="59">
        <f t="shared" ref="I49:W49" si="12">I46-I48</f>
        <v>0</v>
      </c>
      <c r="J49" s="59">
        <f t="shared" si="12"/>
        <v>0</v>
      </c>
      <c r="K49" s="59">
        <f t="shared" si="12"/>
        <v>0</v>
      </c>
      <c r="L49" s="59">
        <f t="shared" si="12"/>
        <v>0</v>
      </c>
      <c r="M49" s="59">
        <f t="shared" si="12"/>
        <v>2330362.2643266469</v>
      </c>
      <c r="N49" s="59">
        <f t="shared" si="12"/>
        <v>2383960.5964061618</v>
      </c>
      <c r="O49" s="59">
        <f t="shared" si="12"/>
        <v>2445455.674892351</v>
      </c>
      <c r="P49" s="59">
        <f t="shared" si="12"/>
        <v>2494883.8989963531</v>
      </c>
      <c r="Q49" s="59">
        <f t="shared" si="12"/>
        <v>2552266.2286732644</v>
      </c>
      <c r="R49" s="59">
        <f t="shared" si="12"/>
        <v>2610968.3519327492</v>
      </c>
      <c r="S49" s="59">
        <f t="shared" si="12"/>
        <v>2678319.1730701029</v>
      </c>
      <c r="T49" s="59">
        <f t="shared" si="12"/>
        <v>2732454.0983798206</v>
      </c>
      <c r="U49" s="59">
        <f t="shared" si="12"/>
        <v>5590601.0852851272</v>
      </c>
      <c r="V49" s="59">
        <f t="shared" si="12"/>
        <v>5719184.9102466851</v>
      </c>
      <c r="W49" s="59">
        <f t="shared" si="12"/>
        <v>5850712.5396922827</v>
      </c>
    </row>
    <row r="50" spans="2:23" s="40" customFormat="1" ht="15" hidden="1" customHeight="1" outlineLevel="1">
      <c r="E50" s="49"/>
    </row>
    <row r="51" spans="2:23" s="40" customFormat="1" ht="15" customHeight="1" collapsed="1">
      <c r="D51" s="1" t="s">
        <v>133</v>
      </c>
      <c r="E51" s="57"/>
      <c r="F51" s="1"/>
      <c r="G51" s="1"/>
      <c r="H51" s="1"/>
      <c r="I51" s="1"/>
      <c r="J51" s="1"/>
      <c r="K51" s="1"/>
      <c r="L51" s="1"/>
      <c r="M51" s="1"/>
      <c r="N51" s="1"/>
      <c r="O51" s="1"/>
      <c r="P51" s="1"/>
      <c r="Q51" s="1"/>
      <c r="R51" s="1"/>
      <c r="S51" s="1"/>
      <c r="T51" s="1"/>
      <c r="U51" s="1"/>
      <c r="V51" s="1"/>
      <c r="W51" s="1"/>
    </row>
    <row r="52" spans="2:23" s="40" customFormat="1" ht="7.5" customHeight="1">
      <c r="E52" s="49"/>
    </row>
    <row r="53" spans="2:23" s="40" customFormat="1" ht="15" customHeight="1">
      <c r="D53" s="44" t="s">
        <v>150</v>
      </c>
      <c r="E53" s="49"/>
    </row>
    <row r="54" spans="2:23" s="40" customFormat="1" ht="7.5" customHeight="1">
      <c r="E54" s="49"/>
    </row>
    <row r="55" spans="2:23" s="40" customFormat="1" ht="15" customHeight="1">
      <c r="D55" s="51" t="s">
        <v>151</v>
      </c>
      <c r="E55" s="49"/>
      <c r="H55" s="209">
        <v>2589600.7599400003</v>
      </c>
    </row>
    <row r="56" spans="2:23" s="40" customFormat="1" ht="15" customHeight="1">
      <c r="D56" s="48"/>
      <c r="E56" s="49"/>
    </row>
    <row r="57" spans="2:23" ht="15" customHeight="1">
      <c r="B57" s="50" t="s">
        <v>139</v>
      </c>
      <c r="D57" s="45" t="s">
        <v>152</v>
      </c>
      <c r="E57" s="46" t="s">
        <v>141</v>
      </c>
      <c r="H57" s="206">
        <v>0</v>
      </c>
      <c r="I57" s="210">
        <v>0.20000000000000018</v>
      </c>
      <c r="J57" s="210">
        <v>0.24198332863795313</v>
      </c>
      <c r="K57" s="210">
        <v>0.11095242293536023</v>
      </c>
      <c r="L57" s="206">
        <v>2.0204918032786567E-2</v>
      </c>
      <c r="M57" s="206">
        <v>2.2999999999999909E-2</v>
      </c>
      <c r="N57" s="206">
        <v>2.2999999999999909E-2</v>
      </c>
      <c r="O57" s="206">
        <v>2.5802739726027424E-2</v>
      </c>
      <c r="P57" s="206">
        <v>2.0204918032786789E-2</v>
      </c>
      <c r="Q57" s="206">
        <v>2.3000000000000131E-2</v>
      </c>
      <c r="R57" s="206">
        <v>2.2999999999999687E-2</v>
      </c>
      <c r="S57" s="206">
        <v>2.5802739726027424E-2</v>
      </c>
      <c r="T57" s="206">
        <v>2.0204918032787011E-2</v>
      </c>
      <c r="U57" s="206">
        <v>2.2999999999999687E-2</v>
      </c>
      <c r="V57" s="206">
        <v>2.2999999999999909E-2</v>
      </c>
      <c r="W57" s="206">
        <v>2.2999999999999909E-2</v>
      </c>
    </row>
    <row r="58" spans="2:23" ht="15" customHeight="1">
      <c r="E58" s="30"/>
    </row>
    <row r="59" spans="2:23" s="40" customFormat="1" ht="15" customHeight="1">
      <c r="D59" s="53" t="s">
        <v>133</v>
      </c>
      <c r="H59" s="54">
        <f>H55</f>
        <v>2589600.7599400003</v>
      </c>
      <c r="I59" s="54">
        <f>H55*(1+I57)</f>
        <v>3107520.9119280009</v>
      </c>
      <c r="J59" s="54">
        <f>I59*(1+J57)</f>
        <v>3859489.1660083863</v>
      </c>
      <c r="K59" s="54">
        <f t="shared" ref="K59:W59" si="13">J59*(1+K57)</f>
        <v>4287708.8402697891</v>
      </c>
      <c r="L59" s="54">
        <f t="shared" si="13"/>
        <v>4374341.6459358949</v>
      </c>
      <c r="M59" s="54">
        <f t="shared" si="13"/>
        <v>4474951.50379242</v>
      </c>
      <c r="N59" s="54">
        <f t="shared" si="13"/>
        <v>4577875.3883796455</v>
      </c>
      <c r="O59" s="54">
        <f t="shared" si="13"/>
        <v>4695997.1155241923</v>
      </c>
      <c r="P59" s="54">
        <f t="shared" si="13"/>
        <v>4790879.3523255615</v>
      </c>
      <c r="Q59" s="54">
        <f t="shared" si="13"/>
        <v>4901069.5774290496</v>
      </c>
      <c r="R59" s="54">
        <f t="shared" si="13"/>
        <v>5013794.1777099166</v>
      </c>
      <c r="S59" s="54">
        <f t="shared" si="13"/>
        <v>5143163.8039172376</v>
      </c>
      <c r="T59" s="54">
        <f t="shared" si="13"/>
        <v>5247081.0070045823</v>
      </c>
      <c r="U59" s="54">
        <f t="shared" si="13"/>
        <v>5367763.8701656861</v>
      </c>
      <c r="V59" s="54">
        <f t="shared" si="13"/>
        <v>5491222.4391794968</v>
      </c>
      <c r="W59" s="54">
        <f t="shared" si="13"/>
        <v>5617520.5552806249</v>
      </c>
    </row>
    <row r="60" spans="2:23" s="40" customFormat="1" ht="15" customHeight="1"/>
    <row r="61" spans="2:23" s="40" customFormat="1" ht="15" hidden="1" customHeight="1" outlineLevel="1">
      <c r="D61" s="48" t="s">
        <v>144</v>
      </c>
      <c r="H61" s="211">
        <v>2589600.7599400003</v>
      </c>
      <c r="I61" s="211">
        <v>3107520.9119280009</v>
      </c>
      <c r="J61" s="211">
        <v>3859489.1660083863</v>
      </c>
      <c r="K61" s="211">
        <v>4287708.8402697891</v>
      </c>
      <c r="L61" s="211">
        <v>4374341.6459358949</v>
      </c>
      <c r="M61" s="211">
        <v>4474951.50379242</v>
      </c>
      <c r="N61" s="211">
        <v>4577875.3883796455</v>
      </c>
      <c r="O61" s="211">
        <v>4695997.1155241923</v>
      </c>
      <c r="P61" s="211">
        <v>4790879.3523255615</v>
      </c>
      <c r="Q61" s="211">
        <v>4901069.5774290496</v>
      </c>
      <c r="R61" s="211">
        <v>5013794.1777099166</v>
      </c>
      <c r="S61" s="211">
        <v>5143163.8039172376</v>
      </c>
      <c r="T61" s="211">
        <v>5247081.0070045823</v>
      </c>
      <c r="U61" s="211">
        <v>5367763.8701656861</v>
      </c>
      <c r="V61" s="211">
        <v>5491222.4391794968</v>
      </c>
      <c r="W61" s="211">
        <v>5617520.5552806249</v>
      </c>
    </row>
    <row r="62" spans="2:23" s="40" customFormat="1" ht="15" hidden="1" customHeight="1" outlineLevel="1">
      <c r="D62" s="48" t="s">
        <v>145</v>
      </c>
      <c r="H62" s="60">
        <f>H59-H61</f>
        <v>0</v>
      </c>
      <c r="I62" s="60">
        <f t="shared" ref="I62:W62" si="14">I59-I61</f>
        <v>0</v>
      </c>
      <c r="J62" s="60">
        <f t="shared" si="14"/>
        <v>0</v>
      </c>
      <c r="K62" s="60">
        <f t="shared" si="14"/>
        <v>0</v>
      </c>
      <c r="L62" s="60">
        <f t="shared" si="14"/>
        <v>0</v>
      </c>
      <c r="M62" s="60">
        <f t="shared" si="14"/>
        <v>0</v>
      </c>
      <c r="N62" s="60">
        <f t="shared" si="14"/>
        <v>0</v>
      </c>
      <c r="O62" s="60">
        <f t="shared" si="14"/>
        <v>0</v>
      </c>
      <c r="P62" s="60">
        <f t="shared" si="14"/>
        <v>0</v>
      </c>
      <c r="Q62" s="60">
        <f t="shared" si="14"/>
        <v>0</v>
      </c>
      <c r="R62" s="60">
        <f t="shared" si="14"/>
        <v>0</v>
      </c>
      <c r="S62" s="60">
        <f t="shared" si="14"/>
        <v>0</v>
      </c>
      <c r="T62" s="60">
        <f t="shared" si="14"/>
        <v>0</v>
      </c>
      <c r="U62" s="60">
        <f t="shared" si="14"/>
        <v>0</v>
      </c>
      <c r="V62" s="60">
        <f t="shared" si="14"/>
        <v>0</v>
      </c>
      <c r="W62" s="60">
        <f t="shared" si="14"/>
        <v>0</v>
      </c>
    </row>
    <row r="63" spans="2:23" s="40" customFormat="1" ht="15" hidden="1" customHeight="1" outlineLevel="1"/>
    <row r="64" spans="2:23" s="40" customFormat="1" ht="15" customHeight="1" collapsed="1">
      <c r="D64" s="61" t="s">
        <v>153</v>
      </c>
    </row>
    <row r="65" spans="3:23" s="40" customFormat="1" ht="3.75" customHeight="1">
      <c r="D65" s="61"/>
    </row>
    <row r="66" spans="3:23" s="40" customFormat="1" ht="15" customHeight="1">
      <c r="D66" s="62" t="s">
        <v>154</v>
      </c>
      <c r="H66" s="63">
        <f>H29</f>
        <v>248328465.11088002</v>
      </c>
      <c r="I66" s="63">
        <f t="shared" ref="I66:W66" si="15">I29</f>
        <v>297994158.13305604</v>
      </c>
      <c r="J66" s="63">
        <f t="shared" si="15"/>
        <v>363981423.47015685</v>
      </c>
      <c r="K66" s="63">
        <f t="shared" si="15"/>
        <v>404366044.30763215</v>
      </c>
      <c r="L66" s="63">
        <f t="shared" si="15"/>
        <v>433505810.47870809</v>
      </c>
      <c r="M66" s="63">
        <f t="shared" si="15"/>
        <v>457121873.16955584</v>
      </c>
      <c r="N66" s="63">
        <f t="shared" si="15"/>
        <v>467635676.25245553</v>
      </c>
      <c r="O66" s="63">
        <f t="shared" si="15"/>
        <v>479701957.89340246</v>
      </c>
      <c r="P66" s="63">
        <f t="shared" si="15"/>
        <v>489394296.632806</v>
      </c>
      <c r="Q66" s="63">
        <f t="shared" si="15"/>
        <v>500650365.45536047</v>
      </c>
      <c r="R66" s="63">
        <f t="shared" si="15"/>
        <v>512165323.86083376</v>
      </c>
      <c r="S66" s="63">
        <f t="shared" si="15"/>
        <v>525380592.40911138</v>
      </c>
      <c r="T66" s="63">
        <f t="shared" si="15"/>
        <v>535995864.2147544</v>
      </c>
      <c r="U66" s="63">
        <f t="shared" si="15"/>
        <v>564691642.79592323</v>
      </c>
      <c r="V66" s="63">
        <f t="shared" si="15"/>
        <v>577679550.5802294</v>
      </c>
      <c r="W66" s="63">
        <f t="shared" si="15"/>
        <v>592585265.66889954</v>
      </c>
    </row>
    <row r="67" spans="3:23" s="40" customFormat="1" ht="15" customHeight="1">
      <c r="D67" s="62" t="s">
        <v>155</v>
      </c>
      <c r="H67" s="64">
        <f>H46</f>
        <v>44565223.068243384</v>
      </c>
      <c r="I67" s="64">
        <f t="shared" ref="I67:W67" si="16">I46</f>
        <v>53478267.681892075</v>
      </c>
      <c r="J67" s="64">
        <f t="shared" si="16"/>
        <v>65320377.469647527</v>
      </c>
      <c r="K67" s="64">
        <f t="shared" si="16"/>
        <v>72567842.373843208</v>
      </c>
      <c r="L67" s="64">
        <f t="shared" si="16"/>
        <v>74034058.706594944</v>
      </c>
      <c r="M67" s="64">
        <f t="shared" si="16"/>
        <v>78067204.321173266</v>
      </c>
      <c r="N67" s="64">
        <f t="shared" si="16"/>
        <v>79862750.02056022</v>
      </c>
      <c r="O67" s="64">
        <f t="shared" si="16"/>
        <v>81923421.918033883</v>
      </c>
      <c r="P67" s="64">
        <f t="shared" si="16"/>
        <v>83578683.916266873</v>
      </c>
      <c r="Q67" s="64">
        <f t="shared" si="16"/>
        <v>85500993.646341026</v>
      </c>
      <c r="R67" s="64">
        <f t="shared" si="16"/>
        <v>87467516.500206843</v>
      </c>
      <c r="S67" s="64">
        <f t="shared" si="16"/>
        <v>89724411.65029116</v>
      </c>
      <c r="T67" s="64">
        <f t="shared" si="16"/>
        <v>91537292.575444967</v>
      </c>
      <c r="U67" s="64">
        <f t="shared" si="16"/>
        <v>96437950.847322762</v>
      </c>
      <c r="V67" s="64">
        <f t="shared" si="16"/>
        <v>98656023.71681118</v>
      </c>
      <c r="W67" s="64">
        <f t="shared" si="16"/>
        <v>100925112.7318888</v>
      </c>
    </row>
    <row r="68" spans="3:23" s="40" customFormat="1" ht="15" customHeight="1">
      <c r="D68" s="62" t="s">
        <v>156</v>
      </c>
      <c r="H68" s="64">
        <f>H59</f>
        <v>2589600.7599400003</v>
      </c>
      <c r="I68" s="64">
        <f t="shared" ref="I68:W68" si="17">I59</f>
        <v>3107520.9119280009</v>
      </c>
      <c r="J68" s="64">
        <f t="shared" si="17"/>
        <v>3859489.1660083863</v>
      </c>
      <c r="K68" s="64">
        <f t="shared" si="17"/>
        <v>4287708.8402697891</v>
      </c>
      <c r="L68" s="64">
        <f t="shared" si="17"/>
        <v>4374341.6459358949</v>
      </c>
      <c r="M68" s="64">
        <f t="shared" si="17"/>
        <v>4474951.50379242</v>
      </c>
      <c r="N68" s="64">
        <f t="shared" si="17"/>
        <v>4577875.3883796455</v>
      </c>
      <c r="O68" s="64">
        <f t="shared" si="17"/>
        <v>4695997.1155241923</v>
      </c>
      <c r="P68" s="64">
        <f t="shared" si="17"/>
        <v>4790879.3523255615</v>
      </c>
      <c r="Q68" s="64">
        <f t="shared" si="17"/>
        <v>4901069.5774290496</v>
      </c>
      <c r="R68" s="64">
        <f t="shared" si="17"/>
        <v>5013794.1777099166</v>
      </c>
      <c r="S68" s="64">
        <f t="shared" si="17"/>
        <v>5143163.8039172376</v>
      </c>
      <c r="T68" s="64">
        <f t="shared" si="17"/>
        <v>5247081.0070045823</v>
      </c>
      <c r="U68" s="64">
        <f t="shared" si="17"/>
        <v>5367763.8701656861</v>
      </c>
      <c r="V68" s="64">
        <f t="shared" si="17"/>
        <v>5491222.4391794968</v>
      </c>
      <c r="W68" s="64">
        <f t="shared" si="17"/>
        <v>5617520.5552806249</v>
      </c>
    </row>
    <row r="69" spans="3:23" s="40" customFormat="1" ht="15" customHeight="1">
      <c r="D69" s="65" t="s">
        <v>153</v>
      </c>
      <c r="H69" s="66">
        <f>SUM(H66:H68)</f>
        <v>295483288.93906343</v>
      </c>
      <c r="I69" s="66">
        <f t="shared" ref="I69:W69" si="18">SUM(I66:I68)</f>
        <v>354579946.72687614</v>
      </c>
      <c r="J69" s="66">
        <f t="shared" si="18"/>
        <v>433161290.10581279</v>
      </c>
      <c r="K69" s="66">
        <f t="shared" si="18"/>
        <v>481221595.52174515</v>
      </c>
      <c r="L69" s="66">
        <f t="shared" si="18"/>
        <v>511914210.83123893</v>
      </c>
      <c r="M69" s="66">
        <f t="shared" si="18"/>
        <v>539664028.9945215</v>
      </c>
      <c r="N69" s="66">
        <f t="shared" si="18"/>
        <v>552076301.66139543</v>
      </c>
      <c r="O69" s="66">
        <f t="shared" si="18"/>
        <v>566321376.92696047</v>
      </c>
      <c r="P69" s="66">
        <f t="shared" si="18"/>
        <v>577763859.90139842</v>
      </c>
      <c r="Q69" s="66">
        <f t="shared" si="18"/>
        <v>591052428.67913055</v>
      </c>
      <c r="R69" s="66">
        <f t="shared" si="18"/>
        <v>604646634.53875053</v>
      </c>
      <c r="S69" s="66">
        <f t="shared" si="18"/>
        <v>620248167.86331987</v>
      </c>
      <c r="T69" s="66">
        <f t="shared" si="18"/>
        <v>632780237.79720402</v>
      </c>
      <c r="U69" s="66">
        <f t="shared" si="18"/>
        <v>666497357.51341164</v>
      </c>
      <c r="V69" s="66">
        <f t="shared" si="18"/>
        <v>681826796.73622012</v>
      </c>
      <c r="W69" s="66">
        <f t="shared" si="18"/>
        <v>699127898.95606887</v>
      </c>
    </row>
    <row r="70" spans="3:23" s="40" customFormat="1" ht="15" customHeight="1">
      <c r="E70" s="49"/>
    </row>
    <row r="71" spans="3:23" s="40" customFormat="1" ht="15" hidden="1" customHeight="1" outlineLevel="1">
      <c r="D71" s="58" t="s">
        <v>144</v>
      </c>
      <c r="E71" s="49"/>
      <c r="F71" s="49"/>
      <c r="G71" s="49"/>
      <c r="H71" s="207">
        <v>295483288.93906343</v>
      </c>
      <c r="I71" s="207">
        <v>354579946.72687614</v>
      </c>
      <c r="J71" s="207">
        <v>433161290.10581279</v>
      </c>
      <c r="K71" s="207">
        <v>481221595.52174515</v>
      </c>
      <c r="L71" s="207">
        <v>490944627.44064087</v>
      </c>
      <c r="M71" s="207">
        <v>502236353.87177557</v>
      </c>
      <c r="N71" s="207">
        <v>513787790.01082635</v>
      </c>
      <c r="O71" s="207">
        <v>527044934.4120748</v>
      </c>
      <c r="P71" s="207">
        <v>537693822.09223998</v>
      </c>
      <c r="Q71" s="207">
        <v>550060780.00036156</v>
      </c>
      <c r="R71" s="207">
        <v>562712177.94036973</v>
      </c>
      <c r="S71" s="207">
        <v>577231706.71145904</v>
      </c>
      <c r="T71" s="207">
        <v>588894612.8677572</v>
      </c>
      <c r="U71" s="207">
        <v>602439188.96371543</v>
      </c>
      <c r="V71" s="207">
        <v>616295290.30988097</v>
      </c>
      <c r="W71" s="207">
        <v>630470096.08008933</v>
      </c>
    </row>
    <row r="72" spans="3:23" s="40" customFormat="1" ht="15" hidden="1" customHeight="1" outlineLevel="1">
      <c r="D72" s="58" t="s">
        <v>145</v>
      </c>
      <c r="E72" s="49"/>
      <c r="F72" s="49"/>
      <c r="G72" s="49"/>
      <c r="H72" s="56">
        <f>H69-H71</f>
        <v>0</v>
      </c>
      <c r="I72" s="56">
        <f t="shared" ref="I72:W72" si="19">I69-I71</f>
        <v>0</v>
      </c>
      <c r="J72" s="56">
        <f t="shared" si="19"/>
        <v>0</v>
      </c>
      <c r="K72" s="56">
        <f t="shared" si="19"/>
        <v>0</v>
      </c>
      <c r="L72" s="56">
        <f t="shared" si="19"/>
        <v>20969583.390598059</v>
      </c>
      <c r="M72" s="56">
        <f t="shared" si="19"/>
        <v>37427675.122745931</v>
      </c>
      <c r="N72" s="56">
        <f t="shared" si="19"/>
        <v>38288511.650569081</v>
      </c>
      <c r="O72" s="56">
        <f t="shared" si="19"/>
        <v>39276442.514885664</v>
      </c>
      <c r="P72" s="56">
        <f t="shared" si="19"/>
        <v>40070037.809158444</v>
      </c>
      <c r="Q72" s="56">
        <f t="shared" si="19"/>
        <v>40991648.678768992</v>
      </c>
      <c r="R72" s="56">
        <f t="shared" si="19"/>
        <v>41934456.598380804</v>
      </c>
      <c r="S72" s="56">
        <f t="shared" si="19"/>
        <v>43016461.151860833</v>
      </c>
      <c r="T72" s="56">
        <f t="shared" si="19"/>
        <v>43885624.929446816</v>
      </c>
      <c r="U72" s="56">
        <f t="shared" si="19"/>
        <v>64058168.549696207</v>
      </c>
      <c r="V72" s="56">
        <f t="shared" si="19"/>
        <v>65531506.426339149</v>
      </c>
      <c r="W72" s="56">
        <f t="shared" si="19"/>
        <v>68657802.875979543</v>
      </c>
    </row>
    <row r="73" spans="3:23" s="40" customFormat="1" ht="15" customHeight="1" collapsed="1">
      <c r="E73" s="49"/>
    </row>
    <row r="74" spans="3:23" s="40" customFormat="1" ht="15" customHeight="1">
      <c r="C74" s="43">
        <v>1.2</v>
      </c>
      <c r="D74" s="1" t="s">
        <v>157</v>
      </c>
      <c r="E74" s="57"/>
      <c r="F74" s="1"/>
      <c r="G74" s="1"/>
      <c r="H74" s="1"/>
      <c r="I74" s="1"/>
      <c r="J74" s="1"/>
      <c r="K74" s="1"/>
      <c r="L74" s="1"/>
      <c r="M74" s="1"/>
      <c r="N74" s="1"/>
      <c r="O74" s="1"/>
      <c r="P74" s="1"/>
      <c r="Q74" s="1"/>
      <c r="R74" s="1"/>
      <c r="S74" s="1"/>
      <c r="T74" s="1"/>
      <c r="U74" s="1"/>
      <c r="V74" s="1"/>
      <c r="W74" s="1"/>
    </row>
    <row r="75" spans="3:23" s="40" customFormat="1" ht="7.5" customHeight="1">
      <c r="C75" s="221"/>
      <c r="E75" s="49"/>
    </row>
    <row r="76" spans="3:23" s="40" customFormat="1" ht="15" customHeight="1">
      <c r="C76" s="221"/>
      <c r="D76" s="42" t="s">
        <v>158</v>
      </c>
      <c r="E76" s="49"/>
    </row>
    <row r="77" spans="3:23" s="40" customFormat="1" ht="15" customHeight="1">
      <c r="C77" s="221"/>
      <c r="D77" s="42" t="s">
        <v>159</v>
      </c>
      <c r="E77" s="49"/>
    </row>
    <row r="78" spans="3:23" s="40" customFormat="1" ht="15" customHeight="1">
      <c r="C78" s="221"/>
      <c r="D78" s="42" t="s">
        <v>160</v>
      </c>
      <c r="E78" s="49"/>
    </row>
    <row r="79" spans="3:23" s="40" customFormat="1" ht="15" customHeight="1">
      <c r="C79" s="221"/>
      <c r="E79" s="49"/>
    </row>
    <row r="80" spans="3:23" s="40" customFormat="1" ht="15" customHeight="1">
      <c r="C80" s="221"/>
      <c r="D80" s="1" t="s">
        <v>158</v>
      </c>
      <c r="E80" s="57"/>
      <c r="F80" s="1"/>
      <c r="G80" s="1"/>
      <c r="H80" s="1"/>
      <c r="I80" s="1"/>
      <c r="J80" s="1"/>
      <c r="K80" s="1"/>
      <c r="L80" s="1"/>
      <c r="M80" s="1"/>
      <c r="N80" s="1"/>
      <c r="O80" s="1"/>
      <c r="P80" s="1"/>
      <c r="Q80" s="1"/>
      <c r="R80" s="1"/>
      <c r="S80" s="1"/>
      <c r="T80" s="1"/>
      <c r="U80" s="1"/>
      <c r="V80" s="1"/>
      <c r="W80" s="1"/>
    </row>
    <row r="81" spans="3:23" s="40" customFormat="1" ht="7.5" customHeight="1">
      <c r="C81" s="221"/>
      <c r="E81" s="49"/>
    </row>
    <row r="82" spans="3:23" s="40" customFormat="1" ht="15" customHeight="1">
      <c r="C82" s="221"/>
      <c r="D82" s="44" t="s">
        <v>161</v>
      </c>
      <c r="E82" s="49"/>
    </row>
    <row r="83" spans="3:23" s="40" customFormat="1" ht="7.5" customHeight="1">
      <c r="C83" s="221"/>
      <c r="E83" s="49"/>
    </row>
    <row r="84" spans="3:23" s="40" customFormat="1" ht="15" customHeight="1">
      <c r="C84" s="221"/>
      <c r="D84" s="67" t="s">
        <v>162</v>
      </c>
      <c r="E84" s="49"/>
    </row>
    <row r="85" spans="3:23" s="40" customFormat="1" ht="7.5" customHeight="1">
      <c r="C85" s="221"/>
      <c r="E85" s="49"/>
    </row>
    <row r="86" spans="3:23" s="40" customFormat="1" ht="15" customHeight="1">
      <c r="C86" s="221"/>
      <c r="D86" s="68" t="s">
        <v>163</v>
      </c>
      <c r="E86" s="49"/>
    </row>
    <row r="87" spans="3:23" s="40" customFormat="1" ht="15" customHeight="1">
      <c r="C87" s="221"/>
      <c r="D87" s="51"/>
      <c r="E87" s="49"/>
    </row>
    <row r="88" spans="3:23" s="40" customFormat="1" ht="15" customHeight="1">
      <c r="C88" s="221"/>
      <c r="D88" s="51" t="s">
        <v>164</v>
      </c>
      <c r="E88" s="51"/>
      <c r="H88" s="209">
        <v>21543750.039999999</v>
      </c>
    </row>
    <row r="89" spans="3:23" s="40" customFormat="1" ht="15" customHeight="1">
      <c r="C89" s="221"/>
      <c r="D89" s="51"/>
    </row>
    <row r="90" spans="3:23" ht="15" customHeight="1">
      <c r="C90" s="222"/>
      <c r="D90" s="45" t="s">
        <v>165</v>
      </c>
      <c r="E90" s="46" t="s">
        <v>137</v>
      </c>
      <c r="H90" s="69" t="s">
        <v>166</v>
      </c>
      <c r="I90" s="212">
        <v>2.5000000000000001E-2</v>
      </c>
      <c r="J90" s="212">
        <v>2.5000000000000001E-2</v>
      </c>
      <c r="K90" s="212">
        <v>2.5000000000000001E-2</v>
      </c>
      <c r="L90" s="212">
        <v>2.5000000000000001E-2</v>
      </c>
      <c r="M90" s="212">
        <v>2.5000000000000001E-2</v>
      </c>
      <c r="N90" s="212">
        <v>2.5000000000000001E-2</v>
      </c>
      <c r="O90" s="212">
        <v>2.5000000000000001E-2</v>
      </c>
      <c r="P90" s="212">
        <v>2.5000000000000001E-2</v>
      </c>
      <c r="Q90" s="212">
        <v>2.5000000000000001E-2</v>
      </c>
      <c r="R90" s="212">
        <v>2.5000000000000001E-2</v>
      </c>
      <c r="S90" s="212">
        <v>2.5000000000000001E-2</v>
      </c>
      <c r="T90" s="212">
        <v>2.5000000000000001E-2</v>
      </c>
      <c r="U90" s="212">
        <v>2.5000000000000001E-2</v>
      </c>
      <c r="V90" s="212">
        <v>2.5000000000000001E-2</v>
      </c>
      <c r="W90" s="212">
        <v>2.5000000000000001E-2</v>
      </c>
    </row>
    <row r="91" spans="3:23" ht="15" customHeight="1">
      <c r="C91" s="222"/>
      <c r="E91" s="30"/>
    </row>
    <row r="92" spans="3:23" s="40" customFormat="1" ht="15" customHeight="1">
      <c r="C92" s="221"/>
      <c r="D92" s="51" t="s">
        <v>162</v>
      </c>
      <c r="H92" s="52">
        <f>H88</f>
        <v>21543750.039999999</v>
      </c>
      <c r="I92" s="52">
        <f>H92*(1+I90)</f>
        <v>22082343.790999997</v>
      </c>
      <c r="J92" s="52">
        <f>I92*(1+J90)</f>
        <v>22634402.385774996</v>
      </c>
      <c r="K92" s="52">
        <f t="shared" ref="K92:W92" si="20">J92*(1+K90)</f>
        <v>23200262.445419367</v>
      </c>
      <c r="L92" s="52">
        <f t="shared" si="20"/>
        <v>23780269.006554849</v>
      </c>
      <c r="M92" s="52">
        <f t="shared" si="20"/>
        <v>24374775.731718719</v>
      </c>
      <c r="N92" s="52">
        <f t="shared" si="20"/>
        <v>24984145.125011686</v>
      </c>
      <c r="O92" s="52">
        <f t="shared" si="20"/>
        <v>25608748.753136978</v>
      </c>
      <c r="P92" s="52">
        <f t="shared" si="20"/>
        <v>26248967.471965399</v>
      </c>
      <c r="Q92" s="52">
        <f t="shared" si="20"/>
        <v>26905191.65876453</v>
      </c>
      <c r="R92" s="52">
        <f t="shared" si="20"/>
        <v>27577821.450233642</v>
      </c>
      <c r="S92" s="52">
        <f t="shared" si="20"/>
        <v>28267266.986489482</v>
      </c>
      <c r="T92" s="52">
        <f t="shared" si="20"/>
        <v>28973948.661151718</v>
      </c>
      <c r="U92" s="52">
        <f t="shared" si="20"/>
        <v>29698297.37768051</v>
      </c>
      <c r="V92" s="52">
        <f t="shared" si="20"/>
        <v>30440754.81212252</v>
      </c>
      <c r="W92" s="52">
        <f t="shared" si="20"/>
        <v>31201773.682425581</v>
      </c>
    </row>
    <row r="93" spans="3:23" s="40" customFormat="1" ht="15" customHeight="1">
      <c r="C93" s="221"/>
      <c r="D93" s="48"/>
    </row>
    <row r="94" spans="3:23" s="40" customFormat="1" ht="15" customHeight="1">
      <c r="C94" s="221"/>
      <c r="D94" s="67" t="s">
        <v>167</v>
      </c>
      <c r="H94" s="60"/>
      <c r="I94" s="60"/>
      <c r="J94" s="60"/>
      <c r="K94" s="60"/>
      <c r="L94" s="60"/>
      <c r="M94" s="60"/>
      <c r="N94" s="60"/>
      <c r="O94" s="60"/>
      <c r="P94" s="60"/>
      <c r="Q94" s="60"/>
      <c r="R94" s="60"/>
      <c r="S94" s="60"/>
      <c r="T94" s="60"/>
    </row>
    <row r="95" spans="3:23" s="40" customFormat="1" ht="7.5" customHeight="1">
      <c r="C95" s="221"/>
    </row>
    <row r="96" spans="3:23" s="40" customFormat="1" ht="15" customHeight="1">
      <c r="C96" s="221"/>
      <c r="D96" s="68" t="s">
        <v>168</v>
      </c>
    </row>
    <row r="97" spans="3:23" s="40" customFormat="1" ht="15" customHeight="1">
      <c r="C97" s="221"/>
      <c r="D97" s="51"/>
    </row>
    <row r="98" spans="3:23" s="40" customFormat="1" ht="15" customHeight="1">
      <c r="C98" s="221"/>
      <c r="D98" s="51" t="s">
        <v>169</v>
      </c>
      <c r="H98" s="209">
        <v>22285854.909949999</v>
      </c>
    </row>
    <row r="99" spans="3:23" s="40" customFormat="1" ht="15" customHeight="1">
      <c r="C99" s="221"/>
      <c r="D99" s="51"/>
    </row>
    <row r="100" spans="3:23" s="40" customFormat="1" ht="15" customHeight="1">
      <c r="C100" s="221"/>
      <c r="D100" s="71" t="s">
        <v>131</v>
      </c>
      <c r="H100" s="52">
        <f t="shared" ref="H100:W100" si="21">H29</f>
        <v>248328465.11088002</v>
      </c>
      <c r="I100" s="52">
        <f t="shared" si="21"/>
        <v>297994158.13305604</v>
      </c>
      <c r="J100" s="52">
        <f t="shared" si="21"/>
        <v>363981423.47015685</v>
      </c>
      <c r="K100" s="52">
        <f t="shared" si="21"/>
        <v>404366044.30763215</v>
      </c>
      <c r="L100" s="52">
        <f t="shared" si="21"/>
        <v>433505810.47870809</v>
      </c>
      <c r="M100" s="52">
        <f t="shared" si="21"/>
        <v>457121873.16955584</v>
      </c>
      <c r="N100" s="52">
        <f t="shared" si="21"/>
        <v>467635676.25245553</v>
      </c>
      <c r="O100" s="52">
        <f t="shared" si="21"/>
        <v>479701957.89340246</v>
      </c>
      <c r="P100" s="52">
        <f t="shared" si="21"/>
        <v>489394296.632806</v>
      </c>
      <c r="Q100" s="52">
        <f t="shared" si="21"/>
        <v>500650365.45536047</v>
      </c>
      <c r="R100" s="52">
        <f t="shared" si="21"/>
        <v>512165323.86083376</v>
      </c>
      <c r="S100" s="52">
        <f t="shared" si="21"/>
        <v>525380592.40911138</v>
      </c>
      <c r="T100" s="52">
        <f t="shared" si="21"/>
        <v>535995864.2147544</v>
      </c>
      <c r="U100" s="52">
        <f t="shared" si="21"/>
        <v>564691642.79592323</v>
      </c>
      <c r="V100" s="52">
        <f t="shared" si="21"/>
        <v>577679550.5802294</v>
      </c>
      <c r="W100" s="52">
        <f t="shared" si="21"/>
        <v>592585265.66889954</v>
      </c>
    </row>
    <row r="101" spans="3:23" s="40" customFormat="1" ht="15" customHeight="1">
      <c r="C101" s="221"/>
    </row>
    <row r="102" spans="3:23" ht="15" customHeight="1">
      <c r="C102" s="222"/>
      <c r="D102" s="45" t="s">
        <v>170</v>
      </c>
      <c r="E102" s="46" t="s">
        <v>171</v>
      </c>
      <c r="H102" s="212">
        <v>7.477135134290526E-2</v>
      </c>
      <c r="I102" s="212">
        <v>7.477135134290526E-2</v>
      </c>
      <c r="J102" s="212">
        <v>7.477135134290526E-2</v>
      </c>
      <c r="K102" s="212">
        <v>7.477135134290526E-2</v>
      </c>
      <c r="L102" s="212">
        <v>7.477135134290526E-2</v>
      </c>
      <c r="M102" s="212">
        <v>7.477135134290526E-2</v>
      </c>
      <c r="N102" s="212">
        <v>7.477135134290526E-2</v>
      </c>
      <c r="O102" s="212">
        <v>7.477135134290526E-2</v>
      </c>
      <c r="P102" s="212">
        <v>7.477135134290526E-2</v>
      </c>
      <c r="Q102" s="212">
        <v>7.477135134290526E-2</v>
      </c>
      <c r="R102" s="212">
        <v>7.477135134290526E-2</v>
      </c>
      <c r="S102" s="212">
        <v>7.477135134290526E-2</v>
      </c>
      <c r="T102" s="212">
        <v>7.477135134290526E-2</v>
      </c>
      <c r="U102" s="212">
        <v>7.477135134290526E-2</v>
      </c>
      <c r="V102" s="212">
        <v>7.477135134290526E-2</v>
      </c>
      <c r="W102" s="212">
        <v>7.477135134290526E-2</v>
      </c>
    </row>
    <row r="103" spans="3:23" ht="15" customHeight="1">
      <c r="C103" s="222"/>
      <c r="E103" s="30"/>
    </row>
    <row r="104" spans="3:23" s="40" customFormat="1" ht="15" customHeight="1">
      <c r="C104" s="221"/>
      <c r="D104" s="51" t="s">
        <v>167</v>
      </c>
      <c r="H104" s="52">
        <f>H98</f>
        <v>22285854.909949999</v>
      </c>
      <c r="I104" s="52">
        <f>I100*I102</f>
        <v>22281425.895900004</v>
      </c>
      <c r="J104" s="52">
        <f t="shared" ref="J104:W104" si="22">J100*J102</f>
        <v>27215382.89657788</v>
      </c>
      <c r="K104" s="52">
        <f t="shared" si="22"/>
        <v>30234995.570066758</v>
      </c>
      <c r="L104" s="52">
        <f t="shared" si="22"/>
        <v>32413815.264494382</v>
      </c>
      <c r="M104" s="52">
        <f t="shared" si="22"/>
        <v>34179620.185287841</v>
      </c>
      <c r="N104" s="52">
        <f t="shared" si="22"/>
        <v>34965751.449549451</v>
      </c>
      <c r="O104" s="52">
        <f t="shared" si="22"/>
        <v>35867963.633527137</v>
      </c>
      <c r="P104" s="52">
        <f t="shared" si="22"/>
        <v>36592672.898745537</v>
      </c>
      <c r="Q104" s="52">
        <f t="shared" si="22"/>
        <v>37434304.375416674</v>
      </c>
      <c r="R104" s="52">
        <f t="shared" si="22"/>
        <v>38295293.376051262</v>
      </c>
      <c r="S104" s="52">
        <f t="shared" si="22"/>
        <v>39283416.863765374</v>
      </c>
      <c r="T104" s="52">
        <f t="shared" si="22"/>
        <v>40077135.081545539</v>
      </c>
      <c r="U104" s="52">
        <f t="shared" si="22"/>
        <v>42222757.223896332</v>
      </c>
      <c r="V104" s="52">
        <f t="shared" si="22"/>
        <v>43193880.640045941</v>
      </c>
      <c r="W104" s="52">
        <f t="shared" si="22"/>
        <v>44308401.099958144</v>
      </c>
    </row>
    <row r="105" spans="3:23" s="40" customFormat="1" ht="15" customHeight="1">
      <c r="C105" s="221"/>
      <c r="D105" s="48"/>
    </row>
    <row r="106" spans="3:23" s="40" customFormat="1" ht="15" customHeight="1">
      <c r="C106" s="221"/>
      <c r="D106" s="53" t="s">
        <v>158</v>
      </c>
      <c r="H106" s="54">
        <f>H92+H104</f>
        <v>43829604.949949995</v>
      </c>
      <c r="I106" s="54">
        <f t="shared" ref="I106:W106" si="23">I92+I104</f>
        <v>44363769.686900005</v>
      </c>
      <c r="J106" s="54">
        <f t="shared" si="23"/>
        <v>49849785.28235288</v>
      </c>
      <c r="K106" s="54">
        <f t="shared" si="23"/>
        <v>53435258.015486121</v>
      </c>
      <c r="L106" s="54">
        <f t="shared" si="23"/>
        <v>56194084.271049231</v>
      </c>
      <c r="M106" s="54">
        <f t="shared" si="23"/>
        <v>58554395.91700656</v>
      </c>
      <c r="N106" s="54">
        <f t="shared" si="23"/>
        <v>59949896.574561134</v>
      </c>
      <c r="O106" s="54">
        <f t="shared" si="23"/>
        <v>61476712.386664115</v>
      </c>
      <c r="P106" s="54">
        <f t="shared" si="23"/>
        <v>62841640.370710939</v>
      </c>
      <c r="Q106" s="54">
        <f t="shared" si="23"/>
        <v>64339496.034181207</v>
      </c>
      <c r="R106" s="54">
        <f t="shared" si="23"/>
        <v>65873114.8262849</v>
      </c>
      <c r="S106" s="54">
        <f t="shared" si="23"/>
        <v>67550683.850254864</v>
      </c>
      <c r="T106" s="54">
        <f t="shared" si="23"/>
        <v>69051083.742697254</v>
      </c>
      <c r="U106" s="54">
        <f t="shared" si="23"/>
        <v>71921054.601576835</v>
      </c>
      <c r="V106" s="54">
        <f t="shared" si="23"/>
        <v>73634635.452168465</v>
      </c>
      <c r="W106" s="54">
        <f t="shared" si="23"/>
        <v>75510174.782383725</v>
      </c>
    </row>
    <row r="107" spans="3:23" s="40" customFormat="1" ht="15" customHeight="1">
      <c r="C107" s="221"/>
    </row>
    <row r="108" spans="3:23" s="40" customFormat="1" ht="15" hidden="1" customHeight="1" outlineLevel="1">
      <c r="C108" s="221"/>
      <c r="D108" s="58" t="s">
        <v>144</v>
      </c>
      <c r="E108" s="49"/>
      <c r="F108" s="49"/>
      <c r="G108" s="49"/>
      <c r="H108" s="207">
        <v>43829604.949949995</v>
      </c>
      <c r="I108" s="207">
        <v>44363769.686900005</v>
      </c>
      <c r="J108" s="207">
        <v>49849785.28235288</v>
      </c>
      <c r="K108" s="207">
        <v>53435258.015486121</v>
      </c>
      <c r="L108" s="207">
        <v>54626160.183836475</v>
      </c>
      <c r="M108" s="207">
        <v>55930122.406077817</v>
      </c>
      <c r="N108" s="207">
        <v>57265264.772881046</v>
      </c>
      <c r="O108" s="207">
        <v>58722809.729345053</v>
      </c>
      <c r="P108" s="207">
        <v>60032095.335930467</v>
      </c>
      <c r="Q108" s="207">
        <v>61465331.463600785</v>
      </c>
      <c r="R108" s="207">
        <v>62932844.470581129</v>
      </c>
      <c r="S108" s="207">
        <v>64534546.463838704</v>
      </c>
      <c r="T108" s="207">
        <v>65974005.54761295</v>
      </c>
      <c r="U108" s="207">
        <v>67549355.572530344</v>
      </c>
      <c r="V108" s="207">
        <v>69162387.345453903</v>
      </c>
      <c r="W108" s="211">
        <v>70814003.764023602</v>
      </c>
    </row>
    <row r="109" spans="3:23" s="40" customFormat="1" ht="15" hidden="1" customHeight="1" outlineLevel="1">
      <c r="C109" s="221"/>
      <c r="D109" s="58" t="s">
        <v>145</v>
      </c>
      <c r="E109" s="49"/>
      <c r="F109" s="49"/>
      <c r="G109" s="49"/>
      <c r="H109" s="56">
        <f>H106-H108</f>
        <v>0</v>
      </c>
      <c r="I109" s="56">
        <f t="shared" ref="I109:W109" si="24">I106-I108</f>
        <v>0</v>
      </c>
      <c r="J109" s="56">
        <f t="shared" si="24"/>
        <v>0</v>
      </c>
      <c r="K109" s="56">
        <f t="shared" si="24"/>
        <v>0</v>
      </c>
      <c r="L109" s="56">
        <f t="shared" si="24"/>
        <v>1567924.0872127563</v>
      </c>
      <c r="M109" s="56">
        <f t="shared" si="24"/>
        <v>2624273.5109287426</v>
      </c>
      <c r="N109" s="56">
        <f t="shared" si="24"/>
        <v>2684631.801680088</v>
      </c>
      <c r="O109" s="56">
        <f t="shared" si="24"/>
        <v>2753902.6573190615</v>
      </c>
      <c r="P109" s="56">
        <f t="shared" si="24"/>
        <v>2809545.0347804725</v>
      </c>
      <c r="Q109" s="56">
        <f t="shared" si="24"/>
        <v>2874164.5705804229</v>
      </c>
      <c r="R109" s="56">
        <f t="shared" si="24"/>
        <v>2940270.3557037711</v>
      </c>
      <c r="S109" s="56">
        <f t="shared" si="24"/>
        <v>3016137.3864161596</v>
      </c>
      <c r="T109" s="56">
        <f t="shared" si="24"/>
        <v>3077078.1950843036</v>
      </c>
      <c r="U109" s="56">
        <f t="shared" si="24"/>
        <v>4371699.0290464908</v>
      </c>
      <c r="V109" s="56">
        <f t="shared" si="24"/>
        <v>4472248.1067145616</v>
      </c>
      <c r="W109" s="60">
        <f t="shared" si="24"/>
        <v>4696171.018360123</v>
      </c>
    </row>
    <row r="110" spans="3:23" s="40" customFormat="1" ht="15" hidden="1" customHeight="1" outlineLevel="1">
      <c r="C110" s="221"/>
    </row>
    <row r="111" spans="3:23" s="40" customFormat="1" ht="15" customHeight="1" collapsed="1">
      <c r="C111" s="221"/>
      <c r="D111" s="61" t="s">
        <v>172</v>
      </c>
    </row>
    <row r="112" spans="3:23" s="40" customFormat="1" ht="3.75" customHeight="1">
      <c r="C112" s="221"/>
      <c r="D112" s="61"/>
    </row>
    <row r="113" spans="3:23" s="40" customFormat="1" ht="15" customHeight="1">
      <c r="C113" s="221"/>
      <c r="D113" s="62" t="s">
        <v>21</v>
      </c>
      <c r="H113" s="63">
        <f t="shared" ref="H113:W113" si="25">H29</f>
        <v>248328465.11088002</v>
      </c>
      <c r="I113" s="63">
        <f t="shared" si="25"/>
        <v>297994158.13305604</v>
      </c>
      <c r="J113" s="63">
        <f t="shared" si="25"/>
        <v>363981423.47015685</v>
      </c>
      <c r="K113" s="63">
        <f t="shared" si="25"/>
        <v>404366044.30763215</v>
      </c>
      <c r="L113" s="63">
        <f t="shared" si="25"/>
        <v>433505810.47870809</v>
      </c>
      <c r="M113" s="63">
        <f t="shared" si="25"/>
        <v>457121873.16955584</v>
      </c>
      <c r="N113" s="63">
        <f t="shared" si="25"/>
        <v>467635676.25245553</v>
      </c>
      <c r="O113" s="63">
        <f t="shared" si="25"/>
        <v>479701957.89340246</v>
      </c>
      <c r="P113" s="63">
        <f t="shared" si="25"/>
        <v>489394296.632806</v>
      </c>
      <c r="Q113" s="63">
        <f t="shared" si="25"/>
        <v>500650365.45536047</v>
      </c>
      <c r="R113" s="63">
        <f t="shared" si="25"/>
        <v>512165323.86083376</v>
      </c>
      <c r="S113" s="63">
        <f t="shared" si="25"/>
        <v>525380592.40911138</v>
      </c>
      <c r="T113" s="63">
        <f t="shared" si="25"/>
        <v>535995864.2147544</v>
      </c>
      <c r="U113" s="63">
        <f t="shared" si="25"/>
        <v>564691642.79592323</v>
      </c>
      <c r="V113" s="63">
        <f t="shared" si="25"/>
        <v>577679550.5802294</v>
      </c>
      <c r="W113" s="63">
        <f t="shared" si="25"/>
        <v>592585265.66889954</v>
      </c>
    </row>
    <row r="114" spans="3:23" s="40" customFormat="1" ht="15" customHeight="1">
      <c r="C114" s="221"/>
      <c r="D114" s="62" t="s">
        <v>157</v>
      </c>
      <c r="H114" s="64">
        <f>-H106</f>
        <v>-43829604.949949995</v>
      </c>
      <c r="I114" s="64">
        <f t="shared" ref="I114:W114" si="26">-I106</f>
        <v>-44363769.686900005</v>
      </c>
      <c r="J114" s="64">
        <f t="shared" si="26"/>
        <v>-49849785.28235288</v>
      </c>
      <c r="K114" s="64">
        <f t="shared" si="26"/>
        <v>-53435258.015486121</v>
      </c>
      <c r="L114" s="64">
        <f t="shared" si="26"/>
        <v>-56194084.271049231</v>
      </c>
      <c r="M114" s="64">
        <f t="shared" si="26"/>
        <v>-58554395.91700656</v>
      </c>
      <c r="N114" s="64">
        <f t="shared" si="26"/>
        <v>-59949896.574561134</v>
      </c>
      <c r="O114" s="64">
        <f t="shared" si="26"/>
        <v>-61476712.386664115</v>
      </c>
      <c r="P114" s="64">
        <f t="shared" si="26"/>
        <v>-62841640.370710939</v>
      </c>
      <c r="Q114" s="64">
        <f t="shared" si="26"/>
        <v>-64339496.034181207</v>
      </c>
      <c r="R114" s="64">
        <f t="shared" si="26"/>
        <v>-65873114.8262849</v>
      </c>
      <c r="S114" s="64">
        <f t="shared" si="26"/>
        <v>-67550683.850254864</v>
      </c>
      <c r="T114" s="64">
        <f t="shared" si="26"/>
        <v>-69051083.742697254</v>
      </c>
      <c r="U114" s="64">
        <f t="shared" si="26"/>
        <v>-71921054.601576835</v>
      </c>
      <c r="V114" s="64">
        <f t="shared" si="26"/>
        <v>-73634635.452168465</v>
      </c>
      <c r="W114" s="64">
        <f t="shared" si="26"/>
        <v>-75510174.782383725</v>
      </c>
    </row>
    <row r="115" spans="3:23" s="40" customFormat="1" ht="15" customHeight="1">
      <c r="C115" s="221"/>
      <c r="D115" s="65" t="s">
        <v>173</v>
      </c>
      <c r="H115" s="66">
        <f t="shared" ref="H115:W115" si="27">SUM(H113:H114)</f>
        <v>204498860.16093004</v>
      </c>
      <c r="I115" s="66">
        <f t="shared" si="27"/>
        <v>253630388.44615602</v>
      </c>
      <c r="J115" s="66">
        <f t="shared" si="27"/>
        <v>314131638.18780398</v>
      </c>
      <c r="K115" s="66">
        <f t="shared" si="27"/>
        <v>350930786.29214603</v>
      </c>
      <c r="L115" s="66">
        <f t="shared" si="27"/>
        <v>377311726.20765889</v>
      </c>
      <c r="M115" s="66">
        <f t="shared" si="27"/>
        <v>398567477.25254929</v>
      </c>
      <c r="N115" s="66">
        <f t="shared" si="27"/>
        <v>407685779.67789441</v>
      </c>
      <c r="O115" s="66">
        <f t="shared" si="27"/>
        <v>418225245.50673836</v>
      </c>
      <c r="P115" s="66">
        <f t="shared" si="27"/>
        <v>426552656.26209509</v>
      </c>
      <c r="Q115" s="66">
        <f t="shared" si="27"/>
        <v>436310869.42117929</v>
      </c>
      <c r="R115" s="66">
        <f t="shared" si="27"/>
        <v>446292209.03454888</v>
      </c>
      <c r="S115" s="66">
        <f t="shared" si="27"/>
        <v>457829908.55885649</v>
      </c>
      <c r="T115" s="66">
        <f t="shared" si="27"/>
        <v>466944780.47205716</v>
      </c>
      <c r="U115" s="66">
        <f t="shared" si="27"/>
        <v>492770588.19434643</v>
      </c>
      <c r="V115" s="66">
        <f t="shared" si="27"/>
        <v>504044915.12806094</v>
      </c>
      <c r="W115" s="66">
        <f t="shared" si="27"/>
        <v>517075090.8865158</v>
      </c>
    </row>
    <row r="116" spans="3:23" s="40" customFormat="1" ht="15" customHeight="1">
      <c r="C116" s="221"/>
      <c r="D116" s="72" t="s">
        <v>174</v>
      </c>
      <c r="H116" s="73">
        <f t="shared" ref="H116:W116" si="28">H115/H29</f>
        <v>0.82350148650747779</v>
      </c>
      <c r="I116" s="73">
        <f t="shared" si="28"/>
        <v>0.85112537116552689</v>
      </c>
      <c r="J116" s="73">
        <f t="shared" si="28"/>
        <v>0.86304305091427258</v>
      </c>
      <c r="K116" s="73">
        <f t="shared" si="28"/>
        <v>0.8678542405632016</v>
      </c>
      <c r="L116" s="73">
        <f t="shared" si="28"/>
        <v>0.87037293869488008</v>
      </c>
      <c r="M116" s="73">
        <f t="shared" si="28"/>
        <v>0.87190637912159685</v>
      </c>
      <c r="N116" s="73">
        <f t="shared" si="28"/>
        <v>0.87180213226033498</v>
      </c>
      <c r="O116" s="73">
        <f t="shared" si="28"/>
        <v>0.87184394106574559</v>
      </c>
      <c r="P116" s="73">
        <f t="shared" si="28"/>
        <v>0.87159302672082184</v>
      </c>
      <c r="Q116" s="73">
        <f t="shared" si="28"/>
        <v>0.87148816724489564</v>
      </c>
      <c r="R116" s="73">
        <f t="shared" si="28"/>
        <v>0.87138310276510633</v>
      </c>
      <c r="S116" s="73">
        <f t="shared" si="28"/>
        <v>0.87142523948114647</v>
      </c>
      <c r="T116" s="73">
        <f t="shared" si="28"/>
        <v>0.87117235718999697</v>
      </c>
      <c r="U116" s="73">
        <f t="shared" si="28"/>
        <v>0.87263658756223395</v>
      </c>
      <c r="V116" s="73">
        <f t="shared" si="28"/>
        <v>0.87253376828345608</v>
      </c>
      <c r="W116" s="73">
        <f t="shared" si="28"/>
        <v>0.87257500454867165</v>
      </c>
    </row>
    <row r="117" spans="3:23" s="40" customFormat="1" ht="15" customHeight="1">
      <c r="C117" s="221"/>
    </row>
    <row r="118" spans="3:23" s="40" customFormat="1" ht="15" customHeight="1">
      <c r="C118" s="221"/>
      <c r="D118" s="1" t="s">
        <v>159</v>
      </c>
      <c r="E118" s="1"/>
      <c r="F118" s="1"/>
      <c r="G118" s="1"/>
      <c r="H118" s="1"/>
      <c r="I118" s="1"/>
      <c r="J118" s="1"/>
      <c r="K118" s="1"/>
      <c r="L118" s="1"/>
      <c r="M118" s="1"/>
      <c r="N118" s="1"/>
      <c r="O118" s="1"/>
      <c r="P118" s="1"/>
      <c r="Q118" s="1"/>
      <c r="R118" s="1"/>
      <c r="S118" s="1"/>
      <c r="T118" s="1"/>
      <c r="U118" s="1"/>
      <c r="V118" s="1"/>
      <c r="W118" s="1"/>
    </row>
    <row r="119" spans="3:23" s="40" customFormat="1" ht="7.5" customHeight="1">
      <c r="C119" s="221"/>
    </row>
    <row r="120" spans="3:23" s="40" customFormat="1" ht="15" customHeight="1">
      <c r="C120" s="221"/>
      <c r="D120" s="44" t="s">
        <v>161</v>
      </c>
    </row>
    <row r="121" spans="3:23" s="40" customFormat="1" ht="7.5" customHeight="1">
      <c r="C121" s="221"/>
    </row>
    <row r="122" spans="3:23" s="40" customFormat="1" ht="15" customHeight="1">
      <c r="C122" s="221"/>
      <c r="D122" s="67" t="s">
        <v>162</v>
      </c>
    </row>
    <row r="123" spans="3:23" s="40" customFormat="1" ht="7.5" customHeight="1">
      <c r="C123" s="221"/>
    </row>
    <row r="124" spans="3:23" s="40" customFormat="1" ht="15" customHeight="1">
      <c r="C124" s="221"/>
      <c r="D124" s="68" t="s">
        <v>163</v>
      </c>
    </row>
    <row r="125" spans="3:23" s="40" customFormat="1" ht="15" customHeight="1">
      <c r="C125" s="221"/>
      <c r="D125" s="51"/>
    </row>
    <row r="126" spans="3:23" s="40" customFormat="1" ht="15" customHeight="1">
      <c r="C126" s="221"/>
      <c r="D126" s="51" t="s">
        <v>164</v>
      </c>
      <c r="H126" s="209">
        <v>10182375.036</v>
      </c>
    </row>
    <row r="127" spans="3:23" s="40" customFormat="1" ht="15" customHeight="1">
      <c r="C127" s="221"/>
      <c r="D127" s="51"/>
    </row>
    <row r="128" spans="3:23" ht="15" customHeight="1">
      <c r="C128" s="222"/>
      <c r="D128" s="45" t="s">
        <v>165</v>
      </c>
      <c r="E128" s="46" t="s">
        <v>137</v>
      </c>
      <c r="H128" s="69" t="s">
        <v>166</v>
      </c>
      <c r="I128" s="212">
        <v>2.5000000000000001E-2</v>
      </c>
      <c r="J128" s="212">
        <v>2.5000000000000001E-2</v>
      </c>
      <c r="K128" s="212">
        <v>2.5000000000000001E-2</v>
      </c>
      <c r="L128" s="212">
        <v>2.5000000000000001E-2</v>
      </c>
      <c r="M128" s="212">
        <v>2.5000000000000001E-2</v>
      </c>
      <c r="N128" s="212">
        <v>2.5000000000000001E-2</v>
      </c>
      <c r="O128" s="212">
        <v>2.5000000000000001E-2</v>
      </c>
      <c r="P128" s="212">
        <v>2.5000000000000001E-2</v>
      </c>
      <c r="Q128" s="212">
        <v>2.5000000000000001E-2</v>
      </c>
      <c r="R128" s="212">
        <v>2.5000000000000001E-2</v>
      </c>
      <c r="S128" s="212">
        <v>2.5000000000000001E-2</v>
      </c>
      <c r="T128" s="212">
        <v>2.5000000000000001E-2</v>
      </c>
      <c r="U128" s="212">
        <v>2.5000000000000001E-2</v>
      </c>
      <c r="V128" s="212">
        <v>2.5000000000000001E-2</v>
      </c>
      <c r="W128" s="212">
        <v>2.5000000000000001E-2</v>
      </c>
    </row>
    <row r="129" spans="3:23" ht="15" customHeight="1">
      <c r="C129" s="222"/>
      <c r="E129" s="30"/>
    </row>
    <row r="130" spans="3:23" s="40" customFormat="1" ht="15" customHeight="1">
      <c r="C130" s="221"/>
      <c r="D130" s="51" t="s">
        <v>162</v>
      </c>
      <c r="H130" s="52">
        <f>H126</f>
        <v>10182375.036</v>
      </c>
      <c r="I130" s="52">
        <f>H130*(1+I128)</f>
        <v>10436934.411899999</v>
      </c>
      <c r="J130" s="52">
        <f>I130*(1+J128)</f>
        <v>10697857.772197498</v>
      </c>
      <c r="K130" s="52">
        <f t="shared" ref="K130:W130" si="29">J130*(1+K128)</f>
        <v>10965304.216502434</v>
      </c>
      <c r="L130" s="52">
        <f t="shared" si="29"/>
        <v>11239436.821914993</v>
      </c>
      <c r="M130" s="52">
        <f t="shared" si="29"/>
        <v>11520422.742462868</v>
      </c>
      <c r="N130" s="52">
        <f t="shared" si="29"/>
        <v>11808433.311024439</v>
      </c>
      <c r="O130" s="52">
        <f t="shared" si="29"/>
        <v>12103644.143800048</v>
      </c>
      <c r="P130" s="52">
        <f t="shared" si="29"/>
        <v>12406235.247395048</v>
      </c>
      <c r="Q130" s="52">
        <f t="shared" si="29"/>
        <v>12716391.128579924</v>
      </c>
      <c r="R130" s="52">
        <f t="shared" si="29"/>
        <v>13034300.906794421</v>
      </c>
      <c r="S130" s="52">
        <f t="shared" si="29"/>
        <v>13360158.429464281</v>
      </c>
      <c r="T130" s="52">
        <f t="shared" si="29"/>
        <v>13694162.390200887</v>
      </c>
      <c r="U130" s="52">
        <f t="shared" si="29"/>
        <v>14036516.449955909</v>
      </c>
      <c r="V130" s="52">
        <f t="shared" si="29"/>
        <v>14387429.361204805</v>
      </c>
      <c r="W130" s="52">
        <f t="shared" si="29"/>
        <v>14747115.095234923</v>
      </c>
    </row>
    <row r="131" spans="3:23" s="40" customFormat="1" ht="15" customHeight="1">
      <c r="C131" s="221"/>
      <c r="D131" s="48"/>
    </row>
    <row r="132" spans="3:23" s="40" customFormat="1" ht="15" customHeight="1">
      <c r="C132" s="221"/>
      <c r="D132" s="67" t="s">
        <v>167</v>
      </c>
      <c r="H132" s="60"/>
      <c r="I132" s="60"/>
      <c r="J132" s="60"/>
      <c r="K132" s="60"/>
      <c r="L132" s="60"/>
      <c r="M132" s="60"/>
      <c r="N132" s="60"/>
      <c r="O132" s="60"/>
      <c r="P132" s="60"/>
      <c r="Q132" s="60"/>
      <c r="R132" s="60"/>
      <c r="S132" s="60"/>
      <c r="T132" s="60"/>
    </row>
    <row r="133" spans="3:23" s="40" customFormat="1" ht="7.5" customHeight="1">
      <c r="C133" s="221"/>
    </row>
    <row r="134" spans="3:23" s="40" customFormat="1" ht="15" customHeight="1">
      <c r="C134" s="221"/>
      <c r="D134" s="68" t="s">
        <v>175</v>
      </c>
    </row>
    <row r="135" spans="3:23" s="40" customFormat="1" ht="15" customHeight="1">
      <c r="C135" s="221"/>
      <c r="D135" s="51"/>
    </row>
    <row r="136" spans="3:23" s="40" customFormat="1" ht="15" customHeight="1">
      <c r="C136" s="221"/>
      <c r="D136" s="51" t="s">
        <v>169</v>
      </c>
      <c r="H136" s="209">
        <v>13182234.528759995</v>
      </c>
    </row>
    <row r="137" spans="3:23" s="40" customFormat="1" ht="15" customHeight="1">
      <c r="C137" s="221"/>
      <c r="D137" s="51"/>
    </row>
    <row r="138" spans="3:23" s="40" customFormat="1" ht="15" customHeight="1">
      <c r="C138" s="221"/>
      <c r="D138" s="71" t="s">
        <v>132</v>
      </c>
      <c r="H138" s="52">
        <f t="shared" ref="H138:W138" si="30">H46</f>
        <v>44565223.068243384</v>
      </c>
      <c r="I138" s="52">
        <f t="shared" si="30"/>
        <v>53478267.681892075</v>
      </c>
      <c r="J138" s="52">
        <f t="shared" si="30"/>
        <v>65320377.469647527</v>
      </c>
      <c r="K138" s="52">
        <f t="shared" si="30"/>
        <v>72567842.373843208</v>
      </c>
      <c r="L138" s="52">
        <f t="shared" si="30"/>
        <v>74034058.706594944</v>
      </c>
      <c r="M138" s="52">
        <f t="shared" si="30"/>
        <v>78067204.321173266</v>
      </c>
      <c r="N138" s="52">
        <f t="shared" si="30"/>
        <v>79862750.02056022</v>
      </c>
      <c r="O138" s="52">
        <f t="shared" si="30"/>
        <v>81923421.918033883</v>
      </c>
      <c r="P138" s="52">
        <f t="shared" si="30"/>
        <v>83578683.916266873</v>
      </c>
      <c r="Q138" s="52">
        <f t="shared" si="30"/>
        <v>85500993.646341026</v>
      </c>
      <c r="R138" s="52">
        <f t="shared" si="30"/>
        <v>87467516.500206843</v>
      </c>
      <c r="S138" s="52">
        <f t="shared" si="30"/>
        <v>89724411.65029116</v>
      </c>
      <c r="T138" s="52">
        <f t="shared" si="30"/>
        <v>91537292.575444967</v>
      </c>
      <c r="U138" s="52">
        <f t="shared" si="30"/>
        <v>96437950.847322762</v>
      </c>
      <c r="V138" s="52">
        <f t="shared" si="30"/>
        <v>98656023.71681118</v>
      </c>
      <c r="W138" s="52">
        <f t="shared" si="30"/>
        <v>100925112.7318888</v>
      </c>
    </row>
    <row r="139" spans="3:23" s="40" customFormat="1" ht="15" customHeight="1">
      <c r="C139" s="221"/>
    </row>
    <row r="140" spans="3:23" ht="15" customHeight="1">
      <c r="C140" s="222"/>
      <c r="D140" s="45" t="s">
        <v>170</v>
      </c>
      <c r="E140" s="46" t="s">
        <v>171</v>
      </c>
      <c r="H140" s="212">
        <v>0.29579644442873865</v>
      </c>
      <c r="I140" s="212">
        <v>0.29579644442873865</v>
      </c>
      <c r="J140" s="212">
        <v>0.29579644442873865</v>
      </c>
      <c r="K140" s="212">
        <v>0.29579644442873865</v>
      </c>
      <c r="L140" s="212">
        <v>0.29579644442873865</v>
      </c>
      <c r="M140" s="212">
        <v>0.29579644442873865</v>
      </c>
      <c r="N140" s="212">
        <v>0.29579644442873865</v>
      </c>
      <c r="O140" s="212">
        <v>0.29579644442873865</v>
      </c>
      <c r="P140" s="212">
        <v>0.29579644442873865</v>
      </c>
      <c r="Q140" s="212">
        <v>0.29579644442873865</v>
      </c>
      <c r="R140" s="212">
        <v>0.29579644442873865</v>
      </c>
      <c r="S140" s="212">
        <v>0.29579644442873865</v>
      </c>
      <c r="T140" s="212">
        <v>0.29579644442873865</v>
      </c>
      <c r="U140" s="212">
        <v>0.29579644442873865</v>
      </c>
      <c r="V140" s="212">
        <v>0.29579644442873865</v>
      </c>
      <c r="W140" s="212">
        <v>0.29579644442873865</v>
      </c>
    </row>
    <row r="141" spans="3:23" ht="15" customHeight="1">
      <c r="C141" s="222"/>
      <c r="E141" s="30"/>
    </row>
    <row r="142" spans="3:23" s="40" customFormat="1" ht="15" customHeight="1">
      <c r="C142" s="221"/>
      <c r="D142" s="51" t="s">
        <v>167</v>
      </c>
      <c r="H142" s="52">
        <f>H136</f>
        <v>13182234.528759995</v>
      </c>
      <c r="I142" s="52">
        <f>I138*I140</f>
        <v>15818681.434511999</v>
      </c>
      <c r="J142" s="52">
        <f t="shared" ref="J142:W142" si="31">J138*J140</f>
        <v>19321535.404264826</v>
      </c>
      <c r="K142" s="52">
        <f t="shared" si="31"/>
        <v>21465309.754047979</v>
      </c>
      <c r="L142" s="52">
        <f t="shared" si="31"/>
        <v>21899011.332039285</v>
      </c>
      <c r="M142" s="52">
        <f t="shared" si="31"/>
        <v>23092001.464694913</v>
      </c>
      <c r="N142" s="52">
        <f t="shared" si="31"/>
        <v>23623117.498382889</v>
      </c>
      <c r="O142" s="52">
        <f t="shared" si="31"/>
        <v>24232656.918789819</v>
      </c>
      <c r="P142" s="52">
        <f t="shared" si="31"/>
        <v>24722277.532465145</v>
      </c>
      <c r="Q142" s="52">
        <f t="shared" si="31"/>
        <v>25290889.91571185</v>
      </c>
      <c r="R142" s="52">
        <f t="shared" si="31"/>
        <v>25872580.383773215</v>
      </c>
      <c r="S142" s="52">
        <f t="shared" si="31"/>
        <v>26540161.944616619</v>
      </c>
      <c r="T142" s="52">
        <f t="shared" si="31"/>
        <v>27076405.676449798</v>
      </c>
      <c r="U142" s="52">
        <f t="shared" si="31"/>
        <v>28526002.968631536</v>
      </c>
      <c r="V142" s="52">
        <f t="shared" si="31"/>
        <v>29182101.036910061</v>
      </c>
      <c r="W142" s="52">
        <f t="shared" si="31"/>
        <v>29853289.499662329</v>
      </c>
    </row>
    <row r="143" spans="3:23" s="40" customFormat="1" ht="15" customHeight="1">
      <c r="C143" s="221"/>
      <c r="D143" s="48"/>
    </row>
    <row r="144" spans="3:23" s="40" customFormat="1" ht="15" customHeight="1">
      <c r="C144" s="221"/>
      <c r="D144" s="53" t="s">
        <v>159</v>
      </c>
      <c r="H144" s="54">
        <f t="shared" ref="H144:W144" si="32">H130+H142</f>
        <v>23364609.564759996</v>
      </c>
      <c r="I144" s="54">
        <f t="shared" si="32"/>
        <v>26255615.846411996</v>
      </c>
      <c r="J144" s="54">
        <f t="shared" si="32"/>
        <v>30019393.176462322</v>
      </c>
      <c r="K144" s="54">
        <f t="shared" si="32"/>
        <v>32430613.97055041</v>
      </c>
      <c r="L144" s="54">
        <f t="shared" si="32"/>
        <v>33138448.153954279</v>
      </c>
      <c r="M144" s="54">
        <f t="shared" si="32"/>
        <v>34612424.207157783</v>
      </c>
      <c r="N144" s="54">
        <f t="shared" si="32"/>
        <v>35431550.809407324</v>
      </c>
      <c r="O144" s="54">
        <f t="shared" si="32"/>
        <v>36336301.062589869</v>
      </c>
      <c r="P144" s="54">
        <f t="shared" si="32"/>
        <v>37128512.779860191</v>
      </c>
      <c r="Q144" s="54">
        <f t="shared" si="32"/>
        <v>38007281.044291772</v>
      </c>
      <c r="R144" s="54">
        <f t="shared" si="32"/>
        <v>38906881.290567636</v>
      </c>
      <c r="S144" s="54">
        <f t="shared" si="32"/>
        <v>39900320.374080896</v>
      </c>
      <c r="T144" s="54">
        <f t="shared" si="32"/>
        <v>40770568.066650689</v>
      </c>
      <c r="U144" s="54">
        <f t="shared" si="32"/>
        <v>42562519.418587446</v>
      </c>
      <c r="V144" s="54">
        <f t="shared" si="32"/>
        <v>43569530.398114868</v>
      </c>
      <c r="W144" s="54">
        <f t="shared" si="32"/>
        <v>44600404.594897255</v>
      </c>
    </row>
    <row r="145" spans="3:23" s="40" customFormat="1" ht="15" customHeight="1">
      <c r="C145" s="221"/>
    </row>
    <row r="146" spans="3:23" s="40" customFormat="1" ht="15" hidden="1" customHeight="1" outlineLevel="1">
      <c r="C146" s="221"/>
      <c r="D146" s="58" t="s">
        <v>144</v>
      </c>
      <c r="E146" s="49"/>
      <c r="F146" s="49"/>
      <c r="G146" s="49"/>
      <c r="H146" s="207">
        <v>23364609.564759996</v>
      </c>
      <c r="I146" s="207">
        <v>26255615.846411996</v>
      </c>
      <c r="J146" s="207">
        <v>30019393.176462322</v>
      </c>
      <c r="K146" s="207">
        <v>32430613.97055041</v>
      </c>
      <c r="L146" s="207">
        <v>33138448.153954279</v>
      </c>
      <c r="M146" s="207">
        <v>33923111.335139059</v>
      </c>
      <c r="N146" s="207">
        <v>34726383.741332166</v>
      </c>
      <c r="O146" s="207">
        <v>35612943.968948625</v>
      </c>
      <c r="P146" s="207">
        <v>36390534.993274562</v>
      </c>
      <c r="Q146" s="207">
        <v>37252329.768614672</v>
      </c>
      <c r="R146" s="207">
        <v>38134566.135549963</v>
      </c>
      <c r="S146" s="207">
        <v>39108083.085641444</v>
      </c>
      <c r="T146" s="207">
        <v>39962317.859785199</v>
      </c>
      <c r="U146" s="207">
        <v>40908839.49534066</v>
      </c>
      <c r="V146" s="207">
        <v>41877815.836633399</v>
      </c>
      <c r="W146" s="207">
        <v>42869784.628281638</v>
      </c>
    </row>
    <row r="147" spans="3:23" s="40" customFormat="1" ht="15" hidden="1" customHeight="1" outlineLevel="1">
      <c r="C147" s="221"/>
      <c r="D147" s="58" t="s">
        <v>145</v>
      </c>
      <c r="E147" s="49"/>
      <c r="F147" s="49"/>
      <c r="G147" s="49"/>
      <c r="H147" s="56">
        <f>H144-H146</f>
        <v>0</v>
      </c>
      <c r="I147" s="56">
        <f t="shared" ref="I147:W147" si="33">I144-I146</f>
        <v>0</v>
      </c>
      <c r="J147" s="56">
        <f t="shared" si="33"/>
        <v>0</v>
      </c>
      <c r="K147" s="56">
        <f t="shared" si="33"/>
        <v>0</v>
      </c>
      <c r="L147" s="56">
        <f t="shared" si="33"/>
        <v>0</v>
      </c>
      <c r="M147" s="56">
        <f t="shared" si="33"/>
        <v>689312.87201872468</v>
      </c>
      <c r="N147" s="56">
        <f t="shared" si="33"/>
        <v>705167.0680751577</v>
      </c>
      <c r="O147" s="56">
        <f t="shared" si="33"/>
        <v>723357.09364124388</v>
      </c>
      <c r="P147" s="56">
        <f t="shared" si="33"/>
        <v>737977.78658562899</v>
      </c>
      <c r="Q147" s="56">
        <f t="shared" si="33"/>
        <v>754951.27567709982</v>
      </c>
      <c r="R147" s="56">
        <f t="shared" si="33"/>
        <v>772315.15501767397</v>
      </c>
      <c r="S147" s="56">
        <f t="shared" si="33"/>
        <v>792237.28843945265</v>
      </c>
      <c r="T147" s="56">
        <f t="shared" si="33"/>
        <v>808250.20686548948</v>
      </c>
      <c r="U147" s="56">
        <f t="shared" si="33"/>
        <v>1653679.923246786</v>
      </c>
      <c r="V147" s="56">
        <f t="shared" si="33"/>
        <v>1691714.5614814684</v>
      </c>
      <c r="W147" s="56">
        <f t="shared" si="33"/>
        <v>1730619.9666156173</v>
      </c>
    </row>
    <row r="148" spans="3:23" s="40" customFormat="1" ht="15" hidden="1" customHeight="1" outlineLevel="1">
      <c r="C148" s="221"/>
    </row>
    <row r="149" spans="3:23" s="40" customFormat="1" ht="15" customHeight="1" collapsed="1">
      <c r="C149" s="221"/>
      <c r="D149" s="61" t="s">
        <v>176</v>
      </c>
    </row>
    <row r="150" spans="3:23" s="40" customFormat="1" ht="3.75" customHeight="1">
      <c r="C150" s="221"/>
      <c r="D150" s="61"/>
    </row>
    <row r="151" spans="3:23" s="40" customFormat="1" ht="15" customHeight="1">
      <c r="C151" s="221"/>
      <c r="D151" s="62" t="s">
        <v>21</v>
      </c>
      <c r="H151" s="63">
        <f t="shared" ref="H151:W151" si="34">H46</f>
        <v>44565223.068243384</v>
      </c>
      <c r="I151" s="63">
        <f t="shared" si="34"/>
        <v>53478267.681892075</v>
      </c>
      <c r="J151" s="63">
        <f t="shared" si="34"/>
        <v>65320377.469647527</v>
      </c>
      <c r="K151" s="63">
        <f t="shared" si="34"/>
        <v>72567842.373843208</v>
      </c>
      <c r="L151" s="63">
        <f t="shared" si="34"/>
        <v>74034058.706594944</v>
      </c>
      <c r="M151" s="63">
        <f t="shared" si="34"/>
        <v>78067204.321173266</v>
      </c>
      <c r="N151" s="63">
        <f t="shared" si="34"/>
        <v>79862750.02056022</v>
      </c>
      <c r="O151" s="63">
        <f t="shared" si="34"/>
        <v>81923421.918033883</v>
      </c>
      <c r="P151" s="63">
        <f t="shared" si="34"/>
        <v>83578683.916266873</v>
      </c>
      <c r="Q151" s="63">
        <f t="shared" si="34"/>
        <v>85500993.646341026</v>
      </c>
      <c r="R151" s="63">
        <f t="shared" si="34"/>
        <v>87467516.500206843</v>
      </c>
      <c r="S151" s="63">
        <f t="shared" si="34"/>
        <v>89724411.65029116</v>
      </c>
      <c r="T151" s="63">
        <f t="shared" si="34"/>
        <v>91537292.575444967</v>
      </c>
      <c r="U151" s="63">
        <f t="shared" si="34"/>
        <v>96437950.847322762</v>
      </c>
      <c r="V151" s="63">
        <f t="shared" si="34"/>
        <v>98656023.71681118</v>
      </c>
      <c r="W151" s="63">
        <f t="shared" si="34"/>
        <v>100925112.7318888</v>
      </c>
    </row>
    <row r="152" spans="3:23" s="40" customFormat="1" ht="15" customHeight="1">
      <c r="C152" s="221"/>
      <c r="D152" s="62" t="s">
        <v>157</v>
      </c>
      <c r="H152" s="64">
        <f>-H144</f>
        <v>-23364609.564759996</v>
      </c>
      <c r="I152" s="64">
        <f t="shared" ref="I152:W152" si="35">-I144</f>
        <v>-26255615.846411996</v>
      </c>
      <c r="J152" s="64">
        <f t="shared" si="35"/>
        <v>-30019393.176462322</v>
      </c>
      <c r="K152" s="64">
        <f t="shared" si="35"/>
        <v>-32430613.97055041</v>
      </c>
      <c r="L152" s="64">
        <f t="shared" si="35"/>
        <v>-33138448.153954279</v>
      </c>
      <c r="M152" s="64">
        <f t="shared" si="35"/>
        <v>-34612424.207157783</v>
      </c>
      <c r="N152" s="64">
        <f t="shared" si="35"/>
        <v>-35431550.809407324</v>
      </c>
      <c r="O152" s="64">
        <f t="shared" si="35"/>
        <v>-36336301.062589869</v>
      </c>
      <c r="P152" s="64">
        <f t="shared" si="35"/>
        <v>-37128512.779860191</v>
      </c>
      <c r="Q152" s="64">
        <f t="shared" si="35"/>
        <v>-38007281.044291772</v>
      </c>
      <c r="R152" s="64">
        <f t="shared" si="35"/>
        <v>-38906881.290567636</v>
      </c>
      <c r="S152" s="64">
        <f t="shared" si="35"/>
        <v>-39900320.374080896</v>
      </c>
      <c r="T152" s="64">
        <f t="shared" si="35"/>
        <v>-40770568.066650689</v>
      </c>
      <c r="U152" s="64">
        <f t="shared" si="35"/>
        <v>-42562519.418587446</v>
      </c>
      <c r="V152" s="64">
        <f t="shared" si="35"/>
        <v>-43569530.398114868</v>
      </c>
      <c r="W152" s="64">
        <f t="shared" si="35"/>
        <v>-44600404.594897255</v>
      </c>
    </row>
    <row r="153" spans="3:23" s="40" customFormat="1" ht="15" customHeight="1">
      <c r="C153" s="221"/>
      <c r="D153" s="65" t="s">
        <v>173</v>
      </c>
      <c r="H153" s="66">
        <f>SUM(H151:H152)</f>
        <v>21200613.503483389</v>
      </c>
      <c r="I153" s="66">
        <f t="shared" ref="I153:W153" si="36">SUM(I151:I152)</f>
        <v>27222651.835480079</v>
      </c>
      <c r="J153" s="66">
        <f t="shared" si="36"/>
        <v>35300984.293185204</v>
      </c>
      <c r="K153" s="66">
        <f t="shared" si="36"/>
        <v>40137228.403292798</v>
      </c>
      <c r="L153" s="66">
        <f t="shared" si="36"/>
        <v>40895610.552640662</v>
      </c>
      <c r="M153" s="66">
        <f t="shared" si="36"/>
        <v>43454780.114015482</v>
      </c>
      <c r="N153" s="66">
        <f t="shared" si="36"/>
        <v>44431199.211152896</v>
      </c>
      <c r="O153" s="66">
        <f t="shared" si="36"/>
        <v>45587120.855444014</v>
      </c>
      <c r="P153" s="66">
        <f t="shared" si="36"/>
        <v>46450171.136406682</v>
      </c>
      <c r="Q153" s="66">
        <f t="shared" si="36"/>
        <v>47493712.602049254</v>
      </c>
      <c r="R153" s="66">
        <f t="shared" si="36"/>
        <v>48560635.209639207</v>
      </c>
      <c r="S153" s="66">
        <f t="shared" si="36"/>
        <v>49824091.276210263</v>
      </c>
      <c r="T153" s="66">
        <f t="shared" si="36"/>
        <v>50766724.508794278</v>
      </c>
      <c r="U153" s="66">
        <f t="shared" si="36"/>
        <v>53875431.428735316</v>
      </c>
      <c r="V153" s="66">
        <f t="shared" si="36"/>
        <v>55086493.318696313</v>
      </c>
      <c r="W153" s="66">
        <f t="shared" si="36"/>
        <v>56324708.136991546</v>
      </c>
    </row>
    <row r="154" spans="3:23" s="40" customFormat="1" ht="15" customHeight="1">
      <c r="C154" s="221"/>
      <c r="D154" s="72" t="s">
        <v>174</v>
      </c>
      <c r="H154" s="73">
        <f>H153/H151</f>
        <v>0.4757210228930881</v>
      </c>
      <c r="I154" s="73">
        <f t="shared" ref="I154:W154" si="37">I153/I151</f>
        <v>0.50904139224198852</v>
      </c>
      <c r="J154" s="73">
        <f t="shared" si="37"/>
        <v>0.54042835728542049</v>
      </c>
      <c r="K154" s="73">
        <f t="shared" si="37"/>
        <v>0.55309937694606315</v>
      </c>
      <c r="L154" s="73">
        <f t="shared" si="37"/>
        <v>0.55238914719932386</v>
      </c>
      <c r="M154" s="73">
        <f t="shared" si="37"/>
        <v>0.55663297401095413</v>
      </c>
      <c r="N154" s="73">
        <f t="shared" si="37"/>
        <v>0.55634446847515684</v>
      </c>
      <c r="O154" s="73">
        <f t="shared" si="37"/>
        <v>0.55646016472621096</v>
      </c>
      <c r="P154" s="73">
        <f t="shared" si="37"/>
        <v>0.55576576418626888</v>
      </c>
      <c r="Q154" s="73">
        <f t="shared" si="37"/>
        <v>0.55547556322559444</v>
      </c>
      <c r="R154" s="73">
        <f t="shared" si="37"/>
        <v>0.55518479491211314</v>
      </c>
      <c r="S154" s="73">
        <f t="shared" si="37"/>
        <v>0.55530139858040051</v>
      </c>
      <c r="T154" s="73">
        <f t="shared" si="37"/>
        <v>0.55460155178778514</v>
      </c>
      <c r="U154" s="73">
        <f t="shared" si="37"/>
        <v>0.55865383861203188</v>
      </c>
      <c r="V154" s="73">
        <f t="shared" si="37"/>
        <v>0.55836928393566976</v>
      </c>
      <c r="W154" s="73">
        <f t="shared" si="37"/>
        <v>0.55808417362505369</v>
      </c>
    </row>
    <row r="155" spans="3:23" s="40" customFormat="1" ht="15" customHeight="1">
      <c r="C155" s="221"/>
    </row>
    <row r="156" spans="3:23" s="40" customFormat="1" ht="15" customHeight="1">
      <c r="C156" s="221"/>
      <c r="D156" s="1" t="s">
        <v>160</v>
      </c>
      <c r="E156" s="1"/>
      <c r="F156" s="1"/>
      <c r="G156" s="1"/>
      <c r="H156" s="1"/>
      <c r="I156" s="1"/>
      <c r="J156" s="1"/>
      <c r="K156" s="1"/>
      <c r="L156" s="1"/>
      <c r="M156" s="1"/>
      <c r="N156" s="1"/>
      <c r="O156" s="1"/>
      <c r="P156" s="1"/>
      <c r="Q156" s="1"/>
      <c r="R156" s="1"/>
      <c r="S156" s="1"/>
      <c r="T156" s="1"/>
      <c r="U156" s="1"/>
      <c r="V156" s="1"/>
      <c r="W156" s="1"/>
    </row>
    <row r="157" spans="3:23" s="40" customFormat="1" ht="7.5" customHeight="1">
      <c r="C157" s="221"/>
    </row>
    <row r="158" spans="3:23" s="40" customFormat="1" ht="15" customHeight="1">
      <c r="C158" s="221"/>
      <c r="D158" s="44" t="s">
        <v>161</v>
      </c>
    </row>
    <row r="159" spans="3:23" s="40" customFormat="1" ht="7.5" customHeight="1">
      <c r="C159" s="221"/>
    </row>
    <row r="160" spans="3:23" s="40" customFormat="1" ht="15" customHeight="1">
      <c r="C160" s="221"/>
      <c r="D160" s="67" t="s">
        <v>162</v>
      </c>
    </row>
    <row r="161" spans="3:23" s="40" customFormat="1" ht="7.5" customHeight="1">
      <c r="C161" s="221"/>
    </row>
    <row r="162" spans="3:23" s="40" customFormat="1" ht="15" customHeight="1">
      <c r="C162" s="221"/>
      <c r="D162" s="68" t="s">
        <v>163</v>
      </c>
    </row>
    <row r="163" spans="3:23" s="40" customFormat="1" ht="15" customHeight="1">
      <c r="C163" s="221"/>
      <c r="D163" s="51"/>
    </row>
    <row r="164" spans="3:23" s="40" customFormat="1" ht="15" customHeight="1">
      <c r="C164" s="221"/>
      <c r="D164" s="51" t="s">
        <v>164</v>
      </c>
      <c r="H164" s="209">
        <v>416625.03999999986</v>
      </c>
    </row>
    <row r="165" spans="3:23" s="40" customFormat="1" ht="15" customHeight="1">
      <c r="C165" s="221"/>
      <c r="D165" s="51"/>
    </row>
    <row r="166" spans="3:23" ht="15" customHeight="1">
      <c r="C166" s="222"/>
      <c r="D166" s="45" t="s">
        <v>165</v>
      </c>
      <c r="E166" s="46" t="s">
        <v>137</v>
      </c>
      <c r="H166" s="74" t="s">
        <v>166</v>
      </c>
      <c r="I166" s="212">
        <v>2.5000000000000001E-2</v>
      </c>
      <c r="J166" s="212">
        <v>2.5000000000000001E-2</v>
      </c>
      <c r="K166" s="212">
        <v>2.5000000000000001E-2</v>
      </c>
      <c r="L166" s="212">
        <v>2.5000000000000001E-2</v>
      </c>
      <c r="M166" s="212">
        <v>2.5000000000000001E-2</v>
      </c>
      <c r="N166" s="212">
        <v>2.5000000000000001E-2</v>
      </c>
      <c r="O166" s="212">
        <v>2.5000000000000001E-2</v>
      </c>
      <c r="P166" s="212">
        <v>2.5000000000000001E-2</v>
      </c>
      <c r="Q166" s="212">
        <v>2.5000000000000001E-2</v>
      </c>
      <c r="R166" s="212">
        <v>2.5000000000000001E-2</v>
      </c>
      <c r="S166" s="212">
        <v>2.5000000000000001E-2</v>
      </c>
      <c r="T166" s="212">
        <v>2.5000000000000001E-2</v>
      </c>
      <c r="U166" s="212">
        <v>2.5000000000000001E-2</v>
      </c>
      <c r="V166" s="212">
        <v>2.5000000000000001E-2</v>
      </c>
      <c r="W166" s="212">
        <v>2.5000000000000001E-2</v>
      </c>
    </row>
    <row r="167" spans="3:23" ht="15" customHeight="1">
      <c r="C167" s="222"/>
      <c r="E167" s="30"/>
    </row>
    <row r="168" spans="3:23" s="40" customFormat="1" ht="15" customHeight="1">
      <c r="C168" s="221"/>
      <c r="D168" s="51" t="s">
        <v>162</v>
      </c>
      <c r="H168" s="52">
        <f>H164</f>
        <v>416625.03999999986</v>
      </c>
      <c r="I168" s="52">
        <f>H168*(1+I166)</f>
        <v>427040.66599999979</v>
      </c>
      <c r="J168" s="52">
        <f>I168*(1+J166)</f>
        <v>437716.68264999974</v>
      </c>
      <c r="K168" s="52">
        <f t="shared" ref="K168:W168" si="38">J168*(1+K166)</f>
        <v>448659.59971624968</v>
      </c>
      <c r="L168" s="52">
        <f t="shared" si="38"/>
        <v>459876.0897091559</v>
      </c>
      <c r="M168" s="52">
        <f t="shared" si="38"/>
        <v>471372.99195188476</v>
      </c>
      <c r="N168" s="52">
        <f t="shared" si="38"/>
        <v>483157.31675068184</v>
      </c>
      <c r="O168" s="52">
        <f t="shared" si="38"/>
        <v>495236.24966944882</v>
      </c>
      <c r="P168" s="52">
        <f t="shared" si="38"/>
        <v>507617.15591118502</v>
      </c>
      <c r="Q168" s="52">
        <f t="shared" si="38"/>
        <v>520307.58480896463</v>
      </c>
      <c r="R168" s="52">
        <f t="shared" si="38"/>
        <v>533315.27442918869</v>
      </c>
      <c r="S168" s="52">
        <f t="shared" si="38"/>
        <v>546648.15628991835</v>
      </c>
      <c r="T168" s="52">
        <f t="shared" si="38"/>
        <v>560314.36019716621</v>
      </c>
      <c r="U168" s="52">
        <f t="shared" si="38"/>
        <v>574322.21920209529</v>
      </c>
      <c r="V168" s="52">
        <f t="shared" si="38"/>
        <v>588680.27468214766</v>
      </c>
      <c r="W168" s="52">
        <f t="shared" si="38"/>
        <v>603397.28154920135</v>
      </c>
    </row>
    <row r="169" spans="3:23" s="40" customFormat="1" ht="15" customHeight="1">
      <c r="C169" s="221"/>
      <c r="D169" s="48"/>
    </row>
    <row r="170" spans="3:23" s="40" customFormat="1" ht="15" customHeight="1">
      <c r="C170" s="221"/>
      <c r="D170" s="67" t="s">
        <v>167</v>
      </c>
      <c r="H170" s="60"/>
      <c r="I170" s="60"/>
      <c r="J170" s="60"/>
      <c r="K170" s="60"/>
      <c r="L170" s="60"/>
      <c r="M170" s="60"/>
      <c r="N170" s="60"/>
      <c r="O170" s="60"/>
      <c r="P170" s="60"/>
      <c r="Q170" s="60"/>
      <c r="R170" s="60"/>
      <c r="S170" s="60"/>
      <c r="T170" s="60"/>
    </row>
    <row r="171" spans="3:23" s="40" customFormat="1" ht="7.5" customHeight="1">
      <c r="C171" s="221"/>
    </row>
    <row r="172" spans="3:23" s="40" customFormat="1" ht="15" customHeight="1">
      <c r="C172" s="221"/>
      <c r="D172" s="68" t="s">
        <v>175</v>
      </c>
    </row>
    <row r="173" spans="3:23" s="40" customFormat="1" ht="15" customHeight="1">
      <c r="C173" s="221"/>
      <c r="D173" s="51"/>
    </row>
    <row r="174" spans="3:23" s="40" customFormat="1" ht="15" customHeight="1">
      <c r="C174" s="221"/>
      <c r="D174" s="51" t="s">
        <v>169</v>
      </c>
      <c r="H174" s="209">
        <v>158999.57867000002</v>
      </c>
    </row>
    <row r="175" spans="3:23" s="40" customFormat="1" ht="15" customHeight="1">
      <c r="C175" s="221"/>
      <c r="D175" s="51"/>
    </row>
    <row r="176" spans="3:23" s="40" customFormat="1" ht="15" customHeight="1">
      <c r="C176" s="221"/>
      <c r="D176" s="71" t="s">
        <v>133</v>
      </c>
      <c r="H176" s="52">
        <f t="shared" ref="H176:W176" si="39">H59</f>
        <v>2589600.7599400003</v>
      </c>
      <c r="I176" s="52">
        <f t="shared" si="39"/>
        <v>3107520.9119280009</v>
      </c>
      <c r="J176" s="52">
        <f t="shared" si="39"/>
        <v>3859489.1660083863</v>
      </c>
      <c r="K176" s="52">
        <f t="shared" si="39"/>
        <v>4287708.8402697891</v>
      </c>
      <c r="L176" s="52">
        <f t="shared" si="39"/>
        <v>4374341.6459358949</v>
      </c>
      <c r="M176" s="52">
        <f t="shared" si="39"/>
        <v>4474951.50379242</v>
      </c>
      <c r="N176" s="52">
        <f t="shared" si="39"/>
        <v>4577875.3883796455</v>
      </c>
      <c r="O176" s="52">
        <f t="shared" si="39"/>
        <v>4695997.1155241923</v>
      </c>
      <c r="P176" s="52">
        <f t="shared" si="39"/>
        <v>4790879.3523255615</v>
      </c>
      <c r="Q176" s="52">
        <f t="shared" si="39"/>
        <v>4901069.5774290496</v>
      </c>
      <c r="R176" s="52">
        <f t="shared" si="39"/>
        <v>5013794.1777099166</v>
      </c>
      <c r="S176" s="52">
        <f t="shared" si="39"/>
        <v>5143163.8039172376</v>
      </c>
      <c r="T176" s="52">
        <f t="shared" si="39"/>
        <v>5247081.0070045823</v>
      </c>
      <c r="U176" s="52">
        <f t="shared" si="39"/>
        <v>5367763.8701656861</v>
      </c>
      <c r="V176" s="52">
        <f t="shared" si="39"/>
        <v>5491222.4391794968</v>
      </c>
      <c r="W176" s="52">
        <f t="shared" si="39"/>
        <v>5617520.5552806249</v>
      </c>
    </row>
    <row r="177" spans="3:23" s="40" customFormat="1" ht="15" customHeight="1">
      <c r="C177" s="221"/>
    </row>
    <row r="178" spans="3:23" ht="15" customHeight="1">
      <c r="C178" s="222"/>
      <c r="D178" s="45" t="s">
        <v>170</v>
      </c>
      <c r="E178" s="46" t="s">
        <v>171</v>
      </c>
      <c r="H178" s="212">
        <v>6.1399263210628642E-2</v>
      </c>
      <c r="I178" s="212">
        <v>6.1399263210628642E-2</v>
      </c>
      <c r="J178" s="212">
        <v>6.1399263210628642E-2</v>
      </c>
      <c r="K178" s="212">
        <v>6.1399263210628642E-2</v>
      </c>
      <c r="L178" s="212">
        <v>6.1399263210628642E-2</v>
      </c>
      <c r="M178" s="212">
        <v>6.1399263210628642E-2</v>
      </c>
      <c r="N178" s="212">
        <v>6.1399263210628642E-2</v>
      </c>
      <c r="O178" s="212">
        <v>6.1399263210628642E-2</v>
      </c>
      <c r="P178" s="212">
        <v>6.1399263210628642E-2</v>
      </c>
      <c r="Q178" s="212">
        <v>6.1399263210628642E-2</v>
      </c>
      <c r="R178" s="212">
        <v>6.1399263210628642E-2</v>
      </c>
      <c r="S178" s="212">
        <v>6.1399263210628642E-2</v>
      </c>
      <c r="T178" s="212">
        <v>6.1399263210628642E-2</v>
      </c>
      <c r="U178" s="212">
        <v>6.1399263210628642E-2</v>
      </c>
      <c r="V178" s="212">
        <v>6.1399263210628642E-2</v>
      </c>
      <c r="W178" s="212">
        <v>6.1399263210628642E-2</v>
      </c>
    </row>
    <row r="179" spans="3:23" ht="15" customHeight="1">
      <c r="C179" s="222"/>
      <c r="E179" s="30"/>
    </row>
    <row r="180" spans="3:23" s="40" customFormat="1" ht="15" customHeight="1">
      <c r="C180" s="221"/>
      <c r="D180" s="51" t="s">
        <v>167</v>
      </c>
      <c r="H180" s="52">
        <f>H174</f>
        <v>158999.57867000002</v>
      </c>
      <c r="I180" s="52">
        <f>I176*I178</f>
        <v>190799.49440400008</v>
      </c>
      <c r="J180" s="52">
        <f t="shared" ref="J180:W180" si="40">J176*J178</f>
        <v>236969.79116231852</v>
      </c>
      <c r="K180" s="52">
        <f t="shared" si="40"/>
        <v>263262.16365426406</v>
      </c>
      <c r="L180" s="52">
        <f t="shared" si="40"/>
        <v>268581.35409203253</v>
      </c>
      <c r="M180" s="52">
        <f t="shared" si="40"/>
        <v>274758.72523614927</v>
      </c>
      <c r="N180" s="52">
        <f t="shared" si="40"/>
        <v>281078.17591658066</v>
      </c>
      <c r="O180" s="52">
        <f t="shared" si="40"/>
        <v>288330.76293242275</v>
      </c>
      <c r="P180" s="52">
        <f t="shared" si="40"/>
        <v>294156.46236380324</v>
      </c>
      <c r="Q180" s="52">
        <f t="shared" si="40"/>
        <v>300922.06099817069</v>
      </c>
      <c r="R180" s="52">
        <f t="shared" si="40"/>
        <v>307843.26840112859</v>
      </c>
      <c r="S180" s="52">
        <f t="shared" si="40"/>
        <v>315786.4681320925</v>
      </c>
      <c r="T180" s="52">
        <f t="shared" si="40"/>
        <v>322166.90783656476</v>
      </c>
      <c r="U180" s="52">
        <f t="shared" si="40"/>
        <v>329576.74671680562</v>
      </c>
      <c r="V180" s="52">
        <f t="shared" si="40"/>
        <v>337157.01189129218</v>
      </c>
      <c r="W180" s="52">
        <f t="shared" si="40"/>
        <v>344911.62316479185</v>
      </c>
    </row>
    <row r="181" spans="3:23" s="40" customFormat="1" ht="15" customHeight="1">
      <c r="C181" s="221"/>
      <c r="D181" s="48"/>
    </row>
    <row r="182" spans="3:23" s="40" customFormat="1" ht="15" customHeight="1">
      <c r="C182" s="221"/>
      <c r="D182" s="53" t="s">
        <v>160</v>
      </c>
      <c r="H182" s="54">
        <f t="shared" ref="H182:W182" si="41">H168+H180</f>
        <v>575624.61866999988</v>
      </c>
      <c r="I182" s="54">
        <f t="shared" si="41"/>
        <v>617840.16040399985</v>
      </c>
      <c r="J182" s="54">
        <f t="shared" si="41"/>
        <v>674686.47381231829</v>
      </c>
      <c r="K182" s="54">
        <f t="shared" si="41"/>
        <v>711921.76337051368</v>
      </c>
      <c r="L182" s="54">
        <f t="shared" si="41"/>
        <v>728457.44380118838</v>
      </c>
      <c r="M182" s="54">
        <f t="shared" si="41"/>
        <v>746131.71718803397</v>
      </c>
      <c r="N182" s="54">
        <f t="shared" si="41"/>
        <v>764235.49266726244</v>
      </c>
      <c r="O182" s="54">
        <f t="shared" si="41"/>
        <v>783567.01260187151</v>
      </c>
      <c r="P182" s="54">
        <f t="shared" si="41"/>
        <v>801773.61827498826</v>
      </c>
      <c r="Q182" s="54">
        <f t="shared" si="41"/>
        <v>821229.64580713538</v>
      </c>
      <c r="R182" s="54">
        <f t="shared" si="41"/>
        <v>841158.54283031728</v>
      </c>
      <c r="S182" s="54">
        <f t="shared" si="41"/>
        <v>862434.62442201085</v>
      </c>
      <c r="T182" s="54">
        <f t="shared" si="41"/>
        <v>882481.26803373103</v>
      </c>
      <c r="U182" s="54">
        <f t="shared" si="41"/>
        <v>903898.96591890091</v>
      </c>
      <c r="V182" s="54">
        <f t="shared" si="41"/>
        <v>925837.28657343984</v>
      </c>
      <c r="W182" s="54">
        <f t="shared" si="41"/>
        <v>948308.90471399319</v>
      </c>
    </row>
    <row r="183" spans="3:23" s="40" customFormat="1" ht="15" customHeight="1">
      <c r="C183" s="221"/>
    </row>
    <row r="184" spans="3:23" s="40" customFormat="1" ht="15" hidden="1" customHeight="1" outlineLevel="1">
      <c r="C184" s="221"/>
      <c r="D184" s="58" t="s">
        <v>144</v>
      </c>
      <c r="E184" s="49"/>
      <c r="F184" s="49"/>
      <c r="G184" s="49"/>
      <c r="H184" s="207">
        <v>575624.61866999988</v>
      </c>
      <c r="I184" s="207">
        <v>617840.16040399985</v>
      </c>
      <c r="J184" s="207">
        <v>674686.47381231829</v>
      </c>
      <c r="K184" s="207">
        <v>711921.76337051368</v>
      </c>
      <c r="L184" s="207">
        <v>728457.44380118838</v>
      </c>
      <c r="M184" s="207">
        <v>746131.71718803397</v>
      </c>
      <c r="N184" s="207">
        <v>764235.49266726244</v>
      </c>
      <c r="O184" s="207">
        <v>783567.01260187151</v>
      </c>
      <c r="P184" s="207">
        <v>801773.61827498826</v>
      </c>
      <c r="Q184" s="207">
        <v>821229.64580713538</v>
      </c>
      <c r="R184" s="207">
        <v>841158.54283031728</v>
      </c>
      <c r="S184" s="207">
        <v>862434.62442201085</v>
      </c>
      <c r="T184" s="207">
        <v>882481.26803373091</v>
      </c>
      <c r="U184" s="207">
        <v>903898.96591890091</v>
      </c>
      <c r="V184" s="207">
        <v>925837.28657343984</v>
      </c>
      <c r="W184" s="207">
        <v>948308.90471399319</v>
      </c>
    </row>
    <row r="185" spans="3:23" s="40" customFormat="1" ht="15" hidden="1" customHeight="1" outlineLevel="1">
      <c r="C185" s="221"/>
      <c r="D185" s="58" t="s">
        <v>145</v>
      </c>
      <c r="E185" s="49"/>
      <c r="F185" s="49"/>
      <c r="G185" s="49"/>
      <c r="H185" s="56">
        <f>H182-H184</f>
        <v>0</v>
      </c>
      <c r="I185" s="56">
        <f t="shared" ref="I185:W185" si="42">I182-I184</f>
        <v>0</v>
      </c>
      <c r="J185" s="56">
        <f t="shared" si="42"/>
        <v>0</v>
      </c>
      <c r="K185" s="56">
        <f t="shared" si="42"/>
        <v>0</v>
      </c>
      <c r="L185" s="56">
        <f t="shared" si="42"/>
        <v>0</v>
      </c>
      <c r="M185" s="56">
        <f t="shared" si="42"/>
        <v>0</v>
      </c>
      <c r="N185" s="56">
        <f t="shared" si="42"/>
        <v>0</v>
      </c>
      <c r="O185" s="56">
        <f t="shared" si="42"/>
        <v>0</v>
      </c>
      <c r="P185" s="56">
        <f t="shared" si="42"/>
        <v>0</v>
      </c>
      <c r="Q185" s="56">
        <f t="shared" si="42"/>
        <v>0</v>
      </c>
      <c r="R185" s="56">
        <f t="shared" si="42"/>
        <v>0</v>
      </c>
      <c r="S185" s="56">
        <f t="shared" si="42"/>
        <v>0</v>
      </c>
      <c r="T185" s="56">
        <f t="shared" si="42"/>
        <v>0</v>
      </c>
      <c r="U185" s="56">
        <f t="shared" si="42"/>
        <v>0</v>
      </c>
      <c r="V185" s="56">
        <f t="shared" si="42"/>
        <v>0</v>
      </c>
      <c r="W185" s="56">
        <f t="shared" si="42"/>
        <v>0</v>
      </c>
    </row>
    <row r="186" spans="3:23" s="40" customFormat="1" ht="15" hidden="1" customHeight="1" outlineLevel="1">
      <c r="C186" s="221"/>
    </row>
    <row r="187" spans="3:23" s="40" customFormat="1" ht="15" customHeight="1" collapsed="1">
      <c r="C187" s="221"/>
      <c r="D187" s="61" t="s">
        <v>177</v>
      </c>
    </row>
    <row r="188" spans="3:23" s="40" customFormat="1" ht="3.75" customHeight="1">
      <c r="C188" s="221"/>
      <c r="D188" s="61"/>
    </row>
    <row r="189" spans="3:23" s="40" customFormat="1" ht="15" customHeight="1">
      <c r="C189" s="221"/>
      <c r="D189" s="62" t="s">
        <v>21</v>
      </c>
      <c r="H189" s="63">
        <f t="shared" ref="H189:W189" si="43">H59</f>
        <v>2589600.7599400003</v>
      </c>
      <c r="I189" s="63">
        <f t="shared" si="43"/>
        <v>3107520.9119280009</v>
      </c>
      <c r="J189" s="63">
        <f t="shared" si="43"/>
        <v>3859489.1660083863</v>
      </c>
      <c r="K189" s="63">
        <f t="shared" si="43"/>
        <v>4287708.8402697891</v>
      </c>
      <c r="L189" s="63">
        <f t="shared" si="43"/>
        <v>4374341.6459358949</v>
      </c>
      <c r="M189" s="63">
        <f t="shared" si="43"/>
        <v>4474951.50379242</v>
      </c>
      <c r="N189" s="63">
        <f t="shared" si="43"/>
        <v>4577875.3883796455</v>
      </c>
      <c r="O189" s="63">
        <f t="shared" si="43"/>
        <v>4695997.1155241923</v>
      </c>
      <c r="P189" s="63">
        <f t="shared" si="43"/>
        <v>4790879.3523255615</v>
      </c>
      <c r="Q189" s="63">
        <f t="shared" si="43"/>
        <v>4901069.5774290496</v>
      </c>
      <c r="R189" s="63">
        <f t="shared" si="43"/>
        <v>5013794.1777099166</v>
      </c>
      <c r="S189" s="63">
        <f t="shared" si="43"/>
        <v>5143163.8039172376</v>
      </c>
      <c r="T189" s="63">
        <f t="shared" si="43"/>
        <v>5247081.0070045823</v>
      </c>
      <c r="U189" s="63">
        <f t="shared" si="43"/>
        <v>5367763.8701656861</v>
      </c>
      <c r="V189" s="63">
        <f t="shared" si="43"/>
        <v>5491222.4391794968</v>
      </c>
      <c r="W189" s="63">
        <f t="shared" si="43"/>
        <v>5617520.5552806249</v>
      </c>
    </row>
    <row r="190" spans="3:23" s="40" customFormat="1" ht="15" customHeight="1">
      <c r="C190" s="221"/>
      <c r="D190" s="62" t="s">
        <v>157</v>
      </c>
      <c r="H190" s="64">
        <f>-H182</f>
        <v>-575624.61866999988</v>
      </c>
      <c r="I190" s="64">
        <f t="shared" ref="I190:W190" si="44">-I182</f>
        <v>-617840.16040399985</v>
      </c>
      <c r="J190" s="64">
        <f t="shared" si="44"/>
        <v>-674686.47381231829</v>
      </c>
      <c r="K190" s="64">
        <f t="shared" si="44"/>
        <v>-711921.76337051368</v>
      </c>
      <c r="L190" s="64">
        <f t="shared" si="44"/>
        <v>-728457.44380118838</v>
      </c>
      <c r="M190" s="64">
        <f t="shared" si="44"/>
        <v>-746131.71718803397</v>
      </c>
      <c r="N190" s="64">
        <f t="shared" si="44"/>
        <v>-764235.49266726244</v>
      </c>
      <c r="O190" s="64">
        <f t="shared" si="44"/>
        <v>-783567.01260187151</v>
      </c>
      <c r="P190" s="64">
        <f t="shared" si="44"/>
        <v>-801773.61827498826</v>
      </c>
      <c r="Q190" s="64">
        <f t="shared" si="44"/>
        <v>-821229.64580713538</v>
      </c>
      <c r="R190" s="64">
        <f t="shared" si="44"/>
        <v>-841158.54283031728</v>
      </c>
      <c r="S190" s="64">
        <f t="shared" si="44"/>
        <v>-862434.62442201085</v>
      </c>
      <c r="T190" s="64">
        <f t="shared" si="44"/>
        <v>-882481.26803373103</v>
      </c>
      <c r="U190" s="64">
        <f t="shared" si="44"/>
        <v>-903898.96591890091</v>
      </c>
      <c r="V190" s="64">
        <f t="shared" si="44"/>
        <v>-925837.28657343984</v>
      </c>
      <c r="W190" s="64">
        <f t="shared" si="44"/>
        <v>-948308.90471399319</v>
      </c>
    </row>
    <row r="191" spans="3:23" s="40" customFormat="1" ht="15" customHeight="1">
      <c r="C191" s="221"/>
      <c r="D191" s="65" t="s">
        <v>173</v>
      </c>
      <c r="H191" s="66">
        <f>SUM(H189:H190)</f>
        <v>2013976.1412700005</v>
      </c>
      <c r="I191" s="66">
        <f t="shared" ref="I191:W191" si="45">SUM(I189:I190)</f>
        <v>2489680.7515240009</v>
      </c>
      <c r="J191" s="66">
        <f t="shared" si="45"/>
        <v>3184802.6921960679</v>
      </c>
      <c r="K191" s="66">
        <f t="shared" si="45"/>
        <v>3575787.0768992752</v>
      </c>
      <c r="L191" s="66">
        <f t="shared" si="45"/>
        <v>3645884.2021347065</v>
      </c>
      <c r="M191" s="66">
        <f t="shared" si="45"/>
        <v>3728819.7866043858</v>
      </c>
      <c r="N191" s="66">
        <f t="shared" si="45"/>
        <v>3813639.8957123831</v>
      </c>
      <c r="O191" s="66">
        <f t="shared" si="45"/>
        <v>3912430.1029223208</v>
      </c>
      <c r="P191" s="66">
        <f t="shared" si="45"/>
        <v>3989105.7340505733</v>
      </c>
      <c r="Q191" s="66">
        <f t="shared" si="45"/>
        <v>4079839.9316219143</v>
      </c>
      <c r="R191" s="66">
        <f t="shared" si="45"/>
        <v>4172635.6348795993</v>
      </c>
      <c r="S191" s="66">
        <f t="shared" si="45"/>
        <v>4280729.1794952266</v>
      </c>
      <c r="T191" s="66">
        <f t="shared" si="45"/>
        <v>4364599.7389708515</v>
      </c>
      <c r="U191" s="66">
        <f t="shared" si="45"/>
        <v>4463864.9042467847</v>
      </c>
      <c r="V191" s="66">
        <f t="shared" si="45"/>
        <v>4565385.152606057</v>
      </c>
      <c r="W191" s="66">
        <f t="shared" si="45"/>
        <v>4669211.6505666319</v>
      </c>
    </row>
    <row r="192" spans="3:23" s="40" customFormat="1" ht="15" customHeight="1">
      <c r="C192" s="221"/>
      <c r="D192" s="72" t="s">
        <v>174</v>
      </c>
      <c r="H192" s="73">
        <f>H191/H189</f>
        <v>0.77771684825913601</v>
      </c>
      <c r="I192" s="73">
        <f t="shared" ref="I192:W192" si="46">I191/I189</f>
        <v>0.8011790820031286</v>
      </c>
      <c r="J192" s="73">
        <f t="shared" si="46"/>
        <v>0.82518762333770146</v>
      </c>
      <c r="K192" s="73">
        <f t="shared" si="46"/>
        <v>0.83396219522085857</v>
      </c>
      <c r="L192" s="73">
        <f t="shared" si="46"/>
        <v>0.83347038188524158</v>
      </c>
      <c r="M192" s="73">
        <f t="shared" si="46"/>
        <v>0.83326484844456872</v>
      </c>
      <c r="N192" s="73">
        <f t="shared" si="46"/>
        <v>0.83305891317898761</v>
      </c>
      <c r="O192" s="73">
        <f t="shared" si="46"/>
        <v>0.83314150470588488</v>
      </c>
      <c r="P192" s="73">
        <f t="shared" si="46"/>
        <v>0.83264583402923809</v>
      </c>
      <c r="Q192" s="73">
        <f t="shared" si="46"/>
        <v>0.83243868856929648</v>
      </c>
      <c r="R192" s="73">
        <f t="shared" si="46"/>
        <v>0.83223113813289362</v>
      </c>
      <c r="S192" s="73">
        <f t="shared" si="46"/>
        <v>0.83231437743337155</v>
      </c>
      <c r="T192" s="73">
        <f t="shared" si="46"/>
        <v>0.83181481916218492</v>
      </c>
      <c r="U192" s="73">
        <f t="shared" si="46"/>
        <v>0.83160604903974644</v>
      </c>
      <c r="V192" s="73">
        <f t="shared" si="46"/>
        <v>0.83139687076457625</v>
      </c>
      <c r="W192" s="73">
        <f t="shared" si="46"/>
        <v>0.83118728353872129</v>
      </c>
    </row>
    <row r="193" spans="3:23" s="40" customFormat="1" ht="15" customHeight="1">
      <c r="C193" s="221"/>
    </row>
    <row r="194" spans="3:23" s="40" customFormat="1" ht="15" customHeight="1">
      <c r="C194" s="221"/>
    </row>
    <row r="195" spans="3:23" s="40" customFormat="1" ht="15" customHeight="1">
      <c r="C195" s="221"/>
      <c r="D195" s="61" t="s">
        <v>173</v>
      </c>
    </row>
    <row r="196" spans="3:23" s="40" customFormat="1" ht="3.75" customHeight="1">
      <c r="C196" s="221"/>
      <c r="D196" s="61"/>
    </row>
    <row r="197" spans="3:23" s="40" customFormat="1" ht="15" customHeight="1">
      <c r="C197" s="221"/>
      <c r="D197" s="62" t="s">
        <v>21</v>
      </c>
      <c r="H197" s="63">
        <f>H69</f>
        <v>295483288.93906343</v>
      </c>
      <c r="I197" s="63">
        <f t="shared" ref="I197:W197" si="47">I69</f>
        <v>354579946.72687614</v>
      </c>
      <c r="J197" s="63">
        <f t="shared" si="47"/>
        <v>433161290.10581279</v>
      </c>
      <c r="K197" s="63">
        <f t="shared" si="47"/>
        <v>481221595.52174515</v>
      </c>
      <c r="L197" s="63">
        <f t="shared" si="47"/>
        <v>511914210.83123893</v>
      </c>
      <c r="M197" s="63">
        <f t="shared" si="47"/>
        <v>539664028.9945215</v>
      </c>
      <c r="N197" s="63">
        <f t="shared" si="47"/>
        <v>552076301.66139543</v>
      </c>
      <c r="O197" s="63">
        <f t="shared" si="47"/>
        <v>566321376.92696047</v>
      </c>
      <c r="P197" s="63">
        <f t="shared" si="47"/>
        <v>577763859.90139842</v>
      </c>
      <c r="Q197" s="63">
        <f t="shared" si="47"/>
        <v>591052428.67913055</v>
      </c>
      <c r="R197" s="63">
        <f t="shared" si="47"/>
        <v>604646634.53875053</v>
      </c>
      <c r="S197" s="63">
        <f t="shared" si="47"/>
        <v>620248167.86331987</v>
      </c>
      <c r="T197" s="63">
        <f t="shared" si="47"/>
        <v>632780237.79720402</v>
      </c>
      <c r="U197" s="63">
        <f t="shared" si="47"/>
        <v>666497357.51341164</v>
      </c>
      <c r="V197" s="63">
        <f t="shared" si="47"/>
        <v>681826796.73622012</v>
      </c>
      <c r="W197" s="63">
        <f t="shared" si="47"/>
        <v>699127898.95606887</v>
      </c>
    </row>
    <row r="198" spans="3:23" s="40" customFormat="1" ht="15" customHeight="1">
      <c r="C198" s="221"/>
      <c r="D198" s="62" t="s">
        <v>157</v>
      </c>
      <c r="H198" s="64">
        <f>-(H106+H144+H182)</f>
        <v>-67769839.133379996</v>
      </c>
      <c r="I198" s="64">
        <f t="shared" ref="I198:W198" si="48">-(I106+I144+I182)</f>
        <v>-71237225.69371599</v>
      </c>
      <c r="J198" s="64">
        <f t="shared" si="48"/>
        <v>-80543864.932627514</v>
      </c>
      <c r="K198" s="64">
        <f t="shared" si="48"/>
        <v>-86577793.749407053</v>
      </c>
      <c r="L198" s="64">
        <f t="shared" si="48"/>
        <v>-90060989.868804708</v>
      </c>
      <c r="M198" s="64">
        <f t="shared" si="48"/>
        <v>-93912951.841352373</v>
      </c>
      <c r="N198" s="64">
        <f t="shared" si="48"/>
        <v>-96145682.876635715</v>
      </c>
      <c r="O198" s="64">
        <f t="shared" si="48"/>
        <v>-98596580.461855844</v>
      </c>
      <c r="P198" s="64">
        <f t="shared" si="48"/>
        <v>-100771926.76884612</v>
      </c>
      <c r="Q198" s="64">
        <f t="shared" si="48"/>
        <v>-103168006.7242801</v>
      </c>
      <c r="R198" s="64">
        <f t="shared" si="48"/>
        <v>-105621154.65968286</v>
      </c>
      <c r="S198" s="64">
        <f t="shared" si="48"/>
        <v>-108313438.84875777</v>
      </c>
      <c r="T198" s="64">
        <f t="shared" si="48"/>
        <v>-110704133.07738167</v>
      </c>
      <c r="U198" s="64">
        <f t="shared" si="48"/>
        <v>-115387472.98608318</v>
      </c>
      <c r="V198" s="64">
        <f t="shared" si="48"/>
        <v>-118130003.13685676</v>
      </c>
      <c r="W198" s="64">
        <f t="shared" si="48"/>
        <v>-121058888.28199497</v>
      </c>
    </row>
    <row r="199" spans="3:23" s="40" customFormat="1" ht="15" customHeight="1">
      <c r="C199" s="221"/>
      <c r="D199" s="65" t="s">
        <v>173</v>
      </c>
      <c r="H199" s="66">
        <f>SUM(H197:H198)</f>
        <v>227713449.80568343</v>
      </c>
      <c r="I199" s="66">
        <f t="shared" ref="I199:W199" si="49">SUM(I197:I198)</f>
        <v>283342721.03316015</v>
      </c>
      <c r="J199" s="66">
        <f t="shared" si="49"/>
        <v>352617425.17318529</v>
      </c>
      <c r="K199" s="66">
        <f t="shared" si="49"/>
        <v>394643801.77233809</v>
      </c>
      <c r="L199" s="66">
        <f t="shared" si="49"/>
        <v>421853220.96243423</v>
      </c>
      <c r="M199" s="66">
        <f t="shared" si="49"/>
        <v>445751077.15316916</v>
      </c>
      <c r="N199" s="66">
        <f t="shared" si="49"/>
        <v>455930618.7847597</v>
      </c>
      <c r="O199" s="66">
        <f t="shared" si="49"/>
        <v>467724796.46510464</v>
      </c>
      <c r="P199" s="66">
        <f t="shared" si="49"/>
        <v>476991933.13255227</v>
      </c>
      <c r="Q199" s="66">
        <f t="shared" si="49"/>
        <v>487884421.95485044</v>
      </c>
      <c r="R199" s="66">
        <f t="shared" si="49"/>
        <v>499025479.87906766</v>
      </c>
      <c r="S199" s="66">
        <f t="shared" si="49"/>
        <v>511934729.01456213</v>
      </c>
      <c r="T199" s="66">
        <f t="shared" si="49"/>
        <v>522076104.71982235</v>
      </c>
      <c r="U199" s="66">
        <f t="shared" si="49"/>
        <v>551109884.52732849</v>
      </c>
      <c r="V199" s="66">
        <f t="shared" si="49"/>
        <v>563696793.59936333</v>
      </c>
      <c r="W199" s="66">
        <f t="shared" si="49"/>
        <v>578069010.67407393</v>
      </c>
    </row>
    <row r="200" spans="3:23" s="40" customFormat="1" ht="15" customHeight="1">
      <c r="C200" s="221"/>
      <c r="D200" s="72" t="s">
        <v>174</v>
      </c>
      <c r="H200" s="73">
        <f>H199/H197</f>
        <v>0.77064747256364829</v>
      </c>
      <c r="I200" s="73">
        <f t="shared" ref="I200:W200" si="50">I199/I197</f>
        <v>0.79909403689829028</v>
      </c>
      <c r="J200" s="73">
        <f t="shared" si="50"/>
        <v>0.81405571833773005</v>
      </c>
      <c r="K200" s="73">
        <f t="shared" si="50"/>
        <v>0.82008747206047861</v>
      </c>
      <c r="L200" s="73">
        <f t="shared" si="50"/>
        <v>0.8240701508899998</v>
      </c>
      <c r="M200" s="73">
        <f t="shared" si="50"/>
        <v>0.8259788557404375</v>
      </c>
      <c r="N200" s="73">
        <f t="shared" si="50"/>
        <v>0.82584711101110675</v>
      </c>
      <c r="O200" s="73">
        <f t="shared" si="50"/>
        <v>0.82589994925342181</v>
      </c>
      <c r="P200" s="73">
        <f t="shared" si="50"/>
        <v>0.82558284835253637</v>
      </c>
      <c r="Q200" s="73">
        <f t="shared" si="50"/>
        <v>0.82545032941521368</v>
      </c>
      <c r="R200" s="73">
        <f t="shared" si="50"/>
        <v>0.82531755139883467</v>
      </c>
      <c r="S200" s="73">
        <f t="shared" si="50"/>
        <v>0.82537080404141383</v>
      </c>
      <c r="T200" s="73">
        <f t="shared" si="50"/>
        <v>0.8250512161018837</v>
      </c>
      <c r="U200" s="73">
        <f t="shared" si="50"/>
        <v>0.82687482300518911</v>
      </c>
      <c r="V200" s="73">
        <f t="shared" si="50"/>
        <v>0.82674485118167329</v>
      </c>
      <c r="W200" s="73">
        <f t="shared" si="50"/>
        <v>0.8268430018845494</v>
      </c>
    </row>
    <row r="201" spans="3:23" s="40" customFormat="1" ht="15" customHeight="1">
      <c r="C201" s="221"/>
    </row>
    <row r="202" spans="3:23" s="40" customFormat="1" ht="15" hidden="1" customHeight="1" outlineLevel="1">
      <c r="C202" s="221"/>
      <c r="D202" s="58" t="s">
        <v>144</v>
      </c>
      <c r="E202" s="49"/>
      <c r="F202" s="49"/>
      <c r="G202" s="49"/>
      <c r="H202" s="207">
        <v>227713449.80568343</v>
      </c>
      <c r="I202" s="207">
        <v>283342721.03316015</v>
      </c>
      <c r="J202" s="207">
        <v>352617425.17318529</v>
      </c>
      <c r="K202" s="207">
        <v>394643801.77233809</v>
      </c>
      <c r="L202" s="207">
        <v>402451561.65904891</v>
      </c>
      <c r="M202" s="207">
        <v>411636988.41337067</v>
      </c>
      <c r="N202" s="207">
        <v>421031906.00394589</v>
      </c>
      <c r="O202" s="207">
        <v>431925613.70117927</v>
      </c>
      <c r="P202" s="207">
        <v>440469418.14475995</v>
      </c>
      <c r="Q202" s="207">
        <v>450521889.12233895</v>
      </c>
      <c r="R202" s="207">
        <v>460803608.7914083</v>
      </c>
      <c r="S202" s="207">
        <v>472726642.53755689</v>
      </c>
      <c r="T202" s="207">
        <v>482075808.19232535</v>
      </c>
      <c r="U202" s="207">
        <v>493077094.92992556</v>
      </c>
      <c r="V202" s="207">
        <v>504329249.84122026</v>
      </c>
      <c r="W202" s="207">
        <v>515837998.78307009</v>
      </c>
    </row>
    <row r="203" spans="3:23" s="40" customFormat="1" ht="15" hidden="1" customHeight="1" outlineLevel="1">
      <c r="C203" s="221"/>
      <c r="D203" s="58" t="s">
        <v>145</v>
      </c>
      <c r="E203" s="49"/>
      <c r="F203" s="49"/>
      <c r="G203" s="49"/>
      <c r="H203" s="56">
        <f>H199-H202</f>
        <v>0</v>
      </c>
      <c r="I203" s="56">
        <f>I199-I202</f>
        <v>0</v>
      </c>
      <c r="J203" s="56">
        <f t="shared" ref="J203:W203" si="51">J199-J202</f>
        <v>0</v>
      </c>
      <c r="K203" s="56">
        <f t="shared" si="51"/>
        <v>0</v>
      </c>
      <c r="L203" s="56">
        <f t="shared" si="51"/>
        <v>19401659.303385317</v>
      </c>
      <c r="M203" s="56">
        <f t="shared" si="51"/>
        <v>34114088.739798486</v>
      </c>
      <c r="N203" s="56">
        <f t="shared" si="51"/>
        <v>34898712.780813813</v>
      </c>
      <c r="O203" s="56">
        <f t="shared" si="51"/>
        <v>35799182.763925374</v>
      </c>
      <c r="P203" s="56">
        <f t="shared" si="51"/>
        <v>36522514.987792313</v>
      </c>
      <c r="Q203" s="56">
        <f t="shared" si="51"/>
        <v>37362532.832511485</v>
      </c>
      <c r="R203" s="56">
        <f t="shared" si="51"/>
        <v>38221871.087659359</v>
      </c>
      <c r="S203" s="56">
        <f t="shared" si="51"/>
        <v>39208086.477005243</v>
      </c>
      <c r="T203" s="56">
        <f t="shared" si="51"/>
        <v>40000296.527496994</v>
      </c>
      <c r="U203" s="56">
        <f t="shared" si="51"/>
        <v>58032789.59740293</v>
      </c>
      <c r="V203" s="56">
        <f t="shared" si="51"/>
        <v>59367543.758143067</v>
      </c>
      <c r="W203" s="56">
        <f t="shared" si="51"/>
        <v>62231011.891003847</v>
      </c>
    </row>
    <row r="204" spans="3:23" s="40" customFormat="1" ht="15" hidden="1" customHeight="1" outlineLevel="1">
      <c r="C204" s="221"/>
    </row>
    <row r="205" spans="3:23" s="40" customFormat="1" ht="15" customHeight="1" collapsed="1">
      <c r="C205" s="43" t="s">
        <v>178</v>
      </c>
      <c r="D205" s="1" t="s">
        <v>25</v>
      </c>
      <c r="E205" s="1"/>
      <c r="F205" s="1"/>
      <c r="G205" s="1"/>
      <c r="H205" s="1"/>
      <c r="I205" s="1"/>
      <c r="J205" s="1"/>
      <c r="K205" s="1"/>
      <c r="L205" s="1"/>
      <c r="M205" s="1"/>
      <c r="N205" s="1"/>
      <c r="O205" s="1"/>
      <c r="P205" s="1"/>
      <c r="Q205" s="1"/>
      <c r="R205" s="1"/>
      <c r="S205" s="1"/>
      <c r="T205" s="1"/>
      <c r="U205" s="1"/>
      <c r="V205" s="1"/>
      <c r="W205" s="1"/>
    </row>
    <row r="206" spans="3:23" s="40" customFormat="1" ht="7.5" customHeight="1">
      <c r="C206" s="221"/>
    </row>
    <row r="207" spans="3:23" s="40" customFormat="1" ht="15" customHeight="1">
      <c r="C207" s="221"/>
      <c r="D207" s="42" t="s">
        <v>179</v>
      </c>
    </row>
    <row r="208" spans="3:23" s="40" customFormat="1" ht="15" customHeight="1">
      <c r="C208" s="221"/>
      <c r="D208" s="42" t="s">
        <v>180</v>
      </c>
    </row>
    <row r="209" spans="3:23" s="40" customFormat="1" ht="15" customHeight="1">
      <c r="C209" s="221"/>
      <c r="D209" s="42" t="s">
        <v>181</v>
      </c>
    </row>
    <row r="210" spans="3:23" s="40" customFormat="1" ht="15" customHeight="1">
      <c r="C210" s="221"/>
      <c r="D210" s="42" t="s">
        <v>182</v>
      </c>
    </row>
    <row r="211" spans="3:23" s="40" customFormat="1" ht="15" customHeight="1">
      <c r="C211" s="221"/>
      <c r="D211" s="42" t="s">
        <v>183</v>
      </c>
    </row>
    <row r="212" spans="3:23" s="40" customFormat="1" ht="15" customHeight="1">
      <c r="C212" s="221"/>
      <c r="D212" s="42" t="s">
        <v>90</v>
      </c>
    </row>
    <row r="213" spans="3:23" s="40" customFormat="1" ht="15" customHeight="1">
      <c r="C213" s="221"/>
    </row>
    <row r="214" spans="3:23" s="40" customFormat="1" ht="15" customHeight="1">
      <c r="C214" s="221"/>
      <c r="D214" s="1" t="s">
        <v>179</v>
      </c>
      <c r="E214" s="1"/>
      <c r="F214" s="1"/>
      <c r="G214" s="1"/>
      <c r="H214" s="1"/>
      <c r="I214" s="1"/>
      <c r="J214" s="1"/>
      <c r="K214" s="1"/>
      <c r="L214" s="1"/>
      <c r="M214" s="1"/>
      <c r="N214" s="1"/>
      <c r="O214" s="1"/>
      <c r="P214" s="1"/>
      <c r="Q214" s="1"/>
      <c r="R214" s="1"/>
      <c r="S214" s="1"/>
      <c r="T214" s="1"/>
      <c r="U214" s="1"/>
      <c r="V214" s="1"/>
      <c r="W214" s="1"/>
    </row>
    <row r="215" spans="3:23" s="40" customFormat="1" ht="7.5" customHeight="1">
      <c r="C215" s="221"/>
    </row>
    <row r="216" spans="3:23" s="40" customFormat="1" ht="15" customHeight="1">
      <c r="C216" s="221"/>
      <c r="D216" s="44" t="s">
        <v>161</v>
      </c>
    </row>
    <row r="217" spans="3:23" s="40" customFormat="1" ht="7.5" customHeight="1">
      <c r="C217" s="221"/>
    </row>
    <row r="218" spans="3:23" s="40" customFormat="1" ht="15" customHeight="1">
      <c r="C218" s="221"/>
      <c r="D218" s="67" t="s">
        <v>162</v>
      </c>
    </row>
    <row r="219" spans="3:23" s="40" customFormat="1" ht="7.5" customHeight="1">
      <c r="C219" s="221"/>
    </row>
    <row r="220" spans="3:23" s="40" customFormat="1" ht="15" customHeight="1">
      <c r="C220" s="221"/>
      <c r="D220" s="68" t="s">
        <v>163</v>
      </c>
    </row>
    <row r="221" spans="3:23" s="40" customFormat="1" ht="15" customHeight="1">
      <c r="C221" s="221"/>
      <c r="D221" s="51"/>
    </row>
    <row r="222" spans="3:23" s="40" customFormat="1" ht="15" customHeight="1">
      <c r="C222" s="221"/>
      <c r="D222" s="51" t="s">
        <v>164</v>
      </c>
      <c r="H222" s="209">
        <v>10334869.63844</v>
      </c>
    </row>
    <row r="223" spans="3:23" s="40" customFormat="1" ht="15" customHeight="1">
      <c r="C223" s="221"/>
      <c r="D223" s="51"/>
    </row>
    <row r="224" spans="3:23" ht="15" customHeight="1">
      <c r="C224" s="222"/>
      <c r="D224" s="45" t="s">
        <v>165</v>
      </c>
      <c r="E224" s="46" t="s">
        <v>137</v>
      </c>
      <c r="H224" s="74" t="s">
        <v>166</v>
      </c>
      <c r="I224" s="212">
        <v>2.5000000000000001E-2</v>
      </c>
      <c r="J224" s="212">
        <v>2.5000000000000001E-2</v>
      </c>
      <c r="K224" s="212">
        <v>2.5000000000000001E-2</v>
      </c>
      <c r="L224" s="212">
        <v>2.5000000000000001E-2</v>
      </c>
      <c r="M224" s="212">
        <v>2.5000000000000001E-2</v>
      </c>
      <c r="N224" s="212">
        <v>2.5000000000000001E-2</v>
      </c>
      <c r="O224" s="212">
        <v>2.5000000000000001E-2</v>
      </c>
      <c r="P224" s="212">
        <v>2.5000000000000001E-2</v>
      </c>
      <c r="Q224" s="212">
        <v>2.5000000000000001E-2</v>
      </c>
      <c r="R224" s="212">
        <v>2.5000000000000001E-2</v>
      </c>
      <c r="S224" s="212">
        <v>2.5000000000000001E-2</v>
      </c>
      <c r="T224" s="212">
        <v>2.5000000000000001E-2</v>
      </c>
      <c r="U224" s="212">
        <v>2.5000000000000001E-2</v>
      </c>
      <c r="V224" s="212">
        <v>2.5000000000000001E-2</v>
      </c>
      <c r="W224" s="212">
        <v>2.5000000000000001E-2</v>
      </c>
    </row>
    <row r="225" spans="3:23" ht="15" customHeight="1">
      <c r="C225" s="222"/>
      <c r="E225" s="30"/>
    </row>
    <row r="226" spans="3:23" s="40" customFormat="1" ht="15" customHeight="1">
      <c r="C226" s="221"/>
      <c r="D226" s="51" t="s">
        <v>162</v>
      </c>
      <c r="H226" s="52">
        <f>H222</f>
        <v>10334869.63844</v>
      </c>
      <c r="I226" s="52">
        <f>H226*(1+I224)</f>
        <v>10593241.379400998</v>
      </c>
      <c r="J226" s="52">
        <f>I226*(1+J224)</f>
        <v>10858072.413886022</v>
      </c>
      <c r="K226" s="52">
        <f t="shared" ref="K226:W226" si="52">J226*(1+K224)</f>
        <v>11129524.224233171</v>
      </c>
      <c r="L226" s="52">
        <f t="shared" si="52"/>
        <v>11407762.329838999</v>
      </c>
      <c r="M226" s="52">
        <f t="shared" si="52"/>
        <v>11692956.388084972</v>
      </c>
      <c r="N226" s="52">
        <f t="shared" si="52"/>
        <v>11985280.297787096</v>
      </c>
      <c r="O226" s="52">
        <f t="shared" si="52"/>
        <v>12284912.305231772</v>
      </c>
      <c r="P226" s="52">
        <f t="shared" si="52"/>
        <v>12592035.112862566</v>
      </c>
      <c r="Q226" s="52">
        <f t="shared" si="52"/>
        <v>12906835.990684129</v>
      </c>
      <c r="R226" s="52">
        <f t="shared" si="52"/>
        <v>13229506.890451232</v>
      </c>
      <c r="S226" s="52">
        <f t="shared" si="52"/>
        <v>13560244.562712511</v>
      </c>
      <c r="T226" s="52">
        <f t="shared" si="52"/>
        <v>13899250.676780323</v>
      </c>
      <c r="U226" s="52">
        <f t="shared" si="52"/>
        <v>14246731.943699829</v>
      </c>
      <c r="V226" s="52">
        <f t="shared" si="52"/>
        <v>14602900.242292324</v>
      </c>
      <c r="W226" s="52">
        <f t="shared" si="52"/>
        <v>14967972.748349631</v>
      </c>
    </row>
    <row r="227" spans="3:23" s="40" customFormat="1" ht="15" customHeight="1">
      <c r="C227" s="221"/>
      <c r="D227" s="48"/>
    </row>
    <row r="228" spans="3:23" s="40" customFormat="1" ht="15" customHeight="1">
      <c r="C228" s="221"/>
      <c r="D228" s="67" t="s">
        <v>167</v>
      </c>
      <c r="H228" s="60"/>
      <c r="I228" s="60"/>
      <c r="J228" s="60"/>
      <c r="K228" s="60"/>
      <c r="L228" s="60"/>
      <c r="M228" s="60"/>
      <c r="N228" s="60"/>
      <c r="O228" s="60"/>
      <c r="P228" s="60"/>
      <c r="Q228" s="60"/>
      <c r="R228" s="60"/>
      <c r="S228" s="60"/>
      <c r="T228" s="60"/>
    </row>
    <row r="229" spans="3:23" s="40" customFormat="1" ht="7.5" customHeight="1">
      <c r="C229" s="221"/>
    </row>
    <row r="230" spans="3:23" s="40" customFormat="1" ht="15" customHeight="1">
      <c r="C230" s="221"/>
      <c r="D230" s="68" t="s">
        <v>184</v>
      </c>
    </row>
    <row r="231" spans="3:23" s="40" customFormat="1" ht="15" customHeight="1">
      <c r="C231" s="221"/>
      <c r="D231" s="51"/>
    </row>
    <row r="232" spans="3:23" s="40" customFormat="1" ht="15" customHeight="1">
      <c r="C232" s="221"/>
      <c r="D232" s="51" t="s">
        <v>169</v>
      </c>
      <c r="H232" s="209">
        <v>4135922.2963899993</v>
      </c>
    </row>
    <row r="233" spans="3:23" s="40" customFormat="1" ht="15" customHeight="1">
      <c r="C233" s="221"/>
      <c r="D233" s="51"/>
    </row>
    <row r="234" spans="3:23" s="40" customFormat="1" ht="15" customHeight="1">
      <c r="C234" s="221"/>
      <c r="D234" s="71" t="s">
        <v>153</v>
      </c>
      <c r="H234" s="52">
        <f>H$69</f>
        <v>295483288.93906343</v>
      </c>
      <c r="I234" s="52">
        <f t="shared" ref="I234:W234" si="53">I$69</f>
        <v>354579946.72687614</v>
      </c>
      <c r="J234" s="52">
        <f t="shared" si="53"/>
        <v>433161290.10581279</v>
      </c>
      <c r="K234" s="52">
        <f t="shared" si="53"/>
        <v>481221595.52174515</v>
      </c>
      <c r="L234" s="52">
        <f t="shared" si="53"/>
        <v>511914210.83123893</v>
      </c>
      <c r="M234" s="52">
        <f t="shared" si="53"/>
        <v>539664028.9945215</v>
      </c>
      <c r="N234" s="52">
        <f t="shared" si="53"/>
        <v>552076301.66139543</v>
      </c>
      <c r="O234" s="52">
        <f t="shared" si="53"/>
        <v>566321376.92696047</v>
      </c>
      <c r="P234" s="52">
        <f t="shared" si="53"/>
        <v>577763859.90139842</v>
      </c>
      <c r="Q234" s="52">
        <f t="shared" si="53"/>
        <v>591052428.67913055</v>
      </c>
      <c r="R234" s="52">
        <f t="shared" si="53"/>
        <v>604646634.53875053</v>
      </c>
      <c r="S234" s="52">
        <f t="shared" si="53"/>
        <v>620248167.86331987</v>
      </c>
      <c r="T234" s="52">
        <f t="shared" si="53"/>
        <v>632780237.79720402</v>
      </c>
      <c r="U234" s="52">
        <f t="shared" si="53"/>
        <v>666497357.51341164</v>
      </c>
      <c r="V234" s="52">
        <f t="shared" si="53"/>
        <v>681826796.73622012</v>
      </c>
      <c r="W234" s="52">
        <f t="shared" si="53"/>
        <v>699127898.95606887</v>
      </c>
    </row>
    <row r="235" spans="3:23" s="40" customFormat="1" ht="15" customHeight="1">
      <c r="C235" s="221"/>
    </row>
    <row r="236" spans="3:23" ht="15" customHeight="1">
      <c r="C236" s="222"/>
      <c r="D236" s="45" t="s">
        <v>170</v>
      </c>
      <c r="E236" s="46" t="s">
        <v>171</v>
      </c>
      <c r="H236" s="212">
        <v>1.3997144512774586E-2</v>
      </c>
      <c r="I236" s="212">
        <v>1.3997144512774586E-2</v>
      </c>
      <c r="J236" s="212">
        <v>1.3997144512774586E-2</v>
      </c>
      <c r="K236" s="212">
        <v>1.3997144512774586E-2</v>
      </c>
      <c r="L236" s="212">
        <v>1.3997144512774586E-2</v>
      </c>
      <c r="M236" s="212">
        <v>1.3997144512774586E-2</v>
      </c>
      <c r="N236" s="212">
        <v>1.3997144512774586E-2</v>
      </c>
      <c r="O236" s="212">
        <v>1.3997144512774586E-2</v>
      </c>
      <c r="P236" s="212">
        <v>1.3997144512774586E-2</v>
      </c>
      <c r="Q236" s="212">
        <v>1.3997144512774586E-2</v>
      </c>
      <c r="R236" s="212">
        <v>1.3997144512774586E-2</v>
      </c>
      <c r="S236" s="212">
        <v>1.3997144512774586E-2</v>
      </c>
      <c r="T236" s="212">
        <v>1.3997144512774586E-2</v>
      </c>
      <c r="U236" s="212">
        <v>1.3997144512774586E-2</v>
      </c>
      <c r="V236" s="212">
        <v>1.3997144512774586E-2</v>
      </c>
      <c r="W236" s="212">
        <v>1.3997144512774586E-2</v>
      </c>
    </row>
    <row r="237" spans="3:23" ht="15" customHeight="1">
      <c r="C237" s="222"/>
      <c r="E237" s="30"/>
    </row>
    <row r="238" spans="3:23" s="40" customFormat="1" ht="15" customHeight="1">
      <c r="C238" s="221"/>
      <c r="D238" s="51" t="s">
        <v>167</v>
      </c>
      <c r="H238" s="52">
        <f>H232</f>
        <v>4135922.2963899993</v>
      </c>
      <c r="I238" s="52">
        <f>I234*I236</f>
        <v>4963106.7556679994</v>
      </c>
      <c r="J238" s="52">
        <f t="shared" ref="J238:W238" si="54">J234*J236</f>
        <v>6063021.1749509377</v>
      </c>
      <c r="K238" s="52">
        <f t="shared" si="54"/>
        <v>6735728.2151858266</v>
      </c>
      <c r="L238" s="52">
        <f t="shared" si="54"/>
        <v>7165337.1871478083</v>
      </c>
      <c r="M238" s="52">
        <f t="shared" si="54"/>
        <v>7553755.4021824915</v>
      </c>
      <c r="N238" s="52">
        <f t="shared" si="54"/>
        <v>7727491.7764326883</v>
      </c>
      <c r="O238" s="52">
        <f t="shared" si="54"/>
        <v>7926882.1535201529</v>
      </c>
      <c r="P238" s="52">
        <f t="shared" si="54"/>
        <v>8087044.2412983235</v>
      </c>
      <c r="Q238" s="52">
        <f t="shared" si="54"/>
        <v>8273046.2588481847</v>
      </c>
      <c r="R238" s="52">
        <f t="shared" si="54"/>
        <v>8463326.3228016924</v>
      </c>
      <c r="S238" s="52">
        <f t="shared" si="54"/>
        <v>8681703.2393665574</v>
      </c>
      <c r="T238" s="52">
        <f t="shared" si="54"/>
        <v>8857116.4332753327</v>
      </c>
      <c r="U238" s="52">
        <f t="shared" si="54"/>
        <v>9329059.8304976113</v>
      </c>
      <c r="V238" s="52">
        <f t="shared" si="54"/>
        <v>9543628.2065990567</v>
      </c>
      <c r="W238" s="52">
        <f t="shared" si="54"/>
        <v>9785794.2346005645</v>
      </c>
    </row>
    <row r="239" spans="3:23" s="40" customFormat="1" ht="15" customHeight="1">
      <c r="C239" s="221"/>
      <c r="D239" s="48"/>
    </row>
    <row r="240" spans="3:23" s="40" customFormat="1" ht="15" customHeight="1">
      <c r="C240" s="221"/>
      <c r="D240" s="53" t="s">
        <v>185</v>
      </c>
      <c r="H240" s="54">
        <f t="shared" ref="H240:W240" si="55">H226+H238</f>
        <v>14470791.934829999</v>
      </c>
      <c r="I240" s="54">
        <f t="shared" si="55"/>
        <v>15556348.135068998</v>
      </c>
      <c r="J240" s="54">
        <f t="shared" si="55"/>
        <v>16921093.58883696</v>
      </c>
      <c r="K240" s="54">
        <f t="shared" si="55"/>
        <v>17865252.439418998</v>
      </c>
      <c r="L240" s="54">
        <f t="shared" si="55"/>
        <v>18573099.516986806</v>
      </c>
      <c r="M240" s="54">
        <f t="shared" si="55"/>
        <v>19246711.790267464</v>
      </c>
      <c r="N240" s="54">
        <f t="shared" si="55"/>
        <v>19712772.074219786</v>
      </c>
      <c r="O240" s="54">
        <f t="shared" si="55"/>
        <v>20211794.458751924</v>
      </c>
      <c r="P240" s="54">
        <f t="shared" si="55"/>
        <v>20679079.35416089</v>
      </c>
      <c r="Q240" s="54">
        <f t="shared" si="55"/>
        <v>21179882.249532312</v>
      </c>
      <c r="R240" s="54">
        <f t="shared" si="55"/>
        <v>21692833.213252924</v>
      </c>
      <c r="S240" s="54">
        <f t="shared" si="55"/>
        <v>22241947.802079067</v>
      </c>
      <c r="T240" s="54">
        <f t="shared" si="55"/>
        <v>22756367.110055655</v>
      </c>
      <c r="U240" s="54">
        <f t="shared" si="55"/>
        <v>23575791.774197441</v>
      </c>
      <c r="V240" s="54">
        <f t="shared" si="55"/>
        <v>24146528.448891379</v>
      </c>
      <c r="W240" s="54">
        <f t="shared" si="55"/>
        <v>24753766.982950196</v>
      </c>
    </row>
    <row r="241" spans="3:23" s="40" customFormat="1" ht="15" customHeight="1">
      <c r="C241" s="221"/>
    </row>
    <row r="242" spans="3:23" s="40" customFormat="1" ht="15" hidden="1" customHeight="1" outlineLevel="1">
      <c r="C242" s="221"/>
      <c r="D242" s="58" t="s">
        <v>144</v>
      </c>
      <c r="E242" s="49"/>
      <c r="F242" s="49"/>
      <c r="G242" s="49"/>
      <c r="H242" s="207">
        <v>14470791.934829999</v>
      </c>
      <c r="I242" s="207">
        <v>15556348.135068998</v>
      </c>
      <c r="J242" s="207">
        <v>16921093.58883696</v>
      </c>
      <c r="K242" s="207">
        <v>17865252.439418998</v>
      </c>
      <c r="L242" s="207">
        <v>18279585.22789593</v>
      </c>
      <c r="M242" s="207">
        <v>18722831.21279721</v>
      </c>
      <c r="N242" s="207">
        <v>19176842.243467718</v>
      </c>
      <c r="O242" s="207">
        <v>19662036.416923389</v>
      </c>
      <c r="P242" s="207">
        <v>20118213.244313758</v>
      </c>
      <c r="Q242" s="207">
        <v>20606116.219158702</v>
      </c>
      <c r="R242" s="207">
        <v>21105870.564180717</v>
      </c>
      <c r="S242" s="207">
        <v>21639840.178908318</v>
      </c>
      <c r="T242" s="207">
        <v>22142093.675884765</v>
      </c>
      <c r="U242" s="207">
        <v>22679160.331783671</v>
      </c>
      <c r="V242" s="207">
        <v>23229274.483302094</v>
      </c>
      <c r="W242" s="207">
        <v>23792753.794165522</v>
      </c>
    </row>
    <row r="243" spans="3:23" s="40" customFormat="1" ht="15" hidden="1" customHeight="1" outlineLevel="1">
      <c r="C243" s="221"/>
      <c r="D243" s="58" t="s">
        <v>145</v>
      </c>
      <c r="E243" s="49"/>
      <c r="F243" s="49"/>
      <c r="G243" s="49"/>
      <c r="H243" s="56">
        <f>H240-H242</f>
        <v>0</v>
      </c>
      <c r="I243" s="56">
        <f t="shared" ref="I243:W243" si="56">I240-I242</f>
        <v>0</v>
      </c>
      <c r="J243" s="56">
        <f t="shared" si="56"/>
        <v>0</v>
      </c>
      <c r="K243" s="56">
        <f t="shared" si="56"/>
        <v>0</v>
      </c>
      <c r="L243" s="56">
        <f t="shared" si="56"/>
        <v>293514.28909087554</v>
      </c>
      <c r="M243" s="56">
        <f t="shared" si="56"/>
        <v>523880.57747025415</v>
      </c>
      <c r="N243" s="56">
        <f t="shared" si="56"/>
        <v>535929.83075206727</v>
      </c>
      <c r="O243" s="56">
        <f t="shared" si="56"/>
        <v>549758.0418285355</v>
      </c>
      <c r="P243" s="56">
        <f t="shared" si="56"/>
        <v>560866.10984713212</v>
      </c>
      <c r="Q243" s="56">
        <f t="shared" si="56"/>
        <v>573766.03037361056</v>
      </c>
      <c r="R243" s="56">
        <f t="shared" si="56"/>
        <v>586962.64907220751</v>
      </c>
      <c r="S243" s="56">
        <f t="shared" si="56"/>
        <v>602107.62317074835</v>
      </c>
      <c r="T243" s="56">
        <f t="shared" si="56"/>
        <v>614273.4341708906</v>
      </c>
      <c r="U243" s="56">
        <f t="shared" si="56"/>
        <v>896631.44241376966</v>
      </c>
      <c r="V243" s="56">
        <f t="shared" si="56"/>
        <v>917253.9655892849</v>
      </c>
      <c r="W243" s="56">
        <f t="shared" si="56"/>
        <v>961013.18878467381</v>
      </c>
    </row>
    <row r="244" spans="3:23" s="40" customFormat="1" ht="15" hidden="1" customHeight="1" outlineLevel="1">
      <c r="C244" s="221"/>
    </row>
    <row r="245" spans="3:23" s="40" customFormat="1" ht="15" customHeight="1" collapsed="1">
      <c r="C245" s="221"/>
      <c r="D245" s="1" t="s">
        <v>180</v>
      </c>
      <c r="E245" s="1"/>
      <c r="F245" s="1"/>
      <c r="G245" s="1"/>
      <c r="H245" s="1"/>
      <c r="I245" s="1"/>
      <c r="J245" s="1"/>
      <c r="K245" s="1"/>
      <c r="L245" s="1"/>
      <c r="M245" s="1"/>
      <c r="N245" s="1"/>
      <c r="O245" s="1"/>
      <c r="P245" s="1"/>
      <c r="Q245" s="1"/>
      <c r="R245" s="1"/>
      <c r="S245" s="1"/>
      <c r="T245" s="1"/>
      <c r="U245" s="1"/>
      <c r="V245" s="1"/>
      <c r="W245" s="1"/>
    </row>
    <row r="246" spans="3:23" s="40" customFormat="1" ht="7.5" customHeight="1">
      <c r="C246" s="221"/>
    </row>
    <row r="247" spans="3:23" s="40" customFormat="1" ht="15" customHeight="1">
      <c r="C247" s="221"/>
      <c r="D247" s="44" t="s">
        <v>161</v>
      </c>
    </row>
    <row r="248" spans="3:23" s="40" customFormat="1" ht="7.5" customHeight="1">
      <c r="C248" s="221"/>
    </row>
    <row r="249" spans="3:23" s="40" customFormat="1" ht="15" customHeight="1">
      <c r="C249" s="221"/>
      <c r="D249" s="67" t="s">
        <v>162</v>
      </c>
    </row>
    <row r="250" spans="3:23" s="40" customFormat="1" ht="7.5" customHeight="1">
      <c r="C250" s="221"/>
    </row>
    <row r="251" spans="3:23" s="40" customFormat="1" ht="15" customHeight="1">
      <c r="C251" s="221"/>
      <c r="D251" s="68" t="s">
        <v>163</v>
      </c>
    </row>
    <row r="252" spans="3:23" s="40" customFormat="1" ht="15" customHeight="1">
      <c r="C252" s="221"/>
      <c r="D252" s="51"/>
    </row>
    <row r="253" spans="3:23" s="40" customFormat="1" ht="15" customHeight="1">
      <c r="C253" s="221"/>
      <c r="D253" s="51" t="s">
        <v>164</v>
      </c>
      <c r="H253" s="209">
        <v>4862644.4009999996</v>
      </c>
    </row>
    <row r="254" spans="3:23" s="40" customFormat="1" ht="15" customHeight="1">
      <c r="C254" s="221"/>
      <c r="D254" s="51"/>
    </row>
    <row r="255" spans="3:23" ht="15" customHeight="1">
      <c r="C255" s="222"/>
      <c r="D255" s="45" t="s">
        <v>165</v>
      </c>
      <c r="E255" s="46" t="s">
        <v>137</v>
      </c>
      <c r="H255" s="74" t="s">
        <v>166</v>
      </c>
      <c r="I255" s="212">
        <v>2.5000000000000001E-2</v>
      </c>
      <c r="J255" s="212">
        <v>2.5000000000000001E-2</v>
      </c>
      <c r="K255" s="212">
        <v>2.5000000000000001E-2</v>
      </c>
      <c r="L255" s="212">
        <v>2.5000000000000001E-2</v>
      </c>
      <c r="M255" s="212">
        <v>2.5000000000000001E-2</v>
      </c>
      <c r="N255" s="212">
        <v>2.5000000000000001E-2</v>
      </c>
      <c r="O255" s="212">
        <v>2.5000000000000001E-2</v>
      </c>
      <c r="P255" s="212">
        <v>2.5000000000000001E-2</v>
      </c>
      <c r="Q255" s="212">
        <v>2.5000000000000001E-2</v>
      </c>
      <c r="R255" s="212">
        <v>2.5000000000000001E-2</v>
      </c>
      <c r="S255" s="212">
        <v>2.5000000000000001E-2</v>
      </c>
      <c r="T255" s="212">
        <v>2.5000000000000001E-2</v>
      </c>
      <c r="U255" s="212">
        <v>2.5000000000000001E-2</v>
      </c>
      <c r="V255" s="212">
        <v>2.5000000000000001E-2</v>
      </c>
      <c r="W255" s="212">
        <v>2.5000000000000001E-2</v>
      </c>
    </row>
    <row r="256" spans="3:23" ht="15" customHeight="1">
      <c r="C256" s="222"/>
      <c r="E256" s="30"/>
    </row>
    <row r="257" spans="3:23" s="40" customFormat="1" ht="15" customHeight="1">
      <c r="C257" s="221"/>
      <c r="D257" s="51" t="s">
        <v>162</v>
      </c>
      <c r="H257" s="52">
        <f>H253</f>
        <v>4862644.4009999996</v>
      </c>
      <c r="I257" s="52">
        <f>H257*(1+I255)</f>
        <v>4984210.5110249994</v>
      </c>
      <c r="J257" s="52">
        <f>I257*(1+J255)</f>
        <v>5108815.7738006236</v>
      </c>
      <c r="K257" s="52">
        <f t="shared" ref="K257:W257" si="57">J257*(1+K255)</f>
        <v>5236536.1681456389</v>
      </c>
      <c r="L257" s="52">
        <f t="shared" si="57"/>
        <v>5367449.5723492792</v>
      </c>
      <c r="M257" s="52">
        <f t="shared" si="57"/>
        <v>5501635.8116580108</v>
      </c>
      <c r="N257" s="52">
        <f t="shared" si="57"/>
        <v>5639176.7069494603</v>
      </c>
      <c r="O257" s="52">
        <f t="shared" si="57"/>
        <v>5780156.1246231962</v>
      </c>
      <c r="P257" s="52">
        <f t="shared" si="57"/>
        <v>5924660.0277387751</v>
      </c>
      <c r="Q257" s="52">
        <f t="shared" si="57"/>
        <v>6072776.5284322444</v>
      </c>
      <c r="R257" s="52">
        <f t="shared" si="57"/>
        <v>6224595.9416430499</v>
      </c>
      <c r="S257" s="52">
        <f t="shared" si="57"/>
        <v>6380210.840184126</v>
      </c>
      <c r="T257" s="52">
        <f t="shared" si="57"/>
        <v>6539716.1111887284</v>
      </c>
      <c r="U257" s="52">
        <f t="shared" si="57"/>
        <v>6703209.0139684463</v>
      </c>
      <c r="V257" s="52">
        <f t="shared" si="57"/>
        <v>6870789.2393176565</v>
      </c>
      <c r="W257" s="52">
        <f t="shared" si="57"/>
        <v>7042558.9703005971</v>
      </c>
    </row>
    <row r="258" spans="3:23" s="40" customFormat="1" ht="15" customHeight="1">
      <c r="C258" s="221"/>
      <c r="D258" s="48"/>
    </row>
    <row r="259" spans="3:23" s="40" customFormat="1" ht="15" customHeight="1">
      <c r="C259" s="221"/>
      <c r="D259" s="67" t="s">
        <v>167</v>
      </c>
      <c r="H259" s="60"/>
      <c r="I259" s="60"/>
      <c r="J259" s="60"/>
      <c r="K259" s="60"/>
      <c r="L259" s="60"/>
      <c r="M259" s="60"/>
      <c r="N259" s="60"/>
      <c r="O259" s="60"/>
      <c r="P259" s="60"/>
      <c r="Q259" s="60"/>
      <c r="R259" s="60"/>
      <c r="S259" s="60"/>
      <c r="T259" s="60"/>
    </row>
    <row r="260" spans="3:23" s="40" customFormat="1" ht="7.5" customHeight="1">
      <c r="C260" s="221"/>
    </row>
    <row r="261" spans="3:23" s="40" customFormat="1" ht="15" customHeight="1">
      <c r="C261" s="221"/>
      <c r="D261" s="68" t="s">
        <v>184</v>
      </c>
    </row>
    <row r="262" spans="3:23" s="40" customFormat="1" ht="15" customHeight="1">
      <c r="C262" s="221"/>
      <c r="D262" s="51"/>
    </row>
    <row r="263" spans="3:23" s="40" customFormat="1" ht="15" customHeight="1">
      <c r="C263" s="221"/>
      <c r="D263" s="51" t="s">
        <v>169</v>
      </c>
      <c r="H263" s="209">
        <v>1492104.6799999997</v>
      </c>
    </row>
    <row r="264" spans="3:23" s="40" customFormat="1" ht="15" customHeight="1">
      <c r="C264" s="221"/>
      <c r="D264" s="51"/>
    </row>
    <row r="265" spans="3:23" s="40" customFormat="1" ht="15" customHeight="1">
      <c r="C265" s="221"/>
      <c r="D265" s="71" t="s">
        <v>153</v>
      </c>
      <c r="H265" s="52">
        <f>H$69</f>
        <v>295483288.93906343</v>
      </c>
      <c r="I265" s="52">
        <f t="shared" ref="I265:W265" si="58">I$69</f>
        <v>354579946.72687614</v>
      </c>
      <c r="J265" s="52">
        <f t="shared" si="58"/>
        <v>433161290.10581279</v>
      </c>
      <c r="K265" s="52">
        <f t="shared" si="58"/>
        <v>481221595.52174515</v>
      </c>
      <c r="L265" s="52">
        <f t="shared" si="58"/>
        <v>511914210.83123893</v>
      </c>
      <c r="M265" s="52">
        <f t="shared" si="58"/>
        <v>539664028.9945215</v>
      </c>
      <c r="N265" s="52">
        <f t="shared" si="58"/>
        <v>552076301.66139543</v>
      </c>
      <c r="O265" s="52">
        <f t="shared" si="58"/>
        <v>566321376.92696047</v>
      </c>
      <c r="P265" s="52">
        <f t="shared" si="58"/>
        <v>577763859.90139842</v>
      </c>
      <c r="Q265" s="52">
        <f t="shared" si="58"/>
        <v>591052428.67913055</v>
      </c>
      <c r="R265" s="52">
        <f t="shared" si="58"/>
        <v>604646634.53875053</v>
      </c>
      <c r="S265" s="52">
        <f t="shared" si="58"/>
        <v>620248167.86331987</v>
      </c>
      <c r="T265" s="52">
        <f t="shared" si="58"/>
        <v>632780237.79720402</v>
      </c>
      <c r="U265" s="52">
        <f t="shared" si="58"/>
        <v>666497357.51341164</v>
      </c>
      <c r="V265" s="52">
        <f t="shared" si="58"/>
        <v>681826796.73622012</v>
      </c>
      <c r="W265" s="52">
        <f t="shared" si="58"/>
        <v>699127898.95606887</v>
      </c>
    </row>
    <row r="266" spans="3:23" s="40" customFormat="1" ht="15" customHeight="1">
      <c r="C266" s="221"/>
    </row>
    <row r="267" spans="3:23" ht="15" customHeight="1">
      <c r="C267" s="222"/>
      <c r="D267" s="45" t="s">
        <v>170</v>
      </c>
      <c r="E267" s="46" t="s">
        <v>171</v>
      </c>
      <c r="H267" s="212">
        <v>5.0497091911946047E-3</v>
      </c>
      <c r="I267" s="212">
        <v>5.0497091911946047E-3</v>
      </c>
      <c r="J267" s="212">
        <v>5.0497091911946047E-3</v>
      </c>
      <c r="K267" s="212">
        <v>5.0497091911946047E-3</v>
      </c>
      <c r="L267" s="212">
        <v>5.0497091911946047E-3</v>
      </c>
      <c r="M267" s="212">
        <v>5.0497091911946047E-3</v>
      </c>
      <c r="N267" s="212">
        <v>5.0497091911946047E-3</v>
      </c>
      <c r="O267" s="212">
        <v>5.0497091911946047E-3</v>
      </c>
      <c r="P267" s="212">
        <v>5.0497091911946047E-3</v>
      </c>
      <c r="Q267" s="212">
        <v>5.0497091911946047E-3</v>
      </c>
      <c r="R267" s="212">
        <v>5.0497091911946047E-3</v>
      </c>
      <c r="S267" s="212">
        <v>5.0497091911946047E-3</v>
      </c>
      <c r="T267" s="212">
        <v>5.0497091911946047E-3</v>
      </c>
      <c r="U267" s="212">
        <v>5.0497091911946047E-3</v>
      </c>
      <c r="V267" s="212">
        <v>5.0497091911946047E-3</v>
      </c>
      <c r="W267" s="212">
        <v>5.0497091911946047E-3</v>
      </c>
    </row>
    <row r="268" spans="3:23" ht="15" customHeight="1">
      <c r="C268" s="222"/>
      <c r="E268" s="30"/>
    </row>
    <row r="269" spans="3:23" s="40" customFormat="1" ht="15" customHeight="1">
      <c r="C269" s="221"/>
      <c r="D269" s="51" t="s">
        <v>167</v>
      </c>
      <c r="H269" s="52">
        <f>H263</f>
        <v>1492104.6799999997</v>
      </c>
      <c r="I269" s="52">
        <f>I265*I267</f>
        <v>1790525.6159999997</v>
      </c>
      <c r="J269" s="52">
        <f t="shared" ref="J269:W269" si="59">J265*J267</f>
        <v>2187338.5479170354</v>
      </c>
      <c r="K269" s="52">
        <f t="shared" si="59"/>
        <v>2430029.113907489</v>
      </c>
      <c r="L269" s="52">
        <f t="shared" si="59"/>
        <v>2585017.89553764</v>
      </c>
      <c r="M269" s="52">
        <f t="shared" si="59"/>
        <v>2725146.4073707471</v>
      </c>
      <c r="N269" s="52">
        <f t="shared" si="59"/>
        <v>2787824.7747402736</v>
      </c>
      <c r="O269" s="52">
        <f t="shared" si="59"/>
        <v>2859758.2622380564</v>
      </c>
      <c r="P269" s="52">
        <f t="shared" si="59"/>
        <v>2917539.4736841638</v>
      </c>
      <c r="Q269" s="52">
        <f t="shared" si="59"/>
        <v>2984642.881578899</v>
      </c>
      <c r="R269" s="52">
        <f t="shared" si="59"/>
        <v>3053289.6678552139</v>
      </c>
      <c r="S269" s="52">
        <f t="shared" si="59"/>
        <v>3132072.8740810202</v>
      </c>
      <c r="T269" s="52">
        <f t="shared" si="59"/>
        <v>3195356.1828108486</v>
      </c>
      <c r="U269" s="52">
        <f t="shared" si="59"/>
        <v>3365617.8321423912</v>
      </c>
      <c r="V269" s="52">
        <f t="shared" si="59"/>
        <v>3443027.0422816663</v>
      </c>
      <c r="W269" s="52">
        <f t="shared" si="59"/>
        <v>3530392.5771790338</v>
      </c>
    </row>
    <row r="270" spans="3:23" s="40" customFormat="1" ht="15" customHeight="1">
      <c r="C270" s="221"/>
      <c r="D270" s="48"/>
    </row>
    <row r="271" spans="3:23" s="40" customFormat="1" ht="15" customHeight="1">
      <c r="C271" s="221"/>
      <c r="D271" s="53" t="s">
        <v>186</v>
      </c>
      <c r="H271" s="54">
        <f t="shared" ref="H271:W271" si="60">H257+H269</f>
        <v>6354749.0809999993</v>
      </c>
      <c r="I271" s="54">
        <f t="shared" si="60"/>
        <v>6774736.1270249989</v>
      </c>
      <c r="J271" s="54">
        <f t="shared" si="60"/>
        <v>7296154.321717659</v>
      </c>
      <c r="K271" s="54">
        <f t="shared" si="60"/>
        <v>7666565.2820531279</v>
      </c>
      <c r="L271" s="54">
        <f t="shared" si="60"/>
        <v>7952467.4678869192</v>
      </c>
      <c r="M271" s="54">
        <f t="shared" si="60"/>
        <v>8226782.2190287579</v>
      </c>
      <c r="N271" s="54">
        <f t="shared" si="60"/>
        <v>8427001.4816897344</v>
      </c>
      <c r="O271" s="54">
        <f t="shared" si="60"/>
        <v>8639914.3868612535</v>
      </c>
      <c r="P271" s="54">
        <f t="shared" si="60"/>
        <v>8842199.501422938</v>
      </c>
      <c r="Q271" s="54">
        <f t="shared" si="60"/>
        <v>9057419.4100111425</v>
      </c>
      <c r="R271" s="54">
        <f t="shared" si="60"/>
        <v>9277885.6094982643</v>
      </c>
      <c r="S271" s="54">
        <f t="shared" si="60"/>
        <v>9512283.7142651454</v>
      </c>
      <c r="T271" s="54">
        <f t="shared" si="60"/>
        <v>9735072.2939995769</v>
      </c>
      <c r="U271" s="54">
        <f t="shared" si="60"/>
        <v>10068826.846110838</v>
      </c>
      <c r="V271" s="54">
        <f t="shared" si="60"/>
        <v>10313816.281599322</v>
      </c>
      <c r="W271" s="54">
        <f t="shared" si="60"/>
        <v>10572951.547479631</v>
      </c>
    </row>
    <row r="272" spans="3:23" s="40" customFormat="1" ht="15" customHeight="1">
      <c r="C272" s="221"/>
    </row>
    <row r="273" spans="3:23" s="40" customFormat="1" ht="15" hidden="1" customHeight="1" outlineLevel="1">
      <c r="C273" s="221"/>
      <c r="D273" s="58" t="s">
        <v>144</v>
      </c>
      <c r="E273" s="49"/>
      <c r="F273" s="49"/>
      <c r="G273" s="49"/>
      <c r="H273" s="207">
        <v>6354749.0809999993</v>
      </c>
      <c r="I273" s="207">
        <v>6774736.1270249989</v>
      </c>
      <c r="J273" s="207">
        <v>7296154.321717659</v>
      </c>
      <c r="K273" s="207">
        <v>7666565.2820531279</v>
      </c>
      <c r="L273" s="207">
        <v>7846577.1699038949</v>
      </c>
      <c r="M273" s="207">
        <v>8037783.343956382</v>
      </c>
      <c r="N273" s="207">
        <v>8233655.6324906936</v>
      </c>
      <c r="O273" s="207">
        <v>8441579.774096407</v>
      </c>
      <c r="P273" s="207">
        <v>8639857.4632065166</v>
      </c>
      <c r="Q273" s="207">
        <v>8850423.5049157441</v>
      </c>
      <c r="R273" s="207">
        <v>9066128.7985856682</v>
      </c>
      <c r="S273" s="207">
        <v>9295063.0950139295</v>
      </c>
      <c r="T273" s="207">
        <v>9513462.6504320316</v>
      </c>
      <c r="U273" s="207">
        <v>9745351.7236143425</v>
      </c>
      <c r="V273" s="207">
        <v>9982901.23128541</v>
      </c>
      <c r="W273" s="207">
        <v>10226249.609249569</v>
      </c>
    </row>
    <row r="274" spans="3:23" s="40" customFormat="1" ht="15" hidden="1" customHeight="1" outlineLevel="1">
      <c r="C274" s="221"/>
      <c r="D274" s="58" t="s">
        <v>145</v>
      </c>
      <c r="E274" s="49"/>
      <c r="F274" s="49"/>
      <c r="G274" s="49"/>
      <c r="H274" s="56">
        <f>H271-H273</f>
        <v>0</v>
      </c>
      <c r="I274" s="56">
        <f t="shared" ref="I274:W274" si="61">I271-I273</f>
        <v>0</v>
      </c>
      <c r="J274" s="56">
        <f t="shared" si="61"/>
        <v>0</v>
      </c>
      <c r="K274" s="56">
        <f t="shared" si="61"/>
        <v>0</v>
      </c>
      <c r="L274" s="56">
        <f t="shared" si="61"/>
        <v>105890.29798302427</v>
      </c>
      <c r="M274" s="56">
        <f t="shared" si="61"/>
        <v>188998.87507237587</v>
      </c>
      <c r="N274" s="56">
        <f t="shared" si="61"/>
        <v>193345.84919904079</v>
      </c>
      <c r="O274" s="56">
        <f t="shared" si="61"/>
        <v>198334.61276484653</v>
      </c>
      <c r="P274" s="56">
        <f t="shared" si="61"/>
        <v>202342.03821642138</v>
      </c>
      <c r="Q274" s="56">
        <f t="shared" si="61"/>
        <v>206995.90509539843</v>
      </c>
      <c r="R274" s="56">
        <f t="shared" si="61"/>
        <v>211756.81091259606</v>
      </c>
      <c r="S274" s="56">
        <f t="shared" si="61"/>
        <v>217220.61925121583</v>
      </c>
      <c r="T274" s="56">
        <f t="shared" si="61"/>
        <v>221609.64356754534</v>
      </c>
      <c r="U274" s="56">
        <f t="shared" si="61"/>
        <v>323475.12249649502</v>
      </c>
      <c r="V274" s="56">
        <f t="shared" si="61"/>
        <v>330915.05031391233</v>
      </c>
      <c r="W274" s="56">
        <f t="shared" si="61"/>
        <v>346701.9382300619</v>
      </c>
    </row>
    <row r="275" spans="3:23" s="40" customFormat="1" ht="15" hidden="1" customHeight="1" outlineLevel="1">
      <c r="C275" s="221"/>
    </row>
    <row r="276" spans="3:23" s="40" customFormat="1" ht="15" customHeight="1" collapsed="1">
      <c r="C276" s="221"/>
      <c r="D276" s="1" t="s">
        <v>181</v>
      </c>
      <c r="E276" s="1"/>
      <c r="F276" s="1"/>
      <c r="G276" s="1"/>
      <c r="H276" s="1"/>
      <c r="I276" s="1"/>
      <c r="J276" s="1"/>
      <c r="K276" s="1"/>
      <c r="L276" s="1"/>
      <c r="M276" s="1"/>
      <c r="N276" s="1"/>
      <c r="O276" s="1"/>
      <c r="P276" s="1"/>
      <c r="Q276" s="1"/>
      <c r="R276" s="1"/>
      <c r="S276" s="1"/>
      <c r="T276" s="1"/>
      <c r="U276" s="1"/>
      <c r="V276" s="1"/>
      <c r="W276" s="1"/>
    </row>
    <row r="277" spans="3:23" s="40" customFormat="1" ht="7.5" customHeight="1">
      <c r="C277" s="221"/>
    </row>
    <row r="278" spans="3:23" s="40" customFormat="1" ht="15" customHeight="1">
      <c r="C278" s="221"/>
      <c r="D278" s="44" t="s">
        <v>161</v>
      </c>
    </row>
    <row r="279" spans="3:23" s="40" customFormat="1" ht="7.5" customHeight="1">
      <c r="C279" s="221"/>
    </row>
    <row r="280" spans="3:23" s="40" customFormat="1" ht="15" customHeight="1">
      <c r="C280" s="221"/>
      <c r="D280" s="67" t="s">
        <v>162</v>
      </c>
    </row>
    <row r="281" spans="3:23" s="40" customFormat="1" ht="7.5" customHeight="1">
      <c r="C281" s="221"/>
    </row>
    <row r="282" spans="3:23" s="40" customFormat="1" ht="15" customHeight="1">
      <c r="C282" s="221"/>
      <c r="D282" s="68" t="s">
        <v>163</v>
      </c>
    </row>
    <row r="283" spans="3:23" s="40" customFormat="1" ht="15" customHeight="1">
      <c r="C283" s="221"/>
      <c r="D283" s="51"/>
    </row>
    <row r="284" spans="3:23" s="40" customFormat="1" ht="15" customHeight="1">
      <c r="C284" s="221"/>
      <c r="D284" s="51" t="s">
        <v>164</v>
      </c>
      <c r="H284" s="209">
        <v>1837135.2329999995</v>
      </c>
    </row>
    <row r="285" spans="3:23" s="40" customFormat="1" ht="15" customHeight="1">
      <c r="C285" s="221"/>
      <c r="D285" s="51"/>
    </row>
    <row r="286" spans="3:23" ht="15" customHeight="1">
      <c r="C286" s="222"/>
      <c r="D286" s="45" t="s">
        <v>165</v>
      </c>
      <c r="E286" s="46" t="s">
        <v>137</v>
      </c>
      <c r="H286" s="74" t="s">
        <v>166</v>
      </c>
      <c r="I286" s="212">
        <v>2.5000000000000001E-2</v>
      </c>
      <c r="J286" s="212">
        <v>2.5000000000000001E-2</v>
      </c>
      <c r="K286" s="212">
        <v>2.5000000000000001E-2</v>
      </c>
      <c r="L286" s="212">
        <v>2.5000000000000001E-2</v>
      </c>
      <c r="M286" s="212">
        <v>2.5000000000000001E-2</v>
      </c>
      <c r="N286" s="212">
        <v>2.5000000000000001E-2</v>
      </c>
      <c r="O286" s="212">
        <v>2.5000000000000001E-2</v>
      </c>
      <c r="P286" s="212">
        <v>2.5000000000000001E-2</v>
      </c>
      <c r="Q286" s="212">
        <v>2.5000000000000001E-2</v>
      </c>
      <c r="R286" s="212">
        <v>2.5000000000000001E-2</v>
      </c>
      <c r="S286" s="212">
        <v>2.5000000000000001E-2</v>
      </c>
      <c r="T286" s="212">
        <v>2.5000000000000001E-2</v>
      </c>
      <c r="U286" s="212">
        <v>2.5000000000000001E-2</v>
      </c>
      <c r="V286" s="212">
        <v>2.5000000000000001E-2</v>
      </c>
      <c r="W286" s="212">
        <v>2.5000000000000001E-2</v>
      </c>
    </row>
    <row r="287" spans="3:23" ht="15" customHeight="1">
      <c r="C287" s="222"/>
      <c r="E287" s="30"/>
    </row>
    <row r="288" spans="3:23" s="40" customFormat="1" ht="15" customHeight="1">
      <c r="C288" s="221"/>
      <c r="D288" s="51" t="s">
        <v>162</v>
      </c>
      <c r="H288" s="52">
        <f>H284</f>
        <v>1837135.2329999995</v>
      </c>
      <c r="I288" s="52">
        <f>H288*(1+I286)</f>
        <v>1883063.6138249994</v>
      </c>
      <c r="J288" s="52">
        <f>I288*(1+J286)</f>
        <v>1930140.2041706243</v>
      </c>
      <c r="K288" s="52">
        <f t="shared" ref="K288:W288" si="62">J288*(1+K286)</f>
        <v>1978393.7092748897</v>
      </c>
      <c r="L288" s="52">
        <f t="shared" si="62"/>
        <v>2027853.5520067618</v>
      </c>
      <c r="M288" s="52">
        <f t="shared" si="62"/>
        <v>2078549.8908069306</v>
      </c>
      <c r="N288" s="52">
        <f t="shared" si="62"/>
        <v>2130513.6380771035</v>
      </c>
      <c r="O288" s="52">
        <f t="shared" si="62"/>
        <v>2183776.479029031</v>
      </c>
      <c r="P288" s="52">
        <f t="shared" si="62"/>
        <v>2238370.8910047566</v>
      </c>
      <c r="Q288" s="52">
        <f t="shared" si="62"/>
        <v>2294330.1632798752</v>
      </c>
      <c r="R288" s="52">
        <f t="shared" si="62"/>
        <v>2351688.4173618718</v>
      </c>
      <c r="S288" s="52">
        <f t="shared" si="62"/>
        <v>2410480.6277959184</v>
      </c>
      <c r="T288" s="52">
        <f t="shared" si="62"/>
        <v>2470742.643490816</v>
      </c>
      <c r="U288" s="52">
        <f t="shared" si="62"/>
        <v>2532511.2095780862</v>
      </c>
      <c r="V288" s="52">
        <f t="shared" si="62"/>
        <v>2595823.9898175383</v>
      </c>
      <c r="W288" s="52">
        <f t="shared" si="62"/>
        <v>2660719.5895629767</v>
      </c>
    </row>
    <row r="289" spans="3:23" s="40" customFormat="1" ht="15" customHeight="1">
      <c r="C289" s="221"/>
      <c r="D289" s="48"/>
    </row>
    <row r="290" spans="3:23" s="40" customFormat="1" ht="15" customHeight="1">
      <c r="C290" s="221"/>
      <c r="D290" s="67" t="s">
        <v>167</v>
      </c>
      <c r="H290" s="60"/>
      <c r="I290" s="60"/>
      <c r="J290" s="60"/>
      <c r="K290" s="60"/>
      <c r="L290" s="60"/>
      <c r="M290" s="60"/>
      <c r="N290" s="60"/>
      <c r="O290" s="60"/>
      <c r="P290" s="60"/>
      <c r="Q290" s="60"/>
      <c r="R290" s="60"/>
      <c r="S290" s="60"/>
      <c r="T290" s="60"/>
    </row>
    <row r="291" spans="3:23" s="40" customFormat="1" ht="7.5" customHeight="1">
      <c r="C291" s="221"/>
    </row>
    <row r="292" spans="3:23" s="40" customFormat="1" ht="15" customHeight="1">
      <c r="C292" s="221"/>
      <c r="D292" s="68" t="s">
        <v>184</v>
      </c>
    </row>
    <row r="293" spans="3:23" s="40" customFormat="1" ht="15" customHeight="1">
      <c r="C293" s="221"/>
      <c r="D293" s="51"/>
    </row>
    <row r="294" spans="3:23" s="40" customFormat="1" ht="15" customHeight="1">
      <c r="C294" s="221"/>
      <c r="D294" s="51" t="s">
        <v>169</v>
      </c>
      <c r="H294" s="209">
        <v>2965676.8245699997</v>
      </c>
    </row>
    <row r="295" spans="3:23" s="40" customFormat="1" ht="15" customHeight="1">
      <c r="C295" s="221"/>
      <c r="D295" s="51"/>
    </row>
    <row r="296" spans="3:23" s="40" customFormat="1" ht="15" customHeight="1">
      <c r="C296" s="221"/>
      <c r="D296" s="71" t="s">
        <v>153</v>
      </c>
      <c r="H296" s="52">
        <f>H$69</f>
        <v>295483288.93906343</v>
      </c>
      <c r="I296" s="52">
        <f t="shared" ref="I296:W296" si="63">I$69</f>
        <v>354579946.72687614</v>
      </c>
      <c r="J296" s="52">
        <f t="shared" si="63"/>
        <v>433161290.10581279</v>
      </c>
      <c r="K296" s="52">
        <f t="shared" si="63"/>
        <v>481221595.52174515</v>
      </c>
      <c r="L296" s="52">
        <f t="shared" si="63"/>
        <v>511914210.83123893</v>
      </c>
      <c r="M296" s="52">
        <f t="shared" si="63"/>
        <v>539664028.9945215</v>
      </c>
      <c r="N296" s="52">
        <f t="shared" si="63"/>
        <v>552076301.66139543</v>
      </c>
      <c r="O296" s="52">
        <f t="shared" si="63"/>
        <v>566321376.92696047</v>
      </c>
      <c r="P296" s="52">
        <f t="shared" si="63"/>
        <v>577763859.90139842</v>
      </c>
      <c r="Q296" s="52">
        <f t="shared" si="63"/>
        <v>591052428.67913055</v>
      </c>
      <c r="R296" s="52">
        <f t="shared" si="63"/>
        <v>604646634.53875053</v>
      </c>
      <c r="S296" s="52">
        <f t="shared" si="63"/>
        <v>620248167.86331987</v>
      </c>
      <c r="T296" s="52">
        <f t="shared" si="63"/>
        <v>632780237.79720402</v>
      </c>
      <c r="U296" s="52">
        <f t="shared" si="63"/>
        <v>666497357.51341164</v>
      </c>
      <c r="V296" s="52">
        <f t="shared" si="63"/>
        <v>681826796.73622012</v>
      </c>
      <c r="W296" s="52">
        <f t="shared" si="63"/>
        <v>699127898.95606887</v>
      </c>
    </row>
    <row r="297" spans="3:23" s="40" customFormat="1" ht="15" customHeight="1">
      <c r="C297" s="221"/>
    </row>
    <row r="298" spans="3:23" ht="15" customHeight="1">
      <c r="C298" s="222"/>
      <c r="D298" s="45" t="s">
        <v>170</v>
      </c>
      <c r="E298" s="46" t="s">
        <v>171</v>
      </c>
      <c r="H298" s="212">
        <v>6.4991908684335804E-3</v>
      </c>
      <c r="I298" s="212">
        <v>6.4991908684335804E-3</v>
      </c>
      <c r="J298" s="212">
        <v>6.4991908684335804E-3</v>
      </c>
      <c r="K298" s="212">
        <v>6.4991908684335804E-3</v>
      </c>
      <c r="L298" s="212">
        <v>6.4991908684335804E-3</v>
      </c>
      <c r="M298" s="212">
        <v>6.4991908684335804E-3</v>
      </c>
      <c r="N298" s="212">
        <v>6.4991908684335804E-3</v>
      </c>
      <c r="O298" s="212">
        <v>6.4991908684335804E-3</v>
      </c>
      <c r="P298" s="212">
        <v>6.4991908684335804E-3</v>
      </c>
      <c r="Q298" s="212">
        <v>6.4991908684335804E-3</v>
      </c>
      <c r="R298" s="212">
        <v>6.4991908684335804E-3</v>
      </c>
      <c r="S298" s="212">
        <v>6.4991908684335804E-3</v>
      </c>
      <c r="T298" s="212">
        <v>6.4991908684335804E-3</v>
      </c>
      <c r="U298" s="212">
        <v>6.4991908684335804E-3</v>
      </c>
      <c r="V298" s="212">
        <v>6.4991908684335804E-3</v>
      </c>
      <c r="W298" s="212">
        <v>6.4991908684335804E-3</v>
      </c>
    </row>
    <row r="299" spans="3:23" ht="15" customHeight="1">
      <c r="C299" s="222"/>
      <c r="E299" s="30"/>
    </row>
    <row r="300" spans="3:23" s="40" customFormat="1" ht="15" customHeight="1">
      <c r="C300" s="221"/>
      <c r="D300" s="51" t="s">
        <v>167</v>
      </c>
      <c r="H300" s="52">
        <f>H294</f>
        <v>2965676.8245699997</v>
      </c>
      <c r="I300" s="52">
        <f>I296*I298</f>
        <v>2304482.7518969788</v>
      </c>
      <c r="J300" s="52">
        <f t="shared" ref="J300:W300" si="64">J296*J298</f>
        <v>2815197.9012146075</v>
      </c>
      <c r="K300" s="52">
        <f t="shared" si="64"/>
        <v>3127550.999307964</v>
      </c>
      <c r="L300" s="52">
        <f t="shared" si="64"/>
        <v>3327028.1644557705</v>
      </c>
      <c r="M300" s="52">
        <f t="shared" si="64"/>
        <v>3507379.5292632692</v>
      </c>
      <c r="N300" s="52">
        <f t="shared" si="64"/>
        <v>3588049.2584363241</v>
      </c>
      <c r="O300" s="52">
        <f t="shared" si="64"/>
        <v>3680630.7215224332</v>
      </c>
      <c r="P300" s="52">
        <f t="shared" si="64"/>
        <v>3754997.6023821072</v>
      </c>
      <c r="Q300" s="52">
        <f t="shared" si="64"/>
        <v>3841362.5472368952</v>
      </c>
      <c r="R300" s="52">
        <f t="shared" si="64"/>
        <v>3929713.8858233439</v>
      </c>
      <c r="S300" s="52">
        <f t="shared" si="64"/>
        <v>4031111.2287399471</v>
      </c>
      <c r="T300" s="52">
        <f t="shared" si="64"/>
        <v>4112559.543216818</v>
      </c>
      <c r="U300" s="52">
        <f t="shared" si="64"/>
        <v>4331693.5397862764</v>
      </c>
      <c r="V300" s="52">
        <f t="shared" si="64"/>
        <v>4431322.4912013607</v>
      </c>
      <c r="W300" s="52">
        <f t="shared" si="64"/>
        <v>4543765.6567624379</v>
      </c>
    </row>
    <row r="301" spans="3:23" s="40" customFormat="1" ht="15" customHeight="1">
      <c r="C301" s="221"/>
      <c r="D301" s="48"/>
    </row>
    <row r="302" spans="3:23" s="40" customFormat="1" ht="15" customHeight="1">
      <c r="C302" s="221"/>
      <c r="D302" s="53" t="s">
        <v>187</v>
      </c>
      <c r="H302" s="54">
        <f t="shared" ref="H302:W302" si="65">H288+H300</f>
        <v>4802812.0575699992</v>
      </c>
      <c r="I302" s="54">
        <f t="shared" si="65"/>
        <v>4187546.3657219782</v>
      </c>
      <c r="J302" s="54">
        <f t="shared" si="65"/>
        <v>4745338.1053852318</v>
      </c>
      <c r="K302" s="54">
        <f t="shared" si="65"/>
        <v>5105944.7085828539</v>
      </c>
      <c r="L302" s="54">
        <f t="shared" si="65"/>
        <v>5354881.7164625321</v>
      </c>
      <c r="M302" s="54">
        <f t="shared" si="65"/>
        <v>5585929.4200701993</v>
      </c>
      <c r="N302" s="54">
        <f t="shared" si="65"/>
        <v>5718562.8965134276</v>
      </c>
      <c r="O302" s="54">
        <f t="shared" si="65"/>
        <v>5864407.2005514642</v>
      </c>
      <c r="P302" s="54">
        <f t="shared" si="65"/>
        <v>5993368.4933868637</v>
      </c>
      <c r="Q302" s="54">
        <f t="shared" si="65"/>
        <v>6135692.7105167704</v>
      </c>
      <c r="R302" s="54">
        <f t="shared" si="65"/>
        <v>6281402.3031852152</v>
      </c>
      <c r="S302" s="54">
        <f t="shared" si="65"/>
        <v>6441591.856535865</v>
      </c>
      <c r="T302" s="54">
        <f t="shared" si="65"/>
        <v>6583302.1867076345</v>
      </c>
      <c r="U302" s="54">
        <f t="shared" si="65"/>
        <v>6864204.749364363</v>
      </c>
      <c r="V302" s="54">
        <f t="shared" si="65"/>
        <v>7027146.481018899</v>
      </c>
      <c r="W302" s="54">
        <f t="shared" si="65"/>
        <v>7204485.2463254146</v>
      </c>
    </row>
    <row r="303" spans="3:23" s="40" customFormat="1" ht="15" customHeight="1">
      <c r="C303" s="221"/>
    </row>
    <row r="304" spans="3:23" s="40" customFormat="1" ht="15" hidden="1" customHeight="1" outlineLevel="1">
      <c r="C304" s="221"/>
      <c r="D304" s="58" t="s">
        <v>144</v>
      </c>
      <c r="E304" s="49"/>
      <c r="F304" s="49"/>
      <c r="G304" s="49"/>
      <c r="H304" s="207">
        <v>4802812.0575699992</v>
      </c>
      <c r="I304" s="207">
        <v>4187546.3657219782</v>
      </c>
      <c r="J304" s="207">
        <v>4745338.1053852318</v>
      </c>
      <c r="K304" s="207">
        <v>5105944.7085828539</v>
      </c>
      <c r="L304" s="207">
        <v>5218596.3915755013</v>
      </c>
      <c r="M304" s="207">
        <v>5342679.8156857509</v>
      </c>
      <c r="N304" s="207">
        <v>5469718.5512281358</v>
      </c>
      <c r="O304" s="207">
        <v>5609142.1040141629</v>
      </c>
      <c r="P304" s="207">
        <v>5732945.6695597926</v>
      </c>
      <c r="Q304" s="207">
        <v>5869280.1617416777</v>
      </c>
      <c r="R304" s="207">
        <v>6008862.2657882944</v>
      </c>
      <c r="S304" s="207">
        <v>6162019.6650253637</v>
      </c>
      <c r="T304" s="207">
        <v>6298081.1339106727</v>
      </c>
      <c r="U304" s="207">
        <v>6447878.4852775978</v>
      </c>
      <c r="V304" s="207">
        <v>6601244.7128581386</v>
      </c>
      <c r="W304" s="207">
        <v>6758265.0808271356</v>
      </c>
    </row>
    <row r="305" spans="3:23" s="40" customFormat="1" ht="15" hidden="1" customHeight="1" outlineLevel="1">
      <c r="C305" s="221"/>
      <c r="D305" s="58" t="s">
        <v>145</v>
      </c>
      <c r="E305" s="49"/>
      <c r="F305" s="49"/>
      <c r="G305" s="49"/>
      <c r="H305" s="56">
        <f>H302-H304</f>
        <v>0</v>
      </c>
      <c r="I305" s="56">
        <f t="shared" ref="I305:W305" si="66">I302-I304</f>
        <v>0</v>
      </c>
      <c r="J305" s="56">
        <f t="shared" si="66"/>
        <v>0</v>
      </c>
      <c r="K305" s="56">
        <f t="shared" si="66"/>
        <v>0</v>
      </c>
      <c r="L305" s="56">
        <f t="shared" si="66"/>
        <v>136285.32488703076</v>
      </c>
      <c r="M305" s="56">
        <f t="shared" si="66"/>
        <v>243249.60438444838</v>
      </c>
      <c r="N305" s="56">
        <f t="shared" si="66"/>
        <v>248844.34528529178</v>
      </c>
      <c r="O305" s="56">
        <f t="shared" si="66"/>
        <v>255265.09653730132</v>
      </c>
      <c r="P305" s="56">
        <f t="shared" si="66"/>
        <v>260422.82382707112</v>
      </c>
      <c r="Q305" s="56">
        <f t="shared" si="66"/>
        <v>266412.5487750927</v>
      </c>
      <c r="R305" s="56">
        <f t="shared" si="66"/>
        <v>272540.03739692084</v>
      </c>
      <c r="S305" s="56">
        <f t="shared" si="66"/>
        <v>279572.19151050132</v>
      </c>
      <c r="T305" s="56">
        <f t="shared" si="66"/>
        <v>285221.05279696174</v>
      </c>
      <c r="U305" s="56">
        <f t="shared" si="66"/>
        <v>416326.26408676524</v>
      </c>
      <c r="V305" s="56">
        <f t="shared" si="66"/>
        <v>425901.7681607604</v>
      </c>
      <c r="W305" s="56">
        <f t="shared" si="66"/>
        <v>446220.16549827904</v>
      </c>
    </row>
    <row r="306" spans="3:23" s="40" customFormat="1" ht="15" hidden="1" customHeight="1" outlineLevel="1">
      <c r="C306" s="221"/>
    </row>
    <row r="307" spans="3:23" s="40" customFormat="1" ht="15" customHeight="1" collapsed="1">
      <c r="C307" s="221"/>
      <c r="D307" s="1" t="s">
        <v>182</v>
      </c>
      <c r="E307" s="1"/>
      <c r="F307" s="1"/>
      <c r="G307" s="1"/>
      <c r="H307" s="1"/>
      <c r="I307" s="1"/>
      <c r="J307" s="1"/>
      <c r="K307" s="1"/>
      <c r="L307" s="1"/>
      <c r="M307" s="1"/>
      <c r="N307" s="1"/>
      <c r="O307" s="1"/>
      <c r="P307" s="1"/>
      <c r="Q307" s="1"/>
      <c r="R307" s="1"/>
      <c r="S307" s="1"/>
      <c r="T307" s="1"/>
      <c r="U307" s="1"/>
      <c r="V307" s="1"/>
      <c r="W307" s="1"/>
    </row>
    <row r="308" spans="3:23" s="40" customFormat="1" ht="7.5" customHeight="1">
      <c r="C308" s="221"/>
    </row>
    <row r="309" spans="3:23" s="40" customFormat="1" ht="15" customHeight="1">
      <c r="C309" s="221"/>
      <c r="D309" s="44" t="s">
        <v>161</v>
      </c>
    </row>
    <row r="310" spans="3:23" s="40" customFormat="1" ht="7.5" customHeight="1">
      <c r="C310" s="221"/>
    </row>
    <row r="311" spans="3:23" s="40" customFormat="1" ht="15" customHeight="1">
      <c r="C311" s="221"/>
      <c r="D311" s="67" t="s">
        <v>162</v>
      </c>
    </row>
    <row r="312" spans="3:23" s="40" customFormat="1" ht="7.5" customHeight="1">
      <c r="C312" s="221"/>
    </row>
    <row r="313" spans="3:23" s="40" customFormat="1" ht="15" customHeight="1">
      <c r="C313" s="221"/>
      <c r="D313" s="68" t="s">
        <v>163</v>
      </c>
    </row>
    <row r="314" spans="3:23" s="40" customFormat="1" ht="15" customHeight="1">
      <c r="C314" s="221"/>
      <c r="D314" s="51"/>
    </row>
    <row r="315" spans="3:23" s="40" customFormat="1" ht="15" customHeight="1">
      <c r="C315" s="221"/>
      <c r="D315" s="51" t="s">
        <v>164</v>
      </c>
      <c r="H315" s="209">
        <v>6202880.6099999985</v>
      </c>
    </row>
    <row r="316" spans="3:23" s="40" customFormat="1" ht="15" customHeight="1">
      <c r="C316" s="221"/>
      <c r="D316" s="51"/>
    </row>
    <row r="317" spans="3:23" ht="15" customHeight="1">
      <c r="C317" s="222"/>
      <c r="D317" s="45" t="s">
        <v>165</v>
      </c>
      <c r="E317" s="46" t="s">
        <v>137</v>
      </c>
      <c r="H317" s="74" t="s">
        <v>166</v>
      </c>
      <c r="I317" s="212">
        <v>2.5000000000000001E-2</v>
      </c>
      <c r="J317" s="212">
        <v>2.5000000000000001E-2</v>
      </c>
      <c r="K317" s="212">
        <v>2.5000000000000001E-2</v>
      </c>
      <c r="L317" s="212">
        <v>2.5000000000000001E-2</v>
      </c>
      <c r="M317" s="212">
        <v>2.5000000000000001E-2</v>
      </c>
      <c r="N317" s="212">
        <v>2.5000000000000001E-2</v>
      </c>
      <c r="O317" s="212">
        <v>2.5000000000000001E-2</v>
      </c>
      <c r="P317" s="212">
        <v>2.5000000000000001E-2</v>
      </c>
      <c r="Q317" s="212">
        <v>2.5000000000000001E-2</v>
      </c>
      <c r="R317" s="212">
        <v>2.5000000000000001E-2</v>
      </c>
      <c r="S317" s="212">
        <v>2.5000000000000001E-2</v>
      </c>
      <c r="T317" s="212">
        <v>2.5000000000000001E-2</v>
      </c>
      <c r="U317" s="212">
        <v>2.5000000000000001E-2</v>
      </c>
      <c r="V317" s="212">
        <v>2.5000000000000001E-2</v>
      </c>
      <c r="W317" s="212">
        <v>2.5000000000000001E-2</v>
      </c>
    </row>
    <row r="318" spans="3:23" ht="15" customHeight="1">
      <c r="C318" s="222"/>
      <c r="E318" s="30"/>
    </row>
    <row r="319" spans="3:23" s="40" customFormat="1" ht="15" customHeight="1">
      <c r="C319" s="221"/>
      <c r="D319" s="51" t="s">
        <v>162</v>
      </c>
      <c r="H319" s="52">
        <f>H315</f>
        <v>6202880.6099999985</v>
      </c>
      <c r="I319" s="52">
        <f>H319*(1+I317)</f>
        <v>6357952.6252499977</v>
      </c>
      <c r="J319" s="52">
        <f>I319*(1+J317)</f>
        <v>6516901.4408812467</v>
      </c>
      <c r="K319" s="52">
        <f t="shared" ref="K319:W319" si="67">J319*(1+K317)</f>
        <v>6679823.9769032774</v>
      </c>
      <c r="L319" s="52">
        <f t="shared" si="67"/>
        <v>6846819.5763258589</v>
      </c>
      <c r="M319" s="52">
        <f t="shared" si="67"/>
        <v>7017990.0657340046</v>
      </c>
      <c r="N319" s="52">
        <f t="shared" si="67"/>
        <v>7193439.817377354</v>
      </c>
      <c r="O319" s="52">
        <f t="shared" si="67"/>
        <v>7373275.8128117872</v>
      </c>
      <c r="P319" s="52">
        <f t="shared" si="67"/>
        <v>7557607.7081320817</v>
      </c>
      <c r="Q319" s="52">
        <f t="shared" si="67"/>
        <v>7746547.9008353828</v>
      </c>
      <c r="R319" s="52">
        <f t="shared" si="67"/>
        <v>7940211.5983562665</v>
      </c>
      <c r="S319" s="52">
        <f t="shared" si="67"/>
        <v>8138716.8883151729</v>
      </c>
      <c r="T319" s="52">
        <f t="shared" si="67"/>
        <v>8342184.8105230518</v>
      </c>
      <c r="U319" s="52">
        <f t="shared" si="67"/>
        <v>8550739.4307861272</v>
      </c>
      <c r="V319" s="52">
        <f t="shared" si="67"/>
        <v>8764507.9165557791</v>
      </c>
      <c r="W319" s="52">
        <f t="shared" si="67"/>
        <v>8983620.6144696735</v>
      </c>
    </row>
    <row r="320" spans="3:23" s="40" customFormat="1" ht="15" customHeight="1">
      <c r="C320" s="221"/>
      <c r="D320" s="48"/>
    </row>
    <row r="321" spans="3:23" s="40" customFormat="1" ht="15" customHeight="1">
      <c r="C321" s="221"/>
      <c r="D321" s="67" t="s">
        <v>167</v>
      </c>
      <c r="H321" s="60"/>
      <c r="I321" s="60"/>
      <c r="J321" s="60"/>
      <c r="K321" s="60"/>
      <c r="L321" s="60"/>
      <c r="M321" s="60"/>
      <c r="N321" s="60"/>
      <c r="O321" s="60"/>
      <c r="P321" s="60"/>
      <c r="Q321" s="60"/>
      <c r="R321" s="60"/>
      <c r="S321" s="60"/>
      <c r="T321" s="60"/>
    </row>
    <row r="322" spans="3:23" s="40" customFormat="1" ht="7.5" customHeight="1">
      <c r="C322" s="221"/>
    </row>
    <row r="323" spans="3:23" s="40" customFormat="1" ht="15" customHeight="1">
      <c r="C323" s="221"/>
      <c r="D323" s="68" t="s">
        <v>184</v>
      </c>
    </row>
    <row r="324" spans="3:23" s="40" customFormat="1" ht="15" customHeight="1">
      <c r="C324" s="221"/>
      <c r="D324" s="51"/>
    </row>
    <row r="325" spans="3:23" s="40" customFormat="1" ht="15" customHeight="1">
      <c r="C325" s="221"/>
      <c r="D325" s="51" t="s">
        <v>169</v>
      </c>
      <c r="H325" s="209">
        <v>5078397.7125800001</v>
      </c>
    </row>
    <row r="326" spans="3:23" s="40" customFormat="1" ht="15" customHeight="1">
      <c r="C326" s="221"/>
      <c r="D326" s="51"/>
    </row>
    <row r="327" spans="3:23" s="40" customFormat="1" ht="15" customHeight="1">
      <c r="C327" s="221"/>
      <c r="D327" s="71" t="s">
        <v>153</v>
      </c>
      <c r="H327" s="52">
        <f>H$69</f>
        <v>295483288.93906343</v>
      </c>
      <c r="I327" s="52">
        <f t="shared" ref="I327:W327" si="68">I$69</f>
        <v>354579946.72687614</v>
      </c>
      <c r="J327" s="52">
        <f t="shared" si="68"/>
        <v>433161290.10581279</v>
      </c>
      <c r="K327" s="52">
        <f t="shared" si="68"/>
        <v>481221595.52174515</v>
      </c>
      <c r="L327" s="52">
        <f t="shared" si="68"/>
        <v>511914210.83123893</v>
      </c>
      <c r="M327" s="52">
        <f t="shared" si="68"/>
        <v>539664028.9945215</v>
      </c>
      <c r="N327" s="52">
        <f t="shared" si="68"/>
        <v>552076301.66139543</v>
      </c>
      <c r="O327" s="52">
        <f t="shared" si="68"/>
        <v>566321376.92696047</v>
      </c>
      <c r="P327" s="52">
        <f t="shared" si="68"/>
        <v>577763859.90139842</v>
      </c>
      <c r="Q327" s="52">
        <f t="shared" si="68"/>
        <v>591052428.67913055</v>
      </c>
      <c r="R327" s="52">
        <f t="shared" si="68"/>
        <v>604646634.53875053</v>
      </c>
      <c r="S327" s="52">
        <f t="shared" si="68"/>
        <v>620248167.86331987</v>
      </c>
      <c r="T327" s="52">
        <f t="shared" si="68"/>
        <v>632780237.79720402</v>
      </c>
      <c r="U327" s="52">
        <f t="shared" si="68"/>
        <v>666497357.51341164</v>
      </c>
      <c r="V327" s="52">
        <f t="shared" si="68"/>
        <v>681826796.73622012</v>
      </c>
      <c r="W327" s="52">
        <f t="shared" si="68"/>
        <v>699127898.95606887</v>
      </c>
    </row>
    <row r="328" spans="3:23" s="40" customFormat="1" ht="15" customHeight="1">
      <c r="C328" s="221"/>
    </row>
    <row r="329" spans="3:23" ht="15" customHeight="1">
      <c r="C329" s="222"/>
      <c r="D329" s="45" t="s">
        <v>170</v>
      </c>
      <c r="E329" s="46" t="s">
        <v>171</v>
      </c>
      <c r="H329" s="212">
        <v>1.7186751003124584E-2</v>
      </c>
      <c r="I329" s="212">
        <v>1.7186751003124584E-2</v>
      </c>
      <c r="J329" s="212">
        <v>1.7186751003124584E-2</v>
      </c>
      <c r="K329" s="212">
        <v>1.7186751003124584E-2</v>
      </c>
      <c r="L329" s="212">
        <v>1.7186751003124584E-2</v>
      </c>
      <c r="M329" s="212">
        <v>1.7186751003124584E-2</v>
      </c>
      <c r="N329" s="212">
        <v>1.7186751003124584E-2</v>
      </c>
      <c r="O329" s="212">
        <v>1.7186751003124584E-2</v>
      </c>
      <c r="P329" s="212">
        <v>1.7186751003124584E-2</v>
      </c>
      <c r="Q329" s="212">
        <v>1.7186751003124584E-2</v>
      </c>
      <c r="R329" s="212">
        <v>1.7186751003124584E-2</v>
      </c>
      <c r="S329" s="212">
        <v>1.7186751003124584E-2</v>
      </c>
      <c r="T329" s="212">
        <v>1.7186751003124584E-2</v>
      </c>
      <c r="U329" s="212">
        <v>1.7186751003124584E-2</v>
      </c>
      <c r="V329" s="212">
        <v>1.7186751003124584E-2</v>
      </c>
      <c r="W329" s="212">
        <v>1.7186751003124584E-2</v>
      </c>
    </row>
    <row r="330" spans="3:23" ht="15" customHeight="1">
      <c r="C330" s="222"/>
      <c r="E330" s="30"/>
    </row>
    <row r="331" spans="3:23" s="40" customFormat="1" ht="15" customHeight="1">
      <c r="C331" s="221"/>
      <c r="D331" s="51" t="s">
        <v>167</v>
      </c>
      <c r="H331" s="52">
        <f>H325</f>
        <v>5078397.7125800001</v>
      </c>
      <c r="I331" s="52">
        <f>I327*I329</f>
        <v>6094077.2550959997</v>
      </c>
      <c r="J331" s="52">
        <f t="shared" ref="J331:W331" si="69">J327*J329</f>
        <v>7444635.2372408165</v>
      </c>
      <c r="K331" s="52">
        <f t="shared" si="69"/>
        <v>8270635.7395585664</v>
      </c>
      <c r="L331" s="52">
        <f t="shared" si="69"/>
        <v>8798142.0765175261</v>
      </c>
      <c r="M331" s="52">
        <f t="shared" si="69"/>
        <v>9275071.2916718461</v>
      </c>
      <c r="N331" s="52">
        <f t="shared" si="69"/>
        <v>9488397.931380298</v>
      </c>
      <c r="O331" s="52">
        <f t="shared" si="69"/>
        <v>9733224.4929903336</v>
      </c>
      <c r="P331" s="52">
        <f t="shared" si="69"/>
        <v>9929883.5987294912</v>
      </c>
      <c r="Q331" s="52">
        <f t="shared" si="69"/>
        <v>10158270.921500269</v>
      </c>
      <c r="R331" s="52">
        <f t="shared" si="69"/>
        <v>10391911.152694775</v>
      </c>
      <c r="S331" s="52">
        <f t="shared" si="69"/>
        <v>10660050.821211098</v>
      </c>
      <c r="T331" s="52">
        <f t="shared" si="69"/>
        <v>10875436.38671851</v>
      </c>
      <c r="U331" s="52">
        <f t="shared" si="69"/>
        <v>11454924.127823511</v>
      </c>
      <c r="V331" s="52">
        <f t="shared" si="69"/>
        <v>11718387.382763453</v>
      </c>
      <c r="W331" s="52">
        <f t="shared" si="69"/>
        <v>12015737.1186956</v>
      </c>
    </row>
    <row r="332" spans="3:23" s="40" customFormat="1" ht="15" customHeight="1">
      <c r="C332" s="221"/>
      <c r="D332" s="48"/>
    </row>
    <row r="333" spans="3:23" s="40" customFormat="1" ht="15" customHeight="1">
      <c r="C333" s="221"/>
      <c r="D333" s="53" t="s">
        <v>188</v>
      </c>
      <c r="H333" s="54">
        <f t="shared" ref="H333:W333" si="70">H319+H331</f>
        <v>11281278.322579999</v>
      </c>
      <c r="I333" s="54">
        <f t="shared" si="70"/>
        <v>12452029.880345996</v>
      </c>
      <c r="J333" s="54">
        <f t="shared" si="70"/>
        <v>13961536.678122062</v>
      </c>
      <c r="K333" s="54">
        <f t="shared" si="70"/>
        <v>14950459.716461845</v>
      </c>
      <c r="L333" s="54">
        <f t="shared" si="70"/>
        <v>15644961.652843386</v>
      </c>
      <c r="M333" s="54">
        <f t="shared" si="70"/>
        <v>16293061.357405851</v>
      </c>
      <c r="N333" s="54">
        <f t="shared" si="70"/>
        <v>16681837.748757653</v>
      </c>
      <c r="O333" s="54">
        <f t="shared" si="70"/>
        <v>17106500.305802122</v>
      </c>
      <c r="P333" s="54">
        <f t="shared" si="70"/>
        <v>17487491.306861572</v>
      </c>
      <c r="Q333" s="54">
        <f t="shared" si="70"/>
        <v>17904818.822335653</v>
      </c>
      <c r="R333" s="54">
        <f t="shared" si="70"/>
        <v>18332122.751051042</v>
      </c>
      <c r="S333" s="54">
        <f t="shared" si="70"/>
        <v>18798767.709526271</v>
      </c>
      <c r="T333" s="54">
        <f t="shared" si="70"/>
        <v>19217621.19724156</v>
      </c>
      <c r="U333" s="54">
        <f t="shared" si="70"/>
        <v>20005663.558609638</v>
      </c>
      <c r="V333" s="54">
        <f t="shared" si="70"/>
        <v>20482895.29931923</v>
      </c>
      <c r="W333" s="54">
        <f t="shared" si="70"/>
        <v>20999357.733165272</v>
      </c>
    </row>
    <row r="334" spans="3:23" s="40" customFormat="1" ht="15" customHeight="1">
      <c r="C334" s="221"/>
    </row>
    <row r="335" spans="3:23" s="40" customFormat="1" ht="15" hidden="1" customHeight="1" outlineLevel="1">
      <c r="C335" s="221"/>
      <c r="D335" s="58" t="s">
        <v>144</v>
      </c>
      <c r="E335" s="49"/>
      <c r="F335" s="49"/>
      <c r="G335" s="49"/>
      <c r="H335" s="207">
        <v>11281278.322579999</v>
      </c>
      <c r="I335" s="207">
        <v>12452029.880345996</v>
      </c>
      <c r="J335" s="207">
        <v>13961536.678122062</v>
      </c>
      <c r="K335" s="207">
        <v>14950459.716461845</v>
      </c>
      <c r="L335" s="207">
        <v>15284562.644469917</v>
      </c>
      <c r="M335" s="207">
        <v>15649801.224445377</v>
      </c>
      <c r="N335" s="207">
        <v>16023782.632739086</v>
      </c>
      <c r="O335" s="207">
        <v>16431465.868010245</v>
      </c>
      <c r="P335" s="207">
        <v>16798817.544349778</v>
      </c>
      <c r="Q335" s="207">
        <v>17200305.563286088</v>
      </c>
      <c r="R335" s="207">
        <v>17611405.687043335</v>
      </c>
      <c r="S335" s="207">
        <v>18059454.502673656</v>
      </c>
      <c r="T335" s="207">
        <v>18463369.888962641</v>
      </c>
      <c r="U335" s="207">
        <v>18904711.766029824</v>
      </c>
      <c r="V335" s="207">
        <v>19356621.615510084</v>
      </c>
      <c r="W335" s="207">
        <v>19819353.1707142</v>
      </c>
    </row>
    <row r="336" spans="3:23" s="40" customFormat="1" ht="15" hidden="1" customHeight="1" outlineLevel="1">
      <c r="C336" s="221"/>
      <c r="D336" s="58" t="s">
        <v>145</v>
      </c>
      <c r="E336" s="49"/>
      <c r="F336" s="49"/>
      <c r="G336" s="49"/>
      <c r="H336" s="56">
        <f>H333-H335</f>
        <v>0</v>
      </c>
      <c r="I336" s="56">
        <f t="shared" ref="I336:W336" si="71">I333-I335</f>
        <v>0</v>
      </c>
      <c r="J336" s="56">
        <f t="shared" si="71"/>
        <v>0</v>
      </c>
      <c r="K336" s="56">
        <f t="shared" si="71"/>
        <v>0</v>
      </c>
      <c r="L336" s="56">
        <f t="shared" si="71"/>
        <v>360399.00837346911</v>
      </c>
      <c r="M336" s="56">
        <f t="shared" si="71"/>
        <v>643260.13296047412</v>
      </c>
      <c r="N336" s="56">
        <f t="shared" si="71"/>
        <v>658055.11601856723</v>
      </c>
      <c r="O336" s="56">
        <f t="shared" si="71"/>
        <v>675034.43779187649</v>
      </c>
      <c r="P336" s="56">
        <f t="shared" si="71"/>
        <v>688673.76251179352</v>
      </c>
      <c r="Q336" s="56">
        <f t="shared" si="71"/>
        <v>704513.2590495646</v>
      </c>
      <c r="R336" s="56">
        <f t="shared" si="71"/>
        <v>720717.06400770694</v>
      </c>
      <c r="S336" s="56">
        <f t="shared" si="71"/>
        <v>739313.20685261488</v>
      </c>
      <c r="T336" s="56">
        <f t="shared" si="71"/>
        <v>754251.30827891827</v>
      </c>
      <c r="U336" s="56">
        <f t="shared" si="71"/>
        <v>1100951.7925798148</v>
      </c>
      <c r="V336" s="56">
        <f t="shared" si="71"/>
        <v>1126273.6838091463</v>
      </c>
      <c r="W336" s="56">
        <f t="shared" si="71"/>
        <v>1180004.562451072</v>
      </c>
    </row>
    <row r="337" spans="3:23" s="40" customFormat="1" ht="15" hidden="1" customHeight="1" outlineLevel="1">
      <c r="C337" s="221"/>
    </row>
    <row r="338" spans="3:23" s="40" customFormat="1" ht="15" customHeight="1" collapsed="1">
      <c r="C338" s="221"/>
      <c r="D338" s="1" t="s">
        <v>183</v>
      </c>
      <c r="E338" s="1"/>
      <c r="F338" s="1"/>
      <c r="G338" s="1"/>
      <c r="H338" s="1"/>
      <c r="I338" s="1"/>
      <c r="J338" s="1"/>
      <c r="K338" s="1"/>
      <c r="L338" s="1"/>
      <c r="M338" s="1"/>
      <c r="N338" s="1"/>
      <c r="O338" s="1"/>
      <c r="P338" s="1"/>
      <c r="Q338" s="1"/>
      <c r="R338" s="1"/>
      <c r="S338" s="1"/>
      <c r="T338" s="1"/>
      <c r="U338" s="1"/>
      <c r="V338" s="1"/>
      <c r="W338" s="1"/>
    </row>
    <row r="339" spans="3:23" s="40" customFormat="1" ht="7.5" customHeight="1">
      <c r="C339" s="221"/>
    </row>
    <row r="340" spans="3:23" s="40" customFormat="1" ht="15" customHeight="1">
      <c r="C340" s="221"/>
      <c r="D340" s="68" t="s">
        <v>184</v>
      </c>
    </row>
    <row r="341" spans="3:23" s="40" customFormat="1" ht="15" customHeight="1">
      <c r="C341" s="221"/>
      <c r="D341" s="51"/>
    </row>
    <row r="342" spans="3:23" s="40" customFormat="1" ht="15" customHeight="1">
      <c r="C342" s="221"/>
      <c r="D342" s="51" t="s">
        <v>169</v>
      </c>
      <c r="H342" s="209">
        <v>20174045</v>
      </c>
    </row>
    <row r="343" spans="3:23" s="40" customFormat="1" ht="15" customHeight="1">
      <c r="C343" s="221"/>
      <c r="D343" s="51"/>
    </row>
    <row r="344" spans="3:23" s="40" customFormat="1" ht="15" customHeight="1">
      <c r="C344" s="221"/>
      <c r="D344" s="71" t="s">
        <v>153</v>
      </c>
      <c r="H344" s="52">
        <f>H$69</f>
        <v>295483288.93906343</v>
      </c>
      <c r="I344" s="52">
        <f t="shared" ref="I344:W344" si="72">I$69</f>
        <v>354579946.72687614</v>
      </c>
      <c r="J344" s="52">
        <f t="shared" si="72"/>
        <v>433161290.10581279</v>
      </c>
      <c r="K344" s="52">
        <f t="shared" si="72"/>
        <v>481221595.52174515</v>
      </c>
      <c r="L344" s="52">
        <f t="shared" si="72"/>
        <v>511914210.83123893</v>
      </c>
      <c r="M344" s="52">
        <f t="shared" si="72"/>
        <v>539664028.9945215</v>
      </c>
      <c r="N344" s="52">
        <f t="shared" si="72"/>
        <v>552076301.66139543</v>
      </c>
      <c r="O344" s="52">
        <f t="shared" si="72"/>
        <v>566321376.92696047</v>
      </c>
      <c r="P344" s="52">
        <f t="shared" si="72"/>
        <v>577763859.90139842</v>
      </c>
      <c r="Q344" s="52">
        <f t="shared" si="72"/>
        <v>591052428.67913055</v>
      </c>
      <c r="R344" s="52">
        <f t="shared" si="72"/>
        <v>604646634.53875053</v>
      </c>
      <c r="S344" s="52">
        <f t="shared" si="72"/>
        <v>620248167.86331987</v>
      </c>
      <c r="T344" s="52">
        <f t="shared" si="72"/>
        <v>632780237.79720402</v>
      </c>
      <c r="U344" s="52">
        <f t="shared" si="72"/>
        <v>666497357.51341164</v>
      </c>
      <c r="V344" s="52">
        <f t="shared" si="72"/>
        <v>681826796.73622012</v>
      </c>
      <c r="W344" s="52">
        <f t="shared" si="72"/>
        <v>699127898.95606887</v>
      </c>
    </row>
    <row r="345" spans="3:23" s="40" customFormat="1" ht="15" customHeight="1">
      <c r="C345" s="221"/>
    </row>
    <row r="346" spans="3:23" ht="15" customHeight="1">
      <c r="C346" s="222"/>
      <c r="D346" s="45" t="s">
        <v>170</v>
      </c>
      <c r="E346" s="46" t="s">
        <v>171</v>
      </c>
      <c r="H346" s="212">
        <v>6.8274740925062694E-2</v>
      </c>
      <c r="I346" s="212">
        <v>6.8274740925062694E-2</v>
      </c>
      <c r="J346" s="212">
        <v>6.8274740925062694E-2</v>
      </c>
      <c r="K346" s="212">
        <v>6.8274740925062694E-2</v>
      </c>
      <c r="L346" s="212">
        <v>6.8274740925062694E-2</v>
      </c>
      <c r="M346" s="212">
        <v>6.8274740925062694E-2</v>
      </c>
      <c r="N346" s="212">
        <v>6.8274740925062694E-2</v>
      </c>
      <c r="O346" s="212">
        <v>6.8274740925062694E-2</v>
      </c>
      <c r="P346" s="212">
        <v>6.8274740925062694E-2</v>
      </c>
      <c r="Q346" s="212">
        <v>6.8274740925062694E-2</v>
      </c>
      <c r="R346" s="212">
        <v>6.8274740925062694E-2</v>
      </c>
      <c r="S346" s="212">
        <v>6.8274740925062694E-2</v>
      </c>
      <c r="T346" s="212">
        <v>6.8274740925062694E-2</v>
      </c>
      <c r="U346" s="212">
        <v>6.8274740925062694E-2</v>
      </c>
      <c r="V346" s="212">
        <v>6.8274740925062694E-2</v>
      </c>
      <c r="W346" s="212">
        <v>6.8274740925062694E-2</v>
      </c>
    </row>
    <row r="347" spans="3:23" s="40" customFormat="1" ht="15" customHeight="1">
      <c r="C347" s="221"/>
      <c r="D347" s="48"/>
    </row>
    <row r="348" spans="3:23" s="40" customFormat="1" ht="15" customHeight="1">
      <c r="C348" s="221"/>
      <c r="D348" s="53" t="s">
        <v>189</v>
      </c>
      <c r="H348" s="54">
        <f>H342</f>
        <v>20174045</v>
      </c>
      <c r="I348" s="54">
        <f>I344*I346</f>
        <v>24208854</v>
      </c>
      <c r="J348" s="54">
        <f t="shared" ref="J348:W348" si="73">J344*J346</f>
        <v>29573974.860740289</v>
      </c>
      <c r="K348" s="54">
        <f t="shared" si="73"/>
        <v>32855279.761792459</v>
      </c>
      <c r="L348" s="54">
        <f t="shared" si="73"/>
        <v>34950810.120360762</v>
      </c>
      <c r="M348" s="54">
        <f t="shared" si="73"/>
        <v>36845421.766176477</v>
      </c>
      <c r="N348" s="54">
        <f t="shared" si="73"/>
        <v>37692866.466798529</v>
      </c>
      <c r="O348" s="54">
        <f t="shared" si="73"/>
        <v>38665445.290013</v>
      </c>
      <c r="P348" s="54">
        <f t="shared" si="73"/>
        <v>39446677.850632198</v>
      </c>
      <c r="Q348" s="54">
        <f t="shared" si="73"/>
        <v>40353951.441196732</v>
      </c>
      <c r="R348" s="54">
        <f t="shared" si="73"/>
        <v>41282092.324344255</v>
      </c>
      <c r="S348" s="54">
        <f t="shared" si="73"/>
        <v>42347282.970112957</v>
      </c>
      <c r="T348" s="54">
        <f t="shared" si="73"/>
        <v>43202906.798103668</v>
      </c>
      <c r="U348" s="54">
        <f t="shared" si="73"/>
        <v>45504934.411467068</v>
      </c>
      <c r="V348" s="54">
        <f t="shared" si="73"/>
        <v>46551547.902930811</v>
      </c>
      <c r="W348" s="54">
        <f t="shared" si="73"/>
        <v>47732776.174709015</v>
      </c>
    </row>
    <row r="349" spans="3:23" s="40" customFormat="1" ht="15" customHeight="1">
      <c r="C349" s="221"/>
    </row>
    <row r="350" spans="3:23" s="40" customFormat="1" ht="15" hidden="1" customHeight="1" outlineLevel="1">
      <c r="C350" s="221"/>
      <c r="D350" s="58" t="s">
        <v>144</v>
      </c>
      <c r="E350" s="49"/>
      <c r="F350" s="49"/>
      <c r="G350" s="49"/>
      <c r="H350" s="207">
        <v>20174045</v>
      </c>
      <c r="I350" s="207">
        <v>24208854</v>
      </c>
      <c r="J350" s="207">
        <v>29573974.860740289</v>
      </c>
      <c r="K350" s="207">
        <v>32855279.761792459</v>
      </c>
      <c r="L350" s="207">
        <v>33519117.247061182</v>
      </c>
      <c r="M350" s="207">
        <v>34290056.943743587</v>
      </c>
      <c r="N350" s="207">
        <v>35078728.253449686</v>
      </c>
      <c r="O350" s="207">
        <v>35983856.35285107</v>
      </c>
      <c r="P350" s="207">
        <v>36710906.400354438</v>
      </c>
      <c r="Q350" s="207">
        <v>37555257.247562595</v>
      </c>
      <c r="R350" s="207">
        <v>38419028.164256521</v>
      </c>
      <c r="S350" s="207">
        <v>39410345.229456641</v>
      </c>
      <c r="T350" s="207">
        <v>40206627.125711218</v>
      </c>
      <c r="U350" s="207">
        <v>41131379.549602561</v>
      </c>
      <c r="V350" s="207">
        <v>42077401.279243425</v>
      </c>
      <c r="W350" s="207">
        <v>43045182.470867485</v>
      </c>
    </row>
    <row r="351" spans="3:23" s="40" customFormat="1" ht="15" hidden="1" customHeight="1" outlineLevel="1">
      <c r="C351" s="221"/>
      <c r="D351" s="58" t="s">
        <v>145</v>
      </c>
      <c r="E351" s="49"/>
      <c r="F351" s="49"/>
      <c r="G351" s="49"/>
      <c r="H351" s="56">
        <f>H348-H350</f>
        <v>0</v>
      </c>
      <c r="I351" s="56">
        <f t="shared" ref="I351:W351" si="74">I348-I350</f>
        <v>0</v>
      </c>
      <c r="J351" s="56">
        <f t="shared" si="74"/>
        <v>0</v>
      </c>
      <c r="K351" s="56">
        <f t="shared" si="74"/>
        <v>0</v>
      </c>
      <c r="L351" s="56">
        <f t="shared" si="74"/>
        <v>1431692.8732995801</v>
      </c>
      <c r="M351" s="56">
        <f t="shared" si="74"/>
        <v>2555364.8224328905</v>
      </c>
      <c r="N351" s="56">
        <f t="shared" si="74"/>
        <v>2614138.2133488432</v>
      </c>
      <c r="O351" s="56">
        <f t="shared" si="74"/>
        <v>2681588.9371619299</v>
      </c>
      <c r="P351" s="56">
        <f t="shared" si="74"/>
        <v>2735771.4502777606</v>
      </c>
      <c r="Q351" s="56">
        <f t="shared" si="74"/>
        <v>2798694.1936341375</v>
      </c>
      <c r="R351" s="56">
        <f t="shared" si="74"/>
        <v>2863064.1600877345</v>
      </c>
      <c r="S351" s="56">
        <f t="shared" si="74"/>
        <v>2936937.7406563163</v>
      </c>
      <c r="T351" s="56">
        <f t="shared" si="74"/>
        <v>2996279.6723924503</v>
      </c>
      <c r="U351" s="56">
        <f t="shared" si="74"/>
        <v>4373554.8618645072</v>
      </c>
      <c r="V351" s="56">
        <f t="shared" si="74"/>
        <v>4474146.6236873865</v>
      </c>
      <c r="W351" s="56">
        <f t="shared" si="74"/>
        <v>4687593.7038415298</v>
      </c>
    </row>
    <row r="352" spans="3:23" s="40" customFormat="1" ht="15" hidden="1" customHeight="1" outlineLevel="1">
      <c r="C352" s="221"/>
    </row>
    <row r="353" spans="3:23" s="40" customFormat="1" ht="15" customHeight="1" collapsed="1">
      <c r="C353" s="221"/>
      <c r="D353" s="1" t="s">
        <v>90</v>
      </c>
      <c r="E353" s="1"/>
      <c r="F353" s="1"/>
      <c r="G353" s="1"/>
      <c r="H353" s="1"/>
      <c r="I353" s="1"/>
      <c r="J353" s="1"/>
      <c r="K353" s="1"/>
      <c r="L353" s="1"/>
      <c r="M353" s="1"/>
      <c r="N353" s="1"/>
      <c r="O353" s="1"/>
      <c r="P353" s="1"/>
      <c r="Q353" s="1"/>
      <c r="R353" s="1"/>
      <c r="S353" s="1"/>
      <c r="T353" s="1"/>
      <c r="U353" s="1"/>
      <c r="V353" s="1"/>
      <c r="W353" s="1"/>
    </row>
    <row r="354" spans="3:23" s="40" customFormat="1" ht="7.5" customHeight="1">
      <c r="C354" s="221"/>
    </row>
    <row r="355" spans="3:23" s="40" customFormat="1" ht="15" customHeight="1">
      <c r="C355" s="221"/>
      <c r="D355" s="68" t="s">
        <v>184</v>
      </c>
    </row>
    <row r="356" spans="3:23" s="40" customFormat="1" ht="15" customHeight="1">
      <c r="C356" s="221"/>
      <c r="D356" s="51"/>
    </row>
    <row r="357" spans="3:23" s="40" customFormat="1" ht="15" customHeight="1">
      <c r="C357" s="221"/>
      <c r="D357" s="51" t="s">
        <v>190</v>
      </c>
      <c r="H357" s="209">
        <v>2307511.6666016667</v>
      </c>
    </row>
    <row r="358" spans="3:23" s="40" customFormat="1" ht="15" customHeight="1">
      <c r="C358" s="221"/>
      <c r="D358" s="51"/>
    </row>
    <row r="359" spans="3:23" s="40" customFormat="1" ht="15" customHeight="1">
      <c r="C359" s="221"/>
      <c r="D359" s="71" t="s">
        <v>191</v>
      </c>
      <c r="H359" s="52">
        <f t="shared" ref="H359:W359" si="75">H92+H130+H168+H226+H257+H288+H319</f>
        <v>55380279.998439997</v>
      </c>
      <c r="I359" s="52">
        <f t="shared" si="75"/>
        <v>56764786.998400994</v>
      </c>
      <c r="J359" s="52">
        <f t="shared" si="75"/>
        <v>58183906.673361003</v>
      </c>
      <c r="K359" s="52">
        <f t="shared" si="75"/>
        <v>59638504.340195023</v>
      </c>
      <c r="L359" s="52">
        <f t="shared" si="75"/>
        <v>61129466.948699892</v>
      </c>
      <c r="M359" s="52">
        <f t="shared" si="75"/>
        <v>62657703.622417383</v>
      </c>
      <c r="N359" s="52">
        <f t="shared" si="75"/>
        <v>64224146.212977812</v>
      </c>
      <c r="O359" s="52">
        <f t="shared" si="75"/>
        <v>65829749.868302256</v>
      </c>
      <c r="P359" s="52">
        <f t="shared" si="75"/>
        <v>67475493.615009815</v>
      </c>
      <c r="Q359" s="52">
        <f t="shared" si="75"/>
        <v>69162380.955385059</v>
      </c>
      <c r="R359" s="52">
        <f t="shared" si="75"/>
        <v>70891440.479269668</v>
      </c>
      <c r="S359" s="52">
        <f t="shared" si="75"/>
        <v>72663726.491251409</v>
      </c>
      <c r="T359" s="52">
        <f t="shared" si="75"/>
        <v>74480319.653532684</v>
      </c>
      <c r="U359" s="52">
        <f t="shared" si="75"/>
        <v>76342327.644871011</v>
      </c>
      <c r="V359" s="52">
        <f t="shared" si="75"/>
        <v>78250885.835992768</v>
      </c>
      <c r="W359" s="52">
        <f t="shared" si="75"/>
        <v>80207157.981892586</v>
      </c>
    </row>
    <row r="360" spans="3:23" s="40" customFormat="1" ht="15" customHeight="1">
      <c r="C360" s="221"/>
    </row>
    <row r="361" spans="3:23" ht="15" customHeight="1">
      <c r="C361" s="222"/>
      <c r="D361" s="45" t="s">
        <v>170</v>
      </c>
      <c r="E361" s="46" t="s">
        <v>171</v>
      </c>
      <c r="H361" s="70">
        <f>H364/H359</f>
        <v>4.1666666666666671E-2</v>
      </c>
      <c r="I361" s="70">
        <f>$H$361</f>
        <v>4.1666666666666671E-2</v>
      </c>
      <c r="J361" s="70">
        <f t="shared" ref="J361:W361" si="76">$H$361</f>
        <v>4.1666666666666671E-2</v>
      </c>
      <c r="K361" s="70">
        <f t="shared" si="76"/>
        <v>4.1666666666666671E-2</v>
      </c>
      <c r="L361" s="70">
        <f t="shared" si="76"/>
        <v>4.1666666666666671E-2</v>
      </c>
      <c r="M361" s="70">
        <f t="shared" si="76"/>
        <v>4.1666666666666671E-2</v>
      </c>
      <c r="N361" s="70">
        <f t="shared" si="76"/>
        <v>4.1666666666666671E-2</v>
      </c>
      <c r="O361" s="70">
        <f t="shared" si="76"/>
        <v>4.1666666666666671E-2</v>
      </c>
      <c r="P361" s="70">
        <f t="shared" si="76"/>
        <v>4.1666666666666671E-2</v>
      </c>
      <c r="Q361" s="70">
        <f t="shared" si="76"/>
        <v>4.1666666666666671E-2</v>
      </c>
      <c r="R361" s="70">
        <f t="shared" si="76"/>
        <v>4.1666666666666671E-2</v>
      </c>
      <c r="S361" s="70">
        <f t="shared" si="76"/>
        <v>4.1666666666666671E-2</v>
      </c>
      <c r="T361" s="70">
        <f t="shared" si="76"/>
        <v>4.1666666666666671E-2</v>
      </c>
      <c r="U361" s="70">
        <f t="shared" si="76"/>
        <v>4.1666666666666671E-2</v>
      </c>
      <c r="V361" s="70">
        <f t="shared" si="76"/>
        <v>4.1666666666666671E-2</v>
      </c>
      <c r="W361" s="70">
        <f t="shared" si="76"/>
        <v>4.1666666666666671E-2</v>
      </c>
    </row>
    <row r="362" spans="3:23" s="40" customFormat="1" ht="15" customHeight="1">
      <c r="C362" s="221"/>
      <c r="D362" s="48" t="s">
        <v>402</v>
      </c>
      <c r="H362" s="212">
        <v>4.9999999999999961E-2</v>
      </c>
      <c r="I362" s="212">
        <v>4.9999999999999982E-2</v>
      </c>
      <c r="J362" s="212">
        <v>0.05</v>
      </c>
      <c r="K362" s="212">
        <v>4.9999999999999926E-2</v>
      </c>
      <c r="L362" s="212">
        <v>4.9999999999999975E-2</v>
      </c>
      <c r="M362" s="212">
        <v>5.0000000000000037E-2</v>
      </c>
      <c r="N362" s="212">
        <v>4.9999999999999975E-2</v>
      </c>
      <c r="O362" s="212">
        <v>4.9999999999999954E-2</v>
      </c>
      <c r="P362" s="212">
        <v>5.0000000000000072E-2</v>
      </c>
      <c r="Q362" s="212">
        <v>4.9999999999999968E-2</v>
      </c>
      <c r="R362" s="212">
        <v>5.0000000000000155E-2</v>
      </c>
      <c r="S362" s="212">
        <v>4.9999999999999947E-2</v>
      </c>
      <c r="T362" s="212">
        <v>4.9999999999999947E-2</v>
      </c>
      <c r="U362" s="212">
        <v>0.05</v>
      </c>
      <c r="V362" s="212">
        <v>4.9999999999999961E-2</v>
      </c>
      <c r="W362" s="212">
        <v>5.0000000000000086E-2</v>
      </c>
    </row>
    <row r="363" spans="3:23" s="40" customFormat="1" ht="15" customHeight="1">
      <c r="C363" s="221"/>
      <c r="D363" s="48"/>
    </row>
    <row r="364" spans="3:23" s="40" customFormat="1" ht="15" customHeight="1">
      <c r="C364" s="221"/>
      <c r="D364" s="53" t="s">
        <v>192</v>
      </c>
      <c r="G364" s="229" t="s">
        <v>404</v>
      </c>
      <c r="H364" s="54">
        <f>H357</f>
        <v>2307511.6666016667</v>
      </c>
      <c r="I364" s="54">
        <f>I359*I361</f>
        <v>2365199.4582667085</v>
      </c>
      <c r="J364" s="54">
        <f t="shared" ref="J364:W364" si="77">J359*J361</f>
        <v>2424329.4447233756</v>
      </c>
      <c r="K364" s="54">
        <f t="shared" si="77"/>
        <v>2484937.6808414594</v>
      </c>
      <c r="L364" s="54">
        <f t="shared" si="77"/>
        <v>2547061.1228624959</v>
      </c>
      <c r="M364" s="54">
        <f t="shared" si="77"/>
        <v>2610737.6509340578</v>
      </c>
      <c r="N364" s="54">
        <f t="shared" si="77"/>
        <v>2676006.092207409</v>
      </c>
      <c r="O364" s="54">
        <f t="shared" si="77"/>
        <v>2742906.2445125943</v>
      </c>
      <c r="P364" s="54">
        <f t="shared" si="77"/>
        <v>2811478.9006254091</v>
      </c>
      <c r="Q364" s="54">
        <f t="shared" si="77"/>
        <v>2881765.8731410443</v>
      </c>
      <c r="R364" s="54">
        <f t="shared" si="77"/>
        <v>2953810.01996957</v>
      </c>
      <c r="S364" s="54">
        <f t="shared" si="77"/>
        <v>3027655.2704688092</v>
      </c>
      <c r="T364" s="54">
        <f t="shared" si="77"/>
        <v>3103346.6522305286</v>
      </c>
      <c r="U364" s="54">
        <f t="shared" si="77"/>
        <v>3180930.3185362923</v>
      </c>
      <c r="V364" s="54">
        <f t="shared" si="77"/>
        <v>3260453.5764996991</v>
      </c>
      <c r="W364" s="54">
        <f t="shared" si="77"/>
        <v>3341964.9159121914</v>
      </c>
    </row>
    <row r="365" spans="3:23" s="40" customFormat="1" ht="15" customHeight="1">
      <c r="C365" s="221"/>
    </row>
    <row r="366" spans="3:23" s="40" customFormat="1" ht="15" hidden="1" customHeight="1" outlineLevel="1">
      <c r="C366" s="221"/>
      <c r="D366" s="58" t="s">
        <v>144</v>
      </c>
      <c r="E366" s="49"/>
      <c r="F366" s="49"/>
      <c r="G366" s="49"/>
      <c r="H366" s="207">
        <v>2307511.6666016667</v>
      </c>
      <c r="I366" s="207">
        <v>2365199.4582667081</v>
      </c>
      <c r="J366" s="207">
        <v>2424329.4447233756</v>
      </c>
      <c r="K366" s="207">
        <v>2484937.6808414594</v>
      </c>
      <c r="L366" s="207">
        <v>2547061.1228624959</v>
      </c>
      <c r="M366" s="207">
        <v>2610737.6509340578</v>
      </c>
      <c r="N366" s="207">
        <v>2676006.0922074094</v>
      </c>
      <c r="O366" s="207">
        <v>2742906.2445125938</v>
      </c>
      <c r="P366" s="207">
        <v>2811478.9006254091</v>
      </c>
      <c r="Q366" s="207">
        <v>2881765.8731410443</v>
      </c>
      <c r="R366" s="207">
        <v>2953810.0199695695</v>
      </c>
      <c r="S366" s="207">
        <v>3027655.2704688087</v>
      </c>
      <c r="T366" s="207">
        <v>3103346.6522305286</v>
      </c>
      <c r="U366" s="207">
        <v>3180930.3185362914</v>
      </c>
      <c r="V366" s="207">
        <v>3260453.5764996991</v>
      </c>
      <c r="W366" s="207">
        <v>3341964.9159121909</v>
      </c>
    </row>
    <row r="367" spans="3:23" s="40" customFormat="1" ht="15" hidden="1" customHeight="1" outlineLevel="1">
      <c r="C367" s="221"/>
      <c r="D367" s="58" t="s">
        <v>145</v>
      </c>
      <c r="E367" s="49"/>
      <c r="F367" s="49"/>
      <c r="G367" s="49"/>
      <c r="H367" s="56">
        <f t="shared" ref="H367:W367" si="78">H364-H366</f>
        <v>0</v>
      </c>
      <c r="I367" s="56">
        <f t="shared" si="78"/>
        <v>0</v>
      </c>
      <c r="J367" s="56">
        <f t="shared" si="78"/>
        <v>0</v>
      </c>
      <c r="K367" s="56">
        <f t="shared" si="78"/>
        <v>0</v>
      </c>
      <c r="L367" s="56">
        <f t="shared" si="78"/>
        <v>0</v>
      </c>
      <c r="M367" s="56">
        <f t="shared" si="78"/>
        <v>0</v>
      </c>
      <c r="N367" s="56">
        <f t="shared" si="78"/>
        <v>0</v>
      </c>
      <c r="O367" s="56">
        <f t="shared" si="78"/>
        <v>0</v>
      </c>
      <c r="P367" s="56">
        <f t="shared" si="78"/>
        <v>0</v>
      </c>
      <c r="Q367" s="56">
        <f t="shared" si="78"/>
        <v>0</v>
      </c>
      <c r="R367" s="56">
        <f t="shared" si="78"/>
        <v>0</v>
      </c>
      <c r="S367" s="56">
        <f t="shared" si="78"/>
        <v>0</v>
      </c>
      <c r="T367" s="56">
        <f t="shared" si="78"/>
        <v>0</v>
      </c>
      <c r="U367" s="56">
        <f t="shared" si="78"/>
        <v>0</v>
      </c>
      <c r="V367" s="56">
        <f t="shared" si="78"/>
        <v>0</v>
      </c>
      <c r="W367" s="56">
        <f t="shared" si="78"/>
        <v>0</v>
      </c>
    </row>
    <row r="368" spans="3:23" s="40" customFormat="1" ht="15" hidden="1" customHeight="1" outlineLevel="1">
      <c r="C368" s="221"/>
    </row>
    <row r="369" spans="3:23" s="40" customFormat="1" ht="15" customHeight="1" outlineLevel="1">
      <c r="C369" s="221"/>
      <c r="D369" s="40" t="s">
        <v>313</v>
      </c>
      <c r="H369" s="52">
        <f>G372</f>
        <v>9761082</v>
      </c>
      <c r="I369" s="52">
        <f>H372</f>
        <v>11580539.566601668</v>
      </c>
      <c r="J369" s="52">
        <f t="shared" ref="J369:W369" si="79">I372</f>
        <v>13366712.046538293</v>
      </c>
      <c r="K369" s="52">
        <f t="shared" si="79"/>
        <v>15122705.888934754</v>
      </c>
      <c r="L369" s="52">
        <f t="shared" si="79"/>
        <v>16851508.275329478</v>
      </c>
      <c r="M369" s="52">
        <f t="shared" si="79"/>
        <v>18555993.9844255</v>
      </c>
      <c r="N369" s="52">
        <f t="shared" si="79"/>
        <v>20238931.936138283</v>
      </c>
      <c r="O369" s="52">
        <f t="shared" si="79"/>
        <v>21902991.431538779</v>
      </c>
      <c r="P369" s="52">
        <f t="shared" si="79"/>
        <v>23550748.104474436</v>
      </c>
      <c r="Q369" s="52">
        <f t="shared" si="79"/>
        <v>25184689.599876121</v>
      </c>
      <c r="R369" s="52">
        <f t="shared" si="79"/>
        <v>26807220.993023358</v>
      </c>
      <c r="S369" s="52">
        <f t="shared" si="79"/>
        <v>28420669.963341758</v>
      </c>
      <c r="T369" s="52">
        <f t="shared" si="79"/>
        <v>30027291.73564348</v>
      </c>
      <c r="U369" s="52">
        <f t="shared" si="79"/>
        <v>31629273.801091835</v>
      </c>
      <c r="V369" s="52">
        <f t="shared" si="79"/>
        <v>33228740.429573532</v>
      </c>
      <c r="W369" s="52">
        <f t="shared" si="79"/>
        <v>34827756.984594554</v>
      </c>
    </row>
    <row r="370" spans="3:23" s="40" customFormat="1" ht="15" customHeight="1" outlineLevel="1">
      <c r="C370" s="221"/>
      <c r="D370" s="40" t="s">
        <v>314</v>
      </c>
      <c r="H370" s="52">
        <f>H364</f>
        <v>2307511.6666016667</v>
      </c>
      <c r="I370" s="52">
        <f t="shared" ref="I370:W370" si="80">I364</f>
        <v>2365199.4582667085</v>
      </c>
      <c r="J370" s="52">
        <f t="shared" si="80"/>
        <v>2424329.4447233756</v>
      </c>
      <c r="K370" s="52">
        <f t="shared" si="80"/>
        <v>2484937.6808414594</v>
      </c>
      <c r="L370" s="52">
        <f t="shared" si="80"/>
        <v>2547061.1228624959</v>
      </c>
      <c r="M370" s="52">
        <f t="shared" si="80"/>
        <v>2610737.6509340578</v>
      </c>
      <c r="N370" s="52">
        <f t="shared" si="80"/>
        <v>2676006.092207409</v>
      </c>
      <c r="O370" s="52">
        <f t="shared" si="80"/>
        <v>2742906.2445125943</v>
      </c>
      <c r="P370" s="52">
        <f t="shared" si="80"/>
        <v>2811478.9006254091</v>
      </c>
      <c r="Q370" s="52">
        <f t="shared" si="80"/>
        <v>2881765.8731410443</v>
      </c>
      <c r="R370" s="52">
        <f t="shared" si="80"/>
        <v>2953810.01996957</v>
      </c>
      <c r="S370" s="52">
        <f t="shared" si="80"/>
        <v>3027655.2704688092</v>
      </c>
      <c r="T370" s="52">
        <f t="shared" si="80"/>
        <v>3103346.6522305286</v>
      </c>
      <c r="U370" s="52">
        <f t="shared" si="80"/>
        <v>3180930.3185362923</v>
      </c>
      <c r="V370" s="52">
        <f t="shared" si="80"/>
        <v>3260453.5764996991</v>
      </c>
      <c r="W370" s="52">
        <f t="shared" si="80"/>
        <v>3341964.9159121914</v>
      </c>
    </row>
    <row r="371" spans="3:23" s="40" customFormat="1" ht="15" customHeight="1" outlineLevel="1">
      <c r="C371" s="221"/>
      <c r="D371" s="40" t="s">
        <v>315</v>
      </c>
      <c r="H371" s="99">
        <f>-H369*H362</f>
        <v>-488054.09999999963</v>
      </c>
      <c r="I371" s="99">
        <f t="shared" ref="I371:W371" si="81">-I369*I362</f>
        <v>-579026.97833008319</v>
      </c>
      <c r="J371" s="99">
        <f t="shared" si="81"/>
        <v>-668335.60232691467</v>
      </c>
      <c r="K371" s="99">
        <f t="shared" si="81"/>
        <v>-756135.29444673657</v>
      </c>
      <c r="L371" s="99">
        <f t="shared" si="81"/>
        <v>-842575.41376647353</v>
      </c>
      <c r="M371" s="99">
        <f t="shared" si="81"/>
        <v>-927799.69922127575</v>
      </c>
      <c r="N371" s="99">
        <f t="shared" si="81"/>
        <v>-1011946.5968069136</v>
      </c>
      <c r="O371" s="99">
        <f t="shared" si="81"/>
        <v>-1095149.571576938</v>
      </c>
      <c r="P371" s="99">
        <f t="shared" si="81"/>
        <v>-1177537.4052237235</v>
      </c>
      <c r="Q371" s="99">
        <f t="shared" si="81"/>
        <v>-1259234.4799938053</v>
      </c>
      <c r="R371" s="99">
        <f t="shared" si="81"/>
        <v>-1340361.049651172</v>
      </c>
      <c r="S371" s="99">
        <f t="shared" si="81"/>
        <v>-1421033.4981670864</v>
      </c>
      <c r="T371" s="99">
        <f t="shared" si="81"/>
        <v>-1501364.5867821723</v>
      </c>
      <c r="U371" s="99">
        <f t="shared" si="81"/>
        <v>-1581463.6900545917</v>
      </c>
      <c r="V371" s="99">
        <f t="shared" si="81"/>
        <v>-1661437.0214786753</v>
      </c>
      <c r="W371" s="99">
        <f t="shared" si="81"/>
        <v>-1741387.8492297307</v>
      </c>
    </row>
    <row r="372" spans="3:23" s="40" customFormat="1" ht="15" customHeight="1" outlineLevel="1">
      <c r="C372" s="221"/>
      <c r="D372" s="40" t="s">
        <v>316</v>
      </c>
      <c r="G372" s="230">
        <f>N552</f>
        <v>9761082</v>
      </c>
      <c r="H372" s="52">
        <f>SUM(H369:H371)</f>
        <v>11580539.566601668</v>
      </c>
      <c r="I372" s="52">
        <f t="shared" ref="I372:W372" si="82">SUM(I369:I371)</f>
        <v>13366712.046538293</v>
      </c>
      <c r="J372" s="52">
        <f t="shared" si="82"/>
        <v>15122705.888934754</v>
      </c>
      <c r="K372" s="52">
        <f t="shared" si="82"/>
        <v>16851508.275329478</v>
      </c>
      <c r="L372" s="52">
        <f t="shared" si="82"/>
        <v>18555993.9844255</v>
      </c>
      <c r="M372" s="52">
        <f t="shared" si="82"/>
        <v>20238931.936138283</v>
      </c>
      <c r="N372" s="52">
        <f t="shared" si="82"/>
        <v>21902991.431538779</v>
      </c>
      <c r="O372" s="52">
        <f t="shared" si="82"/>
        <v>23550748.104474436</v>
      </c>
      <c r="P372" s="52">
        <f t="shared" si="82"/>
        <v>25184689.599876121</v>
      </c>
      <c r="Q372" s="52">
        <f t="shared" si="82"/>
        <v>26807220.993023358</v>
      </c>
      <c r="R372" s="52">
        <f t="shared" si="82"/>
        <v>28420669.963341758</v>
      </c>
      <c r="S372" s="52">
        <f t="shared" si="82"/>
        <v>30027291.73564348</v>
      </c>
      <c r="T372" s="52">
        <f t="shared" si="82"/>
        <v>31629273.801091835</v>
      </c>
      <c r="U372" s="52">
        <f t="shared" si="82"/>
        <v>33228740.429573532</v>
      </c>
      <c r="V372" s="52">
        <f t="shared" si="82"/>
        <v>34827756.984594554</v>
      </c>
      <c r="W372" s="52">
        <f t="shared" si="82"/>
        <v>36428334.051277012</v>
      </c>
    </row>
    <row r="373" spans="3:23" s="40" customFormat="1" ht="15" customHeight="1" outlineLevel="1">
      <c r="C373" s="221"/>
      <c r="G373" s="231" t="s">
        <v>405</v>
      </c>
    </row>
    <row r="374" spans="3:23" s="40" customFormat="1" ht="15" customHeight="1">
      <c r="C374" s="221"/>
      <c r="D374" s="61" t="s">
        <v>193</v>
      </c>
    </row>
    <row r="375" spans="3:23" s="40" customFormat="1" ht="3.75" customHeight="1">
      <c r="C375" s="221"/>
      <c r="D375" s="61"/>
    </row>
    <row r="376" spans="3:23" s="40" customFormat="1" ht="15" customHeight="1">
      <c r="C376" s="221"/>
      <c r="D376" s="62" t="s">
        <v>179</v>
      </c>
      <c r="H376" s="63">
        <f t="shared" ref="H376:W376" si="83">H240</f>
        <v>14470791.934829999</v>
      </c>
      <c r="I376" s="63">
        <f t="shared" si="83"/>
        <v>15556348.135068998</v>
      </c>
      <c r="J376" s="63">
        <f t="shared" si="83"/>
        <v>16921093.58883696</v>
      </c>
      <c r="K376" s="63">
        <f t="shared" si="83"/>
        <v>17865252.439418998</v>
      </c>
      <c r="L376" s="63">
        <f t="shared" si="83"/>
        <v>18573099.516986806</v>
      </c>
      <c r="M376" s="63">
        <f t="shared" si="83"/>
        <v>19246711.790267464</v>
      </c>
      <c r="N376" s="63">
        <f t="shared" si="83"/>
        <v>19712772.074219786</v>
      </c>
      <c r="O376" s="63">
        <f t="shared" si="83"/>
        <v>20211794.458751924</v>
      </c>
      <c r="P376" s="63">
        <f t="shared" si="83"/>
        <v>20679079.35416089</v>
      </c>
      <c r="Q376" s="63">
        <f t="shared" si="83"/>
        <v>21179882.249532312</v>
      </c>
      <c r="R376" s="63">
        <f t="shared" si="83"/>
        <v>21692833.213252924</v>
      </c>
      <c r="S376" s="63">
        <f t="shared" si="83"/>
        <v>22241947.802079067</v>
      </c>
      <c r="T376" s="63">
        <f t="shared" si="83"/>
        <v>22756367.110055655</v>
      </c>
      <c r="U376" s="63">
        <f t="shared" si="83"/>
        <v>23575791.774197441</v>
      </c>
      <c r="V376" s="63">
        <f t="shared" si="83"/>
        <v>24146528.448891379</v>
      </c>
      <c r="W376" s="63">
        <f t="shared" si="83"/>
        <v>24753766.982950196</v>
      </c>
    </row>
    <row r="377" spans="3:23" s="40" customFormat="1" ht="15" customHeight="1">
      <c r="C377" s="221"/>
      <c r="D377" s="62" t="s">
        <v>180</v>
      </c>
      <c r="H377" s="64">
        <f t="shared" ref="H377:W377" si="84">H271</f>
        <v>6354749.0809999993</v>
      </c>
      <c r="I377" s="64">
        <f t="shared" si="84"/>
        <v>6774736.1270249989</v>
      </c>
      <c r="J377" s="64">
        <f t="shared" si="84"/>
        <v>7296154.321717659</v>
      </c>
      <c r="K377" s="64">
        <f t="shared" si="84"/>
        <v>7666565.2820531279</v>
      </c>
      <c r="L377" s="64">
        <f t="shared" si="84"/>
        <v>7952467.4678869192</v>
      </c>
      <c r="M377" s="64">
        <f t="shared" si="84"/>
        <v>8226782.2190287579</v>
      </c>
      <c r="N377" s="64">
        <f t="shared" si="84"/>
        <v>8427001.4816897344</v>
      </c>
      <c r="O377" s="64">
        <f t="shared" si="84"/>
        <v>8639914.3868612535</v>
      </c>
      <c r="P377" s="64">
        <f t="shared" si="84"/>
        <v>8842199.501422938</v>
      </c>
      <c r="Q377" s="64">
        <f t="shared" si="84"/>
        <v>9057419.4100111425</v>
      </c>
      <c r="R377" s="64">
        <f t="shared" si="84"/>
        <v>9277885.6094982643</v>
      </c>
      <c r="S377" s="64">
        <f t="shared" si="84"/>
        <v>9512283.7142651454</v>
      </c>
      <c r="T377" s="64">
        <f t="shared" si="84"/>
        <v>9735072.2939995769</v>
      </c>
      <c r="U377" s="64">
        <f t="shared" si="84"/>
        <v>10068826.846110838</v>
      </c>
      <c r="V377" s="64">
        <f t="shared" si="84"/>
        <v>10313816.281599322</v>
      </c>
      <c r="W377" s="64">
        <f t="shared" si="84"/>
        <v>10572951.547479631</v>
      </c>
    </row>
    <row r="378" spans="3:23" s="40" customFormat="1" ht="15" customHeight="1">
      <c r="C378" s="221"/>
      <c r="D378" s="62" t="s">
        <v>181</v>
      </c>
      <c r="H378" s="64">
        <f t="shared" ref="H378:W378" si="85">H302</f>
        <v>4802812.0575699992</v>
      </c>
      <c r="I378" s="64">
        <f t="shared" si="85"/>
        <v>4187546.3657219782</v>
      </c>
      <c r="J378" s="64">
        <f t="shared" si="85"/>
        <v>4745338.1053852318</v>
      </c>
      <c r="K378" s="64">
        <f t="shared" si="85"/>
        <v>5105944.7085828539</v>
      </c>
      <c r="L378" s="64">
        <f t="shared" si="85"/>
        <v>5354881.7164625321</v>
      </c>
      <c r="M378" s="64">
        <f t="shared" si="85"/>
        <v>5585929.4200701993</v>
      </c>
      <c r="N378" s="64">
        <f t="shared" si="85"/>
        <v>5718562.8965134276</v>
      </c>
      <c r="O378" s="64">
        <f t="shared" si="85"/>
        <v>5864407.2005514642</v>
      </c>
      <c r="P378" s="64">
        <f t="shared" si="85"/>
        <v>5993368.4933868637</v>
      </c>
      <c r="Q378" s="64">
        <f t="shared" si="85"/>
        <v>6135692.7105167704</v>
      </c>
      <c r="R378" s="64">
        <f t="shared" si="85"/>
        <v>6281402.3031852152</v>
      </c>
      <c r="S378" s="64">
        <f t="shared" si="85"/>
        <v>6441591.856535865</v>
      </c>
      <c r="T378" s="64">
        <f t="shared" si="85"/>
        <v>6583302.1867076345</v>
      </c>
      <c r="U378" s="64">
        <f t="shared" si="85"/>
        <v>6864204.749364363</v>
      </c>
      <c r="V378" s="64">
        <f t="shared" si="85"/>
        <v>7027146.481018899</v>
      </c>
      <c r="W378" s="64">
        <f t="shared" si="85"/>
        <v>7204485.2463254146</v>
      </c>
    </row>
    <row r="379" spans="3:23" s="40" customFormat="1" ht="15" customHeight="1">
      <c r="C379" s="221"/>
      <c r="D379" s="62" t="s">
        <v>182</v>
      </c>
      <c r="H379" s="64">
        <f t="shared" ref="H379:W379" si="86">H333</f>
        <v>11281278.322579999</v>
      </c>
      <c r="I379" s="64">
        <f t="shared" si="86"/>
        <v>12452029.880345996</v>
      </c>
      <c r="J379" s="64">
        <f t="shared" si="86"/>
        <v>13961536.678122062</v>
      </c>
      <c r="K379" s="64">
        <f t="shared" si="86"/>
        <v>14950459.716461845</v>
      </c>
      <c r="L379" s="64">
        <f t="shared" si="86"/>
        <v>15644961.652843386</v>
      </c>
      <c r="M379" s="64">
        <f t="shared" si="86"/>
        <v>16293061.357405851</v>
      </c>
      <c r="N379" s="64">
        <f t="shared" si="86"/>
        <v>16681837.748757653</v>
      </c>
      <c r="O379" s="64">
        <f t="shared" si="86"/>
        <v>17106500.305802122</v>
      </c>
      <c r="P379" s="64">
        <f t="shared" si="86"/>
        <v>17487491.306861572</v>
      </c>
      <c r="Q379" s="64">
        <f t="shared" si="86"/>
        <v>17904818.822335653</v>
      </c>
      <c r="R379" s="64">
        <f t="shared" si="86"/>
        <v>18332122.751051042</v>
      </c>
      <c r="S379" s="64">
        <f t="shared" si="86"/>
        <v>18798767.709526271</v>
      </c>
      <c r="T379" s="64">
        <f t="shared" si="86"/>
        <v>19217621.19724156</v>
      </c>
      <c r="U379" s="64">
        <f t="shared" si="86"/>
        <v>20005663.558609638</v>
      </c>
      <c r="V379" s="64">
        <f t="shared" si="86"/>
        <v>20482895.29931923</v>
      </c>
      <c r="W379" s="64">
        <f t="shared" si="86"/>
        <v>20999357.733165272</v>
      </c>
    </row>
    <row r="380" spans="3:23" s="40" customFormat="1" ht="15" customHeight="1">
      <c r="C380" s="221"/>
      <c r="D380" s="62" t="s">
        <v>183</v>
      </c>
      <c r="H380" s="64">
        <f t="shared" ref="H380:W380" si="87">H348</f>
        <v>20174045</v>
      </c>
      <c r="I380" s="64">
        <f t="shared" si="87"/>
        <v>24208854</v>
      </c>
      <c r="J380" s="64">
        <f t="shared" si="87"/>
        <v>29573974.860740289</v>
      </c>
      <c r="K380" s="64">
        <f t="shared" si="87"/>
        <v>32855279.761792459</v>
      </c>
      <c r="L380" s="64">
        <f t="shared" si="87"/>
        <v>34950810.120360762</v>
      </c>
      <c r="M380" s="64">
        <f t="shared" si="87"/>
        <v>36845421.766176477</v>
      </c>
      <c r="N380" s="64">
        <f t="shared" si="87"/>
        <v>37692866.466798529</v>
      </c>
      <c r="O380" s="64">
        <f t="shared" si="87"/>
        <v>38665445.290013</v>
      </c>
      <c r="P380" s="64">
        <f t="shared" si="87"/>
        <v>39446677.850632198</v>
      </c>
      <c r="Q380" s="64">
        <f t="shared" si="87"/>
        <v>40353951.441196732</v>
      </c>
      <c r="R380" s="64">
        <f t="shared" si="87"/>
        <v>41282092.324344255</v>
      </c>
      <c r="S380" s="64">
        <f t="shared" si="87"/>
        <v>42347282.970112957</v>
      </c>
      <c r="T380" s="64">
        <f t="shared" si="87"/>
        <v>43202906.798103668</v>
      </c>
      <c r="U380" s="64">
        <f t="shared" si="87"/>
        <v>45504934.411467068</v>
      </c>
      <c r="V380" s="64">
        <f t="shared" si="87"/>
        <v>46551547.902930811</v>
      </c>
      <c r="W380" s="64">
        <f t="shared" si="87"/>
        <v>47732776.174709015</v>
      </c>
    </row>
    <row r="381" spans="3:23" s="40" customFormat="1" ht="15" customHeight="1">
      <c r="C381" s="221"/>
      <c r="D381" s="62" t="s">
        <v>90</v>
      </c>
      <c r="H381" s="64">
        <f t="shared" ref="H381:W381" si="88">H364</f>
        <v>2307511.6666016667</v>
      </c>
      <c r="I381" s="64">
        <f t="shared" si="88"/>
        <v>2365199.4582667085</v>
      </c>
      <c r="J381" s="64">
        <f t="shared" si="88"/>
        <v>2424329.4447233756</v>
      </c>
      <c r="K381" s="64">
        <f t="shared" si="88"/>
        <v>2484937.6808414594</v>
      </c>
      <c r="L381" s="64">
        <f t="shared" si="88"/>
        <v>2547061.1228624959</v>
      </c>
      <c r="M381" s="64">
        <f t="shared" si="88"/>
        <v>2610737.6509340578</v>
      </c>
      <c r="N381" s="64">
        <f t="shared" si="88"/>
        <v>2676006.092207409</v>
      </c>
      <c r="O381" s="64">
        <f t="shared" si="88"/>
        <v>2742906.2445125943</v>
      </c>
      <c r="P381" s="64">
        <f t="shared" si="88"/>
        <v>2811478.9006254091</v>
      </c>
      <c r="Q381" s="64">
        <f t="shared" si="88"/>
        <v>2881765.8731410443</v>
      </c>
      <c r="R381" s="64">
        <f t="shared" si="88"/>
        <v>2953810.01996957</v>
      </c>
      <c r="S381" s="64">
        <f t="shared" si="88"/>
        <v>3027655.2704688092</v>
      </c>
      <c r="T381" s="64">
        <f t="shared" si="88"/>
        <v>3103346.6522305286</v>
      </c>
      <c r="U381" s="64">
        <f t="shared" si="88"/>
        <v>3180930.3185362923</v>
      </c>
      <c r="V381" s="64">
        <f t="shared" si="88"/>
        <v>3260453.5764996991</v>
      </c>
      <c r="W381" s="64">
        <f t="shared" si="88"/>
        <v>3341964.9159121914</v>
      </c>
    </row>
    <row r="382" spans="3:23" s="40" customFormat="1" ht="15" customHeight="1">
      <c r="C382" s="221"/>
      <c r="D382" s="65" t="s">
        <v>194</v>
      </c>
      <c r="H382" s="66">
        <f>SUM(H376:H381)</f>
        <v>59391188.062581666</v>
      </c>
      <c r="I382" s="66">
        <f t="shared" ref="I382:W382" si="89">SUM(I376:I381)</f>
        <v>65544713.966428682</v>
      </c>
      <c r="J382" s="66">
        <f t="shared" si="89"/>
        <v>74922426.999525592</v>
      </c>
      <c r="K382" s="66">
        <f t="shared" si="89"/>
        <v>80928439.589150742</v>
      </c>
      <c r="L382" s="66">
        <f t="shared" si="89"/>
        <v>85023281.597402915</v>
      </c>
      <c r="M382" s="66">
        <f t="shared" si="89"/>
        <v>88808644.203882799</v>
      </c>
      <c r="N382" s="66">
        <f t="shared" si="89"/>
        <v>90909046.760186523</v>
      </c>
      <c r="O382" s="66">
        <f t="shared" si="89"/>
        <v>93230967.886492342</v>
      </c>
      <c r="P382" s="66">
        <f t="shared" si="89"/>
        <v>95260295.407089859</v>
      </c>
      <c r="Q382" s="66">
        <f t="shared" si="89"/>
        <v>97513530.506733656</v>
      </c>
      <c r="R382" s="66">
        <f t="shared" si="89"/>
        <v>99820146.221301273</v>
      </c>
      <c r="S382" s="66">
        <f t="shared" si="89"/>
        <v>102369529.32298812</v>
      </c>
      <c r="T382" s="66">
        <f t="shared" si="89"/>
        <v>104598616.23833862</v>
      </c>
      <c r="U382" s="66">
        <f t="shared" si="89"/>
        <v>109200351.65828563</v>
      </c>
      <c r="V382" s="66">
        <f t="shared" si="89"/>
        <v>111782387.99025935</v>
      </c>
      <c r="W382" s="66">
        <f t="shared" si="89"/>
        <v>114605302.60054173</v>
      </c>
    </row>
    <row r="383" spans="3:23" s="40" customFormat="1" ht="15" customHeight="1">
      <c r="C383" s="221"/>
      <c r="D383" s="72" t="s">
        <v>195</v>
      </c>
      <c r="H383" s="73">
        <f t="shared" ref="H383:W383" si="90">H382/H69</f>
        <v>0.20099677472735089</v>
      </c>
      <c r="I383" s="73">
        <f t="shared" si="90"/>
        <v>0.18485172264103278</v>
      </c>
      <c r="J383" s="73">
        <f t="shared" si="90"/>
        <v>0.17296658014206098</v>
      </c>
      <c r="K383" s="73">
        <f t="shared" si="90"/>
        <v>0.16817291730519146</v>
      </c>
      <c r="L383" s="73">
        <f t="shared" si="90"/>
        <v>0.16608892622719604</v>
      </c>
      <c r="M383" s="73">
        <f t="shared" si="90"/>
        <v>0.16456283804823382</v>
      </c>
      <c r="N383" s="73">
        <f t="shared" si="90"/>
        <v>0.16466754049505228</v>
      </c>
      <c r="O383" s="73">
        <f t="shared" si="90"/>
        <v>0.16462554952877315</v>
      </c>
      <c r="P383" s="73">
        <f t="shared" si="90"/>
        <v>0.16487755987947575</v>
      </c>
      <c r="Q383" s="73">
        <f t="shared" si="90"/>
        <v>0.16498287761824193</v>
      </c>
      <c r="R383" s="73">
        <f t="shared" si="90"/>
        <v>0.16508840125679061</v>
      </c>
      <c r="S383" s="73">
        <f t="shared" si="90"/>
        <v>0.16504608095117604</v>
      </c>
      <c r="T383" s="73">
        <f t="shared" si="90"/>
        <v>0.16530006784418702</v>
      </c>
      <c r="U383" s="73">
        <f t="shared" si="90"/>
        <v>0.1638421374477666</v>
      </c>
      <c r="V383" s="73">
        <f t="shared" si="90"/>
        <v>0.16394543090025376</v>
      </c>
      <c r="W383" s="73">
        <f t="shared" si="90"/>
        <v>0.16392608959200353</v>
      </c>
    </row>
    <row r="384" spans="3:23" s="40" customFormat="1" ht="15" customHeight="1">
      <c r="C384" s="221"/>
    </row>
    <row r="385" spans="3:23" s="40" customFormat="1" ht="15" customHeight="1">
      <c r="C385" s="221"/>
      <c r="D385" s="61" t="s">
        <v>196</v>
      </c>
    </row>
    <row r="386" spans="3:23" s="40" customFormat="1" ht="3.75" customHeight="1">
      <c r="C386" s="221"/>
      <c r="D386" s="61"/>
    </row>
    <row r="387" spans="3:23" s="40" customFormat="1" ht="15" customHeight="1">
      <c r="C387" s="221"/>
      <c r="D387" s="62" t="s">
        <v>197</v>
      </c>
      <c r="H387" s="63">
        <f t="shared" ref="H387:W387" si="91">H226+H257+H288+H319+H364</f>
        <v>25545041.549041662</v>
      </c>
      <c r="I387" s="63">
        <f t="shared" si="91"/>
        <v>26183667.587767705</v>
      </c>
      <c r="J387" s="63">
        <f t="shared" si="91"/>
        <v>26838259.277461894</v>
      </c>
      <c r="K387" s="63">
        <f t="shared" si="91"/>
        <v>27509215.759398438</v>
      </c>
      <c r="L387" s="63">
        <f t="shared" si="91"/>
        <v>28196946.153383397</v>
      </c>
      <c r="M387" s="63">
        <f t="shared" si="91"/>
        <v>28901869.807217982</v>
      </c>
      <c r="N387" s="63">
        <f t="shared" si="91"/>
        <v>29624416.552398425</v>
      </c>
      <c r="O387" s="63">
        <f t="shared" si="91"/>
        <v>30365026.96620838</v>
      </c>
      <c r="P387" s="63">
        <f t="shared" si="91"/>
        <v>31124152.640363585</v>
      </c>
      <c r="Q387" s="63">
        <f t="shared" si="91"/>
        <v>31902256.456372675</v>
      </c>
      <c r="R387" s="63">
        <f t="shared" si="91"/>
        <v>32699812.867781989</v>
      </c>
      <c r="S387" s="63">
        <f t="shared" si="91"/>
        <v>33517308.189476535</v>
      </c>
      <c r="T387" s="63">
        <f t="shared" si="91"/>
        <v>34355240.894213453</v>
      </c>
      <c r="U387" s="63">
        <f t="shared" si="91"/>
        <v>35214121.916568778</v>
      </c>
      <c r="V387" s="63">
        <f t="shared" si="91"/>
        <v>36094474.964483</v>
      </c>
      <c r="W387" s="63">
        <f t="shared" si="91"/>
        <v>36996836.83859507</v>
      </c>
    </row>
    <row r="388" spans="3:23" s="40" customFormat="1" ht="15" customHeight="1">
      <c r="C388" s="221"/>
      <c r="D388" s="62" t="s">
        <v>198</v>
      </c>
      <c r="H388" s="64">
        <f t="shared" ref="H388:W388" si="92">H238+H269+H300+H331+H348</f>
        <v>33846146.51354</v>
      </c>
      <c r="I388" s="64">
        <f t="shared" si="92"/>
        <v>39361046.378660977</v>
      </c>
      <c r="J388" s="64">
        <f t="shared" si="92"/>
        <v>48084167.72206369</v>
      </c>
      <c r="K388" s="64">
        <f t="shared" si="92"/>
        <v>53419223.829752304</v>
      </c>
      <c r="L388" s="64">
        <f t="shared" si="92"/>
        <v>56826335.444019511</v>
      </c>
      <c r="M388" s="64">
        <f t="shared" si="92"/>
        <v>59906774.396664828</v>
      </c>
      <c r="N388" s="64">
        <f t="shared" si="92"/>
        <v>61284630.20778811</v>
      </c>
      <c r="O388" s="64">
        <f t="shared" si="92"/>
        <v>62865940.920283973</v>
      </c>
      <c r="P388" s="64">
        <f t="shared" si="92"/>
        <v>64136142.766726285</v>
      </c>
      <c r="Q388" s="64">
        <f t="shared" si="92"/>
        <v>65611274.050360978</v>
      </c>
      <c r="R388" s="64">
        <f t="shared" si="92"/>
        <v>67120333.353519291</v>
      </c>
      <c r="S388" s="64">
        <f t="shared" si="92"/>
        <v>68852221.133511573</v>
      </c>
      <c r="T388" s="64">
        <f t="shared" si="92"/>
        <v>70243375.344125181</v>
      </c>
      <c r="U388" s="64">
        <f t="shared" si="92"/>
        <v>73986229.741716862</v>
      </c>
      <c r="V388" s="64">
        <f t="shared" si="92"/>
        <v>75687913.025776356</v>
      </c>
      <c r="W388" s="64">
        <f t="shared" si="92"/>
        <v>77608465.761946648</v>
      </c>
    </row>
    <row r="389" spans="3:23" s="40" customFormat="1" ht="15" customHeight="1">
      <c r="C389" s="221"/>
      <c r="D389" s="65" t="s">
        <v>194</v>
      </c>
      <c r="H389" s="66">
        <f>SUM(H387:H388)</f>
        <v>59391188.062581658</v>
      </c>
      <c r="I389" s="66">
        <f t="shared" ref="I389:W389" si="93">SUM(I387:I388)</f>
        <v>65544713.966428682</v>
      </c>
      <c r="J389" s="66">
        <f t="shared" si="93"/>
        <v>74922426.999525577</v>
      </c>
      <c r="K389" s="66">
        <f t="shared" si="93"/>
        <v>80928439.589150742</v>
      </c>
      <c r="L389" s="66">
        <f t="shared" si="93"/>
        <v>85023281.5974029</v>
      </c>
      <c r="M389" s="66">
        <f t="shared" si="93"/>
        <v>88808644.203882813</v>
      </c>
      <c r="N389" s="66">
        <f t="shared" si="93"/>
        <v>90909046.760186538</v>
      </c>
      <c r="O389" s="66">
        <f t="shared" si="93"/>
        <v>93230967.886492357</v>
      </c>
      <c r="P389" s="66">
        <f t="shared" si="93"/>
        <v>95260295.407089874</v>
      </c>
      <c r="Q389" s="66">
        <f t="shared" si="93"/>
        <v>97513530.506733656</v>
      </c>
      <c r="R389" s="66">
        <f t="shared" si="93"/>
        <v>99820146.221301287</v>
      </c>
      <c r="S389" s="66">
        <f t="shared" si="93"/>
        <v>102369529.32298811</v>
      </c>
      <c r="T389" s="66">
        <f t="shared" si="93"/>
        <v>104598616.23833863</v>
      </c>
      <c r="U389" s="66">
        <f t="shared" si="93"/>
        <v>109200351.65828565</v>
      </c>
      <c r="V389" s="66">
        <f t="shared" si="93"/>
        <v>111782387.99025935</v>
      </c>
      <c r="W389" s="66">
        <f t="shared" si="93"/>
        <v>114605302.60054171</v>
      </c>
    </row>
    <row r="390" spans="3:23" s="40" customFormat="1" ht="15" customHeight="1">
      <c r="C390" s="221"/>
    </row>
    <row r="391" spans="3:23" s="40" customFormat="1" ht="15" customHeight="1">
      <c r="C391" s="221"/>
    </row>
    <row r="392" spans="3:23" s="40" customFormat="1" ht="15" customHeight="1">
      <c r="C392" s="221"/>
      <c r="D392" s="61" t="s">
        <v>199</v>
      </c>
    </row>
    <row r="393" spans="3:23" s="40" customFormat="1" ht="3.75" customHeight="1">
      <c r="C393" s="221"/>
      <c r="D393" s="61"/>
    </row>
    <row r="394" spans="3:23" s="40" customFormat="1" ht="15" customHeight="1">
      <c r="C394" s="221"/>
      <c r="D394" s="62" t="s">
        <v>21</v>
      </c>
      <c r="H394" s="64">
        <f t="shared" ref="H394:W394" si="94">H69</f>
        <v>295483288.93906343</v>
      </c>
      <c r="I394" s="64">
        <f t="shared" si="94"/>
        <v>354579946.72687614</v>
      </c>
      <c r="J394" s="64">
        <f t="shared" si="94"/>
        <v>433161290.10581279</v>
      </c>
      <c r="K394" s="64">
        <f t="shared" si="94"/>
        <v>481221595.52174515</v>
      </c>
      <c r="L394" s="64">
        <f t="shared" si="94"/>
        <v>511914210.83123893</v>
      </c>
      <c r="M394" s="64">
        <f t="shared" si="94"/>
        <v>539664028.9945215</v>
      </c>
      <c r="N394" s="64">
        <f t="shared" si="94"/>
        <v>552076301.66139543</v>
      </c>
      <c r="O394" s="64">
        <f t="shared" si="94"/>
        <v>566321376.92696047</v>
      </c>
      <c r="P394" s="64">
        <f t="shared" si="94"/>
        <v>577763859.90139842</v>
      </c>
      <c r="Q394" s="64">
        <f t="shared" si="94"/>
        <v>591052428.67913055</v>
      </c>
      <c r="R394" s="64">
        <f t="shared" si="94"/>
        <v>604646634.53875053</v>
      </c>
      <c r="S394" s="64">
        <f t="shared" si="94"/>
        <v>620248167.86331987</v>
      </c>
      <c r="T394" s="64">
        <f t="shared" si="94"/>
        <v>632780237.79720402</v>
      </c>
      <c r="U394" s="64">
        <f t="shared" si="94"/>
        <v>666497357.51341164</v>
      </c>
      <c r="V394" s="64">
        <f t="shared" si="94"/>
        <v>681826796.73622012</v>
      </c>
      <c r="W394" s="64">
        <f t="shared" si="94"/>
        <v>699127898.95606887</v>
      </c>
    </row>
    <row r="395" spans="3:23" s="40" customFormat="1" ht="15" customHeight="1">
      <c r="C395" s="221"/>
      <c r="D395" s="62" t="s">
        <v>157</v>
      </c>
      <c r="H395" s="64">
        <f t="shared" ref="H395:W395" si="95">-H106-H144-H182</f>
        <v>-67769839.133379996</v>
      </c>
      <c r="I395" s="64">
        <f t="shared" si="95"/>
        <v>-71237225.69371599</v>
      </c>
      <c r="J395" s="64">
        <f t="shared" si="95"/>
        <v>-80543864.932627514</v>
      </c>
      <c r="K395" s="64">
        <f t="shared" si="95"/>
        <v>-86577793.749407053</v>
      </c>
      <c r="L395" s="64">
        <f t="shared" si="95"/>
        <v>-90060989.868804708</v>
      </c>
      <c r="M395" s="64">
        <f t="shared" si="95"/>
        <v>-93912951.841352373</v>
      </c>
      <c r="N395" s="64">
        <f t="shared" si="95"/>
        <v>-96145682.876635715</v>
      </c>
      <c r="O395" s="64">
        <f t="shared" si="95"/>
        <v>-98596580.461855844</v>
      </c>
      <c r="P395" s="64">
        <f t="shared" si="95"/>
        <v>-100771926.76884612</v>
      </c>
      <c r="Q395" s="64">
        <f t="shared" si="95"/>
        <v>-103168006.7242801</v>
      </c>
      <c r="R395" s="64">
        <f t="shared" si="95"/>
        <v>-105621154.65968286</v>
      </c>
      <c r="S395" s="64">
        <f t="shared" si="95"/>
        <v>-108313438.84875777</v>
      </c>
      <c r="T395" s="64">
        <f t="shared" si="95"/>
        <v>-110704133.07738167</v>
      </c>
      <c r="U395" s="64">
        <f t="shared" si="95"/>
        <v>-115387472.98608318</v>
      </c>
      <c r="V395" s="64">
        <f t="shared" si="95"/>
        <v>-118130003.13685676</v>
      </c>
      <c r="W395" s="64">
        <f t="shared" si="95"/>
        <v>-121058888.28199497</v>
      </c>
    </row>
    <row r="396" spans="3:23" s="40" customFormat="1" ht="15" customHeight="1">
      <c r="C396" s="221"/>
      <c r="D396" s="62" t="s">
        <v>25</v>
      </c>
      <c r="H396" s="64">
        <f>-H389</f>
        <v>-59391188.062581658</v>
      </c>
      <c r="I396" s="64">
        <f t="shared" ref="I396:W396" si="96">-I389</f>
        <v>-65544713.966428682</v>
      </c>
      <c r="J396" s="64">
        <f t="shared" si="96"/>
        <v>-74922426.999525577</v>
      </c>
      <c r="K396" s="64">
        <f t="shared" si="96"/>
        <v>-80928439.589150742</v>
      </c>
      <c r="L396" s="64">
        <f t="shared" si="96"/>
        <v>-85023281.5974029</v>
      </c>
      <c r="M396" s="64">
        <f t="shared" si="96"/>
        <v>-88808644.203882813</v>
      </c>
      <c r="N396" s="64">
        <f t="shared" si="96"/>
        <v>-90909046.760186538</v>
      </c>
      <c r="O396" s="64">
        <f t="shared" si="96"/>
        <v>-93230967.886492357</v>
      </c>
      <c r="P396" s="64">
        <f t="shared" si="96"/>
        <v>-95260295.407089874</v>
      </c>
      <c r="Q396" s="64">
        <f t="shared" si="96"/>
        <v>-97513530.506733656</v>
      </c>
      <c r="R396" s="64">
        <f t="shared" si="96"/>
        <v>-99820146.221301287</v>
      </c>
      <c r="S396" s="64">
        <f t="shared" si="96"/>
        <v>-102369529.32298811</v>
      </c>
      <c r="T396" s="64">
        <f t="shared" si="96"/>
        <v>-104598616.23833863</v>
      </c>
      <c r="U396" s="64">
        <f t="shared" si="96"/>
        <v>-109200351.65828565</v>
      </c>
      <c r="V396" s="64">
        <f t="shared" si="96"/>
        <v>-111782387.99025935</v>
      </c>
      <c r="W396" s="64">
        <f t="shared" si="96"/>
        <v>-114605302.60054171</v>
      </c>
    </row>
    <row r="397" spans="3:23" s="40" customFormat="1" ht="15" customHeight="1">
      <c r="C397" s="221"/>
      <c r="D397" s="65" t="s">
        <v>199</v>
      </c>
      <c r="H397" s="66">
        <f>SUM(H394:H396)</f>
        <v>168322261.74310178</v>
      </c>
      <c r="I397" s="66">
        <f t="shared" ref="I397:W397" si="97">SUM(I394:I396)</f>
        <v>217798007.06673145</v>
      </c>
      <c r="J397" s="66">
        <f t="shared" si="97"/>
        <v>277694998.17365968</v>
      </c>
      <c r="K397" s="66">
        <f t="shared" si="97"/>
        <v>313715362.18318737</v>
      </c>
      <c r="L397" s="66">
        <f t="shared" si="97"/>
        <v>336829939.36503136</v>
      </c>
      <c r="M397" s="66">
        <f t="shared" si="97"/>
        <v>356942432.94928634</v>
      </c>
      <c r="N397" s="66">
        <f t="shared" si="97"/>
        <v>365021572.02457315</v>
      </c>
      <c r="O397" s="66">
        <f t="shared" si="97"/>
        <v>374493828.57861227</v>
      </c>
      <c r="P397" s="66">
        <f t="shared" si="97"/>
        <v>381731637.72546238</v>
      </c>
      <c r="Q397" s="66">
        <f t="shared" si="97"/>
        <v>390370891.44811678</v>
      </c>
      <c r="R397" s="66">
        <f t="shared" si="97"/>
        <v>399205333.65776634</v>
      </c>
      <c r="S397" s="66">
        <f t="shared" si="97"/>
        <v>409565199.69157404</v>
      </c>
      <c r="T397" s="66">
        <f t="shared" si="97"/>
        <v>417477488.4814837</v>
      </c>
      <c r="U397" s="66">
        <f t="shared" si="97"/>
        <v>441909532.86904287</v>
      </c>
      <c r="V397" s="66">
        <f t="shared" si="97"/>
        <v>451914405.60910398</v>
      </c>
      <c r="W397" s="66">
        <f t="shared" si="97"/>
        <v>463463708.07353222</v>
      </c>
    </row>
    <row r="398" spans="3:23" s="40" customFormat="1" ht="15" customHeight="1">
      <c r="C398" s="221"/>
      <c r="D398" s="72" t="s">
        <v>200</v>
      </c>
      <c r="H398" s="75">
        <f>H397/H394</f>
        <v>0.5696506978362974</v>
      </c>
      <c r="I398" s="75">
        <f t="shared" ref="I398:W398" si="98">I397/I394</f>
        <v>0.61424231425725739</v>
      </c>
      <c r="J398" s="75">
        <f t="shared" si="98"/>
        <v>0.64108913819566904</v>
      </c>
      <c r="K398" s="75">
        <f t="shared" si="98"/>
        <v>0.65191455475528715</v>
      </c>
      <c r="L398" s="75">
        <f t="shared" si="98"/>
        <v>0.65798122466280384</v>
      </c>
      <c r="M398" s="75">
        <f t="shared" si="98"/>
        <v>0.66141601769220371</v>
      </c>
      <c r="N398" s="75">
        <f t="shared" si="98"/>
        <v>0.66117957051605447</v>
      </c>
      <c r="O398" s="75">
        <f t="shared" si="98"/>
        <v>0.66127439972464863</v>
      </c>
      <c r="P398" s="75">
        <f t="shared" si="98"/>
        <v>0.66070528847306054</v>
      </c>
      <c r="Q398" s="75">
        <f t="shared" si="98"/>
        <v>0.66046745179697186</v>
      </c>
      <c r="R398" s="75">
        <f t="shared" si="98"/>
        <v>0.66022915014204397</v>
      </c>
      <c r="S398" s="75">
        <f t="shared" si="98"/>
        <v>0.66032472309023782</v>
      </c>
      <c r="T398" s="75">
        <f t="shared" si="98"/>
        <v>0.65975114825769665</v>
      </c>
      <c r="U398" s="75">
        <f t="shared" si="98"/>
        <v>0.66303268555742256</v>
      </c>
      <c r="V398" s="75">
        <f t="shared" si="98"/>
        <v>0.66279942028141958</v>
      </c>
      <c r="W398" s="75">
        <f t="shared" si="98"/>
        <v>0.6629169122925459</v>
      </c>
    </row>
    <row r="399" spans="3:23" s="40" customFormat="1" ht="15" customHeight="1">
      <c r="C399" s="221"/>
      <c r="I399" s="346"/>
      <c r="J399" s="346"/>
      <c r="K399" s="346"/>
      <c r="L399" s="346"/>
    </row>
    <row r="400" spans="3:23" s="40" customFormat="1" ht="15" hidden="1" customHeight="1" outlineLevel="1">
      <c r="C400" s="221"/>
      <c r="D400" s="58" t="s">
        <v>144</v>
      </c>
      <c r="E400" s="49"/>
      <c r="F400" s="49"/>
      <c r="G400" s="49"/>
      <c r="H400" s="207">
        <v>168322261.74310178</v>
      </c>
      <c r="I400" s="207">
        <v>217798007.06673145</v>
      </c>
      <c r="J400" s="207">
        <v>277694998.17365968</v>
      </c>
      <c r="K400" s="207">
        <v>313715362.18318737</v>
      </c>
      <c r="L400" s="207">
        <v>319756061.85527998</v>
      </c>
      <c r="M400" s="207">
        <v>326983098.22180831</v>
      </c>
      <c r="N400" s="207">
        <v>334373172.59836316</v>
      </c>
      <c r="O400" s="207">
        <v>343054626.9407714</v>
      </c>
      <c r="P400" s="207">
        <v>349657198.92235029</v>
      </c>
      <c r="Q400" s="207">
        <v>357558740.55253309</v>
      </c>
      <c r="R400" s="207">
        <v>365638503.29158419</v>
      </c>
      <c r="S400" s="207">
        <v>375132264.59601021</v>
      </c>
      <c r="T400" s="207">
        <v>382348827.06519347</v>
      </c>
      <c r="U400" s="207">
        <v>390987682.7550813</v>
      </c>
      <c r="V400" s="207">
        <v>399821352.94252145</v>
      </c>
      <c r="W400" s="207">
        <v>408854229.74133396</v>
      </c>
    </row>
    <row r="401" spans="1:23" s="40" customFormat="1" ht="15" hidden="1" customHeight="1" outlineLevel="1">
      <c r="C401" s="221"/>
      <c r="D401" s="58" t="s">
        <v>145</v>
      </c>
      <c r="E401" s="49"/>
      <c r="F401" s="49"/>
      <c r="G401" s="49"/>
      <c r="H401" s="56">
        <f>H397-H400</f>
        <v>0</v>
      </c>
      <c r="I401" s="56">
        <f t="shared" ref="I401:W401" si="99">I397-I400</f>
        <v>0</v>
      </c>
      <c r="J401" s="56">
        <f t="shared" si="99"/>
        <v>0</v>
      </c>
      <c r="K401" s="56">
        <f t="shared" si="99"/>
        <v>0</v>
      </c>
      <c r="L401" s="56">
        <f t="shared" si="99"/>
        <v>17073877.509751379</v>
      </c>
      <c r="M401" s="56">
        <f t="shared" si="99"/>
        <v>29959334.727478027</v>
      </c>
      <c r="N401" s="56">
        <f t="shared" si="99"/>
        <v>30648399.426209986</v>
      </c>
      <c r="O401" s="56">
        <f t="shared" si="99"/>
        <v>31439201.637840867</v>
      </c>
      <c r="P401" s="56">
        <f t="shared" si="99"/>
        <v>32074438.80311209</v>
      </c>
      <c r="Q401" s="56">
        <f t="shared" si="99"/>
        <v>32812150.895583689</v>
      </c>
      <c r="R401" s="56">
        <f t="shared" si="99"/>
        <v>33566830.366182148</v>
      </c>
      <c r="S401" s="56">
        <f t="shared" si="99"/>
        <v>34432935.095563829</v>
      </c>
      <c r="T401" s="56">
        <f t="shared" si="99"/>
        <v>35128661.416290224</v>
      </c>
      <c r="U401" s="56">
        <f t="shared" si="99"/>
        <v>50921850.113961577</v>
      </c>
      <c r="V401" s="56">
        <f t="shared" si="99"/>
        <v>52093052.666582525</v>
      </c>
      <c r="W401" s="56">
        <f t="shared" si="99"/>
        <v>54609478.332198262</v>
      </c>
    </row>
    <row r="402" spans="1:23" s="40" customFormat="1" ht="15" hidden="1" customHeight="1" outlineLevel="1">
      <c r="C402" s="221"/>
    </row>
    <row r="403" spans="1:23" s="40" customFormat="1" ht="15" customHeight="1" collapsed="1">
      <c r="C403" s="43">
        <v>1.4</v>
      </c>
      <c r="D403" s="1" t="s">
        <v>201</v>
      </c>
      <c r="E403" s="1"/>
      <c r="F403" s="1"/>
      <c r="G403" s="1"/>
      <c r="H403" s="1"/>
      <c r="I403" s="1"/>
      <c r="J403" s="1"/>
      <c r="K403" s="1"/>
      <c r="L403" s="1"/>
      <c r="M403" s="1"/>
      <c r="N403" s="1"/>
      <c r="O403" s="1"/>
      <c r="P403" s="1"/>
      <c r="Q403" s="1"/>
      <c r="R403" s="1"/>
      <c r="S403" s="1"/>
      <c r="T403" s="1"/>
      <c r="U403" s="1"/>
      <c r="V403" s="1"/>
      <c r="W403" s="1"/>
    </row>
    <row r="404" spans="1:23" s="40" customFormat="1" ht="7.5" customHeight="1">
      <c r="C404" s="221"/>
    </row>
    <row r="405" spans="1:23" s="40" customFormat="1" ht="15" customHeight="1">
      <c r="C405" s="221"/>
      <c r="D405" s="44" t="s">
        <v>202</v>
      </c>
    </row>
    <row r="406" spans="1:23" s="40" customFormat="1" ht="14.25" customHeight="1">
      <c r="C406" s="221"/>
    </row>
    <row r="407" spans="1:23" ht="15" customHeight="1">
      <c r="A407" s="40"/>
      <c r="B407" s="50" t="s">
        <v>139</v>
      </c>
      <c r="C407" s="222"/>
      <c r="D407" s="53" t="s">
        <v>203</v>
      </c>
      <c r="E407" s="46" t="s">
        <v>141</v>
      </c>
      <c r="H407" s="205">
        <v>3916666.6400000006</v>
      </c>
      <c r="I407" s="205">
        <v>3858750</v>
      </c>
      <c r="J407" s="205">
        <v>4051687.5</v>
      </c>
      <c r="K407" s="205">
        <v>4254271.875</v>
      </c>
      <c r="L407" s="205">
        <v>4466985.46875</v>
      </c>
      <c r="M407" s="205">
        <v>4690334.7421875</v>
      </c>
      <c r="N407" s="205">
        <v>4924851.4792968752</v>
      </c>
      <c r="O407" s="205">
        <v>5171094.0532617187</v>
      </c>
      <c r="P407" s="205">
        <v>5429648.7559248051</v>
      </c>
      <c r="Q407" s="205">
        <v>5701131.1937210457</v>
      </c>
      <c r="R407" s="205">
        <v>5986187.7534070984</v>
      </c>
      <c r="S407" s="205">
        <v>6285497.1410774533</v>
      </c>
      <c r="T407" s="205">
        <v>6599771.9981313264</v>
      </c>
      <c r="U407" s="205">
        <v>6929760.598037893</v>
      </c>
      <c r="V407" s="205">
        <v>7276248.6279397877</v>
      </c>
      <c r="W407" s="205">
        <v>7640061.0593367778</v>
      </c>
    </row>
    <row r="408" spans="1:23" s="40" customFormat="1" ht="15" customHeight="1">
      <c r="C408" s="221"/>
    </row>
    <row r="409" spans="1:23" s="40" customFormat="1" ht="15" customHeight="1">
      <c r="C409" s="43">
        <v>1.5</v>
      </c>
      <c r="D409" s="1" t="s">
        <v>204</v>
      </c>
      <c r="E409" s="1"/>
      <c r="F409" s="1"/>
      <c r="G409" s="1"/>
      <c r="H409" s="1"/>
      <c r="I409" s="1"/>
      <c r="J409" s="1"/>
      <c r="K409" s="1"/>
      <c r="L409" s="1"/>
      <c r="M409" s="1"/>
      <c r="N409" s="1"/>
      <c r="O409" s="1"/>
      <c r="P409" s="1"/>
      <c r="Q409" s="1"/>
      <c r="R409" s="1"/>
      <c r="S409" s="1"/>
      <c r="T409" s="1"/>
      <c r="U409" s="1"/>
      <c r="V409" s="1"/>
      <c r="W409" s="1"/>
    </row>
    <row r="410" spans="1:23" s="40" customFormat="1" ht="7.5" customHeight="1">
      <c r="C410" s="221"/>
    </row>
    <row r="411" spans="1:23" s="40" customFormat="1" ht="15" customHeight="1">
      <c r="C411" s="221"/>
      <c r="D411" s="42" t="s">
        <v>205</v>
      </c>
    </row>
    <row r="412" spans="1:23" s="40" customFormat="1" ht="15" customHeight="1">
      <c r="C412" s="221"/>
      <c r="D412" s="42" t="s">
        <v>206</v>
      </c>
    </row>
    <row r="413" spans="1:23" s="40" customFormat="1" ht="15" customHeight="1">
      <c r="C413" s="221"/>
    </row>
    <row r="414" spans="1:23" s="40" customFormat="1" ht="15" customHeight="1">
      <c r="C414" s="221"/>
      <c r="D414" s="1" t="s">
        <v>205</v>
      </c>
      <c r="E414" s="1"/>
      <c r="F414" s="1"/>
      <c r="G414" s="1"/>
      <c r="H414" s="1"/>
      <c r="I414" s="1"/>
      <c r="J414" s="1"/>
      <c r="K414" s="1"/>
      <c r="L414" s="1"/>
      <c r="M414" s="1"/>
      <c r="N414" s="1"/>
      <c r="O414" s="1"/>
      <c r="P414" s="1"/>
      <c r="Q414" s="1"/>
      <c r="R414" s="1"/>
      <c r="S414" s="1"/>
      <c r="T414" s="1"/>
      <c r="U414" s="1"/>
      <c r="V414" s="1"/>
      <c r="W414" s="1"/>
    </row>
    <row r="415" spans="1:23" s="40" customFormat="1" ht="7.5" customHeight="1">
      <c r="C415" s="221"/>
    </row>
    <row r="416" spans="1:23" s="40" customFormat="1" ht="15" customHeight="1">
      <c r="C416" s="221"/>
      <c r="D416" s="68" t="s">
        <v>207</v>
      </c>
    </row>
    <row r="417" spans="3:23" s="40" customFormat="1" ht="7.5" customHeight="1">
      <c r="C417" s="221"/>
    </row>
    <row r="418" spans="3:23" s="40" customFormat="1" ht="15" customHeight="1">
      <c r="C418" s="221"/>
      <c r="D418" s="67" t="s">
        <v>208</v>
      </c>
    </row>
    <row r="419" spans="3:23" s="40" customFormat="1" ht="7.5" customHeight="1">
      <c r="C419" s="221"/>
    </row>
    <row r="420" spans="3:23" s="40" customFormat="1" ht="15" customHeight="1">
      <c r="C420" s="221"/>
      <c r="D420" s="68" t="s">
        <v>209</v>
      </c>
    </row>
    <row r="421" spans="3:23" s="40" customFormat="1" ht="15" customHeight="1">
      <c r="C421" s="221"/>
      <c r="D421" s="51"/>
    </row>
    <row r="422" spans="3:23" s="40" customFormat="1" ht="15" customHeight="1">
      <c r="C422" s="221"/>
      <c r="D422" s="51" t="s">
        <v>131</v>
      </c>
      <c r="H422" s="52">
        <f t="shared" ref="H422:W422" si="100">H29</f>
        <v>248328465.11088002</v>
      </c>
      <c r="I422" s="52">
        <f t="shared" si="100"/>
        <v>297994158.13305604</v>
      </c>
      <c r="J422" s="52">
        <f t="shared" si="100"/>
        <v>363981423.47015685</v>
      </c>
      <c r="K422" s="52">
        <f t="shared" si="100"/>
        <v>404366044.30763215</v>
      </c>
      <c r="L422" s="52">
        <f t="shared" si="100"/>
        <v>433505810.47870809</v>
      </c>
      <c r="M422" s="52">
        <f t="shared" si="100"/>
        <v>457121873.16955584</v>
      </c>
      <c r="N422" s="52">
        <f t="shared" si="100"/>
        <v>467635676.25245553</v>
      </c>
      <c r="O422" s="52">
        <f t="shared" si="100"/>
        <v>479701957.89340246</v>
      </c>
      <c r="P422" s="52">
        <f t="shared" si="100"/>
        <v>489394296.632806</v>
      </c>
      <c r="Q422" s="52">
        <f t="shared" si="100"/>
        <v>500650365.45536047</v>
      </c>
      <c r="R422" s="52">
        <f t="shared" si="100"/>
        <v>512165323.86083376</v>
      </c>
      <c r="S422" s="52">
        <f t="shared" si="100"/>
        <v>525380592.40911138</v>
      </c>
      <c r="T422" s="52">
        <f t="shared" si="100"/>
        <v>535995864.2147544</v>
      </c>
      <c r="U422" s="52">
        <f t="shared" si="100"/>
        <v>564691642.79592323</v>
      </c>
      <c r="V422" s="52">
        <f t="shared" si="100"/>
        <v>577679550.5802294</v>
      </c>
      <c r="W422" s="52">
        <f t="shared" si="100"/>
        <v>592585265.66889954</v>
      </c>
    </row>
    <row r="423" spans="3:23" s="40" customFormat="1" ht="15" customHeight="1">
      <c r="C423" s="221"/>
      <c r="D423" s="51"/>
    </row>
    <row r="424" spans="3:23" ht="15" customHeight="1">
      <c r="C424" s="222"/>
      <c r="D424" s="45" t="s">
        <v>210</v>
      </c>
      <c r="E424" s="46" t="s">
        <v>211</v>
      </c>
      <c r="H424" s="212">
        <v>0.01</v>
      </c>
      <c r="I424" s="212">
        <v>0.01</v>
      </c>
      <c r="J424" s="212">
        <v>0.01</v>
      </c>
      <c r="K424" s="212">
        <v>0.01</v>
      </c>
      <c r="L424" s="212">
        <v>0.01</v>
      </c>
      <c r="M424" s="212">
        <v>0.01</v>
      </c>
      <c r="N424" s="212">
        <v>0.01</v>
      </c>
      <c r="O424" s="212">
        <v>0.01</v>
      </c>
      <c r="P424" s="212">
        <v>0.01</v>
      </c>
      <c r="Q424" s="212">
        <v>0.01</v>
      </c>
      <c r="R424" s="212">
        <v>0.01</v>
      </c>
      <c r="S424" s="212">
        <v>0.01</v>
      </c>
      <c r="T424" s="212">
        <v>0.01</v>
      </c>
      <c r="U424" s="212">
        <v>0.01</v>
      </c>
      <c r="V424" s="212">
        <v>0.01</v>
      </c>
      <c r="W424" s="212">
        <v>0.01</v>
      </c>
    </row>
    <row r="425" spans="3:23" ht="15" customHeight="1">
      <c r="C425" s="222"/>
      <c r="D425" s="45" t="s">
        <v>212</v>
      </c>
      <c r="E425" s="46" t="s">
        <v>211</v>
      </c>
      <c r="H425" s="212">
        <v>0.02</v>
      </c>
      <c r="I425" s="212">
        <v>0.02</v>
      </c>
      <c r="J425" s="212">
        <v>0.02</v>
      </c>
      <c r="K425" s="212">
        <v>0.02</v>
      </c>
      <c r="L425" s="212">
        <v>0.02</v>
      </c>
      <c r="M425" s="212">
        <v>0.02</v>
      </c>
      <c r="N425" s="212">
        <v>0.02</v>
      </c>
      <c r="O425" s="212">
        <v>0.02</v>
      </c>
      <c r="P425" s="212">
        <v>0.02</v>
      </c>
      <c r="Q425" s="212">
        <v>0.02</v>
      </c>
      <c r="R425" s="212">
        <v>0.02</v>
      </c>
      <c r="S425" s="212">
        <v>0.02</v>
      </c>
      <c r="T425" s="212">
        <v>0.02</v>
      </c>
      <c r="U425" s="212">
        <v>0.02</v>
      </c>
      <c r="V425" s="212">
        <v>0.02</v>
      </c>
      <c r="W425" s="212">
        <v>0.02</v>
      </c>
    </row>
    <row r="426" spans="3:23" ht="15" customHeight="1">
      <c r="C426" s="222"/>
      <c r="D426" s="45" t="s">
        <v>213</v>
      </c>
      <c r="E426" s="46" t="s">
        <v>211</v>
      </c>
      <c r="H426" s="212">
        <v>0.01</v>
      </c>
      <c r="I426" s="212">
        <v>0.01</v>
      </c>
      <c r="J426" s="212">
        <v>0.01</v>
      </c>
      <c r="K426" s="212">
        <v>0.01</v>
      </c>
      <c r="L426" s="212">
        <v>0.01</v>
      </c>
      <c r="M426" s="212">
        <v>0.01</v>
      </c>
      <c r="N426" s="212">
        <v>0.01</v>
      </c>
      <c r="O426" s="212">
        <v>0.01</v>
      </c>
      <c r="P426" s="212">
        <v>0.01</v>
      </c>
      <c r="Q426" s="212">
        <v>0.01</v>
      </c>
      <c r="R426" s="212">
        <v>0.01</v>
      </c>
      <c r="S426" s="212">
        <v>0.01</v>
      </c>
      <c r="T426" s="212">
        <v>0.01</v>
      </c>
      <c r="U426" s="212">
        <v>0.01</v>
      </c>
      <c r="V426" s="212">
        <v>0.01</v>
      </c>
      <c r="W426" s="212">
        <v>0.01</v>
      </c>
    </row>
    <row r="427" spans="3:23" ht="15" customHeight="1">
      <c r="C427" s="222"/>
      <c r="D427" s="45" t="s">
        <v>214</v>
      </c>
      <c r="E427" s="46" t="s">
        <v>215</v>
      </c>
      <c r="H427" s="212">
        <v>8.9999999999999993E-3</v>
      </c>
      <c r="I427" s="212">
        <v>8.9999999999999993E-3</v>
      </c>
      <c r="J427" s="212">
        <v>8.9999999999999993E-3</v>
      </c>
      <c r="K427" s="212">
        <v>8.9999999999999993E-3</v>
      </c>
      <c r="L427" s="212">
        <v>8.9999999999999993E-3</v>
      </c>
      <c r="M427" s="212">
        <v>8.9999999999999993E-3</v>
      </c>
      <c r="N427" s="212">
        <v>8.9999999999999993E-3</v>
      </c>
      <c r="O427" s="212">
        <v>8.9999999999999993E-3</v>
      </c>
      <c r="P427" s="212">
        <v>8.9999999999999993E-3</v>
      </c>
      <c r="Q427" s="212">
        <v>8.9999999999999993E-3</v>
      </c>
      <c r="R427" s="212">
        <v>8.9999999999999993E-3</v>
      </c>
      <c r="S427" s="212">
        <v>8.9999999999999993E-3</v>
      </c>
      <c r="T427" s="212">
        <v>8.9999999999999993E-3</v>
      </c>
      <c r="U427" s="212">
        <v>8.9999999999999993E-3</v>
      </c>
      <c r="V427" s="212">
        <v>8.9999999999999993E-3</v>
      </c>
      <c r="W427" s="212">
        <v>8.9999999999999993E-3</v>
      </c>
    </row>
    <row r="428" spans="3:23" ht="15" customHeight="1">
      <c r="C428" s="222"/>
      <c r="D428" s="71" t="s">
        <v>216</v>
      </c>
      <c r="E428" s="30"/>
      <c r="H428" s="76">
        <f>SUM(H424:H427)</f>
        <v>4.9000000000000002E-2</v>
      </c>
      <c r="I428" s="76">
        <f t="shared" ref="I428:W428" si="101">SUM(I424:I427)</f>
        <v>4.9000000000000002E-2</v>
      </c>
      <c r="J428" s="76">
        <f t="shared" si="101"/>
        <v>4.9000000000000002E-2</v>
      </c>
      <c r="K428" s="76">
        <f t="shared" si="101"/>
        <v>4.9000000000000002E-2</v>
      </c>
      <c r="L428" s="76">
        <f t="shared" si="101"/>
        <v>4.9000000000000002E-2</v>
      </c>
      <c r="M428" s="76">
        <f t="shared" si="101"/>
        <v>4.9000000000000002E-2</v>
      </c>
      <c r="N428" s="76">
        <f t="shared" si="101"/>
        <v>4.9000000000000002E-2</v>
      </c>
      <c r="O428" s="76">
        <f t="shared" si="101"/>
        <v>4.9000000000000002E-2</v>
      </c>
      <c r="P428" s="76">
        <f t="shared" si="101"/>
        <v>4.9000000000000002E-2</v>
      </c>
      <c r="Q428" s="76">
        <f t="shared" si="101"/>
        <v>4.9000000000000002E-2</v>
      </c>
      <c r="R428" s="76">
        <f t="shared" si="101"/>
        <v>4.9000000000000002E-2</v>
      </c>
      <c r="S428" s="76">
        <f t="shared" si="101"/>
        <v>4.9000000000000002E-2</v>
      </c>
      <c r="T428" s="76">
        <f t="shared" si="101"/>
        <v>4.9000000000000002E-2</v>
      </c>
      <c r="U428" s="76">
        <f t="shared" si="101"/>
        <v>4.9000000000000002E-2</v>
      </c>
      <c r="V428" s="76">
        <f t="shared" si="101"/>
        <v>4.9000000000000002E-2</v>
      </c>
      <c r="W428" s="76">
        <f t="shared" si="101"/>
        <v>4.9000000000000002E-2</v>
      </c>
    </row>
    <row r="429" spans="3:23" ht="15" customHeight="1">
      <c r="C429" s="222"/>
      <c r="D429" s="45"/>
      <c r="E429" s="30"/>
    </row>
    <row r="430" spans="3:23" s="40" customFormat="1" ht="15" customHeight="1">
      <c r="C430" s="221"/>
      <c r="D430" s="51" t="s">
        <v>208</v>
      </c>
      <c r="H430" s="52">
        <f>H422*H428</f>
        <v>12168094.790433122</v>
      </c>
      <c r="I430" s="52">
        <f t="shared" ref="I430:W430" si="102">I422*I428</f>
        <v>14601713.748519747</v>
      </c>
      <c r="J430" s="52">
        <f t="shared" si="102"/>
        <v>17835089.750037685</v>
      </c>
      <c r="K430" s="52">
        <f t="shared" si="102"/>
        <v>19813936.171073977</v>
      </c>
      <c r="L430" s="52">
        <f t="shared" si="102"/>
        <v>21241784.713456698</v>
      </c>
      <c r="M430" s="52">
        <f t="shared" si="102"/>
        <v>22398971.785308238</v>
      </c>
      <c r="N430" s="52">
        <f t="shared" si="102"/>
        <v>22914148.136370324</v>
      </c>
      <c r="O430" s="52">
        <f t="shared" si="102"/>
        <v>23505395.93677672</v>
      </c>
      <c r="P430" s="52">
        <f t="shared" si="102"/>
        <v>23980320.535007495</v>
      </c>
      <c r="Q430" s="52">
        <f t="shared" si="102"/>
        <v>24531867.907312665</v>
      </c>
      <c r="R430" s="52">
        <f t="shared" si="102"/>
        <v>25096100.869180854</v>
      </c>
      <c r="S430" s="52">
        <f t="shared" si="102"/>
        <v>25743649.028046459</v>
      </c>
      <c r="T430" s="52">
        <f t="shared" si="102"/>
        <v>26263797.346522968</v>
      </c>
      <c r="U430" s="52">
        <f t="shared" si="102"/>
        <v>27669890.49700024</v>
      </c>
      <c r="V430" s="52">
        <f t="shared" si="102"/>
        <v>28306297.978431243</v>
      </c>
      <c r="W430" s="52">
        <f t="shared" si="102"/>
        <v>29036678.017776079</v>
      </c>
    </row>
    <row r="431" spans="3:23" s="40" customFormat="1" ht="15" customHeight="1">
      <c r="C431" s="221"/>
      <c r="D431" s="51"/>
    </row>
    <row r="432" spans="3:23" s="40" customFormat="1" ht="15" customHeight="1">
      <c r="C432" s="221"/>
      <c r="D432" s="67" t="s">
        <v>217</v>
      </c>
    </row>
    <row r="433" spans="1:23" s="40" customFormat="1" ht="7.5" customHeight="1">
      <c r="C433" s="221"/>
    </row>
    <row r="434" spans="1:23" s="40" customFormat="1" ht="15" customHeight="1">
      <c r="C434" s="221"/>
      <c r="D434" s="68" t="s">
        <v>218</v>
      </c>
    </row>
    <row r="435" spans="1:23" s="40" customFormat="1" ht="15" customHeight="1">
      <c r="C435" s="221"/>
      <c r="D435" s="51"/>
    </row>
    <row r="436" spans="1:23" s="40" customFormat="1" ht="15" customHeight="1">
      <c r="C436" s="221"/>
      <c r="D436" s="71" t="s">
        <v>219</v>
      </c>
      <c r="H436" s="52">
        <f t="shared" ref="H436:W436" si="103">H19</f>
        <v>4321</v>
      </c>
      <c r="I436" s="52">
        <f t="shared" si="103"/>
        <v>4321</v>
      </c>
      <c r="J436" s="52">
        <f t="shared" si="103"/>
        <v>4321</v>
      </c>
      <c r="K436" s="52">
        <f t="shared" si="103"/>
        <v>4321</v>
      </c>
      <c r="L436" s="52">
        <f t="shared" si="103"/>
        <v>4321</v>
      </c>
      <c r="M436" s="52">
        <f t="shared" si="103"/>
        <v>4321</v>
      </c>
      <c r="N436" s="52">
        <f t="shared" si="103"/>
        <v>4321</v>
      </c>
      <c r="O436" s="52">
        <f t="shared" si="103"/>
        <v>4321</v>
      </c>
      <c r="P436" s="52">
        <f t="shared" si="103"/>
        <v>4321</v>
      </c>
      <c r="Q436" s="52">
        <f t="shared" si="103"/>
        <v>4321</v>
      </c>
      <c r="R436" s="52">
        <f t="shared" si="103"/>
        <v>4321</v>
      </c>
      <c r="S436" s="52">
        <f t="shared" si="103"/>
        <v>4321</v>
      </c>
      <c r="T436" s="52">
        <f t="shared" si="103"/>
        <v>4321</v>
      </c>
      <c r="U436" s="52">
        <f t="shared" si="103"/>
        <v>4321</v>
      </c>
      <c r="V436" s="52">
        <f t="shared" si="103"/>
        <v>4321</v>
      </c>
      <c r="W436" s="52">
        <f t="shared" si="103"/>
        <v>4321</v>
      </c>
    </row>
    <row r="437" spans="1:23" s="40" customFormat="1" ht="15" customHeight="1">
      <c r="C437" s="221"/>
      <c r="D437" s="51"/>
    </row>
    <row r="438" spans="1:23" ht="15" customHeight="1">
      <c r="C438" s="222"/>
      <c r="D438" s="45" t="s">
        <v>220</v>
      </c>
      <c r="E438" s="46" t="s">
        <v>211</v>
      </c>
      <c r="H438" s="208">
        <v>621.24</v>
      </c>
      <c r="I438" s="208">
        <v>621.24</v>
      </c>
      <c r="J438" s="208">
        <v>621.24</v>
      </c>
      <c r="K438" s="208">
        <v>621.24</v>
      </c>
      <c r="L438" s="208">
        <v>621.24</v>
      </c>
      <c r="M438" s="208">
        <v>621.24</v>
      </c>
      <c r="N438" s="208">
        <v>621.24</v>
      </c>
      <c r="O438" s="208">
        <v>621.24</v>
      </c>
      <c r="P438" s="208">
        <v>621.24</v>
      </c>
      <c r="Q438" s="208">
        <v>621.24</v>
      </c>
      <c r="R438" s="208">
        <v>621.24</v>
      </c>
      <c r="S438" s="208">
        <v>621.24</v>
      </c>
      <c r="T438" s="208">
        <v>621.24</v>
      </c>
      <c r="U438" s="208">
        <v>621.24</v>
      </c>
      <c r="V438" s="208">
        <v>621.24</v>
      </c>
      <c r="W438" s="208">
        <v>621.24</v>
      </c>
    </row>
    <row r="439" spans="1:23" ht="15" customHeight="1">
      <c r="C439" s="222"/>
      <c r="D439" s="45"/>
      <c r="E439" s="30"/>
    </row>
    <row r="440" spans="1:23" s="40" customFormat="1" ht="15" customHeight="1">
      <c r="C440" s="221"/>
      <c r="D440" s="51" t="s">
        <v>217</v>
      </c>
      <c r="H440" s="52">
        <f>H436*H438</f>
        <v>2684378.04</v>
      </c>
      <c r="I440" s="52">
        <f t="shared" ref="I440:W440" si="104">I436*I438</f>
        <v>2684378.04</v>
      </c>
      <c r="J440" s="52">
        <f t="shared" si="104"/>
        <v>2684378.04</v>
      </c>
      <c r="K440" s="52">
        <f t="shared" si="104"/>
        <v>2684378.04</v>
      </c>
      <c r="L440" s="52">
        <f t="shared" si="104"/>
        <v>2684378.04</v>
      </c>
      <c r="M440" s="52">
        <f t="shared" si="104"/>
        <v>2684378.04</v>
      </c>
      <c r="N440" s="52">
        <f t="shared" si="104"/>
        <v>2684378.04</v>
      </c>
      <c r="O440" s="52">
        <f t="shared" si="104"/>
        <v>2684378.04</v>
      </c>
      <c r="P440" s="52">
        <f t="shared" si="104"/>
        <v>2684378.04</v>
      </c>
      <c r="Q440" s="52">
        <f t="shared" si="104"/>
        <v>2684378.04</v>
      </c>
      <c r="R440" s="52">
        <f t="shared" si="104"/>
        <v>2684378.04</v>
      </c>
      <c r="S440" s="52">
        <f t="shared" si="104"/>
        <v>2684378.04</v>
      </c>
      <c r="T440" s="52">
        <f t="shared" si="104"/>
        <v>2684378.04</v>
      </c>
      <c r="U440" s="52">
        <f t="shared" si="104"/>
        <v>2684378.04</v>
      </c>
      <c r="V440" s="52">
        <f t="shared" si="104"/>
        <v>2684378.04</v>
      </c>
      <c r="W440" s="52">
        <f t="shared" si="104"/>
        <v>2684378.04</v>
      </c>
    </row>
    <row r="441" spans="1:23" ht="15" customHeight="1">
      <c r="C441" s="222"/>
      <c r="D441" s="45"/>
      <c r="E441" s="30"/>
    </row>
    <row r="442" spans="1:23" ht="15" customHeight="1">
      <c r="C442" s="222"/>
      <c r="D442" s="53" t="s">
        <v>205</v>
      </c>
      <c r="E442" s="30"/>
      <c r="G442" s="229" t="s">
        <v>404</v>
      </c>
      <c r="H442" s="54">
        <f>H430+H440</f>
        <v>14852472.830433123</v>
      </c>
      <c r="I442" s="54">
        <f t="shared" ref="I442:W442" si="105">I430+I440</f>
        <v>17286091.788519748</v>
      </c>
      <c r="J442" s="54">
        <f t="shared" si="105"/>
        <v>20519467.790037684</v>
      </c>
      <c r="K442" s="54">
        <f t="shared" si="105"/>
        <v>22498314.211073976</v>
      </c>
      <c r="L442" s="54">
        <f t="shared" si="105"/>
        <v>23926162.753456697</v>
      </c>
      <c r="M442" s="54">
        <f t="shared" si="105"/>
        <v>25083349.825308237</v>
      </c>
      <c r="N442" s="54">
        <f t="shared" si="105"/>
        <v>25598526.176370323</v>
      </c>
      <c r="O442" s="54">
        <f t="shared" si="105"/>
        <v>26189773.976776719</v>
      </c>
      <c r="P442" s="54">
        <f t="shared" si="105"/>
        <v>26664698.575007495</v>
      </c>
      <c r="Q442" s="54">
        <f t="shared" si="105"/>
        <v>27216245.947312664</v>
      </c>
      <c r="R442" s="54">
        <f t="shared" si="105"/>
        <v>27780478.909180854</v>
      </c>
      <c r="S442" s="54">
        <f t="shared" si="105"/>
        <v>28428027.068046458</v>
      </c>
      <c r="T442" s="54">
        <f t="shared" si="105"/>
        <v>28948175.386522967</v>
      </c>
      <c r="U442" s="54">
        <f t="shared" si="105"/>
        <v>30354268.537000239</v>
      </c>
      <c r="V442" s="54">
        <f t="shared" si="105"/>
        <v>30990676.018431243</v>
      </c>
      <c r="W442" s="54">
        <f t="shared" si="105"/>
        <v>31721056.057776079</v>
      </c>
    </row>
    <row r="443" spans="1:23" ht="15" customHeight="1">
      <c r="C443" s="222"/>
      <c r="D443" s="45"/>
      <c r="E443" s="30"/>
    </row>
    <row r="444" spans="1:23" s="40" customFormat="1" ht="15" hidden="1" customHeight="1" outlineLevel="1">
      <c r="A444" s="2"/>
      <c r="C444" s="221"/>
      <c r="D444" s="58" t="s">
        <v>144</v>
      </c>
      <c r="E444" s="49"/>
      <c r="F444" s="49"/>
      <c r="G444" s="49"/>
      <c r="H444" s="207">
        <v>14852472.830433123</v>
      </c>
      <c r="I444" s="207">
        <v>17286091.788519748</v>
      </c>
      <c r="J444" s="207">
        <v>20519467.790037684</v>
      </c>
      <c r="K444" s="207">
        <v>22498314.211073972</v>
      </c>
      <c r="L444" s="207">
        <v>22898653.16731739</v>
      </c>
      <c r="M444" s="207">
        <v>23363581.495245691</v>
      </c>
      <c r="N444" s="207">
        <v>23839203.174716339</v>
      </c>
      <c r="O444" s="207">
        <v>24385055.621617045</v>
      </c>
      <c r="P444" s="207">
        <v>24823516.033409551</v>
      </c>
      <c r="Q444" s="207">
        <v>25332716.207257967</v>
      </c>
      <c r="R444" s="207">
        <v>25853627.9851049</v>
      </c>
      <c r="S444" s="207">
        <v>26451458.111085717</v>
      </c>
      <c r="T444" s="207">
        <v>26931670.015800681</v>
      </c>
      <c r="U444" s="207">
        <v>27489357.731244095</v>
      </c>
      <c r="V444" s="207">
        <v>28059872.264142707</v>
      </c>
      <c r="W444" s="207">
        <v>28643508.631298002</v>
      </c>
    </row>
    <row r="445" spans="1:23" s="40" customFormat="1" ht="15" hidden="1" customHeight="1" outlineLevel="1">
      <c r="A445" s="2"/>
      <c r="C445" s="221"/>
      <c r="D445" s="58" t="s">
        <v>145</v>
      </c>
      <c r="E445" s="49"/>
      <c r="F445" s="49"/>
      <c r="G445" s="49"/>
      <c r="H445" s="56">
        <f>H442-H444</f>
        <v>0</v>
      </c>
      <c r="I445" s="56">
        <f>I442-I444</f>
        <v>0</v>
      </c>
      <c r="J445" s="56">
        <f t="shared" ref="J445:W445" si="106">J442-J444</f>
        <v>0</v>
      </c>
      <c r="K445" s="56">
        <f t="shared" si="106"/>
        <v>0</v>
      </c>
      <c r="L445" s="56">
        <f t="shared" si="106"/>
        <v>1027509.5861393064</v>
      </c>
      <c r="M445" s="56">
        <f t="shared" si="106"/>
        <v>1719768.3300625458</v>
      </c>
      <c r="N445" s="56">
        <f t="shared" si="106"/>
        <v>1759323.0016539842</v>
      </c>
      <c r="O445" s="56">
        <f t="shared" si="106"/>
        <v>1804718.3551596738</v>
      </c>
      <c r="P445" s="56">
        <f t="shared" si="106"/>
        <v>1841182.5415979438</v>
      </c>
      <c r="Q445" s="56">
        <f t="shared" si="106"/>
        <v>1883529.7400546968</v>
      </c>
      <c r="R445" s="56">
        <f t="shared" si="106"/>
        <v>1926850.9240759537</v>
      </c>
      <c r="S445" s="56">
        <f t="shared" si="106"/>
        <v>1976568.9569607414</v>
      </c>
      <c r="T445" s="56">
        <f t="shared" si="106"/>
        <v>2016505.3707222864</v>
      </c>
      <c r="U445" s="56">
        <f t="shared" si="106"/>
        <v>2864910.8057561442</v>
      </c>
      <c r="V445" s="56">
        <f t="shared" si="106"/>
        <v>2930803.7542885356</v>
      </c>
      <c r="W445" s="56">
        <f t="shared" si="106"/>
        <v>3077547.4264780767</v>
      </c>
    </row>
    <row r="446" spans="1:23" s="40" customFormat="1" ht="15" hidden="1" customHeight="1" outlineLevel="1">
      <c r="A446" s="2"/>
      <c r="C446" s="221"/>
    </row>
    <row r="447" spans="1:23" s="40" customFormat="1" ht="15" customHeight="1" collapsed="1">
      <c r="A447" s="2"/>
      <c r="C447" s="221"/>
      <c r="D447" s="1" t="s">
        <v>221</v>
      </c>
      <c r="E447" s="1"/>
      <c r="F447" s="1"/>
      <c r="G447" s="1"/>
      <c r="H447" s="1"/>
      <c r="I447" s="1"/>
      <c r="J447" s="1"/>
      <c r="K447" s="1"/>
      <c r="L447" s="1"/>
      <c r="M447" s="1"/>
      <c r="N447" s="1"/>
      <c r="O447" s="1"/>
      <c r="P447" s="1"/>
      <c r="Q447" s="1"/>
      <c r="R447" s="1"/>
      <c r="S447" s="1"/>
      <c r="T447" s="1"/>
      <c r="U447" s="1"/>
      <c r="V447" s="1"/>
      <c r="W447" s="1"/>
    </row>
    <row r="448" spans="1:23" s="40" customFormat="1" ht="7.5" customHeight="1">
      <c r="A448" s="2"/>
      <c r="C448" s="221"/>
    </row>
    <row r="449" spans="1:23" s="40" customFormat="1" ht="15" customHeight="1">
      <c r="A449" s="2"/>
      <c r="C449" s="221"/>
      <c r="D449" s="68" t="s">
        <v>222</v>
      </c>
    </row>
    <row r="450" spans="1:23" s="40" customFormat="1" ht="15" customHeight="1">
      <c r="A450" s="2"/>
      <c r="C450" s="221"/>
      <c r="D450" s="51"/>
    </row>
    <row r="451" spans="1:23" s="40" customFormat="1" ht="15" customHeight="1">
      <c r="A451" s="2"/>
      <c r="C451" s="221"/>
      <c r="D451" s="51" t="s">
        <v>199</v>
      </c>
      <c r="H451" s="52">
        <f>H397</f>
        <v>168322261.74310178</v>
      </c>
      <c r="I451" s="52">
        <f t="shared" ref="I451:W451" si="107">I397</f>
        <v>217798007.06673145</v>
      </c>
      <c r="J451" s="52">
        <f t="shared" si="107"/>
        <v>277694998.17365968</v>
      </c>
      <c r="K451" s="52">
        <f t="shared" si="107"/>
        <v>313715362.18318737</v>
      </c>
      <c r="L451" s="52">
        <f t="shared" si="107"/>
        <v>336829939.36503136</v>
      </c>
      <c r="M451" s="52">
        <f t="shared" si="107"/>
        <v>356942432.94928634</v>
      </c>
      <c r="N451" s="52">
        <f t="shared" si="107"/>
        <v>365021572.02457315</v>
      </c>
      <c r="O451" s="52">
        <f t="shared" si="107"/>
        <v>374493828.57861227</v>
      </c>
      <c r="P451" s="52">
        <f t="shared" si="107"/>
        <v>381731637.72546238</v>
      </c>
      <c r="Q451" s="52">
        <f t="shared" si="107"/>
        <v>390370891.44811678</v>
      </c>
      <c r="R451" s="52">
        <f t="shared" si="107"/>
        <v>399205333.65776634</v>
      </c>
      <c r="S451" s="52">
        <f t="shared" si="107"/>
        <v>409565199.69157404</v>
      </c>
      <c r="T451" s="52">
        <f t="shared" si="107"/>
        <v>417477488.4814837</v>
      </c>
      <c r="U451" s="52">
        <f t="shared" si="107"/>
        <v>441909532.86904287</v>
      </c>
      <c r="V451" s="52">
        <f t="shared" si="107"/>
        <v>451914405.60910398</v>
      </c>
      <c r="W451" s="52">
        <f t="shared" si="107"/>
        <v>463463708.07353222</v>
      </c>
    </row>
    <row r="452" spans="1:23" s="40" customFormat="1" ht="15" customHeight="1">
      <c r="A452" s="2"/>
      <c r="C452" s="221"/>
      <c r="D452" s="51"/>
    </row>
    <row r="453" spans="1:23" s="40" customFormat="1" ht="15" customHeight="1">
      <c r="A453" s="2"/>
      <c r="C453" s="221"/>
      <c r="D453" s="48" t="s">
        <v>223</v>
      </c>
      <c r="H453" s="77">
        <f>-H422*H424</f>
        <v>-2483284.6511088004</v>
      </c>
      <c r="I453" s="77">
        <f t="shared" ref="I453:W453" si="108">-I422*I424</f>
        <v>-2979941.5813305606</v>
      </c>
      <c r="J453" s="77">
        <f t="shared" si="108"/>
        <v>-3639814.2347015687</v>
      </c>
      <c r="K453" s="77">
        <f t="shared" si="108"/>
        <v>-4043660.4430763214</v>
      </c>
      <c r="L453" s="77">
        <f t="shared" si="108"/>
        <v>-4335058.1047870805</v>
      </c>
      <c r="M453" s="77">
        <f t="shared" si="108"/>
        <v>-4571218.7316955589</v>
      </c>
      <c r="N453" s="77">
        <f t="shared" si="108"/>
        <v>-4676356.7625245554</v>
      </c>
      <c r="O453" s="77">
        <f t="shared" si="108"/>
        <v>-4797019.578934025</v>
      </c>
      <c r="P453" s="77">
        <f t="shared" si="108"/>
        <v>-4893942.9663280603</v>
      </c>
      <c r="Q453" s="77">
        <f t="shared" si="108"/>
        <v>-5006503.6545536052</v>
      </c>
      <c r="R453" s="77">
        <f t="shared" si="108"/>
        <v>-5121653.2386083379</v>
      </c>
      <c r="S453" s="77">
        <f t="shared" si="108"/>
        <v>-5253805.9240911137</v>
      </c>
      <c r="T453" s="77">
        <f t="shared" si="108"/>
        <v>-5359958.6421475438</v>
      </c>
      <c r="U453" s="77">
        <f t="shared" si="108"/>
        <v>-5646916.4279592326</v>
      </c>
      <c r="V453" s="77">
        <f t="shared" si="108"/>
        <v>-5776795.5058022942</v>
      </c>
      <c r="W453" s="77">
        <f t="shared" si="108"/>
        <v>-5925852.6566889957</v>
      </c>
    </row>
    <row r="454" spans="1:23" s="40" customFormat="1" ht="15" customHeight="1">
      <c r="A454" s="2"/>
      <c r="C454" s="221"/>
      <c r="D454" s="48" t="s">
        <v>224</v>
      </c>
      <c r="H454" s="213">
        <v>-5909665.7787812687</v>
      </c>
      <c r="I454" s="213">
        <v>-10637398.401806284</v>
      </c>
      <c r="J454" s="213">
        <v>-12994838.703174382</v>
      </c>
      <c r="K454" s="213">
        <v>-14436647.865652356</v>
      </c>
      <c r="L454" s="213">
        <v>-14728338.823219227</v>
      </c>
      <c r="M454" s="213">
        <v>-15067090.616153268</v>
      </c>
      <c r="N454" s="213">
        <v>-15413633.700324794</v>
      </c>
      <c r="O454" s="213">
        <v>-15811348.032362249</v>
      </c>
      <c r="P454" s="213">
        <v>-16130814.662767198</v>
      </c>
      <c r="Q454" s="213">
        <v>-16501823.400010848</v>
      </c>
      <c r="R454" s="213">
        <v>-16881365.338211093</v>
      </c>
      <c r="S454" s="213">
        <v>-17316951.201343775</v>
      </c>
      <c r="T454" s="213">
        <v>-17666838.386032723</v>
      </c>
      <c r="U454" s="213">
        <v>-18073175.668911472</v>
      </c>
      <c r="V454" s="213">
        <v>-18488858.709296439</v>
      </c>
      <c r="W454" s="213">
        <v>-18914102.882402681</v>
      </c>
    </row>
    <row r="455" spans="1:23" s="40" customFormat="1" ht="15" customHeight="1">
      <c r="A455" s="2"/>
      <c r="C455" s="221"/>
      <c r="D455" s="51"/>
    </row>
    <row r="456" spans="1:23" s="40" customFormat="1" ht="15" customHeight="1">
      <c r="A456" s="2"/>
      <c r="C456" s="221"/>
      <c r="D456" s="51" t="s">
        <v>225</v>
      </c>
      <c r="H456" s="52">
        <f>H451+H453+H454</f>
        <v>159929311.31321171</v>
      </c>
      <c r="I456" s="52">
        <f t="shared" ref="I456:W456" si="109">I451+I453+I454</f>
        <v>204180667.08359459</v>
      </c>
      <c r="J456" s="52">
        <f t="shared" si="109"/>
        <v>261060345.23578373</v>
      </c>
      <c r="K456" s="52">
        <f t="shared" si="109"/>
        <v>295235053.87445867</v>
      </c>
      <c r="L456" s="52">
        <f t="shared" si="109"/>
        <v>317766542.43702507</v>
      </c>
      <c r="M456" s="52">
        <f t="shared" si="109"/>
        <v>337304123.60143757</v>
      </c>
      <c r="N456" s="52">
        <f t="shared" si="109"/>
        <v>344931581.56172383</v>
      </c>
      <c r="O456" s="52">
        <f t="shared" si="109"/>
        <v>353885460.96731603</v>
      </c>
      <c r="P456" s="52">
        <f t="shared" si="109"/>
        <v>360706880.09636712</v>
      </c>
      <c r="Q456" s="52">
        <f t="shared" si="109"/>
        <v>368862564.39355236</v>
      </c>
      <c r="R456" s="52">
        <f t="shared" si="109"/>
        <v>377202315.08094686</v>
      </c>
      <c r="S456" s="52">
        <f t="shared" si="109"/>
        <v>386994442.56613916</v>
      </c>
      <c r="T456" s="52">
        <f t="shared" si="109"/>
        <v>394450691.45330346</v>
      </c>
      <c r="U456" s="52">
        <f t="shared" si="109"/>
        <v>418189440.77217221</v>
      </c>
      <c r="V456" s="52">
        <f t="shared" si="109"/>
        <v>427648751.39400524</v>
      </c>
      <c r="W456" s="52">
        <f t="shared" si="109"/>
        <v>438623752.53444058</v>
      </c>
    </row>
    <row r="457" spans="1:23" s="40" customFormat="1" ht="15" customHeight="1">
      <c r="A457" s="2"/>
      <c r="C457" s="221"/>
      <c r="D457" s="51"/>
    </row>
    <row r="458" spans="1:23" ht="15" customHeight="1">
      <c r="C458" s="222"/>
      <c r="D458" s="45" t="s">
        <v>206</v>
      </c>
      <c r="E458" s="46" t="s">
        <v>211</v>
      </c>
      <c r="H458" s="206">
        <v>0.05</v>
      </c>
      <c r="I458" s="206">
        <v>0.06</v>
      </c>
      <c r="J458" s="206">
        <v>0.06</v>
      </c>
      <c r="K458" s="206">
        <v>0.06</v>
      </c>
      <c r="L458" s="206">
        <v>0.06</v>
      </c>
      <c r="M458" s="206">
        <v>0.06</v>
      </c>
      <c r="N458" s="206">
        <v>0.06</v>
      </c>
      <c r="O458" s="206">
        <v>0.06</v>
      </c>
      <c r="P458" s="206">
        <v>0.06</v>
      </c>
      <c r="Q458" s="206">
        <v>0.06</v>
      </c>
      <c r="R458" s="206">
        <v>0.06</v>
      </c>
      <c r="S458" s="206">
        <v>0.06</v>
      </c>
      <c r="T458" s="206">
        <v>0.06</v>
      </c>
      <c r="U458" s="206">
        <v>0.06</v>
      </c>
      <c r="V458" s="206">
        <v>0.06</v>
      </c>
      <c r="W458" s="206">
        <v>0.06</v>
      </c>
    </row>
    <row r="459" spans="1:23" ht="15" customHeight="1">
      <c r="C459" s="222"/>
      <c r="D459" s="45"/>
      <c r="E459" s="30"/>
    </row>
    <row r="460" spans="1:23" ht="15" customHeight="1">
      <c r="C460" s="222"/>
      <c r="D460" s="53" t="s">
        <v>221</v>
      </c>
      <c r="E460" s="30"/>
      <c r="G460" s="229" t="s">
        <v>404</v>
      </c>
      <c r="H460" s="54">
        <f>H456*H458</f>
        <v>7996465.5656605856</v>
      </c>
      <c r="I460" s="54">
        <f t="shared" ref="I460:W460" si="110">I456*I458</f>
        <v>12250840.025015675</v>
      </c>
      <c r="J460" s="54">
        <f t="shared" si="110"/>
        <v>15663620.714147024</v>
      </c>
      <c r="K460" s="54">
        <f t="shared" si="110"/>
        <v>17714103.232467521</v>
      </c>
      <c r="L460" s="54">
        <f t="shared" si="110"/>
        <v>19065992.546221502</v>
      </c>
      <c r="M460" s="54">
        <f t="shared" si="110"/>
        <v>20238247.416086253</v>
      </c>
      <c r="N460" s="54">
        <f t="shared" si="110"/>
        <v>20695894.893703427</v>
      </c>
      <c r="O460" s="54">
        <f t="shared" si="110"/>
        <v>21233127.658038963</v>
      </c>
      <c r="P460" s="54">
        <f t="shared" si="110"/>
        <v>21642412.805782028</v>
      </c>
      <c r="Q460" s="54">
        <f t="shared" si="110"/>
        <v>22131753.86361314</v>
      </c>
      <c r="R460" s="54">
        <f t="shared" si="110"/>
        <v>22632138.904856812</v>
      </c>
      <c r="S460" s="54">
        <f t="shared" si="110"/>
        <v>23219666.553968348</v>
      </c>
      <c r="T460" s="54">
        <f t="shared" si="110"/>
        <v>23667041.487198208</v>
      </c>
      <c r="U460" s="54">
        <f t="shared" si="110"/>
        <v>25091366.446330331</v>
      </c>
      <c r="V460" s="54">
        <f t="shared" si="110"/>
        <v>25658925.083640315</v>
      </c>
      <c r="W460" s="54">
        <f t="shared" si="110"/>
        <v>26317425.152066432</v>
      </c>
    </row>
    <row r="461" spans="1:23" ht="15" customHeight="1">
      <c r="C461" s="222"/>
      <c r="D461" s="45"/>
      <c r="E461" s="30"/>
    </row>
    <row r="462" spans="1:23" s="40" customFormat="1" ht="15" hidden="1" customHeight="1" outlineLevel="1">
      <c r="A462" s="2"/>
      <c r="C462" s="221"/>
      <c r="D462" s="58" t="s">
        <v>144</v>
      </c>
      <c r="E462" s="49"/>
      <c r="F462" s="49"/>
      <c r="G462" s="49"/>
      <c r="H462" s="207">
        <v>7996465.5656605856</v>
      </c>
      <c r="I462" s="207">
        <v>12250840.025015676</v>
      </c>
      <c r="J462" s="207">
        <v>15663620.714147026</v>
      </c>
      <c r="K462" s="207">
        <v>17714103.232467521</v>
      </c>
      <c r="L462" s="207">
        <v>18054141.645670775</v>
      </c>
      <c r="M462" s="207">
        <v>18461745.72015262</v>
      </c>
      <c r="N462" s="207">
        <v>18878533.658763327</v>
      </c>
      <c r="O462" s="207">
        <v>19368874.151872505</v>
      </c>
      <c r="P462" s="207">
        <v>19740491.569941394</v>
      </c>
      <c r="Q462" s="207">
        <v>20186088.439348172</v>
      </c>
      <c r="R462" s="207">
        <v>20641723.175833751</v>
      </c>
      <c r="S462" s="207">
        <v>21177893.333421793</v>
      </c>
      <c r="T462" s="207">
        <v>21584013.704719428</v>
      </c>
      <c r="U462" s="207">
        <v>22071135.979971282</v>
      </c>
      <c r="V462" s="207">
        <v>22569229.316555012</v>
      </c>
      <c r="W462" s="207">
        <v>23078540.706336312</v>
      </c>
    </row>
    <row r="463" spans="1:23" s="40" customFormat="1" ht="15" hidden="1" customHeight="1" outlineLevel="1">
      <c r="A463" s="2"/>
      <c r="C463" s="221"/>
      <c r="D463" s="58" t="s">
        <v>145</v>
      </c>
      <c r="E463" s="49"/>
      <c r="F463" s="49"/>
      <c r="G463" s="49"/>
      <c r="H463" s="56">
        <f>H460-H462</f>
        <v>0</v>
      </c>
      <c r="I463" s="56">
        <f t="shared" ref="I463:W463" si="111">I460-I462</f>
        <v>0</v>
      </c>
      <c r="J463" s="56">
        <f t="shared" si="111"/>
        <v>0</v>
      </c>
      <c r="K463" s="56">
        <f t="shared" si="111"/>
        <v>0</v>
      </c>
      <c r="L463" s="56">
        <f t="shared" si="111"/>
        <v>1011850.9005507268</v>
      </c>
      <c r="M463" s="56">
        <f t="shared" si="111"/>
        <v>1776501.6959336326</v>
      </c>
      <c r="N463" s="56">
        <f t="shared" si="111"/>
        <v>1817361.2349401005</v>
      </c>
      <c r="O463" s="56">
        <f t="shared" si="111"/>
        <v>1864253.5061664581</v>
      </c>
      <c r="P463" s="56">
        <f t="shared" si="111"/>
        <v>1901921.2358406335</v>
      </c>
      <c r="Q463" s="56">
        <f t="shared" si="111"/>
        <v>1945665.4242649674</v>
      </c>
      <c r="R463" s="56">
        <f t="shared" si="111"/>
        <v>1990415.7290230617</v>
      </c>
      <c r="S463" s="56">
        <f t="shared" si="111"/>
        <v>2041773.2205465548</v>
      </c>
      <c r="T463" s="56">
        <f t="shared" si="111"/>
        <v>2083027.7824787796</v>
      </c>
      <c r="U463" s="56">
        <f t="shared" si="111"/>
        <v>3020230.4663590491</v>
      </c>
      <c r="V463" s="56">
        <f t="shared" si="111"/>
        <v>3089695.7670853026</v>
      </c>
      <c r="W463" s="56">
        <f t="shared" si="111"/>
        <v>3238884.4457301199</v>
      </c>
    </row>
    <row r="464" spans="1:23" s="40" customFormat="1" ht="15" hidden="1" customHeight="1" outlineLevel="1">
      <c r="A464" s="2"/>
      <c r="C464" s="221"/>
      <c r="D464" s="48"/>
      <c r="H464" s="60"/>
      <c r="I464" s="60"/>
      <c r="J464" s="60"/>
      <c r="K464" s="60"/>
      <c r="L464" s="60"/>
      <c r="M464" s="60"/>
      <c r="N464" s="60"/>
      <c r="O464" s="60"/>
      <c r="P464" s="60"/>
      <c r="Q464" s="60"/>
      <c r="R464" s="60"/>
      <c r="S464" s="60"/>
      <c r="T464" s="60"/>
      <c r="U464" s="60"/>
      <c r="V464" s="60"/>
      <c r="W464" s="60"/>
    </row>
    <row r="465" spans="1:23" s="40" customFormat="1" ht="15" customHeight="1" collapsed="1">
      <c r="A465" s="2"/>
      <c r="C465" s="221"/>
      <c r="D465" s="61" t="s">
        <v>204</v>
      </c>
    </row>
    <row r="466" spans="1:23" s="40" customFormat="1" ht="3.75" customHeight="1">
      <c r="A466" s="2"/>
      <c r="C466" s="221"/>
      <c r="D466" s="61"/>
    </row>
    <row r="467" spans="1:23" s="40" customFormat="1" ht="15" customHeight="1">
      <c r="A467" s="2"/>
      <c r="C467" s="221"/>
      <c r="D467" s="62" t="s">
        <v>208</v>
      </c>
      <c r="H467" s="63">
        <f>H442</f>
        <v>14852472.830433123</v>
      </c>
      <c r="I467" s="63">
        <f t="shared" ref="I467:W467" si="112">I442</f>
        <v>17286091.788519748</v>
      </c>
      <c r="J467" s="63">
        <f t="shared" si="112"/>
        <v>20519467.790037684</v>
      </c>
      <c r="K467" s="63">
        <f t="shared" si="112"/>
        <v>22498314.211073976</v>
      </c>
      <c r="L467" s="63">
        <f t="shared" si="112"/>
        <v>23926162.753456697</v>
      </c>
      <c r="M467" s="63">
        <f t="shared" si="112"/>
        <v>25083349.825308237</v>
      </c>
      <c r="N467" s="63">
        <f t="shared" si="112"/>
        <v>25598526.176370323</v>
      </c>
      <c r="O467" s="63">
        <f t="shared" si="112"/>
        <v>26189773.976776719</v>
      </c>
      <c r="P467" s="63">
        <f t="shared" si="112"/>
        <v>26664698.575007495</v>
      </c>
      <c r="Q467" s="63">
        <f t="shared" si="112"/>
        <v>27216245.947312664</v>
      </c>
      <c r="R467" s="63">
        <f t="shared" si="112"/>
        <v>27780478.909180854</v>
      </c>
      <c r="S467" s="63">
        <f t="shared" si="112"/>
        <v>28428027.068046458</v>
      </c>
      <c r="T467" s="63">
        <f t="shared" si="112"/>
        <v>28948175.386522967</v>
      </c>
      <c r="U467" s="63">
        <f t="shared" si="112"/>
        <v>30354268.537000239</v>
      </c>
      <c r="V467" s="63">
        <f t="shared" si="112"/>
        <v>30990676.018431243</v>
      </c>
      <c r="W467" s="63">
        <f t="shared" si="112"/>
        <v>31721056.057776079</v>
      </c>
    </row>
    <row r="468" spans="1:23" s="40" customFormat="1" ht="15" customHeight="1">
      <c r="A468" s="2"/>
      <c r="C468" s="221"/>
      <c r="D468" s="62" t="s">
        <v>206</v>
      </c>
      <c r="H468" s="64">
        <f>H460</f>
        <v>7996465.5656605856</v>
      </c>
      <c r="I468" s="64">
        <f t="shared" ref="I468:W468" si="113">I460</f>
        <v>12250840.025015675</v>
      </c>
      <c r="J468" s="64">
        <f t="shared" si="113"/>
        <v>15663620.714147024</v>
      </c>
      <c r="K468" s="64">
        <f t="shared" si="113"/>
        <v>17714103.232467521</v>
      </c>
      <c r="L468" s="64">
        <f t="shared" si="113"/>
        <v>19065992.546221502</v>
      </c>
      <c r="M468" s="64">
        <f t="shared" si="113"/>
        <v>20238247.416086253</v>
      </c>
      <c r="N468" s="64">
        <f t="shared" si="113"/>
        <v>20695894.893703427</v>
      </c>
      <c r="O468" s="64">
        <f t="shared" si="113"/>
        <v>21233127.658038963</v>
      </c>
      <c r="P468" s="64">
        <f t="shared" si="113"/>
        <v>21642412.805782028</v>
      </c>
      <c r="Q468" s="64">
        <f t="shared" si="113"/>
        <v>22131753.86361314</v>
      </c>
      <c r="R468" s="64">
        <f t="shared" si="113"/>
        <v>22632138.904856812</v>
      </c>
      <c r="S468" s="64">
        <f t="shared" si="113"/>
        <v>23219666.553968348</v>
      </c>
      <c r="T468" s="64">
        <f t="shared" si="113"/>
        <v>23667041.487198208</v>
      </c>
      <c r="U468" s="64">
        <f t="shared" si="113"/>
        <v>25091366.446330331</v>
      </c>
      <c r="V468" s="64">
        <f t="shared" si="113"/>
        <v>25658925.083640315</v>
      </c>
      <c r="W468" s="64">
        <f t="shared" si="113"/>
        <v>26317425.152066432</v>
      </c>
    </row>
    <row r="469" spans="1:23" s="40" customFormat="1" ht="15" customHeight="1">
      <c r="A469" s="2"/>
      <c r="C469" s="221"/>
      <c r="D469" s="65" t="s">
        <v>226</v>
      </c>
      <c r="H469" s="66">
        <f>SUM(H467:H468)</f>
        <v>22848938.396093708</v>
      </c>
      <c r="I469" s="66">
        <f t="shared" ref="I469:W469" si="114">SUM(I467:I468)</f>
        <v>29536931.813535422</v>
      </c>
      <c r="J469" s="66">
        <f t="shared" si="114"/>
        <v>36183088.504184708</v>
      </c>
      <c r="K469" s="66">
        <f t="shared" si="114"/>
        <v>40212417.443541497</v>
      </c>
      <c r="L469" s="66">
        <f t="shared" si="114"/>
        <v>42992155.299678199</v>
      </c>
      <c r="M469" s="66">
        <f t="shared" si="114"/>
        <v>45321597.24139449</v>
      </c>
      <c r="N469" s="66">
        <f t="shared" si="114"/>
        <v>46294421.070073754</v>
      </c>
      <c r="O469" s="66">
        <f t="shared" si="114"/>
        <v>47422901.634815678</v>
      </c>
      <c r="P469" s="66">
        <f t="shared" si="114"/>
        <v>48307111.380789518</v>
      </c>
      <c r="Q469" s="66">
        <f t="shared" si="114"/>
        <v>49347999.810925804</v>
      </c>
      <c r="R469" s="66">
        <f t="shared" si="114"/>
        <v>50412617.814037666</v>
      </c>
      <c r="S469" s="66">
        <f t="shared" si="114"/>
        <v>51647693.622014806</v>
      </c>
      <c r="T469" s="66">
        <f t="shared" si="114"/>
        <v>52615216.873721175</v>
      </c>
      <c r="U469" s="66">
        <f t="shared" si="114"/>
        <v>55445634.98333057</v>
      </c>
      <c r="V469" s="66">
        <f t="shared" si="114"/>
        <v>56649601.102071553</v>
      </c>
      <c r="W469" s="66">
        <f t="shared" si="114"/>
        <v>58038481.209842511</v>
      </c>
    </row>
    <row r="470" spans="1:23" s="40" customFormat="1" ht="15" customHeight="1">
      <c r="A470" s="2"/>
      <c r="C470" s="221"/>
    </row>
    <row r="471" spans="1:23" s="40" customFormat="1" ht="15" hidden="1" customHeight="1" outlineLevel="1">
      <c r="A471" s="2"/>
      <c r="C471" s="221"/>
      <c r="D471" s="58" t="s">
        <v>144</v>
      </c>
      <c r="E471" s="49"/>
      <c r="F471" s="49"/>
      <c r="G471" s="49"/>
      <c r="H471" s="207">
        <v>22848938.396093708</v>
      </c>
      <c r="I471" s="207">
        <v>29536931.813535422</v>
      </c>
      <c r="J471" s="207">
        <v>36183088.504184708</v>
      </c>
      <c r="K471" s="207">
        <v>40212417.443541497</v>
      </c>
      <c r="L471" s="207">
        <v>40952794.812988162</v>
      </c>
      <c r="M471" s="207">
        <v>41825327.215398312</v>
      </c>
      <c r="N471" s="207">
        <v>42717736.833479665</v>
      </c>
      <c r="O471" s="207">
        <v>43753929.77348955</v>
      </c>
      <c r="P471" s="207">
        <v>44564007.603350945</v>
      </c>
      <c r="Q471" s="207">
        <v>45518804.64660614</v>
      </c>
      <c r="R471" s="207">
        <v>46495351.16093865</v>
      </c>
      <c r="S471" s="207">
        <v>47629351.444507509</v>
      </c>
      <c r="T471" s="207">
        <v>48515683.720520109</v>
      </c>
      <c r="U471" s="207">
        <v>49560493.711215377</v>
      </c>
      <c r="V471" s="207">
        <v>50629101.580697715</v>
      </c>
      <c r="W471" s="207">
        <v>51722049.33763431</v>
      </c>
    </row>
    <row r="472" spans="1:23" s="40" customFormat="1" ht="15" hidden="1" customHeight="1" outlineLevel="1">
      <c r="A472" s="2"/>
      <c r="C472" s="221"/>
      <c r="D472" s="58" t="s">
        <v>145</v>
      </c>
      <c r="E472" s="49"/>
      <c r="F472" s="49"/>
      <c r="G472" s="49"/>
      <c r="H472" s="56">
        <f>H469-H471</f>
        <v>0</v>
      </c>
      <c r="I472" s="56">
        <f t="shared" ref="I472:W472" si="115">I469-I471</f>
        <v>0</v>
      </c>
      <c r="J472" s="56">
        <f t="shared" si="115"/>
        <v>0</v>
      </c>
      <c r="K472" s="56">
        <f t="shared" si="115"/>
        <v>0</v>
      </c>
      <c r="L472" s="56">
        <f t="shared" si="115"/>
        <v>2039360.486690037</v>
      </c>
      <c r="M472" s="56">
        <f t="shared" si="115"/>
        <v>3496270.0259961784</v>
      </c>
      <c r="N472" s="56">
        <f t="shared" si="115"/>
        <v>3576684.2365940884</v>
      </c>
      <c r="O472" s="56">
        <f t="shared" si="115"/>
        <v>3668971.8613261282</v>
      </c>
      <c r="P472" s="56">
        <f t="shared" si="115"/>
        <v>3743103.7774385735</v>
      </c>
      <c r="Q472" s="56">
        <f t="shared" si="115"/>
        <v>3829195.1643196642</v>
      </c>
      <c r="R472" s="56">
        <f t="shared" si="115"/>
        <v>3917266.6530990154</v>
      </c>
      <c r="S472" s="56">
        <f t="shared" si="115"/>
        <v>4018342.1775072962</v>
      </c>
      <c r="T472" s="56">
        <f t="shared" si="115"/>
        <v>4099533.153201066</v>
      </c>
      <c r="U472" s="56">
        <f t="shared" si="115"/>
        <v>5885141.2721151933</v>
      </c>
      <c r="V472" s="56">
        <f t="shared" si="115"/>
        <v>6020499.5213738382</v>
      </c>
      <c r="W472" s="56">
        <f t="shared" si="115"/>
        <v>6316431.8722082004</v>
      </c>
    </row>
    <row r="473" spans="1:23" s="40" customFormat="1" ht="15" hidden="1" customHeight="1" outlineLevel="1">
      <c r="A473" s="2"/>
      <c r="C473" s="221"/>
      <c r="D473" s="48"/>
      <c r="H473" s="60"/>
      <c r="I473" s="60"/>
      <c r="J473" s="60"/>
      <c r="K473" s="60"/>
      <c r="L473" s="60"/>
      <c r="M473" s="60"/>
      <c r="N473" s="60"/>
      <c r="O473" s="60"/>
      <c r="P473" s="60"/>
      <c r="Q473" s="60"/>
      <c r="R473" s="60"/>
      <c r="S473" s="60"/>
      <c r="T473" s="60"/>
      <c r="U473" s="60"/>
      <c r="V473" s="60"/>
      <c r="W473" s="60"/>
    </row>
    <row r="474" spans="1:23" s="40" customFormat="1" ht="15" customHeight="1" collapsed="1">
      <c r="A474" s="2"/>
      <c r="C474" s="43">
        <v>1.6</v>
      </c>
      <c r="D474" s="1" t="s">
        <v>227</v>
      </c>
      <c r="E474" s="1"/>
      <c r="F474" s="1"/>
      <c r="G474" s="1"/>
      <c r="H474" s="1"/>
      <c r="I474" s="1"/>
      <c r="J474" s="1"/>
      <c r="K474" s="1"/>
      <c r="L474" s="1"/>
      <c r="M474" s="1"/>
      <c r="N474" s="1"/>
      <c r="O474" s="1"/>
      <c r="P474" s="1"/>
      <c r="Q474" s="1"/>
      <c r="R474" s="1"/>
      <c r="S474" s="1"/>
      <c r="T474" s="1"/>
      <c r="U474" s="1"/>
      <c r="V474" s="1"/>
      <c r="W474" s="1"/>
    </row>
    <row r="475" spans="1:23" s="40" customFormat="1" ht="7.5" customHeight="1">
      <c r="A475" s="2"/>
      <c r="C475" s="221"/>
    </row>
    <row r="476" spans="1:23" s="40" customFormat="1" ht="15" customHeight="1">
      <c r="A476" s="2"/>
      <c r="C476" s="221"/>
      <c r="D476" s="44" t="s">
        <v>228</v>
      </c>
    </row>
    <row r="477" spans="1:23" s="40" customFormat="1" ht="15" customHeight="1">
      <c r="C477" s="221"/>
      <c r="D477" s="51"/>
    </row>
    <row r="478" spans="1:23" s="40" customFormat="1" ht="15" customHeight="1">
      <c r="C478" s="221"/>
      <c r="D478" s="51" t="s">
        <v>153</v>
      </c>
      <c r="H478" s="52">
        <f t="shared" ref="H478:W478" si="116">H69</f>
        <v>295483288.93906343</v>
      </c>
      <c r="I478" s="52">
        <f t="shared" si="116"/>
        <v>354579946.72687614</v>
      </c>
      <c r="J478" s="52">
        <f t="shared" si="116"/>
        <v>433161290.10581279</v>
      </c>
      <c r="K478" s="52">
        <f t="shared" si="116"/>
        <v>481221595.52174515</v>
      </c>
      <c r="L478" s="52">
        <f t="shared" si="116"/>
        <v>511914210.83123893</v>
      </c>
      <c r="M478" s="52">
        <f t="shared" si="116"/>
        <v>539664028.9945215</v>
      </c>
      <c r="N478" s="52">
        <f t="shared" si="116"/>
        <v>552076301.66139543</v>
      </c>
      <c r="O478" s="52">
        <f t="shared" si="116"/>
        <v>566321376.92696047</v>
      </c>
      <c r="P478" s="52">
        <f t="shared" si="116"/>
        <v>577763859.90139842</v>
      </c>
      <c r="Q478" s="52">
        <f t="shared" si="116"/>
        <v>591052428.67913055</v>
      </c>
      <c r="R478" s="52">
        <f t="shared" si="116"/>
        <v>604646634.53875053</v>
      </c>
      <c r="S478" s="52">
        <f t="shared" si="116"/>
        <v>620248167.86331987</v>
      </c>
      <c r="T478" s="52">
        <f t="shared" si="116"/>
        <v>632780237.79720402</v>
      </c>
      <c r="U478" s="52">
        <f t="shared" si="116"/>
        <v>666497357.51341164</v>
      </c>
      <c r="V478" s="52">
        <f t="shared" si="116"/>
        <v>681826796.73622012</v>
      </c>
      <c r="W478" s="52">
        <f t="shared" si="116"/>
        <v>699127898.95606887</v>
      </c>
    </row>
    <row r="479" spans="1:23" s="40" customFormat="1" ht="15" customHeight="1">
      <c r="C479" s="221"/>
      <c r="D479" s="51"/>
    </row>
    <row r="480" spans="1:23" ht="15" customHeight="1">
      <c r="A480" s="40"/>
      <c r="B480" s="50" t="s">
        <v>139</v>
      </c>
      <c r="C480" s="222"/>
      <c r="D480" s="45" t="s">
        <v>229</v>
      </c>
      <c r="E480" s="46" t="s">
        <v>211</v>
      </c>
      <c r="H480" s="212">
        <v>0.02</v>
      </c>
      <c r="I480" s="212">
        <v>0.03</v>
      </c>
      <c r="J480" s="212">
        <v>2.9999999999999995E-2</v>
      </c>
      <c r="K480" s="212">
        <v>3.0000000000000006E-2</v>
      </c>
      <c r="L480" s="212">
        <v>3.0000000000000002E-2</v>
      </c>
      <c r="M480" s="212">
        <v>3.0000000000000002E-2</v>
      </c>
      <c r="N480" s="212">
        <v>3.0000000000000006E-2</v>
      </c>
      <c r="O480" s="212">
        <v>3.0000000000000009E-2</v>
      </c>
      <c r="P480" s="212">
        <v>0.03</v>
      </c>
      <c r="Q480" s="212">
        <v>3.0000000000000002E-2</v>
      </c>
      <c r="R480" s="212">
        <v>3.0000000000000002E-2</v>
      </c>
      <c r="S480" s="212">
        <v>3.0000000000000006E-2</v>
      </c>
      <c r="T480" s="212">
        <v>3.0000000000000013E-2</v>
      </c>
      <c r="U480" s="212">
        <v>3.0000000000000013E-2</v>
      </c>
      <c r="V480" s="212">
        <v>3.0000000000000013E-2</v>
      </c>
      <c r="W480" s="212">
        <v>3.0000000000000002E-2</v>
      </c>
    </row>
    <row r="481" spans="2:23" s="40" customFormat="1" ht="15" customHeight="1">
      <c r="C481" s="221"/>
    </row>
    <row r="482" spans="2:23" s="40" customFormat="1" ht="15" customHeight="1">
      <c r="C482" s="221"/>
      <c r="D482" s="53" t="s">
        <v>227</v>
      </c>
      <c r="G482" s="229" t="s">
        <v>404</v>
      </c>
      <c r="H482" s="54">
        <f>H478*H480</f>
        <v>5909665.7787812687</v>
      </c>
      <c r="I482" s="54">
        <f t="shared" ref="I482:W482" si="117">I478*I480</f>
        <v>10637398.401806284</v>
      </c>
      <c r="J482" s="54">
        <f t="shared" si="117"/>
        <v>12994838.703174382</v>
      </c>
      <c r="K482" s="54">
        <f t="shared" si="117"/>
        <v>14436647.865652356</v>
      </c>
      <c r="L482" s="54">
        <f t="shared" si="117"/>
        <v>15357426.324937169</v>
      </c>
      <c r="M482" s="54">
        <f t="shared" si="117"/>
        <v>16189920.869835647</v>
      </c>
      <c r="N482" s="54">
        <f t="shared" si="117"/>
        <v>16562289.049841866</v>
      </c>
      <c r="O482" s="54">
        <f t="shared" si="117"/>
        <v>16989641.30780882</v>
      </c>
      <c r="P482" s="54">
        <f t="shared" si="117"/>
        <v>17332915.797041953</v>
      </c>
      <c r="Q482" s="54">
        <f t="shared" si="117"/>
        <v>17731572.860373918</v>
      </c>
      <c r="R482" s="54">
        <f t="shared" si="117"/>
        <v>18139399.036162518</v>
      </c>
      <c r="S482" s="54">
        <f t="shared" si="117"/>
        <v>18607445.035899598</v>
      </c>
      <c r="T482" s="54">
        <f t="shared" si="117"/>
        <v>18983407.133916128</v>
      </c>
      <c r="U482" s="54">
        <f t="shared" si="117"/>
        <v>19994920.725402359</v>
      </c>
      <c r="V482" s="54">
        <f t="shared" si="117"/>
        <v>20454803.902086612</v>
      </c>
      <c r="W482" s="54">
        <f t="shared" si="117"/>
        <v>20973836.968682069</v>
      </c>
    </row>
    <row r="483" spans="2:23" ht="15" customHeight="1">
      <c r="C483" s="222"/>
      <c r="D483" s="45"/>
      <c r="E483" s="30"/>
    </row>
    <row r="484" spans="2:23" s="40" customFormat="1" ht="15" customHeight="1" outlineLevel="1">
      <c r="C484" s="221"/>
      <c r="D484" s="58" t="s">
        <v>144</v>
      </c>
      <c r="E484" s="49"/>
      <c r="F484" s="49"/>
      <c r="G484" s="49"/>
      <c r="H484" s="207">
        <v>5909665.7787812687</v>
      </c>
      <c r="I484" s="207">
        <v>10637398.401806284</v>
      </c>
      <c r="J484" s="207">
        <v>12994838.703174382</v>
      </c>
      <c r="K484" s="207">
        <v>14436647.865652356</v>
      </c>
      <c r="L484" s="207">
        <v>14728338.823219227</v>
      </c>
      <c r="M484" s="207">
        <v>15067090.616153268</v>
      </c>
      <c r="N484" s="207">
        <v>15413633.700324794</v>
      </c>
      <c r="O484" s="207">
        <v>15811348.032362249</v>
      </c>
      <c r="P484" s="207">
        <v>16130814.662767198</v>
      </c>
      <c r="Q484" s="207">
        <v>16501823.400010848</v>
      </c>
      <c r="R484" s="207">
        <v>16881365.338211093</v>
      </c>
      <c r="S484" s="207">
        <v>17316951.201343775</v>
      </c>
      <c r="T484" s="207">
        <v>17666838.386032723</v>
      </c>
      <c r="U484" s="207">
        <v>18073175.668911472</v>
      </c>
      <c r="V484" s="207">
        <v>18488858.709296439</v>
      </c>
      <c r="W484" s="207">
        <v>18914102.882402681</v>
      </c>
    </row>
    <row r="485" spans="2:23" s="40" customFormat="1" ht="15" customHeight="1" outlineLevel="1">
      <c r="C485" s="221"/>
      <c r="D485" s="58" t="s">
        <v>145</v>
      </c>
      <c r="E485" s="49"/>
      <c r="F485" s="49"/>
      <c r="G485" s="49"/>
      <c r="H485" s="56">
        <f>H482-H484</f>
        <v>0</v>
      </c>
      <c r="I485" s="56">
        <f t="shared" ref="I485:W485" si="118">I482-I484</f>
        <v>0</v>
      </c>
      <c r="J485" s="56">
        <f t="shared" si="118"/>
        <v>0</v>
      </c>
      <c r="K485" s="56">
        <f t="shared" si="118"/>
        <v>0</v>
      </c>
      <c r="L485" s="56">
        <f t="shared" si="118"/>
        <v>629087.50171794184</v>
      </c>
      <c r="M485" s="56">
        <f t="shared" si="118"/>
        <v>1122830.2536823787</v>
      </c>
      <c r="N485" s="56">
        <f t="shared" si="118"/>
        <v>1148655.3495170716</v>
      </c>
      <c r="O485" s="56">
        <f t="shared" si="118"/>
        <v>1178293.2754465714</v>
      </c>
      <c r="P485" s="56">
        <f t="shared" si="118"/>
        <v>1202101.1342747547</v>
      </c>
      <c r="Q485" s="56">
        <f t="shared" si="118"/>
        <v>1229749.4603630695</v>
      </c>
      <c r="R485" s="56">
        <f t="shared" si="118"/>
        <v>1258033.6979514249</v>
      </c>
      <c r="S485" s="56">
        <f t="shared" si="118"/>
        <v>1290493.8345558234</v>
      </c>
      <c r="T485" s="56">
        <f t="shared" si="118"/>
        <v>1316568.7478834055</v>
      </c>
      <c r="U485" s="56">
        <f t="shared" si="118"/>
        <v>1921745.056490887</v>
      </c>
      <c r="V485" s="56">
        <f t="shared" si="118"/>
        <v>1965945.192790173</v>
      </c>
      <c r="W485" s="56">
        <f t="shared" si="118"/>
        <v>2059734.0862793885</v>
      </c>
    </row>
    <row r="486" spans="2:23" s="40" customFormat="1" ht="15" customHeight="1" outlineLevel="1">
      <c r="C486" s="221"/>
    </row>
    <row r="487" spans="2:23" s="40" customFormat="1" ht="15" customHeight="1">
      <c r="C487" s="43">
        <v>1.7</v>
      </c>
      <c r="D487" s="1" t="s">
        <v>230</v>
      </c>
      <c r="E487" s="1"/>
      <c r="F487" s="1"/>
      <c r="G487" s="1"/>
      <c r="H487" s="1"/>
      <c r="I487" s="1"/>
      <c r="J487" s="1"/>
      <c r="K487" s="1"/>
      <c r="L487" s="1"/>
      <c r="M487" s="1"/>
      <c r="N487" s="1"/>
      <c r="O487" s="1"/>
      <c r="P487" s="1"/>
      <c r="Q487" s="1"/>
      <c r="R487" s="1"/>
      <c r="S487" s="1"/>
      <c r="T487" s="1"/>
      <c r="U487" s="1"/>
      <c r="V487" s="1"/>
      <c r="W487" s="1"/>
    </row>
    <row r="488" spans="2:23" s="40" customFormat="1" ht="7.5" customHeight="1">
      <c r="C488" s="221"/>
    </row>
    <row r="489" spans="2:23" s="40" customFormat="1" ht="15" customHeight="1">
      <c r="C489" s="221"/>
      <c r="D489" s="44" t="s">
        <v>161</v>
      </c>
    </row>
    <row r="490" spans="2:23" s="40" customFormat="1" ht="15" customHeight="1">
      <c r="C490" s="221"/>
      <c r="D490" s="51"/>
    </row>
    <row r="491" spans="2:23" s="40" customFormat="1" ht="15" customHeight="1">
      <c r="C491" s="221"/>
      <c r="D491" s="51" t="s">
        <v>231</v>
      </c>
      <c r="H491" s="209">
        <v>1404000</v>
      </c>
    </row>
    <row r="492" spans="2:23" s="40" customFormat="1" ht="15" customHeight="1">
      <c r="C492" s="221"/>
      <c r="D492" s="51"/>
    </row>
    <row r="493" spans="2:23" ht="15" customHeight="1">
      <c r="B493" s="50" t="s">
        <v>139</v>
      </c>
      <c r="C493" s="222"/>
      <c r="D493" s="45" t="s">
        <v>165</v>
      </c>
      <c r="E493" s="46" t="s">
        <v>137</v>
      </c>
      <c r="H493" s="74" t="s">
        <v>166</v>
      </c>
      <c r="I493" s="214">
        <v>0.19999999999999996</v>
      </c>
      <c r="J493" s="214">
        <v>0.15300000000000002</v>
      </c>
      <c r="K493" s="214">
        <v>0.10791703380165707</v>
      </c>
      <c r="L493" s="212">
        <v>2.2999999999999909E-2</v>
      </c>
      <c r="M493" s="212">
        <v>2.2999999999999909E-2</v>
      </c>
      <c r="N493" s="212">
        <v>2.2999999999999909E-2</v>
      </c>
      <c r="O493" s="212">
        <v>2.2999999999999909E-2</v>
      </c>
      <c r="P493" s="212">
        <v>2.2999999999999909E-2</v>
      </c>
      <c r="Q493" s="212">
        <v>2.2999999999999909E-2</v>
      </c>
      <c r="R493" s="212">
        <v>2.2999999999999909E-2</v>
      </c>
      <c r="S493" s="212">
        <v>2.2999999999999909E-2</v>
      </c>
      <c r="T493" s="212">
        <v>2.2999999999999909E-2</v>
      </c>
      <c r="U493" s="212">
        <v>2.2999999999999909E-2</v>
      </c>
      <c r="V493" s="212">
        <v>2.2999999999999909E-2</v>
      </c>
      <c r="W493" s="212">
        <v>2.0204918032787338E-2</v>
      </c>
    </row>
    <row r="494" spans="2:23" ht="15" customHeight="1">
      <c r="C494" s="222"/>
      <c r="E494" s="30"/>
    </row>
    <row r="495" spans="2:23" s="40" customFormat="1" ht="15" customHeight="1">
      <c r="C495" s="221"/>
      <c r="D495" s="53" t="s">
        <v>230</v>
      </c>
      <c r="H495" s="54">
        <f>H491</f>
        <v>1404000</v>
      </c>
      <c r="I495" s="54">
        <f>H495*(1+I493)</f>
        <v>1684800</v>
      </c>
      <c r="J495" s="54">
        <f t="shared" ref="J495:W495" si="119">I495*(1+J493)</f>
        <v>1942574.4000000001</v>
      </c>
      <c r="K495" s="54">
        <f t="shared" si="119"/>
        <v>2152211.2671870338</v>
      </c>
      <c r="L495" s="54">
        <f t="shared" si="119"/>
        <v>2201712.1263323352</v>
      </c>
      <c r="M495" s="54">
        <f t="shared" si="119"/>
        <v>2252351.5052379789</v>
      </c>
      <c r="N495" s="54">
        <f t="shared" si="119"/>
        <v>2304155.5898584523</v>
      </c>
      <c r="O495" s="54">
        <f t="shared" si="119"/>
        <v>2357151.1684251963</v>
      </c>
      <c r="P495" s="54">
        <f t="shared" si="119"/>
        <v>2411365.6452989755</v>
      </c>
      <c r="Q495" s="54">
        <f t="shared" si="119"/>
        <v>2466827.0551408515</v>
      </c>
      <c r="R495" s="54">
        <f t="shared" si="119"/>
        <v>2523564.0774090909</v>
      </c>
      <c r="S495" s="54">
        <f t="shared" si="119"/>
        <v>2581606.0511894999</v>
      </c>
      <c r="T495" s="54">
        <f t="shared" si="119"/>
        <v>2640982.990366858</v>
      </c>
      <c r="U495" s="54">
        <f t="shared" si="119"/>
        <v>2701725.5991452956</v>
      </c>
      <c r="V495" s="54">
        <f t="shared" si="119"/>
        <v>2763865.2879256373</v>
      </c>
      <c r="W495" s="54">
        <f t="shared" si="119"/>
        <v>2819708.9595218408</v>
      </c>
    </row>
    <row r="496" spans="2:23" s="40" customFormat="1" ht="15" customHeight="1">
      <c r="C496" s="221"/>
    </row>
    <row r="497" spans="1:23" s="40" customFormat="1" ht="15" hidden="1" customHeight="1" outlineLevel="1">
      <c r="C497" s="221"/>
      <c r="D497" s="58" t="s">
        <v>144</v>
      </c>
      <c r="E497" s="49"/>
      <c r="F497" s="49"/>
      <c r="G497" s="49"/>
      <c r="H497" s="207">
        <v>1404000</v>
      </c>
      <c r="I497" s="207">
        <v>1684800</v>
      </c>
      <c r="J497" s="207">
        <v>1942574.4000000001</v>
      </c>
      <c r="K497" s="207">
        <v>2152211.2671870338</v>
      </c>
      <c r="L497" s="207">
        <v>2201712.1263323352</v>
      </c>
      <c r="M497" s="207">
        <v>2252351.5052379789</v>
      </c>
      <c r="N497" s="207">
        <v>2304155.5898584523</v>
      </c>
      <c r="O497" s="207">
        <v>2357151.1684251963</v>
      </c>
      <c r="P497" s="207">
        <v>2411365.6452989755</v>
      </c>
      <c r="Q497" s="207">
        <v>2466827.0551408515</v>
      </c>
      <c r="R497" s="207">
        <v>2523564.0774090909</v>
      </c>
      <c r="S497" s="207">
        <v>2581606.0511894999</v>
      </c>
      <c r="T497" s="207">
        <v>2640982.990366858</v>
      </c>
      <c r="U497" s="207">
        <v>2701725.5991452956</v>
      </c>
      <c r="V497" s="207">
        <v>2763865.2879256373</v>
      </c>
      <c r="W497" s="207">
        <v>2819708.9595218408</v>
      </c>
    </row>
    <row r="498" spans="1:23" s="40" customFormat="1" ht="15" hidden="1" customHeight="1" outlineLevel="1">
      <c r="C498" s="221"/>
      <c r="D498" s="58" t="s">
        <v>145</v>
      </c>
      <c r="E498" s="49"/>
      <c r="F498" s="49"/>
      <c r="G498" s="49"/>
      <c r="H498" s="56">
        <f>H495-H497</f>
        <v>0</v>
      </c>
      <c r="I498" s="56">
        <f t="shared" ref="I498:W498" si="120">I495-I497</f>
        <v>0</v>
      </c>
      <c r="J498" s="56">
        <f t="shared" si="120"/>
        <v>0</v>
      </c>
      <c r="K498" s="56">
        <f t="shared" si="120"/>
        <v>0</v>
      </c>
      <c r="L498" s="56">
        <f t="shared" si="120"/>
        <v>0</v>
      </c>
      <c r="M498" s="56">
        <f t="shared" si="120"/>
        <v>0</v>
      </c>
      <c r="N498" s="56">
        <f t="shared" si="120"/>
        <v>0</v>
      </c>
      <c r="O498" s="56">
        <f t="shared" si="120"/>
        <v>0</v>
      </c>
      <c r="P498" s="56">
        <f t="shared" si="120"/>
        <v>0</v>
      </c>
      <c r="Q498" s="56">
        <f t="shared" si="120"/>
        <v>0</v>
      </c>
      <c r="R498" s="56">
        <f t="shared" si="120"/>
        <v>0</v>
      </c>
      <c r="S498" s="56">
        <f t="shared" si="120"/>
        <v>0</v>
      </c>
      <c r="T498" s="56">
        <f t="shared" si="120"/>
        <v>0</v>
      </c>
      <c r="U498" s="56">
        <f t="shared" si="120"/>
        <v>0</v>
      </c>
      <c r="V498" s="56">
        <f t="shared" si="120"/>
        <v>0</v>
      </c>
      <c r="W498" s="56">
        <f t="shared" si="120"/>
        <v>0</v>
      </c>
    </row>
    <row r="499" spans="1:23" s="40" customFormat="1" ht="15" hidden="1" customHeight="1" outlineLevel="1">
      <c r="C499" s="221"/>
    </row>
    <row r="500" spans="1:23" s="40" customFormat="1" ht="15" customHeight="1" collapsed="1">
      <c r="B500" s="50" t="s">
        <v>139</v>
      </c>
      <c r="C500" s="43">
        <v>1.8</v>
      </c>
      <c r="D500" s="1" t="s">
        <v>232</v>
      </c>
      <c r="E500" s="1"/>
      <c r="F500" s="1"/>
      <c r="G500" s="1"/>
      <c r="H500" s="1"/>
      <c r="I500" s="1"/>
      <c r="J500" s="1"/>
      <c r="K500" s="1"/>
      <c r="L500" s="1"/>
      <c r="M500" s="1"/>
      <c r="N500" s="1"/>
      <c r="O500" s="1"/>
      <c r="P500" s="1"/>
      <c r="Q500" s="1"/>
      <c r="R500" s="1"/>
      <c r="S500" s="1"/>
      <c r="T500" s="1"/>
      <c r="U500" s="1"/>
      <c r="V500" s="1"/>
      <c r="W500" s="1"/>
    </row>
    <row r="501" spans="1:23" s="40" customFormat="1" ht="7.5" customHeight="1">
      <c r="C501" s="221"/>
    </row>
    <row r="502" spans="1:23" s="40" customFormat="1" ht="6" customHeight="1">
      <c r="C502" s="221"/>
      <c r="D502" s="51"/>
    </row>
    <row r="503" spans="1:23" s="40" customFormat="1" ht="15" customHeight="1">
      <c r="C503" s="221"/>
      <c r="D503" s="51" t="s">
        <v>39</v>
      </c>
      <c r="H503" s="213">
        <f>FS!G21*10^6</f>
        <v>55588998.194392078</v>
      </c>
      <c r="I503" s="213">
        <f>FS!H21*10^6</f>
        <v>82660330.452265084</v>
      </c>
      <c r="J503" s="213">
        <f>FS!I21*10^6</f>
        <v>132525362.09377985</v>
      </c>
      <c r="K503" s="213">
        <f>FS!J21*10^6</f>
        <v>162089509.66538674</v>
      </c>
      <c r="L503" s="213">
        <f>FS!K21*10^6</f>
        <v>180673984.43387818</v>
      </c>
      <c r="M503" s="213">
        <f>FS!L21*10^6</f>
        <v>196789401.32189983</v>
      </c>
      <c r="N503" s="213">
        <f>FS!M21*10^6</f>
        <v>202682875.6996462</v>
      </c>
      <c r="O503" s="213">
        <f>FS!N21*10^6</f>
        <v>209753736.07933569</v>
      </c>
      <c r="P503" s="213">
        <f>FS!O21*10^6</f>
        <v>214913670.16966674</v>
      </c>
      <c r="Q503" s="213">
        <f>FS!P21*10^6</f>
        <v>221258445.93378422</v>
      </c>
      <c r="R503" s="213">
        <f>FS!Q21*10^6</f>
        <v>227761279.6372892</v>
      </c>
      <c r="S503" s="213">
        <f>FS!R21*10^6</f>
        <v>235554962.80422586</v>
      </c>
      <c r="T503" s="213">
        <f>FS!S21*10^6</f>
        <v>241257170.3990463</v>
      </c>
      <c r="U503" s="213">
        <f>FS!T21*10^6</f>
        <v>260977542.75935346</v>
      </c>
      <c r="V503" s="213">
        <f>FS!U21*10^6</f>
        <v>268446101.68793881</v>
      </c>
      <c r="W503" s="213">
        <f>FS!V21*10^6</f>
        <v>277220479.48986405</v>
      </c>
    </row>
    <row r="504" spans="1:23" s="40" customFormat="1" ht="15" customHeight="1">
      <c r="C504" s="221"/>
      <c r="D504" s="51"/>
    </row>
    <row r="505" spans="1:23" ht="15" customHeight="1">
      <c r="A505" s="40"/>
      <c r="B505" s="40"/>
      <c r="C505" s="222"/>
      <c r="D505" s="45" t="s">
        <v>235</v>
      </c>
      <c r="E505" s="46" t="s">
        <v>211</v>
      </c>
      <c r="H505" s="212">
        <v>2.5000000000000001E-2</v>
      </c>
      <c r="I505" s="212">
        <f>H505</f>
        <v>2.5000000000000001E-2</v>
      </c>
      <c r="J505" s="212">
        <f t="shared" ref="J505:W505" si="121">I505</f>
        <v>2.5000000000000001E-2</v>
      </c>
      <c r="K505" s="212">
        <f t="shared" si="121"/>
        <v>2.5000000000000001E-2</v>
      </c>
      <c r="L505" s="212">
        <f t="shared" si="121"/>
        <v>2.5000000000000001E-2</v>
      </c>
      <c r="M505" s="212">
        <f t="shared" si="121"/>
        <v>2.5000000000000001E-2</v>
      </c>
      <c r="N505" s="212">
        <f t="shared" si="121"/>
        <v>2.5000000000000001E-2</v>
      </c>
      <c r="O505" s="212">
        <f t="shared" si="121"/>
        <v>2.5000000000000001E-2</v>
      </c>
      <c r="P505" s="212">
        <f t="shared" si="121"/>
        <v>2.5000000000000001E-2</v>
      </c>
      <c r="Q505" s="212">
        <f t="shared" si="121"/>
        <v>2.5000000000000001E-2</v>
      </c>
      <c r="R505" s="212">
        <f t="shared" si="121"/>
        <v>2.5000000000000001E-2</v>
      </c>
      <c r="S505" s="212">
        <f t="shared" si="121"/>
        <v>2.5000000000000001E-2</v>
      </c>
      <c r="T505" s="212">
        <f t="shared" si="121"/>
        <v>2.5000000000000001E-2</v>
      </c>
      <c r="U505" s="212">
        <f t="shared" si="121"/>
        <v>2.5000000000000001E-2</v>
      </c>
      <c r="V505" s="212">
        <f t="shared" si="121"/>
        <v>2.5000000000000001E-2</v>
      </c>
      <c r="W505" s="212">
        <f t="shared" si="121"/>
        <v>2.5000000000000001E-2</v>
      </c>
    </row>
    <row r="506" spans="1:23" s="40" customFormat="1" ht="15" customHeight="1">
      <c r="C506" s="221"/>
    </row>
    <row r="507" spans="1:23" s="40" customFormat="1" ht="15" customHeight="1">
      <c r="C507" s="221"/>
      <c r="D507" s="53" t="s">
        <v>236</v>
      </c>
      <c r="G507" s="229" t="s">
        <v>404</v>
      </c>
      <c r="H507" s="78">
        <f>H505*H503</f>
        <v>1389724.954859802</v>
      </c>
      <c r="I507" s="78">
        <f t="shared" ref="I507:W507" si="122">I505*I503</f>
        <v>2066508.2613066272</v>
      </c>
      <c r="J507" s="78">
        <f t="shared" si="122"/>
        <v>3313134.0523444964</v>
      </c>
      <c r="K507" s="78">
        <f t="shared" si="122"/>
        <v>4052237.7416346688</v>
      </c>
      <c r="L507" s="78">
        <f t="shared" si="122"/>
        <v>4516849.6108469544</v>
      </c>
      <c r="M507" s="78">
        <f t="shared" si="122"/>
        <v>4919735.0330474963</v>
      </c>
      <c r="N507" s="78">
        <f t="shared" si="122"/>
        <v>5067071.8924911553</v>
      </c>
      <c r="O507" s="78">
        <f t="shared" si="122"/>
        <v>5243843.4019833924</v>
      </c>
      <c r="P507" s="78">
        <f t="shared" si="122"/>
        <v>5372841.7542416686</v>
      </c>
      <c r="Q507" s="78">
        <f t="shared" si="122"/>
        <v>5531461.1483446062</v>
      </c>
      <c r="R507" s="78">
        <f t="shared" si="122"/>
        <v>5694031.9909322299</v>
      </c>
      <c r="S507" s="78">
        <f t="shared" si="122"/>
        <v>5888874.0701056467</v>
      </c>
      <c r="T507" s="78">
        <f t="shared" si="122"/>
        <v>6031429.2599761579</v>
      </c>
      <c r="U507" s="78">
        <f t="shared" si="122"/>
        <v>6524438.568983837</v>
      </c>
      <c r="V507" s="78">
        <f t="shared" si="122"/>
        <v>6711152.5421984708</v>
      </c>
      <c r="W507" s="78">
        <f t="shared" si="122"/>
        <v>6930511.9872466018</v>
      </c>
    </row>
    <row r="508" spans="1:23" s="40" customFormat="1" ht="15" customHeight="1">
      <c r="C508" s="221"/>
    </row>
    <row r="509" spans="1:23" s="40" customFormat="1" ht="15" hidden="1" customHeight="1" outlineLevel="1">
      <c r="C509" s="221"/>
      <c r="D509" s="58" t="s">
        <v>144</v>
      </c>
      <c r="H509" s="207">
        <v>0</v>
      </c>
      <c r="I509" s="207">
        <v>0</v>
      </c>
      <c r="J509" s="207">
        <v>0</v>
      </c>
      <c r="K509" s="207">
        <v>0</v>
      </c>
      <c r="L509" s="207">
        <v>17026.893190580806</v>
      </c>
      <c r="M509" s="207">
        <v>822062.96888831386</v>
      </c>
      <c r="N509" s="207">
        <v>1365945.832176331</v>
      </c>
      <c r="O509" s="207">
        <v>1978532.2672955506</v>
      </c>
      <c r="P509" s="207">
        <v>2590344.6477474878</v>
      </c>
      <c r="Q509" s="207">
        <v>3280174.8422238687</v>
      </c>
      <c r="R509" s="207">
        <v>4014719.1105396072</v>
      </c>
      <c r="S509" s="207">
        <v>6038906.8888828522</v>
      </c>
      <c r="T509" s="207">
        <v>6185400.3500259351</v>
      </c>
      <c r="U509" s="207">
        <v>6362389.1094647469</v>
      </c>
      <c r="V509" s="207">
        <v>6543749.5623869887</v>
      </c>
      <c r="W509" s="207">
        <v>6729785.4365971796</v>
      </c>
    </row>
    <row r="510" spans="1:23" s="40" customFormat="1" ht="15" hidden="1" customHeight="1" outlineLevel="1">
      <c r="C510" s="221"/>
      <c r="D510" s="58" t="s">
        <v>145</v>
      </c>
      <c r="H510" s="56">
        <f t="shared" ref="H510:W510" si="123">H507-H509</f>
        <v>1389724.954859802</v>
      </c>
      <c r="I510" s="56">
        <f t="shared" si="123"/>
        <v>2066508.2613066272</v>
      </c>
      <c r="J510" s="56">
        <f t="shared" si="123"/>
        <v>3313134.0523444964</v>
      </c>
      <c r="K510" s="56">
        <f t="shared" si="123"/>
        <v>4052237.7416346688</v>
      </c>
      <c r="L510" s="56">
        <f t="shared" si="123"/>
        <v>4499822.717656374</v>
      </c>
      <c r="M510" s="56">
        <f t="shared" si="123"/>
        <v>4097672.0641591824</v>
      </c>
      <c r="N510" s="56">
        <f t="shared" si="123"/>
        <v>3701126.0603148243</v>
      </c>
      <c r="O510" s="56">
        <f t="shared" si="123"/>
        <v>3265311.1346878419</v>
      </c>
      <c r="P510" s="56">
        <f t="shared" si="123"/>
        <v>2782497.1064941809</v>
      </c>
      <c r="Q510" s="56">
        <f t="shared" si="123"/>
        <v>2251286.3061207375</v>
      </c>
      <c r="R510" s="56">
        <f t="shared" si="123"/>
        <v>1679312.8803926227</v>
      </c>
      <c r="S510" s="56">
        <f t="shared" si="123"/>
        <v>-150032.81877720542</v>
      </c>
      <c r="T510" s="56">
        <f t="shared" si="123"/>
        <v>-153971.09004977718</v>
      </c>
      <c r="U510" s="56">
        <f t="shared" si="123"/>
        <v>162049.45951909013</v>
      </c>
      <c r="V510" s="56">
        <f t="shared" si="123"/>
        <v>167402.97981148213</v>
      </c>
      <c r="W510" s="56">
        <f t="shared" si="123"/>
        <v>200726.55064942222</v>
      </c>
    </row>
    <row r="511" spans="1:23" s="40" customFormat="1" ht="15" hidden="1" customHeight="1" outlineLevel="1">
      <c r="C511" s="221"/>
    </row>
    <row r="512" spans="1:23" s="40" customFormat="1" ht="15" customHeight="1" outlineLevel="1">
      <c r="C512" s="221"/>
      <c r="D512" s="40" t="s">
        <v>318</v>
      </c>
      <c r="H512" s="95">
        <f>N544</f>
        <v>1288143</v>
      </c>
      <c r="I512" s="95">
        <f t="shared" ref="I512:W512" si="124">H515</f>
        <v>0</v>
      </c>
      <c r="J512" s="95">
        <f t="shared" si="124"/>
        <v>0</v>
      </c>
      <c r="K512" s="95">
        <f t="shared" si="124"/>
        <v>0</v>
      </c>
      <c r="L512" s="95">
        <f t="shared" si="124"/>
        <v>0</v>
      </c>
      <c r="M512" s="95">
        <f t="shared" si="124"/>
        <v>0</v>
      </c>
      <c r="N512" s="95">
        <f t="shared" si="124"/>
        <v>0</v>
      </c>
      <c r="O512" s="95">
        <f t="shared" si="124"/>
        <v>0</v>
      </c>
      <c r="P512" s="95">
        <f t="shared" si="124"/>
        <v>0</v>
      </c>
      <c r="Q512" s="95">
        <f t="shared" si="124"/>
        <v>0</v>
      </c>
      <c r="R512" s="95">
        <f t="shared" si="124"/>
        <v>0</v>
      </c>
      <c r="S512" s="95">
        <f t="shared" si="124"/>
        <v>0</v>
      </c>
      <c r="T512" s="95">
        <f t="shared" si="124"/>
        <v>0</v>
      </c>
      <c r="U512" s="95">
        <f t="shared" si="124"/>
        <v>0</v>
      </c>
      <c r="V512" s="95">
        <f t="shared" si="124"/>
        <v>0</v>
      </c>
      <c r="W512" s="95">
        <f t="shared" si="124"/>
        <v>0</v>
      </c>
    </row>
    <row r="513" spans="2:24" s="40" customFormat="1" ht="15" customHeight="1" outlineLevel="1">
      <c r="C513" s="221"/>
      <c r="D513" s="40" t="s">
        <v>322</v>
      </c>
      <c r="H513" s="95">
        <f t="shared" ref="H513:W513" si="125">H507</f>
        <v>1389724.954859802</v>
      </c>
      <c r="I513" s="95">
        <f t="shared" si="125"/>
        <v>2066508.2613066272</v>
      </c>
      <c r="J513" s="95">
        <f t="shared" si="125"/>
        <v>3313134.0523444964</v>
      </c>
      <c r="K513" s="95">
        <f t="shared" si="125"/>
        <v>4052237.7416346688</v>
      </c>
      <c r="L513" s="95">
        <f t="shared" si="125"/>
        <v>4516849.6108469544</v>
      </c>
      <c r="M513" s="95">
        <f t="shared" si="125"/>
        <v>4919735.0330474963</v>
      </c>
      <c r="N513" s="95">
        <f t="shared" si="125"/>
        <v>5067071.8924911553</v>
      </c>
      <c r="O513" s="95">
        <f t="shared" si="125"/>
        <v>5243843.4019833924</v>
      </c>
      <c r="P513" s="95">
        <f t="shared" si="125"/>
        <v>5372841.7542416686</v>
      </c>
      <c r="Q513" s="95">
        <f t="shared" si="125"/>
        <v>5531461.1483446062</v>
      </c>
      <c r="R513" s="95">
        <f t="shared" si="125"/>
        <v>5694031.9909322299</v>
      </c>
      <c r="S513" s="95">
        <f t="shared" si="125"/>
        <v>5888874.0701056467</v>
      </c>
      <c r="T513" s="95">
        <f t="shared" si="125"/>
        <v>6031429.2599761579</v>
      </c>
      <c r="U513" s="95">
        <f t="shared" si="125"/>
        <v>6524438.568983837</v>
      </c>
      <c r="V513" s="95">
        <f t="shared" si="125"/>
        <v>6711152.5421984708</v>
      </c>
      <c r="W513" s="95">
        <f t="shared" si="125"/>
        <v>6930511.9872466018</v>
      </c>
    </row>
    <row r="514" spans="2:24" s="40" customFormat="1" ht="15" customHeight="1" outlineLevel="1">
      <c r="C514" s="221"/>
      <c r="D514" s="40" t="s">
        <v>323</v>
      </c>
      <c r="H514" s="95">
        <f t="shared" ref="H514:W514" si="126">-SUM(H512:H513)</f>
        <v>-2677867.954859802</v>
      </c>
      <c r="I514" s="95">
        <f t="shared" si="126"/>
        <v>-2066508.2613066272</v>
      </c>
      <c r="J514" s="95">
        <f t="shared" si="126"/>
        <v>-3313134.0523444964</v>
      </c>
      <c r="K514" s="95">
        <f t="shared" si="126"/>
        <v>-4052237.7416346688</v>
      </c>
      <c r="L514" s="95">
        <f t="shared" si="126"/>
        <v>-4516849.6108469544</v>
      </c>
      <c r="M514" s="95">
        <f t="shared" si="126"/>
        <v>-4919735.0330474963</v>
      </c>
      <c r="N514" s="95">
        <f t="shared" si="126"/>
        <v>-5067071.8924911553</v>
      </c>
      <c r="O514" s="95">
        <f t="shared" si="126"/>
        <v>-5243843.4019833924</v>
      </c>
      <c r="P514" s="95">
        <f t="shared" si="126"/>
        <v>-5372841.7542416686</v>
      </c>
      <c r="Q514" s="95">
        <f t="shared" si="126"/>
        <v>-5531461.1483446062</v>
      </c>
      <c r="R514" s="95">
        <f t="shared" si="126"/>
        <v>-5694031.9909322299</v>
      </c>
      <c r="S514" s="95">
        <f t="shared" si="126"/>
        <v>-5888874.0701056467</v>
      </c>
      <c r="T514" s="95">
        <f t="shared" si="126"/>
        <v>-6031429.2599761579</v>
      </c>
      <c r="U514" s="95">
        <f t="shared" si="126"/>
        <v>-6524438.568983837</v>
      </c>
      <c r="V514" s="95">
        <f t="shared" si="126"/>
        <v>-6711152.5421984708</v>
      </c>
      <c r="W514" s="95">
        <f t="shared" si="126"/>
        <v>-6930511.9872466018</v>
      </c>
    </row>
    <row r="515" spans="2:24" s="40" customFormat="1" ht="15" customHeight="1" outlineLevel="1">
      <c r="C515" s="221"/>
      <c r="D515" s="40" t="s">
        <v>296</v>
      </c>
      <c r="H515" s="95">
        <f t="shared" ref="H515:W515" si="127">SUM(H512:H514)</f>
        <v>0</v>
      </c>
      <c r="I515" s="95">
        <f t="shared" si="127"/>
        <v>0</v>
      </c>
      <c r="J515" s="95">
        <f t="shared" si="127"/>
        <v>0</v>
      </c>
      <c r="K515" s="95">
        <f t="shared" si="127"/>
        <v>0</v>
      </c>
      <c r="L515" s="95">
        <f t="shared" si="127"/>
        <v>0</v>
      </c>
      <c r="M515" s="95">
        <f t="shared" si="127"/>
        <v>0</v>
      </c>
      <c r="N515" s="95">
        <f t="shared" si="127"/>
        <v>0</v>
      </c>
      <c r="O515" s="95">
        <f t="shared" si="127"/>
        <v>0</v>
      </c>
      <c r="P515" s="95">
        <f t="shared" si="127"/>
        <v>0</v>
      </c>
      <c r="Q515" s="95">
        <f t="shared" si="127"/>
        <v>0</v>
      </c>
      <c r="R515" s="95">
        <f t="shared" si="127"/>
        <v>0</v>
      </c>
      <c r="S515" s="95">
        <f t="shared" si="127"/>
        <v>0</v>
      </c>
      <c r="T515" s="95">
        <f t="shared" si="127"/>
        <v>0</v>
      </c>
      <c r="U515" s="95">
        <f t="shared" si="127"/>
        <v>0</v>
      </c>
      <c r="V515" s="95">
        <f t="shared" si="127"/>
        <v>0</v>
      </c>
      <c r="W515" s="95">
        <f t="shared" si="127"/>
        <v>0</v>
      </c>
    </row>
    <row r="516" spans="2:24" s="40" customFormat="1" ht="15" customHeight="1" outlineLevel="1">
      <c r="C516" s="221"/>
    </row>
    <row r="517" spans="2:24" s="40" customFormat="1" ht="15" customHeight="1">
      <c r="B517" s="197">
        <v>2</v>
      </c>
      <c r="C517" s="197"/>
      <c r="D517" s="198" t="s">
        <v>46</v>
      </c>
      <c r="E517" s="198"/>
      <c r="F517" s="198"/>
      <c r="G517" s="198"/>
      <c r="H517" s="198"/>
      <c r="I517" s="198"/>
      <c r="J517" s="198"/>
      <c r="K517" s="198"/>
      <c r="L517" s="198"/>
      <c r="M517" s="198"/>
      <c r="N517" s="198"/>
      <c r="O517" s="198"/>
      <c r="P517" s="198"/>
      <c r="Q517" s="198"/>
      <c r="R517" s="198"/>
      <c r="S517" s="198"/>
      <c r="T517" s="198"/>
      <c r="U517" s="198"/>
      <c r="V517" s="198"/>
      <c r="W517" s="198"/>
    </row>
    <row r="518" spans="2:24" s="40" customFormat="1" ht="7.5" customHeight="1">
      <c r="C518" s="221"/>
    </row>
    <row r="519" spans="2:24" s="40" customFormat="1" ht="57" customHeight="1">
      <c r="C519" s="221"/>
      <c r="D519" s="42" t="s">
        <v>452</v>
      </c>
    </row>
    <row r="520" spans="2:24" s="40" customFormat="1" ht="15" customHeight="1">
      <c r="C520" s="221"/>
    </row>
    <row r="521" spans="2:24" s="40" customFormat="1" ht="15" customHeight="1">
      <c r="C521" s="79">
        <v>2.1</v>
      </c>
      <c r="D521" s="79" t="s">
        <v>237</v>
      </c>
      <c r="E521" s="1"/>
      <c r="F521" s="1"/>
      <c r="G521" s="1"/>
      <c r="H521" s="1"/>
      <c r="I521" s="1"/>
      <c r="J521" s="1"/>
      <c r="K521" s="1"/>
      <c r="L521" s="1"/>
      <c r="M521" s="1"/>
      <c r="N521" s="1"/>
      <c r="O521" s="1"/>
      <c r="P521" s="1"/>
      <c r="Q521" s="1"/>
      <c r="R521" s="1"/>
      <c r="S521" s="1"/>
      <c r="T521" s="1"/>
      <c r="U521" s="1"/>
      <c r="V521" s="1"/>
      <c r="W521" s="1"/>
    </row>
    <row r="522" spans="2:24" s="40" customFormat="1" ht="7.5" customHeight="1">
      <c r="C522" s="221"/>
    </row>
    <row r="523" spans="2:24" s="40" customFormat="1" ht="15" customHeight="1">
      <c r="C523" s="221"/>
    </row>
    <row r="524" spans="2:24" ht="15" customHeight="1">
      <c r="C524" s="1" t="s">
        <v>47</v>
      </c>
      <c r="D524" s="1"/>
      <c r="E524" s="40"/>
      <c r="F524" s="40"/>
      <c r="G524" s="40"/>
      <c r="H524" s="80" t="s">
        <v>238</v>
      </c>
      <c r="I524" s="7" t="s">
        <v>239</v>
      </c>
      <c r="J524" s="7" t="s">
        <v>240</v>
      </c>
      <c r="K524" s="7" t="s">
        <v>241</v>
      </c>
      <c r="L524" s="7" t="s">
        <v>242</v>
      </c>
      <c r="M524" s="7" t="s">
        <v>243</v>
      </c>
      <c r="N524" s="6" t="s">
        <v>238</v>
      </c>
      <c r="O524" s="40"/>
      <c r="P524" s="40"/>
      <c r="Q524" s="40"/>
      <c r="R524" s="40"/>
      <c r="S524" s="40"/>
      <c r="T524" s="40"/>
      <c r="U524" s="40"/>
      <c r="V524" s="40"/>
      <c r="W524" s="40"/>
      <c r="X524" s="40"/>
    </row>
    <row r="525" spans="2:24" ht="15" customHeight="1">
      <c r="C525" s="1"/>
      <c r="D525" s="1"/>
      <c r="E525" s="40"/>
      <c r="F525" s="40"/>
      <c r="G525" s="40"/>
      <c r="H525" s="81" t="s">
        <v>244</v>
      </c>
      <c r="I525" s="82" t="s">
        <v>245</v>
      </c>
      <c r="J525" s="82" t="s">
        <v>246</v>
      </c>
      <c r="K525" s="82" t="s">
        <v>247</v>
      </c>
      <c r="L525" s="82" t="s">
        <v>248</v>
      </c>
      <c r="M525" s="82" t="s">
        <v>249</v>
      </c>
      <c r="N525" s="83" t="s">
        <v>250</v>
      </c>
      <c r="O525" s="40"/>
      <c r="P525" s="40"/>
      <c r="Q525" s="40"/>
      <c r="R525" s="40"/>
      <c r="S525" s="40"/>
      <c r="T525" s="40"/>
      <c r="U525" s="40"/>
      <c r="V525" s="40"/>
      <c r="W525" s="40"/>
      <c r="X525" s="40"/>
    </row>
    <row r="526" spans="2:24" ht="15" customHeight="1">
      <c r="C526" s="2" t="s">
        <v>64</v>
      </c>
      <c r="E526" s="40"/>
      <c r="F526" s="40"/>
      <c r="G526" s="40"/>
      <c r="H526" s="215">
        <v>158571021.04117498</v>
      </c>
      <c r="I526" s="216">
        <v>0</v>
      </c>
      <c r="J526" s="216">
        <v>350000000</v>
      </c>
      <c r="K526" s="84">
        <f>K541</f>
        <v>-99198607</v>
      </c>
      <c r="L526" s="84">
        <f>-(J526+K526)</f>
        <v>-250801393</v>
      </c>
      <c r="M526" s="216">
        <v>0</v>
      </c>
      <c r="N526" s="85">
        <f>SUM(H526:M526)</f>
        <v>158571021.04117501</v>
      </c>
      <c r="O526" s="40"/>
      <c r="P526" s="40"/>
      <c r="Q526" s="40"/>
      <c r="R526" s="40"/>
      <c r="S526" s="40"/>
      <c r="T526" s="40"/>
      <c r="U526" s="40"/>
      <c r="V526" s="40"/>
      <c r="W526" s="40"/>
      <c r="X526" s="40"/>
    </row>
    <row r="527" spans="2:24" ht="15" customHeight="1">
      <c r="C527" s="2" t="s">
        <v>65</v>
      </c>
      <c r="E527" s="40"/>
      <c r="F527" s="40"/>
      <c r="G527" s="40"/>
      <c r="H527" s="215">
        <v>0</v>
      </c>
      <c r="I527" s="216">
        <v>0</v>
      </c>
      <c r="J527" s="216">
        <v>0</v>
      </c>
      <c r="K527" s="216">
        <v>0</v>
      </c>
      <c r="L527" s="216">
        <v>0</v>
      </c>
      <c r="M527" s="216">
        <v>0</v>
      </c>
      <c r="N527" s="85">
        <f t="shared" ref="N527:N538" si="128">SUM(H527:M527)</f>
        <v>0</v>
      </c>
      <c r="O527" s="40"/>
      <c r="P527" s="40"/>
      <c r="Q527" s="40"/>
      <c r="R527" s="40"/>
      <c r="S527" s="40"/>
      <c r="T527" s="40"/>
      <c r="U527" s="40"/>
      <c r="V527" s="40"/>
      <c r="W527" s="40"/>
      <c r="X527" s="40"/>
    </row>
    <row r="528" spans="2:24" ht="15" customHeight="1">
      <c r="C528" s="2" t="s">
        <v>66</v>
      </c>
      <c r="E528" s="40"/>
      <c r="F528" s="40"/>
      <c r="G528" s="40"/>
      <c r="H528" s="215">
        <v>5673452</v>
      </c>
      <c r="I528" s="216">
        <v>0</v>
      </c>
      <c r="J528" s="216">
        <v>0</v>
      </c>
      <c r="K528" s="216">
        <v>0</v>
      </c>
      <c r="L528" s="216">
        <v>0</v>
      </c>
      <c r="M528" s="216">
        <v>0</v>
      </c>
      <c r="N528" s="85">
        <f t="shared" si="128"/>
        <v>5673452</v>
      </c>
      <c r="O528" s="40"/>
      <c r="P528" s="40"/>
      <c r="Q528" s="40"/>
      <c r="R528" s="40"/>
      <c r="S528" s="40"/>
      <c r="T528" s="40"/>
      <c r="U528" s="40"/>
      <c r="V528" s="40"/>
      <c r="W528" s="40"/>
      <c r="X528" s="40"/>
    </row>
    <row r="529" spans="2:24" ht="15" customHeight="1">
      <c r="C529" s="2" t="s">
        <v>67</v>
      </c>
      <c r="E529" s="40"/>
      <c r="F529" s="40"/>
      <c r="G529" s="40"/>
      <c r="H529" s="215">
        <v>1631188</v>
      </c>
      <c r="I529" s="216">
        <v>0</v>
      </c>
      <c r="J529" s="216">
        <v>0</v>
      </c>
      <c r="K529" s="216">
        <v>0</v>
      </c>
      <c r="L529" s="216">
        <v>0</v>
      </c>
      <c r="M529" s="216">
        <v>0</v>
      </c>
      <c r="N529" s="85">
        <f t="shared" si="128"/>
        <v>1631188</v>
      </c>
      <c r="O529" s="40"/>
      <c r="P529" s="40"/>
      <c r="Q529" s="40"/>
      <c r="R529" s="40"/>
      <c r="S529" s="40"/>
      <c r="T529" s="40"/>
      <c r="U529" s="40"/>
      <c r="V529" s="40"/>
      <c r="W529" s="40"/>
      <c r="X529" s="40"/>
    </row>
    <row r="530" spans="2:24" ht="15" customHeight="1">
      <c r="C530" s="2" t="s">
        <v>68</v>
      </c>
      <c r="E530" s="40"/>
      <c r="F530" s="40"/>
      <c r="G530" s="40"/>
      <c r="H530" s="215">
        <v>5541381</v>
      </c>
      <c r="I530" s="216">
        <v>0</v>
      </c>
      <c r="J530" s="216">
        <v>0</v>
      </c>
      <c r="K530" s="216">
        <v>0</v>
      </c>
      <c r="L530" s="216">
        <v>0</v>
      </c>
      <c r="M530" s="216">
        <v>0</v>
      </c>
      <c r="N530" s="85">
        <f t="shared" si="128"/>
        <v>5541381</v>
      </c>
      <c r="O530" s="40"/>
      <c r="P530" s="40"/>
      <c r="Q530" s="40"/>
      <c r="R530" s="40"/>
      <c r="S530" s="40"/>
      <c r="T530" s="40"/>
      <c r="U530" s="40"/>
      <c r="V530" s="40"/>
      <c r="W530" s="40"/>
      <c r="X530" s="40"/>
    </row>
    <row r="531" spans="2:24" ht="15" customHeight="1">
      <c r="C531" s="2" t="s">
        <v>69</v>
      </c>
      <c r="E531" s="40"/>
      <c r="F531" s="40"/>
      <c r="G531" s="40"/>
      <c r="H531" s="215">
        <v>0</v>
      </c>
      <c r="I531" s="216">
        <v>0</v>
      </c>
      <c r="J531" s="216">
        <v>0</v>
      </c>
      <c r="K531" s="216">
        <v>0</v>
      </c>
      <c r="L531" s="216">
        <v>0</v>
      </c>
      <c r="M531" s="216">
        <v>0</v>
      </c>
      <c r="N531" s="85">
        <f t="shared" si="128"/>
        <v>0</v>
      </c>
      <c r="O531" s="40"/>
      <c r="P531" s="40"/>
      <c r="Q531" s="40"/>
      <c r="R531" s="40"/>
      <c r="S531" s="40"/>
      <c r="T531" s="40"/>
      <c r="U531" s="40"/>
      <c r="V531" s="40"/>
      <c r="W531" s="40"/>
      <c r="X531" s="40"/>
    </row>
    <row r="532" spans="2:24" ht="15" customHeight="1" thickBot="1">
      <c r="C532" s="28" t="s">
        <v>70</v>
      </c>
      <c r="D532" s="86"/>
      <c r="E532" s="40"/>
      <c r="F532" s="40"/>
      <c r="G532" s="40"/>
      <c r="H532" s="87">
        <f t="shared" ref="H532:N532" si="129">SUM(H526:H531)</f>
        <v>171417042.04117498</v>
      </c>
      <c r="I532" s="88">
        <f t="shared" si="129"/>
        <v>0</v>
      </c>
      <c r="J532" s="88">
        <f t="shared" si="129"/>
        <v>350000000</v>
      </c>
      <c r="K532" s="88">
        <f t="shared" si="129"/>
        <v>-99198607</v>
      </c>
      <c r="L532" s="88">
        <f t="shared" si="129"/>
        <v>-250801393</v>
      </c>
      <c r="M532" s="88">
        <f t="shared" si="129"/>
        <v>0</v>
      </c>
      <c r="N532" s="89">
        <f t="shared" si="129"/>
        <v>171417042.04117501</v>
      </c>
      <c r="O532" s="40"/>
      <c r="P532" s="40"/>
      <c r="Q532" s="40"/>
      <c r="R532" s="40"/>
      <c r="S532" s="40"/>
      <c r="T532" s="40"/>
      <c r="U532" s="40"/>
      <c r="V532" s="40"/>
      <c r="W532" s="40"/>
      <c r="X532" s="40"/>
    </row>
    <row r="533" spans="2:24" ht="15" customHeight="1">
      <c r="C533" s="2" t="s">
        <v>71</v>
      </c>
      <c r="E533" s="40"/>
      <c r="F533" s="40"/>
      <c r="G533" s="40"/>
      <c r="H533" s="215">
        <v>2182099675</v>
      </c>
      <c r="I533" s="216">
        <v>0</v>
      </c>
      <c r="J533" s="216">
        <v>0</v>
      </c>
      <c r="K533" s="216">
        <v>0</v>
      </c>
      <c r="L533" s="216">
        <v>0</v>
      </c>
      <c r="M533" s="216">
        <v>0</v>
      </c>
      <c r="N533" s="85">
        <f t="shared" si="128"/>
        <v>2182099675</v>
      </c>
      <c r="O533" s="40"/>
      <c r="P533" s="40"/>
      <c r="Q533" s="40"/>
      <c r="R533" s="40"/>
      <c r="S533" s="40"/>
      <c r="T533" s="40"/>
      <c r="U533" s="40"/>
      <c r="V533" s="40"/>
      <c r="W533" s="40"/>
      <c r="X533" s="40"/>
    </row>
    <row r="534" spans="2:24" ht="15" customHeight="1">
      <c r="C534" s="2" t="s">
        <v>72</v>
      </c>
      <c r="E534" s="40"/>
      <c r="F534" s="40"/>
      <c r="G534" s="40"/>
      <c r="H534" s="215">
        <v>375686730</v>
      </c>
      <c r="I534" s="216">
        <v>0</v>
      </c>
      <c r="J534" s="216">
        <v>0</v>
      </c>
      <c r="K534" s="216">
        <v>0</v>
      </c>
      <c r="L534" s="216">
        <v>0</v>
      </c>
      <c r="M534" s="216">
        <v>0</v>
      </c>
      <c r="N534" s="85">
        <f t="shared" si="128"/>
        <v>375686730</v>
      </c>
      <c r="O534" s="40"/>
      <c r="P534" s="40"/>
      <c r="Q534" s="40"/>
      <c r="R534" s="40"/>
      <c r="S534" s="40"/>
      <c r="T534" s="40"/>
      <c r="U534" s="40"/>
      <c r="V534" s="40"/>
      <c r="W534" s="40"/>
      <c r="X534" s="40"/>
    </row>
    <row r="535" spans="2:24" ht="15" customHeight="1">
      <c r="B535" s="50" t="s">
        <v>139</v>
      </c>
      <c r="C535" s="2" t="s">
        <v>73</v>
      </c>
      <c r="E535" s="40"/>
      <c r="F535" s="40"/>
      <c r="G535" s="40"/>
      <c r="H535" s="215">
        <v>0</v>
      </c>
      <c r="I535" s="216">
        <v>1500000000</v>
      </c>
      <c r="J535" s="216">
        <v>0</v>
      </c>
      <c r="K535" s="216">
        <v>0</v>
      </c>
      <c r="L535" s="216">
        <v>0</v>
      </c>
      <c r="M535" s="216">
        <v>0</v>
      </c>
      <c r="N535" s="85">
        <f t="shared" si="128"/>
        <v>1500000000</v>
      </c>
      <c r="O535" s="40"/>
      <c r="P535" s="40"/>
      <c r="Q535" s="40"/>
      <c r="R535" s="40"/>
      <c r="S535" s="40"/>
      <c r="T535" s="40"/>
      <c r="U535" s="40"/>
      <c r="V535" s="40"/>
      <c r="W535" s="40"/>
      <c r="X535" s="40"/>
    </row>
    <row r="536" spans="2:24" ht="15" customHeight="1">
      <c r="C536" s="2" t="s">
        <v>74</v>
      </c>
      <c r="E536" s="40"/>
      <c r="F536" s="40"/>
      <c r="G536" s="40"/>
      <c r="H536" s="215">
        <v>0</v>
      </c>
      <c r="I536" s="216">
        <v>0</v>
      </c>
      <c r="J536" s="216">
        <v>0</v>
      </c>
      <c r="K536" s="216">
        <v>0</v>
      </c>
      <c r="L536" s="216">
        <v>0</v>
      </c>
      <c r="M536" s="216">
        <v>0</v>
      </c>
      <c r="N536" s="85">
        <f t="shared" si="128"/>
        <v>0</v>
      </c>
      <c r="O536" s="40"/>
      <c r="P536" s="40"/>
      <c r="Q536" s="40"/>
      <c r="R536" s="40"/>
      <c r="S536" s="40"/>
      <c r="T536" s="40"/>
      <c r="U536" s="40"/>
      <c r="V536" s="40"/>
      <c r="W536" s="40"/>
      <c r="X536" s="40"/>
    </row>
    <row r="537" spans="2:24" ht="15" customHeight="1">
      <c r="C537" s="2" t="s">
        <v>75</v>
      </c>
      <c r="E537" s="40"/>
      <c r="F537" s="40"/>
      <c r="G537" s="40"/>
      <c r="H537" s="215">
        <v>0</v>
      </c>
      <c r="I537" s="216">
        <v>0</v>
      </c>
      <c r="J537" s="216">
        <v>0</v>
      </c>
      <c r="K537" s="216">
        <v>0</v>
      </c>
      <c r="L537" s="216">
        <v>0</v>
      </c>
      <c r="M537" s="216">
        <v>0</v>
      </c>
      <c r="N537" s="85">
        <f t="shared" si="128"/>
        <v>0</v>
      </c>
      <c r="O537" s="40"/>
      <c r="P537" s="40"/>
      <c r="Q537" s="40"/>
      <c r="R537" s="40"/>
      <c r="S537" s="40"/>
      <c r="T537" s="40"/>
      <c r="U537" s="40"/>
      <c r="V537" s="40"/>
      <c r="W537" s="40"/>
      <c r="X537" s="40"/>
    </row>
    <row r="538" spans="2:24" ht="15" customHeight="1">
      <c r="C538" s="2" t="s">
        <v>76</v>
      </c>
      <c r="E538" s="40"/>
      <c r="F538" s="40"/>
      <c r="G538" s="40"/>
      <c r="H538" s="215">
        <v>0</v>
      </c>
      <c r="I538" s="216">
        <v>0</v>
      </c>
      <c r="J538" s="216">
        <v>0</v>
      </c>
      <c r="K538" s="216">
        <v>0</v>
      </c>
      <c r="L538" s="216">
        <v>0</v>
      </c>
      <c r="M538" s="216">
        <v>0</v>
      </c>
      <c r="N538" s="85">
        <f t="shared" si="128"/>
        <v>0</v>
      </c>
      <c r="O538" s="40"/>
      <c r="P538" s="40"/>
      <c r="Q538" s="40"/>
      <c r="R538" s="40"/>
      <c r="S538" s="40"/>
      <c r="T538" s="40"/>
      <c r="U538" s="40"/>
      <c r="V538" s="40"/>
      <c r="W538" s="40"/>
      <c r="X538" s="40"/>
    </row>
    <row r="539" spans="2:24" ht="15" customHeight="1" thickBot="1">
      <c r="C539" s="28" t="s">
        <v>77</v>
      </c>
      <c r="D539" s="86"/>
      <c r="E539" s="40"/>
      <c r="F539" s="40"/>
      <c r="G539" s="40"/>
      <c r="H539" s="87">
        <f t="shared" ref="H539:N539" si="130">SUM(H533:H538)</f>
        <v>2557786405</v>
      </c>
      <c r="I539" s="88">
        <f t="shared" si="130"/>
        <v>1500000000</v>
      </c>
      <c r="J539" s="88">
        <f t="shared" si="130"/>
        <v>0</v>
      </c>
      <c r="K539" s="88">
        <f t="shared" si="130"/>
        <v>0</v>
      </c>
      <c r="L539" s="88">
        <f t="shared" si="130"/>
        <v>0</v>
      </c>
      <c r="M539" s="88">
        <f t="shared" si="130"/>
        <v>0</v>
      </c>
      <c r="N539" s="89">
        <f t="shared" si="130"/>
        <v>4057786405</v>
      </c>
      <c r="O539" s="40"/>
      <c r="P539" s="40"/>
      <c r="Q539" s="40"/>
      <c r="R539" s="40"/>
      <c r="S539" s="40"/>
      <c r="T539" s="40"/>
      <c r="U539" s="40"/>
      <c r="V539" s="40"/>
      <c r="W539" s="40"/>
      <c r="X539" s="40"/>
    </row>
    <row r="540" spans="2:24" ht="15" customHeight="1" thickBot="1">
      <c r="C540" s="29" t="s">
        <v>78</v>
      </c>
      <c r="D540" s="90"/>
      <c r="E540" s="40"/>
      <c r="F540" s="40"/>
      <c r="G540" s="40"/>
      <c r="H540" s="87">
        <f t="shared" ref="H540:N540" si="131">H532+H539</f>
        <v>2729203447.0411749</v>
      </c>
      <c r="I540" s="91">
        <f t="shared" si="131"/>
        <v>1500000000</v>
      </c>
      <c r="J540" s="91">
        <f t="shared" si="131"/>
        <v>350000000</v>
      </c>
      <c r="K540" s="91">
        <f t="shared" si="131"/>
        <v>-99198607</v>
      </c>
      <c r="L540" s="91">
        <f t="shared" si="131"/>
        <v>-250801393</v>
      </c>
      <c r="M540" s="91">
        <f t="shared" si="131"/>
        <v>0</v>
      </c>
      <c r="N540" s="89">
        <f t="shared" si="131"/>
        <v>4229203447.0411749</v>
      </c>
      <c r="O540" s="40"/>
      <c r="P540" s="40"/>
      <c r="Q540" s="40"/>
      <c r="R540" s="40"/>
      <c r="S540" s="40"/>
      <c r="T540" s="40"/>
      <c r="U540" s="40"/>
      <c r="V540" s="40"/>
      <c r="W540" s="40"/>
      <c r="X540" s="40"/>
    </row>
    <row r="541" spans="2:24" ht="15" customHeight="1">
      <c r="B541" s="50" t="s">
        <v>139</v>
      </c>
      <c r="C541" s="2" t="s">
        <v>79</v>
      </c>
      <c r="E541" s="40"/>
      <c r="F541" s="40"/>
      <c r="G541" s="40"/>
      <c r="H541" s="215">
        <v>99198607</v>
      </c>
      <c r="I541" s="216">
        <v>0</v>
      </c>
      <c r="J541" s="216">
        <v>0</v>
      </c>
      <c r="K541" s="216">
        <v>-99198607</v>
      </c>
      <c r="L541" s="216">
        <v>0</v>
      </c>
      <c r="M541" s="216">
        <v>0</v>
      </c>
      <c r="N541" s="85">
        <f t="shared" ref="N541:N548" si="132">SUM(H541:M541)</f>
        <v>0</v>
      </c>
      <c r="O541" s="40"/>
      <c r="P541" s="40"/>
      <c r="Q541" s="40"/>
      <c r="R541" s="40"/>
      <c r="S541" s="40"/>
      <c r="T541" s="40"/>
      <c r="U541" s="40"/>
      <c r="V541" s="40"/>
      <c r="W541" s="40"/>
      <c r="X541" s="40"/>
    </row>
    <row r="542" spans="2:24" ht="15" customHeight="1">
      <c r="C542" s="2" t="s">
        <v>80</v>
      </c>
      <c r="E542" s="40"/>
      <c r="F542" s="40"/>
      <c r="G542" s="40"/>
      <c r="H542" s="215">
        <v>0</v>
      </c>
      <c r="I542" s="216">
        <v>0</v>
      </c>
      <c r="J542" s="216">
        <v>0</v>
      </c>
      <c r="K542" s="216">
        <v>0</v>
      </c>
      <c r="L542" s="216">
        <v>0</v>
      </c>
      <c r="M542" s="216">
        <v>0</v>
      </c>
      <c r="N542" s="85">
        <f t="shared" si="132"/>
        <v>0</v>
      </c>
      <c r="O542" s="40"/>
      <c r="P542" s="40"/>
      <c r="Q542" s="40"/>
      <c r="R542" s="40"/>
      <c r="S542" s="40"/>
      <c r="T542" s="40"/>
      <c r="U542" s="40"/>
      <c r="V542" s="40"/>
      <c r="W542" s="40"/>
      <c r="X542" s="40"/>
    </row>
    <row r="543" spans="2:24" ht="15" customHeight="1">
      <c r="C543" s="2" t="s">
        <v>81</v>
      </c>
      <c r="E543" s="40"/>
      <c r="F543" s="40"/>
      <c r="G543" s="40"/>
      <c r="H543" s="215">
        <v>43477268</v>
      </c>
      <c r="I543" s="216">
        <v>0</v>
      </c>
      <c r="J543" s="216">
        <v>0</v>
      </c>
      <c r="K543" s="216">
        <v>0</v>
      </c>
      <c r="L543" s="216">
        <v>0</v>
      </c>
      <c r="M543" s="216">
        <v>0</v>
      </c>
      <c r="N543" s="85">
        <f t="shared" si="132"/>
        <v>43477268</v>
      </c>
      <c r="O543" s="40"/>
      <c r="P543" s="40"/>
      <c r="Q543" s="40"/>
      <c r="R543" s="40"/>
      <c r="S543" s="40"/>
      <c r="T543" s="40"/>
      <c r="U543" s="40"/>
      <c r="V543" s="40"/>
      <c r="W543" s="40"/>
      <c r="X543" s="40"/>
    </row>
    <row r="544" spans="2:24" ht="15" customHeight="1">
      <c r="C544" s="2" t="s">
        <v>82</v>
      </c>
      <c r="E544" s="40"/>
      <c r="F544" s="40"/>
      <c r="G544" s="40"/>
      <c r="H544" s="215">
        <v>1288143</v>
      </c>
      <c r="I544" s="216">
        <v>0</v>
      </c>
      <c r="J544" s="216">
        <v>0</v>
      </c>
      <c r="K544" s="216">
        <v>0</v>
      </c>
      <c r="L544" s="216">
        <v>0</v>
      </c>
      <c r="M544" s="216">
        <v>0</v>
      </c>
      <c r="N544" s="85">
        <f t="shared" si="132"/>
        <v>1288143</v>
      </c>
      <c r="O544" s="40"/>
      <c r="P544" s="40"/>
      <c r="Q544" s="40"/>
      <c r="R544" s="40"/>
      <c r="S544" s="40"/>
      <c r="T544" s="40"/>
      <c r="U544" s="40"/>
      <c r="V544" s="40"/>
      <c r="W544" s="40"/>
      <c r="X544" s="40"/>
    </row>
    <row r="545" spans="2:54" ht="15" customHeight="1">
      <c r="C545" s="2" t="s">
        <v>83</v>
      </c>
      <c r="E545" s="40"/>
      <c r="F545" s="40"/>
      <c r="G545" s="40"/>
      <c r="H545" s="215">
        <v>0</v>
      </c>
      <c r="I545" s="216">
        <v>0</v>
      </c>
      <c r="J545" s="216">
        <v>0</v>
      </c>
      <c r="K545" s="216">
        <v>0</v>
      </c>
      <c r="L545" s="216">
        <v>0</v>
      </c>
      <c r="M545" s="216">
        <v>0</v>
      </c>
      <c r="N545" s="85">
        <f t="shared" si="132"/>
        <v>0</v>
      </c>
      <c r="O545" s="40"/>
      <c r="P545" s="40"/>
      <c r="Q545" s="40"/>
      <c r="R545" s="40"/>
      <c r="S545" s="40"/>
      <c r="T545" s="40"/>
      <c r="U545" s="40"/>
      <c r="V545" s="40"/>
      <c r="W545" s="40"/>
      <c r="X545" s="40"/>
    </row>
    <row r="546" spans="2:54" ht="15" customHeight="1">
      <c r="C546" s="2" t="s">
        <v>84</v>
      </c>
      <c r="E546" s="40"/>
      <c r="F546" s="40"/>
      <c r="G546" s="40"/>
      <c r="H546" s="215">
        <v>0</v>
      </c>
      <c r="I546" s="216">
        <v>0</v>
      </c>
      <c r="J546" s="216">
        <v>0</v>
      </c>
      <c r="K546" s="216">
        <v>0</v>
      </c>
      <c r="L546" s="216">
        <v>0</v>
      </c>
      <c r="M546" s="216">
        <v>0</v>
      </c>
      <c r="N546" s="85">
        <f t="shared" si="132"/>
        <v>0</v>
      </c>
      <c r="O546" s="40"/>
      <c r="P546" s="40"/>
      <c r="Q546" s="40"/>
      <c r="R546" s="40"/>
      <c r="S546" s="40"/>
      <c r="T546" s="40"/>
      <c r="U546" s="40"/>
      <c r="V546" s="40"/>
      <c r="W546" s="40"/>
      <c r="X546" s="40"/>
    </row>
    <row r="547" spans="2:54" ht="15" customHeight="1">
      <c r="B547" s="50" t="s">
        <v>139</v>
      </c>
      <c r="C547" s="2" t="s">
        <v>85</v>
      </c>
      <c r="E547" s="40"/>
      <c r="F547" s="40"/>
      <c r="G547" s="40"/>
      <c r="H547" s="215">
        <v>454212060</v>
      </c>
      <c r="I547" s="216">
        <v>0</v>
      </c>
      <c r="J547" s="216">
        <v>0</v>
      </c>
      <c r="K547" s="216">
        <v>0</v>
      </c>
      <c r="L547" s="84">
        <f>L526</f>
        <v>-250801393</v>
      </c>
      <c r="M547" s="84">
        <f>-(SUM(H547:L547))</f>
        <v>-203410667</v>
      </c>
      <c r="N547" s="85">
        <f t="shared" si="132"/>
        <v>0</v>
      </c>
      <c r="O547" s="40"/>
      <c r="P547" s="40"/>
      <c r="Q547" s="40"/>
      <c r="R547" s="40"/>
      <c r="S547" s="40"/>
      <c r="T547" s="40"/>
      <c r="U547" s="40"/>
      <c r="V547" s="40"/>
      <c r="W547" s="40"/>
      <c r="X547" s="40"/>
    </row>
    <row r="548" spans="2:54" ht="15" customHeight="1">
      <c r="C548" s="2" t="s">
        <v>86</v>
      </c>
      <c r="E548" s="40"/>
      <c r="F548" s="40"/>
      <c r="G548" s="40"/>
      <c r="H548" s="215">
        <v>0</v>
      </c>
      <c r="I548" s="216">
        <v>0</v>
      </c>
      <c r="J548" s="216">
        <v>0</v>
      </c>
      <c r="K548" s="216">
        <v>0</v>
      </c>
      <c r="L548" s="216">
        <v>0</v>
      </c>
      <c r="M548" s="216">
        <v>0</v>
      </c>
      <c r="N548" s="85">
        <f t="shared" si="132"/>
        <v>0</v>
      </c>
      <c r="O548" s="40"/>
      <c r="P548" s="40"/>
      <c r="Q548" s="40"/>
      <c r="R548" s="40"/>
      <c r="S548" s="40"/>
      <c r="T548" s="40"/>
      <c r="U548" s="40"/>
      <c r="V548" s="40"/>
      <c r="W548" s="40"/>
      <c r="X548" s="40"/>
    </row>
    <row r="549" spans="2:54" ht="15" customHeight="1" thickBot="1">
      <c r="C549" s="28" t="s">
        <v>87</v>
      </c>
      <c r="D549" s="86"/>
      <c r="E549" s="40"/>
      <c r="F549" s="40"/>
      <c r="G549" s="40"/>
      <c r="H549" s="87">
        <f t="shared" ref="H549:N549" si="133">SUM(H541:H548)</f>
        <v>598176078</v>
      </c>
      <c r="I549" s="88">
        <f t="shared" si="133"/>
        <v>0</v>
      </c>
      <c r="J549" s="88">
        <f t="shared" si="133"/>
        <v>0</v>
      </c>
      <c r="K549" s="88">
        <f t="shared" si="133"/>
        <v>-99198607</v>
      </c>
      <c r="L549" s="88">
        <f t="shared" si="133"/>
        <v>-250801393</v>
      </c>
      <c r="M549" s="88">
        <f t="shared" si="133"/>
        <v>-203410667</v>
      </c>
      <c r="N549" s="89">
        <f t="shared" si="133"/>
        <v>44765411</v>
      </c>
      <c r="O549" s="40"/>
      <c r="P549" s="40"/>
      <c r="Q549" s="40"/>
      <c r="R549" s="40"/>
      <c r="S549" s="40"/>
      <c r="T549" s="40"/>
      <c r="U549" s="40"/>
      <c r="V549" s="40"/>
      <c r="W549" s="40"/>
      <c r="X549" s="40"/>
    </row>
    <row r="550" spans="2:54" ht="15" customHeight="1">
      <c r="C550" s="2" t="s">
        <v>88</v>
      </c>
      <c r="E550" s="40"/>
      <c r="F550" s="40"/>
      <c r="G550" s="40"/>
      <c r="H550" s="215">
        <v>0</v>
      </c>
      <c r="I550" s="216">
        <v>0</v>
      </c>
      <c r="J550" s="216">
        <v>0</v>
      </c>
      <c r="K550" s="216">
        <v>0</v>
      </c>
      <c r="L550" s="216">
        <v>0</v>
      </c>
      <c r="M550" s="216">
        <v>0</v>
      </c>
      <c r="N550" s="85">
        <f t="shared" ref="N550:N552" si="134">SUM(H550:M550)</f>
        <v>0</v>
      </c>
      <c r="O550" s="40"/>
      <c r="P550" s="40"/>
      <c r="Q550" s="40"/>
      <c r="R550" s="40"/>
      <c r="S550" s="40"/>
      <c r="T550" s="40"/>
      <c r="U550" s="40"/>
      <c r="V550" s="40"/>
      <c r="W550" s="40"/>
      <c r="X550" s="40"/>
    </row>
    <row r="551" spans="2:54" ht="15" customHeight="1">
      <c r="C551" s="2" t="s">
        <v>89</v>
      </c>
      <c r="E551" s="40"/>
      <c r="F551" s="40"/>
      <c r="G551" s="40"/>
      <c r="H551" s="215">
        <v>2345510701</v>
      </c>
      <c r="I551" s="216">
        <v>0</v>
      </c>
      <c r="J551" s="216">
        <v>0</v>
      </c>
      <c r="K551" s="216">
        <v>0</v>
      </c>
      <c r="L551" s="216">
        <v>0</v>
      </c>
      <c r="M551" s="84">
        <f>-M547</f>
        <v>203410667</v>
      </c>
      <c r="N551" s="85">
        <f t="shared" si="134"/>
        <v>2548921368</v>
      </c>
      <c r="O551" s="40"/>
      <c r="P551" s="40"/>
      <c r="Q551" s="40"/>
      <c r="R551" s="40"/>
      <c r="S551" s="40"/>
      <c r="T551" s="40"/>
      <c r="U551" s="40"/>
      <c r="V551" s="40"/>
      <c r="W551" s="40"/>
      <c r="X551" s="40"/>
    </row>
    <row r="552" spans="2:54" ht="15" customHeight="1">
      <c r="C552" s="2" t="s">
        <v>90</v>
      </c>
      <c r="E552" s="40"/>
      <c r="F552" s="40"/>
      <c r="G552" s="40"/>
      <c r="H552" s="215">
        <v>9761082</v>
      </c>
      <c r="I552" s="216">
        <v>0</v>
      </c>
      <c r="J552" s="216">
        <v>0</v>
      </c>
      <c r="K552" s="216">
        <v>0</v>
      </c>
      <c r="L552" s="216">
        <v>0</v>
      </c>
      <c r="M552" s="216">
        <v>0</v>
      </c>
      <c r="N552" s="85">
        <f t="shared" si="134"/>
        <v>9761082</v>
      </c>
      <c r="O552" s="40"/>
      <c r="P552" s="40"/>
      <c r="Q552" s="40"/>
      <c r="R552" s="40"/>
      <c r="S552" s="40"/>
      <c r="T552" s="40"/>
      <c r="U552" s="40"/>
      <c r="V552" s="40"/>
      <c r="W552" s="40"/>
      <c r="X552" s="40"/>
    </row>
    <row r="553" spans="2:54" ht="15" customHeight="1" thickBot="1">
      <c r="C553" s="28" t="s">
        <v>91</v>
      </c>
      <c r="D553" s="86"/>
      <c r="E553" s="40"/>
      <c r="F553" s="40"/>
      <c r="G553" s="40"/>
      <c r="H553" s="87">
        <f t="shared" ref="H553:N553" si="135">SUM(H550:H552)</f>
        <v>2355271783</v>
      </c>
      <c r="I553" s="88">
        <f>SUM(I550:I552)</f>
        <v>0</v>
      </c>
      <c r="J553" s="88">
        <f t="shared" si="135"/>
        <v>0</v>
      </c>
      <c r="K553" s="88">
        <f t="shared" si="135"/>
        <v>0</v>
      </c>
      <c r="L553" s="88">
        <f t="shared" si="135"/>
        <v>0</v>
      </c>
      <c r="M553" s="88">
        <f t="shared" si="135"/>
        <v>203410667</v>
      </c>
      <c r="N553" s="89">
        <f t="shared" si="135"/>
        <v>2558682450</v>
      </c>
      <c r="O553" s="40"/>
      <c r="P553" s="40"/>
      <c r="Q553" s="40"/>
      <c r="R553" s="40"/>
      <c r="S553" s="40"/>
      <c r="T553" s="40"/>
      <c r="U553" s="40"/>
      <c r="V553" s="40"/>
      <c r="W553" s="40"/>
      <c r="X553" s="40"/>
    </row>
    <row r="554" spans="2:54" ht="15" customHeight="1" thickBot="1">
      <c r="C554" s="29" t="s">
        <v>92</v>
      </c>
      <c r="D554" s="90"/>
      <c r="E554" s="40"/>
      <c r="F554" s="40"/>
      <c r="G554" s="40"/>
      <c r="H554" s="87">
        <f t="shared" ref="H554:N554" si="136">SUM(H549,H553)</f>
        <v>2953447861</v>
      </c>
      <c r="I554" s="91">
        <f t="shared" si="136"/>
        <v>0</v>
      </c>
      <c r="J554" s="91">
        <f t="shared" si="136"/>
        <v>0</v>
      </c>
      <c r="K554" s="91">
        <f t="shared" si="136"/>
        <v>-99198607</v>
      </c>
      <c r="L554" s="91">
        <f t="shared" si="136"/>
        <v>-250801393</v>
      </c>
      <c r="M554" s="91">
        <f t="shared" si="136"/>
        <v>0</v>
      </c>
      <c r="N554" s="89">
        <f t="shared" si="136"/>
        <v>2603447861</v>
      </c>
      <c r="O554" s="40"/>
      <c r="P554" s="40"/>
      <c r="Q554" s="40"/>
      <c r="R554" s="40"/>
      <c r="S554" s="40"/>
      <c r="T554" s="40"/>
      <c r="U554" s="40"/>
      <c r="V554" s="40"/>
      <c r="W554" s="40"/>
      <c r="X554" s="40"/>
    </row>
    <row r="555" spans="2:54" ht="15" customHeight="1">
      <c r="B555" s="50" t="s">
        <v>139</v>
      </c>
      <c r="C555" s="2" t="s">
        <v>93</v>
      </c>
      <c r="E555" s="40"/>
      <c r="F555" s="40"/>
      <c r="G555" s="40"/>
      <c r="H555" s="215">
        <v>198774073</v>
      </c>
      <c r="I555" s="84">
        <f>I535</f>
        <v>1500000000</v>
      </c>
      <c r="J555" s="84">
        <f>J526</f>
        <v>350000000</v>
      </c>
      <c r="K555" s="216">
        <v>0</v>
      </c>
      <c r="L555" s="216">
        <v>0</v>
      </c>
      <c r="M555" s="216">
        <v>0</v>
      </c>
      <c r="N555" s="85">
        <f t="shared" ref="N555:N556" si="137">SUM(H555:M555)</f>
        <v>2048774073</v>
      </c>
      <c r="O555" s="40"/>
      <c r="P555" s="40"/>
      <c r="Q555" s="40"/>
      <c r="R555" s="40"/>
      <c r="S555" s="40"/>
      <c r="T555" s="40"/>
      <c r="U555" s="40"/>
      <c r="V555" s="40"/>
      <c r="W555" s="40"/>
      <c r="X555" s="40"/>
    </row>
    <row r="556" spans="2:54" ht="15" customHeight="1">
      <c r="C556" s="2" t="s">
        <v>94</v>
      </c>
      <c r="E556" s="40"/>
      <c r="F556" s="40"/>
      <c r="G556" s="40"/>
      <c r="H556" s="215">
        <v>-423018486.95999998</v>
      </c>
      <c r="I556" s="216">
        <v>0</v>
      </c>
      <c r="J556" s="216">
        <v>0</v>
      </c>
      <c r="K556" s="216">
        <v>0</v>
      </c>
      <c r="L556" s="216">
        <v>0</v>
      </c>
      <c r="M556" s="216">
        <v>0</v>
      </c>
      <c r="N556" s="85">
        <f t="shared" si="137"/>
        <v>-423018486.95999998</v>
      </c>
      <c r="O556" s="217">
        <v>-577507976.76560783</v>
      </c>
      <c r="P556" s="217">
        <v>-714342899.75673604</v>
      </c>
      <c r="Q556" s="217">
        <v>-790632364.01696503</v>
      </c>
      <c r="R556" s="217">
        <v>-825344468.25787413</v>
      </c>
      <c r="S556" s="217">
        <v>-827227480.54630399</v>
      </c>
      <c r="T556" s="217">
        <v>-797777762.41059375</v>
      </c>
      <c r="U556" s="217">
        <v>-747181881.04792428</v>
      </c>
      <c r="V556" s="217">
        <v>-672762028.86791039</v>
      </c>
      <c r="W556" s="217">
        <v>-574550066.50638378</v>
      </c>
      <c r="X556" s="217">
        <v>-449505013.53279394</v>
      </c>
      <c r="Y556" s="218">
        <v>-295884778.24171889</v>
      </c>
      <c r="Z556" s="218">
        <v>-63395064.845756471</v>
      </c>
      <c r="AA556" s="218">
        <v>174732202.15302446</v>
      </c>
      <c r="AB556" s="218">
        <v>419684447.10361332</v>
      </c>
      <c r="AC556" s="218">
        <v>671630226.46020615</v>
      </c>
    </row>
    <row r="557" spans="2:54" ht="15" customHeight="1" thickBot="1">
      <c r="C557" s="28" t="s">
        <v>95</v>
      </c>
      <c r="D557" s="86"/>
      <c r="E557" s="40"/>
      <c r="F557" s="40"/>
      <c r="G557" s="40"/>
      <c r="H557" s="87">
        <f t="shared" ref="H557:N557" si="138">SUM(H555:H556)</f>
        <v>-224244413.95999998</v>
      </c>
      <c r="I557" s="88">
        <f>SUM(I555:I556)</f>
        <v>1500000000</v>
      </c>
      <c r="J557" s="88">
        <f t="shared" si="138"/>
        <v>350000000</v>
      </c>
      <c r="K557" s="88">
        <f t="shared" si="138"/>
        <v>0</v>
      </c>
      <c r="L557" s="88">
        <f t="shared" si="138"/>
        <v>0</v>
      </c>
      <c r="M557" s="88">
        <f t="shared" si="138"/>
        <v>0</v>
      </c>
      <c r="N557" s="89">
        <f t="shared" si="138"/>
        <v>1625755586.04</v>
      </c>
      <c r="O557" s="95">
        <f>O556-N556</f>
        <v>-154489489.80560786</v>
      </c>
      <c r="P557" s="95">
        <f t="shared" ref="P557:AC557" si="139">P556-O556</f>
        <v>-136834922.99112821</v>
      </c>
      <c r="Q557" s="95">
        <f t="shared" si="139"/>
        <v>-76289464.260228992</v>
      </c>
      <c r="R557" s="95">
        <f t="shared" si="139"/>
        <v>-34712104.2409091</v>
      </c>
      <c r="S557" s="95">
        <f t="shared" si="139"/>
        <v>-1883012.2884298563</v>
      </c>
      <c r="T557" s="95">
        <f t="shared" si="139"/>
        <v>29449718.135710239</v>
      </c>
      <c r="U557" s="95">
        <f t="shared" si="139"/>
        <v>50595881.362669468</v>
      </c>
      <c r="V557" s="95">
        <f t="shared" si="139"/>
        <v>74419852.180013895</v>
      </c>
      <c r="W557" s="95">
        <f t="shared" si="139"/>
        <v>98211962.361526608</v>
      </c>
      <c r="X557" s="95">
        <f t="shared" si="139"/>
        <v>125045052.97358984</v>
      </c>
      <c r="Y557" s="95">
        <f t="shared" si="139"/>
        <v>153620235.29107505</v>
      </c>
      <c r="Z557" s="95">
        <f t="shared" si="139"/>
        <v>232489713.39596242</v>
      </c>
      <c r="AA557" s="95">
        <f t="shared" si="139"/>
        <v>238127266.99878094</v>
      </c>
      <c r="AB557" s="95">
        <f t="shared" si="139"/>
        <v>244952244.95058885</v>
      </c>
      <c r="AC557" s="95">
        <f t="shared" si="139"/>
        <v>251945779.35659283</v>
      </c>
    </row>
    <row r="558" spans="2:54" ht="15" customHeight="1" thickBot="1">
      <c r="C558" s="29" t="s">
        <v>96</v>
      </c>
      <c r="D558" s="90"/>
      <c r="E558" s="40"/>
      <c r="F558" s="40"/>
      <c r="G558" s="40"/>
      <c r="H558" s="87">
        <f t="shared" ref="H558:N558" si="140">SUM(H554,H557)</f>
        <v>2729203447.04</v>
      </c>
      <c r="I558" s="91">
        <f t="shared" si="140"/>
        <v>1500000000</v>
      </c>
      <c r="J558" s="91">
        <f t="shared" si="140"/>
        <v>350000000</v>
      </c>
      <c r="K558" s="91">
        <f t="shared" si="140"/>
        <v>-99198607</v>
      </c>
      <c r="L558" s="91">
        <f t="shared" si="140"/>
        <v>-250801393</v>
      </c>
      <c r="M558" s="91">
        <f t="shared" si="140"/>
        <v>0</v>
      </c>
      <c r="N558" s="89">
        <f t="shared" si="140"/>
        <v>4229203447.04</v>
      </c>
      <c r="O558" s="40"/>
      <c r="P558" s="40"/>
      <c r="Q558" s="40"/>
      <c r="R558" s="40"/>
      <c r="S558" s="40"/>
      <c r="T558" s="40"/>
      <c r="U558" s="40"/>
      <c r="V558" s="40"/>
      <c r="W558" s="40"/>
      <c r="X558" s="40"/>
    </row>
    <row r="559" spans="2:54" ht="5.0999999999999996" customHeight="1">
      <c r="E559" s="40"/>
      <c r="F559" s="22"/>
      <c r="G559" s="40"/>
      <c r="H559" s="22"/>
      <c r="I559" s="22"/>
      <c r="J559" s="23"/>
      <c r="K559" s="23"/>
      <c r="L559" s="23"/>
      <c r="M559" s="23"/>
      <c r="N559" s="23"/>
      <c r="O559" s="40"/>
      <c r="P559" s="40"/>
      <c r="Q559" s="40"/>
      <c r="R559" s="40"/>
      <c r="S559" s="40"/>
      <c r="T559" s="40"/>
      <c r="U559" s="40"/>
      <c r="V559" s="40"/>
      <c r="W559" s="40"/>
      <c r="X559" s="40"/>
      <c r="Y559" s="24"/>
      <c r="Z559" s="24"/>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row>
    <row r="560" spans="2:54" ht="15" customHeight="1">
      <c r="C560" s="2" t="s">
        <v>128</v>
      </c>
      <c r="D560" s="40"/>
      <c r="E560" s="40"/>
      <c r="F560" s="18"/>
      <c r="G560" s="40"/>
      <c r="H560" s="18"/>
      <c r="I560" s="18"/>
      <c r="J560" s="18"/>
      <c r="K560" s="18"/>
      <c r="L560" s="18"/>
      <c r="M560" s="18"/>
      <c r="N560" s="18"/>
      <c r="O560" s="40"/>
      <c r="P560" s="40"/>
      <c r="Q560" s="40"/>
      <c r="R560" s="40"/>
      <c r="S560" s="40"/>
      <c r="T560" s="40"/>
      <c r="U560" s="40"/>
      <c r="V560" s="40"/>
      <c r="W560" s="40"/>
      <c r="X560" s="40"/>
    </row>
    <row r="561" spans="2:24" ht="15" customHeight="1">
      <c r="C561" s="2" t="s">
        <v>251</v>
      </c>
      <c r="D561" s="40"/>
      <c r="E561" s="40"/>
      <c r="F561" s="18"/>
      <c r="G561" s="40"/>
      <c r="H561" s="31">
        <f t="shared" ref="H561:N561" si="141">ROUND(H540-H558,1)</f>
        <v>0</v>
      </c>
      <c r="I561" s="31">
        <f>ROUND(I540-I558,1)</f>
        <v>0</v>
      </c>
      <c r="J561" s="31">
        <f t="shared" si="141"/>
        <v>0</v>
      </c>
      <c r="K561" s="31">
        <f t="shared" si="141"/>
        <v>0</v>
      </c>
      <c r="L561" s="31">
        <f t="shared" si="141"/>
        <v>0</v>
      </c>
      <c r="M561" s="31">
        <f t="shared" si="141"/>
        <v>0</v>
      </c>
      <c r="N561" s="31">
        <f t="shared" si="141"/>
        <v>0</v>
      </c>
      <c r="O561" s="40"/>
      <c r="P561" s="40"/>
      <c r="Q561" s="40"/>
      <c r="R561" s="40"/>
      <c r="S561" s="40"/>
      <c r="T561" s="40"/>
      <c r="U561" s="40"/>
      <c r="V561" s="40"/>
      <c r="W561" s="40"/>
      <c r="X561" s="40"/>
    </row>
    <row r="562" spans="2:24" s="40" customFormat="1" ht="15" customHeight="1"/>
    <row r="563" spans="2:24" s="40" customFormat="1" ht="15" customHeight="1"/>
    <row r="564" spans="2:24" s="40" customFormat="1" ht="15" customHeight="1">
      <c r="C564" s="43">
        <v>2.2000000000000002</v>
      </c>
      <c r="D564" s="1" t="s">
        <v>252</v>
      </c>
      <c r="E564" s="1"/>
      <c r="F564" s="1"/>
      <c r="G564" s="1"/>
      <c r="H564" s="1"/>
      <c r="I564" s="1"/>
      <c r="J564" s="1"/>
      <c r="K564" s="1"/>
      <c r="L564" s="1"/>
      <c r="M564" s="1"/>
      <c r="N564" s="1"/>
      <c r="O564" s="1"/>
      <c r="P564" s="1"/>
      <c r="Q564" s="1"/>
      <c r="R564" s="1"/>
      <c r="S564" s="1"/>
      <c r="T564" s="1"/>
      <c r="U564" s="1"/>
      <c r="V564" s="1"/>
      <c r="W564" s="1"/>
    </row>
    <row r="565" spans="2:24" s="40" customFormat="1" ht="7.5" customHeight="1">
      <c r="C565" s="221"/>
    </row>
    <row r="566" spans="2:24" s="40" customFormat="1" ht="14.25" customHeight="1">
      <c r="C566" s="221"/>
      <c r="D566" s="92" t="s">
        <v>253</v>
      </c>
    </row>
    <row r="567" spans="2:24" s="40" customFormat="1" ht="7.5" customHeight="1">
      <c r="C567" s="221"/>
      <c r="D567" s="92"/>
    </row>
    <row r="568" spans="2:24" s="40" customFormat="1" ht="14.25" customHeight="1">
      <c r="C568" s="221"/>
      <c r="D568" s="44" t="s">
        <v>254</v>
      </c>
    </row>
    <row r="569" spans="2:24" s="40" customFormat="1" ht="14.25" customHeight="1">
      <c r="C569" s="221"/>
    </row>
    <row r="570" spans="2:24" s="40" customFormat="1" ht="14.25" customHeight="1">
      <c r="B570" s="50" t="s">
        <v>139</v>
      </c>
      <c r="C570" s="221"/>
      <c r="D570" s="40" t="s">
        <v>255</v>
      </c>
      <c r="E570" s="46" t="s">
        <v>256</v>
      </c>
      <c r="H570" s="206">
        <v>0.3</v>
      </c>
    </row>
    <row r="571" spans="2:24" s="40" customFormat="1" ht="14.25" customHeight="1">
      <c r="C571" s="221"/>
    </row>
    <row r="572" spans="2:24" s="40" customFormat="1" ht="14.25" customHeight="1">
      <c r="B572" s="50" t="s">
        <v>139</v>
      </c>
      <c r="C572" s="221"/>
      <c r="D572" s="40" t="s">
        <v>257</v>
      </c>
      <c r="E572" s="40" t="s">
        <v>257</v>
      </c>
      <c r="H572" s="205">
        <v>46.573598678182805</v>
      </c>
      <c r="I572" s="205">
        <v>46.573598678182805</v>
      </c>
      <c r="J572" s="205">
        <v>46.573598678182805</v>
      </c>
      <c r="K572" s="205">
        <v>46.573598678182805</v>
      </c>
      <c r="L572" s="205">
        <v>46.573598678182805</v>
      </c>
      <c r="M572" s="205">
        <v>46.573598678182805</v>
      </c>
      <c r="N572" s="205">
        <v>46.573598678182805</v>
      </c>
      <c r="O572" s="205">
        <v>46.573598678182805</v>
      </c>
      <c r="P572" s="205">
        <v>46.573598678182805</v>
      </c>
      <c r="Q572" s="205">
        <v>46.573598678182805</v>
      </c>
      <c r="R572" s="205">
        <v>46.573598678182805</v>
      </c>
      <c r="S572" s="205">
        <v>46.573598678182805</v>
      </c>
      <c r="T572" s="205">
        <v>46.573598678182805</v>
      </c>
      <c r="U572" s="205">
        <v>46.573598678182805</v>
      </c>
      <c r="V572" s="205">
        <v>46.573598678182805</v>
      </c>
      <c r="W572" s="205">
        <v>46.573598678182805</v>
      </c>
    </row>
    <row r="573" spans="2:24" s="40" customFormat="1" ht="14.25" customHeight="1">
      <c r="C573" s="221"/>
      <c r="D573" s="40" t="s">
        <v>302</v>
      </c>
      <c r="G573" s="95">
        <f>N528</f>
        <v>5673452</v>
      </c>
      <c r="H573" s="94">
        <f t="shared" ref="H573:W573" si="142">H69*$H$570*H572/365</f>
        <v>11311002.834376004</v>
      </c>
      <c r="I573" s="94">
        <f t="shared" si="142"/>
        <v>13573203.401251208</v>
      </c>
      <c r="J573" s="94">
        <f t="shared" si="142"/>
        <v>16581271.305461949</v>
      </c>
      <c r="K573" s="94">
        <f t="shared" si="142"/>
        <v>18421003.943921562</v>
      </c>
      <c r="L573" s="94">
        <f t="shared" si="142"/>
        <v>19595907.133900918</v>
      </c>
      <c r="M573" s="94">
        <f t="shared" si="142"/>
        <v>20658161.019815389</v>
      </c>
      <c r="N573" s="94">
        <f t="shared" si="142"/>
        <v>21133298.723271139</v>
      </c>
      <c r="O573" s="94">
        <f t="shared" si="142"/>
        <v>21678595.505648345</v>
      </c>
      <c r="P573" s="94">
        <f t="shared" si="142"/>
        <v>22116609.97956622</v>
      </c>
      <c r="Q573" s="94">
        <f t="shared" si="142"/>
        <v>22625292.009096239</v>
      </c>
      <c r="R573" s="94">
        <f t="shared" si="142"/>
        <v>23145673.725305453</v>
      </c>
      <c r="S573" s="94">
        <f t="shared" si="142"/>
        <v>23742895.274748836</v>
      </c>
      <c r="T573" s="94">
        <f t="shared" si="142"/>
        <v>24222618.778070182</v>
      </c>
      <c r="U573" s="94">
        <f t="shared" si="142"/>
        <v>25513298.999095034</v>
      </c>
      <c r="V573" s="94">
        <f t="shared" si="142"/>
        <v>26100104.876074225</v>
      </c>
      <c r="W573" s="94">
        <f t="shared" si="142"/>
        <v>26762385.362220075</v>
      </c>
    </row>
    <row r="574" spans="2:24" s="40" customFormat="1" ht="14.25" customHeight="1">
      <c r="C574" s="221"/>
      <c r="D574" s="92" t="s">
        <v>67</v>
      </c>
      <c r="E574" s="92" t="s">
        <v>67</v>
      </c>
    </row>
    <row r="575" spans="2:24" s="40" customFormat="1" ht="7.5" customHeight="1">
      <c r="C575" s="221"/>
      <c r="D575" s="92"/>
    </row>
    <row r="576" spans="2:24" s="40" customFormat="1" ht="14.25" customHeight="1">
      <c r="C576" s="221"/>
      <c r="D576" s="44" t="s">
        <v>259</v>
      </c>
    </row>
    <row r="577" spans="2:23" s="40" customFormat="1" ht="14.25" customHeight="1">
      <c r="C577" s="221"/>
    </row>
    <row r="578" spans="2:23" s="40" customFormat="1" ht="14.25" customHeight="1">
      <c r="B578" s="50" t="s">
        <v>139</v>
      </c>
      <c r="C578" s="221"/>
      <c r="D578" s="40" t="s">
        <v>260</v>
      </c>
      <c r="E578" s="46" t="s">
        <v>258</v>
      </c>
      <c r="H578" s="205">
        <v>12.427123268693386</v>
      </c>
      <c r="I578" s="205">
        <v>12.427123268693386</v>
      </c>
      <c r="J578" s="205">
        <v>12.427123268693386</v>
      </c>
      <c r="K578" s="205">
        <v>12.427123268693386</v>
      </c>
      <c r="L578" s="205">
        <v>12.427123268693386</v>
      </c>
      <c r="M578" s="205">
        <v>12.427123268693386</v>
      </c>
      <c r="N578" s="205">
        <v>12.427123268693386</v>
      </c>
      <c r="O578" s="205">
        <v>12.427123268693386</v>
      </c>
      <c r="P578" s="205">
        <v>12.427123268693386</v>
      </c>
      <c r="Q578" s="205">
        <v>12.427123268693386</v>
      </c>
      <c r="R578" s="205">
        <v>12.427123268693386</v>
      </c>
      <c r="S578" s="205">
        <v>12.427123268693386</v>
      </c>
      <c r="T578" s="205">
        <v>12.427123268693386</v>
      </c>
      <c r="U578" s="205">
        <v>12.427123268693386</v>
      </c>
      <c r="V578" s="205">
        <v>12.427123268693386</v>
      </c>
      <c r="W578" s="205">
        <v>12.427123268693386</v>
      </c>
    </row>
    <row r="579" spans="2:23" s="40" customFormat="1" ht="14.25" customHeight="1">
      <c r="C579" s="221"/>
    </row>
    <row r="580" spans="2:23" s="40" customFormat="1" ht="14.25" customHeight="1">
      <c r="C580" s="221"/>
      <c r="D580" s="40" t="s">
        <v>303</v>
      </c>
      <c r="H580" s="60">
        <f t="shared" ref="H580:W580" si="143">H104+H142+H180+H388</f>
        <v>69473235.530919999</v>
      </c>
      <c r="I580" s="60">
        <f t="shared" si="143"/>
        <v>77651953.20347698</v>
      </c>
      <c r="J580" s="60">
        <f t="shared" si="143"/>
        <v>94858055.814068705</v>
      </c>
      <c r="K580" s="60">
        <f t="shared" si="143"/>
        <v>105382791.3175213</v>
      </c>
      <c r="L580" s="60">
        <f t="shared" si="143"/>
        <v>111407743.39464521</v>
      </c>
      <c r="M580" s="60">
        <f t="shared" si="143"/>
        <v>117453154.77188373</v>
      </c>
      <c r="N580" s="60">
        <f t="shared" si="143"/>
        <v>120154577.33163702</v>
      </c>
      <c r="O580" s="60">
        <f t="shared" si="143"/>
        <v>123254892.23553336</v>
      </c>
      <c r="P580" s="60">
        <f t="shared" si="143"/>
        <v>125745249.66030076</v>
      </c>
      <c r="Q580" s="60">
        <f t="shared" si="143"/>
        <v>128637390.40248767</v>
      </c>
      <c r="R580" s="60">
        <f t="shared" si="143"/>
        <v>131596050.38174489</v>
      </c>
      <c r="S580" s="60">
        <f t="shared" si="143"/>
        <v>134991586.41002566</v>
      </c>
      <c r="T580" s="60">
        <f t="shared" si="143"/>
        <v>137719083.00995708</v>
      </c>
      <c r="U580" s="60">
        <f t="shared" si="143"/>
        <v>145064566.68096155</v>
      </c>
      <c r="V580" s="60">
        <f t="shared" si="143"/>
        <v>148401051.71462363</v>
      </c>
      <c r="W580" s="60">
        <f t="shared" si="143"/>
        <v>152115067.98473191</v>
      </c>
    </row>
    <row r="581" spans="2:23" s="40" customFormat="1" ht="14.25" customHeight="1">
      <c r="C581" s="221"/>
      <c r="D581" s="40" t="s">
        <v>67</v>
      </c>
      <c r="G581" s="95">
        <f>N529</f>
        <v>1631188</v>
      </c>
      <c r="H581" s="60">
        <f>H580*H578/365</f>
        <v>2365349.2104594847</v>
      </c>
      <c r="I581" s="60">
        <f t="shared" ref="I581:W581" si="144">I580*I578/365</f>
        <v>2643809.3000395033</v>
      </c>
      <c r="J581" s="60">
        <f t="shared" si="144"/>
        <v>3229623.9798082993</v>
      </c>
      <c r="K581" s="60">
        <f t="shared" si="144"/>
        <v>3587958.7345255571</v>
      </c>
      <c r="L581" s="60">
        <f t="shared" si="144"/>
        <v>3793089.7541156639</v>
      </c>
      <c r="M581" s="60">
        <f t="shared" si="144"/>
        <v>3998917.3497181423</v>
      </c>
      <c r="N581" s="60">
        <f t="shared" si="144"/>
        <v>4090892.4487616583</v>
      </c>
      <c r="O581" s="60">
        <f t="shared" si="144"/>
        <v>4196448.6007684721</v>
      </c>
      <c r="P581" s="60">
        <f t="shared" si="144"/>
        <v>4281237.5835100897</v>
      </c>
      <c r="Q581" s="60">
        <f t="shared" si="144"/>
        <v>4379706.0479308218</v>
      </c>
      <c r="R581" s="60">
        <f t="shared" si="144"/>
        <v>4480439.2870332301</v>
      </c>
      <c r="S581" s="60">
        <f t="shared" si="144"/>
        <v>4596046.8069968866</v>
      </c>
      <c r="T581" s="60">
        <f t="shared" si="144"/>
        <v>4688909.6466195984</v>
      </c>
      <c r="U581" s="60">
        <f t="shared" si="144"/>
        <v>4939000.6905860286</v>
      </c>
      <c r="V581" s="60">
        <f t="shared" si="144"/>
        <v>5052597.706469506</v>
      </c>
      <c r="W581" s="60">
        <f t="shared" si="144"/>
        <v>5179048.4955395572</v>
      </c>
    </row>
    <row r="582" spans="2:23" s="40" customFormat="1" ht="14.25" customHeight="1">
      <c r="C582" s="221"/>
    </row>
    <row r="583" spans="2:23" s="40" customFormat="1" ht="14.25" customHeight="1">
      <c r="C583" s="221"/>
      <c r="D583" s="92" t="s">
        <v>261</v>
      </c>
    </row>
    <row r="584" spans="2:23" s="40" customFormat="1" ht="7.5" customHeight="1">
      <c r="C584" s="221"/>
      <c r="D584" s="92"/>
    </row>
    <row r="585" spans="2:23" s="40" customFormat="1" ht="14.25" customHeight="1">
      <c r="C585" s="221"/>
      <c r="D585" s="44" t="s">
        <v>262</v>
      </c>
    </row>
    <row r="586" spans="2:23" s="40" customFormat="1" ht="14.25" customHeight="1">
      <c r="C586" s="221"/>
    </row>
    <row r="587" spans="2:23" s="40" customFormat="1" ht="14.25" customHeight="1">
      <c r="B587" s="50" t="s">
        <v>139</v>
      </c>
      <c r="C587" s="221"/>
      <c r="D587" s="40" t="s">
        <v>263</v>
      </c>
      <c r="E587" s="46" t="s">
        <v>258</v>
      </c>
      <c r="H587" s="205">
        <v>23.144636334023147</v>
      </c>
      <c r="I587" s="205">
        <v>23.144636334023147</v>
      </c>
      <c r="J587" s="205">
        <v>23.144636334023147</v>
      </c>
      <c r="K587" s="205">
        <v>23.144636334023147</v>
      </c>
      <c r="L587" s="205">
        <v>23.144636334023147</v>
      </c>
      <c r="M587" s="205">
        <v>23.144636334023147</v>
      </c>
      <c r="N587" s="205">
        <v>23.144636334023147</v>
      </c>
      <c r="O587" s="205">
        <v>23.144636334023147</v>
      </c>
      <c r="P587" s="205">
        <v>23.144636334023147</v>
      </c>
      <c r="Q587" s="205">
        <v>23.144636334023147</v>
      </c>
      <c r="R587" s="205">
        <v>23.144636334023147</v>
      </c>
      <c r="S587" s="205">
        <v>23.144636334023147</v>
      </c>
      <c r="T587" s="205">
        <v>23.144636334023147</v>
      </c>
      <c r="U587" s="205">
        <v>23.144636334023147</v>
      </c>
      <c r="V587" s="205">
        <v>23.144636334023147</v>
      </c>
      <c r="W587" s="205">
        <v>23.144636334023147</v>
      </c>
    </row>
    <row r="588" spans="2:23" s="40" customFormat="1" ht="14.25" customHeight="1">
      <c r="C588" s="221"/>
      <c r="D588" s="40" t="s">
        <v>304</v>
      </c>
      <c r="G588" s="95">
        <f>N530</f>
        <v>5541381</v>
      </c>
      <c r="H588" s="94">
        <f>H580*H587/365</f>
        <v>4405295.2638659691</v>
      </c>
      <c r="I588" s="94">
        <f t="shared" ref="I588:W588" si="145">I580*I587/365</f>
        <v>4923907.4452631734</v>
      </c>
      <c r="J588" s="94">
        <f t="shared" si="145"/>
        <v>6014945.7675865488</v>
      </c>
      <c r="K588" s="94">
        <f t="shared" si="145"/>
        <v>6682318.8518035142</v>
      </c>
      <c r="L588" s="94">
        <f t="shared" si="145"/>
        <v>7064360.8374335142</v>
      </c>
      <c r="M588" s="94">
        <f t="shared" si="145"/>
        <v>7447700.1465177657</v>
      </c>
      <c r="N588" s="94">
        <f t="shared" si="145"/>
        <v>7618997.2498876713</v>
      </c>
      <c r="O588" s="94">
        <f t="shared" si="145"/>
        <v>7815588.1018647468</v>
      </c>
      <c r="P588" s="94">
        <f t="shared" si="145"/>
        <v>7973501.5729276957</v>
      </c>
      <c r="Q588" s="94">
        <f t="shared" si="145"/>
        <v>8156892.1091050319</v>
      </c>
      <c r="R588" s="94">
        <f t="shared" si="145"/>
        <v>8344500.6276144469</v>
      </c>
      <c r="S588" s="94">
        <f t="shared" si="145"/>
        <v>8559811.4400353562</v>
      </c>
      <c r="T588" s="94">
        <f t="shared" si="145"/>
        <v>8732761.8973167185</v>
      </c>
      <c r="U588" s="94">
        <f t="shared" si="145"/>
        <v>9198538.7418726198</v>
      </c>
      <c r="V588" s="94">
        <f t="shared" si="145"/>
        <v>9410105.1329356879</v>
      </c>
      <c r="W588" s="94">
        <f t="shared" si="145"/>
        <v>9645610.7655666508</v>
      </c>
    </row>
    <row r="589" spans="2:23" s="40" customFormat="1" ht="14.25" customHeight="1">
      <c r="C589" s="221"/>
    </row>
    <row r="590" spans="2:23" s="40" customFormat="1" ht="14.25" customHeight="1">
      <c r="C590" s="221"/>
      <c r="D590" s="92" t="s">
        <v>264</v>
      </c>
    </row>
    <row r="591" spans="2:23" s="40" customFormat="1" ht="7.5" customHeight="1">
      <c r="C591" s="221"/>
      <c r="D591" s="92"/>
    </row>
    <row r="592" spans="2:23" s="40" customFormat="1" ht="14.25" customHeight="1">
      <c r="C592" s="221"/>
      <c r="D592" s="44" t="s">
        <v>265</v>
      </c>
    </row>
    <row r="593" spans="2:23" s="40" customFormat="1" ht="14.25" customHeight="1">
      <c r="C593" s="221"/>
    </row>
    <row r="594" spans="2:23" s="40" customFormat="1" ht="14.25" customHeight="1">
      <c r="B594" s="50" t="s">
        <v>139</v>
      </c>
      <c r="C594" s="221"/>
      <c r="D594" s="40" t="s">
        <v>266</v>
      </c>
      <c r="E594" s="46" t="s">
        <v>258</v>
      </c>
      <c r="H594" s="205">
        <v>52.706967513605605</v>
      </c>
      <c r="I594" s="205">
        <v>52.706967513605605</v>
      </c>
      <c r="J594" s="205">
        <v>52.706967513605605</v>
      </c>
      <c r="K594" s="205">
        <v>52.706967513605605</v>
      </c>
      <c r="L594" s="205">
        <v>52.706967513605605</v>
      </c>
      <c r="M594" s="205">
        <v>52.706967513605605</v>
      </c>
      <c r="N594" s="205">
        <v>52.706967513605605</v>
      </c>
      <c r="O594" s="205">
        <v>52.706967513605605</v>
      </c>
      <c r="P594" s="205">
        <v>52.706967513605605</v>
      </c>
      <c r="Q594" s="205">
        <v>52.706967513605605</v>
      </c>
      <c r="R594" s="205">
        <v>52.706967513605605</v>
      </c>
      <c r="S594" s="205">
        <v>52.706967513605605</v>
      </c>
      <c r="T594" s="205">
        <v>52.706967513605605</v>
      </c>
      <c r="U594" s="205">
        <v>52.706967513605605</v>
      </c>
      <c r="V594" s="205">
        <v>52.706967513605605</v>
      </c>
      <c r="W594" s="205">
        <v>52.706967513605605</v>
      </c>
    </row>
    <row r="595" spans="2:23" s="40" customFormat="1" ht="15" customHeight="1">
      <c r="C595" s="221"/>
      <c r="D595" s="40" t="s">
        <v>305</v>
      </c>
      <c r="G595" s="95">
        <f>N541</f>
        <v>0</v>
      </c>
      <c r="H595" s="94">
        <f>H580*H594/365</f>
        <v>10032119.364913072</v>
      </c>
      <c r="I595" s="94">
        <f t="shared" ref="I595:W595" si="146">I580*I594/365</f>
        <v>11213147.87633886</v>
      </c>
      <c r="J595" s="94">
        <f t="shared" si="146"/>
        <v>13697754.701906594</v>
      </c>
      <c r="K595" s="94">
        <f t="shared" si="146"/>
        <v>15217554.406755272</v>
      </c>
      <c r="L595" s="94">
        <f t="shared" si="146"/>
        <v>16087573.457166232</v>
      </c>
      <c r="M595" s="94">
        <f t="shared" si="146"/>
        <v>16960546.884745665</v>
      </c>
      <c r="N595" s="94">
        <f t="shared" si="146"/>
        <v>17350639.463094808</v>
      </c>
      <c r="O595" s="94">
        <f t="shared" si="146"/>
        <v>17798333.153291006</v>
      </c>
      <c r="P595" s="94">
        <f t="shared" si="146"/>
        <v>18157947.366673145</v>
      </c>
      <c r="Q595" s="94">
        <f t="shared" si="146"/>
        <v>18575580.156106628</v>
      </c>
      <c r="R595" s="94">
        <f t="shared" si="146"/>
        <v>19002818.499697082</v>
      </c>
      <c r="S595" s="94">
        <f t="shared" si="146"/>
        <v>19493142.902803577</v>
      </c>
      <c r="T595" s="94">
        <f t="shared" si="146"/>
        <v>19887000.641669482</v>
      </c>
      <c r="U595" s="94">
        <f t="shared" si="146"/>
        <v>20947707.95459922</v>
      </c>
      <c r="V595" s="94">
        <f t="shared" si="146"/>
        <v>21429505.237554993</v>
      </c>
      <c r="W595" s="94">
        <f t="shared" si="146"/>
        <v>21965819.031784035</v>
      </c>
    </row>
    <row r="596" spans="2:23" s="40" customFormat="1" ht="15" customHeight="1">
      <c r="C596" s="221"/>
      <c r="G596" s="95"/>
      <c r="H596" s="94"/>
      <c r="I596" s="94"/>
      <c r="J596" s="94"/>
      <c r="K596" s="94"/>
      <c r="L596" s="94"/>
      <c r="M596" s="94"/>
      <c r="N596" s="94"/>
      <c r="O596" s="94"/>
      <c r="P596" s="94"/>
      <c r="Q596" s="94"/>
      <c r="R596" s="94"/>
      <c r="S596" s="94"/>
      <c r="T596" s="94"/>
      <c r="U596" s="94"/>
      <c r="V596" s="94"/>
      <c r="W596" s="94"/>
    </row>
    <row r="597" spans="2:23" s="40" customFormat="1" ht="15" customHeight="1">
      <c r="C597" s="221"/>
      <c r="D597" s="96" t="s">
        <v>311</v>
      </c>
      <c r="G597" s="95">
        <f>G573+G581+G588-G595</f>
        <v>12846021</v>
      </c>
      <c r="H597" s="95">
        <f t="shared" ref="H597:W597" si="147">H573+H581+H588-H595</f>
        <v>8049527.9437883869</v>
      </c>
      <c r="I597" s="95">
        <f t="shared" si="147"/>
        <v>9927772.2702150252</v>
      </c>
      <c r="J597" s="95">
        <f t="shared" si="147"/>
        <v>12128086.350950202</v>
      </c>
      <c r="K597" s="95">
        <f t="shared" si="147"/>
        <v>13473727.123495363</v>
      </c>
      <c r="L597" s="95">
        <f t="shared" si="147"/>
        <v>14365784.268283863</v>
      </c>
      <c r="M597" s="95">
        <f t="shared" si="147"/>
        <v>15144231.631305631</v>
      </c>
      <c r="N597" s="95">
        <f t="shared" si="147"/>
        <v>15492548.958825659</v>
      </c>
      <c r="O597" s="95">
        <f t="shared" si="147"/>
        <v>15892299.054990556</v>
      </c>
      <c r="P597" s="95">
        <f t="shared" si="147"/>
        <v>16213401.769330863</v>
      </c>
      <c r="Q597" s="95">
        <f t="shared" si="147"/>
        <v>16586310.010025464</v>
      </c>
      <c r="R597" s="95">
        <f t="shared" si="147"/>
        <v>16967795.140256047</v>
      </c>
      <c r="S597" s="95">
        <f t="shared" si="147"/>
        <v>17405610.618977502</v>
      </c>
      <c r="T597" s="95">
        <f t="shared" si="147"/>
        <v>17757289.680337019</v>
      </c>
      <c r="U597" s="95">
        <f t="shared" si="147"/>
        <v>18703130.476954456</v>
      </c>
      <c r="V597" s="95">
        <f t="shared" si="147"/>
        <v>19133302.477924425</v>
      </c>
      <c r="W597" s="95">
        <f t="shared" si="147"/>
        <v>19621225.591542251</v>
      </c>
    </row>
    <row r="598" spans="2:23" s="40" customFormat="1" ht="15" customHeight="1">
      <c r="C598" s="221"/>
      <c r="D598" s="40" t="s">
        <v>312</v>
      </c>
      <c r="G598" s="95"/>
      <c r="H598" s="94">
        <f>G597-H597</f>
        <v>4796493.0562116131</v>
      </c>
      <c r="I598" s="94">
        <f t="shared" ref="I598:W598" si="148">H597-I597</f>
        <v>-1878244.3264266383</v>
      </c>
      <c r="J598" s="94">
        <f t="shared" si="148"/>
        <v>-2200314.0807351768</v>
      </c>
      <c r="K598" s="94">
        <f t="shared" si="148"/>
        <v>-1345640.7725451607</v>
      </c>
      <c r="L598" s="94">
        <f t="shared" si="148"/>
        <v>-892057.14478849992</v>
      </c>
      <c r="M598" s="94">
        <f t="shared" si="148"/>
        <v>-778447.36302176863</v>
      </c>
      <c r="N598" s="94">
        <f t="shared" si="148"/>
        <v>-348317.32752002776</v>
      </c>
      <c r="O598" s="94">
        <f t="shared" si="148"/>
        <v>-399750.09616489708</v>
      </c>
      <c r="P598" s="94">
        <f t="shared" si="148"/>
        <v>-321102.71434030682</v>
      </c>
      <c r="Q598" s="94">
        <f t="shared" si="148"/>
        <v>-372908.24069460109</v>
      </c>
      <c r="R598" s="94">
        <f t="shared" si="148"/>
        <v>-381485.13023058325</v>
      </c>
      <c r="S598" s="94">
        <f t="shared" si="148"/>
        <v>-437815.47872145474</v>
      </c>
      <c r="T598" s="94">
        <f t="shared" si="148"/>
        <v>-351679.06135951728</v>
      </c>
      <c r="U598" s="94">
        <f t="shared" si="148"/>
        <v>-945840.79661743715</v>
      </c>
      <c r="V598" s="94">
        <f t="shared" si="148"/>
        <v>-430172.00096996874</v>
      </c>
      <c r="W598" s="94">
        <f t="shared" si="148"/>
        <v>-487923.11361782625</v>
      </c>
    </row>
    <row r="599" spans="2:23" s="40" customFormat="1" ht="15" customHeight="1">
      <c r="C599" s="221"/>
      <c r="G599" s="95"/>
      <c r="H599" s="94"/>
      <c r="I599" s="94"/>
      <c r="J599" s="94"/>
      <c r="K599" s="94"/>
      <c r="L599" s="94"/>
      <c r="M599" s="94"/>
      <c r="N599" s="94"/>
      <c r="O599" s="94"/>
      <c r="P599" s="94"/>
      <c r="Q599" s="94"/>
      <c r="R599" s="94"/>
      <c r="S599" s="94"/>
      <c r="T599" s="94"/>
      <c r="U599" s="94"/>
      <c r="V599" s="94"/>
      <c r="W599" s="94"/>
    </row>
    <row r="600" spans="2:23" s="40" customFormat="1" ht="15" customHeight="1">
      <c r="C600" s="221"/>
      <c r="G600" s="95"/>
      <c r="H600" s="94"/>
      <c r="I600" s="94"/>
      <c r="J600" s="94"/>
      <c r="K600" s="94"/>
      <c r="L600" s="94"/>
      <c r="M600" s="94"/>
      <c r="N600" s="94"/>
      <c r="O600" s="94"/>
      <c r="P600" s="94"/>
      <c r="Q600" s="94"/>
      <c r="R600" s="94"/>
      <c r="S600" s="94"/>
      <c r="T600" s="94"/>
      <c r="U600" s="94"/>
      <c r="V600" s="94"/>
      <c r="W600" s="94"/>
    </row>
    <row r="601" spans="2:23" s="40" customFormat="1" ht="15" customHeight="1">
      <c r="C601" s="221"/>
    </row>
    <row r="602" spans="2:23" s="40" customFormat="1" ht="15" customHeight="1">
      <c r="C602" s="43">
        <v>2.2999999999999998</v>
      </c>
      <c r="D602" s="1" t="s">
        <v>267</v>
      </c>
      <c r="E602" s="1"/>
      <c r="F602" s="1"/>
      <c r="G602" s="1"/>
      <c r="H602" s="1"/>
      <c r="I602" s="1"/>
      <c r="J602" s="1"/>
      <c r="K602" s="1"/>
      <c r="L602" s="1"/>
      <c r="M602" s="1"/>
      <c r="N602" s="1"/>
      <c r="O602" s="1"/>
      <c r="P602" s="1"/>
      <c r="Q602" s="1"/>
      <c r="R602" s="1"/>
      <c r="S602" s="1"/>
      <c r="T602" s="1"/>
      <c r="U602" s="1"/>
      <c r="V602" s="1"/>
      <c r="W602" s="1"/>
    </row>
    <row r="603" spans="2:23" s="40" customFormat="1" ht="7.5" customHeight="1">
      <c r="C603" s="221"/>
    </row>
    <row r="604" spans="2:23" s="40" customFormat="1" ht="15" customHeight="1">
      <c r="C604" s="221"/>
      <c r="D604" s="42" t="s">
        <v>32</v>
      </c>
    </row>
    <row r="605" spans="2:23" s="40" customFormat="1" ht="15" customHeight="1">
      <c r="C605" s="221"/>
      <c r="D605" s="42" t="s">
        <v>268</v>
      </c>
    </row>
    <row r="606" spans="2:23" s="40" customFormat="1" ht="15" customHeight="1">
      <c r="C606" s="221"/>
      <c r="D606" s="42" t="s">
        <v>269</v>
      </c>
    </row>
    <row r="607" spans="2:23" s="40" customFormat="1" ht="15" customHeight="1">
      <c r="C607" s="221"/>
      <c r="D607" s="42" t="s">
        <v>72</v>
      </c>
    </row>
    <row r="608" spans="2:23" s="40" customFormat="1" ht="15" customHeight="1">
      <c r="C608" s="221"/>
    </row>
    <row r="609" spans="2:23" s="40" customFormat="1" ht="14.25" customHeight="1">
      <c r="C609" s="221"/>
      <c r="D609" s="92" t="s">
        <v>270</v>
      </c>
    </row>
    <row r="610" spans="2:23" s="40" customFormat="1" ht="7.5" customHeight="1">
      <c r="C610" s="221"/>
      <c r="D610" s="92"/>
    </row>
    <row r="611" spans="2:23" s="40" customFormat="1" ht="14.25" customHeight="1">
      <c r="C611" s="221"/>
      <c r="D611" s="48" t="s">
        <v>271</v>
      </c>
      <c r="E611" s="46" t="s">
        <v>272</v>
      </c>
      <c r="G611" s="206">
        <v>0.2</v>
      </c>
      <c r="H611" s="206">
        <v>0.2</v>
      </c>
      <c r="I611" s="206">
        <v>0.2</v>
      </c>
      <c r="J611" s="206">
        <v>0.2</v>
      </c>
      <c r="K611" s="206">
        <v>0.2</v>
      </c>
      <c r="L611" s="206">
        <v>0.2</v>
      </c>
      <c r="M611" s="206">
        <v>0.2</v>
      </c>
      <c r="N611" s="206">
        <v>0.2</v>
      </c>
      <c r="O611" s="206">
        <v>0.2</v>
      </c>
      <c r="P611" s="206">
        <v>0.2</v>
      </c>
      <c r="Q611" s="206">
        <v>0.2</v>
      </c>
      <c r="R611" s="206">
        <v>0.2</v>
      </c>
      <c r="S611" s="206">
        <v>0.2</v>
      </c>
      <c r="T611" s="206">
        <v>0.2</v>
      </c>
      <c r="U611" s="206">
        <v>0.2</v>
      </c>
      <c r="V611" s="206">
        <v>0.2</v>
      </c>
      <c r="W611" s="206">
        <v>0.2</v>
      </c>
    </row>
    <row r="612" spans="2:23" s="40" customFormat="1" ht="14.25" customHeight="1">
      <c r="C612" s="221"/>
      <c r="D612" s="48" t="s">
        <v>273</v>
      </c>
      <c r="E612" s="46" t="s">
        <v>272</v>
      </c>
      <c r="G612" s="206">
        <v>0.15515882312556531</v>
      </c>
      <c r="H612" s="206">
        <v>0.15435037360410125</v>
      </c>
      <c r="I612" s="206">
        <v>0.15435037360410125</v>
      </c>
      <c r="J612" s="206">
        <v>0.15435037360410125</v>
      </c>
      <c r="K612" s="206">
        <v>0.15435037360410125</v>
      </c>
      <c r="L612" s="206">
        <v>0.15435037360410125</v>
      </c>
      <c r="M612" s="206">
        <v>0.15435037360410125</v>
      </c>
      <c r="N612" s="206">
        <v>0.15435037360410125</v>
      </c>
      <c r="O612" s="206">
        <v>0.15435037360410125</v>
      </c>
      <c r="P612" s="206">
        <v>0.15435037360410125</v>
      </c>
      <c r="Q612" s="206">
        <v>0.15435037360410125</v>
      </c>
      <c r="R612" s="206">
        <v>0.15435037360410125</v>
      </c>
      <c r="S612" s="206">
        <v>0.15435037360410125</v>
      </c>
      <c r="T612" s="206">
        <v>0.15435037360410125</v>
      </c>
      <c r="U612" s="206">
        <v>0.15435037360410125</v>
      </c>
      <c r="V612" s="206">
        <v>0.15435037360410125</v>
      </c>
      <c r="W612" s="206">
        <v>0.15435037360410125</v>
      </c>
    </row>
    <row r="613" spans="2:23" s="40" customFormat="1" ht="14.25" customHeight="1">
      <c r="C613" s="221"/>
      <c r="D613" s="48" t="s">
        <v>274</v>
      </c>
      <c r="E613" s="46" t="s">
        <v>272</v>
      </c>
      <c r="G613" s="206">
        <v>2.6008126559698419E-2</v>
      </c>
      <c r="H613" s="206">
        <v>2.6008126559698419E-2</v>
      </c>
      <c r="I613" s="206">
        <v>2.6008126559698419E-2</v>
      </c>
      <c r="J613" s="206">
        <v>2.6008126559698419E-2</v>
      </c>
      <c r="K613" s="206">
        <v>2.6008126559698419E-2</v>
      </c>
      <c r="L613" s="206">
        <v>2.6008126559698419E-2</v>
      </c>
      <c r="M613" s="206">
        <v>2.6008126559698419E-2</v>
      </c>
      <c r="N613" s="206">
        <v>2.6008126559698419E-2</v>
      </c>
      <c r="O613" s="206">
        <v>2.6008126559698419E-2</v>
      </c>
      <c r="P613" s="206">
        <v>2.6008126559698419E-2</v>
      </c>
      <c r="Q613" s="206">
        <v>2.6008126559698419E-2</v>
      </c>
      <c r="R613" s="206">
        <v>2.6008126559698419E-2</v>
      </c>
      <c r="S613" s="206">
        <v>2.6008126559698419E-2</v>
      </c>
      <c r="T613" s="206">
        <v>2.6008126559698419E-2</v>
      </c>
      <c r="U613" s="206">
        <v>2.6008126559698419E-2</v>
      </c>
      <c r="V613" s="206">
        <v>2.6008126559698419E-2</v>
      </c>
      <c r="W613" s="206">
        <v>2.6008126559698419E-2</v>
      </c>
    </row>
    <row r="614" spans="2:23" s="40" customFormat="1" ht="14.25" customHeight="1">
      <c r="C614" s="221"/>
      <c r="D614" s="48" t="s">
        <v>275</v>
      </c>
      <c r="E614" s="46" t="s">
        <v>272</v>
      </c>
      <c r="G614" s="206">
        <v>8.0300517251552087E-2</v>
      </c>
      <c r="H614" s="206">
        <v>8.0300517251552087E-2</v>
      </c>
      <c r="I614" s="206">
        <v>8.0300517251552087E-2</v>
      </c>
      <c r="J614" s="206">
        <v>8.0300517251552087E-2</v>
      </c>
      <c r="K614" s="206">
        <v>8.0300517251552087E-2</v>
      </c>
      <c r="L614" s="206">
        <v>8.0300517251552087E-2</v>
      </c>
      <c r="M614" s="206">
        <v>8.0300517251552087E-2</v>
      </c>
      <c r="N614" s="206">
        <v>8.0300517251552087E-2</v>
      </c>
      <c r="O614" s="206">
        <v>8.0300517251552087E-2</v>
      </c>
      <c r="P614" s="206">
        <v>8.0300517251552087E-2</v>
      </c>
      <c r="Q614" s="206">
        <v>8.0300517251552087E-2</v>
      </c>
      <c r="R614" s="206">
        <v>8.0300517251552087E-2</v>
      </c>
      <c r="S614" s="206">
        <v>8.0300517251552087E-2</v>
      </c>
      <c r="T614" s="206">
        <v>8.0300517251552087E-2</v>
      </c>
      <c r="U614" s="206">
        <v>8.0300517251552087E-2</v>
      </c>
      <c r="V614" s="206">
        <v>8.0300517251552087E-2</v>
      </c>
      <c r="W614" s="206">
        <v>8.0300517251552087E-2</v>
      </c>
    </row>
    <row r="615" spans="2:23" s="40" customFormat="1" ht="14.25" customHeight="1">
      <c r="C615" s="221"/>
      <c r="D615" s="48" t="s">
        <v>276</v>
      </c>
      <c r="E615" s="46" t="s">
        <v>272</v>
      </c>
      <c r="G615" s="206">
        <v>0.16593300662057683</v>
      </c>
      <c r="H615" s="206">
        <v>0.16593300662057683</v>
      </c>
      <c r="I615" s="206">
        <v>0.16593300662057683</v>
      </c>
      <c r="J615" s="206">
        <v>0.16593300662057683</v>
      </c>
      <c r="K615" s="206">
        <v>0.16593300662057683</v>
      </c>
      <c r="L615" s="206">
        <v>0.16593300662057683</v>
      </c>
      <c r="M615" s="206">
        <v>0.16593300662057683</v>
      </c>
      <c r="N615" s="206">
        <v>0.16593300662057683</v>
      </c>
      <c r="O615" s="206">
        <v>0.16593300662057683</v>
      </c>
      <c r="P615" s="206">
        <v>0.16593300662057683</v>
      </c>
      <c r="Q615" s="206">
        <v>0.16593300662057683</v>
      </c>
      <c r="R615" s="206">
        <v>0.16593300662057683</v>
      </c>
      <c r="S615" s="206">
        <v>0.16593300662057683</v>
      </c>
      <c r="T615" s="206">
        <v>0.16593300662057683</v>
      </c>
      <c r="U615" s="206">
        <v>0.16593300662057683</v>
      </c>
      <c r="V615" s="206">
        <v>0.16593300662057683</v>
      </c>
      <c r="W615" s="206">
        <v>0.16593300662057683</v>
      </c>
    </row>
    <row r="616" spans="2:23" s="40" customFormat="1" ht="14.25" customHeight="1">
      <c r="C616" s="221"/>
      <c r="D616" s="48" t="s">
        <v>73</v>
      </c>
      <c r="E616" s="46" t="s">
        <v>272</v>
      </c>
      <c r="G616" s="206">
        <v>0</v>
      </c>
      <c r="H616" s="206">
        <v>0</v>
      </c>
      <c r="I616" s="206">
        <v>0</v>
      </c>
      <c r="J616" s="206">
        <v>0</v>
      </c>
      <c r="K616" s="206">
        <v>0</v>
      </c>
      <c r="L616" s="206">
        <v>0</v>
      </c>
      <c r="M616" s="206">
        <v>0</v>
      </c>
      <c r="N616" s="206">
        <v>0</v>
      </c>
      <c r="O616" s="206">
        <v>0</v>
      </c>
      <c r="P616" s="206">
        <v>0</v>
      </c>
      <c r="Q616" s="206">
        <v>0</v>
      </c>
      <c r="R616" s="206">
        <v>0</v>
      </c>
      <c r="S616" s="206">
        <v>0</v>
      </c>
      <c r="T616" s="206">
        <v>0</v>
      </c>
      <c r="U616" s="206">
        <v>0</v>
      </c>
      <c r="V616" s="206">
        <v>0</v>
      </c>
      <c r="W616" s="206">
        <v>0</v>
      </c>
    </row>
    <row r="617" spans="2:23" s="40" customFormat="1" ht="14.25" customHeight="1">
      <c r="C617" s="221"/>
    </row>
    <row r="618" spans="2:23" s="40" customFormat="1" ht="14.25" customHeight="1">
      <c r="C618" s="221"/>
      <c r="D618" s="92" t="s">
        <v>268</v>
      </c>
    </row>
    <row r="619" spans="2:23" s="40" customFormat="1" ht="7.5" customHeight="1">
      <c r="C619" s="221"/>
      <c r="D619" s="92"/>
    </row>
    <row r="620" spans="2:23" s="40" customFormat="1" ht="14.25" customHeight="1">
      <c r="C620" s="221"/>
      <c r="D620" s="44" t="s">
        <v>277</v>
      </c>
    </row>
    <row r="621" spans="2:23" s="40" customFormat="1" ht="14.25" customHeight="1">
      <c r="C621" s="221"/>
    </row>
    <row r="622" spans="2:23" s="40" customFormat="1" ht="14.25" customHeight="1">
      <c r="C622" s="221"/>
      <c r="D622" s="67" t="s">
        <v>278</v>
      </c>
    </row>
    <row r="623" spans="2:23" s="40" customFormat="1" ht="7.5" customHeight="1">
      <c r="C623" s="221"/>
    </row>
    <row r="624" spans="2:23" s="40" customFormat="1" ht="14.25" customHeight="1">
      <c r="B624" s="50" t="s">
        <v>139</v>
      </c>
      <c r="C624" s="221"/>
      <c r="D624" s="48" t="s">
        <v>271</v>
      </c>
      <c r="E624" s="46" t="s">
        <v>137</v>
      </c>
      <c r="H624" s="206">
        <v>0.02</v>
      </c>
      <c r="I624" s="206">
        <v>0.02</v>
      </c>
      <c r="J624" s="206">
        <v>0.02</v>
      </c>
      <c r="K624" s="206">
        <v>0.02</v>
      </c>
      <c r="L624" s="206">
        <v>0.02</v>
      </c>
      <c r="M624" s="206">
        <v>0.02</v>
      </c>
      <c r="N624" s="206">
        <v>0.02</v>
      </c>
      <c r="O624" s="206">
        <v>0.02</v>
      </c>
      <c r="P624" s="206">
        <v>2.0000000000000004E-2</v>
      </c>
      <c r="Q624" s="206">
        <v>1.9999999999999997E-2</v>
      </c>
      <c r="R624" s="206">
        <v>0.02</v>
      </c>
      <c r="S624" s="206">
        <v>0.02</v>
      </c>
      <c r="T624" s="206">
        <v>0.02</v>
      </c>
      <c r="U624" s="206">
        <v>0.02</v>
      </c>
      <c r="V624" s="206">
        <v>0.02</v>
      </c>
      <c r="W624" s="206">
        <v>0.02</v>
      </c>
    </row>
    <row r="625" spans="2:23" s="40" customFormat="1" ht="14.25" customHeight="1">
      <c r="B625" s="50" t="s">
        <v>139</v>
      </c>
      <c r="C625" s="221"/>
      <c r="D625" s="48" t="s">
        <v>273</v>
      </c>
      <c r="E625" s="46" t="s">
        <v>137</v>
      </c>
      <c r="H625" s="206">
        <v>0.02</v>
      </c>
      <c r="I625" s="206">
        <v>0.02</v>
      </c>
      <c r="J625" s="206">
        <v>2.0736871770939923E-2</v>
      </c>
      <c r="K625" s="206">
        <v>2.0721901786168926E-2</v>
      </c>
      <c r="L625" s="206">
        <v>2.0707246297846323E-2</v>
      </c>
      <c r="M625" s="206">
        <v>2.069289828245223E-2</v>
      </c>
      <c r="N625" s="206">
        <v>2.0678850890035766E-2</v>
      </c>
      <c r="O625" s="206">
        <v>2.0665097439261922E-2</v>
      </c>
      <c r="P625" s="206">
        <v>2.0651631412625535E-2</v>
      </c>
      <c r="Q625" s="206">
        <v>2.0638446451825731E-2</v>
      </c>
      <c r="R625" s="206">
        <v>2.0625536353294588E-2</v>
      </c>
      <c r="S625" s="206">
        <v>2.0612895063873905E-2</v>
      </c>
      <c r="T625" s="206">
        <v>2.0600516676634335E-2</v>
      </c>
      <c r="U625" s="206">
        <v>2.0588395426831437E-2</v>
      </c>
      <c r="V625" s="206">
        <v>2.0576525687993306E-2</v>
      </c>
      <c r="W625" s="206">
        <v>2.0564901968134784E-2</v>
      </c>
    </row>
    <row r="626" spans="2:23" s="40" customFormat="1" ht="14.25" customHeight="1">
      <c r="B626" s="50" t="s">
        <v>139</v>
      </c>
      <c r="C626" s="221"/>
      <c r="D626" s="48" t="s">
        <v>274</v>
      </c>
      <c r="E626" s="46" t="s">
        <v>137</v>
      </c>
      <c r="H626" s="206">
        <v>5.0000000000000001E-3</v>
      </c>
      <c r="I626" s="206">
        <v>5.0000000000000001E-3</v>
      </c>
      <c r="J626" s="206">
        <v>4.9860783643030917E-3</v>
      </c>
      <c r="K626" s="206">
        <v>4.9861474342813121E-3</v>
      </c>
      <c r="L626" s="206">
        <v>4.9862161625271618E-3</v>
      </c>
      <c r="M626" s="206">
        <v>4.9862845507220284E-3</v>
      </c>
      <c r="N626" s="206">
        <v>4.9863526005391179E-3</v>
      </c>
      <c r="O626" s="206">
        <v>4.9864203136434958E-3</v>
      </c>
      <c r="P626" s="206">
        <v>4.9864876916921267E-3</v>
      </c>
      <c r="Q626" s="206">
        <v>4.9865547363339095E-3</v>
      </c>
      <c r="R626" s="206">
        <v>4.9866214492097173E-3</v>
      </c>
      <c r="S626" s="206">
        <v>4.9866878319524393E-3</v>
      </c>
      <c r="T626" s="206">
        <v>4.9867538861870109E-3</v>
      </c>
      <c r="U626" s="206">
        <v>4.9868196135304599E-3</v>
      </c>
      <c r="V626" s="206">
        <v>4.9868850155919365E-3</v>
      </c>
      <c r="W626" s="206">
        <v>4.9869500939727588E-3</v>
      </c>
    </row>
    <row r="627" spans="2:23" s="40" customFormat="1" ht="14.25" customHeight="1">
      <c r="B627" s="50" t="s">
        <v>139</v>
      </c>
      <c r="C627" s="221"/>
      <c r="D627" s="48" t="s">
        <v>275</v>
      </c>
      <c r="E627" s="46" t="s">
        <v>137</v>
      </c>
      <c r="H627" s="206">
        <v>0.02</v>
      </c>
      <c r="I627" s="206">
        <v>0.02</v>
      </c>
      <c r="J627" s="206">
        <v>0.02</v>
      </c>
      <c r="K627" s="206">
        <v>0.02</v>
      </c>
      <c r="L627" s="206">
        <v>0.02</v>
      </c>
      <c r="M627" s="206">
        <v>0.02</v>
      </c>
      <c r="N627" s="206">
        <v>0.02</v>
      </c>
      <c r="O627" s="206">
        <v>0.02</v>
      </c>
      <c r="P627" s="206">
        <v>0.02</v>
      </c>
      <c r="Q627" s="206">
        <v>0.02</v>
      </c>
      <c r="R627" s="206">
        <v>0.02</v>
      </c>
      <c r="S627" s="206">
        <v>0.02</v>
      </c>
      <c r="T627" s="206">
        <v>0.02</v>
      </c>
      <c r="U627" s="206">
        <v>2.0000000000000004E-2</v>
      </c>
      <c r="V627" s="206">
        <v>0.02</v>
      </c>
      <c r="W627" s="206">
        <v>0.02</v>
      </c>
    </row>
    <row r="628" spans="2:23" s="40" customFormat="1" ht="14.25" customHeight="1">
      <c r="B628" s="50" t="s">
        <v>139</v>
      </c>
      <c r="C628" s="221"/>
      <c r="D628" s="48" t="s">
        <v>276</v>
      </c>
      <c r="E628" s="46" t="s">
        <v>137</v>
      </c>
      <c r="H628" s="206">
        <v>0.03</v>
      </c>
      <c r="I628" s="206">
        <v>2.9999999999999995E-2</v>
      </c>
      <c r="J628" s="206">
        <v>3.2556814296740011E-2</v>
      </c>
      <c r="K628" s="206">
        <v>3.2476197204200731E-2</v>
      </c>
      <c r="L628" s="206">
        <v>3.2398309240354334E-2</v>
      </c>
      <c r="M628" s="206">
        <v>3.2323046462676815E-2</v>
      </c>
      <c r="N628" s="206">
        <v>3.2250309600891786E-2</v>
      </c>
      <c r="O628" s="206">
        <v>3.2180003803304102E-2</v>
      </c>
      <c r="P628" s="206">
        <v>3.2112038399573113E-2</v>
      </c>
      <c r="Q628" s="206">
        <v>3.2046326678688987E-2</v>
      </c>
      <c r="R628" s="206">
        <v>3.1982785681021156E-2</v>
      </c>
      <c r="S628" s="206">
        <v>3.1921336003403085E-2</v>
      </c>
      <c r="T628" s="206">
        <v>3.1861901616303777E-2</v>
      </c>
      <c r="U628" s="206">
        <v>3.1804409692214916E-2</v>
      </c>
      <c r="V628" s="206">
        <v>3.1748790444453681E-2</v>
      </c>
      <c r="W628" s="206">
        <v>3.1694976975645731E-2</v>
      </c>
    </row>
    <row r="629" spans="2:23" s="40" customFormat="1" ht="14.25" customHeight="1">
      <c r="C629" s="221"/>
      <c r="D629" s="48"/>
    </row>
    <row r="630" spans="2:23" s="40" customFormat="1" ht="14.25" customHeight="1">
      <c r="C630" s="221"/>
      <c r="D630" s="67" t="s">
        <v>279</v>
      </c>
    </row>
    <row r="631" spans="2:23" s="40" customFormat="1" ht="6.75" customHeight="1">
      <c r="C631" s="221"/>
      <c r="D631" s="48"/>
    </row>
    <row r="632" spans="2:23" s="40" customFormat="1" ht="14.25" customHeight="1">
      <c r="C632" s="221"/>
      <c r="D632" s="48" t="s">
        <v>271</v>
      </c>
      <c r="H632" s="224">
        <f>G643*H624</f>
        <v>14320</v>
      </c>
      <c r="I632" s="224">
        <f>H643*I624</f>
        <v>14606.4</v>
      </c>
      <c r="J632" s="224">
        <f>I643*J624</f>
        <v>14898.528</v>
      </c>
      <c r="K632" s="224">
        <f>J643*K624</f>
        <v>15196.498560000002</v>
      </c>
      <c r="L632" s="224">
        <f>K643*L624</f>
        <v>15500.428531200001</v>
      </c>
      <c r="M632" s="224">
        <f t="shared" ref="M632:W632" si="149">L643*M624</f>
        <v>15810.437101824002</v>
      </c>
      <c r="N632" s="224">
        <f t="shared" si="149"/>
        <v>16126.645843860482</v>
      </c>
      <c r="O632" s="224">
        <f t="shared" si="149"/>
        <v>16449.17876073769</v>
      </c>
      <c r="P632" s="224">
        <f t="shared" si="149"/>
        <v>16778.162335952446</v>
      </c>
      <c r="Q632" s="224">
        <f t="shared" si="149"/>
        <v>17113.72558267149</v>
      </c>
      <c r="R632" s="224">
        <f t="shared" si="149"/>
        <v>17456.000094324922</v>
      </c>
      <c r="S632" s="224">
        <f t="shared" si="149"/>
        <v>17805.12009621142</v>
      </c>
      <c r="T632" s="224">
        <f t="shared" si="149"/>
        <v>18161.222498135648</v>
      </c>
      <c r="U632" s="224">
        <f t="shared" si="149"/>
        <v>18524.446948098361</v>
      </c>
      <c r="V632" s="224">
        <f t="shared" si="149"/>
        <v>18894.935887060328</v>
      </c>
      <c r="W632" s="224">
        <f t="shared" si="149"/>
        <v>19272.834604801537</v>
      </c>
    </row>
    <row r="633" spans="2:23" s="40" customFormat="1" ht="14.25" customHeight="1">
      <c r="C633" s="221"/>
      <c r="D633" s="48" t="s">
        <v>273</v>
      </c>
      <c r="H633" s="224">
        <f t="shared" ref="H633:I636" si="150">G644*H625</f>
        <v>3542583.58</v>
      </c>
      <c r="I633" s="224">
        <f t="shared" si="150"/>
        <v>3613435.2516000005</v>
      </c>
      <c r="J633" s="224">
        <f t="shared" ref="J633:K633" si="151">I644*J625</f>
        <v>3821498.5167161855</v>
      </c>
      <c r="K633" s="224">
        <f t="shared" si="151"/>
        <v>3897928.4870505091</v>
      </c>
      <c r="L633" s="224">
        <f t="shared" ref="L633:W633" si="152">K644*L625</f>
        <v>3975887.0567915193</v>
      </c>
      <c r="M633" s="224">
        <f t="shared" si="152"/>
        <v>4055404.7979273493</v>
      </c>
      <c r="N633" s="224">
        <f t="shared" si="152"/>
        <v>4136512.8938858961</v>
      </c>
      <c r="O633" s="224">
        <f t="shared" si="152"/>
        <v>4219243.1517636143</v>
      </c>
      <c r="P633" s="224">
        <f t="shared" si="152"/>
        <v>4303628.0147988871</v>
      </c>
      <c r="Q633" s="224">
        <f t="shared" si="152"/>
        <v>4389700.5750948647</v>
      </c>
      <c r="R633" s="224">
        <f t="shared" si="152"/>
        <v>4477494.5865967618</v>
      </c>
      <c r="S633" s="224">
        <f t="shared" si="152"/>
        <v>4567044.4783286974</v>
      </c>
      <c r="T633" s="224">
        <f t="shared" si="152"/>
        <v>4658385.3678952716</v>
      </c>
      <c r="U633" s="224">
        <f t="shared" si="152"/>
        <v>4751553.0752531765</v>
      </c>
      <c r="V633" s="224">
        <f t="shared" si="152"/>
        <v>4846584.1367582409</v>
      </c>
      <c r="W633" s="224">
        <f t="shared" si="152"/>
        <v>4943515.8194934055</v>
      </c>
    </row>
    <row r="634" spans="2:23" s="40" customFormat="1" ht="14.25" customHeight="1">
      <c r="C634" s="221"/>
      <c r="D634" s="48" t="s">
        <v>274</v>
      </c>
      <c r="H634" s="224">
        <f t="shared" si="150"/>
        <v>10948406.620000001</v>
      </c>
      <c r="I634" s="224">
        <f t="shared" si="150"/>
        <v>11003148.653099999</v>
      </c>
      <c r="J634" s="224">
        <f t="shared" ref="J634:K634" si="153">I645*J626</f>
        <v>12900578.325333733</v>
      </c>
      <c r="K634" s="224">
        <f t="shared" si="153"/>
        <v>12965081.2169604</v>
      </c>
      <c r="L634" s="224">
        <f t="shared" ref="L634:W634" si="154">K645*L626</f>
        <v>13029906.623045202</v>
      </c>
      <c r="M634" s="224">
        <f t="shared" si="154"/>
        <v>13095056.156160429</v>
      </c>
      <c r="N634" s="224">
        <f t="shared" si="154"/>
        <v>13160531.436941231</v>
      </c>
      <c r="O634" s="224">
        <f t="shared" si="154"/>
        <v>13226334.094125936</v>
      </c>
      <c r="P634" s="224">
        <f t="shared" si="154"/>
        <v>13292465.764596567</v>
      </c>
      <c r="Q634" s="224">
        <f t="shared" si="154"/>
        <v>13358928.093419548</v>
      </c>
      <c r="R634" s="224">
        <f t="shared" si="154"/>
        <v>13425722.733886644</v>
      </c>
      <c r="S634" s="224">
        <f t="shared" si="154"/>
        <v>13492851.347556079</v>
      </c>
      <c r="T634" s="224">
        <f t="shared" si="154"/>
        <v>13560315.60429386</v>
      </c>
      <c r="U634" s="224">
        <f t="shared" si="154"/>
        <v>13628117.182315331</v>
      </c>
      <c r="V634" s="224">
        <f t="shared" si="154"/>
        <v>13696257.768226905</v>
      </c>
      <c r="W634" s="224">
        <f t="shared" si="154"/>
        <v>13764739.057068041</v>
      </c>
    </row>
    <row r="635" spans="2:23" s="40" customFormat="1" ht="14.25" customHeight="1">
      <c r="C635" s="221"/>
      <c r="D635" s="48" t="s">
        <v>275</v>
      </c>
      <c r="H635" s="224">
        <f t="shared" si="150"/>
        <v>106775.90000000001</v>
      </c>
      <c r="I635" s="224">
        <f t="shared" si="150"/>
        <v>108911.41800000001</v>
      </c>
      <c r="J635" s="224">
        <f t="shared" ref="J635:K635" si="155">I646*J627</f>
        <v>111089.64636</v>
      </c>
      <c r="K635" s="224">
        <f t="shared" si="155"/>
        <v>113311.43928719999</v>
      </c>
      <c r="L635" s="224">
        <f t="shared" ref="L635:W635" si="156">K646*L627</f>
        <v>115577.66807294398</v>
      </c>
      <c r="M635" s="224">
        <f t="shared" si="156"/>
        <v>117889.22143440286</v>
      </c>
      <c r="N635" s="224">
        <f t="shared" si="156"/>
        <v>120247.00586309092</v>
      </c>
      <c r="O635" s="224">
        <f t="shared" si="156"/>
        <v>122651.94598035274</v>
      </c>
      <c r="P635" s="224">
        <f t="shared" si="156"/>
        <v>125104.98489995979</v>
      </c>
      <c r="Q635" s="224">
        <f t="shared" si="156"/>
        <v>127607.08459795898</v>
      </c>
      <c r="R635" s="224">
        <f t="shared" si="156"/>
        <v>130159.22628991817</v>
      </c>
      <c r="S635" s="224">
        <f t="shared" si="156"/>
        <v>132762.41081571652</v>
      </c>
      <c r="T635" s="224">
        <f t="shared" si="156"/>
        <v>135417.65903203085</v>
      </c>
      <c r="U635" s="224">
        <f t="shared" si="156"/>
        <v>138126.01221267149</v>
      </c>
      <c r="V635" s="224">
        <f t="shared" si="156"/>
        <v>140888.53245692491</v>
      </c>
      <c r="W635" s="224">
        <f t="shared" si="156"/>
        <v>143706.30310606339</v>
      </c>
    </row>
    <row r="636" spans="2:23" s="40" customFormat="1" ht="14.25" customHeight="1">
      <c r="C636" s="221"/>
      <c r="D636" s="48" t="s">
        <v>276</v>
      </c>
      <c r="H636" s="224">
        <f t="shared" si="150"/>
        <v>137434.56</v>
      </c>
      <c r="I636" s="224">
        <f t="shared" si="150"/>
        <v>141557.59679999997</v>
      </c>
      <c r="J636" s="224">
        <f t="shared" ref="J636:K636" si="157">I647*J628</f>
        <v>158230.81076832366</v>
      </c>
      <c r="K636" s="224">
        <f t="shared" si="157"/>
        <v>162977.73509137332</v>
      </c>
      <c r="L636" s="224">
        <f t="shared" ref="L636:W636" si="158">K647*L628</f>
        <v>167867.06714411458</v>
      </c>
      <c r="M636" s="224">
        <f t="shared" si="158"/>
        <v>172903.07915843799</v>
      </c>
      <c r="N636" s="224">
        <f t="shared" si="158"/>
        <v>178090.17153319117</v>
      </c>
      <c r="O636" s="224">
        <f t="shared" si="158"/>
        <v>183432.87667918688</v>
      </c>
      <c r="P636" s="224">
        <f t="shared" si="158"/>
        <v>188935.86297956246</v>
      </c>
      <c r="Q636" s="224">
        <f t="shared" si="158"/>
        <v>194603.93886894936</v>
      </c>
      <c r="R636" s="224">
        <f t="shared" si="158"/>
        <v>200442.05703501785</v>
      </c>
      <c r="S636" s="224">
        <f t="shared" si="158"/>
        <v>206455.31874606837</v>
      </c>
      <c r="T636" s="224">
        <f t="shared" si="158"/>
        <v>212648.97830845046</v>
      </c>
      <c r="U636" s="224">
        <f t="shared" si="158"/>
        <v>219028.44765770395</v>
      </c>
      <c r="V636" s="224">
        <f t="shared" si="158"/>
        <v>225599.30108743507</v>
      </c>
      <c r="W636" s="224">
        <f t="shared" si="158"/>
        <v>232367.28012005813</v>
      </c>
    </row>
    <row r="637" spans="2:23" s="40" customFormat="1" ht="14.25" customHeight="1">
      <c r="C637" s="221"/>
      <c r="D637" s="48"/>
    </row>
    <row r="638" spans="2:23" s="40" customFormat="1" ht="14.25" customHeight="1">
      <c r="C638" s="221"/>
      <c r="D638" s="48" t="s">
        <v>357</v>
      </c>
      <c r="H638" s="209">
        <v>0</v>
      </c>
      <c r="I638" s="209">
        <v>0</v>
      </c>
      <c r="J638" s="209">
        <v>0</v>
      </c>
      <c r="K638" s="209">
        <v>0</v>
      </c>
      <c r="L638" s="209">
        <v>0</v>
      </c>
      <c r="M638" s="209">
        <v>0</v>
      </c>
      <c r="N638" s="209">
        <v>0</v>
      </c>
      <c r="O638" s="209">
        <v>0</v>
      </c>
      <c r="P638" s="209">
        <v>0</v>
      </c>
      <c r="Q638" s="209">
        <v>0</v>
      </c>
      <c r="R638" s="209">
        <v>0</v>
      </c>
      <c r="S638" s="209">
        <v>0</v>
      </c>
      <c r="T638" s="209">
        <v>0</v>
      </c>
      <c r="U638" s="209">
        <v>0</v>
      </c>
      <c r="V638" s="209">
        <v>0</v>
      </c>
      <c r="W638" s="209">
        <v>0</v>
      </c>
    </row>
    <row r="639" spans="2:23" s="40" customFormat="1" ht="14.25" customHeight="1">
      <c r="C639" s="221"/>
      <c r="D639" s="48"/>
    </row>
    <row r="640" spans="2:23" s="40" customFormat="1" ht="14.25" customHeight="1">
      <c r="C640" s="221"/>
      <c r="D640" s="51" t="s">
        <v>280</v>
      </c>
      <c r="H640" s="52">
        <f>SUM(H632:H636)</f>
        <v>14749520.660000002</v>
      </c>
      <c r="I640" s="52">
        <f t="shared" ref="I640:W640" si="159">SUM(I632:I636)</f>
        <v>14881659.319499997</v>
      </c>
      <c r="J640" s="52">
        <f t="shared" si="159"/>
        <v>17006295.827178244</v>
      </c>
      <c r="K640" s="52">
        <f t="shared" si="159"/>
        <v>17154495.376949482</v>
      </c>
      <c r="L640" s="52">
        <f t="shared" si="159"/>
        <v>17304738.843584977</v>
      </c>
      <c r="M640" s="52">
        <f t="shared" si="159"/>
        <v>17457063.691782441</v>
      </c>
      <c r="N640" s="52">
        <f t="shared" si="159"/>
        <v>17611508.154067267</v>
      </c>
      <c r="O640" s="52">
        <f t="shared" si="159"/>
        <v>17768111.247309826</v>
      </c>
      <c r="P640" s="52">
        <f t="shared" si="159"/>
        <v>17926912.78961093</v>
      </c>
      <c r="Q640" s="52">
        <f t="shared" si="159"/>
        <v>18087953.417563993</v>
      </c>
      <c r="R640" s="52">
        <f t="shared" si="159"/>
        <v>18251274.603902668</v>
      </c>
      <c r="S640" s="52">
        <f t="shared" si="159"/>
        <v>18416918.675542772</v>
      </c>
      <c r="T640" s="52">
        <f t="shared" si="159"/>
        <v>18584928.832027752</v>
      </c>
      <c r="U640" s="52">
        <f t="shared" si="159"/>
        <v>18755349.16438698</v>
      </c>
      <c r="V640" s="52">
        <f t="shared" si="159"/>
        <v>18928224.674416564</v>
      </c>
      <c r="W640" s="52">
        <f t="shared" si="159"/>
        <v>19103601.29439237</v>
      </c>
    </row>
    <row r="641" spans="3:23" s="40" customFormat="1" ht="14.25" customHeight="1">
      <c r="C641" s="221"/>
      <c r="D641" s="48"/>
    </row>
    <row r="642" spans="3:23" s="40" customFormat="1" ht="14.25" customHeight="1">
      <c r="C642" s="221"/>
      <c r="D642" s="51" t="s">
        <v>308</v>
      </c>
    </row>
    <row r="643" spans="3:23" s="40" customFormat="1" ht="14.25" customHeight="1">
      <c r="C643" s="221"/>
      <c r="D643" s="48" t="s">
        <v>271</v>
      </c>
      <c r="F643" s="60"/>
      <c r="G643" s="224">
        <v>716000</v>
      </c>
      <c r="H643" s="223">
        <f>G643+H632</f>
        <v>730320</v>
      </c>
      <c r="I643" s="223">
        <f t="shared" ref="I643:W643" si="160">H643+I632</f>
        <v>744926.4</v>
      </c>
      <c r="J643" s="223">
        <f t="shared" si="160"/>
        <v>759824.92800000007</v>
      </c>
      <c r="K643" s="223">
        <f t="shared" si="160"/>
        <v>775021.42656000005</v>
      </c>
      <c r="L643" s="223">
        <f t="shared" si="160"/>
        <v>790521.85509120009</v>
      </c>
      <c r="M643" s="223">
        <f t="shared" si="160"/>
        <v>806332.29219302407</v>
      </c>
      <c r="N643" s="223">
        <f t="shared" si="160"/>
        <v>822458.93803688453</v>
      </c>
      <c r="O643" s="223">
        <f t="shared" si="160"/>
        <v>838908.11679762218</v>
      </c>
      <c r="P643" s="223">
        <f t="shared" si="160"/>
        <v>855686.27913357457</v>
      </c>
      <c r="Q643" s="223">
        <f t="shared" si="160"/>
        <v>872800.00471624604</v>
      </c>
      <c r="R643" s="223">
        <f t="shared" si="160"/>
        <v>890256.00481057097</v>
      </c>
      <c r="S643" s="223">
        <f t="shared" si="160"/>
        <v>908061.12490678241</v>
      </c>
      <c r="T643" s="223">
        <f t="shared" si="160"/>
        <v>926222.34740491805</v>
      </c>
      <c r="U643" s="223">
        <f t="shared" si="160"/>
        <v>944746.79435301642</v>
      </c>
      <c r="V643" s="223">
        <f t="shared" si="160"/>
        <v>963641.73024007678</v>
      </c>
      <c r="W643" s="223">
        <f t="shared" si="160"/>
        <v>982914.56484487827</v>
      </c>
    </row>
    <row r="644" spans="3:23" s="40" customFormat="1" ht="14.25" customHeight="1">
      <c r="C644" s="221"/>
      <c r="D644" s="48" t="s">
        <v>273</v>
      </c>
      <c r="F644" s="60"/>
      <c r="G644" s="224">
        <v>177129179</v>
      </c>
      <c r="H644" s="223">
        <f t="shared" ref="H644:W647" si="161">G644+H633</f>
        <v>180671762.58000001</v>
      </c>
      <c r="I644" s="223">
        <f t="shared" si="161"/>
        <v>184285197.83160001</v>
      </c>
      <c r="J644" s="223">
        <f t="shared" si="161"/>
        <v>188106696.34831619</v>
      </c>
      <c r="K644" s="223">
        <f t="shared" si="161"/>
        <v>192004624.8353667</v>
      </c>
      <c r="L644" s="223">
        <f t="shared" si="161"/>
        <v>195980511.89215821</v>
      </c>
      <c r="M644" s="223">
        <f t="shared" si="161"/>
        <v>200035916.69008556</v>
      </c>
      <c r="N644" s="223">
        <f t="shared" si="161"/>
        <v>204172429.58397147</v>
      </c>
      <c r="O644" s="223">
        <f t="shared" si="161"/>
        <v>208391672.73573509</v>
      </c>
      <c r="P644" s="223">
        <f t="shared" si="161"/>
        <v>212695300.75053397</v>
      </c>
      <c r="Q644" s="223">
        <f t="shared" si="161"/>
        <v>217085001.32562885</v>
      </c>
      <c r="R644" s="223">
        <f t="shared" si="161"/>
        <v>221562495.9122256</v>
      </c>
      <c r="S644" s="223">
        <f t="shared" si="161"/>
        <v>226129540.39055431</v>
      </c>
      <c r="T644" s="223">
        <f t="shared" si="161"/>
        <v>230787925.75844958</v>
      </c>
      <c r="U644" s="223">
        <f t="shared" si="161"/>
        <v>235539478.83370277</v>
      </c>
      <c r="V644" s="223">
        <f t="shared" si="161"/>
        <v>240386062.97046101</v>
      </c>
      <c r="W644" s="223">
        <f t="shared" si="161"/>
        <v>245329578.78995442</v>
      </c>
    </row>
    <row r="645" spans="3:23" s="40" customFormat="1" ht="14.25" customHeight="1">
      <c r="C645" s="221"/>
      <c r="D645" s="48" t="s">
        <v>274</v>
      </c>
      <c r="F645" s="60"/>
      <c r="G645" s="224">
        <v>2189681324</v>
      </c>
      <c r="H645" s="223">
        <f t="shared" si="161"/>
        <v>2200629730.6199999</v>
      </c>
      <c r="I645" s="223">
        <f>H645+I634+H678</f>
        <v>2587319609.2730999</v>
      </c>
      <c r="J645" s="223">
        <f t="shared" si="161"/>
        <v>2600220187.5984335</v>
      </c>
      <c r="K645" s="223">
        <f t="shared" si="161"/>
        <v>2613185268.8153939</v>
      </c>
      <c r="L645" s="223">
        <f t="shared" si="161"/>
        <v>2626215175.4384389</v>
      </c>
      <c r="M645" s="223">
        <f t="shared" si="161"/>
        <v>2639310231.5945992</v>
      </c>
      <c r="N645" s="223">
        <f t="shared" si="161"/>
        <v>2652470763.0315404</v>
      </c>
      <c r="O645" s="223">
        <f t="shared" si="161"/>
        <v>2665697097.1256661</v>
      </c>
      <c r="P645" s="223">
        <f t="shared" si="161"/>
        <v>2678989562.8902626</v>
      </c>
      <c r="Q645" s="223">
        <f t="shared" si="161"/>
        <v>2692348490.9836822</v>
      </c>
      <c r="R645" s="223">
        <f t="shared" si="161"/>
        <v>2705774213.7175689</v>
      </c>
      <c r="S645" s="223">
        <f t="shared" si="161"/>
        <v>2719267065.065125</v>
      </c>
      <c r="T645" s="223">
        <f t="shared" si="161"/>
        <v>2732827380.6694188</v>
      </c>
      <c r="U645" s="223">
        <f t="shared" si="161"/>
        <v>2746455497.8517342</v>
      </c>
      <c r="V645" s="223">
        <f t="shared" si="161"/>
        <v>2760151755.6199613</v>
      </c>
      <c r="W645" s="223">
        <f t="shared" si="161"/>
        <v>2773916494.6770291</v>
      </c>
    </row>
    <row r="646" spans="3:23" s="40" customFormat="1" ht="14.25" customHeight="1">
      <c r="C646" s="221"/>
      <c r="D646" s="48" t="s">
        <v>275</v>
      </c>
      <c r="F646" s="60"/>
      <c r="G646" s="224">
        <v>5338795</v>
      </c>
      <c r="H646" s="223">
        <f t="shared" si="161"/>
        <v>5445570.9000000004</v>
      </c>
      <c r="I646" s="223">
        <f t="shared" si="161"/>
        <v>5554482.318</v>
      </c>
      <c r="J646" s="223">
        <f t="shared" si="161"/>
        <v>5665571.9643599996</v>
      </c>
      <c r="K646" s="223">
        <f t="shared" si="161"/>
        <v>5778883.4036471993</v>
      </c>
      <c r="L646" s="223">
        <f t="shared" si="161"/>
        <v>5894461.0717201428</v>
      </c>
      <c r="M646" s="223">
        <f t="shared" si="161"/>
        <v>6012350.2931545461</v>
      </c>
      <c r="N646" s="223">
        <f t="shared" si="161"/>
        <v>6132597.299017637</v>
      </c>
      <c r="O646" s="223">
        <f t="shared" si="161"/>
        <v>6255249.2449979894</v>
      </c>
      <c r="P646" s="223">
        <f t="shared" si="161"/>
        <v>6380354.2298979489</v>
      </c>
      <c r="Q646" s="223">
        <f t="shared" si="161"/>
        <v>6507961.3144959081</v>
      </c>
      <c r="R646" s="223">
        <f t="shared" si="161"/>
        <v>6638120.5407858258</v>
      </c>
      <c r="S646" s="223">
        <f t="shared" si="161"/>
        <v>6770882.9516015425</v>
      </c>
      <c r="T646" s="223">
        <f t="shared" si="161"/>
        <v>6906300.6106335735</v>
      </c>
      <c r="U646" s="223">
        <f t="shared" si="161"/>
        <v>7044426.6228462448</v>
      </c>
      <c r="V646" s="223">
        <f t="shared" si="161"/>
        <v>7185315.15530317</v>
      </c>
      <c r="W646" s="223">
        <f t="shared" si="161"/>
        <v>7329021.458409233</v>
      </c>
    </row>
    <row r="647" spans="3:23" s="40" customFormat="1" ht="14.25" customHeight="1">
      <c r="C647" s="221"/>
      <c r="D647" s="48" t="s">
        <v>276</v>
      </c>
      <c r="F647" s="60"/>
      <c r="G647" s="224">
        <v>4581152</v>
      </c>
      <c r="H647" s="223">
        <f t="shared" si="161"/>
        <v>4718586.5599999996</v>
      </c>
      <c r="I647" s="223">
        <f t="shared" si="161"/>
        <v>4860144.1568</v>
      </c>
      <c r="J647" s="223">
        <f t="shared" si="161"/>
        <v>5018374.9675683239</v>
      </c>
      <c r="K647" s="223">
        <f t="shared" si="161"/>
        <v>5181352.7026596973</v>
      </c>
      <c r="L647" s="223">
        <f t="shared" si="161"/>
        <v>5349219.7698038118</v>
      </c>
      <c r="M647" s="223">
        <f t="shared" si="161"/>
        <v>5522122.8489622502</v>
      </c>
      <c r="N647" s="223">
        <f t="shared" si="161"/>
        <v>5700213.0204954417</v>
      </c>
      <c r="O647" s="223">
        <f t="shared" si="161"/>
        <v>5883645.8971746285</v>
      </c>
      <c r="P647" s="223">
        <f t="shared" si="161"/>
        <v>6072581.7601541905</v>
      </c>
      <c r="Q647" s="223">
        <f t="shared" si="161"/>
        <v>6267185.6990231397</v>
      </c>
      <c r="R647" s="223">
        <f t="shared" si="161"/>
        <v>6467627.7560581574</v>
      </c>
      <c r="S647" s="223">
        <f t="shared" si="161"/>
        <v>6674083.0748042259</v>
      </c>
      <c r="T647" s="223">
        <f t="shared" si="161"/>
        <v>6886732.0531126764</v>
      </c>
      <c r="U647" s="223">
        <f t="shared" si="161"/>
        <v>7105760.5007703807</v>
      </c>
      <c r="V647" s="223">
        <f t="shared" si="161"/>
        <v>7331359.8018578161</v>
      </c>
      <c r="W647" s="223">
        <f t="shared" si="161"/>
        <v>7563727.081977874</v>
      </c>
    </row>
    <row r="648" spans="3:23" s="40" customFormat="1" ht="14.25" customHeight="1">
      <c r="C648" s="221"/>
      <c r="D648" s="48"/>
    </row>
    <row r="649" spans="3:23" s="40" customFormat="1" ht="14.25" customHeight="1">
      <c r="C649" s="221"/>
      <c r="D649" s="51" t="s">
        <v>306</v>
      </c>
      <c r="G649" s="52">
        <f>SUM(G643:G647)</f>
        <v>2377446450</v>
      </c>
      <c r="H649" s="52">
        <f t="shared" ref="H649:V649" si="162">SUM(H643:H647)</f>
        <v>2392195970.6599998</v>
      </c>
      <c r="I649" s="52">
        <f t="shared" si="162"/>
        <v>2782764359.9794993</v>
      </c>
      <c r="J649" s="52">
        <f t="shared" si="162"/>
        <v>2799770655.8066783</v>
      </c>
      <c r="K649" s="52">
        <f t="shared" si="162"/>
        <v>2816925151.1836276</v>
      </c>
      <c r="L649" s="52">
        <f t="shared" si="162"/>
        <v>2834229890.0272126</v>
      </c>
      <c r="M649" s="52">
        <f t="shared" si="162"/>
        <v>2851686953.7189946</v>
      </c>
      <c r="N649" s="52">
        <f t="shared" si="162"/>
        <v>2869298461.8730617</v>
      </c>
      <c r="O649" s="52">
        <f t="shared" si="162"/>
        <v>2887066573.1203718</v>
      </c>
      <c r="P649" s="52">
        <f t="shared" si="162"/>
        <v>2904993485.9099822</v>
      </c>
      <c r="Q649" s="52">
        <f t="shared" si="162"/>
        <v>2923081439.3275466</v>
      </c>
      <c r="R649" s="52">
        <f t="shared" si="162"/>
        <v>2941332713.9314489</v>
      </c>
      <c r="S649" s="52">
        <f t="shared" si="162"/>
        <v>2959749632.6069918</v>
      </c>
      <c r="T649" s="52">
        <f t="shared" si="162"/>
        <v>2978334561.4390192</v>
      </c>
      <c r="U649" s="52">
        <f t="shared" si="162"/>
        <v>2997089910.6034064</v>
      </c>
      <c r="V649" s="52">
        <f t="shared" si="162"/>
        <v>3016018135.2778234</v>
      </c>
      <c r="W649" s="52">
        <f>SUM(W643:W647)</f>
        <v>3035121736.5722156</v>
      </c>
    </row>
    <row r="650" spans="3:23" s="40" customFormat="1" ht="14.25" customHeight="1">
      <c r="C650" s="221"/>
      <c r="D650" s="48"/>
      <c r="H650" s="60"/>
      <c r="I650" s="60"/>
      <c r="J650" s="60"/>
      <c r="K650" s="60"/>
      <c r="L650" s="60"/>
      <c r="M650" s="60"/>
      <c r="N650" s="60"/>
      <c r="O650" s="60"/>
      <c r="P650" s="60"/>
      <c r="Q650" s="60"/>
      <c r="R650" s="60"/>
      <c r="S650" s="60"/>
      <c r="T650" s="60"/>
      <c r="U650" s="60"/>
      <c r="V650" s="60"/>
      <c r="W650" s="60"/>
    </row>
    <row r="651" spans="3:23" s="40" customFormat="1" ht="14.25" customHeight="1">
      <c r="C651" s="221"/>
      <c r="D651" s="92" t="s">
        <v>32</v>
      </c>
      <c r="I651" s="60"/>
      <c r="J651" s="60"/>
      <c r="K651" s="60"/>
      <c r="L651" s="60"/>
      <c r="M651" s="60"/>
      <c r="N651" s="60"/>
      <c r="O651" s="60"/>
      <c r="P651" s="60"/>
      <c r="Q651" s="60"/>
      <c r="R651" s="60"/>
      <c r="S651" s="60"/>
      <c r="T651" s="60"/>
      <c r="U651" s="60"/>
      <c r="V651" s="60"/>
      <c r="W651" s="60"/>
    </row>
    <row r="652" spans="3:23" s="40" customFormat="1" ht="14.25" customHeight="1">
      <c r="C652" s="221"/>
      <c r="D652" s="92"/>
      <c r="I652" s="60"/>
      <c r="J652" s="60"/>
      <c r="K652" s="60"/>
      <c r="L652" s="60"/>
      <c r="M652" s="60"/>
      <c r="N652" s="60"/>
      <c r="O652" s="60"/>
      <c r="P652" s="60"/>
      <c r="Q652" s="60"/>
      <c r="R652" s="60"/>
      <c r="S652" s="60"/>
      <c r="T652" s="60"/>
      <c r="U652" s="60"/>
      <c r="V652" s="60"/>
      <c r="W652" s="60"/>
    </row>
    <row r="653" spans="3:23" s="40" customFormat="1" ht="14.25" customHeight="1">
      <c r="C653" s="221"/>
      <c r="D653" s="48" t="s">
        <v>271</v>
      </c>
      <c r="G653" s="223">
        <f>G643*G611</f>
        <v>143200</v>
      </c>
      <c r="H653" s="223">
        <f>H643*H611</f>
        <v>146064</v>
      </c>
      <c r="I653" s="223">
        <f t="shared" ref="I653:W653" si="163">I643*I611</f>
        <v>148985.28</v>
      </c>
      <c r="J653" s="223">
        <f t="shared" si="163"/>
        <v>151964.98560000001</v>
      </c>
      <c r="K653" s="223">
        <f t="shared" si="163"/>
        <v>155004.28531200002</v>
      </c>
      <c r="L653" s="223">
        <f t="shared" si="163"/>
        <v>158104.37101824002</v>
      </c>
      <c r="M653" s="223">
        <f t="shared" si="163"/>
        <v>161266.45843860484</v>
      </c>
      <c r="N653" s="223">
        <f t="shared" si="163"/>
        <v>164491.78760737693</v>
      </c>
      <c r="O653" s="223">
        <f t="shared" si="163"/>
        <v>167781.62335952444</v>
      </c>
      <c r="P653" s="223">
        <f t="shared" si="163"/>
        <v>171137.25582671491</v>
      </c>
      <c r="Q653" s="223">
        <f t="shared" si="163"/>
        <v>174560.00094324921</v>
      </c>
      <c r="R653" s="223">
        <f t="shared" si="163"/>
        <v>178051.20096211421</v>
      </c>
      <c r="S653" s="223">
        <f t="shared" si="163"/>
        <v>181612.2249813565</v>
      </c>
      <c r="T653" s="223">
        <f t="shared" si="163"/>
        <v>185244.46948098362</v>
      </c>
      <c r="U653" s="223">
        <f t="shared" si="163"/>
        <v>188949.35887060329</v>
      </c>
      <c r="V653" s="223">
        <f t="shared" si="163"/>
        <v>192728.34604801537</v>
      </c>
      <c r="W653" s="223">
        <f t="shared" si="163"/>
        <v>196582.91296897567</v>
      </c>
    </row>
    <row r="654" spans="3:23" s="40" customFormat="1" ht="14.25" customHeight="1">
      <c r="C654" s="221"/>
      <c r="D654" s="48" t="s">
        <v>273</v>
      </c>
      <c r="G654" s="223">
        <f t="shared" ref="G654" si="164">G644*G612</f>
        <v>27483154.954837598</v>
      </c>
      <c r="H654" s="223">
        <f t="shared" ref="H654:W654" si="165">H644*H612</f>
        <v>27886754.053934481</v>
      </c>
      <c r="I654" s="223">
        <f t="shared" si="165"/>
        <v>28444489.135013171</v>
      </c>
      <c r="J654" s="223">
        <f t="shared" si="165"/>
        <v>29034338.858795833</v>
      </c>
      <c r="K654" s="223">
        <f t="shared" si="165"/>
        <v>29635985.577054147</v>
      </c>
      <c r="L654" s="223">
        <f t="shared" si="165"/>
        <v>30249665.229677629</v>
      </c>
      <c r="M654" s="223">
        <f t="shared" si="165"/>
        <v>30875618.47535358</v>
      </c>
      <c r="N654" s="223">
        <f t="shared" si="165"/>
        <v>31514090.785943054</v>
      </c>
      <c r="O654" s="223">
        <f t="shared" si="165"/>
        <v>32165332.542744312</v>
      </c>
      <c r="P654" s="223">
        <f t="shared" si="165"/>
        <v>32829599.134681597</v>
      </c>
      <c r="Q654" s="223">
        <f t="shared" si="165"/>
        <v>33507151.058457628</v>
      </c>
      <c r="R654" s="223">
        <f t="shared" si="165"/>
        <v>34198254.020709179</v>
      </c>
      <c r="S654" s="223">
        <f t="shared" si="165"/>
        <v>34903179.042205766</v>
      </c>
      <c r="T654" s="223">
        <f t="shared" si="165"/>
        <v>35622202.564132273</v>
      </c>
      <c r="U654" s="223">
        <f t="shared" si="165"/>
        <v>36355606.556497321</v>
      </c>
      <c r="V654" s="223">
        <f t="shared" si="165"/>
        <v>37103678.628709666</v>
      </c>
      <c r="W654" s="223">
        <f t="shared" si="165"/>
        <v>37866712.14236626</v>
      </c>
    </row>
    <row r="655" spans="3:23" s="40" customFormat="1" ht="14.25" customHeight="1">
      <c r="C655" s="221"/>
      <c r="D655" s="48" t="s">
        <v>274</v>
      </c>
      <c r="G655" s="223">
        <f t="shared" ref="G655" si="166">G645*G613</f>
        <v>56949509</v>
      </c>
      <c r="H655" s="223">
        <f t="shared" ref="H655:W655" si="167">H645*H613</f>
        <v>57234256.544999994</v>
      </c>
      <c r="I655" s="223">
        <f t="shared" si="167"/>
        <v>67291335.848364249</v>
      </c>
      <c r="J655" s="223">
        <f t="shared" si="167"/>
        <v>67626855.72214283</v>
      </c>
      <c r="K655" s="223">
        <f t="shared" si="167"/>
        <v>67964053.195290297</v>
      </c>
      <c r="L655" s="223">
        <f t="shared" si="167"/>
        <v>68302936.655803502</v>
      </c>
      <c r="M655" s="223">
        <f t="shared" si="167"/>
        <v>68643514.533619285</v>
      </c>
      <c r="N655" s="223">
        <f t="shared" si="167"/>
        <v>68985795.300824136</v>
      </c>
      <c r="O655" s="223">
        <f t="shared" si="167"/>
        <v>69329787.471865013</v>
      </c>
      <c r="P655" s="223">
        <f t="shared" si="167"/>
        <v>69675499.603761092</v>
      </c>
      <c r="Q655" s="223">
        <f t="shared" si="167"/>
        <v>70022940.296316668</v>
      </c>
      <c r="R655" s="223">
        <f t="shared" si="167"/>
        <v>70372118.19233501</v>
      </c>
      <c r="S655" s="223">
        <f t="shared" si="167"/>
        <v>70723041.97783345</v>
      </c>
      <c r="T655" s="223">
        <f t="shared" si="167"/>
        <v>71075720.382259369</v>
      </c>
      <c r="U655" s="223">
        <f t="shared" si="167"/>
        <v>71430162.178707436</v>
      </c>
      <c r="V655" s="223">
        <f t="shared" si="167"/>
        <v>71786376.184137732</v>
      </c>
      <c r="W655" s="223">
        <f t="shared" si="167"/>
        <v>72144371.259595186</v>
      </c>
    </row>
    <row r="656" spans="3:23" s="40" customFormat="1" ht="14.25" customHeight="1">
      <c r="C656" s="221"/>
      <c r="D656" s="48" t="s">
        <v>275</v>
      </c>
      <c r="G656" s="223">
        <f t="shared" ref="G656" si="168">G646*G614</f>
        <v>428708</v>
      </c>
      <c r="H656" s="223">
        <f t="shared" ref="H656:W656" si="169">H646*H614</f>
        <v>437282.16000000003</v>
      </c>
      <c r="I656" s="223">
        <f t="shared" si="169"/>
        <v>446027.80320000002</v>
      </c>
      <c r="J656" s="223">
        <f t="shared" si="169"/>
        <v>454948.35926399997</v>
      </c>
      <c r="K656" s="223">
        <f t="shared" si="169"/>
        <v>464047.32644927996</v>
      </c>
      <c r="L656" s="223">
        <f t="shared" si="169"/>
        <v>473328.27297826554</v>
      </c>
      <c r="M656" s="223">
        <f t="shared" si="169"/>
        <v>482794.83843783085</v>
      </c>
      <c r="N656" s="223">
        <f t="shared" si="169"/>
        <v>492450.73520658747</v>
      </c>
      <c r="O656" s="223">
        <f t="shared" si="169"/>
        <v>502299.74991071923</v>
      </c>
      <c r="P656" s="223">
        <f t="shared" si="169"/>
        <v>512345.74490893359</v>
      </c>
      <c r="Q656" s="223">
        <f t="shared" si="169"/>
        <v>522592.65980711224</v>
      </c>
      <c r="R656" s="223">
        <f t="shared" si="169"/>
        <v>533044.51300325443</v>
      </c>
      <c r="S656" s="223">
        <f t="shared" si="169"/>
        <v>543705.40326331963</v>
      </c>
      <c r="T656" s="223">
        <f t="shared" si="169"/>
        <v>554579.51132858603</v>
      </c>
      <c r="U656" s="223">
        <f t="shared" si="169"/>
        <v>565671.10155515769</v>
      </c>
      <c r="V656" s="223">
        <f t="shared" si="169"/>
        <v>576984.52358626085</v>
      </c>
      <c r="W656" s="223">
        <f t="shared" si="169"/>
        <v>588524.21405798604</v>
      </c>
    </row>
    <row r="657" spans="3:23" s="40" customFormat="1" ht="14.25" customHeight="1">
      <c r="C657" s="221"/>
      <c r="D657" s="48" t="s">
        <v>276</v>
      </c>
      <c r="G657" s="223">
        <f t="shared" ref="G657" si="170">G647*G615</f>
        <v>760164.32514586882</v>
      </c>
      <c r="H657" s="223">
        <f t="shared" ref="H657:W657" si="171">H647*H615</f>
        <v>782969.25490024476</v>
      </c>
      <c r="I657" s="223">
        <f t="shared" si="171"/>
        <v>806458.33254725218</v>
      </c>
      <c r="J657" s="223">
        <f t="shared" si="171"/>
        <v>832714.04671805177</v>
      </c>
      <c r="K657" s="223">
        <f t="shared" si="171"/>
        <v>859757.43231397518</v>
      </c>
      <c r="L657" s="223">
        <f t="shared" si="171"/>
        <v>887612.11947777634</v>
      </c>
      <c r="M657" s="223">
        <f t="shared" si="171"/>
        <v>916302.44725649164</v>
      </c>
      <c r="N657" s="223">
        <f t="shared" si="171"/>
        <v>945853.48486856837</v>
      </c>
      <c r="O657" s="223">
        <f t="shared" si="171"/>
        <v>976291.05360900739</v>
      </c>
      <c r="P657" s="223">
        <f t="shared" si="171"/>
        <v>1007641.7494116594</v>
      </c>
      <c r="Q657" s="223">
        <f t="shared" si="171"/>
        <v>1039932.9660883911</v>
      </c>
      <c r="R657" s="223">
        <f t="shared" si="171"/>
        <v>1073192.9192654248</v>
      </c>
      <c r="S657" s="223">
        <f t="shared" si="171"/>
        <v>1107450.6710377694</v>
      </c>
      <c r="T657" s="223">
        <f t="shared" si="171"/>
        <v>1142736.1553632845</v>
      </c>
      <c r="U657" s="223">
        <f t="shared" si="171"/>
        <v>1179080.204218565</v>
      </c>
      <c r="V657" s="223">
        <f t="shared" si="171"/>
        <v>1216514.5745395038</v>
      </c>
      <c r="W657" s="223">
        <f t="shared" si="171"/>
        <v>1255071.9759700708</v>
      </c>
    </row>
    <row r="658" spans="3:23" s="40" customFormat="1" ht="14.25" customHeight="1">
      <c r="C658" s="221"/>
      <c r="D658" s="48"/>
      <c r="G658" s="60"/>
      <c r="H658" s="60"/>
      <c r="I658" s="60"/>
      <c r="J658" s="60"/>
      <c r="K658" s="60"/>
      <c r="L658" s="60"/>
      <c r="M658" s="60"/>
      <c r="N658" s="60"/>
      <c r="O658" s="60"/>
      <c r="P658" s="60"/>
      <c r="Q658" s="60"/>
      <c r="R658" s="60"/>
      <c r="S658" s="60"/>
      <c r="T658" s="60"/>
      <c r="U658" s="60"/>
      <c r="V658" s="60"/>
      <c r="W658" s="60"/>
    </row>
    <row r="659" spans="3:23" s="40" customFormat="1" ht="14.25" customHeight="1">
      <c r="C659" s="221"/>
      <c r="D659" s="51" t="s">
        <v>307</v>
      </c>
      <c r="G659" s="52">
        <f>SUM(G653:G657)</f>
        <v>85764736.279983461</v>
      </c>
      <c r="H659" s="52">
        <f t="shared" ref="H659:W659" si="172">SUM(H653:H657)</f>
        <v>86487326.013834715</v>
      </c>
      <c r="I659" s="52">
        <f t="shared" si="172"/>
        <v>97137296.399124682</v>
      </c>
      <c r="J659" s="52">
        <f t="shared" si="172"/>
        <v>98100821.972520709</v>
      </c>
      <c r="K659" s="52">
        <f t="shared" si="172"/>
        <v>99078847.816419691</v>
      </c>
      <c r="L659" s="52">
        <f t="shared" si="172"/>
        <v>100071646.6489554</v>
      </c>
      <c r="M659" s="52">
        <f t="shared" si="172"/>
        <v>101079496.75310579</v>
      </c>
      <c r="N659" s="52">
        <f t="shared" si="172"/>
        <v>102102682.09444973</v>
      </c>
      <c r="O659" s="52">
        <f t="shared" si="172"/>
        <v>103141492.44148858</v>
      </c>
      <c r="P659" s="52">
        <f t="shared" si="172"/>
        <v>104196223.48858999</v>
      </c>
      <c r="Q659" s="52">
        <f t="shared" si="172"/>
        <v>105267176.98161304</v>
      </c>
      <c r="R659" s="52">
        <f t="shared" si="172"/>
        <v>106354660.84627497</v>
      </c>
      <c r="S659" s="52">
        <f t="shared" si="172"/>
        <v>107458989.31932165</v>
      </c>
      <c r="T659" s="52">
        <f t="shared" si="172"/>
        <v>108580483.08256452</v>
      </c>
      <c r="U659" s="52">
        <f t="shared" si="172"/>
        <v>109719469.39984907</v>
      </c>
      <c r="V659" s="52">
        <f t="shared" si="172"/>
        <v>110876282.25702116</v>
      </c>
      <c r="W659" s="52">
        <f t="shared" si="172"/>
        <v>112051262.50495848</v>
      </c>
    </row>
    <row r="660" spans="3:23" s="40" customFormat="1" ht="14.25" customHeight="1">
      <c r="C660" s="221"/>
      <c r="D660" s="48"/>
      <c r="G660" s="94"/>
      <c r="I660" s="60"/>
      <c r="J660" s="60"/>
      <c r="K660" s="60"/>
      <c r="L660" s="60"/>
      <c r="M660" s="60"/>
      <c r="N660" s="60"/>
      <c r="O660" s="60"/>
      <c r="P660" s="60"/>
      <c r="Q660" s="60"/>
      <c r="R660" s="60"/>
      <c r="S660" s="60"/>
      <c r="T660" s="60"/>
      <c r="U660" s="60"/>
      <c r="V660" s="60"/>
      <c r="W660" s="60"/>
    </row>
    <row r="661" spans="3:23" s="40" customFormat="1" ht="14.25" customHeight="1">
      <c r="C661" s="221"/>
      <c r="D661" s="51" t="s">
        <v>309</v>
      </c>
      <c r="G661" s="94"/>
      <c r="I661" s="60"/>
      <c r="J661" s="60"/>
      <c r="K661" s="60"/>
      <c r="L661" s="60"/>
      <c r="M661" s="60"/>
      <c r="N661" s="60"/>
      <c r="O661" s="60"/>
      <c r="P661" s="60"/>
      <c r="Q661" s="60"/>
      <c r="R661" s="60"/>
      <c r="S661" s="60"/>
      <c r="T661" s="60"/>
      <c r="U661" s="60"/>
      <c r="V661" s="60"/>
      <c r="W661" s="60"/>
    </row>
    <row r="662" spans="3:23" s="40" customFormat="1" ht="14.25" customHeight="1">
      <c r="C662" s="221"/>
      <c r="D662" s="48" t="s">
        <v>271</v>
      </c>
      <c r="G662" s="223">
        <v>326167.36660483084</v>
      </c>
      <c r="H662" s="223">
        <f>H653+G662</f>
        <v>472231.36660483084</v>
      </c>
      <c r="I662" s="223">
        <f t="shared" ref="I662:W662" si="173">I653+H662</f>
        <v>621216.64660483086</v>
      </c>
      <c r="J662" s="223">
        <f t="shared" si="173"/>
        <v>773181.63220483088</v>
      </c>
      <c r="K662" s="223">
        <f t="shared" si="173"/>
        <v>928185.91751683084</v>
      </c>
      <c r="L662" s="223">
        <f t="shared" si="173"/>
        <v>1086290.2885350708</v>
      </c>
      <c r="M662" s="223">
        <f t="shared" si="173"/>
        <v>1247556.7469736757</v>
      </c>
      <c r="N662" s="223">
        <f t="shared" si="173"/>
        <v>1412048.5345810526</v>
      </c>
      <c r="O662" s="223">
        <f t="shared" si="173"/>
        <v>1579830.157940577</v>
      </c>
      <c r="P662" s="223">
        <f t="shared" si="173"/>
        <v>1750967.4137672919</v>
      </c>
      <c r="Q662" s="223">
        <f t="shared" si="173"/>
        <v>1925527.4147105413</v>
      </c>
      <c r="R662" s="223">
        <f t="shared" si="173"/>
        <v>2103578.6156726554</v>
      </c>
      <c r="S662" s="223">
        <f t="shared" si="173"/>
        <v>2285190.8406540118</v>
      </c>
      <c r="T662" s="223">
        <f t="shared" si="173"/>
        <v>2470435.3101349953</v>
      </c>
      <c r="U662" s="223">
        <f t="shared" si="173"/>
        <v>2659384.6690055984</v>
      </c>
      <c r="V662" s="223">
        <f t="shared" si="173"/>
        <v>2852113.0150536136</v>
      </c>
      <c r="W662" s="223">
        <f t="shared" si="173"/>
        <v>3048695.9280225891</v>
      </c>
    </row>
    <row r="663" spans="3:23" s="40" customFormat="1" ht="14.25" customHeight="1">
      <c r="C663" s="221"/>
      <c r="D663" s="48" t="s">
        <v>273</v>
      </c>
      <c r="G663" s="223">
        <v>62598521.491703123</v>
      </c>
      <c r="H663" s="223">
        <f t="shared" ref="H663:W666" si="174">H654+G663</f>
        <v>90485275.545637608</v>
      </c>
      <c r="I663" s="223">
        <f t="shared" si="174"/>
        <v>118929764.68065077</v>
      </c>
      <c r="J663" s="223">
        <f t="shared" si="174"/>
        <v>147964103.53944659</v>
      </c>
      <c r="K663" s="223">
        <f t="shared" si="174"/>
        <v>177600089.11650074</v>
      </c>
      <c r="L663" s="223">
        <f t="shared" si="174"/>
        <v>207849754.34617835</v>
      </c>
      <c r="M663" s="223">
        <f t="shared" si="174"/>
        <v>238725372.82153192</v>
      </c>
      <c r="N663" s="223">
        <f t="shared" si="174"/>
        <v>270239463.60747498</v>
      </c>
      <c r="O663" s="223">
        <f t="shared" si="174"/>
        <v>302404796.15021932</v>
      </c>
      <c r="P663" s="223">
        <f t="shared" si="174"/>
        <v>335234395.2849009</v>
      </c>
      <c r="Q663" s="223">
        <f t="shared" si="174"/>
        <v>368741546.34335852</v>
      </c>
      <c r="R663" s="223">
        <f t="shared" si="174"/>
        <v>402939800.36406767</v>
      </c>
      <c r="S663" s="223">
        <f t="shared" si="174"/>
        <v>437842979.40627342</v>
      </c>
      <c r="T663" s="223">
        <f t="shared" si="174"/>
        <v>473465181.9704057</v>
      </c>
      <c r="U663" s="223">
        <f t="shared" si="174"/>
        <v>509820788.52690303</v>
      </c>
      <c r="V663" s="223">
        <f t="shared" si="174"/>
        <v>546924467.15561271</v>
      </c>
      <c r="W663" s="223">
        <f t="shared" si="174"/>
        <v>584791179.297979</v>
      </c>
    </row>
    <row r="664" spans="3:23" s="40" customFormat="1" ht="14.25" customHeight="1">
      <c r="C664" s="221"/>
      <c r="D664" s="48" t="s">
        <v>274</v>
      </c>
      <c r="G664" s="223">
        <v>129714185.61430246</v>
      </c>
      <c r="H664" s="223">
        <f t="shared" si="174"/>
        <v>186948442.15930244</v>
      </c>
      <c r="I664" s="223">
        <f t="shared" si="174"/>
        <v>254239778.00766671</v>
      </c>
      <c r="J664" s="223">
        <f t="shared" si="174"/>
        <v>321866633.72980952</v>
      </c>
      <c r="K664" s="223">
        <f t="shared" si="174"/>
        <v>389830686.92509985</v>
      </c>
      <c r="L664" s="223">
        <f t="shared" si="174"/>
        <v>458133623.58090335</v>
      </c>
      <c r="M664" s="223">
        <f t="shared" si="174"/>
        <v>526777138.11452264</v>
      </c>
      <c r="N664" s="223">
        <f t="shared" si="174"/>
        <v>595762933.41534674</v>
      </c>
      <c r="O664" s="223">
        <f t="shared" si="174"/>
        <v>665092720.8872118</v>
      </c>
      <c r="P664" s="223">
        <f t="shared" si="174"/>
        <v>734768220.49097288</v>
      </c>
      <c r="Q664" s="223">
        <f t="shared" si="174"/>
        <v>804791160.7872895</v>
      </c>
      <c r="R664" s="223">
        <f t="shared" si="174"/>
        <v>875163278.97962451</v>
      </c>
      <c r="S664" s="223">
        <f t="shared" si="174"/>
        <v>945886320.95745802</v>
      </c>
      <c r="T664" s="223">
        <f t="shared" si="174"/>
        <v>1016962041.3397174</v>
      </c>
      <c r="U664" s="223">
        <f t="shared" si="174"/>
        <v>1088392203.5184247</v>
      </c>
      <c r="V664" s="223">
        <f t="shared" si="174"/>
        <v>1160178579.7025626</v>
      </c>
      <c r="W664" s="223">
        <f t="shared" si="174"/>
        <v>1232322950.9621577</v>
      </c>
    </row>
    <row r="665" spans="3:23" s="40" customFormat="1" ht="14.25" customHeight="1">
      <c r="C665" s="221"/>
      <c r="D665" s="48" t="s">
        <v>275</v>
      </c>
      <c r="G665" s="223">
        <v>976470.38688843453</v>
      </c>
      <c r="H665" s="223">
        <f t="shared" si="174"/>
        <v>1413752.5468884346</v>
      </c>
      <c r="I665" s="223">
        <f t="shared" si="174"/>
        <v>1859780.3500884345</v>
      </c>
      <c r="J665" s="223">
        <f t="shared" si="174"/>
        <v>2314728.7093524346</v>
      </c>
      <c r="K665" s="223">
        <f t="shared" si="174"/>
        <v>2778776.0358017148</v>
      </c>
      <c r="L665" s="223">
        <f t="shared" si="174"/>
        <v>3252104.3087799801</v>
      </c>
      <c r="M665" s="223">
        <f t="shared" si="174"/>
        <v>3734899.1472178111</v>
      </c>
      <c r="N665" s="223">
        <f t="shared" si="174"/>
        <v>4227349.8824243983</v>
      </c>
      <c r="O665" s="223">
        <f t="shared" si="174"/>
        <v>4729649.6323351171</v>
      </c>
      <c r="P665" s="223">
        <f t="shared" si="174"/>
        <v>5241995.3772440506</v>
      </c>
      <c r="Q665" s="223">
        <f t="shared" si="174"/>
        <v>5764588.0370511627</v>
      </c>
      <c r="R665" s="223">
        <f t="shared" si="174"/>
        <v>6297632.550054417</v>
      </c>
      <c r="S665" s="223">
        <f t="shared" si="174"/>
        <v>6841337.9533177363</v>
      </c>
      <c r="T665" s="223">
        <f t="shared" si="174"/>
        <v>7395917.4646463227</v>
      </c>
      <c r="U665" s="223">
        <f t="shared" si="174"/>
        <v>7961588.5662014801</v>
      </c>
      <c r="V665" s="223">
        <f t="shared" si="174"/>
        <v>8538573.0897877403</v>
      </c>
      <c r="W665" s="223">
        <f t="shared" si="174"/>
        <v>9127097.303845726</v>
      </c>
    </row>
    <row r="666" spans="3:23" s="40" customFormat="1" ht="14.25" customHeight="1">
      <c r="C666" s="221"/>
      <c r="D666" s="48" t="s">
        <v>276</v>
      </c>
      <c r="G666" s="223">
        <v>1731430.140501162</v>
      </c>
      <c r="H666" s="223">
        <f t="shared" si="174"/>
        <v>2514399.395401407</v>
      </c>
      <c r="I666" s="223">
        <f t="shared" si="174"/>
        <v>3320857.7279486591</v>
      </c>
      <c r="J666" s="223">
        <f t="shared" si="174"/>
        <v>4153571.7746667108</v>
      </c>
      <c r="K666" s="223">
        <f t="shared" si="174"/>
        <v>5013329.2069806857</v>
      </c>
      <c r="L666" s="223">
        <f t="shared" si="174"/>
        <v>5900941.3264584616</v>
      </c>
      <c r="M666" s="223">
        <f t="shared" si="174"/>
        <v>6817243.7737149531</v>
      </c>
      <c r="N666" s="223">
        <f t="shared" si="174"/>
        <v>7763097.2585835215</v>
      </c>
      <c r="O666" s="223">
        <f t="shared" si="174"/>
        <v>8739388.3121925294</v>
      </c>
      <c r="P666" s="223">
        <f t="shared" si="174"/>
        <v>9747030.0616041888</v>
      </c>
      <c r="Q666" s="223">
        <f t="shared" si="174"/>
        <v>10786963.027692581</v>
      </c>
      <c r="R666" s="223">
        <f t="shared" si="174"/>
        <v>11860155.946958005</v>
      </c>
      <c r="S666" s="223">
        <f t="shared" si="174"/>
        <v>12967606.617995774</v>
      </c>
      <c r="T666" s="223">
        <f t="shared" si="174"/>
        <v>14110342.773359058</v>
      </c>
      <c r="U666" s="223">
        <f t="shared" si="174"/>
        <v>15289422.977577623</v>
      </c>
      <c r="V666" s="223">
        <f t="shared" si="174"/>
        <v>16505937.552117126</v>
      </c>
      <c r="W666" s="223">
        <f t="shared" si="174"/>
        <v>17761009.528087199</v>
      </c>
    </row>
    <row r="667" spans="3:23" s="40" customFormat="1" ht="14.25" customHeight="1">
      <c r="C667" s="221"/>
      <c r="D667" s="48"/>
      <c r="G667" s="60"/>
      <c r="H667" s="60"/>
      <c r="I667" s="60"/>
      <c r="J667" s="60"/>
      <c r="K667" s="60"/>
      <c r="L667" s="60"/>
      <c r="M667" s="60"/>
      <c r="N667" s="60"/>
      <c r="O667" s="60"/>
      <c r="P667" s="60"/>
      <c r="Q667" s="60"/>
      <c r="R667" s="60"/>
      <c r="S667" s="60"/>
      <c r="T667" s="60"/>
      <c r="U667" s="60"/>
      <c r="V667" s="60"/>
      <c r="W667" s="60"/>
    </row>
    <row r="668" spans="3:23" s="40" customFormat="1" ht="14.25" customHeight="1">
      <c r="C668" s="221"/>
      <c r="D668" s="51" t="s">
        <v>307</v>
      </c>
      <c r="G668" s="52">
        <f>SUM(G662:G666)</f>
        <v>195346775.00000003</v>
      </c>
      <c r="H668" s="52">
        <f>SUM(H662:H666)</f>
        <v>281834101.01383471</v>
      </c>
      <c r="I668" s="52">
        <f t="shared" ref="I668:W668" si="175">SUM(I662:I666)</f>
        <v>378971397.4129594</v>
      </c>
      <c r="J668" s="52">
        <f t="shared" si="175"/>
        <v>477072219.38548011</v>
      </c>
      <c r="K668" s="52">
        <f t="shared" si="175"/>
        <v>576151067.20189989</v>
      </c>
      <c r="L668" s="52">
        <f t="shared" si="175"/>
        <v>676222713.85085511</v>
      </c>
      <c r="M668" s="52">
        <f t="shared" si="175"/>
        <v>777302210.60396099</v>
      </c>
      <c r="N668" s="52">
        <f t="shared" si="175"/>
        <v>879404892.69841075</v>
      </c>
      <c r="O668" s="52">
        <f t="shared" si="175"/>
        <v>982546385.13989925</v>
      </c>
      <c r="P668" s="52">
        <f t="shared" si="175"/>
        <v>1086742608.6284893</v>
      </c>
      <c r="Q668" s="52">
        <f t="shared" si="175"/>
        <v>1192009785.6101024</v>
      </c>
      <c r="R668" s="52">
        <f t="shared" si="175"/>
        <v>1298364446.4563773</v>
      </c>
      <c r="S668" s="52">
        <f t="shared" si="175"/>
        <v>1405823435.7756989</v>
      </c>
      <c r="T668" s="52">
        <f t="shared" si="175"/>
        <v>1514403918.8582635</v>
      </c>
      <c r="U668" s="52">
        <f t="shared" si="175"/>
        <v>1624123388.2581124</v>
      </c>
      <c r="V668" s="52">
        <f t="shared" si="175"/>
        <v>1734999670.5151339</v>
      </c>
      <c r="W668" s="52">
        <f t="shared" si="175"/>
        <v>1847050933.0200922</v>
      </c>
    </row>
    <row r="669" spans="3:23" s="40" customFormat="1" ht="14.25" customHeight="1">
      <c r="C669" s="221"/>
      <c r="D669" s="48"/>
      <c r="G669" s="94"/>
      <c r="I669" s="60"/>
    </row>
    <row r="670" spans="3:23" s="40" customFormat="1" ht="14.25" customHeight="1">
      <c r="C670" s="221"/>
      <c r="D670" s="51" t="s">
        <v>310</v>
      </c>
      <c r="G670" s="225">
        <f>SUM(G649,-G668)</f>
        <v>2182099675</v>
      </c>
      <c r="H670" s="225">
        <f>SUM(H649,-H668)</f>
        <v>2110361869.6461651</v>
      </c>
      <c r="I670" s="225">
        <f t="shared" ref="I670:W670" si="176">SUM(I649,-I668)</f>
        <v>2403792962.5665398</v>
      </c>
      <c r="J670" s="225">
        <f t="shared" si="176"/>
        <v>2322698436.4211984</v>
      </c>
      <c r="K670" s="225">
        <f t="shared" si="176"/>
        <v>2240774083.9817276</v>
      </c>
      <c r="L670" s="225">
        <f t="shared" si="176"/>
        <v>2158007176.1763573</v>
      </c>
      <c r="M670" s="225">
        <f t="shared" si="176"/>
        <v>2074384743.1150336</v>
      </c>
      <c r="N670" s="225">
        <f t="shared" si="176"/>
        <v>1989893569.1746509</v>
      </c>
      <c r="O670" s="225">
        <f t="shared" si="176"/>
        <v>1904520187.9804726</v>
      </c>
      <c r="P670" s="225">
        <f t="shared" si="176"/>
        <v>1818250877.2814929</v>
      </c>
      <c r="Q670" s="225">
        <f t="shared" si="176"/>
        <v>1731071653.7174442</v>
      </c>
      <c r="R670" s="225">
        <f t="shared" si="176"/>
        <v>1642968267.4750717</v>
      </c>
      <c r="S670" s="225">
        <f t="shared" si="176"/>
        <v>1553926196.8312929</v>
      </c>
      <c r="T670" s="225">
        <f t="shared" si="176"/>
        <v>1463930642.5807557</v>
      </c>
      <c r="U670" s="225">
        <f t="shared" si="176"/>
        <v>1372966522.345294</v>
      </c>
      <c r="V670" s="225">
        <f t="shared" si="176"/>
        <v>1281018464.7626896</v>
      </c>
      <c r="W670" s="225">
        <f t="shared" si="176"/>
        <v>1188070803.5521233</v>
      </c>
    </row>
    <row r="671" spans="3:23" s="40" customFormat="1" ht="14.25" customHeight="1">
      <c r="C671" s="221"/>
      <c r="D671" s="48"/>
      <c r="G671" s="94"/>
      <c r="H671" s="60"/>
      <c r="I671" s="60"/>
      <c r="J671" s="60"/>
      <c r="K671" s="60"/>
      <c r="L671" s="60"/>
      <c r="M671" s="60"/>
      <c r="N671" s="60"/>
      <c r="O671" s="60"/>
      <c r="P671" s="60"/>
      <c r="Q671" s="60"/>
      <c r="R671" s="60"/>
      <c r="S671" s="60"/>
      <c r="T671" s="60"/>
      <c r="U671" s="60"/>
      <c r="V671" s="60"/>
      <c r="W671" s="60"/>
    </row>
    <row r="672" spans="3:23" s="40" customFormat="1" ht="14.25" customHeight="1">
      <c r="C672" s="221"/>
      <c r="D672" s="92" t="s">
        <v>269</v>
      </c>
      <c r="H672" s="60"/>
      <c r="I672" s="60"/>
      <c r="J672" s="60"/>
      <c r="K672" s="60"/>
      <c r="L672" s="60"/>
      <c r="M672" s="60"/>
      <c r="N672" s="60"/>
      <c r="O672" s="60"/>
      <c r="P672" s="60"/>
      <c r="Q672" s="60"/>
      <c r="R672" s="60"/>
      <c r="S672" s="60"/>
      <c r="T672" s="60"/>
      <c r="U672" s="60"/>
      <c r="V672" s="60"/>
      <c r="W672" s="60"/>
    </row>
    <row r="673" spans="2:23" s="40" customFormat="1" ht="7.5" customHeight="1">
      <c r="C673" s="221"/>
      <c r="D673" s="92"/>
    </row>
    <row r="674" spans="2:23" s="40" customFormat="1" ht="14.25" customHeight="1">
      <c r="C674" s="221"/>
      <c r="D674" s="44" t="s">
        <v>281</v>
      </c>
    </row>
    <row r="675" spans="2:23" s="40" customFormat="1" ht="14.25" customHeight="1">
      <c r="C675" s="221"/>
    </row>
    <row r="676" spans="2:23" s="40" customFormat="1" ht="14.25" customHeight="1">
      <c r="C676" s="221"/>
      <c r="D676" s="92" t="s">
        <v>72</v>
      </c>
      <c r="H676" s="60"/>
    </row>
    <row r="677" spans="2:23" s="40" customFormat="1" ht="7.5" customHeight="1">
      <c r="C677" s="221"/>
      <c r="D677" s="92"/>
    </row>
    <row r="678" spans="2:23" s="40" customFormat="1" ht="14.25" customHeight="1">
      <c r="B678" s="50" t="s">
        <v>139</v>
      </c>
      <c r="C678" s="221"/>
      <c r="D678" s="44" t="s">
        <v>282</v>
      </c>
      <c r="E678" s="46" t="s">
        <v>283</v>
      </c>
      <c r="H678" s="205">
        <v>375686730</v>
      </c>
      <c r="I678" s="205">
        <v>0</v>
      </c>
      <c r="J678" s="205">
        <v>0</v>
      </c>
      <c r="K678" s="205">
        <v>0</v>
      </c>
      <c r="L678" s="205">
        <v>0</v>
      </c>
      <c r="M678" s="205">
        <v>0</v>
      </c>
      <c r="N678" s="205">
        <v>0</v>
      </c>
      <c r="O678" s="205">
        <v>0</v>
      </c>
      <c r="P678" s="205">
        <v>0</v>
      </c>
      <c r="Q678" s="205">
        <v>0</v>
      </c>
      <c r="R678" s="205">
        <v>0</v>
      </c>
      <c r="S678" s="205">
        <v>0</v>
      </c>
      <c r="T678" s="205">
        <v>0</v>
      </c>
      <c r="U678" s="205">
        <v>0</v>
      </c>
      <c r="V678" s="205">
        <v>0</v>
      </c>
      <c r="W678" s="205">
        <v>0</v>
      </c>
    </row>
    <row r="679" spans="2:23" s="40" customFormat="1" ht="15" customHeight="1">
      <c r="C679" s="221"/>
    </row>
    <row r="680" spans="2:23" s="40" customFormat="1" ht="14.25" customHeight="1">
      <c r="C680" s="221"/>
      <c r="D680" s="92" t="s">
        <v>73</v>
      </c>
      <c r="E680" s="46" t="s">
        <v>283</v>
      </c>
    </row>
    <row r="681" spans="2:23" s="40" customFormat="1" ht="14.25" customHeight="1">
      <c r="C681" s="221"/>
      <c r="D681" s="96" t="s">
        <v>318</v>
      </c>
      <c r="E681" s="46"/>
      <c r="H681" s="47">
        <f>1500000000</f>
        <v>1500000000</v>
      </c>
      <c r="I681" s="47">
        <f>H683</f>
        <v>1500000000</v>
      </c>
      <c r="J681" s="47">
        <f t="shared" ref="J681:W681" si="177">I683</f>
        <v>1500000000</v>
      </c>
      <c r="K681" s="47">
        <f t="shared" si="177"/>
        <v>1500000000</v>
      </c>
      <c r="L681" s="47">
        <f t="shared" si="177"/>
        <v>1500000000</v>
      </c>
      <c r="M681" s="47">
        <f t="shared" si="177"/>
        <v>1500000000</v>
      </c>
      <c r="N681" s="47">
        <f t="shared" si="177"/>
        <v>1500000000</v>
      </c>
      <c r="O681" s="47">
        <f t="shared" si="177"/>
        <v>1500000000</v>
      </c>
      <c r="P681" s="47">
        <f t="shared" si="177"/>
        <v>1500000000</v>
      </c>
      <c r="Q681" s="47">
        <f t="shared" si="177"/>
        <v>1500000000</v>
      </c>
      <c r="R681" s="47">
        <f t="shared" si="177"/>
        <v>1500000000</v>
      </c>
      <c r="S681" s="47">
        <f t="shared" si="177"/>
        <v>1500000000</v>
      </c>
      <c r="T681" s="47">
        <f t="shared" si="177"/>
        <v>1500000000</v>
      </c>
      <c r="U681" s="47">
        <f t="shared" si="177"/>
        <v>1500000000</v>
      </c>
      <c r="V681" s="47">
        <f t="shared" si="177"/>
        <v>1500000000</v>
      </c>
      <c r="W681" s="47">
        <f t="shared" si="177"/>
        <v>1500000000</v>
      </c>
    </row>
    <row r="682" spans="2:23" s="40" customFormat="1" ht="14.25" customHeight="1">
      <c r="C682" s="221"/>
      <c r="D682" s="40" t="s">
        <v>354</v>
      </c>
      <c r="H682" s="47">
        <f>-H685</f>
        <v>0</v>
      </c>
      <c r="I682" s="205">
        <v>0</v>
      </c>
      <c r="J682" s="205">
        <v>0</v>
      </c>
      <c r="K682" s="205">
        <v>0</v>
      </c>
      <c r="L682" s="205">
        <v>0</v>
      </c>
      <c r="M682" s="205">
        <v>0</v>
      </c>
      <c r="N682" s="205">
        <v>0</v>
      </c>
      <c r="O682" s="205">
        <v>0</v>
      </c>
      <c r="P682" s="205">
        <v>0</v>
      </c>
      <c r="Q682" s="205">
        <v>0</v>
      </c>
      <c r="R682" s="205">
        <v>0</v>
      </c>
      <c r="S682" s="205">
        <v>0</v>
      </c>
      <c r="T682" s="205">
        <v>0</v>
      </c>
      <c r="U682" s="205">
        <v>0</v>
      </c>
      <c r="V682" s="205">
        <v>0</v>
      </c>
      <c r="W682" s="205">
        <v>0</v>
      </c>
    </row>
    <row r="683" spans="2:23" s="40" customFormat="1" ht="14.25" customHeight="1">
      <c r="C683" s="221"/>
      <c r="D683" s="96" t="s">
        <v>296</v>
      </c>
      <c r="H683" s="47">
        <f>SUM(H681:H682)</f>
        <v>1500000000</v>
      </c>
      <c r="I683" s="47">
        <f t="shared" ref="I683:W683" si="178">SUM(I681:I682)</f>
        <v>1500000000</v>
      </c>
      <c r="J683" s="47">
        <f t="shared" si="178"/>
        <v>1500000000</v>
      </c>
      <c r="K683" s="47">
        <f t="shared" si="178"/>
        <v>1500000000</v>
      </c>
      <c r="L683" s="47">
        <f t="shared" si="178"/>
        <v>1500000000</v>
      </c>
      <c r="M683" s="47">
        <f t="shared" si="178"/>
        <v>1500000000</v>
      </c>
      <c r="N683" s="47">
        <f t="shared" si="178"/>
        <v>1500000000</v>
      </c>
      <c r="O683" s="47">
        <f t="shared" si="178"/>
        <v>1500000000</v>
      </c>
      <c r="P683" s="47">
        <f t="shared" si="178"/>
        <v>1500000000</v>
      </c>
      <c r="Q683" s="47">
        <f t="shared" si="178"/>
        <v>1500000000</v>
      </c>
      <c r="R683" s="47">
        <f t="shared" si="178"/>
        <v>1500000000</v>
      </c>
      <c r="S683" s="47">
        <f t="shared" si="178"/>
        <v>1500000000</v>
      </c>
      <c r="T683" s="47">
        <f t="shared" si="178"/>
        <v>1500000000</v>
      </c>
      <c r="U683" s="47">
        <f t="shared" si="178"/>
        <v>1500000000</v>
      </c>
      <c r="V683" s="47">
        <f t="shared" si="178"/>
        <v>1500000000</v>
      </c>
      <c r="W683" s="47">
        <f t="shared" si="178"/>
        <v>1500000000</v>
      </c>
    </row>
    <row r="684" spans="2:23" s="40" customFormat="1" ht="14.25" customHeight="1">
      <c r="C684" s="221"/>
    </row>
    <row r="685" spans="2:23" s="40" customFormat="1" ht="14.25" customHeight="1">
      <c r="C685" s="221"/>
      <c r="D685" s="40" t="s">
        <v>359</v>
      </c>
      <c r="H685" s="94"/>
    </row>
    <row r="686" spans="2:23" s="40" customFormat="1" ht="15" customHeight="1">
      <c r="C686" s="221"/>
      <c r="D686" s="40" t="s">
        <v>358</v>
      </c>
      <c r="H686" s="94"/>
    </row>
    <row r="687" spans="2:23" s="40" customFormat="1" ht="15" customHeight="1">
      <c r="C687" s="221"/>
      <c r="H687" s="94"/>
    </row>
    <row r="688" spans="2:23" s="40" customFormat="1" ht="15" customHeight="1">
      <c r="C688" s="43">
        <v>2.4</v>
      </c>
      <c r="D688" s="1" t="s">
        <v>284</v>
      </c>
      <c r="E688" s="1"/>
      <c r="F688" s="1"/>
      <c r="G688" s="1"/>
      <c r="H688" s="1"/>
      <c r="I688" s="1"/>
      <c r="J688" s="1"/>
      <c r="K688" s="1"/>
      <c r="L688" s="1"/>
      <c r="M688" s="1"/>
      <c r="N688" s="1"/>
      <c r="O688" s="1"/>
      <c r="P688" s="1"/>
      <c r="Q688" s="1"/>
      <c r="R688" s="1"/>
      <c r="S688" s="1"/>
      <c r="T688" s="1"/>
      <c r="U688" s="1"/>
      <c r="V688" s="1"/>
      <c r="W688" s="1"/>
    </row>
    <row r="689" spans="2:23" s="40" customFormat="1" ht="7.5" customHeight="1">
      <c r="C689" s="221"/>
    </row>
    <row r="690" spans="2:23" s="40" customFormat="1" ht="14.25" customHeight="1">
      <c r="C690" s="221"/>
      <c r="D690" s="92" t="s">
        <v>285</v>
      </c>
    </row>
    <row r="691" spans="2:23" s="40" customFormat="1" ht="7.5" customHeight="1">
      <c r="C691" s="221"/>
      <c r="D691" s="92"/>
    </row>
    <row r="692" spans="2:23" s="40" customFormat="1" ht="14.25" customHeight="1">
      <c r="B692" s="50" t="s">
        <v>139</v>
      </c>
      <c r="C692" s="221"/>
      <c r="D692" s="44" t="s">
        <v>286</v>
      </c>
      <c r="E692" s="46" t="s">
        <v>283</v>
      </c>
      <c r="H692" s="205">
        <v>43477268</v>
      </c>
      <c r="I692" s="205">
        <v>43477268</v>
      </c>
      <c r="J692" s="205">
        <v>43477268</v>
      </c>
      <c r="K692" s="205">
        <v>43477268</v>
      </c>
      <c r="L692" s="205">
        <v>43477268</v>
      </c>
      <c r="M692" s="205">
        <v>43477268</v>
      </c>
      <c r="N692" s="205">
        <v>43477268</v>
      </c>
      <c r="O692" s="205">
        <v>43477268</v>
      </c>
      <c r="P692" s="205">
        <v>43477268</v>
      </c>
      <c r="Q692" s="205">
        <v>43477268</v>
      </c>
      <c r="R692" s="205">
        <v>43477268</v>
      </c>
      <c r="S692" s="205">
        <v>43477268</v>
      </c>
      <c r="T692" s="205">
        <v>43477268</v>
      </c>
      <c r="U692" s="205">
        <v>43477268</v>
      </c>
      <c r="V692" s="205">
        <v>43477268</v>
      </c>
      <c r="W692" s="205">
        <v>43477268</v>
      </c>
    </row>
    <row r="693" spans="2:23" s="40" customFormat="1" ht="14.25" customHeight="1">
      <c r="C693" s="221"/>
    </row>
    <row r="694" spans="2:23" s="40" customFormat="1" ht="15" customHeight="1">
      <c r="C694" s="43">
        <v>2.4</v>
      </c>
      <c r="D694" s="1" t="s">
        <v>287</v>
      </c>
      <c r="E694" s="1"/>
      <c r="F694" s="1"/>
      <c r="G694" s="1"/>
      <c r="H694" s="1"/>
      <c r="I694" s="1"/>
      <c r="J694" s="1"/>
      <c r="K694" s="1"/>
      <c r="L694" s="1"/>
      <c r="M694" s="1"/>
      <c r="N694" s="1"/>
      <c r="O694" s="1"/>
      <c r="P694" s="1"/>
      <c r="Q694" s="1"/>
      <c r="R694" s="1"/>
      <c r="S694" s="1"/>
      <c r="T694" s="1"/>
      <c r="U694" s="1"/>
      <c r="V694" s="1"/>
      <c r="W694" s="1"/>
    </row>
    <row r="695" spans="2:23" s="40" customFormat="1" ht="7.5" customHeight="1">
      <c r="C695" s="221"/>
    </row>
    <row r="696" spans="2:23" s="40" customFormat="1" ht="14.25" customHeight="1">
      <c r="C696" s="221"/>
      <c r="D696" s="93" t="s">
        <v>288</v>
      </c>
    </row>
    <row r="697" spans="2:23" s="40" customFormat="1" ht="7.5" customHeight="1">
      <c r="C697" s="221"/>
    </row>
    <row r="698" spans="2:23" s="40" customFormat="1" ht="15" customHeight="1">
      <c r="C698" s="221"/>
      <c r="D698" s="42" t="s">
        <v>289</v>
      </c>
    </row>
    <row r="699" spans="2:23" s="40" customFormat="1" ht="15" customHeight="1">
      <c r="C699" s="221"/>
      <c r="D699" s="42" t="s">
        <v>290</v>
      </c>
    </row>
    <row r="700" spans="2:23" s="40" customFormat="1" ht="14.25" customHeight="1">
      <c r="C700" s="221"/>
    </row>
    <row r="701" spans="2:23" s="40" customFormat="1" ht="14.25" customHeight="1">
      <c r="C701" s="221"/>
      <c r="D701" s="92" t="s">
        <v>289</v>
      </c>
    </row>
    <row r="702" spans="2:23" s="40" customFormat="1" ht="7.5" customHeight="1">
      <c r="C702" s="221"/>
      <c r="D702" s="92"/>
    </row>
    <row r="703" spans="2:23" s="40" customFormat="1" ht="14.25" customHeight="1">
      <c r="B703" s="50" t="s">
        <v>139</v>
      </c>
      <c r="C703" s="221"/>
      <c r="D703" s="40" t="s">
        <v>291</v>
      </c>
      <c r="E703" s="46" t="s">
        <v>292</v>
      </c>
      <c r="H703" s="212">
        <v>4.24E-2</v>
      </c>
      <c r="I703" s="212">
        <v>4.6800000000000001E-2</v>
      </c>
      <c r="J703" s="212">
        <v>5.1200000000000002E-2</v>
      </c>
      <c r="K703" s="212">
        <v>5.6000000000000001E-2</v>
      </c>
      <c r="L703" s="212">
        <v>6.2399999999999997E-2</v>
      </c>
      <c r="M703" s="212">
        <v>6.9199999999999998E-2</v>
      </c>
      <c r="N703" s="212">
        <v>7.6399999999999996E-2</v>
      </c>
      <c r="O703" s="212">
        <v>8.4000000000000005E-2</v>
      </c>
      <c r="P703" s="212">
        <v>9.2799999999999994E-2</v>
      </c>
      <c r="Q703" s="212">
        <v>9.9599999999999994E-2</v>
      </c>
      <c r="R703" s="212">
        <v>0.31920000000000004</v>
      </c>
      <c r="S703" s="212">
        <v>0</v>
      </c>
      <c r="T703" s="212">
        <v>0</v>
      </c>
      <c r="U703" s="212">
        <v>0</v>
      </c>
      <c r="V703" s="212">
        <v>0</v>
      </c>
      <c r="W703" s="212">
        <v>0</v>
      </c>
    </row>
    <row r="704" spans="2:23" s="40" customFormat="1" ht="14.25" customHeight="1">
      <c r="C704" s="221"/>
    </row>
    <row r="705" spans="3:23" s="40" customFormat="1" ht="14.25" customHeight="1">
      <c r="C705" s="221"/>
      <c r="D705" s="67" t="s">
        <v>293</v>
      </c>
    </row>
    <row r="706" spans="3:23" s="40" customFormat="1" ht="7.5" customHeight="1">
      <c r="C706" s="221"/>
    </row>
    <row r="707" spans="3:23" s="40" customFormat="1" ht="14.25" customHeight="1">
      <c r="C707" s="221"/>
      <c r="D707" s="51" t="s">
        <v>294</v>
      </c>
      <c r="H707" s="52">
        <f>N551</f>
        <v>2548921368</v>
      </c>
      <c r="I707" s="52">
        <f>H711</f>
        <v>0</v>
      </c>
      <c r="J707" s="52">
        <f t="shared" ref="J707:W707" si="179">I711</f>
        <v>0</v>
      </c>
      <c r="K707" s="52">
        <f t="shared" si="179"/>
        <v>0</v>
      </c>
      <c r="L707" s="52">
        <f t="shared" si="179"/>
        <v>0</v>
      </c>
      <c r="M707" s="52">
        <f t="shared" si="179"/>
        <v>0</v>
      </c>
      <c r="N707" s="52">
        <f t="shared" si="179"/>
        <v>0</v>
      </c>
      <c r="O707" s="52">
        <f t="shared" si="179"/>
        <v>0</v>
      </c>
      <c r="P707" s="52">
        <f t="shared" si="179"/>
        <v>0</v>
      </c>
      <c r="Q707" s="52">
        <f t="shared" si="179"/>
        <v>0</v>
      </c>
      <c r="R707" s="52">
        <f t="shared" si="179"/>
        <v>0</v>
      </c>
      <c r="S707" s="52">
        <f t="shared" si="179"/>
        <v>0</v>
      </c>
      <c r="T707" s="52">
        <f t="shared" si="179"/>
        <v>0</v>
      </c>
      <c r="U707" s="52">
        <f t="shared" si="179"/>
        <v>0</v>
      </c>
      <c r="V707" s="52">
        <f t="shared" si="179"/>
        <v>0</v>
      </c>
      <c r="W707" s="52">
        <f t="shared" si="179"/>
        <v>0</v>
      </c>
    </row>
    <row r="708" spans="3:23" s="40" customFormat="1" ht="14.25" customHeight="1">
      <c r="C708" s="221"/>
      <c r="D708" s="48"/>
    </row>
    <row r="709" spans="3:23" s="40" customFormat="1" ht="14.25" customHeight="1">
      <c r="C709" s="221"/>
      <c r="D709" s="48" t="s">
        <v>295</v>
      </c>
      <c r="H709" s="105">
        <f>-H707</f>
        <v>-2548921368</v>
      </c>
      <c r="I709" s="77">
        <f t="shared" ref="I709:W709" si="180">-MIN($H$707*I703,I707)</f>
        <v>0</v>
      </c>
      <c r="J709" s="77">
        <f t="shared" si="180"/>
        <v>0</v>
      </c>
      <c r="K709" s="77">
        <f t="shared" si="180"/>
        <v>0</v>
      </c>
      <c r="L709" s="77">
        <f t="shared" si="180"/>
        <v>0</v>
      </c>
      <c r="M709" s="77">
        <f t="shared" si="180"/>
        <v>0</v>
      </c>
      <c r="N709" s="77">
        <f t="shared" si="180"/>
        <v>0</v>
      </c>
      <c r="O709" s="77">
        <f t="shared" si="180"/>
        <v>0</v>
      </c>
      <c r="P709" s="77">
        <f t="shared" si="180"/>
        <v>0</v>
      </c>
      <c r="Q709" s="77">
        <f t="shared" si="180"/>
        <v>0</v>
      </c>
      <c r="R709" s="77">
        <f t="shared" si="180"/>
        <v>0</v>
      </c>
      <c r="S709" s="77">
        <f t="shared" si="180"/>
        <v>0</v>
      </c>
      <c r="T709" s="77">
        <f t="shared" si="180"/>
        <v>0</v>
      </c>
      <c r="U709" s="77">
        <f t="shared" si="180"/>
        <v>0</v>
      </c>
      <c r="V709" s="77">
        <f t="shared" si="180"/>
        <v>0</v>
      </c>
      <c r="W709" s="77">
        <f t="shared" si="180"/>
        <v>0</v>
      </c>
    </row>
    <row r="710" spans="3:23" s="40" customFormat="1" ht="14.25" customHeight="1">
      <c r="C710" s="221"/>
      <c r="D710" s="48"/>
    </row>
    <row r="711" spans="3:23" s="40" customFormat="1" ht="14.25" customHeight="1">
      <c r="C711" s="221"/>
      <c r="D711" s="51" t="s">
        <v>296</v>
      </c>
      <c r="H711" s="52">
        <f>H707+H709</f>
        <v>0</v>
      </c>
      <c r="I711" s="52">
        <f t="shared" ref="I711:W711" si="181">I707+I709</f>
        <v>0</v>
      </c>
      <c r="J711" s="52">
        <f t="shared" si="181"/>
        <v>0</v>
      </c>
      <c r="K711" s="52">
        <f t="shared" si="181"/>
        <v>0</v>
      </c>
      <c r="L711" s="52">
        <f t="shared" si="181"/>
        <v>0</v>
      </c>
      <c r="M711" s="52">
        <f t="shared" si="181"/>
        <v>0</v>
      </c>
      <c r="N711" s="52">
        <f t="shared" si="181"/>
        <v>0</v>
      </c>
      <c r="O711" s="52">
        <f t="shared" si="181"/>
        <v>0</v>
      </c>
      <c r="P711" s="52">
        <f t="shared" si="181"/>
        <v>0</v>
      </c>
      <c r="Q711" s="52">
        <f t="shared" si="181"/>
        <v>0</v>
      </c>
      <c r="R711" s="52">
        <f t="shared" si="181"/>
        <v>0</v>
      </c>
      <c r="S711" s="52">
        <f t="shared" si="181"/>
        <v>0</v>
      </c>
      <c r="T711" s="52">
        <f t="shared" si="181"/>
        <v>0</v>
      </c>
      <c r="U711" s="52">
        <f t="shared" si="181"/>
        <v>0</v>
      </c>
      <c r="V711" s="52">
        <f t="shared" si="181"/>
        <v>0</v>
      </c>
      <c r="W711" s="52">
        <f t="shared" si="181"/>
        <v>0</v>
      </c>
    </row>
    <row r="712" spans="3:23" s="40" customFormat="1" ht="14.25" customHeight="1">
      <c r="C712" s="221"/>
    </row>
    <row r="713" spans="3:23" s="40" customFormat="1" ht="14.25" customHeight="1">
      <c r="C713" s="221"/>
      <c r="D713" s="92" t="s">
        <v>290</v>
      </c>
    </row>
    <row r="714" spans="3:23" s="40" customFormat="1" ht="7.5" customHeight="1">
      <c r="C714" s="221"/>
      <c r="D714" s="92"/>
    </row>
    <row r="715" spans="3:23" s="40" customFormat="1" ht="14.25" customHeight="1">
      <c r="C715" s="221"/>
      <c r="D715" s="40" t="s">
        <v>297</v>
      </c>
      <c r="E715" s="46" t="s">
        <v>298</v>
      </c>
      <c r="H715" s="214">
        <v>0</v>
      </c>
      <c r="I715" s="212">
        <v>8.9200000000000002E-2</v>
      </c>
      <c r="J715" s="212">
        <v>8.9200000000000002E-2</v>
      </c>
      <c r="K715" s="212">
        <v>8.9200000000000002E-2</v>
      </c>
      <c r="L715" s="212">
        <v>8.9200000000000002E-2</v>
      </c>
      <c r="M715" s="212">
        <v>8.9200000000000002E-2</v>
      </c>
      <c r="N715" s="212">
        <v>8.9200000000000002E-2</v>
      </c>
      <c r="O715" s="212">
        <v>8.9200000000000002E-2</v>
      </c>
      <c r="P715" s="212">
        <v>8.9200000000000002E-2</v>
      </c>
      <c r="Q715" s="212">
        <v>8.9200000000000002E-2</v>
      </c>
      <c r="R715" s="212">
        <v>8.9200000000000002E-2</v>
      </c>
      <c r="S715" s="212">
        <v>8.9200000000000002E-2</v>
      </c>
      <c r="T715" s="212">
        <v>8.9200000000000002E-2</v>
      </c>
      <c r="U715" s="212">
        <v>8.9200000000000002E-2</v>
      </c>
      <c r="V715" s="212">
        <v>8.9200000000000002E-2</v>
      </c>
      <c r="W715" s="212">
        <v>8.9200000000000002E-2</v>
      </c>
    </row>
    <row r="716" spans="3:23" s="40" customFormat="1" ht="14.25" customHeight="1">
      <c r="C716" s="221"/>
    </row>
    <row r="717" spans="3:23" s="40" customFormat="1" ht="14.25" customHeight="1">
      <c r="C717" s="221"/>
      <c r="D717" s="96" t="s">
        <v>38</v>
      </c>
      <c r="H717" s="52">
        <f>AVERAGE(H707,H711)*H715</f>
        <v>0</v>
      </c>
      <c r="I717" s="52">
        <f t="shared" ref="I717:W717" si="182">AVERAGE(I707,I711)*I715</f>
        <v>0</v>
      </c>
      <c r="J717" s="52">
        <f t="shared" si="182"/>
        <v>0</v>
      </c>
      <c r="K717" s="52">
        <f t="shared" si="182"/>
        <v>0</v>
      </c>
      <c r="L717" s="52">
        <f t="shared" si="182"/>
        <v>0</v>
      </c>
      <c r="M717" s="52">
        <f t="shared" si="182"/>
        <v>0</v>
      </c>
      <c r="N717" s="52">
        <f t="shared" si="182"/>
        <v>0</v>
      </c>
      <c r="O717" s="52">
        <f t="shared" si="182"/>
        <v>0</v>
      </c>
      <c r="P717" s="52">
        <f t="shared" si="182"/>
        <v>0</v>
      </c>
      <c r="Q717" s="52">
        <f t="shared" si="182"/>
        <v>0</v>
      </c>
      <c r="R717" s="52">
        <f t="shared" si="182"/>
        <v>0</v>
      </c>
      <c r="S717" s="52">
        <f t="shared" si="182"/>
        <v>0</v>
      </c>
      <c r="T717" s="52">
        <f t="shared" si="182"/>
        <v>0</v>
      </c>
      <c r="U717" s="52">
        <f t="shared" si="182"/>
        <v>0</v>
      </c>
      <c r="V717" s="52">
        <f t="shared" si="182"/>
        <v>0</v>
      </c>
      <c r="W717" s="52">
        <f t="shared" si="182"/>
        <v>0</v>
      </c>
    </row>
    <row r="718" spans="3:23" s="40" customFormat="1" ht="14.25" customHeight="1">
      <c r="C718" s="221"/>
    </row>
    <row r="719" spans="3:23" s="40" customFormat="1" ht="14.25" customHeight="1">
      <c r="C719" s="221"/>
      <c r="D719" s="96" t="s">
        <v>86</v>
      </c>
    </row>
    <row r="720" spans="3:23" s="40" customFormat="1" ht="14.25" customHeight="1">
      <c r="C720" s="221"/>
      <c r="D720" s="40" t="s">
        <v>318</v>
      </c>
      <c r="G720" s="95"/>
      <c r="H720" s="219">
        <v>0</v>
      </c>
      <c r="I720" s="95">
        <f t="shared" ref="I720:W720" si="183">H724</f>
        <v>0</v>
      </c>
      <c r="J720" s="95">
        <f t="shared" si="183"/>
        <v>0</v>
      </c>
      <c r="K720" s="95">
        <f t="shared" si="183"/>
        <v>0</v>
      </c>
      <c r="L720" s="95">
        <f t="shared" si="183"/>
        <v>0</v>
      </c>
      <c r="M720" s="95">
        <f t="shared" si="183"/>
        <v>0</v>
      </c>
      <c r="N720" s="95">
        <f t="shared" si="183"/>
        <v>0</v>
      </c>
      <c r="O720" s="95">
        <f t="shared" si="183"/>
        <v>0</v>
      </c>
      <c r="P720" s="95">
        <f t="shared" si="183"/>
        <v>0</v>
      </c>
      <c r="Q720" s="95">
        <f t="shared" si="183"/>
        <v>0</v>
      </c>
      <c r="R720" s="95">
        <f t="shared" si="183"/>
        <v>0</v>
      </c>
      <c r="S720" s="95">
        <f t="shared" si="183"/>
        <v>0</v>
      </c>
      <c r="T720" s="95">
        <f t="shared" si="183"/>
        <v>0</v>
      </c>
      <c r="U720" s="95">
        <f t="shared" si="183"/>
        <v>0</v>
      </c>
      <c r="V720" s="95">
        <f t="shared" si="183"/>
        <v>0</v>
      </c>
      <c r="W720" s="95">
        <f t="shared" si="183"/>
        <v>0</v>
      </c>
    </row>
    <row r="721" spans="3:23" s="40" customFormat="1" ht="14.25" customHeight="1">
      <c r="C721" s="221"/>
      <c r="D721" s="40" t="s">
        <v>324</v>
      </c>
      <c r="G721" s="95"/>
      <c r="H721" s="219">
        <v>0</v>
      </c>
      <c r="I721" s="219">
        <v>0</v>
      </c>
      <c r="J721" s="219">
        <v>0</v>
      </c>
      <c r="K721" s="219">
        <v>0</v>
      </c>
      <c r="L721" s="219">
        <v>0</v>
      </c>
      <c r="M721" s="219">
        <v>0</v>
      </c>
      <c r="N721" s="219">
        <v>0</v>
      </c>
      <c r="O721" s="219">
        <v>0</v>
      </c>
      <c r="P721" s="219">
        <v>0</v>
      </c>
      <c r="Q721" s="219">
        <v>0</v>
      </c>
      <c r="R721" s="219">
        <v>0</v>
      </c>
      <c r="S721" s="219">
        <v>0</v>
      </c>
      <c r="T721" s="219">
        <v>0</v>
      </c>
      <c r="U721" s="219">
        <v>0</v>
      </c>
      <c r="V721" s="219">
        <v>0</v>
      </c>
      <c r="W721" s="219">
        <v>0</v>
      </c>
    </row>
    <row r="722" spans="3:23" s="40" customFormat="1" ht="14.25" customHeight="1">
      <c r="C722" s="221"/>
      <c r="D722" s="40" t="s">
        <v>325</v>
      </c>
      <c r="G722" s="95"/>
      <c r="H722" s="95">
        <f t="shared" ref="H722:M722" si="184">H778</f>
        <v>0</v>
      </c>
      <c r="I722" s="95">
        <f t="shared" si="184"/>
        <v>0</v>
      </c>
      <c r="J722" s="95">
        <f t="shared" si="184"/>
        <v>0</v>
      </c>
      <c r="K722" s="95">
        <f t="shared" si="184"/>
        <v>0</v>
      </c>
      <c r="L722" s="95">
        <f t="shared" si="184"/>
        <v>0</v>
      </c>
      <c r="M722" s="95">
        <f t="shared" si="184"/>
        <v>0</v>
      </c>
      <c r="N722" s="95">
        <f>N778</f>
        <v>0</v>
      </c>
      <c r="O722" s="95">
        <f t="shared" ref="O722:W722" si="185">O778</f>
        <v>0</v>
      </c>
      <c r="P722" s="95">
        <f t="shared" si="185"/>
        <v>0</v>
      </c>
      <c r="Q722" s="95">
        <f t="shared" si="185"/>
        <v>0</v>
      </c>
      <c r="R722" s="95">
        <f t="shared" si="185"/>
        <v>0</v>
      </c>
      <c r="S722" s="95">
        <f t="shared" si="185"/>
        <v>0</v>
      </c>
      <c r="T722" s="95">
        <f t="shared" si="185"/>
        <v>0</v>
      </c>
      <c r="U722" s="95">
        <f t="shared" si="185"/>
        <v>0</v>
      </c>
      <c r="V722" s="95">
        <f t="shared" si="185"/>
        <v>0</v>
      </c>
      <c r="W722" s="95">
        <f t="shared" si="185"/>
        <v>0</v>
      </c>
    </row>
    <row r="723" spans="3:23" s="40" customFormat="1" ht="14.25" customHeight="1">
      <c r="C723" s="221"/>
      <c r="D723" s="40" t="s">
        <v>295</v>
      </c>
      <c r="G723" s="95"/>
      <c r="H723" s="95">
        <f t="shared" ref="H723:W723" si="186">-H782</f>
        <v>0</v>
      </c>
      <c r="I723" s="95">
        <f t="shared" si="186"/>
        <v>0</v>
      </c>
      <c r="J723" s="95">
        <f t="shared" si="186"/>
        <v>0</v>
      </c>
      <c r="K723" s="95">
        <f t="shared" si="186"/>
        <v>0</v>
      </c>
      <c r="L723" s="95">
        <f t="shared" si="186"/>
        <v>0</v>
      </c>
      <c r="M723" s="95">
        <f t="shared" si="186"/>
        <v>0</v>
      </c>
      <c r="N723" s="95">
        <f t="shared" si="186"/>
        <v>0</v>
      </c>
      <c r="O723" s="95">
        <f t="shared" si="186"/>
        <v>0</v>
      </c>
      <c r="P723" s="95">
        <f t="shared" si="186"/>
        <v>0</v>
      </c>
      <c r="Q723" s="95">
        <f t="shared" si="186"/>
        <v>0</v>
      </c>
      <c r="R723" s="95">
        <f t="shared" si="186"/>
        <v>0</v>
      </c>
      <c r="S723" s="95">
        <f t="shared" si="186"/>
        <v>0</v>
      </c>
      <c r="T723" s="95">
        <f t="shared" si="186"/>
        <v>0</v>
      </c>
      <c r="U723" s="95">
        <f t="shared" si="186"/>
        <v>0</v>
      </c>
      <c r="V723" s="95">
        <f t="shared" si="186"/>
        <v>0</v>
      </c>
      <c r="W723" s="95">
        <f t="shared" si="186"/>
        <v>0</v>
      </c>
    </row>
    <row r="724" spans="3:23" s="40" customFormat="1" ht="14.25" customHeight="1">
      <c r="C724" s="221"/>
      <c r="D724" s="102" t="s">
        <v>326</v>
      </c>
      <c r="E724" s="102"/>
      <c r="F724" s="102"/>
      <c r="G724" s="103"/>
      <c r="H724" s="103">
        <f t="shared" ref="H724:W724" si="187">SUM(H720:H723)</f>
        <v>0</v>
      </c>
      <c r="I724" s="103">
        <f t="shared" si="187"/>
        <v>0</v>
      </c>
      <c r="J724" s="103">
        <f t="shared" si="187"/>
        <v>0</v>
      </c>
      <c r="K724" s="103">
        <f t="shared" si="187"/>
        <v>0</v>
      </c>
      <c r="L724" s="103">
        <f t="shared" si="187"/>
        <v>0</v>
      </c>
      <c r="M724" s="103">
        <f t="shared" si="187"/>
        <v>0</v>
      </c>
      <c r="N724" s="103">
        <f t="shared" si="187"/>
        <v>0</v>
      </c>
      <c r="O724" s="103">
        <f t="shared" si="187"/>
        <v>0</v>
      </c>
      <c r="P724" s="103">
        <f t="shared" si="187"/>
        <v>0</v>
      </c>
      <c r="Q724" s="103">
        <f t="shared" si="187"/>
        <v>0</v>
      </c>
      <c r="R724" s="103">
        <f t="shared" si="187"/>
        <v>0</v>
      </c>
      <c r="S724" s="103">
        <f t="shared" si="187"/>
        <v>0</v>
      </c>
      <c r="T724" s="103">
        <f t="shared" si="187"/>
        <v>0</v>
      </c>
      <c r="U724" s="103">
        <f t="shared" si="187"/>
        <v>0</v>
      </c>
      <c r="V724" s="103">
        <f t="shared" si="187"/>
        <v>0</v>
      </c>
      <c r="W724" s="103">
        <f t="shared" si="187"/>
        <v>0</v>
      </c>
    </row>
    <row r="725" spans="3:23" s="40" customFormat="1" ht="14.25" customHeight="1">
      <c r="C725" s="221"/>
      <c r="G725" s="95"/>
      <c r="H725" s="95"/>
      <c r="I725" s="95"/>
      <c r="J725" s="95"/>
      <c r="K725" s="95"/>
      <c r="L725" s="95"/>
      <c r="M725" s="95"/>
      <c r="N725" s="95"/>
      <c r="O725" s="95"/>
      <c r="P725" s="95"/>
      <c r="Q725" s="95"/>
      <c r="R725" s="95"/>
      <c r="S725" s="95"/>
      <c r="T725" s="95"/>
      <c r="U725" s="95"/>
      <c r="V725" s="95"/>
      <c r="W725" s="95"/>
    </row>
    <row r="726" spans="3:23" s="40" customFormat="1" ht="14.25" customHeight="1">
      <c r="C726" s="221"/>
      <c r="D726" s="96" t="s">
        <v>327</v>
      </c>
      <c r="G726" s="95"/>
      <c r="H726" s="77">
        <f t="shared" ref="H726:W726" si="188">H720*H715</f>
        <v>0</v>
      </c>
      <c r="I726" s="77">
        <f t="shared" si="188"/>
        <v>0</v>
      </c>
      <c r="J726" s="77">
        <f t="shared" si="188"/>
        <v>0</v>
      </c>
      <c r="K726" s="77">
        <f t="shared" si="188"/>
        <v>0</v>
      </c>
      <c r="L726" s="77">
        <f t="shared" si="188"/>
        <v>0</v>
      </c>
      <c r="M726" s="77">
        <f t="shared" si="188"/>
        <v>0</v>
      </c>
      <c r="N726" s="77">
        <f t="shared" si="188"/>
        <v>0</v>
      </c>
      <c r="O726" s="77">
        <f t="shared" si="188"/>
        <v>0</v>
      </c>
      <c r="P726" s="77">
        <f t="shared" si="188"/>
        <v>0</v>
      </c>
      <c r="Q726" s="77">
        <f t="shared" si="188"/>
        <v>0</v>
      </c>
      <c r="R726" s="77">
        <f t="shared" si="188"/>
        <v>0</v>
      </c>
      <c r="S726" s="77">
        <f t="shared" si="188"/>
        <v>0</v>
      </c>
      <c r="T726" s="77">
        <f t="shared" si="188"/>
        <v>0</v>
      </c>
      <c r="U726" s="77">
        <f t="shared" si="188"/>
        <v>0</v>
      </c>
      <c r="V726" s="77">
        <f t="shared" si="188"/>
        <v>0</v>
      </c>
      <c r="W726" s="77">
        <f t="shared" si="188"/>
        <v>0</v>
      </c>
    </row>
    <row r="727" spans="3:23" s="40" customFormat="1" ht="14.25" customHeight="1">
      <c r="C727" s="221"/>
      <c r="G727" s="95"/>
      <c r="H727" s="95"/>
      <c r="I727" s="95"/>
      <c r="J727" s="95"/>
      <c r="K727" s="95"/>
      <c r="L727" s="95"/>
      <c r="M727" s="95"/>
      <c r="N727" s="95"/>
      <c r="O727" s="95"/>
      <c r="P727" s="95"/>
      <c r="Q727" s="95"/>
      <c r="R727" s="95"/>
      <c r="S727" s="95"/>
      <c r="T727" s="95"/>
      <c r="U727" s="95"/>
      <c r="V727" s="95"/>
      <c r="W727" s="95"/>
    </row>
    <row r="728" spans="3:23" s="40" customFormat="1" ht="14.25" customHeight="1">
      <c r="C728" s="221"/>
      <c r="D728" s="96" t="s">
        <v>328</v>
      </c>
      <c r="G728" s="95"/>
      <c r="H728" s="95"/>
      <c r="I728" s="95"/>
      <c r="J728" s="95"/>
      <c r="K728" s="95"/>
      <c r="L728" s="95"/>
      <c r="M728" s="95"/>
      <c r="N728" s="95"/>
      <c r="O728" s="95"/>
      <c r="P728" s="95"/>
      <c r="Q728" s="95"/>
      <c r="R728" s="95"/>
      <c r="S728" s="95"/>
      <c r="T728" s="95"/>
      <c r="U728" s="95"/>
      <c r="V728" s="95"/>
      <c r="W728" s="95"/>
    </row>
    <row r="729" spans="3:23" s="40" customFormat="1" ht="14.25" customHeight="1">
      <c r="C729" s="221"/>
      <c r="D729" s="40" t="s">
        <v>318</v>
      </c>
      <c r="G729" s="95"/>
      <c r="H729" s="219">
        <v>0</v>
      </c>
      <c r="I729" s="95">
        <f t="shared" ref="I729:W729" si="189">H733</f>
        <v>0</v>
      </c>
      <c r="J729" s="95">
        <f t="shared" si="189"/>
        <v>0</v>
      </c>
      <c r="K729" s="95">
        <f t="shared" si="189"/>
        <v>0</v>
      </c>
      <c r="L729" s="95">
        <f t="shared" si="189"/>
        <v>0</v>
      </c>
      <c r="M729" s="95">
        <f t="shared" si="189"/>
        <v>0</v>
      </c>
      <c r="N729" s="95">
        <f t="shared" si="189"/>
        <v>0</v>
      </c>
      <c r="O729" s="95">
        <f t="shared" si="189"/>
        <v>0</v>
      </c>
      <c r="P729" s="95">
        <f t="shared" si="189"/>
        <v>0</v>
      </c>
      <c r="Q729" s="95">
        <f t="shared" si="189"/>
        <v>0</v>
      </c>
      <c r="R729" s="95">
        <f t="shared" si="189"/>
        <v>0</v>
      </c>
      <c r="S729" s="95">
        <f t="shared" si="189"/>
        <v>0</v>
      </c>
      <c r="T729" s="95">
        <f t="shared" si="189"/>
        <v>0</v>
      </c>
      <c r="U729" s="95">
        <f t="shared" si="189"/>
        <v>0</v>
      </c>
      <c r="V729" s="95">
        <f t="shared" si="189"/>
        <v>0</v>
      </c>
      <c r="W729" s="95">
        <f t="shared" si="189"/>
        <v>0</v>
      </c>
    </row>
    <row r="730" spans="3:23" s="40" customFormat="1" ht="14.25" customHeight="1">
      <c r="C730" s="221"/>
      <c r="D730" s="40" t="s">
        <v>329</v>
      </c>
      <c r="G730" s="95"/>
      <c r="H730" s="95">
        <f>H717</f>
        <v>0</v>
      </c>
      <c r="I730" s="95">
        <f t="shared" ref="I730:W730" si="190">I717</f>
        <v>0</v>
      </c>
      <c r="J730" s="95">
        <f t="shared" si="190"/>
        <v>0</v>
      </c>
      <c r="K730" s="95">
        <f t="shared" si="190"/>
        <v>0</v>
      </c>
      <c r="L730" s="95">
        <f t="shared" si="190"/>
        <v>0</v>
      </c>
      <c r="M730" s="95">
        <f t="shared" si="190"/>
        <v>0</v>
      </c>
      <c r="N730" s="95">
        <f t="shared" si="190"/>
        <v>0</v>
      </c>
      <c r="O730" s="95">
        <f t="shared" si="190"/>
        <v>0</v>
      </c>
      <c r="P730" s="95">
        <f t="shared" si="190"/>
        <v>0</v>
      </c>
      <c r="Q730" s="95">
        <f t="shared" si="190"/>
        <v>0</v>
      </c>
      <c r="R730" s="95">
        <f t="shared" si="190"/>
        <v>0</v>
      </c>
      <c r="S730" s="95">
        <f t="shared" si="190"/>
        <v>0</v>
      </c>
      <c r="T730" s="95">
        <f t="shared" si="190"/>
        <v>0</v>
      </c>
      <c r="U730" s="95">
        <f t="shared" si="190"/>
        <v>0</v>
      </c>
      <c r="V730" s="95">
        <f t="shared" si="190"/>
        <v>0</v>
      </c>
      <c r="W730" s="95">
        <f t="shared" si="190"/>
        <v>0</v>
      </c>
    </row>
    <row r="731" spans="3:23" s="40" customFormat="1" ht="14.25" customHeight="1">
      <c r="C731" s="221"/>
      <c r="D731" s="40" t="s">
        <v>330</v>
      </c>
      <c r="G731" s="95"/>
      <c r="H731" s="95">
        <f t="shared" ref="H731:W731" si="191">H726</f>
        <v>0</v>
      </c>
      <c r="I731" s="95">
        <f t="shared" si="191"/>
        <v>0</v>
      </c>
      <c r="J731" s="95">
        <f t="shared" si="191"/>
        <v>0</v>
      </c>
      <c r="K731" s="95">
        <f t="shared" si="191"/>
        <v>0</v>
      </c>
      <c r="L731" s="95">
        <f t="shared" si="191"/>
        <v>0</v>
      </c>
      <c r="M731" s="95">
        <f t="shared" si="191"/>
        <v>0</v>
      </c>
      <c r="N731" s="95">
        <f t="shared" si="191"/>
        <v>0</v>
      </c>
      <c r="O731" s="95">
        <f t="shared" si="191"/>
        <v>0</v>
      </c>
      <c r="P731" s="95">
        <f t="shared" si="191"/>
        <v>0</v>
      </c>
      <c r="Q731" s="95">
        <f t="shared" si="191"/>
        <v>0</v>
      </c>
      <c r="R731" s="95">
        <f t="shared" si="191"/>
        <v>0</v>
      </c>
      <c r="S731" s="95">
        <f t="shared" si="191"/>
        <v>0</v>
      </c>
      <c r="T731" s="95">
        <f t="shared" si="191"/>
        <v>0</v>
      </c>
      <c r="U731" s="95">
        <f t="shared" si="191"/>
        <v>0</v>
      </c>
      <c r="V731" s="95">
        <f t="shared" si="191"/>
        <v>0</v>
      </c>
      <c r="W731" s="95">
        <f t="shared" si="191"/>
        <v>0</v>
      </c>
    </row>
    <row r="732" spans="3:23" s="40" customFormat="1" ht="14.25" customHeight="1">
      <c r="C732" s="221"/>
      <c r="D732" s="40" t="s">
        <v>120</v>
      </c>
      <c r="G732" s="95"/>
      <c r="H732" s="95">
        <f t="shared" ref="H732:W732" si="192">-SUM(H729:H731)</f>
        <v>0</v>
      </c>
      <c r="I732" s="95">
        <f t="shared" si="192"/>
        <v>0</v>
      </c>
      <c r="J732" s="95">
        <f t="shared" si="192"/>
        <v>0</v>
      </c>
      <c r="K732" s="95">
        <f t="shared" si="192"/>
        <v>0</v>
      </c>
      <c r="L732" s="95">
        <f t="shared" si="192"/>
        <v>0</v>
      </c>
      <c r="M732" s="95">
        <f t="shared" si="192"/>
        <v>0</v>
      </c>
      <c r="N732" s="95">
        <f t="shared" si="192"/>
        <v>0</v>
      </c>
      <c r="O732" s="95">
        <f t="shared" si="192"/>
        <v>0</v>
      </c>
      <c r="P732" s="95">
        <f t="shared" si="192"/>
        <v>0</v>
      </c>
      <c r="Q732" s="95">
        <f t="shared" si="192"/>
        <v>0</v>
      </c>
      <c r="R732" s="95">
        <f t="shared" si="192"/>
        <v>0</v>
      </c>
      <c r="S732" s="95">
        <f t="shared" si="192"/>
        <v>0</v>
      </c>
      <c r="T732" s="95">
        <f t="shared" si="192"/>
        <v>0</v>
      </c>
      <c r="U732" s="95">
        <f t="shared" si="192"/>
        <v>0</v>
      </c>
      <c r="V732" s="95">
        <f t="shared" si="192"/>
        <v>0</v>
      </c>
      <c r="W732" s="95">
        <f t="shared" si="192"/>
        <v>0</v>
      </c>
    </row>
    <row r="733" spans="3:23" s="40" customFormat="1" ht="14.25" customHeight="1">
      <c r="C733" s="221"/>
      <c r="D733" s="102" t="s">
        <v>296</v>
      </c>
      <c r="E733" s="102"/>
      <c r="F733" s="102"/>
      <c r="G733" s="103"/>
      <c r="H733" s="103">
        <f t="shared" ref="H733:W733" si="193">SUM(H729:H732)</f>
        <v>0</v>
      </c>
      <c r="I733" s="103">
        <f t="shared" si="193"/>
        <v>0</v>
      </c>
      <c r="J733" s="103">
        <f t="shared" si="193"/>
        <v>0</v>
      </c>
      <c r="K733" s="103">
        <f t="shared" si="193"/>
        <v>0</v>
      </c>
      <c r="L733" s="103">
        <f t="shared" si="193"/>
        <v>0</v>
      </c>
      <c r="M733" s="103">
        <f t="shared" si="193"/>
        <v>0</v>
      </c>
      <c r="N733" s="103">
        <f t="shared" si="193"/>
        <v>0</v>
      </c>
      <c r="O733" s="103">
        <f t="shared" si="193"/>
        <v>0</v>
      </c>
      <c r="P733" s="103">
        <f t="shared" si="193"/>
        <v>0</v>
      </c>
      <c r="Q733" s="103">
        <f t="shared" si="193"/>
        <v>0</v>
      </c>
      <c r="R733" s="103">
        <f t="shared" si="193"/>
        <v>0</v>
      </c>
      <c r="S733" s="103">
        <f t="shared" si="193"/>
        <v>0</v>
      </c>
      <c r="T733" s="103">
        <f t="shared" si="193"/>
        <v>0</v>
      </c>
      <c r="U733" s="103">
        <f t="shared" si="193"/>
        <v>0</v>
      </c>
      <c r="V733" s="103">
        <f t="shared" si="193"/>
        <v>0</v>
      </c>
      <c r="W733" s="103">
        <f t="shared" si="193"/>
        <v>0</v>
      </c>
    </row>
    <row r="734" spans="3:23" s="40" customFormat="1" ht="14.25" customHeight="1">
      <c r="C734" s="221"/>
      <c r="D734" s="96"/>
      <c r="E734" s="96"/>
      <c r="F734" s="96"/>
      <c r="G734" s="233"/>
      <c r="H734" s="233"/>
      <c r="I734" s="233"/>
      <c r="J734" s="233"/>
      <c r="K734" s="233"/>
      <c r="L734" s="233"/>
      <c r="M734" s="233"/>
      <c r="N734" s="233"/>
      <c r="O734" s="233"/>
      <c r="P734" s="233"/>
      <c r="Q734" s="233"/>
      <c r="R734" s="233"/>
      <c r="S734" s="233"/>
      <c r="T734" s="233"/>
      <c r="U734" s="233"/>
      <c r="V734" s="233"/>
      <c r="W734" s="233"/>
    </row>
    <row r="735" spans="3:23" s="40" customFormat="1" ht="14.25" customHeight="1">
      <c r="C735" s="43">
        <v>2.5</v>
      </c>
      <c r="D735" s="1" t="s">
        <v>234</v>
      </c>
      <c r="E735" s="1"/>
      <c r="F735" s="1"/>
      <c r="G735" s="1"/>
      <c r="H735" s="1"/>
      <c r="I735" s="1"/>
      <c r="J735" s="1"/>
      <c r="K735" s="1"/>
      <c r="L735" s="1"/>
      <c r="M735" s="1"/>
      <c r="N735" s="1"/>
      <c r="O735" s="1"/>
      <c r="P735" s="1"/>
      <c r="Q735" s="1"/>
      <c r="R735" s="1"/>
      <c r="S735" s="1"/>
      <c r="T735" s="1"/>
      <c r="U735" s="1"/>
      <c r="V735" s="1"/>
      <c r="W735" s="1"/>
    </row>
    <row r="736" spans="3:23" s="40" customFormat="1" ht="14.25" customHeight="1">
      <c r="C736" s="221"/>
      <c r="D736" s="96"/>
      <c r="E736" s="96"/>
      <c r="F736" s="96"/>
      <c r="G736" s="233"/>
      <c r="H736" s="233"/>
      <c r="I736" s="233"/>
      <c r="J736" s="233"/>
      <c r="K736" s="233"/>
      <c r="L736" s="233"/>
      <c r="M736" s="233"/>
      <c r="N736" s="233"/>
      <c r="O736" s="233"/>
      <c r="P736" s="233"/>
      <c r="Q736" s="233"/>
      <c r="R736" s="233"/>
      <c r="S736" s="233"/>
      <c r="T736" s="233"/>
      <c r="U736" s="233"/>
      <c r="V736" s="233"/>
      <c r="W736" s="233"/>
    </row>
    <row r="737" spans="2:23" s="40" customFormat="1" ht="14.25" customHeight="1">
      <c r="C737" s="221"/>
      <c r="D737" s="96" t="s">
        <v>93</v>
      </c>
      <c r="E737" s="96"/>
      <c r="F737" s="96"/>
      <c r="G737" s="233"/>
      <c r="H737" s="233"/>
      <c r="I737" s="233"/>
      <c r="J737" s="233"/>
      <c r="K737" s="233"/>
      <c r="L737" s="233"/>
      <c r="M737" s="233"/>
      <c r="N737" s="233"/>
      <c r="O737" s="233"/>
      <c r="P737" s="233"/>
      <c r="Q737" s="233"/>
      <c r="R737" s="233"/>
      <c r="S737" s="233"/>
      <c r="T737" s="233"/>
      <c r="U737" s="233"/>
      <c r="V737" s="233"/>
      <c r="W737" s="233"/>
    </row>
    <row r="738" spans="2:23" s="40" customFormat="1" ht="14.25" customHeight="1">
      <c r="C738" s="221"/>
      <c r="D738" s="40" t="s">
        <v>318</v>
      </c>
      <c r="E738" s="96"/>
      <c r="F738" s="96"/>
      <c r="G738" s="233"/>
      <c r="H738" s="233">
        <f>G742</f>
        <v>2048774073</v>
      </c>
      <c r="I738" s="233">
        <f t="shared" ref="I738:W738" si="194">H742</f>
        <v>4597695441</v>
      </c>
      <c r="J738" s="233">
        <f t="shared" si="194"/>
        <v>4597695441</v>
      </c>
      <c r="K738" s="233">
        <f t="shared" si="194"/>
        <v>4597695441</v>
      </c>
      <c r="L738" s="233">
        <f t="shared" si="194"/>
        <v>4597695441</v>
      </c>
      <c r="M738" s="233">
        <f t="shared" si="194"/>
        <v>4597695441</v>
      </c>
      <c r="N738" s="233">
        <f t="shared" si="194"/>
        <v>4597695441</v>
      </c>
      <c r="O738" s="233">
        <f t="shared" si="194"/>
        <v>4597695441</v>
      </c>
      <c r="P738" s="233">
        <f t="shared" si="194"/>
        <v>4597695441</v>
      </c>
      <c r="Q738" s="233">
        <f t="shared" si="194"/>
        <v>4597695441</v>
      </c>
      <c r="R738" s="233">
        <f t="shared" si="194"/>
        <v>4597695441</v>
      </c>
      <c r="S738" s="233">
        <f t="shared" si="194"/>
        <v>4597695441</v>
      </c>
      <c r="T738" s="233">
        <f t="shared" si="194"/>
        <v>4597695441</v>
      </c>
      <c r="U738" s="233">
        <f t="shared" si="194"/>
        <v>4597695441</v>
      </c>
      <c r="V738" s="233">
        <f t="shared" si="194"/>
        <v>4597695441</v>
      </c>
      <c r="W738" s="233">
        <f t="shared" si="194"/>
        <v>4597695441</v>
      </c>
    </row>
    <row r="739" spans="2:23" s="40" customFormat="1" ht="14.25" customHeight="1">
      <c r="C739" s="221"/>
      <c r="D739" s="40" t="s">
        <v>408</v>
      </c>
      <c r="E739" s="96"/>
      <c r="F739" s="96"/>
      <c r="G739" s="233"/>
      <c r="H739" s="95">
        <f>-H709</f>
        <v>2548921368</v>
      </c>
      <c r="I739" s="233"/>
      <c r="J739" s="233"/>
      <c r="K739" s="233"/>
      <c r="L739" s="233"/>
      <c r="M739" s="233"/>
      <c r="N739" s="233"/>
      <c r="O739" s="233"/>
      <c r="P739" s="233"/>
      <c r="Q739" s="233"/>
      <c r="R739" s="233"/>
      <c r="S739" s="233"/>
      <c r="T739" s="233"/>
      <c r="U739" s="233"/>
      <c r="V739" s="233"/>
      <c r="W739" s="233"/>
    </row>
    <row r="740" spans="2:23" s="40" customFormat="1" ht="14.25" customHeight="1">
      <c r="C740" s="221"/>
      <c r="D740" s="2" t="s">
        <v>372</v>
      </c>
      <c r="E740" s="2"/>
      <c r="F740" s="2"/>
      <c r="G740" s="2"/>
      <c r="H740" s="18"/>
      <c r="I740" s="18"/>
      <c r="J740" s="18"/>
      <c r="K740" s="18"/>
      <c r="L740" s="18"/>
      <c r="M740" s="18"/>
      <c r="N740" s="18"/>
      <c r="O740" s="18"/>
      <c r="P740" s="18"/>
      <c r="Q740" s="18"/>
      <c r="R740" s="18"/>
      <c r="S740" s="18"/>
      <c r="T740" s="18"/>
      <c r="U740" s="18"/>
      <c r="V740" s="18"/>
      <c r="W740" s="18"/>
    </row>
    <row r="741" spans="2:23" s="40" customFormat="1" ht="14.25" customHeight="1">
      <c r="C741" s="221"/>
      <c r="D741" s="2" t="s">
        <v>409</v>
      </c>
      <c r="E741" s="2"/>
      <c r="F741" s="2"/>
      <c r="G741" s="2"/>
      <c r="H741" s="18">
        <f>H779</f>
        <v>0</v>
      </c>
      <c r="I741" s="18">
        <f t="shared" ref="I741:W741" si="195">I779</f>
        <v>0</v>
      </c>
      <c r="J741" s="18">
        <f t="shared" si="195"/>
        <v>0</v>
      </c>
      <c r="K741" s="18">
        <f t="shared" si="195"/>
        <v>0</v>
      </c>
      <c r="L741" s="18">
        <f t="shared" si="195"/>
        <v>0</v>
      </c>
      <c r="M741" s="18">
        <f t="shared" si="195"/>
        <v>0</v>
      </c>
      <c r="N741" s="18">
        <f t="shared" si="195"/>
        <v>0</v>
      </c>
      <c r="O741" s="18">
        <f t="shared" si="195"/>
        <v>0</v>
      </c>
      <c r="P741" s="18">
        <f t="shared" si="195"/>
        <v>0</v>
      </c>
      <c r="Q741" s="18">
        <f t="shared" si="195"/>
        <v>0</v>
      </c>
      <c r="R741" s="18">
        <f t="shared" si="195"/>
        <v>0</v>
      </c>
      <c r="S741" s="18">
        <f t="shared" si="195"/>
        <v>0</v>
      </c>
      <c r="T741" s="18">
        <f t="shared" si="195"/>
        <v>0</v>
      </c>
      <c r="U741" s="18">
        <f t="shared" si="195"/>
        <v>0</v>
      </c>
      <c r="V741" s="18">
        <f t="shared" si="195"/>
        <v>0</v>
      </c>
      <c r="W741" s="18">
        <f t="shared" si="195"/>
        <v>0</v>
      </c>
    </row>
    <row r="742" spans="2:23" s="40" customFormat="1" ht="14.25" customHeight="1">
      <c r="C742" s="221"/>
      <c r="D742" s="100" t="s">
        <v>296</v>
      </c>
      <c r="E742" s="100"/>
      <c r="F742" s="100"/>
      <c r="G742" s="234">
        <v>2048774073</v>
      </c>
      <c r="H742" s="101">
        <f>SUM(H738:H741)</f>
        <v>4597695441</v>
      </c>
      <c r="I742" s="101">
        <f t="shared" ref="I742:W742" si="196">SUM(I738:I741)</f>
        <v>4597695441</v>
      </c>
      <c r="J742" s="101">
        <f t="shared" si="196"/>
        <v>4597695441</v>
      </c>
      <c r="K742" s="101">
        <f t="shared" si="196"/>
        <v>4597695441</v>
      </c>
      <c r="L742" s="101">
        <f t="shared" si="196"/>
        <v>4597695441</v>
      </c>
      <c r="M742" s="101">
        <f t="shared" si="196"/>
        <v>4597695441</v>
      </c>
      <c r="N742" s="101">
        <f t="shared" si="196"/>
        <v>4597695441</v>
      </c>
      <c r="O742" s="101">
        <f t="shared" si="196"/>
        <v>4597695441</v>
      </c>
      <c r="P742" s="101">
        <f t="shared" si="196"/>
        <v>4597695441</v>
      </c>
      <c r="Q742" s="101">
        <f t="shared" si="196"/>
        <v>4597695441</v>
      </c>
      <c r="R742" s="101">
        <f t="shared" si="196"/>
        <v>4597695441</v>
      </c>
      <c r="S742" s="101">
        <f t="shared" si="196"/>
        <v>4597695441</v>
      </c>
      <c r="T742" s="101">
        <f t="shared" si="196"/>
        <v>4597695441</v>
      </c>
      <c r="U742" s="101">
        <f t="shared" si="196"/>
        <v>4597695441</v>
      </c>
      <c r="V742" s="101">
        <f t="shared" si="196"/>
        <v>4597695441</v>
      </c>
      <c r="W742" s="101">
        <f t="shared" si="196"/>
        <v>4597695441</v>
      </c>
    </row>
    <row r="743" spans="2:23" s="40" customFormat="1" ht="14.25" customHeight="1">
      <c r="C743" s="221"/>
      <c r="D743" s="96"/>
      <c r="E743" s="96"/>
      <c r="F743" s="96"/>
      <c r="G743" s="233"/>
      <c r="H743" s="233"/>
      <c r="I743" s="233"/>
      <c r="J743" s="233"/>
      <c r="K743" s="233"/>
      <c r="L743" s="233"/>
      <c r="M743" s="233"/>
      <c r="N743" s="233"/>
      <c r="O743" s="233"/>
      <c r="P743" s="233"/>
      <c r="Q743" s="233"/>
      <c r="R743" s="233"/>
      <c r="S743" s="233"/>
      <c r="T743" s="233"/>
      <c r="U743" s="233"/>
      <c r="V743" s="233"/>
      <c r="W743" s="233"/>
    </row>
    <row r="744" spans="2:23" s="40" customFormat="1" ht="14.25" customHeight="1">
      <c r="C744" s="221"/>
      <c r="D744" s="34" t="s">
        <v>317</v>
      </c>
      <c r="E744" s="2"/>
      <c r="F744" s="2"/>
      <c r="G744" s="2"/>
      <c r="H744" s="2"/>
      <c r="I744" s="2"/>
      <c r="J744" s="2"/>
      <c r="K744" s="2"/>
      <c r="L744" s="2"/>
      <c r="M744" s="2"/>
      <c r="N744" s="2"/>
      <c r="O744" s="2"/>
      <c r="P744" s="2"/>
      <c r="Q744" s="2"/>
      <c r="R744" s="2"/>
      <c r="S744" s="2"/>
      <c r="T744" s="2"/>
      <c r="U744" s="2"/>
      <c r="V744" s="2"/>
      <c r="W744" s="2"/>
    </row>
    <row r="745" spans="2:23" s="40" customFormat="1" ht="14.25" customHeight="1">
      <c r="C745" s="221"/>
      <c r="D745" s="2" t="s">
        <v>318</v>
      </c>
      <c r="E745" s="2"/>
      <c r="F745" s="2"/>
      <c r="G745" s="2"/>
      <c r="H745" s="18">
        <f t="shared" ref="H745:W745" si="197">G749</f>
        <v>-423018486.95999998</v>
      </c>
      <c r="I745" s="18">
        <f t="shared" si="197"/>
        <v>-368819213.72046769</v>
      </c>
      <c r="J745" s="18">
        <f t="shared" si="197"/>
        <v>-288225391.52950919</v>
      </c>
      <c r="K745" s="18">
        <f t="shared" si="197"/>
        <v>-159013163.48807386</v>
      </c>
      <c r="L745" s="18">
        <f t="shared" si="197"/>
        <v>-975891.56432175636</v>
      </c>
      <c r="M745" s="18">
        <f t="shared" si="197"/>
        <v>-975891.56432175636</v>
      </c>
      <c r="N745" s="18">
        <f t="shared" si="197"/>
        <v>-975891.56432175636</v>
      </c>
      <c r="O745" s="18">
        <f t="shared" si="197"/>
        <v>-975891.56432175636</v>
      </c>
      <c r="P745" s="18">
        <f t="shared" si="197"/>
        <v>-975891.56432175636</v>
      </c>
      <c r="Q745" s="18">
        <f t="shared" si="197"/>
        <v>-975891.56432175636</v>
      </c>
      <c r="R745" s="18">
        <f t="shared" si="197"/>
        <v>-975891.56432175636</v>
      </c>
      <c r="S745" s="18">
        <f t="shared" si="197"/>
        <v>-975891.56432175636</v>
      </c>
      <c r="T745" s="18">
        <f t="shared" si="197"/>
        <v>-975891.56432175636</v>
      </c>
      <c r="U745" s="18">
        <f t="shared" si="197"/>
        <v>-975891.56432175636</v>
      </c>
      <c r="V745" s="18">
        <f t="shared" si="197"/>
        <v>-975891.56432175636</v>
      </c>
      <c r="W745" s="18">
        <f t="shared" si="197"/>
        <v>-975891.56432175636</v>
      </c>
    </row>
    <row r="746" spans="2:23" s="40" customFormat="1" ht="14.25" customHeight="1">
      <c r="C746" s="221"/>
      <c r="D746" s="2" t="s">
        <v>319</v>
      </c>
      <c r="E746" s="2"/>
      <c r="F746" s="2"/>
      <c r="G746" s="2"/>
      <c r="H746" s="18">
        <f>FS!G27*10^6</f>
        <v>54199273.239532277</v>
      </c>
      <c r="I746" s="18">
        <f>FS!H27*10^6</f>
        <v>80593822.19095847</v>
      </c>
      <c r="J746" s="18">
        <f>FS!I27*10^6</f>
        <v>129212228.04143533</v>
      </c>
      <c r="K746" s="18">
        <f>FS!J27*10^6</f>
        <v>158037271.9237521</v>
      </c>
      <c r="L746" s="18">
        <f>FS!K27*10^6</f>
        <v>176157134.82303125</v>
      </c>
      <c r="M746" s="18">
        <f>FS!L27*10^6</f>
        <v>191869666.28885236</v>
      </c>
      <c r="N746" s="18">
        <f>FS!M27*10^6</f>
        <v>197615803.80715507</v>
      </c>
      <c r="O746" s="18">
        <f>FS!N27*10^6</f>
        <v>204509892.67735231</v>
      </c>
      <c r="P746" s="18">
        <f>FS!O27*10^6</f>
        <v>209540828.41542506</v>
      </c>
      <c r="Q746" s="18">
        <f>FS!P27*10^6</f>
        <v>215726984.78543961</v>
      </c>
      <c r="R746" s="18">
        <f>FS!Q27*10^6</f>
        <v>222067247.64635697</v>
      </c>
      <c r="S746" s="18">
        <f>FS!R27*10^6</f>
        <v>229666088.73412019</v>
      </c>
      <c r="T746" s="18">
        <f>FS!S27*10^6</f>
        <v>235225741.13907012</v>
      </c>
      <c r="U746" s="18">
        <f>FS!T27*10^6</f>
        <v>254453104.19036964</v>
      </c>
      <c r="V746" s="18">
        <f>FS!U27*10^6</f>
        <v>261734949.14574036</v>
      </c>
      <c r="W746" s="18">
        <f>FS!V27*10^6</f>
        <v>270289967.50261748</v>
      </c>
    </row>
    <row r="747" spans="2:23" s="40" customFormat="1" ht="14.25" customHeight="1">
      <c r="C747" s="221"/>
      <c r="D747" s="2" t="s">
        <v>320</v>
      </c>
      <c r="E747" s="2"/>
      <c r="F747" s="2"/>
      <c r="G747" s="2"/>
      <c r="H747" s="18">
        <f t="shared" ref="H747:W747" si="198">-H762</f>
        <v>0</v>
      </c>
      <c r="I747" s="18">
        <f t="shared" si="198"/>
        <v>0</v>
      </c>
      <c r="J747" s="18">
        <f t="shared" si="198"/>
        <v>0</v>
      </c>
      <c r="K747" s="18">
        <f t="shared" si="198"/>
        <v>0</v>
      </c>
      <c r="L747" s="18">
        <f t="shared" si="198"/>
        <v>-176157134.82303125</v>
      </c>
      <c r="M747" s="18">
        <f t="shared" si="198"/>
        <v>-191869666.28885236</v>
      </c>
      <c r="N747" s="18">
        <f t="shared" si="198"/>
        <v>-197615803.80715507</v>
      </c>
      <c r="O747" s="18">
        <f t="shared" si="198"/>
        <v>-204509892.67735231</v>
      </c>
      <c r="P747" s="18">
        <f t="shared" si="198"/>
        <v>-209540828.41542506</v>
      </c>
      <c r="Q747" s="18">
        <f t="shared" si="198"/>
        <v>-215726984.78543961</v>
      </c>
      <c r="R747" s="18">
        <f t="shared" si="198"/>
        <v>-222067247.64635697</v>
      </c>
      <c r="S747" s="18">
        <f t="shared" si="198"/>
        <v>-229666088.73412019</v>
      </c>
      <c r="T747" s="18">
        <f t="shared" si="198"/>
        <v>-235225741.13907012</v>
      </c>
      <c r="U747" s="18">
        <f t="shared" si="198"/>
        <v>-254453104.19036964</v>
      </c>
      <c r="V747" s="18">
        <f t="shared" si="198"/>
        <v>-261734949.14574036</v>
      </c>
      <c r="W747" s="18">
        <f t="shared" si="198"/>
        <v>-270289967.50261748</v>
      </c>
    </row>
    <row r="748" spans="2:23" s="40" customFormat="1" ht="14.25" customHeight="1">
      <c r="C748" s="221"/>
      <c r="D748" s="2" t="s">
        <v>321</v>
      </c>
      <c r="E748" s="2"/>
      <c r="F748" s="2"/>
      <c r="G748" s="2"/>
      <c r="H748" s="18">
        <v>0</v>
      </c>
      <c r="I748" s="18">
        <v>0</v>
      </c>
      <c r="J748" s="18">
        <v>0</v>
      </c>
      <c r="K748" s="18">
        <v>0</v>
      </c>
      <c r="L748" s="18">
        <v>0</v>
      </c>
      <c r="M748" s="18">
        <v>0</v>
      </c>
      <c r="N748" s="18">
        <v>0</v>
      </c>
      <c r="O748" s="18">
        <v>0</v>
      </c>
      <c r="P748" s="18">
        <v>0</v>
      </c>
      <c r="Q748" s="18">
        <v>0</v>
      </c>
      <c r="R748" s="18">
        <v>0</v>
      </c>
      <c r="S748" s="18">
        <v>0</v>
      </c>
      <c r="T748" s="18">
        <v>0</v>
      </c>
      <c r="U748" s="18">
        <v>0</v>
      </c>
      <c r="V748" s="18">
        <v>0</v>
      </c>
      <c r="W748" s="18">
        <v>0</v>
      </c>
    </row>
    <row r="749" spans="2:23" s="40" customFormat="1" ht="14.25" customHeight="1">
      <c r="C749" s="221"/>
      <c r="D749" s="100" t="s">
        <v>296</v>
      </c>
      <c r="E749" s="100"/>
      <c r="F749" s="100"/>
      <c r="G749" s="101">
        <f>N556</f>
        <v>-423018486.95999998</v>
      </c>
      <c r="H749" s="101">
        <f t="shared" ref="H749:W749" si="199">SUM(H745:H748)</f>
        <v>-368819213.72046769</v>
      </c>
      <c r="I749" s="101">
        <f t="shared" si="199"/>
        <v>-288225391.52950919</v>
      </c>
      <c r="J749" s="101">
        <f t="shared" si="199"/>
        <v>-159013163.48807386</v>
      </c>
      <c r="K749" s="101">
        <f t="shared" si="199"/>
        <v>-975891.56432175636</v>
      </c>
      <c r="L749" s="101">
        <f t="shared" si="199"/>
        <v>-975891.56432175636</v>
      </c>
      <c r="M749" s="101">
        <f t="shared" si="199"/>
        <v>-975891.56432175636</v>
      </c>
      <c r="N749" s="101">
        <f t="shared" si="199"/>
        <v>-975891.56432175636</v>
      </c>
      <c r="O749" s="101">
        <f t="shared" si="199"/>
        <v>-975891.56432175636</v>
      </c>
      <c r="P749" s="101">
        <f t="shared" si="199"/>
        <v>-975891.56432175636</v>
      </c>
      <c r="Q749" s="101">
        <f t="shared" si="199"/>
        <v>-975891.56432175636</v>
      </c>
      <c r="R749" s="101">
        <f t="shared" si="199"/>
        <v>-975891.56432175636</v>
      </c>
      <c r="S749" s="101">
        <f t="shared" si="199"/>
        <v>-975891.56432175636</v>
      </c>
      <c r="T749" s="101">
        <f t="shared" si="199"/>
        <v>-975891.56432175636</v>
      </c>
      <c r="U749" s="101">
        <f t="shared" si="199"/>
        <v>-975891.56432175636</v>
      </c>
      <c r="V749" s="101">
        <f t="shared" si="199"/>
        <v>-975891.56432175636</v>
      </c>
      <c r="W749" s="101">
        <f t="shared" si="199"/>
        <v>-975891.56432175636</v>
      </c>
    </row>
    <row r="750" spans="2:23" s="40" customFormat="1" ht="14.25" customHeight="1">
      <c r="C750" s="221"/>
    </row>
    <row r="751" spans="2:23" s="40" customFormat="1" ht="15" customHeight="1">
      <c r="B751" s="197">
        <v>3</v>
      </c>
      <c r="C751" s="197"/>
      <c r="D751" s="198" t="s">
        <v>299</v>
      </c>
      <c r="E751" s="198"/>
      <c r="F751" s="198"/>
      <c r="G751" s="198"/>
      <c r="H751" s="198"/>
      <c r="I751" s="198"/>
      <c r="J751" s="198"/>
      <c r="K751" s="198"/>
      <c r="L751" s="198"/>
      <c r="M751" s="198"/>
      <c r="N751" s="198"/>
      <c r="O751" s="198"/>
      <c r="P751" s="198"/>
      <c r="Q751" s="198"/>
      <c r="R751" s="198"/>
      <c r="S751" s="198"/>
      <c r="T751" s="198"/>
      <c r="U751" s="198"/>
      <c r="V751" s="198"/>
      <c r="W751" s="198"/>
    </row>
    <row r="752" spans="2:23" s="40" customFormat="1" ht="7.5" customHeight="1">
      <c r="C752" s="221"/>
    </row>
    <row r="753" spans="2:23" s="40" customFormat="1" ht="57" customHeight="1">
      <c r="C753" s="221"/>
      <c r="D753" s="42" t="s">
        <v>300</v>
      </c>
    </row>
    <row r="754" spans="2:23" s="40" customFormat="1" ht="15" customHeight="1">
      <c r="C754" s="221"/>
    </row>
    <row r="755" spans="2:23" s="40" customFormat="1" ht="15" customHeight="1">
      <c r="C755" s="79">
        <v>3.1</v>
      </c>
      <c r="D755" s="79" t="s">
        <v>233</v>
      </c>
      <c r="E755" s="1"/>
      <c r="F755" s="1"/>
      <c r="G755" s="1"/>
      <c r="H755" s="1"/>
      <c r="I755" s="1"/>
      <c r="J755" s="1"/>
      <c r="K755" s="1"/>
      <c r="L755" s="1"/>
      <c r="M755" s="1"/>
      <c r="N755" s="1"/>
      <c r="O755" s="1"/>
      <c r="P755" s="1"/>
      <c r="Q755" s="1"/>
      <c r="R755" s="1"/>
      <c r="S755" s="1"/>
      <c r="T755" s="1"/>
      <c r="U755" s="1"/>
      <c r="V755" s="1"/>
      <c r="W755" s="1"/>
    </row>
    <row r="756" spans="2:23" s="40" customFormat="1" ht="7.5" customHeight="1"/>
    <row r="757" spans="2:23" s="40" customFormat="1" ht="15" customHeight="1">
      <c r="B757" s="50" t="s">
        <v>139</v>
      </c>
      <c r="D757" s="44" t="s">
        <v>301</v>
      </c>
    </row>
    <row r="758" spans="2:23" s="40" customFormat="1" ht="14.25" customHeight="1">
      <c r="D758" s="2" t="s">
        <v>407</v>
      </c>
      <c r="E758" s="2"/>
      <c r="F758" s="337" t="s">
        <v>343</v>
      </c>
      <c r="G758" s="2"/>
      <c r="H758" s="232">
        <v>0</v>
      </c>
      <c r="I758" s="232">
        <v>0</v>
      </c>
      <c r="J758" s="232">
        <v>0</v>
      </c>
      <c r="K758" s="232">
        <v>0</v>
      </c>
      <c r="L758" s="232">
        <v>1</v>
      </c>
      <c r="M758" s="232">
        <v>1</v>
      </c>
      <c r="N758" s="232">
        <v>1</v>
      </c>
      <c r="O758" s="232">
        <v>1</v>
      </c>
      <c r="P758" s="232">
        <v>1</v>
      </c>
      <c r="Q758" s="232">
        <v>1</v>
      </c>
      <c r="R758" s="232">
        <v>1</v>
      </c>
      <c r="S758" s="232">
        <v>1</v>
      </c>
      <c r="T758" s="232">
        <v>1</v>
      </c>
      <c r="U758" s="232">
        <v>1</v>
      </c>
      <c r="V758" s="232">
        <v>1</v>
      </c>
      <c r="W758" s="232">
        <v>1</v>
      </c>
    </row>
    <row r="760" spans="2:23">
      <c r="D760" s="34" t="s">
        <v>320</v>
      </c>
    </row>
    <row r="761" spans="2:23">
      <c r="D761" s="2" t="s">
        <v>318</v>
      </c>
      <c r="H761" s="185">
        <f t="shared" ref="H761:W761" si="200">G764</f>
        <v>0</v>
      </c>
      <c r="I761" s="185">
        <f t="shared" si="200"/>
        <v>0</v>
      </c>
      <c r="J761" s="185">
        <f t="shared" si="200"/>
        <v>0</v>
      </c>
      <c r="K761" s="185">
        <f t="shared" si="200"/>
        <v>0</v>
      </c>
      <c r="L761" s="185">
        <f t="shared" si="200"/>
        <v>0</v>
      </c>
      <c r="M761" s="185">
        <f t="shared" si="200"/>
        <v>0</v>
      </c>
      <c r="N761" s="185">
        <f t="shared" si="200"/>
        <v>0</v>
      </c>
      <c r="O761" s="185">
        <f t="shared" si="200"/>
        <v>0</v>
      </c>
      <c r="P761" s="185">
        <f t="shared" si="200"/>
        <v>0</v>
      </c>
      <c r="Q761" s="185">
        <f t="shared" si="200"/>
        <v>0</v>
      </c>
      <c r="R761" s="185">
        <f t="shared" si="200"/>
        <v>0</v>
      </c>
      <c r="S761" s="185">
        <f t="shared" si="200"/>
        <v>0</v>
      </c>
      <c r="T761" s="185">
        <f t="shared" si="200"/>
        <v>0</v>
      </c>
      <c r="U761" s="185">
        <f t="shared" si="200"/>
        <v>0</v>
      </c>
      <c r="V761" s="185">
        <f t="shared" si="200"/>
        <v>0</v>
      </c>
      <c r="W761" s="185">
        <f t="shared" si="200"/>
        <v>0</v>
      </c>
    </row>
    <row r="762" spans="2:23">
      <c r="D762" s="2" t="s">
        <v>406</v>
      </c>
      <c r="H762" s="185">
        <f t="shared" ref="H762:W762" si="201">IF(AND($F$758="YES",H746&gt;0),H746*H758,0)</f>
        <v>0</v>
      </c>
      <c r="I762" s="185">
        <f t="shared" si="201"/>
        <v>0</v>
      </c>
      <c r="J762" s="185">
        <f t="shared" si="201"/>
        <v>0</v>
      </c>
      <c r="K762" s="185">
        <f t="shared" si="201"/>
        <v>0</v>
      </c>
      <c r="L762" s="185">
        <f t="shared" si="201"/>
        <v>176157134.82303125</v>
      </c>
      <c r="M762" s="185">
        <f t="shared" si="201"/>
        <v>191869666.28885236</v>
      </c>
      <c r="N762" s="185">
        <f t="shared" si="201"/>
        <v>197615803.80715507</v>
      </c>
      <c r="O762" s="185">
        <f t="shared" si="201"/>
        <v>204509892.67735231</v>
      </c>
      <c r="P762" s="185">
        <f t="shared" si="201"/>
        <v>209540828.41542506</v>
      </c>
      <c r="Q762" s="185">
        <f t="shared" si="201"/>
        <v>215726984.78543961</v>
      </c>
      <c r="R762" s="185">
        <f t="shared" si="201"/>
        <v>222067247.64635697</v>
      </c>
      <c r="S762" s="185">
        <f t="shared" si="201"/>
        <v>229666088.73412019</v>
      </c>
      <c r="T762" s="185">
        <f t="shared" si="201"/>
        <v>235225741.13907012</v>
      </c>
      <c r="U762" s="185">
        <f t="shared" si="201"/>
        <v>254453104.19036964</v>
      </c>
      <c r="V762" s="185">
        <f t="shared" si="201"/>
        <v>261734949.14574036</v>
      </c>
      <c r="W762" s="185">
        <f t="shared" si="201"/>
        <v>270289967.50261748</v>
      </c>
    </row>
    <row r="763" spans="2:23">
      <c r="D763" s="2" t="s">
        <v>323</v>
      </c>
      <c r="H763" s="185">
        <f>-SUM(H761:H762)</f>
        <v>0</v>
      </c>
      <c r="I763" s="185">
        <f t="shared" ref="I763:W763" si="202">-SUM(I761:I762)</f>
        <v>0</v>
      </c>
      <c r="J763" s="185">
        <f t="shared" si="202"/>
        <v>0</v>
      </c>
      <c r="K763" s="185">
        <f t="shared" si="202"/>
        <v>0</v>
      </c>
      <c r="L763" s="185">
        <f t="shared" si="202"/>
        <v>-176157134.82303125</v>
      </c>
      <c r="M763" s="185">
        <f t="shared" si="202"/>
        <v>-191869666.28885236</v>
      </c>
      <c r="N763" s="185">
        <f t="shared" si="202"/>
        <v>-197615803.80715507</v>
      </c>
      <c r="O763" s="185">
        <f t="shared" si="202"/>
        <v>-204509892.67735231</v>
      </c>
      <c r="P763" s="185">
        <f t="shared" si="202"/>
        <v>-209540828.41542506</v>
      </c>
      <c r="Q763" s="185">
        <f t="shared" si="202"/>
        <v>-215726984.78543961</v>
      </c>
      <c r="R763" s="185">
        <f t="shared" si="202"/>
        <v>-222067247.64635697</v>
      </c>
      <c r="S763" s="185">
        <f t="shared" si="202"/>
        <v>-229666088.73412019</v>
      </c>
      <c r="T763" s="185">
        <f t="shared" si="202"/>
        <v>-235225741.13907012</v>
      </c>
      <c r="U763" s="185">
        <f t="shared" si="202"/>
        <v>-254453104.19036964</v>
      </c>
      <c r="V763" s="185">
        <f t="shared" si="202"/>
        <v>-261734949.14574036</v>
      </c>
      <c r="W763" s="185">
        <f t="shared" si="202"/>
        <v>-270289967.50261748</v>
      </c>
    </row>
    <row r="764" spans="2:23">
      <c r="D764" s="100" t="s">
        <v>326</v>
      </c>
      <c r="E764" s="100"/>
      <c r="F764" s="100"/>
      <c r="G764" s="101"/>
      <c r="H764" s="101">
        <f t="shared" ref="H764:W764" si="203">SUM(H761:H763)</f>
        <v>0</v>
      </c>
      <c r="I764" s="101">
        <f t="shared" si="203"/>
        <v>0</v>
      </c>
      <c r="J764" s="101">
        <f t="shared" si="203"/>
        <v>0</v>
      </c>
      <c r="K764" s="101">
        <f t="shared" si="203"/>
        <v>0</v>
      </c>
      <c r="L764" s="101">
        <f t="shared" si="203"/>
        <v>0</v>
      </c>
      <c r="M764" s="101">
        <f t="shared" si="203"/>
        <v>0</v>
      </c>
      <c r="N764" s="101">
        <f t="shared" si="203"/>
        <v>0</v>
      </c>
      <c r="O764" s="101">
        <f t="shared" si="203"/>
        <v>0</v>
      </c>
      <c r="P764" s="101">
        <f t="shared" si="203"/>
        <v>0</v>
      </c>
      <c r="Q764" s="101">
        <f t="shared" si="203"/>
        <v>0</v>
      </c>
      <c r="R764" s="101">
        <f t="shared" si="203"/>
        <v>0</v>
      </c>
      <c r="S764" s="101">
        <f t="shared" si="203"/>
        <v>0</v>
      </c>
      <c r="T764" s="101">
        <f t="shared" si="203"/>
        <v>0</v>
      </c>
      <c r="U764" s="101">
        <f t="shared" si="203"/>
        <v>0</v>
      </c>
      <c r="V764" s="101">
        <f t="shared" si="203"/>
        <v>0</v>
      </c>
      <c r="W764" s="101">
        <f t="shared" si="203"/>
        <v>0</v>
      </c>
    </row>
    <row r="766" spans="2:23">
      <c r="C766" s="79">
        <v>3.2</v>
      </c>
      <c r="D766" s="79" t="s">
        <v>410</v>
      </c>
      <c r="E766" s="1"/>
      <c r="F766" s="1"/>
      <c r="G766" s="1"/>
      <c r="H766" s="1"/>
      <c r="I766" s="1"/>
      <c r="J766" s="1"/>
      <c r="K766" s="1"/>
      <c r="L766" s="1"/>
      <c r="M766" s="1"/>
      <c r="N766" s="1"/>
      <c r="O766" s="1"/>
      <c r="P766" s="1"/>
      <c r="Q766" s="1"/>
      <c r="R766" s="1"/>
      <c r="S766" s="1"/>
      <c r="T766" s="1"/>
      <c r="U766" s="1"/>
      <c r="V766" s="1"/>
      <c r="W766" s="1"/>
    </row>
    <row r="768" spans="2:23">
      <c r="D768" s="34" t="s">
        <v>331</v>
      </c>
    </row>
    <row r="769" spans="2:23">
      <c r="D769" s="2" t="s">
        <v>332</v>
      </c>
      <c r="G769" s="18"/>
      <c r="H769" s="18">
        <f>FS!G118*10^6</f>
        <v>158571021.04117501</v>
      </c>
      <c r="I769" s="18">
        <f>FS!H118*10^6</f>
        <v>289835907.25735527</v>
      </c>
      <c r="J769" s="18">
        <f>FS!I118*10^6</f>
        <v>452593294.68144846</v>
      </c>
      <c r="K769" s="18">
        <f>FS!J118*10^6</f>
        <v>662455728.62988746</v>
      </c>
      <c r="L769" s="18">
        <f>FS!K118*10^6</f>
        <v>902800514.60695934</v>
      </c>
      <c r="M769" s="18">
        <f>FS!L118*10^6</f>
        <v>986379850.97663724</v>
      </c>
      <c r="N769" s="18">
        <f>FS!M118*10^6</f>
        <v>1070906774.6266516</v>
      </c>
      <c r="O769" s="18">
        <f>FS!N118*10^6</f>
        <v>1156713690.7349145</v>
      </c>
      <c r="P769" s="18">
        <f>FS!O118*10^6</f>
        <v>1243335078.5058639</v>
      </c>
      <c r="Q769" s="18">
        <f>FS!P118*10^6</f>
        <v>1330917227.9859045</v>
      </c>
      <c r="R769" s="18">
        <f>FS!Q118*10^6</f>
        <v>1419346074.7024062</v>
      </c>
      <c r="S769" s="18">
        <f>FS!R118*10^6</f>
        <v>1508681424.7848663</v>
      </c>
      <c r="T769" s="18">
        <f>FS!S118*10^6</f>
        <v>1598892301.7222254</v>
      </c>
      <c r="U769" s="18">
        <f>FS!T118*10^6</f>
        <v>1690138158.9768512</v>
      </c>
      <c r="V769" s="18">
        <f>FS!U118*10^6</f>
        <v>1781755905.0441775</v>
      </c>
      <c r="W769" s="18">
        <f>FS!V118*10^6</f>
        <v>1874872807.1808331</v>
      </c>
    </row>
    <row r="770" spans="2:23">
      <c r="D770" s="2" t="s">
        <v>333</v>
      </c>
      <c r="G770" s="18"/>
      <c r="H770" s="18">
        <f>FS!G103*10^6</f>
        <v>146014406.87618026</v>
      </c>
      <c r="I770" s="18">
        <f>FS!H103*10^6</f>
        <v>177639046.74359313</v>
      </c>
      <c r="J770" s="18">
        <f>FS!I103*10^6</f>
        <v>226868729.7756173</v>
      </c>
      <c r="K770" s="18">
        <f>FS!J103*10^6</f>
        <v>257499281.35402137</v>
      </c>
      <c r="L770" s="18">
        <f>FS!K103*10^6</f>
        <v>277041210.0362941</v>
      </c>
      <c r="M770" s="18">
        <f>FS!L103*10^6</f>
        <v>293853653.63064915</v>
      </c>
      <c r="N770" s="18">
        <f>FS!M103*10^6</f>
        <v>301034228.06948525</v>
      </c>
      <c r="O770" s="18">
        <f>FS!N103*10^6</f>
        <v>308899391.69561166</v>
      </c>
      <c r="P770" s="18">
        <f>FS!O103*10^6</f>
        <v>315049890.68507636</v>
      </c>
      <c r="Q770" s="18">
        <f>FS!P103*10^6</f>
        <v>322243784.91950536</v>
      </c>
      <c r="R770" s="18">
        <f>FS!Q103*10^6</f>
        <v>329653872.33271974</v>
      </c>
      <c r="S770" s="18">
        <f>FS!R103*10^6</f>
        <v>338293884.34702206</v>
      </c>
      <c r="T770" s="18">
        <f>FS!S103*10^6</f>
        <v>345056527.22572345</v>
      </c>
      <c r="U770" s="18">
        <f>FS!T103*10^6</f>
        <v>364826199.42208296</v>
      </c>
      <c r="V770" s="18">
        <f>FS!U103*10^6</f>
        <v>373780075.95681262</v>
      </c>
      <c r="W770" s="18">
        <f>FS!V103*10^6</f>
        <v>383453883.96064049</v>
      </c>
    </row>
    <row r="771" spans="2:23">
      <c r="D771" s="2" t="s">
        <v>334</v>
      </c>
      <c r="G771" s="18"/>
      <c r="H771" s="18">
        <f>FS!G108*10^6</f>
        <v>-14749520.660000002</v>
      </c>
      <c r="I771" s="18">
        <f>FS!H108*10^6</f>
        <v>-14881659.319499997</v>
      </c>
      <c r="J771" s="18">
        <f>FS!I108*10^6</f>
        <v>-17006295.827178244</v>
      </c>
      <c r="K771" s="18">
        <f>FS!J108*10^6</f>
        <v>-17154495.376949482</v>
      </c>
      <c r="L771" s="18">
        <f>FS!K108*10^6</f>
        <v>-17304738.843584977</v>
      </c>
      <c r="M771" s="18">
        <f>FS!L108*10^6</f>
        <v>-17457063.691782441</v>
      </c>
      <c r="N771" s="18">
        <f>FS!M108*10^6</f>
        <v>-17611508.154067267</v>
      </c>
      <c r="O771" s="18">
        <f>FS!N108*10^6</f>
        <v>-17768111.247309826</v>
      </c>
      <c r="P771" s="18">
        <f>FS!O108*10^6</f>
        <v>-17926912.78961093</v>
      </c>
      <c r="Q771" s="18">
        <f>FS!P108*10^6</f>
        <v>-18087953.417563993</v>
      </c>
      <c r="R771" s="18">
        <f>FS!Q108*10^6</f>
        <v>-18251274.603902668</v>
      </c>
      <c r="S771" s="18">
        <f>FS!R108*10^6</f>
        <v>-18416918.675542772</v>
      </c>
      <c r="T771" s="18">
        <f>FS!S108*10^6</f>
        <v>-18584928.832027752</v>
      </c>
      <c r="U771" s="18">
        <f>FS!T108*10^6</f>
        <v>-18755349.16438698</v>
      </c>
      <c r="V771" s="18">
        <f>FS!U108*10^6</f>
        <v>-18928224.674416564</v>
      </c>
      <c r="W771" s="18">
        <f>FS!V108*10^6</f>
        <v>-19103601.29439237</v>
      </c>
    </row>
    <row r="772" spans="2:23">
      <c r="D772" s="2" t="s">
        <v>335</v>
      </c>
      <c r="G772" s="18"/>
      <c r="H772" s="18">
        <f>SUM(FS!G109:G111,FS!G113:G115)*10^6</f>
        <v>0</v>
      </c>
      <c r="I772" s="18">
        <f>SUM(FS!H109:H111,FS!H113:H115)*10^6</f>
        <v>0</v>
      </c>
      <c r="J772" s="18">
        <f>SUM(FS!I109:I111,FS!I113:I115)*10^6</f>
        <v>0</v>
      </c>
      <c r="K772" s="18">
        <f>SUM(FS!J109:J111,FS!J113:J115)*10^6</f>
        <v>0</v>
      </c>
      <c r="L772" s="18">
        <f>SUM(FS!K109:K111,FS!K113:K115)*10^6</f>
        <v>-176157134.82303125</v>
      </c>
      <c r="M772" s="18">
        <f>SUM(FS!L109:L111,FS!L113:L115)*10^6</f>
        <v>-191869666.28885236</v>
      </c>
      <c r="N772" s="18">
        <f>SUM(FS!M109:M111,FS!M113:M115)*10^6</f>
        <v>-197615803.80715507</v>
      </c>
      <c r="O772" s="18">
        <f>SUM(FS!N109:N111,FS!N113:N115)*10^6</f>
        <v>-204509892.67735231</v>
      </c>
      <c r="P772" s="18">
        <f>SUM(FS!O109:O111,FS!O113:O115)*10^6</f>
        <v>-209540828.41542506</v>
      </c>
      <c r="Q772" s="18">
        <f>SUM(FS!P109:P111,FS!P113:P115)*10^6</f>
        <v>-215726984.78543961</v>
      </c>
      <c r="R772" s="18">
        <f>SUM(FS!Q109:Q111,FS!Q113:Q115)*10^6</f>
        <v>-222067247.64635697</v>
      </c>
      <c r="S772" s="18">
        <f>SUM(FS!R109:R111,FS!R113:R115)*10^6</f>
        <v>-229666088.73412019</v>
      </c>
      <c r="T772" s="18">
        <f>SUM(FS!S109:S111,FS!S113:S115)*10^6</f>
        <v>-235225741.13907012</v>
      </c>
      <c r="U772" s="18">
        <f>SUM(FS!T109:T111,FS!T113:T115)*10^6</f>
        <v>-254453104.19036964</v>
      </c>
      <c r="V772" s="18">
        <f>SUM(FS!U109:U111,FS!U113:U115)*10^6</f>
        <v>-261734949.14574036</v>
      </c>
      <c r="W772" s="18">
        <f>SUM(FS!V109:V111,FS!V113:V115)*10^6</f>
        <v>-270289967.50261748</v>
      </c>
    </row>
    <row r="773" spans="2:23">
      <c r="D773" s="100" t="s">
        <v>336</v>
      </c>
      <c r="E773" s="100"/>
      <c r="F773" s="100"/>
      <c r="G773" s="101"/>
      <c r="H773" s="101">
        <f t="shared" ref="H773:W773" si="204">SUM(H769:H772)</f>
        <v>289835907.25735527</v>
      </c>
      <c r="I773" s="101">
        <f t="shared" si="204"/>
        <v>452593294.68144846</v>
      </c>
      <c r="J773" s="101">
        <f t="shared" si="204"/>
        <v>662455728.62988758</v>
      </c>
      <c r="K773" s="101">
        <f t="shared" si="204"/>
        <v>902800514.60695946</v>
      </c>
      <c r="L773" s="101">
        <f t="shared" si="204"/>
        <v>986379850.97663713</v>
      </c>
      <c r="M773" s="101">
        <f t="shared" si="204"/>
        <v>1070906774.6266516</v>
      </c>
      <c r="N773" s="101">
        <f t="shared" si="204"/>
        <v>1156713690.7349145</v>
      </c>
      <c r="O773" s="101">
        <f t="shared" si="204"/>
        <v>1243335078.5058641</v>
      </c>
      <c r="P773" s="101">
        <f t="shared" si="204"/>
        <v>1330917227.9859045</v>
      </c>
      <c r="Q773" s="101">
        <f t="shared" si="204"/>
        <v>1419346074.7024064</v>
      </c>
      <c r="R773" s="101">
        <f t="shared" si="204"/>
        <v>1508681424.7848663</v>
      </c>
      <c r="S773" s="101">
        <f t="shared" si="204"/>
        <v>1598892301.7222254</v>
      </c>
      <c r="T773" s="101">
        <f t="shared" si="204"/>
        <v>1690138158.9768512</v>
      </c>
      <c r="U773" s="101">
        <f t="shared" si="204"/>
        <v>1781755905.0441775</v>
      </c>
      <c r="V773" s="101">
        <f t="shared" si="204"/>
        <v>1874872807.1808331</v>
      </c>
      <c r="W773" s="101">
        <f t="shared" si="204"/>
        <v>1968933122.3444638</v>
      </c>
    </row>
    <row r="774" spans="2:23">
      <c r="G774" s="18"/>
      <c r="H774" s="18"/>
      <c r="I774" s="18"/>
      <c r="J774" s="18"/>
      <c r="K774" s="18"/>
      <c r="L774" s="18"/>
      <c r="M774" s="18"/>
      <c r="N774" s="18"/>
      <c r="O774" s="18"/>
      <c r="P774" s="18"/>
      <c r="Q774" s="18"/>
      <c r="R774" s="18"/>
      <c r="S774" s="18"/>
      <c r="T774" s="18"/>
      <c r="U774" s="18"/>
      <c r="V774" s="18"/>
      <c r="W774" s="18"/>
    </row>
    <row r="775" spans="2:23">
      <c r="D775" s="2" t="s">
        <v>337</v>
      </c>
      <c r="G775" s="18"/>
      <c r="H775" s="220">
        <v>50000000</v>
      </c>
      <c r="I775" s="220">
        <v>50000000</v>
      </c>
      <c r="J775" s="220">
        <v>50000000</v>
      </c>
      <c r="K775" s="220">
        <v>50000000</v>
      </c>
      <c r="L775" s="220">
        <v>50000000</v>
      </c>
      <c r="M775" s="220">
        <v>50000000</v>
      </c>
      <c r="N775" s="220">
        <v>50000000</v>
      </c>
      <c r="O775" s="220">
        <v>50000000</v>
      </c>
      <c r="P775" s="220">
        <v>50000000</v>
      </c>
      <c r="Q775" s="220">
        <v>50000000</v>
      </c>
      <c r="R775" s="220">
        <v>50000000</v>
      </c>
      <c r="S775" s="220">
        <v>50000000</v>
      </c>
      <c r="T775" s="220">
        <v>50000000</v>
      </c>
      <c r="U775" s="220">
        <v>50000000</v>
      </c>
      <c r="V775" s="220">
        <v>50000000</v>
      </c>
      <c r="W775" s="220">
        <v>50000000</v>
      </c>
    </row>
    <row r="776" spans="2:23">
      <c r="D776" s="34" t="s">
        <v>338</v>
      </c>
      <c r="E776" s="34"/>
      <c r="F776" s="34"/>
      <c r="G776" s="104"/>
      <c r="H776" s="104">
        <f t="shared" ref="H776:W776" si="205">H773-H775</f>
        <v>239835907.25735527</v>
      </c>
      <c r="I776" s="104">
        <f t="shared" si="205"/>
        <v>402593294.68144846</v>
      </c>
      <c r="J776" s="104">
        <f t="shared" si="205"/>
        <v>612455728.62988758</v>
      </c>
      <c r="K776" s="104">
        <f t="shared" si="205"/>
        <v>852800514.60695946</v>
      </c>
      <c r="L776" s="104">
        <f t="shared" si="205"/>
        <v>936379850.97663713</v>
      </c>
      <c r="M776" s="104">
        <f t="shared" si="205"/>
        <v>1020906774.6266516</v>
      </c>
      <c r="N776" s="104">
        <f>N773-N775</f>
        <v>1106713690.7349145</v>
      </c>
      <c r="O776" s="104">
        <f t="shared" si="205"/>
        <v>1193335078.5058641</v>
      </c>
      <c r="P776" s="104">
        <f t="shared" si="205"/>
        <v>1280917227.9859045</v>
      </c>
      <c r="Q776" s="104">
        <f t="shared" si="205"/>
        <v>1369346074.7024064</v>
      </c>
      <c r="R776" s="104">
        <f t="shared" si="205"/>
        <v>1458681424.7848663</v>
      </c>
      <c r="S776" s="104">
        <f t="shared" si="205"/>
        <v>1548892301.7222254</v>
      </c>
      <c r="T776" s="104">
        <f t="shared" si="205"/>
        <v>1640138158.9768512</v>
      </c>
      <c r="U776" s="104">
        <f t="shared" si="205"/>
        <v>1731755905.0441775</v>
      </c>
      <c r="V776" s="104">
        <f t="shared" si="205"/>
        <v>1824872807.1808331</v>
      </c>
      <c r="W776" s="104">
        <f t="shared" si="205"/>
        <v>1918933122.3444638</v>
      </c>
    </row>
    <row r="777" spans="2:23">
      <c r="G777" s="18"/>
      <c r="H777" s="18"/>
      <c r="I777" s="18"/>
      <c r="J777" s="18"/>
      <c r="K777" s="18"/>
      <c r="L777" s="18"/>
      <c r="M777" s="18"/>
      <c r="N777" s="18"/>
      <c r="O777" s="18"/>
      <c r="P777" s="18"/>
      <c r="Q777" s="18"/>
      <c r="R777" s="18"/>
      <c r="S777" s="18"/>
      <c r="T777" s="18"/>
      <c r="U777" s="18"/>
      <c r="V777" s="18"/>
      <c r="W777" s="18"/>
    </row>
    <row r="778" spans="2:23">
      <c r="D778" s="2" t="s">
        <v>86</v>
      </c>
      <c r="F778" s="337" t="s">
        <v>343</v>
      </c>
      <c r="G778" s="18"/>
      <c r="H778" s="18">
        <f>IF($F$778="YES",IF(H776&lt;0,-H776,0),0)</f>
        <v>0</v>
      </c>
      <c r="I778" s="18">
        <f t="shared" ref="I778:W778" si="206">IF($F$778="YES",IF(I776&lt;0,-I776,0),0)</f>
        <v>0</v>
      </c>
      <c r="J778" s="18">
        <f t="shared" si="206"/>
        <v>0</v>
      </c>
      <c r="K778" s="18">
        <f t="shared" si="206"/>
        <v>0</v>
      </c>
      <c r="L778" s="18">
        <f t="shared" si="206"/>
        <v>0</v>
      </c>
      <c r="M778" s="18">
        <f t="shared" si="206"/>
        <v>0</v>
      </c>
      <c r="N778" s="18">
        <f t="shared" si="206"/>
        <v>0</v>
      </c>
      <c r="O778" s="18">
        <f t="shared" si="206"/>
        <v>0</v>
      </c>
      <c r="P778" s="18">
        <f t="shared" si="206"/>
        <v>0</v>
      </c>
      <c r="Q778" s="18">
        <f t="shared" si="206"/>
        <v>0</v>
      </c>
      <c r="R778" s="18">
        <f t="shared" si="206"/>
        <v>0</v>
      </c>
      <c r="S778" s="18">
        <f t="shared" si="206"/>
        <v>0</v>
      </c>
      <c r="T778" s="18">
        <f t="shared" si="206"/>
        <v>0</v>
      </c>
      <c r="U778" s="18">
        <f t="shared" si="206"/>
        <v>0</v>
      </c>
      <c r="V778" s="18">
        <f t="shared" si="206"/>
        <v>0</v>
      </c>
      <c r="W778" s="18">
        <f t="shared" si="206"/>
        <v>0</v>
      </c>
    </row>
    <row r="779" spans="2:23">
      <c r="D779" s="2" t="s">
        <v>234</v>
      </c>
      <c r="G779" s="18"/>
      <c r="H779" s="18">
        <f>IF($F$778="YES",0,IF(H776&lt;0,-H776,0))</f>
        <v>0</v>
      </c>
      <c r="I779" s="18">
        <f t="shared" ref="I779:W779" si="207">IF($F$778="YES",0,IF(I776&lt;0,-I776,0))</f>
        <v>0</v>
      </c>
      <c r="J779" s="18">
        <f t="shared" si="207"/>
        <v>0</v>
      </c>
      <c r="K779" s="18">
        <f t="shared" si="207"/>
        <v>0</v>
      </c>
      <c r="L779" s="18">
        <f t="shared" si="207"/>
        <v>0</v>
      </c>
      <c r="M779" s="18">
        <f t="shared" si="207"/>
        <v>0</v>
      </c>
      <c r="N779" s="18">
        <f t="shared" si="207"/>
        <v>0</v>
      </c>
      <c r="O779" s="18">
        <f t="shared" si="207"/>
        <v>0</v>
      </c>
      <c r="P779" s="18">
        <f t="shared" si="207"/>
        <v>0</v>
      </c>
      <c r="Q779" s="18">
        <f t="shared" si="207"/>
        <v>0</v>
      </c>
      <c r="R779" s="18">
        <f t="shared" si="207"/>
        <v>0</v>
      </c>
      <c r="S779" s="18">
        <f t="shared" si="207"/>
        <v>0</v>
      </c>
      <c r="T779" s="18">
        <f t="shared" si="207"/>
        <v>0</v>
      </c>
      <c r="U779" s="18">
        <f t="shared" si="207"/>
        <v>0</v>
      </c>
      <c r="V779" s="18">
        <f t="shared" si="207"/>
        <v>0</v>
      </c>
      <c r="W779" s="18">
        <f t="shared" si="207"/>
        <v>0</v>
      </c>
    </row>
    <row r="780" spans="2:23">
      <c r="D780" s="100" t="s">
        <v>307</v>
      </c>
      <c r="E780" s="100"/>
      <c r="F780" s="100"/>
      <c r="G780" s="101"/>
      <c r="H780" s="101">
        <f t="shared" ref="H780:W780" si="208">SUM(H778:H779)</f>
        <v>0</v>
      </c>
      <c r="I780" s="101">
        <f t="shared" si="208"/>
        <v>0</v>
      </c>
      <c r="J780" s="101">
        <f t="shared" si="208"/>
        <v>0</v>
      </c>
      <c r="K780" s="101">
        <f t="shared" si="208"/>
        <v>0</v>
      </c>
      <c r="L780" s="101">
        <f t="shared" si="208"/>
        <v>0</v>
      </c>
      <c r="M780" s="101">
        <f t="shared" si="208"/>
        <v>0</v>
      </c>
      <c r="N780" s="101">
        <f t="shared" si="208"/>
        <v>0</v>
      </c>
      <c r="O780" s="101">
        <f t="shared" si="208"/>
        <v>0</v>
      </c>
      <c r="P780" s="101">
        <f t="shared" si="208"/>
        <v>0</v>
      </c>
      <c r="Q780" s="101">
        <f t="shared" si="208"/>
        <v>0</v>
      </c>
      <c r="R780" s="101">
        <f t="shared" si="208"/>
        <v>0</v>
      </c>
      <c r="S780" s="101">
        <f t="shared" si="208"/>
        <v>0</v>
      </c>
      <c r="T780" s="101">
        <f t="shared" si="208"/>
        <v>0</v>
      </c>
      <c r="U780" s="101">
        <f t="shared" si="208"/>
        <v>0</v>
      </c>
      <c r="V780" s="101">
        <f t="shared" si="208"/>
        <v>0</v>
      </c>
      <c r="W780" s="101">
        <f t="shared" si="208"/>
        <v>0</v>
      </c>
    </row>
    <row r="781" spans="2:23">
      <c r="G781" s="18"/>
      <c r="H781" s="18"/>
      <c r="I781" s="18"/>
      <c r="J781" s="18"/>
      <c r="K781" s="18"/>
      <c r="L781" s="18"/>
      <c r="M781" s="18"/>
      <c r="N781" s="18"/>
      <c r="O781" s="18"/>
      <c r="P781" s="18"/>
      <c r="Q781" s="18"/>
      <c r="R781" s="18"/>
      <c r="S781" s="18"/>
      <c r="T781" s="18"/>
      <c r="U781" s="18"/>
      <c r="V781" s="18"/>
      <c r="W781" s="18"/>
    </row>
    <row r="782" spans="2:23">
      <c r="D782" s="34" t="s">
        <v>339</v>
      </c>
      <c r="E782" s="34"/>
      <c r="F782" s="34"/>
      <c r="G782" s="104"/>
      <c r="H782" s="104">
        <f t="shared" ref="H782:W782" si="209">IF(H776&gt;0,MIN(H776,H720),0)</f>
        <v>0</v>
      </c>
      <c r="I782" s="104">
        <f t="shared" si="209"/>
        <v>0</v>
      </c>
      <c r="J782" s="104">
        <f t="shared" si="209"/>
        <v>0</v>
      </c>
      <c r="K782" s="104">
        <f t="shared" si="209"/>
        <v>0</v>
      </c>
      <c r="L782" s="104">
        <f t="shared" si="209"/>
        <v>0</v>
      </c>
      <c r="M782" s="104">
        <f t="shared" si="209"/>
        <v>0</v>
      </c>
      <c r="N782" s="104">
        <f t="shared" si="209"/>
        <v>0</v>
      </c>
      <c r="O782" s="104">
        <f t="shared" si="209"/>
        <v>0</v>
      </c>
      <c r="P782" s="104">
        <f t="shared" si="209"/>
        <v>0</v>
      </c>
      <c r="Q782" s="104">
        <f t="shared" si="209"/>
        <v>0</v>
      </c>
      <c r="R782" s="104">
        <f t="shared" si="209"/>
        <v>0</v>
      </c>
      <c r="S782" s="104">
        <f t="shared" si="209"/>
        <v>0</v>
      </c>
      <c r="T782" s="104">
        <f t="shared" si="209"/>
        <v>0</v>
      </c>
      <c r="U782" s="104">
        <f t="shared" si="209"/>
        <v>0</v>
      </c>
      <c r="V782" s="104">
        <f t="shared" si="209"/>
        <v>0</v>
      </c>
      <c r="W782" s="104">
        <f t="shared" si="209"/>
        <v>0</v>
      </c>
    </row>
    <row r="784" spans="2:23">
      <c r="B784" s="114" t="s">
        <v>350</v>
      </c>
      <c r="C784" s="113"/>
      <c r="D784" s="113"/>
      <c r="E784" s="113"/>
      <c r="F784" s="113"/>
      <c r="G784" s="113"/>
      <c r="H784" s="113"/>
      <c r="I784" s="113"/>
      <c r="J784" s="113"/>
      <c r="K784" s="113"/>
      <c r="L784" s="113"/>
      <c r="M784" s="113"/>
      <c r="N784" s="113"/>
      <c r="O784" s="113"/>
      <c r="P784" s="113"/>
      <c r="Q784" s="113"/>
      <c r="R784" s="113"/>
      <c r="S784" s="113"/>
      <c r="T784" s="113"/>
      <c r="U784" s="113"/>
      <c r="V784" s="113"/>
      <c r="W784" s="113"/>
    </row>
  </sheetData>
  <conditionalFormatting sqref="F758">
    <cfRule type="cellIs" dxfId="43" priority="1" operator="lessThan">
      <formula>0</formula>
    </cfRule>
  </conditionalFormatting>
  <conditionalFormatting sqref="F778">
    <cfRule type="cellIs" dxfId="42" priority="2" operator="lessThan">
      <formula>0</formula>
    </cfRule>
  </conditionalFormatting>
  <conditionalFormatting sqref="H561:N561">
    <cfRule type="cellIs" dxfId="41" priority="5" operator="notEqual">
      <formula>0</formula>
    </cfRule>
    <cfRule type="cellIs" dxfId="40" priority="6" operator="equal">
      <formula>0</formula>
    </cfRule>
  </conditionalFormatting>
  <conditionalFormatting sqref="H32:W32 H49:W49 H62:W62 H109:W109 H147:W147 H185:W185 H243:W243 H274:W274 H305:W305 H336:W336 H351:W351 H367:W367 H445:W445 H463:W464 H485:W485 H498:W498">
    <cfRule type="cellIs" dxfId="39" priority="15" operator="lessThan">
      <formula>0</formula>
    </cfRule>
    <cfRule type="cellIs" dxfId="38" priority="16" operator="greaterThan">
      <formula>0</formula>
    </cfRule>
  </conditionalFormatting>
  <conditionalFormatting sqref="H72:W72">
    <cfRule type="cellIs" dxfId="37" priority="13" operator="lessThan">
      <formula>0</formula>
    </cfRule>
    <cfRule type="cellIs" dxfId="36" priority="14" operator="greaterThan">
      <formula>0</formula>
    </cfRule>
  </conditionalFormatting>
  <conditionalFormatting sqref="H203:W203">
    <cfRule type="cellIs" dxfId="35" priority="11" operator="lessThan">
      <formula>0</formula>
    </cfRule>
    <cfRule type="cellIs" dxfId="34" priority="12" operator="greaterThan">
      <formula>0</formula>
    </cfRule>
  </conditionalFormatting>
  <conditionalFormatting sqref="H401:W401">
    <cfRule type="cellIs" dxfId="33" priority="9" operator="lessThan">
      <formula>0</formula>
    </cfRule>
    <cfRule type="cellIs" dxfId="32" priority="10" operator="greaterThan">
      <formula>0</formula>
    </cfRule>
  </conditionalFormatting>
  <conditionalFormatting sqref="H472:W473">
    <cfRule type="cellIs" dxfId="31" priority="7" operator="lessThan">
      <formula>0</formula>
    </cfRule>
    <cfRule type="cellIs" dxfId="30" priority="8" operator="greaterThan">
      <formula>0</formula>
    </cfRule>
  </conditionalFormatting>
  <conditionalFormatting sqref="H510:W510">
    <cfRule type="cellIs" dxfId="29" priority="3" operator="lessThan">
      <formula>0</formula>
    </cfRule>
    <cfRule type="cellIs" dxfId="28" priority="4" operator="greaterThan">
      <formula>0</formula>
    </cfRule>
  </conditionalFormatting>
  <dataValidations disablePrompts="1" count="1">
    <dataValidation type="list" allowBlank="1" showInputMessage="1" showErrorMessage="1" sqref="F778 F758" xr:uid="{2524CDB6-FFC0-47B9-94B6-B34B812BB1DE}">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E6C5D-6312-4D23-A028-28E72F674026}">
  <sheetPr codeName="Sheet1">
    <tabColor theme="5" tint="0.59999389629810485"/>
  </sheetPr>
  <dimension ref="B1:BO126"/>
  <sheetViews>
    <sheetView showGridLines="0" zoomScale="80" zoomScaleNormal="80" workbookViewId="0">
      <pane xSplit="6" ySplit="3" topLeftCell="G4" activePane="bottomRight" state="frozen"/>
      <selection activeCell="G507" sqref="G507"/>
      <selection pane="topRight" activeCell="G507" sqref="G507"/>
      <selection pane="bottomLeft" activeCell="G507" sqref="G507"/>
      <selection pane="bottomRight" activeCell="H11" sqref="H11"/>
    </sheetView>
  </sheetViews>
  <sheetFormatPr defaultColWidth="12.21875" defaultRowHeight="15" customHeight="1" outlineLevelRow="1" outlineLevelCol="1"/>
  <cols>
    <col min="1" max="1" width="2.33203125" style="2" customWidth="1"/>
    <col min="2" max="3" width="2.77734375" style="2" customWidth="1"/>
    <col min="4" max="4" width="33.44140625" style="2" customWidth="1"/>
    <col min="5" max="6" width="0.77734375" style="37" customWidth="1"/>
    <col min="7" max="15" width="9.77734375" style="37" customWidth="1"/>
    <col min="16" max="16" width="9.5546875" style="37" customWidth="1"/>
    <col min="17" max="17" width="9.77734375" style="37" customWidth="1"/>
    <col min="18" max="22" width="9.77734375" style="37" customWidth="1" outlineLevel="1"/>
    <col min="23" max="23" width="1.21875" style="37" customWidth="1"/>
    <col min="24" max="24" width="9.77734375" style="37" customWidth="1"/>
    <col min="25" max="25" width="1.21875" style="37" customWidth="1" collapsed="1"/>
    <col min="26" max="26" width="6.5546875" style="37" customWidth="1"/>
    <col min="27" max="27" width="6.77734375" style="37" customWidth="1"/>
    <col min="28" max="28" width="2.77734375" style="37" customWidth="1"/>
    <col min="29" max="29" width="2.77734375" style="2" customWidth="1"/>
    <col min="30" max="30" width="3" style="2" customWidth="1"/>
    <col min="31" max="16384" width="12.21875" style="2"/>
  </cols>
  <sheetData>
    <row r="1" spans="2:29" ht="15" customHeight="1">
      <c r="B1" s="106" t="s">
        <v>0</v>
      </c>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row>
    <row r="2" spans="2:29" ht="15" customHeight="1">
      <c r="B2" s="107" t="s">
        <v>1</v>
      </c>
      <c r="C2" s="106"/>
      <c r="D2" s="107"/>
      <c r="E2" s="106"/>
      <c r="F2" s="106"/>
      <c r="G2" s="106">
        <f>Assumptions!H1</f>
        <v>2025</v>
      </c>
      <c r="H2" s="106">
        <f>Assumptions!I1</f>
        <v>2026</v>
      </c>
      <c r="I2" s="106">
        <f>Assumptions!J1</f>
        <v>2027</v>
      </c>
      <c r="J2" s="106">
        <f>Assumptions!K1</f>
        <v>2028</v>
      </c>
      <c r="K2" s="106">
        <f>Assumptions!L1</f>
        <v>2029</v>
      </c>
      <c r="L2" s="106">
        <f>Assumptions!M1</f>
        <v>2030</v>
      </c>
      <c r="M2" s="106">
        <f>Assumptions!N1</f>
        <v>2031</v>
      </c>
      <c r="N2" s="106">
        <f>Assumptions!O1</f>
        <v>2032</v>
      </c>
      <c r="O2" s="106">
        <f>Assumptions!P1</f>
        <v>2033</v>
      </c>
      <c r="P2" s="106">
        <f>Assumptions!Q1</f>
        <v>2034</v>
      </c>
      <c r="Q2" s="106">
        <f>Assumptions!R1</f>
        <v>2035</v>
      </c>
      <c r="R2" s="106">
        <f>Assumptions!S1</f>
        <v>2036</v>
      </c>
      <c r="S2" s="106">
        <f>Assumptions!T1</f>
        <v>2037</v>
      </c>
      <c r="T2" s="106">
        <f>Assumptions!U1</f>
        <v>2038</v>
      </c>
      <c r="U2" s="106">
        <f>Assumptions!V1</f>
        <v>2039</v>
      </c>
      <c r="V2" s="106">
        <f>Assumptions!W1</f>
        <v>2040</v>
      </c>
      <c r="W2" s="106"/>
      <c r="X2" s="106"/>
      <c r="Y2" s="106"/>
      <c r="Z2" s="106"/>
      <c r="AA2" s="106"/>
      <c r="AB2" s="106"/>
      <c r="AC2" s="106"/>
    </row>
    <row r="3" spans="2:29" ht="3.75" customHeight="1">
      <c r="D3" s="3"/>
      <c r="E3" s="2"/>
      <c r="F3" s="2"/>
      <c r="G3" s="2"/>
      <c r="H3" s="2"/>
      <c r="I3" s="2"/>
      <c r="J3" s="2"/>
      <c r="K3" s="2"/>
      <c r="L3" s="2"/>
      <c r="M3" s="2"/>
      <c r="N3" s="2"/>
      <c r="O3" s="2"/>
      <c r="P3" s="2"/>
      <c r="Q3" s="2"/>
      <c r="R3" s="2"/>
      <c r="S3" s="2"/>
      <c r="T3" s="2"/>
      <c r="U3" s="2"/>
      <c r="V3" s="2"/>
      <c r="W3" s="2"/>
      <c r="X3" s="2"/>
      <c r="Y3" s="2"/>
      <c r="Z3" s="2"/>
      <c r="AA3" s="2"/>
      <c r="AB3" s="2"/>
    </row>
    <row r="4" spans="2:29" ht="15" customHeight="1">
      <c r="B4" s="198"/>
      <c r="C4" s="198"/>
      <c r="D4" s="198"/>
      <c r="E4" s="198"/>
      <c r="F4" s="198"/>
      <c r="G4" s="198"/>
      <c r="H4" s="198"/>
      <c r="I4" s="198"/>
      <c r="J4" s="198"/>
      <c r="K4" s="198"/>
      <c r="L4" s="198"/>
      <c r="M4" s="198"/>
      <c r="N4" s="198"/>
      <c r="O4" s="198"/>
      <c r="P4" s="198"/>
      <c r="Q4" s="198"/>
      <c r="R4" s="198"/>
      <c r="S4" s="198"/>
      <c r="T4" s="198"/>
      <c r="U4" s="198"/>
      <c r="V4" s="198"/>
      <c r="W4" s="198"/>
      <c r="X4" s="198"/>
      <c r="Y4" s="198"/>
      <c r="Z4" s="198"/>
      <c r="AA4" s="198"/>
      <c r="AB4" s="198"/>
      <c r="AC4" s="198"/>
    </row>
    <row r="5" spans="2:29" ht="15" customHeight="1">
      <c r="B5" s="198"/>
      <c r="C5" s="198" t="s">
        <v>2</v>
      </c>
      <c r="D5" s="198"/>
      <c r="E5" s="198"/>
      <c r="F5" s="198"/>
      <c r="G5" s="198"/>
      <c r="H5" s="198"/>
      <c r="I5" s="198"/>
      <c r="J5" s="198"/>
      <c r="K5" s="198"/>
      <c r="L5" s="198"/>
      <c r="M5" s="198"/>
      <c r="N5" s="198"/>
      <c r="O5" s="198"/>
      <c r="P5" s="198"/>
      <c r="Q5" s="198"/>
      <c r="R5" s="198"/>
      <c r="S5" s="198"/>
      <c r="T5" s="198"/>
      <c r="U5" s="198"/>
      <c r="V5" s="198"/>
      <c r="W5" s="198"/>
      <c r="X5" s="198"/>
      <c r="Y5" s="198"/>
      <c r="Z5" s="198"/>
      <c r="AA5" s="198"/>
      <c r="AB5" s="198"/>
      <c r="AC5" s="198"/>
    </row>
    <row r="6" spans="2:29" ht="15" customHeight="1">
      <c r="B6" s="198"/>
      <c r="E6" s="2"/>
      <c r="F6" s="2"/>
      <c r="G6" s="4"/>
      <c r="H6" s="4"/>
      <c r="I6" s="4"/>
      <c r="J6" s="4"/>
      <c r="K6" s="4"/>
      <c r="L6" s="4"/>
      <c r="M6" s="2"/>
      <c r="N6" s="2"/>
      <c r="O6" s="2"/>
      <c r="P6" s="2"/>
      <c r="Q6" s="2"/>
      <c r="R6" s="2"/>
      <c r="S6" s="2"/>
      <c r="T6" s="2"/>
      <c r="U6" s="2"/>
      <c r="V6" s="2"/>
      <c r="W6" s="2"/>
      <c r="X6" s="2"/>
      <c r="Y6" s="2"/>
      <c r="Z6" s="2"/>
      <c r="AA6" s="2"/>
      <c r="AB6" s="2"/>
      <c r="AC6" s="198"/>
    </row>
    <row r="7" spans="2:29" ht="15" customHeight="1">
      <c r="B7" s="198"/>
      <c r="D7" s="5" t="s">
        <v>3</v>
      </c>
      <c r="E7" s="2"/>
      <c r="F7" s="2"/>
      <c r="G7" s="199" t="s">
        <v>4</v>
      </c>
      <c r="H7" s="7" t="s">
        <v>5</v>
      </c>
      <c r="I7" s="7" t="s">
        <v>6</v>
      </c>
      <c r="J7" s="7" t="s">
        <v>7</v>
      </c>
      <c r="K7" s="7" t="s">
        <v>8</v>
      </c>
      <c r="L7" s="7" t="s">
        <v>9</v>
      </c>
      <c r="M7" s="7" t="s">
        <v>10</v>
      </c>
      <c r="N7" s="7" t="s">
        <v>11</v>
      </c>
      <c r="O7" s="7" t="s">
        <v>12</v>
      </c>
      <c r="P7" s="7" t="s">
        <v>13</v>
      </c>
      <c r="Q7" s="7" t="s">
        <v>14</v>
      </c>
      <c r="R7" s="7" t="s">
        <v>15</v>
      </c>
      <c r="S7" s="7" t="s">
        <v>16</v>
      </c>
      <c r="T7" s="7" t="s">
        <v>17</v>
      </c>
      <c r="U7" s="7" t="s">
        <v>18</v>
      </c>
      <c r="V7" s="7" t="s">
        <v>19</v>
      </c>
      <c r="W7" s="2"/>
      <c r="X7" s="7" t="s">
        <v>20</v>
      </c>
      <c r="Y7" s="2"/>
      <c r="Z7" s="2"/>
      <c r="AA7" s="2"/>
      <c r="AB7" s="2"/>
      <c r="AC7" s="198"/>
    </row>
    <row r="8" spans="2:29" ht="15" customHeight="1">
      <c r="B8" s="198"/>
      <c r="D8" s="2" t="s">
        <v>21</v>
      </c>
      <c r="E8" s="2"/>
      <c r="F8" s="2"/>
      <c r="G8" s="201">
        <f>Assumptions!H69/10^6</f>
        <v>295.48328893906341</v>
      </c>
      <c r="H8" s="8">
        <f>Assumptions!I69/10^6</f>
        <v>354.57994672687613</v>
      </c>
      <c r="I8" s="8">
        <f>Assumptions!J69/10^6</f>
        <v>433.16129010581278</v>
      </c>
      <c r="J8" s="8">
        <f>Assumptions!K69/10^6</f>
        <v>481.22159552174514</v>
      </c>
      <c r="K8" s="8">
        <f>Assumptions!L69/10^6</f>
        <v>511.9142108312389</v>
      </c>
      <c r="L8" s="8">
        <f>Assumptions!M69/10^6</f>
        <v>539.66402899452146</v>
      </c>
      <c r="M8" s="8">
        <f>Assumptions!N69/10^6</f>
        <v>552.07630166139541</v>
      </c>
      <c r="N8" s="8">
        <f>Assumptions!O69/10^6</f>
        <v>566.32137692696051</v>
      </c>
      <c r="O8" s="8">
        <f>Assumptions!P69/10^6</f>
        <v>577.7638599013984</v>
      </c>
      <c r="P8" s="8">
        <f>Assumptions!Q69/10^6</f>
        <v>591.05242867913057</v>
      </c>
      <c r="Q8" s="8">
        <f>Assumptions!R69/10^6</f>
        <v>604.6466345387505</v>
      </c>
      <c r="R8" s="8">
        <f>Assumptions!S69/10^6</f>
        <v>620.24816786331985</v>
      </c>
      <c r="S8" s="8">
        <f>Assumptions!T69/10^6</f>
        <v>632.78023779720399</v>
      </c>
      <c r="T8" s="8">
        <f>Assumptions!U69/10^6</f>
        <v>666.49735751341166</v>
      </c>
      <c r="U8" s="8">
        <f>Assumptions!V69/10^6</f>
        <v>681.8267967362201</v>
      </c>
      <c r="V8" s="8">
        <f>Assumptions!W69/10^6</f>
        <v>699.12789895606886</v>
      </c>
      <c r="W8" s="2"/>
      <c r="X8" s="8">
        <f t="shared" ref="X8:X27" si="0">SUM(G8:Q8)</f>
        <v>5507.8849628268936</v>
      </c>
      <c r="Y8" s="2"/>
      <c r="Z8" s="9">
        <f>((Q8/G8)^(1/10))-1</f>
        <v>7.422899776774039E-2</v>
      </c>
      <c r="AA8" s="10" t="s">
        <v>22</v>
      </c>
      <c r="AB8" s="2"/>
      <c r="AC8" s="198"/>
    </row>
    <row r="9" spans="2:29" ht="15" customHeight="1">
      <c r="B9" s="198"/>
      <c r="D9" s="2" t="s">
        <v>23</v>
      </c>
      <c r="E9" s="2"/>
      <c r="F9" s="2"/>
      <c r="G9" s="201">
        <f>Assumptions!H198/10^6</f>
        <v>-67.769839133379989</v>
      </c>
      <c r="H9" s="8">
        <f>Assumptions!I198/10^6</f>
        <v>-71.237225693715985</v>
      </c>
      <c r="I9" s="8">
        <f>Assumptions!J198/10^6</f>
        <v>-80.543864932627514</v>
      </c>
      <c r="J9" s="8">
        <f>Assumptions!K198/10^6</f>
        <v>-86.57779374940705</v>
      </c>
      <c r="K9" s="8">
        <f>Assumptions!L198/10^6</f>
        <v>-90.060989868804711</v>
      </c>
      <c r="L9" s="8">
        <f>Assumptions!M198/10^6</f>
        <v>-93.912951841352367</v>
      </c>
      <c r="M9" s="8">
        <f>Assumptions!N198/10^6</f>
        <v>-96.145682876635718</v>
      </c>
      <c r="N9" s="8">
        <f>Assumptions!O198/10^6</f>
        <v>-98.596580461855837</v>
      </c>
      <c r="O9" s="8">
        <f>Assumptions!P198/10^6</f>
        <v>-100.77192676884613</v>
      </c>
      <c r="P9" s="8">
        <f>Assumptions!Q198/10^6</f>
        <v>-103.1680067242801</v>
      </c>
      <c r="Q9" s="8">
        <f>Assumptions!R198/10^6</f>
        <v>-105.62115465968286</v>
      </c>
      <c r="R9" s="8">
        <f>Assumptions!S198/10^6</f>
        <v>-108.31343884875777</v>
      </c>
      <c r="S9" s="8">
        <f>Assumptions!T198/10^6</f>
        <v>-110.70413307738167</v>
      </c>
      <c r="T9" s="8">
        <f>Assumptions!U198/10^6</f>
        <v>-115.38747298608318</v>
      </c>
      <c r="U9" s="8">
        <f>Assumptions!V198/10^6</f>
        <v>-118.13000313685677</v>
      </c>
      <c r="V9" s="8">
        <f>Assumptions!W198/10^6</f>
        <v>-121.05888828199497</v>
      </c>
      <c r="W9" s="2"/>
      <c r="X9" s="8">
        <f t="shared" si="0"/>
        <v>-994.40601671058823</v>
      </c>
      <c r="Y9" s="2"/>
      <c r="Z9" s="11"/>
      <c r="AA9" s="12"/>
      <c r="AB9" s="2"/>
      <c r="AC9" s="198"/>
    </row>
    <row r="10" spans="2:29" ht="15" customHeight="1" thickBot="1">
      <c r="B10" s="198"/>
      <c r="D10" s="13" t="s">
        <v>24</v>
      </c>
      <c r="E10" s="2"/>
      <c r="F10" s="2"/>
      <c r="G10" s="204">
        <f>SUM(G8:G9)</f>
        <v>227.71344980568341</v>
      </c>
      <c r="H10" s="14">
        <f>SUM(H8:H9)</f>
        <v>283.34272103316016</v>
      </c>
      <c r="I10" s="14">
        <f t="shared" ref="I10:V10" si="1">SUM(I8:I9)</f>
        <v>352.61742517318527</v>
      </c>
      <c r="J10" s="14">
        <f t="shared" si="1"/>
        <v>394.64380177233807</v>
      </c>
      <c r="K10" s="14">
        <f t="shared" si="1"/>
        <v>421.85322096243419</v>
      </c>
      <c r="L10" s="14">
        <f t="shared" si="1"/>
        <v>445.75107715316909</v>
      </c>
      <c r="M10" s="14">
        <f t="shared" si="1"/>
        <v>455.9306187847597</v>
      </c>
      <c r="N10" s="14">
        <f t="shared" si="1"/>
        <v>467.72479646510465</v>
      </c>
      <c r="O10" s="14">
        <f t="shared" si="1"/>
        <v>476.99193313255228</v>
      </c>
      <c r="P10" s="14">
        <f t="shared" si="1"/>
        <v>487.8844219548505</v>
      </c>
      <c r="Q10" s="14">
        <f t="shared" si="1"/>
        <v>499.02547987906763</v>
      </c>
      <c r="R10" s="14">
        <f t="shared" si="1"/>
        <v>511.93472901456209</v>
      </c>
      <c r="S10" s="14">
        <f t="shared" si="1"/>
        <v>522.0761047198223</v>
      </c>
      <c r="T10" s="14">
        <f t="shared" si="1"/>
        <v>551.10988452732852</v>
      </c>
      <c r="U10" s="14">
        <f t="shared" si="1"/>
        <v>563.69679359936333</v>
      </c>
      <c r="V10" s="14">
        <f t="shared" si="1"/>
        <v>578.06901067407387</v>
      </c>
      <c r="W10" s="2"/>
      <c r="X10" s="14">
        <f t="shared" si="0"/>
        <v>4513.4789461163055</v>
      </c>
      <c r="Y10" s="2"/>
      <c r="Z10" s="11"/>
      <c r="AA10" s="12"/>
      <c r="AB10" s="2"/>
      <c r="AC10" s="198"/>
    </row>
    <row r="11" spans="2:29" ht="15" customHeight="1">
      <c r="B11" s="198"/>
      <c r="D11" s="2" t="s">
        <v>25</v>
      </c>
      <c r="E11" s="2"/>
      <c r="F11" s="2"/>
      <c r="G11" s="201">
        <f>Assumptions!H396/10^6</f>
        <v>-59.391188062581655</v>
      </c>
      <c r="H11" s="8">
        <f>Assumptions!I396/10^6</f>
        <v>-65.544713966428688</v>
      </c>
      <c r="I11" s="8">
        <f>Assumptions!J396/10^6</f>
        <v>-74.922426999525584</v>
      </c>
      <c r="J11" s="8">
        <f>Assumptions!K396/10^6</f>
        <v>-80.928439589150742</v>
      </c>
      <c r="K11" s="8">
        <f>Assumptions!L396/10^6</f>
        <v>-85.023281597402899</v>
      </c>
      <c r="L11" s="8">
        <f>Assumptions!M396/10^6</f>
        <v>-88.808644203882807</v>
      </c>
      <c r="M11" s="8">
        <f>Assumptions!N396/10^6</f>
        <v>-90.909046760186541</v>
      </c>
      <c r="N11" s="8">
        <f>Assumptions!O396/10^6</f>
        <v>-93.230967886492351</v>
      </c>
      <c r="O11" s="8">
        <f>Assumptions!P396/10^6</f>
        <v>-95.26029540708987</v>
      </c>
      <c r="P11" s="8">
        <f>Assumptions!Q396/10^6</f>
        <v>-97.513530506733659</v>
      </c>
      <c r="Q11" s="8">
        <f>Assumptions!R396/10^6</f>
        <v>-99.820146221301286</v>
      </c>
      <c r="R11" s="8">
        <f>Assumptions!S396/10^6</f>
        <v>-102.36952932298811</v>
      </c>
      <c r="S11" s="8">
        <f>Assumptions!T396/10^6</f>
        <v>-104.59861623833864</v>
      </c>
      <c r="T11" s="8">
        <f>Assumptions!U396/10^6</f>
        <v>-109.20035165828564</v>
      </c>
      <c r="U11" s="8">
        <f>Assumptions!V396/10^6</f>
        <v>-111.78238799025935</v>
      </c>
      <c r="V11" s="8">
        <f>Assumptions!W396/10^6</f>
        <v>-114.60530260054171</v>
      </c>
      <c r="W11" s="2"/>
      <c r="X11" s="8">
        <f t="shared" si="0"/>
        <v>-931.35268120077626</v>
      </c>
      <c r="Y11" s="2"/>
      <c r="Z11" s="11"/>
      <c r="AA11" s="12"/>
      <c r="AB11" s="2"/>
      <c r="AC11" s="198"/>
    </row>
    <row r="12" spans="2:29" ht="15" customHeight="1" thickBot="1">
      <c r="B12" s="198"/>
      <c r="D12" s="13" t="s">
        <v>26</v>
      </c>
      <c r="E12" s="2"/>
      <c r="F12" s="2"/>
      <c r="G12" s="204">
        <f>SUM(G10:G11)</f>
        <v>168.32226174310176</v>
      </c>
      <c r="H12" s="15">
        <f>SUM(H10:H11)</f>
        <v>217.79800706673149</v>
      </c>
      <c r="I12" s="15">
        <f>SUM(I10:I11)</f>
        <v>277.69499817365966</v>
      </c>
      <c r="J12" s="15">
        <f>SUM(J10:J11)</f>
        <v>313.71536218318732</v>
      </c>
      <c r="K12" s="15">
        <f>SUM(K10:K11)</f>
        <v>336.82993936503129</v>
      </c>
      <c r="L12" s="15">
        <f t="shared" ref="L12:V12" si="2">SUM(L10:L11)</f>
        <v>356.94243294928629</v>
      </c>
      <c r="M12" s="15">
        <f t="shared" si="2"/>
        <v>365.02157202457317</v>
      </c>
      <c r="N12" s="15">
        <f t="shared" si="2"/>
        <v>374.49382857861229</v>
      </c>
      <c r="O12" s="15">
        <f t="shared" si="2"/>
        <v>381.73163772546241</v>
      </c>
      <c r="P12" s="15">
        <f t="shared" si="2"/>
        <v>390.37089144811682</v>
      </c>
      <c r="Q12" s="15">
        <f t="shared" si="2"/>
        <v>399.20533365776635</v>
      </c>
      <c r="R12" s="15">
        <f t="shared" si="2"/>
        <v>409.56519969157398</v>
      </c>
      <c r="S12" s="15">
        <f t="shared" si="2"/>
        <v>417.47748848148365</v>
      </c>
      <c r="T12" s="15">
        <f t="shared" si="2"/>
        <v>441.90953286904289</v>
      </c>
      <c r="U12" s="15">
        <f t="shared" si="2"/>
        <v>451.91440560910399</v>
      </c>
      <c r="V12" s="15">
        <f t="shared" si="2"/>
        <v>463.46370807353219</v>
      </c>
      <c r="W12" s="2"/>
      <c r="X12" s="15">
        <f t="shared" si="0"/>
        <v>3582.1262649155292</v>
      </c>
      <c r="Y12" s="2"/>
      <c r="Z12" s="2"/>
      <c r="AA12" s="2"/>
      <c r="AB12" s="2"/>
      <c r="AC12" s="198"/>
    </row>
    <row r="13" spans="2:29" ht="15" customHeight="1">
      <c r="B13" s="198"/>
      <c r="D13" s="2" t="s">
        <v>27</v>
      </c>
      <c r="E13" s="2"/>
      <c r="F13" s="2"/>
      <c r="G13" s="201">
        <f>Assumptions!H407/10^6</f>
        <v>3.9166666400000008</v>
      </c>
      <c r="H13" s="16">
        <f>Assumptions!I407/10^6</f>
        <v>3.8587500000000001</v>
      </c>
      <c r="I13" s="16">
        <f>Assumptions!J407/10^6</f>
        <v>4.0516874999999999</v>
      </c>
      <c r="J13" s="16">
        <f>Assumptions!K407/10^6</f>
        <v>4.2542718749999997</v>
      </c>
      <c r="K13" s="16">
        <f>Assumptions!L407/10^6</f>
        <v>4.4669854687499999</v>
      </c>
      <c r="L13" s="16">
        <f>Assumptions!M407/10^6</f>
        <v>4.6903347421874999</v>
      </c>
      <c r="M13" s="16">
        <f>Assumptions!N407/10^6</f>
        <v>4.9248514792968754</v>
      </c>
      <c r="N13" s="16">
        <f>Assumptions!O407/10^6</f>
        <v>5.1710940532617187</v>
      </c>
      <c r="O13" s="16">
        <f>Assumptions!P407/10^6</f>
        <v>5.4296487559248048</v>
      </c>
      <c r="P13" s="16">
        <f>Assumptions!Q407/10^6</f>
        <v>5.7011311937210456</v>
      </c>
      <c r="Q13" s="16">
        <f>Assumptions!R407/10^6</f>
        <v>5.9861877534070986</v>
      </c>
      <c r="R13" s="16">
        <f>Assumptions!S407/10^6</f>
        <v>6.2854971410774532</v>
      </c>
      <c r="S13" s="16">
        <f>Assumptions!T407/10^6</f>
        <v>6.5997719981313265</v>
      </c>
      <c r="T13" s="16">
        <f>Assumptions!U407/10^6</f>
        <v>6.9297605980378929</v>
      </c>
      <c r="U13" s="16">
        <f>Assumptions!V407/10^6</f>
        <v>7.276248627939788</v>
      </c>
      <c r="V13" s="16">
        <f>Assumptions!W407/10^6</f>
        <v>7.6400610593367775</v>
      </c>
      <c r="W13" s="2"/>
      <c r="X13" s="16">
        <f t="shared" si="0"/>
        <v>52.45160946154904</v>
      </c>
      <c r="Y13" s="2"/>
      <c r="Z13" s="9">
        <f>((Q13/G13)^(1/10))-1</f>
        <v>4.3334029279263442E-2</v>
      </c>
      <c r="AA13" s="10" t="s">
        <v>22</v>
      </c>
      <c r="AB13" s="2"/>
      <c r="AC13" s="198"/>
    </row>
    <row r="14" spans="2:29" ht="15" customHeight="1">
      <c r="B14" s="198"/>
      <c r="D14" s="2" t="s">
        <v>28</v>
      </c>
      <c r="E14" s="2"/>
      <c r="F14" s="2"/>
      <c r="G14" s="201">
        <f>-Assumptions!H469/10^6</f>
        <v>-22.848938396093708</v>
      </c>
      <c r="H14" s="8">
        <f>-Assumptions!I469/10^6</f>
        <v>-29.536931813535421</v>
      </c>
      <c r="I14" s="8">
        <f>-Assumptions!J469/10^6</f>
        <v>-36.18308850418471</v>
      </c>
      <c r="J14" s="8">
        <f>-Assumptions!K469/10^6</f>
        <v>-40.212417443541497</v>
      </c>
      <c r="K14" s="8">
        <f>-Assumptions!L469/10^6</f>
        <v>-42.992155299678195</v>
      </c>
      <c r="L14" s="8">
        <f>-Assumptions!M469/10^6</f>
        <v>-45.321597241394493</v>
      </c>
      <c r="M14" s="8">
        <f>-Assumptions!N469/10^6</f>
        <v>-46.294421070073753</v>
      </c>
      <c r="N14" s="8">
        <f>-Assumptions!O469/10^6</f>
        <v>-47.42290163481568</v>
      </c>
      <c r="O14" s="8">
        <f>-Assumptions!P469/10^6</f>
        <v>-48.307111380789522</v>
      </c>
      <c r="P14" s="8">
        <f>-Assumptions!Q469/10^6</f>
        <v>-49.347999810925806</v>
      </c>
      <c r="Q14" s="8">
        <f>-Assumptions!R469/10^6</f>
        <v>-50.412617814037667</v>
      </c>
      <c r="R14" s="8">
        <f>-Assumptions!S469/10^6</f>
        <v>-51.647693622014806</v>
      </c>
      <c r="S14" s="8">
        <f>-Assumptions!T469/10^6</f>
        <v>-52.615216873721174</v>
      </c>
      <c r="T14" s="8">
        <f>-Assumptions!U469/10^6</f>
        <v>-55.445634983330571</v>
      </c>
      <c r="U14" s="8">
        <f>-Assumptions!V469/10^6</f>
        <v>-56.64960110207155</v>
      </c>
      <c r="V14" s="8">
        <f>-Assumptions!W469/10^6</f>
        <v>-58.038481209842509</v>
      </c>
      <c r="W14" s="2"/>
      <c r="X14" s="8">
        <f t="shared" si="0"/>
        <v>-458.88018040907042</v>
      </c>
      <c r="Y14" s="2"/>
      <c r="Z14" s="12"/>
      <c r="AA14" s="12"/>
      <c r="AB14" s="2"/>
      <c r="AC14" s="198"/>
    </row>
    <row r="15" spans="2:29" ht="15" customHeight="1">
      <c r="B15" s="198"/>
      <c r="D15" s="2" t="s">
        <v>29</v>
      </c>
      <c r="E15" s="2"/>
      <c r="F15" s="2"/>
      <c r="G15" s="201">
        <f>-Assumptions!H482/10^6</f>
        <v>-5.9096657787812683</v>
      </c>
      <c r="H15" s="8">
        <f>-Assumptions!I482/10^6</f>
        <v>-10.637398401806283</v>
      </c>
      <c r="I15" s="8">
        <f>-Assumptions!J482/10^6</f>
        <v>-12.994838703174382</v>
      </c>
      <c r="J15" s="8">
        <f>-Assumptions!K482/10^6</f>
        <v>-14.436647865652356</v>
      </c>
      <c r="K15" s="8">
        <f>-Assumptions!L482/10^6</f>
        <v>-15.357426324937169</v>
      </c>
      <c r="L15" s="8">
        <f>-Assumptions!M482/10^6</f>
        <v>-16.189920869835646</v>
      </c>
      <c r="M15" s="8">
        <f>-Assumptions!N482/10^6</f>
        <v>-16.562289049841866</v>
      </c>
      <c r="N15" s="8">
        <f>-Assumptions!O482/10^6</f>
        <v>-16.989641307808821</v>
      </c>
      <c r="O15" s="8">
        <f>-Assumptions!P482/10^6</f>
        <v>-17.332915797041952</v>
      </c>
      <c r="P15" s="8">
        <f>-Assumptions!Q482/10^6</f>
        <v>-17.73157286037392</v>
      </c>
      <c r="Q15" s="8">
        <f>-Assumptions!R482/10^6</f>
        <v>-18.139399036162519</v>
      </c>
      <c r="R15" s="8">
        <f>-Assumptions!S482/10^6</f>
        <v>-18.607445035899598</v>
      </c>
      <c r="S15" s="8">
        <f>-Assumptions!T482/10^6</f>
        <v>-18.983407133916128</v>
      </c>
      <c r="T15" s="8">
        <f>-Assumptions!U482/10^6</f>
        <v>-19.994920725402359</v>
      </c>
      <c r="U15" s="8">
        <f>-Assumptions!V482/10^6</f>
        <v>-20.454803902086613</v>
      </c>
      <c r="V15" s="8">
        <f>-Assumptions!W482/10^6</f>
        <v>-20.973836968682068</v>
      </c>
      <c r="W15" s="2"/>
      <c r="X15" s="8">
        <f t="shared" si="0"/>
        <v>-162.28171599541619</v>
      </c>
      <c r="Y15" s="2"/>
      <c r="Z15" s="12"/>
      <c r="AA15" s="12"/>
      <c r="AB15" s="2"/>
      <c r="AC15" s="198"/>
    </row>
    <row r="16" spans="2:29" ht="15" customHeight="1">
      <c r="B16" s="198"/>
      <c r="D16" s="2" t="s">
        <v>30</v>
      </c>
      <c r="E16" s="2"/>
      <c r="F16" s="2"/>
      <c r="G16" s="201">
        <f>-Assumptions!H495/10^6</f>
        <v>-1.4039999999999999</v>
      </c>
      <c r="H16" s="16">
        <f>-Assumptions!I495/10^6</f>
        <v>-1.6848000000000001</v>
      </c>
      <c r="I16" s="16">
        <f>-Assumptions!J495/10^6</f>
        <v>-1.9425744</v>
      </c>
      <c r="J16" s="16">
        <f>-Assumptions!K495/10^6</f>
        <v>-2.1522112671870337</v>
      </c>
      <c r="K16" s="16">
        <f>-Assumptions!L495/10^6</f>
        <v>-2.2017121263323354</v>
      </c>
      <c r="L16" s="16">
        <f>-Assumptions!M495/10^6</f>
        <v>-2.252351505237979</v>
      </c>
      <c r="M16" s="16">
        <f>-Assumptions!N495/10^6</f>
        <v>-2.3041555898584525</v>
      </c>
      <c r="N16" s="16">
        <f>-Assumptions!O495/10^6</f>
        <v>-2.3571511684251965</v>
      </c>
      <c r="O16" s="16">
        <f>-Assumptions!P495/10^6</f>
        <v>-2.4113656452989756</v>
      </c>
      <c r="P16" s="16">
        <f>-Assumptions!Q495/10^6</f>
        <v>-2.4668270551408513</v>
      </c>
      <c r="Q16" s="16">
        <f>-Assumptions!R495/10^6</f>
        <v>-2.5235640774090911</v>
      </c>
      <c r="R16" s="16">
        <f>-Assumptions!S495/10^6</f>
        <v>-2.5816060511895</v>
      </c>
      <c r="S16" s="16">
        <f>-Assumptions!T495/10^6</f>
        <v>-2.640982990366858</v>
      </c>
      <c r="T16" s="16">
        <f>-Assumptions!U495/10^6</f>
        <v>-2.7017255991452958</v>
      </c>
      <c r="U16" s="16">
        <f>-Assumptions!V495/10^6</f>
        <v>-2.7638652879256371</v>
      </c>
      <c r="V16" s="16">
        <f>-Assumptions!W495/10^6</f>
        <v>-2.819708959521841</v>
      </c>
      <c r="W16" s="2"/>
      <c r="X16" s="16">
        <f t="shared" si="0"/>
        <v>-23.700712834889913</v>
      </c>
      <c r="Y16" s="2"/>
      <c r="Z16" s="12"/>
      <c r="AA16" s="12"/>
      <c r="AB16" s="2"/>
      <c r="AC16" s="198"/>
    </row>
    <row r="17" spans="2:67" ht="15" customHeight="1" thickBot="1">
      <c r="B17" s="198"/>
      <c r="D17" s="13" t="s">
        <v>31</v>
      </c>
      <c r="E17" s="2"/>
      <c r="F17" s="2"/>
      <c r="G17" s="202">
        <f>SUM(G12:G16)</f>
        <v>142.07632420822679</v>
      </c>
      <c r="H17" s="17">
        <f>SUM(H12:H16)</f>
        <v>179.79762685138977</v>
      </c>
      <c r="I17" s="17">
        <f>SUM(I12:I16)</f>
        <v>230.62618406630057</v>
      </c>
      <c r="J17" s="17">
        <f t="shared" ref="J17:V17" si="3">SUM(J12:J16)</f>
        <v>261.16835748180642</v>
      </c>
      <c r="K17" s="17">
        <f t="shared" si="3"/>
        <v>280.7456310828336</v>
      </c>
      <c r="L17" s="17">
        <f t="shared" si="3"/>
        <v>297.86889807500563</v>
      </c>
      <c r="M17" s="17">
        <f t="shared" si="3"/>
        <v>304.78555779409595</v>
      </c>
      <c r="N17" s="17">
        <f t="shared" si="3"/>
        <v>312.89522852082428</v>
      </c>
      <c r="O17" s="17">
        <f t="shared" si="3"/>
        <v>319.10989365825674</v>
      </c>
      <c r="P17" s="17">
        <f t="shared" si="3"/>
        <v>326.52562291539726</v>
      </c>
      <c r="Q17" s="17">
        <f t="shared" si="3"/>
        <v>334.11594048356415</v>
      </c>
      <c r="R17" s="17">
        <f t="shared" si="3"/>
        <v>343.01395212354748</v>
      </c>
      <c r="S17" s="17">
        <f t="shared" si="3"/>
        <v>349.8376534816108</v>
      </c>
      <c r="T17" s="17">
        <f t="shared" si="3"/>
        <v>370.69701215920253</v>
      </c>
      <c r="U17" s="17">
        <f t="shared" si="3"/>
        <v>379.32238394496</v>
      </c>
      <c r="V17" s="17">
        <f t="shared" si="3"/>
        <v>389.27174199482255</v>
      </c>
      <c r="W17" s="2"/>
      <c r="X17" s="17">
        <f t="shared" si="0"/>
        <v>2989.715265137701</v>
      </c>
      <c r="Y17" s="2"/>
      <c r="Z17" s="9">
        <f>((Q17/G17)^(1/10))-1</f>
        <v>8.9275030398305422E-2</v>
      </c>
      <c r="AA17" s="10" t="s">
        <v>22</v>
      </c>
      <c r="AB17" s="2"/>
      <c r="AC17" s="198"/>
    </row>
    <row r="18" spans="2:67" ht="15" customHeight="1">
      <c r="B18" s="198"/>
      <c r="D18" s="2" t="s">
        <v>32</v>
      </c>
      <c r="E18" s="2"/>
      <c r="F18" s="2"/>
      <c r="G18" s="201">
        <f>-Assumptions!H659/10^6</f>
        <v>-86.487326013834718</v>
      </c>
      <c r="H18" s="16">
        <f>-Assumptions!I659/10^6</f>
        <v>-97.137296399124679</v>
      </c>
      <c r="I18" s="16">
        <f>-Assumptions!J659/10^6</f>
        <v>-98.100821972520706</v>
      </c>
      <c r="J18" s="16">
        <f>-Assumptions!K659/10^6</f>
        <v>-99.078847816419696</v>
      </c>
      <c r="K18" s="16">
        <f>-Assumptions!L659/10^6</f>
        <v>-100.07164664895541</v>
      </c>
      <c r="L18" s="16">
        <f>-Assumptions!M659/10^6</f>
        <v>-101.07949675310579</v>
      </c>
      <c r="M18" s="16">
        <f>-Assumptions!N659/10^6</f>
        <v>-102.10268209444973</v>
      </c>
      <c r="N18" s="16">
        <f>-Assumptions!O659/10^6</f>
        <v>-103.14149244148858</v>
      </c>
      <c r="O18" s="16">
        <f>-Assumptions!P659/10^6</f>
        <v>-104.19622348858999</v>
      </c>
      <c r="P18" s="16">
        <f>-Assumptions!Q659/10^6</f>
        <v>-105.26717698161303</v>
      </c>
      <c r="Q18" s="16">
        <f>-Assumptions!R659/10^6</f>
        <v>-106.35466084627497</v>
      </c>
      <c r="R18" s="16">
        <f>-Assumptions!S659/10^6</f>
        <v>-107.45898931932165</v>
      </c>
      <c r="S18" s="16">
        <f>-Assumptions!T659/10^6</f>
        <v>-108.58048308256451</v>
      </c>
      <c r="T18" s="16">
        <f>-Assumptions!U659/10^6</f>
        <v>-109.71946939984907</v>
      </c>
      <c r="U18" s="16">
        <f>-Assumptions!V659/10^6</f>
        <v>-110.87628225702116</v>
      </c>
      <c r="V18" s="16">
        <f>-Assumptions!W659/10^6</f>
        <v>-112.05126250495849</v>
      </c>
      <c r="W18" s="2"/>
      <c r="X18" s="16">
        <f t="shared" si="0"/>
        <v>-1103.0176714563772</v>
      </c>
      <c r="Y18" s="2"/>
      <c r="Z18" s="18"/>
      <c r="AA18" s="18"/>
      <c r="AB18" s="2"/>
      <c r="AC18" s="198"/>
    </row>
    <row r="19" spans="2:67" ht="15" customHeight="1">
      <c r="B19" s="198"/>
      <c r="D19" s="2" t="s">
        <v>33</v>
      </c>
      <c r="E19" s="2"/>
      <c r="F19" s="2"/>
      <c r="G19" s="201">
        <v>0</v>
      </c>
      <c r="H19" s="8">
        <v>0</v>
      </c>
      <c r="I19" s="8">
        <v>0</v>
      </c>
      <c r="J19" s="8">
        <v>0</v>
      </c>
      <c r="K19" s="8">
        <v>0</v>
      </c>
      <c r="L19" s="8">
        <v>0</v>
      </c>
      <c r="M19" s="8">
        <v>0</v>
      </c>
      <c r="N19" s="8">
        <v>0</v>
      </c>
      <c r="O19" s="8">
        <v>0</v>
      </c>
      <c r="P19" s="8">
        <v>0</v>
      </c>
      <c r="Q19" s="8">
        <v>0</v>
      </c>
      <c r="R19" s="8">
        <v>0</v>
      </c>
      <c r="S19" s="8">
        <v>0</v>
      </c>
      <c r="T19" s="8">
        <v>0</v>
      </c>
      <c r="U19" s="8">
        <v>0</v>
      </c>
      <c r="V19" s="8">
        <v>0</v>
      </c>
      <c r="W19" s="2"/>
      <c r="X19" s="8">
        <f t="shared" si="0"/>
        <v>0</v>
      </c>
      <c r="Y19" s="2"/>
      <c r="Z19" s="18"/>
      <c r="AA19" s="18"/>
      <c r="AB19" s="2"/>
      <c r="AC19" s="198"/>
    </row>
    <row r="20" spans="2:67" ht="15" customHeight="1" outlineLevel="1">
      <c r="B20" s="198"/>
      <c r="D20" s="2" t="s">
        <v>34</v>
      </c>
      <c r="E20" s="2"/>
      <c r="F20" s="2"/>
      <c r="G20" s="201">
        <v>0</v>
      </c>
      <c r="H20" s="8">
        <v>0</v>
      </c>
      <c r="I20" s="8">
        <v>0</v>
      </c>
      <c r="J20" s="8">
        <v>0</v>
      </c>
      <c r="K20" s="8">
        <v>0</v>
      </c>
      <c r="L20" s="8">
        <v>0</v>
      </c>
      <c r="M20" s="8">
        <v>0</v>
      </c>
      <c r="N20" s="8">
        <v>0</v>
      </c>
      <c r="O20" s="8">
        <v>0</v>
      </c>
      <c r="P20" s="8">
        <v>0</v>
      </c>
      <c r="Q20" s="8">
        <v>0</v>
      </c>
      <c r="R20" s="8">
        <v>0</v>
      </c>
      <c r="S20" s="8">
        <v>0</v>
      </c>
      <c r="T20" s="8">
        <v>0</v>
      </c>
      <c r="U20" s="8">
        <v>0</v>
      </c>
      <c r="V20" s="8">
        <v>0</v>
      </c>
      <c r="W20" s="2"/>
      <c r="X20" s="8">
        <f t="shared" si="0"/>
        <v>0</v>
      </c>
      <c r="Y20" s="2"/>
      <c r="Z20" s="18"/>
      <c r="AA20" s="18"/>
      <c r="AB20" s="2"/>
      <c r="AC20" s="198"/>
    </row>
    <row r="21" spans="2:67" ht="15" customHeight="1" thickBot="1">
      <c r="B21" s="198"/>
      <c r="D21" s="13" t="s">
        <v>35</v>
      </c>
      <c r="E21" s="2"/>
      <c r="F21" s="2"/>
      <c r="G21" s="202">
        <f>SUM(G17:G20)</f>
        <v>55.588998194392076</v>
      </c>
      <c r="H21" s="17">
        <f>SUM(H17:H20)</f>
        <v>82.660330452265086</v>
      </c>
      <c r="I21" s="17">
        <f>SUM(I17:I20)</f>
        <v>132.52536209377985</v>
      </c>
      <c r="J21" s="17">
        <f t="shared" ref="J21:V21" si="4">SUM(J17:J20)</f>
        <v>162.08950966538674</v>
      </c>
      <c r="K21" s="17">
        <f t="shared" si="4"/>
        <v>180.67398443387819</v>
      </c>
      <c r="L21" s="17">
        <f t="shared" si="4"/>
        <v>196.78940132189985</v>
      </c>
      <c r="M21" s="17">
        <f t="shared" si="4"/>
        <v>202.68287569964622</v>
      </c>
      <c r="N21" s="17">
        <f t="shared" si="4"/>
        <v>209.75373607933568</v>
      </c>
      <c r="O21" s="17">
        <f t="shared" si="4"/>
        <v>214.91367016966674</v>
      </c>
      <c r="P21" s="17">
        <f t="shared" si="4"/>
        <v>221.25844593378423</v>
      </c>
      <c r="Q21" s="17">
        <f t="shared" si="4"/>
        <v>227.76127963728919</v>
      </c>
      <c r="R21" s="17">
        <f t="shared" si="4"/>
        <v>235.55496280422585</v>
      </c>
      <c r="S21" s="17">
        <f t="shared" si="4"/>
        <v>241.25717039904629</v>
      </c>
      <c r="T21" s="17">
        <f t="shared" si="4"/>
        <v>260.97754275935347</v>
      </c>
      <c r="U21" s="17">
        <f t="shared" si="4"/>
        <v>268.44610168793884</v>
      </c>
      <c r="V21" s="17">
        <f t="shared" si="4"/>
        <v>277.22047948986403</v>
      </c>
      <c r="W21" s="2"/>
      <c r="X21" s="17">
        <f t="shared" si="0"/>
        <v>1886.6975936813237</v>
      </c>
      <c r="Y21" s="2"/>
      <c r="Z21" s="18"/>
      <c r="AA21" s="18"/>
      <c r="AB21" s="2"/>
      <c r="AC21" s="198"/>
    </row>
    <row r="22" spans="2:67" ht="15" customHeight="1" outlineLevel="1">
      <c r="B22" s="198"/>
      <c r="D22" s="2" t="s">
        <v>36</v>
      </c>
      <c r="E22" s="2"/>
      <c r="F22" s="2"/>
      <c r="G22" s="201">
        <v>0</v>
      </c>
      <c r="H22" s="8">
        <v>0</v>
      </c>
      <c r="I22" s="8">
        <v>0</v>
      </c>
      <c r="J22" s="8">
        <v>0</v>
      </c>
      <c r="K22" s="8">
        <v>0</v>
      </c>
      <c r="L22" s="8">
        <v>0</v>
      </c>
      <c r="M22" s="8">
        <v>0</v>
      </c>
      <c r="N22" s="8">
        <v>0</v>
      </c>
      <c r="O22" s="8">
        <v>0</v>
      </c>
      <c r="P22" s="8">
        <v>0</v>
      </c>
      <c r="Q22" s="8">
        <v>0</v>
      </c>
      <c r="R22" s="8">
        <v>0</v>
      </c>
      <c r="S22" s="8">
        <v>0</v>
      </c>
      <c r="T22" s="8">
        <v>0</v>
      </c>
      <c r="U22" s="8">
        <v>0</v>
      </c>
      <c r="V22" s="8">
        <v>0</v>
      </c>
      <c r="W22" s="2"/>
      <c r="X22" s="8">
        <f t="shared" si="0"/>
        <v>0</v>
      </c>
      <c r="Y22" s="2"/>
      <c r="Z22" s="18"/>
      <c r="AA22" s="18"/>
      <c r="AB22" s="2"/>
      <c r="AC22" s="198"/>
    </row>
    <row r="23" spans="2:67" ht="15" customHeight="1">
      <c r="B23" s="198"/>
      <c r="D23" s="2" t="s">
        <v>37</v>
      </c>
      <c r="E23" s="2"/>
      <c r="F23" s="2"/>
      <c r="G23" s="201">
        <v>0</v>
      </c>
      <c r="H23" s="8">
        <v>0</v>
      </c>
      <c r="I23" s="8">
        <v>0</v>
      </c>
      <c r="J23" s="8">
        <v>0</v>
      </c>
      <c r="K23" s="8">
        <v>0</v>
      </c>
      <c r="L23" s="8">
        <v>0</v>
      </c>
      <c r="M23" s="8">
        <v>0</v>
      </c>
      <c r="N23" s="8">
        <v>0</v>
      </c>
      <c r="O23" s="8">
        <v>0</v>
      </c>
      <c r="P23" s="8">
        <v>0</v>
      </c>
      <c r="Q23" s="8">
        <v>0</v>
      </c>
      <c r="R23" s="8">
        <v>0</v>
      </c>
      <c r="S23" s="8">
        <v>0</v>
      </c>
      <c r="T23" s="8">
        <v>0</v>
      </c>
      <c r="U23" s="8">
        <v>0</v>
      </c>
      <c r="V23" s="8">
        <v>0</v>
      </c>
      <c r="W23" s="2"/>
      <c r="X23" s="8">
        <f t="shared" si="0"/>
        <v>0</v>
      </c>
      <c r="Y23" s="2"/>
      <c r="Z23" s="18"/>
      <c r="AA23" s="18"/>
      <c r="AB23" s="2"/>
      <c r="AC23" s="198"/>
    </row>
    <row r="24" spans="2:67" ht="15" customHeight="1">
      <c r="B24" s="198"/>
      <c r="D24" s="2" t="s">
        <v>38</v>
      </c>
      <c r="E24" s="2"/>
      <c r="F24" s="2"/>
      <c r="G24" s="201">
        <f>-SUM(Assumptions!H730:H731)/10^6</f>
        <v>0</v>
      </c>
      <c r="H24" s="8">
        <f>-SUM(Assumptions!I730:I731)/10^6</f>
        <v>0</v>
      </c>
      <c r="I24" s="8">
        <f>-SUM(Assumptions!J730:J731)/10^6</f>
        <v>0</v>
      </c>
      <c r="J24" s="8">
        <f>-SUM(Assumptions!K730:K731)/10^6</f>
        <v>0</v>
      </c>
      <c r="K24" s="8">
        <f>-SUM(Assumptions!L730:L731)/10^6</f>
        <v>0</v>
      </c>
      <c r="L24" s="8">
        <f>-SUM(Assumptions!M730:M731)/10^6</f>
        <v>0</v>
      </c>
      <c r="M24" s="8">
        <f>-SUM(Assumptions!N730:N731)/10^6</f>
        <v>0</v>
      </c>
      <c r="N24" s="8">
        <f>-SUM(Assumptions!O730:O731)/10^6</f>
        <v>0</v>
      </c>
      <c r="O24" s="8">
        <f>-SUM(Assumptions!P730:P731)/10^6</f>
        <v>0</v>
      </c>
      <c r="P24" s="8">
        <f>-SUM(Assumptions!Q730:Q731)/10^6</f>
        <v>0</v>
      </c>
      <c r="Q24" s="8">
        <f>-SUM(Assumptions!R730:R731)/10^6</f>
        <v>0</v>
      </c>
      <c r="R24" s="8">
        <f>-SUM(Assumptions!S730:S731)/10^6</f>
        <v>0</v>
      </c>
      <c r="S24" s="8">
        <f>-SUM(Assumptions!T730:T731)/10^6</f>
        <v>0</v>
      </c>
      <c r="T24" s="8">
        <f>-SUM(Assumptions!U730:U731)/10^6</f>
        <v>0</v>
      </c>
      <c r="U24" s="8">
        <f>-SUM(Assumptions!V730:V731)/10^6</f>
        <v>0</v>
      </c>
      <c r="V24" s="8">
        <f>-SUM(Assumptions!W730:W731)/10^6</f>
        <v>0</v>
      </c>
      <c r="W24" s="2"/>
      <c r="X24" s="8">
        <f t="shared" si="0"/>
        <v>0</v>
      </c>
      <c r="Y24" s="2"/>
      <c r="Z24" s="18"/>
      <c r="AA24" s="18"/>
      <c r="AB24" s="2"/>
      <c r="AC24" s="198"/>
    </row>
    <row r="25" spans="2:67" ht="15" customHeight="1" thickBot="1">
      <c r="B25" s="198"/>
      <c r="D25" s="13" t="s">
        <v>39</v>
      </c>
      <c r="E25" s="2"/>
      <c r="F25" s="2"/>
      <c r="G25" s="202">
        <f>SUM(G21:G24)</f>
        <v>55.588998194392076</v>
      </c>
      <c r="H25" s="17">
        <f>SUM(H21:H24)</f>
        <v>82.660330452265086</v>
      </c>
      <c r="I25" s="17">
        <f t="shared" ref="I25:V25" si="5">SUM(I21:I24)</f>
        <v>132.52536209377985</v>
      </c>
      <c r="J25" s="17">
        <f t="shared" si="5"/>
        <v>162.08950966538674</v>
      </c>
      <c r="K25" s="17">
        <f t="shared" si="5"/>
        <v>180.67398443387819</v>
      </c>
      <c r="L25" s="17">
        <f t="shared" si="5"/>
        <v>196.78940132189985</v>
      </c>
      <c r="M25" s="17">
        <f t="shared" si="5"/>
        <v>202.68287569964622</v>
      </c>
      <c r="N25" s="17">
        <f t="shared" si="5"/>
        <v>209.75373607933568</v>
      </c>
      <c r="O25" s="17">
        <f t="shared" si="5"/>
        <v>214.91367016966674</v>
      </c>
      <c r="P25" s="17">
        <f t="shared" si="5"/>
        <v>221.25844593378423</v>
      </c>
      <c r="Q25" s="17">
        <f t="shared" si="5"/>
        <v>227.76127963728919</v>
      </c>
      <c r="R25" s="17">
        <f t="shared" si="5"/>
        <v>235.55496280422585</v>
      </c>
      <c r="S25" s="17">
        <f t="shared" si="5"/>
        <v>241.25717039904629</v>
      </c>
      <c r="T25" s="17">
        <f t="shared" si="5"/>
        <v>260.97754275935347</v>
      </c>
      <c r="U25" s="17">
        <f t="shared" si="5"/>
        <v>268.44610168793884</v>
      </c>
      <c r="V25" s="17">
        <f t="shared" si="5"/>
        <v>277.22047948986403</v>
      </c>
      <c r="W25" s="2"/>
      <c r="X25" s="17">
        <f t="shared" si="0"/>
        <v>1886.6975936813237</v>
      </c>
      <c r="Y25" s="2"/>
      <c r="Z25" s="18"/>
      <c r="AA25" s="18"/>
      <c r="AB25" s="2"/>
      <c r="AC25" s="198"/>
    </row>
    <row r="26" spans="2:67" ht="15" customHeight="1">
      <c r="B26" s="198"/>
      <c r="D26" s="2" t="s">
        <v>40</v>
      </c>
      <c r="E26" s="2"/>
      <c r="F26" s="2"/>
      <c r="G26" s="201">
        <f>-Assumptions!H513/10^6</f>
        <v>-1.3897249548598021</v>
      </c>
      <c r="H26" s="8">
        <f>-Assumptions!I513/10^6</f>
        <v>-2.0665082613066272</v>
      </c>
      <c r="I26" s="8">
        <f>-Assumptions!J513/10^6</f>
        <v>-3.3131340523444965</v>
      </c>
      <c r="J26" s="8">
        <f>-Assumptions!K513/10^6</f>
        <v>-4.0522377416346691</v>
      </c>
      <c r="K26" s="8">
        <f>-Assumptions!L513/10^6</f>
        <v>-4.516849610846954</v>
      </c>
      <c r="L26" s="8">
        <f>-Assumptions!M513/10^6</f>
        <v>-4.9197350330474965</v>
      </c>
      <c r="M26" s="8">
        <f>-Assumptions!N513/10^6</f>
        <v>-5.0670718924911551</v>
      </c>
      <c r="N26" s="8">
        <f>-Assumptions!O513/10^6</f>
        <v>-5.2438434019833924</v>
      </c>
      <c r="O26" s="8">
        <f>-Assumptions!P513/10^6</f>
        <v>-5.3728417542416684</v>
      </c>
      <c r="P26" s="8">
        <f>-Assumptions!Q513/10^6</f>
        <v>-5.5314611483446061</v>
      </c>
      <c r="Q26" s="8">
        <f>-Assumptions!R513/10^6</f>
        <v>-5.6940319909322303</v>
      </c>
      <c r="R26" s="8">
        <f>-Assumptions!S513/10^6</f>
        <v>-5.888874070105647</v>
      </c>
      <c r="S26" s="8">
        <f>-Assumptions!T513/10^6</f>
        <v>-6.0314292599761581</v>
      </c>
      <c r="T26" s="8">
        <f>-Assumptions!U513/10^6</f>
        <v>-6.5244385689838369</v>
      </c>
      <c r="U26" s="8">
        <f>-Assumptions!V513/10^6</f>
        <v>-6.7111525421984703</v>
      </c>
      <c r="V26" s="8">
        <f>-Assumptions!W513/10^6</f>
        <v>-6.9305119872466019</v>
      </c>
      <c r="W26" s="2"/>
      <c r="X26" s="8">
        <f t="shared" si="0"/>
        <v>-47.167439842033097</v>
      </c>
      <c r="Y26" s="2"/>
      <c r="Z26" s="18"/>
      <c r="AA26" s="18"/>
      <c r="AB26" s="2"/>
      <c r="AC26" s="198"/>
      <c r="AD26" s="19"/>
    </row>
    <row r="27" spans="2:67" ht="15" customHeight="1" thickBot="1">
      <c r="B27" s="198"/>
      <c r="D27" s="20" t="s">
        <v>41</v>
      </c>
      <c r="E27" s="2"/>
      <c r="F27" s="2"/>
      <c r="G27" s="202">
        <f>SUM(G25:G26)</f>
        <v>54.199273239532275</v>
      </c>
      <c r="H27" s="21">
        <f>SUM(H25:H26)</f>
        <v>80.593822190958463</v>
      </c>
      <c r="I27" s="21">
        <f t="shared" ref="I27:V27" si="6">SUM(I25:I26)</f>
        <v>129.21222804143534</v>
      </c>
      <c r="J27" s="21">
        <f t="shared" si="6"/>
        <v>158.03727192375209</v>
      </c>
      <c r="K27" s="21">
        <f t="shared" si="6"/>
        <v>176.15713482303124</v>
      </c>
      <c r="L27" s="21">
        <f t="shared" si="6"/>
        <v>191.86966628885236</v>
      </c>
      <c r="M27" s="21">
        <f t="shared" si="6"/>
        <v>197.61580380715506</v>
      </c>
      <c r="N27" s="21">
        <f t="shared" si="6"/>
        <v>204.5098926773523</v>
      </c>
      <c r="O27" s="21">
        <f t="shared" si="6"/>
        <v>209.54082841542507</v>
      </c>
      <c r="P27" s="21">
        <f t="shared" si="6"/>
        <v>215.72698478543961</v>
      </c>
      <c r="Q27" s="21">
        <f t="shared" si="6"/>
        <v>222.06724764635698</v>
      </c>
      <c r="R27" s="21">
        <f t="shared" si="6"/>
        <v>229.66608873412019</v>
      </c>
      <c r="S27" s="21">
        <f t="shared" si="6"/>
        <v>235.22574113907012</v>
      </c>
      <c r="T27" s="21">
        <f t="shared" si="6"/>
        <v>254.45310419036963</v>
      </c>
      <c r="U27" s="21">
        <f t="shared" si="6"/>
        <v>261.73494914574036</v>
      </c>
      <c r="V27" s="21">
        <f t="shared" si="6"/>
        <v>270.28996750261746</v>
      </c>
      <c r="W27" s="2"/>
      <c r="X27" s="21">
        <f t="shared" si="0"/>
        <v>1839.5301538392907</v>
      </c>
      <c r="Y27" s="2"/>
      <c r="Z27" s="18"/>
      <c r="AA27" s="18"/>
      <c r="AB27" s="2"/>
      <c r="AC27" s="198"/>
    </row>
    <row r="28" spans="2:67" ht="11.25" customHeight="1">
      <c r="B28" s="198"/>
      <c r="E28" s="2"/>
      <c r="F28" s="2"/>
      <c r="G28" s="253"/>
      <c r="H28" s="23"/>
      <c r="I28" s="23"/>
      <c r="J28" s="23"/>
      <c r="K28" s="23"/>
      <c r="L28" s="23"/>
      <c r="M28" s="23"/>
      <c r="N28" s="23"/>
      <c r="O28" s="23"/>
      <c r="P28" s="23"/>
      <c r="Q28" s="23"/>
      <c r="R28" s="23"/>
      <c r="S28" s="23"/>
      <c r="T28" s="23"/>
      <c r="U28" s="23"/>
      <c r="V28" s="253"/>
      <c r="W28" s="2"/>
      <c r="X28" s="2"/>
      <c r="Y28" s="2"/>
      <c r="Z28" s="18"/>
      <c r="AA28" s="18"/>
      <c r="AB28" s="2"/>
      <c r="AC28" s="198"/>
      <c r="AD28" s="18"/>
      <c r="AE28" s="23"/>
      <c r="AF28" s="18"/>
      <c r="AG28" s="18"/>
      <c r="AH28" s="18"/>
      <c r="AI28" s="18"/>
      <c r="AJ28" s="18"/>
      <c r="AK28" s="18"/>
      <c r="AL28" s="18"/>
      <c r="AM28" s="24"/>
      <c r="AN28" s="18"/>
      <c r="AO28" s="18"/>
      <c r="AP28" s="18"/>
      <c r="AQ28" s="18"/>
      <c r="AR28" s="18"/>
      <c r="AS28" s="18"/>
      <c r="AT28" s="18"/>
      <c r="AU28" s="18"/>
      <c r="AV28" s="18"/>
      <c r="AW28" s="18"/>
      <c r="AX28" s="18"/>
      <c r="AY28" s="18"/>
      <c r="AZ28" s="18"/>
      <c r="BA28" s="18"/>
      <c r="BB28" s="18"/>
      <c r="BC28" s="18"/>
      <c r="BD28" s="18"/>
      <c r="BE28" s="18"/>
      <c r="BF28" s="18"/>
      <c r="BG28" s="18"/>
      <c r="BH28" s="18"/>
      <c r="BI28" s="18"/>
      <c r="BJ28" s="18"/>
      <c r="BK28" s="18"/>
      <c r="BL28" s="18"/>
      <c r="BM28" s="18"/>
      <c r="BN28" s="18"/>
      <c r="BO28" s="18"/>
    </row>
    <row r="29" spans="2:67" ht="15.75" customHeight="1">
      <c r="B29" s="198"/>
      <c r="D29" s="330" t="s">
        <v>42</v>
      </c>
      <c r="E29" s="2"/>
      <c r="F29" s="2"/>
      <c r="G29" s="22"/>
      <c r="H29" s="23"/>
      <c r="I29" s="23"/>
      <c r="J29" s="23"/>
      <c r="K29" s="23"/>
      <c r="L29" s="23"/>
      <c r="M29" s="23"/>
      <c r="N29" s="23"/>
      <c r="O29" s="23"/>
      <c r="P29" s="23"/>
      <c r="Q29" s="23"/>
      <c r="R29" s="23"/>
      <c r="S29" s="23"/>
      <c r="T29" s="23"/>
      <c r="U29" s="23"/>
      <c r="V29" s="23"/>
      <c r="W29" s="18"/>
      <c r="X29" s="18"/>
      <c r="Y29" s="18"/>
      <c r="Z29" s="18"/>
      <c r="AA29" s="18"/>
      <c r="AB29" s="18"/>
      <c r="AC29" s="198"/>
      <c r="AD29" s="18"/>
      <c r="AE29" s="23"/>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row>
    <row r="30" spans="2:67" ht="3.75" customHeight="1">
      <c r="B30" s="198"/>
      <c r="D30" s="330"/>
      <c r="E30" s="2"/>
      <c r="F30" s="2"/>
      <c r="G30" s="22"/>
      <c r="H30" s="23"/>
      <c r="I30" s="23"/>
      <c r="J30" s="23"/>
      <c r="K30" s="23"/>
      <c r="L30" s="23"/>
      <c r="M30" s="23"/>
      <c r="N30" s="23"/>
      <c r="O30" s="23"/>
      <c r="P30" s="23"/>
      <c r="Q30" s="23"/>
      <c r="R30" s="23"/>
      <c r="S30" s="23"/>
      <c r="T30" s="23"/>
      <c r="U30" s="23"/>
      <c r="V30" s="23"/>
      <c r="W30" s="18"/>
      <c r="X30" s="18"/>
      <c r="Y30" s="18"/>
      <c r="Z30" s="18"/>
      <c r="AA30" s="18"/>
      <c r="AB30" s="18"/>
      <c r="AC30" s="198"/>
      <c r="AD30" s="18"/>
      <c r="AE30" s="23"/>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row>
    <row r="31" spans="2:67" ht="15" customHeight="1">
      <c r="B31" s="198"/>
      <c r="D31" s="331" t="s">
        <v>43</v>
      </c>
      <c r="E31" s="2"/>
      <c r="F31" s="2"/>
      <c r="G31" s="332">
        <f t="shared" ref="G31:V31" si="7">G12/G$8</f>
        <v>0.5696506978362974</v>
      </c>
      <c r="H31" s="332">
        <f t="shared" si="7"/>
        <v>0.6142423142572575</v>
      </c>
      <c r="I31" s="332">
        <f t="shared" si="7"/>
        <v>0.64108913819566893</v>
      </c>
      <c r="J31" s="332">
        <f t="shared" si="7"/>
        <v>0.65191455475528703</v>
      </c>
      <c r="K31" s="332">
        <f t="shared" si="7"/>
        <v>0.65798122466280373</v>
      </c>
      <c r="L31" s="332">
        <f t="shared" si="7"/>
        <v>0.66141601769220359</v>
      </c>
      <c r="M31" s="332">
        <f t="shared" si="7"/>
        <v>0.66117957051605458</v>
      </c>
      <c r="N31" s="332">
        <f t="shared" si="7"/>
        <v>0.66127439972464863</v>
      </c>
      <c r="O31" s="332">
        <f t="shared" si="7"/>
        <v>0.66070528847306065</v>
      </c>
      <c r="P31" s="332">
        <f t="shared" si="7"/>
        <v>0.66046745179697186</v>
      </c>
      <c r="Q31" s="332">
        <f t="shared" si="7"/>
        <v>0.66022915014204409</v>
      </c>
      <c r="R31" s="332">
        <f t="shared" si="7"/>
        <v>0.66032472309023771</v>
      </c>
      <c r="S31" s="332">
        <f t="shared" si="7"/>
        <v>0.65975114825769665</v>
      </c>
      <c r="T31" s="332">
        <f t="shared" si="7"/>
        <v>0.66303268555742256</v>
      </c>
      <c r="U31" s="332">
        <f t="shared" si="7"/>
        <v>0.66279942028141958</v>
      </c>
      <c r="V31" s="332">
        <f t="shared" si="7"/>
        <v>0.6629169122925459</v>
      </c>
      <c r="W31" s="2"/>
      <c r="X31" s="2"/>
      <c r="Y31" s="2"/>
      <c r="Z31" s="2"/>
      <c r="AA31" s="2"/>
      <c r="AB31" s="2"/>
      <c r="AC31" s="198"/>
      <c r="AD31" s="18"/>
      <c r="AE31" s="23"/>
      <c r="AF31" s="18"/>
      <c r="AG31" s="18"/>
      <c r="AH31" s="18"/>
      <c r="AI31" s="18"/>
      <c r="AJ31" s="18"/>
      <c r="AK31" s="18"/>
      <c r="AL31" s="18"/>
      <c r="AM31" s="24"/>
      <c r="AN31" s="18"/>
      <c r="AO31" s="18"/>
      <c r="AP31" s="18"/>
      <c r="AQ31" s="18"/>
      <c r="AR31" s="18"/>
      <c r="AS31" s="18"/>
      <c r="AT31" s="18"/>
      <c r="AU31" s="18"/>
      <c r="AV31" s="18"/>
      <c r="AW31" s="18"/>
      <c r="AX31" s="18"/>
      <c r="AY31" s="18"/>
      <c r="AZ31" s="18"/>
      <c r="BA31" s="18"/>
      <c r="BB31" s="18"/>
      <c r="BC31" s="18"/>
      <c r="BD31" s="18"/>
      <c r="BE31" s="18"/>
      <c r="BF31" s="18"/>
      <c r="BG31" s="18"/>
      <c r="BH31" s="18"/>
      <c r="BI31" s="18"/>
      <c r="BJ31" s="18"/>
      <c r="BK31" s="18"/>
      <c r="BL31" s="18"/>
      <c r="BM31" s="18"/>
      <c r="BN31" s="18"/>
      <c r="BO31" s="18"/>
    </row>
    <row r="32" spans="2:67" ht="15" customHeight="1">
      <c r="B32" s="198"/>
      <c r="D32" s="331" t="s">
        <v>31</v>
      </c>
      <c r="E32" s="2"/>
      <c r="F32" s="2"/>
      <c r="G32" s="332">
        <f t="shared" ref="G32:V32" si="8">G17/G$8</f>
        <v>0.48082693514869718</v>
      </c>
      <c r="H32" s="332">
        <f t="shared" si="8"/>
        <v>0.50707218079053773</v>
      </c>
      <c r="I32" s="332">
        <f t="shared" si="8"/>
        <v>0.53242565606442604</v>
      </c>
      <c r="J32" s="332">
        <f t="shared" si="8"/>
        <v>0.54271952861684258</v>
      </c>
      <c r="K32" s="332">
        <f t="shared" si="8"/>
        <v>0.54842320283893442</v>
      </c>
      <c r="L32" s="332">
        <f t="shared" si="8"/>
        <v>0.55195247797038094</v>
      </c>
      <c r="M32" s="332">
        <f t="shared" si="8"/>
        <v>0.55207143809087078</v>
      </c>
      <c r="N32" s="332">
        <f t="shared" si="8"/>
        <v>0.55250471069747198</v>
      </c>
      <c r="O32" s="332">
        <f t="shared" si="8"/>
        <v>0.5523188897843424</v>
      </c>
      <c r="P32" s="332">
        <f t="shared" si="8"/>
        <v>0.55244781523884212</v>
      </c>
      <c r="Q32" s="332">
        <f t="shared" si="8"/>
        <v>0.55258050140052728</v>
      </c>
      <c r="R32" s="332">
        <f t="shared" si="8"/>
        <v>0.55302694936639507</v>
      </c>
      <c r="S32" s="332">
        <f t="shared" si="8"/>
        <v>0.55285805811421085</v>
      </c>
      <c r="T32" s="332">
        <f t="shared" si="8"/>
        <v>0.55618676950529866</v>
      </c>
      <c r="U32" s="332">
        <f t="shared" si="8"/>
        <v>0.5563324670733194</v>
      </c>
      <c r="V32" s="332">
        <f t="shared" si="8"/>
        <v>0.55679617788973867</v>
      </c>
      <c r="W32" s="2"/>
      <c r="X32" s="2"/>
      <c r="Y32" s="2"/>
      <c r="Z32" s="2"/>
      <c r="AA32" s="2"/>
      <c r="AB32" s="2"/>
      <c r="AC32" s="198"/>
      <c r="AD32" s="18"/>
      <c r="AE32" s="23"/>
      <c r="AF32" s="18"/>
      <c r="AG32" s="18"/>
      <c r="AH32" s="18"/>
      <c r="AI32" s="18"/>
      <c r="AJ32" s="18"/>
      <c r="AK32" s="18"/>
      <c r="AL32" s="18"/>
      <c r="AM32" s="24"/>
      <c r="AN32" s="18"/>
      <c r="AO32" s="18"/>
      <c r="AP32" s="18"/>
      <c r="AQ32" s="18"/>
      <c r="AR32" s="18"/>
      <c r="AS32" s="18"/>
      <c r="AT32" s="18"/>
      <c r="AU32" s="18"/>
      <c r="AV32" s="18"/>
      <c r="AW32" s="18"/>
      <c r="AX32" s="18"/>
      <c r="AY32" s="18"/>
      <c r="AZ32" s="18"/>
      <c r="BA32" s="18"/>
      <c r="BB32" s="18"/>
      <c r="BC32" s="18"/>
      <c r="BD32" s="18"/>
      <c r="BE32" s="18"/>
      <c r="BF32" s="18"/>
      <c r="BG32" s="18"/>
      <c r="BH32" s="18"/>
      <c r="BI32" s="18"/>
      <c r="BJ32" s="18"/>
      <c r="BK32" s="18"/>
      <c r="BL32" s="18"/>
      <c r="BM32" s="18"/>
      <c r="BN32" s="18"/>
      <c r="BO32" s="18"/>
    </row>
    <row r="33" spans="2:67" ht="15" customHeight="1">
      <c r="B33" s="198"/>
      <c r="D33" s="331" t="s">
        <v>35</v>
      </c>
      <c r="E33" s="2"/>
      <c r="F33" s="2"/>
      <c r="G33" s="332">
        <f t="shared" ref="G33:V33" si="9">G21/G$8</f>
        <v>0.18812907624652853</v>
      </c>
      <c r="H33" s="332">
        <f t="shared" si="9"/>
        <v>0.23312184238082767</v>
      </c>
      <c r="I33" s="332">
        <f t="shared" si="9"/>
        <v>0.30594922750693282</v>
      </c>
      <c r="J33" s="332">
        <f t="shared" si="9"/>
        <v>0.33682925116784862</v>
      </c>
      <c r="K33" s="332">
        <f t="shared" si="9"/>
        <v>0.35293801307156991</v>
      </c>
      <c r="L33" s="332">
        <f t="shared" si="9"/>
        <v>0.36465169206950721</v>
      </c>
      <c r="M33" s="332">
        <f t="shared" si="9"/>
        <v>0.36712837535264747</v>
      </c>
      <c r="N33" s="332">
        <f t="shared" si="9"/>
        <v>0.37037933693678671</v>
      </c>
      <c r="O33" s="332">
        <f t="shared" si="9"/>
        <v>0.3719749279685719</v>
      </c>
      <c r="P33" s="332">
        <f t="shared" si="9"/>
        <v>0.3743465641927014</v>
      </c>
      <c r="Q33" s="332">
        <f t="shared" si="9"/>
        <v>0.37668493732878366</v>
      </c>
      <c r="R33" s="332">
        <f t="shared" si="9"/>
        <v>0.37977534639994875</v>
      </c>
      <c r="S33" s="332">
        <f t="shared" si="9"/>
        <v>0.38126533666553186</v>
      </c>
      <c r="T33" s="332">
        <f t="shared" si="9"/>
        <v>0.39156575763933454</v>
      </c>
      <c r="U33" s="332">
        <f t="shared" si="9"/>
        <v>0.39371597445706319</v>
      </c>
      <c r="V33" s="332">
        <f t="shared" si="9"/>
        <v>0.39652326835162355</v>
      </c>
      <c r="W33" s="2"/>
      <c r="X33" s="2"/>
      <c r="Y33" s="2"/>
      <c r="Z33" s="2"/>
      <c r="AA33" s="2"/>
      <c r="AB33" s="2"/>
      <c r="AC33" s="198"/>
      <c r="AD33" s="18"/>
      <c r="AE33" s="23"/>
      <c r="AF33" s="18"/>
      <c r="AG33" s="18"/>
      <c r="AH33" s="18"/>
      <c r="AI33" s="18"/>
      <c r="AJ33" s="18"/>
      <c r="AK33" s="18"/>
      <c r="AL33" s="18"/>
      <c r="AM33" s="24"/>
      <c r="AN33" s="18"/>
      <c r="AO33" s="18"/>
      <c r="AP33" s="18"/>
      <c r="AQ33" s="18"/>
      <c r="AR33" s="18"/>
      <c r="AS33" s="18"/>
      <c r="AT33" s="18"/>
      <c r="AU33" s="18"/>
      <c r="AV33" s="18"/>
      <c r="AW33" s="18"/>
      <c r="AX33" s="18"/>
      <c r="AY33" s="18"/>
      <c r="AZ33" s="18"/>
      <c r="BA33" s="18"/>
      <c r="BB33" s="18"/>
      <c r="BC33" s="18"/>
      <c r="BD33" s="18"/>
      <c r="BE33" s="18"/>
      <c r="BF33" s="18"/>
      <c r="BG33" s="18"/>
      <c r="BH33" s="18"/>
      <c r="BI33" s="18"/>
      <c r="BJ33" s="18"/>
      <c r="BK33" s="18"/>
      <c r="BL33" s="18"/>
      <c r="BM33" s="18"/>
      <c r="BN33" s="18"/>
      <c r="BO33" s="18"/>
    </row>
    <row r="34" spans="2:67" ht="15" customHeight="1">
      <c r="B34" s="198"/>
      <c r="D34" s="331" t="s">
        <v>39</v>
      </c>
      <c r="E34" s="2"/>
      <c r="F34" s="2"/>
      <c r="G34" s="332">
        <f t="shared" ref="G34:V34" si="10">G25/G$8</f>
        <v>0.18812907624652853</v>
      </c>
      <c r="H34" s="332">
        <f t="shared" si="10"/>
        <v>0.23312184238082767</v>
      </c>
      <c r="I34" s="332">
        <f t="shared" si="10"/>
        <v>0.30594922750693282</v>
      </c>
      <c r="J34" s="332">
        <f t="shared" si="10"/>
        <v>0.33682925116784862</v>
      </c>
      <c r="K34" s="332">
        <f t="shared" si="10"/>
        <v>0.35293801307156991</v>
      </c>
      <c r="L34" s="332">
        <f t="shared" si="10"/>
        <v>0.36465169206950721</v>
      </c>
      <c r="M34" s="332">
        <f t="shared" si="10"/>
        <v>0.36712837535264747</v>
      </c>
      <c r="N34" s="332">
        <f t="shared" si="10"/>
        <v>0.37037933693678671</v>
      </c>
      <c r="O34" s="332">
        <f t="shared" si="10"/>
        <v>0.3719749279685719</v>
      </c>
      <c r="P34" s="332">
        <f t="shared" si="10"/>
        <v>0.3743465641927014</v>
      </c>
      <c r="Q34" s="332">
        <f t="shared" si="10"/>
        <v>0.37668493732878366</v>
      </c>
      <c r="R34" s="332">
        <f t="shared" si="10"/>
        <v>0.37977534639994875</v>
      </c>
      <c r="S34" s="332">
        <f t="shared" si="10"/>
        <v>0.38126533666553186</v>
      </c>
      <c r="T34" s="332">
        <f t="shared" si="10"/>
        <v>0.39156575763933454</v>
      </c>
      <c r="U34" s="332">
        <f t="shared" si="10"/>
        <v>0.39371597445706319</v>
      </c>
      <c r="V34" s="332">
        <f t="shared" si="10"/>
        <v>0.39652326835162355</v>
      </c>
      <c r="W34" s="2"/>
      <c r="X34" s="2"/>
      <c r="Y34" s="2"/>
      <c r="Z34" s="2"/>
      <c r="AA34" s="2"/>
      <c r="AB34" s="2"/>
      <c r="AC34" s="198"/>
      <c r="AD34" s="18"/>
      <c r="AE34" s="23"/>
      <c r="AF34" s="18"/>
      <c r="AG34" s="18"/>
      <c r="AH34" s="18"/>
      <c r="AI34" s="18"/>
      <c r="AJ34" s="18"/>
      <c r="AK34" s="18"/>
      <c r="AL34" s="18"/>
      <c r="AM34" s="24"/>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row>
    <row r="35" spans="2:67" ht="15" customHeight="1">
      <c r="B35" s="198"/>
      <c r="D35" s="331" t="s">
        <v>44</v>
      </c>
      <c r="E35" s="2"/>
      <c r="F35" s="2"/>
      <c r="G35" s="332">
        <f>G27/G$8</f>
        <v>0.18342584934036529</v>
      </c>
      <c r="H35" s="332">
        <f>H27/H$8</f>
        <v>0.22729379632130697</v>
      </c>
      <c r="I35" s="332">
        <f t="shared" ref="I35:V35" si="11">I27/I$8</f>
        <v>0.29830049681925946</v>
      </c>
      <c r="J35" s="332">
        <f t="shared" si="11"/>
        <v>0.32840851988865244</v>
      </c>
      <c r="K35" s="332">
        <f t="shared" si="11"/>
        <v>0.34411456274478069</v>
      </c>
      <c r="L35" s="332">
        <f t="shared" si="11"/>
        <v>0.35553539976776954</v>
      </c>
      <c r="M35" s="332">
        <f t="shared" si="11"/>
        <v>0.35795016596883128</v>
      </c>
      <c r="N35" s="332">
        <f t="shared" si="11"/>
        <v>0.36111985351336706</v>
      </c>
      <c r="O35" s="332">
        <f t="shared" si="11"/>
        <v>0.36267555476935759</v>
      </c>
      <c r="P35" s="332">
        <f t="shared" si="11"/>
        <v>0.36498790008788384</v>
      </c>
      <c r="Q35" s="332">
        <f t="shared" si="11"/>
        <v>0.36726781389556407</v>
      </c>
      <c r="R35" s="332">
        <f t="shared" si="11"/>
        <v>0.37028096273994998</v>
      </c>
      <c r="S35" s="332">
        <f t="shared" si="11"/>
        <v>0.37173370324889354</v>
      </c>
      <c r="T35" s="332">
        <f t="shared" si="11"/>
        <v>0.3817766136983512</v>
      </c>
      <c r="U35" s="332">
        <f t="shared" si="11"/>
        <v>0.38387307509563656</v>
      </c>
      <c r="V35" s="332">
        <f t="shared" si="11"/>
        <v>0.38661018664283298</v>
      </c>
      <c r="W35" s="2"/>
      <c r="X35" s="2"/>
      <c r="Y35" s="2"/>
      <c r="Z35" s="2"/>
      <c r="AA35" s="2"/>
      <c r="AB35" s="2"/>
      <c r="AC35" s="198"/>
      <c r="AD35" s="18"/>
      <c r="AE35" s="23"/>
      <c r="AF35" s="18"/>
      <c r="AG35" s="18"/>
      <c r="AH35" s="18"/>
      <c r="AI35" s="18"/>
      <c r="AJ35" s="18"/>
      <c r="AK35" s="18"/>
      <c r="AL35" s="18"/>
      <c r="AM35" s="24"/>
      <c r="AN35" s="18"/>
      <c r="AO35" s="18"/>
      <c r="AP35" s="18"/>
      <c r="AQ35" s="18"/>
      <c r="AR35" s="18"/>
      <c r="AS35" s="18"/>
      <c r="AT35" s="18"/>
      <c r="AU35" s="18"/>
      <c r="AV35" s="18"/>
      <c r="AW35" s="18"/>
      <c r="AX35" s="18"/>
      <c r="AY35" s="18"/>
      <c r="AZ35" s="18"/>
      <c r="BA35" s="18"/>
      <c r="BB35" s="18"/>
      <c r="BC35" s="18"/>
      <c r="BD35" s="18"/>
      <c r="BE35" s="18"/>
      <c r="BF35" s="18"/>
      <c r="BG35" s="18"/>
      <c r="BH35" s="18"/>
      <c r="BI35" s="18"/>
      <c r="BJ35" s="18"/>
      <c r="BK35" s="18"/>
      <c r="BL35" s="18"/>
      <c r="BM35" s="18"/>
      <c r="BN35" s="18"/>
      <c r="BO35" s="18"/>
    </row>
    <row r="36" spans="2:67" ht="15" customHeight="1">
      <c r="B36" s="198"/>
      <c r="E36" s="2"/>
      <c r="F36" s="2"/>
      <c r="G36" s="2"/>
      <c r="H36" s="2"/>
      <c r="I36" s="2"/>
      <c r="J36" s="2"/>
      <c r="K36" s="2"/>
      <c r="L36" s="2"/>
      <c r="M36" s="2"/>
      <c r="N36" s="2"/>
      <c r="O36" s="2"/>
      <c r="P36" s="2"/>
      <c r="Q36" s="2"/>
      <c r="R36" s="2"/>
      <c r="S36" s="2"/>
      <c r="T36" s="2"/>
      <c r="U36" s="2"/>
      <c r="V36" s="2"/>
      <c r="W36" s="2"/>
      <c r="X36" s="2"/>
      <c r="Y36" s="2"/>
      <c r="Z36" s="2"/>
      <c r="AA36" s="2"/>
      <c r="AB36" s="2"/>
      <c r="AC36" s="198"/>
      <c r="AE36" s="23"/>
    </row>
    <row r="37" spans="2:67" ht="15" customHeight="1">
      <c r="B37" s="198"/>
      <c r="D37" s="25" t="s">
        <v>45</v>
      </c>
      <c r="E37" s="2"/>
      <c r="F37" s="2"/>
      <c r="G37" s="26">
        <f t="shared" ref="G37:Q37" si="12">G17/SUM(G50:G53)</f>
        <v>3.564339988750731E-2</v>
      </c>
      <c r="H37" s="26">
        <f t="shared" si="12"/>
        <v>4.6057162502076504E-2</v>
      </c>
      <c r="I37" s="26">
        <f t="shared" si="12"/>
        <v>6.0330729169997585E-2</v>
      </c>
      <c r="J37" s="26">
        <f t="shared" si="12"/>
        <v>6.981666136967446E-2</v>
      </c>
      <c r="K37" s="26">
        <f t="shared" si="12"/>
        <v>7.6748245031135087E-2</v>
      </c>
      <c r="L37" s="26">
        <f t="shared" si="12"/>
        <v>8.3334313310496191E-2</v>
      </c>
      <c r="M37" s="26">
        <f t="shared" si="12"/>
        <v>8.7333768710366938E-2</v>
      </c>
      <c r="N37" s="26">
        <f t="shared" si="12"/>
        <v>9.1905822625311148E-2</v>
      </c>
      <c r="O37" s="26">
        <f t="shared" si="12"/>
        <v>9.6168103455664705E-2</v>
      </c>
      <c r="P37" s="26">
        <f t="shared" si="12"/>
        <v>0.10105799496576309</v>
      </c>
      <c r="Q37" s="26">
        <f t="shared" si="12"/>
        <v>0.10630585868179281</v>
      </c>
      <c r="R37" s="26">
        <f t="shared" ref="R37:V37" si="13">R17/SUM(R50:R53)</f>
        <v>0.11231900511526882</v>
      </c>
      <c r="S37" s="26">
        <f t="shared" si="13"/>
        <v>0.11803165986940907</v>
      </c>
      <c r="T37" s="26">
        <f t="shared" si="13"/>
        <v>0.12902935320547723</v>
      </c>
      <c r="U37" s="26">
        <f t="shared" si="13"/>
        <v>0.13639693110679452</v>
      </c>
      <c r="V37" s="26">
        <f t="shared" si="13"/>
        <v>0.14481454189392015</v>
      </c>
      <c r="W37" s="2"/>
      <c r="X37" s="2"/>
      <c r="Y37" s="2"/>
      <c r="Z37" s="2"/>
      <c r="AA37" s="2"/>
      <c r="AB37" s="2"/>
      <c r="AC37" s="198"/>
      <c r="AE37" s="23"/>
    </row>
    <row r="38" spans="2:67" ht="15" customHeight="1">
      <c r="B38" s="198"/>
      <c r="E38" s="2"/>
      <c r="F38" s="2"/>
      <c r="G38" s="2"/>
      <c r="H38" s="2"/>
      <c r="I38" s="2"/>
      <c r="J38" s="2"/>
      <c r="K38" s="2"/>
      <c r="L38" s="2"/>
      <c r="M38" s="2"/>
      <c r="N38" s="2"/>
      <c r="O38" s="2"/>
      <c r="P38" s="2"/>
      <c r="Q38" s="2"/>
      <c r="R38" s="2"/>
      <c r="S38" s="2"/>
      <c r="T38" s="2"/>
      <c r="U38" s="2"/>
      <c r="V38" s="2"/>
      <c r="W38" s="2"/>
      <c r="X38" s="2"/>
      <c r="Y38" s="2"/>
      <c r="Z38" s="2"/>
      <c r="AA38" s="2"/>
      <c r="AB38" s="2"/>
      <c r="AC38" s="198"/>
      <c r="AE38" s="23"/>
    </row>
    <row r="39" spans="2:67" ht="15" customHeight="1">
      <c r="B39" s="198"/>
      <c r="C39" s="198"/>
      <c r="D39" s="198"/>
      <c r="E39" s="198"/>
      <c r="F39" s="198"/>
      <c r="G39" s="198"/>
      <c r="H39" s="198"/>
      <c r="I39" s="198"/>
      <c r="J39" s="198"/>
      <c r="K39" s="198"/>
      <c r="L39" s="198"/>
      <c r="M39" s="198"/>
      <c r="N39" s="198"/>
      <c r="O39" s="198"/>
      <c r="P39" s="198"/>
      <c r="Q39" s="198"/>
      <c r="R39" s="198"/>
      <c r="S39" s="198"/>
      <c r="T39" s="198"/>
      <c r="U39" s="198"/>
      <c r="V39" s="198"/>
      <c r="W39" s="198"/>
      <c r="X39" s="198"/>
      <c r="Y39" s="198"/>
      <c r="Z39" s="198"/>
      <c r="AA39" s="198"/>
      <c r="AB39" s="198"/>
      <c r="AC39" s="198"/>
    </row>
    <row r="40" spans="2:67" ht="15" customHeight="1">
      <c r="B40" s="198"/>
      <c r="C40" s="198" t="s">
        <v>46</v>
      </c>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row>
    <row r="41" spans="2:67" ht="15" customHeight="1">
      <c r="B41" s="198"/>
      <c r="E41" s="2"/>
      <c r="F41" s="2"/>
      <c r="G41" s="18"/>
      <c r="H41" s="2"/>
      <c r="I41" s="2"/>
      <c r="J41" s="2"/>
      <c r="K41" s="2"/>
      <c r="L41" s="2"/>
      <c r="M41" s="2"/>
      <c r="N41" s="2"/>
      <c r="O41" s="2"/>
      <c r="P41" s="2"/>
      <c r="Q41" s="2"/>
      <c r="R41" s="2"/>
      <c r="S41" s="2"/>
      <c r="T41" s="2"/>
      <c r="U41" s="2"/>
      <c r="V41" s="2"/>
      <c r="W41" s="2"/>
      <c r="X41" s="2"/>
      <c r="Y41" s="2"/>
      <c r="Z41" s="2"/>
      <c r="AA41" s="2"/>
      <c r="AB41" s="2"/>
      <c r="AC41" s="198"/>
    </row>
    <row r="42" spans="2:67" ht="15" customHeight="1">
      <c r="B42" s="198"/>
      <c r="D42" s="5" t="s">
        <v>47</v>
      </c>
      <c r="E42" s="2"/>
      <c r="F42" s="2"/>
      <c r="G42" s="199" t="s">
        <v>48</v>
      </c>
      <c r="H42" s="7" t="s">
        <v>49</v>
      </c>
      <c r="I42" s="7" t="s">
        <v>50</v>
      </c>
      <c r="J42" s="7" t="s">
        <v>51</v>
      </c>
      <c r="K42" s="7" t="s">
        <v>52</v>
      </c>
      <c r="L42" s="7" t="s">
        <v>53</v>
      </c>
      <c r="M42" s="7" t="s">
        <v>54</v>
      </c>
      <c r="N42" s="7" t="s">
        <v>55</v>
      </c>
      <c r="O42" s="7" t="s">
        <v>56</v>
      </c>
      <c r="P42" s="7" t="s">
        <v>57</v>
      </c>
      <c r="Q42" s="7" t="s">
        <v>58</v>
      </c>
      <c r="R42" s="7" t="s">
        <v>59</v>
      </c>
      <c r="S42" s="7" t="s">
        <v>60</v>
      </c>
      <c r="T42" s="7" t="s">
        <v>61</v>
      </c>
      <c r="U42" s="7" t="s">
        <v>62</v>
      </c>
      <c r="V42" s="7" t="s">
        <v>63</v>
      </c>
      <c r="W42" s="2"/>
      <c r="X42" s="2"/>
      <c r="Y42" s="2"/>
      <c r="Z42" s="2"/>
      <c r="AA42" s="2"/>
      <c r="AB42" s="2"/>
      <c r="AC42" s="198"/>
      <c r="AE42" s="27"/>
    </row>
    <row r="43" spans="2:67" ht="15" customHeight="1">
      <c r="B43" s="198"/>
      <c r="D43" s="2" t="s">
        <v>64</v>
      </c>
      <c r="E43" s="2"/>
      <c r="F43" s="2"/>
      <c r="G43" s="201">
        <f>G120</f>
        <v>289.8359072573553</v>
      </c>
      <c r="H43" s="8">
        <f t="shared" ref="H43:V43" si="14">H120</f>
        <v>452.59329468144847</v>
      </c>
      <c r="I43" s="8">
        <f t="shared" si="14"/>
        <v>662.45572862988752</v>
      </c>
      <c r="J43" s="8">
        <f t="shared" si="14"/>
        <v>902.80051460695938</v>
      </c>
      <c r="K43" s="8">
        <f t="shared" si="14"/>
        <v>986.37985097663727</v>
      </c>
      <c r="L43" s="8">
        <f t="shared" si="14"/>
        <v>1070.9067746266517</v>
      </c>
      <c r="M43" s="8">
        <f t="shared" si="14"/>
        <v>1156.7136907349145</v>
      </c>
      <c r="N43" s="8">
        <f t="shared" si="14"/>
        <v>1243.335078505864</v>
      </c>
      <c r="O43" s="8">
        <f t="shared" si="14"/>
        <v>1330.9172279859044</v>
      </c>
      <c r="P43" s="8">
        <f t="shared" si="14"/>
        <v>1419.3460747024062</v>
      </c>
      <c r="Q43" s="8">
        <f t="shared" si="14"/>
        <v>1508.6814247848663</v>
      </c>
      <c r="R43" s="8">
        <f t="shared" si="14"/>
        <v>1598.8923017222255</v>
      </c>
      <c r="S43" s="8">
        <f t="shared" si="14"/>
        <v>1690.1381589768512</v>
      </c>
      <c r="T43" s="8">
        <f t="shared" si="14"/>
        <v>1781.7559050441776</v>
      </c>
      <c r="U43" s="8">
        <f t="shared" si="14"/>
        <v>1874.8728071808332</v>
      </c>
      <c r="V43" s="8">
        <f t="shared" si="14"/>
        <v>1968.9331223444638</v>
      </c>
      <c r="W43" s="2"/>
      <c r="X43" s="2"/>
      <c r="Y43" s="2"/>
      <c r="Z43" s="2"/>
      <c r="AA43" s="2"/>
      <c r="AB43" s="2"/>
      <c r="AC43" s="198"/>
      <c r="AE43" s="27"/>
    </row>
    <row r="44" spans="2:67" ht="15" customHeight="1" outlineLevel="1">
      <c r="B44" s="198"/>
      <c r="D44" s="2" t="s">
        <v>65</v>
      </c>
      <c r="E44" s="2"/>
      <c r="F44" s="2"/>
      <c r="G44" s="201">
        <v>0</v>
      </c>
      <c r="H44" s="8">
        <v>0</v>
      </c>
      <c r="I44" s="8">
        <v>0</v>
      </c>
      <c r="J44" s="8">
        <v>0</v>
      </c>
      <c r="K44" s="8">
        <v>0</v>
      </c>
      <c r="L44" s="8">
        <v>0</v>
      </c>
      <c r="M44" s="8">
        <v>0</v>
      </c>
      <c r="N44" s="8">
        <v>0</v>
      </c>
      <c r="O44" s="8">
        <v>0</v>
      </c>
      <c r="P44" s="8">
        <v>0</v>
      </c>
      <c r="Q44" s="8">
        <v>0</v>
      </c>
      <c r="R44" s="8">
        <v>0</v>
      </c>
      <c r="S44" s="8">
        <v>0</v>
      </c>
      <c r="T44" s="8">
        <v>0</v>
      </c>
      <c r="U44" s="8">
        <v>0</v>
      </c>
      <c r="V44" s="8">
        <v>0</v>
      </c>
      <c r="W44" s="2"/>
      <c r="X44" s="2"/>
      <c r="Y44" s="2"/>
      <c r="Z44" s="2"/>
      <c r="AA44" s="2"/>
      <c r="AB44" s="2"/>
      <c r="AC44" s="198"/>
    </row>
    <row r="45" spans="2:67" ht="15" customHeight="1">
      <c r="B45" s="198"/>
      <c r="D45" s="2" t="s">
        <v>66</v>
      </c>
      <c r="E45" s="2"/>
      <c r="F45" s="2"/>
      <c r="G45" s="201">
        <f>Assumptions!H573/10^6</f>
        <v>11.311002834376003</v>
      </c>
      <c r="H45" s="8">
        <f>Assumptions!I573/10^6</f>
        <v>13.573203401251208</v>
      </c>
      <c r="I45" s="8">
        <f>Assumptions!J573/10^6</f>
        <v>16.58127130546195</v>
      </c>
      <c r="J45" s="8">
        <f>Assumptions!K573/10^6</f>
        <v>18.421003943921562</v>
      </c>
      <c r="K45" s="8">
        <f>Assumptions!L573/10^6</f>
        <v>19.595907133900919</v>
      </c>
      <c r="L45" s="8">
        <f>Assumptions!M573/10^6</f>
        <v>20.658161019815388</v>
      </c>
      <c r="M45" s="8">
        <f>Assumptions!N573/10^6</f>
        <v>21.133298723271139</v>
      </c>
      <c r="N45" s="8">
        <f>Assumptions!O573/10^6</f>
        <v>21.678595505648346</v>
      </c>
      <c r="O45" s="8">
        <f>Assumptions!P573/10^6</f>
        <v>22.116609979566221</v>
      </c>
      <c r="P45" s="8">
        <f>Assumptions!Q573/10^6</f>
        <v>22.625292009096238</v>
      </c>
      <c r="Q45" s="8">
        <f>Assumptions!R573/10^6</f>
        <v>23.145673725305453</v>
      </c>
      <c r="R45" s="8">
        <f>Assumptions!S573/10^6</f>
        <v>23.742895274748836</v>
      </c>
      <c r="S45" s="8">
        <f>Assumptions!T573/10^6</f>
        <v>24.222618778070181</v>
      </c>
      <c r="T45" s="8">
        <f>Assumptions!U573/10^6</f>
        <v>25.513298999095035</v>
      </c>
      <c r="U45" s="8">
        <f>Assumptions!V573/10^6</f>
        <v>26.100104876074226</v>
      </c>
      <c r="V45" s="8">
        <f>Assumptions!W573/10^6</f>
        <v>26.762385362220076</v>
      </c>
      <c r="W45" s="2"/>
      <c r="X45" s="2"/>
      <c r="Y45" s="2"/>
      <c r="Z45" s="2"/>
      <c r="AA45" s="2"/>
      <c r="AB45" s="2"/>
      <c r="AC45" s="198"/>
      <c r="AE45" s="4"/>
    </row>
    <row r="46" spans="2:67" ht="15" customHeight="1">
      <c r="B46" s="198"/>
      <c r="D46" s="2" t="s">
        <v>67</v>
      </c>
      <c r="E46" s="2"/>
      <c r="F46" s="2"/>
      <c r="G46" s="201">
        <f>Assumptions!H581/10^6</f>
        <v>2.3653492104594847</v>
      </c>
      <c r="H46" s="8">
        <f>Assumptions!I581/10^6</f>
        <v>2.6438093000395031</v>
      </c>
      <c r="I46" s="8">
        <f>Assumptions!J581/10^6</f>
        <v>3.2296239798082995</v>
      </c>
      <c r="J46" s="8">
        <f>Assumptions!K581/10^6</f>
        <v>3.5879587345255572</v>
      </c>
      <c r="K46" s="8">
        <f>Assumptions!L581/10^6</f>
        <v>3.7930897541156638</v>
      </c>
      <c r="L46" s="8">
        <f>Assumptions!M581/10^6</f>
        <v>3.9989173497181425</v>
      </c>
      <c r="M46" s="8">
        <f>Assumptions!N581/10^6</f>
        <v>4.0908924487616583</v>
      </c>
      <c r="N46" s="8">
        <f>Assumptions!O581/10^6</f>
        <v>4.1964486007684725</v>
      </c>
      <c r="O46" s="8">
        <f>Assumptions!P581/10^6</f>
        <v>4.28123758351009</v>
      </c>
      <c r="P46" s="8">
        <f>Assumptions!Q581/10^6</f>
        <v>4.3797060479308216</v>
      </c>
      <c r="Q46" s="8">
        <f>Assumptions!R581/10^6</f>
        <v>4.4804392870332297</v>
      </c>
      <c r="R46" s="8">
        <f>Assumptions!S581/10^6</f>
        <v>4.5960468069968865</v>
      </c>
      <c r="S46" s="8">
        <f>Assumptions!T581/10^6</f>
        <v>4.6889096466195985</v>
      </c>
      <c r="T46" s="8">
        <f>Assumptions!U581/10^6</f>
        <v>4.9390006905860284</v>
      </c>
      <c r="U46" s="8">
        <f>Assumptions!V581/10^6</f>
        <v>5.0525977064695065</v>
      </c>
      <c r="V46" s="8">
        <f>Assumptions!W581/10^6</f>
        <v>5.1790484955395568</v>
      </c>
      <c r="W46" s="2"/>
      <c r="X46" s="2"/>
      <c r="Y46" s="2"/>
      <c r="Z46" s="2"/>
      <c r="AA46" s="2"/>
      <c r="AB46" s="2"/>
      <c r="AC46" s="198"/>
    </row>
    <row r="47" spans="2:67" ht="15" customHeight="1">
      <c r="B47" s="198"/>
      <c r="D47" s="2" t="s">
        <v>68</v>
      </c>
      <c r="E47" s="2"/>
      <c r="F47" s="2"/>
      <c r="G47" s="201">
        <f>Assumptions!H588/10^6</f>
        <v>4.4052952638659688</v>
      </c>
      <c r="H47" s="8">
        <f>Assumptions!I588/10^6</f>
        <v>4.9239074452631737</v>
      </c>
      <c r="I47" s="8">
        <f>Assumptions!J588/10^6</f>
        <v>6.014945767586549</v>
      </c>
      <c r="J47" s="8">
        <f>Assumptions!K588/10^6</f>
        <v>6.6823188518035144</v>
      </c>
      <c r="K47" s="8">
        <f>Assumptions!L588/10^6</f>
        <v>7.0643608374335143</v>
      </c>
      <c r="L47" s="8">
        <f>Assumptions!M588/10^6</f>
        <v>7.4477001465177661</v>
      </c>
      <c r="M47" s="8">
        <f>Assumptions!N588/10^6</f>
        <v>7.6189972498876717</v>
      </c>
      <c r="N47" s="8">
        <f>Assumptions!O588/10^6</f>
        <v>7.8155881018647468</v>
      </c>
      <c r="O47" s="8">
        <f>Assumptions!P588/10^6</f>
        <v>7.9735015729276961</v>
      </c>
      <c r="P47" s="8">
        <f>Assumptions!Q588/10^6</f>
        <v>8.1568921091050317</v>
      </c>
      <c r="Q47" s="8">
        <f>Assumptions!R588/10^6</f>
        <v>8.3445006276144476</v>
      </c>
      <c r="R47" s="8">
        <f>Assumptions!S588/10^6</f>
        <v>8.5598114400353555</v>
      </c>
      <c r="S47" s="8">
        <f>Assumptions!T588/10^6</f>
        <v>8.7327618973167187</v>
      </c>
      <c r="T47" s="8">
        <f>Assumptions!U588/10^6</f>
        <v>9.1985387418726194</v>
      </c>
      <c r="U47" s="8">
        <f>Assumptions!V588/10^6</f>
        <v>9.4101051329356871</v>
      </c>
      <c r="V47" s="8">
        <f>Assumptions!W588/10^6</f>
        <v>9.6456107655666514</v>
      </c>
      <c r="W47" s="2"/>
      <c r="X47" s="2"/>
      <c r="Y47" s="2"/>
      <c r="Z47" s="2"/>
      <c r="AA47" s="2"/>
      <c r="AB47" s="2"/>
      <c r="AC47" s="198"/>
    </row>
    <row r="48" spans="2:67" ht="15" customHeight="1">
      <c r="B48" s="198"/>
      <c r="D48" s="2" t="s">
        <v>69</v>
      </c>
      <c r="E48" s="2"/>
      <c r="F48" s="2"/>
      <c r="G48" s="201">
        <v>0</v>
      </c>
      <c r="H48" s="8">
        <v>0</v>
      </c>
      <c r="I48" s="8">
        <v>0</v>
      </c>
      <c r="J48" s="8">
        <v>0</v>
      </c>
      <c r="K48" s="8">
        <v>0</v>
      </c>
      <c r="L48" s="8">
        <v>0</v>
      </c>
      <c r="M48" s="8">
        <v>0</v>
      </c>
      <c r="N48" s="8">
        <v>0</v>
      </c>
      <c r="O48" s="8">
        <v>0</v>
      </c>
      <c r="P48" s="8">
        <v>0</v>
      </c>
      <c r="Q48" s="8">
        <v>0</v>
      </c>
      <c r="R48" s="8">
        <v>0</v>
      </c>
      <c r="S48" s="8">
        <v>0</v>
      </c>
      <c r="T48" s="8">
        <v>0</v>
      </c>
      <c r="U48" s="8">
        <v>0</v>
      </c>
      <c r="V48" s="8">
        <v>0</v>
      </c>
      <c r="W48" s="2"/>
      <c r="X48" s="2"/>
      <c r="Y48" s="2"/>
      <c r="Z48" s="2"/>
      <c r="AA48" s="2"/>
      <c r="AB48" s="2"/>
      <c r="AC48" s="198"/>
    </row>
    <row r="49" spans="2:29" ht="15" customHeight="1" thickBot="1">
      <c r="B49" s="198"/>
      <c r="D49" s="28" t="s">
        <v>70</v>
      </c>
      <c r="E49" s="2"/>
      <c r="F49" s="2"/>
      <c r="G49" s="202">
        <f t="shared" ref="G49:V49" si="15">SUM(G43:G48)</f>
        <v>307.91755456605676</v>
      </c>
      <c r="H49" s="17">
        <f t="shared" si="15"/>
        <v>473.73421482800234</v>
      </c>
      <c r="I49" s="17">
        <f t="shared" si="15"/>
        <v>688.28156968274436</v>
      </c>
      <c r="J49" s="17">
        <f t="shared" si="15"/>
        <v>931.49179613721003</v>
      </c>
      <c r="K49" s="17">
        <f t="shared" si="15"/>
        <v>1016.8332087020873</v>
      </c>
      <c r="L49" s="17">
        <f t="shared" si="15"/>
        <v>1103.011553142703</v>
      </c>
      <c r="M49" s="17">
        <f t="shared" si="15"/>
        <v>1189.5568791568348</v>
      </c>
      <c r="N49" s="17">
        <f t="shared" si="15"/>
        <v>1277.0257107141456</v>
      </c>
      <c r="O49" s="17">
        <f t="shared" si="15"/>
        <v>1365.2885771219085</v>
      </c>
      <c r="P49" s="17">
        <f t="shared" si="15"/>
        <v>1454.5079648685382</v>
      </c>
      <c r="Q49" s="17">
        <f t="shared" si="15"/>
        <v>1544.6520384248195</v>
      </c>
      <c r="R49" s="17">
        <f t="shared" si="15"/>
        <v>1635.7910552440067</v>
      </c>
      <c r="S49" s="17">
        <f t="shared" si="15"/>
        <v>1727.7824492988577</v>
      </c>
      <c r="T49" s="17">
        <f t="shared" si="15"/>
        <v>1821.4067434757312</v>
      </c>
      <c r="U49" s="17">
        <f t="shared" si="15"/>
        <v>1915.4356148963127</v>
      </c>
      <c r="V49" s="17">
        <f t="shared" si="15"/>
        <v>2010.5201669677901</v>
      </c>
      <c r="W49" s="2"/>
      <c r="X49" s="2"/>
      <c r="Y49" s="2"/>
      <c r="Z49" s="2"/>
      <c r="AA49" s="2"/>
      <c r="AB49" s="2"/>
      <c r="AC49" s="198"/>
    </row>
    <row r="50" spans="2:29" ht="15" customHeight="1">
      <c r="B50" s="198"/>
      <c r="D50" s="2" t="s">
        <v>71</v>
      </c>
      <c r="E50" s="2"/>
      <c r="F50" s="2"/>
      <c r="G50" s="201">
        <f>Assumptions!H670/10^6</f>
        <v>2110.3618696461654</v>
      </c>
      <c r="H50" s="8">
        <f>Assumptions!I670/10^6</f>
        <v>2403.7929625665397</v>
      </c>
      <c r="I50" s="8">
        <f>Assumptions!J670/10^6</f>
        <v>2322.6984364211985</v>
      </c>
      <c r="J50" s="8">
        <f>Assumptions!K670/10^6</f>
        <v>2240.7740839817275</v>
      </c>
      <c r="K50" s="8">
        <f>Assumptions!L670/10^6</f>
        <v>2158.0071761763575</v>
      </c>
      <c r="L50" s="8">
        <f>Assumptions!M670/10^6</f>
        <v>2074.3847431150334</v>
      </c>
      <c r="M50" s="8">
        <f>Assumptions!N670/10^6</f>
        <v>1989.893569174651</v>
      </c>
      <c r="N50" s="8">
        <f>Assumptions!O670/10^6</f>
        <v>1904.5201879804727</v>
      </c>
      <c r="O50" s="8">
        <f>Assumptions!P670/10^6</f>
        <v>1818.2508772814929</v>
      </c>
      <c r="P50" s="8">
        <f>Assumptions!Q670/10^6</f>
        <v>1731.0716537174442</v>
      </c>
      <c r="Q50" s="8">
        <f>Assumptions!R670/10^6</f>
        <v>1642.9682674750716</v>
      </c>
      <c r="R50" s="8">
        <f>Assumptions!S670/10^6</f>
        <v>1553.9261968312928</v>
      </c>
      <c r="S50" s="8">
        <f>Assumptions!T670/10^6</f>
        <v>1463.9306425807556</v>
      </c>
      <c r="T50" s="8">
        <f>Assumptions!U670/10^6</f>
        <v>1372.9665223452939</v>
      </c>
      <c r="U50" s="8">
        <f>Assumptions!V670/10^6</f>
        <v>1281.0184647626895</v>
      </c>
      <c r="V50" s="8">
        <f>Assumptions!W670/10^6</f>
        <v>1188.0708035521234</v>
      </c>
      <c r="W50" s="2"/>
      <c r="X50" s="2"/>
      <c r="Y50" s="2"/>
      <c r="Z50" s="2"/>
      <c r="AA50" s="2"/>
      <c r="AB50" s="2"/>
      <c r="AC50" s="198"/>
    </row>
    <row r="51" spans="2:29" ht="15" customHeight="1">
      <c r="B51" s="198"/>
      <c r="D51" s="2" t="s">
        <v>72</v>
      </c>
      <c r="E51" s="2"/>
      <c r="F51" s="2"/>
      <c r="G51" s="201">
        <f>Assumptions!H678/10^6</f>
        <v>375.68673000000001</v>
      </c>
      <c r="H51" s="8">
        <f>Assumptions!I678/10^6</f>
        <v>0</v>
      </c>
      <c r="I51" s="8">
        <f>Assumptions!J678/10^6</f>
        <v>0</v>
      </c>
      <c r="J51" s="8">
        <f>Assumptions!K678/10^6</f>
        <v>0</v>
      </c>
      <c r="K51" s="8">
        <f>Assumptions!L678/10^6</f>
        <v>0</v>
      </c>
      <c r="L51" s="8">
        <f>Assumptions!M678/10^6</f>
        <v>0</v>
      </c>
      <c r="M51" s="8">
        <f>Assumptions!N678/10^6</f>
        <v>0</v>
      </c>
      <c r="N51" s="8">
        <f>Assumptions!O678/10^6</f>
        <v>0</v>
      </c>
      <c r="O51" s="8">
        <f>Assumptions!P678/10^6</f>
        <v>0</v>
      </c>
      <c r="P51" s="8">
        <f>Assumptions!Q678/10^6</f>
        <v>0</v>
      </c>
      <c r="Q51" s="8">
        <f>Assumptions!R678/10^6</f>
        <v>0</v>
      </c>
      <c r="R51" s="8">
        <f>Assumptions!S678/10^6</f>
        <v>0</v>
      </c>
      <c r="S51" s="8">
        <f>Assumptions!T678/10^6</f>
        <v>0</v>
      </c>
      <c r="T51" s="8">
        <f>Assumptions!U678/10^6</f>
        <v>0</v>
      </c>
      <c r="U51" s="8">
        <f>Assumptions!V678/10^6</f>
        <v>0</v>
      </c>
      <c r="V51" s="8">
        <f>Assumptions!W678/10^6</f>
        <v>0</v>
      </c>
      <c r="W51" s="2"/>
      <c r="X51" s="2"/>
      <c r="Y51" s="2"/>
      <c r="Z51" s="2"/>
      <c r="AA51" s="2"/>
      <c r="AB51" s="2"/>
      <c r="AC51" s="198"/>
    </row>
    <row r="52" spans="2:29" ht="15" customHeight="1">
      <c r="B52" s="198"/>
      <c r="D52" s="2" t="s">
        <v>73</v>
      </c>
      <c r="E52" s="2"/>
      <c r="F52" s="2"/>
      <c r="G52" s="201">
        <f>Assumptions!H683/10^6</f>
        <v>1500</v>
      </c>
      <c r="H52" s="8">
        <f>Assumptions!I683/10^6</f>
        <v>1500</v>
      </c>
      <c r="I52" s="8">
        <f>Assumptions!J683/10^6</f>
        <v>1500</v>
      </c>
      <c r="J52" s="8">
        <f>Assumptions!K683/10^6</f>
        <v>1500</v>
      </c>
      <c r="K52" s="8">
        <f>Assumptions!L683/10^6</f>
        <v>1500</v>
      </c>
      <c r="L52" s="8">
        <f>Assumptions!M683/10^6</f>
        <v>1500</v>
      </c>
      <c r="M52" s="8">
        <f>Assumptions!N683/10^6</f>
        <v>1500</v>
      </c>
      <c r="N52" s="8">
        <f>Assumptions!O683/10^6</f>
        <v>1500</v>
      </c>
      <c r="O52" s="8">
        <f>Assumptions!P683/10^6</f>
        <v>1500</v>
      </c>
      <c r="P52" s="8">
        <f>Assumptions!Q683/10^6</f>
        <v>1500</v>
      </c>
      <c r="Q52" s="8">
        <f>Assumptions!R683/10^6</f>
        <v>1500</v>
      </c>
      <c r="R52" s="8">
        <f>Assumptions!S683/10^6</f>
        <v>1500</v>
      </c>
      <c r="S52" s="8">
        <f>Assumptions!T683/10^6</f>
        <v>1500</v>
      </c>
      <c r="T52" s="8">
        <f>Assumptions!U683/10^6</f>
        <v>1500</v>
      </c>
      <c r="U52" s="8">
        <f>Assumptions!V683/10^6</f>
        <v>1500</v>
      </c>
      <c r="V52" s="8">
        <f>Assumptions!W683/10^6</f>
        <v>1500</v>
      </c>
      <c r="W52" s="2"/>
      <c r="X52" s="2"/>
      <c r="Y52" s="2"/>
      <c r="Z52" s="2"/>
      <c r="AA52" s="2"/>
      <c r="AB52" s="2"/>
      <c r="AC52" s="198"/>
    </row>
    <row r="53" spans="2:29" ht="15" customHeight="1">
      <c r="B53" s="198"/>
      <c r="D53" s="2" t="s">
        <v>74</v>
      </c>
      <c r="E53" s="2"/>
      <c r="F53" s="2"/>
      <c r="G53" s="201">
        <v>0</v>
      </c>
      <c r="H53" s="8">
        <v>0</v>
      </c>
      <c r="I53" s="8">
        <v>0</v>
      </c>
      <c r="J53" s="8">
        <v>0</v>
      </c>
      <c r="K53" s="8">
        <v>0</v>
      </c>
      <c r="L53" s="8">
        <v>0</v>
      </c>
      <c r="M53" s="8">
        <v>0</v>
      </c>
      <c r="N53" s="8">
        <v>0</v>
      </c>
      <c r="O53" s="8">
        <v>0</v>
      </c>
      <c r="P53" s="8">
        <v>0</v>
      </c>
      <c r="Q53" s="8">
        <v>0</v>
      </c>
      <c r="R53" s="8">
        <v>0</v>
      </c>
      <c r="S53" s="8">
        <v>0</v>
      </c>
      <c r="T53" s="8">
        <v>0</v>
      </c>
      <c r="U53" s="8">
        <v>0</v>
      </c>
      <c r="V53" s="8">
        <v>0</v>
      </c>
      <c r="W53" s="2"/>
      <c r="X53" s="2"/>
      <c r="Y53" s="2"/>
      <c r="Z53" s="2"/>
      <c r="AA53" s="2"/>
      <c r="AB53" s="2"/>
      <c r="AC53" s="198"/>
    </row>
    <row r="54" spans="2:29" ht="15" customHeight="1">
      <c r="B54" s="198"/>
      <c r="D54" s="2" t="s">
        <v>75</v>
      </c>
      <c r="E54" s="2"/>
      <c r="F54" s="2"/>
      <c r="G54" s="201">
        <v>0</v>
      </c>
      <c r="H54" s="8">
        <v>0</v>
      </c>
      <c r="I54" s="8">
        <v>0</v>
      </c>
      <c r="J54" s="8">
        <v>0</v>
      </c>
      <c r="K54" s="8">
        <v>0</v>
      </c>
      <c r="L54" s="8">
        <v>0</v>
      </c>
      <c r="M54" s="8">
        <v>0</v>
      </c>
      <c r="N54" s="8">
        <v>0</v>
      </c>
      <c r="O54" s="8">
        <v>0</v>
      </c>
      <c r="P54" s="8">
        <v>0</v>
      </c>
      <c r="Q54" s="8">
        <v>0</v>
      </c>
      <c r="R54" s="8">
        <v>0</v>
      </c>
      <c r="S54" s="8">
        <v>0</v>
      </c>
      <c r="T54" s="8">
        <v>0</v>
      </c>
      <c r="U54" s="8">
        <v>0</v>
      </c>
      <c r="V54" s="8">
        <v>0</v>
      </c>
      <c r="W54" s="2"/>
      <c r="X54" s="2"/>
      <c r="Y54" s="2"/>
      <c r="Z54" s="2"/>
      <c r="AA54" s="2"/>
      <c r="AB54" s="2"/>
      <c r="AC54" s="198"/>
    </row>
    <row r="55" spans="2:29" ht="15" customHeight="1" outlineLevel="1">
      <c r="B55" s="198"/>
      <c r="D55" s="2" t="s">
        <v>76</v>
      </c>
      <c r="E55" s="2"/>
      <c r="F55" s="2"/>
      <c r="G55" s="201">
        <v>0</v>
      </c>
      <c r="H55" s="8">
        <v>0</v>
      </c>
      <c r="I55" s="8">
        <v>0</v>
      </c>
      <c r="J55" s="8">
        <v>0</v>
      </c>
      <c r="K55" s="8">
        <v>0</v>
      </c>
      <c r="L55" s="8">
        <v>0</v>
      </c>
      <c r="M55" s="8">
        <v>0</v>
      </c>
      <c r="N55" s="8">
        <v>0</v>
      </c>
      <c r="O55" s="8">
        <v>0</v>
      </c>
      <c r="P55" s="8">
        <v>0</v>
      </c>
      <c r="Q55" s="8">
        <v>0</v>
      </c>
      <c r="R55" s="8">
        <v>0</v>
      </c>
      <c r="S55" s="8">
        <v>0</v>
      </c>
      <c r="T55" s="8">
        <v>0</v>
      </c>
      <c r="U55" s="8">
        <v>0</v>
      </c>
      <c r="V55" s="8">
        <v>0</v>
      </c>
      <c r="W55" s="2"/>
      <c r="X55" s="2"/>
      <c r="Y55" s="2"/>
      <c r="Z55" s="2"/>
      <c r="AA55" s="2"/>
      <c r="AB55" s="2"/>
      <c r="AC55" s="198"/>
    </row>
    <row r="56" spans="2:29" ht="15" customHeight="1" thickBot="1">
      <c r="B56" s="198"/>
      <c r="D56" s="28" t="s">
        <v>77</v>
      </c>
      <c r="E56" s="2"/>
      <c r="F56" s="2"/>
      <c r="G56" s="202">
        <f t="shared" ref="G56:V56" si="16">SUM(G50:G55)</f>
        <v>3986.0485996461653</v>
      </c>
      <c r="H56" s="17">
        <f t="shared" si="16"/>
        <v>3903.7929625665397</v>
      </c>
      <c r="I56" s="17">
        <f t="shared" si="16"/>
        <v>3822.6984364211985</v>
      </c>
      <c r="J56" s="17">
        <f t="shared" si="16"/>
        <v>3740.7740839817275</v>
      </c>
      <c r="K56" s="17">
        <f t="shared" si="16"/>
        <v>3658.0071761763575</v>
      </c>
      <c r="L56" s="17">
        <f t="shared" si="16"/>
        <v>3574.3847431150334</v>
      </c>
      <c r="M56" s="17">
        <f t="shared" si="16"/>
        <v>3489.893569174651</v>
      </c>
      <c r="N56" s="17">
        <f t="shared" si="16"/>
        <v>3404.5201879804727</v>
      </c>
      <c r="O56" s="17">
        <f t="shared" si="16"/>
        <v>3318.2508772814926</v>
      </c>
      <c r="P56" s="17">
        <f t="shared" si="16"/>
        <v>3231.071653717444</v>
      </c>
      <c r="Q56" s="17">
        <f t="shared" si="16"/>
        <v>3142.9682674750716</v>
      </c>
      <c r="R56" s="17">
        <f t="shared" si="16"/>
        <v>3053.9261968312931</v>
      </c>
      <c r="S56" s="17">
        <f t="shared" si="16"/>
        <v>2963.9306425807554</v>
      </c>
      <c r="T56" s="17">
        <f t="shared" si="16"/>
        <v>2872.9665223452939</v>
      </c>
      <c r="U56" s="17">
        <f t="shared" si="16"/>
        <v>2781.0184647626893</v>
      </c>
      <c r="V56" s="17">
        <f t="shared" si="16"/>
        <v>2688.0708035521234</v>
      </c>
      <c r="W56" s="2"/>
      <c r="X56" s="2"/>
      <c r="Y56" s="2"/>
      <c r="Z56" s="2"/>
      <c r="AA56" s="2"/>
      <c r="AB56" s="2"/>
      <c r="AC56" s="198"/>
    </row>
    <row r="57" spans="2:29" ht="15" customHeight="1" thickBot="1">
      <c r="B57" s="198"/>
      <c r="D57" s="29" t="s">
        <v>78</v>
      </c>
      <c r="E57" s="2"/>
      <c r="F57" s="2"/>
      <c r="G57" s="202">
        <f t="shared" ref="G57:V57" si="17">G49+G56</f>
        <v>4293.9661542122221</v>
      </c>
      <c r="H57" s="21">
        <f t="shared" si="17"/>
        <v>4377.5271773945424</v>
      </c>
      <c r="I57" s="21">
        <f t="shared" si="17"/>
        <v>4510.9800061039432</v>
      </c>
      <c r="J57" s="21">
        <f t="shared" si="17"/>
        <v>4672.2658801189373</v>
      </c>
      <c r="K57" s="21">
        <f t="shared" si="17"/>
        <v>4674.8403848784446</v>
      </c>
      <c r="L57" s="21">
        <f t="shared" si="17"/>
        <v>4677.3962962577361</v>
      </c>
      <c r="M57" s="21">
        <f t="shared" si="17"/>
        <v>4679.4504483314859</v>
      </c>
      <c r="N57" s="21">
        <f t="shared" si="17"/>
        <v>4681.5458986946178</v>
      </c>
      <c r="O57" s="21">
        <f t="shared" si="17"/>
        <v>4683.5394544034007</v>
      </c>
      <c r="P57" s="21">
        <f t="shared" si="17"/>
        <v>4685.5796185859817</v>
      </c>
      <c r="Q57" s="21">
        <f t="shared" si="17"/>
        <v>4687.6203058998908</v>
      </c>
      <c r="R57" s="21">
        <f t="shared" si="17"/>
        <v>4689.7172520752993</v>
      </c>
      <c r="S57" s="21">
        <f t="shared" si="17"/>
        <v>4691.7130918796129</v>
      </c>
      <c r="T57" s="21">
        <f t="shared" si="17"/>
        <v>4694.3732658210247</v>
      </c>
      <c r="U57" s="21">
        <f t="shared" si="17"/>
        <v>4696.4540796590018</v>
      </c>
      <c r="V57" s="21">
        <f t="shared" si="17"/>
        <v>4698.5909705199138</v>
      </c>
      <c r="W57" s="2"/>
      <c r="X57" s="2"/>
      <c r="Y57" s="2"/>
      <c r="Z57" s="2"/>
      <c r="AA57" s="2"/>
      <c r="AB57" s="2"/>
      <c r="AC57" s="198"/>
    </row>
    <row r="58" spans="2:29" ht="15" customHeight="1">
      <c r="B58" s="198"/>
      <c r="D58" s="2" t="s">
        <v>79</v>
      </c>
      <c r="E58" s="2"/>
      <c r="F58" s="2"/>
      <c r="G58" s="201">
        <f>Assumptions!H595/10^6</f>
        <v>10.032119364913072</v>
      </c>
      <c r="H58" s="8">
        <f>Assumptions!I595/10^6</f>
        <v>11.21314787633886</v>
      </c>
      <c r="I58" s="8">
        <f>Assumptions!J595/10^6</f>
        <v>13.697754701906593</v>
      </c>
      <c r="J58" s="8">
        <f>Assumptions!K595/10^6</f>
        <v>15.217554406755273</v>
      </c>
      <c r="K58" s="8">
        <f>Assumptions!L595/10^6</f>
        <v>16.087573457166233</v>
      </c>
      <c r="L58" s="8">
        <f>Assumptions!M595/10^6</f>
        <v>16.960546884745664</v>
      </c>
      <c r="M58" s="8">
        <f>Assumptions!N595/10^6</f>
        <v>17.350639463094808</v>
      </c>
      <c r="N58" s="8">
        <f>Assumptions!O595/10^6</f>
        <v>17.798333153291004</v>
      </c>
      <c r="O58" s="8">
        <f>Assumptions!P595/10^6</f>
        <v>18.157947366673145</v>
      </c>
      <c r="P58" s="8">
        <f>Assumptions!Q595/10^6</f>
        <v>18.575580156106628</v>
      </c>
      <c r="Q58" s="8">
        <f>Assumptions!R595/10^6</f>
        <v>19.002818499697081</v>
      </c>
      <c r="R58" s="8">
        <f>Assumptions!S595/10^6</f>
        <v>19.493142902803577</v>
      </c>
      <c r="S58" s="8">
        <f>Assumptions!T595/10^6</f>
        <v>19.887000641669481</v>
      </c>
      <c r="T58" s="8">
        <f>Assumptions!U595/10^6</f>
        <v>20.94770795459922</v>
      </c>
      <c r="U58" s="8">
        <f>Assumptions!V595/10^6</f>
        <v>21.429505237554995</v>
      </c>
      <c r="V58" s="8">
        <f>Assumptions!W595/10^6</f>
        <v>21.965819031784036</v>
      </c>
      <c r="W58" s="2"/>
      <c r="X58" s="2"/>
      <c r="Y58" s="2"/>
      <c r="Z58" s="2"/>
      <c r="AA58" s="2"/>
      <c r="AB58" s="2"/>
      <c r="AC58" s="198"/>
    </row>
    <row r="59" spans="2:29" ht="15" customHeight="1">
      <c r="B59" s="198"/>
      <c r="D59" s="2" t="s">
        <v>341</v>
      </c>
      <c r="E59" s="2"/>
      <c r="F59" s="2"/>
      <c r="G59" s="201">
        <v>0</v>
      </c>
      <c r="H59" s="8">
        <v>0</v>
      </c>
      <c r="I59" s="8">
        <v>0</v>
      </c>
      <c r="J59" s="8">
        <v>0</v>
      </c>
      <c r="K59" s="8">
        <v>0</v>
      </c>
      <c r="L59" s="8">
        <v>0</v>
      </c>
      <c r="M59" s="8">
        <v>0</v>
      </c>
      <c r="N59" s="8">
        <v>0</v>
      </c>
      <c r="O59" s="8">
        <v>0</v>
      </c>
      <c r="P59" s="8">
        <v>0</v>
      </c>
      <c r="Q59" s="8">
        <v>0</v>
      </c>
      <c r="R59" s="8">
        <v>0</v>
      </c>
      <c r="S59" s="8">
        <v>0</v>
      </c>
      <c r="T59" s="8">
        <v>0</v>
      </c>
      <c r="U59" s="8">
        <v>0</v>
      </c>
      <c r="V59" s="8">
        <v>0</v>
      </c>
      <c r="W59" s="2"/>
      <c r="X59" s="2"/>
      <c r="Y59" s="2"/>
      <c r="Z59" s="2"/>
      <c r="AA59" s="2"/>
      <c r="AB59" s="2"/>
      <c r="AC59" s="198"/>
    </row>
    <row r="60" spans="2:29" ht="15" customHeight="1">
      <c r="B60" s="198"/>
      <c r="D60" s="2" t="s">
        <v>80</v>
      </c>
      <c r="E60" s="2"/>
      <c r="F60" s="2"/>
      <c r="G60" s="201">
        <f>Assumptions!H515</f>
        <v>0</v>
      </c>
      <c r="H60" s="8">
        <f>Assumptions!I515</f>
        <v>0</v>
      </c>
      <c r="I60" s="8">
        <f>Assumptions!J515</f>
        <v>0</v>
      </c>
      <c r="J60" s="8">
        <f>Assumptions!K515</f>
        <v>0</v>
      </c>
      <c r="K60" s="8">
        <f>Assumptions!L515</f>
        <v>0</v>
      </c>
      <c r="L60" s="8">
        <f>Assumptions!M515</f>
        <v>0</v>
      </c>
      <c r="M60" s="8">
        <f>Assumptions!N515</f>
        <v>0</v>
      </c>
      <c r="N60" s="8">
        <f>Assumptions!O515</f>
        <v>0</v>
      </c>
      <c r="O60" s="8">
        <f>Assumptions!P515</f>
        <v>0</v>
      </c>
      <c r="P60" s="8">
        <f>Assumptions!Q515</f>
        <v>0</v>
      </c>
      <c r="Q60" s="8">
        <f>Assumptions!R515</f>
        <v>0</v>
      </c>
      <c r="R60" s="8">
        <f>Assumptions!S515</f>
        <v>0</v>
      </c>
      <c r="S60" s="8">
        <f>Assumptions!T515</f>
        <v>0</v>
      </c>
      <c r="T60" s="8">
        <f>Assumptions!U515</f>
        <v>0</v>
      </c>
      <c r="U60" s="8">
        <f>Assumptions!V515</f>
        <v>0</v>
      </c>
      <c r="V60" s="8">
        <f>Assumptions!W515</f>
        <v>0</v>
      </c>
      <c r="W60" s="2"/>
      <c r="X60" s="2"/>
      <c r="Y60" s="2"/>
      <c r="Z60" s="2"/>
      <c r="AA60" s="2"/>
      <c r="AB60" s="2"/>
      <c r="AC60" s="198"/>
    </row>
    <row r="61" spans="2:29" ht="15" customHeight="1">
      <c r="B61" s="198"/>
      <c r="D61" s="2" t="s">
        <v>81</v>
      </c>
      <c r="E61" s="2"/>
      <c r="F61" s="2"/>
      <c r="G61" s="201">
        <f>Assumptions!H692/10^6</f>
        <v>43.477268000000002</v>
      </c>
      <c r="H61" s="8">
        <f>Assumptions!I692/10^6</f>
        <v>43.477268000000002</v>
      </c>
      <c r="I61" s="8">
        <f>Assumptions!J692/10^6</f>
        <v>43.477268000000002</v>
      </c>
      <c r="J61" s="8">
        <f>Assumptions!K692/10^6</f>
        <v>43.477268000000002</v>
      </c>
      <c r="K61" s="8">
        <f>Assumptions!L692/10^6</f>
        <v>43.477268000000002</v>
      </c>
      <c r="L61" s="8">
        <f>Assumptions!M692/10^6</f>
        <v>43.477268000000002</v>
      </c>
      <c r="M61" s="8">
        <f>Assumptions!N692/10^6</f>
        <v>43.477268000000002</v>
      </c>
      <c r="N61" s="8">
        <f>Assumptions!O692/10^6</f>
        <v>43.477268000000002</v>
      </c>
      <c r="O61" s="8">
        <f>Assumptions!P692/10^6</f>
        <v>43.477268000000002</v>
      </c>
      <c r="P61" s="8">
        <f>Assumptions!Q692/10^6</f>
        <v>43.477268000000002</v>
      </c>
      <c r="Q61" s="8">
        <f>Assumptions!R692/10^6</f>
        <v>43.477268000000002</v>
      </c>
      <c r="R61" s="8">
        <f>Assumptions!S692/10^6</f>
        <v>43.477268000000002</v>
      </c>
      <c r="S61" s="8">
        <f>Assumptions!T692/10^6</f>
        <v>43.477268000000002</v>
      </c>
      <c r="T61" s="8">
        <f>Assumptions!U692/10^6</f>
        <v>43.477268000000002</v>
      </c>
      <c r="U61" s="8">
        <f>Assumptions!V692/10^6</f>
        <v>43.477268000000002</v>
      </c>
      <c r="V61" s="8">
        <f>Assumptions!W692/10^6</f>
        <v>43.477268000000002</v>
      </c>
      <c r="W61" s="2"/>
      <c r="X61" s="2"/>
      <c r="Y61" s="2"/>
      <c r="Z61" s="2"/>
      <c r="AA61" s="2"/>
      <c r="AB61" s="2"/>
      <c r="AC61" s="198"/>
    </row>
    <row r="62" spans="2:29" ht="15" customHeight="1" outlineLevel="1">
      <c r="B62" s="198"/>
      <c r="D62" s="2" t="s">
        <v>82</v>
      </c>
      <c r="E62" s="2"/>
      <c r="F62" s="2"/>
      <c r="G62" s="201">
        <v>0</v>
      </c>
      <c r="H62" s="8">
        <v>0</v>
      </c>
      <c r="I62" s="8">
        <v>0</v>
      </c>
      <c r="J62" s="8">
        <v>0</v>
      </c>
      <c r="K62" s="8">
        <v>0</v>
      </c>
      <c r="L62" s="8">
        <v>0</v>
      </c>
      <c r="M62" s="8">
        <v>0</v>
      </c>
      <c r="N62" s="8">
        <v>0</v>
      </c>
      <c r="O62" s="8">
        <v>0</v>
      </c>
      <c r="P62" s="8">
        <v>0</v>
      </c>
      <c r="Q62" s="8">
        <v>0</v>
      </c>
      <c r="R62" s="8">
        <v>0</v>
      </c>
      <c r="S62" s="8">
        <v>0</v>
      </c>
      <c r="T62" s="8">
        <v>0</v>
      </c>
      <c r="U62" s="8">
        <v>0</v>
      </c>
      <c r="V62" s="8">
        <v>0</v>
      </c>
      <c r="W62" s="2"/>
      <c r="X62" s="2"/>
      <c r="Y62" s="2"/>
      <c r="Z62" s="2"/>
      <c r="AA62" s="2"/>
      <c r="AB62" s="2"/>
      <c r="AC62" s="198"/>
    </row>
    <row r="63" spans="2:29" ht="15" customHeight="1" outlineLevel="1">
      <c r="B63" s="198"/>
      <c r="D63" s="2" t="s">
        <v>83</v>
      </c>
      <c r="E63" s="2"/>
      <c r="F63" s="2"/>
      <c r="G63" s="201">
        <f>Assumptions!H764/10^6</f>
        <v>0</v>
      </c>
      <c r="H63" s="8">
        <f>Assumptions!I764/10^6</f>
        <v>0</v>
      </c>
      <c r="I63" s="8">
        <f>Assumptions!J764/10^6</f>
        <v>0</v>
      </c>
      <c r="J63" s="8">
        <f>Assumptions!K764/10^6</f>
        <v>0</v>
      </c>
      <c r="K63" s="8">
        <f>Assumptions!L764/10^6</f>
        <v>0</v>
      </c>
      <c r="L63" s="8">
        <f>Assumptions!M764/10^6</f>
        <v>0</v>
      </c>
      <c r="M63" s="8">
        <f>Assumptions!N764/10^6</f>
        <v>0</v>
      </c>
      <c r="N63" s="8">
        <f>Assumptions!O764/10^6</f>
        <v>0</v>
      </c>
      <c r="O63" s="8">
        <f>Assumptions!P764/10^6</f>
        <v>0</v>
      </c>
      <c r="P63" s="8">
        <f>Assumptions!Q764/10^6</f>
        <v>0</v>
      </c>
      <c r="Q63" s="8">
        <f>Assumptions!R764/10^6</f>
        <v>0</v>
      </c>
      <c r="R63" s="8">
        <f>Assumptions!S764/10^6</f>
        <v>0</v>
      </c>
      <c r="S63" s="8">
        <f>Assumptions!T764/10^6</f>
        <v>0</v>
      </c>
      <c r="T63" s="8">
        <f>Assumptions!U764/10^6</f>
        <v>0</v>
      </c>
      <c r="U63" s="8">
        <f>Assumptions!V764/10^6</f>
        <v>0</v>
      </c>
      <c r="V63" s="8">
        <f>Assumptions!W764/10^6</f>
        <v>0</v>
      </c>
      <c r="W63" s="2"/>
      <c r="X63" s="2"/>
      <c r="Y63" s="2"/>
      <c r="Z63" s="2"/>
      <c r="AA63" s="2"/>
      <c r="AB63" s="2"/>
      <c r="AC63" s="198"/>
    </row>
    <row r="64" spans="2:29" ht="15" customHeight="1">
      <c r="B64" s="198"/>
      <c r="D64" s="2" t="s">
        <v>84</v>
      </c>
      <c r="E64" s="2"/>
      <c r="F64" s="2"/>
      <c r="G64" s="201">
        <v>0</v>
      </c>
      <c r="H64" s="8">
        <v>0</v>
      </c>
      <c r="I64" s="8">
        <v>0</v>
      </c>
      <c r="J64" s="8">
        <v>0</v>
      </c>
      <c r="K64" s="8">
        <v>0</v>
      </c>
      <c r="L64" s="8">
        <v>0</v>
      </c>
      <c r="M64" s="8">
        <v>0</v>
      </c>
      <c r="N64" s="8">
        <v>0</v>
      </c>
      <c r="O64" s="8">
        <v>0</v>
      </c>
      <c r="P64" s="8">
        <v>0</v>
      </c>
      <c r="Q64" s="8">
        <v>0</v>
      </c>
      <c r="R64" s="8">
        <v>0</v>
      </c>
      <c r="S64" s="8">
        <v>0</v>
      </c>
      <c r="T64" s="8">
        <v>0</v>
      </c>
      <c r="U64" s="8">
        <v>0</v>
      </c>
      <c r="V64" s="8">
        <v>0</v>
      </c>
      <c r="W64" s="2"/>
      <c r="X64" s="2"/>
      <c r="Y64" s="2"/>
      <c r="Z64" s="2"/>
      <c r="AA64" s="2"/>
      <c r="AB64" s="2"/>
      <c r="AC64" s="198"/>
    </row>
    <row r="65" spans="2:67" ht="15" customHeight="1" outlineLevel="1">
      <c r="B65" s="198"/>
      <c r="D65" s="2" t="s">
        <v>85</v>
      </c>
      <c r="E65" s="2"/>
      <c r="F65" s="2"/>
      <c r="G65" s="201">
        <f>Assumptions!H733/10^6</f>
        <v>0</v>
      </c>
      <c r="H65" s="8">
        <f>Assumptions!I733/10^6</f>
        <v>0</v>
      </c>
      <c r="I65" s="8">
        <f>Assumptions!J733/10^6</f>
        <v>0</v>
      </c>
      <c r="J65" s="8">
        <f>Assumptions!K733/10^6</f>
        <v>0</v>
      </c>
      <c r="K65" s="8">
        <f>Assumptions!L733/10^6</f>
        <v>0</v>
      </c>
      <c r="L65" s="8">
        <f>Assumptions!M733/10^6</f>
        <v>0</v>
      </c>
      <c r="M65" s="8">
        <f>Assumptions!N733/10^6</f>
        <v>0</v>
      </c>
      <c r="N65" s="8">
        <f>Assumptions!O733/10^6</f>
        <v>0</v>
      </c>
      <c r="O65" s="8">
        <f>Assumptions!P733/10^6</f>
        <v>0</v>
      </c>
      <c r="P65" s="8">
        <f>Assumptions!Q733/10^6</f>
        <v>0</v>
      </c>
      <c r="Q65" s="8">
        <f>Assumptions!R733/10^6</f>
        <v>0</v>
      </c>
      <c r="R65" s="8">
        <f>Assumptions!S733/10^6</f>
        <v>0</v>
      </c>
      <c r="S65" s="8">
        <f>Assumptions!T733/10^6</f>
        <v>0</v>
      </c>
      <c r="T65" s="8">
        <f>Assumptions!U733/10^6</f>
        <v>0</v>
      </c>
      <c r="U65" s="8">
        <f>Assumptions!V733/10^6</f>
        <v>0</v>
      </c>
      <c r="V65" s="8">
        <f>Assumptions!W733/10^6</f>
        <v>0</v>
      </c>
      <c r="W65" s="2"/>
      <c r="X65" s="2"/>
      <c r="Y65" s="2"/>
      <c r="Z65" s="2"/>
      <c r="AA65" s="2"/>
      <c r="AB65" s="2"/>
      <c r="AC65" s="198"/>
    </row>
    <row r="66" spans="2:67" ht="15" customHeight="1" outlineLevel="1">
      <c r="B66" s="198"/>
      <c r="D66" s="2" t="s">
        <v>86</v>
      </c>
      <c r="E66" s="2"/>
      <c r="F66" s="2"/>
      <c r="G66" s="201">
        <f>Assumptions!H724/10^6</f>
        <v>0</v>
      </c>
      <c r="H66" s="8">
        <f>Assumptions!I724/10^6</f>
        <v>0</v>
      </c>
      <c r="I66" s="8">
        <f>Assumptions!J724/10^6</f>
        <v>0</v>
      </c>
      <c r="J66" s="8">
        <f>Assumptions!K724/10^6</f>
        <v>0</v>
      </c>
      <c r="K66" s="8">
        <f>Assumptions!L724/10^6</f>
        <v>0</v>
      </c>
      <c r="L66" s="8">
        <f>Assumptions!M724/10^6</f>
        <v>0</v>
      </c>
      <c r="M66" s="8">
        <f>Assumptions!N724/10^6</f>
        <v>0</v>
      </c>
      <c r="N66" s="8">
        <f>Assumptions!O724/10^6</f>
        <v>0</v>
      </c>
      <c r="O66" s="8">
        <f>Assumptions!P724/10^6</f>
        <v>0</v>
      </c>
      <c r="P66" s="8">
        <f>Assumptions!Q724/10^6</f>
        <v>0</v>
      </c>
      <c r="Q66" s="8">
        <f>Assumptions!R724/10^6</f>
        <v>0</v>
      </c>
      <c r="R66" s="8">
        <f>Assumptions!S724/10^6</f>
        <v>0</v>
      </c>
      <c r="S66" s="8">
        <f>Assumptions!T724/10^6</f>
        <v>0</v>
      </c>
      <c r="T66" s="8">
        <f>Assumptions!U724/10^6</f>
        <v>0</v>
      </c>
      <c r="U66" s="8">
        <f>Assumptions!V724/10^6</f>
        <v>0</v>
      </c>
      <c r="V66" s="8">
        <f>Assumptions!W724/10^6</f>
        <v>0</v>
      </c>
      <c r="W66" s="2"/>
      <c r="X66" s="2"/>
      <c r="Y66" s="2"/>
      <c r="Z66" s="2"/>
      <c r="AA66" s="2"/>
      <c r="AB66" s="2"/>
      <c r="AC66" s="198"/>
    </row>
    <row r="67" spans="2:67" ht="15" customHeight="1" thickBot="1">
      <c r="B67" s="198"/>
      <c r="D67" s="28" t="s">
        <v>87</v>
      </c>
      <c r="E67" s="2"/>
      <c r="F67" s="2"/>
      <c r="G67" s="202">
        <f t="shared" ref="G67:V67" si="18">SUM(G58:G66)</f>
        <v>53.509387364913074</v>
      </c>
      <c r="H67" s="17">
        <f t="shared" si="18"/>
        <v>54.690415876338861</v>
      </c>
      <c r="I67" s="17">
        <f t="shared" si="18"/>
        <v>57.175022701906599</v>
      </c>
      <c r="J67" s="17">
        <f t="shared" si="18"/>
        <v>58.694822406755279</v>
      </c>
      <c r="K67" s="17">
        <f t="shared" si="18"/>
        <v>59.564841457166239</v>
      </c>
      <c r="L67" s="17">
        <f t="shared" si="18"/>
        <v>60.437814884745663</v>
      </c>
      <c r="M67" s="17">
        <f t="shared" si="18"/>
        <v>60.82790746309481</v>
      </c>
      <c r="N67" s="17">
        <f t="shared" si="18"/>
        <v>61.275601153291007</v>
      </c>
      <c r="O67" s="17">
        <f t="shared" si="18"/>
        <v>61.635215366673151</v>
      </c>
      <c r="P67" s="17">
        <f t="shared" si="18"/>
        <v>62.052848156106634</v>
      </c>
      <c r="Q67" s="17">
        <f t="shared" si="18"/>
        <v>62.48008649969708</v>
      </c>
      <c r="R67" s="17">
        <f t="shared" si="18"/>
        <v>62.970410902803579</v>
      </c>
      <c r="S67" s="17">
        <f t="shared" si="18"/>
        <v>63.364268641669483</v>
      </c>
      <c r="T67" s="17">
        <f t="shared" si="18"/>
        <v>64.424975954599219</v>
      </c>
      <c r="U67" s="17">
        <f t="shared" si="18"/>
        <v>64.906773237555001</v>
      </c>
      <c r="V67" s="17">
        <f t="shared" si="18"/>
        <v>65.443087031784046</v>
      </c>
      <c r="W67" s="2"/>
      <c r="X67" s="2"/>
      <c r="Y67" s="2"/>
      <c r="Z67" s="2"/>
      <c r="AA67" s="2"/>
      <c r="AB67" s="2"/>
      <c r="AC67" s="198"/>
    </row>
    <row r="68" spans="2:67" ht="15" customHeight="1">
      <c r="B68" s="198"/>
      <c r="D68" s="2" t="s">
        <v>88</v>
      </c>
      <c r="E68" s="2"/>
      <c r="F68" s="2"/>
      <c r="G68" s="201">
        <v>0</v>
      </c>
      <c r="H68" s="8">
        <v>0</v>
      </c>
      <c r="I68" s="8">
        <v>0</v>
      </c>
      <c r="J68" s="8">
        <v>0</v>
      </c>
      <c r="K68" s="8">
        <v>0</v>
      </c>
      <c r="L68" s="8">
        <v>0</v>
      </c>
      <c r="M68" s="8">
        <v>0</v>
      </c>
      <c r="N68" s="8">
        <v>0</v>
      </c>
      <c r="O68" s="8">
        <v>0</v>
      </c>
      <c r="P68" s="8">
        <v>0</v>
      </c>
      <c r="Q68" s="8">
        <v>0</v>
      </c>
      <c r="R68" s="8">
        <v>0</v>
      </c>
      <c r="S68" s="8">
        <v>0</v>
      </c>
      <c r="T68" s="8">
        <v>0</v>
      </c>
      <c r="U68" s="8">
        <v>0</v>
      </c>
      <c r="V68" s="8">
        <v>0</v>
      </c>
      <c r="W68" s="2"/>
      <c r="X68" s="2"/>
      <c r="Y68" s="2"/>
      <c r="Z68" s="2"/>
      <c r="AA68" s="2"/>
      <c r="AB68" s="2"/>
      <c r="AC68" s="198"/>
    </row>
    <row r="69" spans="2:67" ht="15" customHeight="1">
      <c r="B69" s="198"/>
      <c r="D69" s="2" t="s">
        <v>89</v>
      </c>
      <c r="E69" s="2"/>
      <c r="F69" s="2"/>
      <c r="G69" s="201">
        <f>Assumptions!H711/10^6</f>
        <v>0</v>
      </c>
      <c r="H69" s="8">
        <f>Assumptions!I711/10^6</f>
        <v>0</v>
      </c>
      <c r="I69" s="8">
        <f>Assumptions!J711/10^6</f>
        <v>0</v>
      </c>
      <c r="J69" s="8">
        <f>Assumptions!K711/10^6</f>
        <v>0</v>
      </c>
      <c r="K69" s="8">
        <f>Assumptions!L711/10^6</f>
        <v>0</v>
      </c>
      <c r="L69" s="8">
        <f>Assumptions!M711/10^6</f>
        <v>0</v>
      </c>
      <c r="M69" s="8">
        <f>Assumptions!N711/10^6</f>
        <v>0</v>
      </c>
      <c r="N69" s="8">
        <f>Assumptions!O711/10^6</f>
        <v>0</v>
      </c>
      <c r="O69" s="8">
        <f>Assumptions!P711/10^6</f>
        <v>0</v>
      </c>
      <c r="P69" s="8">
        <f>Assumptions!Q711/10^6</f>
        <v>0</v>
      </c>
      <c r="Q69" s="8">
        <f>Assumptions!R711/10^6</f>
        <v>0</v>
      </c>
      <c r="R69" s="8">
        <f>Assumptions!S711/10^6</f>
        <v>0</v>
      </c>
      <c r="S69" s="8">
        <f>Assumptions!T711/10^6</f>
        <v>0</v>
      </c>
      <c r="T69" s="8">
        <f>Assumptions!U711/10^6</f>
        <v>0</v>
      </c>
      <c r="U69" s="8">
        <f>Assumptions!V711/10^6</f>
        <v>0</v>
      </c>
      <c r="V69" s="8">
        <f>Assumptions!W711/10^6</f>
        <v>0</v>
      </c>
      <c r="W69" s="2"/>
      <c r="X69" s="2"/>
      <c r="Y69" s="2"/>
      <c r="Z69" s="2"/>
      <c r="AA69" s="2"/>
      <c r="AB69" s="2"/>
      <c r="AC69" s="198"/>
    </row>
    <row r="70" spans="2:67" ht="15" customHeight="1">
      <c r="B70" s="198"/>
      <c r="D70" s="2" t="s">
        <v>90</v>
      </c>
      <c r="E70" s="2"/>
      <c r="F70" s="2"/>
      <c r="G70" s="201">
        <f>Assumptions!H372/10^6</f>
        <v>11.580539566601667</v>
      </c>
      <c r="H70" s="8">
        <f>Assumptions!I372/10^6</f>
        <v>13.366712046538293</v>
      </c>
      <c r="I70" s="8">
        <f>Assumptions!J372/10^6</f>
        <v>15.122705888934753</v>
      </c>
      <c r="J70" s="8">
        <f>Assumptions!K372/10^6</f>
        <v>16.851508275329479</v>
      </c>
      <c r="K70" s="8">
        <f>Assumptions!L372/10^6</f>
        <v>18.555993984425498</v>
      </c>
      <c r="L70" s="8">
        <f>Assumptions!M372/10^6</f>
        <v>20.238931936138282</v>
      </c>
      <c r="M70" s="8">
        <f>Assumptions!N372/10^6</f>
        <v>21.90299143153878</v>
      </c>
      <c r="N70" s="8">
        <f>Assumptions!O372/10^6</f>
        <v>23.550748104474437</v>
      </c>
      <c r="O70" s="8">
        <f>Assumptions!P372/10^6</f>
        <v>25.184689599876119</v>
      </c>
      <c r="P70" s="8">
        <f>Assumptions!Q372/10^6</f>
        <v>26.807220993023357</v>
      </c>
      <c r="Q70" s="8">
        <f>Assumptions!R372/10^6</f>
        <v>28.420669963341759</v>
      </c>
      <c r="R70" s="8">
        <f>Assumptions!S372/10^6</f>
        <v>30.02729173564348</v>
      </c>
      <c r="S70" s="8">
        <f>Assumptions!T372/10^6</f>
        <v>31.629273801091834</v>
      </c>
      <c r="T70" s="8">
        <f>Assumptions!U372/10^6</f>
        <v>33.228740429573534</v>
      </c>
      <c r="U70" s="8">
        <f>Assumptions!V372/10^6</f>
        <v>34.827756984594551</v>
      </c>
      <c r="V70" s="8">
        <f>Assumptions!W372/10^6</f>
        <v>36.428334051277012</v>
      </c>
      <c r="W70" s="2"/>
      <c r="X70" s="2"/>
      <c r="Y70" s="2"/>
      <c r="Z70" s="97"/>
      <c r="AA70" s="2"/>
      <c r="AB70" s="2"/>
      <c r="AC70" s="198"/>
    </row>
    <row r="71" spans="2:67" ht="15" customHeight="1" thickBot="1">
      <c r="B71" s="198"/>
      <c r="D71" s="28" t="s">
        <v>91</v>
      </c>
      <c r="E71" s="2"/>
      <c r="F71" s="2"/>
      <c r="G71" s="202">
        <f t="shared" ref="G71:V71" si="19">SUM(G68:G70)</f>
        <v>11.580539566601667</v>
      </c>
      <c r="H71" s="17">
        <f t="shared" si="19"/>
        <v>13.366712046538293</v>
      </c>
      <c r="I71" s="17">
        <f t="shared" si="19"/>
        <v>15.122705888934753</v>
      </c>
      <c r="J71" s="17">
        <f t="shared" si="19"/>
        <v>16.851508275329479</v>
      </c>
      <c r="K71" s="17">
        <f t="shared" si="19"/>
        <v>18.555993984425498</v>
      </c>
      <c r="L71" s="17">
        <f t="shared" si="19"/>
        <v>20.238931936138282</v>
      </c>
      <c r="M71" s="17">
        <f t="shared" si="19"/>
        <v>21.90299143153878</v>
      </c>
      <c r="N71" s="17">
        <f t="shared" si="19"/>
        <v>23.550748104474437</v>
      </c>
      <c r="O71" s="17">
        <f t="shared" si="19"/>
        <v>25.184689599876119</v>
      </c>
      <c r="P71" s="17">
        <f t="shared" si="19"/>
        <v>26.807220993023357</v>
      </c>
      <c r="Q71" s="17">
        <f t="shared" si="19"/>
        <v>28.420669963341759</v>
      </c>
      <c r="R71" s="17">
        <f t="shared" si="19"/>
        <v>30.02729173564348</v>
      </c>
      <c r="S71" s="17">
        <f t="shared" si="19"/>
        <v>31.629273801091834</v>
      </c>
      <c r="T71" s="17">
        <f t="shared" si="19"/>
        <v>33.228740429573534</v>
      </c>
      <c r="U71" s="17">
        <f t="shared" si="19"/>
        <v>34.827756984594551</v>
      </c>
      <c r="V71" s="17">
        <f t="shared" si="19"/>
        <v>36.428334051277012</v>
      </c>
      <c r="W71" s="2"/>
      <c r="X71" s="2"/>
      <c r="Y71" s="2"/>
      <c r="Z71" s="2"/>
      <c r="AA71" s="2"/>
      <c r="AB71" s="2"/>
      <c r="AC71" s="198"/>
    </row>
    <row r="72" spans="2:67" ht="15" customHeight="1" thickBot="1">
      <c r="B72" s="198"/>
      <c r="D72" s="29" t="s">
        <v>92</v>
      </c>
      <c r="E72" s="2"/>
      <c r="F72" s="2"/>
      <c r="G72" s="202">
        <f t="shared" ref="G72:V72" si="20">SUM(G67,G71)</f>
        <v>65.089926931514739</v>
      </c>
      <c r="H72" s="21">
        <f t="shared" si="20"/>
        <v>68.057127922877157</v>
      </c>
      <c r="I72" s="21">
        <f t="shared" si="20"/>
        <v>72.297728590841359</v>
      </c>
      <c r="J72" s="21">
        <f t="shared" si="20"/>
        <v>75.546330682084758</v>
      </c>
      <c r="K72" s="21">
        <f t="shared" si="20"/>
        <v>78.120835441591737</v>
      </c>
      <c r="L72" s="21">
        <f t="shared" si="20"/>
        <v>80.676746820883949</v>
      </c>
      <c r="M72" s="21">
        <f t="shared" si="20"/>
        <v>82.730898894633583</v>
      </c>
      <c r="N72" s="21">
        <f t="shared" si="20"/>
        <v>84.826349257765443</v>
      </c>
      <c r="O72" s="21">
        <f t="shared" si="20"/>
        <v>86.819904966549274</v>
      </c>
      <c r="P72" s="21">
        <f t="shared" si="20"/>
        <v>88.860069149129998</v>
      </c>
      <c r="Q72" s="21">
        <f t="shared" si="20"/>
        <v>90.900756463038846</v>
      </c>
      <c r="R72" s="21">
        <f t="shared" si="20"/>
        <v>92.997702638447066</v>
      </c>
      <c r="S72" s="21">
        <f t="shared" si="20"/>
        <v>94.99354244276131</v>
      </c>
      <c r="T72" s="21">
        <f t="shared" si="20"/>
        <v>97.653716384172753</v>
      </c>
      <c r="U72" s="21">
        <f t="shared" si="20"/>
        <v>99.734530222149544</v>
      </c>
      <c r="V72" s="21">
        <f t="shared" si="20"/>
        <v>101.87142108306105</v>
      </c>
      <c r="W72" s="2"/>
      <c r="X72" s="2"/>
      <c r="Y72" s="2"/>
      <c r="Z72" s="2"/>
      <c r="AA72" s="2"/>
      <c r="AB72" s="2"/>
      <c r="AC72" s="198"/>
    </row>
    <row r="73" spans="2:67" ht="15" customHeight="1">
      <c r="B73" s="198"/>
      <c r="D73" s="2" t="s">
        <v>93</v>
      </c>
      <c r="E73" s="2"/>
      <c r="F73" s="2"/>
      <c r="G73" s="201">
        <f>H73</f>
        <v>4597.6954409999998</v>
      </c>
      <c r="H73" s="8">
        <f>Assumptions!H742/10^6</f>
        <v>4597.6954409999998</v>
      </c>
      <c r="I73" s="8">
        <f>Assumptions!I742/10^6</f>
        <v>4597.6954409999998</v>
      </c>
      <c r="J73" s="8">
        <f>Assumptions!J742/10^6</f>
        <v>4597.6954409999998</v>
      </c>
      <c r="K73" s="8">
        <f>Assumptions!K742/10^6</f>
        <v>4597.6954409999998</v>
      </c>
      <c r="L73" s="8">
        <f>Assumptions!L742/10^6</f>
        <v>4597.6954409999998</v>
      </c>
      <c r="M73" s="8">
        <f>Assumptions!M742/10^6</f>
        <v>4597.6954409999998</v>
      </c>
      <c r="N73" s="8">
        <f>Assumptions!N742/10^6</f>
        <v>4597.6954409999998</v>
      </c>
      <c r="O73" s="8">
        <f>Assumptions!O742/10^6</f>
        <v>4597.6954409999998</v>
      </c>
      <c r="P73" s="8">
        <f>Assumptions!P742/10^6</f>
        <v>4597.6954409999998</v>
      </c>
      <c r="Q73" s="8">
        <f>Assumptions!Q742/10^6</f>
        <v>4597.6954409999998</v>
      </c>
      <c r="R73" s="8">
        <f>Assumptions!R742/10^6</f>
        <v>4597.6954409999998</v>
      </c>
      <c r="S73" s="8">
        <f>Assumptions!S742/10^6</f>
        <v>4597.6954409999998</v>
      </c>
      <c r="T73" s="8">
        <f>Assumptions!T742/10^6</f>
        <v>4597.6954409999998</v>
      </c>
      <c r="U73" s="8">
        <f>Assumptions!U742/10^6</f>
        <v>4597.6954409999998</v>
      </c>
      <c r="V73" s="8">
        <f>Assumptions!V742/10^6</f>
        <v>4597.6954409999998</v>
      </c>
      <c r="W73" s="2"/>
      <c r="X73" s="2"/>
      <c r="Y73" s="2"/>
      <c r="Z73" s="2"/>
      <c r="AA73" s="2"/>
      <c r="AB73" s="2"/>
      <c r="AC73" s="198"/>
    </row>
    <row r="74" spans="2:67" ht="15" customHeight="1">
      <c r="B74" s="198"/>
      <c r="D74" s="2" t="s">
        <v>94</v>
      </c>
      <c r="E74" s="2"/>
      <c r="F74" s="2"/>
      <c r="G74" s="201">
        <f>Assumptions!H749/10^6</f>
        <v>-368.8192137204677</v>
      </c>
      <c r="H74" s="8">
        <f>Assumptions!I749/10^6</f>
        <v>-288.22539152950918</v>
      </c>
      <c r="I74" s="8">
        <f>Assumptions!J749/10^6</f>
        <v>-159.01316348807384</v>
      </c>
      <c r="J74" s="8">
        <f>Assumptions!K749/10^6</f>
        <v>-0.97589156432175639</v>
      </c>
      <c r="K74" s="8">
        <f>Assumptions!L749/10^6</f>
        <v>-0.97589156432175639</v>
      </c>
      <c r="L74" s="8">
        <f>Assumptions!M749/10^6</f>
        <v>-0.97589156432175639</v>
      </c>
      <c r="M74" s="8">
        <f>Assumptions!N749/10^6</f>
        <v>-0.97589156432175639</v>
      </c>
      <c r="N74" s="8">
        <f>Assumptions!O749/10^6</f>
        <v>-0.97589156432175639</v>
      </c>
      <c r="O74" s="8">
        <f>Assumptions!P749/10^6</f>
        <v>-0.97589156432175639</v>
      </c>
      <c r="P74" s="8">
        <f>Assumptions!Q749/10^6</f>
        <v>-0.97589156432175639</v>
      </c>
      <c r="Q74" s="8">
        <f>Assumptions!R749/10^6</f>
        <v>-0.97589156432175639</v>
      </c>
      <c r="R74" s="8">
        <f>Assumptions!S749/10^6</f>
        <v>-0.97589156432175639</v>
      </c>
      <c r="S74" s="8">
        <f>Assumptions!T749/10^6</f>
        <v>-0.97589156432175639</v>
      </c>
      <c r="T74" s="8">
        <f>Assumptions!U749/10^6</f>
        <v>-0.97589156432175639</v>
      </c>
      <c r="U74" s="8">
        <f>Assumptions!V749/10^6</f>
        <v>-0.97589156432175639</v>
      </c>
      <c r="V74" s="8">
        <f>Assumptions!W749/10^6</f>
        <v>-0.97589156432175639</v>
      </c>
      <c r="W74" s="2"/>
      <c r="X74" s="97"/>
      <c r="Y74" s="2"/>
      <c r="Z74" s="98"/>
      <c r="AA74" s="2"/>
      <c r="AB74" s="2"/>
      <c r="AC74" s="198"/>
    </row>
    <row r="75" spans="2:67" ht="15" customHeight="1">
      <c r="B75" s="198"/>
      <c r="D75" s="2" t="s">
        <v>342</v>
      </c>
      <c r="E75" s="2"/>
      <c r="F75" s="2"/>
      <c r="G75" s="201">
        <v>0</v>
      </c>
      <c r="H75" s="8">
        <v>0</v>
      </c>
      <c r="I75" s="8">
        <v>0</v>
      </c>
      <c r="J75" s="8">
        <v>0</v>
      </c>
      <c r="K75" s="8">
        <v>0</v>
      </c>
      <c r="L75" s="8">
        <v>0</v>
      </c>
      <c r="M75" s="8">
        <v>0</v>
      </c>
      <c r="N75" s="8">
        <v>0</v>
      </c>
      <c r="O75" s="8">
        <v>0</v>
      </c>
      <c r="P75" s="8">
        <v>0</v>
      </c>
      <c r="Q75" s="8">
        <v>0</v>
      </c>
      <c r="R75" s="8">
        <v>0</v>
      </c>
      <c r="S75" s="8">
        <v>0</v>
      </c>
      <c r="T75" s="8">
        <v>0</v>
      </c>
      <c r="U75" s="8">
        <v>0</v>
      </c>
      <c r="V75" s="8">
        <v>0</v>
      </c>
      <c r="W75" s="2"/>
      <c r="X75" s="97"/>
      <c r="Y75" s="2"/>
      <c r="Z75" s="98"/>
      <c r="AA75" s="2"/>
      <c r="AB75" s="2"/>
      <c r="AC75" s="198"/>
    </row>
    <row r="76" spans="2:67" ht="16.05" customHeight="1" thickBot="1">
      <c r="B76" s="198"/>
      <c r="D76" s="28" t="s">
        <v>95</v>
      </c>
      <c r="E76" s="2"/>
      <c r="F76" s="2"/>
      <c r="G76" s="202">
        <f>SUM(G73:G75)</f>
        <v>4228.876227279532</v>
      </c>
      <c r="H76" s="17">
        <f t="shared" ref="H76:V76" si="21">SUM(H73:H75)</f>
        <v>4309.4700494704903</v>
      </c>
      <c r="I76" s="17">
        <f t="shared" si="21"/>
        <v>4438.6822775119263</v>
      </c>
      <c r="J76" s="17">
        <f t="shared" si="21"/>
        <v>4596.7195494356783</v>
      </c>
      <c r="K76" s="17">
        <f t="shared" si="21"/>
        <v>4596.7195494356783</v>
      </c>
      <c r="L76" s="17">
        <f t="shared" si="21"/>
        <v>4596.7195494356783</v>
      </c>
      <c r="M76" s="17">
        <f t="shared" si="21"/>
        <v>4596.7195494356783</v>
      </c>
      <c r="N76" s="17">
        <f t="shared" si="21"/>
        <v>4596.7195494356783</v>
      </c>
      <c r="O76" s="17">
        <f t="shared" si="21"/>
        <v>4596.7195494356783</v>
      </c>
      <c r="P76" s="17">
        <f t="shared" si="21"/>
        <v>4596.7195494356783</v>
      </c>
      <c r="Q76" s="17">
        <f t="shared" si="21"/>
        <v>4596.7195494356783</v>
      </c>
      <c r="R76" s="17">
        <f t="shared" si="21"/>
        <v>4596.7195494356783</v>
      </c>
      <c r="S76" s="17">
        <f t="shared" si="21"/>
        <v>4596.7195494356783</v>
      </c>
      <c r="T76" s="17">
        <f t="shared" si="21"/>
        <v>4596.7195494356783</v>
      </c>
      <c r="U76" s="17">
        <f t="shared" si="21"/>
        <v>4596.7195494356783</v>
      </c>
      <c r="V76" s="17">
        <f t="shared" si="21"/>
        <v>4596.7195494356783</v>
      </c>
      <c r="W76" s="2"/>
      <c r="X76" s="2"/>
      <c r="Y76" s="2"/>
      <c r="Z76" s="2"/>
      <c r="AA76" s="2"/>
      <c r="AB76" s="2"/>
      <c r="AC76" s="198"/>
    </row>
    <row r="77" spans="2:67" ht="15" customHeight="1" thickBot="1">
      <c r="B77" s="198"/>
      <c r="D77" s="29" t="s">
        <v>96</v>
      </c>
      <c r="E77" s="2"/>
      <c r="F77" s="2"/>
      <c r="G77" s="202">
        <f t="shared" ref="G77:V77" si="22">G72+G76</f>
        <v>4293.9661542110471</v>
      </c>
      <c r="H77" s="21">
        <f t="shared" si="22"/>
        <v>4377.5271773933673</v>
      </c>
      <c r="I77" s="21">
        <f t="shared" si="22"/>
        <v>4510.9800061027672</v>
      </c>
      <c r="J77" s="21">
        <f t="shared" si="22"/>
        <v>4672.2658801177631</v>
      </c>
      <c r="K77" s="21">
        <f t="shared" si="22"/>
        <v>4674.8403848772705</v>
      </c>
      <c r="L77" s="21">
        <f t="shared" si="22"/>
        <v>4677.396296256562</v>
      </c>
      <c r="M77" s="21">
        <f t="shared" si="22"/>
        <v>4679.4504483303117</v>
      </c>
      <c r="N77" s="21">
        <f t="shared" si="22"/>
        <v>4681.5458986934436</v>
      </c>
      <c r="O77" s="21">
        <f t="shared" si="22"/>
        <v>4683.5394544022274</v>
      </c>
      <c r="P77" s="21">
        <f t="shared" si="22"/>
        <v>4685.5796185848085</v>
      </c>
      <c r="Q77" s="21">
        <f t="shared" si="22"/>
        <v>4687.6203058987176</v>
      </c>
      <c r="R77" s="21">
        <f t="shared" si="22"/>
        <v>4689.7172520741251</v>
      </c>
      <c r="S77" s="21">
        <f t="shared" si="22"/>
        <v>4691.7130918784396</v>
      </c>
      <c r="T77" s="21">
        <f t="shared" si="22"/>
        <v>4694.3732658198514</v>
      </c>
      <c r="U77" s="21">
        <f t="shared" si="22"/>
        <v>4696.4540796578276</v>
      </c>
      <c r="V77" s="21">
        <f t="shared" si="22"/>
        <v>4698.5909705187396</v>
      </c>
      <c r="W77" s="2"/>
      <c r="X77" s="2"/>
      <c r="Y77" s="2"/>
      <c r="Z77" s="2"/>
      <c r="AA77" s="2"/>
      <c r="AB77" s="2"/>
      <c r="AC77" s="198"/>
    </row>
    <row r="78" spans="2:67" ht="5.0999999999999996" customHeight="1">
      <c r="B78" s="198"/>
      <c r="E78" s="2"/>
      <c r="F78" s="2"/>
      <c r="G78" s="22"/>
      <c r="H78" s="23"/>
      <c r="I78" s="23"/>
      <c r="J78" s="23"/>
      <c r="K78" s="23"/>
      <c r="L78" s="23"/>
      <c r="M78" s="23"/>
      <c r="N78" s="23"/>
      <c r="O78" s="23"/>
      <c r="P78" s="23"/>
      <c r="Q78" s="23"/>
      <c r="R78" s="23"/>
      <c r="S78" s="23"/>
      <c r="T78" s="23"/>
      <c r="U78" s="23"/>
      <c r="V78" s="23"/>
      <c r="W78" s="2"/>
      <c r="X78" s="2"/>
      <c r="Y78" s="2"/>
      <c r="Z78" s="2"/>
      <c r="AA78" s="2"/>
      <c r="AB78" s="2"/>
      <c r="AC78" s="198"/>
      <c r="AD78" s="24"/>
      <c r="AE78" s="24"/>
      <c r="AF78" s="24"/>
      <c r="AG78" s="24"/>
      <c r="AH78" s="24"/>
      <c r="AI78" s="24"/>
      <c r="AJ78" s="24"/>
      <c r="AK78" s="24"/>
      <c r="AL78" s="24"/>
      <c r="AM78" s="24"/>
      <c r="AN78" s="18"/>
      <c r="AO78" s="18"/>
      <c r="AP78" s="18"/>
      <c r="AQ78" s="18"/>
      <c r="AR78" s="18"/>
      <c r="AS78" s="18"/>
      <c r="AT78" s="18"/>
      <c r="AU78" s="18"/>
      <c r="AV78" s="18"/>
      <c r="AW78" s="18"/>
      <c r="AX78" s="18"/>
      <c r="AY78" s="18"/>
      <c r="AZ78" s="18"/>
      <c r="BA78" s="18"/>
      <c r="BB78" s="18"/>
      <c r="BC78" s="18"/>
      <c r="BD78" s="18"/>
      <c r="BE78" s="18"/>
      <c r="BF78" s="18"/>
      <c r="BG78" s="18"/>
      <c r="BH78" s="18"/>
      <c r="BI78" s="18"/>
      <c r="BJ78" s="18"/>
      <c r="BK78" s="18"/>
      <c r="BL78" s="18"/>
      <c r="BM78" s="18"/>
      <c r="BN78" s="18"/>
      <c r="BO78" s="18"/>
    </row>
    <row r="79" spans="2:67" ht="15" customHeight="1" outlineLevel="1">
      <c r="B79" s="198"/>
      <c r="D79" s="30" t="s">
        <v>97</v>
      </c>
      <c r="E79" s="30"/>
      <c r="F79" s="30"/>
      <c r="G79" s="333">
        <f t="shared" ref="G79:V79" si="23">ROUND(G57-G77,0)</f>
        <v>0</v>
      </c>
      <c r="H79" s="333">
        <f t="shared" si="23"/>
        <v>0</v>
      </c>
      <c r="I79" s="333">
        <f t="shared" si="23"/>
        <v>0</v>
      </c>
      <c r="J79" s="333">
        <f t="shared" si="23"/>
        <v>0</v>
      </c>
      <c r="K79" s="333">
        <f t="shared" si="23"/>
        <v>0</v>
      </c>
      <c r="L79" s="333">
        <f t="shared" si="23"/>
        <v>0</v>
      </c>
      <c r="M79" s="333">
        <f t="shared" si="23"/>
        <v>0</v>
      </c>
      <c r="N79" s="333">
        <f t="shared" si="23"/>
        <v>0</v>
      </c>
      <c r="O79" s="333">
        <f t="shared" si="23"/>
        <v>0</v>
      </c>
      <c r="P79" s="333">
        <f t="shared" si="23"/>
        <v>0</v>
      </c>
      <c r="Q79" s="333">
        <f t="shared" si="23"/>
        <v>0</v>
      </c>
      <c r="R79" s="333">
        <f t="shared" si="23"/>
        <v>0</v>
      </c>
      <c r="S79" s="333">
        <f t="shared" si="23"/>
        <v>0</v>
      </c>
      <c r="T79" s="333">
        <f t="shared" si="23"/>
        <v>0</v>
      </c>
      <c r="U79" s="333">
        <f t="shared" si="23"/>
        <v>0</v>
      </c>
      <c r="V79" s="333">
        <f t="shared" si="23"/>
        <v>0</v>
      </c>
      <c r="W79" s="2"/>
      <c r="X79" s="2"/>
      <c r="Y79" s="2"/>
      <c r="Z79" s="2"/>
      <c r="AA79" s="2"/>
      <c r="AB79" s="2"/>
      <c r="AC79" s="198"/>
    </row>
    <row r="80" spans="2:67" ht="5.0999999999999996" customHeight="1" outlineLevel="1">
      <c r="B80" s="198"/>
      <c r="E80" s="2"/>
      <c r="F80" s="2"/>
      <c r="G80" s="31"/>
      <c r="H80" s="31"/>
      <c r="I80" s="31"/>
      <c r="J80" s="31"/>
      <c r="K80" s="31"/>
      <c r="L80" s="31"/>
      <c r="M80" s="31"/>
      <c r="N80" s="31"/>
      <c r="O80" s="31"/>
      <c r="P80" s="31"/>
      <c r="Q80" s="31"/>
      <c r="R80" s="31"/>
      <c r="S80" s="31"/>
      <c r="T80" s="31"/>
      <c r="U80" s="31"/>
      <c r="V80" s="31"/>
      <c r="W80" s="2"/>
      <c r="X80" s="2"/>
      <c r="Y80" s="2"/>
      <c r="Z80" s="2"/>
      <c r="AA80" s="2"/>
      <c r="AB80" s="2"/>
      <c r="AC80" s="198"/>
    </row>
    <row r="81" spans="2:67" ht="15" customHeight="1">
      <c r="B81" s="198"/>
      <c r="D81" s="330" t="s">
        <v>98</v>
      </c>
      <c r="E81" s="2"/>
      <c r="F81" s="2"/>
      <c r="G81" s="334"/>
      <c r="H81" s="334"/>
      <c r="I81" s="334"/>
      <c r="J81" s="334"/>
      <c r="K81" s="334"/>
      <c r="L81" s="334"/>
      <c r="M81" s="334"/>
      <c r="N81" s="334"/>
      <c r="O81" s="334"/>
      <c r="P81" s="334"/>
      <c r="Q81" s="334"/>
      <c r="R81" s="334"/>
      <c r="S81" s="334"/>
      <c r="T81" s="334"/>
      <c r="U81" s="334"/>
      <c r="V81" s="334"/>
      <c r="W81" s="2"/>
      <c r="X81" s="2"/>
      <c r="Y81" s="2"/>
      <c r="Z81" s="97"/>
      <c r="AA81" s="2"/>
      <c r="AB81" s="2"/>
      <c r="AC81" s="198"/>
      <c r="AD81" s="32"/>
      <c r="AE81" s="32"/>
      <c r="AF81" s="32"/>
      <c r="AG81" s="32"/>
      <c r="AH81" s="32"/>
      <c r="AI81" s="32"/>
      <c r="AJ81" s="32"/>
      <c r="AK81" s="32"/>
      <c r="AL81" s="32"/>
      <c r="AM81" s="32"/>
      <c r="AN81" s="18"/>
      <c r="AO81" s="18"/>
      <c r="AP81" s="18"/>
      <c r="AQ81" s="18"/>
      <c r="AR81" s="18"/>
      <c r="AS81" s="18"/>
      <c r="AT81" s="18"/>
      <c r="AU81" s="18"/>
      <c r="AV81" s="18"/>
      <c r="AW81" s="18"/>
      <c r="AX81" s="18"/>
      <c r="AY81" s="18"/>
      <c r="AZ81" s="18"/>
      <c r="BA81" s="18"/>
      <c r="BB81" s="18"/>
      <c r="BC81" s="18"/>
      <c r="BD81" s="18"/>
      <c r="BE81" s="18"/>
      <c r="BF81" s="18"/>
      <c r="BG81" s="18"/>
      <c r="BH81" s="18"/>
      <c r="BI81" s="18"/>
      <c r="BJ81" s="18"/>
      <c r="BK81" s="18"/>
      <c r="BL81" s="18"/>
      <c r="BM81" s="18"/>
      <c r="BN81" s="18"/>
      <c r="BO81" s="18"/>
    </row>
    <row r="82" spans="2:67" ht="3.75" customHeight="1">
      <c r="B82" s="198"/>
      <c r="D82" s="330"/>
      <c r="E82" s="2"/>
      <c r="F82" s="2"/>
      <c r="G82" s="335"/>
      <c r="H82" s="335"/>
      <c r="I82" s="335"/>
      <c r="J82" s="335"/>
      <c r="K82" s="335"/>
      <c r="L82" s="335"/>
      <c r="M82" s="335"/>
      <c r="N82" s="335"/>
      <c r="O82" s="335"/>
      <c r="P82" s="335"/>
      <c r="Q82" s="335"/>
      <c r="R82" s="335"/>
      <c r="S82" s="335"/>
      <c r="T82" s="335"/>
      <c r="U82" s="335"/>
      <c r="V82" s="335"/>
      <c r="W82" s="2"/>
      <c r="X82" s="2"/>
      <c r="Y82" s="2"/>
      <c r="Z82" s="2"/>
      <c r="AA82" s="2"/>
      <c r="AB82" s="2"/>
      <c r="AC82" s="198"/>
      <c r="AD82" s="32"/>
      <c r="AE82" s="32"/>
      <c r="AF82" s="32"/>
      <c r="AG82" s="32"/>
      <c r="AH82" s="32"/>
      <c r="AI82" s="32"/>
      <c r="AJ82" s="32"/>
      <c r="AK82" s="32"/>
      <c r="AL82" s="32"/>
      <c r="AM82" s="32"/>
      <c r="AN82" s="18"/>
      <c r="AO82" s="18"/>
      <c r="AP82" s="18"/>
      <c r="AQ82" s="18"/>
      <c r="AR82" s="18"/>
      <c r="AS82" s="18"/>
      <c r="AT82" s="18"/>
      <c r="AU82" s="18"/>
      <c r="AV82" s="18"/>
      <c r="AW82" s="18"/>
      <c r="AX82" s="18"/>
      <c r="AY82" s="18"/>
      <c r="AZ82" s="18"/>
      <c r="BA82" s="18"/>
      <c r="BB82" s="18"/>
      <c r="BC82" s="18"/>
      <c r="BD82" s="18"/>
      <c r="BE82" s="18"/>
      <c r="BF82" s="18"/>
      <c r="BG82" s="18"/>
      <c r="BH82" s="18"/>
      <c r="BI82" s="18"/>
      <c r="BJ82" s="18"/>
      <c r="BK82" s="18"/>
      <c r="BL82" s="18"/>
      <c r="BM82" s="18"/>
      <c r="BN82" s="18"/>
      <c r="BO82" s="18"/>
    </row>
    <row r="83" spans="2:67" ht="15" customHeight="1">
      <c r="B83" s="198"/>
      <c r="D83" s="331" t="s">
        <v>99</v>
      </c>
      <c r="E83" s="2"/>
      <c r="F83" s="2"/>
      <c r="G83" s="336">
        <f t="shared" ref="G83:V83" si="24">G69/G76</f>
        <v>0</v>
      </c>
      <c r="H83" s="336">
        <f t="shared" si="24"/>
        <v>0</v>
      </c>
      <c r="I83" s="336">
        <f t="shared" si="24"/>
        <v>0</v>
      </c>
      <c r="J83" s="336">
        <f t="shared" si="24"/>
        <v>0</v>
      </c>
      <c r="K83" s="336">
        <f t="shared" si="24"/>
        <v>0</v>
      </c>
      <c r="L83" s="336">
        <f t="shared" si="24"/>
        <v>0</v>
      </c>
      <c r="M83" s="336">
        <f t="shared" si="24"/>
        <v>0</v>
      </c>
      <c r="N83" s="336">
        <f t="shared" si="24"/>
        <v>0</v>
      </c>
      <c r="O83" s="336">
        <f t="shared" si="24"/>
        <v>0</v>
      </c>
      <c r="P83" s="336">
        <f t="shared" si="24"/>
        <v>0</v>
      </c>
      <c r="Q83" s="336">
        <f t="shared" si="24"/>
        <v>0</v>
      </c>
      <c r="R83" s="336">
        <f t="shared" si="24"/>
        <v>0</v>
      </c>
      <c r="S83" s="336">
        <f t="shared" si="24"/>
        <v>0</v>
      </c>
      <c r="T83" s="336">
        <f t="shared" si="24"/>
        <v>0</v>
      </c>
      <c r="U83" s="336">
        <f t="shared" si="24"/>
        <v>0</v>
      </c>
      <c r="V83" s="336">
        <f t="shared" si="24"/>
        <v>0</v>
      </c>
      <c r="W83" s="2"/>
      <c r="X83" s="2"/>
      <c r="Y83" s="2"/>
      <c r="Z83" s="2"/>
      <c r="AA83" s="2"/>
      <c r="AB83" s="2"/>
      <c r="AC83" s="198"/>
      <c r="AD83" s="24"/>
      <c r="AE83" s="24"/>
      <c r="AF83" s="24"/>
      <c r="AG83" s="24"/>
      <c r="AH83" s="24"/>
      <c r="AI83" s="24"/>
      <c r="AJ83" s="24"/>
      <c r="AK83" s="24"/>
      <c r="AL83" s="24"/>
      <c r="AM83" s="24"/>
      <c r="AN83" s="18"/>
      <c r="AO83" s="18"/>
      <c r="AP83" s="18"/>
      <c r="AQ83" s="18"/>
      <c r="AR83" s="18"/>
      <c r="AS83" s="18"/>
      <c r="AT83" s="18"/>
      <c r="AU83" s="18"/>
      <c r="AV83" s="18"/>
      <c r="AW83" s="18"/>
      <c r="AX83" s="18"/>
      <c r="AY83" s="18"/>
      <c r="AZ83" s="18"/>
      <c r="BA83" s="18"/>
      <c r="BB83" s="18"/>
      <c r="BC83" s="18"/>
      <c r="BD83" s="18"/>
      <c r="BE83" s="18"/>
      <c r="BF83" s="18"/>
      <c r="BG83" s="18"/>
      <c r="BH83" s="18"/>
      <c r="BI83" s="18"/>
      <c r="BJ83" s="18"/>
      <c r="BK83" s="18"/>
      <c r="BL83" s="18"/>
      <c r="BM83" s="18"/>
      <c r="BN83" s="18"/>
      <c r="BO83" s="18"/>
    </row>
    <row r="84" spans="2:67" ht="15" customHeight="1">
      <c r="B84" s="198"/>
      <c r="D84" s="331" t="s">
        <v>100</v>
      </c>
      <c r="E84" s="2"/>
      <c r="F84" s="2"/>
      <c r="G84" s="336">
        <f t="shared" ref="G84:V84" si="25">G69/G17</f>
        <v>0</v>
      </c>
      <c r="H84" s="336">
        <f t="shared" si="25"/>
        <v>0</v>
      </c>
      <c r="I84" s="336">
        <f t="shared" si="25"/>
        <v>0</v>
      </c>
      <c r="J84" s="336">
        <f t="shared" si="25"/>
        <v>0</v>
      </c>
      <c r="K84" s="336">
        <f t="shared" si="25"/>
        <v>0</v>
      </c>
      <c r="L84" s="336">
        <f t="shared" si="25"/>
        <v>0</v>
      </c>
      <c r="M84" s="336">
        <f t="shared" si="25"/>
        <v>0</v>
      </c>
      <c r="N84" s="336">
        <f t="shared" si="25"/>
        <v>0</v>
      </c>
      <c r="O84" s="336">
        <f t="shared" si="25"/>
        <v>0</v>
      </c>
      <c r="P84" s="336">
        <f t="shared" si="25"/>
        <v>0</v>
      </c>
      <c r="Q84" s="336">
        <f t="shared" si="25"/>
        <v>0</v>
      </c>
      <c r="R84" s="336">
        <f t="shared" si="25"/>
        <v>0</v>
      </c>
      <c r="S84" s="336">
        <f t="shared" si="25"/>
        <v>0</v>
      </c>
      <c r="T84" s="336">
        <f t="shared" si="25"/>
        <v>0</v>
      </c>
      <c r="U84" s="336">
        <f t="shared" si="25"/>
        <v>0</v>
      </c>
      <c r="V84" s="336">
        <f t="shared" si="25"/>
        <v>0</v>
      </c>
      <c r="W84" s="2"/>
      <c r="X84" s="2"/>
      <c r="Y84" s="2"/>
      <c r="Z84" s="2"/>
      <c r="AA84" s="2"/>
      <c r="AB84" s="2"/>
      <c r="AC84" s="198"/>
      <c r="AD84" s="24"/>
      <c r="AE84" s="24"/>
      <c r="AF84" s="24"/>
      <c r="AG84" s="24"/>
      <c r="AH84" s="24"/>
      <c r="AI84" s="24"/>
      <c r="AJ84" s="24"/>
      <c r="AK84" s="24"/>
      <c r="AL84" s="24"/>
      <c r="AM84" s="24"/>
      <c r="AN84" s="18"/>
      <c r="AO84" s="18"/>
      <c r="AP84" s="18"/>
      <c r="AQ84" s="18"/>
      <c r="AR84" s="18"/>
      <c r="AS84" s="18"/>
      <c r="AT84" s="18"/>
      <c r="AU84" s="18"/>
      <c r="AV84" s="18"/>
      <c r="AW84" s="18"/>
      <c r="AX84" s="18"/>
      <c r="AY84" s="18"/>
      <c r="AZ84" s="18"/>
      <c r="BA84" s="18"/>
      <c r="BB84" s="18"/>
      <c r="BC84" s="18"/>
      <c r="BD84" s="18"/>
      <c r="BE84" s="18"/>
      <c r="BF84" s="18"/>
      <c r="BG84" s="18"/>
      <c r="BH84" s="18"/>
      <c r="BI84" s="18"/>
      <c r="BJ84" s="18"/>
      <c r="BK84" s="18"/>
      <c r="BL84" s="18"/>
      <c r="BM84" s="18"/>
      <c r="BN84" s="18"/>
      <c r="BO84" s="18"/>
    </row>
    <row r="85" spans="2:67" ht="15" customHeight="1">
      <c r="B85" s="198"/>
      <c r="D85" s="331" t="s">
        <v>101</v>
      </c>
      <c r="E85" s="2"/>
      <c r="F85" s="2"/>
      <c r="G85" s="336">
        <f t="shared" ref="G85:V85" si="26">IFERROR(G17/G24,0)</f>
        <v>0</v>
      </c>
      <c r="H85" s="336">
        <f t="shared" si="26"/>
        <v>0</v>
      </c>
      <c r="I85" s="336">
        <f t="shared" si="26"/>
        <v>0</v>
      </c>
      <c r="J85" s="336">
        <f t="shared" si="26"/>
        <v>0</v>
      </c>
      <c r="K85" s="336">
        <f t="shared" si="26"/>
        <v>0</v>
      </c>
      <c r="L85" s="336">
        <f t="shared" si="26"/>
        <v>0</v>
      </c>
      <c r="M85" s="336">
        <f t="shared" si="26"/>
        <v>0</v>
      </c>
      <c r="N85" s="336">
        <f t="shared" si="26"/>
        <v>0</v>
      </c>
      <c r="O85" s="336">
        <f t="shared" si="26"/>
        <v>0</v>
      </c>
      <c r="P85" s="336">
        <f t="shared" si="26"/>
        <v>0</v>
      </c>
      <c r="Q85" s="336">
        <f t="shared" si="26"/>
        <v>0</v>
      </c>
      <c r="R85" s="336">
        <f t="shared" si="26"/>
        <v>0</v>
      </c>
      <c r="S85" s="336">
        <f t="shared" si="26"/>
        <v>0</v>
      </c>
      <c r="T85" s="336">
        <f t="shared" si="26"/>
        <v>0</v>
      </c>
      <c r="U85" s="336">
        <f t="shared" si="26"/>
        <v>0</v>
      </c>
      <c r="V85" s="336">
        <f t="shared" si="26"/>
        <v>0</v>
      </c>
      <c r="W85" s="2"/>
      <c r="X85" s="2"/>
      <c r="Y85" s="2"/>
      <c r="Z85" s="2"/>
      <c r="AA85" s="2"/>
      <c r="AB85" s="2"/>
      <c r="AC85" s="198"/>
      <c r="AD85" s="24"/>
      <c r="AE85" s="24"/>
      <c r="AF85" s="24"/>
      <c r="AG85" s="24"/>
      <c r="AH85" s="24"/>
      <c r="AI85" s="24"/>
      <c r="AJ85" s="24"/>
      <c r="AK85" s="24"/>
      <c r="AL85" s="24"/>
      <c r="AM85" s="24"/>
      <c r="AN85" s="18"/>
      <c r="AO85" s="18"/>
      <c r="AP85" s="18"/>
      <c r="AQ85" s="18"/>
      <c r="AR85" s="18"/>
      <c r="AS85" s="18"/>
      <c r="AT85" s="18"/>
      <c r="AU85" s="18"/>
      <c r="AV85" s="18"/>
      <c r="AW85" s="18"/>
      <c r="AX85" s="18"/>
      <c r="AY85" s="18"/>
      <c r="AZ85" s="18"/>
      <c r="BA85" s="18"/>
      <c r="BB85" s="18"/>
      <c r="BC85" s="18"/>
      <c r="BD85" s="18"/>
      <c r="BE85" s="18"/>
      <c r="BF85" s="18"/>
      <c r="BG85" s="18"/>
      <c r="BH85" s="18"/>
      <c r="BI85" s="18"/>
      <c r="BJ85" s="18"/>
      <c r="BK85" s="18"/>
      <c r="BL85" s="18"/>
      <c r="BM85" s="18"/>
      <c r="BN85" s="18"/>
      <c r="BO85" s="18"/>
    </row>
    <row r="86" spans="2:67" ht="15" customHeight="1">
      <c r="B86" s="198"/>
      <c r="E86" s="31"/>
      <c r="F86" s="31"/>
      <c r="G86" s="31"/>
      <c r="H86" s="31"/>
      <c r="I86" s="31"/>
      <c r="J86" s="31"/>
      <c r="K86" s="31"/>
      <c r="L86" s="31"/>
      <c r="M86" s="31"/>
      <c r="N86" s="31"/>
      <c r="O86" s="31"/>
      <c r="P86" s="31"/>
      <c r="Q86" s="31"/>
      <c r="R86" s="31"/>
      <c r="S86" s="31"/>
      <c r="T86" s="31"/>
      <c r="U86" s="31"/>
      <c r="V86" s="31"/>
      <c r="W86" s="2"/>
      <c r="X86" s="2"/>
      <c r="Y86" s="2"/>
      <c r="Z86" s="2"/>
      <c r="AA86" s="2"/>
      <c r="AB86" s="2"/>
      <c r="AC86" s="198"/>
    </row>
    <row r="87" spans="2:67" ht="15" customHeight="1">
      <c r="B87" s="198"/>
      <c r="C87" s="198"/>
      <c r="D87" s="198"/>
      <c r="E87" s="198"/>
      <c r="F87" s="198"/>
      <c r="G87" s="198"/>
      <c r="H87" s="198"/>
      <c r="I87" s="198"/>
      <c r="J87" s="198"/>
      <c r="K87" s="198"/>
      <c r="L87" s="198"/>
      <c r="M87" s="198"/>
      <c r="N87" s="198"/>
      <c r="O87" s="198"/>
      <c r="P87" s="198"/>
      <c r="Q87" s="198"/>
      <c r="R87" s="198"/>
      <c r="S87" s="198"/>
      <c r="T87" s="198"/>
      <c r="U87" s="198"/>
      <c r="V87" s="198"/>
      <c r="W87" s="198"/>
      <c r="X87" s="198"/>
      <c r="Y87" s="198"/>
      <c r="Z87" s="198"/>
      <c r="AA87" s="198"/>
      <c r="AB87" s="198"/>
      <c r="AC87" s="198"/>
    </row>
    <row r="88" spans="2:67" ht="15" customHeight="1">
      <c r="B88" s="198"/>
      <c r="C88" s="198" t="s">
        <v>102</v>
      </c>
      <c r="D88" s="198"/>
      <c r="E88" s="198"/>
      <c r="F88" s="198"/>
      <c r="G88" s="198"/>
      <c r="H88" s="198"/>
      <c r="I88" s="198"/>
      <c r="J88" s="198"/>
      <c r="K88" s="198"/>
      <c r="L88" s="198"/>
      <c r="M88" s="198"/>
      <c r="N88" s="198"/>
      <c r="O88" s="198"/>
      <c r="P88" s="198"/>
      <c r="Q88" s="198"/>
      <c r="R88" s="198"/>
      <c r="S88" s="198"/>
      <c r="T88" s="198"/>
      <c r="U88" s="198"/>
      <c r="V88" s="198"/>
      <c r="W88" s="198"/>
      <c r="X88" s="198"/>
      <c r="Y88" s="198"/>
      <c r="Z88" s="198"/>
      <c r="AA88" s="198"/>
      <c r="AB88" s="198"/>
      <c r="AC88" s="198"/>
    </row>
    <row r="89" spans="2:67" ht="15" customHeight="1">
      <c r="B89" s="198"/>
      <c r="E89" s="2"/>
      <c r="F89" s="2"/>
      <c r="G89" s="97"/>
      <c r="H89" s="2"/>
      <c r="I89" s="2"/>
      <c r="J89" s="2"/>
      <c r="K89" s="2"/>
      <c r="L89" s="2"/>
      <c r="M89" s="2"/>
      <c r="N89" s="2"/>
      <c r="O89" s="2"/>
      <c r="P89" s="2"/>
      <c r="Q89" s="2"/>
      <c r="R89" s="2"/>
      <c r="S89" s="2"/>
      <c r="T89" s="2"/>
      <c r="U89" s="2"/>
      <c r="V89" s="2"/>
      <c r="W89" s="2"/>
      <c r="X89" s="2"/>
      <c r="Y89" s="2"/>
      <c r="Z89" s="2"/>
      <c r="AA89" s="2"/>
      <c r="AB89" s="2"/>
      <c r="AC89" s="198"/>
    </row>
    <row r="90" spans="2:67" ht="15" customHeight="1">
      <c r="B90" s="198"/>
      <c r="D90" s="5" t="s">
        <v>47</v>
      </c>
      <c r="E90" s="2"/>
      <c r="F90" s="2"/>
      <c r="G90" s="199" t="s">
        <v>4</v>
      </c>
      <c r="H90" s="7" t="s">
        <v>5</v>
      </c>
      <c r="I90" s="7" t="s">
        <v>6</v>
      </c>
      <c r="J90" s="7" t="s">
        <v>7</v>
      </c>
      <c r="K90" s="7" t="s">
        <v>8</v>
      </c>
      <c r="L90" s="7" t="s">
        <v>9</v>
      </c>
      <c r="M90" s="7" t="s">
        <v>10</v>
      </c>
      <c r="N90" s="7" t="s">
        <v>11</v>
      </c>
      <c r="O90" s="7" t="s">
        <v>12</v>
      </c>
      <c r="P90" s="7" t="s">
        <v>13</v>
      </c>
      <c r="Q90" s="7" t="s">
        <v>14</v>
      </c>
      <c r="R90" s="7" t="s">
        <v>15</v>
      </c>
      <c r="S90" s="7" t="s">
        <v>16</v>
      </c>
      <c r="T90" s="7" t="s">
        <v>17</v>
      </c>
      <c r="U90" s="7" t="s">
        <v>18</v>
      </c>
      <c r="V90" s="7" t="s">
        <v>19</v>
      </c>
      <c r="W90" s="2"/>
      <c r="X90" s="2"/>
      <c r="Y90" s="2"/>
      <c r="Z90" s="2"/>
      <c r="AA90" s="2"/>
      <c r="AB90" s="2"/>
      <c r="AC90" s="198"/>
    </row>
    <row r="91" spans="2:67" ht="15" customHeight="1">
      <c r="B91" s="198"/>
      <c r="D91" s="13" t="s">
        <v>39</v>
      </c>
      <c r="E91" s="2"/>
      <c r="F91" s="2"/>
      <c r="G91" s="200">
        <f t="shared" ref="G91:Q91" si="27">G25</f>
        <v>55.588998194392076</v>
      </c>
      <c r="H91" s="33">
        <f t="shared" si="27"/>
        <v>82.660330452265086</v>
      </c>
      <c r="I91" s="33">
        <f t="shared" si="27"/>
        <v>132.52536209377985</v>
      </c>
      <c r="J91" s="33">
        <f t="shared" si="27"/>
        <v>162.08950966538674</v>
      </c>
      <c r="K91" s="33">
        <f t="shared" si="27"/>
        <v>180.67398443387819</v>
      </c>
      <c r="L91" s="33">
        <f t="shared" si="27"/>
        <v>196.78940132189985</v>
      </c>
      <c r="M91" s="33">
        <f t="shared" si="27"/>
        <v>202.68287569964622</v>
      </c>
      <c r="N91" s="33">
        <f t="shared" si="27"/>
        <v>209.75373607933568</v>
      </c>
      <c r="O91" s="33">
        <f t="shared" si="27"/>
        <v>214.91367016966674</v>
      </c>
      <c r="P91" s="33">
        <f t="shared" si="27"/>
        <v>221.25844593378423</v>
      </c>
      <c r="Q91" s="33">
        <f t="shared" si="27"/>
        <v>227.76127963728919</v>
      </c>
      <c r="R91" s="33">
        <f>R25</f>
        <v>235.55496280422585</v>
      </c>
      <c r="S91" s="33">
        <f>S25</f>
        <v>241.25717039904629</v>
      </c>
      <c r="T91" s="33">
        <f>T25</f>
        <v>260.97754275935347</v>
      </c>
      <c r="U91" s="33">
        <f>U25</f>
        <v>268.44610168793884</v>
      </c>
      <c r="V91" s="33">
        <f>V25</f>
        <v>277.22047948986403</v>
      </c>
      <c r="W91" s="2"/>
      <c r="X91" s="2"/>
      <c r="Y91" s="2"/>
      <c r="Z91" s="2"/>
      <c r="AA91" s="2"/>
      <c r="AB91" s="2"/>
      <c r="AC91" s="198"/>
    </row>
    <row r="92" spans="2:67" ht="15" customHeight="1">
      <c r="B92" s="198"/>
      <c r="D92" s="30" t="s">
        <v>103</v>
      </c>
      <c r="E92" s="2"/>
      <c r="F92" s="2"/>
      <c r="G92" s="201"/>
      <c r="H92" s="8"/>
      <c r="I92" s="8"/>
      <c r="J92" s="8"/>
      <c r="K92" s="8"/>
      <c r="L92" s="8"/>
      <c r="M92" s="8"/>
      <c r="N92" s="8"/>
      <c r="O92" s="8"/>
      <c r="P92" s="8"/>
      <c r="Q92" s="8"/>
      <c r="R92" s="8"/>
      <c r="S92" s="8"/>
      <c r="T92" s="8"/>
      <c r="U92" s="8"/>
      <c r="V92" s="8"/>
      <c r="W92" s="2"/>
      <c r="X92" s="2"/>
      <c r="Y92" s="2"/>
      <c r="Z92" s="2"/>
      <c r="AA92" s="2"/>
      <c r="AB92" s="2"/>
      <c r="AC92" s="198"/>
    </row>
    <row r="93" spans="2:67" ht="15" customHeight="1">
      <c r="B93" s="198"/>
      <c r="D93" s="2" t="s">
        <v>32</v>
      </c>
      <c r="E93" s="2"/>
      <c r="F93" s="2"/>
      <c r="G93" s="201">
        <f t="shared" ref="G93:Q93" si="28">-G18</f>
        <v>86.487326013834718</v>
      </c>
      <c r="H93" s="8">
        <f t="shared" si="28"/>
        <v>97.137296399124679</v>
      </c>
      <c r="I93" s="8">
        <f t="shared" si="28"/>
        <v>98.100821972520706</v>
      </c>
      <c r="J93" s="8">
        <f t="shared" si="28"/>
        <v>99.078847816419696</v>
      </c>
      <c r="K93" s="8">
        <f t="shared" si="28"/>
        <v>100.07164664895541</v>
      </c>
      <c r="L93" s="8">
        <f t="shared" si="28"/>
        <v>101.07949675310579</v>
      </c>
      <c r="M93" s="8">
        <f t="shared" si="28"/>
        <v>102.10268209444973</v>
      </c>
      <c r="N93" s="8">
        <f t="shared" si="28"/>
        <v>103.14149244148858</v>
      </c>
      <c r="O93" s="8">
        <f t="shared" si="28"/>
        <v>104.19622348858999</v>
      </c>
      <c r="P93" s="8">
        <f t="shared" si="28"/>
        <v>105.26717698161303</v>
      </c>
      <c r="Q93" s="8">
        <f t="shared" si="28"/>
        <v>106.35466084627497</v>
      </c>
      <c r="R93" s="8">
        <f>-R18</f>
        <v>107.45898931932165</v>
      </c>
      <c r="S93" s="8">
        <f>-S18</f>
        <v>108.58048308256451</v>
      </c>
      <c r="T93" s="8">
        <f>-T18</f>
        <v>109.71946939984907</v>
      </c>
      <c r="U93" s="8">
        <f>-U18</f>
        <v>110.87628225702116</v>
      </c>
      <c r="V93" s="8">
        <f>-V18</f>
        <v>112.05126250495849</v>
      </c>
      <c r="W93" s="2"/>
      <c r="X93" s="2"/>
      <c r="Y93" s="2"/>
      <c r="Z93" s="2"/>
      <c r="AA93" s="2"/>
      <c r="AB93" s="2"/>
      <c r="AC93" s="198"/>
    </row>
    <row r="94" spans="2:67" ht="15" customHeight="1">
      <c r="B94" s="198"/>
      <c r="D94" s="2" t="s">
        <v>104</v>
      </c>
      <c r="E94" s="2"/>
      <c r="F94" s="2"/>
      <c r="G94" s="201">
        <f t="shared" ref="G94:Q94" si="29">G19</f>
        <v>0</v>
      </c>
      <c r="H94" s="8">
        <f t="shared" si="29"/>
        <v>0</v>
      </c>
      <c r="I94" s="8">
        <f t="shared" si="29"/>
        <v>0</v>
      </c>
      <c r="J94" s="8">
        <f t="shared" si="29"/>
        <v>0</v>
      </c>
      <c r="K94" s="8">
        <f t="shared" si="29"/>
        <v>0</v>
      </c>
      <c r="L94" s="8">
        <f t="shared" si="29"/>
        <v>0</v>
      </c>
      <c r="M94" s="8">
        <f t="shared" si="29"/>
        <v>0</v>
      </c>
      <c r="N94" s="8">
        <f t="shared" si="29"/>
        <v>0</v>
      </c>
      <c r="O94" s="8">
        <f t="shared" si="29"/>
        <v>0</v>
      </c>
      <c r="P94" s="8">
        <f t="shared" si="29"/>
        <v>0</v>
      </c>
      <c r="Q94" s="8">
        <f t="shared" si="29"/>
        <v>0</v>
      </c>
      <c r="R94" s="8">
        <f>R19</f>
        <v>0</v>
      </c>
      <c r="S94" s="8">
        <f>S19</f>
        <v>0</v>
      </c>
      <c r="T94" s="8">
        <f>T19</f>
        <v>0</v>
      </c>
      <c r="U94" s="8">
        <f>U19</f>
        <v>0</v>
      </c>
      <c r="V94" s="8">
        <f>V19</f>
        <v>0</v>
      </c>
      <c r="W94" s="2"/>
      <c r="X94" s="2"/>
      <c r="Y94" s="2"/>
      <c r="Z94" s="2"/>
      <c r="AA94" s="2"/>
      <c r="AB94" s="2"/>
      <c r="AC94" s="198"/>
    </row>
    <row r="95" spans="2:67" ht="15" customHeight="1" outlineLevel="1">
      <c r="B95" s="198"/>
      <c r="D95" s="2" t="s">
        <v>105</v>
      </c>
      <c r="E95" s="2"/>
      <c r="F95" s="2"/>
      <c r="G95" s="201">
        <v>0</v>
      </c>
      <c r="H95" s="8">
        <v>0</v>
      </c>
      <c r="I95" s="8">
        <v>0</v>
      </c>
      <c r="J95" s="8">
        <v>0</v>
      </c>
      <c r="K95" s="8">
        <v>0</v>
      </c>
      <c r="L95" s="8">
        <v>0</v>
      </c>
      <c r="M95" s="8">
        <v>0</v>
      </c>
      <c r="N95" s="8">
        <v>0</v>
      </c>
      <c r="O95" s="8">
        <v>0</v>
      </c>
      <c r="P95" s="8">
        <v>0</v>
      </c>
      <c r="Q95" s="8">
        <v>0</v>
      </c>
      <c r="R95" s="8">
        <v>0</v>
      </c>
      <c r="S95" s="8">
        <v>0</v>
      </c>
      <c r="T95" s="8">
        <v>0</v>
      </c>
      <c r="U95" s="8">
        <v>0</v>
      </c>
      <c r="V95" s="8">
        <v>0</v>
      </c>
      <c r="W95" s="2"/>
      <c r="X95" s="2"/>
      <c r="Y95" s="2"/>
      <c r="Z95" s="2"/>
      <c r="AA95" s="2"/>
      <c r="AB95" s="2"/>
      <c r="AC95" s="198"/>
    </row>
    <row r="96" spans="2:67" ht="15" customHeight="1">
      <c r="B96" s="198"/>
      <c r="D96" s="2" t="s">
        <v>106</v>
      </c>
      <c r="E96" s="2"/>
      <c r="F96" s="2"/>
      <c r="G96" s="201">
        <f>Assumptions!H370/10^6</f>
        <v>2.3075116666016666</v>
      </c>
      <c r="H96" s="8">
        <f>Assumptions!I370/10^6</f>
        <v>2.3651994582667086</v>
      </c>
      <c r="I96" s="8">
        <f>Assumptions!J370/10^6</f>
        <v>2.4243294447233756</v>
      </c>
      <c r="J96" s="8">
        <f>Assumptions!K370/10^6</f>
        <v>2.4849376808414596</v>
      </c>
      <c r="K96" s="8">
        <f>Assumptions!L370/10^6</f>
        <v>2.547061122862496</v>
      </c>
      <c r="L96" s="8">
        <f>Assumptions!M370/10^6</f>
        <v>2.6107376509340576</v>
      </c>
      <c r="M96" s="8">
        <f>Assumptions!N370/10^6</f>
        <v>2.6760060922074089</v>
      </c>
      <c r="N96" s="8">
        <f>Assumptions!O370/10^6</f>
        <v>2.7429062445125942</v>
      </c>
      <c r="O96" s="8">
        <f>Assumptions!P370/10^6</f>
        <v>2.8114789006254091</v>
      </c>
      <c r="P96" s="8">
        <f>Assumptions!Q370/10^6</f>
        <v>2.8817658731410445</v>
      </c>
      <c r="Q96" s="8">
        <f>Assumptions!R370/10^6</f>
        <v>2.9538100199695698</v>
      </c>
      <c r="R96" s="8">
        <f>Assumptions!S370/10^6</f>
        <v>3.0276552704688093</v>
      </c>
      <c r="S96" s="8">
        <f>Assumptions!T370/10^6</f>
        <v>3.1033466522305289</v>
      </c>
      <c r="T96" s="8">
        <f>Assumptions!U370/10^6</f>
        <v>3.1809303185362925</v>
      </c>
      <c r="U96" s="8">
        <f>Assumptions!V370/10^6</f>
        <v>3.2604535764996991</v>
      </c>
      <c r="V96" s="8">
        <f>Assumptions!W370/10^6</f>
        <v>3.3419649159121914</v>
      </c>
      <c r="W96" s="2"/>
      <c r="X96" s="2"/>
      <c r="Y96" s="2"/>
      <c r="Z96" s="2"/>
      <c r="AA96" s="2"/>
      <c r="AB96" s="2"/>
      <c r="AC96" s="198"/>
    </row>
    <row r="97" spans="2:29" ht="15" customHeight="1">
      <c r="B97" s="198"/>
      <c r="D97" s="2" t="s">
        <v>38</v>
      </c>
      <c r="E97" s="2"/>
      <c r="F97" s="2"/>
      <c r="G97" s="201">
        <f t="shared" ref="G97:Q97" si="30">-G24</f>
        <v>0</v>
      </c>
      <c r="H97" s="8">
        <f t="shared" si="30"/>
        <v>0</v>
      </c>
      <c r="I97" s="8">
        <f t="shared" si="30"/>
        <v>0</v>
      </c>
      <c r="J97" s="8">
        <f t="shared" si="30"/>
        <v>0</v>
      </c>
      <c r="K97" s="8">
        <f t="shared" si="30"/>
        <v>0</v>
      </c>
      <c r="L97" s="8">
        <f t="shared" si="30"/>
        <v>0</v>
      </c>
      <c r="M97" s="8">
        <f t="shared" si="30"/>
        <v>0</v>
      </c>
      <c r="N97" s="8">
        <f t="shared" si="30"/>
        <v>0</v>
      </c>
      <c r="O97" s="8">
        <f t="shared" si="30"/>
        <v>0</v>
      </c>
      <c r="P97" s="8">
        <f t="shared" si="30"/>
        <v>0</v>
      </c>
      <c r="Q97" s="8">
        <f t="shared" si="30"/>
        <v>0</v>
      </c>
      <c r="R97" s="8">
        <f>-R24</f>
        <v>0</v>
      </c>
      <c r="S97" s="8">
        <f>-S24</f>
        <v>0</v>
      </c>
      <c r="T97" s="8">
        <f>-T24</f>
        <v>0</v>
      </c>
      <c r="U97" s="8">
        <f>-U24</f>
        <v>0</v>
      </c>
      <c r="V97" s="8">
        <f>-V24</f>
        <v>0</v>
      </c>
      <c r="W97" s="2"/>
      <c r="X97" s="2"/>
      <c r="Y97" s="2"/>
      <c r="Z97" s="2"/>
      <c r="AA97" s="2"/>
      <c r="AB97" s="2"/>
      <c r="AC97" s="198"/>
    </row>
    <row r="98" spans="2:29" ht="15" customHeight="1" outlineLevel="1">
      <c r="B98" s="198"/>
      <c r="D98" s="2" t="s">
        <v>107</v>
      </c>
      <c r="E98" s="2"/>
      <c r="F98" s="2"/>
      <c r="G98" s="201">
        <v>0</v>
      </c>
      <c r="H98" s="8">
        <v>0</v>
      </c>
      <c r="I98" s="8">
        <v>0</v>
      </c>
      <c r="J98" s="8">
        <v>0</v>
      </c>
      <c r="K98" s="8">
        <v>0</v>
      </c>
      <c r="L98" s="8">
        <v>0</v>
      </c>
      <c r="M98" s="8">
        <v>0</v>
      </c>
      <c r="N98" s="8">
        <v>0</v>
      </c>
      <c r="O98" s="8">
        <v>0</v>
      </c>
      <c r="P98" s="8">
        <v>0</v>
      </c>
      <c r="Q98" s="8">
        <v>0</v>
      </c>
      <c r="R98" s="8">
        <v>0</v>
      </c>
      <c r="S98" s="8">
        <v>0</v>
      </c>
      <c r="T98" s="8">
        <v>0</v>
      </c>
      <c r="U98" s="8">
        <v>0</v>
      </c>
      <c r="V98" s="8">
        <v>0</v>
      </c>
      <c r="W98" s="2"/>
      <c r="X98" s="2"/>
      <c r="Y98" s="2"/>
      <c r="Z98" s="2"/>
      <c r="AA98" s="2"/>
      <c r="AB98" s="2"/>
      <c r="AC98" s="198"/>
    </row>
    <row r="99" spans="2:29" ht="15" customHeight="1">
      <c r="B99" s="198"/>
      <c r="D99" s="2" t="s">
        <v>108</v>
      </c>
      <c r="E99" s="2"/>
      <c r="F99" s="2"/>
      <c r="G99" s="201">
        <f>Assumptions!H598/10^6</f>
        <v>4.796493056211613</v>
      </c>
      <c r="H99" s="8">
        <f>Assumptions!I598/10^6</f>
        <v>-1.8782443264266382</v>
      </c>
      <c r="I99" s="8">
        <f>Assumptions!J598/10^6</f>
        <v>-2.2003140807351769</v>
      </c>
      <c r="J99" s="8">
        <f>Assumptions!K598/10^6</f>
        <v>-1.3456407725451607</v>
      </c>
      <c r="K99" s="8">
        <f>Assumptions!L598/10^6</f>
        <v>-0.89205714478849996</v>
      </c>
      <c r="L99" s="8">
        <f>Assumptions!M598/10^6</f>
        <v>-0.77844736302176865</v>
      </c>
      <c r="M99" s="8">
        <f>Assumptions!N598/10^6</f>
        <v>-0.34831732752002775</v>
      </c>
      <c r="N99" s="8">
        <f>Assumptions!O598/10^6</f>
        <v>-0.3997500961648971</v>
      </c>
      <c r="O99" s="8">
        <f>Assumptions!P598/10^6</f>
        <v>-0.32110271434030679</v>
      </c>
      <c r="P99" s="8">
        <f>Assumptions!Q598/10^6</f>
        <v>-0.3729082406946011</v>
      </c>
      <c r="Q99" s="8">
        <f>Assumptions!R598/10^6</f>
        <v>-0.38148513023058322</v>
      </c>
      <c r="R99" s="8">
        <f>Assumptions!S598/10^6</f>
        <v>-0.43781547872145476</v>
      </c>
      <c r="S99" s="8">
        <f>Assumptions!T598/10^6</f>
        <v>-0.35167906135951726</v>
      </c>
      <c r="T99" s="8">
        <f>Assumptions!U598/10^6</f>
        <v>-0.94584079661743714</v>
      </c>
      <c r="U99" s="8">
        <f>Assumptions!V598/10^6</f>
        <v>-0.43017200096996872</v>
      </c>
      <c r="V99" s="8">
        <f>Assumptions!W598/10^6</f>
        <v>-0.48792311361782625</v>
      </c>
      <c r="W99" s="2"/>
      <c r="X99" s="2"/>
      <c r="Y99" s="2"/>
      <c r="Z99" s="2"/>
      <c r="AA99" s="2"/>
      <c r="AB99" s="2"/>
      <c r="AC99" s="198"/>
    </row>
    <row r="100" spans="2:29" ht="15" customHeight="1">
      <c r="B100" s="198"/>
      <c r="D100" s="2" t="s">
        <v>69</v>
      </c>
      <c r="E100" s="2"/>
      <c r="F100" s="2"/>
      <c r="G100" s="201">
        <v>0</v>
      </c>
      <c r="H100" s="8">
        <v>0</v>
      </c>
      <c r="I100" s="8">
        <v>0</v>
      </c>
      <c r="J100" s="8">
        <v>0</v>
      </c>
      <c r="K100" s="8">
        <v>0</v>
      </c>
      <c r="L100" s="8">
        <v>0</v>
      </c>
      <c r="M100" s="8">
        <v>0</v>
      </c>
      <c r="N100" s="8">
        <v>0</v>
      </c>
      <c r="O100" s="8">
        <v>0</v>
      </c>
      <c r="P100" s="8">
        <v>0</v>
      </c>
      <c r="Q100" s="8">
        <v>0</v>
      </c>
      <c r="R100" s="8">
        <v>0</v>
      </c>
      <c r="S100" s="8">
        <v>0</v>
      </c>
      <c r="T100" s="8">
        <v>0</v>
      </c>
      <c r="U100" s="8">
        <v>0</v>
      </c>
      <c r="V100" s="8">
        <v>0</v>
      </c>
      <c r="W100" s="2"/>
      <c r="X100" s="2"/>
      <c r="Y100" s="2"/>
      <c r="Z100" s="2"/>
      <c r="AA100" s="2"/>
      <c r="AB100" s="2"/>
      <c r="AC100" s="198"/>
    </row>
    <row r="101" spans="2:29" ht="15" customHeight="1">
      <c r="B101" s="198"/>
      <c r="D101" s="2" t="s">
        <v>109</v>
      </c>
      <c r="E101" s="2"/>
      <c r="F101" s="2"/>
      <c r="G101" s="201">
        <f>Assumptions!H371/10^6</f>
        <v>-0.4880540999999996</v>
      </c>
      <c r="H101" s="8">
        <f>Assumptions!I371/10^6</f>
        <v>-0.57902697833008321</v>
      </c>
      <c r="I101" s="8">
        <f>Assumptions!J371/10^6</f>
        <v>-0.66833560232691469</v>
      </c>
      <c r="J101" s="8">
        <f>Assumptions!K371/10^6</f>
        <v>-0.75613529444673655</v>
      </c>
      <c r="K101" s="8">
        <f>Assumptions!L371/10^6</f>
        <v>-0.84257541376647349</v>
      </c>
      <c r="L101" s="8">
        <f>Assumptions!M371/10^6</f>
        <v>-0.9277996992212757</v>
      </c>
      <c r="M101" s="8">
        <f>Assumptions!N371/10^6</f>
        <v>-1.0119465968069137</v>
      </c>
      <c r="N101" s="8">
        <f>Assumptions!O371/10^6</f>
        <v>-1.0951495715769379</v>
      </c>
      <c r="O101" s="8">
        <f>Assumptions!P371/10^6</f>
        <v>-1.1775374052237235</v>
      </c>
      <c r="P101" s="8">
        <f>Assumptions!Q371/10^6</f>
        <v>-1.2592344799938053</v>
      </c>
      <c r="Q101" s="8">
        <f>Assumptions!R371/10^6</f>
        <v>-1.340361049651172</v>
      </c>
      <c r="R101" s="8">
        <f>Assumptions!S371/10^6</f>
        <v>-1.4210334981670865</v>
      </c>
      <c r="S101" s="8">
        <f>Assumptions!T371/10^6</f>
        <v>-1.5013645867821723</v>
      </c>
      <c r="T101" s="8">
        <f>Assumptions!U371/10^6</f>
        <v>-1.5814636900545918</v>
      </c>
      <c r="U101" s="8">
        <f>Assumptions!V371/10^6</f>
        <v>-1.6614370214786753</v>
      </c>
      <c r="V101" s="8">
        <f>Assumptions!W371/10^6</f>
        <v>-1.7413878492297306</v>
      </c>
      <c r="W101" s="2"/>
      <c r="X101" s="2"/>
      <c r="Y101" s="2"/>
      <c r="Z101" s="2"/>
      <c r="AA101" s="2"/>
      <c r="AB101" s="2"/>
      <c r="AC101" s="198"/>
    </row>
    <row r="102" spans="2:29" ht="15" customHeight="1">
      <c r="B102" s="198"/>
      <c r="D102" s="2" t="s">
        <v>110</v>
      </c>
      <c r="E102" s="2"/>
      <c r="F102" s="2"/>
      <c r="G102" s="201">
        <f>Assumptions!H514/10^6</f>
        <v>-2.6778679548598019</v>
      </c>
      <c r="H102" s="8">
        <f>Assumptions!I514/10^6</f>
        <v>-2.0665082613066272</v>
      </c>
      <c r="I102" s="8">
        <f>Assumptions!J514/10^6</f>
        <v>-3.3131340523444965</v>
      </c>
      <c r="J102" s="8">
        <f>Assumptions!K514/10^6</f>
        <v>-4.0522377416346691</v>
      </c>
      <c r="K102" s="8">
        <f>Assumptions!L514/10^6</f>
        <v>-4.516849610846954</v>
      </c>
      <c r="L102" s="8">
        <f>Assumptions!M514/10^6</f>
        <v>-4.9197350330474965</v>
      </c>
      <c r="M102" s="8">
        <f>Assumptions!N514/10^6</f>
        <v>-5.0670718924911551</v>
      </c>
      <c r="N102" s="8">
        <f>Assumptions!O514/10^6</f>
        <v>-5.2438434019833924</v>
      </c>
      <c r="O102" s="8">
        <f>Assumptions!P514/10^6</f>
        <v>-5.3728417542416684</v>
      </c>
      <c r="P102" s="8">
        <f>Assumptions!Q514/10^6</f>
        <v>-5.5314611483446061</v>
      </c>
      <c r="Q102" s="8">
        <f>Assumptions!R514/10^6</f>
        <v>-5.6940319909322303</v>
      </c>
      <c r="R102" s="8">
        <f>Assumptions!S514/10^6</f>
        <v>-5.888874070105647</v>
      </c>
      <c r="S102" s="8">
        <f>Assumptions!T514/10^6</f>
        <v>-6.0314292599761581</v>
      </c>
      <c r="T102" s="8">
        <f>Assumptions!U514/10^6</f>
        <v>-6.5244385689838369</v>
      </c>
      <c r="U102" s="8">
        <f>Assumptions!V514/10^6</f>
        <v>-6.7111525421984703</v>
      </c>
      <c r="V102" s="8">
        <f>Assumptions!W514/10^6</f>
        <v>-6.9305119872466019</v>
      </c>
      <c r="W102" s="2"/>
      <c r="X102" s="2"/>
      <c r="Y102" s="2"/>
      <c r="Z102" s="2"/>
      <c r="AA102" s="2"/>
      <c r="AB102" s="2"/>
      <c r="AC102" s="198"/>
    </row>
    <row r="103" spans="2:29" ht="15" customHeight="1" thickBot="1">
      <c r="B103" s="198"/>
      <c r="D103" s="29" t="s">
        <v>111</v>
      </c>
      <c r="E103" s="2"/>
      <c r="F103" s="2"/>
      <c r="G103" s="202">
        <f t="shared" ref="G103" si="31">SUM(G91:G102)</f>
        <v>146.01440687618026</v>
      </c>
      <c r="H103" s="21">
        <f t="shared" ref="H103:V103" si="32">SUM(H91:H102)</f>
        <v>177.63904674359313</v>
      </c>
      <c r="I103" s="21">
        <f t="shared" si="32"/>
        <v>226.86872977561731</v>
      </c>
      <c r="J103" s="21">
        <f t="shared" si="32"/>
        <v>257.49928135402138</v>
      </c>
      <c r="K103" s="21">
        <f t="shared" si="32"/>
        <v>277.0412100362941</v>
      </c>
      <c r="L103" s="21">
        <f t="shared" si="32"/>
        <v>293.85365363064915</v>
      </c>
      <c r="M103" s="21">
        <f t="shared" si="32"/>
        <v>301.03422806948527</v>
      </c>
      <c r="N103" s="21">
        <f t="shared" si="32"/>
        <v>308.89939169561165</v>
      </c>
      <c r="O103" s="21">
        <f t="shared" si="32"/>
        <v>315.04989068507638</v>
      </c>
      <c r="P103" s="21">
        <f t="shared" si="32"/>
        <v>322.24378491950534</v>
      </c>
      <c r="Q103" s="21">
        <f t="shared" si="32"/>
        <v>329.65387233271974</v>
      </c>
      <c r="R103" s="21">
        <f t="shared" si="32"/>
        <v>338.29388434702207</v>
      </c>
      <c r="S103" s="21">
        <f t="shared" si="32"/>
        <v>345.05652722572347</v>
      </c>
      <c r="T103" s="21">
        <f t="shared" si="32"/>
        <v>364.82619942208294</v>
      </c>
      <c r="U103" s="21">
        <f t="shared" si="32"/>
        <v>373.7800759568126</v>
      </c>
      <c r="V103" s="21">
        <f t="shared" si="32"/>
        <v>383.4538839606405</v>
      </c>
      <c r="W103" s="2"/>
      <c r="X103" s="2"/>
      <c r="Y103" s="2"/>
      <c r="Z103" s="2"/>
      <c r="AA103" s="2"/>
      <c r="AB103" s="2"/>
      <c r="AC103" s="198"/>
    </row>
    <row r="104" spans="2:29" ht="15" customHeight="1" outlineLevel="1">
      <c r="B104" s="198"/>
      <c r="D104" s="2" t="s">
        <v>112</v>
      </c>
      <c r="E104" s="2"/>
      <c r="F104" s="2"/>
      <c r="G104" s="201">
        <v>0</v>
      </c>
      <c r="H104" s="8">
        <v>0</v>
      </c>
      <c r="I104" s="8">
        <v>0</v>
      </c>
      <c r="J104" s="8">
        <v>0</v>
      </c>
      <c r="K104" s="8">
        <v>0</v>
      </c>
      <c r="L104" s="8">
        <v>0</v>
      </c>
      <c r="M104" s="8">
        <v>0</v>
      </c>
      <c r="N104" s="8">
        <v>0</v>
      </c>
      <c r="O104" s="8">
        <v>0</v>
      </c>
      <c r="P104" s="8">
        <v>0</v>
      </c>
      <c r="Q104" s="8">
        <v>0</v>
      </c>
      <c r="R104" s="8">
        <v>0</v>
      </c>
      <c r="S104" s="8">
        <v>0</v>
      </c>
      <c r="T104" s="8">
        <v>0</v>
      </c>
      <c r="U104" s="8">
        <v>0</v>
      </c>
      <c r="V104" s="8">
        <v>0</v>
      </c>
      <c r="W104" s="2"/>
      <c r="X104" s="2"/>
      <c r="Y104" s="2"/>
      <c r="Z104" s="2"/>
      <c r="AA104" s="2"/>
      <c r="AB104" s="2"/>
      <c r="AC104" s="198"/>
    </row>
    <row r="105" spans="2:29" ht="15" customHeight="1">
      <c r="B105" s="198"/>
      <c r="D105" s="2" t="s">
        <v>113</v>
      </c>
      <c r="E105" s="2"/>
      <c r="F105" s="2"/>
      <c r="G105" s="201">
        <f>-Assumptions!H640/10^6</f>
        <v>-14.749520660000002</v>
      </c>
      <c r="H105" s="8">
        <f>-Assumptions!I640/10^6</f>
        <v>-14.881659319499997</v>
      </c>
      <c r="I105" s="8">
        <f>-Assumptions!J640/10^6</f>
        <v>-17.006295827178242</v>
      </c>
      <c r="J105" s="8">
        <f>-Assumptions!K640/10^6</f>
        <v>-17.15449537694948</v>
      </c>
      <c r="K105" s="8">
        <f>-Assumptions!L640/10^6</f>
        <v>-17.304738843584978</v>
      </c>
      <c r="L105" s="8">
        <f>-Assumptions!M640/10^6</f>
        <v>-17.457063691782441</v>
      </c>
      <c r="M105" s="8">
        <f>-Assumptions!N640/10^6</f>
        <v>-17.611508154067266</v>
      </c>
      <c r="N105" s="8">
        <f>-Assumptions!O640/10^6</f>
        <v>-17.768111247309825</v>
      </c>
      <c r="O105" s="8">
        <f>-Assumptions!P640/10^6</f>
        <v>-17.926912789610931</v>
      </c>
      <c r="P105" s="8">
        <f>-Assumptions!Q640/10^6</f>
        <v>-18.087953417563995</v>
      </c>
      <c r="Q105" s="8">
        <f>-Assumptions!R640/10^6</f>
        <v>-18.251274603902669</v>
      </c>
      <c r="R105" s="8">
        <f>-Assumptions!S640/10^6</f>
        <v>-18.416918675542771</v>
      </c>
      <c r="S105" s="8">
        <f>-Assumptions!T640/10^6</f>
        <v>-18.584928832027753</v>
      </c>
      <c r="T105" s="8">
        <f>-Assumptions!U640/10^6</f>
        <v>-18.755349164386981</v>
      </c>
      <c r="U105" s="8">
        <f>-Assumptions!V640/10^6</f>
        <v>-18.928224674416565</v>
      </c>
      <c r="V105" s="8">
        <f>-Assumptions!W640/10^6</f>
        <v>-19.103601294392369</v>
      </c>
      <c r="W105" s="2"/>
      <c r="X105" s="2"/>
      <c r="Y105" s="2"/>
      <c r="Z105" s="2"/>
      <c r="AA105" s="2"/>
      <c r="AB105" s="2"/>
      <c r="AC105" s="198"/>
    </row>
    <row r="106" spans="2:29" ht="15" customHeight="1" outlineLevel="1">
      <c r="B106" s="198"/>
      <c r="D106" s="2" t="s">
        <v>114</v>
      </c>
      <c r="E106" s="2"/>
      <c r="F106" s="2"/>
      <c r="G106" s="201">
        <f>Assumptions!H685/10^6</f>
        <v>0</v>
      </c>
      <c r="H106" s="8">
        <v>0</v>
      </c>
      <c r="I106" s="8">
        <v>0</v>
      </c>
      <c r="J106" s="8">
        <v>0</v>
      </c>
      <c r="K106" s="8">
        <v>0</v>
      </c>
      <c r="L106" s="8">
        <v>0</v>
      </c>
      <c r="M106" s="8">
        <v>0</v>
      </c>
      <c r="N106" s="8">
        <v>0</v>
      </c>
      <c r="O106" s="8">
        <v>0</v>
      </c>
      <c r="P106" s="8">
        <v>0</v>
      </c>
      <c r="Q106" s="8">
        <v>0</v>
      </c>
      <c r="R106" s="8">
        <v>0</v>
      </c>
      <c r="S106" s="8">
        <v>0</v>
      </c>
      <c r="T106" s="8">
        <v>0</v>
      </c>
      <c r="U106" s="8">
        <v>0</v>
      </c>
      <c r="V106" s="8">
        <v>0</v>
      </c>
      <c r="W106" s="2"/>
      <c r="X106" s="2"/>
      <c r="Y106" s="2"/>
      <c r="Z106" s="2"/>
      <c r="AA106" s="2"/>
      <c r="AB106" s="2"/>
      <c r="AC106" s="198"/>
    </row>
    <row r="107" spans="2:29" ht="15" customHeight="1" outlineLevel="1">
      <c r="B107" s="198"/>
      <c r="D107" s="2" t="s">
        <v>76</v>
      </c>
      <c r="E107" s="2"/>
      <c r="F107" s="2"/>
      <c r="G107" s="201">
        <v>0</v>
      </c>
      <c r="H107" s="8">
        <v>0</v>
      </c>
      <c r="I107" s="8">
        <v>0</v>
      </c>
      <c r="J107" s="8">
        <v>0</v>
      </c>
      <c r="K107" s="8">
        <v>0</v>
      </c>
      <c r="L107" s="8">
        <v>0</v>
      </c>
      <c r="M107" s="8">
        <v>0</v>
      </c>
      <c r="N107" s="8">
        <v>0</v>
      </c>
      <c r="O107" s="8">
        <v>0</v>
      </c>
      <c r="P107" s="8">
        <v>0</v>
      </c>
      <c r="Q107" s="8">
        <v>0</v>
      </c>
      <c r="R107" s="8">
        <v>0</v>
      </c>
      <c r="S107" s="8">
        <v>0</v>
      </c>
      <c r="T107" s="8">
        <v>0</v>
      </c>
      <c r="U107" s="8">
        <v>0</v>
      </c>
      <c r="V107" s="8">
        <v>0</v>
      </c>
      <c r="W107" s="2"/>
      <c r="X107" s="2"/>
      <c r="Y107" s="2"/>
      <c r="Z107" s="2"/>
      <c r="AA107" s="2"/>
      <c r="AB107" s="2"/>
      <c r="AC107" s="198"/>
    </row>
    <row r="108" spans="2:29" ht="15" customHeight="1" thickBot="1">
      <c r="B108" s="198"/>
      <c r="D108" s="29" t="s">
        <v>115</v>
      </c>
      <c r="E108" s="2"/>
      <c r="F108" s="2"/>
      <c r="G108" s="202">
        <f t="shared" ref="G108:V108" si="33">SUM(G104:G107)</f>
        <v>-14.749520660000002</v>
      </c>
      <c r="H108" s="21">
        <f t="shared" si="33"/>
        <v>-14.881659319499997</v>
      </c>
      <c r="I108" s="21">
        <f t="shared" si="33"/>
        <v>-17.006295827178242</v>
      </c>
      <c r="J108" s="21">
        <f t="shared" si="33"/>
        <v>-17.15449537694948</v>
      </c>
      <c r="K108" s="21">
        <f t="shared" si="33"/>
        <v>-17.304738843584978</v>
      </c>
      <c r="L108" s="21">
        <f t="shared" si="33"/>
        <v>-17.457063691782441</v>
      </c>
      <c r="M108" s="21">
        <f t="shared" si="33"/>
        <v>-17.611508154067266</v>
      </c>
      <c r="N108" s="21">
        <f t="shared" si="33"/>
        <v>-17.768111247309825</v>
      </c>
      <c r="O108" s="21">
        <f t="shared" si="33"/>
        <v>-17.926912789610931</v>
      </c>
      <c r="P108" s="21">
        <f t="shared" si="33"/>
        <v>-18.087953417563995</v>
      </c>
      <c r="Q108" s="21">
        <f t="shared" si="33"/>
        <v>-18.251274603902669</v>
      </c>
      <c r="R108" s="21">
        <f t="shared" si="33"/>
        <v>-18.416918675542771</v>
      </c>
      <c r="S108" s="21">
        <f t="shared" si="33"/>
        <v>-18.584928832027753</v>
      </c>
      <c r="T108" s="21">
        <f t="shared" si="33"/>
        <v>-18.755349164386981</v>
      </c>
      <c r="U108" s="21">
        <f t="shared" si="33"/>
        <v>-18.928224674416565</v>
      </c>
      <c r="V108" s="21">
        <f t="shared" si="33"/>
        <v>-19.103601294392369</v>
      </c>
      <c r="W108" s="2"/>
      <c r="X108" s="2"/>
      <c r="Y108" s="2"/>
      <c r="Z108" s="2"/>
      <c r="AA108" s="2"/>
      <c r="AB108" s="2"/>
      <c r="AC108" s="198"/>
    </row>
    <row r="109" spans="2:29" ht="12.6">
      <c r="B109" s="198"/>
      <c r="D109" s="2" t="s">
        <v>116</v>
      </c>
      <c r="E109" s="2"/>
      <c r="F109" s="2"/>
      <c r="G109" s="201">
        <f>SUM(Assumptions!H739:H740)/10^6</f>
        <v>2548.9213679999998</v>
      </c>
      <c r="H109" s="8">
        <f>SUM(Assumptions!I739:I740)/10^6</f>
        <v>0</v>
      </c>
      <c r="I109" s="8">
        <f>SUM(Assumptions!J739:J740)/10^6</f>
        <v>0</v>
      </c>
      <c r="J109" s="8">
        <f>SUM(Assumptions!K739:K740)/10^6</f>
        <v>0</v>
      </c>
      <c r="K109" s="8">
        <f>SUM(Assumptions!L739:L740)/10^6</f>
        <v>0</v>
      </c>
      <c r="L109" s="8">
        <f>SUM(Assumptions!M739:M740)/10^6</f>
        <v>0</v>
      </c>
      <c r="M109" s="8">
        <f>SUM(Assumptions!N739:N740)/10^6</f>
        <v>0</v>
      </c>
      <c r="N109" s="8">
        <f>SUM(Assumptions!O739:O740)/10^6</f>
        <v>0</v>
      </c>
      <c r="O109" s="8">
        <f>SUM(Assumptions!P739:P740)/10^6</f>
        <v>0</v>
      </c>
      <c r="P109" s="8">
        <f>SUM(Assumptions!Q739:Q740)/10^6</f>
        <v>0</v>
      </c>
      <c r="Q109" s="8">
        <f>SUM(Assumptions!R739:R740)/10^6</f>
        <v>0</v>
      </c>
      <c r="R109" s="8">
        <f>SUM(Assumptions!S739:S740)/10^6</f>
        <v>0</v>
      </c>
      <c r="S109" s="8">
        <f>SUM(Assumptions!T739:T740)/10^6</f>
        <v>0</v>
      </c>
      <c r="T109" s="8">
        <f>SUM(Assumptions!U739:U740)/10^6</f>
        <v>0</v>
      </c>
      <c r="U109" s="8">
        <f>SUM(Assumptions!V739:V740)/10^6</f>
        <v>0</v>
      </c>
      <c r="V109" s="8">
        <f>SUM(Assumptions!W739:W740)/10^6</f>
        <v>0</v>
      </c>
      <c r="W109" s="2"/>
      <c r="X109" s="2"/>
      <c r="Y109" s="2"/>
      <c r="Z109" s="2"/>
      <c r="AA109" s="2"/>
      <c r="AB109" s="2"/>
      <c r="AC109" s="198"/>
    </row>
    <row r="110" spans="2:29" ht="15" customHeight="1">
      <c r="B110" s="198"/>
      <c r="D110" s="2" t="s">
        <v>117</v>
      </c>
      <c r="E110" s="2"/>
      <c r="F110" s="2"/>
      <c r="G110" s="201">
        <v>0</v>
      </c>
      <c r="H110" s="8">
        <v>0</v>
      </c>
      <c r="I110" s="8">
        <v>0</v>
      </c>
      <c r="J110" s="8">
        <v>0</v>
      </c>
      <c r="K110" s="8">
        <v>0</v>
      </c>
      <c r="L110" s="8">
        <v>0</v>
      </c>
      <c r="M110" s="8">
        <v>0</v>
      </c>
      <c r="N110" s="8">
        <v>0</v>
      </c>
      <c r="O110" s="8">
        <v>0</v>
      </c>
      <c r="P110" s="8">
        <v>0</v>
      </c>
      <c r="Q110" s="8">
        <v>0</v>
      </c>
      <c r="R110" s="8">
        <v>0</v>
      </c>
      <c r="S110" s="8">
        <v>0</v>
      </c>
      <c r="T110" s="8">
        <v>0</v>
      </c>
      <c r="U110" s="8">
        <v>0</v>
      </c>
      <c r="V110" s="8">
        <v>0</v>
      </c>
      <c r="W110" s="2"/>
      <c r="X110" s="2"/>
      <c r="Y110" s="2"/>
      <c r="Z110" s="2"/>
      <c r="AA110" s="2"/>
      <c r="AB110" s="2"/>
      <c r="AC110" s="198"/>
    </row>
    <row r="111" spans="2:29" ht="15" customHeight="1">
      <c r="B111" s="198"/>
      <c r="D111" s="2" t="s">
        <v>118</v>
      </c>
      <c r="E111" s="2"/>
      <c r="F111" s="2"/>
      <c r="G111" s="201">
        <f>Assumptions!H709/10^6</f>
        <v>-2548.9213679999998</v>
      </c>
      <c r="H111" s="8">
        <f>Assumptions!I709/10^6</f>
        <v>0</v>
      </c>
      <c r="I111" s="8">
        <f>Assumptions!J709/10^6</f>
        <v>0</v>
      </c>
      <c r="J111" s="8">
        <f>Assumptions!K709/10^6</f>
        <v>0</v>
      </c>
      <c r="K111" s="8">
        <f>Assumptions!L709/10^6</f>
        <v>0</v>
      </c>
      <c r="L111" s="8">
        <f>Assumptions!M709/10^6</f>
        <v>0</v>
      </c>
      <c r="M111" s="8">
        <f>Assumptions!N709/10^6</f>
        <v>0</v>
      </c>
      <c r="N111" s="8">
        <f>Assumptions!O709/10^6</f>
        <v>0</v>
      </c>
      <c r="O111" s="8">
        <f>Assumptions!P709/10^6</f>
        <v>0</v>
      </c>
      <c r="P111" s="8">
        <f>Assumptions!Q709/10^6</f>
        <v>0</v>
      </c>
      <c r="Q111" s="8">
        <f>Assumptions!R709/10^6</f>
        <v>0</v>
      </c>
      <c r="R111" s="8">
        <f>Assumptions!S709/10^6</f>
        <v>0</v>
      </c>
      <c r="S111" s="8">
        <f>Assumptions!T709/10^6</f>
        <v>0</v>
      </c>
      <c r="T111" s="8">
        <f>Assumptions!U709/10^6</f>
        <v>0</v>
      </c>
      <c r="U111" s="8">
        <f>Assumptions!V709/10^6</f>
        <v>0</v>
      </c>
      <c r="V111" s="8">
        <f>Assumptions!W709/10^6</f>
        <v>0</v>
      </c>
      <c r="W111" s="2"/>
      <c r="X111" s="2"/>
      <c r="Y111" s="2"/>
      <c r="Z111" s="2"/>
      <c r="AA111" s="2"/>
      <c r="AB111" s="2"/>
      <c r="AC111" s="198"/>
    </row>
    <row r="112" spans="2:29" ht="15" customHeight="1" outlineLevel="1">
      <c r="B112" s="198"/>
      <c r="D112" s="2" t="s">
        <v>119</v>
      </c>
      <c r="E112" s="2"/>
      <c r="F112" s="2"/>
      <c r="G112" s="201">
        <f>SUM(Assumptions!H721:H723)/10^6</f>
        <v>0</v>
      </c>
      <c r="H112" s="8">
        <f>SUM(Assumptions!I721:I723)/10^6</f>
        <v>0</v>
      </c>
      <c r="I112" s="8">
        <f>SUM(Assumptions!J721:J723)/10^6</f>
        <v>0</v>
      </c>
      <c r="J112" s="8">
        <f>SUM(Assumptions!K721:K723)/10^6</f>
        <v>0</v>
      </c>
      <c r="K112" s="8">
        <f>SUM(Assumptions!L721:L723)/10^6</f>
        <v>0</v>
      </c>
      <c r="L112" s="8">
        <f>SUM(Assumptions!M721:M723)/10^6</f>
        <v>0</v>
      </c>
      <c r="M112" s="8">
        <f>SUM(Assumptions!N721:N723)/10^6</f>
        <v>0</v>
      </c>
      <c r="N112" s="8">
        <f>SUM(Assumptions!O721:O723)/10^6</f>
        <v>0</v>
      </c>
      <c r="O112" s="8">
        <f>SUM(Assumptions!P721:P723)/10^6</f>
        <v>0</v>
      </c>
      <c r="P112" s="8">
        <f>SUM(Assumptions!Q721:Q723)/10^6</f>
        <v>0</v>
      </c>
      <c r="Q112" s="8">
        <f>SUM(Assumptions!R721:R723)/10^6</f>
        <v>0</v>
      </c>
      <c r="R112" s="8">
        <f>SUM(Assumptions!S721:S723)/10^6</f>
        <v>0</v>
      </c>
      <c r="S112" s="8">
        <f>SUM(Assumptions!T721:T723)/10^6</f>
        <v>0</v>
      </c>
      <c r="T112" s="8">
        <f>SUM(Assumptions!U721:U723)/10^6</f>
        <v>0</v>
      </c>
      <c r="U112" s="8">
        <f>SUM(Assumptions!V721:V723)/10^6</f>
        <v>0</v>
      </c>
      <c r="V112" s="8">
        <f>SUM(Assumptions!W721:W723)/10^6</f>
        <v>0</v>
      </c>
      <c r="W112" s="2"/>
      <c r="X112" s="2"/>
      <c r="Y112" s="2"/>
      <c r="Z112" s="2"/>
      <c r="AA112" s="2"/>
      <c r="AB112" s="2"/>
      <c r="AC112" s="198"/>
    </row>
    <row r="113" spans="2:29" ht="15" customHeight="1">
      <c r="B113" s="198"/>
      <c r="D113" s="2" t="s">
        <v>120</v>
      </c>
      <c r="E113" s="2"/>
      <c r="F113" s="2"/>
      <c r="G113" s="201">
        <f>Assumptions!H732/10^6</f>
        <v>0</v>
      </c>
      <c r="H113" s="8">
        <f>Assumptions!I732/10^6</f>
        <v>0</v>
      </c>
      <c r="I113" s="8">
        <f>Assumptions!J732/10^6</f>
        <v>0</v>
      </c>
      <c r="J113" s="8">
        <f>Assumptions!K732/10^6</f>
        <v>0</v>
      </c>
      <c r="K113" s="8">
        <f>Assumptions!L732/10^6</f>
        <v>0</v>
      </c>
      <c r="L113" s="8">
        <f>Assumptions!M732/10^6</f>
        <v>0</v>
      </c>
      <c r="M113" s="8">
        <f>Assumptions!N732/10^6</f>
        <v>0</v>
      </c>
      <c r="N113" s="8">
        <f>Assumptions!O732/10^6</f>
        <v>0</v>
      </c>
      <c r="O113" s="8">
        <f>Assumptions!P732/10^6</f>
        <v>0</v>
      </c>
      <c r="P113" s="8">
        <f>Assumptions!Q732/10^6</f>
        <v>0</v>
      </c>
      <c r="Q113" s="8">
        <f>Assumptions!R732/10^6</f>
        <v>0</v>
      </c>
      <c r="R113" s="8">
        <f>Assumptions!S732/10^6</f>
        <v>0</v>
      </c>
      <c r="S113" s="8">
        <f>Assumptions!T732/10^6</f>
        <v>0</v>
      </c>
      <c r="T113" s="8">
        <f>Assumptions!U732/10^6</f>
        <v>0</v>
      </c>
      <c r="U113" s="8">
        <f>Assumptions!V732/10^6</f>
        <v>0</v>
      </c>
      <c r="V113" s="8">
        <f>Assumptions!W732/10^6</f>
        <v>0</v>
      </c>
      <c r="W113" s="2"/>
      <c r="X113" s="2"/>
      <c r="Y113" s="2"/>
      <c r="Z113" s="2"/>
      <c r="AA113" s="2"/>
      <c r="AB113" s="2"/>
      <c r="AC113" s="198"/>
    </row>
    <row r="114" spans="2:29" ht="15" customHeight="1" outlineLevel="1">
      <c r="B114" s="198"/>
      <c r="D114" s="2" t="s">
        <v>121</v>
      </c>
      <c r="E114" s="2"/>
      <c r="F114" s="2"/>
      <c r="G114" s="201">
        <v>0</v>
      </c>
      <c r="H114" s="8">
        <v>0</v>
      </c>
      <c r="I114" s="8">
        <v>0</v>
      </c>
      <c r="J114" s="8">
        <v>0</v>
      </c>
      <c r="K114" s="8">
        <v>0</v>
      </c>
      <c r="L114" s="8">
        <v>0</v>
      </c>
      <c r="M114" s="8">
        <v>0</v>
      </c>
      <c r="N114" s="8">
        <v>0</v>
      </c>
      <c r="O114" s="8">
        <v>0</v>
      </c>
      <c r="P114" s="8">
        <v>0</v>
      </c>
      <c r="Q114" s="8">
        <v>0</v>
      </c>
      <c r="R114" s="8">
        <v>0</v>
      </c>
      <c r="S114" s="8">
        <v>0</v>
      </c>
      <c r="T114" s="8">
        <v>0</v>
      </c>
      <c r="U114" s="8">
        <v>0</v>
      </c>
      <c r="V114" s="8">
        <v>0</v>
      </c>
      <c r="W114" s="2"/>
      <c r="X114" s="2"/>
      <c r="Y114" s="2"/>
      <c r="Z114" s="2"/>
      <c r="AA114" s="2"/>
      <c r="AB114" s="2"/>
      <c r="AC114" s="198"/>
    </row>
    <row r="115" spans="2:29" ht="15" customHeight="1">
      <c r="B115" s="198"/>
      <c r="D115" s="2" t="s">
        <v>122</v>
      </c>
      <c r="E115" s="2"/>
      <c r="F115" s="2"/>
      <c r="G115" s="201">
        <f>Assumptions!H763/10^6</f>
        <v>0</v>
      </c>
      <c r="H115" s="8">
        <f>Assumptions!I763/10^6</f>
        <v>0</v>
      </c>
      <c r="I115" s="8">
        <f>Assumptions!J763/10^6</f>
        <v>0</v>
      </c>
      <c r="J115" s="8">
        <f>Assumptions!K763/10^6</f>
        <v>0</v>
      </c>
      <c r="K115" s="8">
        <f>Assumptions!L763/10^6</f>
        <v>-176.15713482303124</v>
      </c>
      <c r="L115" s="8">
        <f>Assumptions!M763/10^6</f>
        <v>-191.86966628885236</v>
      </c>
      <c r="M115" s="8">
        <f>Assumptions!N763/10^6</f>
        <v>-197.61580380715506</v>
      </c>
      <c r="N115" s="8">
        <f>Assumptions!O763/10^6</f>
        <v>-204.5098926773523</v>
      </c>
      <c r="O115" s="8">
        <f>Assumptions!P763/10^6</f>
        <v>-209.54082841542507</v>
      </c>
      <c r="P115" s="8">
        <f>Assumptions!Q763/10^6</f>
        <v>-215.72698478543961</v>
      </c>
      <c r="Q115" s="8">
        <f>Assumptions!R763/10^6</f>
        <v>-222.06724764635698</v>
      </c>
      <c r="R115" s="8">
        <f>Assumptions!S763/10^6</f>
        <v>-229.66608873412019</v>
      </c>
      <c r="S115" s="8">
        <f>Assumptions!T763/10^6</f>
        <v>-235.22574113907012</v>
      </c>
      <c r="T115" s="8">
        <f>Assumptions!U763/10^6</f>
        <v>-254.45310419036963</v>
      </c>
      <c r="U115" s="8">
        <f>Assumptions!V763/10^6</f>
        <v>-261.73494914574036</v>
      </c>
      <c r="V115" s="8">
        <f>Assumptions!W763/10^6</f>
        <v>-270.28996750261746</v>
      </c>
      <c r="W115" s="2"/>
      <c r="X115" s="2"/>
      <c r="Y115" s="2"/>
      <c r="Z115" s="2"/>
      <c r="AA115" s="2"/>
      <c r="AB115" s="2"/>
      <c r="AC115" s="198"/>
    </row>
    <row r="116" spans="2:29" ht="15" customHeight="1" outlineLevel="1">
      <c r="B116" s="198"/>
      <c r="D116" s="2" t="s">
        <v>123</v>
      </c>
      <c r="E116" s="2"/>
      <c r="F116" s="2"/>
      <c r="G116" s="203">
        <f>Assumptions!H741/10^6</f>
        <v>0</v>
      </c>
      <c r="H116" s="8">
        <f>Assumptions!I741/10^6</f>
        <v>0</v>
      </c>
      <c r="I116" s="8">
        <f>Assumptions!J741/10^6</f>
        <v>0</v>
      </c>
      <c r="J116" s="8">
        <f>Assumptions!K741/10^6</f>
        <v>0</v>
      </c>
      <c r="K116" s="8">
        <f>Assumptions!L741/10^6</f>
        <v>0</v>
      </c>
      <c r="L116" s="8">
        <f>Assumptions!M741/10^6</f>
        <v>0</v>
      </c>
      <c r="M116" s="8">
        <f>Assumptions!N741/10^6</f>
        <v>0</v>
      </c>
      <c r="N116" s="8">
        <f>Assumptions!O741/10^6</f>
        <v>0</v>
      </c>
      <c r="O116" s="8">
        <f>Assumptions!P741/10^6</f>
        <v>0</v>
      </c>
      <c r="P116" s="8">
        <f>Assumptions!Q741/10^6</f>
        <v>0</v>
      </c>
      <c r="Q116" s="8">
        <f>Assumptions!R741/10^6</f>
        <v>0</v>
      </c>
      <c r="R116" s="8">
        <f>Assumptions!S741/10^6</f>
        <v>0</v>
      </c>
      <c r="S116" s="8">
        <f>Assumptions!T741/10^6</f>
        <v>0</v>
      </c>
      <c r="T116" s="8">
        <f>Assumptions!U741/10^6</f>
        <v>0</v>
      </c>
      <c r="U116" s="8">
        <f>Assumptions!V741/10^6</f>
        <v>0</v>
      </c>
      <c r="V116" s="8">
        <f>Assumptions!W741/10^6</f>
        <v>0</v>
      </c>
      <c r="W116" s="2"/>
      <c r="X116" s="2"/>
      <c r="Y116" s="2"/>
      <c r="Z116" s="2"/>
      <c r="AA116" s="2"/>
      <c r="AB116" s="2"/>
      <c r="AC116" s="198"/>
    </row>
    <row r="117" spans="2:29" ht="15" customHeight="1" thickBot="1">
      <c r="B117" s="198"/>
      <c r="D117" s="29" t="s">
        <v>124</v>
      </c>
      <c r="E117" s="2"/>
      <c r="F117" s="2"/>
      <c r="G117" s="202">
        <f>SUM(G109:G116)</f>
        <v>0</v>
      </c>
      <c r="H117" s="21">
        <f t="shared" ref="H117:V117" si="34">SUM(H109:H116)</f>
        <v>0</v>
      </c>
      <c r="I117" s="21">
        <f t="shared" si="34"/>
        <v>0</v>
      </c>
      <c r="J117" s="21">
        <f t="shared" si="34"/>
        <v>0</v>
      </c>
      <c r="K117" s="21">
        <f t="shared" si="34"/>
        <v>-176.15713482303124</v>
      </c>
      <c r="L117" s="21">
        <f t="shared" si="34"/>
        <v>-191.86966628885236</v>
      </c>
      <c r="M117" s="21">
        <f t="shared" si="34"/>
        <v>-197.61580380715506</v>
      </c>
      <c r="N117" s="21">
        <f t="shared" si="34"/>
        <v>-204.5098926773523</v>
      </c>
      <c r="O117" s="21">
        <f t="shared" si="34"/>
        <v>-209.54082841542507</v>
      </c>
      <c r="P117" s="21">
        <f t="shared" si="34"/>
        <v>-215.72698478543961</v>
      </c>
      <c r="Q117" s="21">
        <f t="shared" si="34"/>
        <v>-222.06724764635698</v>
      </c>
      <c r="R117" s="21">
        <f t="shared" si="34"/>
        <v>-229.66608873412019</v>
      </c>
      <c r="S117" s="21">
        <f t="shared" si="34"/>
        <v>-235.22574113907012</v>
      </c>
      <c r="T117" s="21">
        <f t="shared" si="34"/>
        <v>-254.45310419036963</v>
      </c>
      <c r="U117" s="21">
        <f t="shared" si="34"/>
        <v>-261.73494914574036</v>
      </c>
      <c r="V117" s="21">
        <f t="shared" si="34"/>
        <v>-270.28996750261746</v>
      </c>
      <c r="W117" s="2"/>
      <c r="X117" s="2"/>
      <c r="Y117" s="2"/>
      <c r="Z117" s="2"/>
      <c r="AA117" s="2"/>
      <c r="AB117" s="2"/>
      <c r="AC117" s="198"/>
    </row>
    <row r="118" spans="2:29" ht="15" customHeight="1">
      <c r="B118" s="198"/>
      <c r="D118" s="2" t="s">
        <v>125</v>
      </c>
      <c r="E118" s="2"/>
      <c r="F118" s="2"/>
      <c r="G118" s="201">
        <f>Assumptions!N526/10^6</f>
        <v>158.57102104117502</v>
      </c>
      <c r="H118" s="8">
        <f>G120</f>
        <v>289.8359072573553</v>
      </c>
      <c r="I118" s="8">
        <f t="shared" ref="I118:Q118" si="35">H120</f>
        <v>452.59329468144847</v>
      </c>
      <c r="J118" s="8">
        <f t="shared" si="35"/>
        <v>662.45572862988752</v>
      </c>
      <c r="K118" s="8">
        <f t="shared" si="35"/>
        <v>902.80051460695938</v>
      </c>
      <c r="L118" s="8">
        <f t="shared" si="35"/>
        <v>986.37985097663727</v>
      </c>
      <c r="M118" s="8">
        <f t="shared" si="35"/>
        <v>1070.9067746266517</v>
      </c>
      <c r="N118" s="8">
        <f t="shared" si="35"/>
        <v>1156.7136907349145</v>
      </c>
      <c r="O118" s="8">
        <f t="shared" si="35"/>
        <v>1243.335078505864</v>
      </c>
      <c r="P118" s="8">
        <f t="shared" si="35"/>
        <v>1330.9172279859044</v>
      </c>
      <c r="Q118" s="8">
        <f t="shared" si="35"/>
        <v>1419.3460747024062</v>
      </c>
      <c r="R118" s="8">
        <f t="shared" ref="R118:V118" si="36">Q120</f>
        <v>1508.6814247848663</v>
      </c>
      <c r="S118" s="8">
        <f t="shared" si="36"/>
        <v>1598.8923017222255</v>
      </c>
      <c r="T118" s="8">
        <f t="shared" si="36"/>
        <v>1690.1381589768512</v>
      </c>
      <c r="U118" s="8">
        <f t="shared" si="36"/>
        <v>1781.7559050441776</v>
      </c>
      <c r="V118" s="8">
        <f t="shared" si="36"/>
        <v>1874.8728071808332</v>
      </c>
      <c r="W118" s="2"/>
      <c r="X118" s="2"/>
      <c r="Y118" s="2"/>
      <c r="Z118" s="2"/>
      <c r="AA118" s="2"/>
      <c r="AB118" s="2"/>
      <c r="AC118" s="198"/>
    </row>
    <row r="119" spans="2:29" ht="15" customHeight="1">
      <c r="B119" s="198"/>
      <c r="D119" s="2" t="s">
        <v>126</v>
      </c>
      <c r="E119" s="2"/>
      <c r="F119" s="2"/>
      <c r="G119" s="201">
        <f t="shared" ref="G119:V119" si="37">G103+G108+G117</f>
        <v>131.26488621618026</v>
      </c>
      <c r="H119" s="8">
        <f t="shared" si="37"/>
        <v>162.75738742409314</v>
      </c>
      <c r="I119" s="8">
        <f t="shared" si="37"/>
        <v>209.86243394843908</v>
      </c>
      <c r="J119" s="8">
        <f t="shared" si="37"/>
        <v>240.34478597707189</v>
      </c>
      <c r="K119" s="8">
        <f t="shared" si="37"/>
        <v>83.57933636967789</v>
      </c>
      <c r="L119" s="8">
        <f t="shared" si="37"/>
        <v>84.526923650014368</v>
      </c>
      <c r="M119" s="8">
        <f t="shared" si="37"/>
        <v>85.806916108262925</v>
      </c>
      <c r="N119" s="8">
        <f t="shared" si="37"/>
        <v>86.621387770949525</v>
      </c>
      <c r="O119" s="8">
        <f t="shared" si="37"/>
        <v>87.582149480040385</v>
      </c>
      <c r="P119" s="8">
        <f t="shared" si="37"/>
        <v>88.428846716501738</v>
      </c>
      <c r="Q119" s="8">
        <f t="shared" si="37"/>
        <v>89.335350082460081</v>
      </c>
      <c r="R119" s="8">
        <f t="shared" si="37"/>
        <v>90.210876937359103</v>
      </c>
      <c r="S119" s="8">
        <f t="shared" si="37"/>
        <v>91.245857254625605</v>
      </c>
      <c r="T119" s="8">
        <f t="shared" si="37"/>
        <v>91.617746067326323</v>
      </c>
      <c r="U119" s="8">
        <f t="shared" si="37"/>
        <v>93.116902136655654</v>
      </c>
      <c r="V119" s="8">
        <f t="shared" si="37"/>
        <v>94.060315163630662</v>
      </c>
      <c r="W119" s="2"/>
      <c r="X119" s="2"/>
      <c r="Y119" s="2"/>
      <c r="Z119" s="2"/>
      <c r="AA119" s="2"/>
      <c r="AB119" s="2"/>
      <c r="AC119" s="198"/>
    </row>
    <row r="120" spans="2:29" ht="15" customHeight="1" thickBot="1">
      <c r="B120" s="198"/>
      <c r="D120" s="29" t="s">
        <v>127</v>
      </c>
      <c r="E120" s="2"/>
      <c r="F120" s="2"/>
      <c r="G120" s="202">
        <f t="shared" ref="G120:V120" si="38">SUM(G118:G119)</f>
        <v>289.8359072573553</v>
      </c>
      <c r="H120" s="21">
        <f t="shared" si="38"/>
        <v>452.59329468144847</v>
      </c>
      <c r="I120" s="21">
        <f t="shared" si="38"/>
        <v>662.45572862988752</v>
      </c>
      <c r="J120" s="21">
        <f t="shared" si="38"/>
        <v>902.80051460695938</v>
      </c>
      <c r="K120" s="21">
        <f t="shared" si="38"/>
        <v>986.37985097663727</v>
      </c>
      <c r="L120" s="21">
        <f t="shared" si="38"/>
        <v>1070.9067746266517</v>
      </c>
      <c r="M120" s="21">
        <f t="shared" si="38"/>
        <v>1156.7136907349145</v>
      </c>
      <c r="N120" s="21">
        <f t="shared" si="38"/>
        <v>1243.335078505864</v>
      </c>
      <c r="O120" s="21">
        <f t="shared" si="38"/>
        <v>1330.9172279859044</v>
      </c>
      <c r="P120" s="21">
        <f t="shared" si="38"/>
        <v>1419.3460747024062</v>
      </c>
      <c r="Q120" s="21">
        <f t="shared" si="38"/>
        <v>1508.6814247848663</v>
      </c>
      <c r="R120" s="21">
        <f t="shared" si="38"/>
        <v>1598.8923017222255</v>
      </c>
      <c r="S120" s="21">
        <f t="shared" si="38"/>
        <v>1690.1381589768512</v>
      </c>
      <c r="T120" s="21">
        <f t="shared" si="38"/>
        <v>1781.7559050441776</v>
      </c>
      <c r="U120" s="21">
        <f t="shared" si="38"/>
        <v>1874.8728071808332</v>
      </c>
      <c r="V120" s="21">
        <f t="shared" si="38"/>
        <v>1968.9331223444638</v>
      </c>
      <c r="W120" s="2"/>
      <c r="X120" s="2"/>
      <c r="Y120" s="2"/>
      <c r="Z120" s="2"/>
      <c r="AA120" s="2"/>
      <c r="AB120" s="2"/>
      <c r="AC120" s="198"/>
    </row>
    <row r="121" spans="2:29" ht="15" customHeight="1">
      <c r="B121" s="198"/>
      <c r="D121" s="34"/>
      <c r="E121" s="2"/>
      <c r="F121" s="2"/>
      <c r="G121" s="35"/>
      <c r="H121" s="35"/>
      <c r="I121" s="35"/>
      <c r="J121" s="35"/>
      <c r="K121" s="35"/>
      <c r="L121" s="35"/>
      <c r="M121" s="35"/>
      <c r="N121" s="35"/>
      <c r="O121" s="35"/>
      <c r="P121" s="35"/>
      <c r="Q121" s="35"/>
      <c r="R121" s="35"/>
      <c r="S121" s="35"/>
      <c r="T121" s="35"/>
      <c r="U121" s="35"/>
      <c r="V121" s="35"/>
      <c r="W121" s="2"/>
      <c r="X121" s="2"/>
      <c r="Y121" s="2"/>
      <c r="Z121" s="2"/>
      <c r="AA121" s="2"/>
      <c r="AB121" s="2"/>
      <c r="AC121" s="198"/>
    </row>
    <row r="122" spans="2:29" ht="15" customHeight="1" outlineLevel="1">
      <c r="B122" s="198"/>
      <c r="D122" s="30" t="s">
        <v>128</v>
      </c>
      <c r="E122" s="30"/>
      <c r="F122" s="30"/>
      <c r="G122" s="36">
        <v>0</v>
      </c>
      <c r="H122" s="36">
        <v>0</v>
      </c>
      <c r="I122" s="36">
        <v>0</v>
      </c>
      <c r="J122" s="36">
        <v>0</v>
      </c>
      <c r="K122" s="36">
        <v>0</v>
      </c>
      <c r="L122" s="36">
        <v>0</v>
      </c>
      <c r="M122" s="36">
        <v>0</v>
      </c>
      <c r="N122" s="36">
        <v>0</v>
      </c>
      <c r="O122" s="36">
        <v>0</v>
      </c>
      <c r="P122" s="36">
        <v>0</v>
      </c>
      <c r="Q122" s="36">
        <v>0</v>
      </c>
      <c r="R122" s="36">
        <v>0</v>
      </c>
      <c r="S122" s="36">
        <v>0</v>
      </c>
      <c r="T122" s="36">
        <v>0</v>
      </c>
      <c r="U122" s="36">
        <v>0</v>
      </c>
      <c r="V122" s="36">
        <v>0</v>
      </c>
      <c r="W122" s="2"/>
      <c r="X122" s="2"/>
      <c r="Y122" s="2"/>
      <c r="Z122" s="2"/>
      <c r="AA122" s="2"/>
      <c r="AB122" s="2"/>
      <c r="AC122" s="198"/>
    </row>
    <row r="123" spans="2:29" ht="15" customHeight="1" outlineLevel="1">
      <c r="B123" s="198"/>
      <c r="E123" s="2"/>
      <c r="F123" s="2"/>
      <c r="G123" s="2"/>
      <c r="H123" s="2"/>
      <c r="I123" s="2"/>
      <c r="J123" s="2"/>
      <c r="K123" s="2"/>
      <c r="L123" s="2"/>
      <c r="M123" s="2"/>
      <c r="N123" s="2"/>
      <c r="O123" s="2"/>
      <c r="P123" s="2"/>
      <c r="Q123" s="2"/>
      <c r="R123" s="2"/>
      <c r="S123" s="2"/>
      <c r="T123" s="2"/>
      <c r="U123" s="2"/>
      <c r="V123" s="2"/>
      <c r="W123" s="2"/>
      <c r="X123" s="2"/>
      <c r="Y123" s="2"/>
      <c r="Z123" s="2"/>
      <c r="AA123" s="2"/>
      <c r="AB123" s="2"/>
      <c r="AC123" s="198"/>
    </row>
    <row r="124" spans="2:29" ht="15" customHeight="1">
      <c r="B124" s="198"/>
      <c r="C124" s="198"/>
      <c r="D124" s="198"/>
      <c r="E124" s="198"/>
      <c r="F124" s="198"/>
      <c r="G124" s="198"/>
      <c r="H124" s="198"/>
      <c r="I124" s="198"/>
      <c r="J124" s="198"/>
      <c r="K124" s="198"/>
      <c r="L124" s="198"/>
      <c r="M124" s="198"/>
      <c r="N124" s="198"/>
      <c r="O124" s="198"/>
      <c r="P124" s="198"/>
      <c r="Q124" s="198"/>
      <c r="R124" s="198"/>
      <c r="S124" s="198"/>
      <c r="T124" s="198"/>
      <c r="U124" s="198"/>
      <c r="V124" s="198"/>
      <c r="W124" s="198"/>
      <c r="X124" s="198"/>
      <c r="Y124" s="198"/>
      <c r="Z124" s="198"/>
      <c r="AA124" s="198"/>
      <c r="AB124" s="198"/>
      <c r="AC124" s="198"/>
    </row>
    <row r="126" spans="2:29" ht="15" customHeight="1">
      <c r="B126" s="114" t="s">
        <v>350</v>
      </c>
      <c r="C126" s="114"/>
      <c r="D126" s="114"/>
      <c r="E126" s="114"/>
      <c r="F126" s="114"/>
      <c r="G126" s="114"/>
      <c r="H126" s="114"/>
      <c r="I126" s="114"/>
      <c r="J126" s="114"/>
      <c r="K126" s="114"/>
      <c r="L126" s="114"/>
      <c r="M126" s="114"/>
      <c r="N126" s="114"/>
      <c r="O126" s="114"/>
      <c r="P126" s="114"/>
      <c r="Q126" s="114"/>
      <c r="R126" s="114"/>
      <c r="S126" s="114"/>
      <c r="T126" s="114"/>
      <c r="U126" s="114"/>
      <c r="V126" s="114"/>
      <c r="W126" s="114"/>
      <c r="X126" s="114"/>
      <c r="Y126" s="114"/>
      <c r="Z126" s="114"/>
      <c r="AA126" s="114"/>
      <c r="AB126" s="114"/>
      <c r="AC126" s="114"/>
    </row>
  </sheetData>
  <conditionalFormatting sqref="G79:V79">
    <cfRule type="cellIs" dxfId="27" priority="1" operator="between">
      <formula>0.1</formula>
      <formula>-0.1</formula>
    </cfRule>
    <cfRule type="cellIs" dxfId="26" priority="2" operator="lessThanOrEqual">
      <formula>-0.1</formula>
    </cfRule>
    <cfRule type="cellIs" dxfId="25" priority="3" operator="greaterThanOrEqual">
      <formula>0.1</formula>
    </cfRule>
    <cfRule type="containsText" dxfId="24" priority="6" operator="containsText" text="TRUE">
      <formula>NOT(ISERROR(SEARCH("TRUE",G79)))</formula>
    </cfRule>
    <cfRule type="containsText" dxfId="23" priority="7" operator="containsText" text="FALSE">
      <formula>NOT(ISERROR(SEARCH("FALSE",G79)))</formula>
    </cfRule>
  </conditionalFormatting>
  <conditionalFormatting sqref="G122:V122">
    <cfRule type="cellIs" dxfId="22" priority="4" operator="notEqual">
      <formula>0</formula>
    </cfRule>
    <cfRule type="cellIs" dxfId="21" priority="5" operator="equal">
      <formula>0</formula>
    </cfRule>
  </conditionalFormatting>
  <pageMargins left="0.7" right="0.7" top="0.75" bottom="0.75" header="0.3" footer="0.3"/>
  <pageSetup orientation="portrait" r:id="rId1"/>
  <ignoredErrors>
    <ignoredError sqref="G11 J11"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AC748-1F37-4274-86FD-A09233710F54}">
  <sheetPr published="0" codeName="Sheet11"/>
  <dimension ref="B1:AB71"/>
  <sheetViews>
    <sheetView showGridLines="0" tabSelected="1" zoomScale="80" zoomScaleNormal="80" workbookViewId="0">
      <pane xSplit="3" ySplit="6" topLeftCell="D7" activePane="bottomRight" state="frozen"/>
      <selection pane="topRight" activeCell="D1" sqref="D1"/>
      <selection pane="bottomLeft" activeCell="A7" sqref="A7"/>
      <selection pane="bottomRight" activeCell="D11" sqref="D11"/>
    </sheetView>
  </sheetViews>
  <sheetFormatPr defaultColWidth="8.88671875" defaultRowHeight="12.6"/>
  <cols>
    <col min="1" max="1" width="1.88671875" style="139" customWidth="1"/>
    <col min="2" max="2" width="33.77734375" style="139" bestFit="1" customWidth="1"/>
    <col min="3" max="3" width="16.6640625" style="139" bestFit="1" customWidth="1"/>
    <col min="4" max="19" width="15.77734375" style="139" customWidth="1"/>
    <col min="20" max="20" width="3.33203125" style="139" customWidth="1"/>
    <col min="21" max="21" width="3.33203125" style="143" customWidth="1"/>
    <col min="22" max="16384" width="8.88671875" style="139"/>
  </cols>
  <sheetData>
    <row r="1" spans="2:21">
      <c r="U1" s="143" t="s">
        <v>340</v>
      </c>
    </row>
    <row r="2" spans="2:21">
      <c r="B2" s="307" t="s">
        <v>464</v>
      </c>
      <c r="U2" s="143" t="s">
        <v>340</v>
      </c>
    </row>
    <row r="3" spans="2:21">
      <c r="U3" s="143" t="s">
        <v>340</v>
      </c>
    </row>
    <row r="4" spans="2:21">
      <c r="B4" s="136" t="s">
        <v>456</v>
      </c>
      <c r="C4" s="136"/>
      <c r="D4" s="308">
        <v>2025</v>
      </c>
      <c r="E4" s="308">
        <f>D4+1</f>
        <v>2026</v>
      </c>
      <c r="F4" s="308">
        <f>E4+1</f>
        <v>2027</v>
      </c>
      <c r="G4" s="308">
        <f>F4+1</f>
        <v>2028</v>
      </c>
      <c r="H4" s="308">
        <f t="shared" ref="H4" si="0">G4+1</f>
        <v>2029</v>
      </c>
      <c r="I4" s="308">
        <f t="shared" ref="I4" si="1">H4+1</f>
        <v>2030</v>
      </c>
      <c r="J4" s="308">
        <f t="shared" ref="J4" si="2">I4+1</f>
        <v>2031</v>
      </c>
      <c r="K4" s="308">
        <f t="shared" ref="K4" si="3">J4+1</f>
        <v>2032</v>
      </c>
      <c r="L4" s="308">
        <f t="shared" ref="L4" si="4">K4+1</f>
        <v>2033</v>
      </c>
      <c r="M4" s="308">
        <f t="shared" ref="M4" si="5">L4+1</f>
        <v>2034</v>
      </c>
      <c r="N4" s="308">
        <f t="shared" ref="N4" si="6">M4+1</f>
        <v>2035</v>
      </c>
      <c r="O4" s="308">
        <f t="shared" ref="O4" si="7">N4+1</f>
        <v>2036</v>
      </c>
      <c r="P4" s="308">
        <f t="shared" ref="P4" si="8">O4+1</f>
        <v>2037</v>
      </c>
      <c r="Q4" s="308">
        <f t="shared" ref="Q4" si="9">P4+1</f>
        <v>2038</v>
      </c>
      <c r="R4" s="308">
        <f t="shared" ref="R4" si="10">Q4+1</f>
        <v>2039</v>
      </c>
      <c r="S4" s="308">
        <f t="shared" ref="S4" si="11">R4+1</f>
        <v>2040</v>
      </c>
      <c r="U4" s="143" t="s">
        <v>340</v>
      </c>
    </row>
    <row r="5" spans="2:21">
      <c r="U5" s="143" t="s">
        <v>340</v>
      </c>
    </row>
    <row r="6" spans="2:21">
      <c r="B6" s="135" t="s">
        <v>352</v>
      </c>
      <c r="C6" s="135"/>
      <c r="D6" s="135"/>
      <c r="E6" s="135"/>
      <c r="U6" s="143" t="s">
        <v>340</v>
      </c>
    </row>
    <row r="7" spans="2:21">
      <c r="D7" s="40"/>
      <c r="E7" s="40"/>
      <c r="U7" s="143" t="s">
        <v>340</v>
      </c>
    </row>
    <row r="8" spans="2:21">
      <c r="B8" s="139" t="s">
        <v>360</v>
      </c>
      <c r="D8" s="262">
        <f>1815000000</f>
        <v>1815000000</v>
      </c>
      <c r="E8" s="40"/>
      <c r="F8" s="309" t="s">
        <v>434</v>
      </c>
      <c r="I8" s="309" t="s">
        <v>436</v>
      </c>
      <c r="U8" s="143" t="s">
        <v>340</v>
      </c>
    </row>
    <row r="9" spans="2:21">
      <c r="B9" s="139" t="s">
        <v>361</v>
      </c>
      <c r="D9" s="262">
        <v>1500000000</v>
      </c>
      <c r="E9" s="40"/>
      <c r="U9" s="143" t="s">
        <v>340</v>
      </c>
    </row>
    <row r="10" spans="2:21">
      <c r="B10" s="310"/>
      <c r="C10" s="310"/>
      <c r="D10" s="311"/>
      <c r="E10" s="311"/>
      <c r="U10" s="143" t="s">
        <v>340</v>
      </c>
    </row>
    <row r="11" spans="2:21">
      <c r="B11" s="149" t="s">
        <v>353</v>
      </c>
      <c r="D11" s="262">
        <v>19053</v>
      </c>
      <c r="E11" s="312" t="s">
        <v>355</v>
      </c>
      <c r="H11" s="158"/>
      <c r="U11" s="143" t="s">
        <v>340</v>
      </c>
    </row>
    <row r="12" spans="2:21">
      <c r="B12" s="149" t="s">
        <v>344</v>
      </c>
      <c r="D12" s="262">
        <v>14228</v>
      </c>
      <c r="E12" s="312" t="s">
        <v>355</v>
      </c>
      <c r="H12" s="158"/>
      <c r="U12" s="143" t="s">
        <v>340</v>
      </c>
    </row>
    <row r="13" spans="2:21">
      <c r="B13" s="149" t="s">
        <v>345</v>
      </c>
      <c r="D13" s="262">
        <v>14979</v>
      </c>
      <c r="E13" s="312" t="s">
        <v>355</v>
      </c>
      <c r="H13" s="158"/>
      <c r="U13" s="143" t="s">
        <v>340</v>
      </c>
    </row>
    <row r="14" spans="2:21">
      <c r="B14" s="313" t="s">
        <v>307</v>
      </c>
      <c r="C14" s="166"/>
      <c r="D14" s="314">
        <f>SUM(D11:D13)</f>
        <v>48260</v>
      </c>
      <c r="E14" s="315" t="s">
        <v>355</v>
      </c>
      <c r="U14" s="143" t="s">
        <v>340</v>
      </c>
    </row>
    <row r="15" spans="2:21">
      <c r="D15" s="40"/>
      <c r="E15" s="40"/>
      <c r="U15" s="143" t="s">
        <v>340</v>
      </c>
    </row>
    <row r="16" spans="2:21">
      <c r="B16" s="148" t="s">
        <v>412</v>
      </c>
      <c r="C16" s="138"/>
      <c r="D16" s="316">
        <f>D8/SUM(D12:D13)</f>
        <v>62142.637039065979</v>
      </c>
      <c r="U16" s="143" t="s">
        <v>340</v>
      </c>
    </row>
    <row r="17" spans="2:21">
      <c r="B17" s="148" t="s">
        <v>411</v>
      </c>
      <c r="C17" s="138"/>
      <c r="D17" s="316">
        <f>D9/D14</f>
        <v>31081.641110650642</v>
      </c>
      <c r="E17" s="96"/>
      <c r="U17" s="143" t="s">
        <v>340</v>
      </c>
    </row>
    <row r="18" spans="2:21">
      <c r="D18" s="40"/>
      <c r="E18" s="40"/>
      <c r="U18" s="143" t="s">
        <v>340</v>
      </c>
    </row>
    <row r="19" spans="2:21">
      <c r="B19" s="135" t="s">
        <v>534</v>
      </c>
      <c r="C19" s="135"/>
      <c r="D19" s="135"/>
      <c r="E19" s="135"/>
      <c r="U19" s="143" t="s">
        <v>340</v>
      </c>
    </row>
    <row r="20" spans="2:21">
      <c r="D20" s="40"/>
      <c r="E20" s="40"/>
      <c r="U20" s="143" t="s">
        <v>340</v>
      </c>
    </row>
    <row r="21" spans="2:21">
      <c r="B21" s="139" t="s">
        <v>388</v>
      </c>
      <c r="D21" s="306">
        <v>-0.15</v>
      </c>
      <c r="E21" s="40"/>
      <c r="U21" s="143" t="s">
        <v>340</v>
      </c>
    </row>
    <row r="22" spans="2:21">
      <c r="B22" s="139" t="s">
        <v>389</v>
      </c>
      <c r="D22" s="306">
        <v>0</v>
      </c>
      <c r="E22" s="40"/>
      <c r="U22" s="143" t="s">
        <v>340</v>
      </c>
    </row>
    <row r="23" spans="2:21">
      <c r="B23" s="139" t="s">
        <v>390</v>
      </c>
      <c r="D23" s="306">
        <v>0.15</v>
      </c>
      <c r="E23" s="40"/>
      <c r="U23" s="143" t="s">
        <v>340</v>
      </c>
    </row>
    <row r="24" spans="2:21">
      <c r="D24" s="40"/>
      <c r="E24" s="40"/>
      <c r="U24" s="143" t="s">
        <v>340</v>
      </c>
    </row>
    <row r="25" spans="2:21">
      <c r="B25" s="135" t="s">
        <v>414</v>
      </c>
      <c r="C25" s="135"/>
      <c r="D25" s="308"/>
      <c r="E25" s="308"/>
      <c r="F25" s="308"/>
      <c r="G25" s="308"/>
      <c r="H25" s="308"/>
      <c r="I25" s="308"/>
      <c r="J25" s="308"/>
      <c r="K25" s="308"/>
      <c r="L25" s="308"/>
      <c r="M25" s="308"/>
      <c r="N25" s="308"/>
      <c r="O25" s="308"/>
      <c r="P25" s="308"/>
      <c r="Q25" s="308"/>
      <c r="R25" s="308"/>
      <c r="S25" s="308"/>
      <c r="U25" s="143" t="s">
        <v>340</v>
      </c>
    </row>
    <row r="26" spans="2:21">
      <c r="B26" s="139" t="s">
        <v>379</v>
      </c>
      <c r="C26" s="317"/>
      <c r="D26" s="318">
        <v>0</v>
      </c>
      <c r="E26" s="318">
        <v>0</v>
      </c>
      <c r="F26" s="318">
        <v>0</v>
      </c>
      <c r="G26" s="318">
        <v>0</v>
      </c>
      <c r="H26" s="318">
        <v>0</v>
      </c>
      <c r="I26" s="318">
        <v>3313000</v>
      </c>
      <c r="J26" s="318">
        <v>4245000</v>
      </c>
      <c r="K26" s="318">
        <v>5715000</v>
      </c>
      <c r="L26" s="318">
        <v>5902000</v>
      </c>
      <c r="M26" s="318">
        <v>6199000</v>
      </c>
      <c r="N26" s="318">
        <v>6242000</v>
      </c>
      <c r="O26" s="318">
        <v>6286000</v>
      </c>
      <c r="P26" s="318">
        <v>6443000</v>
      </c>
      <c r="Q26" s="318">
        <v>6490000</v>
      </c>
      <c r="R26" s="318">
        <v>6537000</v>
      </c>
      <c r="S26" s="318">
        <v>6701000</v>
      </c>
      <c r="U26" s="143" t="s">
        <v>340</v>
      </c>
    </row>
    <row r="27" spans="2:21">
      <c r="B27" s="139" t="s">
        <v>380</v>
      </c>
      <c r="C27" s="319"/>
      <c r="D27" s="318">
        <v>0</v>
      </c>
      <c r="E27" s="318">
        <v>0</v>
      </c>
      <c r="F27" s="318">
        <v>0</v>
      </c>
      <c r="G27" s="318">
        <v>0</v>
      </c>
      <c r="H27" s="318">
        <v>0</v>
      </c>
      <c r="I27" s="318">
        <v>-398000</v>
      </c>
      <c r="J27" s="318">
        <v>-509000</v>
      </c>
      <c r="K27" s="318">
        <v>-686000</v>
      </c>
      <c r="L27" s="318">
        <v>-708000</v>
      </c>
      <c r="M27" s="318">
        <v>-744000</v>
      </c>
      <c r="N27" s="318">
        <v>-749000</v>
      </c>
      <c r="O27" s="318">
        <v>-754000</v>
      </c>
      <c r="P27" s="318">
        <v>-773000</v>
      </c>
      <c r="Q27" s="318">
        <v>-779000</v>
      </c>
      <c r="R27" s="318">
        <v>-784000</v>
      </c>
      <c r="S27" s="318">
        <v>-804000</v>
      </c>
      <c r="U27" s="143" t="s">
        <v>340</v>
      </c>
    </row>
    <row r="28" spans="2:21">
      <c r="B28" s="153" t="s">
        <v>381</v>
      </c>
      <c r="C28" s="320"/>
      <c r="D28" s="321">
        <f t="shared" ref="D28:S28" si="12">D26+D27</f>
        <v>0</v>
      </c>
      <c r="E28" s="321">
        <f t="shared" si="12"/>
        <v>0</v>
      </c>
      <c r="F28" s="321">
        <f t="shared" si="12"/>
        <v>0</v>
      </c>
      <c r="G28" s="321">
        <f t="shared" si="12"/>
        <v>0</v>
      </c>
      <c r="H28" s="321">
        <f t="shared" si="12"/>
        <v>0</v>
      </c>
      <c r="I28" s="321">
        <f t="shared" si="12"/>
        <v>2915000</v>
      </c>
      <c r="J28" s="321">
        <f t="shared" si="12"/>
        <v>3736000</v>
      </c>
      <c r="K28" s="321">
        <f t="shared" si="12"/>
        <v>5029000</v>
      </c>
      <c r="L28" s="321">
        <f t="shared" si="12"/>
        <v>5194000</v>
      </c>
      <c r="M28" s="321">
        <f t="shared" si="12"/>
        <v>5455000</v>
      </c>
      <c r="N28" s="321">
        <f t="shared" si="12"/>
        <v>5493000</v>
      </c>
      <c r="O28" s="321">
        <f t="shared" si="12"/>
        <v>5532000</v>
      </c>
      <c r="P28" s="321">
        <f t="shared" si="12"/>
        <v>5670000</v>
      </c>
      <c r="Q28" s="321">
        <f t="shared" si="12"/>
        <v>5711000</v>
      </c>
      <c r="R28" s="321">
        <f t="shared" si="12"/>
        <v>5753000</v>
      </c>
      <c r="S28" s="321">
        <f t="shared" si="12"/>
        <v>5897000</v>
      </c>
      <c r="U28" s="143" t="s">
        <v>340</v>
      </c>
    </row>
    <row r="29" spans="2:21">
      <c r="B29" s="138"/>
      <c r="C29" s="322"/>
      <c r="D29" s="323"/>
      <c r="E29" s="323"/>
      <c r="F29" s="323"/>
      <c r="G29" s="323"/>
      <c r="H29" s="323"/>
      <c r="I29" s="323"/>
      <c r="J29" s="323"/>
      <c r="K29" s="323"/>
      <c r="L29" s="323"/>
      <c r="M29" s="323"/>
      <c r="N29" s="323"/>
      <c r="O29" s="323"/>
      <c r="P29" s="323"/>
      <c r="Q29" s="323"/>
      <c r="R29" s="323"/>
      <c r="S29" s="323"/>
      <c r="U29" s="143" t="s">
        <v>340</v>
      </c>
    </row>
    <row r="30" spans="2:21">
      <c r="B30" s="138" t="s">
        <v>533</v>
      </c>
      <c r="C30" s="226" t="s">
        <v>389</v>
      </c>
      <c r="D30" s="324">
        <f>VLOOKUP($C$30,$B$21:$D$23,3,0)</f>
        <v>0</v>
      </c>
      <c r="E30" s="324">
        <f t="shared" ref="E30:S30" si="13">VLOOKUP($C$30,$B$21:$D$23,3,0)</f>
        <v>0</v>
      </c>
      <c r="F30" s="324">
        <f t="shared" si="13"/>
        <v>0</v>
      </c>
      <c r="G30" s="324">
        <f t="shared" si="13"/>
        <v>0</v>
      </c>
      <c r="H30" s="324">
        <f t="shared" si="13"/>
        <v>0</v>
      </c>
      <c r="I30" s="324">
        <f t="shared" si="13"/>
        <v>0</v>
      </c>
      <c r="J30" s="324">
        <f t="shared" si="13"/>
        <v>0</v>
      </c>
      <c r="K30" s="324">
        <f t="shared" si="13"/>
        <v>0</v>
      </c>
      <c r="L30" s="324">
        <f t="shared" si="13"/>
        <v>0</v>
      </c>
      <c r="M30" s="324">
        <f t="shared" si="13"/>
        <v>0</v>
      </c>
      <c r="N30" s="324">
        <f t="shared" si="13"/>
        <v>0</v>
      </c>
      <c r="O30" s="324">
        <f t="shared" si="13"/>
        <v>0</v>
      </c>
      <c r="P30" s="324">
        <f t="shared" si="13"/>
        <v>0</v>
      </c>
      <c r="Q30" s="324">
        <f t="shared" si="13"/>
        <v>0</v>
      </c>
      <c r="R30" s="324">
        <f t="shared" si="13"/>
        <v>0</v>
      </c>
      <c r="S30" s="324">
        <f t="shared" si="13"/>
        <v>0</v>
      </c>
      <c r="U30" s="143" t="s">
        <v>340</v>
      </c>
    </row>
    <row r="31" spans="2:21">
      <c r="B31" s="138"/>
      <c r="C31" s="322"/>
      <c r="D31" s="323"/>
      <c r="E31" s="323"/>
      <c r="F31" s="323"/>
      <c r="G31" s="323"/>
      <c r="H31" s="323"/>
      <c r="I31" s="323"/>
      <c r="J31" s="323"/>
      <c r="K31" s="323"/>
      <c r="L31" s="323"/>
      <c r="M31" s="323"/>
      <c r="N31" s="323"/>
      <c r="O31" s="323"/>
      <c r="P31" s="323"/>
      <c r="Q31" s="323"/>
      <c r="R31" s="323"/>
      <c r="S31" s="323"/>
      <c r="U31" s="143" t="s">
        <v>340</v>
      </c>
    </row>
    <row r="32" spans="2:21">
      <c r="B32" s="139" t="s">
        <v>536</v>
      </c>
      <c r="D32" s="318">
        <v>0</v>
      </c>
      <c r="E32" s="318">
        <v>246658000</v>
      </c>
      <c r="F32" s="318">
        <v>1005131000</v>
      </c>
      <c r="G32" s="318">
        <v>1494087000</v>
      </c>
      <c r="H32" s="318">
        <v>1643292000</v>
      </c>
      <c r="I32" s="318">
        <v>1302704000</v>
      </c>
      <c r="J32" s="318">
        <v>1458996000</v>
      </c>
      <c r="K32" s="318">
        <v>333934000</v>
      </c>
      <c r="L32" s="318">
        <v>0</v>
      </c>
      <c r="M32" s="318">
        <v>0</v>
      </c>
      <c r="N32" s="318">
        <v>0</v>
      </c>
      <c r="O32" s="318">
        <v>0</v>
      </c>
      <c r="P32" s="318">
        <v>0</v>
      </c>
      <c r="Q32" s="318">
        <v>0</v>
      </c>
      <c r="R32" s="318">
        <v>0</v>
      </c>
      <c r="S32" s="318">
        <v>0</v>
      </c>
      <c r="U32" s="143" t="s">
        <v>340</v>
      </c>
    </row>
    <row r="33" spans="2:28">
      <c r="B33" s="139" t="s">
        <v>537</v>
      </c>
      <c r="C33" s="317">
        <f>SUM(D33:K33)</f>
        <v>7484802000</v>
      </c>
      <c r="D33" s="325">
        <f>D32*(1+D$30)</f>
        <v>0</v>
      </c>
      <c r="E33" s="325">
        <f t="shared" ref="E33:S33" si="14">E32*(1+E$30)</f>
        <v>246658000</v>
      </c>
      <c r="F33" s="325">
        <f t="shared" si="14"/>
        <v>1005131000</v>
      </c>
      <c r="G33" s="325">
        <f t="shared" si="14"/>
        <v>1494087000</v>
      </c>
      <c r="H33" s="325">
        <f t="shared" si="14"/>
        <v>1643292000</v>
      </c>
      <c r="I33" s="325">
        <f t="shared" si="14"/>
        <v>1302704000</v>
      </c>
      <c r="J33" s="325">
        <f t="shared" si="14"/>
        <v>1458996000</v>
      </c>
      <c r="K33" s="325">
        <f t="shared" si="14"/>
        <v>333934000</v>
      </c>
      <c r="L33" s="325">
        <f t="shared" si="14"/>
        <v>0</v>
      </c>
      <c r="M33" s="325">
        <f t="shared" si="14"/>
        <v>0</v>
      </c>
      <c r="N33" s="325">
        <f t="shared" si="14"/>
        <v>0</v>
      </c>
      <c r="O33" s="325">
        <f t="shared" si="14"/>
        <v>0</v>
      </c>
      <c r="P33" s="325">
        <f t="shared" si="14"/>
        <v>0</v>
      </c>
      <c r="Q33" s="325">
        <f t="shared" si="14"/>
        <v>0</v>
      </c>
      <c r="R33" s="325">
        <f t="shared" si="14"/>
        <v>0</v>
      </c>
      <c r="S33" s="325">
        <f t="shared" si="14"/>
        <v>0</v>
      </c>
      <c r="U33" s="143" t="s">
        <v>340</v>
      </c>
    </row>
    <row r="34" spans="2:28">
      <c r="B34" s="139" t="s">
        <v>383</v>
      </c>
      <c r="D34" s="318">
        <v>0</v>
      </c>
      <c r="E34" s="318">
        <v>0</v>
      </c>
      <c r="F34" s="318">
        <v>0</v>
      </c>
      <c r="G34" s="318">
        <v>0</v>
      </c>
      <c r="H34" s="318">
        <v>0</v>
      </c>
      <c r="I34" s="318">
        <v>-18151000</v>
      </c>
      <c r="J34" s="318">
        <v>0</v>
      </c>
      <c r="K34" s="318">
        <v>-13357000</v>
      </c>
      <c r="L34" s="318">
        <v>0</v>
      </c>
      <c r="M34" s="318">
        <v>0</v>
      </c>
      <c r="N34" s="318">
        <v>0</v>
      </c>
      <c r="O34" s="318">
        <v>0</v>
      </c>
      <c r="P34" s="318">
        <v>0</v>
      </c>
      <c r="Q34" s="318">
        <v>0</v>
      </c>
      <c r="R34" s="318">
        <v>0</v>
      </c>
      <c r="S34" s="318">
        <v>0</v>
      </c>
      <c r="U34" s="143" t="s">
        <v>340</v>
      </c>
    </row>
    <row r="35" spans="2:28">
      <c r="B35" s="166" t="s">
        <v>384</v>
      </c>
      <c r="C35" s="326"/>
      <c r="D35" s="327">
        <f>SUM(D33:D34)</f>
        <v>0</v>
      </c>
      <c r="E35" s="327">
        <f t="shared" ref="E35:S35" si="15">SUM(E33:E34)</f>
        <v>246658000</v>
      </c>
      <c r="F35" s="327">
        <f t="shared" si="15"/>
        <v>1005131000</v>
      </c>
      <c r="G35" s="327">
        <f t="shared" si="15"/>
        <v>1494087000</v>
      </c>
      <c r="H35" s="327">
        <f t="shared" si="15"/>
        <v>1643292000</v>
      </c>
      <c r="I35" s="327">
        <f t="shared" si="15"/>
        <v>1284553000</v>
      </c>
      <c r="J35" s="327">
        <f t="shared" si="15"/>
        <v>1458996000</v>
      </c>
      <c r="K35" s="327">
        <f t="shared" si="15"/>
        <v>320577000</v>
      </c>
      <c r="L35" s="327">
        <f t="shared" si="15"/>
        <v>0</v>
      </c>
      <c r="M35" s="327">
        <f t="shared" si="15"/>
        <v>0</v>
      </c>
      <c r="N35" s="327">
        <f t="shared" si="15"/>
        <v>0</v>
      </c>
      <c r="O35" s="327">
        <f t="shared" si="15"/>
        <v>0</v>
      </c>
      <c r="P35" s="327">
        <f t="shared" si="15"/>
        <v>0</v>
      </c>
      <c r="Q35" s="327">
        <f t="shared" si="15"/>
        <v>0</v>
      </c>
      <c r="R35" s="327">
        <f t="shared" si="15"/>
        <v>0</v>
      </c>
      <c r="S35" s="327">
        <f t="shared" si="15"/>
        <v>0</v>
      </c>
      <c r="U35" s="143" t="s">
        <v>340</v>
      </c>
    </row>
    <row r="36" spans="2:28">
      <c r="C36" s="319"/>
      <c r="H36" s="158"/>
      <c r="I36" s="144"/>
      <c r="J36" s="144"/>
      <c r="K36" s="144"/>
      <c r="U36" s="143" t="s">
        <v>340</v>
      </c>
    </row>
    <row r="37" spans="2:28">
      <c r="B37" s="139" t="s">
        <v>538</v>
      </c>
      <c r="C37" s="319">
        <f>SUM(D37:S37)</f>
        <v>4487741000</v>
      </c>
      <c r="D37" s="318">
        <v>0</v>
      </c>
      <c r="E37" s="318">
        <v>80436000</v>
      </c>
      <c r="F37" s="318">
        <v>480860000</v>
      </c>
      <c r="G37" s="318">
        <v>967249000</v>
      </c>
      <c r="H37" s="318">
        <v>1025077000</v>
      </c>
      <c r="I37" s="318">
        <v>812196000</v>
      </c>
      <c r="J37" s="318">
        <v>933085000</v>
      </c>
      <c r="K37" s="318">
        <v>188838000</v>
      </c>
      <c r="L37" s="318">
        <v>0</v>
      </c>
      <c r="M37" s="318">
        <v>0</v>
      </c>
      <c r="N37" s="318">
        <v>0</v>
      </c>
      <c r="O37" s="318">
        <v>0</v>
      </c>
      <c r="P37" s="318">
        <v>0</v>
      </c>
      <c r="Q37" s="318">
        <v>0</v>
      </c>
      <c r="R37" s="318">
        <v>0</v>
      </c>
      <c r="S37" s="318">
        <v>0</v>
      </c>
      <c r="U37" s="143" t="s">
        <v>340</v>
      </c>
    </row>
    <row r="38" spans="2:28">
      <c r="C38" s="319"/>
      <c r="H38" s="158"/>
      <c r="I38" s="144"/>
      <c r="J38" s="144"/>
      <c r="K38" s="144"/>
      <c r="U38" s="143" t="s">
        <v>340</v>
      </c>
    </row>
    <row r="39" spans="2:28">
      <c r="B39" s="139" t="s">
        <v>539</v>
      </c>
      <c r="C39" s="319">
        <f>SUM(E39:S39)</f>
        <v>1290650000</v>
      </c>
      <c r="D39" s="318">
        <v>0</v>
      </c>
      <c r="E39" s="318">
        <v>0</v>
      </c>
      <c r="F39" s="318">
        <v>0</v>
      </c>
      <c r="G39" s="318">
        <v>0</v>
      </c>
      <c r="H39" s="318">
        <v>0</v>
      </c>
      <c r="I39" s="318">
        <v>89144000</v>
      </c>
      <c r="J39" s="318">
        <v>98988000</v>
      </c>
      <c r="K39" s="318">
        <v>110958000</v>
      </c>
      <c r="L39" s="318">
        <v>113421000</v>
      </c>
      <c r="M39" s="318">
        <v>116256000</v>
      </c>
      <c r="N39" s="318">
        <v>119163000</v>
      </c>
      <c r="O39" s="318">
        <v>122476000</v>
      </c>
      <c r="P39" s="318">
        <v>125195000</v>
      </c>
      <c r="Q39" s="318">
        <v>128325000</v>
      </c>
      <c r="R39" s="318">
        <v>131533000</v>
      </c>
      <c r="S39" s="318">
        <v>135191000</v>
      </c>
      <c r="U39" s="143" t="s">
        <v>340</v>
      </c>
    </row>
    <row r="40" spans="2:28">
      <c r="B40" s="139" t="s">
        <v>461</v>
      </c>
      <c r="C40" s="319">
        <f>SUM(E40:S40)</f>
        <v>-771414000</v>
      </c>
      <c r="D40" s="318">
        <v>0</v>
      </c>
      <c r="E40" s="318">
        <v>0</v>
      </c>
      <c r="F40" s="318">
        <v>0</v>
      </c>
      <c r="G40" s="318">
        <v>0</v>
      </c>
      <c r="H40" s="318">
        <v>0</v>
      </c>
      <c r="I40" s="318">
        <v>-53281000</v>
      </c>
      <c r="J40" s="318">
        <v>-59164000</v>
      </c>
      <c r="K40" s="318">
        <v>-66319000</v>
      </c>
      <c r="L40" s="318">
        <v>-67791000</v>
      </c>
      <c r="M40" s="318">
        <v>-69486000</v>
      </c>
      <c r="N40" s="318">
        <v>-71223000</v>
      </c>
      <c r="O40" s="318">
        <v>-73203000</v>
      </c>
      <c r="P40" s="318">
        <v>-74828000</v>
      </c>
      <c r="Q40" s="318">
        <v>-76699000</v>
      </c>
      <c r="R40" s="318">
        <v>-78617000</v>
      </c>
      <c r="S40" s="318">
        <v>-80803000</v>
      </c>
      <c r="U40" s="143" t="s">
        <v>340</v>
      </c>
    </row>
    <row r="41" spans="2:28">
      <c r="B41" s="166" t="s">
        <v>462</v>
      </c>
      <c r="C41" s="326">
        <f>SUM(E41:S41)</f>
        <v>519236000</v>
      </c>
      <c r="D41" s="327">
        <f>SUM(D39:D40)</f>
        <v>0</v>
      </c>
      <c r="E41" s="327">
        <f t="shared" ref="E41:S41" si="16">SUM(E39:E40)</f>
        <v>0</v>
      </c>
      <c r="F41" s="327">
        <f t="shared" si="16"/>
        <v>0</v>
      </c>
      <c r="G41" s="327">
        <f t="shared" si="16"/>
        <v>0</v>
      </c>
      <c r="H41" s="327">
        <f t="shared" si="16"/>
        <v>0</v>
      </c>
      <c r="I41" s="327">
        <f>SUM(I39:I40)</f>
        <v>35863000</v>
      </c>
      <c r="J41" s="327">
        <f t="shared" si="16"/>
        <v>39824000</v>
      </c>
      <c r="K41" s="327">
        <f t="shared" si="16"/>
        <v>44639000</v>
      </c>
      <c r="L41" s="327">
        <f t="shared" si="16"/>
        <v>45630000</v>
      </c>
      <c r="M41" s="327">
        <f t="shared" si="16"/>
        <v>46770000</v>
      </c>
      <c r="N41" s="327">
        <f t="shared" si="16"/>
        <v>47940000</v>
      </c>
      <c r="O41" s="327">
        <f t="shared" si="16"/>
        <v>49273000</v>
      </c>
      <c r="P41" s="327">
        <f t="shared" si="16"/>
        <v>50367000</v>
      </c>
      <c r="Q41" s="327">
        <f t="shared" si="16"/>
        <v>51626000</v>
      </c>
      <c r="R41" s="327">
        <f t="shared" si="16"/>
        <v>52916000</v>
      </c>
      <c r="S41" s="327">
        <f t="shared" si="16"/>
        <v>54388000</v>
      </c>
      <c r="U41" s="143" t="s">
        <v>340</v>
      </c>
    </row>
    <row r="42" spans="2:28">
      <c r="C42" s="319"/>
      <c r="D42" s="158"/>
      <c r="E42" s="158"/>
      <c r="F42" s="158"/>
      <c r="G42" s="158"/>
      <c r="H42" s="158"/>
      <c r="I42" s="347"/>
      <c r="J42" s="347"/>
      <c r="K42" s="347"/>
      <c r="L42" s="347"/>
      <c r="M42" s="347"/>
      <c r="N42" s="347"/>
      <c r="O42" s="347"/>
      <c r="P42" s="347"/>
      <c r="Q42" s="347"/>
      <c r="R42" s="347"/>
      <c r="S42" s="347"/>
      <c r="T42" s="347"/>
      <c r="U42" s="143" t="s">
        <v>340</v>
      </c>
      <c r="V42" s="158"/>
      <c r="W42" s="158"/>
      <c r="X42" s="158"/>
      <c r="Y42" s="158"/>
      <c r="Z42" s="158"/>
      <c r="AA42" s="158"/>
      <c r="AB42" s="158"/>
    </row>
    <row r="43" spans="2:28">
      <c r="B43" s="135" t="s">
        <v>413</v>
      </c>
      <c r="C43" s="135"/>
      <c r="D43" s="308"/>
      <c r="E43" s="308"/>
      <c r="F43" s="308"/>
      <c r="G43" s="308"/>
      <c r="H43" s="308"/>
      <c r="I43" s="308"/>
      <c r="J43" s="308"/>
      <c r="K43" s="308"/>
      <c r="L43" s="308"/>
      <c r="M43" s="308"/>
      <c r="N43" s="308"/>
      <c r="O43" s="308"/>
      <c r="P43" s="308"/>
      <c r="Q43" s="308"/>
      <c r="R43" s="308"/>
      <c r="S43" s="308"/>
      <c r="U43" s="143" t="s">
        <v>340</v>
      </c>
    </row>
    <row r="44" spans="2:28">
      <c r="C44" s="319"/>
      <c r="H44" s="158"/>
      <c r="I44" s="144"/>
      <c r="J44" s="144"/>
      <c r="K44" s="144"/>
      <c r="U44" s="143" t="s">
        <v>340</v>
      </c>
    </row>
    <row r="45" spans="2:28">
      <c r="B45" s="139" t="s">
        <v>382</v>
      </c>
      <c r="C45" s="319"/>
      <c r="D45" s="328">
        <v>0</v>
      </c>
      <c r="E45" s="328">
        <v>0</v>
      </c>
      <c r="F45" s="328">
        <v>0</v>
      </c>
      <c r="G45" s="328">
        <v>0</v>
      </c>
      <c r="H45" s="328">
        <v>0</v>
      </c>
      <c r="I45" s="328">
        <v>1</v>
      </c>
      <c r="J45" s="328">
        <v>1</v>
      </c>
      <c r="K45" s="328">
        <v>1</v>
      </c>
      <c r="L45" s="328">
        <v>1</v>
      </c>
      <c r="M45" s="328">
        <v>1</v>
      </c>
      <c r="N45" s="328">
        <v>1</v>
      </c>
      <c r="O45" s="328">
        <v>1</v>
      </c>
      <c r="P45" s="328">
        <v>1</v>
      </c>
      <c r="Q45" s="328">
        <v>1</v>
      </c>
      <c r="R45" s="328">
        <v>1</v>
      </c>
      <c r="S45" s="328">
        <v>1</v>
      </c>
      <c r="U45" s="143" t="s">
        <v>340</v>
      </c>
    </row>
    <row r="46" spans="2:28">
      <c r="B46" s="139" t="s">
        <v>463</v>
      </c>
      <c r="C46" s="319"/>
      <c r="D46" s="328">
        <v>0</v>
      </c>
      <c r="E46" s="328">
        <v>0</v>
      </c>
      <c r="F46" s="328">
        <v>0</v>
      </c>
      <c r="G46" s="328">
        <v>0</v>
      </c>
      <c r="H46" s="328">
        <v>0</v>
      </c>
      <c r="I46" s="328">
        <v>1</v>
      </c>
      <c r="J46" s="328">
        <v>1</v>
      </c>
      <c r="K46" s="328">
        <v>1</v>
      </c>
      <c r="L46" s="328">
        <v>1</v>
      </c>
      <c r="M46" s="328">
        <v>1</v>
      </c>
      <c r="N46" s="328">
        <v>1</v>
      </c>
      <c r="O46" s="328">
        <v>1</v>
      </c>
      <c r="P46" s="328">
        <v>1</v>
      </c>
      <c r="Q46" s="328">
        <v>1</v>
      </c>
      <c r="R46" s="328">
        <v>1</v>
      </c>
      <c r="S46" s="328">
        <v>1</v>
      </c>
      <c r="U46" s="143" t="s">
        <v>340</v>
      </c>
    </row>
    <row r="47" spans="2:28">
      <c r="B47" s="139" t="s">
        <v>394</v>
      </c>
      <c r="C47" s="319"/>
      <c r="D47" s="328">
        <v>0</v>
      </c>
      <c r="E47" s="328">
        <v>0</v>
      </c>
      <c r="F47" s="328">
        <v>0</v>
      </c>
      <c r="G47" s="328">
        <v>0</v>
      </c>
      <c r="H47" s="328">
        <v>0</v>
      </c>
      <c r="I47" s="328">
        <v>6.0626052633055622E-2</v>
      </c>
      <c r="J47" s="328">
        <v>0</v>
      </c>
      <c r="K47" s="328">
        <v>4.4614807445808188E-2</v>
      </c>
      <c r="L47" s="328">
        <v>0</v>
      </c>
      <c r="M47" s="328">
        <v>0</v>
      </c>
      <c r="N47" s="328">
        <v>0</v>
      </c>
      <c r="O47" s="328">
        <v>0</v>
      </c>
      <c r="P47" s="328">
        <v>0</v>
      </c>
      <c r="Q47" s="328">
        <v>0</v>
      </c>
      <c r="R47" s="328">
        <v>0</v>
      </c>
      <c r="S47" s="328">
        <v>0</v>
      </c>
      <c r="U47" s="143" t="s">
        <v>340</v>
      </c>
    </row>
    <row r="48" spans="2:28">
      <c r="B48" s="139" t="s">
        <v>391</v>
      </c>
      <c r="C48" s="319"/>
      <c r="D48" s="328">
        <v>0</v>
      </c>
      <c r="E48" s="328">
        <v>2.1969719439472145E-2</v>
      </c>
      <c r="F48" s="328">
        <v>0.11740043357192348</v>
      </c>
      <c r="G48" s="328">
        <v>0.14461838803484714</v>
      </c>
      <c r="H48" s="328">
        <v>0.23885013925552073</v>
      </c>
      <c r="I48" s="328">
        <v>0.13535107541922953</v>
      </c>
      <c r="J48" s="328">
        <v>0.19833791194476488</v>
      </c>
      <c r="K48" s="328">
        <v>3.8231472255378297E-2</v>
      </c>
      <c r="L48" s="328">
        <v>0</v>
      </c>
      <c r="M48" s="328">
        <v>0</v>
      </c>
      <c r="N48" s="328">
        <v>0</v>
      </c>
      <c r="O48" s="328">
        <v>0</v>
      </c>
      <c r="P48" s="328">
        <v>0</v>
      </c>
      <c r="Q48" s="328">
        <v>0</v>
      </c>
      <c r="R48" s="328">
        <v>0</v>
      </c>
      <c r="S48" s="328">
        <v>0</v>
      </c>
      <c r="U48" s="143" t="s">
        <v>340</v>
      </c>
    </row>
    <row r="49" spans="2:21">
      <c r="C49" s="319"/>
      <c r="H49" s="158"/>
      <c r="I49" s="144"/>
      <c r="J49" s="144"/>
      <c r="K49" s="144"/>
      <c r="L49" s="144"/>
      <c r="M49" s="144"/>
      <c r="N49" s="144"/>
      <c r="O49" s="144"/>
      <c r="P49" s="144"/>
      <c r="Q49" s="144"/>
      <c r="R49" s="144"/>
      <c r="S49" s="144"/>
      <c r="U49" s="143" t="s">
        <v>340</v>
      </c>
    </row>
    <row r="50" spans="2:21">
      <c r="C50" s="319"/>
      <c r="H50" s="158"/>
      <c r="I50" s="158"/>
      <c r="J50" s="158"/>
      <c r="K50" s="158"/>
      <c r="L50" s="158"/>
      <c r="M50" s="158"/>
      <c r="N50" s="158"/>
      <c r="O50" s="158"/>
      <c r="P50" s="158"/>
      <c r="Q50" s="158"/>
      <c r="R50" s="158"/>
      <c r="S50" s="158"/>
      <c r="U50" s="143" t="s">
        <v>340</v>
      </c>
    </row>
    <row r="51" spans="2:21">
      <c r="B51" s="139" t="s">
        <v>392</v>
      </c>
      <c r="C51" s="319"/>
      <c r="D51" s="158">
        <f t="shared" ref="D51:S51" si="17">D45*D26</f>
        <v>0</v>
      </c>
      <c r="E51" s="158">
        <f t="shared" si="17"/>
        <v>0</v>
      </c>
      <c r="F51" s="158">
        <f t="shared" si="17"/>
        <v>0</v>
      </c>
      <c r="G51" s="158">
        <f t="shared" si="17"/>
        <v>0</v>
      </c>
      <c r="H51" s="158">
        <f t="shared" si="17"/>
        <v>0</v>
      </c>
      <c r="I51" s="158">
        <f t="shared" si="17"/>
        <v>3313000</v>
      </c>
      <c r="J51" s="158">
        <f t="shared" si="17"/>
        <v>4245000</v>
      </c>
      <c r="K51" s="158">
        <f t="shared" si="17"/>
        <v>5715000</v>
      </c>
      <c r="L51" s="158">
        <f t="shared" si="17"/>
        <v>5902000</v>
      </c>
      <c r="M51" s="158">
        <f t="shared" si="17"/>
        <v>6199000</v>
      </c>
      <c r="N51" s="158">
        <f t="shared" si="17"/>
        <v>6242000</v>
      </c>
      <c r="O51" s="158">
        <f t="shared" si="17"/>
        <v>6286000</v>
      </c>
      <c r="P51" s="158">
        <f t="shared" si="17"/>
        <v>6443000</v>
      </c>
      <c r="Q51" s="158">
        <f t="shared" si="17"/>
        <v>6490000</v>
      </c>
      <c r="R51" s="158">
        <f t="shared" si="17"/>
        <v>6537000</v>
      </c>
      <c r="S51" s="158">
        <f t="shared" si="17"/>
        <v>6701000</v>
      </c>
      <c r="U51" s="143" t="s">
        <v>340</v>
      </c>
    </row>
    <row r="52" spans="2:21">
      <c r="B52" s="139" t="s">
        <v>463</v>
      </c>
      <c r="C52" s="319"/>
      <c r="D52" s="158">
        <f t="shared" ref="D52:S52" si="18">D39*D46</f>
        <v>0</v>
      </c>
      <c r="E52" s="158">
        <f t="shared" si="18"/>
        <v>0</v>
      </c>
      <c r="F52" s="158">
        <f t="shared" si="18"/>
        <v>0</v>
      </c>
      <c r="G52" s="158">
        <f t="shared" si="18"/>
        <v>0</v>
      </c>
      <c r="H52" s="158">
        <f t="shared" si="18"/>
        <v>0</v>
      </c>
      <c r="I52" s="158">
        <f t="shared" si="18"/>
        <v>89144000</v>
      </c>
      <c r="J52" s="158">
        <f t="shared" si="18"/>
        <v>98988000</v>
      </c>
      <c r="K52" s="158">
        <f t="shared" si="18"/>
        <v>110958000</v>
      </c>
      <c r="L52" s="158">
        <f t="shared" si="18"/>
        <v>113421000</v>
      </c>
      <c r="M52" s="158">
        <f t="shared" si="18"/>
        <v>116256000</v>
      </c>
      <c r="N52" s="158">
        <f t="shared" si="18"/>
        <v>119163000</v>
      </c>
      <c r="O52" s="158">
        <f t="shared" si="18"/>
        <v>122476000</v>
      </c>
      <c r="P52" s="158">
        <f t="shared" si="18"/>
        <v>125195000</v>
      </c>
      <c r="Q52" s="158">
        <f t="shared" si="18"/>
        <v>128325000</v>
      </c>
      <c r="R52" s="158">
        <f t="shared" si="18"/>
        <v>131533000</v>
      </c>
      <c r="S52" s="158">
        <f t="shared" si="18"/>
        <v>135191000</v>
      </c>
      <c r="U52" s="143" t="s">
        <v>340</v>
      </c>
    </row>
    <row r="53" spans="2:21">
      <c r="B53" s="139" t="s">
        <v>393</v>
      </c>
      <c r="C53" s="319"/>
      <c r="D53" s="185">
        <f>D47*$C$33</f>
        <v>0</v>
      </c>
      <c r="E53" s="185">
        <f t="shared" ref="E53:S53" si="19">E47*$C$33</f>
        <v>0</v>
      </c>
      <c r="F53" s="185">
        <f t="shared" si="19"/>
        <v>0</v>
      </c>
      <c r="G53" s="185">
        <f t="shared" si="19"/>
        <v>0</v>
      </c>
      <c r="H53" s="185">
        <f t="shared" si="19"/>
        <v>0</v>
      </c>
      <c r="I53" s="185">
        <f t="shared" si="19"/>
        <v>453774000</v>
      </c>
      <c r="J53" s="185">
        <f t="shared" si="19"/>
        <v>0</v>
      </c>
      <c r="K53" s="185">
        <f t="shared" si="19"/>
        <v>333933000</v>
      </c>
      <c r="L53" s="185">
        <f t="shared" si="19"/>
        <v>0</v>
      </c>
      <c r="M53" s="185">
        <f t="shared" si="19"/>
        <v>0</v>
      </c>
      <c r="N53" s="185">
        <f t="shared" si="19"/>
        <v>0</v>
      </c>
      <c r="O53" s="185">
        <f t="shared" si="19"/>
        <v>0</v>
      </c>
      <c r="P53" s="185">
        <f t="shared" si="19"/>
        <v>0</v>
      </c>
      <c r="Q53" s="185">
        <f t="shared" si="19"/>
        <v>0</v>
      </c>
      <c r="R53" s="185">
        <f t="shared" si="19"/>
        <v>0</v>
      </c>
      <c r="S53" s="185">
        <f t="shared" si="19"/>
        <v>0</v>
      </c>
      <c r="U53" s="143" t="s">
        <v>340</v>
      </c>
    </row>
    <row r="54" spans="2:21">
      <c r="B54" s="139" t="s">
        <v>391</v>
      </c>
      <c r="C54" s="319"/>
      <c r="D54" s="185">
        <f>D48*$C$33</f>
        <v>0</v>
      </c>
      <c r="E54" s="185">
        <f t="shared" ref="E54:S54" si="20">E48*$C$33</f>
        <v>164439000</v>
      </c>
      <c r="F54" s="185">
        <f t="shared" si="20"/>
        <v>878719000</v>
      </c>
      <c r="G54" s="185">
        <f t="shared" si="20"/>
        <v>1082440000</v>
      </c>
      <c r="H54" s="185">
        <f t="shared" si="20"/>
        <v>1787746000</v>
      </c>
      <c r="I54" s="185">
        <f t="shared" si="20"/>
        <v>1013076000</v>
      </c>
      <c r="J54" s="185">
        <f t="shared" si="20"/>
        <v>1484520000</v>
      </c>
      <c r="K54" s="185">
        <f t="shared" si="20"/>
        <v>286155000</v>
      </c>
      <c r="L54" s="185">
        <f t="shared" si="20"/>
        <v>0</v>
      </c>
      <c r="M54" s="185">
        <f t="shared" si="20"/>
        <v>0</v>
      </c>
      <c r="N54" s="185">
        <f t="shared" si="20"/>
        <v>0</v>
      </c>
      <c r="O54" s="185">
        <f t="shared" si="20"/>
        <v>0</v>
      </c>
      <c r="P54" s="185">
        <f t="shared" si="20"/>
        <v>0</v>
      </c>
      <c r="Q54" s="185">
        <f t="shared" si="20"/>
        <v>0</v>
      </c>
      <c r="R54" s="185">
        <f t="shared" si="20"/>
        <v>0</v>
      </c>
      <c r="S54" s="185">
        <f t="shared" si="20"/>
        <v>0</v>
      </c>
      <c r="U54" s="143" t="s">
        <v>340</v>
      </c>
    </row>
    <row r="55" spans="2:21">
      <c r="B55" s="166" t="s">
        <v>470</v>
      </c>
      <c r="C55" s="326"/>
      <c r="D55" s="327">
        <f>SUM(D51:D54)</f>
        <v>0</v>
      </c>
      <c r="E55" s="327">
        <f t="shared" ref="E55:S55" si="21">SUM(E51:E54)</f>
        <v>164439000</v>
      </c>
      <c r="F55" s="327">
        <f t="shared" si="21"/>
        <v>878719000</v>
      </c>
      <c r="G55" s="327">
        <f t="shared" si="21"/>
        <v>1082440000</v>
      </c>
      <c r="H55" s="327">
        <f t="shared" si="21"/>
        <v>1787746000</v>
      </c>
      <c r="I55" s="327">
        <f t="shared" si="21"/>
        <v>1559307000</v>
      </c>
      <c r="J55" s="327">
        <f t="shared" si="21"/>
        <v>1587753000</v>
      </c>
      <c r="K55" s="327">
        <f t="shared" si="21"/>
        <v>736761000</v>
      </c>
      <c r="L55" s="327">
        <f t="shared" si="21"/>
        <v>119323000</v>
      </c>
      <c r="M55" s="327">
        <f t="shared" si="21"/>
        <v>122455000</v>
      </c>
      <c r="N55" s="327">
        <f t="shared" si="21"/>
        <v>125405000</v>
      </c>
      <c r="O55" s="327">
        <f t="shared" si="21"/>
        <v>128762000</v>
      </c>
      <c r="P55" s="327">
        <f t="shared" si="21"/>
        <v>131638000</v>
      </c>
      <c r="Q55" s="327">
        <f t="shared" si="21"/>
        <v>134815000</v>
      </c>
      <c r="R55" s="327">
        <f t="shared" si="21"/>
        <v>138070000</v>
      </c>
      <c r="S55" s="327">
        <f t="shared" si="21"/>
        <v>141892000</v>
      </c>
      <c r="U55" s="143" t="s">
        <v>340</v>
      </c>
    </row>
    <row r="56" spans="2:21">
      <c r="C56" s="319"/>
      <c r="H56" s="158"/>
      <c r="I56" s="144"/>
      <c r="J56" s="144"/>
      <c r="K56" s="144"/>
      <c r="U56" s="143" t="s">
        <v>340</v>
      </c>
    </row>
    <row r="57" spans="2:21">
      <c r="B57" s="135" t="s">
        <v>471</v>
      </c>
      <c r="C57" s="135"/>
      <c r="D57" s="308"/>
      <c r="E57" s="308"/>
      <c r="F57" s="308"/>
      <c r="G57" s="308"/>
      <c r="H57" s="308"/>
      <c r="I57" s="308"/>
      <c r="J57" s="308"/>
      <c r="K57" s="308"/>
      <c r="L57" s="308"/>
      <c r="M57" s="308"/>
      <c r="N57" s="308"/>
      <c r="O57" s="308"/>
      <c r="P57" s="308"/>
      <c r="Q57" s="308"/>
      <c r="R57" s="308"/>
      <c r="S57" s="308"/>
      <c r="U57" s="143" t="s">
        <v>340</v>
      </c>
    </row>
    <row r="58" spans="2:21">
      <c r="B58" s="139" t="s">
        <v>31</v>
      </c>
      <c r="D58" s="185">
        <f>FS!G17*10^6</f>
        <v>142076324.2082268</v>
      </c>
      <c r="E58" s="185">
        <f>FS!H17*10^6</f>
        <v>179797626.85138977</v>
      </c>
      <c r="F58" s="185">
        <f>FS!I17*10^6</f>
        <v>230626184.06630057</v>
      </c>
      <c r="G58" s="185">
        <f>FS!J17*10^6</f>
        <v>261168357.48180643</v>
      </c>
      <c r="H58" s="185">
        <f>FS!K17*10^6</f>
        <v>280745631.08283359</v>
      </c>
      <c r="I58" s="185">
        <f>FS!L17*10^6</f>
        <v>297868898.07500565</v>
      </c>
      <c r="J58" s="185">
        <f>FS!M17*10^6</f>
        <v>304785557.79409593</v>
      </c>
      <c r="K58" s="185">
        <f>FS!N17*10^6</f>
        <v>312895228.52082425</v>
      </c>
      <c r="L58" s="185">
        <f>FS!O17*10^6</f>
        <v>319109893.65825671</v>
      </c>
      <c r="M58" s="185">
        <f>FS!P17*10^6</f>
        <v>326525622.91539729</v>
      </c>
      <c r="N58" s="185">
        <f>FS!Q17*10^6</f>
        <v>334115940.48356414</v>
      </c>
      <c r="O58" s="185">
        <f>FS!R17*10^6</f>
        <v>343013952.12354749</v>
      </c>
      <c r="P58" s="185">
        <f>FS!S17*10^6</f>
        <v>349837653.48161077</v>
      </c>
      <c r="Q58" s="185">
        <f>FS!T17*10^6</f>
        <v>370697012.15920252</v>
      </c>
      <c r="R58" s="185">
        <f>FS!U17*10^6</f>
        <v>379322383.94496</v>
      </c>
      <c r="S58" s="185">
        <f>FS!V17*10^6</f>
        <v>389271741.99482256</v>
      </c>
      <c r="U58" s="143" t="s">
        <v>340</v>
      </c>
    </row>
    <row r="59" spans="2:21">
      <c r="B59" s="139" t="s">
        <v>385</v>
      </c>
      <c r="D59" s="329"/>
      <c r="E59" s="185">
        <f>FS!H99*10^6</f>
        <v>-1878244.3264266383</v>
      </c>
      <c r="F59" s="185">
        <f>FS!I99*10^6</f>
        <v>-2200314.0807351768</v>
      </c>
      <c r="G59" s="185">
        <f>FS!J99*10^6</f>
        <v>-1345640.7725451607</v>
      </c>
      <c r="H59" s="185">
        <f>FS!K99*10^6</f>
        <v>-892057.14478849992</v>
      </c>
      <c r="I59" s="185">
        <f>FS!L99*10^6</f>
        <v>-778447.36302176863</v>
      </c>
      <c r="J59" s="185">
        <f>FS!M99*10^6</f>
        <v>-348317.32752002776</v>
      </c>
      <c r="K59" s="185">
        <f>FS!N99*10^6</f>
        <v>-399750.09616489708</v>
      </c>
      <c r="L59" s="185">
        <f>FS!O99*10^6</f>
        <v>-321102.71434030682</v>
      </c>
      <c r="M59" s="185">
        <f>FS!P99*10^6</f>
        <v>-372908.24069460109</v>
      </c>
      <c r="N59" s="185">
        <f>FS!Q99*10^6</f>
        <v>-381485.13023058325</v>
      </c>
      <c r="O59" s="185">
        <f>FS!R99*10^6</f>
        <v>-437815.47872145474</v>
      </c>
      <c r="P59" s="185">
        <f>FS!S99*10^6</f>
        <v>-351679.06135951728</v>
      </c>
      <c r="Q59" s="185">
        <f>FS!T99*10^6</f>
        <v>-945840.79661743715</v>
      </c>
      <c r="R59" s="185">
        <f>FS!U99*10^6</f>
        <v>-430172.00096996874</v>
      </c>
      <c r="S59" s="185">
        <f>FS!V99*10^6</f>
        <v>-487923.11361782625</v>
      </c>
      <c r="U59" s="143" t="s">
        <v>340</v>
      </c>
    </row>
    <row r="60" spans="2:21">
      <c r="B60" s="139" t="s">
        <v>386</v>
      </c>
      <c r="D60" s="185">
        <f>-FS!G105*10^6</f>
        <v>14749520.660000002</v>
      </c>
      <c r="E60" s="185">
        <f>-FS!H105*10^6</f>
        <v>14881659.319499997</v>
      </c>
      <c r="F60" s="185">
        <f>-FS!I105*10^6</f>
        <v>17006295.827178244</v>
      </c>
      <c r="G60" s="185">
        <f>-FS!J105*10^6</f>
        <v>17154495.376949482</v>
      </c>
      <c r="H60" s="185">
        <f>-FS!K105*10^6</f>
        <v>17304738.843584977</v>
      </c>
      <c r="I60" s="185">
        <f>-FS!L105*10^6</f>
        <v>17457063.691782441</v>
      </c>
      <c r="J60" s="185">
        <f>-FS!M105*10^6</f>
        <v>17611508.154067267</v>
      </c>
      <c r="K60" s="185">
        <f>-FS!N105*10^6</f>
        <v>17768111.247309826</v>
      </c>
      <c r="L60" s="185">
        <f>-FS!O105*10^6</f>
        <v>17926912.78961093</v>
      </c>
      <c r="M60" s="185">
        <f>-FS!P105*10^6</f>
        <v>18087953.417563993</v>
      </c>
      <c r="N60" s="185">
        <f>-FS!Q105*10^6</f>
        <v>18251274.603902668</v>
      </c>
      <c r="O60" s="185">
        <f>-FS!R105*10^6</f>
        <v>18416918.675542772</v>
      </c>
      <c r="P60" s="185">
        <f>-FS!S105*10^6</f>
        <v>18584928.832027752</v>
      </c>
      <c r="Q60" s="185">
        <f>-FS!T105*10^6</f>
        <v>18755349.16438698</v>
      </c>
      <c r="R60" s="185">
        <f>-FS!U105*10^6</f>
        <v>18928224.674416564</v>
      </c>
      <c r="S60" s="185">
        <f>-FS!V105*10^6</f>
        <v>19103601.29439237</v>
      </c>
      <c r="U60" s="143" t="s">
        <v>340</v>
      </c>
    </row>
    <row r="61" spans="2:21">
      <c r="B61" s="139" t="s">
        <v>528</v>
      </c>
      <c r="D61" s="185"/>
      <c r="E61" s="318">
        <f>(2/12*4000000+10/12*4200000)</f>
        <v>4166666.6666666665</v>
      </c>
      <c r="F61" s="185">
        <f>E61*(1+F62)</f>
        <v>4166666.6666666665</v>
      </c>
      <c r="G61" s="185">
        <f t="shared" ref="G61:S61" si="22">F61*(1+G62)</f>
        <v>4375000</v>
      </c>
      <c r="H61" s="185">
        <f t="shared" si="22"/>
        <v>4593750</v>
      </c>
      <c r="I61" s="185">
        <f t="shared" si="22"/>
        <v>4708593.75</v>
      </c>
      <c r="J61" s="185">
        <f t="shared" si="22"/>
        <v>4826308.59375</v>
      </c>
      <c r="K61" s="185">
        <f t="shared" si="22"/>
        <v>4946966.30859375</v>
      </c>
      <c r="L61" s="185">
        <f t="shared" si="22"/>
        <v>5070640.4663085938</v>
      </c>
      <c r="M61" s="185">
        <f t="shared" si="22"/>
        <v>5197406.4779663086</v>
      </c>
      <c r="N61" s="185">
        <f t="shared" si="22"/>
        <v>5327341.6399154663</v>
      </c>
      <c r="O61" s="185">
        <f t="shared" si="22"/>
        <v>5460525.1809133524</v>
      </c>
      <c r="P61" s="185">
        <f t="shared" si="22"/>
        <v>5597038.3104361854</v>
      </c>
      <c r="Q61" s="185">
        <f t="shared" si="22"/>
        <v>5736964.2681970894</v>
      </c>
      <c r="R61" s="185">
        <f t="shared" si="22"/>
        <v>5880388.3749020165</v>
      </c>
      <c r="S61" s="185">
        <f t="shared" si="22"/>
        <v>6027398.0842745667</v>
      </c>
      <c r="U61" s="143" t="s">
        <v>340</v>
      </c>
    </row>
    <row r="62" spans="2:21">
      <c r="B62" s="139" t="s">
        <v>529</v>
      </c>
      <c r="D62" s="328">
        <v>0</v>
      </c>
      <c r="E62" s="328">
        <v>0</v>
      </c>
      <c r="F62" s="328">
        <v>0</v>
      </c>
      <c r="G62" s="328">
        <v>5.0000000000000044E-2</v>
      </c>
      <c r="H62" s="328">
        <v>5.0000000000000044E-2</v>
      </c>
      <c r="I62" s="328">
        <v>2.4999999999999911E-2</v>
      </c>
      <c r="J62" s="328">
        <v>2.4999999999999911E-2</v>
      </c>
      <c r="K62" s="328">
        <v>2.4999999999999911E-2</v>
      </c>
      <c r="L62" s="328">
        <v>2.4999999999999911E-2</v>
      </c>
      <c r="M62" s="328">
        <v>2.4999999999999911E-2</v>
      </c>
      <c r="N62" s="328">
        <v>2.4999999999999911E-2</v>
      </c>
      <c r="O62" s="328">
        <v>2.4999999999999911E-2</v>
      </c>
      <c r="P62" s="328">
        <v>2.4999999999999911E-2</v>
      </c>
      <c r="Q62" s="328">
        <v>2.4999999999999911E-2</v>
      </c>
      <c r="R62" s="328">
        <v>2.4999999999999911E-2</v>
      </c>
      <c r="S62" s="328">
        <v>2.4999999999999911E-2</v>
      </c>
      <c r="U62" s="143" t="s">
        <v>340</v>
      </c>
    </row>
    <row r="63" spans="2:21">
      <c r="U63" s="143" t="s">
        <v>340</v>
      </c>
    </row>
    <row r="64" spans="2:21">
      <c r="B64" s="135" t="s">
        <v>387</v>
      </c>
      <c r="C64" s="135"/>
      <c r="D64" s="308"/>
      <c r="E64" s="308"/>
      <c r="F64" s="308"/>
      <c r="G64" s="308"/>
      <c r="H64" s="308"/>
      <c r="I64" s="308"/>
      <c r="J64" s="308"/>
      <c r="K64" s="308"/>
      <c r="L64" s="308"/>
      <c r="M64" s="308"/>
      <c r="N64" s="308"/>
      <c r="O64" s="308"/>
      <c r="P64" s="308"/>
      <c r="Q64" s="308"/>
      <c r="R64" s="308"/>
      <c r="S64" s="308"/>
      <c r="U64" s="143" t="s">
        <v>340</v>
      </c>
    </row>
    <row r="65" spans="2:21">
      <c r="B65" s="139" t="s">
        <v>429</v>
      </c>
      <c r="C65" s="158">
        <f t="shared" ref="C65:C66" si="23">SUM(E65:S65)</f>
        <v>5520782000</v>
      </c>
      <c r="E65" s="192">
        <v>2097261000</v>
      </c>
      <c r="F65" s="192">
        <v>641365000</v>
      </c>
      <c r="G65" s="192">
        <v>1489344000</v>
      </c>
      <c r="H65" s="192">
        <v>660205000</v>
      </c>
      <c r="I65" s="192">
        <v>445761000</v>
      </c>
      <c r="J65" s="192">
        <v>186846000</v>
      </c>
      <c r="K65" s="192">
        <v>0</v>
      </c>
      <c r="L65" s="192">
        <v>0</v>
      </c>
      <c r="M65" s="192">
        <v>0</v>
      </c>
      <c r="N65" s="192">
        <v>0</v>
      </c>
      <c r="O65" s="192">
        <v>0</v>
      </c>
      <c r="P65" s="192">
        <v>0</v>
      </c>
      <c r="Q65" s="192">
        <v>0</v>
      </c>
      <c r="R65" s="192">
        <v>0</v>
      </c>
      <c r="S65" s="192">
        <v>0</v>
      </c>
      <c r="U65" s="143" t="s">
        <v>340</v>
      </c>
    </row>
    <row r="66" spans="2:21">
      <c r="B66" s="139" t="s">
        <v>435</v>
      </c>
      <c r="C66" s="158">
        <f t="shared" si="23"/>
        <v>-1815000000</v>
      </c>
      <c r="E66" s="158">
        <f>-D8</f>
        <v>-1815000000</v>
      </c>
      <c r="F66" s="192">
        <v>0</v>
      </c>
      <c r="G66" s="192">
        <v>0</v>
      </c>
      <c r="H66" s="192">
        <v>0</v>
      </c>
      <c r="I66" s="192">
        <v>0</v>
      </c>
      <c r="J66" s="192">
        <v>0</v>
      </c>
      <c r="K66" s="192">
        <v>0</v>
      </c>
      <c r="L66" s="192">
        <v>0</v>
      </c>
      <c r="M66" s="192">
        <v>0</v>
      </c>
      <c r="N66" s="192">
        <v>0</v>
      </c>
      <c r="O66" s="192">
        <v>0</v>
      </c>
      <c r="P66" s="192">
        <v>0</v>
      </c>
      <c r="Q66" s="192">
        <v>0</v>
      </c>
      <c r="R66" s="192">
        <v>0</v>
      </c>
      <c r="S66" s="192">
        <v>0</v>
      </c>
      <c r="U66" s="143" t="s">
        <v>340</v>
      </c>
    </row>
    <row r="67" spans="2:21">
      <c r="B67" s="153" t="s">
        <v>433</v>
      </c>
      <c r="C67" s="154">
        <f>SUM(E67:S67)</f>
        <v>3705782000</v>
      </c>
      <c r="D67" s="310"/>
      <c r="E67" s="154">
        <f>SUM(E65:E66)</f>
        <v>282261000</v>
      </c>
      <c r="F67" s="154">
        <f t="shared" ref="F67:S67" si="24">SUM(F65:F66)</f>
        <v>641365000</v>
      </c>
      <c r="G67" s="154">
        <f t="shared" si="24"/>
        <v>1489344000</v>
      </c>
      <c r="H67" s="154">
        <f t="shared" si="24"/>
        <v>660205000</v>
      </c>
      <c r="I67" s="154">
        <f t="shared" si="24"/>
        <v>445761000</v>
      </c>
      <c r="J67" s="154">
        <f t="shared" si="24"/>
        <v>186846000</v>
      </c>
      <c r="K67" s="154">
        <f t="shared" si="24"/>
        <v>0</v>
      </c>
      <c r="L67" s="154">
        <f t="shared" si="24"/>
        <v>0</v>
      </c>
      <c r="M67" s="154">
        <f t="shared" si="24"/>
        <v>0</v>
      </c>
      <c r="N67" s="154">
        <f t="shared" si="24"/>
        <v>0</v>
      </c>
      <c r="O67" s="154">
        <f t="shared" si="24"/>
        <v>0</v>
      </c>
      <c r="P67" s="154">
        <f t="shared" si="24"/>
        <v>0</v>
      </c>
      <c r="Q67" s="154">
        <f t="shared" si="24"/>
        <v>0</v>
      </c>
      <c r="R67" s="154">
        <f t="shared" si="24"/>
        <v>0</v>
      </c>
      <c r="S67" s="154">
        <f t="shared" si="24"/>
        <v>0</v>
      </c>
      <c r="U67" s="143" t="s">
        <v>340</v>
      </c>
    </row>
    <row r="68" spans="2:21">
      <c r="B68" s="139" t="s">
        <v>465</v>
      </c>
      <c r="C68" s="158">
        <f t="shared" ref="C68" si="25">SUM(E68:S68)</f>
        <v>-346936838</v>
      </c>
      <c r="E68" s="158">
        <f>-512650000+396665162</f>
        <v>-115984838</v>
      </c>
      <c r="F68" s="158">
        <f>-98876000</f>
        <v>-98876000</v>
      </c>
      <c r="G68" s="158">
        <f>-98876000</f>
        <v>-98876000</v>
      </c>
      <c r="H68" s="158">
        <f>-33200000</f>
        <v>-33200000</v>
      </c>
      <c r="I68" s="158">
        <v>0</v>
      </c>
      <c r="J68" s="158">
        <v>0</v>
      </c>
      <c r="K68" s="158">
        <v>0</v>
      </c>
      <c r="L68" s="158">
        <v>0</v>
      </c>
      <c r="M68" s="158">
        <v>0</v>
      </c>
      <c r="N68" s="158">
        <v>0</v>
      </c>
      <c r="O68" s="158">
        <v>0</v>
      </c>
      <c r="P68" s="158">
        <v>0</v>
      </c>
      <c r="Q68" s="158">
        <v>0</v>
      </c>
      <c r="R68" s="158">
        <v>0</v>
      </c>
      <c r="S68" s="158">
        <v>0</v>
      </c>
      <c r="U68" s="143" t="s">
        <v>340</v>
      </c>
    </row>
    <row r="69" spans="2:21">
      <c r="B69" s="153" t="s">
        <v>466</v>
      </c>
      <c r="C69" s="154">
        <f>SUM(C67:C68)</f>
        <v>3358845162</v>
      </c>
      <c r="D69" s="310"/>
      <c r="E69" s="154">
        <f>SUM(E67:E68)</f>
        <v>166276162</v>
      </c>
      <c r="F69" s="154">
        <f t="shared" ref="F69:S69" si="26">SUM(F67:F68)</f>
        <v>542489000</v>
      </c>
      <c r="G69" s="154">
        <f t="shared" si="26"/>
        <v>1390468000</v>
      </c>
      <c r="H69" s="154">
        <f t="shared" si="26"/>
        <v>627005000</v>
      </c>
      <c r="I69" s="154">
        <f t="shared" si="26"/>
        <v>445761000</v>
      </c>
      <c r="J69" s="154">
        <f t="shared" si="26"/>
        <v>186846000</v>
      </c>
      <c r="K69" s="154">
        <f t="shared" si="26"/>
        <v>0</v>
      </c>
      <c r="L69" s="154">
        <f t="shared" si="26"/>
        <v>0</v>
      </c>
      <c r="M69" s="154">
        <f t="shared" si="26"/>
        <v>0</v>
      </c>
      <c r="N69" s="154">
        <f t="shared" si="26"/>
        <v>0</v>
      </c>
      <c r="O69" s="154">
        <f t="shared" si="26"/>
        <v>0</v>
      </c>
      <c r="P69" s="154">
        <f t="shared" si="26"/>
        <v>0</v>
      </c>
      <c r="Q69" s="154">
        <f t="shared" si="26"/>
        <v>0</v>
      </c>
      <c r="R69" s="154">
        <f t="shared" si="26"/>
        <v>0</v>
      </c>
      <c r="S69" s="154">
        <f t="shared" si="26"/>
        <v>0</v>
      </c>
      <c r="U69" s="143" t="s">
        <v>340</v>
      </c>
    </row>
    <row r="70" spans="2:21">
      <c r="U70" s="143" t="s">
        <v>340</v>
      </c>
    </row>
    <row r="71" spans="2:21">
      <c r="B71" s="196" t="s">
        <v>350</v>
      </c>
      <c r="C71" s="195"/>
      <c r="D71" s="195"/>
      <c r="E71" s="195"/>
      <c r="F71" s="195"/>
      <c r="G71" s="195"/>
      <c r="H71" s="195"/>
      <c r="I71" s="195"/>
      <c r="J71" s="195"/>
      <c r="K71" s="195"/>
      <c r="L71" s="195"/>
      <c r="M71" s="195"/>
      <c r="N71" s="195"/>
      <c r="O71" s="195"/>
      <c r="P71" s="195"/>
      <c r="Q71" s="195"/>
      <c r="R71" s="195"/>
      <c r="S71" s="195"/>
      <c r="U71" s="143" t="s">
        <v>340</v>
      </c>
    </row>
  </sheetData>
  <dataValidations disablePrompts="1" count="1">
    <dataValidation type="list" allowBlank="1" showInputMessage="1" showErrorMessage="1" sqref="C30" xr:uid="{42C12022-E1D2-4846-A74A-C33CE50F1FAB}">
      <formula1>$B$21:$B$23</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2DC75-275A-4D6C-A658-46D53E760054}">
  <sheetPr codeName="Sheet14">
    <tabColor theme="9" tint="0.59999389629810485"/>
  </sheetPr>
  <dimension ref="B1:AG116"/>
  <sheetViews>
    <sheetView showGridLines="0" zoomScale="80" zoomScaleNormal="80" workbookViewId="0">
      <pane xSplit="3" ySplit="5" topLeftCell="D10" activePane="bottomRight" state="frozen"/>
      <selection activeCell="E10" sqref="E10"/>
      <selection pane="topRight" activeCell="E10" sqref="E10"/>
      <selection pane="bottomLeft" activeCell="E10" sqref="E10"/>
      <selection pane="bottomRight" activeCell="E22" sqref="E22"/>
    </sheetView>
  </sheetViews>
  <sheetFormatPr defaultColWidth="8.77734375" defaultRowHeight="14.4"/>
  <cols>
    <col min="1" max="1" width="3.33203125" style="139" customWidth="1"/>
    <col min="2" max="2" width="47.77734375" style="139" customWidth="1"/>
    <col min="3" max="19" width="15.77734375" style="139" customWidth="1"/>
    <col min="20" max="20" width="3.33203125" style="139" customWidth="1"/>
    <col min="21" max="21" width="15.77734375" style="139" customWidth="1"/>
    <col min="22" max="22" width="3.33203125" style="340" customWidth="1"/>
    <col min="23" max="23" width="3.33203125" style="143" customWidth="1"/>
    <col min="24" max="16384" width="8.77734375" style="139"/>
  </cols>
  <sheetData>
    <row r="1" spans="2:23">
      <c r="B1" s="136" t="str">
        <f>I4</f>
        <v>Consolidated Fund</v>
      </c>
      <c r="C1" s="137"/>
      <c r="D1" s="137"/>
      <c r="E1" s="137"/>
      <c r="F1" s="137"/>
      <c r="G1" s="137"/>
      <c r="H1" s="137"/>
      <c r="I1" s="137"/>
      <c r="J1" s="137"/>
      <c r="K1" s="137"/>
      <c r="L1" s="137"/>
      <c r="M1" s="137"/>
      <c r="N1" s="137"/>
      <c r="O1" s="137"/>
      <c r="P1" s="137"/>
      <c r="Q1" s="137"/>
      <c r="R1" s="137"/>
      <c r="S1" s="137"/>
      <c r="T1" s="137"/>
      <c r="U1" s="137"/>
      <c r="W1" s="143" t="s">
        <v>340</v>
      </c>
    </row>
    <row r="2" spans="2:23">
      <c r="B2" s="136" t="s">
        <v>362</v>
      </c>
      <c r="C2" s="137"/>
      <c r="D2" s="341">
        <v>0</v>
      </c>
      <c r="E2" s="341">
        <f>D2+1</f>
        <v>1</v>
      </c>
      <c r="F2" s="341">
        <f t="shared" ref="F2:S2" si="0">E2+1</f>
        <v>2</v>
      </c>
      <c r="G2" s="341">
        <f t="shared" si="0"/>
        <v>3</v>
      </c>
      <c r="H2" s="341">
        <f t="shared" si="0"/>
        <v>4</v>
      </c>
      <c r="I2" s="341">
        <f t="shared" si="0"/>
        <v>5</v>
      </c>
      <c r="J2" s="341">
        <f t="shared" si="0"/>
        <v>6</v>
      </c>
      <c r="K2" s="341">
        <f t="shared" si="0"/>
        <v>7</v>
      </c>
      <c r="L2" s="341">
        <f t="shared" si="0"/>
        <v>8</v>
      </c>
      <c r="M2" s="341">
        <f t="shared" si="0"/>
        <v>9</v>
      </c>
      <c r="N2" s="341">
        <f t="shared" si="0"/>
        <v>10</v>
      </c>
      <c r="O2" s="341">
        <f t="shared" si="0"/>
        <v>11</v>
      </c>
      <c r="P2" s="341">
        <f t="shared" si="0"/>
        <v>12</v>
      </c>
      <c r="Q2" s="341">
        <f t="shared" si="0"/>
        <v>13</v>
      </c>
      <c r="R2" s="341">
        <f t="shared" si="0"/>
        <v>14</v>
      </c>
      <c r="S2" s="341">
        <f t="shared" si="0"/>
        <v>15</v>
      </c>
      <c r="T2" s="141"/>
      <c r="U2" s="140" t="s">
        <v>307</v>
      </c>
      <c r="W2" s="143" t="s">
        <v>340</v>
      </c>
    </row>
    <row r="3" spans="2:23">
      <c r="B3" s="136" t="s">
        <v>363</v>
      </c>
      <c r="C3" s="137"/>
      <c r="D3" s="342">
        <v>46022</v>
      </c>
      <c r="E3" s="342">
        <f>EOMONTH(D3,12)</f>
        <v>46387</v>
      </c>
      <c r="F3" s="342">
        <f t="shared" ref="F3:S3" si="1">EOMONTH(E3,12)</f>
        <v>46752</v>
      </c>
      <c r="G3" s="342">
        <f t="shared" si="1"/>
        <v>47118</v>
      </c>
      <c r="H3" s="342">
        <f t="shared" si="1"/>
        <v>47483</v>
      </c>
      <c r="I3" s="342">
        <f t="shared" si="1"/>
        <v>47848</v>
      </c>
      <c r="J3" s="342">
        <f t="shared" si="1"/>
        <v>48213</v>
      </c>
      <c r="K3" s="342">
        <f t="shared" si="1"/>
        <v>48579</v>
      </c>
      <c r="L3" s="342">
        <f t="shared" si="1"/>
        <v>48944</v>
      </c>
      <c r="M3" s="342">
        <f t="shared" si="1"/>
        <v>49309</v>
      </c>
      <c r="N3" s="342">
        <f t="shared" si="1"/>
        <v>49674</v>
      </c>
      <c r="O3" s="342">
        <f t="shared" si="1"/>
        <v>50040</v>
      </c>
      <c r="P3" s="342">
        <f t="shared" si="1"/>
        <v>50405</v>
      </c>
      <c r="Q3" s="342">
        <f t="shared" si="1"/>
        <v>50770</v>
      </c>
      <c r="R3" s="342">
        <f t="shared" si="1"/>
        <v>51135</v>
      </c>
      <c r="S3" s="342">
        <f t="shared" si="1"/>
        <v>51501</v>
      </c>
      <c r="T3" s="141"/>
      <c r="U3" s="142"/>
      <c r="W3" s="143" t="s">
        <v>340</v>
      </c>
    </row>
    <row r="4" spans="2:23">
      <c r="B4" s="302" t="s">
        <v>353</v>
      </c>
      <c r="C4" s="302" t="str">
        <f>IF($I$4="Consolidated Fund","YES","NO")</f>
        <v>YES</v>
      </c>
      <c r="E4" s="143" t="s">
        <v>97</v>
      </c>
      <c r="F4" s="182" t="b">
        <f>AND(IF(K10=0,"TRUE","FALSE"),C66)</f>
        <v>1</v>
      </c>
      <c r="H4" s="138" t="s">
        <v>476</v>
      </c>
      <c r="I4" s="302" t="s">
        <v>531</v>
      </c>
      <c r="W4" s="143" t="s">
        <v>340</v>
      </c>
    </row>
    <row r="5" spans="2:23">
      <c r="B5" s="302" t="s">
        <v>523</v>
      </c>
      <c r="C5" s="302" t="str">
        <f>IF($I$4="Consolidated Fund","YES","NO")</f>
        <v>YES</v>
      </c>
      <c r="E5" s="143" t="s">
        <v>346</v>
      </c>
      <c r="F5" s="264">
        <v>10</v>
      </c>
      <c r="H5" s="138" t="s">
        <v>476</v>
      </c>
      <c r="I5" s="302" t="s">
        <v>477</v>
      </c>
      <c r="W5" s="143" t="s">
        <v>340</v>
      </c>
    </row>
    <row r="6" spans="2:23">
      <c r="L6" s="144"/>
      <c r="W6" s="143" t="s">
        <v>340</v>
      </c>
    </row>
    <row r="7" spans="2:23">
      <c r="B7" s="156" t="s">
        <v>418</v>
      </c>
      <c r="C7" s="157"/>
      <c r="E7" s="146" t="s">
        <v>419</v>
      </c>
      <c r="F7" s="146"/>
      <c r="G7" s="147"/>
      <c r="H7" s="149"/>
      <c r="I7" s="146" t="s">
        <v>364</v>
      </c>
      <c r="J7" s="146"/>
      <c r="K7" s="147"/>
      <c r="W7" s="143" t="s">
        <v>340</v>
      </c>
    </row>
    <row r="8" spans="2:23">
      <c r="B8" s="145" t="s">
        <v>415</v>
      </c>
      <c r="C8" s="265">
        <f>HBU!$D$8</f>
        <v>1815000000</v>
      </c>
      <c r="E8" s="149" t="s">
        <v>364</v>
      </c>
      <c r="F8" s="149"/>
      <c r="G8" s="151">
        <f>K9</f>
        <v>0</v>
      </c>
      <c r="H8" s="149"/>
      <c r="I8" s="149" t="s">
        <v>499</v>
      </c>
      <c r="J8" s="149"/>
      <c r="K8" s="151">
        <f>$C$88</f>
        <v>0</v>
      </c>
      <c r="W8" s="143" t="s">
        <v>340</v>
      </c>
    </row>
    <row r="9" spans="2:23">
      <c r="B9" s="145" t="s">
        <v>451</v>
      </c>
      <c r="C9" s="288">
        <v>4000000000</v>
      </c>
      <c r="E9" s="149" t="s">
        <v>417</v>
      </c>
      <c r="F9" s="149"/>
      <c r="G9" s="250">
        <f>C8+C9</f>
        <v>5815000000</v>
      </c>
      <c r="H9" s="254">
        <f>G9/G11</f>
        <v>0.87906273620559339</v>
      </c>
      <c r="I9" s="282" t="s">
        <v>500</v>
      </c>
      <c r="J9" s="283"/>
      <c r="K9" s="284">
        <v>0</v>
      </c>
      <c r="L9" s="139" t="s">
        <v>501</v>
      </c>
      <c r="W9" s="143" t="s">
        <v>340</v>
      </c>
    </row>
    <row r="10" spans="2:23">
      <c r="B10" s="139" t="s">
        <v>450</v>
      </c>
      <c r="C10" s="251">
        <f>IFERROR(E32/C9,0)</f>
        <v>4.4949406712847438E-2</v>
      </c>
      <c r="E10" s="152" t="s">
        <v>475</v>
      </c>
      <c r="F10" s="152"/>
      <c r="G10" s="288">
        <v>800000000</v>
      </c>
      <c r="I10" s="164" t="s">
        <v>97</v>
      </c>
      <c r="K10" s="182">
        <f>K8-K9</f>
        <v>0</v>
      </c>
      <c r="L10" s="158"/>
      <c r="W10" s="143" t="s">
        <v>340</v>
      </c>
    </row>
    <row r="11" spans="2:23">
      <c r="E11" s="148" t="s">
        <v>420</v>
      </c>
      <c r="F11" s="148"/>
      <c r="G11" s="155">
        <f>SUM(G8:G10)</f>
        <v>6615000000</v>
      </c>
      <c r="H11" s="254">
        <f>1-H9</f>
        <v>0.12093726379440661</v>
      </c>
      <c r="I11" s="148"/>
      <c r="J11" s="148"/>
      <c r="K11" s="148"/>
      <c r="W11" s="143" t="s">
        <v>340</v>
      </c>
    </row>
    <row r="12" spans="2:23">
      <c r="B12" s="156" t="s">
        <v>455</v>
      </c>
      <c r="C12" s="252">
        <f>SUMIF($D$2:$S$2,$F$5,D3:S3)</f>
        <v>49674</v>
      </c>
      <c r="H12" s="149"/>
      <c r="I12" s="148"/>
      <c r="J12" s="148"/>
      <c r="K12" s="148"/>
      <c r="W12" s="143" t="s">
        <v>340</v>
      </c>
    </row>
    <row r="13" spans="2:23">
      <c r="B13" s="139" t="s">
        <v>454</v>
      </c>
      <c r="C13" s="261">
        <v>0.05</v>
      </c>
      <c r="E13" s="139" t="s">
        <v>416</v>
      </c>
      <c r="G13" s="288">
        <v>50000000</v>
      </c>
      <c r="H13" s="149"/>
      <c r="I13" s="260" t="s">
        <v>524</v>
      </c>
      <c r="J13" s="259"/>
      <c r="K13" s="343" t="s">
        <v>527</v>
      </c>
      <c r="W13" s="143" t="s">
        <v>340</v>
      </c>
    </row>
    <row r="14" spans="2:23">
      <c r="I14" s="139" t="s">
        <v>525</v>
      </c>
      <c r="K14" s="345">
        <v>0.51</v>
      </c>
      <c r="W14" s="143" t="s">
        <v>340</v>
      </c>
    </row>
    <row r="15" spans="2:23">
      <c r="B15" s="156" t="s">
        <v>453</v>
      </c>
      <c r="C15" s="157"/>
      <c r="G15" s="149"/>
      <c r="I15" s="139" t="s">
        <v>526</v>
      </c>
      <c r="K15" s="344">
        <f>1-K14</f>
        <v>0.49</v>
      </c>
      <c r="W15" s="143" t="s">
        <v>340</v>
      </c>
    </row>
    <row r="16" spans="2:23">
      <c r="B16" s="145" t="s">
        <v>365</v>
      </c>
      <c r="C16" s="261">
        <v>2.5000000000000001E-2</v>
      </c>
      <c r="W16" s="143" t="s">
        <v>340</v>
      </c>
    </row>
    <row r="17" spans="2:23">
      <c r="B17" s="139" t="s">
        <v>514</v>
      </c>
      <c r="C17" s="261">
        <v>7.1499999999999994E-2</v>
      </c>
      <c r="D17" s="145"/>
      <c r="W17" s="143" t="s">
        <v>340</v>
      </c>
    </row>
    <row r="18" spans="2:23">
      <c r="C18" s="285"/>
      <c r="D18" s="145"/>
      <c r="L18" s="145"/>
      <c r="M18" s="145"/>
      <c r="N18" s="145"/>
      <c r="O18" s="145"/>
      <c r="P18" s="145"/>
      <c r="Q18" s="145"/>
      <c r="R18" s="145"/>
      <c r="S18" s="145"/>
      <c r="T18" s="145"/>
      <c r="U18" s="145"/>
      <c r="W18" s="143" t="s">
        <v>340</v>
      </c>
    </row>
    <row r="19" spans="2:23">
      <c r="B19" s="159" t="s">
        <v>348</v>
      </c>
      <c r="C19" s="160"/>
      <c r="D19" s="161">
        <f t="shared" ref="D19:S19" si="2">IF(AND(D2&gt;0,D2&lt;=$F$5),1,0)</f>
        <v>0</v>
      </c>
      <c r="E19" s="161">
        <f t="shared" si="2"/>
        <v>1</v>
      </c>
      <c r="F19" s="161">
        <f t="shared" si="2"/>
        <v>1</v>
      </c>
      <c r="G19" s="161">
        <f t="shared" si="2"/>
        <v>1</v>
      </c>
      <c r="H19" s="161">
        <f t="shared" si="2"/>
        <v>1</v>
      </c>
      <c r="I19" s="161">
        <f t="shared" si="2"/>
        <v>1</v>
      </c>
      <c r="J19" s="161">
        <f t="shared" si="2"/>
        <v>1</v>
      </c>
      <c r="K19" s="161">
        <f t="shared" si="2"/>
        <v>1</v>
      </c>
      <c r="L19" s="161">
        <f t="shared" si="2"/>
        <v>1</v>
      </c>
      <c r="M19" s="161">
        <f t="shared" si="2"/>
        <v>1</v>
      </c>
      <c r="N19" s="161">
        <f t="shared" si="2"/>
        <v>1</v>
      </c>
      <c r="O19" s="161">
        <f t="shared" si="2"/>
        <v>0</v>
      </c>
      <c r="P19" s="161">
        <f t="shared" si="2"/>
        <v>0</v>
      </c>
      <c r="Q19" s="161">
        <f t="shared" si="2"/>
        <v>0</v>
      </c>
      <c r="R19" s="161">
        <f t="shared" si="2"/>
        <v>0</v>
      </c>
      <c r="S19" s="161">
        <f t="shared" si="2"/>
        <v>0</v>
      </c>
      <c r="U19" s="161"/>
      <c r="W19" s="143" t="s">
        <v>340</v>
      </c>
    </row>
    <row r="20" spans="2:23">
      <c r="B20" s="145"/>
      <c r="C20" s="145"/>
      <c r="D20" s="145"/>
      <c r="E20" s="145"/>
      <c r="F20" s="145"/>
      <c r="G20" s="145"/>
      <c r="H20" s="145"/>
      <c r="I20" s="145"/>
      <c r="J20" s="145"/>
      <c r="K20" s="145"/>
      <c r="L20" s="145"/>
      <c r="M20" s="145"/>
      <c r="N20" s="145"/>
      <c r="O20" s="145"/>
      <c r="P20" s="145"/>
      <c r="Q20" s="145"/>
      <c r="R20" s="145"/>
      <c r="S20" s="145"/>
      <c r="T20" s="145"/>
      <c r="U20" s="145"/>
      <c r="W20" s="143" t="s">
        <v>340</v>
      </c>
    </row>
    <row r="21" spans="2:23">
      <c r="B21" s="145" t="s">
        <v>502</v>
      </c>
      <c r="C21" s="145"/>
      <c r="D21" s="261"/>
      <c r="E21" s="261">
        <v>0</v>
      </c>
      <c r="F21" s="261">
        <v>0</v>
      </c>
      <c r="G21" s="261">
        <v>0</v>
      </c>
      <c r="H21" s="261">
        <v>0</v>
      </c>
      <c r="I21" s="261">
        <v>0</v>
      </c>
      <c r="J21" s="261">
        <v>0.2</v>
      </c>
      <c r="K21" s="261">
        <v>0.2</v>
      </c>
      <c r="L21" s="261">
        <v>0.2</v>
      </c>
      <c r="M21" s="261">
        <v>0.2</v>
      </c>
      <c r="N21" s="261">
        <v>0.2</v>
      </c>
      <c r="O21" s="261">
        <v>0</v>
      </c>
      <c r="P21" s="261">
        <v>0</v>
      </c>
      <c r="Q21" s="261">
        <v>0</v>
      </c>
      <c r="R21" s="261">
        <v>0</v>
      </c>
      <c r="S21" s="261">
        <v>0</v>
      </c>
      <c r="T21" s="145"/>
      <c r="U21" s="145"/>
      <c r="W21" s="143" t="s">
        <v>340</v>
      </c>
    </row>
    <row r="22" spans="2:23">
      <c r="B22" s="145" t="s">
        <v>506</v>
      </c>
      <c r="C22" s="145"/>
      <c r="D22" s="290">
        <f>IF($C$4="YES",HBU!D58*D19,0)</f>
        <v>0</v>
      </c>
      <c r="E22" s="290">
        <f>IF($C$4="YES",HBU!E58*E19,0)</f>
        <v>179797626.85138977</v>
      </c>
      <c r="F22" s="290">
        <f>IF($C$4="YES",HBU!F58*F19,0)</f>
        <v>230626184.06630057</v>
      </c>
      <c r="G22" s="290">
        <f>IF($C$4="YES",HBU!G58*G19,0)</f>
        <v>261168357.48180643</v>
      </c>
      <c r="H22" s="290">
        <f>IF($C$4="YES",HBU!H58*H19,0)</f>
        <v>280745631.08283359</v>
      </c>
      <c r="I22" s="290">
        <f>IF($C$4="YES",HBU!I58*I19,0)</f>
        <v>297868898.07500565</v>
      </c>
      <c r="J22" s="290">
        <f>IF($C$4="YES",HBU!J58*J19,0)</f>
        <v>304785557.79409593</v>
      </c>
      <c r="K22" s="290">
        <f>IF($C$4="YES",HBU!K58*K19,0)</f>
        <v>312895228.52082425</v>
      </c>
      <c r="L22" s="290">
        <f>IF($C$4="YES",HBU!L58*L19,0)</f>
        <v>319109893.65825671</v>
      </c>
      <c r="M22" s="290">
        <f>IF($C$4="YES",HBU!M58*M19,0)</f>
        <v>326525622.91539729</v>
      </c>
      <c r="N22" s="290">
        <f>IF($C$4="YES",HBU!N58*N19,0)</f>
        <v>334115940.48356414</v>
      </c>
      <c r="O22" s="290">
        <f>IF($C$4="YES",HBU!O58*O19,0)</f>
        <v>0</v>
      </c>
      <c r="P22" s="290">
        <f>IF($C$4="YES",HBU!P58*P19,0)</f>
        <v>0</v>
      </c>
      <c r="Q22" s="290">
        <f>IF($C$4="YES",HBU!Q58*Q19,0)</f>
        <v>0</v>
      </c>
      <c r="R22" s="290">
        <f>IF($C$4="YES",HBU!R58*R19,0)</f>
        <v>0</v>
      </c>
      <c r="S22" s="290">
        <f>IF($C$4="YES",HBU!S58*S19,0)</f>
        <v>0</v>
      </c>
      <c r="T22" s="145"/>
      <c r="U22" s="290">
        <f t="shared" ref="U22" si="3">SUM(D22:S22)</f>
        <v>2847638940.9294739</v>
      </c>
      <c r="W22" s="143" t="s">
        <v>340</v>
      </c>
    </row>
    <row r="23" spans="2:23">
      <c r="B23" s="145"/>
      <c r="C23" s="145"/>
      <c r="D23" s="145"/>
      <c r="E23" s="145"/>
      <c r="F23" s="145"/>
      <c r="G23" s="145"/>
      <c r="H23" s="145"/>
      <c r="I23" s="145"/>
      <c r="J23" s="145"/>
      <c r="K23" s="145"/>
      <c r="L23" s="145"/>
      <c r="M23" s="145"/>
      <c r="N23" s="145"/>
      <c r="O23" s="145"/>
      <c r="P23" s="145"/>
      <c r="Q23" s="145"/>
      <c r="R23" s="145"/>
      <c r="S23" s="145"/>
      <c r="T23" s="145"/>
      <c r="U23" s="145"/>
      <c r="W23" s="143" t="s">
        <v>340</v>
      </c>
    </row>
    <row r="24" spans="2:23">
      <c r="B24" s="177" t="s">
        <v>428</v>
      </c>
      <c r="C24" s="178"/>
      <c r="D24" s="179"/>
      <c r="E24" s="179"/>
      <c r="F24" s="179"/>
      <c r="G24" s="179"/>
      <c r="H24" s="179"/>
      <c r="I24" s="179"/>
      <c r="J24" s="179"/>
      <c r="K24" s="179"/>
      <c r="L24" s="179"/>
      <c r="M24" s="179"/>
      <c r="N24" s="179"/>
      <c r="O24" s="179"/>
      <c r="P24" s="179"/>
      <c r="Q24" s="179"/>
      <c r="R24" s="179"/>
      <c r="S24" s="179"/>
      <c r="U24" s="179"/>
      <c r="W24" s="143" t="s">
        <v>340</v>
      </c>
    </row>
    <row r="25" spans="2:23">
      <c r="B25" s="162" t="s">
        <v>423</v>
      </c>
      <c r="C25" s="171" t="s">
        <v>437</v>
      </c>
      <c r="D25" s="163">
        <f t="shared" ref="D25:S25" si="4">D3</f>
        <v>46022</v>
      </c>
      <c r="E25" s="163">
        <f t="shared" si="4"/>
        <v>46387</v>
      </c>
      <c r="F25" s="163">
        <f t="shared" si="4"/>
        <v>46752</v>
      </c>
      <c r="G25" s="163">
        <f t="shared" si="4"/>
        <v>47118</v>
      </c>
      <c r="H25" s="163">
        <f t="shared" si="4"/>
        <v>47483</v>
      </c>
      <c r="I25" s="163">
        <f t="shared" si="4"/>
        <v>47848</v>
      </c>
      <c r="J25" s="163">
        <f t="shared" si="4"/>
        <v>48213</v>
      </c>
      <c r="K25" s="163">
        <f t="shared" si="4"/>
        <v>48579</v>
      </c>
      <c r="L25" s="163">
        <f t="shared" si="4"/>
        <v>48944</v>
      </c>
      <c r="M25" s="163">
        <f t="shared" si="4"/>
        <v>49309</v>
      </c>
      <c r="N25" s="163">
        <f t="shared" si="4"/>
        <v>49674</v>
      </c>
      <c r="O25" s="163">
        <f t="shared" si="4"/>
        <v>50040</v>
      </c>
      <c r="P25" s="163">
        <f t="shared" si="4"/>
        <v>50405</v>
      </c>
      <c r="Q25" s="163">
        <f t="shared" si="4"/>
        <v>50770</v>
      </c>
      <c r="R25" s="163">
        <f t="shared" si="4"/>
        <v>51135</v>
      </c>
      <c r="S25" s="163">
        <f t="shared" si="4"/>
        <v>51501</v>
      </c>
      <c r="U25" s="163"/>
      <c r="W25" s="143" t="s">
        <v>340</v>
      </c>
    </row>
    <row r="26" spans="2:23">
      <c r="B26" s="138"/>
      <c r="D26" s="170"/>
      <c r="E26" s="170"/>
      <c r="F26" s="170"/>
      <c r="G26" s="170"/>
      <c r="H26" s="170"/>
      <c r="I26" s="170"/>
      <c r="J26" s="170"/>
      <c r="K26" s="170"/>
      <c r="L26" s="170"/>
      <c r="M26" s="170"/>
      <c r="N26" s="170"/>
      <c r="O26" s="170"/>
      <c r="P26" s="170"/>
      <c r="Q26" s="170"/>
      <c r="R26" s="170"/>
      <c r="S26" s="170"/>
      <c r="U26" s="170"/>
      <c r="W26" s="143" t="s">
        <v>340</v>
      </c>
    </row>
    <row r="27" spans="2:23">
      <c r="B27" s="164" t="s">
        <v>457</v>
      </c>
      <c r="C27" s="143" t="s">
        <v>438</v>
      </c>
      <c r="D27" s="191">
        <f>IF($C$5="YES",HBU!D35*D$19,0)</f>
        <v>0</v>
      </c>
      <c r="E27" s="191">
        <f>IF($C$5="YES",HBU!E35*E$19,0)</f>
        <v>246658000</v>
      </c>
      <c r="F27" s="191">
        <f>IF($C$5="YES",HBU!F35*F$19,0)</f>
        <v>1005131000</v>
      </c>
      <c r="G27" s="191">
        <f>IF($C$5="YES",HBU!G35*G$19,0)</f>
        <v>1494087000</v>
      </c>
      <c r="H27" s="191">
        <f>IF($C$5="YES",HBU!H35*H$19,0)</f>
        <v>1643292000</v>
      </c>
      <c r="I27" s="191">
        <f>IF($C$5="YES",HBU!I35*I$19,0)</f>
        <v>1284553000</v>
      </c>
      <c r="J27" s="191">
        <f>IF($C$5="YES",HBU!J35*J$19,0)</f>
        <v>1458996000</v>
      </c>
      <c r="K27" s="191">
        <f>IF($C$5="YES",HBU!K35*K$19,0)</f>
        <v>320577000</v>
      </c>
      <c r="L27" s="191">
        <f>IF($C$5="YES",HBU!L35*L$19,0)</f>
        <v>0</v>
      </c>
      <c r="M27" s="191">
        <f>IF($C$5="YES",HBU!M35*M$19,0)</f>
        <v>0</v>
      </c>
      <c r="N27" s="191">
        <f>IF($C$5="YES",HBU!N35*N$19,0)</f>
        <v>0</v>
      </c>
      <c r="O27" s="191">
        <f>IF($C$5="YES",HBU!O35*O$19,0)</f>
        <v>0</v>
      </c>
      <c r="P27" s="191">
        <f>IF($C$5="YES",HBU!P35*P$19,0)</f>
        <v>0</v>
      </c>
      <c r="Q27" s="191">
        <f>IF($C$5="YES",HBU!Q35*Q$19,0)</f>
        <v>0</v>
      </c>
      <c r="R27" s="191">
        <f>IF($C$5="YES",HBU!R35*R$19,0)</f>
        <v>0</v>
      </c>
      <c r="S27" s="191">
        <f>IF($C$5="YES",HBU!S35*S$19,0)</f>
        <v>0</v>
      </c>
      <c r="U27" s="191">
        <f t="shared" ref="U27:U28" si="5">SUM(D27:S27)</f>
        <v>7453294000</v>
      </c>
      <c r="W27" s="143" t="s">
        <v>340</v>
      </c>
    </row>
    <row r="28" spans="2:23">
      <c r="B28" s="164" t="s">
        <v>422</v>
      </c>
      <c r="C28" s="143" t="s">
        <v>438</v>
      </c>
      <c r="D28" s="191">
        <f>IF($C$5="YES",-HBU!D37*D19,0)</f>
        <v>0</v>
      </c>
      <c r="E28" s="191">
        <f>IF($C$5="YES",-HBU!E37*E19,0)</f>
        <v>-80436000</v>
      </c>
      <c r="F28" s="191">
        <f>IF($C$5="YES",-HBU!F37*F19,0)</f>
        <v>-480860000</v>
      </c>
      <c r="G28" s="191">
        <f>IF($C$5="YES",-HBU!G37*G19,0)</f>
        <v>-967249000</v>
      </c>
      <c r="H28" s="191">
        <f>IF($C$5="YES",-HBU!H37*H19,0)</f>
        <v>-1025077000</v>
      </c>
      <c r="I28" s="191">
        <f>IF($C$5="YES",-HBU!I37*I19,0)</f>
        <v>-812196000</v>
      </c>
      <c r="J28" s="191">
        <f>IF($C$5="YES",-HBU!J37*J19,0)</f>
        <v>-933085000</v>
      </c>
      <c r="K28" s="191">
        <f>IF($C$5="YES",-HBU!K37*K19,0)</f>
        <v>-188838000</v>
      </c>
      <c r="L28" s="191">
        <f>IF($C$5="YES",-HBU!L37*L19,0)</f>
        <v>0</v>
      </c>
      <c r="M28" s="191">
        <f>IF($C$5="YES",-HBU!M37*M19,0)</f>
        <v>0</v>
      </c>
      <c r="N28" s="191">
        <f>IF($C$5="YES",-HBU!N37*N19,0)</f>
        <v>0</v>
      </c>
      <c r="O28" s="191">
        <f>IF($C$5="YES",-HBU!O37*O19,0)</f>
        <v>0</v>
      </c>
      <c r="P28" s="191">
        <f>IF($C$5="YES",-HBU!P37*P19,0)</f>
        <v>0</v>
      </c>
      <c r="Q28" s="191">
        <f>IF($C$5="YES",-HBU!Q37*Q19,0)</f>
        <v>0</v>
      </c>
      <c r="R28" s="191">
        <f>IF($C$5="YES",-HBU!R37*R19,0)</f>
        <v>0</v>
      </c>
      <c r="S28" s="191">
        <f>IF($C$5="YES",-HBU!S37*S19,0)</f>
        <v>0</v>
      </c>
      <c r="U28" s="191">
        <f t="shared" si="5"/>
        <v>-4487741000</v>
      </c>
      <c r="W28" s="143" t="s">
        <v>340</v>
      </c>
    </row>
    <row r="29" spans="2:23">
      <c r="B29" s="164" t="s">
        <v>468</v>
      </c>
      <c r="C29" s="143" t="s">
        <v>438</v>
      </c>
      <c r="D29" s="191">
        <f>IF($C$5="YES",HBU!D28*D$19,0)</f>
        <v>0</v>
      </c>
      <c r="E29" s="191">
        <f>IF($C$5="YES",HBU!E28*E$19,0)</f>
        <v>0</v>
      </c>
      <c r="F29" s="191">
        <f>IF($C$5="YES",HBU!F28*F$19,0)</f>
        <v>0</v>
      </c>
      <c r="G29" s="191">
        <f>IF($C$5="YES",HBU!G28*G$19,0)</f>
        <v>0</v>
      </c>
      <c r="H29" s="191">
        <f>IF($C$5="YES",HBU!H28*H$19,0)</f>
        <v>0</v>
      </c>
      <c r="I29" s="191">
        <f>IF($C$5="YES",HBU!I28*I$19,0)</f>
        <v>2915000</v>
      </c>
      <c r="J29" s="191">
        <f>IF($C$5="YES",HBU!J28*J$19,0)</f>
        <v>3736000</v>
      </c>
      <c r="K29" s="191">
        <f>IF($C$5="YES",HBU!K28*K$19,0)</f>
        <v>5029000</v>
      </c>
      <c r="L29" s="191">
        <f>IF($C$5="YES",HBU!L28*L$19,0)</f>
        <v>5194000</v>
      </c>
      <c r="M29" s="191">
        <f>IF($C$5="YES",HBU!M28*M$19,0)</f>
        <v>5455000</v>
      </c>
      <c r="N29" s="191">
        <f>IF($C$5="YES",HBU!N28*N$19,0)</f>
        <v>5493000</v>
      </c>
      <c r="O29" s="191">
        <f>IF($C$5="YES",HBU!O28*O$19,0)</f>
        <v>0</v>
      </c>
      <c r="P29" s="191">
        <f>IF($C$5="YES",HBU!P28*P$19,0)</f>
        <v>0</v>
      </c>
      <c r="Q29" s="191">
        <f>IF($C$5="YES",HBU!Q28*Q$19,0)</f>
        <v>0</v>
      </c>
      <c r="R29" s="191">
        <f>IF($C$5="YES",HBU!R28*R$19,0)</f>
        <v>0</v>
      </c>
      <c r="S29" s="191">
        <f>IF($C$5="YES",HBU!S28*S$19,0)</f>
        <v>0</v>
      </c>
      <c r="U29" s="191">
        <f t="shared" ref="U29:U33" si="6">SUM(D29:S29)</f>
        <v>27822000</v>
      </c>
      <c r="W29" s="143" t="s">
        <v>340</v>
      </c>
    </row>
    <row r="30" spans="2:23">
      <c r="B30" s="164" t="s">
        <v>467</v>
      </c>
      <c r="C30" s="143"/>
      <c r="D30" s="191">
        <f>IF($C$5="YES",HBU!D41*D$19,0)</f>
        <v>0</v>
      </c>
      <c r="E30" s="191">
        <f>IF($C$5="YES",HBU!E41*E$19,0)</f>
        <v>0</v>
      </c>
      <c r="F30" s="191">
        <f>IF($C$5="YES",HBU!F41*F$19,0)</f>
        <v>0</v>
      </c>
      <c r="G30" s="191">
        <f>IF($C$5="YES",HBU!G41*G$19,0)</f>
        <v>0</v>
      </c>
      <c r="H30" s="191">
        <f>IF($C$5="YES",HBU!H41*H$19,0)</f>
        <v>0</v>
      </c>
      <c r="I30" s="191">
        <f>IF($C$5="YES",HBU!I41*I$19,0)</f>
        <v>35863000</v>
      </c>
      <c r="J30" s="191">
        <f>IF($C$5="YES",HBU!J41*J$19,0)</f>
        <v>39824000</v>
      </c>
      <c r="K30" s="191">
        <f>IF($C$5="YES",HBU!K41*K$19,0)</f>
        <v>44639000</v>
      </c>
      <c r="L30" s="191">
        <f>IF($C$5="YES",HBU!L41*L$19,0)</f>
        <v>45630000</v>
      </c>
      <c r="M30" s="191">
        <f>IF($C$5="YES",HBU!M41*M$19,0)</f>
        <v>46770000</v>
      </c>
      <c r="N30" s="191">
        <f>IF($C$5="YES",HBU!N41*N$19,0)</f>
        <v>47940000</v>
      </c>
      <c r="O30" s="191">
        <f>IF($C$5="YES",HBU!O41*O$19,0)</f>
        <v>0</v>
      </c>
      <c r="P30" s="191">
        <f>IF($C$5="YES",HBU!P41*P$19,0)</f>
        <v>0</v>
      </c>
      <c r="Q30" s="191">
        <f>IF($C$5="YES",HBU!Q41*Q$19,0)</f>
        <v>0</v>
      </c>
      <c r="R30" s="191">
        <f>IF($C$5="YES",HBU!R41*R$19,0)</f>
        <v>0</v>
      </c>
      <c r="S30" s="191">
        <f>IF($C$5="YES",HBU!S41*S$19,0)</f>
        <v>0</v>
      </c>
      <c r="U30" s="191">
        <f t="shared" si="6"/>
        <v>260666000</v>
      </c>
      <c r="W30" s="143" t="s">
        <v>340</v>
      </c>
    </row>
    <row r="31" spans="2:23">
      <c r="B31" s="164" t="s">
        <v>472</v>
      </c>
      <c r="C31" s="143"/>
      <c r="D31" s="236">
        <f t="shared" ref="D31:S31" si="7">SUM(D27:D30)</f>
        <v>0</v>
      </c>
      <c r="E31" s="236">
        <f t="shared" si="7"/>
        <v>166222000</v>
      </c>
      <c r="F31" s="236">
        <f t="shared" si="7"/>
        <v>524271000</v>
      </c>
      <c r="G31" s="236">
        <f t="shared" si="7"/>
        <v>526838000</v>
      </c>
      <c r="H31" s="236">
        <f t="shared" si="7"/>
        <v>618215000</v>
      </c>
      <c r="I31" s="236">
        <f t="shared" si="7"/>
        <v>511135000</v>
      </c>
      <c r="J31" s="236">
        <f t="shared" si="7"/>
        <v>569471000</v>
      </c>
      <c r="K31" s="236">
        <f t="shared" si="7"/>
        <v>181407000</v>
      </c>
      <c r="L31" s="236">
        <f t="shared" si="7"/>
        <v>50824000</v>
      </c>
      <c r="M31" s="236">
        <f t="shared" si="7"/>
        <v>52225000</v>
      </c>
      <c r="N31" s="236">
        <f t="shared" si="7"/>
        <v>53433000</v>
      </c>
      <c r="O31" s="236">
        <f t="shared" si="7"/>
        <v>0</v>
      </c>
      <c r="P31" s="236">
        <f t="shared" si="7"/>
        <v>0</v>
      </c>
      <c r="Q31" s="236">
        <f t="shared" si="7"/>
        <v>0</v>
      </c>
      <c r="R31" s="236">
        <f t="shared" si="7"/>
        <v>0</v>
      </c>
      <c r="S31" s="236">
        <f t="shared" si="7"/>
        <v>0</v>
      </c>
      <c r="U31" s="236">
        <f t="shared" si="6"/>
        <v>3254041000</v>
      </c>
      <c r="W31" s="143" t="s">
        <v>340</v>
      </c>
    </row>
    <row r="32" spans="2:23">
      <c r="B32" s="164" t="s">
        <v>473</v>
      </c>
      <c r="C32" s="143" t="s">
        <v>443</v>
      </c>
      <c r="D32" s="191">
        <f>D22*(1-SUM($C$21:C21))*D19</f>
        <v>0</v>
      </c>
      <c r="E32" s="191">
        <f>E22*(1-SUM($C$21:D21))*E19</f>
        <v>179797626.85138977</v>
      </c>
      <c r="F32" s="191">
        <f>F22*(1-SUM($C$21:E21))*F19</f>
        <v>230626184.06630057</v>
      </c>
      <c r="G32" s="191">
        <f>G22*(1-SUM($C$21:F21))*G19</f>
        <v>261168357.48180643</v>
      </c>
      <c r="H32" s="191">
        <f>H22*(1-SUM($C$21:G21))*H19</f>
        <v>280745631.08283359</v>
      </c>
      <c r="I32" s="191">
        <f>I22*(1-SUM($C$21:H21))*I19</f>
        <v>297868898.07500565</v>
      </c>
      <c r="J32" s="191">
        <f>J22*(1-SUM($C$21:I21))*J19</f>
        <v>304785557.79409593</v>
      </c>
      <c r="K32" s="191">
        <f>K22*(1-SUM($C$21:J21))*K19</f>
        <v>250316182.81665942</v>
      </c>
      <c r="L32" s="191">
        <f>L22*(1-SUM($C$21:K21))*L19</f>
        <v>191465936.19495401</v>
      </c>
      <c r="M32" s="191">
        <f>M22*(1-SUM($C$21:L21))*M19</f>
        <v>130610249.16615888</v>
      </c>
      <c r="N32" s="191">
        <f>N22*(1-SUM($C$21:M21))*N19</f>
        <v>66823188.096712813</v>
      </c>
      <c r="O32" s="191">
        <f>O22*(1-SUM($C$21:N21))*O19</f>
        <v>0</v>
      </c>
      <c r="P32" s="191">
        <f>P22*(1-SUM($C$21:O21))*P19</f>
        <v>0</v>
      </c>
      <c r="Q32" s="191">
        <f>Q22*(1-SUM($C$21:P21))*Q19</f>
        <v>0</v>
      </c>
      <c r="R32" s="191">
        <f>R22*(1-SUM($C$21:Q21))*R19</f>
        <v>0</v>
      </c>
      <c r="S32" s="191">
        <f>S22*(1-SUM($C$21:R21))*S19</f>
        <v>0</v>
      </c>
      <c r="U32" s="191">
        <f t="shared" si="6"/>
        <v>2194207811.625917</v>
      </c>
      <c r="W32" s="143" t="s">
        <v>340</v>
      </c>
    </row>
    <row r="33" spans="2:24">
      <c r="B33" s="164" t="s">
        <v>474</v>
      </c>
      <c r="C33" s="143" t="s">
        <v>439</v>
      </c>
      <c r="D33" s="238">
        <f>IF($C$4="YES",HBU!D61,0)*D19</f>
        <v>0</v>
      </c>
      <c r="E33" s="238">
        <f>IF($C$4="YES",HBU!E61,0)*E19</f>
        <v>4166666.6666666665</v>
      </c>
      <c r="F33" s="238">
        <f>IF($C$4="YES",HBU!F61,0)*F19</f>
        <v>4166666.6666666665</v>
      </c>
      <c r="G33" s="238">
        <f>IF($C$4="YES",HBU!G61,0)*G19</f>
        <v>4375000</v>
      </c>
      <c r="H33" s="238">
        <f>IF($C$4="YES",HBU!H61,0)*H19</f>
        <v>4593750</v>
      </c>
      <c r="I33" s="238">
        <f>IF($C$4="YES",HBU!I61,0)*I19</f>
        <v>4708593.75</v>
      </c>
      <c r="J33" s="238">
        <f>IF($C$4="YES",HBU!J61,0)*J19</f>
        <v>4826308.59375</v>
      </c>
      <c r="K33" s="238">
        <f>IF($C$4="YES",HBU!K61,0)*K19</f>
        <v>4946966.30859375</v>
      </c>
      <c r="L33" s="238">
        <f>IF($C$4="YES",HBU!L61,0)*L19</f>
        <v>5070640.4663085938</v>
      </c>
      <c r="M33" s="238">
        <f>IF($C$4="YES",HBU!M61,0)*M19</f>
        <v>5197406.4779663086</v>
      </c>
      <c r="N33" s="238">
        <f>IF($C$4="YES",HBU!N61,0)*N19</f>
        <v>5327341.6399154663</v>
      </c>
      <c r="O33" s="238">
        <f>IF($C$4="YES",HBU!O61,0)*O19</f>
        <v>0</v>
      </c>
      <c r="P33" s="238">
        <f>IF($C$4="YES",HBU!P61,0)*P19</f>
        <v>0</v>
      </c>
      <c r="Q33" s="238">
        <f>IF($C$4="YES",HBU!Q61,0)*Q19</f>
        <v>0</v>
      </c>
      <c r="R33" s="238">
        <f>IF($C$4="YES",HBU!R61,0)*R19</f>
        <v>0</v>
      </c>
      <c r="S33" s="238">
        <f>IF($C$4="YES",HBU!S61,0)*S19</f>
        <v>0</v>
      </c>
      <c r="U33" s="238">
        <f t="shared" si="6"/>
        <v>47379340.569867447</v>
      </c>
      <c r="W33" s="143" t="s">
        <v>340</v>
      </c>
    </row>
    <row r="34" spans="2:24">
      <c r="B34" s="138" t="s">
        <v>31</v>
      </c>
      <c r="C34" s="143"/>
      <c r="D34" s="237">
        <f>SUM(D31:D33)</f>
        <v>0</v>
      </c>
      <c r="E34" s="237">
        <f t="shared" ref="E34:S34" si="8">SUM(E31:E33)</f>
        <v>350186293.51805645</v>
      </c>
      <c r="F34" s="237">
        <f t="shared" si="8"/>
        <v>759063850.73296726</v>
      </c>
      <c r="G34" s="237">
        <f t="shared" si="8"/>
        <v>792381357.4818064</v>
      </c>
      <c r="H34" s="237">
        <f t="shared" si="8"/>
        <v>903554381.08283353</v>
      </c>
      <c r="I34" s="237">
        <f t="shared" si="8"/>
        <v>813712491.82500565</v>
      </c>
      <c r="J34" s="237">
        <f t="shared" si="8"/>
        <v>879082866.38784599</v>
      </c>
      <c r="K34" s="237">
        <f t="shared" si="8"/>
        <v>436670149.1252532</v>
      </c>
      <c r="L34" s="237">
        <f t="shared" si="8"/>
        <v>247360576.6612626</v>
      </c>
      <c r="M34" s="237">
        <f t="shared" si="8"/>
        <v>188032655.64412519</v>
      </c>
      <c r="N34" s="237">
        <f t="shared" si="8"/>
        <v>125583529.73662828</v>
      </c>
      <c r="O34" s="237">
        <f t="shared" si="8"/>
        <v>0</v>
      </c>
      <c r="P34" s="237">
        <f t="shared" si="8"/>
        <v>0</v>
      </c>
      <c r="Q34" s="237">
        <f t="shared" si="8"/>
        <v>0</v>
      </c>
      <c r="R34" s="237">
        <f t="shared" si="8"/>
        <v>0</v>
      </c>
      <c r="S34" s="237">
        <f t="shared" si="8"/>
        <v>0</v>
      </c>
      <c r="U34" s="237">
        <f t="shared" ref="U34:U38" si="9">SUM(D34:S34)</f>
        <v>5495628152.1957846</v>
      </c>
      <c r="W34" s="143" t="s">
        <v>340</v>
      </c>
      <c r="X34" s="158"/>
    </row>
    <row r="35" spans="2:24">
      <c r="B35" s="164" t="s">
        <v>427</v>
      </c>
      <c r="C35" s="143"/>
      <c r="D35" s="165">
        <f t="shared" ref="D35:S35" si="10">D56</f>
        <v>0</v>
      </c>
      <c r="E35" s="165">
        <f t="shared" si="10"/>
        <v>-20181661.5</v>
      </c>
      <c r="F35" s="165">
        <f t="shared" si="10"/>
        <v>-57200000</v>
      </c>
      <c r="G35" s="165">
        <f t="shared" si="10"/>
        <v>-57199999.999999993</v>
      </c>
      <c r="H35" s="165">
        <f t="shared" si="10"/>
        <v>-57199999.999999993</v>
      </c>
      <c r="I35" s="165">
        <f t="shared" si="10"/>
        <v>-3814716.9436855419</v>
      </c>
      <c r="J35" s="165">
        <f t="shared" si="10"/>
        <v>0</v>
      </c>
      <c r="K35" s="165">
        <f t="shared" si="10"/>
        <v>0</v>
      </c>
      <c r="L35" s="165">
        <f t="shared" si="10"/>
        <v>0</v>
      </c>
      <c r="M35" s="165">
        <f t="shared" si="10"/>
        <v>0</v>
      </c>
      <c r="N35" s="165">
        <f t="shared" si="10"/>
        <v>0</v>
      </c>
      <c r="O35" s="165">
        <f t="shared" si="10"/>
        <v>0</v>
      </c>
      <c r="P35" s="165">
        <f t="shared" si="10"/>
        <v>0</v>
      </c>
      <c r="Q35" s="165">
        <f t="shared" si="10"/>
        <v>0</v>
      </c>
      <c r="R35" s="165">
        <f t="shared" si="10"/>
        <v>0</v>
      </c>
      <c r="S35" s="165">
        <f t="shared" si="10"/>
        <v>0</v>
      </c>
      <c r="U35" s="165">
        <f t="shared" si="9"/>
        <v>-195596378.44368553</v>
      </c>
      <c r="W35" s="143" t="s">
        <v>340</v>
      </c>
      <c r="X35" s="158"/>
    </row>
    <row r="36" spans="2:24">
      <c r="B36" s="235" t="s">
        <v>39</v>
      </c>
      <c r="C36" s="143"/>
      <c r="D36" s="237">
        <f>SUM(D34:D35)</f>
        <v>0</v>
      </c>
      <c r="E36" s="237">
        <f t="shared" ref="E36:S36" si="11">SUM(E34:E35)</f>
        <v>330004632.01805645</v>
      </c>
      <c r="F36" s="237">
        <f t="shared" si="11"/>
        <v>701863850.73296726</v>
      </c>
      <c r="G36" s="237">
        <f t="shared" si="11"/>
        <v>735181357.4818064</v>
      </c>
      <c r="H36" s="237">
        <f t="shared" si="11"/>
        <v>846354381.08283353</v>
      </c>
      <c r="I36" s="237">
        <f t="shared" si="11"/>
        <v>809897774.88132012</v>
      </c>
      <c r="J36" s="237">
        <f t="shared" si="11"/>
        <v>879082866.38784599</v>
      </c>
      <c r="K36" s="237">
        <f t="shared" si="11"/>
        <v>436670149.1252532</v>
      </c>
      <c r="L36" s="237">
        <f t="shared" si="11"/>
        <v>247360576.6612626</v>
      </c>
      <c r="M36" s="237">
        <f t="shared" si="11"/>
        <v>188032655.64412519</v>
      </c>
      <c r="N36" s="237">
        <f t="shared" si="11"/>
        <v>125583529.73662828</v>
      </c>
      <c r="O36" s="237">
        <f t="shared" si="11"/>
        <v>0</v>
      </c>
      <c r="P36" s="237">
        <f t="shared" si="11"/>
        <v>0</v>
      </c>
      <c r="Q36" s="237">
        <f t="shared" si="11"/>
        <v>0</v>
      </c>
      <c r="R36" s="237">
        <f t="shared" si="11"/>
        <v>0</v>
      </c>
      <c r="S36" s="237">
        <f t="shared" si="11"/>
        <v>0</v>
      </c>
      <c r="U36" s="237">
        <f t="shared" si="9"/>
        <v>5300031773.752099</v>
      </c>
      <c r="W36" s="143" t="s">
        <v>340</v>
      </c>
      <c r="X36" s="158"/>
    </row>
    <row r="37" spans="2:24">
      <c r="B37" s="139" t="s">
        <v>426</v>
      </c>
      <c r="C37" s="143"/>
      <c r="D37" s="165">
        <f t="shared" ref="D37:N37" si="12">IF(D36&gt;0,-D36*$C$16,0)</f>
        <v>0</v>
      </c>
      <c r="E37" s="165">
        <f t="shared" si="12"/>
        <v>-8250115.8004514119</v>
      </c>
      <c r="F37" s="165">
        <f t="shared" si="12"/>
        <v>-17546596.268324181</v>
      </c>
      <c r="G37" s="165">
        <f t="shared" si="12"/>
        <v>-18379533.937045161</v>
      </c>
      <c r="H37" s="165">
        <f t="shared" si="12"/>
        <v>-21158859.527070839</v>
      </c>
      <c r="I37" s="165">
        <f t="shared" si="12"/>
        <v>-20247444.372033004</v>
      </c>
      <c r="J37" s="165">
        <f t="shared" si="12"/>
        <v>-21977071.659696151</v>
      </c>
      <c r="K37" s="165">
        <f t="shared" si="12"/>
        <v>-10916753.728131332</v>
      </c>
      <c r="L37" s="165">
        <f t="shared" si="12"/>
        <v>-6184014.4165315656</v>
      </c>
      <c r="M37" s="165">
        <f t="shared" si="12"/>
        <v>-4700816.3911031298</v>
      </c>
      <c r="N37" s="165">
        <f t="shared" si="12"/>
        <v>-3139588.2434157073</v>
      </c>
      <c r="O37" s="165">
        <f>O34*-0.025</f>
        <v>0</v>
      </c>
      <c r="P37" s="165">
        <f>P34*-0.025</f>
        <v>0</v>
      </c>
      <c r="Q37" s="165">
        <f>Q34*-0.025</f>
        <v>0</v>
      </c>
      <c r="R37" s="165">
        <f t="shared" ref="R37:S37" si="13">R34*-0.025</f>
        <v>0</v>
      </c>
      <c r="S37" s="165">
        <f t="shared" si="13"/>
        <v>0</v>
      </c>
      <c r="U37" s="165">
        <f t="shared" si="9"/>
        <v>-132500794.34380247</v>
      </c>
      <c r="W37" s="143" t="s">
        <v>340</v>
      </c>
      <c r="X37" s="158"/>
    </row>
    <row r="38" spans="2:24">
      <c r="B38" s="138" t="s">
        <v>351</v>
      </c>
      <c r="D38" s="167">
        <f>SUM(D36:D37)</f>
        <v>0</v>
      </c>
      <c r="E38" s="167">
        <f>SUM(E36:E37)</f>
        <v>321754516.21760505</v>
      </c>
      <c r="F38" s="167">
        <f t="shared" ref="F38:S38" si="14">SUM(F36:F37)</f>
        <v>684317254.46464312</v>
      </c>
      <c r="G38" s="167">
        <f t="shared" si="14"/>
        <v>716801823.54476118</v>
      </c>
      <c r="H38" s="167">
        <f t="shared" si="14"/>
        <v>825195521.55576265</v>
      </c>
      <c r="I38" s="167">
        <f t="shared" si="14"/>
        <v>789650330.50928712</v>
      </c>
      <c r="J38" s="167">
        <f t="shared" si="14"/>
        <v>857105794.72814989</v>
      </c>
      <c r="K38" s="167">
        <f t="shared" si="14"/>
        <v>425753395.39712185</v>
      </c>
      <c r="L38" s="167">
        <f t="shared" si="14"/>
        <v>241176562.24473104</v>
      </c>
      <c r="M38" s="167">
        <f t="shared" si="14"/>
        <v>183331839.25302207</v>
      </c>
      <c r="N38" s="167">
        <f t="shared" si="14"/>
        <v>122443941.49321257</v>
      </c>
      <c r="O38" s="167">
        <f t="shared" si="14"/>
        <v>0</v>
      </c>
      <c r="P38" s="167">
        <f t="shared" si="14"/>
        <v>0</v>
      </c>
      <c r="Q38" s="167">
        <f t="shared" si="14"/>
        <v>0</v>
      </c>
      <c r="R38" s="167">
        <f t="shared" si="14"/>
        <v>0</v>
      </c>
      <c r="S38" s="167">
        <f t="shared" si="14"/>
        <v>0</v>
      </c>
      <c r="U38" s="167">
        <f t="shared" si="9"/>
        <v>5167530979.4082966</v>
      </c>
      <c r="W38" s="143" t="s">
        <v>340</v>
      </c>
      <c r="X38" s="158"/>
    </row>
    <row r="39" spans="2:24">
      <c r="B39" s="138"/>
      <c r="D39" s="170"/>
      <c r="E39" s="170"/>
      <c r="F39" s="170"/>
      <c r="G39" s="170"/>
      <c r="H39" s="170"/>
      <c r="I39" s="170"/>
      <c r="J39" s="170"/>
      <c r="K39" s="170"/>
      <c r="L39" s="170"/>
      <c r="M39" s="170"/>
      <c r="N39" s="170"/>
      <c r="O39" s="170"/>
      <c r="P39" s="170"/>
      <c r="Q39" s="170"/>
      <c r="R39" s="170"/>
      <c r="S39" s="170"/>
      <c r="U39" s="170"/>
      <c r="W39" s="143" t="s">
        <v>340</v>
      </c>
    </row>
    <row r="40" spans="2:24">
      <c r="B40" s="162" t="s">
        <v>366</v>
      </c>
      <c r="C40" s="171"/>
      <c r="D40" s="163"/>
      <c r="E40" s="163"/>
      <c r="F40" s="163"/>
      <c r="G40" s="163"/>
      <c r="H40" s="163"/>
      <c r="I40" s="163"/>
      <c r="J40" s="163"/>
      <c r="K40" s="163"/>
      <c r="L40" s="163"/>
      <c r="M40" s="163"/>
      <c r="N40" s="163"/>
      <c r="O40" s="163"/>
      <c r="P40" s="163"/>
      <c r="Q40" s="163"/>
      <c r="R40" s="163"/>
      <c r="S40" s="163"/>
      <c r="U40" s="163"/>
      <c r="W40" s="143" t="s">
        <v>340</v>
      </c>
    </row>
    <row r="41" spans="2:24">
      <c r="D41" s="169"/>
      <c r="E41" s="169"/>
      <c r="F41" s="169"/>
      <c r="G41" s="169"/>
      <c r="H41" s="169"/>
      <c r="I41" s="169"/>
      <c r="J41" s="169"/>
      <c r="K41" s="169"/>
      <c r="L41" s="169"/>
      <c r="M41" s="169"/>
      <c r="N41" s="169"/>
      <c r="O41" s="169"/>
      <c r="P41" s="169"/>
      <c r="Q41" s="169"/>
      <c r="R41" s="169"/>
      <c r="S41" s="169"/>
      <c r="U41" s="169"/>
      <c r="W41" s="143" t="s">
        <v>340</v>
      </c>
    </row>
    <row r="42" spans="2:24" s="138" customFormat="1" ht="12.6">
      <c r="B42" s="138" t="s">
        <v>421</v>
      </c>
      <c r="D42" s="174">
        <f t="shared" ref="D42:S42" si="15">D34*D$19</f>
        <v>0</v>
      </c>
      <c r="E42" s="174">
        <f t="shared" si="15"/>
        <v>350186293.51805645</v>
      </c>
      <c r="F42" s="174">
        <f t="shared" si="15"/>
        <v>759063850.73296726</v>
      </c>
      <c r="G42" s="174">
        <f t="shared" si="15"/>
        <v>792381357.4818064</v>
      </c>
      <c r="H42" s="174">
        <f t="shared" si="15"/>
        <v>903554381.08283353</v>
      </c>
      <c r="I42" s="174">
        <f t="shared" si="15"/>
        <v>813712491.82500565</v>
      </c>
      <c r="J42" s="174">
        <f t="shared" si="15"/>
        <v>879082866.38784599</v>
      </c>
      <c r="K42" s="174">
        <f t="shared" si="15"/>
        <v>436670149.1252532</v>
      </c>
      <c r="L42" s="174">
        <f t="shared" si="15"/>
        <v>247360576.6612626</v>
      </c>
      <c r="M42" s="174">
        <f t="shared" si="15"/>
        <v>188032655.64412519</v>
      </c>
      <c r="N42" s="174">
        <f t="shared" si="15"/>
        <v>125583529.73662828</v>
      </c>
      <c r="O42" s="174">
        <f t="shared" si="15"/>
        <v>0</v>
      </c>
      <c r="P42" s="174">
        <f t="shared" si="15"/>
        <v>0</v>
      </c>
      <c r="Q42" s="174">
        <f t="shared" si="15"/>
        <v>0</v>
      </c>
      <c r="R42" s="174">
        <f t="shared" si="15"/>
        <v>0</v>
      </c>
      <c r="S42" s="174">
        <f t="shared" si="15"/>
        <v>0</v>
      </c>
      <c r="U42" s="174">
        <f t="shared" ref="U42:U54" si="16">SUM(D42:S42)</f>
        <v>5495628152.1957846</v>
      </c>
      <c r="V42" s="143"/>
      <c r="W42" s="143" t="s">
        <v>340</v>
      </c>
    </row>
    <row r="43" spans="2:24">
      <c r="B43" s="139" t="s">
        <v>458</v>
      </c>
      <c r="D43" s="169">
        <f>IF($C$5="YES",-HBU!D33*D$19,0)</f>
        <v>0</v>
      </c>
      <c r="E43" s="169">
        <f>IF($C$5="YES",-HBU!E33*E$19,0)</f>
        <v>-246658000</v>
      </c>
      <c r="F43" s="169">
        <f>IF($C$5="YES",-HBU!F33*F$19,0)</f>
        <v>-1005131000</v>
      </c>
      <c r="G43" s="169">
        <f>IF($C$5="YES",-HBU!G33*G$19,0)</f>
        <v>-1494087000</v>
      </c>
      <c r="H43" s="169">
        <f>IF($C$5="YES",-HBU!H33*H$19,0)</f>
        <v>-1643292000</v>
      </c>
      <c r="I43" s="169">
        <f>IF($C$5="YES",-HBU!I33*I$19,0)</f>
        <v>-1302704000</v>
      </c>
      <c r="J43" s="169">
        <f>IF($C$5="YES",-HBU!J33*J$19,0)</f>
        <v>-1458996000</v>
      </c>
      <c r="K43" s="169">
        <f>IF($C$5="YES",-HBU!K33*K$19,0)</f>
        <v>-333934000</v>
      </c>
      <c r="L43" s="169">
        <f>IF($C$5="YES",-HBU!L33*L$19,0)</f>
        <v>0</v>
      </c>
      <c r="M43" s="169">
        <f>IF($C$5="YES",-HBU!M33*M$19,0)</f>
        <v>0</v>
      </c>
      <c r="N43" s="169">
        <f>IF($C$5="YES",-HBU!N33*N$19,0)</f>
        <v>0</v>
      </c>
      <c r="O43" s="169">
        <f>IF($C$5="YES",-HBU!O33*O$19,0)</f>
        <v>0</v>
      </c>
      <c r="P43" s="169">
        <f>IF($C$5="YES",-HBU!P33*P$19,0)</f>
        <v>0</v>
      </c>
      <c r="Q43" s="169">
        <f>IF($C$5="YES",-HBU!Q33*Q$19,0)</f>
        <v>0</v>
      </c>
      <c r="R43" s="169">
        <f>IF($C$5="YES",-HBU!R33*R$19,0)</f>
        <v>0</v>
      </c>
      <c r="S43" s="169">
        <f>IF($C$5="YES",-HBU!S33*S$19,0)</f>
        <v>0</v>
      </c>
      <c r="U43" s="169">
        <f t="shared" si="16"/>
        <v>-7484802000</v>
      </c>
      <c r="W43" s="143" t="s">
        <v>340</v>
      </c>
    </row>
    <row r="44" spans="2:24">
      <c r="B44" s="139" t="s">
        <v>459</v>
      </c>
      <c r="D44" s="169">
        <f>IF($C$5="YES",(HBU!D53+HBU!D54)*D19,0)</f>
        <v>0</v>
      </c>
      <c r="E44" s="169">
        <f>IF($C$5="YES",(HBU!E53+HBU!E54)*E19,0)</f>
        <v>164439000</v>
      </c>
      <c r="F44" s="169">
        <f>IF($C$5="YES",(HBU!F53+HBU!F54)*F19,0)</f>
        <v>878719000</v>
      </c>
      <c r="G44" s="169">
        <f>IF($C$5="YES",(HBU!G53+HBU!G54)*G19,0)</f>
        <v>1082440000</v>
      </c>
      <c r="H44" s="169">
        <f>IF($C$5="YES",(HBU!H53+HBU!H54)*H19,0)</f>
        <v>1787746000</v>
      </c>
      <c r="I44" s="169">
        <f>IF($C$5="YES",(HBU!I53+HBU!I54)*I19,0)</f>
        <v>1466850000</v>
      </c>
      <c r="J44" s="169">
        <f>IF($C$5="YES",(HBU!J53+HBU!J54)*J19,0)</f>
        <v>1484520000</v>
      </c>
      <c r="K44" s="169">
        <f>IF($C$5="YES",(HBU!K53+HBU!K54)*K19,0)</f>
        <v>620088000</v>
      </c>
      <c r="L44" s="169">
        <f>IF($C$5="YES",(HBU!L53+HBU!L54)*L19,0)</f>
        <v>0</v>
      </c>
      <c r="M44" s="169">
        <f>IF($C$5="YES",(HBU!M53+HBU!M54)*M19,0)</f>
        <v>0</v>
      </c>
      <c r="N44" s="169">
        <f>IF($C$5="YES",(HBU!N53+HBU!N54)*N19,0)</f>
        <v>0</v>
      </c>
      <c r="O44" s="169">
        <f>IF($C$5="YES",(HBU!O53+HBU!O54)*O19,0)</f>
        <v>0</v>
      </c>
      <c r="P44" s="169">
        <f>IF($C$5="YES",(HBU!P53+HBU!P54)*P19,0)</f>
        <v>0</v>
      </c>
      <c r="Q44" s="169">
        <f>IF($C$5="YES",(HBU!Q53+HBU!Q54)*Q19,0)</f>
        <v>0</v>
      </c>
      <c r="R44" s="169">
        <f>IF($C$5="YES",(HBU!R53+HBU!R54)*R19,0)</f>
        <v>0</v>
      </c>
      <c r="S44" s="169">
        <f>IF($C$5="YES",(HBU!S53+HBU!S54)*S19,0)</f>
        <v>0</v>
      </c>
      <c r="U44" s="169">
        <f t="shared" si="16"/>
        <v>7484802000</v>
      </c>
      <c r="W44" s="143" t="s">
        <v>340</v>
      </c>
    </row>
    <row r="45" spans="2:24">
      <c r="B45" s="139" t="s">
        <v>424</v>
      </c>
      <c r="D45" s="169">
        <f t="shared" ref="D45:S45" si="17">-D28*D19</f>
        <v>0</v>
      </c>
      <c r="E45" s="169">
        <f t="shared" si="17"/>
        <v>80436000</v>
      </c>
      <c r="F45" s="169">
        <f t="shared" si="17"/>
        <v>480860000</v>
      </c>
      <c r="G45" s="169">
        <f t="shared" si="17"/>
        <v>967249000</v>
      </c>
      <c r="H45" s="169">
        <f t="shared" si="17"/>
        <v>1025077000</v>
      </c>
      <c r="I45" s="169">
        <f t="shared" si="17"/>
        <v>812196000</v>
      </c>
      <c r="J45" s="169">
        <f t="shared" si="17"/>
        <v>933085000</v>
      </c>
      <c r="K45" s="169">
        <f t="shared" si="17"/>
        <v>188838000</v>
      </c>
      <c r="L45" s="169">
        <f t="shared" si="17"/>
        <v>0</v>
      </c>
      <c r="M45" s="169">
        <f t="shared" si="17"/>
        <v>0</v>
      </c>
      <c r="N45" s="169">
        <f t="shared" si="17"/>
        <v>0</v>
      </c>
      <c r="O45" s="169">
        <f t="shared" si="17"/>
        <v>0</v>
      </c>
      <c r="P45" s="169">
        <f t="shared" si="17"/>
        <v>0</v>
      </c>
      <c r="Q45" s="169">
        <f t="shared" si="17"/>
        <v>0</v>
      </c>
      <c r="R45" s="169">
        <f t="shared" si="17"/>
        <v>0</v>
      </c>
      <c r="S45" s="169">
        <f t="shared" si="17"/>
        <v>0</v>
      </c>
      <c r="U45" s="169">
        <f t="shared" si="16"/>
        <v>4487741000</v>
      </c>
      <c r="W45" s="143" t="s">
        <v>340</v>
      </c>
    </row>
    <row r="46" spans="2:24">
      <c r="B46" s="139" t="s">
        <v>425</v>
      </c>
      <c r="D46" s="172">
        <f t="shared" ref="D46:O46" si="18">D37*D$19</f>
        <v>0</v>
      </c>
      <c r="E46" s="169">
        <f>E37*E$19</f>
        <v>-8250115.8004514119</v>
      </c>
      <c r="F46" s="169">
        <f t="shared" si="18"/>
        <v>-17546596.268324181</v>
      </c>
      <c r="G46" s="169">
        <f t="shared" si="18"/>
        <v>-18379533.937045161</v>
      </c>
      <c r="H46" s="169">
        <f t="shared" si="18"/>
        <v>-21158859.527070839</v>
      </c>
      <c r="I46" s="169">
        <f t="shared" si="18"/>
        <v>-20247444.372033004</v>
      </c>
      <c r="J46" s="169">
        <f t="shared" si="18"/>
        <v>-21977071.659696151</v>
      </c>
      <c r="K46" s="169">
        <f t="shared" si="18"/>
        <v>-10916753.728131332</v>
      </c>
      <c r="L46" s="169">
        <f t="shared" si="18"/>
        <v>-6184014.4165315656</v>
      </c>
      <c r="M46" s="169">
        <f t="shared" si="18"/>
        <v>-4700816.3911031298</v>
      </c>
      <c r="N46" s="169">
        <f t="shared" si="18"/>
        <v>-3139588.2434157073</v>
      </c>
      <c r="O46" s="169">
        <f t="shared" si="18"/>
        <v>0</v>
      </c>
      <c r="P46" s="169"/>
      <c r="Q46" s="169"/>
      <c r="R46" s="169"/>
      <c r="S46" s="169"/>
      <c r="U46" s="169">
        <f t="shared" si="16"/>
        <v>-132500794.34380247</v>
      </c>
      <c r="W46" s="143" t="s">
        <v>340</v>
      </c>
    </row>
    <row r="47" spans="2:24">
      <c r="B47" s="139" t="s">
        <v>367</v>
      </c>
      <c r="D47" s="172">
        <f>E47/E42*D42</f>
        <v>0</v>
      </c>
      <c r="E47" s="169">
        <f>HBU!E59*E19</f>
        <v>-1878244.3264266383</v>
      </c>
      <c r="F47" s="169">
        <f>HBU!F59*F19</f>
        <v>-2200314.0807351768</v>
      </c>
      <c r="G47" s="169">
        <f>HBU!G59*G19</f>
        <v>-1345640.7725451607</v>
      </c>
      <c r="H47" s="169">
        <f>HBU!H59*H19</f>
        <v>-892057.14478849992</v>
      </c>
      <c r="I47" s="169">
        <f>HBU!I59*I19</f>
        <v>-778447.36302176863</v>
      </c>
      <c r="J47" s="169">
        <f>HBU!J59*J19</f>
        <v>-348317.32752002776</v>
      </c>
      <c r="K47" s="169">
        <f>HBU!K59*K19</f>
        <v>-399750.09616489708</v>
      </c>
      <c r="L47" s="169">
        <f>HBU!L59*L19</f>
        <v>-321102.71434030682</v>
      </c>
      <c r="M47" s="169">
        <f>HBU!M59*M19</f>
        <v>-372908.24069460109</v>
      </c>
      <c r="N47" s="169">
        <f>HBU!N59*N19</f>
        <v>-381485.13023058325</v>
      </c>
      <c r="O47" s="169">
        <f>HBU!O59*O19</f>
        <v>0</v>
      </c>
      <c r="P47" s="169">
        <f>HBU!P59*P19</f>
        <v>0</v>
      </c>
      <c r="Q47" s="169">
        <f>HBU!Q59*Q19</f>
        <v>0</v>
      </c>
      <c r="R47" s="169">
        <f>HBU!R59*R19</f>
        <v>0</v>
      </c>
      <c r="S47" s="169">
        <f>HBU!S59*S19</f>
        <v>0</v>
      </c>
      <c r="U47" s="169">
        <f t="shared" si="16"/>
        <v>-8918267.1964676604</v>
      </c>
      <c r="W47" s="143" t="s">
        <v>340</v>
      </c>
    </row>
    <row r="48" spans="2:24">
      <c r="B48" s="166" t="s">
        <v>440</v>
      </c>
      <c r="C48" s="166"/>
      <c r="D48" s="173">
        <f>SUM(D42:D47)</f>
        <v>0</v>
      </c>
      <c r="E48" s="173">
        <f t="shared" ref="E48:S48" si="19">SUM(E42:E47)</f>
        <v>338274933.39117843</v>
      </c>
      <c r="F48" s="173">
        <f t="shared" si="19"/>
        <v>1093764940.383908</v>
      </c>
      <c r="G48" s="173">
        <f t="shared" si="19"/>
        <v>1328258182.7722161</v>
      </c>
      <c r="H48" s="173">
        <f t="shared" si="19"/>
        <v>2051034464.4109743</v>
      </c>
      <c r="I48" s="173">
        <f t="shared" si="19"/>
        <v>1769028600.0899506</v>
      </c>
      <c r="J48" s="173">
        <f t="shared" si="19"/>
        <v>1815366477.4006298</v>
      </c>
      <c r="K48" s="173">
        <f t="shared" si="19"/>
        <v>900345645.30095696</v>
      </c>
      <c r="L48" s="173">
        <f t="shared" si="19"/>
        <v>240855459.53039074</v>
      </c>
      <c r="M48" s="173">
        <f t="shared" si="19"/>
        <v>182958931.01232746</v>
      </c>
      <c r="N48" s="173">
        <f t="shared" si="19"/>
        <v>122062456.36298198</v>
      </c>
      <c r="O48" s="173">
        <f t="shared" si="19"/>
        <v>0</v>
      </c>
      <c r="P48" s="173">
        <f t="shared" si="19"/>
        <v>0</v>
      </c>
      <c r="Q48" s="173">
        <f t="shared" si="19"/>
        <v>0</v>
      </c>
      <c r="R48" s="173">
        <f t="shared" si="19"/>
        <v>0</v>
      </c>
      <c r="S48" s="173">
        <f t="shared" si="19"/>
        <v>0</v>
      </c>
      <c r="T48" s="138"/>
      <c r="U48" s="173">
        <f t="shared" ref="U48" si="20">SUM(U41:U47)</f>
        <v>9841950090.6555138</v>
      </c>
      <c r="W48" s="143" t="s">
        <v>340</v>
      </c>
    </row>
    <row r="49" spans="2:23">
      <c r="B49" s="138"/>
      <c r="C49" s="138"/>
      <c r="D49" s="174"/>
      <c r="E49" s="174"/>
      <c r="F49" s="174"/>
      <c r="G49" s="174"/>
      <c r="H49" s="174"/>
      <c r="I49" s="174"/>
      <c r="J49" s="174"/>
      <c r="K49" s="174"/>
      <c r="L49" s="174"/>
      <c r="M49" s="174"/>
      <c r="N49" s="174"/>
      <c r="O49" s="174"/>
      <c r="P49" s="174"/>
      <c r="Q49" s="174"/>
      <c r="R49" s="174"/>
      <c r="S49" s="174"/>
      <c r="U49" s="174"/>
      <c r="W49" s="143" t="s">
        <v>340</v>
      </c>
    </row>
    <row r="50" spans="2:23">
      <c r="B50" s="139" t="s">
        <v>460</v>
      </c>
      <c r="C50" s="144"/>
      <c r="D50" s="172">
        <f t="shared" ref="D50:S50" si="21">-D69*D$19</f>
        <v>0</v>
      </c>
      <c r="E50" s="172">
        <f t="shared" si="21"/>
        <v>-282261000</v>
      </c>
      <c r="F50" s="169">
        <f t="shared" si="21"/>
        <v>-641365000</v>
      </c>
      <c r="G50" s="169">
        <f t="shared" si="21"/>
        <v>-1489344000</v>
      </c>
      <c r="H50" s="169">
        <f t="shared" si="21"/>
        <v>-660205000</v>
      </c>
      <c r="I50" s="169">
        <f t="shared" si="21"/>
        <v>-445761000</v>
      </c>
      <c r="J50" s="169">
        <f t="shared" si="21"/>
        <v>-186846000</v>
      </c>
      <c r="K50" s="169">
        <f t="shared" si="21"/>
        <v>0</v>
      </c>
      <c r="L50" s="169">
        <f t="shared" si="21"/>
        <v>0</v>
      </c>
      <c r="M50" s="169">
        <f t="shared" si="21"/>
        <v>0</v>
      </c>
      <c r="N50" s="169">
        <f t="shared" si="21"/>
        <v>0</v>
      </c>
      <c r="O50" s="169">
        <f t="shared" si="21"/>
        <v>0</v>
      </c>
      <c r="P50" s="169">
        <f t="shared" si="21"/>
        <v>0</v>
      </c>
      <c r="Q50" s="169">
        <f t="shared" si="21"/>
        <v>0</v>
      </c>
      <c r="R50" s="169">
        <f t="shared" si="21"/>
        <v>0</v>
      </c>
      <c r="S50" s="169">
        <f t="shared" si="21"/>
        <v>0</v>
      </c>
      <c r="U50" s="169">
        <f t="shared" si="16"/>
        <v>-3705782000</v>
      </c>
      <c r="W50" s="143" t="s">
        <v>340</v>
      </c>
    </row>
    <row r="51" spans="2:23">
      <c r="B51" s="139" t="s">
        <v>469</v>
      </c>
      <c r="C51" s="144"/>
      <c r="D51" s="172">
        <f t="shared" ref="D51:S51" si="22">-D70*D$19</f>
        <v>0</v>
      </c>
      <c r="E51" s="169">
        <f t="shared" si="22"/>
        <v>-14881659.319499997</v>
      </c>
      <c r="F51" s="169">
        <f t="shared" si="22"/>
        <v>-17006295.827178244</v>
      </c>
      <c r="G51" s="169">
        <f t="shared" si="22"/>
        <v>-17154495.376949482</v>
      </c>
      <c r="H51" s="169">
        <f t="shared" si="22"/>
        <v>-17304738.843584977</v>
      </c>
      <c r="I51" s="169">
        <f t="shared" si="22"/>
        <v>-17457063.691782441</v>
      </c>
      <c r="J51" s="169">
        <f t="shared" si="22"/>
        <v>-17611508.154067267</v>
      </c>
      <c r="K51" s="169">
        <f t="shared" si="22"/>
        <v>-14214488.997847863</v>
      </c>
      <c r="L51" s="169">
        <f t="shared" si="22"/>
        <v>-10756147.673766557</v>
      </c>
      <c r="M51" s="169">
        <f t="shared" si="22"/>
        <v>-7235181.3670255961</v>
      </c>
      <c r="N51" s="169">
        <f t="shared" si="22"/>
        <v>-3650254.9207805325</v>
      </c>
      <c r="O51" s="169">
        <f t="shared" si="22"/>
        <v>0</v>
      </c>
      <c r="P51" s="169">
        <f t="shared" si="22"/>
        <v>0</v>
      </c>
      <c r="Q51" s="169">
        <f t="shared" si="22"/>
        <v>0</v>
      </c>
      <c r="R51" s="169">
        <f t="shared" si="22"/>
        <v>0</v>
      </c>
      <c r="S51" s="169">
        <f t="shared" si="22"/>
        <v>0</v>
      </c>
      <c r="U51" s="169">
        <f t="shared" si="16"/>
        <v>-137271834.17248294</v>
      </c>
      <c r="W51" s="143" t="s">
        <v>340</v>
      </c>
    </row>
    <row r="52" spans="2:23">
      <c r="B52" s="139" t="s">
        <v>504</v>
      </c>
      <c r="C52" s="144"/>
      <c r="D52" s="172">
        <f t="shared" ref="D52:S52" si="23">D113</f>
        <v>0</v>
      </c>
      <c r="E52" s="172">
        <f t="shared" si="23"/>
        <v>0</v>
      </c>
      <c r="F52" s="172">
        <f t="shared" si="23"/>
        <v>0</v>
      </c>
      <c r="G52" s="172">
        <f t="shared" si="23"/>
        <v>0</v>
      </c>
      <c r="H52" s="172">
        <f t="shared" si="23"/>
        <v>0</v>
      </c>
      <c r="I52" s="172">
        <f t="shared" si="23"/>
        <v>0</v>
      </c>
      <c r="J52" s="172">
        <f t="shared" si="23"/>
        <v>1219142231.1763837</v>
      </c>
      <c r="K52" s="172">
        <f t="shared" si="23"/>
        <v>1251580914.083297</v>
      </c>
      <c r="L52" s="172">
        <f t="shared" si="23"/>
        <v>1276439574.6330268</v>
      </c>
      <c r="M52" s="172">
        <f t="shared" si="23"/>
        <v>1306102491.6615891</v>
      </c>
      <c r="N52" s="172">
        <f t="shared" si="23"/>
        <v>1336463761.9342566</v>
      </c>
      <c r="O52" s="172">
        <f t="shared" si="23"/>
        <v>0</v>
      </c>
      <c r="P52" s="172">
        <f t="shared" si="23"/>
        <v>0</v>
      </c>
      <c r="Q52" s="172">
        <f t="shared" si="23"/>
        <v>0</v>
      </c>
      <c r="R52" s="172">
        <f t="shared" si="23"/>
        <v>0</v>
      </c>
      <c r="S52" s="172">
        <f t="shared" si="23"/>
        <v>0</v>
      </c>
      <c r="U52" s="169">
        <f t="shared" si="16"/>
        <v>6389728973.488553</v>
      </c>
      <c r="W52" s="143" t="s">
        <v>340</v>
      </c>
    </row>
    <row r="53" spans="2:23">
      <c r="B53" s="139" t="s">
        <v>532</v>
      </c>
      <c r="C53" s="144"/>
      <c r="D53" s="172">
        <f>IFERROR(D114,0)</f>
        <v>0</v>
      </c>
      <c r="E53" s="172">
        <f>IFERROR(E114,0)</f>
        <v>0</v>
      </c>
      <c r="F53" s="172">
        <f t="shared" ref="F53:S53" si="24">IFERROR(F114,0)</f>
        <v>0</v>
      </c>
      <c r="G53" s="172">
        <f t="shared" si="24"/>
        <v>0</v>
      </c>
      <c r="H53" s="172">
        <f t="shared" si="24"/>
        <v>0</v>
      </c>
      <c r="I53" s="172">
        <f t="shared" si="24"/>
        <v>0</v>
      </c>
      <c r="J53" s="172">
        <f t="shared" si="24"/>
        <v>0</v>
      </c>
      <c r="K53" s="172">
        <f t="shared" si="24"/>
        <v>0</v>
      </c>
      <c r="L53" s="172">
        <f t="shared" si="24"/>
        <v>0</v>
      </c>
      <c r="M53" s="172">
        <f t="shared" si="24"/>
        <v>0</v>
      </c>
      <c r="N53" s="172">
        <f t="shared" si="24"/>
        <v>1175206832.7983093</v>
      </c>
      <c r="O53" s="172">
        <f t="shared" si="24"/>
        <v>0</v>
      </c>
      <c r="P53" s="172">
        <f t="shared" si="24"/>
        <v>0</v>
      </c>
      <c r="Q53" s="172">
        <f t="shared" si="24"/>
        <v>0</v>
      </c>
      <c r="R53" s="172">
        <f t="shared" si="24"/>
        <v>0</v>
      </c>
      <c r="S53" s="172">
        <f t="shared" si="24"/>
        <v>0</v>
      </c>
      <c r="U53" s="169">
        <f t="shared" si="16"/>
        <v>1175206832.7983093</v>
      </c>
      <c r="W53" s="143" t="s">
        <v>340</v>
      </c>
    </row>
    <row r="54" spans="2:23">
      <c r="B54" s="166" t="s">
        <v>441</v>
      </c>
      <c r="C54" s="166"/>
      <c r="D54" s="173">
        <f>SUM(D50:D53)</f>
        <v>0</v>
      </c>
      <c r="E54" s="173">
        <f t="shared" ref="E54:S54" si="25">SUM(E50:E53)</f>
        <v>-297142659.31949997</v>
      </c>
      <c r="F54" s="173">
        <f t="shared" si="25"/>
        <v>-658371295.82717824</v>
      </c>
      <c r="G54" s="173">
        <f t="shared" si="25"/>
        <v>-1506498495.3769495</v>
      </c>
      <c r="H54" s="173">
        <f t="shared" si="25"/>
        <v>-677509738.84358501</v>
      </c>
      <c r="I54" s="173">
        <f t="shared" si="25"/>
        <v>-463218063.69178241</v>
      </c>
      <c r="J54" s="173">
        <f t="shared" si="25"/>
        <v>1014684723.0223165</v>
      </c>
      <c r="K54" s="173">
        <f t="shared" si="25"/>
        <v>1237366425.0854492</v>
      </c>
      <c r="L54" s="173">
        <f t="shared" si="25"/>
        <v>1265683426.9592602</v>
      </c>
      <c r="M54" s="173">
        <f t="shared" si="25"/>
        <v>1298867310.2945635</v>
      </c>
      <c r="N54" s="173">
        <f t="shared" si="25"/>
        <v>2508020339.8117857</v>
      </c>
      <c r="O54" s="173">
        <f t="shared" si="25"/>
        <v>0</v>
      </c>
      <c r="P54" s="173">
        <f t="shared" si="25"/>
        <v>0</v>
      </c>
      <c r="Q54" s="173">
        <f t="shared" si="25"/>
        <v>0</v>
      </c>
      <c r="R54" s="173">
        <f t="shared" si="25"/>
        <v>0</v>
      </c>
      <c r="S54" s="173">
        <f t="shared" si="25"/>
        <v>0</v>
      </c>
      <c r="U54" s="173">
        <f t="shared" si="16"/>
        <v>3721881972.1143799</v>
      </c>
      <c r="W54" s="143" t="s">
        <v>340</v>
      </c>
    </row>
    <row r="55" spans="2:23">
      <c r="D55" s="169"/>
      <c r="E55" s="169"/>
      <c r="F55" s="169"/>
      <c r="G55" s="169"/>
      <c r="H55" s="169"/>
      <c r="I55" s="169"/>
      <c r="J55" s="169"/>
      <c r="K55" s="169"/>
      <c r="L55" s="169"/>
      <c r="M55" s="169"/>
      <c r="N55" s="169"/>
      <c r="O55" s="169"/>
      <c r="P55" s="169"/>
      <c r="Q55" s="169"/>
      <c r="R55" s="169"/>
      <c r="S55" s="169"/>
      <c r="U55" s="169"/>
      <c r="W55" s="143" t="s">
        <v>340</v>
      </c>
    </row>
    <row r="56" spans="2:23">
      <c r="B56" s="139" t="s">
        <v>509</v>
      </c>
      <c r="D56" s="172">
        <f t="shared" ref="D56:S56" si="26">-D78*D$19</f>
        <v>0</v>
      </c>
      <c r="E56" s="172">
        <f t="shared" si="26"/>
        <v>-20181661.5</v>
      </c>
      <c r="F56" s="172">
        <f t="shared" si="26"/>
        <v>-57200000</v>
      </c>
      <c r="G56" s="172">
        <f t="shared" si="26"/>
        <v>-57199999.999999993</v>
      </c>
      <c r="H56" s="172">
        <f t="shared" si="26"/>
        <v>-57199999.999999993</v>
      </c>
      <c r="I56" s="172">
        <f t="shared" si="26"/>
        <v>-3814716.9436855419</v>
      </c>
      <c r="J56" s="172">
        <f t="shared" si="26"/>
        <v>0</v>
      </c>
      <c r="K56" s="172">
        <f t="shared" si="26"/>
        <v>0</v>
      </c>
      <c r="L56" s="172">
        <f t="shared" si="26"/>
        <v>0</v>
      </c>
      <c r="M56" s="172">
        <f t="shared" si="26"/>
        <v>0</v>
      </c>
      <c r="N56" s="172">
        <f t="shared" si="26"/>
        <v>0</v>
      </c>
      <c r="O56" s="172">
        <f t="shared" si="26"/>
        <v>0</v>
      </c>
      <c r="P56" s="172">
        <f t="shared" si="26"/>
        <v>0</v>
      </c>
      <c r="Q56" s="172">
        <f t="shared" si="26"/>
        <v>0</v>
      </c>
      <c r="R56" s="172">
        <f t="shared" si="26"/>
        <v>0</v>
      </c>
      <c r="S56" s="172">
        <f t="shared" si="26"/>
        <v>0</v>
      </c>
      <c r="U56" s="172">
        <f t="shared" ref="U56:U60" si="27">SUM(D56:S56)</f>
        <v>-195596378.44368553</v>
      </c>
      <c r="W56" s="143" t="s">
        <v>340</v>
      </c>
    </row>
    <row r="57" spans="2:23">
      <c r="B57" s="139" t="s">
        <v>510</v>
      </c>
      <c r="C57" s="158"/>
      <c r="D57" s="172">
        <f>D75</f>
        <v>0</v>
      </c>
      <c r="E57" s="172">
        <f>E75</f>
        <v>282261000</v>
      </c>
      <c r="F57" s="172">
        <f t="shared" ref="F57:S57" si="28">F75</f>
        <v>517739000</v>
      </c>
      <c r="G57" s="172">
        <f t="shared" si="28"/>
        <v>0</v>
      </c>
      <c r="H57" s="172">
        <f t="shared" si="28"/>
        <v>0</v>
      </c>
      <c r="I57" s="172">
        <f t="shared" si="28"/>
        <v>0</v>
      </c>
      <c r="J57" s="172">
        <f t="shared" si="28"/>
        <v>0</v>
      </c>
      <c r="K57" s="172">
        <f t="shared" si="28"/>
        <v>0</v>
      </c>
      <c r="L57" s="172">
        <f t="shared" si="28"/>
        <v>0</v>
      </c>
      <c r="M57" s="172">
        <f t="shared" si="28"/>
        <v>0</v>
      </c>
      <c r="N57" s="172">
        <f t="shared" si="28"/>
        <v>0</v>
      </c>
      <c r="O57" s="172">
        <f t="shared" si="28"/>
        <v>0</v>
      </c>
      <c r="P57" s="172">
        <f t="shared" si="28"/>
        <v>0</v>
      </c>
      <c r="Q57" s="172">
        <f t="shared" si="28"/>
        <v>0</v>
      </c>
      <c r="R57" s="172">
        <f t="shared" si="28"/>
        <v>0</v>
      </c>
      <c r="S57" s="172">
        <f t="shared" si="28"/>
        <v>0</v>
      </c>
      <c r="U57" s="172">
        <f t="shared" si="27"/>
        <v>800000000</v>
      </c>
      <c r="W57" s="143" t="s">
        <v>340</v>
      </c>
    </row>
    <row r="58" spans="2:23">
      <c r="B58" s="139" t="s">
        <v>511</v>
      </c>
      <c r="C58" s="158"/>
      <c r="D58" s="180">
        <f t="shared" ref="D58:S58" si="29">D76*D$19</f>
        <v>0</v>
      </c>
      <c r="E58" s="180">
        <f t="shared" si="29"/>
        <v>0</v>
      </c>
      <c r="F58" s="180">
        <f t="shared" si="29"/>
        <v>0</v>
      </c>
      <c r="G58" s="180">
        <f t="shared" si="29"/>
        <v>0</v>
      </c>
      <c r="H58" s="180">
        <f t="shared" si="29"/>
        <v>-746647315.47292948</v>
      </c>
      <c r="I58" s="180">
        <f t="shared" si="29"/>
        <v>-53352684.527070522</v>
      </c>
      <c r="J58" s="180">
        <f t="shared" si="29"/>
        <v>0</v>
      </c>
      <c r="K58" s="180">
        <f t="shared" si="29"/>
        <v>0</v>
      </c>
      <c r="L58" s="180">
        <f t="shared" si="29"/>
        <v>0</v>
      </c>
      <c r="M58" s="180">
        <f t="shared" si="29"/>
        <v>0</v>
      </c>
      <c r="N58" s="180">
        <f t="shared" si="29"/>
        <v>0</v>
      </c>
      <c r="O58" s="180">
        <f t="shared" si="29"/>
        <v>0</v>
      </c>
      <c r="P58" s="180">
        <f t="shared" si="29"/>
        <v>0</v>
      </c>
      <c r="Q58" s="180">
        <f t="shared" si="29"/>
        <v>0</v>
      </c>
      <c r="R58" s="180">
        <f t="shared" si="29"/>
        <v>0</v>
      </c>
      <c r="S58" s="180">
        <f t="shared" si="29"/>
        <v>0</v>
      </c>
      <c r="U58" s="180">
        <f t="shared" si="27"/>
        <v>-800000000</v>
      </c>
      <c r="W58" s="143" t="s">
        <v>340</v>
      </c>
    </row>
    <row r="59" spans="2:23">
      <c r="B59" s="139" t="s">
        <v>512</v>
      </c>
      <c r="D59" s="169">
        <f t="shared" ref="D59:S59" si="30">D88*D$19</f>
        <v>0</v>
      </c>
      <c r="E59" s="169">
        <f t="shared" si="30"/>
        <v>0</v>
      </c>
      <c r="F59" s="169">
        <f t="shared" si="30"/>
        <v>0</v>
      </c>
      <c r="G59" s="169">
        <f t="shared" si="30"/>
        <v>0</v>
      </c>
      <c r="H59" s="169">
        <f t="shared" si="30"/>
        <v>0</v>
      </c>
      <c r="I59" s="169">
        <f t="shared" si="30"/>
        <v>0</v>
      </c>
      <c r="J59" s="169">
        <f t="shared" si="30"/>
        <v>0</v>
      </c>
      <c r="K59" s="169">
        <f t="shared" si="30"/>
        <v>0</v>
      </c>
      <c r="L59" s="169">
        <f t="shared" si="30"/>
        <v>0</v>
      </c>
      <c r="M59" s="169">
        <f t="shared" si="30"/>
        <v>0</v>
      </c>
      <c r="N59" s="169">
        <f t="shared" si="30"/>
        <v>0</v>
      </c>
      <c r="O59" s="169">
        <f t="shared" si="30"/>
        <v>0</v>
      </c>
      <c r="P59" s="169">
        <f t="shared" si="30"/>
        <v>0</v>
      </c>
      <c r="Q59" s="169">
        <f t="shared" si="30"/>
        <v>0</v>
      </c>
      <c r="R59" s="169">
        <f t="shared" si="30"/>
        <v>0</v>
      </c>
      <c r="S59" s="169">
        <f t="shared" si="30"/>
        <v>0</v>
      </c>
      <c r="U59" s="169">
        <f t="shared" si="27"/>
        <v>0</v>
      </c>
      <c r="W59" s="143" t="s">
        <v>340</v>
      </c>
    </row>
    <row r="60" spans="2:23">
      <c r="B60" s="139" t="s">
        <v>320</v>
      </c>
      <c r="D60" s="169">
        <f t="shared" ref="D60:S60" si="31">-D109*D$19</f>
        <v>0</v>
      </c>
      <c r="E60" s="169">
        <f t="shared" si="31"/>
        <v>-163037723.20546314</v>
      </c>
      <c r="F60" s="169">
        <f t="shared" si="31"/>
        <v>-211419574.15838715</v>
      </c>
      <c r="G60" s="169">
        <f t="shared" si="31"/>
        <v>-242668221.33231178</v>
      </c>
      <c r="H60" s="169">
        <f t="shared" si="31"/>
        <v>-262548835.0944601</v>
      </c>
      <c r="I60" s="172">
        <f t="shared" si="31"/>
        <v>-1694404134.927412</v>
      </c>
      <c r="J60" s="169">
        <f t="shared" si="31"/>
        <v>-3016897200.422946</v>
      </c>
      <c r="K60" s="169">
        <f t="shared" si="31"/>
        <v>-2137712070.3864059</v>
      </c>
      <c r="L60" s="172">
        <f t="shared" si="31"/>
        <v>-1506538886.489651</v>
      </c>
      <c r="M60" s="172">
        <f t="shared" si="31"/>
        <v>-1481826241.306891</v>
      </c>
      <c r="N60" s="169">
        <f t="shared" si="31"/>
        <v>-2680082796.1747675</v>
      </c>
      <c r="O60" s="169">
        <f t="shared" si="31"/>
        <v>0</v>
      </c>
      <c r="P60" s="169">
        <f t="shared" si="31"/>
        <v>0</v>
      </c>
      <c r="Q60" s="169">
        <f t="shared" si="31"/>
        <v>0</v>
      </c>
      <c r="R60" s="169">
        <f t="shared" si="31"/>
        <v>0</v>
      </c>
      <c r="S60" s="169">
        <f t="shared" si="31"/>
        <v>0</v>
      </c>
      <c r="U60" s="169">
        <f t="shared" si="27"/>
        <v>-13397135683.498695</v>
      </c>
      <c r="W60" s="143" t="s">
        <v>340</v>
      </c>
    </row>
    <row r="61" spans="2:23">
      <c r="B61" s="166" t="s">
        <v>442</v>
      </c>
      <c r="C61" s="166"/>
      <c r="D61" s="168">
        <f t="shared" ref="D61" si="32">SUM(D56:D60)</f>
        <v>0</v>
      </c>
      <c r="E61" s="168">
        <f t="shared" ref="E61" si="33">SUM(E56:E60)</f>
        <v>99041615.294536859</v>
      </c>
      <c r="F61" s="168">
        <f t="shared" ref="F61" si="34">SUM(F56:F60)</f>
        <v>249119425.84161285</v>
      </c>
      <c r="G61" s="168">
        <f t="shared" ref="G61" si="35">SUM(G56:G60)</f>
        <v>-299868221.33231175</v>
      </c>
      <c r="H61" s="168">
        <f t="shared" ref="H61" si="36">SUM(H56:H60)</f>
        <v>-1066396150.5673896</v>
      </c>
      <c r="I61" s="168">
        <f t="shared" ref="I61" si="37">SUM(I56:I60)</f>
        <v>-1751571536.3981681</v>
      </c>
      <c r="J61" s="168">
        <f t="shared" ref="J61" si="38">SUM(J56:J60)</f>
        <v>-3016897200.422946</v>
      </c>
      <c r="K61" s="168">
        <f t="shared" ref="K61" si="39">SUM(K56:K60)</f>
        <v>-2137712070.3864059</v>
      </c>
      <c r="L61" s="168">
        <f t="shared" ref="L61" si="40">SUM(L56:L60)</f>
        <v>-1506538886.489651</v>
      </c>
      <c r="M61" s="168">
        <f t="shared" ref="M61" si="41">SUM(M56:M60)</f>
        <v>-1481826241.306891</v>
      </c>
      <c r="N61" s="168">
        <f t="shared" ref="N61" si="42">SUM(N56:N60)</f>
        <v>-2680082796.1747675</v>
      </c>
      <c r="O61" s="168">
        <f t="shared" ref="O61" si="43">SUM(O56:O60)</f>
        <v>0</v>
      </c>
      <c r="P61" s="168">
        <f t="shared" ref="P61" si="44">SUM(P56:P60)</f>
        <v>0</v>
      </c>
      <c r="Q61" s="168">
        <f t="shared" ref="Q61" si="45">SUM(Q56:Q60)</f>
        <v>0</v>
      </c>
      <c r="R61" s="168">
        <f t="shared" ref="R61" si="46">SUM(R56:R60)</f>
        <v>0</v>
      </c>
      <c r="S61" s="168">
        <f t="shared" ref="S61" si="47">SUM(S56:S60)</f>
        <v>0</v>
      </c>
      <c r="U61" s="168">
        <f>SUM(U56:U60)</f>
        <v>-13592732061.942381</v>
      </c>
      <c r="W61" s="143" t="s">
        <v>340</v>
      </c>
    </row>
    <row r="62" spans="2:23">
      <c r="D62" s="175"/>
      <c r="E62" s="175"/>
      <c r="F62" s="175"/>
      <c r="G62" s="175"/>
      <c r="H62" s="175"/>
      <c r="I62" s="175"/>
      <c r="J62" s="175"/>
      <c r="K62" s="175"/>
      <c r="L62" s="175"/>
      <c r="M62" s="175"/>
      <c r="N62" s="175"/>
      <c r="O62" s="175"/>
      <c r="P62" s="175"/>
      <c r="Q62" s="175"/>
      <c r="R62" s="175"/>
      <c r="S62" s="175"/>
      <c r="U62" s="175"/>
      <c r="W62" s="143" t="s">
        <v>340</v>
      </c>
    </row>
    <row r="63" spans="2:23">
      <c r="B63" s="139" t="s">
        <v>368</v>
      </c>
      <c r="C63" s="138"/>
      <c r="D63" s="262">
        <v>28900000</v>
      </c>
      <c r="E63" s="170">
        <f t="shared" ref="E63:S63" si="48">D65*E19</f>
        <v>28900000</v>
      </c>
      <c r="F63" s="170">
        <f t="shared" si="48"/>
        <v>169073889</v>
      </c>
      <c r="G63" s="176">
        <f t="shared" si="48"/>
        <v>853586959</v>
      </c>
      <c r="H63" s="170">
        <f t="shared" si="48"/>
        <v>375478425</v>
      </c>
      <c r="I63" s="170">
        <f t="shared" si="48"/>
        <v>682607000</v>
      </c>
      <c r="J63" s="170">
        <f t="shared" si="48"/>
        <v>236846000</v>
      </c>
      <c r="K63" s="170">
        <f t="shared" si="48"/>
        <v>50000000</v>
      </c>
      <c r="L63" s="170">
        <f t="shared" si="48"/>
        <v>50000000</v>
      </c>
      <c r="M63" s="170">
        <f t="shared" si="48"/>
        <v>50000000</v>
      </c>
      <c r="N63" s="170">
        <f t="shared" si="48"/>
        <v>50000000</v>
      </c>
      <c r="O63" s="170">
        <f t="shared" si="48"/>
        <v>0</v>
      </c>
      <c r="P63" s="170">
        <f t="shared" si="48"/>
        <v>0</v>
      </c>
      <c r="Q63" s="170">
        <f t="shared" si="48"/>
        <v>0</v>
      </c>
      <c r="R63" s="170">
        <f t="shared" si="48"/>
        <v>0</v>
      </c>
      <c r="S63" s="170">
        <f t="shared" si="48"/>
        <v>0</v>
      </c>
      <c r="U63" s="170"/>
      <c r="W63" s="143" t="s">
        <v>340</v>
      </c>
    </row>
    <row r="64" spans="2:23">
      <c r="B64" s="139" t="s">
        <v>369</v>
      </c>
      <c r="C64" s="138"/>
      <c r="D64" s="170">
        <f t="shared" ref="D64:S64" si="49">ROUND(D61+D54+D48,0)</f>
        <v>0</v>
      </c>
      <c r="E64" s="170">
        <f t="shared" si="49"/>
        <v>140173889</v>
      </c>
      <c r="F64" s="170">
        <f t="shared" si="49"/>
        <v>684513070</v>
      </c>
      <c r="G64" s="170">
        <f t="shared" si="49"/>
        <v>-478108534</v>
      </c>
      <c r="H64" s="170">
        <f t="shared" si="49"/>
        <v>307128575</v>
      </c>
      <c r="I64" s="170">
        <f t="shared" si="49"/>
        <v>-445761000</v>
      </c>
      <c r="J64" s="170">
        <f t="shared" si="49"/>
        <v>-186846000</v>
      </c>
      <c r="K64" s="170">
        <f t="shared" si="49"/>
        <v>0</v>
      </c>
      <c r="L64" s="170">
        <f t="shared" si="49"/>
        <v>0</v>
      </c>
      <c r="M64" s="170">
        <f t="shared" si="49"/>
        <v>0</v>
      </c>
      <c r="N64" s="170">
        <f t="shared" si="49"/>
        <v>-50000000</v>
      </c>
      <c r="O64" s="170">
        <f t="shared" si="49"/>
        <v>0</v>
      </c>
      <c r="P64" s="170">
        <f t="shared" si="49"/>
        <v>0</v>
      </c>
      <c r="Q64" s="170">
        <f t="shared" si="49"/>
        <v>0</v>
      </c>
      <c r="R64" s="170">
        <f t="shared" si="49"/>
        <v>0</v>
      </c>
      <c r="S64" s="170">
        <f t="shared" si="49"/>
        <v>0</v>
      </c>
      <c r="U64" s="169"/>
      <c r="W64" s="143" t="s">
        <v>340</v>
      </c>
    </row>
    <row r="65" spans="2:23">
      <c r="B65" s="166" t="s">
        <v>370</v>
      </c>
      <c r="C65" s="166"/>
      <c r="D65" s="168">
        <f>ROUND(SUM(D63:D64),0)</f>
        <v>28900000</v>
      </c>
      <c r="E65" s="168">
        <f t="shared" ref="E65:S65" si="50">ROUND(SUM(E63:E64),0)</f>
        <v>169073889</v>
      </c>
      <c r="F65" s="168">
        <f t="shared" si="50"/>
        <v>853586959</v>
      </c>
      <c r="G65" s="168">
        <f t="shared" si="50"/>
        <v>375478425</v>
      </c>
      <c r="H65" s="168">
        <f t="shared" si="50"/>
        <v>682607000</v>
      </c>
      <c r="I65" s="168">
        <f t="shared" si="50"/>
        <v>236846000</v>
      </c>
      <c r="J65" s="168">
        <f t="shared" si="50"/>
        <v>50000000</v>
      </c>
      <c r="K65" s="168">
        <f t="shared" si="50"/>
        <v>50000000</v>
      </c>
      <c r="L65" s="168">
        <f t="shared" si="50"/>
        <v>50000000</v>
      </c>
      <c r="M65" s="168">
        <f t="shared" si="50"/>
        <v>50000000</v>
      </c>
      <c r="N65" s="168">
        <f t="shared" si="50"/>
        <v>0</v>
      </c>
      <c r="O65" s="168">
        <f t="shared" si="50"/>
        <v>0</v>
      </c>
      <c r="P65" s="168">
        <f t="shared" si="50"/>
        <v>0</v>
      </c>
      <c r="Q65" s="168">
        <f t="shared" si="50"/>
        <v>0</v>
      </c>
      <c r="R65" s="168">
        <f t="shared" si="50"/>
        <v>0</v>
      </c>
      <c r="S65" s="168">
        <f t="shared" si="50"/>
        <v>0</v>
      </c>
      <c r="U65" s="168"/>
      <c r="W65" s="143" t="s">
        <v>340</v>
      </c>
    </row>
    <row r="66" spans="2:23">
      <c r="B66" s="138" t="s">
        <v>97</v>
      </c>
      <c r="C66" s="239" t="b">
        <f>AND(D66:S66)</f>
        <v>1</v>
      </c>
      <c r="D66" s="239" t="b">
        <f>D65&gt;=0</f>
        <v>1</v>
      </c>
      <c r="E66" s="239" t="b">
        <f t="shared" ref="E66:O66" si="51">E65&gt;=0</f>
        <v>1</v>
      </c>
      <c r="F66" s="239" t="b">
        <f t="shared" si="51"/>
        <v>1</v>
      </c>
      <c r="G66" s="239" t="b">
        <f>G65&gt;=0</f>
        <v>1</v>
      </c>
      <c r="H66" s="239" t="b">
        <f t="shared" si="51"/>
        <v>1</v>
      </c>
      <c r="I66" s="239" t="b">
        <f t="shared" si="51"/>
        <v>1</v>
      </c>
      <c r="J66" s="239" t="b">
        <f t="shared" si="51"/>
        <v>1</v>
      </c>
      <c r="K66" s="239" t="b">
        <f t="shared" si="51"/>
        <v>1</v>
      </c>
      <c r="L66" s="239" t="b">
        <f t="shared" si="51"/>
        <v>1</v>
      </c>
      <c r="M66" s="239" t="b">
        <f t="shared" si="51"/>
        <v>1</v>
      </c>
      <c r="N66" s="239" t="b">
        <f t="shared" si="51"/>
        <v>1</v>
      </c>
      <c r="O66" s="239" t="b">
        <f t="shared" si="51"/>
        <v>1</v>
      </c>
      <c r="P66" s="239" t="b">
        <f t="shared" ref="P66" si="52">P65&gt;=0</f>
        <v>1</v>
      </c>
      <c r="Q66" s="239" t="b">
        <f t="shared" ref="Q66:S66" si="53">Q65&gt;=0</f>
        <v>1</v>
      </c>
      <c r="R66" s="239" t="b">
        <f t="shared" ref="R66" si="54">R65&gt;=0</f>
        <v>1</v>
      </c>
      <c r="S66" s="239" t="b">
        <f t="shared" si="53"/>
        <v>1</v>
      </c>
      <c r="U66" s="239"/>
      <c r="W66" s="143" t="s">
        <v>340</v>
      </c>
    </row>
    <row r="67" spans="2:23">
      <c r="C67" s="158"/>
      <c r="W67" s="143" t="s">
        <v>340</v>
      </c>
    </row>
    <row r="68" spans="2:23">
      <c r="B68" s="240" t="s">
        <v>356</v>
      </c>
      <c r="C68" s="241"/>
      <c r="D68" s="242"/>
      <c r="E68" s="242"/>
      <c r="F68" s="242"/>
      <c r="G68" s="242"/>
      <c r="H68" s="242"/>
      <c r="I68" s="242"/>
      <c r="J68" s="242"/>
      <c r="K68" s="242"/>
      <c r="L68" s="242"/>
      <c r="M68" s="242"/>
      <c r="N68" s="242"/>
      <c r="O68" s="242"/>
      <c r="P68" s="242"/>
      <c r="Q68" s="242"/>
      <c r="R68" s="242"/>
      <c r="S68" s="242"/>
      <c r="U68" s="242"/>
      <c r="W68" s="143" t="s">
        <v>340</v>
      </c>
    </row>
    <row r="69" spans="2:23">
      <c r="B69" s="139" t="s">
        <v>530</v>
      </c>
      <c r="C69" s="139" t="s">
        <v>438</v>
      </c>
      <c r="D69" s="175">
        <f>IF($C$5="YES",HBU!D67,0)</f>
        <v>0</v>
      </c>
      <c r="E69" s="175">
        <f>IF($C$5="YES",HBU!E67,0)</f>
        <v>282261000</v>
      </c>
      <c r="F69" s="175">
        <f>IF($C$5="YES",HBU!F67,0)</f>
        <v>641365000</v>
      </c>
      <c r="G69" s="175">
        <f>IF($C$5="YES",HBU!G67,0)</f>
        <v>1489344000</v>
      </c>
      <c r="H69" s="175">
        <f>IF($C$5="YES",HBU!H67,0)</f>
        <v>660205000</v>
      </c>
      <c r="I69" s="175">
        <f>IF($C$5="YES",HBU!I67,0)</f>
        <v>445761000</v>
      </c>
      <c r="J69" s="175">
        <f>IF($C$5="YES",HBU!J67,0)</f>
        <v>186846000</v>
      </c>
      <c r="K69" s="175">
        <f>IF($C$5="YES",HBU!K67,0)</f>
        <v>0</v>
      </c>
      <c r="L69" s="175">
        <f>IF($C$5="YES",HBU!L67,0)</f>
        <v>0</v>
      </c>
      <c r="M69" s="175">
        <f>IF($C$5="YES",HBU!M67,0)</f>
        <v>0</v>
      </c>
      <c r="N69" s="175">
        <f>IF($C$5="YES",HBU!N67,0)</f>
        <v>0</v>
      </c>
      <c r="O69" s="175">
        <f>IF($C$5="YES",HBU!O67,0)</f>
        <v>0</v>
      </c>
      <c r="P69" s="175">
        <f>IF($C$5="YES",HBU!P67,0)</f>
        <v>0</v>
      </c>
      <c r="Q69" s="175">
        <f>IF($C$5="YES",HBU!Q67,0)</f>
        <v>0</v>
      </c>
      <c r="R69" s="175">
        <f>IF($C$5="YES",HBU!R67,0)</f>
        <v>0</v>
      </c>
      <c r="S69" s="175">
        <f>IF($C$5="YES",HBU!S67,0)</f>
        <v>0</v>
      </c>
      <c r="T69" s="175"/>
      <c r="U69" s="175">
        <f>SUM(D69:S69)</f>
        <v>3705782000</v>
      </c>
      <c r="W69" s="143" t="s">
        <v>340</v>
      </c>
    </row>
    <row r="70" spans="2:23">
      <c r="B70" s="139" t="s">
        <v>508</v>
      </c>
      <c r="C70" s="143" t="s">
        <v>443</v>
      </c>
      <c r="D70" s="175">
        <f>IF($C$4="YES",IF(D19=1,HBU!D60,0)*(1-SUM($C$21:C21)),0)</f>
        <v>0</v>
      </c>
      <c r="E70" s="175">
        <f>IF($C$4="YES",IF(E19=1,HBU!E60,0)*(1-SUM($C$21:D21)),0)</f>
        <v>14881659.319499997</v>
      </c>
      <c r="F70" s="175">
        <f>IF($C$4="YES",IF(F19=1,HBU!F60,0)*(1-SUM($C$21:E21)),0)</f>
        <v>17006295.827178244</v>
      </c>
      <c r="G70" s="175">
        <f>IF($C$4="YES",IF(G19=1,HBU!G60,0)*(1-SUM($C$21:F21)),0)</f>
        <v>17154495.376949482</v>
      </c>
      <c r="H70" s="175">
        <f>IF($C$4="YES",IF(H19=1,HBU!H60,0)*(1-SUM($C$21:G21)),0)</f>
        <v>17304738.843584977</v>
      </c>
      <c r="I70" s="175">
        <f>IF($C$4="YES",IF(I19=1,HBU!I60,0)*(1-SUM($C$21:H21)),0)</f>
        <v>17457063.691782441</v>
      </c>
      <c r="J70" s="175">
        <f>IF($C$4="YES",IF(J19=1,HBU!J60,0)*(1-SUM($C$21:I21)),0)</f>
        <v>17611508.154067267</v>
      </c>
      <c r="K70" s="175">
        <f>IF($C$4="YES",IF(K19=1,HBU!K60,0)*(1-SUM($C$21:J21)),0)</f>
        <v>14214488.997847863</v>
      </c>
      <c r="L70" s="175">
        <f>IF($C$4="YES",IF(L19=1,HBU!L60,0)*(1-SUM($C$21:K21)),0)</f>
        <v>10756147.673766557</v>
      </c>
      <c r="M70" s="175">
        <f>IF($C$4="YES",IF(M19=1,HBU!M60,0)*(1-SUM($C$21:L21)),0)</f>
        <v>7235181.3670255961</v>
      </c>
      <c r="N70" s="175">
        <f>IF($C$4="YES",IF(N19=1,HBU!N60,0)*(1-SUM($C$21:M21)),0)</f>
        <v>3650254.9207805325</v>
      </c>
      <c r="O70" s="175">
        <f>IF($C$4="YES",IF(O19=1,HBU!O60,0)*(1-SUM($C$21:N21)),0)</f>
        <v>0</v>
      </c>
      <c r="P70" s="175">
        <f>IF($C$4="YES",IF(P19=1,HBU!P60,0)*(1-SUM($C$21:O21)),0)</f>
        <v>0</v>
      </c>
      <c r="Q70" s="175">
        <f>IF($C$4="YES",IF(Q19=1,HBU!Q60,0)*(1-SUM($C$21:P21)),0)</f>
        <v>0</v>
      </c>
      <c r="R70" s="175">
        <f>IF($C$4="YES",IF(R19=1,HBU!R60,0)*(1-SUM($C$21:Q21)),0)</f>
        <v>0</v>
      </c>
      <c r="S70" s="175">
        <f>IF($C$4="YES",IF(S19=1,HBU!S60,0)*(1-SUM($C$21:R21)),0)</f>
        <v>0</v>
      </c>
      <c r="U70" s="175">
        <f t="shared" ref="U70" si="55">SUM(D70:S70)</f>
        <v>137271834.17248294</v>
      </c>
      <c r="W70" s="143" t="s">
        <v>340</v>
      </c>
    </row>
    <row r="71" spans="2:23">
      <c r="D71" s="175"/>
      <c r="E71" s="175"/>
      <c r="F71" s="175"/>
      <c r="G71" s="175"/>
      <c r="H71" s="175"/>
      <c r="I71" s="175"/>
      <c r="J71" s="175"/>
      <c r="K71" s="175"/>
      <c r="L71" s="175"/>
      <c r="M71" s="175"/>
      <c r="N71" s="175"/>
      <c r="O71" s="175"/>
      <c r="P71" s="175"/>
      <c r="Q71" s="175"/>
      <c r="R71" s="175"/>
      <c r="S71" s="175"/>
      <c r="U71" s="175"/>
      <c r="W71" s="143" t="s">
        <v>340</v>
      </c>
    </row>
    <row r="72" spans="2:23">
      <c r="B72" s="240" t="s">
        <v>513</v>
      </c>
      <c r="C72" s="243">
        <f>SUM(D72:S72)</f>
        <v>5</v>
      </c>
      <c r="D72" s="242">
        <f>IF(OR(D74&gt;0,D77&gt;0),1,0)</f>
        <v>0</v>
      </c>
      <c r="E72" s="242">
        <f t="shared" ref="E72:P72" si="56">IF(OR(E74&gt;0,E77&gt;0),1,0)</f>
        <v>1</v>
      </c>
      <c r="F72" s="242">
        <f t="shared" si="56"/>
        <v>1</v>
      </c>
      <c r="G72" s="242">
        <f t="shared" si="56"/>
        <v>1</v>
      </c>
      <c r="H72" s="242">
        <f t="shared" si="56"/>
        <v>1</v>
      </c>
      <c r="I72" s="242">
        <f t="shared" si="56"/>
        <v>1</v>
      </c>
      <c r="J72" s="242">
        <f t="shared" si="56"/>
        <v>0</v>
      </c>
      <c r="K72" s="242">
        <f t="shared" si="56"/>
        <v>0</v>
      </c>
      <c r="L72" s="242">
        <f t="shared" si="56"/>
        <v>0</v>
      </c>
      <c r="M72" s="242">
        <f t="shared" si="56"/>
        <v>0</v>
      </c>
      <c r="N72" s="242">
        <f t="shared" si="56"/>
        <v>0</v>
      </c>
      <c r="O72" s="242">
        <f t="shared" si="56"/>
        <v>0</v>
      </c>
      <c r="P72" s="242">
        <f t="shared" si="56"/>
        <v>0</v>
      </c>
      <c r="Q72" s="242">
        <f>IF(OR(Q74&gt;0,Q77&gt;0),1,0)</f>
        <v>0</v>
      </c>
      <c r="R72" s="242">
        <f>IF(OR(R74&gt;0,R77&gt;0),1,0)</f>
        <v>0</v>
      </c>
      <c r="S72" s="242">
        <f>IF(OR(S74&gt;0,S77&gt;0),1,0)</f>
        <v>0</v>
      </c>
      <c r="U72" s="242"/>
      <c r="W72" s="143" t="s">
        <v>340</v>
      </c>
    </row>
    <row r="73" spans="2:23">
      <c r="D73" s="175"/>
      <c r="E73" s="175"/>
      <c r="F73" s="175"/>
      <c r="G73" s="175"/>
      <c r="H73" s="175"/>
      <c r="I73" s="175"/>
      <c r="J73" s="175"/>
      <c r="K73" s="175"/>
      <c r="L73" s="175"/>
      <c r="M73" s="175"/>
      <c r="N73" s="175"/>
      <c r="O73" s="175"/>
      <c r="P73" s="175"/>
      <c r="Q73" s="175"/>
      <c r="R73" s="175"/>
      <c r="S73" s="175"/>
      <c r="U73" s="175"/>
      <c r="W73" s="143" t="s">
        <v>340</v>
      </c>
    </row>
    <row r="74" spans="2:23" s="138" customFormat="1" ht="12.6">
      <c r="B74" s="138" t="s">
        <v>371</v>
      </c>
      <c r="D74" s="263">
        <v>0</v>
      </c>
      <c r="E74" s="184">
        <f t="shared" ref="E74:H74" si="57">D77</f>
        <v>0</v>
      </c>
      <c r="F74" s="184">
        <f t="shared" si="57"/>
        <v>282261000</v>
      </c>
      <c r="G74" s="184">
        <f t="shared" si="57"/>
        <v>800000000</v>
      </c>
      <c r="H74" s="184">
        <f t="shared" si="57"/>
        <v>800000000</v>
      </c>
      <c r="I74" s="184">
        <f t="shared" ref="I74" si="58">H77</f>
        <v>53352684.527070522</v>
      </c>
      <c r="J74" s="184">
        <f t="shared" ref="J74" si="59">I77</f>
        <v>0</v>
      </c>
      <c r="K74" s="184">
        <f t="shared" ref="K74" si="60">J77</f>
        <v>0</v>
      </c>
      <c r="L74" s="184">
        <f t="shared" ref="L74" si="61">K77</f>
        <v>0</v>
      </c>
      <c r="M74" s="184">
        <f t="shared" ref="M74" si="62">L77</f>
        <v>0</v>
      </c>
      <c r="N74" s="184">
        <f t="shared" ref="N74" si="63">M77</f>
        <v>0</v>
      </c>
      <c r="O74" s="184">
        <f t="shared" ref="O74" si="64">N77</f>
        <v>0</v>
      </c>
      <c r="P74" s="184">
        <f t="shared" ref="P74" si="65">O77</f>
        <v>0</v>
      </c>
      <c r="Q74" s="184">
        <f t="shared" ref="Q74" si="66">P77</f>
        <v>0</v>
      </c>
      <c r="R74" s="184">
        <f t="shared" ref="R74" si="67">Q77</f>
        <v>0</v>
      </c>
      <c r="S74" s="184">
        <f t="shared" ref="S74" si="68">R77</f>
        <v>0</v>
      </c>
      <c r="U74" s="184"/>
      <c r="V74" s="143"/>
      <c r="W74" s="143" t="s">
        <v>340</v>
      </c>
    </row>
    <row r="75" spans="2:23">
      <c r="B75" s="246" t="s">
        <v>445</v>
      </c>
      <c r="C75" s="247"/>
      <c r="D75" s="180">
        <f>MIN(D69,$G$10-SUM($C$75:C75))</f>
        <v>0</v>
      </c>
      <c r="E75" s="180">
        <f>MIN(E69,$G$10-SUM($C$75:D75))</f>
        <v>282261000</v>
      </c>
      <c r="F75" s="180">
        <f>MIN(F69,$G$10-SUM($C$75:E75))</f>
        <v>517739000</v>
      </c>
      <c r="G75" s="180">
        <f>MIN(G69,$G$10-SUM($C$75:F75))</f>
        <v>0</v>
      </c>
      <c r="H75" s="180">
        <f>MIN(H69,$G$10-SUM($C$75:G75))</f>
        <v>0</v>
      </c>
      <c r="I75" s="180">
        <f>MIN(I69,$G$10-SUM($C$75:H75))</f>
        <v>0</v>
      </c>
      <c r="J75" s="180">
        <f>MIN(J69,$G$10-SUM($C$75:I75))</f>
        <v>0</v>
      </c>
      <c r="K75" s="180">
        <f>MIN(K69,$G$10-SUM($C$75:J75))</f>
        <v>0</v>
      </c>
      <c r="L75" s="180">
        <f>MIN(L69,$G$10-SUM($C$75:K75))</f>
        <v>0</v>
      </c>
      <c r="M75" s="180">
        <f>MIN(M69,$G$10-SUM($C$75:L75))</f>
        <v>0</v>
      </c>
      <c r="N75" s="180">
        <f>MIN(N69,$G$10-SUM($C$75:M75))</f>
        <v>0</v>
      </c>
      <c r="O75" s="180">
        <f>MIN(O69,$G$10-SUM($C$75:N75))</f>
        <v>0</v>
      </c>
      <c r="P75" s="180">
        <f>MIN(P69,$G$10-SUM($C$75:O75))</f>
        <v>0</v>
      </c>
      <c r="Q75" s="180">
        <f>MIN(Q69,$G$10-SUM($C$75:P75))</f>
        <v>0</v>
      </c>
      <c r="R75" s="180">
        <f>MIN(R69,$G$10-SUM($C$75:Q75))</f>
        <v>0</v>
      </c>
      <c r="S75" s="180">
        <f>MIN(S69,$G$10-SUM($C$75:R75))</f>
        <v>0</v>
      </c>
      <c r="U75" s="180">
        <f t="shared" ref="U75:U78" si="69">SUM(D75:S75)</f>
        <v>800000000</v>
      </c>
      <c r="W75" s="143" t="s">
        <v>340</v>
      </c>
    </row>
    <row r="76" spans="2:23">
      <c r="B76" s="139" t="s">
        <v>372</v>
      </c>
      <c r="C76" s="158"/>
      <c r="D76" s="175">
        <f>IFERROR(D103,0)</f>
        <v>0</v>
      </c>
      <c r="E76" s="175">
        <f t="shared" ref="E76:S76" si="70">IFERROR(E103,0)</f>
        <v>0</v>
      </c>
      <c r="F76" s="175">
        <f t="shared" si="70"/>
        <v>0</v>
      </c>
      <c r="G76" s="175">
        <f t="shared" si="70"/>
        <v>0</v>
      </c>
      <c r="H76" s="175">
        <f t="shared" si="70"/>
        <v>-746647315.47292948</v>
      </c>
      <c r="I76" s="175">
        <f t="shared" si="70"/>
        <v>-53352684.527070522</v>
      </c>
      <c r="J76" s="175">
        <f t="shared" si="70"/>
        <v>0</v>
      </c>
      <c r="K76" s="175">
        <f t="shared" si="70"/>
        <v>0</v>
      </c>
      <c r="L76" s="175">
        <f t="shared" si="70"/>
        <v>0</v>
      </c>
      <c r="M76" s="175">
        <f t="shared" si="70"/>
        <v>0</v>
      </c>
      <c r="N76" s="175">
        <f t="shared" si="70"/>
        <v>0</v>
      </c>
      <c r="O76" s="175">
        <f t="shared" si="70"/>
        <v>0</v>
      </c>
      <c r="P76" s="175">
        <f t="shared" si="70"/>
        <v>0</v>
      </c>
      <c r="Q76" s="175">
        <f t="shared" si="70"/>
        <v>0</v>
      </c>
      <c r="R76" s="175">
        <f t="shared" si="70"/>
        <v>0</v>
      </c>
      <c r="S76" s="175">
        <f t="shared" si="70"/>
        <v>0</v>
      </c>
      <c r="U76" s="175">
        <f t="shared" si="69"/>
        <v>-800000000</v>
      </c>
      <c r="W76" s="143" t="s">
        <v>340</v>
      </c>
    </row>
    <row r="77" spans="2:23" s="138" customFormat="1" ht="12.6">
      <c r="B77" s="153" t="s">
        <v>296</v>
      </c>
      <c r="C77" s="154"/>
      <c r="D77" s="236">
        <f>IF(SUM(D74:D76)&gt;1,SUM(D74:D76),0)</f>
        <v>0</v>
      </c>
      <c r="E77" s="236">
        <f t="shared" ref="E77:H77" si="71">IF(SUM(E74:E76)&gt;1,SUM(E74:E76),0)</f>
        <v>282261000</v>
      </c>
      <c r="F77" s="236">
        <f t="shared" si="71"/>
        <v>800000000</v>
      </c>
      <c r="G77" s="236">
        <f t="shared" si="71"/>
        <v>800000000</v>
      </c>
      <c r="H77" s="236">
        <f t="shared" si="71"/>
        <v>53352684.527070522</v>
      </c>
      <c r="I77" s="236">
        <f t="shared" ref="I77:S77" si="72">IF(SUM(I74:I76)&gt;1,SUM(I74:I76),0)</f>
        <v>0</v>
      </c>
      <c r="J77" s="236">
        <f t="shared" si="72"/>
        <v>0</v>
      </c>
      <c r="K77" s="236">
        <f t="shared" si="72"/>
        <v>0</v>
      </c>
      <c r="L77" s="236">
        <f t="shared" si="72"/>
        <v>0</v>
      </c>
      <c r="M77" s="236">
        <f t="shared" si="72"/>
        <v>0</v>
      </c>
      <c r="N77" s="236">
        <f t="shared" si="72"/>
        <v>0</v>
      </c>
      <c r="O77" s="236">
        <f t="shared" si="72"/>
        <v>0</v>
      </c>
      <c r="P77" s="236">
        <f t="shared" si="72"/>
        <v>0</v>
      </c>
      <c r="Q77" s="236">
        <f t="shared" si="72"/>
        <v>0</v>
      </c>
      <c r="R77" s="236">
        <f t="shared" si="72"/>
        <v>0</v>
      </c>
      <c r="S77" s="236">
        <f t="shared" si="72"/>
        <v>0</v>
      </c>
      <c r="U77" s="236"/>
      <c r="V77" s="143"/>
      <c r="W77" s="143" t="s">
        <v>340</v>
      </c>
    </row>
    <row r="78" spans="2:23">
      <c r="B78" s="139" t="s">
        <v>290</v>
      </c>
      <c r="C78" s="293">
        <f>$C$17</f>
        <v>7.1499999999999994E-2</v>
      </c>
      <c r="D78" s="180" cm="1">
        <f t="array" ref="D78">IFERROR(SUM(D74:D75*$C$78),0)</f>
        <v>0</v>
      </c>
      <c r="E78" s="180" cm="1">
        <f t="array" ref="E78">IFERROR(SUM(E74:E75*$C$78),0)</f>
        <v>20181661.5</v>
      </c>
      <c r="F78" s="180" cm="1">
        <f t="array" ref="F78">IFERROR(SUM(F74:F75*$C$78),0)</f>
        <v>57200000</v>
      </c>
      <c r="G78" s="180" cm="1">
        <f t="array" ref="G78">IFERROR(SUM(G74:G75*$C$78),0)</f>
        <v>57199999.999999993</v>
      </c>
      <c r="H78" s="180" cm="1">
        <f t="array" ref="H78">IFERROR(SUM(H74:H75*$C$78),0)</f>
        <v>57199999.999999993</v>
      </c>
      <c r="I78" s="180" cm="1">
        <f t="array" ref="I78">IFERROR(SUM(I74:I75*$C$78),0)</f>
        <v>3814716.9436855419</v>
      </c>
      <c r="J78" s="180" cm="1">
        <f t="array" ref="J78">IFERROR(SUM(J74:J75*$C$78),0)</f>
        <v>0</v>
      </c>
      <c r="K78" s="180" cm="1">
        <f t="array" ref="K78">IFERROR(SUM(K74:K75*$C$78),0)</f>
        <v>0</v>
      </c>
      <c r="L78" s="180" cm="1">
        <f t="array" ref="L78">IFERROR(SUM(L74:L75*$C$78),0)</f>
        <v>0</v>
      </c>
      <c r="M78" s="180" cm="1">
        <f t="array" ref="M78">IFERROR(SUM(M74:M75*$C$78),0)</f>
        <v>0</v>
      </c>
      <c r="N78" s="180" cm="1">
        <f t="array" ref="N78">IFERROR(SUM(N74:N75*$C$78),0)</f>
        <v>0</v>
      </c>
      <c r="O78" s="180" cm="1">
        <f t="array" ref="O78">IFERROR(SUM(O74:O75*$C$78),0)</f>
        <v>0</v>
      </c>
      <c r="P78" s="180" cm="1">
        <f t="array" ref="P78">IFERROR(SUM(P74:P75*$C$78),0)</f>
        <v>0</v>
      </c>
      <c r="Q78" s="180" cm="1">
        <f t="array" ref="Q78">IFERROR(SUM(Q74:Q75*$C$78),0)</f>
        <v>0</v>
      </c>
      <c r="R78" s="180" cm="1">
        <f t="array" ref="R78">IFERROR(SUM(R74:R75*$C$78),0)</f>
        <v>0</v>
      </c>
      <c r="S78" s="180" cm="1">
        <f t="array" ref="S78">IFERROR(SUM(S74:S75*$C$78),0)</f>
        <v>0</v>
      </c>
      <c r="U78" s="175">
        <f t="shared" si="69"/>
        <v>195596378.44368553</v>
      </c>
      <c r="W78" s="143" t="s">
        <v>340</v>
      </c>
    </row>
    <row r="79" spans="2:23">
      <c r="B79" s="149"/>
      <c r="C79" s="150"/>
      <c r="D79" s="186"/>
      <c r="E79" s="186"/>
      <c r="F79" s="186"/>
      <c r="G79" s="186"/>
      <c r="H79" s="186"/>
      <c r="I79" s="186"/>
      <c r="J79" s="186"/>
      <c r="K79" s="186"/>
      <c r="L79" s="186"/>
      <c r="M79" s="186"/>
      <c r="N79" s="186"/>
      <c r="O79" s="186"/>
      <c r="P79" s="186"/>
      <c r="Q79" s="186"/>
      <c r="R79" s="186"/>
      <c r="S79" s="186"/>
      <c r="U79" s="186"/>
      <c r="W79" s="143" t="s">
        <v>340</v>
      </c>
    </row>
    <row r="80" spans="2:23">
      <c r="B80" s="240" t="s">
        <v>444</v>
      </c>
      <c r="C80" s="241"/>
      <c r="D80" s="242"/>
      <c r="E80" s="242"/>
      <c r="F80" s="242"/>
      <c r="G80" s="242"/>
      <c r="H80" s="242"/>
      <c r="I80" s="242"/>
      <c r="J80" s="242"/>
      <c r="K80" s="242"/>
      <c r="L80" s="242"/>
      <c r="M80" s="242"/>
      <c r="N80" s="242"/>
      <c r="O80" s="242"/>
      <c r="P80" s="242"/>
      <c r="Q80" s="242"/>
      <c r="R80" s="242"/>
      <c r="S80" s="242"/>
      <c r="U80" s="242"/>
      <c r="W80" s="143" t="s">
        <v>340</v>
      </c>
    </row>
    <row r="81" spans="2:23">
      <c r="W81" s="143" t="s">
        <v>340</v>
      </c>
    </row>
    <row r="82" spans="2:23" s="138" customFormat="1" ht="12.6">
      <c r="B82" s="138" t="s">
        <v>368</v>
      </c>
      <c r="D82" s="184">
        <f t="shared" ref="D82:S82" si="73">D63</f>
        <v>28900000</v>
      </c>
      <c r="E82" s="184">
        <f t="shared" si="73"/>
        <v>28900000</v>
      </c>
      <c r="F82" s="184">
        <f t="shared" si="73"/>
        <v>169073889</v>
      </c>
      <c r="G82" s="184">
        <f t="shared" si="73"/>
        <v>853586959</v>
      </c>
      <c r="H82" s="184">
        <f t="shared" si="73"/>
        <v>375478425</v>
      </c>
      <c r="I82" s="184">
        <f t="shared" si="73"/>
        <v>682607000</v>
      </c>
      <c r="J82" s="184">
        <f t="shared" si="73"/>
        <v>236846000</v>
      </c>
      <c r="K82" s="184">
        <f t="shared" si="73"/>
        <v>50000000</v>
      </c>
      <c r="L82" s="184">
        <f t="shared" si="73"/>
        <v>50000000</v>
      </c>
      <c r="M82" s="184">
        <f t="shared" si="73"/>
        <v>50000000</v>
      </c>
      <c r="N82" s="184">
        <f t="shared" si="73"/>
        <v>50000000</v>
      </c>
      <c r="O82" s="184">
        <f t="shared" si="73"/>
        <v>0</v>
      </c>
      <c r="P82" s="184">
        <f t="shared" si="73"/>
        <v>0</v>
      </c>
      <c r="Q82" s="184">
        <f t="shared" si="73"/>
        <v>0</v>
      </c>
      <c r="R82" s="184">
        <f t="shared" si="73"/>
        <v>0</v>
      </c>
      <c r="S82" s="184">
        <f t="shared" si="73"/>
        <v>0</v>
      </c>
      <c r="U82" s="184"/>
      <c r="V82" s="143"/>
      <c r="W82" s="143" t="s">
        <v>340</v>
      </c>
    </row>
    <row r="83" spans="2:23">
      <c r="B83" s="139" t="s">
        <v>430</v>
      </c>
      <c r="D83" s="175">
        <f t="shared" ref="D83:S83" si="74">D48</f>
        <v>0</v>
      </c>
      <c r="E83" s="175">
        <f t="shared" si="74"/>
        <v>338274933.39117843</v>
      </c>
      <c r="F83" s="175">
        <f t="shared" si="74"/>
        <v>1093764940.383908</v>
      </c>
      <c r="G83" s="180">
        <f t="shared" si="74"/>
        <v>1328258182.7722161</v>
      </c>
      <c r="H83" s="180">
        <f t="shared" si="74"/>
        <v>2051034464.4109743</v>
      </c>
      <c r="I83" s="180">
        <f t="shared" si="74"/>
        <v>1769028600.0899506</v>
      </c>
      <c r="J83" s="180">
        <f t="shared" si="74"/>
        <v>1815366477.4006298</v>
      </c>
      <c r="K83" s="180">
        <f t="shared" si="74"/>
        <v>900345645.30095696</v>
      </c>
      <c r="L83" s="180">
        <f t="shared" si="74"/>
        <v>240855459.53039074</v>
      </c>
      <c r="M83" s="180">
        <f t="shared" si="74"/>
        <v>182958931.01232746</v>
      </c>
      <c r="N83" s="180">
        <f t="shared" si="74"/>
        <v>122062456.36298198</v>
      </c>
      <c r="O83" s="180">
        <f t="shared" si="74"/>
        <v>0</v>
      </c>
      <c r="P83" s="180">
        <f t="shared" si="74"/>
        <v>0</v>
      </c>
      <c r="Q83" s="180">
        <f t="shared" si="74"/>
        <v>0</v>
      </c>
      <c r="R83" s="180">
        <f t="shared" si="74"/>
        <v>0</v>
      </c>
      <c r="S83" s="180">
        <f t="shared" si="74"/>
        <v>0</v>
      </c>
      <c r="U83" s="175">
        <f t="shared" ref="U83:U85" si="75">SUM(D83:S83)</f>
        <v>9841950090.6555138</v>
      </c>
      <c r="W83" s="143" t="s">
        <v>340</v>
      </c>
    </row>
    <row r="84" spans="2:23">
      <c r="B84" s="139" t="s">
        <v>431</v>
      </c>
      <c r="C84" s="158"/>
      <c r="D84" s="180">
        <f t="shared" ref="D84:S84" si="76">D54</f>
        <v>0</v>
      </c>
      <c r="E84" s="175">
        <f t="shared" si="76"/>
        <v>-297142659.31949997</v>
      </c>
      <c r="F84" s="175">
        <f t="shared" si="76"/>
        <v>-658371295.82717824</v>
      </c>
      <c r="G84" s="175">
        <f t="shared" si="76"/>
        <v>-1506498495.3769495</v>
      </c>
      <c r="H84" s="175">
        <f t="shared" si="76"/>
        <v>-677509738.84358501</v>
      </c>
      <c r="I84" s="175">
        <f t="shared" si="76"/>
        <v>-463218063.69178241</v>
      </c>
      <c r="J84" s="175">
        <f t="shared" si="76"/>
        <v>1014684723.0223165</v>
      </c>
      <c r="K84" s="175">
        <f t="shared" si="76"/>
        <v>1237366425.0854492</v>
      </c>
      <c r="L84" s="175">
        <f t="shared" si="76"/>
        <v>1265683426.9592602</v>
      </c>
      <c r="M84" s="175">
        <f t="shared" si="76"/>
        <v>1298867310.2945635</v>
      </c>
      <c r="N84" s="175">
        <f t="shared" si="76"/>
        <v>2508020339.8117857</v>
      </c>
      <c r="O84" s="175">
        <f t="shared" si="76"/>
        <v>0</v>
      </c>
      <c r="P84" s="175">
        <f t="shared" si="76"/>
        <v>0</v>
      </c>
      <c r="Q84" s="175">
        <f t="shared" si="76"/>
        <v>0</v>
      </c>
      <c r="R84" s="175">
        <f t="shared" si="76"/>
        <v>0</v>
      </c>
      <c r="S84" s="175">
        <f t="shared" si="76"/>
        <v>0</v>
      </c>
      <c r="U84" s="175">
        <f t="shared" si="75"/>
        <v>3721881972.1143799</v>
      </c>
      <c r="W84" s="143" t="s">
        <v>340</v>
      </c>
    </row>
    <row r="85" spans="2:23" s="175" customFormat="1" ht="12.6">
      <c r="B85" s="139" t="s">
        <v>509</v>
      </c>
      <c r="C85" s="139"/>
      <c r="D85" s="180">
        <f t="shared" ref="D85:S85" si="77">D56</f>
        <v>0</v>
      </c>
      <c r="E85" s="175">
        <f t="shared" si="77"/>
        <v>-20181661.5</v>
      </c>
      <c r="F85" s="175">
        <f t="shared" si="77"/>
        <v>-57200000</v>
      </c>
      <c r="G85" s="175">
        <f t="shared" si="77"/>
        <v>-57199999.999999993</v>
      </c>
      <c r="H85" s="175">
        <f t="shared" si="77"/>
        <v>-57199999.999999993</v>
      </c>
      <c r="I85" s="175">
        <f t="shared" si="77"/>
        <v>-3814716.9436855419</v>
      </c>
      <c r="J85" s="175">
        <f t="shared" si="77"/>
        <v>0</v>
      </c>
      <c r="K85" s="175">
        <f t="shared" si="77"/>
        <v>0</v>
      </c>
      <c r="L85" s="175">
        <f t="shared" si="77"/>
        <v>0</v>
      </c>
      <c r="M85" s="175">
        <f t="shared" si="77"/>
        <v>0</v>
      </c>
      <c r="N85" s="175">
        <f t="shared" si="77"/>
        <v>0</v>
      </c>
      <c r="O85" s="175">
        <f t="shared" si="77"/>
        <v>0</v>
      </c>
      <c r="P85" s="175">
        <f t="shared" si="77"/>
        <v>0</v>
      </c>
      <c r="Q85" s="175">
        <f t="shared" si="77"/>
        <v>0</v>
      </c>
      <c r="R85" s="175">
        <f t="shared" si="77"/>
        <v>0</v>
      </c>
      <c r="S85" s="175">
        <f t="shared" si="77"/>
        <v>0</v>
      </c>
      <c r="U85" s="175">
        <f t="shared" si="75"/>
        <v>-195596378.44368553</v>
      </c>
      <c r="V85" s="169"/>
      <c r="W85" s="143" t="s">
        <v>340</v>
      </c>
    </row>
    <row r="86" spans="2:23" s="175" customFormat="1" ht="12.6">
      <c r="B86" s="139" t="s">
        <v>515</v>
      </c>
      <c r="C86" s="139"/>
      <c r="D86" s="175">
        <f>D75</f>
        <v>0</v>
      </c>
      <c r="E86" s="175">
        <f>E75</f>
        <v>282261000</v>
      </c>
      <c r="F86" s="175">
        <f>F75</f>
        <v>517739000</v>
      </c>
      <c r="G86" s="175">
        <f>G75</f>
        <v>0</v>
      </c>
      <c r="H86" s="175">
        <f>H75</f>
        <v>0</v>
      </c>
      <c r="V86" s="169"/>
      <c r="W86" s="143" t="s">
        <v>340</v>
      </c>
    </row>
    <row r="87" spans="2:23">
      <c r="B87" s="245" t="s">
        <v>337</v>
      </c>
      <c r="C87" s="245"/>
      <c r="D87" s="249">
        <f t="shared" ref="D87:S87" si="78">IF(D2&lt;$F$5,$G$13,0)</f>
        <v>50000000</v>
      </c>
      <c r="E87" s="249">
        <f t="shared" si="78"/>
        <v>50000000</v>
      </c>
      <c r="F87" s="249">
        <f t="shared" si="78"/>
        <v>50000000</v>
      </c>
      <c r="G87" s="249">
        <f t="shared" si="78"/>
        <v>50000000</v>
      </c>
      <c r="H87" s="249">
        <f t="shared" si="78"/>
        <v>50000000</v>
      </c>
      <c r="I87" s="249">
        <f t="shared" si="78"/>
        <v>50000000</v>
      </c>
      <c r="J87" s="249">
        <f t="shared" si="78"/>
        <v>50000000</v>
      </c>
      <c r="K87" s="249">
        <f t="shared" si="78"/>
        <v>50000000</v>
      </c>
      <c r="L87" s="249">
        <f t="shared" si="78"/>
        <v>50000000</v>
      </c>
      <c r="M87" s="249">
        <f t="shared" si="78"/>
        <v>50000000</v>
      </c>
      <c r="N87" s="249">
        <f t="shared" si="78"/>
        <v>0</v>
      </c>
      <c r="O87" s="249">
        <f t="shared" si="78"/>
        <v>0</v>
      </c>
      <c r="P87" s="249">
        <f t="shared" si="78"/>
        <v>0</v>
      </c>
      <c r="Q87" s="249">
        <f t="shared" si="78"/>
        <v>0</v>
      </c>
      <c r="R87" s="249">
        <f t="shared" si="78"/>
        <v>0</v>
      </c>
      <c r="S87" s="249">
        <f t="shared" si="78"/>
        <v>0</v>
      </c>
      <c r="U87" s="249"/>
      <c r="W87" s="143" t="s">
        <v>340</v>
      </c>
    </row>
    <row r="88" spans="2:23">
      <c r="B88" s="248" t="s">
        <v>446</v>
      </c>
      <c r="C88" s="182">
        <f>SUM(D88:S88)</f>
        <v>0</v>
      </c>
      <c r="D88" s="183">
        <f t="shared" ref="D88:S88" si="79">IF(D2=0,0,IFERROR(MAX(-SUM(D82:D86,-D87),0),0))</f>
        <v>0</v>
      </c>
      <c r="E88" s="183">
        <f t="shared" si="79"/>
        <v>0</v>
      </c>
      <c r="F88" s="183">
        <f t="shared" si="79"/>
        <v>0</v>
      </c>
      <c r="G88" s="183">
        <f t="shared" si="79"/>
        <v>0</v>
      </c>
      <c r="H88" s="183">
        <f t="shared" si="79"/>
        <v>0</v>
      </c>
      <c r="I88" s="183">
        <f t="shared" si="79"/>
        <v>0</v>
      </c>
      <c r="J88" s="183">
        <f t="shared" si="79"/>
        <v>0</v>
      </c>
      <c r="K88" s="183">
        <f t="shared" si="79"/>
        <v>0</v>
      </c>
      <c r="L88" s="183">
        <f t="shared" si="79"/>
        <v>0</v>
      </c>
      <c r="M88" s="183">
        <f t="shared" si="79"/>
        <v>0</v>
      </c>
      <c r="N88" s="183">
        <f t="shared" si="79"/>
        <v>0</v>
      </c>
      <c r="O88" s="183">
        <f t="shared" si="79"/>
        <v>0</v>
      </c>
      <c r="P88" s="183">
        <f t="shared" si="79"/>
        <v>0</v>
      </c>
      <c r="Q88" s="183">
        <f t="shared" si="79"/>
        <v>0</v>
      </c>
      <c r="R88" s="183">
        <f t="shared" si="79"/>
        <v>0</v>
      </c>
      <c r="S88" s="183">
        <f t="shared" si="79"/>
        <v>0</v>
      </c>
      <c r="U88" s="183">
        <f t="shared" ref="U88" si="80">SUM(D88:S88)</f>
        <v>0</v>
      </c>
      <c r="W88" s="143" t="s">
        <v>340</v>
      </c>
    </row>
    <row r="89" spans="2:23">
      <c r="C89" s="144"/>
      <c r="D89" s="175"/>
      <c r="E89" s="175"/>
      <c r="F89" s="175"/>
      <c r="G89" s="175"/>
      <c r="H89" s="175"/>
      <c r="I89" s="175"/>
      <c r="J89" s="175"/>
      <c r="K89" s="175"/>
      <c r="L89" s="175"/>
      <c r="M89" s="175"/>
      <c r="N89" s="175"/>
      <c r="O89" s="175"/>
      <c r="P89" s="175"/>
      <c r="Q89" s="175"/>
      <c r="R89" s="175"/>
      <c r="S89" s="175"/>
      <c r="U89" s="175"/>
      <c r="W89" s="143" t="s">
        <v>340</v>
      </c>
    </row>
    <row r="90" spans="2:23">
      <c r="B90" s="240" t="s">
        <v>447</v>
      </c>
      <c r="C90" s="240"/>
      <c r="D90" s="244"/>
      <c r="E90" s="244"/>
      <c r="F90" s="244"/>
      <c r="G90" s="244"/>
      <c r="H90" s="244"/>
      <c r="I90" s="244"/>
      <c r="J90" s="244"/>
      <c r="K90" s="244"/>
      <c r="L90" s="244"/>
      <c r="M90" s="244"/>
      <c r="N90" s="244"/>
      <c r="O90" s="244"/>
      <c r="P90" s="244"/>
      <c r="Q90" s="244"/>
      <c r="R90" s="244"/>
      <c r="S90" s="244"/>
      <c r="U90" s="244"/>
      <c r="W90" s="143" t="s">
        <v>340</v>
      </c>
    </row>
    <row r="91" spans="2:23">
      <c r="B91" s="148" t="s">
        <v>374</v>
      </c>
      <c r="D91" s="175"/>
      <c r="E91" s="175"/>
      <c r="F91" s="175"/>
      <c r="G91" s="175"/>
      <c r="H91" s="175"/>
      <c r="I91" s="175"/>
      <c r="J91" s="175"/>
      <c r="K91" s="175"/>
      <c r="L91" s="175"/>
      <c r="M91" s="175"/>
      <c r="N91" s="175"/>
      <c r="O91" s="175"/>
      <c r="P91" s="175"/>
      <c r="Q91" s="175"/>
      <c r="R91" s="175"/>
      <c r="S91" s="175"/>
      <c r="U91" s="175"/>
      <c r="W91" s="143" t="s">
        <v>340</v>
      </c>
    </row>
    <row r="92" spans="2:23">
      <c r="B92" s="149" t="s">
        <v>125</v>
      </c>
      <c r="D92" s="175">
        <f t="shared" ref="D92:S92" si="81">D63</f>
        <v>28900000</v>
      </c>
      <c r="E92" s="175">
        <f t="shared" si="81"/>
        <v>28900000</v>
      </c>
      <c r="F92" s="175">
        <f t="shared" si="81"/>
        <v>169073889</v>
      </c>
      <c r="G92" s="175">
        <f t="shared" si="81"/>
        <v>853586959</v>
      </c>
      <c r="H92" s="175">
        <f t="shared" si="81"/>
        <v>375478425</v>
      </c>
      <c r="I92" s="175">
        <f t="shared" si="81"/>
        <v>682607000</v>
      </c>
      <c r="J92" s="175">
        <f t="shared" si="81"/>
        <v>236846000</v>
      </c>
      <c r="K92" s="175">
        <f t="shared" si="81"/>
        <v>50000000</v>
      </c>
      <c r="L92" s="175">
        <f t="shared" si="81"/>
        <v>50000000</v>
      </c>
      <c r="M92" s="175">
        <f t="shared" si="81"/>
        <v>50000000</v>
      </c>
      <c r="N92" s="175">
        <f t="shared" si="81"/>
        <v>50000000</v>
      </c>
      <c r="O92" s="175">
        <f t="shared" si="81"/>
        <v>0</v>
      </c>
      <c r="P92" s="175">
        <f t="shared" si="81"/>
        <v>0</v>
      </c>
      <c r="Q92" s="175">
        <f t="shared" si="81"/>
        <v>0</v>
      </c>
      <c r="R92" s="175">
        <f t="shared" si="81"/>
        <v>0</v>
      </c>
      <c r="S92" s="175">
        <f t="shared" si="81"/>
        <v>0</v>
      </c>
      <c r="U92" s="175"/>
      <c r="W92" s="143" t="s">
        <v>340</v>
      </c>
    </row>
    <row r="93" spans="2:23">
      <c r="B93" s="149" t="s">
        <v>373</v>
      </c>
      <c r="D93" s="175">
        <f t="shared" ref="D93:S93" si="82">D48</f>
        <v>0</v>
      </c>
      <c r="E93" s="175">
        <f t="shared" si="82"/>
        <v>338274933.39117843</v>
      </c>
      <c r="F93" s="175">
        <f t="shared" si="82"/>
        <v>1093764940.383908</v>
      </c>
      <c r="G93" s="175">
        <f t="shared" si="82"/>
        <v>1328258182.7722161</v>
      </c>
      <c r="H93" s="175">
        <f t="shared" si="82"/>
        <v>2051034464.4109743</v>
      </c>
      <c r="I93" s="175">
        <f t="shared" si="82"/>
        <v>1769028600.0899506</v>
      </c>
      <c r="J93" s="175">
        <f t="shared" si="82"/>
        <v>1815366477.4006298</v>
      </c>
      <c r="K93" s="175">
        <f t="shared" si="82"/>
        <v>900345645.30095696</v>
      </c>
      <c r="L93" s="175">
        <f t="shared" si="82"/>
        <v>240855459.53039074</v>
      </c>
      <c r="M93" s="175">
        <f t="shared" si="82"/>
        <v>182958931.01232746</v>
      </c>
      <c r="N93" s="175">
        <f t="shared" si="82"/>
        <v>122062456.36298198</v>
      </c>
      <c r="O93" s="175">
        <f t="shared" si="82"/>
        <v>0</v>
      </c>
      <c r="P93" s="175">
        <f t="shared" si="82"/>
        <v>0</v>
      </c>
      <c r="Q93" s="175">
        <f t="shared" si="82"/>
        <v>0</v>
      </c>
      <c r="R93" s="175">
        <f t="shared" si="82"/>
        <v>0</v>
      </c>
      <c r="S93" s="175">
        <f t="shared" si="82"/>
        <v>0</v>
      </c>
      <c r="U93" s="175">
        <f t="shared" ref="U93:U98" si="83">SUM(D93:S93)</f>
        <v>9841950090.6555138</v>
      </c>
      <c r="W93" s="143" t="s">
        <v>340</v>
      </c>
    </row>
    <row r="94" spans="2:23">
      <c r="B94" s="149" t="s">
        <v>375</v>
      </c>
      <c r="D94" s="175">
        <f t="shared" ref="D94:S94" si="84">D54</f>
        <v>0</v>
      </c>
      <c r="E94" s="180">
        <f t="shared" si="84"/>
        <v>-297142659.31949997</v>
      </c>
      <c r="F94" s="175">
        <f t="shared" si="84"/>
        <v>-658371295.82717824</v>
      </c>
      <c r="G94" s="175">
        <f t="shared" si="84"/>
        <v>-1506498495.3769495</v>
      </c>
      <c r="H94" s="175">
        <f t="shared" si="84"/>
        <v>-677509738.84358501</v>
      </c>
      <c r="I94" s="175">
        <f t="shared" si="84"/>
        <v>-463218063.69178241</v>
      </c>
      <c r="J94" s="175">
        <f t="shared" si="84"/>
        <v>1014684723.0223165</v>
      </c>
      <c r="K94" s="175">
        <f t="shared" si="84"/>
        <v>1237366425.0854492</v>
      </c>
      <c r="L94" s="175">
        <f t="shared" si="84"/>
        <v>1265683426.9592602</v>
      </c>
      <c r="M94" s="175">
        <f t="shared" si="84"/>
        <v>1298867310.2945635</v>
      </c>
      <c r="N94" s="175">
        <f t="shared" si="84"/>
        <v>2508020339.8117857</v>
      </c>
      <c r="O94" s="175">
        <f t="shared" si="84"/>
        <v>0</v>
      </c>
      <c r="P94" s="175">
        <f t="shared" si="84"/>
        <v>0</v>
      </c>
      <c r="Q94" s="175">
        <f t="shared" si="84"/>
        <v>0</v>
      </c>
      <c r="R94" s="175">
        <f t="shared" si="84"/>
        <v>0</v>
      </c>
      <c r="S94" s="175">
        <f t="shared" si="84"/>
        <v>0</v>
      </c>
      <c r="U94" s="175">
        <f t="shared" si="83"/>
        <v>3721881972.1143799</v>
      </c>
      <c r="W94" s="143" t="s">
        <v>340</v>
      </c>
    </row>
    <row r="95" spans="2:23">
      <c r="B95" s="139" t="s">
        <v>509</v>
      </c>
      <c r="D95" s="175">
        <f t="shared" ref="D95:S95" si="85">D56</f>
        <v>0</v>
      </c>
      <c r="E95" s="175">
        <f t="shared" si="85"/>
        <v>-20181661.5</v>
      </c>
      <c r="F95" s="175">
        <f t="shared" si="85"/>
        <v>-57200000</v>
      </c>
      <c r="G95" s="175">
        <f t="shared" si="85"/>
        <v>-57199999.999999993</v>
      </c>
      <c r="H95" s="175">
        <f t="shared" si="85"/>
        <v>-57199999.999999993</v>
      </c>
      <c r="I95" s="175">
        <f t="shared" si="85"/>
        <v>-3814716.9436855419</v>
      </c>
      <c r="J95" s="175">
        <f t="shared" si="85"/>
        <v>0</v>
      </c>
      <c r="K95" s="175">
        <f t="shared" si="85"/>
        <v>0</v>
      </c>
      <c r="L95" s="175">
        <f t="shared" si="85"/>
        <v>0</v>
      </c>
      <c r="M95" s="175">
        <f t="shared" si="85"/>
        <v>0</v>
      </c>
      <c r="N95" s="175">
        <f t="shared" si="85"/>
        <v>0</v>
      </c>
      <c r="O95" s="175">
        <f t="shared" si="85"/>
        <v>0</v>
      </c>
      <c r="P95" s="175">
        <f t="shared" si="85"/>
        <v>0</v>
      </c>
      <c r="Q95" s="175">
        <f t="shared" si="85"/>
        <v>0</v>
      </c>
      <c r="R95" s="175">
        <f t="shared" si="85"/>
        <v>0</v>
      </c>
      <c r="S95" s="175">
        <f t="shared" si="85"/>
        <v>0</v>
      </c>
      <c r="U95" s="175">
        <f t="shared" si="83"/>
        <v>-195596378.44368553</v>
      </c>
      <c r="W95" s="143" t="s">
        <v>340</v>
      </c>
    </row>
    <row r="96" spans="2:23">
      <c r="B96" s="139" t="s">
        <v>516</v>
      </c>
      <c r="D96" s="175">
        <f t="shared" ref="D96:S96" si="86">D75</f>
        <v>0</v>
      </c>
      <c r="E96" s="175">
        <f t="shared" si="86"/>
        <v>282261000</v>
      </c>
      <c r="F96" s="175">
        <f t="shared" si="86"/>
        <v>517739000</v>
      </c>
      <c r="G96" s="175">
        <f t="shared" si="86"/>
        <v>0</v>
      </c>
      <c r="H96" s="175">
        <f t="shared" si="86"/>
        <v>0</v>
      </c>
      <c r="I96" s="175">
        <f t="shared" si="86"/>
        <v>0</v>
      </c>
      <c r="J96" s="175">
        <f t="shared" si="86"/>
        <v>0</v>
      </c>
      <c r="K96" s="175">
        <f t="shared" si="86"/>
        <v>0</v>
      </c>
      <c r="L96" s="175">
        <f t="shared" si="86"/>
        <v>0</v>
      </c>
      <c r="M96" s="175">
        <f t="shared" si="86"/>
        <v>0</v>
      </c>
      <c r="N96" s="175">
        <f t="shared" si="86"/>
        <v>0</v>
      </c>
      <c r="O96" s="175">
        <f t="shared" si="86"/>
        <v>0</v>
      </c>
      <c r="P96" s="175">
        <f t="shared" si="86"/>
        <v>0</v>
      </c>
      <c r="Q96" s="175">
        <f t="shared" si="86"/>
        <v>0</v>
      </c>
      <c r="R96" s="175">
        <f t="shared" si="86"/>
        <v>0</v>
      </c>
      <c r="S96" s="175">
        <f t="shared" si="86"/>
        <v>0</v>
      </c>
      <c r="U96" s="175">
        <f t="shared" si="83"/>
        <v>800000000</v>
      </c>
      <c r="W96" s="143" t="s">
        <v>340</v>
      </c>
    </row>
    <row r="97" spans="2:33">
      <c r="B97" s="139" t="s">
        <v>505</v>
      </c>
      <c r="D97" s="175">
        <f t="shared" ref="D97:S97" si="87">-D113</f>
        <v>0</v>
      </c>
      <c r="E97" s="175">
        <f t="shared" si="87"/>
        <v>0</v>
      </c>
      <c r="F97" s="175">
        <f t="shared" si="87"/>
        <v>0</v>
      </c>
      <c r="G97" s="175">
        <f t="shared" si="87"/>
        <v>0</v>
      </c>
      <c r="H97" s="175">
        <f t="shared" si="87"/>
        <v>0</v>
      </c>
      <c r="I97" s="175">
        <f t="shared" si="87"/>
        <v>0</v>
      </c>
      <c r="J97" s="175">
        <f t="shared" si="87"/>
        <v>-1219142231.1763837</v>
      </c>
      <c r="K97" s="175">
        <f t="shared" si="87"/>
        <v>-1251580914.083297</v>
      </c>
      <c r="L97" s="175">
        <f t="shared" si="87"/>
        <v>-1276439574.6330268</v>
      </c>
      <c r="M97" s="175">
        <f t="shared" si="87"/>
        <v>-1306102491.6615891</v>
      </c>
      <c r="N97" s="175">
        <f t="shared" si="87"/>
        <v>-1336463761.9342566</v>
      </c>
      <c r="O97" s="175">
        <f t="shared" si="87"/>
        <v>0</v>
      </c>
      <c r="P97" s="175">
        <f t="shared" si="87"/>
        <v>0</v>
      </c>
      <c r="Q97" s="175">
        <f t="shared" si="87"/>
        <v>0</v>
      </c>
      <c r="R97" s="175">
        <f t="shared" si="87"/>
        <v>0</v>
      </c>
      <c r="S97" s="175">
        <f t="shared" si="87"/>
        <v>0</v>
      </c>
      <c r="U97" s="175">
        <f t="shared" si="83"/>
        <v>-6389728973.488553</v>
      </c>
      <c r="W97" s="143" t="s">
        <v>340</v>
      </c>
    </row>
    <row r="98" spans="2:33">
      <c r="B98" s="139" t="s">
        <v>432</v>
      </c>
      <c r="D98" s="175">
        <f t="shared" ref="D98:S98" si="88">D59</f>
        <v>0</v>
      </c>
      <c r="E98" s="175">
        <f t="shared" si="88"/>
        <v>0</v>
      </c>
      <c r="F98" s="175">
        <f t="shared" si="88"/>
        <v>0</v>
      </c>
      <c r="G98" s="175">
        <f t="shared" si="88"/>
        <v>0</v>
      </c>
      <c r="H98" s="175">
        <f t="shared" si="88"/>
        <v>0</v>
      </c>
      <c r="I98" s="175">
        <f t="shared" si="88"/>
        <v>0</v>
      </c>
      <c r="J98" s="175">
        <f t="shared" si="88"/>
        <v>0</v>
      </c>
      <c r="K98" s="175">
        <f t="shared" si="88"/>
        <v>0</v>
      </c>
      <c r="L98" s="175">
        <f t="shared" si="88"/>
        <v>0</v>
      </c>
      <c r="M98" s="175">
        <f t="shared" si="88"/>
        <v>0</v>
      </c>
      <c r="N98" s="175">
        <f t="shared" si="88"/>
        <v>0</v>
      </c>
      <c r="O98" s="175">
        <f t="shared" si="88"/>
        <v>0</v>
      </c>
      <c r="P98" s="175">
        <f t="shared" si="88"/>
        <v>0</v>
      </c>
      <c r="Q98" s="175">
        <f t="shared" si="88"/>
        <v>0</v>
      </c>
      <c r="R98" s="175">
        <f t="shared" si="88"/>
        <v>0</v>
      </c>
      <c r="S98" s="175">
        <f t="shared" si="88"/>
        <v>0</v>
      </c>
      <c r="U98" s="175">
        <f t="shared" si="83"/>
        <v>0</v>
      </c>
      <c r="W98" s="143" t="s">
        <v>340</v>
      </c>
    </row>
    <row r="99" spans="2:33">
      <c r="B99" s="148" t="s">
        <v>376</v>
      </c>
      <c r="D99" s="184">
        <f t="shared" ref="D99:O99" si="89">SUM(D92:D98)</f>
        <v>28900000</v>
      </c>
      <c r="E99" s="184">
        <f t="shared" si="89"/>
        <v>332111612.57167846</v>
      </c>
      <c r="F99" s="184">
        <f t="shared" si="89"/>
        <v>1065006533.5567298</v>
      </c>
      <c r="G99" s="184">
        <f t="shared" si="89"/>
        <v>618146646.39526629</v>
      </c>
      <c r="H99" s="184">
        <f t="shared" si="89"/>
        <v>1691803150.5673895</v>
      </c>
      <c r="I99" s="184">
        <f t="shared" si="89"/>
        <v>1984602819.4544826</v>
      </c>
      <c r="J99" s="184">
        <f t="shared" si="89"/>
        <v>1847754969.2465622</v>
      </c>
      <c r="K99" s="184">
        <f t="shared" si="89"/>
        <v>936131156.30310893</v>
      </c>
      <c r="L99" s="184">
        <f t="shared" si="89"/>
        <v>280099311.85662413</v>
      </c>
      <c r="M99" s="184">
        <f t="shared" si="89"/>
        <v>225723749.64530182</v>
      </c>
      <c r="N99" s="184">
        <f t="shared" si="89"/>
        <v>1343619034.2405109</v>
      </c>
      <c r="O99" s="184">
        <f t="shared" si="89"/>
        <v>0</v>
      </c>
      <c r="P99" s="184">
        <f t="shared" ref="P99:S99" si="90">SUM(P92:P98)</f>
        <v>0</v>
      </c>
      <c r="Q99" s="184">
        <f t="shared" si="90"/>
        <v>0</v>
      </c>
      <c r="R99" s="184">
        <f t="shared" si="90"/>
        <v>0</v>
      </c>
      <c r="S99" s="184">
        <f t="shared" si="90"/>
        <v>0</v>
      </c>
      <c r="U99" s="184"/>
      <c r="W99" s="143" t="s">
        <v>340</v>
      </c>
    </row>
    <row r="100" spans="2:33">
      <c r="B100" s="149" t="s">
        <v>377</v>
      </c>
      <c r="C100" s="192"/>
      <c r="D100" s="181">
        <f t="shared" ref="D100:O100" si="91">D87</f>
        <v>50000000</v>
      </c>
      <c r="E100" s="181">
        <f t="shared" si="91"/>
        <v>50000000</v>
      </c>
      <c r="F100" s="181">
        <f t="shared" si="91"/>
        <v>50000000</v>
      </c>
      <c r="G100" s="181">
        <f t="shared" si="91"/>
        <v>50000000</v>
      </c>
      <c r="H100" s="181">
        <f t="shared" si="91"/>
        <v>50000000</v>
      </c>
      <c r="I100" s="181">
        <f t="shared" si="91"/>
        <v>50000000</v>
      </c>
      <c r="J100" s="181">
        <f t="shared" si="91"/>
        <v>50000000</v>
      </c>
      <c r="K100" s="181">
        <f t="shared" si="91"/>
        <v>50000000</v>
      </c>
      <c r="L100" s="181">
        <f t="shared" si="91"/>
        <v>50000000</v>
      </c>
      <c r="M100" s="181">
        <f t="shared" si="91"/>
        <v>50000000</v>
      </c>
      <c r="N100" s="181">
        <f t="shared" si="91"/>
        <v>0</v>
      </c>
      <c r="O100" s="181">
        <f t="shared" si="91"/>
        <v>0</v>
      </c>
      <c r="P100" s="181">
        <f t="shared" ref="P100" si="92">P87</f>
        <v>0</v>
      </c>
      <c r="Q100" s="181">
        <f t="shared" ref="Q100:R100" si="93">Q87</f>
        <v>0</v>
      </c>
      <c r="R100" s="181">
        <f t="shared" si="93"/>
        <v>0</v>
      </c>
      <c r="S100" s="181">
        <f t="shared" ref="S100" si="94">S87</f>
        <v>0</v>
      </c>
      <c r="U100" s="181"/>
      <c r="W100" s="143" t="s">
        <v>340</v>
      </c>
    </row>
    <row r="101" spans="2:33">
      <c r="B101" s="148" t="s">
        <v>448</v>
      </c>
      <c r="D101" s="184">
        <f t="shared" ref="D101:G101" si="95">D99-D100</f>
        <v>-21100000</v>
      </c>
      <c r="E101" s="184">
        <f>E99-E100</f>
        <v>282111612.57167846</v>
      </c>
      <c r="F101" s="184">
        <f t="shared" si="95"/>
        <v>1015006533.5567298</v>
      </c>
      <c r="G101" s="184">
        <f t="shared" si="95"/>
        <v>568146646.39526629</v>
      </c>
      <c r="H101" s="184">
        <f>H99-H100</f>
        <v>1641803150.5673895</v>
      </c>
      <c r="I101" s="184">
        <f t="shared" ref="I101:O101" si="96">I99-I100</f>
        <v>1934602819.4544826</v>
      </c>
      <c r="J101" s="184">
        <f t="shared" si="96"/>
        <v>1797754969.2465622</v>
      </c>
      <c r="K101" s="184">
        <f t="shared" si="96"/>
        <v>886131156.30310893</v>
      </c>
      <c r="L101" s="184">
        <f t="shared" si="96"/>
        <v>230099311.85662413</v>
      </c>
      <c r="M101" s="184">
        <f t="shared" si="96"/>
        <v>175723749.64530182</v>
      </c>
      <c r="N101" s="184">
        <f t="shared" si="96"/>
        <v>1343619034.2405109</v>
      </c>
      <c r="O101" s="184">
        <f t="shared" si="96"/>
        <v>0</v>
      </c>
      <c r="P101" s="184">
        <f t="shared" ref="P101" si="97">P99-P100</f>
        <v>0</v>
      </c>
      <c r="Q101" s="184">
        <f t="shared" ref="Q101:R101" si="98">Q99-Q100</f>
        <v>0</v>
      </c>
      <c r="R101" s="184">
        <f t="shared" si="98"/>
        <v>0</v>
      </c>
      <c r="S101" s="184">
        <f t="shared" ref="S101" si="99">S99-S100</f>
        <v>0</v>
      </c>
      <c r="U101" s="184"/>
      <c r="W101" s="143" t="s">
        <v>340</v>
      </c>
    </row>
    <row r="102" spans="2:33">
      <c r="B102" s="189" t="s">
        <v>497</v>
      </c>
      <c r="C102" s="189"/>
      <c r="D102" s="193">
        <f>IF(D101&gt;SUM(E69:$S$69),D101-D106-SUM(E69:$S$69),0)</f>
        <v>0</v>
      </c>
      <c r="E102" s="193">
        <f>IF(E101&gt;SUM(F69:$S$69),E101-E106-SUM(F69:$S$69),0)</f>
        <v>0</v>
      </c>
      <c r="F102" s="193">
        <f>IF(F101&gt;SUM(G69:$S$69),F101-F106-SUM(G69:$S$69),0)</f>
        <v>0</v>
      </c>
      <c r="G102" s="193">
        <f>IF(G101&gt;SUM(H69:$S$69),G101-G106-SUM(H69:$S$69),0)</f>
        <v>0</v>
      </c>
      <c r="H102" s="193">
        <f>IF(H101&gt;SUM(I69:$S$69),H101-H106-SUM(I69:$S$69),0)</f>
        <v>746647315.47292948</v>
      </c>
      <c r="I102" s="193">
        <f>IF(I101&gt;SUM(J69:$S$69),I101-I106-SUM(J69:$S$69),0)</f>
        <v>1468123432.4342811</v>
      </c>
      <c r="J102" s="193">
        <f>IF(J101&gt;SUM(K69:$S$69),J101-J106-SUM(K69:$S$69),0)</f>
        <v>1510929236.9340537</v>
      </c>
      <c r="K102" s="193">
        <f>IF(K101&gt;SUM(L69:$S$69),K101-K106-SUM(L69:$S$69),0)</f>
        <v>886131156.30310893</v>
      </c>
      <c r="L102" s="193">
        <f>IF(L101&gt;SUM(M69:$S$69),L101-L106-SUM(M69:$S$69),0)</f>
        <v>230099311.85662413</v>
      </c>
      <c r="M102" s="193">
        <f>IF(M101&gt;SUM(N69:$S$69),M101-M106-SUM(N69:$S$69),0)</f>
        <v>175723749.64530182</v>
      </c>
      <c r="N102" s="193">
        <f>IF(N101&gt;SUM(O69:$S$69),N101-N106-SUM(O69:$S$69),0)</f>
        <v>1343619034.2405109</v>
      </c>
      <c r="O102" s="193">
        <f>IF(O101&gt;SUM(P69:$S$69),O101-O106-SUM(P69:$S$69),0)</f>
        <v>0</v>
      </c>
      <c r="P102" s="193">
        <f>IF(P101&gt;SUM(Q69:$S$69),P101-P106-SUM(Q69:$S$69),0)</f>
        <v>0</v>
      </c>
      <c r="Q102" s="193">
        <f>IF(Q101&gt;SUM(R69:$S$69),Q101-Q106-SUM(R69:$S$69),0)</f>
        <v>0</v>
      </c>
      <c r="R102" s="193">
        <f>IF(R101&gt;SUM(S69:$S$69),R101-R106-SUM(S69:$S$69),0)</f>
        <v>0</v>
      </c>
      <c r="S102" s="193">
        <f>IF(S101&gt;SUM($S69:T$69),S101-S106-SUM($S69:T$69),0)</f>
        <v>0</v>
      </c>
      <c r="U102" s="193"/>
      <c r="W102" s="143" t="s">
        <v>340</v>
      </c>
    </row>
    <row r="103" spans="2:33">
      <c r="B103" s="139" t="s">
        <v>517</v>
      </c>
      <c r="C103" s="138"/>
      <c r="D103" s="158">
        <f>-MIN(D74,IF(SUM(D102,-D106)&gt;0,SUM(D102,-D106),0))</f>
        <v>0</v>
      </c>
      <c r="E103" s="158">
        <f>-MIN(E74,IF(SUM(E102,-E106)&gt;0,SUM(E102,-E106),0))</f>
        <v>0</v>
      </c>
      <c r="F103" s="158">
        <f>-MIN(F74,IF(SUM(F102,-F106)&gt;0,SUM(F102,-F106),0))</f>
        <v>0</v>
      </c>
      <c r="G103" s="158">
        <f>-MIN(G74,IF(SUM(G102,-G106)&gt;0,SUM(G102,-G106),0))</f>
        <v>0</v>
      </c>
      <c r="H103" s="158">
        <f t="shared" ref="H103:S103" si="100">-MIN(H74,IF(H102&gt;0,H102,0))</f>
        <v>-746647315.47292948</v>
      </c>
      <c r="I103" s="158">
        <f t="shared" si="100"/>
        <v>-53352684.527070522</v>
      </c>
      <c r="J103" s="158">
        <f t="shared" si="100"/>
        <v>0</v>
      </c>
      <c r="K103" s="158">
        <f t="shared" si="100"/>
        <v>0</v>
      </c>
      <c r="L103" s="158">
        <f t="shared" si="100"/>
        <v>0</v>
      </c>
      <c r="M103" s="158">
        <f t="shared" si="100"/>
        <v>0</v>
      </c>
      <c r="N103" s="158">
        <f t="shared" si="100"/>
        <v>0</v>
      </c>
      <c r="O103" s="158">
        <f t="shared" si="100"/>
        <v>0</v>
      </c>
      <c r="P103" s="158">
        <f t="shared" si="100"/>
        <v>0</v>
      </c>
      <c r="Q103" s="158">
        <f t="shared" si="100"/>
        <v>0</v>
      </c>
      <c r="R103" s="158">
        <f t="shared" si="100"/>
        <v>0</v>
      </c>
      <c r="S103" s="158">
        <f t="shared" si="100"/>
        <v>0</v>
      </c>
      <c r="T103" s="138"/>
      <c r="U103" s="175">
        <f t="shared" ref="U103" si="101">SUM(D103:S103)</f>
        <v>-800000000</v>
      </c>
      <c r="W103" s="143" t="s">
        <v>340</v>
      </c>
    </row>
    <row r="104" spans="2:33">
      <c r="B104" s="189" t="s">
        <v>498</v>
      </c>
      <c r="C104" s="189"/>
      <c r="D104" s="193">
        <f>IF(D102&gt;0,D102-D106,0)</f>
        <v>0</v>
      </c>
      <c r="E104" s="193">
        <f>IF(E102&gt;0,E102-E106,0)</f>
        <v>0</v>
      </c>
      <c r="F104" s="193">
        <f>IF(F102&gt;0,F102-F106,0)</f>
        <v>0</v>
      </c>
      <c r="G104" s="193">
        <f>IF(G102&gt;0,G102-G106,0)</f>
        <v>0</v>
      </c>
      <c r="H104" s="193">
        <f>SUM(H102:H103)</f>
        <v>0</v>
      </c>
      <c r="I104" s="193">
        <f t="shared" ref="I104:O104" si="102">SUM(I102:I103)</f>
        <v>1414770747.9072106</v>
      </c>
      <c r="J104" s="193">
        <f t="shared" si="102"/>
        <v>1510929236.9340537</v>
      </c>
      <c r="K104" s="193">
        <f t="shared" si="102"/>
        <v>886131156.30310893</v>
      </c>
      <c r="L104" s="193">
        <f t="shared" si="102"/>
        <v>230099311.85662413</v>
      </c>
      <c r="M104" s="193">
        <f t="shared" si="102"/>
        <v>175723749.64530182</v>
      </c>
      <c r="N104" s="193">
        <f t="shared" si="102"/>
        <v>1343619034.2405109</v>
      </c>
      <c r="O104" s="193">
        <f t="shared" si="102"/>
        <v>0</v>
      </c>
      <c r="P104" s="193">
        <f t="shared" ref="P104" si="103">SUM(P102:P103)</f>
        <v>0</v>
      </c>
      <c r="Q104" s="193">
        <f t="shared" ref="Q104:R104" si="104">SUM(Q102:Q103)</f>
        <v>0</v>
      </c>
      <c r="R104" s="193">
        <f t="shared" si="104"/>
        <v>0</v>
      </c>
      <c r="S104" s="193">
        <f t="shared" ref="S104" si="105">SUM(S102:S103)</f>
        <v>0</v>
      </c>
      <c r="W104" s="143" t="s">
        <v>340</v>
      </c>
    </row>
    <row r="105" spans="2:33">
      <c r="W105" s="143" t="s">
        <v>340</v>
      </c>
    </row>
    <row r="106" spans="2:33">
      <c r="B106" s="139" t="s">
        <v>395</v>
      </c>
      <c r="D106" s="185">
        <f t="shared" ref="D106:S106" si="106">IF(D101&gt;0,IF(AND(D69&gt;0,MIN(SUM(D32,D47,D51),D101)&gt;0),MIN(SUM(D32,D47,D51),D101),0),0)</f>
        <v>0</v>
      </c>
      <c r="E106" s="185">
        <f t="shared" si="106"/>
        <v>163037723.20546314</v>
      </c>
      <c r="F106" s="185">
        <f t="shared" si="106"/>
        <v>211419574.15838715</v>
      </c>
      <c r="G106" s="185">
        <f t="shared" si="106"/>
        <v>242668221.33231178</v>
      </c>
      <c r="H106" s="185">
        <f t="shared" si="106"/>
        <v>262548835.0944601</v>
      </c>
      <c r="I106" s="185">
        <f t="shared" si="106"/>
        <v>279633387.02020144</v>
      </c>
      <c r="J106" s="185">
        <f t="shared" si="106"/>
        <v>286825732.31250864</v>
      </c>
      <c r="K106" s="185">
        <f t="shared" si="106"/>
        <v>0</v>
      </c>
      <c r="L106" s="185">
        <f t="shared" si="106"/>
        <v>0</v>
      </c>
      <c r="M106" s="185">
        <f t="shared" si="106"/>
        <v>0</v>
      </c>
      <c r="N106" s="185">
        <f t="shared" si="106"/>
        <v>0</v>
      </c>
      <c r="O106" s="185">
        <f t="shared" si="106"/>
        <v>0</v>
      </c>
      <c r="P106" s="185">
        <f t="shared" si="106"/>
        <v>0</v>
      </c>
      <c r="Q106" s="185">
        <f t="shared" si="106"/>
        <v>0</v>
      </c>
      <c r="R106" s="185">
        <f t="shared" si="106"/>
        <v>0</v>
      </c>
      <c r="S106" s="185">
        <f t="shared" si="106"/>
        <v>0</v>
      </c>
      <c r="U106" s="175">
        <f t="shared" ref="U106:U109" si="107">SUM(D106:S106)</f>
        <v>1446133473.1233323</v>
      </c>
      <c r="W106" s="143" t="s">
        <v>340</v>
      </c>
    </row>
    <row r="107" spans="2:33">
      <c r="B107" s="139" t="s">
        <v>505</v>
      </c>
      <c r="D107" s="185">
        <f t="shared" ref="D107:S107" si="108">D113</f>
        <v>0</v>
      </c>
      <c r="E107" s="185">
        <f t="shared" si="108"/>
        <v>0</v>
      </c>
      <c r="F107" s="185">
        <f t="shared" si="108"/>
        <v>0</v>
      </c>
      <c r="G107" s="185">
        <f t="shared" si="108"/>
        <v>0</v>
      </c>
      <c r="H107" s="185">
        <f t="shared" si="108"/>
        <v>0</v>
      </c>
      <c r="I107" s="185">
        <f t="shared" si="108"/>
        <v>0</v>
      </c>
      <c r="J107" s="185">
        <f t="shared" si="108"/>
        <v>1219142231.1763837</v>
      </c>
      <c r="K107" s="185">
        <f t="shared" si="108"/>
        <v>1251580914.083297</v>
      </c>
      <c r="L107" s="185">
        <f t="shared" si="108"/>
        <v>1276439574.6330268</v>
      </c>
      <c r="M107" s="185">
        <f t="shared" si="108"/>
        <v>1306102491.6615891</v>
      </c>
      <c r="N107" s="185">
        <f t="shared" si="108"/>
        <v>1336463761.9342566</v>
      </c>
      <c r="O107" s="185">
        <f t="shared" si="108"/>
        <v>0</v>
      </c>
      <c r="P107" s="185">
        <f t="shared" si="108"/>
        <v>0</v>
      </c>
      <c r="Q107" s="185">
        <f t="shared" si="108"/>
        <v>0</v>
      </c>
      <c r="R107" s="185">
        <f t="shared" si="108"/>
        <v>0</v>
      </c>
      <c r="S107" s="185">
        <f t="shared" si="108"/>
        <v>0</v>
      </c>
      <c r="U107" s="175">
        <f t="shared" si="107"/>
        <v>6389728973.488553</v>
      </c>
      <c r="W107" s="143" t="s">
        <v>340</v>
      </c>
    </row>
    <row r="108" spans="2:33">
      <c r="B108" s="139" t="s">
        <v>449</v>
      </c>
      <c r="D108" s="185">
        <f t="shared" ref="D108:H108" si="109">SUM(D104)</f>
        <v>0</v>
      </c>
      <c r="E108" s="185">
        <f t="shared" si="109"/>
        <v>0</v>
      </c>
      <c r="F108" s="185">
        <f t="shared" si="109"/>
        <v>0</v>
      </c>
      <c r="G108" s="185">
        <f t="shared" si="109"/>
        <v>0</v>
      </c>
      <c r="H108" s="185">
        <f t="shared" si="109"/>
        <v>0</v>
      </c>
      <c r="I108" s="185">
        <f>SUM(I104)</f>
        <v>1414770747.9072106</v>
      </c>
      <c r="J108" s="185">
        <f t="shared" ref="J108:S108" si="110">SUM(J104)</f>
        <v>1510929236.9340537</v>
      </c>
      <c r="K108" s="185">
        <f t="shared" si="110"/>
        <v>886131156.30310893</v>
      </c>
      <c r="L108" s="185">
        <f t="shared" si="110"/>
        <v>230099311.85662413</v>
      </c>
      <c r="M108" s="185">
        <f t="shared" si="110"/>
        <v>175723749.64530182</v>
      </c>
      <c r="N108" s="185">
        <f t="shared" si="110"/>
        <v>1343619034.2405109</v>
      </c>
      <c r="O108" s="185">
        <f t="shared" si="110"/>
        <v>0</v>
      </c>
      <c r="P108" s="185">
        <f t="shared" si="110"/>
        <v>0</v>
      </c>
      <c r="Q108" s="185">
        <f t="shared" si="110"/>
        <v>0</v>
      </c>
      <c r="R108" s="185">
        <f t="shared" si="110"/>
        <v>0</v>
      </c>
      <c r="S108" s="185">
        <f t="shared" si="110"/>
        <v>0</v>
      </c>
      <c r="U108" s="175">
        <f t="shared" si="107"/>
        <v>5561273236.8868103</v>
      </c>
      <c r="W108" s="143" t="s">
        <v>340</v>
      </c>
    </row>
    <row r="109" spans="2:33">
      <c r="B109" s="189" t="s">
        <v>378</v>
      </c>
      <c r="C109" s="303">
        <f>SUM(D109:S109)</f>
        <v>13397135683.498695</v>
      </c>
      <c r="D109" s="193">
        <f t="shared" ref="D109" si="111">SUM(D106:D108)</f>
        <v>0</v>
      </c>
      <c r="E109" s="193">
        <f t="shared" ref="E109" si="112">SUM(E106:E108)</f>
        <v>163037723.20546314</v>
      </c>
      <c r="F109" s="193">
        <f t="shared" ref="F109" si="113">SUM(F106:F108)</f>
        <v>211419574.15838715</v>
      </c>
      <c r="G109" s="193">
        <f t="shared" ref="G109" si="114">SUM(G106:G108)</f>
        <v>242668221.33231178</v>
      </c>
      <c r="H109" s="193">
        <f t="shared" ref="H109" si="115">SUM(H106:H108)</f>
        <v>262548835.0944601</v>
      </c>
      <c r="I109" s="193">
        <f t="shared" ref="I109" si="116">SUM(I106:I108)</f>
        <v>1694404134.927412</v>
      </c>
      <c r="J109" s="193">
        <f t="shared" ref="J109:O109" si="117">SUM(J106:J108)</f>
        <v>3016897200.422946</v>
      </c>
      <c r="K109" s="193">
        <f t="shared" si="117"/>
        <v>2137712070.3864059</v>
      </c>
      <c r="L109" s="193">
        <f t="shared" si="117"/>
        <v>1506538886.489651</v>
      </c>
      <c r="M109" s="193">
        <f t="shared" si="117"/>
        <v>1481826241.306891</v>
      </c>
      <c r="N109" s="193">
        <f t="shared" si="117"/>
        <v>2680082796.1747675</v>
      </c>
      <c r="O109" s="193">
        <f t="shared" si="117"/>
        <v>0</v>
      </c>
      <c r="P109" s="193">
        <f t="shared" ref="P109" si="118">SUM(P106:P108)</f>
        <v>0</v>
      </c>
      <c r="Q109" s="193">
        <f t="shared" ref="Q109:R109" si="119">SUM(Q106:Q108)</f>
        <v>0</v>
      </c>
      <c r="R109" s="193">
        <f t="shared" si="119"/>
        <v>0</v>
      </c>
      <c r="S109" s="193">
        <f t="shared" ref="S109" si="120">SUM(S106:S108)</f>
        <v>0</v>
      </c>
      <c r="U109" s="193">
        <f t="shared" si="107"/>
        <v>13397135683.498695</v>
      </c>
      <c r="W109" s="143" t="s">
        <v>340</v>
      </c>
    </row>
    <row r="110" spans="2:33">
      <c r="E110" s="185"/>
      <c r="F110" s="185"/>
      <c r="G110" s="185"/>
      <c r="H110" s="185"/>
      <c r="I110" s="185"/>
      <c r="J110" s="185"/>
      <c r="K110" s="185"/>
      <c r="L110" s="185"/>
      <c r="M110" s="185"/>
      <c r="N110" s="185"/>
      <c r="O110" s="185"/>
      <c r="P110" s="185"/>
      <c r="Q110" s="185"/>
      <c r="R110" s="185"/>
      <c r="S110" s="185"/>
      <c r="W110" s="143" t="s">
        <v>340</v>
      </c>
    </row>
    <row r="111" spans="2:33">
      <c r="B111" s="177" t="s">
        <v>347</v>
      </c>
      <c r="C111" s="178"/>
      <c r="D111" s="187"/>
      <c r="E111" s="187"/>
      <c r="F111" s="187"/>
      <c r="G111" s="187"/>
      <c r="H111" s="187"/>
      <c r="I111" s="187"/>
      <c r="J111" s="187"/>
      <c r="K111" s="187"/>
      <c r="L111" s="187"/>
      <c r="M111" s="187"/>
      <c r="N111" s="187"/>
      <c r="O111" s="187"/>
      <c r="P111" s="187"/>
      <c r="Q111" s="187"/>
      <c r="R111" s="187"/>
      <c r="S111" s="187"/>
      <c r="U111" s="187"/>
      <c r="W111" s="143" t="s">
        <v>340</v>
      </c>
      <c r="X111" s="188"/>
      <c r="Y111" s="188"/>
      <c r="Z111" s="188"/>
      <c r="AA111" s="188"/>
      <c r="AB111" s="188"/>
      <c r="AC111" s="188"/>
      <c r="AD111" s="188"/>
      <c r="AE111" s="188"/>
      <c r="AF111" s="188"/>
      <c r="AG111" s="188"/>
    </row>
    <row r="112" spans="2:33">
      <c r="B112" s="138"/>
      <c r="D112" s="190"/>
      <c r="E112" s="158"/>
      <c r="F112" s="158"/>
      <c r="G112" s="158"/>
      <c r="H112" s="158"/>
      <c r="I112" s="158"/>
      <c r="J112" s="158"/>
      <c r="K112" s="158"/>
      <c r="L112" s="158"/>
      <c r="M112" s="158"/>
      <c r="N112" s="158"/>
      <c r="O112" s="158"/>
      <c r="P112" s="158"/>
      <c r="Q112" s="158"/>
      <c r="R112" s="158"/>
      <c r="S112" s="158"/>
      <c r="U112" s="158"/>
      <c r="W112" s="143" t="s">
        <v>340</v>
      </c>
      <c r="X112" s="188"/>
      <c r="Y112" s="188"/>
      <c r="Z112" s="188"/>
      <c r="AA112" s="188"/>
      <c r="AB112" s="188"/>
      <c r="AC112" s="188"/>
      <c r="AD112" s="188"/>
      <c r="AE112" s="188"/>
      <c r="AF112" s="188"/>
      <c r="AG112" s="188"/>
    </row>
    <row r="113" spans="2:33">
      <c r="B113" s="139" t="s">
        <v>503</v>
      </c>
      <c r="C113" s="138"/>
      <c r="D113" s="194">
        <f t="shared" ref="D113:S113" si="121">IFERROR(D22/$C$13*D$21,0)</f>
        <v>0</v>
      </c>
      <c r="E113" s="194">
        <f t="shared" si="121"/>
        <v>0</v>
      </c>
      <c r="F113" s="194">
        <f t="shared" si="121"/>
        <v>0</v>
      </c>
      <c r="G113" s="194">
        <f t="shared" si="121"/>
        <v>0</v>
      </c>
      <c r="H113" s="194">
        <f t="shared" si="121"/>
        <v>0</v>
      </c>
      <c r="I113" s="194">
        <f t="shared" si="121"/>
        <v>0</v>
      </c>
      <c r="J113" s="194">
        <f t="shared" si="121"/>
        <v>1219142231.1763837</v>
      </c>
      <c r="K113" s="194">
        <f t="shared" si="121"/>
        <v>1251580914.083297</v>
      </c>
      <c r="L113" s="194">
        <f t="shared" si="121"/>
        <v>1276439574.6330268</v>
      </c>
      <c r="M113" s="194">
        <f t="shared" si="121"/>
        <v>1306102491.6615891</v>
      </c>
      <c r="N113" s="194">
        <f t="shared" si="121"/>
        <v>1336463761.9342566</v>
      </c>
      <c r="O113" s="194">
        <f t="shared" si="121"/>
        <v>0</v>
      </c>
      <c r="P113" s="194">
        <f t="shared" si="121"/>
        <v>0</v>
      </c>
      <c r="Q113" s="194">
        <f t="shared" si="121"/>
        <v>0</v>
      </c>
      <c r="R113" s="194">
        <f t="shared" si="121"/>
        <v>0</v>
      </c>
      <c r="S113" s="194">
        <f t="shared" si="121"/>
        <v>0</v>
      </c>
      <c r="U113" s="289"/>
      <c r="W113" s="143" t="s">
        <v>340</v>
      </c>
      <c r="X113" s="188"/>
      <c r="Y113" s="188"/>
      <c r="Z113" s="188"/>
      <c r="AA113" s="188"/>
      <c r="AB113" s="188"/>
      <c r="AC113" s="188"/>
      <c r="AD113" s="188"/>
      <c r="AE113" s="188"/>
      <c r="AF113" s="188"/>
      <c r="AG113" s="188"/>
    </row>
    <row r="114" spans="2:33">
      <c r="B114" s="139" t="s">
        <v>347</v>
      </c>
      <c r="D114" s="180">
        <f t="shared" ref="D114:S114" si="122">IF($F$5=D$2,(D30+D29+D33)/$C$13,0)</f>
        <v>0</v>
      </c>
      <c r="E114" s="180">
        <f t="shared" si="122"/>
        <v>0</v>
      </c>
      <c r="F114" s="180">
        <f t="shared" si="122"/>
        <v>0</v>
      </c>
      <c r="G114" s="180">
        <f t="shared" si="122"/>
        <v>0</v>
      </c>
      <c r="H114" s="180">
        <f t="shared" si="122"/>
        <v>0</v>
      </c>
      <c r="I114" s="180">
        <f t="shared" si="122"/>
        <v>0</v>
      </c>
      <c r="J114" s="180">
        <f t="shared" si="122"/>
        <v>0</v>
      </c>
      <c r="K114" s="180">
        <f t="shared" si="122"/>
        <v>0</v>
      </c>
      <c r="L114" s="180">
        <f t="shared" si="122"/>
        <v>0</v>
      </c>
      <c r="M114" s="180">
        <f t="shared" si="122"/>
        <v>0</v>
      </c>
      <c r="N114" s="180">
        <f t="shared" si="122"/>
        <v>1175206832.7983093</v>
      </c>
      <c r="O114" s="180">
        <f t="shared" si="122"/>
        <v>0</v>
      </c>
      <c r="P114" s="180">
        <f t="shared" si="122"/>
        <v>0</v>
      </c>
      <c r="Q114" s="180">
        <f t="shared" si="122"/>
        <v>0</v>
      </c>
      <c r="R114" s="180">
        <f t="shared" si="122"/>
        <v>0</v>
      </c>
      <c r="S114" s="180">
        <f t="shared" si="122"/>
        <v>0</v>
      </c>
      <c r="U114" s="180"/>
      <c r="W114" s="143" t="s">
        <v>340</v>
      </c>
      <c r="X114" s="188"/>
      <c r="Y114" s="188"/>
      <c r="Z114" s="188"/>
      <c r="AA114" s="188"/>
      <c r="AB114" s="188"/>
      <c r="AC114" s="188"/>
      <c r="AD114" s="188"/>
      <c r="AE114" s="188"/>
      <c r="AF114" s="188"/>
      <c r="AG114" s="188"/>
    </row>
    <row r="115" spans="2:33">
      <c r="W115" s="143" t="s">
        <v>340</v>
      </c>
    </row>
    <row r="116" spans="2:33">
      <c r="B116" s="196" t="s">
        <v>350</v>
      </c>
      <c r="C116" s="304"/>
      <c r="D116" s="305"/>
      <c r="E116" s="305"/>
      <c r="F116" s="305"/>
      <c r="G116" s="305"/>
      <c r="H116" s="305"/>
      <c r="I116" s="305"/>
      <c r="J116" s="305"/>
      <c r="K116" s="305"/>
      <c r="L116" s="305"/>
      <c r="M116" s="305"/>
      <c r="N116" s="305"/>
      <c r="O116" s="305"/>
      <c r="P116" s="305"/>
      <c r="Q116" s="305"/>
      <c r="R116" s="305"/>
      <c r="S116" s="305"/>
      <c r="T116" s="195"/>
      <c r="U116" s="195"/>
      <c r="W116" s="143" t="s">
        <v>340</v>
      </c>
    </row>
  </sheetData>
  <conditionalFormatting sqref="C66:S66 C79:C102 C104:C110">
    <cfRule type="containsText" dxfId="20" priority="54" operator="containsText" text="FALSE">
      <formula>NOT(ISERROR(SEARCH("FALSE",C66)))</formula>
    </cfRule>
    <cfRule type="containsText" dxfId="19" priority="55" operator="containsText" text="TRUE">
      <formula>NOT(ISERROR(SEARCH("TRUE",C66)))</formula>
    </cfRule>
  </conditionalFormatting>
  <conditionalFormatting sqref="U68 E74:H74 I74:S75 D75:S78 E63:Q63 D64:Q64 R63:S64 U41:U65 T85:T86 W85:XFD86 U113:U114 D113:S114 U70:U78 U27:U38 D41:S62 D65:S65 D68:S73 D82:S102 T69:U69 U82:U103 D27:S38">
    <cfRule type="cellIs" dxfId="18" priority="42" operator="lessThan">
      <formula>0</formula>
    </cfRule>
  </conditionalFormatting>
  <conditionalFormatting sqref="D104:S104">
    <cfRule type="cellIs" dxfId="17" priority="11" operator="lessThan">
      <formula>0</formula>
    </cfRule>
  </conditionalFormatting>
  <conditionalFormatting sqref="D109:S109">
    <cfRule type="cellIs" dxfId="16" priority="53" operator="lessThan">
      <formula>0</formula>
    </cfRule>
  </conditionalFormatting>
  <conditionalFormatting sqref="D112:S112">
    <cfRule type="cellIs" dxfId="15" priority="28" operator="lessThan">
      <formula>0</formula>
    </cfRule>
  </conditionalFormatting>
  <conditionalFormatting sqref="K10">
    <cfRule type="cellIs" dxfId="14" priority="5" operator="lessThan">
      <formula>0</formula>
    </cfRule>
    <cfRule type="cellIs" dxfId="13" priority="6" operator="greaterThan">
      <formula>0</formula>
    </cfRule>
    <cfRule type="cellIs" dxfId="12" priority="7" operator="equal">
      <formula>0</formula>
    </cfRule>
    <cfRule type="cellIs" dxfId="11" priority="8" operator="equal">
      <formula>TRUE</formula>
    </cfRule>
    <cfRule type="cellIs" dxfId="10" priority="9" operator="equal">
      <formula>TRUE</formula>
    </cfRule>
    <cfRule type="cellIs" dxfId="9" priority="10" operator="equal">
      <formula>FALSE</formula>
    </cfRule>
  </conditionalFormatting>
  <conditionalFormatting sqref="F4">
    <cfRule type="cellIs" dxfId="8" priority="50" operator="equal">
      <formula>TRUE</formula>
    </cfRule>
    <cfRule type="cellIs" dxfId="7" priority="51" operator="equal">
      <formula>TRUE</formula>
    </cfRule>
    <cfRule type="cellIs" dxfId="6" priority="52" operator="equal">
      <formula>FALSE</formula>
    </cfRule>
  </conditionalFormatting>
  <conditionalFormatting sqref="U34:U38 D34:S38">
    <cfRule type="cellIs" dxfId="5" priority="47" operator="lessThan">
      <formula>0</formula>
    </cfRule>
  </conditionalFormatting>
  <conditionalFormatting sqref="U66">
    <cfRule type="containsText" dxfId="4" priority="18" operator="containsText" text="FALSE">
      <formula>NOT(ISERROR(SEARCH("FALSE",U66)))</formula>
    </cfRule>
    <cfRule type="containsText" dxfId="3" priority="19" operator="containsText" text="TRUE">
      <formula>NOT(ISERROR(SEARCH("TRUE",U66)))</formula>
    </cfRule>
  </conditionalFormatting>
  <conditionalFormatting sqref="U109">
    <cfRule type="cellIs" dxfId="2" priority="17" operator="lessThan">
      <formula>0</formula>
    </cfRule>
  </conditionalFormatting>
  <conditionalFormatting sqref="U112">
    <cfRule type="cellIs" dxfId="1" priority="12" operator="lessThan">
      <formula>0</formula>
    </cfRule>
  </conditionalFormatting>
  <conditionalFormatting sqref="U106:U108">
    <cfRule type="cellIs" dxfId="0" priority="1" operator="lessThan">
      <formula>0</formula>
    </cfRule>
  </conditionalFormatting>
  <dataValidations disablePrompts="1" count="2">
    <dataValidation type="list" allowBlank="1" showInputMessage="1" showErrorMessage="1" sqref="F5" xr:uid="{3FEF84DC-DDC8-49C3-B99E-5839B3508FA9}">
      <formula1>"5,6,7,8,9,10,11,12"</formula1>
    </dataValidation>
    <dataValidation type="list" allowBlank="1" showInputMessage="1" showErrorMessage="1" sqref="B4:B5" xr:uid="{25517B5D-F392-4F5E-8D38-AA0BDB94AFED}">
      <formula1>#REF!</formula1>
    </dataValidation>
  </dataValidations>
  <pageMargins left="0.7" right="0.7" top="0.75" bottom="0.75" header="0.3" footer="0.3"/>
  <pageSetup orientation="portrait" horizontalDpi="1200" verticalDpi="120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01C-0490-404F-8F9A-1A824167906F}">
  <sheetPr published="0">
    <tabColor theme="9" tint="0.59999389629810485"/>
  </sheetPr>
  <dimension ref="H5:J7"/>
  <sheetViews>
    <sheetView workbookViewId="0">
      <selection activeCell="J7" sqref="H5:J7"/>
    </sheetView>
  </sheetViews>
  <sheetFormatPr defaultRowHeight="14.4"/>
  <sheetData>
    <row r="5" spans="8:10">
      <c r="H5">
        <v>7484</v>
      </c>
      <c r="I5">
        <v>4487</v>
      </c>
    </row>
    <row r="6" spans="8:10">
      <c r="H6">
        <v>6121</v>
      </c>
      <c r="I6">
        <v>3769</v>
      </c>
    </row>
    <row r="7" spans="8:10">
      <c r="H7">
        <f>H5-H6</f>
        <v>1363</v>
      </c>
      <c r="I7">
        <f>I5-I6</f>
        <v>718</v>
      </c>
      <c r="J7">
        <f>H7-I7</f>
        <v>645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69FA-4722-47FF-A582-0788856A759E}">
  <sheetPr published="0" codeName="Sheet4">
    <tabColor theme="9" tint="0.59999389629810485"/>
  </sheetPr>
  <dimension ref="A1:M56"/>
  <sheetViews>
    <sheetView showGridLines="0" zoomScale="80" zoomScaleNormal="80" workbookViewId="0">
      <selection activeCell="D8" sqref="D8"/>
    </sheetView>
  </sheetViews>
  <sheetFormatPr defaultRowHeight="14.4"/>
  <cols>
    <col min="1" max="1" width="2.33203125" customWidth="1"/>
    <col min="2" max="2" width="48" customWidth="1"/>
    <col min="3" max="3" width="11.5546875" bestFit="1" customWidth="1"/>
    <col min="4" max="12" width="8" customWidth="1"/>
  </cols>
  <sheetData>
    <row r="1" spans="1:13">
      <c r="A1" s="136" t="s">
        <v>535</v>
      </c>
      <c r="B1" s="137"/>
      <c r="C1" s="137"/>
      <c r="D1" s="137"/>
      <c r="E1" s="137"/>
      <c r="F1" s="137"/>
      <c r="G1" s="137"/>
      <c r="H1" s="137"/>
      <c r="I1" s="137"/>
      <c r="J1" s="137"/>
      <c r="K1" s="137"/>
      <c r="L1" s="137"/>
      <c r="M1" s="137"/>
    </row>
    <row r="3" spans="1:13" ht="14.4" customHeight="1">
      <c r="B3" s="267" t="s">
        <v>478</v>
      </c>
      <c r="C3" s="268">
        <v>2026</v>
      </c>
      <c r="D3" s="268">
        <v>2027</v>
      </c>
      <c r="E3" s="268">
        <v>2028</v>
      </c>
      <c r="F3" s="268">
        <v>2029</v>
      </c>
      <c r="G3" s="268">
        <v>2030</v>
      </c>
      <c r="H3" s="268">
        <v>2031</v>
      </c>
      <c r="I3" s="268">
        <v>2032</v>
      </c>
      <c r="J3" s="268">
        <v>2033</v>
      </c>
      <c r="K3" s="268">
        <v>2034</v>
      </c>
      <c r="L3" s="268">
        <v>2035</v>
      </c>
      <c r="M3" s="268" t="s">
        <v>518</v>
      </c>
    </row>
    <row r="4" spans="1:13" ht="14.4" customHeight="1">
      <c r="B4" s="269" t="s">
        <v>479</v>
      </c>
      <c r="C4" s="270">
        <f>'Consolidated Fund'!E32/10^6</f>
        <v>179.79762685138977</v>
      </c>
      <c r="D4" s="270">
        <f>'Consolidated Fund'!F32/10^6</f>
        <v>230.62618406630057</v>
      </c>
      <c r="E4" s="270">
        <f>'Consolidated Fund'!G32/10^6</f>
        <v>261.16835748180642</v>
      </c>
      <c r="F4" s="270">
        <f>'Consolidated Fund'!H32/10^6</f>
        <v>280.7456310828336</v>
      </c>
      <c r="G4" s="270">
        <f>'Consolidated Fund'!I32/10^6</f>
        <v>297.86889807500563</v>
      </c>
      <c r="H4" s="270">
        <f>'Consolidated Fund'!J32/10^6</f>
        <v>304.78555779409595</v>
      </c>
      <c r="I4" s="270">
        <f>'Consolidated Fund'!K32/10^6</f>
        <v>250.31618281665942</v>
      </c>
      <c r="J4" s="270">
        <f>'Consolidated Fund'!L32/10^6</f>
        <v>191.465936194954</v>
      </c>
      <c r="K4" s="270">
        <f>'Consolidated Fund'!M32/10^6</f>
        <v>130.61024916615889</v>
      </c>
      <c r="L4" s="270">
        <f>'Consolidated Fund'!N32/10^6</f>
        <v>66.823188096712812</v>
      </c>
      <c r="M4" s="294">
        <f>SUM(C4:L4)</f>
        <v>2194.2078116259172</v>
      </c>
    </row>
    <row r="5" spans="1:13" ht="14.4" customHeight="1">
      <c r="B5" s="269" t="s">
        <v>480</v>
      </c>
      <c r="C5" s="270">
        <f>'Consolidated Fund'!E33/10^6</f>
        <v>4.1666666666666661</v>
      </c>
      <c r="D5" s="270">
        <f>'Consolidated Fund'!F33/10^6</f>
        <v>4.1666666666666661</v>
      </c>
      <c r="E5" s="270">
        <f>'Consolidated Fund'!G33/10^6</f>
        <v>4.375</v>
      </c>
      <c r="F5" s="270">
        <f>'Consolidated Fund'!H33/10^6</f>
        <v>4.59375</v>
      </c>
      <c r="G5" s="270">
        <f>'Consolidated Fund'!I33/10^6</f>
        <v>4.7085937500000004</v>
      </c>
      <c r="H5" s="270">
        <f>'Consolidated Fund'!J33/10^6</f>
        <v>4.8263085937500003</v>
      </c>
      <c r="I5" s="270">
        <f>'Consolidated Fund'!K33/10^6</f>
        <v>4.9469663085937503</v>
      </c>
      <c r="J5" s="270">
        <f>'Consolidated Fund'!L33/10^6</f>
        <v>5.0706404663085936</v>
      </c>
      <c r="K5" s="270">
        <f>'Consolidated Fund'!M33/10^6</f>
        <v>5.1974064779663083</v>
      </c>
      <c r="L5" s="270">
        <f>'Consolidated Fund'!N33/10^6</f>
        <v>5.3273416399154661</v>
      </c>
      <c r="M5" s="294">
        <f t="shared" ref="M5:M9" si="0">SUM(C5:L5)</f>
        <v>47.379340569867459</v>
      </c>
    </row>
    <row r="6" spans="1:13" ht="14.4" customHeight="1">
      <c r="B6" s="269" t="s">
        <v>481</v>
      </c>
      <c r="C6" s="270">
        <f>'Consolidated Fund'!E31/10^6</f>
        <v>166.22200000000001</v>
      </c>
      <c r="D6" s="270">
        <f>'Consolidated Fund'!F31/10^6</f>
        <v>524.27099999999996</v>
      </c>
      <c r="E6" s="270">
        <f>'Consolidated Fund'!G31/10^6</f>
        <v>526.83799999999997</v>
      </c>
      <c r="F6" s="270">
        <f>'Consolidated Fund'!H31/10^6</f>
        <v>618.21500000000003</v>
      </c>
      <c r="G6" s="270">
        <f>'Consolidated Fund'!I31/10^6</f>
        <v>511.13499999999999</v>
      </c>
      <c r="H6" s="270">
        <f>'Consolidated Fund'!J31/10^6</f>
        <v>569.471</v>
      </c>
      <c r="I6" s="270">
        <f>'Consolidated Fund'!K31/10^6</f>
        <v>181.40700000000001</v>
      </c>
      <c r="J6" s="270">
        <f>'Consolidated Fund'!L31/10^6</f>
        <v>50.823999999999998</v>
      </c>
      <c r="K6" s="270">
        <f>'Consolidated Fund'!M31/10^6</f>
        <v>52.225000000000001</v>
      </c>
      <c r="L6" s="270">
        <f>'Consolidated Fund'!N31/10^6</f>
        <v>53.433</v>
      </c>
      <c r="M6" s="294">
        <f t="shared" si="0"/>
        <v>3254.0409999999997</v>
      </c>
    </row>
    <row r="7" spans="1:13" ht="14.4" customHeight="1">
      <c r="B7" s="271" t="s">
        <v>482</v>
      </c>
      <c r="C7" s="272">
        <f>'Consolidated Fund'!E34/10^6</f>
        <v>350.18629351805646</v>
      </c>
      <c r="D7" s="272">
        <f>'Consolidated Fund'!F34/10^6</f>
        <v>759.06385073296724</v>
      </c>
      <c r="E7" s="272">
        <f>'Consolidated Fund'!G34/10^6</f>
        <v>792.38135748180639</v>
      </c>
      <c r="F7" s="272">
        <f>'Consolidated Fund'!H34/10^6</f>
        <v>903.55438108283352</v>
      </c>
      <c r="G7" s="272">
        <f>'Consolidated Fund'!I34/10^6</f>
        <v>813.7124918250056</v>
      </c>
      <c r="H7" s="272">
        <f>'Consolidated Fund'!J34/10^6</f>
        <v>879.08286638784602</v>
      </c>
      <c r="I7" s="272">
        <f>'Consolidated Fund'!K34/10^6</f>
        <v>436.6701491252532</v>
      </c>
      <c r="J7" s="272">
        <f>'Consolidated Fund'!L34/10^6</f>
        <v>247.3605766612626</v>
      </c>
      <c r="K7" s="272">
        <f>'Consolidated Fund'!M34/10^6</f>
        <v>188.03265564412519</v>
      </c>
      <c r="L7" s="272">
        <f>'Consolidated Fund'!N34/10^6</f>
        <v>125.58352973662828</v>
      </c>
      <c r="M7" s="295">
        <f t="shared" si="0"/>
        <v>5495.6281521957853</v>
      </c>
    </row>
    <row r="8" spans="1:13" ht="14.4" customHeight="1">
      <c r="B8" s="273" t="s">
        <v>427</v>
      </c>
      <c r="C8" s="274">
        <f>'Consolidated Fund'!E35/10^6</f>
        <v>-20.181661500000001</v>
      </c>
      <c r="D8" s="274">
        <f>'Consolidated Fund'!F35/10^6</f>
        <v>-57.2</v>
      </c>
      <c r="E8" s="274">
        <f>'Consolidated Fund'!G35/10^6</f>
        <v>-57.199999999999996</v>
      </c>
      <c r="F8" s="274">
        <f>'Consolidated Fund'!H35/10^6</f>
        <v>-57.199999999999996</v>
      </c>
      <c r="G8" s="274">
        <f>'Consolidated Fund'!I35/10^6</f>
        <v>-3.8147169436855419</v>
      </c>
      <c r="H8" s="274">
        <f>'Consolidated Fund'!J35/10^6</f>
        <v>0</v>
      </c>
      <c r="I8" s="274">
        <f>'Consolidated Fund'!K35/10^6</f>
        <v>0</v>
      </c>
      <c r="J8" s="274">
        <f>'Consolidated Fund'!L35/10^6</f>
        <v>0</v>
      </c>
      <c r="K8" s="274">
        <f>'Consolidated Fund'!M35/10^6</f>
        <v>0</v>
      </c>
      <c r="L8" s="274">
        <f>'Consolidated Fund'!N35/10^6</f>
        <v>0</v>
      </c>
      <c r="M8" s="294">
        <f t="shared" si="0"/>
        <v>-195.59637844368552</v>
      </c>
    </row>
    <row r="9" spans="1:13" ht="14.4" customHeight="1">
      <c r="B9" s="273" t="s">
        <v>483</v>
      </c>
      <c r="C9" s="274">
        <f>'Consolidated Fund'!E37/10^6</f>
        <v>-8.250115800451411</v>
      </c>
      <c r="D9" s="274">
        <f>'Consolidated Fund'!F37/10^6</f>
        <v>-17.54659626832418</v>
      </c>
      <c r="E9" s="274">
        <f>'Consolidated Fund'!G37/10^6</f>
        <v>-18.37953393704516</v>
      </c>
      <c r="F9" s="274">
        <f>'Consolidated Fund'!H37/10^6</f>
        <v>-21.158859527070838</v>
      </c>
      <c r="G9" s="274">
        <f>'Consolidated Fund'!I37/10^6</f>
        <v>-20.247444372033005</v>
      </c>
      <c r="H9" s="274">
        <f>'Consolidated Fund'!J37/10^6</f>
        <v>-21.977071659696151</v>
      </c>
      <c r="I9" s="274">
        <f>'Consolidated Fund'!K37/10^6</f>
        <v>-10.916753728131331</v>
      </c>
      <c r="J9" s="274">
        <f>'Consolidated Fund'!L37/10^6</f>
        <v>-6.184014416531566</v>
      </c>
      <c r="K9" s="274">
        <f>'Consolidated Fund'!M37/10^6</f>
        <v>-4.70081639110313</v>
      </c>
      <c r="L9" s="274">
        <f>'Consolidated Fund'!N37/10^6</f>
        <v>-3.1395882434157074</v>
      </c>
      <c r="M9" s="294">
        <f t="shared" si="0"/>
        <v>-132.50079434380248</v>
      </c>
    </row>
    <row r="10" spans="1:13" ht="14.4" customHeight="1" thickBot="1">
      <c r="B10" s="271" t="s">
        <v>484</v>
      </c>
      <c r="C10" s="275">
        <f>SUM(C7:C9)</f>
        <v>321.75451621760504</v>
      </c>
      <c r="D10" s="275">
        <f t="shared" ref="D10:L10" si="1">SUM(D7:D9)</f>
        <v>684.31725446464304</v>
      </c>
      <c r="E10" s="275">
        <f t="shared" si="1"/>
        <v>716.80182354476119</v>
      </c>
      <c r="F10" s="275">
        <f t="shared" si="1"/>
        <v>825.19552155576264</v>
      </c>
      <c r="G10" s="275">
        <f t="shared" si="1"/>
        <v>789.65033050928707</v>
      </c>
      <c r="H10" s="275">
        <f t="shared" si="1"/>
        <v>857.10579472814993</v>
      </c>
      <c r="I10" s="275">
        <f t="shared" si="1"/>
        <v>425.75339539712189</v>
      </c>
      <c r="J10" s="275">
        <f t="shared" si="1"/>
        <v>241.17656224473103</v>
      </c>
      <c r="K10" s="275">
        <f t="shared" si="1"/>
        <v>183.33183925302205</v>
      </c>
      <c r="L10" s="275">
        <f t="shared" si="1"/>
        <v>122.44394149321258</v>
      </c>
      <c r="M10" s="296">
        <f>SUM(C10:L10)</f>
        <v>5167.530979408295</v>
      </c>
    </row>
    <row r="12" spans="1:13">
      <c r="B12" s="267" t="s">
        <v>485</v>
      </c>
      <c r="C12" s="268">
        <v>2026</v>
      </c>
      <c r="D12" s="268">
        <v>2027</v>
      </c>
      <c r="E12" s="268">
        <v>2028</v>
      </c>
      <c r="F12" s="268">
        <v>2029</v>
      </c>
      <c r="G12" s="268">
        <v>2030</v>
      </c>
      <c r="H12" s="268">
        <v>2031</v>
      </c>
      <c r="I12" s="268">
        <v>2032</v>
      </c>
      <c r="J12" s="268">
        <v>2033</v>
      </c>
      <c r="K12" s="268">
        <v>2034</v>
      </c>
      <c r="L12" s="268">
        <v>2035</v>
      </c>
      <c r="M12" s="268" t="s">
        <v>518</v>
      </c>
    </row>
    <row r="13" spans="1:13">
      <c r="B13" s="276" t="str">
        <f t="shared" ref="B13:L13" si="2">B7</f>
        <v>Fund EBITDA</v>
      </c>
      <c r="C13" s="277">
        <f t="shared" si="2"/>
        <v>350.18629351805646</v>
      </c>
      <c r="D13" s="277">
        <f t="shared" si="2"/>
        <v>759.06385073296724</v>
      </c>
      <c r="E13" s="277">
        <f t="shared" si="2"/>
        <v>792.38135748180639</v>
      </c>
      <c r="F13" s="277">
        <f t="shared" si="2"/>
        <v>903.55438108283352</v>
      </c>
      <c r="G13" s="277">
        <f t="shared" si="2"/>
        <v>813.7124918250056</v>
      </c>
      <c r="H13" s="277">
        <f t="shared" si="2"/>
        <v>879.08286638784602</v>
      </c>
      <c r="I13" s="277">
        <f t="shared" si="2"/>
        <v>436.6701491252532</v>
      </c>
      <c r="J13" s="277">
        <f t="shared" si="2"/>
        <v>247.3605766612626</v>
      </c>
      <c r="K13" s="277">
        <f t="shared" si="2"/>
        <v>188.03265564412519</v>
      </c>
      <c r="L13" s="277">
        <f t="shared" si="2"/>
        <v>125.58352973662828</v>
      </c>
      <c r="M13" s="297">
        <f t="shared" ref="M13:M29" si="3">SUM(C13:L13)</f>
        <v>5495.6281521957853</v>
      </c>
    </row>
    <row r="14" spans="1:13">
      <c r="B14" s="301" t="s">
        <v>521</v>
      </c>
      <c r="C14" s="266">
        <f>'Consolidated Fund'!E43/10^6</f>
        <v>-246.65799999999999</v>
      </c>
      <c r="D14" s="266">
        <f>'Consolidated Fund'!F43/10^6</f>
        <v>-1005.131</v>
      </c>
      <c r="E14" s="266">
        <f>'Consolidated Fund'!G43/10^6</f>
        <v>-1494.087</v>
      </c>
      <c r="F14" s="266">
        <f>'Consolidated Fund'!H43/10^6</f>
        <v>-1643.2919999999999</v>
      </c>
      <c r="G14" s="266">
        <f>'Consolidated Fund'!I43/10^6</f>
        <v>-1302.704</v>
      </c>
      <c r="H14" s="266">
        <f>'Consolidated Fund'!J43/10^6</f>
        <v>-1458.9960000000001</v>
      </c>
      <c r="I14" s="266">
        <f>'Consolidated Fund'!K43/10^6</f>
        <v>-333.93400000000003</v>
      </c>
      <c r="J14" s="266">
        <f>'Consolidated Fund'!L43/10^6</f>
        <v>0</v>
      </c>
      <c r="K14" s="266">
        <f>'Consolidated Fund'!M43/10^6</f>
        <v>0</v>
      </c>
      <c r="L14" s="266">
        <f>'Consolidated Fund'!N43/10^6</f>
        <v>0</v>
      </c>
      <c r="M14" s="298">
        <f t="shared" si="3"/>
        <v>-7484.8019999999997</v>
      </c>
    </row>
    <row r="15" spans="1:13" ht="27.6">
      <c r="B15" s="278" t="s">
        <v>520</v>
      </c>
      <c r="C15" s="266">
        <f>'Consolidated Fund'!E44/10^6</f>
        <v>164.43899999999999</v>
      </c>
      <c r="D15" s="266">
        <f>'Consolidated Fund'!F44/10^6</f>
        <v>878.71900000000005</v>
      </c>
      <c r="E15" s="266">
        <f>'Consolidated Fund'!G44/10^6</f>
        <v>1082.44</v>
      </c>
      <c r="F15" s="266">
        <f>'Consolidated Fund'!H44/10^6</f>
        <v>1787.7460000000001</v>
      </c>
      <c r="G15" s="266">
        <f>'Consolidated Fund'!I44/10^6</f>
        <v>1466.85</v>
      </c>
      <c r="H15" s="266">
        <f>'Consolidated Fund'!J44/10^6</f>
        <v>1484.52</v>
      </c>
      <c r="I15" s="266">
        <f>'Consolidated Fund'!K44/10^6</f>
        <v>620.08799999999997</v>
      </c>
      <c r="J15" s="266">
        <f>'Consolidated Fund'!L44/10^6</f>
        <v>0</v>
      </c>
      <c r="K15" s="266">
        <f>'Consolidated Fund'!M44/10^6</f>
        <v>0</v>
      </c>
      <c r="L15" s="266">
        <f>'Consolidated Fund'!N44/10^6</f>
        <v>0</v>
      </c>
      <c r="M15" s="298">
        <f t="shared" si="3"/>
        <v>7484.8019999999997</v>
      </c>
    </row>
    <row r="16" spans="1:13" ht="27.6">
      <c r="B16" s="269" t="s">
        <v>486</v>
      </c>
      <c r="C16" s="266">
        <f>'Consolidated Fund'!E45/10^6</f>
        <v>80.436000000000007</v>
      </c>
      <c r="D16" s="266">
        <f>'Consolidated Fund'!F45/10^6</f>
        <v>480.86</v>
      </c>
      <c r="E16" s="266">
        <f>'Consolidated Fund'!G45/10^6</f>
        <v>967.24900000000002</v>
      </c>
      <c r="F16" s="266">
        <f>'Consolidated Fund'!H45/10^6</f>
        <v>1025.077</v>
      </c>
      <c r="G16" s="266">
        <f>'Consolidated Fund'!I45/10^6</f>
        <v>812.19600000000003</v>
      </c>
      <c r="H16" s="266">
        <f>'Consolidated Fund'!J45/10^6</f>
        <v>933.08500000000004</v>
      </c>
      <c r="I16" s="266">
        <f>'Consolidated Fund'!K45/10^6</f>
        <v>188.83799999999999</v>
      </c>
      <c r="J16" s="266">
        <f>'Consolidated Fund'!L45/10^6</f>
        <v>0</v>
      </c>
      <c r="K16" s="266">
        <f>'Consolidated Fund'!M45/10^6</f>
        <v>0</v>
      </c>
      <c r="L16" s="266">
        <f>'Consolidated Fund'!N45/10^6</f>
        <v>0</v>
      </c>
      <c r="M16" s="298">
        <f t="shared" si="3"/>
        <v>4487.741</v>
      </c>
    </row>
    <row r="17" spans="2:13">
      <c r="B17" s="278" t="s">
        <v>487</v>
      </c>
      <c r="C17" s="266">
        <f>'Consolidated Fund'!E46/10^6+'Consolidated Fund'!E47/10^6</f>
        <v>-10.12836012687805</v>
      </c>
      <c r="D17" s="266">
        <f>'Consolidated Fund'!F46/10^6+'Consolidated Fund'!F47/10^6</f>
        <v>-19.746910349059355</v>
      </c>
      <c r="E17" s="266">
        <f>'Consolidated Fund'!G46/10^6+'Consolidated Fund'!G47/10^6</f>
        <v>-19.72517470959032</v>
      </c>
      <c r="F17" s="266">
        <f>'Consolidated Fund'!H46/10^6+'Consolidated Fund'!H47/10^6</f>
        <v>-22.050916671859337</v>
      </c>
      <c r="G17" s="266">
        <f>'Consolidated Fund'!I46/10^6+'Consolidated Fund'!I47/10^6</f>
        <v>-21.025891735054774</v>
      </c>
      <c r="H17" s="266">
        <f>'Consolidated Fund'!J46/10^6+'Consolidated Fund'!J47/10^6</f>
        <v>-22.325388987216179</v>
      </c>
      <c r="I17" s="266">
        <f>'Consolidated Fund'!K46/10^6+'Consolidated Fund'!K47/10^6</f>
        <v>-11.316503824296229</v>
      </c>
      <c r="J17" s="266">
        <f>'Consolidated Fund'!L46/10^6+'Consolidated Fund'!L47/10^6</f>
        <v>-6.5051171308718727</v>
      </c>
      <c r="K17" s="266">
        <f>'Consolidated Fund'!M46/10^6+'Consolidated Fund'!M47/10^6</f>
        <v>-5.0737246317977309</v>
      </c>
      <c r="L17" s="266">
        <f>'Consolidated Fund'!N46/10^6+'Consolidated Fund'!N47/10^6</f>
        <v>-3.5210733736462907</v>
      </c>
      <c r="M17" s="298">
        <f t="shared" si="3"/>
        <v>-141.41906154027015</v>
      </c>
    </row>
    <row r="18" spans="2:13">
      <c r="B18" s="276" t="s">
        <v>440</v>
      </c>
      <c r="C18" s="279">
        <f t="shared" ref="C18:L18" si="4">SUM(C13:C17)</f>
        <v>338.27493339117837</v>
      </c>
      <c r="D18" s="279">
        <f t="shared" si="4"/>
        <v>1093.764940383908</v>
      </c>
      <c r="E18" s="279">
        <f t="shared" si="4"/>
        <v>1328.2581827722161</v>
      </c>
      <c r="F18" s="279">
        <f t="shared" si="4"/>
        <v>2051.0344644109746</v>
      </c>
      <c r="G18" s="279">
        <f t="shared" si="4"/>
        <v>1769.0286000899509</v>
      </c>
      <c r="H18" s="279">
        <f t="shared" si="4"/>
        <v>1815.3664774006297</v>
      </c>
      <c r="I18" s="279">
        <f t="shared" si="4"/>
        <v>900.3456453009569</v>
      </c>
      <c r="J18" s="279">
        <f t="shared" si="4"/>
        <v>240.85545953039073</v>
      </c>
      <c r="K18" s="279">
        <f t="shared" si="4"/>
        <v>182.95893101232747</v>
      </c>
      <c r="L18" s="279">
        <f t="shared" si="4"/>
        <v>122.06245636298199</v>
      </c>
      <c r="M18" s="299">
        <f t="shared" si="3"/>
        <v>9841.9500906555168</v>
      </c>
    </row>
    <row r="19" spans="2:13">
      <c r="B19" s="269"/>
      <c r="M19" s="300"/>
    </row>
    <row r="20" spans="2:13">
      <c r="B20" s="278" t="s">
        <v>488</v>
      </c>
      <c r="C20" s="266">
        <f>'Consolidated Fund'!E50/10^6</f>
        <v>-282.26100000000002</v>
      </c>
      <c r="D20" s="266">
        <f>'Consolidated Fund'!F50/10^6</f>
        <v>-641.36500000000001</v>
      </c>
      <c r="E20" s="266">
        <f>'Consolidated Fund'!G50/10^6</f>
        <v>-1489.3440000000001</v>
      </c>
      <c r="F20" s="266">
        <f>'Consolidated Fund'!H50/10^6</f>
        <v>-660.20500000000004</v>
      </c>
      <c r="G20" s="266">
        <f>'Consolidated Fund'!I50/10^6</f>
        <v>-445.76100000000002</v>
      </c>
      <c r="H20" s="266">
        <f>'Consolidated Fund'!J50/10^6</f>
        <v>-186.846</v>
      </c>
      <c r="I20" s="266">
        <f>'Consolidated Fund'!K50/10^6</f>
        <v>0</v>
      </c>
      <c r="J20" s="266">
        <f>'Consolidated Fund'!L50/10^6</f>
        <v>0</v>
      </c>
      <c r="K20" s="266">
        <f>'Consolidated Fund'!M50/10^6</f>
        <v>0</v>
      </c>
      <c r="L20" s="266">
        <f>'Consolidated Fund'!N50/10^6</f>
        <v>0</v>
      </c>
      <c r="M20" s="298">
        <f t="shared" si="3"/>
        <v>-3705.7820000000002</v>
      </c>
    </row>
    <row r="21" spans="2:13">
      <c r="B21" s="269" t="s">
        <v>469</v>
      </c>
      <c r="C21" s="266">
        <f>'Consolidated Fund'!E51/10^6</f>
        <v>-14.881659319499997</v>
      </c>
      <c r="D21" s="266">
        <f>'Consolidated Fund'!F51/10^6</f>
        <v>-17.006295827178242</v>
      </c>
      <c r="E21" s="266">
        <f>'Consolidated Fund'!G51/10^6</f>
        <v>-17.15449537694948</v>
      </c>
      <c r="F21" s="266">
        <f>'Consolidated Fund'!H51/10^6</f>
        <v>-17.304738843584978</v>
      </c>
      <c r="G21" s="266">
        <f>'Consolidated Fund'!I51/10^6</f>
        <v>-17.457063691782441</v>
      </c>
      <c r="H21" s="266">
        <f>'Consolidated Fund'!J51/10^6</f>
        <v>-17.611508154067266</v>
      </c>
      <c r="I21" s="266">
        <f>'Consolidated Fund'!K51/10^6</f>
        <v>-14.214488997847862</v>
      </c>
      <c r="J21" s="266">
        <f>'Consolidated Fund'!L51/10^6</f>
        <v>-10.756147673766558</v>
      </c>
      <c r="K21" s="266">
        <f>'Consolidated Fund'!M51/10^6</f>
        <v>-7.2351813670255964</v>
      </c>
      <c r="L21" s="266">
        <f>'Consolidated Fund'!N51/10^6</f>
        <v>-3.6502549207805326</v>
      </c>
      <c r="M21" s="298">
        <f t="shared" si="3"/>
        <v>-137.27183417248295</v>
      </c>
    </row>
    <row r="22" spans="2:13">
      <c r="B22" s="269" t="s">
        <v>504</v>
      </c>
      <c r="C22" s="266">
        <f>'Consolidated Fund'!E52/10^6</f>
        <v>0</v>
      </c>
      <c r="D22" s="266">
        <f>'Consolidated Fund'!F52/10^6</f>
        <v>0</v>
      </c>
      <c r="E22" s="266">
        <f>'Consolidated Fund'!G52/10^6</f>
        <v>0</v>
      </c>
      <c r="F22" s="266">
        <f>'Consolidated Fund'!H52/10^6</f>
        <v>0</v>
      </c>
      <c r="G22" s="266">
        <f>'Consolidated Fund'!I52/10^6</f>
        <v>0</v>
      </c>
      <c r="H22" s="266">
        <f>'Consolidated Fund'!J52/10^6</f>
        <v>1219.1422311763838</v>
      </c>
      <c r="I22" s="266">
        <f>'Consolidated Fund'!K52/10^6</f>
        <v>1251.5809140832971</v>
      </c>
      <c r="J22" s="266">
        <f>'Consolidated Fund'!L52/10^6</f>
        <v>1276.439574633027</v>
      </c>
      <c r="K22" s="266">
        <f>'Consolidated Fund'!M52/10^6</f>
        <v>1306.1024916615891</v>
      </c>
      <c r="L22" s="266">
        <f>'Consolidated Fund'!N52/10^6</f>
        <v>1336.4637619342566</v>
      </c>
      <c r="M22" s="298">
        <f t="shared" si="3"/>
        <v>6389.7289734885535</v>
      </c>
    </row>
    <row r="23" spans="2:13">
      <c r="B23" s="269" t="s">
        <v>522</v>
      </c>
      <c r="C23" s="266">
        <f>'Consolidated Fund'!E114/10^6</f>
        <v>0</v>
      </c>
      <c r="D23" s="266">
        <f>'Consolidated Fund'!F114/10^6</f>
        <v>0</v>
      </c>
      <c r="E23" s="266">
        <f>'Consolidated Fund'!G114/10^6</f>
        <v>0</v>
      </c>
      <c r="F23" s="266">
        <f>'Consolidated Fund'!H114/10^6</f>
        <v>0</v>
      </c>
      <c r="G23" s="266">
        <f>'Consolidated Fund'!I114/10^6</f>
        <v>0</v>
      </c>
      <c r="H23" s="266">
        <f>'Consolidated Fund'!J114/10^6</f>
        <v>0</v>
      </c>
      <c r="I23" s="266">
        <f>'Consolidated Fund'!K114/10^6</f>
        <v>0</v>
      </c>
      <c r="J23" s="266">
        <f>'Consolidated Fund'!L114/10^6</f>
        <v>0</v>
      </c>
      <c r="K23" s="266">
        <f>'Consolidated Fund'!M114/10^6</f>
        <v>0</v>
      </c>
      <c r="L23" s="266">
        <f>'Consolidated Fund'!N114/10^6</f>
        <v>1175.2068327983093</v>
      </c>
      <c r="M23" s="298">
        <f t="shared" si="3"/>
        <v>1175.2068327983093</v>
      </c>
    </row>
    <row r="24" spans="2:13">
      <c r="B24" s="276" t="s">
        <v>441</v>
      </c>
      <c r="C24" s="279">
        <f>SUM(C20:C23)</f>
        <v>-297.14265931950001</v>
      </c>
      <c r="D24" s="279">
        <f t="shared" ref="D24:M24" si="5">SUM(D20:D23)</f>
        <v>-658.3712958271783</v>
      </c>
      <c r="E24" s="279">
        <f t="shared" si="5"/>
        <v>-1506.4984953769494</v>
      </c>
      <c r="F24" s="279">
        <f t="shared" si="5"/>
        <v>-677.50973884358507</v>
      </c>
      <c r="G24" s="279">
        <f t="shared" si="5"/>
        <v>-463.21806369178245</v>
      </c>
      <c r="H24" s="279">
        <f t="shared" si="5"/>
        <v>1014.6847230223166</v>
      </c>
      <c r="I24" s="279">
        <f t="shared" si="5"/>
        <v>1237.3664250854492</v>
      </c>
      <c r="J24" s="279">
        <f t="shared" si="5"/>
        <v>1265.6834269592605</v>
      </c>
      <c r="K24" s="279">
        <f t="shared" si="5"/>
        <v>1298.8673102945634</v>
      </c>
      <c r="L24" s="279">
        <f t="shared" si="5"/>
        <v>2508.0203398117856</v>
      </c>
      <c r="M24" s="299">
        <f t="shared" si="5"/>
        <v>3721.8819721143796</v>
      </c>
    </row>
    <row r="25" spans="2:13">
      <c r="M25" s="300"/>
    </row>
    <row r="26" spans="2:13">
      <c r="B26" s="278" t="s">
        <v>489</v>
      </c>
      <c r="C26" s="266">
        <f>SUM('Consolidated Fund'!E57:E58)/10^6</f>
        <v>282.26100000000002</v>
      </c>
      <c r="D26" s="266">
        <f>SUM('Consolidated Fund'!F57:F58)/10^6</f>
        <v>517.73900000000003</v>
      </c>
      <c r="E26" s="266">
        <f>SUM('Consolidated Fund'!G57:G58)/10^6</f>
        <v>0</v>
      </c>
      <c r="F26" s="266">
        <f>SUM('Consolidated Fund'!H57:H58)/10^6</f>
        <v>-746.64731547292945</v>
      </c>
      <c r="G26" s="266">
        <f>SUM('Consolidated Fund'!I57:I58)/10^6</f>
        <v>-53.352684527070522</v>
      </c>
      <c r="H26" s="266">
        <f>SUM('Consolidated Fund'!J57:J58)/10^6</f>
        <v>0</v>
      </c>
      <c r="I26" s="266">
        <f>SUM('Consolidated Fund'!K57:K58)/10^6</f>
        <v>0</v>
      </c>
      <c r="J26" s="266">
        <f>SUM('Consolidated Fund'!L57:L58)/10^6</f>
        <v>0</v>
      </c>
      <c r="K26" s="266">
        <f>SUM('Consolidated Fund'!M57:M58)/10^6</f>
        <v>0</v>
      </c>
      <c r="L26" s="266">
        <f>SUM('Consolidated Fund'!N57:N58)/10^6</f>
        <v>0</v>
      </c>
      <c r="M26" s="298">
        <f t="shared" si="3"/>
        <v>2.8421709430404007E-14</v>
      </c>
    </row>
    <row r="27" spans="2:13">
      <c r="B27" s="278" t="s">
        <v>490</v>
      </c>
      <c r="C27" s="266">
        <f>SUM('Consolidated Fund'!E56,)/10^6</f>
        <v>-20.181661500000001</v>
      </c>
      <c r="D27" s="266">
        <f>SUM('Consolidated Fund'!F56,)/10^6</f>
        <v>-57.2</v>
      </c>
      <c r="E27" s="266">
        <f>SUM('Consolidated Fund'!G56,)/10^6</f>
        <v>-57.199999999999996</v>
      </c>
      <c r="F27" s="266">
        <f>SUM('Consolidated Fund'!H56,)/10^6</f>
        <v>-57.199999999999996</v>
      </c>
      <c r="G27" s="266">
        <f>SUM('Consolidated Fund'!I56,)/10^6</f>
        <v>-3.8147169436855419</v>
      </c>
      <c r="H27" s="266">
        <f>SUM('Consolidated Fund'!J56,)/10^6</f>
        <v>0</v>
      </c>
      <c r="I27" s="266">
        <f>SUM('Consolidated Fund'!K56,)/10^6</f>
        <v>0</v>
      </c>
      <c r="J27" s="266">
        <f>SUM('Consolidated Fund'!L56,)/10^6</f>
        <v>0</v>
      </c>
      <c r="K27" s="266">
        <f>SUM('Consolidated Fund'!M56,)/10^6</f>
        <v>0</v>
      </c>
      <c r="L27" s="266">
        <f>SUM('Consolidated Fund'!N56,)/10^6</f>
        <v>0</v>
      </c>
      <c r="M27" s="298">
        <f t="shared" si="3"/>
        <v>-195.59637844368552</v>
      </c>
    </row>
    <row r="28" spans="2:13">
      <c r="B28" s="278" t="s">
        <v>320</v>
      </c>
      <c r="C28" s="266">
        <f>'Consolidated Fund'!E60/10^6</f>
        <v>-163.03772320546315</v>
      </c>
      <c r="D28" s="266">
        <f>'Consolidated Fund'!F60/10^6</f>
        <v>-211.41957415838715</v>
      </c>
      <c r="E28" s="266">
        <f>'Consolidated Fund'!G60/10^6</f>
        <v>-242.66822133231179</v>
      </c>
      <c r="F28" s="266">
        <f>'Consolidated Fund'!H60/10^6</f>
        <v>-262.54883509446012</v>
      </c>
      <c r="G28" s="266">
        <f>'Consolidated Fund'!I60/10^6</f>
        <v>-1694.4041349274121</v>
      </c>
      <c r="H28" s="266">
        <f>'Consolidated Fund'!J60/10^6</f>
        <v>-3016.8972004229458</v>
      </c>
      <c r="I28" s="266">
        <f>'Consolidated Fund'!K60/10^6</f>
        <v>-2137.7120703864061</v>
      </c>
      <c r="J28" s="266">
        <f>'Consolidated Fund'!L60/10^6</f>
        <v>-1506.5388864896511</v>
      </c>
      <c r="K28" s="266">
        <f>'Consolidated Fund'!M60/10^6</f>
        <v>-1481.826241306891</v>
      </c>
      <c r="L28" s="266">
        <f>'Consolidated Fund'!N60/10^6</f>
        <v>-2680.0827961747673</v>
      </c>
      <c r="M28" s="298">
        <f t="shared" si="3"/>
        <v>-13397.135683498695</v>
      </c>
    </row>
    <row r="29" spans="2:13">
      <c r="B29" s="276" t="s">
        <v>442</v>
      </c>
      <c r="C29" s="279">
        <f>SUM(C26:C28)</f>
        <v>99.041615294536854</v>
      </c>
      <c r="D29" s="279">
        <f t="shared" ref="D29:L29" si="6">SUM(D26:D28)</f>
        <v>249.11942584161289</v>
      </c>
      <c r="E29" s="279">
        <f t="shared" si="6"/>
        <v>-299.8682213323118</v>
      </c>
      <c r="F29" s="279">
        <f t="shared" si="6"/>
        <v>-1066.3961505673897</v>
      </c>
      <c r="G29" s="279">
        <f t="shared" si="6"/>
        <v>-1751.5715363981681</v>
      </c>
      <c r="H29" s="279">
        <f t="shared" si="6"/>
        <v>-3016.8972004229458</v>
      </c>
      <c r="I29" s="279">
        <f t="shared" si="6"/>
        <v>-2137.7120703864061</v>
      </c>
      <c r="J29" s="279">
        <f t="shared" si="6"/>
        <v>-1506.5388864896511</v>
      </c>
      <c r="K29" s="279">
        <f t="shared" si="6"/>
        <v>-1481.826241306891</v>
      </c>
      <c r="L29" s="279">
        <f t="shared" si="6"/>
        <v>-2680.0827961747673</v>
      </c>
      <c r="M29" s="299">
        <f t="shared" si="3"/>
        <v>-13592.732061942381</v>
      </c>
    </row>
    <row r="31" spans="2:13" s="281" customFormat="1" ht="15" thickBot="1">
      <c r="B31" s="276" t="s">
        <v>370</v>
      </c>
      <c r="C31" s="280">
        <f>C29+C24+C18+'Consolidated Fund'!$D$63/10^6</f>
        <v>169.07388936621521</v>
      </c>
      <c r="D31" s="280">
        <f>D29+D24+D18+C31</f>
        <v>853.58695976455772</v>
      </c>
      <c r="E31" s="280">
        <f t="shared" ref="E31:L31" si="7">E29+E24+E18+D31</f>
        <v>375.47842582751252</v>
      </c>
      <c r="F31" s="280">
        <f t="shared" si="7"/>
        <v>682.60700082751225</v>
      </c>
      <c r="G31" s="280">
        <f t="shared" si="7"/>
        <v>236.84600082751274</v>
      </c>
      <c r="H31" s="280">
        <f t="shared" si="7"/>
        <v>50.00000082751319</v>
      </c>
      <c r="I31" s="280">
        <f t="shared" si="7"/>
        <v>50.00000082751319</v>
      </c>
      <c r="J31" s="280">
        <f t="shared" si="7"/>
        <v>50.000000827513333</v>
      </c>
      <c r="K31" s="280">
        <f t="shared" si="7"/>
        <v>50.000000827513162</v>
      </c>
      <c r="L31" s="280">
        <f t="shared" si="7"/>
        <v>8.2751343200015981E-7</v>
      </c>
    </row>
    <row r="33" spans="2:13">
      <c r="C33" s="292" t="s">
        <v>491</v>
      </c>
      <c r="D33" s="292" t="s">
        <v>492</v>
      </c>
    </row>
    <row r="34" spans="2:13">
      <c r="B34" s="278" t="s">
        <v>493</v>
      </c>
      <c r="C34" s="291" t="s">
        <v>507</v>
      </c>
      <c r="D34" s="266">
        <f>SUM('Consolidated Fund'!D113:S113)/10^6</f>
        <v>6389.7289734885535</v>
      </c>
    </row>
    <row r="35" spans="2:13">
      <c r="B35" s="278" t="s">
        <v>494</v>
      </c>
      <c r="C35" s="266">
        <f>'Consolidated Fund'!N30/10^6</f>
        <v>47.94</v>
      </c>
      <c r="D35" s="266">
        <f>C35/'Consolidated Fund'!$C$13</f>
        <v>958.8</v>
      </c>
    </row>
    <row r="36" spans="2:13">
      <c r="B36" s="278" t="s">
        <v>495</v>
      </c>
      <c r="C36" s="266">
        <f>('Consolidated Fund'!N29+'Consolidated Fund'!N33)/10^6</f>
        <v>10.820341639915465</v>
      </c>
      <c r="D36" s="266">
        <f>C36/'Consolidated Fund'!$C$13</f>
        <v>216.4068327983093</v>
      </c>
    </row>
    <row r="37" spans="2:13">
      <c r="B37" s="276" t="s">
        <v>496</v>
      </c>
      <c r="C37" s="266"/>
      <c r="D37" s="277">
        <f>SUM(D34:D36)</f>
        <v>7564.9358062868632</v>
      </c>
    </row>
    <row r="39" spans="2:13">
      <c r="B39" s="286" t="s">
        <v>485</v>
      </c>
      <c r="C39" s="287">
        <v>2026</v>
      </c>
      <c r="D39" s="287">
        <v>2027</v>
      </c>
      <c r="E39" s="287">
        <v>2028</v>
      </c>
      <c r="F39" s="287">
        <v>2029</v>
      </c>
      <c r="G39" s="287">
        <v>2030</v>
      </c>
      <c r="H39" s="287">
        <v>2031</v>
      </c>
      <c r="I39" s="287">
        <v>2032</v>
      </c>
      <c r="J39" s="287">
        <v>2033</v>
      </c>
      <c r="K39" s="287">
        <v>2034</v>
      </c>
      <c r="L39" s="287">
        <v>2035</v>
      </c>
      <c r="M39" s="268" t="s">
        <v>518</v>
      </c>
    </row>
    <row r="40" spans="2:13">
      <c r="B40" s="276" t="str">
        <f t="shared" ref="B40:L40" si="8">B13</f>
        <v>Fund EBITDA</v>
      </c>
      <c r="C40" s="277">
        <f t="shared" si="8"/>
        <v>350.18629351805646</v>
      </c>
      <c r="D40" s="277">
        <f t="shared" si="8"/>
        <v>759.06385073296724</v>
      </c>
      <c r="E40" s="277">
        <f t="shared" si="8"/>
        <v>792.38135748180639</v>
      </c>
      <c r="F40" s="277">
        <f t="shared" si="8"/>
        <v>903.55438108283352</v>
      </c>
      <c r="G40" s="277">
        <f t="shared" si="8"/>
        <v>813.7124918250056</v>
      </c>
      <c r="H40" s="277">
        <f t="shared" si="8"/>
        <v>879.08286638784602</v>
      </c>
      <c r="I40" s="277">
        <f t="shared" si="8"/>
        <v>436.6701491252532</v>
      </c>
      <c r="J40" s="277">
        <f t="shared" si="8"/>
        <v>247.3605766612626</v>
      </c>
      <c r="K40" s="277">
        <f t="shared" si="8"/>
        <v>188.03265564412519</v>
      </c>
      <c r="L40" s="277">
        <f t="shared" si="8"/>
        <v>125.58352973662828</v>
      </c>
      <c r="M40" s="297">
        <f t="shared" ref="M40:M54" si="9">SUM(C40:L40)</f>
        <v>5495.6281521957853</v>
      </c>
    </row>
    <row r="41" spans="2:13" ht="14.4" customHeight="1">
      <c r="B41" s="278" t="s">
        <v>519</v>
      </c>
      <c r="C41" s="266">
        <f t="shared" ref="C41:L41" si="10">SUM(C14:C16)</f>
        <v>-1.782999999999987</v>
      </c>
      <c r="D41" s="266">
        <f t="shared" si="10"/>
        <v>354.44800000000009</v>
      </c>
      <c r="E41" s="266">
        <f t="shared" si="10"/>
        <v>555.60200000000009</v>
      </c>
      <c r="F41" s="266">
        <f t="shared" si="10"/>
        <v>1169.5310000000002</v>
      </c>
      <c r="G41" s="266">
        <f t="shared" si="10"/>
        <v>976.34199999999998</v>
      </c>
      <c r="H41" s="266">
        <f t="shared" si="10"/>
        <v>958.60899999999992</v>
      </c>
      <c r="I41" s="266">
        <f t="shared" si="10"/>
        <v>474.99199999999996</v>
      </c>
      <c r="J41" s="266">
        <f t="shared" si="10"/>
        <v>0</v>
      </c>
      <c r="K41" s="266">
        <f t="shared" si="10"/>
        <v>0</v>
      </c>
      <c r="L41" s="266">
        <f t="shared" si="10"/>
        <v>0</v>
      </c>
      <c r="M41" s="298">
        <f t="shared" si="9"/>
        <v>4487.741</v>
      </c>
    </row>
    <row r="42" spans="2:13">
      <c r="B42" s="278" t="str">
        <f t="shared" ref="B42:L42" si="11">B17</f>
        <v>Less Taxes paid and changes in W/C</v>
      </c>
      <c r="C42" s="266">
        <f t="shared" si="11"/>
        <v>-10.12836012687805</v>
      </c>
      <c r="D42" s="266">
        <f t="shared" si="11"/>
        <v>-19.746910349059355</v>
      </c>
      <c r="E42" s="266">
        <f t="shared" si="11"/>
        <v>-19.72517470959032</v>
      </c>
      <c r="F42" s="266">
        <f t="shared" si="11"/>
        <v>-22.050916671859337</v>
      </c>
      <c r="G42" s="266">
        <f t="shared" si="11"/>
        <v>-21.025891735054774</v>
      </c>
      <c r="H42" s="266">
        <f t="shared" si="11"/>
        <v>-22.325388987216179</v>
      </c>
      <c r="I42" s="266">
        <f t="shared" si="11"/>
        <v>-11.316503824296229</v>
      </c>
      <c r="J42" s="266">
        <f t="shared" si="11"/>
        <v>-6.5051171308718727</v>
      </c>
      <c r="K42" s="266">
        <f t="shared" si="11"/>
        <v>-5.0737246317977309</v>
      </c>
      <c r="L42" s="266">
        <f t="shared" si="11"/>
        <v>-3.5210733736462907</v>
      </c>
      <c r="M42" s="298">
        <f t="shared" si="9"/>
        <v>-141.41906154027015</v>
      </c>
    </row>
    <row r="43" spans="2:13">
      <c r="B43" s="276" t="str">
        <f>B18</f>
        <v>Cashflow From Operations</v>
      </c>
      <c r="C43" s="279">
        <f>SUM(C40:C42)</f>
        <v>338.27493339117837</v>
      </c>
      <c r="D43" s="279">
        <f t="shared" ref="D43:L43" si="12">SUM(D40:D42)</f>
        <v>1093.764940383908</v>
      </c>
      <c r="E43" s="279">
        <f t="shared" si="12"/>
        <v>1328.2581827722161</v>
      </c>
      <c r="F43" s="279">
        <f t="shared" si="12"/>
        <v>2051.0344644109746</v>
      </c>
      <c r="G43" s="279">
        <f t="shared" si="12"/>
        <v>1769.0286000899509</v>
      </c>
      <c r="H43" s="279">
        <f t="shared" si="12"/>
        <v>1815.3664774006297</v>
      </c>
      <c r="I43" s="279">
        <f t="shared" si="12"/>
        <v>900.3456453009569</v>
      </c>
      <c r="J43" s="279">
        <f t="shared" si="12"/>
        <v>240.85545953039073</v>
      </c>
      <c r="K43" s="279">
        <f t="shared" si="12"/>
        <v>182.95893101232747</v>
      </c>
      <c r="L43" s="279">
        <f t="shared" si="12"/>
        <v>122.06245636298199</v>
      </c>
      <c r="M43" s="299">
        <f t="shared" si="9"/>
        <v>9841.9500906555168</v>
      </c>
    </row>
    <row r="44" spans="2:13" ht="7.05" customHeight="1">
      <c r="B44" s="278"/>
      <c r="M44" s="300"/>
    </row>
    <row r="45" spans="2:13">
      <c r="B45" s="278" t="str">
        <f t="shared" ref="B45:L45" si="13">B20</f>
        <v>Capex - Phases 2&amp;3 (excluding land)</v>
      </c>
      <c r="C45" s="266">
        <f t="shared" si="13"/>
        <v>-282.26100000000002</v>
      </c>
      <c r="D45" s="266">
        <f t="shared" si="13"/>
        <v>-641.36500000000001</v>
      </c>
      <c r="E45" s="266">
        <f t="shared" si="13"/>
        <v>-1489.3440000000001</v>
      </c>
      <c r="F45" s="266">
        <f t="shared" si="13"/>
        <v>-660.20500000000004</v>
      </c>
      <c r="G45" s="266">
        <f t="shared" si="13"/>
        <v>-445.76100000000002</v>
      </c>
      <c r="H45" s="266">
        <f t="shared" si="13"/>
        <v>-186.846</v>
      </c>
      <c r="I45" s="266">
        <f t="shared" si="13"/>
        <v>0</v>
      </c>
      <c r="J45" s="266">
        <f t="shared" si="13"/>
        <v>0</v>
      </c>
      <c r="K45" s="266">
        <f t="shared" si="13"/>
        <v>0</v>
      </c>
      <c r="L45" s="266">
        <f t="shared" si="13"/>
        <v>0</v>
      </c>
      <c r="M45" s="298">
        <f t="shared" si="9"/>
        <v>-3705.7820000000002</v>
      </c>
    </row>
    <row r="46" spans="2:13">
      <c r="B46" s="278" t="str">
        <f t="shared" ref="B46:L46" si="14">B21</f>
        <v>Capex - Voco Hotel</v>
      </c>
      <c r="C46" s="266">
        <f t="shared" si="14"/>
        <v>-14.881659319499997</v>
      </c>
      <c r="D46" s="266">
        <f t="shared" si="14"/>
        <v>-17.006295827178242</v>
      </c>
      <c r="E46" s="266">
        <f t="shared" si="14"/>
        <v>-17.15449537694948</v>
      </c>
      <c r="F46" s="266">
        <f t="shared" si="14"/>
        <v>-17.304738843584978</v>
      </c>
      <c r="G46" s="266">
        <f t="shared" si="14"/>
        <v>-17.457063691782441</v>
      </c>
      <c r="H46" s="266">
        <f t="shared" si="14"/>
        <v>-17.611508154067266</v>
      </c>
      <c r="I46" s="266">
        <f t="shared" si="14"/>
        <v>-14.214488997847862</v>
      </c>
      <c r="J46" s="266">
        <f t="shared" si="14"/>
        <v>-10.756147673766558</v>
      </c>
      <c r="K46" s="266">
        <f t="shared" si="14"/>
        <v>-7.2351813670255964</v>
      </c>
      <c r="L46" s="266">
        <f t="shared" si="14"/>
        <v>-3.6502549207805326</v>
      </c>
      <c r="M46" s="298">
        <f t="shared" si="9"/>
        <v>-137.27183417248295</v>
      </c>
    </row>
    <row r="47" spans="2:13">
      <c r="B47" s="269" t="s">
        <v>504</v>
      </c>
      <c r="C47" s="266">
        <f t="shared" ref="C47:L47" si="15">C22</f>
        <v>0</v>
      </c>
      <c r="D47" s="266">
        <f t="shared" si="15"/>
        <v>0</v>
      </c>
      <c r="E47" s="266">
        <f t="shared" si="15"/>
        <v>0</v>
      </c>
      <c r="F47" s="266">
        <f t="shared" si="15"/>
        <v>0</v>
      </c>
      <c r="G47" s="266">
        <f t="shared" si="15"/>
        <v>0</v>
      </c>
      <c r="H47" s="266">
        <f t="shared" si="15"/>
        <v>1219.1422311763838</v>
      </c>
      <c r="I47" s="266">
        <f t="shared" si="15"/>
        <v>1251.5809140832971</v>
      </c>
      <c r="J47" s="266">
        <f t="shared" si="15"/>
        <v>1276.439574633027</v>
      </c>
      <c r="K47" s="266">
        <f t="shared" si="15"/>
        <v>1306.1024916615891</v>
      </c>
      <c r="L47" s="266">
        <f t="shared" si="15"/>
        <v>1336.4637619342566</v>
      </c>
      <c r="M47" s="298">
        <f t="shared" si="9"/>
        <v>6389.7289734885535</v>
      </c>
    </row>
    <row r="48" spans="2:13">
      <c r="B48" s="269" t="s">
        <v>522</v>
      </c>
      <c r="C48" s="266">
        <f t="shared" ref="C48:L48" si="16">C23</f>
        <v>0</v>
      </c>
      <c r="D48" s="266">
        <f t="shared" si="16"/>
        <v>0</v>
      </c>
      <c r="E48" s="266">
        <f t="shared" si="16"/>
        <v>0</v>
      </c>
      <c r="F48" s="266">
        <f t="shared" si="16"/>
        <v>0</v>
      </c>
      <c r="G48" s="266">
        <f t="shared" si="16"/>
        <v>0</v>
      </c>
      <c r="H48" s="266">
        <f t="shared" si="16"/>
        <v>0</v>
      </c>
      <c r="I48" s="266">
        <f t="shared" si="16"/>
        <v>0</v>
      </c>
      <c r="J48" s="266">
        <f t="shared" si="16"/>
        <v>0</v>
      </c>
      <c r="K48" s="266">
        <f t="shared" si="16"/>
        <v>0</v>
      </c>
      <c r="L48" s="266">
        <f t="shared" si="16"/>
        <v>1175.2068327983093</v>
      </c>
      <c r="M48" s="298">
        <f t="shared" ref="M48" si="17">SUM(C48:L48)</f>
        <v>1175.2068327983093</v>
      </c>
    </row>
    <row r="49" spans="2:13">
      <c r="B49" s="276" t="str">
        <f>B24</f>
        <v>Cashflow From Investing</v>
      </c>
      <c r="C49" s="279">
        <f>SUM(C45:C48)</f>
        <v>-297.14265931950001</v>
      </c>
      <c r="D49" s="279">
        <f t="shared" ref="D49:M49" si="18">SUM(D45:D48)</f>
        <v>-658.3712958271783</v>
      </c>
      <c r="E49" s="279">
        <f t="shared" si="18"/>
        <v>-1506.4984953769494</v>
      </c>
      <c r="F49" s="279">
        <f t="shared" si="18"/>
        <v>-677.50973884358507</v>
      </c>
      <c r="G49" s="279">
        <f t="shared" si="18"/>
        <v>-463.21806369178245</v>
      </c>
      <c r="H49" s="279">
        <f t="shared" si="18"/>
        <v>1014.6847230223166</v>
      </c>
      <c r="I49" s="279">
        <f t="shared" si="18"/>
        <v>1237.3664250854492</v>
      </c>
      <c r="J49" s="279">
        <f t="shared" si="18"/>
        <v>1265.6834269592605</v>
      </c>
      <c r="K49" s="279">
        <f t="shared" si="18"/>
        <v>1298.8673102945634</v>
      </c>
      <c r="L49" s="279">
        <f t="shared" si="18"/>
        <v>2508.0203398117856</v>
      </c>
      <c r="M49" s="299">
        <f t="shared" si="18"/>
        <v>3721.8819721143796</v>
      </c>
    </row>
    <row r="50" spans="2:13" ht="7.05" customHeight="1">
      <c r="M50" s="300"/>
    </row>
    <row r="51" spans="2:13">
      <c r="B51" s="278" t="str">
        <f t="shared" ref="B51:L51" si="19">B26</f>
        <v>Loan Principal</v>
      </c>
      <c r="C51" s="266">
        <f t="shared" si="19"/>
        <v>282.26100000000002</v>
      </c>
      <c r="D51" s="266">
        <f t="shared" si="19"/>
        <v>517.73900000000003</v>
      </c>
      <c r="E51" s="266">
        <f t="shared" si="19"/>
        <v>0</v>
      </c>
      <c r="F51" s="266">
        <f t="shared" si="19"/>
        <v>-746.64731547292945</v>
      </c>
      <c r="G51" s="266">
        <f t="shared" si="19"/>
        <v>-53.352684527070522</v>
      </c>
      <c r="H51" s="266">
        <f t="shared" si="19"/>
        <v>0</v>
      </c>
      <c r="I51" s="266">
        <f t="shared" si="19"/>
        <v>0</v>
      </c>
      <c r="J51" s="266">
        <f t="shared" si="19"/>
        <v>0</v>
      </c>
      <c r="K51" s="266">
        <f t="shared" si="19"/>
        <v>0</v>
      </c>
      <c r="L51" s="266">
        <f t="shared" si="19"/>
        <v>0</v>
      </c>
      <c r="M51" s="298">
        <f t="shared" si="9"/>
        <v>2.8421709430404007E-14</v>
      </c>
    </row>
    <row r="52" spans="2:13">
      <c r="B52" s="278" t="str">
        <f t="shared" ref="B52:L52" si="20">B27</f>
        <v>Loan Interest</v>
      </c>
      <c r="C52" s="266">
        <f t="shared" si="20"/>
        <v>-20.181661500000001</v>
      </c>
      <c r="D52" s="266">
        <f t="shared" si="20"/>
        <v>-57.2</v>
      </c>
      <c r="E52" s="266">
        <f t="shared" si="20"/>
        <v>-57.199999999999996</v>
      </c>
      <c r="F52" s="266">
        <f t="shared" si="20"/>
        <v>-57.199999999999996</v>
      </c>
      <c r="G52" s="266">
        <f t="shared" si="20"/>
        <v>-3.8147169436855419</v>
      </c>
      <c r="H52" s="266">
        <f t="shared" si="20"/>
        <v>0</v>
      </c>
      <c r="I52" s="266">
        <f t="shared" si="20"/>
        <v>0</v>
      </c>
      <c r="J52" s="266">
        <f t="shared" si="20"/>
        <v>0</v>
      </c>
      <c r="K52" s="266">
        <f t="shared" si="20"/>
        <v>0</v>
      </c>
      <c r="L52" s="266">
        <f t="shared" si="20"/>
        <v>0</v>
      </c>
      <c r="M52" s="298">
        <f t="shared" si="9"/>
        <v>-195.59637844368552</v>
      </c>
    </row>
    <row r="53" spans="2:13">
      <c r="B53" s="278" t="str">
        <f t="shared" ref="B53:L53" si="21">B28</f>
        <v>Dividends</v>
      </c>
      <c r="C53" s="266">
        <f t="shared" si="21"/>
        <v>-163.03772320546315</v>
      </c>
      <c r="D53" s="266">
        <f t="shared" si="21"/>
        <v>-211.41957415838715</v>
      </c>
      <c r="E53" s="266">
        <f t="shared" si="21"/>
        <v>-242.66822133231179</v>
      </c>
      <c r="F53" s="266">
        <f t="shared" si="21"/>
        <v>-262.54883509446012</v>
      </c>
      <c r="G53" s="266">
        <f t="shared" si="21"/>
        <v>-1694.4041349274121</v>
      </c>
      <c r="H53" s="266">
        <f t="shared" si="21"/>
        <v>-3016.8972004229458</v>
      </c>
      <c r="I53" s="266">
        <f t="shared" si="21"/>
        <v>-2137.7120703864061</v>
      </c>
      <c r="J53" s="266">
        <f t="shared" si="21"/>
        <v>-1506.5388864896511</v>
      </c>
      <c r="K53" s="266">
        <f t="shared" si="21"/>
        <v>-1481.826241306891</v>
      </c>
      <c r="L53" s="266">
        <f t="shared" si="21"/>
        <v>-2680.0827961747673</v>
      </c>
      <c r="M53" s="298">
        <f t="shared" si="9"/>
        <v>-13397.135683498695</v>
      </c>
    </row>
    <row r="54" spans="2:13">
      <c r="B54" s="276" t="str">
        <f>B29</f>
        <v>Cashflow From Financing</v>
      </c>
      <c r="C54" s="279">
        <f>SUM(C51:C53)</f>
        <v>99.041615294536854</v>
      </c>
      <c r="D54" s="279">
        <f t="shared" ref="D54:L54" si="22">SUM(D51:D53)</f>
        <v>249.11942584161289</v>
      </c>
      <c r="E54" s="279">
        <f t="shared" si="22"/>
        <v>-299.8682213323118</v>
      </c>
      <c r="F54" s="279">
        <f t="shared" si="22"/>
        <v>-1066.3961505673897</v>
      </c>
      <c r="G54" s="279">
        <f t="shared" si="22"/>
        <v>-1751.5715363981681</v>
      </c>
      <c r="H54" s="279">
        <f t="shared" si="22"/>
        <v>-3016.8972004229458</v>
      </c>
      <c r="I54" s="279">
        <f t="shared" si="22"/>
        <v>-2137.7120703864061</v>
      </c>
      <c r="J54" s="279">
        <f t="shared" si="22"/>
        <v>-1506.5388864896511</v>
      </c>
      <c r="K54" s="279">
        <f t="shared" si="22"/>
        <v>-1481.826241306891</v>
      </c>
      <c r="L54" s="279">
        <f t="shared" si="22"/>
        <v>-2680.0827961747673</v>
      </c>
      <c r="M54" s="299">
        <f t="shared" si="9"/>
        <v>-13592.732061942381</v>
      </c>
    </row>
    <row r="55" spans="2:13" ht="7.05" customHeight="1"/>
    <row r="56" spans="2:13" ht="15" thickBot="1">
      <c r="B56" s="276" t="str">
        <f>B31</f>
        <v>Closing Cash Balance</v>
      </c>
      <c r="C56" s="280">
        <f>C54+C49+C43+'Consolidated Fund'!$D$63/10^6</f>
        <v>169.07388936621521</v>
      </c>
      <c r="D56" s="280">
        <f>D54+D49+D43+C56</f>
        <v>853.58695976455772</v>
      </c>
      <c r="E56" s="280">
        <f t="shared" ref="E56:L56" si="23">E54+E49+E43+D56</f>
        <v>375.47842582751252</v>
      </c>
      <c r="F56" s="280">
        <f t="shared" si="23"/>
        <v>682.60700082751225</v>
      </c>
      <c r="G56" s="280">
        <f t="shared" si="23"/>
        <v>236.84600082751274</v>
      </c>
      <c r="H56" s="280">
        <f t="shared" si="23"/>
        <v>50.00000082751319</v>
      </c>
      <c r="I56" s="280">
        <f t="shared" si="23"/>
        <v>50.00000082751319</v>
      </c>
      <c r="J56" s="280">
        <f t="shared" si="23"/>
        <v>50.000000827513333</v>
      </c>
      <c r="K56" s="280">
        <f t="shared" si="23"/>
        <v>50.000000827513162</v>
      </c>
      <c r="L56" s="280">
        <f t="shared" si="23"/>
        <v>8.2751343200015981E-7</v>
      </c>
    </row>
  </sheetData>
  <pageMargins left="0.7" right="0.7" top="0.75" bottom="0.75" header="0.3" footer="0.3"/>
  <pageSetup paperSize="9" orientation="portrait" r:id="rId1"/>
</worksheet>
</file>

<file path=docMetadata/LabelInfo.xml><?xml version="1.0" encoding="utf-8"?>
<clbl:labelList xmlns:clbl="http://schemas.microsoft.com/office/2020/mipLabelMetadata">
  <clbl:label id="{72a58c77-e6ba-40ae-900b-cdc107a517da}" enabled="0" method="" siteId="{72a58c77-e6ba-40ae-900b-cdc107a517da}"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Cover</vt:lpstr>
      <vt:lpstr>Assumptions</vt:lpstr>
      <vt:lpstr>FS</vt:lpstr>
      <vt:lpstr>HBU</vt:lpstr>
      <vt:lpstr>Consolidated Fund</vt:lpstr>
      <vt:lpstr>Sheet1</vt:lpstr>
      <vt:lpstr>PPT</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Abdullah</dc:creator>
  <cp:lastModifiedBy>Ahmad Din</cp:lastModifiedBy>
  <cp:lastPrinted>2025-10-02T13:26:00Z</cp:lastPrinted>
  <dcterms:created xsi:type="dcterms:W3CDTF">2025-06-25T12:44:04Z</dcterms:created>
  <dcterms:modified xsi:type="dcterms:W3CDTF">2026-05-12T16:38:05Z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